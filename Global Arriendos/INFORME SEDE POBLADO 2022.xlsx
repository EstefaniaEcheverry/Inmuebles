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xr:revisionPtr revIDLastSave="10312" documentId="11_9248B46DC1CBB2E3ED7FF6F9903E8C1851038383" xr6:coauthVersionLast="47" xr6:coauthVersionMax="47" xr10:uidLastSave="{891B1DC3-6D7E-4832-9F6F-94DF9E890109}"/>
  <bookViews>
    <workbookView xWindow="240" yWindow="105" windowWidth="14805" windowHeight="8010" firstSheet="1" activeTab="1" xr2:uid="{00000000-000D-0000-FFFF-FFFF00000000}"/>
  </bookViews>
  <sheets>
    <sheet name="INFORME EXTERNOS" sheetId="1" r:id="rId1"/>
    <sheet name="INFORME INTERNOS" sheetId="2" r:id="rId2"/>
    <sheet name="CAPTACIONE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8" i="2" l="1"/>
  <c r="G647" i="2"/>
  <c r="G653" i="2"/>
  <c r="G636" i="2"/>
  <c r="G637" i="2"/>
  <c r="G638" i="2"/>
  <c r="G639" i="2"/>
  <c r="G640" i="2"/>
  <c r="G641" i="2"/>
  <c r="G642" i="2"/>
  <c r="G643" i="2"/>
  <c r="G644" i="2"/>
  <c r="G645" i="2"/>
  <c r="G646" i="2"/>
  <c r="G634" i="2"/>
  <c r="G635" i="2"/>
  <c r="G632" i="2"/>
  <c r="E623" i="1"/>
  <c r="E619" i="2"/>
  <c r="G607" i="2"/>
  <c r="G619" i="2" s="1"/>
  <c r="G633" i="2"/>
  <c r="G578" i="1"/>
  <c r="G608" i="1"/>
  <c r="G607" i="1"/>
  <c r="G611" i="1" s="1"/>
  <c r="G574" i="1"/>
  <c r="G575" i="1"/>
  <c r="G576" i="1"/>
  <c r="G577" i="1"/>
  <c r="G573" i="1"/>
  <c r="P573" i="1"/>
  <c r="P582" i="1" s="1"/>
  <c r="P588" i="1"/>
  <c r="G589" i="1"/>
  <c r="G590" i="1"/>
  <c r="G591" i="1"/>
  <c r="G592" i="1"/>
  <c r="G588" i="1"/>
  <c r="G609" i="2"/>
  <c r="G610" i="2"/>
  <c r="G611" i="2"/>
  <c r="G612" i="2"/>
  <c r="G613" i="2"/>
  <c r="G614" i="2"/>
  <c r="G615" i="2"/>
  <c r="G616" i="2"/>
  <c r="G617" i="2"/>
  <c r="G608" i="2"/>
  <c r="E611" i="1"/>
  <c r="E583" i="1"/>
  <c r="E596" i="1"/>
  <c r="G618" i="1"/>
  <c r="E618" i="1"/>
  <c r="P616" i="1"/>
  <c r="N616" i="1"/>
  <c r="E653" i="2"/>
  <c r="G709" i="2"/>
  <c r="E709" i="2"/>
  <c r="E684" i="2"/>
  <c r="G674" i="2"/>
  <c r="G684" i="2"/>
  <c r="G669" i="2"/>
  <c r="E669" i="2"/>
  <c r="J973" i="3"/>
  <c r="J1148" i="3"/>
  <c r="J1138" i="3"/>
  <c r="K1128" i="3"/>
  <c r="J1128" i="3"/>
  <c r="K1101" i="3"/>
  <c r="J1101" i="3"/>
  <c r="K1068" i="3"/>
  <c r="J1068" i="3"/>
  <c r="J1002" i="3"/>
  <c r="G626" i="2"/>
  <c r="G624" i="2"/>
  <c r="G625" i="2"/>
  <c r="E628" i="2"/>
  <c r="J1038" i="3"/>
  <c r="J1030" i="3"/>
  <c r="K1022" i="3"/>
  <c r="J1022" i="3"/>
  <c r="K1002" i="3"/>
  <c r="K973" i="3"/>
  <c r="J953" i="3"/>
  <c r="K944" i="3"/>
  <c r="J944" i="3"/>
  <c r="J842" i="3"/>
  <c r="K833" i="3"/>
  <c r="J833" i="3"/>
  <c r="K818" i="3"/>
  <c r="J818" i="3"/>
  <c r="K791" i="3"/>
  <c r="J791" i="3"/>
  <c r="K779" i="3"/>
  <c r="J779" i="3"/>
  <c r="A564" i="1"/>
  <c r="E536" i="1"/>
  <c r="P541" i="1"/>
  <c r="G533" i="1"/>
  <c r="G589" i="2"/>
  <c r="G590" i="2"/>
  <c r="G591" i="2"/>
  <c r="G592" i="2"/>
  <c r="G593" i="2"/>
  <c r="G594" i="2"/>
  <c r="G595" i="2"/>
  <c r="G596" i="2"/>
  <c r="G597" i="2"/>
  <c r="G598" i="2"/>
  <c r="G599" i="2"/>
  <c r="G588" i="2"/>
  <c r="G601" i="2" s="1"/>
  <c r="G574" i="2"/>
  <c r="G573" i="2"/>
  <c r="G559" i="2"/>
  <c r="G560" i="2"/>
  <c r="G561" i="2"/>
  <c r="G562" i="2"/>
  <c r="G563" i="2"/>
  <c r="G564" i="2"/>
  <c r="G565" i="2"/>
  <c r="G566" i="2"/>
  <c r="G567" i="2"/>
  <c r="G558" i="2"/>
  <c r="G569" i="2" s="1"/>
  <c r="E601" i="2"/>
  <c r="G583" i="2"/>
  <c r="E583" i="2"/>
  <c r="E576" i="2"/>
  <c r="G576" i="2"/>
  <c r="E569" i="2"/>
  <c r="N554" i="1"/>
  <c r="P551" i="1"/>
  <c r="P554" i="1" s="1"/>
  <c r="E547" i="1"/>
  <c r="G541" i="1"/>
  <c r="G542" i="1"/>
  <c r="G543" i="1"/>
  <c r="G544" i="1"/>
  <c r="G545" i="1"/>
  <c r="G547" i="1"/>
  <c r="G528" i="1"/>
  <c r="G529" i="1"/>
  <c r="G530" i="1"/>
  <c r="G531" i="1"/>
  <c r="G532" i="1"/>
  <c r="G527" i="1"/>
  <c r="G536" i="1" s="1"/>
  <c r="P611" i="1"/>
  <c r="N610" i="1"/>
  <c r="G603" i="1"/>
  <c r="E603" i="1"/>
  <c r="P601" i="1"/>
  <c r="N601" i="1"/>
  <c r="G596" i="1"/>
  <c r="P595" i="1"/>
  <c r="N595" i="1"/>
  <c r="G583" i="1"/>
  <c r="P583" i="1" s="1"/>
  <c r="P562" i="1"/>
  <c r="G562" i="1"/>
  <c r="E562" i="1"/>
  <c r="N561" i="1"/>
  <c r="E555" i="1"/>
  <c r="G555" i="1"/>
  <c r="P555" i="1" s="1"/>
  <c r="N546" i="1"/>
  <c r="P546" i="1"/>
  <c r="P547" i="1"/>
  <c r="E564" i="1"/>
  <c r="N495" i="1"/>
  <c r="P484" i="1"/>
  <c r="E549" i="2"/>
  <c r="E498" i="2"/>
  <c r="N506" i="1"/>
  <c r="E507" i="1"/>
  <c r="E496" i="1"/>
  <c r="E477" i="1"/>
  <c r="N476" i="1"/>
  <c r="P466" i="1"/>
  <c r="P483" i="1"/>
  <c r="P482" i="1"/>
  <c r="P495" i="1" s="1"/>
  <c r="P500" i="1"/>
  <c r="P506" i="1" s="1"/>
  <c r="G501" i="1"/>
  <c r="G502" i="1"/>
  <c r="G503" i="1"/>
  <c r="G500" i="1"/>
  <c r="G507" i="1" s="1"/>
  <c r="P507" i="1" s="1"/>
  <c r="P465" i="1"/>
  <c r="P476" i="1" s="1"/>
  <c r="G483" i="1"/>
  <c r="G484" i="1"/>
  <c r="G485" i="1"/>
  <c r="G486" i="1"/>
  <c r="G487" i="1"/>
  <c r="G488" i="1"/>
  <c r="G489" i="1"/>
  <c r="G490" i="1"/>
  <c r="G491" i="1"/>
  <c r="G492" i="1"/>
  <c r="G493" i="1"/>
  <c r="G482" i="1"/>
  <c r="G496" i="1" s="1"/>
  <c r="P496" i="1" s="1"/>
  <c r="G466" i="1"/>
  <c r="G467" i="1"/>
  <c r="G468" i="1"/>
  <c r="G469" i="1"/>
  <c r="G470" i="1"/>
  <c r="G471" i="1"/>
  <c r="G472" i="1"/>
  <c r="G473" i="1"/>
  <c r="G465" i="1"/>
  <c r="G477" i="1" s="1"/>
  <c r="E511" i="2"/>
  <c r="G546" i="2"/>
  <c r="G496" i="2"/>
  <c r="G485" i="2"/>
  <c r="G486" i="2"/>
  <c r="G487" i="2"/>
  <c r="G488" i="2"/>
  <c r="G489" i="2"/>
  <c r="G490" i="2"/>
  <c r="G491" i="2"/>
  <c r="G492" i="2"/>
  <c r="G493" i="2"/>
  <c r="G494" i="2"/>
  <c r="G495" i="2"/>
  <c r="G484" i="2"/>
  <c r="G498" i="2" s="1"/>
  <c r="G503" i="2"/>
  <c r="G504" i="2"/>
  <c r="G505" i="2"/>
  <c r="G506" i="2"/>
  <c r="G507" i="2"/>
  <c r="G508" i="2"/>
  <c r="G509" i="2"/>
  <c r="G502" i="2"/>
  <c r="G511" i="2" s="1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23" i="2"/>
  <c r="G549" i="2" s="1"/>
  <c r="E479" i="2"/>
  <c r="G475" i="2"/>
  <c r="G476" i="2"/>
  <c r="G474" i="2"/>
  <c r="G479" i="2" s="1"/>
  <c r="G518" i="2"/>
  <c r="E518" i="2"/>
  <c r="A453" i="1"/>
  <c r="E465" i="2"/>
  <c r="E431" i="2"/>
  <c r="E419" i="2"/>
  <c r="E405" i="2"/>
  <c r="E444" i="1"/>
  <c r="N433" i="1"/>
  <c r="E434" i="1"/>
  <c r="E424" i="1"/>
  <c r="E412" i="1"/>
  <c r="G417" i="2"/>
  <c r="G424" i="2"/>
  <c r="G425" i="2"/>
  <c r="G426" i="2"/>
  <c r="G427" i="2"/>
  <c r="G428" i="2"/>
  <c r="G429" i="2"/>
  <c r="G423" i="2"/>
  <c r="G431" i="2" s="1"/>
  <c r="G410" i="2"/>
  <c r="G411" i="2"/>
  <c r="G412" i="2"/>
  <c r="G413" i="2"/>
  <c r="G414" i="2"/>
  <c r="G415" i="2"/>
  <c r="G416" i="2"/>
  <c r="G431" i="1"/>
  <c r="G463" i="2"/>
  <c r="G399" i="2"/>
  <c r="G400" i="2"/>
  <c r="G401" i="2"/>
  <c r="G402" i="2"/>
  <c r="G403" i="2"/>
  <c r="G398" i="2"/>
  <c r="G405" i="2" s="1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43" i="2"/>
  <c r="G465" i="2" s="1"/>
  <c r="P514" i="1"/>
  <c r="G514" i="1"/>
  <c r="E514" i="1"/>
  <c r="N513" i="1"/>
  <c r="E516" i="1"/>
  <c r="G439" i="1"/>
  <c r="G440" i="1"/>
  <c r="G438" i="1"/>
  <c r="N411" i="1"/>
  <c r="P401" i="1"/>
  <c r="P411" i="1" s="1"/>
  <c r="G429" i="1"/>
  <c r="G430" i="1"/>
  <c r="G428" i="1"/>
  <c r="G434" i="1" s="1"/>
  <c r="P428" i="1"/>
  <c r="P433" i="1" s="1"/>
  <c r="N423" i="1"/>
  <c r="G418" i="1"/>
  <c r="G419" i="1"/>
  <c r="G420" i="1"/>
  <c r="G417" i="1"/>
  <c r="G424" i="1" s="1"/>
  <c r="P417" i="1"/>
  <c r="P423" i="1" s="1"/>
  <c r="G402" i="1"/>
  <c r="G403" i="1"/>
  <c r="G404" i="1"/>
  <c r="G405" i="1"/>
  <c r="G406" i="1"/>
  <c r="G407" i="1"/>
  <c r="G408" i="1"/>
  <c r="G409" i="1"/>
  <c r="G401" i="1"/>
  <c r="G412" i="1" s="1"/>
  <c r="G438" i="2"/>
  <c r="E438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E391" i="2"/>
  <c r="G391" i="2"/>
  <c r="P369" i="1"/>
  <c r="E365" i="1"/>
  <c r="N364" i="1"/>
  <c r="N348" i="1"/>
  <c r="E349" i="1"/>
  <c r="G331" i="2"/>
  <c r="G360" i="1"/>
  <c r="A392" i="1"/>
  <c r="G352" i="2"/>
  <c r="E348" i="2"/>
  <c r="G339" i="2"/>
  <c r="G340" i="2"/>
  <c r="G341" i="2"/>
  <c r="G342" i="2"/>
  <c r="G343" i="2"/>
  <c r="G344" i="2"/>
  <c r="G345" i="2"/>
  <c r="G346" i="2"/>
  <c r="G338" i="2"/>
  <c r="G348" i="2" s="1"/>
  <c r="P341" i="1"/>
  <c r="G320" i="2"/>
  <c r="G321" i="2"/>
  <c r="G322" i="2"/>
  <c r="G323" i="2"/>
  <c r="G324" i="2"/>
  <c r="G325" i="2"/>
  <c r="G326" i="2"/>
  <c r="G327" i="2"/>
  <c r="G328" i="2"/>
  <c r="G329" i="2"/>
  <c r="G330" i="2"/>
  <c r="G319" i="2"/>
  <c r="G333" i="2" s="1"/>
  <c r="E333" i="2"/>
  <c r="G355" i="2"/>
  <c r="E355" i="2"/>
  <c r="G388" i="1"/>
  <c r="G390" i="1" s="1"/>
  <c r="P390" i="1"/>
  <c r="N383" i="1"/>
  <c r="P378" i="1"/>
  <c r="P383" i="1" s="1"/>
  <c r="E384" i="1"/>
  <c r="G379" i="1"/>
  <c r="G378" i="1"/>
  <c r="P340" i="1"/>
  <c r="P355" i="1"/>
  <c r="G370" i="1"/>
  <c r="G371" i="1"/>
  <c r="P354" i="1"/>
  <c r="P364" i="1" s="1"/>
  <c r="G369" i="1"/>
  <c r="G355" i="1"/>
  <c r="G356" i="1"/>
  <c r="G357" i="1"/>
  <c r="G358" i="1"/>
  <c r="G359" i="1"/>
  <c r="P339" i="1"/>
  <c r="P338" i="1"/>
  <c r="P348" i="1" s="1"/>
  <c r="G354" i="1"/>
  <c r="G365" i="1" s="1"/>
  <c r="G340" i="1"/>
  <c r="G341" i="1"/>
  <c r="G342" i="1"/>
  <c r="G343" i="1"/>
  <c r="G344" i="1"/>
  <c r="G345" i="1"/>
  <c r="G346" i="1"/>
  <c r="G347" i="1"/>
  <c r="G339" i="1"/>
  <c r="G338" i="1"/>
  <c r="P451" i="1"/>
  <c r="G451" i="1"/>
  <c r="E451" i="1"/>
  <c r="N450" i="1"/>
  <c r="G362" i="2"/>
  <c r="E362" i="2"/>
  <c r="E258" i="2"/>
  <c r="E390" i="1"/>
  <c r="G374" i="1"/>
  <c r="E374" i="1"/>
  <c r="N373" i="1"/>
  <c r="P373" i="1"/>
  <c r="P374" i="1" s="1"/>
  <c r="P365" i="1"/>
  <c r="Q279" i="1"/>
  <c r="Q278" i="1"/>
  <c r="Q316" i="1"/>
  <c r="G308" i="1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296" i="2"/>
  <c r="G297" i="2"/>
  <c r="E313" i="2"/>
  <c r="G286" i="2"/>
  <c r="G287" i="2"/>
  <c r="G288" i="2"/>
  <c r="G289" i="2"/>
  <c r="G290" i="2"/>
  <c r="G285" i="2"/>
  <c r="G291" i="2" s="1"/>
  <c r="G274" i="2"/>
  <c r="G275" i="2"/>
  <c r="G276" i="2"/>
  <c r="G277" i="2"/>
  <c r="G278" i="2"/>
  <c r="G279" i="2"/>
  <c r="G273" i="2"/>
  <c r="G280" i="2" s="1"/>
  <c r="G266" i="2"/>
  <c r="G267" i="2"/>
  <c r="G265" i="2"/>
  <c r="G268" i="2" s="1"/>
  <c r="G307" i="1"/>
  <c r="G306" i="1"/>
  <c r="G311" i="1" s="1"/>
  <c r="G294" i="1"/>
  <c r="G295" i="1"/>
  <c r="G296" i="1"/>
  <c r="G297" i="1"/>
  <c r="G293" i="1"/>
  <c r="G300" i="1" s="1"/>
  <c r="Q277" i="1"/>
  <c r="Q287" i="1" s="1"/>
  <c r="G278" i="1"/>
  <c r="G279" i="1"/>
  <c r="G280" i="1"/>
  <c r="G281" i="1"/>
  <c r="G282" i="1"/>
  <c r="G283" i="1"/>
  <c r="G284" i="1"/>
  <c r="G277" i="1"/>
  <c r="G288" i="1" s="1"/>
  <c r="Q288" i="1" s="1"/>
  <c r="K699" i="3"/>
  <c r="K678" i="3"/>
  <c r="K726" i="3"/>
  <c r="J746" i="3"/>
  <c r="K737" i="3"/>
  <c r="J737" i="3"/>
  <c r="E291" i="2"/>
  <c r="G313" i="2"/>
  <c r="E280" i="2"/>
  <c r="E268" i="2"/>
  <c r="E288" i="1"/>
  <c r="Q203" i="1"/>
  <c r="Q232" i="1"/>
  <c r="Q231" i="1"/>
  <c r="Q242" i="1"/>
  <c r="Q246" i="1"/>
  <c r="Q230" i="1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37" i="2"/>
  <c r="G222" i="2"/>
  <c r="G223" i="2"/>
  <c r="G224" i="2"/>
  <c r="G225" i="2"/>
  <c r="G226" i="2"/>
  <c r="G227" i="2"/>
  <c r="G228" i="2"/>
  <c r="G229" i="2"/>
  <c r="G230" i="2"/>
  <c r="G221" i="2"/>
  <c r="G231" i="2"/>
  <c r="G207" i="2"/>
  <c r="G208" i="2"/>
  <c r="G209" i="2"/>
  <c r="G210" i="2"/>
  <c r="G211" i="2"/>
  <c r="G212" i="2"/>
  <c r="G213" i="2"/>
  <c r="G214" i="2"/>
  <c r="G215" i="2"/>
  <c r="G206" i="2"/>
  <c r="G216" i="2"/>
  <c r="G243" i="1"/>
  <c r="G244" i="1"/>
  <c r="G242" i="1"/>
  <c r="G247" i="1"/>
  <c r="Q247" i="1"/>
  <c r="G231" i="1"/>
  <c r="G232" i="1"/>
  <c r="G233" i="1"/>
  <c r="G234" i="1"/>
  <c r="G235" i="1"/>
  <c r="G230" i="1"/>
  <c r="G237" i="1"/>
  <c r="K633" i="3"/>
  <c r="J633" i="3"/>
  <c r="G219" i="1"/>
  <c r="G220" i="1"/>
  <c r="G218" i="1"/>
  <c r="G224" i="1"/>
  <c r="Q202" i="1"/>
  <c r="Q212" i="1"/>
  <c r="G203" i="1"/>
  <c r="G204" i="1"/>
  <c r="G205" i="1"/>
  <c r="G206" i="1"/>
  <c r="G207" i="1"/>
  <c r="G208" i="1"/>
  <c r="G209" i="1"/>
  <c r="G202" i="1"/>
  <c r="G213" i="1"/>
  <c r="Q213" i="1"/>
  <c r="J699" i="3"/>
  <c r="J726" i="3"/>
  <c r="J678" i="3"/>
  <c r="G110" i="2"/>
  <c r="G111" i="2"/>
  <c r="G112" i="2"/>
  <c r="G113" i="2"/>
  <c r="G114" i="2"/>
  <c r="G115" i="2"/>
  <c r="E117" i="2"/>
  <c r="G117" i="2"/>
  <c r="G122" i="2"/>
  <c r="G123" i="2"/>
  <c r="G124" i="2"/>
  <c r="G125" i="2"/>
  <c r="G126" i="2"/>
  <c r="E128" i="2"/>
  <c r="G128" i="2"/>
  <c r="E134" i="2"/>
  <c r="G134" i="2"/>
  <c r="G139" i="2"/>
  <c r="G140" i="2"/>
  <c r="G141" i="2"/>
  <c r="G142" i="2"/>
  <c r="G143" i="2"/>
  <c r="G144" i="2"/>
  <c r="G145" i="2"/>
  <c r="G146" i="2"/>
  <c r="G147" i="2"/>
  <c r="G148" i="2"/>
  <c r="G149" i="2"/>
  <c r="E151" i="2"/>
  <c r="G151" i="2"/>
  <c r="E318" i="1"/>
  <c r="E311" i="1"/>
  <c r="E300" i="1"/>
  <c r="J640" i="3"/>
  <c r="K597" i="3"/>
  <c r="J568" i="3"/>
  <c r="K568" i="3"/>
  <c r="E237" i="1"/>
  <c r="E254" i="1"/>
  <c r="J621" i="3"/>
  <c r="J597" i="3"/>
  <c r="E224" i="1"/>
  <c r="E247" i="1"/>
  <c r="G258" i="2"/>
  <c r="E231" i="2"/>
  <c r="E216" i="2"/>
  <c r="A45" i="1"/>
  <c r="P43" i="1"/>
  <c r="G43" i="1"/>
  <c r="E43" i="1"/>
  <c r="N42" i="1"/>
  <c r="E36" i="1"/>
  <c r="P35" i="1"/>
  <c r="N35" i="1"/>
  <c r="G33" i="1"/>
  <c r="G32" i="1"/>
  <c r="G36" i="1"/>
  <c r="P36" i="1"/>
  <c r="G28" i="1"/>
  <c r="E28" i="1"/>
  <c r="N27" i="1"/>
  <c r="P25" i="1"/>
  <c r="P24" i="1"/>
  <c r="P27" i="1"/>
  <c r="E20" i="1"/>
  <c r="N19" i="1"/>
  <c r="G18" i="1"/>
  <c r="P17" i="1"/>
  <c r="G17" i="1"/>
  <c r="P16" i="1"/>
  <c r="P19" i="1"/>
  <c r="G16" i="1"/>
  <c r="G20" i="1"/>
  <c r="P20" i="1"/>
  <c r="E11" i="1"/>
  <c r="E45" i="1"/>
  <c r="N10" i="1"/>
  <c r="G9" i="1"/>
  <c r="G8" i="1"/>
  <c r="G7" i="1"/>
  <c r="G6" i="1"/>
  <c r="P5" i="1"/>
  <c r="G5" i="1"/>
  <c r="P4" i="1"/>
  <c r="P10" i="1"/>
  <c r="G4" i="1"/>
  <c r="G11" i="1"/>
  <c r="E213" i="1"/>
  <c r="R180" i="1"/>
  <c r="E185" i="1"/>
  <c r="E159" i="1"/>
  <c r="G189" i="1"/>
  <c r="R179" i="1"/>
  <c r="R184" i="1"/>
  <c r="P184" i="1"/>
  <c r="A194" i="1"/>
  <c r="P158" i="1"/>
  <c r="R151" i="1"/>
  <c r="R158" i="1"/>
  <c r="G180" i="1"/>
  <c r="G181" i="1"/>
  <c r="G179" i="1"/>
  <c r="G185" i="1"/>
  <c r="R185" i="1"/>
  <c r="G157" i="1"/>
  <c r="G156" i="1"/>
  <c r="G155" i="1"/>
  <c r="G154" i="1"/>
  <c r="G153" i="1"/>
  <c r="G152" i="1"/>
  <c r="G151" i="1"/>
  <c r="E167" i="1"/>
  <c r="G164" i="1"/>
  <c r="G167" i="1"/>
  <c r="E197" i="2"/>
  <c r="G189" i="2"/>
  <c r="G190" i="2"/>
  <c r="G191" i="2"/>
  <c r="G192" i="2"/>
  <c r="G193" i="2"/>
  <c r="G194" i="2"/>
  <c r="G195" i="2"/>
  <c r="G183" i="2"/>
  <c r="G184" i="2"/>
  <c r="G185" i="2"/>
  <c r="G186" i="2"/>
  <c r="G187" i="2"/>
  <c r="G188" i="2"/>
  <c r="E177" i="2"/>
  <c r="G170" i="2"/>
  <c r="G171" i="2"/>
  <c r="G172" i="2"/>
  <c r="G173" i="2"/>
  <c r="G174" i="2"/>
  <c r="G175" i="2"/>
  <c r="G169" i="2"/>
  <c r="G177" i="2"/>
  <c r="E164" i="2"/>
  <c r="G158" i="2"/>
  <c r="G159" i="2"/>
  <c r="G160" i="2"/>
  <c r="G161" i="2"/>
  <c r="G162" i="2"/>
  <c r="G157" i="2"/>
  <c r="G164" i="2"/>
  <c r="J352" i="3"/>
  <c r="J327" i="3"/>
  <c r="I327" i="3"/>
  <c r="J293" i="3"/>
  <c r="J281" i="3"/>
  <c r="J262" i="3"/>
  <c r="J230" i="3"/>
  <c r="J217" i="3"/>
  <c r="J188" i="3"/>
  <c r="J159" i="3"/>
  <c r="J129" i="3"/>
  <c r="J99" i="3"/>
  <c r="J89" i="3"/>
  <c r="J69" i="3"/>
  <c r="J59" i="3"/>
  <c r="J30" i="3"/>
  <c r="E104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104" i="2"/>
  <c r="G79" i="2"/>
  <c r="E79" i="2"/>
  <c r="E73" i="2"/>
  <c r="G71" i="2"/>
  <c r="G70" i="2"/>
  <c r="G69" i="2"/>
  <c r="G68" i="2"/>
  <c r="G67" i="2"/>
  <c r="G66" i="2"/>
  <c r="G65" i="2"/>
  <c r="G64" i="2"/>
  <c r="G63" i="2"/>
  <c r="G62" i="2"/>
  <c r="G61" i="2"/>
  <c r="G73" i="2"/>
  <c r="E56" i="2"/>
  <c r="G54" i="2"/>
  <c r="G53" i="2"/>
  <c r="G52" i="2"/>
  <c r="G51" i="2"/>
  <c r="G50" i="2"/>
  <c r="G49" i="2"/>
  <c r="G48" i="2"/>
  <c r="G56" i="2"/>
  <c r="E42" i="2"/>
  <c r="G40" i="2"/>
  <c r="G39" i="2"/>
  <c r="G38" i="2"/>
  <c r="G37" i="2"/>
  <c r="G36" i="2"/>
  <c r="G35" i="2"/>
  <c r="G34" i="2"/>
  <c r="G33" i="2"/>
  <c r="G32" i="2"/>
  <c r="G31" i="2"/>
  <c r="G42" i="2"/>
  <c r="E26" i="2"/>
  <c r="G24" i="2"/>
  <c r="G23" i="2"/>
  <c r="G22" i="2"/>
  <c r="G21" i="2"/>
  <c r="G20" i="2"/>
  <c r="G19" i="2"/>
  <c r="G26" i="2"/>
  <c r="E14" i="2"/>
  <c r="G11" i="2"/>
  <c r="G10" i="2"/>
  <c r="G9" i="2"/>
  <c r="G8" i="2"/>
  <c r="G7" i="2"/>
  <c r="G6" i="2"/>
  <c r="G5" i="2"/>
  <c r="G14" i="2"/>
  <c r="G191" i="1"/>
  <c r="R191" i="1"/>
  <c r="E191" i="1"/>
  <c r="P190" i="1"/>
  <c r="E174" i="1"/>
  <c r="G172" i="1"/>
  <c r="G174" i="1"/>
  <c r="R174" i="1"/>
  <c r="E194" i="1"/>
  <c r="A141" i="1"/>
  <c r="G139" i="1"/>
  <c r="R139" i="1"/>
  <c r="E139" i="1"/>
  <c r="P138" i="1"/>
  <c r="G133" i="1"/>
  <c r="R133" i="1"/>
  <c r="E133" i="1"/>
  <c r="E126" i="1"/>
  <c r="P125" i="1"/>
  <c r="G124" i="1"/>
  <c r="G123" i="1"/>
  <c r="G122" i="1"/>
  <c r="G121" i="1"/>
  <c r="R120" i="1"/>
  <c r="R125" i="1"/>
  <c r="G120" i="1"/>
  <c r="G126" i="1"/>
  <c r="R126" i="1"/>
  <c r="E115" i="1"/>
  <c r="E141" i="1"/>
  <c r="P114" i="1"/>
  <c r="G113" i="1"/>
  <c r="G112" i="1"/>
  <c r="G111" i="1"/>
  <c r="G110" i="1"/>
  <c r="G109" i="1"/>
  <c r="R108" i="1"/>
  <c r="R114" i="1"/>
  <c r="G108" i="1"/>
  <c r="G115" i="1"/>
  <c r="R115" i="1"/>
  <c r="A99" i="1"/>
  <c r="E97" i="1"/>
  <c r="P96" i="1"/>
  <c r="G94" i="1"/>
  <c r="G97" i="1"/>
  <c r="R97" i="1"/>
  <c r="E90" i="1"/>
  <c r="P89" i="1"/>
  <c r="G88" i="1"/>
  <c r="R87" i="1"/>
  <c r="R89" i="1"/>
  <c r="G87" i="1"/>
  <c r="G90" i="1"/>
  <c r="R90" i="1"/>
  <c r="E83" i="1"/>
  <c r="P82" i="1"/>
  <c r="G80" i="1"/>
  <c r="G79" i="1"/>
  <c r="G83" i="1"/>
  <c r="R83" i="1"/>
  <c r="E75" i="1"/>
  <c r="R74" i="1"/>
  <c r="P74" i="1"/>
  <c r="G72" i="1"/>
  <c r="G71" i="1"/>
  <c r="G70" i="1"/>
  <c r="G69" i="1"/>
  <c r="G75" i="1"/>
  <c r="R75" i="1"/>
  <c r="E64" i="1"/>
  <c r="E99" i="1"/>
  <c r="P63" i="1"/>
  <c r="G62" i="1"/>
  <c r="G61" i="1"/>
  <c r="G60" i="1"/>
  <c r="G59" i="1"/>
  <c r="G58" i="1"/>
  <c r="G57" i="1"/>
  <c r="G56" i="1"/>
  <c r="G55" i="1"/>
  <c r="G54" i="1"/>
  <c r="R53" i="1"/>
  <c r="R63" i="1"/>
  <c r="G53" i="1"/>
  <c r="G64" i="1"/>
  <c r="R64" i="1"/>
  <c r="E321" i="1"/>
  <c r="Q236" i="1"/>
  <c r="Q237" i="1"/>
  <c r="G197" i="2"/>
  <c r="E257" i="1"/>
  <c r="P11" i="1"/>
  <c r="P28" i="1"/>
  <c r="G159" i="1"/>
  <c r="R159" i="1"/>
  <c r="R167" i="1"/>
  <c r="P596" i="1" l="1"/>
  <c r="E620" i="1"/>
  <c r="P618" i="1"/>
  <c r="G628" i="2"/>
  <c r="P603" i="1"/>
  <c r="P477" i="1"/>
  <c r="P536" i="1"/>
  <c r="G419" i="2"/>
  <c r="P424" i="1"/>
  <c r="P434" i="1"/>
  <c r="P412" i="1"/>
  <c r="G444" i="1"/>
  <c r="P444" i="1" s="1"/>
  <c r="E453" i="1"/>
  <c r="G349" i="1"/>
  <c r="G384" i="1"/>
  <c r="P384" i="1" s="1"/>
  <c r="E392" i="1"/>
  <c r="P3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tc={0562DE50-01A9-4B5D-BFA3-F5FCF338F956}</author>
    <author>tc={A6F8B222-A231-4AC6-B0D1-1CA10AD96116}</author>
    <author>tc={77663F28-F357-42A3-95C8-63A50A0D5DB7}</author>
    <author>Administración Poblado</author>
    <author>tc={30A2CD0F-FAE9-479F-9957-57BDAC6DE5E3}</author>
  </authors>
  <commentList>
    <comment ref="R174" authorId="0" shapeId="0" xr:uid="{0562DE50-01A9-4B5D-BFA3-F5FCF338F9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OJO! Ya se le pago la comision en la liquidacion, se le paso el informe a Sara en el momento que santiago renuncio </t>
      </text>
    </comment>
    <comment ref="F339" authorId="1" shapeId="0" xr:uid="{A6F8B222-A231-4AC6-B0D1-1CA10AD9611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pagara el negocio normal  se le descontara $265,000 al asesor de estas comisiones</t>
      </text>
    </comment>
    <comment ref="P349" authorId="2" shapeId="0" xr:uid="{77663F28-F357-42A3-95C8-63A50A0D5D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descuenta 265,000 para asumir el pago de la comisionista
</t>
      </text>
    </comment>
    <comment ref="A588" authorId="3" shapeId="0" xr:uid="{00D09907-99B7-440A-A3CF-E1C13559FCF7}">
      <text>
        <r>
          <rPr>
            <sz val="11"/>
            <color theme="1"/>
            <rFont val="Calibri"/>
            <family val="2"/>
            <scheme val="minor"/>
          </rPr>
          <t xml:space="preserve">Administración Poblado:
20 captaciones de arrendamiento
</t>
        </r>
      </text>
    </comment>
    <comment ref="E621" authorId="4" shapeId="0" xr:uid="{30A2CD0F-FAE9-479F-9957-57BDAC6D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Negocios q suman internos y externos envigado pero son de POBLADO.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tc={653C489E-3BB5-429C-832B-781F728BF35D}</author>
    <author>tc={F5533C9E-9A06-43B0-9114-A5C9C2FABD3F}</author>
    <author>tc={9A3BE912-22AA-42BB-8A35-327DF3F8A029}</author>
    <author>tc={7C510E4C-1184-43B9-8A25-8724EAAC3897}</author>
    <author>tc={AE3309AD-BEF7-4F4B-8B11-43FA7BE8BF76}</author>
    <author>tc={77474130-06F0-4CC8-AD06-F292650C4AE0}</author>
    <author>Administración Poblado</author>
    <author>tc={BB2E825E-6F6D-4690-A91D-0A6DB2C74FF5}</author>
  </authors>
  <commentList>
    <comment ref="G276" authorId="0" shapeId="0" xr:uid="{653C489E-3BB5-429C-832B-781F728BF3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por portero</t>
      </text>
    </comment>
    <comment ref="G477" authorId="1" shapeId="0" xr:uid="{F5533C9E-9A06-43B0-9114-A5C9C2FABD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 paga comisión, el mes de Agosto se arrendo este inmueble y se le pago la comisión a la asesora, el cliente desistió y lo volvió arrendar este mes por el mismo valor sin cambios en el contrato de administración</t>
      </text>
    </comment>
    <comment ref="G547" authorId="2" shapeId="0" xr:uid="{9A3BE912-22AA-42BB-8A35-327DF3F8A0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suma  la meta 
</t>
      </text>
    </comment>
    <comment ref="G576" authorId="3" shapeId="0" xr:uid="{7C510E4C-1184-43B9-8A25-8724EAAC38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 informe de catalina fue enviado a luisa marin para el pago de las comisiones </t>
      </text>
    </comment>
    <comment ref="G628" authorId="4" shapeId="0" xr:uid="{AE3309AD-BEF7-4F4B-8B11-43FA7BE8BF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 informe de catalina fue enviado a luisa marin para el pago de las comisiones </t>
      </text>
    </comment>
    <comment ref="E648" authorId="5" shapeId="0" xr:uid="{77474130-06F0-4CC8-AD06-F292650C4AE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negocio lo deja cerrado Estefany el 31 de OCTUBRE, le pertenece en sus comisiones de noviembre.</t>
      </text>
    </comment>
    <comment ref="A652" authorId="6" shapeId="0" xr:uid="{187507EA-6EFC-4D74-AD6D-E0726F7CBB3B}">
      <text>
        <r>
          <rPr>
            <sz val="11"/>
            <color theme="1"/>
            <rFont val="Calibri"/>
            <family val="2"/>
            <scheme val="minor"/>
          </rPr>
          <t>Administración Poblado:
De ronald se cerraron 3 negocios:
BOSQUE DEL RIO 607 $3.600.000
GUAYACANES DE SAN DIEGO 1616 $1.900.000
METROPOLITAN 1220: $2.600.000</t>
        </r>
      </text>
    </comment>
    <comment ref="G684" authorId="7" shapeId="0" xr:uid="{BB2E825E-6F6D-4690-A91D-0A6DB2C74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 informe de catalina fue enviado a luisa marin para el pago de las comisiones </t>
      </text>
    </comment>
  </commentList>
</comments>
</file>

<file path=xl/sharedStrings.xml><?xml version="1.0" encoding="utf-8"?>
<sst xmlns="http://schemas.openxmlformats.org/spreadsheetml/2006/main" count="7175" uniqueCount="1275">
  <si>
    <t>INFORME ARRIENDOS ZONA POBLADO  - ENERO 2022</t>
  </si>
  <si>
    <t xml:space="preserve">ALEXANDER ARANGO </t>
  </si>
  <si>
    <t>POR CONSIGNACION</t>
  </si>
  <si>
    <t>CONSIGNACIONES</t>
  </si>
  <si>
    <t>CONTRATO</t>
  </si>
  <si>
    <t>% PROP</t>
  </si>
  <si>
    <t>INMUEBLE</t>
  </si>
  <si>
    <t xml:space="preserve"> CANON </t>
  </si>
  <si>
    <t>%</t>
  </si>
  <si>
    <t xml:space="preserve">COMISION </t>
  </si>
  <si>
    <t>ASESOR X CONSIG</t>
  </si>
  <si>
    <t>OBSERVACIONES</t>
  </si>
  <si>
    <t xml:space="preserve">EJECUTIVO </t>
  </si>
  <si>
    <t xml:space="preserve"> CANON</t>
  </si>
  <si>
    <t xml:space="preserve"> COMISION</t>
  </si>
  <si>
    <t>LUGO 1606 1.780.000</t>
  </si>
  <si>
    <t>ALEXANDER ARANGO</t>
  </si>
  <si>
    <t>CUARZO 2308</t>
  </si>
  <si>
    <t>CITTE 607</t>
  </si>
  <si>
    <t>MARIA PAULA LOPEZ</t>
  </si>
  <si>
    <t>PUERTO PARAISO 113</t>
  </si>
  <si>
    <t>VEGAS DEL POBLADO 625 2.200.000</t>
  </si>
  <si>
    <t>CALIFORNIA DEL POBLADO 505 1'800.000</t>
  </si>
  <si>
    <t>RINCONES DE SAN DIEGO 1004 1'800.000</t>
  </si>
  <si>
    <t>SANTIAGO COLORADO</t>
  </si>
  <si>
    <t>NATUZZI 205 2'050.000</t>
  </si>
  <si>
    <t>TOTAL</t>
  </si>
  <si>
    <t>TOTAL--------------------------------------&gt;</t>
  </si>
  <si>
    <t>TOTAL A PAGAR</t>
  </si>
  <si>
    <t>CANON</t>
  </si>
  <si>
    <t>PRISTIN 1105 1'100.000</t>
  </si>
  <si>
    <t>RECIBIMIENTO-SUBROGACION</t>
  </si>
  <si>
    <t>LINDA VILLA 431 1'950.000</t>
  </si>
  <si>
    <t>JHONATAN GUTIERREZ</t>
  </si>
  <si>
    <t>POR GRABAR</t>
  </si>
  <si>
    <t>SAN DIEGO CAMPESTRE 2202 1'550.000</t>
  </si>
  <si>
    <t>TIERRA GRATA PALMAS 1106 2'000.000</t>
  </si>
  <si>
    <t>SANTIAGO LOPEZ</t>
  </si>
  <si>
    <t>N/A</t>
  </si>
  <si>
    <t>LOCAL PORTADA CALLE 10 # 43D - 64 LOCAL 2</t>
  </si>
  <si>
    <t>PORTADA INMOBILIARIA</t>
  </si>
  <si>
    <t>ANDREA</t>
  </si>
  <si>
    <t>TOTAL FIRMADO</t>
  </si>
  <si>
    <t xml:space="preserve">DESISTIERON </t>
  </si>
  <si>
    <t xml:space="preserve">TOTAL  APROBADO EN PROCESO DE FIRMAS </t>
  </si>
  <si>
    <t>INFORME ARRIENDOS ZONA POBLADO  - FEBRERO 2022</t>
  </si>
  <si>
    <t>CITARK 1003 2'400.000                                                                                FACTURADO</t>
  </si>
  <si>
    <t>ALEXANDER</t>
  </si>
  <si>
    <t>URALES 401 2'100.000                                                                                 FACTURADO</t>
  </si>
  <si>
    <t>1O%</t>
  </si>
  <si>
    <t>PARQUE CENTRAL 1228 2'200.000  LMI12                                               FACTURADO</t>
  </si>
  <si>
    <t>RECIBIMIENTO</t>
  </si>
  <si>
    <t>TORRES DEL RIO 610 1'900.000                                                                  FACTURADO</t>
  </si>
  <si>
    <t>BELMONTE 508 1'500.000 LMI12                                                               FACTURADO</t>
  </si>
  <si>
    <t>CARLOS VALLEJO</t>
  </si>
  <si>
    <t>RIOBAMBA 505 1'850.000 LMI12                                                               FACTURADO</t>
  </si>
  <si>
    <t>CITARK 807 3'700.000                                                                                   FACTURADO</t>
  </si>
  <si>
    <t>CITARK 2404 2'400.000                                                                                 FACTURADO</t>
  </si>
  <si>
    <t>RIACHUELOS 1406 2'100.000 LMI 12                                                         FACTURADO</t>
  </si>
  <si>
    <t>SAN DIEGO CAMPESTRE 1106 1'400.000                                                  FACTURADO</t>
  </si>
  <si>
    <t>TWINS 405 4'000.000                                                                                    FACTURADO</t>
  </si>
  <si>
    <t>BOSQUES DE SAN DIEGO 611 1'100 EMPALME                                       FACTURADO</t>
  </si>
  <si>
    <t>EMPALME</t>
  </si>
  <si>
    <t>VALVANERA 706 1'650.000 LMI12                                                             FACTURADO</t>
  </si>
  <si>
    <t>MARIA PAULA</t>
  </si>
  <si>
    <t>PLATINUM SUPERIOR 909 2'100.000                                                        FACTURADO</t>
  </si>
  <si>
    <t>PLATINUM SUPERIOR 1108 2'100.000                                                      FACTURADO</t>
  </si>
  <si>
    <t>RIOBAMBA 805 2'100.000 DUDOSO</t>
  </si>
  <si>
    <t>PATIO BONITO 1801 3'300.000                                                                   FACTURADO</t>
  </si>
  <si>
    <t>IVON</t>
  </si>
  <si>
    <t>PUNTE JARDIN 202 2'600.000 LMI12                                                        FACTURADO</t>
  </si>
  <si>
    <t>MADERA SILVESTRE 1903</t>
  </si>
  <si>
    <t>ACUARELAS DE SAN DIEGO 609 1'500.000                                               FACTURADO</t>
  </si>
  <si>
    <t>JUAN URREA</t>
  </si>
  <si>
    <t>ATLANTIC 2504 3'600.000</t>
  </si>
  <si>
    <t>INFORME ARRIENDOS ZONA POBLADO  - MARZO 2022</t>
  </si>
  <si>
    <t>LA RIVIERE 508 2'800.000                                                                           FACTURADO</t>
  </si>
  <si>
    <t>EDIFICIO LA FLORIDA 303 3'300.000</t>
  </si>
  <si>
    <t>TRIGALES 1105 2'000.000                                                                           FACTURADO</t>
  </si>
  <si>
    <t>TORRES DEL FUTURO 711 2'200.000                                                        FACTURADO</t>
  </si>
  <si>
    <t>EL ENCIERRO 101 1'100.000                                                                       FACTURADO</t>
  </si>
  <si>
    <t>TIERRA GRATA PALMAS 2810 2'350.000                                                   FACTURADO</t>
  </si>
  <si>
    <t>VILLA JARDIN 409 2'000.000</t>
  </si>
  <si>
    <t>EDISON MONTOYA</t>
  </si>
  <si>
    <t>RIO BAMBA 805 2'100.000                                                                          FACTURADO</t>
  </si>
  <si>
    <t>OSLO EMPALME 1604  1'300.000                                                               FACTURADO</t>
  </si>
  <si>
    <t>VALVANERA 1006 1'700.000  SUBROGACION                                          FACTURADO</t>
  </si>
  <si>
    <t>SUBROGACION</t>
  </si>
  <si>
    <t>PLAZA DEL RIO 401 SUBROGACION 2'325.000                                         FACTURADO</t>
  </si>
  <si>
    <t>SERRANIA 519 1'350.000                                                                             FACTURADO</t>
  </si>
  <si>
    <t>INFORME ARRIENDOS ZONA POBLADO  - ABRIL 2022</t>
  </si>
  <si>
    <t xml:space="preserve">CONSIGNO </t>
  </si>
  <si>
    <t>PROVIDENCIA DE CASTROPOLO 826 2'200.000                                             FACTURADO</t>
  </si>
  <si>
    <t xml:space="preserve">ALEXANDER   </t>
  </si>
  <si>
    <t>VILLA CARLOTA 206 1'700.000                                                                   FACTURADO</t>
  </si>
  <si>
    <t>CITARK  1207  3'600.000                                                                                    FACTURADO</t>
  </si>
  <si>
    <t>LOS FUERTES 1089 1'700.0000                                                                         FACTURADO</t>
  </si>
  <si>
    <t>CITTE 601 2'000.000 SUBROGACION                                                               FACTURADO</t>
  </si>
  <si>
    <t>ENTREPALMAS DE SAN DIEGO 2405 1'700.000                                             FACTURADO</t>
  </si>
  <si>
    <t>CANTIZAL 508 1'900.000                                                                                   FACTURADO</t>
  </si>
  <si>
    <t>TORRES DE SAN DIEGO 508 2.000.000                                                            FACTURADO</t>
  </si>
  <si>
    <t>JULIAN SOLIS</t>
  </si>
  <si>
    <t>VANCOUVER  1001 3'100.000                                                                         FACTURADO</t>
  </si>
  <si>
    <t>BRAYAN</t>
  </si>
  <si>
    <t>VILLA CARLOTA 206 1'700.000</t>
  </si>
  <si>
    <t>CONTINENTAL 307 1'650.000                                                                     FACTURADO</t>
  </si>
  <si>
    <t>SANTIAGO</t>
  </si>
  <si>
    <t>BRAYAN AGUDELO</t>
  </si>
  <si>
    <t>BOSQUE DEL RIO 1411 3'000.000                                                             FACTURADO</t>
  </si>
  <si>
    <t>MOCACCINO 1605 2.400.000</t>
  </si>
  <si>
    <t>ARDILLEROS DE LA LINDE 403 2'400.000                                                 FACTURADO</t>
  </si>
  <si>
    <t>BOSQUES DEL RIO 2301 2'500.00</t>
  </si>
  <si>
    <t>BOSQUE DEL RIO 711 3'000.0000</t>
  </si>
  <si>
    <t>MANANTIAL DE SAN LUCAS 1202  1'848.350 EMPALME                       FACTURADO</t>
  </si>
  <si>
    <t>INFORME ARRIENDOS ZONA POBLADO  - MAYO 2022</t>
  </si>
  <si>
    <t xml:space="preserve">% PROPIETARIO </t>
  </si>
  <si>
    <t>CONSIGNO</t>
  </si>
  <si>
    <t>FACTURADO</t>
  </si>
  <si>
    <t>ADMON</t>
  </si>
  <si>
    <t>INVENTARIO</t>
  </si>
  <si>
    <t>COMISION</t>
  </si>
  <si>
    <t>20+3</t>
  </si>
  <si>
    <t>SUB PORTAL DE SAN DIEGO 502 1.400.000</t>
  </si>
  <si>
    <t>PORTADA</t>
  </si>
  <si>
    <t>CATALINA</t>
  </si>
  <si>
    <t>OK</t>
  </si>
  <si>
    <t>PARQUE CENTRAL DEL RIO 2001  2.600.000</t>
  </si>
  <si>
    <t>BOSQUES DEL GUAMAL 214  2.400.000</t>
  </si>
  <si>
    <t xml:space="preserve">FLORESTA 80 A 12 900.000                                                            </t>
  </si>
  <si>
    <t>BOSQUE SANTO 1402 2.500.000</t>
  </si>
  <si>
    <t>SAN FRANCISCO 201 2.600.000</t>
  </si>
  <si>
    <t>ALEJANDRO BEDOYA</t>
  </si>
  <si>
    <t xml:space="preserve">PROPIETARIA </t>
  </si>
  <si>
    <t>CITARK 609 5.615.000</t>
  </si>
  <si>
    <t>JUAN PABLO VILLA</t>
  </si>
  <si>
    <t>TORRES DE CASTROPOL 101 3.100.000</t>
  </si>
  <si>
    <t>PROPIETARIA ok</t>
  </si>
  <si>
    <t>JACARANDAS 1117 5.000.000</t>
  </si>
  <si>
    <t>DARIEN</t>
  </si>
  <si>
    <t>OBRA 19  601 4.000.000</t>
  </si>
  <si>
    <t>CARBONEROS 602 1.800.000</t>
  </si>
  <si>
    <t xml:space="preserve">DESISTE LO VAN OPERAR </t>
  </si>
  <si>
    <t>TIERRA GRATA 3008  2.600.000</t>
  </si>
  <si>
    <t>NEGADOS</t>
  </si>
  <si>
    <t>POBLADO DE SANDIEGO 909 2.700.000</t>
  </si>
  <si>
    <t>5+3</t>
  </si>
  <si>
    <t>TIERRA GRATA 3008 2.700.000</t>
  </si>
  <si>
    <t>VELEROS DEL ESTE 2101 2.300.000</t>
  </si>
  <si>
    <t>PROVIDENCIA DE CASTROPOL 119 2.300.000</t>
  </si>
  <si>
    <t>DAVID</t>
  </si>
  <si>
    <t>TIERRA DULCE 202 2.000.000</t>
  </si>
  <si>
    <t>PROP</t>
  </si>
  <si>
    <t>BALUARTE DE SAN DIEGO 1.800.000</t>
  </si>
  <si>
    <t>UBICACION</t>
  </si>
  <si>
    <t>EMPALME MANANTIALES DE SAN LUCAS 1101 1.950.000</t>
  </si>
  <si>
    <t>PROPIETARIA</t>
  </si>
  <si>
    <t xml:space="preserve">BALUARTE 1004- 2.900.000	 </t>
  </si>
  <si>
    <t xml:space="preserve">AVIVA 1422 - 2.400.000	</t>
  </si>
  <si>
    <t>BOSQUE DEL RIO 1312 4.000.000</t>
  </si>
  <si>
    <t xml:space="preserve">AURA 2202 - 1.900.000	</t>
  </si>
  <si>
    <t>SANTORINI 1203 3.700.000</t>
  </si>
  <si>
    <t>TULIPANES DE SANTA MARIA  502 3.500.000</t>
  </si>
  <si>
    <t>QUARTIER  1007 3.400.000</t>
  </si>
  <si>
    <t>DAVID VASQUEZ</t>
  </si>
  <si>
    <t>3+1</t>
  </si>
  <si>
    <t>GUAYACANES DE SAN DIEGO 904 1.600.000</t>
  </si>
  <si>
    <t>reubicarlo desiste por acabas</t>
  </si>
  <si>
    <t>cliente desiste por trasnporte</t>
  </si>
  <si>
    <t>RIVIERE 1006 2.898.000</t>
  </si>
  <si>
    <t>TOTAL EN ESTUDIO</t>
  </si>
  <si>
    <t>SECTOR</t>
  </si>
  <si>
    <t>CAPTACIONES</t>
  </si>
  <si>
    <t>ARRIENDOS ($)</t>
  </si>
  <si>
    <t xml:space="preserve">TOTAL INMUEBLES ARRENDADOS </t>
  </si>
  <si>
    <t>POBLADO</t>
  </si>
  <si>
    <t>OTRAS ZONAS</t>
  </si>
  <si>
    <t xml:space="preserve">TOTAL </t>
  </si>
  <si>
    <t>INFORME ARRIENDOS ZONA POBLADO  -JUNIO 2022</t>
  </si>
  <si>
    <t>EMPALME SAINT PIERRE 1605 4.200.000</t>
  </si>
  <si>
    <t>PROPIETARIA OK</t>
  </si>
  <si>
    <t>CITARK 1010 3.550.000</t>
  </si>
  <si>
    <t>NOVECENTO 1801 3.900.000</t>
  </si>
  <si>
    <t>PROPIETARIO OK</t>
  </si>
  <si>
    <t>CALLE 1B 53 32 AP 301 CRISTO REY - 1.450.000</t>
  </si>
  <si>
    <t>RIVIERE 708 3.200.000</t>
  </si>
  <si>
    <t xml:space="preserve">14282	</t>
  </si>
  <si>
    <t>CALLE1B 53 32 CRITO REY - 1.800.000</t>
  </si>
  <si>
    <t>BOSQUE SANTO 2913 3.700.000</t>
  </si>
  <si>
    <t>BOSQUE DE AVIGNON 216 3.000.000</t>
  </si>
  <si>
    <t xml:space="preserve">SUB CANTIZAL 1310 2.300.000 </t>
  </si>
  <si>
    <t>ESTEFANIA</t>
  </si>
  <si>
    <t>PLAZA DEL RIO 918 3.100.000</t>
  </si>
  <si>
    <t>VELEROS DEL ESTE 2512 2.500.000</t>
  </si>
  <si>
    <t>RESERVA DEL RIO 913 3.700.000</t>
  </si>
  <si>
    <t>propietaria ya tenia proceso con amigo</t>
  </si>
  <si>
    <t>CARBONEROS 902 1.700.000</t>
  </si>
  <si>
    <t>propietaria firmo con otro cliente le ofrecion mas dinero</t>
  </si>
  <si>
    <t>LA VALVANERA 507 1.700.000</t>
  </si>
  <si>
    <t>hermana de prop lo arrendo por otro lado</t>
  </si>
  <si>
    <t>GABRIEL LOPERA</t>
  </si>
  <si>
    <t>CALIFORNIA 111 1.800.000</t>
  </si>
  <si>
    <t>BOSQUE DEL RIO 2714</t>
  </si>
  <si>
    <t>GABRIEL</t>
  </si>
  <si>
    <t xml:space="preserve">PROPIETARIO </t>
  </si>
  <si>
    <t>NUEVA ALEJANDRIA 403 2.250.000</t>
  </si>
  <si>
    <t>POBLADO SAN DIEGO 1007 3.100.000</t>
  </si>
  <si>
    <t>SAN GIORGIO  103 3.100.000</t>
  </si>
  <si>
    <t>INQUILINO A  6 MESES PROP NO ACEPTA</t>
  </si>
  <si>
    <t>MOMPOX 103 2.600.000</t>
  </si>
  <si>
    <t>11+3</t>
  </si>
  <si>
    <t>PORTAL DE SAN DIEGO 406 1.500.000</t>
  </si>
  <si>
    <t>VICTOR</t>
  </si>
  <si>
    <t>WE NEW HOME 502 5.300.000</t>
  </si>
  <si>
    <t>DUQUESA 1305 2.600.000</t>
  </si>
  <si>
    <t xml:space="preserve">DAVID </t>
  </si>
  <si>
    <t>INQUI SOLICITO 6 MESE PROP DIJO Q NO</t>
  </si>
  <si>
    <t>LALIK 202 5.500.000</t>
  </si>
  <si>
    <t>PROP QUERIA OTRO CONTRATO COMO BIEN RAIZ</t>
  </si>
  <si>
    <t>LA RIVIERE 1326 2.200.000</t>
  </si>
  <si>
    <t>LUISA</t>
  </si>
  <si>
    <t xml:space="preserve">14220	</t>
  </si>
  <si>
    <t xml:space="preserve">LA RIVIERE 1326 2.200.000	</t>
  </si>
  <si>
    <t>maria paula</t>
  </si>
  <si>
    <t>INFORME ARRIENDOS ZONA POBLADO  - JULIO 2022</t>
  </si>
  <si>
    <t xml:space="preserve">BOSQUES DEL GUAMAL 713 2.500.000                                                 FACTURADO </t>
  </si>
  <si>
    <t xml:space="preserve">VILLA DEL CAMPO 816 </t>
  </si>
  <si>
    <t xml:space="preserve">RIO BAMBA 265 5.300.0000                                                                     FACTURADO   </t>
  </si>
  <si>
    <t>CLIENTE PORTERO</t>
  </si>
  <si>
    <t>OCEANA 1902</t>
  </si>
  <si>
    <t>CERATTO 2808 2.800.000                                                                          FACTURADO</t>
  </si>
  <si>
    <t xml:space="preserve">CARBONEROS 806 2'000.0000                                                             </t>
  </si>
  <si>
    <t>43 AVENIDA 1102 3.500.000                                                                    FACTURADO</t>
  </si>
  <si>
    <t>ROMANZA DE LA ABADIA AP 305</t>
  </si>
  <si>
    <t>GUAYACANES DE SAN DIEGO 519 1'650.000                                         FACTURADO</t>
  </si>
  <si>
    <t>CALIFORNIA 209 1'700.000                                                                       FACTURADO</t>
  </si>
  <si>
    <t>TIERRA GRATA PALMAS 2516 3'250.000                                                 FACTURADO</t>
  </si>
  <si>
    <t>ACQUAVELLA 804 3.500.000                                                                    FACTURADO</t>
  </si>
  <si>
    <t>ALEJANDRO</t>
  </si>
  <si>
    <t>CARBONEROS 906 2'000.000                                                                   FACTURADO</t>
  </si>
  <si>
    <t>BALUARTE DE SAN DIEGO 2'600.000                                                       FACTURADO</t>
  </si>
  <si>
    <t>BOSQUE DEL RIO 3108 2.600.000                                                           FACTURADO</t>
  </si>
  <si>
    <t xml:space="preserve">METROPOLITAN 1726 2.950.000                                                       </t>
  </si>
  <si>
    <t>METROPOLITAN 1323  2.600.000                                                            FACTURADO</t>
  </si>
  <si>
    <t>VANESA</t>
  </si>
  <si>
    <t xml:space="preserve">METROPOLITAN 1924 2'500.000                                                     </t>
  </si>
  <si>
    <t>METROPOLITAN  1921 2'500.000                                                            FACTURADO</t>
  </si>
  <si>
    <t>MESETAS DE SAN DIEGO 501 1'500.000                                                 FACTURADO</t>
  </si>
  <si>
    <t>JUAN CAMILO</t>
  </si>
  <si>
    <t>METROPOLITAN 2024 2'600.000                                                             FACTURADO</t>
  </si>
  <si>
    <t>METROPOLITAN 1026 3'000.000                                                            FACTURADO</t>
  </si>
  <si>
    <t>METROPOLITAN 1230 3'000.000                                                             FACTURADO</t>
  </si>
  <si>
    <t>METROPOLITAN 1026 3'000.000</t>
  </si>
  <si>
    <t>BOSQUE DEL RIO 3004  4'300.000</t>
  </si>
  <si>
    <t>TIERRA GRATA  3.250.000</t>
  </si>
  <si>
    <t>METROPOLITAN 1726 2.950.000                                                            FACTURADO</t>
  </si>
  <si>
    <t>GUADUAL 1008 2'100.000</t>
  </si>
  <si>
    <t>TORRE IBIZA 803 4'000.000                                                                     FACTURADO</t>
  </si>
  <si>
    <t>METROPOLITAN 1924 2'500.000                                                            FACTURADO</t>
  </si>
  <si>
    <t>CARBONEROS 806 2'000.0000                                                                 FACTURADO</t>
  </si>
  <si>
    <t xml:space="preserve">MESETAS DE SAN DIEGO 501 1'500.000                                              </t>
  </si>
  <si>
    <t>GUADUAL 1008 2'100.000                                                                       FACTURADO</t>
  </si>
  <si>
    <t>BOSQUES AVIGÑON 417 3'000.000</t>
  </si>
  <si>
    <t>GUADUAL 1008 2'000.000</t>
  </si>
  <si>
    <t>SANDIEGO CAMPESTRE 412 1'250.000                                                  FACTURADO</t>
  </si>
  <si>
    <t>INFORME ARRIENDOS ZONA POBLADO  - AGOSTO 2022</t>
  </si>
  <si>
    <t>LA RIVIERE 1607 4'000.000                                                                      FACTURADO</t>
  </si>
  <si>
    <t>BALUARTE DE SAN DIEGO 31 19 2'100.000</t>
  </si>
  <si>
    <t>METROPOLITAN 2132 3'200.000                                                             FACTURADO</t>
  </si>
  <si>
    <t>CARBONEROS 403 2'200.000                                                                    FACTURADO</t>
  </si>
  <si>
    <t>POMAR 2 AP 102 1'900.000                                                                     FACTURADO</t>
  </si>
  <si>
    <t>VELEROS DEL ESTE 706 3'000.000                                                           FACTURADO</t>
  </si>
  <si>
    <t>TORRES DEL RIO 1404 2'900.000                                                             FACTURADO</t>
  </si>
  <si>
    <t>VELEROS DEL ESTE 208 2'500.000                                                            FACTURADO</t>
  </si>
  <si>
    <t>TORRES DEL RIO 1809 2'550.000                                                             FACTURADO</t>
  </si>
  <si>
    <t>TORRES DEL RIO 804 2'500.000                                                                FACTURADO</t>
  </si>
  <si>
    <t>CLIENTE X PORTERO</t>
  </si>
  <si>
    <t>BOSQUE SANTO 1106 3'000.000</t>
  </si>
  <si>
    <t>BOSQUE SANTO 1503  2'400.0000</t>
  </si>
  <si>
    <t>CANTAPIEDRA 807 3'000.000                                                                 FACTURADO</t>
  </si>
  <si>
    <t xml:space="preserve">VELEROS DEL ESTE 706 3'000.000                                      </t>
  </si>
  <si>
    <t>BOSQUES DE SAN DIEGO 1111 1'400.0000                                          FACTURADO</t>
  </si>
  <si>
    <t>TORRE IBIZA 303 4'200.000                                                                     FACTURAOD</t>
  </si>
  <si>
    <t>METROPOLITAN 1536 2'900.000                                                            FACTURADO</t>
  </si>
  <si>
    <t>METROPOLITAN 1829 3'000.000</t>
  </si>
  <si>
    <t>PORTAL DE SAN DIEGO 601 1'400.000                                                   FACTURADO</t>
  </si>
  <si>
    <t xml:space="preserve">TORRE IBIZA 303 4'200.000                                    </t>
  </si>
  <si>
    <t>EDIFICIO SAN ESTEBAN 1204 3'000.000                                                FACTURADO</t>
  </si>
  <si>
    <t xml:space="preserve">BALUARTE DE SAN DIEGO 31 19 2'100.000                                          FACTURADO </t>
  </si>
  <si>
    <t>GUAYACANES DE SAN DIEGO 413</t>
  </si>
  <si>
    <t>NEGADO</t>
  </si>
  <si>
    <t>METROPOLITAN 2224 2'800.000</t>
  </si>
  <si>
    <t>BALCONES DE CASTROPOL 501  4'000.0000                                        FACTURADO</t>
  </si>
  <si>
    <t>JUAN</t>
  </si>
  <si>
    <t>PORTON DE LA VEGA 807 2.000.000                                                     FACTURADO</t>
  </si>
  <si>
    <t>METROPOLITAN 1830 3'100.000                                                            FACTURADO</t>
  </si>
  <si>
    <t>PORTON DE LA VEGA  807 1'800.000 PARA AGOSTO</t>
  </si>
  <si>
    <t>CITTE 1801 2'300.000                                                                               FACTURADO</t>
  </si>
  <si>
    <t>INFORME ARRIENDOS ZONA POBLADO  - SEPTIEMBRE 2022</t>
  </si>
  <si>
    <t>15+3</t>
  </si>
  <si>
    <t>BOSQUE SANTO 1503  2'400.0000                                                           FACTURADO</t>
  </si>
  <si>
    <t>CITARK 1404 3'300.000                                                                             FACTURADO</t>
  </si>
  <si>
    <t>RIO BAMBA 706 2800000                                                                          FACTURADO</t>
  </si>
  <si>
    <t>EDIFICIO MORENO JARA AP 302</t>
  </si>
  <si>
    <t>MALAWI 2203 3'600.000                                                                            FACTURADO</t>
  </si>
  <si>
    <t>PLAZA DEL RIO 1828  2'700.000                                                                FACTURADO</t>
  </si>
  <si>
    <t>TIERRA GRATA PALMAS 2506 2'500.000                                                  FACTURADO</t>
  </si>
  <si>
    <t>GUAYACANES DE SAN DIEGO 413 2'200.000                                          FACTURADO</t>
  </si>
  <si>
    <t>SANDIEGO CAMPESTRE 501 1'550.000                                                   FACTURADO</t>
  </si>
  <si>
    <t>GRUTA DEL POBLADO AP 406 2'750.000                                                FACTURADO</t>
  </si>
  <si>
    <t>CITTE 1203 3'340.000                                                                                FACTURADO</t>
  </si>
  <si>
    <t>CITARK 1507 4'200.000</t>
  </si>
  <si>
    <t>LA RIVIERE 4'000.000</t>
  </si>
  <si>
    <t>METROPOLITAN 726 3'121.000                                                               FACTURADO</t>
  </si>
  <si>
    <t>BOSQUE DEL RIO 1908 2'700.000                                                           FACTURADO</t>
  </si>
  <si>
    <t>RESERVA DE SAN DIEGO 701 1'200.000                                                 FACTURADO</t>
  </si>
  <si>
    <t>METROPOLITAN 1919 3'000.000                                                             FACTURADO</t>
  </si>
  <si>
    <t>ALTOS DEL POBLADO 903 2'000.000                                                       FACTURADO</t>
  </si>
  <si>
    <t xml:space="preserve">MAJAGUA VITAL 1518 </t>
  </si>
  <si>
    <t>SANDIEGO CAMPESTRE 2202 1'600.000                                                FACTURADO</t>
  </si>
  <si>
    <t>METROPOLITAN 1435 3'100.000                                                             FACTURADO</t>
  </si>
  <si>
    <t>SANDIEGO CAMPESTRE 1106 1'500.000                                                FACTURADO</t>
  </si>
  <si>
    <t>BOSQUE DEL RIO 1209 3'200.000                                                           FACTURADO</t>
  </si>
  <si>
    <t>BOSQUE DEL RIO 1809 3'000.000                                                           FACTURADO</t>
  </si>
  <si>
    <t xml:space="preserve">CARLOS </t>
  </si>
  <si>
    <t>METROPOLITAN 1821  2'700.000                                                            FACTURADO</t>
  </si>
  <si>
    <t>METROPOLITAN 2023 2'800.000                                                             FACTURADO</t>
  </si>
  <si>
    <t>BOSQUE DEL RIO 1902  3'400.000                                                           FACTURADO</t>
  </si>
  <si>
    <t>5+2</t>
  </si>
  <si>
    <t>GAUDI 506 2'500.000                                                                                FACTURADO</t>
  </si>
  <si>
    <t>SAN MARCOS 801 2'600.000                                                                    FACTURADO</t>
  </si>
  <si>
    <t>LONDON 4'500.0000</t>
  </si>
  <si>
    <t>INFORME ARRIENDOS ZONA POBLADO  - OCTUBRE 2022</t>
  </si>
  <si>
    <t xml:space="preserve">VALVANERA 705 2'100.000                                                                         FACTURADO </t>
  </si>
  <si>
    <t>CITTE 412 2'400.000                                                                                  FACTURADO</t>
  </si>
  <si>
    <t>LA RIVIERE 2106 4'300.000                                                                       FACTURADO</t>
  </si>
  <si>
    <t>METROPOLITAN 2021 2'800.000                                                             FACTURADO</t>
  </si>
  <si>
    <t>BOSQUES DE SAN DIEGO 104 1'200.000                                                FACTURADO</t>
  </si>
  <si>
    <t>TIERRA GRATA PALMAS 1915 2'600.000                                                FACTURADO</t>
  </si>
  <si>
    <t xml:space="preserve">METROPOLITAN 729 3'150.000                                                               FACTURADO </t>
  </si>
  <si>
    <t>METROPOLITAN 2220 3'000.000                                                             FACTURADO</t>
  </si>
  <si>
    <t>TIERRA DULCE 201 2'300.000                                                                  FACTURADO</t>
  </si>
  <si>
    <t>CATAY 512 6'500.000                                                                                 FACTURADO</t>
  </si>
  <si>
    <t>CANTIZAL 701 2'500.0000                                                                        FACTURADO</t>
  </si>
  <si>
    <t xml:space="preserve">METROPOLITAN 2035 </t>
  </si>
  <si>
    <t xml:space="preserve">CATAY 512 6'500.000                                                                       </t>
  </si>
  <si>
    <t xml:space="preserve">MATEO </t>
  </si>
  <si>
    <t>INFORME ARRIENDOS ZONA POBLADO  - NOVIEMBRE 2022</t>
  </si>
  <si>
    <t>POBLADO DE SAN DIEGO 1203 EMPALME - 2.400.000- ALEX</t>
  </si>
  <si>
    <t>GUAYACANES DE SAN DIEGO 1616 - 1.900.000 - GABRIEL</t>
  </si>
  <si>
    <t>FONT 508 - 4.000.000 - ALEXANDER CLIENTE PORTERO</t>
  </si>
  <si>
    <t>GUAYACANES DE SAN DIEGO 501 - 1.750.000 ALEX</t>
  </si>
  <si>
    <t>BALUARTE DE SAN DIEGO 31 19 - 2.200.000 - ALEX</t>
  </si>
  <si>
    <t>MANUELA</t>
  </si>
  <si>
    <t>BOSQUE DEL RIO 607 3'600.000 - CATALINA</t>
  </si>
  <si>
    <t>RIACHUELOS 1406 EMPALME - 2.300.000 - ALEX</t>
  </si>
  <si>
    <t>METROPOLITAN 1220 - 2.600.000 GABRIEL</t>
  </si>
  <si>
    <t>BOSQUE DEL RIO 607 3'700.000 - CATALINA</t>
  </si>
  <si>
    <t>METROPOLITAN 1229 - 3.300.00 - GABRIEL</t>
  </si>
  <si>
    <t>METROPOLITAN 1924 EMPALME - 2.500.000 - GABRIEL</t>
  </si>
  <si>
    <t>BOSQUES DEL RIO 1509 - 3.200.000 - GABRIEL</t>
  </si>
  <si>
    <t>JUAN CAMILO ARROYAVE</t>
  </si>
  <si>
    <t>MATEO CARDONA</t>
  </si>
  <si>
    <t>10 +1</t>
  </si>
  <si>
    <t>GUAYACANES DE SAN DIEGO 1604 - 1.700.000 - MATEO</t>
  </si>
  <si>
    <t>BOSQUES DE SAN DIEGO 406 - 1.430.000 - MATEO</t>
  </si>
  <si>
    <t>PENDI # CTO</t>
  </si>
  <si>
    <t>TIERRA GRATA BOSQUE SANTO 2415 - 3.000.000</t>
  </si>
  <si>
    <t>NILO 401 - 4.300.000 - CAROLINA PARRA - ALEJANDRO BEDOYA</t>
  </si>
  <si>
    <t>CAMPIÑA DE SAN LUCAS 505 - 3.100.000 -ESTEFANIA ROMERO -  ALEJANDRO BEDOYA</t>
  </si>
  <si>
    <t>TOTAL FIRMADO SEDE POBLADO</t>
  </si>
  <si>
    <t>ENERO 2022</t>
  </si>
  <si>
    <t xml:space="preserve">ENERO  2022 - ANDREA ARISTIZABAL </t>
  </si>
  <si>
    <t># CONTRATO</t>
  </si>
  <si>
    <t>PROPIETARIO</t>
  </si>
  <si>
    <t>GUADARRAMA 526</t>
  </si>
  <si>
    <t>NEGOCIOS REALIZADOS EN LAURELES, SE RELACIONAN PARA EL PAGO DE LAS COMISIONES</t>
  </si>
  <si>
    <t>ZAPZURRO 202</t>
  </si>
  <si>
    <t>CR 84 35 62 INT 301 LAURELES</t>
  </si>
  <si>
    <t>TOTAL-----------------------------------&gt;</t>
  </si>
  <si>
    <t>ENERO 2022  -  CATALINA ATEHORTUA</t>
  </si>
  <si>
    <t>CONSOLIDADO POBLADO DICIEMBRE 2021 - RONALD MENDEZ</t>
  </si>
  <si>
    <t>RONALD</t>
  </si>
  <si>
    <t>FEBRERO 2022</t>
  </si>
  <si>
    <t xml:space="preserve">FEBRERO  2022 - ANDREA ARISTIZABAL </t>
  </si>
  <si>
    <t>CLIENTE POR PORTERO</t>
  </si>
  <si>
    <t>PARQUE CENTRAL 1228 2'200.000 LMI12</t>
  </si>
  <si>
    <t>TWINS 405 4'000.000</t>
  </si>
  <si>
    <t>FEBRERO 2022  -  CATALINA ATEHORTUA</t>
  </si>
  <si>
    <t>CITARK 1003 2'400.000</t>
  </si>
  <si>
    <t>TORRES DEL RIO 610 1'900.000</t>
  </si>
  <si>
    <t>ACUARELAS DE SAN DIEGO 609 1'500.000</t>
  </si>
  <si>
    <t>FEBRERO 2021  -  PORTADA INMOBILIARIA</t>
  </si>
  <si>
    <t>MARZO 2022</t>
  </si>
  <si>
    <t xml:space="preserve">MARZO  2022 - ANDREA ARISTIZABAL </t>
  </si>
  <si>
    <t>MARZO 2022  -  CATALINA ATEHORTUA</t>
  </si>
  <si>
    <t>MARZO 2022  -  PORTADA INMOBILIARIA</t>
  </si>
  <si>
    <t>CONSOLIDADO POBLADO MARZO 2022 - RONALD MENDEZ</t>
  </si>
  <si>
    <t>ABRIL 2022</t>
  </si>
  <si>
    <t>ABRIL 2022 - CATALINA</t>
  </si>
  <si>
    <t>PROVIDENCIA DE CASTROPOLO 826 2'200.000                                        FACTURADO</t>
  </si>
  <si>
    <t>CITARK  1207  3'600.000                                                                               FACTURADO</t>
  </si>
  <si>
    <t>LOS FUERTES 1089 1'700.0000                                                                    FACTURADO</t>
  </si>
  <si>
    <t>VANCOUVER  1001 3'100.000                                                                     FACTURADO</t>
  </si>
  <si>
    <t>BOSQUE DEL RIO 1411 3'000.000                                                              FACTURADO</t>
  </si>
  <si>
    <t>ABRIL 2022 - ANDREA</t>
  </si>
  <si>
    <t>CITTE 601 2'000.000 SUBROGACION                                                          FACTURADO</t>
  </si>
  <si>
    <t>ENTREPALMAS DE SAN DIEGO 1'700.000                                                  FACTURADO</t>
  </si>
  <si>
    <t>CANTIZAL 508 1'900.000                                                                              FACTURADO</t>
  </si>
  <si>
    <t>TORRES DE SAN DIEGO 508 2'000.000                                                      FACTURADO</t>
  </si>
  <si>
    <t>CONSOLIDADO POBLADO ABRIL 2022-  RONALD</t>
  </si>
  <si>
    <t xml:space="preserve">PROVIDENCIA DE CASTROPOLO 826 2'200.000                                         </t>
  </si>
  <si>
    <t xml:space="preserve">CITARK  1207  3'600.000                                                                            </t>
  </si>
  <si>
    <t xml:space="preserve">LOS FUERTES 1089 1'700.0000                                                                </t>
  </si>
  <si>
    <t xml:space="preserve">VANCOUVER  1001 3'100.000                                                                   </t>
  </si>
  <si>
    <t xml:space="preserve">BOSQUE DEL RIO 1411 3'000.000                                                           </t>
  </si>
  <si>
    <t xml:space="preserve">MANANTIAL DE SAN LUCAS 1202  1'848.350 EMPALME                    </t>
  </si>
  <si>
    <t xml:space="preserve">CITTE 601 2'000.000 SUBROGACION                                                          </t>
  </si>
  <si>
    <t xml:space="preserve">ENTREPALMAS DE SAN DIEGO 1'700.000                                                  </t>
  </si>
  <si>
    <t xml:space="preserve">CANTIZAL 508 1'900.000                                                                             </t>
  </si>
  <si>
    <t xml:space="preserve">TORRES DE SAN DIEGO 508 2'000.000                                                 </t>
  </si>
  <si>
    <t xml:space="preserve">CONTINENTAL 307 1'650.000                                                              </t>
  </si>
  <si>
    <t xml:space="preserve">VILLA CARLOTA 206 1'700.000                                                                 </t>
  </si>
  <si>
    <t xml:space="preserve">ARDILLEROS DE LA LINDE 403 2'400.000                                                </t>
  </si>
  <si>
    <t>TOTAL A PAGAR ----&gt;</t>
  </si>
  <si>
    <t>MAYO 2022</t>
  </si>
  <si>
    <t>MAYO 2022 - CATALINA</t>
  </si>
  <si>
    <t>MAYO 2022 - DARIEN</t>
  </si>
  <si>
    <t>CONSOLIDADO POBLADO MAYO 2022-  CATHERINE</t>
  </si>
  <si>
    <t>CATHERINE</t>
  </si>
  <si>
    <t>JUNIO 2022</t>
  </si>
  <si>
    <t>JUNIO 2022 - CATALINA</t>
  </si>
  <si>
    <t>JUNIO 2022 - DARIEN</t>
  </si>
  <si>
    <t>JUNIO 2022 - ESTEFANIA</t>
  </si>
  <si>
    <t>JULIO 2022</t>
  </si>
  <si>
    <t>JULIO  2022 - DARIEN CIFUENTES</t>
  </si>
  <si>
    <t>CLIENTE COMISIONISTA</t>
  </si>
  <si>
    <t>METROPOLITAN 2024 2'600.000</t>
  </si>
  <si>
    <t>METROPOLITAN 1230 3'000.000</t>
  </si>
  <si>
    <t>JULIO 2022  -  ESTEFANIA JARAMILLO</t>
  </si>
  <si>
    <t>JULIO 2021  -  CATALINA ATEHORTUA</t>
  </si>
  <si>
    <t>JULIO 2021  -  PORTADA INMOBILIARIA</t>
  </si>
  <si>
    <t>CONSOLIDADO POBLADO JULIO 2021 - RONALD MENDEZ</t>
  </si>
  <si>
    <t xml:space="preserve">RONALD </t>
  </si>
  <si>
    <t>CATHE</t>
  </si>
  <si>
    <t>AGOSTO 2022</t>
  </si>
  <si>
    <t>AGOSTO  2022 - DARIEN CIFUENTES</t>
  </si>
  <si>
    <t>METROPOLITAN 1536 2'900.000</t>
  </si>
  <si>
    <t>AGOSTO 2022  -  ESTEFANIA JARAMILLO</t>
  </si>
  <si>
    <t>METROPOLITAN 1830 3'100.000</t>
  </si>
  <si>
    <t>GUAYACANES DE SAN DIEGO 413 2'200.000</t>
  </si>
  <si>
    <t>CARBONEROS 403 2'200.000</t>
  </si>
  <si>
    <t>AGOSTO 2022  -  CATALINA ATEHORTUA</t>
  </si>
  <si>
    <t>TORRES DEL RIO 804 2'500.000</t>
  </si>
  <si>
    <t>AGOSTO 2022  -  PORTADA INMOBILIARIA</t>
  </si>
  <si>
    <t>CONSOLIDADO POBLADO AGOSTO  2022 - RONALD MENDEZ</t>
  </si>
  <si>
    <t>SEPTIEMBRE 2022</t>
  </si>
  <si>
    <t>SEPTIEMBRE  2022 - ESTEFANIA JARAMILLO</t>
  </si>
  <si>
    <t>METROPOLITAN 1919 3'000.000</t>
  </si>
  <si>
    <t xml:space="preserve">GUAYACANES DE SAN DIEGO 413 2'200.000                                </t>
  </si>
  <si>
    <t>SEPTIEMBRE  2022 - DARIEN CIFUENTES</t>
  </si>
  <si>
    <t>CITTE 1203 3'340.000</t>
  </si>
  <si>
    <t>ALTOS DEL POBLADO 903 2'000.000                                                      FACTURADO</t>
  </si>
  <si>
    <t>SANDIEGO CAMPESTRE 1106 1'500.000                                               FACTURADO</t>
  </si>
  <si>
    <t>BOSQUE DEL RIO 1209 3'200.000                                                          FACTURADO</t>
  </si>
  <si>
    <t>BOSQUE DEL RIO 1809 3'000.000                                                          FACTURADO</t>
  </si>
  <si>
    <t>METROPOLITAN 1821  2'700.000                                                           FACTURADO</t>
  </si>
  <si>
    <t>GAUDI 506 2'500.000</t>
  </si>
  <si>
    <t>SAN MARCOS 801 2'600.000                                                                   FACTURADO</t>
  </si>
  <si>
    <t>BOSQUE DEL RIO 1902  3'400.000</t>
  </si>
  <si>
    <t>SEPTIEMBRE 2022  -  CATALINA ATEHORTUA</t>
  </si>
  <si>
    <t>SANDIEGO CAMPESTRE 501 1'550.000</t>
  </si>
  <si>
    <t>GRUTA DEL POBLADO AP 406 2'750.000</t>
  </si>
  <si>
    <t>METROPOLITAN 726 3'121.000                                                              FACTURADO</t>
  </si>
  <si>
    <t>RESERVA DE SAN DIEGO 701 1'200.000                                                FACTURADO</t>
  </si>
  <si>
    <t>METROPOLITAN 1435 3'100.000                                                            FACTURADO</t>
  </si>
  <si>
    <t>SEPTIEMBRE 2022  -  PORTADA INMOBILIARIA</t>
  </si>
  <si>
    <t>CONSOLIDADO POBLADO SEPTIEMBRE  2022 - RONALD MENDEZ</t>
  </si>
  <si>
    <t>OCTUBRE 2022</t>
  </si>
  <si>
    <t>OCTUBRE  2022 - DARIEN CIFUENTES</t>
  </si>
  <si>
    <t>OCTUBRE 2022  -  CATALINA ATEHORTUA</t>
  </si>
  <si>
    <t>OCTUBRE 2022  -  PORTADA INMOBILIARIA</t>
  </si>
  <si>
    <t>CONSOLIDADO POBLADO OCTUBRE  2022 - RONALD MENDEZ</t>
  </si>
  <si>
    <t>NOVIEMBRE 2022</t>
  </si>
  <si>
    <t>NOVIEMBRE  2022 - DARIEN CIFUENTES</t>
  </si>
  <si>
    <t>MONTIEL 2205 - 4.400.000 - JUAN PABLO VILLA</t>
  </si>
  <si>
    <t>CAMBIO DE ROLES</t>
  </si>
  <si>
    <t>PEND # CTO</t>
  </si>
  <si>
    <t>NOVIEMBRE 2022  -  MANUELA SANTA</t>
  </si>
  <si>
    <t>CONSOLIDADO POBLADO NOVIEMBRE  2022 - STEFANNY AGUDELO</t>
  </si>
  <si>
    <t>NILO 401 - 4.300.000 - CAROLINA - ALEJANDRO BEDOYA</t>
  </si>
  <si>
    <t xml:space="preserve">MADISON 601 EMPALME - 1.850.000                                          </t>
  </si>
  <si>
    <t>RONALD: $8.100.000</t>
  </si>
  <si>
    <t>DICIEMBRE 2022</t>
  </si>
  <si>
    <t>DICIEMBRE  2022 - DARIEN CIFUENTES</t>
  </si>
  <si>
    <t>EN FIRMAS</t>
  </si>
  <si>
    <t>MIRADOR DE SAN DIEGO 266 - 1.500.000</t>
  </si>
  <si>
    <t>CAMBIO INQUILINO</t>
  </si>
  <si>
    <t xml:space="preserve">TIERRA GRATA PALMAS 2611 - 2.450.000 </t>
  </si>
  <si>
    <t>VELEROS DEL ESTE 2406 - 3.200.000 - GABRIEL</t>
  </si>
  <si>
    <t>REFUGIO 203 -</t>
  </si>
  <si>
    <t>PRISTIN 1102 - 1.100.000 - GABRIEL</t>
  </si>
  <si>
    <t>LA RIVIERE 3'800.000 - MATEO</t>
  </si>
  <si>
    <t>APROBADO PENDIENTE REUBICAR</t>
  </si>
  <si>
    <t>DICIEMBRE 2022  -  MANUELA SANTA</t>
  </si>
  <si>
    <t>METROPOLITAN 1521 - 2.750.000 - GABRIEL</t>
  </si>
  <si>
    <t>CONSOLIDADO POBLADO   2022 - STEFANNY AGUDELO</t>
  </si>
  <si>
    <t>CAPTACIONES MES DE ENERO 2022</t>
  </si>
  <si>
    <t xml:space="preserve">FECHA </t>
  </si>
  <si>
    <t>TIPO</t>
  </si>
  <si>
    <t>APTO</t>
  </si>
  <si>
    <t xml:space="preserve">SECTOR </t>
  </si>
  <si>
    <t>VALOR</t>
  </si>
  <si>
    <t xml:space="preserve">PORTERO O DIRECTO </t>
  </si>
  <si>
    <t xml:space="preserve">AVISOS </t>
  </si>
  <si>
    <t xml:space="preserve">FOTOS </t>
  </si>
  <si>
    <t>#</t>
  </si>
  <si>
    <t>EJECUTIVO</t>
  </si>
  <si>
    <t xml:space="preserve">LLAVES </t>
  </si>
  <si>
    <t>20/01/2022</t>
  </si>
  <si>
    <t xml:space="preserve">APTO </t>
  </si>
  <si>
    <t>BOSQUES DE VIENA 515</t>
  </si>
  <si>
    <t>LOS BALSOS</t>
  </si>
  <si>
    <t>NOLBERTO</t>
  </si>
  <si>
    <t>SI</t>
  </si>
  <si>
    <t>CITA</t>
  </si>
  <si>
    <t>TORREON DE CASTROPOL</t>
  </si>
  <si>
    <t>CASTROPOL</t>
  </si>
  <si>
    <t xml:space="preserve">DIRECTO </t>
  </si>
  <si>
    <t>NO</t>
  </si>
  <si>
    <t xml:space="preserve">PORTERIA </t>
  </si>
  <si>
    <t>KAMELOT 703</t>
  </si>
  <si>
    <t>PRAOD DE SABANETA</t>
  </si>
  <si>
    <t xml:space="preserve">HENAO </t>
  </si>
  <si>
    <t>SERRANIA DE SAN DIEGO 415</t>
  </si>
  <si>
    <t>LOMA DEL INDIO</t>
  </si>
  <si>
    <t>OBALDO</t>
  </si>
  <si>
    <t>25/01/2022</t>
  </si>
  <si>
    <t>TULIPANES DE CASTROPOL 103</t>
  </si>
  <si>
    <t>STEFANY</t>
  </si>
  <si>
    <t>BALCONES DEL ANGEL 2107</t>
  </si>
  <si>
    <t>EL ROSARIO</t>
  </si>
  <si>
    <t>SAN DIEGO CAMPESTRE 2202</t>
  </si>
  <si>
    <t>GUERRA</t>
  </si>
  <si>
    <t>BOSQUES DE SAN DIEGO 9410</t>
  </si>
  <si>
    <t>GONZALO</t>
  </si>
  <si>
    <t>SAN DIEGO CAMPESTRE 306</t>
  </si>
  <si>
    <t>TIERRA GRATA PALMAS 1106</t>
  </si>
  <si>
    <t>FERNANDO</t>
  </si>
  <si>
    <t xml:space="preserve">LOCAL </t>
  </si>
  <si>
    <t>RIO SUR 705</t>
  </si>
  <si>
    <t>TIERRA GRATA PALMAS 2705</t>
  </si>
  <si>
    <t>BOSQUES DEL RIO 1804</t>
  </si>
  <si>
    <t xml:space="preserve">CIUDAD DEL RIO </t>
  </si>
  <si>
    <t>LEONARDO</t>
  </si>
  <si>
    <t>SAN DIEGO CAMPESTRE 1305</t>
  </si>
  <si>
    <t>GURRA</t>
  </si>
  <si>
    <t>LOCAL</t>
  </si>
  <si>
    <t>RIO SUR 401</t>
  </si>
  <si>
    <t>TIERRA GRATA PALMAS 2812</t>
  </si>
  <si>
    <t>BLASOS DEL CAMPESTRE 302</t>
  </si>
  <si>
    <t>CAMPESTRE</t>
  </si>
  <si>
    <t>JORGE</t>
  </si>
  <si>
    <t>ANDRA</t>
  </si>
  <si>
    <t>RIO SUR 403</t>
  </si>
  <si>
    <t>BOSQUES DE VIENA 601</t>
  </si>
  <si>
    <t>LA TOMATERA</t>
  </si>
  <si>
    <t>VICENZA 307</t>
  </si>
  <si>
    <t xml:space="preserve">CIUDADELA </t>
  </si>
  <si>
    <t>TIERRA GRATA PALMAS 3004</t>
  </si>
  <si>
    <t>TIERRA GRATA PALMAS 1008</t>
  </si>
  <si>
    <t>RIO SUR 415</t>
  </si>
  <si>
    <t>CERATTO 2002</t>
  </si>
  <si>
    <t>JULIETH</t>
  </si>
  <si>
    <t>CITTE 2609</t>
  </si>
  <si>
    <t>VARGAS</t>
  </si>
  <si>
    <t>CASTROPOL 402</t>
  </si>
  <si>
    <t>FERNANDEZ</t>
  </si>
  <si>
    <t>CALIFORNIA DEL POBLADO 505</t>
  </si>
  <si>
    <t>SAN JULIAN</t>
  </si>
  <si>
    <t>LEO</t>
  </si>
  <si>
    <t>TRANUCA 40 308</t>
  </si>
  <si>
    <t>BOMBONA</t>
  </si>
  <si>
    <t>CITARK 107</t>
  </si>
  <si>
    <t>LOS GONZALEZ</t>
  </si>
  <si>
    <t>FOREMAN</t>
  </si>
  <si>
    <t>CITARK 1003</t>
  </si>
  <si>
    <t>SANDRA</t>
  </si>
  <si>
    <t>SAN GERMAN</t>
  </si>
  <si>
    <t>JAIME</t>
  </si>
  <si>
    <t>RINCON DE SAN LUCAS 207</t>
  </si>
  <si>
    <t>SAN LUCAS</t>
  </si>
  <si>
    <t>MARIA ALEJANDRA</t>
  </si>
  <si>
    <t>VEGAS DEL POBLADO 625</t>
  </si>
  <si>
    <t>PATIO BONITO</t>
  </si>
  <si>
    <t>JULIANO</t>
  </si>
  <si>
    <t>PARQUE CENTRAL DEL RIO 1620</t>
  </si>
  <si>
    <t>MIRANDA</t>
  </si>
  <si>
    <t>XROX 604</t>
  </si>
  <si>
    <t>SANTA MARIA DE LOS ANGELES</t>
  </si>
  <si>
    <t>OCEANIA 3203</t>
  </si>
  <si>
    <t>CASA ROMA 604</t>
  </si>
  <si>
    <t>EDISON</t>
  </si>
  <si>
    <t>BALUARTE DE SAN DIEGO 3122</t>
  </si>
  <si>
    <t>MARIANO</t>
  </si>
  <si>
    <t>POBLADO REAL 301</t>
  </si>
  <si>
    <t>JHONY</t>
  </si>
  <si>
    <t>PORTERIA</t>
  </si>
  <si>
    <t>FONT LIVING  1603</t>
  </si>
  <si>
    <t>FRANCISCO</t>
  </si>
  <si>
    <t>XEROX  604/3</t>
  </si>
  <si>
    <t>PREMIUM PLAZA 2190</t>
  </si>
  <si>
    <t>ROBLE CLARO 203</t>
  </si>
  <si>
    <t>CORDOBA</t>
  </si>
  <si>
    <t>XEROX  604/1</t>
  </si>
  <si>
    <t>XEROX 604/5</t>
  </si>
  <si>
    <t>CERATTO 2607</t>
  </si>
  <si>
    <t>LAS PALMAS</t>
  </si>
  <si>
    <t>RAMOS</t>
  </si>
  <si>
    <t>BALCONES DE LA CALERA</t>
  </si>
  <si>
    <t>LA CALERA</t>
  </si>
  <si>
    <t>NATUZZI 205</t>
  </si>
  <si>
    <t>JHON GOMEZ</t>
  </si>
  <si>
    <t>CASTILLO REAL 401</t>
  </si>
  <si>
    <t>TOMATERA</t>
  </si>
  <si>
    <t>RINCONES DE SAN DIEGO 1004</t>
  </si>
  <si>
    <t>SAN DIEGO</t>
  </si>
  <si>
    <t>GANZAGA ARIAS</t>
  </si>
  <si>
    <t>TERRA VERDE 901</t>
  </si>
  <si>
    <t>JOSE</t>
  </si>
  <si>
    <t>INTERCLUB 805</t>
  </si>
  <si>
    <t>CANTABRIA 603</t>
  </si>
  <si>
    <t>JUAN GUILLERMO</t>
  </si>
  <si>
    <t>SANTILLA 807</t>
  </si>
  <si>
    <t>VALDE PEÑAS 203</t>
  </si>
  <si>
    <t>ALEJANDRIA</t>
  </si>
  <si>
    <t>PROVIDENCIA DE CASTROPOL 507</t>
  </si>
  <si>
    <t>NILSON</t>
  </si>
  <si>
    <t>EL POMAR LOCAL 1</t>
  </si>
  <si>
    <t>PUENTE JARDIN 202</t>
  </si>
  <si>
    <t>LOS NARANJOS</t>
  </si>
  <si>
    <t>CONPADO</t>
  </si>
  <si>
    <t>ACQUALINA 1103</t>
  </si>
  <si>
    <t>PARRAGA 301</t>
  </si>
  <si>
    <t>FRONTERA</t>
  </si>
  <si>
    <t>CORHAL 801</t>
  </si>
  <si>
    <t>WILLIAM</t>
  </si>
  <si>
    <t>AIRES DEL CAMPESTRE 801</t>
  </si>
  <si>
    <t>EL CAMPESTRE</t>
  </si>
  <si>
    <t xml:space="preserve">JUAN   </t>
  </si>
  <si>
    <t>CAÑAVERAL 303</t>
  </si>
  <si>
    <t>BRYAN AGUDELO</t>
  </si>
  <si>
    <t>TERRA VERDE 1413</t>
  </si>
  <si>
    <t>TORRES DE PATIO BONITO 1201</t>
  </si>
  <si>
    <t>BALSOS DEL CASTILLO 104</t>
  </si>
  <si>
    <t>COSTEÑO</t>
  </si>
  <si>
    <t>CAPTACIONES MES DE FEBRERO 2022</t>
  </si>
  <si>
    <t>20/02/2022</t>
  </si>
  <si>
    <t>LOS URALES 603</t>
  </si>
  <si>
    <t>EL TESORO</t>
  </si>
  <si>
    <t>DIRECYO</t>
  </si>
  <si>
    <t>OCEANIA 2102</t>
  </si>
  <si>
    <t>TORRES DE SANTA CECICLIA 701</t>
  </si>
  <si>
    <t>25/02/2022</t>
  </si>
  <si>
    <t>RIOBAMBA 805</t>
  </si>
  <si>
    <t>LAS VEGAS</t>
  </si>
  <si>
    <t>LUIS</t>
  </si>
  <si>
    <t>LUCCA 304</t>
  </si>
  <si>
    <t xml:space="preserve">ALEX   </t>
  </si>
  <si>
    <t>RIO SUR 212</t>
  </si>
  <si>
    <t>VISTA DEL VALLE 1803</t>
  </si>
  <si>
    <t>VEREDA LAS LOMITAS</t>
  </si>
  <si>
    <t>LA VALVANERA 706</t>
  </si>
  <si>
    <t>ANDRES</t>
  </si>
  <si>
    <t>MONTERREY 609</t>
  </si>
  <si>
    <t>ASTORGA 401</t>
  </si>
  <si>
    <t>ASTORGA</t>
  </si>
  <si>
    <t>TORRES DE LA MACARENA 302</t>
  </si>
  <si>
    <t>CALLE 10 N 43 F - 38</t>
  </si>
  <si>
    <t>MANILA</t>
  </si>
  <si>
    <t>ALTOS DE LA QUINCE 1001</t>
  </si>
  <si>
    <t>HUGO</t>
  </si>
  <si>
    <t>RIO SUR 6 - 26</t>
  </si>
  <si>
    <t>TIERRA CLARA 2004</t>
  </si>
  <si>
    <t xml:space="preserve">LOS GONZALEZ </t>
  </si>
  <si>
    <t>RIO SUR 428</t>
  </si>
  <si>
    <t>ESTEBAN</t>
  </si>
  <si>
    <t>BOSQUE DEL RIO 2805</t>
  </si>
  <si>
    <t>OFICINA</t>
  </si>
  <si>
    <t>SAN JUAN DE LA VEGA 602</t>
  </si>
  <si>
    <t>USLBALDO</t>
  </si>
  <si>
    <t>ALTOS DE LA FRONTERA 401</t>
  </si>
  <si>
    <t>LA FRONTERA</t>
  </si>
  <si>
    <t>PORTAL DE SAN DIEGO 407</t>
  </si>
  <si>
    <t>APARTAMIRADOR 1701</t>
  </si>
  <si>
    <t>LAS LOMITAS</t>
  </si>
  <si>
    <t>ALTOS DE LA FRONTERA 302</t>
  </si>
  <si>
    <t>CASA</t>
  </si>
  <si>
    <t>CASA BELEN 34 D - 45</t>
  </si>
  <si>
    <t>BELEN</t>
  </si>
  <si>
    <t>LUCCA 904</t>
  </si>
  <si>
    <t>ALEX YEPES</t>
  </si>
  <si>
    <t>CITARK 2403</t>
  </si>
  <si>
    <t>MANANTIAL DE SAN LUCAS 403</t>
  </si>
  <si>
    <t>JUAN DIEGO</t>
  </si>
  <si>
    <t>CITTE 403</t>
  </si>
  <si>
    <t>LOS URALES 401</t>
  </si>
  <si>
    <t>LA VISITACION</t>
  </si>
  <si>
    <t>JAVIER</t>
  </si>
  <si>
    <t>VEGA DE ANTARES 401</t>
  </si>
  <si>
    <t>STELLA CARMONA</t>
  </si>
  <si>
    <t>TORRES DEL RIO 610</t>
  </si>
  <si>
    <t>RODRIGUEZ</t>
  </si>
  <si>
    <t>SOHO 1001</t>
  </si>
  <si>
    <t xml:space="preserve">CITARK 1311 </t>
  </si>
  <si>
    <t>RIACHUELOS 1406</t>
  </si>
  <si>
    <t>INFERIOR</t>
  </si>
  <si>
    <t>CITARK 2704</t>
  </si>
  <si>
    <t>SAN DIEGO CAMPESTRE 1106</t>
  </si>
  <si>
    <t>LA FLORIDA 303</t>
  </si>
  <si>
    <t>LAS LOMAS</t>
  </si>
  <si>
    <t>SOHO 603</t>
  </si>
  <si>
    <t>CITARK 2404</t>
  </si>
  <si>
    <t>LOS URALES 503</t>
  </si>
  <si>
    <t>PUNTA DEL SOL 402</t>
  </si>
  <si>
    <t>CALAZANIA</t>
  </si>
  <si>
    <t>OCEANIA 1706</t>
  </si>
  <si>
    <t>TELEVIDA</t>
  </si>
  <si>
    <t>TORRES DEL FUTURO 711</t>
  </si>
  <si>
    <t>FREDY</t>
  </si>
  <si>
    <t>SOHO 1103</t>
  </si>
  <si>
    <t>TWINS 504</t>
  </si>
  <si>
    <t>CARLOS</t>
  </si>
  <si>
    <t>KM 17 VIA LAS PALMAS</t>
  </si>
  <si>
    <t>ALTO DE PALMAS</t>
  </si>
  <si>
    <t>SAO PAULO 1907</t>
  </si>
  <si>
    <t>SANCHEZ</t>
  </si>
  <si>
    <t>GALICIA 1201</t>
  </si>
  <si>
    <t>TORRE DE LOS ANGELES 402</t>
  </si>
  <si>
    <t>TORRE LOS ANGELES 1201</t>
  </si>
  <si>
    <t>CENTRO 48 -33</t>
  </si>
  <si>
    <t>CENTRO</t>
  </si>
  <si>
    <t>DIRECTO</t>
  </si>
  <si>
    <t>OFICIINA</t>
  </si>
  <si>
    <t>XEROX 601</t>
  </si>
  <si>
    <t>PALMAR DE ALEJANDRIA 101</t>
  </si>
  <si>
    <t>ALBERT</t>
  </si>
  <si>
    <t>XEROX 302</t>
  </si>
  <si>
    <t>BOSQUES DEL RIO 2503</t>
  </si>
  <si>
    <t>EDER</t>
  </si>
  <si>
    <t>COLTEJER 111 -112</t>
  </si>
  <si>
    <t>FLORIDA BLANCA 104</t>
  </si>
  <si>
    <t>XEROX 1002</t>
  </si>
  <si>
    <t>FLORIDA BLANCA 103</t>
  </si>
  <si>
    <t>CAMPESTRE 1643</t>
  </si>
  <si>
    <t>CASMPESTRE</t>
  </si>
  <si>
    <t>LIFE 804</t>
  </si>
  <si>
    <t>LA LINDE</t>
  </si>
  <si>
    <t>JAIME MORENO</t>
  </si>
  <si>
    <t>LAURELES 82 A - 29</t>
  </si>
  <si>
    <t>LAURELES</t>
  </si>
  <si>
    <t>EDIFICIO CCI 711</t>
  </si>
  <si>
    <t>LORETO 30 - 69</t>
  </si>
  <si>
    <t>LORETO</t>
  </si>
  <si>
    <t>AGUACATALA 48 - 62</t>
  </si>
  <si>
    <t>AGUACATALA</t>
  </si>
  <si>
    <t>TORRE EMPRESARIAL DAVIVIENDA 701</t>
  </si>
  <si>
    <t>MILLA DE ORO</t>
  </si>
  <si>
    <t>POBLADO LOMALINDE 401</t>
  </si>
  <si>
    <t>JHON MANZANO</t>
  </si>
  <si>
    <t>TORRES DE CASTROPOL 905</t>
  </si>
  <si>
    <t>ARIEL RIOS</t>
  </si>
  <si>
    <t>XEROX 902</t>
  </si>
  <si>
    <t>LAS VEGAS 1612</t>
  </si>
  <si>
    <t>IVAN</t>
  </si>
  <si>
    <t>MALL VENTURA 118</t>
  </si>
  <si>
    <t>TRANSVERSAL INFERIOR</t>
  </si>
  <si>
    <t>MALL VENTURA 120</t>
  </si>
  <si>
    <t>MALL VENTURA 119</t>
  </si>
  <si>
    <t>PIETRA ROSA 801</t>
  </si>
  <si>
    <t>CUMBRES</t>
  </si>
  <si>
    <t>CONQUISTADORES 65 C -114 101</t>
  </si>
  <si>
    <t>CONQUISTADODRES</t>
  </si>
  <si>
    <t>CONQUISTADORES 65 C -114 102</t>
  </si>
  <si>
    <t>TORRES DE ALMAGRON 306</t>
  </si>
  <si>
    <t>MADERA</t>
  </si>
  <si>
    <t>AGUIRRE</t>
  </si>
  <si>
    <t>CENTRAL 402</t>
  </si>
  <si>
    <t>MESA</t>
  </si>
  <si>
    <t>BUENOS AIRS 29 - 52</t>
  </si>
  <si>
    <t>BUENOS AIRES</t>
  </si>
  <si>
    <t>DIRETO</t>
  </si>
  <si>
    <t>TORRES DE CASTROPOL 101</t>
  </si>
  <si>
    <t>LALINDE</t>
  </si>
  <si>
    <t>BANCO CAJA SOCIAL 602</t>
  </si>
  <si>
    <t>LOPEZ</t>
  </si>
  <si>
    <t>CAJA SOCIAL 414</t>
  </si>
  <si>
    <t>EL TESORO 15 - 549</t>
  </si>
  <si>
    <t>XEROX 504</t>
  </si>
  <si>
    <t>DIIRECTO</t>
  </si>
  <si>
    <t>TORRES DE SAN PABLO 201</t>
  </si>
  <si>
    <t>VIVIENDA DEL SUR</t>
  </si>
  <si>
    <t>TIERRADENTRO 206</t>
  </si>
  <si>
    <t>ONE PLAZA BUSSINES 111</t>
  </si>
  <si>
    <t>ONE PLAZA BUSSINES 501</t>
  </si>
  <si>
    <t>CALLE 10 # 43 F - 36 401</t>
  </si>
  <si>
    <t>CAPTACIONES MES DE MARZO 2022</t>
  </si>
  <si>
    <t>25/03/2022</t>
  </si>
  <si>
    <t>SERRANIA DE SAN DIEGO 519</t>
  </si>
  <si>
    <t>SERRANIA DE SAN DIEGO 119</t>
  </si>
  <si>
    <t>JHON</t>
  </si>
  <si>
    <t>VIAMONTI 202</t>
  </si>
  <si>
    <t>TIERRA GRATA PALMAS 2810</t>
  </si>
  <si>
    <t>SERRANIA DE SAN DIEGO 518</t>
  </si>
  <si>
    <t>UBALDO</t>
  </si>
  <si>
    <t>20/03/2022</t>
  </si>
  <si>
    <t>RECINTO PIRACANTHA 102</t>
  </si>
  <si>
    <t>FLORESTA 80 A - 21</t>
  </si>
  <si>
    <t>FLORESTA</t>
  </si>
  <si>
    <t>RAMIRO ZAPATA</t>
  </si>
  <si>
    <t>MALAWI LIVING 1505</t>
  </si>
  <si>
    <t xml:space="preserve">CASA   </t>
  </si>
  <si>
    <t>SANTA MARIA LA  ANTIGUA 105</t>
  </si>
  <si>
    <t>PORTAL DE SAN DIEGO 607</t>
  </si>
  <si>
    <t xml:space="preserve">GABRIEL </t>
  </si>
  <si>
    <t>CITARK 2209</t>
  </si>
  <si>
    <t>CASTROPOL PLAZA 201</t>
  </si>
  <si>
    <t>ATOSHI 1402</t>
  </si>
  <si>
    <t>LAS SANTAS</t>
  </si>
  <si>
    <t>OSORIO</t>
  </si>
  <si>
    <t>ALCALA 39 A SUR - 93</t>
  </si>
  <si>
    <t>ALCALA</t>
  </si>
  <si>
    <t>BOSQUE SANTO 1206</t>
  </si>
  <si>
    <t>MARIA</t>
  </si>
  <si>
    <t>MARIA ELENA 205</t>
  </si>
  <si>
    <t>SAN FRANCISCO 1503</t>
  </si>
  <si>
    <t>RENDON</t>
  </si>
  <si>
    <t>PARQUES DE VILLA CARLOTA 206</t>
  </si>
  <si>
    <t>HECTOR</t>
  </si>
  <si>
    <t>TORRES DE PATIO BONITO 402</t>
  </si>
  <si>
    <t>MURILLO</t>
  </si>
  <si>
    <t>CANTIZAL 16 (110)</t>
  </si>
  <si>
    <t>EL ENCIERRO</t>
  </si>
  <si>
    <t>CANTIZAL 16 (109)</t>
  </si>
  <si>
    <t>CITTE 2001</t>
  </si>
  <si>
    <t>TORRES DEL RIO 2112</t>
  </si>
  <si>
    <t>CIUDAD DEL RIO</t>
  </si>
  <si>
    <t>CARRIQUI 406</t>
  </si>
  <si>
    <t>AVES MARIA</t>
  </si>
  <si>
    <t>ELKIN</t>
  </si>
  <si>
    <t>BALUARTE DE SAN DIEGO 3108</t>
  </si>
  <si>
    <t>CASA LOCAL</t>
  </si>
  <si>
    <t>PATIO BONITO 45 - 244</t>
  </si>
  <si>
    <t>BRONCE 711</t>
  </si>
  <si>
    <t>MANILA 43 D - 68 CASA 302</t>
  </si>
  <si>
    <t>MANILA 43 D - 68 CASA 301</t>
  </si>
  <si>
    <t>LOCAL 43 F - 36 401</t>
  </si>
  <si>
    <t>PATIO BONITO 43 A - 99 306</t>
  </si>
  <si>
    <t>POBLADO 10 -44 LOCAL 103</t>
  </si>
  <si>
    <t>PLATINUM SUPERIOR 542</t>
  </si>
  <si>
    <t>TESORO</t>
  </si>
  <si>
    <t>MADEROS DEL CAMPO 1601</t>
  </si>
  <si>
    <t>SABANETA</t>
  </si>
  <si>
    <t>ONE PLAZA BUSSINES 701</t>
  </si>
  <si>
    <t xml:space="preserve">CALLE 33 · 66 B - 64 </t>
  </si>
  <si>
    <t>CONQUISTADORES</t>
  </si>
  <si>
    <t>CONTINENTAL 105</t>
  </si>
  <si>
    <t>PALMAS</t>
  </si>
  <si>
    <t>MANILA 13 - 32</t>
  </si>
  <si>
    <t>CAPTACIONES MES DE ABRIL 2022</t>
  </si>
  <si>
    <t>20/04/2022</t>
  </si>
  <si>
    <t>APARTAMENTO</t>
  </si>
  <si>
    <t>TURKEZA 1604</t>
  </si>
  <si>
    <t>GAVIRIA</t>
  </si>
  <si>
    <t>LA DUQUESA 402</t>
  </si>
  <si>
    <t>AVENIA EL POBLADO</t>
  </si>
  <si>
    <t>25/04/2022</t>
  </si>
  <si>
    <t>SANDIEGO CAMPESTRE 1407</t>
  </si>
  <si>
    <t>VELEROS DEL ESTE 2101</t>
  </si>
  <si>
    <t>ANGELES DE SANTA MARIA 902</t>
  </si>
  <si>
    <t>CITARK 1207</t>
  </si>
  <si>
    <t>CITTE 1711</t>
  </si>
  <si>
    <t>CALIFORNIA 306</t>
  </si>
  <si>
    <t>CASTROPOL IN 509</t>
  </si>
  <si>
    <t>GILBERTO Y JHONATAN</t>
  </si>
  <si>
    <t>HUATIPAN 1108</t>
  </si>
  <si>
    <t>PROVIDENCIA DE CASTROPOL 826</t>
  </si>
  <si>
    <t>PLAZA OVIEDO 1709</t>
  </si>
  <si>
    <t>OVIEDO</t>
  </si>
  <si>
    <t>BOTERO</t>
  </si>
  <si>
    <t>CR 87 46 35 201</t>
  </si>
  <si>
    <t>PLAZA OVIEDO 1311</t>
  </si>
  <si>
    <t>CITARK 9907</t>
  </si>
  <si>
    <t>GONZALEZ</t>
  </si>
  <si>
    <t>CAMINO DEL ESTE 801</t>
  </si>
  <si>
    <t>FLORESTA 80 A - 12</t>
  </si>
  <si>
    <t>BOSQUE SANTO 1407</t>
  </si>
  <si>
    <t>AGUILAR</t>
  </si>
  <si>
    <t>LOS FUERTES 1089</t>
  </si>
  <si>
    <t>HERNAN</t>
  </si>
  <si>
    <t>21/04/2022</t>
  </si>
  <si>
    <t>APARTAESTUDIO</t>
  </si>
  <si>
    <t>THE WALL 2307</t>
  </si>
  <si>
    <t>LINARES</t>
  </si>
  <si>
    <t>PORTERO</t>
  </si>
  <si>
    <t>CEYLAN DUPLEX 2411</t>
  </si>
  <si>
    <t>BALSOS</t>
  </si>
  <si>
    <t>22/04/2022</t>
  </si>
  <si>
    <t>BOSQUES DEL GUAMAL 204</t>
  </si>
  <si>
    <t>PARQUE CENTRAL DEL RIO 2001</t>
  </si>
  <si>
    <t>CERATTO 2808</t>
  </si>
  <si>
    <t>CITARK 803</t>
  </si>
  <si>
    <t>GONZALES</t>
  </si>
  <si>
    <t xml:space="preserve">THE WALL 2005 </t>
  </si>
  <si>
    <t>THE WALL 2104</t>
  </si>
  <si>
    <t>CT VENTA</t>
  </si>
  <si>
    <t>CT ARRIENDO</t>
  </si>
  <si>
    <t>BOSQUE DEL RIO 2411</t>
  </si>
  <si>
    <t>BOSQUE DEL RIO 1601</t>
  </si>
  <si>
    <t>BOSQUE DEL RIO 1208</t>
  </si>
  <si>
    <t>PARK 43 1102</t>
  </si>
  <si>
    <t>BOSQUE DEL RIO 2011</t>
  </si>
  <si>
    <t>TORRES DEL RIO 1503</t>
  </si>
  <si>
    <t>WALL BY LINARES 1103</t>
  </si>
  <si>
    <t>BOSQUE DEL RIO 1411</t>
  </si>
  <si>
    <t>BOSQUE DEL RIO 711</t>
  </si>
  <si>
    <t>FUENTE ALEJANDRIA 902</t>
  </si>
  <si>
    <t>BALUARTE 1004</t>
  </si>
  <si>
    <t>BOSQUE DEL RIO 1009</t>
  </si>
  <si>
    <t>INTERCLUB 1507</t>
  </si>
  <si>
    <t>ALTOS DEL POBLADO</t>
  </si>
  <si>
    <t>BOSQUE DEL RIO 2301</t>
  </si>
  <si>
    <t>31/03/2022</t>
  </si>
  <si>
    <t>VANCOUVER 1001</t>
  </si>
  <si>
    <t>LOMA DEL ENCIERRO</t>
  </si>
  <si>
    <t>LA CAÑADA 9912</t>
  </si>
  <si>
    <t>AVIVA AFFINITY 1422</t>
  </si>
  <si>
    <t>LOMA DE LOS BERNAL</t>
  </si>
  <si>
    <t>LA RIVIERE 1804</t>
  </si>
  <si>
    <t>BOSQUE DEL RIO 2108</t>
  </si>
  <si>
    <t>MARIA PAULA MAYO 2022</t>
  </si>
  <si>
    <t>ASESOR</t>
  </si>
  <si>
    <t>LA RIVIERE 1326</t>
  </si>
  <si>
    <t>MOMPOX 103</t>
  </si>
  <si>
    <t>MOMPOX 502</t>
  </si>
  <si>
    <t>20/5/2022</t>
  </si>
  <si>
    <t>VEGAS DE PATIO BONITO 504</t>
  </si>
  <si>
    <t>LA RIVIERE 2025</t>
  </si>
  <si>
    <t>ENVIADA</t>
  </si>
  <si>
    <t>LA RIVIERE 2727</t>
  </si>
  <si>
    <t>LA RIVIERE302</t>
  </si>
  <si>
    <t>ALEXANDER MAYO 2022</t>
  </si>
  <si>
    <t>29/04/2022</t>
  </si>
  <si>
    <t>JARDINES DE ALEJANDRIA 401</t>
  </si>
  <si>
    <t>BOSCHI 401</t>
  </si>
  <si>
    <t>VIZCAYA</t>
  </si>
  <si>
    <t>SALAMANCA 407</t>
  </si>
  <si>
    <t>LOS GONZALES</t>
  </si>
  <si>
    <t>PARQUE CENTRA DEL RIO 823</t>
  </si>
  <si>
    <t>BOSQUE SANTO 1402</t>
  </si>
  <si>
    <t>CASTROPOL 506</t>
  </si>
  <si>
    <t>SANTILLANA 105</t>
  </si>
  <si>
    <t>MILLA DE OROR</t>
  </si>
  <si>
    <t xml:space="preserve">OBRA 19 </t>
  </si>
  <si>
    <t>BELCHITE 501</t>
  </si>
  <si>
    <t>TIERRA DULCE 202</t>
  </si>
  <si>
    <t>ASOMADERA</t>
  </si>
  <si>
    <t>CITARK 9906</t>
  </si>
  <si>
    <t>13/5/2022</t>
  </si>
  <si>
    <t>LALIK 1402</t>
  </si>
  <si>
    <t>BOSQUES DE LA CAMPIÑA 401</t>
  </si>
  <si>
    <t>17/5/2022</t>
  </si>
  <si>
    <t>AZULEDA DEL CAMPESTRE 401</t>
  </si>
  <si>
    <t>STA MARIA ANGELES</t>
  </si>
  <si>
    <t>18/5/2022</t>
  </si>
  <si>
    <t>PROVIDENCIA DE CASTROPOL 119</t>
  </si>
  <si>
    <t>OLIVARES 107</t>
  </si>
  <si>
    <t>ATOSHI 182</t>
  </si>
  <si>
    <t>VILLA CARLOTA 923</t>
  </si>
  <si>
    <t>24/5/2022</t>
  </si>
  <si>
    <t>YARUMOS 2 211</t>
  </si>
  <si>
    <t>ROMANZA DE LA ABADIA 305</t>
  </si>
  <si>
    <t>ABADIA</t>
  </si>
  <si>
    <t>ATENAS 502</t>
  </si>
  <si>
    <t>GUAYACANES DE SAN DIEGO 1721</t>
  </si>
  <si>
    <t>BRAYAN MAYO 2022</t>
  </si>
  <si>
    <t>26/04/2022</t>
  </si>
  <si>
    <t>BOSQUE DEL RIO 2110</t>
  </si>
  <si>
    <t>28/04/2022</t>
  </si>
  <si>
    <t>POBLADO DE SAN DIEGO 807</t>
  </si>
  <si>
    <t>MOCACCINO 2204</t>
  </si>
  <si>
    <t>BOSQUE DEL RIO 1212</t>
  </si>
  <si>
    <t>30/04/2022</t>
  </si>
  <si>
    <t>BOSQUE DEL RIO 1114</t>
  </si>
  <si>
    <t>BOSQUE DEL RIO 1312</t>
  </si>
  <si>
    <t>BOSQUE DEL RIO 1401</t>
  </si>
  <si>
    <t>SANTORINI 1203</t>
  </si>
  <si>
    <t>BOSQUE DEL RIO 1508</t>
  </si>
  <si>
    <t>TASSO 303</t>
  </si>
  <si>
    <t>16/5/2022</t>
  </si>
  <si>
    <t>TERRAVERDE 1106</t>
  </si>
  <si>
    <t>BOSQUE DEL RIO 2302</t>
  </si>
  <si>
    <t>TULIPANES DE SANTA MARIA 502</t>
  </si>
  <si>
    <t>TULIPANES DE SANTA MARIA 402</t>
  </si>
  <si>
    <t>23/5/2022</t>
  </si>
  <si>
    <t>QUARTIER 1304</t>
  </si>
  <si>
    <t>QUARTIER 1007</t>
  </si>
  <si>
    <t>DAVID VASQUEZ MAYO 2022</t>
  </si>
  <si>
    <t>MIRO 903</t>
  </si>
  <si>
    <t>GUAYACANES DE SAN DIEGO 904</t>
  </si>
  <si>
    <t xml:space="preserve">SAN ESTEBAN </t>
  </si>
  <si>
    <t>TRANS INF</t>
  </si>
  <si>
    <t>19/5/2022</t>
  </si>
  <si>
    <t>PRINCESA PLAZA 103</t>
  </si>
  <si>
    <t>YHON LAVERDE MAYO 2022</t>
  </si>
  <si>
    <t>23/5/202</t>
  </si>
  <si>
    <t>NILO 101</t>
  </si>
  <si>
    <t xml:space="preserve">SANTA MARIA </t>
  </si>
  <si>
    <t>PORTADA MAYO 2022</t>
  </si>
  <si>
    <t>SUB PORTAL DE SAN DIEGO 502</t>
  </si>
  <si>
    <t xml:space="preserve">TIERRA GRATA 3008 </t>
  </si>
  <si>
    <t>ALEXANDER JUNIO 2022</t>
  </si>
  <si>
    <t>26/5/2022</t>
  </si>
  <si>
    <t>CITARK 1010</t>
  </si>
  <si>
    <t>LALIK 202</t>
  </si>
  <si>
    <t>31/5/2022</t>
  </si>
  <si>
    <t>LA RIVIERE 1706</t>
  </si>
  <si>
    <t>LA RIVIERE 708</t>
  </si>
  <si>
    <t>BOSQUE SANTO 615</t>
  </si>
  <si>
    <t>PINOVIEJO 1501</t>
  </si>
  <si>
    <t>NOVECENTO 1801</t>
  </si>
  <si>
    <t xml:space="preserve">PLAZA DEL RIO 918 </t>
  </si>
  <si>
    <t>CITARK 810</t>
  </si>
  <si>
    <t>TORRES DEL FUTURO 416</t>
  </si>
  <si>
    <t>13/6/2022</t>
  </si>
  <si>
    <t>BOSQUES DE AVIÑON 216</t>
  </si>
  <si>
    <t>OBRERO</t>
  </si>
  <si>
    <t>15/6/2022</t>
  </si>
  <si>
    <t>CALLE 1B 53 32 APTO 301</t>
  </si>
  <si>
    <t>CRISTO REY</t>
  </si>
  <si>
    <t>CALLE 1B 53 32 APTO 201</t>
  </si>
  <si>
    <t>BALUARTE DE SAN DIEGO 27A 10</t>
  </si>
  <si>
    <t>17/6/2022</t>
  </si>
  <si>
    <t>CARBONEROS DEL ´POBLADO 902</t>
  </si>
  <si>
    <t>22/6/2022</t>
  </si>
  <si>
    <t>TIERRA GRATA PALMAS 2209</t>
  </si>
  <si>
    <t>24/6/2022</t>
  </si>
  <si>
    <t>VELEROS DEL ESTE 2512</t>
  </si>
  <si>
    <t>RIO BAMBA 265</t>
  </si>
  <si>
    <t>25/6/2022</t>
  </si>
  <si>
    <t>TORRES DEL RIO 420</t>
  </si>
  <si>
    <t>LA RIVIERE 1607</t>
  </si>
  <si>
    <t xml:space="preserve">PORTERO </t>
  </si>
  <si>
    <t>GIBRALTAR 202</t>
  </si>
  <si>
    <t>CASA MILANO 161</t>
  </si>
  <si>
    <t>DAVID VASQUEZ JUNIO 2022</t>
  </si>
  <si>
    <t>27/5/2022</t>
  </si>
  <si>
    <t>CR 38 15A 36</t>
  </si>
  <si>
    <t>CR 38 15 31</t>
  </si>
  <si>
    <t>ALTOBELO PISO 6.</t>
  </si>
  <si>
    <t>BOSQUE DEL RIO 603</t>
  </si>
  <si>
    <t>BOSQUE DEL RIO 605</t>
  </si>
  <si>
    <t>BOSQUES DE LA CALERA 121</t>
  </si>
  <si>
    <t>LA DUQUESA 1305</t>
  </si>
  <si>
    <t>BOSQUE DEL RIO 1502</t>
  </si>
  <si>
    <t>21/6/2022</t>
  </si>
  <si>
    <t>BOSQUE DEL RIO 1409</t>
  </si>
  <si>
    <t>23/6/2022</t>
  </si>
  <si>
    <t>EDIFICIO PLATINO 301</t>
  </si>
  <si>
    <t>VELODROMO</t>
  </si>
  <si>
    <t>SALAMANCA 404</t>
  </si>
  <si>
    <t>SELF PISO 10</t>
  </si>
  <si>
    <t>SELF PISO 11</t>
  </si>
  <si>
    <t>LOTE</t>
  </si>
  <si>
    <t>ALTO DE LAS PALMAS</t>
  </si>
  <si>
    <t>VIA LA ESPERANZA</t>
  </si>
  <si>
    <t>GUAYACANES DE SAN DIEGO 1104</t>
  </si>
  <si>
    <t>14/6/2022</t>
  </si>
  <si>
    <t>PANORAMIKA 109</t>
  </si>
  <si>
    <t>GABRIEL JUNIO 2022</t>
  </si>
  <si>
    <t>QUARTIER 701</t>
  </si>
  <si>
    <t>LOMA DE GONZALES</t>
  </si>
  <si>
    <t>WE NEW HOME 501</t>
  </si>
  <si>
    <t>SAN GIORGIO 3 103</t>
  </si>
  <si>
    <t>CALLEJUELAS DE LALINDE 802</t>
  </si>
  <si>
    <t>THE WALL 2202</t>
  </si>
  <si>
    <t xml:space="preserve">BLOCK CENTRO EMPRESARIAL </t>
  </si>
  <si>
    <t>VILLA CARLOTA</t>
  </si>
  <si>
    <t>16/6/2022</t>
  </si>
  <si>
    <t>BOSQUE DEL RIIO 1101</t>
  </si>
  <si>
    <t>TORRES DE CASTROPOL 705</t>
  </si>
  <si>
    <t>QUARTIER 601</t>
  </si>
  <si>
    <t>BOSQUE DEL RIO 809</t>
  </si>
  <si>
    <t>METROPOLITAN 1726</t>
  </si>
  <si>
    <t>METROPOLITAN 1026</t>
  </si>
  <si>
    <t>QUARTIER 206</t>
  </si>
  <si>
    <t>LOMA DE LOS GONZALES</t>
  </si>
  <si>
    <t>BOSQUE DEL RIO 3108</t>
  </si>
  <si>
    <t>METROPOLITAN 2224</t>
  </si>
  <si>
    <t>SALUD VEGA 1313</t>
  </si>
  <si>
    <t>SELF PISO 7</t>
  </si>
  <si>
    <t>SELF PISO 5</t>
  </si>
  <si>
    <t>SELF PISO 6</t>
  </si>
  <si>
    <t>EL POMAR 1 102</t>
  </si>
  <si>
    <t>TIERRA GRATA PALMAS 1003</t>
  </si>
  <si>
    <t>LEIDY JUNIO 2022</t>
  </si>
  <si>
    <t>SAN REMO 5 PISO</t>
  </si>
  <si>
    <t>TRANSVERSAL INF</t>
  </si>
  <si>
    <t>PLAZA DEL RIO</t>
  </si>
  <si>
    <t>BRAYAN JUNIO 2022</t>
  </si>
  <si>
    <t>WE NEW HOME 502</t>
  </si>
  <si>
    <t>LOMA DE LOS PARRA</t>
  </si>
  <si>
    <t>PARMA 904</t>
  </si>
  <si>
    <t>POBLADO SAN DIEGO 1008</t>
  </si>
  <si>
    <t>LOMA SAN JULIAN</t>
  </si>
  <si>
    <t>ALEXANDER JULIO 2022</t>
  </si>
  <si>
    <t>43 AVENIDA 1102</t>
  </si>
  <si>
    <t>LA MILLA DE ORO</t>
  </si>
  <si>
    <t>TORRES DE PATIO BONITO 1104</t>
  </si>
  <si>
    <t>TIERRA GRATA PALMAS 2516</t>
  </si>
  <si>
    <t>CALIFORNIA DEL POBLADO 209</t>
  </si>
  <si>
    <t>METROPOLITAN 1023</t>
  </si>
  <si>
    <t>LA RIVIERE 804</t>
  </si>
  <si>
    <t>GUERRERO</t>
  </si>
  <si>
    <t>MALAGA 2 304</t>
  </si>
  <si>
    <t>ALPUJARA 40 A - 23</t>
  </si>
  <si>
    <t>TIERRA GRATA BOSQUE SANTO 1503</t>
  </si>
  <si>
    <t>CARBONEROS DEL POBLADO 806</t>
  </si>
  <si>
    <t xml:space="preserve">BLADIMIR </t>
  </si>
  <si>
    <t>CARBONEROS DEL POBLADO 906</t>
  </si>
  <si>
    <t>GUADALUPE 201</t>
  </si>
  <si>
    <t xml:space="preserve">EL TESORO </t>
  </si>
  <si>
    <t>SETAI 906</t>
  </si>
  <si>
    <t>RUIZ</t>
  </si>
  <si>
    <t>BOSQUES DE AVIGÑON 417</t>
  </si>
  <si>
    <t>LONDOÑO</t>
  </si>
  <si>
    <t>VIVLAS DEL CAMPO 816</t>
  </si>
  <si>
    <t>ITAGUI</t>
  </si>
  <si>
    <t>DAVID VASQUEZ JULIO 2022</t>
  </si>
  <si>
    <t>25/07/22</t>
  </si>
  <si>
    <t>VANCOVER 1204</t>
  </si>
  <si>
    <t>LOMA DE SAN JULIAN</t>
  </si>
  <si>
    <t>TORRE IBIZA 803</t>
  </si>
  <si>
    <t>ARDILLEROS DE LA LINDE 606</t>
  </si>
  <si>
    <t>LOCA</t>
  </si>
  <si>
    <t>CIUDAD DEL RIO CALLE 118</t>
  </si>
  <si>
    <t>MANILA 12 - 29</t>
  </si>
  <si>
    <t>GUADUAL 1008</t>
  </si>
  <si>
    <t>CRISTIAN</t>
  </si>
  <si>
    <t>PORTAL DE SAN DIEGO 601</t>
  </si>
  <si>
    <t>ENVIADO</t>
  </si>
  <si>
    <t>GABRIEL JULIO 2022</t>
  </si>
  <si>
    <t>THE WALL 2507</t>
  </si>
  <si>
    <t>METROPOLITAN 1729</t>
  </si>
  <si>
    <t>WALL BY LINARES 1602</t>
  </si>
  <si>
    <t>BOSQUE DEL RIO 3004</t>
  </si>
  <si>
    <t>28/6/2022</t>
  </si>
  <si>
    <t>RESERVA DEL RIO 2316</t>
  </si>
  <si>
    <t>BOSQUE DEL RIO 2504</t>
  </si>
  <si>
    <t>JUAN CAMILO JULIO 2022</t>
  </si>
  <si>
    <t>PROVIDENCIA DE CASTROPOL 218</t>
  </si>
  <si>
    <t>ACQUA 1204</t>
  </si>
  <si>
    <t>BOSQUES DE LA CALERA 105</t>
  </si>
  <si>
    <t>CARLOS PEREZ</t>
  </si>
  <si>
    <t>BALCONES DE CASTROPOL 501</t>
  </si>
  <si>
    <t>PORTON DE LA VEGA AP 807</t>
  </si>
  <si>
    <t>METROPOLITAN 1830</t>
  </si>
  <si>
    <t>VEGAS DE PATIO BONITO 505</t>
  </si>
  <si>
    <t>VEGAS</t>
  </si>
  <si>
    <t>MARICELA</t>
  </si>
  <si>
    <t>MESETAS DE SAN DIEGO 501</t>
  </si>
  <si>
    <t>APARTAMNTO</t>
  </si>
  <si>
    <t>MALAWI LIVING 705</t>
  </si>
  <si>
    <t>VENTAS</t>
  </si>
  <si>
    <t>PORTADA JULIO 2022</t>
  </si>
  <si>
    <t>ALEXANDER AGOSTO 2022</t>
  </si>
  <si>
    <t>SAN FRANCISCO 807</t>
  </si>
  <si>
    <t>VELEROS DEL ESTE 208</t>
  </si>
  <si>
    <t>DAVID VASQUEZ AGOSTO 2022</t>
  </si>
  <si>
    <t>28/7/2022</t>
  </si>
  <si>
    <t>TERRA VERDE 216</t>
  </si>
  <si>
    <t>METROPOLITAN 729</t>
  </si>
  <si>
    <t>PANOMARIKA COUNTRY 9612</t>
  </si>
  <si>
    <t>MANDALA 809</t>
  </si>
  <si>
    <t>ENVIGADO</t>
  </si>
  <si>
    <t>GABRIEL AGOSTO 2022</t>
  </si>
  <si>
    <t>26/7/2022</t>
  </si>
  <si>
    <t>METROPOLITAN 1230</t>
  </si>
  <si>
    <t>27/7/2022</t>
  </si>
  <si>
    <t>METROPOLITAN 724</t>
  </si>
  <si>
    <t>BOSQUE DEL RIO 1801</t>
  </si>
  <si>
    <t>BOSQUE DEL RIO 1908</t>
  </si>
  <si>
    <t>29/7/2022</t>
  </si>
  <si>
    <t>METROPOLITAN 1330</t>
  </si>
  <si>
    <t>METROPOLITAN 1826</t>
  </si>
  <si>
    <t>JUAN CAMILO AGOSTO 2022</t>
  </si>
  <si>
    <t>SAINT JOSEPH CASA 118</t>
  </si>
  <si>
    <t>PORTADA AGOSTO 2022</t>
  </si>
  <si>
    <t>ALEXANDER 2022</t>
  </si>
  <si>
    <t>BOSQUES DE ALEJANDRIA 504</t>
  </si>
  <si>
    <t>WILMAR</t>
  </si>
  <si>
    <t>BALCONES DE CASTROPOL 201</t>
  </si>
  <si>
    <t>TORRE OVIEDO/ESTELAR APARTAMENTOS 902</t>
  </si>
  <si>
    <t xml:space="preserve">CALLE45E#80A-12 AP 101 </t>
  </si>
  <si>
    <t>LA FLORESTA</t>
  </si>
  <si>
    <t>LA RIVIERE 2019</t>
  </si>
  <si>
    <t>LA RIVIERE 1723</t>
  </si>
  <si>
    <t>16/11/2022</t>
  </si>
  <si>
    <t>PROVIDENCIA DE CASTROPOL 9817</t>
  </si>
  <si>
    <t>17/11/2022</t>
  </si>
  <si>
    <t>TWINS 702</t>
  </si>
  <si>
    <t>22/11/2022</t>
  </si>
  <si>
    <t>FONT 1109</t>
  </si>
  <si>
    <t>GABRIEL 2022</t>
  </si>
  <si>
    <t>26/10/2022</t>
  </si>
  <si>
    <t>PROVIDENCIA DE CASTROPOL 302</t>
  </si>
  <si>
    <t>28/10/2022</t>
  </si>
  <si>
    <t>RESERVA DEL RIO 913</t>
  </si>
  <si>
    <t>29/10/2022</t>
  </si>
  <si>
    <t xml:space="preserve">QUARTIER 808 </t>
  </si>
  <si>
    <t>LOMA GONZALEZ</t>
  </si>
  <si>
    <t>ALMACENTRO 807</t>
  </si>
  <si>
    <t>METROPOLITAN 2330</t>
  </si>
  <si>
    <t>METROPOLITAN 936</t>
  </si>
  <si>
    <t>METROPOLITAN 2336</t>
  </si>
  <si>
    <t>METROPOLITAN 2326</t>
  </si>
  <si>
    <t>METROPOLITAN 720</t>
  </si>
  <si>
    <t>METROPOLITAN 2520</t>
  </si>
  <si>
    <t>MAZANTI 2301</t>
  </si>
  <si>
    <t>VELEROS DEL ESTE 506</t>
  </si>
  <si>
    <t>PAOLA</t>
  </si>
  <si>
    <t>15/11/2022</t>
  </si>
  <si>
    <t>SAN AGUSTIN 202</t>
  </si>
  <si>
    <t>MONTECARLO 301</t>
  </si>
  <si>
    <t>LOMA DE LOS PARRAS</t>
  </si>
  <si>
    <t>METROPOLITAN 1236</t>
  </si>
  <si>
    <t>METROPOLITAN 2235</t>
  </si>
  <si>
    <t>URBANITY 709</t>
  </si>
  <si>
    <t>SANTA FE</t>
  </si>
  <si>
    <t>BOSQUE DEL RIO 1509</t>
  </si>
  <si>
    <t>21/11/2022</t>
  </si>
  <si>
    <t>METROPOLITAN 1835</t>
  </si>
  <si>
    <t xml:space="preserve">JUAN </t>
  </si>
  <si>
    <t>23/11/2022</t>
  </si>
  <si>
    <t>METROPOLITAN 1521</t>
  </si>
  <si>
    <t>MATEO 2022</t>
  </si>
  <si>
    <t>MALAWI 505</t>
  </si>
  <si>
    <t>ANDRES RESTREPO</t>
  </si>
  <si>
    <t>MANHATHAN 201</t>
  </si>
  <si>
    <t>DEVUEL</t>
  </si>
  <si>
    <t>MONTECARLO REAL</t>
  </si>
  <si>
    <t>OPALO 2004</t>
  </si>
  <si>
    <t>SANTA MA DE LOS ANGELES</t>
  </si>
  <si>
    <t>CRISTIAN NOREÑA</t>
  </si>
  <si>
    <t>BELMONTE 101</t>
  </si>
  <si>
    <t>RINCON</t>
  </si>
  <si>
    <t>POMOS 106</t>
  </si>
  <si>
    <t>LA SUPERIOR</t>
  </si>
  <si>
    <t>SAUL</t>
  </si>
  <si>
    <t>CRUCEROS DEL SUR 809</t>
  </si>
  <si>
    <t>CESAR</t>
  </si>
  <si>
    <t>EL RUFUGIO 203</t>
  </si>
  <si>
    <t>VILLA ROMERO CAMPESTRE 2116</t>
  </si>
  <si>
    <t>MARIA AUXILIADORA (SABANETA)</t>
  </si>
  <si>
    <t>XIOMARA</t>
  </si>
  <si>
    <t>SAN LORENZO DEL POBLADO 301</t>
  </si>
  <si>
    <t>CONRADO</t>
  </si>
  <si>
    <t>JUAN CAMILO 2022</t>
  </si>
  <si>
    <t>TORREJONES 101</t>
  </si>
  <si>
    <t>SURABAYA CASA 161</t>
  </si>
  <si>
    <t>LOMA DE LOS BALSOS</t>
  </si>
  <si>
    <t>EDWIN SALAZAR 2022</t>
  </si>
  <si>
    <t>MARTINICIA DE CASTROPOL 103</t>
  </si>
  <si>
    <t>26/11/2022</t>
  </si>
  <si>
    <t>URBANITY 1607</t>
  </si>
  <si>
    <t>TORRE LADERA 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</si>
</sst>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2" formatCode="_(&quot;$&quot;* #,##0_);_(&quot;$&quot;* \(#,##0\);_(&quot;$&quot;* &quot;-&quot;_);_(@_)"/>
    <numFmt numFmtId="164" formatCode="dd/mm/yyyy"/>
    <numFmt numFmtId="165" formatCode="_([$$-409]* #,##0_);_([$$-409]* \(#,##0\);_([$$-409]* &quot;-&quot;??_);_(@_)"/>
    <numFmt numFmtId="166" formatCode="_-[$$-240A]\ * #,##0_-;\-[$$-240A]\ * #,##0_-;_-[$$-240A]\ * &quot;-&quot;_-;_-@_-"/>
    <numFmt numFmtId="167" formatCode="[$$-240A]#,##0"/>
    <numFmt numFmtId="168" formatCode="&quot;$&quot;#,##0"/>
    <numFmt numFmtId="169" formatCode="_(&quot;$&quot;* #,##0_);_(&quot;$&quot;* \(#,##0\);_(&quot;$&quot;* &quot;-&quot;??_);_(@_)"/>
    <numFmt numFmtId="170" formatCode="0.0%"/>
  </numFmts>
  <fonts count="78">
    <font>
      <sz val="11"/>
      <color theme="1"/>
      <name val="Calibri"/>
      <family val="2"/>
      <scheme val="minor"/>
    </font>
    <font>
      <b/>
      <sz val="24"/>
      <color rgb="FF000000"/>
      <name val="Calibri"/>
      <family val="2"/>
    </font>
    <font>
      <b/>
      <sz val="10"/>
      <color rgb="FF000000"/>
      <name val="Calibri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26"/>
      <color rgb="FF000000"/>
      <name val="Calibri"/>
    </font>
    <font>
      <b/>
      <sz val="10"/>
      <color rgb="FFFF0000"/>
      <name val="Calibri"/>
    </font>
    <font>
      <sz val="10"/>
      <color rgb="FF000000"/>
      <name val="Calibri"/>
    </font>
    <font>
      <b/>
      <sz val="10"/>
      <name val="Calibri"/>
    </font>
    <font>
      <b/>
      <sz val="26"/>
      <color rgb="FFFF0000"/>
      <name val="Calibri"/>
    </font>
    <font>
      <b/>
      <sz val="10"/>
      <color rgb="FFFF0000"/>
      <name val="Calibri"/>
      <family val="2"/>
    </font>
    <font>
      <b/>
      <sz val="26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</font>
    <font>
      <b/>
      <sz val="18"/>
      <color rgb="FF000000"/>
      <name val="Arial"/>
      <family val="2"/>
    </font>
    <font>
      <b/>
      <sz val="11"/>
      <color rgb="FF000000"/>
      <name val="Arial"/>
    </font>
    <font>
      <b/>
      <sz val="11"/>
      <color rgb="FF000000"/>
      <name val="Calibri"/>
    </font>
    <font>
      <sz val="10"/>
      <color rgb="FFFF0000"/>
      <name val="Arial"/>
    </font>
    <font>
      <b/>
      <sz val="10"/>
      <color rgb="FF000000"/>
      <name val="Calibri"/>
      <charset val="1"/>
    </font>
    <font>
      <b/>
      <sz val="28"/>
      <color rgb="FF000000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Arial"/>
    </font>
    <font>
      <sz val="10"/>
      <color rgb="FF000000"/>
      <name val="Arial"/>
      <charset val="1"/>
    </font>
    <font>
      <b/>
      <sz val="14"/>
      <color rgb="FF000000"/>
      <name val="Calibri"/>
    </font>
    <font>
      <b/>
      <sz val="10"/>
      <name val="Arial"/>
      <charset val="1"/>
    </font>
    <font>
      <b/>
      <sz val="11"/>
      <name val="Calibri"/>
    </font>
    <font>
      <b/>
      <sz val="14"/>
      <name val="Calibri"/>
    </font>
    <font>
      <b/>
      <sz val="24"/>
      <color rgb="FF000000"/>
      <name val="Calibri"/>
    </font>
    <font>
      <b/>
      <sz val="10"/>
      <color rgb="FF000000"/>
      <name val="Arial"/>
      <charset val="1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</font>
    <font>
      <b/>
      <sz val="10"/>
      <color rgb="FFFF0000"/>
      <name val="Arial"/>
      <charset val="1"/>
    </font>
    <font>
      <sz val="11"/>
      <name val="Calibri"/>
    </font>
    <font>
      <b/>
      <sz val="14"/>
      <name val="Arial"/>
      <charset val="1"/>
    </font>
    <font>
      <b/>
      <sz val="14"/>
      <color rgb="FF000000"/>
      <name val="Arial"/>
      <charset val="1"/>
    </font>
    <font>
      <b/>
      <sz val="12"/>
      <color rgb="FF000000"/>
      <name val="Calibri"/>
    </font>
    <font>
      <b/>
      <sz val="10"/>
      <name val="Arial"/>
    </font>
    <font>
      <b/>
      <sz val="10"/>
      <color rgb="FF000000"/>
      <name val="Arial"/>
    </font>
    <font>
      <b/>
      <sz val="11"/>
      <color rgb="FF000000"/>
      <name val="Arial"/>
      <charset val="1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charset val="1"/>
    </font>
    <font>
      <b/>
      <sz val="36"/>
      <name val="Arial"/>
      <charset val="1"/>
    </font>
    <font>
      <sz val="14"/>
      <name val="Arial"/>
      <charset val="1"/>
    </font>
    <font>
      <sz val="12"/>
      <name val="Arial"/>
      <charset val="1"/>
    </font>
    <font>
      <b/>
      <sz val="12"/>
      <color rgb="FF000000"/>
      <name val="Arial"/>
      <charset val="1"/>
    </font>
    <font>
      <sz val="10"/>
      <color rgb="FFFF0000"/>
      <name val="Arial"/>
      <charset val="1"/>
    </font>
    <font>
      <b/>
      <sz val="11"/>
      <color rgb="FF333333"/>
      <name val="Arial"/>
    </font>
    <font>
      <b/>
      <sz val="16"/>
      <color rgb="FF000000"/>
      <name val="Arial"/>
      <charset val="1"/>
    </font>
    <font>
      <b/>
      <sz val="10"/>
      <color rgb="FFFF0000"/>
      <name val="Arial"/>
    </font>
    <font>
      <sz val="10"/>
      <color rgb="FF000000"/>
      <name val="Arial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2"/>
      <color rgb="FF000000"/>
      <name val="Arial"/>
    </font>
    <font>
      <b/>
      <sz val="48"/>
      <color rgb="FF000000"/>
      <name val="Arial"/>
      <charset val="1"/>
    </font>
    <font>
      <b/>
      <sz val="26"/>
      <color rgb="FF000000"/>
      <name val="Arial"/>
      <family val="2"/>
    </font>
    <font>
      <b/>
      <sz val="48"/>
      <color rgb="FF000000"/>
      <name val="Arial"/>
    </font>
    <font>
      <sz val="48"/>
      <color rgb="FF000000"/>
      <name val="Arial"/>
      <charset val="1"/>
    </font>
    <font>
      <b/>
      <sz val="48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26"/>
      <color rgb="FFFF0000"/>
      <name val="Calibri"/>
      <family val="2"/>
    </font>
    <font>
      <b/>
      <sz val="14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26"/>
      <name val="Calibri"/>
    </font>
    <font>
      <sz val="11"/>
      <color rgb="FFFF0000"/>
      <name val="Calibri"/>
      <family val="2"/>
      <scheme val="minor"/>
    </font>
    <font>
      <sz val="11"/>
      <color rgb="FFFF0000"/>
      <name val="Calibri"/>
    </font>
    <font>
      <b/>
      <sz val="11"/>
      <color rgb="FFFF0000"/>
      <name val="Calibri"/>
      <family val="2"/>
      <scheme val="minor"/>
    </font>
    <font>
      <b/>
      <sz val="20"/>
      <color rgb="FF000000"/>
      <name val="Calibri"/>
    </font>
    <font>
      <sz val="11"/>
      <color rgb="FF000000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rgb="FFFFF4F4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D9D2E9"/>
        <bgColor rgb="FFD9D9D9"/>
      </patternFill>
    </fill>
    <fill>
      <patternFill patternType="solid">
        <fgColor rgb="FFD0CECE"/>
        <bgColor rgb="FF000000"/>
      </patternFill>
    </fill>
    <fill>
      <patternFill patternType="solid">
        <fgColor rgb="FF92D050"/>
        <bgColor rgb="FFB7E1CD"/>
      </patternFill>
    </fill>
    <fill>
      <patternFill patternType="solid">
        <fgColor rgb="FFCCCCCC"/>
        <bgColor rgb="FFD0CECE"/>
      </patternFill>
    </fill>
    <fill>
      <patternFill patternType="solid">
        <fgColor rgb="FFD9D9D9"/>
        <bgColor rgb="FFD9D2E9"/>
      </patternFill>
    </fill>
    <fill>
      <patternFill patternType="solid">
        <fgColor rgb="FFFFFF00"/>
        <bgColor rgb="FFFFF2CC"/>
      </patternFill>
    </fill>
    <fill>
      <patternFill patternType="solid">
        <fgColor rgb="FF4A86E8"/>
        <bgColor rgb="FF5B9BD5"/>
      </patternFill>
    </fill>
    <fill>
      <patternFill patternType="solid">
        <fgColor rgb="FFCC0000"/>
        <bgColor rgb="FFFF0000"/>
      </patternFill>
    </fill>
    <fill>
      <patternFill patternType="solid">
        <fgColor rgb="FF70AD4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58">
    <xf numFmtId="0" fontId="0" fillId="0" borderId="0" xfId="0"/>
    <xf numFmtId="0" fontId="2" fillId="3" borderId="4" xfId="0" applyFont="1" applyFill="1" applyBorder="1"/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top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wrapText="1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9" fontId="2" fillId="4" borderId="6" xfId="0" applyNumberFormat="1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center"/>
    </xf>
    <xf numFmtId="42" fontId="2" fillId="4" borderId="3" xfId="0" applyNumberFormat="1" applyFont="1" applyFill="1" applyBorder="1"/>
    <xf numFmtId="9" fontId="2" fillId="4" borderId="6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/>
    <xf numFmtId="42" fontId="4" fillId="4" borderId="5" xfId="0" applyNumberFormat="1" applyFont="1" applyFill="1" applyBorder="1"/>
    <xf numFmtId="9" fontId="4" fillId="4" borderId="5" xfId="0" applyNumberFormat="1" applyFont="1" applyFill="1" applyBorder="1" applyAlignment="1">
      <alignment horizontal="center"/>
    </xf>
    <xf numFmtId="0" fontId="2" fillId="3" borderId="7" xfId="0" applyFont="1" applyFill="1" applyBorder="1"/>
    <xf numFmtId="42" fontId="4" fillId="3" borderId="5" xfId="0" applyNumberFormat="1" applyFont="1" applyFill="1" applyBorder="1"/>
    <xf numFmtId="9" fontId="4" fillId="3" borderId="5" xfId="0" applyNumberFormat="1" applyFont="1" applyFill="1" applyBorder="1" applyAlignment="1">
      <alignment horizontal="center"/>
    </xf>
    <xf numFmtId="9" fontId="6" fillId="4" borderId="6" xfId="0" applyNumberFormat="1" applyFont="1" applyFill="1" applyBorder="1" applyAlignment="1">
      <alignment horizontal="center" vertical="top"/>
    </xf>
    <xf numFmtId="9" fontId="6" fillId="4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9" fontId="2" fillId="3" borderId="3" xfId="0" applyNumberFormat="1" applyFont="1" applyFill="1" applyBorder="1" applyAlignment="1">
      <alignment horizontal="center" vertical="top"/>
    </xf>
    <xf numFmtId="42" fontId="2" fillId="3" borderId="3" xfId="0" applyNumberFormat="1" applyFont="1" applyFill="1" applyBorder="1"/>
    <xf numFmtId="0" fontId="7" fillId="3" borderId="3" xfId="0" applyFont="1" applyFill="1" applyBorder="1"/>
    <xf numFmtId="0" fontId="4" fillId="3" borderId="3" xfId="0" applyFont="1" applyFill="1" applyBorder="1"/>
    <xf numFmtId="42" fontId="4" fillId="5" borderId="3" xfId="0" applyNumberFormat="1" applyFont="1" applyFill="1" applyBorder="1"/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horizontal="left" vertical="top"/>
    </xf>
    <xf numFmtId="0" fontId="2" fillId="5" borderId="3" xfId="0" applyFont="1" applyFill="1" applyBorder="1"/>
    <xf numFmtId="42" fontId="2" fillId="5" borderId="3" xfId="0" applyNumberFormat="1" applyFont="1" applyFill="1" applyBorder="1"/>
    <xf numFmtId="42" fontId="2" fillId="6" borderId="3" xfId="0" applyNumberFormat="1" applyFont="1" applyFill="1" applyBorder="1"/>
    <xf numFmtId="0" fontId="2" fillId="0" borderId="3" xfId="0" applyFont="1" applyBorder="1"/>
    <xf numFmtId="0" fontId="4" fillId="5" borderId="3" xfId="0" applyFont="1" applyFill="1" applyBorder="1"/>
    <xf numFmtId="0" fontId="4" fillId="5" borderId="2" xfId="0" applyFont="1" applyFill="1" applyBorder="1"/>
    <xf numFmtId="0" fontId="4" fillId="5" borderId="6" xfId="0" applyFont="1" applyFill="1" applyBorder="1"/>
    <xf numFmtId="6" fontId="4" fillId="7" borderId="3" xfId="0" applyNumberFormat="1" applyFont="1" applyFill="1" applyBorder="1"/>
    <xf numFmtId="42" fontId="4" fillId="7" borderId="2" xfId="0" applyNumberFormat="1" applyFont="1" applyFill="1" applyBorder="1"/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2" fillId="4" borderId="8" xfId="0" applyFont="1" applyFill="1" applyBorder="1" applyAlignment="1">
      <alignment horizontal="center" vertical="center"/>
    </xf>
    <xf numFmtId="9" fontId="2" fillId="4" borderId="3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top"/>
    </xf>
    <xf numFmtId="42" fontId="4" fillId="3" borderId="3" xfId="0" applyNumberFormat="1" applyFont="1" applyFill="1" applyBorder="1"/>
    <xf numFmtId="0" fontId="2" fillId="8" borderId="8" xfId="0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top"/>
    </xf>
    <xf numFmtId="0" fontId="2" fillId="8" borderId="3" xfId="0" applyFont="1" applyFill="1" applyBorder="1"/>
    <xf numFmtId="42" fontId="2" fillId="8" borderId="3" xfId="0" applyNumberFormat="1" applyFont="1" applyFill="1" applyBorder="1"/>
    <xf numFmtId="9" fontId="6" fillId="3" borderId="3" xfId="0" applyNumberFormat="1" applyFont="1" applyFill="1" applyBorder="1" applyAlignment="1">
      <alignment horizontal="center"/>
    </xf>
    <xf numFmtId="42" fontId="2" fillId="3" borderId="3" xfId="0" applyNumberFormat="1" applyFont="1" applyFill="1" applyBorder="1" applyAlignment="1">
      <alignment wrapText="1"/>
    </xf>
    <xf numFmtId="0" fontId="0" fillId="0" borderId="6" xfId="0" applyBorder="1"/>
    <xf numFmtId="9" fontId="2" fillId="0" borderId="6" xfId="0" applyNumberFormat="1" applyFont="1" applyBorder="1" applyAlignment="1">
      <alignment horizontal="center" vertical="top"/>
    </xf>
    <xf numFmtId="42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4" fillId="3" borderId="2" xfId="0" applyFont="1" applyFill="1" applyBorder="1"/>
    <xf numFmtId="0" fontId="2" fillId="0" borderId="7" xfId="0" applyFont="1" applyBorder="1" applyAlignment="1">
      <alignment vertical="center"/>
    </xf>
    <xf numFmtId="6" fontId="4" fillId="7" borderId="2" xfId="0" applyNumberFormat="1" applyFont="1" applyFill="1" applyBorder="1"/>
    <xf numFmtId="42" fontId="4" fillId="7" borderId="5" xfId="0" applyNumberFormat="1" applyFont="1" applyFill="1" applyBorder="1"/>
    <xf numFmtId="0" fontId="4" fillId="3" borderId="10" xfId="0" applyFont="1" applyFill="1" applyBorder="1"/>
    <xf numFmtId="0" fontId="2" fillId="4" borderId="4" xfId="0" applyFont="1" applyFill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/>
    </xf>
    <xf numFmtId="42" fontId="2" fillId="4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/>
    <xf numFmtId="9" fontId="2" fillId="3" borderId="3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/>
    <xf numFmtId="42" fontId="7" fillId="0" borderId="3" xfId="0" applyNumberFormat="1" applyFont="1" applyBorder="1"/>
    <xf numFmtId="0" fontId="7" fillId="0" borderId="3" xfId="0" applyFont="1" applyBorder="1"/>
    <xf numFmtId="0" fontId="2" fillId="0" borderId="3" xfId="0" applyFont="1" applyBorder="1" applyAlignment="1">
      <alignment vertical="center"/>
    </xf>
    <xf numFmtId="42" fontId="4" fillId="7" borderId="3" xfId="0" applyNumberFormat="1" applyFont="1" applyFill="1" applyBorder="1"/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/>
    <xf numFmtId="42" fontId="2" fillId="3" borderId="0" xfId="0" applyNumberFormat="1" applyFont="1" applyFill="1"/>
    <xf numFmtId="0" fontId="4" fillId="3" borderId="0" xfId="0" applyFont="1" applyFill="1"/>
    <xf numFmtId="6" fontId="4" fillId="3" borderId="0" xfId="0" applyNumberFormat="1" applyFont="1" applyFill="1"/>
    <xf numFmtId="42" fontId="4" fillId="3" borderId="0" xfId="0" applyNumberFormat="1" applyFont="1" applyFill="1"/>
    <xf numFmtId="9" fontId="6" fillId="4" borderId="3" xfId="0" applyNumberFormat="1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9" fontId="4" fillId="4" borderId="1" xfId="0" applyNumberFormat="1" applyFont="1" applyFill="1" applyBorder="1" applyAlignment="1">
      <alignment horizontal="center"/>
    </xf>
    <xf numFmtId="42" fontId="4" fillId="4" borderId="3" xfId="0" applyNumberFormat="1" applyFont="1" applyFill="1" applyBorder="1"/>
    <xf numFmtId="9" fontId="10" fillId="3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9" fontId="10" fillId="3" borderId="5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165" fontId="4" fillId="4" borderId="3" xfId="0" applyNumberFormat="1" applyFont="1" applyFill="1" applyBorder="1"/>
    <xf numFmtId="6" fontId="4" fillId="8" borderId="10" xfId="0" applyNumberFormat="1" applyFont="1" applyFill="1" applyBorder="1"/>
    <xf numFmtId="6" fontId="4" fillId="9" borderId="3" xfId="0" applyNumberFormat="1" applyFont="1" applyFill="1" applyBorder="1"/>
    <xf numFmtId="0" fontId="1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2" fontId="0" fillId="0" borderId="0" xfId="0" applyNumberFormat="1"/>
    <xf numFmtId="0" fontId="2" fillId="4" borderId="7" xfId="0" applyFont="1" applyFill="1" applyBorder="1"/>
    <xf numFmtId="9" fontId="10" fillId="4" borderId="5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/>
    </xf>
    <xf numFmtId="0" fontId="0" fillId="0" borderId="3" xfId="0" applyBorder="1"/>
    <xf numFmtId="0" fontId="2" fillId="0" borderId="5" xfId="0" applyFont="1" applyBorder="1" applyAlignment="1">
      <alignment vertical="center"/>
    </xf>
    <xf numFmtId="9" fontId="6" fillId="3" borderId="3" xfId="0" applyNumberFormat="1" applyFont="1" applyFill="1" applyBorder="1" applyAlignment="1">
      <alignment horizontal="center" vertical="top"/>
    </xf>
    <xf numFmtId="0" fontId="2" fillId="4" borderId="2" xfId="0" applyFont="1" applyFill="1" applyBorder="1"/>
    <xf numFmtId="9" fontId="2" fillId="4" borderId="3" xfId="0" applyNumberFormat="1" applyFont="1" applyFill="1" applyBorder="1" applyAlignment="1">
      <alignment horizontal="center" vertical="top"/>
    </xf>
    <xf numFmtId="0" fontId="2" fillId="8" borderId="4" xfId="0" applyFont="1" applyFill="1" applyBorder="1" applyAlignment="1">
      <alignment horizontal="center" vertical="center"/>
    </xf>
    <xf numFmtId="42" fontId="13" fillId="3" borderId="3" xfId="0" applyNumberFormat="1" applyFont="1" applyFill="1" applyBorder="1"/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/>
    <xf numFmtId="0" fontId="15" fillId="0" borderId="0" xfId="0" applyFont="1"/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9" fontId="16" fillId="4" borderId="6" xfId="0" applyNumberFormat="1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42" fontId="2" fillId="4" borderId="3" xfId="0" applyNumberFormat="1" applyFont="1" applyFill="1" applyBorder="1" applyAlignment="1">
      <alignment horizontal="center"/>
    </xf>
    <xf numFmtId="9" fontId="2" fillId="4" borderId="2" xfId="0" applyNumberFormat="1" applyFont="1" applyFill="1" applyBorder="1" applyAlignment="1">
      <alignment horizontal="center"/>
    </xf>
    <xf numFmtId="42" fontId="2" fillId="4" borderId="4" xfId="0" applyNumberFormat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center" vertical="center"/>
    </xf>
    <xf numFmtId="42" fontId="2" fillId="3" borderId="3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42" fontId="2" fillId="0" borderId="3" xfId="0" applyNumberFormat="1" applyFont="1" applyBorder="1" applyAlignment="1">
      <alignment horizontal="right"/>
    </xf>
    <xf numFmtId="0" fontId="2" fillId="0" borderId="5" xfId="0" applyFont="1" applyBorder="1"/>
    <xf numFmtId="166" fontId="2" fillId="7" borderId="5" xfId="0" applyNumberFormat="1" applyFont="1" applyFill="1" applyBorder="1" applyAlignment="1">
      <alignment horizontal="right"/>
    </xf>
    <xf numFmtId="0" fontId="6" fillId="4" borderId="3" xfId="0" applyFont="1" applyFill="1" applyBorder="1" applyAlignment="1">
      <alignment horizontal="center"/>
    </xf>
    <xf numFmtId="42" fontId="2" fillId="4" borderId="3" xfId="0" applyNumberFormat="1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42" fontId="2" fillId="3" borderId="3" xfId="0" applyNumberFormat="1" applyFont="1" applyFill="1" applyBorder="1" applyAlignment="1">
      <alignment horizontal="right"/>
    </xf>
    <xf numFmtId="0" fontId="16" fillId="0" borderId="3" xfId="0" applyFont="1" applyBorder="1"/>
    <xf numFmtId="0" fontId="16" fillId="0" borderId="0" xfId="0" applyFont="1"/>
    <xf numFmtId="42" fontId="2" fillId="4" borderId="4" xfId="0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top"/>
    </xf>
    <xf numFmtId="0" fontId="2" fillId="3" borderId="1" xfId="0" applyFont="1" applyFill="1" applyBorder="1"/>
    <xf numFmtId="9" fontId="2" fillId="3" borderId="4" xfId="0" applyNumberFormat="1" applyFont="1" applyFill="1" applyBorder="1" applyAlignment="1">
      <alignment horizontal="center"/>
    </xf>
    <xf numFmtId="0" fontId="16" fillId="0" borderId="5" xfId="0" applyFont="1" applyBorder="1"/>
    <xf numFmtId="0" fontId="2" fillId="0" borderId="1" xfId="0" applyFont="1" applyBorder="1"/>
    <xf numFmtId="42" fontId="2" fillId="7" borderId="4" xfId="0" applyNumberFormat="1" applyFont="1" applyFill="1" applyBorder="1" applyAlignment="1">
      <alignment horizontal="right"/>
    </xf>
    <xf numFmtId="0" fontId="18" fillId="4" borderId="0" xfId="0" applyFont="1" applyFill="1"/>
    <xf numFmtId="9" fontId="6" fillId="4" borderId="2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wrapText="1"/>
    </xf>
    <xf numFmtId="42" fontId="2" fillId="3" borderId="2" xfId="0" applyNumberFormat="1" applyFont="1" applyFill="1" applyBorder="1" applyAlignment="1">
      <alignment horizontal="left" vertical="center"/>
    </xf>
    <xf numFmtId="0" fontId="18" fillId="4" borderId="3" xfId="0" applyFont="1" applyFill="1" applyBorder="1"/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top"/>
    </xf>
    <xf numFmtId="0" fontId="16" fillId="3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9" fontId="2" fillId="4" borderId="11" xfId="0" applyNumberFormat="1" applyFont="1" applyFill="1" applyBorder="1" applyAlignment="1">
      <alignment horizontal="center"/>
    </xf>
    <xf numFmtId="9" fontId="6" fillId="4" borderId="2" xfId="0" applyNumberFormat="1" applyFont="1" applyFill="1" applyBorder="1" applyAlignment="1">
      <alignment horizontal="center" vertical="top"/>
    </xf>
    <xf numFmtId="0" fontId="2" fillId="4" borderId="6" xfId="0" applyFont="1" applyFill="1" applyBorder="1"/>
    <xf numFmtId="9" fontId="6" fillId="4" borderId="11" xfId="0" applyNumberFormat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horizontal="center" vertical="top"/>
    </xf>
    <xf numFmtId="9" fontId="2" fillId="4" borderId="7" xfId="0" applyNumberFormat="1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/>
    </xf>
    <xf numFmtId="9" fontId="2" fillId="3" borderId="11" xfId="0" applyNumberFormat="1" applyFont="1" applyFill="1" applyBorder="1" applyAlignment="1">
      <alignment horizontal="center"/>
    </xf>
    <xf numFmtId="42" fontId="2" fillId="7" borderId="3" xfId="0" applyNumberFormat="1" applyFont="1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/>
    <xf numFmtId="164" fontId="4" fillId="2" borderId="10" xfId="0" applyNumberFormat="1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167" fontId="4" fillId="2" borderId="16" xfId="0" applyNumberFormat="1" applyFont="1" applyFill="1" applyBorder="1" applyAlignment="1">
      <alignment horizontal="left"/>
    </xf>
    <xf numFmtId="0" fontId="4" fillId="2" borderId="1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left"/>
    </xf>
    <xf numFmtId="164" fontId="20" fillId="5" borderId="3" xfId="0" applyNumberFormat="1" applyFont="1" applyFill="1" applyBorder="1" applyAlignment="1">
      <alignment horizontal="left"/>
    </xf>
    <xf numFmtId="0" fontId="20" fillId="5" borderId="3" xfId="0" applyFont="1" applyFill="1" applyBorder="1" applyAlignment="1">
      <alignment horizontal="left"/>
    </xf>
    <xf numFmtId="167" fontId="20" fillId="5" borderId="3" xfId="0" applyNumberFormat="1" applyFont="1" applyFill="1" applyBorder="1" applyAlignment="1">
      <alignment horizontal="left"/>
    </xf>
    <xf numFmtId="0" fontId="20" fillId="5" borderId="3" xfId="0" applyFont="1" applyFill="1" applyBorder="1" applyAlignment="1">
      <alignment horizontal="center"/>
    </xf>
    <xf numFmtId="164" fontId="20" fillId="5" borderId="4" xfId="0" applyNumberFormat="1" applyFont="1" applyFill="1" applyBorder="1" applyAlignment="1">
      <alignment horizontal="left"/>
    </xf>
    <xf numFmtId="14" fontId="20" fillId="3" borderId="3" xfId="0" applyNumberFormat="1" applyFont="1" applyFill="1" applyBorder="1" applyAlignment="1">
      <alignment horizontal="left"/>
    </xf>
    <xf numFmtId="0" fontId="20" fillId="3" borderId="7" xfId="0" applyFont="1" applyFill="1" applyBorder="1" applyAlignment="1">
      <alignment horizontal="left"/>
    </xf>
    <xf numFmtId="0" fontId="20" fillId="3" borderId="5" xfId="0" applyFont="1" applyFill="1" applyBorder="1" applyAlignment="1">
      <alignment horizontal="left"/>
    </xf>
    <xf numFmtId="42" fontId="20" fillId="3" borderId="5" xfId="0" applyNumberFormat="1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0" fontId="20" fillId="3" borderId="5" xfId="0" applyFont="1" applyFill="1" applyBorder="1"/>
    <xf numFmtId="0" fontId="20" fillId="3" borderId="6" xfId="0" applyFont="1" applyFill="1" applyBorder="1" applyAlignment="1">
      <alignment horizontal="left"/>
    </xf>
    <xf numFmtId="0" fontId="20" fillId="3" borderId="3" xfId="0" applyFont="1" applyFill="1" applyBorder="1" applyAlignment="1">
      <alignment horizontal="left"/>
    </xf>
    <xf numFmtId="42" fontId="20" fillId="3" borderId="3" xfId="0" applyNumberFormat="1" applyFont="1" applyFill="1" applyBorder="1" applyAlignment="1">
      <alignment horizontal="left"/>
    </xf>
    <xf numFmtId="0" fontId="20" fillId="4" borderId="3" xfId="0" applyFont="1" applyFill="1" applyBorder="1" applyAlignment="1">
      <alignment horizontal="left"/>
    </xf>
    <xf numFmtId="0" fontId="20" fillId="3" borderId="3" xfId="0" applyFont="1" applyFill="1" applyBorder="1"/>
    <xf numFmtId="0" fontId="20" fillId="0" borderId="3" xfId="0" applyFont="1" applyBorder="1" applyAlignment="1">
      <alignment horizontal="left"/>
    </xf>
    <xf numFmtId="42" fontId="20" fillId="0" borderId="3" xfId="0" applyNumberFormat="1" applyFont="1" applyBorder="1" applyAlignment="1">
      <alignment horizontal="left"/>
    </xf>
    <xf numFmtId="0" fontId="20" fillId="0" borderId="3" xfId="0" applyFont="1" applyBorder="1"/>
    <xf numFmtId="42" fontId="20" fillId="0" borderId="5" xfId="0" applyNumberFormat="1" applyFont="1" applyBorder="1" applyAlignment="1">
      <alignment horizontal="left"/>
    </xf>
    <xf numFmtId="164" fontId="20" fillId="0" borderId="3" xfId="0" applyNumberFormat="1" applyFont="1" applyBorder="1" applyAlignment="1">
      <alignment horizontal="left"/>
    </xf>
    <xf numFmtId="0" fontId="21" fillId="5" borderId="3" xfId="0" applyFont="1" applyFill="1" applyBorder="1"/>
    <xf numFmtId="0" fontId="4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167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20" fillId="5" borderId="8" xfId="0" applyFont="1" applyFill="1" applyBorder="1" applyAlignment="1">
      <alignment horizontal="left"/>
    </xf>
    <xf numFmtId="0" fontId="20" fillId="5" borderId="4" xfId="0" applyFont="1" applyFill="1" applyBorder="1" applyAlignment="1">
      <alignment horizontal="left"/>
    </xf>
    <xf numFmtId="167" fontId="20" fillId="5" borderId="4" xfId="0" applyNumberFormat="1" applyFont="1" applyFill="1" applyBorder="1" applyAlignment="1">
      <alignment horizontal="left"/>
    </xf>
    <xf numFmtId="0" fontId="20" fillId="5" borderId="4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left"/>
    </xf>
    <xf numFmtId="42" fontId="20" fillId="3" borderId="3" xfId="0" applyNumberFormat="1" applyFont="1" applyFill="1" applyBorder="1"/>
    <xf numFmtId="0" fontId="20" fillId="3" borderId="8" xfId="0" applyFont="1" applyFill="1" applyBorder="1" applyAlignment="1">
      <alignment horizontal="left"/>
    </xf>
    <xf numFmtId="0" fontId="20" fillId="3" borderId="4" xfId="0" applyFont="1" applyFill="1" applyBorder="1" applyAlignment="1">
      <alignment horizontal="left"/>
    </xf>
    <xf numFmtId="42" fontId="20" fillId="3" borderId="4" xfId="0" applyNumberFormat="1" applyFont="1" applyFill="1" applyBorder="1" applyAlignment="1">
      <alignment horizontal="left"/>
    </xf>
    <xf numFmtId="0" fontId="20" fillId="3" borderId="4" xfId="0" applyFont="1" applyFill="1" applyBorder="1"/>
    <xf numFmtId="164" fontId="20" fillId="0" borderId="5" xfId="0" applyNumberFormat="1" applyFont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167" fontId="4" fillId="2" borderId="10" xfId="0" applyNumberFormat="1" applyFont="1" applyFill="1" applyBorder="1" applyAlignment="1">
      <alignment horizontal="left"/>
    </xf>
    <xf numFmtId="0" fontId="4" fillId="2" borderId="10" xfId="0" applyFont="1" applyFill="1" applyBorder="1" applyAlignment="1">
      <alignment horizontal="center"/>
    </xf>
    <xf numFmtId="164" fontId="20" fillId="5" borderId="10" xfId="0" applyNumberFormat="1" applyFont="1" applyFill="1" applyBorder="1" applyAlignment="1">
      <alignment horizontal="left"/>
    </xf>
    <xf numFmtId="0" fontId="20" fillId="5" borderId="10" xfId="0" applyFont="1" applyFill="1" applyBorder="1" applyAlignment="1">
      <alignment horizontal="left"/>
    </xf>
    <xf numFmtId="167" fontId="20" fillId="5" borderId="10" xfId="0" applyNumberFormat="1" applyFont="1" applyFill="1" applyBorder="1" applyAlignment="1">
      <alignment horizontal="left"/>
    </xf>
    <xf numFmtId="0" fontId="20" fillId="5" borderId="10" xfId="0" applyFont="1" applyFill="1" applyBorder="1" applyAlignment="1">
      <alignment horizontal="center"/>
    </xf>
    <xf numFmtId="14" fontId="20" fillId="3" borderId="4" xfId="0" applyNumberFormat="1" applyFont="1" applyFill="1" applyBorder="1" applyAlignment="1">
      <alignment horizontal="left"/>
    </xf>
    <xf numFmtId="0" fontId="20" fillId="5" borderId="7" xfId="0" applyFont="1" applyFill="1" applyBorder="1" applyAlignment="1">
      <alignment horizontal="left"/>
    </xf>
    <xf numFmtId="0" fontId="20" fillId="5" borderId="5" xfId="0" applyFont="1" applyFill="1" applyBorder="1" applyAlignment="1">
      <alignment horizontal="left"/>
    </xf>
    <xf numFmtId="167" fontId="20" fillId="5" borderId="5" xfId="0" applyNumberFormat="1" applyFont="1" applyFill="1" applyBorder="1" applyAlignment="1">
      <alignment horizontal="left"/>
    </xf>
    <xf numFmtId="0" fontId="20" fillId="5" borderId="5" xfId="0" applyFont="1" applyFill="1" applyBorder="1" applyAlignment="1">
      <alignment horizontal="center"/>
    </xf>
    <xf numFmtId="0" fontId="20" fillId="3" borderId="1" xfId="0" applyFont="1" applyFill="1" applyBorder="1"/>
    <xf numFmtId="164" fontId="20" fillId="3" borderId="10" xfId="0" applyNumberFormat="1" applyFont="1" applyFill="1" applyBorder="1" applyAlignment="1">
      <alignment horizontal="left"/>
    </xf>
    <xf numFmtId="0" fontId="20" fillId="3" borderId="10" xfId="0" applyFont="1" applyFill="1" applyBorder="1" applyAlignment="1">
      <alignment horizontal="left"/>
    </xf>
    <xf numFmtId="0" fontId="20" fillId="3" borderId="17" xfId="0" applyFont="1" applyFill="1" applyBorder="1" applyAlignment="1">
      <alignment horizontal="left"/>
    </xf>
    <xf numFmtId="167" fontId="20" fillId="3" borderId="3" xfId="0" applyNumberFormat="1" applyFont="1" applyFill="1" applyBorder="1" applyAlignment="1">
      <alignment horizontal="right"/>
    </xf>
    <xf numFmtId="0" fontId="20" fillId="3" borderId="16" xfId="0" applyFont="1" applyFill="1" applyBorder="1"/>
    <xf numFmtId="0" fontId="20" fillId="3" borderId="10" xfId="0" applyFont="1" applyFill="1" applyBorder="1"/>
    <xf numFmtId="0" fontId="20" fillId="3" borderId="10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left"/>
    </xf>
    <xf numFmtId="0" fontId="20" fillId="3" borderId="6" xfId="0" applyFont="1" applyFill="1" applyBorder="1"/>
    <xf numFmtId="0" fontId="20" fillId="3" borderId="1" xfId="0" applyFont="1" applyFill="1" applyBorder="1" applyAlignment="1">
      <alignment horizontal="left"/>
    </xf>
    <xf numFmtId="42" fontId="20" fillId="3" borderId="3" xfId="0" applyNumberFormat="1" applyFont="1" applyFill="1" applyBorder="1" applyAlignment="1">
      <alignment horizontal="right"/>
    </xf>
    <xf numFmtId="0" fontId="20" fillId="4" borderId="4" xfId="0" applyFont="1" applyFill="1" applyBorder="1" applyAlignment="1">
      <alignment horizontal="left"/>
    </xf>
    <xf numFmtId="0" fontId="22" fillId="5" borderId="3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3" fillId="3" borderId="0" xfId="0" applyFont="1" applyFill="1"/>
    <xf numFmtId="0" fontId="24" fillId="10" borderId="0" xfId="0" applyFont="1" applyFill="1"/>
    <xf numFmtId="0" fontId="24" fillId="0" borderId="0" xfId="0" applyFont="1"/>
    <xf numFmtId="0" fontId="25" fillId="11" borderId="20" xfId="0" applyFont="1" applyFill="1" applyBorder="1"/>
    <xf numFmtId="0" fontId="26" fillId="12" borderId="3" xfId="0" applyFont="1" applyFill="1" applyBorder="1"/>
    <xf numFmtId="0" fontId="27" fillId="12" borderId="3" xfId="0" applyFont="1" applyFill="1" applyBorder="1"/>
    <xf numFmtId="6" fontId="27" fillId="12" borderId="3" xfId="0" applyNumberFormat="1" applyFont="1" applyFill="1" applyBorder="1"/>
    <xf numFmtId="0" fontId="26" fillId="13" borderId="3" xfId="0" applyFont="1" applyFill="1" applyBorder="1"/>
    <xf numFmtId="0" fontId="27" fillId="13" borderId="3" xfId="0" applyFont="1" applyFill="1" applyBorder="1"/>
    <xf numFmtId="6" fontId="27" fillId="13" borderId="3" xfId="0" applyNumberFormat="1" applyFont="1" applyFill="1" applyBorder="1"/>
    <xf numFmtId="0" fontId="26" fillId="14" borderId="3" xfId="0" applyFont="1" applyFill="1" applyBorder="1"/>
    <xf numFmtId="0" fontId="27" fillId="14" borderId="3" xfId="0" applyFont="1" applyFill="1" applyBorder="1"/>
    <xf numFmtId="0" fontId="25" fillId="11" borderId="21" xfId="0" applyFont="1" applyFill="1" applyBorder="1"/>
    <xf numFmtId="164" fontId="4" fillId="9" borderId="10" xfId="0" applyNumberFormat="1" applyFont="1" applyFill="1" applyBorder="1" applyAlignment="1">
      <alignment horizontal="left"/>
    </xf>
    <xf numFmtId="0" fontId="4" fillId="9" borderId="16" xfId="0" applyFont="1" applyFill="1" applyBorder="1" applyAlignment="1">
      <alignment horizontal="left"/>
    </xf>
    <xf numFmtId="167" fontId="4" fillId="9" borderId="16" xfId="0" applyNumberFormat="1" applyFont="1" applyFill="1" applyBorder="1" applyAlignment="1">
      <alignment horizontal="left"/>
    </xf>
    <xf numFmtId="0" fontId="4" fillId="9" borderId="16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4" xfId="0" applyFont="1" applyFill="1" applyBorder="1" applyAlignment="1">
      <alignment horizontal="left"/>
    </xf>
    <xf numFmtId="164" fontId="4" fillId="9" borderId="3" xfId="0" applyNumberFormat="1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167" fontId="4" fillId="9" borderId="3" xfId="0" applyNumberFormat="1" applyFont="1" applyFill="1" applyBorder="1" applyAlignment="1">
      <alignment horizontal="left"/>
    </xf>
    <xf numFmtId="0" fontId="4" fillId="9" borderId="3" xfId="0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42" fontId="4" fillId="5" borderId="5" xfId="0" applyNumberFormat="1" applyFont="1" applyFill="1" applyBorder="1" applyAlignment="1">
      <alignment horizontal="left"/>
    </xf>
    <xf numFmtId="0" fontId="4" fillId="5" borderId="5" xfId="0" applyFont="1" applyFill="1" applyBorder="1"/>
    <xf numFmtId="42" fontId="4" fillId="5" borderId="3" xfId="0" applyNumberFormat="1" applyFont="1" applyFill="1" applyBorder="1" applyAlignment="1">
      <alignment horizontal="left"/>
    </xf>
    <xf numFmtId="14" fontId="4" fillId="3" borderId="3" xfId="0" applyNumberFormat="1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42" fontId="4" fillId="3" borderId="3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22" fillId="5" borderId="3" xfId="0" applyFont="1" applyFill="1" applyBorder="1"/>
    <xf numFmtId="0" fontId="30" fillId="12" borderId="3" xfId="0" applyFont="1" applyFill="1" applyBorder="1"/>
    <xf numFmtId="0" fontId="16" fillId="12" borderId="3" xfId="0" applyFont="1" applyFill="1" applyBorder="1"/>
    <xf numFmtId="6" fontId="16" fillId="12" borderId="3" xfId="0" applyNumberFormat="1" applyFont="1" applyFill="1" applyBorder="1"/>
    <xf numFmtId="167" fontId="4" fillId="5" borderId="3" xfId="0" applyNumberFormat="1" applyFont="1" applyFill="1" applyBorder="1" applyAlignment="1">
      <alignment horizontal="left"/>
    </xf>
    <xf numFmtId="164" fontId="4" fillId="3" borderId="3" xfId="0" applyNumberFormat="1" applyFont="1" applyFill="1" applyBorder="1" applyAlignment="1">
      <alignment horizontal="left"/>
    </xf>
    <xf numFmtId="42" fontId="4" fillId="3" borderId="3" xfId="0" applyNumberFormat="1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left"/>
    </xf>
    <xf numFmtId="42" fontId="4" fillId="3" borderId="5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left"/>
    </xf>
    <xf numFmtId="42" fontId="4" fillId="3" borderId="4" xfId="0" applyNumberFormat="1" applyFont="1" applyFill="1" applyBorder="1" applyAlignment="1">
      <alignment horizontal="right"/>
    </xf>
    <xf numFmtId="0" fontId="4" fillId="3" borderId="4" xfId="0" applyFont="1" applyFill="1" applyBorder="1"/>
    <xf numFmtId="0" fontId="4" fillId="3" borderId="7" xfId="0" applyFont="1" applyFill="1" applyBorder="1" applyAlignment="1">
      <alignment horizontal="left"/>
    </xf>
    <xf numFmtId="42" fontId="4" fillId="3" borderId="5" xfId="0" applyNumberFormat="1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0" fontId="22" fillId="5" borderId="3" xfId="0" applyFont="1" applyFill="1" applyBorder="1" applyAlignment="1">
      <alignment horizontal="left"/>
    </xf>
    <xf numFmtId="0" fontId="31" fillId="3" borderId="0" xfId="0" applyFont="1" applyFill="1" applyAlignment="1">
      <alignment horizontal="left"/>
    </xf>
    <xf numFmtId="0" fontId="31" fillId="3" borderId="0" xfId="0" applyFont="1" applyFill="1"/>
    <xf numFmtId="167" fontId="4" fillId="3" borderId="3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167" fontId="4" fillId="3" borderId="5" xfId="0" applyNumberFormat="1" applyFont="1" applyFill="1" applyBorder="1" applyAlignment="1">
      <alignment horizontal="left"/>
    </xf>
    <xf numFmtId="168" fontId="4" fillId="3" borderId="5" xfId="0" applyNumberFormat="1" applyFont="1" applyFill="1" applyBorder="1" applyAlignment="1">
      <alignment horizontal="left"/>
    </xf>
    <xf numFmtId="0" fontId="30" fillId="10" borderId="0" xfId="0" applyFont="1" applyFill="1"/>
    <xf numFmtId="0" fontId="24" fillId="12" borderId="0" xfId="0" applyFont="1" applyFill="1"/>
    <xf numFmtId="0" fontId="27" fillId="12" borderId="2" xfId="0" applyFont="1" applyFill="1" applyBorder="1"/>
    <xf numFmtId="0" fontId="34" fillId="0" borderId="3" xfId="0" applyFont="1" applyBorder="1"/>
    <xf numFmtId="0" fontId="28" fillId="15" borderId="3" xfId="0" applyFont="1" applyFill="1" applyBorder="1"/>
    <xf numFmtId="3" fontId="35" fillId="15" borderId="3" xfId="0" applyNumberFormat="1" applyFont="1" applyFill="1" applyBorder="1"/>
    <xf numFmtId="0" fontId="28" fillId="16" borderId="2" xfId="0" applyFont="1" applyFill="1" applyBorder="1"/>
    <xf numFmtId="0" fontId="36" fillId="11" borderId="5" xfId="0" applyFont="1" applyFill="1" applyBorder="1" applyAlignment="1">
      <alignment horizontal="center"/>
    </xf>
    <xf numFmtId="0" fontId="36" fillId="11" borderId="1" xfId="0" applyFont="1" applyFill="1" applyBorder="1" applyAlignment="1">
      <alignment horizontal="center"/>
    </xf>
    <xf numFmtId="0" fontId="30" fillId="3" borderId="3" xfId="0" applyFont="1" applyFill="1" applyBorder="1"/>
    <xf numFmtId="9" fontId="30" fillId="3" borderId="3" xfId="0" applyNumberFormat="1" applyFont="1" applyFill="1" applyBorder="1"/>
    <xf numFmtId="0" fontId="26" fillId="3" borderId="3" xfId="0" applyFont="1" applyFill="1" applyBorder="1"/>
    <xf numFmtId="3" fontId="26" fillId="3" borderId="3" xfId="0" applyNumberFormat="1" applyFont="1" applyFill="1" applyBorder="1"/>
    <xf numFmtId="0" fontId="37" fillId="11" borderId="20" xfId="0" applyFont="1" applyFill="1" applyBorder="1"/>
    <xf numFmtId="0" fontId="38" fillId="12" borderId="3" xfId="0" applyFont="1" applyFill="1" applyBorder="1"/>
    <xf numFmtId="0" fontId="39" fillId="12" borderId="3" xfId="0" applyFont="1" applyFill="1" applyBorder="1"/>
    <xf numFmtId="0" fontId="28" fillId="17" borderId="3" xfId="0" applyFont="1" applyFill="1" applyBorder="1"/>
    <xf numFmtId="0" fontId="16" fillId="3" borderId="3" xfId="0" applyFont="1" applyFill="1" applyBorder="1"/>
    <xf numFmtId="0" fontId="41" fillId="3" borderId="5" xfId="0" applyFont="1" applyFill="1" applyBorder="1"/>
    <xf numFmtId="0" fontId="41" fillId="3" borderId="5" xfId="0" applyFont="1" applyFill="1" applyBorder="1" applyAlignment="1">
      <alignment horizontal="center"/>
    </xf>
    <xf numFmtId="42" fontId="16" fillId="3" borderId="3" xfId="0" applyNumberFormat="1" applyFont="1" applyFill="1" applyBorder="1"/>
    <xf numFmtId="0" fontId="16" fillId="3" borderId="7" xfId="0" applyFont="1" applyFill="1" applyBorder="1"/>
    <xf numFmtId="42" fontId="41" fillId="3" borderId="5" xfId="0" applyNumberFormat="1" applyFont="1" applyFill="1" applyBorder="1"/>
    <xf numFmtId="9" fontId="41" fillId="3" borderId="5" xfId="0" applyNumberFormat="1" applyFont="1" applyFill="1" applyBorder="1" applyAlignment="1">
      <alignment horizontal="center"/>
    </xf>
    <xf numFmtId="9" fontId="42" fillId="3" borderId="1" xfId="0" applyNumberFormat="1" applyFont="1" applyFill="1" applyBorder="1" applyAlignment="1">
      <alignment horizontal="center"/>
    </xf>
    <xf numFmtId="42" fontId="41" fillId="3" borderId="3" xfId="0" applyNumberFormat="1" applyFont="1" applyFill="1" applyBorder="1"/>
    <xf numFmtId="0" fontId="16" fillId="3" borderId="3" xfId="0" applyFont="1" applyFill="1" applyBorder="1" applyAlignment="1">
      <alignment horizontal="center" vertical="center"/>
    </xf>
    <xf numFmtId="9" fontId="16" fillId="3" borderId="3" xfId="0" applyNumberFormat="1" applyFont="1" applyFill="1" applyBorder="1" applyAlignment="1">
      <alignment horizontal="center" vertical="top"/>
    </xf>
    <xf numFmtId="0" fontId="43" fillId="3" borderId="3" xfId="0" applyFont="1" applyFill="1" applyBorder="1"/>
    <xf numFmtId="0" fontId="41" fillId="3" borderId="3" xfId="0" applyFont="1" applyFill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top"/>
    </xf>
    <xf numFmtId="0" fontId="44" fillId="3" borderId="3" xfId="0" applyFont="1" applyFill="1" applyBorder="1"/>
    <xf numFmtId="42" fontId="44" fillId="5" borderId="3" xfId="0" applyNumberFormat="1" applyFont="1" applyFill="1" applyBorder="1"/>
    <xf numFmtId="0" fontId="44" fillId="5" borderId="2" xfId="0" applyFont="1" applyFill="1" applyBorder="1"/>
    <xf numFmtId="0" fontId="44" fillId="5" borderId="6" xfId="0" applyFont="1" applyFill="1" applyBorder="1"/>
    <xf numFmtId="6" fontId="44" fillId="7" borderId="3" xfId="0" applyNumberFormat="1" applyFont="1" applyFill="1" applyBorder="1"/>
    <xf numFmtId="42" fontId="44" fillId="7" borderId="2" xfId="0" applyNumberFormat="1" applyFont="1" applyFill="1" applyBorder="1"/>
    <xf numFmtId="0" fontId="37" fillId="3" borderId="3" xfId="0" applyFont="1" applyFill="1" applyBorder="1"/>
    <xf numFmtId="0" fontId="37" fillId="3" borderId="3" xfId="0" applyFont="1" applyFill="1" applyBorder="1" applyAlignment="1">
      <alignment vertical="center"/>
    </xf>
    <xf numFmtId="0" fontId="37" fillId="3" borderId="3" xfId="0" applyFont="1" applyFill="1" applyBorder="1" applyAlignment="1">
      <alignment horizontal="center" vertical="top"/>
    </xf>
    <xf numFmtId="0" fontId="37" fillId="3" borderId="3" xfId="0" applyFont="1" applyFill="1" applyBorder="1" applyAlignment="1">
      <alignment horizontal="center"/>
    </xf>
    <xf numFmtId="0" fontId="37" fillId="3" borderId="3" xfId="0" applyFont="1" applyFill="1" applyBorder="1" applyAlignment="1">
      <alignment wrapText="1"/>
    </xf>
    <xf numFmtId="0" fontId="44" fillId="3" borderId="5" xfId="0" applyFont="1" applyFill="1" applyBorder="1"/>
    <xf numFmtId="0" fontId="44" fillId="3" borderId="5" xfId="0" applyFont="1" applyFill="1" applyBorder="1" applyAlignment="1">
      <alignment horizontal="center"/>
    </xf>
    <xf numFmtId="0" fontId="37" fillId="5" borderId="3" xfId="0" applyFont="1" applyFill="1" applyBorder="1"/>
    <xf numFmtId="42" fontId="37" fillId="5" borderId="3" xfId="0" applyNumberFormat="1" applyFont="1" applyFill="1" applyBorder="1"/>
    <xf numFmtId="42" fontId="37" fillId="6" borderId="3" xfId="0" applyNumberFormat="1" applyFont="1" applyFill="1" applyBorder="1"/>
    <xf numFmtId="0" fontId="37" fillId="0" borderId="3" xfId="0" applyFont="1" applyBorder="1"/>
    <xf numFmtId="0" fontId="44" fillId="5" borderId="3" xfId="0" applyFont="1" applyFill="1" applyBorder="1"/>
    <xf numFmtId="42" fontId="37" fillId="3" borderId="3" xfId="0" applyNumberFormat="1" applyFont="1" applyFill="1" applyBorder="1"/>
    <xf numFmtId="0" fontId="37" fillId="0" borderId="3" xfId="0" applyFont="1" applyBorder="1" applyAlignment="1">
      <alignment wrapText="1"/>
    </xf>
    <xf numFmtId="0" fontId="44" fillId="3" borderId="2" xfId="0" applyFont="1" applyFill="1" applyBorder="1"/>
    <xf numFmtId="6" fontId="44" fillId="7" borderId="2" xfId="0" applyNumberFormat="1" applyFont="1" applyFill="1" applyBorder="1"/>
    <xf numFmtId="42" fontId="44" fillId="7" borderId="5" xfId="0" applyNumberFormat="1" applyFont="1" applyFill="1" applyBorder="1"/>
    <xf numFmtId="0" fontId="44" fillId="3" borderId="10" xfId="0" applyFont="1" applyFill="1" applyBorder="1"/>
    <xf numFmtId="42" fontId="44" fillId="7" borderId="3" xfId="0" applyNumberFormat="1" applyFont="1" applyFill="1" applyBorder="1"/>
    <xf numFmtId="0" fontId="46" fillId="0" borderId="0" xfId="0" applyFont="1"/>
    <xf numFmtId="0" fontId="36" fillId="11" borderId="10" xfId="0" applyFont="1" applyFill="1" applyBorder="1"/>
    <xf numFmtId="0" fontId="36" fillId="11" borderId="10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9" fontId="2" fillId="8" borderId="3" xfId="0" applyNumberFormat="1" applyFont="1" applyFill="1" applyBorder="1" applyAlignment="1">
      <alignment horizontal="center" vertical="top"/>
    </xf>
    <xf numFmtId="9" fontId="16" fillId="4" borderId="2" xfId="0" applyNumberFormat="1" applyFont="1" applyFill="1" applyBorder="1"/>
    <xf numFmtId="42" fontId="16" fillId="4" borderId="3" xfId="0" applyNumberFormat="1" applyFont="1" applyFill="1" applyBorder="1"/>
    <xf numFmtId="9" fontId="32" fillId="4" borderId="2" xfId="0" applyNumberFormat="1" applyFont="1" applyFill="1" applyBorder="1"/>
    <xf numFmtId="42" fontId="36" fillId="16" borderId="3" xfId="0" applyNumberFormat="1" applyFont="1" applyFill="1" applyBorder="1"/>
    <xf numFmtId="42" fontId="35" fillId="15" borderId="3" xfId="0" applyNumberFormat="1" applyFont="1" applyFill="1" applyBorder="1"/>
    <xf numFmtId="42" fontId="36" fillId="10" borderId="3" xfId="0" applyNumberFormat="1" applyFont="1" applyFill="1" applyBorder="1"/>
    <xf numFmtId="42" fontId="16" fillId="4" borderId="2" xfId="0" applyNumberFormat="1" applyFont="1" applyFill="1" applyBorder="1"/>
    <xf numFmtId="0" fontId="30" fillId="4" borderId="3" xfId="0" applyFont="1" applyFill="1" applyBorder="1"/>
    <xf numFmtId="0" fontId="36" fillId="11" borderId="4" xfId="0" applyFont="1" applyFill="1" applyBorder="1"/>
    <xf numFmtId="0" fontId="36" fillId="11" borderId="29" xfId="0" applyFont="1" applyFill="1" applyBorder="1"/>
    <xf numFmtId="0" fontId="36" fillId="11" borderId="0" xfId="0" applyFont="1" applyFill="1"/>
    <xf numFmtId="0" fontId="36" fillId="11" borderId="20" xfId="0" applyFont="1" applyFill="1" applyBorder="1"/>
    <xf numFmtId="0" fontId="26" fillId="12" borderId="6" xfId="0" applyFont="1" applyFill="1" applyBorder="1"/>
    <xf numFmtId="0" fontId="30" fillId="12" borderId="3" xfId="0" applyFont="1" applyFill="1" applyBorder="1" applyAlignment="1">
      <alignment wrapText="1"/>
    </xf>
    <xf numFmtId="0" fontId="24" fillId="10" borderId="3" xfId="0" applyFont="1" applyFill="1" applyBorder="1"/>
    <xf numFmtId="0" fontId="26" fillId="12" borderId="2" xfId="0" applyFont="1" applyFill="1" applyBorder="1"/>
    <xf numFmtId="0" fontId="30" fillId="12" borderId="5" xfId="0" applyFont="1" applyFill="1" applyBorder="1"/>
    <xf numFmtId="0" fontId="24" fillId="10" borderId="5" xfId="0" applyFont="1" applyFill="1" applyBorder="1"/>
    <xf numFmtId="0" fontId="26" fillId="12" borderId="1" xfId="0" applyFont="1" applyFill="1" applyBorder="1"/>
    <xf numFmtId="0" fontId="26" fillId="12" borderId="0" xfId="0" applyFont="1" applyFill="1"/>
    <xf numFmtId="0" fontId="30" fillId="12" borderId="0" xfId="0" applyFont="1" applyFill="1" applyAlignment="1">
      <alignment wrapText="1"/>
    </xf>
    <xf numFmtId="0" fontId="26" fillId="18" borderId="23" xfId="0" applyFont="1" applyFill="1" applyBorder="1"/>
    <xf numFmtId="0" fontId="30" fillId="18" borderId="28" xfId="0" applyFont="1" applyFill="1" applyBorder="1"/>
    <xf numFmtId="0" fontId="24" fillId="19" borderId="24" xfId="0" applyFont="1" applyFill="1" applyBorder="1"/>
    <xf numFmtId="0" fontId="30" fillId="12" borderId="0" xfId="0" applyFont="1" applyFill="1"/>
    <xf numFmtId="0" fontId="47" fillId="12" borderId="0" xfId="0" applyFont="1" applyFill="1"/>
    <xf numFmtId="3" fontId="26" fillId="10" borderId="24" xfId="0" applyNumberFormat="1" applyFont="1" applyFill="1" applyBorder="1"/>
    <xf numFmtId="0" fontId="47" fillId="10" borderId="0" xfId="0" applyFont="1" applyFill="1"/>
    <xf numFmtId="0" fontId="47" fillId="10" borderId="24" xfId="0" applyFont="1" applyFill="1" applyBorder="1"/>
    <xf numFmtId="0" fontId="48" fillId="12" borderId="0" xfId="0" applyFont="1" applyFill="1"/>
    <xf numFmtId="0" fontId="24" fillId="10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33" fillId="3" borderId="3" xfId="0" applyFont="1" applyFill="1" applyBorder="1"/>
    <xf numFmtId="0" fontId="24" fillId="3" borderId="3" xfId="0" applyFont="1" applyFill="1" applyBorder="1"/>
    <xf numFmtId="9" fontId="41" fillId="4" borderId="5" xfId="0" applyNumberFormat="1" applyFont="1" applyFill="1" applyBorder="1" applyAlignment="1">
      <alignment horizontal="center"/>
    </xf>
    <xf numFmtId="42" fontId="41" fillId="4" borderId="5" xfId="0" applyNumberFormat="1" applyFont="1" applyFill="1" applyBorder="1"/>
    <xf numFmtId="165" fontId="44" fillId="4" borderId="3" xfId="0" applyNumberFormat="1" applyFont="1" applyFill="1" applyBorder="1"/>
    <xf numFmtId="0" fontId="26" fillId="4" borderId="3" xfId="0" applyFont="1" applyFill="1" applyBorder="1"/>
    <xf numFmtId="3" fontId="26" fillId="4" borderId="3" xfId="0" applyNumberFormat="1" applyFont="1" applyFill="1" applyBorder="1"/>
    <xf numFmtId="0" fontId="30" fillId="4" borderId="3" xfId="0" applyFont="1" applyFill="1" applyBorder="1" applyAlignment="1">
      <alignment wrapText="1"/>
    </xf>
    <xf numFmtId="0" fontId="26" fillId="8" borderId="3" xfId="0" applyFont="1" applyFill="1" applyBorder="1"/>
    <xf numFmtId="9" fontId="30" fillId="8" borderId="3" xfId="0" applyNumberFormat="1" applyFont="1" applyFill="1" applyBorder="1"/>
    <xf numFmtId="0" fontId="30" fillId="8" borderId="3" xfId="0" applyFont="1" applyFill="1" applyBorder="1"/>
    <xf numFmtId="3" fontId="26" fillId="8" borderId="3" xfId="0" applyNumberFormat="1" applyFont="1" applyFill="1" applyBorder="1"/>
    <xf numFmtId="0" fontId="30" fillId="8" borderId="3" xfId="0" applyFont="1" applyFill="1" applyBorder="1" applyAlignment="1">
      <alignment wrapText="1"/>
    </xf>
    <xf numFmtId="0" fontId="52" fillId="3" borderId="3" xfId="0" applyFont="1" applyFill="1" applyBorder="1"/>
    <xf numFmtId="9" fontId="10" fillId="4" borderId="3" xfId="0" applyNumberFormat="1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4" fillId="4" borderId="3" xfId="0" applyFont="1" applyFill="1" applyBorder="1"/>
    <xf numFmtId="9" fontId="10" fillId="3" borderId="3" xfId="0" applyNumberFormat="1" applyFont="1" applyFill="1" applyBorder="1" applyAlignment="1">
      <alignment horizontal="center"/>
    </xf>
    <xf numFmtId="0" fontId="37" fillId="3" borderId="4" xfId="0" applyFont="1" applyFill="1" applyBorder="1" applyAlignment="1">
      <alignment vertical="center"/>
    </xf>
    <xf numFmtId="0" fontId="37" fillId="3" borderId="4" xfId="0" applyFont="1" applyFill="1" applyBorder="1" applyAlignment="1">
      <alignment horizontal="center" vertical="top"/>
    </xf>
    <xf numFmtId="0" fontId="37" fillId="3" borderId="4" xfId="0" applyFont="1" applyFill="1" applyBorder="1"/>
    <xf numFmtId="0" fontId="37" fillId="3" borderId="4" xfId="0" applyFont="1" applyFill="1" applyBorder="1" applyAlignment="1">
      <alignment horizontal="center"/>
    </xf>
    <xf numFmtId="0" fontId="37" fillId="3" borderId="4" xfId="0" applyFont="1" applyFill="1" applyBorder="1" applyAlignment="1">
      <alignment wrapText="1"/>
    </xf>
    <xf numFmtId="0" fontId="44" fillId="3" borderId="10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/>
    </xf>
    <xf numFmtId="0" fontId="37" fillId="5" borderId="5" xfId="0" applyFont="1" applyFill="1" applyBorder="1"/>
    <xf numFmtId="42" fontId="37" fillId="5" borderId="5" xfId="0" applyNumberFormat="1" applyFont="1" applyFill="1" applyBorder="1"/>
    <xf numFmtId="0" fontId="37" fillId="3" borderId="5" xfId="0" applyFont="1" applyFill="1" applyBorder="1"/>
    <xf numFmtId="0" fontId="37" fillId="0" borderId="5" xfId="0" applyFont="1" applyBorder="1"/>
    <xf numFmtId="0" fontId="44" fillId="5" borderId="5" xfId="0" applyFont="1" applyFill="1" applyBorder="1"/>
    <xf numFmtId="0" fontId="44" fillId="5" borderId="1" xfId="0" applyFont="1" applyFill="1" applyBorder="1"/>
    <xf numFmtId="0" fontId="44" fillId="5" borderId="7" xfId="0" applyFont="1" applyFill="1" applyBorder="1"/>
    <xf numFmtId="6" fontId="44" fillId="7" borderId="1" xfId="0" applyNumberFormat="1" applyFont="1" applyFill="1" applyBorder="1"/>
    <xf numFmtId="169" fontId="18" fillId="4" borderId="3" xfId="0" applyNumberFormat="1" applyFont="1" applyFill="1" applyBorder="1"/>
    <xf numFmtId="9" fontId="4" fillId="4" borderId="3" xfId="0" applyNumberFormat="1" applyFont="1" applyFill="1" applyBorder="1" applyAlignment="1">
      <alignment horizontal="center"/>
    </xf>
    <xf numFmtId="9" fontId="33" fillId="4" borderId="3" xfId="0" applyNumberFormat="1" applyFont="1" applyFill="1" applyBorder="1" applyAlignment="1">
      <alignment horizontal="center"/>
    </xf>
    <xf numFmtId="14" fontId="26" fillId="12" borderId="3" xfId="0" applyNumberFormat="1" applyFont="1" applyFill="1" applyBorder="1" applyAlignment="1">
      <alignment horizontal="left"/>
    </xf>
    <xf numFmtId="9" fontId="30" fillId="4" borderId="3" xfId="0" applyNumberFormat="1" applyFont="1" applyFill="1" applyBorder="1" applyAlignment="1">
      <alignment horizontal="center"/>
    </xf>
    <xf numFmtId="3" fontId="30" fillId="4" borderId="3" xfId="0" applyNumberFormat="1" applyFont="1" applyFill="1" applyBorder="1"/>
    <xf numFmtId="0" fontId="4" fillId="4" borderId="7" xfId="0" applyFont="1" applyFill="1" applyBorder="1"/>
    <xf numFmtId="9" fontId="6" fillId="3" borderId="6" xfId="0" applyNumberFormat="1" applyFont="1" applyFill="1" applyBorder="1" applyAlignment="1">
      <alignment horizontal="center" vertical="top"/>
    </xf>
    <xf numFmtId="9" fontId="33" fillId="8" borderId="3" xfId="0" applyNumberFormat="1" applyFont="1" applyFill="1" applyBorder="1"/>
    <xf numFmtId="3" fontId="30" fillId="8" borderId="3" xfId="0" applyNumberFormat="1" applyFont="1" applyFill="1" applyBorder="1"/>
    <xf numFmtId="0" fontId="30" fillId="23" borderId="3" xfId="0" applyFont="1" applyFill="1" applyBorder="1" applyAlignment="1">
      <alignment wrapText="1"/>
    </xf>
    <xf numFmtId="9" fontId="33" fillId="8" borderId="3" xfId="0" applyNumberFormat="1" applyFont="1" applyFill="1" applyBorder="1" applyAlignment="1">
      <alignment horizontal="center"/>
    </xf>
    <xf numFmtId="3" fontId="26" fillId="12" borderId="0" xfId="0" applyNumberFormat="1" applyFont="1" applyFill="1"/>
    <xf numFmtId="3" fontId="30" fillId="24" borderId="3" xfId="0" applyNumberFormat="1" applyFont="1" applyFill="1" applyBorder="1"/>
    <xf numFmtId="0" fontId="30" fillId="4" borderId="3" xfId="0" applyFont="1" applyFill="1" applyBorder="1" applyAlignment="1">
      <alignment horizontal="center"/>
    </xf>
    <xf numFmtId="0" fontId="26" fillId="4" borderId="3" xfId="0" applyFont="1" applyFill="1" applyBorder="1" applyAlignment="1">
      <alignment horizontal="center"/>
    </xf>
    <xf numFmtId="0" fontId="26" fillId="4" borderId="6" xfId="0" applyFont="1" applyFill="1" applyBorder="1"/>
    <xf numFmtId="1" fontId="26" fillId="4" borderId="3" xfId="0" applyNumberFormat="1" applyFont="1" applyFill="1" applyBorder="1"/>
    <xf numFmtId="14" fontId="26" fillId="14" borderId="3" xfId="0" applyNumberFormat="1" applyFont="1" applyFill="1" applyBorder="1" applyAlignment="1">
      <alignment horizontal="left"/>
    </xf>
    <xf numFmtId="0" fontId="24" fillId="10" borderId="10" xfId="0" applyFont="1" applyFill="1" applyBorder="1"/>
    <xf numFmtId="14" fontId="30" fillId="12" borderId="3" xfId="0" applyNumberFormat="1" applyFont="1" applyFill="1" applyBorder="1" applyAlignment="1">
      <alignment horizontal="left"/>
    </xf>
    <xf numFmtId="0" fontId="53" fillId="4" borderId="3" xfId="0" applyFont="1" applyFill="1" applyBorder="1" applyAlignment="1">
      <alignment horizontal="center"/>
    </xf>
    <xf numFmtId="0" fontId="53" fillId="8" borderId="3" xfId="0" applyFont="1" applyFill="1" applyBorder="1"/>
    <xf numFmtId="0" fontId="4" fillId="4" borderId="7" xfId="0" applyFont="1" applyFill="1" applyBorder="1" applyAlignment="1">
      <alignment horizontal="center"/>
    </xf>
    <xf numFmtId="0" fontId="4" fillId="3" borderId="7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3" fontId="0" fillId="0" borderId="0" xfId="0" applyNumberFormat="1"/>
    <xf numFmtId="3" fontId="30" fillId="4" borderId="0" xfId="0" applyNumberFormat="1" applyFont="1" applyFill="1"/>
    <xf numFmtId="0" fontId="36" fillId="11" borderId="3" xfId="0" applyFont="1" applyFill="1" applyBorder="1"/>
    <xf numFmtId="9" fontId="30" fillId="4" borderId="5" xfId="0" applyNumberFormat="1" applyFont="1" applyFill="1" applyBorder="1" applyAlignment="1">
      <alignment horizontal="center"/>
    </xf>
    <xf numFmtId="0" fontId="30" fillId="4" borderId="5" xfId="0" applyFont="1" applyFill="1" applyBorder="1"/>
    <xf numFmtId="3" fontId="26" fillId="4" borderId="5" xfId="0" applyNumberFormat="1" applyFont="1" applyFill="1" applyBorder="1"/>
    <xf numFmtId="0" fontId="30" fillId="4" borderId="5" xfId="0" applyFont="1" applyFill="1" applyBorder="1" applyAlignment="1">
      <alignment wrapText="1"/>
    </xf>
    <xf numFmtId="0" fontId="38" fillId="4" borderId="5" xfId="0" applyFont="1" applyFill="1" applyBorder="1" applyAlignment="1">
      <alignment horizontal="center"/>
    </xf>
    <xf numFmtId="9" fontId="39" fillId="4" borderId="5" xfId="0" applyNumberFormat="1" applyFont="1" applyFill="1" applyBorder="1" applyAlignment="1">
      <alignment horizontal="center"/>
    </xf>
    <xf numFmtId="0" fontId="39" fillId="4" borderId="5" xfId="0" applyFont="1" applyFill="1" applyBorder="1"/>
    <xf numFmtId="3" fontId="38" fillId="4" borderId="5" xfId="0" applyNumberFormat="1" applyFont="1" applyFill="1" applyBorder="1"/>
    <xf numFmtId="9" fontId="38" fillId="4" borderId="5" xfId="0" applyNumberFormat="1" applyFont="1" applyFill="1" applyBorder="1" applyAlignment="1">
      <alignment horizontal="center"/>
    </xf>
    <xf numFmtId="0" fontId="39" fillId="4" borderId="5" xfId="0" applyFont="1" applyFill="1" applyBorder="1" applyAlignment="1">
      <alignment wrapText="1"/>
    </xf>
    <xf numFmtId="3" fontId="39" fillId="4" borderId="5" xfId="0" applyNumberFormat="1" applyFont="1" applyFill="1" applyBorder="1"/>
    <xf numFmtId="9" fontId="55" fillId="4" borderId="5" xfId="0" applyNumberFormat="1" applyFont="1" applyFill="1" applyBorder="1" applyAlignment="1">
      <alignment horizontal="center"/>
    </xf>
    <xf numFmtId="0" fontId="39" fillId="4" borderId="3" xfId="0" applyFont="1" applyFill="1" applyBorder="1" applyAlignment="1">
      <alignment horizontal="center"/>
    </xf>
    <xf numFmtId="9" fontId="39" fillId="4" borderId="3" xfId="0" applyNumberFormat="1" applyFont="1" applyFill="1" applyBorder="1" applyAlignment="1">
      <alignment horizontal="center"/>
    </xf>
    <xf numFmtId="0" fontId="39" fillId="4" borderId="3" xfId="0" applyFont="1" applyFill="1" applyBorder="1"/>
    <xf numFmtId="3" fontId="39" fillId="4" borderId="3" xfId="0" applyNumberFormat="1" applyFont="1" applyFill="1" applyBorder="1"/>
    <xf numFmtId="9" fontId="38" fillId="4" borderId="3" xfId="0" applyNumberFormat="1" applyFont="1" applyFill="1" applyBorder="1" applyAlignment="1">
      <alignment horizontal="center"/>
    </xf>
    <xf numFmtId="3" fontId="38" fillId="4" borderId="3" xfId="0" applyNumberFormat="1" applyFont="1" applyFill="1" applyBorder="1"/>
    <xf numFmtId="0" fontId="39" fillId="4" borderId="3" xfId="0" applyFont="1" applyFill="1" applyBorder="1" applyAlignment="1">
      <alignment wrapText="1"/>
    </xf>
    <xf numFmtId="9" fontId="55" fillId="4" borderId="3" xfId="0" applyNumberFormat="1" applyFont="1" applyFill="1" applyBorder="1" applyAlignment="1">
      <alignment horizontal="center"/>
    </xf>
    <xf numFmtId="0" fontId="55" fillId="3" borderId="3" xfId="0" applyFont="1" applyFill="1" applyBorder="1"/>
    <xf numFmtId="0" fontId="56" fillId="3" borderId="3" xfId="0" applyFont="1" applyFill="1" applyBorder="1"/>
    <xf numFmtId="0" fontId="56" fillId="10" borderId="3" xfId="0" applyFont="1" applyFill="1" applyBorder="1"/>
    <xf numFmtId="0" fontId="39" fillId="8" borderId="3" xfId="0" applyFont="1" applyFill="1" applyBorder="1"/>
    <xf numFmtId="9" fontId="39" fillId="8" borderId="3" xfId="0" applyNumberFormat="1" applyFont="1" applyFill="1" applyBorder="1"/>
    <xf numFmtId="3" fontId="39" fillId="8" borderId="3" xfId="0" applyNumberFormat="1" applyFont="1" applyFill="1" applyBorder="1"/>
    <xf numFmtId="0" fontId="39" fillId="8" borderId="3" xfId="0" applyFont="1" applyFill="1" applyBorder="1" applyAlignment="1">
      <alignment wrapText="1"/>
    </xf>
    <xf numFmtId="9" fontId="55" fillId="8" borderId="3" xfId="0" applyNumberFormat="1" applyFont="1" applyFill="1" applyBorder="1"/>
    <xf numFmtId="0" fontId="17" fillId="3" borderId="3" xfId="0" applyFont="1" applyFill="1" applyBorder="1"/>
    <xf numFmtId="3" fontId="38" fillId="8" borderId="3" xfId="0" applyNumberFormat="1" applyFont="1" applyFill="1" applyBorder="1"/>
    <xf numFmtId="3" fontId="57" fillId="18" borderId="24" xfId="0" applyNumberFormat="1" applyFont="1" applyFill="1" applyBorder="1"/>
    <xf numFmtId="0" fontId="57" fillId="18" borderId="23" xfId="0" applyFont="1" applyFill="1" applyBorder="1"/>
    <xf numFmtId="3" fontId="40" fillId="18" borderId="21" xfId="0" applyNumberFormat="1" applyFont="1" applyFill="1" applyBorder="1"/>
    <xf numFmtId="3" fontId="59" fillId="18" borderId="24" xfId="0" applyNumberFormat="1" applyFont="1" applyFill="1" applyBorder="1"/>
    <xf numFmtId="0" fontId="59" fillId="18" borderId="23" xfId="0" applyFont="1" applyFill="1" applyBorder="1"/>
    <xf numFmtId="3" fontId="51" fillId="18" borderId="21" xfId="0" applyNumberFormat="1" applyFont="1" applyFill="1" applyBorder="1"/>
    <xf numFmtId="0" fontId="51" fillId="19" borderId="24" xfId="0" applyFont="1" applyFill="1" applyBorder="1"/>
    <xf numFmtId="3" fontId="51" fillId="19" borderId="24" xfId="0" applyNumberFormat="1" applyFont="1" applyFill="1" applyBorder="1"/>
    <xf numFmtId="3" fontId="60" fillId="10" borderId="3" xfId="0" applyNumberFormat="1" applyFont="1" applyFill="1" applyBorder="1"/>
    <xf numFmtId="0" fontId="39" fillId="4" borderId="3" xfId="0" applyFont="1" applyFill="1" applyBorder="1" applyAlignment="1">
      <alignment horizontal="left" wrapText="1"/>
    </xf>
    <xf numFmtId="9" fontId="30" fillId="4" borderId="3" xfId="0" applyNumberFormat="1" applyFont="1" applyFill="1" applyBorder="1" applyAlignment="1">
      <alignment horizontal="center" vertical="center"/>
    </xf>
    <xf numFmtId="9" fontId="16" fillId="4" borderId="2" xfId="0" applyNumberFormat="1" applyFont="1" applyFill="1" applyBorder="1" applyAlignment="1">
      <alignment horizontal="center"/>
    </xf>
    <xf numFmtId="9" fontId="32" fillId="4" borderId="2" xfId="0" applyNumberFormat="1" applyFont="1" applyFill="1" applyBorder="1" applyAlignment="1">
      <alignment horizontal="center"/>
    </xf>
    <xf numFmtId="6" fontId="30" fillId="4" borderId="3" xfId="0" applyNumberFormat="1" applyFont="1" applyFill="1" applyBorder="1"/>
    <xf numFmtId="0" fontId="30" fillId="4" borderId="5" xfId="0" applyFont="1" applyFill="1" applyBorder="1" applyAlignment="1">
      <alignment horizontal="center"/>
    </xf>
    <xf numFmtId="3" fontId="51" fillId="10" borderId="3" xfId="0" applyNumberFormat="1" applyFont="1" applyFill="1" applyBorder="1"/>
    <xf numFmtId="0" fontId="30" fillId="4" borderId="1" xfId="0" applyFont="1" applyFill="1" applyBorder="1" applyAlignment="1">
      <alignment wrapText="1"/>
    </xf>
    <xf numFmtId="0" fontId="30" fillId="4" borderId="2" xfId="0" applyFont="1" applyFill="1" applyBorder="1" applyAlignment="1">
      <alignment wrapText="1"/>
    </xf>
    <xf numFmtId="0" fontId="30" fillId="8" borderId="2" xfId="0" applyFont="1" applyFill="1" applyBorder="1" applyAlignment="1">
      <alignment wrapText="1"/>
    </xf>
    <xf numFmtId="6" fontId="40" fillId="10" borderId="3" xfId="0" applyNumberFormat="1" applyFont="1" applyFill="1" applyBorder="1"/>
    <xf numFmtId="6" fontId="51" fillId="19" borderId="24" xfId="0" applyNumberFormat="1" applyFont="1" applyFill="1" applyBorder="1"/>
    <xf numFmtId="0" fontId="39" fillId="8" borderId="3" xfId="0" applyFont="1" applyFill="1" applyBorder="1" applyAlignment="1">
      <alignment horizontal="center"/>
    </xf>
    <xf numFmtId="0" fontId="30" fillId="4" borderId="0" xfId="0" applyFont="1" applyFill="1"/>
    <xf numFmtId="0" fontId="30" fillId="8" borderId="3" xfId="0" applyFont="1" applyFill="1" applyBorder="1" applyAlignment="1">
      <alignment horizontal="center"/>
    </xf>
    <xf numFmtId="0" fontId="30" fillId="4" borderId="6" xfId="0" applyFont="1" applyFill="1" applyBorder="1" applyAlignment="1">
      <alignment wrapText="1"/>
    </xf>
    <xf numFmtId="0" fontId="30" fillId="8" borderId="6" xfId="0" applyFont="1" applyFill="1" applyBorder="1" applyAlignment="1">
      <alignment wrapText="1"/>
    </xf>
    <xf numFmtId="0" fontId="30" fillId="8" borderId="6" xfId="0" applyFont="1" applyFill="1" applyBorder="1"/>
    <xf numFmtId="0" fontId="39" fillId="23" borderId="3" xfId="0" applyFont="1" applyFill="1" applyBorder="1" applyAlignment="1">
      <alignment wrapText="1"/>
    </xf>
    <xf numFmtId="0" fontId="26" fillId="4" borderId="2" xfId="0" applyFont="1" applyFill="1" applyBorder="1"/>
    <xf numFmtId="14" fontId="26" fillId="12" borderId="3" xfId="0" applyNumberFormat="1" applyFont="1" applyFill="1" applyBorder="1" applyAlignment="1">
      <alignment horizontal="left" vertical="center"/>
    </xf>
    <xf numFmtId="0" fontId="30" fillId="25" borderId="3" xfId="0" applyFont="1" applyFill="1" applyBorder="1"/>
    <xf numFmtId="0" fontId="16" fillId="25" borderId="3" xfId="0" applyFont="1" applyFill="1" applyBorder="1"/>
    <xf numFmtId="6" fontId="16" fillId="25" borderId="3" xfId="0" applyNumberFormat="1" applyFont="1" applyFill="1" applyBorder="1"/>
    <xf numFmtId="9" fontId="33" fillId="4" borderId="3" xfId="0" applyNumberFormat="1" applyFont="1" applyFill="1" applyBorder="1" applyAlignment="1">
      <alignment horizontal="center" vertical="center"/>
    </xf>
    <xf numFmtId="9" fontId="33" fillId="4" borderId="5" xfId="0" applyNumberFormat="1" applyFont="1" applyFill="1" applyBorder="1"/>
    <xf numFmtId="0" fontId="30" fillId="3" borderId="3" xfId="0" applyFont="1" applyFill="1" applyBorder="1" applyAlignment="1">
      <alignment wrapText="1"/>
    </xf>
    <xf numFmtId="3" fontId="26" fillId="18" borderId="3" xfId="0" applyNumberFormat="1" applyFont="1" applyFill="1" applyBorder="1"/>
    <xf numFmtId="0" fontId="26" fillId="18" borderId="3" xfId="0" applyFont="1" applyFill="1" applyBorder="1"/>
    <xf numFmtId="3" fontId="30" fillId="18" borderId="3" xfId="0" applyNumberFormat="1" applyFont="1" applyFill="1" applyBorder="1"/>
    <xf numFmtId="0" fontId="24" fillId="19" borderId="3" xfId="0" applyFont="1" applyFill="1" applyBorder="1"/>
    <xf numFmtId="3" fontId="30" fillId="4" borderId="5" xfId="0" applyNumberFormat="1" applyFont="1" applyFill="1" applyBorder="1"/>
    <xf numFmtId="9" fontId="33" fillId="4" borderId="5" xfId="0" applyNumberFormat="1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3" fontId="51" fillId="24" borderId="3" xfId="0" applyNumberFormat="1" applyFont="1" applyFill="1" applyBorder="1"/>
    <xf numFmtId="10" fontId="16" fillId="4" borderId="2" xfId="0" applyNumberFormat="1" applyFont="1" applyFill="1" applyBorder="1" applyAlignment="1">
      <alignment horizontal="center"/>
    </xf>
    <xf numFmtId="0" fontId="40" fillId="19" borderId="3" xfId="0" applyFont="1" applyFill="1" applyBorder="1"/>
    <xf numFmtId="3" fontId="40" fillId="7" borderId="3" xfId="0" applyNumberFormat="1" applyFont="1" applyFill="1" applyBorder="1"/>
    <xf numFmtId="3" fontId="30" fillId="7" borderId="3" xfId="0" applyNumberFormat="1" applyFont="1" applyFill="1" applyBorder="1"/>
    <xf numFmtId="3" fontId="30" fillId="3" borderId="0" xfId="0" applyNumberFormat="1" applyFont="1" applyFill="1"/>
    <xf numFmtId="0" fontId="30" fillId="3" borderId="5" xfId="0" applyFont="1" applyFill="1" applyBorder="1" applyAlignment="1">
      <alignment horizontal="center"/>
    </xf>
    <xf numFmtId="0" fontId="30" fillId="3" borderId="5" xfId="0" applyFont="1" applyFill="1" applyBorder="1"/>
    <xf numFmtId="9" fontId="33" fillId="3" borderId="5" xfId="0" applyNumberFormat="1" applyFont="1" applyFill="1" applyBorder="1" applyAlignment="1">
      <alignment horizontal="center"/>
    </xf>
    <xf numFmtId="3" fontId="30" fillId="3" borderId="5" xfId="0" applyNumberFormat="1" applyFont="1" applyFill="1" applyBorder="1"/>
    <xf numFmtId="9" fontId="16" fillId="4" borderId="3" xfId="0" applyNumberFormat="1" applyFont="1" applyFill="1" applyBorder="1" applyAlignment="1">
      <alignment horizontal="center"/>
    </xf>
    <xf numFmtId="0" fontId="16" fillId="4" borderId="3" xfId="0" applyFont="1" applyFill="1" applyBorder="1"/>
    <xf numFmtId="9" fontId="32" fillId="4" borderId="3" xfId="0" applyNumberFormat="1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 vertical="center"/>
    </xf>
    <xf numFmtId="0" fontId="27" fillId="3" borderId="3" xfId="0" applyFont="1" applyFill="1" applyBorder="1"/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top"/>
    </xf>
    <xf numFmtId="0" fontId="27" fillId="0" borderId="3" xfId="0" applyFont="1" applyBorder="1"/>
    <xf numFmtId="42" fontId="43" fillId="0" borderId="3" xfId="0" applyNumberFormat="1" applyFont="1" applyBorder="1"/>
    <xf numFmtId="9" fontId="32" fillId="4" borderId="6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66" fillId="3" borderId="3" xfId="0" applyFont="1" applyFill="1" applyBorder="1" applyAlignment="1">
      <alignment horizontal="center"/>
    </xf>
    <xf numFmtId="9" fontId="66" fillId="3" borderId="3" xfId="0" applyNumberFormat="1" applyFont="1" applyFill="1" applyBorder="1" applyAlignment="1">
      <alignment horizontal="center"/>
    </xf>
    <xf numFmtId="0" fontId="66" fillId="3" borderId="3" xfId="0" applyFont="1" applyFill="1" applyBorder="1"/>
    <xf numFmtId="9" fontId="16" fillId="8" borderId="6" xfId="0" applyNumberFormat="1" applyFont="1" applyFill="1" applyBorder="1" applyAlignment="1">
      <alignment horizontal="center" vertical="top"/>
    </xf>
    <xf numFmtId="0" fontId="16" fillId="8" borderId="3" xfId="0" applyFont="1" applyFill="1" applyBorder="1"/>
    <xf numFmtId="0" fontId="16" fillId="4" borderId="4" xfId="0" applyFont="1" applyFill="1" applyBorder="1" applyAlignment="1">
      <alignment horizontal="center" vertical="center"/>
    </xf>
    <xf numFmtId="9" fontId="32" fillId="4" borderId="6" xfId="0" applyNumberFormat="1" applyFont="1" applyFill="1" applyBorder="1" applyAlignment="1">
      <alignment horizontal="center" vertical="top"/>
    </xf>
    <xf numFmtId="0" fontId="40" fillId="4" borderId="3" xfId="0" applyFont="1" applyFill="1" applyBorder="1" applyAlignment="1">
      <alignment horizontal="center"/>
    </xf>
    <xf numFmtId="0" fontId="16" fillId="4" borderId="6" xfId="0" applyFont="1" applyFill="1" applyBorder="1"/>
    <xf numFmtId="0" fontId="16" fillId="4" borderId="9" xfId="0" applyFont="1" applyFill="1" applyBorder="1"/>
    <xf numFmtId="9" fontId="16" fillId="4" borderId="4" xfId="0" applyNumberFormat="1" applyFont="1" applyFill="1" applyBorder="1" applyAlignment="1">
      <alignment horizontal="center"/>
    </xf>
    <xf numFmtId="42" fontId="16" fillId="5" borderId="3" xfId="0" applyNumberFormat="1" applyFont="1" applyFill="1" applyBorder="1"/>
    <xf numFmtId="42" fontId="66" fillId="3" borderId="3" xfId="0" applyNumberFormat="1" applyFont="1" applyFill="1" applyBorder="1"/>
    <xf numFmtId="0" fontId="16" fillId="4" borderId="7" xfId="0" applyFont="1" applyFill="1" applyBorder="1" applyAlignment="1">
      <alignment horizontal="center"/>
    </xf>
    <xf numFmtId="9" fontId="16" fillId="4" borderId="7" xfId="0" applyNumberFormat="1" applyFont="1" applyFill="1" applyBorder="1" applyAlignment="1">
      <alignment horizontal="center"/>
    </xf>
    <xf numFmtId="0" fontId="16" fillId="4" borderId="2" xfId="0" applyFont="1" applyFill="1" applyBorder="1"/>
    <xf numFmtId="0" fontId="16" fillId="8" borderId="3" xfId="0" applyFont="1" applyFill="1" applyBorder="1" applyAlignment="1">
      <alignment horizontal="center" vertical="center"/>
    </xf>
    <xf numFmtId="9" fontId="16" fillId="8" borderId="3" xfId="0" applyNumberFormat="1" applyFont="1" applyFill="1" applyBorder="1" applyAlignment="1">
      <alignment horizontal="center" vertical="top"/>
    </xf>
    <xf numFmtId="0" fontId="41" fillId="8" borderId="5" xfId="0" applyFont="1" applyFill="1" applyBorder="1"/>
    <xf numFmtId="9" fontId="32" fillId="8" borderId="6" xfId="0" applyNumberFormat="1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 vertical="center"/>
    </xf>
    <xf numFmtId="9" fontId="16" fillId="4" borderId="6" xfId="0" applyNumberFormat="1" applyFont="1" applyFill="1" applyBorder="1" applyAlignment="1">
      <alignment horizontal="center" vertical="top"/>
    </xf>
    <xf numFmtId="0" fontId="16" fillId="4" borderId="2" xfId="0" applyFont="1" applyFill="1" applyBorder="1" applyAlignment="1">
      <alignment horizontal="left" vertical="center"/>
    </xf>
    <xf numFmtId="0" fontId="27" fillId="4" borderId="3" xfId="0" applyFont="1" applyFill="1" applyBorder="1" applyAlignment="1">
      <alignment horizontal="center" vertical="center"/>
    </xf>
    <xf numFmtId="9" fontId="16" fillId="4" borderId="3" xfId="0" applyNumberFormat="1" applyFont="1" applyFill="1" applyBorder="1" applyAlignment="1">
      <alignment horizontal="center" vertical="top"/>
    </xf>
    <xf numFmtId="0" fontId="27" fillId="4" borderId="3" xfId="0" applyFont="1" applyFill="1" applyBorder="1"/>
    <xf numFmtId="42" fontId="16" fillId="3" borderId="0" xfId="0" applyNumberFormat="1" applyFont="1" applyFill="1"/>
    <xf numFmtId="0" fontId="16" fillId="4" borderId="3" xfId="0" applyFont="1" applyFill="1" applyBorder="1" applyAlignment="1">
      <alignment horizontal="center" vertical="center"/>
    </xf>
    <xf numFmtId="9" fontId="32" fillId="4" borderId="3" xfId="0" applyNumberFormat="1" applyFont="1" applyFill="1" applyBorder="1" applyAlignment="1">
      <alignment horizontal="center" vertical="top"/>
    </xf>
    <xf numFmtId="42" fontId="38" fillId="4" borderId="5" xfId="0" applyNumberFormat="1" applyFont="1" applyFill="1" applyBorder="1"/>
    <xf numFmtId="42" fontId="39" fillId="4" borderId="3" xfId="0" applyNumberFormat="1" applyFont="1" applyFill="1" applyBorder="1"/>
    <xf numFmtId="42" fontId="30" fillId="4" borderId="3" xfId="0" applyNumberFormat="1" applyFont="1" applyFill="1" applyBorder="1"/>
    <xf numFmtId="42" fontId="26" fillId="4" borderId="3" xfId="0" applyNumberFormat="1" applyFont="1" applyFill="1" applyBorder="1"/>
    <xf numFmtId="9" fontId="16" fillId="3" borderId="3" xfId="0" applyNumberFormat="1" applyFont="1" applyFill="1" applyBorder="1" applyAlignment="1">
      <alignment horizontal="center"/>
    </xf>
    <xf numFmtId="9" fontId="32" fillId="3" borderId="3" xfId="0" applyNumberFormat="1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2" xfId="0" applyFont="1" applyFill="1" applyBorder="1"/>
    <xf numFmtId="0" fontId="16" fillId="3" borderId="6" xfId="0" applyFont="1" applyFill="1" applyBorder="1" applyAlignment="1">
      <alignment horizontal="center"/>
    </xf>
    <xf numFmtId="9" fontId="32" fillId="3" borderId="6" xfId="0" applyNumberFormat="1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 vertical="center"/>
    </xf>
    <xf numFmtId="9" fontId="16" fillId="3" borderId="6" xfId="0" applyNumberFormat="1" applyFont="1" applyFill="1" applyBorder="1" applyAlignment="1">
      <alignment horizontal="center" vertical="top"/>
    </xf>
    <xf numFmtId="9" fontId="16" fillId="3" borderId="6" xfId="0" applyNumberFormat="1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9" fontId="32" fillId="3" borderId="6" xfId="0" applyNumberFormat="1" applyFont="1" applyFill="1" applyBorder="1" applyAlignment="1">
      <alignment horizontal="center" vertical="top"/>
    </xf>
    <xf numFmtId="9" fontId="27" fillId="4" borderId="3" xfId="0" applyNumberFormat="1" applyFont="1" applyFill="1" applyBorder="1" applyAlignment="1">
      <alignment horizontal="center" vertical="center"/>
    </xf>
    <xf numFmtId="42" fontId="27" fillId="4" borderId="3" xfId="0" applyNumberFormat="1" applyFont="1" applyFill="1" applyBorder="1"/>
    <xf numFmtId="0" fontId="16" fillId="4" borderId="3" xfId="0" applyFont="1" applyFill="1" applyBorder="1" applyAlignment="1">
      <alignment wrapText="1"/>
    </xf>
    <xf numFmtId="9" fontId="32" fillId="4" borderId="3" xfId="0" applyNumberFormat="1" applyFont="1" applyFill="1" applyBorder="1" applyAlignment="1">
      <alignment horizontal="center" vertical="center"/>
    </xf>
    <xf numFmtId="9" fontId="16" fillId="4" borderId="3" xfId="0" applyNumberFormat="1" applyFont="1" applyFill="1" applyBorder="1" applyAlignment="1">
      <alignment horizontal="center" vertical="center"/>
    </xf>
    <xf numFmtId="9" fontId="16" fillId="4" borderId="6" xfId="0" applyNumberFormat="1" applyFont="1" applyFill="1" applyBorder="1" applyAlignment="1">
      <alignment horizontal="center" vertical="center"/>
    </xf>
    <xf numFmtId="9" fontId="32" fillId="4" borderId="6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wrapText="1"/>
    </xf>
    <xf numFmtId="0" fontId="32" fillId="3" borderId="3" xfId="0" applyFont="1" applyFill="1" applyBorder="1" applyAlignment="1">
      <alignment wrapText="1"/>
    </xf>
    <xf numFmtId="0" fontId="16" fillId="3" borderId="5" xfId="0" applyFont="1" applyFill="1" applyBorder="1" applyAlignment="1">
      <alignment horizontal="center"/>
    </xf>
    <xf numFmtId="42" fontId="16" fillId="3" borderId="5" xfId="0" applyNumberFormat="1" applyFont="1" applyFill="1" applyBorder="1"/>
    <xf numFmtId="9" fontId="16" fillId="3" borderId="5" xfId="0" applyNumberFormat="1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7" xfId="0" applyFont="1" applyFill="1" applyBorder="1"/>
    <xf numFmtId="42" fontId="16" fillId="4" borderId="5" xfId="0" applyNumberFormat="1" applyFont="1" applyFill="1" applyBorder="1"/>
    <xf numFmtId="9" fontId="16" fillId="4" borderId="5" xfId="0" applyNumberFormat="1" applyFont="1" applyFill="1" applyBorder="1" applyAlignment="1">
      <alignment horizontal="center"/>
    </xf>
    <xf numFmtId="9" fontId="32" fillId="4" borderId="7" xfId="0" applyNumberFormat="1" applyFont="1" applyFill="1" applyBorder="1" applyAlignment="1">
      <alignment horizontal="center"/>
    </xf>
    <xf numFmtId="9" fontId="32" fillId="4" borderId="5" xfId="0" applyNumberFormat="1" applyFont="1" applyFill="1" applyBorder="1" applyAlignment="1">
      <alignment horizontal="center"/>
    </xf>
    <xf numFmtId="42" fontId="16" fillId="3" borderId="3" xfId="0" applyNumberFormat="1" applyFont="1" applyFill="1" applyBorder="1" applyAlignment="1">
      <alignment wrapText="1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wrapText="1"/>
    </xf>
    <xf numFmtId="42" fontId="16" fillId="6" borderId="3" xfId="0" applyNumberFormat="1" applyFont="1" applyFill="1" applyBorder="1"/>
    <xf numFmtId="9" fontId="32" fillId="4" borderId="9" xfId="0" applyNumberFormat="1" applyFont="1" applyFill="1" applyBorder="1" applyAlignment="1">
      <alignment horizontal="center"/>
    </xf>
    <xf numFmtId="42" fontId="16" fillId="4" borderId="6" xfId="0" applyNumberFormat="1" applyFont="1" applyFill="1" applyBorder="1"/>
    <xf numFmtId="0" fontId="16" fillId="4" borderId="4" xfId="0" applyFont="1" applyFill="1" applyBorder="1"/>
    <xf numFmtId="0" fontId="32" fillId="3" borderId="3" xfId="0" applyFont="1" applyFill="1" applyBorder="1"/>
    <xf numFmtId="0" fontId="2" fillId="3" borderId="2" xfId="0" applyFont="1" applyFill="1" applyBorder="1"/>
    <xf numFmtId="0" fontId="67" fillId="0" borderId="0" xfId="0" applyFont="1"/>
    <xf numFmtId="0" fontId="16" fillId="3" borderId="5" xfId="0" applyFont="1" applyFill="1" applyBorder="1"/>
    <xf numFmtId="0" fontId="16" fillId="5" borderId="3" xfId="0" applyFont="1" applyFill="1" applyBorder="1"/>
    <xf numFmtId="0" fontId="16" fillId="5" borderId="2" xfId="0" applyFont="1" applyFill="1" applyBorder="1"/>
    <xf numFmtId="0" fontId="16" fillId="5" borderId="6" xfId="0" applyFont="1" applyFill="1" applyBorder="1"/>
    <xf numFmtId="6" fontId="16" fillId="7" borderId="2" xfId="0" applyNumberFormat="1" applyFont="1" applyFill="1" applyBorder="1"/>
    <xf numFmtId="6" fontId="16" fillId="7" borderId="3" xfId="0" applyNumberFormat="1" applyFont="1" applyFill="1" applyBorder="1"/>
    <xf numFmtId="42" fontId="16" fillId="7" borderId="2" xfId="0" applyNumberFormat="1" applyFont="1" applyFill="1" applyBorder="1"/>
    <xf numFmtId="9" fontId="16" fillId="4" borderId="3" xfId="0" applyNumberFormat="1" applyFont="1" applyFill="1" applyBorder="1" applyAlignment="1">
      <alignment horizontal="center" wrapText="1"/>
    </xf>
    <xf numFmtId="0" fontId="16" fillId="3" borderId="3" xfId="0" applyFont="1" applyFill="1" applyBorder="1" applyAlignment="1">
      <alignment horizontal="center" wrapText="1"/>
    </xf>
    <xf numFmtId="9" fontId="32" fillId="4" borderId="3" xfId="0" applyNumberFormat="1" applyFont="1" applyFill="1" applyBorder="1" applyAlignment="1">
      <alignment horizontal="center" wrapText="1"/>
    </xf>
    <xf numFmtId="0" fontId="30" fillId="3" borderId="2" xfId="0" applyFont="1" applyFill="1" applyBorder="1" applyAlignment="1">
      <alignment wrapText="1"/>
    </xf>
    <xf numFmtId="0" fontId="43" fillId="0" borderId="3" xfId="0" applyFont="1" applyBorder="1"/>
    <xf numFmtId="42" fontId="16" fillId="4" borderId="3" xfId="0" applyNumberFormat="1" applyFont="1" applyFill="1" applyBorder="1" applyAlignment="1">
      <alignment wrapText="1"/>
    </xf>
    <xf numFmtId="0" fontId="43" fillId="10" borderId="3" xfId="0" applyFont="1" applyFill="1" applyBorder="1"/>
    <xf numFmtId="9" fontId="32" fillId="3" borderId="1" xfId="0" applyNumberFormat="1" applyFont="1" applyFill="1" applyBorder="1" applyAlignment="1">
      <alignment horizontal="center"/>
    </xf>
    <xf numFmtId="42" fontId="16" fillId="7" borderId="3" xfId="0" applyNumberFormat="1" applyFont="1" applyFill="1" applyBorder="1"/>
    <xf numFmtId="0" fontId="16" fillId="3" borderId="0" xfId="0" applyFont="1" applyFill="1"/>
    <xf numFmtId="6" fontId="16" fillId="3" borderId="0" xfId="0" applyNumberFormat="1" applyFont="1" applyFill="1"/>
    <xf numFmtId="9" fontId="16" fillId="3" borderId="1" xfId="0" applyNumberFormat="1" applyFont="1" applyFill="1" applyBorder="1" applyAlignment="1">
      <alignment horizontal="center"/>
    </xf>
    <xf numFmtId="9" fontId="32" fillId="4" borderId="1" xfId="0" applyNumberFormat="1" applyFont="1" applyFill="1" applyBorder="1" applyAlignment="1">
      <alignment horizontal="center"/>
    </xf>
    <xf numFmtId="42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42" fontId="43" fillId="3" borderId="3" xfId="0" applyNumberFormat="1" applyFont="1" applyFill="1" applyBorder="1"/>
    <xf numFmtId="0" fontId="43" fillId="10" borderId="3" xfId="0" applyFont="1" applyFill="1" applyBorder="1" applyAlignment="1">
      <alignment horizontal="center" vertical="center"/>
    </xf>
    <xf numFmtId="42" fontId="43" fillId="10" borderId="3" xfId="0" applyNumberFormat="1" applyFont="1" applyFill="1" applyBorder="1"/>
    <xf numFmtId="0" fontId="2" fillId="0" borderId="2" xfId="0" applyFont="1" applyBorder="1"/>
    <xf numFmtId="0" fontId="16" fillId="3" borderId="3" xfId="0" applyFont="1" applyFill="1" applyBorder="1" applyAlignment="1">
      <alignment horizontal="left" vertical="center"/>
    </xf>
    <xf numFmtId="0" fontId="7" fillId="0" borderId="2" xfId="0" applyFont="1" applyBorder="1"/>
    <xf numFmtId="0" fontId="32" fillId="4" borderId="3" xfId="0" applyFont="1" applyFill="1" applyBorder="1" applyAlignment="1">
      <alignment horizontal="center"/>
    </xf>
    <xf numFmtId="42" fontId="16" fillId="4" borderId="4" xfId="0" applyNumberFormat="1" applyFont="1" applyFill="1" applyBorder="1" applyAlignment="1">
      <alignment horizontal="center"/>
    </xf>
    <xf numFmtId="42" fontId="16" fillId="3" borderId="3" xfId="0" applyNumberFormat="1" applyFont="1" applyFill="1" applyBorder="1" applyAlignment="1">
      <alignment horizontal="center"/>
    </xf>
    <xf numFmtId="42" fontId="16" fillId="3" borderId="4" xfId="0" applyNumberFormat="1" applyFont="1" applyFill="1" applyBorder="1" applyAlignment="1">
      <alignment horizontal="center"/>
    </xf>
    <xf numFmtId="9" fontId="32" fillId="3" borderId="2" xfId="0" applyNumberFormat="1" applyFont="1" applyFill="1" applyBorder="1" applyAlignment="1">
      <alignment horizontal="center"/>
    </xf>
    <xf numFmtId="42" fontId="16" fillId="0" borderId="3" xfId="0" applyNumberFormat="1" applyFont="1" applyBorder="1" applyAlignment="1">
      <alignment horizontal="right"/>
    </xf>
    <xf numFmtId="0" fontId="16" fillId="0" borderId="1" xfId="0" applyFont="1" applyBorder="1"/>
    <xf numFmtId="166" fontId="16" fillId="7" borderId="3" xfId="0" applyNumberFormat="1" applyFont="1" applyFill="1" applyBorder="1" applyAlignment="1">
      <alignment horizontal="right"/>
    </xf>
    <xf numFmtId="0" fontId="16" fillId="4" borderId="8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 vertical="center"/>
    </xf>
    <xf numFmtId="42" fontId="16" fillId="4" borderId="3" xfId="0" applyNumberFormat="1" applyFont="1" applyFill="1" applyBorder="1" applyAlignment="1">
      <alignment horizontal="right"/>
    </xf>
    <xf numFmtId="166" fontId="16" fillId="7" borderId="5" xfId="0" applyNumberFormat="1" applyFont="1" applyFill="1" applyBorder="1" applyAlignment="1">
      <alignment horizontal="right"/>
    </xf>
    <xf numFmtId="0" fontId="16" fillId="4" borderId="36" xfId="0" applyFont="1" applyFill="1" applyBorder="1" applyAlignment="1">
      <alignment horizontal="center"/>
    </xf>
    <xf numFmtId="9" fontId="6" fillId="3" borderId="5" xfId="0" applyNumberFormat="1" applyFont="1" applyFill="1" applyBorder="1" applyAlignment="1">
      <alignment horizontal="center" vertical="top"/>
    </xf>
    <xf numFmtId="9" fontId="32" fillId="4" borderId="11" xfId="0" applyNumberFormat="1" applyFont="1" applyFill="1" applyBorder="1" applyAlignment="1">
      <alignment horizontal="center"/>
    </xf>
    <xf numFmtId="42" fontId="16" fillId="7" borderId="4" xfId="0" applyNumberFormat="1" applyFont="1" applyFill="1" applyBorder="1" applyAlignment="1">
      <alignment horizontal="right"/>
    </xf>
    <xf numFmtId="0" fontId="16" fillId="4" borderId="5" xfId="0" applyFont="1" applyFill="1" applyBorder="1"/>
    <xf numFmtId="42" fontId="16" fillId="4" borderId="3" xfId="0" applyNumberFormat="1" applyFont="1" applyFill="1" applyBorder="1" applyAlignment="1">
      <alignment horizontal="center"/>
    </xf>
    <xf numFmtId="42" fontId="16" fillId="0" borderId="3" xfId="0" applyNumberFormat="1" applyFont="1" applyBorder="1"/>
    <xf numFmtId="6" fontId="16" fillId="8" borderId="3" xfId="0" applyNumberFormat="1" applyFont="1" applyFill="1" applyBorder="1"/>
    <xf numFmtId="42" fontId="16" fillId="8" borderId="2" xfId="0" applyNumberFormat="1" applyFont="1" applyFill="1" applyBorder="1"/>
    <xf numFmtId="3" fontId="69" fillId="7" borderId="0" xfId="0" applyNumberFormat="1" applyFont="1" applyFill="1"/>
    <xf numFmtId="9" fontId="16" fillId="8" borderId="3" xfId="0" applyNumberFormat="1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9" fontId="16" fillId="8" borderId="6" xfId="0" applyNumberFormat="1" applyFont="1" applyFill="1" applyBorder="1" applyAlignment="1">
      <alignment horizontal="center"/>
    </xf>
    <xf numFmtId="0" fontId="16" fillId="3" borderId="6" xfId="0" applyFont="1" applyFill="1" applyBorder="1"/>
    <xf numFmtId="42" fontId="16" fillId="3" borderId="3" xfId="0" applyNumberFormat="1" applyFont="1" applyFill="1" applyBorder="1" applyAlignment="1">
      <alignment horizontal="right"/>
    </xf>
    <xf numFmtId="9" fontId="32" fillId="3" borderId="3" xfId="0" applyNumberFormat="1" applyFont="1" applyFill="1" applyBorder="1" applyAlignment="1">
      <alignment horizontal="center" vertical="top"/>
    </xf>
    <xf numFmtId="0" fontId="16" fillId="3" borderId="36" xfId="0" applyFont="1" applyFill="1" applyBorder="1" applyAlignment="1">
      <alignment horizontal="center"/>
    </xf>
    <xf numFmtId="42" fontId="16" fillId="7" borderId="3" xfId="0" applyNumberFormat="1" applyFont="1" applyFill="1" applyBorder="1" applyAlignment="1">
      <alignment horizontal="right"/>
    </xf>
    <xf numFmtId="0" fontId="16" fillId="0" borderId="2" xfId="0" applyFont="1" applyBorder="1"/>
    <xf numFmtId="42" fontId="2" fillId="3" borderId="4" xfId="0" applyNumberFormat="1" applyFont="1" applyFill="1" applyBorder="1" applyAlignment="1">
      <alignment horizontal="right"/>
    </xf>
    <xf numFmtId="0" fontId="16" fillId="0" borderId="5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top"/>
    </xf>
    <xf numFmtId="0" fontId="43" fillId="0" borderId="0" xfId="0" applyFont="1"/>
    <xf numFmtId="9" fontId="16" fillId="4" borderId="9" xfId="0" applyNumberFormat="1" applyFont="1" applyFill="1" applyBorder="1" applyAlignment="1">
      <alignment horizontal="center"/>
    </xf>
    <xf numFmtId="0" fontId="70" fillId="4" borderId="3" xfId="0" applyFont="1" applyFill="1" applyBorder="1"/>
    <xf numFmtId="3" fontId="27" fillId="3" borderId="3" xfId="0" applyNumberFormat="1" applyFont="1" applyFill="1" applyBorder="1"/>
    <xf numFmtId="9" fontId="27" fillId="3" borderId="3" xfId="0" applyNumberFormat="1" applyFont="1" applyFill="1" applyBorder="1" applyAlignment="1">
      <alignment horizontal="center"/>
    </xf>
    <xf numFmtId="0" fontId="16" fillId="0" borderId="6" xfId="0" applyFont="1" applyBorder="1" applyAlignment="1">
      <alignment vertical="center"/>
    </xf>
    <xf numFmtId="0" fontId="16" fillId="3" borderId="3" xfId="0" applyFont="1" applyFill="1" applyBorder="1" applyAlignment="1">
      <alignment horizontal="center" vertical="top"/>
    </xf>
    <xf numFmtId="0" fontId="41" fillId="3" borderId="7" xfId="0" applyFont="1" applyFill="1" applyBorder="1" applyAlignment="1">
      <alignment horizontal="center"/>
    </xf>
    <xf numFmtId="0" fontId="41" fillId="3" borderId="7" xfId="0" applyFont="1" applyFill="1" applyBorder="1"/>
    <xf numFmtId="0" fontId="41" fillId="5" borderId="3" xfId="0" applyFont="1" applyFill="1" applyBorder="1"/>
    <xf numFmtId="0" fontId="41" fillId="5" borderId="2" xfId="0" applyFont="1" applyFill="1" applyBorder="1"/>
    <xf numFmtId="0" fontId="41" fillId="5" borderId="6" xfId="0" applyFont="1" applyFill="1" applyBorder="1"/>
    <xf numFmtId="6" fontId="41" fillId="7" borderId="3" xfId="0" applyNumberFormat="1" applyFont="1" applyFill="1" applyBorder="1"/>
    <xf numFmtId="42" fontId="41" fillId="7" borderId="2" xfId="0" applyNumberFormat="1" applyFont="1" applyFill="1" applyBorder="1"/>
    <xf numFmtId="3" fontId="27" fillId="4" borderId="3" xfId="0" applyNumberFormat="1" applyFont="1" applyFill="1" applyBorder="1"/>
    <xf numFmtId="0" fontId="16" fillId="8" borderId="7" xfId="0" applyFont="1" applyFill="1" applyBorder="1" applyAlignment="1">
      <alignment horizontal="center"/>
    </xf>
    <xf numFmtId="0" fontId="16" fillId="3" borderId="3" xfId="0" applyFont="1" applyFill="1" applyBorder="1" applyAlignment="1">
      <alignment vertical="center"/>
    </xf>
    <xf numFmtId="0" fontId="41" fillId="3" borderId="5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67" fillId="3" borderId="0" xfId="0" applyFont="1" applyFill="1"/>
    <xf numFmtId="0" fontId="67" fillId="0" borderId="0" xfId="0" applyFont="1" applyAlignment="1">
      <alignment vertical="center"/>
    </xf>
    <xf numFmtId="0" fontId="67" fillId="0" borderId="0" xfId="0" applyFont="1" applyAlignment="1">
      <alignment horizontal="left" vertical="top"/>
    </xf>
    <xf numFmtId="0" fontId="16" fillId="3" borderId="10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wrapText="1"/>
    </xf>
    <xf numFmtId="0" fontId="32" fillId="3" borderId="5" xfId="0" applyFont="1" applyFill="1" applyBorder="1"/>
    <xf numFmtId="0" fontId="43" fillId="10" borderId="30" xfId="0" applyFont="1" applyFill="1" applyBorder="1"/>
    <xf numFmtId="0" fontId="43" fillId="10" borderId="5" xfId="0" applyFont="1" applyFill="1" applyBorder="1"/>
    <xf numFmtId="0" fontId="43" fillId="10" borderId="0" xfId="0" applyFont="1" applyFill="1"/>
    <xf numFmtId="0" fontId="16" fillId="3" borderId="1" xfId="0" applyFont="1" applyFill="1" applyBorder="1" applyAlignment="1">
      <alignment horizontal="center"/>
    </xf>
    <xf numFmtId="42" fontId="16" fillId="7" borderId="5" xfId="0" applyNumberFormat="1" applyFont="1" applyFill="1" applyBorder="1"/>
    <xf numFmtId="0" fontId="16" fillId="3" borderId="10" xfId="0" applyFont="1" applyFill="1" applyBorder="1"/>
    <xf numFmtId="0" fontId="16" fillId="3" borderId="1" xfId="0" applyFont="1" applyFill="1" applyBorder="1" applyAlignment="1">
      <alignment wrapText="1"/>
    </xf>
    <xf numFmtId="0" fontId="43" fillId="3" borderId="2" xfId="0" applyFont="1" applyFill="1" applyBorder="1"/>
    <xf numFmtId="0" fontId="32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top"/>
    </xf>
    <xf numFmtId="0" fontId="16" fillId="3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top"/>
    </xf>
    <xf numFmtId="9" fontId="32" fillId="3" borderId="5" xfId="0" applyNumberFormat="1" applyFont="1" applyFill="1" applyBorder="1" applyAlignment="1">
      <alignment horizontal="center"/>
    </xf>
    <xf numFmtId="165" fontId="16" fillId="4" borderId="3" xfId="0" applyNumberFormat="1" applyFont="1" applyFill="1" applyBorder="1"/>
    <xf numFmtId="6" fontId="16" fillId="8" borderId="10" xfId="0" applyNumberFormat="1" applyFont="1" applyFill="1" applyBorder="1"/>
    <xf numFmtId="6" fontId="16" fillId="9" borderId="3" xfId="0" applyNumberFormat="1" applyFont="1" applyFill="1" applyBorder="1"/>
    <xf numFmtId="0" fontId="16" fillId="3" borderId="5" xfId="0" applyFont="1" applyFill="1" applyBorder="1" applyAlignment="1">
      <alignment horizontal="center" vertical="center"/>
    </xf>
    <xf numFmtId="42" fontId="43" fillId="3" borderId="5" xfId="0" applyNumberFormat="1" applyFont="1" applyFill="1" applyBorder="1"/>
    <xf numFmtId="42" fontId="43" fillId="10" borderId="5" xfId="0" applyNumberFormat="1" applyFont="1" applyFill="1" applyBorder="1"/>
    <xf numFmtId="0" fontId="16" fillId="3" borderId="2" xfId="0" applyFont="1" applyFill="1" applyBorder="1" applyAlignment="1">
      <alignment wrapText="1"/>
    </xf>
    <xf numFmtId="9" fontId="16" fillId="4" borderId="6" xfId="0" applyNumberFormat="1" applyFont="1" applyFill="1" applyBorder="1" applyAlignment="1">
      <alignment horizontal="center" wrapText="1"/>
    </xf>
    <xf numFmtId="0" fontId="41" fillId="4" borderId="5" xfId="0" applyFont="1" applyFill="1" applyBorder="1" applyAlignment="1">
      <alignment horizontal="center"/>
    </xf>
    <xf numFmtId="9" fontId="41" fillId="4" borderId="7" xfId="0" applyNumberFormat="1" applyFont="1" applyFill="1" applyBorder="1" applyAlignment="1">
      <alignment horizontal="center"/>
    </xf>
    <xf numFmtId="0" fontId="16" fillId="4" borderId="3" xfId="0" applyFont="1" applyFill="1" applyBorder="1" applyAlignment="1">
      <alignment horizontal="left" vertical="center"/>
    </xf>
    <xf numFmtId="9" fontId="16" fillId="4" borderId="30" xfId="0" applyNumberFormat="1" applyFont="1" applyFill="1" applyBorder="1" applyAlignment="1">
      <alignment horizontal="center"/>
    </xf>
    <xf numFmtId="9" fontId="16" fillId="4" borderId="9" xfId="0" applyNumberFormat="1" applyFont="1" applyFill="1" applyBorder="1" applyAlignment="1">
      <alignment horizontal="center" vertical="top"/>
    </xf>
    <xf numFmtId="9" fontId="32" fillId="4" borderId="9" xfId="0" applyNumberFormat="1" applyFont="1" applyFill="1" applyBorder="1" applyAlignment="1">
      <alignment horizontal="center" vertical="top"/>
    </xf>
    <xf numFmtId="0" fontId="16" fillId="3" borderId="11" xfId="0" applyFont="1" applyFill="1" applyBorder="1" applyAlignment="1">
      <alignment horizontal="center"/>
    </xf>
    <xf numFmtId="42" fontId="16" fillId="3" borderId="30" xfId="0" applyNumberFormat="1" applyFont="1" applyFill="1" applyBorder="1"/>
    <xf numFmtId="42" fontId="16" fillId="0" borderId="2" xfId="0" applyNumberFormat="1" applyFont="1" applyBorder="1" applyAlignment="1">
      <alignment horizontal="right"/>
    </xf>
    <xf numFmtId="0" fontId="16" fillId="8" borderId="6" xfId="0" applyFont="1" applyFill="1" applyBorder="1" applyAlignment="1">
      <alignment horizontal="center"/>
    </xf>
    <xf numFmtId="0" fontId="16" fillId="8" borderId="2" xfId="0" applyFont="1" applyFill="1" applyBorder="1"/>
    <xf numFmtId="0" fontId="71" fillId="4" borderId="0" xfId="0" applyFont="1" applyFill="1"/>
    <xf numFmtId="9" fontId="16" fillId="3" borderId="9" xfId="0" applyNumberFormat="1" applyFont="1" applyFill="1" applyBorder="1" applyAlignment="1">
      <alignment horizontal="center"/>
    </xf>
    <xf numFmtId="42" fontId="16" fillId="3" borderId="2" xfId="0" applyNumberFormat="1" applyFont="1" applyFill="1" applyBorder="1"/>
    <xf numFmtId="170" fontId="32" fillId="4" borderId="2" xfId="0" applyNumberFormat="1" applyFont="1" applyFill="1" applyBorder="1" applyAlignment="1">
      <alignment horizontal="center"/>
    </xf>
    <xf numFmtId="170" fontId="16" fillId="4" borderId="2" xfId="0" applyNumberFormat="1" applyFont="1" applyFill="1" applyBorder="1" applyAlignment="1">
      <alignment horizontal="center"/>
    </xf>
    <xf numFmtId="0" fontId="16" fillId="4" borderId="3" xfId="0" applyFont="1" applyFill="1" applyBorder="1" applyAlignment="1">
      <alignment horizontal="left" wrapText="1"/>
    </xf>
    <xf numFmtId="42" fontId="16" fillId="4" borderId="3" xfId="0" applyNumberFormat="1" applyFont="1" applyFill="1" applyBorder="1" applyAlignment="1">
      <alignment horizontal="left" wrapText="1"/>
    </xf>
    <xf numFmtId="9" fontId="42" fillId="4" borderId="3" xfId="0" applyNumberFormat="1" applyFont="1" applyFill="1" applyBorder="1" applyAlignment="1">
      <alignment horizontal="center" vertical="center"/>
    </xf>
    <xf numFmtId="42" fontId="41" fillId="4" borderId="3" xfId="0" applyNumberFormat="1" applyFont="1" applyFill="1" applyBorder="1"/>
    <xf numFmtId="9" fontId="42" fillId="4" borderId="3" xfId="0" applyNumberFormat="1" applyFont="1" applyFill="1" applyBorder="1" applyAlignment="1">
      <alignment horizontal="center"/>
    </xf>
    <xf numFmtId="0" fontId="41" fillId="3" borderId="10" xfId="0" applyFont="1" applyFill="1" applyBorder="1" applyAlignment="1">
      <alignment horizontal="center" vertical="center"/>
    </xf>
    <xf numFmtId="9" fontId="32" fillId="4" borderId="3" xfId="0" applyNumberFormat="1" applyFont="1" applyFill="1" applyBorder="1" applyAlignment="1">
      <alignment horizontal="center" vertical="center" wrapText="1"/>
    </xf>
    <xf numFmtId="9" fontId="41" fillId="4" borderId="7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9" fontId="16" fillId="4" borderId="5" xfId="0" applyNumberFormat="1" applyFont="1" applyFill="1" applyBorder="1" applyAlignment="1">
      <alignment horizontal="center" wrapText="1"/>
    </xf>
    <xf numFmtId="42" fontId="16" fillId="4" borderId="5" xfId="0" applyNumberFormat="1" applyFont="1" applyFill="1" applyBorder="1" applyAlignment="1">
      <alignment horizontal="center" vertical="center"/>
    </xf>
    <xf numFmtId="9" fontId="16" fillId="4" borderId="30" xfId="0" applyNumberFormat="1" applyFont="1" applyFill="1" applyBorder="1" applyAlignment="1">
      <alignment horizontal="center" vertical="center"/>
    </xf>
    <xf numFmtId="9" fontId="16" fillId="3" borderId="6" xfId="0" applyNumberFormat="1" applyFont="1" applyFill="1" applyBorder="1" applyAlignment="1">
      <alignment horizontal="center" vertical="center"/>
    </xf>
    <xf numFmtId="9" fontId="42" fillId="3" borderId="3" xfId="0" applyNumberFormat="1" applyFont="1" applyFill="1" applyBorder="1" applyAlignment="1">
      <alignment horizontal="center" vertical="center"/>
    </xf>
    <xf numFmtId="9" fontId="42" fillId="3" borderId="3" xfId="0" applyNumberFormat="1" applyFont="1" applyFill="1" applyBorder="1" applyAlignment="1">
      <alignment horizontal="center"/>
    </xf>
    <xf numFmtId="9" fontId="41" fillId="3" borderId="7" xfId="0" applyNumberFormat="1" applyFont="1" applyFill="1" applyBorder="1" applyAlignment="1">
      <alignment horizontal="center" vertical="center"/>
    </xf>
    <xf numFmtId="9" fontId="32" fillId="3" borderId="6" xfId="0" applyNumberFormat="1" applyFont="1" applyFill="1" applyBorder="1" applyAlignment="1">
      <alignment horizontal="center" vertical="center"/>
    </xf>
    <xf numFmtId="9" fontId="32" fillId="3" borderId="3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9" fontId="16" fillId="3" borderId="5" xfId="0" applyNumberFormat="1" applyFont="1" applyFill="1" applyBorder="1" applyAlignment="1">
      <alignment horizontal="center" wrapText="1"/>
    </xf>
    <xf numFmtId="42" fontId="16" fillId="3" borderId="5" xfId="0" applyNumberFormat="1" applyFont="1" applyFill="1" applyBorder="1" applyAlignment="1">
      <alignment horizontal="center" vertical="center"/>
    </xf>
    <xf numFmtId="9" fontId="16" fillId="3" borderId="30" xfId="0" applyNumberFormat="1" applyFont="1" applyFill="1" applyBorder="1" applyAlignment="1">
      <alignment horizontal="center" vertical="center"/>
    </xf>
    <xf numFmtId="0" fontId="43" fillId="3" borderId="30" xfId="0" applyFont="1" applyFill="1" applyBorder="1"/>
    <xf numFmtId="42" fontId="16" fillId="3" borderId="3" xfId="0" applyNumberFormat="1" applyFont="1" applyFill="1" applyBorder="1" applyAlignment="1">
      <alignment horizontal="left" wrapText="1"/>
    </xf>
    <xf numFmtId="9" fontId="32" fillId="3" borderId="5" xfId="0" applyNumberFormat="1" applyFont="1" applyFill="1" applyBorder="1" applyAlignment="1">
      <alignment horizontal="center" vertical="top"/>
    </xf>
    <xf numFmtId="9" fontId="32" fillId="3" borderId="30" xfId="0" applyNumberFormat="1" applyFont="1" applyFill="1" applyBorder="1" applyAlignment="1">
      <alignment horizontal="center"/>
    </xf>
    <xf numFmtId="0" fontId="16" fillId="3" borderId="1" xfId="0" applyFont="1" applyFill="1" applyBorder="1"/>
    <xf numFmtId="42" fontId="16" fillId="5" borderId="6" xfId="0" applyNumberFormat="1" applyFont="1" applyFill="1" applyBorder="1"/>
    <xf numFmtId="0" fontId="71" fillId="3" borderId="0" xfId="0" applyFont="1" applyFill="1"/>
    <xf numFmtId="0" fontId="16" fillId="3" borderId="2" xfId="0" applyFont="1" applyFill="1" applyBorder="1" applyAlignment="1">
      <alignment horizontal="left" vertical="center"/>
    </xf>
    <xf numFmtId="0" fontId="16" fillId="3" borderId="9" xfId="0" applyFont="1" applyFill="1" applyBorder="1"/>
    <xf numFmtId="42" fontId="16" fillId="3" borderId="6" xfId="0" applyNumberFormat="1" applyFont="1" applyFill="1" applyBorder="1"/>
    <xf numFmtId="0" fontId="16" fillId="0" borderId="6" xfId="0" applyFont="1" applyBorder="1" applyAlignment="1">
      <alignment horizontal="left" vertical="top"/>
    </xf>
    <xf numFmtId="42" fontId="16" fillId="5" borderId="5" xfId="0" applyNumberFormat="1" applyFont="1" applyFill="1" applyBorder="1"/>
    <xf numFmtId="42" fontId="16" fillId="3" borderId="17" xfId="0" applyNumberFormat="1" applyFont="1" applyFill="1" applyBorder="1"/>
    <xf numFmtId="9" fontId="32" fillId="4" borderId="4" xfId="0" applyNumberFormat="1" applyFont="1" applyFill="1" applyBorder="1" applyAlignment="1">
      <alignment horizontal="center"/>
    </xf>
    <xf numFmtId="42" fontId="16" fillId="4" borderId="8" xfId="0" applyNumberFormat="1" applyFont="1" applyFill="1" applyBorder="1"/>
    <xf numFmtId="0" fontId="25" fillId="11" borderId="20" xfId="0" applyFont="1" applyFill="1" applyBorder="1" applyAlignment="1">
      <alignment horizontal="left"/>
    </xf>
    <xf numFmtId="14" fontId="26" fillId="13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0" fillId="12" borderId="3" xfId="0" applyFont="1" applyFill="1" applyBorder="1" applyAlignment="1">
      <alignment horizontal="left"/>
    </xf>
    <xf numFmtId="0" fontId="26" fillId="12" borderId="3" xfId="0" applyFont="1" applyFill="1" applyBorder="1" applyAlignment="1">
      <alignment horizontal="left"/>
    </xf>
    <xf numFmtId="0" fontId="26" fillId="13" borderId="3" xfId="0" applyFont="1" applyFill="1" applyBorder="1" applyAlignment="1">
      <alignment horizontal="left"/>
    </xf>
    <xf numFmtId="0" fontId="37" fillId="11" borderId="20" xfId="0" applyFont="1" applyFill="1" applyBorder="1" applyAlignment="1">
      <alignment horizontal="left"/>
    </xf>
    <xf numFmtId="0" fontId="26" fillId="14" borderId="3" xfId="0" applyFont="1" applyFill="1" applyBorder="1" applyAlignment="1">
      <alignment horizontal="left"/>
    </xf>
    <xf numFmtId="0" fontId="30" fillId="25" borderId="3" xfId="0" applyFont="1" applyFill="1" applyBorder="1" applyAlignment="1">
      <alignment horizontal="left"/>
    </xf>
    <xf numFmtId="0" fontId="70" fillId="3" borderId="3" xfId="0" applyFont="1" applyFill="1" applyBorder="1"/>
    <xf numFmtId="14" fontId="26" fillId="12" borderId="3" xfId="0" applyNumberFormat="1" applyFont="1" applyFill="1" applyBorder="1"/>
    <xf numFmtId="14" fontId="26" fillId="13" borderId="3" xfId="0" applyNumberFormat="1" applyFont="1" applyFill="1" applyBorder="1"/>
    <xf numFmtId="14" fontId="30" fillId="12" borderId="3" xfId="0" applyNumberFormat="1" applyFont="1" applyFill="1" applyBorder="1"/>
    <xf numFmtId="14" fontId="30" fillId="6" borderId="3" xfId="0" applyNumberFormat="1" applyFont="1" applyFill="1" applyBorder="1"/>
    <xf numFmtId="0" fontId="25" fillId="11" borderId="3" xfId="0" applyFont="1" applyFill="1" applyBorder="1"/>
    <xf numFmtId="14" fontId="30" fillId="3" borderId="3" xfId="0" applyNumberFormat="1" applyFont="1" applyFill="1" applyBorder="1"/>
    <xf numFmtId="6" fontId="16" fillId="3" borderId="3" xfId="0" applyNumberFormat="1" applyFont="1" applyFill="1" applyBorder="1"/>
    <xf numFmtId="14" fontId="30" fillId="25" borderId="3" xfId="0" applyNumberFormat="1" applyFont="1" applyFill="1" applyBorder="1"/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left"/>
    </xf>
    <xf numFmtId="0" fontId="0" fillId="3" borderId="3" xfId="0" applyFill="1" applyBorder="1"/>
    <xf numFmtId="0" fontId="16" fillId="3" borderId="8" xfId="0" applyFont="1" applyFill="1" applyBorder="1" applyAlignment="1">
      <alignment horizontal="center"/>
    </xf>
    <xf numFmtId="0" fontId="73" fillId="3" borderId="3" xfId="0" applyFont="1" applyFill="1" applyBorder="1"/>
    <xf numFmtId="0" fontId="71" fillId="4" borderId="2" xfId="0" applyFont="1" applyFill="1" applyBorder="1"/>
    <xf numFmtId="0" fontId="16" fillId="26" borderId="4" xfId="0" applyFont="1" applyFill="1" applyBorder="1" applyAlignment="1">
      <alignment horizontal="center"/>
    </xf>
    <xf numFmtId="0" fontId="2" fillId="0" borderId="0" xfId="0" applyFont="1"/>
    <xf numFmtId="42" fontId="16" fillId="0" borderId="0" xfId="0" applyNumberFormat="1" applyFont="1" applyAlignment="1">
      <alignment horizontal="right"/>
    </xf>
    <xf numFmtId="166" fontId="16" fillId="7" borderId="0" xfId="0" applyNumberFormat="1" applyFont="1" applyFill="1" applyAlignment="1">
      <alignment horizontal="right"/>
    </xf>
    <xf numFmtId="0" fontId="0" fillId="3" borderId="30" xfId="0" applyFill="1" applyBorder="1"/>
    <xf numFmtId="0" fontId="0" fillId="3" borderId="8" xfId="0" applyFill="1" applyBorder="1"/>
    <xf numFmtId="9" fontId="16" fillId="26" borderId="3" xfId="0" applyNumberFormat="1" applyFont="1" applyFill="1" applyBorder="1" applyAlignment="1">
      <alignment horizontal="center"/>
    </xf>
    <xf numFmtId="0" fontId="70" fillId="26" borderId="4" xfId="0" applyFont="1" applyFill="1" applyBorder="1"/>
    <xf numFmtId="0" fontId="0" fillId="27" borderId="3" xfId="0" applyFill="1" applyBorder="1"/>
    <xf numFmtId="0" fontId="0" fillId="27" borderId="30" xfId="0" applyFill="1" applyBorder="1"/>
    <xf numFmtId="0" fontId="16" fillId="27" borderId="3" xfId="0" applyFont="1" applyFill="1" applyBorder="1"/>
    <xf numFmtId="0" fontId="16" fillId="4" borderId="7" xfId="0" applyFont="1" applyFill="1" applyBorder="1" applyAlignment="1">
      <alignment horizontal="center" vertical="center"/>
    </xf>
    <xf numFmtId="9" fontId="16" fillId="4" borderId="7" xfId="0" applyNumberFormat="1" applyFont="1" applyFill="1" applyBorder="1" applyAlignment="1">
      <alignment horizontal="center" vertical="top"/>
    </xf>
    <xf numFmtId="0" fontId="16" fillId="4" borderId="5" xfId="0" applyFont="1" applyFill="1" applyBorder="1" applyAlignment="1">
      <alignment horizontal="left"/>
    </xf>
    <xf numFmtId="9" fontId="16" fillId="4" borderId="8" xfId="0" applyNumberFormat="1" applyFont="1" applyFill="1" applyBorder="1" applyAlignment="1">
      <alignment horizontal="center"/>
    </xf>
    <xf numFmtId="0" fontId="0" fillId="3" borderId="6" xfId="0" applyFill="1" applyBorder="1"/>
    <xf numFmtId="0" fontId="71" fillId="26" borderId="3" xfId="0" applyFont="1" applyFill="1" applyBorder="1"/>
    <xf numFmtId="0" fontId="71" fillId="26" borderId="30" xfId="0" applyFont="1" applyFill="1" applyBorder="1"/>
    <xf numFmtId="0" fontId="16" fillId="4" borderId="11" xfId="0" applyFont="1" applyFill="1" applyBorder="1" applyAlignment="1">
      <alignment horizontal="left" vertical="center"/>
    </xf>
    <xf numFmtId="0" fontId="73" fillId="3" borderId="4" xfId="0" applyFont="1" applyFill="1" applyBorder="1"/>
    <xf numFmtId="0" fontId="70" fillId="4" borderId="1" xfId="0" applyFont="1" applyFill="1" applyBorder="1"/>
    <xf numFmtId="0" fontId="73" fillId="3" borderId="5" xfId="0" applyFont="1" applyFill="1" applyBorder="1"/>
    <xf numFmtId="0" fontId="16" fillId="3" borderId="16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 wrapText="1"/>
    </xf>
    <xf numFmtId="0" fontId="71" fillId="4" borderId="3" xfId="0" applyFont="1" applyFill="1" applyBorder="1"/>
    <xf numFmtId="9" fontId="75" fillId="4" borderId="9" xfId="0" applyNumberFormat="1" applyFont="1" applyFill="1" applyBorder="1" applyAlignment="1">
      <alignment horizontal="center"/>
    </xf>
    <xf numFmtId="0" fontId="71" fillId="3" borderId="3" xfId="0" applyFont="1" applyFill="1" applyBorder="1"/>
    <xf numFmtId="9" fontId="32" fillId="26" borderId="4" xfId="0" applyNumberFormat="1" applyFont="1" applyFill="1" applyBorder="1" applyAlignment="1">
      <alignment horizontal="center"/>
    </xf>
    <xf numFmtId="0" fontId="74" fillId="3" borderId="3" xfId="0" applyFont="1" applyFill="1" applyBorder="1" applyAlignment="1">
      <alignment horizontal="left"/>
    </xf>
    <xf numFmtId="0" fontId="16" fillId="26" borderId="11" xfId="0" applyFont="1" applyFill="1" applyBorder="1"/>
    <xf numFmtId="0" fontId="16" fillId="4" borderId="11" xfId="0" applyFont="1" applyFill="1" applyBorder="1"/>
    <xf numFmtId="9" fontId="16" fillId="3" borderId="36" xfId="0" applyNumberFormat="1" applyFont="1" applyFill="1" applyBorder="1" applyAlignment="1">
      <alignment horizontal="center"/>
    </xf>
    <xf numFmtId="0" fontId="71" fillId="0" borderId="3" xfId="0" applyFont="1" applyBorder="1"/>
    <xf numFmtId="0" fontId="30" fillId="12" borderId="4" xfId="0" applyFont="1" applyFill="1" applyBorder="1"/>
    <xf numFmtId="0" fontId="26" fillId="12" borderId="5" xfId="0" applyFont="1" applyFill="1" applyBorder="1"/>
    <xf numFmtId="0" fontId="37" fillId="11" borderId="3" xfId="0" applyFont="1" applyFill="1" applyBorder="1" applyAlignment="1">
      <alignment horizontal="left"/>
    </xf>
    <xf numFmtId="0" fontId="37" fillId="11" borderId="3" xfId="0" applyFont="1" applyFill="1" applyBorder="1"/>
    <xf numFmtId="14" fontId="30" fillId="12" borderId="5" xfId="0" applyNumberFormat="1" applyFont="1" applyFill="1" applyBorder="1" applyAlignment="1">
      <alignment horizontal="left"/>
    </xf>
    <xf numFmtId="0" fontId="16" fillId="12" borderId="5" xfId="0" applyFont="1" applyFill="1" applyBorder="1"/>
    <xf numFmtId="6" fontId="16" fillId="12" borderId="5" xfId="0" applyNumberFormat="1" applyFont="1" applyFill="1" applyBorder="1"/>
    <xf numFmtId="14" fontId="26" fillId="12" borderId="5" xfId="0" applyNumberFormat="1" applyFont="1" applyFill="1" applyBorder="1" applyAlignment="1">
      <alignment horizontal="left"/>
    </xf>
    <xf numFmtId="0" fontId="28" fillId="3" borderId="0" xfId="0" applyFont="1" applyFill="1"/>
    <xf numFmtId="0" fontId="25" fillId="3" borderId="0" xfId="0" applyFont="1" applyFill="1"/>
    <xf numFmtId="9" fontId="32" fillId="4" borderId="8" xfId="0" applyNumberFormat="1" applyFont="1" applyFill="1" applyBorder="1" applyAlignment="1">
      <alignment horizontal="center"/>
    </xf>
    <xf numFmtId="0" fontId="16" fillId="4" borderId="1" xfId="0" applyFont="1" applyFill="1" applyBorder="1"/>
    <xf numFmtId="0" fontId="43" fillId="3" borderId="10" xfId="0" applyFont="1" applyFill="1" applyBorder="1" applyAlignment="1">
      <alignment horizontal="left"/>
    </xf>
    <xf numFmtId="42" fontId="16" fillId="3" borderId="10" xfId="0" applyNumberFormat="1" applyFont="1" applyFill="1" applyBorder="1"/>
    <xf numFmtId="42" fontId="16" fillId="0" borderId="1" xfId="0" applyNumberFormat="1" applyFont="1" applyBorder="1" applyAlignment="1">
      <alignment horizontal="right"/>
    </xf>
    <xf numFmtId="9" fontId="71" fillId="4" borderId="30" xfId="0" applyNumberFormat="1" applyFont="1" applyFill="1" applyBorder="1" applyAlignment="1">
      <alignment horizontal="center"/>
    </xf>
    <xf numFmtId="9" fontId="32" fillId="3" borderId="4" xfId="0" applyNumberFormat="1" applyFont="1" applyFill="1" applyBorder="1" applyAlignment="1">
      <alignment horizontal="center"/>
    </xf>
    <xf numFmtId="0" fontId="16" fillId="3" borderId="11" xfId="0" applyFont="1" applyFill="1" applyBorder="1"/>
    <xf numFmtId="0" fontId="71" fillId="3" borderId="2" xfId="0" applyFont="1" applyFill="1" applyBorder="1"/>
    <xf numFmtId="42" fontId="16" fillId="3" borderId="4" xfId="0" applyNumberFormat="1" applyFont="1" applyFill="1" applyBorder="1"/>
    <xf numFmtId="0" fontId="71" fillId="3" borderId="30" xfId="0" applyFont="1" applyFill="1" applyBorder="1"/>
    <xf numFmtId="0" fontId="16" fillId="3" borderId="7" xfId="0" applyFont="1" applyFill="1" applyBorder="1" applyAlignment="1">
      <alignment horizontal="center" vertical="center"/>
    </xf>
    <xf numFmtId="9" fontId="16" fillId="3" borderId="7" xfId="0" applyNumberFormat="1" applyFont="1" applyFill="1" applyBorder="1" applyAlignment="1">
      <alignment horizontal="center" vertical="top"/>
    </xf>
    <xf numFmtId="0" fontId="16" fillId="3" borderId="5" xfId="0" applyFont="1" applyFill="1" applyBorder="1" applyAlignment="1">
      <alignment horizontal="left"/>
    </xf>
    <xf numFmtId="0" fontId="70" fillId="3" borderId="11" xfId="0" applyFont="1" applyFill="1" applyBorder="1"/>
    <xf numFmtId="9" fontId="32" fillId="4" borderId="2" xfId="0" applyNumberFormat="1" applyFont="1" applyFill="1" applyBorder="1" applyAlignment="1">
      <alignment horizontal="center" vertical="top"/>
    </xf>
    <xf numFmtId="9" fontId="32" fillId="4" borderId="36" xfId="0" applyNumberFormat="1" applyFont="1" applyFill="1" applyBorder="1" applyAlignment="1">
      <alignment horizontal="center"/>
    </xf>
    <xf numFmtId="0" fontId="32" fillId="3" borderId="2" xfId="0" applyFont="1" applyFill="1" applyBorder="1"/>
    <xf numFmtId="9" fontId="42" fillId="3" borderId="6" xfId="0" applyNumberFormat="1" applyFont="1" applyFill="1" applyBorder="1" applyAlignment="1">
      <alignment horizontal="center"/>
    </xf>
    <xf numFmtId="9" fontId="41" fillId="3" borderId="7" xfId="0" applyNumberFormat="1" applyFont="1" applyFill="1" applyBorder="1" applyAlignment="1">
      <alignment horizontal="center"/>
    </xf>
    <xf numFmtId="170" fontId="16" fillId="3" borderId="36" xfId="0" applyNumberFormat="1" applyFont="1" applyFill="1" applyBorder="1" applyAlignment="1">
      <alignment horizontal="center"/>
    </xf>
    <xf numFmtId="165" fontId="16" fillId="3" borderId="4" xfId="0" applyNumberFormat="1" applyFont="1" applyFill="1" applyBorder="1" applyAlignment="1">
      <alignment horizontal="center"/>
    </xf>
    <xf numFmtId="0" fontId="16" fillId="0" borderId="6" xfId="0" applyFont="1" applyBorder="1"/>
    <xf numFmtId="9" fontId="71" fillId="4" borderId="0" xfId="0" applyNumberFormat="1" applyFont="1" applyFill="1" applyAlignment="1">
      <alignment horizontal="center"/>
    </xf>
    <xf numFmtId="0" fontId="71" fillId="4" borderId="4" xfId="0" applyFont="1" applyFill="1" applyBorder="1"/>
    <xf numFmtId="165" fontId="16" fillId="4" borderId="4" xfId="0" applyNumberFormat="1" applyFont="1" applyFill="1" applyBorder="1"/>
    <xf numFmtId="165" fontId="76" fillId="4" borderId="10" xfId="0" applyNumberFormat="1" applyFont="1" applyFill="1" applyBorder="1"/>
    <xf numFmtId="170" fontId="32" fillId="3" borderId="36" xfId="0" applyNumberFormat="1" applyFont="1" applyFill="1" applyBorder="1" applyAlignment="1">
      <alignment horizontal="center"/>
    </xf>
    <xf numFmtId="3" fontId="16" fillId="4" borderId="11" xfId="0" applyNumberFormat="1" applyFont="1" applyFill="1" applyBorder="1"/>
    <xf numFmtId="0" fontId="9" fillId="3" borderId="1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8" fillId="3" borderId="3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3" fillId="10" borderId="10" xfId="0" applyFont="1" applyFill="1" applyBorder="1" applyAlignment="1">
      <alignment horizontal="center" vertical="center"/>
    </xf>
    <xf numFmtId="0" fontId="64" fillId="10" borderId="10" xfId="0" applyFont="1" applyFill="1" applyBorder="1" applyAlignment="1">
      <alignment horizontal="center" vertical="center"/>
    </xf>
    <xf numFmtId="0" fontId="64" fillId="10" borderId="5" xfId="0" applyFont="1" applyFill="1" applyBorder="1" applyAlignment="1">
      <alignment horizontal="center" vertical="center"/>
    </xf>
    <xf numFmtId="0" fontId="61" fillId="10" borderId="4" xfId="0" applyFont="1" applyFill="1" applyBorder="1" applyAlignment="1">
      <alignment horizontal="center" vertical="center"/>
    </xf>
    <xf numFmtId="0" fontId="61" fillId="10" borderId="10" xfId="0" applyFont="1" applyFill="1" applyBorder="1" applyAlignment="1">
      <alignment horizontal="center" vertical="center"/>
    </xf>
    <xf numFmtId="0" fontId="61" fillId="10" borderId="3" xfId="0" applyFont="1" applyFill="1" applyBorder="1" applyAlignment="1">
      <alignment horizontal="center" vertical="center"/>
    </xf>
    <xf numFmtId="0" fontId="36" fillId="11" borderId="26" xfId="0" applyFont="1" applyFill="1" applyBorder="1" applyAlignment="1">
      <alignment horizontal="center"/>
    </xf>
    <xf numFmtId="0" fontId="36" fillId="11" borderId="27" xfId="0" applyFont="1" applyFill="1" applyBorder="1" applyAlignment="1">
      <alignment horizontal="center"/>
    </xf>
    <xf numFmtId="0" fontId="54" fillId="11" borderId="3" xfId="0" applyFont="1" applyFill="1" applyBorder="1" applyAlignment="1">
      <alignment horizontal="center"/>
    </xf>
    <xf numFmtId="0" fontId="54" fillId="11" borderId="19" xfId="0" applyFont="1" applyFill="1" applyBorder="1" applyAlignment="1">
      <alignment horizontal="center"/>
    </xf>
    <xf numFmtId="0" fontId="54" fillId="11" borderId="25" xfId="0" applyFont="1" applyFill="1" applyBorder="1" applyAlignment="1">
      <alignment horizontal="center"/>
    </xf>
    <xf numFmtId="0" fontId="29" fillId="11" borderId="18" xfId="0" applyFont="1" applyFill="1" applyBorder="1" applyAlignment="1">
      <alignment horizontal="center"/>
    </xf>
    <xf numFmtId="0" fontId="29" fillId="11" borderId="19" xfId="0" applyFont="1" applyFill="1" applyBorder="1" applyAlignment="1">
      <alignment horizontal="center"/>
    </xf>
    <xf numFmtId="0" fontId="29" fillId="11" borderId="25" xfId="0" applyFont="1" applyFill="1" applyBorder="1" applyAlignment="1">
      <alignment horizontal="center"/>
    </xf>
    <xf numFmtId="0" fontId="36" fillId="11" borderId="18" xfId="0" applyFont="1" applyFill="1" applyBorder="1" applyAlignment="1">
      <alignment horizontal="center"/>
    </xf>
    <xf numFmtId="0" fontId="36" fillId="11" borderId="19" xfId="0" applyFont="1" applyFill="1" applyBorder="1" applyAlignment="1">
      <alignment horizontal="center"/>
    </xf>
    <xf numFmtId="0" fontId="36" fillId="11" borderId="25" xfId="0" applyFont="1" applyFill="1" applyBorder="1" applyAlignment="1">
      <alignment horizontal="center"/>
    </xf>
    <xf numFmtId="0" fontId="26" fillId="0" borderId="4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54" fillId="11" borderId="26" xfId="0" applyFont="1" applyFill="1" applyBorder="1" applyAlignment="1">
      <alignment horizontal="center"/>
    </xf>
    <xf numFmtId="0" fontId="54" fillId="11" borderId="27" xfId="0" applyFont="1" applyFill="1" applyBorder="1" applyAlignment="1">
      <alignment horizontal="center"/>
    </xf>
    <xf numFmtId="0" fontId="54" fillId="11" borderId="35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37" fillId="9" borderId="2" xfId="0" applyFont="1" applyFill="1" applyBorder="1" applyAlignment="1">
      <alignment horizontal="center"/>
    </xf>
    <xf numFmtId="0" fontId="37" fillId="9" borderId="9" xfId="0" applyFont="1" applyFill="1" applyBorder="1" applyAlignment="1">
      <alignment horizontal="center"/>
    </xf>
    <xf numFmtId="0" fontId="37" fillId="9" borderId="6" xfId="0" applyFont="1" applyFill="1" applyBorder="1" applyAlignment="1">
      <alignment horizontal="center"/>
    </xf>
    <xf numFmtId="0" fontId="45" fillId="9" borderId="3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6" fillId="11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wrapText="1"/>
    </xf>
    <xf numFmtId="0" fontId="61" fillId="10" borderId="5" xfId="0" applyFont="1" applyFill="1" applyBorder="1" applyAlignment="1">
      <alignment horizontal="center" vertical="center"/>
    </xf>
    <xf numFmtId="0" fontId="65" fillId="0" borderId="8" xfId="0" applyFont="1" applyBorder="1" applyAlignment="1">
      <alignment horizontal="center"/>
    </xf>
    <xf numFmtId="0" fontId="65" fillId="0" borderId="16" xfId="0" applyFont="1" applyBorder="1" applyAlignment="1">
      <alignment horizontal="center"/>
    </xf>
    <xf numFmtId="0" fontId="65" fillId="0" borderId="7" xfId="0" applyFont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/>
    </xf>
    <xf numFmtId="0" fontId="16" fillId="8" borderId="9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/>
    </xf>
    <xf numFmtId="0" fontId="16" fillId="9" borderId="9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72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76" fillId="4" borderId="9" xfId="0" applyFont="1" applyFill="1" applyBorder="1" applyAlignment="1">
      <alignment horizontal="center"/>
    </xf>
    <xf numFmtId="0" fontId="76" fillId="4" borderId="6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top"/>
    </xf>
    <xf numFmtId="0" fontId="16" fillId="3" borderId="9" xfId="0" applyFont="1" applyFill="1" applyBorder="1" applyAlignment="1">
      <alignment horizontal="center" vertical="top"/>
    </xf>
    <xf numFmtId="0" fontId="16" fillId="3" borderId="6" xfId="0" applyFont="1" applyFill="1" applyBorder="1" applyAlignment="1">
      <alignment horizontal="center" vertical="top"/>
    </xf>
    <xf numFmtId="0" fontId="36" fillId="11" borderId="2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7" fillId="0" borderId="12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6" fillId="2" borderId="4" xfId="0" applyFont="1" applyFill="1" applyBorder="1" applyAlignment="1">
      <alignment horizontal="center"/>
    </xf>
    <xf numFmtId="0" fontId="25" fillId="11" borderId="18" xfId="0" applyFont="1" applyFill="1" applyBorder="1" applyAlignment="1">
      <alignment horizontal="center"/>
    </xf>
    <xf numFmtId="0" fontId="25" fillId="11" borderId="19" xfId="0" applyFont="1" applyFill="1" applyBorder="1" applyAlignment="1">
      <alignment horizontal="center"/>
    </xf>
    <xf numFmtId="0" fontId="25" fillId="11" borderId="26" xfId="0" applyFont="1" applyFill="1" applyBorder="1" applyAlignment="1">
      <alignment horizontal="center"/>
    </xf>
    <xf numFmtId="0" fontId="25" fillId="11" borderId="27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62" fillId="9" borderId="13" xfId="0" applyFont="1" applyFill="1" applyBorder="1" applyAlignment="1">
      <alignment horizontal="center"/>
    </xf>
    <xf numFmtId="0" fontId="62" fillId="9" borderId="14" xfId="0" applyFont="1" applyFill="1" applyBorder="1" applyAlignment="1">
      <alignment horizontal="center"/>
    </xf>
    <xf numFmtId="0" fontId="62" fillId="9" borderId="1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9" fillId="9" borderId="13" xfId="0" applyFont="1" applyFill="1" applyBorder="1" applyAlignment="1">
      <alignment horizontal="center"/>
    </xf>
    <xf numFmtId="0" fontId="19" fillId="9" borderId="14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77" fillId="0" borderId="0" xfId="0" applyFont="1"/>
    <xf numFmtId="0" fontId="0" fillId="2" borderId="3" xfId="0" applyFill="1" applyBorder="1" applyAlignment="1"/>
    <xf numFmtId="0" fontId="0" fillId="9" borderId="3" xfId="0" applyFill="1" applyBorder="1" applyAlignment="1"/>
    <xf numFmtId="0" fontId="46" fillId="9" borderId="3" xfId="0" applyFont="1" applyFill="1" applyBorder="1" applyAlignment="1"/>
    <xf numFmtId="0" fontId="59" fillId="18" borderId="1" xfId="0" applyFont="1" applyFill="1" applyBorder="1" applyAlignment="1"/>
    <xf numFmtId="0" fontId="59" fillId="18" borderId="30" xfId="0" applyFont="1" applyFill="1" applyBorder="1" applyAlignment="1"/>
    <xf numFmtId="0" fontId="59" fillId="18" borderId="7" xfId="0" applyFont="1" applyFill="1" applyBorder="1" applyAlignment="1"/>
    <xf numFmtId="0" fontId="50" fillId="0" borderId="0" xfId="0" applyFont="1" applyAlignment="1"/>
    <xf numFmtId="0" fontId="51" fillId="19" borderId="22" xfId="0" applyFont="1" applyFill="1" applyBorder="1" applyAlignment="1"/>
    <xf numFmtId="0" fontId="51" fillId="19" borderId="23" xfId="0" applyFont="1" applyFill="1" applyBorder="1" applyAlignment="1"/>
    <xf numFmtId="0" fontId="51" fillId="19" borderId="24" xfId="0" applyFont="1" applyFill="1" applyBorder="1" applyAlignment="1"/>
    <xf numFmtId="0" fontId="57" fillId="18" borderId="1" xfId="0" applyFont="1" applyFill="1" applyBorder="1" applyAlignment="1"/>
    <xf numFmtId="0" fontId="57" fillId="18" borderId="30" xfId="0" applyFont="1" applyFill="1" applyBorder="1" applyAlignment="1"/>
    <xf numFmtId="0" fontId="57" fillId="18" borderId="7" xfId="0" applyFont="1" applyFill="1" applyBorder="1" applyAlignment="1"/>
    <xf numFmtId="0" fontId="58" fillId="0" borderId="0" xfId="0" applyFont="1" applyAlignment="1"/>
    <xf numFmtId="0" fontId="59" fillId="0" borderId="0" xfId="0" applyFont="1" applyAlignment="1"/>
    <xf numFmtId="0" fontId="24" fillId="10" borderId="10" xfId="0" applyFont="1" applyFill="1" applyBorder="1" applyAlignment="1"/>
    <xf numFmtId="0" fontId="26" fillId="18" borderId="1" xfId="0" applyFont="1" applyFill="1" applyBorder="1" applyAlignment="1"/>
    <xf numFmtId="0" fontId="26" fillId="18" borderId="30" xfId="0" applyFont="1" applyFill="1" applyBorder="1" applyAlignment="1"/>
    <xf numFmtId="0" fontId="26" fillId="18" borderId="7" xfId="0" applyFont="1" applyFill="1" applyBorder="1" applyAlignment="1"/>
    <xf numFmtId="0" fontId="47" fillId="0" borderId="0" xfId="0" applyFont="1" applyAlignment="1"/>
    <xf numFmtId="0" fontId="24" fillId="19" borderId="22" xfId="0" applyFont="1" applyFill="1" applyBorder="1" applyAlignment="1"/>
    <xf numFmtId="0" fontId="24" fillId="19" borderId="23" xfId="0" applyFont="1" applyFill="1" applyBorder="1" applyAlignment="1"/>
    <xf numFmtId="0" fontId="24" fillId="19" borderId="24" xfId="0" applyFont="1" applyFill="1" applyBorder="1" applyAlignment="1"/>
    <xf numFmtId="0" fontId="48" fillId="0" borderId="31" xfId="0" applyFont="1" applyBorder="1" applyAlignment="1"/>
    <xf numFmtId="0" fontId="36" fillId="20" borderId="22" xfId="0" applyFont="1" applyFill="1" applyBorder="1" applyAlignment="1"/>
    <xf numFmtId="0" fontId="36" fillId="20" borderId="23" xfId="0" applyFont="1" applyFill="1" applyBorder="1" applyAlignment="1"/>
    <xf numFmtId="0" fontId="36" fillId="21" borderId="18" xfId="0" applyFont="1" applyFill="1" applyBorder="1" applyAlignment="1"/>
    <xf numFmtId="0" fontId="36" fillId="21" borderId="19" xfId="0" applyFont="1" applyFill="1" applyBorder="1" applyAlignment="1"/>
    <xf numFmtId="0" fontId="36" fillId="22" borderId="18" xfId="0" applyFont="1" applyFill="1" applyBorder="1" applyAlignment="1"/>
    <xf numFmtId="0" fontId="36" fillId="22" borderId="19" xfId="0" applyFont="1" applyFill="1" applyBorder="1" applyAlignment="1"/>
    <xf numFmtId="0" fontId="40" fillId="11" borderId="4" xfId="0" applyFont="1" applyFill="1" applyBorder="1" applyAlignment="1"/>
    <xf numFmtId="0" fontId="40" fillId="11" borderId="5" xfId="0" applyFont="1" applyFill="1" applyBorder="1" applyAlignment="1"/>
    <xf numFmtId="0" fontId="26" fillId="0" borderId="4" xfId="0" applyFont="1" applyBorder="1" applyAlignment="1"/>
    <xf numFmtId="0" fontId="49" fillId="0" borderId="4" xfId="0" applyFont="1" applyBorder="1" applyAlignment="1"/>
    <xf numFmtId="1" fontId="49" fillId="0" borderId="4" xfId="0" applyNumberFormat="1" applyFont="1" applyBorder="1" applyAlignment="1"/>
    <xf numFmtId="0" fontId="50" fillId="10" borderId="4" xfId="0" applyFont="1" applyFill="1" applyBorder="1" applyAlignment="1"/>
    <xf numFmtId="0" fontId="26" fillId="0" borderId="5" xfId="0" applyFont="1" applyBorder="1" applyAlignment="1"/>
    <xf numFmtId="0" fontId="49" fillId="0" borderId="5" xfId="0" applyFont="1" applyBorder="1" applyAlignment="1"/>
    <xf numFmtId="1" fontId="49" fillId="0" borderId="5" xfId="0" applyNumberFormat="1" applyFont="1" applyBorder="1" applyAlignment="1"/>
    <xf numFmtId="0" fontId="50" fillId="10" borderId="5" xfId="0" applyFont="1" applyFill="1" applyBorder="1" applyAlignment="1"/>
    <xf numFmtId="0" fontId="51" fillId="11" borderId="4" xfId="0" applyFont="1" applyFill="1" applyBorder="1" applyAlignment="1"/>
    <xf numFmtId="6" fontId="51" fillId="11" borderId="4" xfId="0" applyNumberFormat="1" applyFont="1" applyFill="1" applyBorder="1" applyAlignment="1"/>
    <xf numFmtId="0" fontId="51" fillId="11" borderId="5" xfId="0" applyFont="1" applyFill="1" applyBorder="1" applyAlignment="1"/>
    <xf numFmtId="0" fontId="26" fillId="18" borderId="3" xfId="0" applyFont="1" applyFill="1" applyBorder="1" applyAlignment="1"/>
    <xf numFmtId="0" fontId="47" fillId="0" borderId="3" xfId="0" applyFont="1" applyBorder="1" applyAlignment="1"/>
    <xf numFmtId="0" fontId="40" fillId="19" borderId="3" xfId="0" applyFont="1" applyFill="1" applyBorder="1" applyAlignment="1"/>
    <xf numFmtId="0" fontId="24" fillId="19" borderId="3" xfId="0" applyFont="1" applyFill="1" applyBorder="1" applyAlignment="1"/>
    <xf numFmtId="0" fontId="40" fillId="11" borderId="3" xfId="0" applyFont="1" applyFill="1" applyBorder="1" applyAlignment="1"/>
    <xf numFmtId="0" fontId="26" fillId="0" borderId="3" xfId="0" applyFont="1" applyBorder="1" applyAlignment="1"/>
    <xf numFmtId="0" fontId="49" fillId="0" borderId="3" xfId="0" applyFont="1" applyBorder="1" applyAlignment="1"/>
    <xf numFmtId="0" fontId="50" fillId="10" borderId="3" xfId="0" applyFont="1" applyFill="1" applyBorder="1" applyAlignment="1"/>
    <xf numFmtId="0" fontId="67" fillId="2" borderId="3" xfId="0" applyFont="1" applyFill="1" applyBorder="1" applyAlignment="1"/>
    <xf numFmtId="0" fontId="21" fillId="5" borderId="3" xfId="0" applyFont="1" applyFill="1" applyBorder="1" applyAlignment="1"/>
    <xf numFmtId="0" fontId="4" fillId="5" borderId="3" xfId="0" applyFont="1" applyFill="1" applyBorder="1" applyAlignment="1"/>
    <xf numFmtId="0" fontId="22" fillId="5" borderId="3" xfId="0" applyFont="1" applyFill="1" applyBorder="1" applyAlignment="1"/>
    <xf numFmtId="0" fontId="28" fillId="11" borderId="22" xfId="0" applyFont="1" applyFill="1" applyBorder="1" applyAlignment="1"/>
    <xf numFmtId="0" fontId="28" fillId="11" borderId="23" xfId="0" applyFont="1" applyFill="1" applyBorder="1" applyAlignment="1"/>
    <xf numFmtId="0" fontId="28" fillId="11" borderId="24" xfId="0" applyFont="1" applyFill="1" applyBorder="1" applyAlignment="1"/>
    <xf numFmtId="0" fontId="28" fillId="11" borderId="32" xfId="0" applyFont="1" applyFill="1" applyBorder="1" applyAlignment="1"/>
    <xf numFmtId="0" fontId="28" fillId="11" borderId="33" xfId="0" applyFont="1" applyFill="1" applyBorder="1" applyAlignment="1"/>
    <xf numFmtId="0" fontId="28" fillId="11" borderId="34" xfId="0" applyFont="1" applyFill="1" applyBorder="1" applyAlignment="1"/>
    <xf numFmtId="0" fontId="28" fillId="11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76ACDF70-AE5D-46E1-924B-1365B91738C4}" userId="S::directoraarriendos@portadainmobiliaria.com::d25df4f4-b7a4-46be-966d-3ee9c0c18e5c" providerId="AD"/>
  <person displayName="Administración Poblado" id="{34F74F45-9ADD-4A73-A341-CD5BD4092CE7}" userId="S::administracionpoblado@portadainmobiliaria.com::ce499c34-8877-42da-b4bf-7bc125f79bf1" providerId="AD"/>
  <person displayName="Administración Calasanz" id="{117E94B3-31D2-4796-B7E0-D447412299A3}" userId="S::administracioncalasanz@portadainmobiliaria.com::717d4ea5-b7ee-4e6e-a2d4-285f16e3964f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74" dT="2022-04-27T17:40:54.23" personId="{117E94B3-31D2-4796-B7E0-D447412299A3}" id="{0562DE50-01A9-4B5D-BFA3-F5FCF338F956}">
    <text xml:space="preserve">OJO! Ya se le pago la comision en la liquidacion, se le paso el informe a Sara en el momento que santiago renuncio </text>
  </threadedComment>
  <threadedComment ref="F339" dT="2022-07-11T15:15:10.02" personId="{76ACDF70-AE5D-46E1-924B-1365B91738C4}" id="{A6F8B222-A231-4AC6-B0D1-1CA10AD96116}">
    <text>se pagara el negocio normal  se le descontara $265,000 al asesor de estas comisiones</text>
  </threadedComment>
  <threadedComment ref="P349" dT="2022-07-29T20:14:54.46" personId="{76ACDF70-AE5D-46E1-924B-1365B91738C4}" id="{77663F28-F357-42A3-95C8-63A50A0D5DB7}">
    <text xml:space="preserve">se descuenta 265,000 para asumir el pago de la comisionista
</text>
  </threadedComment>
  <threadedComment ref="E621" dT="2022-11-30T13:44:58.25" personId="{76ACDF70-AE5D-46E1-924B-1365B91738C4}" id="{30A2CD0F-FAE9-479F-9957-57BDAC6DE5E3}">
    <text>Negocios q suman internos y externos envigado pero son de POBLADO.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76" dT="2022-06-28T18:26:01.06" personId="{34F74F45-9ADD-4A73-A341-CD5BD4092CE7}" id="{653C489E-3BB5-429C-832B-781F728BF35D}">
    <text>cliente por portero</text>
  </threadedComment>
  <threadedComment ref="G477" dT="2022-09-23T19:34:16.32" personId="{34F74F45-9ADD-4A73-A341-CD5BD4092CE7}" id="{F5533C9E-9A06-43B0-9114-A5C9C2FABD3F}">
    <text>No se paga comisión, el mes de Agosto se arrendo este inmueble y se le pago la comisión a la asesora, el cliente desistió y lo volvió arrendar este mes por el mismo valor sin cambios en el contrato de administración</text>
  </threadedComment>
  <threadedComment ref="G547" dT="2022-09-29T18:43:55.45" personId="{76ACDF70-AE5D-46E1-924B-1365B91738C4}" id="{9A3BE912-22AA-42BB-8A35-327DF3F8A029}">
    <text xml:space="preserve">NO suma  la meta 
</text>
  </threadedComment>
  <threadedComment ref="G576" dT="2022-10-27T21:00:24.39" personId="{34F74F45-9ADD-4A73-A341-CD5BD4092CE7}" id="{7C510E4C-1184-43B9-8A25-8724EAAC3897}">
    <text xml:space="preserve">El informe de catalina fue enviado a luisa marin para el pago de las comisiones </text>
  </threadedComment>
  <threadedComment ref="G628" dT="2022-10-27T21:00:24.39" personId="{34F74F45-9ADD-4A73-A341-CD5BD4092CE7}" id="{AE3309AD-BEF7-4F4B-8B11-43FA7BE8BF76}">
    <text xml:space="preserve">El informe de catalina fue enviado a luisa marin para el pago de las comisiones </text>
  </threadedComment>
  <threadedComment ref="E648" dT="2022-11-30T18:02:39.37" personId="{76ACDF70-AE5D-46E1-924B-1365B91738C4}" id="{77474130-06F0-4CC8-AD06-F292650C4AE0}">
    <text>Este negocio lo deja cerrado Estefany el 31 de OCTUBRE, le pertenece en sus comisiones de noviembre.</text>
  </threadedComment>
  <threadedComment ref="G684" dT="2022-10-27T21:00:24.39" personId="{34F74F45-9ADD-4A73-A341-CD5BD4092CE7}" id="{BB2E825E-6F6D-4690-A91D-0A6DB2C74FF5}">
    <text xml:space="preserve">El informe de catalina fue enviado a luisa marin para el pago de las comisiones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24"/>
  <sheetViews>
    <sheetView topLeftCell="A600" workbookViewId="0">
      <selection activeCell="A606" sqref="A606"/>
    </sheetView>
  </sheetViews>
  <sheetFormatPr defaultRowHeight="15"/>
  <cols>
    <col min="1" max="1" width="22.5703125" customWidth="1"/>
    <col min="2" max="2" width="16.28515625" customWidth="1"/>
    <col min="3" max="3" width="12.140625" customWidth="1"/>
    <col min="4" max="4" width="74.85546875" customWidth="1"/>
    <col min="5" max="5" width="24.85546875" customWidth="1"/>
    <col min="7" max="7" width="15.7109375" customWidth="1"/>
    <col min="8" max="8" width="15.85546875" customWidth="1"/>
    <col min="9" max="12" width="17.85546875" customWidth="1"/>
    <col min="13" max="13" width="37" customWidth="1"/>
    <col min="14" max="14" width="17.5703125" customWidth="1"/>
    <col min="15" max="15" width="15.140625" customWidth="1"/>
    <col min="16" max="16" width="14.28515625" customWidth="1"/>
    <col min="17" max="17" width="16.42578125" customWidth="1"/>
    <col min="18" max="18" width="16.85546875" customWidth="1"/>
  </cols>
  <sheetData>
    <row r="1" spans="1:16" ht="31.5">
      <c r="A1" s="903" t="s">
        <v>0</v>
      </c>
      <c r="B1" s="903"/>
      <c r="C1" s="903"/>
      <c r="D1" s="903"/>
      <c r="E1" s="903"/>
      <c r="F1" s="903"/>
      <c r="G1" s="903"/>
      <c r="H1" s="903"/>
      <c r="I1" s="903"/>
      <c r="J1" s="903"/>
      <c r="K1" s="903"/>
      <c r="L1" s="903"/>
      <c r="M1" s="903"/>
      <c r="N1" s="903"/>
      <c r="O1" s="903"/>
      <c r="P1" s="903"/>
    </row>
    <row r="2" spans="1:16" hidden="1">
      <c r="A2" s="889" t="s">
        <v>1</v>
      </c>
      <c r="B2" s="889"/>
      <c r="C2" s="889"/>
      <c r="D2" s="889"/>
      <c r="E2" s="889"/>
      <c r="F2" s="889"/>
      <c r="G2" s="889"/>
      <c r="H2" s="889"/>
      <c r="I2" s="889"/>
      <c r="J2" s="889"/>
      <c r="K2" s="892" t="s">
        <v>2</v>
      </c>
      <c r="L2" s="892"/>
      <c r="M2" s="892"/>
      <c r="N2" s="892"/>
      <c r="O2" s="892"/>
      <c r="P2" s="892"/>
    </row>
    <row r="3" spans="1:16" hidden="1">
      <c r="A3" s="1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5" t="s">
        <v>8</v>
      </c>
      <c r="G3" s="4" t="s">
        <v>9</v>
      </c>
      <c r="H3" s="6" t="s">
        <v>10</v>
      </c>
      <c r="I3" s="4" t="s">
        <v>11</v>
      </c>
      <c r="J3" s="4" t="s">
        <v>12</v>
      </c>
      <c r="K3" s="7" t="s">
        <v>4</v>
      </c>
      <c r="L3" s="7"/>
      <c r="M3" s="7" t="s">
        <v>6</v>
      </c>
      <c r="N3" s="7" t="s">
        <v>13</v>
      </c>
      <c r="O3" s="8" t="s">
        <v>8</v>
      </c>
      <c r="P3" s="7" t="s">
        <v>14</v>
      </c>
    </row>
    <row r="4" spans="1:16" hidden="1">
      <c r="A4" s="900">
        <v>23</v>
      </c>
      <c r="B4" s="9">
        <v>12912</v>
      </c>
      <c r="C4" s="22">
        <v>0.08</v>
      </c>
      <c r="D4" s="112" t="s">
        <v>15</v>
      </c>
      <c r="E4" s="12">
        <v>1780000</v>
      </c>
      <c r="F4" s="23">
        <v>0.1</v>
      </c>
      <c r="G4" s="12">
        <f>E4*F4</f>
        <v>178000</v>
      </c>
      <c r="H4" s="14" t="s">
        <v>16</v>
      </c>
      <c r="I4" s="4"/>
      <c r="J4" s="4"/>
      <c r="K4" s="88">
        <v>13103</v>
      </c>
      <c r="L4" s="451"/>
      <c r="M4" s="434" t="s">
        <v>17</v>
      </c>
      <c r="N4" s="17">
        <v>1500000</v>
      </c>
      <c r="O4" s="18">
        <v>0.05</v>
      </c>
      <c r="P4" s="17">
        <f>N4*O4</f>
        <v>75000</v>
      </c>
    </row>
    <row r="5" spans="1:16" ht="12.75" hidden="1" customHeight="1">
      <c r="A5" s="901"/>
      <c r="B5" s="9">
        <v>12962</v>
      </c>
      <c r="C5" s="10">
        <v>0.1</v>
      </c>
      <c r="D5" s="11" t="s">
        <v>18</v>
      </c>
      <c r="E5" s="12">
        <v>2500000</v>
      </c>
      <c r="F5" s="13">
        <v>7.0000000000000007E-2</v>
      </c>
      <c r="G5" s="12">
        <f t="shared" ref="G5:G9" si="0">E5*F5</f>
        <v>175000.00000000003</v>
      </c>
      <c r="H5" s="14" t="s">
        <v>19</v>
      </c>
      <c r="I5" s="4"/>
      <c r="J5" s="4"/>
      <c r="K5" s="88">
        <v>12900</v>
      </c>
      <c r="L5" s="451"/>
      <c r="M5" s="105" t="s">
        <v>20</v>
      </c>
      <c r="N5" s="17">
        <v>900000</v>
      </c>
      <c r="O5" s="18">
        <v>0.05</v>
      </c>
      <c r="P5" s="17">
        <f>N5*O5</f>
        <v>45000</v>
      </c>
    </row>
    <row r="6" spans="1:16" ht="12.75" hidden="1" customHeight="1">
      <c r="A6" s="901"/>
      <c r="B6" s="9">
        <v>12986</v>
      </c>
      <c r="C6" s="10">
        <v>0.1</v>
      </c>
      <c r="D6" s="11" t="s">
        <v>21</v>
      </c>
      <c r="E6" s="12">
        <v>2200000</v>
      </c>
      <c r="F6" s="13">
        <v>0.12</v>
      </c>
      <c r="G6" s="12">
        <f t="shared" si="0"/>
        <v>264000</v>
      </c>
      <c r="H6" s="14" t="s">
        <v>16</v>
      </c>
      <c r="I6" s="4"/>
      <c r="J6" s="4"/>
      <c r="K6" s="7"/>
      <c r="L6" s="452"/>
      <c r="M6" s="19"/>
      <c r="N6" s="20"/>
      <c r="O6" s="21"/>
      <c r="P6" s="20"/>
    </row>
    <row r="7" spans="1:16" ht="12.75" hidden="1" customHeight="1">
      <c r="A7" s="901"/>
      <c r="B7" s="9">
        <v>13016</v>
      </c>
      <c r="C7" s="10">
        <v>0.1</v>
      </c>
      <c r="D7" s="11" t="s">
        <v>22</v>
      </c>
      <c r="E7" s="12">
        <v>1800000</v>
      </c>
      <c r="F7" s="13">
        <v>0.12</v>
      </c>
      <c r="G7" s="12">
        <f t="shared" si="0"/>
        <v>216000</v>
      </c>
      <c r="H7" s="14" t="s">
        <v>16</v>
      </c>
      <c r="I7" s="4"/>
      <c r="J7" s="4"/>
      <c r="K7" s="7"/>
      <c r="L7" s="452"/>
      <c r="M7" s="19"/>
      <c r="N7" s="20"/>
      <c r="O7" s="21"/>
      <c r="P7" s="20"/>
    </row>
    <row r="8" spans="1:16" ht="12.75" hidden="1" customHeight="1">
      <c r="A8" s="901"/>
      <c r="B8" s="9">
        <v>13090</v>
      </c>
      <c r="C8" s="10">
        <v>0.1</v>
      </c>
      <c r="D8" s="11" t="s">
        <v>23</v>
      </c>
      <c r="E8" s="12">
        <v>1800000</v>
      </c>
      <c r="F8" s="13">
        <v>7.0000000000000007E-2</v>
      </c>
      <c r="G8" s="12">
        <f t="shared" si="0"/>
        <v>126000.00000000001</v>
      </c>
      <c r="H8" s="14" t="s">
        <v>24</v>
      </c>
      <c r="I8" s="4"/>
      <c r="J8" s="4"/>
      <c r="K8" s="7"/>
      <c r="L8" s="452"/>
      <c r="M8" s="19"/>
      <c r="N8" s="20"/>
      <c r="O8" s="21"/>
      <c r="P8" s="20"/>
    </row>
    <row r="9" spans="1:16" ht="12.75" hidden="1" customHeight="1">
      <c r="A9" s="901"/>
      <c r="B9" s="9">
        <v>13100</v>
      </c>
      <c r="C9" s="10">
        <v>0.1</v>
      </c>
      <c r="D9" s="11" t="s">
        <v>25</v>
      </c>
      <c r="E9" s="12">
        <v>2050000</v>
      </c>
      <c r="F9" s="13">
        <v>7.0000000000000007E-2</v>
      </c>
      <c r="G9" s="12">
        <f t="shared" si="0"/>
        <v>143500</v>
      </c>
      <c r="H9" s="14" t="s">
        <v>24</v>
      </c>
      <c r="I9" s="4"/>
      <c r="J9" s="4"/>
      <c r="K9" s="7"/>
      <c r="L9" s="452"/>
      <c r="M9" s="19"/>
      <c r="N9" s="20"/>
      <c r="O9" s="21"/>
      <c r="P9" s="20"/>
    </row>
    <row r="10" spans="1:16" ht="12.75" hidden="1" customHeight="1">
      <c r="A10" s="901"/>
      <c r="B10" s="24"/>
      <c r="C10" s="25"/>
      <c r="D10" s="4"/>
      <c r="E10" s="26"/>
      <c r="F10" s="27"/>
      <c r="H10" s="27"/>
      <c r="I10" s="27"/>
      <c r="J10" s="27"/>
      <c r="K10" s="28"/>
      <c r="L10" s="28"/>
      <c r="M10" s="28" t="s">
        <v>26</v>
      </c>
      <c r="N10" s="29">
        <f>SUM(N4:N9)</f>
        <v>2400000</v>
      </c>
      <c r="O10" s="28" t="s">
        <v>26</v>
      </c>
      <c r="P10" s="29">
        <f>SUM(P4:P9)</f>
        <v>120000</v>
      </c>
    </row>
    <row r="11" spans="1:16" ht="12.75" hidden="1" customHeight="1">
      <c r="A11" s="902"/>
      <c r="B11" s="30"/>
      <c r="C11" s="31"/>
      <c r="D11" s="32" t="s">
        <v>26</v>
      </c>
      <c r="E11" s="33">
        <f>SUM(E4:E10)</f>
        <v>12130000</v>
      </c>
      <c r="F11" s="4" t="s">
        <v>26</v>
      </c>
      <c r="G11" s="26">
        <f>SUM(G4:G9)</f>
        <v>1102500</v>
      </c>
      <c r="H11" s="35"/>
      <c r="I11" s="35"/>
      <c r="J11" s="35"/>
      <c r="K11" s="36" t="s">
        <v>27</v>
      </c>
      <c r="L11" s="37"/>
      <c r="M11" s="37"/>
      <c r="N11" s="38"/>
      <c r="O11" s="39" t="s">
        <v>28</v>
      </c>
      <c r="P11" s="40">
        <f>P10+G11</f>
        <v>1222500</v>
      </c>
    </row>
    <row r="12" spans="1:16" hidden="1">
      <c r="A12" s="41"/>
      <c r="B12" s="42"/>
      <c r="C12" s="43"/>
      <c r="D12" s="41"/>
      <c r="E12" s="41"/>
      <c r="F12" s="41"/>
      <c r="G12" s="41"/>
      <c r="H12" s="41"/>
      <c r="I12" s="41"/>
      <c r="J12" s="41"/>
    </row>
    <row r="13" spans="1:16" hidden="1">
      <c r="A13" s="41"/>
      <c r="B13" s="42"/>
      <c r="C13" s="43"/>
      <c r="D13" s="41"/>
      <c r="E13" s="41"/>
      <c r="F13" s="41"/>
      <c r="G13" s="41"/>
      <c r="H13" s="41"/>
      <c r="I13" s="41"/>
      <c r="J13" s="41"/>
    </row>
    <row r="14" spans="1:16" hidden="1">
      <c r="A14" s="889" t="s">
        <v>19</v>
      </c>
      <c r="B14" s="889"/>
      <c r="C14" s="889"/>
      <c r="D14" s="889"/>
      <c r="E14" s="889"/>
      <c r="F14" s="889"/>
      <c r="G14" s="889"/>
      <c r="H14" s="889"/>
      <c r="I14" s="889"/>
      <c r="J14" s="889"/>
      <c r="K14" s="892" t="s">
        <v>2</v>
      </c>
      <c r="L14" s="892"/>
      <c r="M14" s="892"/>
      <c r="N14" s="892"/>
      <c r="O14" s="892"/>
      <c r="P14" s="892"/>
    </row>
    <row r="15" spans="1:16" hidden="1">
      <c r="A15" s="4" t="s">
        <v>3</v>
      </c>
      <c r="B15" s="2" t="s">
        <v>4</v>
      </c>
      <c r="C15" s="3" t="s">
        <v>5</v>
      </c>
      <c r="D15" s="4" t="s">
        <v>6</v>
      </c>
      <c r="E15" s="4" t="s">
        <v>29</v>
      </c>
      <c r="F15" s="5" t="s">
        <v>8</v>
      </c>
      <c r="G15" s="4" t="s">
        <v>9</v>
      </c>
      <c r="H15" s="6" t="s">
        <v>10</v>
      </c>
      <c r="I15" s="4" t="s">
        <v>11</v>
      </c>
      <c r="J15" s="4" t="s">
        <v>12</v>
      </c>
      <c r="K15" s="7" t="s">
        <v>4</v>
      </c>
      <c r="L15" s="7"/>
      <c r="M15" s="7" t="s">
        <v>6</v>
      </c>
      <c r="N15" s="7" t="s">
        <v>13</v>
      </c>
      <c r="O15" s="8" t="s">
        <v>8</v>
      </c>
      <c r="P15" s="7" t="s">
        <v>14</v>
      </c>
    </row>
    <row r="16" spans="1:16" hidden="1">
      <c r="A16" s="900">
        <v>23</v>
      </c>
      <c r="B16" s="65">
        <v>12980</v>
      </c>
      <c r="C16" s="10">
        <v>0.1</v>
      </c>
      <c r="D16" s="16" t="s">
        <v>30</v>
      </c>
      <c r="E16" s="12">
        <v>1100000</v>
      </c>
      <c r="F16" s="45">
        <v>0.05</v>
      </c>
      <c r="G16" s="12">
        <f>E16*F16</f>
        <v>55000</v>
      </c>
      <c r="H16" s="67" t="s">
        <v>31</v>
      </c>
      <c r="I16" s="4"/>
      <c r="J16" s="4"/>
      <c r="K16" s="15">
        <v>12962</v>
      </c>
      <c r="L16" s="453"/>
      <c r="M16" s="11" t="s">
        <v>18</v>
      </c>
      <c r="N16" s="17">
        <v>2500000</v>
      </c>
      <c r="O16" s="90">
        <v>0.05</v>
      </c>
      <c r="P16" s="91">
        <f>N16*O16</f>
        <v>125000</v>
      </c>
    </row>
    <row r="17" spans="1:16" hidden="1">
      <c r="A17" s="901"/>
      <c r="B17" s="65">
        <v>13020</v>
      </c>
      <c r="C17" s="10">
        <v>0.1</v>
      </c>
      <c r="D17" s="16" t="s">
        <v>32</v>
      </c>
      <c r="E17" s="12">
        <v>1950000</v>
      </c>
      <c r="F17" s="45">
        <v>0.05</v>
      </c>
      <c r="G17" s="12">
        <f t="shared" ref="G17:G18" si="1">E17*F17</f>
        <v>97500</v>
      </c>
      <c r="H17" s="67" t="s">
        <v>33</v>
      </c>
      <c r="I17" s="4"/>
      <c r="J17" s="4"/>
      <c r="K17" s="88" t="s">
        <v>34</v>
      </c>
      <c r="L17" s="88"/>
      <c r="M17" s="89" t="s">
        <v>35</v>
      </c>
      <c r="N17" s="17">
        <v>1550000</v>
      </c>
      <c r="O17" s="90">
        <v>0.05</v>
      </c>
      <c r="P17" s="91">
        <f>N17*O17</f>
        <v>77500</v>
      </c>
    </row>
    <row r="18" spans="1:16" hidden="1">
      <c r="A18" s="901"/>
      <c r="B18" s="65">
        <v>13092</v>
      </c>
      <c r="C18" s="10">
        <v>0.1</v>
      </c>
      <c r="D18" s="16" t="s">
        <v>36</v>
      </c>
      <c r="E18" s="12">
        <v>2000000</v>
      </c>
      <c r="F18" s="45">
        <v>0.1</v>
      </c>
      <c r="G18" s="12">
        <f t="shared" si="1"/>
        <v>200000</v>
      </c>
      <c r="H18" s="67" t="s">
        <v>19</v>
      </c>
      <c r="I18" s="4"/>
      <c r="J18" s="4"/>
      <c r="K18" s="7"/>
      <c r="L18" s="7"/>
      <c r="M18" s="7"/>
      <c r="N18" s="20"/>
      <c r="O18" s="46"/>
      <c r="P18" s="20"/>
    </row>
    <row r="19" spans="1:16" ht="12.75" hidden="1" customHeight="1">
      <c r="A19" s="901"/>
      <c r="B19" s="109"/>
      <c r="C19" s="56"/>
      <c r="D19" s="35"/>
      <c r="E19" s="57"/>
      <c r="F19" s="58"/>
      <c r="G19" s="26"/>
      <c r="H19" s="59"/>
      <c r="I19" s="35"/>
      <c r="J19" s="35"/>
      <c r="K19" s="28"/>
      <c r="L19" s="28"/>
      <c r="M19" s="28" t="s">
        <v>26</v>
      </c>
      <c r="N19" s="29">
        <f>SUM(N16:N18)</f>
        <v>4050000</v>
      </c>
      <c r="O19" s="60" t="s">
        <v>26</v>
      </c>
      <c r="P19" s="29">
        <f>SUM(P16:P18)</f>
        <v>202500</v>
      </c>
    </row>
    <row r="20" spans="1:16" ht="12.75" hidden="1" customHeight="1">
      <c r="A20" s="901"/>
      <c r="B20" s="110"/>
      <c r="C20" s="31"/>
      <c r="D20" s="32" t="s">
        <v>26</v>
      </c>
      <c r="E20" s="33">
        <f>SUM(E16:E19)</f>
        <v>5050000</v>
      </c>
      <c r="F20" s="4" t="s">
        <v>26</v>
      </c>
      <c r="G20" s="34">
        <f>SUM(G16:G19)</f>
        <v>352500</v>
      </c>
      <c r="H20" s="35"/>
      <c r="I20" s="35"/>
      <c r="J20" s="35"/>
      <c r="K20" s="36" t="s">
        <v>27</v>
      </c>
      <c r="L20" s="37"/>
      <c r="M20" s="37"/>
      <c r="N20" s="38"/>
      <c r="O20" s="62" t="s">
        <v>28</v>
      </c>
      <c r="P20" s="63">
        <f>G20+P19</f>
        <v>555000</v>
      </c>
    </row>
    <row r="21" spans="1:16" hidden="1">
      <c r="A21" s="41"/>
      <c r="B21" s="42"/>
      <c r="C21" s="43"/>
      <c r="D21" s="41"/>
      <c r="E21" s="41"/>
      <c r="F21" s="41"/>
      <c r="G21" s="41"/>
      <c r="H21" s="41"/>
      <c r="I21" s="41"/>
      <c r="J21" s="41"/>
    </row>
    <row r="22" spans="1:16" hidden="1">
      <c r="A22" s="889" t="s">
        <v>24</v>
      </c>
      <c r="B22" s="890"/>
      <c r="C22" s="890"/>
      <c r="D22" s="890"/>
      <c r="E22" s="890"/>
      <c r="F22" s="890"/>
      <c r="G22" s="890"/>
      <c r="H22" s="890"/>
      <c r="I22" s="890"/>
      <c r="J22" s="891"/>
      <c r="K22" s="892" t="s">
        <v>2</v>
      </c>
      <c r="L22" s="892"/>
      <c r="M22" s="996"/>
      <c r="N22" s="996"/>
      <c r="O22" s="996"/>
      <c r="P22" s="996"/>
    </row>
    <row r="23" spans="1:16" hidden="1">
      <c r="A23" s="4" t="s">
        <v>3</v>
      </c>
      <c r="B23" s="2" t="s">
        <v>4</v>
      </c>
      <c r="C23" s="3" t="s">
        <v>5</v>
      </c>
      <c r="D23" s="4" t="s">
        <v>6</v>
      </c>
      <c r="E23" s="4" t="s">
        <v>7</v>
      </c>
      <c r="F23" s="5" t="s">
        <v>8</v>
      </c>
      <c r="G23" s="4" t="s">
        <v>9</v>
      </c>
      <c r="H23" s="6" t="s">
        <v>10</v>
      </c>
      <c r="I23" s="4" t="s">
        <v>11</v>
      </c>
      <c r="J23" s="4" t="s">
        <v>12</v>
      </c>
      <c r="K23" s="7" t="s">
        <v>4</v>
      </c>
      <c r="L23" s="7"/>
      <c r="M23" s="7" t="s">
        <v>6</v>
      </c>
      <c r="N23" s="7" t="s">
        <v>13</v>
      </c>
      <c r="O23" s="8" t="s">
        <v>8</v>
      </c>
      <c r="P23" s="64" t="s">
        <v>14</v>
      </c>
    </row>
    <row r="24" spans="1:16" hidden="1">
      <c r="A24" s="887">
        <v>3</v>
      </c>
      <c r="B24" s="131"/>
      <c r="C24" s="126"/>
      <c r="D24" s="4"/>
      <c r="E24" s="26"/>
      <c r="F24" s="70"/>
      <c r="G24" s="26"/>
      <c r="H24" s="6"/>
      <c r="I24" s="4"/>
      <c r="J24" s="4"/>
      <c r="K24" s="15">
        <v>13090</v>
      </c>
      <c r="L24" s="453"/>
      <c r="M24" s="11" t="s">
        <v>23</v>
      </c>
      <c r="N24" s="17">
        <v>1800000</v>
      </c>
      <c r="O24" s="108">
        <v>0.04</v>
      </c>
      <c r="P24" s="91">
        <f>N24*O24</f>
        <v>72000</v>
      </c>
    </row>
    <row r="25" spans="1:16" hidden="1">
      <c r="A25" s="887"/>
      <c r="B25" s="131"/>
      <c r="C25" s="435"/>
      <c r="D25" s="4"/>
      <c r="E25" s="26"/>
      <c r="F25" s="70"/>
      <c r="G25" s="26"/>
      <c r="H25" s="54"/>
      <c r="I25" s="4"/>
      <c r="J25" s="4"/>
      <c r="K25" s="88">
        <v>13100</v>
      </c>
      <c r="L25" s="454"/>
      <c r="M25" s="11" t="s">
        <v>25</v>
      </c>
      <c r="N25" s="17">
        <v>2050000</v>
      </c>
      <c r="O25" s="108">
        <v>0.04</v>
      </c>
      <c r="P25" s="91">
        <f>N25*O25</f>
        <v>82000</v>
      </c>
    </row>
    <row r="26" spans="1:16" hidden="1">
      <c r="A26" s="887"/>
      <c r="B26" s="68"/>
      <c r="C26" s="25"/>
      <c r="D26" s="69"/>
      <c r="E26" s="26"/>
      <c r="F26" s="70"/>
      <c r="G26" s="26"/>
      <c r="H26" s="4"/>
      <c r="I26" s="4"/>
      <c r="J26" s="4"/>
      <c r="K26" s="7"/>
      <c r="L26" s="7"/>
      <c r="M26" s="7"/>
      <c r="N26" s="20"/>
      <c r="O26" s="71"/>
      <c r="P26" s="48"/>
    </row>
    <row r="27" spans="1:16" hidden="1">
      <c r="A27" s="887"/>
      <c r="B27" s="72"/>
      <c r="C27" s="73"/>
      <c r="D27" s="74"/>
      <c r="E27" s="75"/>
      <c r="F27" s="76"/>
      <c r="G27" s="26"/>
      <c r="H27" s="76"/>
      <c r="I27" s="76"/>
      <c r="J27" s="76"/>
      <c r="K27" s="28"/>
      <c r="L27" s="28"/>
      <c r="M27" s="28" t="s">
        <v>26</v>
      </c>
      <c r="N27" s="29">
        <f>SUM(N24:N26)</f>
        <v>3850000</v>
      </c>
      <c r="O27" s="60" t="s">
        <v>26</v>
      </c>
      <c r="P27" s="29">
        <f>SUM(P24:P26)</f>
        <v>154000</v>
      </c>
    </row>
    <row r="28" spans="1:16" hidden="1">
      <c r="A28" s="888"/>
      <c r="B28" s="77"/>
      <c r="C28" s="31"/>
      <c r="D28" s="32" t="s">
        <v>26</v>
      </c>
      <c r="E28" s="33">
        <f>SUM(E24:E27)</f>
        <v>0</v>
      </c>
      <c r="F28" s="4" t="s">
        <v>26</v>
      </c>
      <c r="G28" s="34">
        <f>SUM(G24:G27)</f>
        <v>0</v>
      </c>
      <c r="H28" s="35"/>
      <c r="I28" s="35"/>
      <c r="J28" s="35"/>
      <c r="K28" s="36" t="s">
        <v>27</v>
      </c>
      <c r="L28" s="37"/>
      <c r="M28" s="37"/>
      <c r="N28" s="38"/>
      <c r="O28" s="62" t="s">
        <v>28</v>
      </c>
      <c r="P28" s="78">
        <f>G28+P27</f>
        <v>154000</v>
      </c>
    </row>
    <row r="29" spans="1:16" ht="33" hidden="1">
      <c r="A29" s="79"/>
      <c r="B29" s="80"/>
      <c r="C29" s="81"/>
      <c r="D29" s="82"/>
      <c r="E29" s="83"/>
      <c r="F29" s="82"/>
      <c r="G29" s="83"/>
      <c r="H29" s="82"/>
      <c r="I29" s="82"/>
      <c r="J29" s="82"/>
      <c r="K29" s="84"/>
      <c r="L29" s="84"/>
      <c r="M29" s="84"/>
      <c r="N29" s="84"/>
      <c r="O29" s="85"/>
      <c r="P29" s="86"/>
    </row>
    <row r="30" spans="1:16" hidden="1">
      <c r="A30" s="889" t="s">
        <v>37</v>
      </c>
      <c r="B30" s="890"/>
      <c r="C30" s="890"/>
      <c r="D30" s="890"/>
      <c r="E30" s="890"/>
      <c r="F30" s="890"/>
      <c r="G30" s="890"/>
      <c r="H30" s="890"/>
      <c r="I30" s="890"/>
      <c r="J30" s="891"/>
      <c r="K30" s="892" t="s">
        <v>2</v>
      </c>
      <c r="L30" s="892"/>
      <c r="M30" s="996"/>
      <c r="N30" s="996"/>
      <c r="O30" s="996"/>
      <c r="P30" s="996"/>
    </row>
    <row r="31" spans="1:16" hidden="1">
      <c r="A31" s="4" t="s">
        <v>3</v>
      </c>
      <c r="B31" s="2" t="s">
        <v>4</v>
      </c>
      <c r="C31" s="3" t="s">
        <v>5</v>
      </c>
      <c r="D31" s="4" t="s">
        <v>6</v>
      </c>
      <c r="E31" s="4" t="s">
        <v>7</v>
      </c>
      <c r="F31" s="5" t="s">
        <v>8</v>
      </c>
      <c r="G31" s="4" t="s">
        <v>9</v>
      </c>
      <c r="H31" s="6" t="s">
        <v>10</v>
      </c>
      <c r="I31" s="4" t="s">
        <v>11</v>
      </c>
      <c r="J31" s="4" t="s">
        <v>12</v>
      </c>
      <c r="K31" s="7" t="s">
        <v>4</v>
      </c>
      <c r="L31" s="7"/>
      <c r="M31" s="7" t="s">
        <v>6</v>
      </c>
      <c r="N31" s="7" t="s">
        <v>13</v>
      </c>
      <c r="O31" s="8" t="s">
        <v>8</v>
      </c>
      <c r="P31" s="64" t="s">
        <v>14</v>
      </c>
    </row>
    <row r="32" spans="1:16" hidden="1">
      <c r="A32" s="899">
        <v>12</v>
      </c>
      <c r="B32" s="15" t="s">
        <v>34</v>
      </c>
      <c r="C32" s="113">
        <v>0.1</v>
      </c>
      <c r="D32" s="16" t="s">
        <v>35</v>
      </c>
      <c r="E32" s="12">
        <v>1550000</v>
      </c>
      <c r="F32" s="66">
        <v>0.04</v>
      </c>
      <c r="G32" s="12">
        <f>E32*F32</f>
        <v>62000</v>
      </c>
      <c r="H32" s="6"/>
      <c r="I32" s="4"/>
      <c r="J32" s="4"/>
      <c r="K32" s="8"/>
      <c r="L32" s="8"/>
      <c r="M32" s="7"/>
      <c r="N32" s="20"/>
      <c r="O32" s="92"/>
      <c r="P32" s="48"/>
    </row>
    <row r="33" spans="1:16" hidden="1">
      <c r="A33" s="887"/>
      <c r="B33" s="15" t="s">
        <v>38</v>
      </c>
      <c r="C33" s="113">
        <v>0</v>
      </c>
      <c r="D33" s="89" t="s">
        <v>39</v>
      </c>
      <c r="E33" s="12">
        <v>3300000</v>
      </c>
      <c r="F33" s="66">
        <v>0.08</v>
      </c>
      <c r="G33" s="12">
        <f>E33*F33</f>
        <v>264000</v>
      </c>
      <c r="H33" s="6"/>
      <c r="I33" s="4"/>
      <c r="J33" s="4"/>
      <c r="K33" s="8"/>
      <c r="L33" s="8"/>
      <c r="M33" s="7"/>
      <c r="N33" s="20"/>
      <c r="O33" s="92"/>
      <c r="P33" s="48"/>
    </row>
    <row r="34" spans="1:16" hidden="1">
      <c r="A34" s="887"/>
      <c r="B34" s="107"/>
      <c r="C34" s="25"/>
      <c r="D34" s="4"/>
      <c r="E34" s="26"/>
      <c r="F34" s="53"/>
      <c r="G34" s="26"/>
      <c r="H34" s="6"/>
      <c r="I34" s="4"/>
      <c r="J34" s="4"/>
      <c r="K34" s="8"/>
      <c r="L34" s="8"/>
      <c r="M34" s="7"/>
      <c r="N34" s="20"/>
      <c r="O34" s="92"/>
      <c r="P34" s="48"/>
    </row>
    <row r="35" spans="1:16" hidden="1">
      <c r="A35" s="887"/>
      <c r="B35" s="72"/>
      <c r="C35" s="73"/>
      <c r="D35" s="74"/>
      <c r="E35" s="75"/>
      <c r="F35" s="76"/>
      <c r="G35" s="76"/>
      <c r="H35" s="76"/>
      <c r="I35" s="76"/>
      <c r="J35" s="76"/>
      <c r="K35" s="28"/>
      <c r="L35" s="28"/>
      <c r="M35" s="28" t="s">
        <v>26</v>
      </c>
      <c r="N35" s="29">
        <f>SUM(N32:N32)</f>
        <v>0</v>
      </c>
      <c r="O35" s="60" t="s">
        <v>26</v>
      </c>
      <c r="P35" s="29">
        <f>SUM(P32:P34)</f>
        <v>0</v>
      </c>
    </row>
    <row r="36" spans="1:16" hidden="1">
      <c r="A36" s="888"/>
      <c r="B36" s="77"/>
      <c r="C36" s="31"/>
      <c r="D36" s="32" t="s">
        <v>26</v>
      </c>
      <c r="E36" s="33">
        <f>SUM(E32:E35)</f>
        <v>4850000</v>
      </c>
      <c r="F36" s="4" t="s">
        <v>26</v>
      </c>
      <c r="G36" s="33">
        <f>SUM(G32:G35)</f>
        <v>326000</v>
      </c>
      <c r="H36" s="35"/>
      <c r="I36" s="35"/>
      <c r="J36" s="35"/>
      <c r="K36" s="36" t="s">
        <v>27</v>
      </c>
      <c r="L36" s="37"/>
      <c r="M36" s="37"/>
      <c r="N36" s="38"/>
      <c r="O36" s="62" t="s">
        <v>28</v>
      </c>
      <c r="P36" s="78">
        <f>G36+P35</f>
        <v>326000</v>
      </c>
    </row>
    <row r="37" spans="1:16" ht="33" hidden="1">
      <c r="A37" s="93"/>
      <c r="B37" s="94"/>
      <c r="C37" s="95"/>
      <c r="D37" s="82"/>
      <c r="E37" s="83"/>
      <c r="F37" s="82"/>
      <c r="G37" s="83"/>
      <c r="H37" s="82"/>
      <c r="I37" s="82"/>
      <c r="J37" s="82"/>
      <c r="K37" s="84"/>
      <c r="L37" s="84"/>
      <c r="M37" s="84"/>
      <c r="N37" s="84"/>
      <c r="O37" s="85"/>
      <c r="P37" s="86"/>
    </row>
    <row r="38" spans="1:16" hidden="1">
      <c r="A38" s="889" t="s">
        <v>40</v>
      </c>
      <c r="B38" s="890"/>
      <c r="C38" s="890"/>
      <c r="D38" s="890"/>
      <c r="E38" s="890"/>
      <c r="F38" s="890"/>
      <c r="G38" s="890"/>
      <c r="H38" s="890"/>
      <c r="I38" s="890"/>
      <c r="J38" s="891"/>
      <c r="K38" s="892" t="s">
        <v>2</v>
      </c>
      <c r="L38" s="892"/>
      <c r="M38" s="996"/>
      <c r="N38" s="996"/>
      <c r="O38" s="996"/>
      <c r="P38" s="996"/>
    </row>
    <row r="39" spans="1:16" hidden="1">
      <c r="A39" s="4" t="s">
        <v>3</v>
      </c>
      <c r="B39" s="2" t="s">
        <v>4</v>
      </c>
      <c r="C39" s="3" t="s">
        <v>5</v>
      </c>
      <c r="D39" s="4" t="s">
        <v>6</v>
      </c>
      <c r="E39" s="4" t="s">
        <v>7</v>
      </c>
      <c r="F39" s="5" t="s">
        <v>8</v>
      </c>
      <c r="G39" s="4" t="s">
        <v>9</v>
      </c>
      <c r="H39" s="6" t="s">
        <v>10</v>
      </c>
      <c r="I39" s="4" t="s">
        <v>11</v>
      </c>
      <c r="J39" s="4" t="s">
        <v>12</v>
      </c>
      <c r="K39" s="7" t="s">
        <v>4</v>
      </c>
      <c r="L39" s="7"/>
      <c r="M39" s="7" t="s">
        <v>6</v>
      </c>
      <c r="N39" s="7" t="s">
        <v>13</v>
      </c>
      <c r="O39" s="8" t="s">
        <v>8</v>
      </c>
      <c r="P39" s="7" t="s">
        <v>14</v>
      </c>
    </row>
    <row r="40" spans="1:16" hidden="1">
      <c r="A40" s="899"/>
      <c r="B40" s="107"/>
      <c r="C40" s="25"/>
      <c r="D40" s="4"/>
      <c r="E40" s="26"/>
      <c r="F40" s="70"/>
      <c r="G40" s="26"/>
      <c r="H40" s="6"/>
      <c r="I40" s="4"/>
      <c r="J40" s="4" t="s">
        <v>41</v>
      </c>
      <c r="K40" s="8"/>
      <c r="L40" s="8"/>
      <c r="M40" s="7"/>
      <c r="N40" s="20"/>
      <c r="O40" s="96"/>
      <c r="P40" s="20"/>
    </row>
    <row r="41" spans="1:16" hidden="1">
      <c r="A41" s="887"/>
      <c r="B41" s="68"/>
      <c r="C41" s="25"/>
      <c r="D41" s="69"/>
      <c r="E41" s="26"/>
      <c r="F41" s="70"/>
      <c r="G41" s="26"/>
      <c r="H41" s="4"/>
      <c r="I41" s="4"/>
      <c r="J41" s="4"/>
      <c r="K41" s="7"/>
      <c r="L41" s="7"/>
      <c r="M41" s="7"/>
      <c r="N41" s="20"/>
      <c r="O41" s="7"/>
      <c r="P41" s="20"/>
    </row>
    <row r="42" spans="1:16" hidden="1">
      <c r="A42" s="887"/>
      <c r="B42" s="72"/>
      <c r="C42" s="73"/>
      <c r="D42" s="74"/>
      <c r="E42" s="75"/>
      <c r="F42" s="76"/>
      <c r="G42" s="76"/>
      <c r="H42" s="76"/>
      <c r="I42" s="76"/>
      <c r="J42" s="76"/>
      <c r="K42" s="28"/>
      <c r="L42" s="28"/>
      <c r="M42" s="28" t="s">
        <v>26</v>
      </c>
      <c r="N42" s="29">
        <f>SUM(N40:N41)</f>
        <v>0</v>
      </c>
      <c r="O42" s="28" t="s">
        <v>26</v>
      </c>
      <c r="P42" s="29"/>
    </row>
    <row r="43" spans="1:16" hidden="1">
      <c r="A43" s="888"/>
      <c r="B43" s="77"/>
      <c r="C43" s="31"/>
      <c r="D43" s="32" t="s">
        <v>26</v>
      </c>
      <c r="E43" s="33">
        <f>SUM(E40:E42)</f>
        <v>0</v>
      </c>
      <c r="F43" s="4" t="s">
        <v>26</v>
      </c>
      <c r="G43" s="33">
        <f>SUM(G40:G42)</f>
        <v>0</v>
      </c>
      <c r="H43" s="35"/>
      <c r="I43" s="35"/>
      <c r="J43" s="35"/>
      <c r="K43" s="36" t="s">
        <v>27</v>
      </c>
      <c r="L43" s="37"/>
      <c r="M43" s="37"/>
      <c r="N43" s="38"/>
      <c r="O43" s="39" t="s">
        <v>28</v>
      </c>
      <c r="P43" s="40">
        <f>SUM(P40:P42)</f>
        <v>0</v>
      </c>
    </row>
    <row r="44" spans="1:16" hidden="1">
      <c r="B44" s="97"/>
      <c r="C44" s="98"/>
    </row>
    <row r="45" spans="1:16" hidden="1">
      <c r="A45" s="929">
        <f>A4+A18+A24+A32+A40</f>
        <v>38</v>
      </c>
      <c r="B45" s="894" t="s">
        <v>42</v>
      </c>
      <c r="C45" s="894"/>
      <c r="D45" s="894"/>
      <c r="E45" s="99">
        <f>E11+E20+E28+E36+E43</f>
        <v>22030000</v>
      </c>
    </row>
    <row r="46" spans="1:16" hidden="1">
      <c r="A46" s="929"/>
      <c r="B46" s="895" t="s">
        <v>43</v>
      </c>
      <c r="C46" s="895"/>
      <c r="D46" s="896"/>
      <c r="E46" s="100"/>
    </row>
    <row r="47" spans="1:16" hidden="1">
      <c r="A47" s="929"/>
      <c r="B47" s="897" t="s">
        <v>44</v>
      </c>
      <c r="C47" s="897"/>
      <c r="D47" s="898"/>
      <c r="E47" s="101"/>
    </row>
    <row r="48" spans="1:16" hidden="1"/>
    <row r="50" spans="1:18" ht="31.5">
      <c r="A50" s="903" t="s">
        <v>45</v>
      </c>
      <c r="B50" s="903"/>
      <c r="C50" s="903"/>
      <c r="D50" s="903"/>
      <c r="E50" s="903"/>
      <c r="F50" s="903"/>
      <c r="G50" s="903"/>
      <c r="H50" s="903"/>
      <c r="I50" s="903"/>
      <c r="J50" s="903"/>
      <c r="K50" s="903"/>
      <c r="L50" s="903"/>
      <c r="M50" s="903"/>
      <c r="N50" s="903"/>
      <c r="O50" s="903"/>
      <c r="P50" s="903"/>
      <c r="Q50" s="903"/>
      <c r="R50" s="903"/>
    </row>
    <row r="51" spans="1:18" hidden="1">
      <c r="A51" s="889" t="s">
        <v>1</v>
      </c>
      <c r="B51" s="889"/>
      <c r="C51" s="889"/>
      <c r="D51" s="889"/>
      <c r="E51" s="889"/>
      <c r="F51" s="889"/>
      <c r="G51" s="889"/>
      <c r="H51" s="889"/>
      <c r="I51" s="889"/>
      <c r="J51" s="889"/>
      <c r="K51" s="889"/>
      <c r="L51" s="889"/>
      <c r="M51" s="889"/>
      <c r="N51" s="892" t="s">
        <v>2</v>
      </c>
      <c r="O51" s="892"/>
      <c r="P51" s="892"/>
      <c r="Q51" s="892"/>
      <c r="R51" s="892"/>
    </row>
    <row r="52" spans="1:18" hidden="1">
      <c r="A52" s="1" t="s">
        <v>3</v>
      </c>
      <c r="B52" s="2" t="s">
        <v>4</v>
      </c>
      <c r="C52" s="3" t="s">
        <v>5</v>
      </c>
      <c r="D52" s="4" t="s">
        <v>6</v>
      </c>
      <c r="E52" s="4" t="s">
        <v>7</v>
      </c>
      <c r="F52" s="5" t="s">
        <v>8</v>
      </c>
      <c r="G52" s="4" t="s">
        <v>9</v>
      </c>
      <c r="H52" s="6" t="s">
        <v>10</v>
      </c>
      <c r="I52" s="4" t="s">
        <v>11</v>
      </c>
      <c r="J52" s="4"/>
      <c r="K52" s="4"/>
      <c r="L52" s="4"/>
      <c r="M52" s="4" t="s">
        <v>12</v>
      </c>
      <c r="N52" s="7" t="s">
        <v>4</v>
      </c>
      <c r="O52" s="7" t="s">
        <v>6</v>
      </c>
      <c r="P52" s="7" t="s">
        <v>13</v>
      </c>
      <c r="Q52" s="8" t="s">
        <v>8</v>
      </c>
      <c r="R52" s="7" t="s">
        <v>14</v>
      </c>
    </row>
    <row r="53" spans="1:18" hidden="1">
      <c r="A53" s="906">
        <v>24</v>
      </c>
      <c r="B53" s="9">
        <v>13154</v>
      </c>
      <c r="C53" s="10">
        <v>0.1</v>
      </c>
      <c r="D53" s="11" t="s">
        <v>46</v>
      </c>
      <c r="E53" s="12">
        <v>2400000</v>
      </c>
      <c r="F53" s="13">
        <v>0.12</v>
      </c>
      <c r="G53" s="12">
        <f>E53*F53</f>
        <v>288000</v>
      </c>
      <c r="H53" s="14" t="s">
        <v>47</v>
      </c>
      <c r="I53" s="4"/>
      <c r="J53" s="4"/>
      <c r="K53" s="4"/>
      <c r="L53" s="4"/>
      <c r="M53" s="4"/>
      <c r="N53" s="15">
        <v>13246</v>
      </c>
      <c r="O53" s="16" t="s">
        <v>48</v>
      </c>
      <c r="P53" s="17">
        <v>2100000</v>
      </c>
      <c r="Q53" s="18">
        <v>0.05</v>
      </c>
      <c r="R53" s="17">
        <f>P53*Q53</f>
        <v>105000</v>
      </c>
    </row>
    <row r="54" spans="1:18" hidden="1">
      <c r="A54" s="906"/>
      <c r="B54" s="9">
        <v>13211</v>
      </c>
      <c r="C54" s="10" t="s">
        <v>49</v>
      </c>
      <c r="D54" s="11" t="s">
        <v>50</v>
      </c>
      <c r="E54" s="12">
        <v>2200000</v>
      </c>
      <c r="F54" s="13">
        <v>0.06</v>
      </c>
      <c r="G54" s="12">
        <f t="shared" ref="G54:G62" si="2">E54*F54</f>
        <v>132000</v>
      </c>
      <c r="H54" s="14" t="s">
        <v>51</v>
      </c>
      <c r="I54" s="4"/>
      <c r="J54" s="4"/>
      <c r="K54" s="4"/>
      <c r="L54" s="4"/>
      <c r="M54" s="4"/>
      <c r="N54" s="7"/>
      <c r="O54" s="19"/>
      <c r="P54" s="20"/>
      <c r="Q54" s="21"/>
      <c r="R54" s="20"/>
    </row>
    <row r="55" spans="1:18" hidden="1">
      <c r="A55" s="906"/>
      <c r="B55" s="9">
        <v>13239</v>
      </c>
      <c r="C55" s="10">
        <v>0.1</v>
      </c>
      <c r="D55" s="11" t="s">
        <v>52</v>
      </c>
      <c r="E55" s="12">
        <v>1900000</v>
      </c>
      <c r="F55" s="13">
        <v>0.12</v>
      </c>
      <c r="G55" s="12">
        <f t="shared" si="2"/>
        <v>228000</v>
      </c>
      <c r="H55" s="14" t="s">
        <v>47</v>
      </c>
      <c r="I55" s="4"/>
      <c r="J55" s="4"/>
      <c r="K55" s="4"/>
      <c r="L55" s="4"/>
      <c r="M55" s="4"/>
      <c r="N55" s="7"/>
      <c r="O55" s="19"/>
      <c r="P55" s="20"/>
      <c r="Q55" s="21"/>
      <c r="R55" s="20"/>
    </row>
    <row r="56" spans="1:18" hidden="1">
      <c r="A56" s="906"/>
      <c r="B56" s="9">
        <v>13263</v>
      </c>
      <c r="C56" s="10">
        <v>0.1</v>
      </c>
      <c r="D56" s="11" t="s">
        <v>53</v>
      </c>
      <c r="E56" s="12">
        <v>1500000</v>
      </c>
      <c r="F56" s="13">
        <v>7.0000000000000007E-2</v>
      </c>
      <c r="G56" s="12">
        <f t="shared" si="2"/>
        <v>105000.00000000001</v>
      </c>
      <c r="H56" s="14" t="s">
        <v>54</v>
      </c>
      <c r="I56" s="4"/>
      <c r="J56" s="4"/>
      <c r="K56" s="4"/>
      <c r="L56" s="4"/>
      <c r="M56" s="4"/>
      <c r="N56" s="7"/>
      <c r="O56" s="19"/>
      <c r="P56" s="20"/>
      <c r="Q56" s="21"/>
      <c r="R56" s="20"/>
    </row>
    <row r="57" spans="1:18" ht="12.75" hidden="1" customHeight="1">
      <c r="A57" s="906"/>
      <c r="B57" s="9">
        <v>13265</v>
      </c>
      <c r="C57" s="22">
        <v>0.08</v>
      </c>
      <c r="D57" s="11" t="s">
        <v>55</v>
      </c>
      <c r="E57" s="12">
        <v>1850000</v>
      </c>
      <c r="F57" s="23">
        <v>0.05</v>
      </c>
      <c r="G57" s="12">
        <f t="shared" si="2"/>
        <v>92500</v>
      </c>
      <c r="H57" s="14" t="s">
        <v>51</v>
      </c>
      <c r="I57" s="4"/>
      <c r="J57" s="4"/>
      <c r="K57" s="4"/>
      <c r="L57" s="4"/>
      <c r="M57" s="4"/>
      <c r="N57" s="7"/>
      <c r="O57" s="19"/>
      <c r="P57" s="20"/>
      <c r="Q57" s="21"/>
      <c r="R57" s="20"/>
    </row>
    <row r="58" spans="1:18" ht="12.75" hidden="1" customHeight="1">
      <c r="A58" s="906"/>
      <c r="B58" s="9">
        <v>13311</v>
      </c>
      <c r="C58" s="22">
        <v>0.08</v>
      </c>
      <c r="D58" s="11" t="s">
        <v>56</v>
      </c>
      <c r="E58" s="12">
        <v>3700000</v>
      </c>
      <c r="F58" s="23">
        <v>0.05</v>
      </c>
      <c r="G58" s="12">
        <f t="shared" si="2"/>
        <v>185000</v>
      </c>
      <c r="H58" s="14" t="s">
        <v>51</v>
      </c>
      <c r="I58" s="4"/>
      <c r="J58" s="4"/>
      <c r="K58" s="4"/>
      <c r="L58" s="4"/>
      <c r="M58" s="4"/>
      <c r="N58" s="7"/>
      <c r="O58" s="19"/>
      <c r="P58" s="20"/>
      <c r="Q58" s="21"/>
      <c r="R58" s="20"/>
    </row>
    <row r="59" spans="1:18" ht="12.75" hidden="1" customHeight="1">
      <c r="A59" s="906"/>
      <c r="B59" s="9">
        <v>13324</v>
      </c>
      <c r="C59" s="10">
        <v>0.1</v>
      </c>
      <c r="D59" s="11" t="s">
        <v>57</v>
      </c>
      <c r="E59" s="12">
        <v>2400000</v>
      </c>
      <c r="F59" s="13">
        <v>0.12</v>
      </c>
      <c r="G59" s="12">
        <f t="shared" si="2"/>
        <v>288000</v>
      </c>
      <c r="H59" s="14" t="s">
        <v>47</v>
      </c>
      <c r="I59" s="4"/>
      <c r="J59" s="4"/>
      <c r="K59" s="4"/>
      <c r="L59" s="4"/>
      <c r="M59" s="4"/>
      <c r="N59" s="7"/>
      <c r="O59" s="19"/>
      <c r="P59" s="20"/>
      <c r="Q59" s="21"/>
      <c r="R59" s="20"/>
    </row>
    <row r="60" spans="1:18" ht="12.75" hidden="1" customHeight="1">
      <c r="A60" s="906"/>
      <c r="B60" s="9">
        <v>13330</v>
      </c>
      <c r="C60" s="10">
        <v>0.1</v>
      </c>
      <c r="D60" s="11" t="s">
        <v>58</v>
      </c>
      <c r="E60" s="12">
        <v>2100000</v>
      </c>
      <c r="F60" s="13">
        <v>0.12</v>
      </c>
      <c r="G60" s="12">
        <f t="shared" si="2"/>
        <v>252000</v>
      </c>
      <c r="H60" s="14" t="s">
        <v>47</v>
      </c>
      <c r="I60" s="4"/>
      <c r="J60" s="4"/>
      <c r="K60" s="4"/>
      <c r="L60" s="4"/>
      <c r="M60" s="4"/>
      <c r="N60" s="7"/>
      <c r="O60" s="19"/>
      <c r="P60" s="20"/>
      <c r="Q60" s="21"/>
      <c r="R60" s="20"/>
    </row>
    <row r="61" spans="1:18" ht="12.75" hidden="1" customHeight="1">
      <c r="A61" s="906"/>
      <c r="B61" s="9">
        <v>13335</v>
      </c>
      <c r="C61" s="10">
        <v>0.1</v>
      </c>
      <c r="D61" s="11" t="s">
        <v>59</v>
      </c>
      <c r="E61" s="12">
        <v>1400000</v>
      </c>
      <c r="F61" s="13">
        <v>0.12</v>
      </c>
      <c r="G61" s="12">
        <f t="shared" si="2"/>
        <v>168000</v>
      </c>
      <c r="H61" s="14" t="s">
        <v>47</v>
      </c>
      <c r="I61" s="4"/>
      <c r="J61" s="4"/>
      <c r="K61" s="4"/>
      <c r="L61" s="4"/>
      <c r="M61" s="4"/>
      <c r="N61" s="7"/>
      <c r="O61" s="19"/>
      <c r="P61" s="20"/>
      <c r="Q61" s="21"/>
      <c r="R61" s="20"/>
    </row>
    <row r="62" spans="1:18" ht="12.75" hidden="1" customHeight="1">
      <c r="A62" s="906"/>
      <c r="B62" s="9">
        <v>13410</v>
      </c>
      <c r="C62" s="22">
        <v>0.09</v>
      </c>
      <c r="D62" s="11" t="s">
        <v>60</v>
      </c>
      <c r="E62" s="12">
        <v>4000000</v>
      </c>
      <c r="F62" s="23">
        <v>0.1</v>
      </c>
      <c r="G62" s="12">
        <f t="shared" si="2"/>
        <v>400000</v>
      </c>
      <c r="H62" s="14" t="s">
        <v>47</v>
      </c>
      <c r="I62" s="4"/>
      <c r="J62" s="4"/>
      <c r="K62" s="4"/>
      <c r="L62" s="4"/>
      <c r="M62" s="4"/>
      <c r="N62" s="7"/>
      <c r="O62" s="19"/>
      <c r="P62" s="20"/>
      <c r="Q62" s="21"/>
      <c r="R62" s="20"/>
    </row>
    <row r="63" spans="1:18" ht="12.75" hidden="1" customHeight="1">
      <c r="A63" s="906"/>
      <c r="B63" s="24"/>
      <c r="C63" s="25"/>
      <c r="D63" s="4"/>
      <c r="E63" s="26"/>
      <c r="F63" s="27"/>
      <c r="G63" s="26"/>
      <c r="H63" s="27"/>
      <c r="I63" s="27"/>
      <c r="J63" s="27"/>
      <c r="K63" s="27"/>
      <c r="L63" s="27"/>
      <c r="M63" s="27"/>
      <c r="N63" s="28"/>
      <c r="O63" s="28" t="s">
        <v>26</v>
      </c>
      <c r="P63" s="29">
        <f>SUM(P53:P62)</f>
        <v>2100000</v>
      </c>
      <c r="Q63" s="28" t="s">
        <v>26</v>
      </c>
      <c r="R63" s="29">
        <f>SUM(R53:R62)</f>
        <v>105000</v>
      </c>
    </row>
    <row r="64" spans="1:18" ht="12.75" hidden="1" customHeight="1">
      <c r="A64" s="906"/>
      <c r="B64" s="30"/>
      <c r="C64" s="31"/>
      <c r="D64" s="32" t="s">
        <v>26</v>
      </c>
      <c r="E64" s="33">
        <f>SUM(E53:E63)</f>
        <v>23450000</v>
      </c>
      <c r="F64" s="4" t="s">
        <v>26</v>
      </c>
      <c r="G64" s="34">
        <f>SUM(G53:G63)</f>
        <v>2138500</v>
      </c>
      <c r="H64" s="35"/>
      <c r="I64" s="35"/>
      <c r="J64" s="35"/>
      <c r="K64" s="35"/>
      <c r="L64" s="35"/>
      <c r="M64" s="35"/>
      <c r="N64" s="36" t="s">
        <v>27</v>
      </c>
      <c r="O64" s="37"/>
      <c r="P64" s="38"/>
      <c r="Q64" s="39" t="s">
        <v>28</v>
      </c>
      <c r="R64" s="40">
        <f>G64+R63</f>
        <v>2243500</v>
      </c>
    </row>
    <row r="65" spans="1:18" hidden="1">
      <c r="A65" s="41"/>
      <c r="B65" s="42"/>
      <c r="C65" s="43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1:18" hidden="1">
      <c r="A66" s="41"/>
      <c r="B66" s="42"/>
      <c r="C66" s="43"/>
      <c r="D66" s="41"/>
      <c r="E66" s="41"/>
      <c r="F66" s="41"/>
      <c r="G66" s="41"/>
      <c r="H66" s="41"/>
      <c r="I66" s="41"/>
      <c r="J66" s="41"/>
      <c r="K66" s="41"/>
      <c r="L66" s="41"/>
      <c r="M66" s="41"/>
    </row>
    <row r="67" spans="1:18" hidden="1">
      <c r="A67" s="889" t="s">
        <v>19</v>
      </c>
      <c r="B67" s="889"/>
      <c r="C67" s="889"/>
      <c r="D67" s="889"/>
      <c r="E67" s="889"/>
      <c r="F67" s="889"/>
      <c r="G67" s="889"/>
      <c r="H67" s="889"/>
      <c r="I67" s="889"/>
      <c r="J67" s="889"/>
      <c r="K67" s="889"/>
      <c r="L67" s="889"/>
      <c r="M67" s="889"/>
      <c r="N67" s="892" t="s">
        <v>2</v>
      </c>
      <c r="O67" s="892"/>
      <c r="P67" s="892"/>
      <c r="Q67" s="892"/>
      <c r="R67" s="892"/>
    </row>
    <row r="68" spans="1:18" hidden="1">
      <c r="A68" s="1" t="s">
        <v>3</v>
      </c>
      <c r="B68" s="2" t="s">
        <v>4</v>
      </c>
      <c r="C68" s="3" t="s">
        <v>5</v>
      </c>
      <c r="D68" s="4" t="s">
        <v>6</v>
      </c>
      <c r="E68" s="4" t="s">
        <v>29</v>
      </c>
      <c r="F68" s="5" t="s">
        <v>8</v>
      </c>
      <c r="G68" s="4" t="s">
        <v>9</v>
      </c>
      <c r="H68" s="6" t="s">
        <v>10</v>
      </c>
      <c r="I68" s="4" t="s">
        <v>11</v>
      </c>
      <c r="J68" s="4"/>
      <c r="K68" s="4"/>
      <c r="L68" s="4"/>
      <c r="M68" s="4" t="s">
        <v>12</v>
      </c>
      <c r="N68" s="7" t="s">
        <v>4</v>
      </c>
      <c r="O68" s="7" t="s">
        <v>6</v>
      </c>
      <c r="P68" s="7" t="s">
        <v>13</v>
      </c>
      <c r="Q68" s="8" t="s">
        <v>8</v>
      </c>
      <c r="R68" s="7" t="s">
        <v>14</v>
      </c>
    </row>
    <row r="69" spans="1:18" hidden="1">
      <c r="A69" s="906">
        <v>23</v>
      </c>
      <c r="B69" s="44">
        <v>13135</v>
      </c>
      <c r="C69" s="10">
        <v>0.1</v>
      </c>
      <c r="D69" s="16" t="s">
        <v>61</v>
      </c>
      <c r="E69" s="12">
        <v>1100000</v>
      </c>
      <c r="F69" s="45">
        <v>0.05</v>
      </c>
      <c r="G69" s="12">
        <f>E69*F69</f>
        <v>55000</v>
      </c>
      <c r="H69" s="14" t="s">
        <v>62</v>
      </c>
      <c r="I69" s="4"/>
      <c r="J69" s="4"/>
      <c r="K69" s="4"/>
      <c r="L69" s="4"/>
      <c r="M69" s="4"/>
      <c r="N69" s="7"/>
      <c r="O69" s="7"/>
      <c r="P69" s="7"/>
      <c r="Q69" s="46"/>
      <c r="R69" s="7"/>
    </row>
    <row r="70" spans="1:18" hidden="1">
      <c r="A70" s="906"/>
      <c r="B70" s="44">
        <v>13169</v>
      </c>
      <c r="C70" s="10">
        <v>0.1</v>
      </c>
      <c r="D70" s="16" t="s">
        <v>63</v>
      </c>
      <c r="E70" s="12">
        <v>1650000</v>
      </c>
      <c r="F70" s="45">
        <v>0.1</v>
      </c>
      <c r="G70" s="12">
        <f t="shared" ref="G70:G72" si="3">E70*F70</f>
        <v>165000</v>
      </c>
      <c r="H70" s="14" t="s">
        <v>64</v>
      </c>
      <c r="I70" s="4"/>
      <c r="J70" s="4"/>
      <c r="K70" s="4"/>
      <c r="L70" s="4"/>
      <c r="M70" s="4"/>
      <c r="N70" s="7"/>
      <c r="O70" s="7"/>
      <c r="P70" s="20"/>
      <c r="Q70" s="46"/>
      <c r="R70" s="20"/>
    </row>
    <row r="71" spans="1:18" hidden="1">
      <c r="A71" s="906"/>
      <c r="B71" s="44">
        <v>13208</v>
      </c>
      <c r="C71" s="47" t="s">
        <v>49</v>
      </c>
      <c r="D71" s="16" t="s">
        <v>65</v>
      </c>
      <c r="E71" s="12">
        <v>2100000</v>
      </c>
      <c r="F71" s="45">
        <v>0.06</v>
      </c>
      <c r="G71" s="12">
        <f t="shared" si="3"/>
        <v>126000</v>
      </c>
      <c r="H71" s="14" t="s">
        <v>51</v>
      </c>
      <c r="I71" s="4"/>
      <c r="J71" s="4"/>
      <c r="K71" s="4"/>
      <c r="L71" s="4"/>
      <c r="M71" s="4"/>
      <c r="N71" s="7"/>
      <c r="O71" s="7"/>
      <c r="P71" s="20"/>
      <c r="Q71" s="46"/>
      <c r="R71" s="48"/>
    </row>
    <row r="72" spans="1:18" hidden="1">
      <c r="A72" s="906"/>
      <c r="B72" s="44">
        <v>13247</v>
      </c>
      <c r="C72" s="10">
        <v>0.1</v>
      </c>
      <c r="D72" s="16" t="s">
        <v>66</v>
      </c>
      <c r="E72" s="12">
        <v>2100000</v>
      </c>
      <c r="F72" s="45">
        <v>0.06</v>
      </c>
      <c r="G72" s="12">
        <f t="shared" si="3"/>
        <v>126000</v>
      </c>
      <c r="H72" s="14" t="s">
        <v>51</v>
      </c>
      <c r="I72" s="4"/>
      <c r="J72" s="4"/>
      <c r="K72" s="4"/>
      <c r="L72" s="4"/>
      <c r="M72" s="4"/>
      <c r="N72" s="7"/>
      <c r="O72" s="7"/>
      <c r="P72" s="7"/>
      <c r="Q72" s="46"/>
      <c r="R72" s="7"/>
    </row>
    <row r="73" spans="1:18" ht="12.75" hidden="1" customHeight="1">
      <c r="A73" s="906"/>
      <c r="B73" s="49" t="s">
        <v>43</v>
      </c>
      <c r="C73" s="50">
        <v>0.1</v>
      </c>
      <c r="D73" s="51" t="s">
        <v>67</v>
      </c>
      <c r="E73" s="52"/>
      <c r="F73" s="53"/>
      <c r="G73" s="26"/>
      <c r="H73" s="54"/>
      <c r="I73" s="4"/>
      <c r="J73" s="4"/>
      <c r="K73" s="4"/>
      <c r="L73" s="4"/>
      <c r="M73" s="4"/>
      <c r="N73" s="7"/>
      <c r="O73" s="7"/>
      <c r="P73" s="20"/>
      <c r="Q73" s="46"/>
      <c r="R73" s="48"/>
    </row>
    <row r="74" spans="1:18" ht="12.75" hidden="1" customHeight="1">
      <c r="A74" s="906"/>
      <c r="B74" s="55"/>
      <c r="C74" s="56"/>
      <c r="D74" s="35"/>
      <c r="E74" s="57"/>
      <c r="F74" s="58"/>
      <c r="G74" s="26"/>
      <c r="H74" s="59"/>
      <c r="I74" s="35"/>
      <c r="J74" s="35"/>
      <c r="K74" s="35"/>
      <c r="L74" s="35"/>
      <c r="M74" s="35"/>
      <c r="N74" s="28"/>
      <c r="O74" s="28" t="s">
        <v>26</v>
      </c>
      <c r="P74" s="29">
        <f>SUM(P73:P73)</f>
        <v>0</v>
      </c>
      <c r="Q74" s="60" t="s">
        <v>26</v>
      </c>
      <c r="R74" s="29">
        <f>SUM(R73:R73)</f>
        <v>0</v>
      </c>
    </row>
    <row r="75" spans="1:18" ht="12.75" hidden="1" customHeight="1">
      <c r="A75" s="906"/>
      <c r="B75" s="61"/>
      <c r="C75" s="31"/>
      <c r="D75" s="32" t="s">
        <v>26</v>
      </c>
      <c r="E75" s="33">
        <f>SUM(E69:E74)</f>
        <v>6950000</v>
      </c>
      <c r="F75" s="4" t="s">
        <v>26</v>
      </c>
      <c r="G75" s="34">
        <f>SUM(G69:G74)</f>
        <v>472000</v>
      </c>
      <c r="H75" s="35"/>
      <c r="I75" s="35"/>
      <c r="J75" s="35"/>
      <c r="K75" s="35"/>
      <c r="L75" s="35"/>
      <c r="M75" s="35"/>
      <c r="N75" s="36" t="s">
        <v>27</v>
      </c>
      <c r="O75" s="37"/>
      <c r="P75" s="38"/>
      <c r="Q75" s="62" t="s">
        <v>28</v>
      </c>
      <c r="R75" s="63">
        <f>G75+R74</f>
        <v>472000</v>
      </c>
    </row>
    <row r="76" spans="1:18" hidden="1">
      <c r="A76" s="41"/>
      <c r="B76" s="42"/>
      <c r="C76" s="43"/>
      <c r="D76" s="41"/>
      <c r="E76" s="41"/>
      <c r="F76" s="41"/>
      <c r="G76" s="41"/>
      <c r="H76" s="41"/>
      <c r="I76" s="41"/>
      <c r="J76" s="41"/>
      <c r="K76" s="41"/>
      <c r="L76" s="41"/>
      <c r="M76" s="41"/>
    </row>
    <row r="77" spans="1:18" hidden="1">
      <c r="A77" s="889" t="s">
        <v>24</v>
      </c>
      <c r="B77" s="890"/>
      <c r="C77" s="890"/>
      <c r="D77" s="890"/>
      <c r="E77" s="890"/>
      <c r="F77" s="890"/>
      <c r="G77" s="890"/>
      <c r="H77" s="890"/>
      <c r="I77" s="890"/>
      <c r="J77" s="890"/>
      <c r="K77" s="890"/>
      <c r="L77" s="890"/>
      <c r="M77" s="891"/>
      <c r="N77" s="892" t="s">
        <v>2</v>
      </c>
      <c r="O77" s="996"/>
      <c r="P77" s="996"/>
      <c r="Q77" s="996"/>
      <c r="R77" s="996"/>
    </row>
    <row r="78" spans="1:18" hidden="1">
      <c r="A78" s="4" t="s">
        <v>3</v>
      </c>
      <c r="B78" s="2" t="s">
        <v>4</v>
      </c>
      <c r="C78" s="3" t="s">
        <v>5</v>
      </c>
      <c r="D78" s="4" t="s">
        <v>6</v>
      </c>
      <c r="E78" s="4" t="s">
        <v>7</v>
      </c>
      <c r="F78" s="5" t="s">
        <v>8</v>
      </c>
      <c r="G78" s="4" t="s">
        <v>9</v>
      </c>
      <c r="H78" s="6" t="s">
        <v>10</v>
      </c>
      <c r="I78" s="4" t="s">
        <v>11</v>
      </c>
      <c r="J78" s="4"/>
      <c r="K78" s="4"/>
      <c r="L78" s="4"/>
      <c r="M78" s="4" t="s">
        <v>12</v>
      </c>
      <c r="N78" s="7" t="s">
        <v>4</v>
      </c>
      <c r="O78" s="7" t="s">
        <v>6</v>
      </c>
      <c r="P78" s="7" t="s">
        <v>13</v>
      </c>
      <c r="Q78" s="8" t="s">
        <v>8</v>
      </c>
      <c r="R78" s="64" t="s">
        <v>14</v>
      </c>
    </row>
    <row r="79" spans="1:18" hidden="1">
      <c r="A79" s="901">
        <v>23</v>
      </c>
      <c r="B79" s="65">
        <v>13229</v>
      </c>
      <c r="C79" s="22">
        <v>0.08</v>
      </c>
      <c r="D79" s="16" t="s">
        <v>68</v>
      </c>
      <c r="E79" s="12">
        <v>3300000</v>
      </c>
      <c r="F79" s="66">
        <v>0.04</v>
      </c>
      <c r="G79" s="12">
        <f>E79*F79</f>
        <v>132000</v>
      </c>
      <c r="H79" s="14" t="s">
        <v>69</v>
      </c>
      <c r="I79" s="4"/>
      <c r="J79" s="4"/>
      <c r="K79" s="4"/>
      <c r="L79" s="4"/>
      <c r="M79" s="4"/>
      <c r="N79" s="7"/>
      <c r="O79" s="7"/>
      <c r="P79" s="20"/>
      <c r="Q79" s="46"/>
      <c r="R79" s="48"/>
    </row>
    <row r="80" spans="1:18" hidden="1">
      <c r="A80" s="901"/>
      <c r="B80" s="65">
        <v>13246</v>
      </c>
      <c r="C80" s="10">
        <v>0.1</v>
      </c>
      <c r="D80" s="16" t="s">
        <v>48</v>
      </c>
      <c r="E80" s="12">
        <v>2100000</v>
      </c>
      <c r="F80" s="45">
        <v>0.05</v>
      </c>
      <c r="G80" s="12">
        <f>E80*F80</f>
        <v>105000</v>
      </c>
      <c r="H80" s="67" t="s">
        <v>47</v>
      </c>
      <c r="I80" s="4"/>
      <c r="J80" s="4"/>
      <c r="K80" s="4"/>
      <c r="L80" s="4"/>
      <c r="M80" s="4"/>
      <c r="N80" s="7"/>
      <c r="O80" s="7"/>
      <c r="P80" s="20"/>
      <c r="Q80" s="46"/>
      <c r="R80" s="48"/>
    </row>
    <row r="81" spans="1:18" hidden="1">
      <c r="A81" s="901"/>
      <c r="B81" s="68"/>
      <c r="C81" s="25"/>
      <c r="D81" s="69"/>
      <c r="E81" s="26"/>
      <c r="F81" s="70"/>
      <c r="G81" s="26"/>
      <c r="H81" s="4"/>
      <c r="I81" s="4"/>
      <c r="J81" s="4"/>
      <c r="K81" s="4"/>
      <c r="L81" s="4"/>
      <c r="M81" s="4"/>
      <c r="N81" s="7"/>
      <c r="O81" s="7"/>
      <c r="P81" s="20"/>
      <c r="Q81" s="71"/>
      <c r="R81" s="48"/>
    </row>
    <row r="82" spans="1:18" hidden="1">
      <c r="A82" s="901"/>
      <c r="B82" s="72"/>
      <c r="C82" s="73"/>
      <c r="D82" s="74"/>
      <c r="E82" s="75"/>
      <c r="F82" s="76"/>
      <c r="G82" s="26"/>
      <c r="H82" s="76"/>
      <c r="I82" s="76"/>
      <c r="J82" s="76"/>
      <c r="K82" s="76"/>
      <c r="L82" s="76"/>
      <c r="M82" s="76"/>
      <c r="N82" s="28"/>
      <c r="O82" s="28" t="s">
        <v>26</v>
      </c>
      <c r="P82" s="29">
        <f>SUM(P79:P81)</f>
        <v>0</v>
      </c>
      <c r="Q82" s="60" t="s">
        <v>26</v>
      </c>
      <c r="R82" s="29"/>
    </row>
    <row r="83" spans="1:18" hidden="1">
      <c r="A83" s="902"/>
      <c r="B83" s="77"/>
      <c r="C83" s="31"/>
      <c r="D83" s="32" t="s">
        <v>26</v>
      </c>
      <c r="E83" s="33">
        <f>SUM(E79:E82)</f>
        <v>5400000</v>
      </c>
      <c r="F83" s="4" t="s">
        <v>26</v>
      </c>
      <c r="G83" s="34">
        <f>SUM(G79:G82)</f>
        <v>237000</v>
      </c>
      <c r="H83" s="35"/>
      <c r="I83" s="35"/>
      <c r="J83" s="35"/>
      <c r="K83" s="35"/>
      <c r="L83" s="35"/>
      <c r="M83" s="35"/>
      <c r="N83" s="36" t="s">
        <v>27</v>
      </c>
      <c r="O83" s="37"/>
      <c r="P83" s="38"/>
      <c r="Q83" s="62" t="s">
        <v>28</v>
      </c>
      <c r="R83" s="78">
        <f>G83+R82</f>
        <v>237000</v>
      </c>
    </row>
    <row r="84" spans="1:18" ht="33" hidden="1">
      <c r="A84" s="79"/>
      <c r="B84" s="80"/>
      <c r="C84" s="81"/>
      <c r="D84" s="82"/>
      <c r="E84" s="83"/>
      <c r="F84" s="82"/>
      <c r="G84" s="83"/>
      <c r="H84" s="82"/>
      <c r="I84" s="82"/>
      <c r="J84" s="82"/>
      <c r="K84" s="82"/>
      <c r="L84" s="82"/>
      <c r="M84" s="82"/>
      <c r="N84" s="84"/>
      <c r="O84" s="84"/>
      <c r="P84" s="84"/>
      <c r="Q84" s="85"/>
      <c r="R84" s="86"/>
    </row>
    <row r="85" spans="1:18" hidden="1">
      <c r="A85" s="889" t="s">
        <v>37</v>
      </c>
      <c r="B85" s="890"/>
      <c r="C85" s="890"/>
      <c r="D85" s="890"/>
      <c r="E85" s="890"/>
      <c r="F85" s="890"/>
      <c r="G85" s="890"/>
      <c r="H85" s="890"/>
      <c r="I85" s="890"/>
      <c r="J85" s="890"/>
      <c r="K85" s="890"/>
      <c r="L85" s="890"/>
      <c r="M85" s="891"/>
      <c r="N85" s="892" t="s">
        <v>2</v>
      </c>
      <c r="O85" s="996"/>
      <c r="P85" s="996"/>
      <c r="Q85" s="996"/>
      <c r="R85" s="996"/>
    </row>
    <row r="86" spans="1:18" hidden="1">
      <c r="A86" s="4" t="s">
        <v>3</v>
      </c>
      <c r="B86" s="2" t="s">
        <v>4</v>
      </c>
      <c r="C86" s="3" t="s">
        <v>5</v>
      </c>
      <c r="D86" s="4" t="s">
        <v>6</v>
      </c>
      <c r="E86" s="4" t="s">
        <v>7</v>
      </c>
      <c r="F86" s="5" t="s">
        <v>8</v>
      </c>
      <c r="G86" s="4" t="s">
        <v>9</v>
      </c>
      <c r="H86" s="6" t="s">
        <v>10</v>
      </c>
      <c r="I86" s="4" t="s">
        <v>11</v>
      </c>
      <c r="J86" s="4"/>
      <c r="K86" s="4"/>
      <c r="L86" s="4"/>
      <c r="M86" s="4" t="s">
        <v>12</v>
      </c>
      <c r="N86" s="7" t="s">
        <v>4</v>
      </c>
      <c r="O86" s="7" t="s">
        <v>6</v>
      </c>
      <c r="P86" s="7" t="s">
        <v>13</v>
      </c>
      <c r="Q86" s="8" t="s">
        <v>8</v>
      </c>
      <c r="R86" s="64" t="s">
        <v>14</v>
      </c>
    </row>
    <row r="87" spans="1:18" hidden="1">
      <c r="A87" s="901">
        <v>24</v>
      </c>
      <c r="B87" s="15">
        <v>13180</v>
      </c>
      <c r="C87" s="87">
        <v>0.08</v>
      </c>
      <c r="D87" s="16" t="s">
        <v>70</v>
      </c>
      <c r="E87" s="12">
        <v>2600000</v>
      </c>
      <c r="F87" s="66">
        <v>0.04</v>
      </c>
      <c r="G87" s="12">
        <f>E87*F87</f>
        <v>104000</v>
      </c>
      <c r="H87" s="14" t="s">
        <v>37</v>
      </c>
      <c r="I87" s="4"/>
      <c r="J87" s="4"/>
      <c r="K87" s="4"/>
      <c r="L87" s="4"/>
      <c r="M87" s="4"/>
      <c r="N87" s="88">
        <v>13322</v>
      </c>
      <c r="O87" s="89" t="s">
        <v>71</v>
      </c>
      <c r="P87" s="17">
        <v>1100000</v>
      </c>
      <c r="Q87" s="90">
        <v>0.05</v>
      </c>
      <c r="R87" s="91">
        <f>P87*Q87</f>
        <v>55000</v>
      </c>
    </row>
    <row r="88" spans="1:18" hidden="1">
      <c r="A88" s="901"/>
      <c r="B88" s="15">
        <v>13363</v>
      </c>
      <c r="C88" s="87">
        <v>0.08</v>
      </c>
      <c r="D88" s="16" t="s">
        <v>72</v>
      </c>
      <c r="E88" s="12">
        <v>1500000</v>
      </c>
      <c r="F88" s="66">
        <v>0.04</v>
      </c>
      <c r="G88" s="12">
        <f>E88*F88</f>
        <v>60000</v>
      </c>
      <c r="H88" s="14" t="s">
        <v>73</v>
      </c>
      <c r="I88" s="4"/>
      <c r="J88" s="4"/>
      <c r="K88" s="4"/>
      <c r="L88" s="4"/>
      <c r="M88" s="4"/>
      <c r="N88" s="8"/>
      <c r="O88" s="7"/>
      <c r="P88" s="20"/>
      <c r="Q88" s="92"/>
      <c r="R88" s="48"/>
    </row>
    <row r="89" spans="1:18" hidden="1">
      <c r="A89" s="901"/>
      <c r="B89" s="72"/>
      <c r="C89" s="73"/>
      <c r="D89" s="74"/>
      <c r="E89" s="75"/>
      <c r="F89" s="76"/>
      <c r="G89" s="76"/>
      <c r="H89" s="76"/>
      <c r="I89" s="76"/>
      <c r="J89" s="76"/>
      <c r="K89" s="76"/>
      <c r="L89" s="76"/>
      <c r="M89" s="76"/>
      <c r="N89" s="28"/>
      <c r="O89" s="28" t="s">
        <v>26</v>
      </c>
      <c r="P89" s="29">
        <f>SUM(P87:P88)</f>
        <v>1100000</v>
      </c>
      <c r="Q89" s="60" t="s">
        <v>26</v>
      </c>
      <c r="R89" s="29">
        <f>SUM(R87:R88)</f>
        <v>55000</v>
      </c>
    </row>
    <row r="90" spans="1:18" hidden="1">
      <c r="A90" s="902"/>
      <c r="B90" s="77"/>
      <c r="C90" s="31"/>
      <c r="D90" s="32" t="s">
        <v>26</v>
      </c>
      <c r="E90" s="33">
        <f>SUM(E87:E89)</f>
        <v>4100000</v>
      </c>
      <c r="F90" s="4" t="s">
        <v>26</v>
      </c>
      <c r="G90" s="33">
        <f>SUM(G87:G89)</f>
        <v>164000</v>
      </c>
      <c r="H90" s="35"/>
      <c r="I90" s="35"/>
      <c r="J90" s="35"/>
      <c r="K90" s="35"/>
      <c r="L90" s="35"/>
      <c r="M90" s="35"/>
      <c r="N90" s="36" t="s">
        <v>27</v>
      </c>
      <c r="O90" s="37"/>
      <c r="P90" s="38"/>
      <c r="Q90" s="62" t="s">
        <v>28</v>
      </c>
      <c r="R90" s="78">
        <f>G90+R89</f>
        <v>219000</v>
      </c>
    </row>
    <row r="91" spans="1:18" ht="33" hidden="1">
      <c r="A91" s="93"/>
      <c r="B91" s="94"/>
      <c r="C91" s="95"/>
      <c r="D91" s="82"/>
      <c r="E91" s="83"/>
      <c r="F91" s="82"/>
      <c r="G91" s="83"/>
      <c r="H91" s="82"/>
      <c r="I91" s="82"/>
      <c r="J91" s="82"/>
      <c r="K91" s="82"/>
      <c r="L91" s="82"/>
      <c r="M91" s="82"/>
      <c r="N91" s="84"/>
      <c r="O91" s="84"/>
      <c r="P91" s="84"/>
      <c r="Q91" s="85"/>
      <c r="R91" s="86"/>
    </row>
    <row r="92" spans="1:18" hidden="1">
      <c r="A92" s="889" t="s">
        <v>40</v>
      </c>
      <c r="B92" s="890"/>
      <c r="C92" s="890"/>
      <c r="D92" s="890"/>
      <c r="E92" s="890"/>
      <c r="F92" s="890"/>
      <c r="G92" s="890"/>
      <c r="H92" s="890"/>
      <c r="I92" s="890"/>
      <c r="J92" s="890"/>
      <c r="K92" s="890"/>
      <c r="L92" s="890"/>
      <c r="M92" s="891"/>
      <c r="N92" s="892" t="s">
        <v>2</v>
      </c>
      <c r="O92" s="996"/>
      <c r="P92" s="996"/>
      <c r="Q92" s="996"/>
      <c r="R92" s="996"/>
    </row>
    <row r="93" spans="1:18" hidden="1">
      <c r="A93" s="4" t="s">
        <v>3</v>
      </c>
      <c r="B93" s="2" t="s">
        <v>4</v>
      </c>
      <c r="C93" s="3" t="s">
        <v>5</v>
      </c>
      <c r="D93" s="4" t="s">
        <v>6</v>
      </c>
      <c r="E93" s="4" t="s">
        <v>7</v>
      </c>
      <c r="F93" s="5" t="s">
        <v>8</v>
      </c>
      <c r="G93" s="4" t="s">
        <v>9</v>
      </c>
      <c r="H93" s="6" t="s">
        <v>10</v>
      </c>
      <c r="I93" s="4" t="s">
        <v>11</v>
      </c>
      <c r="J93" s="4"/>
      <c r="K93" s="4"/>
      <c r="L93" s="4"/>
      <c r="M93" s="4" t="s">
        <v>12</v>
      </c>
      <c r="N93" s="7" t="s">
        <v>4</v>
      </c>
      <c r="O93" s="7" t="s">
        <v>6</v>
      </c>
      <c r="P93" s="7" t="s">
        <v>13</v>
      </c>
      <c r="Q93" s="8" t="s">
        <v>8</v>
      </c>
      <c r="R93" s="7" t="s">
        <v>14</v>
      </c>
    </row>
    <row r="94" spans="1:18" hidden="1">
      <c r="A94" s="900">
        <v>0</v>
      </c>
      <c r="B94" s="15">
        <v>13378</v>
      </c>
      <c r="C94" s="87">
        <v>0.08</v>
      </c>
      <c r="D94" s="16" t="s">
        <v>74</v>
      </c>
      <c r="E94" s="12">
        <v>3600000</v>
      </c>
      <c r="F94" s="66">
        <v>0.04</v>
      </c>
      <c r="G94" s="12">
        <f>E94*F94</f>
        <v>144000</v>
      </c>
      <c r="H94" s="14" t="s">
        <v>40</v>
      </c>
      <c r="I94" s="4"/>
      <c r="J94" s="4"/>
      <c r="K94" s="4"/>
      <c r="L94" s="4"/>
      <c r="M94" s="4"/>
      <c r="N94" s="8"/>
      <c r="O94" s="7"/>
      <c r="P94" s="20"/>
      <c r="Q94" s="96"/>
      <c r="R94" s="20"/>
    </row>
    <row r="95" spans="1:18" hidden="1">
      <c r="A95" s="901"/>
      <c r="B95" s="68"/>
      <c r="C95" s="25"/>
      <c r="D95" s="69"/>
      <c r="E95" s="26"/>
      <c r="F95" s="70"/>
      <c r="G95" s="26"/>
      <c r="H95" s="4"/>
      <c r="I95" s="4"/>
      <c r="J95" s="4"/>
      <c r="K95" s="4"/>
      <c r="L95" s="4"/>
      <c r="M95" s="4"/>
      <c r="N95" s="7"/>
      <c r="O95" s="7"/>
      <c r="P95" s="20"/>
      <c r="Q95" s="7"/>
      <c r="R95" s="20"/>
    </row>
    <row r="96" spans="1:18" hidden="1">
      <c r="A96" s="901"/>
      <c r="B96" s="72"/>
      <c r="C96" s="73"/>
      <c r="D96" s="74"/>
      <c r="E96" s="75"/>
      <c r="F96" s="76"/>
      <c r="G96" s="76"/>
      <c r="H96" s="76"/>
      <c r="I96" s="76"/>
      <c r="J96" s="76"/>
      <c r="K96" s="76"/>
      <c r="L96" s="76"/>
      <c r="M96" s="76"/>
      <c r="N96" s="28"/>
      <c r="O96" s="28" t="s">
        <v>26</v>
      </c>
      <c r="P96" s="29">
        <f>SUM(P94:P95)</f>
        <v>0</v>
      </c>
      <c r="Q96" s="28" t="s">
        <v>26</v>
      </c>
      <c r="R96" s="29"/>
    </row>
    <row r="97" spans="1:18" hidden="1">
      <c r="A97" s="902"/>
      <c r="B97" s="77"/>
      <c r="C97" s="31"/>
      <c r="D97" s="32" t="s">
        <v>26</v>
      </c>
      <c r="E97" s="33">
        <f>SUM(E94:E96)</f>
        <v>3600000</v>
      </c>
      <c r="F97" s="4" t="s">
        <v>26</v>
      </c>
      <c r="G97" s="33">
        <f>SUM(G94:G96)</f>
        <v>144000</v>
      </c>
      <c r="H97" s="35"/>
      <c r="I97" s="35"/>
      <c r="J97" s="35"/>
      <c r="K97" s="35"/>
      <c r="L97" s="35"/>
      <c r="M97" s="35"/>
      <c r="N97" s="36" t="s">
        <v>27</v>
      </c>
      <c r="O97" s="37"/>
      <c r="P97" s="38"/>
      <c r="Q97" s="39" t="s">
        <v>28</v>
      </c>
      <c r="R97" s="40">
        <f>G97+R96</f>
        <v>144000</v>
      </c>
    </row>
    <row r="98" spans="1:18" hidden="1">
      <c r="B98" s="97"/>
      <c r="C98" s="98"/>
    </row>
    <row r="99" spans="1:18" hidden="1">
      <c r="A99" s="929">
        <f>A53+A69+A79+A87+A94</f>
        <v>94</v>
      </c>
      <c r="B99" s="894" t="s">
        <v>42</v>
      </c>
      <c r="C99" s="894"/>
      <c r="D99" s="894"/>
      <c r="E99" s="99">
        <f>E64+E75+E83+E90+E97</f>
        <v>43500000</v>
      </c>
    </row>
    <row r="100" spans="1:18" hidden="1">
      <c r="A100" s="929"/>
      <c r="B100" s="895" t="s">
        <v>43</v>
      </c>
      <c r="C100" s="895"/>
      <c r="D100" s="896"/>
      <c r="E100" s="100"/>
    </row>
    <row r="101" spans="1:18" hidden="1">
      <c r="A101" s="929"/>
      <c r="B101" s="897" t="s">
        <v>44</v>
      </c>
      <c r="C101" s="897"/>
      <c r="D101" s="898"/>
      <c r="E101" s="101"/>
    </row>
    <row r="102" spans="1:18" hidden="1">
      <c r="A102" s="102"/>
      <c r="B102" s="103"/>
      <c r="C102" s="103"/>
      <c r="D102" s="103"/>
      <c r="E102" s="85"/>
      <c r="G102" s="104"/>
      <c r="H102" s="104"/>
    </row>
    <row r="103" spans="1:18" hidden="1">
      <c r="B103" s="97"/>
      <c r="C103" s="98"/>
    </row>
    <row r="105" spans="1:18" ht="31.5">
      <c r="A105" s="903" t="s">
        <v>75</v>
      </c>
      <c r="B105" s="903"/>
      <c r="C105" s="903"/>
      <c r="D105" s="903"/>
      <c r="E105" s="903"/>
      <c r="F105" s="903"/>
      <c r="G105" s="903"/>
      <c r="H105" s="903"/>
      <c r="I105" s="903"/>
      <c r="J105" s="903"/>
      <c r="K105" s="903"/>
      <c r="L105" s="903"/>
      <c r="M105" s="903"/>
      <c r="N105" s="903"/>
      <c r="O105" s="903"/>
      <c r="P105" s="903"/>
      <c r="Q105" s="903"/>
      <c r="R105" s="903"/>
    </row>
    <row r="106" spans="1:18" hidden="1">
      <c r="A106" s="889" t="s">
        <v>1</v>
      </c>
      <c r="B106" s="889"/>
      <c r="C106" s="889"/>
      <c r="D106" s="889"/>
      <c r="E106" s="889"/>
      <c r="F106" s="889"/>
      <c r="G106" s="889"/>
      <c r="H106" s="889"/>
      <c r="I106" s="889"/>
      <c r="J106" s="889"/>
      <c r="K106" s="889"/>
      <c r="L106" s="889"/>
      <c r="M106" s="889"/>
      <c r="N106" s="892" t="s">
        <v>2</v>
      </c>
      <c r="O106" s="892"/>
      <c r="P106" s="892"/>
      <c r="Q106" s="892"/>
      <c r="R106" s="892"/>
    </row>
    <row r="107" spans="1:18" hidden="1">
      <c r="A107" s="4" t="s">
        <v>3</v>
      </c>
      <c r="B107" s="2" t="s">
        <v>4</v>
      </c>
      <c r="C107" s="3" t="s">
        <v>5</v>
      </c>
      <c r="D107" s="4" t="s">
        <v>6</v>
      </c>
      <c r="E107" s="4" t="s">
        <v>7</v>
      </c>
      <c r="F107" s="5" t="s">
        <v>8</v>
      </c>
      <c r="G107" s="4" t="s">
        <v>9</v>
      </c>
      <c r="H107" s="6" t="s">
        <v>10</v>
      </c>
      <c r="I107" s="4" t="s">
        <v>11</v>
      </c>
      <c r="J107" s="4"/>
      <c r="K107" s="4"/>
      <c r="L107" s="4"/>
      <c r="M107" s="4" t="s">
        <v>12</v>
      </c>
      <c r="N107" s="7" t="s">
        <v>4</v>
      </c>
      <c r="O107" s="7" t="s">
        <v>6</v>
      </c>
      <c r="P107" s="7" t="s">
        <v>13</v>
      </c>
      <c r="Q107" s="8" t="s">
        <v>8</v>
      </c>
      <c r="R107" s="7" t="s">
        <v>14</v>
      </c>
    </row>
    <row r="108" spans="1:18" hidden="1">
      <c r="A108" s="900">
        <v>25</v>
      </c>
      <c r="B108" s="15">
        <v>13489</v>
      </c>
      <c r="C108" s="10">
        <v>0.1</v>
      </c>
      <c r="D108" s="11" t="s">
        <v>76</v>
      </c>
      <c r="E108" s="12">
        <v>2800000</v>
      </c>
      <c r="F108" s="13">
        <v>0.06</v>
      </c>
      <c r="G108" s="12">
        <f>E108*F108</f>
        <v>168000</v>
      </c>
      <c r="H108" s="14" t="s">
        <v>51</v>
      </c>
      <c r="I108" s="4"/>
      <c r="J108" s="4"/>
      <c r="K108" s="4"/>
      <c r="L108" s="4"/>
      <c r="M108" s="4"/>
      <c r="N108" s="88">
        <v>13545</v>
      </c>
      <c r="O108" s="105" t="s">
        <v>77</v>
      </c>
      <c r="P108" s="17">
        <v>3300000</v>
      </c>
      <c r="Q108" s="106">
        <v>0.04</v>
      </c>
      <c r="R108" s="17">
        <f>P108*Q108</f>
        <v>132000</v>
      </c>
    </row>
    <row r="109" spans="1:18" hidden="1">
      <c r="A109" s="901"/>
      <c r="B109" s="15">
        <v>13540</v>
      </c>
      <c r="C109" s="10">
        <v>0.1</v>
      </c>
      <c r="D109" s="11" t="s">
        <v>78</v>
      </c>
      <c r="E109" s="12">
        <v>2000000</v>
      </c>
      <c r="F109" s="13">
        <v>0.06</v>
      </c>
      <c r="G109" s="12">
        <f t="shared" ref="G109:G113" si="4">E109*F109</f>
        <v>120000</v>
      </c>
      <c r="H109" s="14" t="s">
        <v>51</v>
      </c>
      <c r="I109" s="4"/>
      <c r="J109" s="4"/>
      <c r="K109" s="4"/>
      <c r="L109" s="4"/>
      <c r="M109" s="4"/>
      <c r="N109" s="7"/>
      <c r="O109" s="19"/>
      <c r="P109" s="20"/>
      <c r="Q109" s="21"/>
      <c r="R109" s="20"/>
    </row>
    <row r="110" spans="1:18" hidden="1">
      <c r="A110" s="901"/>
      <c r="B110" s="15">
        <v>13562</v>
      </c>
      <c r="C110" s="10">
        <v>0.1</v>
      </c>
      <c r="D110" s="11" t="s">
        <v>79</v>
      </c>
      <c r="E110" s="12">
        <v>2200000</v>
      </c>
      <c r="F110" s="13">
        <v>0.12</v>
      </c>
      <c r="G110" s="12">
        <f t="shared" si="4"/>
        <v>264000</v>
      </c>
      <c r="H110" s="14" t="s">
        <v>16</v>
      </c>
      <c r="I110" s="4"/>
      <c r="J110" s="4"/>
      <c r="K110" s="4"/>
      <c r="L110" s="4"/>
      <c r="M110" s="4"/>
      <c r="N110" s="7"/>
      <c r="O110" s="19"/>
      <c r="P110" s="20"/>
      <c r="Q110" s="21"/>
      <c r="R110" s="20"/>
    </row>
    <row r="111" spans="1:18" hidden="1">
      <c r="A111" s="901"/>
      <c r="B111" s="15">
        <v>13591</v>
      </c>
      <c r="C111" s="10">
        <v>0.1</v>
      </c>
      <c r="D111" s="11" t="s">
        <v>80</v>
      </c>
      <c r="E111" s="12">
        <v>1100000</v>
      </c>
      <c r="F111" s="13">
        <v>0.06</v>
      </c>
      <c r="G111" s="12">
        <f t="shared" si="4"/>
        <v>66000</v>
      </c>
      <c r="H111" s="14" t="s">
        <v>51</v>
      </c>
      <c r="I111" s="4"/>
      <c r="J111" s="4"/>
      <c r="K111" s="4"/>
      <c r="L111" s="4"/>
      <c r="M111" s="4"/>
      <c r="N111" s="7"/>
      <c r="O111" s="19"/>
      <c r="P111" s="20"/>
      <c r="Q111" s="21"/>
      <c r="R111" s="20"/>
    </row>
    <row r="112" spans="1:18" hidden="1">
      <c r="A112" s="901"/>
      <c r="B112" s="15">
        <v>13604</v>
      </c>
      <c r="C112" s="10">
        <v>0.1</v>
      </c>
      <c r="D112" s="11" t="s">
        <v>81</v>
      </c>
      <c r="E112" s="12">
        <v>2350000</v>
      </c>
      <c r="F112" s="13">
        <v>7.0000000000000007E-2</v>
      </c>
      <c r="G112" s="12">
        <f t="shared" si="4"/>
        <v>164500.00000000003</v>
      </c>
      <c r="H112" s="14" t="s">
        <v>19</v>
      </c>
      <c r="I112" s="4"/>
      <c r="J112" s="4"/>
      <c r="K112" s="4"/>
      <c r="L112" s="4"/>
      <c r="M112" s="4"/>
      <c r="N112" s="7"/>
      <c r="O112" s="19"/>
      <c r="P112" s="20"/>
      <c r="Q112" s="21"/>
      <c r="R112" s="20"/>
    </row>
    <row r="113" spans="1:18" ht="12.75" hidden="1" customHeight="1">
      <c r="A113" s="901"/>
      <c r="B113" s="15" t="s">
        <v>34</v>
      </c>
      <c r="C113" s="10">
        <v>0.1</v>
      </c>
      <c r="D113" s="11" t="s">
        <v>82</v>
      </c>
      <c r="E113" s="12">
        <v>2000000</v>
      </c>
      <c r="F113" s="13">
        <v>7.0000000000000007E-2</v>
      </c>
      <c r="G113" s="12">
        <f t="shared" si="4"/>
        <v>140000</v>
      </c>
      <c r="H113" s="14" t="s">
        <v>83</v>
      </c>
      <c r="I113" s="4"/>
      <c r="J113" s="4"/>
      <c r="K113" s="4"/>
      <c r="L113" s="4"/>
      <c r="M113" s="4"/>
      <c r="N113" s="7"/>
      <c r="O113" s="19"/>
      <c r="P113" s="20"/>
      <c r="Q113" s="21"/>
      <c r="R113" s="20"/>
    </row>
    <row r="114" spans="1:18" ht="12.75" hidden="1" customHeight="1">
      <c r="A114" s="901"/>
      <c r="B114" s="107"/>
      <c r="C114" s="25"/>
      <c r="D114" s="4"/>
      <c r="E114" s="26"/>
      <c r="F114" s="27"/>
      <c r="G114" s="26"/>
      <c r="H114" s="27"/>
      <c r="I114" s="27"/>
      <c r="J114" s="27"/>
      <c r="K114" s="27"/>
      <c r="L114" s="27"/>
      <c r="M114" s="27"/>
      <c r="N114" s="28"/>
      <c r="O114" s="28" t="s">
        <v>26</v>
      </c>
      <c r="P114" s="29">
        <f>SUM(P108:P113)</f>
        <v>3300000</v>
      </c>
      <c r="Q114" s="28" t="s">
        <v>26</v>
      </c>
      <c r="R114" s="29">
        <f>SUM(R108:R113)</f>
        <v>132000</v>
      </c>
    </row>
    <row r="115" spans="1:18" ht="12.75" hidden="1" customHeight="1">
      <c r="A115" s="902"/>
      <c r="B115" s="77"/>
      <c r="C115" s="31"/>
      <c r="D115" s="32" t="s">
        <v>26</v>
      </c>
      <c r="E115" s="33">
        <f>SUM(E108:E114)</f>
        <v>12450000</v>
      </c>
      <c r="F115" s="4" t="s">
        <v>26</v>
      </c>
      <c r="G115" s="34">
        <f>SUM(G108:G114)</f>
        <v>922500</v>
      </c>
      <c r="H115" s="35"/>
      <c r="I115" s="35"/>
      <c r="J115" s="35"/>
      <c r="K115" s="35"/>
      <c r="L115" s="35"/>
      <c r="M115" s="35"/>
      <c r="N115" s="36" t="s">
        <v>27</v>
      </c>
      <c r="O115" s="37"/>
      <c r="P115" s="38"/>
      <c r="Q115" s="39" t="s">
        <v>28</v>
      </c>
      <c r="R115" s="40">
        <f>G115+R114</f>
        <v>1054500</v>
      </c>
    </row>
    <row r="116" spans="1:18" hidden="1">
      <c r="A116" s="41"/>
      <c r="B116" s="42"/>
      <c r="C116" s="43"/>
      <c r="D116" s="41"/>
      <c r="E116" s="41"/>
      <c r="F116" s="41"/>
      <c r="G116" s="41"/>
      <c r="H116" s="41"/>
      <c r="I116" s="41"/>
      <c r="J116" s="41"/>
      <c r="K116" s="41"/>
      <c r="L116" s="41"/>
      <c r="M116" s="41"/>
    </row>
    <row r="117" spans="1:18" hidden="1">
      <c r="A117" s="41"/>
      <c r="B117" s="42"/>
      <c r="C117" s="43"/>
      <c r="D117" s="41"/>
      <c r="E117" s="41"/>
      <c r="F117" s="41"/>
      <c r="G117" s="41"/>
      <c r="H117" s="41"/>
      <c r="I117" s="41"/>
      <c r="J117" s="41"/>
      <c r="K117" s="41"/>
      <c r="L117" s="41"/>
      <c r="M117" s="41"/>
    </row>
    <row r="118" spans="1:18" hidden="1">
      <c r="A118" s="889" t="s">
        <v>19</v>
      </c>
      <c r="B118" s="889"/>
      <c r="C118" s="889"/>
      <c r="D118" s="889"/>
      <c r="E118" s="889"/>
      <c r="F118" s="889"/>
      <c r="G118" s="889"/>
      <c r="H118" s="889"/>
      <c r="I118" s="889"/>
      <c r="J118" s="889"/>
      <c r="K118" s="889"/>
      <c r="L118" s="889"/>
      <c r="M118" s="889"/>
      <c r="N118" s="892" t="s">
        <v>2</v>
      </c>
      <c r="O118" s="892"/>
      <c r="P118" s="892"/>
      <c r="Q118" s="892"/>
      <c r="R118" s="892"/>
    </row>
    <row r="119" spans="1:18" hidden="1">
      <c r="A119" s="4" t="s">
        <v>3</v>
      </c>
      <c r="B119" s="2" t="s">
        <v>4</v>
      </c>
      <c r="C119" s="3" t="s">
        <v>5</v>
      </c>
      <c r="D119" s="4" t="s">
        <v>6</v>
      </c>
      <c r="E119" s="4" t="s">
        <v>29</v>
      </c>
      <c r="F119" s="5" t="s">
        <v>8</v>
      </c>
      <c r="G119" s="4" t="s">
        <v>9</v>
      </c>
      <c r="H119" s="6" t="s">
        <v>10</v>
      </c>
      <c r="I119" s="4" t="s">
        <v>11</v>
      </c>
      <c r="J119" s="4"/>
      <c r="K119" s="4"/>
      <c r="L119" s="4"/>
      <c r="M119" s="4" t="s">
        <v>12</v>
      </c>
      <c r="N119" s="7" t="s">
        <v>4</v>
      </c>
      <c r="O119" s="7" t="s">
        <v>6</v>
      </c>
      <c r="P119" s="7" t="s">
        <v>13</v>
      </c>
      <c r="Q119" s="8" t="s">
        <v>8</v>
      </c>
      <c r="R119" s="7" t="s">
        <v>14</v>
      </c>
    </row>
    <row r="120" spans="1:18" hidden="1">
      <c r="A120" s="899">
        <v>6</v>
      </c>
      <c r="B120" s="65">
        <v>13434</v>
      </c>
      <c r="C120" s="10">
        <v>0.1</v>
      </c>
      <c r="D120" s="16" t="s">
        <v>84</v>
      </c>
      <c r="E120" s="12">
        <v>2100000</v>
      </c>
      <c r="F120" s="66">
        <v>0.08</v>
      </c>
      <c r="G120" s="12">
        <f>E120*F120</f>
        <v>168000</v>
      </c>
      <c r="H120" s="14" t="s">
        <v>19</v>
      </c>
      <c r="I120" s="4"/>
      <c r="J120" s="4"/>
      <c r="K120" s="4"/>
      <c r="L120" s="4"/>
      <c r="M120" s="4"/>
      <c r="N120" s="15">
        <v>13604</v>
      </c>
      <c r="O120" s="11" t="s">
        <v>81</v>
      </c>
      <c r="P120" s="17">
        <v>2350000</v>
      </c>
      <c r="Q120" s="108">
        <v>0.04</v>
      </c>
      <c r="R120" s="17">
        <f>P120*Q120</f>
        <v>94000</v>
      </c>
    </row>
    <row r="121" spans="1:18" hidden="1">
      <c r="A121" s="887"/>
      <c r="B121" s="65">
        <v>13522</v>
      </c>
      <c r="C121" s="10">
        <v>0.1</v>
      </c>
      <c r="D121" s="16" t="s">
        <v>85</v>
      </c>
      <c r="E121" s="12">
        <v>1300000</v>
      </c>
      <c r="F121" s="66">
        <v>0.04</v>
      </c>
      <c r="G121" s="12">
        <f t="shared" ref="G121:G124" si="5">E121*F121</f>
        <v>52000</v>
      </c>
      <c r="H121" s="14" t="s">
        <v>62</v>
      </c>
      <c r="I121" s="4"/>
      <c r="J121" s="4"/>
      <c r="K121" s="4"/>
      <c r="L121" s="4"/>
      <c r="M121" s="4"/>
      <c r="N121" s="7"/>
      <c r="O121" s="7"/>
      <c r="P121" s="7"/>
      <c r="Q121" s="46"/>
      <c r="R121" s="7"/>
    </row>
    <row r="122" spans="1:18" hidden="1">
      <c r="A122" s="887"/>
      <c r="B122" s="65">
        <v>13567</v>
      </c>
      <c r="C122" s="10">
        <v>0.1</v>
      </c>
      <c r="D122" s="16" t="s">
        <v>86</v>
      </c>
      <c r="E122" s="12">
        <v>1700000</v>
      </c>
      <c r="F122" s="66">
        <v>0.04</v>
      </c>
      <c r="G122" s="12">
        <f t="shared" si="5"/>
        <v>68000</v>
      </c>
      <c r="H122" s="14" t="s">
        <v>87</v>
      </c>
      <c r="I122" s="4"/>
      <c r="J122" s="4"/>
      <c r="K122" s="4"/>
      <c r="L122" s="4"/>
      <c r="M122" s="4"/>
      <c r="N122" s="7"/>
      <c r="O122" s="7"/>
      <c r="P122" s="7"/>
      <c r="Q122" s="46"/>
      <c r="R122" s="7"/>
    </row>
    <row r="123" spans="1:18" hidden="1">
      <c r="A123" s="887"/>
      <c r="B123" s="65">
        <v>13551</v>
      </c>
      <c r="C123" s="10">
        <v>0.1</v>
      </c>
      <c r="D123" s="16" t="s">
        <v>88</v>
      </c>
      <c r="E123" s="12">
        <v>2325000</v>
      </c>
      <c r="F123" s="66">
        <v>0.04</v>
      </c>
      <c r="G123" s="12">
        <f t="shared" si="5"/>
        <v>93000</v>
      </c>
      <c r="H123" s="14" t="s">
        <v>87</v>
      </c>
      <c r="I123" s="4"/>
      <c r="J123" s="4"/>
      <c r="K123" s="4"/>
      <c r="L123" s="4"/>
      <c r="M123" s="4"/>
      <c r="N123" s="7"/>
      <c r="O123" s="7"/>
      <c r="P123" s="20"/>
      <c r="Q123" s="46"/>
      <c r="R123" s="48"/>
    </row>
    <row r="124" spans="1:18" hidden="1">
      <c r="A124" s="887"/>
      <c r="B124" s="65">
        <v>13557</v>
      </c>
      <c r="C124" s="10">
        <v>0.1</v>
      </c>
      <c r="D124" s="16" t="s">
        <v>89</v>
      </c>
      <c r="E124" s="12">
        <v>1350000</v>
      </c>
      <c r="F124" s="66">
        <v>0.08</v>
      </c>
      <c r="G124" s="12">
        <f t="shared" si="5"/>
        <v>108000</v>
      </c>
      <c r="H124" s="14" t="s">
        <v>19</v>
      </c>
      <c r="I124" s="4"/>
      <c r="J124" s="4"/>
      <c r="K124" s="4"/>
      <c r="L124" s="4"/>
      <c r="M124" s="4"/>
      <c r="N124" s="7"/>
      <c r="O124" s="7"/>
      <c r="P124" s="20"/>
      <c r="Q124" s="46"/>
      <c r="R124" s="48"/>
    </row>
    <row r="125" spans="1:18" ht="12.75" hidden="1" customHeight="1">
      <c r="A125" s="887"/>
      <c r="B125" s="109"/>
      <c r="C125" s="56"/>
      <c r="D125" s="35"/>
      <c r="E125" s="57"/>
      <c r="F125" s="58"/>
      <c r="G125" s="26"/>
      <c r="H125" s="59"/>
      <c r="I125" s="35"/>
      <c r="J125" s="35"/>
      <c r="K125" s="35"/>
      <c r="L125" s="35"/>
      <c r="M125" s="35"/>
      <c r="N125" s="28"/>
      <c r="O125" s="28" t="s">
        <v>26</v>
      </c>
      <c r="P125" s="29">
        <f>SUM(P120:P124)</f>
        <v>2350000</v>
      </c>
      <c r="Q125" s="60" t="s">
        <v>26</v>
      </c>
      <c r="R125" s="29">
        <f>SUM(R120:R124)</f>
        <v>94000</v>
      </c>
    </row>
    <row r="126" spans="1:18" ht="12.75" hidden="1" customHeight="1">
      <c r="A126" s="888"/>
      <c r="B126" s="110"/>
      <c r="C126" s="31"/>
      <c r="D126" s="32" t="s">
        <v>26</v>
      </c>
      <c r="E126" s="33">
        <f>SUM(E120:E125)</f>
        <v>8775000</v>
      </c>
      <c r="F126" s="4" t="s">
        <v>26</v>
      </c>
      <c r="G126" s="34">
        <f>SUM(G120:G125)</f>
        <v>489000</v>
      </c>
      <c r="H126" s="35"/>
      <c r="I126" s="35"/>
      <c r="J126" s="35"/>
      <c r="K126" s="35"/>
      <c r="L126" s="35"/>
      <c r="M126" s="35"/>
      <c r="N126" s="36" t="s">
        <v>27</v>
      </c>
      <c r="O126" s="37"/>
      <c r="P126" s="38"/>
      <c r="Q126" s="62" t="s">
        <v>28</v>
      </c>
      <c r="R126" s="63">
        <f>G126+R125</f>
        <v>583000</v>
      </c>
    </row>
    <row r="127" spans="1:18" hidden="1">
      <c r="A127" s="41"/>
      <c r="B127" s="42"/>
      <c r="C127" s="43"/>
      <c r="D127" s="41"/>
      <c r="E127" s="41"/>
      <c r="F127" s="41"/>
      <c r="G127" s="41"/>
      <c r="H127" s="41"/>
      <c r="I127" s="41"/>
      <c r="J127" s="41"/>
      <c r="K127" s="41"/>
      <c r="L127" s="41"/>
      <c r="M127" s="41"/>
    </row>
    <row r="128" spans="1:18" ht="33" hidden="1">
      <c r="A128" s="79"/>
      <c r="B128" s="80"/>
      <c r="C128" s="81"/>
      <c r="D128" s="82"/>
      <c r="E128" s="83"/>
      <c r="F128" s="82"/>
      <c r="G128" s="83"/>
      <c r="H128" s="82"/>
      <c r="I128" s="82"/>
      <c r="J128" s="82"/>
      <c r="K128" s="82"/>
      <c r="L128" s="82"/>
      <c r="M128" s="82"/>
      <c r="N128" s="84"/>
      <c r="O128" s="84"/>
      <c r="P128" s="84"/>
      <c r="Q128" s="85"/>
      <c r="R128" s="86"/>
    </row>
    <row r="129" spans="1:18" hidden="1">
      <c r="A129" s="889" t="s">
        <v>37</v>
      </c>
      <c r="B129" s="890"/>
      <c r="C129" s="890"/>
      <c r="D129" s="890"/>
      <c r="E129" s="890"/>
      <c r="F129" s="890"/>
      <c r="G129" s="890"/>
      <c r="H129" s="890"/>
      <c r="I129" s="890"/>
      <c r="J129" s="890"/>
      <c r="K129" s="890"/>
      <c r="L129" s="890"/>
      <c r="M129" s="891"/>
      <c r="N129" s="892" t="s">
        <v>2</v>
      </c>
      <c r="O129" s="996"/>
      <c r="P129" s="996"/>
      <c r="Q129" s="996"/>
      <c r="R129" s="996"/>
    </row>
    <row r="130" spans="1:18" hidden="1">
      <c r="A130" s="4" t="s">
        <v>3</v>
      </c>
      <c r="B130" s="2" t="s">
        <v>4</v>
      </c>
      <c r="C130" s="3" t="s">
        <v>5</v>
      </c>
      <c r="D130" s="4" t="s">
        <v>6</v>
      </c>
      <c r="E130" s="4" t="s">
        <v>7</v>
      </c>
      <c r="F130" s="5" t="s">
        <v>8</v>
      </c>
      <c r="G130" s="4" t="s">
        <v>9</v>
      </c>
      <c r="H130" s="6" t="s">
        <v>10</v>
      </c>
      <c r="I130" s="4" t="s">
        <v>11</v>
      </c>
      <c r="J130" s="4"/>
      <c r="K130" s="4"/>
      <c r="L130" s="4"/>
      <c r="M130" s="4" t="s">
        <v>12</v>
      </c>
      <c r="N130" s="7" t="s">
        <v>4</v>
      </c>
      <c r="O130" s="7" t="s">
        <v>6</v>
      </c>
      <c r="P130" s="7" t="s">
        <v>13</v>
      </c>
      <c r="Q130" s="8" t="s">
        <v>8</v>
      </c>
      <c r="R130" s="64" t="s">
        <v>14</v>
      </c>
    </row>
    <row r="131" spans="1:18" hidden="1">
      <c r="A131" s="887">
        <v>11</v>
      </c>
      <c r="B131" s="107"/>
      <c r="C131" s="111"/>
      <c r="D131" s="4"/>
      <c r="E131" s="26"/>
      <c r="F131" s="53"/>
      <c r="G131" s="26"/>
      <c r="H131" s="6"/>
      <c r="I131" s="4"/>
      <c r="J131" s="4"/>
      <c r="K131" s="4"/>
      <c r="L131" s="4"/>
      <c r="M131" s="4"/>
      <c r="N131" s="8"/>
      <c r="O131" s="7"/>
      <c r="P131" s="20"/>
      <c r="Q131" s="92"/>
      <c r="R131" s="48"/>
    </row>
    <row r="132" spans="1:18" hidden="1">
      <c r="A132" s="887"/>
      <c r="B132" s="72"/>
      <c r="C132" s="73"/>
      <c r="D132" s="74"/>
      <c r="E132" s="75"/>
      <c r="F132" s="76"/>
      <c r="G132" s="76"/>
      <c r="H132" s="76"/>
      <c r="I132" s="76"/>
      <c r="J132" s="76"/>
      <c r="K132" s="76"/>
      <c r="L132" s="76"/>
      <c r="M132" s="76"/>
      <c r="N132" s="28"/>
      <c r="O132" s="28" t="s">
        <v>26</v>
      </c>
      <c r="P132" s="29"/>
      <c r="Q132" s="60" t="s">
        <v>26</v>
      </c>
      <c r="R132" s="29"/>
    </row>
    <row r="133" spans="1:18" hidden="1">
      <c r="A133" s="888"/>
      <c r="B133" s="77"/>
      <c r="C133" s="31"/>
      <c r="D133" s="32" t="s">
        <v>26</v>
      </c>
      <c r="E133" s="33">
        <f>SUM(E131:E132)</f>
        <v>0</v>
      </c>
      <c r="F133" s="4" t="s">
        <v>26</v>
      </c>
      <c r="G133" s="33">
        <f>SUM(G131:G132)</f>
        <v>0</v>
      </c>
      <c r="H133" s="35"/>
      <c r="I133" s="35"/>
      <c r="J133" s="35"/>
      <c r="K133" s="35"/>
      <c r="L133" s="35"/>
      <c r="M133" s="35"/>
      <c r="N133" s="36" t="s">
        <v>27</v>
      </c>
      <c r="O133" s="37"/>
      <c r="P133" s="38"/>
      <c r="Q133" s="62" t="s">
        <v>28</v>
      </c>
      <c r="R133" s="78">
        <f>G133+R132</f>
        <v>0</v>
      </c>
    </row>
    <row r="134" spans="1:18" ht="33" hidden="1">
      <c r="A134" s="93"/>
      <c r="B134" s="94"/>
      <c r="C134" s="95"/>
      <c r="D134" s="82"/>
      <c r="E134" s="83"/>
      <c r="F134" s="82"/>
      <c r="G134" s="83"/>
      <c r="H134" s="82"/>
      <c r="I134" s="82"/>
      <c r="J134" s="82"/>
      <c r="K134" s="82"/>
      <c r="L134" s="82"/>
      <c r="M134" s="82"/>
      <c r="N134" s="84"/>
      <c r="O134" s="84"/>
      <c r="P134" s="84"/>
      <c r="Q134" s="85"/>
      <c r="R134" s="86"/>
    </row>
    <row r="135" spans="1:18" hidden="1">
      <c r="A135" s="889" t="s">
        <v>40</v>
      </c>
      <c r="B135" s="890"/>
      <c r="C135" s="890"/>
      <c r="D135" s="890"/>
      <c r="E135" s="890"/>
      <c r="F135" s="890"/>
      <c r="G135" s="890"/>
      <c r="H135" s="890"/>
      <c r="I135" s="890"/>
      <c r="J135" s="890"/>
      <c r="K135" s="890"/>
      <c r="L135" s="890"/>
      <c r="M135" s="891"/>
      <c r="N135" s="892" t="s">
        <v>2</v>
      </c>
      <c r="O135" s="996"/>
      <c r="P135" s="996"/>
      <c r="Q135" s="996"/>
      <c r="R135" s="996"/>
    </row>
    <row r="136" spans="1:18" hidden="1">
      <c r="A136" s="4" t="s">
        <v>3</v>
      </c>
      <c r="B136" s="2" t="s">
        <v>4</v>
      </c>
      <c r="C136" s="3" t="s">
        <v>5</v>
      </c>
      <c r="D136" s="4" t="s">
        <v>6</v>
      </c>
      <c r="E136" s="4" t="s">
        <v>7</v>
      </c>
      <c r="F136" s="5" t="s">
        <v>8</v>
      </c>
      <c r="G136" s="4" t="s">
        <v>9</v>
      </c>
      <c r="H136" s="6" t="s">
        <v>10</v>
      </c>
      <c r="I136" s="4" t="s">
        <v>11</v>
      </c>
      <c r="J136" s="4"/>
      <c r="K136" s="4"/>
      <c r="L136" s="4"/>
      <c r="M136" s="4" t="s">
        <v>12</v>
      </c>
      <c r="N136" s="7" t="s">
        <v>4</v>
      </c>
      <c r="O136" s="7" t="s">
        <v>6</v>
      </c>
      <c r="P136" s="7" t="s">
        <v>13</v>
      </c>
      <c r="Q136" s="8" t="s">
        <v>8</v>
      </c>
      <c r="R136" s="7" t="s">
        <v>14</v>
      </c>
    </row>
    <row r="137" spans="1:18" hidden="1">
      <c r="A137" s="901"/>
      <c r="B137" s="68"/>
      <c r="C137" s="25"/>
      <c r="D137" s="69"/>
      <c r="E137" s="26"/>
      <c r="F137" s="70"/>
      <c r="G137" s="26"/>
      <c r="H137" s="4"/>
      <c r="I137" s="4"/>
      <c r="J137" s="4"/>
      <c r="K137" s="4"/>
      <c r="L137" s="4"/>
      <c r="M137" s="4"/>
      <c r="N137" s="7"/>
      <c r="O137" s="7"/>
      <c r="P137" s="20"/>
      <c r="Q137" s="7"/>
      <c r="R137" s="20"/>
    </row>
    <row r="138" spans="1:18" hidden="1">
      <c r="A138" s="901"/>
      <c r="B138" s="72"/>
      <c r="C138" s="73"/>
      <c r="D138" s="74"/>
      <c r="E138" s="75"/>
      <c r="F138" s="76"/>
      <c r="G138" s="76"/>
      <c r="H138" s="76"/>
      <c r="I138" s="76"/>
      <c r="J138" s="76"/>
      <c r="K138" s="76"/>
      <c r="L138" s="76"/>
      <c r="M138" s="76"/>
      <c r="N138" s="28"/>
      <c r="O138" s="28" t="s">
        <v>26</v>
      </c>
      <c r="P138" s="29">
        <f>SUM(P137:P137)</f>
        <v>0</v>
      </c>
      <c r="Q138" s="28" t="s">
        <v>26</v>
      </c>
      <c r="R138" s="29"/>
    </row>
    <row r="139" spans="1:18" hidden="1">
      <c r="A139" s="902"/>
      <c r="B139" s="77"/>
      <c r="C139" s="31"/>
      <c r="D139" s="32" t="s">
        <v>26</v>
      </c>
      <c r="E139" s="33">
        <f>SUM(E137:E138)</f>
        <v>0</v>
      </c>
      <c r="F139" s="4" t="s">
        <v>26</v>
      </c>
      <c r="G139" s="33">
        <f>SUM(G137:G138)</f>
        <v>0</v>
      </c>
      <c r="H139" s="35"/>
      <c r="I139" s="35"/>
      <c r="J139" s="35"/>
      <c r="K139" s="35"/>
      <c r="L139" s="35"/>
      <c r="M139" s="35"/>
      <c r="N139" s="36" t="s">
        <v>27</v>
      </c>
      <c r="O139" s="37"/>
      <c r="P139" s="38"/>
      <c r="Q139" s="39" t="s">
        <v>28</v>
      </c>
      <c r="R139" s="40">
        <f>G139+R138</f>
        <v>0</v>
      </c>
    </row>
    <row r="140" spans="1:18" hidden="1">
      <c r="B140" s="97"/>
      <c r="C140" s="98"/>
    </row>
    <row r="141" spans="1:18" hidden="1">
      <c r="A141" s="929">
        <f>A108+A120+A131+A137</f>
        <v>42</v>
      </c>
      <c r="B141" s="894" t="s">
        <v>42</v>
      </c>
      <c r="C141" s="894"/>
      <c r="D141" s="894"/>
      <c r="E141" s="99">
        <f>E115+E126+E133+E139</f>
        <v>21225000</v>
      </c>
    </row>
    <row r="142" spans="1:18" hidden="1">
      <c r="A142" s="929"/>
      <c r="B142" s="895" t="s">
        <v>43</v>
      </c>
      <c r="C142" s="895"/>
      <c r="D142" s="896"/>
      <c r="E142" s="100"/>
    </row>
    <row r="143" spans="1:18" hidden="1">
      <c r="A143" s="929"/>
      <c r="B143" s="897" t="s">
        <v>44</v>
      </c>
      <c r="C143" s="897"/>
      <c r="D143" s="898"/>
      <c r="E143" s="101"/>
    </row>
    <row r="144" spans="1:18" hidden="1">
      <c r="A144" s="102"/>
      <c r="B144" s="103"/>
      <c r="C144" s="103"/>
      <c r="D144" s="103"/>
      <c r="E144" s="85"/>
      <c r="G144" s="104"/>
      <c r="H144" s="104"/>
    </row>
    <row r="145" spans="1:18" hidden="1">
      <c r="B145" s="97"/>
      <c r="C145" s="98"/>
      <c r="H145" s="104"/>
    </row>
    <row r="146" spans="1:18" hidden="1">
      <c r="B146" s="97"/>
      <c r="C146" s="98"/>
    </row>
    <row r="147" spans="1:18">
      <c r="B147" s="97"/>
      <c r="C147" s="98"/>
    </row>
    <row r="148" spans="1:18" ht="31.5">
      <c r="A148" s="903" t="s">
        <v>90</v>
      </c>
      <c r="B148" s="903"/>
      <c r="C148" s="903"/>
      <c r="D148" s="903"/>
      <c r="E148" s="903"/>
      <c r="F148" s="903"/>
      <c r="G148" s="903"/>
      <c r="H148" s="903"/>
      <c r="I148" s="903"/>
      <c r="J148" s="903"/>
      <c r="K148" s="903"/>
      <c r="L148" s="903"/>
      <c r="M148" s="903"/>
      <c r="N148" s="903"/>
      <c r="O148" s="903"/>
      <c r="P148" s="903"/>
      <c r="Q148" s="903"/>
      <c r="R148" s="903"/>
    </row>
    <row r="149" spans="1:18" hidden="1">
      <c r="A149" s="930" t="s">
        <v>1</v>
      </c>
      <c r="B149" s="930"/>
      <c r="C149" s="930"/>
      <c r="D149" s="930"/>
      <c r="E149" s="930"/>
      <c r="F149" s="930"/>
      <c r="G149" s="930"/>
      <c r="H149" s="930"/>
      <c r="I149" s="930"/>
      <c r="J149" s="930"/>
      <c r="K149" s="930"/>
      <c r="L149" s="930"/>
      <c r="M149" s="930"/>
      <c r="N149" s="938" t="s">
        <v>2</v>
      </c>
      <c r="O149" s="938"/>
      <c r="P149" s="938"/>
      <c r="Q149" s="938"/>
      <c r="R149" s="938"/>
    </row>
    <row r="150" spans="1:18" hidden="1">
      <c r="A150" s="339" t="s">
        <v>3</v>
      </c>
      <c r="B150" s="340" t="s">
        <v>4</v>
      </c>
      <c r="C150" s="341" t="s">
        <v>5</v>
      </c>
      <c r="D150" s="339" t="s">
        <v>6</v>
      </c>
      <c r="E150" s="339" t="s">
        <v>7</v>
      </c>
      <c r="F150" s="342" t="s">
        <v>8</v>
      </c>
      <c r="G150" s="339" t="s">
        <v>9</v>
      </c>
      <c r="H150" s="343" t="s">
        <v>91</v>
      </c>
      <c r="I150" s="339" t="s">
        <v>11</v>
      </c>
      <c r="J150" s="339"/>
      <c r="K150" s="339"/>
      <c r="L150" s="339"/>
      <c r="M150" s="339" t="s">
        <v>12</v>
      </c>
      <c r="N150" s="344" t="s">
        <v>4</v>
      </c>
      <c r="O150" s="344" t="s">
        <v>6</v>
      </c>
      <c r="P150" s="344" t="s">
        <v>13</v>
      </c>
      <c r="Q150" s="345" t="s">
        <v>8</v>
      </c>
      <c r="R150" s="344" t="s">
        <v>14</v>
      </c>
    </row>
    <row r="151" spans="1:18" hidden="1">
      <c r="A151" s="900">
        <v>23</v>
      </c>
      <c r="B151" s="15">
        <v>13702</v>
      </c>
      <c r="C151" s="10">
        <v>0.1</v>
      </c>
      <c r="D151" s="112" t="s">
        <v>92</v>
      </c>
      <c r="E151" s="12">
        <v>2200000</v>
      </c>
      <c r="F151" s="13">
        <v>0.12</v>
      </c>
      <c r="G151" s="12">
        <f>E151*F151</f>
        <v>264000</v>
      </c>
      <c r="H151" s="14" t="s">
        <v>93</v>
      </c>
      <c r="I151" s="4"/>
      <c r="J151" s="4"/>
      <c r="K151" s="4"/>
      <c r="L151" s="4"/>
      <c r="M151" s="4"/>
      <c r="N151" s="15">
        <v>13807</v>
      </c>
      <c r="O151" s="16" t="s">
        <v>94</v>
      </c>
      <c r="P151" s="398">
        <v>1700000</v>
      </c>
      <c r="Q151" s="397">
        <v>0.05</v>
      </c>
      <c r="R151" s="398">
        <f>P151*Q151</f>
        <v>85000</v>
      </c>
    </row>
    <row r="152" spans="1:18" hidden="1">
      <c r="A152" s="901"/>
      <c r="B152" s="15">
        <v>13716</v>
      </c>
      <c r="C152" s="22">
        <v>0.08</v>
      </c>
      <c r="D152" s="11" t="s">
        <v>95</v>
      </c>
      <c r="E152" s="12">
        <v>3600000</v>
      </c>
      <c r="F152" s="23">
        <v>0.1</v>
      </c>
      <c r="G152" s="12">
        <f>E152*F152</f>
        <v>360000</v>
      </c>
      <c r="H152" s="14" t="s">
        <v>47</v>
      </c>
      <c r="I152" s="4"/>
      <c r="J152" s="4"/>
      <c r="K152" s="4"/>
      <c r="L152" s="4"/>
      <c r="M152" s="4"/>
      <c r="N152" s="319"/>
      <c r="O152" s="322"/>
      <c r="P152" s="323"/>
      <c r="Q152" s="324"/>
      <c r="R152" s="323"/>
    </row>
    <row r="153" spans="1:18" hidden="1">
      <c r="A153" s="901"/>
      <c r="B153" s="15">
        <v>13829</v>
      </c>
      <c r="C153" s="113">
        <v>0.1</v>
      </c>
      <c r="D153" s="16" t="s">
        <v>96</v>
      </c>
      <c r="E153" s="12">
        <v>1700000</v>
      </c>
      <c r="F153" s="45">
        <v>0.12</v>
      </c>
      <c r="G153" s="12">
        <f>E153*F153</f>
        <v>204000</v>
      </c>
      <c r="H153" s="14" t="s">
        <v>47</v>
      </c>
      <c r="I153" s="4"/>
      <c r="J153" s="4"/>
      <c r="K153" s="4"/>
      <c r="L153" s="4"/>
      <c r="M153" s="4"/>
      <c r="N153" s="320"/>
      <c r="O153" s="319"/>
      <c r="P153" s="323"/>
      <c r="Q153" s="325"/>
      <c r="R153" s="326"/>
    </row>
    <row r="154" spans="1:18" ht="12.75" hidden="1" customHeight="1">
      <c r="A154" s="901"/>
      <c r="B154" s="15">
        <v>13738</v>
      </c>
      <c r="C154" s="10">
        <v>0.1</v>
      </c>
      <c r="D154" s="11" t="s">
        <v>97</v>
      </c>
      <c r="E154" s="12">
        <v>2000000</v>
      </c>
      <c r="F154" s="13">
        <v>0.05</v>
      </c>
      <c r="G154" s="12">
        <f>E154*F154</f>
        <v>100000</v>
      </c>
      <c r="H154" s="14" t="s">
        <v>87</v>
      </c>
      <c r="I154" s="4"/>
      <c r="J154" s="4"/>
      <c r="K154" s="4"/>
      <c r="L154" s="4"/>
      <c r="M154" s="4"/>
      <c r="N154" s="319"/>
      <c r="O154" s="322"/>
      <c r="P154" s="323"/>
      <c r="Q154" s="324"/>
      <c r="R154" s="323"/>
    </row>
    <row r="155" spans="1:18" ht="12.75" hidden="1" customHeight="1">
      <c r="A155" s="901"/>
      <c r="B155" s="15">
        <v>13743</v>
      </c>
      <c r="C155" s="10">
        <v>0.1</v>
      </c>
      <c r="D155" s="11" t="s">
        <v>98</v>
      </c>
      <c r="E155" s="12">
        <v>1700000</v>
      </c>
      <c r="F155" s="13">
        <v>0.06</v>
      </c>
      <c r="G155" s="12">
        <f>E155*F155</f>
        <v>102000</v>
      </c>
      <c r="H155" s="14" t="s">
        <v>51</v>
      </c>
      <c r="I155" s="4"/>
      <c r="J155" s="4"/>
      <c r="K155" s="4"/>
      <c r="L155" s="4"/>
      <c r="M155" s="4"/>
      <c r="N155" s="319"/>
      <c r="O155" s="322"/>
      <c r="P155" s="323"/>
      <c r="Q155" s="324"/>
      <c r="R155" s="323"/>
    </row>
    <row r="156" spans="1:18" hidden="1">
      <c r="A156" s="901"/>
      <c r="B156" s="15">
        <v>13821</v>
      </c>
      <c r="C156" s="113">
        <v>0.1</v>
      </c>
      <c r="D156" s="16" t="s">
        <v>99</v>
      </c>
      <c r="E156" s="12">
        <v>1900000</v>
      </c>
      <c r="F156" s="45">
        <v>0.05</v>
      </c>
      <c r="G156" s="12">
        <f>E156*F156</f>
        <v>95000</v>
      </c>
      <c r="H156" s="14" t="s">
        <v>87</v>
      </c>
      <c r="I156" s="4"/>
      <c r="J156" s="4"/>
      <c r="K156" s="4"/>
      <c r="L156" s="4"/>
      <c r="M156" s="4"/>
      <c r="N156" s="320"/>
      <c r="O156" s="319"/>
      <c r="P156" s="323"/>
      <c r="Q156" s="325"/>
      <c r="R156" s="326"/>
    </row>
    <row r="157" spans="1:18" hidden="1">
      <c r="A157" s="901"/>
      <c r="B157" s="15">
        <v>13767</v>
      </c>
      <c r="C157" s="87">
        <v>0.08</v>
      </c>
      <c r="D157" s="16" t="s">
        <v>100</v>
      </c>
      <c r="E157" s="12">
        <v>2000000</v>
      </c>
      <c r="F157" s="66">
        <v>0.06</v>
      </c>
      <c r="G157" s="12">
        <f>E157*F157</f>
        <v>120000</v>
      </c>
      <c r="H157" s="14" t="s">
        <v>101</v>
      </c>
      <c r="I157" s="4"/>
      <c r="J157" s="4"/>
      <c r="K157" s="4"/>
      <c r="L157" s="4"/>
      <c r="M157" s="4"/>
      <c r="N157" s="320"/>
      <c r="O157" s="319"/>
      <c r="P157" s="323"/>
      <c r="Q157" s="325"/>
      <c r="R157" s="326"/>
    </row>
    <row r="158" spans="1:18" ht="12.75" hidden="1" customHeight="1">
      <c r="A158" s="901"/>
      <c r="B158" s="327"/>
      <c r="C158" s="328"/>
      <c r="D158" s="318"/>
      <c r="E158" s="321"/>
      <c r="F158" s="329"/>
      <c r="G158" s="321"/>
      <c r="H158" s="329"/>
      <c r="I158" s="329"/>
      <c r="J158" s="329"/>
      <c r="K158" s="329"/>
      <c r="L158" s="329"/>
      <c r="M158" s="329"/>
      <c r="N158" s="330"/>
      <c r="O158" s="333" t="s">
        <v>26</v>
      </c>
      <c r="P158" s="334">
        <f>SUM(P151:P157)</f>
        <v>1700000</v>
      </c>
      <c r="Q158" s="333" t="s">
        <v>26</v>
      </c>
      <c r="R158" s="334">
        <f>SUM(R151:R157)</f>
        <v>85000</v>
      </c>
    </row>
    <row r="159" spans="1:18" ht="12.75" hidden="1" customHeight="1">
      <c r="A159" s="902"/>
      <c r="B159" s="331"/>
      <c r="C159" s="332"/>
      <c r="D159" s="346" t="s">
        <v>26</v>
      </c>
      <c r="E159" s="347">
        <f>SUM(E151:E158)</f>
        <v>15100000</v>
      </c>
      <c r="F159" s="339" t="s">
        <v>26</v>
      </c>
      <c r="G159" s="348">
        <f>SUM(G151:G158)</f>
        <v>1245000</v>
      </c>
      <c r="H159" s="349"/>
      <c r="I159" s="349"/>
      <c r="J159" s="349"/>
      <c r="K159" s="349"/>
      <c r="L159" s="349"/>
      <c r="M159" s="349"/>
      <c r="N159" s="350" t="s">
        <v>27</v>
      </c>
      <c r="O159" s="335"/>
      <c r="P159" s="336"/>
      <c r="Q159" s="337" t="s">
        <v>28</v>
      </c>
      <c r="R159" s="338">
        <f>G159+R158</f>
        <v>1330000</v>
      </c>
    </row>
    <row r="160" spans="1:18" hidden="1">
      <c r="A160" s="41"/>
      <c r="B160" s="42"/>
      <c r="C160" s="43"/>
      <c r="D160" s="41"/>
      <c r="E160" s="41"/>
      <c r="F160" s="41"/>
      <c r="G160" s="41"/>
      <c r="H160" s="41"/>
      <c r="I160" s="41"/>
      <c r="J160" s="41"/>
      <c r="K160" s="41"/>
      <c r="L160" s="41"/>
      <c r="M160" s="41"/>
    </row>
    <row r="161" spans="1:18" hidden="1">
      <c r="A161" s="41"/>
      <c r="B161" s="42"/>
      <c r="C161" s="43"/>
      <c r="D161" s="41"/>
      <c r="E161" s="41"/>
      <c r="F161" s="41"/>
      <c r="G161" s="41"/>
      <c r="H161" s="41"/>
      <c r="I161" s="41"/>
      <c r="J161" s="41"/>
      <c r="K161" s="41"/>
      <c r="L161" s="41"/>
      <c r="M161" s="41"/>
    </row>
    <row r="162" spans="1:18" hidden="1">
      <c r="A162" s="930" t="s">
        <v>19</v>
      </c>
      <c r="B162" s="930"/>
      <c r="C162" s="930"/>
      <c r="D162" s="930"/>
      <c r="E162" s="930"/>
      <c r="F162" s="930"/>
      <c r="G162" s="930"/>
      <c r="H162" s="930"/>
      <c r="I162" s="930"/>
      <c r="J162" s="930"/>
      <c r="K162" s="930"/>
      <c r="L162" s="930"/>
      <c r="M162" s="930"/>
      <c r="N162" s="933" t="s">
        <v>2</v>
      </c>
      <c r="O162" s="933"/>
      <c r="P162" s="933"/>
      <c r="Q162" s="933"/>
      <c r="R162" s="933"/>
    </row>
    <row r="163" spans="1:18" hidden="1">
      <c r="A163" s="339" t="s">
        <v>3</v>
      </c>
      <c r="B163" s="340" t="s">
        <v>4</v>
      </c>
      <c r="C163" s="341" t="s">
        <v>5</v>
      </c>
      <c r="D163" s="339" t="s">
        <v>6</v>
      </c>
      <c r="E163" s="339" t="s">
        <v>29</v>
      </c>
      <c r="F163" s="342" t="s">
        <v>8</v>
      </c>
      <c r="G163" s="339" t="s">
        <v>9</v>
      </c>
      <c r="H163" s="343" t="s">
        <v>91</v>
      </c>
      <c r="I163" s="339" t="s">
        <v>11</v>
      </c>
      <c r="J163" s="339"/>
      <c r="K163" s="339"/>
      <c r="L163" s="339"/>
      <c r="M163" s="339" t="s">
        <v>12</v>
      </c>
      <c r="N163" s="344" t="s">
        <v>4</v>
      </c>
      <c r="O163" s="344" t="s">
        <v>6</v>
      </c>
      <c r="P163" s="344" t="s">
        <v>13</v>
      </c>
      <c r="Q163" s="345" t="s">
        <v>8</v>
      </c>
      <c r="R163" s="344" t="s">
        <v>14</v>
      </c>
    </row>
    <row r="164" spans="1:18" ht="17.25" hidden="1" customHeight="1">
      <c r="A164" s="940">
        <v>6</v>
      </c>
      <c r="B164" s="65">
        <v>13709</v>
      </c>
      <c r="C164" s="22">
        <v>0.08</v>
      </c>
      <c r="D164" s="16" t="s">
        <v>102</v>
      </c>
      <c r="E164" s="12">
        <v>3100000</v>
      </c>
      <c r="F164" s="66">
        <v>0.03</v>
      </c>
      <c r="G164" s="12">
        <f>E164*F164</f>
        <v>93000</v>
      </c>
      <c r="H164" s="14" t="s">
        <v>103</v>
      </c>
      <c r="I164" s="4"/>
      <c r="J164" s="4"/>
      <c r="K164" s="4"/>
      <c r="L164" s="4"/>
      <c r="M164" s="4"/>
      <c r="N164" s="7"/>
      <c r="O164" s="7"/>
      <c r="P164" s="7"/>
      <c r="Q164" s="46"/>
      <c r="R164" s="7"/>
    </row>
    <row r="165" spans="1:18" ht="33.75" hidden="1" customHeight="1">
      <c r="A165" s="941"/>
      <c r="B165" s="114" t="s">
        <v>43</v>
      </c>
      <c r="C165" s="50">
        <v>0.1</v>
      </c>
      <c r="D165" s="51" t="s">
        <v>104</v>
      </c>
      <c r="E165" s="115"/>
      <c r="F165" s="5"/>
      <c r="G165" s="4"/>
      <c r="H165" s="6"/>
      <c r="I165" s="4"/>
      <c r="J165" s="4"/>
      <c r="K165" s="4"/>
      <c r="L165" s="4"/>
      <c r="M165" s="4"/>
      <c r="N165" s="7"/>
      <c r="O165" s="7"/>
      <c r="P165" s="7"/>
      <c r="Q165" s="46"/>
      <c r="R165" s="7"/>
    </row>
    <row r="166" spans="1:18" ht="12.75" hidden="1" customHeight="1">
      <c r="A166" s="941"/>
      <c r="B166" s="109"/>
      <c r="C166" s="56"/>
      <c r="D166" s="35"/>
      <c r="E166" s="57"/>
      <c r="F166" s="58"/>
      <c r="G166" s="351"/>
      <c r="H166" s="352"/>
      <c r="I166" s="349"/>
      <c r="J166" s="349"/>
      <c r="K166" s="349"/>
      <c r="L166" s="349"/>
      <c r="M166" s="349"/>
      <c r="N166" s="333"/>
      <c r="O166" s="333" t="s">
        <v>26</v>
      </c>
      <c r="P166" s="334"/>
      <c r="Q166" s="353" t="s">
        <v>26</v>
      </c>
      <c r="R166" s="334"/>
    </row>
    <row r="167" spans="1:18" ht="12.75" hidden="1" customHeight="1">
      <c r="A167" s="942"/>
      <c r="B167" s="110"/>
      <c r="C167" s="31"/>
      <c r="D167" s="346" t="s">
        <v>26</v>
      </c>
      <c r="E167" s="347">
        <f>SUM(E164:E166)</f>
        <v>3100000</v>
      </c>
      <c r="F167" s="339" t="s">
        <v>26</v>
      </c>
      <c r="G167" s="348">
        <f>SUM(G164:G166)</f>
        <v>93000</v>
      </c>
      <c r="H167" s="349"/>
      <c r="I167" s="349"/>
      <c r="J167" s="349"/>
      <c r="K167" s="349"/>
      <c r="L167" s="349"/>
      <c r="M167" s="349"/>
      <c r="N167" s="350" t="s">
        <v>27</v>
      </c>
      <c r="O167" s="335"/>
      <c r="P167" s="336"/>
      <c r="Q167" s="354" t="s">
        <v>28</v>
      </c>
      <c r="R167" s="355">
        <f>G167+R166</f>
        <v>93000</v>
      </c>
    </row>
    <row r="168" spans="1:18" hidden="1">
      <c r="A168" s="41"/>
      <c r="B168" s="42"/>
      <c r="C168" s="43"/>
      <c r="D168" s="41"/>
      <c r="E168" s="41"/>
      <c r="F168" s="41"/>
      <c r="G168" s="41"/>
      <c r="H168" s="41"/>
      <c r="I168" s="41"/>
      <c r="J168" s="41"/>
      <c r="K168" s="41"/>
      <c r="L168" s="41"/>
      <c r="M168" s="41"/>
    </row>
    <row r="169" spans="1:18" ht="23.25" hidden="1" customHeight="1">
      <c r="A169" s="79"/>
      <c r="B169" s="80"/>
      <c r="C169" s="81"/>
      <c r="D169" s="82"/>
      <c r="E169" s="83"/>
      <c r="F169" s="82"/>
      <c r="G169" s="83"/>
      <c r="H169" s="82"/>
      <c r="I169" s="82"/>
      <c r="J169" s="82"/>
      <c r="K169" s="82"/>
      <c r="L169" s="82"/>
      <c r="M169" s="82"/>
      <c r="N169" s="84"/>
      <c r="O169" s="84"/>
      <c r="P169" s="84"/>
      <c r="Q169" s="85"/>
      <c r="R169" s="86"/>
    </row>
    <row r="170" spans="1:18" hidden="1">
      <c r="A170" s="935" t="s">
        <v>37</v>
      </c>
      <c r="B170" s="936"/>
      <c r="C170" s="936"/>
      <c r="D170" s="936"/>
      <c r="E170" s="936"/>
      <c r="F170" s="936"/>
      <c r="G170" s="936"/>
      <c r="H170" s="936"/>
      <c r="I170" s="936"/>
      <c r="J170" s="936"/>
      <c r="K170" s="936"/>
      <c r="L170" s="936"/>
      <c r="M170" s="937"/>
      <c r="N170" s="938" t="s">
        <v>2</v>
      </c>
      <c r="O170" s="997"/>
      <c r="P170" s="997"/>
      <c r="Q170" s="997"/>
      <c r="R170" s="997"/>
    </row>
    <row r="171" spans="1:18" hidden="1">
      <c r="A171" s="4" t="s">
        <v>3</v>
      </c>
      <c r="B171" s="2" t="s">
        <v>4</v>
      </c>
      <c r="C171" s="3" t="s">
        <v>5</v>
      </c>
      <c r="D171" s="4" t="s">
        <v>6</v>
      </c>
      <c r="E171" s="4" t="s">
        <v>7</v>
      </c>
      <c r="F171" s="5" t="s">
        <v>8</v>
      </c>
      <c r="G171" s="4" t="s">
        <v>9</v>
      </c>
      <c r="H171" s="343" t="s">
        <v>91</v>
      </c>
      <c r="I171" s="4" t="s">
        <v>11</v>
      </c>
      <c r="J171" s="4"/>
      <c r="K171" s="4"/>
      <c r="L171" s="4"/>
      <c r="M171" s="4" t="s">
        <v>12</v>
      </c>
      <c r="N171" s="7" t="s">
        <v>4</v>
      </c>
      <c r="O171" s="7" t="s">
        <v>6</v>
      </c>
      <c r="P171" s="7" t="s">
        <v>13</v>
      </c>
      <c r="Q171" s="8" t="s">
        <v>8</v>
      </c>
      <c r="R171" s="64" t="s">
        <v>14</v>
      </c>
    </row>
    <row r="172" spans="1:18" hidden="1">
      <c r="A172" s="887"/>
      <c r="B172" s="15">
        <v>13720</v>
      </c>
      <c r="C172" s="113">
        <v>0.1</v>
      </c>
      <c r="D172" s="16" t="s">
        <v>105</v>
      </c>
      <c r="E172" s="12">
        <v>1650000</v>
      </c>
      <c r="F172" s="66">
        <v>0.08</v>
      </c>
      <c r="G172" s="12">
        <f>E172*F172</f>
        <v>132000</v>
      </c>
      <c r="H172" s="14" t="s">
        <v>106</v>
      </c>
      <c r="I172" s="4"/>
      <c r="J172" s="4"/>
      <c r="K172" s="4"/>
      <c r="L172" s="4"/>
      <c r="M172" s="4"/>
      <c r="N172" s="8"/>
      <c r="O172" s="7"/>
      <c r="P172" s="20"/>
      <c r="Q172" s="92"/>
      <c r="R172" s="48"/>
    </row>
    <row r="173" spans="1:18" hidden="1">
      <c r="A173" s="887"/>
      <c r="B173" s="72"/>
      <c r="C173" s="73"/>
      <c r="D173" s="74"/>
      <c r="E173" s="75"/>
      <c r="F173" s="76"/>
      <c r="G173" s="76"/>
      <c r="H173" s="76"/>
      <c r="I173" s="76"/>
      <c r="J173" s="76"/>
      <c r="K173" s="76"/>
      <c r="L173" s="76"/>
      <c r="M173" s="76"/>
      <c r="N173" s="28"/>
      <c r="O173" s="333" t="s">
        <v>26</v>
      </c>
      <c r="P173" s="334"/>
      <c r="Q173" s="353" t="s">
        <v>26</v>
      </c>
      <c r="R173" s="334"/>
    </row>
    <row r="174" spans="1:18" hidden="1">
      <c r="A174" s="888"/>
      <c r="B174" s="77"/>
      <c r="C174" s="31"/>
      <c r="D174" s="32" t="s">
        <v>26</v>
      </c>
      <c r="E174" s="347">
        <f>SUM(E172:E173)</f>
        <v>1650000</v>
      </c>
      <c r="F174" s="339" t="s">
        <v>26</v>
      </c>
      <c r="G174" s="347">
        <f>SUM(G172:G173)</f>
        <v>132000</v>
      </c>
      <c r="H174" s="349"/>
      <c r="I174" s="349"/>
      <c r="J174" s="349"/>
      <c r="K174" s="349"/>
      <c r="L174" s="349"/>
      <c r="M174" s="349"/>
      <c r="N174" s="350" t="s">
        <v>27</v>
      </c>
      <c r="O174" s="335"/>
      <c r="P174" s="336"/>
      <c r="Q174" s="354" t="s">
        <v>28</v>
      </c>
      <c r="R174" s="357">
        <f>G174+R173</f>
        <v>132000</v>
      </c>
    </row>
    <row r="175" spans="1:18" ht="21.75" hidden="1" customHeight="1">
      <c r="A175" s="93"/>
      <c r="B175" s="94"/>
      <c r="C175" s="95"/>
      <c r="D175" s="82"/>
      <c r="E175" s="83"/>
      <c r="F175" s="82"/>
      <c r="G175" s="83"/>
      <c r="H175" s="82"/>
      <c r="I175" s="82"/>
      <c r="J175" s="82"/>
      <c r="K175" s="82"/>
      <c r="L175" s="82"/>
      <c r="M175" s="82"/>
      <c r="N175" s="84"/>
      <c r="O175" s="84"/>
      <c r="P175" s="84"/>
      <c r="Q175" s="85"/>
      <c r="R175" s="86"/>
    </row>
    <row r="176" spans="1:18" hidden="1">
      <c r="B176" s="97"/>
      <c r="C176" s="98"/>
    </row>
    <row r="177" spans="1:19" hidden="1">
      <c r="A177" s="930" t="s">
        <v>107</v>
      </c>
      <c r="B177" s="931"/>
      <c r="C177" s="931"/>
      <c r="D177" s="931"/>
      <c r="E177" s="931"/>
      <c r="F177" s="931"/>
      <c r="G177" s="931"/>
      <c r="H177" s="931"/>
      <c r="I177" s="931"/>
      <c r="J177" s="931"/>
      <c r="K177" s="931"/>
      <c r="L177" s="931"/>
      <c r="M177" s="932"/>
      <c r="N177" s="933" t="s">
        <v>2</v>
      </c>
      <c r="O177" s="998"/>
      <c r="P177" s="998"/>
      <c r="Q177" s="998"/>
      <c r="R177" s="998"/>
    </row>
    <row r="178" spans="1:19" hidden="1">
      <c r="A178" s="339" t="s">
        <v>3</v>
      </c>
      <c r="B178" s="413" t="s">
        <v>4</v>
      </c>
      <c r="C178" s="414" t="s">
        <v>5</v>
      </c>
      <c r="D178" s="415" t="s">
        <v>6</v>
      </c>
      <c r="E178" s="415" t="s">
        <v>7</v>
      </c>
      <c r="F178" s="416" t="s">
        <v>8</v>
      </c>
      <c r="G178" s="415" t="s">
        <v>9</v>
      </c>
      <c r="H178" s="417" t="s">
        <v>91</v>
      </c>
      <c r="I178" s="415" t="s">
        <v>11</v>
      </c>
      <c r="J178" s="415"/>
      <c r="K178" s="415"/>
      <c r="L178" s="415"/>
      <c r="M178" s="415" t="s">
        <v>12</v>
      </c>
      <c r="N178" s="356" t="s">
        <v>4</v>
      </c>
      <c r="O178" s="356" t="s">
        <v>6</v>
      </c>
      <c r="P178" s="356" t="s">
        <v>13</v>
      </c>
      <c r="Q178" s="418" t="s">
        <v>8</v>
      </c>
      <c r="R178" s="356" t="s">
        <v>14</v>
      </c>
    </row>
    <row r="179" spans="1:19" hidden="1">
      <c r="A179" s="934">
        <v>20</v>
      </c>
      <c r="B179" s="15">
        <v>13786</v>
      </c>
      <c r="C179" s="113">
        <v>0.1</v>
      </c>
      <c r="D179" s="16" t="s">
        <v>108</v>
      </c>
      <c r="E179" s="12">
        <v>3000000</v>
      </c>
      <c r="F179" s="45">
        <v>0.12</v>
      </c>
      <c r="G179" s="12">
        <f>E179*F179</f>
        <v>360000</v>
      </c>
      <c r="H179" s="14" t="s">
        <v>103</v>
      </c>
      <c r="I179" s="4"/>
      <c r="J179" s="4"/>
      <c r="K179" s="4"/>
      <c r="L179" s="4"/>
      <c r="M179" s="4"/>
      <c r="N179" s="15">
        <v>13709</v>
      </c>
      <c r="O179" s="16" t="s">
        <v>102</v>
      </c>
      <c r="P179" s="91">
        <v>3100000</v>
      </c>
      <c r="Q179" s="409">
        <v>0.04</v>
      </c>
      <c r="R179" s="91">
        <f>P179*Q179</f>
        <v>124000</v>
      </c>
    </row>
    <row r="180" spans="1:19" hidden="1">
      <c r="A180" s="905"/>
      <c r="B180" s="15">
        <v>13807</v>
      </c>
      <c r="C180" s="113">
        <v>0.1</v>
      </c>
      <c r="D180" s="16" t="s">
        <v>94</v>
      </c>
      <c r="E180" s="12">
        <v>1700000</v>
      </c>
      <c r="F180" s="45">
        <v>7.0000000000000007E-2</v>
      </c>
      <c r="G180" s="12">
        <f>E180*F180</f>
        <v>119000.00000000001</v>
      </c>
      <c r="H180" s="14" t="s">
        <v>93</v>
      </c>
      <c r="I180" s="4"/>
      <c r="J180" s="4"/>
      <c r="K180" s="4"/>
      <c r="L180" s="4"/>
      <c r="M180" s="4"/>
      <c r="N180" s="410">
        <v>13715</v>
      </c>
      <c r="O180" s="411" t="s">
        <v>109</v>
      </c>
      <c r="P180" s="428">
        <v>2400000</v>
      </c>
      <c r="Q180" s="429">
        <v>0.05</v>
      </c>
      <c r="R180" s="91">
        <f>P180*Q180</f>
        <v>120000</v>
      </c>
    </row>
    <row r="181" spans="1:19" hidden="1">
      <c r="A181" s="905"/>
      <c r="B181" s="15">
        <v>13828</v>
      </c>
      <c r="C181" s="113">
        <v>0.1</v>
      </c>
      <c r="D181" s="16" t="s">
        <v>110</v>
      </c>
      <c r="E181" s="12">
        <v>2400000</v>
      </c>
      <c r="F181" s="45">
        <v>0.06</v>
      </c>
      <c r="G181" s="12">
        <f>E181*F181</f>
        <v>144000</v>
      </c>
      <c r="H181" s="14" t="s">
        <v>51</v>
      </c>
      <c r="I181" s="4"/>
      <c r="J181" s="4"/>
      <c r="K181" s="4"/>
      <c r="L181" s="4"/>
      <c r="M181" s="4"/>
      <c r="N181" s="298"/>
      <c r="O181" s="28"/>
      <c r="P181" s="48"/>
      <c r="Q181" s="412"/>
      <c r="R181" s="48"/>
    </row>
    <row r="182" spans="1:19" ht="18" hidden="1" customHeight="1">
      <c r="A182" s="905"/>
      <c r="B182" s="361"/>
      <c r="C182" s="362">
        <v>0.08</v>
      </c>
      <c r="D182" s="51" t="s">
        <v>111</v>
      </c>
      <c r="E182" s="52"/>
      <c r="F182" s="53"/>
      <c r="G182" s="26"/>
      <c r="H182" s="6"/>
      <c r="I182" s="4"/>
      <c r="J182" s="4"/>
      <c r="K182" s="4"/>
      <c r="L182" s="4"/>
      <c r="M182" s="4"/>
      <c r="N182" s="298"/>
      <c r="O182" s="28"/>
      <c r="P182" s="48"/>
      <c r="Q182" s="412"/>
      <c r="R182" s="48"/>
    </row>
    <row r="183" spans="1:19" ht="17.25" hidden="1" customHeight="1">
      <c r="A183" s="905"/>
      <c r="B183" s="361"/>
      <c r="C183" s="362">
        <v>0.1</v>
      </c>
      <c r="D183" s="51" t="s">
        <v>112</v>
      </c>
      <c r="E183" s="52"/>
      <c r="F183" s="53"/>
      <c r="G183" s="26"/>
      <c r="H183" s="6"/>
      <c r="I183" s="4"/>
      <c r="J183" s="4"/>
      <c r="K183" s="4"/>
      <c r="L183" s="4"/>
      <c r="M183" s="4"/>
      <c r="N183" s="298"/>
      <c r="O183" s="28"/>
      <c r="P183" s="48"/>
      <c r="Q183" s="412"/>
      <c r="R183" s="48"/>
    </row>
    <row r="184" spans="1:19" ht="12" hidden="1" customHeight="1">
      <c r="A184" s="905"/>
      <c r="B184" s="72"/>
      <c r="C184" s="73"/>
      <c r="D184" s="74"/>
      <c r="E184" s="75"/>
      <c r="F184" s="76"/>
      <c r="G184" s="76"/>
      <c r="H184" s="76"/>
      <c r="I184" s="76"/>
      <c r="J184" s="76"/>
      <c r="K184" s="76"/>
      <c r="L184" s="76"/>
      <c r="M184" s="76"/>
      <c r="N184" s="28"/>
      <c r="O184" s="333" t="s">
        <v>26</v>
      </c>
      <c r="P184" s="334">
        <f>SUM(P179:P183)</f>
        <v>5500000</v>
      </c>
      <c r="Q184" s="333" t="s">
        <v>26</v>
      </c>
      <c r="R184" s="334">
        <f>SUM(R179:R183)</f>
        <v>244000</v>
      </c>
    </row>
    <row r="185" spans="1:19" ht="23.25" hidden="1" customHeight="1">
      <c r="A185" s="902"/>
      <c r="B185" s="110"/>
      <c r="C185" s="419"/>
      <c r="D185" s="420" t="s">
        <v>26</v>
      </c>
      <c r="E185" s="421">
        <f>SUM(E179:E184)</f>
        <v>7100000</v>
      </c>
      <c r="F185" s="422" t="s">
        <v>26</v>
      </c>
      <c r="G185" s="421">
        <f>SUM(G179:G184)</f>
        <v>623000</v>
      </c>
      <c r="H185" s="423"/>
      <c r="I185" s="423"/>
      <c r="J185" s="423"/>
      <c r="K185" s="423"/>
      <c r="L185" s="423"/>
      <c r="M185" s="423"/>
      <c r="N185" s="424" t="s">
        <v>27</v>
      </c>
      <c r="O185" s="425"/>
      <c r="P185" s="426"/>
      <c r="Q185" s="427" t="s">
        <v>28</v>
      </c>
      <c r="R185" s="355">
        <f>G185+R184</f>
        <v>867000</v>
      </c>
    </row>
    <row r="186" spans="1:19" ht="33" hidden="1">
      <c r="A186" s="93"/>
      <c r="B186" s="94"/>
      <c r="C186" s="95"/>
      <c r="D186" s="82"/>
      <c r="E186" s="83"/>
      <c r="F186" s="82"/>
      <c r="G186" s="83"/>
      <c r="H186" s="82"/>
      <c r="I186" s="82"/>
      <c r="J186" s="82"/>
      <c r="K186" s="82"/>
      <c r="L186" s="82"/>
      <c r="M186" s="82"/>
      <c r="N186" s="84"/>
      <c r="O186" s="84"/>
      <c r="P186" s="84"/>
      <c r="Q186" s="85"/>
      <c r="R186" s="86"/>
    </row>
    <row r="187" spans="1:19" hidden="1">
      <c r="A187" s="930" t="s">
        <v>40</v>
      </c>
      <c r="B187" s="931"/>
      <c r="C187" s="931"/>
      <c r="D187" s="931"/>
      <c r="E187" s="931"/>
      <c r="F187" s="931"/>
      <c r="G187" s="931"/>
      <c r="H187" s="931"/>
      <c r="I187" s="931"/>
      <c r="J187" s="931"/>
      <c r="K187" s="931"/>
      <c r="L187" s="931"/>
      <c r="M187" s="932"/>
      <c r="N187" s="933" t="s">
        <v>2</v>
      </c>
      <c r="O187" s="998"/>
      <c r="P187" s="998"/>
      <c r="Q187" s="998"/>
      <c r="R187" s="998"/>
    </row>
    <row r="188" spans="1:19" hidden="1">
      <c r="A188" s="339" t="s">
        <v>3</v>
      </c>
      <c r="B188" s="340" t="s">
        <v>4</v>
      </c>
      <c r="C188" s="341" t="s">
        <v>5</v>
      </c>
      <c r="D188" s="339" t="s">
        <v>6</v>
      </c>
      <c r="E188" s="339" t="s">
        <v>7</v>
      </c>
      <c r="F188" s="342" t="s">
        <v>8</v>
      </c>
      <c r="G188" s="339" t="s">
        <v>9</v>
      </c>
      <c r="H188" s="343" t="s">
        <v>91</v>
      </c>
      <c r="I188" s="339" t="s">
        <v>11</v>
      </c>
      <c r="J188" s="339"/>
      <c r="K188" s="339"/>
      <c r="L188" s="339"/>
      <c r="M188" s="339" t="s">
        <v>12</v>
      </c>
      <c r="N188" s="344" t="s">
        <v>4</v>
      </c>
      <c r="O188" s="344" t="s">
        <v>6</v>
      </c>
      <c r="P188" s="344" t="s">
        <v>13</v>
      </c>
      <c r="Q188" s="345" t="s">
        <v>8</v>
      </c>
      <c r="R188" s="344" t="s">
        <v>14</v>
      </c>
    </row>
    <row r="189" spans="1:19" hidden="1">
      <c r="A189" s="887"/>
      <c r="B189" s="116">
        <v>13696</v>
      </c>
      <c r="C189" s="113">
        <v>0.1</v>
      </c>
      <c r="D189" s="117" t="s">
        <v>113</v>
      </c>
      <c r="E189" s="12">
        <v>1848350</v>
      </c>
      <c r="F189" s="45">
        <v>0.05</v>
      </c>
      <c r="G189" s="12">
        <f>E189*F189</f>
        <v>92417.5</v>
      </c>
      <c r="H189" s="4"/>
      <c r="I189" s="4"/>
      <c r="J189" s="4"/>
      <c r="K189" s="4"/>
      <c r="L189" s="4"/>
      <c r="M189" s="4"/>
      <c r="N189" s="7"/>
      <c r="O189" s="7"/>
      <c r="P189" s="20"/>
      <c r="Q189" s="7"/>
      <c r="R189" s="20"/>
    </row>
    <row r="190" spans="1:19" hidden="1">
      <c r="A190" s="887"/>
      <c r="B190" s="72"/>
      <c r="C190" s="73"/>
      <c r="D190" s="74"/>
      <c r="E190" s="75"/>
      <c r="F190" s="76"/>
      <c r="G190" s="76"/>
      <c r="H190" s="76"/>
      <c r="I190" s="76"/>
      <c r="J190" s="76"/>
      <c r="K190" s="76"/>
      <c r="L190" s="76"/>
      <c r="M190" s="76"/>
      <c r="N190" s="28"/>
      <c r="O190" s="333" t="s">
        <v>26</v>
      </c>
      <c r="P190" s="334">
        <f>SUM(P189:P189)</f>
        <v>0</v>
      </c>
      <c r="Q190" s="333" t="s">
        <v>26</v>
      </c>
      <c r="R190" s="334"/>
      <c r="S190" s="358"/>
    </row>
    <row r="191" spans="1:19" hidden="1">
      <c r="A191" s="888"/>
      <c r="B191" s="77"/>
      <c r="C191" s="31"/>
      <c r="D191" s="346" t="s">
        <v>26</v>
      </c>
      <c r="E191" s="347">
        <f>SUM(E189:E190)</f>
        <v>1848350</v>
      </c>
      <c r="F191" s="339" t="s">
        <v>26</v>
      </c>
      <c r="G191" s="347">
        <f>SUM(G189:G190)</f>
        <v>92417.5</v>
      </c>
      <c r="H191" s="349"/>
      <c r="I191" s="349"/>
      <c r="J191" s="349"/>
      <c r="K191" s="349"/>
      <c r="L191" s="349"/>
      <c r="M191" s="349"/>
      <c r="N191" s="350" t="s">
        <v>27</v>
      </c>
      <c r="O191" s="335"/>
      <c r="P191" s="336"/>
      <c r="Q191" s="337" t="s">
        <v>28</v>
      </c>
      <c r="R191" s="338">
        <f>G191+R190</f>
        <v>92417.5</v>
      </c>
    </row>
    <row r="192" spans="1:19" hidden="1">
      <c r="B192" s="97"/>
      <c r="C192" s="98"/>
    </row>
    <row r="193" spans="1:1024" hidden="1">
      <c r="B193" s="97"/>
      <c r="C193" s="98"/>
    </row>
    <row r="194" spans="1:1024" hidden="1">
      <c r="A194" s="929">
        <f>A151+A164+A172+A179+A189</f>
        <v>49</v>
      </c>
      <c r="B194" s="894" t="s">
        <v>42</v>
      </c>
      <c r="C194" s="894"/>
      <c r="D194" s="894"/>
      <c r="E194" s="399">
        <f>E159+E167+E174+E185+E191</f>
        <v>28798350</v>
      </c>
    </row>
    <row r="195" spans="1:1024" hidden="1">
      <c r="A195" s="929"/>
      <c r="B195" s="895" t="s">
        <v>43</v>
      </c>
      <c r="C195" s="895"/>
      <c r="D195" s="896"/>
      <c r="E195" s="100"/>
    </row>
    <row r="196" spans="1:1024" ht="14.25" hidden="1" customHeight="1">
      <c r="A196" s="929"/>
      <c r="B196" s="897" t="s">
        <v>44</v>
      </c>
      <c r="C196" s="897"/>
      <c r="D196" s="898"/>
      <c r="E196" s="101"/>
    </row>
    <row r="197" spans="1:1024" hidden="1">
      <c r="A197" s="102"/>
      <c r="B197" s="103"/>
      <c r="C197" s="103"/>
      <c r="D197" s="103"/>
      <c r="E197" s="85"/>
      <c r="G197" s="104"/>
      <c r="H197" s="104"/>
    </row>
    <row r="198" spans="1:1024" ht="31.5">
      <c r="A198" s="918" t="s">
        <v>114</v>
      </c>
      <c r="B198" s="919"/>
      <c r="C198" s="919"/>
      <c r="D198" s="919"/>
      <c r="E198" s="919"/>
      <c r="F198" s="919"/>
      <c r="G198" s="919"/>
      <c r="H198" s="919"/>
      <c r="I198" s="919"/>
      <c r="J198" s="919"/>
      <c r="K198" s="919"/>
      <c r="L198" s="919"/>
      <c r="M198" s="919"/>
      <c r="N198" s="919"/>
      <c r="O198" s="919"/>
      <c r="P198" s="919"/>
      <c r="Q198" s="920"/>
      <c r="R198" s="393"/>
      <c r="S198" s="393"/>
      <c r="T198" s="393"/>
      <c r="U198" s="393"/>
      <c r="V198" s="393"/>
      <c r="W198" s="393"/>
      <c r="X198" s="393"/>
      <c r="Y198" s="393"/>
      <c r="Z198" s="393"/>
      <c r="AA198" s="393"/>
      <c r="AB198" s="393"/>
      <c r="AC198" s="393"/>
      <c r="AD198" s="393"/>
      <c r="AE198" s="393"/>
      <c r="AF198" s="393"/>
      <c r="AG198" s="393"/>
      <c r="AH198" s="393"/>
      <c r="AI198" s="393"/>
      <c r="AJ198" s="393"/>
      <c r="AK198" s="393"/>
      <c r="AL198" s="393"/>
      <c r="AM198" s="393"/>
      <c r="AN198" s="393"/>
      <c r="AO198" s="393"/>
      <c r="AP198" s="393"/>
      <c r="AQ198" s="393"/>
      <c r="AR198" s="393"/>
      <c r="AS198" s="393"/>
      <c r="AT198" s="393"/>
      <c r="AU198" s="393"/>
      <c r="AV198" s="393"/>
      <c r="AW198" s="393"/>
      <c r="AX198" s="393"/>
      <c r="AY198" s="393"/>
      <c r="AZ198" s="393"/>
      <c r="BA198" s="393"/>
      <c r="BB198" s="393"/>
      <c r="BC198" s="393"/>
      <c r="BD198" s="393"/>
      <c r="BE198" s="393"/>
      <c r="BF198" s="393"/>
      <c r="BG198" s="393"/>
      <c r="BH198" s="393"/>
      <c r="BI198" s="393"/>
      <c r="BJ198" s="393"/>
      <c r="BK198" s="393"/>
      <c r="BL198" s="393"/>
      <c r="BM198" s="393"/>
      <c r="BN198" s="393"/>
      <c r="BO198" s="393"/>
      <c r="BP198" s="393"/>
      <c r="BQ198" s="393"/>
      <c r="BR198" s="393"/>
      <c r="BS198" s="393"/>
      <c r="BT198" s="393"/>
      <c r="BU198" s="393"/>
      <c r="BV198" s="393"/>
      <c r="BW198" s="393"/>
      <c r="BX198" s="393"/>
      <c r="BY198" s="393"/>
      <c r="BZ198" s="393"/>
      <c r="CA198" s="393"/>
      <c r="CB198" s="393"/>
      <c r="CC198" s="393"/>
      <c r="CD198" s="393"/>
      <c r="CE198" s="393"/>
      <c r="CF198" s="393"/>
      <c r="CG198" s="393"/>
      <c r="CH198" s="393"/>
      <c r="CI198" s="393"/>
      <c r="CJ198" s="393"/>
      <c r="CK198" s="393"/>
      <c r="CL198" s="393"/>
      <c r="CM198" s="393"/>
      <c r="CN198" s="393"/>
      <c r="CO198" s="393"/>
      <c r="CP198" s="393"/>
      <c r="CQ198" s="393"/>
      <c r="CR198" s="393"/>
      <c r="CS198" s="393"/>
      <c r="CT198" s="393"/>
      <c r="CU198" s="393"/>
      <c r="CV198" s="393"/>
      <c r="CW198" s="393"/>
      <c r="CX198" s="393"/>
      <c r="CY198" s="393"/>
      <c r="CZ198" s="393"/>
      <c r="DA198" s="393"/>
      <c r="DB198" s="393"/>
      <c r="DC198" s="393"/>
      <c r="DD198" s="393"/>
      <c r="DE198" s="393"/>
      <c r="DF198" s="393"/>
      <c r="DG198" s="393"/>
      <c r="DH198" s="393"/>
      <c r="DI198" s="393"/>
      <c r="DJ198" s="393"/>
      <c r="DK198" s="393"/>
      <c r="DL198" s="393"/>
      <c r="DM198" s="393"/>
      <c r="DN198" s="393"/>
      <c r="DO198" s="393"/>
      <c r="DP198" s="393"/>
      <c r="DQ198" s="393"/>
      <c r="DR198" s="393"/>
      <c r="DS198" s="393"/>
      <c r="DT198" s="393"/>
      <c r="DU198" s="393"/>
      <c r="DV198" s="393"/>
      <c r="DW198" s="393"/>
      <c r="DX198" s="393"/>
      <c r="DY198" s="393"/>
      <c r="DZ198" s="393"/>
      <c r="EA198" s="393"/>
      <c r="EB198" s="393"/>
      <c r="EC198" s="393"/>
      <c r="ED198" s="393"/>
      <c r="EE198" s="393"/>
      <c r="EF198" s="393"/>
      <c r="EG198" s="393"/>
      <c r="EH198" s="393"/>
      <c r="EI198" s="393"/>
      <c r="EJ198" s="393"/>
      <c r="EK198" s="393"/>
      <c r="EL198" s="393"/>
      <c r="EM198" s="393"/>
      <c r="EN198" s="393"/>
      <c r="EO198" s="393"/>
      <c r="EP198" s="393"/>
      <c r="EQ198" s="393"/>
      <c r="ER198" s="393"/>
      <c r="ES198" s="393"/>
      <c r="ET198" s="393"/>
      <c r="EU198" s="393"/>
      <c r="EV198" s="393"/>
      <c r="EW198" s="393"/>
      <c r="EX198" s="393"/>
      <c r="EY198" s="393"/>
      <c r="EZ198" s="393"/>
      <c r="FA198" s="393"/>
      <c r="FB198" s="393"/>
      <c r="FC198" s="393"/>
      <c r="FD198" s="393"/>
      <c r="FE198" s="393"/>
      <c r="FF198" s="393"/>
      <c r="FG198" s="393"/>
      <c r="FH198" s="393"/>
      <c r="FI198" s="393"/>
      <c r="FJ198" s="393"/>
      <c r="FK198" s="393"/>
      <c r="FL198" s="393"/>
      <c r="FM198" s="393"/>
      <c r="FN198" s="393"/>
      <c r="FO198" s="393"/>
      <c r="FP198" s="393"/>
      <c r="FQ198" s="393"/>
      <c r="FR198" s="393"/>
      <c r="FS198" s="393"/>
      <c r="FT198" s="393"/>
      <c r="FU198" s="393"/>
      <c r="FV198" s="393"/>
      <c r="FW198" s="393"/>
      <c r="FX198" s="393"/>
      <c r="FY198" s="393"/>
      <c r="FZ198" s="393"/>
      <c r="GA198" s="393"/>
      <c r="GB198" s="393"/>
      <c r="GC198" s="393"/>
      <c r="GD198" s="393"/>
      <c r="GE198" s="393"/>
      <c r="GF198" s="393"/>
      <c r="GG198" s="393"/>
      <c r="GH198" s="393"/>
      <c r="GI198" s="393"/>
      <c r="GJ198" s="393"/>
      <c r="GK198" s="393"/>
      <c r="GL198" s="393"/>
      <c r="GM198" s="393"/>
      <c r="GN198" s="393"/>
      <c r="GO198" s="393"/>
      <c r="GP198" s="393"/>
      <c r="GQ198" s="393"/>
      <c r="GR198" s="393"/>
      <c r="GS198" s="393"/>
      <c r="GT198" s="393"/>
      <c r="GU198" s="393"/>
      <c r="GV198" s="393"/>
      <c r="GW198" s="393"/>
      <c r="GX198" s="393"/>
      <c r="GY198" s="393"/>
      <c r="GZ198" s="393"/>
      <c r="HA198" s="393"/>
      <c r="HB198" s="393"/>
      <c r="HC198" s="393"/>
      <c r="HD198" s="393"/>
      <c r="HE198" s="393"/>
      <c r="HF198" s="393"/>
      <c r="HG198" s="393"/>
      <c r="HH198" s="393"/>
      <c r="HI198" s="393"/>
      <c r="HJ198" s="393"/>
      <c r="HK198" s="393"/>
      <c r="HL198" s="393"/>
      <c r="HM198" s="393"/>
      <c r="HN198" s="393"/>
      <c r="HO198" s="393"/>
      <c r="HP198" s="393"/>
      <c r="HQ198" s="393"/>
      <c r="HR198" s="393"/>
      <c r="HS198" s="393"/>
      <c r="HT198" s="393"/>
      <c r="HU198" s="393"/>
      <c r="HV198" s="393"/>
      <c r="HW198" s="393"/>
      <c r="HX198" s="393"/>
      <c r="HY198" s="393"/>
      <c r="HZ198" s="393"/>
      <c r="IA198" s="393"/>
      <c r="IB198" s="393"/>
      <c r="IC198" s="393"/>
      <c r="ID198" s="393"/>
      <c r="IE198" s="393"/>
      <c r="IF198" s="393"/>
      <c r="IG198" s="393"/>
      <c r="IH198" s="393"/>
      <c r="II198" s="393"/>
      <c r="IJ198" s="393"/>
      <c r="IK198" s="393"/>
      <c r="IL198" s="393"/>
      <c r="IM198" s="393"/>
      <c r="IN198" s="393"/>
      <c r="IO198" s="393"/>
      <c r="IP198" s="393"/>
      <c r="IQ198" s="393"/>
      <c r="IR198" s="393"/>
      <c r="IS198" s="393"/>
      <c r="IT198" s="393"/>
      <c r="IU198" s="393"/>
      <c r="IV198" s="393"/>
      <c r="IW198" s="393"/>
      <c r="IX198" s="393"/>
      <c r="IY198" s="393"/>
      <c r="IZ198" s="393"/>
      <c r="JA198" s="393"/>
      <c r="JB198" s="393"/>
      <c r="JC198" s="393"/>
      <c r="JD198" s="393"/>
      <c r="JE198" s="393"/>
      <c r="JF198" s="393"/>
      <c r="JG198" s="393"/>
      <c r="JH198" s="393"/>
      <c r="JI198" s="393"/>
      <c r="JJ198" s="393"/>
      <c r="JK198" s="393"/>
      <c r="JL198" s="393"/>
      <c r="JM198" s="393"/>
      <c r="JN198" s="393"/>
      <c r="JO198" s="393"/>
      <c r="JP198" s="393"/>
      <c r="JQ198" s="393"/>
      <c r="JR198" s="393"/>
      <c r="JS198" s="393"/>
      <c r="JT198" s="393"/>
      <c r="JU198" s="393"/>
      <c r="JV198" s="393"/>
      <c r="JW198" s="393"/>
      <c r="JX198" s="393"/>
      <c r="JY198" s="393"/>
      <c r="JZ198" s="393"/>
      <c r="KA198" s="393"/>
      <c r="KB198" s="393"/>
      <c r="KC198" s="393"/>
      <c r="KD198" s="393"/>
      <c r="KE198" s="393"/>
      <c r="KF198" s="393"/>
      <c r="KG198" s="393"/>
      <c r="KH198" s="393"/>
      <c r="KI198" s="393"/>
      <c r="KJ198" s="393"/>
      <c r="KK198" s="393"/>
      <c r="KL198" s="393"/>
      <c r="KM198" s="393"/>
      <c r="KN198" s="393"/>
      <c r="KO198" s="393"/>
      <c r="KP198" s="393"/>
      <c r="KQ198" s="393"/>
      <c r="KR198" s="393"/>
      <c r="KS198" s="393"/>
      <c r="KT198" s="393"/>
      <c r="KU198" s="393"/>
      <c r="KV198" s="393"/>
      <c r="KW198" s="393"/>
      <c r="KX198" s="393"/>
      <c r="KY198" s="393"/>
      <c r="KZ198" s="393"/>
      <c r="LA198" s="393"/>
      <c r="LB198" s="393"/>
      <c r="LC198" s="393"/>
      <c r="LD198" s="393"/>
      <c r="LE198" s="393"/>
      <c r="LF198" s="393"/>
      <c r="LG198" s="393"/>
      <c r="LH198" s="393"/>
      <c r="LI198" s="393"/>
      <c r="LJ198" s="393"/>
      <c r="LK198" s="393"/>
      <c r="LL198" s="393"/>
      <c r="LM198" s="393"/>
      <c r="LN198" s="393"/>
      <c r="LO198" s="393"/>
      <c r="LP198" s="393"/>
      <c r="LQ198" s="393"/>
      <c r="LR198" s="393"/>
      <c r="LS198" s="393"/>
      <c r="LT198" s="393"/>
      <c r="LU198" s="393"/>
      <c r="LV198" s="393"/>
      <c r="LW198" s="393"/>
      <c r="LX198" s="393"/>
      <c r="LY198" s="393"/>
      <c r="LZ198" s="393"/>
      <c r="MA198" s="393"/>
      <c r="MB198" s="393"/>
      <c r="MC198" s="393"/>
      <c r="MD198" s="393"/>
      <c r="ME198" s="393"/>
      <c r="MF198" s="393"/>
      <c r="MG198" s="393"/>
      <c r="MH198" s="393"/>
      <c r="MI198" s="393"/>
      <c r="MJ198" s="393"/>
      <c r="MK198" s="393"/>
      <c r="ML198" s="393"/>
      <c r="MM198" s="393"/>
      <c r="MN198" s="393"/>
      <c r="MO198" s="393"/>
      <c r="MP198" s="393"/>
      <c r="MQ198" s="393"/>
      <c r="MR198" s="393"/>
      <c r="MS198" s="393"/>
      <c r="MT198" s="393"/>
      <c r="MU198" s="393"/>
      <c r="MV198" s="393"/>
      <c r="MW198" s="393"/>
      <c r="MX198" s="393"/>
      <c r="MY198" s="393"/>
      <c r="MZ198" s="393"/>
      <c r="NA198" s="393"/>
      <c r="NB198" s="393"/>
      <c r="NC198" s="393"/>
      <c r="ND198" s="393"/>
      <c r="NE198" s="393"/>
      <c r="NF198" s="393"/>
      <c r="NG198" s="393"/>
      <c r="NH198" s="393"/>
      <c r="NI198" s="393"/>
      <c r="NJ198" s="393"/>
      <c r="NK198" s="393"/>
      <c r="NL198" s="393"/>
      <c r="NM198" s="393"/>
      <c r="NN198" s="393"/>
      <c r="NO198" s="393"/>
      <c r="NP198" s="393"/>
      <c r="NQ198" s="393"/>
      <c r="NR198" s="393"/>
      <c r="NS198" s="393"/>
      <c r="NT198" s="393"/>
      <c r="NU198" s="393"/>
      <c r="NV198" s="393"/>
      <c r="NW198" s="393"/>
      <c r="NX198" s="393"/>
      <c r="NY198" s="393"/>
      <c r="NZ198" s="393"/>
      <c r="OA198" s="393"/>
      <c r="OB198" s="393"/>
      <c r="OC198" s="393"/>
      <c r="OD198" s="393"/>
      <c r="OE198" s="393"/>
      <c r="OF198" s="393"/>
      <c r="OG198" s="393"/>
      <c r="OH198" s="393"/>
      <c r="OI198" s="393"/>
      <c r="OJ198" s="393"/>
      <c r="OK198" s="393"/>
      <c r="OL198" s="393"/>
      <c r="OM198" s="393"/>
      <c r="ON198" s="393"/>
      <c r="OO198" s="393"/>
      <c r="OP198" s="393"/>
      <c r="OQ198" s="393"/>
      <c r="OR198" s="393"/>
      <c r="OS198" s="393"/>
      <c r="OT198" s="393"/>
      <c r="OU198" s="393"/>
      <c r="OV198" s="393"/>
      <c r="OW198" s="393"/>
      <c r="OX198" s="393"/>
      <c r="OY198" s="393"/>
      <c r="OZ198" s="393"/>
      <c r="PA198" s="393"/>
      <c r="PB198" s="393"/>
      <c r="PC198" s="393"/>
      <c r="PD198" s="393"/>
      <c r="PE198" s="393"/>
      <c r="PF198" s="393"/>
      <c r="PG198" s="393"/>
      <c r="PH198" s="393"/>
      <c r="PI198" s="393"/>
      <c r="PJ198" s="393"/>
      <c r="PK198" s="393"/>
      <c r="PL198" s="393"/>
      <c r="PM198" s="393"/>
      <c r="PN198" s="393"/>
      <c r="PO198" s="393"/>
      <c r="PP198" s="393"/>
      <c r="PQ198" s="393"/>
      <c r="PR198" s="393"/>
      <c r="PS198" s="393"/>
      <c r="PT198" s="393"/>
      <c r="PU198" s="393"/>
      <c r="PV198" s="393"/>
      <c r="PW198" s="393"/>
      <c r="PX198" s="393"/>
      <c r="PY198" s="393"/>
      <c r="PZ198" s="393"/>
      <c r="QA198" s="393"/>
      <c r="QB198" s="393"/>
      <c r="QC198" s="393"/>
      <c r="QD198" s="393"/>
      <c r="QE198" s="393"/>
      <c r="QF198" s="393"/>
      <c r="QG198" s="393"/>
      <c r="QH198" s="393"/>
      <c r="QI198" s="393"/>
      <c r="QJ198" s="393"/>
      <c r="QK198" s="393"/>
      <c r="QL198" s="393"/>
      <c r="QM198" s="393"/>
      <c r="QN198" s="393"/>
      <c r="QO198" s="393"/>
      <c r="QP198" s="393"/>
      <c r="QQ198" s="393"/>
      <c r="QR198" s="393"/>
      <c r="QS198" s="393"/>
      <c r="QT198" s="393"/>
      <c r="QU198" s="393"/>
      <c r="QV198" s="393"/>
      <c r="QW198" s="393"/>
      <c r="QX198" s="393"/>
      <c r="QY198" s="393"/>
      <c r="QZ198" s="393"/>
      <c r="RA198" s="393"/>
      <c r="RB198" s="393"/>
      <c r="RC198" s="393"/>
      <c r="RD198" s="393"/>
      <c r="RE198" s="393"/>
      <c r="RF198" s="393"/>
      <c r="RG198" s="393"/>
      <c r="RH198" s="393"/>
      <c r="RI198" s="393"/>
      <c r="RJ198" s="393"/>
      <c r="RK198" s="393"/>
      <c r="RL198" s="393"/>
      <c r="RM198" s="393"/>
      <c r="RN198" s="393"/>
      <c r="RO198" s="393"/>
      <c r="RP198" s="393"/>
      <c r="RQ198" s="393"/>
      <c r="RR198" s="393"/>
      <c r="RS198" s="393"/>
      <c r="RT198" s="393"/>
      <c r="RU198" s="393"/>
      <c r="RV198" s="393"/>
      <c r="RW198" s="393"/>
      <c r="RX198" s="393"/>
      <c r="RY198" s="393"/>
      <c r="RZ198" s="393"/>
      <c r="SA198" s="393"/>
      <c r="SB198" s="393"/>
      <c r="SC198" s="393"/>
      <c r="SD198" s="393"/>
      <c r="SE198" s="393"/>
      <c r="SF198" s="393"/>
      <c r="SG198" s="393"/>
      <c r="SH198" s="393"/>
      <c r="SI198" s="393"/>
      <c r="SJ198" s="393"/>
      <c r="SK198" s="393"/>
      <c r="SL198" s="393"/>
      <c r="SM198" s="393"/>
      <c r="SN198" s="393"/>
      <c r="SO198" s="393"/>
      <c r="SP198" s="393"/>
      <c r="SQ198" s="393"/>
      <c r="SR198" s="393"/>
      <c r="SS198" s="393"/>
      <c r="ST198" s="393"/>
      <c r="SU198" s="393"/>
      <c r="SV198" s="393"/>
      <c r="SW198" s="393"/>
      <c r="SX198" s="393"/>
      <c r="SY198" s="393"/>
      <c r="SZ198" s="393"/>
      <c r="TA198" s="393"/>
      <c r="TB198" s="393"/>
      <c r="TC198" s="393"/>
      <c r="TD198" s="393"/>
      <c r="TE198" s="393"/>
      <c r="TF198" s="393"/>
      <c r="TG198" s="393"/>
      <c r="TH198" s="393"/>
      <c r="TI198" s="393"/>
      <c r="TJ198" s="393"/>
      <c r="TK198" s="393"/>
      <c r="TL198" s="393"/>
      <c r="TM198" s="393"/>
      <c r="TN198" s="393"/>
      <c r="TO198" s="393"/>
      <c r="TP198" s="393"/>
      <c r="TQ198" s="393"/>
      <c r="TR198" s="393"/>
      <c r="TS198" s="393"/>
      <c r="TT198" s="393"/>
      <c r="TU198" s="393"/>
      <c r="TV198" s="393"/>
      <c r="TW198" s="393"/>
      <c r="TX198" s="393"/>
      <c r="TY198" s="393"/>
      <c r="TZ198" s="393"/>
      <c r="UA198" s="393"/>
      <c r="UB198" s="393"/>
      <c r="UC198" s="393"/>
      <c r="UD198" s="393"/>
      <c r="UE198" s="393"/>
      <c r="UF198" s="393"/>
      <c r="UG198" s="393"/>
      <c r="UH198" s="393"/>
      <c r="UI198" s="393"/>
      <c r="UJ198" s="393"/>
      <c r="UK198" s="393"/>
      <c r="UL198" s="393"/>
      <c r="UM198" s="393"/>
      <c r="UN198" s="393"/>
      <c r="UO198" s="393"/>
      <c r="UP198" s="393"/>
      <c r="UQ198" s="393"/>
      <c r="UR198" s="393"/>
      <c r="US198" s="393"/>
      <c r="UT198" s="393"/>
      <c r="UU198" s="393"/>
      <c r="UV198" s="393"/>
      <c r="UW198" s="393"/>
      <c r="UX198" s="393"/>
      <c r="UY198" s="393"/>
      <c r="UZ198" s="393"/>
      <c r="VA198" s="393"/>
      <c r="VB198" s="393"/>
      <c r="VC198" s="393"/>
      <c r="VD198" s="393"/>
      <c r="VE198" s="393"/>
      <c r="VF198" s="393"/>
      <c r="VG198" s="393"/>
      <c r="VH198" s="393"/>
      <c r="VI198" s="393"/>
      <c r="VJ198" s="393"/>
      <c r="VK198" s="393"/>
      <c r="VL198" s="393"/>
      <c r="VM198" s="393"/>
      <c r="VN198" s="393"/>
      <c r="VO198" s="393"/>
      <c r="VP198" s="393"/>
      <c r="VQ198" s="393"/>
      <c r="VR198" s="393"/>
      <c r="VS198" s="393"/>
      <c r="VT198" s="393"/>
      <c r="VU198" s="393"/>
      <c r="VV198" s="393"/>
      <c r="VW198" s="393"/>
      <c r="VX198" s="393"/>
      <c r="VY198" s="393"/>
      <c r="VZ198" s="393"/>
      <c r="WA198" s="393"/>
      <c r="WB198" s="393"/>
      <c r="WC198" s="393"/>
      <c r="WD198" s="393"/>
      <c r="WE198" s="393"/>
      <c r="WF198" s="393"/>
      <c r="WG198" s="393"/>
      <c r="WH198" s="393"/>
      <c r="WI198" s="393"/>
      <c r="WJ198" s="393"/>
      <c r="WK198" s="393"/>
      <c r="WL198" s="393"/>
      <c r="WM198" s="393"/>
      <c r="WN198" s="393"/>
      <c r="WO198" s="393"/>
      <c r="WP198" s="393"/>
      <c r="WQ198" s="393"/>
      <c r="WR198" s="393"/>
      <c r="WS198" s="393"/>
      <c r="WT198" s="393"/>
      <c r="WU198" s="393"/>
      <c r="WV198" s="393"/>
      <c r="WW198" s="393"/>
      <c r="WX198" s="393"/>
      <c r="WY198" s="393"/>
      <c r="WZ198" s="393"/>
      <c r="XA198" s="393"/>
      <c r="XB198" s="393"/>
      <c r="XC198" s="393"/>
      <c r="XD198" s="393"/>
      <c r="XE198" s="393"/>
      <c r="XF198" s="393"/>
      <c r="XG198" s="393"/>
      <c r="XH198" s="393"/>
      <c r="XI198" s="393"/>
      <c r="XJ198" s="393"/>
      <c r="XK198" s="393"/>
      <c r="XL198" s="393"/>
      <c r="XM198" s="393"/>
      <c r="XN198" s="393"/>
      <c r="XO198" s="393"/>
      <c r="XP198" s="393"/>
      <c r="XQ198" s="393"/>
      <c r="XR198" s="393"/>
      <c r="XS198" s="393"/>
      <c r="XT198" s="393"/>
      <c r="XU198" s="393"/>
      <c r="XV198" s="393"/>
      <c r="XW198" s="393"/>
      <c r="XX198" s="393"/>
      <c r="XY198" s="393"/>
      <c r="XZ198" s="393"/>
      <c r="YA198" s="393"/>
      <c r="YB198" s="393"/>
      <c r="YC198" s="393"/>
      <c r="YD198" s="393"/>
      <c r="YE198" s="393"/>
      <c r="YF198" s="393"/>
      <c r="YG198" s="393"/>
      <c r="YH198" s="393"/>
      <c r="YI198" s="393"/>
      <c r="YJ198" s="393"/>
      <c r="YK198" s="393"/>
      <c r="YL198" s="393"/>
      <c r="YM198" s="393"/>
      <c r="YN198" s="393"/>
      <c r="YO198" s="393"/>
      <c r="YP198" s="393"/>
      <c r="YQ198" s="393"/>
      <c r="YR198" s="393"/>
      <c r="YS198" s="393"/>
      <c r="YT198" s="393"/>
      <c r="YU198" s="393"/>
      <c r="YV198" s="393"/>
      <c r="YW198" s="393"/>
      <c r="YX198" s="393"/>
      <c r="YY198" s="393"/>
      <c r="YZ198" s="393"/>
      <c r="ZA198" s="393"/>
      <c r="ZB198" s="393"/>
      <c r="ZC198" s="393"/>
      <c r="ZD198" s="393"/>
      <c r="ZE198" s="393"/>
      <c r="ZF198" s="393"/>
      <c r="ZG198" s="393"/>
      <c r="ZH198" s="393"/>
      <c r="ZI198" s="393"/>
      <c r="ZJ198" s="393"/>
      <c r="ZK198" s="393"/>
      <c r="ZL198" s="393"/>
      <c r="ZM198" s="393"/>
      <c r="ZN198" s="393"/>
      <c r="ZO198" s="393"/>
      <c r="ZP198" s="393"/>
      <c r="ZQ198" s="393"/>
      <c r="ZR198" s="393"/>
      <c r="ZS198" s="393"/>
      <c r="ZT198" s="393"/>
      <c r="ZU198" s="393"/>
      <c r="ZV198" s="393"/>
      <c r="ZW198" s="393"/>
      <c r="ZX198" s="393"/>
      <c r="ZY198" s="393"/>
      <c r="ZZ198" s="393"/>
      <c r="AAA198" s="393"/>
      <c r="AAB198" s="393"/>
      <c r="AAC198" s="393"/>
      <c r="AAD198" s="393"/>
      <c r="AAE198" s="393"/>
      <c r="AAF198" s="393"/>
      <c r="AAG198" s="393"/>
      <c r="AAH198" s="393"/>
      <c r="AAI198" s="393"/>
      <c r="AAJ198" s="393"/>
      <c r="AAK198" s="393"/>
      <c r="AAL198" s="393"/>
      <c r="AAM198" s="393"/>
      <c r="AAN198" s="393"/>
      <c r="AAO198" s="393"/>
      <c r="AAP198" s="393"/>
      <c r="AAQ198" s="393"/>
      <c r="AAR198" s="393"/>
      <c r="AAS198" s="393"/>
      <c r="AAT198" s="393"/>
      <c r="AAU198" s="393"/>
      <c r="AAV198" s="393"/>
      <c r="AAW198" s="393"/>
      <c r="AAX198" s="393"/>
      <c r="AAY198" s="393"/>
      <c r="AAZ198" s="393"/>
      <c r="ABA198" s="393"/>
      <c r="ABB198" s="393"/>
      <c r="ABC198" s="393"/>
      <c r="ABD198" s="393"/>
      <c r="ABE198" s="393"/>
      <c r="ABF198" s="393"/>
      <c r="ABG198" s="393"/>
      <c r="ABH198" s="393"/>
      <c r="ABI198" s="393"/>
      <c r="ABJ198" s="393"/>
      <c r="ABK198" s="393"/>
      <c r="ABL198" s="393"/>
      <c r="ABM198" s="393"/>
      <c r="ABN198" s="393"/>
      <c r="ABO198" s="393"/>
      <c r="ABP198" s="393"/>
      <c r="ABQ198" s="393"/>
      <c r="ABR198" s="393"/>
      <c r="ABS198" s="393"/>
      <c r="ABT198" s="393"/>
      <c r="ABU198" s="393"/>
      <c r="ABV198" s="393"/>
      <c r="ABW198" s="393"/>
      <c r="ABX198" s="393"/>
      <c r="ABY198" s="393"/>
      <c r="ABZ198" s="393"/>
      <c r="ACA198" s="393"/>
      <c r="ACB198" s="393"/>
      <c r="ACC198" s="393"/>
      <c r="ACD198" s="393"/>
      <c r="ACE198" s="393"/>
      <c r="ACF198" s="393"/>
      <c r="ACG198" s="393"/>
      <c r="ACH198" s="393"/>
      <c r="ACI198" s="393"/>
      <c r="ACJ198" s="393"/>
      <c r="ACK198" s="393"/>
      <c r="ACL198" s="393"/>
      <c r="ACM198" s="393"/>
      <c r="ACN198" s="393"/>
      <c r="ACO198" s="393"/>
      <c r="ACP198" s="393"/>
      <c r="ACQ198" s="393"/>
      <c r="ACR198" s="393"/>
      <c r="ACS198" s="393"/>
      <c r="ACT198" s="393"/>
      <c r="ACU198" s="393"/>
      <c r="ACV198" s="393"/>
      <c r="ACW198" s="393"/>
      <c r="ACX198" s="393"/>
      <c r="ACY198" s="393"/>
      <c r="ACZ198" s="393"/>
      <c r="ADA198" s="393"/>
      <c r="ADB198" s="393"/>
      <c r="ADC198" s="393"/>
      <c r="ADD198" s="393"/>
      <c r="ADE198" s="393"/>
      <c r="ADF198" s="393"/>
      <c r="ADG198" s="393"/>
      <c r="ADH198" s="393"/>
      <c r="ADI198" s="393"/>
      <c r="ADJ198" s="393"/>
      <c r="ADK198" s="393"/>
      <c r="ADL198" s="393"/>
      <c r="ADM198" s="393"/>
      <c r="ADN198" s="393"/>
      <c r="ADO198" s="393"/>
      <c r="ADP198" s="393"/>
      <c r="ADQ198" s="393"/>
      <c r="ADR198" s="393"/>
      <c r="ADS198" s="393"/>
      <c r="ADT198" s="393"/>
      <c r="ADU198" s="393"/>
      <c r="ADV198" s="393"/>
      <c r="ADW198" s="393"/>
      <c r="ADX198" s="393"/>
      <c r="ADY198" s="393"/>
      <c r="ADZ198" s="393"/>
      <c r="AEA198" s="393"/>
      <c r="AEB198" s="393"/>
      <c r="AEC198" s="393"/>
      <c r="AED198" s="393"/>
      <c r="AEE198" s="393"/>
      <c r="AEF198" s="393"/>
      <c r="AEG198" s="393"/>
      <c r="AEH198" s="393"/>
      <c r="AEI198" s="393"/>
      <c r="AEJ198" s="393"/>
      <c r="AEK198" s="393"/>
      <c r="AEL198" s="393"/>
      <c r="AEM198" s="393"/>
      <c r="AEN198" s="393"/>
      <c r="AEO198" s="393"/>
      <c r="AEP198" s="393"/>
      <c r="AEQ198" s="393"/>
      <c r="AER198" s="393"/>
      <c r="AES198" s="393"/>
      <c r="AET198" s="393"/>
      <c r="AEU198" s="393"/>
      <c r="AEV198" s="393"/>
      <c r="AEW198" s="393"/>
      <c r="AEX198" s="393"/>
      <c r="AEY198" s="393"/>
      <c r="AEZ198" s="393"/>
      <c r="AFA198" s="393"/>
      <c r="AFB198" s="393"/>
      <c r="AFC198" s="393"/>
      <c r="AFD198" s="393"/>
      <c r="AFE198" s="393"/>
      <c r="AFF198" s="393"/>
      <c r="AFG198" s="393"/>
      <c r="AFH198" s="393"/>
      <c r="AFI198" s="393"/>
      <c r="AFJ198" s="393"/>
      <c r="AFK198" s="393"/>
      <c r="AFL198" s="393"/>
      <c r="AFM198" s="393"/>
      <c r="AFN198" s="393"/>
      <c r="AFO198" s="393"/>
      <c r="AFP198" s="393"/>
      <c r="AFQ198" s="393"/>
      <c r="AFR198" s="393"/>
      <c r="AFS198" s="393"/>
      <c r="AFT198" s="393"/>
      <c r="AFU198" s="393"/>
      <c r="AFV198" s="393"/>
      <c r="AFW198" s="393"/>
      <c r="AFX198" s="393"/>
      <c r="AFY198" s="393"/>
      <c r="AFZ198" s="393"/>
      <c r="AGA198" s="393"/>
      <c r="AGB198" s="393"/>
      <c r="AGC198" s="393"/>
      <c r="AGD198" s="393"/>
      <c r="AGE198" s="393"/>
      <c r="AGF198" s="393"/>
      <c r="AGG198" s="393"/>
      <c r="AGH198" s="393"/>
      <c r="AGI198" s="393"/>
      <c r="AGJ198" s="393"/>
      <c r="AGK198" s="393"/>
      <c r="AGL198" s="393"/>
      <c r="AGM198" s="393"/>
      <c r="AGN198" s="393"/>
      <c r="AGO198" s="393"/>
      <c r="AGP198" s="393"/>
      <c r="AGQ198" s="393"/>
      <c r="AGR198" s="393"/>
      <c r="AGS198" s="393"/>
      <c r="AGT198" s="393"/>
      <c r="AGU198" s="393"/>
      <c r="AGV198" s="393"/>
      <c r="AGW198" s="393"/>
      <c r="AGX198" s="393"/>
      <c r="AGY198" s="393"/>
      <c r="AGZ198" s="393"/>
      <c r="AHA198" s="393"/>
      <c r="AHB198" s="393"/>
      <c r="AHC198" s="393"/>
      <c r="AHD198" s="393"/>
      <c r="AHE198" s="393"/>
      <c r="AHF198" s="393"/>
      <c r="AHG198" s="393"/>
      <c r="AHH198" s="393"/>
      <c r="AHI198" s="393"/>
      <c r="AHJ198" s="393"/>
      <c r="AHK198" s="393"/>
      <c r="AHL198" s="393"/>
      <c r="AHM198" s="393"/>
      <c r="AHN198" s="393"/>
      <c r="AHO198" s="393"/>
      <c r="AHP198" s="393"/>
      <c r="AHQ198" s="393"/>
      <c r="AHR198" s="393"/>
      <c r="AHS198" s="393"/>
      <c r="AHT198" s="393"/>
      <c r="AHU198" s="393"/>
      <c r="AHV198" s="393"/>
      <c r="AHW198" s="393"/>
      <c r="AHX198" s="393"/>
      <c r="AHY198" s="393"/>
      <c r="AHZ198" s="393"/>
      <c r="AIA198" s="393"/>
      <c r="AIB198" s="393"/>
      <c r="AIC198" s="393"/>
      <c r="AID198" s="393"/>
      <c r="AIE198" s="393"/>
      <c r="AIF198" s="393"/>
      <c r="AIG198" s="393"/>
      <c r="AIH198" s="393"/>
      <c r="AII198" s="393"/>
      <c r="AIJ198" s="393"/>
      <c r="AIK198" s="393"/>
      <c r="AIL198" s="393"/>
      <c r="AIM198" s="393"/>
      <c r="AIN198" s="393"/>
      <c r="AIO198" s="393"/>
      <c r="AIP198" s="393"/>
      <c r="AIQ198" s="393"/>
      <c r="AIR198" s="393"/>
      <c r="AIS198" s="393"/>
      <c r="AIT198" s="393"/>
      <c r="AIU198" s="393"/>
      <c r="AIV198" s="393"/>
      <c r="AIW198" s="393"/>
      <c r="AIX198" s="393"/>
      <c r="AIY198" s="393"/>
      <c r="AIZ198" s="393"/>
      <c r="AJA198" s="393"/>
      <c r="AJB198" s="393"/>
      <c r="AJC198" s="393"/>
      <c r="AJD198" s="393"/>
      <c r="AJE198" s="393"/>
      <c r="AJF198" s="393"/>
      <c r="AJG198" s="393"/>
      <c r="AJH198" s="393"/>
      <c r="AJI198" s="393"/>
      <c r="AJJ198" s="393"/>
      <c r="AJK198" s="393"/>
      <c r="AJL198" s="393"/>
      <c r="AJM198" s="393"/>
      <c r="AJN198" s="393"/>
      <c r="AJO198" s="393"/>
      <c r="AJP198" s="393"/>
      <c r="AJQ198" s="393"/>
      <c r="AJR198" s="393"/>
      <c r="AJS198" s="393"/>
      <c r="AJT198" s="393"/>
      <c r="AJU198" s="393"/>
      <c r="AJV198" s="393"/>
      <c r="AJW198" s="393"/>
      <c r="AJX198" s="393"/>
      <c r="AJY198" s="393"/>
      <c r="AJZ198" s="393"/>
      <c r="AKA198" s="393"/>
      <c r="AKB198" s="393"/>
      <c r="AKC198" s="393"/>
      <c r="AKD198" s="393"/>
      <c r="AKE198" s="393"/>
      <c r="AKF198" s="393"/>
      <c r="AKG198" s="393"/>
      <c r="AKH198" s="393"/>
      <c r="AKI198" s="393"/>
      <c r="AKJ198" s="393"/>
      <c r="AKK198" s="393"/>
      <c r="AKL198" s="393"/>
      <c r="AKM198" s="393"/>
      <c r="AKN198" s="393"/>
      <c r="AKO198" s="393"/>
      <c r="AKP198" s="393"/>
      <c r="AKQ198" s="393"/>
      <c r="AKR198" s="393"/>
      <c r="AKS198" s="393"/>
      <c r="AKT198" s="393"/>
      <c r="AKU198" s="393"/>
      <c r="AKV198" s="393"/>
      <c r="AKW198" s="393"/>
      <c r="AKX198" s="393"/>
      <c r="AKY198" s="393"/>
      <c r="AKZ198" s="393"/>
      <c r="ALA198" s="393"/>
      <c r="ALB198" s="393"/>
      <c r="ALC198" s="393"/>
      <c r="ALD198" s="393"/>
      <c r="ALE198" s="393"/>
      <c r="ALF198" s="393"/>
      <c r="ALG198" s="393"/>
      <c r="ALH198" s="393"/>
      <c r="ALI198" s="393"/>
      <c r="ALJ198" s="393"/>
      <c r="ALK198" s="393"/>
      <c r="ALL198" s="393"/>
      <c r="ALM198" s="393"/>
      <c r="ALN198" s="393"/>
      <c r="ALO198" s="393"/>
      <c r="ALP198" s="393"/>
      <c r="ALQ198" s="393"/>
      <c r="ALR198" s="393"/>
      <c r="ALS198" s="393"/>
      <c r="ALT198" s="393"/>
      <c r="ALU198" s="393"/>
      <c r="ALV198" s="393"/>
      <c r="ALW198" s="393"/>
      <c r="ALX198" s="393"/>
      <c r="ALY198" s="393"/>
      <c r="ALZ198" s="393"/>
      <c r="AMA198" s="393"/>
      <c r="AMB198" s="393"/>
      <c r="AMC198" s="393"/>
      <c r="AMD198" s="393"/>
      <c r="AME198" s="393"/>
      <c r="AMF198" s="393"/>
      <c r="AMG198" s="393"/>
      <c r="AMH198" s="393"/>
      <c r="AMI198" s="394"/>
      <c r="AMJ198" s="394"/>
    </row>
    <row r="200" spans="1:1024" ht="29.25" customHeight="1">
      <c r="A200" s="915" t="s">
        <v>1</v>
      </c>
      <c r="B200" s="915"/>
      <c r="C200" s="915"/>
      <c r="D200" s="915"/>
      <c r="E200" s="915"/>
      <c r="F200" s="915"/>
      <c r="G200" s="915"/>
      <c r="H200" s="915"/>
      <c r="I200" s="915" t="s">
        <v>2</v>
      </c>
      <c r="J200" s="915"/>
      <c r="K200" s="915"/>
      <c r="L200" s="915"/>
      <c r="M200" s="915"/>
      <c r="N200" s="915"/>
      <c r="O200" s="915"/>
      <c r="P200" s="915"/>
      <c r="Q200" s="915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243"/>
      <c r="AR200" s="243"/>
      <c r="AS200" s="243"/>
      <c r="AT200" s="243"/>
      <c r="AU200" s="243"/>
      <c r="AV200" s="243"/>
      <c r="AW200" s="243"/>
      <c r="AX200" s="243"/>
      <c r="AY200" s="243"/>
      <c r="AZ200" s="243"/>
      <c r="BA200" s="243"/>
      <c r="BB200" s="243"/>
      <c r="BC200" s="243"/>
      <c r="BD200" s="243"/>
      <c r="BE200" s="243"/>
      <c r="BF200" s="243"/>
      <c r="BG200" s="243"/>
      <c r="BH200" s="243"/>
      <c r="BI200" s="243"/>
      <c r="BJ200" s="243"/>
      <c r="BK200" s="243"/>
      <c r="BL200" s="243"/>
      <c r="BM200" s="243"/>
      <c r="BN200" s="243"/>
      <c r="BO200" s="243"/>
      <c r="BP200" s="243"/>
      <c r="BQ200" s="243"/>
      <c r="BR200" s="243"/>
      <c r="BS200" s="243"/>
      <c r="BT200" s="243"/>
      <c r="BU200" s="243"/>
      <c r="BV200" s="243"/>
      <c r="BW200" s="243"/>
      <c r="BX200" s="243"/>
      <c r="BY200" s="243"/>
      <c r="BZ200" s="243"/>
      <c r="CA200" s="243"/>
      <c r="CB200" s="243"/>
      <c r="CC200" s="243"/>
      <c r="CD200" s="243"/>
      <c r="CE200" s="243"/>
      <c r="CF200" s="243"/>
      <c r="CG200" s="243"/>
      <c r="CH200" s="243"/>
      <c r="CI200" s="243"/>
      <c r="CJ200" s="243"/>
      <c r="CK200" s="243"/>
      <c r="CL200" s="243"/>
      <c r="CM200" s="243"/>
      <c r="CN200" s="243"/>
      <c r="CO200" s="243"/>
      <c r="CP200" s="243"/>
      <c r="CQ200" s="243"/>
      <c r="CR200" s="243"/>
      <c r="CS200" s="243"/>
      <c r="CT200" s="243"/>
      <c r="CU200" s="243"/>
      <c r="CV200" s="243"/>
      <c r="CW200" s="243"/>
      <c r="CX200" s="243"/>
      <c r="CY200" s="243"/>
      <c r="CZ200" s="243"/>
      <c r="DA200" s="243"/>
      <c r="DB200" s="243"/>
      <c r="DC200" s="243"/>
      <c r="DD200" s="243"/>
      <c r="DE200" s="243"/>
      <c r="DF200" s="243"/>
      <c r="DG200" s="243"/>
      <c r="DH200" s="243"/>
      <c r="DI200" s="243"/>
      <c r="DJ200" s="243"/>
      <c r="DK200" s="243"/>
      <c r="DL200" s="243"/>
      <c r="DM200" s="243"/>
      <c r="DN200" s="243"/>
      <c r="DO200" s="243"/>
      <c r="DP200" s="243"/>
      <c r="DQ200" s="243"/>
      <c r="DR200" s="243"/>
      <c r="DS200" s="243"/>
      <c r="DT200" s="243"/>
      <c r="DU200" s="243"/>
      <c r="DV200" s="243"/>
      <c r="DW200" s="243"/>
      <c r="DX200" s="243"/>
      <c r="DY200" s="243"/>
      <c r="DZ200" s="243"/>
      <c r="EA200" s="243"/>
      <c r="EB200" s="243"/>
      <c r="EC200" s="243"/>
      <c r="ED200" s="243"/>
      <c r="EE200" s="243"/>
      <c r="EF200" s="243"/>
      <c r="EG200" s="243"/>
      <c r="EH200" s="243"/>
      <c r="EI200" s="243"/>
      <c r="EJ200" s="243"/>
      <c r="EK200" s="243"/>
      <c r="EL200" s="243"/>
      <c r="EM200" s="243"/>
      <c r="EN200" s="243"/>
      <c r="EO200" s="243"/>
      <c r="EP200" s="243"/>
      <c r="EQ200" s="243"/>
      <c r="ER200" s="243"/>
      <c r="ES200" s="243"/>
      <c r="ET200" s="243"/>
      <c r="EU200" s="243"/>
      <c r="EV200" s="243"/>
      <c r="EW200" s="243"/>
      <c r="EX200" s="243"/>
      <c r="EY200" s="243"/>
      <c r="EZ200" s="243"/>
      <c r="FA200" s="243"/>
      <c r="FB200" s="243"/>
      <c r="FC200" s="243"/>
      <c r="FD200" s="243"/>
      <c r="FE200" s="243"/>
      <c r="FF200" s="243"/>
      <c r="FG200" s="243"/>
      <c r="FH200" s="243"/>
      <c r="FI200" s="243"/>
      <c r="FJ200" s="243"/>
      <c r="FK200" s="243"/>
      <c r="FL200" s="243"/>
      <c r="FM200" s="243"/>
      <c r="FN200" s="243"/>
      <c r="FO200" s="243"/>
      <c r="FP200" s="243"/>
      <c r="FQ200" s="243"/>
      <c r="FR200" s="243"/>
      <c r="FS200" s="243"/>
      <c r="FT200" s="243"/>
      <c r="FU200" s="243"/>
      <c r="FV200" s="243"/>
      <c r="FW200" s="243"/>
      <c r="FX200" s="243"/>
      <c r="FY200" s="243"/>
      <c r="FZ200" s="243"/>
      <c r="GA200" s="243"/>
      <c r="GB200" s="243"/>
      <c r="GC200" s="243"/>
      <c r="GD200" s="243"/>
      <c r="GE200" s="243"/>
      <c r="GF200" s="243"/>
      <c r="GG200" s="243"/>
      <c r="GH200" s="243"/>
      <c r="GI200" s="243"/>
      <c r="GJ200" s="243"/>
      <c r="GK200" s="243"/>
      <c r="GL200" s="243"/>
      <c r="GM200" s="243"/>
      <c r="GN200" s="243"/>
      <c r="GO200" s="243"/>
      <c r="GP200" s="243"/>
      <c r="GQ200" s="243"/>
      <c r="GR200" s="243"/>
      <c r="GS200" s="243"/>
      <c r="GT200" s="243"/>
      <c r="GU200" s="243"/>
      <c r="GV200" s="243"/>
      <c r="GW200" s="243"/>
      <c r="GX200" s="243"/>
      <c r="GY200" s="243"/>
      <c r="GZ200" s="243"/>
      <c r="HA200" s="243"/>
      <c r="HB200" s="243"/>
      <c r="HC200" s="243"/>
      <c r="HD200" s="243"/>
      <c r="HE200" s="243"/>
      <c r="HF200" s="243"/>
      <c r="HG200" s="243"/>
      <c r="HH200" s="243"/>
      <c r="HI200" s="243"/>
      <c r="HJ200" s="243"/>
      <c r="HK200" s="243"/>
      <c r="HL200" s="243"/>
      <c r="HM200" s="243"/>
      <c r="HN200" s="243"/>
      <c r="HO200" s="243"/>
      <c r="HP200" s="243"/>
      <c r="HQ200" s="243"/>
      <c r="HR200" s="243"/>
      <c r="HS200" s="243"/>
      <c r="HT200" s="243"/>
      <c r="HU200" s="243"/>
      <c r="HV200" s="243"/>
      <c r="HW200" s="243"/>
      <c r="HX200" s="243"/>
      <c r="HY200" s="243"/>
      <c r="HZ200" s="243"/>
      <c r="IA200" s="243"/>
      <c r="IB200" s="243"/>
      <c r="IC200" s="243"/>
      <c r="ID200" s="243"/>
      <c r="IE200" s="243"/>
      <c r="IF200" s="243"/>
      <c r="IG200" s="243"/>
      <c r="IH200" s="243"/>
      <c r="II200" s="243"/>
      <c r="IJ200" s="243"/>
      <c r="IK200" s="243"/>
      <c r="IL200" s="243"/>
      <c r="IM200" s="243"/>
      <c r="IN200" s="243"/>
      <c r="IO200" s="243"/>
      <c r="IP200" s="243"/>
      <c r="IQ200" s="243"/>
      <c r="IR200" s="243"/>
      <c r="IS200" s="243"/>
      <c r="IT200" s="243"/>
      <c r="IU200" s="243"/>
      <c r="IV200" s="243"/>
      <c r="IW200" s="243"/>
      <c r="IX200" s="243"/>
      <c r="IY200" s="243"/>
      <c r="IZ200" s="243"/>
      <c r="JA200" s="243"/>
      <c r="JB200" s="243"/>
      <c r="JC200" s="243"/>
      <c r="JD200" s="243"/>
      <c r="JE200" s="243"/>
      <c r="JF200" s="243"/>
      <c r="JG200" s="243"/>
      <c r="JH200" s="243"/>
      <c r="JI200" s="243"/>
      <c r="JJ200" s="243"/>
      <c r="JK200" s="243"/>
      <c r="JL200" s="243"/>
      <c r="JM200" s="243"/>
      <c r="JN200" s="243"/>
      <c r="JO200" s="243"/>
      <c r="JP200" s="243"/>
      <c r="JQ200" s="243"/>
      <c r="JR200" s="243"/>
      <c r="JS200" s="243"/>
      <c r="JT200" s="243"/>
      <c r="JU200" s="243"/>
      <c r="JV200" s="243"/>
      <c r="JW200" s="243"/>
      <c r="JX200" s="243"/>
      <c r="JY200" s="243"/>
      <c r="JZ200" s="243"/>
      <c r="KA200" s="243"/>
      <c r="KB200" s="243"/>
      <c r="KC200" s="243"/>
      <c r="KD200" s="243"/>
      <c r="KE200" s="243"/>
      <c r="KF200" s="243"/>
      <c r="KG200" s="243"/>
      <c r="KH200" s="243"/>
      <c r="KI200" s="243"/>
      <c r="KJ200" s="243"/>
      <c r="KK200" s="243"/>
      <c r="KL200" s="243"/>
      <c r="KM200" s="243"/>
      <c r="KN200" s="243"/>
      <c r="KO200" s="243"/>
      <c r="KP200" s="243"/>
      <c r="KQ200" s="243"/>
      <c r="KR200" s="243"/>
      <c r="KS200" s="243"/>
      <c r="KT200" s="243"/>
      <c r="KU200" s="243"/>
      <c r="KV200" s="243"/>
      <c r="KW200" s="243"/>
      <c r="KX200" s="243"/>
      <c r="KY200" s="243"/>
      <c r="KZ200" s="243"/>
      <c r="LA200" s="243"/>
      <c r="LB200" s="243"/>
      <c r="LC200" s="243"/>
      <c r="LD200" s="243"/>
      <c r="LE200" s="243"/>
      <c r="LF200" s="243"/>
      <c r="LG200" s="243"/>
      <c r="LH200" s="243"/>
      <c r="LI200" s="243"/>
      <c r="LJ200" s="243"/>
      <c r="LK200" s="243"/>
      <c r="LL200" s="243"/>
      <c r="LM200" s="243"/>
      <c r="LN200" s="243"/>
      <c r="LO200" s="243"/>
      <c r="LP200" s="243"/>
      <c r="LQ200" s="243"/>
      <c r="LR200" s="243"/>
      <c r="LS200" s="243"/>
      <c r="LT200" s="243"/>
      <c r="LU200" s="243"/>
      <c r="LV200" s="243"/>
      <c r="LW200" s="243"/>
      <c r="LX200" s="243"/>
      <c r="LY200" s="243"/>
      <c r="LZ200" s="243"/>
      <c r="MA200" s="243"/>
      <c r="MB200" s="243"/>
      <c r="MC200" s="243"/>
      <c r="MD200" s="243"/>
      <c r="ME200" s="243"/>
      <c r="MF200" s="243"/>
      <c r="MG200" s="243"/>
      <c r="MH200" s="243"/>
      <c r="MI200" s="243"/>
      <c r="MJ200" s="243"/>
      <c r="MK200" s="243"/>
      <c r="ML200" s="243"/>
      <c r="MM200" s="243"/>
      <c r="MN200" s="243"/>
      <c r="MO200" s="243"/>
      <c r="MP200" s="243"/>
      <c r="MQ200" s="243"/>
      <c r="MR200" s="243"/>
      <c r="MS200" s="243"/>
      <c r="MT200" s="243"/>
      <c r="MU200" s="243"/>
      <c r="MV200" s="243"/>
      <c r="MW200" s="243"/>
      <c r="MX200" s="243"/>
      <c r="MY200" s="243"/>
      <c r="MZ200" s="243"/>
      <c r="NA200" s="243"/>
      <c r="NB200" s="243"/>
      <c r="NC200" s="243"/>
      <c r="ND200" s="243"/>
      <c r="NE200" s="243"/>
      <c r="NF200" s="243"/>
      <c r="NG200" s="243"/>
      <c r="NH200" s="243"/>
      <c r="NI200" s="243"/>
      <c r="NJ200" s="243"/>
      <c r="NK200" s="243"/>
      <c r="NL200" s="243"/>
      <c r="NM200" s="243"/>
      <c r="NN200" s="243"/>
      <c r="NO200" s="243"/>
      <c r="NP200" s="243"/>
      <c r="NQ200" s="243"/>
      <c r="NR200" s="243"/>
      <c r="NS200" s="243"/>
      <c r="NT200" s="243"/>
      <c r="NU200" s="243"/>
      <c r="NV200" s="243"/>
      <c r="NW200" s="243"/>
      <c r="NX200" s="243"/>
      <c r="NY200" s="243"/>
      <c r="NZ200" s="243"/>
      <c r="OA200" s="243"/>
      <c r="OB200" s="243"/>
      <c r="OC200" s="243"/>
      <c r="OD200" s="243"/>
      <c r="OE200" s="243"/>
      <c r="OF200" s="243"/>
      <c r="OG200" s="243"/>
      <c r="OH200" s="243"/>
      <c r="OI200" s="243"/>
      <c r="OJ200" s="243"/>
      <c r="OK200" s="243"/>
      <c r="OL200" s="243"/>
      <c r="OM200" s="243"/>
      <c r="ON200" s="243"/>
      <c r="OO200" s="243"/>
      <c r="OP200" s="243"/>
      <c r="OQ200" s="243"/>
      <c r="OR200" s="243"/>
      <c r="OS200" s="243"/>
      <c r="OT200" s="243"/>
      <c r="OU200" s="243"/>
      <c r="OV200" s="243"/>
      <c r="OW200" s="243"/>
      <c r="OX200" s="243"/>
      <c r="OY200" s="243"/>
      <c r="OZ200" s="243"/>
      <c r="PA200" s="243"/>
      <c r="PB200" s="243"/>
      <c r="PC200" s="243"/>
      <c r="PD200" s="243"/>
      <c r="PE200" s="243"/>
      <c r="PF200" s="243"/>
      <c r="PG200" s="243"/>
      <c r="PH200" s="243"/>
      <c r="PI200" s="243"/>
      <c r="PJ200" s="243"/>
      <c r="PK200" s="243"/>
      <c r="PL200" s="243"/>
      <c r="PM200" s="243"/>
      <c r="PN200" s="243"/>
      <c r="PO200" s="243"/>
      <c r="PP200" s="243"/>
      <c r="PQ200" s="243"/>
      <c r="PR200" s="243"/>
      <c r="PS200" s="243"/>
      <c r="PT200" s="243"/>
      <c r="PU200" s="243"/>
      <c r="PV200" s="243"/>
      <c r="PW200" s="243"/>
      <c r="PX200" s="243"/>
      <c r="PY200" s="243"/>
      <c r="PZ200" s="243"/>
      <c r="QA200" s="243"/>
      <c r="QB200" s="243"/>
      <c r="QC200" s="243"/>
      <c r="QD200" s="243"/>
      <c r="QE200" s="243"/>
      <c r="QF200" s="243"/>
      <c r="QG200" s="243"/>
      <c r="QH200" s="243"/>
      <c r="QI200" s="243"/>
      <c r="QJ200" s="243"/>
      <c r="QK200" s="243"/>
      <c r="QL200" s="243"/>
      <c r="QM200" s="243"/>
      <c r="QN200" s="243"/>
      <c r="QO200" s="243"/>
      <c r="QP200" s="243"/>
      <c r="QQ200" s="243"/>
      <c r="QR200" s="243"/>
      <c r="QS200" s="243"/>
      <c r="QT200" s="243"/>
      <c r="QU200" s="243"/>
      <c r="QV200" s="243"/>
      <c r="QW200" s="243"/>
      <c r="QX200" s="243"/>
      <c r="QY200" s="243"/>
      <c r="QZ200" s="243"/>
      <c r="RA200" s="243"/>
      <c r="RB200" s="243"/>
      <c r="RC200" s="243"/>
      <c r="RD200" s="243"/>
      <c r="RE200" s="243"/>
      <c r="RF200" s="243"/>
      <c r="RG200" s="243"/>
      <c r="RH200" s="243"/>
      <c r="RI200" s="243"/>
      <c r="RJ200" s="243"/>
      <c r="RK200" s="243"/>
      <c r="RL200" s="243"/>
      <c r="RM200" s="243"/>
      <c r="RN200" s="243"/>
      <c r="RO200" s="243"/>
      <c r="RP200" s="243"/>
      <c r="RQ200" s="243"/>
      <c r="RR200" s="243"/>
      <c r="RS200" s="243"/>
      <c r="RT200" s="243"/>
      <c r="RU200" s="243"/>
      <c r="RV200" s="243"/>
      <c r="RW200" s="243"/>
      <c r="RX200" s="243"/>
      <c r="RY200" s="243"/>
      <c r="RZ200" s="243"/>
      <c r="SA200" s="243"/>
      <c r="SB200" s="243"/>
      <c r="SC200" s="243"/>
      <c r="SD200" s="243"/>
      <c r="SE200" s="243"/>
      <c r="SF200" s="243"/>
      <c r="SG200" s="243"/>
      <c r="SH200" s="243"/>
      <c r="SI200" s="243"/>
      <c r="SJ200" s="243"/>
      <c r="SK200" s="243"/>
      <c r="SL200" s="243"/>
      <c r="SM200" s="243"/>
      <c r="SN200" s="243"/>
      <c r="SO200" s="243"/>
      <c r="SP200" s="243"/>
      <c r="SQ200" s="243"/>
      <c r="SR200" s="243"/>
      <c r="SS200" s="243"/>
      <c r="ST200" s="243"/>
      <c r="SU200" s="243"/>
      <c r="SV200" s="243"/>
      <c r="SW200" s="243"/>
      <c r="SX200" s="243"/>
      <c r="SY200" s="243"/>
      <c r="SZ200" s="243"/>
      <c r="TA200" s="243"/>
      <c r="TB200" s="243"/>
      <c r="TC200" s="243"/>
      <c r="TD200" s="243"/>
      <c r="TE200" s="243"/>
      <c r="TF200" s="243"/>
      <c r="TG200" s="243"/>
      <c r="TH200" s="243"/>
      <c r="TI200" s="243"/>
      <c r="TJ200" s="243"/>
      <c r="TK200" s="243"/>
      <c r="TL200" s="243"/>
      <c r="TM200" s="243"/>
      <c r="TN200" s="243"/>
      <c r="TO200" s="243"/>
      <c r="TP200" s="243"/>
      <c r="TQ200" s="243"/>
      <c r="TR200" s="243"/>
      <c r="TS200" s="243"/>
      <c r="TT200" s="243"/>
      <c r="TU200" s="243"/>
      <c r="TV200" s="243"/>
      <c r="TW200" s="243"/>
      <c r="TX200" s="243"/>
      <c r="TY200" s="243"/>
      <c r="TZ200" s="243"/>
      <c r="UA200" s="243"/>
      <c r="UB200" s="243"/>
      <c r="UC200" s="243"/>
      <c r="UD200" s="243"/>
      <c r="UE200" s="243"/>
      <c r="UF200" s="243"/>
      <c r="UG200" s="243"/>
      <c r="UH200" s="243"/>
      <c r="UI200" s="243"/>
      <c r="UJ200" s="243"/>
      <c r="UK200" s="243"/>
      <c r="UL200" s="243"/>
      <c r="UM200" s="243"/>
      <c r="UN200" s="243"/>
      <c r="UO200" s="243"/>
      <c r="UP200" s="243"/>
      <c r="UQ200" s="243"/>
      <c r="UR200" s="243"/>
      <c r="US200" s="243"/>
      <c r="UT200" s="243"/>
      <c r="UU200" s="243"/>
      <c r="UV200" s="243"/>
      <c r="UW200" s="243"/>
      <c r="UX200" s="243"/>
      <c r="UY200" s="243"/>
      <c r="UZ200" s="243"/>
      <c r="VA200" s="243"/>
      <c r="VB200" s="243"/>
      <c r="VC200" s="243"/>
      <c r="VD200" s="243"/>
      <c r="VE200" s="243"/>
      <c r="VF200" s="243"/>
      <c r="VG200" s="243"/>
      <c r="VH200" s="243"/>
      <c r="VI200" s="243"/>
      <c r="VJ200" s="243"/>
      <c r="VK200" s="243"/>
      <c r="VL200" s="243"/>
      <c r="VM200" s="243"/>
      <c r="VN200" s="243"/>
      <c r="VO200" s="243"/>
      <c r="VP200" s="243"/>
      <c r="VQ200" s="243"/>
      <c r="VR200" s="243"/>
      <c r="VS200" s="243"/>
      <c r="VT200" s="243"/>
      <c r="VU200" s="243"/>
      <c r="VV200" s="243"/>
      <c r="VW200" s="243"/>
      <c r="VX200" s="243"/>
      <c r="VY200" s="243"/>
      <c r="VZ200" s="243"/>
      <c r="WA200" s="243"/>
      <c r="WB200" s="243"/>
      <c r="WC200" s="243"/>
      <c r="WD200" s="243"/>
      <c r="WE200" s="243"/>
      <c r="WF200" s="243"/>
      <c r="WG200" s="243"/>
      <c r="WH200" s="243"/>
      <c r="WI200" s="243"/>
      <c r="WJ200" s="243"/>
      <c r="WK200" s="243"/>
      <c r="WL200" s="243"/>
      <c r="WM200" s="243"/>
      <c r="WN200" s="243"/>
      <c r="WO200" s="243"/>
      <c r="WP200" s="243"/>
      <c r="WQ200" s="243"/>
      <c r="WR200" s="243"/>
      <c r="WS200" s="243"/>
      <c r="WT200" s="243"/>
      <c r="WU200" s="243"/>
      <c r="WV200" s="243"/>
      <c r="WW200" s="243"/>
      <c r="WX200" s="243"/>
      <c r="WY200" s="243"/>
      <c r="WZ200" s="243"/>
      <c r="XA200" s="243"/>
      <c r="XB200" s="243"/>
      <c r="XC200" s="243"/>
      <c r="XD200" s="243"/>
      <c r="XE200" s="243"/>
      <c r="XF200" s="243"/>
      <c r="XG200" s="243"/>
      <c r="XH200" s="243"/>
      <c r="XI200" s="243"/>
      <c r="XJ200" s="243"/>
      <c r="XK200" s="243"/>
      <c r="XL200" s="243"/>
      <c r="XM200" s="243"/>
      <c r="XN200" s="243"/>
      <c r="XO200" s="243"/>
      <c r="XP200" s="243"/>
      <c r="XQ200" s="243"/>
      <c r="XR200" s="243"/>
      <c r="XS200" s="243"/>
      <c r="XT200" s="243"/>
      <c r="XU200" s="243"/>
      <c r="XV200" s="243"/>
      <c r="XW200" s="243"/>
      <c r="XX200" s="243"/>
      <c r="XY200" s="243"/>
      <c r="XZ200" s="243"/>
      <c r="YA200" s="243"/>
      <c r="YB200" s="243"/>
      <c r="YC200" s="243"/>
      <c r="YD200" s="243"/>
      <c r="YE200" s="243"/>
      <c r="YF200" s="243"/>
      <c r="YG200" s="243"/>
      <c r="YH200" s="243"/>
      <c r="YI200" s="243"/>
      <c r="YJ200" s="243"/>
      <c r="YK200" s="243"/>
      <c r="YL200" s="243"/>
      <c r="YM200" s="243"/>
      <c r="YN200" s="243"/>
      <c r="YO200" s="243"/>
      <c r="YP200" s="243"/>
      <c r="YQ200" s="243"/>
      <c r="YR200" s="243"/>
      <c r="YS200" s="243"/>
      <c r="YT200" s="243"/>
      <c r="YU200" s="243"/>
      <c r="YV200" s="243"/>
      <c r="YW200" s="243"/>
      <c r="YX200" s="243"/>
      <c r="YY200" s="243"/>
      <c r="YZ200" s="243"/>
      <c r="ZA200" s="243"/>
      <c r="ZB200" s="243"/>
      <c r="ZC200" s="243"/>
      <c r="ZD200" s="243"/>
      <c r="ZE200" s="243"/>
      <c r="ZF200" s="243"/>
      <c r="ZG200" s="243"/>
      <c r="ZH200" s="243"/>
      <c r="ZI200" s="243"/>
      <c r="ZJ200" s="243"/>
      <c r="ZK200" s="243"/>
      <c r="ZL200" s="243"/>
      <c r="ZM200" s="243"/>
      <c r="ZN200" s="243"/>
      <c r="ZO200" s="243"/>
      <c r="ZP200" s="243"/>
      <c r="ZQ200" s="243"/>
      <c r="ZR200" s="243"/>
      <c r="ZS200" s="243"/>
      <c r="ZT200" s="243"/>
      <c r="ZU200" s="243"/>
      <c r="ZV200" s="243"/>
      <c r="ZW200" s="243"/>
      <c r="ZX200" s="243"/>
      <c r="ZY200" s="243"/>
      <c r="ZZ200" s="243"/>
      <c r="AAA200" s="243"/>
      <c r="AAB200" s="243"/>
      <c r="AAC200" s="243"/>
      <c r="AAD200" s="243"/>
      <c r="AAE200" s="243"/>
      <c r="AAF200" s="243"/>
      <c r="AAG200" s="243"/>
      <c r="AAH200" s="243"/>
      <c r="AAI200" s="243"/>
      <c r="AAJ200" s="243"/>
      <c r="AAK200" s="243"/>
      <c r="AAL200" s="243"/>
      <c r="AAM200" s="243"/>
      <c r="AAN200" s="243"/>
      <c r="AAO200" s="243"/>
      <c r="AAP200" s="243"/>
      <c r="AAQ200" s="243"/>
      <c r="AAR200" s="243"/>
      <c r="AAS200" s="243"/>
      <c r="AAT200" s="243"/>
      <c r="AAU200" s="243"/>
      <c r="AAV200" s="243"/>
      <c r="AAW200" s="243"/>
      <c r="AAX200" s="243"/>
      <c r="AAY200" s="243"/>
      <c r="AAZ200" s="243"/>
      <c r="ABA200" s="243"/>
      <c r="ABB200" s="243"/>
      <c r="ABC200" s="243"/>
      <c r="ABD200" s="243"/>
      <c r="ABE200" s="243"/>
      <c r="ABF200" s="243"/>
      <c r="ABG200" s="243"/>
      <c r="ABH200" s="243"/>
      <c r="ABI200" s="243"/>
      <c r="ABJ200" s="243"/>
      <c r="ABK200" s="243"/>
      <c r="ABL200" s="243"/>
      <c r="ABM200" s="243"/>
      <c r="ABN200" s="243"/>
      <c r="ABO200" s="243"/>
      <c r="ABP200" s="243"/>
      <c r="ABQ200" s="243"/>
      <c r="ABR200" s="243"/>
      <c r="ABS200" s="243"/>
      <c r="ABT200" s="243"/>
      <c r="ABU200" s="243"/>
      <c r="ABV200" s="243"/>
      <c r="ABW200" s="243"/>
      <c r="ABX200" s="243"/>
      <c r="ABY200" s="243"/>
      <c r="ABZ200" s="243"/>
      <c r="ACA200" s="243"/>
      <c r="ACB200" s="243"/>
      <c r="ACC200" s="243"/>
      <c r="ACD200" s="243"/>
      <c r="ACE200" s="243"/>
      <c r="ACF200" s="243"/>
      <c r="ACG200" s="243"/>
      <c r="ACH200" s="243"/>
      <c r="ACI200" s="243"/>
      <c r="ACJ200" s="243"/>
      <c r="ACK200" s="243"/>
      <c r="ACL200" s="243"/>
      <c r="ACM200" s="243"/>
      <c r="ACN200" s="243"/>
      <c r="ACO200" s="243"/>
      <c r="ACP200" s="243"/>
      <c r="ACQ200" s="243"/>
      <c r="ACR200" s="243"/>
      <c r="ACS200" s="243"/>
      <c r="ACT200" s="243"/>
      <c r="ACU200" s="243"/>
      <c r="ACV200" s="243"/>
      <c r="ACW200" s="243"/>
      <c r="ACX200" s="243"/>
      <c r="ACY200" s="243"/>
      <c r="ACZ200" s="243"/>
      <c r="ADA200" s="243"/>
      <c r="ADB200" s="243"/>
      <c r="ADC200" s="243"/>
      <c r="ADD200" s="243"/>
      <c r="ADE200" s="243"/>
      <c r="ADF200" s="243"/>
      <c r="ADG200" s="243"/>
      <c r="ADH200" s="243"/>
      <c r="ADI200" s="243"/>
      <c r="ADJ200" s="243"/>
      <c r="ADK200" s="243"/>
      <c r="ADL200" s="243"/>
      <c r="ADM200" s="243"/>
      <c r="ADN200" s="243"/>
      <c r="ADO200" s="243"/>
      <c r="ADP200" s="243"/>
      <c r="ADQ200" s="243"/>
      <c r="ADR200" s="243"/>
      <c r="ADS200" s="243"/>
      <c r="ADT200" s="243"/>
      <c r="ADU200" s="243"/>
      <c r="ADV200" s="243"/>
      <c r="ADW200" s="243"/>
      <c r="ADX200" s="243"/>
      <c r="ADY200" s="243"/>
      <c r="ADZ200" s="243"/>
      <c r="AEA200" s="243"/>
      <c r="AEB200" s="243"/>
      <c r="AEC200" s="243"/>
      <c r="AED200" s="243"/>
      <c r="AEE200" s="243"/>
      <c r="AEF200" s="243"/>
      <c r="AEG200" s="243"/>
      <c r="AEH200" s="243"/>
      <c r="AEI200" s="243"/>
      <c r="AEJ200" s="243"/>
      <c r="AEK200" s="243"/>
      <c r="AEL200" s="243"/>
      <c r="AEM200" s="243"/>
      <c r="AEN200" s="243"/>
      <c r="AEO200" s="243"/>
      <c r="AEP200" s="243"/>
      <c r="AEQ200" s="243"/>
      <c r="AER200" s="243"/>
      <c r="AES200" s="243"/>
      <c r="AET200" s="243"/>
      <c r="AEU200" s="243"/>
      <c r="AEV200" s="243"/>
      <c r="AEW200" s="243"/>
      <c r="AEX200" s="243"/>
      <c r="AEY200" s="243"/>
      <c r="AEZ200" s="243"/>
      <c r="AFA200" s="243"/>
      <c r="AFB200" s="243"/>
      <c r="AFC200" s="243"/>
      <c r="AFD200" s="243"/>
      <c r="AFE200" s="243"/>
      <c r="AFF200" s="243"/>
      <c r="AFG200" s="243"/>
      <c r="AFH200" s="243"/>
      <c r="AFI200" s="243"/>
      <c r="AFJ200" s="243"/>
      <c r="AFK200" s="243"/>
      <c r="AFL200" s="243"/>
      <c r="AFM200" s="243"/>
      <c r="AFN200" s="243"/>
      <c r="AFO200" s="243"/>
      <c r="AFP200" s="243"/>
      <c r="AFQ200" s="243"/>
      <c r="AFR200" s="243"/>
      <c r="AFS200" s="243"/>
      <c r="AFT200" s="243"/>
      <c r="AFU200" s="243"/>
      <c r="AFV200" s="243"/>
      <c r="AFW200" s="243"/>
      <c r="AFX200" s="243"/>
      <c r="AFY200" s="243"/>
      <c r="AFZ200" s="243"/>
      <c r="AGA200" s="243"/>
      <c r="AGB200" s="243"/>
      <c r="AGC200" s="243"/>
      <c r="AGD200" s="243"/>
      <c r="AGE200" s="243"/>
      <c r="AGF200" s="243"/>
      <c r="AGG200" s="243"/>
      <c r="AGH200" s="243"/>
      <c r="AGI200" s="243"/>
      <c r="AGJ200" s="243"/>
      <c r="AGK200" s="243"/>
      <c r="AGL200" s="243"/>
      <c r="AGM200" s="243"/>
      <c r="AGN200" s="243"/>
      <c r="AGO200" s="243"/>
      <c r="AGP200" s="243"/>
      <c r="AGQ200" s="243"/>
      <c r="AGR200" s="243"/>
      <c r="AGS200" s="243"/>
      <c r="AGT200" s="243"/>
      <c r="AGU200" s="243"/>
      <c r="AGV200" s="243"/>
      <c r="AGW200" s="243"/>
      <c r="AGX200" s="243"/>
      <c r="AGY200" s="243"/>
      <c r="AGZ200" s="243"/>
      <c r="AHA200" s="243"/>
      <c r="AHB200" s="243"/>
      <c r="AHC200" s="243"/>
      <c r="AHD200" s="243"/>
      <c r="AHE200" s="243"/>
      <c r="AHF200" s="243"/>
      <c r="AHG200" s="243"/>
      <c r="AHH200" s="243"/>
      <c r="AHI200" s="243"/>
      <c r="AHJ200" s="243"/>
      <c r="AHK200" s="243"/>
      <c r="AHL200" s="243"/>
      <c r="AHM200" s="243"/>
      <c r="AHN200" s="243"/>
      <c r="AHO200" s="243"/>
      <c r="AHP200" s="243"/>
      <c r="AHQ200" s="243"/>
      <c r="AHR200" s="243"/>
      <c r="AHS200" s="243"/>
      <c r="AHT200" s="243"/>
      <c r="AHU200" s="243"/>
      <c r="AHV200" s="243"/>
      <c r="AHW200" s="243"/>
      <c r="AHX200" s="243"/>
      <c r="AHY200" s="243"/>
      <c r="AHZ200" s="243"/>
      <c r="AIA200" s="243"/>
      <c r="AIB200" s="243"/>
      <c r="AIC200" s="243"/>
      <c r="AID200" s="243"/>
      <c r="AIE200" s="243"/>
      <c r="AIF200" s="243"/>
      <c r="AIG200" s="243"/>
      <c r="AIH200" s="243"/>
      <c r="AII200" s="243"/>
      <c r="AIJ200" s="243"/>
      <c r="AIK200" s="243"/>
      <c r="AIL200" s="243"/>
      <c r="AIM200" s="243"/>
      <c r="AIN200" s="243"/>
      <c r="AIO200" s="243"/>
      <c r="AIP200" s="243"/>
      <c r="AIQ200" s="243"/>
      <c r="AIR200" s="243"/>
      <c r="AIS200" s="243"/>
      <c r="AIT200" s="243"/>
      <c r="AIU200" s="243"/>
      <c r="AIV200" s="243"/>
      <c r="AIW200" s="243"/>
      <c r="AIX200" s="243"/>
      <c r="AIY200" s="243"/>
      <c r="AIZ200" s="243"/>
      <c r="AJA200" s="243"/>
      <c r="AJB200" s="243"/>
      <c r="AJC200" s="243"/>
      <c r="AJD200" s="243"/>
      <c r="AJE200" s="243"/>
      <c r="AJF200" s="243"/>
      <c r="AJG200" s="243"/>
      <c r="AJH200" s="243"/>
      <c r="AJI200" s="243"/>
      <c r="AJJ200" s="243"/>
      <c r="AJK200" s="243"/>
      <c r="AJL200" s="243"/>
      <c r="AJM200" s="243"/>
      <c r="AJN200" s="243"/>
      <c r="AJO200" s="243"/>
      <c r="AJP200" s="243"/>
      <c r="AJQ200" s="243"/>
      <c r="AJR200" s="243"/>
      <c r="AJS200" s="243"/>
      <c r="AJT200" s="243"/>
      <c r="AJU200" s="243"/>
      <c r="AJV200" s="243"/>
      <c r="AJW200" s="243"/>
      <c r="AJX200" s="243"/>
      <c r="AJY200" s="243"/>
      <c r="AJZ200" s="243"/>
      <c r="AKA200" s="243"/>
      <c r="AKB200" s="243"/>
      <c r="AKC200" s="243"/>
      <c r="AKD200" s="243"/>
      <c r="AKE200" s="243"/>
      <c r="AKF200" s="243"/>
      <c r="AKG200" s="243"/>
      <c r="AKH200" s="243"/>
      <c r="AKI200" s="243"/>
      <c r="AKJ200" s="243"/>
      <c r="AKK200" s="243"/>
      <c r="AKL200" s="243"/>
      <c r="AKM200" s="243"/>
      <c r="AKN200" s="243"/>
      <c r="AKO200" s="243"/>
      <c r="AKP200" s="243"/>
      <c r="AKQ200" s="243"/>
      <c r="AKR200" s="243"/>
      <c r="AKS200" s="243"/>
      <c r="AKT200" s="243"/>
      <c r="AKU200" s="243"/>
      <c r="AKV200" s="243"/>
      <c r="AKW200" s="243"/>
      <c r="AKX200" s="243"/>
      <c r="AKY200" s="243"/>
      <c r="AKZ200" s="243"/>
      <c r="ALA200" s="243"/>
      <c r="ALB200" s="243"/>
      <c r="ALC200" s="243"/>
      <c r="ALD200" s="243"/>
      <c r="ALE200" s="243"/>
      <c r="ALF200" s="243"/>
      <c r="ALG200" s="243"/>
      <c r="ALH200" s="243"/>
      <c r="ALI200" s="243"/>
      <c r="ALJ200" s="243"/>
      <c r="ALK200" s="243"/>
      <c r="ALL200" s="243"/>
      <c r="ALM200" s="243"/>
      <c r="ALN200" s="243"/>
      <c r="ALO200" s="243"/>
      <c r="ALP200" s="243"/>
      <c r="ALQ200" s="243"/>
      <c r="ALR200" s="243"/>
      <c r="ALS200" s="243"/>
      <c r="ALT200" s="243"/>
      <c r="ALU200" s="243"/>
      <c r="ALV200" s="243"/>
      <c r="ALW200" s="243"/>
      <c r="ALX200" s="243"/>
      <c r="ALY200" s="243"/>
      <c r="ALZ200" s="243"/>
      <c r="AMA200" s="243"/>
      <c r="AMB200" s="243"/>
      <c r="AMC200" s="243"/>
      <c r="AMD200" s="243"/>
      <c r="AME200" s="243"/>
      <c r="AMF200" s="243"/>
      <c r="AMG200" s="243"/>
      <c r="AMH200" s="243"/>
      <c r="AMI200" s="244"/>
      <c r="AMJ200" s="244"/>
    </row>
    <row r="201" spans="1:1024" ht="18">
      <c r="A201" s="457" t="s">
        <v>3</v>
      </c>
      <c r="B201" s="457" t="s">
        <v>4</v>
      </c>
      <c r="C201" s="457" t="s">
        <v>115</v>
      </c>
      <c r="D201" s="457" t="s">
        <v>6</v>
      </c>
      <c r="E201" s="457" t="s">
        <v>29</v>
      </c>
      <c r="F201" s="457" t="s">
        <v>8</v>
      </c>
      <c r="G201" s="457" t="s">
        <v>9</v>
      </c>
      <c r="H201" s="457" t="s">
        <v>116</v>
      </c>
      <c r="I201" s="457" t="s">
        <v>12</v>
      </c>
      <c r="J201" s="457" t="s">
        <v>117</v>
      </c>
      <c r="K201" s="457" t="s">
        <v>118</v>
      </c>
      <c r="L201" s="457" t="s">
        <v>119</v>
      </c>
      <c r="M201" s="457" t="s">
        <v>4</v>
      </c>
      <c r="N201" s="457" t="s">
        <v>6</v>
      </c>
      <c r="O201" s="457" t="s">
        <v>29</v>
      </c>
      <c r="P201" s="457" t="s">
        <v>8</v>
      </c>
      <c r="Q201" s="457" t="s">
        <v>120</v>
      </c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3"/>
      <c r="AI201" s="243"/>
      <c r="AJ201" s="243"/>
      <c r="AK201" s="243"/>
      <c r="AL201" s="243"/>
      <c r="AM201" s="243"/>
      <c r="AN201" s="243"/>
      <c r="AO201" s="243"/>
      <c r="AP201" s="243"/>
      <c r="AQ201" s="243"/>
      <c r="AR201" s="243"/>
      <c r="AS201" s="243"/>
      <c r="AT201" s="243"/>
      <c r="AU201" s="243"/>
      <c r="AV201" s="243"/>
      <c r="AW201" s="243"/>
      <c r="AX201" s="243"/>
      <c r="AY201" s="243"/>
      <c r="AZ201" s="243"/>
      <c r="BA201" s="243"/>
      <c r="BB201" s="243"/>
      <c r="BC201" s="243"/>
      <c r="BD201" s="243"/>
      <c r="BE201" s="243"/>
      <c r="BF201" s="243"/>
      <c r="BG201" s="243"/>
      <c r="BH201" s="243"/>
      <c r="BI201" s="243"/>
      <c r="BJ201" s="243"/>
      <c r="BK201" s="243"/>
      <c r="BL201" s="243"/>
      <c r="BM201" s="243"/>
      <c r="BN201" s="243"/>
      <c r="BO201" s="243"/>
      <c r="BP201" s="243"/>
      <c r="BQ201" s="243"/>
      <c r="BR201" s="243"/>
      <c r="BS201" s="243"/>
      <c r="BT201" s="243"/>
      <c r="BU201" s="243"/>
      <c r="BV201" s="243"/>
      <c r="BW201" s="243"/>
      <c r="BX201" s="243"/>
      <c r="BY201" s="243"/>
      <c r="BZ201" s="243"/>
      <c r="CA201" s="243"/>
      <c r="CB201" s="243"/>
      <c r="CC201" s="243"/>
      <c r="CD201" s="243"/>
      <c r="CE201" s="243"/>
      <c r="CF201" s="243"/>
      <c r="CG201" s="243"/>
      <c r="CH201" s="243"/>
      <c r="CI201" s="243"/>
      <c r="CJ201" s="243"/>
      <c r="CK201" s="243"/>
      <c r="CL201" s="243"/>
      <c r="CM201" s="243"/>
      <c r="CN201" s="243"/>
      <c r="CO201" s="243"/>
      <c r="CP201" s="243"/>
      <c r="CQ201" s="243"/>
      <c r="CR201" s="243"/>
      <c r="CS201" s="243"/>
      <c r="CT201" s="243"/>
      <c r="CU201" s="243"/>
      <c r="CV201" s="243"/>
      <c r="CW201" s="243"/>
      <c r="CX201" s="243"/>
      <c r="CY201" s="243"/>
      <c r="CZ201" s="243"/>
      <c r="DA201" s="243"/>
      <c r="DB201" s="243"/>
      <c r="DC201" s="243"/>
      <c r="DD201" s="243"/>
      <c r="DE201" s="243"/>
      <c r="DF201" s="243"/>
      <c r="DG201" s="243"/>
      <c r="DH201" s="243"/>
      <c r="DI201" s="243"/>
      <c r="DJ201" s="243"/>
      <c r="DK201" s="243"/>
      <c r="DL201" s="243"/>
      <c r="DM201" s="243"/>
      <c r="DN201" s="243"/>
      <c r="DO201" s="243"/>
      <c r="DP201" s="243"/>
      <c r="DQ201" s="243"/>
      <c r="DR201" s="243"/>
      <c r="DS201" s="243"/>
      <c r="DT201" s="243"/>
      <c r="DU201" s="243"/>
      <c r="DV201" s="243"/>
      <c r="DW201" s="243"/>
      <c r="DX201" s="243"/>
      <c r="DY201" s="243"/>
      <c r="DZ201" s="243"/>
      <c r="EA201" s="243"/>
      <c r="EB201" s="243"/>
      <c r="EC201" s="243"/>
      <c r="ED201" s="243"/>
      <c r="EE201" s="243"/>
      <c r="EF201" s="243"/>
      <c r="EG201" s="243"/>
      <c r="EH201" s="243"/>
      <c r="EI201" s="243"/>
      <c r="EJ201" s="243"/>
      <c r="EK201" s="243"/>
      <c r="EL201" s="243"/>
      <c r="EM201" s="243"/>
      <c r="EN201" s="243"/>
      <c r="EO201" s="243"/>
      <c r="EP201" s="243"/>
      <c r="EQ201" s="243"/>
      <c r="ER201" s="243"/>
      <c r="ES201" s="243"/>
      <c r="ET201" s="243"/>
      <c r="EU201" s="243"/>
      <c r="EV201" s="243"/>
      <c r="EW201" s="243"/>
      <c r="EX201" s="243"/>
      <c r="EY201" s="243"/>
      <c r="EZ201" s="243"/>
      <c r="FA201" s="243"/>
      <c r="FB201" s="243"/>
      <c r="FC201" s="243"/>
      <c r="FD201" s="243"/>
      <c r="FE201" s="243"/>
      <c r="FF201" s="243"/>
      <c r="FG201" s="243"/>
      <c r="FH201" s="243"/>
      <c r="FI201" s="243"/>
      <c r="FJ201" s="243"/>
      <c r="FK201" s="243"/>
      <c r="FL201" s="243"/>
      <c r="FM201" s="243"/>
      <c r="FN201" s="243"/>
      <c r="FO201" s="243"/>
      <c r="FP201" s="243"/>
      <c r="FQ201" s="243"/>
      <c r="FR201" s="243"/>
      <c r="FS201" s="243"/>
      <c r="FT201" s="243"/>
      <c r="FU201" s="243"/>
      <c r="FV201" s="243"/>
      <c r="FW201" s="243"/>
      <c r="FX201" s="243"/>
      <c r="FY201" s="243"/>
      <c r="FZ201" s="243"/>
      <c r="GA201" s="243"/>
      <c r="GB201" s="243"/>
      <c r="GC201" s="243"/>
      <c r="GD201" s="243"/>
      <c r="GE201" s="243"/>
      <c r="GF201" s="243"/>
      <c r="GG201" s="243"/>
      <c r="GH201" s="243"/>
      <c r="GI201" s="243"/>
      <c r="GJ201" s="243"/>
      <c r="GK201" s="243"/>
      <c r="GL201" s="243"/>
      <c r="GM201" s="243"/>
      <c r="GN201" s="243"/>
      <c r="GO201" s="243"/>
      <c r="GP201" s="243"/>
      <c r="GQ201" s="243"/>
      <c r="GR201" s="243"/>
      <c r="GS201" s="243"/>
      <c r="GT201" s="243"/>
      <c r="GU201" s="243"/>
      <c r="GV201" s="243"/>
      <c r="GW201" s="243"/>
      <c r="GX201" s="243"/>
      <c r="GY201" s="243"/>
      <c r="GZ201" s="243"/>
      <c r="HA201" s="243"/>
      <c r="HB201" s="243"/>
      <c r="HC201" s="243"/>
      <c r="HD201" s="243"/>
      <c r="HE201" s="243"/>
      <c r="HF201" s="243"/>
      <c r="HG201" s="243"/>
      <c r="HH201" s="243"/>
      <c r="HI201" s="243"/>
      <c r="HJ201" s="243"/>
      <c r="HK201" s="243"/>
      <c r="HL201" s="243"/>
      <c r="HM201" s="243"/>
      <c r="HN201" s="243"/>
      <c r="HO201" s="243"/>
      <c r="HP201" s="243"/>
      <c r="HQ201" s="243"/>
      <c r="HR201" s="243"/>
      <c r="HS201" s="243"/>
      <c r="HT201" s="243"/>
      <c r="HU201" s="243"/>
      <c r="HV201" s="243"/>
      <c r="HW201" s="243"/>
      <c r="HX201" s="243"/>
      <c r="HY201" s="243"/>
      <c r="HZ201" s="243"/>
      <c r="IA201" s="243"/>
      <c r="IB201" s="243"/>
      <c r="IC201" s="243"/>
      <c r="ID201" s="243"/>
      <c r="IE201" s="243"/>
      <c r="IF201" s="243"/>
      <c r="IG201" s="243"/>
      <c r="IH201" s="243"/>
      <c r="II201" s="243"/>
      <c r="IJ201" s="243"/>
      <c r="IK201" s="243"/>
      <c r="IL201" s="243"/>
      <c r="IM201" s="243"/>
      <c r="IN201" s="243"/>
      <c r="IO201" s="243"/>
      <c r="IP201" s="243"/>
      <c r="IQ201" s="243"/>
      <c r="IR201" s="243"/>
      <c r="IS201" s="243"/>
      <c r="IT201" s="243"/>
      <c r="IU201" s="243"/>
      <c r="IV201" s="243"/>
      <c r="IW201" s="243"/>
      <c r="IX201" s="243"/>
      <c r="IY201" s="243"/>
      <c r="IZ201" s="243"/>
      <c r="JA201" s="243"/>
      <c r="JB201" s="243"/>
      <c r="JC201" s="243"/>
      <c r="JD201" s="243"/>
      <c r="JE201" s="243"/>
      <c r="JF201" s="243"/>
      <c r="JG201" s="243"/>
      <c r="JH201" s="243"/>
      <c r="JI201" s="243"/>
      <c r="JJ201" s="243"/>
      <c r="JK201" s="243"/>
      <c r="JL201" s="243"/>
      <c r="JM201" s="243"/>
      <c r="JN201" s="243"/>
      <c r="JO201" s="243"/>
      <c r="JP201" s="243"/>
      <c r="JQ201" s="243"/>
      <c r="JR201" s="243"/>
      <c r="JS201" s="243"/>
      <c r="JT201" s="243"/>
      <c r="JU201" s="243"/>
      <c r="JV201" s="243"/>
      <c r="JW201" s="243"/>
      <c r="JX201" s="243"/>
      <c r="JY201" s="243"/>
      <c r="JZ201" s="243"/>
      <c r="KA201" s="243"/>
      <c r="KB201" s="243"/>
      <c r="KC201" s="243"/>
      <c r="KD201" s="243"/>
      <c r="KE201" s="243"/>
      <c r="KF201" s="243"/>
      <c r="KG201" s="243"/>
      <c r="KH201" s="243"/>
      <c r="KI201" s="243"/>
      <c r="KJ201" s="243"/>
      <c r="KK201" s="243"/>
      <c r="KL201" s="243"/>
      <c r="KM201" s="243"/>
      <c r="KN201" s="243"/>
      <c r="KO201" s="243"/>
      <c r="KP201" s="243"/>
      <c r="KQ201" s="243"/>
      <c r="KR201" s="243"/>
      <c r="KS201" s="243"/>
      <c r="KT201" s="243"/>
      <c r="KU201" s="243"/>
      <c r="KV201" s="243"/>
      <c r="KW201" s="243"/>
      <c r="KX201" s="243"/>
      <c r="KY201" s="243"/>
      <c r="KZ201" s="243"/>
      <c r="LA201" s="243"/>
      <c r="LB201" s="243"/>
      <c r="LC201" s="243"/>
      <c r="LD201" s="243"/>
      <c r="LE201" s="243"/>
      <c r="LF201" s="243"/>
      <c r="LG201" s="243"/>
      <c r="LH201" s="243"/>
      <c r="LI201" s="243"/>
      <c r="LJ201" s="243"/>
      <c r="LK201" s="243"/>
      <c r="LL201" s="243"/>
      <c r="LM201" s="243"/>
      <c r="LN201" s="243"/>
      <c r="LO201" s="243"/>
      <c r="LP201" s="243"/>
      <c r="LQ201" s="243"/>
      <c r="LR201" s="243"/>
      <c r="LS201" s="243"/>
      <c r="LT201" s="243"/>
      <c r="LU201" s="243"/>
      <c r="LV201" s="243"/>
      <c r="LW201" s="243"/>
      <c r="LX201" s="243"/>
      <c r="LY201" s="243"/>
      <c r="LZ201" s="243"/>
      <c r="MA201" s="243"/>
      <c r="MB201" s="243"/>
      <c r="MC201" s="243"/>
      <c r="MD201" s="243"/>
      <c r="ME201" s="243"/>
      <c r="MF201" s="243"/>
      <c r="MG201" s="243"/>
      <c r="MH201" s="243"/>
      <c r="MI201" s="243"/>
      <c r="MJ201" s="243"/>
      <c r="MK201" s="243"/>
      <c r="ML201" s="243"/>
      <c r="MM201" s="243"/>
      <c r="MN201" s="243"/>
      <c r="MO201" s="243"/>
      <c r="MP201" s="243"/>
      <c r="MQ201" s="243"/>
      <c r="MR201" s="243"/>
      <c r="MS201" s="243"/>
      <c r="MT201" s="243"/>
      <c r="MU201" s="243"/>
      <c r="MV201" s="243"/>
      <c r="MW201" s="243"/>
      <c r="MX201" s="243"/>
      <c r="MY201" s="243"/>
      <c r="MZ201" s="243"/>
      <c r="NA201" s="243"/>
      <c r="NB201" s="243"/>
      <c r="NC201" s="243"/>
      <c r="ND201" s="243"/>
      <c r="NE201" s="243"/>
      <c r="NF201" s="243"/>
      <c r="NG201" s="243"/>
      <c r="NH201" s="243"/>
      <c r="NI201" s="243"/>
      <c r="NJ201" s="243"/>
      <c r="NK201" s="243"/>
      <c r="NL201" s="243"/>
      <c r="NM201" s="243"/>
      <c r="NN201" s="243"/>
      <c r="NO201" s="243"/>
      <c r="NP201" s="243"/>
      <c r="NQ201" s="243"/>
      <c r="NR201" s="243"/>
      <c r="NS201" s="243"/>
      <c r="NT201" s="243"/>
      <c r="NU201" s="243"/>
      <c r="NV201" s="243"/>
      <c r="NW201" s="243"/>
      <c r="NX201" s="243"/>
      <c r="NY201" s="243"/>
      <c r="NZ201" s="243"/>
      <c r="OA201" s="243"/>
      <c r="OB201" s="243"/>
      <c r="OC201" s="243"/>
      <c r="OD201" s="243"/>
      <c r="OE201" s="243"/>
      <c r="OF201" s="243"/>
      <c r="OG201" s="243"/>
      <c r="OH201" s="243"/>
      <c r="OI201" s="243"/>
      <c r="OJ201" s="243"/>
      <c r="OK201" s="243"/>
      <c r="OL201" s="243"/>
      <c r="OM201" s="243"/>
      <c r="ON201" s="243"/>
      <c r="OO201" s="243"/>
      <c r="OP201" s="243"/>
      <c r="OQ201" s="243"/>
      <c r="OR201" s="243"/>
      <c r="OS201" s="243"/>
      <c r="OT201" s="243"/>
      <c r="OU201" s="243"/>
      <c r="OV201" s="243"/>
      <c r="OW201" s="243"/>
      <c r="OX201" s="243"/>
      <c r="OY201" s="243"/>
      <c r="OZ201" s="243"/>
      <c r="PA201" s="243"/>
      <c r="PB201" s="243"/>
      <c r="PC201" s="243"/>
      <c r="PD201" s="243"/>
      <c r="PE201" s="243"/>
      <c r="PF201" s="243"/>
      <c r="PG201" s="243"/>
      <c r="PH201" s="243"/>
      <c r="PI201" s="243"/>
      <c r="PJ201" s="243"/>
      <c r="PK201" s="243"/>
      <c r="PL201" s="243"/>
      <c r="PM201" s="243"/>
      <c r="PN201" s="243"/>
      <c r="PO201" s="243"/>
      <c r="PP201" s="243"/>
      <c r="PQ201" s="243"/>
      <c r="PR201" s="243"/>
      <c r="PS201" s="243"/>
      <c r="PT201" s="243"/>
      <c r="PU201" s="243"/>
      <c r="PV201" s="243"/>
      <c r="PW201" s="243"/>
      <c r="PX201" s="243"/>
      <c r="PY201" s="243"/>
      <c r="PZ201" s="243"/>
      <c r="QA201" s="243"/>
      <c r="QB201" s="243"/>
      <c r="QC201" s="243"/>
      <c r="QD201" s="243"/>
      <c r="QE201" s="243"/>
      <c r="QF201" s="243"/>
      <c r="QG201" s="243"/>
      <c r="QH201" s="243"/>
      <c r="QI201" s="243"/>
      <c r="QJ201" s="243"/>
      <c r="QK201" s="243"/>
      <c r="QL201" s="243"/>
      <c r="QM201" s="243"/>
      <c r="QN201" s="243"/>
      <c r="QO201" s="243"/>
      <c r="QP201" s="243"/>
      <c r="QQ201" s="243"/>
      <c r="QR201" s="243"/>
      <c r="QS201" s="243"/>
      <c r="QT201" s="243"/>
      <c r="QU201" s="243"/>
      <c r="QV201" s="243"/>
      <c r="QW201" s="243"/>
      <c r="QX201" s="243"/>
      <c r="QY201" s="243"/>
      <c r="QZ201" s="243"/>
      <c r="RA201" s="243"/>
      <c r="RB201" s="243"/>
      <c r="RC201" s="243"/>
      <c r="RD201" s="243"/>
      <c r="RE201" s="243"/>
      <c r="RF201" s="243"/>
      <c r="RG201" s="243"/>
      <c r="RH201" s="243"/>
      <c r="RI201" s="243"/>
      <c r="RJ201" s="243"/>
      <c r="RK201" s="243"/>
      <c r="RL201" s="243"/>
      <c r="RM201" s="243"/>
      <c r="RN201" s="243"/>
      <c r="RO201" s="243"/>
      <c r="RP201" s="243"/>
      <c r="RQ201" s="243"/>
      <c r="RR201" s="243"/>
      <c r="RS201" s="243"/>
      <c r="RT201" s="243"/>
      <c r="RU201" s="243"/>
      <c r="RV201" s="243"/>
      <c r="RW201" s="243"/>
      <c r="RX201" s="243"/>
      <c r="RY201" s="243"/>
      <c r="RZ201" s="243"/>
      <c r="SA201" s="243"/>
      <c r="SB201" s="243"/>
      <c r="SC201" s="243"/>
      <c r="SD201" s="243"/>
      <c r="SE201" s="243"/>
      <c r="SF201" s="243"/>
      <c r="SG201" s="243"/>
      <c r="SH201" s="243"/>
      <c r="SI201" s="243"/>
      <c r="SJ201" s="243"/>
      <c r="SK201" s="243"/>
      <c r="SL201" s="243"/>
      <c r="SM201" s="243"/>
      <c r="SN201" s="243"/>
      <c r="SO201" s="243"/>
      <c r="SP201" s="243"/>
      <c r="SQ201" s="243"/>
      <c r="SR201" s="243"/>
      <c r="SS201" s="243"/>
      <c r="ST201" s="243"/>
      <c r="SU201" s="243"/>
      <c r="SV201" s="243"/>
      <c r="SW201" s="243"/>
      <c r="SX201" s="243"/>
      <c r="SY201" s="243"/>
      <c r="SZ201" s="243"/>
      <c r="TA201" s="243"/>
      <c r="TB201" s="243"/>
      <c r="TC201" s="243"/>
      <c r="TD201" s="243"/>
      <c r="TE201" s="243"/>
      <c r="TF201" s="243"/>
      <c r="TG201" s="243"/>
      <c r="TH201" s="243"/>
      <c r="TI201" s="243"/>
      <c r="TJ201" s="243"/>
      <c r="TK201" s="243"/>
      <c r="TL201" s="243"/>
      <c r="TM201" s="243"/>
      <c r="TN201" s="243"/>
      <c r="TO201" s="243"/>
      <c r="TP201" s="243"/>
      <c r="TQ201" s="243"/>
      <c r="TR201" s="243"/>
      <c r="TS201" s="243"/>
      <c r="TT201" s="243"/>
      <c r="TU201" s="243"/>
      <c r="TV201" s="243"/>
      <c r="TW201" s="243"/>
      <c r="TX201" s="243"/>
      <c r="TY201" s="243"/>
      <c r="TZ201" s="243"/>
      <c r="UA201" s="243"/>
      <c r="UB201" s="243"/>
      <c r="UC201" s="243"/>
      <c r="UD201" s="243"/>
      <c r="UE201" s="243"/>
      <c r="UF201" s="243"/>
      <c r="UG201" s="243"/>
      <c r="UH201" s="243"/>
      <c r="UI201" s="243"/>
      <c r="UJ201" s="243"/>
      <c r="UK201" s="243"/>
      <c r="UL201" s="243"/>
      <c r="UM201" s="243"/>
      <c r="UN201" s="243"/>
      <c r="UO201" s="243"/>
      <c r="UP201" s="243"/>
      <c r="UQ201" s="243"/>
      <c r="UR201" s="243"/>
      <c r="US201" s="243"/>
      <c r="UT201" s="243"/>
      <c r="UU201" s="243"/>
      <c r="UV201" s="243"/>
      <c r="UW201" s="243"/>
      <c r="UX201" s="243"/>
      <c r="UY201" s="243"/>
      <c r="UZ201" s="243"/>
      <c r="VA201" s="243"/>
      <c r="VB201" s="243"/>
      <c r="VC201" s="243"/>
      <c r="VD201" s="243"/>
      <c r="VE201" s="243"/>
      <c r="VF201" s="243"/>
      <c r="VG201" s="243"/>
      <c r="VH201" s="243"/>
      <c r="VI201" s="243"/>
      <c r="VJ201" s="243"/>
      <c r="VK201" s="243"/>
      <c r="VL201" s="243"/>
      <c r="VM201" s="243"/>
      <c r="VN201" s="243"/>
      <c r="VO201" s="243"/>
      <c r="VP201" s="243"/>
      <c r="VQ201" s="243"/>
      <c r="VR201" s="243"/>
      <c r="VS201" s="243"/>
      <c r="VT201" s="243"/>
      <c r="VU201" s="243"/>
      <c r="VV201" s="243"/>
      <c r="VW201" s="243"/>
      <c r="VX201" s="243"/>
      <c r="VY201" s="243"/>
      <c r="VZ201" s="243"/>
      <c r="WA201" s="243"/>
      <c r="WB201" s="243"/>
      <c r="WC201" s="243"/>
      <c r="WD201" s="243"/>
      <c r="WE201" s="243"/>
      <c r="WF201" s="243"/>
      <c r="WG201" s="243"/>
      <c r="WH201" s="243"/>
      <c r="WI201" s="243"/>
      <c r="WJ201" s="243"/>
      <c r="WK201" s="243"/>
      <c r="WL201" s="243"/>
      <c r="WM201" s="243"/>
      <c r="WN201" s="243"/>
      <c r="WO201" s="243"/>
      <c r="WP201" s="243"/>
      <c r="WQ201" s="243"/>
      <c r="WR201" s="243"/>
      <c r="WS201" s="243"/>
      <c r="WT201" s="243"/>
      <c r="WU201" s="243"/>
      <c r="WV201" s="243"/>
      <c r="WW201" s="243"/>
      <c r="WX201" s="243"/>
      <c r="WY201" s="243"/>
      <c r="WZ201" s="243"/>
      <c r="XA201" s="243"/>
      <c r="XB201" s="243"/>
      <c r="XC201" s="243"/>
      <c r="XD201" s="243"/>
      <c r="XE201" s="243"/>
      <c r="XF201" s="243"/>
      <c r="XG201" s="243"/>
      <c r="XH201" s="243"/>
      <c r="XI201" s="243"/>
      <c r="XJ201" s="243"/>
      <c r="XK201" s="243"/>
      <c r="XL201" s="243"/>
      <c r="XM201" s="243"/>
      <c r="XN201" s="243"/>
      <c r="XO201" s="243"/>
      <c r="XP201" s="243"/>
      <c r="XQ201" s="243"/>
      <c r="XR201" s="243"/>
      <c r="XS201" s="243"/>
      <c r="XT201" s="243"/>
      <c r="XU201" s="243"/>
      <c r="XV201" s="243"/>
      <c r="XW201" s="243"/>
      <c r="XX201" s="243"/>
      <c r="XY201" s="243"/>
      <c r="XZ201" s="243"/>
      <c r="YA201" s="243"/>
      <c r="YB201" s="243"/>
      <c r="YC201" s="243"/>
      <c r="YD201" s="243"/>
      <c r="YE201" s="243"/>
      <c r="YF201" s="243"/>
      <c r="YG201" s="243"/>
      <c r="YH201" s="243"/>
      <c r="YI201" s="243"/>
      <c r="YJ201" s="243"/>
      <c r="YK201" s="243"/>
      <c r="YL201" s="243"/>
      <c r="YM201" s="243"/>
      <c r="YN201" s="243"/>
      <c r="YO201" s="243"/>
      <c r="YP201" s="243"/>
      <c r="YQ201" s="243"/>
      <c r="YR201" s="243"/>
      <c r="YS201" s="243"/>
      <c r="YT201" s="243"/>
      <c r="YU201" s="243"/>
      <c r="YV201" s="243"/>
      <c r="YW201" s="243"/>
      <c r="YX201" s="243"/>
      <c r="YY201" s="243"/>
      <c r="YZ201" s="243"/>
      <c r="ZA201" s="243"/>
      <c r="ZB201" s="243"/>
      <c r="ZC201" s="243"/>
      <c r="ZD201" s="243"/>
      <c r="ZE201" s="243"/>
      <c r="ZF201" s="243"/>
      <c r="ZG201" s="243"/>
      <c r="ZH201" s="243"/>
      <c r="ZI201" s="243"/>
      <c r="ZJ201" s="243"/>
      <c r="ZK201" s="243"/>
      <c r="ZL201" s="243"/>
      <c r="ZM201" s="243"/>
      <c r="ZN201" s="243"/>
      <c r="ZO201" s="243"/>
      <c r="ZP201" s="243"/>
      <c r="ZQ201" s="243"/>
      <c r="ZR201" s="243"/>
      <c r="ZS201" s="243"/>
      <c r="ZT201" s="243"/>
      <c r="ZU201" s="243"/>
      <c r="ZV201" s="243"/>
      <c r="ZW201" s="243"/>
      <c r="ZX201" s="243"/>
      <c r="ZY201" s="243"/>
      <c r="ZZ201" s="243"/>
      <c r="AAA201" s="243"/>
      <c r="AAB201" s="243"/>
      <c r="AAC201" s="243"/>
      <c r="AAD201" s="243"/>
      <c r="AAE201" s="243"/>
      <c r="AAF201" s="243"/>
      <c r="AAG201" s="243"/>
      <c r="AAH201" s="243"/>
      <c r="AAI201" s="243"/>
      <c r="AAJ201" s="243"/>
      <c r="AAK201" s="243"/>
      <c r="AAL201" s="243"/>
      <c r="AAM201" s="243"/>
      <c r="AAN201" s="243"/>
      <c r="AAO201" s="243"/>
      <c r="AAP201" s="243"/>
      <c r="AAQ201" s="243"/>
      <c r="AAR201" s="243"/>
      <c r="AAS201" s="243"/>
      <c r="AAT201" s="243"/>
      <c r="AAU201" s="243"/>
      <c r="AAV201" s="243"/>
      <c r="AAW201" s="243"/>
      <c r="AAX201" s="243"/>
      <c r="AAY201" s="243"/>
      <c r="AAZ201" s="243"/>
      <c r="ABA201" s="243"/>
      <c r="ABB201" s="243"/>
      <c r="ABC201" s="243"/>
      <c r="ABD201" s="243"/>
      <c r="ABE201" s="243"/>
      <c r="ABF201" s="243"/>
      <c r="ABG201" s="243"/>
      <c r="ABH201" s="243"/>
      <c r="ABI201" s="243"/>
      <c r="ABJ201" s="243"/>
      <c r="ABK201" s="243"/>
      <c r="ABL201" s="243"/>
      <c r="ABM201" s="243"/>
      <c r="ABN201" s="243"/>
      <c r="ABO201" s="243"/>
      <c r="ABP201" s="243"/>
      <c r="ABQ201" s="243"/>
      <c r="ABR201" s="243"/>
      <c r="ABS201" s="243"/>
      <c r="ABT201" s="243"/>
      <c r="ABU201" s="243"/>
      <c r="ABV201" s="243"/>
      <c r="ABW201" s="243"/>
      <c r="ABX201" s="243"/>
      <c r="ABY201" s="243"/>
      <c r="ABZ201" s="243"/>
      <c r="ACA201" s="243"/>
      <c r="ACB201" s="243"/>
      <c r="ACC201" s="243"/>
      <c r="ACD201" s="243"/>
      <c r="ACE201" s="243"/>
      <c r="ACF201" s="243"/>
      <c r="ACG201" s="243"/>
      <c r="ACH201" s="243"/>
      <c r="ACI201" s="243"/>
      <c r="ACJ201" s="243"/>
      <c r="ACK201" s="243"/>
      <c r="ACL201" s="243"/>
      <c r="ACM201" s="243"/>
      <c r="ACN201" s="243"/>
      <c r="ACO201" s="243"/>
      <c r="ACP201" s="243"/>
      <c r="ACQ201" s="243"/>
      <c r="ACR201" s="243"/>
      <c r="ACS201" s="243"/>
      <c r="ACT201" s="243"/>
      <c r="ACU201" s="243"/>
      <c r="ACV201" s="243"/>
      <c r="ACW201" s="243"/>
      <c r="ACX201" s="243"/>
      <c r="ACY201" s="243"/>
      <c r="ACZ201" s="243"/>
      <c r="ADA201" s="243"/>
      <c r="ADB201" s="243"/>
      <c r="ADC201" s="243"/>
      <c r="ADD201" s="243"/>
      <c r="ADE201" s="243"/>
      <c r="ADF201" s="243"/>
      <c r="ADG201" s="243"/>
      <c r="ADH201" s="243"/>
      <c r="ADI201" s="243"/>
      <c r="ADJ201" s="243"/>
      <c r="ADK201" s="243"/>
      <c r="ADL201" s="243"/>
      <c r="ADM201" s="243"/>
      <c r="ADN201" s="243"/>
      <c r="ADO201" s="243"/>
      <c r="ADP201" s="243"/>
      <c r="ADQ201" s="243"/>
      <c r="ADR201" s="243"/>
      <c r="ADS201" s="243"/>
      <c r="ADT201" s="243"/>
      <c r="ADU201" s="243"/>
      <c r="ADV201" s="243"/>
      <c r="ADW201" s="243"/>
      <c r="ADX201" s="243"/>
      <c r="ADY201" s="243"/>
      <c r="ADZ201" s="243"/>
      <c r="AEA201" s="243"/>
      <c r="AEB201" s="243"/>
      <c r="AEC201" s="243"/>
      <c r="AED201" s="243"/>
      <c r="AEE201" s="243"/>
      <c r="AEF201" s="243"/>
      <c r="AEG201" s="243"/>
      <c r="AEH201" s="243"/>
      <c r="AEI201" s="243"/>
      <c r="AEJ201" s="243"/>
      <c r="AEK201" s="243"/>
      <c r="AEL201" s="243"/>
      <c r="AEM201" s="243"/>
      <c r="AEN201" s="243"/>
      <c r="AEO201" s="243"/>
      <c r="AEP201" s="243"/>
      <c r="AEQ201" s="243"/>
      <c r="AER201" s="243"/>
      <c r="AES201" s="243"/>
      <c r="AET201" s="243"/>
      <c r="AEU201" s="243"/>
      <c r="AEV201" s="243"/>
      <c r="AEW201" s="243"/>
      <c r="AEX201" s="243"/>
      <c r="AEY201" s="243"/>
      <c r="AEZ201" s="243"/>
      <c r="AFA201" s="243"/>
      <c r="AFB201" s="243"/>
      <c r="AFC201" s="243"/>
      <c r="AFD201" s="243"/>
      <c r="AFE201" s="243"/>
      <c r="AFF201" s="243"/>
      <c r="AFG201" s="243"/>
      <c r="AFH201" s="243"/>
      <c r="AFI201" s="243"/>
      <c r="AFJ201" s="243"/>
      <c r="AFK201" s="243"/>
      <c r="AFL201" s="243"/>
      <c r="AFM201" s="243"/>
      <c r="AFN201" s="243"/>
      <c r="AFO201" s="243"/>
      <c r="AFP201" s="243"/>
      <c r="AFQ201" s="243"/>
      <c r="AFR201" s="243"/>
      <c r="AFS201" s="243"/>
      <c r="AFT201" s="243"/>
      <c r="AFU201" s="243"/>
      <c r="AFV201" s="243"/>
      <c r="AFW201" s="243"/>
      <c r="AFX201" s="243"/>
      <c r="AFY201" s="243"/>
      <c r="AFZ201" s="243"/>
      <c r="AGA201" s="243"/>
      <c r="AGB201" s="243"/>
      <c r="AGC201" s="243"/>
      <c r="AGD201" s="243"/>
      <c r="AGE201" s="243"/>
      <c r="AGF201" s="243"/>
      <c r="AGG201" s="243"/>
      <c r="AGH201" s="243"/>
      <c r="AGI201" s="243"/>
      <c r="AGJ201" s="243"/>
      <c r="AGK201" s="243"/>
      <c r="AGL201" s="243"/>
      <c r="AGM201" s="243"/>
      <c r="AGN201" s="243"/>
      <c r="AGO201" s="243"/>
      <c r="AGP201" s="243"/>
      <c r="AGQ201" s="243"/>
      <c r="AGR201" s="243"/>
      <c r="AGS201" s="243"/>
      <c r="AGT201" s="243"/>
      <c r="AGU201" s="243"/>
      <c r="AGV201" s="243"/>
      <c r="AGW201" s="243"/>
      <c r="AGX201" s="243"/>
      <c r="AGY201" s="243"/>
      <c r="AGZ201" s="243"/>
      <c r="AHA201" s="243"/>
      <c r="AHB201" s="243"/>
      <c r="AHC201" s="243"/>
      <c r="AHD201" s="243"/>
      <c r="AHE201" s="243"/>
      <c r="AHF201" s="243"/>
      <c r="AHG201" s="243"/>
      <c r="AHH201" s="243"/>
      <c r="AHI201" s="243"/>
      <c r="AHJ201" s="243"/>
      <c r="AHK201" s="243"/>
      <c r="AHL201" s="243"/>
      <c r="AHM201" s="243"/>
      <c r="AHN201" s="243"/>
      <c r="AHO201" s="243"/>
      <c r="AHP201" s="243"/>
      <c r="AHQ201" s="243"/>
      <c r="AHR201" s="243"/>
      <c r="AHS201" s="243"/>
      <c r="AHT201" s="243"/>
      <c r="AHU201" s="243"/>
      <c r="AHV201" s="243"/>
      <c r="AHW201" s="243"/>
      <c r="AHX201" s="243"/>
      <c r="AHY201" s="243"/>
      <c r="AHZ201" s="243"/>
      <c r="AIA201" s="243"/>
      <c r="AIB201" s="243"/>
      <c r="AIC201" s="243"/>
      <c r="AID201" s="243"/>
      <c r="AIE201" s="243"/>
      <c r="AIF201" s="243"/>
      <c r="AIG201" s="243"/>
      <c r="AIH201" s="243"/>
      <c r="AII201" s="243"/>
      <c r="AIJ201" s="243"/>
      <c r="AIK201" s="243"/>
      <c r="AIL201" s="243"/>
      <c r="AIM201" s="243"/>
      <c r="AIN201" s="243"/>
      <c r="AIO201" s="243"/>
      <c r="AIP201" s="243"/>
      <c r="AIQ201" s="243"/>
      <c r="AIR201" s="243"/>
      <c r="AIS201" s="243"/>
      <c r="AIT201" s="243"/>
      <c r="AIU201" s="243"/>
      <c r="AIV201" s="243"/>
      <c r="AIW201" s="243"/>
      <c r="AIX201" s="243"/>
      <c r="AIY201" s="243"/>
      <c r="AIZ201" s="243"/>
      <c r="AJA201" s="243"/>
      <c r="AJB201" s="243"/>
      <c r="AJC201" s="243"/>
      <c r="AJD201" s="243"/>
      <c r="AJE201" s="243"/>
      <c r="AJF201" s="243"/>
      <c r="AJG201" s="243"/>
      <c r="AJH201" s="243"/>
      <c r="AJI201" s="243"/>
      <c r="AJJ201" s="243"/>
      <c r="AJK201" s="243"/>
      <c r="AJL201" s="243"/>
      <c r="AJM201" s="243"/>
      <c r="AJN201" s="243"/>
      <c r="AJO201" s="243"/>
      <c r="AJP201" s="243"/>
      <c r="AJQ201" s="243"/>
      <c r="AJR201" s="243"/>
      <c r="AJS201" s="243"/>
      <c r="AJT201" s="243"/>
      <c r="AJU201" s="243"/>
      <c r="AJV201" s="243"/>
      <c r="AJW201" s="243"/>
      <c r="AJX201" s="243"/>
      <c r="AJY201" s="243"/>
      <c r="AJZ201" s="243"/>
      <c r="AKA201" s="243"/>
      <c r="AKB201" s="243"/>
      <c r="AKC201" s="243"/>
      <c r="AKD201" s="243"/>
      <c r="AKE201" s="243"/>
      <c r="AKF201" s="243"/>
      <c r="AKG201" s="243"/>
      <c r="AKH201" s="243"/>
      <c r="AKI201" s="243"/>
      <c r="AKJ201" s="243"/>
      <c r="AKK201" s="243"/>
      <c r="AKL201" s="243"/>
      <c r="AKM201" s="243"/>
      <c r="AKN201" s="243"/>
      <c r="AKO201" s="243"/>
      <c r="AKP201" s="243"/>
      <c r="AKQ201" s="243"/>
      <c r="AKR201" s="243"/>
      <c r="AKS201" s="243"/>
      <c r="AKT201" s="243"/>
      <c r="AKU201" s="243"/>
      <c r="AKV201" s="243"/>
      <c r="AKW201" s="243"/>
      <c r="AKX201" s="243"/>
      <c r="AKY201" s="243"/>
      <c r="AKZ201" s="243"/>
      <c r="ALA201" s="243"/>
      <c r="ALB201" s="243"/>
      <c r="ALC201" s="243"/>
      <c r="ALD201" s="243"/>
      <c r="ALE201" s="243"/>
      <c r="ALF201" s="243"/>
      <c r="ALG201" s="243"/>
      <c r="ALH201" s="243"/>
      <c r="ALI201" s="243"/>
      <c r="ALJ201" s="243"/>
      <c r="ALK201" s="243"/>
      <c r="ALL201" s="243"/>
      <c r="ALM201" s="243"/>
      <c r="ALN201" s="243"/>
      <c r="ALO201" s="243"/>
      <c r="ALP201" s="243"/>
      <c r="ALQ201" s="243"/>
      <c r="ALR201" s="243"/>
      <c r="ALS201" s="243"/>
      <c r="ALT201" s="243"/>
      <c r="ALU201" s="243"/>
      <c r="ALV201" s="243"/>
      <c r="ALW201" s="243"/>
      <c r="ALX201" s="243"/>
      <c r="ALY201" s="243"/>
      <c r="ALZ201" s="243"/>
      <c r="AMA201" s="243"/>
      <c r="AMB201" s="243"/>
      <c r="AMC201" s="243"/>
      <c r="AMD201" s="243"/>
      <c r="AME201" s="243"/>
      <c r="AMF201" s="243"/>
      <c r="AMG201" s="243"/>
      <c r="AMH201" s="243"/>
      <c r="AMI201" s="244"/>
      <c r="AMJ201" s="244"/>
    </row>
    <row r="202" spans="1:1024">
      <c r="A202" s="910" t="s">
        <v>121</v>
      </c>
      <c r="B202" s="462">
        <v>13906</v>
      </c>
      <c r="C202" s="463">
        <v>0.1</v>
      </c>
      <c r="D202" s="464" t="s">
        <v>122</v>
      </c>
      <c r="E202" s="465">
        <v>1400000</v>
      </c>
      <c r="F202" s="466">
        <v>0.06</v>
      </c>
      <c r="G202" s="465">
        <f>E202*F202</f>
        <v>84000</v>
      </c>
      <c r="H202" s="467" t="s">
        <v>123</v>
      </c>
      <c r="I202" s="467" t="s">
        <v>124</v>
      </c>
      <c r="J202" s="467" t="s">
        <v>125</v>
      </c>
      <c r="K202" s="467" t="s">
        <v>123</v>
      </c>
      <c r="L202" s="467" t="s">
        <v>125</v>
      </c>
      <c r="M202" s="464">
        <v>13885</v>
      </c>
      <c r="N202" s="464" t="s">
        <v>126</v>
      </c>
      <c r="O202" s="468">
        <v>2600000</v>
      </c>
      <c r="P202" s="469">
        <v>0.04</v>
      </c>
      <c r="Q202" s="468">
        <f>O202*P202</f>
        <v>104000</v>
      </c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  <c r="AH202" s="243"/>
      <c r="AI202" s="243"/>
      <c r="AJ202" s="243"/>
      <c r="AK202" s="243"/>
      <c r="AL202" s="243"/>
      <c r="AM202" s="243"/>
      <c r="AN202" s="243"/>
      <c r="AO202" s="243"/>
      <c r="AP202" s="243"/>
      <c r="AQ202" s="243"/>
      <c r="AR202" s="243"/>
      <c r="AS202" s="243"/>
      <c r="AT202" s="243"/>
      <c r="AU202" s="243"/>
      <c r="AV202" s="243"/>
      <c r="AW202" s="243"/>
      <c r="AX202" s="243"/>
      <c r="AY202" s="243"/>
      <c r="AZ202" s="243"/>
      <c r="BA202" s="243"/>
      <c r="BB202" s="243"/>
      <c r="BC202" s="243"/>
      <c r="BD202" s="243"/>
      <c r="BE202" s="243"/>
      <c r="BF202" s="243"/>
      <c r="BG202" s="243"/>
      <c r="BH202" s="243"/>
      <c r="BI202" s="243"/>
      <c r="BJ202" s="243"/>
      <c r="BK202" s="243"/>
      <c r="BL202" s="243"/>
      <c r="BM202" s="243"/>
      <c r="BN202" s="243"/>
      <c r="BO202" s="243"/>
      <c r="BP202" s="243"/>
      <c r="BQ202" s="243"/>
      <c r="BR202" s="243"/>
      <c r="BS202" s="243"/>
      <c r="BT202" s="243"/>
      <c r="BU202" s="243"/>
      <c r="BV202" s="243"/>
      <c r="BW202" s="243"/>
      <c r="BX202" s="243"/>
      <c r="BY202" s="243"/>
      <c r="BZ202" s="243"/>
      <c r="CA202" s="243"/>
      <c r="CB202" s="243"/>
      <c r="CC202" s="243"/>
      <c r="CD202" s="243"/>
      <c r="CE202" s="243"/>
      <c r="CF202" s="243"/>
      <c r="CG202" s="243"/>
      <c r="CH202" s="243"/>
      <c r="CI202" s="243"/>
      <c r="CJ202" s="243"/>
      <c r="CK202" s="243"/>
      <c r="CL202" s="243"/>
      <c r="CM202" s="243"/>
      <c r="CN202" s="243"/>
      <c r="CO202" s="243"/>
      <c r="CP202" s="243"/>
      <c r="CQ202" s="243"/>
      <c r="CR202" s="243"/>
      <c r="CS202" s="243"/>
      <c r="CT202" s="243"/>
      <c r="CU202" s="243"/>
      <c r="CV202" s="243"/>
      <c r="CW202" s="243"/>
      <c r="CX202" s="243"/>
      <c r="CY202" s="243"/>
      <c r="CZ202" s="243"/>
      <c r="DA202" s="243"/>
      <c r="DB202" s="243"/>
      <c r="DC202" s="243"/>
      <c r="DD202" s="243"/>
      <c r="DE202" s="243"/>
      <c r="DF202" s="243"/>
      <c r="DG202" s="243"/>
      <c r="DH202" s="243"/>
      <c r="DI202" s="243"/>
      <c r="DJ202" s="243"/>
      <c r="DK202" s="243"/>
      <c r="DL202" s="243"/>
      <c r="DM202" s="243"/>
      <c r="DN202" s="243"/>
      <c r="DO202" s="243"/>
      <c r="DP202" s="243"/>
      <c r="DQ202" s="243"/>
      <c r="DR202" s="243"/>
      <c r="DS202" s="243"/>
      <c r="DT202" s="243"/>
      <c r="DU202" s="243"/>
      <c r="DV202" s="243"/>
      <c r="DW202" s="243"/>
      <c r="DX202" s="243"/>
      <c r="DY202" s="243"/>
      <c r="DZ202" s="243"/>
      <c r="EA202" s="243"/>
      <c r="EB202" s="243"/>
      <c r="EC202" s="243"/>
      <c r="ED202" s="243"/>
      <c r="EE202" s="243"/>
      <c r="EF202" s="243"/>
      <c r="EG202" s="243"/>
      <c r="EH202" s="243"/>
      <c r="EI202" s="243"/>
      <c r="EJ202" s="243"/>
      <c r="EK202" s="243"/>
      <c r="EL202" s="243"/>
      <c r="EM202" s="243"/>
      <c r="EN202" s="243"/>
      <c r="EO202" s="243"/>
      <c r="EP202" s="243"/>
      <c r="EQ202" s="243"/>
      <c r="ER202" s="243"/>
      <c r="ES202" s="243"/>
      <c r="ET202" s="243"/>
      <c r="EU202" s="243"/>
      <c r="EV202" s="243"/>
      <c r="EW202" s="243"/>
      <c r="EX202" s="243"/>
      <c r="EY202" s="243"/>
      <c r="EZ202" s="243"/>
      <c r="FA202" s="243"/>
      <c r="FB202" s="243"/>
      <c r="FC202" s="243"/>
      <c r="FD202" s="243"/>
      <c r="FE202" s="243"/>
      <c r="FF202" s="243"/>
      <c r="FG202" s="243"/>
      <c r="FH202" s="243"/>
      <c r="FI202" s="243"/>
      <c r="FJ202" s="243"/>
      <c r="FK202" s="243"/>
      <c r="FL202" s="243"/>
      <c r="FM202" s="243"/>
      <c r="FN202" s="243"/>
      <c r="FO202" s="243"/>
      <c r="FP202" s="243"/>
      <c r="FQ202" s="243"/>
      <c r="FR202" s="243"/>
      <c r="FS202" s="243"/>
      <c r="FT202" s="243"/>
      <c r="FU202" s="243"/>
      <c r="FV202" s="243"/>
      <c r="FW202" s="243"/>
      <c r="FX202" s="243"/>
      <c r="FY202" s="243"/>
      <c r="FZ202" s="243"/>
      <c r="GA202" s="243"/>
      <c r="GB202" s="243"/>
      <c r="GC202" s="243"/>
      <c r="GD202" s="243"/>
      <c r="GE202" s="243"/>
      <c r="GF202" s="243"/>
      <c r="GG202" s="243"/>
      <c r="GH202" s="243"/>
      <c r="GI202" s="243"/>
      <c r="GJ202" s="243"/>
      <c r="GK202" s="243"/>
      <c r="GL202" s="243"/>
      <c r="GM202" s="243"/>
      <c r="GN202" s="243"/>
      <c r="GO202" s="243"/>
      <c r="GP202" s="243"/>
      <c r="GQ202" s="243"/>
      <c r="GR202" s="243"/>
      <c r="GS202" s="243"/>
      <c r="GT202" s="243"/>
      <c r="GU202" s="243"/>
      <c r="GV202" s="243"/>
      <c r="GW202" s="243"/>
      <c r="GX202" s="243"/>
      <c r="GY202" s="243"/>
      <c r="GZ202" s="243"/>
      <c r="HA202" s="243"/>
      <c r="HB202" s="243"/>
      <c r="HC202" s="243"/>
      <c r="HD202" s="243"/>
      <c r="HE202" s="243"/>
      <c r="HF202" s="243"/>
      <c r="HG202" s="243"/>
      <c r="HH202" s="243"/>
      <c r="HI202" s="243"/>
      <c r="HJ202" s="243"/>
      <c r="HK202" s="243"/>
      <c r="HL202" s="243"/>
      <c r="HM202" s="243"/>
      <c r="HN202" s="243"/>
      <c r="HO202" s="243"/>
      <c r="HP202" s="243"/>
      <c r="HQ202" s="243"/>
      <c r="HR202" s="243"/>
      <c r="HS202" s="243"/>
      <c r="HT202" s="243"/>
      <c r="HU202" s="243"/>
      <c r="HV202" s="243"/>
      <c r="HW202" s="243"/>
      <c r="HX202" s="243"/>
      <c r="HY202" s="243"/>
      <c r="HZ202" s="243"/>
      <c r="IA202" s="243"/>
      <c r="IB202" s="243"/>
      <c r="IC202" s="243"/>
      <c r="ID202" s="243"/>
      <c r="IE202" s="243"/>
      <c r="IF202" s="243"/>
      <c r="IG202" s="243"/>
      <c r="IH202" s="243"/>
      <c r="II202" s="243"/>
      <c r="IJ202" s="243"/>
      <c r="IK202" s="243"/>
      <c r="IL202" s="243"/>
      <c r="IM202" s="243"/>
      <c r="IN202" s="243"/>
      <c r="IO202" s="243"/>
      <c r="IP202" s="243"/>
      <c r="IQ202" s="243"/>
      <c r="IR202" s="243"/>
      <c r="IS202" s="243"/>
      <c r="IT202" s="243"/>
      <c r="IU202" s="243"/>
      <c r="IV202" s="243"/>
      <c r="IW202" s="243"/>
      <c r="IX202" s="243"/>
      <c r="IY202" s="243"/>
      <c r="IZ202" s="243"/>
      <c r="JA202" s="243"/>
      <c r="JB202" s="243"/>
      <c r="JC202" s="243"/>
      <c r="JD202" s="243"/>
      <c r="JE202" s="243"/>
      <c r="JF202" s="243"/>
      <c r="JG202" s="243"/>
      <c r="JH202" s="243"/>
      <c r="JI202" s="243"/>
      <c r="JJ202" s="243"/>
      <c r="JK202" s="243"/>
      <c r="JL202" s="243"/>
      <c r="JM202" s="243"/>
      <c r="JN202" s="243"/>
      <c r="JO202" s="243"/>
      <c r="JP202" s="243"/>
      <c r="JQ202" s="243"/>
      <c r="JR202" s="243"/>
      <c r="JS202" s="243"/>
      <c r="JT202" s="243"/>
      <c r="JU202" s="243"/>
      <c r="JV202" s="243"/>
      <c r="JW202" s="243"/>
      <c r="JX202" s="243"/>
      <c r="JY202" s="243"/>
      <c r="JZ202" s="243"/>
      <c r="KA202" s="243"/>
      <c r="KB202" s="243"/>
      <c r="KC202" s="243"/>
      <c r="KD202" s="243"/>
      <c r="KE202" s="243"/>
      <c r="KF202" s="243"/>
      <c r="KG202" s="243"/>
      <c r="KH202" s="243"/>
      <c r="KI202" s="243"/>
      <c r="KJ202" s="243"/>
      <c r="KK202" s="243"/>
      <c r="KL202" s="243"/>
      <c r="KM202" s="243"/>
      <c r="KN202" s="243"/>
      <c r="KO202" s="243"/>
      <c r="KP202" s="243"/>
      <c r="KQ202" s="243"/>
      <c r="KR202" s="243"/>
      <c r="KS202" s="243"/>
      <c r="KT202" s="243"/>
      <c r="KU202" s="243"/>
      <c r="KV202" s="243"/>
      <c r="KW202" s="243"/>
      <c r="KX202" s="243"/>
      <c r="KY202" s="243"/>
      <c r="KZ202" s="243"/>
      <c r="LA202" s="243"/>
      <c r="LB202" s="243"/>
      <c r="LC202" s="243"/>
      <c r="LD202" s="243"/>
      <c r="LE202" s="243"/>
      <c r="LF202" s="243"/>
      <c r="LG202" s="243"/>
      <c r="LH202" s="243"/>
      <c r="LI202" s="243"/>
      <c r="LJ202" s="243"/>
      <c r="LK202" s="243"/>
      <c r="LL202" s="243"/>
      <c r="LM202" s="243"/>
      <c r="LN202" s="243"/>
      <c r="LO202" s="243"/>
      <c r="LP202" s="243"/>
      <c r="LQ202" s="243"/>
      <c r="LR202" s="243"/>
      <c r="LS202" s="243"/>
      <c r="LT202" s="243"/>
      <c r="LU202" s="243"/>
      <c r="LV202" s="243"/>
      <c r="LW202" s="243"/>
      <c r="LX202" s="243"/>
      <c r="LY202" s="243"/>
      <c r="LZ202" s="243"/>
      <c r="MA202" s="243"/>
      <c r="MB202" s="243"/>
      <c r="MC202" s="243"/>
      <c r="MD202" s="243"/>
      <c r="ME202" s="243"/>
      <c r="MF202" s="243"/>
      <c r="MG202" s="243"/>
      <c r="MH202" s="243"/>
      <c r="MI202" s="243"/>
      <c r="MJ202" s="243"/>
      <c r="MK202" s="243"/>
      <c r="ML202" s="243"/>
      <c r="MM202" s="243"/>
      <c r="MN202" s="243"/>
      <c r="MO202" s="243"/>
      <c r="MP202" s="243"/>
      <c r="MQ202" s="243"/>
      <c r="MR202" s="243"/>
      <c r="MS202" s="243"/>
      <c r="MT202" s="243"/>
      <c r="MU202" s="243"/>
      <c r="MV202" s="243"/>
      <c r="MW202" s="243"/>
      <c r="MX202" s="243"/>
      <c r="MY202" s="243"/>
      <c r="MZ202" s="243"/>
      <c r="NA202" s="243"/>
      <c r="NB202" s="243"/>
      <c r="NC202" s="243"/>
      <c r="ND202" s="243"/>
      <c r="NE202" s="243"/>
      <c r="NF202" s="243"/>
      <c r="NG202" s="243"/>
      <c r="NH202" s="243"/>
      <c r="NI202" s="243"/>
      <c r="NJ202" s="243"/>
      <c r="NK202" s="243"/>
      <c r="NL202" s="243"/>
      <c r="NM202" s="243"/>
      <c r="NN202" s="243"/>
      <c r="NO202" s="243"/>
      <c r="NP202" s="243"/>
      <c r="NQ202" s="243"/>
      <c r="NR202" s="243"/>
      <c r="NS202" s="243"/>
      <c r="NT202" s="243"/>
      <c r="NU202" s="243"/>
      <c r="NV202" s="243"/>
      <c r="NW202" s="243"/>
      <c r="NX202" s="243"/>
      <c r="NY202" s="243"/>
      <c r="NZ202" s="243"/>
      <c r="OA202" s="243"/>
      <c r="OB202" s="243"/>
      <c r="OC202" s="243"/>
      <c r="OD202" s="243"/>
      <c r="OE202" s="243"/>
      <c r="OF202" s="243"/>
      <c r="OG202" s="243"/>
      <c r="OH202" s="243"/>
      <c r="OI202" s="243"/>
      <c r="OJ202" s="243"/>
      <c r="OK202" s="243"/>
      <c r="OL202" s="243"/>
      <c r="OM202" s="243"/>
      <c r="ON202" s="243"/>
      <c r="OO202" s="243"/>
      <c r="OP202" s="243"/>
      <c r="OQ202" s="243"/>
      <c r="OR202" s="243"/>
      <c r="OS202" s="243"/>
      <c r="OT202" s="243"/>
      <c r="OU202" s="243"/>
      <c r="OV202" s="243"/>
      <c r="OW202" s="243"/>
      <c r="OX202" s="243"/>
      <c r="OY202" s="243"/>
      <c r="OZ202" s="243"/>
      <c r="PA202" s="243"/>
      <c r="PB202" s="243"/>
      <c r="PC202" s="243"/>
      <c r="PD202" s="243"/>
      <c r="PE202" s="243"/>
      <c r="PF202" s="243"/>
      <c r="PG202" s="243"/>
      <c r="PH202" s="243"/>
      <c r="PI202" s="243"/>
      <c r="PJ202" s="243"/>
      <c r="PK202" s="243"/>
      <c r="PL202" s="243"/>
      <c r="PM202" s="243"/>
      <c r="PN202" s="243"/>
      <c r="PO202" s="243"/>
      <c r="PP202" s="243"/>
      <c r="PQ202" s="243"/>
      <c r="PR202" s="243"/>
      <c r="PS202" s="243"/>
      <c r="PT202" s="243"/>
      <c r="PU202" s="243"/>
      <c r="PV202" s="243"/>
      <c r="PW202" s="243"/>
      <c r="PX202" s="243"/>
      <c r="PY202" s="243"/>
      <c r="PZ202" s="243"/>
      <c r="QA202" s="243"/>
      <c r="QB202" s="243"/>
      <c r="QC202" s="243"/>
      <c r="QD202" s="243"/>
      <c r="QE202" s="243"/>
      <c r="QF202" s="243"/>
      <c r="QG202" s="243"/>
      <c r="QH202" s="243"/>
      <c r="QI202" s="243"/>
      <c r="QJ202" s="243"/>
      <c r="QK202" s="243"/>
      <c r="QL202" s="243"/>
      <c r="QM202" s="243"/>
      <c r="QN202" s="243"/>
      <c r="QO202" s="243"/>
      <c r="QP202" s="243"/>
      <c r="QQ202" s="243"/>
      <c r="QR202" s="243"/>
      <c r="QS202" s="243"/>
      <c r="QT202" s="243"/>
      <c r="QU202" s="243"/>
      <c r="QV202" s="243"/>
      <c r="QW202" s="243"/>
      <c r="QX202" s="243"/>
      <c r="QY202" s="243"/>
      <c r="QZ202" s="243"/>
      <c r="RA202" s="243"/>
      <c r="RB202" s="243"/>
      <c r="RC202" s="243"/>
      <c r="RD202" s="243"/>
      <c r="RE202" s="243"/>
      <c r="RF202" s="243"/>
      <c r="RG202" s="243"/>
      <c r="RH202" s="243"/>
      <c r="RI202" s="243"/>
      <c r="RJ202" s="243"/>
      <c r="RK202" s="243"/>
      <c r="RL202" s="243"/>
      <c r="RM202" s="243"/>
      <c r="RN202" s="243"/>
      <c r="RO202" s="243"/>
      <c r="RP202" s="243"/>
      <c r="RQ202" s="243"/>
      <c r="RR202" s="243"/>
      <c r="RS202" s="243"/>
      <c r="RT202" s="243"/>
      <c r="RU202" s="243"/>
      <c r="RV202" s="243"/>
      <c r="RW202" s="243"/>
      <c r="RX202" s="243"/>
      <c r="RY202" s="243"/>
      <c r="RZ202" s="243"/>
      <c r="SA202" s="243"/>
      <c r="SB202" s="243"/>
      <c r="SC202" s="243"/>
      <c r="SD202" s="243"/>
      <c r="SE202" s="243"/>
      <c r="SF202" s="243"/>
      <c r="SG202" s="243"/>
      <c r="SH202" s="243"/>
      <c r="SI202" s="243"/>
      <c r="SJ202" s="243"/>
      <c r="SK202" s="243"/>
      <c r="SL202" s="243"/>
      <c r="SM202" s="243"/>
      <c r="SN202" s="243"/>
      <c r="SO202" s="243"/>
      <c r="SP202" s="243"/>
      <c r="SQ202" s="243"/>
      <c r="SR202" s="243"/>
      <c r="SS202" s="243"/>
      <c r="ST202" s="243"/>
      <c r="SU202" s="243"/>
      <c r="SV202" s="243"/>
      <c r="SW202" s="243"/>
      <c r="SX202" s="243"/>
      <c r="SY202" s="243"/>
      <c r="SZ202" s="243"/>
      <c r="TA202" s="243"/>
      <c r="TB202" s="243"/>
      <c r="TC202" s="243"/>
      <c r="TD202" s="243"/>
      <c r="TE202" s="243"/>
      <c r="TF202" s="243"/>
      <c r="TG202" s="243"/>
      <c r="TH202" s="243"/>
      <c r="TI202" s="243"/>
      <c r="TJ202" s="243"/>
      <c r="TK202" s="243"/>
      <c r="TL202" s="243"/>
      <c r="TM202" s="243"/>
      <c r="TN202" s="243"/>
      <c r="TO202" s="243"/>
      <c r="TP202" s="243"/>
      <c r="TQ202" s="243"/>
      <c r="TR202" s="243"/>
      <c r="TS202" s="243"/>
      <c r="TT202" s="243"/>
      <c r="TU202" s="243"/>
      <c r="TV202" s="243"/>
      <c r="TW202" s="243"/>
      <c r="TX202" s="243"/>
      <c r="TY202" s="243"/>
      <c r="TZ202" s="243"/>
      <c r="UA202" s="243"/>
      <c r="UB202" s="243"/>
      <c r="UC202" s="243"/>
      <c r="UD202" s="243"/>
      <c r="UE202" s="243"/>
      <c r="UF202" s="243"/>
      <c r="UG202" s="243"/>
      <c r="UH202" s="243"/>
      <c r="UI202" s="243"/>
      <c r="UJ202" s="243"/>
      <c r="UK202" s="243"/>
      <c r="UL202" s="243"/>
      <c r="UM202" s="243"/>
      <c r="UN202" s="243"/>
      <c r="UO202" s="243"/>
      <c r="UP202" s="243"/>
      <c r="UQ202" s="243"/>
      <c r="UR202" s="243"/>
      <c r="US202" s="243"/>
      <c r="UT202" s="243"/>
      <c r="UU202" s="243"/>
      <c r="UV202" s="243"/>
      <c r="UW202" s="243"/>
      <c r="UX202" s="243"/>
      <c r="UY202" s="243"/>
      <c r="UZ202" s="243"/>
      <c r="VA202" s="243"/>
      <c r="VB202" s="243"/>
      <c r="VC202" s="243"/>
      <c r="VD202" s="243"/>
      <c r="VE202" s="243"/>
      <c r="VF202" s="243"/>
      <c r="VG202" s="243"/>
      <c r="VH202" s="243"/>
      <c r="VI202" s="243"/>
      <c r="VJ202" s="243"/>
      <c r="VK202" s="243"/>
      <c r="VL202" s="243"/>
      <c r="VM202" s="243"/>
      <c r="VN202" s="243"/>
      <c r="VO202" s="243"/>
      <c r="VP202" s="243"/>
      <c r="VQ202" s="243"/>
      <c r="VR202" s="243"/>
      <c r="VS202" s="243"/>
      <c r="VT202" s="243"/>
      <c r="VU202" s="243"/>
      <c r="VV202" s="243"/>
      <c r="VW202" s="243"/>
      <c r="VX202" s="243"/>
      <c r="VY202" s="243"/>
      <c r="VZ202" s="243"/>
      <c r="WA202" s="243"/>
      <c r="WB202" s="243"/>
      <c r="WC202" s="243"/>
      <c r="WD202" s="243"/>
      <c r="WE202" s="243"/>
      <c r="WF202" s="243"/>
      <c r="WG202" s="243"/>
      <c r="WH202" s="243"/>
      <c r="WI202" s="243"/>
      <c r="WJ202" s="243"/>
      <c r="WK202" s="243"/>
      <c r="WL202" s="243"/>
      <c r="WM202" s="243"/>
      <c r="WN202" s="243"/>
      <c r="WO202" s="243"/>
      <c r="WP202" s="243"/>
      <c r="WQ202" s="243"/>
      <c r="WR202" s="243"/>
      <c r="WS202" s="243"/>
      <c r="WT202" s="243"/>
      <c r="WU202" s="243"/>
      <c r="WV202" s="243"/>
      <c r="WW202" s="243"/>
      <c r="WX202" s="243"/>
      <c r="WY202" s="243"/>
      <c r="WZ202" s="243"/>
      <c r="XA202" s="243"/>
      <c r="XB202" s="243"/>
      <c r="XC202" s="243"/>
      <c r="XD202" s="243"/>
      <c r="XE202" s="243"/>
      <c r="XF202" s="243"/>
      <c r="XG202" s="243"/>
      <c r="XH202" s="243"/>
      <c r="XI202" s="243"/>
      <c r="XJ202" s="243"/>
      <c r="XK202" s="243"/>
      <c r="XL202" s="243"/>
      <c r="XM202" s="243"/>
      <c r="XN202" s="243"/>
      <c r="XO202" s="243"/>
      <c r="XP202" s="243"/>
      <c r="XQ202" s="243"/>
      <c r="XR202" s="243"/>
      <c r="XS202" s="243"/>
      <c r="XT202" s="243"/>
      <c r="XU202" s="243"/>
      <c r="XV202" s="243"/>
      <c r="XW202" s="243"/>
      <c r="XX202" s="243"/>
      <c r="XY202" s="243"/>
      <c r="XZ202" s="243"/>
      <c r="YA202" s="243"/>
      <c r="YB202" s="243"/>
      <c r="YC202" s="243"/>
      <c r="YD202" s="243"/>
      <c r="YE202" s="243"/>
      <c r="YF202" s="243"/>
      <c r="YG202" s="243"/>
      <c r="YH202" s="243"/>
      <c r="YI202" s="243"/>
      <c r="YJ202" s="243"/>
      <c r="YK202" s="243"/>
      <c r="YL202" s="243"/>
      <c r="YM202" s="243"/>
      <c r="YN202" s="243"/>
      <c r="YO202" s="243"/>
      <c r="YP202" s="243"/>
      <c r="YQ202" s="243"/>
      <c r="YR202" s="243"/>
      <c r="YS202" s="243"/>
      <c r="YT202" s="243"/>
      <c r="YU202" s="243"/>
      <c r="YV202" s="243"/>
      <c r="YW202" s="243"/>
      <c r="YX202" s="243"/>
      <c r="YY202" s="243"/>
      <c r="YZ202" s="243"/>
      <c r="ZA202" s="243"/>
      <c r="ZB202" s="243"/>
      <c r="ZC202" s="243"/>
      <c r="ZD202" s="243"/>
      <c r="ZE202" s="243"/>
      <c r="ZF202" s="243"/>
      <c r="ZG202" s="243"/>
      <c r="ZH202" s="243"/>
      <c r="ZI202" s="243"/>
      <c r="ZJ202" s="243"/>
      <c r="ZK202" s="243"/>
      <c r="ZL202" s="243"/>
      <c r="ZM202" s="243"/>
      <c r="ZN202" s="243"/>
      <c r="ZO202" s="243"/>
      <c r="ZP202" s="243"/>
      <c r="ZQ202" s="243"/>
      <c r="ZR202" s="243"/>
      <c r="ZS202" s="243"/>
      <c r="ZT202" s="243"/>
      <c r="ZU202" s="243"/>
      <c r="ZV202" s="243"/>
      <c r="ZW202" s="243"/>
      <c r="ZX202" s="243"/>
      <c r="ZY202" s="243"/>
      <c r="ZZ202" s="243"/>
      <c r="AAA202" s="243"/>
      <c r="AAB202" s="243"/>
      <c r="AAC202" s="243"/>
      <c r="AAD202" s="243"/>
      <c r="AAE202" s="243"/>
      <c r="AAF202" s="243"/>
      <c r="AAG202" s="243"/>
      <c r="AAH202" s="243"/>
      <c r="AAI202" s="243"/>
      <c r="AAJ202" s="243"/>
      <c r="AAK202" s="243"/>
      <c r="AAL202" s="243"/>
      <c r="AAM202" s="243"/>
      <c r="AAN202" s="243"/>
      <c r="AAO202" s="243"/>
      <c r="AAP202" s="243"/>
      <c r="AAQ202" s="243"/>
      <c r="AAR202" s="243"/>
      <c r="AAS202" s="243"/>
      <c r="AAT202" s="243"/>
      <c r="AAU202" s="243"/>
      <c r="AAV202" s="243"/>
      <c r="AAW202" s="243"/>
      <c r="AAX202" s="243"/>
      <c r="AAY202" s="243"/>
      <c r="AAZ202" s="243"/>
      <c r="ABA202" s="243"/>
      <c r="ABB202" s="243"/>
      <c r="ABC202" s="243"/>
      <c r="ABD202" s="243"/>
      <c r="ABE202" s="243"/>
      <c r="ABF202" s="243"/>
      <c r="ABG202" s="243"/>
      <c r="ABH202" s="243"/>
      <c r="ABI202" s="243"/>
      <c r="ABJ202" s="243"/>
      <c r="ABK202" s="243"/>
      <c r="ABL202" s="243"/>
      <c r="ABM202" s="243"/>
      <c r="ABN202" s="243"/>
      <c r="ABO202" s="243"/>
      <c r="ABP202" s="243"/>
      <c r="ABQ202" s="243"/>
      <c r="ABR202" s="243"/>
      <c r="ABS202" s="243"/>
      <c r="ABT202" s="243"/>
      <c r="ABU202" s="243"/>
      <c r="ABV202" s="243"/>
      <c r="ABW202" s="243"/>
      <c r="ABX202" s="243"/>
      <c r="ABY202" s="243"/>
      <c r="ABZ202" s="243"/>
      <c r="ACA202" s="243"/>
      <c r="ACB202" s="243"/>
      <c r="ACC202" s="243"/>
      <c r="ACD202" s="243"/>
      <c r="ACE202" s="243"/>
      <c r="ACF202" s="243"/>
      <c r="ACG202" s="243"/>
      <c r="ACH202" s="243"/>
      <c r="ACI202" s="243"/>
      <c r="ACJ202" s="243"/>
      <c r="ACK202" s="243"/>
      <c r="ACL202" s="243"/>
      <c r="ACM202" s="243"/>
      <c r="ACN202" s="243"/>
      <c r="ACO202" s="243"/>
      <c r="ACP202" s="243"/>
      <c r="ACQ202" s="243"/>
      <c r="ACR202" s="243"/>
      <c r="ACS202" s="243"/>
      <c r="ACT202" s="243"/>
      <c r="ACU202" s="243"/>
      <c r="ACV202" s="243"/>
      <c r="ACW202" s="243"/>
      <c r="ACX202" s="243"/>
      <c r="ACY202" s="243"/>
      <c r="ACZ202" s="243"/>
      <c r="ADA202" s="243"/>
      <c r="ADB202" s="243"/>
      <c r="ADC202" s="243"/>
      <c r="ADD202" s="243"/>
      <c r="ADE202" s="243"/>
      <c r="ADF202" s="243"/>
      <c r="ADG202" s="243"/>
      <c r="ADH202" s="243"/>
      <c r="ADI202" s="243"/>
      <c r="ADJ202" s="243"/>
      <c r="ADK202" s="243"/>
      <c r="ADL202" s="243"/>
      <c r="ADM202" s="243"/>
      <c r="ADN202" s="243"/>
      <c r="ADO202" s="243"/>
      <c r="ADP202" s="243"/>
      <c r="ADQ202" s="243"/>
      <c r="ADR202" s="243"/>
      <c r="ADS202" s="243"/>
      <c r="ADT202" s="243"/>
      <c r="ADU202" s="243"/>
      <c r="ADV202" s="243"/>
      <c r="ADW202" s="243"/>
      <c r="ADX202" s="243"/>
      <c r="ADY202" s="243"/>
      <c r="ADZ202" s="243"/>
      <c r="AEA202" s="243"/>
      <c r="AEB202" s="243"/>
      <c r="AEC202" s="243"/>
      <c r="AED202" s="243"/>
      <c r="AEE202" s="243"/>
      <c r="AEF202" s="243"/>
      <c r="AEG202" s="243"/>
      <c r="AEH202" s="243"/>
      <c r="AEI202" s="243"/>
      <c r="AEJ202" s="243"/>
      <c r="AEK202" s="243"/>
      <c r="AEL202" s="243"/>
      <c r="AEM202" s="243"/>
      <c r="AEN202" s="243"/>
      <c r="AEO202" s="243"/>
      <c r="AEP202" s="243"/>
      <c r="AEQ202" s="243"/>
      <c r="AER202" s="243"/>
      <c r="AES202" s="243"/>
      <c r="AET202" s="243"/>
      <c r="AEU202" s="243"/>
      <c r="AEV202" s="243"/>
      <c r="AEW202" s="243"/>
      <c r="AEX202" s="243"/>
      <c r="AEY202" s="243"/>
      <c r="AEZ202" s="243"/>
      <c r="AFA202" s="243"/>
      <c r="AFB202" s="243"/>
      <c r="AFC202" s="243"/>
      <c r="AFD202" s="243"/>
      <c r="AFE202" s="243"/>
      <c r="AFF202" s="243"/>
      <c r="AFG202" s="243"/>
      <c r="AFH202" s="243"/>
      <c r="AFI202" s="243"/>
      <c r="AFJ202" s="243"/>
      <c r="AFK202" s="243"/>
      <c r="AFL202" s="243"/>
      <c r="AFM202" s="243"/>
      <c r="AFN202" s="243"/>
      <c r="AFO202" s="243"/>
      <c r="AFP202" s="243"/>
      <c r="AFQ202" s="243"/>
      <c r="AFR202" s="243"/>
      <c r="AFS202" s="243"/>
      <c r="AFT202" s="243"/>
      <c r="AFU202" s="243"/>
      <c r="AFV202" s="243"/>
      <c r="AFW202" s="243"/>
      <c r="AFX202" s="243"/>
      <c r="AFY202" s="243"/>
      <c r="AFZ202" s="243"/>
      <c r="AGA202" s="243"/>
      <c r="AGB202" s="243"/>
      <c r="AGC202" s="243"/>
      <c r="AGD202" s="243"/>
      <c r="AGE202" s="243"/>
      <c r="AGF202" s="243"/>
      <c r="AGG202" s="243"/>
      <c r="AGH202" s="243"/>
      <c r="AGI202" s="243"/>
      <c r="AGJ202" s="243"/>
      <c r="AGK202" s="243"/>
      <c r="AGL202" s="243"/>
      <c r="AGM202" s="243"/>
      <c r="AGN202" s="243"/>
      <c r="AGO202" s="243"/>
      <c r="AGP202" s="243"/>
      <c r="AGQ202" s="243"/>
      <c r="AGR202" s="243"/>
      <c r="AGS202" s="243"/>
      <c r="AGT202" s="243"/>
      <c r="AGU202" s="243"/>
      <c r="AGV202" s="243"/>
      <c r="AGW202" s="243"/>
      <c r="AGX202" s="243"/>
      <c r="AGY202" s="243"/>
      <c r="AGZ202" s="243"/>
      <c r="AHA202" s="243"/>
      <c r="AHB202" s="243"/>
      <c r="AHC202" s="243"/>
      <c r="AHD202" s="243"/>
      <c r="AHE202" s="243"/>
      <c r="AHF202" s="243"/>
      <c r="AHG202" s="243"/>
      <c r="AHH202" s="243"/>
      <c r="AHI202" s="243"/>
      <c r="AHJ202" s="243"/>
      <c r="AHK202" s="243"/>
      <c r="AHL202" s="243"/>
      <c r="AHM202" s="243"/>
      <c r="AHN202" s="243"/>
      <c r="AHO202" s="243"/>
      <c r="AHP202" s="243"/>
      <c r="AHQ202" s="243"/>
      <c r="AHR202" s="243"/>
      <c r="AHS202" s="243"/>
      <c r="AHT202" s="243"/>
      <c r="AHU202" s="243"/>
      <c r="AHV202" s="243"/>
      <c r="AHW202" s="243"/>
      <c r="AHX202" s="243"/>
      <c r="AHY202" s="243"/>
      <c r="AHZ202" s="243"/>
      <c r="AIA202" s="243"/>
      <c r="AIB202" s="243"/>
      <c r="AIC202" s="243"/>
      <c r="AID202" s="243"/>
      <c r="AIE202" s="243"/>
      <c r="AIF202" s="243"/>
      <c r="AIG202" s="243"/>
      <c r="AIH202" s="243"/>
      <c r="AII202" s="243"/>
      <c r="AIJ202" s="243"/>
      <c r="AIK202" s="243"/>
      <c r="AIL202" s="243"/>
      <c r="AIM202" s="243"/>
      <c r="AIN202" s="243"/>
      <c r="AIO202" s="243"/>
      <c r="AIP202" s="243"/>
      <c r="AIQ202" s="243"/>
      <c r="AIR202" s="243"/>
      <c r="AIS202" s="243"/>
      <c r="AIT202" s="243"/>
      <c r="AIU202" s="243"/>
      <c r="AIV202" s="243"/>
      <c r="AIW202" s="243"/>
      <c r="AIX202" s="243"/>
      <c r="AIY202" s="243"/>
      <c r="AIZ202" s="243"/>
      <c r="AJA202" s="243"/>
      <c r="AJB202" s="243"/>
      <c r="AJC202" s="243"/>
      <c r="AJD202" s="243"/>
      <c r="AJE202" s="243"/>
      <c r="AJF202" s="243"/>
      <c r="AJG202" s="243"/>
      <c r="AJH202" s="243"/>
      <c r="AJI202" s="243"/>
      <c r="AJJ202" s="243"/>
      <c r="AJK202" s="243"/>
      <c r="AJL202" s="243"/>
      <c r="AJM202" s="243"/>
      <c r="AJN202" s="243"/>
      <c r="AJO202" s="243"/>
      <c r="AJP202" s="243"/>
      <c r="AJQ202" s="243"/>
      <c r="AJR202" s="243"/>
      <c r="AJS202" s="243"/>
      <c r="AJT202" s="243"/>
      <c r="AJU202" s="243"/>
      <c r="AJV202" s="243"/>
      <c r="AJW202" s="243"/>
      <c r="AJX202" s="243"/>
      <c r="AJY202" s="243"/>
      <c r="AJZ202" s="243"/>
      <c r="AKA202" s="243"/>
      <c r="AKB202" s="243"/>
      <c r="AKC202" s="243"/>
      <c r="AKD202" s="243"/>
      <c r="AKE202" s="243"/>
      <c r="AKF202" s="243"/>
      <c r="AKG202" s="243"/>
      <c r="AKH202" s="243"/>
      <c r="AKI202" s="243"/>
      <c r="AKJ202" s="243"/>
      <c r="AKK202" s="243"/>
      <c r="AKL202" s="243"/>
      <c r="AKM202" s="243"/>
      <c r="AKN202" s="243"/>
      <c r="AKO202" s="243"/>
      <c r="AKP202" s="243"/>
      <c r="AKQ202" s="243"/>
      <c r="AKR202" s="243"/>
      <c r="AKS202" s="243"/>
      <c r="AKT202" s="243"/>
      <c r="AKU202" s="243"/>
      <c r="AKV202" s="243"/>
      <c r="AKW202" s="243"/>
      <c r="AKX202" s="243"/>
      <c r="AKY202" s="243"/>
      <c r="AKZ202" s="243"/>
      <c r="ALA202" s="243"/>
      <c r="ALB202" s="243"/>
      <c r="ALC202" s="243"/>
      <c r="ALD202" s="243"/>
      <c r="ALE202" s="243"/>
      <c r="ALF202" s="243"/>
      <c r="ALG202" s="243"/>
      <c r="ALH202" s="243"/>
      <c r="ALI202" s="243"/>
      <c r="ALJ202" s="243"/>
      <c r="ALK202" s="243"/>
      <c r="ALL202" s="243"/>
      <c r="ALM202" s="243"/>
      <c r="ALN202" s="243"/>
      <c r="ALO202" s="243"/>
      <c r="ALP202" s="243"/>
      <c r="ALQ202" s="243"/>
      <c r="ALR202" s="243"/>
      <c r="ALS202" s="243"/>
      <c r="ALT202" s="243"/>
      <c r="ALU202" s="243"/>
      <c r="ALV202" s="243"/>
      <c r="ALW202" s="243"/>
      <c r="ALX202" s="243"/>
      <c r="ALY202" s="243"/>
      <c r="ALZ202" s="243"/>
      <c r="AMA202" s="243"/>
      <c r="AMB202" s="243"/>
      <c r="AMC202" s="243"/>
      <c r="AMD202" s="243"/>
      <c r="AME202" s="243"/>
      <c r="AMF202" s="243"/>
      <c r="AMG202" s="243"/>
      <c r="AMH202" s="243"/>
      <c r="AMI202" s="244"/>
      <c r="AMJ202" s="244"/>
    </row>
    <row r="203" spans="1:1024">
      <c r="A203" s="911"/>
      <c r="B203" s="470">
        <v>13944</v>
      </c>
      <c r="C203" s="471">
        <v>0.1</v>
      </c>
      <c r="D203" s="472" t="s">
        <v>127</v>
      </c>
      <c r="E203" s="473">
        <v>2400000</v>
      </c>
      <c r="F203" s="474">
        <v>0.12</v>
      </c>
      <c r="G203" s="475">
        <f t="shared" ref="G203:G209" si="6">E203*F203</f>
        <v>288000</v>
      </c>
      <c r="H203" s="476" t="s">
        <v>47</v>
      </c>
      <c r="I203" s="476" t="s">
        <v>124</v>
      </c>
      <c r="J203" s="476" t="s">
        <v>125</v>
      </c>
      <c r="K203" s="476" t="s">
        <v>123</v>
      </c>
      <c r="L203" s="476" t="s">
        <v>125</v>
      </c>
      <c r="M203" s="510">
        <v>13898</v>
      </c>
      <c r="N203" s="472" t="s">
        <v>128</v>
      </c>
      <c r="O203" s="468">
        <v>900000</v>
      </c>
      <c r="P203" s="477">
        <v>0.05</v>
      </c>
      <c r="Q203" s="473">
        <f>O203*P203</f>
        <v>45000</v>
      </c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  <c r="AH203" s="243"/>
      <c r="AI203" s="243"/>
      <c r="AJ203" s="243"/>
      <c r="AK203" s="243"/>
      <c r="AL203" s="243"/>
      <c r="AM203" s="243"/>
      <c r="AN203" s="243"/>
      <c r="AO203" s="243"/>
      <c r="AP203" s="243"/>
      <c r="AQ203" s="243"/>
      <c r="AR203" s="243"/>
      <c r="AS203" s="243"/>
      <c r="AT203" s="243"/>
      <c r="AU203" s="243"/>
      <c r="AV203" s="243"/>
      <c r="AW203" s="243"/>
      <c r="AX203" s="243"/>
      <c r="AY203" s="243"/>
      <c r="AZ203" s="243"/>
      <c r="BA203" s="243"/>
      <c r="BB203" s="243"/>
      <c r="BC203" s="243"/>
      <c r="BD203" s="243"/>
      <c r="BE203" s="243"/>
      <c r="BF203" s="243"/>
      <c r="BG203" s="243"/>
      <c r="BH203" s="243"/>
      <c r="BI203" s="243"/>
      <c r="BJ203" s="243"/>
      <c r="BK203" s="243"/>
      <c r="BL203" s="243"/>
      <c r="BM203" s="243"/>
      <c r="BN203" s="243"/>
      <c r="BO203" s="243"/>
      <c r="BP203" s="243"/>
      <c r="BQ203" s="243"/>
      <c r="BR203" s="243"/>
      <c r="BS203" s="243"/>
      <c r="BT203" s="243"/>
      <c r="BU203" s="243"/>
      <c r="BV203" s="243"/>
      <c r="BW203" s="243"/>
      <c r="BX203" s="243"/>
      <c r="BY203" s="243"/>
      <c r="BZ203" s="243"/>
      <c r="CA203" s="243"/>
      <c r="CB203" s="243"/>
      <c r="CC203" s="243"/>
      <c r="CD203" s="243"/>
      <c r="CE203" s="243"/>
      <c r="CF203" s="243"/>
      <c r="CG203" s="243"/>
      <c r="CH203" s="243"/>
      <c r="CI203" s="243"/>
      <c r="CJ203" s="243"/>
      <c r="CK203" s="243"/>
      <c r="CL203" s="243"/>
      <c r="CM203" s="243"/>
      <c r="CN203" s="243"/>
      <c r="CO203" s="243"/>
      <c r="CP203" s="243"/>
      <c r="CQ203" s="243"/>
      <c r="CR203" s="243"/>
      <c r="CS203" s="243"/>
      <c r="CT203" s="243"/>
      <c r="CU203" s="243"/>
      <c r="CV203" s="243"/>
      <c r="CW203" s="243"/>
      <c r="CX203" s="243"/>
      <c r="CY203" s="243"/>
      <c r="CZ203" s="243"/>
      <c r="DA203" s="243"/>
      <c r="DB203" s="243"/>
      <c r="DC203" s="243"/>
      <c r="DD203" s="243"/>
      <c r="DE203" s="243"/>
      <c r="DF203" s="243"/>
      <c r="DG203" s="243"/>
      <c r="DH203" s="243"/>
      <c r="DI203" s="243"/>
      <c r="DJ203" s="243"/>
      <c r="DK203" s="243"/>
      <c r="DL203" s="243"/>
      <c r="DM203" s="243"/>
      <c r="DN203" s="243"/>
      <c r="DO203" s="243"/>
      <c r="DP203" s="243"/>
      <c r="DQ203" s="243"/>
      <c r="DR203" s="243"/>
      <c r="DS203" s="243"/>
      <c r="DT203" s="243"/>
      <c r="DU203" s="243"/>
      <c r="DV203" s="243"/>
      <c r="DW203" s="243"/>
      <c r="DX203" s="243"/>
      <c r="DY203" s="243"/>
      <c r="DZ203" s="243"/>
      <c r="EA203" s="243"/>
      <c r="EB203" s="243"/>
      <c r="EC203" s="243"/>
      <c r="ED203" s="243"/>
      <c r="EE203" s="243"/>
      <c r="EF203" s="243"/>
      <c r="EG203" s="243"/>
      <c r="EH203" s="243"/>
      <c r="EI203" s="243"/>
      <c r="EJ203" s="243"/>
      <c r="EK203" s="243"/>
      <c r="EL203" s="243"/>
      <c r="EM203" s="243"/>
      <c r="EN203" s="243"/>
      <c r="EO203" s="243"/>
      <c r="EP203" s="243"/>
      <c r="EQ203" s="243"/>
      <c r="ER203" s="243"/>
      <c r="ES203" s="243"/>
      <c r="ET203" s="243"/>
      <c r="EU203" s="243"/>
      <c r="EV203" s="243"/>
      <c r="EW203" s="243"/>
      <c r="EX203" s="243"/>
      <c r="EY203" s="243"/>
      <c r="EZ203" s="243"/>
      <c r="FA203" s="243"/>
      <c r="FB203" s="243"/>
      <c r="FC203" s="243"/>
      <c r="FD203" s="243"/>
      <c r="FE203" s="243"/>
      <c r="FF203" s="243"/>
      <c r="FG203" s="243"/>
      <c r="FH203" s="243"/>
      <c r="FI203" s="243"/>
      <c r="FJ203" s="243"/>
      <c r="FK203" s="243"/>
      <c r="FL203" s="243"/>
      <c r="FM203" s="243"/>
      <c r="FN203" s="243"/>
      <c r="FO203" s="243"/>
      <c r="FP203" s="243"/>
      <c r="FQ203" s="243"/>
      <c r="FR203" s="243"/>
      <c r="FS203" s="243"/>
      <c r="FT203" s="243"/>
      <c r="FU203" s="243"/>
      <c r="FV203" s="243"/>
      <c r="FW203" s="243"/>
      <c r="FX203" s="243"/>
      <c r="FY203" s="243"/>
      <c r="FZ203" s="243"/>
      <c r="GA203" s="243"/>
      <c r="GB203" s="243"/>
      <c r="GC203" s="243"/>
      <c r="GD203" s="243"/>
      <c r="GE203" s="243"/>
      <c r="GF203" s="243"/>
      <c r="GG203" s="243"/>
      <c r="GH203" s="243"/>
      <c r="GI203" s="243"/>
      <c r="GJ203" s="243"/>
      <c r="GK203" s="243"/>
      <c r="GL203" s="243"/>
      <c r="GM203" s="243"/>
      <c r="GN203" s="243"/>
      <c r="GO203" s="243"/>
      <c r="GP203" s="243"/>
      <c r="GQ203" s="243"/>
      <c r="GR203" s="243"/>
      <c r="GS203" s="243"/>
      <c r="GT203" s="243"/>
      <c r="GU203" s="243"/>
      <c r="GV203" s="243"/>
      <c r="GW203" s="243"/>
      <c r="GX203" s="243"/>
      <c r="GY203" s="243"/>
      <c r="GZ203" s="243"/>
      <c r="HA203" s="243"/>
      <c r="HB203" s="243"/>
      <c r="HC203" s="243"/>
      <c r="HD203" s="243"/>
      <c r="HE203" s="243"/>
      <c r="HF203" s="243"/>
      <c r="HG203" s="243"/>
      <c r="HH203" s="243"/>
      <c r="HI203" s="243"/>
      <c r="HJ203" s="243"/>
      <c r="HK203" s="243"/>
      <c r="HL203" s="243"/>
      <c r="HM203" s="243"/>
      <c r="HN203" s="243"/>
      <c r="HO203" s="243"/>
      <c r="HP203" s="243"/>
      <c r="HQ203" s="243"/>
      <c r="HR203" s="243"/>
      <c r="HS203" s="243"/>
      <c r="HT203" s="243"/>
      <c r="HU203" s="243"/>
      <c r="HV203" s="243"/>
      <c r="HW203" s="243"/>
      <c r="HX203" s="243"/>
      <c r="HY203" s="243"/>
      <c r="HZ203" s="243"/>
      <c r="IA203" s="243"/>
      <c r="IB203" s="243"/>
      <c r="IC203" s="243"/>
      <c r="ID203" s="243"/>
      <c r="IE203" s="243"/>
      <c r="IF203" s="243"/>
      <c r="IG203" s="243"/>
      <c r="IH203" s="243"/>
      <c r="II203" s="243"/>
      <c r="IJ203" s="243"/>
      <c r="IK203" s="243"/>
      <c r="IL203" s="243"/>
      <c r="IM203" s="243"/>
      <c r="IN203" s="243"/>
      <c r="IO203" s="243"/>
      <c r="IP203" s="243"/>
      <c r="IQ203" s="243"/>
      <c r="IR203" s="243"/>
      <c r="IS203" s="243"/>
      <c r="IT203" s="243"/>
      <c r="IU203" s="243"/>
      <c r="IV203" s="243"/>
      <c r="IW203" s="243"/>
      <c r="IX203" s="243"/>
      <c r="IY203" s="243"/>
      <c r="IZ203" s="243"/>
      <c r="JA203" s="243"/>
      <c r="JB203" s="243"/>
      <c r="JC203" s="243"/>
      <c r="JD203" s="243"/>
      <c r="JE203" s="243"/>
      <c r="JF203" s="243"/>
      <c r="JG203" s="243"/>
      <c r="JH203" s="243"/>
      <c r="JI203" s="243"/>
      <c r="JJ203" s="243"/>
      <c r="JK203" s="243"/>
      <c r="JL203" s="243"/>
      <c r="JM203" s="243"/>
      <c r="JN203" s="243"/>
      <c r="JO203" s="243"/>
      <c r="JP203" s="243"/>
      <c r="JQ203" s="243"/>
      <c r="JR203" s="243"/>
      <c r="JS203" s="243"/>
      <c r="JT203" s="243"/>
      <c r="JU203" s="243"/>
      <c r="JV203" s="243"/>
      <c r="JW203" s="243"/>
      <c r="JX203" s="243"/>
      <c r="JY203" s="243"/>
      <c r="JZ203" s="243"/>
      <c r="KA203" s="243"/>
      <c r="KB203" s="243"/>
      <c r="KC203" s="243"/>
      <c r="KD203" s="243"/>
      <c r="KE203" s="243"/>
      <c r="KF203" s="243"/>
      <c r="KG203" s="243"/>
      <c r="KH203" s="243"/>
      <c r="KI203" s="243"/>
      <c r="KJ203" s="243"/>
      <c r="KK203" s="243"/>
      <c r="KL203" s="243"/>
      <c r="KM203" s="243"/>
      <c r="KN203" s="243"/>
      <c r="KO203" s="243"/>
      <c r="KP203" s="243"/>
      <c r="KQ203" s="243"/>
      <c r="KR203" s="243"/>
      <c r="KS203" s="243"/>
      <c r="KT203" s="243"/>
      <c r="KU203" s="243"/>
      <c r="KV203" s="243"/>
      <c r="KW203" s="243"/>
      <c r="KX203" s="243"/>
      <c r="KY203" s="243"/>
      <c r="KZ203" s="243"/>
      <c r="LA203" s="243"/>
      <c r="LB203" s="243"/>
      <c r="LC203" s="243"/>
      <c r="LD203" s="243"/>
      <c r="LE203" s="243"/>
      <c r="LF203" s="243"/>
      <c r="LG203" s="243"/>
      <c r="LH203" s="243"/>
      <c r="LI203" s="243"/>
      <c r="LJ203" s="243"/>
      <c r="LK203" s="243"/>
      <c r="LL203" s="243"/>
      <c r="LM203" s="243"/>
      <c r="LN203" s="243"/>
      <c r="LO203" s="243"/>
      <c r="LP203" s="243"/>
      <c r="LQ203" s="243"/>
      <c r="LR203" s="243"/>
      <c r="LS203" s="243"/>
      <c r="LT203" s="243"/>
      <c r="LU203" s="243"/>
      <c r="LV203" s="243"/>
      <c r="LW203" s="243"/>
      <c r="LX203" s="243"/>
      <c r="LY203" s="243"/>
      <c r="LZ203" s="243"/>
      <c r="MA203" s="243"/>
      <c r="MB203" s="243"/>
      <c r="MC203" s="243"/>
      <c r="MD203" s="243"/>
      <c r="ME203" s="243"/>
      <c r="MF203" s="243"/>
      <c r="MG203" s="243"/>
      <c r="MH203" s="243"/>
      <c r="MI203" s="243"/>
      <c r="MJ203" s="243"/>
      <c r="MK203" s="243"/>
      <c r="ML203" s="243"/>
      <c r="MM203" s="243"/>
      <c r="MN203" s="243"/>
      <c r="MO203" s="243"/>
      <c r="MP203" s="243"/>
      <c r="MQ203" s="243"/>
      <c r="MR203" s="243"/>
      <c r="MS203" s="243"/>
      <c r="MT203" s="243"/>
      <c r="MU203" s="243"/>
      <c r="MV203" s="243"/>
      <c r="MW203" s="243"/>
      <c r="MX203" s="243"/>
      <c r="MY203" s="243"/>
      <c r="MZ203" s="243"/>
      <c r="NA203" s="243"/>
      <c r="NB203" s="243"/>
      <c r="NC203" s="243"/>
      <c r="ND203" s="243"/>
      <c r="NE203" s="243"/>
      <c r="NF203" s="243"/>
      <c r="NG203" s="243"/>
      <c r="NH203" s="243"/>
      <c r="NI203" s="243"/>
      <c r="NJ203" s="243"/>
      <c r="NK203" s="243"/>
      <c r="NL203" s="243"/>
      <c r="NM203" s="243"/>
      <c r="NN203" s="243"/>
      <c r="NO203" s="243"/>
      <c r="NP203" s="243"/>
      <c r="NQ203" s="243"/>
      <c r="NR203" s="243"/>
      <c r="NS203" s="243"/>
      <c r="NT203" s="243"/>
      <c r="NU203" s="243"/>
      <c r="NV203" s="243"/>
      <c r="NW203" s="243"/>
      <c r="NX203" s="243"/>
      <c r="NY203" s="243"/>
      <c r="NZ203" s="243"/>
      <c r="OA203" s="243"/>
      <c r="OB203" s="243"/>
      <c r="OC203" s="243"/>
      <c r="OD203" s="243"/>
      <c r="OE203" s="243"/>
      <c r="OF203" s="243"/>
      <c r="OG203" s="243"/>
      <c r="OH203" s="243"/>
      <c r="OI203" s="243"/>
      <c r="OJ203" s="243"/>
      <c r="OK203" s="243"/>
      <c r="OL203" s="243"/>
      <c r="OM203" s="243"/>
      <c r="ON203" s="243"/>
      <c r="OO203" s="243"/>
      <c r="OP203" s="243"/>
      <c r="OQ203" s="243"/>
      <c r="OR203" s="243"/>
      <c r="OS203" s="243"/>
      <c r="OT203" s="243"/>
      <c r="OU203" s="243"/>
      <c r="OV203" s="243"/>
      <c r="OW203" s="243"/>
      <c r="OX203" s="243"/>
      <c r="OY203" s="243"/>
      <c r="OZ203" s="243"/>
      <c r="PA203" s="243"/>
      <c r="PB203" s="243"/>
      <c r="PC203" s="243"/>
      <c r="PD203" s="243"/>
      <c r="PE203" s="243"/>
      <c r="PF203" s="243"/>
      <c r="PG203" s="243"/>
      <c r="PH203" s="243"/>
      <c r="PI203" s="243"/>
      <c r="PJ203" s="243"/>
      <c r="PK203" s="243"/>
      <c r="PL203" s="243"/>
      <c r="PM203" s="243"/>
      <c r="PN203" s="243"/>
      <c r="PO203" s="243"/>
      <c r="PP203" s="243"/>
      <c r="PQ203" s="243"/>
      <c r="PR203" s="243"/>
      <c r="PS203" s="243"/>
      <c r="PT203" s="243"/>
      <c r="PU203" s="243"/>
      <c r="PV203" s="243"/>
      <c r="PW203" s="243"/>
      <c r="PX203" s="243"/>
      <c r="PY203" s="243"/>
      <c r="PZ203" s="243"/>
      <c r="QA203" s="243"/>
      <c r="QB203" s="243"/>
      <c r="QC203" s="243"/>
      <c r="QD203" s="243"/>
      <c r="QE203" s="243"/>
      <c r="QF203" s="243"/>
      <c r="QG203" s="243"/>
      <c r="QH203" s="243"/>
      <c r="QI203" s="243"/>
      <c r="QJ203" s="243"/>
      <c r="QK203" s="243"/>
      <c r="QL203" s="243"/>
      <c r="QM203" s="243"/>
      <c r="QN203" s="243"/>
      <c r="QO203" s="243"/>
      <c r="QP203" s="243"/>
      <c r="QQ203" s="243"/>
      <c r="QR203" s="243"/>
      <c r="QS203" s="243"/>
      <c r="QT203" s="243"/>
      <c r="QU203" s="243"/>
      <c r="QV203" s="243"/>
      <c r="QW203" s="243"/>
      <c r="QX203" s="243"/>
      <c r="QY203" s="243"/>
      <c r="QZ203" s="243"/>
      <c r="RA203" s="243"/>
      <c r="RB203" s="243"/>
      <c r="RC203" s="243"/>
      <c r="RD203" s="243"/>
      <c r="RE203" s="243"/>
      <c r="RF203" s="243"/>
      <c r="RG203" s="243"/>
      <c r="RH203" s="243"/>
      <c r="RI203" s="243"/>
      <c r="RJ203" s="243"/>
      <c r="RK203" s="243"/>
      <c r="RL203" s="243"/>
      <c r="RM203" s="243"/>
      <c r="RN203" s="243"/>
      <c r="RO203" s="243"/>
      <c r="RP203" s="243"/>
      <c r="RQ203" s="243"/>
      <c r="RR203" s="243"/>
      <c r="RS203" s="243"/>
      <c r="RT203" s="243"/>
      <c r="RU203" s="243"/>
      <c r="RV203" s="243"/>
      <c r="RW203" s="243"/>
      <c r="RX203" s="243"/>
      <c r="RY203" s="243"/>
      <c r="RZ203" s="243"/>
      <c r="SA203" s="243"/>
      <c r="SB203" s="243"/>
      <c r="SC203" s="243"/>
      <c r="SD203" s="243"/>
      <c r="SE203" s="243"/>
      <c r="SF203" s="243"/>
      <c r="SG203" s="243"/>
      <c r="SH203" s="243"/>
      <c r="SI203" s="243"/>
      <c r="SJ203" s="243"/>
      <c r="SK203" s="243"/>
      <c r="SL203" s="243"/>
      <c r="SM203" s="243"/>
      <c r="SN203" s="243"/>
      <c r="SO203" s="243"/>
      <c r="SP203" s="243"/>
      <c r="SQ203" s="243"/>
      <c r="SR203" s="243"/>
      <c r="SS203" s="243"/>
      <c r="ST203" s="243"/>
      <c r="SU203" s="243"/>
      <c r="SV203" s="243"/>
      <c r="SW203" s="243"/>
      <c r="SX203" s="243"/>
      <c r="SY203" s="243"/>
      <c r="SZ203" s="243"/>
      <c r="TA203" s="243"/>
      <c r="TB203" s="243"/>
      <c r="TC203" s="243"/>
      <c r="TD203" s="243"/>
      <c r="TE203" s="243"/>
      <c r="TF203" s="243"/>
      <c r="TG203" s="243"/>
      <c r="TH203" s="243"/>
      <c r="TI203" s="243"/>
      <c r="TJ203" s="243"/>
      <c r="TK203" s="243"/>
      <c r="TL203" s="243"/>
      <c r="TM203" s="243"/>
      <c r="TN203" s="243"/>
      <c r="TO203" s="243"/>
      <c r="TP203" s="243"/>
      <c r="TQ203" s="243"/>
      <c r="TR203" s="243"/>
      <c r="TS203" s="243"/>
      <c r="TT203" s="243"/>
      <c r="TU203" s="243"/>
      <c r="TV203" s="243"/>
      <c r="TW203" s="243"/>
      <c r="TX203" s="243"/>
      <c r="TY203" s="243"/>
      <c r="TZ203" s="243"/>
      <c r="UA203" s="243"/>
      <c r="UB203" s="243"/>
      <c r="UC203" s="243"/>
      <c r="UD203" s="243"/>
      <c r="UE203" s="243"/>
      <c r="UF203" s="243"/>
      <c r="UG203" s="243"/>
      <c r="UH203" s="243"/>
      <c r="UI203" s="243"/>
      <c r="UJ203" s="243"/>
      <c r="UK203" s="243"/>
      <c r="UL203" s="243"/>
      <c r="UM203" s="243"/>
      <c r="UN203" s="243"/>
      <c r="UO203" s="243"/>
      <c r="UP203" s="243"/>
      <c r="UQ203" s="243"/>
      <c r="UR203" s="243"/>
      <c r="US203" s="243"/>
      <c r="UT203" s="243"/>
      <c r="UU203" s="243"/>
      <c r="UV203" s="243"/>
      <c r="UW203" s="243"/>
      <c r="UX203" s="243"/>
      <c r="UY203" s="243"/>
      <c r="UZ203" s="243"/>
      <c r="VA203" s="243"/>
      <c r="VB203" s="243"/>
      <c r="VC203" s="243"/>
      <c r="VD203" s="243"/>
      <c r="VE203" s="243"/>
      <c r="VF203" s="243"/>
      <c r="VG203" s="243"/>
      <c r="VH203" s="243"/>
      <c r="VI203" s="243"/>
      <c r="VJ203" s="243"/>
      <c r="VK203" s="243"/>
      <c r="VL203" s="243"/>
      <c r="VM203" s="243"/>
      <c r="VN203" s="243"/>
      <c r="VO203" s="243"/>
      <c r="VP203" s="243"/>
      <c r="VQ203" s="243"/>
      <c r="VR203" s="243"/>
      <c r="VS203" s="243"/>
      <c r="VT203" s="243"/>
      <c r="VU203" s="243"/>
      <c r="VV203" s="243"/>
      <c r="VW203" s="243"/>
      <c r="VX203" s="243"/>
      <c r="VY203" s="243"/>
      <c r="VZ203" s="243"/>
      <c r="WA203" s="243"/>
      <c r="WB203" s="243"/>
      <c r="WC203" s="243"/>
      <c r="WD203" s="243"/>
      <c r="WE203" s="243"/>
      <c r="WF203" s="243"/>
      <c r="WG203" s="243"/>
      <c r="WH203" s="243"/>
      <c r="WI203" s="243"/>
      <c r="WJ203" s="243"/>
      <c r="WK203" s="243"/>
      <c r="WL203" s="243"/>
      <c r="WM203" s="243"/>
      <c r="WN203" s="243"/>
      <c r="WO203" s="243"/>
      <c r="WP203" s="243"/>
      <c r="WQ203" s="243"/>
      <c r="WR203" s="243"/>
      <c r="WS203" s="243"/>
      <c r="WT203" s="243"/>
      <c r="WU203" s="243"/>
      <c r="WV203" s="243"/>
      <c r="WW203" s="243"/>
      <c r="WX203" s="243"/>
      <c r="WY203" s="243"/>
      <c r="WZ203" s="243"/>
      <c r="XA203" s="243"/>
      <c r="XB203" s="243"/>
      <c r="XC203" s="243"/>
      <c r="XD203" s="243"/>
      <c r="XE203" s="243"/>
      <c r="XF203" s="243"/>
      <c r="XG203" s="243"/>
      <c r="XH203" s="243"/>
      <c r="XI203" s="243"/>
      <c r="XJ203" s="243"/>
      <c r="XK203" s="243"/>
      <c r="XL203" s="243"/>
      <c r="XM203" s="243"/>
      <c r="XN203" s="243"/>
      <c r="XO203" s="243"/>
      <c r="XP203" s="243"/>
      <c r="XQ203" s="243"/>
      <c r="XR203" s="243"/>
      <c r="XS203" s="243"/>
      <c r="XT203" s="243"/>
      <c r="XU203" s="243"/>
      <c r="XV203" s="243"/>
      <c r="XW203" s="243"/>
      <c r="XX203" s="243"/>
      <c r="XY203" s="243"/>
      <c r="XZ203" s="243"/>
      <c r="YA203" s="243"/>
      <c r="YB203" s="243"/>
      <c r="YC203" s="243"/>
      <c r="YD203" s="243"/>
      <c r="YE203" s="243"/>
      <c r="YF203" s="243"/>
      <c r="YG203" s="243"/>
      <c r="YH203" s="243"/>
      <c r="YI203" s="243"/>
      <c r="YJ203" s="243"/>
      <c r="YK203" s="243"/>
      <c r="YL203" s="243"/>
      <c r="YM203" s="243"/>
      <c r="YN203" s="243"/>
      <c r="YO203" s="243"/>
      <c r="YP203" s="243"/>
      <c r="YQ203" s="243"/>
      <c r="YR203" s="243"/>
      <c r="YS203" s="243"/>
      <c r="YT203" s="243"/>
      <c r="YU203" s="243"/>
      <c r="YV203" s="243"/>
      <c r="YW203" s="243"/>
      <c r="YX203" s="243"/>
      <c r="YY203" s="243"/>
      <c r="YZ203" s="243"/>
      <c r="ZA203" s="243"/>
      <c r="ZB203" s="243"/>
      <c r="ZC203" s="243"/>
      <c r="ZD203" s="243"/>
      <c r="ZE203" s="243"/>
      <c r="ZF203" s="243"/>
      <c r="ZG203" s="243"/>
      <c r="ZH203" s="243"/>
      <c r="ZI203" s="243"/>
      <c r="ZJ203" s="243"/>
      <c r="ZK203" s="243"/>
      <c r="ZL203" s="243"/>
      <c r="ZM203" s="243"/>
      <c r="ZN203" s="243"/>
      <c r="ZO203" s="243"/>
      <c r="ZP203" s="243"/>
      <c r="ZQ203" s="243"/>
      <c r="ZR203" s="243"/>
      <c r="ZS203" s="243"/>
      <c r="ZT203" s="243"/>
      <c r="ZU203" s="243"/>
      <c r="ZV203" s="243"/>
      <c r="ZW203" s="243"/>
      <c r="ZX203" s="243"/>
      <c r="ZY203" s="243"/>
      <c r="ZZ203" s="243"/>
      <c r="AAA203" s="243"/>
      <c r="AAB203" s="243"/>
      <c r="AAC203" s="243"/>
      <c r="AAD203" s="243"/>
      <c r="AAE203" s="243"/>
      <c r="AAF203" s="243"/>
      <c r="AAG203" s="243"/>
      <c r="AAH203" s="243"/>
      <c r="AAI203" s="243"/>
      <c r="AAJ203" s="243"/>
      <c r="AAK203" s="243"/>
      <c r="AAL203" s="243"/>
      <c r="AAM203" s="243"/>
      <c r="AAN203" s="243"/>
      <c r="AAO203" s="243"/>
      <c r="AAP203" s="243"/>
      <c r="AAQ203" s="243"/>
      <c r="AAR203" s="243"/>
      <c r="AAS203" s="243"/>
      <c r="AAT203" s="243"/>
      <c r="AAU203" s="243"/>
      <c r="AAV203" s="243"/>
      <c r="AAW203" s="243"/>
      <c r="AAX203" s="243"/>
      <c r="AAY203" s="243"/>
      <c r="AAZ203" s="243"/>
      <c r="ABA203" s="243"/>
      <c r="ABB203" s="243"/>
      <c r="ABC203" s="243"/>
      <c r="ABD203" s="243"/>
      <c r="ABE203" s="243"/>
      <c r="ABF203" s="243"/>
      <c r="ABG203" s="243"/>
      <c r="ABH203" s="243"/>
      <c r="ABI203" s="243"/>
      <c r="ABJ203" s="243"/>
      <c r="ABK203" s="243"/>
      <c r="ABL203" s="243"/>
      <c r="ABM203" s="243"/>
      <c r="ABN203" s="243"/>
      <c r="ABO203" s="243"/>
      <c r="ABP203" s="243"/>
      <c r="ABQ203" s="243"/>
      <c r="ABR203" s="243"/>
      <c r="ABS203" s="243"/>
      <c r="ABT203" s="243"/>
      <c r="ABU203" s="243"/>
      <c r="ABV203" s="243"/>
      <c r="ABW203" s="243"/>
      <c r="ABX203" s="243"/>
      <c r="ABY203" s="243"/>
      <c r="ABZ203" s="243"/>
      <c r="ACA203" s="243"/>
      <c r="ACB203" s="243"/>
      <c r="ACC203" s="243"/>
      <c r="ACD203" s="243"/>
      <c r="ACE203" s="243"/>
      <c r="ACF203" s="243"/>
      <c r="ACG203" s="243"/>
      <c r="ACH203" s="243"/>
      <c r="ACI203" s="243"/>
      <c r="ACJ203" s="243"/>
      <c r="ACK203" s="243"/>
      <c r="ACL203" s="243"/>
      <c r="ACM203" s="243"/>
      <c r="ACN203" s="243"/>
      <c r="ACO203" s="243"/>
      <c r="ACP203" s="243"/>
      <c r="ACQ203" s="243"/>
      <c r="ACR203" s="243"/>
      <c r="ACS203" s="243"/>
      <c r="ACT203" s="243"/>
      <c r="ACU203" s="243"/>
      <c r="ACV203" s="243"/>
      <c r="ACW203" s="243"/>
      <c r="ACX203" s="243"/>
      <c r="ACY203" s="243"/>
      <c r="ACZ203" s="243"/>
      <c r="ADA203" s="243"/>
      <c r="ADB203" s="243"/>
      <c r="ADC203" s="243"/>
      <c r="ADD203" s="243"/>
      <c r="ADE203" s="243"/>
      <c r="ADF203" s="243"/>
      <c r="ADG203" s="243"/>
      <c r="ADH203" s="243"/>
      <c r="ADI203" s="243"/>
      <c r="ADJ203" s="243"/>
      <c r="ADK203" s="243"/>
      <c r="ADL203" s="243"/>
      <c r="ADM203" s="243"/>
      <c r="ADN203" s="243"/>
      <c r="ADO203" s="243"/>
      <c r="ADP203" s="243"/>
      <c r="ADQ203" s="243"/>
      <c r="ADR203" s="243"/>
      <c r="ADS203" s="243"/>
      <c r="ADT203" s="243"/>
      <c r="ADU203" s="243"/>
      <c r="ADV203" s="243"/>
      <c r="ADW203" s="243"/>
      <c r="ADX203" s="243"/>
      <c r="ADY203" s="243"/>
      <c r="ADZ203" s="243"/>
      <c r="AEA203" s="243"/>
      <c r="AEB203" s="243"/>
      <c r="AEC203" s="243"/>
      <c r="AED203" s="243"/>
      <c r="AEE203" s="243"/>
      <c r="AEF203" s="243"/>
      <c r="AEG203" s="243"/>
      <c r="AEH203" s="243"/>
      <c r="AEI203" s="243"/>
      <c r="AEJ203" s="243"/>
      <c r="AEK203" s="243"/>
      <c r="AEL203" s="243"/>
      <c r="AEM203" s="243"/>
      <c r="AEN203" s="243"/>
      <c r="AEO203" s="243"/>
      <c r="AEP203" s="243"/>
      <c r="AEQ203" s="243"/>
      <c r="AER203" s="243"/>
      <c r="AES203" s="243"/>
      <c r="AET203" s="243"/>
      <c r="AEU203" s="243"/>
      <c r="AEV203" s="243"/>
      <c r="AEW203" s="243"/>
      <c r="AEX203" s="243"/>
      <c r="AEY203" s="243"/>
      <c r="AEZ203" s="243"/>
      <c r="AFA203" s="243"/>
      <c r="AFB203" s="243"/>
      <c r="AFC203" s="243"/>
      <c r="AFD203" s="243"/>
      <c r="AFE203" s="243"/>
      <c r="AFF203" s="243"/>
      <c r="AFG203" s="243"/>
      <c r="AFH203" s="243"/>
      <c r="AFI203" s="243"/>
      <c r="AFJ203" s="243"/>
      <c r="AFK203" s="243"/>
      <c r="AFL203" s="243"/>
      <c r="AFM203" s="243"/>
      <c r="AFN203" s="243"/>
      <c r="AFO203" s="243"/>
      <c r="AFP203" s="243"/>
      <c r="AFQ203" s="243"/>
      <c r="AFR203" s="243"/>
      <c r="AFS203" s="243"/>
      <c r="AFT203" s="243"/>
      <c r="AFU203" s="243"/>
      <c r="AFV203" s="243"/>
      <c r="AFW203" s="243"/>
      <c r="AFX203" s="243"/>
      <c r="AFY203" s="243"/>
      <c r="AFZ203" s="243"/>
      <c r="AGA203" s="243"/>
      <c r="AGB203" s="243"/>
      <c r="AGC203" s="243"/>
      <c r="AGD203" s="243"/>
      <c r="AGE203" s="243"/>
      <c r="AGF203" s="243"/>
      <c r="AGG203" s="243"/>
      <c r="AGH203" s="243"/>
      <c r="AGI203" s="243"/>
      <c r="AGJ203" s="243"/>
      <c r="AGK203" s="243"/>
      <c r="AGL203" s="243"/>
      <c r="AGM203" s="243"/>
      <c r="AGN203" s="243"/>
      <c r="AGO203" s="243"/>
      <c r="AGP203" s="243"/>
      <c r="AGQ203" s="243"/>
      <c r="AGR203" s="243"/>
      <c r="AGS203" s="243"/>
      <c r="AGT203" s="243"/>
      <c r="AGU203" s="243"/>
      <c r="AGV203" s="243"/>
      <c r="AGW203" s="243"/>
      <c r="AGX203" s="243"/>
      <c r="AGY203" s="243"/>
      <c r="AGZ203" s="243"/>
      <c r="AHA203" s="243"/>
      <c r="AHB203" s="243"/>
      <c r="AHC203" s="243"/>
      <c r="AHD203" s="243"/>
      <c r="AHE203" s="243"/>
      <c r="AHF203" s="243"/>
      <c r="AHG203" s="243"/>
      <c r="AHH203" s="243"/>
      <c r="AHI203" s="243"/>
      <c r="AHJ203" s="243"/>
      <c r="AHK203" s="243"/>
      <c r="AHL203" s="243"/>
      <c r="AHM203" s="243"/>
      <c r="AHN203" s="243"/>
      <c r="AHO203" s="243"/>
      <c r="AHP203" s="243"/>
      <c r="AHQ203" s="243"/>
      <c r="AHR203" s="243"/>
      <c r="AHS203" s="243"/>
      <c r="AHT203" s="243"/>
      <c r="AHU203" s="243"/>
      <c r="AHV203" s="243"/>
      <c r="AHW203" s="243"/>
      <c r="AHX203" s="243"/>
      <c r="AHY203" s="243"/>
      <c r="AHZ203" s="243"/>
      <c r="AIA203" s="243"/>
      <c r="AIB203" s="243"/>
      <c r="AIC203" s="243"/>
      <c r="AID203" s="243"/>
      <c r="AIE203" s="243"/>
      <c r="AIF203" s="243"/>
      <c r="AIG203" s="243"/>
      <c r="AIH203" s="243"/>
      <c r="AII203" s="243"/>
      <c r="AIJ203" s="243"/>
      <c r="AIK203" s="243"/>
      <c r="AIL203" s="243"/>
      <c r="AIM203" s="243"/>
      <c r="AIN203" s="243"/>
      <c r="AIO203" s="243"/>
      <c r="AIP203" s="243"/>
      <c r="AIQ203" s="243"/>
      <c r="AIR203" s="243"/>
      <c r="AIS203" s="243"/>
      <c r="AIT203" s="243"/>
      <c r="AIU203" s="243"/>
      <c r="AIV203" s="243"/>
      <c r="AIW203" s="243"/>
      <c r="AIX203" s="243"/>
      <c r="AIY203" s="243"/>
      <c r="AIZ203" s="243"/>
      <c r="AJA203" s="243"/>
      <c r="AJB203" s="243"/>
      <c r="AJC203" s="243"/>
      <c r="AJD203" s="243"/>
      <c r="AJE203" s="243"/>
      <c r="AJF203" s="243"/>
      <c r="AJG203" s="243"/>
      <c r="AJH203" s="243"/>
      <c r="AJI203" s="243"/>
      <c r="AJJ203" s="243"/>
      <c r="AJK203" s="243"/>
      <c r="AJL203" s="243"/>
      <c r="AJM203" s="243"/>
      <c r="AJN203" s="243"/>
      <c r="AJO203" s="243"/>
      <c r="AJP203" s="243"/>
      <c r="AJQ203" s="243"/>
      <c r="AJR203" s="243"/>
      <c r="AJS203" s="243"/>
      <c r="AJT203" s="243"/>
      <c r="AJU203" s="243"/>
      <c r="AJV203" s="243"/>
      <c r="AJW203" s="243"/>
      <c r="AJX203" s="243"/>
      <c r="AJY203" s="243"/>
      <c r="AJZ203" s="243"/>
      <c r="AKA203" s="243"/>
      <c r="AKB203" s="243"/>
      <c r="AKC203" s="243"/>
      <c r="AKD203" s="243"/>
      <c r="AKE203" s="243"/>
      <c r="AKF203" s="243"/>
      <c r="AKG203" s="243"/>
      <c r="AKH203" s="243"/>
      <c r="AKI203" s="243"/>
      <c r="AKJ203" s="243"/>
      <c r="AKK203" s="243"/>
      <c r="AKL203" s="243"/>
      <c r="AKM203" s="243"/>
      <c r="AKN203" s="243"/>
      <c r="AKO203" s="243"/>
      <c r="AKP203" s="243"/>
      <c r="AKQ203" s="243"/>
      <c r="AKR203" s="243"/>
      <c r="AKS203" s="243"/>
      <c r="AKT203" s="243"/>
      <c r="AKU203" s="243"/>
      <c r="AKV203" s="243"/>
      <c r="AKW203" s="243"/>
      <c r="AKX203" s="243"/>
      <c r="AKY203" s="243"/>
      <c r="AKZ203" s="243"/>
      <c r="ALA203" s="243"/>
      <c r="ALB203" s="243"/>
      <c r="ALC203" s="243"/>
      <c r="ALD203" s="243"/>
      <c r="ALE203" s="243"/>
      <c r="ALF203" s="243"/>
      <c r="ALG203" s="243"/>
      <c r="ALH203" s="243"/>
      <c r="ALI203" s="243"/>
      <c r="ALJ203" s="243"/>
      <c r="ALK203" s="243"/>
      <c r="ALL203" s="243"/>
      <c r="ALM203" s="243"/>
      <c r="ALN203" s="243"/>
      <c r="ALO203" s="243"/>
      <c r="ALP203" s="243"/>
      <c r="ALQ203" s="243"/>
      <c r="ALR203" s="243"/>
      <c r="ALS203" s="243"/>
      <c r="ALT203" s="243"/>
      <c r="ALU203" s="243"/>
      <c r="ALV203" s="243"/>
      <c r="ALW203" s="243"/>
      <c r="ALX203" s="243"/>
      <c r="ALY203" s="243"/>
      <c r="ALZ203" s="243"/>
      <c r="AMA203" s="243"/>
      <c r="AMB203" s="243"/>
      <c r="AMC203" s="243"/>
      <c r="AMD203" s="243"/>
      <c r="AME203" s="243"/>
      <c r="AMF203" s="243"/>
      <c r="AMG203" s="243"/>
      <c r="AMH203" s="243"/>
      <c r="AMI203" s="244"/>
      <c r="AMJ203" s="244"/>
    </row>
    <row r="204" spans="1:1024" ht="20.25" customHeight="1">
      <c r="A204" s="911"/>
      <c r="B204" s="470">
        <v>13920</v>
      </c>
      <c r="C204" s="471">
        <v>0.1</v>
      </c>
      <c r="D204" s="472" t="s">
        <v>129</v>
      </c>
      <c r="E204" s="473">
        <v>2500000</v>
      </c>
      <c r="F204" s="474">
        <v>0.12</v>
      </c>
      <c r="G204" s="475">
        <f t="shared" si="6"/>
        <v>300000</v>
      </c>
      <c r="H204" s="476" t="s">
        <v>47</v>
      </c>
      <c r="I204" s="476" t="s">
        <v>124</v>
      </c>
      <c r="J204" s="476" t="s">
        <v>125</v>
      </c>
      <c r="K204" s="476" t="s">
        <v>123</v>
      </c>
      <c r="L204" s="476" t="s">
        <v>125</v>
      </c>
      <c r="M204" s="478"/>
      <c r="N204" s="479"/>
      <c r="O204" s="480"/>
      <c r="P204" s="480"/>
      <c r="Q204" s="480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  <c r="AH204" s="243"/>
      <c r="AI204" s="243"/>
      <c r="AJ204" s="243"/>
      <c r="AK204" s="243"/>
      <c r="AL204" s="243"/>
      <c r="AM204" s="243"/>
      <c r="AN204" s="243"/>
      <c r="AO204" s="243"/>
      <c r="AP204" s="243"/>
      <c r="AQ204" s="243"/>
      <c r="AR204" s="243"/>
      <c r="AS204" s="243"/>
      <c r="AT204" s="243"/>
      <c r="AU204" s="243"/>
      <c r="AV204" s="243"/>
      <c r="AW204" s="243"/>
      <c r="AX204" s="243"/>
      <c r="AY204" s="243"/>
      <c r="AZ204" s="243"/>
      <c r="BA204" s="243"/>
      <c r="BB204" s="243"/>
      <c r="BC204" s="243"/>
      <c r="BD204" s="243"/>
      <c r="BE204" s="243"/>
      <c r="BF204" s="243"/>
      <c r="BG204" s="243"/>
      <c r="BH204" s="243"/>
      <c r="BI204" s="243"/>
      <c r="BJ204" s="243"/>
      <c r="BK204" s="243"/>
      <c r="BL204" s="243"/>
      <c r="BM204" s="243"/>
      <c r="BN204" s="243"/>
      <c r="BO204" s="243"/>
      <c r="BP204" s="243"/>
      <c r="BQ204" s="243"/>
      <c r="BR204" s="243"/>
      <c r="BS204" s="243"/>
      <c r="BT204" s="243"/>
      <c r="BU204" s="243"/>
      <c r="BV204" s="243"/>
      <c r="BW204" s="243"/>
      <c r="BX204" s="243"/>
      <c r="BY204" s="243"/>
      <c r="BZ204" s="243"/>
      <c r="CA204" s="243"/>
      <c r="CB204" s="243"/>
      <c r="CC204" s="243"/>
      <c r="CD204" s="243"/>
      <c r="CE204" s="243"/>
      <c r="CF204" s="243"/>
      <c r="CG204" s="243"/>
      <c r="CH204" s="243"/>
      <c r="CI204" s="243"/>
      <c r="CJ204" s="243"/>
      <c r="CK204" s="243"/>
      <c r="CL204" s="243"/>
      <c r="CM204" s="243"/>
      <c r="CN204" s="243"/>
      <c r="CO204" s="243"/>
      <c r="CP204" s="243"/>
      <c r="CQ204" s="243"/>
      <c r="CR204" s="243"/>
      <c r="CS204" s="243"/>
      <c r="CT204" s="243"/>
      <c r="CU204" s="243"/>
      <c r="CV204" s="243"/>
      <c r="CW204" s="243"/>
      <c r="CX204" s="243"/>
      <c r="CY204" s="243"/>
      <c r="CZ204" s="243"/>
      <c r="DA204" s="243"/>
      <c r="DB204" s="243"/>
      <c r="DC204" s="243"/>
      <c r="DD204" s="243"/>
      <c r="DE204" s="243"/>
      <c r="DF204" s="243"/>
      <c r="DG204" s="243"/>
      <c r="DH204" s="243"/>
      <c r="DI204" s="243"/>
      <c r="DJ204" s="243"/>
      <c r="DK204" s="243"/>
      <c r="DL204" s="243"/>
      <c r="DM204" s="243"/>
      <c r="DN204" s="243"/>
      <c r="DO204" s="243"/>
      <c r="DP204" s="243"/>
      <c r="DQ204" s="243"/>
      <c r="DR204" s="243"/>
      <c r="DS204" s="243"/>
      <c r="DT204" s="243"/>
      <c r="DU204" s="243"/>
      <c r="DV204" s="243"/>
      <c r="DW204" s="243"/>
      <c r="DX204" s="243"/>
      <c r="DY204" s="243"/>
      <c r="DZ204" s="243"/>
      <c r="EA204" s="243"/>
      <c r="EB204" s="243"/>
      <c r="EC204" s="243"/>
      <c r="ED204" s="243"/>
      <c r="EE204" s="243"/>
      <c r="EF204" s="243"/>
      <c r="EG204" s="243"/>
      <c r="EH204" s="243"/>
      <c r="EI204" s="243"/>
      <c r="EJ204" s="243"/>
      <c r="EK204" s="243"/>
      <c r="EL204" s="243"/>
      <c r="EM204" s="243"/>
      <c r="EN204" s="243"/>
      <c r="EO204" s="243"/>
      <c r="EP204" s="243"/>
      <c r="EQ204" s="243"/>
      <c r="ER204" s="243"/>
      <c r="ES204" s="243"/>
      <c r="ET204" s="243"/>
      <c r="EU204" s="243"/>
      <c r="EV204" s="243"/>
      <c r="EW204" s="243"/>
      <c r="EX204" s="243"/>
      <c r="EY204" s="243"/>
      <c r="EZ204" s="243"/>
      <c r="FA204" s="243"/>
      <c r="FB204" s="243"/>
      <c r="FC204" s="243"/>
      <c r="FD204" s="243"/>
      <c r="FE204" s="243"/>
      <c r="FF204" s="243"/>
      <c r="FG204" s="243"/>
      <c r="FH204" s="243"/>
      <c r="FI204" s="243"/>
      <c r="FJ204" s="243"/>
      <c r="FK204" s="243"/>
      <c r="FL204" s="243"/>
      <c r="FM204" s="243"/>
      <c r="FN204" s="243"/>
      <c r="FO204" s="243"/>
      <c r="FP204" s="243"/>
      <c r="FQ204" s="243"/>
      <c r="FR204" s="243"/>
      <c r="FS204" s="243"/>
      <c r="FT204" s="243"/>
      <c r="FU204" s="243"/>
      <c r="FV204" s="243"/>
      <c r="FW204" s="243"/>
      <c r="FX204" s="243"/>
      <c r="FY204" s="243"/>
      <c r="FZ204" s="243"/>
      <c r="GA204" s="243"/>
      <c r="GB204" s="243"/>
      <c r="GC204" s="243"/>
      <c r="GD204" s="243"/>
      <c r="GE204" s="243"/>
      <c r="GF204" s="243"/>
      <c r="GG204" s="243"/>
      <c r="GH204" s="243"/>
      <c r="GI204" s="243"/>
      <c r="GJ204" s="243"/>
      <c r="GK204" s="243"/>
      <c r="GL204" s="243"/>
      <c r="GM204" s="243"/>
      <c r="GN204" s="243"/>
      <c r="GO204" s="243"/>
      <c r="GP204" s="243"/>
      <c r="GQ204" s="243"/>
      <c r="GR204" s="243"/>
      <c r="GS204" s="243"/>
      <c r="GT204" s="243"/>
      <c r="GU204" s="243"/>
      <c r="GV204" s="243"/>
      <c r="GW204" s="243"/>
      <c r="GX204" s="243"/>
      <c r="GY204" s="243"/>
      <c r="GZ204" s="243"/>
      <c r="HA204" s="243"/>
      <c r="HB204" s="243"/>
      <c r="HC204" s="243"/>
      <c r="HD204" s="243"/>
      <c r="HE204" s="243"/>
      <c r="HF204" s="243"/>
      <c r="HG204" s="243"/>
      <c r="HH204" s="243"/>
      <c r="HI204" s="243"/>
      <c r="HJ204" s="243"/>
      <c r="HK204" s="243"/>
      <c r="HL204" s="243"/>
      <c r="HM204" s="243"/>
      <c r="HN204" s="243"/>
      <c r="HO204" s="243"/>
      <c r="HP204" s="243"/>
      <c r="HQ204" s="243"/>
      <c r="HR204" s="243"/>
      <c r="HS204" s="243"/>
      <c r="HT204" s="243"/>
      <c r="HU204" s="243"/>
      <c r="HV204" s="243"/>
      <c r="HW204" s="243"/>
      <c r="HX204" s="243"/>
      <c r="HY204" s="243"/>
      <c r="HZ204" s="243"/>
      <c r="IA204" s="243"/>
      <c r="IB204" s="243"/>
      <c r="IC204" s="243"/>
      <c r="ID204" s="243"/>
      <c r="IE204" s="243"/>
      <c r="IF204" s="243"/>
      <c r="IG204" s="243"/>
      <c r="IH204" s="243"/>
      <c r="II204" s="243"/>
      <c r="IJ204" s="243"/>
      <c r="IK204" s="243"/>
      <c r="IL204" s="243"/>
      <c r="IM204" s="243"/>
      <c r="IN204" s="243"/>
      <c r="IO204" s="243"/>
      <c r="IP204" s="243"/>
      <c r="IQ204" s="243"/>
      <c r="IR204" s="243"/>
      <c r="IS204" s="243"/>
      <c r="IT204" s="243"/>
      <c r="IU204" s="243"/>
      <c r="IV204" s="243"/>
      <c r="IW204" s="243"/>
      <c r="IX204" s="243"/>
      <c r="IY204" s="243"/>
      <c r="IZ204" s="243"/>
      <c r="JA204" s="243"/>
      <c r="JB204" s="243"/>
      <c r="JC204" s="243"/>
      <c r="JD204" s="243"/>
      <c r="JE204" s="243"/>
      <c r="JF204" s="243"/>
      <c r="JG204" s="243"/>
      <c r="JH204" s="243"/>
      <c r="JI204" s="243"/>
      <c r="JJ204" s="243"/>
      <c r="JK204" s="243"/>
      <c r="JL204" s="243"/>
      <c r="JM204" s="243"/>
      <c r="JN204" s="243"/>
      <c r="JO204" s="243"/>
      <c r="JP204" s="243"/>
      <c r="JQ204" s="243"/>
      <c r="JR204" s="243"/>
      <c r="JS204" s="243"/>
      <c r="JT204" s="243"/>
      <c r="JU204" s="243"/>
      <c r="JV204" s="243"/>
      <c r="JW204" s="243"/>
      <c r="JX204" s="243"/>
      <c r="JY204" s="243"/>
      <c r="JZ204" s="243"/>
      <c r="KA204" s="243"/>
      <c r="KB204" s="243"/>
      <c r="KC204" s="243"/>
      <c r="KD204" s="243"/>
      <c r="KE204" s="243"/>
      <c r="KF204" s="243"/>
      <c r="KG204" s="243"/>
      <c r="KH204" s="243"/>
      <c r="KI204" s="243"/>
      <c r="KJ204" s="243"/>
      <c r="KK204" s="243"/>
      <c r="KL204" s="243"/>
      <c r="KM204" s="243"/>
      <c r="KN204" s="243"/>
      <c r="KO204" s="243"/>
      <c r="KP204" s="243"/>
      <c r="KQ204" s="243"/>
      <c r="KR204" s="243"/>
      <c r="KS204" s="243"/>
      <c r="KT204" s="243"/>
      <c r="KU204" s="243"/>
      <c r="KV204" s="243"/>
      <c r="KW204" s="243"/>
      <c r="KX204" s="243"/>
      <c r="KY204" s="243"/>
      <c r="KZ204" s="243"/>
      <c r="LA204" s="243"/>
      <c r="LB204" s="243"/>
      <c r="LC204" s="243"/>
      <c r="LD204" s="243"/>
      <c r="LE204" s="243"/>
      <c r="LF204" s="243"/>
      <c r="LG204" s="243"/>
      <c r="LH204" s="243"/>
      <c r="LI204" s="243"/>
      <c r="LJ204" s="243"/>
      <c r="LK204" s="243"/>
      <c r="LL204" s="243"/>
      <c r="LM204" s="243"/>
      <c r="LN204" s="243"/>
      <c r="LO204" s="243"/>
      <c r="LP204" s="243"/>
      <c r="LQ204" s="243"/>
      <c r="LR204" s="243"/>
      <c r="LS204" s="243"/>
      <c r="LT204" s="243"/>
      <c r="LU204" s="243"/>
      <c r="LV204" s="243"/>
      <c r="LW204" s="243"/>
      <c r="LX204" s="243"/>
      <c r="LY204" s="243"/>
      <c r="LZ204" s="243"/>
      <c r="MA204" s="243"/>
      <c r="MB204" s="243"/>
      <c r="MC204" s="243"/>
      <c r="MD204" s="243"/>
      <c r="ME204" s="243"/>
      <c r="MF204" s="243"/>
      <c r="MG204" s="243"/>
      <c r="MH204" s="243"/>
      <c r="MI204" s="243"/>
      <c r="MJ204" s="243"/>
      <c r="MK204" s="243"/>
      <c r="ML204" s="243"/>
      <c r="MM204" s="243"/>
      <c r="MN204" s="243"/>
      <c r="MO204" s="243"/>
      <c r="MP204" s="243"/>
      <c r="MQ204" s="243"/>
      <c r="MR204" s="243"/>
      <c r="MS204" s="243"/>
      <c r="MT204" s="243"/>
      <c r="MU204" s="243"/>
      <c r="MV204" s="243"/>
      <c r="MW204" s="243"/>
      <c r="MX204" s="243"/>
      <c r="MY204" s="243"/>
      <c r="MZ204" s="243"/>
      <c r="NA204" s="243"/>
      <c r="NB204" s="243"/>
      <c r="NC204" s="243"/>
      <c r="ND204" s="243"/>
      <c r="NE204" s="243"/>
      <c r="NF204" s="243"/>
      <c r="NG204" s="243"/>
      <c r="NH204" s="243"/>
      <c r="NI204" s="243"/>
      <c r="NJ204" s="243"/>
      <c r="NK204" s="243"/>
      <c r="NL204" s="243"/>
      <c r="NM204" s="243"/>
      <c r="NN204" s="243"/>
      <c r="NO204" s="243"/>
      <c r="NP204" s="243"/>
      <c r="NQ204" s="243"/>
      <c r="NR204" s="243"/>
      <c r="NS204" s="243"/>
      <c r="NT204" s="243"/>
      <c r="NU204" s="243"/>
      <c r="NV204" s="243"/>
      <c r="NW204" s="243"/>
      <c r="NX204" s="243"/>
      <c r="NY204" s="243"/>
      <c r="NZ204" s="243"/>
      <c r="OA204" s="243"/>
      <c r="OB204" s="243"/>
      <c r="OC204" s="243"/>
      <c r="OD204" s="243"/>
      <c r="OE204" s="243"/>
      <c r="OF204" s="243"/>
      <c r="OG204" s="243"/>
      <c r="OH204" s="243"/>
      <c r="OI204" s="243"/>
      <c r="OJ204" s="243"/>
      <c r="OK204" s="243"/>
      <c r="OL204" s="243"/>
      <c r="OM204" s="243"/>
      <c r="ON204" s="243"/>
      <c r="OO204" s="243"/>
      <c r="OP204" s="243"/>
      <c r="OQ204" s="243"/>
      <c r="OR204" s="243"/>
      <c r="OS204" s="243"/>
      <c r="OT204" s="243"/>
      <c r="OU204" s="243"/>
      <c r="OV204" s="243"/>
      <c r="OW204" s="243"/>
      <c r="OX204" s="243"/>
      <c r="OY204" s="243"/>
      <c r="OZ204" s="243"/>
      <c r="PA204" s="243"/>
      <c r="PB204" s="243"/>
      <c r="PC204" s="243"/>
      <c r="PD204" s="243"/>
      <c r="PE204" s="243"/>
      <c r="PF204" s="243"/>
      <c r="PG204" s="243"/>
      <c r="PH204" s="243"/>
      <c r="PI204" s="243"/>
      <c r="PJ204" s="243"/>
      <c r="PK204" s="243"/>
      <c r="PL204" s="243"/>
      <c r="PM204" s="243"/>
      <c r="PN204" s="243"/>
      <c r="PO204" s="243"/>
      <c r="PP204" s="243"/>
      <c r="PQ204" s="243"/>
      <c r="PR204" s="243"/>
      <c r="PS204" s="243"/>
      <c r="PT204" s="243"/>
      <c r="PU204" s="243"/>
      <c r="PV204" s="243"/>
      <c r="PW204" s="243"/>
      <c r="PX204" s="243"/>
      <c r="PY204" s="243"/>
      <c r="PZ204" s="243"/>
      <c r="QA204" s="243"/>
      <c r="QB204" s="243"/>
      <c r="QC204" s="243"/>
      <c r="QD204" s="243"/>
      <c r="QE204" s="243"/>
      <c r="QF204" s="243"/>
      <c r="QG204" s="243"/>
      <c r="QH204" s="243"/>
      <c r="QI204" s="243"/>
      <c r="QJ204" s="243"/>
      <c r="QK204" s="243"/>
      <c r="QL204" s="243"/>
      <c r="QM204" s="243"/>
      <c r="QN204" s="243"/>
      <c r="QO204" s="243"/>
      <c r="QP204" s="243"/>
      <c r="QQ204" s="243"/>
      <c r="QR204" s="243"/>
      <c r="QS204" s="243"/>
      <c r="QT204" s="243"/>
      <c r="QU204" s="243"/>
      <c r="QV204" s="243"/>
      <c r="QW204" s="243"/>
      <c r="QX204" s="243"/>
      <c r="QY204" s="243"/>
      <c r="QZ204" s="243"/>
      <c r="RA204" s="243"/>
      <c r="RB204" s="243"/>
      <c r="RC204" s="243"/>
      <c r="RD204" s="243"/>
      <c r="RE204" s="243"/>
      <c r="RF204" s="243"/>
      <c r="RG204" s="243"/>
      <c r="RH204" s="243"/>
      <c r="RI204" s="243"/>
      <c r="RJ204" s="243"/>
      <c r="RK204" s="243"/>
      <c r="RL204" s="243"/>
      <c r="RM204" s="243"/>
      <c r="RN204" s="243"/>
      <c r="RO204" s="243"/>
      <c r="RP204" s="243"/>
      <c r="RQ204" s="243"/>
      <c r="RR204" s="243"/>
      <c r="RS204" s="243"/>
      <c r="RT204" s="243"/>
      <c r="RU204" s="243"/>
      <c r="RV204" s="243"/>
      <c r="RW204" s="243"/>
      <c r="RX204" s="243"/>
      <c r="RY204" s="243"/>
      <c r="RZ204" s="243"/>
      <c r="SA204" s="243"/>
      <c r="SB204" s="243"/>
      <c r="SC204" s="243"/>
      <c r="SD204" s="243"/>
      <c r="SE204" s="243"/>
      <c r="SF204" s="243"/>
      <c r="SG204" s="243"/>
      <c r="SH204" s="243"/>
      <c r="SI204" s="243"/>
      <c r="SJ204" s="243"/>
      <c r="SK204" s="243"/>
      <c r="SL204" s="243"/>
      <c r="SM204" s="243"/>
      <c r="SN204" s="243"/>
      <c r="SO204" s="243"/>
      <c r="SP204" s="243"/>
      <c r="SQ204" s="243"/>
      <c r="SR204" s="243"/>
      <c r="SS204" s="243"/>
      <c r="ST204" s="243"/>
      <c r="SU204" s="243"/>
      <c r="SV204" s="243"/>
      <c r="SW204" s="243"/>
      <c r="SX204" s="243"/>
      <c r="SY204" s="243"/>
      <c r="SZ204" s="243"/>
      <c r="TA204" s="243"/>
      <c r="TB204" s="243"/>
      <c r="TC204" s="243"/>
      <c r="TD204" s="243"/>
      <c r="TE204" s="243"/>
      <c r="TF204" s="243"/>
      <c r="TG204" s="243"/>
      <c r="TH204" s="243"/>
      <c r="TI204" s="243"/>
      <c r="TJ204" s="243"/>
      <c r="TK204" s="243"/>
      <c r="TL204" s="243"/>
      <c r="TM204" s="243"/>
      <c r="TN204" s="243"/>
      <c r="TO204" s="243"/>
      <c r="TP204" s="243"/>
      <c r="TQ204" s="243"/>
      <c r="TR204" s="243"/>
      <c r="TS204" s="243"/>
      <c r="TT204" s="243"/>
      <c r="TU204" s="243"/>
      <c r="TV204" s="243"/>
      <c r="TW204" s="243"/>
      <c r="TX204" s="243"/>
      <c r="TY204" s="243"/>
      <c r="TZ204" s="243"/>
      <c r="UA204" s="243"/>
      <c r="UB204" s="243"/>
      <c r="UC204" s="243"/>
      <c r="UD204" s="243"/>
      <c r="UE204" s="243"/>
      <c r="UF204" s="243"/>
      <c r="UG204" s="243"/>
      <c r="UH204" s="243"/>
      <c r="UI204" s="243"/>
      <c r="UJ204" s="243"/>
      <c r="UK204" s="243"/>
      <c r="UL204" s="243"/>
      <c r="UM204" s="243"/>
      <c r="UN204" s="243"/>
      <c r="UO204" s="243"/>
      <c r="UP204" s="243"/>
      <c r="UQ204" s="243"/>
      <c r="UR204" s="243"/>
      <c r="US204" s="243"/>
      <c r="UT204" s="243"/>
      <c r="UU204" s="243"/>
      <c r="UV204" s="243"/>
      <c r="UW204" s="243"/>
      <c r="UX204" s="243"/>
      <c r="UY204" s="243"/>
      <c r="UZ204" s="243"/>
      <c r="VA204" s="243"/>
      <c r="VB204" s="243"/>
      <c r="VC204" s="243"/>
      <c r="VD204" s="243"/>
      <c r="VE204" s="243"/>
      <c r="VF204" s="243"/>
      <c r="VG204" s="243"/>
      <c r="VH204" s="243"/>
      <c r="VI204" s="243"/>
      <c r="VJ204" s="243"/>
      <c r="VK204" s="243"/>
      <c r="VL204" s="243"/>
      <c r="VM204" s="243"/>
      <c r="VN204" s="243"/>
      <c r="VO204" s="243"/>
      <c r="VP204" s="243"/>
      <c r="VQ204" s="243"/>
      <c r="VR204" s="243"/>
      <c r="VS204" s="243"/>
      <c r="VT204" s="243"/>
      <c r="VU204" s="243"/>
      <c r="VV204" s="243"/>
      <c r="VW204" s="243"/>
      <c r="VX204" s="243"/>
      <c r="VY204" s="243"/>
      <c r="VZ204" s="243"/>
      <c r="WA204" s="243"/>
      <c r="WB204" s="243"/>
      <c r="WC204" s="243"/>
      <c r="WD204" s="243"/>
      <c r="WE204" s="243"/>
      <c r="WF204" s="243"/>
      <c r="WG204" s="243"/>
      <c r="WH204" s="243"/>
      <c r="WI204" s="243"/>
      <c r="WJ204" s="243"/>
      <c r="WK204" s="243"/>
      <c r="WL204" s="243"/>
      <c r="WM204" s="243"/>
      <c r="WN204" s="243"/>
      <c r="WO204" s="243"/>
      <c r="WP204" s="243"/>
      <c r="WQ204" s="243"/>
      <c r="WR204" s="243"/>
      <c r="WS204" s="243"/>
      <c r="WT204" s="243"/>
      <c r="WU204" s="243"/>
      <c r="WV204" s="243"/>
      <c r="WW204" s="243"/>
      <c r="WX204" s="243"/>
      <c r="WY204" s="243"/>
      <c r="WZ204" s="243"/>
      <c r="XA204" s="243"/>
      <c r="XB204" s="243"/>
      <c r="XC204" s="243"/>
      <c r="XD204" s="243"/>
      <c r="XE204" s="243"/>
      <c r="XF204" s="243"/>
      <c r="XG204" s="243"/>
      <c r="XH204" s="243"/>
      <c r="XI204" s="243"/>
      <c r="XJ204" s="243"/>
      <c r="XK204" s="243"/>
      <c r="XL204" s="243"/>
      <c r="XM204" s="243"/>
      <c r="XN204" s="243"/>
      <c r="XO204" s="243"/>
      <c r="XP204" s="243"/>
      <c r="XQ204" s="243"/>
      <c r="XR204" s="243"/>
      <c r="XS204" s="243"/>
      <c r="XT204" s="243"/>
      <c r="XU204" s="243"/>
      <c r="XV204" s="243"/>
      <c r="XW204" s="243"/>
      <c r="XX204" s="243"/>
      <c r="XY204" s="243"/>
      <c r="XZ204" s="243"/>
      <c r="YA204" s="243"/>
      <c r="YB204" s="243"/>
      <c r="YC204" s="243"/>
      <c r="YD204" s="243"/>
      <c r="YE204" s="243"/>
      <c r="YF204" s="243"/>
      <c r="YG204" s="243"/>
      <c r="YH204" s="243"/>
      <c r="YI204" s="243"/>
      <c r="YJ204" s="243"/>
      <c r="YK204" s="243"/>
      <c r="YL204" s="243"/>
      <c r="YM204" s="243"/>
      <c r="YN204" s="243"/>
      <c r="YO204" s="243"/>
      <c r="YP204" s="243"/>
      <c r="YQ204" s="243"/>
      <c r="YR204" s="243"/>
      <c r="YS204" s="243"/>
      <c r="YT204" s="243"/>
      <c r="YU204" s="243"/>
      <c r="YV204" s="243"/>
      <c r="YW204" s="243"/>
      <c r="YX204" s="243"/>
      <c r="YY204" s="243"/>
      <c r="YZ204" s="243"/>
      <c r="ZA204" s="243"/>
      <c r="ZB204" s="243"/>
      <c r="ZC204" s="243"/>
      <c r="ZD204" s="243"/>
      <c r="ZE204" s="243"/>
      <c r="ZF204" s="243"/>
      <c r="ZG204" s="243"/>
      <c r="ZH204" s="243"/>
      <c r="ZI204" s="243"/>
      <c r="ZJ204" s="243"/>
      <c r="ZK204" s="243"/>
      <c r="ZL204" s="243"/>
      <c r="ZM204" s="243"/>
      <c r="ZN204" s="243"/>
      <c r="ZO204" s="243"/>
      <c r="ZP204" s="243"/>
      <c r="ZQ204" s="243"/>
      <c r="ZR204" s="243"/>
      <c r="ZS204" s="243"/>
      <c r="ZT204" s="243"/>
      <c r="ZU204" s="243"/>
      <c r="ZV204" s="243"/>
      <c r="ZW204" s="243"/>
      <c r="ZX204" s="243"/>
      <c r="ZY204" s="243"/>
      <c r="ZZ204" s="243"/>
      <c r="AAA204" s="243"/>
      <c r="AAB204" s="243"/>
      <c r="AAC204" s="243"/>
      <c r="AAD204" s="243"/>
      <c r="AAE204" s="243"/>
      <c r="AAF204" s="243"/>
      <c r="AAG204" s="243"/>
      <c r="AAH204" s="243"/>
      <c r="AAI204" s="243"/>
      <c r="AAJ204" s="243"/>
      <c r="AAK204" s="243"/>
      <c r="AAL204" s="243"/>
      <c r="AAM204" s="243"/>
      <c r="AAN204" s="243"/>
      <c r="AAO204" s="243"/>
      <c r="AAP204" s="243"/>
      <c r="AAQ204" s="243"/>
      <c r="AAR204" s="243"/>
      <c r="AAS204" s="243"/>
      <c r="AAT204" s="243"/>
      <c r="AAU204" s="243"/>
      <c r="AAV204" s="243"/>
      <c r="AAW204" s="243"/>
      <c r="AAX204" s="243"/>
      <c r="AAY204" s="243"/>
      <c r="AAZ204" s="243"/>
      <c r="ABA204" s="243"/>
      <c r="ABB204" s="243"/>
      <c r="ABC204" s="243"/>
      <c r="ABD204" s="243"/>
      <c r="ABE204" s="243"/>
      <c r="ABF204" s="243"/>
      <c r="ABG204" s="243"/>
      <c r="ABH204" s="243"/>
      <c r="ABI204" s="243"/>
      <c r="ABJ204" s="243"/>
      <c r="ABK204" s="243"/>
      <c r="ABL204" s="243"/>
      <c r="ABM204" s="243"/>
      <c r="ABN204" s="243"/>
      <c r="ABO204" s="243"/>
      <c r="ABP204" s="243"/>
      <c r="ABQ204" s="243"/>
      <c r="ABR204" s="243"/>
      <c r="ABS204" s="243"/>
      <c r="ABT204" s="243"/>
      <c r="ABU204" s="243"/>
      <c r="ABV204" s="243"/>
      <c r="ABW204" s="243"/>
      <c r="ABX204" s="243"/>
      <c r="ABY204" s="243"/>
      <c r="ABZ204" s="243"/>
      <c r="ACA204" s="243"/>
      <c r="ACB204" s="243"/>
      <c r="ACC204" s="243"/>
      <c r="ACD204" s="243"/>
      <c r="ACE204" s="243"/>
      <c r="ACF204" s="243"/>
      <c r="ACG204" s="243"/>
      <c r="ACH204" s="243"/>
      <c r="ACI204" s="243"/>
      <c r="ACJ204" s="243"/>
      <c r="ACK204" s="243"/>
      <c r="ACL204" s="243"/>
      <c r="ACM204" s="243"/>
      <c r="ACN204" s="243"/>
      <c r="ACO204" s="243"/>
      <c r="ACP204" s="243"/>
      <c r="ACQ204" s="243"/>
      <c r="ACR204" s="243"/>
      <c r="ACS204" s="243"/>
      <c r="ACT204" s="243"/>
      <c r="ACU204" s="243"/>
      <c r="ACV204" s="243"/>
      <c r="ACW204" s="243"/>
      <c r="ACX204" s="243"/>
      <c r="ACY204" s="243"/>
      <c r="ACZ204" s="243"/>
      <c r="ADA204" s="243"/>
      <c r="ADB204" s="243"/>
      <c r="ADC204" s="243"/>
      <c r="ADD204" s="243"/>
      <c r="ADE204" s="243"/>
      <c r="ADF204" s="243"/>
      <c r="ADG204" s="243"/>
      <c r="ADH204" s="243"/>
      <c r="ADI204" s="243"/>
      <c r="ADJ204" s="243"/>
      <c r="ADK204" s="243"/>
      <c r="ADL204" s="243"/>
      <c r="ADM204" s="243"/>
      <c r="ADN204" s="243"/>
      <c r="ADO204" s="243"/>
      <c r="ADP204" s="243"/>
      <c r="ADQ204" s="243"/>
      <c r="ADR204" s="243"/>
      <c r="ADS204" s="243"/>
      <c r="ADT204" s="243"/>
      <c r="ADU204" s="243"/>
      <c r="ADV204" s="243"/>
      <c r="ADW204" s="243"/>
      <c r="ADX204" s="243"/>
      <c r="ADY204" s="243"/>
      <c r="ADZ204" s="243"/>
      <c r="AEA204" s="243"/>
      <c r="AEB204" s="243"/>
      <c r="AEC204" s="243"/>
      <c r="AED204" s="243"/>
      <c r="AEE204" s="243"/>
      <c r="AEF204" s="243"/>
      <c r="AEG204" s="243"/>
      <c r="AEH204" s="243"/>
      <c r="AEI204" s="243"/>
      <c r="AEJ204" s="243"/>
      <c r="AEK204" s="243"/>
      <c r="AEL204" s="243"/>
      <c r="AEM204" s="243"/>
      <c r="AEN204" s="243"/>
      <c r="AEO204" s="243"/>
      <c r="AEP204" s="243"/>
      <c r="AEQ204" s="243"/>
      <c r="AER204" s="243"/>
      <c r="AES204" s="243"/>
      <c r="AET204" s="243"/>
      <c r="AEU204" s="243"/>
      <c r="AEV204" s="243"/>
      <c r="AEW204" s="243"/>
      <c r="AEX204" s="243"/>
      <c r="AEY204" s="243"/>
      <c r="AEZ204" s="243"/>
      <c r="AFA204" s="243"/>
      <c r="AFB204" s="243"/>
      <c r="AFC204" s="243"/>
      <c r="AFD204" s="243"/>
      <c r="AFE204" s="243"/>
      <c r="AFF204" s="243"/>
      <c r="AFG204" s="243"/>
      <c r="AFH204" s="243"/>
      <c r="AFI204" s="243"/>
      <c r="AFJ204" s="243"/>
      <c r="AFK204" s="243"/>
      <c r="AFL204" s="243"/>
      <c r="AFM204" s="243"/>
      <c r="AFN204" s="243"/>
      <c r="AFO204" s="243"/>
      <c r="AFP204" s="243"/>
      <c r="AFQ204" s="243"/>
      <c r="AFR204" s="243"/>
      <c r="AFS204" s="243"/>
      <c r="AFT204" s="243"/>
      <c r="AFU204" s="243"/>
      <c r="AFV204" s="243"/>
      <c r="AFW204" s="243"/>
      <c r="AFX204" s="243"/>
      <c r="AFY204" s="243"/>
      <c r="AFZ204" s="243"/>
      <c r="AGA204" s="243"/>
      <c r="AGB204" s="243"/>
      <c r="AGC204" s="243"/>
      <c r="AGD204" s="243"/>
      <c r="AGE204" s="243"/>
      <c r="AGF204" s="243"/>
      <c r="AGG204" s="243"/>
      <c r="AGH204" s="243"/>
      <c r="AGI204" s="243"/>
      <c r="AGJ204" s="243"/>
      <c r="AGK204" s="243"/>
      <c r="AGL204" s="243"/>
      <c r="AGM204" s="243"/>
      <c r="AGN204" s="243"/>
      <c r="AGO204" s="243"/>
      <c r="AGP204" s="243"/>
      <c r="AGQ204" s="243"/>
      <c r="AGR204" s="243"/>
      <c r="AGS204" s="243"/>
      <c r="AGT204" s="243"/>
      <c r="AGU204" s="243"/>
      <c r="AGV204" s="243"/>
      <c r="AGW204" s="243"/>
      <c r="AGX204" s="243"/>
      <c r="AGY204" s="243"/>
      <c r="AGZ204" s="243"/>
      <c r="AHA204" s="243"/>
      <c r="AHB204" s="243"/>
      <c r="AHC204" s="243"/>
      <c r="AHD204" s="243"/>
      <c r="AHE204" s="243"/>
      <c r="AHF204" s="243"/>
      <c r="AHG204" s="243"/>
      <c r="AHH204" s="243"/>
      <c r="AHI204" s="243"/>
      <c r="AHJ204" s="243"/>
      <c r="AHK204" s="243"/>
      <c r="AHL204" s="243"/>
      <c r="AHM204" s="243"/>
      <c r="AHN204" s="243"/>
      <c r="AHO204" s="243"/>
      <c r="AHP204" s="243"/>
      <c r="AHQ204" s="243"/>
      <c r="AHR204" s="243"/>
      <c r="AHS204" s="243"/>
      <c r="AHT204" s="243"/>
      <c r="AHU204" s="243"/>
      <c r="AHV204" s="243"/>
      <c r="AHW204" s="243"/>
      <c r="AHX204" s="243"/>
      <c r="AHY204" s="243"/>
      <c r="AHZ204" s="243"/>
      <c r="AIA204" s="243"/>
      <c r="AIB204" s="243"/>
      <c r="AIC204" s="243"/>
      <c r="AID204" s="243"/>
      <c r="AIE204" s="243"/>
      <c r="AIF204" s="243"/>
      <c r="AIG204" s="243"/>
      <c r="AIH204" s="243"/>
      <c r="AII204" s="243"/>
      <c r="AIJ204" s="243"/>
      <c r="AIK204" s="243"/>
      <c r="AIL204" s="243"/>
      <c r="AIM204" s="243"/>
      <c r="AIN204" s="243"/>
      <c r="AIO204" s="243"/>
      <c r="AIP204" s="243"/>
      <c r="AIQ204" s="243"/>
      <c r="AIR204" s="243"/>
      <c r="AIS204" s="243"/>
      <c r="AIT204" s="243"/>
      <c r="AIU204" s="243"/>
      <c r="AIV204" s="243"/>
      <c r="AIW204" s="243"/>
      <c r="AIX204" s="243"/>
      <c r="AIY204" s="243"/>
      <c r="AIZ204" s="243"/>
      <c r="AJA204" s="243"/>
      <c r="AJB204" s="243"/>
      <c r="AJC204" s="243"/>
      <c r="AJD204" s="243"/>
      <c r="AJE204" s="243"/>
      <c r="AJF204" s="243"/>
      <c r="AJG204" s="243"/>
      <c r="AJH204" s="243"/>
      <c r="AJI204" s="243"/>
      <c r="AJJ204" s="243"/>
      <c r="AJK204" s="243"/>
      <c r="AJL204" s="243"/>
      <c r="AJM204" s="243"/>
      <c r="AJN204" s="243"/>
      <c r="AJO204" s="243"/>
      <c r="AJP204" s="243"/>
      <c r="AJQ204" s="243"/>
      <c r="AJR204" s="243"/>
      <c r="AJS204" s="243"/>
      <c r="AJT204" s="243"/>
      <c r="AJU204" s="243"/>
      <c r="AJV204" s="243"/>
      <c r="AJW204" s="243"/>
      <c r="AJX204" s="243"/>
      <c r="AJY204" s="243"/>
      <c r="AJZ204" s="243"/>
      <c r="AKA204" s="243"/>
      <c r="AKB204" s="243"/>
      <c r="AKC204" s="243"/>
      <c r="AKD204" s="243"/>
      <c r="AKE204" s="243"/>
      <c r="AKF204" s="243"/>
      <c r="AKG204" s="243"/>
      <c r="AKH204" s="243"/>
      <c r="AKI204" s="243"/>
      <c r="AKJ204" s="243"/>
      <c r="AKK204" s="243"/>
      <c r="AKL204" s="243"/>
      <c r="AKM204" s="243"/>
      <c r="AKN204" s="243"/>
      <c r="AKO204" s="243"/>
      <c r="AKP204" s="243"/>
      <c r="AKQ204" s="243"/>
      <c r="AKR204" s="243"/>
      <c r="AKS204" s="243"/>
      <c r="AKT204" s="243"/>
      <c r="AKU204" s="243"/>
      <c r="AKV204" s="243"/>
      <c r="AKW204" s="243"/>
      <c r="AKX204" s="243"/>
      <c r="AKY204" s="243"/>
      <c r="AKZ204" s="243"/>
      <c r="ALA204" s="243"/>
      <c r="ALB204" s="243"/>
      <c r="ALC204" s="243"/>
      <c r="ALD204" s="243"/>
      <c r="ALE204" s="243"/>
      <c r="ALF204" s="243"/>
      <c r="ALG204" s="243"/>
      <c r="ALH204" s="243"/>
      <c r="ALI204" s="243"/>
      <c r="ALJ204" s="243"/>
      <c r="ALK204" s="243"/>
      <c r="ALL204" s="243"/>
      <c r="ALM204" s="243"/>
      <c r="ALN204" s="243"/>
      <c r="ALO204" s="243"/>
      <c r="ALP204" s="243"/>
      <c r="ALQ204" s="243"/>
      <c r="ALR204" s="243"/>
      <c r="ALS204" s="243"/>
      <c r="ALT204" s="243"/>
      <c r="ALU204" s="243"/>
      <c r="ALV204" s="243"/>
      <c r="ALW204" s="243"/>
      <c r="ALX204" s="243"/>
      <c r="ALY204" s="243"/>
      <c r="ALZ204" s="243"/>
      <c r="AMA204" s="243"/>
      <c r="AMB204" s="243"/>
      <c r="AMC204" s="243"/>
      <c r="AMD204" s="243"/>
      <c r="AME204" s="243"/>
      <c r="AMF204" s="243"/>
      <c r="AMG204" s="243"/>
      <c r="AMH204" s="243"/>
      <c r="AMI204" s="244"/>
      <c r="AMJ204" s="244"/>
    </row>
    <row r="205" spans="1:1024" ht="28.5" customHeight="1">
      <c r="A205" s="911"/>
      <c r="B205" s="470">
        <v>13975</v>
      </c>
      <c r="C205" s="477">
        <v>0.08</v>
      </c>
      <c r="D205" s="472" t="s">
        <v>130</v>
      </c>
      <c r="E205" s="473">
        <v>2600000</v>
      </c>
      <c r="F205" s="477">
        <v>0.06</v>
      </c>
      <c r="G205" s="475">
        <f t="shared" si="6"/>
        <v>156000</v>
      </c>
      <c r="H205" s="497" t="s">
        <v>131</v>
      </c>
      <c r="I205" s="476" t="s">
        <v>124</v>
      </c>
      <c r="J205" s="476" t="s">
        <v>125</v>
      </c>
      <c r="K205" s="515" t="s">
        <v>132</v>
      </c>
      <c r="L205" s="476" t="s">
        <v>125</v>
      </c>
      <c r="M205" s="478"/>
      <c r="N205" s="479"/>
      <c r="O205" s="480"/>
      <c r="P205" s="480"/>
      <c r="Q205" s="480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  <c r="AD205" s="243"/>
      <c r="AE205" s="243"/>
      <c r="AF205" s="243"/>
      <c r="AG205" s="243"/>
      <c r="AH205" s="243"/>
      <c r="AI205" s="243"/>
      <c r="AJ205" s="243"/>
      <c r="AK205" s="243"/>
      <c r="AL205" s="243"/>
      <c r="AM205" s="243"/>
      <c r="AN205" s="243"/>
      <c r="AO205" s="243"/>
      <c r="AP205" s="243"/>
      <c r="AQ205" s="243"/>
      <c r="AR205" s="243"/>
      <c r="AS205" s="243"/>
      <c r="AT205" s="243"/>
      <c r="AU205" s="243"/>
      <c r="AV205" s="243"/>
      <c r="AW205" s="243"/>
      <c r="AX205" s="243"/>
      <c r="AY205" s="243"/>
      <c r="AZ205" s="243"/>
      <c r="BA205" s="243"/>
      <c r="BB205" s="243"/>
      <c r="BC205" s="243"/>
      <c r="BD205" s="243"/>
      <c r="BE205" s="243"/>
      <c r="BF205" s="243"/>
      <c r="BG205" s="243"/>
      <c r="BH205" s="243"/>
      <c r="BI205" s="243"/>
      <c r="BJ205" s="243"/>
      <c r="BK205" s="243"/>
      <c r="BL205" s="243"/>
      <c r="BM205" s="243"/>
      <c r="BN205" s="243"/>
      <c r="BO205" s="243"/>
      <c r="BP205" s="243"/>
      <c r="BQ205" s="243"/>
      <c r="BR205" s="243"/>
      <c r="BS205" s="243"/>
      <c r="BT205" s="243"/>
      <c r="BU205" s="243"/>
      <c r="BV205" s="243"/>
      <c r="BW205" s="243"/>
      <c r="BX205" s="243"/>
      <c r="BY205" s="243"/>
      <c r="BZ205" s="243"/>
      <c r="CA205" s="243"/>
      <c r="CB205" s="243"/>
      <c r="CC205" s="243"/>
      <c r="CD205" s="243"/>
      <c r="CE205" s="243"/>
      <c r="CF205" s="243"/>
      <c r="CG205" s="243"/>
      <c r="CH205" s="243"/>
      <c r="CI205" s="243"/>
      <c r="CJ205" s="243"/>
      <c r="CK205" s="243"/>
      <c r="CL205" s="243"/>
      <c r="CM205" s="243"/>
      <c r="CN205" s="243"/>
      <c r="CO205" s="243"/>
      <c r="CP205" s="243"/>
      <c r="CQ205" s="243"/>
      <c r="CR205" s="243"/>
      <c r="CS205" s="243"/>
      <c r="CT205" s="243"/>
      <c r="CU205" s="243"/>
      <c r="CV205" s="243"/>
      <c r="CW205" s="243"/>
      <c r="CX205" s="243"/>
      <c r="CY205" s="243"/>
      <c r="CZ205" s="243"/>
      <c r="DA205" s="243"/>
      <c r="DB205" s="243"/>
      <c r="DC205" s="243"/>
      <c r="DD205" s="243"/>
      <c r="DE205" s="243"/>
      <c r="DF205" s="243"/>
      <c r="DG205" s="243"/>
      <c r="DH205" s="243"/>
      <c r="DI205" s="243"/>
      <c r="DJ205" s="243"/>
      <c r="DK205" s="243"/>
      <c r="DL205" s="243"/>
      <c r="DM205" s="243"/>
      <c r="DN205" s="243"/>
      <c r="DO205" s="243"/>
      <c r="DP205" s="243"/>
      <c r="DQ205" s="243"/>
      <c r="DR205" s="243"/>
      <c r="DS205" s="243"/>
      <c r="DT205" s="243"/>
      <c r="DU205" s="243"/>
      <c r="DV205" s="243"/>
      <c r="DW205" s="243"/>
      <c r="DX205" s="243"/>
      <c r="DY205" s="243"/>
      <c r="DZ205" s="243"/>
      <c r="EA205" s="243"/>
      <c r="EB205" s="243"/>
      <c r="EC205" s="243"/>
      <c r="ED205" s="243"/>
      <c r="EE205" s="243"/>
      <c r="EF205" s="243"/>
      <c r="EG205" s="243"/>
      <c r="EH205" s="243"/>
      <c r="EI205" s="243"/>
      <c r="EJ205" s="243"/>
      <c r="EK205" s="243"/>
      <c r="EL205" s="243"/>
      <c r="EM205" s="243"/>
      <c r="EN205" s="243"/>
      <c r="EO205" s="243"/>
      <c r="EP205" s="243"/>
      <c r="EQ205" s="243"/>
      <c r="ER205" s="243"/>
      <c r="ES205" s="243"/>
      <c r="ET205" s="243"/>
      <c r="EU205" s="243"/>
      <c r="EV205" s="243"/>
      <c r="EW205" s="243"/>
      <c r="EX205" s="243"/>
      <c r="EY205" s="243"/>
      <c r="EZ205" s="243"/>
      <c r="FA205" s="243"/>
      <c r="FB205" s="243"/>
      <c r="FC205" s="243"/>
      <c r="FD205" s="243"/>
      <c r="FE205" s="243"/>
      <c r="FF205" s="243"/>
      <c r="FG205" s="243"/>
      <c r="FH205" s="243"/>
      <c r="FI205" s="243"/>
      <c r="FJ205" s="243"/>
      <c r="FK205" s="243"/>
      <c r="FL205" s="243"/>
      <c r="FM205" s="243"/>
      <c r="FN205" s="243"/>
      <c r="FO205" s="243"/>
      <c r="FP205" s="243"/>
      <c r="FQ205" s="243"/>
      <c r="FR205" s="243"/>
      <c r="FS205" s="243"/>
      <c r="FT205" s="243"/>
      <c r="FU205" s="243"/>
      <c r="FV205" s="243"/>
      <c r="FW205" s="243"/>
      <c r="FX205" s="243"/>
      <c r="FY205" s="243"/>
      <c r="FZ205" s="243"/>
      <c r="GA205" s="243"/>
      <c r="GB205" s="243"/>
      <c r="GC205" s="243"/>
      <c r="GD205" s="243"/>
      <c r="GE205" s="243"/>
      <c r="GF205" s="243"/>
      <c r="GG205" s="243"/>
      <c r="GH205" s="243"/>
      <c r="GI205" s="243"/>
      <c r="GJ205" s="243"/>
      <c r="GK205" s="243"/>
      <c r="GL205" s="243"/>
      <c r="GM205" s="243"/>
      <c r="GN205" s="243"/>
      <c r="GO205" s="243"/>
      <c r="GP205" s="243"/>
      <c r="GQ205" s="243"/>
      <c r="GR205" s="243"/>
      <c r="GS205" s="243"/>
      <c r="GT205" s="243"/>
      <c r="GU205" s="243"/>
      <c r="GV205" s="243"/>
      <c r="GW205" s="243"/>
      <c r="GX205" s="243"/>
      <c r="GY205" s="243"/>
      <c r="GZ205" s="243"/>
      <c r="HA205" s="243"/>
      <c r="HB205" s="243"/>
      <c r="HC205" s="243"/>
      <c r="HD205" s="243"/>
      <c r="HE205" s="243"/>
      <c r="HF205" s="243"/>
      <c r="HG205" s="243"/>
      <c r="HH205" s="243"/>
      <c r="HI205" s="243"/>
      <c r="HJ205" s="243"/>
      <c r="HK205" s="243"/>
      <c r="HL205" s="243"/>
      <c r="HM205" s="243"/>
      <c r="HN205" s="243"/>
      <c r="HO205" s="243"/>
      <c r="HP205" s="243"/>
      <c r="HQ205" s="243"/>
      <c r="HR205" s="243"/>
      <c r="HS205" s="243"/>
      <c r="HT205" s="243"/>
      <c r="HU205" s="243"/>
      <c r="HV205" s="243"/>
      <c r="HW205" s="243"/>
      <c r="HX205" s="243"/>
      <c r="HY205" s="243"/>
      <c r="HZ205" s="243"/>
      <c r="IA205" s="243"/>
      <c r="IB205" s="243"/>
      <c r="IC205" s="243"/>
      <c r="ID205" s="243"/>
      <c r="IE205" s="243"/>
      <c r="IF205" s="243"/>
      <c r="IG205" s="243"/>
      <c r="IH205" s="243"/>
      <c r="II205" s="243"/>
      <c r="IJ205" s="243"/>
      <c r="IK205" s="243"/>
      <c r="IL205" s="243"/>
      <c r="IM205" s="243"/>
      <c r="IN205" s="243"/>
      <c r="IO205" s="243"/>
      <c r="IP205" s="243"/>
      <c r="IQ205" s="243"/>
      <c r="IR205" s="243"/>
      <c r="IS205" s="243"/>
      <c r="IT205" s="243"/>
      <c r="IU205" s="243"/>
      <c r="IV205" s="243"/>
      <c r="IW205" s="243"/>
      <c r="IX205" s="243"/>
      <c r="IY205" s="243"/>
      <c r="IZ205" s="243"/>
      <c r="JA205" s="243"/>
      <c r="JB205" s="243"/>
      <c r="JC205" s="243"/>
      <c r="JD205" s="243"/>
      <c r="JE205" s="243"/>
      <c r="JF205" s="243"/>
      <c r="JG205" s="243"/>
      <c r="JH205" s="243"/>
      <c r="JI205" s="243"/>
      <c r="JJ205" s="243"/>
      <c r="JK205" s="243"/>
      <c r="JL205" s="243"/>
      <c r="JM205" s="243"/>
      <c r="JN205" s="243"/>
      <c r="JO205" s="243"/>
      <c r="JP205" s="243"/>
      <c r="JQ205" s="243"/>
      <c r="JR205" s="243"/>
      <c r="JS205" s="243"/>
      <c r="JT205" s="243"/>
      <c r="JU205" s="243"/>
      <c r="JV205" s="243"/>
      <c r="JW205" s="243"/>
      <c r="JX205" s="243"/>
      <c r="JY205" s="243"/>
      <c r="JZ205" s="243"/>
      <c r="KA205" s="243"/>
      <c r="KB205" s="243"/>
      <c r="KC205" s="243"/>
      <c r="KD205" s="243"/>
      <c r="KE205" s="243"/>
      <c r="KF205" s="243"/>
      <c r="KG205" s="243"/>
      <c r="KH205" s="243"/>
      <c r="KI205" s="243"/>
      <c r="KJ205" s="243"/>
      <c r="KK205" s="243"/>
      <c r="KL205" s="243"/>
      <c r="KM205" s="243"/>
      <c r="KN205" s="243"/>
      <c r="KO205" s="243"/>
      <c r="KP205" s="243"/>
      <c r="KQ205" s="243"/>
      <c r="KR205" s="243"/>
      <c r="KS205" s="243"/>
      <c r="KT205" s="243"/>
      <c r="KU205" s="243"/>
      <c r="KV205" s="243"/>
      <c r="KW205" s="243"/>
      <c r="KX205" s="243"/>
      <c r="KY205" s="243"/>
      <c r="KZ205" s="243"/>
      <c r="LA205" s="243"/>
      <c r="LB205" s="243"/>
      <c r="LC205" s="243"/>
      <c r="LD205" s="243"/>
      <c r="LE205" s="243"/>
      <c r="LF205" s="243"/>
      <c r="LG205" s="243"/>
      <c r="LH205" s="243"/>
      <c r="LI205" s="243"/>
      <c r="LJ205" s="243"/>
      <c r="LK205" s="243"/>
      <c r="LL205" s="243"/>
      <c r="LM205" s="243"/>
      <c r="LN205" s="243"/>
      <c r="LO205" s="243"/>
      <c r="LP205" s="243"/>
      <c r="LQ205" s="243"/>
      <c r="LR205" s="243"/>
      <c r="LS205" s="243"/>
      <c r="LT205" s="243"/>
      <c r="LU205" s="243"/>
      <c r="LV205" s="243"/>
      <c r="LW205" s="243"/>
      <c r="LX205" s="243"/>
      <c r="LY205" s="243"/>
      <c r="LZ205" s="243"/>
      <c r="MA205" s="243"/>
      <c r="MB205" s="243"/>
      <c r="MC205" s="243"/>
      <c r="MD205" s="243"/>
      <c r="ME205" s="243"/>
      <c r="MF205" s="243"/>
      <c r="MG205" s="243"/>
      <c r="MH205" s="243"/>
      <c r="MI205" s="243"/>
      <c r="MJ205" s="243"/>
      <c r="MK205" s="243"/>
      <c r="ML205" s="243"/>
      <c r="MM205" s="243"/>
      <c r="MN205" s="243"/>
      <c r="MO205" s="243"/>
      <c r="MP205" s="243"/>
      <c r="MQ205" s="243"/>
      <c r="MR205" s="243"/>
      <c r="MS205" s="243"/>
      <c r="MT205" s="243"/>
      <c r="MU205" s="243"/>
      <c r="MV205" s="243"/>
      <c r="MW205" s="243"/>
      <c r="MX205" s="243"/>
      <c r="MY205" s="243"/>
      <c r="MZ205" s="243"/>
      <c r="NA205" s="243"/>
      <c r="NB205" s="243"/>
      <c r="NC205" s="243"/>
      <c r="ND205" s="243"/>
      <c r="NE205" s="243"/>
      <c r="NF205" s="243"/>
      <c r="NG205" s="243"/>
      <c r="NH205" s="243"/>
      <c r="NI205" s="243"/>
      <c r="NJ205" s="243"/>
      <c r="NK205" s="243"/>
      <c r="NL205" s="243"/>
      <c r="NM205" s="243"/>
      <c r="NN205" s="243"/>
      <c r="NO205" s="243"/>
      <c r="NP205" s="243"/>
      <c r="NQ205" s="243"/>
      <c r="NR205" s="243"/>
      <c r="NS205" s="243"/>
      <c r="NT205" s="243"/>
      <c r="NU205" s="243"/>
      <c r="NV205" s="243"/>
      <c r="NW205" s="243"/>
      <c r="NX205" s="243"/>
      <c r="NY205" s="243"/>
      <c r="NZ205" s="243"/>
      <c r="OA205" s="243"/>
      <c r="OB205" s="243"/>
      <c r="OC205" s="243"/>
      <c r="OD205" s="243"/>
      <c r="OE205" s="243"/>
      <c r="OF205" s="243"/>
      <c r="OG205" s="243"/>
      <c r="OH205" s="243"/>
      <c r="OI205" s="243"/>
      <c r="OJ205" s="243"/>
      <c r="OK205" s="243"/>
      <c r="OL205" s="243"/>
      <c r="OM205" s="243"/>
      <c r="ON205" s="243"/>
      <c r="OO205" s="243"/>
      <c r="OP205" s="243"/>
      <c r="OQ205" s="243"/>
      <c r="OR205" s="243"/>
      <c r="OS205" s="243"/>
      <c r="OT205" s="243"/>
      <c r="OU205" s="243"/>
      <c r="OV205" s="243"/>
      <c r="OW205" s="243"/>
      <c r="OX205" s="243"/>
      <c r="OY205" s="243"/>
      <c r="OZ205" s="243"/>
      <c r="PA205" s="243"/>
      <c r="PB205" s="243"/>
      <c r="PC205" s="243"/>
      <c r="PD205" s="243"/>
      <c r="PE205" s="243"/>
      <c r="PF205" s="243"/>
      <c r="PG205" s="243"/>
      <c r="PH205" s="243"/>
      <c r="PI205" s="243"/>
      <c r="PJ205" s="243"/>
      <c r="PK205" s="243"/>
      <c r="PL205" s="243"/>
      <c r="PM205" s="243"/>
      <c r="PN205" s="243"/>
      <c r="PO205" s="243"/>
      <c r="PP205" s="243"/>
      <c r="PQ205" s="243"/>
      <c r="PR205" s="243"/>
      <c r="PS205" s="243"/>
      <c r="PT205" s="243"/>
      <c r="PU205" s="243"/>
      <c r="PV205" s="243"/>
      <c r="PW205" s="243"/>
      <c r="PX205" s="243"/>
      <c r="PY205" s="243"/>
      <c r="PZ205" s="243"/>
      <c r="QA205" s="243"/>
      <c r="QB205" s="243"/>
      <c r="QC205" s="243"/>
      <c r="QD205" s="243"/>
      <c r="QE205" s="243"/>
      <c r="QF205" s="243"/>
      <c r="QG205" s="243"/>
      <c r="QH205" s="243"/>
      <c r="QI205" s="243"/>
      <c r="QJ205" s="243"/>
      <c r="QK205" s="243"/>
      <c r="QL205" s="243"/>
      <c r="QM205" s="243"/>
      <c r="QN205" s="243"/>
      <c r="QO205" s="243"/>
      <c r="QP205" s="243"/>
      <c r="QQ205" s="243"/>
      <c r="QR205" s="243"/>
      <c r="QS205" s="243"/>
      <c r="QT205" s="243"/>
      <c r="QU205" s="243"/>
      <c r="QV205" s="243"/>
      <c r="QW205" s="243"/>
      <c r="QX205" s="243"/>
      <c r="QY205" s="243"/>
      <c r="QZ205" s="243"/>
      <c r="RA205" s="243"/>
      <c r="RB205" s="243"/>
      <c r="RC205" s="243"/>
      <c r="RD205" s="243"/>
      <c r="RE205" s="243"/>
      <c r="RF205" s="243"/>
      <c r="RG205" s="243"/>
      <c r="RH205" s="243"/>
      <c r="RI205" s="243"/>
      <c r="RJ205" s="243"/>
      <c r="RK205" s="243"/>
      <c r="RL205" s="243"/>
      <c r="RM205" s="243"/>
      <c r="RN205" s="243"/>
      <c r="RO205" s="243"/>
      <c r="RP205" s="243"/>
      <c r="RQ205" s="243"/>
      <c r="RR205" s="243"/>
      <c r="RS205" s="243"/>
      <c r="RT205" s="243"/>
      <c r="RU205" s="243"/>
      <c r="RV205" s="243"/>
      <c r="RW205" s="243"/>
      <c r="RX205" s="243"/>
      <c r="RY205" s="243"/>
      <c r="RZ205" s="243"/>
      <c r="SA205" s="243"/>
      <c r="SB205" s="243"/>
      <c r="SC205" s="243"/>
      <c r="SD205" s="243"/>
      <c r="SE205" s="243"/>
      <c r="SF205" s="243"/>
      <c r="SG205" s="243"/>
      <c r="SH205" s="243"/>
      <c r="SI205" s="243"/>
      <c r="SJ205" s="243"/>
      <c r="SK205" s="243"/>
      <c r="SL205" s="243"/>
      <c r="SM205" s="243"/>
      <c r="SN205" s="243"/>
      <c r="SO205" s="243"/>
      <c r="SP205" s="243"/>
      <c r="SQ205" s="243"/>
      <c r="SR205" s="243"/>
      <c r="SS205" s="243"/>
      <c r="ST205" s="243"/>
      <c r="SU205" s="243"/>
      <c r="SV205" s="243"/>
      <c r="SW205" s="243"/>
      <c r="SX205" s="243"/>
      <c r="SY205" s="243"/>
      <c r="SZ205" s="243"/>
      <c r="TA205" s="243"/>
      <c r="TB205" s="243"/>
      <c r="TC205" s="243"/>
      <c r="TD205" s="243"/>
      <c r="TE205" s="243"/>
      <c r="TF205" s="243"/>
      <c r="TG205" s="243"/>
      <c r="TH205" s="243"/>
      <c r="TI205" s="243"/>
      <c r="TJ205" s="243"/>
      <c r="TK205" s="243"/>
      <c r="TL205" s="243"/>
      <c r="TM205" s="243"/>
      <c r="TN205" s="243"/>
      <c r="TO205" s="243"/>
      <c r="TP205" s="243"/>
      <c r="TQ205" s="243"/>
      <c r="TR205" s="243"/>
      <c r="TS205" s="243"/>
      <c r="TT205" s="243"/>
      <c r="TU205" s="243"/>
      <c r="TV205" s="243"/>
      <c r="TW205" s="243"/>
      <c r="TX205" s="243"/>
      <c r="TY205" s="243"/>
      <c r="TZ205" s="243"/>
      <c r="UA205" s="243"/>
      <c r="UB205" s="243"/>
      <c r="UC205" s="243"/>
      <c r="UD205" s="243"/>
      <c r="UE205" s="243"/>
      <c r="UF205" s="243"/>
      <c r="UG205" s="243"/>
      <c r="UH205" s="243"/>
      <c r="UI205" s="243"/>
      <c r="UJ205" s="243"/>
      <c r="UK205" s="243"/>
      <c r="UL205" s="243"/>
      <c r="UM205" s="243"/>
      <c r="UN205" s="243"/>
      <c r="UO205" s="243"/>
      <c r="UP205" s="243"/>
      <c r="UQ205" s="243"/>
      <c r="UR205" s="243"/>
      <c r="US205" s="243"/>
      <c r="UT205" s="243"/>
      <c r="UU205" s="243"/>
      <c r="UV205" s="243"/>
      <c r="UW205" s="243"/>
      <c r="UX205" s="243"/>
      <c r="UY205" s="243"/>
      <c r="UZ205" s="243"/>
      <c r="VA205" s="243"/>
      <c r="VB205" s="243"/>
      <c r="VC205" s="243"/>
      <c r="VD205" s="243"/>
      <c r="VE205" s="243"/>
      <c r="VF205" s="243"/>
      <c r="VG205" s="243"/>
      <c r="VH205" s="243"/>
      <c r="VI205" s="243"/>
      <c r="VJ205" s="243"/>
      <c r="VK205" s="243"/>
      <c r="VL205" s="243"/>
      <c r="VM205" s="243"/>
      <c r="VN205" s="243"/>
      <c r="VO205" s="243"/>
      <c r="VP205" s="243"/>
      <c r="VQ205" s="243"/>
      <c r="VR205" s="243"/>
      <c r="VS205" s="243"/>
      <c r="VT205" s="243"/>
      <c r="VU205" s="243"/>
      <c r="VV205" s="243"/>
      <c r="VW205" s="243"/>
      <c r="VX205" s="243"/>
      <c r="VY205" s="243"/>
      <c r="VZ205" s="243"/>
      <c r="WA205" s="243"/>
      <c r="WB205" s="243"/>
      <c r="WC205" s="243"/>
      <c r="WD205" s="243"/>
      <c r="WE205" s="243"/>
      <c r="WF205" s="243"/>
      <c r="WG205" s="243"/>
      <c r="WH205" s="243"/>
      <c r="WI205" s="243"/>
      <c r="WJ205" s="243"/>
      <c r="WK205" s="243"/>
      <c r="WL205" s="243"/>
      <c r="WM205" s="243"/>
      <c r="WN205" s="243"/>
      <c r="WO205" s="243"/>
      <c r="WP205" s="243"/>
      <c r="WQ205" s="243"/>
      <c r="WR205" s="243"/>
      <c r="WS205" s="243"/>
      <c r="WT205" s="243"/>
      <c r="WU205" s="243"/>
      <c r="WV205" s="243"/>
      <c r="WW205" s="243"/>
      <c r="WX205" s="243"/>
      <c r="WY205" s="243"/>
      <c r="WZ205" s="243"/>
      <c r="XA205" s="243"/>
      <c r="XB205" s="243"/>
      <c r="XC205" s="243"/>
      <c r="XD205" s="243"/>
      <c r="XE205" s="243"/>
      <c r="XF205" s="243"/>
      <c r="XG205" s="243"/>
      <c r="XH205" s="243"/>
      <c r="XI205" s="243"/>
      <c r="XJ205" s="243"/>
      <c r="XK205" s="243"/>
      <c r="XL205" s="243"/>
      <c r="XM205" s="243"/>
      <c r="XN205" s="243"/>
      <c r="XO205" s="243"/>
      <c r="XP205" s="243"/>
      <c r="XQ205" s="243"/>
      <c r="XR205" s="243"/>
      <c r="XS205" s="243"/>
      <c r="XT205" s="243"/>
      <c r="XU205" s="243"/>
      <c r="XV205" s="243"/>
      <c r="XW205" s="243"/>
      <c r="XX205" s="243"/>
      <c r="XY205" s="243"/>
      <c r="XZ205" s="243"/>
      <c r="YA205" s="243"/>
      <c r="YB205" s="243"/>
      <c r="YC205" s="243"/>
      <c r="YD205" s="243"/>
      <c r="YE205" s="243"/>
      <c r="YF205" s="243"/>
      <c r="YG205" s="243"/>
      <c r="YH205" s="243"/>
      <c r="YI205" s="243"/>
      <c r="YJ205" s="243"/>
      <c r="YK205" s="243"/>
      <c r="YL205" s="243"/>
      <c r="YM205" s="243"/>
      <c r="YN205" s="243"/>
      <c r="YO205" s="243"/>
      <c r="YP205" s="243"/>
      <c r="YQ205" s="243"/>
      <c r="YR205" s="243"/>
      <c r="YS205" s="243"/>
      <c r="YT205" s="243"/>
      <c r="YU205" s="243"/>
      <c r="YV205" s="243"/>
      <c r="YW205" s="243"/>
      <c r="YX205" s="243"/>
      <c r="YY205" s="243"/>
      <c r="YZ205" s="243"/>
      <c r="ZA205" s="243"/>
      <c r="ZB205" s="243"/>
      <c r="ZC205" s="243"/>
      <c r="ZD205" s="243"/>
      <c r="ZE205" s="243"/>
      <c r="ZF205" s="243"/>
      <c r="ZG205" s="243"/>
      <c r="ZH205" s="243"/>
      <c r="ZI205" s="243"/>
      <c r="ZJ205" s="243"/>
      <c r="ZK205" s="243"/>
      <c r="ZL205" s="243"/>
      <c r="ZM205" s="243"/>
      <c r="ZN205" s="243"/>
      <c r="ZO205" s="243"/>
      <c r="ZP205" s="243"/>
      <c r="ZQ205" s="243"/>
      <c r="ZR205" s="243"/>
      <c r="ZS205" s="243"/>
      <c r="ZT205" s="243"/>
      <c r="ZU205" s="243"/>
      <c r="ZV205" s="243"/>
      <c r="ZW205" s="243"/>
      <c r="ZX205" s="243"/>
      <c r="ZY205" s="243"/>
      <c r="ZZ205" s="243"/>
      <c r="AAA205" s="243"/>
      <c r="AAB205" s="243"/>
      <c r="AAC205" s="243"/>
      <c r="AAD205" s="243"/>
      <c r="AAE205" s="243"/>
      <c r="AAF205" s="243"/>
      <c r="AAG205" s="243"/>
      <c r="AAH205" s="243"/>
      <c r="AAI205" s="243"/>
      <c r="AAJ205" s="243"/>
      <c r="AAK205" s="243"/>
      <c r="AAL205" s="243"/>
      <c r="AAM205" s="243"/>
      <c r="AAN205" s="243"/>
      <c r="AAO205" s="243"/>
      <c r="AAP205" s="243"/>
      <c r="AAQ205" s="243"/>
      <c r="AAR205" s="243"/>
      <c r="AAS205" s="243"/>
      <c r="AAT205" s="243"/>
      <c r="AAU205" s="243"/>
      <c r="AAV205" s="243"/>
      <c r="AAW205" s="243"/>
      <c r="AAX205" s="243"/>
      <c r="AAY205" s="243"/>
      <c r="AAZ205" s="243"/>
      <c r="ABA205" s="243"/>
      <c r="ABB205" s="243"/>
      <c r="ABC205" s="243"/>
      <c r="ABD205" s="243"/>
      <c r="ABE205" s="243"/>
      <c r="ABF205" s="243"/>
      <c r="ABG205" s="243"/>
      <c r="ABH205" s="243"/>
      <c r="ABI205" s="243"/>
      <c r="ABJ205" s="243"/>
      <c r="ABK205" s="243"/>
      <c r="ABL205" s="243"/>
      <c r="ABM205" s="243"/>
      <c r="ABN205" s="243"/>
      <c r="ABO205" s="243"/>
      <c r="ABP205" s="243"/>
      <c r="ABQ205" s="243"/>
      <c r="ABR205" s="243"/>
      <c r="ABS205" s="243"/>
      <c r="ABT205" s="243"/>
      <c r="ABU205" s="243"/>
      <c r="ABV205" s="243"/>
      <c r="ABW205" s="243"/>
      <c r="ABX205" s="243"/>
      <c r="ABY205" s="243"/>
      <c r="ABZ205" s="243"/>
      <c r="ACA205" s="243"/>
      <c r="ACB205" s="243"/>
      <c r="ACC205" s="243"/>
      <c r="ACD205" s="243"/>
      <c r="ACE205" s="243"/>
      <c r="ACF205" s="243"/>
      <c r="ACG205" s="243"/>
      <c r="ACH205" s="243"/>
      <c r="ACI205" s="243"/>
      <c r="ACJ205" s="243"/>
      <c r="ACK205" s="243"/>
      <c r="ACL205" s="243"/>
      <c r="ACM205" s="243"/>
      <c r="ACN205" s="243"/>
      <c r="ACO205" s="243"/>
      <c r="ACP205" s="243"/>
      <c r="ACQ205" s="243"/>
      <c r="ACR205" s="243"/>
      <c r="ACS205" s="243"/>
      <c r="ACT205" s="243"/>
      <c r="ACU205" s="243"/>
      <c r="ACV205" s="243"/>
      <c r="ACW205" s="243"/>
      <c r="ACX205" s="243"/>
      <c r="ACY205" s="243"/>
      <c r="ACZ205" s="243"/>
      <c r="ADA205" s="243"/>
      <c r="ADB205" s="243"/>
      <c r="ADC205" s="243"/>
      <c r="ADD205" s="243"/>
      <c r="ADE205" s="243"/>
      <c r="ADF205" s="243"/>
      <c r="ADG205" s="243"/>
      <c r="ADH205" s="243"/>
      <c r="ADI205" s="243"/>
      <c r="ADJ205" s="243"/>
      <c r="ADK205" s="243"/>
      <c r="ADL205" s="243"/>
      <c r="ADM205" s="243"/>
      <c r="ADN205" s="243"/>
      <c r="ADO205" s="243"/>
      <c r="ADP205" s="243"/>
      <c r="ADQ205" s="243"/>
      <c r="ADR205" s="243"/>
      <c r="ADS205" s="243"/>
      <c r="ADT205" s="243"/>
      <c r="ADU205" s="243"/>
      <c r="ADV205" s="243"/>
      <c r="ADW205" s="243"/>
      <c r="ADX205" s="243"/>
      <c r="ADY205" s="243"/>
      <c r="ADZ205" s="243"/>
      <c r="AEA205" s="243"/>
      <c r="AEB205" s="243"/>
      <c r="AEC205" s="243"/>
      <c r="AED205" s="243"/>
      <c r="AEE205" s="243"/>
      <c r="AEF205" s="243"/>
      <c r="AEG205" s="243"/>
      <c r="AEH205" s="243"/>
      <c r="AEI205" s="243"/>
      <c r="AEJ205" s="243"/>
      <c r="AEK205" s="243"/>
      <c r="AEL205" s="243"/>
      <c r="AEM205" s="243"/>
      <c r="AEN205" s="243"/>
      <c r="AEO205" s="243"/>
      <c r="AEP205" s="243"/>
      <c r="AEQ205" s="243"/>
      <c r="AER205" s="243"/>
      <c r="AES205" s="243"/>
      <c r="AET205" s="243"/>
      <c r="AEU205" s="243"/>
      <c r="AEV205" s="243"/>
      <c r="AEW205" s="243"/>
      <c r="AEX205" s="243"/>
      <c r="AEY205" s="243"/>
      <c r="AEZ205" s="243"/>
      <c r="AFA205" s="243"/>
      <c r="AFB205" s="243"/>
      <c r="AFC205" s="243"/>
      <c r="AFD205" s="243"/>
      <c r="AFE205" s="243"/>
      <c r="AFF205" s="243"/>
      <c r="AFG205" s="243"/>
      <c r="AFH205" s="243"/>
      <c r="AFI205" s="243"/>
      <c r="AFJ205" s="243"/>
      <c r="AFK205" s="243"/>
      <c r="AFL205" s="243"/>
      <c r="AFM205" s="243"/>
      <c r="AFN205" s="243"/>
      <c r="AFO205" s="243"/>
      <c r="AFP205" s="243"/>
      <c r="AFQ205" s="243"/>
      <c r="AFR205" s="243"/>
      <c r="AFS205" s="243"/>
      <c r="AFT205" s="243"/>
      <c r="AFU205" s="243"/>
      <c r="AFV205" s="243"/>
      <c r="AFW205" s="243"/>
      <c r="AFX205" s="243"/>
      <c r="AFY205" s="243"/>
      <c r="AFZ205" s="243"/>
      <c r="AGA205" s="243"/>
      <c r="AGB205" s="243"/>
      <c r="AGC205" s="243"/>
      <c r="AGD205" s="243"/>
      <c r="AGE205" s="243"/>
      <c r="AGF205" s="243"/>
      <c r="AGG205" s="243"/>
      <c r="AGH205" s="243"/>
      <c r="AGI205" s="243"/>
      <c r="AGJ205" s="243"/>
      <c r="AGK205" s="243"/>
      <c r="AGL205" s="243"/>
      <c r="AGM205" s="243"/>
      <c r="AGN205" s="243"/>
      <c r="AGO205" s="243"/>
      <c r="AGP205" s="243"/>
      <c r="AGQ205" s="243"/>
      <c r="AGR205" s="243"/>
      <c r="AGS205" s="243"/>
      <c r="AGT205" s="243"/>
      <c r="AGU205" s="243"/>
      <c r="AGV205" s="243"/>
      <c r="AGW205" s="243"/>
      <c r="AGX205" s="243"/>
      <c r="AGY205" s="243"/>
      <c r="AGZ205" s="243"/>
      <c r="AHA205" s="243"/>
      <c r="AHB205" s="243"/>
      <c r="AHC205" s="243"/>
      <c r="AHD205" s="243"/>
      <c r="AHE205" s="243"/>
      <c r="AHF205" s="243"/>
      <c r="AHG205" s="243"/>
      <c r="AHH205" s="243"/>
      <c r="AHI205" s="243"/>
      <c r="AHJ205" s="243"/>
      <c r="AHK205" s="243"/>
      <c r="AHL205" s="243"/>
      <c r="AHM205" s="243"/>
      <c r="AHN205" s="243"/>
      <c r="AHO205" s="243"/>
      <c r="AHP205" s="243"/>
      <c r="AHQ205" s="243"/>
      <c r="AHR205" s="243"/>
      <c r="AHS205" s="243"/>
      <c r="AHT205" s="243"/>
      <c r="AHU205" s="243"/>
      <c r="AHV205" s="243"/>
      <c r="AHW205" s="243"/>
      <c r="AHX205" s="243"/>
      <c r="AHY205" s="243"/>
      <c r="AHZ205" s="243"/>
      <c r="AIA205" s="243"/>
      <c r="AIB205" s="243"/>
      <c r="AIC205" s="243"/>
      <c r="AID205" s="243"/>
      <c r="AIE205" s="243"/>
      <c r="AIF205" s="243"/>
      <c r="AIG205" s="243"/>
      <c r="AIH205" s="243"/>
      <c r="AII205" s="243"/>
      <c r="AIJ205" s="243"/>
      <c r="AIK205" s="243"/>
      <c r="AIL205" s="243"/>
      <c r="AIM205" s="243"/>
      <c r="AIN205" s="243"/>
      <c r="AIO205" s="243"/>
      <c r="AIP205" s="243"/>
      <c r="AIQ205" s="243"/>
      <c r="AIR205" s="243"/>
      <c r="AIS205" s="243"/>
      <c r="AIT205" s="243"/>
      <c r="AIU205" s="243"/>
      <c r="AIV205" s="243"/>
      <c r="AIW205" s="243"/>
      <c r="AIX205" s="243"/>
      <c r="AIY205" s="243"/>
      <c r="AIZ205" s="243"/>
      <c r="AJA205" s="243"/>
      <c r="AJB205" s="243"/>
      <c r="AJC205" s="243"/>
      <c r="AJD205" s="243"/>
      <c r="AJE205" s="243"/>
      <c r="AJF205" s="243"/>
      <c r="AJG205" s="243"/>
      <c r="AJH205" s="243"/>
      <c r="AJI205" s="243"/>
      <c r="AJJ205" s="243"/>
      <c r="AJK205" s="243"/>
      <c r="AJL205" s="243"/>
      <c r="AJM205" s="243"/>
      <c r="AJN205" s="243"/>
      <c r="AJO205" s="243"/>
      <c r="AJP205" s="243"/>
      <c r="AJQ205" s="243"/>
      <c r="AJR205" s="243"/>
      <c r="AJS205" s="243"/>
      <c r="AJT205" s="243"/>
      <c r="AJU205" s="243"/>
      <c r="AJV205" s="243"/>
      <c r="AJW205" s="243"/>
      <c r="AJX205" s="243"/>
      <c r="AJY205" s="243"/>
      <c r="AJZ205" s="243"/>
      <c r="AKA205" s="243"/>
      <c r="AKB205" s="243"/>
      <c r="AKC205" s="243"/>
      <c r="AKD205" s="243"/>
      <c r="AKE205" s="243"/>
      <c r="AKF205" s="243"/>
      <c r="AKG205" s="243"/>
      <c r="AKH205" s="243"/>
      <c r="AKI205" s="243"/>
      <c r="AKJ205" s="243"/>
      <c r="AKK205" s="243"/>
      <c r="AKL205" s="243"/>
      <c r="AKM205" s="243"/>
      <c r="AKN205" s="243"/>
      <c r="AKO205" s="243"/>
      <c r="AKP205" s="243"/>
      <c r="AKQ205" s="243"/>
      <c r="AKR205" s="243"/>
      <c r="AKS205" s="243"/>
      <c r="AKT205" s="243"/>
      <c r="AKU205" s="243"/>
      <c r="AKV205" s="243"/>
      <c r="AKW205" s="243"/>
      <c r="AKX205" s="243"/>
      <c r="AKY205" s="243"/>
      <c r="AKZ205" s="243"/>
      <c r="ALA205" s="243"/>
      <c r="ALB205" s="243"/>
      <c r="ALC205" s="243"/>
      <c r="ALD205" s="243"/>
      <c r="ALE205" s="243"/>
      <c r="ALF205" s="243"/>
      <c r="ALG205" s="243"/>
      <c r="ALH205" s="243"/>
      <c r="ALI205" s="243"/>
      <c r="ALJ205" s="243"/>
      <c r="ALK205" s="243"/>
      <c r="ALL205" s="243"/>
      <c r="ALM205" s="243"/>
      <c r="ALN205" s="243"/>
      <c r="ALO205" s="243"/>
      <c r="ALP205" s="243"/>
      <c r="ALQ205" s="243"/>
      <c r="ALR205" s="243"/>
      <c r="ALS205" s="243"/>
      <c r="ALT205" s="243"/>
      <c r="ALU205" s="243"/>
      <c r="ALV205" s="243"/>
      <c r="ALW205" s="243"/>
      <c r="ALX205" s="243"/>
      <c r="ALY205" s="243"/>
      <c r="ALZ205" s="243"/>
      <c r="AMA205" s="243"/>
      <c r="AMB205" s="243"/>
      <c r="AMC205" s="243"/>
      <c r="AMD205" s="243"/>
      <c r="AME205" s="243"/>
      <c r="AMF205" s="243"/>
      <c r="AMG205" s="243"/>
      <c r="AMH205" s="243"/>
      <c r="AMI205" s="244"/>
      <c r="AMJ205" s="244"/>
    </row>
    <row r="206" spans="1:1024">
      <c r="A206" s="911"/>
      <c r="B206" s="470">
        <v>14046</v>
      </c>
      <c r="C206" s="477">
        <v>0.08</v>
      </c>
      <c r="D206" s="472" t="s">
        <v>133</v>
      </c>
      <c r="E206" s="473">
        <v>5615000</v>
      </c>
      <c r="F206" s="477">
        <v>0.06</v>
      </c>
      <c r="G206" s="475">
        <f t="shared" si="6"/>
        <v>336900</v>
      </c>
      <c r="H206" s="476" t="s">
        <v>134</v>
      </c>
      <c r="I206" s="476" t="s">
        <v>124</v>
      </c>
      <c r="J206" s="476" t="s">
        <v>125</v>
      </c>
      <c r="K206" s="476" t="s">
        <v>123</v>
      </c>
      <c r="L206" s="476" t="s">
        <v>125</v>
      </c>
      <c r="M206" s="479"/>
      <c r="N206" s="479"/>
      <c r="O206" s="480"/>
      <c r="P206" s="480"/>
      <c r="Q206" s="480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3"/>
      <c r="AI206" s="243"/>
      <c r="AJ206" s="243"/>
      <c r="AK206" s="243"/>
      <c r="AL206" s="243"/>
      <c r="AM206" s="243"/>
      <c r="AN206" s="243"/>
      <c r="AO206" s="243"/>
      <c r="AP206" s="243"/>
      <c r="AQ206" s="243"/>
      <c r="AR206" s="243"/>
      <c r="AS206" s="243"/>
      <c r="AT206" s="243"/>
      <c r="AU206" s="243"/>
      <c r="AV206" s="243"/>
      <c r="AW206" s="243"/>
      <c r="AX206" s="243"/>
      <c r="AY206" s="243"/>
      <c r="AZ206" s="243"/>
      <c r="BA206" s="243"/>
      <c r="BB206" s="243"/>
      <c r="BC206" s="243"/>
      <c r="BD206" s="243"/>
      <c r="BE206" s="243"/>
      <c r="BF206" s="243"/>
      <c r="BG206" s="243"/>
      <c r="BH206" s="243"/>
      <c r="BI206" s="243"/>
      <c r="BJ206" s="243"/>
      <c r="BK206" s="243"/>
      <c r="BL206" s="243"/>
      <c r="BM206" s="243"/>
      <c r="BN206" s="243"/>
      <c r="BO206" s="243"/>
      <c r="BP206" s="243"/>
      <c r="BQ206" s="243"/>
      <c r="BR206" s="243"/>
      <c r="BS206" s="243"/>
      <c r="BT206" s="243"/>
      <c r="BU206" s="243"/>
      <c r="BV206" s="243"/>
      <c r="BW206" s="243"/>
      <c r="BX206" s="243"/>
      <c r="BY206" s="243"/>
      <c r="BZ206" s="243"/>
      <c r="CA206" s="243"/>
      <c r="CB206" s="243"/>
      <c r="CC206" s="243"/>
      <c r="CD206" s="243"/>
      <c r="CE206" s="243"/>
      <c r="CF206" s="243"/>
      <c r="CG206" s="243"/>
      <c r="CH206" s="243"/>
      <c r="CI206" s="243"/>
      <c r="CJ206" s="243"/>
      <c r="CK206" s="243"/>
      <c r="CL206" s="243"/>
      <c r="CM206" s="243"/>
      <c r="CN206" s="243"/>
      <c r="CO206" s="243"/>
      <c r="CP206" s="243"/>
      <c r="CQ206" s="243"/>
      <c r="CR206" s="243"/>
      <c r="CS206" s="243"/>
      <c r="CT206" s="243"/>
      <c r="CU206" s="243"/>
      <c r="CV206" s="243"/>
      <c r="CW206" s="243"/>
      <c r="CX206" s="243"/>
      <c r="CY206" s="243"/>
      <c r="CZ206" s="243"/>
      <c r="DA206" s="243"/>
      <c r="DB206" s="243"/>
      <c r="DC206" s="243"/>
      <c r="DD206" s="243"/>
      <c r="DE206" s="243"/>
      <c r="DF206" s="243"/>
      <c r="DG206" s="243"/>
      <c r="DH206" s="243"/>
      <c r="DI206" s="243"/>
      <c r="DJ206" s="243"/>
      <c r="DK206" s="243"/>
      <c r="DL206" s="243"/>
      <c r="DM206" s="243"/>
      <c r="DN206" s="243"/>
      <c r="DO206" s="243"/>
      <c r="DP206" s="243"/>
      <c r="DQ206" s="243"/>
      <c r="DR206" s="243"/>
      <c r="DS206" s="243"/>
      <c r="DT206" s="243"/>
      <c r="DU206" s="243"/>
      <c r="DV206" s="243"/>
      <c r="DW206" s="243"/>
      <c r="DX206" s="243"/>
      <c r="DY206" s="243"/>
      <c r="DZ206" s="243"/>
      <c r="EA206" s="243"/>
      <c r="EB206" s="243"/>
      <c r="EC206" s="243"/>
      <c r="ED206" s="243"/>
      <c r="EE206" s="243"/>
      <c r="EF206" s="243"/>
      <c r="EG206" s="243"/>
      <c r="EH206" s="243"/>
      <c r="EI206" s="243"/>
      <c r="EJ206" s="243"/>
      <c r="EK206" s="243"/>
      <c r="EL206" s="243"/>
      <c r="EM206" s="243"/>
      <c r="EN206" s="243"/>
      <c r="EO206" s="243"/>
      <c r="EP206" s="243"/>
      <c r="EQ206" s="243"/>
      <c r="ER206" s="243"/>
      <c r="ES206" s="243"/>
      <c r="ET206" s="243"/>
      <c r="EU206" s="243"/>
      <c r="EV206" s="243"/>
      <c r="EW206" s="243"/>
      <c r="EX206" s="243"/>
      <c r="EY206" s="243"/>
      <c r="EZ206" s="243"/>
      <c r="FA206" s="243"/>
      <c r="FB206" s="243"/>
      <c r="FC206" s="243"/>
      <c r="FD206" s="243"/>
      <c r="FE206" s="243"/>
      <c r="FF206" s="243"/>
      <c r="FG206" s="243"/>
      <c r="FH206" s="243"/>
      <c r="FI206" s="243"/>
      <c r="FJ206" s="243"/>
      <c r="FK206" s="243"/>
      <c r="FL206" s="243"/>
      <c r="FM206" s="243"/>
      <c r="FN206" s="243"/>
      <c r="FO206" s="243"/>
      <c r="FP206" s="243"/>
      <c r="FQ206" s="243"/>
      <c r="FR206" s="243"/>
      <c r="FS206" s="243"/>
      <c r="FT206" s="243"/>
      <c r="FU206" s="243"/>
      <c r="FV206" s="243"/>
      <c r="FW206" s="243"/>
      <c r="FX206" s="243"/>
      <c r="FY206" s="243"/>
      <c r="FZ206" s="243"/>
      <c r="GA206" s="243"/>
      <c r="GB206" s="243"/>
      <c r="GC206" s="243"/>
      <c r="GD206" s="243"/>
      <c r="GE206" s="243"/>
      <c r="GF206" s="243"/>
      <c r="GG206" s="243"/>
      <c r="GH206" s="243"/>
      <c r="GI206" s="243"/>
      <c r="GJ206" s="243"/>
      <c r="GK206" s="243"/>
      <c r="GL206" s="243"/>
      <c r="GM206" s="243"/>
      <c r="GN206" s="243"/>
      <c r="GO206" s="243"/>
      <c r="GP206" s="243"/>
      <c r="GQ206" s="243"/>
      <c r="GR206" s="243"/>
      <c r="GS206" s="243"/>
      <c r="GT206" s="243"/>
      <c r="GU206" s="243"/>
      <c r="GV206" s="243"/>
      <c r="GW206" s="243"/>
      <c r="GX206" s="243"/>
      <c r="GY206" s="243"/>
      <c r="GZ206" s="243"/>
      <c r="HA206" s="243"/>
      <c r="HB206" s="243"/>
      <c r="HC206" s="243"/>
      <c r="HD206" s="243"/>
      <c r="HE206" s="243"/>
      <c r="HF206" s="243"/>
      <c r="HG206" s="243"/>
      <c r="HH206" s="243"/>
      <c r="HI206" s="243"/>
      <c r="HJ206" s="243"/>
      <c r="HK206" s="243"/>
      <c r="HL206" s="243"/>
      <c r="HM206" s="243"/>
      <c r="HN206" s="243"/>
      <c r="HO206" s="243"/>
      <c r="HP206" s="243"/>
      <c r="HQ206" s="243"/>
      <c r="HR206" s="243"/>
      <c r="HS206" s="243"/>
      <c r="HT206" s="243"/>
      <c r="HU206" s="243"/>
      <c r="HV206" s="243"/>
      <c r="HW206" s="243"/>
      <c r="HX206" s="243"/>
      <c r="HY206" s="243"/>
      <c r="HZ206" s="243"/>
      <c r="IA206" s="243"/>
      <c r="IB206" s="243"/>
      <c r="IC206" s="243"/>
      <c r="ID206" s="243"/>
      <c r="IE206" s="243"/>
      <c r="IF206" s="243"/>
      <c r="IG206" s="243"/>
      <c r="IH206" s="243"/>
      <c r="II206" s="243"/>
      <c r="IJ206" s="243"/>
      <c r="IK206" s="243"/>
      <c r="IL206" s="243"/>
      <c r="IM206" s="243"/>
      <c r="IN206" s="243"/>
      <c r="IO206" s="243"/>
      <c r="IP206" s="243"/>
      <c r="IQ206" s="243"/>
      <c r="IR206" s="243"/>
      <c r="IS206" s="243"/>
      <c r="IT206" s="243"/>
      <c r="IU206" s="243"/>
      <c r="IV206" s="243"/>
      <c r="IW206" s="243"/>
      <c r="IX206" s="243"/>
      <c r="IY206" s="243"/>
      <c r="IZ206" s="243"/>
      <c r="JA206" s="243"/>
      <c r="JB206" s="243"/>
      <c r="JC206" s="243"/>
      <c r="JD206" s="243"/>
      <c r="JE206" s="243"/>
      <c r="JF206" s="243"/>
      <c r="JG206" s="243"/>
      <c r="JH206" s="243"/>
      <c r="JI206" s="243"/>
      <c r="JJ206" s="243"/>
      <c r="JK206" s="243"/>
      <c r="JL206" s="243"/>
      <c r="JM206" s="243"/>
      <c r="JN206" s="243"/>
      <c r="JO206" s="243"/>
      <c r="JP206" s="243"/>
      <c r="JQ206" s="243"/>
      <c r="JR206" s="243"/>
      <c r="JS206" s="243"/>
      <c r="JT206" s="243"/>
      <c r="JU206" s="243"/>
      <c r="JV206" s="243"/>
      <c r="JW206" s="243"/>
      <c r="JX206" s="243"/>
      <c r="JY206" s="243"/>
      <c r="JZ206" s="243"/>
      <c r="KA206" s="243"/>
      <c r="KB206" s="243"/>
      <c r="KC206" s="243"/>
      <c r="KD206" s="243"/>
      <c r="KE206" s="243"/>
      <c r="KF206" s="243"/>
      <c r="KG206" s="243"/>
      <c r="KH206" s="243"/>
      <c r="KI206" s="243"/>
      <c r="KJ206" s="243"/>
      <c r="KK206" s="243"/>
      <c r="KL206" s="243"/>
      <c r="KM206" s="243"/>
      <c r="KN206" s="243"/>
      <c r="KO206" s="243"/>
      <c r="KP206" s="243"/>
      <c r="KQ206" s="243"/>
      <c r="KR206" s="243"/>
      <c r="KS206" s="243"/>
      <c r="KT206" s="243"/>
      <c r="KU206" s="243"/>
      <c r="KV206" s="243"/>
      <c r="KW206" s="243"/>
      <c r="KX206" s="243"/>
      <c r="KY206" s="243"/>
      <c r="KZ206" s="243"/>
      <c r="LA206" s="243"/>
      <c r="LB206" s="243"/>
      <c r="LC206" s="243"/>
      <c r="LD206" s="243"/>
      <c r="LE206" s="243"/>
      <c r="LF206" s="243"/>
      <c r="LG206" s="243"/>
      <c r="LH206" s="243"/>
      <c r="LI206" s="243"/>
      <c r="LJ206" s="243"/>
      <c r="LK206" s="243"/>
      <c r="LL206" s="243"/>
      <c r="LM206" s="243"/>
      <c r="LN206" s="243"/>
      <c r="LO206" s="243"/>
      <c r="LP206" s="243"/>
      <c r="LQ206" s="243"/>
      <c r="LR206" s="243"/>
      <c r="LS206" s="243"/>
      <c r="LT206" s="243"/>
      <c r="LU206" s="243"/>
      <c r="LV206" s="243"/>
      <c r="LW206" s="243"/>
      <c r="LX206" s="243"/>
      <c r="LY206" s="243"/>
      <c r="LZ206" s="243"/>
      <c r="MA206" s="243"/>
      <c r="MB206" s="243"/>
      <c r="MC206" s="243"/>
      <c r="MD206" s="243"/>
      <c r="ME206" s="243"/>
      <c r="MF206" s="243"/>
      <c r="MG206" s="243"/>
      <c r="MH206" s="243"/>
      <c r="MI206" s="243"/>
      <c r="MJ206" s="243"/>
      <c r="MK206" s="243"/>
      <c r="ML206" s="243"/>
      <c r="MM206" s="243"/>
      <c r="MN206" s="243"/>
      <c r="MO206" s="243"/>
      <c r="MP206" s="243"/>
      <c r="MQ206" s="243"/>
      <c r="MR206" s="243"/>
      <c r="MS206" s="243"/>
      <c r="MT206" s="243"/>
      <c r="MU206" s="243"/>
      <c r="MV206" s="243"/>
      <c r="MW206" s="243"/>
      <c r="MX206" s="243"/>
      <c r="MY206" s="243"/>
      <c r="MZ206" s="243"/>
      <c r="NA206" s="243"/>
      <c r="NB206" s="243"/>
      <c r="NC206" s="243"/>
      <c r="ND206" s="243"/>
      <c r="NE206" s="243"/>
      <c r="NF206" s="243"/>
      <c r="NG206" s="243"/>
      <c r="NH206" s="243"/>
      <c r="NI206" s="243"/>
      <c r="NJ206" s="243"/>
      <c r="NK206" s="243"/>
      <c r="NL206" s="243"/>
      <c r="NM206" s="243"/>
      <c r="NN206" s="243"/>
      <c r="NO206" s="243"/>
      <c r="NP206" s="243"/>
      <c r="NQ206" s="243"/>
      <c r="NR206" s="243"/>
      <c r="NS206" s="243"/>
      <c r="NT206" s="243"/>
      <c r="NU206" s="243"/>
      <c r="NV206" s="243"/>
      <c r="NW206" s="243"/>
      <c r="NX206" s="243"/>
      <c r="NY206" s="243"/>
      <c r="NZ206" s="243"/>
      <c r="OA206" s="243"/>
      <c r="OB206" s="243"/>
      <c r="OC206" s="243"/>
      <c r="OD206" s="243"/>
      <c r="OE206" s="243"/>
      <c r="OF206" s="243"/>
      <c r="OG206" s="243"/>
      <c r="OH206" s="243"/>
      <c r="OI206" s="243"/>
      <c r="OJ206" s="243"/>
      <c r="OK206" s="243"/>
      <c r="OL206" s="243"/>
      <c r="OM206" s="243"/>
      <c r="ON206" s="243"/>
      <c r="OO206" s="243"/>
      <c r="OP206" s="243"/>
      <c r="OQ206" s="243"/>
      <c r="OR206" s="243"/>
      <c r="OS206" s="243"/>
      <c r="OT206" s="243"/>
      <c r="OU206" s="243"/>
      <c r="OV206" s="243"/>
      <c r="OW206" s="243"/>
      <c r="OX206" s="243"/>
      <c r="OY206" s="243"/>
      <c r="OZ206" s="243"/>
      <c r="PA206" s="243"/>
      <c r="PB206" s="243"/>
      <c r="PC206" s="243"/>
      <c r="PD206" s="243"/>
      <c r="PE206" s="243"/>
      <c r="PF206" s="243"/>
      <c r="PG206" s="243"/>
      <c r="PH206" s="243"/>
      <c r="PI206" s="243"/>
      <c r="PJ206" s="243"/>
      <c r="PK206" s="243"/>
      <c r="PL206" s="243"/>
      <c r="PM206" s="243"/>
      <c r="PN206" s="243"/>
      <c r="PO206" s="243"/>
      <c r="PP206" s="243"/>
      <c r="PQ206" s="243"/>
      <c r="PR206" s="243"/>
      <c r="PS206" s="243"/>
      <c r="PT206" s="243"/>
      <c r="PU206" s="243"/>
      <c r="PV206" s="243"/>
      <c r="PW206" s="243"/>
      <c r="PX206" s="243"/>
      <c r="PY206" s="243"/>
      <c r="PZ206" s="243"/>
      <c r="QA206" s="243"/>
      <c r="QB206" s="243"/>
      <c r="QC206" s="243"/>
      <c r="QD206" s="243"/>
      <c r="QE206" s="243"/>
      <c r="QF206" s="243"/>
      <c r="QG206" s="243"/>
      <c r="QH206" s="243"/>
      <c r="QI206" s="243"/>
      <c r="QJ206" s="243"/>
      <c r="QK206" s="243"/>
      <c r="QL206" s="243"/>
      <c r="QM206" s="243"/>
      <c r="QN206" s="243"/>
      <c r="QO206" s="243"/>
      <c r="QP206" s="243"/>
      <c r="QQ206" s="243"/>
      <c r="QR206" s="243"/>
      <c r="QS206" s="243"/>
      <c r="QT206" s="243"/>
      <c r="QU206" s="243"/>
      <c r="QV206" s="243"/>
      <c r="QW206" s="243"/>
      <c r="QX206" s="243"/>
      <c r="QY206" s="243"/>
      <c r="QZ206" s="243"/>
      <c r="RA206" s="243"/>
      <c r="RB206" s="243"/>
      <c r="RC206" s="243"/>
      <c r="RD206" s="243"/>
      <c r="RE206" s="243"/>
      <c r="RF206" s="243"/>
      <c r="RG206" s="243"/>
      <c r="RH206" s="243"/>
      <c r="RI206" s="243"/>
      <c r="RJ206" s="243"/>
      <c r="RK206" s="243"/>
      <c r="RL206" s="243"/>
      <c r="RM206" s="243"/>
      <c r="RN206" s="243"/>
      <c r="RO206" s="243"/>
      <c r="RP206" s="243"/>
      <c r="RQ206" s="243"/>
      <c r="RR206" s="243"/>
      <c r="RS206" s="243"/>
      <c r="RT206" s="243"/>
      <c r="RU206" s="243"/>
      <c r="RV206" s="243"/>
      <c r="RW206" s="243"/>
      <c r="RX206" s="243"/>
      <c r="RY206" s="243"/>
      <c r="RZ206" s="243"/>
      <c r="SA206" s="243"/>
      <c r="SB206" s="243"/>
      <c r="SC206" s="243"/>
      <c r="SD206" s="243"/>
      <c r="SE206" s="243"/>
      <c r="SF206" s="243"/>
      <c r="SG206" s="243"/>
      <c r="SH206" s="243"/>
      <c r="SI206" s="243"/>
      <c r="SJ206" s="243"/>
      <c r="SK206" s="243"/>
      <c r="SL206" s="243"/>
      <c r="SM206" s="243"/>
      <c r="SN206" s="243"/>
      <c r="SO206" s="243"/>
      <c r="SP206" s="243"/>
      <c r="SQ206" s="243"/>
      <c r="SR206" s="243"/>
      <c r="SS206" s="243"/>
      <c r="ST206" s="243"/>
      <c r="SU206" s="243"/>
      <c r="SV206" s="243"/>
      <c r="SW206" s="243"/>
      <c r="SX206" s="243"/>
      <c r="SY206" s="243"/>
      <c r="SZ206" s="243"/>
      <c r="TA206" s="243"/>
      <c r="TB206" s="243"/>
      <c r="TC206" s="243"/>
      <c r="TD206" s="243"/>
      <c r="TE206" s="243"/>
      <c r="TF206" s="243"/>
      <c r="TG206" s="243"/>
      <c r="TH206" s="243"/>
      <c r="TI206" s="243"/>
      <c r="TJ206" s="243"/>
      <c r="TK206" s="243"/>
      <c r="TL206" s="243"/>
      <c r="TM206" s="243"/>
      <c r="TN206" s="243"/>
      <c r="TO206" s="243"/>
      <c r="TP206" s="243"/>
      <c r="TQ206" s="243"/>
      <c r="TR206" s="243"/>
      <c r="TS206" s="243"/>
      <c r="TT206" s="243"/>
      <c r="TU206" s="243"/>
      <c r="TV206" s="243"/>
      <c r="TW206" s="243"/>
      <c r="TX206" s="243"/>
      <c r="TY206" s="243"/>
      <c r="TZ206" s="243"/>
      <c r="UA206" s="243"/>
      <c r="UB206" s="243"/>
      <c r="UC206" s="243"/>
      <c r="UD206" s="243"/>
      <c r="UE206" s="243"/>
      <c r="UF206" s="243"/>
      <c r="UG206" s="243"/>
      <c r="UH206" s="243"/>
      <c r="UI206" s="243"/>
      <c r="UJ206" s="243"/>
      <c r="UK206" s="243"/>
      <c r="UL206" s="243"/>
      <c r="UM206" s="243"/>
      <c r="UN206" s="243"/>
      <c r="UO206" s="243"/>
      <c r="UP206" s="243"/>
      <c r="UQ206" s="243"/>
      <c r="UR206" s="243"/>
      <c r="US206" s="243"/>
      <c r="UT206" s="243"/>
      <c r="UU206" s="243"/>
      <c r="UV206" s="243"/>
      <c r="UW206" s="243"/>
      <c r="UX206" s="243"/>
      <c r="UY206" s="243"/>
      <c r="UZ206" s="243"/>
      <c r="VA206" s="243"/>
      <c r="VB206" s="243"/>
      <c r="VC206" s="243"/>
      <c r="VD206" s="243"/>
      <c r="VE206" s="243"/>
      <c r="VF206" s="243"/>
      <c r="VG206" s="243"/>
      <c r="VH206" s="243"/>
      <c r="VI206" s="243"/>
      <c r="VJ206" s="243"/>
      <c r="VK206" s="243"/>
      <c r="VL206" s="243"/>
      <c r="VM206" s="243"/>
      <c r="VN206" s="243"/>
      <c r="VO206" s="243"/>
      <c r="VP206" s="243"/>
      <c r="VQ206" s="243"/>
      <c r="VR206" s="243"/>
      <c r="VS206" s="243"/>
      <c r="VT206" s="243"/>
      <c r="VU206" s="243"/>
      <c r="VV206" s="243"/>
      <c r="VW206" s="243"/>
      <c r="VX206" s="243"/>
      <c r="VY206" s="243"/>
      <c r="VZ206" s="243"/>
      <c r="WA206" s="243"/>
      <c r="WB206" s="243"/>
      <c r="WC206" s="243"/>
      <c r="WD206" s="243"/>
      <c r="WE206" s="243"/>
      <c r="WF206" s="243"/>
      <c r="WG206" s="243"/>
      <c r="WH206" s="243"/>
      <c r="WI206" s="243"/>
      <c r="WJ206" s="243"/>
      <c r="WK206" s="243"/>
      <c r="WL206" s="243"/>
      <c r="WM206" s="243"/>
      <c r="WN206" s="243"/>
      <c r="WO206" s="243"/>
      <c r="WP206" s="243"/>
      <c r="WQ206" s="243"/>
      <c r="WR206" s="243"/>
      <c r="WS206" s="243"/>
      <c r="WT206" s="243"/>
      <c r="WU206" s="243"/>
      <c r="WV206" s="243"/>
      <c r="WW206" s="243"/>
      <c r="WX206" s="243"/>
      <c r="WY206" s="243"/>
      <c r="WZ206" s="243"/>
      <c r="XA206" s="243"/>
      <c r="XB206" s="243"/>
      <c r="XC206" s="243"/>
      <c r="XD206" s="243"/>
      <c r="XE206" s="243"/>
      <c r="XF206" s="243"/>
      <c r="XG206" s="243"/>
      <c r="XH206" s="243"/>
      <c r="XI206" s="243"/>
      <c r="XJ206" s="243"/>
      <c r="XK206" s="243"/>
      <c r="XL206" s="243"/>
      <c r="XM206" s="243"/>
      <c r="XN206" s="243"/>
      <c r="XO206" s="243"/>
      <c r="XP206" s="243"/>
      <c r="XQ206" s="243"/>
      <c r="XR206" s="243"/>
      <c r="XS206" s="243"/>
      <c r="XT206" s="243"/>
      <c r="XU206" s="243"/>
      <c r="XV206" s="243"/>
      <c r="XW206" s="243"/>
      <c r="XX206" s="243"/>
      <c r="XY206" s="243"/>
      <c r="XZ206" s="243"/>
      <c r="YA206" s="243"/>
      <c r="YB206" s="243"/>
      <c r="YC206" s="243"/>
      <c r="YD206" s="243"/>
      <c r="YE206" s="243"/>
      <c r="YF206" s="243"/>
      <c r="YG206" s="243"/>
      <c r="YH206" s="243"/>
      <c r="YI206" s="243"/>
      <c r="YJ206" s="243"/>
      <c r="YK206" s="243"/>
      <c r="YL206" s="243"/>
      <c r="YM206" s="243"/>
      <c r="YN206" s="243"/>
      <c r="YO206" s="243"/>
      <c r="YP206" s="243"/>
      <c r="YQ206" s="243"/>
      <c r="YR206" s="243"/>
      <c r="YS206" s="243"/>
      <c r="YT206" s="243"/>
      <c r="YU206" s="243"/>
      <c r="YV206" s="243"/>
      <c r="YW206" s="243"/>
      <c r="YX206" s="243"/>
      <c r="YY206" s="243"/>
      <c r="YZ206" s="243"/>
      <c r="ZA206" s="243"/>
      <c r="ZB206" s="243"/>
      <c r="ZC206" s="243"/>
      <c r="ZD206" s="243"/>
      <c r="ZE206" s="243"/>
      <c r="ZF206" s="243"/>
      <c r="ZG206" s="243"/>
      <c r="ZH206" s="243"/>
      <c r="ZI206" s="243"/>
      <c r="ZJ206" s="243"/>
      <c r="ZK206" s="243"/>
      <c r="ZL206" s="243"/>
      <c r="ZM206" s="243"/>
      <c r="ZN206" s="243"/>
      <c r="ZO206" s="243"/>
      <c r="ZP206" s="243"/>
      <c r="ZQ206" s="243"/>
      <c r="ZR206" s="243"/>
      <c r="ZS206" s="243"/>
      <c r="ZT206" s="243"/>
      <c r="ZU206" s="243"/>
      <c r="ZV206" s="243"/>
      <c r="ZW206" s="243"/>
      <c r="ZX206" s="243"/>
      <c r="ZY206" s="243"/>
      <c r="ZZ206" s="243"/>
      <c r="AAA206" s="243"/>
      <c r="AAB206" s="243"/>
      <c r="AAC206" s="243"/>
      <c r="AAD206" s="243"/>
      <c r="AAE206" s="243"/>
      <c r="AAF206" s="243"/>
      <c r="AAG206" s="243"/>
      <c r="AAH206" s="243"/>
      <c r="AAI206" s="243"/>
      <c r="AAJ206" s="243"/>
      <c r="AAK206" s="243"/>
      <c r="AAL206" s="243"/>
      <c r="AAM206" s="243"/>
      <c r="AAN206" s="243"/>
      <c r="AAO206" s="243"/>
      <c r="AAP206" s="243"/>
      <c r="AAQ206" s="243"/>
      <c r="AAR206" s="243"/>
      <c r="AAS206" s="243"/>
      <c r="AAT206" s="243"/>
      <c r="AAU206" s="243"/>
      <c r="AAV206" s="243"/>
      <c r="AAW206" s="243"/>
      <c r="AAX206" s="243"/>
      <c r="AAY206" s="243"/>
      <c r="AAZ206" s="243"/>
      <c r="ABA206" s="243"/>
      <c r="ABB206" s="243"/>
      <c r="ABC206" s="243"/>
      <c r="ABD206" s="243"/>
      <c r="ABE206" s="243"/>
      <c r="ABF206" s="243"/>
      <c r="ABG206" s="243"/>
      <c r="ABH206" s="243"/>
      <c r="ABI206" s="243"/>
      <c r="ABJ206" s="243"/>
      <c r="ABK206" s="243"/>
      <c r="ABL206" s="243"/>
      <c r="ABM206" s="243"/>
      <c r="ABN206" s="243"/>
      <c r="ABO206" s="243"/>
      <c r="ABP206" s="243"/>
      <c r="ABQ206" s="243"/>
      <c r="ABR206" s="243"/>
      <c r="ABS206" s="243"/>
      <c r="ABT206" s="243"/>
      <c r="ABU206" s="243"/>
      <c r="ABV206" s="243"/>
      <c r="ABW206" s="243"/>
      <c r="ABX206" s="243"/>
      <c r="ABY206" s="243"/>
      <c r="ABZ206" s="243"/>
      <c r="ACA206" s="243"/>
      <c r="ACB206" s="243"/>
      <c r="ACC206" s="243"/>
      <c r="ACD206" s="243"/>
      <c r="ACE206" s="243"/>
      <c r="ACF206" s="243"/>
      <c r="ACG206" s="243"/>
      <c r="ACH206" s="243"/>
      <c r="ACI206" s="243"/>
      <c r="ACJ206" s="243"/>
      <c r="ACK206" s="243"/>
      <c r="ACL206" s="243"/>
      <c r="ACM206" s="243"/>
      <c r="ACN206" s="243"/>
      <c r="ACO206" s="243"/>
      <c r="ACP206" s="243"/>
      <c r="ACQ206" s="243"/>
      <c r="ACR206" s="243"/>
      <c r="ACS206" s="243"/>
      <c r="ACT206" s="243"/>
      <c r="ACU206" s="243"/>
      <c r="ACV206" s="243"/>
      <c r="ACW206" s="243"/>
      <c r="ACX206" s="243"/>
      <c r="ACY206" s="243"/>
      <c r="ACZ206" s="243"/>
      <c r="ADA206" s="243"/>
      <c r="ADB206" s="243"/>
      <c r="ADC206" s="243"/>
      <c r="ADD206" s="243"/>
      <c r="ADE206" s="243"/>
      <c r="ADF206" s="243"/>
      <c r="ADG206" s="243"/>
      <c r="ADH206" s="243"/>
      <c r="ADI206" s="243"/>
      <c r="ADJ206" s="243"/>
      <c r="ADK206" s="243"/>
      <c r="ADL206" s="243"/>
      <c r="ADM206" s="243"/>
      <c r="ADN206" s="243"/>
      <c r="ADO206" s="243"/>
      <c r="ADP206" s="243"/>
      <c r="ADQ206" s="243"/>
      <c r="ADR206" s="243"/>
      <c r="ADS206" s="243"/>
      <c r="ADT206" s="243"/>
      <c r="ADU206" s="243"/>
      <c r="ADV206" s="243"/>
      <c r="ADW206" s="243"/>
      <c r="ADX206" s="243"/>
      <c r="ADY206" s="243"/>
      <c r="ADZ206" s="243"/>
      <c r="AEA206" s="243"/>
      <c r="AEB206" s="243"/>
      <c r="AEC206" s="243"/>
      <c r="AED206" s="243"/>
      <c r="AEE206" s="243"/>
      <c r="AEF206" s="243"/>
      <c r="AEG206" s="243"/>
      <c r="AEH206" s="243"/>
      <c r="AEI206" s="243"/>
      <c r="AEJ206" s="243"/>
      <c r="AEK206" s="243"/>
      <c r="AEL206" s="243"/>
      <c r="AEM206" s="243"/>
      <c r="AEN206" s="243"/>
      <c r="AEO206" s="243"/>
      <c r="AEP206" s="243"/>
      <c r="AEQ206" s="243"/>
      <c r="AER206" s="243"/>
      <c r="AES206" s="243"/>
      <c r="AET206" s="243"/>
      <c r="AEU206" s="243"/>
      <c r="AEV206" s="243"/>
      <c r="AEW206" s="243"/>
      <c r="AEX206" s="243"/>
      <c r="AEY206" s="243"/>
      <c r="AEZ206" s="243"/>
      <c r="AFA206" s="243"/>
      <c r="AFB206" s="243"/>
      <c r="AFC206" s="243"/>
      <c r="AFD206" s="243"/>
      <c r="AFE206" s="243"/>
      <c r="AFF206" s="243"/>
      <c r="AFG206" s="243"/>
      <c r="AFH206" s="243"/>
      <c r="AFI206" s="243"/>
      <c r="AFJ206" s="243"/>
      <c r="AFK206" s="243"/>
      <c r="AFL206" s="243"/>
      <c r="AFM206" s="243"/>
      <c r="AFN206" s="243"/>
      <c r="AFO206" s="243"/>
      <c r="AFP206" s="243"/>
      <c r="AFQ206" s="243"/>
      <c r="AFR206" s="243"/>
      <c r="AFS206" s="243"/>
      <c r="AFT206" s="243"/>
      <c r="AFU206" s="243"/>
      <c r="AFV206" s="243"/>
      <c r="AFW206" s="243"/>
      <c r="AFX206" s="243"/>
      <c r="AFY206" s="243"/>
      <c r="AFZ206" s="243"/>
      <c r="AGA206" s="243"/>
      <c r="AGB206" s="243"/>
      <c r="AGC206" s="243"/>
      <c r="AGD206" s="243"/>
      <c r="AGE206" s="243"/>
      <c r="AGF206" s="243"/>
      <c r="AGG206" s="243"/>
      <c r="AGH206" s="243"/>
      <c r="AGI206" s="243"/>
      <c r="AGJ206" s="243"/>
      <c r="AGK206" s="243"/>
      <c r="AGL206" s="243"/>
      <c r="AGM206" s="243"/>
      <c r="AGN206" s="243"/>
      <c r="AGO206" s="243"/>
      <c r="AGP206" s="243"/>
      <c r="AGQ206" s="243"/>
      <c r="AGR206" s="243"/>
      <c r="AGS206" s="243"/>
      <c r="AGT206" s="243"/>
      <c r="AGU206" s="243"/>
      <c r="AGV206" s="243"/>
      <c r="AGW206" s="243"/>
      <c r="AGX206" s="243"/>
      <c r="AGY206" s="243"/>
      <c r="AGZ206" s="243"/>
      <c r="AHA206" s="243"/>
      <c r="AHB206" s="243"/>
      <c r="AHC206" s="243"/>
      <c r="AHD206" s="243"/>
      <c r="AHE206" s="243"/>
      <c r="AHF206" s="243"/>
      <c r="AHG206" s="243"/>
      <c r="AHH206" s="243"/>
      <c r="AHI206" s="243"/>
      <c r="AHJ206" s="243"/>
      <c r="AHK206" s="243"/>
      <c r="AHL206" s="243"/>
      <c r="AHM206" s="243"/>
      <c r="AHN206" s="243"/>
      <c r="AHO206" s="243"/>
      <c r="AHP206" s="243"/>
      <c r="AHQ206" s="243"/>
      <c r="AHR206" s="243"/>
      <c r="AHS206" s="243"/>
      <c r="AHT206" s="243"/>
      <c r="AHU206" s="243"/>
      <c r="AHV206" s="243"/>
      <c r="AHW206" s="243"/>
      <c r="AHX206" s="243"/>
      <c r="AHY206" s="243"/>
      <c r="AHZ206" s="243"/>
      <c r="AIA206" s="243"/>
      <c r="AIB206" s="243"/>
      <c r="AIC206" s="243"/>
      <c r="AID206" s="243"/>
      <c r="AIE206" s="243"/>
      <c r="AIF206" s="243"/>
      <c r="AIG206" s="243"/>
      <c r="AIH206" s="243"/>
      <c r="AII206" s="243"/>
      <c r="AIJ206" s="243"/>
      <c r="AIK206" s="243"/>
      <c r="AIL206" s="243"/>
      <c r="AIM206" s="243"/>
      <c r="AIN206" s="243"/>
      <c r="AIO206" s="243"/>
      <c r="AIP206" s="243"/>
      <c r="AIQ206" s="243"/>
      <c r="AIR206" s="243"/>
      <c r="AIS206" s="243"/>
      <c r="AIT206" s="243"/>
      <c r="AIU206" s="243"/>
      <c r="AIV206" s="243"/>
      <c r="AIW206" s="243"/>
      <c r="AIX206" s="243"/>
      <c r="AIY206" s="243"/>
      <c r="AIZ206" s="243"/>
      <c r="AJA206" s="243"/>
      <c r="AJB206" s="243"/>
      <c r="AJC206" s="243"/>
      <c r="AJD206" s="243"/>
      <c r="AJE206" s="243"/>
      <c r="AJF206" s="243"/>
      <c r="AJG206" s="243"/>
      <c r="AJH206" s="243"/>
      <c r="AJI206" s="243"/>
      <c r="AJJ206" s="243"/>
      <c r="AJK206" s="243"/>
      <c r="AJL206" s="243"/>
      <c r="AJM206" s="243"/>
      <c r="AJN206" s="243"/>
      <c r="AJO206" s="243"/>
      <c r="AJP206" s="243"/>
      <c r="AJQ206" s="243"/>
      <c r="AJR206" s="243"/>
      <c r="AJS206" s="243"/>
      <c r="AJT206" s="243"/>
      <c r="AJU206" s="243"/>
      <c r="AJV206" s="243"/>
      <c r="AJW206" s="243"/>
      <c r="AJX206" s="243"/>
      <c r="AJY206" s="243"/>
      <c r="AJZ206" s="243"/>
      <c r="AKA206" s="243"/>
      <c r="AKB206" s="243"/>
      <c r="AKC206" s="243"/>
      <c r="AKD206" s="243"/>
      <c r="AKE206" s="243"/>
      <c r="AKF206" s="243"/>
      <c r="AKG206" s="243"/>
      <c r="AKH206" s="243"/>
      <c r="AKI206" s="243"/>
      <c r="AKJ206" s="243"/>
      <c r="AKK206" s="243"/>
      <c r="AKL206" s="243"/>
      <c r="AKM206" s="243"/>
      <c r="AKN206" s="243"/>
      <c r="AKO206" s="243"/>
      <c r="AKP206" s="243"/>
      <c r="AKQ206" s="243"/>
      <c r="AKR206" s="243"/>
      <c r="AKS206" s="243"/>
      <c r="AKT206" s="243"/>
      <c r="AKU206" s="243"/>
      <c r="AKV206" s="243"/>
      <c r="AKW206" s="243"/>
      <c r="AKX206" s="243"/>
      <c r="AKY206" s="243"/>
      <c r="AKZ206" s="243"/>
      <c r="ALA206" s="243"/>
      <c r="ALB206" s="243"/>
      <c r="ALC206" s="243"/>
      <c r="ALD206" s="243"/>
      <c r="ALE206" s="243"/>
      <c r="ALF206" s="243"/>
      <c r="ALG206" s="243"/>
      <c r="ALH206" s="243"/>
      <c r="ALI206" s="243"/>
      <c r="ALJ206" s="243"/>
      <c r="ALK206" s="243"/>
      <c r="ALL206" s="243"/>
      <c r="ALM206" s="243"/>
      <c r="ALN206" s="243"/>
      <c r="ALO206" s="243"/>
      <c r="ALP206" s="243"/>
      <c r="ALQ206" s="243"/>
      <c r="ALR206" s="243"/>
      <c r="ALS206" s="243"/>
      <c r="ALT206" s="243"/>
      <c r="ALU206" s="243"/>
      <c r="ALV206" s="243"/>
      <c r="ALW206" s="243"/>
      <c r="ALX206" s="243"/>
      <c r="ALY206" s="243"/>
      <c r="ALZ206" s="243"/>
      <c r="AMA206" s="243"/>
      <c r="AMB206" s="243"/>
      <c r="AMC206" s="243"/>
      <c r="AMD206" s="243"/>
      <c r="AME206" s="243"/>
      <c r="AMF206" s="243"/>
      <c r="AMG206" s="243"/>
      <c r="AMH206" s="243"/>
      <c r="AMI206" s="244"/>
      <c r="AMJ206" s="244"/>
    </row>
    <row r="207" spans="1:1024">
      <c r="A207" s="911"/>
      <c r="B207" s="470">
        <v>14119</v>
      </c>
      <c r="C207" s="477">
        <v>0.08</v>
      </c>
      <c r="D207" s="472" t="s">
        <v>135</v>
      </c>
      <c r="E207" s="473">
        <v>3100000</v>
      </c>
      <c r="F207" s="477">
        <v>0.06</v>
      </c>
      <c r="G207" s="475">
        <f t="shared" si="6"/>
        <v>186000</v>
      </c>
      <c r="H207" s="476" t="s">
        <v>37</v>
      </c>
      <c r="I207" s="476" t="s">
        <v>124</v>
      </c>
      <c r="J207" s="476" t="s">
        <v>125</v>
      </c>
      <c r="K207" s="476" t="s">
        <v>136</v>
      </c>
      <c r="L207" s="476" t="s">
        <v>125</v>
      </c>
      <c r="M207" s="479"/>
      <c r="N207" s="479"/>
      <c r="O207" s="480"/>
      <c r="P207" s="480"/>
      <c r="Q207" s="480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3"/>
      <c r="AU207" s="243"/>
      <c r="AV207" s="243"/>
      <c r="AW207" s="243"/>
      <c r="AX207" s="243"/>
      <c r="AY207" s="243"/>
      <c r="AZ207" s="243"/>
      <c r="BA207" s="243"/>
      <c r="BB207" s="243"/>
      <c r="BC207" s="243"/>
      <c r="BD207" s="243"/>
      <c r="BE207" s="243"/>
      <c r="BF207" s="243"/>
      <c r="BG207" s="243"/>
      <c r="BH207" s="243"/>
      <c r="BI207" s="243"/>
      <c r="BJ207" s="243"/>
      <c r="BK207" s="243"/>
      <c r="BL207" s="243"/>
      <c r="BM207" s="243"/>
      <c r="BN207" s="243"/>
      <c r="BO207" s="243"/>
      <c r="BP207" s="243"/>
      <c r="BQ207" s="243"/>
      <c r="BR207" s="243"/>
      <c r="BS207" s="243"/>
      <c r="BT207" s="243"/>
      <c r="BU207" s="243"/>
      <c r="BV207" s="243"/>
      <c r="BW207" s="243"/>
      <c r="BX207" s="243"/>
      <c r="BY207" s="243"/>
      <c r="BZ207" s="243"/>
      <c r="CA207" s="243"/>
      <c r="CB207" s="243"/>
      <c r="CC207" s="243"/>
      <c r="CD207" s="243"/>
      <c r="CE207" s="243"/>
      <c r="CF207" s="243"/>
      <c r="CG207" s="243"/>
      <c r="CH207" s="243"/>
      <c r="CI207" s="243"/>
      <c r="CJ207" s="243"/>
      <c r="CK207" s="243"/>
      <c r="CL207" s="243"/>
      <c r="CM207" s="243"/>
      <c r="CN207" s="243"/>
      <c r="CO207" s="243"/>
      <c r="CP207" s="243"/>
      <c r="CQ207" s="243"/>
      <c r="CR207" s="243"/>
      <c r="CS207" s="243"/>
      <c r="CT207" s="243"/>
      <c r="CU207" s="243"/>
      <c r="CV207" s="243"/>
      <c r="CW207" s="243"/>
      <c r="CX207" s="243"/>
      <c r="CY207" s="243"/>
      <c r="CZ207" s="243"/>
      <c r="DA207" s="243"/>
      <c r="DB207" s="243"/>
      <c r="DC207" s="243"/>
      <c r="DD207" s="243"/>
      <c r="DE207" s="243"/>
      <c r="DF207" s="243"/>
      <c r="DG207" s="243"/>
      <c r="DH207" s="243"/>
      <c r="DI207" s="243"/>
      <c r="DJ207" s="243"/>
      <c r="DK207" s="243"/>
      <c r="DL207" s="243"/>
      <c r="DM207" s="243"/>
      <c r="DN207" s="243"/>
      <c r="DO207" s="243"/>
      <c r="DP207" s="243"/>
      <c r="DQ207" s="243"/>
      <c r="DR207" s="243"/>
      <c r="DS207" s="243"/>
      <c r="DT207" s="243"/>
      <c r="DU207" s="243"/>
      <c r="DV207" s="243"/>
      <c r="DW207" s="243"/>
      <c r="DX207" s="243"/>
      <c r="DY207" s="243"/>
      <c r="DZ207" s="243"/>
      <c r="EA207" s="243"/>
      <c r="EB207" s="243"/>
      <c r="EC207" s="243"/>
      <c r="ED207" s="243"/>
      <c r="EE207" s="243"/>
      <c r="EF207" s="243"/>
      <c r="EG207" s="243"/>
      <c r="EH207" s="243"/>
      <c r="EI207" s="243"/>
      <c r="EJ207" s="243"/>
      <c r="EK207" s="243"/>
      <c r="EL207" s="243"/>
      <c r="EM207" s="243"/>
      <c r="EN207" s="243"/>
      <c r="EO207" s="243"/>
      <c r="EP207" s="243"/>
      <c r="EQ207" s="243"/>
      <c r="ER207" s="243"/>
      <c r="ES207" s="243"/>
      <c r="ET207" s="243"/>
      <c r="EU207" s="243"/>
      <c r="EV207" s="243"/>
      <c r="EW207" s="243"/>
      <c r="EX207" s="243"/>
      <c r="EY207" s="243"/>
      <c r="EZ207" s="243"/>
      <c r="FA207" s="243"/>
      <c r="FB207" s="243"/>
      <c r="FC207" s="243"/>
      <c r="FD207" s="243"/>
      <c r="FE207" s="243"/>
      <c r="FF207" s="243"/>
      <c r="FG207" s="243"/>
      <c r="FH207" s="243"/>
      <c r="FI207" s="243"/>
      <c r="FJ207" s="243"/>
      <c r="FK207" s="243"/>
      <c r="FL207" s="243"/>
      <c r="FM207" s="243"/>
      <c r="FN207" s="243"/>
      <c r="FO207" s="243"/>
      <c r="FP207" s="243"/>
      <c r="FQ207" s="243"/>
      <c r="FR207" s="243"/>
      <c r="FS207" s="243"/>
      <c r="FT207" s="243"/>
      <c r="FU207" s="243"/>
      <c r="FV207" s="243"/>
      <c r="FW207" s="243"/>
      <c r="FX207" s="243"/>
      <c r="FY207" s="243"/>
      <c r="FZ207" s="243"/>
      <c r="GA207" s="243"/>
      <c r="GB207" s="243"/>
      <c r="GC207" s="243"/>
      <c r="GD207" s="243"/>
      <c r="GE207" s="243"/>
      <c r="GF207" s="243"/>
      <c r="GG207" s="243"/>
      <c r="GH207" s="243"/>
      <c r="GI207" s="243"/>
      <c r="GJ207" s="243"/>
      <c r="GK207" s="243"/>
      <c r="GL207" s="243"/>
      <c r="GM207" s="243"/>
      <c r="GN207" s="243"/>
      <c r="GO207" s="243"/>
      <c r="GP207" s="243"/>
      <c r="GQ207" s="243"/>
      <c r="GR207" s="243"/>
      <c r="GS207" s="243"/>
      <c r="GT207" s="243"/>
      <c r="GU207" s="243"/>
      <c r="GV207" s="243"/>
      <c r="GW207" s="243"/>
      <c r="GX207" s="243"/>
      <c r="GY207" s="243"/>
      <c r="GZ207" s="243"/>
      <c r="HA207" s="243"/>
      <c r="HB207" s="243"/>
      <c r="HC207" s="243"/>
      <c r="HD207" s="243"/>
      <c r="HE207" s="243"/>
      <c r="HF207" s="243"/>
      <c r="HG207" s="243"/>
      <c r="HH207" s="243"/>
      <c r="HI207" s="243"/>
      <c r="HJ207" s="243"/>
      <c r="HK207" s="243"/>
      <c r="HL207" s="243"/>
      <c r="HM207" s="243"/>
      <c r="HN207" s="243"/>
      <c r="HO207" s="243"/>
      <c r="HP207" s="243"/>
      <c r="HQ207" s="243"/>
      <c r="HR207" s="243"/>
      <c r="HS207" s="243"/>
      <c r="HT207" s="243"/>
      <c r="HU207" s="243"/>
      <c r="HV207" s="243"/>
      <c r="HW207" s="243"/>
      <c r="HX207" s="243"/>
      <c r="HY207" s="243"/>
      <c r="HZ207" s="243"/>
      <c r="IA207" s="243"/>
      <c r="IB207" s="243"/>
      <c r="IC207" s="243"/>
      <c r="ID207" s="243"/>
      <c r="IE207" s="243"/>
      <c r="IF207" s="243"/>
      <c r="IG207" s="243"/>
      <c r="IH207" s="243"/>
      <c r="II207" s="243"/>
      <c r="IJ207" s="243"/>
      <c r="IK207" s="243"/>
      <c r="IL207" s="243"/>
      <c r="IM207" s="243"/>
      <c r="IN207" s="243"/>
      <c r="IO207" s="243"/>
      <c r="IP207" s="243"/>
      <c r="IQ207" s="243"/>
      <c r="IR207" s="243"/>
      <c r="IS207" s="243"/>
      <c r="IT207" s="243"/>
      <c r="IU207" s="243"/>
      <c r="IV207" s="243"/>
      <c r="IW207" s="243"/>
      <c r="IX207" s="243"/>
      <c r="IY207" s="243"/>
      <c r="IZ207" s="243"/>
      <c r="JA207" s="243"/>
      <c r="JB207" s="243"/>
      <c r="JC207" s="243"/>
      <c r="JD207" s="243"/>
      <c r="JE207" s="243"/>
      <c r="JF207" s="243"/>
      <c r="JG207" s="243"/>
      <c r="JH207" s="243"/>
      <c r="JI207" s="243"/>
      <c r="JJ207" s="243"/>
      <c r="JK207" s="243"/>
      <c r="JL207" s="243"/>
      <c r="JM207" s="243"/>
      <c r="JN207" s="243"/>
      <c r="JO207" s="243"/>
      <c r="JP207" s="243"/>
      <c r="JQ207" s="243"/>
      <c r="JR207" s="243"/>
      <c r="JS207" s="243"/>
      <c r="JT207" s="243"/>
      <c r="JU207" s="243"/>
      <c r="JV207" s="243"/>
      <c r="JW207" s="243"/>
      <c r="JX207" s="243"/>
      <c r="JY207" s="243"/>
      <c r="JZ207" s="243"/>
      <c r="KA207" s="243"/>
      <c r="KB207" s="243"/>
      <c r="KC207" s="243"/>
      <c r="KD207" s="243"/>
      <c r="KE207" s="243"/>
      <c r="KF207" s="243"/>
      <c r="KG207" s="243"/>
      <c r="KH207" s="243"/>
      <c r="KI207" s="243"/>
      <c r="KJ207" s="243"/>
      <c r="KK207" s="243"/>
      <c r="KL207" s="243"/>
      <c r="KM207" s="243"/>
      <c r="KN207" s="243"/>
      <c r="KO207" s="243"/>
      <c r="KP207" s="243"/>
      <c r="KQ207" s="243"/>
      <c r="KR207" s="243"/>
      <c r="KS207" s="243"/>
      <c r="KT207" s="243"/>
      <c r="KU207" s="243"/>
      <c r="KV207" s="243"/>
      <c r="KW207" s="243"/>
      <c r="KX207" s="243"/>
      <c r="KY207" s="243"/>
      <c r="KZ207" s="243"/>
      <c r="LA207" s="243"/>
      <c r="LB207" s="243"/>
      <c r="LC207" s="243"/>
      <c r="LD207" s="243"/>
      <c r="LE207" s="243"/>
      <c r="LF207" s="243"/>
      <c r="LG207" s="243"/>
      <c r="LH207" s="243"/>
      <c r="LI207" s="243"/>
      <c r="LJ207" s="243"/>
      <c r="LK207" s="243"/>
      <c r="LL207" s="243"/>
      <c r="LM207" s="243"/>
      <c r="LN207" s="243"/>
      <c r="LO207" s="243"/>
      <c r="LP207" s="243"/>
      <c r="LQ207" s="243"/>
      <c r="LR207" s="243"/>
      <c r="LS207" s="243"/>
      <c r="LT207" s="243"/>
      <c r="LU207" s="243"/>
      <c r="LV207" s="243"/>
      <c r="LW207" s="243"/>
      <c r="LX207" s="243"/>
      <c r="LY207" s="243"/>
      <c r="LZ207" s="243"/>
      <c r="MA207" s="243"/>
      <c r="MB207" s="243"/>
      <c r="MC207" s="243"/>
      <c r="MD207" s="243"/>
      <c r="ME207" s="243"/>
      <c r="MF207" s="243"/>
      <c r="MG207" s="243"/>
      <c r="MH207" s="243"/>
      <c r="MI207" s="243"/>
      <c r="MJ207" s="243"/>
      <c r="MK207" s="243"/>
      <c r="ML207" s="243"/>
      <c r="MM207" s="243"/>
      <c r="MN207" s="243"/>
      <c r="MO207" s="243"/>
      <c r="MP207" s="243"/>
      <c r="MQ207" s="243"/>
      <c r="MR207" s="243"/>
      <c r="MS207" s="243"/>
      <c r="MT207" s="243"/>
      <c r="MU207" s="243"/>
      <c r="MV207" s="243"/>
      <c r="MW207" s="243"/>
      <c r="MX207" s="243"/>
      <c r="MY207" s="243"/>
      <c r="MZ207" s="243"/>
      <c r="NA207" s="243"/>
      <c r="NB207" s="243"/>
      <c r="NC207" s="243"/>
      <c r="ND207" s="243"/>
      <c r="NE207" s="243"/>
      <c r="NF207" s="243"/>
      <c r="NG207" s="243"/>
      <c r="NH207" s="243"/>
      <c r="NI207" s="243"/>
      <c r="NJ207" s="243"/>
      <c r="NK207" s="243"/>
      <c r="NL207" s="243"/>
      <c r="NM207" s="243"/>
      <c r="NN207" s="243"/>
      <c r="NO207" s="243"/>
      <c r="NP207" s="243"/>
      <c r="NQ207" s="243"/>
      <c r="NR207" s="243"/>
      <c r="NS207" s="243"/>
      <c r="NT207" s="243"/>
      <c r="NU207" s="243"/>
      <c r="NV207" s="243"/>
      <c r="NW207" s="243"/>
      <c r="NX207" s="243"/>
      <c r="NY207" s="243"/>
      <c r="NZ207" s="243"/>
      <c r="OA207" s="243"/>
      <c r="OB207" s="243"/>
      <c r="OC207" s="243"/>
      <c r="OD207" s="243"/>
      <c r="OE207" s="243"/>
      <c r="OF207" s="243"/>
      <c r="OG207" s="243"/>
      <c r="OH207" s="243"/>
      <c r="OI207" s="243"/>
      <c r="OJ207" s="243"/>
      <c r="OK207" s="243"/>
      <c r="OL207" s="243"/>
      <c r="OM207" s="243"/>
      <c r="ON207" s="243"/>
      <c r="OO207" s="243"/>
      <c r="OP207" s="243"/>
      <c r="OQ207" s="243"/>
      <c r="OR207" s="243"/>
      <c r="OS207" s="243"/>
      <c r="OT207" s="243"/>
      <c r="OU207" s="243"/>
      <c r="OV207" s="243"/>
      <c r="OW207" s="243"/>
      <c r="OX207" s="243"/>
      <c r="OY207" s="243"/>
      <c r="OZ207" s="243"/>
      <c r="PA207" s="243"/>
      <c r="PB207" s="243"/>
      <c r="PC207" s="243"/>
      <c r="PD207" s="243"/>
      <c r="PE207" s="243"/>
      <c r="PF207" s="243"/>
      <c r="PG207" s="243"/>
      <c r="PH207" s="243"/>
      <c r="PI207" s="243"/>
      <c r="PJ207" s="243"/>
      <c r="PK207" s="243"/>
      <c r="PL207" s="243"/>
      <c r="PM207" s="243"/>
      <c r="PN207" s="243"/>
      <c r="PO207" s="243"/>
      <c r="PP207" s="243"/>
      <c r="PQ207" s="243"/>
      <c r="PR207" s="243"/>
      <c r="PS207" s="243"/>
      <c r="PT207" s="243"/>
      <c r="PU207" s="243"/>
      <c r="PV207" s="243"/>
      <c r="PW207" s="243"/>
      <c r="PX207" s="243"/>
      <c r="PY207" s="243"/>
      <c r="PZ207" s="243"/>
      <c r="QA207" s="243"/>
      <c r="QB207" s="243"/>
      <c r="QC207" s="243"/>
      <c r="QD207" s="243"/>
      <c r="QE207" s="243"/>
      <c r="QF207" s="243"/>
      <c r="QG207" s="243"/>
      <c r="QH207" s="243"/>
      <c r="QI207" s="243"/>
      <c r="QJ207" s="243"/>
      <c r="QK207" s="243"/>
      <c r="QL207" s="243"/>
      <c r="QM207" s="243"/>
      <c r="QN207" s="243"/>
      <c r="QO207" s="243"/>
      <c r="QP207" s="243"/>
      <c r="QQ207" s="243"/>
      <c r="QR207" s="243"/>
      <c r="QS207" s="243"/>
      <c r="QT207" s="243"/>
      <c r="QU207" s="243"/>
      <c r="QV207" s="243"/>
      <c r="QW207" s="243"/>
      <c r="QX207" s="243"/>
      <c r="QY207" s="243"/>
      <c r="QZ207" s="243"/>
      <c r="RA207" s="243"/>
      <c r="RB207" s="243"/>
      <c r="RC207" s="243"/>
      <c r="RD207" s="243"/>
      <c r="RE207" s="243"/>
      <c r="RF207" s="243"/>
      <c r="RG207" s="243"/>
      <c r="RH207" s="243"/>
      <c r="RI207" s="243"/>
      <c r="RJ207" s="243"/>
      <c r="RK207" s="243"/>
      <c r="RL207" s="243"/>
      <c r="RM207" s="243"/>
      <c r="RN207" s="243"/>
      <c r="RO207" s="243"/>
      <c r="RP207" s="243"/>
      <c r="RQ207" s="243"/>
      <c r="RR207" s="243"/>
      <c r="RS207" s="243"/>
      <c r="RT207" s="243"/>
      <c r="RU207" s="243"/>
      <c r="RV207" s="243"/>
      <c r="RW207" s="243"/>
      <c r="RX207" s="243"/>
      <c r="RY207" s="243"/>
      <c r="RZ207" s="243"/>
      <c r="SA207" s="243"/>
      <c r="SB207" s="243"/>
      <c r="SC207" s="243"/>
      <c r="SD207" s="243"/>
      <c r="SE207" s="243"/>
      <c r="SF207" s="243"/>
      <c r="SG207" s="243"/>
      <c r="SH207" s="243"/>
      <c r="SI207" s="243"/>
      <c r="SJ207" s="243"/>
      <c r="SK207" s="243"/>
      <c r="SL207" s="243"/>
      <c r="SM207" s="243"/>
      <c r="SN207" s="243"/>
      <c r="SO207" s="243"/>
      <c r="SP207" s="243"/>
      <c r="SQ207" s="243"/>
      <c r="SR207" s="243"/>
      <c r="SS207" s="243"/>
      <c r="ST207" s="243"/>
      <c r="SU207" s="243"/>
      <c r="SV207" s="243"/>
      <c r="SW207" s="243"/>
      <c r="SX207" s="243"/>
      <c r="SY207" s="243"/>
      <c r="SZ207" s="243"/>
      <c r="TA207" s="243"/>
      <c r="TB207" s="243"/>
      <c r="TC207" s="243"/>
      <c r="TD207" s="243"/>
      <c r="TE207" s="243"/>
      <c r="TF207" s="243"/>
      <c r="TG207" s="243"/>
      <c r="TH207" s="243"/>
      <c r="TI207" s="243"/>
      <c r="TJ207" s="243"/>
      <c r="TK207" s="243"/>
      <c r="TL207" s="243"/>
      <c r="TM207" s="243"/>
      <c r="TN207" s="243"/>
      <c r="TO207" s="243"/>
      <c r="TP207" s="243"/>
      <c r="TQ207" s="243"/>
      <c r="TR207" s="243"/>
      <c r="TS207" s="243"/>
      <c r="TT207" s="243"/>
      <c r="TU207" s="243"/>
      <c r="TV207" s="243"/>
      <c r="TW207" s="243"/>
      <c r="TX207" s="243"/>
      <c r="TY207" s="243"/>
      <c r="TZ207" s="243"/>
      <c r="UA207" s="243"/>
      <c r="UB207" s="243"/>
      <c r="UC207" s="243"/>
      <c r="UD207" s="243"/>
      <c r="UE207" s="243"/>
      <c r="UF207" s="243"/>
      <c r="UG207" s="243"/>
      <c r="UH207" s="243"/>
      <c r="UI207" s="243"/>
      <c r="UJ207" s="243"/>
      <c r="UK207" s="243"/>
      <c r="UL207" s="243"/>
      <c r="UM207" s="243"/>
      <c r="UN207" s="243"/>
      <c r="UO207" s="243"/>
      <c r="UP207" s="243"/>
      <c r="UQ207" s="243"/>
      <c r="UR207" s="243"/>
      <c r="US207" s="243"/>
      <c r="UT207" s="243"/>
      <c r="UU207" s="243"/>
      <c r="UV207" s="243"/>
      <c r="UW207" s="243"/>
      <c r="UX207" s="243"/>
      <c r="UY207" s="243"/>
      <c r="UZ207" s="243"/>
      <c r="VA207" s="243"/>
      <c r="VB207" s="243"/>
      <c r="VC207" s="243"/>
      <c r="VD207" s="243"/>
      <c r="VE207" s="243"/>
      <c r="VF207" s="243"/>
      <c r="VG207" s="243"/>
      <c r="VH207" s="243"/>
      <c r="VI207" s="243"/>
      <c r="VJ207" s="243"/>
      <c r="VK207" s="243"/>
      <c r="VL207" s="243"/>
      <c r="VM207" s="243"/>
      <c r="VN207" s="243"/>
      <c r="VO207" s="243"/>
      <c r="VP207" s="243"/>
      <c r="VQ207" s="243"/>
      <c r="VR207" s="243"/>
      <c r="VS207" s="243"/>
      <c r="VT207" s="243"/>
      <c r="VU207" s="243"/>
      <c r="VV207" s="243"/>
      <c r="VW207" s="243"/>
      <c r="VX207" s="243"/>
      <c r="VY207" s="243"/>
      <c r="VZ207" s="243"/>
      <c r="WA207" s="243"/>
      <c r="WB207" s="243"/>
      <c r="WC207" s="243"/>
      <c r="WD207" s="243"/>
      <c r="WE207" s="243"/>
      <c r="WF207" s="243"/>
      <c r="WG207" s="243"/>
      <c r="WH207" s="243"/>
      <c r="WI207" s="243"/>
      <c r="WJ207" s="243"/>
      <c r="WK207" s="243"/>
      <c r="WL207" s="243"/>
      <c r="WM207" s="243"/>
      <c r="WN207" s="243"/>
      <c r="WO207" s="243"/>
      <c r="WP207" s="243"/>
      <c r="WQ207" s="243"/>
      <c r="WR207" s="243"/>
      <c r="WS207" s="243"/>
      <c r="WT207" s="243"/>
      <c r="WU207" s="243"/>
      <c r="WV207" s="243"/>
      <c r="WW207" s="243"/>
      <c r="WX207" s="243"/>
      <c r="WY207" s="243"/>
      <c r="WZ207" s="243"/>
      <c r="XA207" s="243"/>
      <c r="XB207" s="243"/>
      <c r="XC207" s="243"/>
      <c r="XD207" s="243"/>
      <c r="XE207" s="243"/>
      <c r="XF207" s="243"/>
      <c r="XG207" s="243"/>
      <c r="XH207" s="243"/>
      <c r="XI207" s="243"/>
      <c r="XJ207" s="243"/>
      <c r="XK207" s="243"/>
      <c r="XL207" s="243"/>
      <c r="XM207" s="243"/>
      <c r="XN207" s="243"/>
      <c r="XO207" s="243"/>
      <c r="XP207" s="243"/>
      <c r="XQ207" s="243"/>
      <c r="XR207" s="243"/>
      <c r="XS207" s="243"/>
      <c r="XT207" s="243"/>
      <c r="XU207" s="243"/>
      <c r="XV207" s="243"/>
      <c r="XW207" s="243"/>
      <c r="XX207" s="243"/>
      <c r="XY207" s="243"/>
      <c r="XZ207" s="243"/>
      <c r="YA207" s="243"/>
      <c r="YB207" s="243"/>
      <c r="YC207" s="243"/>
      <c r="YD207" s="243"/>
      <c r="YE207" s="243"/>
      <c r="YF207" s="243"/>
      <c r="YG207" s="243"/>
      <c r="YH207" s="243"/>
      <c r="YI207" s="243"/>
      <c r="YJ207" s="243"/>
      <c r="YK207" s="243"/>
      <c r="YL207" s="243"/>
      <c r="YM207" s="243"/>
      <c r="YN207" s="243"/>
      <c r="YO207" s="243"/>
      <c r="YP207" s="243"/>
      <c r="YQ207" s="243"/>
      <c r="YR207" s="243"/>
      <c r="YS207" s="243"/>
      <c r="YT207" s="243"/>
      <c r="YU207" s="243"/>
      <c r="YV207" s="243"/>
      <c r="YW207" s="243"/>
      <c r="YX207" s="243"/>
      <c r="YY207" s="243"/>
      <c r="YZ207" s="243"/>
      <c r="ZA207" s="243"/>
      <c r="ZB207" s="243"/>
      <c r="ZC207" s="243"/>
      <c r="ZD207" s="243"/>
      <c r="ZE207" s="243"/>
      <c r="ZF207" s="243"/>
      <c r="ZG207" s="243"/>
      <c r="ZH207" s="243"/>
      <c r="ZI207" s="243"/>
      <c r="ZJ207" s="243"/>
      <c r="ZK207" s="243"/>
      <c r="ZL207" s="243"/>
      <c r="ZM207" s="243"/>
      <c r="ZN207" s="243"/>
      <c r="ZO207" s="243"/>
      <c r="ZP207" s="243"/>
      <c r="ZQ207" s="243"/>
      <c r="ZR207" s="243"/>
      <c r="ZS207" s="243"/>
      <c r="ZT207" s="243"/>
      <c r="ZU207" s="243"/>
      <c r="ZV207" s="243"/>
      <c r="ZW207" s="243"/>
      <c r="ZX207" s="243"/>
      <c r="ZY207" s="243"/>
      <c r="ZZ207" s="243"/>
      <c r="AAA207" s="243"/>
      <c r="AAB207" s="243"/>
      <c r="AAC207" s="243"/>
      <c r="AAD207" s="243"/>
      <c r="AAE207" s="243"/>
      <c r="AAF207" s="243"/>
      <c r="AAG207" s="243"/>
      <c r="AAH207" s="243"/>
      <c r="AAI207" s="243"/>
      <c r="AAJ207" s="243"/>
      <c r="AAK207" s="243"/>
      <c r="AAL207" s="243"/>
      <c r="AAM207" s="243"/>
      <c r="AAN207" s="243"/>
      <c r="AAO207" s="243"/>
      <c r="AAP207" s="243"/>
      <c r="AAQ207" s="243"/>
      <c r="AAR207" s="243"/>
      <c r="AAS207" s="243"/>
      <c r="AAT207" s="243"/>
      <c r="AAU207" s="243"/>
      <c r="AAV207" s="243"/>
      <c r="AAW207" s="243"/>
      <c r="AAX207" s="243"/>
      <c r="AAY207" s="243"/>
      <c r="AAZ207" s="243"/>
      <c r="ABA207" s="243"/>
      <c r="ABB207" s="243"/>
      <c r="ABC207" s="243"/>
      <c r="ABD207" s="243"/>
      <c r="ABE207" s="243"/>
      <c r="ABF207" s="243"/>
      <c r="ABG207" s="243"/>
      <c r="ABH207" s="243"/>
      <c r="ABI207" s="243"/>
      <c r="ABJ207" s="243"/>
      <c r="ABK207" s="243"/>
      <c r="ABL207" s="243"/>
      <c r="ABM207" s="243"/>
      <c r="ABN207" s="243"/>
      <c r="ABO207" s="243"/>
      <c r="ABP207" s="243"/>
      <c r="ABQ207" s="243"/>
      <c r="ABR207" s="243"/>
      <c r="ABS207" s="243"/>
      <c r="ABT207" s="243"/>
      <c r="ABU207" s="243"/>
      <c r="ABV207" s="243"/>
      <c r="ABW207" s="243"/>
      <c r="ABX207" s="243"/>
      <c r="ABY207" s="243"/>
      <c r="ABZ207" s="243"/>
      <c r="ACA207" s="243"/>
      <c r="ACB207" s="243"/>
      <c r="ACC207" s="243"/>
      <c r="ACD207" s="243"/>
      <c r="ACE207" s="243"/>
      <c r="ACF207" s="243"/>
      <c r="ACG207" s="243"/>
      <c r="ACH207" s="243"/>
      <c r="ACI207" s="243"/>
      <c r="ACJ207" s="243"/>
      <c r="ACK207" s="243"/>
      <c r="ACL207" s="243"/>
      <c r="ACM207" s="243"/>
      <c r="ACN207" s="243"/>
      <c r="ACO207" s="243"/>
      <c r="ACP207" s="243"/>
      <c r="ACQ207" s="243"/>
      <c r="ACR207" s="243"/>
      <c r="ACS207" s="243"/>
      <c r="ACT207" s="243"/>
      <c r="ACU207" s="243"/>
      <c r="ACV207" s="243"/>
      <c r="ACW207" s="243"/>
      <c r="ACX207" s="243"/>
      <c r="ACY207" s="243"/>
      <c r="ACZ207" s="243"/>
      <c r="ADA207" s="243"/>
      <c r="ADB207" s="243"/>
      <c r="ADC207" s="243"/>
      <c r="ADD207" s="243"/>
      <c r="ADE207" s="243"/>
      <c r="ADF207" s="243"/>
      <c r="ADG207" s="243"/>
      <c r="ADH207" s="243"/>
      <c r="ADI207" s="243"/>
      <c r="ADJ207" s="243"/>
      <c r="ADK207" s="243"/>
      <c r="ADL207" s="243"/>
      <c r="ADM207" s="243"/>
      <c r="ADN207" s="243"/>
      <c r="ADO207" s="243"/>
      <c r="ADP207" s="243"/>
      <c r="ADQ207" s="243"/>
      <c r="ADR207" s="243"/>
      <c r="ADS207" s="243"/>
      <c r="ADT207" s="243"/>
      <c r="ADU207" s="243"/>
      <c r="ADV207" s="243"/>
      <c r="ADW207" s="243"/>
      <c r="ADX207" s="243"/>
      <c r="ADY207" s="243"/>
      <c r="ADZ207" s="243"/>
      <c r="AEA207" s="243"/>
      <c r="AEB207" s="243"/>
      <c r="AEC207" s="243"/>
      <c r="AED207" s="243"/>
      <c r="AEE207" s="243"/>
      <c r="AEF207" s="243"/>
      <c r="AEG207" s="243"/>
      <c r="AEH207" s="243"/>
      <c r="AEI207" s="243"/>
      <c r="AEJ207" s="243"/>
      <c r="AEK207" s="243"/>
      <c r="AEL207" s="243"/>
      <c r="AEM207" s="243"/>
      <c r="AEN207" s="243"/>
      <c r="AEO207" s="243"/>
      <c r="AEP207" s="243"/>
      <c r="AEQ207" s="243"/>
      <c r="AER207" s="243"/>
      <c r="AES207" s="243"/>
      <c r="AET207" s="243"/>
      <c r="AEU207" s="243"/>
      <c r="AEV207" s="243"/>
      <c r="AEW207" s="243"/>
      <c r="AEX207" s="243"/>
      <c r="AEY207" s="243"/>
      <c r="AEZ207" s="243"/>
      <c r="AFA207" s="243"/>
      <c r="AFB207" s="243"/>
      <c r="AFC207" s="243"/>
      <c r="AFD207" s="243"/>
      <c r="AFE207" s="243"/>
      <c r="AFF207" s="243"/>
      <c r="AFG207" s="243"/>
      <c r="AFH207" s="243"/>
      <c r="AFI207" s="243"/>
      <c r="AFJ207" s="243"/>
      <c r="AFK207" s="243"/>
      <c r="AFL207" s="243"/>
      <c r="AFM207" s="243"/>
      <c r="AFN207" s="243"/>
      <c r="AFO207" s="243"/>
      <c r="AFP207" s="243"/>
      <c r="AFQ207" s="243"/>
      <c r="AFR207" s="243"/>
      <c r="AFS207" s="243"/>
      <c r="AFT207" s="243"/>
      <c r="AFU207" s="243"/>
      <c r="AFV207" s="243"/>
      <c r="AFW207" s="243"/>
      <c r="AFX207" s="243"/>
      <c r="AFY207" s="243"/>
      <c r="AFZ207" s="243"/>
      <c r="AGA207" s="243"/>
      <c r="AGB207" s="243"/>
      <c r="AGC207" s="243"/>
      <c r="AGD207" s="243"/>
      <c r="AGE207" s="243"/>
      <c r="AGF207" s="243"/>
      <c r="AGG207" s="243"/>
      <c r="AGH207" s="243"/>
      <c r="AGI207" s="243"/>
      <c r="AGJ207" s="243"/>
      <c r="AGK207" s="243"/>
      <c r="AGL207" s="243"/>
      <c r="AGM207" s="243"/>
      <c r="AGN207" s="243"/>
      <c r="AGO207" s="243"/>
      <c r="AGP207" s="243"/>
      <c r="AGQ207" s="243"/>
      <c r="AGR207" s="243"/>
      <c r="AGS207" s="243"/>
      <c r="AGT207" s="243"/>
      <c r="AGU207" s="243"/>
      <c r="AGV207" s="243"/>
      <c r="AGW207" s="243"/>
      <c r="AGX207" s="243"/>
      <c r="AGY207" s="243"/>
      <c r="AGZ207" s="243"/>
      <c r="AHA207" s="243"/>
      <c r="AHB207" s="243"/>
      <c r="AHC207" s="243"/>
      <c r="AHD207" s="243"/>
      <c r="AHE207" s="243"/>
      <c r="AHF207" s="243"/>
      <c r="AHG207" s="243"/>
      <c r="AHH207" s="243"/>
      <c r="AHI207" s="243"/>
      <c r="AHJ207" s="243"/>
      <c r="AHK207" s="243"/>
      <c r="AHL207" s="243"/>
      <c r="AHM207" s="243"/>
      <c r="AHN207" s="243"/>
      <c r="AHO207" s="243"/>
      <c r="AHP207" s="243"/>
      <c r="AHQ207" s="243"/>
      <c r="AHR207" s="243"/>
      <c r="AHS207" s="243"/>
      <c r="AHT207" s="243"/>
      <c r="AHU207" s="243"/>
      <c r="AHV207" s="243"/>
      <c r="AHW207" s="243"/>
      <c r="AHX207" s="243"/>
      <c r="AHY207" s="243"/>
      <c r="AHZ207" s="243"/>
      <c r="AIA207" s="243"/>
      <c r="AIB207" s="243"/>
      <c r="AIC207" s="243"/>
      <c r="AID207" s="243"/>
      <c r="AIE207" s="243"/>
      <c r="AIF207" s="243"/>
      <c r="AIG207" s="243"/>
      <c r="AIH207" s="243"/>
      <c r="AII207" s="243"/>
      <c r="AIJ207" s="243"/>
      <c r="AIK207" s="243"/>
      <c r="AIL207" s="243"/>
      <c r="AIM207" s="243"/>
      <c r="AIN207" s="243"/>
      <c r="AIO207" s="243"/>
      <c r="AIP207" s="243"/>
      <c r="AIQ207" s="243"/>
      <c r="AIR207" s="243"/>
      <c r="AIS207" s="243"/>
      <c r="AIT207" s="243"/>
      <c r="AIU207" s="243"/>
      <c r="AIV207" s="243"/>
      <c r="AIW207" s="243"/>
      <c r="AIX207" s="243"/>
      <c r="AIY207" s="243"/>
      <c r="AIZ207" s="243"/>
      <c r="AJA207" s="243"/>
      <c r="AJB207" s="243"/>
      <c r="AJC207" s="243"/>
      <c r="AJD207" s="243"/>
      <c r="AJE207" s="243"/>
      <c r="AJF207" s="243"/>
      <c r="AJG207" s="243"/>
      <c r="AJH207" s="243"/>
      <c r="AJI207" s="243"/>
      <c r="AJJ207" s="243"/>
      <c r="AJK207" s="243"/>
      <c r="AJL207" s="243"/>
      <c r="AJM207" s="243"/>
      <c r="AJN207" s="243"/>
      <c r="AJO207" s="243"/>
      <c r="AJP207" s="243"/>
      <c r="AJQ207" s="243"/>
      <c r="AJR207" s="243"/>
      <c r="AJS207" s="243"/>
      <c r="AJT207" s="243"/>
      <c r="AJU207" s="243"/>
      <c r="AJV207" s="243"/>
      <c r="AJW207" s="243"/>
      <c r="AJX207" s="243"/>
      <c r="AJY207" s="243"/>
      <c r="AJZ207" s="243"/>
      <c r="AKA207" s="243"/>
      <c r="AKB207" s="243"/>
      <c r="AKC207" s="243"/>
      <c r="AKD207" s="243"/>
      <c r="AKE207" s="243"/>
      <c r="AKF207" s="243"/>
      <c r="AKG207" s="243"/>
      <c r="AKH207" s="243"/>
      <c r="AKI207" s="243"/>
      <c r="AKJ207" s="243"/>
      <c r="AKK207" s="243"/>
      <c r="AKL207" s="243"/>
      <c r="AKM207" s="243"/>
      <c r="AKN207" s="243"/>
      <c r="AKO207" s="243"/>
      <c r="AKP207" s="243"/>
      <c r="AKQ207" s="243"/>
      <c r="AKR207" s="243"/>
      <c r="AKS207" s="243"/>
      <c r="AKT207" s="243"/>
      <c r="AKU207" s="243"/>
      <c r="AKV207" s="243"/>
      <c r="AKW207" s="243"/>
      <c r="AKX207" s="243"/>
      <c r="AKY207" s="243"/>
      <c r="AKZ207" s="243"/>
      <c r="ALA207" s="243"/>
      <c r="ALB207" s="243"/>
      <c r="ALC207" s="243"/>
      <c r="ALD207" s="243"/>
      <c r="ALE207" s="243"/>
      <c r="ALF207" s="243"/>
      <c r="ALG207" s="243"/>
      <c r="ALH207" s="243"/>
      <c r="ALI207" s="243"/>
      <c r="ALJ207" s="243"/>
      <c r="ALK207" s="243"/>
      <c r="ALL207" s="243"/>
      <c r="ALM207" s="243"/>
      <c r="ALN207" s="243"/>
      <c r="ALO207" s="243"/>
      <c r="ALP207" s="243"/>
      <c r="ALQ207" s="243"/>
      <c r="ALR207" s="243"/>
      <c r="ALS207" s="243"/>
      <c r="ALT207" s="243"/>
      <c r="ALU207" s="243"/>
      <c r="ALV207" s="243"/>
      <c r="ALW207" s="243"/>
      <c r="ALX207" s="243"/>
      <c r="ALY207" s="243"/>
      <c r="ALZ207" s="243"/>
      <c r="AMA207" s="243"/>
      <c r="AMB207" s="243"/>
      <c r="AMC207" s="243"/>
      <c r="AMD207" s="243"/>
      <c r="AME207" s="243"/>
      <c r="AMF207" s="243"/>
      <c r="AMG207" s="243"/>
      <c r="AMH207" s="243"/>
      <c r="AMI207" s="244"/>
      <c r="AMJ207" s="244"/>
    </row>
    <row r="208" spans="1:1024">
      <c r="A208" s="911"/>
      <c r="B208" s="470">
        <v>13922</v>
      </c>
      <c r="C208" s="471">
        <v>0.1</v>
      </c>
      <c r="D208" s="472" t="s">
        <v>137</v>
      </c>
      <c r="E208" s="473">
        <v>5000000</v>
      </c>
      <c r="F208" s="474">
        <v>7.0000000000000007E-2</v>
      </c>
      <c r="G208" s="475">
        <f t="shared" si="6"/>
        <v>350000.00000000006</v>
      </c>
      <c r="H208" s="476" t="s">
        <v>134</v>
      </c>
      <c r="I208" s="476" t="s">
        <v>138</v>
      </c>
      <c r="J208" s="476" t="s">
        <v>125</v>
      </c>
      <c r="K208" s="476" t="s">
        <v>136</v>
      </c>
      <c r="L208" s="476" t="s">
        <v>125</v>
      </c>
      <c r="M208" s="478"/>
      <c r="N208" s="479"/>
      <c r="O208" s="480"/>
      <c r="P208" s="480"/>
      <c r="Q208" s="480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3"/>
      <c r="AI208" s="243"/>
      <c r="AJ208" s="243"/>
      <c r="AK208" s="243"/>
      <c r="AL208" s="243"/>
      <c r="AM208" s="243"/>
      <c r="AN208" s="243"/>
      <c r="AO208" s="243"/>
      <c r="AP208" s="243"/>
      <c r="AQ208" s="243"/>
      <c r="AR208" s="243"/>
      <c r="AS208" s="243"/>
      <c r="AT208" s="243"/>
      <c r="AU208" s="243"/>
      <c r="AV208" s="243"/>
      <c r="AW208" s="243"/>
      <c r="AX208" s="243"/>
      <c r="AY208" s="243"/>
      <c r="AZ208" s="243"/>
      <c r="BA208" s="243"/>
      <c r="BB208" s="243"/>
      <c r="BC208" s="243"/>
      <c r="BD208" s="243"/>
      <c r="BE208" s="243"/>
      <c r="BF208" s="243"/>
      <c r="BG208" s="243"/>
      <c r="BH208" s="243"/>
      <c r="BI208" s="243"/>
      <c r="BJ208" s="243"/>
      <c r="BK208" s="243"/>
      <c r="BL208" s="243"/>
      <c r="BM208" s="243"/>
      <c r="BN208" s="243"/>
      <c r="BO208" s="243"/>
      <c r="BP208" s="243"/>
      <c r="BQ208" s="243"/>
      <c r="BR208" s="243"/>
      <c r="BS208" s="243"/>
      <c r="BT208" s="243"/>
      <c r="BU208" s="243"/>
      <c r="BV208" s="243"/>
      <c r="BW208" s="243"/>
      <c r="BX208" s="243"/>
      <c r="BY208" s="243"/>
      <c r="BZ208" s="243"/>
      <c r="CA208" s="243"/>
      <c r="CB208" s="243"/>
      <c r="CC208" s="243"/>
      <c r="CD208" s="243"/>
      <c r="CE208" s="243"/>
      <c r="CF208" s="243"/>
      <c r="CG208" s="243"/>
      <c r="CH208" s="243"/>
      <c r="CI208" s="243"/>
      <c r="CJ208" s="243"/>
      <c r="CK208" s="243"/>
      <c r="CL208" s="243"/>
      <c r="CM208" s="243"/>
      <c r="CN208" s="243"/>
      <c r="CO208" s="243"/>
      <c r="CP208" s="243"/>
      <c r="CQ208" s="243"/>
      <c r="CR208" s="243"/>
      <c r="CS208" s="243"/>
      <c r="CT208" s="243"/>
      <c r="CU208" s="243"/>
      <c r="CV208" s="243"/>
      <c r="CW208" s="243"/>
      <c r="CX208" s="243"/>
      <c r="CY208" s="243"/>
      <c r="CZ208" s="243"/>
      <c r="DA208" s="243"/>
      <c r="DB208" s="243"/>
      <c r="DC208" s="243"/>
      <c r="DD208" s="243"/>
      <c r="DE208" s="243"/>
      <c r="DF208" s="243"/>
      <c r="DG208" s="243"/>
      <c r="DH208" s="243"/>
      <c r="DI208" s="243"/>
      <c r="DJ208" s="243"/>
      <c r="DK208" s="243"/>
      <c r="DL208" s="243"/>
      <c r="DM208" s="243"/>
      <c r="DN208" s="243"/>
      <c r="DO208" s="243"/>
      <c r="DP208" s="243"/>
      <c r="DQ208" s="243"/>
      <c r="DR208" s="243"/>
      <c r="DS208" s="243"/>
      <c r="DT208" s="243"/>
      <c r="DU208" s="243"/>
      <c r="DV208" s="243"/>
      <c r="DW208" s="243"/>
      <c r="DX208" s="243"/>
      <c r="DY208" s="243"/>
      <c r="DZ208" s="243"/>
      <c r="EA208" s="243"/>
      <c r="EB208" s="243"/>
      <c r="EC208" s="243"/>
      <c r="ED208" s="243"/>
      <c r="EE208" s="243"/>
      <c r="EF208" s="243"/>
      <c r="EG208" s="243"/>
      <c r="EH208" s="243"/>
      <c r="EI208" s="243"/>
      <c r="EJ208" s="243"/>
      <c r="EK208" s="243"/>
      <c r="EL208" s="243"/>
      <c r="EM208" s="243"/>
      <c r="EN208" s="243"/>
      <c r="EO208" s="243"/>
      <c r="EP208" s="243"/>
      <c r="EQ208" s="243"/>
      <c r="ER208" s="243"/>
      <c r="ES208" s="243"/>
      <c r="ET208" s="243"/>
      <c r="EU208" s="243"/>
      <c r="EV208" s="243"/>
      <c r="EW208" s="243"/>
      <c r="EX208" s="243"/>
      <c r="EY208" s="243"/>
      <c r="EZ208" s="243"/>
      <c r="FA208" s="243"/>
      <c r="FB208" s="243"/>
      <c r="FC208" s="243"/>
      <c r="FD208" s="243"/>
      <c r="FE208" s="243"/>
      <c r="FF208" s="243"/>
      <c r="FG208" s="243"/>
      <c r="FH208" s="243"/>
      <c r="FI208" s="243"/>
      <c r="FJ208" s="243"/>
      <c r="FK208" s="243"/>
      <c r="FL208" s="243"/>
      <c r="FM208" s="243"/>
      <c r="FN208" s="243"/>
      <c r="FO208" s="243"/>
      <c r="FP208" s="243"/>
      <c r="FQ208" s="243"/>
      <c r="FR208" s="243"/>
      <c r="FS208" s="243"/>
      <c r="FT208" s="243"/>
      <c r="FU208" s="243"/>
      <c r="FV208" s="243"/>
      <c r="FW208" s="243"/>
      <c r="FX208" s="243"/>
      <c r="FY208" s="243"/>
      <c r="FZ208" s="243"/>
      <c r="GA208" s="243"/>
      <c r="GB208" s="243"/>
      <c r="GC208" s="243"/>
      <c r="GD208" s="243"/>
      <c r="GE208" s="243"/>
      <c r="GF208" s="243"/>
      <c r="GG208" s="243"/>
      <c r="GH208" s="243"/>
      <c r="GI208" s="243"/>
      <c r="GJ208" s="243"/>
      <c r="GK208" s="243"/>
      <c r="GL208" s="243"/>
      <c r="GM208" s="243"/>
      <c r="GN208" s="243"/>
      <c r="GO208" s="243"/>
      <c r="GP208" s="243"/>
      <c r="GQ208" s="243"/>
      <c r="GR208" s="243"/>
      <c r="GS208" s="243"/>
      <c r="GT208" s="243"/>
      <c r="GU208" s="243"/>
      <c r="GV208" s="243"/>
      <c r="GW208" s="243"/>
      <c r="GX208" s="243"/>
      <c r="GY208" s="243"/>
      <c r="GZ208" s="243"/>
      <c r="HA208" s="243"/>
      <c r="HB208" s="243"/>
      <c r="HC208" s="243"/>
      <c r="HD208" s="243"/>
      <c r="HE208" s="243"/>
      <c r="HF208" s="243"/>
      <c r="HG208" s="243"/>
      <c r="HH208" s="243"/>
      <c r="HI208" s="243"/>
      <c r="HJ208" s="243"/>
      <c r="HK208" s="243"/>
      <c r="HL208" s="243"/>
      <c r="HM208" s="243"/>
      <c r="HN208" s="243"/>
      <c r="HO208" s="243"/>
      <c r="HP208" s="243"/>
      <c r="HQ208" s="243"/>
      <c r="HR208" s="243"/>
      <c r="HS208" s="243"/>
      <c r="HT208" s="243"/>
      <c r="HU208" s="243"/>
      <c r="HV208" s="243"/>
      <c r="HW208" s="243"/>
      <c r="HX208" s="243"/>
      <c r="HY208" s="243"/>
      <c r="HZ208" s="243"/>
      <c r="IA208" s="243"/>
      <c r="IB208" s="243"/>
      <c r="IC208" s="243"/>
      <c r="ID208" s="243"/>
      <c r="IE208" s="243"/>
      <c r="IF208" s="243"/>
      <c r="IG208" s="243"/>
      <c r="IH208" s="243"/>
      <c r="II208" s="243"/>
      <c r="IJ208" s="243"/>
      <c r="IK208" s="243"/>
      <c r="IL208" s="243"/>
      <c r="IM208" s="243"/>
      <c r="IN208" s="243"/>
      <c r="IO208" s="243"/>
      <c r="IP208" s="243"/>
      <c r="IQ208" s="243"/>
      <c r="IR208" s="243"/>
      <c r="IS208" s="243"/>
      <c r="IT208" s="243"/>
      <c r="IU208" s="243"/>
      <c r="IV208" s="243"/>
      <c r="IW208" s="243"/>
      <c r="IX208" s="243"/>
      <c r="IY208" s="243"/>
      <c r="IZ208" s="243"/>
      <c r="JA208" s="243"/>
      <c r="JB208" s="243"/>
      <c r="JC208" s="243"/>
      <c r="JD208" s="243"/>
      <c r="JE208" s="243"/>
      <c r="JF208" s="243"/>
      <c r="JG208" s="243"/>
      <c r="JH208" s="243"/>
      <c r="JI208" s="243"/>
      <c r="JJ208" s="243"/>
      <c r="JK208" s="243"/>
      <c r="JL208" s="243"/>
      <c r="JM208" s="243"/>
      <c r="JN208" s="243"/>
      <c r="JO208" s="243"/>
      <c r="JP208" s="243"/>
      <c r="JQ208" s="243"/>
      <c r="JR208" s="243"/>
      <c r="JS208" s="243"/>
      <c r="JT208" s="243"/>
      <c r="JU208" s="243"/>
      <c r="JV208" s="243"/>
      <c r="JW208" s="243"/>
      <c r="JX208" s="243"/>
      <c r="JY208" s="243"/>
      <c r="JZ208" s="243"/>
      <c r="KA208" s="243"/>
      <c r="KB208" s="243"/>
      <c r="KC208" s="243"/>
      <c r="KD208" s="243"/>
      <c r="KE208" s="243"/>
      <c r="KF208" s="243"/>
      <c r="KG208" s="243"/>
      <c r="KH208" s="243"/>
      <c r="KI208" s="243"/>
      <c r="KJ208" s="243"/>
      <c r="KK208" s="243"/>
      <c r="KL208" s="243"/>
      <c r="KM208" s="243"/>
      <c r="KN208" s="243"/>
      <c r="KO208" s="243"/>
      <c r="KP208" s="243"/>
      <c r="KQ208" s="243"/>
      <c r="KR208" s="243"/>
      <c r="KS208" s="243"/>
      <c r="KT208" s="243"/>
      <c r="KU208" s="243"/>
      <c r="KV208" s="243"/>
      <c r="KW208" s="243"/>
      <c r="KX208" s="243"/>
      <c r="KY208" s="243"/>
      <c r="KZ208" s="243"/>
      <c r="LA208" s="243"/>
      <c r="LB208" s="243"/>
      <c r="LC208" s="243"/>
      <c r="LD208" s="243"/>
      <c r="LE208" s="243"/>
      <c r="LF208" s="243"/>
      <c r="LG208" s="243"/>
      <c r="LH208" s="243"/>
      <c r="LI208" s="243"/>
      <c r="LJ208" s="243"/>
      <c r="LK208" s="243"/>
      <c r="LL208" s="243"/>
      <c r="LM208" s="243"/>
      <c r="LN208" s="243"/>
      <c r="LO208" s="243"/>
      <c r="LP208" s="243"/>
      <c r="LQ208" s="243"/>
      <c r="LR208" s="243"/>
      <c r="LS208" s="243"/>
      <c r="LT208" s="243"/>
      <c r="LU208" s="243"/>
      <c r="LV208" s="243"/>
      <c r="LW208" s="243"/>
      <c r="LX208" s="243"/>
      <c r="LY208" s="243"/>
      <c r="LZ208" s="243"/>
      <c r="MA208" s="243"/>
      <c r="MB208" s="243"/>
      <c r="MC208" s="243"/>
      <c r="MD208" s="243"/>
      <c r="ME208" s="243"/>
      <c r="MF208" s="243"/>
      <c r="MG208" s="243"/>
      <c r="MH208" s="243"/>
      <c r="MI208" s="243"/>
      <c r="MJ208" s="243"/>
      <c r="MK208" s="243"/>
      <c r="ML208" s="243"/>
      <c r="MM208" s="243"/>
      <c r="MN208" s="243"/>
      <c r="MO208" s="243"/>
      <c r="MP208" s="243"/>
      <c r="MQ208" s="243"/>
      <c r="MR208" s="243"/>
      <c r="MS208" s="243"/>
      <c r="MT208" s="243"/>
      <c r="MU208" s="243"/>
      <c r="MV208" s="243"/>
      <c r="MW208" s="243"/>
      <c r="MX208" s="243"/>
      <c r="MY208" s="243"/>
      <c r="MZ208" s="243"/>
      <c r="NA208" s="243"/>
      <c r="NB208" s="243"/>
      <c r="NC208" s="243"/>
      <c r="ND208" s="243"/>
      <c r="NE208" s="243"/>
      <c r="NF208" s="243"/>
      <c r="NG208" s="243"/>
      <c r="NH208" s="243"/>
      <c r="NI208" s="243"/>
      <c r="NJ208" s="243"/>
      <c r="NK208" s="243"/>
      <c r="NL208" s="243"/>
      <c r="NM208" s="243"/>
      <c r="NN208" s="243"/>
      <c r="NO208" s="243"/>
      <c r="NP208" s="243"/>
      <c r="NQ208" s="243"/>
      <c r="NR208" s="243"/>
      <c r="NS208" s="243"/>
      <c r="NT208" s="243"/>
      <c r="NU208" s="243"/>
      <c r="NV208" s="243"/>
      <c r="NW208" s="243"/>
      <c r="NX208" s="243"/>
      <c r="NY208" s="243"/>
      <c r="NZ208" s="243"/>
      <c r="OA208" s="243"/>
      <c r="OB208" s="243"/>
      <c r="OC208" s="243"/>
      <c r="OD208" s="243"/>
      <c r="OE208" s="243"/>
      <c r="OF208" s="243"/>
      <c r="OG208" s="243"/>
      <c r="OH208" s="243"/>
      <c r="OI208" s="243"/>
      <c r="OJ208" s="243"/>
      <c r="OK208" s="243"/>
      <c r="OL208" s="243"/>
      <c r="OM208" s="243"/>
      <c r="ON208" s="243"/>
      <c r="OO208" s="243"/>
      <c r="OP208" s="243"/>
      <c r="OQ208" s="243"/>
      <c r="OR208" s="243"/>
      <c r="OS208" s="243"/>
      <c r="OT208" s="243"/>
      <c r="OU208" s="243"/>
      <c r="OV208" s="243"/>
      <c r="OW208" s="243"/>
      <c r="OX208" s="243"/>
      <c r="OY208" s="243"/>
      <c r="OZ208" s="243"/>
      <c r="PA208" s="243"/>
      <c r="PB208" s="243"/>
      <c r="PC208" s="243"/>
      <c r="PD208" s="243"/>
      <c r="PE208" s="243"/>
      <c r="PF208" s="243"/>
      <c r="PG208" s="243"/>
      <c r="PH208" s="243"/>
      <c r="PI208" s="243"/>
      <c r="PJ208" s="243"/>
      <c r="PK208" s="243"/>
      <c r="PL208" s="243"/>
      <c r="PM208" s="243"/>
      <c r="PN208" s="243"/>
      <c r="PO208" s="243"/>
      <c r="PP208" s="243"/>
      <c r="PQ208" s="243"/>
      <c r="PR208" s="243"/>
      <c r="PS208" s="243"/>
      <c r="PT208" s="243"/>
      <c r="PU208" s="243"/>
      <c r="PV208" s="243"/>
      <c r="PW208" s="243"/>
      <c r="PX208" s="243"/>
      <c r="PY208" s="243"/>
      <c r="PZ208" s="243"/>
      <c r="QA208" s="243"/>
      <c r="QB208" s="243"/>
      <c r="QC208" s="243"/>
      <c r="QD208" s="243"/>
      <c r="QE208" s="243"/>
      <c r="QF208" s="243"/>
      <c r="QG208" s="243"/>
      <c r="QH208" s="243"/>
      <c r="QI208" s="243"/>
      <c r="QJ208" s="243"/>
      <c r="QK208" s="243"/>
      <c r="QL208" s="243"/>
      <c r="QM208" s="243"/>
      <c r="QN208" s="243"/>
      <c r="QO208" s="243"/>
      <c r="QP208" s="243"/>
      <c r="QQ208" s="243"/>
      <c r="QR208" s="243"/>
      <c r="QS208" s="243"/>
      <c r="QT208" s="243"/>
      <c r="QU208" s="243"/>
      <c r="QV208" s="243"/>
      <c r="QW208" s="243"/>
      <c r="QX208" s="243"/>
      <c r="QY208" s="243"/>
      <c r="QZ208" s="243"/>
      <c r="RA208" s="243"/>
      <c r="RB208" s="243"/>
      <c r="RC208" s="243"/>
      <c r="RD208" s="243"/>
      <c r="RE208" s="243"/>
      <c r="RF208" s="243"/>
      <c r="RG208" s="243"/>
      <c r="RH208" s="243"/>
      <c r="RI208" s="243"/>
      <c r="RJ208" s="243"/>
      <c r="RK208" s="243"/>
      <c r="RL208" s="243"/>
      <c r="RM208" s="243"/>
      <c r="RN208" s="243"/>
      <c r="RO208" s="243"/>
      <c r="RP208" s="243"/>
      <c r="RQ208" s="243"/>
      <c r="RR208" s="243"/>
      <c r="RS208" s="243"/>
      <c r="RT208" s="243"/>
      <c r="RU208" s="243"/>
      <c r="RV208" s="243"/>
      <c r="RW208" s="243"/>
      <c r="RX208" s="243"/>
      <c r="RY208" s="243"/>
      <c r="RZ208" s="243"/>
      <c r="SA208" s="243"/>
      <c r="SB208" s="243"/>
      <c r="SC208" s="243"/>
      <c r="SD208" s="243"/>
      <c r="SE208" s="243"/>
      <c r="SF208" s="243"/>
      <c r="SG208" s="243"/>
      <c r="SH208" s="243"/>
      <c r="SI208" s="243"/>
      <c r="SJ208" s="243"/>
      <c r="SK208" s="243"/>
      <c r="SL208" s="243"/>
      <c r="SM208" s="243"/>
      <c r="SN208" s="243"/>
      <c r="SO208" s="243"/>
      <c r="SP208" s="243"/>
      <c r="SQ208" s="243"/>
      <c r="SR208" s="243"/>
      <c r="SS208" s="243"/>
      <c r="ST208" s="243"/>
      <c r="SU208" s="243"/>
      <c r="SV208" s="243"/>
      <c r="SW208" s="243"/>
      <c r="SX208" s="243"/>
      <c r="SY208" s="243"/>
      <c r="SZ208" s="243"/>
      <c r="TA208" s="243"/>
      <c r="TB208" s="243"/>
      <c r="TC208" s="243"/>
      <c r="TD208" s="243"/>
      <c r="TE208" s="243"/>
      <c r="TF208" s="243"/>
      <c r="TG208" s="243"/>
      <c r="TH208" s="243"/>
      <c r="TI208" s="243"/>
      <c r="TJ208" s="243"/>
      <c r="TK208" s="243"/>
      <c r="TL208" s="243"/>
      <c r="TM208" s="243"/>
      <c r="TN208" s="243"/>
      <c r="TO208" s="243"/>
      <c r="TP208" s="243"/>
      <c r="TQ208" s="243"/>
      <c r="TR208" s="243"/>
      <c r="TS208" s="243"/>
      <c r="TT208" s="243"/>
      <c r="TU208" s="243"/>
      <c r="TV208" s="243"/>
      <c r="TW208" s="243"/>
      <c r="TX208" s="243"/>
      <c r="TY208" s="243"/>
      <c r="TZ208" s="243"/>
      <c r="UA208" s="243"/>
      <c r="UB208" s="243"/>
      <c r="UC208" s="243"/>
      <c r="UD208" s="243"/>
      <c r="UE208" s="243"/>
      <c r="UF208" s="243"/>
      <c r="UG208" s="243"/>
      <c r="UH208" s="243"/>
      <c r="UI208" s="243"/>
      <c r="UJ208" s="243"/>
      <c r="UK208" s="243"/>
      <c r="UL208" s="243"/>
      <c r="UM208" s="243"/>
      <c r="UN208" s="243"/>
      <c r="UO208" s="243"/>
      <c r="UP208" s="243"/>
      <c r="UQ208" s="243"/>
      <c r="UR208" s="243"/>
      <c r="US208" s="243"/>
      <c r="UT208" s="243"/>
      <c r="UU208" s="243"/>
      <c r="UV208" s="243"/>
      <c r="UW208" s="243"/>
      <c r="UX208" s="243"/>
      <c r="UY208" s="243"/>
      <c r="UZ208" s="243"/>
      <c r="VA208" s="243"/>
      <c r="VB208" s="243"/>
      <c r="VC208" s="243"/>
      <c r="VD208" s="243"/>
      <c r="VE208" s="243"/>
      <c r="VF208" s="243"/>
      <c r="VG208" s="243"/>
      <c r="VH208" s="243"/>
      <c r="VI208" s="243"/>
      <c r="VJ208" s="243"/>
      <c r="VK208" s="243"/>
      <c r="VL208" s="243"/>
      <c r="VM208" s="243"/>
      <c r="VN208" s="243"/>
      <c r="VO208" s="243"/>
      <c r="VP208" s="243"/>
      <c r="VQ208" s="243"/>
      <c r="VR208" s="243"/>
      <c r="VS208" s="243"/>
      <c r="VT208" s="243"/>
      <c r="VU208" s="243"/>
      <c r="VV208" s="243"/>
      <c r="VW208" s="243"/>
      <c r="VX208" s="243"/>
      <c r="VY208" s="243"/>
      <c r="VZ208" s="243"/>
      <c r="WA208" s="243"/>
      <c r="WB208" s="243"/>
      <c r="WC208" s="243"/>
      <c r="WD208" s="243"/>
      <c r="WE208" s="243"/>
      <c r="WF208" s="243"/>
      <c r="WG208" s="243"/>
      <c r="WH208" s="243"/>
      <c r="WI208" s="243"/>
      <c r="WJ208" s="243"/>
      <c r="WK208" s="243"/>
      <c r="WL208" s="243"/>
      <c r="WM208" s="243"/>
      <c r="WN208" s="243"/>
      <c r="WO208" s="243"/>
      <c r="WP208" s="243"/>
      <c r="WQ208" s="243"/>
      <c r="WR208" s="243"/>
      <c r="WS208" s="243"/>
      <c r="WT208" s="243"/>
      <c r="WU208" s="243"/>
      <c r="WV208" s="243"/>
      <c r="WW208" s="243"/>
      <c r="WX208" s="243"/>
      <c r="WY208" s="243"/>
      <c r="WZ208" s="243"/>
      <c r="XA208" s="243"/>
      <c r="XB208" s="243"/>
      <c r="XC208" s="243"/>
      <c r="XD208" s="243"/>
      <c r="XE208" s="243"/>
      <c r="XF208" s="243"/>
      <c r="XG208" s="243"/>
      <c r="XH208" s="243"/>
      <c r="XI208" s="243"/>
      <c r="XJ208" s="243"/>
      <c r="XK208" s="243"/>
      <c r="XL208" s="243"/>
      <c r="XM208" s="243"/>
      <c r="XN208" s="243"/>
      <c r="XO208" s="243"/>
      <c r="XP208" s="243"/>
      <c r="XQ208" s="243"/>
      <c r="XR208" s="243"/>
      <c r="XS208" s="243"/>
      <c r="XT208" s="243"/>
      <c r="XU208" s="243"/>
      <c r="XV208" s="243"/>
      <c r="XW208" s="243"/>
      <c r="XX208" s="243"/>
      <c r="XY208" s="243"/>
      <c r="XZ208" s="243"/>
      <c r="YA208" s="243"/>
      <c r="YB208" s="243"/>
      <c r="YC208" s="243"/>
      <c r="YD208" s="243"/>
      <c r="YE208" s="243"/>
      <c r="YF208" s="243"/>
      <c r="YG208" s="243"/>
      <c r="YH208" s="243"/>
      <c r="YI208" s="243"/>
      <c r="YJ208" s="243"/>
      <c r="YK208" s="243"/>
      <c r="YL208" s="243"/>
      <c r="YM208" s="243"/>
      <c r="YN208" s="243"/>
      <c r="YO208" s="243"/>
      <c r="YP208" s="243"/>
      <c r="YQ208" s="243"/>
      <c r="YR208" s="243"/>
      <c r="YS208" s="243"/>
      <c r="YT208" s="243"/>
      <c r="YU208" s="243"/>
      <c r="YV208" s="243"/>
      <c r="YW208" s="243"/>
      <c r="YX208" s="243"/>
      <c r="YY208" s="243"/>
      <c r="YZ208" s="243"/>
      <c r="ZA208" s="243"/>
      <c r="ZB208" s="243"/>
      <c r="ZC208" s="243"/>
      <c r="ZD208" s="243"/>
      <c r="ZE208" s="243"/>
      <c r="ZF208" s="243"/>
      <c r="ZG208" s="243"/>
      <c r="ZH208" s="243"/>
      <c r="ZI208" s="243"/>
      <c r="ZJ208" s="243"/>
      <c r="ZK208" s="243"/>
      <c r="ZL208" s="243"/>
      <c r="ZM208" s="243"/>
      <c r="ZN208" s="243"/>
      <c r="ZO208" s="243"/>
      <c r="ZP208" s="243"/>
      <c r="ZQ208" s="243"/>
      <c r="ZR208" s="243"/>
      <c r="ZS208" s="243"/>
      <c r="ZT208" s="243"/>
      <c r="ZU208" s="243"/>
      <c r="ZV208" s="243"/>
      <c r="ZW208" s="243"/>
      <c r="ZX208" s="243"/>
      <c r="ZY208" s="243"/>
      <c r="ZZ208" s="243"/>
      <c r="AAA208" s="243"/>
      <c r="AAB208" s="243"/>
      <c r="AAC208" s="243"/>
      <c r="AAD208" s="243"/>
      <c r="AAE208" s="243"/>
      <c r="AAF208" s="243"/>
      <c r="AAG208" s="243"/>
      <c r="AAH208" s="243"/>
      <c r="AAI208" s="243"/>
      <c r="AAJ208" s="243"/>
      <c r="AAK208" s="243"/>
      <c r="AAL208" s="243"/>
      <c r="AAM208" s="243"/>
      <c r="AAN208" s="243"/>
      <c r="AAO208" s="243"/>
      <c r="AAP208" s="243"/>
      <c r="AAQ208" s="243"/>
      <c r="AAR208" s="243"/>
      <c r="AAS208" s="243"/>
      <c r="AAT208" s="243"/>
      <c r="AAU208" s="243"/>
      <c r="AAV208" s="243"/>
      <c r="AAW208" s="243"/>
      <c r="AAX208" s="243"/>
      <c r="AAY208" s="243"/>
      <c r="AAZ208" s="243"/>
      <c r="ABA208" s="243"/>
      <c r="ABB208" s="243"/>
      <c r="ABC208" s="243"/>
      <c r="ABD208" s="243"/>
      <c r="ABE208" s="243"/>
      <c r="ABF208" s="243"/>
      <c r="ABG208" s="243"/>
      <c r="ABH208" s="243"/>
      <c r="ABI208" s="243"/>
      <c r="ABJ208" s="243"/>
      <c r="ABK208" s="243"/>
      <c r="ABL208" s="243"/>
      <c r="ABM208" s="243"/>
      <c r="ABN208" s="243"/>
      <c r="ABO208" s="243"/>
      <c r="ABP208" s="243"/>
      <c r="ABQ208" s="243"/>
      <c r="ABR208" s="243"/>
      <c r="ABS208" s="243"/>
      <c r="ABT208" s="243"/>
      <c r="ABU208" s="243"/>
      <c r="ABV208" s="243"/>
      <c r="ABW208" s="243"/>
      <c r="ABX208" s="243"/>
      <c r="ABY208" s="243"/>
      <c r="ABZ208" s="243"/>
      <c r="ACA208" s="243"/>
      <c r="ACB208" s="243"/>
      <c r="ACC208" s="243"/>
      <c r="ACD208" s="243"/>
      <c r="ACE208" s="243"/>
      <c r="ACF208" s="243"/>
      <c r="ACG208" s="243"/>
      <c r="ACH208" s="243"/>
      <c r="ACI208" s="243"/>
      <c r="ACJ208" s="243"/>
      <c r="ACK208" s="243"/>
      <c r="ACL208" s="243"/>
      <c r="ACM208" s="243"/>
      <c r="ACN208" s="243"/>
      <c r="ACO208" s="243"/>
      <c r="ACP208" s="243"/>
      <c r="ACQ208" s="243"/>
      <c r="ACR208" s="243"/>
      <c r="ACS208" s="243"/>
      <c r="ACT208" s="243"/>
      <c r="ACU208" s="243"/>
      <c r="ACV208" s="243"/>
      <c r="ACW208" s="243"/>
      <c r="ACX208" s="243"/>
      <c r="ACY208" s="243"/>
      <c r="ACZ208" s="243"/>
      <c r="ADA208" s="243"/>
      <c r="ADB208" s="243"/>
      <c r="ADC208" s="243"/>
      <c r="ADD208" s="243"/>
      <c r="ADE208" s="243"/>
      <c r="ADF208" s="243"/>
      <c r="ADG208" s="243"/>
      <c r="ADH208" s="243"/>
      <c r="ADI208" s="243"/>
      <c r="ADJ208" s="243"/>
      <c r="ADK208" s="243"/>
      <c r="ADL208" s="243"/>
      <c r="ADM208" s="243"/>
      <c r="ADN208" s="243"/>
      <c r="ADO208" s="243"/>
      <c r="ADP208" s="243"/>
      <c r="ADQ208" s="243"/>
      <c r="ADR208" s="243"/>
      <c r="ADS208" s="243"/>
      <c r="ADT208" s="243"/>
      <c r="ADU208" s="243"/>
      <c r="ADV208" s="243"/>
      <c r="ADW208" s="243"/>
      <c r="ADX208" s="243"/>
      <c r="ADY208" s="243"/>
      <c r="ADZ208" s="243"/>
      <c r="AEA208" s="243"/>
      <c r="AEB208" s="243"/>
      <c r="AEC208" s="243"/>
      <c r="AED208" s="243"/>
      <c r="AEE208" s="243"/>
      <c r="AEF208" s="243"/>
      <c r="AEG208" s="243"/>
      <c r="AEH208" s="243"/>
      <c r="AEI208" s="243"/>
      <c r="AEJ208" s="243"/>
      <c r="AEK208" s="243"/>
      <c r="AEL208" s="243"/>
      <c r="AEM208" s="243"/>
      <c r="AEN208" s="243"/>
      <c r="AEO208" s="243"/>
      <c r="AEP208" s="243"/>
      <c r="AEQ208" s="243"/>
      <c r="AER208" s="243"/>
      <c r="AES208" s="243"/>
      <c r="AET208" s="243"/>
      <c r="AEU208" s="243"/>
      <c r="AEV208" s="243"/>
      <c r="AEW208" s="243"/>
      <c r="AEX208" s="243"/>
      <c r="AEY208" s="243"/>
      <c r="AEZ208" s="243"/>
      <c r="AFA208" s="243"/>
      <c r="AFB208" s="243"/>
      <c r="AFC208" s="243"/>
      <c r="AFD208" s="243"/>
      <c r="AFE208" s="243"/>
      <c r="AFF208" s="243"/>
      <c r="AFG208" s="243"/>
      <c r="AFH208" s="243"/>
      <c r="AFI208" s="243"/>
      <c r="AFJ208" s="243"/>
      <c r="AFK208" s="243"/>
      <c r="AFL208" s="243"/>
      <c r="AFM208" s="243"/>
      <c r="AFN208" s="243"/>
      <c r="AFO208" s="243"/>
      <c r="AFP208" s="243"/>
      <c r="AFQ208" s="243"/>
      <c r="AFR208" s="243"/>
      <c r="AFS208" s="243"/>
      <c r="AFT208" s="243"/>
      <c r="AFU208" s="243"/>
      <c r="AFV208" s="243"/>
      <c r="AFW208" s="243"/>
      <c r="AFX208" s="243"/>
      <c r="AFY208" s="243"/>
      <c r="AFZ208" s="243"/>
      <c r="AGA208" s="243"/>
      <c r="AGB208" s="243"/>
      <c r="AGC208" s="243"/>
      <c r="AGD208" s="243"/>
      <c r="AGE208" s="243"/>
      <c r="AGF208" s="243"/>
      <c r="AGG208" s="243"/>
      <c r="AGH208" s="243"/>
      <c r="AGI208" s="243"/>
      <c r="AGJ208" s="243"/>
      <c r="AGK208" s="243"/>
      <c r="AGL208" s="243"/>
      <c r="AGM208" s="243"/>
      <c r="AGN208" s="243"/>
      <c r="AGO208" s="243"/>
      <c r="AGP208" s="243"/>
      <c r="AGQ208" s="243"/>
      <c r="AGR208" s="243"/>
      <c r="AGS208" s="243"/>
      <c r="AGT208" s="243"/>
      <c r="AGU208" s="243"/>
      <c r="AGV208" s="243"/>
      <c r="AGW208" s="243"/>
      <c r="AGX208" s="243"/>
      <c r="AGY208" s="243"/>
      <c r="AGZ208" s="243"/>
      <c r="AHA208" s="243"/>
      <c r="AHB208" s="243"/>
      <c r="AHC208" s="243"/>
      <c r="AHD208" s="243"/>
      <c r="AHE208" s="243"/>
      <c r="AHF208" s="243"/>
      <c r="AHG208" s="243"/>
      <c r="AHH208" s="243"/>
      <c r="AHI208" s="243"/>
      <c r="AHJ208" s="243"/>
      <c r="AHK208" s="243"/>
      <c r="AHL208" s="243"/>
      <c r="AHM208" s="243"/>
      <c r="AHN208" s="243"/>
      <c r="AHO208" s="243"/>
      <c r="AHP208" s="243"/>
      <c r="AHQ208" s="243"/>
      <c r="AHR208" s="243"/>
      <c r="AHS208" s="243"/>
      <c r="AHT208" s="243"/>
      <c r="AHU208" s="243"/>
      <c r="AHV208" s="243"/>
      <c r="AHW208" s="243"/>
      <c r="AHX208" s="243"/>
      <c r="AHY208" s="243"/>
      <c r="AHZ208" s="243"/>
      <c r="AIA208" s="243"/>
      <c r="AIB208" s="243"/>
      <c r="AIC208" s="243"/>
      <c r="AID208" s="243"/>
      <c r="AIE208" s="243"/>
      <c r="AIF208" s="243"/>
      <c r="AIG208" s="243"/>
      <c r="AIH208" s="243"/>
      <c r="AII208" s="243"/>
      <c r="AIJ208" s="243"/>
      <c r="AIK208" s="243"/>
      <c r="AIL208" s="243"/>
      <c r="AIM208" s="243"/>
      <c r="AIN208" s="243"/>
      <c r="AIO208" s="243"/>
      <c r="AIP208" s="243"/>
      <c r="AIQ208" s="243"/>
      <c r="AIR208" s="243"/>
      <c r="AIS208" s="243"/>
      <c r="AIT208" s="243"/>
      <c r="AIU208" s="243"/>
      <c r="AIV208" s="243"/>
      <c r="AIW208" s="243"/>
      <c r="AIX208" s="243"/>
      <c r="AIY208" s="243"/>
      <c r="AIZ208" s="243"/>
      <c r="AJA208" s="243"/>
      <c r="AJB208" s="243"/>
      <c r="AJC208" s="243"/>
      <c r="AJD208" s="243"/>
      <c r="AJE208" s="243"/>
      <c r="AJF208" s="243"/>
      <c r="AJG208" s="243"/>
      <c r="AJH208" s="243"/>
      <c r="AJI208" s="243"/>
      <c r="AJJ208" s="243"/>
      <c r="AJK208" s="243"/>
      <c r="AJL208" s="243"/>
      <c r="AJM208" s="243"/>
      <c r="AJN208" s="243"/>
      <c r="AJO208" s="243"/>
      <c r="AJP208" s="243"/>
      <c r="AJQ208" s="243"/>
      <c r="AJR208" s="243"/>
      <c r="AJS208" s="243"/>
      <c r="AJT208" s="243"/>
      <c r="AJU208" s="243"/>
      <c r="AJV208" s="243"/>
      <c r="AJW208" s="243"/>
      <c r="AJX208" s="243"/>
      <c r="AJY208" s="243"/>
      <c r="AJZ208" s="243"/>
      <c r="AKA208" s="243"/>
      <c r="AKB208" s="243"/>
      <c r="AKC208" s="243"/>
      <c r="AKD208" s="243"/>
      <c r="AKE208" s="243"/>
      <c r="AKF208" s="243"/>
      <c r="AKG208" s="243"/>
      <c r="AKH208" s="243"/>
      <c r="AKI208" s="243"/>
      <c r="AKJ208" s="243"/>
      <c r="AKK208" s="243"/>
      <c r="AKL208" s="243"/>
      <c r="AKM208" s="243"/>
      <c r="AKN208" s="243"/>
      <c r="AKO208" s="243"/>
      <c r="AKP208" s="243"/>
      <c r="AKQ208" s="243"/>
      <c r="AKR208" s="243"/>
      <c r="AKS208" s="243"/>
      <c r="AKT208" s="243"/>
      <c r="AKU208" s="243"/>
      <c r="AKV208" s="243"/>
      <c r="AKW208" s="243"/>
      <c r="AKX208" s="243"/>
      <c r="AKY208" s="243"/>
      <c r="AKZ208" s="243"/>
      <c r="ALA208" s="243"/>
      <c r="ALB208" s="243"/>
      <c r="ALC208" s="243"/>
      <c r="ALD208" s="243"/>
      <c r="ALE208" s="243"/>
      <c r="ALF208" s="243"/>
      <c r="ALG208" s="243"/>
      <c r="ALH208" s="243"/>
      <c r="ALI208" s="243"/>
      <c r="ALJ208" s="243"/>
      <c r="ALK208" s="243"/>
      <c r="ALL208" s="243"/>
      <c r="ALM208" s="243"/>
      <c r="ALN208" s="243"/>
      <c r="ALO208" s="243"/>
      <c r="ALP208" s="243"/>
      <c r="ALQ208" s="243"/>
      <c r="ALR208" s="243"/>
      <c r="ALS208" s="243"/>
      <c r="ALT208" s="243"/>
      <c r="ALU208" s="243"/>
      <c r="ALV208" s="243"/>
      <c r="ALW208" s="243"/>
      <c r="ALX208" s="243"/>
      <c r="ALY208" s="243"/>
      <c r="ALZ208" s="243"/>
      <c r="AMA208" s="243"/>
      <c r="AMB208" s="243"/>
      <c r="AMC208" s="243"/>
      <c r="AMD208" s="243"/>
      <c r="AME208" s="243"/>
      <c r="AMF208" s="243"/>
      <c r="AMG208" s="243"/>
      <c r="AMH208" s="243"/>
      <c r="AMI208" s="244"/>
      <c r="AMJ208" s="244"/>
    </row>
    <row r="209" spans="1:1024">
      <c r="A209" s="911"/>
      <c r="B209" s="470">
        <v>13970</v>
      </c>
      <c r="C209" s="477">
        <v>0.08</v>
      </c>
      <c r="D209" s="472" t="s">
        <v>139</v>
      </c>
      <c r="E209" s="473">
        <v>4000000</v>
      </c>
      <c r="F209" s="477">
        <v>0.1</v>
      </c>
      <c r="G209" s="475">
        <f t="shared" si="6"/>
        <v>400000</v>
      </c>
      <c r="H209" s="476" t="s">
        <v>47</v>
      </c>
      <c r="I209" s="476" t="s">
        <v>138</v>
      </c>
      <c r="J209" s="476" t="s">
        <v>125</v>
      </c>
      <c r="K209" s="476" t="s">
        <v>123</v>
      </c>
      <c r="L209" s="476" t="s">
        <v>125</v>
      </c>
      <c r="M209" s="479"/>
      <c r="N209" s="479"/>
      <c r="O209" s="480"/>
      <c r="P209" s="480"/>
      <c r="Q209" s="480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243"/>
      <c r="AR209" s="243"/>
      <c r="AS209" s="243"/>
      <c r="AT209" s="243"/>
      <c r="AU209" s="243"/>
      <c r="AV209" s="243"/>
      <c r="AW209" s="243"/>
      <c r="AX209" s="243"/>
      <c r="AY209" s="243"/>
      <c r="AZ209" s="243"/>
      <c r="BA209" s="243"/>
      <c r="BB209" s="243"/>
      <c r="BC209" s="243"/>
      <c r="BD209" s="243"/>
      <c r="BE209" s="243"/>
      <c r="BF209" s="243"/>
      <c r="BG209" s="243"/>
      <c r="BH209" s="243"/>
      <c r="BI209" s="243"/>
      <c r="BJ209" s="243"/>
      <c r="BK209" s="243"/>
      <c r="BL209" s="243"/>
      <c r="BM209" s="243"/>
      <c r="BN209" s="243"/>
      <c r="BO209" s="243"/>
      <c r="BP209" s="243"/>
      <c r="BQ209" s="243"/>
      <c r="BR209" s="243"/>
      <c r="BS209" s="243"/>
      <c r="BT209" s="243"/>
      <c r="BU209" s="243"/>
      <c r="BV209" s="243"/>
      <c r="BW209" s="243"/>
      <c r="BX209" s="243"/>
      <c r="BY209" s="243"/>
      <c r="BZ209" s="243"/>
      <c r="CA209" s="243"/>
      <c r="CB209" s="243"/>
      <c r="CC209" s="243"/>
      <c r="CD209" s="243"/>
      <c r="CE209" s="243"/>
      <c r="CF209" s="243"/>
      <c r="CG209" s="243"/>
      <c r="CH209" s="243"/>
      <c r="CI209" s="243"/>
      <c r="CJ209" s="243"/>
      <c r="CK209" s="243"/>
      <c r="CL209" s="243"/>
      <c r="CM209" s="243"/>
      <c r="CN209" s="243"/>
      <c r="CO209" s="243"/>
      <c r="CP209" s="243"/>
      <c r="CQ209" s="243"/>
      <c r="CR209" s="243"/>
      <c r="CS209" s="243"/>
      <c r="CT209" s="243"/>
      <c r="CU209" s="243"/>
      <c r="CV209" s="243"/>
      <c r="CW209" s="243"/>
      <c r="CX209" s="243"/>
      <c r="CY209" s="243"/>
      <c r="CZ209" s="243"/>
      <c r="DA209" s="243"/>
      <c r="DB209" s="243"/>
      <c r="DC209" s="243"/>
      <c r="DD209" s="243"/>
      <c r="DE209" s="243"/>
      <c r="DF209" s="243"/>
      <c r="DG209" s="243"/>
      <c r="DH209" s="243"/>
      <c r="DI209" s="243"/>
      <c r="DJ209" s="243"/>
      <c r="DK209" s="243"/>
      <c r="DL209" s="243"/>
      <c r="DM209" s="243"/>
      <c r="DN209" s="243"/>
      <c r="DO209" s="243"/>
      <c r="DP209" s="243"/>
      <c r="DQ209" s="243"/>
      <c r="DR209" s="243"/>
      <c r="DS209" s="243"/>
      <c r="DT209" s="243"/>
      <c r="DU209" s="243"/>
      <c r="DV209" s="243"/>
      <c r="DW209" s="243"/>
      <c r="DX209" s="243"/>
      <c r="DY209" s="243"/>
      <c r="DZ209" s="243"/>
      <c r="EA209" s="243"/>
      <c r="EB209" s="243"/>
      <c r="EC209" s="243"/>
      <c r="ED209" s="243"/>
      <c r="EE209" s="243"/>
      <c r="EF209" s="243"/>
      <c r="EG209" s="243"/>
      <c r="EH209" s="243"/>
      <c r="EI209" s="243"/>
      <c r="EJ209" s="243"/>
      <c r="EK209" s="243"/>
      <c r="EL209" s="243"/>
      <c r="EM209" s="243"/>
      <c r="EN209" s="243"/>
      <c r="EO209" s="243"/>
      <c r="EP209" s="243"/>
      <c r="EQ209" s="243"/>
      <c r="ER209" s="243"/>
      <c r="ES209" s="243"/>
      <c r="ET209" s="243"/>
      <c r="EU209" s="243"/>
      <c r="EV209" s="243"/>
      <c r="EW209" s="243"/>
      <c r="EX209" s="243"/>
      <c r="EY209" s="243"/>
      <c r="EZ209" s="243"/>
      <c r="FA209" s="243"/>
      <c r="FB209" s="243"/>
      <c r="FC209" s="243"/>
      <c r="FD209" s="243"/>
      <c r="FE209" s="243"/>
      <c r="FF209" s="243"/>
      <c r="FG209" s="243"/>
      <c r="FH209" s="243"/>
      <c r="FI209" s="243"/>
      <c r="FJ209" s="243"/>
      <c r="FK209" s="243"/>
      <c r="FL209" s="243"/>
      <c r="FM209" s="243"/>
      <c r="FN209" s="243"/>
      <c r="FO209" s="243"/>
      <c r="FP209" s="243"/>
      <c r="FQ209" s="243"/>
      <c r="FR209" s="243"/>
      <c r="FS209" s="243"/>
      <c r="FT209" s="243"/>
      <c r="FU209" s="243"/>
      <c r="FV209" s="243"/>
      <c r="FW209" s="243"/>
      <c r="FX209" s="243"/>
      <c r="FY209" s="243"/>
      <c r="FZ209" s="243"/>
      <c r="GA209" s="243"/>
      <c r="GB209" s="243"/>
      <c r="GC209" s="243"/>
      <c r="GD209" s="243"/>
      <c r="GE209" s="243"/>
      <c r="GF209" s="243"/>
      <c r="GG209" s="243"/>
      <c r="GH209" s="243"/>
      <c r="GI209" s="243"/>
      <c r="GJ209" s="243"/>
      <c r="GK209" s="243"/>
      <c r="GL209" s="243"/>
      <c r="GM209" s="243"/>
      <c r="GN209" s="243"/>
      <c r="GO209" s="243"/>
      <c r="GP209" s="243"/>
      <c r="GQ209" s="243"/>
      <c r="GR209" s="243"/>
      <c r="GS209" s="243"/>
      <c r="GT209" s="243"/>
      <c r="GU209" s="243"/>
      <c r="GV209" s="243"/>
      <c r="GW209" s="243"/>
      <c r="GX209" s="243"/>
      <c r="GY209" s="243"/>
      <c r="GZ209" s="243"/>
      <c r="HA209" s="243"/>
      <c r="HB209" s="243"/>
      <c r="HC209" s="243"/>
      <c r="HD209" s="243"/>
      <c r="HE209" s="243"/>
      <c r="HF209" s="243"/>
      <c r="HG209" s="243"/>
      <c r="HH209" s="243"/>
      <c r="HI209" s="243"/>
      <c r="HJ209" s="243"/>
      <c r="HK209" s="243"/>
      <c r="HL209" s="243"/>
      <c r="HM209" s="243"/>
      <c r="HN209" s="243"/>
      <c r="HO209" s="243"/>
      <c r="HP209" s="243"/>
      <c r="HQ209" s="243"/>
      <c r="HR209" s="243"/>
      <c r="HS209" s="243"/>
      <c r="HT209" s="243"/>
      <c r="HU209" s="243"/>
      <c r="HV209" s="243"/>
      <c r="HW209" s="243"/>
      <c r="HX209" s="243"/>
      <c r="HY209" s="243"/>
      <c r="HZ209" s="243"/>
      <c r="IA209" s="243"/>
      <c r="IB209" s="243"/>
      <c r="IC209" s="243"/>
      <c r="ID209" s="243"/>
      <c r="IE209" s="243"/>
      <c r="IF209" s="243"/>
      <c r="IG209" s="243"/>
      <c r="IH209" s="243"/>
      <c r="II209" s="243"/>
      <c r="IJ209" s="243"/>
      <c r="IK209" s="243"/>
      <c r="IL209" s="243"/>
      <c r="IM209" s="243"/>
      <c r="IN209" s="243"/>
      <c r="IO209" s="243"/>
      <c r="IP209" s="243"/>
      <c r="IQ209" s="243"/>
      <c r="IR209" s="243"/>
      <c r="IS209" s="243"/>
      <c r="IT209" s="243"/>
      <c r="IU209" s="243"/>
      <c r="IV209" s="243"/>
      <c r="IW209" s="243"/>
      <c r="IX209" s="243"/>
      <c r="IY209" s="243"/>
      <c r="IZ209" s="243"/>
      <c r="JA209" s="243"/>
      <c r="JB209" s="243"/>
      <c r="JC209" s="243"/>
      <c r="JD209" s="243"/>
      <c r="JE209" s="243"/>
      <c r="JF209" s="243"/>
      <c r="JG209" s="243"/>
      <c r="JH209" s="243"/>
      <c r="JI209" s="243"/>
      <c r="JJ209" s="243"/>
      <c r="JK209" s="243"/>
      <c r="JL209" s="243"/>
      <c r="JM209" s="243"/>
      <c r="JN209" s="243"/>
      <c r="JO209" s="243"/>
      <c r="JP209" s="243"/>
      <c r="JQ209" s="243"/>
      <c r="JR209" s="243"/>
      <c r="JS209" s="243"/>
      <c r="JT209" s="243"/>
      <c r="JU209" s="243"/>
      <c r="JV209" s="243"/>
      <c r="JW209" s="243"/>
      <c r="JX209" s="243"/>
      <c r="JY209" s="243"/>
      <c r="JZ209" s="243"/>
      <c r="KA209" s="243"/>
      <c r="KB209" s="243"/>
      <c r="KC209" s="243"/>
      <c r="KD209" s="243"/>
      <c r="KE209" s="243"/>
      <c r="KF209" s="243"/>
      <c r="KG209" s="243"/>
      <c r="KH209" s="243"/>
      <c r="KI209" s="243"/>
      <c r="KJ209" s="243"/>
      <c r="KK209" s="243"/>
      <c r="KL209" s="243"/>
      <c r="KM209" s="243"/>
      <c r="KN209" s="243"/>
      <c r="KO209" s="243"/>
      <c r="KP209" s="243"/>
      <c r="KQ209" s="243"/>
      <c r="KR209" s="243"/>
      <c r="KS209" s="243"/>
      <c r="KT209" s="243"/>
      <c r="KU209" s="243"/>
      <c r="KV209" s="243"/>
      <c r="KW209" s="243"/>
      <c r="KX209" s="243"/>
      <c r="KY209" s="243"/>
      <c r="KZ209" s="243"/>
      <c r="LA209" s="243"/>
      <c r="LB209" s="243"/>
      <c r="LC209" s="243"/>
      <c r="LD209" s="243"/>
      <c r="LE209" s="243"/>
      <c r="LF209" s="243"/>
      <c r="LG209" s="243"/>
      <c r="LH209" s="243"/>
      <c r="LI209" s="243"/>
      <c r="LJ209" s="243"/>
      <c r="LK209" s="243"/>
      <c r="LL209" s="243"/>
      <c r="LM209" s="243"/>
      <c r="LN209" s="243"/>
      <c r="LO209" s="243"/>
      <c r="LP209" s="243"/>
      <c r="LQ209" s="243"/>
      <c r="LR209" s="243"/>
      <c r="LS209" s="243"/>
      <c r="LT209" s="243"/>
      <c r="LU209" s="243"/>
      <c r="LV209" s="243"/>
      <c r="LW209" s="243"/>
      <c r="LX209" s="243"/>
      <c r="LY209" s="243"/>
      <c r="LZ209" s="243"/>
      <c r="MA209" s="243"/>
      <c r="MB209" s="243"/>
      <c r="MC209" s="243"/>
      <c r="MD209" s="243"/>
      <c r="ME209" s="243"/>
      <c r="MF209" s="243"/>
      <c r="MG209" s="243"/>
      <c r="MH209" s="243"/>
      <c r="MI209" s="243"/>
      <c r="MJ209" s="243"/>
      <c r="MK209" s="243"/>
      <c r="ML209" s="243"/>
      <c r="MM209" s="243"/>
      <c r="MN209" s="243"/>
      <c r="MO209" s="243"/>
      <c r="MP209" s="243"/>
      <c r="MQ209" s="243"/>
      <c r="MR209" s="243"/>
      <c r="MS209" s="243"/>
      <c r="MT209" s="243"/>
      <c r="MU209" s="243"/>
      <c r="MV209" s="243"/>
      <c r="MW209" s="243"/>
      <c r="MX209" s="243"/>
      <c r="MY209" s="243"/>
      <c r="MZ209" s="243"/>
      <c r="NA209" s="243"/>
      <c r="NB209" s="243"/>
      <c r="NC209" s="243"/>
      <c r="ND209" s="243"/>
      <c r="NE209" s="243"/>
      <c r="NF209" s="243"/>
      <c r="NG209" s="243"/>
      <c r="NH209" s="243"/>
      <c r="NI209" s="243"/>
      <c r="NJ209" s="243"/>
      <c r="NK209" s="243"/>
      <c r="NL209" s="243"/>
      <c r="NM209" s="243"/>
      <c r="NN209" s="243"/>
      <c r="NO209" s="243"/>
      <c r="NP209" s="243"/>
      <c r="NQ209" s="243"/>
      <c r="NR209" s="243"/>
      <c r="NS209" s="243"/>
      <c r="NT209" s="243"/>
      <c r="NU209" s="243"/>
      <c r="NV209" s="243"/>
      <c r="NW209" s="243"/>
      <c r="NX209" s="243"/>
      <c r="NY209" s="243"/>
      <c r="NZ209" s="243"/>
      <c r="OA209" s="243"/>
      <c r="OB209" s="243"/>
      <c r="OC209" s="243"/>
      <c r="OD209" s="243"/>
      <c r="OE209" s="243"/>
      <c r="OF209" s="243"/>
      <c r="OG209" s="243"/>
      <c r="OH209" s="243"/>
      <c r="OI209" s="243"/>
      <c r="OJ209" s="243"/>
      <c r="OK209" s="243"/>
      <c r="OL209" s="243"/>
      <c r="OM209" s="243"/>
      <c r="ON209" s="243"/>
      <c r="OO209" s="243"/>
      <c r="OP209" s="243"/>
      <c r="OQ209" s="243"/>
      <c r="OR209" s="243"/>
      <c r="OS209" s="243"/>
      <c r="OT209" s="243"/>
      <c r="OU209" s="243"/>
      <c r="OV209" s="243"/>
      <c r="OW209" s="243"/>
      <c r="OX209" s="243"/>
      <c r="OY209" s="243"/>
      <c r="OZ209" s="243"/>
      <c r="PA209" s="243"/>
      <c r="PB209" s="243"/>
      <c r="PC209" s="243"/>
      <c r="PD209" s="243"/>
      <c r="PE209" s="243"/>
      <c r="PF209" s="243"/>
      <c r="PG209" s="243"/>
      <c r="PH209" s="243"/>
      <c r="PI209" s="243"/>
      <c r="PJ209" s="243"/>
      <c r="PK209" s="243"/>
      <c r="PL209" s="243"/>
      <c r="PM209" s="243"/>
      <c r="PN209" s="243"/>
      <c r="PO209" s="243"/>
      <c r="PP209" s="243"/>
      <c r="PQ209" s="243"/>
      <c r="PR209" s="243"/>
      <c r="PS209" s="243"/>
      <c r="PT209" s="243"/>
      <c r="PU209" s="243"/>
      <c r="PV209" s="243"/>
      <c r="PW209" s="243"/>
      <c r="PX209" s="243"/>
      <c r="PY209" s="243"/>
      <c r="PZ209" s="243"/>
      <c r="QA209" s="243"/>
      <c r="QB209" s="243"/>
      <c r="QC209" s="243"/>
      <c r="QD209" s="243"/>
      <c r="QE209" s="243"/>
      <c r="QF209" s="243"/>
      <c r="QG209" s="243"/>
      <c r="QH209" s="243"/>
      <c r="QI209" s="243"/>
      <c r="QJ209" s="243"/>
      <c r="QK209" s="243"/>
      <c r="QL209" s="243"/>
      <c r="QM209" s="243"/>
      <c r="QN209" s="243"/>
      <c r="QO209" s="243"/>
      <c r="QP209" s="243"/>
      <c r="QQ209" s="243"/>
      <c r="QR209" s="243"/>
      <c r="QS209" s="243"/>
      <c r="QT209" s="243"/>
      <c r="QU209" s="243"/>
      <c r="QV209" s="243"/>
      <c r="QW209" s="243"/>
      <c r="QX209" s="243"/>
      <c r="QY209" s="243"/>
      <c r="QZ209" s="243"/>
      <c r="RA209" s="243"/>
      <c r="RB209" s="243"/>
      <c r="RC209" s="243"/>
      <c r="RD209" s="243"/>
      <c r="RE209" s="243"/>
      <c r="RF209" s="243"/>
      <c r="RG209" s="243"/>
      <c r="RH209" s="243"/>
      <c r="RI209" s="243"/>
      <c r="RJ209" s="243"/>
      <c r="RK209" s="243"/>
      <c r="RL209" s="243"/>
      <c r="RM209" s="243"/>
      <c r="RN209" s="243"/>
      <c r="RO209" s="243"/>
      <c r="RP209" s="243"/>
      <c r="RQ209" s="243"/>
      <c r="RR209" s="243"/>
      <c r="RS209" s="243"/>
      <c r="RT209" s="243"/>
      <c r="RU209" s="243"/>
      <c r="RV209" s="243"/>
      <c r="RW209" s="243"/>
      <c r="RX209" s="243"/>
      <c r="RY209" s="243"/>
      <c r="RZ209" s="243"/>
      <c r="SA209" s="243"/>
      <c r="SB209" s="243"/>
      <c r="SC209" s="243"/>
      <c r="SD209" s="243"/>
      <c r="SE209" s="243"/>
      <c r="SF209" s="243"/>
      <c r="SG209" s="243"/>
      <c r="SH209" s="243"/>
      <c r="SI209" s="243"/>
      <c r="SJ209" s="243"/>
      <c r="SK209" s="243"/>
      <c r="SL209" s="243"/>
      <c r="SM209" s="243"/>
      <c r="SN209" s="243"/>
      <c r="SO209" s="243"/>
      <c r="SP209" s="243"/>
      <c r="SQ209" s="243"/>
      <c r="SR209" s="243"/>
      <c r="SS209" s="243"/>
      <c r="ST209" s="243"/>
      <c r="SU209" s="243"/>
      <c r="SV209" s="243"/>
      <c r="SW209" s="243"/>
      <c r="SX209" s="243"/>
      <c r="SY209" s="243"/>
      <c r="SZ209" s="243"/>
      <c r="TA209" s="243"/>
      <c r="TB209" s="243"/>
      <c r="TC209" s="243"/>
      <c r="TD209" s="243"/>
      <c r="TE209" s="243"/>
      <c r="TF209" s="243"/>
      <c r="TG209" s="243"/>
      <c r="TH209" s="243"/>
      <c r="TI209" s="243"/>
      <c r="TJ209" s="243"/>
      <c r="TK209" s="243"/>
      <c r="TL209" s="243"/>
      <c r="TM209" s="243"/>
      <c r="TN209" s="243"/>
      <c r="TO209" s="243"/>
      <c r="TP209" s="243"/>
      <c r="TQ209" s="243"/>
      <c r="TR209" s="243"/>
      <c r="TS209" s="243"/>
      <c r="TT209" s="243"/>
      <c r="TU209" s="243"/>
      <c r="TV209" s="243"/>
      <c r="TW209" s="243"/>
      <c r="TX209" s="243"/>
      <c r="TY209" s="243"/>
      <c r="TZ209" s="243"/>
      <c r="UA209" s="243"/>
      <c r="UB209" s="243"/>
      <c r="UC209" s="243"/>
      <c r="UD209" s="243"/>
      <c r="UE209" s="243"/>
      <c r="UF209" s="243"/>
      <c r="UG209" s="243"/>
      <c r="UH209" s="243"/>
      <c r="UI209" s="243"/>
      <c r="UJ209" s="243"/>
      <c r="UK209" s="243"/>
      <c r="UL209" s="243"/>
      <c r="UM209" s="243"/>
      <c r="UN209" s="243"/>
      <c r="UO209" s="243"/>
      <c r="UP209" s="243"/>
      <c r="UQ209" s="243"/>
      <c r="UR209" s="243"/>
      <c r="US209" s="243"/>
      <c r="UT209" s="243"/>
      <c r="UU209" s="243"/>
      <c r="UV209" s="243"/>
      <c r="UW209" s="243"/>
      <c r="UX209" s="243"/>
      <c r="UY209" s="243"/>
      <c r="UZ209" s="243"/>
      <c r="VA209" s="243"/>
      <c r="VB209" s="243"/>
      <c r="VC209" s="243"/>
      <c r="VD209" s="243"/>
      <c r="VE209" s="243"/>
      <c r="VF209" s="243"/>
      <c r="VG209" s="243"/>
      <c r="VH209" s="243"/>
      <c r="VI209" s="243"/>
      <c r="VJ209" s="243"/>
      <c r="VK209" s="243"/>
      <c r="VL209" s="243"/>
      <c r="VM209" s="243"/>
      <c r="VN209" s="243"/>
      <c r="VO209" s="243"/>
      <c r="VP209" s="243"/>
      <c r="VQ209" s="243"/>
      <c r="VR209" s="243"/>
      <c r="VS209" s="243"/>
      <c r="VT209" s="243"/>
      <c r="VU209" s="243"/>
      <c r="VV209" s="243"/>
      <c r="VW209" s="243"/>
      <c r="VX209" s="243"/>
      <c r="VY209" s="243"/>
      <c r="VZ209" s="243"/>
      <c r="WA209" s="243"/>
      <c r="WB209" s="243"/>
      <c r="WC209" s="243"/>
      <c r="WD209" s="243"/>
      <c r="WE209" s="243"/>
      <c r="WF209" s="243"/>
      <c r="WG209" s="243"/>
      <c r="WH209" s="243"/>
      <c r="WI209" s="243"/>
      <c r="WJ209" s="243"/>
      <c r="WK209" s="243"/>
      <c r="WL209" s="243"/>
      <c r="WM209" s="243"/>
      <c r="WN209" s="243"/>
      <c r="WO209" s="243"/>
      <c r="WP209" s="243"/>
      <c r="WQ209" s="243"/>
      <c r="WR209" s="243"/>
      <c r="WS209" s="243"/>
      <c r="WT209" s="243"/>
      <c r="WU209" s="243"/>
      <c r="WV209" s="243"/>
      <c r="WW209" s="243"/>
      <c r="WX209" s="243"/>
      <c r="WY209" s="243"/>
      <c r="WZ209" s="243"/>
      <c r="XA209" s="243"/>
      <c r="XB209" s="243"/>
      <c r="XC209" s="243"/>
      <c r="XD209" s="243"/>
      <c r="XE209" s="243"/>
      <c r="XF209" s="243"/>
      <c r="XG209" s="243"/>
      <c r="XH209" s="243"/>
      <c r="XI209" s="243"/>
      <c r="XJ209" s="243"/>
      <c r="XK209" s="243"/>
      <c r="XL209" s="243"/>
      <c r="XM209" s="243"/>
      <c r="XN209" s="243"/>
      <c r="XO209" s="243"/>
      <c r="XP209" s="243"/>
      <c r="XQ209" s="243"/>
      <c r="XR209" s="243"/>
      <c r="XS209" s="243"/>
      <c r="XT209" s="243"/>
      <c r="XU209" s="243"/>
      <c r="XV209" s="243"/>
      <c r="XW209" s="243"/>
      <c r="XX209" s="243"/>
      <c r="XY209" s="243"/>
      <c r="XZ209" s="243"/>
      <c r="YA209" s="243"/>
      <c r="YB209" s="243"/>
      <c r="YC209" s="243"/>
      <c r="YD209" s="243"/>
      <c r="YE209" s="243"/>
      <c r="YF209" s="243"/>
      <c r="YG209" s="243"/>
      <c r="YH209" s="243"/>
      <c r="YI209" s="243"/>
      <c r="YJ209" s="243"/>
      <c r="YK209" s="243"/>
      <c r="YL209" s="243"/>
      <c r="YM209" s="243"/>
      <c r="YN209" s="243"/>
      <c r="YO209" s="243"/>
      <c r="YP209" s="243"/>
      <c r="YQ209" s="243"/>
      <c r="YR209" s="243"/>
      <c r="YS209" s="243"/>
      <c r="YT209" s="243"/>
      <c r="YU209" s="243"/>
      <c r="YV209" s="243"/>
      <c r="YW209" s="243"/>
      <c r="YX209" s="243"/>
      <c r="YY209" s="243"/>
      <c r="YZ209" s="243"/>
      <c r="ZA209" s="243"/>
      <c r="ZB209" s="243"/>
      <c r="ZC209" s="243"/>
      <c r="ZD209" s="243"/>
      <c r="ZE209" s="243"/>
      <c r="ZF209" s="243"/>
      <c r="ZG209" s="243"/>
      <c r="ZH209" s="243"/>
      <c r="ZI209" s="243"/>
      <c r="ZJ209" s="243"/>
      <c r="ZK209" s="243"/>
      <c r="ZL209" s="243"/>
      <c r="ZM209" s="243"/>
      <c r="ZN209" s="243"/>
      <c r="ZO209" s="243"/>
      <c r="ZP209" s="243"/>
      <c r="ZQ209" s="243"/>
      <c r="ZR209" s="243"/>
      <c r="ZS209" s="243"/>
      <c r="ZT209" s="243"/>
      <c r="ZU209" s="243"/>
      <c r="ZV209" s="243"/>
      <c r="ZW209" s="243"/>
      <c r="ZX209" s="243"/>
      <c r="ZY209" s="243"/>
      <c r="ZZ209" s="243"/>
      <c r="AAA209" s="243"/>
      <c r="AAB209" s="243"/>
      <c r="AAC209" s="243"/>
      <c r="AAD209" s="243"/>
      <c r="AAE209" s="243"/>
      <c r="AAF209" s="243"/>
      <c r="AAG209" s="243"/>
      <c r="AAH209" s="243"/>
      <c r="AAI209" s="243"/>
      <c r="AAJ209" s="243"/>
      <c r="AAK209" s="243"/>
      <c r="AAL209" s="243"/>
      <c r="AAM209" s="243"/>
      <c r="AAN209" s="243"/>
      <c r="AAO209" s="243"/>
      <c r="AAP209" s="243"/>
      <c r="AAQ209" s="243"/>
      <c r="AAR209" s="243"/>
      <c r="AAS209" s="243"/>
      <c r="AAT209" s="243"/>
      <c r="AAU209" s="243"/>
      <c r="AAV209" s="243"/>
      <c r="AAW209" s="243"/>
      <c r="AAX209" s="243"/>
      <c r="AAY209" s="243"/>
      <c r="AAZ209" s="243"/>
      <c r="ABA209" s="243"/>
      <c r="ABB209" s="243"/>
      <c r="ABC209" s="243"/>
      <c r="ABD209" s="243"/>
      <c r="ABE209" s="243"/>
      <c r="ABF209" s="243"/>
      <c r="ABG209" s="243"/>
      <c r="ABH209" s="243"/>
      <c r="ABI209" s="243"/>
      <c r="ABJ209" s="243"/>
      <c r="ABK209" s="243"/>
      <c r="ABL209" s="243"/>
      <c r="ABM209" s="243"/>
      <c r="ABN209" s="243"/>
      <c r="ABO209" s="243"/>
      <c r="ABP209" s="243"/>
      <c r="ABQ209" s="243"/>
      <c r="ABR209" s="243"/>
      <c r="ABS209" s="243"/>
      <c r="ABT209" s="243"/>
      <c r="ABU209" s="243"/>
      <c r="ABV209" s="243"/>
      <c r="ABW209" s="243"/>
      <c r="ABX209" s="243"/>
      <c r="ABY209" s="243"/>
      <c r="ABZ209" s="243"/>
      <c r="ACA209" s="243"/>
      <c r="ACB209" s="243"/>
      <c r="ACC209" s="243"/>
      <c r="ACD209" s="243"/>
      <c r="ACE209" s="243"/>
      <c r="ACF209" s="243"/>
      <c r="ACG209" s="243"/>
      <c r="ACH209" s="243"/>
      <c r="ACI209" s="243"/>
      <c r="ACJ209" s="243"/>
      <c r="ACK209" s="243"/>
      <c r="ACL209" s="243"/>
      <c r="ACM209" s="243"/>
      <c r="ACN209" s="243"/>
      <c r="ACO209" s="243"/>
      <c r="ACP209" s="243"/>
      <c r="ACQ209" s="243"/>
      <c r="ACR209" s="243"/>
      <c r="ACS209" s="243"/>
      <c r="ACT209" s="243"/>
      <c r="ACU209" s="243"/>
      <c r="ACV209" s="243"/>
      <c r="ACW209" s="243"/>
      <c r="ACX209" s="243"/>
      <c r="ACY209" s="243"/>
      <c r="ACZ209" s="243"/>
      <c r="ADA209" s="243"/>
      <c r="ADB209" s="243"/>
      <c r="ADC209" s="243"/>
      <c r="ADD209" s="243"/>
      <c r="ADE209" s="243"/>
      <c r="ADF209" s="243"/>
      <c r="ADG209" s="243"/>
      <c r="ADH209" s="243"/>
      <c r="ADI209" s="243"/>
      <c r="ADJ209" s="243"/>
      <c r="ADK209" s="243"/>
      <c r="ADL209" s="243"/>
      <c r="ADM209" s="243"/>
      <c r="ADN209" s="243"/>
      <c r="ADO209" s="243"/>
      <c r="ADP209" s="243"/>
      <c r="ADQ209" s="243"/>
      <c r="ADR209" s="243"/>
      <c r="ADS209" s="243"/>
      <c r="ADT209" s="243"/>
      <c r="ADU209" s="243"/>
      <c r="ADV209" s="243"/>
      <c r="ADW209" s="243"/>
      <c r="ADX209" s="243"/>
      <c r="ADY209" s="243"/>
      <c r="ADZ209" s="243"/>
      <c r="AEA209" s="243"/>
      <c r="AEB209" s="243"/>
      <c r="AEC209" s="243"/>
      <c r="AED209" s="243"/>
      <c r="AEE209" s="243"/>
      <c r="AEF209" s="243"/>
      <c r="AEG209" s="243"/>
      <c r="AEH209" s="243"/>
      <c r="AEI209" s="243"/>
      <c r="AEJ209" s="243"/>
      <c r="AEK209" s="243"/>
      <c r="AEL209" s="243"/>
      <c r="AEM209" s="243"/>
      <c r="AEN209" s="243"/>
      <c r="AEO209" s="243"/>
      <c r="AEP209" s="243"/>
      <c r="AEQ209" s="243"/>
      <c r="AER209" s="243"/>
      <c r="AES209" s="243"/>
      <c r="AET209" s="243"/>
      <c r="AEU209" s="243"/>
      <c r="AEV209" s="243"/>
      <c r="AEW209" s="243"/>
      <c r="AEX209" s="243"/>
      <c r="AEY209" s="243"/>
      <c r="AEZ209" s="243"/>
      <c r="AFA209" s="243"/>
      <c r="AFB209" s="243"/>
      <c r="AFC209" s="243"/>
      <c r="AFD209" s="243"/>
      <c r="AFE209" s="243"/>
      <c r="AFF209" s="243"/>
      <c r="AFG209" s="243"/>
      <c r="AFH209" s="243"/>
      <c r="AFI209" s="243"/>
      <c r="AFJ209" s="243"/>
      <c r="AFK209" s="243"/>
      <c r="AFL209" s="243"/>
      <c r="AFM209" s="243"/>
      <c r="AFN209" s="243"/>
      <c r="AFO209" s="243"/>
      <c r="AFP209" s="243"/>
      <c r="AFQ209" s="243"/>
      <c r="AFR209" s="243"/>
      <c r="AFS209" s="243"/>
      <c r="AFT209" s="243"/>
      <c r="AFU209" s="243"/>
      <c r="AFV209" s="243"/>
      <c r="AFW209" s="243"/>
      <c r="AFX209" s="243"/>
      <c r="AFY209" s="243"/>
      <c r="AFZ209" s="243"/>
      <c r="AGA209" s="243"/>
      <c r="AGB209" s="243"/>
      <c r="AGC209" s="243"/>
      <c r="AGD209" s="243"/>
      <c r="AGE209" s="243"/>
      <c r="AGF209" s="243"/>
      <c r="AGG209" s="243"/>
      <c r="AGH209" s="243"/>
      <c r="AGI209" s="243"/>
      <c r="AGJ209" s="243"/>
      <c r="AGK209" s="243"/>
      <c r="AGL209" s="243"/>
      <c r="AGM209" s="243"/>
      <c r="AGN209" s="243"/>
      <c r="AGO209" s="243"/>
      <c r="AGP209" s="243"/>
      <c r="AGQ209" s="243"/>
      <c r="AGR209" s="243"/>
      <c r="AGS209" s="243"/>
      <c r="AGT209" s="243"/>
      <c r="AGU209" s="243"/>
      <c r="AGV209" s="243"/>
      <c r="AGW209" s="243"/>
      <c r="AGX209" s="243"/>
      <c r="AGY209" s="243"/>
      <c r="AGZ209" s="243"/>
      <c r="AHA209" s="243"/>
      <c r="AHB209" s="243"/>
      <c r="AHC209" s="243"/>
      <c r="AHD209" s="243"/>
      <c r="AHE209" s="243"/>
      <c r="AHF209" s="243"/>
      <c r="AHG209" s="243"/>
      <c r="AHH209" s="243"/>
      <c r="AHI209" s="243"/>
      <c r="AHJ209" s="243"/>
      <c r="AHK209" s="243"/>
      <c r="AHL209" s="243"/>
      <c r="AHM209" s="243"/>
      <c r="AHN209" s="243"/>
      <c r="AHO209" s="243"/>
      <c r="AHP209" s="243"/>
      <c r="AHQ209" s="243"/>
      <c r="AHR209" s="243"/>
      <c r="AHS209" s="243"/>
      <c r="AHT209" s="243"/>
      <c r="AHU209" s="243"/>
      <c r="AHV209" s="243"/>
      <c r="AHW209" s="243"/>
      <c r="AHX209" s="243"/>
      <c r="AHY209" s="243"/>
      <c r="AHZ209" s="243"/>
      <c r="AIA209" s="243"/>
      <c r="AIB209" s="243"/>
      <c r="AIC209" s="243"/>
      <c r="AID209" s="243"/>
      <c r="AIE209" s="243"/>
      <c r="AIF209" s="243"/>
      <c r="AIG209" s="243"/>
      <c r="AIH209" s="243"/>
      <c r="AII209" s="243"/>
      <c r="AIJ209" s="243"/>
      <c r="AIK209" s="243"/>
      <c r="AIL209" s="243"/>
      <c r="AIM209" s="243"/>
      <c r="AIN209" s="243"/>
      <c r="AIO209" s="243"/>
      <c r="AIP209" s="243"/>
      <c r="AIQ209" s="243"/>
      <c r="AIR209" s="243"/>
      <c r="AIS209" s="243"/>
      <c r="AIT209" s="243"/>
      <c r="AIU209" s="243"/>
      <c r="AIV209" s="243"/>
      <c r="AIW209" s="243"/>
      <c r="AIX209" s="243"/>
      <c r="AIY209" s="243"/>
      <c r="AIZ209" s="243"/>
      <c r="AJA209" s="243"/>
      <c r="AJB209" s="243"/>
      <c r="AJC209" s="243"/>
      <c r="AJD209" s="243"/>
      <c r="AJE209" s="243"/>
      <c r="AJF209" s="243"/>
      <c r="AJG209" s="243"/>
      <c r="AJH209" s="243"/>
      <c r="AJI209" s="243"/>
      <c r="AJJ209" s="243"/>
      <c r="AJK209" s="243"/>
      <c r="AJL209" s="243"/>
      <c r="AJM209" s="243"/>
      <c r="AJN209" s="243"/>
      <c r="AJO209" s="243"/>
      <c r="AJP209" s="243"/>
      <c r="AJQ209" s="243"/>
      <c r="AJR209" s="243"/>
      <c r="AJS209" s="243"/>
      <c r="AJT209" s="243"/>
      <c r="AJU209" s="243"/>
      <c r="AJV209" s="243"/>
      <c r="AJW209" s="243"/>
      <c r="AJX209" s="243"/>
      <c r="AJY209" s="243"/>
      <c r="AJZ209" s="243"/>
      <c r="AKA209" s="243"/>
      <c r="AKB209" s="243"/>
      <c r="AKC209" s="243"/>
      <c r="AKD209" s="243"/>
      <c r="AKE209" s="243"/>
      <c r="AKF209" s="243"/>
      <c r="AKG209" s="243"/>
      <c r="AKH209" s="243"/>
      <c r="AKI209" s="243"/>
      <c r="AKJ209" s="243"/>
      <c r="AKK209" s="243"/>
      <c r="AKL209" s="243"/>
      <c r="AKM209" s="243"/>
      <c r="AKN209" s="243"/>
      <c r="AKO209" s="243"/>
      <c r="AKP209" s="243"/>
      <c r="AKQ209" s="243"/>
      <c r="AKR209" s="243"/>
      <c r="AKS209" s="243"/>
      <c r="AKT209" s="243"/>
      <c r="AKU209" s="243"/>
      <c r="AKV209" s="243"/>
      <c r="AKW209" s="243"/>
      <c r="AKX209" s="243"/>
      <c r="AKY209" s="243"/>
      <c r="AKZ209" s="243"/>
      <c r="ALA209" s="243"/>
      <c r="ALB209" s="243"/>
      <c r="ALC209" s="243"/>
      <c r="ALD209" s="243"/>
      <c r="ALE209" s="243"/>
      <c r="ALF209" s="243"/>
      <c r="ALG209" s="243"/>
      <c r="ALH209" s="243"/>
      <c r="ALI209" s="243"/>
      <c r="ALJ209" s="243"/>
      <c r="ALK209" s="243"/>
      <c r="ALL209" s="243"/>
      <c r="ALM209" s="243"/>
      <c r="ALN209" s="243"/>
      <c r="ALO209" s="243"/>
      <c r="ALP209" s="243"/>
      <c r="ALQ209" s="243"/>
      <c r="ALR209" s="243"/>
      <c r="ALS209" s="243"/>
      <c r="ALT209" s="243"/>
      <c r="ALU209" s="243"/>
      <c r="ALV209" s="243"/>
      <c r="ALW209" s="243"/>
      <c r="ALX209" s="243"/>
      <c r="ALY209" s="243"/>
      <c r="ALZ209" s="243"/>
      <c r="AMA209" s="243"/>
      <c r="AMB209" s="243"/>
      <c r="AMC209" s="243"/>
      <c r="AMD209" s="243"/>
      <c r="AME209" s="243"/>
      <c r="AMF209" s="243"/>
      <c r="AMG209" s="243"/>
      <c r="AMH209" s="243"/>
      <c r="AMI209" s="244"/>
      <c r="AMJ209" s="244"/>
    </row>
    <row r="210" spans="1:1024">
      <c r="A210" s="911"/>
      <c r="B210" s="481"/>
      <c r="C210" s="482">
        <v>0.1</v>
      </c>
      <c r="D210" s="481" t="s">
        <v>140</v>
      </c>
      <c r="E210" s="483"/>
      <c r="F210" s="481"/>
      <c r="G210" s="481"/>
      <c r="H210" s="484" t="s">
        <v>123</v>
      </c>
      <c r="I210" s="484" t="s">
        <v>124</v>
      </c>
      <c r="J210" s="484"/>
      <c r="K210" s="484"/>
      <c r="L210" s="509" t="s">
        <v>141</v>
      </c>
      <c r="M210" s="479"/>
      <c r="N210" s="479"/>
      <c r="O210" s="480"/>
      <c r="P210" s="480"/>
      <c r="Q210" s="480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243"/>
      <c r="AR210" s="243"/>
      <c r="AS210" s="243"/>
      <c r="AT210" s="243"/>
      <c r="AU210" s="243"/>
      <c r="AV210" s="243"/>
      <c r="AW210" s="243"/>
      <c r="AX210" s="243"/>
      <c r="AY210" s="243"/>
      <c r="AZ210" s="243"/>
      <c r="BA210" s="243"/>
      <c r="BB210" s="243"/>
      <c r="BC210" s="243"/>
      <c r="BD210" s="243"/>
      <c r="BE210" s="243"/>
      <c r="BF210" s="243"/>
      <c r="BG210" s="243"/>
      <c r="BH210" s="243"/>
      <c r="BI210" s="243"/>
      <c r="BJ210" s="243"/>
      <c r="BK210" s="243"/>
      <c r="BL210" s="243"/>
      <c r="BM210" s="243"/>
      <c r="BN210" s="243"/>
      <c r="BO210" s="243"/>
      <c r="BP210" s="243"/>
      <c r="BQ210" s="243"/>
      <c r="BR210" s="243"/>
      <c r="BS210" s="243"/>
      <c r="BT210" s="243"/>
      <c r="BU210" s="243"/>
      <c r="BV210" s="243"/>
      <c r="BW210" s="243"/>
      <c r="BX210" s="243"/>
      <c r="BY210" s="243"/>
      <c r="BZ210" s="243"/>
      <c r="CA210" s="243"/>
      <c r="CB210" s="243"/>
      <c r="CC210" s="243"/>
      <c r="CD210" s="243"/>
      <c r="CE210" s="243"/>
      <c r="CF210" s="243"/>
      <c r="CG210" s="243"/>
      <c r="CH210" s="243"/>
      <c r="CI210" s="243"/>
      <c r="CJ210" s="243"/>
      <c r="CK210" s="243"/>
      <c r="CL210" s="243"/>
      <c r="CM210" s="243"/>
      <c r="CN210" s="243"/>
      <c r="CO210" s="243"/>
      <c r="CP210" s="243"/>
      <c r="CQ210" s="243"/>
      <c r="CR210" s="243"/>
      <c r="CS210" s="243"/>
      <c r="CT210" s="243"/>
      <c r="CU210" s="243"/>
      <c r="CV210" s="243"/>
      <c r="CW210" s="243"/>
      <c r="CX210" s="243"/>
      <c r="CY210" s="243"/>
      <c r="CZ210" s="243"/>
      <c r="DA210" s="243"/>
      <c r="DB210" s="243"/>
      <c r="DC210" s="243"/>
      <c r="DD210" s="243"/>
      <c r="DE210" s="243"/>
      <c r="DF210" s="243"/>
      <c r="DG210" s="243"/>
      <c r="DH210" s="243"/>
      <c r="DI210" s="243"/>
      <c r="DJ210" s="243"/>
      <c r="DK210" s="243"/>
      <c r="DL210" s="243"/>
      <c r="DM210" s="243"/>
      <c r="DN210" s="243"/>
      <c r="DO210" s="243"/>
      <c r="DP210" s="243"/>
      <c r="DQ210" s="243"/>
      <c r="DR210" s="243"/>
      <c r="DS210" s="243"/>
      <c r="DT210" s="243"/>
      <c r="DU210" s="243"/>
      <c r="DV210" s="243"/>
      <c r="DW210" s="243"/>
      <c r="DX210" s="243"/>
      <c r="DY210" s="243"/>
      <c r="DZ210" s="243"/>
      <c r="EA210" s="243"/>
      <c r="EB210" s="243"/>
      <c r="EC210" s="243"/>
      <c r="ED210" s="243"/>
      <c r="EE210" s="243"/>
      <c r="EF210" s="243"/>
      <c r="EG210" s="243"/>
      <c r="EH210" s="243"/>
      <c r="EI210" s="243"/>
      <c r="EJ210" s="243"/>
      <c r="EK210" s="243"/>
      <c r="EL210" s="243"/>
      <c r="EM210" s="243"/>
      <c r="EN210" s="243"/>
      <c r="EO210" s="243"/>
      <c r="EP210" s="243"/>
      <c r="EQ210" s="243"/>
      <c r="ER210" s="243"/>
      <c r="ES210" s="243"/>
      <c r="ET210" s="243"/>
      <c r="EU210" s="243"/>
      <c r="EV210" s="243"/>
      <c r="EW210" s="243"/>
      <c r="EX210" s="243"/>
      <c r="EY210" s="243"/>
      <c r="EZ210" s="243"/>
      <c r="FA210" s="243"/>
      <c r="FB210" s="243"/>
      <c r="FC210" s="243"/>
      <c r="FD210" s="243"/>
      <c r="FE210" s="243"/>
      <c r="FF210" s="243"/>
      <c r="FG210" s="243"/>
      <c r="FH210" s="243"/>
      <c r="FI210" s="243"/>
      <c r="FJ210" s="243"/>
      <c r="FK210" s="243"/>
      <c r="FL210" s="243"/>
      <c r="FM210" s="243"/>
      <c r="FN210" s="243"/>
      <c r="FO210" s="243"/>
      <c r="FP210" s="243"/>
      <c r="FQ210" s="243"/>
      <c r="FR210" s="243"/>
      <c r="FS210" s="243"/>
      <c r="FT210" s="243"/>
      <c r="FU210" s="243"/>
      <c r="FV210" s="243"/>
      <c r="FW210" s="243"/>
      <c r="FX210" s="243"/>
      <c r="FY210" s="243"/>
      <c r="FZ210" s="243"/>
      <c r="GA210" s="243"/>
      <c r="GB210" s="243"/>
      <c r="GC210" s="243"/>
      <c r="GD210" s="243"/>
      <c r="GE210" s="243"/>
      <c r="GF210" s="243"/>
      <c r="GG210" s="243"/>
      <c r="GH210" s="243"/>
      <c r="GI210" s="243"/>
      <c r="GJ210" s="243"/>
      <c r="GK210" s="243"/>
      <c r="GL210" s="243"/>
      <c r="GM210" s="243"/>
      <c r="GN210" s="243"/>
      <c r="GO210" s="243"/>
      <c r="GP210" s="243"/>
      <c r="GQ210" s="243"/>
      <c r="GR210" s="243"/>
      <c r="GS210" s="243"/>
      <c r="GT210" s="243"/>
      <c r="GU210" s="243"/>
      <c r="GV210" s="243"/>
      <c r="GW210" s="243"/>
      <c r="GX210" s="243"/>
      <c r="GY210" s="243"/>
      <c r="GZ210" s="243"/>
      <c r="HA210" s="243"/>
      <c r="HB210" s="243"/>
      <c r="HC210" s="243"/>
      <c r="HD210" s="243"/>
      <c r="HE210" s="243"/>
      <c r="HF210" s="243"/>
      <c r="HG210" s="243"/>
      <c r="HH210" s="243"/>
      <c r="HI210" s="243"/>
      <c r="HJ210" s="243"/>
      <c r="HK210" s="243"/>
      <c r="HL210" s="243"/>
      <c r="HM210" s="243"/>
      <c r="HN210" s="243"/>
      <c r="HO210" s="243"/>
      <c r="HP210" s="243"/>
      <c r="HQ210" s="243"/>
      <c r="HR210" s="243"/>
      <c r="HS210" s="243"/>
      <c r="HT210" s="243"/>
      <c r="HU210" s="243"/>
      <c r="HV210" s="243"/>
      <c r="HW210" s="243"/>
      <c r="HX210" s="243"/>
      <c r="HY210" s="243"/>
      <c r="HZ210" s="243"/>
      <c r="IA210" s="243"/>
      <c r="IB210" s="243"/>
      <c r="IC210" s="243"/>
      <c r="ID210" s="243"/>
      <c r="IE210" s="243"/>
      <c r="IF210" s="243"/>
      <c r="IG210" s="243"/>
      <c r="IH210" s="243"/>
      <c r="II210" s="243"/>
      <c r="IJ210" s="243"/>
      <c r="IK210" s="243"/>
      <c r="IL210" s="243"/>
      <c r="IM210" s="243"/>
      <c r="IN210" s="243"/>
      <c r="IO210" s="243"/>
      <c r="IP210" s="243"/>
      <c r="IQ210" s="243"/>
      <c r="IR210" s="243"/>
      <c r="IS210" s="243"/>
      <c r="IT210" s="243"/>
      <c r="IU210" s="243"/>
      <c r="IV210" s="243"/>
      <c r="IW210" s="243"/>
      <c r="IX210" s="243"/>
      <c r="IY210" s="243"/>
      <c r="IZ210" s="243"/>
      <c r="JA210" s="243"/>
      <c r="JB210" s="243"/>
      <c r="JC210" s="243"/>
      <c r="JD210" s="243"/>
      <c r="JE210" s="243"/>
      <c r="JF210" s="243"/>
      <c r="JG210" s="243"/>
      <c r="JH210" s="243"/>
      <c r="JI210" s="243"/>
      <c r="JJ210" s="243"/>
      <c r="JK210" s="243"/>
      <c r="JL210" s="243"/>
      <c r="JM210" s="243"/>
      <c r="JN210" s="243"/>
      <c r="JO210" s="243"/>
      <c r="JP210" s="243"/>
      <c r="JQ210" s="243"/>
      <c r="JR210" s="243"/>
      <c r="JS210" s="243"/>
      <c r="JT210" s="243"/>
      <c r="JU210" s="243"/>
      <c r="JV210" s="243"/>
      <c r="JW210" s="243"/>
      <c r="JX210" s="243"/>
      <c r="JY210" s="243"/>
      <c r="JZ210" s="243"/>
      <c r="KA210" s="243"/>
      <c r="KB210" s="243"/>
      <c r="KC210" s="243"/>
      <c r="KD210" s="243"/>
      <c r="KE210" s="243"/>
      <c r="KF210" s="243"/>
      <c r="KG210" s="243"/>
      <c r="KH210" s="243"/>
      <c r="KI210" s="243"/>
      <c r="KJ210" s="243"/>
      <c r="KK210" s="243"/>
      <c r="KL210" s="243"/>
      <c r="KM210" s="243"/>
      <c r="KN210" s="243"/>
      <c r="KO210" s="243"/>
      <c r="KP210" s="243"/>
      <c r="KQ210" s="243"/>
      <c r="KR210" s="243"/>
      <c r="KS210" s="243"/>
      <c r="KT210" s="243"/>
      <c r="KU210" s="243"/>
      <c r="KV210" s="243"/>
      <c r="KW210" s="243"/>
      <c r="KX210" s="243"/>
      <c r="KY210" s="243"/>
      <c r="KZ210" s="243"/>
      <c r="LA210" s="243"/>
      <c r="LB210" s="243"/>
      <c r="LC210" s="243"/>
      <c r="LD210" s="243"/>
      <c r="LE210" s="243"/>
      <c r="LF210" s="243"/>
      <c r="LG210" s="243"/>
      <c r="LH210" s="243"/>
      <c r="LI210" s="243"/>
      <c r="LJ210" s="243"/>
      <c r="LK210" s="243"/>
      <c r="LL210" s="243"/>
      <c r="LM210" s="243"/>
      <c r="LN210" s="243"/>
      <c r="LO210" s="243"/>
      <c r="LP210" s="243"/>
      <c r="LQ210" s="243"/>
      <c r="LR210" s="243"/>
      <c r="LS210" s="243"/>
      <c r="LT210" s="243"/>
      <c r="LU210" s="243"/>
      <c r="LV210" s="243"/>
      <c r="LW210" s="243"/>
      <c r="LX210" s="243"/>
      <c r="LY210" s="243"/>
      <c r="LZ210" s="243"/>
      <c r="MA210" s="243"/>
      <c r="MB210" s="243"/>
      <c r="MC210" s="243"/>
      <c r="MD210" s="243"/>
      <c r="ME210" s="243"/>
      <c r="MF210" s="243"/>
      <c r="MG210" s="243"/>
      <c r="MH210" s="243"/>
      <c r="MI210" s="243"/>
      <c r="MJ210" s="243"/>
      <c r="MK210" s="243"/>
      <c r="ML210" s="243"/>
      <c r="MM210" s="243"/>
      <c r="MN210" s="243"/>
      <c r="MO210" s="243"/>
      <c r="MP210" s="243"/>
      <c r="MQ210" s="243"/>
      <c r="MR210" s="243"/>
      <c r="MS210" s="243"/>
      <c r="MT210" s="243"/>
      <c r="MU210" s="243"/>
      <c r="MV210" s="243"/>
      <c r="MW210" s="243"/>
      <c r="MX210" s="243"/>
      <c r="MY210" s="243"/>
      <c r="MZ210" s="243"/>
      <c r="NA210" s="243"/>
      <c r="NB210" s="243"/>
      <c r="NC210" s="243"/>
      <c r="ND210" s="243"/>
      <c r="NE210" s="243"/>
      <c r="NF210" s="243"/>
      <c r="NG210" s="243"/>
      <c r="NH210" s="243"/>
      <c r="NI210" s="243"/>
      <c r="NJ210" s="243"/>
      <c r="NK210" s="243"/>
      <c r="NL210" s="243"/>
      <c r="NM210" s="243"/>
      <c r="NN210" s="243"/>
      <c r="NO210" s="243"/>
      <c r="NP210" s="243"/>
      <c r="NQ210" s="243"/>
      <c r="NR210" s="243"/>
      <c r="NS210" s="243"/>
      <c r="NT210" s="243"/>
      <c r="NU210" s="243"/>
      <c r="NV210" s="243"/>
      <c r="NW210" s="243"/>
      <c r="NX210" s="243"/>
      <c r="NY210" s="243"/>
      <c r="NZ210" s="243"/>
      <c r="OA210" s="243"/>
      <c r="OB210" s="243"/>
      <c r="OC210" s="243"/>
      <c r="OD210" s="243"/>
      <c r="OE210" s="243"/>
      <c r="OF210" s="243"/>
      <c r="OG210" s="243"/>
      <c r="OH210" s="243"/>
      <c r="OI210" s="243"/>
      <c r="OJ210" s="243"/>
      <c r="OK210" s="243"/>
      <c r="OL210" s="243"/>
      <c r="OM210" s="243"/>
      <c r="ON210" s="243"/>
      <c r="OO210" s="243"/>
      <c r="OP210" s="243"/>
      <c r="OQ210" s="243"/>
      <c r="OR210" s="243"/>
      <c r="OS210" s="243"/>
      <c r="OT210" s="243"/>
      <c r="OU210" s="243"/>
      <c r="OV210" s="243"/>
      <c r="OW210" s="243"/>
      <c r="OX210" s="243"/>
      <c r="OY210" s="243"/>
      <c r="OZ210" s="243"/>
      <c r="PA210" s="243"/>
      <c r="PB210" s="243"/>
      <c r="PC210" s="243"/>
      <c r="PD210" s="243"/>
      <c r="PE210" s="243"/>
      <c r="PF210" s="243"/>
      <c r="PG210" s="243"/>
      <c r="PH210" s="243"/>
      <c r="PI210" s="243"/>
      <c r="PJ210" s="243"/>
      <c r="PK210" s="243"/>
      <c r="PL210" s="243"/>
      <c r="PM210" s="243"/>
      <c r="PN210" s="243"/>
      <c r="PO210" s="243"/>
      <c r="PP210" s="243"/>
      <c r="PQ210" s="243"/>
      <c r="PR210" s="243"/>
      <c r="PS210" s="243"/>
      <c r="PT210" s="243"/>
      <c r="PU210" s="243"/>
      <c r="PV210" s="243"/>
      <c r="PW210" s="243"/>
      <c r="PX210" s="243"/>
      <c r="PY210" s="243"/>
      <c r="PZ210" s="243"/>
      <c r="QA210" s="243"/>
      <c r="QB210" s="243"/>
      <c r="QC210" s="243"/>
      <c r="QD210" s="243"/>
      <c r="QE210" s="243"/>
      <c r="QF210" s="243"/>
      <c r="QG210" s="243"/>
      <c r="QH210" s="243"/>
      <c r="QI210" s="243"/>
      <c r="QJ210" s="243"/>
      <c r="QK210" s="243"/>
      <c r="QL210" s="243"/>
      <c r="QM210" s="243"/>
      <c r="QN210" s="243"/>
      <c r="QO210" s="243"/>
      <c r="QP210" s="243"/>
      <c r="QQ210" s="243"/>
      <c r="QR210" s="243"/>
      <c r="QS210" s="243"/>
      <c r="QT210" s="243"/>
      <c r="QU210" s="243"/>
      <c r="QV210" s="243"/>
      <c r="QW210" s="243"/>
      <c r="QX210" s="243"/>
      <c r="QY210" s="243"/>
      <c r="QZ210" s="243"/>
      <c r="RA210" s="243"/>
      <c r="RB210" s="243"/>
      <c r="RC210" s="243"/>
      <c r="RD210" s="243"/>
      <c r="RE210" s="243"/>
      <c r="RF210" s="243"/>
      <c r="RG210" s="243"/>
      <c r="RH210" s="243"/>
      <c r="RI210" s="243"/>
      <c r="RJ210" s="243"/>
      <c r="RK210" s="243"/>
      <c r="RL210" s="243"/>
      <c r="RM210" s="243"/>
      <c r="RN210" s="243"/>
      <c r="RO210" s="243"/>
      <c r="RP210" s="243"/>
      <c r="RQ210" s="243"/>
      <c r="RR210" s="243"/>
      <c r="RS210" s="243"/>
      <c r="RT210" s="243"/>
      <c r="RU210" s="243"/>
      <c r="RV210" s="243"/>
      <c r="RW210" s="243"/>
      <c r="RX210" s="243"/>
      <c r="RY210" s="243"/>
      <c r="RZ210" s="243"/>
      <c r="SA210" s="243"/>
      <c r="SB210" s="243"/>
      <c r="SC210" s="243"/>
      <c r="SD210" s="243"/>
      <c r="SE210" s="243"/>
      <c r="SF210" s="243"/>
      <c r="SG210" s="243"/>
      <c r="SH210" s="243"/>
      <c r="SI210" s="243"/>
      <c r="SJ210" s="243"/>
      <c r="SK210" s="243"/>
      <c r="SL210" s="243"/>
      <c r="SM210" s="243"/>
      <c r="SN210" s="243"/>
      <c r="SO210" s="243"/>
      <c r="SP210" s="243"/>
      <c r="SQ210" s="243"/>
      <c r="SR210" s="243"/>
      <c r="SS210" s="243"/>
      <c r="ST210" s="243"/>
      <c r="SU210" s="243"/>
      <c r="SV210" s="243"/>
      <c r="SW210" s="243"/>
      <c r="SX210" s="243"/>
      <c r="SY210" s="243"/>
      <c r="SZ210" s="243"/>
      <c r="TA210" s="243"/>
      <c r="TB210" s="243"/>
      <c r="TC210" s="243"/>
      <c r="TD210" s="243"/>
      <c r="TE210" s="243"/>
      <c r="TF210" s="243"/>
      <c r="TG210" s="243"/>
      <c r="TH210" s="243"/>
      <c r="TI210" s="243"/>
      <c r="TJ210" s="243"/>
      <c r="TK210" s="243"/>
      <c r="TL210" s="243"/>
      <c r="TM210" s="243"/>
      <c r="TN210" s="243"/>
      <c r="TO210" s="243"/>
      <c r="TP210" s="243"/>
      <c r="TQ210" s="243"/>
      <c r="TR210" s="243"/>
      <c r="TS210" s="243"/>
      <c r="TT210" s="243"/>
      <c r="TU210" s="243"/>
      <c r="TV210" s="243"/>
      <c r="TW210" s="243"/>
      <c r="TX210" s="243"/>
      <c r="TY210" s="243"/>
      <c r="TZ210" s="243"/>
      <c r="UA210" s="243"/>
      <c r="UB210" s="243"/>
      <c r="UC210" s="243"/>
      <c r="UD210" s="243"/>
      <c r="UE210" s="243"/>
      <c r="UF210" s="243"/>
      <c r="UG210" s="243"/>
      <c r="UH210" s="243"/>
      <c r="UI210" s="243"/>
      <c r="UJ210" s="243"/>
      <c r="UK210" s="243"/>
      <c r="UL210" s="243"/>
      <c r="UM210" s="243"/>
      <c r="UN210" s="243"/>
      <c r="UO210" s="243"/>
      <c r="UP210" s="243"/>
      <c r="UQ210" s="243"/>
      <c r="UR210" s="243"/>
      <c r="US210" s="243"/>
      <c r="UT210" s="243"/>
      <c r="UU210" s="243"/>
      <c r="UV210" s="243"/>
      <c r="UW210" s="243"/>
      <c r="UX210" s="243"/>
      <c r="UY210" s="243"/>
      <c r="UZ210" s="243"/>
      <c r="VA210" s="243"/>
      <c r="VB210" s="243"/>
      <c r="VC210" s="243"/>
      <c r="VD210" s="243"/>
      <c r="VE210" s="243"/>
      <c r="VF210" s="243"/>
      <c r="VG210" s="243"/>
      <c r="VH210" s="243"/>
      <c r="VI210" s="243"/>
      <c r="VJ210" s="243"/>
      <c r="VK210" s="243"/>
      <c r="VL210" s="243"/>
      <c r="VM210" s="243"/>
      <c r="VN210" s="243"/>
      <c r="VO210" s="243"/>
      <c r="VP210" s="243"/>
      <c r="VQ210" s="243"/>
      <c r="VR210" s="243"/>
      <c r="VS210" s="243"/>
      <c r="VT210" s="243"/>
      <c r="VU210" s="243"/>
      <c r="VV210" s="243"/>
      <c r="VW210" s="243"/>
      <c r="VX210" s="243"/>
      <c r="VY210" s="243"/>
      <c r="VZ210" s="243"/>
      <c r="WA210" s="243"/>
      <c r="WB210" s="243"/>
      <c r="WC210" s="243"/>
      <c r="WD210" s="243"/>
      <c r="WE210" s="243"/>
      <c r="WF210" s="243"/>
      <c r="WG210" s="243"/>
      <c r="WH210" s="243"/>
      <c r="WI210" s="243"/>
      <c r="WJ210" s="243"/>
      <c r="WK210" s="243"/>
      <c r="WL210" s="243"/>
      <c r="WM210" s="243"/>
      <c r="WN210" s="243"/>
      <c r="WO210" s="243"/>
      <c r="WP210" s="243"/>
      <c r="WQ210" s="243"/>
      <c r="WR210" s="243"/>
      <c r="WS210" s="243"/>
      <c r="WT210" s="243"/>
      <c r="WU210" s="243"/>
      <c r="WV210" s="243"/>
      <c r="WW210" s="243"/>
      <c r="WX210" s="243"/>
      <c r="WY210" s="243"/>
      <c r="WZ210" s="243"/>
      <c r="XA210" s="243"/>
      <c r="XB210" s="243"/>
      <c r="XC210" s="243"/>
      <c r="XD210" s="243"/>
      <c r="XE210" s="243"/>
      <c r="XF210" s="243"/>
      <c r="XG210" s="243"/>
      <c r="XH210" s="243"/>
      <c r="XI210" s="243"/>
      <c r="XJ210" s="243"/>
      <c r="XK210" s="243"/>
      <c r="XL210" s="243"/>
      <c r="XM210" s="243"/>
      <c r="XN210" s="243"/>
      <c r="XO210" s="243"/>
      <c r="XP210" s="243"/>
      <c r="XQ210" s="243"/>
      <c r="XR210" s="243"/>
      <c r="XS210" s="243"/>
      <c r="XT210" s="243"/>
      <c r="XU210" s="243"/>
      <c r="XV210" s="243"/>
      <c r="XW210" s="243"/>
      <c r="XX210" s="243"/>
      <c r="XY210" s="243"/>
      <c r="XZ210" s="243"/>
      <c r="YA210" s="243"/>
      <c r="YB210" s="243"/>
      <c r="YC210" s="243"/>
      <c r="YD210" s="243"/>
      <c r="YE210" s="243"/>
      <c r="YF210" s="243"/>
      <c r="YG210" s="243"/>
      <c r="YH210" s="243"/>
      <c r="YI210" s="243"/>
      <c r="YJ210" s="243"/>
      <c r="YK210" s="243"/>
      <c r="YL210" s="243"/>
      <c r="YM210" s="243"/>
      <c r="YN210" s="243"/>
      <c r="YO210" s="243"/>
      <c r="YP210" s="243"/>
      <c r="YQ210" s="243"/>
      <c r="YR210" s="243"/>
      <c r="YS210" s="243"/>
      <c r="YT210" s="243"/>
      <c r="YU210" s="243"/>
      <c r="YV210" s="243"/>
      <c r="YW210" s="243"/>
      <c r="YX210" s="243"/>
      <c r="YY210" s="243"/>
      <c r="YZ210" s="243"/>
      <c r="ZA210" s="243"/>
      <c r="ZB210" s="243"/>
      <c r="ZC210" s="243"/>
      <c r="ZD210" s="243"/>
      <c r="ZE210" s="243"/>
      <c r="ZF210" s="243"/>
      <c r="ZG210" s="243"/>
      <c r="ZH210" s="243"/>
      <c r="ZI210" s="243"/>
      <c r="ZJ210" s="243"/>
      <c r="ZK210" s="243"/>
      <c r="ZL210" s="243"/>
      <c r="ZM210" s="243"/>
      <c r="ZN210" s="243"/>
      <c r="ZO210" s="243"/>
      <c r="ZP210" s="243"/>
      <c r="ZQ210" s="243"/>
      <c r="ZR210" s="243"/>
      <c r="ZS210" s="243"/>
      <c r="ZT210" s="243"/>
      <c r="ZU210" s="243"/>
      <c r="ZV210" s="243"/>
      <c r="ZW210" s="243"/>
      <c r="ZX210" s="243"/>
      <c r="ZY210" s="243"/>
      <c r="ZZ210" s="243"/>
      <c r="AAA210" s="243"/>
      <c r="AAB210" s="243"/>
      <c r="AAC210" s="243"/>
      <c r="AAD210" s="243"/>
      <c r="AAE210" s="243"/>
      <c r="AAF210" s="243"/>
      <c r="AAG210" s="243"/>
      <c r="AAH210" s="243"/>
      <c r="AAI210" s="243"/>
      <c r="AAJ210" s="243"/>
      <c r="AAK210" s="243"/>
      <c r="AAL210" s="243"/>
      <c r="AAM210" s="243"/>
      <c r="AAN210" s="243"/>
      <c r="AAO210" s="243"/>
      <c r="AAP210" s="243"/>
      <c r="AAQ210" s="243"/>
      <c r="AAR210" s="243"/>
      <c r="AAS210" s="243"/>
      <c r="AAT210" s="243"/>
      <c r="AAU210" s="243"/>
      <c r="AAV210" s="243"/>
      <c r="AAW210" s="243"/>
      <c r="AAX210" s="243"/>
      <c r="AAY210" s="243"/>
      <c r="AAZ210" s="243"/>
      <c r="ABA210" s="243"/>
      <c r="ABB210" s="243"/>
      <c r="ABC210" s="243"/>
      <c r="ABD210" s="243"/>
      <c r="ABE210" s="243"/>
      <c r="ABF210" s="243"/>
      <c r="ABG210" s="243"/>
      <c r="ABH210" s="243"/>
      <c r="ABI210" s="243"/>
      <c r="ABJ210" s="243"/>
      <c r="ABK210" s="243"/>
      <c r="ABL210" s="243"/>
      <c r="ABM210" s="243"/>
      <c r="ABN210" s="243"/>
      <c r="ABO210" s="243"/>
      <c r="ABP210" s="243"/>
      <c r="ABQ210" s="243"/>
      <c r="ABR210" s="243"/>
      <c r="ABS210" s="243"/>
      <c r="ABT210" s="243"/>
      <c r="ABU210" s="243"/>
      <c r="ABV210" s="243"/>
      <c r="ABW210" s="243"/>
      <c r="ABX210" s="243"/>
      <c r="ABY210" s="243"/>
      <c r="ABZ210" s="243"/>
      <c r="ACA210" s="243"/>
      <c r="ACB210" s="243"/>
      <c r="ACC210" s="243"/>
      <c r="ACD210" s="243"/>
      <c r="ACE210" s="243"/>
      <c r="ACF210" s="243"/>
      <c r="ACG210" s="243"/>
      <c r="ACH210" s="243"/>
      <c r="ACI210" s="243"/>
      <c r="ACJ210" s="243"/>
      <c r="ACK210" s="243"/>
      <c r="ACL210" s="243"/>
      <c r="ACM210" s="243"/>
      <c r="ACN210" s="243"/>
      <c r="ACO210" s="243"/>
      <c r="ACP210" s="243"/>
      <c r="ACQ210" s="243"/>
      <c r="ACR210" s="243"/>
      <c r="ACS210" s="243"/>
      <c r="ACT210" s="243"/>
      <c r="ACU210" s="243"/>
      <c r="ACV210" s="243"/>
      <c r="ACW210" s="243"/>
      <c r="ACX210" s="243"/>
      <c r="ACY210" s="243"/>
      <c r="ACZ210" s="243"/>
      <c r="ADA210" s="243"/>
      <c r="ADB210" s="243"/>
      <c r="ADC210" s="243"/>
      <c r="ADD210" s="243"/>
      <c r="ADE210" s="243"/>
      <c r="ADF210" s="243"/>
      <c r="ADG210" s="243"/>
      <c r="ADH210" s="243"/>
      <c r="ADI210" s="243"/>
      <c r="ADJ210" s="243"/>
      <c r="ADK210" s="243"/>
      <c r="ADL210" s="243"/>
      <c r="ADM210" s="243"/>
      <c r="ADN210" s="243"/>
      <c r="ADO210" s="243"/>
      <c r="ADP210" s="243"/>
      <c r="ADQ210" s="243"/>
      <c r="ADR210" s="243"/>
      <c r="ADS210" s="243"/>
      <c r="ADT210" s="243"/>
      <c r="ADU210" s="243"/>
      <c r="ADV210" s="243"/>
      <c r="ADW210" s="243"/>
      <c r="ADX210" s="243"/>
      <c r="ADY210" s="243"/>
      <c r="ADZ210" s="243"/>
      <c r="AEA210" s="243"/>
      <c r="AEB210" s="243"/>
      <c r="AEC210" s="243"/>
      <c r="AED210" s="243"/>
      <c r="AEE210" s="243"/>
      <c r="AEF210" s="243"/>
      <c r="AEG210" s="243"/>
      <c r="AEH210" s="243"/>
      <c r="AEI210" s="243"/>
      <c r="AEJ210" s="243"/>
      <c r="AEK210" s="243"/>
      <c r="AEL210" s="243"/>
      <c r="AEM210" s="243"/>
      <c r="AEN210" s="243"/>
      <c r="AEO210" s="243"/>
      <c r="AEP210" s="243"/>
      <c r="AEQ210" s="243"/>
      <c r="AER210" s="243"/>
      <c r="AES210" s="243"/>
      <c r="AET210" s="243"/>
      <c r="AEU210" s="243"/>
      <c r="AEV210" s="243"/>
      <c r="AEW210" s="243"/>
      <c r="AEX210" s="243"/>
      <c r="AEY210" s="243"/>
      <c r="AEZ210" s="243"/>
      <c r="AFA210" s="243"/>
      <c r="AFB210" s="243"/>
      <c r="AFC210" s="243"/>
      <c r="AFD210" s="243"/>
      <c r="AFE210" s="243"/>
      <c r="AFF210" s="243"/>
      <c r="AFG210" s="243"/>
      <c r="AFH210" s="243"/>
      <c r="AFI210" s="243"/>
      <c r="AFJ210" s="243"/>
      <c r="AFK210" s="243"/>
      <c r="AFL210" s="243"/>
      <c r="AFM210" s="243"/>
      <c r="AFN210" s="243"/>
      <c r="AFO210" s="243"/>
      <c r="AFP210" s="243"/>
      <c r="AFQ210" s="243"/>
      <c r="AFR210" s="243"/>
      <c r="AFS210" s="243"/>
      <c r="AFT210" s="243"/>
      <c r="AFU210" s="243"/>
      <c r="AFV210" s="243"/>
      <c r="AFW210" s="243"/>
      <c r="AFX210" s="243"/>
      <c r="AFY210" s="243"/>
      <c r="AFZ210" s="243"/>
      <c r="AGA210" s="243"/>
      <c r="AGB210" s="243"/>
      <c r="AGC210" s="243"/>
      <c r="AGD210" s="243"/>
      <c r="AGE210" s="243"/>
      <c r="AGF210" s="243"/>
      <c r="AGG210" s="243"/>
      <c r="AGH210" s="243"/>
      <c r="AGI210" s="243"/>
      <c r="AGJ210" s="243"/>
      <c r="AGK210" s="243"/>
      <c r="AGL210" s="243"/>
      <c r="AGM210" s="243"/>
      <c r="AGN210" s="243"/>
      <c r="AGO210" s="243"/>
      <c r="AGP210" s="243"/>
      <c r="AGQ210" s="243"/>
      <c r="AGR210" s="243"/>
      <c r="AGS210" s="243"/>
      <c r="AGT210" s="243"/>
      <c r="AGU210" s="243"/>
      <c r="AGV210" s="243"/>
      <c r="AGW210" s="243"/>
      <c r="AGX210" s="243"/>
      <c r="AGY210" s="243"/>
      <c r="AGZ210" s="243"/>
      <c r="AHA210" s="243"/>
      <c r="AHB210" s="243"/>
      <c r="AHC210" s="243"/>
      <c r="AHD210" s="243"/>
      <c r="AHE210" s="243"/>
      <c r="AHF210" s="243"/>
      <c r="AHG210" s="243"/>
      <c r="AHH210" s="243"/>
      <c r="AHI210" s="243"/>
      <c r="AHJ210" s="243"/>
      <c r="AHK210" s="243"/>
      <c r="AHL210" s="243"/>
      <c r="AHM210" s="243"/>
      <c r="AHN210" s="243"/>
      <c r="AHO210" s="243"/>
      <c r="AHP210" s="243"/>
      <c r="AHQ210" s="243"/>
      <c r="AHR210" s="243"/>
      <c r="AHS210" s="243"/>
      <c r="AHT210" s="243"/>
      <c r="AHU210" s="243"/>
      <c r="AHV210" s="243"/>
      <c r="AHW210" s="243"/>
      <c r="AHX210" s="243"/>
      <c r="AHY210" s="243"/>
      <c r="AHZ210" s="243"/>
      <c r="AIA210" s="243"/>
      <c r="AIB210" s="243"/>
      <c r="AIC210" s="243"/>
      <c r="AID210" s="243"/>
      <c r="AIE210" s="243"/>
      <c r="AIF210" s="243"/>
      <c r="AIG210" s="243"/>
      <c r="AIH210" s="243"/>
      <c r="AII210" s="243"/>
      <c r="AIJ210" s="243"/>
      <c r="AIK210" s="243"/>
      <c r="AIL210" s="243"/>
      <c r="AIM210" s="243"/>
      <c r="AIN210" s="243"/>
      <c r="AIO210" s="243"/>
      <c r="AIP210" s="243"/>
      <c r="AIQ210" s="243"/>
      <c r="AIR210" s="243"/>
      <c r="AIS210" s="243"/>
      <c r="AIT210" s="243"/>
      <c r="AIU210" s="243"/>
      <c r="AIV210" s="243"/>
      <c r="AIW210" s="243"/>
      <c r="AIX210" s="243"/>
      <c r="AIY210" s="243"/>
      <c r="AIZ210" s="243"/>
      <c r="AJA210" s="243"/>
      <c r="AJB210" s="243"/>
      <c r="AJC210" s="243"/>
      <c r="AJD210" s="243"/>
      <c r="AJE210" s="243"/>
      <c r="AJF210" s="243"/>
      <c r="AJG210" s="243"/>
      <c r="AJH210" s="243"/>
      <c r="AJI210" s="243"/>
      <c r="AJJ210" s="243"/>
      <c r="AJK210" s="243"/>
      <c r="AJL210" s="243"/>
      <c r="AJM210" s="243"/>
      <c r="AJN210" s="243"/>
      <c r="AJO210" s="243"/>
      <c r="AJP210" s="243"/>
      <c r="AJQ210" s="243"/>
      <c r="AJR210" s="243"/>
      <c r="AJS210" s="243"/>
      <c r="AJT210" s="243"/>
      <c r="AJU210" s="243"/>
      <c r="AJV210" s="243"/>
      <c r="AJW210" s="243"/>
      <c r="AJX210" s="243"/>
      <c r="AJY210" s="243"/>
      <c r="AJZ210" s="243"/>
      <c r="AKA210" s="243"/>
      <c r="AKB210" s="243"/>
      <c r="AKC210" s="243"/>
      <c r="AKD210" s="243"/>
      <c r="AKE210" s="243"/>
      <c r="AKF210" s="243"/>
      <c r="AKG210" s="243"/>
      <c r="AKH210" s="243"/>
      <c r="AKI210" s="243"/>
      <c r="AKJ210" s="243"/>
      <c r="AKK210" s="243"/>
      <c r="AKL210" s="243"/>
      <c r="AKM210" s="243"/>
      <c r="AKN210" s="243"/>
      <c r="AKO210" s="243"/>
      <c r="AKP210" s="243"/>
      <c r="AKQ210" s="243"/>
      <c r="AKR210" s="243"/>
      <c r="AKS210" s="243"/>
      <c r="AKT210" s="243"/>
      <c r="AKU210" s="243"/>
      <c r="AKV210" s="243"/>
      <c r="AKW210" s="243"/>
      <c r="AKX210" s="243"/>
      <c r="AKY210" s="243"/>
      <c r="AKZ210" s="243"/>
      <c r="ALA210" s="243"/>
      <c r="ALB210" s="243"/>
      <c r="ALC210" s="243"/>
      <c r="ALD210" s="243"/>
      <c r="ALE210" s="243"/>
      <c r="ALF210" s="243"/>
      <c r="ALG210" s="243"/>
      <c r="ALH210" s="243"/>
      <c r="ALI210" s="243"/>
      <c r="ALJ210" s="243"/>
      <c r="ALK210" s="243"/>
      <c r="ALL210" s="243"/>
      <c r="ALM210" s="243"/>
      <c r="ALN210" s="243"/>
      <c r="ALO210" s="243"/>
      <c r="ALP210" s="243"/>
      <c r="ALQ210" s="243"/>
      <c r="ALR210" s="243"/>
      <c r="ALS210" s="243"/>
      <c r="ALT210" s="243"/>
      <c r="ALU210" s="243"/>
      <c r="ALV210" s="243"/>
      <c r="ALW210" s="243"/>
      <c r="ALX210" s="243"/>
      <c r="ALY210" s="243"/>
      <c r="ALZ210" s="243"/>
      <c r="AMA210" s="243"/>
      <c r="AMB210" s="243"/>
      <c r="AMC210" s="243"/>
      <c r="AMD210" s="243"/>
      <c r="AME210" s="243"/>
      <c r="AMF210" s="243"/>
      <c r="AMG210" s="243"/>
      <c r="AMH210" s="243"/>
      <c r="AMI210" s="244"/>
      <c r="AMJ210" s="244"/>
    </row>
    <row r="211" spans="1:1024">
      <c r="A211" s="911"/>
      <c r="B211" s="481"/>
      <c r="C211" s="485"/>
      <c r="D211" s="481" t="s">
        <v>142</v>
      </c>
      <c r="E211" s="483"/>
      <c r="F211" s="481"/>
      <c r="G211" s="481"/>
      <c r="H211" s="484" t="s">
        <v>123</v>
      </c>
      <c r="I211" s="484" t="s">
        <v>124</v>
      </c>
      <c r="J211" s="484"/>
      <c r="K211" s="484"/>
      <c r="L211" s="481" t="s">
        <v>143</v>
      </c>
      <c r="M211" s="486"/>
      <c r="N211" s="479"/>
      <c r="O211" s="480"/>
      <c r="P211" s="480"/>
      <c r="Q211" s="480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  <c r="AH211" s="243"/>
      <c r="AI211" s="243"/>
      <c r="AJ211" s="243"/>
      <c r="AK211" s="243"/>
      <c r="AL211" s="243"/>
      <c r="AM211" s="243"/>
      <c r="AN211" s="243"/>
      <c r="AO211" s="243"/>
      <c r="AP211" s="243"/>
      <c r="AQ211" s="243"/>
      <c r="AR211" s="243"/>
      <c r="AS211" s="243"/>
      <c r="AT211" s="243"/>
      <c r="AU211" s="243"/>
      <c r="AV211" s="243"/>
      <c r="AW211" s="243"/>
      <c r="AX211" s="243"/>
      <c r="AY211" s="243"/>
      <c r="AZ211" s="243"/>
      <c r="BA211" s="243"/>
      <c r="BB211" s="243"/>
      <c r="BC211" s="243"/>
      <c r="BD211" s="243"/>
      <c r="BE211" s="243"/>
      <c r="BF211" s="243"/>
      <c r="BG211" s="243"/>
      <c r="BH211" s="243"/>
      <c r="BI211" s="243"/>
      <c r="BJ211" s="243"/>
      <c r="BK211" s="243"/>
      <c r="BL211" s="243"/>
      <c r="BM211" s="243"/>
      <c r="BN211" s="243"/>
      <c r="BO211" s="243"/>
      <c r="BP211" s="243"/>
      <c r="BQ211" s="243"/>
      <c r="BR211" s="243"/>
      <c r="BS211" s="243"/>
      <c r="BT211" s="243"/>
      <c r="BU211" s="243"/>
      <c r="BV211" s="243"/>
      <c r="BW211" s="243"/>
      <c r="BX211" s="243"/>
      <c r="BY211" s="243"/>
      <c r="BZ211" s="243"/>
      <c r="CA211" s="243"/>
      <c r="CB211" s="243"/>
      <c r="CC211" s="243"/>
      <c r="CD211" s="243"/>
      <c r="CE211" s="243"/>
      <c r="CF211" s="243"/>
      <c r="CG211" s="243"/>
      <c r="CH211" s="243"/>
      <c r="CI211" s="243"/>
      <c r="CJ211" s="243"/>
      <c r="CK211" s="243"/>
      <c r="CL211" s="243"/>
      <c r="CM211" s="243"/>
      <c r="CN211" s="243"/>
      <c r="CO211" s="243"/>
      <c r="CP211" s="243"/>
      <c r="CQ211" s="243"/>
      <c r="CR211" s="243"/>
      <c r="CS211" s="243"/>
      <c r="CT211" s="243"/>
      <c r="CU211" s="243"/>
      <c r="CV211" s="243"/>
      <c r="CW211" s="243"/>
      <c r="CX211" s="243"/>
      <c r="CY211" s="243"/>
      <c r="CZ211" s="243"/>
      <c r="DA211" s="243"/>
      <c r="DB211" s="243"/>
      <c r="DC211" s="243"/>
      <c r="DD211" s="243"/>
      <c r="DE211" s="243"/>
      <c r="DF211" s="243"/>
      <c r="DG211" s="243"/>
      <c r="DH211" s="243"/>
      <c r="DI211" s="243"/>
      <c r="DJ211" s="243"/>
      <c r="DK211" s="243"/>
      <c r="DL211" s="243"/>
      <c r="DM211" s="243"/>
      <c r="DN211" s="243"/>
      <c r="DO211" s="243"/>
      <c r="DP211" s="243"/>
      <c r="DQ211" s="243"/>
      <c r="DR211" s="243"/>
      <c r="DS211" s="243"/>
      <c r="DT211" s="243"/>
      <c r="DU211" s="243"/>
      <c r="DV211" s="243"/>
      <c r="DW211" s="243"/>
      <c r="DX211" s="243"/>
      <c r="DY211" s="243"/>
      <c r="DZ211" s="243"/>
      <c r="EA211" s="243"/>
      <c r="EB211" s="243"/>
      <c r="EC211" s="243"/>
      <c r="ED211" s="243"/>
      <c r="EE211" s="243"/>
      <c r="EF211" s="243"/>
      <c r="EG211" s="243"/>
      <c r="EH211" s="243"/>
      <c r="EI211" s="243"/>
      <c r="EJ211" s="243"/>
      <c r="EK211" s="243"/>
      <c r="EL211" s="243"/>
      <c r="EM211" s="243"/>
      <c r="EN211" s="243"/>
      <c r="EO211" s="243"/>
      <c r="EP211" s="243"/>
      <c r="EQ211" s="243"/>
      <c r="ER211" s="243"/>
      <c r="ES211" s="243"/>
      <c r="ET211" s="243"/>
      <c r="EU211" s="243"/>
      <c r="EV211" s="243"/>
      <c r="EW211" s="243"/>
      <c r="EX211" s="243"/>
      <c r="EY211" s="243"/>
      <c r="EZ211" s="243"/>
      <c r="FA211" s="243"/>
      <c r="FB211" s="243"/>
      <c r="FC211" s="243"/>
      <c r="FD211" s="243"/>
      <c r="FE211" s="243"/>
      <c r="FF211" s="243"/>
      <c r="FG211" s="243"/>
      <c r="FH211" s="243"/>
      <c r="FI211" s="243"/>
      <c r="FJ211" s="243"/>
      <c r="FK211" s="243"/>
      <c r="FL211" s="243"/>
      <c r="FM211" s="243"/>
      <c r="FN211" s="243"/>
      <c r="FO211" s="243"/>
      <c r="FP211" s="243"/>
      <c r="FQ211" s="243"/>
      <c r="FR211" s="243"/>
      <c r="FS211" s="243"/>
      <c r="FT211" s="243"/>
      <c r="FU211" s="243"/>
      <c r="FV211" s="243"/>
      <c r="FW211" s="243"/>
      <c r="FX211" s="243"/>
      <c r="FY211" s="243"/>
      <c r="FZ211" s="243"/>
      <c r="GA211" s="243"/>
      <c r="GB211" s="243"/>
      <c r="GC211" s="243"/>
      <c r="GD211" s="243"/>
      <c r="GE211" s="243"/>
      <c r="GF211" s="243"/>
      <c r="GG211" s="243"/>
      <c r="GH211" s="243"/>
      <c r="GI211" s="243"/>
      <c r="GJ211" s="243"/>
      <c r="GK211" s="243"/>
      <c r="GL211" s="243"/>
      <c r="GM211" s="243"/>
      <c r="GN211" s="243"/>
      <c r="GO211" s="243"/>
      <c r="GP211" s="243"/>
      <c r="GQ211" s="243"/>
      <c r="GR211" s="243"/>
      <c r="GS211" s="243"/>
      <c r="GT211" s="243"/>
      <c r="GU211" s="243"/>
      <c r="GV211" s="243"/>
      <c r="GW211" s="243"/>
      <c r="GX211" s="243"/>
      <c r="GY211" s="243"/>
      <c r="GZ211" s="243"/>
      <c r="HA211" s="243"/>
      <c r="HB211" s="243"/>
      <c r="HC211" s="243"/>
      <c r="HD211" s="243"/>
      <c r="HE211" s="243"/>
      <c r="HF211" s="243"/>
      <c r="HG211" s="243"/>
      <c r="HH211" s="243"/>
      <c r="HI211" s="243"/>
      <c r="HJ211" s="243"/>
      <c r="HK211" s="243"/>
      <c r="HL211" s="243"/>
      <c r="HM211" s="243"/>
      <c r="HN211" s="243"/>
      <c r="HO211" s="243"/>
      <c r="HP211" s="243"/>
      <c r="HQ211" s="243"/>
      <c r="HR211" s="243"/>
      <c r="HS211" s="243"/>
      <c r="HT211" s="243"/>
      <c r="HU211" s="243"/>
      <c r="HV211" s="243"/>
      <c r="HW211" s="243"/>
      <c r="HX211" s="243"/>
      <c r="HY211" s="243"/>
      <c r="HZ211" s="243"/>
      <c r="IA211" s="243"/>
      <c r="IB211" s="243"/>
      <c r="IC211" s="243"/>
      <c r="ID211" s="243"/>
      <c r="IE211" s="243"/>
      <c r="IF211" s="243"/>
      <c r="IG211" s="243"/>
      <c r="IH211" s="243"/>
      <c r="II211" s="243"/>
      <c r="IJ211" s="243"/>
      <c r="IK211" s="243"/>
      <c r="IL211" s="243"/>
      <c r="IM211" s="243"/>
      <c r="IN211" s="243"/>
      <c r="IO211" s="243"/>
      <c r="IP211" s="243"/>
      <c r="IQ211" s="243"/>
      <c r="IR211" s="243"/>
      <c r="IS211" s="243"/>
      <c r="IT211" s="243"/>
      <c r="IU211" s="243"/>
      <c r="IV211" s="243"/>
      <c r="IW211" s="243"/>
      <c r="IX211" s="243"/>
      <c r="IY211" s="243"/>
      <c r="IZ211" s="243"/>
      <c r="JA211" s="243"/>
      <c r="JB211" s="243"/>
      <c r="JC211" s="243"/>
      <c r="JD211" s="243"/>
      <c r="JE211" s="243"/>
      <c r="JF211" s="243"/>
      <c r="JG211" s="243"/>
      <c r="JH211" s="243"/>
      <c r="JI211" s="243"/>
      <c r="JJ211" s="243"/>
      <c r="JK211" s="243"/>
      <c r="JL211" s="243"/>
      <c r="JM211" s="243"/>
      <c r="JN211" s="243"/>
      <c r="JO211" s="243"/>
      <c r="JP211" s="243"/>
      <c r="JQ211" s="243"/>
      <c r="JR211" s="243"/>
      <c r="JS211" s="243"/>
      <c r="JT211" s="243"/>
      <c r="JU211" s="243"/>
      <c r="JV211" s="243"/>
      <c r="JW211" s="243"/>
      <c r="JX211" s="243"/>
      <c r="JY211" s="243"/>
      <c r="JZ211" s="243"/>
      <c r="KA211" s="243"/>
      <c r="KB211" s="243"/>
      <c r="KC211" s="243"/>
      <c r="KD211" s="243"/>
      <c r="KE211" s="243"/>
      <c r="KF211" s="243"/>
      <c r="KG211" s="243"/>
      <c r="KH211" s="243"/>
      <c r="KI211" s="243"/>
      <c r="KJ211" s="243"/>
      <c r="KK211" s="243"/>
      <c r="KL211" s="243"/>
      <c r="KM211" s="243"/>
      <c r="KN211" s="243"/>
      <c r="KO211" s="243"/>
      <c r="KP211" s="243"/>
      <c r="KQ211" s="243"/>
      <c r="KR211" s="243"/>
      <c r="KS211" s="243"/>
      <c r="KT211" s="243"/>
      <c r="KU211" s="243"/>
      <c r="KV211" s="243"/>
      <c r="KW211" s="243"/>
      <c r="KX211" s="243"/>
      <c r="KY211" s="243"/>
      <c r="KZ211" s="243"/>
      <c r="LA211" s="243"/>
      <c r="LB211" s="243"/>
      <c r="LC211" s="243"/>
      <c r="LD211" s="243"/>
      <c r="LE211" s="243"/>
      <c r="LF211" s="243"/>
      <c r="LG211" s="243"/>
      <c r="LH211" s="243"/>
      <c r="LI211" s="243"/>
      <c r="LJ211" s="243"/>
      <c r="LK211" s="243"/>
      <c r="LL211" s="243"/>
      <c r="LM211" s="243"/>
      <c r="LN211" s="243"/>
      <c r="LO211" s="243"/>
      <c r="LP211" s="243"/>
      <c r="LQ211" s="243"/>
      <c r="LR211" s="243"/>
      <c r="LS211" s="243"/>
      <c r="LT211" s="243"/>
      <c r="LU211" s="243"/>
      <c r="LV211" s="243"/>
      <c r="LW211" s="243"/>
      <c r="LX211" s="243"/>
      <c r="LY211" s="243"/>
      <c r="LZ211" s="243"/>
      <c r="MA211" s="243"/>
      <c r="MB211" s="243"/>
      <c r="MC211" s="243"/>
      <c r="MD211" s="243"/>
      <c r="ME211" s="243"/>
      <c r="MF211" s="243"/>
      <c r="MG211" s="243"/>
      <c r="MH211" s="243"/>
      <c r="MI211" s="243"/>
      <c r="MJ211" s="243"/>
      <c r="MK211" s="243"/>
      <c r="ML211" s="243"/>
      <c r="MM211" s="243"/>
      <c r="MN211" s="243"/>
      <c r="MO211" s="243"/>
      <c r="MP211" s="243"/>
      <c r="MQ211" s="243"/>
      <c r="MR211" s="243"/>
      <c r="MS211" s="243"/>
      <c r="MT211" s="243"/>
      <c r="MU211" s="243"/>
      <c r="MV211" s="243"/>
      <c r="MW211" s="243"/>
      <c r="MX211" s="243"/>
      <c r="MY211" s="243"/>
      <c r="MZ211" s="243"/>
      <c r="NA211" s="243"/>
      <c r="NB211" s="243"/>
      <c r="NC211" s="243"/>
      <c r="ND211" s="243"/>
      <c r="NE211" s="243"/>
      <c r="NF211" s="243"/>
      <c r="NG211" s="243"/>
      <c r="NH211" s="243"/>
      <c r="NI211" s="243"/>
      <c r="NJ211" s="243"/>
      <c r="NK211" s="243"/>
      <c r="NL211" s="243"/>
      <c r="NM211" s="243"/>
      <c r="NN211" s="243"/>
      <c r="NO211" s="243"/>
      <c r="NP211" s="243"/>
      <c r="NQ211" s="243"/>
      <c r="NR211" s="243"/>
      <c r="NS211" s="243"/>
      <c r="NT211" s="243"/>
      <c r="NU211" s="243"/>
      <c r="NV211" s="243"/>
      <c r="NW211" s="243"/>
      <c r="NX211" s="243"/>
      <c r="NY211" s="243"/>
      <c r="NZ211" s="243"/>
      <c r="OA211" s="243"/>
      <c r="OB211" s="243"/>
      <c r="OC211" s="243"/>
      <c r="OD211" s="243"/>
      <c r="OE211" s="243"/>
      <c r="OF211" s="243"/>
      <c r="OG211" s="243"/>
      <c r="OH211" s="243"/>
      <c r="OI211" s="243"/>
      <c r="OJ211" s="243"/>
      <c r="OK211" s="243"/>
      <c r="OL211" s="243"/>
      <c r="OM211" s="243"/>
      <c r="ON211" s="243"/>
      <c r="OO211" s="243"/>
      <c r="OP211" s="243"/>
      <c r="OQ211" s="243"/>
      <c r="OR211" s="243"/>
      <c r="OS211" s="243"/>
      <c r="OT211" s="243"/>
      <c r="OU211" s="243"/>
      <c r="OV211" s="243"/>
      <c r="OW211" s="243"/>
      <c r="OX211" s="243"/>
      <c r="OY211" s="243"/>
      <c r="OZ211" s="243"/>
      <c r="PA211" s="243"/>
      <c r="PB211" s="243"/>
      <c r="PC211" s="243"/>
      <c r="PD211" s="243"/>
      <c r="PE211" s="243"/>
      <c r="PF211" s="243"/>
      <c r="PG211" s="243"/>
      <c r="PH211" s="243"/>
      <c r="PI211" s="243"/>
      <c r="PJ211" s="243"/>
      <c r="PK211" s="243"/>
      <c r="PL211" s="243"/>
      <c r="PM211" s="243"/>
      <c r="PN211" s="243"/>
      <c r="PO211" s="243"/>
      <c r="PP211" s="243"/>
      <c r="PQ211" s="243"/>
      <c r="PR211" s="243"/>
      <c r="PS211" s="243"/>
      <c r="PT211" s="243"/>
      <c r="PU211" s="243"/>
      <c r="PV211" s="243"/>
      <c r="PW211" s="243"/>
      <c r="PX211" s="243"/>
      <c r="PY211" s="243"/>
      <c r="PZ211" s="243"/>
      <c r="QA211" s="243"/>
      <c r="QB211" s="243"/>
      <c r="QC211" s="243"/>
      <c r="QD211" s="243"/>
      <c r="QE211" s="243"/>
      <c r="QF211" s="243"/>
      <c r="QG211" s="243"/>
      <c r="QH211" s="243"/>
      <c r="QI211" s="243"/>
      <c r="QJ211" s="243"/>
      <c r="QK211" s="243"/>
      <c r="QL211" s="243"/>
      <c r="QM211" s="243"/>
      <c r="QN211" s="243"/>
      <c r="QO211" s="243"/>
      <c r="QP211" s="243"/>
      <c r="QQ211" s="243"/>
      <c r="QR211" s="243"/>
      <c r="QS211" s="243"/>
      <c r="QT211" s="243"/>
      <c r="QU211" s="243"/>
      <c r="QV211" s="243"/>
      <c r="QW211" s="243"/>
      <c r="QX211" s="243"/>
      <c r="QY211" s="243"/>
      <c r="QZ211" s="243"/>
      <c r="RA211" s="243"/>
      <c r="RB211" s="243"/>
      <c r="RC211" s="243"/>
      <c r="RD211" s="243"/>
      <c r="RE211" s="243"/>
      <c r="RF211" s="243"/>
      <c r="RG211" s="243"/>
      <c r="RH211" s="243"/>
      <c r="RI211" s="243"/>
      <c r="RJ211" s="243"/>
      <c r="RK211" s="243"/>
      <c r="RL211" s="243"/>
      <c r="RM211" s="243"/>
      <c r="RN211" s="243"/>
      <c r="RO211" s="243"/>
      <c r="RP211" s="243"/>
      <c r="RQ211" s="243"/>
      <c r="RR211" s="243"/>
      <c r="RS211" s="243"/>
      <c r="RT211" s="243"/>
      <c r="RU211" s="243"/>
      <c r="RV211" s="243"/>
      <c r="RW211" s="243"/>
      <c r="RX211" s="243"/>
      <c r="RY211" s="243"/>
      <c r="RZ211" s="243"/>
      <c r="SA211" s="243"/>
      <c r="SB211" s="243"/>
      <c r="SC211" s="243"/>
      <c r="SD211" s="243"/>
      <c r="SE211" s="243"/>
      <c r="SF211" s="243"/>
      <c r="SG211" s="243"/>
      <c r="SH211" s="243"/>
      <c r="SI211" s="243"/>
      <c r="SJ211" s="243"/>
      <c r="SK211" s="243"/>
      <c r="SL211" s="243"/>
      <c r="SM211" s="243"/>
      <c r="SN211" s="243"/>
      <c r="SO211" s="243"/>
      <c r="SP211" s="243"/>
      <c r="SQ211" s="243"/>
      <c r="SR211" s="243"/>
      <c r="SS211" s="243"/>
      <c r="ST211" s="243"/>
      <c r="SU211" s="243"/>
      <c r="SV211" s="243"/>
      <c r="SW211" s="243"/>
      <c r="SX211" s="243"/>
      <c r="SY211" s="243"/>
      <c r="SZ211" s="243"/>
      <c r="TA211" s="243"/>
      <c r="TB211" s="243"/>
      <c r="TC211" s="243"/>
      <c r="TD211" s="243"/>
      <c r="TE211" s="243"/>
      <c r="TF211" s="243"/>
      <c r="TG211" s="243"/>
      <c r="TH211" s="243"/>
      <c r="TI211" s="243"/>
      <c r="TJ211" s="243"/>
      <c r="TK211" s="243"/>
      <c r="TL211" s="243"/>
      <c r="TM211" s="243"/>
      <c r="TN211" s="243"/>
      <c r="TO211" s="243"/>
      <c r="TP211" s="243"/>
      <c r="TQ211" s="243"/>
      <c r="TR211" s="243"/>
      <c r="TS211" s="243"/>
      <c r="TT211" s="243"/>
      <c r="TU211" s="243"/>
      <c r="TV211" s="243"/>
      <c r="TW211" s="243"/>
      <c r="TX211" s="243"/>
      <c r="TY211" s="243"/>
      <c r="TZ211" s="243"/>
      <c r="UA211" s="243"/>
      <c r="UB211" s="243"/>
      <c r="UC211" s="243"/>
      <c r="UD211" s="243"/>
      <c r="UE211" s="243"/>
      <c r="UF211" s="243"/>
      <c r="UG211" s="243"/>
      <c r="UH211" s="243"/>
      <c r="UI211" s="243"/>
      <c r="UJ211" s="243"/>
      <c r="UK211" s="243"/>
      <c r="UL211" s="243"/>
      <c r="UM211" s="243"/>
      <c r="UN211" s="243"/>
      <c r="UO211" s="243"/>
      <c r="UP211" s="243"/>
      <c r="UQ211" s="243"/>
      <c r="UR211" s="243"/>
      <c r="US211" s="243"/>
      <c r="UT211" s="243"/>
      <c r="UU211" s="243"/>
      <c r="UV211" s="243"/>
      <c r="UW211" s="243"/>
      <c r="UX211" s="243"/>
      <c r="UY211" s="243"/>
      <c r="UZ211" s="243"/>
      <c r="VA211" s="243"/>
      <c r="VB211" s="243"/>
      <c r="VC211" s="243"/>
      <c r="VD211" s="243"/>
      <c r="VE211" s="243"/>
      <c r="VF211" s="243"/>
      <c r="VG211" s="243"/>
      <c r="VH211" s="243"/>
      <c r="VI211" s="243"/>
      <c r="VJ211" s="243"/>
      <c r="VK211" s="243"/>
      <c r="VL211" s="243"/>
      <c r="VM211" s="243"/>
      <c r="VN211" s="243"/>
      <c r="VO211" s="243"/>
      <c r="VP211" s="243"/>
      <c r="VQ211" s="243"/>
      <c r="VR211" s="243"/>
      <c r="VS211" s="243"/>
      <c r="VT211" s="243"/>
      <c r="VU211" s="243"/>
      <c r="VV211" s="243"/>
      <c r="VW211" s="243"/>
      <c r="VX211" s="243"/>
      <c r="VY211" s="243"/>
      <c r="VZ211" s="243"/>
      <c r="WA211" s="243"/>
      <c r="WB211" s="243"/>
      <c r="WC211" s="243"/>
      <c r="WD211" s="243"/>
      <c r="WE211" s="243"/>
      <c r="WF211" s="243"/>
      <c r="WG211" s="243"/>
      <c r="WH211" s="243"/>
      <c r="WI211" s="243"/>
      <c r="WJ211" s="243"/>
      <c r="WK211" s="243"/>
      <c r="WL211" s="243"/>
      <c r="WM211" s="243"/>
      <c r="WN211" s="243"/>
      <c r="WO211" s="243"/>
      <c r="WP211" s="243"/>
      <c r="WQ211" s="243"/>
      <c r="WR211" s="243"/>
      <c r="WS211" s="243"/>
      <c r="WT211" s="243"/>
      <c r="WU211" s="243"/>
      <c r="WV211" s="243"/>
      <c r="WW211" s="243"/>
      <c r="WX211" s="243"/>
      <c r="WY211" s="243"/>
      <c r="WZ211" s="243"/>
      <c r="XA211" s="243"/>
      <c r="XB211" s="243"/>
      <c r="XC211" s="243"/>
      <c r="XD211" s="243"/>
      <c r="XE211" s="243"/>
      <c r="XF211" s="243"/>
      <c r="XG211" s="243"/>
      <c r="XH211" s="243"/>
      <c r="XI211" s="243"/>
      <c r="XJ211" s="243"/>
      <c r="XK211" s="243"/>
      <c r="XL211" s="243"/>
      <c r="XM211" s="243"/>
      <c r="XN211" s="243"/>
      <c r="XO211" s="243"/>
      <c r="XP211" s="243"/>
      <c r="XQ211" s="243"/>
      <c r="XR211" s="243"/>
      <c r="XS211" s="243"/>
      <c r="XT211" s="243"/>
      <c r="XU211" s="243"/>
      <c r="XV211" s="243"/>
      <c r="XW211" s="243"/>
      <c r="XX211" s="243"/>
      <c r="XY211" s="243"/>
      <c r="XZ211" s="243"/>
      <c r="YA211" s="243"/>
      <c r="YB211" s="243"/>
      <c r="YC211" s="243"/>
      <c r="YD211" s="243"/>
      <c r="YE211" s="243"/>
      <c r="YF211" s="243"/>
      <c r="YG211" s="243"/>
      <c r="YH211" s="243"/>
      <c r="YI211" s="243"/>
      <c r="YJ211" s="243"/>
      <c r="YK211" s="243"/>
      <c r="YL211" s="243"/>
      <c r="YM211" s="243"/>
      <c r="YN211" s="243"/>
      <c r="YO211" s="243"/>
      <c r="YP211" s="243"/>
      <c r="YQ211" s="243"/>
      <c r="YR211" s="243"/>
      <c r="YS211" s="243"/>
      <c r="YT211" s="243"/>
      <c r="YU211" s="243"/>
      <c r="YV211" s="243"/>
      <c r="YW211" s="243"/>
      <c r="YX211" s="243"/>
      <c r="YY211" s="243"/>
      <c r="YZ211" s="243"/>
      <c r="ZA211" s="243"/>
      <c r="ZB211" s="243"/>
      <c r="ZC211" s="243"/>
      <c r="ZD211" s="243"/>
      <c r="ZE211" s="243"/>
      <c r="ZF211" s="243"/>
      <c r="ZG211" s="243"/>
      <c r="ZH211" s="243"/>
      <c r="ZI211" s="243"/>
      <c r="ZJ211" s="243"/>
      <c r="ZK211" s="243"/>
      <c r="ZL211" s="243"/>
      <c r="ZM211" s="243"/>
      <c r="ZN211" s="243"/>
      <c r="ZO211" s="243"/>
      <c r="ZP211" s="243"/>
      <c r="ZQ211" s="243"/>
      <c r="ZR211" s="243"/>
      <c r="ZS211" s="243"/>
      <c r="ZT211" s="243"/>
      <c r="ZU211" s="243"/>
      <c r="ZV211" s="243"/>
      <c r="ZW211" s="243"/>
      <c r="ZX211" s="243"/>
      <c r="ZY211" s="243"/>
      <c r="ZZ211" s="243"/>
      <c r="AAA211" s="243"/>
      <c r="AAB211" s="243"/>
      <c r="AAC211" s="243"/>
      <c r="AAD211" s="243"/>
      <c r="AAE211" s="243"/>
      <c r="AAF211" s="243"/>
      <c r="AAG211" s="243"/>
      <c r="AAH211" s="243"/>
      <c r="AAI211" s="243"/>
      <c r="AAJ211" s="243"/>
      <c r="AAK211" s="243"/>
      <c r="AAL211" s="243"/>
      <c r="AAM211" s="243"/>
      <c r="AAN211" s="243"/>
      <c r="AAO211" s="243"/>
      <c r="AAP211" s="243"/>
      <c r="AAQ211" s="243"/>
      <c r="AAR211" s="243"/>
      <c r="AAS211" s="243"/>
      <c r="AAT211" s="243"/>
      <c r="AAU211" s="243"/>
      <c r="AAV211" s="243"/>
      <c r="AAW211" s="243"/>
      <c r="AAX211" s="243"/>
      <c r="AAY211" s="243"/>
      <c r="AAZ211" s="243"/>
      <c r="ABA211" s="243"/>
      <c r="ABB211" s="243"/>
      <c r="ABC211" s="243"/>
      <c r="ABD211" s="243"/>
      <c r="ABE211" s="243"/>
      <c r="ABF211" s="243"/>
      <c r="ABG211" s="243"/>
      <c r="ABH211" s="243"/>
      <c r="ABI211" s="243"/>
      <c r="ABJ211" s="243"/>
      <c r="ABK211" s="243"/>
      <c r="ABL211" s="243"/>
      <c r="ABM211" s="243"/>
      <c r="ABN211" s="243"/>
      <c r="ABO211" s="243"/>
      <c r="ABP211" s="243"/>
      <c r="ABQ211" s="243"/>
      <c r="ABR211" s="243"/>
      <c r="ABS211" s="243"/>
      <c r="ABT211" s="243"/>
      <c r="ABU211" s="243"/>
      <c r="ABV211" s="243"/>
      <c r="ABW211" s="243"/>
      <c r="ABX211" s="243"/>
      <c r="ABY211" s="243"/>
      <c r="ABZ211" s="243"/>
      <c r="ACA211" s="243"/>
      <c r="ACB211" s="243"/>
      <c r="ACC211" s="243"/>
      <c r="ACD211" s="243"/>
      <c r="ACE211" s="243"/>
      <c r="ACF211" s="243"/>
      <c r="ACG211" s="243"/>
      <c r="ACH211" s="243"/>
      <c r="ACI211" s="243"/>
      <c r="ACJ211" s="243"/>
      <c r="ACK211" s="243"/>
      <c r="ACL211" s="243"/>
      <c r="ACM211" s="243"/>
      <c r="ACN211" s="243"/>
      <c r="ACO211" s="243"/>
      <c r="ACP211" s="243"/>
      <c r="ACQ211" s="243"/>
      <c r="ACR211" s="243"/>
      <c r="ACS211" s="243"/>
      <c r="ACT211" s="243"/>
      <c r="ACU211" s="243"/>
      <c r="ACV211" s="243"/>
      <c r="ACW211" s="243"/>
      <c r="ACX211" s="243"/>
      <c r="ACY211" s="243"/>
      <c r="ACZ211" s="243"/>
      <c r="ADA211" s="243"/>
      <c r="ADB211" s="243"/>
      <c r="ADC211" s="243"/>
      <c r="ADD211" s="243"/>
      <c r="ADE211" s="243"/>
      <c r="ADF211" s="243"/>
      <c r="ADG211" s="243"/>
      <c r="ADH211" s="243"/>
      <c r="ADI211" s="243"/>
      <c r="ADJ211" s="243"/>
      <c r="ADK211" s="243"/>
      <c r="ADL211" s="243"/>
      <c r="ADM211" s="243"/>
      <c r="ADN211" s="243"/>
      <c r="ADO211" s="243"/>
      <c r="ADP211" s="243"/>
      <c r="ADQ211" s="243"/>
      <c r="ADR211" s="243"/>
      <c r="ADS211" s="243"/>
      <c r="ADT211" s="243"/>
      <c r="ADU211" s="243"/>
      <c r="ADV211" s="243"/>
      <c r="ADW211" s="243"/>
      <c r="ADX211" s="243"/>
      <c r="ADY211" s="243"/>
      <c r="ADZ211" s="243"/>
      <c r="AEA211" s="243"/>
      <c r="AEB211" s="243"/>
      <c r="AEC211" s="243"/>
      <c r="AED211" s="243"/>
      <c r="AEE211" s="243"/>
      <c r="AEF211" s="243"/>
      <c r="AEG211" s="243"/>
      <c r="AEH211" s="243"/>
      <c r="AEI211" s="243"/>
      <c r="AEJ211" s="243"/>
      <c r="AEK211" s="243"/>
      <c r="AEL211" s="243"/>
      <c r="AEM211" s="243"/>
      <c r="AEN211" s="243"/>
      <c r="AEO211" s="243"/>
      <c r="AEP211" s="243"/>
      <c r="AEQ211" s="243"/>
      <c r="AER211" s="243"/>
      <c r="AES211" s="243"/>
      <c r="AET211" s="243"/>
      <c r="AEU211" s="243"/>
      <c r="AEV211" s="243"/>
      <c r="AEW211" s="243"/>
      <c r="AEX211" s="243"/>
      <c r="AEY211" s="243"/>
      <c r="AEZ211" s="243"/>
      <c r="AFA211" s="243"/>
      <c r="AFB211" s="243"/>
      <c r="AFC211" s="243"/>
      <c r="AFD211" s="243"/>
      <c r="AFE211" s="243"/>
      <c r="AFF211" s="243"/>
      <c r="AFG211" s="243"/>
      <c r="AFH211" s="243"/>
      <c r="AFI211" s="243"/>
      <c r="AFJ211" s="243"/>
      <c r="AFK211" s="243"/>
      <c r="AFL211" s="243"/>
      <c r="AFM211" s="243"/>
      <c r="AFN211" s="243"/>
      <c r="AFO211" s="243"/>
      <c r="AFP211" s="243"/>
      <c r="AFQ211" s="243"/>
      <c r="AFR211" s="243"/>
      <c r="AFS211" s="243"/>
      <c r="AFT211" s="243"/>
      <c r="AFU211" s="243"/>
      <c r="AFV211" s="243"/>
      <c r="AFW211" s="243"/>
      <c r="AFX211" s="243"/>
      <c r="AFY211" s="243"/>
      <c r="AFZ211" s="243"/>
      <c r="AGA211" s="243"/>
      <c r="AGB211" s="243"/>
      <c r="AGC211" s="243"/>
      <c r="AGD211" s="243"/>
      <c r="AGE211" s="243"/>
      <c r="AGF211" s="243"/>
      <c r="AGG211" s="243"/>
      <c r="AGH211" s="243"/>
      <c r="AGI211" s="243"/>
      <c r="AGJ211" s="243"/>
      <c r="AGK211" s="243"/>
      <c r="AGL211" s="243"/>
      <c r="AGM211" s="243"/>
      <c r="AGN211" s="243"/>
      <c r="AGO211" s="243"/>
      <c r="AGP211" s="243"/>
      <c r="AGQ211" s="243"/>
      <c r="AGR211" s="243"/>
      <c r="AGS211" s="243"/>
      <c r="AGT211" s="243"/>
      <c r="AGU211" s="243"/>
      <c r="AGV211" s="243"/>
      <c r="AGW211" s="243"/>
      <c r="AGX211" s="243"/>
      <c r="AGY211" s="243"/>
      <c r="AGZ211" s="243"/>
      <c r="AHA211" s="243"/>
      <c r="AHB211" s="243"/>
      <c r="AHC211" s="243"/>
      <c r="AHD211" s="243"/>
      <c r="AHE211" s="243"/>
      <c r="AHF211" s="243"/>
      <c r="AHG211" s="243"/>
      <c r="AHH211" s="243"/>
      <c r="AHI211" s="243"/>
      <c r="AHJ211" s="243"/>
      <c r="AHK211" s="243"/>
      <c r="AHL211" s="243"/>
      <c r="AHM211" s="243"/>
      <c r="AHN211" s="243"/>
      <c r="AHO211" s="243"/>
      <c r="AHP211" s="243"/>
      <c r="AHQ211" s="243"/>
      <c r="AHR211" s="243"/>
      <c r="AHS211" s="243"/>
      <c r="AHT211" s="243"/>
      <c r="AHU211" s="243"/>
      <c r="AHV211" s="243"/>
      <c r="AHW211" s="243"/>
      <c r="AHX211" s="243"/>
      <c r="AHY211" s="243"/>
      <c r="AHZ211" s="243"/>
      <c r="AIA211" s="243"/>
      <c r="AIB211" s="243"/>
      <c r="AIC211" s="243"/>
      <c r="AID211" s="243"/>
      <c r="AIE211" s="243"/>
      <c r="AIF211" s="243"/>
      <c r="AIG211" s="243"/>
      <c r="AIH211" s="243"/>
      <c r="AII211" s="243"/>
      <c r="AIJ211" s="243"/>
      <c r="AIK211" s="243"/>
      <c r="AIL211" s="243"/>
      <c r="AIM211" s="243"/>
      <c r="AIN211" s="243"/>
      <c r="AIO211" s="243"/>
      <c r="AIP211" s="243"/>
      <c r="AIQ211" s="243"/>
      <c r="AIR211" s="243"/>
      <c r="AIS211" s="243"/>
      <c r="AIT211" s="243"/>
      <c r="AIU211" s="243"/>
      <c r="AIV211" s="243"/>
      <c r="AIW211" s="243"/>
      <c r="AIX211" s="243"/>
      <c r="AIY211" s="243"/>
      <c r="AIZ211" s="243"/>
      <c r="AJA211" s="243"/>
      <c r="AJB211" s="243"/>
      <c r="AJC211" s="243"/>
      <c r="AJD211" s="243"/>
      <c r="AJE211" s="243"/>
      <c r="AJF211" s="243"/>
      <c r="AJG211" s="243"/>
      <c r="AJH211" s="243"/>
      <c r="AJI211" s="243"/>
      <c r="AJJ211" s="243"/>
      <c r="AJK211" s="243"/>
      <c r="AJL211" s="243"/>
      <c r="AJM211" s="243"/>
      <c r="AJN211" s="243"/>
      <c r="AJO211" s="243"/>
      <c r="AJP211" s="243"/>
      <c r="AJQ211" s="243"/>
      <c r="AJR211" s="243"/>
      <c r="AJS211" s="243"/>
      <c r="AJT211" s="243"/>
      <c r="AJU211" s="243"/>
      <c r="AJV211" s="243"/>
      <c r="AJW211" s="243"/>
      <c r="AJX211" s="243"/>
      <c r="AJY211" s="243"/>
      <c r="AJZ211" s="243"/>
      <c r="AKA211" s="243"/>
      <c r="AKB211" s="243"/>
      <c r="AKC211" s="243"/>
      <c r="AKD211" s="243"/>
      <c r="AKE211" s="243"/>
      <c r="AKF211" s="243"/>
      <c r="AKG211" s="243"/>
      <c r="AKH211" s="243"/>
      <c r="AKI211" s="243"/>
      <c r="AKJ211" s="243"/>
      <c r="AKK211" s="243"/>
      <c r="AKL211" s="243"/>
      <c r="AKM211" s="243"/>
      <c r="AKN211" s="243"/>
      <c r="AKO211" s="243"/>
      <c r="AKP211" s="243"/>
      <c r="AKQ211" s="243"/>
      <c r="AKR211" s="243"/>
      <c r="AKS211" s="243"/>
      <c r="AKT211" s="243"/>
      <c r="AKU211" s="243"/>
      <c r="AKV211" s="243"/>
      <c r="AKW211" s="243"/>
      <c r="AKX211" s="243"/>
      <c r="AKY211" s="243"/>
      <c r="AKZ211" s="243"/>
      <c r="ALA211" s="243"/>
      <c r="ALB211" s="243"/>
      <c r="ALC211" s="243"/>
      <c r="ALD211" s="243"/>
      <c r="ALE211" s="243"/>
      <c r="ALF211" s="243"/>
      <c r="ALG211" s="243"/>
      <c r="ALH211" s="243"/>
      <c r="ALI211" s="243"/>
      <c r="ALJ211" s="243"/>
      <c r="ALK211" s="243"/>
      <c r="ALL211" s="243"/>
      <c r="ALM211" s="243"/>
      <c r="ALN211" s="243"/>
      <c r="ALO211" s="243"/>
      <c r="ALP211" s="243"/>
      <c r="ALQ211" s="243"/>
      <c r="ALR211" s="243"/>
      <c r="ALS211" s="243"/>
      <c r="ALT211" s="243"/>
      <c r="ALU211" s="243"/>
      <c r="ALV211" s="243"/>
      <c r="ALW211" s="243"/>
      <c r="ALX211" s="243"/>
      <c r="ALY211" s="243"/>
      <c r="ALZ211" s="243"/>
      <c r="AMA211" s="243"/>
      <c r="AMB211" s="243"/>
      <c r="AMC211" s="243"/>
      <c r="AMD211" s="243"/>
      <c r="AME211" s="243"/>
      <c r="AMF211" s="243"/>
      <c r="AMG211" s="243"/>
      <c r="AMH211" s="243"/>
      <c r="AMI211" s="244"/>
      <c r="AMJ211" s="244"/>
    </row>
    <row r="212" spans="1:1024">
      <c r="A212" s="911"/>
      <c r="B212" s="481"/>
      <c r="C212" s="482"/>
      <c r="D212" s="481" t="s">
        <v>144</v>
      </c>
      <c r="E212" s="487"/>
      <c r="F212" s="481"/>
      <c r="G212" s="481"/>
      <c r="H212" s="481" t="s">
        <v>73</v>
      </c>
      <c r="I212" s="481" t="s">
        <v>124</v>
      </c>
      <c r="J212" s="481"/>
      <c r="K212" s="481"/>
      <c r="L212" s="481" t="s">
        <v>143</v>
      </c>
      <c r="M212" s="486"/>
      <c r="N212" s="479"/>
      <c r="O212" s="480"/>
      <c r="P212" s="480"/>
      <c r="Q212" s="496">
        <f>Q202+Q203</f>
        <v>149000</v>
      </c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  <c r="AH212" s="243"/>
      <c r="AI212" s="243"/>
      <c r="AJ212" s="243"/>
      <c r="AK212" s="243"/>
      <c r="AL212" s="243"/>
      <c r="AM212" s="243"/>
      <c r="AN212" s="243"/>
      <c r="AO212" s="243"/>
      <c r="AP212" s="243"/>
      <c r="AQ212" s="243"/>
      <c r="AR212" s="243"/>
      <c r="AS212" s="243"/>
      <c r="AT212" s="243"/>
      <c r="AU212" s="243"/>
      <c r="AV212" s="243"/>
      <c r="AW212" s="243"/>
      <c r="AX212" s="243"/>
      <c r="AY212" s="243"/>
      <c r="AZ212" s="243"/>
      <c r="BA212" s="243"/>
      <c r="BB212" s="243"/>
      <c r="BC212" s="243"/>
      <c r="BD212" s="243"/>
      <c r="BE212" s="243"/>
      <c r="BF212" s="243"/>
      <c r="BG212" s="243"/>
      <c r="BH212" s="243"/>
      <c r="BI212" s="243"/>
      <c r="BJ212" s="243"/>
      <c r="BK212" s="243"/>
      <c r="BL212" s="243"/>
      <c r="BM212" s="243"/>
      <c r="BN212" s="243"/>
      <c r="BO212" s="243"/>
      <c r="BP212" s="243"/>
      <c r="BQ212" s="243"/>
      <c r="BR212" s="243"/>
      <c r="BS212" s="243"/>
      <c r="BT212" s="243"/>
      <c r="BU212" s="243"/>
      <c r="BV212" s="243"/>
      <c r="BW212" s="243"/>
      <c r="BX212" s="243"/>
      <c r="BY212" s="243"/>
      <c r="BZ212" s="243"/>
      <c r="CA212" s="243"/>
      <c r="CB212" s="243"/>
      <c r="CC212" s="243"/>
      <c r="CD212" s="243"/>
      <c r="CE212" s="243"/>
      <c r="CF212" s="243"/>
      <c r="CG212" s="243"/>
      <c r="CH212" s="243"/>
      <c r="CI212" s="243"/>
      <c r="CJ212" s="243"/>
      <c r="CK212" s="243"/>
      <c r="CL212" s="243"/>
      <c r="CM212" s="243"/>
      <c r="CN212" s="243"/>
      <c r="CO212" s="243"/>
      <c r="CP212" s="243"/>
      <c r="CQ212" s="243"/>
      <c r="CR212" s="243"/>
      <c r="CS212" s="243"/>
      <c r="CT212" s="243"/>
      <c r="CU212" s="243"/>
      <c r="CV212" s="243"/>
      <c r="CW212" s="243"/>
      <c r="CX212" s="243"/>
      <c r="CY212" s="243"/>
      <c r="CZ212" s="243"/>
      <c r="DA212" s="243"/>
      <c r="DB212" s="243"/>
      <c r="DC212" s="243"/>
      <c r="DD212" s="243"/>
      <c r="DE212" s="243"/>
      <c r="DF212" s="243"/>
      <c r="DG212" s="243"/>
      <c r="DH212" s="243"/>
      <c r="DI212" s="243"/>
      <c r="DJ212" s="243"/>
      <c r="DK212" s="243"/>
      <c r="DL212" s="243"/>
      <c r="DM212" s="243"/>
      <c r="DN212" s="243"/>
      <c r="DO212" s="243"/>
      <c r="DP212" s="243"/>
      <c r="DQ212" s="243"/>
      <c r="DR212" s="243"/>
      <c r="DS212" s="243"/>
      <c r="DT212" s="243"/>
      <c r="DU212" s="243"/>
      <c r="DV212" s="243"/>
      <c r="DW212" s="243"/>
      <c r="DX212" s="243"/>
      <c r="DY212" s="243"/>
      <c r="DZ212" s="243"/>
      <c r="EA212" s="243"/>
      <c r="EB212" s="243"/>
      <c r="EC212" s="243"/>
      <c r="ED212" s="243"/>
      <c r="EE212" s="243"/>
      <c r="EF212" s="243"/>
      <c r="EG212" s="243"/>
      <c r="EH212" s="243"/>
      <c r="EI212" s="243"/>
      <c r="EJ212" s="243"/>
      <c r="EK212" s="243"/>
      <c r="EL212" s="243"/>
      <c r="EM212" s="243"/>
      <c r="EN212" s="243"/>
      <c r="EO212" s="243"/>
      <c r="EP212" s="243"/>
      <c r="EQ212" s="243"/>
      <c r="ER212" s="243"/>
      <c r="ES212" s="243"/>
      <c r="ET212" s="243"/>
      <c r="EU212" s="243"/>
      <c r="EV212" s="243"/>
      <c r="EW212" s="243"/>
      <c r="EX212" s="243"/>
      <c r="EY212" s="243"/>
      <c r="EZ212" s="243"/>
      <c r="FA212" s="243"/>
      <c r="FB212" s="243"/>
      <c r="FC212" s="243"/>
      <c r="FD212" s="243"/>
      <c r="FE212" s="243"/>
      <c r="FF212" s="243"/>
      <c r="FG212" s="243"/>
      <c r="FH212" s="243"/>
      <c r="FI212" s="243"/>
      <c r="FJ212" s="243"/>
      <c r="FK212" s="243"/>
      <c r="FL212" s="243"/>
      <c r="FM212" s="243"/>
      <c r="FN212" s="243"/>
      <c r="FO212" s="243"/>
      <c r="FP212" s="243"/>
      <c r="FQ212" s="243"/>
      <c r="FR212" s="243"/>
      <c r="FS212" s="243"/>
      <c r="FT212" s="243"/>
      <c r="FU212" s="243"/>
      <c r="FV212" s="243"/>
      <c r="FW212" s="243"/>
      <c r="FX212" s="243"/>
      <c r="FY212" s="243"/>
      <c r="FZ212" s="243"/>
      <c r="GA212" s="243"/>
      <c r="GB212" s="243"/>
      <c r="GC212" s="243"/>
      <c r="GD212" s="243"/>
      <c r="GE212" s="243"/>
      <c r="GF212" s="243"/>
      <c r="GG212" s="243"/>
      <c r="GH212" s="243"/>
      <c r="GI212" s="243"/>
      <c r="GJ212" s="243"/>
      <c r="GK212" s="243"/>
      <c r="GL212" s="243"/>
      <c r="GM212" s="243"/>
      <c r="GN212" s="243"/>
      <c r="GO212" s="243"/>
      <c r="GP212" s="243"/>
      <c r="GQ212" s="243"/>
      <c r="GR212" s="243"/>
      <c r="GS212" s="243"/>
      <c r="GT212" s="243"/>
      <c r="GU212" s="243"/>
      <c r="GV212" s="243"/>
      <c r="GW212" s="243"/>
      <c r="GX212" s="243"/>
      <c r="GY212" s="243"/>
      <c r="GZ212" s="243"/>
      <c r="HA212" s="243"/>
      <c r="HB212" s="243"/>
      <c r="HC212" s="243"/>
      <c r="HD212" s="243"/>
      <c r="HE212" s="243"/>
      <c r="HF212" s="243"/>
      <c r="HG212" s="243"/>
      <c r="HH212" s="243"/>
      <c r="HI212" s="243"/>
      <c r="HJ212" s="243"/>
      <c r="HK212" s="243"/>
      <c r="HL212" s="243"/>
      <c r="HM212" s="243"/>
      <c r="HN212" s="243"/>
      <c r="HO212" s="243"/>
      <c r="HP212" s="243"/>
      <c r="HQ212" s="243"/>
      <c r="HR212" s="243"/>
      <c r="HS212" s="243"/>
      <c r="HT212" s="243"/>
      <c r="HU212" s="243"/>
      <c r="HV212" s="243"/>
      <c r="HW212" s="243"/>
      <c r="HX212" s="243"/>
      <c r="HY212" s="243"/>
      <c r="HZ212" s="243"/>
      <c r="IA212" s="243"/>
      <c r="IB212" s="243"/>
      <c r="IC212" s="243"/>
      <c r="ID212" s="243"/>
      <c r="IE212" s="243"/>
      <c r="IF212" s="243"/>
      <c r="IG212" s="243"/>
      <c r="IH212" s="243"/>
      <c r="II212" s="243"/>
      <c r="IJ212" s="243"/>
      <c r="IK212" s="243"/>
      <c r="IL212" s="243"/>
      <c r="IM212" s="243"/>
      <c r="IN212" s="243"/>
      <c r="IO212" s="243"/>
      <c r="IP212" s="243"/>
      <c r="IQ212" s="243"/>
      <c r="IR212" s="243"/>
      <c r="IS212" s="243"/>
      <c r="IT212" s="243"/>
      <c r="IU212" s="243"/>
      <c r="IV212" s="243"/>
      <c r="IW212" s="243"/>
      <c r="IX212" s="243"/>
      <c r="IY212" s="243"/>
      <c r="IZ212" s="243"/>
      <c r="JA212" s="243"/>
      <c r="JB212" s="243"/>
      <c r="JC212" s="243"/>
      <c r="JD212" s="243"/>
      <c r="JE212" s="243"/>
      <c r="JF212" s="243"/>
      <c r="JG212" s="243"/>
      <c r="JH212" s="243"/>
      <c r="JI212" s="243"/>
      <c r="JJ212" s="243"/>
      <c r="JK212" s="243"/>
      <c r="JL212" s="243"/>
      <c r="JM212" s="243"/>
      <c r="JN212" s="243"/>
      <c r="JO212" s="243"/>
      <c r="JP212" s="243"/>
      <c r="JQ212" s="243"/>
      <c r="JR212" s="243"/>
      <c r="JS212" s="243"/>
      <c r="JT212" s="243"/>
      <c r="JU212" s="243"/>
      <c r="JV212" s="243"/>
      <c r="JW212" s="243"/>
      <c r="JX212" s="243"/>
      <c r="JY212" s="243"/>
      <c r="JZ212" s="243"/>
      <c r="KA212" s="243"/>
      <c r="KB212" s="243"/>
      <c r="KC212" s="243"/>
      <c r="KD212" s="243"/>
      <c r="KE212" s="243"/>
      <c r="KF212" s="243"/>
      <c r="KG212" s="243"/>
      <c r="KH212" s="243"/>
      <c r="KI212" s="243"/>
      <c r="KJ212" s="243"/>
      <c r="KK212" s="243"/>
      <c r="KL212" s="243"/>
      <c r="KM212" s="243"/>
      <c r="KN212" s="243"/>
      <c r="KO212" s="243"/>
      <c r="KP212" s="243"/>
      <c r="KQ212" s="243"/>
      <c r="KR212" s="243"/>
      <c r="KS212" s="243"/>
      <c r="KT212" s="243"/>
      <c r="KU212" s="243"/>
      <c r="KV212" s="243"/>
      <c r="KW212" s="243"/>
      <c r="KX212" s="243"/>
      <c r="KY212" s="243"/>
      <c r="KZ212" s="243"/>
      <c r="LA212" s="243"/>
      <c r="LB212" s="243"/>
      <c r="LC212" s="243"/>
      <c r="LD212" s="243"/>
      <c r="LE212" s="243"/>
      <c r="LF212" s="243"/>
      <c r="LG212" s="243"/>
      <c r="LH212" s="243"/>
      <c r="LI212" s="243"/>
      <c r="LJ212" s="243"/>
      <c r="LK212" s="243"/>
      <c r="LL212" s="243"/>
      <c r="LM212" s="243"/>
      <c r="LN212" s="243"/>
      <c r="LO212" s="243"/>
      <c r="LP212" s="243"/>
      <c r="LQ212" s="243"/>
      <c r="LR212" s="243"/>
      <c r="LS212" s="243"/>
      <c r="LT212" s="243"/>
      <c r="LU212" s="243"/>
      <c r="LV212" s="243"/>
      <c r="LW212" s="243"/>
      <c r="LX212" s="243"/>
      <c r="LY212" s="243"/>
      <c r="LZ212" s="243"/>
      <c r="MA212" s="243"/>
      <c r="MB212" s="243"/>
      <c r="MC212" s="243"/>
      <c r="MD212" s="243"/>
      <c r="ME212" s="243"/>
      <c r="MF212" s="243"/>
      <c r="MG212" s="243"/>
      <c r="MH212" s="243"/>
      <c r="MI212" s="243"/>
      <c r="MJ212" s="243"/>
      <c r="MK212" s="243"/>
      <c r="ML212" s="243"/>
      <c r="MM212" s="243"/>
      <c r="MN212" s="243"/>
      <c r="MO212" s="243"/>
      <c r="MP212" s="243"/>
      <c r="MQ212" s="243"/>
      <c r="MR212" s="243"/>
      <c r="MS212" s="243"/>
      <c r="MT212" s="243"/>
      <c r="MU212" s="243"/>
      <c r="MV212" s="243"/>
      <c r="MW212" s="243"/>
      <c r="MX212" s="243"/>
      <c r="MY212" s="243"/>
      <c r="MZ212" s="243"/>
      <c r="NA212" s="243"/>
      <c r="NB212" s="243"/>
      <c r="NC212" s="243"/>
      <c r="ND212" s="243"/>
      <c r="NE212" s="243"/>
      <c r="NF212" s="243"/>
      <c r="NG212" s="243"/>
      <c r="NH212" s="243"/>
      <c r="NI212" s="243"/>
      <c r="NJ212" s="243"/>
      <c r="NK212" s="243"/>
      <c r="NL212" s="243"/>
      <c r="NM212" s="243"/>
      <c r="NN212" s="243"/>
      <c r="NO212" s="243"/>
      <c r="NP212" s="243"/>
      <c r="NQ212" s="243"/>
      <c r="NR212" s="243"/>
      <c r="NS212" s="243"/>
      <c r="NT212" s="243"/>
      <c r="NU212" s="243"/>
      <c r="NV212" s="243"/>
      <c r="NW212" s="243"/>
      <c r="NX212" s="243"/>
      <c r="NY212" s="243"/>
      <c r="NZ212" s="243"/>
      <c r="OA212" s="243"/>
      <c r="OB212" s="243"/>
      <c r="OC212" s="243"/>
      <c r="OD212" s="243"/>
      <c r="OE212" s="243"/>
      <c r="OF212" s="243"/>
      <c r="OG212" s="243"/>
      <c r="OH212" s="243"/>
      <c r="OI212" s="243"/>
      <c r="OJ212" s="243"/>
      <c r="OK212" s="243"/>
      <c r="OL212" s="243"/>
      <c r="OM212" s="243"/>
      <c r="ON212" s="243"/>
      <c r="OO212" s="243"/>
      <c r="OP212" s="243"/>
      <c r="OQ212" s="243"/>
      <c r="OR212" s="243"/>
      <c r="OS212" s="243"/>
      <c r="OT212" s="243"/>
      <c r="OU212" s="243"/>
      <c r="OV212" s="243"/>
      <c r="OW212" s="243"/>
      <c r="OX212" s="243"/>
      <c r="OY212" s="243"/>
      <c r="OZ212" s="243"/>
      <c r="PA212" s="243"/>
      <c r="PB212" s="243"/>
      <c r="PC212" s="243"/>
      <c r="PD212" s="243"/>
      <c r="PE212" s="243"/>
      <c r="PF212" s="243"/>
      <c r="PG212" s="243"/>
      <c r="PH212" s="243"/>
      <c r="PI212" s="243"/>
      <c r="PJ212" s="243"/>
      <c r="PK212" s="243"/>
      <c r="PL212" s="243"/>
      <c r="PM212" s="243"/>
      <c r="PN212" s="243"/>
      <c r="PO212" s="243"/>
      <c r="PP212" s="243"/>
      <c r="PQ212" s="243"/>
      <c r="PR212" s="243"/>
      <c r="PS212" s="243"/>
      <c r="PT212" s="243"/>
      <c r="PU212" s="243"/>
      <c r="PV212" s="243"/>
      <c r="PW212" s="243"/>
      <c r="PX212" s="243"/>
      <c r="PY212" s="243"/>
      <c r="PZ212" s="243"/>
      <c r="QA212" s="243"/>
      <c r="QB212" s="243"/>
      <c r="QC212" s="243"/>
      <c r="QD212" s="243"/>
      <c r="QE212" s="243"/>
      <c r="QF212" s="243"/>
      <c r="QG212" s="243"/>
      <c r="QH212" s="243"/>
      <c r="QI212" s="243"/>
      <c r="QJ212" s="243"/>
      <c r="QK212" s="243"/>
      <c r="QL212" s="243"/>
      <c r="QM212" s="243"/>
      <c r="QN212" s="243"/>
      <c r="QO212" s="243"/>
      <c r="QP212" s="243"/>
      <c r="QQ212" s="243"/>
      <c r="QR212" s="243"/>
      <c r="QS212" s="243"/>
      <c r="QT212" s="243"/>
      <c r="QU212" s="243"/>
      <c r="QV212" s="243"/>
      <c r="QW212" s="243"/>
      <c r="QX212" s="243"/>
      <c r="QY212" s="243"/>
      <c r="QZ212" s="243"/>
      <c r="RA212" s="243"/>
      <c r="RB212" s="243"/>
      <c r="RC212" s="243"/>
      <c r="RD212" s="243"/>
      <c r="RE212" s="243"/>
      <c r="RF212" s="243"/>
      <c r="RG212" s="243"/>
      <c r="RH212" s="243"/>
      <c r="RI212" s="243"/>
      <c r="RJ212" s="243"/>
      <c r="RK212" s="243"/>
      <c r="RL212" s="243"/>
      <c r="RM212" s="243"/>
      <c r="RN212" s="243"/>
      <c r="RO212" s="243"/>
      <c r="RP212" s="243"/>
      <c r="RQ212" s="243"/>
      <c r="RR212" s="243"/>
      <c r="RS212" s="243"/>
      <c r="RT212" s="243"/>
      <c r="RU212" s="243"/>
      <c r="RV212" s="243"/>
      <c r="RW212" s="243"/>
      <c r="RX212" s="243"/>
      <c r="RY212" s="243"/>
      <c r="RZ212" s="243"/>
      <c r="SA212" s="243"/>
      <c r="SB212" s="243"/>
      <c r="SC212" s="243"/>
      <c r="SD212" s="243"/>
      <c r="SE212" s="243"/>
      <c r="SF212" s="243"/>
      <c r="SG212" s="243"/>
      <c r="SH212" s="243"/>
      <c r="SI212" s="243"/>
      <c r="SJ212" s="243"/>
      <c r="SK212" s="243"/>
      <c r="SL212" s="243"/>
      <c r="SM212" s="243"/>
      <c r="SN212" s="243"/>
      <c r="SO212" s="243"/>
      <c r="SP212" s="243"/>
      <c r="SQ212" s="243"/>
      <c r="SR212" s="243"/>
      <c r="SS212" s="243"/>
      <c r="ST212" s="243"/>
      <c r="SU212" s="243"/>
      <c r="SV212" s="243"/>
      <c r="SW212" s="243"/>
      <c r="SX212" s="243"/>
      <c r="SY212" s="243"/>
      <c r="SZ212" s="243"/>
      <c r="TA212" s="243"/>
      <c r="TB212" s="243"/>
      <c r="TC212" s="243"/>
      <c r="TD212" s="243"/>
      <c r="TE212" s="243"/>
      <c r="TF212" s="243"/>
      <c r="TG212" s="243"/>
      <c r="TH212" s="243"/>
      <c r="TI212" s="243"/>
      <c r="TJ212" s="243"/>
      <c r="TK212" s="243"/>
      <c r="TL212" s="243"/>
      <c r="TM212" s="243"/>
      <c r="TN212" s="243"/>
      <c r="TO212" s="243"/>
      <c r="TP212" s="243"/>
      <c r="TQ212" s="243"/>
      <c r="TR212" s="243"/>
      <c r="TS212" s="243"/>
      <c r="TT212" s="243"/>
      <c r="TU212" s="243"/>
      <c r="TV212" s="243"/>
      <c r="TW212" s="243"/>
      <c r="TX212" s="243"/>
      <c r="TY212" s="243"/>
      <c r="TZ212" s="243"/>
      <c r="UA212" s="243"/>
      <c r="UB212" s="243"/>
      <c r="UC212" s="243"/>
      <c r="UD212" s="243"/>
      <c r="UE212" s="243"/>
      <c r="UF212" s="243"/>
      <c r="UG212" s="243"/>
      <c r="UH212" s="243"/>
      <c r="UI212" s="243"/>
      <c r="UJ212" s="243"/>
      <c r="UK212" s="243"/>
      <c r="UL212" s="243"/>
      <c r="UM212" s="243"/>
      <c r="UN212" s="243"/>
      <c r="UO212" s="243"/>
      <c r="UP212" s="243"/>
      <c r="UQ212" s="243"/>
      <c r="UR212" s="243"/>
      <c r="US212" s="243"/>
      <c r="UT212" s="243"/>
      <c r="UU212" s="243"/>
      <c r="UV212" s="243"/>
      <c r="UW212" s="243"/>
      <c r="UX212" s="243"/>
      <c r="UY212" s="243"/>
      <c r="UZ212" s="243"/>
      <c r="VA212" s="243"/>
      <c r="VB212" s="243"/>
      <c r="VC212" s="243"/>
      <c r="VD212" s="243"/>
      <c r="VE212" s="243"/>
      <c r="VF212" s="243"/>
      <c r="VG212" s="243"/>
      <c r="VH212" s="243"/>
      <c r="VI212" s="243"/>
      <c r="VJ212" s="243"/>
      <c r="VK212" s="243"/>
      <c r="VL212" s="243"/>
      <c r="VM212" s="243"/>
      <c r="VN212" s="243"/>
      <c r="VO212" s="243"/>
      <c r="VP212" s="243"/>
      <c r="VQ212" s="243"/>
      <c r="VR212" s="243"/>
      <c r="VS212" s="243"/>
      <c r="VT212" s="243"/>
      <c r="VU212" s="243"/>
      <c r="VV212" s="243"/>
      <c r="VW212" s="243"/>
      <c r="VX212" s="243"/>
      <c r="VY212" s="243"/>
      <c r="VZ212" s="243"/>
      <c r="WA212" s="243"/>
      <c r="WB212" s="243"/>
      <c r="WC212" s="243"/>
      <c r="WD212" s="243"/>
      <c r="WE212" s="243"/>
      <c r="WF212" s="243"/>
      <c r="WG212" s="243"/>
      <c r="WH212" s="243"/>
      <c r="WI212" s="243"/>
      <c r="WJ212" s="243"/>
      <c r="WK212" s="243"/>
      <c r="WL212" s="243"/>
      <c r="WM212" s="243"/>
      <c r="WN212" s="243"/>
      <c r="WO212" s="243"/>
      <c r="WP212" s="243"/>
      <c r="WQ212" s="243"/>
      <c r="WR212" s="243"/>
      <c r="WS212" s="243"/>
      <c r="WT212" s="243"/>
      <c r="WU212" s="243"/>
      <c r="WV212" s="243"/>
      <c r="WW212" s="243"/>
      <c r="WX212" s="243"/>
      <c r="WY212" s="243"/>
      <c r="WZ212" s="243"/>
      <c r="XA212" s="243"/>
      <c r="XB212" s="243"/>
      <c r="XC212" s="243"/>
      <c r="XD212" s="243"/>
      <c r="XE212" s="243"/>
      <c r="XF212" s="243"/>
      <c r="XG212" s="243"/>
      <c r="XH212" s="243"/>
      <c r="XI212" s="243"/>
      <c r="XJ212" s="243"/>
      <c r="XK212" s="243"/>
      <c r="XL212" s="243"/>
      <c r="XM212" s="243"/>
      <c r="XN212" s="243"/>
      <c r="XO212" s="243"/>
      <c r="XP212" s="243"/>
      <c r="XQ212" s="243"/>
      <c r="XR212" s="243"/>
      <c r="XS212" s="243"/>
      <c r="XT212" s="243"/>
      <c r="XU212" s="243"/>
      <c r="XV212" s="243"/>
      <c r="XW212" s="243"/>
      <c r="XX212" s="243"/>
      <c r="XY212" s="243"/>
      <c r="XZ212" s="243"/>
      <c r="YA212" s="243"/>
      <c r="YB212" s="243"/>
      <c r="YC212" s="243"/>
      <c r="YD212" s="243"/>
      <c r="YE212" s="243"/>
      <c r="YF212" s="243"/>
      <c r="YG212" s="243"/>
      <c r="YH212" s="243"/>
      <c r="YI212" s="243"/>
      <c r="YJ212" s="243"/>
      <c r="YK212" s="243"/>
      <c r="YL212" s="243"/>
      <c r="YM212" s="243"/>
      <c r="YN212" s="243"/>
      <c r="YO212" s="243"/>
      <c r="YP212" s="243"/>
      <c r="YQ212" s="243"/>
      <c r="YR212" s="243"/>
      <c r="YS212" s="243"/>
      <c r="YT212" s="243"/>
      <c r="YU212" s="243"/>
      <c r="YV212" s="243"/>
      <c r="YW212" s="243"/>
      <c r="YX212" s="243"/>
      <c r="YY212" s="243"/>
      <c r="YZ212" s="243"/>
      <c r="ZA212" s="243"/>
      <c r="ZB212" s="243"/>
      <c r="ZC212" s="243"/>
      <c r="ZD212" s="243"/>
      <c r="ZE212" s="243"/>
      <c r="ZF212" s="243"/>
      <c r="ZG212" s="243"/>
      <c r="ZH212" s="243"/>
      <c r="ZI212" s="243"/>
      <c r="ZJ212" s="243"/>
      <c r="ZK212" s="243"/>
      <c r="ZL212" s="243"/>
      <c r="ZM212" s="243"/>
      <c r="ZN212" s="243"/>
      <c r="ZO212" s="243"/>
      <c r="ZP212" s="243"/>
      <c r="ZQ212" s="243"/>
      <c r="ZR212" s="243"/>
      <c r="ZS212" s="243"/>
      <c r="ZT212" s="243"/>
      <c r="ZU212" s="243"/>
      <c r="ZV212" s="243"/>
      <c r="ZW212" s="243"/>
      <c r="ZX212" s="243"/>
      <c r="ZY212" s="243"/>
      <c r="ZZ212" s="243"/>
      <c r="AAA212" s="243"/>
      <c r="AAB212" s="243"/>
      <c r="AAC212" s="243"/>
      <c r="AAD212" s="243"/>
      <c r="AAE212" s="243"/>
      <c r="AAF212" s="243"/>
      <c r="AAG212" s="243"/>
      <c r="AAH212" s="243"/>
      <c r="AAI212" s="243"/>
      <c r="AAJ212" s="243"/>
      <c r="AAK212" s="243"/>
      <c r="AAL212" s="243"/>
      <c r="AAM212" s="243"/>
      <c r="AAN212" s="243"/>
      <c r="AAO212" s="243"/>
      <c r="AAP212" s="243"/>
      <c r="AAQ212" s="243"/>
      <c r="AAR212" s="243"/>
      <c r="AAS212" s="243"/>
      <c r="AAT212" s="243"/>
      <c r="AAU212" s="243"/>
      <c r="AAV212" s="243"/>
      <c r="AAW212" s="243"/>
      <c r="AAX212" s="243"/>
      <c r="AAY212" s="243"/>
      <c r="AAZ212" s="243"/>
      <c r="ABA212" s="243"/>
      <c r="ABB212" s="243"/>
      <c r="ABC212" s="243"/>
      <c r="ABD212" s="243"/>
      <c r="ABE212" s="243"/>
      <c r="ABF212" s="243"/>
      <c r="ABG212" s="243"/>
      <c r="ABH212" s="243"/>
      <c r="ABI212" s="243"/>
      <c r="ABJ212" s="243"/>
      <c r="ABK212" s="243"/>
      <c r="ABL212" s="243"/>
      <c r="ABM212" s="243"/>
      <c r="ABN212" s="243"/>
      <c r="ABO212" s="243"/>
      <c r="ABP212" s="243"/>
      <c r="ABQ212" s="243"/>
      <c r="ABR212" s="243"/>
      <c r="ABS212" s="243"/>
      <c r="ABT212" s="243"/>
      <c r="ABU212" s="243"/>
      <c r="ABV212" s="243"/>
      <c r="ABW212" s="243"/>
      <c r="ABX212" s="243"/>
      <c r="ABY212" s="243"/>
      <c r="ABZ212" s="243"/>
      <c r="ACA212" s="243"/>
      <c r="ACB212" s="243"/>
      <c r="ACC212" s="243"/>
      <c r="ACD212" s="243"/>
      <c r="ACE212" s="243"/>
      <c r="ACF212" s="243"/>
      <c r="ACG212" s="243"/>
      <c r="ACH212" s="243"/>
      <c r="ACI212" s="243"/>
      <c r="ACJ212" s="243"/>
      <c r="ACK212" s="243"/>
      <c r="ACL212" s="243"/>
      <c r="ACM212" s="243"/>
      <c r="ACN212" s="243"/>
      <c r="ACO212" s="243"/>
      <c r="ACP212" s="243"/>
      <c r="ACQ212" s="243"/>
      <c r="ACR212" s="243"/>
      <c r="ACS212" s="243"/>
      <c r="ACT212" s="243"/>
      <c r="ACU212" s="243"/>
      <c r="ACV212" s="243"/>
      <c r="ACW212" s="243"/>
      <c r="ACX212" s="243"/>
      <c r="ACY212" s="243"/>
      <c r="ACZ212" s="243"/>
      <c r="ADA212" s="243"/>
      <c r="ADB212" s="243"/>
      <c r="ADC212" s="243"/>
      <c r="ADD212" s="243"/>
      <c r="ADE212" s="243"/>
      <c r="ADF212" s="243"/>
      <c r="ADG212" s="243"/>
      <c r="ADH212" s="243"/>
      <c r="ADI212" s="243"/>
      <c r="ADJ212" s="243"/>
      <c r="ADK212" s="243"/>
      <c r="ADL212" s="243"/>
      <c r="ADM212" s="243"/>
      <c r="ADN212" s="243"/>
      <c r="ADO212" s="243"/>
      <c r="ADP212" s="243"/>
      <c r="ADQ212" s="243"/>
      <c r="ADR212" s="243"/>
      <c r="ADS212" s="243"/>
      <c r="ADT212" s="243"/>
      <c r="ADU212" s="243"/>
      <c r="ADV212" s="243"/>
      <c r="ADW212" s="243"/>
      <c r="ADX212" s="243"/>
      <c r="ADY212" s="243"/>
      <c r="ADZ212" s="243"/>
      <c r="AEA212" s="243"/>
      <c r="AEB212" s="243"/>
      <c r="AEC212" s="243"/>
      <c r="AED212" s="243"/>
      <c r="AEE212" s="243"/>
      <c r="AEF212" s="243"/>
      <c r="AEG212" s="243"/>
      <c r="AEH212" s="243"/>
      <c r="AEI212" s="243"/>
      <c r="AEJ212" s="243"/>
      <c r="AEK212" s="243"/>
      <c r="AEL212" s="243"/>
      <c r="AEM212" s="243"/>
      <c r="AEN212" s="243"/>
      <c r="AEO212" s="243"/>
      <c r="AEP212" s="243"/>
      <c r="AEQ212" s="243"/>
      <c r="AER212" s="243"/>
      <c r="AES212" s="243"/>
      <c r="AET212" s="243"/>
      <c r="AEU212" s="243"/>
      <c r="AEV212" s="243"/>
      <c r="AEW212" s="243"/>
      <c r="AEX212" s="243"/>
      <c r="AEY212" s="243"/>
      <c r="AEZ212" s="243"/>
      <c r="AFA212" s="243"/>
      <c r="AFB212" s="243"/>
      <c r="AFC212" s="243"/>
      <c r="AFD212" s="243"/>
      <c r="AFE212" s="243"/>
      <c r="AFF212" s="243"/>
      <c r="AFG212" s="243"/>
      <c r="AFH212" s="243"/>
      <c r="AFI212" s="243"/>
      <c r="AFJ212" s="243"/>
      <c r="AFK212" s="243"/>
      <c r="AFL212" s="243"/>
      <c r="AFM212" s="243"/>
      <c r="AFN212" s="243"/>
      <c r="AFO212" s="243"/>
      <c r="AFP212" s="243"/>
      <c r="AFQ212" s="243"/>
      <c r="AFR212" s="243"/>
      <c r="AFS212" s="243"/>
      <c r="AFT212" s="243"/>
      <c r="AFU212" s="243"/>
      <c r="AFV212" s="243"/>
      <c r="AFW212" s="243"/>
      <c r="AFX212" s="243"/>
      <c r="AFY212" s="243"/>
      <c r="AFZ212" s="243"/>
      <c r="AGA212" s="243"/>
      <c r="AGB212" s="243"/>
      <c r="AGC212" s="243"/>
      <c r="AGD212" s="243"/>
      <c r="AGE212" s="243"/>
      <c r="AGF212" s="243"/>
      <c r="AGG212" s="243"/>
      <c r="AGH212" s="243"/>
      <c r="AGI212" s="243"/>
      <c r="AGJ212" s="243"/>
      <c r="AGK212" s="243"/>
      <c r="AGL212" s="243"/>
      <c r="AGM212" s="243"/>
      <c r="AGN212" s="243"/>
      <c r="AGO212" s="243"/>
      <c r="AGP212" s="243"/>
      <c r="AGQ212" s="243"/>
      <c r="AGR212" s="243"/>
      <c r="AGS212" s="243"/>
      <c r="AGT212" s="243"/>
      <c r="AGU212" s="243"/>
      <c r="AGV212" s="243"/>
      <c r="AGW212" s="243"/>
      <c r="AGX212" s="243"/>
      <c r="AGY212" s="243"/>
      <c r="AGZ212" s="243"/>
      <c r="AHA212" s="243"/>
      <c r="AHB212" s="243"/>
      <c r="AHC212" s="243"/>
      <c r="AHD212" s="243"/>
      <c r="AHE212" s="243"/>
      <c r="AHF212" s="243"/>
      <c r="AHG212" s="243"/>
      <c r="AHH212" s="243"/>
      <c r="AHI212" s="243"/>
      <c r="AHJ212" s="243"/>
      <c r="AHK212" s="243"/>
      <c r="AHL212" s="243"/>
      <c r="AHM212" s="243"/>
      <c r="AHN212" s="243"/>
      <c r="AHO212" s="243"/>
      <c r="AHP212" s="243"/>
      <c r="AHQ212" s="243"/>
      <c r="AHR212" s="243"/>
      <c r="AHS212" s="243"/>
      <c r="AHT212" s="243"/>
      <c r="AHU212" s="243"/>
      <c r="AHV212" s="243"/>
      <c r="AHW212" s="243"/>
      <c r="AHX212" s="243"/>
      <c r="AHY212" s="243"/>
      <c r="AHZ212" s="243"/>
      <c r="AIA212" s="243"/>
      <c r="AIB212" s="243"/>
      <c r="AIC212" s="243"/>
      <c r="AID212" s="243"/>
      <c r="AIE212" s="243"/>
      <c r="AIF212" s="243"/>
      <c r="AIG212" s="243"/>
      <c r="AIH212" s="243"/>
      <c r="AII212" s="243"/>
      <c r="AIJ212" s="243"/>
      <c r="AIK212" s="243"/>
      <c r="AIL212" s="243"/>
      <c r="AIM212" s="243"/>
      <c r="AIN212" s="243"/>
      <c r="AIO212" s="243"/>
      <c r="AIP212" s="243"/>
      <c r="AIQ212" s="243"/>
      <c r="AIR212" s="243"/>
      <c r="AIS212" s="243"/>
      <c r="AIT212" s="243"/>
      <c r="AIU212" s="243"/>
      <c r="AIV212" s="243"/>
      <c r="AIW212" s="243"/>
      <c r="AIX212" s="243"/>
      <c r="AIY212" s="243"/>
      <c r="AIZ212" s="243"/>
      <c r="AJA212" s="243"/>
      <c r="AJB212" s="243"/>
      <c r="AJC212" s="243"/>
      <c r="AJD212" s="243"/>
      <c r="AJE212" s="243"/>
      <c r="AJF212" s="243"/>
      <c r="AJG212" s="243"/>
      <c r="AJH212" s="243"/>
      <c r="AJI212" s="243"/>
      <c r="AJJ212" s="243"/>
      <c r="AJK212" s="243"/>
      <c r="AJL212" s="243"/>
      <c r="AJM212" s="243"/>
      <c r="AJN212" s="243"/>
      <c r="AJO212" s="243"/>
      <c r="AJP212" s="243"/>
      <c r="AJQ212" s="243"/>
      <c r="AJR212" s="243"/>
      <c r="AJS212" s="243"/>
      <c r="AJT212" s="243"/>
      <c r="AJU212" s="243"/>
      <c r="AJV212" s="243"/>
      <c r="AJW212" s="243"/>
      <c r="AJX212" s="243"/>
      <c r="AJY212" s="243"/>
      <c r="AJZ212" s="243"/>
      <c r="AKA212" s="243"/>
      <c r="AKB212" s="243"/>
      <c r="AKC212" s="243"/>
      <c r="AKD212" s="243"/>
      <c r="AKE212" s="243"/>
      <c r="AKF212" s="243"/>
      <c r="AKG212" s="243"/>
      <c r="AKH212" s="243"/>
      <c r="AKI212" s="243"/>
      <c r="AKJ212" s="243"/>
      <c r="AKK212" s="243"/>
      <c r="AKL212" s="243"/>
      <c r="AKM212" s="243"/>
      <c r="AKN212" s="243"/>
      <c r="AKO212" s="243"/>
      <c r="AKP212" s="243"/>
      <c r="AKQ212" s="243"/>
      <c r="AKR212" s="243"/>
      <c r="AKS212" s="243"/>
      <c r="AKT212" s="243"/>
      <c r="AKU212" s="243"/>
      <c r="AKV212" s="243"/>
      <c r="AKW212" s="243"/>
      <c r="AKX212" s="243"/>
      <c r="AKY212" s="243"/>
      <c r="AKZ212" s="243"/>
      <c r="ALA212" s="243"/>
      <c r="ALB212" s="243"/>
      <c r="ALC212" s="243"/>
      <c r="ALD212" s="243"/>
      <c r="ALE212" s="243"/>
      <c r="ALF212" s="243"/>
      <c r="ALG212" s="243"/>
      <c r="ALH212" s="243"/>
      <c r="ALI212" s="243"/>
      <c r="ALJ212" s="243"/>
      <c r="ALK212" s="243"/>
      <c r="ALL212" s="243"/>
      <c r="ALM212" s="243"/>
      <c r="ALN212" s="243"/>
      <c r="ALO212" s="243"/>
      <c r="ALP212" s="243"/>
      <c r="ALQ212" s="243"/>
      <c r="ALR212" s="243"/>
      <c r="ALS212" s="243"/>
      <c r="ALT212" s="243"/>
      <c r="ALU212" s="243"/>
      <c r="ALV212" s="243"/>
      <c r="ALW212" s="243"/>
      <c r="ALX212" s="243"/>
      <c r="ALY212" s="243"/>
      <c r="ALZ212" s="243"/>
      <c r="AMA212" s="243"/>
      <c r="AMB212" s="243"/>
      <c r="AMC212" s="243"/>
      <c r="AMD212" s="243"/>
      <c r="AME212" s="243"/>
      <c r="AMF212" s="243"/>
      <c r="AMG212" s="243"/>
      <c r="AMH212" s="243"/>
      <c r="AMI212" s="244"/>
      <c r="AMJ212" s="244"/>
    </row>
    <row r="213" spans="1:1024">
      <c r="A213" s="999" t="s">
        <v>26</v>
      </c>
      <c r="B213" s="1000"/>
      <c r="C213" s="1000"/>
      <c r="D213" s="1001"/>
      <c r="E213" s="491">
        <f>SUM(E202:E212)</f>
        <v>26615000</v>
      </c>
      <c r="F213" s="492" t="s">
        <v>26</v>
      </c>
      <c r="G213" s="493">
        <f>SUM(G202:G212)</f>
        <v>2100900</v>
      </c>
      <c r="H213" s="1002"/>
      <c r="I213" s="1002"/>
      <c r="J213" s="1002"/>
      <c r="K213" s="1002"/>
      <c r="L213" s="1002"/>
      <c r="M213" s="1002"/>
      <c r="N213" s="1003" t="s">
        <v>27</v>
      </c>
      <c r="O213" s="1004"/>
      <c r="P213" s="1005"/>
      <c r="Q213" s="495">
        <f>G213+Q212</f>
        <v>2249900</v>
      </c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3"/>
      <c r="AI213" s="243"/>
      <c r="AJ213" s="243"/>
      <c r="AK213" s="243"/>
      <c r="AL213" s="243"/>
      <c r="AM213" s="243"/>
      <c r="AN213" s="243"/>
      <c r="AO213" s="243"/>
      <c r="AP213" s="243"/>
      <c r="AQ213" s="243"/>
      <c r="AR213" s="243"/>
      <c r="AS213" s="243"/>
      <c r="AT213" s="243"/>
      <c r="AU213" s="243"/>
      <c r="AV213" s="243"/>
      <c r="AW213" s="243"/>
      <c r="AX213" s="243"/>
      <c r="AY213" s="243"/>
      <c r="AZ213" s="243"/>
      <c r="BA213" s="243"/>
      <c r="BB213" s="243"/>
      <c r="BC213" s="243"/>
      <c r="BD213" s="243"/>
      <c r="BE213" s="243"/>
      <c r="BF213" s="243"/>
      <c r="BG213" s="243"/>
      <c r="BH213" s="243"/>
      <c r="BI213" s="243"/>
      <c r="BJ213" s="243"/>
      <c r="BK213" s="243"/>
      <c r="BL213" s="243"/>
      <c r="BM213" s="243"/>
      <c r="BN213" s="243"/>
      <c r="BO213" s="243"/>
      <c r="BP213" s="243"/>
      <c r="BQ213" s="243"/>
      <c r="BR213" s="243"/>
      <c r="BS213" s="243"/>
      <c r="BT213" s="243"/>
      <c r="BU213" s="243"/>
      <c r="BV213" s="243"/>
      <c r="BW213" s="243"/>
      <c r="BX213" s="243"/>
      <c r="BY213" s="243"/>
      <c r="BZ213" s="243"/>
      <c r="CA213" s="243"/>
      <c r="CB213" s="243"/>
      <c r="CC213" s="243"/>
      <c r="CD213" s="243"/>
      <c r="CE213" s="243"/>
      <c r="CF213" s="243"/>
      <c r="CG213" s="243"/>
      <c r="CH213" s="243"/>
      <c r="CI213" s="243"/>
      <c r="CJ213" s="243"/>
      <c r="CK213" s="243"/>
      <c r="CL213" s="243"/>
      <c r="CM213" s="243"/>
      <c r="CN213" s="243"/>
      <c r="CO213" s="243"/>
      <c r="CP213" s="243"/>
      <c r="CQ213" s="243"/>
      <c r="CR213" s="243"/>
      <c r="CS213" s="243"/>
      <c r="CT213" s="243"/>
      <c r="CU213" s="243"/>
      <c r="CV213" s="243"/>
      <c r="CW213" s="243"/>
      <c r="CX213" s="243"/>
      <c r="CY213" s="243"/>
      <c r="CZ213" s="243"/>
      <c r="DA213" s="243"/>
      <c r="DB213" s="243"/>
      <c r="DC213" s="243"/>
      <c r="DD213" s="243"/>
      <c r="DE213" s="243"/>
      <c r="DF213" s="243"/>
      <c r="DG213" s="243"/>
      <c r="DH213" s="243"/>
      <c r="DI213" s="243"/>
      <c r="DJ213" s="243"/>
      <c r="DK213" s="243"/>
      <c r="DL213" s="243"/>
      <c r="DM213" s="243"/>
      <c r="DN213" s="243"/>
      <c r="DO213" s="243"/>
      <c r="DP213" s="243"/>
      <c r="DQ213" s="243"/>
      <c r="DR213" s="243"/>
      <c r="DS213" s="243"/>
      <c r="DT213" s="243"/>
      <c r="DU213" s="243"/>
      <c r="DV213" s="243"/>
      <c r="DW213" s="243"/>
      <c r="DX213" s="243"/>
      <c r="DY213" s="243"/>
      <c r="DZ213" s="243"/>
      <c r="EA213" s="243"/>
      <c r="EB213" s="243"/>
      <c r="EC213" s="243"/>
      <c r="ED213" s="243"/>
      <c r="EE213" s="243"/>
      <c r="EF213" s="243"/>
      <c r="EG213" s="243"/>
      <c r="EH213" s="243"/>
      <c r="EI213" s="243"/>
      <c r="EJ213" s="243"/>
      <c r="EK213" s="243"/>
      <c r="EL213" s="243"/>
      <c r="EM213" s="243"/>
      <c r="EN213" s="243"/>
      <c r="EO213" s="243"/>
      <c r="EP213" s="243"/>
      <c r="EQ213" s="243"/>
      <c r="ER213" s="243"/>
      <c r="ES213" s="243"/>
      <c r="ET213" s="243"/>
      <c r="EU213" s="243"/>
      <c r="EV213" s="243"/>
      <c r="EW213" s="243"/>
      <c r="EX213" s="243"/>
      <c r="EY213" s="243"/>
      <c r="EZ213" s="243"/>
      <c r="FA213" s="243"/>
      <c r="FB213" s="243"/>
      <c r="FC213" s="243"/>
      <c r="FD213" s="243"/>
      <c r="FE213" s="243"/>
      <c r="FF213" s="243"/>
      <c r="FG213" s="243"/>
      <c r="FH213" s="243"/>
      <c r="FI213" s="243"/>
      <c r="FJ213" s="243"/>
      <c r="FK213" s="243"/>
      <c r="FL213" s="243"/>
      <c r="FM213" s="243"/>
      <c r="FN213" s="243"/>
      <c r="FO213" s="243"/>
      <c r="FP213" s="243"/>
      <c r="FQ213" s="243"/>
      <c r="FR213" s="243"/>
      <c r="FS213" s="243"/>
      <c r="FT213" s="243"/>
      <c r="FU213" s="243"/>
      <c r="FV213" s="243"/>
      <c r="FW213" s="243"/>
      <c r="FX213" s="243"/>
      <c r="FY213" s="243"/>
      <c r="FZ213" s="243"/>
      <c r="GA213" s="243"/>
      <c r="GB213" s="243"/>
      <c r="GC213" s="243"/>
      <c r="GD213" s="243"/>
      <c r="GE213" s="243"/>
      <c r="GF213" s="243"/>
      <c r="GG213" s="243"/>
      <c r="GH213" s="243"/>
      <c r="GI213" s="243"/>
      <c r="GJ213" s="243"/>
      <c r="GK213" s="243"/>
      <c r="GL213" s="243"/>
      <c r="GM213" s="243"/>
      <c r="GN213" s="243"/>
      <c r="GO213" s="243"/>
      <c r="GP213" s="243"/>
      <c r="GQ213" s="243"/>
      <c r="GR213" s="243"/>
      <c r="GS213" s="243"/>
      <c r="GT213" s="243"/>
      <c r="GU213" s="243"/>
      <c r="GV213" s="243"/>
      <c r="GW213" s="243"/>
      <c r="GX213" s="243"/>
      <c r="GY213" s="243"/>
      <c r="GZ213" s="243"/>
      <c r="HA213" s="243"/>
      <c r="HB213" s="243"/>
      <c r="HC213" s="243"/>
      <c r="HD213" s="243"/>
      <c r="HE213" s="243"/>
      <c r="HF213" s="243"/>
      <c r="HG213" s="243"/>
      <c r="HH213" s="243"/>
      <c r="HI213" s="243"/>
      <c r="HJ213" s="243"/>
      <c r="HK213" s="243"/>
      <c r="HL213" s="243"/>
      <c r="HM213" s="243"/>
      <c r="HN213" s="243"/>
      <c r="HO213" s="243"/>
      <c r="HP213" s="243"/>
      <c r="HQ213" s="243"/>
      <c r="HR213" s="243"/>
      <c r="HS213" s="243"/>
      <c r="HT213" s="243"/>
      <c r="HU213" s="243"/>
      <c r="HV213" s="243"/>
      <c r="HW213" s="243"/>
      <c r="HX213" s="243"/>
      <c r="HY213" s="243"/>
      <c r="HZ213" s="243"/>
      <c r="IA213" s="243"/>
      <c r="IB213" s="243"/>
      <c r="IC213" s="243"/>
      <c r="ID213" s="243"/>
      <c r="IE213" s="243"/>
      <c r="IF213" s="243"/>
      <c r="IG213" s="243"/>
      <c r="IH213" s="243"/>
      <c r="II213" s="243"/>
      <c r="IJ213" s="243"/>
      <c r="IK213" s="243"/>
      <c r="IL213" s="243"/>
      <c r="IM213" s="243"/>
      <c r="IN213" s="243"/>
      <c r="IO213" s="243"/>
      <c r="IP213" s="243"/>
      <c r="IQ213" s="243"/>
      <c r="IR213" s="243"/>
      <c r="IS213" s="243"/>
      <c r="IT213" s="243"/>
      <c r="IU213" s="243"/>
      <c r="IV213" s="243"/>
      <c r="IW213" s="243"/>
      <c r="IX213" s="243"/>
      <c r="IY213" s="243"/>
      <c r="IZ213" s="243"/>
      <c r="JA213" s="243"/>
      <c r="JB213" s="243"/>
      <c r="JC213" s="243"/>
      <c r="JD213" s="243"/>
      <c r="JE213" s="243"/>
      <c r="JF213" s="243"/>
      <c r="JG213" s="243"/>
      <c r="JH213" s="243"/>
      <c r="JI213" s="243"/>
      <c r="JJ213" s="243"/>
      <c r="JK213" s="243"/>
      <c r="JL213" s="243"/>
      <c r="JM213" s="243"/>
      <c r="JN213" s="243"/>
      <c r="JO213" s="243"/>
      <c r="JP213" s="243"/>
      <c r="JQ213" s="243"/>
      <c r="JR213" s="243"/>
      <c r="JS213" s="243"/>
      <c r="JT213" s="243"/>
      <c r="JU213" s="243"/>
      <c r="JV213" s="243"/>
      <c r="JW213" s="243"/>
      <c r="JX213" s="243"/>
      <c r="JY213" s="243"/>
      <c r="JZ213" s="243"/>
      <c r="KA213" s="243"/>
      <c r="KB213" s="243"/>
      <c r="KC213" s="243"/>
      <c r="KD213" s="243"/>
      <c r="KE213" s="243"/>
      <c r="KF213" s="243"/>
      <c r="KG213" s="243"/>
      <c r="KH213" s="243"/>
      <c r="KI213" s="243"/>
      <c r="KJ213" s="243"/>
      <c r="KK213" s="243"/>
      <c r="KL213" s="243"/>
      <c r="KM213" s="243"/>
      <c r="KN213" s="243"/>
      <c r="KO213" s="243"/>
      <c r="KP213" s="243"/>
      <c r="KQ213" s="243"/>
      <c r="KR213" s="243"/>
      <c r="KS213" s="243"/>
      <c r="KT213" s="243"/>
      <c r="KU213" s="243"/>
      <c r="KV213" s="243"/>
      <c r="KW213" s="243"/>
      <c r="KX213" s="243"/>
      <c r="KY213" s="243"/>
      <c r="KZ213" s="243"/>
      <c r="LA213" s="243"/>
      <c r="LB213" s="243"/>
      <c r="LC213" s="243"/>
      <c r="LD213" s="243"/>
      <c r="LE213" s="243"/>
      <c r="LF213" s="243"/>
      <c r="LG213" s="243"/>
      <c r="LH213" s="243"/>
      <c r="LI213" s="243"/>
      <c r="LJ213" s="243"/>
      <c r="LK213" s="243"/>
      <c r="LL213" s="243"/>
      <c r="LM213" s="243"/>
      <c r="LN213" s="243"/>
      <c r="LO213" s="243"/>
      <c r="LP213" s="243"/>
      <c r="LQ213" s="243"/>
      <c r="LR213" s="243"/>
      <c r="LS213" s="243"/>
      <c r="LT213" s="243"/>
      <c r="LU213" s="243"/>
      <c r="LV213" s="243"/>
      <c r="LW213" s="243"/>
      <c r="LX213" s="243"/>
      <c r="LY213" s="243"/>
      <c r="LZ213" s="243"/>
      <c r="MA213" s="243"/>
      <c r="MB213" s="243"/>
      <c r="MC213" s="243"/>
      <c r="MD213" s="243"/>
      <c r="ME213" s="243"/>
      <c r="MF213" s="243"/>
      <c r="MG213" s="243"/>
      <c r="MH213" s="243"/>
      <c r="MI213" s="243"/>
      <c r="MJ213" s="243"/>
      <c r="MK213" s="243"/>
      <c r="ML213" s="243"/>
      <c r="MM213" s="243"/>
      <c r="MN213" s="243"/>
      <c r="MO213" s="243"/>
      <c r="MP213" s="243"/>
      <c r="MQ213" s="243"/>
      <c r="MR213" s="243"/>
      <c r="MS213" s="243"/>
      <c r="MT213" s="243"/>
      <c r="MU213" s="243"/>
      <c r="MV213" s="243"/>
      <c r="MW213" s="243"/>
      <c r="MX213" s="243"/>
      <c r="MY213" s="243"/>
      <c r="MZ213" s="243"/>
      <c r="NA213" s="243"/>
      <c r="NB213" s="243"/>
      <c r="NC213" s="243"/>
      <c r="ND213" s="243"/>
      <c r="NE213" s="243"/>
      <c r="NF213" s="243"/>
      <c r="NG213" s="243"/>
      <c r="NH213" s="243"/>
      <c r="NI213" s="243"/>
      <c r="NJ213" s="243"/>
      <c r="NK213" s="243"/>
      <c r="NL213" s="243"/>
      <c r="NM213" s="243"/>
      <c r="NN213" s="243"/>
      <c r="NO213" s="243"/>
      <c r="NP213" s="243"/>
      <c r="NQ213" s="243"/>
      <c r="NR213" s="243"/>
      <c r="NS213" s="243"/>
      <c r="NT213" s="243"/>
      <c r="NU213" s="243"/>
      <c r="NV213" s="243"/>
      <c r="NW213" s="243"/>
      <c r="NX213" s="243"/>
      <c r="NY213" s="243"/>
      <c r="NZ213" s="243"/>
      <c r="OA213" s="243"/>
      <c r="OB213" s="243"/>
      <c r="OC213" s="243"/>
      <c r="OD213" s="243"/>
      <c r="OE213" s="243"/>
      <c r="OF213" s="243"/>
      <c r="OG213" s="243"/>
      <c r="OH213" s="243"/>
      <c r="OI213" s="243"/>
      <c r="OJ213" s="243"/>
      <c r="OK213" s="243"/>
      <c r="OL213" s="243"/>
      <c r="OM213" s="243"/>
      <c r="ON213" s="243"/>
      <c r="OO213" s="243"/>
      <c r="OP213" s="243"/>
      <c r="OQ213" s="243"/>
      <c r="OR213" s="243"/>
      <c r="OS213" s="243"/>
      <c r="OT213" s="243"/>
      <c r="OU213" s="243"/>
      <c r="OV213" s="243"/>
      <c r="OW213" s="243"/>
      <c r="OX213" s="243"/>
      <c r="OY213" s="243"/>
      <c r="OZ213" s="243"/>
      <c r="PA213" s="243"/>
      <c r="PB213" s="243"/>
      <c r="PC213" s="243"/>
      <c r="PD213" s="243"/>
      <c r="PE213" s="243"/>
      <c r="PF213" s="243"/>
      <c r="PG213" s="243"/>
      <c r="PH213" s="243"/>
      <c r="PI213" s="243"/>
      <c r="PJ213" s="243"/>
      <c r="PK213" s="243"/>
      <c r="PL213" s="243"/>
      <c r="PM213" s="243"/>
      <c r="PN213" s="243"/>
      <c r="PO213" s="243"/>
      <c r="PP213" s="243"/>
      <c r="PQ213" s="243"/>
      <c r="PR213" s="243"/>
      <c r="PS213" s="243"/>
      <c r="PT213" s="243"/>
      <c r="PU213" s="243"/>
      <c r="PV213" s="243"/>
      <c r="PW213" s="243"/>
      <c r="PX213" s="243"/>
      <c r="PY213" s="243"/>
      <c r="PZ213" s="243"/>
      <c r="QA213" s="243"/>
      <c r="QB213" s="243"/>
      <c r="QC213" s="243"/>
      <c r="QD213" s="243"/>
      <c r="QE213" s="243"/>
      <c r="QF213" s="243"/>
      <c r="QG213" s="243"/>
      <c r="QH213" s="243"/>
      <c r="QI213" s="243"/>
      <c r="QJ213" s="243"/>
      <c r="QK213" s="243"/>
      <c r="QL213" s="243"/>
      <c r="QM213" s="243"/>
      <c r="QN213" s="243"/>
      <c r="QO213" s="243"/>
      <c r="QP213" s="243"/>
      <c r="QQ213" s="243"/>
      <c r="QR213" s="243"/>
      <c r="QS213" s="243"/>
      <c r="QT213" s="243"/>
      <c r="QU213" s="243"/>
      <c r="QV213" s="243"/>
      <c r="QW213" s="243"/>
      <c r="QX213" s="243"/>
      <c r="QY213" s="243"/>
      <c r="QZ213" s="243"/>
      <c r="RA213" s="243"/>
      <c r="RB213" s="243"/>
      <c r="RC213" s="243"/>
      <c r="RD213" s="243"/>
      <c r="RE213" s="243"/>
      <c r="RF213" s="243"/>
      <c r="RG213" s="243"/>
      <c r="RH213" s="243"/>
      <c r="RI213" s="243"/>
      <c r="RJ213" s="243"/>
      <c r="RK213" s="243"/>
      <c r="RL213" s="243"/>
      <c r="RM213" s="243"/>
      <c r="RN213" s="243"/>
      <c r="RO213" s="243"/>
      <c r="RP213" s="243"/>
      <c r="RQ213" s="243"/>
      <c r="RR213" s="243"/>
      <c r="RS213" s="243"/>
      <c r="RT213" s="243"/>
      <c r="RU213" s="243"/>
      <c r="RV213" s="243"/>
      <c r="RW213" s="243"/>
      <c r="RX213" s="243"/>
      <c r="RY213" s="243"/>
      <c r="RZ213" s="243"/>
      <c r="SA213" s="243"/>
      <c r="SB213" s="243"/>
      <c r="SC213" s="243"/>
      <c r="SD213" s="243"/>
      <c r="SE213" s="243"/>
      <c r="SF213" s="243"/>
      <c r="SG213" s="243"/>
      <c r="SH213" s="243"/>
      <c r="SI213" s="243"/>
      <c r="SJ213" s="243"/>
      <c r="SK213" s="243"/>
      <c r="SL213" s="243"/>
      <c r="SM213" s="243"/>
      <c r="SN213" s="243"/>
      <c r="SO213" s="243"/>
      <c r="SP213" s="243"/>
      <c r="SQ213" s="243"/>
      <c r="SR213" s="243"/>
      <c r="SS213" s="243"/>
      <c r="ST213" s="243"/>
      <c r="SU213" s="243"/>
      <c r="SV213" s="243"/>
      <c r="SW213" s="243"/>
      <c r="SX213" s="243"/>
      <c r="SY213" s="243"/>
      <c r="SZ213" s="243"/>
      <c r="TA213" s="243"/>
      <c r="TB213" s="243"/>
      <c r="TC213" s="243"/>
      <c r="TD213" s="243"/>
      <c r="TE213" s="243"/>
      <c r="TF213" s="243"/>
      <c r="TG213" s="243"/>
      <c r="TH213" s="243"/>
      <c r="TI213" s="243"/>
      <c r="TJ213" s="243"/>
      <c r="TK213" s="243"/>
      <c r="TL213" s="243"/>
      <c r="TM213" s="243"/>
      <c r="TN213" s="243"/>
      <c r="TO213" s="243"/>
      <c r="TP213" s="243"/>
      <c r="TQ213" s="243"/>
      <c r="TR213" s="243"/>
      <c r="TS213" s="243"/>
      <c r="TT213" s="243"/>
      <c r="TU213" s="243"/>
      <c r="TV213" s="243"/>
      <c r="TW213" s="243"/>
      <c r="TX213" s="243"/>
      <c r="TY213" s="243"/>
      <c r="TZ213" s="243"/>
      <c r="UA213" s="243"/>
      <c r="UB213" s="243"/>
      <c r="UC213" s="243"/>
      <c r="UD213" s="243"/>
      <c r="UE213" s="243"/>
      <c r="UF213" s="243"/>
      <c r="UG213" s="243"/>
      <c r="UH213" s="243"/>
      <c r="UI213" s="243"/>
      <c r="UJ213" s="243"/>
      <c r="UK213" s="243"/>
      <c r="UL213" s="243"/>
      <c r="UM213" s="243"/>
      <c r="UN213" s="243"/>
      <c r="UO213" s="243"/>
      <c r="UP213" s="243"/>
      <c r="UQ213" s="243"/>
      <c r="UR213" s="243"/>
      <c r="US213" s="243"/>
      <c r="UT213" s="243"/>
      <c r="UU213" s="243"/>
      <c r="UV213" s="243"/>
      <c r="UW213" s="243"/>
      <c r="UX213" s="243"/>
      <c r="UY213" s="243"/>
      <c r="UZ213" s="243"/>
      <c r="VA213" s="243"/>
      <c r="VB213" s="243"/>
      <c r="VC213" s="243"/>
      <c r="VD213" s="243"/>
      <c r="VE213" s="243"/>
      <c r="VF213" s="243"/>
      <c r="VG213" s="243"/>
      <c r="VH213" s="243"/>
      <c r="VI213" s="243"/>
      <c r="VJ213" s="243"/>
      <c r="VK213" s="243"/>
      <c r="VL213" s="243"/>
      <c r="VM213" s="243"/>
      <c r="VN213" s="243"/>
      <c r="VO213" s="243"/>
      <c r="VP213" s="243"/>
      <c r="VQ213" s="243"/>
      <c r="VR213" s="243"/>
      <c r="VS213" s="243"/>
      <c r="VT213" s="243"/>
      <c r="VU213" s="243"/>
      <c r="VV213" s="243"/>
      <c r="VW213" s="243"/>
      <c r="VX213" s="243"/>
      <c r="VY213" s="243"/>
      <c r="VZ213" s="243"/>
      <c r="WA213" s="243"/>
      <c r="WB213" s="243"/>
      <c r="WC213" s="243"/>
      <c r="WD213" s="243"/>
      <c r="WE213" s="243"/>
      <c r="WF213" s="243"/>
      <c r="WG213" s="243"/>
      <c r="WH213" s="243"/>
      <c r="WI213" s="243"/>
      <c r="WJ213" s="243"/>
      <c r="WK213" s="243"/>
      <c r="WL213" s="243"/>
      <c r="WM213" s="243"/>
      <c r="WN213" s="243"/>
      <c r="WO213" s="243"/>
      <c r="WP213" s="243"/>
      <c r="WQ213" s="243"/>
      <c r="WR213" s="243"/>
      <c r="WS213" s="243"/>
      <c r="WT213" s="243"/>
      <c r="WU213" s="243"/>
      <c r="WV213" s="243"/>
      <c r="WW213" s="243"/>
      <c r="WX213" s="243"/>
      <c r="WY213" s="243"/>
      <c r="WZ213" s="243"/>
      <c r="XA213" s="243"/>
      <c r="XB213" s="243"/>
      <c r="XC213" s="243"/>
      <c r="XD213" s="243"/>
      <c r="XE213" s="243"/>
      <c r="XF213" s="243"/>
      <c r="XG213" s="243"/>
      <c r="XH213" s="243"/>
      <c r="XI213" s="243"/>
      <c r="XJ213" s="243"/>
      <c r="XK213" s="243"/>
      <c r="XL213" s="243"/>
      <c r="XM213" s="243"/>
      <c r="XN213" s="243"/>
      <c r="XO213" s="243"/>
      <c r="XP213" s="243"/>
      <c r="XQ213" s="243"/>
      <c r="XR213" s="243"/>
      <c r="XS213" s="243"/>
      <c r="XT213" s="243"/>
      <c r="XU213" s="243"/>
      <c r="XV213" s="243"/>
      <c r="XW213" s="243"/>
      <c r="XX213" s="243"/>
      <c r="XY213" s="243"/>
      <c r="XZ213" s="243"/>
      <c r="YA213" s="243"/>
      <c r="YB213" s="243"/>
      <c r="YC213" s="243"/>
      <c r="YD213" s="243"/>
      <c r="YE213" s="243"/>
      <c r="YF213" s="243"/>
      <c r="YG213" s="243"/>
      <c r="YH213" s="243"/>
      <c r="YI213" s="243"/>
      <c r="YJ213" s="243"/>
      <c r="YK213" s="243"/>
      <c r="YL213" s="243"/>
      <c r="YM213" s="243"/>
      <c r="YN213" s="243"/>
      <c r="YO213" s="243"/>
      <c r="YP213" s="243"/>
      <c r="YQ213" s="243"/>
      <c r="YR213" s="243"/>
      <c r="YS213" s="243"/>
      <c r="YT213" s="243"/>
      <c r="YU213" s="243"/>
      <c r="YV213" s="243"/>
      <c r="YW213" s="243"/>
      <c r="YX213" s="243"/>
      <c r="YY213" s="243"/>
      <c r="YZ213" s="243"/>
      <c r="ZA213" s="243"/>
      <c r="ZB213" s="243"/>
      <c r="ZC213" s="243"/>
      <c r="ZD213" s="243"/>
      <c r="ZE213" s="243"/>
      <c r="ZF213" s="243"/>
      <c r="ZG213" s="243"/>
      <c r="ZH213" s="243"/>
      <c r="ZI213" s="243"/>
      <c r="ZJ213" s="243"/>
      <c r="ZK213" s="243"/>
      <c r="ZL213" s="243"/>
      <c r="ZM213" s="243"/>
      <c r="ZN213" s="243"/>
      <c r="ZO213" s="243"/>
      <c r="ZP213" s="243"/>
      <c r="ZQ213" s="243"/>
      <c r="ZR213" s="243"/>
      <c r="ZS213" s="243"/>
      <c r="ZT213" s="243"/>
      <c r="ZU213" s="243"/>
      <c r="ZV213" s="243"/>
      <c r="ZW213" s="243"/>
      <c r="ZX213" s="243"/>
      <c r="ZY213" s="243"/>
      <c r="ZZ213" s="243"/>
      <c r="AAA213" s="243"/>
      <c r="AAB213" s="243"/>
      <c r="AAC213" s="243"/>
      <c r="AAD213" s="243"/>
      <c r="AAE213" s="243"/>
      <c r="AAF213" s="243"/>
      <c r="AAG213" s="243"/>
      <c r="AAH213" s="243"/>
      <c r="AAI213" s="243"/>
      <c r="AAJ213" s="243"/>
      <c r="AAK213" s="243"/>
      <c r="AAL213" s="243"/>
      <c r="AAM213" s="243"/>
      <c r="AAN213" s="243"/>
      <c r="AAO213" s="243"/>
      <c r="AAP213" s="243"/>
      <c r="AAQ213" s="243"/>
      <c r="AAR213" s="243"/>
      <c r="AAS213" s="243"/>
      <c r="AAT213" s="243"/>
      <c r="AAU213" s="243"/>
      <c r="AAV213" s="243"/>
      <c r="AAW213" s="243"/>
      <c r="AAX213" s="243"/>
      <c r="AAY213" s="243"/>
      <c r="AAZ213" s="243"/>
      <c r="ABA213" s="243"/>
      <c r="ABB213" s="243"/>
      <c r="ABC213" s="243"/>
      <c r="ABD213" s="243"/>
      <c r="ABE213" s="243"/>
      <c r="ABF213" s="243"/>
      <c r="ABG213" s="243"/>
      <c r="ABH213" s="243"/>
      <c r="ABI213" s="243"/>
      <c r="ABJ213" s="243"/>
      <c r="ABK213" s="243"/>
      <c r="ABL213" s="243"/>
      <c r="ABM213" s="243"/>
      <c r="ABN213" s="243"/>
      <c r="ABO213" s="243"/>
      <c r="ABP213" s="243"/>
      <c r="ABQ213" s="243"/>
      <c r="ABR213" s="243"/>
      <c r="ABS213" s="243"/>
      <c r="ABT213" s="243"/>
      <c r="ABU213" s="243"/>
      <c r="ABV213" s="243"/>
      <c r="ABW213" s="243"/>
      <c r="ABX213" s="243"/>
      <c r="ABY213" s="243"/>
      <c r="ABZ213" s="243"/>
      <c r="ACA213" s="243"/>
      <c r="ACB213" s="243"/>
      <c r="ACC213" s="243"/>
      <c r="ACD213" s="243"/>
      <c r="ACE213" s="243"/>
      <c r="ACF213" s="243"/>
      <c r="ACG213" s="243"/>
      <c r="ACH213" s="243"/>
      <c r="ACI213" s="243"/>
      <c r="ACJ213" s="243"/>
      <c r="ACK213" s="243"/>
      <c r="ACL213" s="243"/>
      <c r="ACM213" s="243"/>
      <c r="ACN213" s="243"/>
      <c r="ACO213" s="243"/>
      <c r="ACP213" s="243"/>
      <c r="ACQ213" s="243"/>
      <c r="ACR213" s="243"/>
      <c r="ACS213" s="243"/>
      <c r="ACT213" s="243"/>
      <c r="ACU213" s="243"/>
      <c r="ACV213" s="243"/>
      <c r="ACW213" s="243"/>
      <c r="ACX213" s="243"/>
      <c r="ACY213" s="243"/>
      <c r="ACZ213" s="243"/>
      <c r="ADA213" s="243"/>
      <c r="ADB213" s="243"/>
      <c r="ADC213" s="243"/>
      <c r="ADD213" s="243"/>
      <c r="ADE213" s="243"/>
      <c r="ADF213" s="243"/>
      <c r="ADG213" s="243"/>
      <c r="ADH213" s="243"/>
      <c r="ADI213" s="243"/>
      <c r="ADJ213" s="243"/>
      <c r="ADK213" s="243"/>
      <c r="ADL213" s="243"/>
      <c r="ADM213" s="243"/>
      <c r="ADN213" s="243"/>
      <c r="ADO213" s="243"/>
      <c r="ADP213" s="243"/>
      <c r="ADQ213" s="243"/>
      <c r="ADR213" s="243"/>
      <c r="ADS213" s="243"/>
      <c r="ADT213" s="243"/>
      <c r="ADU213" s="243"/>
      <c r="ADV213" s="243"/>
      <c r="ADW213" s="243"/>
      <c r="ADX213" s="243"/>
      <c r="ADY213" s="243"/>
      <c r="ADZ213" s="243"/>
      <c r="AEA213" s="243"/>
      <c r="AEB213" s="243"/>
      <c r="AEC213" s="243"/>
      <c r="AED213" s="243"/>
      <c r="AEE213" s="243"/>
      <c r="AEF213" s="243"/>
      <c r="AEG213" s="243"/>
      <c r="AEH213" s="243"/>
      <c r="AEI213" s="243"/>
      <c r="AEJ213" s="243"/>
      <c r="AEK213" s="243"/>
      <c r="AEL213" s="243"/>
      <c r="AEM213" s="243"/>
      <c r="AEN213" s="243"/>
      <c r="AEO213" s="243"/>
      <c r="AEP213" s="243"/>
      <c r="AEQ213" s="243"/>
      <c r="AER213" s="243"/>
      <c r="AES213" s="243"/>
      <c r="AET213" s="243"/>
      <c r="AEU213" s="243"/>
      <c r="AEV213" s="243"/>
      <c r="AEW213" s="243"/>
      <c r="AEX213" s="243"/>
      <c r="AEY213" s="243"/>
      <c r="AEZ213" s="243"/>
      <c r="AFA213" s="243"/>
      <c r="AFB213" s="243"/>
      <c r="AFC213" s="243"/>
      <c r="AFD213" s="243"/>
      <c r="AFE213" s="243"/>
      <c r="AFF213" s="243"/>
      <c r="AFG213" s="243"/>
      <c r="AFH213" s="243"/>
      <c r="AFI213" s="243"/>
      <c r="AFJ213" s="243"/>
      <c r="AFK213" s="243"/>
      <c r="AFL213" s="243"/>
      <c r="AFM213" s="243"/>
      <c r="AFN213" s="243"/>
      <c r="AFO213" s="243"/>
      <c r="AFP213" s="243"/>
      <c r="AFQ213" s="243"/>
      <c r="AFR213" s="243"/>
      <c r="AFS213" s="243"/>
      <c r="AFT213" s="243"/>
      <c r="AFU213" s="243"/>
      <c r="AFV213" s="243"/>
      <c r="AFW213" s="243"/>
      <c r="AFX213" s="243"/>
      <c r="AFY213" s="243"/>
      <c r="AFZ213" s="243"/>
      <c r="AGA213" s="243"/>
      <c r="AGB213" s="243"/>
      <c r="AGC213" s="243"/>
      <c r="AGD213" s="243"/>
      <c r="AGE213" s="243"/>
      <c r="AGF213" s="243"/>
      <c r="AGG213" s="243"/>
      <c r="AGH213" s="243"/>
      <c r="AGI213" s="243"/>
      <c r="AGJ213" s="243"/>
      <c r="AGK213" s="243"/>
      <c r="AGL213" s="243"/>
      <c r="AGM213" s="243"/>
      <c r="AGN213" s="243"/>
      <c r="AGO213" s="243"/>
      <c r="AGP213" s="243"/>
      <c r="AGQ213" s="243"/>
      <c r="AGR213" s="243"/>
      <c r="AGS213" s="243"/>
      <c r="AGT213" s="243"/>
      <c r="AGU213" s="243"/>
      <c r="AGV213" s="243"/>
      <c r="AGW213" s="243"/>
      <c r="AGX213" s="243"/>
      <c r="AGY213" s="243"/>
      <c r="AGZ213" s="243"/>
      <c r="AHA213" s="243"/>
      <c r="AHB213" s="243"/>
      <c r="AHC213" s="243"/>
      <c r="AHD213" s="243"/>
      <c r="AHE213" s="243"/>
      <c r="AHF213" s="243"/>
      <c r="AHG213" s="243"/>
      <c r="AHH213" s="243"/>
      <c r="AHI213" s="243"/>
      <c r="AHJ213" s="243"/>
      <c r="AHK213" s="243"/>
      <c r="AHL213" s="243"/>
      <c r="AHM213" s="243"/>
      <c r="AHN213" s="243"/>
      <c r="AHO213" s="243"/>
      <c r="AHP213" s="243"/>
      <c r="AHQ213" s="243"/>
      <c r="AHR213" s="243"/>
      <c r="AHS213" s="243"/>
      <c r="AHT213" s="243"/>
      <c r="AHU213" s="243"/>
      <c r="AHV213" s="243"/>
      <c r="AHW213" s="243"/>
      <c r="AHX213" s="243"/>
      <c r="AHY213" s="243"/>
      <c r="AHZ213" s="243"/>
      <c r="AIA213" s="243"/>
      <c r="AIB213" s="243"/>
      <c r="AIC213" s="243"/>
      <c r="AID213" s="243"/>
      <c r="AIE213" s="243"/>
      <c r="AIF213" s="243"/>
      <c r="AIG213" s="243"/>
      <c r="AIH213" s="243"/>
      <c r="AII213" s="243"/>
      <c r="AIJ213" s="243"/>
      <c r="AIK213" s="243"/>
      <c r="AIL213" s="243"/>
      <c r="AIM213" s="243"/>
      <c r="AIN213" s="243"/>
      <c r="AIO213" s="243"/>
      <c r="AIP213" s="243"/>
      <c r="AIQ213" s="243"/>
      <c r="AIR213" s="243"/>
      <c r="AIS213" s="243"/>
      <c r="AIT213" s="243"/>
      <c r="AIU213" s="243"/>
      <c r="AIV213" s="243"/>
      <c r="AIW213" s="243"/>
      <c r="AIX213" s="243"/>
      <c r="AIY213" s="243"/>
      <c r="AIZ213" s="243"/>
      <c r="AJA213" s="243"/>
      <c r="AJB213" s="243"/>
      <c r="AJC213" s="243"/>
      <c r="AJD213" s="243"/>
      <c r="AJE213" s="243"/>
      <c r="AJF213" s="243"/>
      <c r="AJG213" s="243"/>
      <c r="AJH213" s="243"/>
      <c r="AJI213" s="243"/>
      <c r="AJJ213" s="243"/>
      <c r="AJK213" s="243"/>
      <c r="AJL213" s="243"/>
      <c r="AJM213" s="243"/>
      <c r="AJN213" s="243"/>
      <c r="AJO213" s="243"/>
      <c r="AJP213" s="243"/>
      <c r="AJQ213" s="243"/>
      <c r="AJR213" s="243"/>
      <c r="AJS213" s="243"/>
      <c r="AJT213" s="243"/>
      <c r="AJU213" s="243"/>
      <c r="AJV213" s="243"/>
      <c r="AJW213" s="243"/>
      <c r="AJX213" s="243"/>
      <c r="AJY213" s="243"/>
      <c r="AJZ213" s="243"/>
      <c r="AKA213" s="243"/>
      <c r="AKB213" s="243"/>
      <c r="AKC213" s="243"/>
      <c r="AKD213" s="243"/>
      <c r="AKE213" s="243"/>
      <c r="AKF213" s="243"/>
      <c r="AKG213" s="243"/>
      <c r="AKH213" s="243"/>
      <c r="AKI213" s="243"/>
      <c r="AKJ213" s="243"/>
      <c r="AKK213" s="243"/>
      <c r="AKL213" s="243"/>
      <c r="AKM213" s="243"/>
      <c r="AKN213" s="243"/>
      <c r="AKO213" s="243"/>
      <c r="AKP213" s="243"/>
      <c r="AKQ213" s="243"/>
      <c r="AKR213" s="243"/>
      <c r="AKS213" s="243"/>
      <c r="AKT213" s="243"/>
      <c r="AKU213" s="243"/>
      <c r="AKV213" s="243"/>
      <c r="AKW213" s="243"/>
      <c r="AKX213" s="243"/>
      <c r="AKY213" s="243"/>
      <c r="AKZ213" s="243"/>
      <c r="ALA213" s="243"/>
      <c r="ALB213" s="243"/>
      <c r="ALC213" s="243"/>
      <c r="ALD213" s="243"/>
      <c r="ALE213" s="243"/>
      <c r="ALF213" s="243"/>
      <c r="ALG213" s="243"/>
      <c r="ALH213" s="243"/>
      <c r="ALI213" s="243"/>
      <c r="ALJ213" s="243"/>
      <c r="ALK213" s="243"/>
      <c r="ALL213" s="243"/>
      <c r="ALM213" s="243"/>
      <c r="ALN213" s="243"/>
      <c r="ALO213" s="243"/>
      <c r="ALP213" s="243"/>
      <c r="ALQ213" s="243"/>
      <c r="ALR213" s="243"/>
      <c r="ALS213" s="243"/>
      <c r="ALT213" s="243"/>
      <c r="ALU213" s="243"/>
      <c r="ALV213" s="243"/>
      <c r="ALW213" s="243"/>
      <c r="ALX213" s="243"/>
      <c r="ALY213" s="243"/>
      <c r="ALZ213" s="243"/>
      <c r="AMA213" s="243"/>
      <c r="AMB213" s="243"/>
      <c r="AMC213" s="243"/>
      <c r="AMD213" s="243"/>
      <c r="AME213" s="243"/>
      <c r="AMF213" s="243"/>
      <c r="AMG213" s="243"/>
      <c r="AMH213" s="243"/>
      <c r="AMI213" s="244"/>
      <c r="AMJ213" s="244"/>
    </row>
    <row r="214" spans="1:1024">
      <c r="G214" s="455"/>
      <c r="Q214" s="455"/>
    </row>
    <row r="216" spans="1:1024" ht="23.25" customHeight="1">
      <c r="A216" s="915" t="s">
        <v>64</v>
      </c>
      <c r="B216" s="915"/>
      <c r="C216" s="915"/>
      <c r="D216" s="915"/>
      <c r="E216" s="915"/>
      <c r="F216" s="915"/>
      <c r="G216" s="915"/>
      <c r="H216" s="915"/>
      <c r="I216" s="916" t="s">
        <v>2</v>
      </c>
      <c r="J216" s="916"/>
      <c r="K216" s="916"/>
      <c r="L216" s="916"/>
      <c r="M216" s="916"/>
      <c r="N216" s="916"/>
      <c r="O216" s="916"/>
      <c r="P216" s="916"/>
      <c r="Q216" s="917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3"/>
      <c r="AI216" s="243"/>
      <c r="AJ216" s="243"/>
      <c r="AK216" s="243"/>
      <c r="AL216" s="243"/>
      <c r="AM216" s="243"/>
      <c r="AN216" s="243"/>
      <c r="AO216" s="243"/>
      <c r="AP216" s="243"/>
      <c r="AQ216" s="243"/>
      <c r="AR216" s="243"/>
      <c r="AS216" s="243"/>
      <c r="AT216" s="243"/>
      <c r="AU216" s="243"/>
      <c r="AV216" s="243"/>
      <c r="AW216" s="243"/>
      <c r="AX216" s="243"/>
      <c r="AY216" s="243"/>
      <c r="AZ216" s="243"/>
      <c r="BA216" s="243"/>
      <c r="BB216" s="243"/>
      <c r="BC216" s="243"/>
      <c r="BD216" s="243"/>
      <c r="BE216" s="243"/>
      <c r="BF216" s="243"/>
      <c r="BG216" s="243"/>
      <c r="BH216" s="243"/>
      <c r="BI216" s="243"/>
      <c r="BJ216" s="243"/>
      <c r="BK216" s="243"/>
      <c r="BL216" s="243"/>
      <c r="BM216" s="243"/>
      <c r="BN216" s="243"/>
      <c r="BO216" s="243"/>
      <c r="BP216" s="243"/>
      <c r="BQ216" s="243"/>
      <c r="BR216" s="243"/>
      <c r="BS216" s="243"/>
      <c r="BT216" s="243"/>
      <c r="BU216" s="243"/>
      <c r="BV216" s="243"/>
      <c r="BW216" s="243"/>
      <c r="BX216" s="243"/>
      <c r="BY216" s="243"/>
      <c r="BZ216" s="243"/>
      <c r="CA216" s="243"/>
      <c r="CB216" s="243"/>
      <c r="CC216" s="243"/>
      <c r="CD216" s="243"/>
      <c r="CE216" s="243"/>
      <c r="CF216" s="243"/>
      <c r="CG216" s="243"/>
      <c r="CH216" s="243"/>
      <c r="CI216" s="243"/>
      <c r="CJ216" s="243"/>
      <c r="CK216" s="243"/>
      <c r="CL216" s="243"/>
      <c r="CM216" s="243"/>
      <c r="CN216" s="243"/>
      <c r="CO216" s="243"/>
      <c r="CP216" s="243"/>
      <c r="CQ216" s="243"/>
      <c r="CR216" s="243"/>
      <c r="CS216" s="243"/>
      <c r="CT216" s="243"/>
      <c r="CU216" s="243"/>
      <c r="CV216" s="243"/>
      <c r="CW216" s="243"/>
      <c r="CX216" s="243"/>
      <c r="CY216" s="243"/>
      <c r="CZ216" s="243"/>
      <c r="DA216" s="243"/>
      <c r="DB216" s="243"/>
      <c r="DC216" s="243"/>
      <c r="DD216" s="243"/>
      <c r="DE216" s="243"/>
      <c r="DF216" s="243"/>
      <c r="DG216" s="243"/>
      <c r="DH216" s="243"/>
      <c r="DI216" s="243"/>
      <c r="DJ216" s="243"/>
      <c r="DK216" s="243"/>
      <c r="DL216" s="243"/>
      <c r="DM216" s="243"/>
      <c r="DN216" s="243"/>
      <c r="DO216" s="243"/>
      <c r="DP216" s="243"/>
      <c r="DQ216" s="243"/>
      <c r="DR216" s="243"/>
      <c r="DS216" s="243"/>
      <c r="DT216" s="243"/>
      <c r="DU216" s="243"/>
      <c r="DV216" s="243"/>
      <c r="DW216" s="243"/>
      <c r="DX216" s="243"/>
      <c r="DY216" s="243"/>
      <c r="DZ216" s="243"/>
      <c r="EA216" s="243"/>
      <c r="EB216" s="243"/>
      <c r="EC216" s="243"/>
      <c r="ED216" s="243"/>
      <c r="EE216" s="243"/>
      <c r="EF216" s="243"/>
      <c r="EG216" s="243"/>
      <c r="EH216" s="243"/>
      <c r="EI216" s="243"/>
      <c r="EJ216" s="243"/>
      <c r="EK216" s="243"/>
      <c r="EL216" s="243"/>
      <c r="EM216" s="243"/>
      <c r="EN216" s="243"/>
      <c r="EO216" s="243"/>
      <c r="EP216" s="243"/>
      <c r="EQ216" s="243"/>
      <c r="ER216" s="243"/>
      <c r="ES216" s="243"/>
      <c r="ET216" s="243"/>
      <c r="EU216" s="243"/>
      <c r="EV216" s="243"/>
      <c r="EW216" s="243"/>
      <c r="EX216" s="243"/>
      <c r="EY216" s="243"/>
      <c r="EZ216" s="243"/>
      <c r="FA216" s="243"/>
      <c r="FB216" s="243"/>
      <c r="FC216" s="243"/>
      <c r="FD216" s="243"/>
      <c r="FE216" s="243"/>
      <c r="FF216" s="243"/>
      <c r="FG216" s="243"/>
      <c r="FH216" s="243"/>
      <c r="FI216" s="243"/>
      <c r="FJ216" s="243"/>
      <c r="FK216" s="243"/>
      <c r="FL216" s="243"/>
      <c r="FM216" s="243"/>
      <c r="FN216" s="243"/>
      <c r="FO216" s="243"/>
      <c r="FP216" s="243"/>
      <c r="FQ216" s="243"/>
      <c r="FR216" s="243"/>
      <c r="FS216" s="243"/>
      <c r="FT216" s="243"/>
      <c r="FU216" s="243"/>
      <c r="FV216" s="243"/>
      <c r="FW216" s="243"/>
      <c r="FX216" s="243"/>
      <c r="FY216" s="243"/>
      <c r="FZ216" s="243"/>
      <c r="GA216" s="243"/>
      <c r="GB216" s="243"/>
      <c r="GC216" s="243"/>
      <c r="GD216" s="243"/>
      <c r="GE216" s="243"/>
      <c r="GF216" s="243"/>
      <c r="GG216" s="243"/>
      <c r="GH216" s="243"/>
      <c r="GI216" s="243"/>
      <c r="GJ216" s="243"/>
      <c r="GK216" s="243"/>
      <c r="GL216" s="243"/>
      <c r="GM216" s="243"/>
      <c r="GN216" s="243"/>
      <c r="GO216" s="243"/>
      <c r="GP216" s="243"/>
      <c r="GQ216" s="243"/>
      <c r="GR216" s="243"/>
      <c r="GS216" s="243"/>
      <c r="GT216" s="243"/>
      <c r="GU216" s="243"/>
      <c r="GV216" s="243"/>
      <c r="GW216" s="243"/>
      <c r="GX216" s="243"/>
      <c r="GY216" s="243"/>
      <c r="GZ216" s="243"/>
      <c r="HA216" s="243"/>
      <c r="HB216" s="243"/>
      <c r="HC216" s="243"/>
      <c r="HD216" s="243"/>
      <c r="HE216" s="243"/>
      <c r="HF216" s="243"/>
      <c r="HG216" s="243"/>
      <c r="HH216" s="243"/>
      <c r="HI216" s="243"/>
      <c r="HJ216" s="243"/>
      <c r="HK216" s="243"/>
      <c r="HL216" s="243"/>
      <c r="HM216" s="243"/>
      <c r="HN216" s="243"/>
      <c r="HO216" s="243"/>
      <c r="HP216" s="243"/>
      <c r="HQ216" s="243"/>
      <c r="HR216" s="243"/>
      <c r="HS216" s="243"/>
      <c r="HT216" s="243"/>
      <c r="HU216" s="243"/>
      <c r="HV216" s="243"/>
      <c r="HW216" s="243"/>
      <c r="HX216" s="243"/>
      <c r="HY216" s="243"/>
      <c r="HZ216" s="243"/>
      <c r="IA216" s="243"/>
      <c r="IB216" s="243"/>
      <c r="IC216" s="243"/>
      <c r="ID216" s="243"/>
      <c r="IE216" s="243"/>
      <c r="IF216" s="243"/>
      <c r="IG216" s="243"/>
      <c r="IH216" s="243"/>
      <c r="II216" s="243"/>
      <c r="IJ216" s="243"/>
      <c r="IK216" s="243"/>
      <c r="IL216" s="243"/>
      <c r="IM216" s="243"/>
      <c r="IN216" s="243"/>
      <c r="IO216" s="243"/>
      <c r="IP216" s="243"/>
      <c r="IQ216" s="243"/>
      <c r="IR216" s="243"/>
      <c r="IS216" s="243"/>
      <c r="IT216" s="243"/>
      <c r="IU216" s="243"/>
      <c r="IV216" s="243"/>
      <c r="IW216" s="243"/>
      <c r="IX216" s="243"/>
      <c r="IY216" s="243"/>
      <c r="IZ216" s="243"/>
      <c r="JA216" s="243"/>
      <c r="JB216" s="243"/>
      <c r="JC216" s="243"/>
      <c r="JD216" s="243"/>
      <c r="JE216" s="243"/>
      <c r="JF216" s="243"/>
      <c r="JG216" s="243"/>
      <c r="JH216" s="243"/>
      <c r="JI216" s="243"/>
      <c r="JJ216" s="243"/>
      <c r="JK216" s="243"/>
      <c r="JL216" s="243"/>
      <c r="JM216" s="243"/>
      <c r="JN216" s="243"/>
      <c r="JO216" s="243"/>
      <c r="JP216" s="243"/>
      <c r="JQ216" s="243"/>
      <c r="JR216" s="243"/>
      <c r="JS216" s="243"/>
      <c r="JT216" s="243"/>
      <c r="JU216" s="243"/>
      <c r="JV216" s="243"/>
      <c r="JW216" s="243"/>
      <c r="JX216" s="243"/>
      <c r="JY216" s="243"/>
      <c r="JZ216" s="243"/>
      <c r="KA216" s="243"/>
      <c r="KB216" s="243"/>
      <c r="KC216" s="243"/>
      <c r="KD216" s="243"/>
      <c r="KE216" s="243"/>
      <c r="KF216" s="243"/>
      <c r="KG216" s="243"/>
      <c r="KH216" s="243"/>
      <c r="KI216" s="243"/>
      <c r="KJ216" s="243"/>
      <c r="KK216" s="243"/>
      <c r="KL216" s="243"/>
      <c r="KM216" s="243"/>
      <c r="KN216" s="243"/>
      <c r="KO216" s="243"/>
      <c r="KP216" s="243"/>
      <c r="KQ216" s="243"/>
      <c r="KR216" s="243"/>
      <c r="KS216" s="243"/>
      <c r="KT216" s="243"/>
      <c r="KU216" s="243"/>
      <c r="KV216" s="243"/>
      <c r="KW216" s="243"/>
      <c r="KX216" s="243"/>
      <c r="KY216" s="243"/>
      <c r="KZ216" s="243"/>
      <c r="LA216" s="243"/>
      <c r="LB216" s="243"/>
      <c r="LC216" s="243"/>
      <c r="LD216" s="243"/>
      <c r="LE216" s="243"/>
      <c r="LF216" s="243"/>
      <c r="LG216" s="243"/>
      <c r="LH216" s="243"/>
      <c r="LI216" s="243"/>
      <c r="LJ216" s="243"/>
      <c r="LK216" s="243"/>
      <c r="LL216" s="243"/>
      <c r="LM216" s="243"/>
      <c r="LN216" s="243"/>
      <c r="LO216" s="243"/>
      <c r="LP216" s="243"/>
      <c r="LQ216" s="243"/>
      <c r="LR216" s="243"/>
      <c r="LS216" s="243"/>
      <c r="LT216" s="243"/>
      <c r="LU216" s="243"/>
      <c r="LV216" s="243"/>
      <c r="LW216" s="243"/>
      <c r="LX216" s="243"/>
      <c r="LY216" s="243"/>
      <c r="LZ216" s="243"/>
      <c r="MA216" s="243"/>
      <c r="MB216" s="243"/>
      <c r="MC216" s="243"/>
      <c r="MD216" s="243"/>
      <c r="ME216" s="243"/>
      <c r="MF216" s="243"/>
      <c r="MG216" s="243"/>
      <c r="MH216" s="243"/>
      <c r="MI216" s="243"/>
      <c r="MJ216" s="243"/>
      <c r="MK216" s="243"/>
      <c r="ML216" s="243"/>
      <c r="MM216" s="243"/>
      <c r="MN216" s="243"/>
      <c r="MO216" s="243"/>
      <c r="MP216" s="243"/>
      <c r="MQ216" s="243"/>
      <c r="MR216" s="243"/>
      <c r="MS216" s="243"/>
      <c r="MT216" s="243"/>
      <c r="MU216" s="243"/>
      <c r="MV216" s="243"/>
      <c r="MW216" s="243"/>
      <c r="MX216" s="243"/>
      <c r="MY216" s="243"/>
      <c r="MZ216" s="243"/>
      <c r="NA216" s="243"/>
      <c r="NB216" s="243"/>
      <c r="NC216" s="243"/>
      <c r="ND216" s="243"/>
      <c r="NE216" s="243"/>
      <c r="NF216" s="243"/>
      <c r="NG216" s="243"/>
      <c r="NH216" s="243"/>
      <c r="NI216" s="243"/>
      <c r="NJ216" s="243"/>
      <c r="NK216" s="243"/>
      <c r="NL216" s="243"/>
      <c r="NM216" s="243"/>
      <c r="NN216" s="243"/>
      <c r="NO216" s="243"/>
      <c r="NP216" s="243"/>
      <c r="NQ216" s="243"/>
      <c r="NR216" s="243"/>
      <c r="NS216" s="243"/>
      <c r="NT216" s="243"/>
      <c r="NU216" s="243"/>
      <c r="NV216" s="243"/>
      <c r="NW216" s="243"/>
      <c r="NX216" s="243"/>
      <c r="NY216" s="243"/>
      <c r="NZ216" s="243"/>
      <c r="OA216" s="243"/>
      <c r="OB216" s="243"/>
      <c r="OC216" s="243"/>
      <c r="OD216" s="243"/>
      <c r="OE216" s="243"/>
      <c r="OF216" s="243"/>
      <c r="OG216" s="243"/>
      <c r="OH216" s="243"/>
      <c r="OI216" s="243"/>
      <c r="OJ216" s="243"/>
      <c r="OK216" s="243"/>
      <c r="OL216" s="243"/>
      <c r="OM216" s="243"/>
      <c r="ON216" s="243"/>
      <c r="OO216" s="243"/>
      <c r="OP216" s="243"/>
      <c r="OQ216" s="243"/>
      <c r="OR216" s="243"/>
      <c r="OS216" s="243"/>
      <c r="OT216" s="243"/>
      <c r="OU216" s="243"/>
      <c r="OV216" s="243"/>
      <c r="OW216" s="243"/>
      <c r="OX216" s="243"/>
      <c r="OY216" s="243"/>
      <c r="OZ216" s="243"/>
      <c r="PA216" s="243"/>
      <c r="PB216" s="243"/>
      <c r="PC216" s="243"/>
      <c r="PD216" s="243"/>
      <c r="PE216" s="243"/>
      <c r="PF216" s="243"/>
      <c r="PG216" s="243"/>
      <c r="PH216" s="243"/>
      <c r="PI216" s="243"/>
      <c r="PJ216" s="243"/>
      <c r="PK216" s="243"/>
      <c r="PL216" s="243"/>
      <c r="PM216" s="243"/>
      <c r="PN216" s="243"/>
      <c r="PO216" s="243"/>
      <c r="PP216" s="243"/>
      <c r="PQ216" s="243"/>
      <c r="PR216" s="243"/>
      <c r="PS216" s="243"/>
      <c r="PT216" s="243"/>
      <c r="PU216" s="243"/>
      <c r="PV216" s="243"/>
      <c r="PW216" s="243"/>
      <c r="PX216" s="243"/>
      <c r="PY216" s="243"/>
      <c r="PZ216" s="243"/>
      <c r="QA216" s="243"/>
      <c r="QB216" s="243"/>
      <c r="QC216" s="243"/>
      <c r="QD216" s="243"/>
      <c r="QE216" s="243"/>
      <c r="QF216" s="243"/>
      <c r="QG216" s="243"/>
      <c r="QH216" s="243"/>
      <c r="QI216" s="243"/>
      <c r="QJ216" s="243"/>
      <c r="QK216" s="243"/>
      <c r="QL216" s="243"/>
      <c r="QM216" s="243"/>
      <c r="QN216" s="243"/>
      <c r="QO216" s="243"/>
      <c r="QP216" s="243"/>
      <c r="QQ216" s="243"/>
      <c r="QR216" s="243"/>
      <c r="QS216" s="243"/>
      <c r="QT216" s="243"/>
      <c r="QU216" s="243"/>
      <c r="QV216" s="243"/>
      <c r="QW216" s="243"/>
      <c r="QX216" s="243"/>
      <c r="QY216" s="243"/>
      <c r="QZ216" s="243"/>
      <c r="RA216" s="243"/>
      <c r="RB216" s="243"/>
      <c r="RC216" s="243"/>
      <c r="RD216" s="243"/>
      <c r="RE216" s="243"/>
      <c r="RF216" s="243"/>
      <c r="RG216" s="243"/>
      <c r="RH216" s="243"/>
      <c r="RI216" s="243"/>
      <c r="RJ216" s="243"/>
      <c r="RK216" s="243"/>
      <c r="RL216" s="243"/>
      <c r="RM216" s="243"/>
      <c r="RN216" s="243"/>
      <c r="RO216" s="243"/>
      <c r="RP216" s="243"/>
      <c r="RQ216" s="243"/>
      <c r="RR216" s="243"/>
      <c r="RS216" s="243"/>
      <c r="RT216" s="243"/>
      <c r="RU216" s="243"/>
      <c r="RV216" s="243"/>
      <c r="RW216" s="243"/>
      <c r="RX216" s="243"/>
      <c r="RY216" s="243"/>
      <c r="RZ216" s="243"/>
      <c r="SA216" s="243"/>
      <c r="SB216" s="243"/>
      <c r="SC216" s="243"/>
      <c r="SD216" s="243"/>
      <c r="SE216" s="243"/>
      <c r="SF216" s="243"/>
      <c r="SG216" s="243"/>
      <c r="SH216" s="243"/>
      <c r="SI216" s="243"/>
      <c r="SJ216" s="243"/>
      <c r="SK216" s="243"/>
      <c r="SL216" s="243"/>
      <c r="SM216" s="243"/>
      <c r="SN216" s="243"/>
      <c r="SO216" s="243"/>
      <c r="SP216" s="243"/>
      <c r="SQ216" s="243"/>
      <c r="SR216" s="243"/>
      <c r="SS216" s="243"/>
      <c r="ST216" s="243"/>
      <c r="SU216" s="243"/>
      <c r="SV216" s="243"/>
      <c r="SW216" s="243"/>
      <c r="SX216" s="243"/>
      <c r="SY216" s="243"/>
      <c r="SZ216" s="243"/>
      <c r="TA216" s="243"/>
      <c r="TB216" s="243"/>
      <c r="TC216" s="243"/>
      <c r="TD216" s="243"/>
      <c r="TE216" s="243"/>
      <c r="TF216" s="243"/>
      <c r="TG216" s="243"/>
      <c r="TH216" s="243"/>
      <c r="TI216" s="243"/>
      <c r="TJ216" s="243"/>
      <c r="TK216" s="243"/>
      <c r="TL216" s="243"/>
      <c r="TM216" s="243"/>
      <c r="TN216" s="243"/>
      <c r="TO216" s="243"/>
      <c r="TP216" s="243"/>
      <c r="TQ216" s="243"/>
      <c r="TR216" s="243"/>
      <c r="TS216" s="243"/>
      <c r="TT216" s="243"/>
      <c r="TU216" s="243"/>
      <c r="TV216" s="243"/>
      <c r="TW216" s="243"/>
      <c r="TX216" s="243"/>
      <c r="TY216" s="243"/>
      <c r="TZ216" s="243"/>
      <c r="UA216" s="243"/>
      <c r="UB216" s="243"/>
      <c r="UC216" s="243"/>
      <c r="UD216" s="243"/>
      <c r="UE216" s="243"/>
      <c r="UF216" s="243"/>
      <c r="UG216" s="243"/>
      <c r="UH216" s="243"/>
      <c r="UI216" s="243"/>
      <c r="UJ216" s="243"/>
      <c r="UK216" s="243"/>
      <c r="UL216" s="243"/>
      <c r="UM216" s="243"/>
      <c r="UN216" s="243"/>
      <c r="UO216" s="243"/>
      <c r="UP216" s="243"/>
      <c r="UQ216" s="243"/>
      <c r="UR216" s="243"/>
      <c r="US216" s="243"/>
      <c r="UT216" s="243"/>
      <c r="UU216" s="243"/>
      <c r="UV216" s="243"/>
      <c r="UW216" s="243"/>
      <c r="UX216" s="243"/>
      <c r="UY216" s="243"/>
      <c r="UZ216" s="243"/>
      <c r="VA216" s="243"/>
      <c r="VB216" s="243"/>
      <c r="VC216" s="243"/>
      <c r="VD216" s="243"/>
      <c r="VE216" s="243"/>
      <c r="VF216" s="243"/>
      <c r="VG216" s="243"/>
      <c r="VH216" s="243"/>
      <c r="VI216" s="243"/>
      <c r="VJ216" s="243"/>
      <c r="VK216" s="243"/>
      <c r="VL216" s="243"/>
      <c r="VM216" s="243"/>
      <c r="VN216" s="243"/>
      <c r="VO216" s="243"/>
      <c r="VP216" s="243"/>
      <c r="VQ216" s="243"/>
      <c r="VR216" s="243"/>
      <c r="VS216" s="243"/>
      <c r="VT216" s="243"/>
      <c r="VU216" s="243"/>
      <c r="VV216" s="243"/>
      <c r="VW216" s="243"/>
      <c r="VX216" s="243"/>
      <c r="VY216" s="243"/>
      <c r="VZ216" s="243"/>
      <c r="WA216" s="243"/>
      <c r="WB216" s="243"/>
      <c r="WC216" s="243"/>
      <c r="WD216" s="243"/>
      <c r="WE216" s="243"/>
      <c r="WF216" s="243"/>
      <c r="WG216" s="243"/>
      <c r="WH216" s="243"/>
      <c r="WI216" s="243"/>
      <c r="WJ216" s="243"/>
      <c r="WK216" s="243"/>
      <c r="WL216" s="243"/>
      <c r="WM216" s="243"/>
      <c r="WN216" s="243"/>
      <c r="WO216" s="243"/>
      <c r="WP216" s="243"/>
      <c r="WQ216" s="243"/>
      <c r="WR216" s="243"/>
      <c r="WS216" s="243"/>
      <c r="WT216" s="243"/>
      <c r="WU216" s="243"/>
      <c r="WV216" s="243"/>
      <c r="WW216" s="243"/>
      <c r="WX216" s="243"/>
      <c r="WY216" s="243"/>
      <c r="WZ216" s="243"/>
      <c r="XA216" s="243"/>
      <c r="XB216" s="243"/>
      <c r="XC216" s="243"/>
      <c r="XD216" s="243"/>
      <c r="XE216" s="243"/>
      <c r="XF216" s="243"/>
      <c r="XG216" s="243"/>
      <c r="XH216" s="243"/>
      <c r="XI216" s="243"/>
      <c r="XJ216" s="243"/>
      <c r="XK216" s="243"/>
      <c r="XL216" s="243"/>
      <c r="XM216" s="243"/>
      <c r="XN216" s="243"/>
      <c r="XO216" s="243"/>
      <c r="XP216" s="243"/>
      <c r="XQ216" s="243"/>
      <c r="XR216" s="243"/>
      <c r="XS216" s="243"/>
      <c r="XT216" s="243"/>
      <c r="XU216" s="243"/>
      <c r="XV216" s="243"/>
      <c r="XW216" s="243"/>
      <c r="XX216" s="243"/>
      <c r="XY216" s="243"/>
      <c r="XZ216" s="243"/>
      <c r="YA216" s="243"/>
      <c r="YB216" s="243"/>
      <c r="YC216" s="243"/>
      <c r="YD216" s="243"/>
      <c r="YE216" s="243"/>
      <c r="YF216" s="243"/>
      <c r="YG216" s="243"/>
      <c r="YH216" s="243"/>
      <c r="YI216" s="243"/>
      <c r="YJ216" s="243"/>
      <c r="YK216" s="243"/>
      <c r="YL216" s="243"/>
      <c r="YM216" s="243"/>
      <c r="YN216" s="243"/>
      <c r="YO216" s="243"/>
      <c r="YP216" s="243"/>
      <c r="YQ216" s="243"/>
      <c r="YR216" s="243"/>
      <c r="YS216" s="243"/>
      <c r="YT216" s="243"/>
      <c r="YU216" s="243"/>
      <c r="YV216" s="243"/>
      <c r="YW216" s="243"/>
      <c r="YX216" s="243"/>
      <c r="YY216" s="243"/>
      <c r="YZ216" s="243"/>
      <c r="ZA216" s="243"/>
      <c r="ZB216" s="243"/>
      <c r="ZC216" s="243"/>
      <c r="ZD216" s="243"/>
      <c r="ZE216" s="243"/>
      <c r="ZF216" s="243"/>
      <c r="ZG216" s="243"/>
      <c r="ZH216" s="243"/>
      <c r="ZI216" s="243"/>
      <c r="ZJ216" s="243"/>
      <c r="ZK216" s="243"/>
      <c r="ZL216" s="243"/>
      <c r="ZM216" s="243"/>
      <c r="ZN216" s="243"/>
      <c r="ZO216" s="243"/>
      <c r="ZP216" s="243"/>
      <c r="ZQ216" s="243"/>
      <c r="ZR216" s="243"/>
      <c r="ZS216" s="243"/>
      <c r="ZT216" s="243"/>
      <c r="ZU216" s="243"/>
      <c r="ZV216" s="243"/>
      <c r="ZW216" s="243"/>
      <c r="ZX216" s="243"/>
      <c r="ZY216" s="243"/>
      <c r="ZZ216" s="243"/>
      <c r="AAA216" s="243"/>
      <c r="AAB216" s="243"/>
      <c r="AAC216" s="243"/>
      <c r="AAD216" s="243"/>
      <c r="AAE216" s="243"/>
      <c r="AAF216" s="243"/>
      <c r="AAG216" s="243"/>
      <c r="AAH216" s="243"/>
      <c r="AAI216" s="243"/>
      <c r="AAJ216" s="243"/>
      <c r="AAK216" s="243"/>
      <c r="AAL216" s="243"/>
      <c r="AAM216" s="243"/>
      <c r="AAN216" s="243"/>
      <c r="AAO216" s="243"/>
      <c r="AAP216" s="243"/>
      <c r="AAQ216" s="243"/>
      <c r="AAR216" s="243"/>
      <c r="AAS216" s="243"/>
      <c r="AAT216" s="243"/>
      <c r="AAU216" s="243"/>
      <c r="AAV216" s="243"/>
      <c r="AAW216" s="243"/>
      <c r="AAX216" s="243"/>
      <c r="AAY216" s="243"/>
      <c r="AAZ216" s="243"/>
      <c r="ABA216" s="243"/>
      <c r="ABB216" s="243"/>
      <c r="ABC216" s="243"/>
      <c r="ABD216" s="243"/>
      <c r="ABE216" s="243"/>
      <c r="ABF216" s="243"/>
      <c r="ABG216" s="243"/>
      <c r="ABH216" s="243"/>
      <c r="ABI216" s="243"/>
      <c r="ABJ216" s="243"/>
      <c r="ABK216" s="243"/>
      <c r="ABL216" s="243"/>
      <c r="ABM216" s="243"/>
      <c r="ABN216" s="243"/>
      <c r="ABO216" s="243"/>
      <c r="ABP216" s="243"/>
      <c r="ABQ216" s="243"/>
      <c r="ABR216" s="243"/>
      <c r="ABS216" s="243"/>
      <c r="ABT216" s="243"/>
      <c r="ABU216" s="243"/>
      <c r="ABV216" s="243"/>
      <c r="ABW216" s="243"/>
      <c r="ABX216" s="243"/>
      <c r="ABY216" s="243"/>
      <c r="ABZ216" s="243"/>
      <c r="ACA216" s="243"/>
      <c r="ACB216" s="243"/>
      <c r="ACC216" s="243"/>
      <c r="ACD216" s="243"/>
      <c r="ACE216" s="243"/>
      <c r="ACF216" s="243"/>
      <c r="ACG216" s="243"/>
      <c r="ACH216" s="243"/>
      <c r="ACI216" s="243"/>
      <c r="ACJ216" s="243"/>
      <c r="ACK216" s="243"/>
      <c r="ACL216" s="243"/>
      <c r="ACM216" s="243"/>
      <c r="ACN216" s="243"/>
      <c r="ACO216" s="243"/>
      <c r="ACP216" s="243"/>
      <c r="ACQ216" s="243"/>
      <c r="ACR216" s="243"/>
      <c r="ACS216" s="243"/>
      <c r="ACT216" s="243"/>
      <c r="ACU216" s="243"/>
      <c r="ACV216" s="243"/>
      <c r="ACW216" s="243"/>
      <c r="ACX216" s="243"/>
      <c r="ACY216" s="243"/>
      <c r="ACZ216" s="243"/>
      <c r="ADA216" s="243"/>
      <c r="ADB216" s="243"/>
      <c r="ADC216" s="243"/>
      <c r="ADD216" s="243"/>
      <c r="ADE216" s="243"/>
      <c r="ADF216" s="243"/>
      <c r="ADG216" s="243"/>
      <c r="ADH216" s="243"/>
      <c r="ADI216" s="243"/>
      <c r="ADJ216" s="243"/>
      <c r="ADK216" s="243"/>
      <c r="ADL216" s="243"/>
      <c r="ADM216" s="243"/>
      <c r="ADN216" s="243"/>
      <c r="ADO216" s="243"/>
      <c r="ADP216" s="243"/>
      <c r="ADQ216" s="243"/>
      <c r="ADR216" s="243"/>
      <c r="ADS216" s="243"/>
      <c r="ADT216" s="243"/>
      <c r="ADU216" s="243"/>
      <c r="ADV216" s="243"/>
      <c r="ADW216" s="243"/>
      <c r="ADX216" s="243"/>
      <c r="ADY216" s="243"/>
      <c r="ADZ216" s="243"/>
      <c r="AEA216" s="243"/>
      <c r="AEB216" s="243"/>
      <c r="AEC216" s="243"/>
      <c r="AED216" s="243"/>
      <c r="AEE216" s="243"/>
      <c r="AEF216" s="243"/>
      <c r="AEG216" s="243"/>
      <c r="AEH216" s="243"/>
      <c r="AEI216" s="243"/>
      <c r="AEJ216" s="243"/>
      <c r="AEK216" s="243"/>
      <c r="AEL216" s="243"/>
      <c r="AEM216" s="243"/>
      <c r="AEN216" s="243"/>
      <c r="AEO216" s="243"/>
      <c r="AEP216" s="243"/>
      <c r="AEQ216" s="243"/>
      <c r="AER216" s="243"/>
      <c r="AES216" s="243"/>
      <c r="AET216" s="243"/>
      <c r="AEU216" s="243"/>
      <c r="AEV216" s="243"/>
      <c r="AEW216" s="243"/>
      <c r="AEX216" s="243"/>
      <c r="AEY216" s="243"/>
      <c r="AEZ216" s="243"/>
      <c r="AFA216" s="243"/>
      <c r="AFB216" s="243"/>
      <c r="AFC216" s="243"/>
      <c r="AFD216" s="243"/>
      <c r="AFE216" s="243"/>
      <c r="AFF216" s="243"/>
      <c r="AFG216" s="243"/>
      <c r="AFH216" s="243"/>
      <c r="AFI216" s="243"/>
      <c r="AFJ216" s="243"/>
      <c r="AFK216" s="243"/>
      <c r="AFL216" s="243"/>
      <c r="AFM216" s="243"/>
      <c r="AFN216" s="243"/>
      <c r="AFO216" s="243"/>
      <c r="AFP216" s="243"/>
      <c r="AFQ216" s="243"/>
      <c r="AFR216" s="243"/>
      <c r="AFS216" s="243"/>
      <c r="AFT216" s="243"/>
      <c r="AFU216" s="243"/>
      <c r="AFV216" s="243"/>
      <c r="AFW216" s="243"/>
      <c r="AFX216" s="243"/>
      <c r="AFY216" s="243"/>
      <c r="AFZ216" s="243"/>
      <c r="AGA216" s="243"/>
      <c r="AGB216" s="243"/>
      <c r="AGC216" s="243"/>
      <c r="AGD216" s="243"/>
      <c r="AGE216" s="243"/>
      <c r="AGF216" s="243"/>
      <c r="AGG216" s="243"/>
      <c r="AGH216" s="243"/>
      <c r="AGI216" s="243"/>
      <c r="AGJ216" s="243"/>
      <c r="AGK216" s="243"/>
      <c r="AGL216" s="243"/>
      <c r="AGM216" s="243"/>
      <c r="AGN216" s="243"/>
      <c r="AGO216" s="243"/>
      <c r="AGP216" s="243"/>
      <c r="AGQ216" s="243"/>
      <c r="AGR216" s="243"/>
      <c r="AGS216" s="243"/>
      <c r="AGT216" s="243"/>
      <c r="AGU216" s="243"/>
      <c r="AGV216" s="243"/>
      <c r="AGW216" s="243"/>
      <c r="AGX216" s="243"/>
      <c r="AGY216" s="243"/>
      <c r="AGZ216" s="243"/>
      <c r="AHA216" s="243"/>
      <c r="AHB216" s="243"/>
      <c r="AHC216" s="243"/>
      <c r="AHD216" s="243"/>
      <c r="AHE216" s="243"/>
      <c r="AHF216" s="243"/>
      <c r="AHG216" s="243"/>
      <c r="AHH216" s="243"/>
      <c r="AHI216" s="243"/>
      <c r="AHJ216" s="243"/>
      <c r="AHK216" s="243"/>
      <c r="AHL216" s="243"/>
      <c r="AHM216" s="243"/>
      <c r="AHN216" s="243"/>
      <c r="AHO216" s="243"/>
      <c r="AHP216" s="243"/>
      <c r="AHQ216" s="243"/>
      <c r="AHR216" s="243"/>
      <c r="AHS216" s="243"/>
      <c r="AHT216" s="243"/>
      <c r="AHU216" s="243"/>
      <c r="AHV216" s="243"/>
      <c r="AHW216" s="243"/>
      <c r="AHX216" s="243"/>
      <c r="AHY216" s="243"/>
      <c r="AHZ216" s="243"/>
      <c r="AIA216" s="243"/>
      <c r="AIB216" s="243"/>
      <c r="AIC216" s="243"/>
      <c r="AID216" s="243"/>
      <c r="AIE216" s="243"/>
      <c r="AIF216" s="243"/>
      <c r="AIG216" s="243"/>
      <c r="AIH216" s="243"/>
      <c r="AII216" s="243"/>
      <c r="AIJ216" s="243"/>
      <c r="AIK216" s="243"/>
      <c r="AIL216" s="243"/>
      <c r="AIM216" s="243"/>
      <c r="AIN216" s="243"/>
      <c r="AIO216" s="243"/>
      <c r="AIP216" s="243"/>
      <c r="AIQ216" s="243"/>
      <c r="AIR216" s="243"/>
      <c r="AIS216" s="243"/>
      <c r="AIT216" s="243"/>
      <c r="AIU216" s="243"/>
      <c r="AIV216" s="243"/>
      <c r="AIW216" s="243"/>
      <c r="AIX216" s="243"/>
      <c r="AIY216" s="243"/>
      <c r="AIZ216" s="243"/>
      <c r="AJA216" s="243"/>
      <c r="AJB216" s="243"/>
      <c r="AJC216" s="243"/>
      <c r="AJD216" s="243"/>
      <c r="AJE216" s="243"/>
      <c r="AJF216" s="243"/>
      <c r="AJG216" s="243"/>
      <c r="AJH216" s="243"/>
      <c r="AJI216" s="243"/>
      <c r="AJJ216" s="243"/>
      <c r="AJK216" s="243"/>
      <c r="AJL216" s="243"/>
      <c r="AJM216" s="243"/>
      <c r="AJN216" s="243"/>
      <c r="AJO216" s="243"/>
      <c r="AJP216" s="243"/>
      <c r="AJQ216" s="243"/>
      <c r="AJR216" s="243"/>
      <c r="AJS216" s="243"/>
      <c r="AJT216" s="243"/>
      <c r="AJU216" s="243"/>
      <c r="AJV216" s="243"/>
      <c r="AJW216" s="243"/>
      <c r="AJX216" s="243"/>
      <c r="AJY216" s="243"/>
      <c r="AJZ216" s="243"/>
      <c r="AKA216" s="243"/>
      <c r="AKB216" s="243"/>
      <c r="AKC216" s="243"/>
      <c r="AKD216" s="243"/>
      <c r="AKE216" s="243"/>
      <c r="AKF216" s="243"/>
      <c r="AKG216" s="243"/>
      <c r="AKH216" s="243"/>
      <c r="AKI216" s="243"/>
      <c r="AKJ216" s="243"/>
      <c r="AKK216" s="243"/>
      <c r="AKL216" s="243"/>
      <c r="AKM216" s="243"/>
      <c r="AKN216" s="243"/>
      <c r="AKO216" s="243"/>
      <c r="AKP216" s="243"/>
      <c r="AKQ216" s="243"/>
      <c r="AKR216" s="243"/>
      <c r="AKS216" s="243"/>
      <c r="AKT216" s="243"/>
      <c r="AKU216" s="243"/>
      <c r="AKV216" s="243"/>
      <c r="AKW216" s="243"/>
      <c r="AKX216" s="243"/>
      <c r="AKY216" s="243"/>
      <c r="AKZ216" s="243"/>
      <c r="ALA216" s="243"/>
      <c r="ALB216" s="243"/>
      <c r="ALC216" s="243"/>
      <c r="ALD216" s="243"/>
      <c r="ALE216" s="243"/>
      <c r="ALF216" s="243"/>
      <c r="ALG216" s="243"/>
      <c r="ALH216" s="243"/>
      <c r="ALI216" s="243"/>
      <c r="ALJ216" s="243"/>
      <c r="ALK216" s="243"/>
      <c r="ALL216" s="243"/>
      <c r="ALM216" s="243"/>
      <c r="ALN216" s="243"/>
      <c r="ALO216" s="243"/>
      <c r="ALP216" s="243"/>
      <c r="ALQ216" s="243"/>
      <c r="ALR216" s="243"/>
      <c r="ALS216" s="243"/>
      <c r="ALT216" s="243"/>
      <c r="ALU216" s="243"/>
      <c r="ALV216" s="243"/>
      <c r="ALW216" s="243"/>
      <c r="ALX216" s="243"/>
      <c r="ALY216" s="243"/>
      <c r="ALZ216" s="243"/>
      <c r="AMA216" s="243"/>
      <c r="AMB216" s="243"/>
      <c r="AMC216" s="243"/>
      <c r="AMD216" s="243"/>
      <c r="AME216" s="243"/>
      <c r="AMF216" s="243"/>
      <c r="AMG216" s="243"/>
      <c r="AMH216" s="243"/>
      <c r="AMI216" s="244"/>
      <c r="AMJ216" s="244"/>
    </row>
    <row r="217" spans="1:1024" ht="18">
      <c r="A217" s="457" t="s">
        <v>3</v>
      </c>
      <c r="B217" s="457" t="s">
        <v>4</v>
      </c>
      <c r="C217" s="457" t="s">
        <v>115</v>
      </c>
      <c r="D217" s="457" t="s">
        <v>6</v>
      </c>
      <c r="E217" s="457" t="s">
        <v>29</v>
      </c>
      <c r="F217" s="457" t="s">
        <v>8</v>
      </c>
      <c r="G217" s="457" t="s">
        <v>9</v>
      </c>
      <c r="H217" s="457" t="s">
        <v>116</v>
      </c>
      <c r="I217" s="372" t="s">
        <v>12</v>
      </c>
      <c r="J217" s="372" t="s">
        <v>117</v>
      </c>
      <c r="K217" s="372" t="s">
        <v>118</v>
      </c>
      <c r="L217" s="372" t="s">
        <v>119</v>
      </c>
      <c r="M217" s="372" t="s">
        <v>4</v>
      </c>
      <c r="N217" s="372" t="s">
        <v>6</v>
      </c>
      <c r="O217" s="373" t="s">
        <v>29</v>
      </c>
      <c r="P217" s="374" t="s">
        <v>8</v>
      </c>
      <c r="Q217" s="374" t="s">
        <v>120</v>
      </c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3"/>
      <c r="AI217" s="243"/>
      <c r="AJ217" s="243"/>
      <c r="AK217" s="243"/>
      <c r="AL217" s="243"/>
      <c r="AM217" s="243"/>
      <c r="AN217" s="243"/>
      <c r="AO217" s="243"/>
      <c r="AP217" s="243"/>
      <c r="AQ217" s="243"/>
      <c r="AR217" s="243"/>
      <c r="AS217" s="243"/>
      <c r="AT217" s="243"/>
      <c r="AU217" s="243"/>
      <c r="AV217" s="243"/>
      <c r="AW217" s="243"/>
      <c r="AX217" s="243"/>
      <c r="AY217" s="243"/>
      <c r="AZ217" s="243"/>
      <c r="BA217" s="243"/>
      <c r="BB217" s="243"/>
      <c r="BC217" s="243"/>
      <c r="BD217" s="243"/>
      <c r="BE217" s="243"/>
      <c r="BF217" s="243"/>
      <c r="BG217" s="243"/>
      <c r="BH217" s="243"/>
      <c r="BI217" s="243"/>
      <c r="BJ217" s="243"/>
      <c r="BK217" s="243"/>
      <c r="BL217" s="243"/>
      <c r="BM217" s="243"/>
      <c r="BN217" s="243"/>
      <c r="BO217" s="243"/>
      <c r="BP217" s="243"/>
      <c r="BQ217" s="243"/>
      <c r="BR217" s="243"/>
      <c r="BS217" s="243"/>
      <c r="BT217" s="243"/>
      <c r="BU217" s="243"/>
      <c r="BV217" s="243"/>
      <c r="BW217" s="243"/>
      <c r="BX217" s="243"/>
      <c r="BY217" s="243"/>
      <c r="BZ217" s="243"/>
      <c r="CA217" s="243"/>
      <c r="CB217" s="243"/>
      <c r="CC217" s="243"/>
      <c r="CD217" s="243"/>
      <c r="CE217" s="243"/>
      <c r="CF217" s="243"/>
      <c r="CG217" s="243"/>
      <c r="CH217" s="243"/>
      <c r="CI217" s="243"/>
      <c r="CJ217" s="243"/>
      <c r="CK217" s="243"/>
      <c r="CL217" s="243"/>
      <c r="CM217" s="243"/>
      <c r="CN217" s="243"/>
      <c r="CO217" s="243"/>
      <c r="CP217" s="243"/>
      <c r="CQ217" s="243"/>
      <c r="CR217" s="243"/>
      <c r="CS217" s="243"/>
      <c r="CT217" s="243"/>
      <c r="CU217" s="243"/>
      <c r="CV217" s="243"/>
      <c r="CW217" s="243"/>
      <c r="CX217" s="243"/>
      <c r="CY217" s="243"/>
      <c r="CZ217" s="243"/>
      <c r="DA217" s="243"/>
      <c r="DB217" s="243"/>
      <c r="DC217" s="243"/>
      <c r="DD217" s="243"/>
      <c r="DE217" s="243"/>
      <c r="DF217" s="243"/>
      <c r="DG217" s="243"/>
      <c r="DH217" s="243"/>
      <c r="DI217" s="243"/>
      <c r="DJ217" s="243"/>
      <c r="DK217" s="243"/>
      <c r="DL217" s="243"/>
      <c r="DM217" s="243"/>
      <c r="DN217" s="243"/>
      <c r="DO217" s="243"/>
      <c r="DP217" s="243"/>
      <c r="DQ217" s="243"/>
      <c r="DR217" s="243"/>
      <c r="DS217" s="243"/>
      <c r="DT217" s="243"/>
      <c r="DU217" s="243"/>
      <c r="DV217" s="243"/>
      <c r="DW217" s="243"/>
      <c r="DX217" s="243"/>
      <c r="DY217" s="243"/>
      <c r="DZ217" s="243"/>
      <c r="EA217" s="243"/>
      <c r="EB217" s="243"/>
      <c r="EC217" s="243"/>
      <c r="ED217" s="243"/>
      <c r="EE217" s="243"/>
      <c r="EF217" s="243"/>
      <c r="EG217" s="243"/>
      <c r="EH217" s="243"/>
      <c r="EI217" s="243"/>
      <c r="EJ217" s="243"/>
      <c r="EK217" s="243"/>
      <c r="EL217" s="243"/>
      <c r="EM217" s="243"/>
      <c r="EN217" s="243"/>
      <c r="EO217" s="243"/>
      <c r="EP217" s="243"/>
      <c r="EQ217" s="243"/>
      <c r="ER217" s="243"/>
      <c r="ES217" s="243"/>
      <c r="ET217" s="243"/>
      <c r="EU217" s="243"/>
      <c r="EV217" s="243"/>
      <c r="EW217" s="243"/>
      <c r="EX217" s="243"/>
      <c r="EY217" s="243"/>
      <c r="EZ217" s="243"/>
      <c r="FA217" s="243"/>
      <c r="FB217" s="243"/>
      <c r="FC217" s="243"/>
      <c r="FD217" s="243"/>
      <c r="FE217" s="243"/>
      <c r="FF217" s="243"/>
      <c r="FG217" s="243"/>
      <c r="FH217" s="243"/>
      <c r="FI217" s="243"/>
      <c r="FJ217" s="243"/>
      <c r="FK217" s="243"/>
      <c r="FL217" s="243"/>
      <c r="FM217" s="243"/>
      <c r="FN217" s="243"/>
      <c r="FO217" s="243"/>
      <c r="FP217" s="243"/>
      <c r="FQ217" s="243"/>
      <c r="FR217" s="243"/>
      <c r="FS217" s="243"/>
      <c r="FT217" s="243"/>
      <c r="FU217" s="243"/>
      <c r="FV217" s="243"/>
      <c r="FW217" s="243"/>
      <c r="FX217" s="243"/>
      <c r="FY217" s="243"/>
      <c r="FZ217" s="243"/>
      <c r="GA217" s="243"/>
      <c r="GB217" s="243"/>
      <c r="GC217" s="243"/>
      <c r="GD217" s="243"/>
      <c r="GE217" s="243"/>
      <c r="GF217" s="243"/>
      <c r="GG217" s="243"/>
      <c r="GH217" s="243"/>
      <c r="GI217" s="243"/>
      <c r="GJ217" s="243"/>
      <c r="GK217" s="243"/>
      <c r="GL217" s="243"/>
      <c r="GM217" s="243"/>
      <c r="GN217" s="243"/>
      <c r="GO217" s="243"/>
      <c r="GP217" s="243"/>
      <c r="GQ217" s="243"/>
      <c r="GR217" s="243"/>
      <c r="GS217" s="243"/>
      <c r="GT217" s="243"/>
      <c r="GU217" s="243"/>
      <c r="GV217" s="243"/>
      <c r="GW217" s="243"/>
      <c r="GX217" s="243"/>
      <c r="GY217" s="243"/>
      <c r="GZ217" s="243"/>
      <c r="HA217" s="243"/>
      <c r="HB217" s="243"/>
      <c r="HC217" s="243"/>
      <c r="HD217" s="243"/>
      <c r="HE217" s="243"/>
      <c r="HF217" s="243"/>
      <c r="HG217" s="243"/>
      <c r="HH217" s="243"/>
      <c r="HI217" s="243"/>
      <c r="HJ217" s="243"/>
      <c r="HK217" s="243"/>
      <c r="HL217" s="243"/>
      <c r="HM217" s="243"/>
      <c r="HN217" s="243"/>
      <c r="HO217" s="243"/>
      <c r="HP217" s="243"/>
      <c r="HQ217" s="243"/>
      <c r="HR217" s="243"/>
      <c r="HS217" s="243"/>
      <c r="HT217" s="243"/>
      <c r="HU217" s="243"/>
      <c r="HV217" s="243"/>
      <c r="HW217" s="243"/>
      <c r="HX217" s="243"/>
      <c r="HY217" s="243"/>
      <c r="HZ217" s="243"/>
      <c r="IA217" s="243"/>
      <c r="IB217" s="243"/>
      <c r="IC217" s="243"/>
      <c r="ID217" s="243"/>
      <c r="IE217" s="243"/>
      <c r="IF217" s="243"/>
      <c r="IG217" s="243"/>
      <c r="IH217" s="243"/>
      <c r="II217" s="243"/>
      <c r="IJ217" s="243"/>
      <c r="IK217" s="243"/>
      <c r="IL217" s="243"/>
      <c r="IM217" s="243"/>
      <c r="IN217" s="243"/>
      <c r="IO217" s="243"/>
      <c r="IP217" s="243"/>
      <c r="IQ217" s="243"/>
      <c r="IR217" s="243"/>
      <c r="IS217" s="243"/>
      <c r="IT217" s="243"/>
      <c r="IU217" s="243"/>
      <c r="IV217" s="243"/>
      <c r="IW217" s="243"/>
      <c r="IX217" s="243"/>
      <c r="IY217" s="243"/>
      <c r="IZ217" s="243"/>
      <c r="JA217" s="243"/>
      <c r="JB217" s="243"/>
      <c r="JC217" s="243"/>
      <c r="JD217" s="243"/>
      <c r="JE217" s="243"/>
      <c r="JF217" s="243"/>
      <c r="JG217" s="243"/>
      <c r="JH217" s="243"/>
      <c r="JI217" s="243"/>
      <c r="JJ217" s="243"/>
      <c r="JK217" s="243"/>
      <c r="JL217" s="243"/>
      <c r="JM217" s="243"/>
      <c r="JN217" s="243"/>
      <c r="JO217" s="243"/>
      <c r="JP217" s="243"/>
      <c r="JQ217" s="243"/>
      <c r="JR217" s="243"/>
      <c r="JS217" s="243"/>
      <c r="JT217" s="243"/>
      <c r="JU217" s="243"/>
      <c r="JV217" s="243"/>
      <c r="JW217" s="243"/>
      <c r="JX217" s="243"/>
      <c r="JY217" s="243"/>
      <c r="JZ217" s="243"/>
      <c r="KA217" s="243"/>
      <c r="KB217" s="243"/>
      <c r="KC217" s="243"/>
      <c r="KD217" s="243"/>
      <c r="KE217" s="243"/>
      <c r="KF217" s="243"/>
      <c r="KG217" s="243"/>
      <c r="KH217" s="243"/>
      <c r="KI217" s="243"/>
      <c r="KJ217" s="243"/>
      <c r="KK217" s="243"/>
      <c r="KL217" s="243"/>
      <c r="KM217" s="243"/>
      <c r="KN217" s="243"/>
      <c r="KO217" s="243"/>
      <c r="KP217" s="243"/>
      <c r="KQ217" s="243"/>
      <c r="KR217" s="243"/>
      <c r="KS217" s="243"/>
      <c r="KT217" s="243"/>
      <c r="KU217" s="243"/>
      <c r="KV217" s="243"/>
      <c r="KW217" s="243"/>
      <c r="KX217" s="243"/>
      <c r="KY217" s="243"/>
      <c r="KZ217" s="243"/>
      <c r="LA217" s="243"/>
      <c r="LB217" s="243"/>
      <c r="LC217" s="243"/>
      <c r="LD217" s="243"/>
      <c r="LE217" s="243"/>
      <c r="LF217" s="243"/>
      <c r="LG217" s="243"/>
      <c r="LH217" s="243"/>
      <c r="LI217" s="243"/>
      <c r="LJ217" s="243"/>
      <c r="LK217" s="243"/>
      <c r="LL217" s="243"/>
      <c r="LM217" s="243"/>
      <c r="LN217" s="243"/>
      <c r="LO217" s="243"/>
      <c r="LP217" s="243"/>
      <c r="LQ217" s="243"/>
      <c r="LR217" s="243"/>
      <c r="LS217" s="243"/>
      <c r="LT217" s="243"/>
      <c r="LU217" s="243"/>
      <c r="LV217" s="243"/>
      <c r="LW217" s="243"/>
      <c r="LX217" s="243"/>
      <c r="LY217" s="243"/>
      <c r="LZ217" s="243"/>
      <c r="MA217" s="243"/>
      <c r="MB217" s="243"/>
      <c r="MC217" s="243"/>
      <c r="MD217" s="243"/>
      <c r="ME217" s="243"/>
      <c r="MF217" s="243"/>
      <c r="MG217" s="243"/>
      <c r="MH217" s="243"/>
      <c r="MI217" s="243"/>
      <c r="MJ217" s="243"/>
      <c r="MK217" s="243"/>
      <c r="ML217" s="243"/>
      <c r="MM217" s="243"/>
      <c r="MN217" s="243"/>
      <c r="MO217" s="243"/>
      <c r="MP217" s="243"/>
      <c r="MQ217" s="243"/>
      <c r="MR217" s="243"/>
      <c r="MS217" s="243"/>
      <c r="MT217" s="243"/>
      <c r="MU217" s="243"/>
      <c r="MV217" s="243"/>
      <c r="MW217" s="243"/>
      <c r="MX217" s="243"/>
      <c r="MY217" s="243"/>
      <c r="MZ217" s="243"/>
      <c r="NA217" s="243"/>
      <c r="NB217" s="243"/>
      <c r="NC217" s="243"/>
      <c r="ND217" s="243"/>
      <c r="NE217" s="243"/>
      <c r="NF217" s="243"/>
      <c r="NG217" s="243"/>
      <c r="NH217" s="243"/>
      <c r="NI217" s="243"/>
      <c r="NJ217" s="243"/>
      <c r="NK217" s="243"/>
      <c r="NL217" s="243"/>
      <c r="NM217" s="243"/>
      <c r="NN217" s="243"/>
      <c r="NO217" s="243"/>
      <c r="NP217" s="243"/>
      <c r="NQ217" s="243"/>
      <c r="NR217" s="243"/>
      <c r="NS217" s="243"/>
      <c r="NT217" s="243"/>
      <c r="NU217" s="243"/>
      <c r="NV217" s="243"/>
      <c r="NW217" s="243"/>
      <c r="NX217" s="243"/>
      <c r="NY217" s="243"/>
      <c r="NZ217" s="243"/>
      <c r="OA217" s="243"/>
      <c r="OB217" s="243"/>
      <c r="OC217" s="243"/>
      <c r="OD217" s="243"/>
      <c r="OE217" s="243"/>
      <c r="OF217" s="243"/>
      <c r="OG217" s="243"/>
      <c r="OH217" s="243"/>
      <c r="OI217" s="243"/>
      <c r="OJ217" s="243"/>
      <c r="OK217" s="243"/>
      <c r="OL217" s="243"/>
      <c r="OM217" s="243"/>
      <c r="ON217" s="243"/>
      <c r="OO217" s="243"/>
      <c r="OP217" s="243"/>
      <c r="OQ217" s="243"/>
      <c r="OR217" s="243"/>
      <c r="OS217" s="243"/>
      <c r="OT217" s="243"/>
      <c r="OU217" s="243"/>
      <c r="OV217" s="243"/>
      <c r="OW217" s="243"/>
      <c r="OX217" s="243"/>
      <c r="OY217" s="243"/>
      <c r="OZ217" s="243"/>
      <c r="PA217" s="243"/>
      <c r="PB217" s="243"/>
      <c r="PC217" s="243"/>
      <c r="PD217" s="243"/>
      <c r="PE217" s="243"/>
      <c r="PF217" s="243"/>
      <c r="PG217" s="243"/>
      <c r="PH217" s="243"/>
      <c r="PI217" s="243"/>
      <c r="PJ217" s="243"/>
      <c r="PK217" s="243"/>
      <c r="PL217" s="243"/>
      <c r="PM217" s="243"/>
      <c r="PN217" s="243"/>
      <c r="PO217" s="243"/>
      <c r="PP217" s="243"/>
      <c r="PQ217" s="243"/>
      <c r="PR217" s="243"/>
      <c r="PS217" s="243"/>
      <c r="PT217" s="243"/>
      <c r="PU217" s="243"/>
      <c r="PV217" s="243"/>
      <c r="PW217" s="243"/>
      <c r="PX217" s="243"/>
      <c r="PY217" s="243"/>
      <c r="PZ217" s="243"/>
      <c r="QA217" s="243"/>
      <c r="QB217" s="243"/>
      <c r="QC217" s="243"/>
      <c r="QD217" s="243"/>
      <c r="QE217" s="243"/>
      <c r="QF217" s="243"/>
      <c r="QG217" s="243"/>
      <c r="QH217" s="243"/>
      <c r="QI217" s="243"/>
      <c r="QJ217" s="243"/>
      <c r="QK217" s="243"/>
      <c r="QL217" s="243"/>
      <c r="QM217" s="243"/>
      <c r="QN217" s="243"/>
      <c r="QO217" s="243"/>
      <c r="QP217" s="243"/>
      <c r="QQ217" s="243"/>
      <c r="QR217" s="243"/>
      <c r="QS217" s="243"/>
      <c r="QT217" s="243"/>
      <c r="QU217" s="243"/>
      <c r="QV217" s="243"/>
      <c r="QW217" s="243"/>
      <c r="QX217" s="243"/>
      <c r="QY217" s="243"/>
      <c r="QZ217" s="243"/>
      <c r="RA217" s="243"/>
      <c r="RB217" s="243"/>
      <c r="RC217" s="243"/>
      <c r="RD217" s="243"/>
      <c r="RE217" s="243"/>
      <c r="RF217" s="243"/>
      <c r="RG217" s="243"/>
      <c r="RH217" s="243"/>
      <c r="RI217" s="243"/>
      <c r="RJ217" s="243"/>
      <c r="RK217" s="243"/>
      <c r="RL217" s="243"/>
      <c r="RM217" s="243"/>
      <c r="RN217" s="243"/>
      <c r="RO217" s="243"/>
      <c r="RP217" s="243"/>
      <c r="RQ217" s="243"/>
      <c r="RR217" s="243"/>
      <c r="RS217" s="243"/>
      <c r="RT217" s="243"/>
      <c r="RU217" s="243"/>
      <c r="RV217" s="243"/>
      <c r="RW217" s="243"/>
      <c r="RX217" s="243"/>
      <c r="RY217" s="243"/>
      <c r="RZ217" s="243"/>
      <c r="SA217" s="243"/>
      <c r="SB217" s="243"/>
      <c r="SC217" s="243"/>
      <c r="SD217" s="243"/>
      <c r="SE217" s="243"/>
      <c r="SF217" s="243"/>
      <c r="SG217" s="243"/>
      <c r="SH217" s="243"/>
      <c r="SI217" s="243"/>
      <c r="SJ217" s="243"/>
      <c r="SK217" s="243"/>
      <c r="SL217" s="243"/>
      <c r="SM217" s="243"/>
      <c r="SN217" s="243"/>
      <c r="SO217" s="243"/>
      <c r="SP217" s="243"/>
      <c r="SQ217" s="243"/>
      <c r="SR217" s="243"/>
      <c r="SS217" s="243"/>
      <c r="ST217" s="243"/>
      <c r="SU217" s="243"/>
      <c r="SV217" s="243"/>
      <c r="SW217" s="243"/>
      <c r="SX217" s="243"/>
      <c r="SY217" s="243"/>
      <c r="SZ217" s="243"/>
      <c r="TA217" s="243"/>
      <c r="TB217" s="243"/>
      <c r="TC217" s="243"/>
      <c r="TD217" s="243"/>
      <c r="TE217" s="243"/>
      <c r="TF217" s="243"/>
      <c r="TG217" s="243"/>
      <c r="TH217" s="243"/>
      <c r="TI217" s="243"/>
      <c r="TJ217" s="243"/>
      <c r="TK217" s="243"/>
      <c r="TL217" s="243"/>
      <c r="TM217" s="243"/>
      <c r="TN217" s="243"/>
      <c r="TO217" s="243"/>
      <c r="TP217" s="243"/>
      <c r="TQ217" s="243"/>
      <c r="TR217" s="243"/>
      <c r="TS217" s="243"/>
      <c r="TT217" s="243"/>
      <c r="TU217" s="243"/>
      <c r="TV217" s="243"/>
      <c r="TW217" s="243"/>
      <c r="TX217" s="243"/>
      <c r="TY217" s="243"/>
      <c r="TZ217" s="243"/>
      <c r="UA217" s="243"/>
      <c r="UB217" s="243"/>
      <c r="UC217" s="243"/>
      <c r="UD217" s="243"/>
      <c r="UE217" s="243"/>
      <c r="UF217" s="243"/>
      <c r="UG217" s="243"/>
      <c r="UH217" s="243"/>
      <c r="UI217" s="243"/>
      <c r="UJ217" s="243"/>
      <c r="UK217" s="243"/>
      <c r="UL217" s="243"/>
      <c r="UM217" s="243"/>
      <c r="UN217" s="243"/>
      <c r="UO217" s="243"/>
      <c r="UP217" s="243"/>
      <c r="UQ217" s="243"/>
      <c r="UR217" s="243"/>
      <c r="US217" s="243"/>
      <c r="UT217" s="243"/>
      <c r="UU217" s="243"/>
      <c r="UV217" s="243"/>
      <c r="UW217" s="243"/>
      <c r="UX217" s="243"/>
      <c r="UY217" s="243"/>
      <c r="UZ217" s="243"/>
      <c r="VA217" s="243"/>
      <c r="VB217" s="243"/>
      <c r="VC217" s="243"/>
      <c r="VD217" s="243"/>
      <c r="VE217" s="243"/>
      <c r="VF217" s="243"/>
      <c r="VG217" s="243"/>
      <c r="VH217" s="243"/>
      <c r="VI217" s="243"/>
      <c r="VJ217" s="243"/>
      <c r="VK217" s="243"/>
      <c r="VL217" s="243"/>
      <c r="VM217" s="243"/>
      <c r="VN217" s="243"/>
      <c r="VO217" s="243"/>
      <c r="VP217" s="243"/>
      <c r="VQ217" s="243"/>
      <c r="VR217" s="243"/>
      <c r="VS217" s="243"/>
      <c r="VT217" s="243"/>
      <c r="VU217" s="243"/>
      <c r="VV217" s="243"/>
      <c r="VW217" s="243"/>
      <c r="VX217" s="243"/>
      <c r="VY217" s="243"/>
      <c r="VZ217" s="243"/>
      <c r="WA217" s="243"/>
      <c r="WB217" s="243"/>
      <c r="WC217" s="243"/>
      <c r="WD217" s="243"/>
      <c r="WE217" s="243"/>
      <c r="WF217" s="243"/>
      <c r="WG217" s="243"/>
      <c r="WH217" s="243"/>
      <c r="WI217" s="243"/>
      <c r="WJ217" s="243"/>
      <c r="WK217" s="243"/>
      <c r="WL217" s="243"/>
      <c r="WM217" s="243"/>
      <c r="WN217" s="243"/>
      <c r="WO217" s="243"/>
      <c r="WP217" s="243"/>
      <c r="WQ217" s="243"/>
      <c r="WR217" s="243"/>
      <c r="WS217" s="243"/>
      <c r="WT217" s="243"/>
      <c r="WU217" s="243"/>
      <c r="WV217" s="243"/>
      <c r="WW217" s="243"/>
      <c r="WX217" s="243"/>
      <c r="WY217" s="243"/>
      <c r="WZ217" s="243"/>
      <c r="XA217" s="243"/>
      <c r="XB217" s="243"/>
      <c r="XC217" s="243"/>
      <c r="XD217" s="243"/>
      <c r="XE217" s="243"/>
      <c r="XF217" s="243"/>
      <c r="XG217" s="243"/>
      <c r="XH217" s="243"/>
      <c r="XI217" s="243"/>
      <c r="XJ217" s="243"/>
      <c r="XK217" s="243"/>
      <c r="XL217" s="243"/>
      <c r="XM217" s="243"/>
      <c r="XN217" s="243"/>
      <c r="XO217" s="243"/>
      <c r="XP217" s="243"/>
      <c r="XQ217" s="243"/>
      <c r="XR217" s="243"/>
      <c r="XS217" s="243"/>
      <c r="XT217" s="243"/>
      <c r="XU217" s="243"/>
      <c r="XV217" s="243"/>
      <c r="XW217" s="243"/>
      <c r="XX217" s="243"/>
      <c r="XY217" s="243"/>
      <c r="XZ217" s="243"/>
      <c r="YA217" s="243"/>
      <c r="YB217" s="243"/>
      <c r="YC217" s="243"/>
      <c r="YD217" s="243"/>
      <c r="YE217" s="243"/>
      <c r="YF217" s="243"/>
      <c r="YG217" s="243"/>
      <c r="YH217" s="243"/>
      <c r="YI217" s="243"/>
      <c r="YJ217" s="243"/>
      <c r="YK217" s="243"/>
      <c r="YL217" s="243"/>
      <c r="YM217" s="243"/>
      <c r="YN217" s="243"/>
      <c r="YO217" s="243"/>
      <c r="YP217" s="243"/>
      <c r="YQ217" s="243"/>
      <c r="YR217" s="243"/>
      <c r="YS217" s="243"/>
      <c r="YT217" s="243"/>
      <c r="YU217" s="243"/>
      <c r="YV217" s="243"/>
      <c r="YW217" s="243"/>
      <c r="YX217" s="243"/>
      <c r="YY217" s="243"/>
      <c r="YZ217" s="243"/>
      <c r="ZA217" s="243"/>
      <c r="ZB217" s="243"/>
      <c r="ZC217" s="243"/>
      <c r="ZD217" s="243"/>
      <c r="ZE217" s="243"/>
      <c r="ZF217" s="243"/>
      <c r="ZG217" s="243"/>
      <c r="ZH217" s="243"/>
      <c r="ZI217" s="243"/>
      <c r="ZJ217" s="243"/>
      <c r="ZK217" s="243"/>
      <c r="ZL217" s="243"/>
      <c r="ZM217" s="243"/>
      <c r="ZN217" s="243"/>
      <c r="ZO217" s="243"/>
      <c r="ZP217" s="243"/>
      <c r="ZQ217" s="243"/>
      <c r="ZR217" s="243"/>
      <c r="ZS217" s="243"/>
      <c r="ZT217" s="243"/>
      <c r="ZU217" s="243"/>
      <c r="ZV217" s="243"/>
      <c r="ZW217" s="243"/>
      <c r="ZX217" s="243"/>
      <c r="ZY217" s="243"/>
      <c r="ZZ217" s="243"/>
      <c r="AAA217" s="243"/>
      <c r="AAB217" s="243"/>
      <c r="AAC217" s="243"/>
      <c r="AAD217" s="243"/>
      <c r="AAE217" s="243"/>
      <c r="AAF217" s="243"/>
      <c r="AAG217" s="243"/>
      <c r="AAH217" s="243"/>
      <c r="AAI217" s="243"/>
      <c r="AAJ217" s="243"/>
      <c r="AAK217" s="243"/>
      <c r="AAL217" s="243"/>
      <c r="AAM217" s="243"/>
      <c r="AAN217" s="243"/>
      <c r="AAO217" s="243"/>
      <c r="AAP217" s="243"/>
      <c r="AAQ217" s="243"/>
      <c r="AAR217" s="243"/>
      <c r="AAS217" s="243"/>
      <c r="AAT217" s="243"/>
      <c r="AAU217" s="243"/>
      <c r="AAV217" s="243"/>
      <c r="AAW217" s="243"/>
      <c r="AAX217" s="243"/>
      <c r="AAY217" s="243"/>
      <c r="AAZ217" s="243"/>
      <c r="ABA217" s="243"/>
      <c r="ABB217" s="243"/>
      <c r="ABC217" s="243"/>
      <c r="ABD217" s="243"/>
      <c r="ABE217" s="243"/>
      <c r="ABF217" s="243"/>
      <c r="ABG217" s="243"/>
      <c r="ABH217" s="243"/>
      <c r="ABI217" s="243"/>
      <c r="ABJ217" s="243"/>
      <c r="ABK217" s="243"/>
      <c r="ABL217" s="243"/>
      <c r="ABM217" s="243"/>
      <c r="ABN217" s="243"/>
      <c r="ABO217" s="243"/>
      <c r="ABP217" s="243"/>
      <c r="ABQ217" s="243"/>
      <c r="ABR217" s="243"/>
      <c r="ABS217" s="243"/>
      <c r="ABT217" s="243"/>
      <c r="ABU217" s="243"/>
      <c r="ABV217" s="243"/>
      <c r="ABW217" s="243"/>
      <c r="ABX217" s="243"/>
      <c r="ABY217" s="243"/>
      <c r="ABZ217" s="243"/>
      <c r="ACA217" s="243"/>
      <c r="ACB217" s="243"/>
      <c r="ACC217" s="243"/>
      <c r="ACD217" s="243"/>
      <c r="ACE217" s="243"/>
      <c r="ACF217" s="243"/>
      <c r="ACG217" s="243"/>
      <c r="ACH217" s="243"/>
      <c r="ACI217" s="243"/>
      <c r="ACJ217" s="243"/>
      <c r="ACK217" s="243"/>
      <c r="ACL217" s="243"/>
      <c r="ACM217" s="243"/>
      <c r="ACN217" s="243"/>
      <c r="ACO217" s="243"/>
      <c r="ACP217" s="243"/>
      <c r="ACQ217" s="243"/>
      <c r="ACR217" s="243"/>
      <c r="ACS217" s="243"/>
      <c r="ACT217" s="243"/>
      <c r="ACU217" s="243"/>
      <c r="ACV217" s="243"/>
      <c r="ACW217" s="243"/>
      <c r="ACX217" s="243"/>
      <c r="ACY217" s="243"/>
      <c r="ACZ217" s="243"/>
      <c r="ADA217" s="243"/>
      <c r="ADB217" s="243"/>
      <c r="ADC217" s="243"/>
      <c r="ADD217" s="243"/>
      <c r="ADE217" s="243"/>
      <c r="ADF217" s="243"/>
      <c r="ADG217" s="243"/>
      <c r="ADH217" s="243"/>
      <c r="ADI217" s="243"/>
      <c r="ADJ217" s="243"/>
      <c r="ADK217" s="243"/>
      <c r="ADL217" s="243"/>
      <c r="ADM217" s="243"/>
      <c r="ADN217" s="243"/>
      <c r="ADO217" s="243"/>
      <c r="ADP217" s="243"/>
      <c r="ADQ217" s="243"/>
      <c r="ADR217" s="243"/>
      <c r="ADS217" s="243"/>
      <c r="ADT217" s="243"/>
      <c r="ADU217" s="243"/>
      <c r="ADV217" s="243"/>
      <c r="ADW217" s="243"/>
      <c r="ADX217" s="243"/>
      <c r="ADY217" s="243"/>
      <c r="ADZ217" s="243"/>
      <c r="AEA217" s="243"/>
      <c r="AEB217" s="243"/>
      <c r="AEC217" s="243"/>
      <c r="AED217" s="243"/>
      <c r="AEE217" s="243"/>
      <c r="AEF217" s="243"/>
      <c r="AEG217" s="243"/>
      <c r="AEH217" s="243"/>
      <c r="AEI217" s="243"/>
      <c r="AEJ217" s="243"/>
      <c r="AEK217" s="243"/>
      <c r="AEL217" s="243"/>
      <c r="AEM217" s="243"/>
      <c r="AEN217" s="243"/>
      <c r="AEO217" s="243"/>
      <c r="AEP217" s="243"/>
      <c r="AEQ217" s="243"/>
      <c r="AER217" s="243"/>
      <c r="AES217" s="243"/>
      <c r="AET217" s="243"/>
      <c r="AEU217" s="243"/>
      <c r="AEV217" s="243"/>
      <c r="AEW217" s="243"/>
      <c r="AEX217" s="243"/>
      <c r="AEY217" s="243"/>
      <c r="AEZ217" s="243"/>
      <c r="AFA217" s="243"/>
      <c r="AFB217" s="243"/>
      <c r="AFC217" s="243"/>
      <c r="AFD217" s="243"/>
      <c r="AFE217" s="243"/>
      <c r="AFF217" s="243"/>
      <c r="AFG217" s="243"/>
      <c r="AFH217" s="243"/>
      <c r="AFI217" s="243"/>
      <c r="AFJ217" s="243"/>
      <c r="AFK217" s="243"/>
      <c r="AFL217" s="243"/>
      <c r="AFM217" s="243"/>
      <c r="AFN217" s="243"/>
      <c r="AFO217" s="243"/>
      <c r="AFP217" s="243"/>
      <c r="AFQ217" s="243"/>
      <c r="AFR217" s="243"/>
      <c r="AFS217" s="243"/>
      <c r="AFT217" s="243"/>
      <c r="AFU217" s="243"/>
      <c r="AFV217" s="243"/>
      <c r="AFW217" s="243"/>
      <c r="AFX217" s="243"/>
      <c r="AFY217" s="243"/>
      <c r="AFZ217" s="243"/>
      <c r="AGA217" s="243"/>
      <c r="AGB217" s="243"/>
      <c r="AGC217" s="243"/>
      <c r="AGD217" s="243"/>
      <c r="AGE217" s="243"/>
      <c r="AGF217" s="243"/>
      <c r="AGG217" s="243"/>
      <c r="AGH217" s="243"/>
      <c r="AGI217" s="243"/>
      <c r="AGJ217" s="243"/>
      <c r="AGK217" s="243"/>
      <c r="AGL217" s="243"/>
      <c r="AGM217" s="243"/>
      <c r="AGN217" s="243"/>
      <c r="AGO217" s="243"/>
      <c r="AGP217" s="243"/>
      <c r="AGQ217" s="243"/>
      <c r="AGR217" s="243"/>
      <c r="AGS217" s="243"/>
      <c r="AGT217" s="243"/>
      <c r="AGU217" s="243"/>
      <c r="AGV217" s="243"/>
      <c r="AGW217" s="243"/>
      <c r="AGX217" s="243"/>
      <c r="AGY217" s="243"/>
      <c r="AGZ217" s="243"/>
      <c r="AHA217" s="243"/>
      <c r="AHB217" s="243"/>
      <c r="AHC217" s="243"/>
      <c r="AHD217" s="243"/>
      <c r="AHE217" s="243"/>
      <c r="AHF217" s="243"/>
      <c r="AHG217" s="243"/>
      <c r="AHH217" s="243"/>
      <c r="AHI217" s="243"/>
      <c r="AHJ217" s="243"/>
      <c r="AHK217" s="243"/>
      <c r="AHL217" s="243"/>
      <c r="AHM217" s="243"/>
      <c r="AHN217" s="243"/>
      <c r="AHO217" s="243"/>
      <c r="AHP217" s="243"/>
      <c r="AHQ217" s="243"/>
      <c r="AHR217" s="243"/>
      <c r="AHS217" s="243"/>
      <c r="AHT217" s="243"/>
      <c r="AHU217" s="243"/>
      <c r="AHV217" s="243"/>
      <c r="AHW217" s="243"/>
      <c r="AHX217" s="243"/>
      <c r="AHY217" s="243"/>
      <c r="AHZ217" s="243"/>
      <c r="AIA217" s="243"/>
      <c r="AIB217" s="243"/>
      <c r="AIC217" s="243"/>
      <c r="AID217" s="243"/>
      <c r="AIE217" s="243"/>
      <c r="AIF217" s="243"/>
      <c r="AIG217" s="243"/>
      <c r="AIH217" s="243"/>
      <c r="AII217" s="243"/>
      <c r="AIJ217" s="243"/>
      <c r="AIK217" s="243"/>
      <c r="AIL217" s="243"/>
      <c r="AIM217" s="243"/>
      <c r="AIN217" s="243"/>
      <c r="AIO217" s="243"/>
      <c r="AIP217" s="243"/>
      <c r="AIQ217" s="243"/>
      <c r="AIR217" s="243"/>
      <c r="AIS217" s="243"/>
      <c r="AIT217" s="243"/>
      <c r="AIU217" s="243"/>
      <c r="AIV217" s="243"/>
      <c r="AIW217" s="243"/>
      <c r="AIX217" s="243"/>
      <c r="AIY217" s="243"/>
      <c r="AIZ217" s="243"/>
      <c r="AJA217" s="243"/>
      <c r="AJB217" s="243"/>
      <c r="AJC217" s="243"/>
      <c r="AJD217" s="243"/>
      <c r="AJE217" s="243"/>
      <c r="AJF217" s="243"/>
      <c r="AJG217" s="243"/>
      <c r="AJH217" s="243"/>
      <c r="AJI217" s="243"/>
      <c r="AJJ217" s="243"/>
      <c r="AJK217" s="243"/>
      <c r="AJL217" s="243"/>
      <c r="AJM217" s="243"/>
      <c r="AJN217" s="243"/>
      <c r="AJO217" s="243"/>
      <c r="AJP217" s="243"/>
      <c r="AJQ217" s="243"/>
      <c r="AJR217" s="243"/>
      <c r="AJS217" s="243"/>
      <c r="AJT217" s="243"/>
      <c r="AJU217" s="243"/>
      <c r="AJV217" s="243"/>
      <c r="AJW217" s="243"/>
      <c r="AJX217" s="243"/>
      <c r="AJY217" s="243"/>
      <c r="AJZ217" s="243"/>
      <c r="AKA217" s="243"/>
      <c r="AKB217" s="243"/>
      <c r="AKC217" s="243"/>
      <c r="AKD217" s="243"/>
      <c r="AKE217" s="243"/>
      <c r="AKF217" s="243"/>
      <c r="AKG217" s="243"/>
      <c r="AKH217" s="243"/>
      <c r="AKI217" s="243"/>
      <c r="AKJ217" s="243"/>
      <c r="AKK217" s="243"/>
      <c r="AKL217" s="243"/>
      <c r="AKM217" s="243"/>
      <c r="AKN217" s="243"/>
      <c r="AKO217" s="243"/>
      <c r="AKP217" s="243"/>
      <c r="AKQ217" s="243"/>
      <c r="AKR217" s="243"/>
      <c r="AKS217" s="243"/>
      <c r="AKT217" s="243"/>
      <c r="AKU217" s="243"/>
      <c r="AKV217" s="243"/>
      <c r="AKW217" s="243"/>
      <c r="AKX217" s="243"/>
      <c r="AKY217" s="243"/>
      <c r="AKZ217" s="243"/>
      <c r="ALA217" s="243"/>
      <c r="ALB217" s="243"/>
      <c r="ALC217" s="243"/>
      <c r="ALD217" s="243"/>
      <c r="ALE217" s="243"/>
      <c r="ALF217" s="243"/>
      <c r="ALG217" s="243"/>
      <c r="ALH217" s="243"/>
      <c r="ALI217" s="243"/>
      <c r="ALJ217" s="243"/>
      <c r="ALK217" s="243"/>
      <c r="ALL217" s="243"/>
      <c r="ALM217" s="243"/>
      <c r="ALN217" s="243"/>
      <c r="ALO217" s="243"/>
      <c r="ALP217" s="243"/>
      <c r="ALQ217" s="243"/>
      <c r="ALR217" s="243"/>
      <c r="ALS217" s="243"/>
      <c r="ALT217" s="243"/>
      <c r="ALU217" s="243"/>
      <c r="ALV217" s="243"/>
      <c r="ALW217" s="243"/>
      <c r="ALX217" s="243"/>
      <c r="ALY217" s="243"/>
      <c r="ALZ217" s="243"/>
      <c r="AMA217" s="243"/>
      <c r="AMB217" s="243"/>
      <c r="AMC217" s="243"/>
      <c r="AMD217" s="243"/>
      <c r="AME217" s="243"/>
      <c r="AMF217" s="243"/>
      <c r="AMG217" s="243"/>
      <c r="AMH217" s="243"/>
      <c r="AMI217" s="244"/>
      <c r="AMJ217" s="244"/>
    </row>
    <row r="218" spans="1:1024">
      <c r="A218" s="912" t="s">
        <v>145</v>
      </c>
      <c r="B218" s="442">
        <v>14003</v>
      </c>
      <c r="C218" s="432">
        <v>0.1</v>
      </c>
      <c r="D218" s="370" t="s">
        <v>146</v>
      </c>
      <c r="E218" s="433">
        <v>2700000</v>
      </c>
      <c r="F218" s="432">
        <v>0.05</v>
      </c>
      <c r="G218" s="433">
        <f>E218*F218</f>
        <v>135000</v>
      </c>
      <c r="H218" s="402" t="s">
        <v>123</v>
      </c>
      <c r="I218" s="512" t="s">
        <v>138</v>
      </c>
      <c r="J218" s="402" t="s">
        <v>125</v>
      </c>
      <c r="K218" s="402" t="s">
        <v>123</v>
      </c>
      <c r="L218" s="402" t="s">
        <v>125</v>
      </c>
      <c r="M218" s="395"/>
      <c r="N218" s="396"/>
      <c r="O218" s="377"/>
      <c r="P218" s="377"/>
      <c r="Q218" s="377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3"/>
      <c r="AI218" s="243"/>
      <c r="AJ218" s="243"/>
      <c r="AK218" s="243"/>
      <c r="AL218" s="243"/>
      <c r="AM218" s="243"/>
      <c r="AN218" s="243"/>
      <c r="AO218" s="243"/>
      <c r="AP218" s="243"/>
      <c r="AQ218" s="243"/>
      <c r="AR218" s="243"/>
      <c r="AS218" s="243"/>
      <c r="AT218" s="243"/>
      <c r="AU218" s="243"/>
      <c r="AV218" s="243"/>
      <c r="AW218" s="243"/>
      <c r="AX218" s="243"/>
      <c r="AY218" s="243"/>
      <c r="AZ218" s="243"/>
      <c r="BA218" s="243"/>
      <c r="BB218" s="243"/>
      <c r="BC218" s="243"/>
      <c r="BD218" s="243"/>
      <c r="BE218" s="243"/>
      <c r="BF218" s="243"/>
      <c r="BG218" s="243"/>
      <c r="BH218" s="243"/>
      <c r="BI218" s="243"/>
      <c r="BJ218" s="243"/>
      <c r="BK218" s="243"/>
      <c r="BL218" s="243"/>
      <c r="BM218" s="243"/>
      <c r="BN218" s="243"/>
      <c r="BO218" s="243"/>
      <c r="BP218" s="243"/>
      <c r="BQ218" s="243"/>
      <c r="BR218" s="243"/>
      <c r="BS218" s="243"/>
      <c r="BT218" s="243"/>
      <c r="BU218" s="243"/>
      <c r="BV218" s="243"/>
      <c r="BW218" s="243"/>
      <c r="BX218" s="243"/>
      <c r="BY218" s="243"/>
      <c r="BZ218" s="243"/>
      <c r="CA218" s="243"/>
      <c r="CB218" s="243"/>
      <c r="CC218" s="243"/>
      <c r="CD218" s="243"/>
      <c r="CE218" s="243"/>
      <c r="CF218" s="243"/>
      <c r="CG218" s="243"/>
      <c r="CH218" s="243"/>
      <c r="CI218" s="243"/>
      <c r="CJ218" s="243"/>
      <c r="CK218" s="243"/>
      <c r="CL218" s="243"/>
      <c r="CM218" s="243"/>
      <c r="CN218" s="243"/>
      <c r="CO218" s="243"/>
      <c r="CP218" s="243"/>
      <c r="CQ218" s="243"/>
      <c r="CR218" s="243"/>
      <c r="CS218" s="243"/>
      <c r="CT218" s="243"/>
      <c r="CU218" s="243"/>
      <c r="CV218" s="243"/>
      <c r="CW218" s="243"/>
      <c r="CX218" s="243"/>
      <c r="CY218" s="243"/>
      <c r="CZ218" s="243"/>
      <c r="DA218" s="243"/>
      <c r="DB218" s="243"/>
      <c r="DC218" s="243"/>
      <c r="DD218" s="243"/>
      <c r="DE218" s="243"/>
      <c r="DF218" s="243"/>
      <c r="DG218" s="243"/>
      <c r="DH218" s="243"/>
      <c r="DI218" s="243"/>
      <c r="DJ218" s="243"/>
      <c r="DK218" s="243"/>
      <c r="DL218" s="243"/>
      <c r="DM218" s="243"/>
      <c r="DN218" s="243"/>
      <c r="DO218" s="243"/>
      <c r="DP218" s="243"/>
      <c r="DQ218" s="243"/>
      <c r="DR218" s="243"/>
      <c r="DS218" s="243"/>
      <c r="DT218" s="243"/>
      <c r="DU218" s="243"/>
      <c r="DV218" s="243"/>
      <c r="DW218" s="243"/>
      <c r="DX218" s="243"/>
      <c r="DY218" s="243"/>
      <c r="DZ218" s="243"/>
      <c r="EA218" s="243"/>
      <c r="EB218" s="243"/>
      <c r="EC218" s="243"/>
      <c r="ED218" s="243"/>
      <c r="EE218" s="243"/>
      <c r="EF218" s="243"/>
      <c r="EG218" s="243"/>
      <c r="EH218" s="243"/>
      <c r="EI218" s="243"/>
      <c r="EJ218" s="243"/>
      <c r="EK218" s="243"/>
      <c r="EL218" s="243"/>
      <c r="EM218" s="243"/>
      <c r="EN218" s="243"/>
      <c r="EO218" s="243"/>
      <c r="EP218" s="243"/>
      <c r="EQ218" s="243"/>
      <c r="ER218" s="243"/>
      <c r="ES218" s="243"/>
      <c r="ET218" s="243"/>
      <c r="EU218" s="243"/>
      <c r="EV218" s="243"/>
      <c r="EW218" s="243"/>
      <c r="EX218" s="243"/>
      <c r="EY218" s="243"/>
      <c r="EZ218" s="243"/>
      <c r="FA218" s="243"/>
      <c r="FB218" s="243"/>
      <c r="FC218" s="243"/>
      <c r="FD218" s="243"/>
      <c r="FE218" s="243"/>
      <c r="FF218" s="243"/>
      <c r="FG218" s="243"/>
      <c r="FH218" s="243"/>
      <c r="FI218" s="243"/>
      <c r="FJ218" s="243"/>
      <c r="FK218" s="243"/>
      <c r="FL218" s="243"/>
      <c r="FM218" s="243"/>
      <c r="FN218" s="243"/>
      <c r="FO218" s="243"/>
      <c r="FP218" s="243"/>
      <c r="FQ218" s="243"/>
      <c r="FR218" s="243"/>
      <c r="FS218" s="243"/>
      <c r="FT218" s="243"/>
      <c r="FU218" s="243"/>
      <c r="FV218" s="243"/>
      <c r="FW218" s="243"/>
      <c r="FX218" s="243"/>
      <c r="FY218" s="243"/>
      <c r="FZ218" s="243"/>
      <c r="GA218" s="243"/>
      <c r="GB218" s="243"/>
      <c r="GC218" s="243"/>
      <c r="GD218" s="243"/>
      <c r="GE218" s="243"/>
      <c r="GF218" s="243"/>
      <c r="GG218" s="243"/>
      <c r="GH218" s="243"/>
      <c r="GI218" s="243"/>
      <c r="GJ218" s="243"/>
      <c r="GK218" s="243"/>
      <c r="GL218" s="243"/>
      <c r="GM218" s="243"/>
      <c r="GN218" s="243"/>
      <c r="GO218" s="243"/>
      <c r="GP218" s="243"/>
      <c r="GQ218" s="243"/>
      <c r="GR218" s="243"/>
      <c r="GS218" s="243"/>
      <c r="GT218" s="243"/>
      <c r="GU218" s="243"/>
      <c r="GV218" s="243"/>
      <c r="GW218" s="243"/>
      <c r="GX218" s="243"/>
      <c r="GY218" s="243"/>
      <c r="GZ218" s="243"/>
      <c r="HA218" s="243"/>
      <c r="HB218" s="243"/>
      <c r="HC218" s="243"/>
      <c r="HD218" s="243"/>
      <c r="HE218" s="243"/>
      <c r="HF218" s="243"/>
      <c r="HG218" s="243"/>
      <c r="HH218" s="243"/>
      <c r="HI218" s="243"/>
      <c r="HJ218" s="243"/>
      <c r="HK218" s="243"/>
      <c r="HL218" s="243"/>
      <c r="HM218" s="243"/>
      <c r="HN218" s="243"/>
      <c r="HO218" s="243"/>
      <c r="HP218" s="243"/>
      <c r="HQ218" s="243"/>
      <c r="HR218" s="243"/>
      <c r="HS218" s="243"/>
      <c r="HT218" s="243"/>
      <c r="HU218" s="243"/>
      <c r="HV218" s="243"/>
      <c r="HW218" s="243"/>
      <c r="HX218" s="243"/>
      <c r="HY218" s="243"/>
      <c r="HZ218" s="243"/>
      <c r="IA218" s="243"/>
      <c r="IB218" s="243"/>
      <c r="IC218" s="243"/>
      <c r="ID218" s="243"/>
      <c r="IE218" s="243"/>
      <c r="IF218" s="243"/>
      <c r="IG218" s="243"/>
      <c r="IH218" s="243"/>
      <c r="II218" s="243"/>
      <c r="IJ218" s="243"/>
      <c r="IK218" s="243"/>
      <c r="IL218" s="243"/>
      <c r="IM218" s="243"/>
      <c r="IN218" s="243"/>
      <c r="IO218" s="243"/>
      <c r="IP218" s="243"/>
      <c r="IQ218" s="243"/>
      <c r="IR218" s="243"/>
      <c r="IS218" s="243"/>
      <c r="IT218" s="243"/>
      <c r="IU218" s="243"/>
      <c r="IV218" s="243"/>
      <c r="IW218" s="243"/>
      <c r="IX218" s="243"/>
      <c r="IY218" s="243"/>
      <c r="IZ218" s="243"/>
      <c r="JA218" s="243"/>
      <c r="JB218" s="243"/>
      <c r="JC218" s="243"/>
      <c r="JD218" s="243"/>
      <c r="JE218" s="243"/>
      <c r="JF218" s="243"/>
      <c r="JG218" s="243"/>
      <c r="JH218" s="243"/>
      <c r="JI218" s="243"/>
      <c r="JJ218" s="243"/>
      <c r="JK218" s="243"/>
      <c r="JL218" s="243"/>
      <c r="JM218" s="243"/>
      <c r="JN218" s="243"/>
      <c r="JO218" s="243"/>
      <c r="JP218" s="243"/>
      <c r="JQ218" s="243"/>
      <c r="JR218" s="243"/>
      <c r="JS218" s="243"/>
      <c r="JT218" s="243"/>
      <c r="JU218" s="243"/>
      <c r="JV218" s="243"/>
      <c r="JW218" s="243"/>
      <c r="JX218" s="243"/>
      <c r="JY218" s="243"/>
      <c r="JZ218" s="243"/>
      <c r="KA218" s="243"/>
      <c r="KB218" s="243"/>
      <c r="KC218" s="243"/>
      <c r="KD218" s="243"/>
      <c r="KE218" s="243"/>
      <c r="KF218" s="243"/>
      <c r="KG218" s="243"/>
      <c r="KH218" s="243"/>
      <c r="KI218" s="243"/>
      <c r="KJ218" s="243"/>
      <c r="KK218" s="243"/>
      <c r="KL218" s="243"/>
      <c r="KM218" s="243"/>
      <c r="KN218" s="243"/>
      <c r="KO218" s="243"/>
      <c r="KP218" s="243"/>
      <c r="KQ218" s="243"/>
      <c r="KR218" s="243"/>
      <c r="KS218" s="243"/>
      <c r="KT218" s="243"/>
      <c r="KU218" s="243"/>
      <c r="KV218" s="243"/>
      <c r="KW218" s="243"/>
      <c r="KX218" s="243"/>
      <c r="KY218" s="243"/>
      <c r="KZ218" s="243"/>
      <c r="LA218" s="243"/>
      <c r="LB218" s="243"/>
      <c r="LC218" s="243"/>
      <c r="LD218" s="243"/>
      <c r="LE218" s="243"/>
      <c r="LF218" s="243"/>
      <c r="LG218" s="243"/>
      <c r="LH218" s="243"/>
      <c r="LI218" s="243"/>
      <c r="LJ218" s="243"/>
      <c r="LK218" s="243"/>
      <c r="LL218" s="243"/>
      <c r="LM218" s="243"/>
      <c r="LN218" s="243"/>
      <c r="LO218" s="243"/>
      <c r="LP218" s="243"/>
      <c r="LQ218" s="243"/>
      <c r="LR218" s="243"/>
      <c r="LS218" s="243"/>
      <c r="LT218" s="243"/>
      <c r="LU218" s="243"/>
      <c r="LV218" s="243"/>
      <c r="LW218" s="243"/>
      <c r="LX218" s="243"/>
      <c r="LY218" s="243"/>
      <c r="LZ218" s="243"/>
      <c r="MA218" s="243"/>
      <c r="MB218" s="243"/>
      <c r="MC218" s="243"/>
      <c r="MD218" s="243"/>
      <c r="ME218" s="243"/>
      <c r="MF218" s="243"/>
      <c r="MG218" s="243"/>
      <c r="MH218" s="243"/>
      <c r="MI218" s="243"/>
      <c r="MJ218" s="243"/>
      <c r="MK218" s="243"/>
      <c r="ML218" s="243"/>
      <c r="MM218" s="243"/>
      <c r="MN218" s="243"/>
      <c r="MO218" s="243"/>
      <c r="MP218" s="243"/>
      <c r="MQ218" s="243"/>
      <c r="MR218" s="243"/>
      <c r="MS218" s="243"/>
      <c r="MT218" s="243"/>
      <c r="MU218" s="243"/>
      <c r="MV218" s="243"/>
      <c r="MW218" s="243"/>
      <c r="MX218" s="243"/>
      <c r="MY218" s="243"/>
      <c r="MZ218" s="243"/>
      <c r="NA218" s="243"/>
      <c r="NB218" s="243"/>
      <c r="NC218" s="243"/>
      <c r="ND218" s="243"/>
      <c r="NE218" s="243"/>
      <c r="NF218" s="243"/>
      <c r="NG218" s="243"/>
      <c r="NH218" s="243"/>
      <c r="NI218" s="243"/>
      <c r="NJ218" s="243"/>
      <c r="NK218" s="243"/>
      <c r="NL218" s="243"/>
      <c r="NM218" s="243"/>
      <c r="NN218" s="243"/>
      <c r="NO218" s="243"/>
      <c r="NP218" s="243"/>
      <c r="NQ218" s="243"/>
      <c r="NR218" s="243"/>
      <c r="NS218" s="243"/>
      <c r="NT218" s="243"/>
      <c r="NU218" s="243"/>
      <c r="NV218" s="243"/>
      <c r="NW218" s="243"/>
      <c r="NX218" s="243"/>
      <c r="NY218" s="243"/>
      <c r="NZ218" s="243"/>
      <c r="OA218" s="243"/>
      <c r="OB218" s="243"/>
      <c r="OC218" s="243"/>
      <c r="OD218" s="243"/>
      <c r="OE218" s="243"/>
      <c r="OF218" s="243"/>
      <c r="OG218" s="243"/>
      <c r="OH218" s="243"/>
      <c r="OI218" s="243"/>
      <c r="OJ218" s="243"/>
      <c r="OK218" s="243"/>
      <c r="OL218" s="243"/>
      <c r="OM218" s="243"/>
      <c r="ON218" s="243"/>
      <c r="OO218" s="243"/>
      <c r="OP218" s="243"/>
      <c r="OQ218" s="243"/>
      <c r="OR218" s="243"/>
      <c r="OS218" s="243"/>
      <c r="OT218" s="243"/>
      <c r="OU218" s="243"/>
      <c r="OV218" s="243"/>
      <c r="OW218" s="243"/>
      <c r="OX218" s="243"/>
      <c r="OY218" s="243"/>
      <c r="OZ218" s="243"/>
      <c r="PA218" s="243"/>
      <c r="PB218" s="243"/>
      <c r="PC218" s="243"/>
      <c r="PD218" s="243"/>
      <c r="PE218" s="243"/>
      <c r="PF218" s="243"/>
      <c r="PG218" s="243"/>
      <c r="PH218" s="243"/>
      <c r="PI218" s="243"/>
      <c r="PJ218" s="243"/>
      <c r="PK218" s="243"/>
      <c r="PL218" s="243"/>
      <c r="PM218" s="243"/>
      <c r="PN218" s="243"/>
      <c r="PO218" s="243"/>
      <c r="PP218" s="243"/>
      <c r="PQ218" s="243"/>
      <c r="PR218" s="243"/>
      <c r="PS218" s="243"/>
      <c r="PT218" s="243"/>
      <c r="PU218" s="243"/>
      <c r="PV218" s="243"/>
      <c r="PW218" s="243"/>
      <c r="PX218" s="243"/>
      <c r="PY218" s="243"/>
      <c r="PZ218" s="243"/>
      <c r="QA218" s="243"/>
      <c r="QB218" s="243"/>
      <c r="QC218" s="243"/>
      <c r="QD218" s="243"/>
      <c r="QE218" s="243"/>
      <c r="QF218" s="243"/>
      <c r="QG218" s="243"/>
      <c r="QH218" s="243"/>
      <c r="QI218" s="243"/>
      <c r="QJ218" s="243"/>
      <c r="QK218" s="243"/>
      <c r="QL218" s="243"/>
      <c r="QM218" s="243"/>
      <c r="QN218" s="243"/>
      <c r="QO218" s="243"/>
      <c r="QP218" s="243"/>
      <c r="QQ218" s="243"/>
      <c r="QR218" s="243"/>
      <c r="QS218" s="243"/>
      <c r="QT218" s="243"/>
      <c r="QU218" s="243"/>
      <c r="QV218" s="243"/>
      <c r="QW218" s="243"/>
      <c r="QX218" s="243"/>
      <c r="QY218" s="243"/>
      <c r="QZ218" s="243"/>
      <c r="RA218" s="243"/>
      <c r="RB218" s="243"/>
      <c r="RC218" s="243"/>
      <c r="RD218" s="243"/>
      <c r="RE218" s="243"/>
      <c r="RF218" s="243"/>
      <c r="RG218" s="243"/>
      <c r="RH218" s="243"/>
      <c r="RI218" s="243"/>
      <c r="RJ218" s="243"/>
      <c r="RK218" s="243"/>
      <c r="RL218" s="243"/>
      <c r="RM218" s="243"/>
      <c r="RN218" s="243"/>
      <c r="RO218" s="243"/>
      <c r="RP218" s="243"/>
      <c r="RQ218" s="243"/>
      <c r="RR218" s="243"/>
      <c r="RS218" s="243"/>
      <c r="RT218" s="243"/>
      <c r="RU218" s="243"/>
      <c r="RV218" s="243"/>
      <c r="RW218" s="243"/>
      <c r="RX218" s="243"/>
      <c r="RY218" s="243"/>
      <c r="RZ218" s="243"/>
      <c r="SA218" s="243"/>
      <c r="SB218" s="243"/>
      <c r="SC218" s="243"/>
      <c r="SD218" s="243"/>
      <c r="SE218" s="243"/>
      <c r="SF218" s="243"/>
      <c r="SG218" s="243"/>
      <c r="SH218" s="243"/>
      <c r="SI218" s="243"/>
      <c r="SJ218" s="243"/>
      <c r="SK218" s="243"/>
      <c r="SL218" s="243"/>
      <c r="SM218" s="243"/>
      <c r="SN218" s="243"/>
      <c r="SO218" s="243"/>
      <c r="SP218" s="243"/>
      <c r="SQ218" s="243"/>
      <c r="SR218" s="243"/>
      <c r="SS218" s="243"/>
      <c r="ST218" s="243"/>
      <c r="SU218" s="243"/>
      <c r="SV218" s="243"/>
      <c r="SW218" s="243"/>
      <c r="SX218" s="243"/>
      <c r="SY218" s="243"/>
      <c r="SZ218" s="243"/>
      <c r="TA218" s="243"/>
      <c r="TB218" s="243"/>
      <c r="TC218" s="243"/>
      <c r="TD218" s="243"/>
      <c r="TE218" s="243"/>
      <c r="TF218" s="243"/>
      <c r="TG218" s="243"/>
      <c r="TH218" s="243"/>
      <c r="TI218" s="243"/>
      <c r="TJ218" s="243"/>
      <c r="TK218" s="243"/>
      <c r="TL218" s="243"/>
      <c r="TM218" s="243"/>
      <c r="TN218" s="243"/>
      <c r="TO218" s="243"/>
      <c r="TP218" s="243"/>
      <c r="TQ218" s="243"/>
      <c r="TR218" s="243"/>
      <c r="TS218" s="243"/>
      <c r="TT218" s="243"/>
      <c r="TU218" s="243"/>
      <c r="TV218" s="243"/>
      <c r="TW218" s="243"/>
      <c r="TX218" s="243"/>
      <c r="TY218" s="243"/>
      <c r="TZ218" s="243"/>
      <c r="UA218" s="243"/>
      <c r="UB218" s="243"/>
      <c r="UC218" s="243"/>
      <c r="UD218" s="243"/>
      <c r="UE218" s="243"/>
      <c r="UF218" s="243"/>
      <c r="UG218" s="243"/>
      <c r="UH218" s="243"/>
      <c r="UI218" s="243"/>
      <c r="UJ218" s="243"/>
      <c r="UK218" s="243"/>
      <c r="UL218" s="243"/>
      <c r="UM218" s="243"/>
      <c r="UN218" s="243"/>
      <c r="UO218" s="243"/>
      <c r="UP218" s="243"/>
      <c r="UQ218" s="243"/>
      <c r="UR218" s="243"/>
      <c r="US218" s="243"/>
      <c r="UT218" s="243"/>
      <c r="UU218" s="243"/>
      <c r="UV218" s="243"/>
      <c r="UW218" s="243"/>
      <c r="UX218" s="243"/>
      <c r="UY218" s="243"/>
      <c r="UZ218" s="243"/>
      <c r="VA218" s="243"/>
      <c r="VB218" s="243"/>
      <c r="VC218" s="243"/>
      <c r="VD218" s="243"/>
      <c r="VE218" s="243"/>
      <c r="VF218" s="243"/>
      <c r="VG218" s="243"/>
      <c r="VH218" s="243"/>
      <c r="VI218" s="243"/>
      <c r="VJ218" s="243"/>
      <c r="VK218" s="243"/>
      <c r="VL218" s="243"/>
      <c r="VM218" s="243"/>
      <c r="VN218" s="243"/>
      <c r="VO218" s="243"/>
      <c r="VP218" s="243"/>
      <c r="VQ218" s="243"/>
      <c r="VR218" s="243"/>
      <c r="VS218" s="243"/>
      <c r="VT218" s="243"/>
      <c r="VU218" s="243"/>
      <c r="VV218" s="243"/>
      <c r="VW218" s="243"/>
      <c r="VX218" s="243"/>
      <c r="VY218" s="243"/>
      <c r="VZ218" s="243"/>
      <c r="WA218" s="243"/>
      <c r="WB218" s="243"/>
      <c r="WC218" s="243"/>
      <c r="WD218" s="243"/>
      <c r="WE218" s="243"/>
      <c r="WF218" s="243"/>
      <c r="WG218" s="243"/>
      <c r="WH218" s="243"/>
      <c r="WI218" s="243"/>
      <c r="WJ218" s="243"/>
      <c r="WK218" s="243"/>
      <c r="WL218" s="243"/>
      <c r="WM218" s="243"/>
      <c r="WN218" s="243"/>
      <c r="WO218" s="243"/>
      <c r="WP218" s="243"/>
      <c r="WQ218" s="243"/>
      <c r="WR218" s="243"/>
      <c r="WS218" s="243"/>
      <c r="WT218" s="243"/>
      <c r="WU218" s="243"/>
      <c r="WV218" s="243"/>
      <c r="WW218" s="243"/>
      <c r="WX218" s="243"/>
      <c r="WY218" s="243"/>
      <c r="WZ218" s="243"/>
      <c r="XA218" s="243"/>
      <c r="XB218" s="243"/>
      <c r="XC218" s="243"/>
      <c r="XD218" s="243"/>
      <c r="XE218" s="243"/>
      <c r="XF218" s="243"/>
      <c r="XG218" s="243"/>
      <c r="XH218" s="243"/>
      <c r="XI218" s="243"/>
      <c r="XJ218" s="243"/>
      <c r="XK218" s="243"/>
      <c r="XL218" s="243"/>
      <c r="XM218" s="243"/>
      <c r="XN218" s="243"/>
      <c r="XO218" s="243"/>
      <c r="XP218" s="243"/>
      <c r="XQ218" s="243"/>
      <c r="XR218" s="243"/>
      <c r="XS218" s="243"/>
      <c r="XT218" s="243"/>
      <c r="XU218" s="243"/>
      <c r="XV218" s="243"/>
      <c r="XW218" s="243"/>
      <c r="XX218" s="243"/>
      <c r="XY218" s="243"/>
      <c r="XZ218" s="243"/>
      <c r="YA218" s="243"/>
      <c r="YB218" s="243"/>
      <c r="YC218" s="243"/>
      <c r="YD218" s="243"/>
      <c r="YE218" s="243"/>
      <c r="YF218" s="243"/>
      <c r="YG218" s="243"/>
      <c r="YH218" s="243"/>
      <c r="YI218" s="243"/>
      <c r="YJ218" s="243"/>
      <c r="YK218" s="243"/>
      <c r="YL218" s="243"/>
      <c r="YM218" s="243"/>
      <c r="YN218" s="243"/>
      <c r="YO218" s="243"/>
      <c r="YP218" s="243"/>
      <c r="YQ218" s="243"/>
      <c r="YR218" s="243"/>
      <c r="YS218" s="243"/>
      <c r="YT218" s="243"/>
      <c r="YU218" s="243"/>
      <c r="YV218" s="243"/>
      <c r="YW218" s="243"/>
      <c r="YX218" s="243"/>
      <c r="YY218" s="243"/>
      <c r="YZ218" s="243"/>
      <c r="ZA218" s="243"/>
      <c r="ZB218" s="243"/>
      <c r="ZC218" s="243"/>
      <c r="ZD218" s="243"/>
      <c r="ZE218" s="243"/>
      <c r="ZF218" s="243"/>
      <c r="ZG218" s="243"/>
      <c r="ZH218" s="243"/>
      <c r="ZI218" s="243"/>
      <c r="ZJ218" s="243"/>
      <c r="ZK218" s="243"/>
      <c r="ZL218" s="243"/>
      <c r="ZM218" s="243"/>
      <c r="ZN218" s="243"/>
      <c r="ZO218" s="243"/>
      <c r="ZP218" s="243"/>
      <c r="ZQ218" s="243"/>
      <c r="ZR218" s="243"/>
      <c r="ZS218" s="243"/>
      <c r="ZT218" s="243"/>
      <c r="ZU218" s="243"/>
      <c r="ZV218" s="243"/>
      <c r="ZW218" s="243"/>
      <c r="ZX218" s="243"/>
      <c r="ZY218" s="243"/>
      <c r="ZZ218" s="243"/>
      <c r="AAA218" s="243"/>
      <c r="AAB218" s="243"/>
      <c r="AAC218" s="243"/>
      <c r="AAD218" s="243"/>
      <c r="AAE218" s="243"/>
      <c r="AAF218" s="243"/>
      <c r="AAG218" s="243"/>
      <c r="AAH218" s="243"/>
      <c r="AAI218" s="243"/>
      <c r="AAJ218" s="243"/>
      <c r="AAK218" s="243"/>
      <c r="AAL218" s="243"/>
      <c r="AAM218" s="243"/>
      <c r="AAN218" s="243"/>
      <c r="AAO218" s="243"/>
      <c r="AAP218" s="243"/>
      <c r="AAQ218" s="243"/>
      <c r="AAR218" s="243"/>
      <c r="AAS218" s="243"/>
      <c r="AAT218" s="243"/>
      <c r="AAU218" s="243"/>
      <c r="AAV218" s="243"/>
      <c r="AAW218" s="243"/>
      <c r="AAX218" s="243"/>
      <c r="AAY218" s="243"/>
      <c r="AAZ218" s="243"/>
      <c r="ABA218" s="243"/>
      <c r="ABB218" s="243"/>
      <c r="ABC218" s="243"/>
      <c r="ABD218" s="243"/>
      <c r="ABE218" s="243"/>
      <c r="ABF218" s="243"/>
      <c r="ABG218" s="243"/>
      <c r="ABH218" s="243"/>
      <c r="ABI218" s="243"/>
      <c r="ABJ218" s="243"/>
      <c r="ABK218" s="243"/>
      <c r="ABL218" s="243"/>
      <c r="ABM218" s="243"/>
      <c r="ABN218" s="243"/>
      <c r="ABO218" s="243"/>
      <c r="ABP218" s="243"/>
      <c r="ABQ218" s="243"/>
      <c r="ABR218" s="243"/>
      <c r="ABS218" s="243"/>
      <c r="ABT218" s="243"/>
      <c r="ABU218" s="243"/>
      <c r="ABV218" s="243"/>
      <c r="ABW218" s="243"/>
      <c r="ABX218" s="243"/>
      <c r="ABY218" s="243"/>
      <c r="ABZ218" s="243"/>
      <c r="ACA218" s="243"/>
      <c r="ACB218" s="243"/>
      <c r="ACC218" s="243"/>
      <c r="ACD218" s="243"/>
      <c r="ACE218" s="243"/>
      <c r="ACF218" s="243"/>
      <c r="ACG218" s="243"/>
      <c r="ACH218" s="243"/>
      <c r="ACI218" s="243"/>
      <c r="ACJ218" s="243"/>
      <c r="ACK218" s="243"/>
      <c r="ACL218" s="243"/>
      <c r="ACM218" s="243"/>
      <c r="ACN218" s="243"/>
      <c r="ACO218" s="243"/>
      <c r="ACP218" s="243"/>
      <c r="ACQ218" s="243"/>
      <c r="ACR218" s="243"/>
      <c r="ACS218" s="243"/>
      <c r="ACT218" s="243"/>
      <c r="ACU218" s="243"/>
      <c r="ACV218" s="243"/>
      <c r="ACW218" s="243"/>
      <c r="ACX218" s="243"/>
      <c r="ACY218" s="243"/>
      <c r="ACZ218" s="243"/>
      <c r="ADA218" s="243"/>
      <c r="ADB218" s="243"/>
      <c r="ADC218" s="243"/>
      <c r="ADD218" s="243"/>
      <c r="ADE218" s="243"/>
      <c r="ADF218" s="243"/>
      <c r="ADG218" s="243"/>
      <c r="ADH218" s="243"/>
      <c r="ADI218" s="243"/>
      <c r="ADJ218" s="243"/>
      <c r="ADK218" s="243"/>
      <c r="ADL218" s="243"/>
      <c r="ADM218" s="243"/>
      <c r="ADN218" s="243"/>
      <c r="ADO218" s="243"/>
      <c r="ADP218" s="243"/>
      <c r="ADQ218" s="243"/>
      <c r="ADR218" s="243"/>
      <c r="ADS218" s="243"/>
      <c r="ADT218" s="243"/>
      <c r="ADU218" s="243"/>
      <c r="ADV218" s="243"/>
      <c r="ADW218" s="243"/>
      <c r="ADX218" s="243"/>
      <c r="ADY218" s="243"/>
      <c r="ADZ218" s="243"/>
      <c r="AEA218" s="243"/>
      <c r="AEB218" s="243"/>
      <c r="AEC218" s="243"/>
      <c r="AED218" s="243"/>
      <c r="AEE218" s="243"/>
      <c r="AEF218" s="243"/>
      <c r="AEG218" s="243"/>
      <c r="AEH218" s="243"/>
      <c r="AEI218" s="243"/>
      <c r="AEJ218" s="243"/>
      <c r="AEK218" s="243"/>
      <c r="AEL218" s="243"/>
      <c r="AEM218" s="243"/>
      <c r="AEN218" s="243"/>
      <c r="AEO218" s="243"/>
      <c r="AEP218" s="243"/>
      <c r="AEQ218" s="243"/>
      <c r="AER218" s="243"/>
      <c r="AES218" s="243"/>
      <c r="AET218" s="243"/>
      <c r="AEU218" s="243"/>
      <c r="AEV218" s="243"/>
      <c r="AEW218" s="243"/>
      <c r="AEX218" s="243"/>
      <c r="AEY218" s="243"/>
      <c r="AEZ218" s="243"/>
      <c r="AFA218" s="243"/>
      <c r="AFB218" s="243"/>
      <c r="AFC218" s="243"/>
      <c r="AFD218" s="243"/>
      <c r="AFE218" s="243"/>
      <c r="AFF218" s="243"/>
      <c r="AFG218" s="243"/>
      <c r="AFH218" s="243"/>
      <c r="AFI218" s="243"/>
      <c r="AFJ218" s="243"/>
      <c r="AFK218" s="243"/>
      <c r="AFL218" s="243"/>
      <c r="AFM218" s="243"/>
      <c r="AFN218" s="243"/>
      <c r="AFO218" s="243"/>
      <c r="AFP218" s="243"/>
      <c r="AFQ218" s="243"/>
      <c r="AFR218" s="243"/>
      <c r="AFS218" s="243"/>
      <c r="AFT218" s="243"/>
      <c r="AFU218" s="243"/>
      <c r="AFV218" s="243"/>
      <c r="AFW218" s="243"/>
      <c r="AFX218" s="243"/>
      <c r="AFY218" s="243"/>
      <c r="AFZ218" s="243"/>
      <c r="AGA218" s="243"/>
      <c r="AGB218" s="243"/>
      <c r="AGC218" s="243"/>
      <c r="AGD218" s="243"/>
      <c r="AGE218" s="243"/>
      <c r="AGF218" s="243"/>
      <c r="AGG218" s="243"/>
      <c r="AGH218" s="243"/>
      <c r="AGI218" s="243"/>
      <c r="AGJ218" s="243"/>
      <c r="AGK218" s="243"/>
      <c r="AGL218" s="243"/>
      <c r="AGM218" s="243"/>
      <c r="AGN218" s="243"/>
      <c r="AGO218" s="243"/>
      <c r="AGP218" s="243"/>
      <c r="AGQ218" s="243"/>
      <c r="AGR218" s="243"/>
      <c r="AGS218" s="243"/>
      <c r="AGT218" s="243"/>
      <c r="AGU218" s="243"/>
      <c r="AGV218" s="243"/>
      <c r="AGW218" s="243"/>
      <c r="AGX218" s="243"/>
      <c r="AGY218" s="243"/>
      <c r="AGZ218" s="243"/>
      <c r="AHA218" s="243"/>
      <c r="AHB218" s="243"/>
      <c r="AHC218" s="243"/>
      <c r="AHD218" s="243"/>
      <c r="AHE218" s="243"/>
      <c r="AHF218" s="243"/>
      <c r="AHG218" s="243"/>
      <c r="AHH218" s="243"/>
      <c r="AHI218" s="243"/>
      <c r="AHJ218" s="243"/>
      <c r="AHK218" s="243"/>
      <c r="AHL218" s="243"/>
      <c r="AHM218" s="243"/>
      <c r="AHN218" s="243"/>
      <c r="AHO218" s="243"/>
      <c r="AHP218" s="243"/>
      <c r="AHQ218" s="243"/>
      <c r="AHR218" s="243"/>
      <c r="AHS218" s="243"/>
      <c r="AHT218" s="243"/>
      <c r="AHU218" s="243"/>
      <c r="AHV218" s="243"/>
      <c r="AHW218" s="243"/>
      <c r="AHX218" s="243"/>
      <c r="AHY218" s="243"/>
      <c r="AHZ218" s="243"/>
      <c r="AIA218" s="243"/>
      <c r="AIB218" s="243"/>
      <c r="AIC218" s="243"/>
      <c r="AID218" s="243"/>
      <c r="AIE218" s="243"/>
      <c r="AIF218" s="243"/>
      <c r="AIG218" s="243"/>
      <c r="AIH218" s="243"/>
      <c r="AII218" s="243"/>
      <c r="AIJ218" s="243"/>
      <c r="AIK218" s="243"/>
      <c r="AIL218" s="243"/>
      <c r="AIM218" s="243"/>
      <c r="AIN218" s="243"/>
      <c r="AIO218" s="243"/>
      <c r="AIP218" s="243"/>
      <c r="AIQ218" s="243"/>
      <c r="AIR218" s="243"/>
      <c r="AIS218" s="243"/>
      <c r="AIT218" s="243"/>
      <c r="AIU218" s="243"/>
      <c r="AIV218" s="243"/>
      <c r="AIW218" s="243"/>
      <c r="AIX218" s="243"/>
      <c r="AIY218" s="243"/>
      <c r="AIZ218" s="243"/>
      <c r="AJA218" s="243"/>
      <c r="AJB218" s="243"/>
      <c r="AJC218" s="243"/>
      <c r="AJD218" s="243"/>
      <c r="AJE218" s="243"/>
      <c r="AJF218" s="243"/>
      <c r="AJG218" s="243"/>
      <c r="AJH218" s="243"/>
      <c r="AJI218" s="243"/>
      <c r="AJJ218" s="243"/>
      <c r="AJK218" s="243"/>
      <c r="AJL218" s="243"/>
      <c r="AJM218" s="243"/>
      <c r="AJN218" s="243"/>
      <c r="AJO218" s="243"/>
      <c r="AJP218" s="243"/>
      <c r="AJQ218" s="243"/>
      <c r="AJR218" s="243"/>
      <c r="AJS218" s="243"/>
      <c r="AJT218" s="243"/>
      <c r="AJU218" s="243"/>
      <c r="AJV218" s="243"/>
      <c r="AJW218" s="243"/>
      <c r="AJX218" s="243"/>
      <c r="AJY218" s="243"/>
      <c r="AJZ218" s="243"/>
      <c r="AKA218" s="243"/>
      <c r="AKB218" s="243"/>
      <c r="AKC218" s="243"/>
      <c r="AKD218" s="243"/>
      <c r="AKE218" s="243"/>
      <c r="AKF218" s="243"/>
      <c r="AKG218" s="243"/>
      <c r="AKH218" s="243"/>
      <c r="AKI218" s="243"/>
      <c r="AKJ218" s="243"/>
      <c r="AKK218" s="243"/>
      <c r="AKL218" s="243"/>
      <c r="AKM218" s="243"/>
      <c r="AKN218" s="243"/>
      <c r="AKO218" s="243"/>
      <c r="AKP218" s="243"/>
      <c r="AKQ218" s="243"/>
      <c r="AKR218" s="243"/>
      <c r="AKS218" s="243"/>
      <c r="AKT218" s="243"/>
      <c r="AKU218" s="243"/>
      <c r="AKV218" s="243"/>
      <c r="AKW218" s="243"/>
      <c r="AKX218" s="243"/>
      <c r="AKY218" s="243"/>
      <c r="AKZ218" s="243"/>
      <c r="ALA218" s="243"/>
      <c r="ALB218" s="243"/>
      <c r="ALC218" s="243"/>
      <c r="ALD218" s="243"/>
      <c r="ALE218" s="243"/>
      <c r="ALF218" s="243"/>
      <c r="ALG218" s="243"/>
      <c r="ALH218" s="243"/>
      <c r="ALI218" s="243"/>
      <c r="ALJ218" s="243"/>
      <c r="ALK218" s="243"/>
      <c r="ALL218" s="243"/>
      <c r="ALM218" s="243"/>
      <c r="ALN218" s="243"/>
      <c r="ALO218" s="243"/>
      <c r="ALP218" s="243"/>
      <c r="ALQ218" s="243"/>
      <c r="ALR218" s="243"/>
      <c r="ALS218" s="243"/>
      <c r="ALT218" s="243"/>
      <c r="ALU218" s="243"/>
      <c r="ALV218" s="243"/>
      <c r="ALW218" s="243"/>
      <c r="ALX218" s="243"/>
      <c r="ALY218" s="243"/>
      <c r="ALZ218" s="243"/>
      <c r="AMA218" s="243"/>
      <c r="AMB218" s="243"/>
      <c r="AMC218" s="243"/>
      <c r="AMD218" s="243"/>
      <c r="AME218" s="243"/>
      <c r="AMF218" s="243"/>
      <c r="AMG218" s="243"/>
      <c r="AMH218" s="243"/>
      <c r="AMI218" s="244"/>
      <c r="AMJ218" s="244"/>
    </row>
    <row r="219" spans="1:1024">
      <c r="A219" s="912"/>
      <c r="B219" s="442">
        <v>14004</v>
      </c>
      <c r="C219" s="432">
        <v>0.1</v>
      </c>
      <c r="D219" s="370" t="s">
        <v>147</v>
      </c>
      <c r="E219" s="433">
        <v>2300000</v>
      </c>
      <c r="F219" s="432">
        <v>0.08</v>
      </c>
      <c r="G219" s="433">
        <f t="shared" ref="G219:G220" si="7">E219*F219</f>
        <v>184000</v>
      </c>
      <c r="H219" s="402" t="s">
        <v>64</v>
      </c>
      <c r="I219" s="512" t="s">
        <v>124</v>
      </c>
      <c r="J219" s="402" t="s">
        <v>125</v>
      </c>
      <c r="K219" s="402" t="s">
        <v>136</v>
      </c>
      <c r="L219" s="402" t="s">
        <v>125</v>
      </c>
      <c r="M219" s="395"/>
      <c r="N219" s="396"/>
      <c r="O219" s="377"/>
      <c r="P219" s="377"/>
      <c r="Q219" s="377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  <c r="AH219" s="243"/>
      <c r="AI219" s="243"/>
      <c r="AJ219" s="243"/>
      <c r="AK219" s="243"/>
      <c r="AL219" s="243"/>
      <c r="AM219" s="243"/>
      <c r="AN219" s="243"/>
      <c r="AO219" s="243"/>
      <c r="AP219" s="243"/>
      <c r="AQ219" s="243"/>
      <c r="AR219" s="243"/>
      <c r="AS219" s="243"/>
      <c r="AT219" s="243"/>
      <c r="AU219" s="243"/>
      <c r="AV219" s="243"/>
      <c r="AW219" s="243"/>
      <c r="AX219" s="243"/>
      <c r="AY219" s="243"/>
      <c r="AZ219" s="243"/>
      <c r="BA219" s="243"/>
      <c r="BB219" s="243"/>
      <c r="BC219" s="243"/>
      <c r="BD219" s="243"/>
      <c r="BE219" s="243"/>
      <c r="BF219" s="243"/>
      <c r="BG219" s="243"/>
      <c r="BH219" s="243"/>
      <c r="BI219" s="243"/>
      <c r="BJ219" s="243"/>
      <c r="BK219" s="243"/>
      <c r="BL219" s="243"/>
      <c r="BM219" s="243"/>
      <c r="BN219" s="243"/>
      <c r="BO219" s="243"/>
      <c r="BP219" s="243"/>
      <c r="BQ219" s="243"/>
      <c r="BR219" s="243"/>
      <c r="BS219" s="243"/>
      <c r="BT219" s="243"/>
      <c r="BU219" s="243"/>
      <c r="BV219" s="243"/>
      <c r="BW219" s="243"/>
      <c r="BX219" s="243"/>
      <c r="BY219" s="243"/>
      <c r="BZ219" s="243"/>
      <c r="CA219" s="243"/>
      <c r="CB219" s="243"/>
      <c r="CC219" s="243"/>
      <c r="CD219" s="243"/>
      <c r="CE219" s="243"/>
      <c r="CF219" s="243"/>
      <c r="CG219" s="243"/>
      <c r="CH219" s="243"/>
      <c r="CI219" s="243"/>
      <c r="CJ219" s="243"/>
      <c r="CK219" s="243"/>
      <c r="CL219" s="243"/>
      <c r="CM219" s="243"/>
      <c r="CN219" s="243"/>
      <c r="CO219" s="243"/>
      <c r="CP219" s="243"/>
      <c r="CQ219" s="243"/>
      <c r="CR219" s="243"/>
      <c r="CS219" s="243"/>
      <c r="CT219" s="243"/>
      <c r="CU219" s="243"/>
      <c r="CV219" s="243"/>
      <c r="CW219" s="243"/>
      <c r="CX219" s="243"/>
      <c r="CY219" s="243"/>
      <c r="CZ219" s="243"/>
      <c r="DA219" s="243"/>
      <c r="DB219" s="243"/>
      <c r="DC219" s="243"/>
      <c r="DD219" s="243"/>
      <c r="DE219" s="243"/>
      <c r="DF219" s="243"/>
      <c r="DG219" s="243"/>
      <c r="DH219" s="243"/>
      <c r="DI219" s="243"/>
      <c r="DJ219" s="243"/>
      <c r="DK219" s="243"/>
      <c r="DL219" s="243"/>
      <c r="DM219" s="243"/>
      <c r="DN219" s="243"/>
      <c r="DO219" s="243"/>
      <c r="DP219" s="243"/>
      <c r="DQ219" s="243"/>
      <c r="DR219" s="243"/>
      <c r="DS219" s="243"/>
      <c r="DT219" s="243"/>
      <c r="DU219" s="243"/>
      <c r="DV219" s="243"/>
      <c r="DW219" s="243"/>
      <c r="DX219" s="243"/>
      <c r="DY219" s="243"/>
      <c r="DZ219" s="243"/>
      <c r="EA219" s="243"/>
      <c r="EB219" s="243"/>
      <c r="EC219" s="243"/>
      <c r="ED219" s="243"/>
      <c r="EE219" s="243"/>
      <c r="EF219" s="243"/>
      <c r="EG219" s="243"/>
      <c r="EH219" s="243"/>
      <c r="EI219" s="243"/>
      <c r="EJ219" s="243"/>
      <c r="EK219" s="243"/>
      <c r="EL219" s="243"/>
      <c r="EM219" s="243"/>
      <c r="EN219" s="243"/>
      <c r="EO219" s="243"/>
      <c r="EP219" s="243"/>
      <c r="EQ219" s="243"/>
      <c r="ER219" s="243"/>
      <c r="ES219" s="243"/>
      <c r="ET219" s="243"/>
      <c r="EU219" s="243"/>
      <c r="EV219" s="243"/>
      <c r="EW219" s="243"/>
      <c r="EX219" s="243"/>
      <c r="EY219" s="243"/>
      <c r="EZ219" s="243"/>
      <c r="FA219" s="243"/>
      <c r="FB219" s="243"/>
      <c r="FC219" s="243"/>
      <c r="FD219" s="243"/>
      <c r="FE219" s="243"/>
      <c r="FF219" s="243"/>
      <c r="FG219" s="243"/>
      <c r="FH219" s="243"/>
      <c r="FI219" s="243"/>
      <c r="FJ219" s="243"/>
      <c r="FK219" s="243"/>
      <c r="FL219" s="243"/>
      <c r="FM219" s="243"/>
      <c r="FN219" s="243"/>
      <c r="FO219" s="243"/>
      <c r="FP219" s="243"/>
      <c r="FQ219" s="243"/>
      <c r="FR219" s="243"/>
      <c r="FS219" s="243"/>
      <c r="FT219" s="243"/>
      <c r="FU219" s="243"/>
      <c r="FV219" s="243"/>
      <c r="FW219" s="243"/>
      <c r="FX219" s="243"/>
      <c r="FY219" s="243"/>
      <c r="FZ219" s="243"/>
      <c r="GA219" s="243"/>
      <c r="GB219" s="243"/>
      <c r="GC219" s="243"/>
      <c r="GD219" s="243"/>
      <c r="GE219" s="243"/>
      <c r="GF219" s="243"/>
      <c r="GG219" s="243"/>
      <c r="GH219" s="243"/>
      <c r="GI219" s="243"/>
      <c r="GJ219" s="243"/>
      <c r="GK219" s="243"/>
      <c r="GL219" s="243"/>
      <c r="GM219" s="243"/>
      <c r="GN219" s="243"/>
      <c r="GO219" s="243"/>
      <c r="GP219" s="243"/>
      <c r="GQ219" s="243"/>
      <c r="GR219" s="243"/>
      <c r="GS219" s="243"/>
      <c r="GT219" s="243"/>
      <c r="GU219" s="243"/>
      <c r="GV219" s="243"/>
      <c r="GW219" s="243"/>
      <c r="GX219" s="243"/>
      <c r="GY219" s="243"/>
      <c r="GZ219" s="243"/>
      <c r="HA219" s="243"/>
      <c r="HB219" s="243"/>
      <c r="HC219" s="243"/>
      <c r="HD219" s="243"/>
      <c r="HE219" s="243"/>
      <c r="HF219" s="243"/>
      <c r="HG219" s="243"/>
      <c r="HH219" s="243"/>
      <c r="HI219" s="243"/>
      <c r="HJ219" s="243"/>
      <c r="HK219" s="243"/>
      <c r="HL219" s="243"/>
      <c r="HM219" s="243"/>
      <c r="HN219" s="243"/>
      <c r="HO219" s="243"/>
      <c r="HP219" s="243"/>
      <c r="HQ219" s="243"/>
      <c r="HR219" s="243"/>
      <c r="HS219" s="243"/>
      <c r="HT219" s="243"/>
      <c r="HU219" s="243"/>
      <c r="HV219" s="243"/>
      <c r="HW219" s="243"/>
      <c r="HX219" s="243"/>
      <c r="HY219" s="243"/>
      <c r="HZ219" s="243"/>
      <c r="IA219" s="243"/>
      <c r="IB219" s="243"/>
      <c r="IC219" s="243"/>
      <c r="ID219" s="243"/>
      <c r="IE219" s="243"/>
      <c r="IF219" s="243"/>
      <c r="IG219" s="243"/>
      <c r="IH219" s="243"/>
      <c r="II219" s="243"/>
      <c r="IJ219" s="243"/>
      <c r="IK219" s="243"/>
      <c r="IL219" s="243"/>
      <c r="IM219" s="243"/>
      <c r="IN219" s="243"/>
      <c r="IO219" s="243"/>
      <c r="IP219" s="243"/>
      <c r="IQ219" s="243"/>
      <c r="IR219" s="243"/>
      <c r="IS219" s="243"/>
      <c r="IT219" s="243"/>
      <c r="IU219" s="243"/>
      <c r="IV219" s="243"/>
      <c r="IW219" s="243"/>
      <c r="IX219" s="243"/>
      <c r="IY219" s="243"/>
      <c r="IZ219" s="243"/>
      <c r="JA219" s="243"/>
      <c r="JB219" s="243"/>
      <c r="JC219" s="243"/>
      <c r="JD219" s="243"/>
      <c r="JE219" s="243"/>
      <c r="JF219" s="243"/>
      <c r="JG219" s="243"/>
      <c r="JH219" s="243"/>
      <c r="JI219" s="243"/>
      <c r="JJ219" s="243"/>
      <c r="JK219" s="243"/>
      <c r="JL219" s="243"/>
      <c r="JM219" s="243"/>
      <c r="JN219" s="243"/>
      <c r="JO219" s="243"/>
      <c r="JP219" s="243"/>
      <c r="JQ219" s="243"/>
      <c r="JR219" s="243"/>
      <c r="JS219" s="243"/>
      <c r="JT219" s="243"/>
      <c r="JU219" s="243"/>
      <c r="JV219" s="243"/>
      <c r="JW219" s="243"/>
      <c r="JX219" s="243"/>
      <c r="JY219" s="243"/>
      <c r="JZ219" s="243"/>
      <c r="KA219" s="243"/>
      <c r="KB219" s="243"/>
      <c r="KC219" s="243"/>
      <c r="KD219" s="243"/>
      <c r="KE219" s="243"/>
      <c r="KF219" s="243"/>
      <c r="KG219" s="243"/>
      <c r="KH219" s="243"/>
      <c r="KI219" s="243"/>
      <c r="KJ219" s="243"/>
      <c r="KK219" s="243"/>
      <c r="KL219" s="243"/>
      <c r="KM219" s="243"/>
      <c r="KN219" s="243"/>
      <c r="KO219" s="243"/>
      <c r="KP219" s="243"/>
      <c r="KQ219" s="243"/>
      <c r="KR219" s="243"/>
      <c r="KS219" s="243"/>
      <c r="KT219" s="243"/>
      <c r="KU219" s="243"/>
      <c r="KV219" s="243"/>
      <c r="KW219" s="243"/>
      <c r="KX219" s="243"/>
      <c r="KY219" s="243"/>
      <c r="KZ219" s="243"/>
      <c r="LA219" s="243"/>
      <c r="LB219" s="243"/>
      <c r="LC219" s="243"/>
      <c r="LD219" s="243"/>
      <c r="LE219" s="243"/>
      <c r="LF219" s="243"/>
      <c r="LG219" s="243"/>
      <c r="LH219" s="243"/>
      <c r="LI219" s="243"/>
      <c r="LJ219" s="243"/>
      <c r="LK219" s="243"/>
      <c r="LL219" s="243"/>
      <c r="LM219" s="243"/>
      <c r="LN219" s="243"/>
      <c r="LO219" s="243"/>
      <c r="LP219" s="243"/>
      <c r="LQ219" s="243"/>
      <c r="LR219" s="243"/>
      <c r="LS219" s="243"/>
      <c r="LT219" s="243"/>
      <c r="LU219" s="243"/>
      <c r="LV219" s="243"/>
      <c r="LW219" s="243"/>
      <c r="LX219" s="243"/>
      <c r="LY219" s="243"/>
      <c r="LZ219" s="243"/>
      <c r="MA219" s="243"/>
      <c r="MB219" s="243"/>
      <c r="MC219" s="243"/>
      <c r="MD219" s="243"/>
      <c r="ME219" s="243"/>
      <c r="MF219" s="243"/>
      <c r="MG219" s="243"/>
      <c r="MH219" s="243"/>
      <c r="MI219" s="243"/>
      <c r="MJ219" s="243"/>
      <c r="MK219" s="243"/>
      <c r="ML219" s="243"/>
      <c r="MM219" s="243"/>
      <c r="MN219" s="243"/>
      <c r="MO219" s="243"/>
      <c r="MP219" s="243"/>
      <c r="MQ219" s="243"/>
      <c r="MR219" s="243"/>
      <c r="MS219" s="243"/>
      <c r="MT219" s="243"/>
      <c r="MU219" s="243"/>
      <c r="MV219" s="243"/>
      <c r="MW219" s="243"/>
      <c r="MX219" s="243"/>
      <c r="MY219" s="243"/>
      <c r="MZ219" s="243"/>
      <c r="NA219" s="243"/>
      <c r="NB219" s="243"/>
      <c r="NC219" s="243"/>
      <c r="ND219" s="243"/>
      <c r="NE219" s="243"/>
      <c r="NF219" s="243"/>
      <c r="NG219" s="243"/>
      <c r="NH219" s="243"/>
      <c r="NI219" s="243"/>
      <c r="NJ219" s="243"/>
      <c r="NK219" s="243"/>
      <c r="NL219" s="243"/>
      <c r="NM219" s="243"/>
      <c r="NN219" s="243"/>
      <c r="NO219" s="243"/>
      <c r="NP219" s="243"/>
      <c r="NQ219" s="243"/>
      <c r="NR219" s="243"/>
      <c r="NS219" s="243"/>
      <c r="NT219" s="243"/>
      <c r="NU219" s="243"/>
      <c r="NV219" s="243"/>
      <c r="NW219" s="243"/>
      <c r="NX219" s="243"/>
      <c r="NY219" s="243"/>
      <c r="NZ219" s="243"/>
      <c r="OA219" s="243"/>
      <c r="OB219" s="243"/>
      <c r="OC219" s="243"/>
      <c r="OD219" s="243"/>
      <c r="OE219" s="243"/>
      <c r="OF219" s="243"/>
      <c r="OG219" s="243"/>
      <c r="OH219" s="243"/>
      <c r="OI219" s="243"/>
      <c r="OJ219" s="243"/>
      <c r="OK219" s="243"/>
      <c r="OL219" s="243"/>
      <c r="OM219" s="243"/>
      <c r="ON219" s="243"/>
      <c r="OO219" s="243"/>
      <c r="OP219" s="243"/>
      <c r="OQ219" s="243"/>
      <c r="OR219" s="243"/>
      <c r="OS219" s="243"/>
      <c r="OT219" s="243"/>
      <c r="OU219" s="243"/>
      <c r="OV219" s="243"/>
      <c r="OW219" s="243"/>
      <c r="OX219" s="243"/>
      <c r="OY219" s="243"/>
      <c r="OZ219" s="243"/>
      <c r="PA219" s="243"/>
      <c r="PB219" s="243"/>
      <c r="PC219" s="243"/>
      <c r="PD219" s="243"/>
      <c r="PE219" s="243"/>
      <c r="PF219" s="243"/>
      <c r="PG219" s="243"/>
      <c r="PH219" s="243"/>
      <c r="PI219" s="243"/>
      <c r="PJ219" s="243"/>
      <c r="PK219" s="243"/>
      <c r="PL219" s="243"/>
      <c r="PM219" s="243"/>
      <c r="PN219" s="243"/>
      <c r="PO219" s="243"/>
      <c r="PP219" s="243"/>
      <c r="PQ219" s="243"/>
      <c r="PR219" s="243"/>
      <c r="PS219" s="243"/>
      <c r="PT219" s="243"/>
      <c r="PU219" s="243"/>
      <c r="PV219" s="243"/>
      <c r="PW219" s="243"/>
      <c r="PX219" s="243"/>
      <c r="PY219" s="243"/>
      <c r="PZ219" s="243"/>
      <c r="QA219" s="243"/>
      <c r="QB219" s="243"/>
      <c r="QC219" s="243"/>
      <c r="QD219" s="243"/>
      <c r="QE219" s="243"/>
      <c r="QF219" s="243"/>
      <c r="QG219" s="243"/>
      <c r="QH219" s="243"/>
      <c r="QI219" s="243"/>
      <c r="QJ219" s="243"/>
      <c r="QK219" s="243"/>
      <c r="QL219" s="243"/>
      <c r="QM219" s="243"/>
      <c r="QN219" s="243"/>
      <c r="QO219" s="243"/>
      <c r="QP219" s="243"/>
      <c r="QQ219" s="243"/>
      <c r="QR219" s="243"/>
      <c r="QS219" s="243"/>
      <c r="QT219" s="243"/>
      <c r="QU219" s="243"/>
      <c r="QV219" s="243"/>
      <c r="QW219" s="243"/>
      <c r="QX219" s="243"/>
      <c r="QY219" s="243"/>
      <c r="QZ219" s="243"/>
      <c r="RA219" s="243"/>
      <c r="RB219" s="243"/>
      <c r="RC219" s="243"/>
      <c r="RD219" s="243"/>
      <c r="RE219" s="243"/>
      <c r="RF219" s="243"/>
      <c r="RG219" s="243"/>
      <c r="RH219" s="243"/>
      <c r="RI219" s="243"/>
      <c r="RJ219" s="243"/>
      <c r="RK219" s="243"/>
      <c r="RL219" s="243"/>
      <c r="RM219" s="243"/>
      <c r="RN219" s="243"/>
      <c r="RO219" s="243"/>
      <c r="RP219" s="243"/>
      <c r="RQ219" s="243"/>
      <c r="RR219" s="243"/>
      <c r="RS219" s="243"/>
      <c r="RT219" s="243"/>
      <c r="RU219" s="243"/>
      <c r="RV219" s="243"/>
      <c r="RW219" s="243"/>
      <c r="RX219" s="243"/>
      <c r="RY219" s="243"/>
      <c r="RZ219" s="243"/>
      <c r="SA219" s="243"/>
      <c r="SB219" s="243"/>
      <c r="SC219" s="243"/>
      <c r="SD219" s="243"/>
      <c r="SE219" s="243"/>
      <c r="SF219" s="243"/>
      <c r="SG219" s="243"/>
      <c r="SH219" s="243"/>
      <c r="SI219" s="243"/>
      <c r="SJ219" s="243"/>
      <c r="SK219" s="243"/>
      <c r="SL219" s="243"/>
      <c r="SM219" s="243"/>
      <c r="SN219" s="243"/>
      <c r="SO219" s="243"/>
      <c r="SP219" s="243"/>
      <c r="SQ219" s="243"/>
      <c r="SR219" s="243"/>
      <c r="SS219" s="243"/>
      <c r="ST219" s="243"/>
      <c r="SU219" s="243"/>
      <c r="SV219" s="243"/>
      <c r="SW219" s="243"/>
      <c r="SX219" s="243"/>
      <c r="SY219" s="243"/>
      <c r="SZ219" s="243"/>
      <c r="TA219" s="243"/>
      <c r="TB219" s="243"/>
      <c r="TC219" s="243"/>
      <c r="TD219" s="243"/>
      <c r="TE219" s="243"/>
      <c r="TF219" s="243"/>
      <c r="TG219" s="243"/>
      <c r="TH219" s="243"/>
      <c r="TI219" s="243"/>
      <c r="TJ219" s="243"/>
      <c r="TK219" s="243"/>
      <c r="TL219" s="243"/>
      <c r="TM219" s="243"/>
      <c r="TN219" s="243"/>
      <c r="TO219" s="243"/>
      <c r="TP219" s="243"/>
      <c r="TQ219" s="243"/>
      <c r="TR219" s="243"/>
      <c r="TS219" s="243"/>
      <c r="TT219" s="243"/>
      <c r="TU219" s="243"/>
      <c r="TV219" s="243"/>
      <c r="TW219" s="243"/>
      <c r="TX219" s="243"/>
      <c r="TY219" s="243"/>
      <c r="TZ219" s="243"/>
      <c r="UA219" s="243"/>
      <c r="UB219" s="243"/>
      <c r="UC219" s="243"/>
      <c r="UD219" s="243"/>
      <c r="UE219" s="243"/>
      <c r="UF219" s="243"/>
      <c r="UG219" s="243"/>
      <c r="UH219" s="243"/>
      <c r="UI219" s="243"/>
      <c r="UJ219" s="243"/>
      <c r="UK219" s="243"/>
      <c r="UL219" s="243"/>
      <c r="UM219" s="243"/>
      <c r="UN219" s="243"/>
      <c r="UO219" s="243"/>
      <c r="UP219" s="243"/>
      <c r="UQ219" s="243"/>
      <c r="UR219" s="243"/>
      <c r="US219" s="243"/>
      <c r="UT219" s="243"/>
      <c r="UU219" s="243"/>
      <c r="UV219" s="243"/>
      <c r="UW219" s="243"/>
      <c r="UX219" s="243"/>
      <c r="UY219" s="243"/>
      <c r="UZ219" s="243"/>
      <c r="VA219" s="243"/>
      <c r="VB219" s="243"/>
      <c r="VC219" s="243"/>
      <c r="VD219" s="243"/>
      <c r="VE219" s="243"/>
      <c r="VF219" s="243"/>
      <c r="VG219" s="243"/>
      <c r="VH219" s="243"/>
      <c r="VI219" s="243"/>
      <c r="VJ219" s="243"/>
      <c r="VK219" s="243"/>
      <c r="VL219" s="243"/>
      <c r="VM219" s="243"/>
      <c r="VN219" s="243"/>
      <c r="VO219" s="243"/>
      <c r="VP219" s="243"/>
      <c r="VQ219" s="243"/>
      <c r="VR219" s="243"/>
      <c r="VS219" s="243"/>
      <c r="VT219" s="243"/>
      <c r="VU219" s="243"/>
      <c r="VV219" s="243"/>
      <c r="VW219" s="243"/>
      <c r="VX219" s="243"/>
      <c r="VY219" s="243"/>
      <c r="VZ219" s="243"/>
      <c r="WA219" s="243"/>
      <c r="WB219" s="243"/>
      <c r="WC219" s="243"/>
      <c r="WD219" s="243"/>
      <c r="WE219" s="243"/>
      <c r="WF219" s="243"/>
      <c r="WG219" s="243"/>
      <c r="WH219" s="243"/>
      <c r="WI219" s="243"/>
      <c r="WJ219" s="243"/>
      <c r="WK219" s="243"/>
      <c r="WL219" s="243"/>
      <c r="WM219" s="243"/>
      <c r="WN219" s="243"/>
      <c r="WO219" s="243"/>
      <c r="WP219" s="243"/>
      <c r="WQ219" s="243"/>
      <c r="WR219" s="243"/>
      <c r="WS219" s="243"/>
      <c r="WT219" s="243"/>
      <c r="WU219" s="243"/>
      <c r="WV219" s="243"/>
      <c r="WW219" s="243"/>
      <c r="WX219" s="243"/>
      <c r="WY219" s="243"/>
      <c r="WZ219" s="243"/>
      <c r="XA219" s="243"/>
      <c r="XB219" s="243"/>
      <c r="XC219" s="243"/>
      <c r="XD219" s="243"/>
      <c r="XE219" s="243"/>
      <c r="XF219" s="243"/>
      <c r="XG219" s="243"/>
      <c r="XH219" s="243"/>
      <c r="XI219" s="243"/>
      <c r="XJ219" s="243"/>
      <c r="XK219" s="243"/>
      <c r="XL219" s="243"/>
      <c r="XM219" s="243"/>
      <c r="XN219" s="243"/>
      <c r="XO219" s="243"/>
      <c r="XP219" s="243"/>
      <c r="XQ219" s="243"/>
      <c r="XR219" s="243"/>
      <c r="XS219" s="243"/>
      <c r="XT219" s="243"/>
      <c r="XU219" s="243"/>
      <c r="XV219" s="243"/>
      <c r="XW219" s="243"/>
      <c r="XX219" s="243"/>
      <c r="XY219" s="243"/>
      <c r="XZ219" s="243"/>
      <c r="YA219" s="243"/>
      <c r="YB219" s="243"/>
      <c r="YC219" s="243"/>
      <c r="YD219" s="243"/>
      <c r="YE219" s="243"/>
      <c r="YF219" s="243"/>
      <c r="YG219" s="243"/>
      <c r="YH219" s="243"/>
      <c r="YI219" s="243"/>
      <c r="YJ219" s="243"/>
      <c r="YK219" s="243"/>
      <c r="YL219" s="243"/>
      <c r="YM219" s="243"/>
      <c r="YN219" s="243"/>
      <c r="YO219" s="243"/>
      <c r="YP219" s="243"/>
      <c r="YQ219" s="243"/>
      <c r="YR219" s="243"/>
      <c r="YS219" s="243"/>
      <c r="YT219" s="243"/>
      <c r="YU219" s="243"/>
      <c r="YV219" s="243"/>
      <c r="YW219" s="243"/>
      <c r="YX219" s="243"/>
      <c r="YY219" s="243"/>
      <c r="YZ219" s="243"/>
      <c r="ZA219" s="243"/>
      <c r="ZB219" s="243"/>
      <c r="ZC219" s="243"/>
      <c r="ZD219" s="243"/>
      <c r="ZE219" s="243"/>
      <c r="ZF219" s="243"/>
      <c r="ZG219" s="243"/>
      <c r="ZH219" s="243"/>
      <c r="ZI219" s="243"/>
      <c r="ZJ219" s="243"/>
      <c r="ZK219" s="243"/>
      <c r="ZL219" s="243"/>
      <c r="ZM219" s="243"/>
      <c r="ZN219" s="243"/>
      <c r="ZO219" s="243"/>
      <c r="ZP219" s="243"/>
      <c r="ZQ219" s="243"/>
      <c r="ZR219" s="243"/>
      <c r="ZS219" s="243"/>
      <c r="ZT219" s="243"/>
      <c r="ZU219" s="243"/>
      <c r="ZV219" s="243"/>
      <c r="ZW219" s="243"/>
      <c r="ZX219" s="243"/>
      <c r="ZY219" s="243"/>
      <c r="ZZ219" s="243"/>
      <c r="AAA219" s="243"/>
      <c r="AAB219" s="243"/>
      <c r="AAC219" s="243"/>
      <c r="AAD219" s="243"/>
      <c r="AAE219" s="243"/>
      <c r="AAF219" s="243"/>
      <c r="AAG219" s="243"/>
      <c r="AAH219" s="243"/>
      <c r="AAI219" s="243"/>
      <c r="AAJ219" s="243"/>
      <c r="AAK219" s="243"/>
      <c r="AAL219" s="243"/>
      <c r="AAM219" s="243"/>
      <c r="AAN219" s="243"/>
      <c r="AAO219" s="243"/>
      <c r="AAP219" s="243"/>
      <c r="AAQ219" s="243"/>
      <c r="AAR219" s="243"/>
      <c r="AAS219" s="243"/>
      <c r="AAT219" s="243"/>
      <c r="AAU219" s="243"/>
      <c r="AAV219" s="243"/>
      <c r="AAW219" s="243"/>
      <c r="AAX219" s="243"/>
      <c r="AAY219" s="243"/>
      <c r="AAZ219" s="243"/>
      <c r="ABA219" s="243"/>
      <c r="ABB219" s="243"/>
      <c r="ABC219" s="243"/>
      <c r="ABD219" s="243"/>
      <c r="ABE219" s="243"/>
      <c r="ABF219" s="243"/>
      <c r="ABG219" s="243"/>
      <c r="ABH219" s="243"/>
      <c r="ABI219" s="243"/>
      <c r="ABJ219" s="243"/>
      <c r="ABK219" s="243"/>
      <c r="ABL219" s="243"/>
      <c r="ABM219" s="243"/>
      <c r="ABN219" s="243"/>
      <c r="ABO219" s="243"/>
      <c r="ABP219" s="243"/>
      <c r="ABQ219" s="243"/>
      <c r="ABR219" s="243"/>
      <c r="ABS219" s="243"/>
      <c r="ABT219" s="243"/>
      <c r="ABU219" s="243"/>
      <c r="ABV219" s="243"/>
      <c r="ABW219" s="243"/>
      <c r="ABX219" s="243"/>
      <c r="ABY219" s="243"/>
      <c r="ABZ219" s="243"/>
      <c r="ACA219" s="243"/>
      <c r="ACB219" s="243"/>
      <c r="ACC219" s="243"/>
      <c r="ACD219" s="243"/>
      <c r="ACE219" s="243"/>
      <c r="ACF219" s="243"/>
      <c r="ACG219" s="243"/>
      <c r="ACH219" s="243"/>
      <c r="ACI219" s="243"/>
      <c r="ACJ219" s="243"/>
      <c r="ACK219" s="243"/>
      <c r="ACL219" s="243"/>
      <c r="ACM219" s="243"/>
      <c r="ACN219" s="243"/>
      <c r="ACO219" s="243"/>
      <c r="ACP219" s="243"/>
      <c r="ACQ219" s="243"/>
      <c r="ACR219" s="243"/>
      <c r="ACS219" s="243"/>
      <c r="ACT219" s="243"/>
      <c r="ACU219" s="243"/>
      <c r="ACV219" s="243"/>
      <c r="ACW219" s="243"/>
      <c r="ACX219" s="243"/>
      <c r="ACY219" s="243"/>
      <c r="ACZ219" s="243"/>
      <c r="ADA219" s="243"/>
      <c r="ADB219" s="243"/>
      <c r="ADC219" s="243"/>
      <c r="ADD219" s="243"/>
      <c r="ADE219" s="243"/>
      <c r="ADF219" s="243"/>
      <c r="ADG219" s="243"/>
      <c r="ADH219" s="243"/>
      <c r="ADI219" s="243"/>
      <c r="ADJ219" s="243"/>
      <c r="ADK219" s="243"/>
      <c r="ADL219" s="243"/>
      <c r="ADM219" s="243"/>
      <c r="ADN219" s="243"/>
      <c r="ADO219" s="243"/>
      <c r="ADP219" s="243"/>
      <c r="ADQ219" s="243"/>
      <c r="ADR219" s="243"/>
      <c r="ADS219" s="243"/>
      <c r="ADT219" s="243"/>
      <c r="ADU219" s="243"/>
      <c r="ADV219" s="243"/>
      <c r="ADW219" s="243"/>
      <c r="ADX219" s="243"/>
      <c r="ADY219" s="243"/>
      <c r="ADZ219" s="243"/>
      <c r="AEA219" s="243"/>
      <c r="AEB219" s="243"/>
      <c r="AEC219" s="243"/>
      <c r="AED219" s="243"/>
      <c r="AEE219" s="243"/>
      <c r="AEF219" s="243"/>
      <c r="AEG219" s="243"/>
      <c r="AEH219" s="243"/>
      <c r="AEI219" s="243"/>
      <c r="AEJ219" s="243"/>
      <c r="AEK219" s="243"/>
      <c r="AEL219" s="243"/>
      <c r="AEM219" s="243"/>
      <c r="AEN219" s="243"/>
      <c r="AEO219" s="243"/>
      <c r="AEP219" s="243"/>
      <c r="AEQ219" s="243"/>
      <c r="AER219" s="243"/>
      <c r="AES219" s="243"/>
      <c r="AET219" s="243"/>
      <c r="AEU219" s="243"/>
      <c r="AEV219" s="243"/>
      <c r="AEW219" s="243"/>
      <c r="AEX219" s="243"/>
      <c r="AEY219" s="243"/>
      <c r="AEZ219" s="243"/>
      <c r="AFA219" s="243"/>
      <c r="AFB219" s="243"/>
      <c r="AFC219" s="243"/>
      <c r="AFD219" s="243"/>
      <c r="AFE219" s="243"/>
      <c r="AFF219" s="243"/>
      <c r="AFG219" s="243"/>
      <c r="AFH219" s="243"/>
      <c r="AFI219" s="243"/>
      <c r="AFJ219" s="243"/>
      <c r="AFK219" s="243"/>
      <c r="AFL219" s="243"/>
      <c r="AFM219" s="243"/>
      <c r="AFN219" s="243"/>
      <c r="AFO219" s="243"/>
      <c r="AFP219" s="243"/>
      <c r="AFQ219" s="243"/>
      <c r="AFR219" s="243"/>
      <c r="AFS219" s="243"/>
      <c r="AFT219" s="243"/>
      <c r="AFU219" s="243"/>
      <c r="AFV219" s="243"/>
      <c r="AFW219" s="243"/>
      <c r="AFX219" s="243"/>
      <c r="AFY219" s="243"/>
      <c r="AFZ219" s="243"/>
      <c r="AGA219" s="243"/>
      <c r="AGB219" s="243"/>
      <c r="AGC219" s="243"/>
      <c r="AGD219" s="243"/>
      <c r="AGE219" s="243"/>
      <c r="AGF219" s="243"/>
      <c r="AGG219" s="243"/>
      <c r="AGH219" s="243"/>
      <c r="AGI219" s="243"/>
      <c r="AGJ219" s="243"/>
      <c r="AGK219" s="243"/>
      <c r="AGL219" s="243"/>
      <c r="AGM219" s="243"/>
      <c r="AGN219" s="243"/>
      <c r="AGO219" s="243"/>
      <c r="AGP219" s="243"/>
      <c r="AGQ219" s="243"/>
      <c r="AGR219" s="243"/>
      <c r="AGS219" s="243"/>
      <c r="AGT219" s="243"/>
      <c r="AGU219" s="243"/>
      <c r="AGV219" s="243"/>
      <c r="AGW219" s="243"/>
      <c r="AGX219" s="243"/>
      <c r="AGY219" s="243"/>
      <c r="AGZ219" s="243"/>
      <c r="AHA219" s="243"/>
      <c r="AHB219" s="243"/>
      <c r="AHC219" s="243"/>
      <c r="AHD219" s="243"/>
      <c r="AHE219" s="243"/>
      <c r="AHF219" s="243"/>
      <c r="AHG219" s="243"/>
      <c r="AHH219" s="243"/>
      <c r="AHI219" s="243"/>
      <c r="AHJ219" s="243"/>
      <c r="AHK219" s="243"/>
      <c r="AHL219" s="243"/>
      <c r="AHM219" s="243"/>
      <c r="AHN219" s="243"/>
      <c r="AHO219" s="243"/>
      <c r="AHP219" s="243"/>
      <c r="AHQ219" s="243"/>
      <c r="AHR219" s="243"/>
      <c r="AHS219" s="243"/>
      <c r="AHT219" s="243"/>
      <c r="AHU219" s="243"/>
      <c r="AHV219" s="243"/>
      <c r="AHW219" s="243"/>
      <c r="AHX219" s="243"/>
      <c r="AHY219" s="243"/>
      <c r="AHZ219" s="243"/>
      <c r="AIA219" s="243"/>
      <c r="AIB219" s="243"/>
      <c r="AIC219" s="243"/>
      <c r="AID219" s="243"/>
      <c r="AIE219" s="243"/>
      <c r="AIF219" s="243"/>
      <c r="AIG219" s="243"/>
      <c r="AIH219" s="243"/>
      <c r="AII219" s="243"/>
      <c r="AIJ219" s="243"/>
      <c r="AIK219" s="243"/>
      <c r="AIL219" s="243"/>
      <c r="AIM219" s="243"/>
      <c r="AIN219" s="243"/>
      <c r="AIO219" s="243"/>
      <c r="AIP219" s="243"/>
      <c r="AIQ219" s="243"/>
      <c r="AIR219" s="243"/>
      <c r="AIS219" s="243"/>
      <c r="AIT219" s="243"/>
      <c r="AIU219" s="243"/>
      <c r="AIV219" s="243"/>
      <c r="AIW219" s="243"/>
      <c r="AIX219" s="243"/>
      <c r="AIY219" s="243"/>
      <c r="AIZ219" s="243"/>
      <c r="AJA219" s="243"/>
      <c r="AJB219" s="243"/>
      <c r="AJC219" s="243"/>
      <c r="AJD219" s="243"/>
      <c r="AJE219" s="243"/>
      <c r="AJF219" s="243"/>
      <c r="AJG219" s="243"/>
      <c r="AJH219" s="243"/>
      <c r="AJI219" s="243"/>
      <c r="AJJ219" s="243"/>
      <c r="AJK219" s="243"/>
      <c r="AJL219" s="243"/>
      <c r="AJM219" s="243"/>
      <c r="AJN219" s="243"/>
      <c r="AJO219" s="243"/>
      <c r="AJP219" s="243"/>
      <c r="AJQ219" s="243"/>
      <c r="AJR219" s="243"/>
      <c r="AJS219" s="243"/>
      <c r="AJT219" s="243"/>
      <c r="AJU219" s="243"/>
      <c r="AJV219" s="243"/>
      <c r="AJW219" s="243"/>
      <c r="AJX219" s="243"/>
      <c r="AJY219" s="243"/>
      <c r="AJZ219" s="243"/>
      <c r="AKA219" s="243"/>
      <c r="AKB219" s="243"/>
      <c r="AKC219" s="243"/>
      <c r="AKD219" s="243"/>
      <c r="AKE219" s="243"/>
      <c r="AKF219" s="243"/>
      <c r="AKG219" s="243"/>
      <c r="AKH219" s="243"/>
      <c r="AKI219" s="243"/>
      <c r="AKJ219" s="243"/>
      <c r="AKK219" s="243"/>
      <c r="AKL219" s="243"/>
      <c r="AKM219" s="243"/>
      <c r="AKN219" s="243"/>
      <c r="AKO219" s="243"/>
      <c r="AKP219" s="243"/>
      <c r="AKQ219" s="243"/>
      <c r="AKR219" s="243"/>
      <c r="AKS219" s="243"/>
      <c r="AKT219" s="243"/>
      <c r="AKU219" s="243"/>
      <c r="AKV219" s="243"/>
      <c r="AKW219" s="243"/>
      <c r="AKX219" s="243"/>
      <c r="AKY219" s="243"/>
      <c r="AKZ219" s="243"/>
      <c r="ALA219" s="243"/>
      <c r="ALB219" s="243"/>
      <c r="ALC219" s="243"/>
      <c r="ALD219" s="243"/>
      <c r="ALE219" s="243"/>
      <c r="ALF219" s="243"/>
      <c r="ALG219" s="243"/>
      <c r="ALH219" s="243"/>
      <c r="ALI219" s="243"/>
      <c r="ALJ219" s="243"/>
      <c r="ALK219" s="243"/>
      <c r="ALL219" s="243"/>
      <c r="ALM219" s="243"/>
      <c r="ALN219" s="243"/>
      <c r="ALO219" s="243"/>
      <c r="ALP219" s="243"/>
      <c r="ALQ219" s="243"/>
      <c r="ALR219" s="243"/>
      <c r="ALS219" s="243"/>
      <c r="ALT219" s="243"/>
      <c r="ALU219" s="243"/>
      <c r="ALV219" s="243"/>
      <c r="ALW219" s="243"/>
      <c r="ALX219" s="243"/>
      <c r="ALY219" s="243"/>
      <c r="ALZ219" s="243"/>
      <c r="AMA219" s="243"/>
      <c r="AMB219" s="243"/>
      <c r="AMC219" s="243"/>
      <c r="AMD219" s="243"/>
      <c r="AME219" s="243"/>
      <c r="AMF219" s="243"/>
      <c r="AMG219" s="243"/>
      <c r="AMH219" s="243"/>
      <c r="AMI219" s="244"/>
      <c r="AMJ219" s="244"/>
    </row>
    <row r="220" spans="1:1024">
      <c r="A220" s="912"/>
      <c r="B220" s="442">
        <v>14058</v>
      </c>
      <c r="C220" s="430">
        <v>0.08</v>
      </c>
      <c r="D220" s="370" t="s">
        <v>148</v>
      </c>
      <c r="E220" s="433">
        <v>2300000</v>
      </c>
      <c r="F220" s="430">
        <v>0.04</v>
      </c>
      <c r="G220" s="433">
        <f t="shared" si="7"/>
        <v>92000</v>
      </c>
      <c r="H220" s="402" t="s">
        <v>149</v>
      </c>
      <c r="I220" s="512" t="s">
        <v>124</v>
      </c>
      <c r="J220" s="402" t="s">
        <v>125</v>
      </c>
      <c r="K220" s="402" t="s">
        <v>136</v>
      </c>
      <c r="L220" s="402" t="s">
        <v>125</v>
      </c>
      <c r="M220" s="396"/>
      <c r="N220" s="396"/>
      <c r="O220" s="377"/>
      <c r="P220" s="377"/>
      <c r="Q220" s="377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  <c r="AH220" s="243"/>
      <c r="AI220" s="243"/>
      <c r="AJ220" s="243"/>
      <c r="AK220" s="243"/>
      <c r="AL220" s="243"/>
      <c r="AM220" s="243"/>
      <c r="AN220" s="243"/>
      <c r="AO220" s="243"/>
      <c r="AP220" s="243"/>
      <c r="AQ220" s="243"/>
      <c r="AR220" s="243"/>
      <c r="AS220" s="243"/>
      <c r="AT220" s="243"/>
      <c r="AU220" s="243"/>
      <c r="AV220" s="243"/>
      <c r="AW220" s="243"/>
      <c r="AX220" s="243"/>
      <c r="AY220" s="243"/>
      <c r="AZ220" s="243"/>
      <c r="BA220" s="243"/>
      <c r="BB220" s="243"/>
      <c r="BC220" s="243"/>
      <c r="BD220" s="243"/>
      <c r="BE220" s="243"/>
      <c r="BF220" s="243"/>
      <c r="BG220" s="243"/>
      <c r="BH220" s="243"/>
      <c r="BI220" s="243"/>
      <c r="BJ220" s="243"/>
      <c r="BK220" s="243"/>
      <c r="BL220" s="243"/>
      <c r="BM220" s="243"/>
      <c r="BN220" s="243"/>
      <c r="BO220" s="243"/>
      <c r="BP220" s="243"/>
      <c r="BQ220" s="243"/>
      <c r="BR220" s="243"/>
      <c r="BS220" s="243"/>
      <c r="BT220" s="243"/>
      <c r="BU220" s="243"/>
      <c r="BV220" s="243"/>
      <c r="BW220" s="243"/>
      <c r="BX220" s="243"/>
      <c r="BY220" s="243"/>
      <c r="BZ220" s="243"/>
      <c r="CA220" s="243"/>
      <c r="CB220" s="243"/>
      <c r="CC220" s="243"/>
      <c r="CD220" s="243"/>
      <c r="CE220" s="243"/>
      <c r="CF220" s="243"/>
      <c r="CG220" s="243"/>
      <c r="CH220" s="243"/>
      <c r="CI220" s="243"/>
      <c r="CJ220" s="243"/>
      <c r="CK220" s="243"/>
      <c r="CL220" s="243"/>
      <c r="CM220" s="243"/>
      <c r="CN220" s="243"/>
      <c r="CO220" s="243"/>
      <c r="CP220" s="243"/>
      <c r="CQ220" s="243"/>
      <c r="CR220" s="243"/>
      <c r="CS220" s="243"/>
      <c r="CT220" s="243"/>
      <c r="CU220" s="243"/>
      <c r="CV220" s="243"/>
      <c r="CW220" s="243"/>
      <c r="CX220" s="243"/>
      <c r="CY220" s="243"/>
      <c r="CZ220" s="243"/>
      <c r="DA220" s="243"/>
      <c r="DB220" s="243"/>
      <c r="DC220" s="243"/>
      <c r="DD220" s="243"/>
      <c r="DE220" s="243"/>
      <c r="DF220" s="243"/>
      <c r="DG220" s="243"/>
      <c r="DH220" s="243"/>
      <c r="DI220" s="243"/>
      <c r="DJ220" s="243"/>
      <c r="DK220" s="243"/>
      <c r="DL220" s="243"/>
      <c r="DM220" s="243"/>
      <c r="DN220" s="243"/>
      <c r="DO220" s="243"/>
      <c r="DP220" s="243"/>
      <c r="DQ220" s="243"/>
      <c r="DR220" s="243"/>
      <c r="DS220" s="243"/>
      <c r="DT220" s="243"/>
      <c r="DU220" s="243"/>
      <c r="DV220" s="243"/>
      <c r="DW220" s="243"/>
      <c r="DX220" s="243"/>
      <c r="DY220" s="243"/>
      <c r="DZ220" s="243"/>
      <c r="EA220" s="243"/>
      <c r="EB220" s="243"/>
      <c r="EC220" s="243"/>
      <c r="ED220" s="243"/>
      <c r="EE220" s="243"/>
      <c r="EF220" s="243"/>
      <c r="EG220" s="243"/>
      <c r="EH220" s="243"/>
      <c r="EI220" s="243"/>
      <c r="EJ220" s="243"/>
      <c r="EK220" s="243"/>
      <c r="EL220" s="243"/>
      <c r="EM220" s="243"/>
      <c r="EN220" s="243"/>
      <c r="EO220" s="243"/>
      <c r="EP220" s="243"/>
      <c r="EQ220" s="243"/>
      <c r="ER220" s="243"/>
      <c r="ES220" s="243"/>
      <c r="ET220" s="243"/>
      <c r="EU220" s="243"/>
      <c r="EV220" s="243"/>
      <c r="EW220" s="243"/>
      <c r="EX220" s="243"/>
      <c r="EY220" s="243"/>
      <c r="EZ220" s="243"/>
      <c r="FA220" s="243"/>
      <c r="FB220" s="243"/>
      <c r="FC220" s="243"/>
      <c r="FD220" s="243"/>
      <c r="FE220" s="243"/>
      <c r="FF220" s="243"/>
      <c r="FG220" s="243"/>
      <c r="FH220" s="243"/>
      <c r="FI220" s="243"/>
      <c r="FJ220" s="243"/>
      <c r="FK220" s="243"/>
      <c r="FL220" s="243"/>
      <c r="FM220" s="243"/>
      <c r="FN220" s="243"/>
      <c r="FO220" s="243"/>
      <c r="FP220" s="243"/>
      <c r="FQ220" s="243"/>
      <c r="FR220" s="243"/>
      <c r="FS220" s="243"/>
      <c r="FT220" s="243"/>
      <c r="FU220" s="243"/>
      <c r="FV220" s="243"/>
      <c r="FW220" s="243"/>
      <c r="FX220" s="243"/>
      <c r="FY220" s="243"/>
      <c r="FZ220" s="243"/>
      <c r="GA220" s="243"/>
      <c r="GB220" s="243"/>
      <c r="GC220" s="243"/>
      <c r="GD220" s="243"/>
      <c r="GE220" s="243"/>
      <c r="GF220" s="243"/>
      <c r="GG220" s="243"/>
      <c r="GH220" s="243"/>
      <c r="GI220" s="243"/>
      <c r="GJ220" s="243"/>
      <c r="GK220" s="243"/>
      <c r="GL220" s="243"/>
      <c r="GM220" s="243"/>
      <c r="GN220" s="243"/>
      <c r="GO220" s="243"/>
      <c r="GP220" s="243"/>
      <c r="GQ220" s="243"/>
      <c r="GR220" s="243"/>
      <c r="GS220" s="243"/>
      <c r="GT220" s="243"/>
      <c r="GU220" s="243"/>
      <c r="GV220" s="243"/>
      <c r="GW220" s="243"/>
      <c r="GX220" s="243"/>
      <c r="GY220" s="243"/>
      <c r="GZ220" s="243"/>
      <c r="HA220" s="243"/>
      <c r="HB220" s="243"/>
      <c r="HC220" s="243"/>
      <c r="HD220" s="243"/>
      <c r="HE220" s="243"/>
      <c r="HF220" s="243"/>
      <c r="HG220" s="243"/>
      <c r="HH220" s="243"/>
      <c r="HI220" s="243"/>
      <c r="HJ220" s="243"/>
      <c r="HK220" s="243"/>
      <c r="HL220" s="243"/>
      <c r="HM220" s="243"/>
      <c r="HN220" s="243"/>
      <c r="HO220" s="243"/>
      <c r="HP220" s="243"/>
      <c r="HQ220" s="243"/>
      <c r="HR220" s="243"/>
      <c r="HS220" s="243"/>
      <c r="HT220" s="243"/>
      <c r="HU220" s="243"/>
      <c r="HV220" s="243"/>
      <c r="HW220" s="243"/>
      <c r="HX220" s="243"/>
      <c r="HY220" s="243"/>
      <c r="HZ220" s="243"/>
      <c r="IA220" s="243"/>
      <c r="IB220" s="243"/>
      <c r="IC220" s="243"/>
      <c r="ID220" s="243"/>
      <c r="IE220" s="243"/>
      <c r="IF220" s="243"/>
      <c r="IG220" s="243"/>
      <c r="IH220" s="243"/>
      <c r="II220" s="243"/>
      <c r="IJ220" s="243"/>
      <c r="IK220" s="243"/>
      <c r="IL220" s="243"/>
      <c r="IM220" s="243"/>
      <c r="IN220" s="243"/>
      <c r="IO220" s="243"/>
      <c r="IP220" s="243"/>
      <c r="IQ220" s="243"/>
      <c r="IR220" s="243"/>
      <c r="IS220" s="243"/>
      <c r="IT220" s="243"/>
      <c r="IU220" s="243"/>
      <c r="IV220" s="243"/>
      <c r="IW220" s="243"/>
      <c r="IX220" s="243"/>
      <c r="IY220" s="243"/>
      <c r="IZ220" s="243"/>
      <c r="JA220" s="243"/>
      <c r="JB220" s="243"/>
      <c r="JC220" s="243"/>
      <c r="JD220" s="243"/>
      <c r="JE220" s="243"/>
      <c r="JF220" s="243"/>
      <c r="JG220" s="243"/>
      <c r="JH220" s="243"/>
      <c r="JI220" s="243"/>
      <c r="JJ220" s="243"/>
      <c r="JK220" s="243"/>
      <c r="JL220" s="243"/>
      <c r="JM220" s="243"/>
      <c r="JN220" s="243"/>
      <c r="JO220" s="243"/>
      <c r="JP220" s="243"/>
      <c r="JQ220" s="243"/>
      <c r="JR220" s="243"/>
      <c r="JS220" s="243"/>
      <c r="JT220" s="243"/>
      <c r="JU220" s="243"/>
      <c r="JV220" s="243"/>
      <c r="JW220" s="243"/>
      <c r="JX220" s="243"/>
      <c r="JY220" s="243"/>
      <c r="JZ220" s="243"/>
      <c r="KA220" s="243"/>
      <c r="KB220" s="243"/>
      <c r="KC220" s="243"/>
      <c r="KD220" s="243"/>
      <c r="KE220" s="243"/>
      <c r="KF220" s="243"/>
      <c r="KG220" s="243"/>
      <c r="KH220" s="243"/>
      <c r="KI220" s="243"/>
      <c r="KJ220" s="243"/>
      <c r="KK220" s="243"/>
      <c r="KL220" s="243"/>
      <c r="KM220" s="243"/>
      <c r="KN220" s="243"/>
      <c r="KO220" s="243"/>
      <c r="KP220" s="243"/>
      <c r="KQ220" s="243"/>
      <c r="KR220" s="243"/>
      <c r="KS220" s="243"/>
      <c r="KT220" s="243"/>
      <c r="KU220" s="243"/>
      <c r="KV220" s="243"/>
      <c r="KW220" s="243"/>
      <c r="KX220" s="243"/>
      <c r="KY220" s="243"/>
      <c r="KZ220" s="243"/>
      <c r="LA220" s="243"/>
      <c r="LB220" s="243"/>
      <c r="LC220" s="243"/>
      <c r="LD220" s="243"/>
      <c r="LE220" s="243"/>
      <c r="LF220" s="243"/>
      <c r="LG220" s="243"/>
      <c r="LH220" s="243"/>
      <c r="LI220" s="243"/>
      <c r="LJ220" s="243"/>
      <c r="LK220" s="243"/>
      <c r="LL220" s="243"/>
      <c r="LM220" s="243"/>
      <c r="LN220" s="243"/>
      <c r="LO220" s="243"/>
      <c r="LP220" s="243"/>
      <c r="LQ220" s="243"/>
      <c r="LR220" s="243"/>
      <c r="LS220" s="243"/>
      <c r="LT220" s="243"/>
      <c r="LU220" s="243"/>
      <c r="LV220" s="243"/>
      <c r="LW220" s="243"/>
      <c r="LX220" s="243"/>
      <c r="LY220" s="243"/>
      <c r="LZ220" s="243"/>
      <c r="MA220" s="243"/>
      <c r="MB220" s="243"/>
      <c r="MC220" s="243"/>
      <c r="MD220" s="243"/>
      <c r="ME220" s="243"/>
      <c r="MF220" s="243"/>
      <c r="MG220" s="243"/>
      <c r="MH220" s="243"/>
      <c r="MI220" s="243"/>
      <c r="MJ220" s="243"/>
      <c r="MK220" s="243"/>
      <c r="ML220" s="243"/>
      <c r="MM220" s="243"/>
      <c r="MN220" s="243"/>
      <c r="MO220" s="243"/>
      <c r="MP220" s="243"/>
      <c r="MQ220" s="243"/>
      <c r="MR220" s="243"/>
      <c r="MS220" s="243"/>
      <c r="MT220" s="243"/>
      <c r="MU220" s="243"/>
      <c r="MV220" s="243"/>
      <c r="MW220" s="243"/>
      <c r="MX220" s="243"/>
      <c r="MY220" s="243"/>
      <c r="MZ220" s="243"/>
      <c r="NA220" s="243"/>
      <c r="NB220" s="243"/>
      <c r="NC220" s="243"/>
      <c r="ND220" s="243"/>
      <c r="NE220" s="243"/>
      <c r="NF220" s="243"/>
      <c r="NG220" s="243"/>
      <c r="NH220" s="243"/>
      <c r="NI220" s="243"/>
      <c r="NJ220" s="243"/>
      <c r="NK220" s="243"/>
      <c r="NL220" s="243"/>
      <c r="NM220" s="243"/>
      <c r="NN220" s="243"/>
      <c r="NO220" s="243"/>
      <c r="NP220" s="243"/>
      <c r="NQ220" s="243"/>
      <c r="NR220" s="243"/>
      <c r="NS220" s="243"/>
      <c r="NT220" s="243"/>
      <c r="NU220" s="243"/>
      <c r="NV220" s="243"/>
      <c r="NW220" s="243"/>
      <c r="NX220" s="243"/>
      <c r="NY220" s="243"/>
      <c r="NZ220" s="243"/>
      <c r="OA220" s="243"/>
      <c r="OB220" s="243"/>
      <c r="OC220" s="243"/>
      <c r="OD220" s="243"/>
      <c r="OE220" s="243"/>
      <c r="OF220" s="243"/>
      <c r="OG220" s="243"/>
      <c r="OH220" s="243"/>
      <c r="OI220" s="243"/>
      <c r="OJ220" s="243"/>
      <c r="OK220" s="243"/>
      <c r="OL220" s="243"/>
      <c r="OM220" s="243"/>
      <c r="ON220" s="243"/>
      <c r="OO220" s="243"/>
      <c r="OP220" s="243"/>
      <c r="OQ220" s="243"/>
      <c r="OR220" s="243"/>
      <c r="OS220" s="243"/>
      <c r="OT220" s="243"/>
      <c r="OU220" s="243"/>
      <c r="OV220" s="243"/>
      <c r="OW220" s="243"/>
      <c r="OX220" s="243"/>
      <c r="OY220" s="243"/>
      <c r="OZ220" s="243"/>
      <c r="PA220" s="243"/>
      <c r="PB220" s="243"/>
      <c r="PC220" s="243"/>
      <c r="PD220" s="243"/>
      <c r="PE220" s="243"/>
      <c r="PF220" s="243"/>
      <c r="PG220" s="243"/>
      <c r="PH220" s="243"/>
      <c r="PI220" s="243"/>
      <c r="PJ220" s="243"/>
      <c r="PK220" s="243"/>
      <c r="PL220" s="243"/>
      <c r="PM220" s="243"/>
      <c r="PN220" s="243"/>
      <c r="PO220" s="243"/>
      <c r="PP220" s="243"/>
      <c r="PQ220" s="243"/>
      <c r="PR220" s="243"/>
      <c r="PS220" s="243"/>
      <c r="PT220" s="243"/>
      <c r="PU220" s="243"/>
      <c r="PV220" s="243"/>
      <c r="PW220" s="243"/>
      <c r="PX220" s="243"/>
      <c r="PY220" s="243"/>
      <c r="PZ220" s="243"/>
      <c r="QA220" s="243"/>
      <c r="QB220" s="243"/>
      <c r="QC220" s="243"/>
      <c r="QD220" s="243"/>
      <c r="QE220" s="243"/>
      <c r="QF220" s="243"/>
      <c r="QG220" s="243"/>
      <c r="QH220" s="243"/>
      <c r="QI220" s="243"/>
      <c r="QJ220" s="243"/>
      <c r="QK220" s="243"/>
      <c r="QL220" s="243"/>
      <c r="QM220" s="243"/>
      <c r="QN220" s="243"/>
      <c r="QO220" s="243"/>
      <c r="QP220" s="243"/>
      <c r="QQ220" s="243"/>
      <c r="QR220" s="243"/>
      <c r="QS220" s="243"/>
      <c r="QT220" s="243"/>
      <c r="QU220" s="243"/>
      <c r="QV220" s="243"/>
      <c r="QW220" s="243"/>
      <c r="QX220" s="243"/>
      <c r="QY220" s="243"/>
      <c r="QZ220" s="243"/>
      <c r="RA220" s="243"/>
      <c r="RB220" s="243"/>
      <c r="RC220" s="243"/>
      <c r="RD220" s="243"/>
      <c r="RE220" s="243"/>
      <c r="RF220" s="243"/>
      <c r="RG220" s="243"/>
      <c r="RH220" s="243"/>
      <c r="RI220" s="243"/>
      <c r="RJ220" s="243"/>
      <c r="RK220" s="243"/>
      <c r="RL220" s="243"/>
      <c r="RM220" s="243"/>
      <c r="RN220" s="243"/>
      <c r="RO220" s="243"/>
      <c r="RP220" s="243"/>
      <c r="RQ220" s="243"/>
      <c r="RR220" s="243"/>
      <c r="RS220" s="243"/>
      <c r="RT220" s="243"/>
      <c r="RU220" s="243"/>
      <c r="RV220" s="243"/>
      <c r="RW220" s="243"/>
      <c r="RX220" s="243"/>
      <c r="RY220" s="243"/>
      <c r="RZ220" s="243"/>
      <c r="SA220" s="243"/>
      <c r="SB220" s="243"/>
      <c r="SC220" s="243"/>
      <c r="SD220" s="243"/>
      <c r="SE220" s="243"/>
      <c r="SF220" s="243"/>
      <c r="SG220" s="243"/>
      <c r="SH220" s="243"/>
      <c r="SI220" s="243"/>
      <c r="SJ220" s="243"/>
      <c r="SK220" s="243"/>
      <c r="SL220" s="243"/>
      <c r="SM220" s="243"/>
      <c r="SN220" s="243"/>
      <c r="SO220" s="243"/>
      <c r="SP220" s="243"/>
      <c r="SQ220" s="243"/>
      <c r="SR220" s="243"/>
      <c r="SS220" s="243"/>
      <c r="ST220" s="243"/>
      <c r="SU220" s="243"/>
      <c r="SV220" s="243"/>
      <c r="SW220" s="243"/>
      <c r="SX220" s="243"/>
      <c r="SY220" s="243"/>
      <c r="SZ220" s="243"/>
      <c r="TA220" s="243"/>
      <c r="TB220" s="243"/>
      <c r="TC220" s="243"/>
      <c r="TD220" s="243"/>
      <c r="TE220" s="243"/>
      <c r="TF220" s="243"/>
      <c r="TG220" s="243"/>
      <c r="TH220" s="243"/>
      <c r="TI220" s="243"/>
      <c r="TJ220" s="243"/>
      <c r="TK220" s="243"/>
      <c r="TL220" s="243"/>
      <c r="TM220" s="243"/>
      <c r="TN220" s="243"/>
      <c r="TO220" s="243"/>
      <c r="TP220" s="243"/>
      <c r="TQ220" s="243"/>
      <c r="TR220" s="243"/>
      <c r="TS220" s="243"/>
      <c r="TT220" s="243"/>
      <c r="TU220" s="243"/>
      <c r="TV220" s="243"/>
      <c r="TW220" s="243"/>
      <c r="TX220" s="243"/>
      <c r="TY220" s="243"/>
      <c r="TZ220" s="243"/>
      <c r="UA220" s="243"/>
      <c r="UB220" s="243"/>
      <c r="UC220" s="243"/>
      <c r="UD220" s="243"/>
      <c r="UE220" s="243"/>
      <c r="UF220" s="243"/>
      <c r="UG220" s="243"/>
      <c r="UH220" s="243"/>
      <c r="UI220" s="243"/>
      <c r="UJ220" s="243"/>
      <c r="UK220" s="243"/>
      <c r="UL220" s="243"/>
      <c r="UM220" s="243"/>
      <c r="UN220" s="243"/>
      <c r="UO220" s="243"/>
      <c r="UP220" s="243"/>
      <c r="UQ220" s="243"/>
      <c r="UR220" s="243"/>
      <c r="US220" s="243"/>
      <c r="UT220" s="243"/>
      <c r="UU220" s="243"/>
      <c r="UV220" s="243"/>
      <c r="UW220" s="243"/>
      <c r="UX220" s="243"/>
      <c r="UY220" s="243"/>
      <c r="UZ220" s="243"/>
      <c r="VA220" s="243"/>
      <c r="VB220" s="243"/>
      <c r="VC220" s="243"/>
      <c r="VD220" s="243"/>
      <c r="VE220" s="243"/>
      <c r="VF220" s="243"/>
      <c r="VG220" s="243"/>
      <c r="VH220" s="243"/>
      <c r="VI220" s="243"/>
      <c r="VJ220" s="243"/>
      <c r="VK220" s="243"/>
      <c r="VL220" s="243"/>
      <c r="VM220" s="243"/>
      <c r="VN220" s="243"/>
      <c r="VO220" s="243"/>
      <c r="VP220" s="243"/>
      <c r="VQ220" s="243"/>
      <c r="VR220" s="243"/>
      <c r="VS220" s="243"/>
      <c r="VT220" s="243"/>
      <c r="VU220" s="243"/>
      <c r="VV220" s="243"/>
      <c r="VW220" s="243"/>
      <c r="VX220" s="243"/>
      <c r="VY220" s="243"/>
      <c r="VZ220" s="243"/>
      <c r="WA220" s="243"/>
      <c r="WB220" s="243"/>
      <c r="WC220" s="243"/>
      <c r="WD220" s="243"/>
      <c r="WE220" s="243"/>
      <c r="WF220" s="243"/>
      <c r="WG220" s="243"/>
      <c r="WH220" s="243"/>
      <c r="WI220" s="243"/>
      <c r="WJ220" s="243"/>
      <c r="WK220" s="243"/>
      <c r="WL220" s="243"/>
      <c r="WM220" s="243"/>
      <c r="WN220" s="243"/>
      <c r="WO220" s="243"/>
      <c r="WP220" s="243"/>
      <c r="WQ220" s="243"/>
      <c r="WR220" s="243"/>
      <c r="WS220" s="243"/>
      <c r="WT220" s="243"/>
      <c r="WU220" s="243"/>
      <c r="WV220" s="243"/>
      <c r="WW220" s="243"/>
      <c r="WX220" s="243"/>
      <c r="WY220" s="243"/>
      <c r="WZ220" s="243"/>
      <c r="XA220" s="243"/>
      <c r="XB220" s="243"/>
      <c r="XC220" s="243"/>
      <c r="XD220" s="243"/>
      <c r="XE220" s="243"/>
      <c r="XF220" s="243"/>
      <c r="XG220" s="243"/>
      <c r="XH220" s="243"/>
      <c r="XI220" s="243"/>
      <c r="XJ220" s="243"/>
      <c r="XK220" s="243"/>
      <c r="XL220" s="243"/>
      <c r="XM220" s="243"/>
      <c r="XN220" s="243"/>
      <c r="XO220" s="243"/>
      <c r="XP220" s="243"/>
      <c r="XQ220" s="243"/>
      <c r="XR220" s="243"/>
      <c r="XS220" s="243"/>
      <c r="XT220" s="243"/>
      <c r="XU220" s="243"/>
      <c r="XV220" s="243"/>
      <c r="XW220" s="243"/>
      <c r="XX220" s="243"/>
      <c r="XY220" s="243"/>
      <c r="XZ220" s="243"/>
      <c r="YA220" s="243"/>
      <c r="YB220" s="243"/>
      <c r="YC220" s="243"/>
      <c r="YD220" s="243"/>
      <c r="YE220" s="243"/>
      <c r="YF220" s="243"/>
      <c r="YG220" s="243"/>
      <c r="YH220" s="243"/>
      <c r="YI220" s="243"/>
      <c r="YJ220" s="243"/>
      <c r="YK220" s="243"/>
      <c r="YL220" s="243"/>
      <c r="YM220" s="243"/>
      <c r="YN220" s="243"/>
      <c r="YO220" s="243"/>
      <c r="YP220" s="243"/>
      <c r="YQ220" s="243"/>
      <c r="YR220" s="243"/>
      <c r="YS220" s="243"/>
      <c r="YT220" s="243"/>
      <c r="YU220" s="243"/>
      <c r="YV220" s="243"/>
      <c r="YW220" s="243"/>
      <c r="YX220" s="243"/>
      <c r="YY220" s="243"/>
      <c r="YZ220" s="243"/>
      <c r="ZA220" s="243"/>
      <c r="ZB220" s="243"/>
      <c r="ZC220" s="243"/>
      <c r="ZD220" s="243"/>
      <c r="ZE220" s="243"/>
      <c r="ZF220" s="243"/>
      <c r="ZG220" s="243"/>
      <c r="ZH220" s="243"/>
      <c r="ZI220" s="243"/>
      <c r="ZJ220" s="243"/>
      <c r="ZK220" s="243"/>
      <c r="ZL220" s="243"/>
      <c r="ZM220" s="243"/>
      <c r="ZN220" s="243"/>
      <c r="ZO220" s="243"/>
      <c r="ZP220" s="243"/>
      <c r="ZQ220" s="243"/>
      <c r="ZR220" s="243"/>
      <c r="ZS220" s="243"/>
      <c r="ZT220" s="243"/>
      <c r="ZU220" s="243"/>
      <c r="ZV220" s="243"/>
      <c r="ZW220" s="243"/>
      <c r="ZX220" s="243"/>
      <c r="ZY220" s="243"/>
      <c r="ZZ220" s="243"/>
      <c r="AAA220" s="243"/>
      <c r="AAB220" s="243"/>
      <c r="AAC220" s="243"/>
      <c r="AAD220" s="243"/>
      <c r="AAE220" s="243"/>
      <c r="AAF220" s="243"/>
      <c r="AAG220" s="243"/>
      <c r="AAH220" s="243"/>
      <c r="AAI220" s="243"/>
      <c r="AAJ220" s="243"/>
      <c r="AAK220" s="243"/>
      <c r="AAL220" s="243"/>
      <c r="AAM220" s="243"/>
      <c r="AAN220" s="243"/>
      <c r="AAO220" s="243"/>
      <c r="AAP220" s="243"/>
      <c r="AAQ220" s="243"/>
      <c r="AAR220" s="243"/>
      <c r="AAS220" s="243"/>
      <c r="AAT220" s="243"/>
      <c r="AAU220" s="243"/>
      <c r="AAV220" s="243"/>
      <c r="AAW220" s="243"/>
      <c r="AAX220" s="243"/>
      <c r="AAY220" s="243"/>
      <c r="AAZ220" s="243"/>
      <c r="ABA220" s="243"/>
      <c r="ABB220" s="243"/>
      <c r="ABC220" s="243"/>
      <c r="ABD220" s="243"/>
      <c r="ABE220" s="243"/>
      <c r="ABF220" s="243"/>
      <c r="ABG220" s="243"/>
      <c r="ABH220" s="243"/>
      <c r="ABI220" s="243"/>
      <c r="ABJ220" s="243"/>
      <c r="ABK220" s="243"/>
      <c r="ABL220" s="243"/>
      <c r="ABM220" s="243"/>
      <c r="ABN220" s="243"/>
      <c r="ABO220" s="243"/>
      <c r="ABP220" s="243"/>
      <c r="ABQ220" s="243"/>
      <c r="ABR220" s="243"/>
      <c r="ABS220" s="243"/>
      <c r="ABT220" s="243"/>
      <c r="ABU220" s="243"/>
      <c r="ABV220" s="243"/>
      <c r="ABW220" s="243"/>
      <c r="ABX220" s="243"/>
      <c r="ABY220" s="243"/>
      <c r="ABZ220" s="243"/>
      <c r="ACA220" s="243"/>
      <c r="ACB220" s="243"/>
      <c r="ACC220" s="243"/>
      <c r="ACD220" s="243"/>
      <c r="ACE220" s="243"/>
      <c r="ACF220" s="243"/>
      <c r="ACG220" s="243"/>
      <c r="ACH220" s="243"/>
      <c r="ACI220" s="243"/>
      <c r="ACJ220" s="243"/>
      <c r="ACK220" s="243"/>
      <c r="ACL220" s="243"/>
      <c r="ACM220" s="243"/>
      <c r="ACN220" s="243"/>
      <c r="ACO220" s="243"/>
      <c r="ACP220" s="243"/>
      <c r="ACQ220" s="243"/>
      <c r="ACR220" s="243"/>
      <c r="ACS220" s="243"/>
      <c r="ACT220" s="243"/>
      <c r="ACU220" s="243"/>
      <c r="ACV220" s="243"/>
      <c r="ACW220" s="243"/>
      <c r="ACX220" s="243"/>
      <c r="ACY220" s="243"/>
      <c r="ACZ220" s="243"/>
      <c r="ADA220" s="243"/>
      <c r="ADB220" s="243"/>
      <c r="ADC220" s="243"/>
      <c r="ADD220" s="243"/>
      <c r="ADE220" s="243"/>
      <c r="ADF220" s="243"/>
      <c r="ADG220" s="243"/>
      <c r="ADH220" s="243"/>
      <c r="ADI220" s="243"/>
      <c r="ADJ220" s="243"/>
      <c r="ADK220" s="243"/>
      <c r="ADL220" s="243"/>
      <c r="ADM220" s="243"/>
      <c r="ADN220" s="243"/>
      <c r="ADO220" s="243"/>
      <c r="ADP220" s="243"/>
      <c r="ADQ220" s="243"/>
      <c r="ADR220" s="243"/>
      <c r="ADS220" s="243"/>
      <c r="ADT220" s="243"/>
      <c r="ADU220" s="243"/>
      <c r="ADV220" s="243"/>
      <c r="ADW220" s="243"/>
      <c r="ADX220" s="243"/>
      <c r="ADY220" s="243"/>
      <c r="ADZ220" s="243"/>
      <c r="AEA220" s="243"/>
      <c r="AEB220" s="243"/>
      <c r="AEC220" s="243"/>
      <c r="AED220" s="243"/>
      <c r="AEE220" s="243"/>
      <c r="AEF220" s="243"/>
      <c r="AEG220" s="243"/>
      <c r="AEH220" s="243"/>
      <c r="AEI220" s="243"/>
      <c r="AEJ220" s="243"/>
      <c r="AEK220" s="243"/>
      <c r="AEL220" s="243"/>
      <c r="AEM220" s="243"/>
      <c r="AEN220" s="243"/>
      <c r="AEO220" s="243"/>
      <c r="AEP220" s="243"/>
      <c r="AEQ220" s="243"/>
      <c r="AER220" s="243"/>
      <c r="AES220" s="243"/>
      <c r="AET220" s="243"/>
      <c r="AEU220" s="243"/>
      <c r="AEV220" s="243"/>
      <c r="AEW220" s="243"/>
      <c r="AEX220" s="243"/>
      <c r="AEY220" s="243"/>
      <c r="AEZ220" s="243"/>
      <c r="AFA220" s="243"/>
      <c r="AFB220" s="243"/>
      <c r="AFC220" s="243"/>
      <c r="AFD220" s="243"/>
      <c r="AFE220" s="243"/>
      <c r="AFF220" s="243"/>
      <c r="AFG220" s="243"/>
      <c r="AFH220" s="243"/>
      <c r="AFI220" s="243"/>
      <c r="AFJ220" s="243"/>
      <c r="AFK220" s="243"/>
      <c r="AFL220" s="243"/>
      <c r="AFM220" s="243"/>
      <c r="AFN220" s="243"/>
      <c r="AFO220" s="243"/>
      <c r="AFP220" s="243"/>
      <c r="AFQ220" s="243"/>
      <c r="AFR220" s="243"/>
      <c r="AFS220" s="243"/>
      <c r="AFT220" s="243"/>
      <c r="AFU220" s="243"/>
      <c r="AFV220" s="243"/>
      <c r="AFW220" s="243"/>
      <c r="AFX220" s="243"/>
      <c r="AFY220" s="243"/>
      <c r="AFZ220" s="243"/>
      <c r="AGA220" s="243"/>
      <c r="AGB220" s="243"/>
      <c r="AGC220" s="243"/>
      <c r="AGD220" s="243"/>
      <c r="AGE220" s="243"/>
      <c r="AGF220" s="243"/>
      <c r="AGG220" s="243"/>
      <c r="AGH220" s="243"/>
      <c r="AGI220" s="243"/>
      <c r="AGJ220" s="243"/>
      <c r="AGK220" s="243"/>
      <c r="AGL220" s="243"/>
      <c r="AGM220" s="243"/>
      <c r="AGN220" s="243"/>
      <c r="AGO220" s="243"/>
      <c r="AGP220" s="243"/>
      <c r="AGQ220" s="243"/>
      <c r="AGR220" s="243"/>
      <c r="AGS220" s="243"/>
      <c r="AGT220" s="243"/>
      <c r="AGU220" s="243"/>
      <c r="AGV220" s="243"/>
      <c r="AGW220" s="243"/>
      <c r="AGX220" s="243"/>
      <c r="AGY220" s="243"/>
      <c r="AGZ220" s="243"/>
      <c r="AHA220" s="243"/>
      <c r="AHB220" s="243"/>
      <c r="AHC220" s="243"/>
      <c r="AHD220" s="243"/>
      <c r="AHE220" s="243"/>
      <c r="AHF220" s="243"/>
      <c r="AHG220" s="243"/>
      <c r="AHH220" s="243"/>
      <c r="AHI220" s="243"/>
      <c r="AHJ220" s="243"/>
      <c r="AHK220" s="243"/>
      <c r="AHL220" s="243"/>
      <c r="AHM220" s="243"/>
      <c r="AHN220" s="243"/>
      <c r="AHO220" s="243"/>
      <c r="AHP220" s="243"/>
      <c r="AHQ220" s="243"/>
      <c r="AHR220" s="243"/>
      <c r="AHS220" s="243"/>
      <c r="AHT220" s="243"/>
      <c r="AHU220" s="243"/>
      <c r="AHV220" s="243"/>
      <c r="AHW220" s="243"/>
      <c r="AHX220" s="243"/>
      <c r="AHY220" s="243"/>
      <c r="AHZ220" s="243"/>
      <c r="AIA220" s="243"/>
      <c r="AIB220" s="243"/>
      <c r="AIC220" s="243"/>
      <c r="AID220" s="243"/>
      <c r="AIE220" s="243"/>
      <c r="AIF220" s="243"/>
      <c r="AIG220" s="243"/>
      <c r="AIH220" s="243"/>
      <c r="AII220" s="243"/>
      <c r="AIJ220" s="243"/>
      <c r="AIK220" s="243"/>
      <c r="AIL220" s="243"/>
      <c r="AIM220" s="243"/>
      <c r="AIN220" s="243"/>
      <c r="AIO220" s="243"/>
      <c r="AIP220" s="243"/>
      <c r="AIQ220" s="243"/>
      <c r="AIR220" s="243"/>
      <c r="AIS220" s="243"/>
      <c r="AIT220" s="243"/>
      <c r="AIU220" s="243"/>
      <c r="AIV220" s="243"/>
      <c r="AIW220" s="243"/>
      <c r="AIX220" s="243"/>
      <c r="AIY220" s="243"/>
      <c r="AIZ220" s="243"/>
      <c r="AJA220" s="243"/>
      <c r="AJB220" s="243"/>
      <c r="AJC220" s="243"/>
      <c r="AJD220" s="243"/>
      <c r="AJE220" s="243"/>
      <c r="AJF220" s="243"/>
      <c r="AJG220" s="243"/>
      <c r="AJH220" s="243"/>
      <c r="AJI220" s="243"/>
      <c r="AJJ220" s="243"/>
      <c r="AJK220" s="243"/>
      <c r="AJL220" s="243"/>
      <c r="AJM220" s="243"/>
      <c r="AJN220" s="243"/>
      <c r="AJO220" s="243"/>
      <c r="AJP220" s="243"/>
      <c r="AJQ220" s="243"/>
      <c r="AJR220" s="243"/>
      <c r="AJS220" s="243"/>
      <c r="AJT220" s="243"/>
      <c r="AJU220" s="243"/>
      <c r="AJV220" s="243"/>
      <c r="AJW220" s="243"/>
      <c r="AJX220" s="243"/>
      <c r="AJY220" s="243"/>
      <c r="AJZ220" s="243"/>
      <c r="AKA220" s="243"/>
      <c r="AKB220" s="243"/>
      <c r="AKC220" s="243"/>
      <c r="AKD220" s="243"/>
      <c r="AKE220" s="243"/>
      <c r="AKF220" s="243"/>
      <c r="AKG220" s="243"/>
      <c r="AKH220" s="243"/>
      <c r="AKI220" s="243"/>
      <c r="AKJ220" s="243"/>
      <c r="AKK220" s="243"/>
      <c r="AKL220" s="243"/>
      <c r="AKM220" s="243"/>
      <c r="AKN220" s="243"/>
      <c r="AKO220" s="243"/>
      <c r="AKP220" s="243"/>
      <c r="AKQ220" s="243"/>
      <c r="AKR220" s="243"/>
      <c r="AKS220" s="243"/>
      <c r="AKT220" s="243"/>
      <c r="AKU220" s="243"/>
      <c r="AKV220" s="243"/>
      <c r="AKW220" s="243"/>
      <c r="AKX220" s="243"/>
      <c r="AKY220" s="243"/>
      <c r="AKZ220" s="243"/>
      <c r="ALA220" s="243"/>
      <c r="ALB220" s="243"/>
      <c r="ALC220" s="243"/>
      <c r="ALD220" s="243"/>
      <c r="ALE220" s="243"/>
      <c r="ALF220" s="243"/>
      <c r="ALG220" s="243"/>
      <c r="ALH220" s="243"/>
      <c r="ALI220" s="243"/>
      <c r="ALJ220" s="243"/>
      <c r="ALK220" s="243"/>
      <c r="ALL220" s="243"/>
      <c r="ALM220" s="243"/>
      <c r="ALN220" s="243"/>
      <c r="ALO220" s="243"/>
      <c r="ALP220" s="243"/>
      <c r="ALQ220" s="243"/>
      <c r="ALR220" s="243"/>
      <c r="ALS220" s="243"/>
      <c r="ALT220" s="243"/>
      <c r="ALU220" s="243"/>
      <c r="ALV220" s="243"/>
      <c r="ALW220" s="243"/>
      <c r="ALX220" s="243"/>
      <c r="ALY220" s="243"/>
      <c r="ALZ220" s="243"/>
      <c r="AMA220" s="243"/>
      <c r="AMB220" s="243"/>
      <c r="AMC220" s="243"/>
      <c r="AMD220" s="243"/>
      <c r="AME220" s="243"/>
      <c r="AMF220" s="243"/>
      <c r="AMG220" s="243"/>
      <c r="AMH220" s="243"/>
      <c r="AMI220" s="244"/>
      <c r="AMJ220" s="244"/>
    </row>
    <row r="221" spans="1:1024">
      <c r="A221" s="912"/>
      <c r="B221" s="403"/>
      <c r="C221" s="404"/>
      <c r="D221" s="405" t="s">
        <v>150</v>
      </c>
      <c r="E221" s="406"/>
      <c r="F221" s="403"/>
      <c r="G221" s="403"/>
      <c r="H221" s="407" t="s">
        <v>47</v>
      </c>
      <c r="I221" s="513" t="s">
        <v>124</v>
      </c>
      <c r="J221" s="407"/>
      <c r="K221" s="407"/>
      <c r="L221" s="407" t="s">
        <v>151</v>
      </c>
      <c r="M221" s="395"/>
      <c r="N221" s="396"/>
      <c r="O221" s="377"/>
      <c r="P221" s="377"/>
      <c r="Q221" s="377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  <c r="AH221" s="243"/>
      <c r="AI221" s="243"/>
      <c r="AJ221" s="243"/>
      <c r="AK221" s="243"/>
      <c r="AL221" s="243"/>
      <c r="AM221" s="243"/>
      <c r="AN221" s="243"/>
      <c r="AO221" s="243"/>
      <c r="AP221" s="243"/>
      <c r="AQ221" s="243"/>
      <c r="AR221" s="243"/>
      <c r="AS221" s="243"/>
      <c r="AT221" s="243"/>
      <c r="AU221" s="243"/>
      <c r="AV221" s="243"/>
      <c r="AW221" s="243"/>
      <c r="AX221" s="243"/>
      <c r="AY221" s="243"/>
      <c r="AZ221" s="243"/>
      <c r="BA221" s="243"/>
      <c r="BB221" s="243"/>
      <c r="BC221" s="243"/>
      <c r="BD221" s="243"/>
      <c r="BE221" s="243"/>
      <c r="BF221" s="243"/>
      <c r="BG221" s="243"/>
      <c r="BH221" s="243"/>
      <c r="BI221" s="243"/>
      <c r="BJ221" s="243"/>
      <c r="BK221" s="243"/>
      <c r="BL221" s="243"/>
      <c r="BM221" s="243"/>
      <c r="BN221" s="243"/>
      <c r="BO221" s="243"/>
      <c r="BP221" s="243"/>
      <c r="BQ221" s="243"/>
      <c r="BR221" s="243"/>
      <c r="BS221" s="243"/>
      <c r="BT221" s="243"/>
      <c r="BU221" s="243"/>
      <c r="BV221" s="243"/>
      <c r="BW221" s="243"/>
      <c r="BX221" s="243"/>
      <c r="BY221" s="243"/>
      <c r="BZ221" s="243"/>
      <c r="CA221" s="243"/>
      <c r="CB221" s="243"/>
      <c r="CC221" s="243"/>
      <c r="CD221" s="243"/>
      <c r="CE221" s="243"/>
      <c r="CF221" s="243"/>
      <c r="CG221" s="243"/>
      <c r="CH221" s="243"/>
      <c r="CI221" s="243"/>
      <c r="CJ221" s="243"/>
      <c r="CK221" s="243"/>
      <c r="CL221" s="243"/>
      <c r="CM221" s="243"/>
      <c r="CN221" s="243"/>
      <c r="CO221" s="243"/>
      <c r="CP221" s="243"/>
      <c r="CQ221" s="243"/>
      <c r="CR221" s="243"/>
      <c r="CS221" s="243"/>
      <c r="CT221" s="243"/>
      <c r="CU221" s="243"/>
      <c r="CV221" s="243"/>
      <c r="CW221" s="243"/>
      <c r="CX221" s="243"/>
      <c r="CY221" s="243"/>
      <c r="CZ221" s="243"/>
      <c r="DA221" s="243"/>
      <c r="DB221" s="243"/>
      <c r="DC221" s="243"/>
      <c r="DD221" s="243"/>
      <c r="DE221" s="243"/>
      <c r="DF221" s="243"/>
      <c r="DG221" s="243"/>
      <c r="DH221" s="243"/>
      <c r="DI221" s="243"/>
      <c r="DJ221" s="243"/>
      <c r="DK221" s="243"/>
      <c r="DL221" s="243"/>
      <c r="DM221" s="243"/>
      <c r="DN221" s="243"/>
      <c r="DO221" s="243"/>
      <c r="DP221" s="243"/>
      <c r="DQ221" s="243"/>
      <c r="DR221" s="243"/>
      <c r="DS221" s="243"/>
      <c r="DT221" s="243"/>
      <c r="DU221" s="243"/>
      <c r="DV221" s="243"/>
      <c r="DW221" s="243"/>
      <c r="DX221" s="243"/>
      <c r="DY221" s="243"/>
      <c r="DZ221" s="243"/>
      <c r="EA221" s="243"/>
      <c r="EB221" s="243"/>
      <c r="EC221" s="243"/>
      <c r="ED221" s="243"/>
      <c r="EE221" s="243"/>
      <c r="EF221" s="243"/>
      <c r="EG221" s="243"/>
      <c r="EH221" s="243"/>
      <c r="EI221" s="243"/>
      <c r="EJ221" s="243"/>
      <c r="EK221" s="243"/>
      <c r="EL221" s="243"/>
      <c r="EM221" s="243"/>
      <c r="EN221" s="243"/>
      <c r="EO221" s="243"/>
      <c r="EP221" s="243"/>
      <c r="EQ221" s="243"/>
      <c r="ER221" s="243"/>
      <c r="ES221" s="243"/>
      <c r="ET221" s="243"/>
      <c r="EU221" s="243"/>
      <c r="EV221" s="243"/>
      <c r="EW221" s="243"/>
      <c r="EX221" s="243"/>
      <c r="EY221" s="243"/>
      <c r="EZ221" s="243"/>
      <c r="FA221" s="243"/>
      <c r="FB221" s="243"/>
      <c r="FC221" s="243"/>
      <c r="FD221" s="243"/>
      <c r="FE221" s="243"/>
      <c r="FF221" s="243"/>
      <c r="FG221" s="243"/>
      <c r="FH221" s="243"/>
      <c r="FI221" s="243"/>
      <c r="FJ221" s="243"/>
      <c r="FK221" s="243"/>
      <c r="FL221" s="243"/>
      <c r="FM221" s="243"/>
      <c r="FN221" s="243"/>
      <c r="FO221" s="243"/>
      <c r="FP221" s="243"/>
      <c r="FQ221" s="243"/>
      <c r="FR221" s="243"/>
      <c r="FS221" s="243"/>
      <c r="FT221" s="243"/>
      <c r="FU221" s="243"/>
      <c r="FV221" s="243"/>
      <c r="FW221" s="243"/>
      <c r="FX221" s="243"/>
      <c r="FY221" s="243"/>
      <c r="FZ221" s="243"/>
      <c r="GA221" s="243"/>
      <c r="GB221" s="243"/>
      <c r="GC221" s="243"/>
      <c r="GD221" s="243"/>
      <c r="GE221" s="243"/>
      <c r="GF221" s="243"/>
      <c r="GG221" s="243"/>
      <c r="GH221" s="243"/>
      <c r="GI221" s="243"/>
      <c r="GJ221" s="243"/>
      <c r="GK221" s="243"/>
      <c r="GL221" s="243"/>
      <c r="GM221" s="243"/>
      <c r="GN221" s="243"/>
      <c r="GO221" s="243"/>
      <c r="GP221" s="243"/>
      <c r="GQ221" s="243"/>
      <c r="GR221" s="243"/>
      <c r="GS221" s="243"/>
      <c r="GT221" s="243"/>
      <c r="GU221" s="243"/>
      <c r="GV221" s="243"/>
      <c r="GW221" s="243"/>
      <c r="GX221" s="243"/>
      <c r="GY221" s="243"/>
      <c r="GZ221" s="243"/>
      <c r="HA221" s="243"/>
      <c r="HB221" s="243"/>
      <c r="HC221" s="243"/>
      <c r="HD221" s="243"/>
      <c r="HE221" s="243"/>
      <c r="HF221" s="243"/>
      <c r="HG221" s="243"/>
      <c r="HH221" s="243"/>
      <c r="HI221" s="243"/>
      <c r="HJ221" s="243"/>
      <c r="HK221" s="243"/>
      <c r="HL221" s="243"/>
      <c r="HM221" s="243"/>
      <c r="HN221" s="243"/>
      <c r="HO221" s="243"/>
      <c r="HP221" s="243"/>
      <c r="HQ221" s="243"/>
      <c r="HR221" s="243"/>
      <c r="HS221" s="243"/>
      <c r="HT221" s="243"/>
      <c r="HU221" s="243"/>
      <c r="HV221" s="243"/>
      <c r="HW221" s="243"/>
      <c r="HX221" s="243"/>
      <c r="HY221" s="243"/>
      <c r="HZ221" s="243"/>
      <c r="IA221" s="243"/>
      <c r="IB221" s="243"/>
      <c r="IC221" s="243"/>
      <c r="ID221" s="243"/>
      <c r="IE221" s="243"/>
      <c r="IF221" s="243"/>
      <c r="IG221" s="243"/>
      <c r="IH221" s="243"/>
      <c r="II221" s="243"/>
      <c r="IJ221" s="243"/>
      <c r="IK221" s="243"/>
      <c r="IL221" s="243"/>
      <c r="IM221" s="243"/>
      <c r="IN221" s="243"/>
      <c r="IO221" s="243"/>
      <c r="IP221" s="243"/>
      <c r="IQ221" s="243"/>
      <c r="IR221" s="243"/>
      <c r="IS221" s="243"/>
      <c r="IT221" s="243"/>
      <c r="IU221" s="243"/>
      <c r="IV221" s="243"/>
      <c r="IW221" s="243"/>
      <c r="IX221" s="243"/>
      <c r="IY221" s="243"/>
      <c r="IZ221" s="243"/>
      <c r="JA221" s="243"/>
      <c r="JB221" s="243"/>
      <c r="JC221" s="243"/>
      <c r="JD221" s="243"/>
      <c r="JE221" s="243"/>
      <c r="JF221" s="243"/>
      <c r="JG221" s="243"/>
      <c r="JH221" s="243"/>
      <c r="JI221" s="243"/>
      <c r="JJ221" s="243"/>
      <c r="JK221" s="243"/>
      <c r="JL221" s="243"/>
      <c r="JM221" s="243"/>
      <c r="JN221" s="243"/>
      <c r="JO221" s="243"/>
      <c r="JP221" s="243"/>
      <c r="JQ221" s="243"/>
      <c r="JR221" s="243"/>
      <c r="JS221" s="243"/>
      <c r="JT221" s="243"/>
      <c r="JU221" s="243"/>
      <c r="JV221" s="243"/>
      <c r="JW221" s="243"/>
      <c r="JX221" s="243"/>
      <c r="JY221" s="243"/>
      <c r="JZ221" s="243"/>
      <c r="KA221" s="243"/>
      <c r="KB221" s="243"/>
      <c r="KC221" s="243"/>
      <c r="KD221" s="243"/>
      <c r="KE221" s="243"/>
      <c r="KF221" s="243"/>
      <c r="KG221" s="243"/>
      <c r="KH221" s="243"/>
      <c r="KI221" s="243"/>
      <c r="KJ221" s="243"/>
      <c r="KK221" s="243"/>
      <c r="KL221" s="243"/>
      <c r="KM221" s="243"/>
      <c r="KN221" s="243"/>
      <c r="KO221" s="243"/>
      <c r="KP221" s="243"/>
      <c r="KQ221" s="243"/>
      <c r="KR221" s="243"/>
      <c r="KS221" s="243"/>
      <c r="KT221" s="243"/>
      <c r="KU221" s="243"/>
      <c r="KV221" s="243"/>
      <c r="KW221" s="243"/>
      <c r="KX221" s="243"/>
      <c r="KY221" s="243"/>
      <c r="KZ221" s="243"/>
      <c r="LA221" s="243"/>
      <c r="LB221" s="243"/>
      <c r="LC221" s="243"/>
      <c r="LD221" s="243"/>
      <c r="LE221" s="243"/>
      <c r="LF221" s="243"/>
      <c r="LG221" s="243"/>
      <c r="LH221" s="243"/>
      <c r="LI221" s="243"/>
      <c r="LJ221" s="243"/>
      <c r="LK221" s="243"/>
      <c r="LL221" s="243"/>
      <c r="LM221" s="243"/>
      <c r="LN221" s="243"/>
      <c r="LO221" s="243"/>
      <c r="LP221" s="243"/>
      <c r="LQ221" s="243"/>
      <c r="LR221" s="243"/>
      <c r="LS221" s="243"/>
      <c r="LT221" s="243"/>
      <c r="LU221" s="243"/>
      <c r="LV221" s="243"/>
      <c r="LW221" s="243"/>
      <c r="LX221" s="243"/>
      <c r="LY221" s="243"/>
      <c r="LZ221" s="243"/>
      <c r="MA221" s="243"/>
      <c r="MB221" s="243"/>
      <c r="MC221" s="243"/>
      <c r="MD221" s="243"/>
      <c r="ME221" s="243"/>
      <c r="MF221" s="243"/>
      <c r="MG221" s="243"/>
      <c r="MH221" s="243"/>
      <c r="MI221" s="243"/>
      <c r="MJ221" s="243"/>
      <c r="MK221" s="243"/>
      <c r="ML221" s="243"/>
      <c r="MM221" s="243"/>
      <c r="MN221" s="243"/>
      <c r="MO221" s="243"/>
      <c r="MP221" s="243"/>
      <c r="MQ221" s="243"/>
      <c r="MR221" s="243"/>
      <c r="MS221" s="243"/>
      <c r="MT221" s="243"/>
      <c r="MU221" s="243"/>
      <c r="MV221" s="243"/>
      <c r="MW221" s="243"/>
      <c r="MX221" s="243"/>
      <c r="MY221" s="243"/>
      <c r="MZ221" s="243"/>
      <c r="NA221" s="243"/>
      <c r="NB221" s="243"/>
      <c r="NC221" s="243"/>
      <c r="ND221" s="243"/>
      <c r="NE221" s="243"/>
      <c r="NF221" s="243"/>
      <c r="NG221" s="243"/>
      <c r="NH221" s="243"/>
      <c r="NI221" s="243"/>
      <c r="NJ221" s="243"/>
      <c r="NK221" s="243"/>
      <c r="NL221" s="243"/>
      <c r="NM221" s="243"/>
      <c r="NN221" s="243"/>
      <c r="NO221" s="243"/>
      <c r="NP221" s="243"/>
      <c r="NQ221" s="243"/>
      <c r="NR221" s="243"/>
      <c r="NS221" s="243"/>
      <c r="NT221" s="243"/>
      <c r="NU221" s="243"/>
      <c r="NV221" s="243"/>
      <c r="NW221" s="243"/>
      <c r="NX221" s="243"/>
      <c r="NY221" s="243"/>
      <c r="NZ221" s="243"/>
      <c r="OA221" s="243"/>
      <c r="OB221" s="243"/>
      <c r="OC221" s="243"/>
      <c r="OD221" s="243"/>
      <c r="OE221" s="243"/>
      <c r="OF221" s="243"/>
      <c r="OG221" s="243"/>
      <c r="OH221" s="243"/>
      <c r="OI221" s="243"/>
      <c r="OJ221" s="243"/>
      <c r="OK221" s="243"/>
      <c r="OL221" s="243"/>
      <c r="OM221" s="243"/>
      <c r="ON221" s="243"/>
      <c r="OO221" s="243"/>
      <c r="OP221" s="243"/>
      <c r="OQ221" s="243"/>
      <c r="OR221" s="243"/>
      <c r="OS221" s="243"/>
      <c r="OT221" s="243"/>
      <c r="OU221" s="243"/>
      <c r="OV221" s="243"/>
      <c r="OW221" s="243"/>
      <c r="OX221" s="243"/>
      <c r="OY221" s="243"/>
      <c r="OZ221" s="243"/>
      <c r="PA221" s="243"/>
      <c r="PB221" s="243"/>
      <c r="PC221" s="243"/>
      <c r="PD221" s="243"/>
      <c r="PE221" s="243"/>
      <c r="PF221" s="243"/>
      <c r="PG221" s="243"/>
      <c r="PH221" s="243"/>
      <c r="PI221" s="243"/>
      <c r="PJ221" s="243"/>
      <c r="PK221" s="243"/>
      <c r="PL221" s="243"/>
      <c r="PM221" s="243"/>
      <c r="PN221" s="243"/>
      <c r="PO221" s="243"/>
      <c r="PP221" s="243"/>
      <c r="PQ221" s="243"/>
      <c r="PR221" s="243"/>
      <c r="PS221" s="243"/>
      <c r="PT221" s="243"/>
      <c r="PU221" s="243"/>
      <c r="PV221" s="243"/>
      <c r="PW221" s="243"/>
      <c r="PX221" s="243"/>
      <c r="PY221" s="243"/>
      <c r="PZ221" s="243"/>
      <c r="QA221" s="243"/>
      <c r="QB221" s="243"/>
      <c r="QC221" s="243"/>
      <c r="QD221" s="243"/>
      <c r="QE221" s="243"/>
      <c r="QF221" s="243"/>
      <c r="QG221" s="243"/>
      <c r="QH221" s="243"/>
      <c r="QI221" s="243"/>
      <c r="QJ221" s="243"/>
      <c r="QK221" s="243"/>
      <c r="QL221" s="243"/>
      <c r="QM221" s="243"/>
      <c r="QN221" s="243"/>
      <c r="QO221" s="243"/>
      <c r="QP221" s="243"/>
      <c r="QQ221" s="243"/>
      <c r="QR221" s="243"/>
      <c r="QS221" s="243"/>
      <c r="QT221" s="243"/>
      <c r="QU221" s="243"/>
      <c r="QV221" s="243"/>
      <c r="QW221" s="243"/>
      <c r="QX221" s="243"/>
      <c r="QY221" s="243"/>
      <c r="QZ221" s="243"/>
      <c r="RA221" s="243"/>
      <c r="RB221" s="243"/>
      <c r="RC221" s="243"/>
      <c r="RD221" s="243"/>
      <c r="RE221" s="243"/>
      <c r="RF221" s="243"/>
      <c r="RG221" s="243"/>
      <c r="RH221" s="243"/>
      <c r="RI221" s="243"/>
      <c r="RJ221" s="243"/>
      <c r="RK221" s="243"/>
      <c r="RL221" s="243"/>
      <c r="RM221" s="243"/>
      <c r="RN221" s="243"/>
      <c r="RO221" s="243"/>
      <c r="RP221" s="243"/>
      <c r="RQ221" s="243"/>
      <c r="RR221" s="243"/>
      <c r="RS221" s="243"/>
      <c r="RT221" s="243"/>
      <c r="RU221" s="243"/>
      <c r="RV221" s="243"/>
      <c r="RW221" s="243"/>
      <c r="RX221" s="243"/>
      <c r="RY221" s="243"/>
      <c r="RZ221" s="243"/>
      <c r="SA221" s="243"/>
      <c r="SB221" s="243"/>
      <c r="SC221" s="243"/>
      <c r="SD221" s="243"/>
      <c r="SE221" s="243"/>
      <c r="SF221" s="243"/>
      <c r="SG221" s="243"/>
      <c r="SH221" s="243"/>
      <c r="SI221" s="243"/>
      <c r="SJ221" s="243"/>
      <c r="SK221" s="243"/>
      <c r="SL221" s="243"/>
      <c r="SM221" s="243"/>
      <c r="SN221" s="243"/>
      <c r="SO221" s="243"/>
      <c r="SP221" s="243"/>
      <c r="SQ221" s="243"/>
      <c r="SR221" s="243"/>
      <c r="SS221" s="243"/>
      <c r="ST221" s="243"/>
      <c r="SU221" s="243"/>
      <c r="SV221" s="243"/>
      <c r="SW221" s="243"/>
      <c r="SX221" s="243"/>
      <c r="SY221" s="243"/>
      <c r="SZ221" s="243"/>
      <c r="TA221" s="243"/>
      <c r="TB221" s="243"/>
      <c r="TC221" s="243"/>
      <c r="TD221" s="243"/>
      <c r="TE221" s="243"/>
      <c r="TF221" s="243"/>
      <c r="TG221" s="243"/>
      <c r="TH221" s="243"/>
      <c r="TI221" s="243"/>
      <c r="TJ221" s="243"/>
      <c r="TK221" s="243"/>
      <c r="TL221" s="243"/>
      <c r="TM221" s="243"/>
      <c r="TN221" s="243"/>
      <c r="TO221" s="243"/>
      <c r="TP221" s="243"/>
      <c r="TQ221" s="243"/>
      <c r="TR221" s="243"/>
      <c r="TS221" s="243"/>
      <c r="TT221" s="243"/>
      <c r="TU221" s="243"/>
      <c r="TV221" s="243"/>
      <c r="TW221" s="243"/>
      <c r="TX221" s="243"/>
      <c r="TY221" s="243"/>
      <c r="TZ221" s="243"/>
      <c r="UA221" s="243"/>
      <c r="UB221" s="243"/>
      <c r="UC221" s="243"/>
      <c r="UD221" s="243"/>
      <c r="UE221" s="243"/>
      <c r="UF221" s="243"/>
      <c r="UG221" s="243"/>
      <c r="UH221" s="243"/>
      <c r="UI221" s="243"/>
      <c r="UJ221" s="243"/>
      <c r="UK221" s="243"/>
      <c r="UL221" s="243"/>
      <c r="UM221" s="243"/>
      <c r="UN221" s="243"/>
      <c r="UO221" s="243"/>
      <c r="UP221" s="243"/>
      <c r="UQ221" s="243"/>
      <c r="UR221" s="243"/>
      <c r="US221" s="243"/>
      <c r="UT221" s="243"/>
      <c r="UU221" s="243"/>
      <c r="UV221" s="243"/>
      <c r="UW221" s="243"/>
      <c r="UX221" s="243"/>
      <c r="UY221" s="243"/>
      <c r="UZ221" s="243"/>
      <c r="VA221" s="243"/>
      <c r="VB221" s="243"/>
      <c r="VC221" s="243"/>
      <c r="VD221" s="243"/>
      <c r="VE221" s="243"/>
      <c r="VF221" s="243"/>
      <c r="VG221" s="243"/>
      <c r="VH221" s="243"/>
      <c r="VI221" s="243"/>
      <c r="VJ221" s="243"/>
      <c r="VK221" s="243"/>
      <c r="VL221" s="243"/>
      <c r="VM221" s="243"/>
      <c r="VN221" s="243"/>
      <c r="VO221" s="243"/>
      <c r="VP221" s="243"/>
      <c r="VQ221" s="243"/>
      <c r="VR221" s="243"/>
      <c r="VS221" s="243"/>
      <c r="VT221" s="243"/>
      <c r="VU221" s="243"/>
      <c r="VV221" s="243"/>
      <c r="VW221" s="243"/>
      <c r="VX221" s="243"/>
      <c r="VY221" s="243"/>
      <c r="VZ221" s="243"/>
      <c r="WA221" s="243"/>
      <c r="WB221" s="243"/>
      <c r="WC221" s="243"/>
      <c r="WD221" s="243"/>
      <c r="WE221" s="243"/>
      <c r="WF221" s="243"/>
      <c r="WG221" s="243"/>
      <c r="WH221" s="243"/>
      <c r="WI221" s="243"/>
      <c r="WJ221" s="243"/>
      <c r="WK221" s="243"/>
      <c r="WL221" s="243"/>
      <c r="WM221" s="243"/>
      <c r="WN221" s="243"/>
      <c r="WO221" s="243"/>
      <c r="WP221" s="243"/>
      <c r="WQ221" s="243"/>
      <c r="WR221" s="243"/>
      <c r="WS221" s="243"/>
      <c r="WT221" s="243"/>
      <c r="WU221" s="243"/>
      <c r="WV221" s="243"/>
      <c r="WW221" s="243"/>
      <c r="WX221" s="243"/>
      <c r="WY221" s="243"/>
      <c r="WZ221" s="243"/>
      <c r="XA221" s="243"/>
      <c r="XB221" s="243"/>
      <c r="XC221" s="243"/>
      <c r="XD221" s="243"/>
      <c r="XE221" s="243"/>
      <c r="XF221" s="243"/>
      <c r="XG221" s="243"/>
      <c r="XH221" s="243"/>
      <c r="XI221" s="243"/>
      <c r="XJ221" s="243"/>
      <c r="XK221" s="243"/>
      <c r="XL221" s="243"/>
      <c r="XM221" s="243"/>
      <c r="XN221" s="243"/>
      <c r="XO221" s="243"/>
      <c r="XP221" s="243"/>
      <c r="XQ221" s="243"/>
      <c r="XR221" s="243"/>
      <c r="XS221" s="243"/>
      <c r="XT221" s="243"/>
      <c r="XU221" s="243"/>
      <c r="XV221" s="243"/>
      <c r="XW221" s="243"/>
      <c r="XX221" s="243"/>
      <c r="XY221" s="243"/>
      <c r="XZ221" s="243"/>
      <c r="YA221" s="243"/>
      <c r="YB221" s="243"/>
      <c r="YC221" s="243"/>
      <c r="YD221" s="243"/>
      <c r="YE221" s="243"/>
      <c r="YF221" s="243"/>
      <c r="YG221" s="243"/>
      <c r="YH221" s="243"/>
      <c r="YI221" s="243"/>
      <c r="YJ221" s="243"/>
      <c r="YK221" s="243"/>
      <c r="YL221" s="243"/>
      <c r="YM221" s="243"/>
      <c r="YN221" s="243"/>
      <c r="YO221" s="243"/>
      <c r="YP221" s="243"/>
      <c r="YQ221" s="243"/>
      <c r="YR221" s="243"/>
      <c r="YS221" s="243"/>
      <c r="YT221" s="243"/>
      <c r="YU221" s="243"/>
      <c r="YV221" s="243"/>
      <c r="YW221" s="243"/>
      <c r="YX221" s="243"/>
      <c r="YY221" s="243"/>
      <c r="YZ221" s="243"/>
      <c r="ZA221" s="243"/>
      <c r="ZB221" s="243"/>
      <c r="ZC221" s="243"/>
      <c r="ZD221" s="243"/>
      <c r="ZE221" s="243"/>
      <c r="ZF221" s="243"/>
      <c r="ZG221" s="243"/>
      <c r="ZH221" s="243"/>
      <c r="ZI221" s="243"/>
      <c r="ZJ221" s="243"/>
      <c r="ZK221" s="243"/>
      <c r="ZL221" s="243"/>
      <c r="ZM221" s="243"/>
      <c r="ZN221" s="243"/>
      <c r="ZO221" s="243"/>
      <c r="ZP221" s="243"/>
      <c r="ZQ221" s="243"/>
      <c r="ZR221" s="243"/>
      <c r="ZS221" s="243"/>
      <c r="ZT221" s="243"/>
      <c r="ZU221" s="243"/>
      <c r="ZV221" s="243"/>
      <c r="ZW221" s="243"/>
      <c r="ZX221" s="243"/>
      <c r="ZY221" s="243"/>
      <c r="ZZ221" s="243"/>
      <c r="AAA221" s="243"/>
      <c r="AAB221" s="243"/>
      <c r="AAC221" s="243"/>
      <c r="AAD221" s="243"/>
      <c r="AAE221" s="243"/>
      <c r="AAF221" s="243"/>
      <c r="AAG221" s="243"/>
      <c r="AAH221" s="243"/>
      <c r="AAI221" s="243"/>
      <c r="AAJ221" s="243"/>
      <c r="AAK221" s="243"/>
      <c r="AAL221" s="243"/>
      <c r="AAM221" s="243"/>
      <c r="AAN221" s="243"/>
      <c r="AAO221" s="243"/>
      <c r="AAP221" s="243"/>
      <c r="AAQ221" s="243"/>
      <c r="AAR221" s="243"/>
      <c r="AAS221" s="243"/>
      <c r="AAT221" s="243"/>
      <c r="AAU221" s="243"/>
      <c r="AAV221" s="243"/>
      <c r="AAW221" s="243"/>
      <c r="AAX221" s="243"/>
      <c r="AAY221" s="243"/>
      <c r="AAZ221" s="243"/>
      <c r="ABA221" s="243"/>
      <c r="ABB221" s="243"/>
      <c r="ABC221" s="243"/>
      <c r="ABD221" s="243"/>
      <c r="ABE221" s="243"/>
      <c r="ABF221" s="243"/>
      <c r="ABG221" s="243"/>
      <c r="ABH221" s="243"/>
      <c r="ABI221" s="243"/>
      <c r="ABJ221" s="243"/>
      <c r="ABK221" s="243"/>
      <c r="ABL221" s="243"/>
      <c r="ABM221" s="243"/>
      <c r="ABN221" s="243"/>
      <c r="ABO221" s="243"/>
      <c r="ABP221" s="243"/>
      <c r="ABQ221" s="243"/>
      <c r="ABR221" s="243"/>
      <c r="ABS221" s="243"/>
      <c r="ABT221" s="243"/>
      <c r="ABU221" s="243"/>
      <c r="ABV221" s="243"/>
      <c r="ABW221" s="243"/>
      <c r="ABX221" s="243"/>
      <c r="ABY221" s="243"/>
      <c r="ABZ221" s="243"/>
      <c r="ACA221" s="243"/>
      <c r="ACB221" s="243"/>
      <c r="ACC221" s="243"/>
      <c r="ACD221" s="243"/>
      <c r="ACE221" s="243"/>
      <c r="ACF221" s="243"/>
      <c r="ACG221" s="243"/>
      <c r="ACH221" s="243"/>
      <c r="ACI221" s="243"/>
      <c r="ACJ221" s="243"/>
      <c r="ACK221" s="243"/>
      <c r="ACL221" s="243"/>
      <c r="ACM221" s="243"/>
      <c r="ACN221" s="243"/>
      <c r="ACO221" s="243"/>
      <c r="ACP221" s="243"/>
      <c r="ACQ221" s="243"/>
      <c r="ACR221" s="243"/>
      <c r="ACS221" s="243"/>
      <c r="ACT221" s="243"/>
      <c r="ACU221" s="243"/>
      <c r="ACV221" s="243"/>
      <c r="ACW221" s="243"/>
      <c r="ACX221" s="243"/>
      <c r="ACY221" s="243"/>
      <c r="ACZ221" s="243"/>
      <c r="ADA221" s="243"/>
      <c r="ADB221" s="243"/>
      <c r="ADC221" s="243"/>
      <c r="ADD221" s="243"/>
      <c r="ADE221" s="243"/>
      <c r="ADF221" s="243"/>
      <c r="ADG221" s="243"/>
      <c r="ADH221" s="243"/>
      <c r="ADI221" s="243"/>
      <c r="ADJ221" s="243"/>
      <c r="ADK221" s="243"/>
      <c r="ADL221" s="243"/>
      <c r="ADM221" s="243"/>
      <c r="ADN221" s="243"/>
      <c r="ADO221" s="243"/>
      <c r="ADP221" s="243"/>
      <c r="ADQ221" s="243"/>
      <c r="ADR221" s="243"/>
      <c r="ADS221" s="243"/>
      <c r="ADT221" s="243"/>
      <c r="ADU221" s="243"/>
      <c r="ADV221" s="243"/>
      <c r="ADW221" s="243"/>
      <c r="ADX221" s="243"/>
      <c r="ADY221" s="243"/>
      <c r="ADZ221" s="243"/>
      <c r="AEA221" s="243"/>
      <c r="AEB221" s="243"/>
      <c r="AEC221" s="243"/>
      <c r="AED221" s="243"/>
      <c r="AEE221" s="243"/>
      <c r="AEF221" s="243"/>
      <c r="AEG221" s="243"/>
      <c r="AEH221" s="243"/>
      <c r="AEI221" s="243"/>
      <c r="AEJ221" s="243"/>
      <c r="AEK221" s="243"/>
      <c r="AEL221" s="243"/>
      <c r="AEM221" s="243"/>
      <c r="AEN221" s="243"/>
      <c r="AEO221" s="243"/>
      <c r="AEP221" s="243"/>
      <c r="AEQ221" s="243"/>
      <c r="AER221" s="243"/>
      <c r="AES221" s="243"/>
      <c r="AET221" s="243"/>
      <c r="AEU221" s="243"/>
      <c r="AEV221" s="243"/>
      <c r="AEW221" s="243"/>
      <c r="AEX221" s="243"/>
      <c r="AEY221" s="243"/>
      <c r="AEZ221" s="243"/>
      <c r="AFA221" s="243"/>
      <c r="AFB221" s="243"/>
      <c r="AFC221" s="243"/>
      <c r="AFD221" s="243"/>
      <c r="AFE221" s="243"/>
      <c r="AFF221" s="243"/>
      <c r="AFG221" s="243"/>
      <c r="AFH221" s="243"/>
      <c r="AFI221" s="243"/>
      <c r="AFJ221" s="243"/>
      <c r="AFK221" s="243"/>
      <c r="AFL221" s="243"/>
      <c r="AFM221" s="243"/>
      <c r="AFN221" s="243"/>
      <c r="AFO221" s="243"/>
      <c r="AFP221" s="243"/>
      <c r="AFQ221" s="243"/>
      <c r="AFR221" s="243"/>
      <c r="AFS221" s="243"/>
      <c r="AFT221" s="243"/>
      <c r="AFU221" s="243"/>
      <c r="AFV221" s="243"/>
      <c r="AFW221" s="243"/>
      <c r="AFX221" s="243"/>
      <c r="AFY221" s="243"/>
      <c r="AFZ221" s="243"/>
      <c r="AGA221" s="243"/>
      <c r="AGB221" s="243"/>
      <c r="AGC221" s="243"/>
      <c r="AGD221" s="243"/>
      <c r="AGE221" s="243"/>
      <c r="AGF221" s="243"/>
      <c r="AGG221" s="243"/>
      <c r="AGH221" s="243"/>
      <c r="AGI221" s="243"/>
      <c r="AGJ221" s="243"/>
      <c r="AGK221" s="243"/>
      <c r="AGL221" s="243"/>
      <c r="AGM221" s="243"/>
      <c r="AGN221" s="243"/>
      <c r="AGO221" s="243"/>
      <c r="AGP221" s="243"/>
      <c r="AGQ221" s="243"/>
      <c r="AGR221" s="243"/>
      <c r="AGS221" s="243"/>
      <c r="AGT221" s="243"/>
      <c r="AGU221" s="243"/>
      <c r="AGV221" s="243"/>
      <c r="AGW221" s="243"/>
      <c r="AGX221" s="243"/>
      <c r="AGY221" s="243"/>
      <c r="AGZ221" s="243"/>
      <c r="AHA221" s="243"/>
      <c r="AHB221" s="243"/>
      <c r="AHC221" s="243"/>
      <c r="AHD221" s="243"/>
      <c r="AHE221" s="243"/>
      <c r="AHF221" s="243"/>
      <c r="AHG221" s="243"/>
      <c r="AHH221" s="243"/>
      <c r="AHI221" s="243"/>
      <c r="AHJ221" s="243"/>
      <c r="AHK221" s="243"/>
      <c r="AHL221" s="243"/>
      <c r="AHM221" s="243"/>
      <c r="AHN221" s="243"/>
      <c r="AHO221" s="243"/>
      <c r="AHP221" s="243"/>
      <c r="AHQ221" s="243"/>
      <c r="AHR221" s="243"/>
      <c r="AHS221" s="243"/>
      <c r="AHT221" s="243"/>
      <c r="AHU221" s="243"/>
      <c r="AHV221" s="243"/>
      <c r="AHW221" s="243"/>
      <c r="AHX221" s="243"/>
      <c r="AHY221" s="243"/>
      <c r="AHZ221" s="243"/>
      <c r="AIA221" s="243"/>
      <c r="AIB221" s="243"/>
      <c r="AIC221" s="243"/>
      <c r="AID221" s="243"/>
      <c r="AIE221" s="243"/>
      <c r="AIF221" s="243"/>
      <c r="AIG221" s="243"/>
      <c r="AIH221" s="243"/>
      <c r="AII221" s="243"/>
      <c r="AIJ221" s="243"/>
      <c r="AIK221" s="243"/>
      <c r="AIL221" s="243"/>
      <c r="AIM221" s="243"/>
      <c r="AIN221" s="243"/>
      <c r="AIO221" s="243"/>
      <c r="AIP221" s="243"/>
      <c r="AIQ221" s="243"/>
      <c r="AIR221" s="243"/>
      <c r="AIS221" s="243"/>
      <c r="AIT221" s="243"/>
      <c r="AIU221" s="243"/>
      <c r="AIV221" s="243"/>
      <c r="AIW221" s="243"/>
      <c r="AIX221" s="243"/>
      <c r="AIY221" s="243"/>
      <c r="AIZ221" s="243"/>
      <c r="AJA221" s="243"/>
      <c r="AJB221" s="243"/>
      <c r="AJC221" s="243"/>
      <c r="AJD221" s="243"/>
      <c r="AJE221" s="243"/>
      <c r="AJF221" s="243"/>
      <c r="AJG221" s="243"/>
      <c r="AJH221" s="243"/>
      <c r="AJI221" s="243"/>
      <c r="AJJ221" s="243"/>
      <c r="AJK221" s="243"/>
      <c r="AJL221" s="243"/>
      <c r="AJM221" s="243"/>
      <c r="AJN221" s="243"/>
      <c r="AJO221" s="243"/>
      <c r="AJP221" s="243"/>
      <c r="AJQ221" s="243"/>
      <c r="AJR221" s="243"/>
      <c r="AJS221" s="243"/>
      <c r="AJT221" s="243"/>
      <c r="AJU221" s="243"/>
      <c r="AJV221" s="243"/>
      <c r="AJW221" s="243"/>
      <c r="AJX221" s="243"/>
      <c r="AJY221" s="243"/>
      <c r="AJZ221" s="243"/>
      <c r="AKA221" s="243"/>
      <c r="AKB221" s="243"/>
      <c r="AKC221" s="243"/>
      <c r="AKD221" s="243"/>
      <c r="AKE221" s="243"/>
      <c r="AKF221" s="243"/>
      <c r="AKG221" s="243"/>
      <c r="AKH221" s="243"/>
      <c r="AKI221" s="243"/>
      <c r="AKJ221" s="243"/>
      <c r="AKK221" s="243"/>
      <c r="AKL221" s="243"/>
      <c r="AKM221" s="243"/>
      <c r="AKN221" s="243"/>
      <c r="AKO221" s="243"/>
      <c r="AKP221" s="243"/>
      <c r="AKQ221" s="243"/>
      <c r="AKR221" s="243"/>
      <c r="AKS221" s="243"/>
      <c r="AKT221" s="243"/>
      <c r="AKU221" s="243"/>
      <c r="AKV221" s="243"/>
      <c r="AKW221" s="243"/>
      <c r="AKX221" s="243"/>
      <c r="AKY221" s="243"/>
      <c r="AKZ221" s="243"/>
      <c r="ALA221" s="243"/>
      <c r="ALB221" s="243"/>
      <c r="ALC221" s="243"/>
      <c r="ALD221" s="243"/>
      <c r="ALE221" s="243"/>
      <c r="ALF221" s="243"/>
      <c r="ALG221" s="243"/>
      <c r="ALH221" s="243"/>
      <c r="ALI221" s="243"/>
      <c r="ALJ221" s="243"/>
      <c r="ALK221" s="243"/>
      <c r="ALL221" s="243"/>
      <c r="ALM221" s="243"/>
      <c r="ALN221" s="243"/>
      <c r="ALO221" s="243"/>
      <c r="ALP221" s="243"/>
      <c r="ALQ221" s="243"/>
      <c r="ALR221" s="243"/>
      <c r="ALS221" s="243"/>
      <c r="ALT221" s="243"/>
      <c r="ALU221" s="243"/>
      <c r="ALV221" s="243"/>
      <c r="ALW221" s="243"/>
      <c r="ALX221" s="243"/>
      <c r="ALY221" s="243"/>
      <c r="ALZ221" s="243"/>
      <c r="AMA221" s="243"/>
      <c r="AMB221" s="243"/>
      <c r="AMC221" s="243"/>
      <c r="AMD221" s="243"/>
      <c r="AME221" s="243"/>
      <c r="AMF221" s="243"/>
      <c r="AMG221" s="243"/>
      <c r="AMH221" s="243"/>
      <c r="AMI221" s="244"/>
      <c r="AMJ221" s="244"/>
    </row>
    <row r="222" spans="1:1024">
      <c r="A222" s="912"/>
      <c r="B222" s="405"/>
      <c r="C222" s="404"/>
      <c r="D222" s="405" t="s">
        <v>152</v>
      </c>
      <c r="E222" s="406"/>
      <c r="F222" s="405"/>
      <c r="G222" s="405"/>
      <c r="H222" s="405" t="s">
        <v>123</v>
      </c>
      <c r="I222" s="514" t="s">
        <v>124</v>
      </c>
      <c r="J222" s="405"/>
      <c r="K222" s="407"/>
      <c r="L222" s="407" t="s">
        <v>153</v>
      </c>
      <c r="M222" s="396"/>
      <c r="N222" s="396"/>
      <c r="O222" s="377"/>
      <c r="P222" s="377"/>
      <c r="Q222" s="377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  <c r="AH222" s="243"/>
      <c r="AI222" s="243"/>
      <c r="AJ222" s="243"/>
      <c r="AK222" s="243"/>
      <c r="AL222" s="243"/>
      <c r="AM222" s="243"/>
      <c r="AN222" s="243"/>
      <c r="AO222" s="243"/>
      <c r="AP222" s="243"/>
      <c r="AQ222" s="243"/>
      <c r="AR222" s="243"/>
      <c r="AS222" s="243"/>
      <c r="AT222" s="243"/>
      <c r="AU222" s="243"/>
      <c r="AV222" s="243"/>
      <c r="AW222" s="243"/>
      <c r="AX222" s="243"/>
      <c r="AY222" s="243"/>
      <c r="AZ222" s="243"/>
      <c r="BA222" s="243"/>
      <c r="BB222" s="243"/>
      <c r="BC222" s="243"/>
      <c r="BD222" s="243"/>
      <c r="BE222" s="243"/>
      <c r="BF222" s="243"/>
      <c r="BG222" s="243"/>
      <c r="BH222" s="243"/>
      <c r="BI222" s="243"/>
      <c r="BJ222" s="243"/>
      <c r="BK222" s="243"/>
      <c r="BL222" s="243"/>
      <c r="BM222" s="243"/>
      <c r="BN222" s="243"/>
      <c r="BO222" s="243"/>
      <c r="BP222" s="243"/>
      <c r="BQ222" s="243"/>
      <c r="BR222" s="243"/>
      <c r="BS222" s="243"/>
      <c r="BT222" s="243"/>
      <c r="BU222" s="243"/>
      <c r="BV222" s="243"/>
      <c r="BW222" s="243"/>
      <c r="BX222" s="243"/>
      <c r="BY222" s="243"/>
      <c r="BZ222" s="243"/>
      <c r="CA222" s="243"/>
      <c r="CB222" s="243"/>
      <c r="CC222" s="243"/>
      <c r="CD222" s="243"/>
      <c r="CE222" s="243"/>
      <c r="CF222" s="243"/>
      <c r="CG222" s="243"/>
      <c r="CH222" s="243"/>
      <c r="CI222" s="243"/>
      <c r="CJ222" s="243"/>
      <c r="CK222" s="243"/>
      <c r="CL222" s="243"/>
      <c r="CM222" s="243"/>
      <c r="CN222" s="243"/>
      <c r="CO222" s="243"/>
      <c r="CP222" s="243"/>
      <c r="CQ222" s="243"/>
      <c r="CR222" s="243"/>
      <c r="CS222" s="243"/>
      <c r="CT222" s="243"/>
      <c r="CU222" s="243"/>
      <c r="CV222" s="243"/>
      <c r="CW222" s="243"/>
      <c r="CX222" s="243"/>
      <c r="CY222" s="243"/>
      <c r="CZ222" s="243"/>
      <c r="DA222" s="243"/>
      <c r="DB222" s="243"/>
      <c r="DC222" s="243"/>
      <c r="DD222" s="243"/>
      <c r="DE222" s="243"/>
      <c r="DF222" s="243"/>
      <c r="DG222" s="243"/>
      <c r="DH222" s="243"/>
      <c r="DI222" s="243"/>
      <c r="DJ222" s="243"/>
      <c r="DK222" s="243"/>
      <c r="DL222" s="243"/>
      <c r="DM222" s="243"/>
      <c r="DN222" s="243"/>
      <c r="DO222" s="243"/>
      <c r="DP222" s="243"/>
      <c r="DQ222" s="243"/>
      <c r="DR222" s="243"/>
      <c r="DS222" s="243"/>
      <c r="DT222" s="243"/>
      <c r="DU222" s="243"/>
      <c r="DV222" s="243"/>
      <c r="DW222" s="243"/>
      <c r="DX222" s="243"/>
      <c r="DY222" s="243"/>
      <c r="DZ222" s="243"/>
      <c r="EA222" s="243"/>
      <c r="EB222" s="243"/>
      <c r="EC222" s="243"/>
      <c r="ED222" s="243"/>
      <c r="EE222" s="243"/>
      <c r="EF222" s="243"/>
      <c r="EG222" s="243"/>
      <c r="EH222" s="243"/>
      <c r="EI222" s="243"/>
      <c r="EJ222" s="243"/>
      <c r="EK222" s="243"/>
      <c r="EL222" s="243"/>
      <c r="EM222" s="243"/>
      <c r="EN222" s="243"/>
      <c r="EO222" s="243"/>
      <c r="EP222" s="243"/>
      <c r="EQ222" s="243"/>
      <c r="ER222" s="243"/>
      <c r="ES222" s="243"/>
      <c r="ET222" s="243"/>
      <c r="EU222" s="243"/>
      <c r="EV222" s="243"/>
      <c r="EW222" s="243"/>
      <c r="EX222" s="243"/>
      <c r="EY222" s="243"/>
      <c r="EZ222" s="243"/>
      <c r="FA222" s="243"/>
      <c r="FB222" s="243"/>
      <c r="FC222" s="243"/>
      <c r="FD222" s="243"/>
      <c r="FE222" s="243"/>
      <c r="FF222" s="243"/>
      <c r="FG222" s="243"/>
      <c r="FH222" s="243"/>
      <c r="FI222" s="243"/>
      <c r="FJ222" s="243"/>
      <c r="FK222" s="243"/>
      <c r="FL222" s="243"/>
      <c r="FM222" s="243"/>
      <c r="FN222" s="243"/>
      <c r="FO222" s="243"/>
      <c r="FP222" s="243"/>
      <c r="FQ222" s="243"/>
      <c r="FR222" s="243"/>
      <c r="FS222" s="243"/>
      <c r="FT222" s="243"/>
      <c r="FU222" s="243"/>
      <c r="FV222" s="243"/>
      <c r="FW222" s="243"/>
      <c r="FX222" s="243"/>
      <c r="FY222" s="243"/>
      <c r="FZ222" s="243"/>
      <c r="GA222" s="243"/>
      <c r="GB222" s="243"/>
      <c r="GC222" s="243"/>
      <c r="GD222" s="243"/>
      <c r="GE222" s="243"/>
      <c r="GF222" s="243"/>
      <c r="GG222" s="243"/>
      <c r="GH222" s="243"/>
      <c r="GI222" s="243"/>
      <c r="GJ222" s="243"/>
      <c r="GK222" s="243"/>
      <c r="GL222" s="243"/>
      <c r="GM222" s="243"/>
      <c r="GN222" s="243"/>
      <c r="GO222" s="243"/>
      <c r="GP222" s="243"/>
      <c r="GQ222" s="243"/>
      <c r="GR222" s="243"/>
      <c r="GS222" s="243"/>
      <c r="GT222" s="243"/>
      <c r="GU222" s="243"/>
      <c r="GV222" s="243"/>
      <c r="GW222" s="243"/>
      <c r="GX222" s="243"/>
      <c r="GY222" s="243"/>
      <c r="GZ222" s="243"/>
      <c r="HA222" s="243"/>
      <c r="HB222" s="243"/>
      <c r="HC222" s="243"/>
      <c r="HD222" s="243"/>
      <c r="HE222" s="243"/>
      <c r="HF222" s="243"/>
      <c r="HG222" s="243"/>
      <c r="HH222" s="243"/>
      <c r="HI222" s="243"/>
      <c r="HJ222" s="243"/>
      <c r="HK222" s="243"/>
      <c r="HL222" s="243"/>
      <c r="HM222" s="243"/>
      <c r="HN222" s="243"/>
      <c r="HO222" s="243"/>
      <c r="HP222" s="243"/>
      <c r="HQ222" s="243"/>
      <c r="HR222" s="243"/>
      <c r="HS222" s="243"/>
      <c r="HT222" s="243"/>
      <c r="HU222" s="243"/>
      <c r="HV222" s="243"/>
      <c r="HW222" s="243"/>
      <c r="HX222" s="243"/>
      <c r="HY222" s="243"/>
      <c r="HZ222" s="243"/>
      <c r="IA222" s="243"/>
      <c r="IB222" s="243"/>
      <c r="IC222" s="243"/>
      <c r="ID222" s="243"/>
      <c r="IE222" s="243"/>
      <c r="IF222" s="243"/>
      <c r="IG222" s="243"/>
      <c r="IH222" s="243"/>
      <c r="II222" s="243"/>
      <c r="IJ222" s="243"/>
      <c r="IK222" s="243"/>
      <c r="IL222" s="243"/>
      <c r="IM222" s="243"/>
      <c r="IN222" s="243"/>
      <c r="IO222" s="243"/>
      <c r="IP222" s="243"/>
      <c r="IQ222" s="243"/>
      <c r="IR222" s="243"/>
      <c r="IS222" s="243"/>
      <c r="IT222" s="243"/>
      <c r="IU222" s="243"/>
      <c r="IV222" s="243"/>
      <c r="IW222" s="243"/>
      <c r="IX222" s="243"/>
      <c r="IY222" s="243"/>
      <c r="IZ222" s="243"/>
      <c r="JA222" s="243"/>
      <c r="JB222" s="243"/>
      <c r="JC222" s="243"/>
      <c r="JD222" s="243"/>
      <c r="JE222" s="243"/>
      <c r="JF222" s="243"/>
      <c r="JG222" s="243"/>
      <c r="JH222" s="243"/>
      <c r="JI222" s="243"/>
      <c r="JJ222" s="243"/>
      <c r="JK222" s="243"/>
      <c r="JL222" s="243"/>
      <c r="JM222" s="243"/>
      <c r="JN222" s="243"/>
      <c r="JO222" s="243"/>
      <c r="JP222" s="243"/>
      <c r="JQ222" s="243"/>
      <c r="JR222" s="243"/>
      <c r="JS222" s="243"/>
      <c r="JT222" s="243"/>
      <c r="JU222" s="243"/>
      <c r="JV222" s="243"/>
      <c r="JW222" s="243"/>
      <c r="JX222" s="243"/>
      <c r="JY222" s="243"/>
      <c r="JZ222" s="243"/>
      <c r="KA222" s="243"/>
      <c r="KB222" s="243"/>
      <c r="KC222" s="243"/>
      <c r="KD222" s="243"/>
      <c r="KE222" s="243"/>
      <c r="KF222" s="243"/>
      <c r="KG222" s="243"/>
      <c r="KH222" s="243"/>
      <c r="KI222" s="243"/>
      <c r="KJ222" s="243"/>
      <c r="KK222" s="243"/>
      <c r="KL222" s="243"/>
      <c r="KM222" s="243"/>
      <c r="KN222" s="243"/>
      <c r="KO222" s="243"/>
      <c r="KP222" s="243"/>
      <c r="KQ222" s="243"/>
      <c r="KR222" s="243"/>
      <c r="KS222" s="243"/>
      <c r="KT222" s="243"/>
      <c r="KU222" s="243"/>
      <c r="KV222" s="243"/>
      <c r="KW222" s="243"/>
      <c r="KX222" s="243"/>
      <c r="KY222" s="243"/>
      <c r="KZ222" s="243"/>
      <c r="LA222" s="243"/>
      <c r="LB222" s="243"/>
      <c r="LC222" s="243"/>
      <c r="LD222" s="243"/>
      <c r="LE222" s="243"/>
      <c r="LF222" s="243"/>
      <c r="LG222" s="243"/>
      <c r="LH222" s="243"/>
      <c r="LI222" s="243"/>
      <c r="LJ222" s="243"/>
      <c r="LK222" s="243"/>
      <c r="LL222" s="243"/>
      <c r="LM222" s="243"/>
      <c r="LN222" s="243"/>
      <c r="LO222" s="243"/>
      <c r="LP222" s="243"/>
      <c r="LQ222" s="243"/>
      <c r="LR222" s="243"/>
      <c r="LS222" s="243"/>
      <c r="LT222" s="243"/>
      <c r="LU222" s="243"/>
      <c r="LV222" s="243"/>
      <c r="LW222" s="243"/>
      <c r="LX222" s="243"/>
      <c r="LY222" s="243"/>
      <c r="LZ222" s="243"/>
      <c r="MA222" s="243"/>
      <c r="MB222" s="243"/>
      <c r="MC222" s="243"/>
      <c r="MD222" s="243"/>
      <c r="ME222" s="243"/>
      <c r="MF222" s="243"/>
      <c r="MG222" s="243"/>
      <c r="MH222" s="243"/>
      <c r="MI222" s="243"/>
      <c r="MJ222" s="243"/>
      <c r="MK222" s="243"/>
      <c r="ML222" s="243"/>
      <c r="MM222" s="243"/>
      <c r="MN222" s="243"/>
      <c r="MO222" s="243"/>
      <c r="MP222" s="243"/>
      <c r="MQ222" s="243"/>
      <c r="MR222" s="243"/>
      <c r="MS222" s="243"/>
      <c r="MT222" s="243"/>
      <c r="MU222" s="243"/>
      <c r="MV222" s="243"/>
      <c r="MW222" s="243"/>
      <c r="MX222" s="243"/>
      <c r="MY222" s="243"/>
      <c r="MZ222" s="243"/>
      <c r="NA222" s="243"/>
      <c r="NB222" s="243"/>
      <c r="NC222" s="243"/>
      <c r="ND222" s="243"/>
      <c r="NE222" s="243"/>
      <c r="NF222" s="243"/>
      <c r="NG222" s="243"/>
      <c r="NH222" s="243"/>
      <c r="NI222" s="243"/>
      <c r="NJ222" s="243"/>
      <c r="NK222" s="243"/>
      <c r="NL222" s="243"/>
      <c r="NM222" s="243"/>
      <c r="NN222" s="243"/>
      <c r="NO222" s="243"/>
      <c r="NP222" s="243"/>
      <c r="NQ222" s="243"/>
      <c r="NR222" s="243"/>
      <c r="NS222" s="243"/>
      <c r="NT222" s="243"/>
      <c r="NU222" s="243"/>
      <c r="NV222" s="243"/>
      <c r="NW222" s="243"/>
      <c r="NX222" s="243"/>
      <c r="NY222" s="243"/>
      <c r="NZ222" s="243"/>
      <c r="OA222" s="243"/>
      <c r="OB222" s="243"/>
      <c r="OC222" s="243"/>
      <c r="OD222" s="243"/>
      <c r="OE222" s="243"/>
      <c r="OF222" s="243"/>
      <c r="OG222" s="243"/>
      <c r="OH222" s="243"/>
      <c r="OI222" s="243"/>
      <c r="OJ222" s="243"/>
      <c r="OK222" s="243"/>
      <c r="OL222" s="243"/>
      <c r="OM222" s="243"/>
      <c r="ON222" s="243"/>
      <c r="OO222" s="243"/>
      <c r="OP222" s="243"/>
      <c r="OQ222" s="243"/>
      <c r="OR222" s="243"/>
      <c r="OS222" s="243"/>
      <c r="OT222" s="243"/>
      <c r="OU222" s="243"/>
      <c r="OV222" s="243"/>
      <c r="OW222" s="243"/>
      <c r="OX222" s="243"/>
      <c r="OY222" s="243"/>
      <c r="OZ222" s="243"/>
      <c r="PA222" s="243"/>
      <c r="PB222" s="243"/>
      <c r="PC222" s="243"/>
      <c r="PD222" s="243"/>
      <c r="PE222" s="243"/>
      <c r="PF222" s="243"/>
      <c r="PG222" s="243"/>
      <c r="PH222" s="243"/>
      <c r="PI222" s="243"/>
      <c r="PJ222" s="243"/>
      <c r="PK222" s="243"/>
      <c r="PL222" s="243"/>
      <c r="PM222" s="243"/>
      <c r="PN222" s="243"/>
      <c r="PO222" s="243"/>
      <c r="PP222" s="243"/>
      <c r="PQ222" s="243"/>
      <c r="PR222" s="243"/>
      <c r="PS222" s="243"/>
      <c r="PT222" s="243"/>
      <c r="PU222" s="243"/>
      <c r="PV222" s="243"/>
      <c r="PW222" s="243"/>
      <c r="PX222" s="243"/>
      <c r="PY222" s="243"/>
      <c r="PZ222" s="243"/>
      <c r="QA222" s="243"/>
      <c r="QB222" s="243"/>
      <c r="QC222" s="243"/>
      <c r="QD222" s="243"/>
      <c r="QE222" s="243"/>
      <c r="QF222" s="243"/>
      <c r="QG222" s="243"/>
      <c r="QH222" s="243"/>
      <c r="QI222" s="243"/>
      <c r="QJ222" s="243"/>
      <c r="QK222" s="243"/>
      <c r="QL222" s="243"/>
      <c r="QM222" s="243"/>
      <c r="QN222" s="243"/>
      <c r="QO222" s="243"/>
      <c r="QP222" s="243"/>
      <c r="QQ222" s="243"/>
      <c r="QR222" s="243"/>
      <c r="QS222" s="243"/>
      <c r="QT222" s="243"/>
      <c r="QU222" s="243"/>
      <c r="QV222" s="243"/>
      <c r="QW222" s="243"/>
      <c r="QX222" s="243"/>
      <c r="QY222" s="243"/>
      <c r="QZ222" s="243"/>
      <c r="RA222" s="243"/>
      <c r="RB222" s="243"/>
      <c r="RC222" s="243"/>
      <c r="RD222" s="243"/>
      <c r="RE222" s="243"/>
      <c r="RF222" s="243"/>
      <c r="RG222" s="243"/>
      <c r="RH222" s="243"/>
      <c r="RI222" s="243"/>
      <c r="RJ222" s="243"/>
      <c r="RK222" s="243"/>
      <c r="RL222" s="243"/>
      <c r="RM222" s="243"/>
      <c r="RN222" s="243"/>
      <c r="RO222" s="243"/>
      <c r="RP222" s="243"/>
      <c r="RQ222" s="243"/>
      <c r="RR222" s="243"/>
      <c r="RS222" s="243"/>
      <c r="RT222" s="243"/>
      <c r="RU222" s="243"/>
      <c r="RV222" s="243"/>
      <c r="RW222" s="243"/>
      <c r="RX222" s="243"/>
      <c r="RY222" s="243"/>
      <c r="RZ222" s="243"/>
      <c r="SA222" s="243"/>
      <c r="SB222" s="243"/>
      <c r="SC222" s="243"/>
      <c r="SD222" s="243"/>
      <c r="SE222" s="243"/>
      <c r="SF222" s="243"/>
      <c r="SG222" s="243"/>
      <c r="SH222" s="243"/>
      <c r="SI222" s="243"/>
      <c r="SJ222" s="243"/>
      <c r="SK222" s="243"/>
      <c r="SL222" s="243"/>
      <c r="SM222" s="243"/>
      <c r="SN222" s="243"/>
      <c r="SO222" s="243"/>
      <c r="SP222" s="243"/>
      <c r="SQ222" s="243"/>
      <c r="SR222" s="243"/>
      <c r="SS222" s="243"/>
      <c r="ST222" s="243"/>
      <c r="SU222" s="243"/>
      <c r="SV222" s="243"/>
      <c r="SW222" s="243"/>
      <c r="SX222" s="243"/>
      <c r="SY222" s="243"/>
      <c r="SZ222" s="243"/>
      <c r="TA222" s="243"/>
      <c r="TB222" s="243"/>
      <c r="TC222" s="243"/>
      <c r="TD222" s="243"/>
      <c r="TE222" s="243"/>
      <c r="TF222" s="243"/>
      <c r="TG222" s="243"/>
      <c r="TH222" s="243"/>
      <c r="TI222" s="243"/>
      <c r="TJ222" s="243"/>
      <c r="TK222" s="243"/>
      <c r="TL222" s="243"/>
      <c r="TM222" s="243"/>
      <c r="TN222" s="243"/>
      <c r="TO222" s="243"/>
      <c r="TP222" s="243"/>
      <c r="TQ222" s="243"/>
      <c r="TR222" s="243"/>
      <c r="TS222" s="243"/>
      <c r="TT222" s="243"/>
      <c r="TU222" s="243"/>
      <c r="TV222" s="243"/>
      <c r="TW222" s="243"/>
      <c r="TX222" s="243"/>
      <c r="TY222" s="243"/>
      <c r="TZ222" s="243"/>
      <c r="UA222" s="243"/>
      <c r="UB222" s="243"/>
      <c r="UC222" s="243"/>
      <c r="UD222" s="243"/>
      <c r="UE222" s="243"/>
      <c r="UF222" s="243"/>
      <c r="UG222" s="243"/>
      <c r="UH222" s="243"/>
      <c r="UI222" s="243"/>
      <c r="UJ222" s="243"/>
      <c r="UK222" s="243"/>
      <c r="UL222" s="243"/>
      <c r="UM222" s="243"/>
      <c r="UN222" s="243"/>
      <c r="UO222" s="243"/>
      <c r="UP222" s="243"/>
      <c r="UQ222" s="243"/>
      <c r="UR222" s="243"/>
      <c r="US222" s="243"/>
      <c r="UT222" s="243"/>
      <c r="UU222" s="243"/>
      <c r="UV222" s="243"/>
      <c r="UW222" s="243"/>
      <c r="UX222" s="243"/>
      <c r="UY222" s="243"/>
      <c r="UZ222" s="243"/>
      <c r="VA222" s="243"/>
      <c r="VB222" s="243"/>
      <c r="VC222" s="243"/>
      <c r="VD222" s="243"/>
      <c r="VE222" s="243"/>
      <c r="VF222" s="243"/>
      <c r="VG222" s="243"/>
      <c r="VH222" s="243"/>
      <c r="VI222" s="243"/>
      <c r="VJ222" s="243"/>
      <c r="VK222" s="243"/>
      <c r="VL222" s="243"/>
      <c r="VM222" s="243"/>
      <c r="VN222" s="243"/>
      <c r="VO222" s="243"/>
      <c r="VP222" s="243"/>
      <c r="VQ222" s="243"/>
      <c r="VR222" s="243"/>
      <c r="VS222" s="243"/>
      <c r="VT222" s="243"/>
      <c r="VU222" s="243"/>
      <c r="VV222" s="243"/>
      <c r="VW222" s="243"/>
      <c r="VX222" s="243"/>
      <c r="VY222" s="243"/>
      <c r="VZ222" s="243"/>
      <c r="WA222" s="243"/>
      <c r="WB222" s="243"/>
      <c r="WC222" s="243"/>
      <c r="WD222" s="243"/>
      <c r="WE222" s="243"/>
      <c r="WF222" s="243"/>
      <c r="WG222" s="243"/>
      <c r="WH222" s="243"/>
      <c r="WI222" s="243"/>
      <c r="WJ222" s="243"/>
      <c r="WK222" s="243"/>
      <c r="WL222" s="243"/>
      <c r="WM222" s="243"/>
      <c r="WN222" s="243"/>
      <c r="WO222" s="243"/>
      <c r="WP222" s="243"/>
      <c r="WQ222" s="243"/>
      <c r="WR222" s="243"/>
      <c r="WS222" s="243"/>
      <c r="WT222" s="243"/>
      <c r="WU222" s="243"/>
      <c r="WV222" s="243"/>
      <c r="WW222" s="243"/>
      <c r="WX222" s="243"/>
      <c r="WY222" s="243"/>
      <c r="WZ222" s="243"/>
      <c r="XA222" s="243"/>
      <c r="XB222" s="243"/>
      <c r="XC222" s="243"/>
      <c r="XD222" s="243"/>
      <c r="XE222" s="243"/>
      <c r="XF222" s="243"/>
      <c r="XG222" s="243"/>
      <c r="XH222" s="243"/>
      <c r="XI222" s="243"/>
      <c r="XJ222" s="243"/>
      <c r="XK222" s="243"/>
      <c r="XL222" s="243"/>
      <c r="XM222" s="243"/>
      <c r="XN222" s="243"/>
      <c r="XO222" s="243"/>
      <c r="XP222" s="243"/>
      <c r="XQ222" s="243"/>
      <c r="XR222" s="243"/>
      <c r="XS222" s="243"/>
      <c r="XT222" s="243"/>
      <c r="XU222" s="243"/>
      <c r="XV222" s="243"/>
      <c r="XW222" s="243"/>
      <c r="XX222" s="243"/>
      <c r="XY222" s="243"/>
      <c r="XZ222" s="243"/>
      <c r="YA222" s="243"/>
      <c r="YB222" s="243"/>
      <c r="YC222" s="243"/>
      <c r="YD222" s="243"/>
      <c r="YE222" s="243"/>
      <c r="YF222" s="243"/>
      <c r="YG222" s="243"/>
      <c r="YH222" s="243"/>
      <c r="YI222" s="243"/>
      <c r="YJ222" s="243"/>
      <c r="YK222" s="243"/>
      <c r="YL222" s="243"/>
      <c r="YM222" s="243"/>
      <c r="YN222" s="243"/>
      <c r="YO222" s="243"/>
      <c r="YP222" s="243"/>
      <c r="YQ222" s="243"/>
      <c r="YR222" s="243"/>
      <c r="YS222" s="243"/>
      <c r="YT222" s="243"/>
      <c r="YU222" s="243"/>
      <c r="YV222" s="243"/>
      <c r="YW222" s="243"/>
      <c r="YX222" s="243"/>
      <c r="YY222" s="243"/>
      <c r="YZ222" s="243"/>
      <c r="ZA222" s="243"/>
      <c r="ZB222" s="243"/>
      <c r="ZC222" s="243"/>
      <c r="ZD222" s="243"/>
      <c r="ZE222" s="243"/>
      <c r="ZF222" s="243"/>
      <c r="ZG222" s="243"/>
      <c r="ZH222" s="243"/>
      <c r="ZI222" s="243"/>
      <c r="ZJ222" s="243"/>
      <c r="ZK222" s="243"/>
      <c r="ZL222" s="243"/>
      <c r="ZM222" s="243"/>
      <c r="ZN222" s="243"/>
      <c r="ZO222" s="243"/>
      <c r="ZP222" s="243"/>
      <c r="ZQ222" s="243"/>
      <c r="ZR222" s="243"/>
      <c r="ZS222" s="243"/>
      <c r="ZT222" s="243"/>
      <c r="ZU222" s="243"/>
      <c r="ZV222" s="243"/>
      <c r="ZW222" s="243"/>
      <c r="ZX222" s="243"/>
      <c r="ZY222" s="243"/>
      <c r="ZZ222" s="243"/>
      <c r="AAA222" s="243"/>
      <c r="AAB222" s="243"/>
      <c r="AAC222" s="243"/>
      <c r="AAD222" s="243"/>
      <c r="AAE222" s="243"/>
      <c r="AAF222" s="243"/>
      <c r="AAG222" s="243"/>
      <c r="AAH222" s="243"/>
      <c r="AAI222" s="243"/>
      <c r="AAJ222" s="243"/>
      <c r="AAK222" s="243"/>
      <c r="AAL222" s="243"/>
      <c r="AAM222" s="243"/>
      <c r="AAN222" s="243"/>
      <c r="AAO222" s="243"/>
      <c r="AAP222" s="243"/>
      <c r="AAQ222" s="243"/>
      <c r="AAR222" s="243"/>
      <c r="AAS222" s="243"/>
      <c r="AAT222" s="243"/>
      <c r="AAU222" s="243"/>
      <c r="AAV222" s="243"/>
      <c r="AAW222" s="243"/>
      <c r="AAX222" s="243"/>
      <c r="AAY222" s="243"/>
      <c r="AAZ222" s="243"/>
      <c r="ABA222" s="243"/>
      <c r="ABB222" s="243"/>
      <c r="ABC222" s="243"/>
      <c r="ABD222" s="243"/>
      <c r="ABE222" s="243"/>
      <c r="ABF222" s="243"/>
      <c r="ABG222" s="243"/>
      <c r="ABH222" s="243"/>
      <c r="ABI222" s="243"/>
      <c r="ABJ222" s="243"/>
      <c r="ABK222" s="243"/>
      <c r="ABL222" s="243"/>
      <c r="ABM222" s="243"/>
      <c r="ABN222" s="243"/>
      <c r="ABO222" s="243"/>
      <c r="ABP222" s="243"/>
      <c r="ABQ222" s="243"/>
      <c r="ABR222" s="243"/>
      <c r="ABS222" s="243"/>
      <c r="ABT222" s="243"/>
      <c r="ABU222" s="243"/>
      <c r="ABV222" s="243"/>
      <c r="ABW222" s="243"/>
      <c r="ABX222" s="243"/>
      <c r="ABY222" s="243"/>
      <c r="ABZ222" s="243"/>
      <c r="ACA222" s="243"/>
      <c r="ACB222" s="243"/>
      <c r="ACC222" s="243"/>
      <c r="ACD222" s="243"/>
      <c r="ACE222" s="243"/>
      <c r="ACF222" s="243"/>
      <c r="ACG222" s="243"/>
      <c r="ACH222" s="243"/>
      <c r="ACI222" s="243"/>
      <c r="ACJ222" s="243"/>
      <c r="ACK222" s="243"/>
      <c r="ACL222" s="243"/>
      <c r="ACM222" s="243"/>
      <c r="ACN222" s="243"/>
      <c r="ACO222" s="243"/>
      <c r="ACP222" s="243"/>
      <c r="ACQ222" s="243"/>
      <c r="ACR222" s="243"/>
      <c r="ACS222" s="243"/>
      <c r="ACT222" s="243"/>
      <c r="ACU222" s="243"/>
      <c r="ACV222" s="243"/>
      <c r="ACW222" s="243"/>
      <c r="ACX222" s="243"/>
      <c r="ACY222" s="243"/>
      <c r="ACZ222" s="243"/>
      <c r="ADA222" s="243"/>
      <c r="ADB222" s="243"/>
      <c r="ADC222" s="243"/>
      <c r="ADD222" s="243"/>
      <c r="ADE222" s="243"/>
      <c r="ADF222" s="243"/>
      <c r="ADG222" s="243"/>
      <c r="ADH222" s="243"/>
      <c r="ADI222" s="243"/>
      <c r="ADJ222" s="243"/>
      <c r="ADK222" s="243"/>
      <c r="ADL222" s="243"/>
      <c r="ADM222" s="243"/>
      <c r="ADN222" s="243"/>
      <c r="ADO222" s="243"/>
      <c r="ADP222" s="243"/>
      <c r="ADQ222" s="243"/>
      <c r="ADR222" s="243"/>
      <c r="ADS222" s="243"/>
      <c r="ADT222" s="243"/>
      <c r="ADU222" s="243"/>
      <c r="ADV222" s="243"/>
      <c r="ADW222" s="243"/>
      <c r="ADX222" s="243"/>
      <c r="ADY222" s="243"/>
      <c r="ADZ222" s="243"/>
      <c r="AEA222" s="243"/>
      <c r="AEB222" s="243"/>
      <c r="AEC222" s="243"/>
      <c r="AED222" s="243"/>
      <c r="AEE222" s="243"/>
      <c r="AEF222" s="243"/>
      <c r="AEG222" s="243"/>
      <c r="AEH222" s="243"/>
      <c r="AEI222" s="243"/>
      <c r="AEJ222" s="243"/>
      <c r="AEK222" s="243"/>
      <c r="AEL222" s="243"/>
      <c r="AEM222" s="243"/>
      <c r="AEN222" s="243"/>
      <c r="AEO222" s="243"/>
      <c r="AEP222" s="243"/>
      <c r="AEQ222" s="243"/>
      <c r="AER222" s="243"/>
      <c r="AES222" s="243"/>
      <c r="AET222" s="243"/>
      <c r="AEU222" s="243"/>
      <c r="AEV222" s="243"/>
      <c r="AEW222" s="243"/>
      <c r="AEX222" s="243"/>
      <c r="AEY222" s="243"/>
      <c r="AEZ222" s="243"/>
      <c r="AFA222" s="243"/>
      <c r="AFB222" s="243"/>
      <c r="AFC222" s="243"/>
      <c r="AFD222" s="243"/>
      <c r="AFE222" s="243"/>
      <c r="AFF222" s="243"/>
      <c r="AFG222" s="243"/>
      <c r="AFH222" s="243"/>
      <c r="AFI222" s="243"/>
      <c r="AFJ222" s="243"/>
      <c r="AFK222" s="243"/>
      <c r="AFL222" s="243"/>
      <c r="AFM222" s="243"/>
      <c r="AFN222" s="243"/>
      <c r="AFO222" s="243"/>
      <c r="AFP222" s="243"/>
      <c r="AFQ222" s="243"/>
      <c r="AFR222" s="243"/>
      <c r="AFS222" s="243"/>
      <c r="AFT222" s="243"/>
      <c r="AFU222" s="243"/>
      <c r="AFV222" s="243"/>
      <c r="AFW222" s="243"/>
      <c r="AFX222" s="243"/>
      <c r="AFY222" s="243"/>
      <c r="AFZ222" s="243"/>
      <c r="AGA222" s="243"/>
      <c r="AGB222" s="243"/>
      <c r="AGC222" s="243"/>
      <c r="AGD222" s="243"/>
      <c r="AGE222" s="243"/>
      <c r="AGF222" s="243"/>
      <c r="AGG222" s="243"/>
      <c r="AGH222" s="243"/>
      <c r="AGI222" s="243"/>
      <c r="AGJ222" s="243"/>
      <c r="AGK222" s="243"/>
      <c r="AGL222" s="243"/>
      <c r="AGM222" s="243"/>
      <c r="AGN222" s="243"/>
      <c r="AGO222" s="243"/>
      <c r="AGP222" s="243"/>
      <c r="AGQ222" s="243"/>
      <c r="AGR222" s="243"/>
      <c r="AGS222" s="243"/>
      <c r="AGT222" s="243"/>
      <c r="AGU222" s="243"/>
      <c r="AGV222" s="243"/>
      <c r="AGW222" s="243"/>
      <c r="AGX222" s="243"/>
      <c r="AGY222" s="243"/>
      <c r="AGZ222" s="243"/>
      <c r="AHA222" s="243"/>
      <c r="AHB222" s="243"/>
      <c r="AHC222" s="243"/>
      <c r="AHD222" s="243"/>
      <c r="AHE222" s="243"/>
      <c r="AHF222" s="243"/>
      <c r="AHG222" s="243"/>
      <c r="AHH222" s="243"/>
      <c r="AHI222" s="243"/>
      <c r="AHJ222" s="243"/>
      <c r="AHK222" s="243"/>
      <c r="AHL222" s="243"/>
      <c r="AHM222" s="243"/>
      <c r="AHN222" s="243"/>
      <c r="AHO222" s="243"/>
      <c r="AHP222" s="243"/>
      <c r="AHQ222" s="243"/>
      <c r="AHR222" s="243"/>
      <c r="AHS222" s="243"/>
      <c r="AHT222" s="243"/>
      <c r="AHU222" s="243"/>
      <c r="AHV222" s="243"/>
      <c r="AHW222" s="243"/>
      <c r="AHX222" s="243"/>
      <c r="AHY222" s="243"/>
      <c r="AHZ222" s="243"/>
      <c r="AIA222" s="243"/>
      <c r="AIB222" s="243"/>
      <c r="AIC222" s="243"/>
      <c r="AID222" s="243"/>
      <c r="AIE222" s="243"/>
      <c r="AIF222" s="243"/>
      <c r="AIG222" s="243"/>
      <c r="AIH222" s="243"/>
      <c r="AII222" s="243"/>
      <c r="AIJ222" s="243"/>
      <c r="AIK222" s="243"/>
      <c r="AIL222" s="243"/>
      <c r="AIM222" s="243"/>
      <c r="AIN222" s="243"/>
      <c r="AIO222" s="243"/>
      <c r="AIP222" s="243"/>
      <c r="AIQ222" s="243"/>
      <c r="AIR222" s="243"/>
      <c r="AIS222" s="243"/>
      <c r="AIT222" s="243"/>
      <c r="AIU222" s="243"/>
      <c r="AIV222" s="243"/>
      <c r="AIW222" s="243"/>
      <c r="AIX222" s="243"/>
      <c r="AIY222" s="243"/>
      <c r="AIZ222" s="243"/>
      <c r="AJA222" s="243"/>
      <c r="AJB222" s="243"/>
      <c r="AJC222" s="243"/>
      <c r="AJD222" s="243"/>
      <c r="AJE222" s="243"/>
      <c r="AJF222" s="243"/>
      <c r="AJG222" s="243"/>
      <c r="AJH222" s="243"/>
      <c r="AJI222" s="243"/>
      <c r="AJJ222" s="243"/>
      <c r="AJK222" s="243"/>
      <c r="AJL222" s="243"/>
      <c r="AJM222" s="243"/>
      <c r="AJN222" s="243"/>
      <c r="AJO222" s="243"/>
      <c r="AJP222" s="243"/>
      <c r="AJQ222" s="243"/>
      <c r="AJR222" s="243"/>
      <c r="AJS222" s="243"/>
      <c r="AJT222" s="243"/>
      <c r="AJU222" s="243"/>
      <c r="AJV222" s="243"/>
      <c r="AJW222" s="243"/>
      <c r="AJX222" s="243"/>
      <c r="AJY222" s="243"/>
      <c r="AJZ222" s="243"/>
      <c r="AKA222" s="243"/>
      <c r="AKB222" s="243"/>
      <c r="AKC222" s="243"/>
      <c r="AKD222" s="243"/>
      <c r="AKE222" s="243"/>
      <c r="AKF222" s="243"/>
      <c r="AKG222" s="243"/>
      <c r="AKH222" s="243"/>
      <c r="AKI222" s="243"/>
      <c r="AKJ222" s="243"/>
      <c r="AKK222" s="243"/>
      <c r="AKL222" s="243"/>
      <c r="AKM222" s="243"/>
      <c r="AKN222" s="243"/>
      <c r="AKO222" s="243"/>
      <c r="AKP222" s="243"/>
      <c r="AKQ222" s="243"/>
      <c r="AKR222" s="243"/>
      <c r="AKS222" s="243"/>
      <c r="AKT222" s="243"/>
      <c r="AKU222" s="243"/>
      <c r="AKV222" s="243"/>
      <c r="AKW222" s="243"/>
      <c r="AKX222" s="243"/>
      <c r="AKY222" s="243"/>
      <c r="AKZ222" s="243"/>
      <c r="ALA222" s="243"/>
      <c r="ALB222" s="243"/>
      <c r="ALC222" s="243"/>
      <c r="ALD222" s="243"/>
      <c r="ALE222" s="243"/>
      <c r="ALF222" s="243"/>
      <c r="ALG222" s="243"/>
      <c r="ALH222" s="243"/>
      <c r="ALI222" s="243"/>
      <c r="ALJ222" s="243"/>
      <c r="ALK222" s="243"/>
      <c r="ALL222" s="243"/>
      <c r="ALM222" s="243"/>
      <c r="ALN222" s="243"/>
      <c r="ALO222" s="243"/>
      <c r="ALP222" s="243"/>
      <c r="ALQ222" s="243"/>
      <c r="ALR222" s="243"/>
      <c r="ALS222" s="243"/>
      <c r="ALT222" s="243"/>
      <c r="ALU222" s="243"/>
      <c r="ALV222" s="243"/>
      <c r="ALW222" s="243"/>
      <c r="ALX222" s="243"/>
      <c r="ALY222" s="243"/>
      <c r="ALZ222" s="243"/>
      <c r="AMA222" s="243"/>
      <c r="AMB222" s="243"/>
      <c r="AMC222" s="243"/>
      <c r="AMD222" s="243"/>
      <c r="AME222" s="243"/>
      <c r="AMF222" s="243"/>
      <c r="AMG222" s="243"/>
      <c r="AMH222" s="243"/>
      <c r="AMI222" s="244"/>
      <c r="AMJ222" s="244"/>
    </row>
    <row r="223" spans="1:1024">
      <c r="A223" s="912"/>
      <c r="B223" s="405"/>
      <c r="C223" s="436"/>
      <c r="D223" s="405" t="s">
        <v>142</v>
      </c>
      <c r="E223" s="437"/>
      <c r="F223" s="405"/>
      <c r="G223" s="405"/>
      <c r="H223" s="407" t="s">
        <v>123</v>
      </c>
      <c r="I223" s="513" t="s">
        <v>124</v>
      </c>
      <c r="J223" s="407"/>
      <c r="K223" s="407"/>
      <c r="L223" s="407" t="s">
        <v>143</v>
      </c>
      <c r="M223" s="408"/>
      <c r="N223" s="396"/>
      <c r="O223" s="377"/>
      <c r="P223" s="377"/>
      <c r="Q223" s="377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  <c r="AH223" s="243"/>
      <c r="AI223" s="243"/>
      <c r="AJ223" s="243"/>
      <c r="AK223" s="243"/>
      <c r="AL223" s="243"/>
      <c r="AM223" s="243"/>
      <c r="AN223" s="243"/>
      <c r="AO223" s="243"/>
      <c r="AP223" s="243"/>
      <c r="AQ223" s="243"/>
      <c r="AR223" s="243"/>
      <c r="AS223" s="243"/>
      <c r="AT223" s="243"/>
      <c r="AU223" s="243"/>
      <c r="AV223" s="243"/>
      <c r="AW223" s="243"/>
      <c r="AX223" s="243"/>
      <c r="AY223" s="243"/>
      <c r="AZ223" s="243"/>
      <c r="BA223" s="243"/>
      <c r="BB223" s="243"/>
      <c r="BC223" s="243"/>
      <c r="BD223" s="243"/>
      <c r="BE223" s="243"/>
      <c r="BF223" s="243"/>
      <c r="BG223" s="243"/>
      <c r="BH223" s="243"/>
      <c r="BI223" s="243"/>
      <c r="BJ223" s="243"/>
      <c r="BK223" s="243"/>
      <c r="BL223" s="243"/>
      <c r="BM223" s="243"/>
      <c r="BN223" s="243"/>
      <c r="BO223" s="243"/>
      <c r="BP223" s="243"/>
      <c r="BQ223" s="243"/>
      <c r="BR223" s="243"/>
      <c r="BS223" s="243"/>
      <c r="BT223" s="243"/>
      <c r="BU223" s="243"/>
      <c r="BV223" s="243"/>
      <c r="BW223" s="243"/>
      <c r="BX223" s="243"/>
      <c r="BY223" s="243"/>
      <c r="BZ223" s="243"/>
      <c r="CA223" s="243"/>
      <c r="CB223" s="243"/>
      <c r="CC223" s="243"/>
      <c r="CD223" s="243"/>
      <c r="CE223" s="243"/>
      <c r="CF223" s="243"/>
      <c r="CG223" s="243"/>
      <c r="CH223" s="243"/>
      <c r="CI223" s="243"/>
      <c r="CJ223" s="243"/>
      <c r="CK223" s="243"/>
      <c r="CL223" s="243"/>
      <c r="CM223" s="243"/>
      <c r="CN223" s="243"/>
      <c r="CO223" s="243"/>
      <c r="CP223" s="243"/>
      <c r="CQ223" s="243"/>
      <c r="CR223" s="243"/>
      <c r="CS223" s="243"/>
      <c r="CT223" s="243"/>
      <c r="CU223" s="243"/>
      <c r="CV223" s="243"/>
      <c r="CW223" s="243"/>
      <c r="CX223" s="243"/>
      <c r="CY223" s="243"/>
      <c r="CZ223" s="243"/>
      <c r="DA223" s="243"/>
      <c r="DB223" s="243"/>
      <c r="DC223" s="243"/>
      <c r="DD223" s="243"/>
      <c r="DE223" s="243"/>
      <c r="DF223" s="243"/>
      <c r="DG223" s="243"/>
      <c r="DH223" s="243"/>
      <c r="DI223" s="243"/>
      <c r="DJ223" s="243"/>
      <c r="DK223" s="243"/>
      <c r="DL223" s="243"/>
      <c r="DM223" s="243"/>
      <c r="DN223" s="243"/>
      <c r="DO223" s="243"/>
      <c r="DP223" s="243"/>
      <c r="DQ223" s="243"/>
      <c r="DR223" s="243"/>
      <c r="DS223" s="243"/>
      <c r="DT223" s="243"/>
      <c r="DU223" s="243"/>
      <c r="DV223" s="243"/>
      <c r="DW223" s="243"/>
      <c r="DX223" s="243"/>
      <c r="DY223" s="243"/>
      <c r="DZ223" s="243"/>
      <c r="EA223" s="243"/>
      <c r="EB223" s="243"/>
      <c r="EC223" s="243"/>
      <c r="ED223" s="243"/>
      <c r="EE223" s="243"/>
      <c r="EF223" s="243"/>
      <c r="EG223" s="243"/>
      <c r="EH223" s="243"/>
      <c r="EI223" s="243"/>
      <c r="EJ223" s="243"/>
      <c r="EK223" s="243"/>
      <c r="EL223" s="243"/>
      <c r="EM223" s="243"/>
      <c r="EN223" s="243"/>
      <c r="EO223" s="243"/>
      <c r="EP223" s="243"/>
      <c r="EQ223" s="243"/>
      <c r="ER223" s="243"/>
      <c r="ES223" s="243"/>
      <c r="ET223" s="243"/>
      <c r="EU223" s="243"/>
      <c r="EV223" s="243"/>
      <c r="EW223" s="243"/>
      <c r="EX223" s="243"/>
      <c r="EY223" s="243"/>
      <c r="EZ223" s="243"/>
      <c r="FA223" s="243"/>
      <c r="FB223" s="243"/>
      <c r="FC223" s="243"/>
      <c r="FD223" s="243"/>
      <c r="FE223" s="243"/>
      <c r="FF223" s="243"/>
      <c r="FG223" s="243"/>
      <c r="FH223" s="243"/>
      <c r="FI223" s="243"/>
      <c r="FJ223" s="243"/>
      <c r="FK223" s="243"/>
      <c r="FL223" s="243"/>
      <c r="FM223" s="243"/>
      <c r="FN223" s="243"/>
      <c r="FO223" s="243"/>
      <c r="FP223" s="243"/>
      <c r="FQ223" s="243"/>
      <c r="FR223" s="243"/>
      <c r="FS223" s="243"/>
      <c r="FT223" s="243"/>
      <c r="FU223" s="243"/>
      <c r="FV223" s="243"/>
      <c r="FW223" s="243"/>
      <c r="FX223" s="243"/>
      <c r="FY223" s="243"/>
      <c r="FZ223" s="243"/>
      <c r="GA223" s="243"/>
      <c r="GB223" s="243"/>
      <c r="GC223" s="243"/>
      <c r="GD223" s="243"/>
      <c r="GE223" s="243"/>
      <c r="GF223" s="243"/>
      <c r="GG223" s="243"/>
      <c r="GH223" s="243"/>
      <c r="GI223" s="243"/>
      <c r="GJ223" s="243"/>
      <c r="GK223" s="243"/>
      <c r="GL223" s="243"/>
      <c r="GM223" s="243"/>
      <c r="GN223" s="243"/>
      <c r="GO223" s="243"/>
      <c r="GP223" s="243"/>
      <c r="GQ223" s="243"/>
      <c r="GR223" s="243"/>
      <c r="GS223" s="243"/>
      <c r="GT223" s="243"/>
      <c r="GU223" s="243"/>
      <c r="GV223" s="243"/>
      <c r="GW223" s="243"/>
      <c r="GX223" s="243"/>
      <c r="GY223" s="243"/>
      <c r="GZ223" s="243"/>
      <c r="HA223" s="243"/>
      <c r="HB223" s="243"/>
      <c r="HC223" s="243"/>
      <c r="HD223" s="243"/>
      <c r="HE223" s="243"/>
      <c r="HF223" s="243"/>
      <c r="HG223" s="243"/>
      <c r="HH223" s="243"/>
      <c r="HI223" s="243"/>
      <c r="HJ223" s="243"/>
      <c r="HK223" s="243"/>
      <c r="HL223" s="243"/>
      <c r="HM223" s="243"/>
      <c r="HN223" s="243"/>
      <c r="HO223" s="243"/>
      <c r="HP223" s="243"/>
      <c r="HQ223" s="243"/>
      <c r="HR223" s="243"/>
      <c r="HS223" s="243"/>
      <c r="HT223" s="243"/>
      <c r="HU223" s="243"/>
      <c r="HV223" s="243"/>
      <c r="HW223" s="243"/>
      <c r="HX223" s="243"/>
      <c r="HY223" s="243"/>
      <c r="HZ223" s="243"/>
      <c r="IA223" s="243"/>
      <c r="IB223" s="243"/>
      <c r="IC223" s="243"/>
      <c r="ID223" s="243"/>
      <c r="IE223" s="243"/>
      <c r="IF223" s="243"/>
      <c r="IG223" s="243"/>
      <c r="IH223" s="243"/>
      <c r="II223" s="243"/>
      <c r="IJ223" s="243"/>
      <c r="IK223" s="243"/>
      <c r="IL223" s="243"/>
      <c r="IM223" s="243"/>
      <c r="IN223" s="243"/>
      <c r="IO223" s="243"/>
      <c r="IP223" s="243"/>
      <c r="IQ223" s="243"/>
      <c r="IR223" s="243"/>
      <c r="IS223" s="243"/>
      <c r="IT223" s="243"/>
      <c r="IU223" s="243"/>
      <c r="IV223" s="243"/>
      <c r="IW223" s="243"/>
      <c r="IX223" s="243"/>
      <c r="IY223" s="243"/>
      <c r="IZ223" s="243"/>
      <c r="JA223" s="243"/>
      <c r="JB223" s="243"/>
      <c r="JC223" s="243"/>
      <c r="JD223" s="243"/>
      <c r="JE223" s="243"/>
      <c r="JF223" s="243"/>
      <c r="JG223" s="243"/>
      <c r="JH223" s="243"/>
      <c r="JI223" s="243"/>
      <c r="JJ223" s="243"/>
      <c r="JK223" s="243"/>
      <c r="JL223" s="243"/>
      <c r="JM223" s="243"/>
      <c r="JN223" s="243"/>
      <c r="JO223" s="243"/>
      <c r="JP223" s="243"/>
      <c r="JQ223" s="243"/>
      <c r="JR223" s="243"/>
      <c r="JS223" s="243"/>
      <c r="JT223" s="243"/>
      <c r="JU223" s="243"/>
      <c r="JV223" s="243"/>
      <c r="JW223" s="243"/>
      <c r="JX223" s="243"/>
      <c r="JY223" s="243"/>
      <c r="JZ223" s="243"/>
      <c r="KA223" s="243"/>
      <c r="KB223" s="243"/>
      <c r="KC223" s="243"/>
      <c r="KD223" s="243"/>
      <c r="KE223" s="243"/>
      <c r="KF223" s="243"/>
      <c r="KG223" s="243"/>
      <c r="KH223" s="243"/>
      <c r="KI223" s="243"/>
      <c r="KJ223" s="243"/>
      <c r="KK223" s="243"/>
      <c r="KL223" s="243"/>
      <c r="KM223" s="243"/>
      <c r="KN223" s="243"/>
      <c r="KO223" s="243"/>
      <c r="KP223" s="243"/>
      <c r="KQ223" s="243"/>
      <c r="KR223" s="243"/>
      <c r="KS223" s="243"/>
      <c r="KT223" s="243"/>
      <c r="KU223" s="243"/>
      <c r="KV223" s="243"/>
      <c r="KW223" s="243"/>
      <c r="KX223" s="243"/>
      <c r="KY223" s="243"/>
      <c r="KZ223" s="243"/>
      <c r="LA223" s="243"/>
      <c r="LB223" s="243"/>
      <c r="LC223" s="243"/>
      <c r="LD223" s="243"/>
      <c r="LE223" s="243"/>
      <c r="LF223" s="243"/>
      <c r="LG223" s="243"/>
      <c r="LH223" s="243"/>
      <c r="LI223" s="243"/>
      <c r="LJ223" s="243"/>
      <c r="LK223" s="243"/>
      <c r="LL223" s="243"/>
      <c r="LM223" s="243"/>
      <c r="LN223" s="243"/>
      <c r="LO223" s="243"/>
      <c r="LP223" s="243"/>
      <c r="LQ223" s="243"/>
      <c r="LR223" s="243"/>
      <c r="LS223" s="243"/>
      <c r="LT223" s="243"/>
      <c r="LU223" s="243"/>
      <c r="LV223" s="243"/>
      <c r="LW223" s="243"/>
      <c r="LX223" s="243"/>
      <c r="LY223" s="243"/>
      <c r="LZ223" s="243"/>
      <c r="MA223" s="243"/>
      <c r="MB223" s="243"/>
      <c r="MC223" s="243"/>
      <c r="MD223" s="243"/>
      <c r="ME223" s="243"/>
      <c r="MF223" s="243"/>
      <c r="MG223" s="243"/>
      <c r="MH223" s="243"/>
      <c r="MI223" s="243"/>
      <c r="MJ223" s="243"/>
      <c r="MK223" s="243"/>
      <c r="ML223" s="243"/>
      <c r="MM223" s="243"/>
      <c r="MN223" s="243"/>
      <c r="MO223" s="243"/>
      <c r="MP223" s="243"/>
      <c r="MQ223" s="243"/>
      <c r="MR223" s="243"/>
      <c r="MS223" s="243"/>
      <c r="MT223" s="243"/>
      <c r="MU223" s="243"/>
      <c r="MV223" s="243"/>
      <c r="MW223" s="243"/>
      <c r="MX223" s="243"/>
      <c r="MY223" s="243"/>
      <c r="MZ223" s="243"/>
      <c r="NA223" s="243"/>
      <c r="NB223" s="243"/>
      <c r="NC223" s="243"/>
      <c r="ND223" s="243"/>
      <c r="NE223" s="243"/>
      <c r="NF223" s="243"/>
      <c r="NG223" s="243"/>
      <c r="NH223" s="243"/>
      <c r="NI223" s="243"/>
      <c r="NJ223" s="243"/>
      <c r="NK223" s="243"/>
      <c r="NL223" s="243"/>
      <c r="NM223" s="243"/>
      <c r="NN223" s="243"/>
      <c r="NO223" s="243"/>
      <c r="NP223" s="243"/>
      <c r="NQ223" s="243"/>
      <c r="NR223" s="243"/>
      <c r="NS223" s="243"/>
      <c r="NT223" s="243"/>
      <c r="NU223" s="243"/>
      <c r="NV223" s="243"/>
      <c r="NW223" s="243"/>
      <c r="NX223" s="243"/>
      <c r="NY223" s="243"/>
      <c r="NZ223" s="243"/>
      <c r="OA223" s="243"/>
      <c r="OB223" s="243"/>
      <c r="OC223" s="243"/>
      <c r="OD223" s="243"/>
      <c r="OE223" s="243"/>
      <c r="OF223" s="243"/>
      <c r="OG223" s="243"/>
      <c r="OH223" s="243"/>
      <c r="OI223" s="243"/>
      <c r="OJ223" s="243"/>
      <c r="OK223" s="243"/>
      <c r="OL223" s="243"/>
      <c r="OM223" s="243"/>
      <c r="ON223" s="243"/>
      <c r="OO223" s="243"/>
      <c r="OP223" s="243"/>
      <c r="OQ223" s="243"/>
      <c r="OR223" s="243"/>
      <c r="OS223" s="243"/>
      <c r="OT223" s="243"/>
      <c r="OU223" s="243"/>
      <c r="OV223" s="243"/>
      <c r="OW223" s="243"/>
      <c r="OX223" s="243"/>
      <c r="OY223" s="243"/>
      <c r="OZ223" s="243"/>
      <c r="PA223" s="243"/>
      <c r="PB223" s="243"/>
      <c r="PC223" s="243"/>
      <c r="PD223" s="243"/>
      <c r="PE223" s="243"/>
      <c r="PF223" s="243"/>
      <c r="PG223" s="243"/>
      <c r="PH223" s="243"/>
      <c r="PI223" s="243"/>
      <c r="PJ223" s="243"/>
      <c r="PK223" s="243"/>
      <c r="PL223" s="243"/>
      <c r="PM223" s="243"/>
      <c r="PN223" s="243"/>
      <c r="PO223" s="243"/>
      <c r="PP223" s="243"/>
      <c r="PQ223" s="243"/>
      <c r="PR223" s="243"/>
      <c r="PS223" s="243"/>
      <c r="PT223" s="243"/>
      <c r="PU223" s="243"/>
      <c r="PV223" s="243"/>
      <c r="PW223" s="243"/>
      <c r="PX223" s="243"/>
      <c r="PY223" s="243"/>
      <c r="PZ223" s="243"/>
      <c r="QA223" s="243"/>
      <c r="QB223" s="243"/>
      <c r="QC223" s="243"/>
      <c r="QD223" s="243"/>
      <c r="QE223" s="243"/>
      <c r="QF223" s="243"/>
      <c r="QG223" s="243"/>
      <c r="QH223" s="243"/>
      <c r="QI223" s="243"/>
      <c r="QJ223" s="243"/>
      <c r="QK223" s="243"/>
      <c r="QL223" s="243"/>
      <c r="QM223" s="243"/>
      <c r="QN223" s="243"/>
      <c r="QO223" s="243"/>
      <c r="QP223" s="243"/>
      <c r="QQ223" s="243"/>
      <c r="QR223" s="243"/>
      <c r="QS223" s="243"/>
      <c r="QT223" s="243"/>
      <c r="QU223" s="243"/>
      <c r="QV223" s="243"/>
      <c r="QW223" s="243"/>
      <c r="QX223" s="243"/>
      <c r="QY223" s="243"/>
      <c r="QZ223" s="243"/>
      <c r="RA223" s="243"/>
      <c r="RB223" s="243"/>
      <c r="RC223" s="243"/>
      <c r="RD223" s="243"/>
      <c r="RE223" s="243"/>
      <c r="RF223" s="243"/>
      <c r="RG223" s="243"/>
      <c r="RH223" s="243"/>
      <c r="RI223" s="243"/>
      <c r="RJ223" s="243"/>
      <c r="RK223" s="243"/>
      <c r="RL223" s="243"/>
      <c r="RM223" s="243"/>
      <c r="RN223" s="243"/>
      <c r="RO223" s="243"/>
      <c r="RP223" s="243"/>
      <c r="RQ223" s="243"/>
      <c r="RR223" s="243"/>
      <c r="RS223" s="243"/>
      <c r="RT223" s="243"/>
      <c r="RU223" s="243"/>
      <c r="RV223" s="243"/>
      <c r="RW223" s="243"/>
      <c r="RX223" s="243"/>
      <c r="RY223" s="243"/>
      <c r="RZ223" s="243"/>
      <c r="SA223" s="243"/>
      <c r="SB223" s="243"/>
      <c r="SC223" s="243"/>
      <c r="SD223" s="243"/>
      <c r="SE223" s="243"/>
      <c r="SF223" s="243"/>
      <c r="SG223" s="243"/>
      <c r="SH223" s="243"/>
      <c r="SI223" s="243"/>
      <c r="SJ223" s="243"/>
      <c r="SK223" s="243"/>
      <c r="SL223" s="243"/>
      <c r="SM223" s="243"/>
      <c r="SN223" s="243"/>
      <c r="SO223" s="243"/>
      <c r="SP223" s="243"/>
      <c r="SQ223" s="243"/>
      <c r="SR223" s="243"/>
      <c r="SS223" s="243"/>
      <c r="ST223" s="243"/>
      <c r="SU223" s="243"/>
      <c r="SV223" s="243"/>
      <c r="SW223" s="243"/>
      <c r="SX223" s="243"/>
      <c r="SY223" s="243"/>
      <c r="SZ223" s="243"/>
      <c r="TA223" s="243"/>
      <c r="TB223" s="243"/>
      <c r="TC223" s="243"/>
      <c r="TD223" s="243"/>
      <c r="TE223" s="243"/>
      <c r="TF223" s="243"/>
      <c r="TG223" s="243"/>
      <c r="TH223" s="243"/>
      <c r="TI223" s="243"/>
      <c r="TJ223" s="243"/>
      <c r="TK223" s="243"/>
      <c r="TL223" s="243"/>
      <c r="TM223" s="243"/>
      <c r="TN223" s="243"/>
      <c r="TO223" s="243"/>
      <c r="TP223" s="243"/>
      <c r="TQ223" s="243"/>
      <c r="TR223" s="243"/>
      <c r="TS223" s="243"/>
      <c r="TT223" s="243"/>
      <c r="TU223" s="243"/>
      <c r="TV223" s="243"/>
      <c r="TW223" s="243"/>
      <c r="TX223" s="243"/>
      <c r="TY223" s="243"/>
      <c r="TZ223" s="243"/>
      <c r="UA223" s="243"/>
      <c r="UB223" s="243"/>
      <c r="UC223" s="243"/>
      <c r="UD223" s="243"/>
      <c r="UE223" s="243"/>
      <c r="UF223" s="243"/>
      <c r="UG223" s="243"/>
      <c r="UH223" s="243"/>
      <c r="UI223" s="243"/>
      <c r="UJ223" s="243"/>
      <c r="UK223" s="243"/>
      <c r="UL223" s="243"/>
      <c r="UM223" s="243"/>
      <c r="UN223" s="243"/>
      <c r="UO223" s="243"/>
      <c r="UP223" s="243"/>
      <c r="UQ223" s="243"/>
      <c r="UR223" s="243"/>
      <c r="US223" s="243"/>
      <c r="UT223" s="243"/>
      <c r="UU223" s="243"/>
      <c r="UV223" s="243"/>
      <c r="UW223" s="243"/>
      <c r="UX223" s="243"/>
      <c r="UY223" s="243"/>
      <c r="UZ223" s="243"/>
      <c r="VA223" s="243"/>
      <c r="VB223" s="243"/>
      <c r="VC223" s="243"/>
      <c r="VD223" s="243"/>
      <c r="VE223" s="243"/>
      <c r="VF223" s="243"/>
      <c r="VG223" s="243"/>
      <c r="VH223" s="243"/>
      <c r="VI223" s="243"/>
      <c r="VJ223" s="243"/>
      <c r="VK223" s="243"/>
      <c r="VL223" s="243"/>
      <c r="VM223" s="243"/>
      <c r="VN223" s="243"/>
      <c r="VO223" s="243"/>
      <c r="VP223" s="243"/>
      <c r="VQ223" s="243"/>
      <c r="VR223" s="243"/>
      <c r="VS223" s="243"/>
      <c r="VT223" s="243"/>
      <c r="VU223" s="243"/>
      <c r="VV223" s="243"/>
      <c r="VW223" s="243"/>
      <c r="VX223" s="243"/>
      <c r="VY223" s="243"/>
      <c r="VZ223" s="243"/>
      <c r="WA223" s="243"/>
      <c r="WB223" s="243"/>
      <c r="WC223" s="243"/>
      <c r="WD223" s="243"/>
      <c r="WE223" s="243"/>
      <c r="WF223" s="243"/>
      <c r="WG223" s="243"/>
      <c r="WH223" s="243"/>
      <c r="WI223" s="243"/>
      <c r="WJ223" s="243"/>
      <c r="WK223" s="243"/>
      <c r="WL223" s="243"/>
      <c r="WM223" s="243"/>
      <c r="WN223" s="243"/>
      <c r="WO223" s="243"/>
      <c r="WP223" s="243"/>
      <c r="WQ223" s="243"/>
      <c r="WR223" s="243"/>
      <c r="WS223" s="243"/>
      <c r="WT223" s="243"/>
      <c r="WU223" s="243"/>
      <c r="WV223" s="243"/>
      <c r="WW223" s="243"/>
      <c r="WX223" s="243"/>
      <c r="WY223" s="243"/>
      <c r="WZ223" s="243"/>
      <c r="XA223" s="243"/>
      <c r="XB223" s="243"/>
      <c r="XC223" s="243"/>
      <c r="XD223" s="243"/>
      <c r="XE223" s="243"/>
      <c r="XF223" s="243"/>
      <c r="XG223" s="243"/>
      <c r="XH223" s="243"/>
      <c r="XI223" s="243"/>
      <c r="XJ223" s="243"/>
      <c r="XK223" s="243"/>
      <c r="XL223" s="243"/>
      <c r="XM223" s="243"/>
      <c r="XN223" s="243"/>
      <c r="XO223" s="243"/>
      <c r="XP223" s="243"/>
      <c r="XQ223" s="243"/>
      <c r="XR223" s="243"/>
      <c r="XS223" s="243"/>
      <c r="XT223" s="243"/>
      <c r="XU223" s="243"/>
      <c r="XV223" s="243"/>
      <c r="XW223" s="243"/>
      <c r="XX223" s="243"/>
      <c r="XY223" s="243"/>
      <c r="XZ223" s="243"/>
      <c r="YA223" s="243"/>
      <c r="YB223" s="243"/>
      <c r="YC223" s="243"/>
      <c r="YD223" s="243"/>
      <c r="YE223" s="243"/>
      <c r="YF223" s="243"/>
      <c r="YG223" s="243"/>
      <c r="YH223" s="243"/>
      <c r="YI223" s="243"/>
      <c r="YJ223" s="243"/>
      <c r="YK223" s="243"/>
      <c r="YL223" s="243"/>
      <c r="YM223" s="243"/>
      <c r="YN223" s="243"/>
      <c r="YO223" s="243"/>
      <c r="YP223" s="243"/>
      <c r="YQ223" s="243"/>
      <c r="YR223" s="243"/>
      <c r="YS223" s="243"/>
      <c r="YT223" s="243"/>
      <c r="YU223" s="243"/>
      <c r="YV223" s="243"/>
      <c r="YW223" s="243"/>
      <c r="YX223" s="243"/>
      <c r="YY223" s="243"/>
      <c r="YZ223" s="243"/>
      <c r="ZA223" s="243"/>
      <c r="ZB223" s="243"/>
      <c r="ZC223" s="243"/>
      <c r="ZD223" s="243"/>
      <c r="ZE223" s="243"/>
      <c r="ZF223" s="243"/>
      <c r="ZG223" s="243"/>
      <c r="ZH223" s="243"/>
      <c r="ZI223" s="243"/>
      <c r="ZJ223" s="243"/>
      <c r="ZK223" s="243"/>
      <c r="ZL223" s="243"/>
      <c r="ZM223" s="243"/>
      <c r="ZN223" s="243"/>
      <c r="ZO223" s="243"/>
      <c r="ZP223" s="243"/>
      <c r="ZQ223" s="243"/>
      <c r="ZR223" s="243"/>
      <c r="ZS223" s="243"/>
      <c r="ZT223" s="243"/>
      <c r="ZU223" s="243"/>
      <c r="ZV223" s="243"/>
      <c r="ZW223" s="243"/>
      <c r="ZX223" s="243"/>
      <c r="ZY223" s="243"/>
      <c r="ZZ223" s="243"/>
      <c r="AAA223" s="243"/>
      <c r="AAB223" s="243"/>
      <c r="AAC223" s="243"/>
      <c r="AAD223" s="243"/>
      <c r="AAE223" s="243"/>
      <c r="AAF223" s="243"/>
      <c r="AAG223" s="243"/>
      <c r="AAH223" s="243"/>
      <c r="AAI223" s="243"/>
      <c r="AAJ223" s="243"/>
      <c r="AAK223" s="243"/>
      <c r="AAL223" s="243"/>
      <c r="AAM223" s="243"/>
      <c r="AAN223" s="243"/>
      <c r="AAO223" s="243"/>
      <c r="AAP223" s="243"/>
      <c r="AAQ223" s="243"/>
      <c r="AAR223" s="243"/>
      <c r="AAS223" s="243"/>
      <c r="AAT223" s="243"/>
      <c r="AAU223" s="243"/>
      <c r="AAV223" s="243"/>
      <c r="AAW223" s="243"/>
      <c r="AAX223" s="243"/>
      <c r="AAY223" s="243"/>
      <c r="AAZ223" s="243"/>
      <c r="ABA223" s="243"/>
      <c r="ABB223" s="243"/>
      <c r="ABC223" s="243"/>
      <c r="ABD223" s="243"/>
      <c r="ABE223" s="243"/>
      <c r="ABF223" s="243"/>
      <c r="ABG223" s="243"/>
      <c r="ABH223" s="243"/>
      <c r="ABI223" s="243"/>
      <c r="ABJ223" s="243"/>
      <c r="ABK223" s="243"/>
      <c r="ABL223" s="243"/>
      <c r="ABM223" s="243"/>
      <c r="ABN223" s="243"/>
      <c r="ABO223" s="243"/>
      <c r="ABP223" s="243"/>
      <c r="ABQ223" s="243"/>
      <c r="ABR223" s="243"/>
      <c r="ABS223" s="243"/>
      <c r="ABT223" s="243"/>
      <c r="ABU223" s="243"/>
      <c r="ABV223" s="243"/>
      <c r="ABW223" s="243"/>
      <c r="ABX223" s="243"/>
      <c r="ABY223" s="243"/>
      <c r="ABZ223" s="243"/>
      <c r="ACA223" s="243"/>
      <c r="ACB223" s="243"/>
      <c r="ACC223" s="243"/>
      <c r="ACD223" s="243"/>
      <c r="ACE223" s="243"/>
      <c r="ACF223" s="243"/>
      <c r="ACG223" s="243"/>
      <c r="ACH223" s="243"/>
      <c r="ACI223" s="243"/>
      <c r="ACJ223" s="243"/>
      <c r="ACK223" s="243"/>
      <c r="ACL223" s="243"/>
      <c r="ACM223" s="243"/>
      <c r="ACN223" s="243"/>
      <c r="ACO223" s="243"/>
      <c r="ACP223" s="243"/>
      <c r="ACQ223" s="243"/>
      <c r="ACR223" s="243"/>
      <c r="ACS223" s="243"/>
      <c r="ACT223" s="243"/>
      <c r="ACU223" s="243"/>
      <c r="ACV223" s="243"/>
      <c r="ACW223" s="243"/>
      <c r="ACX223" s="243"/>
      <c r="ACY223" s="243"/>
      <c r="ACZ223" s="243"/>
      <c r="ADA223" s="243"/>
      <c r="ADB223" s="243"/>
      <c r="ADC223" s="243"/>
      <c r="ADD223" s="243"/>
      <c r="ADE223" s="243"/>
      <c r="ADF223" s="243"/>
      <c r="ADG223" s="243"/>
      <c r="ADH223" s="243"/>
      <c r="ADI223" s="243"/>
      <c r="ADJ223" s="243"/>
      <c r="ADK223" s="243"/>
      <c r="ADL223" s="243"/>
      <c r="ADM223" s="243"/>
      <c r="ADN223" s="243"/>
      <c r="ADO223" s="243"/>
      <c r="ADP223" s="243"/>
      <c r="ADQ223" s="243"/>
      <c r="ADR223" s="243"/>
      <c r="ADS223" s="243"/>
      <c r="ADT223" s="243"/>
      <c r="ADU223" s="243"/>
      <c r="ADV223" s="243"/>
      <c r="ADW223" s="243"/>
      <c r="ADX223" s="243"/>
      <c r="ADY223" s="243"/>
      <c r="ADZ223" s="243"/>
      <c r="AEA223" s="243"/>
      <c r="AEB223" s="243"/>
      <c r="AEC223" s="243"/>
      <c r="AED223" s="243"/>
      <c r="AEE223" s="243"/>
      <c r="AEF223" s="243"/>
      <c r="AEG223" s="243"/>
      <c r="AEH223" s="243"/>
      <c r="AEI223" s="243"/>
      <c r="AEJ223" s="243"/>
      <c r="AEK223" s="243"/>
      <c r="AEL223" s="243"/>
      <c r="AEM223" s="243"/>
      <c r="AEN223" s="243"/>
      <c r="AEO223" s="243"/>
      <c r="AEP223" s="243"/>
      <c r="AEQ223" s="243"/>
      <c r="AER223" s="243"/>
      <c r="AES223" s="243"/>
      <c r="AET223" s="243"/>
      <c r="AEU223" s="243"/>
      <c r="AEV223" s="243"/>
      <c r="AEW223" s="243"/>
      <c r="AEX223" s="243"/>
      <c r="AEY223" s="243"/>
      <c r="AEZ223" s="243"/>
      <c r="AFA223" s="243"/>
      <c r="AFB223" s="243"/>
      <c r="AFC223" s="243"/>
      <c r="AFD223" s="243"/>
      <c r="AFE223" s="243"/>
      <c r="AFF223" s="243"/>
      <c r="AFG223" s="243"/>
      <c r="AFH223" s="243"/>
      <c r="AFI223" s="243"/>
      <c r="AFJ223" s="243"/>
      <c r="AFK223" s="243"/>
      <c r="AFL223" s="243"/>
      <c r="AFM223" s="243"/>
      <c r="AFN223" s="243"/>
      <c r="AFO223" s="243"/>
      <c r="AFP223" s="243"/>
      <c r="AFQ223" s="243"/>
      <c r="AFR223" s="243"/>
      <c r="AFS223" s="243"/>
      <c r="AFT223" s="243"/>
      <c r="AFU223" s="243"/>
      <c r="AFV223" s="243"/>
      <c r="AFW223" s="243"/>
      <c r="AFX223" s="243"/>
      <c r="AFY223" s="243"/>
      <c r="AFZ223" s="243"/>
      <c r="AGA223" s="243"/>
      <c r="AGB223" s="243"/>
      <c r="AGC223" s="243"/>
      <c r="AGD223" s="243"/>
      <c r="AGE223" s="243"/>
      <c r="AGF223" s="243"/>
      <c r="AGG223" s="243"/>
      <c r="AGH223" s="243"/>
      <c r="AGI223" s="243"/>
      <c r="AGJ223" s="243"/>
      <c r="AGK223" s="243"/>
      <c r="AGL223" s="243"/>
      <c r="AGM223" s="243"/>
      <c r="AGN223" s="243"/>
      <c r="AGO223" s="243"/>
      <c r="AGP223" s="243"/>
      <c r="AGQ223" s="243"/>
      <c r="AGR223" s="243"/>
      <c r="AGS223" s="243"/>
      <c r="AGT223" s="243"/>
      <c r="AGU223" s="243"/>
      <c r="AGV223" s="243"/>
      <c r="AGW223" s="243"/>
      <c r="AGX223" s="243"/>
      <c r="AGY223" s="243"/>
      <c r="AGZ223" s="243"/>
      <c r="AHA223" s="243"/>
      <c r="AHB223" s="243"/>
      <c r="AHC223" s="243"/>
      <c r="AHD223" s="243"/>
      <c r="AHE223" s="243"/>
      <c r="AHF223" s="243"/>
      <c r="AHG223" s="243"/>
      <c r="AHH223" s="243"/>
      <c r="AHI223" s="243"/>
      <c r="AHJ223" s="243"/>
      <c r="AHK223" s="243"/>
      <c r="AHL223" s="243"/>
      <c r="AHM223" s="243"/>
      <c r="AHN223" s="243"/>
      <c r="AHO223" s="243"/>
      <c r="AHP223" s="243"/>
      <c r="AHQ223" s="243"/>
      <c r="AHR223" s="243"/>
      <c r="AHS223" s="243"/>
      <c r="AHT223" s="243"/>
      <c r="AHU223" s="243"/>
      <c r="AHV223" s="243"/>
      <c r="AHW223" s="243"/>
      <c r="AHX223" s="243"/>
      <c r="AHY223" s="243"/>
      <c r="AHZ223" s="243"/>
      <c r="AIA223" s="243"/>
      <c r="AIB223" s="243"/>
      <c r="AIC223" s="243"/>
      <c r="AID223" s="243"/>
      <c r="AIE223" s="243"/>
      <c r="AIF223" s="243"/>
      <c r="AIG223" s="243"/>
      <c r="AIH223" s="243"/>
      <c r="AII223" s="243"/>
      <c r="AIJ223" s="243"/>
      <c r="AIK223" s="243"/>
      <c r="AIL223" s="243"/>
      <c r="AIM223" s="243"/>
      <c r="AIN223" s="243"/>
      <c r="AIO223" s="243"/>
      <c r="AIP223" s="243"/>
      <c r="AIQ223" s="243"/>
      <c r="AIR223" s="243"/>
      <c r="AIS223" s="243"/>
      <c r="AIT223" s="243"/>
      <c r="AIU223" s="243"/>
      <c r="AIV223" s="243"/>
      <c r="AIW223" s="243"/>
      <c r="AIX223" s="243"/>
      <c r="AIY223" s="243"/>
      <c r="AIZ223" s="243"/>
      <c r="AJA223" s="243"/>
      <c r="AJB223" s="243"/>
      <c r="AJC223" s="243"/>
      <c r="AJD223" s="243"/>
      <c r="AJE223" s="243"/>
      <c r="AJF223" s="243"/>
      <c r="AJG223" s="243"/>
      <c r="AJH223" s="243"/>
      <c r="AJI223" s="243"/>
      <c r="AJJ223" s="243"/>
      <c r="AJK223" s="243"/>
      <c r="AJL223" s="243"/>
      <c r="AJM223" s="243"/>
      <c r="AJN223" s="243"/>
      <c r="AJO223" s="243"/>
      <c r="AJP223" s="243"/>
      <c r="AJQ223" s="243"/>
      <c r="AJR223" s="243"/>
      <c r="AJS223" s="243"/>
      <c r="AJT223" s="243"/>
      <c r="AJU223" s="243"/>
      <c r="AJV223" s="243"/>
      <c r="AJW223" s="243"/>
      <c r="AJX223" s="243"/>
      <c r="AJY223" s="243"/>
      <c r="AJZ223" s="243"/>
      <c r="AKA223" s="243"/>
      <c r="AKB223" s="243"/>
      <c r="AKC223" s="243"/>
      <c r="AKD223" s="243"/>
      <c r="AKE223" s="243"/>
      <c r="AKF223" s="243"/>
      <c r="AKG223" s="243"/>
      <c r="AKH223" s="243"/>
      <c r="AKI223" s="243"/>
      <c r="AKJ223" s="243"/>
      <c r="AKK223" s="243"/>
      <c r="AKL223" s="243"/>
      <c r="AKM223" s="243"/>
      <c r="AKN223" s="243"/>
      <c r="AKO223" s="243"/>
      <c r="AKP223" s="243"/>
      <c r="AKQ223" s="243"/>
      <c r="AKR223" s="243"/>
      <c r="AKS223" s="243"/>
      <c r="AKT223" s="243"/>
      <c r="AKU223" s="243"/>
      <c r="AKV223" s="243"/>
      <c r="AKW223" s="243"/>
      <c r="AKX223" s="243"/>
      <c r="AKY223" s="243"/>
      <c r="AKZ223" s="243"/>
      <c r="ALA223" s="243"/>
      <c r="ALB223" s="243"/>
      <c r="ALC223" s="243"/>
      <c r="ALD223" s="243"/>
      <c r="ALE223" s="243"/>
      <c r="ALF223" s="243"/>
      <c r="ALG223" s="243"/>
      <c r="ALH223" s="243"/>
      <c r="ALI223" s="243"/>
      <c r="ALJ223" s="243"/>
      <c r="ALK223" s="243"/>
      <c r="ALL223" s="243"/>
      <c r="ALM223" s="243"/>
      <c r="ALN223" s="243"/>
      <c r="ALO223" s="243"/>
      <c r="ALP223" s="243"/>
      <c r="ALQ223" s="243"/>
      <c r="ALR223" s="243"/>
      <c r="ALS223" s="243"/>
      <c r="ALT223" s="243"/>
      <c r="ALU223" s="243"/>
      <c r="ALV223" s="243"/>
      <c r="ALW223" s="243"/>
      <c r="ALX223" s="243"/>
      <c r="ALY223" s="243"/>
      <c r="ALZ223" s="243"/>
      <c r="AMA223" s="243"/>
      <c r="AMB223" s="243"/>
      <c r="AMC223" s="243"/>
      <c r="AMD223" s="243"/>
      <c r="AME223" s="243"/>
      <c r="AMF223" s="243"/>
      <c r="AMG223" s="243"/>
      <c r="AMH223" s="243"/>
      <c r="AMI223" s="244"/>
      <c r="AMJ223" s="244"/>
    </row>
    <row r="224" spans="1:1024">
      <c r="A224" s="1006" t="s">
        <v>26</v>
      </c>
      <c r="B224" s="1007"/>
      <c r="C224" s="1007"/>
      <c r="D224" s="1008"/>
      <c r="E224" s="488">
        <f>SUM(E218:E223)</f>
        <v>7300000</v>
      </c>
      <c r="F224" s="489" t="s">
        <v>26</v>
      </c>
      <c r="G224" s="490">
        <f>G218+G219+G220</f>
        <v>411000</v>
      </c>
      <c r="H224" s="1009"/>
      <c r="I224" s="1009"/>
      <c r="J224" s="1009"/>
      <c r="K224" s="1009"/>
      <c r="L224" s="1009"/>
      <c r="M224" s="1009"/>
      <c r="N224" s="1003" t="s">
        <v>27</v>
      </c>
      <c r="O224" s="1004"/>
      <c r="P224" s="1005"/>
      <c r="Q224" s="494" t="e">
        <v>#REF!</v>
      </c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3"/>
      <c r="AI224" s="243"/>
      <c r="AJ224" s="243"/>
      <c r="AK224" s="243"/>
      <c r="AL224" s="243"/>
      <c r="AM224" s="243"/>
      <c r="AN224" s="243"/>
      <c r="AO224" s="243"/>
      <c r="AP224" s="243"/>
      <c r="AQ224" s="243"/>
      <c r="AR224" s="243"/>
      <c r="AS224" s="243"/>
      <c r="AT224" s="243"/>
      <c r="AU224" s="243"/>
      <c r="AV224" s="243"/>
      <c r="AW224" s="243"/>
      <c r="AX224" s="243"/>
      <c r="AY224" s="243"/>
      <c r="AZ224" s="243"/>
      <c r="BA224" s="243"/>
      <c r="BB224" s="243"/>
      <c r="BC224" s="243"/>
      <c r="BD224" s="243"/>
      <c r="BE224" s="243"/>
      <c r="BF224" s="243"/>
      <c r="BG224" s="243"/>
      <c r="BH224" s="243"/>
      <c r="BI224" s="243"/>
      <c r="BJ224" s="243"/>
      <c r="BK224" s="243"/>
      <c r="BL224" s="243"/>
      <c r="BM224" s="243"/>
      <c r="BN224" s="243"/>
      <c r="BO224" s="243"/>
      <c r="BP224" s="243"/>
      <c r="BQ224" s="243"/>
      <c r="BR224" s="243"/>
      <c r="BS224" s="243"/>
      <c r="BT224" s="243"/>
      <c r="BU224" s="243"/>
      <c r="BV224" s="243"/>
      <c r="BW224" s="243"/>
      <c r="BX224" s="243"/>
      <c r="BY224" s="243"/>
      <c r="BZ224" s="243"/>
      <c r="CA224" s="243"/>
      <c r="CB224" s="243"/>
      <c r="CC224" s="243"/>
      <c r="CD224" s="243"/>
      <c r="CE224" s="243"/>
      <c r="CF224" s="243"/>
      <c r="CG224" s="243"/>
      <c r="CH224" s="243"/>
      <c r="CI224" s="243"/>
      <c r="CJ224" s="243"/>
      <c r="CK224" s="243"/>
      <c r="CL224" s="243"/>
      <c r="CM224" s="243"/>
      <c r="CN224" s="243"/>
      <c r="CO224" s="243"/>
      <c r="CP224" s="243"/>
      <c r="CQ224" s="243"/>
      <c r="CR224" s="243"/>
      <c r="CS224" s="243"/>
      <c r="CT224" s="243"/>
      <c r="CU224" s="243"/>
      <c r="CV224" s="243"/>
      <c r="CW224" s="243"/>
      <c r="CX224" s="243"/>
      <c r="CY224" s="243"/>
      <c r="CZ224" s="243"/>
      <c r="DA224" s="243"/>
      <c r="DB224" s="243"/>
      <c r="DC224" s="243"/>
      <c r="DD224" s="243"/>
      <c r="DE224" s="243"/>
      <c r="DF224" s="243"/>
      <c r="DG224" s="243"/>
      <c r="DH224" s="243"/>
      <c r="DI224" s="243"/>
      <c r="DJ224" s="243"/>
      <c r="DK224" s="243"/>
      <c r="DL224" s="243"/>
      <c r="DM224" s="243"/>
      <c r="DN224" s="243"/>
      <c r="DO224" s="243"/>
      <c r="DP224" s="243"/>
      <c r="DQ224" s="243"/>
      <c r="DR224" s="243"/>
      <c r="DS224" s="243"/>
      <c r="DT224" s="243"/>
      <c r="DU224" s="243"/>
      <c r="DV224" s="243"/>
      <c r="DW224" s="243"/>
      <c r="DX224" s="243"/>
      <c r="DY224" s="243"/>
      <c r="DZ224" s="243"/>
      <c r="EA224" s="243"/>
      <c r="EB224" s="243"/>
      <c r="EC224" s="243"/>
      <c r="ED224" s="243"/>
      <c r="EE224" s="243"/>
      <c r="EF224" s="243"/>
      <c r="EG224" s="243"/>
      <c r="EH224" s="243"/>
      <c r="EI224" s="243"/>
      <c r="EJ224" s="243"/>
      <c r="EK224" s="243"/>
      <c r="EL224" s="243"/>
      <c r="EM224" s="243"/>
      <c r="EN224" s="243"/>
      <c r="EO224" s="243"/>
      <c r="EP224" s="243"/>
      <c r="EQ224" s="243"/>
      <c r="ER224" s="243"/>
      <c r="ES224" s="243"/>
      <c r="ET224" s="243"/>
      <c r="EU224" s="243"/>
      <c r="EV224" s="243"/>
      <c r="EW224" s="243"/>
      <c r="EX224" s="243"/>
      <c r="EY224" s="243"/>
      <c r="EZ224" s="243"/>
      <c r="FA224" s="243"/>
      <c r="FB224" s="243"/>
      <c r="FC224" s="243"/>
      <c r="FD224" s="243"/>
      <c r="FE224" s="243"/>
      <c r="FF224" s="243"/>
      <c r="FG224" s="243"/>
      <c r="FH224" s="243"/>
      <c r="FI224" s="243"/>
      <c r="FJ224" s="243"/>
      <c r="FK224" s="243"/>
      <c r="FL224" s="243"/>
      <c r="FM224" s="243"/>
      <c r="FN224" s="243"/>
      <c r="FO224" s="243"/>
      <c r="FP224" s="243"/>
      <c r="FQ224" s="243"/>
      <c r="FR224" s="243"/>
      <c r="FS224" s="243"/>
      <c r="FT224" s="243"/>
      <c r="FU224" s="243"/>
      <c r="FV224" s="243"/>
      <c r="FW224" s="243"/>
      <c r="FX224" s="243"/>
      <c r="FY224" s="243"/>
      <c r="FZ224" s="243"/>
      <c r="GA224" s="243"/>
      <c r="GB224" s="243"/>
      <c r="GC224" s="243"/>
      <c r="GD224" s="243"/>
      <c r="GE224" s="243"/>
      <c r="GF224" s="243"/>
      <c r="GG224" s="243"/>
      <c r="GH224" s="243"/>
      <c r="GI224" s="243"/>
      <c r="GJ224" s="243"/>
      <c r="GK224" s="243"/>
      <c r="GL224" s="243"/>
      <c r="GM224" s="243"/>
      <c r="GN224" s="243"/>
      <c r="GO224" s="243"/>
      <c r="GP224" s="243"/>
      <c r="GQ224" s="243"/>
      <c r="GR224" s="243"/>
      <c r="GS224" s="243"/>
      <c r="GT224" s="243"/>
      <c r="GU224" s="243"/>
      <c r="GV224" s="243"/>
      <c r="GW224" s="243"/>
      <c r="GX224" s="243"/>
      <c r="GY224" s="243"/>
      <c r="GZ224" s="243"/>
      <c r="HA224" s="243"/>
      <c r="HB224" s="243"/>
      <c r="HC224" s="243"/>
      <c r="HD224" s="243"/>
      <c r="HE224" s="243"/>
      <c r="HF224" s="243"/>
      <c r="HG224" s="243"/>
      <c r="HH224" s="243"/>
      <c r="HI224" s="243"/>
      <c r="HJ224" s="243"/>
      <c r="HK224" s="243"/>
      <c r="HL224" s="243"/>
      <c r="HM224" s="243"/>
      <c r="HN224" s="243"/>
      <c r="HO224" s="243"/>
      <c r="HP224" s="243"/>
      <c r="HQ224" s="243"/>
      <c r="HR224" s="243"/>
      <c r="HS224" s="243"/>
      <c r="HT224" s="243"/>
      <c r="HU224" s="243"/>
      <c r="HV224" s="243"/>
      <c r="HW224" s="243"/>
      <c r="HX224" s="243"/>
      <c r="HY224" s="243"/>
      <c r="HZ224" s="243"/>
      <c r="IA224" s="243"/>
      <c r="IB224" s="243"/>
      <c r="IC224" s="243"/>
      <c r="ID224" s="243"/>
      <c r="IE224" s="243"/>
      <c r="IF224" s="243"/>
      <c r="IG224" s="243"/>
      <c r="IH224" s="243"/>
      <c r="II224" s="243"/>
      <c r="IJ224" s="243"/>
      <c r="IK224" s="243"/>
      <c r="IL224" s="243"/>
      <c r="IM224" s="243"/>
      <c r="IN224" s="243"/>
      <c r="IO224" s="243"/>
      <c r="IP224" s="243"/>
      <c r="IQ224" s="243"/>
      <c r="IR224" s="243"/>
      <c r="IS224" s="243"/>
      <c r="IT224" s="243"/>
      <c r="IU224" s="243"/>
      <c r="IV224" s="243"/>
      <c r="IW224" s="243"/>
      <c r="IX224" s="243"/>
      <c r="IY224" s="243"/>
      <c r="IZ224" s="243"/>
      <c r="JA224" s="243"/>
      <c r="JB224" s="243"/>
      <c r="JC224" s="243"/>
      <c r="JD224" s="243"/>
      <c r="JE224" s="243"/>
      <c r="JF224" s="243"/>
      <c r="JG224" s="243"/>
      <c r="JH224" s="243"/>
      <c r="JI224" s="243"/>
      <c r="JJ224" s="243"/>
      <c r="JK224" s="243"/>
      <c r="JL224" s="243"/>
      <c r="JM224" s="243"/>
      <c r="JN224" s="243"/>
      <c r="JO224" s="243"/>
      <c r="JP224" s="243"/>
      <c r="JQ224" s="243"/>
      <c r="JR224" s="243"/>
      <c r="JS224" s="243"/>
      <c r="JT224" s="243"/>
      <c r="JU224" s="243"/>
      <c r="JV224" s="243"/>
      <c r="JW224" s="243"/>
      <c r="JX224" s="243"/>
      <c r="JY224" s="243"/>
      <c r="JZ224" s="243"/>
      <c r="KA224" s="243"/>
      <c r="KB224" s="243"/>
      <c r="KC224" s="243"/>
      <c r="KD224" s="243"/>
      <c r="KE224" s="243"/>
      <c r="KF224" s="243"/>
      <c r="KG224" s="243"/>
      <c r="KH224" s="243"/>
      <c r="KI224" s="243"/>
      <c r="KJ224" s="243"/>
      <c r="KK224" s="243"/>
      <c r="KL224" s="243"/>
      <c r="KM224" s="243"/>
      <c r="KN224" s="243"/>
      <c r="KO224" s="243"/>
      <c r="KP224" s="243"/>
      <c r="KQ224" s="243"/>
      <c r="KR224" s="243"/>
      <c r="KS224" s="243"/>
      <c r="KT224" s="243"/>
      <c r="KU224" s="243"/>
      <c r="KV224" s="243"/>
      <c r="KW224" s="243"/>
      <c r="KX224" s="243"/>
      <c r="KY224" s="243"/>
      <c r="KZ224" s="243"/>
      <c r="LA224" s="243"/>
      <c r="LB224" s="243"/>
      <c r="LC224" s="243"/>
      <c r="LD224" s="243"/>
      <c r="LE224" s="243"/>
      <c r="LF224" s="243"/>
      <c r="LG224" s="243"/>
      <c r="LH224" s="243"/>
      <c r="LI224" s="243"/>
      <c r="LJ224" s="243"/>
      <c r="LK224" s="243"/>
      <c r="LL224" s="243"/>
      <c r="LM224" s="243"/>
      <c r="LN224" s="243"/>
      <c r="LO224" s="243"/>
      <c r="LP224" s="243"/>
      <c r="LQ224" s="243"/>
      <c r="LR224" s="243"/>
      <c r="LS224" s="243"/>
      <c r="LT224" s="243"/>
      <c r="LU224" s="243"/>
      <c r="LV224" s="243"/>
      <c r="LW224" s="243"/>
      <c r="LX224" s="243"/>
      <c r="LY224" s="243"/>
      <c r="LZ224" s="243"/>
      <c r="MA224" s="243"/>
      <c r="MB224" s="243"/>
      <c r="MC224" s="243"/>
      <c r="MD224" s="243"/>
      <c r="ME224" s="243"/>
      <c r="MF224" s="243"/>
      <c r="MG224" s="243"/>
      <c r="MH224" s="243"/>
      <c r="MI224" s="243"/>
      <c r="MJ224" s="243"/>
      <c r="MK224" s="243"/>
      <c r="ML224" s="243"/>
      <c r="MM224" s="243"/>
      <c r="MN224" s="243"/>
      <c r="MO224" s="243"/>
      <c r="MP224" s="243"/>
      <c r="MQ224" s="243"/>
      <c r="MR224" s="243"/>
      <c r="MS224" s="243"/>
      <c r="MT224" s="243"/>
      <c r="MU224" s="243"/>
      <c r="MV224" s="243"/>
      <c r="MW224" s="243"/>
      <c r="MX224" s="243"/>
      <c r="MY224" s="243"/>
      <c r="MZ224" s="243"/>
      <c r="NA224" s="243"/>
      <c r="NB224" s="243"/>
      <c r="NC224" s="243"/>
      <c r="ND224" s="243"/>
      <c r="NE224" s="243"/>
      <c r="NF224" s="243"/>
      <c r="NG224" s="243"/>
      <c r="NH224" s="243"/>
      <c r="NI224" s="243"/>
      <c r="NJ224" s="243"/>
      <c r="NK224" s="243"/>
      <c r="NL224" s="243"/>
      <c r="NM224" s="243"/>
      <c r="NN224" s="243"/>
      <c r="NO224" s="243"/>
      <c r="NP224" s="243"/>
      <c r="NQ224" s="243"/>
      <c r="NR224" s="243"/>
      <c r="NS224" s="243"/>
      <c r="NT224" s="243"/>
      <c r="NU224" s="243"/>
      <c r="NV224" s="243"/>
      <c r="NW224" s="243"/>
      <c r="NX224" s="243"/>
      <c r="NY224" s="243"/>
      <c r="NZ224" s="243"/>
      <c r="OA224" s="243"/>
      <c r="OB224" s="243"/>
      <c r="OC224" s="243"/>
      <c r="OD224" s="243"/>
      <c r="OE224" s="243"/>
      <c r="OF224" s="243"/>
      <c r="OG224" s="243"/>
      <c r="OH224" s="243"/>
      <c r="OI224" s="243"/>
      <c r="OJ224" s="243"/>
      <c r="OK224" s="243"/>
      <c r="OL224" s="243"/>
      <c r="OM224" s="243"/>
      <c r="ON224" s="243"/>
      <c r="OO224" s="243"/>
      <c r="OP224" s="243"/>
      <c r="OQ224" s="243"/>
      <c r="OR224" s="243"/>
      <c r="OS224" s="243"/>
      <c r="OT224" s="243"/>
      <c r="OU224" s="243"/>
      <c r="OV224" s="243"/>
      <c r="OW224" s="243"/>
      <c r="OX224" s="243"/>
      <c r="OY224" s="243"/>
      <c r="OZ224" s="243"/>
      <c r="PA224" s="243"/>
      <c r="PB224" s="243"/>
      <c r="PC224" s="243"/>
      <c r="PD224" s="243"/>
      <c r="PE224" s="243"/>
      <c r="PF224" s="243"/>
      <c r="PG224" s="243"/>
      <c r="PH224" s="243"/>
      <c r="PI224" s="243"/>
      <c r="PJ224" s="243"/>
      <c r="PK224" s="243"/>
      <c r="PL224" s="243"/>
      <c r="PM224" s="243"/>
      <c r="PN224" s="243"/>
      <c r="PO224" s="243"/>
      <c r="PP224" s="243"/>
      <c r="PQ224" s="243"/>
      <c r="PR224" s="243"/>
      <c r="PS224" s="243"/>
      <c r="PT224" s="243"/>
      <c r="PU224" s="243"/>
      <c r="PV224" s="243"/>
      <c r="PW224" s="243"/>
      <c r="PX224" s="243"/>
      <c r="PY224" s="243"/>
      <c r="PZ224" s="243"/>
      <c r="QA224" s="243"/>
      <c r="QB224" s="243"/>
      <c r="QC224" s="243"/>
      <c r="QD224" s="243"/>
      <c r="QE224" s="243"/>
      <c r="QF224" s="243"/>
      <c r="QG224" s="243"/>
      <c r="QH224" s="243"/>
      <c r="QI224" s="243"/>
      <c r="QJ224" s="243"/>
      <c r="QK224" s="243"/>
      <c r="QL224" s="243"/>
      <c r="QM224" s="243"/>
      <c r="QN224" s="243"/>
      <c r="QO224" s="243"/>
      <c r="QP224" s="243"/>
      <c r="QQ224" s="243"/>
      <c r="QR224" s="243"/>
      <c r="QS224" s="243"/>
      <c r="QT224" s="243"/>
      <c r="QU224" s="243"/>
      <c r="QV224" s="243"/>
      <c r="QW224" s="243"/>
      <c r="QX224" s="243"/>
      <c r="QY224" s="243"/>
      <c r="QZ224" s="243"/>
      <c r="RA224" s="243"/>
      <c r="RB224" s="243"/>
      <c r="RC224" s="243"/>
      <c r="RD224" s="243"/>
      <c r="RE224" s="243"/>
      <c r="RF224" s="243"/>
      <c r="RG224" s="243"/>
      <c r="RH224" s="243"/>
      <c r="RI224" s="243"/>
      <c r="RJ224" s="243"/>
      <c r="RK224" s="243"/>
      <c r="RL224" s="243"/>
      <c r="RM224" s="243"/>
      <c r="RN224" s="243"/>
      <c r="RO224" s="243"/>
      <c r="RP224" s="243"/>
      <c r="RQ224" s="243"/>
      <c r="RR224" s="243"/>
      <c r="RS224" s="243"/>
      <c r="RT224" s="243"/>
      <c r="RU224" s="243"/>
      <c r="RV224" s="243"/>
      <c r="RW224" s="243"/>
      <c r="RX224" s="243"/>
      <c r="RY224" s="243"/>
      <c r="RZ224" s="243"/>
      <c r="SA224" s="243"/>
      <c r="SB224" s="243"/>
      <c r="SC224" s="243"/>
      <c r="SD224" s="243"/>
      <c r="SE224" s="243"/>
      <c r="SF224" s="243"/>
      <c r="SG224" s="243"/>
      <c r="SH224" s="243"/>
      <c r="SI224" s="243"/>
      <c r="SJ224" s="243"/>
      <c r="SK224" s="243"/>
      <c r="SL224" s="243"/>
      <c r="SM224" s="243"/>
      <c r="SN224" s="243"/>
      <c r="SO224" s="243"/>
      <c r="SP224" s="243"/>
      <c r="SQ224" s="243"/>
      <c r="SR224" s="243"/>
      <c r="SS224" s="243"/>
      <c r="ST224" s="243"/>
      <c r="SU224" s="243"/>
      <c r="SV224" s="243"/>
      <c r="SW224" s="243"/>
      <c r="SX224" s="243"/>
      <c r="SY224" s="243"/>
      <c r="SZ224" s="243"/>
      <c r="TA224" s="243"/>
      <c r="TB224" s="243"/>
      <c r="TC224" s="243"/>
      <c r="TD224" s="243"/>
      <c r="TE224" s="243"/>
      <c r="TF224" s="243"/>
      <c r="TG224" s="243"/>
      <c r="TH224" s="243"/>
      <c r="TI224" s="243"/>
      <c r="TJ224" s="243"/>
      <c r="TK224" s="243"/>
      <c r="TL224" s="243"/>
      <c r="TM224" s="243"/>
      <c r="TN224" s="243"/>
      <c r="TO224" s="243"/>
      <c r="TP224" s="243"/>
      <c r="TQ224" s="243"/>
      <c r="TR224" s="243"/>
      <c r="TS224" s="243"/>
      <c r="TT224" s="243"/>
      <c r="TU224" s="243"/>
      <c r="TV224" s="243"/>
      <c r="TW224" s="243"/>
      <c r="TX224" s="243"/>
      <c r="TY224" s="243"/>
      <c r="TZ224" s="243"/>
      <c r="UA224" s="243"/>
      <c r="UB224" s="243"/>
      <c r="UC224" s="243"/>
      <c r="UD224" s="243"/>
      <c r="UE224" s="243"/>
      <c r="UF224" s="243"/>
      <c r="UG224" s="243"/>
      <c r="UH224" s="243"/>
      <c r="UI224" s="243"/>
      <c r="UJ224" s="243"/>
      <c r="UK224" s="243"/>
      <c r="UL224" s="243"/>
      <c r="UM224" s="243"/>
      <c r="UN224" s="243"/>
      <c r="UO224" s="243"/>
      <c r="UP224" s="243"/>
      <c r="UQ224" s="243"/>
      <c r="UR224" s="243"/>
      <c r="US224" s="243"/>
      <c r="UT224" s="243"/>
      <c r="UU224" s="243"/>
      <c r="UV224" s="243"/>
      <c r="UW224" s="243"/>
      <c r="UX224" s="243"/>
      <c r="UY224" s="243"/>
      <c r="UZ224" s="243"/>
      <c r="VA224" s="243"/>
      <c r="VB224" s="243"/>
      <c r="VC224" s="243"/>
      <c r="VD224" s="243"/>
      <c r="VE224" s="243"/>
      <c r="VF224" s="243"/>
      <c r="VG224" s="243"/>
      <c r="VH224" s="243"/>
      <c r="VI224" s="243"/>
      <c r="VJ224" s="243"/>
      <c r="VK224" s="243"/>
      <c r="VL224" s="243"/>
      <c r="VM224" s="243"/>
      <c r="VN224" s="243"/>
      <c r="VO224" s="243"/>
      <c r="VP224" s="243"/>
      <c r="VQ224" s="243"/>
      <c r="VR224" s="243"/>
      <c r="VS224" s="243"/>
      <c r="VT224" s="243"/>
      <c r="VU224" s="243"/>
      <c r="VV224" s="243"/>
      <c r="VW224" s="243"/>
      <c r="VX224" s="243"/>
      <c r="VY224" s="243"/>
      <c r="VZ224" s="243"/>
      <c r="WA224" s="243"/>
      <c r="WB224" s="243"/>
      <c r="WC224" s="243"/>
      <c r="WD224" s="243"/>
      <c r="WE224" s="243"/>
      <c r="WF224" s="243"/>
      <c r="WG224" s="243"/>
      <c r="WH224" s="243"/>
      <c r="WI224" s="243"/>
      <c r="WJ224" s="243"/>
      <c r="WK224" s="243"/>
      <c r="WL224" s="243"/>
      <c r="WM224" s="243"/>
      <c r="WN224" s="243"/>
      <c r="WO224" s="243"/>
      <c r="WP224" s="243"/>
      <c r="WQ224" s="243"/>
      <c r="WR224" s="243"/>
      <c r="WS224" s="243"/>
      <c r="WT224" s="243"/>
      <c r="WU224" s="243"/>
      <c r="WV224" s="243"/>
      <c r="WW224" s="243"/>
      <c r="WX224" s="243"/>
      <c r="WY224" s="243"/>
      <c r="WZ224" s="243"/>
      <c r="XA224" s="243"/>
      <c r="XB224" s="243"/>
      <c r="XC224" s="243"/>
      <c r="XD224" s="243"/>
      <c r="XE224" s="243"/>
      <c r="XF224" s="243"/>
      <c r="XG224" s="243"/>
      <c r="XH224" s="243"/>
      <c r="XI224" s="243"/>
      <c r="XJ224" s="243"/>
      <c r="XK224" s="243"/>
      <c r="XL224" s="243"/>
      <c r="XM224" s="243"/>
      <c r="XN224" s="243"/>
      <c r="XO224" s="243"/>
      <c r="XP224" s="243"/>
      <c r="XQ224" s="243"/>
      <c r="XR224" s="243"/>
      <c r="XS224" s="243"/>
      <c r="XT224" s="243"/>
      <c r="XU224" s="243"/>
      <c r="XV224" s="243"/>
      <c r="XW224" s="243"/>
      <c r="XX224" s="243"/>
      <c r="XY224" s="243"/>
      <c r="XZ224" s="243"/>
      <c r="YA224" s="243"/>
      <c r="YB224" s="243"/>
      <c r="YC224" s="243"/>
      <c r="YD224" s="243"/>
      <c r="YE224" s="243"/>
      <c r="YF224" s="243"/>
      <c r="YG224" s="243"/>
      <c r="YH224" s="243"/>
      <c r="YI224" s="243"/>
      <c r="YJ224" s="243"/>
      <c r="YK224" s="243"/>
      <c r="YL224" s="243"/>
      <c r="YM224" s="243"/>
      <c r="YN224" s="243"/>
      <c r="YO224" s="243"/>
      <c r="YP224" s="243"/>
      <c r="YQ224" s="243"/>
      <c r="YR224" s="243"/>
      <c r="YS224" s="243"/>
      <c r="YT224" s="243"/>
      <c r="YU224" s="243"/>
      <c r="YV224" s="243"/>
      <c r="YW224" s="243"/>
      <c r="YX224" s="243"/>
      <c r="YY224" s="243"/>
      <c r="YZ224" s="243"/>
      <c r="ZA224" s="243"/>
      <c r="ZB224" s="243"/>
      <c r="ZC224" s="243"/>
      <c r="ZD224" s="243"/>
      <c r="ZE224" s="243"/>
      <c r="ZF224" s="243"/>
      <c r="ZG224" s="243"/>
      <c r="ZH224" s="243"/>
      <c r="ZI224" s="243"/>
      <c r="ZJ224" s="243"/>
      <c r="ZK224" s="243"/>
      <c r="ZL224" s="243"/>
      <c r="ZM224" s="243"/>
      <c r="ZN224" s="243"/>
      <c r="ZO224" s="243"/>
      <c r="ZP224" s="243"/>
      <c r="ZQ224" s="243"/>
      <c r="ZR224" s="243"/>
      <c r="ZS224" s="243"/>
      <c r="ZT224" s="243"/>
      <c r="ZU224" s="243"/>
      <c r="ZV224" s="243"/>
      <c r="ZW224" s="243"/>
      <c r="ZX224" s="243"/>
      <c r="ZY224" s="243"/>
      <c r="ZZ224" s="243"/>
      <c r="AAA224" s="243"/>
      <c r="AAB224" s="243"/>
      <c r="AAC224" s="243"/>
      <c r="AAD224" s="243"/>
      <c r="AAE224" s="243"/>
      <c r="AAF224" s="243"/>
      <c r="AAG224" s="243"/>
      <c r="AAH224" s="243"/>
      <c r="AAI224" s="243"/>
      <c r="AAJ224" s="243"/>
      <c r="AAK224" s="243"/>
      <c r="AAL224" s="243"/>
      <c r="AAM224" s="243"/>
      <c r="AAN224" s="243"/>
      <c r="AAO224" s="243"/>
      <c r="AAP224" s="243"/>
      <c r="AAQ224" s="243"/>
      <c r="AAR224" s="243"/>
      <c r="AAS224" s="243"/>
      <c r="AAT224" s="243"/>
      <c r="AAU224" s="243"/>
      <c r="AAV224" s="243"/>
      <c r="AAW224" s="243"/>
      <c r="AAX224" s="243"/>
      <c r="AAY224" s="243"/>
      <c r="AAZ224" s="243"/>
      <c r="ABA224" s="243"/>
      <c r="ABB224" s="243"/>
      <c r="ABC224" s="243"/>
      <c r="ABD224" s="243"/>
      <c r="ABE224" s="243"/>
      <c r="ABF224" s="243"/>
      <c r="ABG224" s="243"/>
      <c r="ABH224" s="243"/>
      <c r="ABI224" s="243"/>
      <c r="ABJ224" s="243"/>
      <c r="ABK224" s="243"/>
      <c r="ABL224" s="243"/>
      <c r="ABM224" s="243"/>
      <c r="ABN224" s="243"/>
      <c r="ABO224" s="243"/>
      <c r="ABP224" s="243"/>
      <c r="ABQ224" s="243"/>
      <c r="ABR224" s="243"/>
      <c r="ABS224" s="243"/>
      <c r="ABT224" s="243"/>
      <c r="ABU224" s="243"/>
      <c r="ABV224" s="243"/>
      <c r="ABW224" s="243"/>
      <c r="ABX224" s="243"/>
      <c r="ABY224" s="243"/>
      <c r="ABZ224" s="243"/>
      <c r="ACA224" s="243"/>
      <c r="ACB224" s="243"/>
      <c r="ACC224" s="243"/>
      <c r="ACD224" s="243"/>
      <c r="ACE224" s="243"/>
      <c r="ACF224" s="243"/>
      <c r="ACG224" s="243"/>
      <c r="ACH224" s="243"/>
      <c r="ACI224" s="243"/>
      <c r="ACJ224" s="243"/>
      <c r="ACK224" s="243"/>
      <c r="ACL224" s="243"/>
      <c r="ACM224" s="243"/>
      <c r="ACN224" s="243"/>
      <c r="ACO224" s="243"/>
      <c r="ACP224" s="243"/>
      <c r="ACQ224" s="243"/>
      <c r="ACR224" s="243"/>
      <c r="ACS224" s="243"/>
      <c r="ACT224" s="243"/>
      <c r="ACU224" s="243"/>
      <c r="ACV224" s="243"/>
      <c r="ACW224" s="243"/>
      <c r="ACX224" s="243"/>
      <c r="ACY224" s="243"/>
      <c r="ACZ224" s="243"/>
      <c r="ADA224" s="243"/>
      <c r="ADB224" s="243"/>
      <c r="ADC224" s="243"/>
      <c r="ADD224" s="243"/>
      <c r="ADE224" s="243"/>
      <c r="ADF224" s="243"/>
      <c r="ADG224" s="243"/>
      <c r="ADH224" s="243"/>
      <c r="ADI224" s="243"/>
      <c r="ADJ224" s="243"/>
      <c r="ADK224" s="243"/>
      <c r="ADL224" s="243"/>
      <c r="ADM224" s="243"/>
      <c r="ADN224" s="243"/>
      <c r="ADO224" s="243"/>
      <c r="ADP224" s="243"/>
      <c r="ADQ224" s="243"/>
      <c r="ADR224" s="243"/>
      <c r="ADS224" s="243"/>
      <c r="ADT224" s="243"/>
      <c r="ADU224" s="243"/>
      <c r="ADV224" s="243"/>
      <c r="ADW224" s="243"/>
      <c r="ADX224" s="243"/>
      <c r="ADY224" s="243"/>
      <c r="ADZ224" s="243"/>
      <c r="AEA224" s="243"/>
      <c r="AEB224" s="243"/>
      <c r="AEC224" s="243"/>
      <c r="AED224" s="243"/>
      <c r="AEE224" s="243"/>
      <c r="AEF224" s="243"/>
      <c r="AEG224" s="243"/>
      <c r="AEH224" s="243"/>
      <c r="AEI224" s="243"/>
      <c r="AEJ224" s="243"/>
      <c r="AEK224" s="243"/>
      <c r="AEL224" s="243"/>
      <c r="AEM224" s="243"/>
      <c r="AEN224" s="243"/>
      <c r="AEO224" s="243"/>
      <c r="AEP224" s="243"/>
      <c r="AEQ224" s="243"/>
      <c r="AER224" s="243"/>
      <c r="AES224" s="243"/>
      <c r="AET224" s="243"/>
      <c r="AEU224" s="243"/>
      <c r="AEV224" s="243"/>
      <c r="AEW224" s="243"/>
      <c r="AEX224" s="243"/>
      <c r="AEY224" s="243"/>
      <c r="AEZ224" s="243"/>
      <c r="AFA224" s="243"/>
      <c r="AFB224" s="243"/>
      <c r="AFC224" s="243"/>
      <c r="AFD224" s="243"/>
      <c r="AFE224" s="243"/>
      <c r="AFF224" s="243"/>
      <c r="AFG224" s="243"/>
      <c r="AFH224" s="243"/>
      <c r="AFI224" s="243"/>
      <c r="AFJ224" s="243"/>
      <c r="AFK224" s="243"/>
      <c r="AFL224" s="243"/>
      <c r="AFM224" s="243"/>
      <c r="AFN224" s="243"/>
      <c r="AFO224" s="243"/>
      <c r="AFP224" s="243"/>
      <c r="AFQ224" s="243"/>
      <c r="AFR224" s="243"/>
      <c r="AFS224" s="243"/>
      <c r="AFT224" s="243"/>
      <c r="AFU224" s="243"/>
      <c r="AFV224" s="243"/>
      <c r="AFW224" s="243"/>
      <c r="AFX224" s="243"/>
      <c r="AFY224" s="243"/>
      <c r="AFZ224" s="243"/>
      <c r="AGA224" s="243"/>
      <c r="AGB224" s="243"/>
      <c r="AGC224" s="243"/>
      <c r="AGD224" s="243"/>
      <c r="AGE224" s="243"/>
      <c r="AGF224" s="243"/>
      <c r="AGG224" s="243"/>
      <c r="AGH224" s="243"/>
      <c r="AGI224" s="243"/>
      <c r="AGJ224" s="243"/>
      <c r="AGK224" s="243"/>
      <c r="AGL224" s="243"/>
      <c r="AGM224" s="243"/>
      <c r="AGN224" s="243"/>
      <c r="AGO224" s="243"/>
      <c r="AGP224" s="243"/>
      <c r="AGQ224" s="243"/>
      <c r="AGR224" s="243"/>
      <c r="AGS224" s="243"/>
      <c r="AGT224" s="243"/>
      <c r="AGU224" s="243"/>
      <c r="AGV224" s="243"/>
      <c r="AGW224" s="243"/>
      <c r="AGX224" s="243"/>
      <c r="AGY224" s="243"/>
      <c r="AGZ224" s="243"/>
      <c r="AHA224" s="243"/>
      <c r="AHB224" s="243"/>
      <c r="AHC224" s="243"/>
      <c r="AHD224" s="243"/>
      <c r="AHE224" s="243"/>
      <c r="AHF224" s="243"/>
      <c r="AHG224" s="243"/>
      <c r="AHH224" s="243"/>
      <c r="AHI224" s="243"/>
      <c r="AHJ224" s="243"/>
      <c r="AHK224" s="243"/>
      <c r="AHL224" s="243"/>
      <c r="AHM224" s="243"/>
      <c r="AHN224" s="243"/>
      <c r="AHO224" s="243"/>
      <c r="AHP224" s="243"/>
      <c r="AHQ224" s="243"/>
      <c r="AHR224" s="243"/>
      <c r="AHS224" s="243"/>
      <c r="AHT224" s="243"/>
      <c r="AHU224" s="243"/>
      <c r="AHV224" s="243"/>
      <c r="AHW224" s="243"/>
      <c r="AHX224" s="243"/>
      <c r="AHY224" s="243"/>
      <c r="AHZ224" s="243"/>
      <c r="AIA224" s="243"/>
      <c r="AIB224" s="243"/>
      <c r="AIC224" s="243"/>
      <c r="AID224" s="243"/>
      <c r="AIE224" s="243"/>
      <c r="AIF224" s="243"/>
      <c r="AIG224" s="243"/>
      <c r="AIH224" s="243"/>
      <c r="AII224" s="243"/>
      <c r="AIJ224" s="243"/>
      <c r="AIK224" s="243"/>
      <c r="AIL224" s="243"/>
      <c r="AIM224" s="243"/>
      <c r="AIN224" s="243"/>
      <c r="AIO224" s="243"/>
      <c r="AIP224" s="243"/>
      <c r="AIQ224" s="243"/>
      <c r="AIR224" s="243"/>
      <c r="AIS224" s="243"/>
      <c r="AIT224" s="243"/>
      <c r="AIU224" s="243"/>
      <c r="AIV224" s="243"/>
      <c r="AIW224" s="243"/>
      <c r="AIX224" s="243"/>
      <c r="AIY224" s="243"/>
      <c r="AIZ224" s="243"/>
      <c r="AJA224" s="243"/>
      <c r="AJB224" s="243"/>
      <c r="AJC224" s="243"/>
      <c r="AJD224" s="243"/>
      <c r="AJE224" s="243"/>
      <c r="AJF224" s="243"/>
      <c r="AJG224" s="243"/>
      <c r="AJH224" s="243"/>
      <c r="AJI224" s="243"/>
      <c r="AJJ224" s="243"/>
      <c r="AJK224" s="243"/>
      <c r="AJL224" s="243"/>
      <c r="AJM224" s="243"/>
      <c r="AJN224" s="243"/>
      <c r="AJO224" s="243"/>
      <c r="AJP224" s="243"/>
      <c r="AJQ224" s="243"/>
      <c r="AJR224" s="243"/>
      <c r="AJS224" s="243"/>
      <c r="AJT224" s="243"/>
      <c r="AJU224" s="243"/>
      <c r="AJV224" s="243"/>
      <c r="AJW224" s="243"/>
      <c r="AJX224" s="243"/>
      <c r="AJY224" s="243"/>
      <c r="AJZ224" s="243"/>
      <c r="AKA224" s="243"/>
      <c r="AKB224" s="243"/>
      <c r="AKC224" s="243"/>
      <c r="AKD224" s="243"/>
      <c r="AKE224" s="243"/>
      <c r="AKF224" s="243"/>
      <c r="AKG224" s="243"/>
      <c r="AKH224" s="243"/>
      <c r="AKI224" s="243"/>
      <c r="AKJ224" s="243"/>
      <c r="AKK224" s="243"/>
      <c r="AKL224" s="243"/>
      <c r="AKM224" s="243"/>
      <c r="AKN224" s="243"/>
      <c r="AKO224" s="243"/>
      <c r="AKP224" s="243"/>
      <c r="AKQ224" s="243"/>
      <c r="AKR224" s="243"/>
      <c r="AKS224" s="243"/>
      <c r="AKT224" s="243"/>
      <c r="AKU224" s="243"/>
      <c r="AKV224" s="243"/>
      <c r="AKW224" s="243"/>
      <c r="AKX224" s="243"/>
      <c r="AKY224" s="243"/>
      <c r="AKZ224" s="243"/>
      <c r="ALA224" s="243"/>
      <c r="ALB224" s="243"/>
      <c r="ALC224" s="243"/>
      <c r="ALD224" s="243"/>
      <c r="ALE224" s="243"/>
      <c r="ALF224" s="243"/>
      <c r="ALG224" s="243"/>
      <c r="ALH224" s="243"/>
      <c r="ALI224" s="243"/>
      <c r="ALJ224" s="243"/>
      <c r="ALK224" s="243"/>
      <c r="ALL224" s="243"/>
      <c r="ALM224" s="243"/>
      <c r="ALN224" s="243"/>
      <c r="ALO224" s="243"/>
      <c r="ALP224" s="243"/>
      <c r="ALQ224" s="243"/>
      <c r="ALR224" s="243"/>
      <c r="ALS224" s="243"/>
      <c r="ALT224" s="243"/>
      <c r="ALU224" s="243"/>
      <c r="ALV224" s="243"/>
      <c r="ALW224" s="243"/>
      <c r="ALX224" s="243"/>
      <c r="ALY224" s="243"/>
      <c r="ALZ224" s="243"/>
      <c r="AMA224" s="243"/>
      <c r="AMB224" s="243"/>
      <c r="AMC224" s="243"/>
      <c r="AMD224" s="243"/>
      <c r="AME224" s="243"/>
      <c r="AMF224" s="243"/>
      <c r="AMG224" s="243"/>
      <c r="AMH224" s="243"/>
      <c r="AMI224" s="244"/>
      <c r="AMJ224" s="244"/>
    </row>
    <row r="228" spans="1:1024" ht="22.5" customHeight="1">
      <c r="A228" s="915" t="s">
        <v>107</v>
      </c>
      <c r="B228" s="915"/>
      <c r="C228" s="915"/>
      <c r="D228" s="915"/>
      <c r="E228" s="915"/>
      <c r="F228" s="915"/>
      <c r="G228" s="915"/>
      <c r="H228" s="915"/>
      <c r="I228" s="915" t="s">
        <v>2</v>
      </c>
      <c r="J228" s="915"/>
      <c r="K228" s="915"/>
      <c r="L228" s="915"/>
      <c r="M228" s="915"/>
      <c r="N228" s="915"/>
      <c r="O228" s="915"/>
      <c r="P228" s="915"/>
      <c r="Q228" s="915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  <c r="AC228" s="243"/>
      <c r="AD228" s="243"/>
      <c r="AE228" s="243"/>
      <c r="AF228" s="243"/>
      <c r="AG228" s="243"/>
      <c r="AH228" s="243"/>
      <c r="AI228" s="243"/>
      <c r="AJ228" s="243"/>
      <c r="AK228" s="243"/>
      <c r="AL228" s="243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3"/>
      <c r="BA228" s="243"/>
      <c r="BB228" s="243"/>
      <c r="BC228" s="243"/>
      <c r="BD228" s="243"/>
      <c r="BE228" s="243"/>
      <c r="BF228" s="243"/>
      <c r="BG228" s="243"/>
      <c r="BH228" s="243"/>
      <c r="BI228" s="243"/>
      <c r="BJ228" s="243"/>
      <c r="BK228" s="243"/>
      <c r="BL228" s="243"/>
      <c r="BM228" s="243"/>
      <c r="BN228" s="243"/>
      <c r="BO228" s="243"/>
      <c r="BP228" s="243"/>
      <c r="BQ228" s="243"/>
      <c r="BR228" s="243"/>
      <c r="BS228" s="243"/>
      <c r="BT228" s="243"/>
      <c r="BU228" s="243"/>
      <c r="BV228" s="243"/>
      <c r="BW228" s="243"/>
      <c r="BX228" s="243"/>
      <c r="BY228" s="243"/>
      <c r="BZ228" s="243"/>
      <c r="CA228" s="243"/>
      <c r="CB228" s="243"/>
      <c r="CC228" s="243"/>
      <c r="CD228" s="243"/>
      <c r="CE228" s="243"/>
      <c r="CF228" s="243"/>
      <c r="CG228" s="243"/>
      <c r="CH228" s="243"/>
      <c r="CI228" s="243"/>
      <c r="CJ228" s="243"/>
      <c r="CK228" s="243"/>
      <c r="CL228" s="243"/>
      <c r="CM228" s="243"/>
      <c r="CN228" s="243"/>
      <c r="CO228" s="243"/>
      <c r="CP228" s="243"/>
      <c r="CQ228" s="243"/>
      <c r="CR228" s="243"/>
      <c r="CS228" s="243"/>
      <c r="CT228" s="243"/>
      <c r="CU228" s="243"/>
      <c r="CV228" s="243"/>
      <c r="CW228" s="243"/>
      <c r="CX228" s="243"/>
      <c r="CY228" s="243"/>
      <c r="CZ228" s="243"/>
      <c r="DA228" s="243"/>
      <c r="DB228" s="243"/>
      <c r="DC228" s="243"/>
      <c r="DD228" s="243"/>
      <c r="DE228" s="243"/>
      <c r="DF228" s="243"/>
      <c r="DG228" s="243"/>
      <c r="DH228" s="243"/>
      <c r="DI228" s="243"/>
      <c r="DJ228" s="243"/>
      <c r="DK228" s="243"/>
      <c r="DL228" s="243"/>
      <c r="DM228" s="243"/>
      <c r="DN228" s="243"/>
      <c r="DO228" s="243"/>
      <c r="DP228" s="243"/>
      <c r="DQ228" s="243"/>
      <c r="DR228" s="243"/>
      <c r="DS228" s="243"/>
      <c r="DT228" s="243"/>
      <c r="DU228" s="243"/>
      <c r="DV228" s="243"/>
      <c r="DW228" s="243"/>
      <c r="DX228" s="243"/>
      <c r="DY228" s="243"/>
      <c r="DZ228" s="243"/>
      <c r="EA228" s="243"/>
      <c r="EB228" s="243"/>
      <c r="EC228" s="243"/>
      <c r="ED228" s="243"/>
      <c r="EE228" s="243"/>
      <c r="EF228" s="243"/>
      <c r="EG228" s="243"/>
      <c r="EH228" s="243"/>
      <c r="EI228" s="243"/>
      <c r="EJ228" s="243"/>
      <c r="EK228" s="243"/>
      <c r="EL228" s="243"/>
      <c r="EM228" s="243"/>
      <c r="EN228" s="243"/>
      <c r="EO228" s="243"/>
      <c r="EP228" s="243"/>
      <c r="EQ228" s="243"/>
      <c r="ER228" s="243"/>
      <c r="ES228" s="243"/>
      <c r="ET228" s="243"/>
      <c r="EU228" s="243"/>
      <c r="EV228" s="243"/>
      <c r="EW228" s="243"/>
      <c r="EX228" s="243"/>
      <c r="EY228" s="243"/>
      <c r="EZ228" s="243"/>
      <c r="FA228" s="243"/>
      <c r="FB228" s="243"/>
      <c r="FC228" s="243"/>
      <c r="FD228" s="243"/>
      <c r="FE228" s="243"/>
      <c r="FF228" s="243"/>
      <c r="FG228" s="243"/>
      <c r="FH228" s="243"/>
      <c r="FI228" s="243"/>
      <c r="FJ228" s="243"/>
      <c r="FK228" s="243"/>
      <c r="FL228" s="243"/>
      <c r="FM228" s="243"/>
      <c r="FN228" s="243"/>
      <c r="FO228" s="243"/>
      <c r="FP228" s="243"/>
      <c r="FQ228" s="243"/>
      <c r="FR228" s="243"/>
      <c r="FS228" s="243"/>
      <c r="FT228" s="243"/>
      <c r="FU228" s="243"/>
      <c r="FV228" s="243"/>
      <c r="FW228" s="243"/>
      <c r="FX228" s="243"/>
      <c r="FY228" s="243"/>
      <c r="FZ228" s="243"/>
      <c r="GA228" s="243"/>
      <c r="GB228" s="243"/>
      <c r="GC228" s="243"/>
      <c r="GD228" s="243"/>
      <c r="GE228" s="243"/>
      <c r="GF228" s="243"/>
      <c r="GG228" s="243"/>
      <c r="GH228" s="243"/>
      <c r="GI228" s="243"/>
      <c r="GJ228" s="243"/>
      <c r="GK228" s="243"/>
      <c r="GL228" s="243"/>
      <c r="GM228" s="243"/>
      <c r="GN228" s="243"/>
      <c r="GO228" s="243"/>
      <c r="GP228" s="243"/>
      <c r="GQ228" s="243"/>
      <c r="GR228" s="243"/>
      <c r="GS228" s="243"/>
      <c r="GT228" s="243"/>
      <c r="GU228" s="243"/>
      <c r="GV228" s="243"/>
      <c r="GW228" s="243"/>
      <c r="GX228" s="243"/>
      <c r="GY228" s="243"/>
      <c r="GZ228" s="243"/>
      <c r="HA228" s="243"/>
      <c r="HB228" s="243"/>
      <c r="HC228" s="243"/>
      <c r="HD228" s="243"/>
      <c r="HE228" s="243"/>
      <c r="HF228" s="243"/>
      <c r="HG228" s="243"/>
      <c r="HH228" s="243"/>
      <c r="HI228" s="243"/>
      <c r="HJ228" s="243"/>
      <c r="HK228" s="243"/>
      <c r="HL228" s="243"/>
      <c r="HM228" s="243"/>
      <c r="HN228" s="243"/>
      <c r="HO228" s="243"/>
      <c r="HP228" s="243"/>
      <c r="HQ228" s="243"/>
      <c r="HR228" s="243"/>
      <c r="HS228" s="243"/>
      <c r="HT228" s="243"/>
      <c r="HU228" s="243"/>
      <c r="HV228" s="243"/>
      <c r="HW228" s="243"/>
      <c r="HX228" s="243"/>
      <c r="HY228" s="243"/>
      <c r="HZ228" s="243"/>
      <c r="IA228" s="243"/>
      <c r="IB228" s="243"/>
      <c r="IC228" s="243"/>
      <c r="ID228" s="243"/>
      <c r="IE228" s="243"/>
      <c r="IF228" s="243"/>
      <c r="IG228" s="243"/>
      <c r="IH228" s="243"/>
      <c r="II228" s="243"/>
      <c r="IJ228" s="243"/>
      <c r="IK228" s="243"/>
      <c r="IL228" s="243"/>
      <c r="IM228" s="243"/>
      <c r="IN228" s="243"/>
      <c r="IO228" s="243"/>
      <c r="IP228" s="243"/>
      <c r="IQ228" s="243"/>
      <c r="IR228" s="243"/>
      <c r="IS228" s="243"/>
      <c r="IT228" s="243"/>
      <c r="IU228" s="243"/>
      <c r="IV228" s="243"/>
      <c r="IW228" s="243"/>
      <c r="IX228" s="243"/>
      <c r="IY228" s="243"/>
      <c r="IZ228" s="243"/>
      <c r="JA228" s="243"/>
      <c r="JB228" s="243"/>
      <c r="JC228" s="243"/>
      <c r="JD228" s="243"/>
      <c r="JE228" s="243"/>
      <c r="JF228" s="243"/>
      <c r="JG228" s="243"/>
      <c r="JH228" s="243"/>
      <c r="JI228" s="243"/>
      <c r="JJ228" s="243"/>
      <c r="JK228" s="243"/>
      <c r="JL228" s="243"/>
      <c r="JM228" s="243"/>
      <c r="JN228" s="243"/>
      <c r="JO228" s="243"/>
      <c r="JP228" s="243"/>
      <c r="JQ228" s="243"/>
      <c r="JR228" s="243"/>
      <c r="JS228" s="243"/>
      <c r="JT228" s="243"/>
      <c r="JU228" s="243"/>
      <c r="JV228" s="243"/>
      <c r="JW228" s="243"/>
      <c r="JX228" s="243"/>
      <c r="JY228" s="243"/>
      <c r="JZ228" s="243"/>
      <c r="KA228" s="243"/>
      <c r="KB228" s="243"/>
      <c r="KC228" s="243"/>
      <c r="KD228" s="243"/>
      <c r="KE228" s="243"/>
      <c r="KF228" s="243"/>
      <c r="KG228" s="243"/>
      <c r="KH228" s="243"/>
      <c r="KI228" s="243"/>
      <c r="KJ228" s="243"/>
      <c r="KK228" s="243"/>
      <c r="KL228" s="243"/>
      <c r="KM228" s="243"/>
      <c r="KN228" s="243"/>
      <c r="KO228" s="243"/>
      <c r="KP228" s="243"/>
      <c r="KQ228" s="243"/>
      <c r="KR228" s="243"/>
      <c r="KS228" s="243"/>
      <c r="KT228" s="243"/>
      <c r="KU228" s="243"/>
      <c r="KV228" s="243"/>
      <c r="KW228" s="243"/>
      <c r="KX228" s="243"/>
      <c r="KY228" s="243"/>
      <c r="KZ228" s="243"/>
      <c r="LA228" s="243"/>
      <c r="LB228" s="243"/>
      <c r="LC228" s="243"/>
      <c r="LD228" s="243"/>
      <c r="LE228" s="243"/>
      <c r="LF228" s="243"/>
      <c r="LG228" s="243"/>
      <c r="LH228" s="243"/>
      <c r="LI228" s="243"/>
      <c r="LJ228" s="243"/>
      <c r="LK228" s="243"/>
      <c r="LL228" s="243"/>
      <c r="LM228" s="243"/>
      <c r="LN228" s="243"/>
      <c r="LO228" s="243"/>
      <c r="LP228" s="243"/>
      <c r="LQ228" s="243"/>
      <c r="LR228" s="243"/>
      <c r="LS228" s="243"/>
      <c r="LT228" s="243"/>
      <c r="LU228" s="243"/>
      <c r="LV228" s="243"/>
      <c r="LW228" s="243"/>
      <c r="LX228" s="243"/>
      <c r="LY228" s="243"/>
      <c r="LZ228" s="243"/>
      <c r="MA228" s="243"/>
      <c r="MB228" s="243"/>
      <c r="MC228" s="243"/>
      <c r="MD228" s="243"/>
      <c r="ME228" s="243"/>
      <c r="MF228" s="243"/>
      <c r="MG228" s="243"/>
      <c r="MH228" s="243"/>
      <c r="MI228" s="243"/>
      <c r="MJ228" s="243"/>
      <c r="MK228" s="243"/>
      <c r="ML228" s="243"/>
      <c r="MM228" s="243"/>
      <c r="MN228" s="243"/>
      <c r="MO228" s="243"/>
      <c r="MP228" s="243"/>
      <c r="MQ228" s="243"/>
      <c r="MR228" s="243"/>
      <c r="MS228" s="243"/>
      <c r="MT228" s="243"/>
      <c r="MU228" s="243"/>
      <c r="MV228" s="243"/>
      <c r="MW228" s="243"/>
      <c r="MX228" s="243"/>
      <c r="MY228" s="243"/>
      <c r="MZ228" s="243"/>
      <c r="NA228" s="243"/>
      <c r="NB228" s="243"/>
      <c r="NC228" s="243"/>
      <c r="ND228" s="243"/>
      <c r="NE228" s="243"/>
      <c r="NF228" s="243"/>
      <c r="NG228" s="243"/>
      <c r="NH228" s="243"/>
      <c r="NI228" s="243"/>
      <c r="NJ228" s="243"/>
      <c r="NK228" s="243"/>
      <c r="NL228" s="243"/>
      <c r="NM228" s="243"/>
      <c r="NN228" s="243"/>
      <c r="NO228" s="243"/>
      <c r="NP228" s="243"/>
      <c r="NQ228" s="243"/>
      <c r="NR228" s="243"/>
      <c r="NS228" s="243"/>
      <c r="NT228" s="243"/>
      <c r="NU228" s="243"/>
      <c r="NV228" s="243"/>
      <c r="NW228" s="243"/>
      <c r="NX228" s="243"/>
      <c r="NY228" s="243"/>
      <c r="NZ228" s="243"/>
      <c r="OA228" s="243"/>
      <c r="OB228" s="243"/>
      <c r="OC228" s="243"/>
      <c r="OD228" s="243"/>
      <c r="OE228" s="243"/>
      <c r="OF228" s="243"/>
      <c r="OG228" s="243"/>
      <c r="OH228" s="243"/>
      <c r="OI228" s="243"/>
      <c r="OJ228" s="243"/>
      <c r="OK228" s="243"/>
      <c r="OL228" s="243"/>
      <c r="OM228" s="243"/>
      <c r="ON228" s="243"/>
      <c r="OO228" s="243"/>
      <c r="OP228" s="243"/>
      <c r="OQ228" s="243"/>
      <c r="OR228" s="243"/>
      <c r="OS228" s="243"/>
      <c r="OT228" s="243"/>
      <c r="OU228" s="243"/>
      <c r="OV228" s="243"/>
      <c r="OW228" s="243"/>
      <c r="OX228" s="243"/>
      <c r="OY228" s="243"/>
      <c r="OZ228" s="243"/>
      <c r="PA228" s="243"/>
      <c r="PB228" s="243"/>
      <c r="PC228" s="243"/>
      <c r="PD228" s="243"/>
      <c r="PE228" s="243"/>
      <c r="PF228" s="243"/>
      <c r="PG228" s="243"/>
      <c r="PH228" s="243"/>
      <c r="PI228" s="243"/>
      <c r="PJ228" s="243"/>
      <c r="PK228" s="243"/>
      <c r="PL228" s="243"/>
      <c r="PM228" s="243"/>
      <c r="PN228" s="243"/>
      <c r="PO228" s="243"/>
      <c r="PP228" s="243"/>
      <c r="PQ228" s="243"/>
      <c r="PR228" s="243"/>
      <c r="PS228" s="243"/>
      <c r="PT228" s="243"/>
      <c r="PU228" s="243"/>
      <c r="PV228" s="243"/>
      <c r="PW228" s="243"/>
      <c r="PX228" s="243"/>
      <c r="PY228" s="243"/>
      <c r="PZ228" s="243"/>
      <c r="QA228" s="243"/>
      <c r="QB228" s="243"/>
      <c r="QC228" s="243"/>
      <c r="QD228" s="243"/>
      <c r="QE228" s="243"/>
      <c r="QF228" s="243"/>
      <c r="QG228" s="243"/>
      <c r="QH228" s="243"/>
      <c r="QI228" s="243"/>
      <c r="QJ228" s="243"/>
      <c r="QK228" s="243"/>
      <c r="QL228" s="243"/>
      <c r="QM228" s="243"/>
      <c r="QN228" s="243"/>
      <c r="QO228" s="243"/>
      <c r="QP228" s="243"/>
      <c r="QQ228" s="243"/>
      <c r="QR228" s="243"/>
      <c r="QS228" s="243"/>
      <c r="QT228" s="243"/>
      <c r="QU228" s="243"/>
      <c r="QV228" s="243"/>
      <c r="QW228" s="243"/>
      <c r="QX228" s="243"/>
      <c r="QY228" s="243"/>
      <c r="QZ228" s="243"/>
      <c r="RA228" s="243"/>
      <c r="RB228" s="243"/>
      <c r="RC228" s="243"/>
      <c r="RD228" s="243"/>
      <c r="RE228" s="243"/>
      <c r="RF228" s="243"/>
      <c r="RG228" s="243"/>
      <c r="RH228" s="243"/>
      <c r="RI228" s="243"/>
      <c r="RJ228" s="243"/>
      <c r="RK228" s="243"/>
      <c r="RL228" s="243"/>
      <c r="RM228" s="243"/>
      <c r="RN228" s="243"/>
      <c r="RO228" s="243"/>
      <c r="RP228" s="243"/>
      <c r="RQ228" s="243"/>
      <c r="RR228" s="243"/>
      <c r="RS228" s="243"/>
      <c r="RT228" s="243"/>
      <c r="RU228" s="243"/>
      <c r="RV228" s="243"/>
      <c r="RW228" s="243"/>
      <c r="RX228" s="243"/>
      <c r="RY228" s="243"/>
      <c r="RZ228" s="243"/>
      <c r="SA228" s="243"/>
      <c r="SB228" s="243"/>
      <c r="SC228" s="243"/>
      <c r="SD228" s="243"/>
      <c r="SE228" s="243"/>
      <c r="SF228" s="243"/>
      <c r="SG228" s="243"/>
      <c r="SH228" s="243"/>
      <c r="SI228" s="243"/>
      <c r="SJ228" s="243"/>
      <c r="SK228" s="243"/>
      <c r="SL228" s="243"/>
      <c r="SM228" s="243"/>
      <c r="SN228" s="243"/>
      <c r="SO228" s="243"/>
      <c r="SP228" s="243"/>
      <c r="SQ228" s="243"/>
      <c r="SR228" s="243"/>
      <c r="SS228" s="243"/>
      <c r="ST228" s="243"/>
      <c r="SU228" s="243"/>
      <c r="SV228" s="243"/>
      <c r="SW228" s="243"/>
      <c r="SX228" s="243"/>
      <c r="SY228" s="243"/>
      <c r="SZ228" s="243"/>
      <c r="TA228" s="243"/>
      <c r="TB228" s="243"/>
      <c r="TC228" s="243"/>
      <c r="TD228" s="243"/>
      <c r="TE228" s="243"/>
      <c r="TF228" s="243"/>
      <c r="TG228" s="243"/>
      <c r="TH228" s="243"/>
      <c r="TI228" s="243"/>
      <c r="TJ228" s="243"/>
      <c r="TK228" s="243"/>
      <c r="TL228" s="243"/>
      <c r="TM228" s="243"/>
      <c r="TN228" s="243"/>
      <c r="TO228" s="243"/>
      <c r="TP228" s="243"/>
      <c r="TQ228" s="243"/>
      <c r="TR228" s="243"/>
      <c r="TS228" s="243"/>
      <c r="TT228" s="243"/>
      <c r="TU228" s="243"/>
      <c r="TV228" s="243"/>
      <c r="TW228" s="243"/>
      <c r="TX228" s="243"/>
      <c r="TY228" s="243"/>
      <c r="TZ228" s="243"/>
      <c r="UA228" s="243"/>
      <c r="UB228" s="243"/>
      <c r="UC228" s="243"/>
      <c r="UD228" s="243"/>
      <c r="UE228" s="243"/>
      <c r="UF228" s="243"/>
      <c r="UG228" s="243"/>
      <c r="UH228" s="243"/>
      <c r="UI228" s="243"/>
      <c r="UJ228" s="243"/>
      <c r="UK228" s="243"/>
      <c r="UL228" s="243"/>
      <c r="UM228" s="243"/>
      <c r="UN228" s="243"/>
      <c r="UO228" s="243"/>
      <c r="UP228" s="243"/>
      <c r="UQ228" s="243"/>
      <c r="UR228" s="243"/>
      <c r="US228" s="243"/>
      <c r="UT228" s="243"/>
      <c r="UU228" s="243"/>
      <c r="UV228" s="243"/>
      <c r="UW228" s="243"/>
      <c r="UX228" s="243"/>
      <c r="UY228" s="243"/>
      <c r="UZ228" s="243"/>
      <c r="VA228" s="243"/>
      <c r="VB228" s="243"/>
      <c r="VC228" s="243"/>
      <c r="VD228" s="243"/>
      <c r="VE228" s="243"/>
      <c r="VF228" s="243"/>
      <c r="VG228" s="243"/>
      <c r="VH228" s="243"/>
      <c r="VI228" s="243"/>
      <c r="VJ228" s="243"/>
      <c r="VK228" s="243"/>
      <c r="VL228" s="243"/>
      <c r="VM228" s="243"/>
      <c r="VN228" s="243"/>
      <c r="VO228" s="243"/>
      <c r="VP228" s="243"/>
      <c r="VQ228" s="243"/>
      <c r="VR228" s="243"/>
      <c r="VS228" s="243"/>
      <c r="VT228" s="243"/>
      <c r="VU228" s="243"/>
      <c r="VV228" s="243"/>
      <c r="VW228" s="243"/>
      <c r="VX228" s="243"/>
      <c r="VY228" s="243"/>
      <c r="VZ228" s="243"/>
      <c r="WA228" s="243"/>
      <c r="WB228" s="243"/>
      <c r="WC228" s="243"/>
      <c r="WD228" s="243"/>
      <c r="WE228" s="243"/>
      <c r="WF228" s="243"/>
      <c r="WG228" s="243"/>
      <c r="WH228" s="243"/>
      <c r="WI228" s="243"/>
      <c r="WJ228" s="243"/>
      <c r="WK228" s="243"/>
      <c r="WL228" s="243"/>
      <c r="WM228" s="243"/>
      <c r="WN228" s="243"/>
      <c r="WO228" s="243"/>
      <c r="WP228" s="243"/>
      <c r="WQ228" s="243"/>
      <c r="WR228" s="243"/>
      <c r="WS228" s="243"/>
      <c r="WT228" s="243"/>
      <c r="WU228" s="243"/>
      <c r="WV228" s="243"/>
      <c r="WW228" s="243"/>
      <c r="WX228" s="243"/>
      <c r="WY228" s="243"/>
      <c r="WZ228" s="243"/>
      <c r="XA228" s="243"/>
      <c r="XB228" s="243"/>
      <c r="XC228" s="243"/>
      <c r="XD228" s="243"/>
      <c r="XE228" s="243"/>
      <c r="XF228" s="243"/>
      <c r="XG228" s="243"/>
      <c r="XH228" s="243"/>
      <c r="XI228" s="243"/>
      <c r="XJ228" s="243"/>
      <c r="XK228" s="243"/>
      <c r="XL228" s="243"/>
      <c r="XM228" s="243"/>
      <c r="XN228" s="243"/>
      <c r="XO228" s="243"/>
      <c r="XP228" s="243"/>
      <c r="XQ228" s="243"/>
      <c r="XR228" s="243"/>
      <c r="XS228" s="243"/>
      <c r="XT228" s="243"/>
      <c r="XU228" s="243"/>
      <c r="XV228" s="243"/>
      <c r="XW228" s="243"/>
      <c r="XX228" s="243"/>
      <c r="XY228" s="243"/>
      <c r="XZ228" s="243"/>
      <c r="YA228" s="243"/>
      <c r="YB228" s="243"/>
      <c r="YC228" s="243"/>
      <c r="YD228" s="243"/>
      <c r="YE228" s="243"/>
      <c r="YF228" s="243"/>
      <c r="YG228" s="243"/>
      <c r="YH228" s="243"/>
      <c r="YI228" s="243"/>
      <c r="YJ228" s="243"/>
      <c r="YK228" s="243"/>
      <c r="YL228" s="243"/>
      <c r="YM228" s="243"/>
      <c r="YN228" s="243"/>
      <c r="YO228" s="243"/>
      <c r="YP228" s="243"/>
      <c r="YQ228" s="243"/>
      <c r="YR228" s="243"/>
      <c r="YS228" s="243"/>
      <c r="YT228" s="243"/>
      <c r="YU228" s="243"/>
      <c r="YV228" s="243"/>
      <c r="YW228" s="243"/>
      <c r="YX228" s="243"/>
      <c r="YY228" s="243"/>
      <c r="YZ228" s="243"/>
      <c r="ZA228" s="243"/>
      <c r="ZB228" s="243"/>
      <c r="ZC228" s="243"/>
      <c r="ZD228" s="243"/>
      <c r="ZE228" s="243"/>
      <c r="ZF228" s="243"/>
      <c r="ZG228" s="243"/>
      <c r="ZH228" s="243"/>
      <c r="ZI228" s="243"/>
      <c r="ZJ228" s="243"/>
      <c r="ZK228" s="243"/>
      <c r="ZL228" s="243"/>
      <c r="ZM228" s="243"/>
      <c r="ZN228" s="243"/>
      <c r="ZO228" s="243"/>
      <c r="ZP228" s="243"/>
      <c r="ZQ228" s="243"/>
      <c r="ZR228" s="243"/>
      <c r="ZS228" s="243"/>
      <c r="ZT228" s="243"/>
      <c r="ZU228" s="243"/>
      <c r="ZV228" s="243"/>
      <c r="ZW228" s="243"/>
      <c r="ZX228" s="243"/>
      <c r="ZY228" s="243"/>
      <c r="ZZ228" s="243"/>
      <c r="AAA228" s="243"/>
      <c r="AAB228" s="243"/>
      <c r="AAC228" s="243"/>
      <c r="AAD228" s="243"/>
      <c r="AAE228" s="243"/>
      <c r="AAF228" s="243"/>
      <c r="AAG228" s="243"/>
      <c r="AAH228" s="243"/>
      <c r="AAI228" s="243"/>
      <c r="AAJ228" s="243"/>
      <c r="AAK228" s="243"/>
      <c r="AAL228" s="243"/>
      <c r="AAM228" s="243"/>
      <c r="AAN228" s="243"/>
      <c r="AAO228" s="243"/>
      <c r="AAP228" s="243"/>
      <c r="AAQ228" s="243"/>
      <c r="AAR228" s="243"/>
      <c r="AAS228" s="243"/>
      <c r="AAT228" s="243"/>
      <c r="AAU228" s="243"/>
      <c r="AAV228" s="243"/>
      <c r="AAW228" s="243"/>
      <c r="AAX228" s="243"/>
      <c r="AAY228" s="243"/>
      <c r="AAZ228" s="243"/>
      <c r="ABA228" s="243"/>
      <c r="ABB228" s="243"/>
      <c r="ABC228" s="243"/>
      <c r="ABD228" s="243"/>
      <c r="ABE228" s="243"/>
      <c r="ABF228" s="243"/>
      <c r="ABG228" s="243"/>
      <c r="ABH228" s="243"/>
      <c r="ABI228" s="243"/>
      <c r="ABJ228" s="243"/>
      <c r="ABK228" s="243"/>
      <c r="ABL228" s="243"/>
      <c r="ABM228" s="243"/>
      <c r="ABN228" s="243"/>
      <c r="ABO228" s="243"/>
      <c r="ABP228" s="243"/>
      <c r="ABQ228" s="243"/>
      <c r="ABR228" s="243"/>
      <c r="ABS228" s="243"/>
      <c r="ABT228" s="243"/>
      <c r="ABU228" s="243"/>
      <c r="ABV228" s="243"/>
      <c r="ABW228" s="243"/>
      <c r="ABX228" s="243"/>
      <c r="ABY228" s="243"/>
      <c r="ABZ228" s="243"/>
      <c r="ACA228" s="243"/>
      <c r="ACB228" s="243"/>
      <c r="ACC228" s="243"/>
      <c r="ACD228" s="243"/>
      <c r="ACE228" s="243"/>
      <c r="ACF228" s="243"/>
      <c r="ACG228" s="243"/>
      <c r="ACH228" s="243"/>
      <c r="ACI228" s="243"/>
      <c r="ACJ228" s="243"/>
      <c r="ACK228" s="243"/>
      <c r="ACL228" s="243"/>
      <c r="ACM228" s="243"/>
      <c r="ACN228" s="243"/>
      <c r="ACO228" s="243"/>
      <c r="ACP228" s="243"/>
      <c r="ACQ228" s="243"/>
      <c r="ACR228" s="243"/>
      <c r="ACS228" s="243"/>
      <c r="ACT228" s="243"/>
      <c r="ACU228" s="243"/>
      <c r="ACV228" s="243"/>
      <c r="ACW228" s="243"/>
      <c r="ACX228" s="243"/>
      <c r="ACY228" s="243"/>
      <c r="ACZ228" s="243"/>
      <c r="ADA228" s="243"/>
      <c r="ADB228" s="243"/>
      <c r="ADC228" s="243"/>
      <c r="ADD228" s="243"/>
      <c r="ADE228" s="243"/>
      <c r="ADF228" s="243"/>
      <c r="ADG228" s="243"/>
      <c r="ADH228" s="243"/>
      <c r="ADI228" s="243"/>
      <c r="ADJ228" s="243"/>
      <c r="ADK228" s="243"/>
      <c r="ADL228" s="243"/>
      <c r="ADM228" s="243"/>
      <c r="ADN228" s="243"/>
      <c r="ADO228" s="243"/>
      <c r="ADP228" s="243"/>
      <c r="ADQ228" s="243"/>
      <c r="ADR228" s="243"/>
      <c r="ADS228" s="243"/>
      <c r="ADT228" s="243"/>
      <c r="ADU228" s="243"/>
      <c r="ADV228" s="243"/>
      <c r="ADW228" s="243"/>
      <c r="ADX228" s="243"/>
      <c r="ADY228" s="243"/>
      <c r="ADZ228" s="243"/>
      <c r="AEA228" s="243"/>
      <c r="AEB228" s="243"/>
      <c r="AEC228" s="243"/>
      <c r="AED228" s="243"/>
      <c r="AEE228" s="243"/>
      <c r="AEF228" s="243"/>
      <c r="AEG228" s="243"/>
      <c r="AEH228" s="243"/>
      <c r="AEI228" s="243"/>
      <c r="AEJ228" s="243"/>
      <c r="AEK228" s="243"/>
      <c r="AEL228" s="243"/>
      <c r="AEM228" s="243"/>
      <c r="AEN228" s="243"/>
      <c r="AEO228" s="243"/>
      <c r="AEP228" s="243"/>
      <c r="AEQ228" s="243"/>
      <c r="AER228" s="243"/>
      <c r="AES228" s="243"/>
      <c r="AET228" s="243"/>
      <c r="AEU228" s="243"/>
      <c r="AEV228" s="243"/>
      <c r="AEW228" s="243"/>
      <c r="AEX228" s="243"/>
      <c r="AEY228" s="243"/>
      <c r="AEZ228" s="243"/>
      <c r="AFA228" s="243"/>
      <c r="AFB228" s="243"/>
      <c r="AFC228" s="243"/>
      <c r="AFD228" s="243"/>
      <c r="AFE228" s="243"/>
      <c r="AFF228" s="243"/>
      <c r="AFG228" s="243"/>
      <c r="AFH228" s="243"/>
      <c r="AFI228" s="243"/>
      <c r="AFJ228" s="243"/>
      <c r="AFK228" s="243"/>
      <c r="AFL228" s="243"/>
      <c r="AFM228" s="243"/>
      <c r="AFN228" s="243"/>
      <c r="AFO228" s="243"/>
      <c r="AFP228" s="243"/>
      <c r="AFQ228" s="243"/>
      <c r="AFR228" s="243"/>
      <c r="AFS228" s="243"/>
      <c r="AFT228" s="243"/>
      <c r="AFU228" s="243"/>
      <c r="AFV228" s="243"/>
      <c r="AFW228" s="243"/>
      <c r="AFX228" s="243"/>
      <c r="AFY228" s="243"/>
      <c r="AFZ228" s="243"/>
      <c r="AGA228" s="243"/>
      <c r="AGB228" s="243"/>
      <c r="AGC228" s="243"/>
      <c r="AGD228" s="243"/>
      <c r="AGE228" s="243"/>
      <c r="AGF228" s="243"/>
      <c r="AGG228" s="243"/>
      <c r="AGH228" s="243"/>
      <c r="AGI228" s="243"/>
      <c r="AGJ228" s="243"/>
      <c r="AGK228" s="243"/>
      <c r="AGL228" s="243"/>
      <c r="AGM228" s="243"/>
      <c r="AGN228" s="243"/>
      <c r="AGO228" s="243"/>
      <c r="AGP228" s="243"/>
      <c r="AGQ228" s="243"/>
      <c r="AGR228" s="243"/>
      <c r="AGS228" s="243"/>
      <c r="AGT228" s="243"/>
      <c r="AGU228" s="243"/>
      <c r="AGV228" s="243"/>
      <c r="AGW228" s="243"/>
      <c r="AGX228" s="243"/>
      <c r="AGY228" s="243"/>
      <c r="AGZ228" s="243"/>
      <c r="AHA228" s="243"/>
      <c r="AHB228" s="243"/>
      <c r="AHC228" s="243"/>
      <c r="AHD228" s="243"/>
      <c r="AHE228" s="243"/>
      <c r="AHF228" s="243"/>
      <c r="AHG228" s="243"/>
      <c r="AHH228" s="243"/>
      <c r="AHI228" s="243"/>
      <c r="AHJ228" s="243"/>
      <c r="AHK228" s="243"/>
      <c r="AHL228" s="243"/>
      <c r="AHM228" s="243"/>
      <c r="AHN228" s="243"/>
      <c r="AHO228" s="243"/>
      <c r="AHP228" s="243"/>
      <c r="AHQ228" s="243"/>
      <c r="AHR228" s="243"/>
      <c r="AHS228" s="243"/>
      <c r="AHT228" s="243"/>
      <c r="AHU228" s="243"/>
      <c r="AHV228" s="243"/>
      <c r="AHW228" s="243"/>
      <c r="AHX228" s="243"/>
      <c r="AHY228" s="243"/>
      <c r="AHZ228" s="243"/>
      <c r="AIA228" s="243"/>
      <c r="AIB228" s="243"/>
      <c r="AIC228" s="243"/>
      <c r="AID228" s="243"/>
      <c r="AIE228" s="243"/>
      <c r="AIF228" s="243"/>
      <c r="AIG228" s="243"/>
      <c r="AIH228" s="243"/>
      <c r="AII228" s="243"/>
      <c r="AIJ228" s="243"/>
      <c r="AIK228" s="243"/>
      <c r="AIL228" s="243"/>
      <c r="AIM228" s="243"/>
      <c r="AIN228" s="243"/>
      <c r="AIO228" s="243"/>
      <c r="AIP228" s="243"/>
      <c r="AIQ228" s="243"/>
      <c r="AIR228" s="243"/>
      <c r="AIS228" s="243"/>
      <c r="AIT228" s="243"/>
      <c r="AIU228" s="243"/>
      <c r="AIV228" s="243"/>
      <c r="AIW228" s="243"/>
      <c r="AIX228" s="243"/>
      <c r="AIY228" s="243"/>
      <c r="AIZ228" s="243"/>
      <c r="AJA228" s="243"/>
      <c r="AJB228" s="243"/>
      <c r="AJC228" s="243"/>
      <c r="AJD228" s="243"/>
      <c r="AJE228" s="243"/>
      <c r="AJF228" s="243"/>
      <c r="AJG228" s="243"/>
      <c r="AJH228" s="243"/>
      <c r="AJI228" s="243"/>
      <c r="AJJ228" s="243"/>
      <c r="AJK228" s="243"/>
      <c r="AJL228" s="243"/>
      <c r="AJM228" s="243"/>
      <c r="AJN228" s="243"/>
      <c r="AJO228" s="243"/>
      <c r="AJP228" s="243"/>
      <c r="AJQ228" s="243"/>
      <c r="AJR228" s="243"/>
      <c r="AJS228" s="243"/>
      <c r="AJT228" s="243"/>
      <c r="AJU228" s="243"/>
      <c r="AJV228" s="243"/>
      <c r="AJW228" s="243"/>
      <c r="AJX228" s="243"/>
      <c r="AJY228" s="243"/>
      <c r="AJZ228" s="243"/>
      <c r="AKA228" s="243"/>
      <c r="AKB228" s="243"/>
      <c r="AKC228" s="243"/>
      <c r="AKD228" s="243"/>
      <c r="AKE228" s="243"/>
      <c r="AKF228" s="243"/>
      <c r="AKG228" s="243"/>
      <c r="AKH228" s="243"/>
      <c r="AKI228" s="243"/>
      <c r="AKJ228" s="243"/>
      <c r="AKK228" s="243"/>
      <c r="AKL228" s="243"/>
      <c r="AKM228" s="243"/>
      <c r="AKN228" s="243"/>
      <c r="AKO228" s="243"/>
      <c r="AKP228" s="243"/>
      <c r="AKQ228" s="243"/>
      <c r="AKR228" s="243"/>
      <c r="AKS228" s="243"/>
      <c r="AKT228" s="243"/>
      <c r="AKU228" s="243"/>
      <c r="AKV228" s="243"/>
      <c r="AKW228" s="243"/>
      <c r="AKX228" s="243"/>
      <c r="AKY228" s="243"/>
      <c r="AKZ228" s="243"/>
      <c r="ALA228" s="243"/>
      <c r="ALB228" s="243"/>
      <c r="ALC228" s="243"/>
      <c r="ALD228" s="243"/>
      <c r="ALE228" s="243"/>
      <c r="ALF228" s="243"/>
      <c r="ALG228" s="243"/>
      <c r="ALH228" s="243"/>
      <c r="ALI228" s="243"/>
      <c r="ALJ228" s="243"/>
      <c r="ALK228" s="243"/>
      <c r="ALL228" s="243"/>
      <c r="ALM228" s="243"/>
      <c r="ALN228" s="243"/>
      <c r="ALO228" s="243"/>
      <c r="ALP228" s="243"/>
      <c r="ALQ228" s="243"/>
      <c r="ALR228" s="243"/>
      <c r="ALS228" s="243"/>
      <c r="ALT228" s="243"/>
      <c r="ALU228" s="243"/>
      <c r="ALV228" s="243"/>
      <c r="ALW228" s="243"/>
      <c r="ALX228" s="243"/>
      <c r="ALY228" s="243"/>
      <c r="ALZ228" s="243"/>
      <c r="AMA228" s="243"/>
      <c r="AMB228" s="243"/>
      <c r="AMC228" s="243"/>
      <c r="AMD228" s="243"/>
      <c r="AME228" s="243"/>
      <c r="AMF228" s="243"/>
      <c r="AMG228" s="243"/>
      <c r="AMH228" s="243"/>
      <c r="AMI228" s="244"/>
      <c r="AMJ228" s="244"/>
    </row>
    <row r="229" spans="1:1024" ht="18">
      <c r="A229" s="457" t="s">
        <v>3</v>
      </c>
      <c r="B229" s="457" t="s">
        <v>4</v>
      </c>
      <c r="C229" s="457" t="s">
        <v>5</v>
      </c>
      <c r="D229" s="457" t="s">
        <v>6</v>
      </c>
      <c r="E229" s="457" t="s">
        <v>29</v>
      </c>
      <c r="F229" s="457" t="s">
        <v>8</v>
      </c>
      <c r="G229" s="457" t="s">
        <v>9</v>
      </c>
      <c r="H229" s="457" t="s">
        <v>116</v>
      </c>
      <c r="I229" s="457" t="s">
        <v>12</v>
      </c>
      <c r="J229" s="457" t="s">
        <v>117</v>
      </c>
      <c r="K229" s="457" t="s">
        <v>118</v>
      </c>
      <c r="L229" s="457" t="s">
        <v>119</v>
      </c>
      <c r="M229" s="371" t="s">
        <v>4</v>
      </c>
      <c r="N229" s="371" t="s">
        <v>6</v>
      </c>
      <c r="O229" s="371" t="s">
        <v>29</v>
      </c>
      <c r="P229" s="371" t="s">
        <v>8</v>
      </c>
      <c r="Q229" s="371" t="s">
        <v>120</v>
      </c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  <c r="AC229" s="243"/>
      <c r="AD229" s="243"/>
      <c r="AE229" s="243"/>
      <c r="AF229" s="243"/>
      <c r="AG229" s="243"/>
      <c r="AH229" s="243"/>
      <c r="AI229" s="243"/>
      <c r="AJ229" s="243"/>
      <c r="AK229" s="243"/>
      <c r="AL229" s="243"/>
      <c r="AM229" s="243"/>
      <c r="AN229" s="243"/>
      <c r="AO229" s="243"/>
      <c r="AP229" s="243"/>
      <c r="AQ229" s="243"/>
      <c r="AR229" s="243"/>
      <c r="AS229" s="243"/>
      <c r="AT229" s="243"/>
      <c r="AU229" s="243"/>
      <c r="AV229" s="243"/>
      <c r="AW229" s="243"/>
      <c r="AX229" s="243"/>
      <c r="AY229" s="243"/>
      <c r="AZ229" s="243"/>
      <c r="BA229" s="243"/>
      <c r="BB229" s="243"/>
      <c r="BC229" s="243"/>
      <c r="BD229" s="243"/>
      <c r="BE229" s="243"/>
      <c r="BF229" s="243"/>
      <c r="BG229" s="243"/>
      <c r="BH229" s="243"/>
      <c r="BI229" s="243"/>
      <c r="BJ229" s="243"/>
      <c r="BK229" s="243"/>
      <c r="BL229" s="243"/>
      <c r="BM229" s="243"/>
      <c r="BN229" s="243"/>
      <c r="BO229" s="243"/>
      <c r="BP229" s="243"/>
      <c r="BQ229" s="243"/>
      <c r="BR229" s="243"/>
      <c r="BS229" s="243"/>
      <c r="BT229" s="243"/>
      <c r="BU229" s="243"/>
      <c r="BV229" s="243"/>
      <c r="BW229" s="243"/>
      <c r="BX229" s="243"/>
      <c r="BY229" s="243"/>
      <c r="BZ229" s="243"/>
      <c r="CA229" s="243"/>
      <c r="CB229" s="243"/>
      <c r="CC229" s="243"/>
      <c r="CD229" s="243"/>
      <c r="CE229" s="243"/>
      <c r="CF229" s="243"/>
      <c r="CG229" s="243"/>
      <c r="CH229" s="243"/>
      <c r="CI229" s="243"/>
      <c r="CJ229" s="243"/>
      <c r="CK229" s="243"/>
      <c r="CL229" s="243"/>
      <c r="CM229" s="243"/>
      <c r="CN229" s="243"/>
      <c r="CO229" s="243"/>
      <c r="CP229" s="243"/>
      <c r="CQ229" s="243"/>
      <c r="CR229" s="243"/>
      <c r="CS229" s="243"/>
      <c r="CT229" s="243"/>
      <c r="CU229" s="243"/>
      <c r="CV229" s="243"/>
      <c r="CW229" s="243"/>
      <c r="CX229" s="243"/>
      <c r="CY229" s="243"/>
      <c r="CZ229" s="243"/>
      <c r="DA229" s="243"/>
      <c r="DB229" s="243"/>
      <c r="DC229" s="243"/>
      <c r="DD229" s="243"/>
      <c r="DE229" s="243"/>
      <c r="DF229" s="243"/>
      <c r="DG229" s="243"/>
      <c r="DH229" s="243"/>
      <c r="DI229" s="243"/>
      <c r="DJ229" s="243"/>
      <c r="DK229" s="243"/>
      <c r="DL229" s="243"/>
      <c r="DM229" s="243"/>
      <c r="DN229" s="243"/>
      <c r="DO229" s="243"/>
      <c r="DP229" s="243"/>
      <c r="DQ229" s="243"/>
      <c r="DR229" s="243"/>
      <c r="DS229" s="243"/>
      <c r="DT229" s="243"/>
      <c r="DU229" s="243"/>
      <c r="DV229" s="243"/>
      <c r="DW229" s="243"/>
      <c r="DX229" s="243"/>
      <c r="DY229" s="243"/>
      <c r="DZ229" s="243"/>
      <c r="EA229" s="243"/>
      <c r="EB229" s="243"/>
      <c r="EC229" s="243"/>
      <c r="ED229" s="243"/>
      <c r="EE229" s="243"/>
      <c r="EF229" s="243"/>
      <c r="EG229" s="243"/>
      <c r="EH229" s="243"/>
      <c r="EI229" s="243"/>
      <c r="EJ229" s="243"/>
      <c r="EK229" s="243"/>
      <c r="EL229" s="243"/>
      <c r="EM229" s="243"/>
      <c r="EN229" s="243"/>
      <c r="EO229" s="243"/>
      <c r="EP229" s="243"/>
      <c r="EQ229" s="243"/>
      <c r="ER229" s="243"/>
      <c r="ES229" s="243"/>
      <c r="ET229" s="243"/>
      <c r="EU229" s="243"/>
      <c r="EV229" s="243"/>
      <c r="EW229" s="243"/>
      <c r="EX229" s="243"/>
      <c r="EY229" s="243"/>
      <c r="EZ229" s="243"/>
      <c r="FA229" s="243"/>
      <c r="FB229" s="243"/>
      <c r="FC229" s="243"/>
      <c r="FD229" s="243"/>
      <c r="FE229" s="243"/>
      <c r="FF229" s="243"/>
      <c r="FG229" s="243"/>
      <c r="FH229" s="243"/>
      <c r="FI229" s="243"/>
      <c r="FJ229" s="243"/>
      <c r="FK229" s="243"/>
      <c r="FL229" s="243"/>
      <c r="FM229" s="243"/>
      <c r="FN229" s="243"/>
      <c r="FO229" s="243"/>
      <c r="FP229" s="243"/>
      <c r="FQ229" s="243"/>
      <c r="FR229" s="243"/>
      <c r="FS229" s="243"/>
      <c r="FT229" s="243"/>
      <c r="FU229" s="243"/>
      <c r="FV229" s="243"/>
      <c r="FW229" s="243"/>
      <c r="FX229" s="243"/>
      <c r="FY229" s="243"/>
      <c r="FZ229" s="243"/>
      <c r="GA229" s="243"/>
      <c r="GB229" s="243"/>
      <c r="GC229" s="243"/>
      <c r="GD229" s="243"/>
      <c r="GE229" s="243"/>
      <c r="GF229" s="243"/>
      <c r="GG229" s="243"/>
      <c r="GH229" s="243"/>
      <c r="GI229" s="243"/>
      <c r="GJ229" s="243"/>
      <c r="GK229" s="243"/>
      <c r="GL229" s="243"/>
      <c r="GM229" s="243"/>
      <c r="GN229" s="243"/>
      <c r="GO229" s="243"/>
      <c r="GP229" s="243"/>
      <c r="GQ229" s="243"/>
      <c r="GR229" s="243"/>
      <c r="GS229" s="243"/>
      <c r="GT229" s="243"/>
      <c r="GU229" s="243"/>
      <c r="GV229" s="243"/>
      <c r="GW229" s="243"/>
      <c r="GX229" s="243"/>
      <c r="GY229" s="243"/>
      <c r="GZ229" s="243"/>
      <c r="HA229" s="243"/>
      <c r="HB229" s="243"/>
      <c r="HC229" s="243"/>
      <c r="HD229" s="243"/>
      <c r="HE229" s="243"/>
      <c r="HF229" s="243"/>
      <c r="HG229" s="243"/>
      <c r="HH229" s="243"/>
      <c r="HI229" s="243"/>
      <c r="HJ229" s="243"/>
      <c r="HK229" s="243"/>
      <c r="HL229" s="243"/>
      <c r="HM229" s="243"/>
      <c r="HN229" s="243"/>
      <c r="HO229" s="243"/>
      <c r="HP229" s="243"/>
      <c r="HQ229" s="243"/>
      <c r="HR229" s="243"/>
      <c r="HS229" s="243"/>
      <c r="HT229" s="243"/>
      <c r="HU229" s="243"/>
      <c r="HV229" s="243"/>
      <c r="HW229" s="243"/>
      <c r="HX229" s="243"/>
      <c r="HY229" s="243"/>
      <c r="HZ229" s="243"/>
      <c r="IA229" s="243"/>
      <c r="IB229" s="243"/>
      <c r="IC229" s="243"/>
      <c r="ID229" s="243"/>
      <c r="IE229" s="243"/>
      <c r="IF229" s="243"/>
      <c r="IG229" s="243"/>
      <c r="IH229" s="243"/>
      <c r="II229" s="243"/>
      <c r="IJ229" s="243"/>
      <c r="IK229" s="243"/>
      <c r="IL229" s="243"/>
      <c r="IM229" s="243"/>
      <c r="IN229" s="243"/>
      <c r="IO229" s="243"/>
      <c r="IP229" s="243"/>
      <c r="IQ229" s="243"/>
      <c r="IR229" s="243"/>
      <c r="IS229" s="243"/>
      <c r="IT229" s="243"/>
      <c r="IU229" s="243"/>
      <c r="IV229" s="243"/>
      <c r="IW229" s="243"/>
      <c r="IX229" s="243"/>
      <c r="IY229" s="243"/>
      <c r="IZ229" s="243"/>
      <c r="JA229" s="243"/>
      <c r="JB229" s="243"/>
      <c r="JC229" s="243"/>
      <c r="JD229" s="243"/>
      <c r="JE229" s="243"/>
      <c r="JF229" s="243"/>
      <c r="JG229" s="243"/>
      <c r="JH229" s="243"/>
      <c r="JI229" s="243"/>
      <c r="JJ229" s="243"/>
      <c r="JK229" s="243"/>
      <c r="JL229" s="243"/>
      <c r="JM229" s="243"/>
      <c r="JN229" s="243"/>
      <c r="JO229" s="243"/>
      <c r="JP229" s="243"/>
      <c r="JQ229" s="243"/>
      <c r="JR229" s="243"/>
      <c r="JS229" s="243"/>
      <c r="JT229" s="243"/>
      <c r="JU229" s="243"/>
      <c r="JV229" s="243"/>
      <c r="JW229" s="243"/>
      <c r="JX229" s="243"/>
      <c r="JY229" s="243"/>
      <c r="JZ229" s="243"/>
      <c r="KA229" s="243"/>
      <c r="KB229" s="243"/>
      <c r="KC229" s="243"/>
      <c r="KD229" s="243"/>
      <c r="KE229" s="243"/>
      <c r="KF229" s="243"/>
      <c r="KG229" s="243"/>
      <c r="KH229" s="243"/>
      <c r="KI229" s="243"/>
      <c r="KJ229" s="243"/>
      <c r="KK229" s="243"/>
      <c r="KL229" s="243"/>
      <c r="KM229" s="243"/>
      <c r="KN229" s="243"/>
      <c r="KO229" s="243"/>
      <c r="KP229" s="243"/>
      <c r="KQ229" s="243"/>
      <c r="KR229" s="243"/>
      <c r="KS229" s="243"/>
      <c r="KT229" s="243"/>
      <c r="KU229" s="243"/>
      <c r="KV229" s="243"/>
      <c r="KW229" s="243"/>
      <c r="KX229" s="243"/>
      <c r="KY229" s="243"/>
      <c r="KZ229" s="243"/>
      <c r="LA229" s="243"/>
      <c r="LB229" s="243"/>
      <c r="LC229" s="243"/>
      <c r="LD229" s="243"/>
      <c r="LE229" s="243"/>
      <c r="LF229" s="243"/>
      <c r="LG229" s="243"/>
      <c r="LH229" s="243"/>
      <c r="LI229" s="243"/>
      <c r="LJ229" s="243"/>
      <c r="LK229" s="243"/>
      <c r="LL229" s="243"/>
      <c r="LM229" s="243"/>
      <c r="LN229" s="243"/>
      <c r="LO229" s="243"/>
      <c r="LP229" s="243"/>
      <c r="LQ229" s="243"/>
      <c r="LR229" s="243"/>
      <c r="LS229" s="243"/>
      <c r="LT229" s="243"/>
      <c r="LU229" s="243"/>
      <c r="LV229" s="243"/>
      <c r="LW229" s="243"/>
      <c r="LX229" s="243"/>
      <c r="LY229" s="243"/>
      <c r="LZ229" s="243"/>
      <c r="MA229" s="243"/>
      <c r="MB229" s="243"/>
      <c r="MC229" s="243"/>
      <c r="MD229" s="243"/>
      <c r="ME229" s="243"/>
      <c r="MF229" s="243"/>
      <c r="MG229" s="243"/>
      <c r="MH229" s="243"/>
      <c r="MI229" s="243"/>
      <c r="MJ229" s="243"/>
      <c r="MK229" s="243"/>
      <c r="ML229" s="243"/>
      <c r="MM229" s="243"/>
      <c r="MN229" s="243"/>
      <c r="MO229" s="243"/>
      <c r="MP229" s="243"/>
      <c r="MQ229" s="243"/>
      <c r="MR229" s="243"/>
      <c r="MS229" s="243"/>
      <c r="MT229" s="243"/>
      <c r="MU229" s="243"/>
      <c r="MV229" s="243"/>
      <c r="MW229" s="243"/>
      <c r="MX229" s="243"/>
      <c r="MY229" s="243"/>
      <c r="MZ229" s="243"/>
      <c r="NA229" s="243"/>
      <c r="NB229" s="243"/>
      <c r="NC229" s="243"/>
      <c r="ND229" s="243"/>
      <c r="NE229" s="243"/>
      <c r="NF229" s="243"/>
      <c r="NG229" s="243"/>
      <c r="NH229" s="243"/>
      <c r="NI229" s="243"/>
      <c r="NJ229" s="243"/>
      <c r="NK229" s="243"/>
      <c r="NL229" s="243"/>
      <c r="NM229" s="243"/>
      <c r="NN229" s="243"/>
      <c r="NO229" s="243"/>
      <c r="NP229" s="243"/>
      <c r="NQ229" s="243"/>
      <c r="NR229" s="243"/>
      <c r="NS229" s="243"/>
      <c r="NT229" s="243"/>
      <c r="NU229" s="243"/>
      <c r="NV229" s="243"/>
      <c r="NW229" s="243"/>
      <c r="NX229" s="243"/>
      <c r="NY229" s="243"/>
      <c r="NZ229" s="243"/>
      <c r="OA229" s="243"/>
      <c r="OB229" s="243"/>
      <c r="OC229" s="243"/>
      <c r="OD229" s="243"/>
      <c r="OE229" s="243"/>
      <c r="OF229" s="243"/>
      <c r="OG229" s="243"/>
      <c r="OH229" s="243"/>
      <c r="OI229" s="243"/>
      <c r="OJ229" s="243"/>
      <c r="OK229" s="243"/>
      <c r="OL229" s="243"/>
      <c r="OM229" s="243"/>
      <c r="ON229" s="243"/>
      <c r="OO229" s="243"/>
      <c r="OP229" s="243"/>
      <c r="OQ229" s="243"/>
      <c r="OR229" s="243"/>
      <c r="OS229" s="243"/>
      <c r="OT229" s="243"/>
      <c r="OU229" s="243"/>
      <c r="OV229" s="243"/>
      <c r="OW229" s="243"/>
      <c r="OX229" s="243"/>
      <c r="OY229" s="243"/>
      <c r="OZ229" s="243"/>
      <c r="PA229" s="243"/>
      <c r="PB229" s="243"/>
      <c r="PC229" s="243"/>
      <c r="PD229" s="243"/>
      <c r="PE229" s="243"/>
      <c r="PF229" s="243"/>
      <c r="PG229" s="243"/>
      <c r="PH229" s="243"/>
      <c r="PI229" s="243"/>
      <c r="PJ229" s="243"/>
      <c r="PK229" s="243"/>
      <c r="PL229" s="243"/>
      <c r="PM229" s="243"/>
      <c r="PN229" s="243"/>
      <c r="PO229" s="243"/>
      <c r="PP229" s="243"/>
      <c r="PQ229" s="243"/>
      <c r="PR229" s="243"/>
      <c r="PS229" s="243"/>
      <c r="PT229" s="243"/>
      <c r="PU229" s="243"/>
      <c r="PV229" s="243"/>
      <c r="PW229" s="243"/>
      <c r="PX229" s="243"/>
      <c r="PY229" s="243"/>
      <c r="PZ229" s="243"/>
      <c r="QA229" s="243"/>
      <c r="QB229" s="243"/>
      <c r="QC229" s="243"/>
      <c r="QD229" s="243"/>
      <c r="QE229" s="243"/>
      <c r="QF229" s="243"/>
      <c r="QG229" s="243"/>
      <c r="QH229" s="243"/>
      <c r="QI229" s="243"/>
      <c r="QJ229" s="243"/>
      <c r="QK229" s="243"/>
      <c r="QL229" s="243"/>
      <c r="QM229" s="243"/>
      <c r="QN229" s="243"/>
      <c r="QO229" s="243"/>
      <c r="QP229" s="243"/>
      <c r="QQ229" s="243"/>
      <c r="QR229" s="243"/>
      <c r="QS229" s="243"/>
      <c r="QT229" s="243"/>
      <c r="QU229" s="243"/>
      <c r="QV229" s="243"/>
      <c r="QW229" s="243"/>
      <c r="QX229" s="243"/>
      <c r="QY229" s="243"/>
      <c r="QZ229" s="243"/>
      <c r="RA229" s="243"/>
      <c r="RB229" s="243"/>
      <c r="RC229" s="243"/>
      <c r="RD229" s="243"/>
      <c r="RE229" s="243"/>
      <c r="RF229" s="243"/>
      <c r="RG229" s="243"/>
      <c r="RH229" s="243"/>
      <c r="RI229" s="243"/>
      <c r="RJ229" s="243"/>
      <c r="RK229" s="243"/>
      <c r="RL229" s="243"/>
      <c r="RM229" s="243"/>
      <c r="RN229" s="243"/>
      <c r="RO229" s="243"/>
      <c r="RP229" s="243"/>
      <c r="RQ229" s="243"/>
      <c r="RR229" s="243"/>
      <c r="RS229" s="243"/>
      <c r="RT229" s="243"/>
      <c r="RU229" s="243"/>
      <c r="RV229" s="243"/>
      <c r="RW229" s="243"/>
      <c r="RX229" s="243"/>
      <c r="RY229" s="243"/>
      <c r="RZ229" s="243"/>
      <c r="SA229" s="243"/>
      <c r="SB229" s="243"/>
      <c r="SC229" s="243"/>
      <c r="SD229" s="243"/>
      <c r="SE229" s="243"/>
      <c r="SF229" s="243"/>
      <c r="SG229" s="243"/>
      <c r="SH229" s="243"/>
      <c r="SI229" s="243"/>
      <c r="SJ229" s="243"/>
      <c r="SK229" s="243"/>
      <c r="SL229" s="243"/>
      <c r="SM229" s="243"/>
      <c r="SN229" s="243"/>
      <c r="SO229" s="243"/>
      <c r="SP229" s="243"/>
      <c r="SQ229" s="243"/>
      <c r="SR229" s="243"/>
      <c r="SS229" s="243"/>
      <c r="ST229" s="243"/>
      <c r="SU229" s="243"/>
      <c r="SV229" s="243"/>
      <c r="SW229" s="243"/>
      <c r="SX229" s="243"/>
      <c r="SY229" s="243"/>
      <c r="SZ229" s="243"/>
      <c r="TA229" s="243"/>
      <c r="TB229" s="243"/>
      <c r="TC229" s="243"/>
      <c r="TD229" s="243"/>
      <c r="TE229" s="243"/>
      <c r="TF229" s="243"/>
      <c r="TG229" s="243"/>
      <c r="TH229" s="243"/>
      <c r="TI229" s="243"/>
      <c r="TJ229" s="243"/>
      <c r="TK229" s="243"/>
      <c r="TL229" s="243"/>
      <c r="TM229" s="243"/>
      <c r="TN229" s="243"/>
      <c r="TO229" s="243"/>
      <c r="TP229" s="243"/>
      <c r="TQ229" s="243"/>
      <c r="TR229" s="243"/>
      <c r="TS229" s="243"/>
      <c r="TT229" s="243"/>
      <c r="TU229" s="243"/>
      <c r="TV229" s="243"/>
      <c r="TW229" s="243"/>
      <c r="TX229" s="243"/>
      <c r="TY229" s="243"/>
      <c r="TZ229" s="243"/>
      <c r="UA229" s="243"/>
      <c r="UB229" s="243"/>
      <c r="UC229" s="243"/>
      <c r="UD229" s="243"/>
      <c r="UE229" s="243"/>
      <c r="UF229" s="243"/>
      <c r="UG229" s="243"/>
      <c r="UH229" s="243"/>
      <c r="UI229" s="243"/>
      <c r="UJ229" s="243"/>
      <c r="UK229" s="243"/>
      <c r="UL229" s="243"/>
      <c r="UM229" s="243"/>
      <c r="UN229" s="243"/>
      <c r="UO229" s="243"/>
      <c r="UP229" s="243"/>
      <c r="UQ229" s="243"/>
      <c r="UR229" s="243"/>
      <c r="US229" s="243"/>
      <c r="UT229" s="243"/>
      <c r="UU229" s="243"/>
      <c r="UV229" s="243"/>
      <c r="UW229" s="243"/>
      <c r="UX229" s="243"/>
      <c r="UY229" s="243"/>
      <c r="UZ229" s="243"/>
      <c r="VA229" s="243"/>
      <c r="VB229" s="243"/>
      <c r="VC229" s="243"/>
      <c r="VD229" s="243"/>
      <c r="VE229" s="243"/>
      <c r="VF229" s="243"/>
      <c r="VG229" s="243"/>
      <c r="VH229" s="243"/>
      <c r="VI229" s="243"/>
      <c r="VJ229" s="243"/>
      <c r="VK229" s="243"/>
      <c r="VL229" s="243"/>
      <c r="VM229" s="243"/>
      <c r="VN229" s="243"/>
      <c r="VO229" s="243"/>
      <c r="VP229" s="243"/>
      <c r="VQ229" s="243"/>
      <c r="VR229" s="243"/>
      <c r="VS229" s="243"/>
      <c r="VT229" s="243"/>
      <c r="VU229" s="243"/>
      <c r="VV229" s="243"/>
      <c r="VW229" s="243"/>
      <c r="VX229" s="243"/>
      <c r="VY229" s="243"/>
      <c r="VZ229" s="243"/>
      <c r="WA229" s="243"/>
      <c r="WB229" s="243"/>
      <c r="WC229" s="243"/>
      <c r="WD229" s="243"/>
      <c r="WE229" s="243"/>
      <c r="WF229" s="243"/>
      <c r="WG229" s="243"/>
      <c r="WH229" s="243"/>
      <c r="WI229" s="243"/>
      <c r="WJ229" s="243"/>
      <c r="WK229" s="243"/>
      <c r="WL229" s="243"/>
      <c r="WM229" s="243"/>
      <c r="WN229" s="243"/>
      <c r="WO229" s="243"/>
      <c r="WP229" s="243"/>
      <c r="WQ229" s="243"/>
      <c r="WR229" s="243"/>
      <c r="WS229" s="243"/>
      <c r="WT229" s="243"/>
      <c r="WU229" s="243"/>
      <c r="WV229" s="243"/>
      <c r="WW229" s="243"/>
      <c r="WX229" s="243"/>
      <c r="WY229" s="243"/>
      <c r="WZ229" s="243"/>
      <c r="XA229" s="243"/>
      <c r="XB229" s="243"/>
      <c r="XC229" s="243"/>
      <c r="XD229" s="243"/>
      <c r="XE229" s="243"/>
      <c r="XF229" s="243"/>
      <c r="XG229" s="243"/>
      <c r="XH229" s="243"/>
      <c r="XI229" s="243"/>
      <c r="XJ229" s="243"/>
      <c r="XK229" s="243"/>
      <c r="XL229" s="243"/>
      <c r="XM229" s="243"/>
      <c r="XN229" s="243"/>
      <c r="XO229" s="243"/>
      <c r="XP229" s="243"/>
      <c r="XQ229" s="243"/>
      <c r="XR229" s="243"/>
      <c r="XS229" s="243"/>
      <c r="XT229" s="243"/>
      <c r="XU229" s="243"/>
      <c r="XV229" s="243"/>
      <c r="XW229" s="243"/>
      <c r="XX229" s="243"/>
      <c r="XY229" s="243"/>
      <c r="XZ229" s="243"/>
      <c r="YA229" s="243"/>
      <c r="YB229" s="243"/>
      <c r="YC229" s="243"/>
      <c r="YD229" s="243"/>
      <c r="YE229" s="243"/>
      <c r="YF229" s="243"/>
      <c r="YG229" s="243"/>
      <c r="YH229" s="243"/>
      <c r="YI229" s="243"/>
      <c r="YJ229" s="243"/>
      <c r="YK229" s="243"/>
      <c r="YL229" s="243"/>
      <c r="YM229" s="243"/>
      <c r="YN229" s="243"/>
      <c r="YO229" s="243"/>
      <c r="YP229" s="243"/>
      <c r="YQ229" s="243"/>
      <c r="YR229" s="243"/>
      <c r="YS229" s="243"/>
      <c r="YT229" s="243"/>
      <c r="YU229" s="243"/>
      <c r="YV229" s="243"/>
      <c r="YW229" s="243"/>
      <c r="YX229" s="243"/>
      <c r="YY229" s="243"/>
      <c r="YZ229" s="243"/>
      <c r="ZA229" s="243"/>
      <c r="ZB229" s="243"/>
      <c r="ZC229" s="243"/>
      <c r="ZD229" s="243"/>
      <c r="ZE229" s="243"/>
      <c r="ZF229" s="243"/>
      <c r="ZG229" s="243"/>
      <c r="ZH229" s="243"/>
      <c r="ZI229" s="243"/>
      <c r="ZJ229" s="243"/>
      <c r="ZK229" s="243"/>
      <c r="ZL229" s="243"/>
      <c r="ZM229" s="243"/>
      <c r="ZN229" s="243"/>
      <c r="ZO229" s="243"/>
      <c r="ZP229" s="243"/>
      <c r="ZQ229" s="243"/>
      <c r="ZR229" s="243"/>
      <c r="ZS229" s="243"/>
      <c r="ZT229" s="243"/>
      <c r="ZU229" s="243"/>
      <c r="ZV229" s="243"/>
      <c r="ZW229" s="243"/>
      <c r="ZX229" s="243"/>
      <c r="ZY229" s="243"/>
      <c r="ZZ229" s="243"/>
      <c r="AAA229" s="243"/>
      <c r="AAB229" s="243"/>
      <c r="AAC229" s="243"/>
      <c r="AAD229" s="243"/>
      <c r="AAE229" s="243"/>
      <c r="AAF229" s="243"/>
      <c r="AAG229" s="243"/>
      <c r="AAH229" s="243"/>
      <c r="AAI229" s="243"/>
      <c r="AAJ229" s="243"/>
      <c r="AAK229" s="243"/>
      <c r="AAL229" s="243"/>
      <c r="AAM229" s="243"/>
      <c r="AAN229" s="243"/>
      <c r="AAO229" s="243"/>
      <c r="AAP229" s="243"/>
      <c r="AAQ229" s="243"/>
      <c r="AAR229" s="243"/>
      <c r="AAS229" s="243"/>
      <c r="AAT229" s="243"/>
      <c r="AAU229" s="243"/>
      <c r="AAV229" s="243"/>
      <c r="AAW229" s="243"/>
      <c r="AAX229" s="243"/>
      <c r="AAY229" s="243"/>
      <c r="AAZ229" s="243"/>
      <c r="ABA229" s="243"/>
      <c r="ABB229" s="243"/>
      <c r="ABC229" s="243"/>
      <c r="ABD229" s="243"/>
      <c r="ABE229" s="243"/>
      <c r="ABF229" s="243"/>
      <c r="ABG229" s="243"/>
      <c r="ABH229" s="243"/>
      <c r="ABI229" s="243"/>
      <c r="ABJ229" s="243"/>
      <c r="ABK229" s="243"/>
      <c r="ABL229" s="243"/>
      <c r="ABM229" s="243"/>
      <c r="ABN229" s="243"/>
      <c r="ABO229" s="243"/>
      <c r="ABP229" s="243"/>
      <c r="ABQ229" s="243"/>
      <c r="ABR229" s="243"/>
      <c r="ABS229" s="243"/>
      <c r="ABT229" s="243"/>
      <c r="ABU229" s="243"/>
      <c r="ABV229" s="243"/>
      <c r="ABW229" s="243"/>
      <c r="ABX229" s="243"/>
      <c r="ABY229" s="243"/>
      <c r="ABZ229" s="243"/>
      <c r="ACA229" s="243"/>
      <c r="ACB229" s="243"/>
      <c r="ACC229" s="243"/>
      <c r="ACD229" s="243"/>
      <c r="ACE229" s="243"/>
      <c r="ACF229" s="243"/>
      <c r="ACG229" s="243"/>
      <c r="ACH229" s="243"/>
      <c r="ACI229" s="243"/>
      <c r="ACJ229" s="243"/>
      <c r="ACK229" s="243"/>
      <c r="ACL229" s="243"/>
      <c r="ACM229" s="243"/>
      <c r="ACN229" s="243"/>
      <c r="ACO229" s="243"/>
      <c r="ACP229" s="243"/>
      <c r="ACQ229" s="243"/>
      <c r="ACR229" s="243"/>
      <c r="ACS229" s="243"/>
      <c r="ACT229" s="243"/>
      <c r="ACU229" s="243"/>
      <c r="ACV229" s="243"/>
      <c r="ACW229" s="243"/>
      <c r="ACX229" s="243"/>
      <c r="ACY229" s="243"/>
      <c r="ACZ229" s="243"/>
      <c r="ADA229" s="243"/>
      <c r="ADB229" s="243"/>
      <c r="ADC229" s="243"/>
      <c r="ADD229" s="243"/>
      <c r="ADE229" s="243"/>
      <c r="ADF229" s="243"/>
      <c r="ADG229" s="243"/>
      <c r="ADH229" s="243"/>
      <c r="ADI229" s="243"/>
      <c r="ADJ229" s="243"/>
      <c r="ADK229" s="243"/>
      <c r="ADL229" s="243"/>
      <c r="ADM229" s="243"/>
      <c r="ADN229" s="243"/>
      <c r="ADO229" s="243"/>
      <c r="ADP229" s="243"/>
      <c r="ADQ229" s="243"/>
      <c r="ADR229" s="243"/>
      <c r="ADS229" s="243"/>
      <c r="ADT229" s="243"/>
      <c r="ADU229" s="243"/>
      <c r="ADV229" s="243"/>
      <c r="ADW229" s="243"/>
      <c r="ADX229" s="243"/>
      <c r="ADY229" s="243"/>
      <c r="ADZ229" s="243"/>
      <c r="AEA229" s="243"/>
      <c r="AEB229" s="243"/>
      <c r="AEC229" s="243"/>
      <c r="AED229" s="243"/>
      <c r="AEE229" s="243"/>
      <c r="AEF229" s="243"/>
      <c r="AEG229" s="243"/>
      <c r="AEH229" s="243"/>
      <c r="AEI229" s="243"/>
      <c r="AEJ229" s="243"/>
      <c r="AEK229" s="243"/>
      <c r="AEL229" s="243"/>
      <c r="AEM229" s="243"/>
      <c r="AEN229" s="243"/>
      <c r="AEO229" s="243"/>
      <c r="AEP229" s="243"/>
      <c r="AEQ229" s="243"/>
      <c r="AER229" s="243"/>
      <c r="AES229" s="243"/>
      <c r="AET229" s="243"/>
      <c r="AEU229" s="243"/>
      <c r="AEV229" s="243"/>
      <c r="AEW229" s="243"/>
      <c r="AEX229" s="243"/>
      <c r="AEY229" s="243"/>
      <c r="AEZ229" s="243"/>
      <c r="AFA229" s="243"/>
      <c r="AFB229" s="243"/>
      <c r="AFC229" s="243"/>
      <c r="AFD229" s="243"/>
      <c r="AFE229" s="243"/>
      <c r="AFF229" s="243"/>
      <c r="AFG229" s="243"/>
      <c r="AFH229" s="243"/>
      <c r="AFI229" s="243"/>
      <c r="AFJ229" s="243"/>
      <c r="AFK229" s="243"/>
      <c r="AFL229" s="243"/>
      <c r="AFM229" s="243"/>
      <c r="AFN229" s="243"/>
      <c r="AFO229" s="243"/>
      <c r="AFP229" s="243"/>
      <c r="AFQ229" s="243"/>
      <c r="AFR229" s="243"/>
      <c r="AFS229" s="243"/>
      <c r="AFT229" s="243"/>
      <c r="AFU229" s="243"/>
      <c r="AFV229" s="243"/>
      <c r="AFW229" s="243"/>
      <c r="AFX229" s="243"/>
      <c r="AFY229" s="243"/>
      <c r="AFZ229" s="243"/>
      <c r="AGA229" s="243"/>
      <c r="AGB229" s="243"/>
      <c r="AGC229" s="243"/>
      <c r="AGD229" s="243"/>
      <c r="AGE229" s="243"/>
      <c r="AGF229" s="243"/>
      <c r="AGG229" s="243"/>
      <c r="AGH229" s="243"/>
      <c r="AGI229" s="243"/>
      <c r="AGJ229" s="243"/>
      <c r="AGK229" s="243"/>
      <c r="AGL229" s="243"/>
      <c r="AGM229" s="243"/>
      <c r="AGN229" s="243"/>
      <c r="AGO229" s="243"/>
      <c r="AGP229" s="243"/>
      <c r="AGQ229" s="243"/>
      <c r="AGR229" s="243"/>
      <c r="AGS229" s="243"/>
      <c r="AGT229" s="243"/>
      <c r="AGU229" s="243"/>
      <c r="AGV229" s="243"/>
      <c r="AGW229" s="243"/>
      <c r="AGX229" s="243"/>
      <c r="AGY229" s="243"/>
      <c r="AGZ229" s="243"/>
      <c r="AHA229" s="243"/>
      <c r="AHB229" s="243"/>
      <c r="AHC229" s="243"/>
      <c r="AHD229" s="243"/>
      <c r="AHE229" s="243"/>
      <c r="AHF229" s="243"/>
      <c r="AHG229" s="243"/>
      <c r="AHH229" s="243"/>
      <c r="AHI229" s="243"/>
      <c r="AHJ229" s="243"/>
      <c r="AHK229" s="243"/>
      <c r="AHL229" s="243"/>
      <c r="AHM229" s="243"/>
      <c r="AHN229" s="243"/>
      <c r="AHO229" s="243"/>
      <c r="AHP229" s="243"/>
      <c r="AHQ229" s="243"/>
      <c r="AHR229" s="243"/>
      <c r="AHS229" s="243"/>
      <c r="AHT229" s="243"/>
      <c r="AHU229" s="243"/>
      <c r="AHV229" s="243"/>
      <c r="AHW229" s="243"/>
      <c r="AHX229" s="243"/>
      <c r="AHY229" s="243"/>
      <c r="AHZ229" s="243"/>
      <c r="AIA229" s="243"/>
      <c r="AIB229" s="243"/>
      <c r="AIC229" s="243"/>
      <c r="AID229" s="243"/>
      <c r="AIE229" s="243"/>
      <c r="AIF229" s="243"/>
      <c r="AIG229" s="243"/>
      <c r="AIH229" s="243"/>
      <c r="AII229" s="243"/>
      <c r="AIJ229" s="243"/>
      <c r="AIK229" s="243"/>
      <c r="AIL229" s="243"/>
      <c r="AIM229" s="243"/>
      <c r="AIN229" s="243"/>
      <c r="AIO229" s="243"/>
      <c r="AIP229" s="243"/>
      <c r="AIQ229" s="243"/>
      <c r="AIR229" s="243"/>
      <c r="AIS229" s="243"/>
      <c r="AIT229" s="243"/>
      <c r="AIU229" s="243"/>
      <c r="AIV229" s="243"/>
      <c r="AIW229" s="243"/>
      <c r="AIX229" s="243"/>
      <c r="AIY229" s="243"/>
      <c r="AIZ229" s="243"/>
      <c r="AJA229" s="243"/>
      <c r="AJB229" s="243"/>
      <c r="AJC229" s="243"/>
      <c r="AJD229" s="243"/>
      <c r="AJE229" s="243"/>
      <c r="AJF229" s="243"/>
      <c r="AJG229" s="243"/>
      <c r="AJH229" s="243"/>
      <c r="AJI229" s="243"/>
      <c r="AJJ229" s="243"/>
      <c r="AJK229" s="243"/>
      <c r="AJL229" s="243"/>
      <c r="AJM229" s="243"/>
      <c r="AJN229" s="243"/>
      <c r="AJO229" s="243"/>
      <c r="AJP229" s="243"/>
      <c r="AJQ229" s="243"/>
      <c r="AJR229" s="243"/>
      <c r="AJS229" s="243"/>
      <c r="AJT229" s="243"/>
      <c r="AJU229" s="243"/>
      <c r="AJV229" s="243"/>
      <c r="AJW229" s="243"/>
      <c r="AJX229" s="243"/>
      <c r="AJY229" s="243"/>
      <c r="AJZ229" s="243"/>
      <c r="AKA229" s="243"/>
      <c r="AKB229" s="243"/>
      <c r="AKC229" s="243"/>
      <c r="AKD229" s="243"/>
      <c r="AKE229" s="243"/>
      <c r="AKF229" s="243"/>
      <c r="AKG229" s="243"/>
      <c r="AKH229" s="243"/>
      <c r="AKI229" s="243"/>
      <c r="AKJ229" s="243"/>
      <c r="AKK229" s="243"/>
      <c r="AKL229" s="243"/>
      <c r="AKM229" s="243"/>
      <c r="AKN229" s="243"/>
      <c r="AKO229" s="243"/>
      <c r="AKP229" s="243"/>
      <c r="AKQ229" s="243"/>
      <c r="AKR229" s="243"/>
      <c r="AKS229" s="243"/>
      <c r="AKT229" s="243"/>
      <c r="AKU229" s="243"/>
      <c r="AKV229" s="243"/>
      <c r="AKW229" s="243"/>
      <c r="AKX229" s="243"/>
      <c r="AKY229" s="243"/>
      <c r="AKZ229" s="243"/>
      <c r="ALA229" s="243"/>
      <c r="ALB229" s="243"/>
      <c r="ALC229" s="243"/>
      <c r="ALD229" s="243"/>
      <c r="ALE229" s="243"/>
      <c r="ALF229" s="243"/>
      <c r="ALG229" s="243"/>
      <c r="ALH229" s="243"/>
      <c r="ALI229" s="243"/>
      <c r="ALJ229" s="243"/>
      <c r="ALK229" s="243"/>
      <c r="ALL229" s="243"/>
      <c r="ALM229" s="243"/>
      <c r="ALN229" s="243"/>
      <c r="ALO229" s="243"/>
      <c r="ALP229" s="243"/>
      <c r="ALQ229" s="243"/>
      <c r="ALR229" s="243"/>
      <c r="ALS229" s="243"/>
      <c r="ALT229" s="243"/>
      <c r="ALU229" s="243"/>
      <c r="ALV229" s="243"/>
      <c r="ALW229" s="243"/>
      <c r="ALX229" s="243"/>
      <c r="ALY229" s="243"/>
      <c r="ALZ229" s="243"/>
      <c r="AMA229" s="243"/>
      <c r="AMB229" s="243"/>
      <c r="AMC229" s="243"/>
      <c r="AMD229" s="243"/>
      <c r="AME229" s="243"/>
      <c r="AMF229" s="243"/>
      <c r="AMG229" s="243"/>
      <c r="AMH229" s="243"/>
      <c r="AMI229" s="244"/>
      <c r="AMJ229" s="244"/>
    </row>
    <row r="230" spans="1:1024">
      <c r="A230" s="911">
        <v>16</v>
      </c>
      <c r="B230" s="502">
        <v>13895</v>
      </c>
      <c r="C230" s="458">
        <v>0.1</v>
      </c>
      <c r="D230" s="459" t="s">
        <v>154</v>
      </c>
      <c r="E230" s="460">
        <v>1950000</v>
      </c>
      <c r="F230" s="458">
        <v>0.06</v>
      </c>
      <c r="G230" s="460">
        <f>E230*F230</f>
        <v>117000</v>
      </c>
      <c r="H230" s="461" t="s">
        <v>123</v>
      </c>
      <c r="I230" s="461" t="s">
        <v>41</v>
      </c>
      <c r="J230" s="461" t="s">
        <v>125</v>
      </c>
      <c r="K230" s="461" t="s">
        <v>155</v>
      </c>
      <c r="L230" s="504" t="s">
        <v>125</v>
      </c>
      <c r="M230" s="370">
        <v>14034</v>
      </c>
      <c r="N230" s="370" t="s">
        <v>156</v>
      </c>
      <c r="O230" s="501">
        <v>2900000</v>
      </c>
      <c r="P230" s="432">
        <v>0.05</v>
      </c>
      <c r="Q230" s="501">
        <f>O230*P230</f>
        <v>145000</v>
      </c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  <c r="AC230" s="243"/>
      <c r="AD230" s="243"/>
      <c r="AE230" s="243"/>
      <c r="AF230" s="243"/>
      <c r="AG230" s="243"/>
      <c r="AH230" s="243"/>
      <c r="AI230" s="243"/>
      <c r="AJ230" s="243"/>
      <c r="AK230" s="243"/>
      <c r="AL230" s="243"/>
      <c r="AM230" s="243"/>
      <c r="AN230" s="243"/>
      <c r="AO230" s="243"/>
      <c r="AP230" s="243"/>
      <c r="AQ230" s="243"/>
      <c r="AR230" s="243"/>
      <c r="AS230" s="243"/>
      <c r="AT230" s="243"/>
      <c r="AU230" s="243"/>
      <c r="AV230" s="243"/>
      <c r="AW230" s="243"/>
      <c r="AX230" s="243"/>
      <c r="AY230" s="243"/>
      <c r="AZ230" s="243"/>
      <c r="BA230" s="243"/>
      <c r="BB230" s="243"/>
      <c r="BC230" s="243"/>
      <c r="BD230" s="243"/>
      <c r="BE230" s="243"/>
      <c r="BF230" s="243"/>
      <c r="BG230" s="243"/>
      <c r="BH230" s="243"/>
      <c r="BI230" s="243"/>
      <c r="BJ230" s="243"/>
      <c r="BK230" s="243"/>
      <c r="BL230" s="243"/>
      <c r="BM230" s="243"/>
      <c r="BN230" s="243"/>
      <c r="BO230" s="243"/>
      <c r="BP230" s="243"/>
      <c r="BQ230" s="243"/>
      <c r="BR230" s="243"/>
      <c r="BS230" s="243"/>
      <c r="BT230" s="243"/>
      <c r="BU230" s="243"/>
      <c r="BV230" s="243"/>
      <c r="BW230" s="243"/>
      <c r="BX230" s="243"/>
      <c r="BY230" s="243"/>
      <c r="BZ230" s="243"/>
      <c r="CA230" s="243"/>
      <c r="CB230" s="243"/>
      <c r="CC230" s="243"/>
      <c r="CD230" s="243"/>
      <c r="CE230" s="243"/>
      <c r="CF230" s="243"/>
      <c r="CG230" s="243"/>
      <c r="CH230" s="243"/>
      <c r="CI230" s="243"/>
      <c r="CJ230" s="243"/>
      <c r="CK230" s="243"/>
      <c r="CL230" s="243"/>
      <c r="CM230" s="243"/>
      <c r="CN230" s="243"/>
      <c r="CO230" s="243"/>
      <c r="CP230" s="243"/>
      <c r="CQ230" s="243"/>
      <c r="CR230" s="243"/>
      <c r="CS230" s="243"/>
      <c r="CT230" s="243"/>
      <c r="CU230" s="243"/>
      <c r="CV230" s="243"/>
      <c r="CW230" s="243"/>
      <c r="CX230" s="243"/>
      <c r="CY230" s="243"/>
      <c r="CZ230" s="243"/>
      <c r="DA230" s="243"/>
      <c r="DB230" s="243"/>
      <c r="DC230" s="243"/>
      <c r="DD230" s="243"/>
      <c r="DE230" s="243"/>
      <c r="DF230" s="243"/>
      <c r="DG230" s="243"/>
      <c r="DH230" s="243"/>
      <c r="DI230" s="243"/>
      <c r="DJ230" s="243"/>
      <c r="DK230" s="243"/>
      <c r="DL230" s="243"/>
      <c r="DM230" s="243"/>
      <c r="DN230" s="243"/>
      <c r="DO230" s="243"/>
      <c r="DP230" s="243"/>
      <c r="DQ230" s="243"/>
      <c r="DR230" s="243"/>
      <c r="DS230" s="243"/>
      <c r="DT230" s="243"/>
      <c r="DU230" s="243"/>
      <c r="DV230" s="243"/>
      <c r="DW230" s="243"/>
      <c r="DX230" s="243"/>
      <c r="DY230" s="243"/>
      <c r="DZ230" s="243"/>
      <c r="EA230" s="243"/>
      <c r="EB230" s="243"/>
      <c r="EC230" s="243"/>
      <c r="ED230" s="243"/>
      <c r="EE230" s="243"/>
      <c r="EF230" s="243"/>
      <c r="EG230" s="243"/>
      <c r="EH230" s="243"/>
      <c r="EI230" s="243"/>
      <c r="EJ230" s="243"/>
      <c r="EK230" s="243"/>
      <c r="EL230" s="243"/>
      <c r="EM230" s="243"/>
      <c r="EN230" s="243"/>
      <c r="EO230" s="243"/>
      <c r="EP230" s="243"/>
      <c r="EQ230" s="243"/>
      <c r="ER230" s="243"/>
      <c r="ES230" s="243"/>
      <c r="ET230" s="243"/>
      <c r="EU230" s="243"/>
      <c r="EV230" s="243"/>
      <c r="EW230" s="243"/>
      <c r="EX230" s="243"/>
      <c r="EY230" s="243"/>
      <c r="EZ230" s="243"/>
      <c r="FA230" s="243"/>
      <c r="FB230" s="243"/>
      <c r="FC230" s="243"/>
      <c r="FD230" s="243"/>
      <c r="FE230" s="243"/>
      <c r="FF230" s="243"/>
      <c r="FG230" s="243"/>
      <c r="FH230" s="243"/>
      <c r="FI230" s="243"/>
      <c r="FJ230" s="243"/>
      <c r="FK230" s="243"/>
      <c r="FL230" s="243"/>
      <c r="FM230" s="243"/>
      <c r="FN230" s="243"/>
      <c r="FO230" s="243"/>
      <c r="FP230" s="243"/>
      <c r="FQ230" s="243"/>
      <c r="FR230" s="243"/>
      <c r="FS230" s="243"/>
      <c r="FT230" s="243"/>
      <c r="FU230" s="243"/>
      <c r="FV230" s="243"/>
      <c r="FW230" s="243"/>
      <c r="FX230" s="243"/>
      <c r="FY230" s="243"/>
      <c r="FZ230" s="243"/>
      <c r="GA230" s="243"/>
      <c r="GB230" s="243"/>
      <c r="GC230" s="243"/>
      <c r="GD230" s="243"/>
      <c r="GE230" s="243"/>
      <c r="GF230" s="243"/>
      <c r="GG230" s="243"/>
      <c r="GH230" s="243"/>
      <c r="GI230" s="243"/>
      <c r="GJ230" s="243"/>
      <c r="GK230" s="243"/>
      <c r="GL230" s="243"/>
      <c r="GM230" s="243"/>
      <c r="GN230" s="243"/>
      <c r="GO230" s="243"/>
      <c r="GP230" s="243"/>
      <c r="GQ230" s="243"/>
      <c r="GR230" s="243"/>
      <c r="GS230" s="243"/>
      <c r="GT230" s="243"/>
      <c r="GU230" s="243"/>
      <c r="GV230" s="243"/>
      <c r="GW230" s="243"/>
      <c r="GX230" s="243"/>
      <c r="GY230" s="243"/>
      <c r="GZ230" s="243"/>
      <c r="HA230" s="243"/>
      <c r="HB230" s="243"/>
      <c r="HC230" s="243"/>
      <c r="HD230" s="243"/>
      <c r="HE230" s="243"/>
      <c r="HF230" s="243"/>
      <c r="HG230" s="243"/>
      <c r="HH230" s="243"/>
      <c r="HI230" s="243"/>
      <c r="HJ230" s="243"/>
      <c r="HK230" s="243"/>
      <c r="HL230" s="243"/>
      <c r="HM230" s="243"/>
      <c r="HN230" s="243"/>
      <c r="HO230" s="243"/>
      <c r="HP230" s="243"/>
      <c r="HQ230" s="243"/>
      <c r="HR230" s="243"/>
      <c r="HS230" s="243"/>
      <c r="HT230" s="243"/>
      <c r="HU230" s="243"/>
      <c r="HV230" s="243"/>
      <c r="HW230" s="243"/>
      <c r="HX230" s="243"/>
      <c r="HY230" s="243"/>
      <c r="HZ230" s="243"/>
      <c r="IA230" s="243"/>
      <c r="IB230" s="243"/>
      <c r="IC230" s="243"/>
      <c r="ID230" s="243"/>
      <c r="IE230" s="243"/>
      <c r="IF230" s="243"/>
      <c r="IG230" s="243"/>
      <c r="IH230" s="243"/>
      <c r="II230" s="243"/>
      <c r="IJ230" s="243"/>
      <c r="IK230" s="243"/>
      <c r="IL230" s="243"/>
      <c r="IM230" s="243"/>
      <c r="IN230" s="243"/>
      <c r="IO230" s="243"/>
      <c r="IP230" s="243"/>
      <c r="IQ230" s="243"/>
      <c r="IR230" s="243"/>
      <c r="IS230" s="243"/>
      <c r="IT230" s="243"/>
      <c r="IU230" s="243"/>
      <c r="IV230" s="243"/>
      <c r="IW230" s="243"/>
      <c r="IX230" s="243"/>
      <c r="IY230" s="243"/>
      <c r="IZ230" s="243"/>
      <c r="JA230" s="243"/>
      <c r="JB230" s="243"/>
      <c r="JC230" s="243"/>
      <c r="JD230" s="243"/>
      <c r="JE230" s="243"/>
      <c r="JF230" s="243"/>
      <c r="JG230" s="243"/>
      <c r="JH230" s="243"/>
      <c r="JI230" s="243"/>
      <c r="JJ230" s="243"/>
      <c r="JK230" s="243"/>
      <c r="JL230" s="243"/>
      <c r="JM230" s="243"/>
      <c r="JN230" s="243"/>
      <c r="JO230" s="243"/>
      <c r="JP230" s="243"/>
      <c r="JQ230" s="243"/>
      <c r="JR230" s="243"/>
      <c r="JS230" s="243"/>
      <c r="JT230" s="243"/>
      <c r="JU230" s="243"/>
      <c r="JV230" s="243"/>
      <c r="JW230" s="243"/>
      <c r="JX230" s="243"/>
      <c r="JY230" s="243"/>
      <c r="JZ230" s="243"/>
      <c r="KA230" s="243"/>
      <c r="KB230" s="243"/>
      <c r="KC230" s="243"/>
      <c r="KD230" s="243"/>
      <c r="KE230" s="243"/>
      <c r="KF230" s="243"/>
      <c r="KG230" s="243"/>
      <c r="KH230" s="243"/>
      <c r="KI230" s="243"/>
      <c r="KJ230" s="243"/>
      <c r="KK230" s="243"/>
      <c r="KL230" s="243"/>
      <c r="KM230" s="243"/>
      <c r="KN230" s="243"/>
      <c r="KO230" s="243"/>
      <c r="KP230" s="243"/>
      <c r="KQ230" s="243"/>
      <c r="KR230" s="243"/>
      <c r="KS230" s="243"/>
      <c r="KT230" s="243"/>
      <c r="KU230" s="243"/>
      <c r="KV230" s="243"/>
      <c r="KW230" s="243"/>
      <c r="KX230" s="243"/>
      <c r="KY230" s="243"/>
      <c r="KZ230" s="243"/>
      <c r="LA230" s="243"/>
      <c r="LB230" s="243"/>
      <c r="LC230" s="243"/>
      <c r="LD230" s="243"/>
      <c r="LE230" s="243"/>
      <c r="LF230" s="243"/>
      <c r="LG230" s="243"/>
      <c r="LH230" s="243"/>
      <c r="LI230" s="243"/>
      <c r="LJ230" s="243"/>
      <c r="LK230" s="243"/>
      <c r="LL230" s="243"/>
      <c r="LM230" s="243"/>
      <c r="LN230" s="243"/>
      <c r="LO230" s="243"/>
      <c r="LP230" s="243"/>
      <c r="LQ230" s="243"/>
      <c r="LR230" s="243"/>
      <c r="LS230" s="243"/>
      <c r="LT230" s="243"/>
      <c r="LU230" s="243"/>
      <c r="LV230" s="243"/>
      <c r="LW230" s="243"/>
      <c r="LX230" s="243"/>
      <c r="LY230" s="243"/>
      <c r="LZ230" s="243"/>
      <c r="MA230" s="243"/>
      <c r="MB230" s="243"/>
      <c r="MC230" s="243"/>
      <c r="MD230" s="243"/>
      <c r="ME230" s="243"/>
      <c r="MF230" s="243"/>
      <c r="MG230" s="243"/>
      <c r="MH230" s="243"/>
      <c r="MI230" s="243"/>
      <c r="MJ230" s="243"/>
      <c r="MK230" s="243"/>
      <c r="ML230" s="243"/>
      <c r="MM230" s="243"/>
      <c r="MN230" s="243"/>
      <c r="MO230" s="243"/>
      <c r="MP230" s="243"/>
      <c r="MQ230" s="243"/>
      <c r="MR230" s="243"/>
      <c r="MS230" s="243"/>
      <c r="MT230" s="243"/>
      <c r="MU230" s="243"/>
      <c r="MV230" s="243"/>
      <c r="MW230" s="243"/>
      <c r="MX230" s="243"/>
      <c r="MY230" s="243"/>
      <c r="MZ230" s="243"/>
      <c r="NA230" s="243"/>
      <c r="NB230" s="243"/>
      <c r="NC230" s="243"/>
      <c r="ND230" s="243"/>
      <c r="NE230" s="243"/>
      <c r="NF230" s="243"/>
      <c r="NG230" s="243"/>
      <c r="NH230" s="243"/>
      <c r="NI230" s="243"/>
      <c r="NJ230" s="243"/>
      <c r="NK230" s="243"/>
      <c r="NL230" s="243"/>
      <c r="NM230" s="243"/>
      <c r="NN230" s="243"/>
      <c r="NO230" s="243"/>
      <c r="NP230" s="243"/>
      <c r="NQ230" s="243"/>
      <c r="NR230" s="243"/>
      <c r="NS230" s="243"/>
      <c r="NT230" s="243"/>
      <c r="NU230" s="243"/>
      <c r="NV230" s="243"/>
      <c r="NW230" s="243"/>
      <c r="NX230" s="243"/>
      <c r="NY230" s="243"/>
      <c r="NZ230" s="243"/>
      <c r="OA230" s="243"/>
      <c r="OB230" s="243"/>
      <c r="OC230" s="243"/>
      <c r="OD230" s="243"/>
      <c r="OE230" s="243"/>
      <c r="OF230" s="243"/>
      <c r="OG230" s="243"/>
      <c r="OH230" s="243"/>
      <c r="OI230" s="243"/>
      <c r="OJ230" s="243"/>
      <c r="OK230" s="243"/>
      <c r="OL230" s="243"/>
      <c r="OM230" s="243"/>
      <c r="ON230" s="243"/>
      <c r="OO230" s="243"/>
      <c r="OP230" s="243"/>
      <c r="OQ230" s="243"/>
      <c r="OR230" s="243"/>
      <c r="OS230" s="243"/>
      <c r="OT230" s="243"/>
      <c r="OU230" s="243"/>
      <c r="OV230" s="243"/>
      <c r="OW230" s="243"/>
      <c r="OX230" s="243"/>
      <c r="OY230" s="243"/>
      <c r="OZ230" s="243"/>
      <c r="PA230" s="243"/>
      <c r="PB230" s="243"/>
      <c r="PC230" s="243"/>
      <c r="PD230" s="243"/>
      <c r="PE230" s="243"/>
      <c r="PF230" s="243"/>
      <c r="PG230" s="243"/>
      <c r="PH230" s="243"/>
      <c r="PI230" s="243"/>
      <c r="PJ230" s="243"/>
      <c r="PK230" s="243"/>
      <c r="PL230" s="243"/>
      <c r="PM230" s="243"/>
      <c r="PN230" s="243"/>
      <c r="PO230" s="243"/>
      <c r="PP230" s="243"/>
      <c r="PQ230" s="243"/>
      <c r="PR230" s="243"/>
      <c r="PS230" s="243"/>
      <c r="PT230" s="243"/>
      <c r="PU230" s="243"/>
      <c r="PV230" s="243"/>
      <c r="PW230" s="243"/>
      <c r="PX230" s="243"/>
      <c r="PY230" s="243"/>
      <c r="PZ230" s="243"/>
      <c r="QA230" s="243"/>
      <c r="QB230" s="243"/>
      <c r="QC230" s="243"/>
      <c r="QD230" s="243"/>
      <c r="QE230" s="243"/>
      <c r="QF230" s="243"/>
      <c r="QG230" s="243"/>
      <c r="QH230" s="243"/>
      <c r="QI230" s="243"/>
      <c r="QJ230" s="243"/>
      <c r="QK230" s="243"/>
      <c r="QL230" s="243"/>
      <c r="QM230" s="243"/>
      <c r="QN230" s="243"/>
      <c r="QO230" s="243"/>
      <c r="QP230" s="243"/>
      <c r="QQ230" s="243"/>
      <c r="QR230" s="243"/>
      <c r="QS230" s="243"/>
      <c r="QT230" s="243"/>
      <c r="QU230" s="243"/>
      <c r="QV230" s="243"/>
      <c r="QW230" s="243"/>
      <c r="QX230" s="243"/>
      <c r="QY230" s="243"/>
      <c r="QZ230" s="243"/>
      <c r="RA230" s="243"/>
      <c r="RB230" s="243"/>
      <c r="RC230" s="243"/>
      <c r="RD230" s="243"/>
      <c r="RE230" s="243"/>
      <c r="RF230" s="243"/>
      <c r="RG230" s="243"/>
      <c r="RH230" s="243"/>
      <c r="RI230" s="243"/>
      <c r="RJ230" s="243"/>
      <c r="RK230" s="243"/>
      <c r="RL230" s="243"/>
      <c r="RM230" s="243"/>
      <c r="RN230" s="243"/>
      <c r="RO230" s="243"/>
      <c r="RP230" s="243"/>
      <c r="RQ230" s="243"/>
      <c r="RR230" s="243"/>
      <c r="RS230" s="243"/>
      <c r="RT230" s="243"/>
      <c r="RU230" s="243"/>
      <c r="RV230" s="243"/>
      <c r="RW230" s="243"/>
      <c r="RX230" s="243"/>
      <c r="RY230" s="243"/>
      <c r="RZ230" s="243"/>
      <c r="SA230" s="243"/>
      <c r="SB230" s="243"/>
      <c r="SC230" s="243"/>
      <c r="SD230" s="243"/>
      <c r="SE230" s="243"/>
      <c r="SF230" s="243"/>
      <c r="SG230" s="243"/>
      <c r="SH230" s="243"/>
      <c r="SI230" s="243"/>
      <c r="SJ230" s="243"/>
      <c r="SK230" s="243"/>
      <c r="SL230" s="243"/>
      <c r="SM230" s="243"/>
      <c r="SN230" s="243"/>
      <c r="SO230" s="243"/>
      <c r="SP230" s="243"/>
      <c r="SQ230" s="243"/>
      <c r="SR230" s="243"/>
      <c r="SS230" s="243"/>
      <c r="ST230" s="243"/>
      <c r="SU230" s="243"/>
      <c r="SV230" s="243"/>
      <c r="SW230" s="243"/>
      <c r="SX230" s="243"/>
      <c r="SY230" s="243"/>
      <c r="SZ230" s="243"/>
      <c r="TA230" s="243"/>
      <c r="TB230" s="243"/>
      <c r="TC230" s="243"/>
      <c r="TD230" s="243"/>
      <c r="TE230" s="243"/>
      <c r="TF230" s="243"/>
      <c r="TG230" s="243"/>
      <c r="TH230" s="243"/>
      <c r="TI230" s="243"/>
      <c r="TJ230" s="243"/>
      <c r="TK230" s="243"/>
      <c r="TL230" s="243"/>
      <c r="TM230" s="243"/>
      <c r="TN230" s="243"/>
      <c r="TO230" s="243"/>
      <c r="TP230" s="243"/>
      <c r="TQ230" s="243"/>
      <c r="TR230" s="243"/>
      <c r="TS230" s="243"/>
      <c r="TT230" s="243"/>
      <c r="TU230" s="243"/>
      <c r="TV230" s="243"/>
      <c r="TW230" s="243"/>
      <c r="TX230" s="243"/>
      <c r="TY230" s="243"/>
      <c r="TZ230" s="243"/>
      <c r="UA230" s="243"/>
      <c r="UB230" s="243"/>
      <c r="UC230" s="243"/>
      <c r="UD230" s="243"/>
      <c r="UE230" s="243"/>
      <c r="UF230" s="243"/>
      <c r="UG230" s="243"/>
      <c r="UH230" s="243"/>
      <c r="UI230" s="243"/>
      <c r="UJ230" s="243"/>
      <c r="UK230" s="243"/>
      <c r="UL230" s="243"/>
      <c r="UM230" s="243"/>
      <c r="UN230" s="243"/>
      <c r="UO230" s="243"/>
      <c r="UP230" s="243"/>
      <c r="UQ230" s="243"/>
      <c r="UR230" s="243"/>
      <c r="US230" s="243"/>
      <c r="UT230" s="243"/>
      <c r="UU230" s="243"/>
      <c r="UV230" s="243"/>
      <c r="UW230" s="243"/>
      <c r="UX230" s="243"/>
      <c r="UY230" s="243"/>
      <c r="UZ230" s="243"/>
      <c r="VA230" s="243"/>
      <c r="VB230" s="243"/>
      <c r="VC230" s="243"/>
      <c r="VD230" s="243"/>
      <c r="VE230" s="243"/>
      <c r="VF230" s="243"/>
      <c r="VG230" s="243"/>
      <c r="VH230" s="243"/>
      <c r="VI230" s="243"/>
      <c r="VJ230" s="243"/>
      <c r="VK230" s="243"/>
      <c r="VL230" s="243"/>
      <c r="VM230" s="243"/>
      <c r="VN230" s="243"/>
      <c r="VO230" s="243"/>
      <c r="VP230" s="243"/>
      <c r="VQ230" s="243"/>
      <c r="VR230" s="243"/>
      <c r="VS230" s="243"/>
      <c r="VT230" s="243"/>
      <c r="VU230" s="243"/>
      <c r="VV230" s="243"/>
      <c r="VW230" s="243"/>
      <c r="VX230" s="243"/>
      <c r="VY230" s="243"/>
      <c r="VZ230" s="243"/>
      <c r="WA230" s="243"/>
      <c r="WB230" s="243"/>
      <c r="WC230" s="243"/>
      <c r="WD230" s="243"/>
      <c r="WE230" s="243"/>
      <c r="WF230" s="243"/>
      <c r="WG230" s="243"/>
      <c r="WH230" s="243"/>
      <c r="WI230" s="243"/>
      <c r="WJ230" s="243"/>
      <c r="WK230" s="243"/>
      <c r="WL230" s="243"/>
      <c r="WM230" s="243"/>
      <c r="WN230" s="243"/>
      <c r="WO230" s="243"/>
      <c r="WP230" s="243"/>
      <c r="WQ230" s="243"/>
      <c r="WR230" s="243"/>
      <c r="WS230" s="243"/>
      <c r="WT230" s="243"/>
      <c r="WU230" s="243"/>
      <c r="WV230" s="243"/>
      <c r="WW230" s="243"/>
      <c r="WX230" s="243"/>
      <c r="WY230" s="243"/>
      <c r="WZ230" s="243"/>
      <c r="XA230" s="243"/>
      <c r="XB230" s="243"/>
      <c r="XC230" s="243"/>
      <c r="XD230" s="243"/>
      <c r="XE230" s="243"/>
      <c r="XF230" s="243"/>
      <c r="XG230" s="243"/>
      <c r="XH230" s="243"/>
      <c r="XI230" s="243"/>
      <c r="XJ230" s="243"/>
      <c r="XK230" s="243"/>
      <c r="XL230" s="243"/>
      <c r="XM230" s="243"/>
      <c r="XN230" s="243"/>
      <c r="XO230" s="243"/>
      <c r="XP230" s="243"/>
      <c r="XQ230" s="243"/>
      <c r="XR230" s="243"/>
      <c r="XS230" s="243"/>
      <c r="XT230" s="243"/>
      <c r="XU230" s="243"/>
      <c r="XV230" s="243"/>
      <c r="XW230" s="243"/>
      <c r="XX230" s="243"/>
      <c r="XY230" s="243"/>
      <c r="XZ230" s="243"/>
      <c r="YA230" s="243"/>
      <c r="YB230" s="243"/>
      <c r="YC230" s="243"/>
      <c r="YD230" s="243"/>
      <c r="YE230" s="243"/>
      <c r="YF230" s="243"/>
      <c r="YG230" s="243"/>
      <c r="YH230" s="243"/>
      <c r="YI230" s="243"/>
      <c r="YJ230" s="243"/>
      <c r="YK230" s="243"/>
      <c r="YL230" s="243"/>
      <c r="YM230" s="243"/>
      <c r="YN230" s="243"/>
      <c r="YO230" s="243"/>
      <c r="YP230" s="243"/>
      <c r="YQ230" s="243"/>
      <c r="YR230" s="243"/>
      <c r="YS230" s="243"/>
      <c r="YT230" s="243"/>
      <c r="YU230" s="243"/>
      <c r="YV230" s="243"/>
      <c r="YW230" s="243"/>
      <c r="YX230" s="243"/>
      <c r="YY230" s="243"/>
      <c r="YZ230" s="243"/>
      <c r="ZA230" s="243"/>
      <c r="ZB230" s="243"/>
      <c r="ZC230" s="243"/>
      <c r="ZD230" s="243"/>
      <c r="ZE230" s="243"/>
      <c r="ZF230" s="243"/>
      <c r="ZG230" s="243"/>
      <c r="ZH230" s="243"/>
      <c r="ZI230" s="243"/>
      <c r="ZJ230" s="243"/>
      <c r="ZK230" s="243"/>
      <c r="ZL230" s="243"/>
      <c r="ZM230" s="243"/>
      <c r="ZN230" s="243"/>
      <c r="ZO230" s="243"/>
      <c r="ZP230" s="243"/>
      <c r="ZQ230" s="243"/>
      <c r="ZR230" s="243"/>
      <c r="ZS230" s="243"/>
      <c r="ZT230" s="243"/>
      <c r="ZU230" s="243"/>
      <c r="ZV230" s="243"/>
      <c r="ZW230" s="243"/>
      <c r="ZX230" s="243"/>
      <c r="ZY230" s="243"/>
      <c r="ZZ230" s="243"/>
      <c r="AAA230" s="243"/>
      <c r="AAB230" s="243"/>
      <c r="AAC230" s="243"/>
      <c r="AAD230" s="243"/>
      <c r="AAE230" s="243"/>
      <c r="AAF230" s="243"/>
      <c r="AAG230" s="243"/>
      <c r="AAH230" s="243"/>
      <c r="AAI230" s="243"/>
      <c r="AAJ230" s="243"/>
      <c r="AAK230" s="243"/>
      <c r="AAL230" s="243"/>
      <c r="AAM230" s="243"/>
      <c r="AAN230" s="243"/>
      <c r="AAO230" s="243"/>
      <c r="AAP230" s="243"/>
      <c r="AAQ230" s="243"/>
      <c r="AAR230" s="243"/>
      <c r="AAS230" s="243"/>
      <c r="AAT230" s="243"/>
      <c r="AAU230" s="243"/>
      <c r="AAV230" s="243"/>
      <c r="AAW230" s="243"/>
      <c r="AAX230" s="243"/>
      <c r="AAY230" s="243"/>
      <c r="AAZ230" s="243"/>
      <c r="ABA230" s="243"/>
      <c r="ABB230" s="243"/>
      <c r="ABC230" s="243"/>
      <c r="ABD230" s="243"/>
      <c r="ABE230" s="243"/>
      <c r="ABF230" s="243"/>
      <c r="ABG230" s="243"/>
      <c r="ABH230" s="243"/>
      <c r="ABI230" s="243"/>
      <c r="ABJ230" s="243"/>
      <c r="ABK230" s="243"/>
      <c r="ABL230" s="243"/>
      <c r="ABM230" s="243"/>
      <c r="ABN230" s="243"/>
      <c r="ABO230" s="243"/>
      <c r="ABP230" s="243"/>
      <c r="ABQ230" s="243"/>
      <c r="ABR230" s="243"/>
      <c r="ABS230" s="243"/>
      <c r="ABT230" s="243"/>
      <c r="ABU230" s="243"/>
      <c r="ABV230" s="243"/>
      <c r="ABW230" s="243"/>
      <c r="ABX230" s="243"/>
      <c r="ABY230" s="243"/>
      <c r="ABZ230" s="243"/>
      <c r="ACA230" s="243"/>
      <c r="ACB230" s="243"/>
      <c r="ACC230" s="243"/>
      <c r="ACD230" s="243"/>
      <c r="ACE230" s="243"/>
      <c r="ACF230" s="243"/>
      <c r="ACG230" s="243"/>
      <c r="ACH230" s="243"/>
      <c r="ACI230" s="243"/>
      <c r="ACJ230" s="243"/>
      <c r="ACK230" s="243"/>
      <c r="ACL230" s="243"/>
      <c r="ACM230" s="243"/>
      <c r="ACN230" s="243"/>
      <c r="ACO230" s="243"/>
      <c r="ACP230" s="243"/>
      <c r="ACQ230" s="243"/>
      <c r="ACR230" s="243"/>
      <c r="ACS230" s="243"/>
      <c r="ACT230" s="243"/>
      <c r="ACU230" s="243"/>
      <c r="ACV230" s="243"/>
      <c r="ACW230" s="243"/>
      <c r="ACX230" s="243"/>
      <c r="ACY230" s="243"/>
      <c r="ACZ230" s="243"/>
      <c r="ADA230" s="243"/>
      <c r="ADB230" s="243"/>
      <c r="ADC230" s="243"/>
      <c r="ADD230" s="243"/>
      <c r="ADE230" s="243"/>
      <c r="ADF230" s="243"/>
      <c r="ADG230" s="243"/>
      <c r="ADH230" s="243"/>
      <c r="ADI230" s="243"/>
      <c r="ADJ230" s="243"/>
      <c r="ADK230" s="243"/>
      <c r="ADL230" s="243"/>
      <c r="ADM230" s="243"/>
      <c r="ADN230" s="243"/>
      <c r="ADO230" s="243"/>
      <c r="ADP230" s="243"/>
      <c r="ADQ230" s="243"/>
      <c r="ADR230" s="243"/>
      <c r="ADS230" s="243"/>
      <c r="ADT230" s="243"/>
      <c r="ADU230" s="243"/>
      <c r="ADV230" s="243"/>
      <c r="ADW230" s="243"/>
      <c r="ADX230" s="243"/>
      <c r="ADY230" s="243"/>
      <c r="ADZ230" s="243"/>
      <c r="AEA230" s="243"/>
      <c r="AEB230" s="243"/>
      <c r="AEC230" s="243"/>
      <c r="AED230" s="243"/>
      <c r="AEE230" s="243"/>
      <c r="AEF230" s="243"/>
      <c r="AEG230" s="243"/>
      <c r="AEH230" s="243"/>
      <c r="AEI230" s="243"/>
      <c r="AEJ230" s="243"/>
      <c r="AEK230" s="243"/>
      <c r="AEL230" s="243"/>
      <c r="AEM230" s="243"/>
      <c r="AEN230" s="243"/>
      <c r="AEO230" s="243"/>
      <c r="AEP230" s="243"/>
      <c r="AEQ230" s="243"/>
      <c r="AER230" s="243"/>
      <c r="AES230" s="243"/>
      <c r="AET230" s="243"/>
      <c r="AEU230" s="243"/>
      <c r="AEV230" s="243"/>
      <c r="AEW230" s="243"/>
      <c r="AEX230" s="243"/>
      <c r="AEY230" s="243"/>
      <c r="AEZ230" s="243"/>
      <c r="AFA230" s="243"/>
      <c r="AFB230" s="243"/>
      <c r="AFC230" s="243"/>
      <c r="AFD230" s="243"/>
      <c r="AFE230" s="243"/>
      <c r="AFF230" s="243"/>
      <c r="AFG230" s="243"/>
      <c r="AFH230" s="243"/>
      <c r="AFI230" s="243"/>
      <c r="AFJ230" s="243"/>
      <c r="AFK230" s="243"/>
      <c r="AFL230" s="243"/>
      <c r="AFM230" s="243"/>
      <c r="AFN230" s="243"/>
      <c r="AFO230" s="243"/>
      <c r="AFP230" s="243"/>
      <c r="AFQ230" s="243"/>
      <c r="AFR230" s="243"/>
      <c r="AFS230" s="243"/>
      <c r="AFT230" s="243"/>
      <c r="AFU230" s="243"/>
      <c r="AFV230" s="243"/>
      <c r="AFW230" s="243"/>
      <c r="AFX230" s="243"/>
      <c r="AFY230" s="243"/>
      <c r="AFZ230" s="243"/>
      <c r="AGA230" s="243"/>
      <c r="AGB230" s="243"/>
      <c r="AGC230" s="243"/>
      <c r="AGD230" s="243"/>
      <c r="AGE230" s="243"/>
      <c r="AGF230" s="243"/>
      <c r="AGG230" s="243"/>
      <c r="AGH230" s="243"/>
      <c r="AGI230" s="243"/>
      <c r="AGJ230" s="243"/>
      <c r="AGK230" s="243"/>
      <c r="AGL230" s="243"/>
      <c r="AGM230" s="243"/>
      <c r="AGN230" s="243"/>
      <c r="AGO230" s="243"/>
      <c r="AGP230" s="243"/>
      <c r="AGQ230" s="243"/>
      <c r="AGR230" s="243"/>
      <c r="AGS230" s="243"/>
      <c r="AGT230" s="243"/>
      <c r="AGU230" s="243"/>
      <c r="AGV230" s="243"/>
      <c r="AGW230" s="243"/>
      <c r="AGX230" s="243"/>
      <c r="AGY230" s="243"/>
      <c r="AGZ230" s="243"/>
      <c r="AHA230" s="243"/>
      <c r="AHB230" s="243"/>
      <c r="AHC230" s="243"/>
      <c r="AHD230" s="243"/>
      <c r="AHE230" s="243"/>
      <c r="AHF230" s="243"/>
      <c r="AHG230" s="243"/>
      <c r="AHH230" s="243"/>
      <c r="AHI230" s="243"/>
      <c r="AHJ230" s="243"/>
      <c r="AHK230" s="243"/>
      <c r="AHL230" s="243"/>
      <c r="AHM230" s="243"/>
      <c r="AHN230" s="243"/>
      <c r="AHO230" s="243"/>
      <c r="AHP230" s="243"/>
      <c r="AHQ230" s="243"/>
      <c r="AHR230" s="243"/>
      <c r="AHS230" s="243"/>
      <c r="AHT230" s="243"/>
      <c r="AHU230" s="243"/>
      <c r="AHV230" s="243"/>
      <c r="AHW230" s="243"/>
      <c r="AHX230" s="243"/>
      <c r="AHY230" s="243"/>
      <c r="AHZ230" s="243"/>
      <c r="AIA230" s="243"/>
      <c r="AIB230" s="243"/>
      <c r="AIC230" s="243"/>
      <c r="AID230" s="243"/>
      <c r="AIE230" s="243"/>
      <c r="AIF230" s="243"/>
      <c r="AIG230" s="243"/>
      <c r="AIH230" s="243"/>
      <c r="AII230" s="243"/>
      <c r="AIJ230" s="243"/>
      <c r="AIK230" s="243"/>
      <c r="AIL230" s="243"/>
      <c r="AIM230" s="243"/>
      <c r="AIN230" s="243"/>
      <c r="AIO230" s="243"/>
      <c r="AIP230" s="243"/>
      <c r="AIQ230" s="243"/>
      <c r="AIR230" s="243"/>
      <c r="AIS230" s="243"/>
      <c r="AIT230" s="243"/>
      <c r="AIU230" s="243"/>
      <c r="AIV230" s="243"/>
      <c r="AIW230" s="243"/>
      <c r="AIX230" s="243"/>
      <c r="AIY230" s="243"/>
      <c r="AIZ230" s="243"/>
      <c r="AJA230" s="243"/>
      <c r="AJB230" s="243"/>
      <c r="AJC230" s="243"/>
      <c r="AJD230" s="243"/>
      <c r="AJE230" s="243"/>
      <c r="AJF230" s="243"/>
      <c r="AJG230" s="243"/>
      <c r="AJH230" s="243"/>
      <c r="AJI230" s="243"/>
      <c r="AJJ230" s="243"/>
      <c r="AJK230" s="243"/>
      <c r="AJL230" s="243"/>
      <c r="AJM230" s="243"/>
      <c r="AJN230" s="243"/>
      <c r="AJO230" s="243"/>
      <c r="AJP230" s="243"/>
      <c r="AJQ230" s="243"/>
      <c r="AJR230" s="243"/>
      <c r="AJS230" s="243"/>
      <c r="AJT230" s="243"/>
      <c r="AJU230" s="243"/>
      <c r="AJV230" s="243"/>
      <c r="AJW230" s="243"/>
      <c r="AJX230" s="243"/>
      <c r="AJY230" s="243"/>
      <c r="AJZ230" s="243"/>
      <c r="AKA230" s="243"/>
      <c r="AKB230" s="243"/>
      <c r="AKC230" s="243"/>
      <c r="AKD230" s="243"/>
      <c r="AKE230" s="243"/>
      <c r="AKF230" s="243"/>
      <c r="AKG230" s="243"/>
      <c r="AKH230" s="243"/>
      <c r="AKI230" s="243"/>
      <c r="AKJ230" s="243"/>
      <c r="AKK230" s="243"/>
      <c r="AKL230" s="243"/>
      <c r="AKM230" s="243"/>
      <c r="AKN230" s="243"/>
      <c r="AKO230" s="243"/>
      <c r="AKP230" s="243"/>
      <c r="AKQ230" s="243"/>
      <c r="AKR230" s="243"/>
      <c r="AKS230" s="243"/>
      <c r="AKT230" s="243"/>
      <c r="AKU230" s="243"/>
      <c r="AKV230" s="243"/>
      <c r="AKW230" s="243"/>
      <c r="AKX230" s="243"/>
      <c r="AKY230" s="243"/>
      <c r="AKZ230" s="243"/>
      <c r="ALA230" s="243"/>
      <c r="ALB230" s="243"/>
      <c r="ALC230" s="243"/>
      <c r="ALD230" s="243"/>
      <c r="ALE230" s="243"/>
      <c r="ALF230" s="243"/>
      <c r="ALG230" s="243"/>
      <c r="ALH230" s="243"/>
      <c r="ALI230" s="243"/>
      <c r="ALJ230" s="243"/>
      <c r="ALK230" s="243"/>
      <c r="ALL230" s="243"/>
      <c r="ALM230" s="243"/>
      <c r="ALN230" s="243"/>
      <c r="ALO230" s="243"/>
      <c r="ALP230" s="243"/>
      <c r="ALQ230" s="243"/>
      <c r="ALR230" s="243"/>
      <c r="ALS230" s="243"/>
      <c r="ALT230" s="243"/>
      <c r="ALU230" s="243"/>
      <c r="ALV230" s="243"/>
      <c r="ALW230" s="243"/>
      <c r="ALX230" s="243"/>
      <c r="ALY230" s="243"/>
      <c r="ALZ230" s="243"/>
      <c r="AMA230" s="243"/>
      <c r="AMB230" s="243"/>
      <c r="AMC230" s="243"/>
      <c r="AMD230" s="243"/>
      <c r="AME230" s="243"/>
      <c r="AMF230" s="243"/>
      <c r="AMG230" s="243"/>
      <c r="AMH230" s="243"/>
      <c r="AMI230" s="244"/>
      <c r="AMJ230" s="244"/>
    </row>
    <row r="231" spans="1:1024">
      <c r="A231" s="911"/>
      <c r="B231" s="449">
        <v>13885</v>
      </c>
      <c r="C231" s="430">
        <v>0.08</v>
      </c>
      <c r="D231" s="370" t="s">
        <v>126</v>
      </c>
      <c r="E231" s="401">
        <v>2600000</v>
      </c>
      <c r="F231" s="430">
        <v>0.06</v>
      </c>
      <c r="G231" s="401">
        <f t="shared" ref="G231:G235" si="8">E231*F231</f>
        <v>156000</v>
      </c>
      <c r="H231" s="402" t="s">
        <v>47</v>
      </c>
      <c r="I231" s="402" t="s">
        <v>138</v>
      </c>
      <c r="J231" s="402" t="s">
        <v>125</v>
      </c>
      <c r="K231" s="402" t="s">
        <v>136</v>
      </c>
      <c r="L231" s="505" t="s">
        <v>125</v>
      </c>
      <c r="M231" s="370">
        <v>13935</v>
      </c>
      <c r="N231" s="370" t="s">
        <v>157</v>
      </c>
      <c r="O231" s="501">
        <v>2400000</v>
      </c>
      <c r="P231" s="432">
        <v>0.05</v>
      </c>
      <c r="Q231" s="501">
        <f>O231*P231</f>
        <v>120000</v>
      </c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  <c r="AH231" s="243"/>
      <c r="AI231" s="243"/>
      <c r="AJ231" s="243"/>
      <c r="AK231" s="243"/>
      <c r="AL231" s="243"/>
      <c r="AM231" s="243"/>
      <c r="AN231" s="243"/>
      <c r="AO231" s="243"/>
      <c r="AP231" s="243"/>
      <c r="AQ231" s="243"/>
      <c r="AR231" s="243"/>
      <c r="AS231" s="243"/>
      <c r="AT231" s="243"/>
      <c r="AU231" s="243"/>
      <c r="AV231" s="243"/>
      <c r="AW231" s="243"/>
      <c r="AX231" s="243"/>
      <c r="AY231" s="243"/>
      <c r="AZ231" s="243"/>
      <c r="BA231" s="243"/>
      <c r="BB231" s="243"/>
      <c r="BC231" s="243"/>
      <c r="BD231" s="243"/>
      <c r="BE231" s="243"/>
      <c r="BF231" s="243"/>
      <c r="BG231" s="243"/>
      <c r="BH231" s="243"/>
      <c r="BI231" s="243"/>
      <c r="BJ231" s="243"/>
      <c r="BK231" s="243"/>
      <c r="BL231" s="243"/>
      <c r="BM231" s="243"/>
      <c r="BN231" s="243"/>
      <c r="BO231" s="243"/>
      <c r="BP231" s="243"/>
      <c r="BQ231" s="243"/>
      <c r="BR231" s="243"/>
      <c r="BS231" s="243"/>
      <c r="BT231" s="243"/>
      <c r="BU231" s="243"/>
      <c r="BV231" s="243"/>
      <c r="BW231" s="243"/>
      <c r="BX231" s="243"/>
      <c r="BY231" s="243"/>
      <c r="BZ231" s="243"/>
      <c r="CA231" s="243"/>
      <c r="CB231" s="243"/>
      <c r="CC231" s="243"/>
      <c r="CD231" s="243"/>
      <c r="CE231" s="243"/>
      <c r="CF231" s="243"/>
      <c r="CG231" s="243"/>
      <c r="CH231" s="243"/>
      <c r="CI231" s="243"/>
      <c r="CJ231" s="243"/>
      <c r="CK231" s="243"/>
      <c r="CL231" s="243"/>
      <c r="CM231" s="243"/>
      <c r="CN231" s="243"/>
      <c r="CO231" s="243"/>
      <c r="CP231" s="243"/>
      <c r="CQ231" s="243"/>
      <c r="CR231" s="243"/>
      <c r="CS231" s="243"/>
      <c r="CT231" s="243"/>
      <c r="CU231" s="243"/>
      <c r="CV231" s="243"/>
      <c r="CW231" s="243"/>
      <c r="CX231" s="243"/>
      <c r="CY231" s="243"/>
      <c r="CZ231" s="243"/>
      <c r="DA231" s="243"/>
      <c r="DB231" s="243"/>
      <c r="DC231" s="243"/>
      <c r="DD231" s="243"/>
      <c r="DE231" s="243"/>
      <c r="DF231" s="243"/>
      <c r="DG231" s="243"/>
      <c r="DH231" s="243"/>
      <c r="DI231" s="243"/>
      <c r="DJ231" s="243"/>
      <c r="DK231" s="243"/>
      <c r="DL231" s="243"/>
      <c r="DM231" s="243"/>
      <c r="DN231" s="243"/>
      <c r="DO231" s="243"/>
      <c r="DP231" s="243"/>
      <c r="DQ231" s="243"/>
      <c r="DR231" s="243"/>
      <c r="DS231" s="243"/>
      <c r="DT231" s="243"/>
      <c r="DU231" s="243"/>
      <c r="DV231" s="243"/>
      <c r="DW231" s="243"/>
      <c r="DX231" s="243"/>
      <c r="DY231" s="243"/>
      <c r="DZ231" s="243"/>
      <c r="EA231" s="243"/>
      <c r="EB231" s="243"/>
      <c r="EC231" s="243"/>
      <c r="ED231" s="243"/>
      <c r="EE231" s="243"/>
      <c r="EF231" s="243"/>
      <c r="EG231" s="243"/>
      <c r="EH231" s="243"/>
      <c r="EI231" s="243"/>
      <c r="EJ231" s="243"/>
      <c r="EK231" s="243"/>
      <c r="EL231" s="243"/>
      <c r="EM231" s="243"/>
      <c r="EN231" s="243"/>
      <c r="EO231" s="243"/>
      <c r="EP231" s="243"/>
      <c r="EQ231" s="243"/>
      <c r="ER231" s="243"/>
      <c r="ES231" s="243"/>
      <c r="ET231" s="243"/>
      <c r="EU231" s="243"/>
      <c r="EV231" s="243"/>
      <c r="EW231" s="243"/>
      <c r="EX231" s="243"/>
      <c r="EY231" s="243"/>
      <c r="EZ231" s="243"/>
      <c r="FA231" s="243"/>
      <c r="FB231" s="243"/>
      <c r="FC231" s="243"/>
      <c r="FD231" s="243"/>
      <c r="FE231" s="243"/>
      <c r="FF231" s="243"/>
      <c r="FG231" s="243"/>
      <c r="FH231" s="243"/>
      <c r="FI231" s="243"/>
      <c r="FJ231" s="243"/>
      <c r="FK231" s="243"/>
      <c r="FL231" s="243"/>
      <c r="FM231" s="243"/>
      <c r="FN231" s="243"/>
      <c r="FO231" s="243"/>
      <c r="FP231" s="243"/>
      <c r="FQ231" s="243"/>
      <c r="FR231" s="243"/>
      <c r="FS231" s="243"/>
      <c r="FT231" s="243"/>
      <c r="FU231" s="243"/>
      <c r="FV231" s="243"/>
      <c r="FW231" s="243"/>
      <c r="FX231" s="243"/>
      <c r="FY231" s="243"/>
      <c r="FZ231" s="243"/>
      <c r="GA231" s="243"/>
      <c r="GB231" s="243"/>
      <c r="GC231" s="243"/>
      <c r="GD231" s="243"/>
      <c r="GE231" s="243"/>
      <c r="GF231" s="243"/>
      <c r="GG231" s="243"/>
      <c r="GH231" s="243"/>
      <c r="GI231" s="243"/>
      <c r="GJ231" s="243"/>
      <c r="GK231" s="243"/>
      <c r="GL231" s="243"/>
      <c r="GM231" s="243"/>
      <c r="GN231" s="243"/>
      <c r="GO231" s="243"/>
      <c r="GP231" s="243"/>
      <c r="GQ231" s="243"/>
      <c r="GR231" s="243"/>
      <c r="GS231" s="243"/>
      <c r="GT231" s="243"/>
      <c r="GU231" s="243"/>
      <c r="GV231" s="243"/>
      <c r="GW231" s="243"/>
      <c r="GX231" s="243"/>
      <c r="GY231" s="243"/>
      <c r="GZ231" s="243"/>
      <c r="HA231" s="243"/>
      <c r="HB231" s="243"/>
      <c r="HC231" s="243"/>
      <c r="HD231" s="243"/>
      <c r="HE231" s="243"/>
      <c r="HF231" s="243"/>
      <c r="HG231" s="243"/>
      <c r="HH231" s="243"/>
      <c r="HI231" s="243"/>
      <c r="HJ231" s="243"/>
      <c r="HK231" s="243"/>
      <c r="HL231" s="243"/>
      <c r="HM231" s="243"/>
      <c r="HN231" s="243"/>
      <c r="HO231" s="243"/>
      <c r="HP231" s="243"/>
      <c r="HQ231" s="243"/>
      <c r="HR231" s="243"/>
      <c r="HS231" s="243"/>
      <c r="HT231" s="243"/>
      <c r="HU231" s="243"/>
      <c r="HV231" s="243"/>
      <c r="HW231" s="243"/>
      <c r="HX231" s="243"/>
      <c r="HY231" s="243"/>
      <c r="HZ231" s="243"/>
      <c r="IA231" s="243"/>
      <c r="IB231" s="243"/>
      <c r="IC231" s="243"/>
      <c r="ID231" s="243"/>
      <c r="IE231" s="243"/>
      <c r="IF231" s="243"/>
      <c r="IG231" s="243"/>
      <c r="IH231" s="243"/>
      <c r="II231" s="243"/>
      <c r="IJ231" s="243"/>
      <c r="IK231" s="243"/>
      <c r="IL231" s="243"/>
      <c r="IM231" s="243"/>
      <c r="IN231" s="243"/>
      <c r="IO231" s="243"/>
      <c r="IP231" s="243"/>
      <c r="IQ231" s="243"/>
      <c r="IR231" s="243"/>
      <c r="IS231" s="243"/>
      <c r="IT231" s="243"/>
      <c r="IU231" s="243"/>
      <c r="IV231" s="243"/>
      <c r="IW231" s="243"/>
      <c r="IX231" s="243"/>
      <c r="IY231" s="243"/>
      <c r="IZ231" s="243"/>
      <c r="JA231" s="243"/>
      <c r="JB231" s="243"/>
      <c r="JC231" s="243"/>
      <c r="JD231" s="243"/>
      <c r="JE231" s="243"/>
      <c r="JF231" s="243"/>
      <c r="JG231" s="243"/>
      <c r="JH231" s="243"/>
      <c r="JI231" s="243"/>
      <c r="JJ231" s="243"/>
      <c r="JK231" s="243"/>
      <c r="JL231" s="243"/>
      <c r="JM231" s="243"/>
      <c r="JN231" s="243"/>
      <c r="JO231" s="243"/>
      <c r="JP231" s="243"/>
      <c r="JQ231" s="243"/>
      <c r="JR231" s="243"/>
      <c r="JS231" s="243"/>
      <c r="JT231" s="243"/>
      <c r="JU231" s="243"/>
      <c r="JV231" s="243"/>
      <c r="JW231" s="243"/>
      <c r="JX231" s="243"/>
      <c r="JY231" s="243"/>
      <c r="JZ231" s="243"/>
      <c r="KA231" s="243"/>
      <c r="KB231" s="243"/>
      <c r="KC231" s="243"/>
      <c r="KD231" s="243"/>
      <c r="KE231" s="243"/>
      <c r="KF231" s="243"/>
      <c r="KG231" s="243"/>
      <c r="KH231" s="243"/>
      <c r="KI231" s="243"/>
      <c r="KJ231" s="243"/>
      <c r="KK231" s="243"/>
      <c r="KL231" s="243"/>
      <c r="KM231" s="243"/>
      <c r="KN231" s="243"/>
      <c r="KO231" s="243"/>
      <c r="KP231" s="243"/>
      <c r="KQ231" s="243"/>
      <c r="KR231" s="243"/>
      <c r="KS231" s="243"/>
      <c r="KT231" s="243"/>
      <c r="KU231" s="243"/>
      <c r="KV231" s="243"/>
      <c r="KW231" s="243"/>
      <c r="KX231" s="243"/>
      <c r="KY231" s="243"/>
      <c r="KZ231" s="243"/>
      <c r="LA231" s="243"/>
      <c r="LB231" s="243"/>
      <c r="LC231" s="243"/>
      <c r="LD231" s="243"/>
      <c r="LE231" s="243"/>
      <c r="LF231" s="243"/>
      <c r="LG231" s="243"/>
      <c r="LH231" s="243"/>
      <c r="LI231" s="243"/>
      <c r="LJ231" s="243"/>
      <c r="LK231" s="243"/>
      <c r="LL231" s="243"/>
      <c r="LM231" s="243"/>
      <c r="LN231" s="243"/>
      <c r="LO231" s="243"/>
      <c r="LP231" s="243"/>
      <c r="LQ231" s="243"/>
      <c r="LR231" s="243"/>
      <c r="LS231" s="243"/>
      <c r="LT231" s="243"/>
      <c r="LU231" s="243"/>
      <c r="LV231" s="243"/>
      <c r="LW231" s="243"/>
      <c r="LX231" s="243"/>
      <c r="LY231" s="243"/>
      <c r="LZ231" s="243"/>
      <c r="MA231" s="243"/>
      <c r="MB231" s="243"/>
      <c r="MC231" s="243"/>
      <c r="MD231" s="243"/>
      <c r="ME231" s="243"/>
      <c r="MF231" s="243"/>
      <c r="MG231" s="243"/>
      <c r="MH231" s="243"/>
      <c r="MI231" s="243"/>
      <c r="MJ231" s="243"/>
      <c r="MK231" s="243"/>
      <c r="ML231" s="243"/>
      <c r="MM231" s="243"/>
      <c r="MN231" s="243"/>
      <c r="MO231" s="243"/>
      <c r="MP231" s="243"/>
      <c r="MQ231" s="243"/>
      <c r="MR231" s="243"/>
      <c r="MS231" s="243"/>
      <c r="MT231" s="243"/>
      <c r="MU231" s="243"/>
      <c r="MV231" s="243"/>
      <c r="MW231" s="243"/>
      <c r="MX231" s="243"/>
      <c r="MY231" s="243"/>
      <c r="MZ231" s="243"/>
      <c r="NA231" s="243"/>
      <c r="NB231" s="243"/>
      <c r="NC231" s="243"/>
      <c r="ND231" s="243"/>
      <c r="NE231" s="243"/>
      <c r="NF231" s="243"/>
      <c r="NG231" s="243"/>
      <c r="NH231" s="243"/>
      <c r="NI231" s="243"/>
      <c r="NJ231" s="243"/>
      <c r="NK231" s="243"/>
      <c r="NL231" s="243"/>
      <c r="NM231" s="243"/>
      <c r="NN231" s="243"/>
      <c r="NO231" s="243"/>
      <c r="NP231" s="243"/>
      <c r="NQ231" s="243"/>
      <c r="NR231" s="243"/>
      <c r="NS231" s="243"/>
      <c r="NT231" s="243"/>
      <c r="NU231" s="243"/>
      <c r="NV231" s="243"/>
      <c r="NW231" s="243"/>
      <c r="NX231" s="243"/>
      <c r="NY231" s="243"/>
      <c r="NZ231" s="243"/>
      <c r="OA231" s="243"/>
      <c r="OB231" s="243"/>
      <c r="OC231" s="243"/>
      <c r="OD231" s="243"/>
      <c r="OE231" s="243"/>
      <c r="OF231" s="243"/>
      <c r="OG231" s="243"/>
      <c r="OH231" s="243"/>
      <c r="OI231" s="243"/>
      <c r="OJ231" s="243"/>
      <c r="OK231" s="243"/>
      <c r="OL231" s="243"/>
      <c r="OM231" s="243"/>
      <c r="ON231" s="243"/>
      <c r="OO231" s="243"/>
      <c r="OP231" s="243"/>
      <c r="OQ231" s="243"/>
      <c r="OR231" s="243"/>
      <c r="OS231" s="243"/>
      <c r="OT231" s="243"/>
      <c r="OU231" s="243"/>
      <c r="OV231" s="243"/>
      <c r="OW231" s="243"/>
      <c r="OX231" s="243"/>
      <c r="OY231" s="243"/>
      <c r="OZ231" s="243"/>
      <c r="PA231" s="243"/>
      <c r="PB231" s="243"/>
      <c r="PC231" s="243"/>
      <c r="PD231" s="243"/>
      <c r="PE231" s="243"/>
      <c r="PF231" s="243"/>
      <c r="PG231" s="243"/>
      <c r="PH231" s="243"/>
      <c r="PI231" s="243"/>
      <c r="PJ231" s="243"/>
      <c r="PK231" s="243"/>
      <c r="PL231" s="243"/>
      <c r="PM231" s="243"/>
      <c r="PN231" s="243"/>
      <c r="PO231" s="243"/>
      <c r="PP231" s="243"/>
      <c r="PQ231" s="243"/>
      <c r="PR231" s="243"/>
      <c r="PS231" s="243"/>
      <c r="PT231" s="243"/>
      <c r="PU231" s="243"/>
      <c r="PV231" s="243"/>
      <c r="PW231" s="243"/>
      <c r="PX231" s="243"/>
      <c r="PY231" s="243"/>
      <c r="PZ231" s="243"/>
      <c r="QA231" s="243"/>
      <c r="QB231" s="243"/>
      <c r="QC231" s="243"/>
      <c r="QD231" s="243"/>
      <c r="QE231" s="243"/>
      <c r="QF231" s="243"/>
      <c r="QG231" s="243"/>
      <c r="QH231" s="243"/>
      <c r="QI231" s="243"/>
      <c r="QJ231" s="243"/>
      <c r="QK231" s="243"/>
      <c r="QL231" s="243"/>
      <c r="QM231" s="243"/>
      <c r="QN231" s="243"/>
      <c r="QO231" s="243"/>
      <c r="QP231" s="243"/>
      <c r="QQ231" s="243"/>
      <c r="QR231" s="243"/>
      <c r="QS231" s="243"/>
      <c r="QT231" s="243"/>
      <c r="QU231" s="243"/>
      <c r="QV231" s="243"/>
      <c r="QW231" s="243"/>
      <c r="QX231" s="243"/>
      <c r="QY231" s="243"/>
      <c r="QZ231" s="243"/>
      <c r="RA231" s="243"/>
      <c r="RB231" s="243"/>
      <c r="RC231" s="243"/>
      <c r="RD231" s="243"/>
      <c r="RE231" s="243"/>
      <c r="RF231" s="243"/>
      <c r="RG231" s="243"/>
      <c r="RH231" s="243"/>
      <c r="RI231" s="243"/>
      <c r="RJ231" s="243"/>
      <c r="RK231" s="243"/>
      <c r="RL231" s="243"/>
      <c r="RM231" s="243"/>
      <c r="RN231" s="243"/>
      <c r="RO231" s="243"/>
      <c r="RP231" s="243"/>
      <c r="RQ231" s="243"/>
      <c r="RR231" s="243"/>
      <c r="RS231" s="243"/>
      <c r="RT231" s="243"/>
      <c r="RU231" s="243"/>
      <c r="RV231" s="243"/>
      <c r="RW231" s="243"/>
      <c r="RX231" s="243"/>
      <c r="RY231" s="243"/>
      <c r="RZ231" s="243"/>
      <c r="SA231" s="243"/>
      <c r="SB231" s="243"/>
      <c r="SC231" s="243"/>
      <c r="SD231" s="243"/>
      <c r="SE231" s="243"/>
      <c r="SF231" s="243"/>
      <c r="SG231" s="243"/>
      <c r="SH231" s="243"/>
      <c r="SI231" s="243"/>
      <c r="SJ231" s="243"/>
      <c r="SK231" s="243"/>
      <c r="SL231" s="243"/>
      <c r="SM231" s="243"/>
      <c r="SN231" s="243"/>
      <c r="SO231" s="243"/>
      <c r="SP231" s="243"/>
      <c r="SQ231" s="243"/>
      <c r="SR231" s="243"/>
      <c r="SS231" s="243"/>
      <c r="ST231" s="243"/>
      <c r="SU231" s="243"/>
      <c r="SV231" s="243"/>
      <c r="SW231" s="243"/>
      <c r="SX231" s="243"/>
      <c r="SY231" s="243"/>
      <c r="SZ231" s="243"/>
      <c r="TA231" s="243"/>
      <c r="TB231" s="243"/>
      <c r="TC231" s="243"/>
      <c r="TD231" s="243"/>
      <c r="TE231" s="243"/>
      <c r="TF231" s="243"/>
      <c r="TG231" s="243"/>
      <c r="TH231" s="243"/>
      <c r="TI231" s="243"/>
      <c r="TJ231" s="243"/>
      <c r="TK231" s="243"/>
      <c r="TL231" s="243"/>
      <c r="TM231" s="243"/>
      <c r="TN231" s="243"/>
      <c r="TO231" s="243"/>
      <c r="TP231" s="243"/>
      <c r="TQ231" s="243"/>
      <c r="TR231" s="243"/>
      <c r="TS231" s="243"/>
      <c r="TT231" s="243"/>
      <c r="TU231" s="243"/>
      <c r="TV231" s="243"/>
      <c r="TW231" s="243"/>
      <c r="TX231" s="243"/>
      <c r="TY231" s="243"/>
      <c r="TZ231" s="243"/>
      <c r="UA231" s="243"/>
      <c r="UB231" s="243"/>
      <c r="UC231" s="243"/>
      <c r="UD231" s="243"/>
      <c r="UE231" s="243"/>
      <c r="UF231" s="243"/>
      <c r="UG231" s="243"/>
      <c r="UH231" s="243"/>
      <c r="UI231" s="243"/>
      <c r="UJ231" s="243"/>
      <c r="UK231" s="243"/>
      <c r="UL231" s="243"/>
      <c r="UM231" s="243"/>
      <c r="UN231" s="243"/>
      <c r="UO231" s="243"/>
      <c r="UP231" s="243"/>
      <c r="UQ231" s="243"/>
      <c r="UR231" s="243"/>
      <c r="US231" s="243"/>
      <c r="UT231" s="243"/>
      <c r="UU231" s="243"/>
      <c r="UV231" s="243"/>
      <c r="UW231" s="243"/>
      <c r="UX231" s="243"/>
      <c r="UY231" s="243"/>
      <c r="UZ231" s="243"/>
      <c r="VA231" s="243"/>
      <c r="VB231" s="243"/>
      <c r="VC231" s="243"/>
      <c r="VD231" s="243"/>
      <c r="VE231" s="243"/>
      <c r="VF231" s="243"/>
      <c r="VG231" s="243"/>
      <c r="VH231" s="243"/>
      <c r="VI231" s="243"/>
      <c r="VJ231" s="243"/>
      <c r="VK231" s="243"/>
      <c r="VL231" s="243"/>
      <c r="VM231" s="243"/>
      <c r="VN231" s="243"/>
      <c r="VO231" s="243"/>
      <c r="VP231" s="243"/>
      <c r="VQ231" s="243"/>
      <c r="VR231" s="243"/>
      <c r="VS231" s="243"/>
      <c r="VT231" s="243"/>
      <c r="VU231" s="243"/>
      <c r="VV231" s="243"/>
      <c r="VW231" s="243"/>
      <c r="VX231" s="243"/>
      <c r="VY231" s="243"/>
      <c r="VZ231" s="243"/>
      <c r="WA231" s="243"/>
      <c r="WB231" s="243"/>
      <c r="WC231" s="243"/>
      <c r="WD231" s="243"/>
      <c r="WE231" s="243"/>
      <c r="WF231" s="243"/>
      <c r="WG231" s="243"/>
      <c r="WH231" s="243"/>
      <c r="WI231" s="243"/>
      <c r="WJ231" s="243"/>
      <c r="WK231" s="243"/>
      <c r="WL231" s="243"/>
      <c r="WM231" s="243"/>
      <c r="WN231" s="243"/>
      <c r="WO231" s="243"/>
      <c r="WP231" s="243"/>
      <c r="WQ231" s="243"/>
      <c r="WR231" s="243"/>
      <c r="WS231" s="243"/>
      <c r="WT231" s="243"/>
      <c r="WU231" s="243"/>
      <c r="WV231" s="243"/>
      <c r="WW231" s="243"/>
      <c r="WX231" s="243"/>
      <c r="WY231" s="243"/>
      <c r="WZ231" s="243"/>
      <c r="XA231" s="243"/>
      <c r="XB231" s="243"/>
      <c r="XC231" s="243"/>
      <c r="XD231" s="243"/>
      <c r="XE231" s="243"/>
      <c r="XF231" s="243"/>
      <c r="XG231" s="243"/>
      <c r="XH231" s="243"/>
      <c r="XI231" s="243"/>
      <c r="XJ231" s="243"/>
      <c r="XK231" s="243"/>
      <c r="XL231" s="243"/>
      <c r="XM231" s="243"/>
      <c r="XN231" s="243"/>
      <c r="XO231" s="243"/>
      <c r="XP231" s="243"/>
      <c r="XQ231" s="243"/>
      <c r="XR231" s="243"/>
      <c r="XS231" s="243"/>
      <c r="XT231" s="243"/>
      <c r="XU231" s="243"/>
      <c r="XV231" s="243"/>
      <c r="XW231" s="243"/>
      <c r="XX231" s="243"/>
      <c r="XY231" s="243"/>
      <c r="XZ231" s="243"/>
      <c r="YA231" s="243"/>
      <c r="YB231" s="243"/>
      <c r="YC231" s="243"/>
      <c r="YD231" s="243"/>
      <c r="YE231" s="243"/>
      <c r="YF231" s="243"/>
      <c r="YG231" s="243"/>
      <c r="YH231" s="243"/>
      <c r="YI231" s="243"/>
      <c r="YJ231" s="243"/>
      <c r="YK231" s="243"/>
      <c r="YL231" s="243"/>
      <c r="YM231" s="243"/>
      <c r="YN231" s="243"/>
      <c r="YO231" s="243"/>
      <c r="YP231" s="243"/>
      <c r="YQ231" s="243"/>
      <c r="YR231" s="243"/>
      <c r="YS231" s="243"/>
      <c r="YT231" s="243"/>
      <c r="YU231" s="243"/>
      <c r="YV231" s="243"/>
      <c r="YW231" s="243"/>
      <c r="YX231" s="243"/>
      <c r="YY231" s="243"/>
      <c r="YZ231" s="243"/>
      <c r="ZA231" s="243"/>
      <c r="ZB231" s="243"/>
      <c r="ZC231" s="243"/>
      <c r="ZD231" s="243"/>
      <c r="ZE231" s="243"/>
      <c r="ZF231" s="243"/>
      <c r="ZG231" s="243"/>
      <c r="ZH231" s="243"/>
      <c r="ZI231" s="243"/>
      <c r="ZJ231" s="243"/>
      <c r="ZK231" s="243"/>
      <c r="ZL231" s="243"/>
      <c r="ZM231" s="243"/>
      <c r="ZN231" s="243"/>
      <c r="ZO231" s="243"/>
      <c r="ZP231" s="243"/>
      <c r="ZQ231" s="243"/>
      <c r="ZR231" s="243"/>
      <c r="ZS231" s="243"/>
      <c r="ZT231" s="243"/>
      <c r="ZU231" s="243"/>
      <c r="ZV231" s="243"/>
      <c r="ZW231" s="243"/>
      <c r="ZX231" s="243"/>
      <c r="ZY231" s="243"/>
      <c r="ZZ231" s="243"/>
      <c r="AAA231" s="243"/>
      <c r="AAB231" s="243"/>
      <c r="AAC231" s="243"/>
      <c r="AAD231" s="243"/>
      <c r="AAE231" s="243"/>
      <c r="AAF231" s="243"/>
      <c r="AAG231" s="243"/>
      <c r="AAH231" s="243"/>
      <c r="AAI231" s="243"/>
      <c r="AAJ231" s="243"/>
      <c r="AAK231" s="243"/>
      <c r="AAL231" s="243"/>
      <c r="AAM231" s="243"/>
      <c r="AAN231" s="243"/>
      <c r="AAO231" s="243"/>
      <c r="AAP231" s="243"/>
      <c r="AAQ231" s="243"/>
      <c r="AAR231" s="243"/>
      <c r="AAS231" s="243"/>
      <c r="AAT231" s="243"/>
      <c r="AAU231" s="243"/>
      <c r="AAV231" s="243"/>
      <c r="AAW231" s="243"/>
      <c r="AAX231" s="243"/>
      <c r="AAY231" s="243"/>
      <c r="AAZ231" s="243"/>
      <c r="ABA231" s="243"/>
      <c r="ABB231" s="243"/>
      <c r="ABC231" s="243"/>
      <c r="ABD231" s="243"/>
      <c r="ABE231" s="243"/>
      <c r="ABF231" s="243"/>
      <c r="ABG231" s="243"/>
      <c r="ABH231" s="243"/>
      <c r="ABI231" s="243"/>
      <c r="ABJ231" s="243"/>
      <c r="ABK231" s="243"/>
      <c r="ABL231" s="243"/>
      <c r="ABM231" s="243"/>
      <c r="ABN231" s="243"/>
      <c r="ABO231" s="243"/>
      <c r="ABP231" s="243"/>
      <c r="ABQ231" s="243"/>
      <c r="ABR231" s="243"/>
      <c r="ABS231" s="243"/>
      <c r="ABT231" s="243"/>
      <c r="ABU231" s="243"/>
      <c r="ABV231" s="243"/>
      <c r="ABW231" s="243"/>
      <c r="ABX231" s="243"/>
      <c r="ABY231" s="243"/>
      <c r="ABZ231" s="243"/>
      <c r="ACA231" s="243"/>
      <c r="ACB231" s="243"/>
      <c r="ACC231" s="243"/>
      <c r="ACD231" s="243"/>
      <c r="ACE231" s="243"/>
      <c r="ACF231" s="243"/>
      <c r="ACG231" s="243"/>
      <c r="ACH231" s="243"/>
      <c r="ACI231" s="243"/>
      <c r="ACJ231" s="243"/>
      <c r="ACK231" s="243"/>
      <c r="ACL231" s="243"/>
      <c r="ACM231" s="243"/>
      <c r="ACN231" s="243"/>
      <c r="ACO231" s="243"/>
      <c r="ACP231" s="243"/>
      <c r="ACQ231" s="243"/>
      <c r="ACR231" s="243"/>
      <c r="ACS231" s="243"/>
      <c r="ACT231" s="243"/>
      <c r="ACU231" s="243"/>
      <c r="ACV231" s="243"/>
      <c r="ACW231" s="243"/>
      <c r="ACX231" s="243"/>
      <c r="ACY231" s="243"/>
      <c r="ACZ231" s="243"/>
      <c r="ADA231" s="243"/>
      <c r="ADB231" s="243"/>
      <c r="ADC231" s="243"/>
      <c r="ADD231" s="243"/>
      <c r="ADE231" s="243"/>
      <c r="ADF231" s="243"/>
      <c r="ADG231" s="243"/>
      <c r="ADH231" s="243"/>
      <c r="ADI231" s="243"/>
      <c r="ADJ231" s="243"/>
      <c r="ADK231" s="243"/>
      <c r="ADL231" s="243"/>
      <c r="ADM231" s="243"/>
      <c r="ADN231" s="243"/>
      <c r="ADO231" s="243"/>
      <c r="ADP231" s="243"/>
      <c r="ADQ231" s="243"/>
      <c r="ADR231" s="243"/>
      <c r="ADS231" s="243"/>
      <c r="ADT231" s="243"/>
      <c r="ADU231" s="243"/>
      <c r="ADV231" s="243"/>
      <c r="ADW231" s="243"/>
      <c r="ADX231" s="243"/>
      <c r="ADY231" s="243"/>
      <c r="ADZ231" s="243"/>
      <c r="AEA231" s="243"/>
      <c r="AEB231" s="243"/>
      <c r="AEC231" s="243"/>
      <c r="AED231" s="243"/>
      <c r="AEE231" s="243"/>
      <c r="AEF231" s="243"/>
      <c r="AEG231" s="243"/>
      <c r="AEH231" s="243"/>
      <c r="AEI231" s="243"/>
      <c r="AEJ231" s="243"/>
      <c r="AEK231" s="243"/>
      <c r="AEL231" s="243"/>
      <c r="AEM231" s="243"/>
      <c r="AEN231" s="243"/>
      <c r="AEO231" s="243"/>
      <c r="AEP231" s="243"/>
      <c r="AEQ231" s="243"/>
      <c r="AER231" s="243"/>
      <c r="AES231" s="243"/>
      <c r="AET231" s="243"/>
      <c r="AEU231" s="243"/>
      <c r="AEV231" s="243"/>
      <c r="AEW231" s="243"/>
      <c r="AEX231" s="243"/>
      <c r="AEY231" s="243"/>
      <c r="AEZ231" s="243"/>
      <c r="AFA231" s="243"/>
      <c r="AFB231" s="243"/>
      <c r="AFC231" s="243"/>
      <c r="AFD231" s="243"/>
      <c r="AFE231" s="243"/>
      <c r="AFF231" s="243"/>
      <c r="AFG231" s="243"/>
      <c r="AFH231" s="243"/>
      <c r="AFI231" s="243"/>
      <c r="AFJ231" s="243"/>
      <c r="AFK231" s="243"/>
      <c r="AFL231" s="243"/>
      <c r="AFM231" s="243"/>
      <c r="AFN231" s="243"/>
      <c r="AFO231" s="243"/>
      <c r="AFP231" s="243"/>
      <c r="AFQ231" s="243"/>
      <c r="AFR231" s="243"/>
      <c r="AFS231" s="243"/>
      <c r="AFT231" s="243"/>
      <c r="AFU231" s="243"/>
      <c r="AFV231" s="243"/>
      <c r="AFW231" s="243"/>
      <c r="AFX231" s="243"/>
      <c r="AFY231" s="243"/>
      <c r="AFZ231" s="243"/>
      <c r="AGA231" s="243"/>
      <c r="AGB231" s="243"/>
      <c r="AGC231" s="243"/>
      <c r="AGD231" s="243"/>
      <c r="AGE231" s="243"/>
      <c r="AGF231" s="243"/>
      <c r="AGG231" s="243"/>
      <c r="AGH231" s="243"/>
      <c r="AGI231" s="243"/>
      <c r="AGJ231" s="243"/>
      <c r="AGK231" s="243"/>
      <c r="AGL231" s="243"/>
      <c r="AGM231" s="243"/>
      <c r="AGN231" s="243"/>
      <c r="AGO231" s="243"/>
      <c r="AGP231" s="243"/>
      <c r="AGQ231" s="243"/>
      <c r="AGR231" s="243"/>
      <c r="AGS231" s="243"/>
      <c r="AGT231" s="243"/>
      <c r="AGU231" s="243"/>
      <c r="AGV231" s="243"/>
      <c r="AGW231" s="243"/>
      <c r="AGX231" s="243"/>
      <c r="AGY231" s="243"/>
      <c r="AGZ231" s="243"/>
      <c r="AHA231" s="243"/>
      <c r="AHB231" s="243"/>
      <c r="AHC231" s="243"/>
      <c r="AHD231" s="243"/>
      <c r="AHE231" s="243"/>
      <c r="AHF231" s="243"/>
      <c r="AHG231" s="243"/>
      <c r="AHH231" s="243"/>
      <c r="AHI231" s="243"/>
      <c r="AHJ231" s="243"/>
      <c r="AHK231" s="243"/>
      <c r="AHL231" s="243"/>
      <c r="AHM231" s="243"/>
      <c r="AHN231" s="243"/>
      <c r="AHO231" s="243"/>
      <c r="AHP231" s="243"/>
      <c r="AHQ231" s="243"/>
      <c r="AHR231" s="243"/>
      <c r="AHS231" s="243"/>
      <c r="AHT231" s="243"/>
      <c r="AHU231" s="243"/>
      <c r="AHV231" s="243"/>
      <c r="AHW231" s="243"/>
      <c r="AHX231" s="243"/>
      <c r="AHY231" s="243"/>
      <c r="AHZ231" s="243"/>
      <c r="AIA231" s="243"/>
      <c r="AIB231" s="243"/>
      <c r="AIC231" s="243"/>
      <c r="AID231" s="243"/>
      <c r="AIE231" s="243"/>
      <c r="AIF231" s="243"/>
      <c r="AIG231" s="243"/>
      <c r="AIH231" s="243"/>
      <c r="AII231" s="243"/>
      <c r="AIJ231" s="243"/>
      <c r="AIK231" s="243"/>
      <c r="AIL231" s="243"/>
      <c r="AIM231" s="243"/>
      <c r="AIN231" s="243"/>
      <c r="AIO231" s="243"/>
      <c r="AIP231" s="243"/>
      <c r="AIQ231" s="243"/>
      <c r="AIR231" s="243"/>
      <c r="AIS231" s="243"/>
      <c r="AIT231" s="243"/>
      <c r="AIU231" s="243"/>
      <c r="AIV231" s="243"/>
      <c r="AIW231" s="243"/>
      <c r="AIX231" s="243"/>
      <c r="AIY231" s="243"/>
      <c r="AIZ231" s="243"/>
      <c r="AJA231" s="243"/>
      <c r="AJB231" s="243"/>
      <c r="AJC231" s="243"/>
      <c r="AJD231" s="243"/>
      <c r="AJE231" s="243"/>
      <c r="AJF231" s="243"/>
      <c r="AJG231" s="243"/>
      <c r="AJH231" s="243"/>
      <c r="AJI231" s="243"/>
      <c r="AJJ231" s="243"/>
      <c r="AJK231" s="243"/>
      <c r="AJL231" s="243"/>
      <c r="AJM231" s="243"/>
      <c r="AJN231" s="243"/>
      <c r="AJO231" s="243"/>
      <c r="AJP231" s="243"/>
      <c r="AJQ231" s="243"/>
      <c r="AJR231" s="243"/>
      <c r="AJS231" s="243"/>
      <c r="AJT231" s="243"/>
      <c r="AJU231" s="243"/>
      <c r="AJV231" s="243"/>
      <c r="AJW231" s="243"/>
      <c r="AJX231" s="243"/>
      <c r="AJY231" s="243"/>
      <c r="AJZ231" s="243"/>
      <c r="AKA231" s="243"/>
      <c r="AKB231" s="243"/>
      <c r="AKC231" s="243"/>
      <c r="AKD231" s="243"/>
      <c r="AKE231" s="243"/>
      <c r="AKF231" s="243"/>
      <c r="AKG231" s="243"/>
      <c r="AKH231" s="243"/>
      <c r="AKI231" s="243"/>
      <c r="AKJ231" s="243"/>
      <c r="AKK231" s="243"/>
      <c r="AKL231" s="243"/>
      <c r="AKM231" s="243"/>
      <c r="AKN231" s="243"/>
      <c r="AKO231" s="243"/>
      <c r="AKP231" s="243"/>
      <c r="AKQ231" s="243"/>
      <c r="AKR231" s="243"/>
      <c r="AKS231" s="243"/>
      <c r="AKT231" s="243"/>
      <c r="AKU231" s="243"/>
      <c r="AKV231" s="243"/>
      <c r="AKW231" s="243"/>
      <c r="AKX231" s="243"/>
      <c r="AKY231" s="243"/>
      <c r="AKZ231" s="243"/>
      <c r="ALA231" s="243"/>
      <c r="ALB231" s="243"/>
      <c r="ALC231" s="243"/>
      <c r="ALD231" s="243"/>
      <c r="ALE231" s="243"/>
      <c r="ALF231" s="243"/>
      <c r="ALG231" s="243"/>
      <c r="ALH231" s="243"/>
      <c r="ALI231" s="243"/>
      <c r="ALJ231" s="243"/>
      <c r="ALK231" s="243"/>
      <c r="ALL231" s="243"/>
      <c r="ALM231" s="243"/>
      <c r="ALN231" s="243"/>
      <c r="ALO231" s="243"/>
      <c r="ALP231" s="243"/>
      <c r="ALQ231" s="243"/>
      <c r="ALR231" s="243"/>
      <c r="ALS231" s="243"/>
      <c r="ALT231" s="243"/>
      <c r="ALU231" s="243"/>
      <c r="ALV231" s="243"/>
      <c r="ALW231" s="243"/>
      <c r="ALX231" s="243"/>
      <c r="ALY231" s="243"/>
      <c r="ALZ231" s="243"/>
      <c r="AMA231" s="243"/>
      <c r="AMB231" s="243"/>
      <c r="AMC231" s="243"/>
      <c r="AMD231" s="243"/>
      <c r="AME231" s="243"/>
      <c r="AMF231" s="243"/>
      <c r="AMG231" s="243"/>
      <c r="AMH231" s="243"/>
      <c r="AMI231" s="244"/>
      <c r="AMJ231" s="244"/>
    </row>
    <row r="232" spans="1:1024">
      <c r="A232" s="911"/>
      <c r="B232" s="442">
        <v>13940</v>
      </c>
      <c r="C232" s="430">
        <v>0.08</v>
      </c>
      <c r="D232" s="370" t="s">
        <v>158</v>
      </c>
      <c r="E232" s="433">
        <v>4000000</v>
      </c>
      <c r="F232" s="430">
        <v>0.1</v>
      </c>
      <c r="G232" s="401">
        <f t="shared" si="8"/>
        <v>400000</v>
      </c>
      <c r="H232" s="402" t="s">
        <v>103</v>
      </c>
      <c r="I232" s="402" t="s">
        <v>138</v>
      </c>
      <c r="J232" s="402" t="s">
        <v>125</v>
      </c>
      <c r="K232" s="438" t="s">
        <v>155</v>
      </c>
      <c r="L232" s="505" t="s">
        <v>125</v>
      </c>
      <c r="M232" s="370">
        <v>14102</v>
      </c>
      <c r="N232" s="370" t="s">
        <v>159</v>
      </c>
      <c r="O232" s="501">
        <v>1900000</v>
      </c>
      <c r="P232" s="432">
        <v>0.05</v>
      </c>
      <c r="Q232" s="501">
        <f>O232*P232</f>
        <v>95000</v>
      </c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3"/>
      <c r="AI232" s="243"/>
      <c r="AJ232" s="243"/>
      <c r="AK232" s="243"/>
      <c r="AL232" s="243"/>
      <c r="AM232" s="243"/>
      <c r="AN232" s="243"/>
      <c r="AO232" s="243"/>
      <c r="AP232" s="243"/>
      <c r="AQ232" s="243"/>
      <c r="AR232" s="243"/>
      <c r="AS232" s="243"/>
      <c r="AT232" s="243"/>
      <c r="AU232" s="243"/>
      <c r="AV232" s="243"/>
      <c r="AW232" s="243"/>
      <c r="AX232" s="243"/>
      <c r="AY232" s="243"/>
      <c r="AZ232" s="243"/>
      <c r="BA232" s="243"/>
      <c r="BB232" s="243"/>
      <c r="BC232" s="243"/>
      <c r="BD232" s="243"/>
      <c r="BE232" s="243"/>
      <c r="BF232" s="243"/>
      <c r="BG232" s="243"/>
      <c r="BH232" s="243"/>
      <c r="BI232" s="243"/>
      <c r="BJ232" s="243"/>
      <c r="BK232" s="243"/>
      <c r="BL232" s="243"/>
      <c r="BM232" s="243"/>
      <c r="BN232" s="243"/>
      <c r="BO232" s="243"/>
      <c r="BP232" s="243"/>
      <c r="BQ232" s="243"/>
      <c r="BR232" s="243"/>
      <c r="BS232" s="243"/>
      <c r="BT232" s="243"/>
      <c r="BU232" s="243"/>
      <c r="BV232" s="243"/>
      <c r="BW232" s="243"/>
      <c r="BX232" s="243"/>
      <c r="BY232" s="243"/>
      <c r="BZ232" s="243"/>
      <c r="CA232" s="243"/>
      <c r="CB232" s="243"/>
      <c r="CC232" s="243"/>
      <c r="CD232" s="243"/>
      <c r="CE232" s="243"/>
      <c r="CF232" s="243"/>
      <c r="CG232" s="243"/>
      <c r="CH232" s="243"/>
      <c r="CI232" s="243"/>
      <c r="CJ232" s="243"/>
      <c r="CK232" s="243"/>
      <c r="CL232" s="243"/>
      <c r="CM232" s="243"/>
      <c r="CN232" s="243"/>
      <c r="CO232" s="243"/>
      <c r="CP232" s="243"/>
      <c r="CQ232" s="243"/>
      <c r="CR232" s="243"/>
      <c r="CS232" s="243"/>
      <c r="CT232" s="243"/>
      <c r="CU232" s="243"/>
      <c r="CV232" s="243"/>
      <c r="CW232" s="243"/>
      <c r="CX232" s="243"/>
      <c r="CY232" s="243"/>
      <c r="CZ232" s="243"/>
      <c r="DA232" s="243"/>
      <c r="DB232" s="243"/>
      <c r="DC232" s="243"/>
      <c r="DD232" s="243"/>
      <c r="DE232" s="243"/>
      <c r="DF232" s="243"/>
      <c r="DG232" s="243"/>
      <c r="DH232" s="243"/>
      <c r="DI232" s="243"/>
      <c r="DJ232" s="243"/>
      <c r="DK232" s="243"/>
      <c r="DL232" s="243"/>
      <c r="DM232" s="243"/>
      <c r="DN232" s="243"/>
      <c r="DO232" s="243"/>
      <c r="DP232" s="243"/>
      <c r="DQ232" s="243"/>
      <c r="DR232" s="243"/>
      <c r="DS232" s="243"/>
      <c r="DT232" s="243"/>
      <c r="DU232" s="243"/>
      <c r="DV232" s="243"/>
      <c r="DW232" s="243"/>
      <c r="DX232" s="243"/>
      <c r="DY232" s="243"/>
      <c r="DZ232" s="243"/>
      <c r="EA232" s="243"/>
      <c r="EB232" s="243"/>
      <c r="EC232" s="243"/>
      <c r="ED232" s="243"/>
      <c r="EE232" s="243"/>
      <c r="EF232" s="243"/>
      <c r="EG232" s="243"/>
      <c r="EH232" s="243"/>
      <c r="EI232" s="243"/>
      <c r="EJ232" s="243"/>
      <c r="EK232" s="243"/>
      <c r="EL232" s="243"/>
      <c r="EM232" s="243"/>
      <c r="EN232" s="243"/>
      <c r="EO232" s="243"/>
      <c r="EP232" s="243"/>
      <c r="EQ232" s="243"/>
      <c r="ER232" s="243"/>
      <c r="ES232" s="243"/>
      <c r="ET232" s="243"/>
      <c r="EU232" s="243"/>
      <c r="EV232" s="243"/>
      <c r="EW232" s="243"/>
      <c r="EX232" s="243"/>
      <c r="EY232" s="243"/>
      <c r="EZ232" s="243"/>
      <c r="FA232" s="243"/>
      <c r="FB232" s="243"/>
      <c r="FC232" s="243"/>
      <c r="FD232" s="243"/>
      <c r="FE232" s="243"/>
      <c r="FF232" s="243"/>
      <c r="FG232" s="243"/>
      <c r="FH232" s="243"/>
      <c r="FI232" s="243"/>
      <c r="FJ232" s="243"/>
      <c r="FK232" s="243"/>
      <c r="FL232" s="243"/>
      <c r="FM232" s="243"/>
      <c r="FN232" s="243"/>
      <c r="FO232" s="243"/>
      <c r="FP232" s="243"/>
      <c r="FQ232" s="243"/>
      <c r="FR232" s="243"/>
      <c r="FS232" s="243"/>
      <c r="FT232" s="243"/>
      <c r="FU232" s="243"/>
      <c r="FV232" s="243"/>
      <c r="FW232" s="243"/>
      <c r="FX232" s="243"/>
      <c r="FY232" s="243"/>
      <c r="FZ232" s="243"/>
      <c r="GA232" s="243"/>
      <c r="GB232" s="243"/>
      <c r="GC232" s="243"/>
      <c r="GD232" s="243"/>
      <c r="GE232" s="243"/>
      <c r="GF232" s="243"/>
      <c r="GG232" s="243"/>
      <c r="GH232" s="243"/>
      <c r="GI232" s="243"/>
      <c r="GJ232" s="243"/>
      <c r="GK232" s="243"/>
      <c r="GL232" s="243"/>
      <c r="GM232" s="243"/>
      <c r="GN232" s="243"/>
      <c r="GO232" s="243"/>
      <c r="GP232" s="243"/>
      <c r="GQ232" s="243"/>
      <c r="GR232" s="243"/>
      <c r="GS232" s="243"/>
      <c r="GT232" s="243"/>
      <c r="GU232" s="243"/>
      <c r="GV232" s="243"/>
      <c r="GW232" s="243"/>
      <c r="GX232" s="243"/>
      <c r="GY232" s="243"/>
      <c r="GZ232" s="243"/>
      <c r="HA232" s="243"/>
      <c r="HB232" s="243"/>
      <c r="HC232" s="243"/>
      <c r="HD232" s="243"/>
      <c r="HE232" s="243"/>
      <c r="HF232" s="243"/>
      <c r="HG232" s="243"/>
      <c r="HH232" s="243"/>
      <c r="HI232" s="243"/>
      <c r="HJ232" s="243"/>
      <c r="HK232" s="243"/>
      <c r="HL232" s="243"/>
      <c r="HM232" s="243"/>
      <c r="HN232" s="243"/>
      <c r="HO232" s="243"/>
      <c r="HP232" s="243"/>
      <c r="HQ232" s="243"/>
      <c r="HR232" s="243"/>
      <c r="HS232" s="243"/>
      <c r="HT232" s="243"/>
      <c r="HU232" s="243"/>
      <c r="HV232" s="243"/>
      <c r="HW232" s="243"/>
      <c r="HX232" s="243"/>
      <c r="HY232" s="243"/>
      <c r="HZ232" s="243"/>
      <c r="IA232" s="243"/>
      <c r="IB232" s="243"/>
      <c r="IC232" s="243"/>
      <c r="ID232" s="243"/>
      <c r="IE232" s="243"/>
      <c r="IF232" s="243"/>
      <c r="IG232" s="243"/>
      <c r="IH232" s="243"/>
      <c r="II232" s="243"/>
      <c r="IJ232" s="243"/>
      <c r="IK232" s="243"/>
      <c r="IL232" s="243"/>
      <c r="IM232" s="243"/>
      <c r="IN232" s="243"/>
      <c r="IO232" s="243"/>
      <c r="IP232" s="243"/>
      <c r="IQ232" s="243"/>
      <c r="IR232" s="243"/>
      <c r="IS232" s="243"/>
      <c r="IT232" s="243"/>
      <c r="IU232" s="243"/>
      <c r="IV232" s="243"/>
      <c r="IW232" s="243"/>
      <c r="IX232" s="243"/>
      <c r="IY232" s="243"/>
      <c r="IZ232" s="243"/>
      <c r="JA232" s="243"/>
      <c r="JB232" s="243"/>
      <c r="JC232" s="243"/>
      <c r="JD232" s="243"/>
      <c r="JE232" s="243"/>
      <c r="JF232" s="243"/>
      <c r="JG232" s="243"/>
      <c r="JH232" s="243"/>
      <c r="JI232" s="243"/>
      <c r="JJ232" s="243"/>
      <c r="JK232" s="243"/>
      <c r="JL232" s="243"/>
      <c r="JM232" s="243"/>
      <c r="JN232" s="243"/>
      <c r="JO232" s="243"/>
      <c r="JP232" s="243"/>
      <c r="JQ232" s="243"/>
      <c r="JR232" s="243"/>
      <c r="JS232" s="243"/>
      <c r="JT232" s="243"/>
      <c r="JU232" s="243"/>
      <c r="JV232" s="243"/>
      <c r="JW232" s="243"/>
      <c r="JX232" s="243"/>
      <c r="JY232" s="243"/>
      <c r="JZ232" s="243"/>
      <c r="KA232" s="243"/>
      <c r="KB232" s="243"/>
      <c r="KC232" s="243"/>
      <c r="KD232" s="243"/>
      <c r="KE232" s="243"/>
      <c r="KF232" s="243"/>
      <c r="KG232" s="243"/>
      <c r="KH232" s="243"/>
      <c r="KI232" s="243"/>
      <c r="KJ232" s="243"/>
      <c r="KK232" s="243"/>
      <c r="KL232" s="243"/>
      <c r="KM232" s="243"/>
      <c r="KN232" s="243"/>
      <c r="KO232" s="243"/>
      <c r="KP232" s="243"/>
      <c r="KQ232" s="243"/>
      <c r="KR232" s="243"/>
      <c r="KS232" s="243"/>
      <c r="KT232" s="243"/>
      <c r="KU232" s="243"/>
      <c r="KV232" s="243"/>
      <c r="KW232" s="243"/>
      <c r="KX232" s="243"/>
      <c r="KY232" s="243"/>
      <c r="KZ232" s="243"/>
      <c r="LA232" s="243"/>
      <c r="LB232" s="243"/>
      <c r="LC232" s="243"/>
      <c r="LD232" s="243"/>
      <c r="LE232" s="243"/>
      <c r="LF232" s="243"/>
      <c r="LG232" s="243"/>
      <c r="LH232" s="243"/>
      <c r="LI232" s="243"/>
      <c r="LJ232" s="243"/>
      <c r="LK232" s="243"/>
      <c r="LL232" s="243"/>
      <c r="LM232" s="243"/>
      <c r="LN232" s="243"/>
      <c r="LO232" s="243"/>
      <c r="LP232" s="243"/>
      <c r="LQ232" s="243"/>
      <c r="LR232" s="243"/>
      <c r="LS232" s="243"/>
      <c r="LT232" s="243"/>
      <c r="LU232" s="243"/>
      <c r="LV232" s="243"/>
      <c r="LW232" s="243"/>
      <c r="LX232" s="243"/>
      <c r="LY232" s="243"/>
      <c r="LZ232" s="243"/>
      <c r="MA232" s="243"/>
      <c r="MB232" s="243"/>
      <c r="MC232" s="243"/>
      <c r="MD232" s="243"/>
      <c r="ME232" s="243"/>
      <c r="MF232" s="243"/>
      <c r="MG232" s="243"/>
      <c r="MH232" s="243"/>
      <c r="MI232" s="243"/>
      <c r="MJ232" s="243"/>
      <c r="MK232" s="243"/>
      <c r="ML232" s="243"/>
      <c r="MM232" s="243"/>
      <c r="MN232" s="243"/>
      <c r="MO232" s="243"/>
      <c r="MP232" s="243"/>
      <c r="MQ232" s="243"/>
      <c r="MR232" s="243"/>
      <c r="MS232" s="243"/>
      <c r="MT232" s="243"/>
      <c r="MU232" s="243"/>
      <c r="MV232" s="243"/>
      <c r="MW232" s="243"/>
      <c r="MX232" s="243"/>
      <c r="MY232" s="243"/>
      <c r="MZ232" s="243"/>
      <c r="NA232" s="243"/>
      <c r="NB232" s="243"/>
      <c r="NC232" s="243"/>
      <c r="ND232" s="243"/>
      <c r="NE232" s="243"/>
      <c r="NF232" s="243"/>
      <c r="NG232" s="243"/>
      <c r="NH232" s="243"/>
      <c r="NI232" s="243"/>
      <c r="NJ232" s="243"/>
      <c r="NK232" s="243"/>
      <c r="NL232" s="243"/>
      <c r="NM232" s="243"/>
      <c r="NN232" s="243"/>
      <c r="NO232" s="243"/>
      <c r="NP232" s="243"/>
      <c r="NQ232" s="243"/>
      <c r="NR232" s="243"/>
      <c r="NS232" s="243"/>
      <c r="NT232" s="243"/>
      <c r="NU232" s="243"/>
      <c r="NV232" s="243"/>
      <c r="NW232" s="243"/>
      <c r="NX232" s="243"/>
      <c r="NY232" s="243"/>
      <c r="NZ232" s="243"/>
      <c r="OA232" s="243"/>
      <c r="OB232" s="243"/>
      <c r="OC232" s="243"/>
      <c r="OD232" s="243"/>
      <c r="OE232" s="243"/>
      <c r="OF232" s="243"/>
      <c r="OG232" s="243"/>
      <c r="OH232" s="243"/>
      <c r="OI232" s="243"/>
      <c r="OJ232" s="243"/>
      <c r="OK232" s="243"/>
      <c r="OL232" s="243"/>
      <c r="OM232" s="243"/>
      <c r="ON232" s="243"/>
      <c r="OO232" s="243"/>
      <c r="OP232" s="243"/>
      <c r="OQ232" s="243"/>
      <c r="OR232" s="243"/>
      <c r="OS232" s="243"/>
      <c r="OT232" s="243"/>
      <c r="OU232" s="243"/>
      <c r="OV232" s="243"/>
      <c r="OW232" s="243"/>
      <c r="OX232" s="243"/>
      <c r="OY232" s="243"/>
      <c r="OZ232" s="243"/>
      <c r="PA232" s="243"/>
      <c r="PB232" s="243"/>
      <c r="PC232" s="243"/>
      <c r="PD232" s="243"/>
      <c r="PE232" s="243"/>
      <c r="PF232" s="243"/>
      <c r="PG232" s="243"/>
      <c r="PH232" s="243"/>
      <c r="PI232" s="243"/>
      <c r="PJ232" s="243"/>
      <c r="PK232" s="243"/>
      <c r="PL232" s="243"/>
      <c r="PM232" s="243"/>
      <c r="PN232" s="243"/>
      <c r="PO232" s="243"/>
      <c r="PP232" s="243"/>
      <c r="PQ232" s="243"/>
      <c r="PR232" s="243"/>
      <c r="PS232" s="243"/>
      <c r="PT232" s="243"/>
      <c r="PU232" s="243"/>
      <c r="PV232" s="243"/>
      <c r="PW232" s="243"/>
      <c r="PX232" s="243"/>
      <c r="PY232" s="243"/>
      <c r="PZ232" s="243"/>
      <c r="QA232" s="243"/>
      <c r="QB232" s="243"/>
      <c r="QC232" s="243"/>
      <c r="QD232" s="243"/>
      <c r="QE232" s="243"/>
      <c r="QF232" s="243"/>
      <c r="QG232" s="243"/>
      <c r="QH232" s="243"/>
      <c r="QI232" s="243"/>
      <c r="QJ232" s="243"/>
      <c r="QK232" s="243"/>
      <c r="QL232" s="243"/>
      <c r="QM232" s="243"/>
      <c r="QN232" s="243"/>
      <c r="QO232" s="243"/>
      <c r="QP232" s="243"/>
      <c r="QQ232" s="243"/>
      <c r="QR232" s="243"/>
      <c r="QS232" s="243"/>
      <c r="QT232" s="243"/>
      <c r="QU232" s="243"/>
      <c r="QV232" s="243"/>
      <c r="QW232" s="243"/>
      <c r="QX232" s="243"/>
      <c r="QY232" s="243"/>
      <c r="QZ232" s="243"/>
      <c r="RA232" s="243"/>
      <c r="RB232" s="243"/>
      <c r="RC232" s="243"/>
      <c r="RD232" s="243"/>
      <c r="RE232" s="243"/>
      <c r="RF232" s="243"/>
      <c r="RG232" s="243"/>
      <c r="RH232" s="243"/>
      <c r="RI232" s="243"/>
      <c r="RJ232" s="243"/>
      <c r="RK232" s="243"/>
      <c r="RL232" s="243"/>
      <c r="RM232" s="243"/>
      <c r="RN232" s="243"/>
      <c r="RO232" s="243"/>
      <c r="RP232" s="243"/>
      <c r="RQ232" s="243"/>
      <c r="RR232" s="243"/>
      <c r="RS232" s="243"/>
      <c r="RT232" s="243"/>
      <c r="RU232" s="243"/>
      <c r="RV232" s="243"/>
      <c r="RW232" s="243"/>
      <c r="RX232" s="243"/>
      <c r="RY232" s="243"/>
      <c r="RZ232" s="243"/>
      <c r="SA232" s="243"/>
      <c r="SB232" s="243"/>
      <c r="SC232" s="243"/>
      <c r="SD232" s="243"/>
      <c r="SE232" s="243"/>
      <c r="SF232" s="243"/>
      <c r="SG232" s="243"/>
      <c r="SH232" s="243"/>
      <c r="SI232" s="243"/>
      <c r="SJ232" s="243"/>
      <c r="SK232" s="243"/>
      <c r="SL232" s="243"/>
      <c r="SM232" s="243"/>
      <c r="SN232" s="243"/>
      <c r="SO232" s="243"/>
      <c r="SP232" s="243"/>
      <c r="SQ232" s="243"/>
      <c r="SR232" s="243"/>
      <c r="SS232" s="243"/>
      <c r="ST232" s="243"/>
      <c r="SU232" s="243"/>
      <c r="SV232" s="243"/>
      <c r="SW232" s="243"/>
      <c r="SX232" s="243"/>
      <c r="SY232" s="243"/>
      <c r="SZ232" s="243"/>
      <c r="TA232" s="243"/>
      <c r="TB232" s="243"/>
      <c r="TC232" s="243"/>
      <c r="TD232" s="243"/>
      <c r="TE232" s="243"/>
      <c r="TF232" s="243"/>
      <c r="TG232" s="243"/>
      <c r="TH232" s="243"/>
      <c r="TI232" s="243"/>
      <c r="TJ232" s="243"/>
      <c r="TK232" s="243"/>
      <c r="TL232" s="243"/>
      <c r="TM232" s="243"/>
      <c r="TN232" s="243"/>
      <c r="TO232" s="243"/>
      <c r="TP232" s="243"/>
      <c r="TQ232" s="243"/>
      <c r="TR232" s="243"/>
      <c r="TS232" s="243"/>
      <c r="TT232" s="243"/>
      <c r="TU232" s="243"/>
      <c r="TV232" s="243"/>
      <c r="TW232" s="243"/>
      <c r="TX232" s="243"/>
      <c r="TY232" s="243"/>
      <c r="TZ232" s="243"/>
      <c r="UA232" s="243"/>
      <c r="UB232" s="243"/>
      <c r="UC232" s="243"/>
      <c r="UD232" s="243"/>
      <c r="UE232" s="243"/>
      <c r="UF232" s="243"/>
      <c r="UG232" s="243"/>
      <c r="UH232" s="243"/>
      <c r="UI232" s="243"/>
      <c r="UJ232" s="243"/>
      <c r="UK232" s="243"/>
      <c r="UL232" s="243"/>
      <c r="UM232" s="243"/>
      <c r="UN232" s="243"/>
      <c r="UO232" s="243"/>
      <c r="UP232" s="243"/>
      <c r="UQ232" s="243"/>
      <c r="UR232" s="243"/>
      <c r="US232" s="243"/>
      <c r="UT232" s="243"/>
      <c r="UU232" s="243"/>
      <c r="UV232" s="243"/>
      <c r="UW232" s="243"/>
      <c r="UX232" s="243"/>
      <c r="UY232" s="243"/>
      <c r="UZ232" s="243"/>
      <c r="VA232" s="243"/>
      <c r="VB232" s="243"/>
      <c r="VC232" s="243"/>
      <c r="VD232" s="243"/>
      <c r="VE232" s="243"/>
      <c r="VF232" s="243"/>
      <c r="VG232" s="243"/>
      <c r="VH232" s="243"/>
      <c r="VI232" s="243"/>
      <c r="VJ232" s="243"/>
      <c r="VK232" s="243"/>
      <c r="VL232" s="243"/>
      <c r="VM232" s="243"/>
      <c r="VN232" s="243"/>
      <c r="VO232" s="243"/>
      <c r="VP232" s="243"/>
      <c r="VQ232" s="243"/>
      <c r="VR232" s="243"/>
      <c r="VS232" s="243"/>
      <c r="VT232" s="243"/>
      <c r="VU232" s="243"/>
      <c r="VV232" s="243"/>
      <c r="VW232" s="243"/>
      <c r="VX232" s="243"/>
      <c r="VY232" s="243"/>
      <c r="VZ232" s="243"/>
      <c r="WA232" s="243"/>
      <c r="WB232" s="243"/>
      <c r="WC232" s="243"/>
      <c r="WD232" s="243"/>
      <c r="WE232" s="243"/>
      <c r="WF232" s="243"/>
      <c r="WG232" s="243"/>
      <c r="WH232" s="243"/>
      <c r="WI232" s="243"/>
      <c r="WJ232" s="243"/>
      <c r="WK232" s="243"/>
      <c r="WL232" s="243"/>
      <c r="WM232" s="243"/>
      <c r="WN232" s="243"/>
      <c r="WO232" s="243"/>
      <c r="WP232" s="243"/>
      <c r="WQ232" s="243"/>
      <c r="WR232" s="243"/>
      <c r="WS232" s="243"/>
      <c r="WT232" s="243"/>
      <c r="WU232" s="243"/>
      <c r="WV232" s="243"/>
      <c r="WW232" s="243"/>
      <c r="WX232" s="243"/>
      <c r="WY232" s="243"/>
      <c r="WZ232" s="243"/>
      <c r="XA232" s="243"/>
      <c r="XB232" s="243"/>
      <c r="XC232" s="243"/>
      <c r="XD232" s="243"/>
      <c r="XE232" s="243"/>
      <c r="XF232" s="243"/>
      <c r="XG232" s="243"/>
      <c r="XH232" s="243"/>
      <c r="XI232" s="243"/>
      <c r="XJ232" s="243"/>
      <c r="XK232" s="243"/>
      <c r="XL232" s="243"/>
      <c r="XM232" s="243"/>
      <c r="XN232" s="243"/>
      <c r="XO232" s="243"/>
      <c r="XP232" s="243"/>
      <c r="XQ232" s="243"/>
      <c r="XR232" s="243"/>
      <c r="XS232" s="243"/>
      <c r="XT232" s="243"/>
      <c r="XU232" s="243"/>
      <c r="XV232" s="243"/>
      <c r="XW232" s="243"/>
      <c r="XX232" s="243"/>
      <c r="XY232" s="243"/>
      <c r="XZ232" s="243"/>
      <c r="YA232" s="243"/>
      <c r="YB232" s="243"/>
      <c r="YC232" s="243"/>
      <c r="YD232" s="243"/>
      <c r="YE232" s="243"/>
      <c r="YF232" s="243"/>
      <c r="YG232" s="243"/>
      <c r="YH232" s="243"/>
      <c r="YI232" s="243"/>
      <c r="YJ232" s="243"/>
      <c r="YK232" s="243"/>
      <c r="YL232" s="243"/>
      <c r="YM232" s="243"/>
      <c r="YN232" s="243"/>
      <c r="YO232" s="243"/>
      <c r="YP232" s="243"/>
      <c r="YQ232" s="243"/>
      <c r="YR232" s="243"/>
      <c r="YS232" s="243"/>
      <c r="YT232" s="243"/>
      <c r="YU232" s="243"/>
      <c r="YV232" s="243"/>
      <c r="YW232" s="243"/>
      <c r="YX232" s="243"/>
      <c r="YY232" s="243"/>
      <c r="YZ232" s="243"/>
      <c r="ZA232" s="243"/>
      <c r="ZB232" s="243"/>
      <c r="ZC232" s="243"/>
      <c r="ZD232" s="243"/>
      <c r="ZE232" s="243"/>
      <c r="ZF232" s="243"/>
      <c r="ZG232" s="243"/>
      <c r="ZH232" s="243"/>
      <c r="ZI232" s="243"/>
      <c r="ZJ232" s="243"/>
      <c r="ZK232" s="243"/>
      <c r="ZL232" s="243"/>
      <c r="ZM232" s="243"/>
      <c r="ZN232" s="243"/>
      <c r="ZO232" s="243"/>
      <c r="ZP232" s="243"/>
      <c r="ZQ232" s="243"/>
      <c r="ZR232" s="243"/>
      <c r="ZS232" s="243"/>
      <c r="ZT232" s="243"/>
      <c r="ZU232" s="243"/>
      <c r="ZV232" s="243"/>
      <c r="ZW232" s="243"/>
      <c r="ZX232" s="243"/>
      <c r="ZY232" s="243"/>
      <c r="ZZ232" s="243"/>
      <c r="AAA232" s="243"/>
      <c r="AAB232" s="243"/>
      <c r="AAC232" s="243"/>
      <c r="AAD232" s="243"/>
      <c r="AAE232" s="243"/>
      <c r="AAF232" s="243"/>
      <c r="AAG232" s="243"/>
      <c r="AAH232" s="243"/>
      <c r="AAI232" s="243"/>
      <c r="AAJ232" s="243"/>
      <c r="AAK232" s="243"/>
      <c r="AAL232" s="243"/>
      <c r="AAM232" s="243"/>
      <c r="AAN232" s="243"/>
      <c r="AAO232" s="243"/>
      <c r="AAP232" s="243"/>
      <c r="AAQ232" s="243"/>
      <c r="AAR232" s="243"/>
      <c r="AAS232" s="243"/>
      <c r="AAT232" s="243"/>
      <c r="AAU232" s="243"/>
      <c r="AAV232" s="243"/>
      <c r="AAW232" s="243"/>
      <c r="AAX232" s="243"/>
      <c r="AAY232" s="243"/>
      <c r="AAZ232" s="243"/>
      <c r="ABA232" s="243"/>
      <c r="ABB232" s="243"/>
      <c r="ABC232" s="243"/>
      <c r="ABD232" s="243"/>
      <c r="ABE232" s="243"/>
      <c r="ABF232" s="243"/>
      <c r="ABG232" s="243"/>
      <c r="ABH232" s="243"/>
      <c r="ABI232" s="243"/>
      <c r="ABJ232" s="243"/>
      <c r="ABK232" s="243"/>
      <c r="ABL232" s="243"/>
      <c r="ABM232" s="243"/>
      <c r="ABN232" s="243"/>
      <c r="ABO232" s="243"/>
      <c r="ABP232" s="243"/>
      <c r="ABQ232" s="243"/>
      <c r="ABR232" s="243"/>
      <c r="ABS232" s="243"/>
      <c r="ABT232" s="243"/>
      <c r="ABU232" s="243"/>
      <c r="ABV232" s="243"/>
      <c r="ABW232" s="243"/>
      <c r="ABX232" s="243"/>
      <c r="ABY232" s="243"/>
      <c r="ABZ232" s="243"/>
      <c r="ACA232" s="243"/>
      <c r="ACB232" s="243"/>
      <c r="ACC232" s="243"/>
      <c r="ACD232" s="243"/>
      <c r="ACE232" s="243"/>
      <c r="ACF232" s="243"/>
      <c r="ACG232" s="243"/>
      <c r="ACH232" s="243"/>
      <c r="ACI232" s="243"/>
      <c r="ACJ232" s="243"/>
      <c r="ACK232" s="243"/>
      <c r="ACL232" s="243"/>
      <c r="ACM232" s="243"/>
      <c r="ACN232" s="243"/>
      <c r="ACO232" s="243"/>
      <c r="ACP232" s="243"/>
      <c r="ACQ232" s="243"/>
      <c r="ACR232" s="243"/>
      <c r="ACS232" s="243"/>
      <c r="ACT232" s="243"/>
      <c r="ACU232" s="243"/>
      <c r="ACV232" s="243"/>
      <c r="ACW232" s="243"/>
      <c r="ACX232" s="243"/>
      <c r="ACY232" s="243"/>
      <c r="ACZ232" s="243"/>
      <c r="ADA232" s="243"/>
      <c r="ADB232" s="243"/>
      <c r="ADC232" s="243"/>
      <c r="ADD232" s="243"/>
      <c r="ADE232" s="243"/>
      <c r="ADF232" s="243"/>
      <c r="ADG232" s="243"/>
      <c r="ADH232" s="243"/>
      <c r="ADI232" s="243"/>
      <c r="ADJ232" s="243"/>
      <c r="ADK232" s="243"/>
      <c r="ADL232" s="243"/>
      <c r="ADM232" s="243"/>
      <c r="ADN232" s="243"/>
      <c r="ADO232" s="243"/>
      <c r="ADP232" s="243"/>
      <c r="ADQ232" s="243"/>
      <c r="ADR232" s="243"/>
      <c r="ADS232" s="243"/>
      <c r="ADT232" s="243"/>
      <c r="ADU232" s="243"/>
      <c r="ADV232" s="243"/>
      <c r="ADW232" s="243"/>
      <c r="ADX232" s="243"/>
      <c r="ADY232" s="243"/>
      <c r="ADZ232" s="243"/>
      <c r="AEA232" s="243"/>
      <c r="AEB232" s="243"/>
      <c r="AEC232" s="243"/>
      <c r="AED232" s="243"/>
      <c r="AEE232" s="243"/>
      <c r="AEF232" s="243"/>
      <c r="AEG232" s="243"/>
      <c r="AEH232" s="243"/>
      <c r="AEI232" s="243"/>
      <c r="AEJ232" s="243"/>
      <c r="AEK232" s="243"/>
      <c r="AEL232" s="243"/>
      <c r="AEM232" s="243"/>
      <c r="AEN232" s="243"/>
      <c r="AEO232" s="243"/>
      <c r="AEP232" s="243"/>
      <c r="AEQ232" s="243"/>
      <c r="AER232" s="243"/>
      <c r="AES232" s="243"/>
      <c r="AET232" s="243"/>
      <c r="AEU232" s="243"/>
      <c r="AEV232" s="243"/>
      <c r="AEW232" s="243"/>
      <c r="AEX232" s="243"/>
      <c r="AEY232" s="243"/>
      <c r="AEZ232" s="243"/>
      <c r="AFA232" s="243"/>
      <c r="AFB232" s="243"/>
      <c r="AFC232" s="243"/>
      <c r="AFD232" s="243"/>
      <c r="AFE232" s="243"/>
      <c r="AFF232" s="243"/>
      <c r="AFG232" s="243"/>
      <c r="AFH232" s="243"/>
      <c r="AFI232" s="243"/>
      <c r="AFJ232" s="243"/>
      <c r="AFK232" s="243"/>
      <c r="AFL232" s="243"/>
      <c r="AFM232" s="243"/>
      <c r="AFN232" s="243"/>
      <c r="AFO232" s="243"/>
      <c r="AFP232" s="243"/>
      <c r="AFQ232" s="243"/>
      <c r="AFR232" s="243"/>
      <c r="AFS232" s="243"/>
      <c r="AFT232" s="243"/>
      <c r="AFU232" s="243"/>
      <c r="AFV232" s="243"/>
      <c r="AFW232" s="243"/>
      <c r="AFX232" s="243"/>
      <c r="AFY232" s="243"/>
      <c r="AFZ232" s="243"/>
      <c r="AGA232" s="243"/>
      <c r="AGB232" s="243"/>
      <c r="AGC232" s="243"/>
      <c r="AGD232" s="243"/>
      <c r="AGE232" s="243"/>
      <c r="AGF232" s="243"/>
      <c r="AGG232" s="243"/>
      <c r="AGH232" s="243"/>
      <c r="AGI232" s="243"/>
      <c r="AGJ232" s="243"/>
      <c r="AGK232" s="243"/>
      <c r="AGL232" s="243"/>
      <c r="AGM232" s="243"/>
      <c r="AGN232" s="243"/>
      <c r="AGO232" s="243"/>
      <c r="AGP232" s="243"/>
      <c r="AGQ232" s="243"/>
      <c r="AGR232" s="243"/>
      <c r="AGS232" s="243"/>
      <c r="AGT232" s="243"/>
      <c r="AGU232" s="243"/>
      <c r="AGV232" s="243"/>
      <c r="AGW232" s="243"/>
      <c r="AGX232" s="243"/>
      <c r="AGY232" s="243"/>
      <c r="AGZ232" s="243"/>
      <c r="AHA232" s="243"/>
      <c r="AHB232" s="243"/>
      <c r="AHC232" s="243"/>
      <c r="AHD232" s="243"/>
      <c r="AHE232" s="243"/>
      <c r="AHF232" s="243"/>
      <c r="AHG232" s="243"/>
      <c r="AHH232" s="243"/>
      <c r="AHI232" s="243"/>
      <c r="AHJ232" s="243"/>
      <c r="AHK232" s="243"/>
      <c r="AHL232" s="243"/>
      <c r="AHM232" s="243"/>
      <c r="AHN232" s="243"/>
      <c r="AHO232" s="243"/>
      <c r="AHP232" s="243"/>
      <c r="AHQ232" s="243"/>
      <c r="AHR232" s="243"/>
      <c r="AHS232" s="243"/>
      <c r="AHT232" s="243"/>
      <c r="AHU232" s="243"/>
      <c r="AHV232" s="243"/>
      <c r="AHW232" s="243"/>
      <c r="AHX232" s="243"/>
      <c r="AHY232" s="243"/>
      <c r="AHZ232" s="243"/>
      <c r="AIA232" s="243"/>
      <c r="AIB232" s="243"/>
      <c r="AIC232" s="243"/>
      <c r="AID232" s="243"/>
      <c r="AIE232" s="243"/>
      <c r="AIF232" s="243"/>
      <c r="AIG232" s="243"/>
      <c r="AIH232" s="243"/>
      <c r="AII232" s="243"/>
      <c r="AIJ232" s="243"/>
      <c r="AIK232" s="243"/>
      <c r="AIL232" s="243"/>
      <c r="AIM232" s="243"/>
      <c r="AIN232" s="243"/>
      <c r="AIO232" s="243"/>
      <c r="AIP232" s="243"/>
      <c r="AIQ232" s="243"/>
      <c r="AIR232" s="243"/>
      <c r="AIS232" s="243"/>
      <c r="AIT232" s="243"/>
      <c r="AIU232" s="243"/>
      <c r="AIV232" s="243"/>
      <c r="AIW232" s="243"/>
      <c r="AIX232" s="243"/>
      <c r="AIY232" s="243"/>
      <c r="AIZ232" s="243"/>
      <c r="AJA232" s="243"/>
      <c r="AJB232" s="243"/>
      <c r="AJC232" s="243"/>
      <c r="AJD232" s="243"/>
      <c r="AJE232" s="243"/>
      <c r="AJF232" s="243"/>
      <c r="AJG232" s="243"/>
      <c r="AJH232" s="243"/>
      <c r="AJI232" s="243"/>
      <c r="AJJ232" s="243"/>
      <c r="AJK232" s="243"/>
      <c r="AJL232" s="243"/>
      <c r="AJM232" s="243"/>
      <c r="AJN232" s="243"/>
      <c r="AJO232" s="243"/>
      <c r="AJP232" s="243"/>
      <c r="AJQ232" s="243"/>
      <c r="AJR232" s="243"/>
      <c r="AJS232" s="243"/>
      <c r="AJT232" s="243"/>
      <c r="AJU232" s="243"/>
      <c r="AJV232" s="243"/>
      <c r="AJW232" s="243"/>
      <c r="AJX232" s="243"/>
      <c r="AJY232" s="243"/>
      <c r="AJZ232" s="243"/>
      <c r="AKA232" s="243"/>
      <c r="AKB232" s="243"/>
      <c r="AKC232" s="243"/>
      <c r="AKD232" s="243"/>
      <c r="AKE232" s="243"/>
      <c r="AKF232" s="243"/>
      <c r="AKG232" s="243"/>
      <c r="AKH232" s="243"/>
      <c r="AKI232" s="243"/>
      <c r="AKJ232" s="243"/>
      <c r="AKK232" s="243"/>
      <c r="AKL232" s="243"/>
      <c r="AKM232" s="243"/>
      <c r="AKN232" s="243"/>
      <c r="AKO232" s="243"/>
      <c r="AKP232" s="243"/>
      <c r="AKQ232" s="243"/>
      <c r="AKR232" s="243"/>
      <c r="AKS232" s="243"/>
      <c r="AKT232" s="243"/>
      <c r="AKU232" s="243"/>
      <c r="AKV232" s="243"/>
      <c r="AKW232" s="243"/>
      <c r="AKX232" s="243"/>
      <c r="AKY232" s="243"/>
      <c r="AKZ232" s="243"/>
      <c r="ALA232" s="243"/>
      <c r="ALB232" s="243"/>
      <c r="ALC232" s="243"/>
      <c r="ALD232" s="243"/>
      <c r="ALE232" s="243"/>
      <c r="ALF232" s="243"/>
      <c r="ALG232" s="243"/>
      <c r="ALH232" s="243"/>
      <c r="ALI232" s="243"/>
      <c r="ALJ232" s="243"/>
      <c r="ALK232" s="243"/>
      <c r="ALL232" s="243"/>
      <c r="ALM232" s="243"/>
      <c r="ALN232" s="243"/>
      <c r="ALO232" s="243"/>
      <c r="ALP232" s="243"/>
      <c r="ALQ232" s="243"/>
      <c r="ALR232" s="243"/>
      <c r="ALS232" s="243"/>
      <c r="ALT232" s="243"/>
      <c r="ALU232" s="243"/>
      <c r="ALV232" s="243"/>
      <c r="ALW232" s="243"/>
      <c r="ALX232" s="243"/>
      <c r="ALY232" s="243"/>
      <c r="ALZ232" s="243"/>
      <c r="AMA232" s="243"/>
      <c r="AMB232" s="243"/>
      <c r="AMC232" s="243"/>
      <c r="AMD232" s="243"/>
      <c r="AME232" s="243"/>
      <c r="AMF232" s="243"/>
      <c r="AMG232" s="243"/>
      <c r="AMH232" s="243"/>
      <c r="AMI232" s="244"/>
      <c r="AMJ232" s="244"/>
    </row>
    <row r="233" spans="1:1024">
      <c r="A233" s="911"/>
      <c r="B233" s="442">
        <v>14008</v>
      </c>
      <c r="C233" s="430">
        <v>0.08</v>
      </c>
      <c r="D233" s="370" t="s">
        <v>160</v>
      </c>
      <c r="E233" s="433">
        <v>3700000</v>
      </c>
      <c r="F233" s="430">
        <v>0.1</v>
      </c>
      <c r="G233" s="401">
        <f t="shared" si="8"/>
        <v>370000</v>
      </c>
      <c r="H233" s="402" t="s">
        <v>103</v>
      </c>
      <c r="I233" s="402" t="s">
        <v>138</v>
      </c>
      <c r="J233" s="402" t="s">
        <v>125</v>
      </c>
      <c r="K233" s="402" t="s">
        <v>155</v>
      </c>
      <c r="L233" s="505" t="s">
        <v>125</v>
      </c>
      <c r="M233" s="395"/>
      <c r="N233" s="396"/>
      <c r="O233" s="377"/>
      <c r="P233" s="377"/>
      <c r="Q233" s="377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  <c r="AC233" s="243"/>
      <c r="AD233" s="243"/>
      <c r="AE233" s="243"/>
      <c r="AF233" s="243"/>
      <c r="AG233" s="243"/>
      <c r="AH233" s="243"/>
      <c r="AI233" s="243"/>
      <c r="AJ233" s="243"/>
      <c r="AK233" s="243"/>
      <c r="AL233" s="243"/>
      <c r="AM233" s="243"/>
      <c r="AN233" s="243"/>
      <c r="AO233" s="243"/>
      <c r="AP233" s="243"/>
      <c r="AQ233" s="243"/>
      <c r="AR233" s="243"/>
      <c r="AS233" s="243"/>
      <c r="AT233" s="243"/>
      <c r="AU233" s="243"/>
      <c r="AV233" s="243"/>
      <c r="AW233" s="243"/>
      <c r="AX233" s="243"/>
      <c r="AY233" s="243"/>
      <c r="AZ233" s="243"/>
      <c r="BA233" s="243"/>
      <c r="BB233" s="243"/>
      <c r="BC233" s="243"/>
      <c r="BD233" s="243"/>
      <c r="BE233" s="243"/>
      <c r="BF233" s="243"/>
      <c r="BG233" s="243"/>
      <c r="BH233" s="243"/>
      <c r="BI233" s="243"/>
      <c r="BJ233" s="243"/>
      <c r="BK233" s="243"/>
      <c r="BL233" s="243"/>
      <c r="BM233" s="243"/>
      <c r="BN233" s="243"/>
      <c r="BO233" s="243"/>
      <c r="BP233" s="243"/>
      <c r="BQ233" s="243"/>
      <c r="BR233" s="243"/>
      <c r="BS233" s="243"/>
      <c r="BT233" s="243"/>
      <c r="BU233" s="243"/>
      <c r="BV233" s="243"/>
      <c r="BW233" s="243"/>
      <c r="BX233" s="243"/>
      <c r="BY233" s="243"/>
      <c r="BZ233" s="243"/>
      <c r="CA233" s="243"/>
      <c r="CB233" s="243"/>
      <c r="CC233" s="243"/>
      <c r="CD233" s="243"/>
      <c r="CE233" s="243"/>
      <c r="CF233" s="243"/>
      <c r="CG233" s="243"/>
      <c r="CH233" s="243"/>
      <c r="CI233" s="243"/>
      <c r="CJ233" s="243"/>
      <c r="CK233" s="243"/>
      <c r="CL233" s="243"/>
      <c r="CM233" s="243"/>
      <c r="CN233" s="243"/>
      <c r="CO233" s="243"/>
      <c r="CP233" s="243"/>
      <c r="CQ233" s="243"/>
      <c r="CR233" s="243"/>
      <c r="CS233" s="243"/>
      <c r="CT233" s="243"/>
      <c r="CU233" s="243"/>
      <c r="CV233" s="243"/>
      <c r="CW233" s="243"/>
      <c r="CX233" s="243"/>
      <c r="CY233" s="243"/>
      <c r="CZ233" s="243"/>
      <c r="DA233" s="243"/>
      <c r="DB233" s="243"/>
      <c r="DC233" s="243"/>
      <c r="DD233" s="243"/>
      <c r="DE233" s="243"/>
      <c r="DF233" s="243"/>
      <c r="DG233" s="243"/>
      <c r="DH233" s="243"/>
      <c r="DI233" s="243"/>
      <c r="DJ233" s="243"/>
      <c r="DK233" s="243"/>
      <c r="DL233" s="243"/>
      <c r="DM233" s="243"/>
      <c r="DN233" s="243"/>
      <c r="DO233" s="243"/>
      <c r="DP233" s="243"/>
      <c r="DQ233" s="243"/>
      <c r="DR233" s="243"/>
      <c r="DS233" s="243"/>
      <c r="DT233" s="243"/>
      <c r="DU233" s="243"/>
      <c r="DV233" s="243"/>
      <c r="DW233" s="243"/>
      <c r="DX233" s="243"/>
      <c r="DY233" s="243"/>
      <c r="DZ233" s="243"/>
      <c r="EA233" s="243"/>
      <c r="EB233" s="243"/>
      <c r="EC233" s="243"/>
      <c r="ED233" s="243"/>
      <c r="EE233" s="243"/>
      <c r="EF233" s="243"/>
      <c r="EG233" s="243"/>
      <c r="EH233" s="243"/>
      <c r="EI233" s="243"/>
      <c r="EJ233" s="243"/>
      <c r="EK233" s="243"/>
      <c r="EL233" s="243"/>
      <c r="EM233" s="243"/>
      <c r="EN233" s="243"/>
      <c r="EO233" s="243"/>
      <c r="EP233" s="243"/>
      <c r="EQ233" s="243"/>
      <c r="ER233" s="243"/>
      <c r="ES233" s="243"/>
      <c r="ET233" s="243"/>
      <c r="EU233" s="243"/>
      <c r="EV233" s="243"/>
      <c r="EW233" s="243"/>
      <c r="EX233" s="243"/>
      <c r="EY233" s="243"/>
      <c r="EZ233" s="243"/>
      <c r="FA233" s="243"/>
      <c r="FB233" s="243"/>
      <c r="FC233" s="243"/>
      <c r="FD233" s="243"/>
      <c r="FE233" s="243"/>
      <c r="FF233" s="243"/>
      <c r="FG233" s="243"/>
      <c r="FH233" s="243"/>
      <c r="FI233" s="243"/>
      <c r="FJ233" s="243"/>
      <c r="FK233" s="243"/>
      <c r="FL233" s="243"/>
      <c r="FM233" s="243"/>
      <c r="FN233" s="243"/>
      <c r="FO233" s="243"/>
      <c r="FP233" s="243"/>
      <c r="FQ233" s="243"/>
      <c r="FR233" s="243"/>
      <c r="FS233" s="243"/>
      <c r="FT233" s="243"/>
      <c r="FU233" s="243"/>
      <c r="FV233" s="243"/>
      <c r="FW233" s="243"/>
      <c r="FX233" s="243"/>
      <c r="FY233" s="243"/>
      <c r="FZ233" s="243"/>
      <c r="GA233" s="243"/>
      <c r="GB233" s="243"/>
      <c r="GC233" s="243"/>
      <c r="GD233" s="243"/>
      <c r="GE233" s="243"/>
      <c r="GF233" s="243"/>
      <c r="GG233" s="243"/>
      <c r="GH233" s="243"/>
      <c r="GI233" s="243"/>
      <c r="GJ233" s="243"/>
      <c r="GK233" s="243"/>
      <c r="GL233" s="243"/>
      <c r="GM233" s="243"/>
      <c r="GN233" s="243"/>
      <c r="GO233" s="243"/>
      <c r="GP233" s="243"/>
      <c r="GQ233" s="243"/>
      <c r="GR233" s="243"/>
      <c r="GS233" s="243"/>
      <c r="GT233" s="243"/>
      <c r="GU233" s="243"/>
      <c r="GV233" s="243"/>
      <c r="GW233" s="243"/>
      <c r="GX233" s="243"/>
      <c r="GY233" s="243"/>
      <c r="GZ233" s="243"/>
      <c r="HA233" s="243"/>
      <c r="HB233" s="243"/>
      <c r="HC233" s="243"/>
      <c r="HD233" s="243"/>
      <c r="HE233" s="243"/>
      <c r="HF233" s="243"/>
      <c r="HG233" s="243"/>
      <c r="HH233" s="243"/>
      <c r="HI233" s="243"/>
      <c r="HJ233" s="243"/>
      <c r="HK233" s="243"/>
      <c r="HL233" s="243"/>
      <c r="HM233" s="243"/>
      <c r="HN233" s="243"/>
      <c r="HO233" s="243"/>
      <c r="HP233" s="243"/>
      <c r="HQ233" s="243"/>
      <c r="HR233" s="243"/>
      <c r="HS233" s="243"/>
      <c r="HT233" s="243"/>
      <c r="HU233" s="243"/>
      <c r="HV233" s="243"/>
      <c r="HW233" s="243"/>
      <c r="HX233" s="243"/>
      <c r="HY233" s="243"/>
      <c r="HZ233" s="243"/>
      <c r="IA233" s="243"/>
      <c r="IB233" s="243"/>
      <c r="IC233" s="243"/>
      <c r="ID233" s="243"/>
      <c r="IE233" s="243"/>
      <c r="IF233" s="243"/>
      <c r="IG233" s="243"/>
      <c r="IH233" s="243"/>
      <c r="II233" s="243"/>
      <c r="IJ233" s="243"/>
      <c r="IK233" s="243"/>
      <c r="IL233" s="243"/>
      <c r="IM233" s="243"/>
      <c r="IN233" s="243"/>
      <c r="IO233" s="243"/>
      <c r="IP233" s="243"/>
      <c r="IQ233" s="243"/>
      <c r="IR233" s="243"/>
      <c r="IS233" s="243"/>
      <c r="IT233" s="243"/>
      <c r="IU233" s="243"/>
      <c r="IV233" s="243"/>
      <c r="IW233" s="243"/>
      <c r="IX233" s="243"/>
      <c r="IY233" s="243"/>
      <c r="IZ233" s="243"/>
      <c r="JA233" s="243"/>
      <c r="JB233" s="243"/>
      <c r="JC233" s="243"/>
      <c r="JD233" s="243"/>
      <c r="JE233" s="243"/>
      <c r="JF233" s="243"/>
      <c r="JG233" s="243"/>
      <c r="JH233" s="243"/>
      <c r="JI233" s="243"/>
      <c r="JJ233" s="243"/>
      <c r="JK233" s="243"/>
      <c r="JL233" s="243"/>
      <c r="JM233" s="243"/>
      <c r="JN233" s="243"/>
      <c r="JO233" s="243"/>
      <c r="JP233" s="243"/>
      <c r="JQ233" s="243"/>
      <c r="JR233" s="243"/>
      <c r="JS233" s="243"/>
      <c r="JT233" s="243"/>
      <c r="JU233" s="243"/>
      <c r="JV233" s="243"/>
      <c r="JW233" s="243"/>
      <c r="JX233" s="243"/>
      <c r="JY233" s="243"/>
      <c r="JZ233" s="243"/>
      <c r="KA233" s="243"/>
      <c r="KB233" s="243"/>
      <c r="KC233" s="243"/>
      <c r="KD233" s="243"/>
      <c r="KE233" s="243"/>
      <c r="KF233" s="243"/>
      <c r="KG233" s="243"/>
      <c r="KH233" s="243"/>
      <c r="KI233" s="243"/>
      <c r="KJ233" s="243"/>
      <c r="KK233" s="243"/>
      <c r="KL233" s="243"/>
      <c r="KM233" s="243"/>
      <c r="KN233" s="243"/>
      <c r="KO233" s="243"/>
      <c r="KP233" s="243"/>
      <c r="KQ233" s="243"/>
      <c r="KR233" s="243"/>
      <c r="KS233" s="243"/>
      <c r="KT233" s="243"/>
      <c r="KU233" s="243"/>
      <c r="KV233" s="243"/>
      <c r="KW233" s="243"/>
      <c r="KX233" s="243"/>
      <c r="KY233" s="243"/>
      <c r="KZ233" s="243"/>
      <c r="LA233" s="243"/>
      <c r="LB233" s="243"/>
      <c r="LC233" s="243"/>
      <c r="LD233" s="243"/>
      <c r="LE233" s="243"/>
      <c r="LF233" s="243"/>
      <c r="LG233" s="243"/>
      <c r="LH233" s="243"/>
      <c r="LI233" s="243"/>
      <c r="LJ233" s="243"/>
      <c r="LK233" s="243"/>
      <c r="LL233" s="243"/>
      <c r="LM233" s="243"/>
      <c r="LN233" s="243"/>
      <c r="LO233" s="243"/>
      <c r="LP233" s="243"/>
      <c r="LQ233" s="243"/>
      <c r="LR233" s="243"/>
      <c r="LS233" s="243"/>
      <c r="LT233" s="243"/>
      <c r="LU233" s="243"/>
      <c r="LV233" s="243"/>
      <c r="LW233" s="243"/>
      <c r="LX233" s="243"/>
      <c r="LY233" s="243"/>
      <c r="LZ233" s="243"/>
      <c r="MA233" s="243"/>
      <c r="MB233" s="243"/>
      <c r="MC233" s="243"/>
      <c r="MD233" s="243"/>
      <c r="ME233" s="243"/>
      <c r="MF233" s="243"/>
      <c r="MG233" s="243"/>
      <c r="MH233" s="243"/>
      <c r="MI233" s="243"/>
      <c r="MJ233" s="243"/>
      <c r="MK233" s="243"/>
      <c r="ML233" s="243"/>
      <c r="MM233" s="243"/>
      <c r="MN233" s="243"/>
      <c r="MO233" s="243"/>
      <c r="MP233" s="243"/>
      <c r="MQ233" s="243"/>
      <c r="MR233" s="243"/>
      <c r="MS233" s="243"/>
      <c r="MT233" s="243"/>
      <c r="MU233" s="243"/>
      <c r="MV233" s="243"/>
      <c r="MW233" s="243"/>
      <c r="MX233" s="243"/>
      <c r="MY233" s="243"/>
      <c r="MZ233" s="243"/>
      <c r="NA233" s="243"/>
      <c r="NB233" s="243"/>
      <c r="NC233" s="243"/>
      <c r="ND233" s="243"/>
      <c r="NE233" s="243"/>
      <c r="NF233" s="243"/>
      <c r="NG233" s="243"/>
      <c r="NH233" s="243"/>
      <c r="NI233" s="243"/>
      <c r="NJ233" s="243"/>
      <c r="NK233" s="243"/>
      <c r="NL233" s="243"/>
      <c r="NM233" s="243"/>
      <c r="NN233" s="243"/>
      <c r="NO233" s="243"/>
      <c r="NP233" s="243"/>
      <c r="NQ233" s="243"/>
      <c r="NR233" s="243"/>
      <c r="NS233" s="243"/>
      <c r="NT233" s="243"/>
      <c r="NU233" s="243"/>
      <c r="NV233" s="243"/>
      <c r="NW233" s="243"/>
      <c r="NX233" s="243"/>
      <c r="NY233" s="243"/>
      <c r="NZ233" s="243"/>
      <c r="OA233" s="243"/>
      <c r="OB233" s="243"/>
      <c r="OC233" s="243"/>
      <c r="OD233" s="243"/>
      <c r="OE233" s="243"/>
      <c r="OF233" s="243"/>
      <c r="OG233" s="243"/>
      <c r="OH233" s="243"/>
      <c r="OI233" s="243"/>
      <c r="OJ233" s="243"/>
      <c r="OK233" s="243"/>
      <c r="OL233" s="243"/>
      <c r="OM233" s="243"/>
      <c r="ON233" s="243"/>
      <c r="OO233" s="243"/>
      <c r="OP233" s="243"/>
      <c r="OQ233" s="243"/>
      <c r="OR233" s="243"/>
      <c r="OS233" s="243"/>
      <c r="OT233" s="243"/>
      <c r="OU233" s="243"/>
      <c r="OV233" s="243"/>
      <c r="OW233" s="243"/>
      <c r="OX233" s="243"/>
      <c r="OY233" s="243"/>
      <c r="OZ233" s="243"/>
      <c r="PA233" s="243"/>
      <c r="PB233" s="243"/>
      <c r="PC233" s="243"/>
      <c r="PD233" s="243"/>
      <c r="PE233" s="243"/>
      <c r="PF233" s="243"/>
      <c r="PG233" s="243"/>
      <c r="PH233" s="243"/>
      <c r="PI233" s="243"/>
      <c r="PJ233" s="243"/>
      <c r="PK233" s="243"/>
      <c r="PL233" s="243"/>
      <c r="PM233" s="243"/>
      <c r="PN233" s="243"/>
      <c r="PO233" s="243"/>
      <c r="PP233" s="243"/>
      <c r="PQ233" s="243"/>
      <c r="PR233" s="243"/>
      <c r="PS233" s="243"/>
      <c r="PT233" s="243"/>
      <c r="PU233" s="243"/>
      <c r="PV233" s="243"/>
      <c r="PW233" s="243"/>
      <c r="PX233" s="243"/>
      <c r="PY233" s="243"/>
      <c r="PZ233" s="243"/>
      <c r="QA233" s="243"/>
      <c r="QB233" s="243"/>
      <c r="QC233" s="243"/>
      <c r="QD233" s="243"/>
      <c r="QE233" s="243"/>
      <c r="QF233" s="243"/>
      <c r="QG233" s="243"/>
      <c r="QH233" s="243"/>
      <c r="QI233" s="243"/>
      <c r="QJ233" s="243"/>
      <c r="QK233" s="243"/>
      <c r="QL233" s="243"/>
      <c r="QM233" s="243"/>
      <c r="QN233" s="243"/>
      <c r="QO233" s="243"/>
      <c r="QP233" s="243"/>
      <c r="QQ233" s="243"/>
      <c r="QR233" s="243"/>
      <c r="QS233" s="243"/>
      <c r="QT233" s="243"/>
      <c r="QU233" s="243"/>
      <c r="QV233" s="243"/>
      <c r="QW233" s="243"/>
      <c r="QX233" s="243"/>
      <c r="QY233" s="243"/>
      <c r="QZ233" s="243"/>
      <c r="RA233" s="243"/>
      <c r="RB233" s="243"/>
      <c r="RC233" s="243"/>
      <c r="RD233" s="243"/>
      <c r="RE233" s="243"/>
      <c r="RF233" s="243"/>
      <c r="RG233" s="243"/>
      <c r="RH233" s="243"/>
      <c r="RI233" s="243"/>
      <c r="RJ233" s="243"/>
      <c r="RK233" s="243"/>
      <c r="RL233" s="243"/>
      <c r="RM233" s="243"/>
      <c r="RN233" s="243"/>
      <c r="RO233" s="243"/>
      <c r="RP233" s="243"/>
      <c r="RQ233" s="243"/>
      <c r="RR233" s="243"/>
      <c r="RS233" s="243"/>
      <c r="RT233" s="243"/>
      <c r="RU233" s="243"/>
      <c r="RV233" s="243"/>
      <c r="RW233" s="243"/>
      <c r="RX233" s="243"/>
      <c r="RY233" s="243"/>
      <c r="RZ233" s="243"/>
      <c r="SA233" s="243"/>
      <c r="SB233" s="243"/>
      <c r="SC233" s="243"/>
      <c r="SD233" s="243"/>
      <c r="SE233" s="243"/>
      <c r="SF233" s="243"/>
      <c r="SG233" s="243"/>
      <c r="SH233" s="243"/>
      <c r="SI233" s="243"/>
      <c r="SJ233" s="243"/>
      <c r="SK233" s="243"/>
      <c r="SL233" s="243"/>
      <c r="SM233" s="243"/>
      <c r="SN233" s="243"/>
      <c r="SO233" s="243"/>
      <c r="SP233" s="243"/>
      <c r="SQ233" s="243"/>
      <c r="SR233" s="243"/>
      <c r="SS233" s="243"/>
      <c r="ST233" s="243"/>
      <c r="SU233" s="243"/>
      <c r="SV233" s="243"/>
      <c r="SW233" s="243"/>
      <c r="SX233" s="243"/>
      <c r="SY233" s="243"/>
      <c r="SZ233" s="243"/>
      <c r="TA233" s="243"/>
      <c r="TB233" s="243"/>
      <c r="TC233" s="243"/>
      <c r="TD233" s="243"/>
      <c r="TE233" s="243"/>
      <c r="TF233" s="243"/>
      <c r="TG233" s="243"/>
      <c r="TH233" s="243"/>
      <c r="TI233" s="243"/>
      <c r="TJ233" s="243"/>
      <c r="TK233" s="243"/>
      <c r="TL233" s="243"/>
      <c r="TM233" s="243"/>
      <c r="TN233" s="243"/>
      <c r="TO233" s="243"/>
      <c r="TP233" s="243"/>
      <c r="TQ233" s="243"/>
      <c r="TR233" s="243"/>
      <c r="TS233" s="243"/>
      <c r="TT233" s="243"/>
      <c r="TU233" s="243"/>
      <c r="TV233" s="243"/>
      <c r="TW233" s="243"/>
      <c r="TX233" s="243"/>
      <c r="TY233" s="243"/>
      <c r="TZ233" s="243"/>
      <c r="UA233" s="243"/>
      <c r="UB233" s="243"/>
      <c r="UC233" s="243"/>
      <c r="UD233" s="243"/>
      <c r="UE233" s="243"/>
      <c r="UF233" s="243"/>
      <c r="UG233" s="243"/>
      <c r="UH233" s="243"/>
      <c r="UI233" s="243"/>
      <c r="UJ233" s="243"/>
      <c r="UK233" s="243"/>
      <c r="UL233" s="243"/>
      <c r="UM233" s="243"/>
      <c r="UN233" s="243"/>
      <c r="UO233" s="243"/>
      <c r="UP233" s="243"/>
      <c r="UQ233" s="243"/>
      <c r="UR233" s="243"/>
      <c r="US233" s="243"/>
      <c r="UT233" s="243"/>
      <c r="UU233" s="243"/>
      <c r="UV233" s="243"/>
      <c r="UW233" s="243"/>
      <c r="UX233" s="243"/>
      <c r="UY233" s="243"/>
      <c r="UZ233" s="243"/>
      <c r="VA233" s="243"/>
      <c r="VB233" s="243"/>
      <c r="VC233" s="243"/>
      <c r="VD233" s="243"/>
      <c r="VE233" s="243"/>
      <c r="VF233" s="243"/>
      <c r="VG233" s="243"/>
      <c r="VH233" s="243"/>
      <c r="VI233" s="243"/>
      <c r="VJ233" s="243"/>
      <c r="VK233" s="243"/>
      <c r="VL233" s="243"/>
      <c r="VM233" s="243"/>
      <c r="VN233" s="243"/>
      <c r="VO233" s="243"/>
      <c r="VP233" s="243"/>
      <c r="VQ233" s="243"/>
      <c r="VR233" s="243"/>
      <c r="VS233" s="243"/>
      <c r="VT233" s="243"/>
      <c r="VU233" s="243"/>
      <c r="VV233" s="243"/>
      <c r="VW233" s="243"/>
      <c r="VX233" s="243"/>
      <c r="VY233" s="243"/>
      <c r="VZ233" s="243"/>
      <c r="WA233" s="243"/>
      <c r="WB233" s="243"/>
      <c r="WC233" s="243"/>
      <c r="WD233" s="243"/>
      <c r="WE233" s="243"/>
      <c r="WF233" s="243"/>
      <c r="WG233" s="243"/>
      <c r="WH233" s="243"/>
      <c r="WI233" s="243"/>
      <c r="WJ233" s="243"/>
      <c r="WK233" s="243"/>
      <c r="WL233" s="243"/>
      <c r="WM233" s="243"/>
      <c r="WN233" s="243"/>
      <c r="WO233" s="243"/>
      <c r="WP233" s="243"/>
      <c r="WQ233" s="243"/>
      <c r="WR233" s="243"/>
      <c r="WS233" s="243"/>
      <c r="WT233" s="243"/>
      <c r="WU233" s="243"/>
      <c r="WV233" s="243"/>
      <c r="WW233" s="243"/>
      <c r="WX233" s="243"/>
      <c r="WY233" s="243"/>
      <c r="WZ233" s="243"/>
      <c r="XA233" s="243"/>
      <c r="XB233" s="243"/>
      <c r="XC233" s="243"/>
      <c r="XD233" s="243"/>
      <c r="XE233" s="243"/>
      <c r="XF233" s="243"/>
      <c r="XG233" s="243"/>
      <c r="XH233" s="243"/>
      <c r="XI233" s="243"/>
      <c r="XJ233" s="243"/>
      <c r="XK233" s="243"/>
      <c r="XL233" s="243"/>
      <c r="XM233" s="243"/>
      <c r="XN233" s="243"/>
      <c r="XO233" s="243"/>
      <c r="XP233" s="243"/>
      <c r="XQ233" s="243"/>
      <c r="XR233" s="243"/>
      <c r="XS233" s="243"/>
      <c r="XT233" s="243"/>
      <c r="XU233" s="243"/>
      <c r="XV233" s="243"/>
      <c r="XW233" s="243"/>
      <c r="XX233" s="243"/>
      <c r="XY233" s="243"/>
      <c r="XZ233" s="243"/>
      <c r="YA233" s="243"/>
      <c r="YB233" s="243"/>
      <c r="YC233" s="243"/>
      <c r="YD233" s="243"/>
      <c r="YE233" s="243"/>
      <c r="YF233" s="243"/>
      <c r="YG233" s="243"/>
      <c r="YH233" s="243"/>
      <c r="YI233" s="243"/>
      <c r="YJ233" s="243"/>
      <c r="YK233" s="243"/>
      <c r="YL233" s="243"/>
      <c r="YM233" s="243"/>
      <c r="YN233" s="243"/>
      <c r="YO233" s="243"/>
      <c r="YP233" s="243"/>
      <c r="YQ233" s="243"/>
      <c r="YR233" s="243"/>
      <c r="YS233" s="243"/>
      <c r="YT233" s="243"/>
      <c r="YU233" s="243"/>
      <c r="YV233" s="243"/>
      <c r="YW233" s="243"/>
      <c r="YX233" s="243"/>
      <c r="YY233" s="243"/>
      <c r="YZ233" s="243"/>
      <c r="ZA233" s="243"/>
      <c r="ZB233" s="243"/>
      <c r="ZC233" s="243"/>
      <c r="ZD233" s="243"/>
      <c r="ZE233" s="243"/>
      <c r="ZF233" s="243"/>
      <c r="ZG233" s="243"/>
      <c r="ZH233" s="243"/>
      <c r="ZI233" s="243"/>
      <c r="ZJ233" s="243"/>
      <c r="ZK233" s="243"/>
      <c r="ZL233" s="243"/>
      <c r="ZM233" s="243"/>
      <c r="ZN233" s="243"/>
      <c r="ZO233" s="243"/>
      <c r="ZP233" s="243"/>
      <c r="ZQ233" s="243"/>
      <c r="ZR233" s="243"/>
      <c r="ZS233" s="243"/>
      <c r="ZT233" s="243"/>
      <c r="ZU233" s="243"/>
      <c r="ZV233" s="243"/>
      <c r="ZW233" s="243"/>
      <c r="ZX233" s="243"/>
      <c r="ZY233" s="243"/>
      <c r="ZZ233" s="243"/>
      <c r="AAA233" s="243"/>
      <c r="AAB233" s="243"/>
      <c r="AAC233" s="243"/>
      <c r="AAD233" s="243"/>
      <c r="AAE233" s="243"/>
      <c r="AAF233" s="243"/>
      <c r="AAG233" s="243"/>
      <c r="AAH233" s="243"/>
      <c r="AAI233" s="243"/>
      <c r="AAJ233" s="243"/>
      <c r="AAK233" s="243"/>
      <c r="AAL233" s="243"/>
      <c r="AAM233" s="243"/>
      <c r="AAN233" s="243"/>
      <c r="AAO233" s="243"/>
      <c r="AAP233" s="243"/>
      <c r="AAQ233" s="243"/>
      <c r="AAR233" s="243"/>
      <c r="AAS233" s="243"/>
      <c r="AAT233" s="243"/>
      <c r="AAU233" s="243"/>
      <c r="AAV233" s="243"/>
      <c r="AAW233" s="243"/>
      <c r="AAX233" s="243"/>
      <c r="AAY233" s="243"/>
      <c r="AAZ233" s="243"/>
      <c r="ABA233" s="243"/>
      <c r="ABB233" s="243"/>
      <c r="ABC233" s="243"/>
      <c r="ABD233" s="243"/>
      <c r="ABE233" s="243"/>
      <c r="ABF233" s="243"/>
      <c r="ABG233" s="243"/>
      <c r="ABH233" s="243"/>
      <c r="ABI233" s="243"/>
      <c r="ABJ233" s="243"/>
      <c r="ABK233" s="243"/>
      <c r="ABL233" s="243"/>
      <c r="ABM233" s="243"/>
      <c r="ABN233" s="243"/>
      <c r="ABO233" s="243"/>
      <c r="ABP233" s="243"/>
      <c r="ABQ233" s="243"/>
      <c r="ABR233" s="243"/>
      <c r="ABS233" s="243"/>
      <c r="ABT233" s="243"/>
      <c r="ABU233" s="243"/>
      <c r="ABV233" s="243"/>
      <c r="ABW233" s="243"/>
      <c r="ABX233" s="243"/>
      <c r="ABY233" s="243"/>
      <c r="ABZ233" s="243"/>
      <c r="ACA233" s="243"/>
      <c r="ACB233" s="243"/>
      <c r="ACC233" s="243"/>
      <c r="ACD233" s="243"/>
      <c r="ACE233" s="243"/>
      <c r="ACF233" s="243"/>
      <c r="ACG233" s="243"/>
      <c r="ACH233" s="243"/>
      <c r="ACI233" s="243"/>
      <c r="ACJ233" s="243"/>
      <c r="ACK233" s="243"/>
      <c r="ACL233" s="243"/>
      <c r="ACM233" s="243"/>
      <c r="ACN233" s="243"/>
      <c r="ACO233" s="243"/>
      <c r="ACP233" s="243"/>
      <c r="ACQ233" s="243"/>
      <c r="ACR233" s="243"/>
      <c r="ACS233" s="243"/>
      <c r="ACT233" s="243"/>
      <c r="ACU233" s="243"/>
      <c r="ACV233" s="243"/>
      <c r="ACW233" s="243"/>
      <c r="ACX233" s="243"/>
      <c r="ACY233" s="243"/>
      <c r="ACZ233" s="243"/>
      <c r="ADA233" s="243"/>
      <c r="ADB233" s="243"/>
      <c r="ADC233" s="243"/>
      <c r="ADD233" s="243"/>
      <c r="ADE233" s="243"/>
      <c r="ADF233" s="243"/>
      <c r="ADG233" s="243"/>
      <c r="ADH233" s="243"/>
      <c r="ADI233" s="243"/>
      <c r="ADJ233" s="243"/>
      <c r="ADK233" s="243"/>
      <c r="ADL233" s="243"/>
      <c r="ADM233" s="243"/>
      <c r="ADN233" s="243"/>
      <c r="ADO233" s="243"/>
      <c r="ADP233" s="243"/>
      <c r="ADQ233" s="243"/>
      <c r="ADR233" s="243"/>
      <c r="ADS233" s="243"/>
      <c r="ADT233" s="243"/>
      <c r="ADU233" s="243"/>
      <c r="ADV233" s="243"/>
      <c r="ADW233" s="243"/>
      <c r="ADX233" s="243"/>
      <c r="ADY233" s="243"/>
      <c r="ADZ233" s="243"/>
      <c r="AEA233" s="243"/>
      <c r="AEB233" s="243"/>
      <c r="AEC233" s="243"/>
      <c r="AED233" s="243"/>
      <c r="AEE233" s="243"/>
      <c r="AEF233" s="243"/>
      <c r="AEG233" s="243"/>
      <c r="AEH233" s="243"/>
      <c r="AEI233" s="243"/>
      <c r="AEJ233" s="243"/>
      <c r="AEK233" s="243"/>
      <c r="AEL233" s="243"/>
      <c r="AEM233" s="243"/>
      <c r="AEN233" s="243"/>
      <c r="AEO233" s="243"/>
      <c r="AEP233" s="243"/>
      <c r="AEQ233" s="243"/>
      <c r="AER233" s="243"/>
      <c r="AES233" s="243"/>
      <c r="AET233" s="243"/>
      <c r="AEU233" s="243"/>
      <c r="AEV233" s="243"/>
      <c r="AEW233" s="243"/>
      <c r="AEX233" s="243"/>
      <c r="AEY233" s="243"/>
      <c r="AEZ233" s="243"/>
      <c r="AFA233" s="243"/>
      <c r="AFB233" s="243"/>
      <c r="AFC233" s="243"/>
      <c r="AFD233" s="243"/>
      <c r="AFE233" s="243"/>
      <c r="AFF233" s="243"/>
      <c r="AFG233" s="243"/>
      <c r="AFH233" s="243"/>
      <c r="AFI233" s="243"/>
      <c r="AFJ233" s="243"/>
      <c r="AFK233" s="243"/>
      <c r="AFL233" s="243"/>
      <c r="AFM233" s="243"/>
      <c r="AFN233" s="243"/>
      <c r="AFO233" s="243"/>
      <c r="AFP233" s="243"/>
      <c r="AFQ233" s="243"/>
      <c r="AFR233" s="243"/>
      <c r="AFS233" s="243"/>
      <c r="AFT233" s="243"/>
      <c r="AFU233" s="243"/>
      <c r="AFV233" s="243"/>
      <c r="AFW233" s="243"/>
      <c r="AFX233" s="243"/>
      <c r="AFY233" s="243"/>
      <c r="AFZ233" s="243"/>
      <c r="AGA233" s="243"/>
      <c r="AGB233" s="243"/>
      <c r="AGC233" s="243"/>
      <c r="AGD233" s="243"/>
      <c r="AGE233" s="243"/>
      <c r="AGF233" s="243"/>
      <c r="AGG233" s="243"/>
      <c r="AGH233" s="243"/>
      <c r="AGI233" s="243"/>
      <c r="AGJ233" s="243"/>
      <c r="AGK233" s="243"/>
      <c r="AGL233" s="243"/>
      <c r="AGM233" s="243"/>
      <c r="AGN233" s="243"/>
      <c r="AGO233" s="243"/>
      <c r="AGP233" s="243"/>
      <c r="AGQ233" s="243"/>
      <c r="AGR233" s="243"/>
      <c r="AGS233" s="243"/>
      <c r="AGT233" s="243"/>
      <c r="AGU233" s="243"/>
      <c r="AGV233" s="243"/>
      <c r="AGW233" s="243"/>
      <c r="AGX233" s="243"/>
      <c r="AGY233" s="243"/>
      <c r="AGZ233" s="243"/>
      <c r="AHA233" s="243"/>
      <c r="AHB233" s="243"/>
      <c r="AHC233" s="243"/>
      <c r="AHD233" s="243"/>
      <c r="AHE233" s="243"/>
      <c r="AHF233" s="243"/>
      <c r="AHG233" s="243"/>
      <c r="AHH233" s="243"/>
      <c r="AHI233" s="243"/>
      <c r="AHJ233" s="243"/>
      <c r="AHK233" s="243"/>
      <c r="AHL233" s="243"/>
      <c r="AHM233" s="243"/>
      <c r="AHN233" s="243"/>
      <c r="AHO233" s="243"/>
      <c r="AHP233" s="243"/>
      <c r="AHQ233" s="243"/>
      <c r="AHR233" s="243"/>
      <c r="AHS233" s="243"/>
      <c r="AHT233" s="243"/>
      <c r="AHU233" s="243"/>
      <c r="AHV233" s="243"/>
      <c r="AHW233" s="243"/>
      <c r="AHX233" s="243"/>
      <c r="AHY233" s="243"/>
      <c r="AHZ233" s="243"/>
      <c r="AIA233" s="243"/>
      <c r="AIB233" s="243"/>
      <c r="AIC233" s="243"/>
      <c r="AID233" s="243"/>
      <c r="AIE233" s="243"/>
      <c r="AIF233" s="243"/>
      <c r="AIG233" s="243"/>
      <c r="AIH233" s="243"/>
      <c r="AII233" s="243"/>
      <c r="AIJ233" s="243"/>
      <c r="AIK233" s="243"/>
      <c r="AIL233" s="243"/>
      <c r="AIM233" s="243"/>
      <c r="AIN233" s="243"/>
      <c r="AIO233" s="243"/>
      <c r="AIP233" s="243"/>
      <c r="AIQ233" s="243"/>
      <c r="AIR233" s="243"/>
      <c r="AIS233" s="243"/>
      <c r="AIT233" s="243"/>
      <c r="AIU233" s="243"/>
      <c r="AIV233" s="243"/>
      <c r="AIW233" s="243"/>
      <c r="AIX233" s="243"/>
      <c r="AIY233" s="243"/>
      <c r="AIZ233" s="243"/>
      <c r="AJA233" s="243"/>
      <c r="AJB233" s="243"/>
      <c r="AJC233" s="243"/>
      <c r="AJD233" s="243"/>
      <c r="AJE233" s="243"/>
      <c r="AJF233" s="243"/>
      <c r="AJG233" s="243"/>
      <c r="AJH233" s="243"/>
      <c r="AJI233" s="243"/>
      <c r="AJJ233" s="243"/>
      <c r="AJK233" s="243"/>
      <c r="AJL233" s="243"/>
      <c r="AJM233" s="243"/>
      <c r="AJN233" s="243"/>
      <c r="AJO233" s="243"/>
      <c r="AJP233" s="243"/>
      <c r="AJQ233" s="243"/>
      <c r="AJR233" s="243"/>
      <c r="AJS233" s="243"/>
      <c r="AJT233" s="243"/>
      <c r="AJU233" s="243"/>
      <c r="AJV233" s="243"/>
      <c r="AJW233" s="243"/>
      <c r="AJX233" s="243"/>
      <c r="AJY233" s="243"/>
      <c r="AJZ233" s="243"/>
      <c r="AKA233" s="243"/>
      <c r="AKB233" s="243"/>
      <c r="AKC233" s="243"/>
      <c r="AKD233" s="243"/>
      <c r="AKE233" s="243"/>
      <c r="AKF233" s="243"/>
      <c r="AKG233" s="243"/>
      <c r="AKH233" s="243"/>
      <c r="AKI233" s="243"/>
      <c r="AKJ233" s="243"/>
      <c r="AKK233" s="243"/>
      <c r="AKL233" s="243"/>
      <c r="AKM233" s="243"/>
      <c r="AKN233" s="243"/>
      <c r="AKO233" s="243"/>
      <c r="AKP233" s="243"/>
      <c r="AKQ233" s="243"/>
      <c r="AKR233" s="243"/>
      <c r="AKS233" s="243"/>
      <c r="AKT233" s="243"/>
      <c r="AKU233" s="243"/>
      <c r="AKV233" s="243"/>
      <c r="AKW233" s="243"/>
      <c r="AKX233" s="243"/>
      <c r="AKY233" s="243"/>
      <c r="AKZ233" s="243"/>
      <c r="ALA233" s="243"/>
      <c r="ALB233" s="243"/>
      <c r="ALC233" s="243"/>
      <c r="ALD233" s="243"/>
      <c r="ALE233" s="243"/>
      <c r="ALF233" s="243"/>
      <c r="ALG233" s="243"/>
      <c r="ALH233" s="243"/>
      <c r="ALI233" s="243"/>
      <c r="ALJ233" s="243"/>
      <c r="ALK233" s="243"/>
      <c r="ALL233" s="243"/>
      <c r="ALM233" s="243"/>
      <c r="ALN233" s="243"/>
      <c r="ALO233" s="243"/>
      <c r="ALP233" s="243"/>
      <c r="ALQ233" s="243"/>
      <c r="ALR233" s="243"/>
      <c r="ALS233" s="243"/>
      <c r="ALT233" s="243"/>
      <c r="ALU233" s="243"/>
      <c r="ALV233" s="243"/>
      <c r="ALW233" s="243"/>
      <c r="ALX233" s="243"/>
      <c r="ALY233" s="243"/>
      <c r="ALZ233" s="243"/>
      <c r="AMA233" s="243"/>
      <c r="AMB233" s="243"/>
      <c r="AMC233" s="243"/>
      <c r="AMD233" s="243"/>
      <c r="AME233" s="243"/>
      <c r="AMF233" s="243"/>
      <c r="AMG233" s="243"/>
      <c r="AMH233" s="243"/>
      <c r="AMI233" s="244"/>
      <c r="AMJ233" s="244"/>
    </row>
    <row r="234" spans="1:1024" ht="20.25" customHeight="1">
      <c r="A234" s="911"/>
      <c r="B234" s="442">
        <v>14075</v>
      </c>
      <c r="C234" s="432">
        <v>0.1</v>
      </c>
      <c r="D234" s="370" t="s">
        <v>161</v>
      </c>
      <c r="E234" s="433">
        <v>3500000</v>
      </c>
      <c r="F234" s="432">
        <v>0.12</v>
      </c>
      <c r="G234" s="401">
        <f t="shared" si="8"/>
        <v>420000</v>
      </c>
      <c r="H234" s="402" t="s">
        <v>103</v>
      </c>
      <c r="I234" s="402" t="s">
        <v>138</v>
      </c>
      <c r="J234" s="402" t="s">
        <v>125</v>
      </c>
      <c r="K234" s="402" t="s">
        <v>136</v>
      </c>
      <c r="L234" s="505" t="s">
        <v>125</v>
      </c>
      <c r="M234" s="395"/>
      <c r="N234" s="396"/>
      <c r="O234" s="377"/>
      <c r="P234" s="377"/>
      <c r="Q234" s="377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  <c r="AC234" s="243"/>
      <c r="AD234" s="243"/>
      <c r="AE234" s="243"/>
      <c r="AF234" s="243"/>
      <c r="AG234" s="243"/>
      <c r="AH234" s="243"/>
      <c r="AI234" s="243"/>
      <c r="AJ234" s="243"/>
      <c r="AK234" s="243"/>
      <c r="AL234" s="243"/>
      <c r="AM234" s="243"/>
      <c r="AN234" s="243"/>
      <c r="AO234" s="243"/>
      <c r="AP234" s="243"/>
      <c r="AQ234" s="243"/>
      <c r="AR234" s="243"/>
      <c r="AS234" s="243"/>
      <c r="AT234" s="243"/>
      <c r="AU234" s="243"/>
      <c r="AV234" s="243"/>
      <c r="AW234" s="243"/>
      <c r="AX234" s="243"/>
      <c r="AY234" s="243"/>
      <c r="AZ234" s="243"/>
      <c r="BA234" s="243"/>
      <c r="BB234" s="243"/>
      <c r="BC234" s="243"/>
      <c r="BD234" s="243"/>
      <c r="BE234" s="243"/>
      <c r="BF234" s="243"/>
      <c r="BG234" s="243"/>
      <c r="BH234" s="243"/>
      <c r="BI234" s="243"/>
      <c r="BJ234" s="243"/>
      <c r="BK234" s="243"/>
      <c r="BL234" s="243"/>
      <c r="BM234" s="243"/>
      <c r="BN234" s="243"/>
      <c r="BO234" s="243"/>
      <c r="BP234" s="243"/>
      <c r="BQ234" s="243"/>
      <c r="BR234" s="243"/>
      <c r="BS234" s="243"/>
      <c r="BT234" s="243"/>
      <c r="BU234" s="243"/>
      <c r="BV234" s="243"/>
      <c r="BW234" s="243"/>
      <c r="BX234" s="243"/>
      <c r="BY234" s="243"/>
      <c r="BZ234" s="243"/>
      <c r="CA234" s="243"/>
      <c r="CB234" s="243"/>
      <c r="CC234" s="243"/>
      <c r="CD234" s="243"/>
      <c r="CE234" s="243"/>
      <c r="CF234" s="243"/>
      <c r="CG234" s="243"/>
      <c r="CH234" s="243"/>
      <c r="CI234" s="243"/>
      <c r="CJ234" s="243"/>
      <c r="CK234" s="243"/>
      <c r="CL234" s="243"/>
      <c r="CM234" s="243"/>
      <c r="CN234" s="243"/>
      <c r="CO234" s="243"/>
      <c r="CP234" s="243"/>
      <c r="CQ234" s="243"/>
      <c r="CR234" s="243"/>
      <c r="CS234" s="243"/>
      <c r="CT234" s="243"/>
      <c r="CU234" s="243"/>
      <c r="CV234" s="243"/>
      <c r="CW234" s="243"/>
      <c r="CX234" s="243"/>
      <c r="CY234" s="243"/>
      <c r="CZ234" s="243"/>
      <c r="DA234" s="243"/>
      <c r="DB234" s="243"/>
      <c r="DC234" s="243"/>
      <c r="DD234" s="243"/>
      <c r="DE234" s="243"/>
      <c r="DF234" s="243"/>
      <c r="DG234" s="243"/>
      <c r="DH234" s="243"/>
      <c r="DI234" s="243"/>
      <c r="DJ234" s="243"/>
      <c r="DK234" s="243"/>
      <c r="DL234" s="243"/>
      <c r="DM234" s="243"/>
      <c r="DN234" s="243"/>
      <c r="DO234" s="243"/>
      <c r="DP234" s="243"/>
      <c r="DQ234" s="243"/>
      <c r="DR234" s="243"/>
      <c r="DS234" s="243"/>
      <c r="DT234" s="243"/>
      <c r="DU234" s="243"/>
      <c r="DV234" s="243"/>
      <c r="DW234" s="243"/>
      <c r="DX234" s="243"/>
      <c r="DY234" s="243"/>
      <c r="DZ234" s="243"/>
      <c r="EA234" s="243"/>
      <c r="EB234" s="243"/>
      <c r="EC234" s="243"/>
      <c r="ED234" s="243"/>
      <c r="EE234" s="243"/>
      <c r="EF234" s="243"/>
      <c r="EG234" s="243"/>
      <c r="EH234" s="243"/>
      <c r="EI234" s="243"/>
      <c r="EJ234" s="243"/>
      <c r="EK234" s="243"/>
      <c r="EL234" s="243"/>
      <c r="EM234" s="243"/>
      <c r="EN234" s="243"/>
      <c r="EO234" s="243"/>
      <c r="EP234" s="243"/>
      <c r="EQ234" s="243"/>
      <c r="ER234" s="243"/>
      <c r="ES234" s="243"/>
      <c r="ET234" s="243"/>
      <c r="EU234" s="243"/>
      <c r="EV234" s="243"/>
      <c r="EW234" s="243"/>
      <c r="EX234" s="243"/>
      <c r="EY234" s="243"/>
      <c r="EZ234" s="243"/>
      <c r="FA234" s="243"/>
      <c r="FB234" s="243"/>
      <c r="FC234" s="243"/>
      <c r="FD234" s="243"/>
      <c r="FE234" s="243"/>
      <c r="FF234" s="243"/>
      <c r="FG234" s="243"/>
      <c r="FH234" s="243"/>
      <c r="FI234" s="243"/>
      <c r="FJ234" s="243"/>
      <c r="FK234" s="243"/>
      <c r="FL234" s="243"/>
      <c r="FM234" s="243"/>
      <c r="FN234" s="243"/>
      <c r="FO234" s="243"/>
      <c r="FP234" s="243"/>
      <c r="FQ234" s="243"/>
      <c r="FR234" s="243"/>
      <c r="FS234" s="243"/>
      <c r="FT234" s="243"/>
      <c r="FU234" s="243"/>
      <c r="FV234" s="243"/>
      <c r="FW234" s="243"/>
      <c r="FX234" s="243"/>
      <c r="FY234" s="243"/>
      <c r="FZ234" s="243"/>
      <c r="GA234" s="243"/>
      <c r="GB234" s="243"/>
      <c r="GC234" s="243"/>
      <c r="GD234" s="243"/>
      <c r="GE234" s="243"/>
      <c r="GF234" s="243"/>
      <c r="GG234" s="243"/>
      <c r="GH234" s="243"/>
      <c r="GI234" s="243"/>
      <c r="GJ234" s="243"/>
      <c r="GK234" s="243"/>
      <c r="GL234" s="243"/>
      <c r="GM234" s="243"/>
      <c r="GN234" s="243"/>
      <c r="GO234" s="243"/>
      <c r="GP234" s="243"/>
      <c r="GQ234" s="243"/>
      <c r="GR234" s="243"/>
      <c r="GS234" s="243"/>
      <c r="GT234" s="243"/>
      <c r="GU234" s="243"/>
      <c r="GV234" s="243"/>
      <c r="GW234" s="243"/>
      <c r="GX234" s="243"/>
      <c r="GY234" s="243"/>
      <c r="GZ234" s="243"/>
      <c r="HA234" s="243"/>
      <c r="HB234" s="243"/>
      <c r="HC234" s="243"/>
      <c r="HD234" s="243"/>
      <c r="HE234" s="243"/>
      <c r="HF234" s="243"/>
      <c r="HG234" s="243"/>
      <c r="HH234" s="243"/>
      <c r="HI234" s="243"/>
      <c r="HJ234" s="243"/>
      <c r="HK234" s="243"/>
      <c r="HL234" s="243"/>
      <c r="HM234" s="243"/>
      <c r="HN234" s="243"/>
      <c r="HO234" s="243"/>
      <c r="HP234" s="243"/>
      <c r="HQ234" s="243"/>
      <c r="HR234" s="243"/>
      <c r="HS234" s="243"/>
      <c r="HT234" s="243"/>
      <c r="HU234" s="243"/>
      <c r="HV234" s="243"/>
      <c r="HW234" s="243"/>
      <c r="HX234" s="243"/>
      <c r="HY234" s="243"/>
      <c r="HZ234" s="243"/>
      <c r="IA234" s="243"/>
      <c r="IB234" s="243"/>
      <c r="IC234" s="243"/>
      <c r="ID234" s="243"/>
      <c r="IE234" s="243"/>
      <c r="IF234" s="243"/>
      <c r="IG234" s="243"/>
      <c r="IH234" s="243"/>
      <c r="II234" s="243"/>
      <c r="IJ234" s="243"/>
      <c r="IK234" s="243"/>
      <c r="IL234" s="243"/>
      <c r="IM234" s="243"/>
      <c r="IN234" s="243"/>
      <c r="IO234" s="243"/>
      <c r="IP234" s="243"/>
      <c r="IQ234" s="243"/>
      <c r="IR234" s="243"/>
      <c r="IS234" s="243"/>
      <c r="IT234" s="243"/>
      <c r="IU234" s="243"/>
      <c r="IV234" s="243"/>
      <c r="IW234" s="243"/>
      <c r="IX234" s="243"/>
      <c r="IY234" s="243"/>
      <c r="IZ234" s="243"/>
      <c r="JA234" s="243"/>
      <c r="JB234" s="243"/>
      <c r="JC234" s="243"/>
      <c r="JD234" s="243"/>
      <c r="JE234" s="243"/>
      <c r="JF234" s="243"/>
      <c r="JG234" s="243"/>
      <c r="JH234" s="243"/>
      <c r="JI234" s="243"/>
      <c r="JJ234" s="243"/>
      <c r="JK234" s="243"/>
      <c r="JL234" s="243"/>
      <c r="JM234" s="243"/>
      <c r="JN234" s="243"/>
      <c r="JO234" s="243"/>
      <c r="JP234" s="243"/>
      <c r="JQ234" s="243"/>
      <c r="JR234" s="243"/>
      <c r="JS234" s="243"/>
      <c r="JT234" s="243"/>
      <c r="JU234" s="243"/>
      <c r="JV234" s="243"/>
      <c r="JW234" s="243"/>
      <c r="JX234" s="243"/>
      <c r="JY234" s="243"/>
      <c r="JZ234" s="243"/>
      <c r="KA234" s="243"/>
      <c r="KB234" s="243"/>
      <c r="KC234" s="243"/>
      <c r="KD234" s="243"/>
      <c r="KE234" s="243"/>
      <c r="KF234" s="243"/>
      <c r="KG234" s="243"/>
      <c r="KH234" s="243"/>
      <c r="KI234" s="243"/>
      <c r="KJ234" s="243"/>
      <c r="KK234" s="243"/>
      <c r="KL234" s="243"/>
      <c r="KM234" s="243"/>
      <c r="KN234" s="243"/>
      <c r="KO234" s="243"/>
      <c r="KP234" s="243"/>
      <c r="KQ234" s="243"/>
      <c r="KR234" s="243"/>
      <c r="KS234" s="243"/>
      <c r="KT234" s="243"/>
      <c r="KU234" s="243"/>
      <c r="KV234" s="243"/>
      <c r="KW234" s="243"/>
      <c r="KX234" s="243"/>
      <c r="KY234" s="243"/>
      <c r="KZ234" s="243"/>
      <c r="LA234" s="243"/>
      <c r="LB234" s="243"/>
      <c r="LC234" s="243"/>
      <c r="LD234" s="243"/>
      <c r="LE234" s="243"/>
      <c r="LF234" s="243"/>
      <c r="LG234" s="243"/>
      <c r="LH234" s="243"/>
      <c r="LI234" s="243"/>
      <c r="LJ234" s="243"/>
      <c r="LK234" s="243"/>
      <c r="LL234" s="243"/>
      <c r="LM234" s="243"/>
      <c r="LN234" s="243"/>
      <c r="LO234" s="243"/>
      <c r="LP234" s="243"/>
      <c r="LQ234" s="243"/>
      <c r="LR234" s="243"/>
      <c r="LS234" s="243"/>
      <c r="LT234" s="243"/>
      <c r="LU234" s="243"/>
      <c r="LV234" s="243"/>
      <c r="LW234" s="243"/>
      <c r="LX234" s="243"/>
      <c r="LY234" s="243"/>
      <c r="LZ234" s="243"/>
      <c r="MA234" s="243"/>
      <c r="MB234" s="243"/>
      <c r="MC234" s="243"/>
      <c r="MD234" s="243"/>
      <c r="ME234" s="243"/>
      <c r="MF234" s="243"/>
      <c r="MG234" s="243"/>
      <c r="MH234" s="243"/>
      <c r="MI234" s="243"/>
      <c r="MJ234" s="243"/>
      <c r="MK234" s="243"/>
      <c r="ML234" s="243"/>
      <c r="MM234" s="243"/>
      <c r="MN234" s="243"/>
      <c r="MO234" s="243"/>
      <c r="MP234" s="243"/>
      <c r="MQ234" s="243"/>
      <c r="MR234" s="243"/>
      <c r="MS234" s="243"/>
      <c r="MT234" s="243"/>
      <c r="MU234" s="243"/>
      <c r="MV234" s="243"/>
      <c r="MW234" s="243"/>
      <c r="MX234" s="243"/>
      <c r="MY234" s="243"/>
      <c r="MZ234" s="243"/>
      <c r="NA234" s="243"/>
      <c r="NB234" s="243"/>
      <c r="NC234" s="243"/>
      <c r="ND234" s="243"/>
      <c r="NE234" s="243"/>
      <c r="NF234" s="243"/>
      <c r="NG234" s="243"/>
      <c r="NH234" s="243"/>
      <c r="NI234" s="243"/>
      <c r="NJ234" s="243"/>
      <c r="NK234" s="243"/>
      <c r="NL234" s="243"/>
      <c r="NM234" s="243"/>
      <c r="NN234" s="243"/>
      <c r="NO234" s="243"/>
      <c r="NP234" s="243"/>
      <c r="NQ234" s="243"/>
      <c r="NR234" s="243"/>
      <c r="NS234" s="243"/>
      <c r="NT234" s="243"/>
      <c r="NU234" s="243"/>
      <c r="NV234" s="243"/>
      <c r="NW234" s="243"/>
      <c r="NX234" s="243"/>
      <c r="NY234" s="243"/>
      <c r="NZ234" s="243"/>
      <c r="OA234" s="243"/>
      <c r="OB234" s="243"/>
      <c r="OC234" s="243"/>
      <c r="OD234" s="243"/>
      <c r="OE234" s="243"/>
      <c r="OF234" s="243"/>
      <c r="OG234" s="243"/>
      <c r="OH234" s="243"/>
      <c r="OI234" s="243"/>
      <c r="OJ234" s="243"/>
      <c r="OK234" s="243"/>
      <c r="OL234" s="243"/>
      <c r="OM234" s="243"/>
      <c r="ON234" s="243"/>
      <c r="OO234" s="243"/>
      <c r="OP234" s="243"/>
      <c r="OQ234" s="243"/>
      <c r="OR234" s="243"/>
      <c r="OS234" s="243"/>
      <c r="OT234" s="243"/>
      <c r="OU234" s="243"/>
      <c r="OV234" s="243"/>
      <c r="OW234" s="243"/>
      <c r="OX234" s="243"/>
      <c r="OY234" s="243"/>
      <c r="OZ234" s="243"/>
      <c r="PA234" s="243"/>
      <c r="PB234" s="243"/>
      <c r="PC234" s="243"/>
      <c r="PD234" s="243"/>
      <c r="PE234" s="243"/>
      <c r="PF234" s="243"/>
      <c r="PG234" s="243"/>
      <c r="PH234" s="243"/>
      <c r="PI234" s="243"/>
      <c r="PJ234" s="243"/>
      <c r="PK234" s="243"/>
      <c r="PL234" s="243"/>
      <c r="PM234" s="243"/>
      <c r="PN234" s="243"/>
      <c r="PO234" s="243"/>
      <c r="PP234" s="243"/>
      <c r="PQ234" s="243"/>
      <c r="PR234" s="243"/>
      <c r="PS234" s="243"/>
      <c r="PT234" s="243"/>
      <c r="PU234" s="243"/>
      <c r="PV234" s="243"/>
      <c r="PW234" s="243"/>
      <c r="PX234" s="243"/>
      <c r="PY234" s="243"/>
      <c r="PZ234" s="243"/>
      <c r="QA234" s="243"/>
      <c r="QB234" s="243"/>
      <c r="QC234" s="243"/>
      <c r="QD234" s="243"/>
      <c r="QE234" s="243"/>
      <c r="QF234" s="243"/>
      <c r="QG234" s="243"/>
      <c r="QH234" s="243"/>
      <c r="QI234" s="243"/>
      <c r="QJ234" s="243"/>
      <c r="QK234" s="243"/>
      <c r="QL234" s="243"/>
      <c r="QM234" s="243"/>
      <c r="QN234" s="243"/>
      <c r="QO234" s="243"/>
      <c r="QP234" s="243"/>
      <c r="QQ234" s="243"/>
      <c r="QR234" s="243"/>
      <c r="QS234" s="243"/>
      <c r="QT234" s="243"/>
      <c r="QU234" s="243"/>
      <c r="QV234" s="243"/>
      <c r="QW234" s="243"/>
      <c r="QX234" s="243"/>
      <c r="QY234" s="243"/>
      <c r="QZ234" s="243"/>
      <c r="RA234" s="243"/>
      <c r="RB234" s="243"/>
      <c r="RC234" s="243"/>
      <c r="RD234" s="243"/>
      <c r="RE234" s="243"/>
      <c r="RF234" s="243"/>
      <c r="RG234" s="243"/>
      <c r="RH234" s="243"/>
      <c r="RI234" s="243"/>
      <c r="RJ234" s="243"/>
      <c r="RK234" s="243"/>
      <c r="RL234" s="243"/>
      <c r="RM234" s="243"/>
      <c r="RN234" s="243"/>
      <c r="RO234" s="243"/>
      <c r="RP234" s="243"/>
      <c r="RQ234" s="243"/>
      <c r="RR234" s="243"/>
      <c r="RS234" s="243"/>
      <c r="RT234" s="243"/>
      <c r="RU234" s="243"/>
      <c r="RV234" s="243"/>
      <c r="RW234" s="243"/>
      <c r="RX234" s="243"/>
      <c r="RY234" s="243"/>
      <c r="RZ234" s="243"/>
      <c r="SA234" s="243"/>
      <c r="SB234" s="243"/>
      <c r="SC234" s="243"/>
      <c r="SD234" s="243"/>
      <c r="SE234" s="243"/>
      <c r="SF234" s="243"/>
      <c r="SG234" s="243"/>
      <c r="SH234" s="243"/>
      <c r="SI234" s="243"/>
      <c r="SJ234" s="243"/>
      <c r="SK234" s="243"/>
      <c r="SL234" s="243"/>
      <c r="SM234" s="243"/>
      <c r="SN234" s="243"/>
      <c r="SO234" s="243"/>
      <c r="SP234" s="243"/>
      <c r="SQ234" s="243"/>
      <c r="SR234" s="243"/>
      <c r="SS234" s="243"/>
      <c r="ST234" s="243"/>
      <c r="SU234" s="243"/>
      <c r="SV234" s="243"/>
      <c r="SW234" s="243"/>
      <c r="SX234" s="243"/>
      <c r="SY234" s="243"/>
      <c r="SZ234" s="243"/>
      <c r="TA234" s="243"/>
      <c r="TB234" s="243"/>
      <c r="TC234" s="243"/>
      <c r="TD234" s="243"/>
      <c r="TE234" s="243"/>
      <c r="TF234" s="243"/>
      <c r="TG234" s="243"/>
      <c r="TH234" s="243"/>
      <c r="TI234" s="243"/>
      <c r="TJ234" s="243"/>
      <c r="TK234" s="243"/>
      <c r="TL234" s="243"/>
      <c r="TM234" s="243"/>
      <c r="TN234" s="243"/>
      <c r="TO234" s="243"/>
      <c r="TP234" s="243"/>
      <c r="TQ234" s="243"/>
      <c r="TR234" s="243"/>
      <c r="TS234" s="243"/>
      <c r="TT234" s="243"/>
      <c r="TU234" s="243"/>
      <c r="TV234" s="243"/>
      <c r="TW234" s="243"/>
      <c r="TX234" s="243"/>
      <c r="TY234" s="243"/>
      <c r="TZ234" s="243"/>
      <c r="UA234" s="243"/>
      <c r="UB234" s="243"/>
      <c r="UC234" s="243"/>
      <c r="UD234" s="243"/>
      <c r="UE234" s="243"/>
      <c r="UF234" s="243"/>
      <c r="UG234" s="243"/>
      <c r="UH234" s="243"/>
      <c r="UI234" s="243"/>
      <c r="UJ234" s="243"/>
      <c r="UK234" s="243"/>
      <c r="UL234" s="243"/>
      <c r="UM234" s="243"/>
      <c r="UN234" s="243"/>
      <c r="UO234" s="243"/>
      <c r="UP234" s="243"/>
      <c r="UQ234" s="243"/>
      <c r="UR234" s="243"/>
      <c r="US234" s="243"/>
      <c r="UT234" s="243"/>
      <c r="UU234" s="243"/>
      <c r="UV234" s="243"/>
      <c r="UW234" s="243"/>
      <c r="UX234" s="243"/>
      <c r="UY234" s="243"/>
      <c r="UZ234" s="243"/>
      <c r="VA234" s="243"/>
      <c r="VB234" s="243"/>
      <c r="VC234" s="243"/>
      <c r="VD234" s="243"/>
      <c r="VE234" s="243"/>
      <c r="VF234" s="243"/>
      <c r="VG234" s="243"/>
      <c r="VH234" s="243"/>
      <c r="VI234" s="243"/>
      <c r="VJ234" s="243"/>
      <c r="VK234" s="243"/>
      <c r="VL234" s="243"/>
      <c r="VM234" s="243"/>
      <c r="VN234" s="243"/>
      <c r="VO234" s="243"/>
      <c r="VP234" s="243"/>
      <c r="VQ234" s="243"/>
      <c r="VR234" s="243"/>
      <c r="VS234" s="243"/>
      <c r="VT234" s="243"/>
      <c r="VU234" s="243"/>
      <c r="VV234" s="243"/>
      <c r="VW234" s="243"/>
      <c r="VX234" s="243"/>
      <c r="VY234" s="243"/>
      <c r="VZ234" s="243"/>
      <c r="WA234" s="243"/>
      <c r="WB234" s="243"/>
      <c r="WC234" s="243"/>
      <c r="WD234" s="243"/>
      <c r="WE234" s="243"/>
      <c r="WF234" s="243"/>
      <c r="WG234" s="243"/>
      <c r="WH234" s="243"/>
      <c r="WI234" s="243"/>
      <c r="WJ234" s="243"/>
      <c r="WK234" s="243"/>
      <c r="WL234" s="243"/>
      <c r="WM234" s="243"/>
      <c r="WN234" s="243"/>
      <c r="WO234" s="243"/>
      <c r="WP234" s="243"/>
      <c r="WQ234" s="243"/>
      <c r="WR234" s="243"/>
      <c r="WS234" s="243"/>
      <c r="WT234" s="243"/>
      <c r="WU234" s="243"/>
      <c r="WV234" s="243"/>
      <c r="WW234" s="243"/>
      <c r="WX234" s="243"/>
      <c r="WY234" s="243"/>
      <c r="WZ234" s="243"/>
      <c r="XA234" s="243"/>
      <c r="XB234" s="243"/>
      <c r="XC234" s="243"/>
      <c r="XD234" s="243"/>
      <c r="XE234" s="243"/>
      <c r="XF234" s="243"/>
      <c r="XG234" s="243"/>
      <c r="XH234" s="243"/>
      <c r="XI234" s="243"/>
      <c r="XJ234" s="243"/>
      <c r="XK234" s="243"/>
      <c r="XL234" s="243"/>
      <c r="XM234" s="243"/>
      <c r="XN234" s="243"/>
      <c r="XO234" s="243"/>
      <c r="XP234" s="243"/>
      <c r="XQ234" s="243"/>
      <c r="XR234" s="243"/>
      <c r="XS234" s="243"/>
      <c r="XT234" s="243"/>
      <c r="XU234" s="243"/>
      <c r="XV234" s="243"/>
      <c r="XW234" s="243"/>
      <c r="XX234" s="243"/>
      <c r="XY234" s="243"/>
      <c r="XZ234" s="243"/>
      <c r="YA234" s="243"/>
      <c r="YB234" s="243"/>
      <c r="YC234" s="243"/>
      <c r="YD234" s="243"/>
      <c r="YE234" s="243"/>
      <c r="YF234" s="243"/>
      <c r="YG234" s="243"/>
      <c r="YH234" s="243"/>
      <c r="YI234" s="243"/>
      <c r="YJ234" s="243"/>
      <c r="YK234" s="243"/>
      <c r="YL234" s="243"/>
      <c r="YM234" s="243"/>
      <c r="YN234" s="243"/>
      <c r="YO234" s="243"/>
      <c r="YP234" s="243"/>
      <c r="YQ234" s="243"/>
      <c r="YR234" s="243"/>
      <c r="YS234" s="243"/>
      <c r="YT234" s="243"/>
      <c r="YU234" s="243"/>
      <c r="YV234" s="243"/>
      <c r="YW234" s="243"/>
      <c r="YX234" s="243"/>
      <c r="YY234" s="243"/>
      <c r="YZ234" s="243"/>
      <c r="ZA234" s="243"/>
      <c r="ZB234" s="243"/>
      <c r="ZC234" s="243"/>
      <c r="ZD234" s="243"/>
      <c r="ZE234" s="243"/>
      <c r="ZF234" s="243"/>
      <c r="ZG234" s="243"/>
      <c r="ZH234" s="243"/>
      <c r="ZI234" s="243"/>
      <c r="ZJ234" s="243"/>
      <c r="ZK234" s="243"/>
      <c r="ZL234" s="243"/>
      <c r="ZM234" s="243"/>
      <c r="ZN234" s="243"/>
      <c r="ZO234" s="243"/>
      <c r="ZP234" s="243"/>
      <c r="ZQ234" s="243"/>
      <c r="ZR234" s="243"/>
      <c r="ZS234" s="243"/>
      <c r="ZT234" s="243"/>
      <c r="ZU234" s="243"/>
      <c r="ZV234" s="243"/>
      <c r="ZW234" s="243"/>
      <c r="ZX234" s="243"/>
      <c r="ZY234" s="243"/>
      <c r="ZZ234" s="243"/>
      <c r="AAA234" s="243"/>
      <c r="AAB234" s="243"/>
      <c r="AAC234" s="243"/>
      <c r="AAD234" s="243"/>
      <c r="AAE234" s="243"/>
      <c r="AAF234" s="243"/>
      <c r="AAG234" s="243"/>
      <c r="AAH234" s="243"/>
      <c r="AAI234" s="243"/>
      <c r="AAJ234" s="243"/>
      <c r="AAK234" s="243"/>
      <c r="AAL234" s="243"/>
      <c r="AAM234" s="243"/>
      <c r="AAN234" s="243"/>
      <c r="AAO234" s="243"/>
      <c r="AAP234" s="243"/>
      <c r="AAQ234" s="243"/>
      <c r="AAR234" s="243"/>
      <c r="AAS234" s="243"/>
      <c r="AAT234" s="243"/>
      <c r="AAU234" s="243"/>
      <c r="AAV234" s="243"/>
      <c r="AAW234" s="243"/>
      <c r="AAX234" s="243"/>
      <c r="AAY234" s="243"/>
      <c r="AAZ234" s="243"/>
      <c r="ABA234" s="243"/>
      <c r="ABB234" s="243"/>
      <c r="ABC234" s="243"/>
      <c r="ABD234" s="243"/>
      <c r="ABE234" s="243"/>
      <c r="ABF234" s="243"/>
      <c r="ABG234" s="243"/>
      <c r="ABH234" s="243"/>
      <c r="ABI234" s="243"/>
      <c r="ABJ234" s="243"/>
      <c r="ABK234" s="243"/>
      <c r="ABL234" s="243"/>
      <c r="ABM234" s="243"/>
      <c r="ABN234" s="243"/>
      <c r="ABO234" s="243"/>
      <c r="ABP234" s="243"/>
      <c r="ABQ234" s="243"/>
      <c r="ABR234" s="243"/>
      <c r="ABS234" s="243"/>
      <c r="ABT234" s="243"/>
      <c r="ABU234" s="243"/>
      <c r="ABV234" s="243"/>
      <c r="ABW234" s="243"/>
      <c r="ABX234" s="243"/>
      <c r="ABY234" s="243"/>
      <c r="ABZ234" s="243"/>
      <c r="ACA234" s="243"/>
      <c r="ACB234" s="243"/>
      <c r="ACC234" s="243"/>
      <c r="ACD234" s="243"/>
      <c r="ACE234" s="243"/>
      <c r="ACF234" s="243"/>
      <c r="ACG234" s="243"/>
      <c r="ACH234" s="243"/>
      <c r="ACI234" s="243"/>
      <c r="ACJ234" s="243"/>
      <c r="ACK234" s="243"/>
      <c r="ACL234" s="243"/>
      <c r="ACM234" s="243"/>
      <c r="ACN234" s="243"/>
      <c r="ACO234" s="243"/>
      <c r="ACP234" s="243"/>
      <c r="ACQ234" s="243"/>
      <c r="ACR234" s="243"/>
      <c r="ACS234" s="243"/>
      <c r="ACT234" s="243"/>
      <c r="ACU234" s="243"/>
      <c r="ACV234" s="243"/>
      <c r="ACW234" s="243"/>
      <c r="ACX234" s="243"/>
      <c r="ACY234" s="243"/>
      <c r="ACZ234" s="243"/>
      <c r="ADA234" s="243"/>
      <c r="ADB234" s="243"/>
      <c r="ADC234" s="243"/>
      <c r="ADD234" s="243"/>
      <c r="ADE234" s="243"/>
      <c r="ADF234" s="243"/>
      <c r="ADG234" s="243"/>
      <c r="ADH234" s="243"/>
      <c r="ADI234" s="243"/>
      <c r="ADJ234" s="243"/>
      <c r="ADK234" s="243"/>
      <c r="ADL234" s="243"/>
      <c r="ADM234" s="243"/>
      <c r="ADN234" s="243"/>
      <c r="ADO234" s="243"/>
      <c r="ADP234" s="243"/>
      <c r="ADQ234" s="243"/>
      <c r="ADR234" s="243"/>
      <c r="ADS234" s="243"/>
      <c r="ADT234" s="243"/>
      <c r="ADU234" s="243"/>
      <c r="ADV234" s="243"/>
      <c r="ADW234" s="243"/>
      <c r="ADX234" s="243"/>
      <c r="ADY234" s="243"/>
      <c r="ADZ234" s="243"/>
      <c r="AEA234" s="243"/>
      <c r="AEB234" s="243"/>
      <c r="AEC234" s="243"/>
      <c r="AED234" s="243"/>
      <c r="AEE234" s="243"/>
      <c r="AEF234" s="243"/>
      <c r="AEG234" s="243"/>
      <c r="AEH234" s="243"/>
      <c r="AEI234" s="243"/>
      <c r="AEJ234" s="243"/>
      <c r="AEK234" s="243"/>
      <c r="AEL234" s="243"/>
      <c r="AEM234" s="243"/>
      <c r="AEN234" s="243"/>
      <c r="AEO234" s="243"/>
      <c r="AEP234" s="243"/>
      <c r="AEQ234" s="243"/>
      <c r="AER234" s="243"/>
      <c r="AES234" s="243"/>
      <c r="AET234" s="243"/>
      <c r="AEU234" s="243"/>
      <c r="AEV234" s="243"/>
      <c r="AEW234" s="243"/>
      <c r="AEX234" s="243"/>
      <c r="AEY234" s="243"/>
      <c r="AEZ234" s="243"/>
      <c r="AFA234" s="243"/>
      <c r="AFB234" s="243"/>
      <c r="AFC234" s="243"/>
      <c r="AFD234" s="243"/>
      <c r="AFE234" s="243"/>
      <c r="AFF234" s="243"/>
      <c r="AFG234" s="243"/>
      <c r="AFH234" s="243"/>
      <c r="AFI234" s="243"/>
      <c r="AFJ234" s="243"/>
      <c r="AFK234" s="243"/>
      <c r="AFL234" s="243"/>
      <c r="AFM234" s="243"/>
      <c r="AFN234" s="243"/>
      <c r="AFO234" s="243"/>
      <c r="AFP234" s="243"/>
      <c r="AFQ234" s="243"/>
      <c r="AFR234" s="243"/>
      <c r="AFS234" s="243"/>
      <c r="AFT234" s="243"/>
      <c r="AFU234" s="243"/>
      <c r="AFV234" s="243"/>
      <c r="AFW234" s="243"/>
      <c r="AFX234" s="243"/>
      <c r="AFY234" s="243"/>
      <c r="AFZ234" s="243"/>
      <c r="AGA234" s="243"/>
      <c r="AGB234" s="243"/>
      <c r="AGC234" s="243"/>
      <c r="AGD234" s="243"/>
      <c r="AGE234" s="243"/>
      <c r="AGF234" s="243"/>
      <c r="AGG234" s="243"/>
      <c r="AGH234" s="243"/>
      <c r="AGI234" s="243"/>
      <c r="AGJ234" s="243"/>
      <c r="AGK234" s="243"/>
      <c r="AGL234" s="243"/>
      <c r="AGM234" s="243"/>
      <c r="AGN234" s="243"/>
      <c r="AGO234" s="243"/>
      <c r="AGP234" s="243"/>
      <c r="AGQ234" s="243"/>
      <c r="AGR234" s="243"/>
      <c r="AGS234" s="243"/>
      <c r="AGT234" s="243"/>
      <c r="AGU234" s="243"/>
      <c r="AGV234" s="243"/>
      <c r="AGW234" s="243"/>
      <c r="AGX234" s="243"/>
      <c r="AGY234" s="243"/>
      <c r="AGZ234" s="243"/>
      <c r="AHA234" s="243"/>
      <c r="AHB234" s="243"/>
      <c r="AHC234" s="243"/>
      <c r="AHD234" s="243"/>
      <c r="AHE234" s="243"/>
      <c r="AHF234" s="243"/>
      <c r="AHG234" s="243"/>
      <c r="AHH234" s="243"/>
      <c r="AHI234" s="243"/>
      <c r="AHJ234" s="243"/>
      <c r="AHK234" s="243"/>
      <c r="AHL234" s="243"/>
      <c r="AHM234" s="243"/>
      <c r="AHN234" s="243"/>
      <c r="AHO234" s="243"/>
      <c r="AHP234" s="243"/>
      <c r="AHQ234" s="243"/>
      <c r="AHR234" s="243"/>
      <c r="AHS234" s="243"/>
      <c r="AHT234" s="243"/>
      <c r="AHU234" s="243"/>
      <c r="AHV234" s="243"/>
      <c r="AHW234" s="243"/>
      <c r="AHX234" s="243"/>
      <c r="AHY234" s="243"/>
      <c r="AHZ234" s="243"/>
      <c r="AIA234" s="243"/>
      <c r="AIB234" s="243"/>
      <c r="AIC234" s="243"/>
      <c r="AID234" s="243"/>
      <c r="AIE234" s="243"/>
      <c r="AIF234" s="243"/>
      <c r="AIG234" s="243"/>
      <c r="AIH234" s="243"/>
      <c r="AII234" s="243"/>
      <c r="AIJ234" s="243"/>
      <c r="AIK234" s="243"/>
      <c r="AIL234" s="243"/>
      <c r="AIM234" s="243"/>
      <c r="AIN234" s="243"/>
      <c r="AIO234" s="243"/>
      <c r="AIP234" s="243"/>
      <c r="AIQ234" s="243"/>
      <c r="AIR234" s="243"/>
      <c r="AIS234" s="243"/>
      <c r="AIT234" s="243"/>
      <c r="AIU234" s="243"/>
      <c r="AIV234" s="243"/>
      <c r="AIW234" s="243"/>
      <c r="AIX234" s="243"/>
      <c r="AIY234" s="243"/>
      <c r="AIZ234" s="243"/>
      <c r="AJA234" s="243"/>
      <c r="AJB234" s="243"/>
      <c r="AJC234" s="243"/>
      <c r="AJD234" s="243"/>
      <c r="AJE234" s="243"/>
      <c r="AJF234" s="243"/>
      <c r="AJG234" s="243"/>
      <c r="AJH234" s="243"/>
      <c r="AJI234" s="243"/>
      <c r="AJJ234" s="243"/>
      <c r="AJK234" s="243"/>
      <c r="AJL234" s="243"/>
      <c r="AJM234" s="243"/>
      <c r="AJN234" s="243"/>
      <c r="AJO234" s="243"/>
      <c r="AJP234" s="243"/>
      <c r="AJQ234" s="243"/>
      <c r="AJR234" s="243"/>
      <c r="AJS234" s="243"/>
      <c r="AJT234" s="243"/>
      <c r="AJU234" s="243"/>
      <c r="AJV234" s="243"/>
      <c r="AJW234" s="243"/>
      <c r="AJX234" s="243"/>
      <c r="AJY234" s="243"/>
      <c r="AJZ234" s="243"/>
      <c r="AKA234" s="243"/>
      <c r="AKB234" s="243"/>
      <c r="AKC234" s="243"/>
      <c r="AKD234" s="243"/>
      <c r="AKE234" s="243"/>
      <c r="AKF234" s="243"/>
      <c r="AKG234" s="243"/>
      <c r="AKH234" s="243"/>
      <c r="AKI234" s="243"/>
      <c r="AKJ234" s="243"/>
      <c r="AKK234" s="243"/>
      <c r="AKL234" s="243"/>
      <c r="AKM234" s="243"/>
      <c r="AKN234" s="243"/>
      <c r="AKO234" s="243"/>
      <c r="AKP234" s="243"/>
      <c r="AKQ234" s="243"/>
      <c r="AKR234" s="243"/>
      <c r="AKS234" s="243"/>
      <c r="AKT234" s="243"/>
      <c r="AKU234" s="243"/>
      <c r="AKV234" s="243"/>
      <c r="AKW234" s="243"/>
      <c r="AKX234" s="243"/>
      <c r="AKY234" s="243"/>
      <c r="AKZ234" s="243"/>
      <c r="ALA234" s="243"/>
      <c r="ALB234" s="243"/>
      <c r="ALC234" s="243"/>
      <c r="ALD234" s="243"/>
      <c r="ALE234" s="243"/>
      <c r="ALF234" s="243"/>
      <c r="ALG234" s="243"/>
      <c r="ALH234" s="243"/>
      <c r="ALI234" s="243"/>
      <c r="ALJ234" s="243"/>
      <c r="ALK234" s="243"/>
      <c r="ALL234" s="243"/>
      <c r="ALM234" s="243"/>
      <c r="ALN234" s="243"/>
      <c r="ALO234" s="243"/>
      <c r="ALP234" s="243"/>
      <c r="ALQ234" s="243"/>
      <c r="ALR234" s="243"/>
      <c r="ALS234" s="243"/>
      <c r="ALT234" s="243"/>
      <c r="ALU234" s="243"/>
      <c r="ALV234" s="243"/>
      <c r="ALW234" s="243"/>
      <c r="ALX234" s="243"/>
      <c r="ALY234" s="243"/>
      <c r="ALZ234" s="243"/>
      <c r="AMA234" s="243"/>
      <c r="AMB234" s="243"/>
      <c r="AMC234" s="243"/>
      <c r="AMD234" s="243"/>
      <c r="AME234" s="243"/>
      <c r="AMF234" s="243"/>
      <c r="AMG234" s="243"/>
      <c r="AMH234" s="243"/>
      <c r="AMI234" s="244"/>
      <c r="AMJ234" s="244"/>
    </row>
    <row r="235" spans="1:1024">
      <c r="A235" s="911"/>
      <c r="B235" s="442">
        <v>14111</v>
      </c>
      <c r="C235" s="498">
        <v>0.1</v>
      </c>
      <c r="D235" s="370" t="s">
        <v>162</v>
      </c>
      <c r="E235" s="433">
        <v>3400000</v>
      </c>
      <c r="F235" s="432">
        <v>0.12</v>
      </c>
      <c r="G235" s="401">
        <f t="shared" si="8"/>
        <v>408000</v>
      </c>
      <c r="H235" s="402" t="s">
        <v>103</v>
      </c>
      <c r="I235" s="402" t="s">
        <v>124</v>
      </c>
      <c r="J235" s="402" t="s">
        <v>125</v>
      </c>
      <c r="K235" s="402" t="s">
        <v>123</v>
      </c>
      <c r="L235" s="505" t="s">
        <v>125</v>
      </c>
      <c r="M235" s="396"/>
      <c r="N235" s="396"/>
      <c r="O235" s="377"/>
      <c r="P235" s="377"/>
      <c r="Q235" s="377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  <c r="AC235" s="243"/>
      <c r="AD235" s="243"/>
      <c r="AE235" s="243"/>
      <c r="AF235" s="243"/>
      <c r="AG235" s="243"/>
      <c r="AH235" s="243"/>
      <c r="AI235" s="243"/>
      <c r="AJ235" s="243"/>
      <c r="AK235" s="243"/>
      <c r="AL235" s="243"/>
      <c r="AM235" s="243"/>
      <c r="AN235" s="243"/>
      <c r="AO235" s="243"/>
      <c r="AP235" s="243"/>
      <c r="AQ235" s="243"/>
      <c r="AR235" s="243"/>
      <c r="AS235" s="243"/>
      <c r="AT235" s="243"/>
      <c r="AU235" s="243"/>
      <c r="AV235" s="243"/>
      <c r="AW235" s="243"/>
      <c r="AX235" s="243"/>
      <c r="AY235" s="243"/>
      <c r="AZ235" s="243"/>
      <c r="BA235" s="243"/>
      <c r="BB235" s="243"/>
      <c r="BC235" s="243"/>
      <c r="BD235" s="243"/>
      <c r="BE235" s="243"/>
      <c r="BF235" s="243"/>
      <c r="BG235" s="243"/>
      <c r="BH235" s="243"/>
      <c r="BI235" s="243"/>
      <c r="BJ235" s="243"/>
      <c r="BK235" s="243"/>
      <c r="BL235" s="243"/>
      <c r="BM235" s="243"/>
      <c r="BN235" s="243"/>
      <c r="BO235" s="243"/>
      <c r="BP235" s="243"/>
      <c r="BQ235" s="243"/>
      <c r="BR235" s="243"/>
      <c r="BS235" s="243"/>
      <c r="BT235" s="243"/>
      <c r="BU235" s="243"/>
      <c r="BV235" s="243"/>
      <c r="BW235" s="243"/>
      <c r="BX235" s="243"/>
      <c r="BY235" s="243"/>
      <c r="BZ235" s="243"/>
      <c r="CA235" s="243"/>
      <c r="CB235" s="243"/>
      <c r="CC235" s="243"/>
      <c r="CD235" s="243"/>
      <c r="CE235" s="243"/>
      <c r="CF235" s="243"/>
      <c r="CG235" s="243"/>
      <c r="CH235" s="243"/>
      <c r="CI235" s="243"/>
      <c r="CJ235" s="243"/>
      <c r="CK235" s="243"/>
      <c r="CL235" s="243"/>
      <c r="CM235" s="243"/>
      <c r="CN235" s="243"/>
      <c r="CO235" s="243"/>
      <c r="CP235" s="243"/>
      <c r="CQ235" s="243"/>
      <c r="CR235" s="243"/>
      <c r="CS235" s="243"/>
      <c r="CT235" s="243"/>
      <c r="CU235" s="243"/>
      <c r="CV235" s="243"/>
      <c r="CW235" s="243"/>
      <c r="CX235" s="243"/>
      <c r="CY235" s="243"/>
      <c r="CZ235" s="243"/>
      <c r="DA235" s="243"/>
      <c r="DB235" s="243"/>
      <c r="DC235" s="243"/>
      <c r="DD235" s="243"/>
      <c r="DE235" s="243"/>
      <c r="DF235" s="243"/>
      <c r="DG235" s="243"/>
      <c r="DH235" s="243"/>
      <c r="DI235" s="243"/>
      <c r="DJ235" s="243"/>
      <c r="DK235" s="243"/>
      <c r="DL235" s="243"/>
      <c r="DM235" s="243"/>
      <c r="DN235" s="243"/>
      <c r="DO235" s="243"/>
      <c r="DP235" s="243"/>
      <c r="DQ235" s="243"/>
      <c r="DR235" s="243"/>
      <c r="DS235" s="243"/>
      <c r="DT235" s="243"/>
      <c r="DU235" s="243"/>
      <c r="DV235" s="243"/>
      <c r="DW235" s="243"/>
      <c r="DX235" s="243"/>
      <c r="DY235" s="243"/>
      <c r="DZ235" s="243"/>
      <c r="EA235" s="243"/>
      <c r="EB235" s="243"/>
      <c r="EC235" s="243"/>
      <c r="ED235" s="243"/>
      <c r="EE235" s="243"/>
      <c r="EF235" s="243"/>
      <c r="EG235" s="243"/>
      <c r="EH235" s="243"/>
      <c r="EI235" s="243"/>
      <c r="EJ235" s="243"/>
      <c r="EK235" s="243"/>
      <c r="EL235" s="243"/>
      <c r="EM235" s="243"/>
      <c r="EN235" s="243"/>
      <c r="EO235" s="243"/>
      <c r="EP235" s="243"/>
      <c r="EQ235" s="243"/>
      <c r="ER235" s="243"/>
      <c r="ES235" s="243"/>
      <c r="ET235" s="243"/>
      <c r="EU235" s="243"/>
      <c r="EV235" s="243"/>
      <c r="EW235" s="243"/>
      <c r="EX235" s="243"/>
      <c r="EY235" s="243"/>
      <c r="EZ235" s="243"/>
      <c r="FA235" s="243"/>
      <c r="FB235" s="243"/>
      <c r="FC235" s="243"/>
      <c r="FD235" s="243"/>
      <c r="FE235" s="243"/>
      <c r="FF235" s="243"/>
      <c r="FG235" s="243"/>
      <c r="FH235" s="243"/>
      <c r="FI235" s="243"/>
      <c r="FJ235" s="243"/>
      <c r="FK235" s="243"/>
      <c r="FL235" s="243"/>
      <c r="FM235" s="243"/>
      <c r="FN235" s="243"/>
      <c r="FO235" s="243"/>
      <c r="FP235" s="243"/>
      <c r="FQ235" s="243"/>
      <c r="FR235" s="243"/>
      <c r="FS235" s="243"/>
      <c r="FT235" s="243"/>
      <c r="FU235" s="243"/>
      <c r="FV235" s="243"/>
      <c r="FW235" s="243"/>
      <c r="FX235" s="243"/>
      <c r="FY235" s="243"/>
      <c r="FZ235" s="243"/>
      <c r="GA235" s="243"/>
      <c r="GB235" s="243"/>
      <c r="GC235" s="243"/>
      <c r="GD235" s="243"/>
      <c r="GE235" s="243"/>
      <c r="GF235" s="243"/>
      <c r="GG235" s="243"/>
      <c r="GH235" s="243"/>
      <c r="GI235" s="243"/>
      <c r="GJ235" s="243"/>
      <c r="GK235" s="243"/>
      <c r="GL235" s="243"/>
      <c r="GM235" s="243"/>
      <c r="GN235" s="243"/>
      <c r="GO235" s="243"/>
      <c r="GP235" s="243"/>
      <c r="GQ235" s="243"/>
      <c r="GR235" s="243"/>
      <c r="GS235" s="243"/>
      <c r="GT235" s="243"/>
      <c r="GU235" s="243"/>
      <c r="GV235" s="243"/>
      <c r="GW235" s="243"/>
      <c r="GX235" s="243"/>
      <c r="GY235" s="243"/>
      <c r="GZ235" s="243"/>
      <c r="HA235" s="243"/>
      <c r="HB235" s="243"/>
      <c r="HC235" s="243"/>
      <c r="HD235" s="243"/>
      <c r="HE235" s="243"/>
      <c r="HF235" s="243"/>
      <c r="HG235" s="243"/>
      <c r="HH235" s="243"/>
      <c r="HI235" s="243"/>
      <c r="HJ235" s="243"/>
      <c r="HK235" s="243"/>
      <c r="HL235" s="243"/>
      <c r="HM235" s="243"/>
      <c r="HN235" s="243"/>
      <c r="HO235" s="243"/>
      <c r="HP235" s="243"/>
      <c r="HQ235" s="243"/>
      <c r="HR235" s="243"/>
      <c r="HS235" s="243"/>
      <c r="HT235" s="243"/>
      <c r="HU235" s="243"/>
      <c r="HV235" s="243"/>
      <c r="HW235" s="243"/>
      <c r="HX235" s="243"/>
      <c r="HY235" s="243"/>
      <c r="HZ235" s="243"/>
      <c r="IA235" s="243"/>
      <c r="IB235" s="243"/>
      <c r="IC235" s="243"/>
      <c r="ID235" s="243"/>
      <c r="IE235" s="243"/>
      <c r="IF235" s="243"/>
      <c r="IG235" s="243"/>
      <c r="IH235" s="243"/>
      <c r="II235" s="243"/>
      <c r="IJ235" s="243"/>
      <c r="IK235" s="243"/>
      <c r="IL235" s="243"/>
      <c r="IM235" s="243"/>
      <c r="IN235" s="243"/>
      <c r="IO235" s="243"/>
      <c r="IP235" s="243"/>
      <c r="IQ235" s="243"/>
      <c r="IR235" s="243"/>
      <c r="IS235" s="243"/>
      <c r="IT235" s="243"/>
      <c r="IU235" s="243"/>
      <c r="IV235" s="243"/>
      <c r="IW235" s="243"/>
      <c r="IX235" s="243"/>
      <c r="IY235" s="243"/>
      <c r="IZ235" s="243"/>
      <c r="JA235" s="243"/>
      <c r="JB235" s="243"/>
      <c r="JC235" s="243"/>
      <c r="JD235" s="243"/>
      <c r="JE235" s="243"/>
      <c r="JF235" s="243"/>
      <c r="JG235" s="243"/>
      <c r="JH235" s="243"/>
      <c r="JI235" s="243"/>
      <c r="JJ235" s="243"/>
      <c r="JK235" s="243"/>
      <c r="JL235" s="243"/>
      <c r="JM235" s="243"/>
      <c r="JN235" s="243"/>
      <c r="JO235" s="243"/>
      <c r="JP235" s="243"/>
      <c r="JQ235" s="243"/>
      <c r="JR235" s="243"/>
      <c r="JS235" s="243"/>
      <c r="JT235" s="243"/>
      <c r="JU235" s="243"/>
      <c r="JV235" s="243"/>
      <c r="JW235" s="243"/>
      <c r="JX235" s="243"/>
      <c r="JY235" s="243"/>
      <c r="JZ235" s="243"/>
      <c r="KA235" s="243"/>
      <c r="KB235" s="243"/>
      <c r="KC235" s="243"/>
      <c r="KD235" s="243"/>
      <c r="KE235" s="243"/>
      <c r="KF235" s="243"/>
      <c r="KG235" s="243"/>
      <c r="KH235" s="243"/>
      <c r="KI235" s="243"/>
      <c r="KJ235" s="243"/>
      <c r="KK235" s="243"/>
      <c r="KL235" s="243"/>
      <c r="KM235" s="243"/>
      <c r="KN235" s="243"/>
      <c r="KO235" s="243"/>
      <c r="KP235" s="243"/>
      <c r="KQ235" s="243"/>
      <c r="KR235" s="243"/>
      <c r="KS235" s="243"/>
      <c r="KT235" s="243"/>
      <c r="KU235" s="243"/>
      <c r="KV235" s="243"/>
      <c r="KW235" s="243"/>
      <c r="KX235" s="243"/>
      <c r="KY235" s="243"/>
      <c r="KZ235" s="243"/>
      <c r="LA235" s="243"/>
      <c r="LB235" s="243"/>
      <c r="LC235" s="243"/>
      <c r="LD235" s="243"/>
      <c r="LE235" s="243"/>
      <c r="LF235" s="243"/>
      <c r="LG235" s="243"/>
      <c r="LH235" s="243"/>
      <c r="LI235" s="243"/>
      <c r="LJ235" s="243"/>
      <c r="LK235" s="243"/>
      <c r="LL235" s="243"/>
      <c r="LM235" s="243"/>
      <c r="LN235" s="243"/>
      <c r="LO235" s="243"/>
      <c r="LP235" s="243"/>
      <c r="LQ235" s="243"/>
      <c r="LR235" s="243"/>
      <c r="LS235" s="243"/>
      <c r="LT235" s="243"/>
      <c r="LU235" s="243"/>
      <c r="LV235" s="243"/>
      <c r="LW235" s="243"/>
      <c r="LX235" s="243"/>
      <c r="LY235" s="243"/>
      <c r="LZ235" s="243"/>
      <c r="MA235" s="243"/>
      <c r="MB235" s="243"/>
      <c r="MC235" s="243"/>
      <c r="MD235" s="243"/>
      <c r="ME235" s="243"/>
      <c r="MF235" s="243"/>
      <c r="MG235" s="243"/>
      <c r="MH235" s="243"/>
      <c r="MI235" s="243"/>
      <c r="MJ235" s="243"/>
      <c r="MK235" s="243"/>
      <c r="ML235" s="243"/>
      <c r="MM235" s="243"/>
      <c r="MN235" s="243"/>
      <c r="MO235" s="243"/>
      <c r="MP235" s="243"/>
      <c r="MQ235" s="243"/>
      <c r="MR235" s="243"/>
      <c r="MS235" s="243"/>
      <c r="MT235" s="243"/>
      <c r="MU235" s="243"/>
      <c r="MV235" s="243"/>
      <c r="MW235" s="243"/>
      <c r="MX235" s="243"/>
      <c r="MY235" s="243"/>
      <c r="MZ235" s="243"/>
      <c r="NA235" s="243"/>
      <c r="NB235" s="243"/>
      <c r="NC235" s="243"/>
      <c r="ND235" s="243"/>
      <c r="NE235" s="243"/>
      <c r="NF235" s="243"/>
      <c r="NG235" s="243"/>
      <c r="NH235" s="243"/>
      <c r="NI235" s="243"/>
      <c r="NJ235" s="243"/>
      <c r="NK235" s="243"/>
      <c r="NL235" s="243"/>
      <c r="NM235" s="243"/>
      <c r="NN235" s="243"/>
      <c r="NO235" s="243"/>
      <c r="NP235" s="243"/>
      <c r="NQ235" s="243"/>
      <c r="NR235" s="243"/>
      <c r="NS235" s="243"/>
      <c r="NT235" s="243"/>
      <c r="NU235" s="243"/>
      <c r="NV235" s="243"/>
      <c r="NW235" s="243"/>
      <c r="NX235" s="243"/>
      <c r="NY235" s="243"/>
      <c r="NZ235" s="243"/>
      <c r="OA235" s="243"/>
      <c r="OB235" s="243"/>
      <c r="OC235" s="243"/>
      <c r="OD235" s="243"/>
      <c r="OE235" s="243"/>
      <c r="OF235" s="243"/>
      <c r="OG235" s="243"/>
      <c r="OH235" s="243"/>
      <c r="OI235" s="243"/>
      <c r="OJ235" s="243"/>
      <c r="OK235" s="243"/>
      <c r="OL235" s="243"/>
      <c r="OM235" s="243"/>
      <c r="ON235" s="243"/>
      <c r="OO235" s="243"/>
      <c r="OP235" s="243"/>
      <c r="OQ235" s="243"/>
      <c r="OR235" s="243"/>
      <c r="OS235" s="243"/>
      <c r="OT235" s="243"/>
      <c r="OU235" s="243"/>
      <c r="OV235" s="243"/>
      <c r="OW235" s="243"/>
      <c r="OX235" s="243"/>
      <c r="OY235" s="243"/>
      <c r="OZ235" s="243"/>
      <c r="PA235" s="243"/>
      <c r="PB235" s="243"/>
      <c r="PC235" s="243"/>
      <c r="PD235" s="243"/>
      <c r="PE235" s="243"/>
      <c r="PF235" s="243"/>
      <c r="PG235" s="243"/>
      <c r="PH235" s="243"/>
      <c r="PI235" s="243"/>
      <c r="PJ235" s="243"/>
      <c r="PK235" s="243"/>
      <c r="PL235" s="243"/>
      <c r="PM235" s="243"/>
      <c r="PN235" s="243"/>
      <c r="PO235" s="243"/>
      <c r="PP235" s="243"/>
      <c r="PQ235" s="243"/>
      <c r="PR235" s="243"/>
      <c r="PS235" s="243"/>
      <c r="PT235" s="243"/>
      <c r="PU235" s="243"/>
      <c r="PV235" s="243"/>
      <c r="PW235" s="243"/>
      <c r="PX235" s="243"/>
      <c r="PY235" s="243"/>
      <c r="PZ235" s="243"/>
      <c r="QA235" s="243"/>
      <c r="QB235" s="243"/>
      <c r="QC235" s="243"/>
      <c r="QD235" s="243"/>
      <c r="QE235" s="243"/>
      <c r="QF235" s="243"/>
      <c r="QG235" s="243"/>
      <c r="QH235" s="243"/>
      <c r="QI235" s="243"/>
      <c r="QJ235" s="243"/>
      <c r="QK235" s="243"/>
      <c r="QL235" s="243"/>
      <c r="QM235" s="243"/>
      <c r="QN235" s="243"/>
      <c r="QO235" s="243"/>
      <c r="QP235" s="243"/>
      <c r="QQ235" s="243"/>
      <c r="QR235" s="243"/>
      <c r="QS235" s="243"/>
      <c r="QT235" s="243"/>
      <c r="QU235" s="243"/>
      <c r="QV235" s="243"/>
      <c r="QW235" s="243"/>
      <c r="QX235" s="243"/>
      <c r="QY235" s="243"/>
      <c r="QZ235" s="243"/>
      <c r="RA235" s="243"/>
      <c r="RB235" s="243"/>
      <c r="RC235" s="243"/>
      <c r="RD235" s="243"/>
      <c r="RE235" s="243"/>
      <c r="RF235" s="243"/>
      <c r="RG235" s="243"/>
      <c r="RH235" s="243"/>
      <c r="RI235" s="243"/>
      <c r="RJ235" s="243"/>
      <c r="RK235" s="243"/>
      <c r="RL235" s="243"/>
      <c r="RM235" s="243"/>
      <c r="RN235" s="243"/>
      <c r="RO235" s="243"/>
      <c r="RP235" s="243"/>
      <c r="RQ235" s="243"/>
      <c r="RR235" s="243"/>
      <c r="RS235" s="243"/>
      <c r="RT235" s="243"/>
      <c r="RU235" s="243"/>
      <c r="RV235" s="243"/>
      <c r="RW235" s="243"/>
      <c r="RX235" s="243"/>
      <c r="RY235" s="243"/>
      <c r="RZ235" s="243"/>
      <c r="SA235" s="243"/>
      <c r="SB235" s="243"/>
      <c r="SC235" s="243"/>
      <c r="SD235" s="243"/>
      <c r="SE235" s="243"/>
      <c r="SF235" s="243"/>
      <c r="SG235" s="243"/>
      <c r="SH235" s="243"/>
      <c r="SI235" s="243"/>
      <c r="SJ235" s="243"/>
      <c r="SK235" s="243"/>
      <c r="SL235" s="243"/>
      <c r="SM235" s="243"/>
      <c r="SN235" s="243"/>
      <c r="SO235" s="243"/>
      <c r="SP235" s="243"/>
      <c r="SQ235" s="243"/>
      <c r="SR235" s="243"/>
      <c r="SS235" s="243"/>
      <c r="ST235" s="243"/>
      <c r="SU235" s="243"/>
      <c r="SV235" s="243"/>
      <c r="SW235" s="243"/>
      <c r="SX235" s="243"/>
      <c r="SY235" s="243"/>
      <c r="SZ235" s="243"/>
      <c r="TA235" s="243"/>
      <c r="TB235" s="243"/>
      <c r="TC235" s="243"/>
      <c r="TD235" s="243"/>
      <c r="TE235" s="243"/>
      <c r="TF235" s="243"/>
      <c r="TG235" s="243"/>
      <c r="TH235" s="243"/>
      <c r="TI235" s="243"/>
      <c r="TJ235" s="243"/>
      <c r="TK235" s="243"/>
      <c r="TL235" s="243"/>
      <c r="TM235" s="243"/>
      <c r="TN235" s="243"/>
      <c r="TO235" s="243"/>
      <c r="TP235" s="243"/>
      <c r="TQ235" s="243"/>
      <c r="TR235" s="243"/>
      <c r="TS235" s="243"/>
      <c r="TT235" s="243"/>
      <c r="TU235" s="243"/>
      <c r="TV235" s="243"/>
      <c r="TW235" s="243"/>
      <c r="TX235" s="243"/>
      <c r="TY235" s="243"/>
      <c r="TZ235" s="243"/>
      <c r="UA235" s="243"/>
      <c r="UB235" s="243"/>
      <c r="UC235" s="243"/>
      <c r="UD235" s="243"/>
      <c r="UE235" s="243"/>
      <c r="UF235" s="243"/>
      <c r="UG235" s="243"/>
      <c r="UH235" s="243"/>
      <c r="UI235" s="243"/>
      <c r="UJ235" s="243"/>
      <c r="UK235" s="243"/>
      <c r="UL235" s="243"/>
      <c r="UM235" s="243"/>
      <c r="UN235" s="243"/>
      <c r="UO235" s="243"/>
      <c r="UP235" s="243"/>
      <c r="UQ235" s="243"/>
      <c r="UR235" s="243"/>
      <c r="US235" s="243"/>
      <c r="UT235" s="243"/>
      <c r="UU235" s="243"/>
      <c r="UV235" s="243"/>
      <c r="UW235" s="243"/>
      <c r="UX235" s="243"/>
      <c r="UY235" s="243"/>
      <c r="UZ235" s="243"/>
      <c r="VA235" s="243"/>
      <c r="VB235" s="243"/>
      <c r="VC235" s="243"/>
      <c r="VD235" s="243"/>
      <c r="VE235" s="243"/>
      <c r="VF235" s="243"/>
      <c r="VG235" s="243"/>
      <c r="VH235" s="243"/>
      <c r="VI235" s="243"/>
      <c r="VJ235" s="243"/>
      <c r="VK235" s="243"/>
      <c r="VL235" s="243"/>
      <c r="VM235" s="243"/>
      <c r="VN235" s="243"/>
      <c r="VO235" s="243"/>
      <c r="VP235" s="243"/>
      <c r="VQ235" s="243"/>
      <c r="VR235" s="243"/>
      <c r="VS235" s="243"/>
      <c r="VT235" s="243"/>
      <c r="VU235" s="243"/>
      <c r="VV235" s="243"/>
      <c r="VW235" s="243"/>
      <c r="VX235" s="243"/>
      <c r="VY235" s="243"/>
      <c r="VZ235" s="243"/>
      <c r="WA235" s="243"/>
      <c r="WB235" s="243"/>
      <c r="WC235" s="243"/>
      <c r="WD235" s="243"/>
      <c r="WE235" s="243"/>
      <c r="WF235" s="243"/>
      <c r="WG235" s="243"/>
      <c r="WH235" s="243"/>
      <c r="WI235" s="243"/>
      <c r="WJ235" s="243"/>
      <c r="WK235" s="243"/>
      <c r="WL235" s="243"/>
      <c r="WM235" s="243"/>
      <c r="WN235" s="243"/>
      <c r="WO235" s="243"/>
      <c r="WP235" s="243"/>
      <c r="WQ235" s="243"/>
      <c r="WR235" s="243"/>
      <c r="WS235" s="243"/>
      <c r="WT235" s="243"/>
      <c r="WU235" s="243"/>
      <c r="WV235" s="243"/>
      <c r="WW235" s="243"/>
      <c r="WX235" s="243"/>
      <c r="WY235" s="243"/>
      <c r="WZ235" s="243"/>
      <c r="XA235" s="243"/>
      <c r="XB235" s="243"/>
      <c r="XC235" s="243"/>
      <c r="XD235" s="243"/>
      <c r="XE235" s="243"/>
      <c r="XF235" s="243"/>
      <c r="XG235" s="243"/>
      <c r="XH235" s="243"/>
      <c r="XI235" s="243"/>
      <c r="XJ235" s="243"/>
      <c r="XK235" s="243"/>
      <c r="XL235" s="243"/>
      <c r="XM235" s="243"/>
      <c r="XN235" s="243"/>
      <c r="XO235" s="243"/>
      <c r="XP235" s="243"/>
      <c r="XQ235" s="243"/>
      <c r="XR235" s="243"/>
      <c r="XS235" s="243"/>
      <c r="XT235" s="243"/>
      <c r="XU235" s="243"/>
      <c r="XV235" s="243"/>
      <c r="XW235" s="243"/>
      <c r="XX235" s="243"/>
      <c r="XY235" s="243"/>
      <c r="XZ235" s="243"/>
      <c r="YA235" s="243"/>
      <c r="YB235" s="243"/>
      <c r="YC235" s="243"/>
      <c r="YD235" s="243"/>
      <c r="YE235" s="243"/>
      <c r="YF235" s="243"/>
      <c r="YG235" s="243"/>
      <c r="YH235" s="243"/>
      <c r="YI235" s="243"/>
      <c r="YJ235" s="243"/>
      <c r="YK235" s="243"/>
      <c r="YL235" s="243"/>
      <c r="YM235" s="243"/>
      <c r="YN235" s="243"/>
      <c r="YO235" s="243"/>
      <c r="YP235" s="243"/>
      <c r="YQ235" s="243"/>
      <c r="YR235" s="243"/>
      <c r="YS235" s="243"/>
      <c r="YT235" s="243"/>
      <c r="YU235" s="243"/>
      <c r="YV235" s="243"/>
      <c r="YW235" s="243"/>
      <c r="YX235" s="243"/>
      <c r="YY235" s="243"/>
      <c r="YZ235" s="243"/>
      <c r="ZA235" s="243"/>
      <c r="ZB235" s="243"/>
      <c r="ZC235" s="243"/>
      <c r="ZD235" s="243"/>
      <c r="ZE235" s="243"/>
      <c r="ZF235" s="243"/>
      <c r="ZG235" s="243"/>
      <c r="ZH235" s="243"/>
      <c r="ZI235" s="243"/>
      <c r="ZJ235" s="243"/>
      <c r="ZK235" s="243"/>
      <c r="ZL235" s="243"/>
      <c r="ZM235" s="243"/>
      <c r="ZN235" s="243"/>
      <c r="ZO235" s="243"/>
      <c r="ZP235" s="243"/>
      <c r="ZQ235" s="243"/>
      <c r="ZR235" s="243"/>
      <c r="ZS235" s="243"/>
      <c r="ZT235" s="243"/>
      <c r="ZU235" s="243"/>
      <c r="ZV235" s="243"/>
      <c r="ZW235" s="243"/>
      <c r="ZX235" s="243"/>
      <c r="ZY235" s="243"/>
      <c r="ZZ235" s="243"/>
      <c r="AAA235" s="243"/>
      <c r="AAB235" s="243"/>
      <c r="AAC235" s="243"/>
      <c r="AAD235" s="243"/>
      <c r="AAE235" s="243"/>
      <c r="AAF235" s="243"/>
      <c r="AAG235" s="243"/>
      <c r="AAH235" s="243"/>
      <c r="AAI235" s="243"/>
      <c r="AAJ235" s="243"/>
      <c r="AAK235" s="243"/>
      <c r="AAL235" s="243"/>
      <c r="AAM235" s="243"/>
      <c r="AAN235" s="243"/>
      <c r="AAO235" s="243"/>
      <c r="AAP235" s="243"/>
      <c r="AAQ235" s="243"/>
      <c r="AAR235" s="243"/>
      <c r="AAS235" s="243"/>
      <c r="AAT235" s="243"/>
      <c r="AAU235" s="243"/>
      <c r="AAV235" s="243"/>
      <c r="AAW235" s="243"/>
      <c r="AAX235" s="243"/>
      <c r="AAY235" s="243"/>
      <c r="AAZ235" s="243"/>
      <c r="ABA235" s="243"/>
      <c r="ABB235" s="243"/>
      <c r="ABC235" s="243"/>
      <c r="ABD235" s="243"/>
      <c r="ABE235" s="243"/>
      <c r="ABF235" s="243"/>
      <c r="ABG235" s="243"/>
      <c r="ABH235" s="243"/>
      <c r="ABI235" s="243"/>
      <c r="ABJ235" s="243"/>
      <c r="ABK235" s="243"/>
      <c r="ABL235" s="243"/>
      <c r="ABM235" s="243"/>
      <c r="ABN235" s="243"/>
      <c r="ABO235" s="243"/>
      <c r="ABP235" s="243"/>
      <c r="ABQ235" s="243"/>
      <c r="ABR235" s="243"/>
      <c r="ABS235" s="243"/>
      <c r="ABT235" s="243"/>
      <c r="ABU235" s="243"/>
      <c r="ABV235" s="243"/>
      <c r="ABW235" s="243"/>
      <c r="ABX235" s="243"/>
      <c r="ABY235" s="243"/>
      <c r="ABZ235" s="243"/>
      <c r="ACA235" s="243"/>
      <c r="ACB235" s="243"/>
      <c r="ACC235" s="243"/>
      <c r="ACD235" s="243"/>
      <c r="ACE235" s="243"/>
      <c r="ACF235" s="243"/>
      <c r="ACG235" s="243"/>
      <c r="ACH235" s="243"/>
      <c r="ACI235" s="243"/>
      <c r="ACJ235" s="243"/>
      <c r="ACK235" s="243"/>
      <c r="ACL235" s="243"/>
      <c r="ACM235" s="243"/>
      <c r="ACN235" s="243"/>
      <c r="ACO235" s="243"/>
      <c r="ACP235" s="243"/>
      <c r="ACQ235" s="243"/>
      <c r="ACR235" s="243"/>
      <c r="ACS235" s="243"/>
      <c r="ACT235" s="243"/>
      <c r="ACU235" s="243"/>
      <c r="ACV235" s="243"/>
      <c r="ACW235" s="243"/>
      <c r="ACX235" s="243"/>
      <c r="ACY235" s="243"/>
      <c r="ACZ235" s="243"/>
      <c r="ADA235" s="243"/>
      <c r="ADB235" s="243"/>
      <c r="ADC235" s="243"/>
      <c r="ADD235" s="243"/>
      <c r="ADE235" s="243"/>
      <c r="ADF235" s="243"/>
      <c r="ADG235" s="243"/>
      <c r="ADH235" s="243"/>
      <c r="ADI235" s="243"/>
      <c r="ADJ235" s="243"/>
      <c r="ADK235" s="243"/>
      <c r="ADL235" s="243"/>
      <c r="ADM235" s="243"/>
      <c r="ADN235" s="243"/>
      <c r="ADO235" s="243"/>
      <c r="ADP235" s="243"/>
      <c r="ADQ235" s="243"/>
      <c r="ADR235" s="243"/>
      <c r="ADS235" s="243"/>
      <c r="ADT235" s="243"/>
      <c r="ADU235" s="243"/>
      <c r="ADV235" s="243"/>
      <c r="ADW235" s="243"/>
      <c r="ADX235" s="243"/>
      <c r="ADY235" s="243"/>
      <c r="ADZ235" s="243"/>
      <c r="AEA235" s="243"/>
      <c r="AEB235" s="243"/>
      <c r="AEC235" s="243"/>
      <c r="AED235" s="243"/>
      <c r="AEE235" s="243"/>
      <c r="AEF235" s="243"/>
      <c r="AEG235" s="243"/>
      <c r="AEH235" s="243"/>
      <c r="AEI235" s="243"/>
      <c r="AEJ235" s="243"/>
      <c r="AEK235" s="243"/>
      <c r="AEL235" s="243"/>
      <c r="AEM235" s="243"/>
      <c r="AEN235" s="243"/>
      <c r="AEO235" s="243"/>
      <c r="AEP235" s="243"/>
      <c r="AEQ235" s="243"/>
      <c r="AER235" s="243"/>
      <c r="AES235" s="243"/>
      <c r="AET235" s="243"/>
      <c r="AEU235" s="243"/>
      <c r="AEV235" s="243"/>
      <c r="AEW235" s="243"/>
      <c r="AEX235" s="243"/>
      <c r="AEY235" s="243"/>
      <c r="AEZ235" s="243"/>
      <c r="AFA235" s="243"/>
      <c r="AFB235" s="243"/>
      <c r="AFC235" s="243"/>
      <c r="AFD235" s="243"/>
      <c r="AFE235" s="243"/>
      <c r="AFF235" s="243"/>
      <c r="AFG235" s="243"/>
      <c r="AFH235" s="243"/>
      <c r="AFI235" s="243"/>
      <c r="AFJ235" s="243"/>
      <c r="AFK235" s="243"/>
      <c r="AFL235" s="243"/>
      <c r="AFM235" s="243"/>
      <c r="AFN235" s="243"/>
      <c r="AFO235" s="243"/>
      <c r="AFP235" s="243"/>
      <c r="AFQ235" s="243"/>
      <c r="AFR235" s="243"/>
      <c r="AFS235" s="243"/>
      <c r="AFT235" s="243"/>
      <c r="AFU235" s="243"/>
      <c r="AFV235" s="243"/>
      <c r="AFW235" s="243"/>
      <c r="AFX235" s="243"/>
      <c r="AFY235" s="243"/>
      <c r="AFZ235" s="243"/>
      <c r="AGA235" s="243"/>
      <c r="AGB235" s="243"/>
      <c r="AGC235" s="243"/>
      <c r="AGD235" s="243"/>
      <c r="AGE235" s="243"/>
      <c r="AGF235" s="243"/>
      <c r="AGG235" s="243"/>
      <c r="AGH235" s="243"/>
      <c r="AGI235" s="243"/>
      <c r="AGJ235" s="243"/>
      <c r="AGK235" s="243"/>
      <c r="AGL235" s="243"/>
      <c r="AGM235" s="243"/>
      <c r="AGN235" s="243"/>
      <c r="AGO235" s="243"/>
      <c r="AGP235" s="243"/>
      <c r="AGQ235" s="243"/>
      <c r="AGR235" s="243"/>
      <c r="AGS235" s="243"/>
      <c r="AGT235" s="243"/>
      <c r="AGU235" s="243"/>
      <c r="AGV235" s="243"/>
      <c r="AGW235" s="243"/>
      <c r="AGX235" s="243"/>
      <c r="AGY235" s="243"/>
      <c r="AGZ235" s="243"/>
      <c r="AHA235" s="243"/>
      <c r="AHB235" s="243"/>
      <c r="AHC235" s="243"/>
      <c r="AHD235" s="243"/>
      <c r="AHE235" s="243"/>
      <c r="AHF235" s="243"/>
      <c r="AHG235" s="243"/>
      <c r="AHH235" s="243"/>
      <c r="AHI235" s="243"/>
      <c r="AHJ235" s="243"/>
      <c r="AHK235" s="243"/>
      <c r="AHL235" s="243"/>
      <c r="AHM235" s="243"/>
      <c r="AHN235" s="243"/>
      <c r="AHO235" s="243"/>
      <c r="AHP235" s="243"/>
      <c r="AHQ235" s="243"/>
      <c r="AHR235" s="243"/>
      <c r="AHS235" s="243"/>
      <c r="AHT235" s="243"/>
      <c r="AHU235" s="243"/>
      <c r="AHV235" s="243"/>
      <c r="AHW235" s="243"/>
      <c r="AHX235" s="243"/>
      <c r="AHY235" s="243"/>
      <c r="AHZ235" s="243"/>
      <c r="AIA235" s="243"/>
      <c r="AIB235" s="243"/>
      <c r="AIC235" s="243"/>
      <c r="AID235" s="243"/>
      <c r="AIE235" s="243"/>
      <c r="AIF235" s="243"/>
      <c r="AIG235" s="243"/>
      <c r="AIH235" s="243"/>
      <c r="AII235" s="243"/>
      <c r="AIJ235" s="243"/>
      <c r="AIK235" s="243"/>
      <c r="AIL235" s="243"/>
      <c r="AIM235" s="243"/>
      <c r="AIN235" s="243"/>
      <c r="AIO235" s="243"/>
      <c r="AIP235" s="243"/>
      <c r="AIQ235" s="243"/>
      <c r="AIR235" s="243"/>
      <c r="AIS235" s="243"/>
      <c r="AIT235" s="243"/>
      <c r="AIU235" s="243"/>
      <c r="AIV235" s="243"/>
      <c r="AIW235" s="243"/>
      <c r="AIX235" s="243"/>
      <c r="AIY235" s="243"/>
      <c r="AIZ235" s="243"/>
      <c r="AJA235" s="243"/>
      <c r="AJB235" s="243"/>
      <c r="AJC235" s="243"/>
      <c r="AJD235" s="243"/>
      <c r="AJE235" s="243"/>
      <c r="AJF235" s="243"/>
      <c r="AJG235" s="243"/>
      <c r="AJH235" s="243"/>
      <c r="AJI235" s="243"/>
      <c r="AJJ235" s="243"/>
      <c r="AJK235" s="243"/>
      <c r="AJL235" s="243"/>
      <c r="AJM235" s="243"/>
      <c r="AJN235" s="243"/>
      <c r="AJO235" s="243"/>
      <c r="AJP235" s="243"/>
      <c r="AJQ235" s="243"/>
      <c r="AJR235" s="243"/>
      <c r="AJS235" s="243"/>
      <c r="AJT235" s="243"/>
      <c r="AJU235" s="243"/>
      <c r="AJV235" s="243"/>
      <c r="AJW235" s="243"/>
      <c r="AJX235" s="243"/>
      <c r="AJY235" s="243"/>
      <c r="AJZ235" s="243"/>
      <c r="AKA235" s="243"/>
      <c r="AKB235" s="243"/>
      <c r="AKC235" s="243"/>
      <c r="AKD235" s="243"/>
      <c r="AKE235" s="243"/>
      <c r="AKF235" s="243"/>
      <c r="AKG235" s="243"/>
      <c r="AKH235" s="243"/>
      <c r="AKI235" s="243"/>
      <c r="AKJ235" s="243"/>
      <c r="AKK235" s="243"/>
      <c r="AKL235" s="243"/>
      <c r="AKM235" s="243"/>
      <c r="AKN235" s="243"/>
      <c r="AKO235" s="243"/>
      <c r="AKP235" s="243"/>
      <c r="AKQ235" s="243"/>
      <c r="AKR235" s="243"/>
      <c r="AKS235" s="243"/>
      <c r="AKT235" s="243"/>
      <c r="AKU235" s="243"/>
      <c r="AKV235" s="243"/>
      <c r="AKW235" s="243"/>
      <c r="AKX235" s="243"/>
      <c r="AKY235" s="243"/>
      <c r="AKZ235" s="243"/>
      <c r="ALA235" s="243"/>
      <c r="ALB235" s="243"/>
      <c r="ALC235" s="243"/>
      <c r="ALD235" s="243"/>
      <c r="ALE235" s="243"/>
      <c r="ALF235" s="243"/>
      <c r="ALG235" s="243"/>
      <c r="ALH235" s="243"/>
      <c r="ALI235" s="243"/>
      <c r="ALJ235" s="243"/>
      <c r="ALK235" s="243"/>
      <c r="ALL235" s="243"/>
      <c r="ALM235" s="243"/>
      <c r="ALN235" s="243"/>
      <c r="ALO235" s="243"/>
      <c r="ALP235" s="243"/>
      <c r="ALQ235" s="243"/>
      <c r="ALR235" s="243"/>
      <c r="ALS235" s="243"/>
      <c r="ALT235" s="243"/>
      <c r="ALU235" s="243"/>
      <c r="ALV235" s="243"/>
      <c r="ALW235" s="243"/>
      <c r="ALX235" s="243"/>
      <c r="ALY235" s="243"/>
      <c r="ALZ235" s="243"/>
      <c r="AMA235" s="243"/>
      <c r="AMB235" s="243"/>
      <c r="AMC235" s="243"/>
      <c r="AMD235" s="243"/>
      <c r="AME235" s="243"/>
      <c r="AMF235" s="243"/>
      <c r="AMG235" s="243"/>
      <c r="AMH235" s="243"/>
      <c r="AMI235" s="244"/>
      <c r="AMJ235" s="244"/>
    </row>
    <row r="236" spans="1:1024">
      <c r="A236" s="911"/>
      <c r="B236" s="403"/>
      <c r="C236" s="404"/>
      <c r="D236" s="405" t="s">
        <v>126</v>
      </c>
      <c r="E236" s="406"/>
      <c r="F236" s="403"/>
      <c r="G236" s="403"/>
      <c r="H236" s="407" t="s">
        <v>47</v>
      </c>
      <c r="I236" s="407" t="s">
        <v>138</v>
      </c>
      <c r="J236" s="407"/>
      <c r="K236" s="407"/>
      <c r="L236" s="506" t="s">
        <v>143</v>
      </c>
      <c r="M236" s="396"/>
      <c r="N236" s="396"/>
      <c r="O236" s="377"/>
      <c r="P236" s="377"/>
      <c r="Q236" s="507">
        <f>SUM(Q230:Q235)</f>
        <v>360000</v>
      </c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  <c r="AC236" s="243"/>
      <c r="AD236" s="243"/>
      <c r="AE236" s="243"/>
      <c r="AF236" s="243"/>
      <c r="AG236" s="243"/>
      <c r="AH236" s="243"/>
      <c r="AI236" s="243"/>
      <c r="AJ236" s="243"/>
      <c r="AK236" s="243"/>
      <c r="AL236" s="243"/>
      <c r="AM236" s="243"/>
      <c r="AN236" s="243"/>
      <c r="AO236" s="243"/>
      <c r="AP236" s="243"/>
      <c r="AQ236" s="243"/>
      <c r="AR236" s="243"/>
      <c r="AS236" s="243"/>
      <c r="AT236" s="243"/>
      <c r="AU236" s="243"/>
      <c r="AV236" s="243"/>
      <c r="AW236" s="243"/>
      <c r="AX236" s="243"/>
      <c r="AY236" s="243"/>
      <c r="AZ236" s="243"/>
      <c r="BA236" s="243"/>
      <c r="BB236" s="243"/>
      <c r="BC236" s="243"/>
      <c r="BD236" s="243"/>
      <c r="BE236" s="243"/>
      <c r="BF236" s="243"/>
      <c r="BG236" s="243"/>
      <c r="BH236" s="243"/>
      <c r="BI236" s="243"/>
      <c r="BJ236" s="243"/>
      <c r="BK236" s="243"/>
      <c r="BL236" s="243"/>
      <c r="BM236" s="243"/>
      <c r="BN236" s="243"/>
      <c r="BO236" s="243"/>
      <c r="BP236" s="243"/>
      <c r="BQ236" s="243"/>
      <c r="BR236" s="243"/>
      <c r="BS236" s="243"/>
      <c r="BT236" s="243"/>
      <c r="BU236" s="243"/>
      <c r="BV236" s="243"/>
      <c r="BW236" s="243"/>
      <c r="BX236" s="243"/>
      <c r="BY236" s="243"/>
      <c r="BZ236" s="243"/>
      <c r="CA236" s="243"/>
      <c r="CB236" s="243"/>
      <c r="CC236" s="243"/>
      <c r="CD236" s="243"/>
      <c r="CE236" s="243"/>
      <c r="CF236" s="243"/>
      <c r="CG236" s="243"/>
      <c r="CH236" s="243"/>
      <c r="CI236" s="243"/>
      <c r="CJ236" s="243"/>
      <c r="CK236" s="243"/>
      <c r="CL236" s="243"/>
      <c r="CM236" s="243"/>
      <c r="CN236" s="243"/>
      <c r="CO236" s="243"/>
      <c r="CP236" s="243"/>
      <c r="CQ236" s="243"/>
      <c r="CR236" s="243"/>
      <c r="CS236" s="243"/>
      <c r="CT236" s="243"/>
      <c r="CU236" s="243"/>
      <c r="CV236" s="243"/>
      <c r="CW236" s="243"/>
      <c r="CX236" s="243"/>
      <c r="CY236" s="243"/>
      <c r="CZ236" s="243"/>
      <c r="DA236" s="243"/>
      <c r="DB236" s="243"/>
      <c r="DC236" s="243"/>
      <c r="DD236" s="243"/>
      <c r="DE236" s="243"/>
      <c r="DF236" s="243"/>
      <c r="DG236" s="243"/>
      <c r="DH236" s="243"/>
      <c r="DI236" s="243"/>
      <c r="DJ236" s="243"/>
      <c r="DK236" s="243"/>
      <c r="DL236" s="243"/>
      <c r="DM236" s="243"/>
      <c r="DN236" s="243"/>
      <c r="DO236" s="243"/>
      <c r="DP236" s="243"/>
      <c r="DQ236" s="243"/>
      <c r="DR236" s="243"/>
      <c r="DS236" s="243"/>
      <c r="DT236" s="243"/>
      <c r="DU236" s="243"/>
      <c r="DV236" s="243"/>
      <c r="DW236" s="243"/>
      <c r="DX236" s="243"/>
      <c r="DY236" s="243"/>
      <c r="DZ236" s="243"/>
      <c r="EA236" s="243"/>
      <c r="EB236" s="243"/>
      <c r="EC236" s="243"/>
      <c r="ED236" s="243"/>
      <c r="EE236" s="243"/>
      <c r="EF236" s="243"/>
      <c r="EG236" s="243"/>
      <c r="EH236" s="243"/>
      <c r="EI236" s="243"/>
      <c r="EJ236" s="243"/>
      <c r="EK236" s="243"/>
      <c r="EL236" s="243"/>
      <c r="EM236" s="243"/>
      <c r="EN236" s="243"/>
      <c r="EO236" s="243"/>
      <c r="EP236" s="243"/>
      <c r="EQ236" s="243"/>
      <c r="ER236" s="243"/>
      <c r="ES236" s="243"/>
      <c r="ET236" s="243"/>
      <c r="EU236" s="243"/>
      <c r="EV236" s="243"/>
      <c r="EW236" s="243"/>
      <c r="EX236" s="243"/>
      <c r="EY236" s="243"/>
      <c r="EZ236" s="243"/>
      <c r="FA236" s="243"/>
      <c r="FB236" s="243"/>
      <c r="FC236" s="243"/>
      <c r="FD236" s="243"/>
      <c r="FE236" s="243"/>
      <c r="FF236" s="243"/>
      <c r="FG236" s="243"/>
      <c r="FH236" s="243"/>
      <c r="FI236" s="243"/>
      <c r="FJ236" s="243"/>
      <c r="FK236" s="243"/>
      <c r="FL236" s="243"/>
      <c r="FM236" s="243"/>
      <c r="FN236" s="243"/>
      <c r="FO236" s="243"/>
      <c r="FP236" s="243"/>
      <c r="FQ236" s="243"/>
      <c r="FR236" s="243"/>
      <c r="FS236" s="243"/>
      <c r="FT236" s="243"/>
      <c r="FU236" s="243"/>
      <c r="FV236" s="243"/>
      <c r="FW236" s="243"/>
      <c r="FX236" s="243"/>
      <c r="FY236" s="243"/>
      <c r="FZ236" s="243"/>
      <c r="GA236" s="243"/>
      <c r="GB236" s="243"/>
      <c r="GC236" s="243"/>
      <c r="GD236" s="243"/>
      <c r="GE236" s="243"/>
      <c r="GF236" s="243"/>
      <c r="GG236" s="243"/>
      <c r="GH236" s="243"/>
      <c r="GI236" s="243"/>
      <c r="GJ236" s="243"/>
      <c r="GK236" s="243"/>
      <c r="GL236" s="243"/>
      <c r="GM236" s="243"/>
      <c r="GN236" s="243"/>
      <c r="GO236" s="243"/>
      <c r="GP236" s="243"/>
      <c r="GQ236" s="243"/>
      <c r="GR236" s="243"/>
      <c r="GS236" s="243"/>
      <c r="GT236" s="243"/>
      <c r="GU236" s="243"/>
      <c r="GV236" s="243"/>
      <c r="GW236" s="243"/>
      <c r="GX236" s="243"/>
      <c r="GY236" s="243"/>
      <c r="GZ236" s="243"/>
      <c r="HA236" s="243"/>
      <c r="HB236" s="243"/>
      <c r="HC236" s="243"/>
      <c r="HD236" s="243"/>
      <c r="HE236" s="243"/>
      <c r="HF236" s="243"/>
      <c r="HG236" s="243"/>
      <c r="HH236" s="243"/>
      <c r="HI236" s="243"/>
      <c r="HJ236" s="243"/>
      <c r="HK236" s="243"/>
      <c r="HL236" s="243"/>
      <c r="HM236" s="243"/>
      <c r="HN236" s="243"/>
      <c r="HO236" s="243"/>
      <c r="HP236" s="243"/>
      <c r="HQ236" s="243"/>
      <c r="HR236" s="243"/>
      <c r="HS236" s="243"/>
      <c r="HT236" s="243"/>
      <c r="HU236" s="243"/>
      <c r="HV236" s="243"/>
      <c r="HW236" s="243"/>
      <c r="HX236" s="243"/>
      <c r="HY236" s="243"/>
      <c r="HZ236" s="243"/>
      <c r="IA236" s="243"/>
      <c r="IB236" s="243"/>
      <c r="IC236" s="243"/>
      <c r="ID236" s="243"/>
      <c r="IE236" s="243"/>
      <c r="IF236" s="243"/>
      <c r="IG236" s="243"/>
      <c r="IH236" s="243"/>
      <c r="II236" s="243"/>
      <c r="IJ236" s="243"/>
      <c r="IK236" s="243"/>
      <c r="IL236" s="243"/>
      <c r="IM236" s="243"/>
      <c r="IN236" s="243"/>
      <c r="IO236" s="243"/>
      <c r="IP236" s="243"/>
      <c r="IQ236" s="243"/>
      <c r="IR236" s="243"/>
      <c r="IS236" s="243"/>
      <c r="IT236" s="243"/>
      <c r="IU236" s="243"/>
      <c r="IV236" s="243"/>
      <c r="IW236" s="243"/>
      <c r="IX236" s="243"/>
      <c r="IY236" s="243"/>
      <c r="IZ236" s="243"/>
      <c r="JA236" s="243"/>
      <c r="JB236" s="243"/>
      <c r="JC236" s="243"/>
      <c r="JD236" s="243"/>
      <c r="JE236" s="243"/>
      <c r="JF236" s="243"/>
      <c r="JG236" s="243"/>
      <c r="JH236" s="243"/>
      <c r="JI236" s="243"/>
      <c r="JJ236" s="243"/>
      <c r="JK236" s="243"/>
      <c r="JL236" s="243"/>
      <c r="JM236" s="243"/>
      <c r="JN236" s="243"/>
      <c r="JO236" s="243"/>
      <c r="JP236" s="243"/>
      <c r="JQ236" s="243"/>
      <c r="JR236" s="243"/>
      <c r="JS236" s="243"/>
      <c r="JT236" s="243"/>
      <c r="JU236" s="243"/>
      <c r="JV236" s="243"/>
      <c r="JW236" s="243"/>
      <c r="JX236" s="243"/>
      <c r="JY236" s="243"/>
      <c r="JZ236" s="243"/>
      <c r="KA236" s="243"/>
      <c r="KB236" s="243"/>
      <c r="KC236" s="243"/>
      <c r="KD236" s="243"/>
      <c r="KE236" s="243"/>
      <c r="KF236" s="243"/>
      <c r="KG236" s="243"/>
      <c r="KH236" s="243"/>
      <c r="KI236" s="243"/>
      <c r="KJ236" s="243"/>
      <c r="KK236" s="243"/>
      <c r="KL236" s="243"/>
      <c r="KM236" s="243"/>
      <c r="KN236" s="243"/>
      <c r="KO236" s="243"/>
      <c r="KP236" s="243"/>
      <c r="KQ236" s="243"/>
      <c r="KR236" s="243"/>
      <c r="KS236" s="243"/>
      <c r="KT236" s="243"/>
      <c r="KU236" s="243"/>
      <c r="KV236" s="243"/>
      <c r="KW236" s="243"/>
      <c r="KX236" s="243"/>
      <c r="KY236" s="243"/>
      <c r="KZ236" s="243"/>
      <c r="LA236" s="243"/>
      <c r="LB236" s="243"/>
      <c r="LC236" s="243"/>
      <c r="LD236" s="243"/>
      <c r="LE236" s="243"/>
      <c r="LF236" s="243"/>
      <c r="LG236" s="243"/>
      <c r="LH236" s="243"/>
      <c r="LI236" s="243"/>
      <c r="LJ236" s="243"/>
      <c r="LK236" s="243"/>
      <c r="LL236" s="243"/>
      <c r="LM236" s="243"/>
      <c r="LN236" s="243"/>
      <c r="LO236" s="243"/>
      <c r="LP236" s="243"/>
      <c r="LQ236" s="243"/>
      <c r="LR236" s="243"/>
      <c r="LS236" s="243"/>
      <c r="LT236" s="243"/>
      <c r="LU236" s="243"/>
      <c r="LV236" s="243"/>
      <c r="LW236" s="243"/>
      <c r="LX236" s="243"/>
      <c r="LY236" s="243"/>
      <c r="LZ236" s="243"/>
      <c r="MA236" s="243"/>
      <c r="MB236" s="243"/>
      <c r="MC236" s="243"/>
      <c r="MD236" s="243"/>
      <c r="ME236" s="243"/>
      <c r="MF236" s="243"/>
      <c r="MG236" s="243"/>
      <c r="MH236" s="243"/>
      <c r="MI236" s="243"/>
      <c r="MJ236" s="243"/>
      <c r="MK236" s="243"/>
      <c r="ML236" s="243"/>
      <c r="MM236" s="243"/>
      <c r="MN236" s="243"/>
      <c r="MO236" s="243"/>
      <c r="MP236" s="243"/>
      <c r="MQ236" s="243"/>
      <c r="MR236" s="243"/>
      <c r="MS236" s="243"/>
      <c r="MT236" s="243"/>
      <c r="MU236" s="243"/>
      <c r="MV236" s="243"/>
      <c r="MW236" s="243"/>
      <c r="MX236" s="243"/>
      <c r="MY236" s="243"/>
      <c r="MZ236" s="243"/>
      <c r="NA236" s="243"/>
      <c r="NB236" s="243"/>
      <c r="NC236" s="243"/>
      <c r="ND236" s="243"/>
      <c r="NE236" s="243"/>
      <c r="NF236" s="243"/>
      <c r="NG236" s="243"/>
      <c r="NH236" s="243"/>
      <c r="NI236" s="243"/>
      <c r="NJ236" s="243"/>
      <c r="NK236" s="243"/>
      <c r="NL236" s="243"/>
      <c r="NM236" s="243"/>
      <c r="NN236" s="243"/>
      <c r="NO236" s="243"/>
      <c r="NP236" s="243"/>
      <c r="NQ236" s="243"/>
      <c r="NR236" s="243"/>
      <c r="NS236" s="243"/>
      <c r="NT236" s="243"/>
      <c r="NU236" s="243"/>
      <c r="NV236" s="243"/>
      <c r="NW236" s="243"/>
      <c r="NX236" s="243"/>
      <c r="NY236" s="243"/>
      <c r="NZ236" s="243"/>
      <c r="OA236" s="243"/>
      <c r="OB236" s="243"/>
      <c r="OC236" s="243"/>
      <c r="OD236" s="243"/>
      <c r="OE236" s="243"/>
      <c r="OF236" s="243"/>
      <c r="OG236" s="243"/>
      <c r="OH236" s="243"/>
      <c r="OI236" s="243"/>
      <c r="OJ236" s="243"/>
      <c r="OK236" s="243"/>
      <c r="OL236" s="243"/>
      <c r="OM236" s="243"/>
      <c r="ON236" s="243"/>
      <c r="OO236" s="243"/>
      <c r="OP236" s="243"/>
      <c r="OQ236" s="243"/>
      <c r="OR236" s="243"/>
      <c r="OS236" s="243"/>
      <c r="OT236" s="243"/>
      <c r="OU236" s="243"/>
      <c r="OV236" s="243"/>
      <c r="OW236" s="243"/>
      <c r="OX236" s="243"/>
      <c r="OY236" s="243"/>
      <c r="OZ236" s="243"/>
      <c r="PA236" s="243"/>
      <c r="PB236" s="243"/>
      <c r="PC236" s="243"/>
      <c r="PD236" s="243"/>
      <c r="PE236" s="243"/>
      <c r="PF236" s="243"/>
      <c r="PG236" s="243"/>
      <c r="PH236" s="243"/>
      <c r="PI236" s="243"/>
      <c r="PJ236" s="243"/>
      <c r="PK236" s="243"/>
      <c r="PL236" s="243"/>
      <c r="PM236" s="243"/>
      <c r="PN236" s="243"/>
      <c r="PO236" s="243"/>
      <c r="PP236" s="243"/>
      <c r="PQ236" s="243"/>
      <c r="PR236" s="243"/>
      <c r="PS236" s="243"/>
      <c r="PT236" s="243"/>
      <c r="PU236" s="243"/>
      <c r="PV236" s="243"/>
      <c r="PW236" s="243"/>
      <c r="PX236" s="243"/>
      <c r="PY236" s="243"/>
      <c r="PZ236" s="243"/>
      <c r="QA236" s="243"/>
      <c r="QB236" s="243"/>
      <c r="QC236" s="243"/>
      <c r="QD236" s="243"/>
      <c r="QE236" s="243"/>
      <c r="QF236" s="243"/>
      <c r="QG236" s="243"/>
      <c r="QH236" s="243"/>
      <c r="QI236" s="243"/>
      <c r="QJ236" s="243"/>
      <c r="QK236" s="243"/>
      <c r="QL236" s="243"/>
      <c r="QM236" s="243"/>
      <c r="QN236" s="243"/>
      <c r="QO236" s="243"/>
      <c r="QP236" s="243"/>
      <c r="QQ236" s="243"/>
      <c r="QR236" s="243"/>
      <c r="QS236" s="243"/>
      <c r="QT236" s="243"/>
      <c r="QU236" s="243"/>
      <c r="QV236" s="243"/>
      <c r="QW236" s="243"/>
      <c r="QX236" s="243"/>
      <c r="QY236" s="243"/>
      <c r="QZ236" s="243"/>
      <c r="RA236" s="243"/>
      <c r="RB236" s="243"/>
      <c r="RC236" s="243"/>
      <c r="RD236" s="243"/>
      <c r="RE236" s="243"/>
      <c r="RF236" s="243"/>
      <c r="RG236" s="243"/>
      <c r="RH236" s="243"/>
      <c r="RI236" s="243"/>
      <c r="RJ236" s="243"/>
      <c r="RK236" s="243"/>
      <c r="RL236" s="243"/>
      <c r="RM236" s="243"/>
      <c r="RN236" s="243"/>
      <c r="RO236" s="243"/>
      <c r="RP236" s="243"/>
      <c r="RQ236" s="243"/>
      <c r="RR236" s="243"/>
      <c r="RS236" s="243"/>
      <c r="RT236" s="243"/>
      <c r="RU236" s="243"/>
      <c r="RV236" s="243"/>
      <c r="RW236" s="243"/>
      <c r="RX236" s="243"/>
      <c r="RY236" s="243"/>
      <c r="RZ236" s="243"/>
      <c r="SA236" s="243"/>
      <c r="SB236" s="243"/>
      <c r="SC236" s="243"/>
      <c r="SD236" s="243"/>
      <c r="SE236" s="243"/>
      <c r="SF236" s="243"/>
      <c r="SG236" s="243"/>
      <c r="SH236" s="243"/>
      <c r="SI236" s="243"/>
      <c r="SJ236" s="243"/>
      <c r="SK236" s="243"/>
      <c r="SL236" s="243"/>
      <c r="SM236" s="243"/>
      <c r="SN236" s="243"/>
      <c r="SO236" s="243"/>
      <c r="SP236" s="243"/>
      <c r="SQ236" s="243"/>
      <c r="SR236" s="243"/>
      <c r="SS236" s="243"/>
      <c r="ST236" s="243"/>
      <c r="SU236" s="243"/>
      <c r="SV236" s="243"/>
      <c r="SW236" s="243"/>
      <c r="SX236" s="243"/>
      <c r="SY236" s="243"/>
      <c r="SZ236" s="243"/>
      <c r="TA236" s="243"/>
      <c r="TB236" s="243"/>
      <c r="TC236" s="243"/>
      <c r="TD236" s="243"/>
      <c r="TE236" s="243"/>
      <c r="TF236" s="243"/>
      <c r="TG236" s="243"/>
      <c r="TH236" s="243"/>
      <c r="TI236" s="243"/>
      <c r="TJ236" s="243"/>
      <c r="TK236" s="243"/>
      <c r="TL236" s="243"/>
      <c r="TM236" s="243"/>
      <c r="TN236" s="243"/>
      <c r="TO236" s="243"/>
      <c r="TP236" s="243"/>
      <c r="TQ236" s="243"/>
      <c r="TR236" s="243"/>
      <c r="TS236" s="243"/>
      <c r="TT236" s="243"/>
      <c r="TU236" s="243"/>
      <c r="TV236" s="243"/>
      <c r="TW236" s="243"/>
      <c r="TX236" s="243"/>
      <c r="TY236" s="243"/>
      <c r="TZ236" s="243"/>
      <c r="UA236" s="243"/>
      <c r="UB236" s="243"/>
      <c r="UC236" s="243"/>
      <c r="UD236" s="243"/>
      <c r="UE236" s="243"/>
      <c r="UF236" s="243"/>
      <c r="UG236" s="243"/>
      <c r="UH236" s="243"/>
      <c r="UI236" s="243"/>
      <c r="UJ236" s="243"/>
      <c r="UK236" s="243"/>
      <c r="UL236" s="243"/>
      <c r="UM236" s="243"/>
      <c r="UN236" s="243"/>
      <c r="UO236" s="243"/>
      <c r="UP236" s="243"/>
      <c r="UQ236" s="243"/>
      <c r="UR236" s="243"/>
      <c r="US236" s="243"/>
      <c r="UT236" s="243"/>
      <c r="UU236" s="243"/>
      <c r="UV236" s="243"/>
      <c r="UW236" s="243"/>
      <c r="UX236" s="243"/>
      <c r="UY236" s="243"/>
      <c r="UZ236" s="243"/>
      <c r="VA236" s="243"/>
      <c r="VB236" s="243"/>
      <c r="VC236" s="243"/>
      <c r="VD236" s="243"/>
      <c r="VE236" s="243"/>
      <c r="VF236" s="243"/>
      <c r="VG236" s="243"/>
      <c r="VH236" s="243"/>
      <c r="VI236" s="243"/>
      <c r="VJ236" s="243"/>
      <c r="VK236" s="243"/>
      <c r="VL236" s="243"/>
      <c r="VM236" s="243"/>
      <c r="VN236" s="243"/>
      <c r="VO236" s="243"/>
      <c r="VP236" s="243"/>
      <c r="VQ236" s="243"/>
      <c r="VR236" s="243"/>
      <c r="VS236" s="243"/>
      <c r="VT236" s="243"/>
      <c r="VU236" s="243"/>
      <c r="VV236" s="243"/>
      <c r="VW236" s="243"/>
      <c r="VX236" s="243"/>
      <c r="VY236" s="243"/>
      <c r="VZ236" s="243"/>
      <c r="WA236" s="243"/>
      <c r="WB236" s="243"/>
      <c r="WC236" s="243"/>
      <c r="WD236" s="243"/>
      <c r="WE236" s="243"/>
      <c r="WF236" s="243"/>
      <c r="WG236" s="243"/>
      <c r="WH236" s="243"/>
      <c r="WI236" s="243"/>
      <c r="WJ236" s="243"/>
      <c r="WK236" s="243"/>
      <c r="WL236" s="243"/>
      <c r="WM236" s="243"/>
      <c r="WN236" s="243"/>
      <c r="WO236" s="243"/>
      <c r="WP236" s="243"/>
      <c r="WQ236" s="243"/>
      <c r="WR236" s="243"/>
      <c r="WS236" s="243"/>
      <c r="WT236" s="243"/>
      <c r="WU236" s="243"/>
      <c r="WV236" s="243"/>
      <c r="WW236" s="243"/>
      <c r="WX236" s="243"/>
      <c r="WY236" s="243"/>
      <c r="WZ236" s="243"/>
      <c r="XA236" s="243"/>
      <c r="XB236" s="243"/>
      <c r="XC236" s="243"/>
      <c r="XD236" s="243"/>
      <c r="XE236" s="243"/>
      <c r="XF236" s="243"/>
      <c r="XG236" s="243"/>
      <c r="XH236" s="243"/>
      <c r="XI236" s="243"/>
      <c r="XJ236" s="243"/>
      <c r="XK236" s="243"/>
      <c r="XL236" s="243"/>
      <c r="XM236" s="243"/>
      <c r="XN236" s="243"/>
      <c r="XO236" s="243"/>
      <c r="XP236" s="243"/>
      <c r="XQ236" s="243"/>
      <c r="XR236" s="243"/>
      <c r="XS236" s="243"/>
      <c r="XT236" s="243"/>
      <c r="XU236" s="243"/>
      <c r="XV236" s="243"/>
      <c r="XW236" s="243"/>
      <c r="XX236" s="243"/>
      <c r="XY236" s="243"/>
      <c r="XZ236" s="243"/>
      <c r="YA236" s="243"/>
      <c r="YB236" s="243"/>
      <c r="YC236" s="243"/>
      <c r="YD236" s="243"/>
      <c r="YE236" s="243"/>
      <c r="YF236" s="243"/>
      <c r="YG236" s="243"/>
      <c r="YH236" s="243"/>
      <c r="YI236" s="243"/>
      <c r="YJ236" s="243"/>
      <c r="YK236" s="243"/>
      <c r="YL236" s="243"/>
      <c r="YM236" s="243"/>
      <c r="YN236" s="243"/>
      <c r="YO236" s="243"/>
      <c r="YP236" s="243"/>
      <c r="YQ236" s="243"/>
      <c r="YR236" s="243"/>
      <c r="YS236" s="243"/>
      <c r="YT236" s="243"/>
      <c r="YU236" s="243"/>
      <c r="YV236" s="243"/>
      <c r="YW236" s="243"/>
      <c r="YX236" s="243"/>
      <c r="YY236" s="243"/>
      <c r="YZ236" s="243"/>
      <c r="ZA236" s="243"/>
      <c r="ZB236" s="243"/>
      <c r="ZC236" s="243"/>
      <c r="ZD236" s="243"/>
      <c r="ZE236" s="243"/>
      <c r="ZF236" s="243"/>
      <c r="ZG236" s="243"/>
      <c r="ZH236" s="243"/>
      <c r="ZI236" s="243"/>
      <c r="ZJ236" s="243"/>
      <c r="ZK236" s="243"/>
      <c r="ZL236" s="243"/>
      <c r="ZM236" s="243"/>
      <c r="ZN236" s="243"/>
      <c r="ZO236" s="243"/>
      <c r="ZP236" s="243"/>
      <c r="ZQ236" s="243"/>
      <c r="ZR236" s="243"/>
      <c r="ZS236" s="243"/>
      <c r="ZT236" s="243"/>
      <c r="ZU236" s="243"/>
      <c r="ZV236" s="243"/>
      <c r="ZW236" s="243"/>
      <c r="ZX236" s="243"/>
      <c r="ZY236" s="243"/>
      <c r="ZZ236" s="243"/>
      <c r="AAA236" s="243"/>
      <c r="AAB236" s="243"/>
      <c r="AAC236" s="243"/>
      <c r="AAD236" s="243"/>
      <c r="AAE236" s="243"/>
      <c r="AAF236" s="243"/>
      <c r="AAG236" s="243"/>
      <c r="AAH236" s="243"/>
      <c r="AAI236" s="243"/>
      <c r="AAJ236" s="243"/>
      <c r="AAK236" s="243"/>
      <c r="AAL236" s="243"/>
      <c r="AAM236" s="243"/>
      <c r="AAN236" s="243"/>
      <c r="AAO236" s="243"/>
      <c r="AAP236" s="243"/>
      <c r="AAQ236" s="243"/>
      <c r="AAR236" s="243"/>
      <c r="AAS236" s="243"/>
      <c r="AAT236" s="243"/>
      <c r="AAU236" s="243"/>
      <c r="AAV236" s="243"/>
      <c r="AAW236" s="243"/>
      <c r="AAX236" s="243"/>
      <c r="AAY236" s="243"/>
      <c r="AAZ236" s="243"/>
      <c r="ABA236" s="243"/>
      <c r="ABB236" s="243"/>
      <c r="ABC236" s="243"/>
      <c r="ABD236" s="243"/>
      <c r="ABE236" s="243"/>
      <c r="ABF236" s="243"/>
      <c r="ABG236" s="243"/>
      <c r="ABH236" s="243"/>
      <c r="ABI236" s="243"/>
      <c r="ABJ236" s="243"/>
      <c r="ABK236" s="243"/>
      <c r="ABL236" s="243"/>
      <c r="ABM236" s="243"/>
      <c r="ABN236" s="243"/>
      <c r="ABO236" s="243"/>
      <c r="ABP236" s="243"/>
      <c r="ABQ236" s="243"/>
      <c r="ABR236" s="243"/>
      <c r="ABS236" s="243"/>
      <c r="ABT236" s="243"/>
      <c r="ABU236" s="243"/>
      <c r="ABV236" s="243"/>
      <c r="ABW236" s="243"/>
      <c r="ABX236" s="243"/>
      <c r="ABY236" s="243"/>
      <c r="ABZ236" s="243"/>
      <c r="ACA236" s="243"/>
      <c r="ACB236" s="243"/>
      <c r="ACC236" s="243"/>
      <c r="ACD236" s="243"/>
      <c r="ACE236" s="243"/>
      <c r="ACF236" s="243"/>
      <c r="ACG236" s="243"/>
      <c r="ACH236" s="243"/>
      <c r="ACI236" s="243"/>
      <c r="ACJ236" s="243"/>
      <c r="ACK236" s="243"/>
      <c r="ACL236" s="243"/>
      <c r="ACM236" s="243"/>
      <c r="ACN236" s="243"/>
      <c r="ACO236" s="243"/>
      <c r="ACP236" s="243"/>
      <c r="ACQ236" s="243"/>
      <c r="ACR236" s="243"/>
      <c r="ACS236" s="243"/>
      <c r="ACT236" s="243"/>
      <c r="ACU236" s="243"/>
      <c r="ACV236" s="243"/>
      <c r="ACW236" s="243"/>
      <c r="ACX236" s="243"/>
      <c r="ACY236" s="243"/>
      <c r="ACZ236" s="243"/>
      <c r="ADA236" s="243"/>
      <c r="ADB236" s="243"/>
      <c r="ADC236" s="243"/>
      <c r="ADD236" s="243"/>
      <c r="ADE236" s="243"/>
      <c r="ADF236" s="243"/>
      <c r="ADG236" s="243"/>
      <c r="ADH236" s="243"/>
      <c r="ADI236" s="243"/>
      <c r="ADJ236" s="243"/>
      <c r="ADK236" s="243"/>
      <c r="ADL236" s="243"/>
      <c r="ADM236" s="243"/>
      <c r="ADN236" s="243"/>
      <c r="ADO236" s="243"/>
      <c r="ADP236" s="243"/>
      <c r="ADQ236" s="243"/>
      <c r="ADR236" s="243"/>
      <c r="ADS236" s="243"/>
      <c r="ADT236" s="243"/>
      <c r="ADU236" s="243"/>
      <c r="ADV236" s="243"/>
      <c r="ADW236" s="243"/>
      <c r="ADX236" s="243"/>
      <c r="ADY236" s="243"/>
      <c r="ADZ236" s="243"/>
      <c r="AEA236" s="243"/>
      <c r="AEB236" s="243"/>
      <c r="AEC236" s="243"/>
      <c r="AED236" s="243"/>
      <c r="AEE236" s="243"/>
      <c r="AEF236" s="243"/>
      <c r="AEG236" s="243"/>
      <c r="AEH236" s="243"/>
      <c r="AEI236" s="243"/>
      <c r="AEJ236" s="243"/>
      <c r="AEK236" s="243"/>
      <c r="AEL236" s="243"/>
      <c r="AEM236" s="243"/>
      <c r="AEN236" s="243"/>
      <c r="AEO236" s="243"/>
      <c r="AEP236" s="243"/>
      <c r="AEQ236" s="243"/>
      <c r="AER236" s="243"/>
      <c r="AES236" s="243"/>
      <c r="AET236" s="243"/>
      <c r="AEU236" s="243"/>
      <c r="AEV236" s="243"/>
      <c r="AEW236" s="243"/>
      <c r="AEX236" s="243"/>
      <c r="AEY236" s="243"/>
      <c r="AEZ236" s="243"/>
      <c r="AFA236" s="243"/>
      <c r="AFB236" s="243"/>
      <c r="AFC236" s="243"/>
      <c r="AFD236" s="243"/>
      <c r="AFE236" s="243"/>
      <c r="AFF236" s="243"/>
      <c r="AFG236" s="243"/>
      <c r="AFH236" s="243"/>
      <c r="AFI236" s="243"/>
      <c r="AFJ236" s="243"/>
      <c r="AFK236" s="243"/>
      <c r="AFL236" s="243"/>
      <c r="AFM236" s="243"/>
      <c r="AFN236" s="243"/>
      <c r="AFO236" s="243"/>
      <c r="AFP236" s="243"/>
      <c r="AFQ236" s="243"/>
      <c r="AFR236" s="243"/>
      <c r="AFS236" s="243"/>
      <c r="AFT236" s="243"/>
      <c r="AFU236" s="243"/>
      <c r="AFV236" s="243"/>
      <c r="AFW236" s="243"/>
      <c r="AFX236" s="243"/>
      <c r="AFY236" s="243"/>
      <c r="AFZ236" s="243"/>
      <c r="AGA236" s="243"/>
      <c r="AGB236" s="243"/>
      <c r="AGC236" s="243"/>
      <c r="AGD236" s="243"/>
      <c r="AGE236" s="243"/>
      <c r="AGF236" s="243"/>
      <c r="AGG236" s="243"/>
      <c r="AGH236" s="243"/>
      <c r="AGI236" s="243"/>
      <c r="AGJ236" s="243"/>
      <c r="AGK236" s="243"/>
      <c r="AGL236" s="243"/>
      <c r="AGM236" s="243"/>
      <c r="AGN236" s="243"/>
      <c r="AGO236" s="243"/>
      <c r="AGP236" s="243"/>
      <c r="AGQ236" s="243"/>
      <c r="AGR236" s="243"/>
      <c r="AGS236" s="243"/>
      <c r="AGT236" s="243"/>
      <c r="AGU236" s="243"/>
      <c r="AGV236" s="243"/>
      <c r="AGW236" s="243"/>
      <c r="AGX236" s="243"/>
      <c r="AGY236" s="243"/>
      <c r="AGZ236" s="243"/>
      <c r="AHA236" s="243"/>
      <c r="AHB236" s="243"/>
      <c r="AHC236" s="243"/>
      <c r="AHD236" s="243"/>
      <c r="AHE236" s="243"/>
      <c r="AHF236" s="243"/>
      <c r="AHG236" s="243"/>
      <c r="AHH236" s="243"/>
      <c r="AHI236" s="243"/>
      <c r="AHJ236" s="243"/>
      <c r="AHK236" s="243"/>
      <c r="AHL236" s="243"/>
      <c r="AHM236" s="243"/>
      <c r="AHN236" s="243"/>
      <c r="AHO236" s="243"/>
      <c r="AHP236" s="243"/>
      <c r="AHQ236" s="243"/>
      <c r="AHR236" s="243"/>
      <c r="AHS236" s="243"/>
      <c r="AHT236" s="243"/>
      <c r="AHU236" s="243"/>
      <c r="AHV236" s="243"/>
      <c r="AHW236" s="243"/>
      <c r="AHX236" s="243"/>
      <c r="AHY236" s="243"/>
      <c r="AHZ236" s="243"/>
      <c r="AIA236" s="243"/>
      <c r="AIB236" s="243"/>
      <c r="AIC236" s="243"/>
      <c r="AID236" s="243"/>
      <c r="AIE236" s="243"/>
      <c r="AIF236" s="243"/>
      <c r="AIG236" s="243"/>
      <c r="AIH236" s="243"/>
      <c r="AII236" s="243"/>
      <c r="AIJ236" s="243"/>
      <c r="AIK236" s="243"/>
      <c r="AIL236" s="243"/>
      <c r="AIM236" s="243"/>
      <c r="AIN236" s="243"/>
      <c r="AIO236" s="243"/>
      <c r="AIP236" s="243"/>
      <c r="AIQ236" s="243"/>
      <c r="AIR236" s="243"/>
      <c r="AIS236" s="243"/>
      <c r="AIT236" s="243"/>
      <c r="AIU236" s="243"/>
      <c r="AIV236" s="243"/>
      <c r="AIW236" s="243"/>
      <c r="AIX236" s="243"/>
      <c r="AIY236" s="243"/>
      <c r="AIZ236" s="243"/>
      <c r="AJA236" s="243"/>
      <c r="AJB236" s="243"/>
      <c r="AJC236" s="243"/>
      <c r="AJD236" s="243"/>
      <c r="AJE236" s="243"/>
      <c r="AJF236" s="243"/>
      <c r="AJG236" s="243"/>
      <c r="AJH236" s="243"/>
      <c r="AJI236" s="243"/>
      <c r="AJJ236" s="243"/>
      <c r="AJK236" s="243"/>
      <c r="AJL236" s="243"/>
      <c r="AJM236" s="243"/>
      <c r="AJN236" s="243"/>
      <c r="AJO236" s="243"/>
      <c r="AJP236" s="243"/>
      <c r="AJQ236" s="243"/>
      <c r="AJR236" s="243"/>
      <c r="AJS236" s="243"/>
      <c r="AJT236" s="243"/>
      <c r="AJU236" s="243"/>
      <c r="AJV236" s="243"/>
      <c r="AJW236" s="243"/>
      <c r="AJX236" s="243"/>
      <c r="AJY236" s="243"/>
      <c r="AJZ236" s="243"/>
      <c r="AKA236" s="243"/>
      <c r="AKB236" s="243"/>
      <c r="AKC236" s="243"/>
      <c r="AKD236" s="243"/>
      <c r="AKE236" s="243"/>
      <c r="AKF236" s="243"/>
      <c r="AKG236" s="243"/>
      <c r="AKH236" s="243"/>
      <c r="AKI236" s="243"/>
      <c r="AKJ236" s="243"/>
      <c r="AKK236" s="243"/>
      <c r="AKL236" s="243"/>
      <c r="AKM236" s="243"/>
      <c r="AKN236" s="243"/>
      <c r="AKO236" s="243"/>
      <c r="AKP236" s="243"/>
      <c r="AKQ236" s="243"/>
      <c r="AKR236" s="243"/>
      <c r="AKS236" s="243"/>
      <c r="AKT236" s="243"/>
      <c r="AKU236" s="243"/>
      <c r="AKV236" s="243"/>
      <c r="AKW236" s="243"/>
      <c r="AKX236" s="243"/>
      <c r="AKY236" s="243"/>
      <c r="AKZ236" s="243"/>
      <c r="ALA236" s="243"/>
      <c r="ALB236" s="243"/>
      <c r="ALC236" s="243"/>
      <c r="ALD236" s="243"/>
      <c r="ALE236" s="243"/>
      <c r="ALF236" s="243"/>
      <c r="ALG236" s="243"/>
      <c r="ALH236" s="243"/>
      <c r="ALI236" s="243"/>
      <c r="ALJ236" s="243"/>
      <c r="ALK236" s="243"/>
      <c r="ALL236" s="243"/>
      <c r="ALM236" s="243"/>
      <c r="ALN236" s="243"/>
      <c r="ALO236" s="243"/>
      <c r="ALP236" s="243"/>
      <c r="ALQ236" s="243"/>
      <c r="ALR236" s="243"/>
      <c r="ALS236" s="243"/>
      <c r="ALT236" s="243"/>
      <c r="ALU236" s="243"/>
      <c r="ALV236" s="243"/>
      <c r="ALW236" s="243"/>
      <c r="ALX236" s="243"/>
      <c r="ALY236" s="243"/>
      <c r="ALZ236" s="243"/>
      <c r="AMA236" s="243"/>
      <c r="AMB236" s="243"/>
      <c r="AMC236" s="243"/>
      <c r="AMD236" s="243"/>
      <c r="AME236" s="243"/>
      <c r="AMF236" s="243"/>
      <c r="AMG236" s="243"/>
      <c r="AMH236" s="243"/>
      <c r="AMI236" s="244"/>
      <c r="AMJ236" s="244"/>
    </row>
    <row r="237" spans="1:1024">
      <c r="A237" s="999" t="s">
        <v>26</v>
      </c>
      <c r="B237" s="1000"/>
      <c r="C237" s="1000"/>
      <c r="D237" s="1001"/>
      <c r="E237" s="491">
        <f>SUM(E230:E236)</f>
        <v>19150000</v>
      </c>
      <c r="F237" s="492" t="s">
        <v>26</v>
      </c>
      <c r="G237" s="493">
        <f>G230+G231+G232+G233+G234+G235</f>
        <v>1871000</v>
      </c>
      <c r="H237" s="1010"/>
      <c r="I237" s="1010"/>
      <c r="J237" s="1010"/>
      <c r="K237" s="1010"/>
      <c r="L237" s="1010"/>
      <c r="M237" s="1010"/>
      <c r="N237" s="1003" t="s">
        <v>27</v>
      </c>
      <c r="O237" s="1004"/>
      <c r="P237" s="1005"/>
      <c r="Q237" s="508">
        <f>Q236+G237</f>
        <v>2231000</v>
      </c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  <c r="AC237" s="243"/>
      <c r="AD237" s="243"/>
      <c r="AE237" s="243"/>
      <c r="AF237" s="243"/>
      <c r="AG237" s="243"/>
      <c r="AH237" s="243"/>
      <c r="AI237" s="243"/>
      <c r="AJ237" s="243"/>
      <c r="AK237" s="243"/>
      <c r="AL237" s="243"/>
      <c r="AM237" s="243"/>
      <c r="AN237" s="243"/>
      <c r="AO237" s="243"/>
      <c r="AP237" s="243"/>
      <c r="AQ237" s="243"/>
      <c r="AR237" s="243"/>
      <c r="AS237" s="243"/>
      <c r="AT237" s="243"/>
      <c r="AU237" s="243"/>
      <c r="AV237" s="243"/>
      <c r="AW237" s="243"/>
      <c r="AX237" s="243"/>
      <c r="AY237" s="243"/>
      <c r="AZ237" s="243"/>
      <c r="BA237" s="243"/>
      <c r="BB237" s="243"/>
      <c r="BC237" s="243"/>
      <c r="BD237" s="243"/>
      <c r="BE237" s="243"/>
      <c r="BF237" s="243"/>
      <c r="BG237" s="243"/>
      <c r="BH237" s="243"/>
      <c r="BI237" s="243"/>
      <c r="BJ237" s="243"/>
      <c r="BK237" s="243"/>
      <c r="BL237" s="243"/>
      <c r="BM237" s="243"/>
      <c r="BN237" s="243"/>
      <c r="BO237" s="243"/>
      <c r="BP237" s="243"/>
      <c r="BQ237" s="243"/>
      <c r="BR237" s="243"/>
      <c r="BS237" s="243"/>
      <c r="BT237" s="243"/>
      <c r="BU237" s="243"/>
      <c r="BV237" s="243"/>
      <c r="BW237" s="243"/>
      <c r="BX237" s="243"/>
      <c r="BY237" s="243"/>
      <c r="BZ237" s="243"/>
      <c r="CA237" s="243"/>
      <c r="CB237" s="243"/>
      <c r="CC237" s="243"/>
      <c r="CD237" s="243"/>
      <c r="CE237" s="243"/>
      <c r="CF237" s="243"/>
      <c r="CG237" s="243"/>
      <c r="CH237" s="243"/>
      <c r="CI237" s="243"/>
      <c r="CJ237" s="243"/>
      <c r="CK237" s="243"/>
      <c r="CL237" s="243"/>
      <c r="CM237" s="243"/>
      <c r="CN237" s="243"/>
      <c r="CO237" s="243"/>
      <c r="CP237" s="243"/>
      <c r="CQ237" s="243"/>
      <c r="CR237" s="243"/>
      <c r="CS237" s="243"/>
      <c r="CT237" s="243"/>
      <c r="CU237" s="243"/>
      <c r="CV237" s="243"/>
      <c r="CW237" s="243"/>
      <c r="CX237" s="243"/>
      <c r="CY237" s="243"/>
      <c r="CZ237" s="243"/>
      <c r="DA237" s="243"/>
      <c r="DB237" s="243"/>
      <c r="DC237" s="243"/>
      <c r="DD237" s="243"/>
      <c r="DE237" s="243"/>
      <c r="DF237" s="243"/>
      <c r="DG237" s="243"/>
      <c r="DH237" s="243"/>
      <c r="DI237" s="243"/>
      <c r="DJ237" s="243"/>
      <c r="DK237" s="243"/>
      <c r="DL237" s="243"/>
      <c r="DM237" s="243"/>
      <c r="DN237" s="243"/>
      <c r="DO237" s="243"/>
      <c r="DP237" s="243"/>
      <c r="DQ237" s="243"/>
      <c r="DR237" s="243"/>
      <c r="DS237" s="243"/>
      <c r="DT237" s="243"/>
      <c r="DU237" s="243"/>
      <c r="DV237" s="243"/>
      <c r="DW237" s="243"/>
      <c r="DX237" s="243"/>
      <c r="DY237" s="243"/>
      <c r="DZ237" s="243"/>
      <c r="EA237" s="243"/>
      <c r="EB237" s="243"/>
      <c r="EC237" s="243"/>
      <c r="ED237" s="243"/>
      <c r="EE237" s="243"/>
      <c r="EF237" s="243"/>
      <c r="EG237" s="243"/>
      <c r="EH237" s="243"/>
      <c r="EI237" s="243"/>
      <c r="EJ237" s="243"/>
      <c r="EK237" s="243"/>
      <c r="EL237" s="243"/>
      <c r="EM237" s="243"/>
      <c r="EN237" s="243"/>
      <c r="EO237" s="243"/>
      <c r="EP237" s="243"/>
      <c r="EQ237" s="243"/>
      <c r="ER237" s="243"/>
      <c r="ES237" s="243"/>
      <c r="ET237" s="243"/>
      <c r="EU237" s="243"/>
      <c r="EV237" s="243"/>
      <c r="EW237" s="243"/>
      <c r="EX237" s="243"/>
      <c r="EY237" s="243"/>
      <c r="EZ237" s="243"/>
      <c r="FA237" s="243"/>
      <c r="FB237" s="243"/>
      <c r="FC237" s="243"/>
      <c r="FD237" s="243"/>
      <c r="FE237" s="243"/>
      <c r="FF237" s="243"/>
      <c r="FG237" s="243"/>
      <c r="FH237" s="243"/>
      <c r="FI237" s="243"/>
      <c r="FJ237" s="243"/>
      <c r="FK237" s="243"/>
      <c r="FL237" s="243"/>
      <c r="FM237" s="243"/>
      <c r="FN237" s="243"/>
      <c r="FO237" s="243"/>
      <c r="FP237" s="243"/>
      <c r="FQ237" s="243"/>
      <c r="FR237" s="243"/>
      <c r="FS237" s="243"/>
      <c r="FT237" s="243"/>
      <c r="FU237" s="243"/>
      <c r="FV237" s="243"/>
      <c r="FW237" s="243"/>
      <c r="FX237" s="243"/>
      <c r="FY237" s="243"/>
      <c r="FZ237" s="243"/>
      <c r="GA237" s="243"/>
      <c r="GB237" s="243"/>
      <c r="GC237" s="243"/>
      <c r="GD237" s="243"/>
      <c r="GE237" s="243"/>
      <c r="GF237" s="243"/>
      <c r="GG237" s="243"/>
      <c r="GH237" s="243"/>
      <c r="GI237" s="243"/>
      <c r="GJ237" s="243"/>
      <c r="GK237" s="243"/>
      <c r="GL237" s="243"/>
      <c r="GM237" s="243"/>
      <c r="GN237" s="243"/>
      <c r="GO237" s="243"/>
      <c r="GP237" s="243"/>
      <c r="GQ237" s="243"/>
      <c r="GR237" s="243"/>
      <c r="GS237" s="243"/>
      <c r="GT237" s="243"/>
      <c r="GU237" s="243"/>
      <c r="GV237" s="243"/>
      <c r="GW237" s="243"/>
      <c r="GX237" s="243"/>
      <c r="GY237" s="243"/>
      <c r="GZ237" s="243"/>
      <c r="HA237" s="243"/>
      <c r="HB237" s="243"/>
      <c r="HC237" s="243"/>
      <c r="HD237" s="243"/>
      <c r="HE237" s="243"/>
      <c r="HF237" s="243"/>
      <c r="HG237" s="243"/>
      <c r="HH237" s="243"/>
      <c r="HI237" s="243"/>
      <c r="HJ237" s="243"/>
      <c r="HK237" s="243"/>
      <c r="HL237" s="243"/>
      <c r="HM237" s="243"/>
      <c r="HN237" s="243"/>
      <c r="HO237" s="243"/>
      <c r="HP237" s="243"/>
      <c r="HQ237" s="243"/>
      <c r="HR237" s="243"/>
      <c r="HS237" s="243"/>
      <c r="HT237" s="243"/>
      <c r="HU237" s="243"/>
      <c r="HV237" s="243"/>
      <c r="HW237" s="243"/>
      <c r="HX237" s="243"/>
      <c r="HY237" s="243"/>
      <c r="HZ237" s="243"/>
      <c r="IA237" s="243"/>
      <c r="IB237" s="243"/>
      <c r="IC237" s="243"/>
      <c r="ID237" s="243"/>
      <c r="IE237" s="243"/>
      <c r="IF237" s="243"/>
      <c r="IG237" s="243"/>
      <c r="IH237" s="243"/>
      <c r="II237" s="243"/>
      <c r="IJ237" s="243"/>
      <c r="IK237" s="243"/>
      <c r="IL237" s="243"/>
      <c r="IM237" s="243"/>
      <c r="IN237" s="243"/>
      <c r="IO237" s="243"/>
      <c r="IP237" s="243"/>
      <c r="IQ237" s="243"/>
      <c r="IR237" s="243"/>
      <c r="IS237" s="243"/>
      <c r="IT237" s="243"/>
      <c r="IU237" s="243"/>
      <c r="IV237" s="243"/>
      <c r="IW237" s="243"/>
      <c r="IX237" s="243"/>
      <c r="IY237" s="243"/>
      <c r="IZ237" s="243"/>
      <c r="JA237" s="243"/>
      <c r="JB237" s="243"/>
      <c r="JC237" s="243"/>
      <c r="JD237" s="243"/>
      <c r="JE237" s="243"/>
      <c r="JF237" s="243"/>
      <c r="JG237" s="243"/>
      <c r="JH237" s="243"/>
      <c r="JI237" s="243"/>
      <c r="JJ237" s="243"/>
      <c r="JK237" s="243"/>
      <c r="JL237" s="243"/>
      <c r="JM237" s="243"/>
      <c r="JN237" s="243"/>
      <c r="JO237" s="243"/>
      <c r="JP237" s="243"/>
      <c r="JQ237" s="243"/>
      <c r="JR237" s="243"/>
      <c r="JS237" s="243"/>
      <c r="JT237" s="243"/>
      <c r="JU237" s="243"/>
      <c r="JV237" s="243"/>
      <c r="JW237" s="243"/>
      <c r="JX237" s="243"/>
      <c r="JY237" s="243"/>
      <c r="JZ237" s="243"/>
      <c r="KA237" s="243"/>
      <c r="KB237" s="243"/>
      <c r="KC237" s="243"/>
      <c r="KD237" s="243"/>
      <c r="KE237" s="243"/>
      <c r="KF237" s="243"/>
      <c r="KG237" s="243"/>
      <c r="KH237" s="243"/>
      <c r="KI237" s="243"/>
      <c r="KJ237" s="243"/>
      <c r="KK237" s="243"/>
      <c r="KL237" s="243"/>
      <c r="KM237" s="243"/>
      <c r="KN237" s="243"/>
      <c r="KO237" s="243"/>
      <c r="KP237" s="243"/>
      <c r="KQ237" s="243"/>
      <c r="KR237" s="243"/>
      <c r="KS237" s="243"/>
      <c r="KT237" s="243"/>
      <c r="KU237" s="243"/>
      <c r="KV237" s="243"/>
      <c r="KW237" s="243"/>
      <c r="KX237" s="243"/>
      <c r="KY237" s="243"/>
      <c r="KZ237" s="243"/>
      <c r="LA237" s="243"/>
      <c r="LB237" s="243"/>
      <c r="LC237" s="243"/>
      <c r="LD237" s="243"/>
      <c r="LE237" s="243"/>
      <c r="LF237" s="243"/>
      <c r="LG237" s="243"/>
      <c r="LH237" s="243"/>
      <c r="LI237" s="243"/>
      <c r="LJ237" s="243"/>
      <c r="LK237" s="243"/>
      <c r="LL237" s="243"/>
      <c r="LM237" s="243"/>
      <c r="LN237" s="243"/>
      <c r="LO237" s="243"/>
      <c r="LP237" s="243"/>
      <c r="LQ237" s="243"/>
      <c r="LR237" s="243"/>
      <c r="LS237" s="243"/>
      <c r="LT237" s="243"/>
      <c r="LU237" s="243"/>
      <c r="LV237" s="243"/>
      <c r="LW237" s="243"/>
      <c r="LX237" s="243"/>
      <c r="LY237" s="243"/>
      <c r="LZ237" s="243"/>
      <c r="MA237" s="243"/>
      <c r="MB237" s="243"/>
      <c r="MC237" s="243"/>
      <c r="MD237" s="243"/>
      <c r="ME237" s="243"/>
      <c r="MF237" s="243"/>
      <c r="MG237" s="243"/>
      <c r="MH237" s="243"/>
      <c r="MI237" s="243"/>
      <c r="MJ237" s="243"/>
      <c r="MK237" s="243"/>
      <c r="ML237" s="243"/>
      <c r="MM237" s="243"/>
      <c r="MN237" s="243"/>
      <c r="MO237" s="243"/>
      <c r="MP237" s="243"/>
      <c r="MQ237" s="243"/>
      <c r="MR237" s="243"/>
      <c r="MS237" s="243"/>
      <c r="MT237" s="243"/>
      <c r="MU237" s="243"/>
      <c r="MV237" s="243"/>
      <c r="MW237" s="243"/>
      <c r="MX237" s="243"/>
      <c r="MY237" s="243"/>
      <c r="MZ237" s="243"/>
      <c r="NA237" s="243"/>
      <c r="NB237" s="243"/>
      <c r="NC237" s="243"/>
      <c r="ND237" s="243"/>
      <c r="NE237" s="243"/>
      <c r="NF237" s="243"/>
      <c r="NG237" s="243"/>
      <c r="NH237" s="243"/>
      <c r="NI237" s="243"/>
      <c r="NJ237" s="243"/>
      <c r="NK237" s="243"/>
      <c r="NL237" s="243"/>
      <c r="NM237" s="243"/>
      <c r="NN237" s="243"/>
      <c r="NO237" s="243"/>
      <c r="NP237" s="243"/>
      <c r="NQ237" s="243"/>
      <c r="NR237" s="243"/>
      <c r="NS237" s="243"/>
      <c r="NT237" s="243"/>
      <c r="NU237" s="243"/>
      <c r="NV237" s="243"/>
      <c r="NW237" s="243"/>
      <c r="NX237" s="243"/>
      <c r="NY237" s="243"/>
      <c r="NZ237" s="243"/>
      <c r="OA237" s="243"/>
      <c r="OB237" s="243"/>
      <c r="OC237" s="243"/>
      <c r="OD237" s="243"/>
      <c r="OE237" s="243"/>
      <c r="OF237" s="243"/>
      <c r="OG237" s="243"/>
      <c r="OH237" s="243"/>
      <c r="OI237" s="243"/>
      <c r="OJ237" s="243"/>
      <c r="OK237" s="243"/>
      <c r="OL237" s="243"/>
      <c r="OM237" s="243"/>
      <c r="ON237" s="243"/>
      <c r="OO237" s="243"/>
      <c r="OP237" s="243"/>
      <c r="OQ237" s="243"/>
      <c r="OR237" s="243"/>
      <c r="OS237" s="243"/>
      <c r="OT237" s="243"/>
      <c r="OU237" s="243"/>
      <c r="OV237" s="243"/>
      <c r="OW237" s="243"/>
      <c r="OX237" s="243"/>
      <c r="OY237" s="243"/>
      <c r="OZ237" s="243"/>
      <c r="PA237" s="243"/>
      <c r="PB237" s="243"/>
      <c r="PC237" s="243"/>
      <c r="PD237" s="243"/>
      <c r="PE237" s="243"/>
      <c r="PF237" s="243"/>
      <c r="PG237" s="243"/>
      <c r="PH237" s="243"/>
      <c r="PI237" s="243"/>
      <c r="PJ237" s="243"/>
      <c r="PK237" s="243"/>
      <c r="PL237" s="243"/>
      <c r="PM237" s="243"/>
      <c r="PN237" s="243"/>
      <c r="PO237" s="243"/>
      <c r="PP237" s="243"/>
      <c r="PQ237" s="243"/>
      <c r="PR237" s="243"/>
      <c r="PS237" s="243"/>
      <c r="PT237" s="243"/>
      <c r="PU237" s="243"/>
      <c r="PV237" s="243"/>
      <c r="PW237" s="243"/>
      <c r="PX237" s="243"/>
      <c r="PY237" s="243"/>
      <c r="PZ237" s="243"/>
      <c r="QA237" s="243"/>
      <c r="QB237" s="243"/>
      <c r="QC237" s="243"/>
      <c r="QD237" s="243"/>
      <c r="QE237" s="243"/>
      <c r="QF237" s="243"/>
      <c r="QG237" s="243"/>
      <c r="QH237" s="243"/>
      <c r="QI237" s="243"/>
      <c r="QJ237" s="243"/>
      <c r="QK237" s="243"/>
      <c r="QL237" s="243"/>
      <c r="QM237" s="243"/>
      <c r="QN237" s="243"/>
      <c r="QO237" s="243"/>
      <c r="QP237" s="243"/>
      <c r="QQ237" s="243"/>
      <c r="QR237" s="243"/>
      <c r="QS237" s="243"/>
      <c r="QT237" s="243"/>
      <c r="QU237" s="243"/>
      <c r="QV237" s="243"/>
      <c r="QW237" s="243"/>
      <c r="QX237" s="243"/>
      <c r="QY237" s="243"/>
      <c r="QZ237" s="243"/>
      <c r="RA237" s="243"/>
      <c r="RB237" s="243"/>
      <c r="RC237" s="243"/>
      <c r="RD237" s="243"/>
      <c r="RE237" s="243"/>
      <c r="RF237" s="243"/>
      <c r="RG237" s="243"/>
      <c r="RH237" s="243"/>
      <c r="RI237" s="243"/>
      <c r="RJ237" s="243"/>
      <c r="RK237" s="243"/>
      <c r="RL237" s="243"/>
      <c r="RM237" s="243"/>
      <c r="RN237" s="243"/>
      <c r="RO237" s="243"/>
      <c r="RP237" s="243"/>
      <c r="RQ237" s="243"/>
      <c r="RR237" s="243"/>
      <c r="RS237" s="243"/>
      <c r="RT237" s="243"/>
      <c r="RU237" s="243"/>
      <c r="RV237" s="243"/>
      <c r="RW237" s="243"/>
      <c r="RX237" s="243"/>
      <c r="RY237" s="243"/>
      <c r="RZ237" s="243"/>
      <c r="SA237" s="243"/>
      <c r="SB237" s="243"/>
      <c r="SC237" s="243"/>
      <c r="SD237" s="243"/>
      <c r="SE237" s="243"/>
      <c r="SF237" s="243"/>
      <c r="SG237" s="243"/>
      <c r="SH237" s="243"/>
      <c r="SI237" s="243"/>
      <c r="SJ237" s="243"/>
      <c r="SK237" s="243"/>
      <c r="SL237" s="243"/>
      <c r="SM237" s="243"/>
      <c r="SN237" s="243"/>
      <c r="SO237" s="243"/>
      <c r="SP237" s="243"/>
      <c r="SQ237" s="243"/>
      <c r="SR237" s="243"/>
      <c r="SS237" s="243"/>
      <c r="ST237" s="243"/>
      <c r="SU237" s="243"/>
      <c r="SV237" s="243"/>
      <c r="SW237" s="243"/>
      <c r="SX237" s="243"/>
      <c r="SY237" s="243"/>
      <c r="SZ237" s="243"/>
      <c r="TA237" s="243"/>
      <c r="TB237" s="243"/>
      <c r="TC237" s="243"/>
      <c r="TD237" s="243"/>
      <c r="TE237" s="243"/>
      <c r="TF237" s="243"/>
      <c r="TG237" s="243"/>
      <c r="TH237" s="243"/>
      <c r="TI237" s="243"/>
      <c r="TJ237" s="243"/>
      <c r="TK237" s="243"/>
      <c r="TL237" s="243"/>
      <c r="TM237" s="243"/>
      <c r="TN237" s="243"/>
      <c r="TO237" s="243"/>
      <c r="TP237" s="243"/>
      <c r="TQ237" s="243"/>
      <c r="TR237" s="243"/>
      <c r="TS237" s="243"/>
      <c r="TT237" s="243"/>
      <c r="TU237" s="243"/>
      <c r="TV237" s="243"/>
      <c r="TW237" s="243"/>
      <c r="TX237" s="243"/>
      <c r="TY237" s="243"/>
      <c r="TZ237" s="243"/>
      <c r="UA237" s="243"/>
      <c r="UB237" s="243"/>
      <c r="UC237" s="243"/>
      <c r="UD237" s="243"/>
      <c r="UE237" s="243"/>
      <c r="UF237" s="243"/>
      <c r="UG237" s="243"/>
      <c r="UH237" s="243"/>
      <c r="UI237" s="243"/>
      <c r="UJ237" s="243"/>
      <c r="UK237" s="243"/>
      <c r="UL237" s="243"/>
      <c r="UM237" s="243"/>
      <c r="UN237" s="243"/>
      <c r="UO237" s="243"/>
      <c r="UP237" s="243"/>
      <c r="UQ237" s="243"/>
      <c r="UR237" s="243"/>
      <c r="US237" s="243"/>
      <c r="UT237" s="243"/>
      <c r="UU237" s="243"/>
      <c r="UV237" s="243"/>
      <c r="UW237" s="243"/>
      <c r="UX237" s="243"/>
      <c r="UY237" s="243"/>
      <c r="UZ237" s="243"/>
      <c r="VA237" s="243"/>
      <c r="VB237" s="243"/>
      <c r="VC237" s="243"/>
      <c r="VD237" s="243"/>
      <c r="VE237" s="243"/>
      <c r="VF237" s="243"/>
      <c r="VG237" s="243"/>
      <c r="VH237" s="243"/>
      <c r="VI237" s="243"/>
      <c r="VJ237" s="243"/>
      <c r="VK237" s="243"/>
      <c r="VL237" s="243"/>
      <c r="VM237" s="243"/>
      <c r="VN237" s="243"/>
      <c r="VO237" s="243"/>
      <c r="VP237" s="243"/>
      <c r="VQ237" s="243"/>
      <c r="VR237" s="243"/>
      <c r="VS237" s="243"/>
      <c r="VT237" s="243"/>
      <c r="VU237" s="243"/>
      <c r="VV237" s="243"/>
      <c r="VW237" s="243"/>
      <c r="VX237" s="243"/>
      <c r="VY237" s="243"/>
      <c r="VZ237" s="243"/>
      <c r="WA237" s="243"/>
      <c r="WB237" s="243"/>
      <c r="WC237" s="243"/>
      <c r="WD237" s="243"/>
      <c r="WE237" s="243"/>
      <c r="WF237" s="243"/>
      <c r="WG237" s="243"/>
      <c r="WH237" s="243"/>
      <c r="WI237" s="243"/>
      <c r="WJ237" s="243"/>
      <c r="WK237" s="243"/>
      <c r="WL237" s="243"/>
      <c r="WM237" s="243"/>
      <c r="WN237" s="243"/>
      <c r="WO237" s="243"/>
      <c r="WP237" s="243"/>
      <c r="WQ237" s="243"/>
      <c r="WR237" s="243"/>
      <c r="WS237" s="243"/>
      <c r="WT237" s="243"/>
      <c r="WU237" s="243"/>
      <c r="WV237" s="243"/>
      <c r="WW237" s="243"/>
      <c r="WX237" s="243"/>
      <c r="WY237" s="243"/>
      <c r="WZ237" s="243"/>
      <c r="XA237" s="243"/>
      <c r="XB237" s="243"/>
      <c r="XC237" s="243"/>
      <c r="XD237" s="243"/>
      <c r="XE237" s="243"/>
      <c r="XF237" s="243"/>
      <c r="XG237" s="243"/>
      <c r="XH237" s="243"/>
      <c r="XI237" s="243"/>
      <c r="XJ237" s="243"/>
      <c r="XK237" s="243"/>
      <c r="XL237" s="243"/>
      <c r="XM237" s="243"/>
      <c r="XN237" s="243"/>
      <c r="XO237" s="243"/>
      <c r="XP237" s="243"/>
      <c r="XQ237" s="243"/>
      <c r="XR237" s="243"/>
      <c r="XS237" s="243"/>
      <c r="XT237" s="243"/>
      <c r="XU237" s="243"/>
      <c r="XV237" s="243"/>
      <c r="XW237" s="243"/>
      <c r="XX237" s="243"/>
      <c r="XY237" s="243"/>
      <c r="XZ237" s="243"/>
      <c r="YA237" s="243"/>
      <c r="YB237" s="243"/>
      <c r="YC237" s="243"/>
      <c r="YD237" s="243"/>
      <c r="YE237" s="243"/>
      <c r="YF237" s="243"/>
      <c r="YG237" s="243"/>
      <c r="YH237" s="243"/>
      <c r="YI237" s="243"/>
      <c r="YJ237" s="243"/>
      <c r="YK237" s="243"/>
      <c r="YL237" s="243"/>
      <c r="YM237" s="243"/>
      <c r="YN237" s="243"/>
      <c r="YO237" s="243"/>
      <c r="YP237" s="243"/>
      <c r="YQ237" s="243"/>
      <c r="YR237" s="243"/>
      <c r="YS237" s="243"/>
      <c r="YT237" s="243"/>
      <c r="YU237" s="243"/>
      <c r="YV237" s="243"/>
      <c r="YW237" s="243"/>
      <c r="YX237" s="243"/>
      <c r="YY237" s="243"/>
      <c r="YZ237" s="243"/>
      <c r="ZA237" s="243"/>
      <c r="ZB237" s="243"/>
      <c r="ZC237" s="243"/>
      <c r="ZD237" s="243"/>
      <c r="ZE237" s="243"/>
      <c r="ZF237" s="243"/>
      <c r="ZG237" s="243"/>
      <c r="ZH237" s="243"/>
      <c r="ZI237" s="243"/>
      <c r="ZJ237" s="243"/>
      <c r="ZK237" s="243"/>
      <c r="ZL237" s="243"/>
      <c r="ZM237" s="243"/>
      <c r="ZN237" s="243"/>
      <c r="ZO237" s="243"/>
      <c r="ZP237" s="243"/>
      <c r="ZQ237" s="243"/>
      <c r="ZR237" s="243"/>
      <c r="ZS237" s="243"/>
      <c r="ZT237" s="243"/>
      <c r="ZU237" s="243"/>
      <c r="ZV237" s="243"/>
      <c r="ZW237" s="243"/>
      <c r="ZX237" s="243"/>
      <c r="ZY237" s="243"/>
      <c r="ZZ237" s="243"/>
      <c r="AAA237" s="243"/>
      <c r="AAB237" s="243"/>
      <c r="AAC237" s="243"/>
      <c r="AAD237" s="243"/>
      <c r="AAE237" s="243"/>
      <c r="AAF237" s="243"/>
      <c r="AAG237" s="243"/>
      <c r="AAH237" s="243"/>
      <c r="AAI237" s="243"/>
      <c r="AAJ237" s="243"/>
      <c r="AAK237" s="243"/>
      <c r="AAL237" s="243"/>
      <c r="AAM237" s="243"/>
      <c r="AAN237" s="243"/>
      <c r="AAO237" s="243"/>
      <c r="AAP237" s="243"/>
      <c r="AAQ237" s="243"/>
      <c r="AAR237" s="243"/>
      <c r="AAS237" s="243"/>
      <c r="AAT237" s="243"/>
      <c r="AAU237" s="243"/>
      <c r="AAV237" s="243"/>
      <c r="AAW237" s="243"/>
      <c r="AAX237" s="243"/>
      <c r="AAY237" s="243"/>
      <c r="AAZ237" s="243"/>
      <c r="ABA237" s="243"/>
      <c r="ABB237" s="243"/>
      <c r="ABC237" s="243"/>
      <c r="ABD237" s="243"/>
      <c r="ABE237" s="243"/>
      <c r="ABF237" s="243"/>
      <c r="ABG237" s="243"/>
      <c r="ABH237" s="243"/>
      <c r="ABI237" s="243"/>
      <c r="ABJ237" s="243"/>
      <c r="ABK237" s="243"/>
      <c r="ABL237" s="243"/>
      <c r="ABM237" s="243"/>
      <c r="ABN237" s="243"/>
      <c r="ABO237" s="243"/>
      <c r="ABP237" s="243"/>
      <c r="ABQ237" s="243"/>
      <c r="ABR237" s="243"/>
      <c r="ABS237" s="243"/>
      <c r="ABT237" s="243"/>
      <c r="ABU237" s="243"/>
      <c r="ABV237" s="243"/>
      <c r="ABW237" s="243"/>
      <c r="ABX237" s="243"/>
      <c r="ABY237" s="243"/>
      <c r="ABZ237" s="243"/>
      <c r="ACA237" s="243"/>
      <c r="ACB237" s="243"/>
      <c r="ACC237" s="243"/>
      <c r="ACD237" s="243"/>
      <c r="ACE237" s="243"/>
      <c r="ACF237" s="243"/>
      <c r="ACG237" s="243"/>
      <c r="ACH237" s="243"/>
      <c r="ACI237" s="243"/>
      <c r="ACJ237" s="243"/>
      <c r="ACK237" s="243"/>
      <c r="ACL237" s="243"/>
      <c r="ACM237" s="243"/>
      <c r="ACN237" s="243"/>
      <c r="ACO237" s="243"/>
      <c r="ACP237" s="243"/>
      <c r="ACQ237" s="243"/>
      <c r="ACR237" s="243"/>
      <c r="ACS237" s="243"/>
      <c r="ACT237" s="243"/>
      <c r="ACU237" s="243"/>
      <c r="ACV237" s="243"/>
      <c r="ACW237" s="243"/>
      <c r="ACX237" s="243"/>
      <c r="ACY237" s="243"/>
      <c r="ACZ237" s="243"/>
      <c r="ADA237" s="243"/>
      <c r="ADB237" s="243"/>
      <c r="ADC237" s="243"/>
      <c r="ADD237" s="243"/>
      <c r="ADE237" s="243"/>
      <c r="ADF237" s="243"/>
      <c r="ADG237" s="243"/>
      <c r="ADH237" s="243"/>
      <c r="ADI237" s="243"/>
      <c r="ADJ237" s="243"/>
      <c r="ADK237" s="243"/>
      <c r="ADL237" s="243"/>
      <c r="ADM237" s="243"/>
      <c r="ADN237" s="243"/>
      <c r="ADO237" s="243"/>
      <c r="ADP237" s="243"/>
      <c r="ADQ237" s="243"/>
      <c r="ADR237" s="243"/>
      <c r="ADS237" s="243"/>
      <c r="ADT237" s="243"/>
      <c r="ADU237" s="243"/>
      <c r="ADV237" s="243"/>
      <c r="ADW237" s="243"/>
      <c r="ADX237" s="243"/>
      <c r="ADY237" s="243"/>
      <c r="ADZ237" s="243"/>
      <c r="AEA237" s="243"/>
      <c r="AEB237" s="243"/>
      <c r="AEC237" s="243"/>
      <c r="AED237" s="243"/>
      <c r="AEE237" s="243"/>
      <c r="AEF237" s="243"/>
      <c r="AEG237" s="243"/>
      <c r="AEH237" s="243"/>
      <c r="AEI237" s="243"/>
      <c r="AEJ237" s="243"/>
      <c r="AEK237" s="243"/>
      <c r="AEL237" s="243"/>
      <c r="AEM237" s="243"/>
      <c r="AEN237" s="243"/>
      <c r="AEO237" s="243"/>
      <c r="AEP237" s="243"/>
      <c r="AEQ237" s="243"/>
      <c r="AER237" s="243"/>
      <c r="AES237" s="243"/>
      <c r="AET237" s="243"/>
      <c r="AEU237" s="243"/>
      <c r="AEV237" s="243"/>
      <c r="AEW237" s="243"/>
      <c r="AEX237" s="243"/>
      <c r="AEY237" s="243"/>
      <c r="AEZ237" s="243"/>
      <c r="AFA237" s="243"/>
      <c r="AFB237" s="243"/>
      <c r="AFC237" s="243"/>
      <c r="AFD237" s="243"/>
      <c r="AFE237" s="243"/>
      <c r="AFF237" s="243"/>
      <c r="AFG237" s="243"/>
      <c r="AFH237" s="243"/>
      <c r="AFI237" s="243"/>
      <c r="AFJ237" s="243"/>
      <c r="AFK237" s="243"/>
      <c r="AFL237" s="243"/>
      <c r="AFM237" s="243"/>
      <c r="AFN237" s="243"/>
      <c r="AFO237" s="243"/>
      <c r="AFP237" s="243"/>
      <c r="AFQ237" s="243"/>
      <c r="AFR237" s="243"/>
      <c r="AFS237" s="243"/>
      <c r="AFT237" s="243"/>
      <c r="AFU237" s="243"/>
      <c r="AFV237" s="243"/>
      <c r="AFW237" s="243"/>
      <c r="AFX237" s="243"/>
      <c r="AFY237" s="243"/>
      <c r="AFZ237" s="243"/>
      <c r="AGA237" s="243"/>
      <c r="AGB237" s="243"/>
      <c r="AGC237" s="243"/>
      <c r="AGD237" s="243"/>
      <c r="AGE237" s="243"/>
      <c r="AGF237" s="243"/>
      <c r="AGG237" s="243"/>
      <c r="AGH237" s="243"/>
      <c r="AGI237" s="243"/>
      <c r="AGJ237" s="243"/>
      <c r="AGK237" s="243"/>
      <c r="AGL237" s="243"/>
      <c r="AGM237" s="243"/>
      <c r="AGN237" s="243"/>
      <c r="AGO237" s="243"/>
      <c r="AGP237" s="243"/>
      <c r="AGQ237" s="243"/>
      <c r="AGR237" s="243"/>
      <c r="AGS237" s="243"/>
      <c r="AGT237" s="243"/>
      <c r="AGU237" s="243"/>
      <c r="AGV237" s="243"/>
      <c r="AGW237" s="243"/>
      <c r="AGX237" s="243"/>
      <c r="AGY237" s="243"/>
      <c r="AGZ237" s="243"/>
      <c r="AHA237" s="243"/>
      <c r="AHB237" s="243"/>
      <c r="AHC237" s="243"/>
      <c r="AHD237" s="243"/>
      <c r="AHE237" s="243"/>
      <c r="AHF237" s="243"/>
      <c r="AHG237" s="243"/>
      <c r="AHH237" s="243"/>
      <c r="AHI237" s="243"/>
      <c r="AHJ237" s="243"/>
      <c r="AHK237" s="243"/>
      <c r="AHL237" s="243"/>
      <c r="AHM237" s="243"/>
      <c r="AHN237" s="243"/>
      <c r="AHO237" s="243"/>
      <c r="AHP237" s="243"/>
      <c r="AHQ237" s="243"/>
      <c r="AHR237" s="243"/>
      <c r="AHS237" s="243"/>
      <c r="AHT237" s="243"/>
      <c r="AHU237" s="243"/>
      <c r="AHV237" s="243"/>
      <c r="AHW237" s="243"/>
      <c r="AHX237" s="243"/>
      <c r="AHY237" s="243"/>
      <c r="AHZ237" s="243"/>
      <c r="AIA237" s="243"/>
      <c r="AIB237" s="243"/>
      <c r="AIC237" s="243"/>
      <c r="AID237" s="243"/>
      <c r="AIE237" s="243"/>
      <c r="AIF237" s="243"/>
      <c r="AIG237" s="243"/>
      <c r="AIH237" s="243"/>
      <c r="AII237" s="243"/>
      <c r="AIJ237" s="243"/>
      <c r="AIK237" s="243"/>
      <c r="AIL237" s="243"/>
      <c r="AIM237" s="243"/>
      <c r="AIN237" s="243"/>
      <c r="AIO237" s="243"/>
      <c r="AIP237" s="243"/>
      <c r="AIQ237" s="243"/>
      <c r="AIR237" s="243"/>
      <c r="AIS237" s="243"/>
      <c r="AIT237" s="243"/>
      <c r="AIU237" s="243"/>
      <c r="AIV237" s="243"/>
      <c r="AIW237" s="243"/>
      <c r="AIX237" s="243"/>
      <c r="AIY237" s="243"/>
      <c r="AIZ237" s="243"/>
      <c r="AJA237" s="243"/>
      <c r="AJB237" s="243"/>
      <c r="AJC237" s="243"/>
      <c r="AJD237" s="243"/>
      <c r="AJE237" s="243"/>
      <c r="AJF237" s="243"/>
      <c r="AJG237" s="243"/>
      <c r="AJH237" s="243"/>
      <c r="AJI237" s="243"/>
      <c r="AJJ237" s="243"/>
      <c r="AJK237" s="243"/>
      <c r="AJL237" s="243"/>
      <c r="AJM237" s="243"/>
      <c r="AJN237" s="243"/>
      <c r="AJO237" s="243"/>
      <c r="AJP237" s="243"/>
      <c r="AJQ237" s="243"/>
      <c r="AJR237" s="243"/>
      <c r="AJS237" s="243"/>
      <c r="AJT237" s="243"/>
      <c r="AJU237" s="243"/>
      <c r="AJV237" s="243"/>
      <c r="AJW237" s="243"/>
      <c r="AJX237" s="243"/>
      <c r="AJY237" s="243"/>
      <c r="AJZ237" s="243"/>
      <c r="AKA237" s="243"/>
      <c r="AKB237" s="243"/>
      <c r="AKC237" s="243"/>
      <c r="AKD237" s="243"/>
      <c r="AKE237" s="243"/>
      <c r="AKF237" s="243"/>
      <c r="AKG237" s="243"/>
      <c r="AKH237" s="243"/>
      <c r="AKI237" s="243"/>
      <c r="AKJ237" s="243"/>
      <c r="AKK237" s="243"/>
      <c r="AKL237" s="243"/>
      <c r="AKM237" s="243"/>
      <c r="AKN237" s="243"/>
      <c r="AKO237" s="243"/>
      <c r="AKP237" s="243"/>
      <c r="AKQ237" s="243"/>
      <c r="AKR237" s="243"/>
      <c r="AKS237" s="243"/>
      <c r="AKT237" s="243"/>
      <c r="AKU237" s="243"/>
      <c r="AKV237" s="243"/>
      <c r="AKW237" s="243"/>
      <c r="AKX237" s="243"/>
      <c r="AKY237" s="243"/>
      <c r="AKZ237" s="243"/>
      <c r="ALA237" s="243"/>
      <c r="ALB237" s="243"/>
      <c r="ALC237" s="243"/>
      <c r="ALD237" s="243"/>
      <c r="ALE237" s="243"/>
      <c r="ALF237" s="243"/>
      <c r="ALG237" s="243"/>
      <c r="ALH237" s="243"/>
      <c r="ALI237" s="243"/>
      <c r="ALJ237" s="243"/>
      <c r="ALK237" s="243"/>
      <c r="ALL237" s="243"/>
      <c r="ALM237" s="243"/>
      <c r="ALN237" s="243"/>
      <c r="ALO237" s="243"/>
      <c r="ALP237" s="243"/>
      <c r="ALQ237" s="243"/>
      <c r="ALR237" s="243"/>
      <c r="ALS237" s="243"/>
      <c r="ALT237" s="243"/>
      <c r="ALU237" s="243"/>
      <c r="ALV237" s="243"/>
      <c r="ALW237" s="243"/>
      <c r="ALX237" s="243"/>
      <c r="ALY237" s="243"/>
      <c r="ALZ237" s="243"/>
      <c r="AMA237" s="243"/>
      <c r="AMB237" s="243"/>
      <c r="AMC237" s="243"/>
      <c r="AMD237" s="243"/>
      <c r="AME237" s="243"/>
      <c r="AMF237" s="243"/>
      <c r="AMG237" s="243"/>
      <c r="AMH237" s="243"/>
      <c r="AMI237" s="244"/>
      <c r="AMJ237" s="244"/>
    </row>
    <row r="240" spans="1:1024" ht="19.5" customHeight="1">
      <c r="A240" s="926" t="s">
        <v>163</v>
      </c>
      <c r="B240" s="927"/>
      <c r="C240" s="927"/>
      <c r="D240" s="927"/>
      <c r="E240" s="927"/>
      <c r="F240" s="927"/>
      <c r="G240" s="927"/>
      <c r="H240" s="927"/>
      <c r="I240" s="926" t="s">
        <v>2</v>
      </c>
      <c r="J240" s="927"/>
      <c r="K240" s="927"/>
      <c r="L240" s="927"/>
      <c r="M240" s="927"/>
      <c r="N240" s="927"/>
      <c r="O240" s="927"/>
      <c r="P240" s="927"/>
      <c r="Q240" s="928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  <c r="AH240" s="243"/>
      <c r="AI240" s="243"/>
      <c r="AJ240" s="243"/>
      <c r="AK240" s="243"/>
      <c r="AL240" s="243"/>
      <c r="AM240" s="243"/>
      <c r="AN240" s="243"/>
      <c r="AO240" s="243"/>
      <c r="AP240" s="243"/>
      <c r="AQ240" s="243"/>
      <c r="AR240" s="243"/>
      <c r="AS240" s="243"/>
      <c r="AT240" s="243"/>
      <c r="AU240" s="243"/>
      <c r="AV240" s="243"/>
      <c r="AW240" s="243"/>
      <c r="AX240" s="243"/>
      <c r="AY240" s="243"/>
      <c r="AZ240" s="243"/>
      <c r="BA240" s="243"/>
      <c r="BB240" s="243"/>
      <c r="BC240" s="243"/>
      <c r="BD240" s="243"/>
      <c r="BE240" s="243"/>
      <c r="BF240" s="243"/>
      <c r="BG240" s="243"/>
      <c r="BH240" s="243"/>
      <c r="BI240" s="243"/>
      <c r="BJ240" s="243"/>
      <c r="BK240" s="243"/>
      <c r="BL240" s="243"/>
      <c r="BM240" s="243"/>
      <c r="BN240" s="243"/>
      <c r="BO240" s="243"/>
      <c r="BP240" s="243"/>
      <c r="BQ240" s="243"/>
      <c r="BR240" s="243"/>
      <c r="BS240" s="243"/>
      <c r="BT240" s="243"/>
      <c r="BU240" s="243"/>
      <c r="BV240" s="243"/>
      <c r="BW240" s="243"/>
      <c r="BX240" s="243"/>
      <c r="BY240" s="243"/>
      <c r="BZ240" s="243"/>
      <c r="CA240" s="243"/>
      <c r="CB240" s="243"/>
      <c r="CC240" s="243"/>
      <c r="CD240" s="243"/>
      <c r="CE240" s="243"/>
      <c r="CF240" s="243"/>
      <c r="CG240" s="243"/>
      <c r="CH240" s="243"/>
      <c r="CI240" s="243"/>
      <c r="CJ240" s="243"/>
      <c r="CK240" s="243"/>
      <c r="CL240" s="243"/>
      <c r="CM240" s="243"/>
      <c r="CN240" s="243"/>
      <c r="CO240" s="243"/>
      <c r="CP240" s="243"/>
      <c r="CQ240" s="243"/>
      <c r="CR240" s="243"/>
      <c r="CS240" s="243"/>
      <c r="CT240" s="243"/>
      <c r="CU240" s="243"/>
      <c r="CV240" s="243"/>
      <c r="CW240" s="243"/>
      <c r="CX240" s="243"/>
      <c r="CY240" s="243"/>
      <c r="CZ240" s="243"/>
      <c r="DA240" s="243"/>
      <c r="DB240" s="243"/>
      <c r="DC240" s="243"/>
      <c r="DD240" s="243"/>
      <c r="DE240" s="243"/>
      <c r="DF240" s="243"/>
      <c r="DG240" s="243"/>
      <c r="DH240" s="243"/>
      <c r="DI240" s="243"/>
      <c r="DJ240" s="243"/>
      <c r="DK240" s="243"/>
      <c r="DL240" s="243"/>
      <c r="DM240" s="243"/>
      <c r="DN240" s="243"/>
      <c r="DO240" s="243"/>
      <c r="DP240" s="243"/>
      <c r="DQ240" s="243"/>
      <c r="DR240" s="243"/>
      <c r="DS240" s="243"/>
      <c r="DT240" s="243"/>
      <c r="DU240" s="243"/>
      <c r="DV240" s="243"/>
      <c r="DW240" s="243"/>
      <c r="DX240" s="243"/>
      <c r="DY240" s="243"/>
      <c r="DZ240" s="243"/>
      <c r="EA240" s="243"/>
      <c r="EB240" s="243"/>
      <c r="EC240" s="243"/>
      <c r="ED240" s="243"/>
      <c r="EE240" s="243"/>
      <c r="EF240" s="243"/>
      <c r="EG240" s="243"/>
      <c r="EH240" s="243"/>
      <c r="EI240" s="243"/>
      <c r="EJ240" s="243"/>
      <c r="EK240" s="243"/>
      <c r="EL240" s="243"/>
      <c r="EM240" s="243"/>
      <c r="EN240" s="243"/>
      <c r="EO240" s="243"/>
      <c r="EP240" s="243"/>
      <c r="EQ240" s="243"/>
      <c r="ER240" s="243"/>
      <c r="ES240" s="243"/>
      <c r="ET240" s="243"/>
      <c r="EU240" s="243"/>
      <c r="EV240" s="243"/>
      <c r="EW240" s="243"/>
      <c r="EX240" s="243"/>
      <c r="EY240" s="243"/>
      <c r="EZ240" s="243"/>
      <c r="FA240" s="243"/>
      <c r="FB240" s="243"/>
      <c r="FC240" s="243"/>
      <c r="FD240" s="243"/>
      <c r="FE240" s="243"/>
      <c r="FF240" s="243"/>
      <c r="FG240" s="243"/>
      <c r="FH240" s="243"/>
      <c r="FI240" s="243"/>
      <c r="FJ240" s="243"/>
      <c r="FK240" s="243"/>
      <c r="FL240" s="243"/>
      <c r="FM240" s="243"/>
      <c r="FN240" s="243"/>
      <c r="FO240" s="243"/>
      <c r="FP240" s="243"/>
      <c r="FQ240" s="243"/>
      <c r="FR240" s="243"/>
      <c r="FS240" s="243"/>
      <c r="FT240" s="243"/>
      <c r="FU240" s="243"/>
      <c r="FV240" s="243"/>
      <c r="FW240" s="243"/>
      <c r="FX240" s="243"/>
      <c r="FY240" s="243"/>
      <c r="FZ240" s="243"/>
      <c r="GA240" s="243"/>
      <c r="GB240" s="243"/>
      <c r="GC240" s="243"/>
      <c r="GD240" s="243"/>
      <c r="GE240" s="243"/>
      <c r="GF240" s="243"/>
      <c r="GG240" s="243"/>
      <c r="GH240" s="243"/>
      <c r="GI240" s="243"/>
      <c r="GJ240" s="243"/>
      <c r="GK240" s="243"/>
      <c r="GL240" s="243"/>
      <c r="GM240" s="243"/>
      <c r="GN240" s="243"/>
      <c r="GO240" s="243"/>
      <c r="GP240" s="243"/>
      <c r="GQ240" s="243"/>
      <c r="GR240" s="243"/>
      <c r="GS240" s="243"/>
      <c r="GT240" s="243"/>
      <c r="GU240" s="243"/>
      <c r="GV240" s="243"/>
      <c r="GW240" s="243"/>
      <c r="GX240" s="243"/>
      <c r="GY240" s="243"/>
      <c r="GZ240" s="243"/>
      <c r="HA240" s="243"/>
      <c r="HB240" s="243"/>
      <c r="HC240" s="243"/>
      <c r="HD240" s="243"/>
      <c r="HE240" s="243"/>
      <c r="HF240" s="243"/>
      <c r="HG240" s="243"/>
      <c r="HH240" s="243"/>
      <c r="HI240" s="243"/>
      <c r="HJ240" s="243"/>
      <c r="HK240" s="243"/>
      <c r="HL240" s="243"/>
      <c r="HM240" s="243"/>
      <c r="HN240" s="243"/>
      <c r="HO240" s="243"/>
      <c r="HP240" s="243"/>
      <c r="HQ240" s="243"/>
      <c r="HR240" s="243"/>
      <c r="HS240" s="243"/>
      <c r="HT240" s="243"/>
      <c r="HU240" s="243"/>
      <c r="HV240" s="243"/>
      <c r="HW240" s="243"/>
      <c r="HX240" s="243"/>
      <c r="HY240" s="243"/>
      <c r="HZ240" s="243"/>
      <c r="IA240" s="243"/>
      <c r="IB240" s="243"/>
      <c r="IC240" s="243"/>
      <c r="ID240" s="243"/>
      <c r="IE240" s="243"/>
      <c r="IF240" s="243"/>
      <c r="IG240" s="243"/>
      <c r="IH240" s="243"/>
      <c r="II240" s="243"/>
      <c r="IJ240" s="243"/>
      <c r="IK240" s="243"/>
      <c r="IL240" s="243"/>
      <c r="IM240" s="243"/>
      <c r="IN240" s="243"/>
      <c r="IO240" s="243"/>
      <c r="IP240" s="243"/>
      <c r="IQ240" s="243"/>
      <c r="IR240" s="243"/>
      <c r="IS240" s="243"/>
      <c r="IT240" s="243"/>
      <c r="IU240" s="243"/>
      <c r="IV240" s="243"/>
      <c r="IW240" s="243"/>
      <c r="IX240" s="243"/>
      <c r="IY240" s="243"/>
      <c r="IZ240" s="243"/>
      <c r="JA240" s="243"/>
      <c r="JB240" s="243"/>
      <c r="JC240" s="243"/>
      <c r="JD240" s="243"/>
      <c r="JE240" s="243"/>
      <c r="JF240" s="243"/>
      <c r="JG240" s="243"/>
      <c r="JH240" s="243"/>
      <c r="JI240" s="243"/>
      <c r="JJ240" s="243"/>
      <c r="JK240" s="243"/>
      <c r="JL240" s="243"/>
      <c r="JM240" s="243"/>
      <c r="JN240" s="243"/>
      <c r="JO240" s="243"/>
      <c r="JP240" s="243"/>
      <c r="JQ240" s="243"/>
      <c r="JR240" s="243"/>
      <c r="JS240" s="243"/>
      <c r="JT240" s="243"/>
      <c r="JU240" s="243"/>
      <c r="JV240" s="243"/>
      <c r="JW240" s="243"/>
      <c r="JX240" s="243"/>
      <c r="JY240" s="243"/>
      <c r="JZ240" s="243"/>
      <c r="KA240" s="243"/>
      <c r="KB240" s="243"/>
      <c r="KC240" s="243"/>
      <c r="KD240" s="243"/>
      <c r="KE240" s="243"/>
      <c r="KF240" s="243"/>
      <c r="KG240" s="243"/>
      <c r="KH240" s="243"/>
      <c r="KI240" s="243"/>
      <c r="KJ240" s="243"/>
      <c r="KK240" s="243"/>
      <c r="KL240" s="243"/>
      <c r="KM240" s="243"/>
      <c r="KN240" s="243"/>
      <c r="KO240" s="243"/>
      <c r="KP240" s="243"/>
      <c r="KQ240" s="243"/>
      <c r="KR240" s="243"/>
      <c r="KS240" s="243"/>
      <c r="KT240" s="243"/>
      <c r="KU240" s="243"/>
      <c r="KV240" s="243"/>
      <c r="KW240" s="243"/>
      <c r="KX240" s="243"/>
      <c r="KY240" s="243"/>
      <c r="KZ240" s="243"/>
      <c r="LA240" s="243"/>
      <c r="LB240" s="243"/>
      <c r="LC240" s="243"/>
      <c r="LD240" s="243"/>
      <c r="LE240" s="243"/>
      <c r="LF240" s="243"/>
      <c r="LG240" s="243"/>
      <c r="LH240" s="243"/>
      <c r="LI240" s="243"/>
      <c r="LJ240" s="243"/>
      <c r="LK240" s="243"/>
      <c r="LL240" s="243"/>
      <c r="LM240" s="243"/>
      <c r="LN240" s="243"/>
      <c r="LO240" s="243"/>
      <c r="LP240" s="243"/>
      <c r="LQ240" s="243"/>
      <c r="LR240" s="243"/>
      <c r="LS240" s="243"/>
      <c r="LT240" s="243"/>
      <c r="LU240" s="243"/>
      <c r="LV240" s="243"/>
      <c r="LW240" s="243"/>
      <c r="LX240" s="243"/>
      <c r="LY240" s="243"/>
      <c r="LZ240" s="243"/>
      <c r="MA240" s="243"/>
      <c r="MB240" s="243"/>
      <c r="MC240" s="243"/>
      <c r="MD240" s="243"/>
      <c r="ME240" s="243"/>
      <c r="MF240" s="243"/>
      <c r="MG240" s="243"/>
      <c r="MH240" s="243"/>
      <c r="MI240" s="243"/>
      <c r="MJ240" s="243"/>
      <c r="MK240" s="243"/>
      <c r="ML240" s="243"/>
      <c r="MM240" s="243"/>
      <c r="MN240" s="243"/>
      <c r="MO240" s="243"/>
      <c r="MP240" s="243"/>
      <c r="MQ240" s="243"/>
      <c r="MR240" s="243"/>
      <c r="MS240" s="243"/>
      <c r="MT240" s="243"/>
      <c r="MU240" s="243"/>
      <c r="MV240" s="243"/>
      <c r="MW240" s="243"/>
      <c r="MX240" s="243"/>
      <c r="MY240" s="243"/>
      <c r="MZ240" s="243"/>
      <c r="NA240" s="243"/>
      <c r="NB240" s="243"/>
      <c r="NC240" s="243"/>
      <c r="ND240" s="243"/>
      <c r="NE240" s="243"/>
      <c r="NF240" s="243"/>
      <c r="NG240" s="243"/>
      <c r="NH240" s="243"/>
      <c r="NI240" s="243"/>
      <c r="NJ240" s="243"/>
      <c r="NK240" s="243"/>
      <c r="NL240" s="243"/>
      <c r="NM240" s="243"/>
      <c r="NN240" s="243"/>
      <c r="NO240" s="243"/>
      <c r="NP240" s="243"/>
      <c r="NQ240" s="243"/>
      <c r="NR240" s="243"/>
      <c r="NS240" s="243"/>
      <c r="NT240" s="243"/>
      <c r="NU240" s="243"/>
      <c r="NV240" s="243"/>
      <c r="NW240" s="243"/>
      <c r="NX240" s="243"/>
      <c r="NY240" s="243"/>
      <c r="NZ240" s="243"/>
      <c r="OA240" s="243"/>
      <c r="OB240" s="243"/>
      <c r="OC240" s="243"/>
      <c r="OD240" s="243"/>
      <c r="OE240" s="243"/>
      <c r="OF240" s="243"/>
      <c r="OG240" s="243"/>
      <c r="OH240" s="243"/>
      <c r="OI240" s="243"/>
      <c r="OJ240" s="243"/>
      <c r="OK240" s="243"/>
      <c r="OL240" s="243"/>
      <c r="OM240" s="243"/>
      <c r="ON240" s="243"/>
      <c r="OO240" s="243"/>
      <c r="OP240" s="243"/>
      <c r="OQ240" s="243"/>
      <c r="OR240" s="243"/>
      <c r="OS240" s="243"/>
      <c r="OT240" s="243"/>
      <c r="OU240" s="243"/>
      <c r="OV240" s="243"/>
      <c r="OW240" s="243"/>
      <c r="OX240" s="243"/>
      <c r="OY240" s="243"/>
      <c r="OZ240" s="243"/>
      <c r="PA240" s="243"/>
      <c r="PB240" s="243"/>
      <c r="PC240" s="243"/>
      <c r="PD240" s="243"/>
      <c r="PE240" s="243"/>
      <c r="PF240" s="243"/>
      <c r="PG240" s="243"/>
      <c r="PH240" s="243"/>
      <c r="PI240" s="243"/>
      <c r="PJ240" s="243"/>
      <c r="PK240" s="243"/>
      <c r="PL240" s="243"/>
      <c r="PM240" s="243"/>
      <c r="PN240" s="243"/>
      <c r="PO240" s="243"/>
      <c r="PP240" s="243"/>
      <c r="PQ240" s="243"/>
      <c r="PR240" s="243"/>
      <c r="PS240" s="243"/>
      <c r="PT240" s="243"/>
      <c r="PU240" s="243"/>
      <c r="PV240" s="243"/>
      <c r="PW240" s="243"/>
      <c r="PX240" s="243"/>
      <c r="PY240" s="243"/>
      <c r="PZ240" s="243"/>
      <c r="QA240" s="243"/>
      <c r="QB240" s="243"/>
      <c r="QC240" s="243"/>
      <c r="QD240" s="243"/>
      <c r="QE240" s="243"/>
      <c r="QF240" s="243"/>
      <c r="QG240" s="243"/>
      <c r="QH240" s="243"/>
      <c r="QI240" s="243"/>
      <c r="QJ240" s="243"/>
      <c r="QK240" s="243"/>
      <c r="QL240" s="243"/>
      <c r="QM240" s="243"/>
      <c r="QN240" s="243"/>
      <c r="QO240" s="243"/>
      <c r="QP240" s="243"/>
      <c r="QQ240" s="243"/>
      <c r="QR240" s="243"/>
      <c r="QS240" s="243"/>
      <c r="QT240" s="243"/>
      <c r="QU240" s="243"/>
      <c r="QV240" s="243"/>
      <c r="QW240" s="243"/>
      <c r="QX240" s="243"/>
      <c r="QY240" s="243"/>
      <c r="QZ240" s="243"/>
      <c r="RA240" s="243"/>
      <c r="RB240" s="243"/>
      <c r="RC240" s="243"/>
      <c r="RD240" s="243"/>
      <c r="RE240" s="243"/>
      <c r="RF240" s="243"/>
      <c r="RG240" s="243"/>
      <c r="RH240" s="243"/>
      <c r="RI240" s="243"/>
      <c r="RJ240" s="243"/>
      <c r="RK240" s="243"/>
      <c r="RL240" s="243"/>
      <c r="RM240" s="243"/>
      <c r="RN240" s="243"/>
      <c r="RO240" s="243"/>
      <c r="RP240" s="243"/>
      <c r="RQ240" s="243"/>
      <c r="RR240" s="243"/>
      <c r="RS240" s="243"/>
      <c r="RT240" s="243"/>
      <c r="RU240" s="243"/>
      <c r="RV240" s="243"/>
      <c r="RW240" s="243"/>
      <c r="RX240" s="243"/>
      <c r="RY240" s="243"/>
      <c r="RZ240" s="243"/>
      <c r="SA240" s="243"/>
      <c r="SB240" s="243"/>
      <c r="SC240" s="243"/>
      <c r="SD240" s="243"/>
      <c r="SE240" s="243"/>
      <c r="SF240" s="243"/>
      <c r="SG240" s="243"/>
      <c r="SH240" s="243"/>
      <c r="SI240" s="243"/>
      <c r="SJ240" s="243"/>
      <c r="SK240" s="243"/>
      <c r="SL240" s="243"/>
      <c r="SM240" s="243"/>
      <c r="SN240" s="243"/>
      <c r="SO240" s="243"/>
      <c r="SP240" s="243"/>
      <c r="SQ240" s="243"/>
      <c r="SR240" s="243"/>
      <c r="SS240" s="243"/>
      <c r="ST240" s="243"/>
      <c r="SU240" s="243"/>
      <c r="SV240" s="243"/>
      <c r="SW240" s="243"/>
      <c r="SX240" s="243"/>
      <c r="SY240" s="243"/>
      <c r="SZ240" s="243"/>
      <c r="TA240" s="243"/>
      <c r="TB240" s="243"/>
      <c r="TC240" s="243"/>
      <c r="TD240" s="243"/>
      <c r="TE240" s="243"/>
      <c r="TF240" s="243"/>
      <c r="TG240" s="243"/>
      <c r="TH240" s="243"/>
      <c r="TI240" s="243"/>
      <c r="TJ240" s="243"/>
      <c r="TK240" s="243"/>
      <c r="TL240" s="243"/>
      <c r="TM240" s="243"/>
      <c r="TN240" s="243"/>
      <c r="TO240" s="243"/>
      <c r="TP240" s="243"/>
      <c r="TQ240" s="243"/>
      <c r="TR240" s="243"/>
      <c r="TS240" s="243"/>
      <c r="TT240" s="243"/>
      <c r="TU240" s="243"/>
      <c r="TV240" s="243"/>
      <c r="TW240" s="243"/>
      <c r="TX240" s="243"/>
      <c r="TY240" s="243"/>
      <c r="TZ240" s="243"/>
      <c r="UA240" s="243"/>
      <c r="UB240" s="243"/>
      <c r="UC240" s="243"/>
      <c r="UD240" s="243"/>
      <c r="UE240" s="243"/>
      <c r="UF240" s="243"/>
      <c r="UG240" s="243"/>
      <c r="UH240" s="243"/>
      <c r="UI240" s="243"/>
      <c r="UJ240" s="243"/>
      <c r="UK240" s="243"/>
      <c r="UL240" s="243"/>
      <c r="UM240" s="243"/>
      <c r="UN240" s="243"/>
      <c r="UO240" s="243"/>
      <c r="UP240" s="243"/>
      <c r="UQ240" s="243"/>
      <c r="UR240" s="243"/>
      <c r="US240" s="243"/>
      <c r="UT240" s="243"/>
      <c r="UU240" s="243"/>
      <c r="UV240" s="243"/>
      <c r="UW240" s="243"/>
      <c r="UX240" s="243"/>
      <c r="UY240" s="243"/>
      <c r="UZ240" s="243"/>
      <c r="VA240" s="243"/>
      <c r="VB240" s="243"/>
      <c r="VC240" s="243"/>
      <c r="VD240" s="243"/>
      <c r="VE240" s="243"/>
      <c r="VF240" s="243"/>
      <c r="VG240" s="243"/>
      <c r="VH240" s="243"/>
      <c r="VI240" s="243"/>
      <c r="VJ240" s="243"/>
      <c r="VK240" s="243"/>
      <c r="VL240" s="243"/>
      <c r="VM240" s="243"/>
      <c r="VN240" s="243"/>
      <c r="VO240" s="243"/>
      <c r="VP240" s="243"/>
      <c r="VQ240" s="243"/>
      <c r="VR240" s="243"/>
      <c r="VS240" s="243"/>
      <c r="VT240" s="243"/>
      <c r="VU240" s="243"/>
      <c r="VV240" s="243"/>
      <c r="VW240" s="243"/>
      <c r="VX240" s="243"/>
      <c r="VY240" s="243"/>
      <c r="VZ240" s="243"/>
      <c r="WA240" s="243"/>
      <c r="WB240" s="243"/>
      <c r="WC240" s="243"/>
      <c r="WD240" s="243"/>
      <c r="WE240" s="243"/>
      <c r="WF240" s="243"/>
      <c r="WG240" s="243"/>
      <c r="WH240" s="243"/>
      <c r="WI240" s="243"/>
      <c r="WJ240" s="243"/>
      <c r="WK240" s="243"/>
      <c r="WL240" s="243"/>
      <c r="WM240" s="243"/>
      <c r="WN240" s="243"/>
      <c r="WO240" s="243"/>
      <c r="WP240" s="243"/>
      <c r="WQ240" s="243"/>
      <c r="WR240" s="243"/>
      <c r="WS240" s="243"/>
      <c r="WT240" s="243"/>
      <c r="WU240" s="243"/>
      <c r="WV240" s="243"/>
      <c r="WW240" s="243"/>
      <c r="WX240" s="243"/>
      <c r="WY240" s="243"/>
      <c r="WZ240" s="243"/>
      <c r="XA240" s="243"/>
      <c r="XB240" s="243"/>
      <c r="XC240" s="243"/>
      <c r="XD240" s="243"/>
      <c r="XE240" s="243"/>
      <c r="XF240" s="243"/>
      <c r="XG240" s="243"/>
      <c r="XH240" s="243"/>
      <c r="XI240" s="243"/>
      <c r="XJ240" s="243"/>
      <c r="XK240" s="243"/>
      <c r="XL240" s="243"/>
      <c r="XM240" s="243"/>
      <c r="XN240" s="243"/>
      <c r="XO240" s="243"/>
      <c r="XP240" s="243"/>
      <c r="XQ240" s="243"/>
      <c r="XR240" s="243"/>
      <c r="XS240" s="243"/>
      <c r="XT240" s="243"/>
      <c r="XU240" s="243"/>
      <c r="XV240" s="243"/>
      <c r="XW240" s="243"/>
      <c r="XX240" s="243"/>
      <c r="XY240" s="243"/>
      <c r="XZ240" s="243"/>
      <c r="YA240" s="243"/>
      <c r="YB240" s="243"/>
      <c r="YC240" s="243"/>
      <c r="YD240" s="243"/>
      <c r="YE240" s="243"/>
      <c r="YF240" s="243"/>
      <c r="YG240" s="243"/>
      <c r="YH240" s="243"/>
      <c r="YI240" s="243"/>
      <c r="YJ240" s="243"/>
      <c r="YK240" s="243"/>
      <c r="YL240" s="243"/>
      <c r="YM240" s="243"/>
      <c r="YN240" s="243"/>
      <c r="YO240" s="243"/>
      <c r="YP240" s="243"/>
      <c r="YQ240" s="243"/>
      <c r="YR240" s="243"/>
      <c r="YS240" s="243"/>
      <c r="YT240" s="243"/>
      <c r="YU240" s="243"/>
      <c r="YV240" s="243"/>
      <c r="YW240" s="243"/>
      <c r="YX240" s="243"/>
      <c r="YY240" s="243"/>
      <c r="YZ240" s="243"/>
      <c r="ZA240" s="243"/>
      <c r="ZB240" s="243"/>
      <c r="ZC240" s="243"/>
      <c r="ZD240" s="243"/>
      <c r="ZE240" s="243"/>
      <c r="ZF240" s="243"/>
      <c r="ZG240" s="243"/>
      <c r="ZH240" s="243"/>
      <c r="ZI240" s="243"/>
      <c r="ZJ240" s="243"/>
      <c r="ZK240" s="243"/>
      <c r="ZL240" s="243"/>
      <c r="ZM240" s="243"/>
      <c r="ZN240" s="243"/>
      <c r="ZO240" s="243"/>
      <c r="ZP240" s="243"/>
      <c r="ZQ240" s="243"/>
      <c r="ZR240" s="243"/>
      <c r="ZS240" s="243"/>
      <c r="ZT240" s="243"/>
      <c r="ZU240" s="243"/>
      <c r="ZV240" s="243"/>
      <c r="ZW240" s="243"/>
      <c r="ZX240" s="243"/>
      <c r="ZY240" s="243"/>
      <c r="ZZ240" s="243"/>
      <c r="AAA240" s="243"/>
      <c r="AAB240" s="243"/>
      <c r="AAC240" s="243"/>
      <c r="AAD240" s="243"/>
      <c r="AAE240" s="243"/>
      <c r="AAF240" s="243"/>
      <c r="AAG240" s="243"/>
      <c r="AAH240" s="243"/>
      <c r="AAI240" s="243"/>
      <c r="AAJ240" s="243"/>
      <c r="AAK240" s="243"/>
      <c r="AAL240" s="243"/>
      <c r="AAM240" s="243"/>
      <c r="AAN240" s="243"/>
      <c r="AAO240" s="243"/>
      <c r="AAP240" s="243"/>
      <c r="AAQ240" s="243"/>
      <c r="AAR240" s="243"/>
      <c r="AAS240" s="243"/>
      <c r="AAT240" s="243"/>
      <c r="AAU240" s="243"/>
      <c r="AAV240" s="243"/>
      <c r="AAW240" s="243"/>
      <c r="AAX240" s="243"/>
      <c r="AAY240" s="243"/>
      <c r="AAZ240" s="243"/>
      <c r="ABA240" s="243"/>
      <c r="ABB240" s="243"/>
      <c r="ABC240" s="243"/>
      <c r="ABD240" s="243"/>
      <c r="ABE240" s="243"/>
      <c r="ABF240" s="243"/>
      <c r="ABG240" s="243"/>
      <c r="ABH240" s="243"/>
      <c r="ABI240" s="243"/>
      <c r="ABJ240" s="243"/>
      <c r="ABK240" s="243"/>
      <c r="ABL240" s="243"/>
      <c r="ABM240" s="243"/>
      <c r="ABN240" s="243"/>
      <c r="ABO240" s="243"/>
      <c r="ABP240" s="243"/>
      <c r="ABQ240" s="243"/>
      <c r="ABR240" s="243"/>
      <c r="ABS240" s="243"/>
      <c r="ABT240" s="243"/>
      <c r="ABU240" s="243"/>
      <c r="ABV240" s="243"/>
      <c r="ABW240" s="243"/>
      <c r="ABX240" s="243"/>
      <c r="ABY240" s="243"/>
      <c r="ABZ240" s="243"/>
      <c r="ACA240" s="243"/>
      <c r="ACB240" s="243"/>
      <c r="ACC240" s="243"/>
      <c r="ACD240" s="243"/>
      <c r="ACE240" s="243"/>
      <c r="ACF240" s="243"/>
      <c r="ACG240" s="243"/>
      <c r="ACH240" s="243"/>
      <c r="ACI240" s="243"/>
      <c r="ACJ240" s="243"/>
      <c r="ACK240" s="243"/>
      <c r="ACL240" s="243"/>
      <c r="ACM240" s="243"/>
      <c r="ACN240" s="243"/>
      <c r="ACO240" s="243"/>
      <c r="ACP240" s="243"/>
      <c r="ACQ240" s="243"/>
      <c r="ACR240" s="243"/>
      <c r="ACS240" s="243"/>
      <c r="ACT240" s="243"/>
      <c r="ACU240" s="243"/>
      <c r="ACV240" s="243"/>
      <c r="ACW240" s="243"/>
      <c r="ACX240" s="243"/>
      <c r="ACY240" s="243"/>
      <c r="ACZ240" s="243"/>
      <c r="ADA240" s="243"/>
      <c r="ADB240" s="243"/>
      <c r="ADC240" s="243"/>
      <c r="ADD240" s="243"/>
      <c r="ADE240" s="243"/>
      <c r="ADF240" s="243"/>
      <c r="ADG240" s="243"/>
      <c r="ADH240" s="243"/>
      <c r="ADI240" s="243"/>
      <c r="ADJ240" s="243"/>
      <c r="ADK240" s="243"/>
      <c r="ADL240" s="243"/>
      <c r="ADM240" s="243"/>
      <c r="ADN240" s="243"/>
      <c r="ADO240" s="243"/>
      <c r="ADP240" s="243"/>
      <c r="ADQ240" s="243"/>
      <c r="ADR240" s="243"/>
      <c r="ADS240" s="243"/>
      <c r="ADT240" s="243"/>
      <c r="ADU240" s="243"/>
      <c r="ADV240" s="243"/>
      <c r="ADW240" s="243"/>
      <c r="ADX240" s="243"/>
      <c r="ADY240" s="243"/>
      <c r="ADZ240" s="243"/>
      <c r="AEA240" s="243"/>
      <c r="AEB240" s="243"/>
      <c r="AEC240" s="243"/>
      <c r="AED240" s="243"/>
      <c r="AEE240" s="243"/>
      <c r="AEF240" s="243"/>
      <c r="AEG240" s="243"/>
      <c r="AEH240" s="243"/>
      <c r="AEI240" s="243"/>
      <c r="AEJ240" s="243"/>
      <c r="AEK240" s="243"/>
      <c r="AEL240" s="243"/>
      <c r="AEM240" s="243"/>
      <c r="AEN240" s="243"/>
      <c r="AEO240" s="243"/>
      <c r="AEP240" s="243"/>
      <c r="AEQ240" s="243"/>
      <c r="AER240" s="243"/>
      <c r="AES240" s="243"/>
      <c r="AET240" s="243"/>
      <c r="AEU240" s="243"/>
      <c r="AEV240" s="243"/>
      <c r="AEW240" s="243"/>
      <c r="AEX240" s="243"/>
      <c r="AEY240" s="243"/>
      <c r="AEZ240" s="243"/>
      <c r="AFA240" s="243"/>
      <c r="AFB240" s="243"/>
      <c r="AFC240" s="243"/>
      <c r="AFD240" s="243"/>
      <c r="AFE240" s="243"/>
      <c r="AFF240" s="243"/>
      <c r="AFG240" s="243"/>
      <c r="AFH240" s="243"/>
      <c r="AFI240" s="243"/>
      <c r="AFJ240" s="243"/>
      <c r="AFK240" s="243"/>
      <c r="AFL240" s="243"/>
      <c r="AFM240" s="243"/>
      <c r="AFN240" s="243"/>
      <c r="AFO240" s="243"/>
      <c r="AFP240" s="243"/>
      <c r="AFQ240" s="243"/>
      <c r="AFR240" s="243"/>
      <c r="AFS240" s="243"/>
      <c r="AFT240" s="243"/>
      <c r="AFU240" s="243"/>
      <c r="AFV240" s="243"/>
      <c r="AFW240" s="243"/>
      <c r="AFX240" s="243"/>
      <c r="AFY240" s="243"/>
      <c r="AFZ240" s="243"/>
      <c r="AGA240" s="243"/>
      <c r="AGB240" s="243"/>
      <c r="AGC240" s="243"/>
      <c r="AGD240" s="243"/>
      <c r="AGE240" s="243"/>
      <c r="AGF240" s="243"/>
      <c r="AGG240" s="243"/>
      <c r="AGH240" s="243"/>
      <c r="AGI240" s="243"/>
      <c r="AGJ240" s="243"/>
      <c r="AGK240" s="243"/>
      <c r="AGL240" s="243"/>
      <c r="AGM240" s="243"/>
      <c r="AGN240" s="243"/>
      <c r="AGO240" s="243"/>
      <c r="AGP240" s="243"/>
      <c r="AGQ240" s="243"/>
      <c r="AGR240" s="243"/>
      <c r="AGS240" s="243"/>
      <c r="AGT240" s="243"/>
      <c r="AGU240" s="243"/>
      <c r="AGV240" s="243"/>
      <c r="AGW240" s="243"/>
      <c r="AGX240" s="243"/>
      <c r="AGY240" s="243"/>
      <c r="AGZ240" s="243"/>
      <c r="AHA240" s="243"/>
      <c r="AHB240" s="243"/>
      <c r="AHC240" s="243"/>
      <c r="AHD240" s="243"/>
      <c r="AHE240" s="243"/>
      <c r="AHF240" s="243"/>
      <c r="AHG240" s="243"/>
      <c r="AHH240" s="243"/>
      <c r="AHI240" s="243"/>
      <c r="AHJ240" s="243"/>
      <c r="AHK240" s="243"/>
      <c r="AHL240" s="243"/>
      <c r="AHM240" s="243"/>
      <c r="AHN240" s="243"/>
      <c r="AHO240" s="243"/>
      <c r="AHP240" s="243"/>
      <c r="AHQ240" s="243"/>
      <c r="AHR240" s="243"/>
      <c r="AHS240" s="243"/>
      <c r="AHT240" s="243"/>
      <c r="AHU240" s="243"/>
      <c r="AHV240" s="243"/>
      <c r="AHW240" s="243"/>
      <c r="AHX240" s="243"/>
      <c r="AHY240" s="243"/>
      <c r="AHZ240" s="243"/>
      <c r="AIA240" s="243"/>
      <c r="AIB240" s="243"/>
      <c r="AIC240" s="243"/>
      <c r="AID240" s="243"/>
      <c r="AIE240" s="243"/>
      <c r="AIF240" s="243"/>
      <c r="AIG240" s="243"/>
      <c r="AIH240" s="243"/>
      <c r="AII240" s="243"/>
      <c r="AIJ240" s="243"/>
      <c r="AIK240" s="243"/>
      <c r="AIL240" s="243"/>
      <c r="AIM240" s="243"/>
      <c r="AIN240" s="243"/>
      <c r="AIO240" s="243"/>
      <c r="AIP240" s="243"/>
      <c r="AIQ240" s="243"/>
      <c r="AIR240" s="243"/>
      <c r="AIS240" s="243"/>
      <c r="AIT240" s="243"/>
      <c r="AIU240" s="243"/>
      <c r="AIV240" s="243"/>
      <c r="AIW240" s="243"/>
      <c r="AIX240" s="243"/>
      <c r="AIY240" s="243"/>
      <c r="AIZ240" s="243"/>
      <c r="AJA240" s="243"/>
      <c r="AJB240" s="243"/>
      <c r="AJC240" s="243"/>
      <c r="AJD240" s="243"/>
      <c r="AJE240" s="243"/>
      <c r="AJF240" s="243"/>
      <c r="AJG240" s="243"/>
      <c r="AJH240" s="243"/>
      <c r="AJI240" s="243"/>
      <c r="AJJ240" s="243"/>
      <c r="AJK240" s="243"/>
      <c r="AJL240" s="243"/>
      <c r="AJM240" s="243"/>
      <c r="AJN240" s="243"/>
      <c r="AJO240" s="243"/>
      <c r="AJP240" s="243"/>
      <c r="AJQ240" s="243"/>
      <c r="AJR240" s="243"/>
      <c r="AJS240" s="243"/>
      <c r="AJT240" s="243"/>
      <c r="AJU240" s="243"/>
      <c r="AJV240" s="243"/>
      <c r="AJW240" s="243"/>
      <c r="AJX240" s="243"/>
      <c r="AJY240" s="243"/>
      <c r="AJZ240" s="243"/>
      <c r="AKA240" s="243"/>
      <c r="AKB240" s="243"/>
      <c r="AKC240" s="243"/>
      <c r="AKD240" s="243"/>
      <c r="AKE240" s="243"/>
      <c r="AKF240" s="243"/>
      <c r="AKG240" s="243"/>
      <c r="AKH240" s="243"/>
      <c r="AKI240" s="243"/>
      <c r="AKJ240" s="243"/>
      <c r="AKK240" s="243"/>
      <c r="AKL240" s="243"/>
      <c r="AKM240" s="243"/>
      <c r="AKN240" s="243"/>
      <c r="AKO240" s="243"/>
      <c r="AKP240" s="243"/>
      <c r="AKQ240" s="243"/>
      <c r="AKR240" s="243"/>
      <c r="AKS240" s="243"/>
      <c r="AKT240" s="243"/>
      <c r="AKU240" s="243"/>
      <c r="AKV240" s="243"/>
      <c r="AKW240" s="243"/>
      <c r="AKX240" s="243"/>
      <c r="AKY240" s="243"/>
      <c r="AKZ240" s="243"/>
      <c r="ALA240" s="243"/>
      <c r="ALB240" s="243"/>
      <c r="ALC240" s="243"/>
      <c r="ALD240" s="243"/>
      <c r="ALE240" s="243"/>
      <c r="ALF240" s="243"/>
      <c r="ALG240" s="243"/>
      <c r="ALH240" s="243"/>
      <c r="ALI240" s="243"/>
      <c r="ALJ240" s="243"/>
      <c r="ALK240" s="243"/>
      <c r="ALL240" s="243"/>
      <c r="ALM240" s="243"/>
      <c r="ALN240" s="243"/>
      <c r="ALO240" s="243"/>
      <c r="ALP240" s="243"/>
      <c r="ALQ240" s="243"/>
      <c r="ALR240" s="243"/>
      <c r="ALS240" s="243"/>
      <c r="ALT240" s="243"/>
      <c r="ALU240" s="243"/>
      <c r="ALV240" s="243"/>
      <c r="ALW240" s="243"/>
      <c r="ALX240" s="243"/>
      <c r="ALY240" s="243"/>
      <c r="ALZ240" s="243"/>
      <c r="AMA240" s="243"/>
      <c r="AMB240" s="243"/>
      <c r="AMC240" s="243"/>
      <c r="AMD240" s="243"/>
      <c r="AME240" s="243"/>
      <c r="AMF240" s="243"/>
      <c r="AMG240" s="243"/>
      <c r="AMH240" s="243"/>
      <c r="AMI240" s="244"/>
      <c r="AMJ240" s="244"/>
    </row>
    <row r="241" spans="1:1024" ht="18">
      <c r="A241" s="457" t="s">
        <v>3</v>
      </c>
      <c r="B241" s="457" t="s">
        <v>4</v>
      </c>
      <c r="C241" s="457" t="s">
        <v>5</v>
      </c>
      <c r="D241" s="457" t="s">
        <v>6</v>
      </c>
      <c r="E241" s="457" t="s">
        <v>29</v>
      </c>
      <c r="F241" s="457" t="s">
        <v>8</v>
      </c>
      <c r="G241" s="457" t="s">
        <v>9</v>
      </c>
      <c r="H241" s="457" t="s">
        <v>116</v>
      </c>
      <c r="I241" s="457" t="s">
        <v>12</v>
      </c>
      <c r="J241" s="457" t="s">
        <v>117</v>
      </c>
      <c r="K241" s="457" t="s">
        <v>118</v>
      </c>
      <c r="L241" s="457" t="s">
        <v>119</v>
      </c>
      <c r="M241" s="457" t="s">
        <v>4</v>
      </c>
      <c r="N241" s="457" t="s">
        <v>6</v>
      </c>
      <c r="O241" s="457" t="s">
        <v>29</v>
      </c>
      <c r="P241" s="457" t="s">
        <v>8</v>
      </c>
      <c r="Q241" s="457" t="s">
        <v>120</v>
      </c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  <c r="AH241" s="243"/>
      <c r="AI241" s="243"/>
      <c r="AJ241" s="243"/>
      <c r="AK241" s="243"/>
      <c r="AL241" s="243"/>
      <c r="AM241" s="243"/>
      <c r="AN241" s="243"/>
      <c r="AO241" s="243"/>
      <c r="AP241" s="243"/>
      <c r="AQ241" s="243"/>
      <c r="AR241" s="243"/>
      <c r="AS241" s="243"/>
      <c r="AT241" s="243"/>
      <c r="AU241" s="243"/>
      <c r="AV241" s="243"/>
      <c r="AW241" s="243"/>
      <c r="AX241" s="243"/>
      <c r="AY241" s="243"/>
      <c r="AZ241" s="243"/>
      <c r="BA241" s="243"/>
      <c r="BB241" s="243"/>
      <c r="BC241" s="243"/>
      <c r="BD241" s="243"/>
      <c r="BE241" s="243"/>
      <c r="BF241" s="243"/>
      <c r="BG241" s="243"/>
      <c r="BH241" s="243"/>
      <c r="BI241" s="243"/>
      <c r="BJ241" s="243"/>
      <c r="BK241" s="243"/>
      <c r="BL241" s="243"/>
      <c r="BM241" s="243"/>
      <c r="BN241" s="243"/>
      <c r="BO241" s="243"/>
      <c r="BP241" s="243"/>
      <c r="BQ241" s="243"/>
      <c r="BR241" s="243"/>
      <c r="BS241" s="243"/>
      <c r="BT241" s="243"/>
      <c r="BU241" s="243"/>
      <c r="BV241" s="243"/>
      <c r="BW241" s="243"/>
      <c r="BX241" s="243"/>
      <c r="BY241" s="243"/>
      <c r="BZ241" s="243"/>
      <c r="CA241" s="243"/>
      <c r="CB241" s="243"/>
      <c r="CC241" s="243"/>
      <c r="CD241" s="243"/>
      <c r="CE241" s="243"/>
      <c r="CF241" s="243"/>
      <c r="CG241" s="243"/>
      <c r="CH241" s="243"/>
      <c r="CI241" s="243"/>
      <c r="CJ241" s="243"/>
      <c r="CK241" s="243"/>
      <c r="CL241" s="243"/>
      <c r="CM241" s="243"/>
      <c r="CN241" s="243"/>
      <c r="CO241" s="243"/>
      <c r="CP241" s="243"/>
      <c r="CQ241" s="243"/>
      <c r="CR241" s="243"/>
      <c r="CS241" s="243"/>
      <c r="CT241" s="243"/>
      <c r="CU241" s="243"/>
      <c r="CV241" s="243"/>
      <c r="CW241" s="243"/>
      <c r="CX241" s="243"/>
      <c r="CY241" s="243"/>
      <c r="CZ241" s="243"/>
      <c r="DA241" s="243"/>
      <c r="DB241" s="243"/>
      <c r="DC241" s="243"/>
      <c r="DD241" s="243"/>
      <c r="DE241" s="243"/>
      <c r="DF241" s="243"/>
      <c r="DG241" s="243"/>
      <c r="DH241" s="243"/>
      <c r="DI241" s="243"/>
      <c r="DJ241" s="243"/>
      <c r="DK241" s="243"/>
      <c r="DL241" s="243"/>
      <c r="DM241" s="243"/>
      <c r="DN241" s="243"/>
      <c r="DO241" s="243"/>
      <c r="DP241" s="243"/>
      <c r="DQ241" s="243"/>
      <c r="DR241" s="243"/>
      <c r="DS241" s="243"/>
      <c r="DT241" s="243"/>
      <c r="DU241" s="243"/>
      <c r="DV241" s="243"/>
      <c r="DW241" s="243"/>
      <c r="DX241" s="243"/>
      <c r="DY241" s="243"/>
      <c r="DZ241" s="243"/>
      <c r="EA241" s="243"/>
      <c r="EB241" s="243"/>
      <c r="EC241" s="243"/>
      <c r="ED241" s="243"/>
      <c r="EE241" s="243"/>
      <c r="EF241" s="243"/>
      <c r="EG241" s="243"/>
      <c r="EH241" s="243"/>
      <c r="EI241" s="243"/>
      <c r="EJ241" s="243"/>
      <c r="EK241" s="243"/>
      <c r="EL241" s="243"/>
      <c r="EM241" s="243"/>
      <c r="EN241" s="243"/>
      <c r="EO241" s="243"/>
      <c r="EP241" s="243"/>
      <c r="EQ241" s="243"/>
      <c r="ER241" s="243"/>
      <c r="ES241" s="243"/>
      <c r="ET241" s="243"/>
      <c r="EU241" s="243"/>
      <c r="EV241" s="243"/>
      <c r="EW241" s="243"/>
      <c r="EX241" s="243"/>
      <c r="EY241" s="243"/>
      <c r="EZ241" s="243"/>
      <c r="FA241" s="243"/>
      <c r="FB241" s="243"/>
      <c r="FC241" s="243"/>
      <c r="FD241" s="243"/>
      <c r="FE241" s="243"/>
      <c r="FF241" s="243"/>
      <c r="FG241" s="243"/>
      <c r="FH241" s="243"/>
      <c r="FI241" s="243"/>
      <c r="FJ241" s="243"/>
      <c r="FK241" s="243"/>
      <c r="FL241" s="243"/>
      <c r="FM241" s="243"/>
      <c r="FN241" s="243"/>
      <c r="FO241" s="243"/>
      <c r="FP241" s="243"/>
      <c r="FQ241" s="243"/>
      <c r="FR241" s="243"/>
      <c r="FS241" s="243"/>
      <c r="FT241" s="243"/>
      <c r="FU241" s="243"/>
      <c r="FV241" s="243"/>
      <c r="FW241" s="243"/>
      <c r="FX241" s="243"/>
      <c r="FY241" s="243"/>
      <c r="FZ241" s="243"/>
      <c r="GA241" s="243"/>
      <c r="GB241" s="243"/>
      <c r="GC241" s="243"/>
      <c r="GD241" s="243"/>
      <c r="GE241" s="243"/>
      <c r="GF241" s="243"/>
      <c r="GG241" s="243"/>
      <c r="GH241" s="243"/>
      <c r="GI241" s="243"/>
      <c r="GJ241" s="243"/>
      <c r="GK241" s="243"/>
      <c r="GL241" s="243"/>
      <c r="GM241" s="243"/>
      <c r="GN241" s="243"/>
      <c r="GO241" s="243"/>
      <c r="GP241" s="243"/>
      <c r="GQ241" s="243"/>
      <c r="GR241" s="243"/>
      <c r="GS241" s="243"/>
      <c r="GT241" s="243"/>
      <c r="GU241" s="243"/>
      <c r="GV241" s="243"/>
      <c r="GW241" s="243"/>
      <c r="GX241" s="243"/>
      <c r="GY241" s="243"/>
      <c r="GZ241" s="243"/>
      <c r="HA241" s="243"/>
      <c r="HB241" s="243"/>
      <c r="HC241" s="243"/>
      <c r="HD241" s="243"/>
      <c r="HE241" s="243"/>
      <c r="HF241" s="243"/>
      <c r="HG241" s="243"/>
      <c r="HH241" s="243"/>
      <c r="HI241" s="243"/>
      <c r="HJ241" s="243"/>
      <c r="HK241" s="243"/>
      <c r="HL241" s="243"/>
      <c r="HM241" s="243"/>
      <c r="HN241" s="243"/>
      <c r="HO241" s="243"/>
      <c r="HP241" s="243"/>
      <c r="HQ241" s="243"/>
      <c r="HR241" s="243"/>
      <c r="HS241" s="243"/>
      <c r="HT241" s="243"/>
      <c r="HU241" s="243"/>
      <c r="HV241" s="243"/>
      <c r="HW241" s="243"/>
      <c r="HX241" s="243"/>
      <c r="HY241" s="243"/>
      <c r="HZ241" s="243"/>
      <c r="IA241" s="243"/>
      <c r="IB241" s="243"/>
      <c r="IC241" s="243"/>
      <c r="ID241" s="243"/>
      <c r="IE241" s="243"/>
      <c r="IF241" s="243"/>
      <c r="IG241" s="243"/>
      <c r="IH241" s="243"/>
      <c r="II241" s="243"/>
      <c r="IJ241" s="243"/>
      <c r="IK241" s="243"/>
      <c r="IL241" s="243"/>
      <c r="IM241" s="243"/>
      <c r="IN241" s="243"/>
      <c r="IO241" s="243"/>
      <c r="IP241" s="243"/>
      <c r="IQ241" s="243"/>
      <c r="IR241" s="243"/>
      <c r="IS241" s="243"/>
      <c r="IT241" s="243"/>
      <c r="IU241" s="243"/>
      <c r="IV241" s="243"/>
      <c r="IW241" s="243"/>
      <c r="IX241" s="243"/>
      <c r="IY241" s="243"/>
      <c r="IZ241" s="243"/>
      <c r="JA241" s="243"/>
      <c r="JB241" s="243"/>
      <c r="JC241" s="243"/>
      <c r="JD241" s="243"/>
      <c r="JE241" s="243"/>
      <c r="JF241" s="243"/>
      <c r="JG241" s="243"/>
      <c r="JH241" s="243"/>
      <c r="JI241" s="243"/>
      <c r="JJ241" s="243"/>
      <c r="JK241" s="243"/>
      <c r="JL241" s="243"/>
      <c r="JM241" s="243"/>
      <c r="JN241" s="243"/>
      <c r="JO241" s="243"/>
      <c r="JP241" s="243"/>
      <c r="JQ241" s="243"/>
      <c r="JR241" s="243"/>
      <c r="JS241" s="243"/>
      <c r="JT241" s="243"/>
      <c r="JU241" s="243"/>
      <c r="JV241" s="243"/>
      <c r="JW241" s="243"/>
      <c r="JX241" s="243"/>
      <c r="JY241" s="243"/>
      <c r="JZ241" s="243"/>
      <c r="KA241" s="243"/>
      <c r="KB241" s="243"/>
      <c r="KC241" s="243"/>
      <c r="KD241" s="243"/>
      <c r="KE241" s="243"/>
      <c r="KF241" s="243"/>
      <c r="KG241" s="243"/>
      <c r="KH241" s="243"/>
      <c r="KI241" s="243"/>
      <c r="KJ241" s="243"/>
      <c r="KK241" s="243"/>
      <c r="KL241" s="243"/>
      <c r="KM241" s="243"/>
      <c r="KN241" s="243"/>
      <c r="KO241" s="243"/>
      <c r="KP241" s="243"/>
      <c r="KQ241" s="243"/>
      <c r="KR241" s="243"/>
      <c r="KS241" s="243"/>
      <c r="KT241" s="243"/>
      <c r="KU241" s="243"/>
      <c r="KV241" s="243"/>
      <c r="KW241" s="243"/>
      <c r="KX241" s="243"/>
      <c r="KY241" s="243"/>
      <c r="KZ241" s="243"/>
      <c r="LA241" s="243"/>
      <c r="LB241" s="243"/>
      <c r="LC241" s="243"/>
      <c r="LD241" s="243"/>
      <c r="LE241" s="243"/>
      <c r="LF241" s="243"/>
      <c r="LG241" s="243"/>
      <c r="LH241" s="243"/>
      <c r="LI241" s="243"/>
      <c r="LJ241" s="243"/>
      <c r="LK241" s="243"/>
      <c r="LL241" s="243"/>
      <c r="LM241" s="243"/>
      <c r="LN241" s="243"/>
      <c r="LO241" s="243"/>
      <c r="LP241" s="243"/>
      <c r="LQ241" s="243"/>
      <c r="LR241" s="243"/>
      <c r="LS241" s="243"/>
      <c r="LT241" s="243"/>
      <c r="LU241" s="243"/>
      <c r="LV241" s="243"/>
      <c r="LW241" s="243"/>
      <c r="LX241" s="243"/>
      <c r="LY241" s="243"/>
      <c r="LZ241" s="243"/>
      <c r="MA241" s="243"/>
      <c r="MB241" s="243"/>
      <c r="MC241" s="243"/>
      <c r="MD241" s="243"/>
      <c r="ME241" s="243"/>
      <c r="MF241" s="243"/>
      <c r="MG241" s="243"/>
      <c r="MH241" s="243"/>
      <c r="MI241" s="243"/>
      <c r="MJ241" s="243"/>
      <c r="MK241" s="243"/>
      <c r="ML241" s="243"/>
      <c r="MM241" s="243"/>
      <c r="MN241" s="243"/>
      <c r="MO241" s="243"/>
      <c r="MP241" s="243"/>
      <c r="MQ241" s="243"/>
      <c r="MR241" s="243"/>
      <c r="MS241" s="243"/>
      <c r="MT241" s="243"/>
      <c r="MU241" s="243"/>
      <c r="MV241" s="243"/>
      <c r="MW241" s="243"/>
      <c r="MX241" s="243"/>
      <c r="MY241" s="243"/>
      <c r="MZ241" s="243"/>
      <c r="NA241" s="243"/>
      <c r="NB241" s="243"/>
      <c r="NC241" s="243"/>
      <c r="ND241" s="243"/>
      <c r="NE241" s="243"/>
      <c r="NF241" s="243"/>
      <c r="NG241" s="243"/>
      <c r="NH241" s="243"/>
      <c r="NI241" s="243"/>
      <c r="NJ241" s="243"/>
      <c r="NK241" s="243"/>
      <c r="NL241" s="243"/>
      <c r="NM241" s="243"/>
      <c r="NN241" s="243"/>
      <c r="NO241" s="243"/>
      <c r="NP241" s="243"/>
      <c r="NQ241" s="243"/>
      <c r="NR241" s="243"/>
      <c r="NS241" s="243"/>
      <c r="NT241" s="243"/>
      <c r="NU241" s="243"/>
      <c r="NV241" s="243"/>
      <c r="NW241" s="243"/>
      <c r="NX241" s="243"/>
      <c r="NY241" s="243"/>
      <c r="NZ241" s="243"/>
      <c r="OA241" s="243"/>
      <c r="OB241" s="243"/>
      <c r="OC241" s="243"/>
      <c r="OD241" s="243"/>
      <c r="OE241" s="243"/>
      <c r="OF241" s="243"/>
      <c r="OG241" s="243"/>
      <c r="OH241" s="243"/>
      <c r="OI241" s="243"/>
      <c r="OJ241" s="243"/>
      <c r="OK241" s="243"/>
      <c r="OL241" s="243"/>
      <c r="OM241" s="243"/>
      <c r="ON241" s="243"/>
      <c r="OO241" s="243"/>
      <c r="OP241" s="243"/>
      <c r="OQ241" s="243"/>
      <c r="OR241" s="243"/>
      <c r="OS241" s="243"/>
      <c r="OT241" s="243"/>
      <c r="OU241" s="243"/>
      <c r="OV241" s="243"/>
      <c r="OW241" s="243"/>
      <c r="OX241" s="243"/>
      <c r="OY241" s="243"/>
      <c r="OZ241" s="243"/>
      <c r="PA241" s="243"/>
      <c r="PB241" s="243"/>
      <c r="PC241" s="243"/>
      <c r="PD241" s="243"/>
      <c r="PE241" s="243"/>
      <c r="PF241" s="243"/>
      <c r="PG241" s="243"/>
      <c r="PH241" s="243"/>
      <c r="PI241" s="243"/>
      <c r="PJ241" s="243"/>
      <c r="PK241" s="243"/>
      <c r="PL241" s="243"/>
      <c r="PM241" s="243"/>
      <c r="PN241" s="243"/>
      <c r="PO241" s="243"/>
      <c r="PP241" s="243"/>
      <c r="PQ241" s="243"/>
      <c r="PR241" s="243"/>
      <c r="PS241" s="243"/>
      <c r="PT241" s="243"/>
      <c r="PU241" s="243"/>
      <c r="PV241" s="243"/>
      <c r="PW241" s="243"/>
      <c r="PX241" s="243"/>
      <c r="PY241" s="243"/>
      <c r="PZ241" s="243"/>
      <c r="QA241" s="243"/>
      <c r="QB241" s="243"/>
      <c r="QC241" s="243"/>
      <c r="QD241" s="243"/>
      <c r="QE241" s="243"/>
      <c r="QF241" s="243"/>
      <c r="QG241" s="243"/>
      <c r="QH241" s="243"/>
      <c r="QI241" s="243"/>
      <c r="QJ241" s="243"/>
      <c r="QK241" s="243"/>
      <c r="QL241" s="243"/>
      <c r="QM241" s="243"/>
      <c r="QN241" s="243"/>
      <c r="QO241" s="243"/>
      <c r="QP241" s="243"/>
      <c r="QQ241" s="243"/>
      <c r="QR241" s="243"/>
      <c r="QS241" s="243"/>
      <c r="QT241" s="243"/>
      <c r="QU241" s="243"/>
      <c r="QV241" s="243"/>
      <c r="QW241" s="243"/>
      <c r="QX241" s="243"/>
      <c r="QY241" s="243"/>
      <c r="QZ241" s="243"/>
      <c r="RA241" s="243"/>
      <c r="RB241" s="243"/>
      <c r="RC241" s="243"/>
      <c r="RD241" s="243"/>
      <c r="RE241" s="243"/>
      <c r="RF241" s="243"/>
      <c r="RG241" s="243"/>
      <c r="RH241" s="243"/>
      <c r="RI241" s="243"/>
      <c r="RJ241" s="243"/>
      <c r="RK241" s="243"/>
      <c r="RL241" s="243"/>
      <c r="RM241" s="243"/>
      <c r="RN241" s="243"/>
      <c r="RO241" s="243"/>
      <c r="RP241" s="243"/>
      <c r="RQ241" s="243"/>
      <c r="RR241" s="243"/>
      <c r="RS241" s="243"/>
      <c r="RT241" s="243"/>
      <c r="RU241" s="243"/>
      <c r="RV241" s="243"/>
      <c r="RW241" s="243"/>
      <c r="RX241" s="243"/>
      <c r="RY241" s="243"/>
      <c r="RZ241" s="243"/>
      <c r="SA241" s="243"/>
      <c r="SB241" s="243"/>
      <c r="SC241" s="243"/>
      <c r="SD241" s="243"/>
      <c r="SE241" s="243"/>
      <c r="SF241" s="243"/>
      <c r="SG241" s="243"/>
      <c r="SH241" s="243"/>
      <c r="SI241" s="243"/>
      <c r="SJ241" s="243"/>
      <c r="SK241" s="243"/>
      <c r="SL241" s="243"/>
      <c r="SM241" s="243"/>
      <c r="SN241" s="243"/>
      <c r="SO241" s="243"/>
      <c r="SP241" s="243"/>
      <c r="SQ241" s="243"/>
      <c r="SR241" s="243"/>
      <c r="SS241" s="243"/>
      <c r="ST241" s="243"/>
      <c r="SU241" s="243"/>
      <c r="SV241" s="243"/>
      <c r="SW241" s="243"/>
      <c r="SX241" s="243"/>
      <c r="SY241" s="243"/>
      <c r="SZ241" s="243"/>
      <c r="TA241" s="243"/>
      <c r="TB241" s="243"/>
      <c r="TC241" s="243"/>
      <c r="TD241" s="243"/>
      <c r="TE241" s="243"/>
      <c r="TF241" s="243"/>
      <c r="TG241" s="243"/>
      <c r="TH241" s="243"/>
      <c r="TI241" s="243"/>
      <c r="TJ241" s="243"/>
      <c r="TK241" s="243"/>
      <c r="TL241" s="243"/>
      <c r="TM241" s="243"/>
      <c r="TN241" s="243"/>
      <c r="TO241" s="243"/>
      <c r="TP241" s="243"/>
      <c r="TQ241" s="243"/>
      <c r="TR241" s="243"/>
      <c r="TS241" s="243"/>
      <c r="TT241" s="243"/>
      <c r="TU241" s="243"/>
      <c r="TV241" s="243"/>
      <c r="TW241" s="243"/>
      <c r="TX241" s="243"/>
      <c r="TY241" s="243"/>
      <c r="TZ241" s="243"/>
      <c r="UA241" s="243"/>
      <c r="UB241" s="243"/>
      <c r="UC241" s="243"/>
      <c r="UD241" s="243"/>
      <c r="UE241" s="243"/>
      <c r="UF241" s="243"/>
      <c r="UG241" s="243"/>
      <c r="UH241" s="243"/>
      <c r="UI241" s="243"/>
      <c r="UJ241" s="243"/>
      <c r="UK241" s="243"/>
      <c r="UL241" s="243"/>
      <c r="UM241" s="243"/>
      <c r="UN241" s="243"/>
      <c r="UO241" s="243"/>
      <c r="UP241" s="243"/>
      <c r="UQ241" s="243"/>
      <c r="UR241" s="243"/>
      <c r="US241" s="243"/>
      <c r="UT241" s="243"/>
      <c r="UU241" s="243"/>
      <c r="UV241" s="243"/>
      <c r="UW241" s="243"/>
      <c r="UX241" s="243"/>
      <c r="UY241" s="243"/>
      <c r="UZ241" s="243"/>
      <c r="VA241" s="243"/>
      <c r="VB241" s="243"/>
      <c r="VC241" s="243"/>
      <c r="VD241" s="243"/>
      <c r="VE241" s="243"/>
      <c r="VF241" s="243"/>
      <c r="VG241" s="243"/>
      <c r="VH241" s="243"/>
      <c r="VI241" s="243"/>
      <c r="VJ241" s="243"/>
      <c r="VK241" s="243"/>
      <c r="VL241" s="243"/>
      <c r="VM241" s="243"/>
      <c r="VN241" s="243"/>
      <c r="VO241" s="243"/>
      <c r="VP241" s="243"/>
      <c r="VQ241" s="243"/>
      <c r="VR241" s="243"/>
      <c r="VS241" s="243"/>
      <c r="VT241" s="243"/>
      <c r="VU241" s="243"/>
      <c r="VV241" s="243"/>
      <c r="VW241" s="243"/>
      <c r="VX241" s="243"/>
      <c r="VY241" s="243"/>
      <c r="VZ241" s="243"/>
      <c r="WA241" s="243"/>
      <c r="WB241" s="243"/>
      <c r="WC241" s="243"/>
      <c r="WD241" s="243"/>
      <c r="WE241" s="243"/>
      <c r="WF241" s="243"/>
      <c r="WG241" s="243"/>
      <c r="WH241" s="243"/>
      <c r="WI241" s="243"/>
      <c r="WJ241" s="243"/>
      <c r="WK241" s="243"/>
      <c r="WL241" s="243"/>
      <c r="WM241" s="243"/>
      <c r="WN241" s="243"/>
      <c r="WO241" s="243"/>
      <c r="WP241" s="243"/>
      <c r="WQ241" s="243"/>
      <c r="WR241" s="243"/>
      <c r="WS241" s="243"/>
      <c r="WT241" s="243"/>
      <c r="WU241" s="243"/>
      <c r="WV241" s="243"/>
      <c r="WW241" s="243"/>
      <c r="WX241" s="243"/>
      <c r="WY241" s="243"/>
      <c r="WZ241" s="243"/>
      <c r="XA241" s="243"/>
      <c r="XB241" s="243"/>
      <c r="XC241" s="243"/>
      <c r="XD241" s="243"/>
      <c r="XE241" s="243"/>
      <c r="XF241" s="243"/>
      <c r="XG241" s="243"/>
      <c r="XH241" s="243"/>
      <c r="XI241" s="243"/>
      <c r="XJ241" s="243"/>
      <c r="XK241" s="243"/>
      <c r="XL241" s="243"/>
      <c r="XM241" s="243"/>
      <c r="XN241" s="243"/>
      <c r="XO241" s="243"/>
      <c r="XP241" s="243"/>
      <c r="XQ241" s="243"/>
      <c r="XR241" s="243"/>
      <c r="XS241" s="243"/>
      <c r="XT241" s="243"/>
      <c r="XU241" s="243"/>
      <c r="XV241" s="243"/>
      <c r="XW241" s="243"/>
      <c r="XX241" s="243"/>
      <c r="XY241" s="243"/>
      <c r="XZ241" s="243"/>
      <c r="YA241" s="243"/>
      <c r="YB241" s="243"/>
      <c r="YC241" s="243"/>
      <c r="YD241" s="243"/>
      <c r="YE241" s="243"/>
      <c r="YF241" s="243"/>
      <c r="YG241" s="243"/>
      <c r="YH241" s="243"/>
      <c r="YI241" s="243"/>
      <c r="YJ241" s="243"/>
      <c r="YK241" s="243"/>
      <c r="YL241" s="243"/>
      <c r="YM241" s="243"/>
      <c r="YN241" s="243"/>
      <c r="YO241" s="243"/>
      <c r="YP241" s="243"/>
      <c r="YQ241" s="243"/>
      <c r="YR241" s="243"/>
      <c r="YS241" s="243"/>
      <c r="YT241" s="243"/>
      <c r="YU241" s="243"/>
      <c r="YV241" s="243"/>
      <c r="YW241" s="243"/>
      <c r="YX241" s="243"/>
      <c r="YY241" s="243"/>
      <c r="YZ241" s="243"/>
      <c r="ZA241" s="243"/>
      <c r="ZB241" s="243"/>
      <c r="ZC241" s="243"/>
      <c r="ZD241" s="243"/>
      <c r="ZE241" s="243"/>
      <c r="ZF241" s="243"/>
      <c r="ZG241" s="243"/>
      <c r="ZH241" s="243"/>
      <c r="ZI241" s="243"/>
      <c r="ZJ241" s="243"/>
      <c r="ZK241" s="243"/>
      <c r="ZL241" s="243"/>
      <c r="ZM241" s="243"/>
      <c r="ZN241" s="243"/>
      <c r="ZO241" s="243"/>
      <c r="ZP241" s="243"/>
      <c r="ZQ241" s="243"/>
      <c r="ZR241" s="243"/>
      <c r="ZS241" s="243"/>
      <c r="ZT241" s="243"/>
      <c r="ZU241" s="243"/>
      <c r="ZV241" s="243"/>
      <c r="ZW241" s="243"/>
      <c r="ZX241" s="243"/>
      <c r="ZY241" s="243"/>
      <c r="ZZ241" s="243"/>
      <c r="AAA241" s="243"/>
      <c r="AAB241" s="243"/>
      <c r="AAC241" s="243"/>
      <c r="AAD241" s="243"/>
      <c r="AAE241" s="243"/>
      <c r="AAF241" s="243"/>
      <c r="AAG241" s="243"/>
      <c r="AAH241" s="243"/>
      <c r="AAI241" s="243"/>
      <c r="AAJ241" s="243"/>
      <c r="AAK241" s="243"/>
      <c r="AAL241" s="243"/>
      <c r="AAM241" s="243"/>
      <c r="AAN241" s="243"/>
      <c r="AAO241" s="243"/>
      <c r="AAP241" s="243"/>
      <c r="AAQ241" s="243"/>
      <c r="AAR241" s="243"/>
      <c r="AAS241" s="243"/>
      <c r="AAT241" s="243"/>
      <c r="AAU241" s="243"/>
      <c r="AAV241" s="243"/>
      <c r="AAW241" s="243"/>
      <c r="AAX241" s="243"/>
      <c r="AAY241" s="243"/>
      <c r="AAZ241" s="243"/>
      <c r="ABA241" s="243"/>
      <c r="ABB241" s="243"/>
      <c r="ABC241" s="243"/>
      <c r="ABD241" s="243"/>
      <c r="ABE241" s="243"/>
      <c r="ABF241" s="243"/>
      <c r="ABG241" s="243"/>
      <c r="ABH241" s="243"/>
      <c r="ABI241" s="243"/>
      <c r="ABJ241" s="243"/>
      <c r="ABK241" s="243"/>
      <c r="ABL241" s="243"/>
      <c r="ABM241" s="243"/>
      <c r="ABN241" s="243"/>
      <c r="ABO241" s="243"/>
      <c r="ABP241" s="243"/>
      <c r="ABQ241" s="243"/>
      <c r="ABR241" s="243"/>
      <c r="ABS241" s="243"/>
      <c r="ABT241" s="243"/>
      <c r="ABU241" s="243"/>
      <c r="ABV241" s="243"/>
      <c r="ABW241" s="243"/>
      <c r="ABX241" s="243"/>
      <c r="ABY241" s="243"/>
      <c r="ABZ241" s="243"/>
      <c r="ACA241" s="243"/>
      <c r="ACB241" s="243"/>
      <c r="ACC241" s="243"/>
      <c r="ACD241" s="243"/>
      <c r="ACE241" s="243"/>
      <c r="ACF241" s="243"/>
      <c r="ACG241" s="243"/>
      <c r="ACH241" s="243"/>
      <c r="ACI241" s="243"/>
      <c r="ACJ241" s="243"/>
      <c r="ACK241" s="243"/>
      <c r="ACL241" s="243"/>
      <c r="ACM241" s="243"/>
      <c r="ACN241" s="243"/>
      <c r="ACO241" s="243"/>
      <c r="ACP241" s="243"/>
      <c r="ACQ241" s="243"/>
      <c r="ACR241" s="243"/>
      <c r="ACS241" s="243"/>
      <c r="ACT241" s="243"/>
      <c r="ACU241" s="243"/>
      <c r="ACV241" s="243"/>
      <c r="ACW241" s="243"/>
      <c r="ACX241" s="243"/>
      <c r="ACY241" s="243"/>
      <c r="ACZ241" s="243"/>
      <c r="ADA241" s="243"/>
      <c r="ADB241" s="243"/>
      <c r="ADC241" s="243"/>
      <c r="ADD241" s="243"/>
      <c r="ADE241" s="243"/>
      <c r="ADF241" s="243"/>
      <c r="ADG241" s="243"/>
      <c r="ADH241" s="243"/>
      <c r="ADI241" s="243"/>
      <c r="ADJ241" s="243"/>
      <c r="ADK241" s="243"/>
      <c r="ADL241" s="243"/>
      <c r="ADM241" s="243"/>
      <c r="ADN241" s="243"/>
      <c r="ADO241" s="243"/>
      <c r="ADP241" s="243"/>
      <c r="ADQ241" s="243"/>
      <c r="ADR241" s="243"/>
      <c r="ADS241" s="243"/>
      <c r="ADT241" s="243"/>
      <c r="ADU241" s="243"/>
      <c r="ADV241" s="243"/>
      <c r="ADW241" s="243"/>
      <c r="ADX241" s="243"/>
      <c r="ADY241" s="243"/>
      <c r="ADZ241" s="243"/>
      <c r="AEA241" s="243"/>
      <c r="AEB241" s="243"/>
      <c r="AEC241" s="243"/>
      <c r="AED241" s="243"/>
      <c r="AEE241" s="243"/>
      <c r="AEF241" s="243"/>
      <c r="AEG241" s="243"/>
      <c r="AEH241" s="243"/>
      <c r="AEI241" s="243"/>
      <c r="AEJ241" s="243"/>
      <c r="AEK241" s="243"/>
      <c r="AEL241" s="243"/>
      <c r="AEM241" s="243"/>
      <c r="AEN241" s="243"/>
      <c r="AEO241" s="243"/>
      <c r="AEP241" s="243"/>
      <c r="AEQ241" s="243"/>
      <c r="AER241" s="243"/>
      <c r="AES241" s="243"/>
      <c r="AET241" s="243"/>
      <c r="AEU241" s="243"/>
      <c r="AEV241" s="243"/>
      <c r="AEW241" s="243"/>
      <c r="AEX241" s="243"/>
      <c r="AEY241" s="243"/>
      <c r="AEZ241" s="243"/>
      <c r="AFA241" s="243"/>
      <c r="AFB241" s="243"/>
      <c r="AFC241" s="243"/>
      <c r="AFD241" s="243"/>
      <c r="AFE241" s="243"/>
      <c r="AFF241" s="243"/>
      <c r="AFG241" s="243"/>
      <c r="AFH241" s="243"/>
      <c r="AFI241" s="243"/>
      <c r="AFJ241" s="243"/>
      <c r="AFK241" s="243"/>
      <c r="AFL241" s="243"/>
      <c r="AFM241" s="243"/>
      <c r="AFN241" s="243"/>
      <c r="AFO241" s="243"/>
      <c r="AFP241" s="243"/>
      <c r="AFQ241" s="243"/>
      <c r="AFR241" s="243"/>
      <c r="AFS241" s="243"/>
      <c r="AFT241" s="243"/>
      <c r="AFU241" s="243"/>
      <c r="AFV241" s="243"/>
      <c r="AFW241" s="243"/>
      <c r="AFX241" s="243"/>
      <c r="AFY241" s="243"/>
      <c r="AFZ241" s="243"/>
      <c r="AGA241" s="243"/>
      <c r="AGB241" s="243"/>
      <c r="AGC241" s="243"/>
      <c r="AGD241" s="243"/>
      <c r="AGE241" s="243"/>
      <c r="AGF241" s="243"/>
      <c r="AGG241" s="243"/>
      <c r="AGH241" s="243"/>
      <c r="AGI241" s="243"/>
      <c r="AGJ241" s="243"/>
      <c r="AGK241" s="243"/>
      <c r="AGL241" s="243"/>
      <c r="AGM241" s="243"/>
      <c r="AGN241" s="243"/>
      <c r="AGO241" s="243"/>
      <c r="AGP241" s="243"/>
      <c r="AGQ241" s="243"/>
      <c r="AGR241" s="243"/>
      <c r="AGS241" s="243"/>
      <c r="AGT241" s="243"/>
      <c r="AGU241" s="243"/>
      <c r="AGV241" s="243"/>
      <c r="AGW241" s="243"/>
      <c r="AGX241" s="243"/>
      <c r="AGY241" s="243"/>
      <c r="AGZ241" s="243"/>
      <c r="AHA241" s="243"/>
      <c r="AHB241" s="243"/>
      <c r="AHC241" s="243"/>
      <c r="AHD241" s="243"/>
      <c r="AHE241" s="243"/>
      <c r="AHF241" s="243"/>
      <c r="AHG241" s="243"/>
      <c r="AHH241" s="243"/>
      <c r="AHI241" s="243"/>
      <c r="AHJ241" s="243"/>
      <c r="AHK241" s="243"/>
      <c r="AHL241" s="243"/>
      <c r="AHM241" s="243"/>
      <c r="AHN241" s="243"/>
      <c r="AHO241" s="243"/>
      <c r="AHP241" s="243"/>
      <c r="AHQ241" s="243"/>
      <c r="AHR241" s="243"/>
      <c r="AHS241" s="243"/>
      <c r="AHT241" s="243"/>
      <c r="AHU241" s="243"/>
      <c r="AHV241" s="243"/>
      <c r="AHW241" s="243"/>
      <c r="AHX241" s="243"/>
      <c r="AHY241" s="243"/>
      <c r="AHZ241" s="243"/>
      <c r="AIA241" s="243"/>
      <c r="AIB241" s="243"/>
      <c r="AIC241" s="243"/>
      <c r="AID241" s="243"/>
      <c r="AIE241" s="243"/>
      <c r="AIF241" s="243"/>
      <c r="AIG241" s="243"/>
      <c r="AIH241" s="243"/>
      <c r="AII241" s="243"/>
      <c r="AIJ241" s="243"/>
      <c r="AIK241" s="243"/>
      <c r="AIL241" s="243"/>
      <c r="AIM241" s="243"/>
      <c r="AIN241" s="243"/>
      <c r="AIO241" s="243"/>
      <c r="AIP241" s="243"/>
      <c r="AIQ241" s="243"/>
      <c r="AIR241" s="243"/>
      <c r="AIS241" s="243"/>
      <c r="AIT241" s="243"/>
      <c r="AIU241" s="243"/>
      <c r="AIV241" s="243"/>
      <c r="AIW241" s="243"/>
      <c r="AIX241" s="243"/>
      <c r="AIY241" s="243"/>
      <c r="AIZ241" s="243"/>
      <c r="AJA241" s="243"/>
      <c r="AJB241" s="243"/>
      <c r="AJC241" s="243"/>
      <c r="AJD241" s="243"/>
      <c r="AJE241" s="243"/>
      <c r="AJF241" s="243"/>
      <c r="AJG241" s="243"/>
      <c r="AJH241" s="243"/>
      <c r="AJI241" s="243"/>
      <c r="AJJ241" s="243"/>
      <c r="AJK241" s="243"/>
      <c r="AJL241" s="243"/>
      <c r="AJM241" s="243"/>
      <c r="AJN241" s="243"/>
      <c r="AJO241" s="243"/>
      <c r="AJP241" s="243"/>
      <c r="AJQ241" s="243"/>
      <c r="AJR241" s="243"/>
      <c r="AJS241" s="243"/>
      <c r="AJT241" s="243"/>
      <c r="AJU241" s="243"/>
      <c r="AJV241" s="243"/>
      <c r="AJW241" s="243"/>
      <c r="AJX241" s="243"/>
      <c r="AJY241" s="243"/>
      <c r="AJZ241" s="243"/>
      <c r="AKA241" s="243"/>
      <c r="AKB241" s="243"/>
      <c r="AKC241" s="243"/>
      <c r="AKD241" s="243"/>
      <c r="AKE241" s="243"/>
      <c r="AKF241" s="243"/>
      <c r="AKG241" s="243"/>
      <c r="AKH241" s="243"/>
      <c r="AKI241" s="243"/>
      <c r="AKJ241" s="243"/>
      <c r="AKK241" s="243"/>
      <c r="AKL241" s="243"/>
      <c r="AKM241" s="243"/>
      <c r="AKN241" s="243"/>
      <c r="AKO241" s="243"/>
      <c r="AKP241" s="243"/>
      <c r="AKQ241" s="243"/>
      <c r="AKR241" s="243"/>
      <c r="AKS241" s="243"/>
      <c r="AKT241" s="243"/>
      <c r="AKU241" s="243"/>
      <c r="AKV241" s="243"/>
      <c r="AKW241" s="243"/>
      <c r="AKX241" s="243"/>
      <c r="AKY241" s="243"/>
      <c r="AKZ241" s="243"/>
      <c r="ALA241" s="243"/>
      <c r="ALB241" s="243"/>
      <c r="ALC241" s="243"/>
      <c r="ALD241" s="243"/>
      <c r="ALE241" s="243"/>
      <c r="ALF241" s="243"/>
      <c r="ALG241" s="243"/>
      <c r="ALH241" s="243"/>
      <c r="ALI241" s="243"/>
      <c r="ALJ241" s="243"/>
      <c r="ALK241" s="243"/>
      <c r="ALL241" s="243"/>
      <c r="ALM241" s="243"/>
      <c r="ALN241" s="243"/>
      <c r="ALO241" s="243"/>
      <c r="ALP241" s="243"/>
      <c r="ALQ241" s="243"/>
      <c r="ALR241" s="243"/>
      <c r="ALS241" s="243"/>
      <c r="ALT241" s="243"/>
      <c r="ALU241" s="243"/>
      <c r="ALV241" s="243"/>
      <c r="ALW241" s="243"/>
      <c r="ALX241" s="243"/>
      <c r="ALY241" s="243"/>
      <c r="ALZ241" s="243"/>
      <c r="AMA241" s="243"/>
      <c r="AMB241" s="243"/>
      <c r="AMC241" s="243"/>
      <c r="AMD241" s="243"/>
      <c r="AME241" s="243"/>
      <c r="AMF241" s="243"/>
      <c r="AMG241" s="243"/>
      <c r="AMH241" s="243"/>
      <c r="AMI241" s="244"/>
      <c r="AMJ241" s="244"/>
    </row>
    <row r="242" spans="1:1024">
      <c r="A242" s="912" t="s">
        <v>164</v>
      </c>
      <c r="B242" s="442">
        <v>14032</v>
      </c>
      <c r="C242" s="432">
        <v>0.1</v>
      </c>
      <c r="D242" s="370" t="s">
        <v>152</v>
      </c>
      <c r="E242" s="401">
        <v>1800000</v>
      </c>
      <c r="F242" s="432">
        <v>0.05</v>
      </c>
      <c r="G242" s="401">
        <f>E242*F242</f>
        <v>90000</v>
      </c>
      <c r="H242" s="402" t="s">
        <v>123</v>
      </c>
      <c r="I242" s="402" t="s">
        <v>138</v>
      </c>
      <c r="J242" s="402" t="s">
        <v>125</v>
      </c>
      <c r="K242" s="402" t="s">
        <v>123</v>
      </c>
      <c r="L242" s="402" t="s">
        <v>125</v>
      </c>
      <c r="M242" s="370">
        <v>14058</v>
      </c>
      <c r="N242" s="370" t="s">
        <v>148</v>
      </c>
      <c r="O242" s="456">
        <v>2300000</v>
      </c>
      <c r="P242" s="430">
        <v>0.04</v>
      </c>
      <c r="Q242" s="456">
        <f>O242*P242</f>
        <v>92000</v>
      </c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  <c r="AH242" s="243"/>
      <c r="AI242" s="243"/>
      <c r="AJ242" s="243"/>
      <c r="AK242" s="243"/>
      <c r="AL242" s="243"/>
      <c r="AM242" s="243"/>
      <c r="AN242" s="243"/>
      <c r="AO242" s="243"/>
      <c r="AP242" s="243"/>
      <c r="AQ242" s="243"/>
      <c r="AR242" s="243"/>
      <c r="AS242" s="243"/>
      <c r="AT242" s="243"/>
      <c r="AU242" s="243"/>
      <c r="AV242" s="243"/>
      <c r="AW242" s="243"/>
      <c r="AX242" s="243"/>
      <c r="AY242" s="243"/>
      <c r="AZ242" s="243"/>
      <c r="BA242" s="243"/>
      <c r="BB242" s="243"/>
      <c r="BC242" s="243"/>
      <c r="BD242" s="243"/>
      <c r="BE242" s="243"/>
      <c r="BF242" s="243"/>
      <c r="BG242" s="243"/>
      <c r="BH242" s="243"/>
      <c r="BI242" s="243"/>
      <c r="BJ242" s="243"/>
      <c r="BK242" s="243"/>
      <c r="BL242" s="243"/>
      <c r="BM242" s="243"/>
      <c r="BN242" s="243"/>
      <c r="BO242" s="243"/>
      <c r="BP242" s="243"/>
      <c r="BQ242" s="243"/>
      <c r="BR242" s="243"/>
      <c r="BS242" s="243"/>
      <c r="BT242" s="243"/>
      <c r="BU242" s="243"/>
      <c r="BV242" s="243"/>
      <c r="BW242" s="243"/>
      <c r="BX242" s="243"/>
      <c r="BY242" s="243"/>
      <c r="BZ242" s="243"/>
      <c r="CA242" s="243"/>
      <c r="CB242" s="243"/>
      <c r="CC242" s="243"/>
      <c r="CD242" s="243"/>
      <c r="CE242" s="243"/>
      <c r="CF242" s="243"/>
      <c r="CG242" s="243"/>
      <c r="CH242" s="243"/>
      <c r="CI242" s="243"/>
      <c r="CJ242" s="243"/>
      <c r="CK242" s="243"/>
      <c r="CL242" s="243"/>
      <c r="CM242" s="243"/>
      <c r="CN242" s="243"/>
      <c r="CO242" s="243"/>
      <c r="CP242" s="243"/>
      <c r="CQ242" s="243"/>
      <c r="CR242" s="243"/>
      <c r="CS242" s="243"/>
      <c r="CT242" s="243"/>
      <c r="CU242" s="243"/>
      <c r="CV242" s="243"/>
      <c r="CW242" s="243"/>
      <c r="CX242" s="243"/>
      <c r="CY242" s="243"/>
      <c r="CZ242" s="243"/>
      <c r="DA242" s="243"/>
      <c r="DB242" s="243"/>
      <c r="DC242" s="243"/>
      <c r="DD242" s="243"/>
      <c r="DE242" s="243"/>
      <c r="DF242" s="243"/>
      <c r="DG242" s="243"/>
      <c r="DH242" s="243"/>
      <c r="DI242" s="243"/>
      <c r="DJ242" s="243"/>
      <c r="DK242" s="243"/>
      <c r="DL242" s="243"/>
      <c r="DM242" s="243"/>
      <c r="DN242" s="243"/>
      <c r="DO242" s="243"/>
      <c r="DP242" s="243"/>
      <c r="DQ242" s="243"/>
      <c r="DR242" s="243"/>
      <c r="DS242" s="243"/>
      <c r="DT242" s="243"/>
      <c r="DU242" s="243"/>
      <c r="DV242" s="243"/>
      <c r="DW242" s="243"/>
      <c r="DX242" s="243"/>
      <c r="DY242" s="243"/>
      <c r="DZ242" s="243"/>
      <c r="EA242" s="243"/>
      <c r="EB242" s="243"/>
      <c r="EC242" s="243"/>
      <c r="ED242" s="243"/>
      <c r="EE242" s="243"/>
      <c r="EF242" s="243"/>
      <c r="EG242" s="243"/>
      <c r="EH242" s="243"/>
      <c r="EI242" s="243"/>
      <c r="EJ242" s="243"/>
      <c r="EK242" s="243"/>
      <c r="EL242" s="243"/>
      <c r="EM242" s="243"/>
      <c r="EN242" s="243"/>
      <c r="EO242" s="243"/>
      <c r="EP242" s="243"/>
      <c r="EQ242" s="243"/>
      <c r="ER242" s="243"/>
      <c r="ES242" s="243"/>
      <c r="ET242" s="243"/>
      <c r="EU242" s="243"/>
      <c r="EV242" s="243"/>
      <c r="EW242" s="243"/>
      <c r="EX242" s="243"/>
      <c r="EY242" s="243"/>
      <c r="EZ242" s="243"/>
      <c r="FA242" s="243"/>
      <c r="FB242" s="243"/>
      <c r="FC242" s="243"/>
      <c r="FD242" s="243"/>
      <c r="FE242" s="243"/>
      <c r="FF242" s="243"/>
      <c r="FG242" s="243"/>
      <c r="FH242" s="243"/>
      <c r="FI242" s="243"/>
      <c r="FJ242" s="243"/>
      <c r="FK242" s="243"/>
      <c r="FL242" s="243"/>
      <c r="FM242" s="243"/>
      <c r="FN242" s="243"/>
      <c r="FO242" s="243"/>
      <c r="FP242" s="243"/>
      <c r="FQ242" s="243"/>
      <c r="FR242" s="243"/>
      <c r="FS242" s="243"/>
      <c r="FT242" s="243"/>
      <c r="FU242" s="243"/>
      <c r="FV242" s="243"/>
      <c r="FW242" s="243"/>
      <c r="FX242" s="243"/>
      <c r="FY242" s="243"/>
      <c r="FZ242" s="243"/>
      <c r="GA242" s="243"/>
      <c r="GB242" s="243"/>
      <c r="GC242" s="243"/>
      <c r="GD242" s="243"/>
      <c r="GE242" s="243"/>
      <c r="GF242" s="243"/>
      <c r="GG242" s="243"/>
      <c r="GH242" s="243"/>
      <c r="GI242" s="243"/>
      <c r="GJ242" s="243"/>
      <c r="GK242" s="243"/>
      <c r="GL242" s="243"/>
      <c r="GM242" s="243"/>
      <c r="GN242" s="243"/>
      <c r="GO242" s="243"/>
      <c r="GP242" s="243"/>
      <c r="GQ242" s="243"/>
      <c r="GR242" s="243"/>
      <c r="GS242" s="243"/>
      <c r="GT242" s="243"/>
      <c r="GU242" s="243"/>
      <c r="GV242" s="243"/>
      <c r="GW242" s="243"/>
      <c r="GX242" s="243"/>
      <c r="GY242" s="243"/>
      <c r="GZ242" s="243"/>
      <c r="HA242" s="243"/>
      <c r="HB242" s="243"/>
      <c r="HC242" s="243"/>
      <c r="HD242" s="243"/>
      <c r="HE242" s="243"/>
      <c r="HF242" s="243"/>
      <c r="HG242" s="243"/>
      <c r="HH242" s="243"/>
      <c r="HI242" s="243"/>
      <c r="HJ242" s="243"/>
      <c r="HK242" s="243"/>
      <c r="HL242" s="243"/>
      <c r="HM242" s="243"/>
      <c r="HN242" s="243"/>
      <c r="HO242" s="243"/>
      <c r="HP242" s="243"/>
      <c r="HQ242" s="243"/>
      <c r="HR242" s="243"/>
      <c r="HS242" s="243"/>
      <c r="HT242" s="243"/>
      <c r="HU242" s="243"/>
      <c r="HV242" s="243"/>
      <c r="HW242" s="243"/>
      <c r="HX242" s="243"/>
      <c r="HY242" s="243"/>
      <c r="HZ242" s="243"/>
      <c r="IA242" s="243"/>
      <c r="IB242" s="243"/>
      <c r="IC242" s="243"/>
      <c r="ID242" s="243"/>
      <c r="IE242" s="243"/>
      <c r="IF242" s="243"/>
      <c r="IG242" s="243"/>
      <c r="IH242" s="243"/>
      <c r="II242" s="243"/>
      <c r="IJ242" s="243"/>
      <c r="IK242" s="243"/>
      <c r="IL242" s="243"/>
      <c r="IM242" s="243"/>
      <c r="IN242" s="243"/>
      <c r="IO242" s="243"/>
      <c r="IP242" s="243"/>
      <c r="IQ242" s="243"/>
      <c r="IR242" s="243"/>
      <c r="IS242" s="243"/>
      <c r="IT242" s="243"/>
      <c r="IU242" s="243"/>
      <c r="IV242" s="243"/>
      <c r="IW242" s="243"/>
      <c r="IX242" s="243"/>
      <c r="IY242" s="243"/>
      <c r="IZ242" s="243"/>
      <c r="JA242" s="243"/>
      <c r="JB242" s="243"/>
      <c r="JC242" s="243"/>
      <c r="JD242" s="243"/>
      <c r="JE242" s="243"/>
      <c r="JF242" s="243"/>
      <c r="JG242" s="243"/>
      <c r="JH242" s="243"/>
      <c r="JI242" s="243"/>
      <c r="JJ242" s="243"/>
      <c r="JK242" s="243"/>
      <c r="JL242" s="243"/>
      <c r="JM242" s="243"/>
      <c r="JN242" s="243"/>
      <c r="JO242" s="243"/>
      <c r="JP242" s="243"/>
      <c r="JQ242" s="243"/>
      <c r="JR242" s="243"/>
      <c r="JS242" s="243"/>
      <c r="JT242" s="243"/>
      <c r="JU242" s="243"/>
      <c r="JV242" s="243"/>
      <c r="JW242" s="243"/>
      <c r="JX242" s="243"/>
      <c r="JY242" s="243"/>
      <c r="JZ242" s="243"/>
      <c r="KA242" s="243"/>
      <c r="KB242" s="243"/>
      <c r="KC242" s="243"/>
      <c r="KD242" s="243"/>
      <c r="KE242" s="243"/>
      <c r="KF242" s="243"/>
      <c r="KG242" s="243"/>
      <c r="KH242" s="243"/>
      <c r="KI242" s="243"/>
      <c r="KJ242" s="243"/>
      <c r="KK242" s="243"/>
      <c r="KL242" s="243"/>
      <c r="KM242" s="243"/>
      <c r="KN242" s="243"/>
      <c r="KO242" s="243"/>
      <c r="KP242" s="243"/>
      <c r="KQ242" s="243"/>
      <c r="KR242" s="243"/>
      <c r="KS242" s="243"/>
      <c r="KT242" s="243"/>
      <c r="KU242" s="243"/>
      <c r="KV242" s="243"/>
      <c r="KW242" s="243"/>
      <c r="KX242" s="243"/>
      <c r="KY242" s="243"/>
      <c r="KZ242" s="243"/>
      <c r="LA242" s="243"/>
      <c r="LB242" s="243"/>
      <c r="LC242" s="243"/>
      <c r="LD242" s="243"/>
      <c r="LE242" s="243"/>
      <c r="LF242" s="243"/>
      <c r="LG242" s="243"/>
      <c r="LH242" s="243"/>
      <c r="LI242" s="243"/>
      <c r="LJ242" s="243"/>
      <c r="LK242" s="243"/>
      <c r="LL242" s="243"/>
      <c r="LM242" s="243"/>
      <c r="LN242" s="243"/>
      <c r="LO242" s="243"/>
      <c r="LP242" s="243"/>
      <c r="LQ242" s="243"/>
      <c r="LR242" s="243"/>
      <c r="LS242" s="243"/>
      <c r="LT242" s="243"/>
      <c r="LU242" s="243"/>
      <c r="LV242" s="243"/>
      <c r="LW242" s="243"/>
      <c r="LX242" s="243"/>
      <c r="LY242" s="243"/>
      <c r="LZ242" s="243"/>
      <c r="MA242" s="243"/>
      <c r="MB242" s="243"/>
      <c r="MC242" s="243"/>
      <c r="MD242" s="243"/>
      <c r="ME242" s="243"/>
      <c r="MF242" s="243"/>
      <c r="MG242" s="243"/>
      <c r="MH242" s="243"/>
      <c r="MI242" s="243"/>
      <c r="MJ242" s="243"/>
      <c r="MK242" s="243"/>
      <c r="ML242" s="243"/>
      <c r="MM242" s="243"/>
      <c r="MN242" s="243"/>
      <c r="MO242" s="243"/>
      <c r="MP242" s="243"/>
      <c r="MQ242" s="243"/>
      <c r="MR242" s="243"/>
      <c r="MS242" s="243"/>
      <c r="MT242" s="243"/>
      <c r="MU242" s="243"/>
      <c r="MV242" s="243"/>
      <c r="MW242" s="243"/>
      <c r="MX242" s="243"/>
      <c r="MY242" s="243"/>
      <c r="MZ242" s="243"/>
      <c r="NA242" s="243"/>
      <c r="NB242" s="243"/>
      <c r="NC242" s="243"/>
      <c r="ND242" s="243"/>
      <c r="NE242" s="243"/>
      <c r="NF242" s="243"/>
      <c r="NG242" s="243"/>
      <c r="NH242" s="243"/>
      <c r="NI242" s="243"/>
      <c r="NJ242" s="243"/>
      <c r="NK242" s="243"/>
      <c r="NL242" s="243"/>
      <c r="NM242" s="243"/>
      <c r="NN242" s="243"/>
      <c r="NO242" s="243"/>
      <c r="NP242" s="243"/>
      <c r="NQ242" s="243"/>
      <c r="NR242" s="243"/>
      <c r="NS242" s="243"/>
      <c r="NT242" s="243"/>
      <c r="NU242" s="243"/>
      <c r="NV242" s="243"/>
      <c r="NW242" s="243"/>
      <c r="NX242" s="243"/>
      <c r="NY242" s="243"/>
      <c r="NZ242" s="243"/>
      <c r="OA242" s="243"/>
      <c r="OB242" s="243"/>
      <c r="OC242" s="243"/>
      <c r="OD242" s="243"/>
      <c r="OE242" s="243"/>
      <c r="OF242" s="243"/>
      <c r="OG242" s="243"/>
      <c r="OH242" s="243"/>
      <c r="OI242" s="243"/>
      <c r="OJ242" s="243"/>
      <c r="OK242" s="243"/>
      <c r="OL242" s="243"/>
      <c r="OM242" s="243"/>
      <c r="ON242" s="243"/>
      <c r="OO242" s="243"/>
      <c r="OP242" s="243"/>
      <c r="OQ242" s="243"/>
      <c r="OR242" s="243"/>
      <c r="OS242" s="243"/>
      <c r="OT242" s="243"/>
      <c r="OU242" s="243"/>
      <c r="OV242" s="243"/>
      <c r="OW242" s="243"/>
      <c r="OX242" s="243"/>
      <c r="OY242" s="243"/>
      <c r="OZ242" s="243"/>
      <c r="PA242" s="243"/>
      <c r="PB242" s="243"/>
      <c r="PC242" s="243"/>
      <c r="PD242" s="243"/>
      <c r="PE242" s="243"/>
      <c r="PF242" s="243"/>
      <c r="PG242" s="243"/>
      <c r="PH242" s="243"/>
      <c r="PI242" s="243"/>
      <c r="PJ242" s="243"/>
      <c r="PK242" s="243"/>
      <c r="PL242" s="243"/>
      <c r="PM242" s="243"/>
      <c r="PN242" s="243"/>
      <c r="PO242" s="243"/>
      <c r="PP242" s="243"/>
      <c r="PQ242" s="243"/>
      <c r="PR242" s="243"/>
      <c r="PS242" s="243"/>
      <c r="PT242" s="243"/>
      <c r="PU242" s="243"/>
      <c r="PV242" s="243"/>
      <c r="PW242" s="243"/>
      <c r="PX242" s="243"/>
      <c r="PY242" s="243"/>
      <c r="PZ242" s="243"/>
      <c r="QA242" s="243"/>
      <c r="QB242" s="243"/>
      <c r="QC242" s="243"/>
      <c r="QD242" s="243"/>
      <c r="QE242" s="243"/>
      <c r="QF242" s="243"/>
      <c r="QG242" s="243"/>
      <c r="QH242" s="243"/>
      <c r="QI242" s="243"/>
      <c r="QJ242" s="243"/>
      <c r="QK242" s="243"/>
      <c r="QL242" s="243"/>
      <c r="QM242" s="243"/>
      <c r="QN242" s="243"/>
      <c r="QO242" s="243"/>
      <c r="QP242" s="243"/>
      <c r="QQ242" s="243"/>
      <c r="QR242" s="243"/>
      <c r="QS242" s="243"/>
      <c r="QT242" s="243"/>
      <c r="QU242" s="243"/>
      <c r="QV242" s="243"/>
      <c r="QW242" s="243"/>
      <c r="QX242" s="243"/>
      <c r="QY242" s="243"/>
      <c r="QZ242" s="243"/>
      <c r="RA242" s="243"/>
      <c r="RB242" s="243"/>
      <c r="RC242" s="243"/>
      <c r="RD242" s="243"/>
      <c r="RE242" s="243"/>
      <c r="RF242" s="243"/>
      <c r="RG242" s="243"/>
      <c r="RH242" s="243"/>
      <c r="RI242" s="243"/>
      <c r="RJ242" s="243"/>
      <c r="RK242" s="243"/>
      <c r="RL242" s="243"/>
      <c r="RM242" s="243"/>
      <c r="RN242" s="243"/>
      <c r="RO242" s="243"/>
      <c r="RP242" s="243"/>
      <c r="RQ242" s="243"/>
      <c r="RR242" s="243"/>
      <c r="RS242" s="243"/>
      <c r="RT242" s="243"/>
      <c r="RU242" s="243"/>
      <c r="RV242" s="243"/>
      <c r="RW242" s="243"/>
      <c r="RX242" s="243"/>
      <c r="RY242" s="243"/>
      <c r="RZ242" s="243"/>
      <c r="SA242" s="243"/>
      <c r="SB242" s="243"/>
      <c r="SC242" s="243"/>
      <c r="SD242" s="243"/>
      <c r="SE242" s="243"/>
      <c r="SF242" s="243"/>
      <c r="SG242" s="243"/>
      <c r="SH242" s="243"/>
      <c r="SI242" s="243"/>
      <c r="SJ242" s="243"/>
      <c r="SK242" s="243"/>
      <c r="SL242" s="243"/>
      <c r="SM242" s="243"/>
      <c r="SN242" s="243"/>
      <c r="SO242" s="243"/>
      <c r="SP242" s="243"/>
      <c r="SQ242" s="243"/>
      <c r="SR242" s="243"/>
      <c r="SS242" s="243"/>
      <c r="ST242" s="243"/>
      <c r="SU242" s="243"/>
      <c r="SV242" s="243"/>
      <c r="SW242" s="243"/>
      <c r="SX242" s="243"/>
      <c r="SY242" s="243"/>
      <c r="SZ242" s="243"/>
      <c r="TA242" s="243"/>
      <c r="TB242" s="243"/>
      <c r="TC242" s="243"/>
      <c r="TD242" s="243"/>
      <c r="TE242" s="243"/>
      <c r="TF242" s="243"/>
      <c r="TG242" s="243"/>
      <c r="TH242" s="243"/>
      <c r="TI242" s="243"/>
      <c r="TJ242" s="243"/>
      <c r="TK242" s="243"/>
      <c r="TL242" s="243"/>
      <c r="TM242" s="243"/>
      <c r="TN242" s="243"/>
      <c r="TO242" s="243"/>
      <c r="TP242" s="243"/>
      <c r="TQ242" s="243"/>
      <c r="TR242" s="243"/>
      <c r="TS242" s="243"/>
      <c r="TT242" s="243"/>
      <c r="TU242" s="243"/>
      <c r="TV242" s="243"/>
      <c r="TW242" s="243"/>
      <c r="TX242" s="243"/>
      <c r="TY242" s="243"/>
      <c r="TZ242" s="243"/>
      <c r="UA242" s="243"/>
      <c r="UB242" s="243"/>
      <c r="UC242" s="243"/>
      <c r="UD242" s="243"/>
      <c r="UE242" s="243"/>
      <c r="UF242" s="243"/>
      <c r="UG242" s="243"/>
      <c r="UH242" s="243"/>
      <c r="UI242" s="243"/>
      <c r="UJ242" s="243"/>
      <c r="UK242" s="243"/>
      <c r="UL242" s="243"/>
      <c r="UM242" s="243"/>
      <c r="UN242" s="243"/>
      <c r="UO242" s="243"/>
      <c r="UP242" s="243"/>
      <c r="UQ242" s="243"/>
      <c r="UR242" s="243"/>
      <c r="US242" s="243"/>
      <c r="UT242" s="243"/>
      <c r="UU242" s="243"/>
      <c r="UV242" s="243"/>
      <c r="UW242" s="243"/>
      <c r="UX242" s="243"/>
      <c r="UY242" s="243"/>
      <c r="UZ242" s="243"/>
      <c r="VA242" s="243"/>
      <c r="VB242" s="243"/>
      <c r="VC242" s="243"/>
      <c r="VD242" s="243"/>
      <c r="VE242" s="243"/>
      <c r="VF242" s="243"/>
      <c r="VG242" s="243"/>
      <c r="VH242" s="243"/>
      <c r="VI242" s="243"/>
      <c r="VJ242" s="243"/>
      <c r="VK242" s="243"/>
      <c r="VL242" s="243"/>
      <c r="VM242" s="243"/>
      <c r="VN242" s="243"/>
      <c r="VO242" s="243"/>
      <c r="VP242" s="243"/>
      <c r="VQ242" s="243"/>
      <c r="VR242" s="243"/>
      <c r="VS242" s="243"/>
      <c r="VT242" s="243"/>
      <c r="VU242" s="243"/>
      <c r="VV242" s="243"/>
      <c r="VW242" s="243"/>
      <c r="VX242" s="243"/>
      <c r="VY242" s="243"/>
      <c r="VZ242" s="243"/>
      <c r="WA242" s="243"/>
      <c r="WB242" s="243"/>
      <c r="WC242" s="243"/>
      <c r="WD242" s="243"/>
      <c r="WE242" s="243"/>
      <c r="WF242" s="243"/>
      <c r="WG242" s="243"/>
      <c r="WH242" s="243"/>
      <c r="WI242" s="243"/>
      <c r="WJ242" s="243"/>
      <c r="WK242" s="243"/>
      <c r="WL242" s="243"/>
      <c r="WM242" s="243"/>
      <c r="WN242" s="243"/>
      <c r="WO242" s="243"/>
      <c r="WP242" s="243"/>
      <c r="WQ242" s="243"/>
      <c r="WR242" s="243"/>
      <c r="WS242" s="243"/>
      <c r="WT242" s="243"/>
      <c r="WU242" s="243"/>
      <c r="WV242" s="243"/>
      <c r="WW242" s="243"/>
      <c r="WX242" s="243"/>
      <c r="WY242" s="243"/>
      <c r="WZ242" s="243"/>
      <c r="XA242" s="243"/>
      <c r="XB242" s="243"/>
      <c r="XC242" s="243"/>
      <c r="XD242" s="243"/>
      <c r="XE242" s="243"/>
      <c r="XF242" s="243"/>
      <c r="XG242" s="243"/>
      <c r="XH242" s="243"/>
      <c r="XI242" s="243"/>
      <c r="XJ242" s="243"/>
      <c r="XK242" s="243"/>
      <c r="XL242" s="243"/>
      <c r="XM242" s="243"/>
      <c r="XN242" s="243"/>
      <c r="XO242" s="243"/>
      <c r="XP242" s="243"/>
      <c r="XQ242" s="243"/>
      <c r="XR242" s="243"/>
      <c r="XS242" s="243"/>
      <c r="XT242" s="243"/>
      <c r="XU242" s="243"/>
      <c r="XV242" s="243"/>
      <c r="XW242" s="243"/>
      <c r="XX242" s="243"/>
      <c r="XY242" s="243"/>
      <c r="XZ242" s="243"/>
      <c r="YA242" s="243"/>
      <c r="YB242" s="243"/>
      <c r="YC242" s="243"/>
      <c r="YD242" s="243"/>
      <c r="YE242" s="243"/>
      <c r="YF242" s="243"/>
      <c r="YG242" s="243"/>
      <c r="YH242" s="243"/>
      <c r="YI242" s="243"/>
      <c r="YJ242" s="243"/>
      <c r="YK242" s="243"/>
      <c r="YL242" s="243"/>
      <c r="YM242" s="243"/>
      <c r="YN242" s="243"/>
      <c r="YO242" s="243"/>
      <c r="YP242" s="243"/>
      <c r="YQ242" s="243"/>
      <c r="YR242" s="243"/>
      <c r="YS242" s="243"/>
      <c r="YT242" s="243"/>
      <c r="YU242" s="243"/>
      <c r="YV242" s="243"/>
      <c r="YW242" s="243"/>
      <c r="YX242" s="243"/>
      <c r="YY242" s="243"/>
      <c r="YZ242" s="243"/>
      <c r="ZA242" s="243"/>
      <c r="ZB242" s="243"/>
      <c r="ZC242" s="243"/>
      <c r="ZD242" s="243"/>
      <c r="ZE242" s="243"/>
      <c r="ZF242" s="243"/>
      <c r="ZG242" s="243"/>
      <c r="ZH242" s="243"/>
      <c r="ZI242" s="243"/>
      <c r="ZJ242" s="243"/>
      <c r="ZK242" s="243"/>
      <c r="ZL242" s="243"/>
      <c r="ZM242" s="243"/>
      <c r="ZN242" s="243"/>
      <c r="ZO242" s="243"/>
      <c r="ZP242" s="243"/>
      <c r="ZQ242" s="243"/>
      <c r="ZR242" s="243"/>
      <c r="ZS242" s="243"/>
      <c r="ZT242" s="243"/>
      <c r="ZU242" s="243"/>
      <c r="ZV242" s="243"/>
      <c r="ZW242" s="243"/>
      <c r="ZX242" s="243"/>
      <c r="ZY242" s="243"/>
      <c r="ZZ242" s="243"/>
      <c r="AAA242" s="243"/>
      <c r="AAB242" s="243"/>
      <c r="AAC242" s="243"/>
      <c r="AAD242" s="243"/>
      <c r="AAE242" s="243"/>
      <c r="AAF242" s="243"/>
      <c r="AAG242" s="243"/>
      <c r="AAH242" s="243"/>
      <c r="AAI242" s="243"/>
      <c r="AAJ242" s="243"/>
      <c r="AAK242" s="243"/>
      <c r="AAL242" s="243"/>
      <c r="AAM242" s="243"/>
      <c r="AAN242" s="243"/>
      <c r="AAO242" s="243"/>
      <c r="AAP242" s="243"/>
      <c r="AAQ242" s="243"/>
      <c r="AAR242" s="243"/>
      <c r="AAS242" s="243"/>
      <c r="AAT242" s="243"/>
      <c r="AAU242" s="243"/>
      <c r="AAV242" s="243"/>
      <c r="AAW242" s="243"/>
      <c r="AAX242" s="243"/>
      <c r="AAY242" s="243"/>
      <c r="AAZ242" s="243"/>
      <c r="ABA242" s="243"/>
      <c r="ABB242" s="243"/>
      <c r="ABC242" s="243"/>
      <c r="ABD242" s="243"/>
      <c r="ABE242" s="243"/>
      <c r="ABF242" s="243"/>
      <c r="ABG242" s="243"/>
      <c r="ABH242" s="243"/>
      <c r="ABI242" s="243"/>
      <c r="ABJ242" s="243"/>
      <c r="ABK242" s="243"/>
      <c r="ABL242" s="243"/>
      <c r="ABM242" s="243"/>
      <c r="ABN242" s="243"/>
      <c r="ABO242" s="243"/>
      <c r="ABP242" s="243"/>
      <c r="ABQ242" s="243"/>
      <c r="ABR242" s="243"/>
      <c r="ABS242" s="243"/>
      <c r="ABT242" s="243"/>
      <c r="ABU242" s="243"/>
      <c r="ABV242" s="243"/>
      <c r="ABW242" s="243"/>
      <c r="ABX242" s="243"/>
      <c r="ABY242" s="243"/>
      <c r="ABZ242" s="243"/>
      <c r="ACA242" s="243"/>
      <c r="ACB242" s="243"/>
      <c r="ACC242" s="243"/>
      <c r="ACD242" s="243"/>
      <c r="ACE242" s="243"/>
      <c r="ACF242" s="243"/>
      <c r="ACG242" s="243"/>
      <c r="ACH242" s="243"/>
      <c r="ACI242" s="243"/>
      <c r="ACJ242" s="243"/>
      <c r="ACK242" s="243"/>
      <c r="ACL242" s="243"/>
      <c r="ACM242" s="243"/>
      <c r="ACN242" s="243"/>
      <c r="ACO242" s="243"/>
      <c r="ACP242" s="243"/>
      <c r="ACQ242" s="243"/>
      <c r="ACR242" s="243"/>
      <c r="ACS242" s="243"/>
      <c r="ACT242" s="243"/>
      <c r="ACU242" s="243"/>
      <c r="ACV242" s="243"/>
      <c r="ACW242" s="243"/>
      <c r="ACX242" s="243"/>
      <c r="ACY242" s="243"/>
      <c r="ACZ242" s="243"/>
      <c r="ADA242" s="243"/>
      <c r="ADB242" s="243"/>
      <c r="ADC242" s="243"/>
      <c r="ADD242" s="243"/>
      <c r="ADE242" s="243"/>
      <c r="ADF242" s="243"/>
      <c r="ADG242" s="243"/>
      <c r="ADH242" s="243"/>
      <c r="ADI242" s="243"/>
      <c r="ADJ242" s="243"/>
      <c r="ADK242" s="243"/>
      <c r="ADL242" s="243"/>
      <c r="ADM242" s="243"/>
      <c r="ADN242" s="243"/>
      <c r="ADO242" s="243"/>
      <c r="ADP242" s="243"/>
      <c r="ADQ242" s="243"/>
      <c r="ADR242" s="243"/>
      <c r="ADS242" s="243"/>
      <c r="ADT242" s="243"/>
      <c r="ADU242" s="243"/>
      <c r="ADV242" s="243"/>
      <c r="ADW242" s="243"/>
      <c r="ADX242" s="243"/>
      <c r="ADY242" s="243"/>
      <c r="ADZ242" s="243"/>
      <c r="AEA242" s="243"/>
      <c r="AEB242" s="243"/>
      <c r="AEC242" s="243"/>
      <c r="AED242" s="243"/>
      <c r="AEE242" s="243"/>
      <c r="AEF242" s="243"/>
      <c r="AEG242" s="243"/>
      <c r="AEH242" s="243"/>
      <c r="AEI242" s="243"/>
      <c r="AEJ242" s="243"/>
      <c r="AEK242" s="243"/>
      <c r="AEL242" s="243"/>
      <c r="AEM242" s="243"/>
      <c r="AEN242" s="243"/>
      <c r="AEO242" s="243"/>
      <c r="AEP242" s="243"/>
      <c r="AEQ242" s="243"/>
      <c r="AER242" s="243"/>
      <c r="AES242" s="243"/>
      <c r="AET242" s="243"/>
      <c r="AEU242" s="243"/>
      <c r="AEV242" s="243"/>
      <c r="AEW242" s="243"/>
      <c r="AEX242" s="243"/>
      <c r="AEY242" s="243"/>
      <c r="AEZ242" s="243"/>
      <c r="AFA242" s="243"/>
      <c r="AFB242" s="243"/>
      <c r="AFC242" s="243"/>
      <c r="AFD242" s="243"/>
      <c r="AFE242" s="243"/>
      <c r="AFF242" s="243"/>
      <c r="AFG242" s="243"/>
      <c r="AFH242" s="243"/>
      <c r="AFI242" s="243"/>
      <c r="AFJ242" s="243"/>
      <c r="AFK242" s="243"/>
      <c r="AFL242" s="243"/>
      <c r="AFM242" s="243"/>
      <c r="AFN242" s="243"/>
      <c r="AFO242" s="243"/>
      <c r="AFP242" s="243"/>
      <c r="AFQ242" s="243"/>
      <c r="AFR242" s="243"/>
      <c r="AFS242" s="243"/>
      <c r="AFT242" s="243"/>
      <c r="AFU242" s="243"/>
      <c r="AFV242" s="243"/>
      <c r="AFW242" s="243"/>
      <c r="AFX242" s="243"/>
      <c r="AFY242" s="243"/>
      <c r="AFZ242" s="243"/>
      <c r="AGA242" s="243"/>
      <c r="AGB242" s="243"/>
      <c r="AGC242" s="243"/>
      <c r="AGD242" s="243"/>
      <c r="AGE242" s="243"/>
      <c r="AGF242" s="243"/>
      <c r="AGG242" s="243"/>
      <c r="AGH242" s="243"/>
      <c r="AGI242" s="243"/>
      <c r="AGJ242" s="243"/>
      <c r="AGK242" s="243"/>
      <c r="AGL242" s="243"/>
      <c r="AGM242" s="243"/>
      <c r="AGN242" s="243"/>
      <c r="AGO242" s="243"/>
      <c r="AGP242" s="243"/>
      <c r="AGQ242" s="243"/>
      <c r="AGR242" s="243"/>
      <c r="AGS242" s="243"/>
      <c r="AGT242" s="243"/>
      <c r="AGU242" s="243"/>
      <c r="AGV242" s="243"/>
      <c r="AGW242" s="243"/>
      <c r="AGX242" s="243"/>
      <c r="AGY242" s="243"/>
      <c r="AGZ242" s="243"/>
      <c r="AHA242" s="243"/>
      <c r="AHB242" s="243"/>
      <c r="AHC242" s="243"/>
      <c r="AHD242" s="243"/>
      <c r="AHE242" s="243"/>
      <c r="AHF242" s="243"/>
      <c r="AHG242" s="243"/>
      <c r="AHH242" s="243"/>
      <c r="AHI242" s="243"/>
      <c r="AHJ242" s="243"/>
      <c r="AHK242" s="243"/>
      <c r="AHL242" s="243"/>
      <c r="AHM242" s="243"/>
      <c r="AHN242" s="243"/>
      <c r="AHO242" s="243"/>
      <c r="AHP242" s="243"/>
      <c r="AHQ242" s="243"/>
      <c r="AHR242" s="243"/>
      <c r="AHS242" s="243"/>
      <c r="AHT242" s="243"/>
      <c r="AHU242" s="243"/>
      <c r="AHV242" s="243"/>
      <c r="AHW242" s="243"/>
      <c r="AHX242" s="243"/>
      <c r="AHY242" s="243"/>
      <c r="AHZ242" s="243"/>
      <c r="AIA242" s="243"/>
      <c r="AIB242" s="243"/>
      <c r="AIC242" s="243"/>
      <c r="AID242" s="243"/>
      <c r="AIE242" s="243"/>
      <c r="AIF242" s="243"/>
      <c r="AIG242" s="243"/>
      <c r="AIH242" s="243"/>
      <c r="AII242" s="243"/>
      <c r="AIJ242" s="243"/>
      <c r="AIK242" s="243"/>
      <c r="AIL242" s="243"/>
      <c r="AIM242" s="243"/>
      <c r="AIN242" s="243"/>
      <c r="AIO242" s="243"/>
      <c r="AIP242" s="243"/>
      <c r="AIQ242" s="243"/>
      <c r="AIR242" s="243"/>
      <c r="AIS242" s="243"/>
      <c r="AIT242" s="243"/>
      <c r="AIU242" s="243"/>
      <c r="AIV242" s="243"/>
      <c r="AIW242" s="243"/>
      <c r="AIX242" s="243"/>
      <c r="AIY242" s="243"/>
      <c r="AIZ242" s="243"/>
      <c r="AJA242" s="243"/>
      <c r="AJB242" s="243"/>
      <c r="AJC242" s="243"/>
      <c r="AJD242" s="243"/>
      <c r="AJE242" s="243"/>
      <c r="AJF242" s="243"/>
      <c r="AJG242" s="243"/>
      <c r="AJH242" s="243"/>
      <c r="AJI242" s="243"/>
      <c r="AJJ242" s="243"/>
      <c r="AJK242" s="243"/>
      <c r="AJL242" s="243"/>
      <c r="AJM242" s="243"/>
      <c r="AJN242" s="243"/>
      <c r="AJO242" s="243"/>
      <c r="AJP242" s="243"/>
      <c r="AJQ242" s="243"/>
      <c r="AJR242" s="243"/>
      <c r="AJS242" s="243"/>
      <c r="AJT242" s="243"/>
      <c r="AJU242" s="243"/>
      <c r="AJV242" s="243"/>
      <c r="AJW242" s="243"/>
      <c r="AJX242" s="243"/>
      <c r="AJY242" s="243"/>
      <c r="AJZ242" s="243"/>
      <c r="AKA242" s="243"/>
      <c r="AKB242" s="243"/>
      <c r="AKC242" s="243"/>
      <c r="AKD242" s="243"/>
      <c r="AKE242" s="243"/>
      <c r="AKF242" s="243"/>
      <c r="AKG242" s="243"/>
      <c r="AKH242" s="243"/>
      <c r="AKI242" s="243"/>
      <c r="AKJ242" s="243"/>
      <c r="AKK242" s="243"/>
      <c r="AKL242" s="243"/>
      <c r="AKM242" s="243"/>
      <c r="AKN242" s="243"/>
      <c r="AKO242" s="243"/>
      <c r="AKP242" s="243"/>
      <c r="AKQ242" s="243"/>
      <c r="AKR242" s="243"/>
      <c r="AKS242" s="243"/>
      <c r="AKT242" s="243"/>
      <c r="AKU242" s="243"/>
      <c r="AKV242" s="243"/>
      <c r="AKW242" s="243"/>
      <c r="AKX242" s="243"/>
      <c r="AKY242" s="243"/>
      <c r="AKZ242" s="243"/>
      <c r="ALA242" s="243"/>
      <c r="ALB242" s="243"/>
      <c r="ALC242" s="243"/>
      <c r="ALD242" s="243"/>
      <c r="ALE242" s="243"/>
      <c r="ALF242" s="243"/>
      <c r="ALG242" s="243"/>
      <c r="ALH242" s="243"/>
      <c r="ALI242" s="243"/>
      <c r="ALJ242" s="243"/>
      <c r="ALK242" s="243"/>
      <c r="ALL242" s="243"/>
      <c r="ALM242" s="243"/>
      <c r="ALN242" s="243"/>
      <c r="ALO242" s="243"/>
      <c r="ALP242" s="243"/>
      <c r="ALQ242" s="243"/>
      <c r="ALR242" s="243"/>
      <c r="ALS242" s="243"/>
      <c r="ALT242" s="243"/>
      <c r="ALU242" s="243"/>
      <c r="ALV242" s="243"/>
      <c r="ALW242" s="243"/>
      <c r="ALX242" s="243"/>
      <c r="ALY242" s="243"/>
      <c r="ALZ242" s="243"/>
      <c r="AMA242" s="243"/>
      <c r="AMB242" s="243"/>
      <c r="AMC242" s="243"/>
      <c r="AMD242" s="243"/>
      <c r="AME242" s="243"/>
      <c r="AMF242" s="243"/>
      <c r="AMG242" s="243"/>
      <c r="AMH242" s="243"/>
      <c r="AMI242" s="244"/>
      <c r="AMJ242" s="244"/>
    </row>
    <row r="243" spans="1:1024">
      <c r="A243" s="912"/>
      <c r="B243" s="442">
        <v>14020</v>
      </c>
      <c r="C243" s="430">
        <v>0.08</v>
      </c>
      <c r="D243" s="370" t="s">
        <v>165</v>
      </c>
      <c r="E243" s="433">
        <v>1600000</v>
      </c>
      <c r="F243" s="430">
        <v>0.08</v>
      </c>
      <c r="G243" s="401">
        <f t="shared" ref="G243:G244" si="9">E243*F243</f>
        <v>128000</v>
      </c>
      <c r="H243" s="402" t="s">
        <v>149</v>
      </c>
      <c r="I243" s="402" t="s">
        <v>138</v>
      </c>
      <c r="J243" s="402" t="s">
        <v>125</v>
      </c>
      <c r="K243" s="402" t="s">
        <v>123</v>
      </c>
      <c r="L243" s="402" t="s">
        <v>125</v>
      </c>
      <c r="M243" s="395"/>
      <c r="N243" s="396"/>
      <c r="O243" s="377"/>
      <c r="P243" s="377"/>
      <c r="Q243" s="377"/>
      <c r="R243" s="243"/>
      <c r="S243" s="243"/>
      <c r="T243" s="243"/>
      <c r="U243" s="243"/>
      <c r="V243" s="243"/>
      <c r="W243" s="243"/>
      <c r="X243" s="243"/>
      <c r="Y243" s="243"/>
      <c r="Z243" s="243"/>
      <c r="AA243" s="243"/>
      <c r="AB243" s="243"/>
      <c r="AC243" s="243"/>
      <c r="AD243" s="243"/>
      <c r="AE243" s="243"/>
      <c r="AF243" s="243"/>
      <c r="AG243" s="243"/>
      <c r="AH243" s="243"/>
      <c r="AI243" s="243"/>
      <c r="AJ243" s="243"/>
      <c r="AK243" s="243"/>
      <c r="AL243" s="243"/>
      <c r="AM243" s="243"/>
      <c r="AN243" s="243"/>
      <c r="AO243" s="243"/>
      <c r="AP243" s="243"/>
      <c r="AQ243" s="243"/>
      <c r="AR243" s="243"/>
      <c r="AS243" s="243"/>
      <c r="AT243" s="243"/>
      <c r="AU243" s="243"/>
      <c r="AV243" s="243"/>
      <c r="AW243" s="243"/>
      <c r="AX243" s="243"/>
      <c r="AY243" s="243"/>
      <c r="AZ243" s="243"/>
      <c r="BA243" s="243"/>
      <c r="BB243" s="243"/>
      <c r="BC243" s="243"/>
      <c r="BD243" s="243"/>
      <c r="BE243" s="243"/>
      <c r="BF243" s="243"/>
      <c r="BG243" s="243"/>
      <c r="BH243" s="243"/>
      <c r="BI243" s="243"/>
      <c r="BJ243" s="243"/>
      <c r="BK243" s="243"/>
      <c r="BL243" s="243"/>
      <c r="BM243" s="243"/>
      <c r="BN243" s="243"/>
      <c r="BO243" s="243"/>
      <c r="BP243" s="243"/>
      <c r="BQ243" s="243"/>
      <c r="BR243" s="243"/>
      <c r="BS243" s="243"/>
      <c r="BT243" s="243"/>
      <c r="BU243" s="243"/>
      <c r="BV243" s="243"/>
      <c r="BW243" s="243"/>
      <c r="BX243" s="243"/>
      <c r="BY243" s="243"/>
      <c r="BZ243" s="243"/>
      <c r="CA243" s="243"/>
      <c r="CB243" s="243"/>
      <c r="CC243" s="243"/>
      <c r="CD243" s="243"/>
      <c r="CE243" s="243"/>
      <c r="CF243" s="243"/>
      <c r="CG243" s="243"/>
      <c r="CH243" s="243"/>
      <c r="CI243" s="243"/>
      <c r="CJ243" s="243"/>
      <c r="CK243" s="243"/>
      <c r="CL243" s="243"/>
      <c r="CM243" s="243"/>
      <c r="CN243" s="243"/>
      <c r="CO243" s="243"/>
      <c r="CP243" s="243"/>
      <c r="CQ243" s="243"/>
      <c r="CR243" s="243"/>
      <c r="CS243" s="243"/>
      <c r="CT243" s="243"/>
      <c r="CU243" s="243"/>
      <c r="CV243" s="243"/>
      <c r="CW243" s="243"/>
      <c r="CX243" s="243"/>
      <c r="CY243" s="243"/>
      <c r="CZ243" s="243"/>
      <c r="DA243" s="243"/>
      <c r="DB243" s="243"/>
      <c r="DC243" s="243"/>
      <c r="DD243" s="243"/>
      <c r="DE243" s="243"/>
      <c r="DF243" s="243"/>
      <c r="DG243" s="243"/>
      <c r="DH243" s="243"/>
      <c r="DI243" s="243"/>
      <c r="DJ243" s="243"/>
      <c r="DK243" s="243"/>
      <c r="DL243" s="243"/>
      <c r="DM243" s="243"/>
      <c r="DN243" s="243"/>
      <c r="DO243" s="243"/>
      <c r="DP243" s="243"/>
      <c r="DQ243" s="243"/>
      <c r="DR243" s="243"/>
      <c r="DS243" s="243"/>
      <c r="DT243" s="243"/>
      <c r="DU243" s="243"/>
      <c r="DV243" s="243"/>
      <c r="DW243" s="243"/>
      <c r="DX243" s="243"/>
      <c r="DY243" s="243"/>
      <c r="DZ243" s="243"/>
      <c r="EA243" s="243"/>
      <c r="EB243" s="243"/>
      <c r="EC243" s="243"/>
      <c r="ED243" s="243"/>
      <c r="EE243" s="243"/>
      <c r="EF243" s="243"/>
      <c r="EG243" s="243"/>
      <c r="EH243" s="243"/>
      <c r="EI243" s="243"/>
      <c r="EJ243" s="243"/>
      <c r="EK243" s="243"/>
      <c r="EL243" s="243"/>
      <c r="EM243" s="243"/>
      <c r="EN243" s="243"/>
      <c r="EO243" s="243"/>
      <c r="EP243" s="243"/>
      <c r="EQ243" s="243"/>
      <c r="ER243" s="243"/>
      <c r="ES243" s="243"/>
      <c r="ET243" s="243"/>
      <c r="EU243" s="243"/>
      <c r="EV243" s="243"/>
      <c r="EW243" s="243"/>
      <c r="EX243" s="243"/>
      <c r="EY243" s="243"/>
      <c r="EZ243" s="243"/>
      <c r="FA243" s="243"/>
      <c r="FB243" s="243"/>
      <c r="FC243" s="243"/>
      <c r="FD243" s="243"/>
      <c r="FE243" s="243"/>
      <c r="FF243" s="243"/>
      <c r="FG243" s="243"/>
      <c r="FH243" s="243"/>
      <c r="FI243" s="243"/>
      <c r="FJ243" s="243"/>
      <c r="FK243" s="243"/>
      <c r="FL243" s="243"/>
      <c r="FM243" s="243"/>
      <c r="FN243" s="243"/>
      <c r="FO243" s="243"/>
      <c r="FP243" s="243"/>
      <c r="FQ243" s="243"/>
      <c r="FR243" s="243"/>
      <c r="FS243" s="243"/>
      <c r="FT243" s="243"/>
      <c r="FU243" s="243"/>
      <c r="FV243" s="243"/>
      <c r="FW243" s="243"/>
      <c r="FX243" s="243"/>
      <c r="FY243" s="243"/>
      <c r="FZ243" s="243"/>
      <c r="GA243" s="243"/>
      <c r="GB243" s="243"/>
      <c r="GC243" s="243"/>
      <c r="GD243" s="243"/>
      <c r="GE243" s="243"/>
      <c r="GF243" s="243"/>
      <c r="GG243" s="243"/>
      <c r="GH243" s="243"/>
      <c r="GI243" s="243"/>
      <c r="GJ243" s="243"/>
      <c r="GK243" s="243"/>
      <c r="GL243" s="243"/>
      <c r="GM243" s="243"/>
      <c r="GN243" s="243"/>
      <c r="GO243" s="243"/>
      <c r="GP243" s="243"/>
      <c r="GQ243" s="243"/>
      <c r="GR243" s="243"/>
      <c r="GS243" s="243"/>
      <c r="GT243" s="243"/>
      <c r="GU243" s="243"/>
      <c r="GV243" s="243"/>
      <c r="GW243" s="243"/>
      <c r="GX243" s="243"/>
      <c r="GY243" s="243"/>
      <c r="GZ243" s="243"/>
      <c r="HA243" s="243"/>
      <c r="HB243" s="243"/>
      <c r="HC243" s="243"/>
      <c r="HD243" s="243"/>
      <c r="HE243" s="243"/>
      <c r="HF243" s="243"/>
      <c r="HG243" s="243"/>
      <c r="HH243" s="243"/>
      <c r="HI243" s="243"/>
      <c r="HJ243" s="243"/>
      <c r="HK243" s="243"/>
      <c r="HL243" s="243"/>
      <c r="HM243" s="243"/>
      <c r="HN243" s="243"/>
      <c r="HO243" s="243"/>
      <c r="HP243" s="243"/>
      <c r="HQ243" s="243"/>
      <c r="HR243" s="243"/>
      <c r="HS243" s="243"/>
      <c r="HT243" s="243"/>
      <c r="HU243" s="243"/>
      <c r="HV243" s="243"/>
      <c r="HW243" s="243"/>
      <c r="HX243" s="243"/>
      <c r="HY243" s="243"/>
      <c r="HZ243" s="243"/>
      <c r="IA243" s="243"/>
      <c r="IB243" s="243"/>
      <c r="IC243" s="243"/>
      <c r="ID243" s="243"/>
      <c r="IE243" s="243"/>
      <c r="IF243" s="243"/>
      <c r="IG243" s="243"/>
      <c r="IH243" s="243"/>
      <c r="II243" s="243"/>
      <c r="IJ243" s="243"/>
      <c r="IK243" s="243"/>
      <c r="IL243" s="243"/>
      <c r="IM243" s="243"/>
      <c r="IN243" s="243"/>
      <c r="IO243" s="243"/>
      <c r="IP243" s="243"/>
      <c r="IQ243" s="243"/>
      <c r="IR243" s="243"/>
      <c r="IS243" s="243"/>
      <c r="IT243" s="243"/>
      <c r="IU243" s="243"/>
      <c r="IV243" s="243"/>
      <c r="IW243" s="243"/>
      <c r="IX243" s="243"/>
      <c r="IY243" s="243"/>
      <c r="IZ243" s="243"/>
      <c r="JA243" s="243"/>
      <c r="JB243" s="243"/>
      <c r="JC243" s="243"/>
      <c r="JD243" s="243"/>
      <c r="JE243" s="243"/>
      <c r="JF243" s="243"/>
      <c r="JG243" s="243"/>
      <c r="JH243" s="243"/>
      <c r="JI243" s="243"/>
      <c r="JJ243" s="243"/>
      <c r="JK243" s="243"/>
      <c r="JL243" s="243"/>
      <c r="JM243" s="243"/>
      <c r="JN243" s="243"/>
      <c r="JO243" s="243"/>
      <c r="JP243" s="243"/>
      <c r="JQ243" s="243"/>
      <c r="JR243" s="243"/>
      <c r="JS243" s="243"/>
      <c r="JT243" s="243"/>
      <c r="JU243" s="243"/>
      <c r="JV243" s="243"/>
      <c r="JW243" s="243"/>
      <c r="JX243" s="243"/>
      <c r="JY243" s="243"/>
      <c r="JZ243" s="243"/>
      <c r="KA243" s="243"/>
      <c r="KB243" s="243"/>
      <c r="KC243" s="243"/>
      <c r="KD243" s="243"/>
      <c r="KE243" s="243"/>
      <c r="KF243" s="243"/>
      <c r="KG243" s="243"/>
      <c r="KH243" s="243"/>
      <c r="KI243" s="243"/>
      <c r="KJ243" s="243"/>
      <c r="KK243" s="243"/>
      <c r="KL243" s="243"/>
      <c r="KM243" s="243"/>
      <c r="KN243" s="243"/>
      <c r="KO243" s="243"/>
      <c r="KP243" s="243"/>
      <c r="KQ243" s="243"/>
      <c r="KR243" s="243"/>
      <c r="KS243" s="243"/>
      <c r="KT243" s="243"/>
      <c r="KU243" s="243"/>
      <c r="KV243" s="243"/>
      <c r="KW243" s="243"/>
      <c r="KX243" s="243"/>
      <c r="KY243" s="243"/>
      <c r="KZ243" s="243"/>
      <c r="LA243" s="243"/>
      <c r="LB243" s="243"/>
      <c r="LC243" s="243"/>
      <c r="LD243" s="243"/>
      <c r="LE243" s="243"/>
      <c r="LF243" s="243"/>
      <c r="LG243" s="243"/>
      <c r="LH243" s="243"/>
      <c r="LI243" s="243"/>
      <c r="LJ243" s="243"/>
      <c r="LK243" s="243"/>
      <c r="LL243" s="243"/>
      <c r="LM243" s="243"/>
      <c r="LN243" s="243"/>
      <c r="LO243" s="243"/>
      <c r="LP243" s="243"/>
      <c r="LQ243" s="243"/>
      <c r="LR243" s="243"/>
      <c r="LS243" s="243"/>
      <c r="LT243" s="243"/>
      <c r="LU243" s="243"/>
      <c r="LV243" s="243"/>
      <c r="LW243" s="243"/>
      <c r="LX243" s="243"/>
      <c r="LY243" s="243"/>
      <c r="LZ243" s="243"/>
      <c r="MA243" s="243"/>
      <c r="MB243" s="243"/>
      <c r="MC243" s="243"/>
      <c r="MD243" s="243"/>
      <c r="ME243" s="243"/>
      <c r="MF243" s="243"/>
      <c r="MG243" s="243"/>
      <c r="MH243" s="243"/>
      <c r="MI243" s="243"/>
      <c r="MJ243" s="243"/>
      <c r="MK243" s="243"/>
      <c r="ML243" s="243"/>
      <c r="MM243" s="243"/>
      <c r="MN243" s="243"/>
      <c r="MO243" s="243"/>
      <c r="MP243" s="243"/>
      <c r="MQ243" s="243"/>
      <c r="MR243" s="243"/>
      <c r="MS243" s="243"/>
      <c r="MT243" s="243"/>
      <c r="MU243" s="243"/>
      <c r="MV243" s="243"/>
      <c r="MW243" s="243"/>
      <c r="MX243" s="243"/>
      <c r="MY243" s="243"/>
      <c r="MZ243" s="243"/>
      <c r="NA243" s="243"/>
      <c r="NB243" s="243"/>
      <c r="NC243" s="243"/>
      <c r="ND243" s="243"/>
      <c r="NE243" s="243"/>
      <c r="NF243" s="243"/>
      <c r="NG243" s="243"/>
      <c r="NH243" s="243"/>
      <c r="NI243" s="243"/>
      <c r="NJ243" s="243"/>
      <c r="NK243" s="243"/>
      <c r="NL243" s="243"/>
      <c r="NM243" s="243"/>
      <c r="NN243" s="243"/>
      <c r="NO243" s="243"/>
      <c r="NP243" s="243"/>
      <c r="NQ243" s="243"/>
      <c r="NR243" s="243"/>
      <c r="NS243" s="243"/>
      <c r="NT243" s="243"/>
      <c r="NU243" s="243"/>
      <c r="NV243" s="243"/>
      <c r="NW243" s="243"/>
      <c r="NX243" s="243"/>
      <c r="NY243" s="243"/>
      <c r="NZ243" s="243"/>
      <c r="OA243" s="243"/>
      <c r="OB243" s="243"/>
      <c r="OC243" s="243"/>
      <c r="OD243" s="243"/>
      <c r="OE243" s="243"/>
      <c r="OF243" s="243"/>
      <c r="OG243" s="243"/>
      <c r="OH243" s="243"/>
      <c r="OI243" s="243"/>
      <c r="OJ243" s="243"/>
      <c r="OK243" s="243"/>
      <c r="OL243" s="243"/>
      <c r="OM243" s="243"/>
      <c r="ON243" s="243"/>
      <c r="OO243" s="243"/>
      <c r="OP243" s="243"/>
      <c r="OQ243" s="243"/>
      <c r="OR243" s="243"/>
      <c r="OS243" s="243"/>
      <c r="OT243" s="243"/>
      <c r="OU243" s="243"/>
      <c r="OV243" s="243"/>
      <c r="OW243" s="243"/>
      <c r="OX243" s="243"/>
      <c r="OY243" s="243"/>
      <c r="OZ243" s="243"/>
      <c r="PA243" s="243"/>
      <c r="PB243" s="243"/>
      <c r="PC243" s="243"/>
      <c r="PD243" s="243"/>
      <c r="PE243" s="243"/>
      <c r="PF243" s="243"/>
      <c r="PG243" s="243"/>
      <c r="PH243" s="243"/>
      <c r="PI243" s="243"/>
      <c r="PJ243" s="243"/>
      <c r="PK243" s="243"/>
      <c r="PL243" s="243"/>
      <c r="PM243" s="243"/>
      <c r="PN243" s="243"/>
      <c r="PO243" s="243"/>
      <c r="PP243" s="243"/>
      <c r="PQ243" s="243"/>
      <c r="PR243" s="243"/>
      <c r="PS243" s="243"/>
      <c r="PT243" s="243"/>
      <c r="PU243" s="243"/>
      <c r="PV243" s="243"/>
      <c r="PW243" s="243"/>
      <c r="PX243" s="243"/>
      <c r="PY243" s="243"/>
      <c r="PZ243" s="243"/>
      <c r="QA243" s="243"/>
      <c r="QB243" s="243"/>
      <c r="QC243" s="243"/>
      <c r="QD243" s="243"/>
      <c r="QE243" s="243"/>
      <c r="QF243" s="243"/>
      <c r="QG243" s="243"/>
      <c r="QH243" s="243"/>
      <c r="QI243" s="243"/>
      <c r="QJ243" s="243"/>
      <c r="QK243" s="243"/>
      <c r="QL243" s="243"/>
      <c r="QM243" s="243"/>
      <c r="QN243" s="243"/>
      <c r="QO243" s="243"/>
      <c r="QP243" s="243"/>
      <c r="QQ243" s="243"/>
      <c r="QR243" s="243"/>
      <c r="QS243" s="243"/>
      <c r="QT243" s="243"/>
      <c r="QU243" s="243"/>
      <c r="QV243" s="243"/>
      <c r="QW243" s="243"/>
      <c r="QX243" s="243"/>
      <c r="QY243" s="243"/>
      <c r="QZ243" s="243"/>
      <c r="RA243" s="243"/>
      <c r="RB243" s="243"/>
      <c r="RC243" s="243"/>
      <c r="RD243" s="243"/>
      <c r="RE243" s="243"/>
      <c r="RF243" s="243"/>
      <c r="RG243" s="243"/>
      <c r="RH243" s="243"/>
      <c r="RI243" s="243"/>
      <c r="RJ243" s="243"/>
      <c r="RK243" s="243"/>
      <c r="RL243" s="243"/>
      <c r="RM243" s="243"/>
      <c r="RN243" s="243"/>
      <c r="RO243" s="243"/>
      <c r="RP243" s="243"/>
      <c r="RQ243" s="243"/>
      <c r="RR243" s="243"/>
      <c r="RS243" s="243"/>
      <c r="RT243" s="243"/>
      <c r="RU243" s="243"/>
      <c r="RV243" s="243"/>
      <c r="RW243" s="243"/>
      <c r="RX243" s="243"/>
      <c r="RY243" s="243"/>
      <c r="RZ243" s="243"/>
      <c r="SA243" s="243"/>
      <c r="SB243" s="243"/>
      <c r="SC243" s="243"/>
      <c r="SD243" s="243"/>
      <c r="SE243" s="243"/>
      <c r="SF243" s="243"/>
      <c r="SG243" s="243"/>
      <c r="SH243" s="243"/>
      <c r="SI243" s="243"/>
      <c r="SJ243" s="243"/>
      <c r="SK243" s="243"/>
      <c r="SL243" s="243"/>
      <c r="SM243" s="243"/>
      <c r="SN243" s="243"/>
      <c r="SO243" s="243"/>
      <c r="SP243" s="243"/>
      <c r="SQ243" s="243"/>
      <c r="SR243" s="243"/>
      <c r="SS243" s="243"/>
      <c r="ST243" s="243"/>
      <c r="SU243" s="243"/>
      <c r="SV243" s="243"/>
      <c r="SW243" s="243"/>
      <c r="SX243" s="243"/>
      <c r="SY243" s="243"/>
      <c r="SZ243" s="243"/>
      <c r="TA243" s="243"/>
      <c r="TB243" s="243"/>
      <c r="TC243" s="243"/>
      <c r="TD243" s="243"/>
      <c r="TE243" s="243"/>
      <c r="TF243" s="243"/>
      <c r="TG243" s="243"/>
      <c r="TH243" s="243"/>
      <c r="TI243" s="243"/>
      <c r="TJ243" s="243"/>
      <c r="TK243" s="243"/>
      <c r="TL243" s="243"/>
      <c r="TM243" s="243"/>
      <c r="TN243" s="243"/>
      <c r="TO243" s="243"/>
      <c r="TP243" s="243"/>
      <c r="TQ243" s="243"/>
      <c r="TR243" s="243"/>
      <c r="TS243" s="243"/>
      <c r="TT243" s="243"/>
      <c r="TU243" s="243"/>
      <c r="TV243" s="243"/>
      <c r="TW243" s="243"/>
      <c r="TX243" s="243"/>
      <c r="TY243" s="243"/>
      <c r="TZ243" s="243"/>
      <c r="UA243" s="243"/>
      <c r="UB243" s="243"/>
      <c r="UC243" s="243"/>
      <c r="UD243" s="243"/>
      <c r="UE243" s="243"/>
      <c r="UF243" s="243"/>
      <c r="UG243" s="243"/>
      <c r="UH243" s="243"/>
      <c r="UI243" s="243"/>
      <c r="UJ243" s="243"/>
      <c r="UK243" s="243"/>
      <c r="UL243" s="243"/>
      <c r="UM243" s="243"/>
      <c r="UN243" s="243"/>
      <c r="UO243" s="243"/>
      <c r="UP243" s="243"/>
      <c r="UQ243" s="243"/>
      <c r="UR243" s="243"/>
      <c r="US243" s="243"/>
      <c r="UT243" s="243"/>
      <c r="UU243" s="243"/>
      <c r="UV243" s="243"/>
      <c r="UW243" s="243"/>
      <c r="UX243" s="243"/>
      <c r="UY243" s="243"/>
      <c r="UZ243" s="243"/>
      <c r="VA243" s="243"/>
      <c r="VB243" s="243"/>
      <c r="VC243" s="243"/>
      <c r="VD243" s="243"/>
      <c r="VE243" s="243"/>
      <c r="VF243" s="243"/>
      <c r="VG243" s="243"/>
      <c r="VH243" s="243"/>
      <c r="VI243" s="243"/>
      <c r="VJ243" s="243"/>
      <c r="VK243" s="243"/>
      <c r="VL243" s="243"/>
      <c r="VM243" s="243"/>
      <c r="VN243" s="243"/>
      <c r="VO243" s="243"/>
      <c r="VP243" s="243"/>
      <c r="VQ243" s="243"/>
      <c r="VR243" s="243"/>
      <c r="VS243" s="243"/>
      <c r="VT243" s="243"/>
      <c r="VU243" s="243"/>
      <c r="VV243" s="243"/>
      <c r="VW243" s="243"/>
      <c r="VX243" s="243"/>
      <c r="VY243" s="243"/>
      <c r="VZ243" s="243"/>
      <c r="WA243" s="243"/>
      <c r="WB243" s="243"/>
      <c r="WC243" s="243"/>
      <c r="WD243" s="243"/>
      <c r="WE243" s="243"/>
      <c r="WF243" s="243"/>
      <c r="WG243" s="243"/>
      <c r="WH243" s="243"/>
      <c r="WI243" s="243"/>
      <c r="WJ243" s="243"/>
      <c r="WK243" s="243"/>
      <c r="WL243" s="243"/>
      <c r="WM243" s="243"/>
      <c r="WN243" s="243"/>
      <c r="WO243" s="243"/>
      <c r="WP243" s="243"/>
      <c r="WQ243" s="243"/>
      <c r="WR243" s="243"/>
      <c r="WS243" s="243"/>
      <c r="WT243" s="243"/>
      <c r="WU243" s="243"/>
      <c r="WV243" s="243"/>
      <c r="WW243" s="243"/>
      <c r="WX243" s="243"/>
      <c r="WY243" s="243"/>
      <c r="WZ243" s="243"/>
      <c r="XA243" s="243"/>
      <c r="XB243" s="243"/>
      <c r="XC243" s="243"/>
      <c r="XD243" s="243"/>
      <c r="XE243" s="243"/>
      <c r="XF243" s="243"/>
      <c r="XG243" s="243"/>
      <c r="XH243" s="243"/>
      <c r="XI243" s="243"/>
      <c r="XJ243" s="243"/>
      <c r="XK243" s="243"/>
      <c r="XL243" s="243"/>
      <c r="XM243" s="243"/>
      <c r="XN243" s="243"/>
      <c r="XO243" s="243"/>
      <c r="XP243" s="243"/>
      <c r="XQ243" s="243"/>
      <c r="XR243" s="243"/>
      <c r="XS243" s="243"/>
      <c r="XT243" s="243"/>
      <c r="XU243" s="243"/>
      <c r="XV243" s="243"/>
      <c r="XW243" s="243"/>
      <c r="XX243" s="243"/>
      <c r="XY243" s="243"/>
      <c r="XZ243" s="243"/>
      <c r="YA243" s="243"/>
      <c r="YB243" s="243"/>
      <c r="YC243" s="243"/>
      <c r="YD243" s="243"/>
      <c r="YE243" s="243"/>
      <c r="YF243" s="243"/>
      <c r="YG243" s="243"/>
      <c r="YH243" s="243"/>
      <c r="YI243" s="243"/>
      <c r="YJ243" s="243"/>
      <c r="YK243" s="243"/>
      <c r="YL243" s="243"/>
      <c r="YM243" s="243"/>
      <c r="YN243" s="243"/>
      <c r="YO243" s="243"/>
      <c r="YP243" s="243"/>
      <c r="YQ243" s="243"/>
      <c r="YR243" s="243"/>
      <c r="YS243" s="243"/>
      <c r="YT243" s="243"/>
      <c r="YU243" s="243"/>
      <c r="YV243" s="243"/>
      <c r="YW243" s="243"/>
      <c r="YX243" s="243"/>
      <c r="YY243" s="243"/>
      <c r="YZ243" s="243"/>
      <c r="ZA243" s="243"/>
      <c r="ZB243" s="243"/>
      <c r="ZC243" s="243"/>
      <c r="ZD243" s="243"/>
      <c r="ZE243" s="243"/>
      <c r="ZF243" s="243"/>
      <c r="ZG243" s="243"/>
      <c r="ZH243" s="243"/>
      <c r="ZI243" s="243"/>
      <c r="ZJ243" s="243"/>
      <c r="ZK243" s="243"/>
      <c r="ZL243" s="243"/>
      <c r="ZM243" s="243"/>
      <c r="ZN243" s="243"/>
      <c r="ZO243" s="243"/>
      <c r="ZP243" s="243"/>
      <c r="ZQ243" s="243"/>
      <c r="ZR243" s="243"/>
      <c r="ZS243" s="243"/>
      <c r="ZT243" s="243"/>
      <c r="ZU243" s="243"/>
      <c r="ZV243" s="243"/>
      <c r="ZW243" s="243"/>
      <c r="ZX243" s="243"/>
      <c r="ZY243" s="243"/>
      <c r="ZZ243" s="243"/>
      <c r="AAA243" s="243"/>
      <c r="AAB243" s="243"/>
      <c r="AAC243" s="243"/>
      <c r="AAD243" s="243"/>
      <c r="AAE243" s="243"/>
      <c r="AAF243" s="243"/>
      <c r="AAG243" s="243"/>
      <c r="AAH243" s="243"/>
      <c r="AAI243" s="243"/>
      <c r="AAJ243" s="243"/>
      <c r="AAK243" s="243"/>
      <c r="AAL243" s="243"/>
      <c r="AAM243" s="243"/>
      <c r="AAN243" s="243"/>
      <c r="AAO243" s="243"/>
      <c r="AAP243" s="243"/>
      <c r="AAQ243" s="243"/>
      <c r="AAR243" s="243"/>
      <c r="AAS243" s="243"/>
      <c r="AAT243" s="243"/>
      <c r="AAU243" s="243"/>
      <c r="AAV243" s="243"/>
      <c r="AAW243" s="243"/>
      <c r="AAX243" s="243"/>
      <c r="AAY243" s="243"/>
      <c r="AAZ243" s="243"/>
      <c r="ABA243" s="243"/>
      <c r="ABB243" s="243"/>
      <c r="ABC243" s="243"/>
      <c r="ABD243" s="243"/>
      <c r="ABE243" s="243"/>
      <c r="ABF243" s="243"/>
      <c r="ABG243" s="243"/>
      <c r="ABH243" s="243"/>
      <c r="ABI243" s="243"/>
      <c r="ABJ243" s="243"/>
      <c r="ABK243" s="243"/>
      <c r="ABL243" s="243"/>
      <c r="ABM243" s="243"/>
      <c r="ABN243" s="243"/>
      <c r="ABO243" s="243"/>
      <c r="ABP243" s="243"/>
      <c r="ABQ243" s="243"/>
      <c r="ABR243" s="243"/>
      <c r="ABS243" s="243"/>
      <c r="ABT243" s="243"/>
      <c r="ABU243" s="243"/>
      <c r="ABV243" s="243"/>
      <c r="ABW243" s="243"/>
      <c r="ABX243" s="243"/>
      <c r="ABY243" s="243"/>
      <c r="ABZ243" s="243"/>
      <c r="ACA243" s="243"/>
      <c r="ACB243" s="243"/>
      <c r="ACC243" s="243"/>
      <c r="ACD243" s="243"/>
      <c r="ACE243" s="243"/>
      <c r="ACF243" s="243"/>
      <c r="ACG243" s="243"/>
      <c r="ACH243" s="243"/>
      <c r="ACI243" s="243"/>
      <c r="ACJ243" s="243"/>
      <c r="ACK243" s="243"/>
      <c r="ACL243" s="243"/>
      <c r="ACM243" s="243"/>
      <c r="ACN243" s="243"/>
      <c r="ACO243" s="243"/>
      <c r="ACP243" s="243"/>
      <c r="ACQ243" s="243"/>
      <c r="ACR243" s="243"/>
      <c r="ACS243" s="243"/>
      <c r="ACT243" s="243"/>
      <c r="ACU243" s="243"/>
      <c r="ACV243" s="243"/>
      <c r="ACW243" s="243"/>
      <c r="ACX243" s="243"/>
      <c r="ACY243" s="243"/>
      <c r="ACZ243" s="243"/>
      <c r="ADA243" s="243"/>
      <c r="ADB243" s="243"/>
      <c r="ADC243" s="243"/>
      <c r="ADD243" s="243"/>
      <c r="ADE243" s="243"/>
      <c r="ADF243" s="243"/>
      <c r="ADG243" s="243"/>
      <c r="ADH243" s="243"/>
      <c r="ADI243" s="243"/>
      <c r="ADJ243" s="243"/>
      <c r="ADK243" s="243"/>
      <c r="ADL243" s="243"/>
      <c r="ADM243" s="243"/>
      <c r="ADN243" s="243"/>
      <c r="ADO243" s="243"/>
      <c r="ADP243" s="243"/>
      <c r="ADQ243" s="243"/>
      <c r="ADR243" s="243"/>
      <c r="ADS243" s="243"/>
      <c r="ADT243" s="243"/>
      <c r="ADU243" s="243"/>
      <c r="ADV243" s="243"/>
      <c r="ADW243" s="243"/>
      <c r="ADX243" s="243"/>
      <c r="ADY243" s="243"/>
      <c r="ADZ243" s="243"/>
      <c r="AEA243" s="243"/>
      <c r="AEB243" s="243"/>
      <c r="AEC243" s="243"/>
      <c r="AED243" s="243"/>
      <c r="AEE243" s="243"/>
      <c r="AEF243" s="243"/>
      <c r="AEG243" s="243"/>
      <c r="AEH243" s="243"/>
      <c r="AEI243" s="243"/>
      <c r="AEJ243" s="243"/>
      <c r="AEK243" s="243"/>
      <c r="AEL243" s="243"/>
      <c r="AEM243" s="243"/>
      <c r="AEN243" s="243"/>
      <c r="AEO243" s="243"/>
      <c r="AEP243" s="243"/>
      <c r="AEQ243" s="243"/>
      <c r="AER243" s="243"/>
      <c r="AES243" s="243"/>
      <c r="AET243" s="243"/>
      <c r="AEU243" s="243"/>
      <c r="AEV243" s="243"/>
      <c r="AEW243" s="243"/>
      <c r="AEX243" s="243"/>
      <c r="AEY243" s="243"/>
      <c r="AEZ243" s="243"/>
      <c r="AFA243" s="243"/>
      <c r="AFB243" s="243"/>
      <c r="AFC243" s="243"/>
      <c r="AFD243" s="243"/>
      <c r="AFE243" s="243"/>
      <c r="AFF243" s="243"/>
      <c r="AFG243" s="243"/>
      <c r="AFH243" s="243"/>
      <c r="AFI243" s="243"/>
      <c r="AFJ243" s="243"/>
      <c r="AFK243" s="243"/>
      <c r="AFL243" s="243"/>
      <c r="AFM243" s="243"/>
      <c r="AFN243" s="243"/>
      <c r="AFO243" s="243"/>
      <c r="AFP243" s="243"/>
      <c r="AFQ243" s="243"/>
      <c r="AFR243" s="243"/>
      <c r="AFS243" s="243"/>
      <c r="AFT243" s="243"/>
      <c r="AFU243" s="243"/>
      <c r="AFV243" s="243"/>
      <c r="AFW243" s="243"/>
      <c r="AFX243" s="243"/>
      <c r="AFY243" s="243"/>
      <c r="AFZ243" s="243"/>
      <c r="AGA243" s="243"/>
      <c r="AGB243" s="243"/>
      <c r="AGC243" s="243"/>
      <c r="AGD243" s="243"/>
      <c r="AGE243" s="243"/>
      <c r="AGF243" s="243"/>
      <c r="AGG243" s="243"/>
      <c r="AGH243" s="243"/>
      <c r="AGI243" s="243"/>
      <c r="AGJ243" s="243"/>
      <c r="AGK243" s="243"/>
      <c r="AGL243" s="243"/>
      <c r="AGM243" s="243"/>
      <c r="AGN243" s="243"/>
      <c r="AGO243" s="243"/>
      <c r="AGP243" s="243"/>
      <c r="AGQ243" s="243"/>
      <c r="AGR243" s="243"/>
      <c r="AGS243" s="243"/>
      <c r="AGT243" s="243"/>
      <c r="AGU243" s="243"/>
      <c r="AGV243" s="243"/>
      <c r="AGW243" s="243"/>
      <c r="AGX243" s="243"/>
      <c r="AGY243" s="243"/>
      <c r="AGZ243" s="243"/>
      <c r="AHA243" s="243"/>
      <c r="AHB243" s="243"/>
      <c r="AHC243" s="243"/>
      <c r="AHD243" s="243"/>
      <c r="AHE243" s="243"/>
      <c r="AHF243" s="243"/>
      <c r="AHG243" s="243"/>
      <c r="AHH243" s="243"/>
      <c r="AHI243" s="243"/>
      <c r="AHJ243" s="243"/>
      <c r="AHK243" s="243"/>
      <c r="AHL243" s="243"/>
      <c r="AHM243" s="243"/>
      <c r="AHN243" s="243"/>
      <c r="AHO243" s="243"/>
      <c r="AHP243" s="243"/>
      <c r="AHQ243" s="243"/>
      <c r="AHR243" s="243"/>
      <c r="AHS243" s="243"/>
      <c r="AHT243" s="243"/>
      <c r="AHU243" s="243"/>
      <c r="AHV243" s="243"/>
      <c r="AHW243" s="243"/>
      <c r="AHX243" s="243"/>
      <c r="AHY243" s="243"/>
      <c r="AHZ243" s="243"/>
      <c r="AIA243" s="243"/>
      <c r="AIB243" s="243"/>
      <c r="AIC243" s="243"/>
      <c r="AID243" s="243"/>
      <c r="AIE243" s="243"/>
      <c r="AIF243" s="243"/>
      <c r="AIG243" s="243"/>
      <c r="AIH243" s="243"/>
      <c r="AII243" s="243"/>
      <c r="AIJ243" s="243"/>
      <c r="AIK243" s="243"/>
      <c r="AIL243" s="243"/>
      <c r="AIM243" s="243"/>
      <c r="AIN243" s="243"/>
      <c r="AIO243" s="243"/>
      <c r="AIP243" s="243"/>
      <c r="AIQ243" s="243"/>
      <c r="AIR243" s="243"/>
      <c r="AIS243" s="243"/>
      <c r="AIT243" s="243"/>
      <c r="AIU243" s="243"/>
      <c r="AIV243" s="243"/>
      <c r="AIW243" s="243"/>
      <c r="AIX243" s="243"/>
      <c r="AIY243" s="243"/>
      <c r="AIZ243" s="243"/>
      <c r="AJA243" s="243"/>
      <c r="AJB243" s="243"/>
      <c r="AJC243" s="243"/>
      <c r="AJD243" s="243"/>
      <c r="AJE243" s="243"/>
      <c r="AJF243" s="243"/>
      <c r="AJG243" s="243"/>
      <c r="AJH243" s="243"/>
      <c r="AJI243" s="243"/>
      <c r="AJJ243" s="243"/>
      <c r="AJK243" s="243"/>
      <c r="AJL243" s="243"/>
      <c r="AJM243" s="243"/>
      <c r="AJN243" s="243"/>
      <c r="AJO243" s="243"/>
      <c r="AJP243" s="243"/>
      <c r="AJQ243" s="243"/>
      <c r="AJR243" s="243"/>
      <c r="AJS243" s="243"/>
      <c r="AJT243" s="243"/>
      <c r="AJU243" s="243"/>
      <c r="AJV243" s="243"/>
      <c r="AJW243" s="243"/>
      <c r="AJX243" s="243"/>
      <c r="AJY243" s="243"/>
      <c r="AJZ243" s="243"/>
      <c r="AKA243" s="243"/>
      <c r="AKB243" s="243"/>
      <c r="AKC243" s="243"/>
      <c r="AKD243" s="243"/>
      <c r="AKE243" s="243"/>
      <c r="AKF243" s="243"/>
      <c r="AKG243" s="243"/>
      <c r="AKH243" s="243"/>
      <c r="AKI243" s="243"/>
      <c r="AKJ243" s="243"/>
      <c r="AKK243" s="243"/>
      <c r="AKL243" s="243"/>
      <c r="AKM243" s="243"/>
      <c r="AKN243" s="243"/>
      <c r="AKO243" s="243"/>
      <c r="AKP243" s="243"/>
      <c r="AKQ243" s="243"/>
      <c r="AKR243" s="243"/>
      <c r="AKS243" s="243"/>
      <c r="AKT243" s="243"/>
      <c r="AKU243" s="243"/>
      <c r="AKV243" s="243"/>
      <c r="AKW243" s="243"/>
      <c r="AKX243" s="243"/>
      <c r="AKY243" s="243"/>
      <c r="AKZ243" s="243"/>
      <c r="ALA243" s="243"/>
      <c r="ALB243" s="243"/>
      <c r="ALC243" s="243"/>
      <c r="ALD243" s="243"/>
      <c r="ALE243" s="243"/>
      <c r="ALF243" s="243"/>
      <c r="ALG243" s="243"/>
      <c r="ALH243" s="243"/>
      <c r="ALI243" s="243"/>
      <c r="ALJ243" s="243"/>
      <c r="ALK243" s="243"/>
      <c r="ALL243" s="243"/>
      <c r="ALM243" s="243"/>
      <c r="ALN243" s="243"/>
      <c r="ALO243" s="243"/>
      <c r="ALP243" s="243"/>
      <c r="ALQ243" s="243"/>
      <c r="ALR243" s="243"/>
      <c r="ALS243" s="243"/>
      <c r="ALT243" s="243"/>
      <c r="ALU243" s="243"/>
      <c r="ALV243" s="243"/>
      <c r="ALW243" s="243"/>
      <c r="ALX243" s="243"/>
      <c r="ALY243" s="243"/>
      <c r="ALZ243" s="243"/>
      <c r="AMA243" s="243"/>
      <c r="AMB243" s="243"/>
      <c r="AMC243" s="243"/>
      <c r="AMD243" s="243"/>
      <c r="AME243" s="243"/>
      <c r="AMF243" s="243"/>
      <c r="AMG243" s="243"/>
      <c r="AMH243" s="243"/>
      <c r="AMI243" s="244"/>
      <c r="AMJ243" s="244"/>
    </row>
    <row r="244" spans="1:1024">
      <c r="A244" s="912"/>
      <c r="B244" s="442">
        <v>14037</v>
      </c>
      <c r="C244" s="432">
        <v>0.1</v>
      </c>
      <c r="D244" s="370" t="s">
        <v>140</v>
      </c>
      <c r="E244" s="433">
        <v>1800000</v>
      </c>
      <c r="F244" s="432">
        <v>0.05</v>
      </c>
      <c r="G244" s="401">
        <f t="shared" si="9"/>
        <v>90000</v>
      </c>
      <c r="H244" s="402" t="s">
        <v>123</v>
      </c>
      <c r="I244" s="402" t="s">
        <v>138</v>
      </c>
      <c r="J244" s="402" t="s">
        <v>125</v>
      </c>
      <c r="K244" s="402" t="s">
        <v>123</v>
      </c>
      <c r="L244" s="402" t="s">
        <v>125</v>
      </c>
      <c r="M244" s="396"/>
      <c r="N244" s="396"/>
      <c r="O244" s="377"/>
      <c r="P244" s="377"/>
      <c r="Q244" s="377"/>
      <c r="R244" s="243"/>
      <c r="S244" s="243"/>
      <c r="T244" s="243"/>
      <c r="U244" s="243"/>
      <c r="V244" s="243"/>
      <c r="W244" s="243"/>
      <c r="X244" s="243"/>
      <c r="Y244" s="243"/>
      <c r="Z244" s="243"/>
      <c r="AA244" s="243"/>
      <c r="AB244" s="243"/>
      <c r="AC244" s="243"/>
      <c r="AD244" s="243"/>
      <c r="AE244" s="243"/>
      <c r="AF244" s="243"/>
      <c r="AG244" s="243"/>
      <c r="AH244" s="243"/>
      <c r="AI244" s="243"/>
      <c r="AJ244" s="243"/>
      <c r="AK244" s="243"/>
      <c r="AL244" s="243"/>
      <c r="AM244" s="243"/>
      <c r="AN244" s="243"/>
      <c r="AO244" s="243"/>
      <c r="AP244" s="243"/>
      <c r="AQ244" s="243"/>
      <c r="AR244" s="243"/>
      <c r="AS244" s="243"/>
      <c r="AT244" s="243"/>
      <c r="AU244" s="243"/>
      <c r="AV244" s="243"/>
      <c r="AW244" s="243"/>
      <c r="AX244" s="243"/>
      <c r="AY244" s="243"/>
      <c r="AZ244" s="243"/>
      <c r="BA244" s="243"/>
      <c r="BB244" s="243"/>
      <c r="BC244" s="243"/>
      <c r="BD244" s="243"/>
      <c r="BE244" s="243"/>
      <c r="BF244" s="243"/>
      <c r="BG244" s="243"/>
      <c r="BH244" s="243"/>
      <c r="BI244" s="243"/>
      <c r="BJ244" s="243"/>
      <c r="BK244" s="243"/>
      <c r="BL244" s="243"/>
      <c r="BM244" s="243"/>
      <c r="BN244" s="243"/>
      <c r="BO244" s="243"/>
      <c r="BP244" s="243"/>
      <c r="BQ244" s="243"/>
      <c r="BR244" s="243"/>
      <c r="BS244" s="243"/>
      <c r="BT244" s="243"/>
      <c r="BU244" s="243"/>
      <c r="BV244" s="243"/>
      <c r="BW244" s="243"/>
      <c r="BX244" s="243"/>
      <c r="BY244" s="243"/>
      <c r="BZ244" s="243"/>
      <c r="CA244" s="243"/>
      <c r="CB244" s="243"/>
      <c r="CC244" s="243"/>
      <c r="CD244" s="243"/>
      <c r="CE244" s="243"/>
      <c r="CF244" s="243"/>
      <c r="CG244" s="243"/>
      <c r="CH244" s="243"/>
      <c r="CI244" s="243"/>
      <c r="CJ244" s="243"/>
      <c r="CK244" s="243"/>
      <c r="CL244" s="243"/>
      <c r="CM244" s="243"/>
      <c r="CN244" s="243"/>
      <c r="CO244" s="243"/>
      <c r="CP244" s="243"/>
      <c r="CQ244" s="243"/>
      <c r="CR244" s="243"/>
      <c r="CS244" s="243"/>
      <c r="CT244" s="243"/>
      <c r="CU244" s="243"/>
      <c r="CV244" s="243"/>
      <c r="CW244" s="243"/>
      <c r="CX244" s="243"/>
      <c r="CY244" s="243"/>
      <c r="CZ244" s="243"/>
      <c r="DA244" s="243"/>
      <c r="DB244" s="243"/>
      <c r="DC244" s="243"/>
      <c r="DD244" s="243"/>
      <c r="DE244" s="243"/>
      <c r="DF244" s="243"/>
      <c r="DG244" s="243"/>
      <c r="DH244" s="243"/>
      <c r="DI244" s="243"/>
      <c r="DJ244" s="243"/>
      <c r="DK244" s="243"/>
      <c r="DL244" s="243"/>
      <c r="DM244" s="243"/>
      <c r="DN244" s="243"/>
      <c r="DO244" s="243"/>
      <c r="DP244" s="243"/>
      <c r="DQ244" s="243"/>
      <c r="DR244" s="243"/>
      <c r="DS244" s="243"/>
      <c r="DT244" s="243"/>
      <c r="DU244" s="243"/>
      <c r="DV244" s="243"/>
      <c r="DW244" s="243"/>
      <c r="DX244" s="243"/>
      <c r="DY244" s="243"/>
      <c r="DZ244" s="243"/>
      <c r="EA244" s="243"/>
      <c r="EB244" s="243"/>
      <c r="EC244" s="243"/>
      <c r="ED244" s="243"/>
      <c r="EE244" s="243"/>
      <c r="EF244" s="243"/>
      <c r="EG244" s="243"/>
      <c r="EH244" s="243"/>
      <c r="EI244" s="243"/>
      <c r="EJ244" s="243"/>
      <c r="EK244" s="243"/>
      <c r="EL244" s="243"/>
      <c r="EM244" s="243"/>
      <c r="EN244" s="243"/>
      <c r="EO244" s="243"/>
      <c r="EP244" s="243"/>
      <c r="EQ244" s="243"/>
      <c r="ER244" s="243"/>
      <c r="ES244" s="243"/>
      <c r="ET244" s="243"/>
      <c r="EU244" s="243"/>
      <c r="EV244" s="243"/>
      <c r="EW244" s="243"/>
      <c r="EX244" s="243"/>
      <c r="EY244" s="243"/>
      <c r="EZ244" s="243"/>
      <c r="FA244" s="243"/>
      <c r="FB244" s="243"/>
      <c r="FC244" s="243"/>
      <c r="FD244" s="243"/>
      <c r="FE244" s="243"/>
      <c r="FF244" s="243"/>
      <c r="FG244" s="243"/>
      <c r="FH244" s="243"/>
      <c r="FI244" s="243"/>
      <c r="FJ244" s="243"/>
      <c r="FK244" s="243"/>
      <c r="FL244" s="243"/>
      <c r="FM244" s="243"/>
      <c r="FN244" s="243"/>
      <c r="FO244" s="243"/>
      <c r="FP244" s="243"/>
      <c r="FQ244" s="243"/>
      <c r="FR244" s="243"/>
      <c r="FS244" s="243"/>
      <c r="FT244" s="243"/>
      <c r="FU244" s="243"/>
      <c r="FV244" s="243"/>
      <c r="FW244" s="243"/>
      <c r="FX244" s="243"/>
      <c r="FY244" s="243"/>
      <c r="FZ244" s="243"/>
      <c r="GA244" s="243"/>
      <c r="GB244" s="243"/>
      <c r="GC244" s="243"/>
      <c r="GD244" s="243"/>
      <c r="GE244" s="243"/>
      <c r="GF244" s="243"/>
      <c r="GG244" s="243"/>
      <c r="GH244" s="243"/>
      <c r="GI244" s="243"/>
      <c r="GJ244" s="243"/>
      <c r="GK244" s="243"/>
      <c r="GL244" s="243"/>
      <c r="GM244" s="243"/>
      <c r="GN244" s="243"/>
      <c r="GO244" s="243"/>
      <c r="GP244" s="243"/>
      <c r="GQ244" s="243"/>
      <c r="GR244" s="243"/>
      <c r="GS244" s="243"/>
      <c r="GT244" s="243"/>
      <c r="GU244" s="243"/>
      <c r="GV244" s="243"/>
      <c r="GW244" s="243"/>
      <c r="GX244" s="243"/>
      <c r="GY244" s="243"/>
      <c r="GZ244" s="243"/>
      <c r="HA244" s="243"/>
      <c r="HB244" s="243"/>
      <c r="HC244" s="243"/>
      <c r="HD244" s="243"/>
      <c r="HE244" s="243"/>
      <c r="HF244" s="243"/>
      <c r="HG244" s="243"/>
      <c r="HH244" s="243"/>
      <c r="HI244" s="243"/>
      <c r="HJ244" s="243"/>
      <c r="HK244" s="243"/>
      <c r="HL244" s="243"/>
      <c r="HM244" s="243"/>
      <c r="HN244" s="243"/>
      <c r="HO244" s="243"/>
      <c r="HP244" s="243"/>
      <c r="HQ244" s="243"/>
      <c r="HR244" s="243"/>
      <c r="HS244" s="243"/>
      <c r="HT244" s="243"/>
      <c r="HU244" s="243"/>
      <c r="HV244" s="243"/>
      <c r="HW244" s="243"/>
      <c r="HX244" s="243"/>
      <c r="HY244" s="243"/>
      <c r="HZ244" s="243"/>
      <c r="IA244" s="243"/>
      <c r="IB244" s="243"/>
      <c r="IC244" s="243"/>
      <c r="ID244" s="243"/>
      <c r="IE244" s="243"/>
      <c r="IF244" s="243"/>
      <c r="IG244" s="243"/>
      <c r="IH244" s="243"/>
      <c r="II244" s="243"/>
      <c r="IJ244" s="243"/>
      <c r="IK244" s="243"/>
      <c r="IL244" s="243"/>
      <c r="IM244" s="243"/>
      <c r="IN244" s="243"/>
      <c r="IO244" s="243"/>
      <c r="IP244" s="243"/>
      <c r="IQ244" s="243"/>
      <c r="IR244" s="243"/>
      <c r="IS244" s="243"/>
      <c r="IT244" s="243"/>
      <c r="IU244" s="243"/>
      <c r="IV244" s="243"/>
      <c r="IW244" s="243"/>
      <c r="IX244" s="243"/>
      <c r="IY244" s="243"/>
      <c r="IZ244" s="243"/>
      <c r="JA244" s="243"/>
      <c r="JB244" s="243"/>
      <c r="JC244" s="243"/>
      <c r="JD244" s="243"/>
      <c r="JE244" s="243"/>
      <c r="JF244" s="243"/>
      <c r="JG244" s="243"/>
      <c r="JH244" s="243"/>
      <c r="JI244" s="243"/>
      <c r="JJ244" s="243"/>
      <c r="JK244" s="243"/>
      <c r="JL244" s="243"/>
      <c r="JM244" s="243"/>
      <c r="JN244" s="243"/>
      <c r="JO244" s="243"/>
      <c r="JP244" s="243"/>
      <c r="JQ244" s="243"/>
      <c r="JR244" s="243"/>
      <c r="JS244" s="243"/>
      <c r="JT244" s="243"/>
      <c r="JU244" s="243"/>
      <c r="JV244" s="243"/>
      <c r="JW244" s="243"/>
      <c r="JX244" s="243"/>
      <c r="JY244" s="243"/>
      <c r="JZ244" s="243"/>
      <c r="KA244" s="243"/>
      <c r="KB244" s="243"/>
      <c r="KC244" s="243"/>
      <c r="KD244" s="243"/>
      <c r="KE244" s="243"/>
      <c r="KF244" s="243"/>
      <c r="KG244" s="243"/>
      <c r="KH244" s="243"/>
      <c r="KI244" s="243"/>
      <c r="KJ244" s="243"/>
      <c r="KK244" s="243"/>
      <c r="KL244" s="243"/>
      <c r="KM244" s="243"/>
      <c r="KN244" s="243"/>
      <c r="KO244" s="243"/>
      <c r="KP244" s="243"/>
      <c r="KQ244" s="243"/>
      <c r="KR244" s="243"/>
      <c r="KS244" s="243"/>
      <c r="KT244" s="243"/>
      <c r="KU244" s="243"/>
      <c r="KV244" s="243"/>
      <c r="KW244" s="243"/>
      <c r="KX244" s="243"/>
      <c r="KY244" s="243"/>
      <c r="KZ244" s="243"/>
      <c r="LA244" s="243"/>
      <c r="LB244" s="243"/>
      <c r="LC244" s="243"/>
      <c r="LD244" s="243"/>
      <c r="LE244" s="243"/>
      <c r="LF244" s="243"/>
      <c r="LG244" s="243"/>
      <c r="LH244" s="243"/>
      <c r="LI244" s="243"/>
      <c r="LJ244" s="243"/>
      <c r="LK244" s="243"/>
      <c r="LL244" s="243"/>
      <c r="LM244" s="243"/>
      <c r="LN244" s="243"/>
      <c r="LO244" s="243"/>
      <c r="LP244" s="243"/>
      <c r="LQ244" s="243"/>
      <c r="LR244" s="243"/>
      <c r="LS244" s="243"/>
      <c r="LT244" s="243"/>
      <c r="LU244" s="243"/>
      <c r="LV244" s="243"/>
      <c r="LW244" s="243"/>
      <c r="LX244" s="243"/>
      <c r="LY244" s="243"/>
      <c r="LZ244" s="243"/>
      <c r="MA244" s="243"/>
      <c r="MB244" s="243"/>
      <c r="MC244" s="243"/>
      <c r="MD244" s="243"/>
      <c r="ME244" s="243"/>
      <c r="MF244" s="243"/>
      <c r="MG244" s="243"/>
      <c r="MH244" s="243"/>
      <c r="MI244" s="243"/>
      <c r="MJ244" s="243"/>
      <c r="MK244" s="243"/>
      <c r="ML244" s="243"/>
      <c r="MM244" s="243"/>
      <c r="MN244" s="243"/>
      <c r="MO244" s="243"/>
      <c r="MP244" s="243"/>
      <c r="MQ244" s="243"/>
      <c r="MR244" s="243"/>
      <c r="MS244" s="243"/>
      <c r="MT244" s="243"/>
      <c r="MU244" s="243"/>
      <c r="MV244" s="243"/>
      <c r="MW244" s="243"/>
      <c r="MX244" s="243"/>
      <c r="MY244" s="243"/>
      <c r="MZ244" s="243"/>
      <c r="NA244" s="243"/>
      <c r="NB244" s="243"/>
      <c r="NC244" s="243"/>
      <c r="ND244" s="243"/>
      <c r="NE244" s="243"/>
      <c r="NF244" s="243"/>
      <c r="NG244" s="243"/>
      <c r="NH244" s="243"/>
      <c r="NI244" s="243"/>
      <c r="NJ244" s="243"/>
      <c r="NK244" s="243"/>
      <c r="NL244" s="243"/>
      <c r="NM244" s="243"/>
      <c r="NN244" s="243"/>
      <c r="NO244" s="243"/>
      <c r="NP244" s="243"/>
      <c r="NQ244" s="243"/>
      <c r="NR244" s="243"/>
      <c r="NS244" s="243"/>
      <c r="NT244" s="243"/>
      <c r="NU244" s="243"/>
      <c r="NV244" s="243"/>
      <c r="NW244" s="243"/>
      <c r="NX244" s="243"/>
      <c r="NY244" s="243"/>
      <c r="NZ244" s="243"/>
      <c r="OA244" s="243"/>
      <c r="OB244" s="243"/>
      <c r="OC244" s="243"/>
      <c r="OD244" s="243"/>
      <c r="OE244" s="243"/>
      <c r="OF244" s="243"/>
      <c r="OG244" s="243"/>
      <c r="OH244" s="243"/>
      <c r="OI244" s="243"/>
      <c r="OJ244" s="243"/>
      <c r="OK244" s="243"/>
      <c r="OL244" s="243"/>
      <c r="OM244" s="243"/>
      <c r="ON244" s="243"/>
      <c r="OO244" s="243"/>
      <c r="OP244" s="243"/>
      <c r="OQ244" s="243"/>
      <c r="OR244" s="243"/>
      <c r="OS244" s="243"/>
      <c r="OT244" s="243"/>
      <c r="OU244" s="243"/>
      <c r="OV244" s="243"/>
      <c r="OW244" s="243"/>
      <c r="OX244" s="243"/>
      <c r="OY244" s="243"/>
      <c r="OZ244" s="243"/>
      <c r="PA244" s="243"/>
      <c r="PB244" s="243"/>
      <c r="PC244" s="243"/>
      <c r="PD244" s="243"/>
      <c r="PE244" s="243"/>
      <c r="PF244" s="243"/>
      <c r="PG244" s="243"/>
      <c r="PH244" s="243"/>
      <c r="PI244" s="243"/>
      <c r="PJ244" s="243"/>
      <c r="PK244" s="243"/>
      <c r="PL244" s="243"/>
      <c r="PM244" s="243"/>
      <c r="PN244" s="243"/>
      <c r="PO244" s="243"/>
      <c r="PP244" s="243"/>
      <c r="PQ244" s="243"/>
      <c r="PR244" s="243"/>
      <c r="PS244" s="243"/>
      <c r="PT244" s="243"/>
      <c r="PU244" s="243"/>
      <c r="PV244" s="243"/>
      <c r="PW244" s="243"/>
      <c r="PX244" s="243"/>
      <c r="PY244" s="243"/>
      <c r="PZ244" s="243"/>
      <c r="QA244" s="243"/>
      <c r="QB244" s="243"/>
      <c r="QC244" s="243"/>
      <c r="QD244" s="243"/>
      <c r="QE244" s="243"/>
      <c r="QF244" s="243"/>
      <c r="QG244" s="243"/>
      <c r="QH244" s="243"/>
      <c r="QI244" s="243"/>
      <c r="QJ244" s="243"/>
      <c r="QK244" s="243"/>
      <c r="QL244" s="243"/>
      <c r="QM244" s="243"/>
      <c r="QN244" s="243"/>
      <c r="QO244" s="243"/>
      <c r="QP244" s="243"/>
      <c r="QQ244" s="243"/>
      <c r="QR244" s="243"/>
      <c r="QS244" s="243"/>
      <c r="QT244" s="243"/>
      <c r="QU244" s="243"/>
      <c r="QV244" s="243"/>
      <c r="QW244" s="243"/>
      <c r="QX244" s="243"/>
      <c r="QY244" s="243"/>
      <c r="QZ244" s="243"/>
      <c r="RA244" s="243"/>
      <c r="RB244" s="243"/>
      <c r="RC244" s="243"/>
      <c r="RD244" s="243"/>
      <c r="RE244" s="243"/>
      <c r="RF244" s="243"/>
      <c r="RG244" s="243"/>
      <c r="RH244" s="243"/>
      <c r="RI244" s="243"/>
      <c r="RJ244" s="243"/>
      <c r="RK244" s="243"/>
      <c r="RL244" s="243"/>
      <c r="RM244" s="243"/>
      <c r="RN244" s="243"/>
      <c r="RO244" s="243"/>
      <c r="RP244" s="243"/>
      <c r="RQ244" s="243"/>
      <c r="RR244" s="243"/>
      <c r="RS244" s="243"/>
      <c r="RT244" s="243"/>
      <c r="RU244" s="243"/>
      <c r="RV244" s="243"/>
      <c r="RW244" s="243"/>
      <c r="RX244" s="243"/>
      <c r="RY244" s="243"/>
      <c r="RZ244" s="243"/>
      <c r="SA244" s="243"/>
      <c r="SB244" s="243"/>
      <c r="SC244" s="243"/>
      <c r="SD244" s="243"/>
      <c r="SE244" s="243"/>
      <c r="SF244" s="243"/>
      <c r="SG244" s="243"/>
      <c r="SH244" s="243"/>
      <c r="SI244" s="243"/>
      <c r="SJ244" s="243"/>
      <c r="SK244" s="243"/>
      <c r="SL244" s="243"/>
      <c r="SM244" s="243"/>
      <c r="SN244" s="243"/>
      <c r="SO244" s="243"/>
      <c r="SP244" s="243"/>
      <c r="SQ244" s="243"/>
      <c r="SR244" s="243"/>
      <c r="SS244" s="243"/>
      <c r="ST244" s="243"/>
      <c r="SU244" s="243"/>
      <c r="SV244" s="243"/>
      <c r="SW244" s="243"/>
      <c r="SX244" s="243"/>
      <c r="SY244" s="243"/>
      <c r="SZ244" s="243"/>
      <c r="TA244" s="243"/>
      <c r="TB244" s="243"/>
      <c r="TC244" s="243"/>
      <c r="TD244" s="243"/>
      <c r="TE244" s="243"/>
      <c r="TF244" s="243"/>
      <c r="TG244" s="243"/>
      <c r="TH244" s="243"/>
      <c r="TI244" s="243"/>
      <c r="TJ244" s="243"/>
      <c r="TK244" s="243"/>
      <c r="TL244" s="243"/>
      <c r="TM244" s="243"/>
      <c r="TN244" s="243"/>
      <c r="TO244" s="243"/>
      <c r="TP244" s="243"/>
      <c r="TQ244" s="243"/>
      <c r="TR244" s="243"/>
      <c r="TS244" s="243"/>
      <c r="TT244" s="243"/>
      <c r="TU244" s="243"/>
      <c r="TV244" s="243"/>
      <c r="TW244" s="243"/>
      <c r="TX244" s="243"/>
      <c r="TY244" s="243"/>
      <c r="TZ244" s="243"/>
      <c r="UA244" s="243"/>
      <c r="UB244" s="243"/>
      <c r="UC244" s="243"/>
      <c r="UD244" s="243"/>
      <c r="UE244" s="243"/>
      <c r="UF244" s="243"/>
      <c r="UG244" s="243"/>
      <c r="UH244" s="243"/>
      <c r="UI244" s="243"/>
      <c r="UJ244" s="243"/>
      <c r="UK244" s="243"/>
      <c r="UL244" s="243"/>
      <c r="UM244" s="243"/>
      <c r="UN244" s="243"/>
      <c r="UO244" s="243"/>
      <c r="UP244" s="243"/>
      <c r="UQ244" s="243"/>
      <c r="UR244" s="243"/>
      <c r="US244" s="243"/>
      <c r="UT244" s="243"/>
      <c r="UU244" s="243"/>
      <c r="UV244" s="243"/>
      <c r="UW244" s="243"/>
      <c r="UX244" s="243"/>
      <c r="UY244" s="243"/>
      <c r="UZ244" s="243"/>
      <c r="VA244" s="243"/>
      <c r="VB244" s="243"/>
      <c r="VC244" s="243"/>
      <c r="VD244" s="243"/>
      <c r="VE244" s="243"/>
      <c r="VF244" s="243"/>
      <c r="VG244" s="243"/>
      <c r="VH244" s="243"/>
      <c r="VI244" s="243"/>
      <c r="VJ244" s="243"/>
      <c r="VK244" s="243"/>
      <c r="VL244" s="243"/>
      <c r="VM244" s="243"/>
      <c r="VN244" s="243"/>
      <c r="VO244" s="243"/>
      <c r="VP244" s="243"/>
      <c r="VQ244" s="243"/>
      <c r="VR244" s="243"/>
      <c r="VS244" s="243"/>
      <c r="VT244" s="243"/>
      <c r="VU244" s="243"/>
      <c r="VV244" s="243"/>
      <c r="VW244" s="243"/>
      <c r="VX244" s="243"/>
      <c r="VY244" s="243"/>
      <c r="VZ244" s="243"/>
      <c r="WA244" s="243"/>
      <c r="WB244" s="243"/>
      <c r="WC244" s="243"/>
      <c r="WD244" s="243"/>
      <c r="WE244" s="243"/>
      <c r="WF244" s="243"/>
      <c r="WG244" s="243"/>
      <c r="WH244" s="243"/>
      <c r="WI244" s="243"/>
      <c r="WJ244" s="243"/>
      <c r="WK244" s="243"/>
      <c r="WL244" s="243"/>
      <c r="WM244" s="243"/>
      <c r="WN244" s="243"/>
      <c r="WO244" s="243"/>
      <c r="WP244" s="243"/>
      <c r="WQ244" s="243"/>
      <c r="WR244" s="243"/>
      <c r="WS244" s="243"/>
      <c r="WT244" s="243"/>
      <c r="WU244" s="243"/>
      <c r="WV244" s="243"/>
      <c r="WW244" s="243"/>
      <c r="WX244" s="243"/>
      <c r="WY244" s="243"/>
      <c r="WZ244" s="243"/>
      <c r="XA244" s="243"/>
      <c r="XB244" s="243"/>
      <c r="XC244" s="243"/>
      <c r="XD244" s="243"/>
      <c r="XE244" s="243"/>
      <c r="XF244" s="243"/>
      <c r="XG244" s="243"/>
      <c r="XH244" s="243"/>
      <c r="XI244" s="243"/>
      <c r="XJ244" s="243"/>
      <c r="XK244" s="243"/>
      <c r="XL244" s="243"/>
      <c r="XM244" s="243"/>
      <c r="XN244" s="243"/>
      <c r="XO244" s="243"/>
      <c r="XP244" s="243"/>
      <c r="XQ244" s="243"/>
      <c r="XR244" s="243"/>
      <c r="XS244" s="243"/>
      <c r="XT244" s="243"/>
      <c r="XU244" s="243"/>
      <c r="XV244" s="243"/>
      <c r="XW244" s="243"/>
      <c r="XX244" s="243"/>
      <c r="XY244" s="243"/>
      <c r="XZ244" s="243"/>
      <c r="YA244" s="243"/>
      <c r="YB244" s="243"/>
      <c r="YC244" s="243"/>
      <c r="YD244" s="243"/>
      <c r="YE244" s="243"/>
      <c r="YF244" s="243"/>
      <c r="YG244" s="243"/>
      <c r="YH244" s="243"/>
      <c r="YI244" s="243"/>
      <c r="YJ244" s="243"/>
      <c r="YK244" s="243"/>
      <c r="YL244" s="243"/>
      <c r="YM244" s="243"/>
      <c r="YN244" s="243"/>
      <c r="YO244" s="243"/>
      <c r="YP244" s="243"/>
      <c r="YQ244" s="243"/>
      <c r="YR244" s="243"/>
      <c r="YS244" s="243"/>
      <c r="YT244" s="243"/>
      <c r="YU244" s="243"/>
      <c r="YV244" s="243"/>
      <c r="YW244" s="243"/>
      <c r="YX244" s="243"/>
      <c r="YY244" s="243"/>
      <c r="YZ244" s="243"/>
      <c r="ZA244" s="243"/>
      <c r="ZB244" s="243"/>
      <c r="ZC244" s="243"/>
      <c r="ZD244" s="243"/>
      <c r="ZE244" s="243"/>
      <c r="ZF244" s="243"/>
      <c r="ZG244" s="243"/>
      <c r="ZH244" s="243"/>
      <c r="ZI244" s="243"/>
      <c r="ZJ244" s="243"/>
      <c r="ZK244" s="243"/>
      <c r="ZL244" s="243"/>
      <c r="ZM244" s="243"/>
      <c r="ZN244" s="243"/>
      <c r="ZO244" s="243"/>
      <c r="ZP244" s="243"/>
      <c r="ZQ244" s="243"/>
      <c r="ZR244" s="243"/>
      <c r="ZS244" s="243"/>
      <c r="ZT244" s="243"/>
      <c r="ZU244" s="243"/>
      <c r="ZV244" s="243"/>
      <c r="ZW244" s="243"/>
      <c r="ZX244" s="243"/>
      <c r="ZY244" s="243"/>
      <c r="ZZ244" s="243"/>
      <c r="AAA244" s="243"/>
      <c r="AAB244" s="243"/>
      <c r="AAC244" s="243"/>
      <c r="AAD244" s="243"/>
      <c r="AAE244" s="243"/>
      <c r="AAF244" s="243"/>
      <c r="AAG244" s="243"/>
      <c r="AAH244" s="243"/>
      <c r="AAI244" s="243"/>
      <c r="AAJ244" s="243"/>
      <c r="AAK244" s="243"/>
      <c r="AAL244" s="243"/>
      <c r="AAM244" s="243"/>
      <c r="AAN244" s="243"/>
      <c r="AAO244" s="243"/>
      <c r="AAP244" s="243"/>
      <c r="AAQ244" s="243"/>
      <c r="AAR244" s="243"/>
      <c r="AAS244" s="243"/>
      <c r="AAT244" s="243"/>
      <c r="AAU244" s="243"/>
      <c r="AAV244" s="243"/>
      <c r="AAW244" s="243"/>
      <c r="AAX244" s="243"/>
      <c r="AAY244" s="243"/>
      <c r="AAZ244" s="243"/>
      <c r="ABA244" s="243"/>
      <c r="ABB244" s="243"/>
      <c r="ABC244" s="243"/>
      <c r="ABD244" s="243"/>
      <c r="ABE244" s="243"/>
      <c r="ABF244" s="243"/>
      <c r="ABG244" s="243"/>
      <c r="ABH244" s="243"/>
      <c r="ABI244" s="243"/>
      <c r="ABJ244" s="243"/>
      <c r="ABK244" s="243"/>
      <c r="ABL244" s="243"/>
      <c r="ABM244" s="243"/>
      <c r="ABN244" s="243"/>
      <c r="ABO244" s="243"/>
      <c r="ABP244" s="243"/>
      <c r="ABQ244" s="243"/>
      <c r="ABR244" s="243"/>
      <c r="ABS244" s="243"/>
      <c r="ABT244" s="243"/>
      <c r="ABU244" s="243"/>
      <c r="ABV244" s="243"/>
      <c r="ABW244" s="243"/>
      <c r="ABX244" s="243"/>
      <c r="ABY244" s="243"/>
      <c r="ABZ244" s="243"/>
      <c r="ACA244" s="243"/>
      <c r="ACB244" s="243"/>
      <c r="ACC244" s="243"/>
      <c r="ACD244" s="243"/>
      <c r="ACE244" s="243"/>
      <c r="ACF244" s="243"/>
      <c r="ACG244" s="243"/>
      <c r="ACH244" s="243"/>
      <c r="ACI244" s="243"/>
      <c r="ACJ244" s="243"/>
      <c r="ACK244" s="243"/>
      <c r="ACL244" s="243"/>
      <c r="ACM244" s="243"/>
      <c r="ACN244" s="243"/>
      <c r="ACO244" s="243"/>
      <c r="ACP244" s="243"/>
      <c r="ACQ244" s="243"/>
      <c r="ACR244" s="243"/>
      <c r="ACS244" s="243"/>
      <c r="ACT244" s="243"/>
      <c r="ACU244" s="243"/>
      <c r="ACV244" s="243"/>
      <c r="ACW244" s="243"/>
      <c r="ACX244" s="243"/>
      <c r="ACY244" s="243"/>
      <c r="ACZ244" s="243"/>
      <c r="ADA244" s="243"/>
      <c r="ADB244" s="243"/>
      <c r="ADC244" s="243"/>
      <c r="ADD244" s="243"/>
      <c r="ADE244" s="243"/>
      <c r="ADF244" s="243"/>
      <c r="ADG244" s="243"/>
      <c r="ADH244" s="243"/>
      <c r="ADI244" s="243"/>
      <c r="ADJ244" s="243"/>
      <c r="ADK244" s="243"/>
      <c r="ADL244" s="243"/>
      <c r="ADM244" s="243"/>
      <c r="ADN244" s="243"/>
      <c r="ADO244" s="243"/>
      <c r="ADP244" s="243"/>
      <c r="ADQ244" s="243"/>
      <c r="ADR244" s="243"/>
      <c r="ADS244" s="243"/>
      <c r="ADT244" s="243"/>
      <c r="ADU244" s="243"/>
      <c r="ADV244" s="243"/>
      <c r="ADW244" s="243"/>
      <c r="ADX244" s="243"/>
      <c r="ADY244" s="243"/>
      <c r="ADZ244" s="243"/>
      <c r="AEA244" s="243"/>
      <c r="AEB244" s="243"/>
      <c r="AEC244" s="243"/>
      <c r="AED244" s="243"/>
      <c r="AEE244" s="243"/>
      <c r="AEF244" s="243"/>
      <c r="AEG244" s="243"/>
      <c r="AEH244" s="243"/>
      <c r="AEI244" s="243"/>
      <c r="AEJ244" s="243"/>
      <c r="AEK244" s="243"/>
      <c r="AEL244" s="243"/>
      <c r="AEM244" s="243"/>
      <c r="AEN244" s="243"/>
      <c r="AEO244" s="243"/>
      <c r="AEP244" s="243"/>
      <c r="AEQ244" s="243"/>
      <c r="AER244" s="243"/>
      <c r="AES244" s="243"/>
      <c r="AET244" s="243"/>
      <c r="AEU244" s="243"/>
      <c r="AEV244" s="243"/>
      <c r="AEW244" s="243"/>
      <c r="AEX244" s="243"/>
      <c r="AEY244" s="243"/>
      <c r="AEZ244" s="243"/>
      <c r="AFA244" s="243"/>
      <c r="AFB244" s="243"/>
      <c r="AFC244" s="243"/>
      <c r="AFD244" s="243"/>
      <c r="AFE244" s="243"/>
      <c r="AFF244" s="243"/>
      <c r="AFG244" s="243"/>
      <c r="AFH244" s="243"/>
      <c r="AFI244" s="243"/>
      <c r="AFJ244" s="243"/>
      <c r="AFK244" s="243"/>
      <c r="AFL244" s="243"/>
      <c r="AFM244" s="243"/>
      <c r="AFN244" s="243"/>
      <c r="AFO244" s="243"/>
      <c r="AFP244" s="243"/>
      <c r="AFQ244" s="243"/>
      <c r="AFR244" s="243"/>
      <c r="AFS244" s="243"/>
      <c r="AFT244" s="243"/>
      <c r="AFU244" s="243"/>
      <c r="AFV244" s="243"/>
      <c r="AFW244" s="243"/>
      <c r="AFX244" s="243"/>
      <c r="AFY244" s="243"/>
      <c r="AFZ244" s="243"/>
      <c r="AGA244" s="243"/>
      <c r="AGB244" s="243"/>
      <c r="AGC244" s="243"/>
      <c r="AGD244" s="243"/>
      <c r="AGE244" s="243"/>
      <c r="AGF244" s="243"/>
      <c r="AGG244" s="243"/>
      <c r="AGH244" s="243"/>
      <c r="AGI244" s="243"/>
      <c r="AGJ244" s="243"/>
      <c r="AGK244" s="243"/>
      <c r="AGL244" s="243"/>
      <c r="AGM244" s="243"/>
      <c r="AGN244" s="243"/>
      <c r="AGO244" s="243"/>
      <c r="AGP244" s="243"/>
      <c r="AGQ244" s="243"/>
      <c r="AGR244" s="243"/>
      <c r="AGS244" s="243"/>
      <c r="AGT244" s="243"/>
      <c r="AGU244" s="243"/>
      <c r="AGV244" s="243"/>
      <c r="AGW244" s="243"/>
      <c r="AGX244" s="243"/>
      <c r="AGY244" s="243"/>
      <c r="AGZ244" s="243"/>
      <c r="AHA244" s="243"/>
      <c r="AHB244" s="243"/>
      <c r="AHC244" s="243"/>
      <c r="AHD244" s="243"/>
      <c r="AHE244" s="243"/>
      <c r="AHF244" s="243"/>
      <c r="AHG244" s="243"/>
      <c r="AHH244" s="243"/>
      <c r="AHI244" s="243"/>
      <c r="AHJ244" s="243"/>
      <c r="AHK244" s="243"/>
      <c r="AHL244" s="243"/>
      <c r="AHM244" s="243"/>
      <c r="AHN244" s="243"/>
      <c r="AHO244" s="243"/>
      <c r="AHP244" s="243"/>
      <c r="AHQ244" s="243"/>
      <c r="AHR244" s="243"/>
      <c r="AHS244" s="243"/>
      <c r="AHT244" s="243"/>
      <c r="AHU244" s="243"/>
      <c r="AHV244" s="243"/>
      <c r="AHW244" s="243"/>
      <c r="AHX244" s="243"/>
      <c r="AHY244" s="243"/>
      <c r="AHZ244" s="243"/>
      <c r="AIA244" s="243"/>
      <c r="AIB244" s="243"/>
      <c r="AIC244" s="243"/>
      <c r="AID244" s="243"/>
      <c r="AIE244" s="243"/>
      <c r="AIF244" s="243"/>
      <c r="AIG244" s="243"/>
      <c r="AIH244" s="243"/>
      <c r="AII244" s="243"/>
      <c r="AIJ244" s="243"/>
      <c r="AIK244" s="243"/>
      <c r="AIL244" s="243"/>
      <c r="AIM244" s="243"/>
      <c r="AIN244" s="243"/>
      <c r="AIO244" s="243"/>
      <c r="AIP244" s="243"/>
      <c r="AIQ244" s="243"/>
      <c r="AIR244" s="243"/>
      <c r="AIS244" s="243"/>
      <c r="AIT244" s="243"/>
      <c r="AIU244" s="243"/>
      <c r="AIV244" s="243"/>
      <c r="AIW244" s="243"/>
      <c r="AIX244" s="243"/>
      <c r="AIY244" s="243"/>
      <c r="AIZ244" s="243"/>
      <c r="AJA244" s="243"/>
      <c r="AJB244" s="243"/>
      <c r="AJC244" s="243"/>
      <c r="AJD244" s="243"/>
      <c r="AJE244" s="243"/>
      <c r="AJF244" s="243"/>
      <c r="AJG244" s="243"/>
      <c r="AJH244" s="243"/>
      <c r="AJI244" s="243"/>
      <c r="AJJ244" s="243"/>
      <c r="AJK244" s="243"/>
      <c r="AJL244" s="243"/>
      <c r="AJM244" s="243"/>
      <c r="AJN244" s="243"/>
      <c r="AJO244" s="243"/>
      <c r="AJP244" s="243"/>
      <c r="AJQ244" s="243"/>
      <c r="AJR244" s="243"/>
      <c r="AJS244" s="243"/>
      <c r="AJT244" s="243"/>
      <c r="AJU244" s="243"/>
      <c r="AJV244" s="243"/>
      <c r="AJW244" s="243"/>
      <c r="AJX244" s="243"/>
      <c r="AJY244" s="243"/>
      <c r="AJZ244" s="243"/>
      <c r="AKA244" s="243"/>
      <c r="AKB244" s="243"/>
      <c r="AKC244" s="243"/>
      <c r="AKD244" s="243"/>
      <c r="AKE244" s="243"/>
      <c r="AKF244" s="243"/>
      <c r="AKG244" s="243"/>
      <c r="AKH244" s="243"/>
      <c r="AKI244" s="243"/>
      <c r="AKJ244" s="243"/>
      <c r="AKK244" s="243"/>
      <c r="AKL244" s="243"/>
      <c r="AKM244" s="243"/>
      <c r="AKN244" s="243"/>
      <c r="AKO244" s="243"/>
      <c r="AKP244" s="243"/>
      <c r="AKQ244" s="243"/>
      <c r="AKR244" s="243"/>
      <c r="AKS244" s="243"/>
      <c r="AKT244" s="243"/>
      <c r="AKU244" s="243"/>
      <c r="AKV244" s="243"/>
      <c r="AKW244" s="243"/>
      <c r="AKX244" s="243"/>
      <c r="AKY244" s="243"/>
      <c r="AKZ244" s="243"/>
      <c r="ALA244" s="243"/>
      <c r="ALB244" s="243"/>
      <c r="ALC244" s="243"/>
      <c r="ALD244" s="243"/>
      <c r="ALE244" s="243"/>
      <c r="ALF244" s="243"/>
      <c r="ALG244" s="243"/>
      <c r="ALH244" s="243"/>
      <c r="ALI244" s="243"/>
      <c r="ALJ244" s="243"/>
      <c r="ALK244" s="243"/>
      <c r="ALL244" s="243"/>
      <c r="ALM244" s="243"/>
      <c r="ALN244" s="243"/>
      <c r="ALO244" s="243"/>
      <c r="ALP244" s="243"/>
      <c r="ALQ244" s="243"/>
      <c r="ALR244" s="243"/>
      <c r="ALS244" s="243"/>
      <c r="ALT244" s="243"/>
      <c r="ALU244" s="243"/>
      <c r="ALV244" s="243"/>
      <c r="ALW244" s="243"/>
      <c r="ALX244" s="243"/>
      <c r="ALY244" s="243"/>
      <c r="ALZ244" s="243"/>
      <c r="AMA244" s="243"/>
      <c r="AMB244" s="243"/>
      <c r="AMC244" s="243"/>
      <c r="AMD244" s="243"/>
      <c r="AME244" s="243"/>
      <c r="AMF244" s="243"/>
      <c r="AMG244" s="243"/>
      <c r="AMH244" s="243"/>
      <c r="AMI244" s="244"/>
      <c r="AMJ244" s="244"/>
    </row>
    <row r="245" spans="1:1024">
      <c r="A245" s="912"/>
      <c r="B245" s="450"/>
      <c r="C245" s="439"/>
      <c r="D245" s="405" t="s">
        <v>160</v>
      </c>
      <c r="E245" s="406"/>
      <c r="F245" s="403"/>
      <c r="G245" s="403"/>
      <c r="H245" s="407" t="s">
        <v>103</v>
      </c>
      <c r="I245" s="407" t="s">
        <v>138</v>
      </c>
      <c r="J245" s="407"/>
      <c r="K245" s="407" t="s">
        <v>166</v>
      </c>
      <c r="L245" s="407"/>
      <c r="M245" s="395"/>
      <c r="N245" s="396"/>
      <c r="O245" s="377"/>
      <c r="P245" s="377"/>
      <c r="Q245" s="377"/>
      <c r="R245" s="243"/>
      <c r="S245" s="243"/>
      <c r="T245" s="243"/>
      <c r="U245" s="243"/>
      <c r="V245" s="243"/>
      <c r="W245" s="243"/>
      <c r="X245" s="243"/>
      <c r="Y245" s="243"/>
      <c r="Z245" s="243"/>
      <c r="AA245" s="243"/>
      <c r="AB245" s="243"/>
      <c r="AC245" s="243"/>
      <c r="AD245" s="243"/>
      <c r="AE245" s="243"/>
      <c r="AF245" s="243"/>
      <c r="AG245" s="243"/>
      <c r="AH245" s="243"/>
      <c r="AI245" s="243"/>
      <c r="AJ245" s="243"/>
      <c r="AK245" s="243"/>
      <c r="AL245" s="243"/>
      <c r="AM245" s="243"/>
      <c r="AN245" s="243"/>
      <c r="AO245" s="243"/>
      <c r="AP245" s="243"/>
      <c r="AQ245" s="243"/>
      <c r="AR245" s="243"/>
      <c r="AS245" s="243"/>
      <c r="AT245" s="243"/>
      <c r="AU245" s="243"/>
      <c r="AV245" s="243"/>
      <c r="AW245" s="243"/>
      <c r="AX245" s="243"/>
      <c r="AY245" s="243"/>
      <c r="AZ245" s="243"/>
      <c r="BA245" s="243"/>
      <c r="BB245" s="243"/>
      <c r="BC245" s="243"/>
      <c r="BD245" s="243"/>
      <c r="BE245" s="243"/>
      <c r="BF245" s="243"/>
      <c r="BG245" s="243"/>
      <c r="BH245" s="243"/>
      <c r="BI245" s="243"/>
      <c r="BJ245" s="243"/>
      <c r="BK245" s="243"/>
      <c r="BL245" s="243"/>
      <c r="BM245" s="243"/>
      <c r="BN245" s="243"/>
      <c r="BO245" s="243"/>
      <c r="BP245" s="243"/>
      <c r="BQ245" s="243"/>
      <c r="BR245" s="243"/>
      <c r="BS245" s="243"/>
      <c r="BT245" s="243"/>
      <c r="BU245" s="243"/>
      <c r="BV245" s="243"/>
      <c r="BW245" s="243"/>
      <c r="BX245" s="243"/>
      <c r="BY245" s="243"/>
      <c r="BZ245" s="243"/>
      <c r="CA245" s="243"/>
      <c r="CB245" s="243"/>
      <c r="CC245" s="243"/>
      <c r="CD245" s="243"/>
      <c r="CE245" s="243"/>
      <c r="CF245" s="243"/>
      <c r="CG245" s="243"/>
      <c r="CH245" s="243"/>
      <c r="CI245" s="243"/>
      <c r="CJ245" s="243"/>
      <c r="CK245" s="243"/>
      <c r="CL245" s="243"/>
      <c r="CM245" s="243"/>
      <c r="CN245" s="243"/>
      <c r="CO245" s="243"/>
      <c r="CP245" s="243"/>
      <c r="CQ245" s="243"/>
      <c r="CR245" s="243"/>
      <c r="CS245" s="243"/>
      <c r="CT245" s="243"/>
      <c r="CU245" s="243"/>
      <c r="CV245" s="243"/>
      <c r="CW245" s="243"/>
      <c r="CX245" s="243"/>
      <c r="CY245" s="243"/>
      <c r="CZ245" s="243"/>
      <c r="DA245" s="243"/>
      <c r="DB245" s="243"/>
      <c r="DC245" s="243"/>
      <c r="DD245" s="243"/>
      <c r="DE245" s="243"/>
      <c r="DF245" s="243"/>
      <c r="DG245" s="243"/>
      <c r="DH245" s="243"/>
      <c r="DI245" s="243"/>
      <c r="DJ245" s="243"/>
      <c r="DK245" s="243"/>
      <c r="DL245" s="243"/>
      <c r="DM245" s="243"/>
      <c r="DN245" s="243"/>
      <c r="DO245" s="243"/>
      <c r="DP245" s="243"/>
      <c r="DQ245" s="243"/>
      <c r="DR245" s="243"/>
      <c r="DS245" s="243"/>
      <c r="DT245" s="243"/>
      <c r="DU245" s="243"/>
      <c r="DV245" s="243"/>
      <c r="DW245" s="243"/>
      <c r="DX245" s="243"/>
      <c r="DY245" s="243"/>
      <c r="DZ245" s="243"/>
      <c r="EA245" s="243"/>
      <c r="EB245" s="243"/>
      <c r="EC245" s="243"/>
      <c r="ED245" s="243"/>
      <c r="EE245" s="243"/>
      <c r="EF245" s="243"/>
      <c r="EG245" s="243"/>
      <c r="EH245" s="243"/>
      <c r="EI245" s="243"/>
      <c r="EJ245" s="243"/>
      <c r="EK245" s="243"/>
      <c r="EL245" s="243"/>
      <c r="EM245" s="243"/>
      <c r="EN245" s="243"/>
      <c r="EO245" s="243"/>
      <c r="EP245" s="243"/>
      <c r="EQ245" s="243"/>
      <c r="ER245" s="243"/>
      <c r="ES245" s="243"/>
      <c r="ET245" s="243"/>
      <c r="EU245" s="243"/>
      <c r="EV245" s="243"/>
      <c r="EW245" s="243"/>
      <c r="EX245" s="243"/>
      <c r="EY245" s="243"/>
      <c r="EZ245" s="243"/>
      <c r="FA245" s="243"/>
      <c r="FB245" s="243"/>
      <c r="FC245" s="243"/>
      <c r="FD245" s="243"/>
      <c r="FE245" s="243"/>
      <c r="FF245" s="243"/>
      <c r="FG245" s="243"/>
      <c r="FH245" s="243"/>
      <c r="FI245" s="243"/>
      <c r="FJ245" s="243"/>
      <c r="FK245" s="243"/>
      <c r="FL245" s="243"/>
      <c r="FM245" s="243"/>
      <c r="FN245" s="243"/>
      <c r="FO245" s="243"/>
      <c r="FP245" s="243"/>
      <c r="FQ245" s="243"/>
      <c r="FR245" s="243"/>
      <c r="FS245" s="243"/>
      <c r="FT245" s="243"/>
      <c r="FU245" s="243"/>
      <c r="FV245" s="243"/>
      <c r="FW245" s="243"/>
      <c r="FX245" s="243"/>
      <c r="FY245" s="243"/>
      <c r="FZ245" s="243"/>
      <c r="GA245" s="243"/>
      <c r="GB245" s="243"/>
      <c r="GC245" s="243"/>
      <c r="GD245" s="243"/>
      <c r="GE245" s="243"/>
      <c r="GF245" s="243"/>
      <c r="GG245" s="243"/>
      <c r="GH245" s="243"/>
      <c r="GI245" s="243"/>
      <c r="GJ245" s="243"/>
      <c r="GK245" s="243"/>
      <c r="GL245" s="243"/>
      <c r="GM245" s="243"/>
      <c r="GN245" s="243"/>
      <c r="GO245" s="243"/>
      <c r="GP245" s="243"/>
      <c r="GQ245" s="243"/>
      <c r="GR245" s="243"/>
      <c r="GS245" s="243"/>
      <c r="GT245" s="243"/>
      <c r="GU245" s="243"/>
      <c r="GV245" s="243"/>
      <c r="GW245" s="243"/>
      <c r="GX245" s="243"/>
      <c r="GY245" s="243"/>
      <c r="GZ245" s="243"/>
      <c r="HA245" s="243"/>
      <c r="HB245" s="243"/>
      <c r="HC245" s="243"/>
      <c r="HD245" s="243"/>
      <c r="HE245" s="243"/>
      <c r="HF245" s="243"/>
      <c r="HG245" s="243"/>
      <c r="HH245" s="243"/>
      <c r="HI245" s="243"/>
      <c r="HJ245" s="243"/>
      <c r="HK245" s="243"/>
      <c r="HL245" s="243"/>
      <c r="HM245" s="243"/>
      <c r="HN245" s="243"/>
      <c r="HO245" s="243"/>
      <c r="HP245" s="243"/>
      <c r="HQ245" s="243"/>
      <c r="HR245" s="243"/>
      <c r="HS245" s="243"/>
      <c r="HT245" s="243"/>
      <c r="HU245" s="243"/>
      <c r="HV245" s="243"/>
      <c r="HW245" s="243"/>
      <c r="HX245" s="243"/>
      <c r="HY245" s="243"/>
      <c r="HZ245" s="243"/>
      <c r="IA245" s="243"/>
      <c r="IB245" s="243"/>
      <c r="IC245" s="243"/>
      <c r="ID245" s="243"/>
      <c r="IE245" s="243"/>
      <c r="IF245" s="243"/>
      <c r="IG245" s="243"/>
      <c r="IH245" s="243"/>
      <c r="II245" s="243"/>
      <c r="IJ245" s="243"/>
      <c r="IK245" s="243"/>
      <c r="IL245" s="243"/>
      <c r="IM245" s="243"/>
      <c r="IN245" s="243"/>
      <c r="IO245" s="243"/>
      <c r="IP245" s="243"/>
      <c r="IQ245" s="243"/>
      <c r="IR245" s="243"/>
      <c r="IS245" s="243"/>
      <c r="IT245" s="243"/>
      <c r="IU245" s="243"/>
      <c r="IV245" s="243"/>
      <c r="IW245" s="243"/>
      <c r="IX245" s="243"/>
      <c r="IY245" s="243"/>
      <c r="IZ245" s="243"/>
      <c r="JA245" s="243"/>
      <c r="JB245" s="243"/>
      <c r="JC245" s="243"/>
      <c r="JD245" s="243"/>
      <c r="JE245" s="243"/>
      <c r="JF245" s="243"/>
      <c r="JG245" s="243"/>
      <c r="JH245" s="243"/>
      <c r="JI245" s="243"/>
      <c r="JJ245" s="243"/>
      <c r="JK245" s="243"/>
      <c r="JL245" s="243"/>
      <c r="JM245" s="243"/>
      <c r="JN245" s="243"/>
      <c r="JO245" s="243"/>
      <c r="JP245" s="243"/>
      <c r="JQ245" s="243"/>
      <c r="JR245" s="243"/>
      <c r="JS245" s="243"/>
      <c r="JT245" s="243"/>
      <c r="JU245" s="243"/>
      <c r="JV245" s="243"/>
      <c r="JW245" s="243"/>
      <c r="JX245" s="243"/>
      <c r="JY245" s="243"/>
      <c r="JZ245" s="243"/>
      <c r="KA245" s="243"/>
      <c r="KB245" s="243"/>
      <c r="KC245" s="243"/>
      <c r="KD245" s="243"/>
      <c r="KE245" s="243"/>
      <c r="KF245" s="243"/>
      <c r="KG245" s="243"/>
      <c r="KH245" s="243"/>
      <c r="KI245" s="243"/>
      <c r="KJ245" s="243"/>
      <c r="KK245" s="243"/>
      <c r="KL245" s="243"/>
      <c r="KM245" s="243"/>
      <c r="KN245" s="243"/>
      <c r="KO245" s="243"/>
      <c r="KP245" s="243"/>
      <c r="KQ245" s="243"/>
      <c r="KR245" s="243"/>
      <c r="KS245" s="243"/>
      <c r="KT245" s="243"/>
      <c r="KU245" s="243"/>
      <c r="KV245" s="243"/>
      <c r="KW245" s="243"/>
      <c r="KX245" s="243"/>
      <c r="KY245" s="243"/>
      <c r="KZ245" s="243"/>
      <c r="LA245" s="243"/>
      <c r="LB245" s="243"/>
      <c r="LC245" s="243"/>
      <c r="LD245" s="243"/>
      <c r="LE245" s="243"/>
      <c r="LF245" s="243"/>
      <c r="LG245" s="243"/>
      <c r="LH245" s="243"/>
      <c r="LI245" s="243"/>
      <c r="LJ245" s="243"/>
      <c r="LK245" s="243"/>
      <c r="LL245" s="243"/>
      <c r="LM245" s="243"/>
      <c r="LN245" s="243"/>
      <c r="LO245" s="243"/>
      <c r="LP245" s="243"/>
      <c r="LQ245" s="243"/>
      <c r="LR245" s="243"/>
      <c r="LS245" s="243"/>
      <c r="LT245" s="243"/>
      <c r="LU245" s="243"/>
      <c r="LV245" s="243"/>
      <c r="LW245" s="243"/>
      <c r="LX245" s="243"/>
      <c r="LY245" s="243"/>
      <c r="LZ245" s="243"/>
      <c r="MA245" s="243"/>
      <c r="MB245" s="243"/>
      <c r="MC245" s="243"/>
      <c r="MD245" s="243"/>
      <c r="ME245" s="243"/>
      <c r="MF245" s="243"/>
      <c r="MG245" s="243"/>
      <c r="MH245" s="243"/>
      <c r="MI245" s="243"/>
      <c r="MJ245" s="243"/>
      <c r="MK245" s="243"/>
      <c r="ML245" s="243"/>
      <c r="MM245" s="243"/>
      <c r="MN245" s="243"/>
      <c r="MO245" s="243"/>
      <c r="MP245" s="243"/>
      <c r="MQ245" s="243"/>
      <c r="MR245" s="243"/>
      <c r="MS245" s="243"/>
      <c r="MT245" s="243"/>
      <c r="MU245" s="243"/>
      <c r="MV245" s="243"/>
      <c r="MW245" s="243"/>
      <c r="MX245" s="243"/>
      <c r="MY245" s="243"/>
      <c r="MZ245" s="243"/>
      <c r="NA245" s="243"/>
      <c r="NB245" s="243"/>
      <c r="NC245" s="243"/>
      <c r="ND245" s="243"/>
      <c r="NE245" s="243"/>
      <c r="NF245" s="243"/>
      <c r="NG245" s="243"/>
      <c r="NH245" s="243"/>
      <c r="NI245" s="243"/>
      <c r="NJ245" s="243"/>
      <c r="NK245" s="243"/>
      <c r="NL245" s="243"/>
      <c r="NM245" s="243"/>
      <c r="NN245" s="243"/>
      <c r="NO245" s="243"/>
      <c r="NP245" s="243"/>
      <c r="NQ245" s="243"/>
      <c r="NR245" s="243"/>
      <c r="NS245" s="243"/>
      <c r="NT245" s="243"/>
      <c r="NU245" s="243"/>
      <c r="NV245" s="243"/>
      <c r="NW245" s="243"/>
      <c r="NX245" s="243"/>
      <c r="NY245" s="243"/>
      <c r="NZ245" s="243"/>
      <c r="OA245" s="243"/>
      <c r="OB245" s="243"/>
      <c r="OC245" s="243"/>
      <c r="OD245" s="243"/>
      <c r="OE245" s="243"/>
      <c r="OF245" s="243"/>
      <c r="OG245" s="243"/>
      <c r="OH245" s="243"/>
      <c r="OI245" s="243"/>
      <c r="OJ245" s="243"/>
      <c r="OK245" s="243"/>
      <c r="OL245" s="243"/>
      <c r="OM245" s="243"/>
      <c r="ON245" s="243"/>
      <c r="OO245" s="243"/>
      <c r="OP245" s="243"/>
      <c r="OQ245" s="243"/>
      <c r="OR245" s="243"/>
      <c r="OS245" s="243"/>
      <c r="OT245" s="243"/>
      <c r="OU245" s="243"/>
      <c r="OV245" s="243"/>
      <c r="OW245" s="243"/>
      <c r="OX245" s="243"/>
      <c r="OY245" s="243"/>
      <c r="OZ245" s="243"/>
      <c r="PA245" s="243"/>
      <c r="PB245" s="243"/>
      <c r="PC245" s="243"/>
      <c r="PD245" s="243"/>
      <c r="PE245" s="243"/>
      <c r="PF245" s="243"/>
      <c r="PG245" s="243"/>
      <c r="PH245" s="243"/>
      <c r="PI245" s="243"/>
      <c r="PJ245" s="243"/>
      <c r="PK245" s="243"/>
      <c r="PL245" s="243"/>
      <c r="PM245" s="243"/>
      <c r="PN245" s="243"/>
      <c r="PO245" s="243"/>
      <c r="PP245" s="243"/>
      <c r="PQ245" s="243"/>
      <c r="PR245" s="243"/>
      <c r="PS245" s="243"/>
      <c r="PT245" s="243"/>
      <c r="PU245" s="243"/>
      <c r="PV245" s="243"/>
      <c r="PW245" s="243"/>
      <c r="PX245" s="243"/>
      <c r="PY245" s="243"/>
      <c r="PZ245" s="243"/>
      <c r="QA245" s="243"/>
      <c r="QB245" s="243"/>
      <c r="QC245" s="243"/>
      <c r="QD245" s="243"/>
      <c r="QE245" s="243"/>
      <c r="QF245" s="243"/>
      <c r="QG245" s="243"/>
      <c r="QH245" s="243"/>
      <c r="QI245" s="243"/>
      <c r="QJ245" s="243"/>
      <c r="QK245" s="243"/>
      <c r="QL245" s="243"/>
      <c r="QM245" s="243"/>
      <c r="QN245" s="243"/>
      <c r="QO245" s="243"/>
      <c r="QP245" s="243"/>
      <c r="QQ245" s="243"/>
      <c r="QR245" s="243"/>
      <c r="QS245" s="243"/>
      <c r="QT245" s="243"/>
      <c r="QU245" s="243"/>
      <c r="QV245" s="243"/>
      <c r="QW245" s="243"/>
      <c r="QX245" s="243"/>
      <c r="QY245" s="243"/>
      <c r="QZ245" s="243"/>
      <c r="RA245" s="243"/>
      <c r="RB245" s="243"/>
      <c r="RC245" s="243"/>
      <c r="RD245" s="243"/>
      <c r="RE245" s="243"/>
      <c r="RF245" s="243"/>
      <c r="RG245" s="243"/>
      <c r="RH245" s="243"/>
      <c r="RI245" s="243"/>
      <c r="RJ245" s="243"/>
      <c r="RK245" s="243"/>
      <c r="RL245" s="243"/>
      <c r="RM245" s="243"/>
      <c r="RN245" s="243"/>
      <c r="RO245" s="243"/>
      <c r="RP245" s="243"/>
      <c r="RQ245" s="243"/>
      <c r="RR245" s="243"/>
      <c r="RS245" s="243"/>
      <c r="RT245" s="243"/>
      <c r="RU245" s="243"/>
      <c r="RV245" s="243"/>
      <c r="RW245" s="243"/>
      <c r="RX245" s="243"/>
      <c r="RY245" s="243"/>
      <c r="RZ245" s="243"/>
      <c r="SA245" s="243"/>
      <c r="SB245" s="243"/>
      <c r="SC245" s="243"/>
      <c r="SD245" s="243"/>
      <c r="SE245" s="243"/>
      <c r="SF245" s="243"/>
      <c r="SG245" s="243"/>
      <c r="SH245" s="243"/>
      <c r="SI245" s="243"/>
      <c r="SJ245" s="243"/>
      <c r="SK245" s="243"/>
      <c r="SL245" s="243"/>
      <c r="SM245" s="243"/>
      <c r="SN245" s="243"/>
      <c r="SO245" s="243"/>
      <c r="SP245" s="243"/>
      <c r="SQ245" s="243"/>
      <c r="SR245" s="243"/>
      <c r="SS245" s="243"/>
      <c r="ST245" s="243"/>
      <c r="SU245" s="243"/>
      <c r="SV245" s="243"/>
      <c r="SW245" s="243"/>
      <c r="SX245" s="243"/>
      <c r="SY245" s="243"/>
      <c r="SZ245" s="243"/>
      <c r="TA245" s="243"/>
      <c r="TB245" s="243"/>
      <c r="TC245" s="243"/>
      <c r="TD245" s="243"/>
      <c r="TE245" s="243"/>
      <c r="TF245" s="243"/>
      <c r="TG245" s="243"/>
      <c r="TH245" s="243"/>
      <c r="TI245" s="243"/>
      <c r="TJ245" s="243"/>
      <c r="TK245" s="243"/>
      <c r="TL245" s="243"/>
      <c r="TM245" s="243"/>
      <c r="TN245" s="243"/>
      <c r="TO245" s="243"/>
      <c r="TP245" s="243"/>
      <c r="TQ245" s="243"/>
      <c r="TR245" s="243"/>
      <c r="TS245" s="243"/>
      <c r="TT245" s="243"/>
      <c r="TU245" s="243"/>
      <c r="TV245" s="243"/>
      <c r="TW245" s="243"/>
      <c r="TX245" s="243"/>
      <c r="TY245" s="243"/>
      <c r="TZ245" s="243"/>
      <c r="UA245" s="243"/>
      <c r="UB245" s="243"/>
      <c r="UC245" s="243"/>
      <c r="UD245" s="243"/>
      <c r="UE245" s="243"/>
      <c r="UF245" s="243"/>
      <c r="UG245" s="243"/>
      <c r="UH245" s="243"/>
      <c r="UI245" s="243"/>
      <c r="UJ245" s="243"/>
      <c r="UK245" s="243"/>
      <c r="UL245" s="243"/>
      <c r="UM245" s="243"/>
      <c r="UN245" s="243"/>
      <c r="UO245" s="243"/>
      <c r="UP245" s="243"/>
      <c r="UQ245" s="243"/>
      <c r="UR245" s="243"/>
      <c r="US245" s="243"/>
      <c r="UT245" s="243"/>
      <c r="UU245" s="243"/>
      <c r="UV245" s="243"/>
      <c r="UW245" s="243"/>
      <c r="UX245" s="243"/>
      <c r="UY245" s="243"/>
      <c r="UZ245" s="243"/>
      <c r="VA245" s="243"/>
      <c r="VB245" s="243"/>
      <c r="VC245" s="243"/>
      <c r="VD245" s="243"/>
      <c r="VE245" s="243"/>
      <c r="VF245" s="243"/>
      <c r="VG245" s="243"/>
      <c r="VH245" s="243"/>
      <c r="VI245" s="243"/>
      <c r="VJ245" s="243"/>
      <c r="VK245" s="243"/>
      <c r="VL245" s="243"/>
      <c r="VM245" s="243"/>
      <c r="VN245" s="243"/>
      <c r="VO245" s="243"/>
      <c r="VP245" s="243"/>
      <c r="VQ245" s="243"/>
      <c r="VR245" s="243"/>
      <c r="VS245" s="243"/>
      <c r="VT245" s="243"/>
      <c r="VU245" s="243"/>
      <c r="VV245" s="243"/>
      <c r="VW245" s="243"/>
      <c r="VX245" s="243"/>
      <c r="VY245" s="243"/>
      <c r="VZ245" s="243"/>
      <c r="WA245" s="243"/>
      <c r="WB245" s="243"/>
      <c r="WC245" s="243"/>
      <c r="WD245" s="243"/>
      <c r="WE245" s="243"/>
      <c r="WF245" s="243"/>
      <c r="WG245" s="243"/>
      <c r="WH245" s="243"/>
      <c r="WI245" s="243"/>
      <c r="WJ245" s="243"/>
      <c r="WK245" s="243"/>
      <c r="WL245" s="243"/>
      <c r="WM245" s="243"/>
      <c r="WN245" s="243"/>
      <c r="WO245" s="243"/>
      <c r="WP245" s="243"/>
      <c r="WQ245" s="243"/>
      <c r="WR245" s="243"/>
      <c r="WS245" s="243"/>
      <c r="WT245" s="243"/>
      <c r="WU245" s="243"/>
      <c r="WV245" s="243"/>
      <c r="WW245" s="243"/>
      <c r="WX245" s="243"/>
      <c r="WY245" s="243"/>
      <c r="WZ245" s="243"/>
      <c r="XA245" s="243"/>
      <c r="XB245" s="243"/>
      <c r="XC245" s="243"/>
      <c r="XD245" s="243"/>
      <c r="XE245" s="243"/>
      <c r="XF245" s="243"/>
      <c r="XG245" s="243"/>
      <c r="XH245" s="243"/>
      <c r="XI245" s="243"/>
      <c r="XJ245" s="243"/>
      <c r="XK245" s="243"/>
      <c r="XL245" s="243"/>
      <c r="XM245" s="243"/>
      <c r="XN245" s="243"/>
      <c r="XO245" s="243"/>
      <c r="XP245" s="243"/>
      <c r="XQ245" s="243"/>
      <c r="XR245" s="243"/>
      <c r="XS245" s="243"/>
      <c r="XT245" s="243"/>
      <c r="XU245" s="243"/>
      <c r="XV245" s="243"/>
      <c r="XW245" s="243"/>
      <c r="XX245" s="243"/>
      <c r="XY245" s="243"/>
      <c r="XZ245" s="243"/>
      <c r="YA245" s="243"/>
      <c r="YB245" s="243"/>
      <c r="YC245" s="243"/>
      <c r="YD245" s="243"/>
      <c r="YE245" s="243"/>
      <c r="YF245" s="243"/>
      <c r="YG245" s="243"/>
      <c r="YH245" s="243"/>
      <c r="YI245" s="243"/>
      <c r="YJ245" s="243"/>
      <c r="YK245" s="243"/>
      <c r="YL245" s="243"/>
      <c r="YM245" s="243"/>
      <c r="YN245" s="243"/>
      <c r="YO245" s="243"/>
      <c r="YP245" s="243"/>
      <c r="YQ245" s="243"/>
      <c r="YR245" s="243"/>
      <c r="YS245" s="243"/>
      <c r="YT245" s="243"/>
      <c r="YU245" s="243"/>
      <c r="YV245" s="243"/>
      <c r="YW245" s="243"/>
      <c r="YX245" s="243"/>
      <c r="YY245" s="243"/>
      <c r="YZ245" s="243"/>
      <c r="ZA245" s="243"/>
      <c r="ZB245" s="243"/>
      <c r="ZC245" s="243"/>
      <c r="ZD245" s="243"/>
      <c r="ZE245" s="243"/>
      <c r="ZF245" s="243"/>
      <c r="ZG245" s="243"/>
      <c r="ZH245" s="243"/>
      <c r="ZI245" s="243"/>
      <c r="ZJ245" s="243"/>
      <c r="ZK245" s="243"/>
      <c r="ZL245" s="243"/>
      <c r="ZM245" s="243"/>
      <c r="ZN245" s="243"/>
      <c r="ZO245" s="243"/>
      <c r="ZP245" s="243"/>
      <c r="ZQ245" s="243"/>
      <c r="ZR245" s="243"/>
      <c r="ZS245" s="243"/>
      <c r="ZT245" s="243"/>
      <c r="ZU245" s="243"/>
      <c r="ZV245" s="243"/>
      <c r="ZW245" s="243"/>
      <c r="ZX245" s="243"/>
      <c r="ZY245" s="243"/>
      <c r="ZZ245" s="243"/>
      <c r="AAA245" s="243"/>
      <c r="AAB245" s="243"/>
      <c r="AAC245" s="243"/>
      <c r="AAD245" s="243"/>
      <c r="AAE245" s="243"/>
      <c r="AAF245" s="243"/>
      <c r="AAG245" s="243"/>
      <c r="AAH245" s="243"/>
      <c r="AAI245" s="243"/>
      <c r="AAJ245" s="243"/>
      <c r="AAK245" s="243"/>
      <c r="AAL245" s="243"/>
      <c r="AAM245" s="243"/>
      <c r="AAN245" s="243"/>
      <c r="AAO245" s="243"/>
      <c r="AAP245" s="243"/>
      <c r="AAQ245" s="243"/>
      <c r="AAR245" s="243"/>
      <c r="AAS245" s="243"/>
      <c r="AAT245" s="243"/>
      <c r="AAU245" s="243"/>
      <c r="AAV245" s="243"/>
      <c r="AAW245" s="243"/>
      <c r="AAX245" s="243"/>
      <c r="AAY245" s="243"/>
      <c r="AAZ245" s="243"/>
      <c r="ABA245" s="243"/>
      <c r="ABB245" s="243"/>
      <c r="ABC245" s="243"/>
      <c r="ABD245" s="243"/>
      <c r="ABE245" s="243"/>
      <c r="ABF245" s="243"/>
      <c r="ABG245" s="243"/>
      <c r="ABH245" s="243"/>
      <c r="ABI245" s="243"/>
      <c r="ABJ245" s="243"/>
      <c r="ABK245" s="243"/>
      <c r="ABL245" s="243"/>
      <c r="ABM245" s="243"/>
      <c r="ABN245" s="243"/>
      <c r="ABO245" s="243"/>
      <c r="ABP245" s="243"/>
      <c r="ABQ245" s="243"/>
      <c r="ABR245" s="243"/>
      <c r="ABS245" s="243"/>
      <c r="ABT245" s="243"/>
      <c r="ABU245" s="243"/>
      <c r="ABV245" s="243"/>
      <c r="ABW245" s="243"/>
      <c r="ABX245" s="243"/>
      <c r="ABY245" s="243"/>
      <c r="ABZ245" s="243"/>
      <c r="ACA245" s="243"/>
      <c r="ACB245" s="243"/>
      <c r="ACC245" s="243"/>
      <c r="ACD245" s="243"/>
      <c r="ACE245" s="243"/>
      <c r="ACF245" s="243"/>
      <c r="ACG245" s="243"/>
      <c r="ACH245" s="243"/>
      <c r="ACI245" s="243"/>
      <c r="ACJ245" s="243"/>
      <c r="ACK245" s="243"/>
      <c r="ACL245" s="243"/>
      <c r="ACM245" s="243"/>
      <c r="ACN245" s="243"/>
      <c r="ACO245" s="243"/>
      <c r="ACP245" s="243"/>
      <c r="ACQ245" s="243"/>
      <c r="ACR245" s="243"/>
      <c r="ACS245" s="243"/>
      <c r="ACT245" s="243"/>
      <c r="ACU245" s="243"/>
      <c r="ACV245" s="243"/>
      <c r="ACW245" s="243"/>
      <c r="ACX245" s="243"/>
      <c r="ACY245" s="243"/>
      <c r="ACZ245" s="243"/>
      <c r="ADA245" s="243"/>
      <c r="ADB245" s="243"/>
      <c r="ADC245" s="243"/>
      <c r="ADD245" s="243"/>
      <c r="ADE245" s="243"/>
      <c r="ADF245" s="243"/>
      <c r="ADG245" s="243"/>
      <c r="ADH245" s="243"/>
      <c r="ADI245" s="243"/>
      <c r="ADJ245" s="243"/>
      <c r="ADK245" s="243"/>
      <c r="ADL245" s="243"/>
      <c r="ADM245" s="243"/>
      <c r="ADN245" s="243"/>
      <c r="ADO245" s="243"/>
      <c r="ADP245" s="243"/>
      <c r="ADQ245" s="243"/>
      <c r="ADR245" s="243"/>
      <c r="ADS245" s="243"/>
      <c r="ADT245" s="243"/>
      <c r="ADU245" s="243"/>
      <c r="ADV245" s="243"/>
      <c r="ADW245" s="243"/>
      <c r="ADX245" s="243"/>
      <c r="ADY245" s="243"/>
      <c r="ADZ245" s="243"/>
      <c r="AEA245" s="243"/>
      <c r="AEB245" s="243"/>
      <c r="AEC245" s="243"/>
      <c r="AED245" s="243"/>
      <c r="AEE245" s="243"/>
      <c r="AEF245" s="243"/>
      <c r="AEG245" s="243"/>
      <c r="AEH245" s="243"/>
      <c r="AEI245" s="243"/>
      <c r="AEJ245" s="243"/>
      <c r="AEK245" s="243"/>
      <c r="AEL245" s="243"/>
      <c r="AEM245" s="243"/>
      <c r="AEN245" s="243"/>
      <c r="AEO245" s="243"/>
      <c r="AEP245" s="243"/>
      <c r="AEQ245" s="243"/>
      <c r="AER245" s="243"/>
      <c r="AES245" s="243"/>
      <c r="AET245" s="243"/>
      <c r="AEU245" s="243"/>
      <c r="AEV245" s="243"/>
      <c r="AEW245" s="243"/>
      <c r="AEX245" s="243"/>
      <c r="AEY245" s="243"/>
      <c r="AEZ245" s="243"/>
      <c r="AFA245" s="243"/>
      <c r="AFB245" s="243"/>
      <c r="AFC245" s="243"/>
      <c r="AFD245" s="243"/>
      <c r="AFE245" s="243"/>
      <c r="AFF245" s="243"/>
      <c r="AFG245" s="243"/>
      <c r="AFH245" s="243"/>
      <c r="AFI245" s="243"/>
      <c r="AFJ245" s="243"/>
      <c r="AFK245" s="243"/>
      <c r="AFL245" s="243"/>
      <c r="AFM245" s="243"/>
      <c r="AFN245" s="243"/>
      <c r="AFO245" s="243"/>
      <c r="AFP245" s="243"/>
      <c r="AFQ245" s="243"/>
      <c r="AFR245" s="243"/>
      <c r="AFS245" s="243"/>
      <c r="AFT245" s="243"/>
      <c r="AFU245" s="243"/>
      <c r="AFV245" s="243"/>
      <c r="AFW245" s="243"/>
      <c r="AFX245" s="243"/>
      <c r="AFY245" s="243"/>
      <c r="AFZ245" s="243"/>
      <c r="AGA245" s="243"/>
      <c r="AGB245" s="243"/>
      <c r="AGC245" s="243"/>
      <c r="AGD245" s="243"/>
      <c r="AGE245" s="243"/>
      <c r="AGF245" s="243"/>
      <c r="AGG245" s="243"/>
      <c r="AGH245" s="243"/>
      <c r="AGI245" s="243"/>
      <c r="AGJ245" s="243"/>
      <c r="AGK245" s="243"/>
      <c r="AGL245" s="243"/>
      <c r="AGM245" s="243"/>
      <c r="AGN245" s="243"/>
      <c r="AGO245" s="243"/>
      <c r="AGP245" s="243"/>
      <c r="AGQ245" s="243"/>
      <c r="AGR245" s="243"/>
      <c r="AGS245" s="243"/>
      <c r="AGT245" s="243"/>
      <c r="AGU245" s="243"/>
      <c r="AGV245" s="243"/>
      <c r="AGW245" s="243"/>
      <c r="AGX245" s="243"/>
      <c r="AGY245" s="243"/>
      <c r="AGZ245" s="243"/>
      <c r="AHA245" s="243"/>
      <c r="AHB245" s="243"/>
      <c r="AHC245" s="243"/>
      <c r="AHD245" s="243"/>
      <c r="AHE245" s="243"/>
      <c r="AHF245" s="243"/>
      <c r="AHG245" s="243"/>
      <c r="AHH245" s="243"/>
      <c r="AHI245" s="243"/>
      <c r="AHJ245" s="243"/>
      <c r="AHK245" s="243"/>
      <c r="AHL245" s="243"/>
      <c r="AHM245" s="243"/>
      <c r="AHN245" s="243"/>
      <c r="AHO245" s="243"/>
      <c r="AHP245" s="243"/>
      <c r="AHQ245" s="243"/>
      <c r="AHR245" s="243"/>
      <c r="AHS245" s="243"/>
      <c r="AHT245" s="243"/>
      <c r="AHU245" s="243"/>
      <c r="AHV245" s="243"/>
      <c r="AHW245" s="243"/>
      <c r="AHX245" s="243"/>
      <c r="AHY245" s="243"/>
      <c r="AHZ245" s="243"/>
      <c r="AIA245" s="243"/>
      <c r="AIB245" s="243"/>
      <c r="AIC245" s="243"/>
      <c r="AID245" s="243"/>
      <c r="AIE245" s="243"/>
      <c r="AIF245" s="243"/>
      <c r="AIG245" s="243"/>
      <c r="AIH245" s="243"/>
      <c r="AII245" s="243"/>
      <c r="AIJ245" s="243"/>
      <c r="AIK245" s="243"/>
      <c r="AIL245" s="243"/>
      <c r="AIM245" s="243"/>
      <c r="AIN245" s="243"/>
      <c r="AIO245" s="243"/>
      <c r="AIP245" s="243"/>
      <c r="AIQ245" s="243"/>
      <c r="AIR245" s="243"/>
      <c r="AIS245" s="243"/>
      <c r="AIT245" s="243"/>
      <c r="AIU245" s="243"/>
      <c r="AIV245" s="243"/>
      <c r="AIW245" s="243"/>
      <c r="AIX245" s="243"/>
      <c r="AIY245" s="243"/>
      <c r="AIZ245" s="243"/>
      <c r="AJA245" s="243"/>
      <c r="AJB245" s="243"/>
      <c r="AJC245" s="243"/>
      <c r="AJD245" s="243"/>
      <c r="AJE245" s="243"/>
      <c r="AJF245" s="243"/>
      <c r="AJG245" s="243"/>
      <c r="AJH245" s="243"/>
      <c r="AJI245" s="243"/>
      <c r="AJJ245" s="243"/>
      <c r="AJK245" s="243"/>
      <c r="AJL245" s="243"/>
      <c r="AJM245" s="243"/>
      <c r="AJN245" s="243"/>
      <c r="AJO245" s="243"/>
      <c r="AJP245" s="243"/>
      <c r="AJQ245" s="243"/>
      <c r="AJR245" s="243"/>
      <c r="AJS245" s="243"/>
      <c r="AJT245" s="243"/>
      <c r="AJU245" s="243"/>
      <c r="AJV245" s="243"/>
      <c r="AJW245" s="243"/>
      <c r="AJX245" s="243"/>
      <c r="AJY245" s="243"/>
      <c r="AJZ245" s="243"/>
      <c r="AKA245" s="243"/>
      <c r="AKB245" s="243"/>
      <c r="AKC245" s="243"/>
      <c r="AKD245" s="243"/>
      <c r="AKE245" s="243"/>
      <c r="AKF245" s="243"/>
      <c r="AKG245" s="243"/>
      <c r="AKH245" s="243"/>
      <c r="AKI245" s="243"/>
      <c r="AKJ245" s="243"/>
      <c r="AKK245" s="243"/>
      <c r="AKL245" s="243"/>
      <c r="AKM245" s="243"/>
      <c r="AKN245" s="243"/>
      <c r="AKO245" s="243"/>
      <c r="AKP245" s="243"/>
      <c r="AKQ245" s="243"/>
      <c r="AKR245" s="243"/>
      <c r="AKS245" s="243"/>
      <c r="AKT245" s="243"/>
      <c r="AKU245" s="243"/>
      <c r="AKV245" s="243"/>
      <c r="AKW245" s="243"/>
      <c r="AKX245" s="243"/>
      <c r="AKY245" s="243"/>
      <c r="AKZ245" s="243"/>
      <c r="ALA245" s="243"/>
      <c r="ALB245" s="243"/>
      <c r="ALC245" s="243"/>
      <c r="ALD245" s="243"/>
      <c r="ALE245" s="243"/>
      <c r="ALF245" s="243"/>
      <c r="ALG245" s="243"/>
      <c r="ALH245" s="243"/>
      <c r="ALI245" s="243"/>
      <c r="ALJ245" s="243"/>
      <c r="ALK245" s="243"/>
      <c r="ALL245" s="243"/>
      <c r="ALM245" s="243"/>
      <c r="ALN245" s="243"/>
      <c r="ALO245" s="243"/>
      <c r="ALP245" s="243"/>
      <c r="ALQ245" s="243"/>
      <c r="ALR245" s="243"/>
      <c r="ALS245" s="243"/>
      <c r="ALT245" s="243"/>
      <c r="ALU245" s="243"/>
      <c r="ALV245" s="243"/>
      <c r="ALW245" s="243"/>
      <c r="ALX245" s="243"/>
      <c r="ALY245" s="243"/>
      <c r="ALZ245" s="243"/>
      <c r="AMA245" s="243"/>
      <c r="AMB245" s="243"/>
      <c r="AMC245" s="243"/>
      <c r="AMD245" s="243"/>
      <c r="AME245" s="243"/>
      <c r="AMF245" s="243"/>
      <c r="AMG245" s="243"/>
      <c r="AMH245" s="243"/>
      <c r="AMI245" s="244"/>
      <c r="AMJ245" s="244"/>
    </row>
    <row r="246" spans="1:1024" ht="18" customHeight="1">
      <c r="A246" s="912"/>
      <c r="B246" s="450"/>
      <c r="C246" s="439"/>
      <c r="D246" s="405" t="s">
        <v>152</v>
      </c>
      <c r="E246" s="406"/>
      <c r="F246" s="403"/>
      <c r="G246" s="403"/>
      <c r="H246" s="407" t="s">
        <v>123</v>
      </c>
      <c r="I246" s="407" t="s">
        <v>138</v>
      </c>
      <c r="J246" s="407"/>
      <c r="K246" s="407" t="s">
        <v>167</v>
      </c>
      <c r="L246" s="407"/>
      <c r="M246" s="396"/>
      <c r="N246" s="396"/>
      <c r="O246" s="377"/>
      <c r="P246" s="377"/>
      <c r="Q246" s="503">
        <f>SUM(Q242:Q245)</f>
        <v>92000</v>
      </c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3"/>
      <c r="AI246" s="243"/>
      <c r="AJ246" s="243"/>
      <c r="AK246" s="243"/>
      <c r="AL246" s="243"/>
      <c r="AM246" s="243"/>
      <c r="AN246" s="243"/>
      <c r="AO246" s="243"/>
      <c r="AP246" s="243"/>
      <c r="AQ246" s="243"/>
      <c r="AR246" s="243"/>
      <c r="AS246" s="243"/>
      <c r="AT246" s="243"/>
      <c r="AU246" s="243"/>
      <c r="AV246" s="243"/>
      <c r="AW246" s="243"/>
      <c r="AX246" s="243"/>
      <c r="AY246" s="243"/>
      <c r="AZ246" s="243"/>
      <c r="BA246" s="243"/>
      <c r="BB246" s="243"/>
      <c r="BC246" s="243"/>
      <c r="BD246" s="243"/>
      <c r="BE246" s="243"/>
      <c r="BF246" s="243"/>
      <c r="BG246" s="243"/>
      <c r="BH246" s="243"/>
      <c r="BI246" s="243"/>
      <c r="BJ246" s="243"/>
      <c r="BK246" s="243"/>
      <c r="BL246" s="243"/>
      <c r="BM246" s="243"/>
      <c r="BN246" s="243"/>
      <c r="BO246" s="243"/>
      <c r="BP246" s="243"/>
      <c r="BQ246" s="243"/>
      <c r="BR246" s="243"/>
      <c r="BS246" s="243"/>
      <c r="BT246" s="243"/>
      <c r="BU246" s="243"/>
      <c r="BV246" s="243"/>
      <c r="BW246" s="243"/>
      <c r="BX246" s="243"/>
      <c r="BY246" s="243"/>
      <c r="BZ246" s="243"/>
      <c r="CA246" s="243"/>
      <c r="CB246" s="243"/>
      <c r="CC246" s="243"/>
      <c r="CD246" s="243"/>
      <c r="CE246" s="243"/>
      <c r="CF246" s="243"/>
      <c r="CG246" s="243"/>
      <c r="CH246" s="243"/>
      <c r="CI246" s="243"/>
      <c r="CJ246" s="243"/>
      <c r="CK246" s="243"/>
      <c r="CL246" s="243"/>
      <c r="CM246" s="243"/>
      <c r="CN246" s="243"/>
      <c r="CO246" s="243"/>
      <c r="CP246" s="243"/>
      <c r="CQ246" s="243"/>
      <c r="CR246" s="243"/>
      <c r="CS246" s="243"/>
      <c r="CT246" s="243"/>
      <c r="CU246" s="243"/>
      <c r="CV246" s="243"/>
      <c r="CW246" s="243"/>
      <c r="CX246" s="243"/>
      <c r="CY246" s="243"/>
      <c r="CZ246" s="243"/>
      <c r="DA246" s="243"/>
      <c r="DB246" s="243"/>
      <c r="DC246" s="243"/>
      <c r="DD246" s="243"/>
      <c r="DE246" s="243"/>
      <c r="DF246" s="243"/>
      <c r="DG246" s="243"/>
      <c r="DH246" s="243"/>
      <c r="DI246" s="243"/>
      <c r="DJ246" s="243"/>
      <c r="DK246" s="243"/>
      <c r="DL246" s="243"/>
      <c r="DM246" s="243"/>
      <c r="DN246" s="243"/>
      <c r="DO246" s="243"/>
      <c r="DP246" s="243"/>
      <c r="DQ246" s="243"/>
      <c r="DR246" s="243"/>
      <c r="DS246" s="243"/>
      <c r="DT246" s="243"/>
      <c r="DU246" s="243"/>
      <c r="DV246" s="243"/>
      <c r="DW246" s="243"/>
      <c r="DX246" s="243"/>
      <c r="DY246" s="243"/>
      <c r="DZ246" s="243"/>
      <c r="EA246" s="243"/>
      <c r="EB246" s="243"/>
      <c r="EC246" s="243"/>
      <c r="ED246" s="243"/>
      <c r="EE246" s="243"/>
      <c r="EF246" s="243"/>
      <c r="EG246" s="243"/>
      <c r="EH246" s="243"/>
      <c r="EI246" s="243"/>
      <c r="EJ246" s="243"/>
      <c r="EK246" s="243"/>
      <c r="EL246" s="243"/>
      <c r="EM246" s="243"/>
      <c r="EN246" s="243"/>
      <c r="EO246" s="243"/>
      <c r="EP246" s="243"/>
      <c r="EQ246" s="243"/>
      <c r="ER246" s="243"/>
      <c r="ES246" s="243"/>
      <c r="ET246" s="243"/>
      <c r="EU246" s="243"/>
      <c r="EV246" s="243"/>
      <c r="EW246" s="243"/>
      <c r="EX246" s="243"/>
      <c r="EY246" s="243"/>
      <c r="EZ246" s="243"/>
      <c r="FA246" s="243"/>
      <c r="FB246" s="243"/>
      <c r="FC246" s="243"/>
      <c r="FD246" s="243"/>
      <c r="FE246" s="243"/>
      <c r="FF246" s="243"/>
      <c r="FG246" s="243"/>
      <c r="FH246" s="243"/>
      <c r="FI246" s="243"/>
      <c r="FJ246" s="243"/>
      <c r="FK246" s="243"/>
      <c r="FL246" s="243"/>
      <c r="FM246" s="243"/>
      <c r="FN246" s="243"/>
      <c r="FO246" s="243"/>
      <c r="FP246" s="243"/>
      <c r="FQ246" s="243"/>
      <c r="FR246" s="243"/>
      <c r="FS246" s="243"/>
      <c r="FT246" s="243"/>
      <c r="FU246" s="243"/>
      <c r="FV246" s="243"/>
      <c r="FW246" s="243"/>
      <c r="FX246" s="243"/>
      <c r="FY246" s="243"/>
      <c r="FZ246" s="243"/>
      <c r="GA246" s="243"/>
      <c r="GB246" s="243"/>
      <c r="GC246" s="243"/>
      <c r="GD246" s="243"/>
      <c r="GE246" s="243"/>
      <c r="GF246" s="243"/>
      <c r="GG246" s="243"/>
      <c r="GH246" s="243"/>
      <c r="GI246" s="243"/>
      <c r="GJ246" s="243"/>
      <c r="GK246" s="243"/>
      <c r="GL246" s="243"/>
      <c r="GM246" s="243"/>
      <c r="GN246" s="243"/>
      <c r="GO246" s="243"/>
      <c r="GP246" s="243"/>
      <c r="GQ246" s="243"/>
      <c r="GR246" s="243"/>
      <c r="GS246" s="243"/>
      <c r="GT246" s="243"/>
      <c r="GU246" s="243"/>
      <c r="GV246" s="243"/>
      <c r="GW246" s="243"/>
      <c r="GX246" s="243"/>
      <c r="GY246" s="243"/>
      <c r="GZ246" s="243"/>
      <c r="HA246" s="243"/>
      <c r="HB246" s="243"/>
      <c r="HC246" s="243"/>
      <c r="HD246" s="243"/>
      <c r="HE246" s="243"/>
      <c r="HF246" s="243"/>
      <c r="HG246" s="243"/>
      <c r="HH246" s="243"/>
      <c r="HI246" s="243"/>
      <c r="HJ246" s="243"/>
      <c r="HK246" s="243"/>
      <c r="HL246" s="243"/>
      <c r="HM246" s="243"/>
      <c r="HN246" s="243"/>
      <c r="HO246" s="243"/>
      <c r="HP246" s="243"/>
      <c r="HQ246" s="243"/>
      <c r="HR246" s="243"/>
      <c r="HS246" s="243"/>
      <c r="HT246" s="243"/>
      <c r="HU246" s="243"/>
      <c r="HV246" s="243"/>
      <c r="HW246" s="243"/>
      <c r="HX246" s="243"/>
      <c r="HY246" s="243"/>
      <c r="HZ246" s="243"/>
      <c r="IA246" s="243"/>
      <c r="IB246" s="243"/>
      <c r="IC246" s="243"/>
      <c r="ID246" s="243"/>
      <c r="IE246" s="243"/>
      <c r="IF246" s="243"/>
      <c r="IG246" s="243"/>
      <c r="IH246" s="243"/>
      <c r="II246" s="243"/>
      <c r="IJ246" s="243"/>
      <c r="IK246" s="243"/>
      <c r="IL246" s="243"/>
      <c r="IM246" s="243"/>
      <c r="IN246" s="243"/>
      <c r="IO246" s="243"/>
      <c r="IP246" s="243"/>
      <c r="IQ246" s="243"/>
      <c r="IR246" s="243"/>
      <c r="IS246" s="243"/>
      <c r="IT246" s="243"/>
      <c r="IU246" s="243"/>
      <c r="IV246" s="243"/>
      <c r="IW246" s="243"/>
      <c r="IX246" s="243"/>
      <c r="IY246" s="243"/>
      <c r="IZ246" s="243"/>
      <c r="JA246" s="243"/>
      <c r="JB246" s="243"/>
      <c r="JC246" s="243"/>
      <c r="JD246" s="243"/>
      <c r="JE246" s="243"/>
      <c r="JF246" s="243"/>
      <c r="JG246" s="243"/>
      <c r="JH246" s="243"/>
      <c r="JI246" s="243"/>
      <c r="JJ246" s="243"/>
      <c r="JK246" s="243"/>
      <c r="JL246" s="243"/>
      <c r="JM246" s="243"/>
      <c r="JN246" s="243"/>
      <c r="JO246" s="243"/>
      <c r="JP246" s="243"/>
      <c r="JQ246" s="243"/>
      <c r="JR246" s="243"/>
      <c r="JS246" s="243"/>
      <c r="JT246" s="243"/>
      <c r="JU246" s="243"/>
      <c r="JV246" s="243"/>
      <c r="JW246" s="243"/>
      <c r="JX246" s="243"/>
      <c r="JY246" s="243"/>
      <c r="JZ246" s="243"/>
      <c r="KA246" s="243"/>
      <c r="KB246" s="243"/>
      <c r="KC246" s="243"/>
      <c r="KD246" s="243"/>
      <c r="KE246" s="243"/>
      <c r="KF246" s="243"/>
      <c r="KG246" s="243"/>
      <c r="KH246" s="243"/>
      <c r="KI246" s="243"/>
      <c r="KJ246" s="243"/>
      <c r="KK246" s="243"/>
      <c r="KL246" s="243"/>
      <c r="KM246" s="243"/>
      <c r="KN246" s="243"/>
      <c r="KO246" s="243"/>
      <c r="KP246" s="243"/>
      <c r="KQ246" s="243"/>
      <c r="KR246" s="243"/>
      <c r="KS246" s="243"/>
      <c r="KT246" s="243"/>
      <c r="KU246" s="243"/>
      <c r="KV246" s="243"/>
      <c r="KW246" s="243"/>
      <c r="KX246" s="243"/>
      <c r="KY246" s="243"/>
      <c r="KZ246" s="243"/>
      <c r="LA246" s="243"/>
      <c r="LB246" s="243"/>
      <c r="LC246" s="243"/>
      <c r="LD246" s="243"/>
      <c r="LE246" s="243"/>
      <c r="LF246" s="243"/>
      <c r="LG246" s="243"/>
      <c r="LH246" s="243"/>
      <c r="LI246" s="243"/>
      <c r="LJ246" s="243"/>
      <c r="LK246" s="243"/>
      <c r="LL246" s="243"/>
      <c r="LM246" s="243"/>
      <c r="LN246" s="243"/>
      <c r="LO246" s="243"/>
      <c r="LP246" s="243"/>
      <c r="LQ246" s="243"/>
      <c r="LR246" s="243"/>
      <c r="LS246" s="243"/>
      <c r="LT246" s="243"/>
      <c r="LU246" s="243"/>
      <c r="LV246" s="243"/>
      <c r="LW246" s="243"/>
      <c r="LX246" s="243"/>
      <c r="LY246" s="243"/>
      <c r="LZ246" s="243"/>
      <c r="MA246" s="243"/>
      <c r="MB246" s="243"/>
      <c r="MC246" s="243"/>
      <c r="MD246" s="243"/>
      <c r="ME246" s="243"/>
      <c r="MF246" s="243"/>
      <c r="MG246" s="243"/>
      <c r="MH246" s="243"/>
      <c r="MI246" s="243"/>
      <c r="MJ246" s="243"/>
      <c r="MK246" s="243"/>
      <c r="ML246" s="243"/>
      <c r="MM246" s="243"/>
      <c r="MN246" s="243"/>
      <c r="MO246" s="243"/>
      <c r="MP246" s="243"/>
      <c r="MQ246" s="243"/>
      <c r="MR246" s="243"/>
      <c r="MS246" s="243"/>
      <c r="MT246" s="243"/>
      <c r="MU246" s="243"/>
      <c r="MV246" s="243"/>
      <c r="MW246" s="243"/>
      <c r="MX246" s="243"/>
      <c r="MY246" s="243"/>
      <c r="MZ246" s="243"/>
      <c r="NA246" s="243"/>
      <c r="NB246" s="243"/>
      <c r="NC246" s="243"/>
      <c r="ND246" s="243"/>
      <c r="NE246" s="243"/>
      <c r="NF246" s="243"/>
      <c r="NG246" s="243"/>
      <c r="NH246" s="243"/>
      <c r="NI246" s="243"/>
      <c r="NJ246" s="243"/>
      <c r="NK246" s="243"/>
      <c r="NL246" s="243"/>
      <c r="NM246" s="243"/>
      <c r="NN246" s="243"/>
      <c r="NO246" s="243"/>
      <c r="NP246" s="243"/>
      <c r="NQ246" s="243"/>
      <c r="NR246" s="243"/>
      <c r="NS246" s="243"/>
      <c r="NT246" s="243"/>
      <c r="NU246" s="243"/>
      <c r="NV246" s="243"/>
      <c r="NW246" s="243"/>
      <c r="NX246" s="243"/>
      <c r="NY246" s="243"/>
      <c r="NZ246" s="243"/>
      <c r="OA246" s="243"/>
      <c r="OB246" s="243"/>
      <c r="OC246" s="243"/>
      <c r="OD246" s="243"/>
      <c r="OE246" s="243"/>
      <c r="OF246" s="243"/>
      <c r="OG246" s="243"/>
      <c r="OH246" s="243"/>
      <c r="OI246" s="243"/>
      <c r="OJ246" s="243"/>
      <c r="OK246" s="243"/>
      <c r="OL246" s="243"/>
      <c r="OM246" s="243"/>
      <c r="ON246" s="243"/>
      <c r="OO246" s="243"/>
      <c r="OP246" s="243"/>
      <c r="OQ246" s="243"/>
      <c r="OR246" s="243"/>
      <c r="OS246" s="243"/>
      <c r="OT246" s="243"/>
      <c r="OU246" s="243"/>
      <c r="OV246" s="243"/>
      <c r="OW246" s="243"/>
      <c r="OX246" s="243"/>
      <c r="OY246" s="243"/>
      <c r="OZ246" s="243"/>
      <c r="PA246" s="243"/>
      <c r="PB246" s="243"/>
      <c r="PC246" s="243"/>
      <c r="PD246" s="243"/>
      <c r="PE246" s="243"/>
      <c r="PF246" s="243"/>
      <c r="PG246" s="243"/>
      <c r="PH246" s="243"/>
      <c r="PI246" s="243"/>
      <c r="PJ246" s="243"/>
      <c r="PK246" s="243"/>
      <c r="PL246" s="243"/>
      <c r="PM246" s="243"/>
      <c r="PN246" s="243"/>
      <c r="PO246" s="243"/>
      <c r="PP246" s="243"/>
      <c r="PQ246" s="243"/>
      <c r="PR246" s="243"/>
      <c r="PS246" s="243"/>
      <c r="PT246" s="243"/>
      <c r="PU246" s="243"/>
      <c r="PV246" s="243"/>
      <c r="PW246" s="243"/>
      <c r="PX246" s="243"/>
      <c r="PY246" s="243"/>
      <c r="PZ246" s="243"/>
      <c r="QA246" s="243"/>
      <c r="QB246" s="243"/>
      <c r="QC246" s="243"/>
      <c r="QD246" s="243"/>
      <c r="QE246" s="243"/>
      <c r="QF246" s="243"/>
      <c r="QG246" s="243"/>
      <c r="QH246" s="243"/>
      <c r="QI246" s="243"/>
      <c r="QJ246" s="243"/>
      <c r="QK246" s="243"/>
      <c r="QL246" s="243"/>
      <c r="QM246" s="243"/>
      <c r="QN246" s="243"/>
      <c r="QO246" s="243"/>
      <c r="QP246" s="243"/>
      <c r="QQ246" s="243"/>
      <c r="QR246" s="243"/>
      <c r="QS246" s="243"/>
      <c r="QT246" s="243"/>
      <c r="QU246" s="243"/>
      <c r="QV246" s="243"/>
      <c r="QW246" s="243"/>
      <c r="QX246" s="243"/>
      <c r="QY246" s="243"/>
      <c r="QZ246" s="243"/>
      <c r="RA246" s="243"/>
      <c r="RB246" s="243"/>
      <c r="RC246" s="243"/>
      <c r="RD246" s="243"/>
      <c r="RE246" s="243"/>
      <c r="RF246" s="243"/>
      <c r="RG246" s="243"/>
      <c r="RH246" s="243"/>
      <c r="RI246" s="243"/>
      <c r="RJ246" s="243"/>
      <c r="RK246" s="243"/>
      <c r="RL246" s="243"/>
      <c r="RM246" s="243"/>
      <c r="RN246" s="243"/>
      <c r="RO246" s="243"/>
      <c r="RP246" s="243"/>
      <c r="RQ246" s="243"/>
      <c r="RR246" s="243"/>
      <c r="RS246" s="243"/>
      <c r="RT246" s="243"/>
      <c r="RU246" s="243"/>
      <c r="RV246" s="243"/>
      <c r="RW246" s="243"/>
      <c r="RX246" s="243"/>
      <c r="RY246" s="243"/>
      <c r="RZ246" s="243"/>
      <c r="SA246" s="243"/>
      <c r="SB246" s="243"/>
      <c r="SC246" s="243"/>
      <c r="SD246" s="243"/>
      <c r="SE246" s="243"/>
      <c r="SF246" s="243"/>
      <c r="SG246" s="243"/>
      <c r="SH246" s="243"/>
      <c r="SI246" s="243"/>
      <c r="SJ246" s="243"/>
      <c r="SK246" s="243"/>
      <c r="SL246" s="243"/>
      <c r="SM246" s="243"/>
      <c r="SN246" s="243"/>
      <c r="SO246" s="243"/>
      <c r="SP246" s="243"/>
      <c r="SQ246" s="243"/>
      <c r="SR246" s="243"/>
      <c r="SS246" s="243"/>
      <c r="ST246" s="243"/>
      <c r="SU246" s="243"/>
      <c r="SV246" s="243"/>
      <c r="SW246" s="243"/>
      <c r="SX246" s="243"/>
      <c r="SY246" s="243"/>
      <c r="SZ246" s="243"/>
      <c r="TA246" s="243"/>
      <c r="TB246" s="243"/>
      <c r="TC246" s="243"/>
      <c r="TD246" s="243"/>
      <c r="TE246" s="243"/>
      <c r="TF246" s="243"/>
      <c r="TG246" s="243"/>
      <c r="TH246" s="243"/>
      <c r="TI246" s="243"/>
      <c r="TJ246" s="243"/>
      <c r="TK246" s="243"/>
      <c r="TL246" s="243"/>
      <c r="TM246" s="243"/>
      <c r="TN246" s="243"/>
      <c r="TO246" s="243"/>
      <c r="TP246" s="243"/>
      <c r="TQ246" s="243"/>
      <c r="TR246" s="243"/>
      <c r="TS246" s="243"/>
      <c r="TT246" s="243"/>
      <c r="TU246" s="243"/>
      <c r="TV246" s="243"/>
      <c r="TW246" s="243"/>
      <c r="TX246" s="243"/>
      <c r="TY246" s="243"/>
      <c r="TZ246" s="243"/>
      <c r="UA246" s="243"/>
      <c r="UB246" s="243"/>
      <c r="UC246" s="243"/>
      <c r="UD246" s="243"/>
      <c r="UE246" s="243"/>
      <c r="UF246" s="243"/>
      <c r="UG246" s="243"/>
      <c r="UH246" s="243"/>
      <c r="UI246" s="243"/>
      <c r="UJ246" s="243"/>
      <c r="UK246" s="243"/>
      <c r="UL246" s="243"/>
      <c r="UM246" s="243"/>
      <c r="UN246" s="243"/>
      <c r="UO246" s="243"/>
      <c r="UP246" s="243"/>
      <c r="UQ246" s="243"/>
      <c r="UR246" s="243"/>
      <c r="US246" s="243"/>
      <c r="UT246" s="243"/>
      <c r="UU246" s="243"/>
      <c r="UV246" s="243"/>
      <c r="UW246" s="243"/>
      <c r="UX246" s="243"/>
      <c r="UY246" s="243"/>
      <c r="UZ246" s="243"/>
      <c r="VA246" s="243"/>
      <c r="VB246" s="243"/>
      <c r="VC246" s="243"/>
      <c r="VD246" s="243"/>
      <c r="VE246" s="243"/>
      <c r="VF246" s="243"/>
      <c r="VG246" s="243"/>
      <c r="VH246" s="243"/>
      <c r="VI246" s="243"/>
      <c r="VJ246" s="243"/>
      <c r="VK246" s="243"/>
      <c r="VL246" s="243"/>
      <c r="VM246" s="243"/>
      <c r="VN246" s="243"/>
      <c r="VO246" s="243"/>
      <c r="VP246" s="243"/>
      <c r="VQ246" s="243"/>
      <c r="VR246" s="243"/>
      <c r="VS246" s="243"/>
      <c r="VT246" s="243"/>
      <c r="VU246" s="243"/>
      <c r="VV246" s="243"/>
      <c r="VW246" s="243"/>
      <c r="VX246" s="243"/>
      <c r="VY246" s="243"/>
      <c r="VZ246" s="243"/>
      <c r="WA246" s="243"/>
      <c r="WB246" s="243"/>
      <c r="WC246" s="243"/>
      <c r="WD246" s="243"/>
      <c r="WE246" s="243"/>
      <c r="WF246" s="243"/>
      <c r="WG246" s="243"/>
      <c r="WH246" s="243"/>
      <c r="WI246" s="243"/>
      <c r="WJ246" s="243"/>
      <c r="WK246" s="243"/>
      <c r="WL246" s="243"/>
      <c r="WM246" s="243"/>
      <c r="WN246" s="243"/>
      <c r="WO246" s="243"/>
      <c r="WP246" s="243"/>
      <c r="WQ246" s="243"/>
      <c r="WR246" s="243"/>
      <c r="WS246" s="243"/>
      <c r="WT246" s="243"/>
      <c r="WU246" s="243"/>
      <c r="WV246" s="243"/>
      <c r="WW246" s="243"/>
      <c r="WX246" s="243"/>
      <c r="WY246" s="243"/>
      <c r="WZ246" s="243"/>
      <c r="XA246" s="243"/>
      <c r="XB246" s="243"/>
      <c r="XC246" s="243"/>
      <c r="XD246" s="243"/>
      <c r="XE246" s="243"/>
      <c r="XF246" s="243"/>
      <c r="XG246" s="243"/>
      <c r="XH246" s="243"/>
      <c r="XI246" s="243"/>
      <c r="XJ246" s="243"/>
      <c r="XK246" s="243"/>
      <c r="XL246" s="243"/>
      <c r="XM246" s="243"/>
      <c r="XN246" s="243"/>
      <c r="XO246" s="243"/>
      <c r="XP246" s="243"/>
      <c r="XQ246" s="243"/>
      <c r="XR246" s="243"/>
      <c r="XS246" s="243"/>
      <c r="XT246" s="243"/>
      <c r="XU246" s="243"/>
      <c r="XV246" s="243"/>
      <c r="XW246" s="243"/>
      <c r="XX246" s="243"/>
      <c r="XY246" s="243"/>
      <c r="XZ246" s="243"/>
      <c r="YA246" s="243"/>
      <c r="YB246" s="243"/>
      <c r="YC246" s="243"/>
      <c r="YD246" s="243"/>
      <c r="YE246" s="243"/>
      <c r="YF246" s="243"/>
      <c r="YG246" s="243"/>
      <c r="YH246" s="243"/>
      <c r="YI246" s="243"/>
      <c r="YJ246" s="243"/>
      <c r="YK246" s="243"/>
      <c r="YL246" s="243"/>
      <c r="YM246" s="243"/>
      <c r="YN246" s="243"/>
      <c r="YO246" s="243"/>
      <c r="YP246" s="243"/>
      <c r="YQ246" s="243"/>
      <c r="YR246" s="243"/>
      <c r="YS246" s="243"/>
      <c r="YT246" s="243"/>
      <c r="YU246" s="243"/>
      <c r="YV246" s="243"/>
      <c r="YW246" s="243"/>
      <c r="YX246" s="243"/>
      <c r="YY246" s="243"/>
      <c r="YZ246" s="243"/>
      <c r="ZA246" s="243"/>
      <c r="ZB246" s="243"/>
      <c r="ZC246" s="243"/>
      <c r="ZD246" s="243"/>
      <c r="ZE246" s="243"/>
      <c r="ZF246" s="243"/>
      <c r="ZG246" s="243"/>
      <c r="ZH246" s="243"/>
      <c r="ZI246" s="243"/>
      <c r="ZJ246" s="243"/>
      <c r="ZK246" s="243"/>
      <c r="ZL246" s="243"/>
      <c r="ZM246" s="243"/>
      <c r="ZN246" s="243"/>
      <c r="ZO246" s="243"/>
      <c r="ZP246" s="243"/>
      <c r="ZQ246" s="243"/>
      <c r="ZR246" s="243"/>
      <c r="ZS246" s="243"/>
      <c r="ZT246" s="243"/>
      <c r="ZU246" s="243"/>
      <c r="ZV246" s="243"/>
      <c r="ZW246" s="243"/>
      <c r="ZX246" s="243"/>
      <c r="ZY246" s="243"/>
      <c r="ZZ246" s="243"/>
      <c r="AAA246" s="243"/>
      <c r="AAB246" s="243"/>
      <c r="AAC246" s="243"/>
      <c r="AAD246" s="243"/>
      <c r="AAE246" s="243"/>
      <c r="AAF246" s="243"/>
      <c r="AAG246" s="243"/>
      <c r="AAH246" s="243"/>
      <c r="AAI246" s="243"/>
      <c r="AAJ246" s="243"/>
      <c r="AAK246" s="243"/>
      <c r="AAL246" s="243"/>
      <c r="AAM246" s="243"/>
      <c r="AAN246" s="243"/>
      <c r="AAO246" s="243"/>
      <c r="AAP246" s="243"/>
      <c r="AAQ246" s="243"/>
      <c r="AAR246" s="243"/>
      <c r="AAS246" s="243"/>
      <c r="AAT246" s="243"/>
      <c r="AAU246" s="243"/>
      <c r="AAV246" s="243"/>
      <c r="AAW246" s="243"/>
      <c r="AAX246" s="243"/>
      <c r="AAY246" s="243"/>
      <c r="AAZ246" s="243"/>
      <c r="ABA246" s="243"/>
      <c r="ABB246" s="243"/>
      <c r="ABC246" s="243"/>
      <c r="ABD246" s="243"/>
      <c r="ABE246" s="243"/>
      <c r="ABF246" s="243"/>
      <c r="ABG246" s="243"/>
      <c r="ABH246" s="243"/>
      <c r="ABI246" s="243"/>
      <c r="ABJ246" s="243"/>
      <c r="ABK246" s="243"/>
      <c r="ABL246" s="243"/>
      <c r="ABM246" s="243"/>
      <c r="ABN246" s="243"/>
      <c r="ABO246" s="243"/>
      <c r="ABP246" s="243"/>
      <c r="ABQ246" s="243"/>
      <c r="ABR246" s="243"/>
      <c r="ABS246" s="243"/>
      <c r="ABT246" s="243"/>
      <c r="ABU246" s="243"/>
      <c r="ABV246" s="243"/>
      <c r="ABW246" s="243"/>
      <c r="ABX246" s="243"/>
      <c r="ABY246" s="243"/>
      <c r="ABZ246" s="243"/>
      <c r="ACA246" s="243"/>
      <c r="ACB246" s="243"/>
      <c r="ACC246" s="243"/>
      <c r="ACD246" s="243"/>
      <c r="ACE246" s="243"/>
      <c r="ACF246" s="243"/>
      <c r="ACG246" s="243"/>
      <c r="ACH246" s="243"/>
      <c r="ACI246" s="243"/>
      <c r="ACJ246" s="243"/>
      <c r="ACK246" s="243"/>
      <c r="ACL246" s="243"/>
      <c r="ACM246" s="243"/>
      <c r="ACN246" s="243"/>
      <c r="ACO246" s="243"/>
      <c r="ACP246" s="243"/>
      <c r="ACQ246" s="243"/>
      <c r="ACR246" s="243"/>
      <c r="ACS246" s="243"/>
      <c r="ACT246" s="243"/>
      <c r="ACU246" s="243"/>
      <c r="ACV246" s="243"/>
      <c r="ACW246" s="243"/>
      <c r="ACX246" s="243"/>
      <c r="ACY246" s="243"/>
      <c r="ACZ246" s="243"/>
      <c r="ADA246" s="243"/>
      <c r="ADB246" s="243"/>
      <c r="ADC246" s="243"/>
      <c r="ADD246" s="243"/>
      <c r="ADE246" s="243"/>
      <c r="ADF246" s="243"/>
      <c r="ADG246" s="243"/>
      <c r="ADH246" s="243"/>
      <c r="ADI246" s="243"/>
      <c r="ADJ246" s="243"/>
      <c r="ADK246" s="243"/>
      <c r="ADL246" s="243"/>
      <c r="ADM246" s="243"/>
      <c r="ADN246" s="243"/>
      <c r="ADO246" s="243"/>
      <c r="ADP246" s="243"/>
      <c r="ADQ246" s="243"/>
      <c r="ADR246" s="243"/>
      <c r="ADS246" s="243"/>
      <c r="ADT246" s="243"/>
      <c r="ADU246" s="243"/>
      <c r="ADV246" s="243"/>
      <c r="ADW246" s="243"/>
      <c r="ADX246" s="243"/>
      <c r="ADY246" s="243"/>
      <c r="ADZ246" s="243"/>
      <c r="AEA246" s="243"/>
      <c r="AEB246" s="243"/>
      <c r="AEC246" s="243"/>
      <c r="AED246" s="243"/>
      <c r="AEE246" s="243"/>
      <c r="AEF246" s="243"/>
      <c r="AEG246" s="243"/>
      <c r="AEH246" s="243"/>
      <c r="AEI246" s="243"/>
      <c r="AEJ246" s="243"/>
      <c r="AEK246" s="243"/>
      <c r="AEL246" s="243"/>
      <c r="AEM246" s="243"/>
      <c r="AEN246" s="243"/>
      <c r="AEO246" s="243"/>
      <c r="AEP246" s="243"/>
      <c r="AEQ246" s="243"/>
      <c r="AER246" s="243"/>
      <c r="AES246" s="243"/>
      <c r="AET246" s="243"/>
      <c r="AEU246" s="243"/>
      <c r="AEV246" s="243"/>
      <c r="AEW246" s="243"/>
      <c r="AEX246" s="243"/>
      <c r="AEY246" s="243"/>
      <c r="AEZ246" s="243"/>
      <c r="AFA246" s="243"/>
      <c r="AFB246" s="243"/>
      <c r="AFC246" s="243"/>
      <c r="AFD246" s="243"/>
      <c r="AFE246" s="243"/>
      <c r="AFF246" s="243"/>
      <c r="AFG246" s="243"/>
      <c r="AFH246" s="243"/>
      <c r="AFI246" s="243"/>
      <c r="AFJ246" s="243"/>
      <c r="AFK246" s="243"/>
      <c r="AFL246" s="243"/>
      <c r="AFM246" s="243"/>
      <c r="AFN246" s="243"/>
      <c r="AFO246" s="243"/>
      <c r="AFP246" s="243"/>
      <c r="AFQ246" s="243"/>
      <c r="AFR246" s="243"/>
      <c r="AFS246" s="243"/>
      <c r="AFT246" s="243"/>
      <c r="AFU246" s="243"/>
      <c r="AFV246" s="243"/>
      <c r="AFW246" s="243"/>
      <c r="AFX246" s="243"/>
      <c r="AFY246" s="243"/>
      <c r="AFZ246" s="243"/>
      <c r="AGA246" s="243"/>
      <c r="AGB246" s="243"/>
      <c r="AGC246" s="243"/>
      <c r="AGD246" s="243"/>
      <c r="AGE246" s="243"/>
      <c r="AGF246" s="243"/>
      <c r="AGG246" s="243"/>
      <c r="AGH246" s="243"/>
      <c r="AGI246" s="243"/>
      <c r="AGJ246" s="243"/>
      <c r="AGK246" s="243"/>
      <c r="AGL246" s="243"/>
      <c r="AGM246" s="243"/>
      <c r="AGN246" s="243"/>
      <c r="AGO246" s="243"/>
      <c r="AGP246" s="243"/>
      <c r="AGQ246" s="243"/>
      <c r="AGR246" s="243"/>
      <c r="AGS246" s="243"/>
      <c r="AGT246" s="243"/>
      <c r="AGU246" s="243"/>
      <c r="AGV246" s="243"/>
      <c r="AGW246" s="243"/>
      <c r="AGX246" s="243"/>
      <c r="AGY246" s="243"/>
      <c r="AGZ246" s="243"/>
      <c r="AHA246" s="243"/>
      <c r="AHB246" s="243"/>
      <c r="AHC246" s="243"/>
      <c r="AHD246" s="243"/>
      <c r="AHE246" s="243"/>
      <c r="AHF246" s="243"/>
      <c r="AHG246" s="243"/>
      <c r="AHH246" s="243"/>
      <c r="AHI246" s="243"/>
      <c r="AHJ246" s="243"/>
      <c r="AHK246" s="243"/>
      <c r="AHL246" s="243"/>
      <c r="AHM246" s="243"/>
      <c r="AHN246" s="243"/>
      <c r="AHO246" s="243"/>
      <c r="AHP246" s="243"/>
      <c r="AHQ246" s="243"/>
      <c r="AHR246" s="243"/>
      <c r="AHS246" s="243"/>
      <c r="AHT246" s="243"/>
      <c r="AHU246" s="243"/>
      <c r="AHV246" s="243"/>
      <c r="AHW246" s="243"/>
      <c r="AHX246" s="243"/>
      <c r="AHY246" s="243"/>
      <c r="AHZ246" s="243"/>
      <c r="AIA246" s="243"/>
      <c r="AIB246" s="243"/>
      <c r="AIC246" s="243"/>
      <c r="AID246" s="243"/>
      <c r="AIE246" s="243"/>
      <c r="AIF246" s="243"/>
      <c r="AIG246" s="243"/>
      <c r="AIH246" s="243"/>
      <c r="AII246" s="243"/>
      <c r="AIJ246" s="243"/>
      <c r="AIK246" s="243"/>
      <c r="AIL246" s="243"/>
      <c r="AIM246" s="243"/>
      <c r="AIN246" s="243"/>
      <c r="AIO246" s="243"/>
      <c r="AIP246" s="243"/>
      <c r="AIQ246" s="243"/>
      <c r="AIR246" s="243"/>
      <c r="AIS246" s="243"/>
      <c r="AIT246" s="243"/>
      <c r="AIU246" s="243"/>
      <c r="AIV246" s="243"/>
      <c r="AIW246" s="243"/>
      <c r="AIX246" s="243"/>
      <c r="AIY246" s="243"/>
      <c r="AIZ246" s="243"/>
      <c r="AJA246" s="243"/>
      <c r="AJB246" s="243"/>
      <c r="AJC246" s="243"/>
      <c r="AJD246" s="243"/>
      <c r="AJE246" s="243"/>
      <c r="AJF246" s="243"/>
      <c r="AJG246" s="243"/>
      <c r="AJH246" s="243"/>
      <c r="AJI246" s="243"/>
      <c r="AJJ246" s="243"/>
      <c r="AJK246" s="243"/>
      <c r="AJL246" s="243"/>
      <c r="AJM246" s="243"/>
      <c r="AJN246" s="243"/>
      <c r="AJO246" s="243"/>
      <c r="AJP246" s="243"/>
      <c r="AJQ246" s="243"/>
      <c r="AJR246" s="243"/>
      <c r="AJS246" s="243"/>
      <c r="AJT246" s="243"/>
      <c r="AJU246" s="243"/>
      <c r="AJV246" s="243"/>
      <c r="AJW246" s="243"/>
      <c r="AJX246" s="243"/>
      <c r="AJY246" s="243"/>
      <c r="AJZ246" s="243"/>
      <c r="AKA246" s="243"/>
      <c r="AKB246" s="243"/>
      <c r="AKC246" s="243"/>
      <c r="AKD246" s="243"/>
      <c r="AKE246" s="243"/>
      <c r="AKF246" s="243"/>
      <c r="AKG246" s="243"/>
      <c r="AKH246" s="243"/>
      <c r="AKI246" s="243"/>
      <c r="AKJ246" s="243"/>
      <c r="AKK246" s="243"/>
      <c r="AKL246" s="243"/>
      <c r="AKM246" s="243"/>
      <c r="AKN246" s="243"/>
      <c r="AKO246" s="243"/>
      <c r="AKP246" s="243"/>
      <c r="AKQ246" s="243"/>
      <c r="AKR246" s="243"/>
      <c r="AKS246" s="243"/>
      <c r="AKT246" s="243"/>
      <c r="AKU246" s="243"/>
      <c r="AKV246" s="243"/>
      <c r="AKW246" s="243"/>
      <c r="AKX246" s="243"/>
      <c r="AKY246" s="243"/>
      <c r="AKZ246" s="243"/>
      <c r="ALA246" s="243"/>
      <c r="ALB246" s="243"/>
      <c r="ALC246" s="243"/>
      <c r="ALD246" s="243"/>
      <c r="ALE246" s="243"/>
      <c r="ALF246" s="243"/>
      <c r="ALG246" s="243"/>
      <c r="ALH246" s="243"/>
      <c r="ALI246" s="243"/>
      <c r="ALJ246" s="243"/>
      <c r="ALK246" s="243"/>
      <c r="ALL246" s="243"/>
      <c r="ALM246" s="243"/>
      <c r="ALN246" s="243"/>
      <c r="ALO246" s="243"/>
      <c r="ALP246" s="243"/>
      <c r="ALQ246" s="243"/>
      <c r="ALR246" s="243"/>
      <c r="ALS246" s="243"/>
      <c r="ALT246" s="243"/>
      <c r="ALU246" s="243"/>
      <c r="ALV246" s="243"/>
      <c r="ALW246" s="243"/>
      <c r="ALX246" s="243"/>
      <c r="ALY246" s="243"/>
      <c r="ALZ246" s="243"/>
      <c r="AMA246" s="243"/>
      <c r="AMB246" s="243"/>
      <c r="AMC246" s="243"/>
      <c r="AMD246" s="243"/>
      <c r="AME246" s="243"/>
      <c r="AMF246" s="243"/>
      <c r="AMG246" s="243"/>
      <c r="AMH246" s="243"/>
      <c r="AMI246" s="244"/>
      <c r="AMJ246" s="244"/>
    </row>
    <row r="247" spans="1:1024">
      <c r="A247" s="999" t="s">
        <v>26</v>
      </c>
      <c r="B247" s="1000"/>
      <c r="C247" s="1000"/>
      <c r="D247" s="1001"/>
      <c r="E247" s="491">
        <f>SUM(E242:E246)</f>
        <v>5200000</v>
      </c>
      <c r="F247" s="492" t="s">
        <v>26</v>
      </c>
      <c r="G247" s="493">
        <f>SUM(G242:G246)</f>
        <v>308000</v>
      </c>
      <c r="H247" s="1010"/>
      <c r="I247" s="1010"/>
      <c r="J247" s="1010"/>
      <c r="K247" s="1010"/>
      <c r="L247" s="1010"/>
      <c r="M247" s="1010"/>
      <c r="N247" s="1003" t="s">
        <v>27</v>
      </c>
      <c r="O247" s="1004"/>
      <c r="P247" s="1005"/>
      <c r="Q247" s="495">
        <f>G247+Q246</f>
        <v>400000</v>
      </c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3"/>
      <c r="AI247" s="243"/>
      <c r="AJ247" s="243"/>
      <c r="AK247" s="243"/>
      <c r="AL247" s="243"/>
      <c r="AM247" s="243"/>
      <c r="AN247" s="243"/>
      <c r="AO247" s="243"/>
      <c r="AP247" s="243"/>
      <c r="AQ247" s="243"/>
      <c r="AR247" s="243"/>
      <c r="AS247" s="243"/>
      <c r="AT247" s="243"/>
      <c r="AU247" s="243"/>
      <c r="AV247" s="243"/>
      <c r="AW247" s="243"/>
      <c r="AX247" s="243"/>
      <c r="AY247" s="243"/>
      <c r="AZ247" s="243"/>
      <c r="BA247" s="243"/>
      <c r="BB247" s="243"/>
      <c r="BC247" s="243"/>
      <c r="BD247" s="243"/>
      <c r="BE247" s="243"/>
      <c r="BF247" s="243"/>
      <c r="BG247" s="243"/>
      <c r="BH247" s="243"/>
      <c r="BI247" s="243"/>
      <c r="BJ247" s="243"/>
      <c r="BK247" s="243"/>
      <c r="BL247" s="243"/>
      <c r="BM247" s="243"/>
      <c r="BN247" s="243"/>
      <c r="BO247" s="243"/>
      <c r="BP247" s="243"/>
      <c r="BQ247" s="243"/>
      <c r="BR247" s="243"/>
      <c r="BS247" s="243"/>
      <c r="BT247" s="243"/>
      <c r="BU247" s="243"/>
      <c r="BV247" s="243"/>
      <c r="BW247" s="243"/>
      <c r="BX247" s="243"/>
      <c r="BY247" s="243"/>
      <c r="BZ247" s="243"/>
      <c r="CA247" s="243"/>
      <c r="CB247" s="243"/>
      <c r="CC247" s="243"/>
      <c r="CD247" s="243"/>
      <c r="CE247" s="243"/>
      <c r="CF247" s="243"/>
      <c r="CG247" s="243"/>
      <c r="CH247" s="243"/>
      <c r="CI247" s="243"/>
      <c r="CJ247" s="243"/>
      <c r="CK247" s="243"/>
      <c r="CL247" s="243"/>
      <c r="CM247" s="243"/>
      <c r="CN247" s="243"/>
      <c r="CO247" s="243"/>
      <c r="CP247" s="243"/>
      <c r="CQ247" s="243"/>
      <c r="CR247" s="243"/>
      <c r="CS247" s="243"/>
      <c r="CT247" s="243"/>
      <c r="CU247" s="243"/>
      <c r="CV247" s="243"/>
      <c r="CW247" s="243"/>
      <c r="CX247" s="243"/>
      <c r="CY247" s="243"/>
      <c r="CZ247" s="243"/>
      <c r="DA247" s="243"/>
      <c r="DB247" s="243"/>
      <c r="DC247" s="243"/>
      <c r="DD247" s="243"/>
      <c r="DE247" s="243"/>
      <c r="DF247" s="243"/>
      <c r="DG247" s="243"/>
      <c r="DH247" s="243"/>
      <c r="DI247" s="243"/>
      <c r="DJ247" s="243"/>
      <c r="DK247" s="243"/>
      <c r="DL247" s="243"/>
      <c r="DM247" s="243"/>
      <c r="DN247" s="243"/>
      <c r="DO247" s="243"/>
      <c r="DP247" s="243"/>
      <c r="DQ247" s="243"/>
      <c r="DR247" s="243"/>
      <c r="DS247" s="243"/>
      <c r="DT247" s="243"/>
      <c r="DU247" s="243"/>
      <c r="DV247" s="243"/>
      <c r="DW247" s="243"/>
      <c r="DX247" s="243"/>
      <c r="DY247" s="243"/>
      <c r="DZ247" s="243"/>
      <c r="EA247" s="243"/>
      <c r="EB247" s="243"/>
      <c r="EC247" s="243"/>
      <c r="ED247" s="243"/>
      <c r="EE247" s="243"/>
      <c r="EF247" s="243"/>
      <c r="EG247" s="243"/>
      <c r="EH247" s="243"/>
      <c r="EI247" s="243"/>
      <c r="EJ247" s="243"/>
      <c r="EK247" s="243"/>
      <c r="EL247" s="243"/>
      <c r="EM247" s="243"/>
      <c r="EN247" s="243"/>
      <c r="EO247" s="243"/>
      <c r="EP247" s="243"/>
      <c r="EQ247" s="243"/>
      <c r="ER247" s="243"/>
      <c r="ES247" s="243"/>
      <c r="ET247" s="243"/>
      <c r="EU247" s="243"/>
      <c r="EV247" s="243"/>
      <c r="EW247" s="243"/>
      <c r="EX247" s="243"/>
      <c r="EY247" s="243"/>
      <c r="EZ247" s="243"/>
      <c r="FA247" s="243"/>
      <c r="FB247" s="243"/>
      <c r="FC247" s="243"/>
      <c r="FD247" s="243"/>
      <c r="FE247" s="243"/>
      <c r="FF247" s="243"/>
      <c r="FG247" s="243"/>
      <c r="FH247" s="243"/>
      <c r="FI247" s="243"/>
      <c r="FJ247" s="243"/>
      <c r="FK247" s="243"/>
      <c r="FL247" s="243"/>
      <c r="FM247" s="243"/>
      <c r="FN247" s="243"/>
      <c r="FO247" s="243"/>
      <c r="FP247" s="243"/>
      <c r="FQ247" s="243"/>
      <c r="FR247" s="243"/>
      <c r="FS247" s="243"/>
      <c r="FT247" s="243"/>
      <c r="FU247" s="243"/>
      <c r="FV247" s="243"/>
      <c r="FW247" s="243"/>
      <c r="FX247" s="243"/>
      <c r="FY247" s="243"/>
      <c r="FZ247" s="243"/>
      <c r="GA247" s="243"/>
      <c r="GB247" s="243"/>
      <c r="GC247" s="243"/>
      <c r="GD247" s="243"/>
      <c r="GE247" s="243"/>
      <c r="GF247" s="243"/>
      <c r="GG247" s="243"/>
      <c r="GH247" s="243"/>
      <c r="GI247" s="243"/>
      <c r="GJ247" s="243"/>
      <c r="GK247" s="243"/>
      <c r="GL247" s="243"/>
      <c r="GM247" s="243"/>
      <c r="GN247" s="243"/>
      <c r="GO247" s="243"/>
      <c r="GP247" s="243"/>
      <c r="GQ247" s="243"/>
      <c r="GR247" s="243"/>
      <c r="GS247" s="243"/>
      <c r="GT247" s="243"/>
      <c r="GU247" s="243"/>
      <c r="GV247" s="243"/>
      <c r="GW247" s="243"/>
      <c r="GX247" s="243"/>
      <c r="GY247" s="243"/>
      <c r="GZ247" s="243"/>
      <c r="HA247" s="243"/>
      <c r="HB247" s="243"/>
      <c r="HC247" s="243"/>
      <c r="HD247" s="243"/>
      <c r="HE247" s="243"/>
      <c r="HF247" s="243"/>
      <c r="HG247" s="243"/>
      <c r="HH247" s="243"/>
      <c r="HI247" s="243"/>
      <c r="HJ247" s="243"/>
      <c r="HK247" s="243"/>
      <c r="HL247" s="243"/>
      <c r="HM247" s="243"/>
      <c r="HN247" s="243"/>
      <c r="HO247" s="243"/>
      <c r="HP247" s="243"/>
      <c r="HQ247" s="243"/>
      <c r="HR247" s="243"/>
      <c r="HS247" s="243"/>
      <c r="HT247" s="243"/>
      <c r="HU247" s="243"/>
      <c r="HV247" s="243"/>
      <c r="HW247" s="243"/>
      <c r="HX247" s="243"/>
      <c r="HY247" s="243"/>
      <c r="HZ247" s="243"/>
      <c r="IA247" s="243"/>
      <c r="IB247" s="243"/>
      <c r="IC247" s="243"/>
      <c r="ID247" s="243"/>
      <c r="IE247" s="243"/>
      <c r="IF247" s="243"/>
      <c r="IG247" s="243"/>
      <c r="IH247" s="243"/>
      <c r="II247" s="243"/>
      <c r="IJ247" s="243"/>
      <c r="IK247" s="243"/>
      <c r="IL247" s="243"/>
      <c r="IM247" s="243"/>
      <c r="IN247" s="243"/>
      <c r="IO247" s="243"/>
      <c r="IP247" s="243"/>
      <c r="IQ247" s="243"/>
      <c r="IR247" s="243"/>
      <c r="IS247" s="243"/>
      <c r="IT247" s="243"/>
      <c r="IU247" s="243"/>
      <c r="IV247" s="243"/>
      <c r="IW247" s="243"/>
      <c r="IX247" s="243"/>
      <c r="IY247" s="243"/>
      <c r="IZ247" s="243"/>
      <c r="JA247" s="243"/>
      <c r="JB247" s="243"/>
      <c r="JC247" s="243"/>
      <c r="JD247" s="243"/>
      <c r="JE247" s="243"/>
      <c r="JF247" s="243"/>
      <c r="JG247" s="243"/>
      <c r="JH247" s="243"/>
      <c r="JI247" s="243"/>
      <c r="JJ247" s="243"/>
      <c r="JK247" s="243"/>
      <c r="JL247" s="243"/>
      <c r="JM247" s="243"/>
      <c r="JN247" s="243"/>
      <c r="JO247" s="243"/>
      <c r="JP247" s="243"/>
      <c r="JQ247" s="243"/>
      <c r="JR247" s="243"/>
      <c r="JS247" s="243"/>
      <c r="JT247" s="243"/>
      <c r="JU247" s="243"/>
      <c r="JV247" s="243"/>
      <c r="JW247" s="243"/>
      <c r="JX247" s="243"/>
      <c r="JY247" s="243"/>
      <c r="JZ247" s="243"/>
      <c r="KA247" s="243"/>
      <c r="KB247" s="243"/>
      <c r="KC247" s="243"/>
      <c r="KD247" s="243"/>
      <c r="KE247" s="243"/>
      <c r="KF247" s="243"/>
      <c r="KG247" s="243"/>
      <c r="KH247" s="243"/>
      <c r="KI247" s="243"/>
      <c r="KJ247" s="243"/>
      <c r="KK247" s="243"/>
      <c r="KL247" s="243"/>
      <c r="KM247" s="243"/>
      <c r="KN247" s="243"/>
      <c r="KO247" s="243"/>
      <c r="KP247" s="243"/>
      <c r="KQ247" s="243"/>
      <c r="KR247" s="243"/>
      <c r="KS247" s="243"/>
      <c r="KT247" s="243"/>
      <c r="KU247" s="243"/>
      <c r="KV247" s="243"/>
      <c r="KW247" s="243"/>
      <c r="KX247" s="243"/>
      <c r="KY247" s="243"/>
      <c r="KZ247" s="243"/>
      <c r="LA247" s="243"/>
      <c r="LB247" s="243"/>
      <c r="LC247" s="243"/>
      <c r="LD247" s="243"/>
      <c r="LE247" s="243"/>
      <c r="LF247" s="243"/>
      <c r="LG247" s="243"/>
      <c r="LH247" s="243"/>
      <c r="LI247" s="243"/>
      <c r="LJ247" s="243"/>
      <c r="LK247" s="243"/>
      <c r="LL247" s="243"/>
      <c r="LM247" s="243"/>
      <c r="LN247" s="243"/>
      <c r="LO247" s="243"/>
      <c r="LP247" s="243"/>
      <c r="LQ247" s="243"/>
      <c r="LR247" s="243"/>
      <c r="LS247" s="243"/>
      <c r="LT247" s="243"/>
      <c r="LU247" s="243"/>
      <c r="LV247" s="243"/>
      <c r="LW247" s="243"/>
      <c r="LX247" s="243"/>
      <c r="LY247" s="243"/>
      <c r="LZ247" s="243"/>
      <c r="MA247" s="243"/>
      <c r="MB247" s="243"/>
      <c r="MC247" s="243"/>
      <c r="MD247" s="243"/>
      <c r="ME247" s="243"/>
      <c r="MF247" s="243"/>
      <c r="MG247" s="243"/>
      <c r="MH247" s="243"/>
      <c r="MI247" s="243"/>
      <c r="MJ247" s="243"/>
      <c r="MK247" s="243"/>
      <c r="ML247" s="243"/>
      <c r="MM247" s="243"/>
      <c r="MN247" s="243"/>
      <c r="MO247" s="243"/>
      <c r="MP247" s="243"/>
      <c r="MQ247" s="243"/>
      <c r="MR247" s="243"/>
      <c r="MS247" s="243"/>
      <c r="MT247" s="243"/>
      <c r="MU247" s="243"/>
      <c r="MV247" s="243"/>
      <c r="MW247" s="243"/>
      <c r="MX247" s="243"/>
      <c r="MY247" s="243"/>
      <c r="MZ247" s="243"/>
      <c r="NA247" s="243"/>
      <c r="NB247" s="243"/>
      <c r="NC247" s="243"/>
      <c r="ND247" s="243"/>
      <c r="NE247" s="243"/>
      <c r="NF247" s="243"/>
      <c r="NG247" s="243"/>
      <c r="NH247" s="243"/>
      <c r="NI247" s="243"/>
      <c r="NJ247" s="243"/>
      <c r="NK247" s="243"/>
      <c r="NL247" s="243"/>
      <c r="NM247" s="243"/>
      <c r="NN247" s="243"/>
      <c r="NO247" s="243"/>
      <c r="NP247" s="243"/>
      <c r="NQ247" s="243"/>
      <c r="NR247" s="243"/>
      <c r="NS247" s="243"/>
      <c r="NT247" s="243"/>
      <c r="NU247" s="243"/>
      <c r="NV247" s="243"/>
      <c r="NW247" s="243"/>
      <c r="NX247" s="243"/>
      <c r="NY247" s="243"/>
      <c r="NZ247" s="243"/>
      <c r="OA247" s="243"/>
      <c r="OB247" s="243"/>
      <c r="OC247" s="243"/>
      <c r="OD247" s="243"/>
      <c r="OE247" s="243"/>
      <c r="OF247" s="243"/>
      <c r="OG247" s="243"/>
      <c r="OH247" s="243"/>
      <c r="OI247" s="243"/>
      <c r="OJ247" s="243"/>
      <c r="OK247" s="243"/>
      <c r="OL247" s="243"/>
      <c r="OM247" s="243"/>
      <c r="ON247" s="243"/>
      <c r="OO247" s="243"/>
      <c r="OP247" s="243"/>
      <c r="OQ247" s="243"/>
      <c r="OR247" s="243"/>
      <c r="OS247" s="243"/>
      <c r="OT247" s="243"/>
      <c r="OU247" s="243"/>
      <c r="OV247" s="243"/>
      <c r="OW247" s="243"/>
      <c r="OX247" s="243"/>
      <c r="OY247" s="243"/>
      <c r="OZ247" s="243"/>
      <c r="PA247" s="243"/>
      <c r="PB247" s="243"/>
      <c r="PC247" s="243"/>
      <c r="PD247" s="243"/>
      <c r="PE247" s="243"/>
      <c r="PF247" s="243"/>
      <c r="PG247" s="243"/>
      <c r="PH247" s="243"/>
      <c r="PI247" s="243"/>
      <c r="PJ247" s="243"/>
      <c r="PK247" s="243"/>
      <c r="PL247" s="243"/>
      <c r="PM247" s="243"/>
      <c r="PN247" s="243"/>
      <c r="PO247" s="243"/>
      <c r="PP247" s="243"/>
      <c r="PQ247" s="243"/>
      <c r="PR247" s="243"/>
      <c r="PS247" s="243"/>
      <c r="PT247" s="243"/>
      <c r="PU247" s="243"/>
      <c r="PV247" s="243"/>
      <c r="PW247" s="243"/>
      <c r="PX247" s="243"/>
      <c r="PY247" s="243"/>
      <c r="PZ247" s="243"/>
      <c r="QA247" s="243"/>
      <c r="QB247" s="243"/>
      <c r="QC247" s="243"/>
      <c r="QD247" s="243"/>
      <c r="QE247" s="243"/>
      <c r="QF247" s="243"/>
      <c r="QG247" s="243"/>
      <c r="QH247" s="243"/>
      <c r="QI247" s="243"/>
      <c r="QJ247" s="243"/>
      <c r="QK247" s="243"/>
      <c r="QL247" s="243"/>
      <c r="QM247" s="243"/>
      <c r="QN247" s="243"/>
      <c r="QO247" s="243"/>
      <c r="QP247" s="243"/>
      <c r="QQ247" s="243"/>
      <c r="QR247" s="243"/>
      <c r="QS247" s="243"/>
      <c r="QT247" s="243"/>
      <c r="QU247" s="243"/>
      <c r="QV247" s="243"/>
      <c r="QW247" s="243"/>
      <c r="QX247" s="243"/>
      <c r="QY247" s="243"/>
      <c r="QZ247" s="243"/>
      <c r="RA247" s="243"/>
      <c r="RB247" s="243"/>
      <c r="RC247" s="243"/>
      <c r="RD247" s="243"/>
      <c r="RE247" s="243"/>
      <c r="RF247" s="243"/>
      <c r="RG247" s="243"/>
      <c r="RH247" s="243"/>
      <c r="RI247" s="243"/>
      <c r="RJ247" s="243"/>
      <c r="RK247" s="243"/>
      <c r="RL247" s="243"/>
      <c r="RM247" s="243"/>
      <c r="RN247" s="243"/>
      <c r="RO247" s="243"/>
      <c r="RP247" s="243"/>
      <c r="RQ247" s="243"/>
      <c r="RR247" s="243"/>
      <c r="RS247" s="243"/>
      <c r="RT247" s="243"/>
      <c r="RU247" s="243"/>
      <c r="RV247" s="243"/>
      <c r="RW247" s="243"/>
      <c r="RX247" s="243"/>
      <c r="RY247" s="243"/>
      <c r="RZ247" s="243"/>
      <c r="SA247" s="243"/>
      <c r="SB247" s="243"/>
      <c r="SC247" s="243"/>
      <c r="SD247" s="243"/>
      <c r="SE247" s="243"/>
      <c r="SF247" s="243"/>
      <c r="SG247" s="243"/>
      <c r="SH247" s="243"/>
      <c r="SI247" s="243"/>
      <c r="SJ247" s="243"/>
      <c r="SK247" s="243"/>
      <c r="SL247" s="243"/>
      <c r="SM247" s="243"/>
      <c r="SN247" s="243"/>
      <c r="SO247" s="243"/>
      <c r="SP247" s="243"/>
      <c r="SQ247" s="243"/>
      <c r="SR247" s="243"/>
      <c r="SS247" s="243"/>
      <c r="ST247" s="243"/>
      <c r="SU247" s="243"/>
      <c r="SV247" s="243"/>
      <c r="SW247" s="243"/>
      <c r="SX247" s="243"/>
      <c r="SY247" s="243"/>
      <c r="SZ247" s="243"/>
      <c r="TA247" s="243"/>
      <c r="TB247" s="243"/>
      <c r="TC247" s="243"/>
      <c r="TD247" s="243"/>
      <c r="TE247" s="243"/>
      <c r="TF247" s="243"/>
      <c r="TG247" s="243"/>
      <c r="TH247" s="243"/>
      <c r="TI247" s="243"/>
      <c r="TJ247" s="243"/>
      <c r="TK247" s="243"/>
      <c r="TL247" s="243"/>
      <c r="TM247" s="243"/>
      <c r="TN247" s="243"/>
      <c r="TO247" s="243"/>
      <c r="TP247" s="243"/>
      <c r="TQ247" s="243"/>
      <c r="TR247" s="243"/>
      <c r="TS247" s="243"/>
      <c r="TT247" s="243"/>
      <c r="TU247" s="243"/>
      <c r="TV247" s="243"/>
      <c r="TW247" s="243"/>
      <c r="TX247" s="243"/>
      <c r="TY247" s="243"/>
      <c r="TZ247" s="243"/>
      <c r="UA247" s="243"/>
      <c r="UB247" s="243"/>
      <c r="UC247" s="243"/>
      <c r="UD247" s="243"/>
      <c r="UE247" s="243"/>
      <c r="UF247" s="243"/>
      <c r="UG247" s="243"/>
      <c r="UH247" s="243"/>
      <c r="UI247" s="243"/>
      <c r="UJ247" s="243"/>
      <c r="UK247" s="243"/>
      <c r="UL247" s="243"/>
      <c r="UM247" s="243"/>
      <c r="UN247" s="243"/>
      <c r="UO247" s="243"/>
      <c r="UP247" s="243"/>
      <c r="UQ247" s="243"/>
      <c r="UR247" s="243"/>
      <c r="US247" s="243"/>
      <c r="UT247" s="243"/>
      <c r="UU247" s="243"/>
      <c r="UV247" s="243"/>
      <c r="UW247" s="243"/>
      <c r="UX247" s="243"/>
      <c r="UY247" s="243"/>
      <c r="UZ247" s="243"/>
      <c r="VA247" s="243"/>
      <c r="VB247" s="243"/>
      <c r="VC247" s="243"/>
      <c r="VD247" s="243"/>
      <c r="VE247" s="243"/>
      <c r="VF247" s="243"/>
      <c r="VG247" s="243"/>
      <c r="VH247" s="243"/>
      <c r="VI247" s="243"/>
      <c r="VJ247" s="243"/>
      <c r="VK247" s="243"/>
      <c r="VL247" s="243"/>
      <c r="VM247" s="243"/>
      <c r="VN247" s="243"/>
      <c r="VO247" s="243"/>
      <c r="VP247" s="243"/>
      <c r="VQ247" s="243"/>
      <c r="VR247" s="243"/>
      <c r="VS247" s="243"/>
      <c r="VT247" s="243"/>
      <c r="VU247" s="243"/>
      <c r="VV247" s="243"/>
      <c r="VW247" s="243"/>
      <c r="VX247" s="243"/>
      <c r="VY247" s="243"/>
      <c r="VZ247" s="243"/>
      <c r="WA247" s="243"/>
      <c r="WB247" s="243"/>
      <c r="WC247" s="243"/>
      <c r="WD247" s="243"/>
      <c r="WE247" s="243"/>
      <c r="WF247" s="243"/>
      <c r="WG247" s="243"/>
      <c r="WH247" s="243"/>
      <c r="WI247" s="243"/>
      <c r="WJ247" s="243"/>
      <c r="WK247" s="243"/>
      <c r="WL247" s="243"/>
      <c r="WM247" s="243"/>
      <c r="WN247" s="243"/>
      <c r="WO247" s="243"/>
      <c r="WP247" s="243"/>
      <c r="WQ247" s="243"/>
      <c r="WR247" s="243"/>
      <c r="WS247" s="243"/>
      <c r="WT247" s="243"/>
      <c r="WU247" s="243"/>
      <c r="WV247" s="243"/>
      <c r="WW247" s="243"/>
      <c r="WX247" s="243"/>
      <c r="WY247" s="243"/>
      <c r="WZ247" s="243"/>
      <c r="XA247" s="243"/>
      <c r="XB247" s="243"/>
      <c r="XC247" s="243"/>
      <c r="XD247" s="243"/>
      <c r="XE247" s="243"/>
      <c r="XF247" s="243"/>
      <c r="XG247" s="243"/>
      <c r="XH247" s="243"/>
      <c r="XI247" s="243"/>
      <c r="XJ247" s="243"/>
      <c r="XK247" s="243"/>
      <c r="XL247" s="243"/>
      <c r="XM247" s="243"/>
      <c r="XN247" s="243"/>
      <c r="XO247" s="243"/>
      <c r="XP247" s="243"/>
      <c r="XQ247" s="243"/>
      <c r="XR247" s="243"/>
      <c r="XS247" s="243"/>
      <c r="XT247" s="243"/>
      <c r="XU247" s="243"/>
      <c r="XV247" s="243"/>
      <c r="XW247" s="243"/>
      <c r="XX247" s="243"/>
      <c r="XY247" s="243"/>
      <c r="XZ247" s="243"/>
      <c r="YA247" s="243"/>
      <c r="YB247" s="243"/>
      <c r="YC247" s="243"/>
      <c r="YD247" s="243"/>
      <c r="YE247" s="243"/>
      <c r="YF247" s="243"/>
      <c r="YG247" s="243"/>
      <c r="YH247" s="243"/>
      <c r="YI247" s="243"/>
      <c r="YJ247" s="243"/>
      <c r="YK247" s="243"/>
      <c r="YL247" s="243"/>
      <c r="YM247" s="243"/>
      <c r="YN247" s="243"/>
      <c r="YO247" s="243"/>
      <c r="YP247" s="243"/>
      <c r="YQ247" s="243"/>
      <c r="YR247" s="243"/>
      <c r="YS247" s="243"/>
      <c r="YT247" s="243"/>
      <c r="YU247" s="243"/>
      <c r="YV247" s="243"/>
      <c r="YW247" s="243"/>
      <c r="YX247" s="243"/>
      <c r="YY247" s="243"/>
      <c r="YZ247" s="243"/>
      <c r="ZA247" s="243"/>
      <c r="ZB247" s="243"/>
      <c r="ZC247" s="243"/>
      <c r="ZD247" s="243"/>
      <c r="ZE247" s="243"/>
      <c r="ZF247" s="243"/>
      <c r="ZG247" s="243"/>
      <c r="ZH247" s="243"/>
      <c r="ZI247" s="243"/>
      <c r="ZJ247" s="243"/>
      <c r="ZK247" s="243"/>
      <c r="ZL247" s="243"/>
      <c r="ZM247" s="243"/>
      <c r="ZN247" s="243"/>
      <c r="ZO247" s="243"/>
      <c r="ZP247" s="243"/>
      <c r="ZQ247" s="243"/>
      <c r="ZR247" s="243"/>
      <c r="ZS247" s="243"/>
      <c r="ZT247" s="243"/>
      <c r="ZU247" s="243"/>
      <c r="ZV247" s="243"/>
      <c r="ZW247" s="243"/>
      <c r="ZX247" s="243"/>
      <c r="ZY247" s="243"/>
      <c r="ZZ247" s="243"/>
      <c r="AAA247" s="243"/>
      <c r="AAB247" s="243"/>
      <c r="AAC247" s="243"/>
      <c r="AAD247" s="243"/>
      <c r="AAE247" s="243"/>
      <c r="AAF247" s="243"/>
      <c r="AAG247" s="243"/>
      <c r="AAH247" s="243"/>
      <c r="AAI247" s="243"/>
      <c r="AAJ247" s="243"/>
      <c r="AAK247" s="243"/>
      <c r="AAL247" s="243"/>
      <c r="AAM247" s="243"/>
      <c r="AAN247" s="243"/>
      <c r="AAO247" s="243"/>
      <c r="AAP247" s="243"/>
      <c r="AAQ247" s="243"/>
      <c r="AAR247" s="243"/>
      <c r="AAS247" s="243"/>
      <c r="AAT247" s="243"/>
      <c r="AAU247" s="243"/>
      <c r="AAV247" s="243"/>
      <c r="AAW247" s="243"/>
      <c r="AAX247" s="243"/>
      <c r="AAY247" s="243"/>
      <c r="AAZ247" s="243"/>
      <c r="ABA247" s="243"/>
      <c r="ABB247" s="243"/>
      <c r="ABC247" s="243"/>
      <c r="ABD247" s="243"/>
      <c r="ABE247" s="243"/>
      <c r="ABF247" s="243"/>
      <c r="ABG247" s="243"/>
      <c r="ABH247" s="243"/>
      <c r="ABI247" s="243"/>
      <c r="ABJ247" s="243"/>
      <c r="ABK247" s="243"/>
      <c r="ABL247" s="243"/>
      <c r="ABM247" s="243"/>
      <c r="ABN247" s="243"/>
      <c r="ABO247" s="243"/>
      <c r="ABP247" s="243"/>
      <c r="ABQ247" s="243"/>
      <c r="ABR247" s="243"/>
      <c r="ABS247" s="243"/>
      <c r="ABT247" s="243"/>
      <c r="ABU247" s="243"/>
      <c r="ABV247" s="243"/>
      <c r="ABW247" s="243"/>
      <c r="ABX247" s="243"/>
      <c r="ABY247" s="243"/>
      <c r="ABZ247" s="243"/>
      <c r="ACA247" s="243"/>
      <c r="ACB247" s="243"/>
      <c r="ACC247" s="243"/>
      <c r="ACD247" s="243"/>
      <c r="ACE247" s="243"/>
      <c r="ACF247" s="243"/>
      <c r="ACG247" s="243"/>
      <c r="ACH247" s="243"/>
      <c r="ACI247" s="243"/>
      <c r="ACJ247" s="243"/>
      <c r="ACK247" s="243"/>
      <c r="ACL247" s="243"/>
      <c r="ACM247" s="243"/>
      <c r="ACN247" s="243"/>
      <c r="ACO247" s="243"/>
      <c r="ACP247" s="243"/>
      <c r="ACQ247" s="243"/>
      <c r="ACR247" s="243"/>
      <c r="ACS247" s="243"/>
      <c r="ACT247" s="243"/>
      <c r="ACU247" s="243"/>
      <c r="ACV247" s="243"/>
      <c r="ACW247" s="243"/>
      <c r="ACX247" s="243"/>
      <c r="ACY247" s="243"/>
      <c r="ACZ247" s="243"/>
      <c r="ADA247" s="243"/>
      <c r="ADB247" s="243"/>
      <c r="ADC247" s="243"/>
      <c r="ADD247" s="243"/>
      <c r="ADE247" s="243"/>
      <c r="ADF247" s="243"/>
      <c r="ADG247" s="243"/>
      <c r="ADH247" s="243"/>
      <c r="ADI247" s="243"/>
      <c r="ADJ247" s="243"/>
      <c r="ADK247" s="243"/>
      <c r="ADL247" s="243"/>
      <c r="ADM247" s="243"/>
      <c r="ADN247" s="243"/>
      <c r="ADO247" s="243"/>
      <c r="ADP247" s="243"/>
      <c r="ADQ247" s="243"/>
      <c r="ADR247" s="243"/>
      <c r="ADS247" s="243"/>
      <c r="ADT247" s="243"/>
      <c r="ADU247" s="243"/>
      <c r="ADV247" s="243"/>
      <c r="ADW247" s="243"/>
      <c r="ADX247" s="243"/>
      <c r="ADY247" s="243"/>
      <c r="ADZ247" s="243"/>
      <c r="AEA247" s="243"/>
      <c r="AEB247" s="243"/>
      <c r="AEC247" s="243"/>
      <c r="AED247" s="243"/>
      <c r="AEE247" s="243"/>
      <c r="AEF247" s="243"/>
      <c r="AEG247" s="243"/>
      <c r="AEH247" s="243"/>
      <c r="AEI247" s="243"/>
      <c r="AEJ247" s="243"/>
      <c r="AEK247" s="243"/>
      <c r="AEL247" s="243"/>
      <c r="AEM247" s="243"/>
      <c r="AEN247" s="243"/>
      <c r="AEO247" s="243"/>
      <c r="AEP247" s="243"/>
      <c r="AEQ247" s="243"/>
      <c r="AER247" s="243"/>
      <c r="AES247" s="243"/>
      <c r="AET247" s="243"/>
      <c r="AEU247" s="243"/>
      <c r="AEV247" s="243"/>
      <c r="AEW247" s="243"/>
      <c r="AEX247" s="243"/>
      <c r="AEY247" s="243"/>
      <c r="AEZ247" s="243"/>
      <c r="AFA247" s="243"/>
      <c r="AFB247" s="243"/>
      <c r="AFC247" s="243"/>
      <c r="AFD247" s="243"/>
      <c r="AFE247" s="243"/>
      <c r="AFF247" s="243"/>
      <c r="AFG247" s="243"/>
      <c r="AFH247" s="243"/>
      <c r="AFI247" s="243"/>
      <c r="AFJ247" s="243"/>
      <c r="AFK247" s="243"/>
      <c r="AFL247" s="243"/>
      <c r="AFM247" s="243"/>
      <c r="AFN247" s="243"/>
      <c r="AFO247" s="243"/>
      <c r="AFP247" s="243"/>
      <c r="AFQ247" s="243"/>
      <c r="AFR247" s="243"/>
      <c r="AFS247" s="243"/>
      <c r="AFT247" s="243"/>
      <c r="AFU247" s="243"/>
      <c r="AFV247" s="243"/>
      <c r="AFW247" s="243"/>
      <c r="AFX247" s="243"/>
      <c r="AFY247" s="243"/>
      <c r="AFZ247" s="243"/>
      <c r="AGA247" s="243"/>
      <c r="AGB247" s="243"/>
      <c r="AGC247" s="243"/>
      <c r="AGD247" s="243"/>
      <c r="AGE247" s="243"/>
      <c r="AGF247" s="243"/>
      <c r="AGG247" s="243"/>
      <c r="AGH247" s="243"/>
      <c r="AGI247" s="243"/>
      <c r="AGJ247" s="243"/>
      <c r="AGK247" s="243"/>
      <c r="AGL247" s="243"/>
      <c r="AGM247" s="243"/>
      <c r="AGN247" s="243"/>
      <c r="AGO247" s="243"/>
      <c r="AGP247" s="243"/>
      <c r="AGQ247" s="243"/>
      <c r="AGR247" s="243"/>
      <c r="AGS247" s="243"/>
      <c r="AGT247" s="243"/>
      <c r="AGU247" s="243"/>
      <c r="AGV247" s="243"/>
      <c r="AGW247" s="243"/>
      <c r="AGX247" s="243"/>
      <c r="AGY247" s="243"/>
      <c r="AGZ247" s="243"/>
      <c r="AHA247" s="243"/>
      <c r="AHB247" s="243"/>
      <c r="AHC247" s="243"/>
      <c r="AHD247" s="243"/>
      <c r="AHE247" s="243"/>
      <c r="AHF247" s="243"/>
      <c r="AHG247" s="243"/>
      <c r="AHH247" s="243"/>
      <c r="AHI247" s="243"/>
      <c r="AHJ247" s="243"/>
      <c r="AHK247" s="243"/>
      <c r="AHL247" s="243"/>
      <c r="AHM247" s="243"/>
      <c r="AHN247" s="243"/>
      <c r="AHO247" s="243"/>
      <c r="AHP247" s="243"/>
      <c r="AHQ247" s="243"/>
      <c r="AHR247" s="243"/>
      <c r="AHS247" s="243"/>
      <c r="AHT247" s="243"/>
      <c r="AHU247" s="243"/>
      <c r="AHV247" s="243"/>
      <c r="AHW247" s="243"/>
      <c r="AHX247" s="243"/>
      <c r="AHY247" s="243"/>
      <c r="AHZ247" s="243"/>
      <c r="AIA247" s="243"/>
      <c r="AIB247" s="243"/>
      <c r="AIC247" s="243"/>
      <c r="AID247" s="243"/>
      <c r="AIE247" s="243"/>
      <c r="AIF247" s="243"/>
      <c r="AIG247" s="243"/>
      <c r="AIH247" s="243"/>
      <c r="AII247" s="243"/>
      <c r="AIJ247" s="243"/>
      <c r="AIK247" s="243"/>
      <c r="AIL247" s="243"/>
      <c r="AIM247" s="243"/>
      <c r="AIN247" s="243"/>
      <c r="AIO247" s="243"/>
      <c r="AIP247" s="243"/>
      <c r="AIQ247" s="243"/>
      <c r="AIR247" s="243"/>
      <c r="AIS247" s="243"/>
      <c r="AIT247" s="243"/>
      <c r="AIU247" s="243"/>
      <c r="AIV247" s="243"/>
      <c r="AIW247" s="243"/>
      <c r="AIX247" s="243"/>
      <c r="AIY247" s="243"/>
      <c r="AIZ247" s="243"/>
      <c r="AJA247" s="243"/>
      <c r="AJB247" s="243"/>
      <c r="AJC247" s="243"/>
      <c r="AJD247" s="243"/>
      <c r="AJE247" s="243"/>
      <c r="AJF247" s="243"/>
      <c r="AJG247" s="243"/>
      <c r="AJH247" s="243"/>
      <c r="AJI247" s="243"/>
      <c r="AJJ247" s="243"/>
      <c r="AJK247" s="243"/>
      <c r="AJL247" s="243"/>
      <c r="AJM247" s="243"/>
      <c r="AJN247" s="243"/>
      <c r="AJO247" s="243"/>
      <c r="AJP247" s="243"/>
      <c r="AJQ247" s="243"/>
      <c r="AJR247" s="243"/>
      <c r="AJS247" s="243"/>
      <c r="AJT247" s="243"/>
      <c r="AJU247" s="243"/>
      <c r="AJV247" s="243"/>
      <c r="AJW247" s="243"/>
      <c r="AJX247" s="243"/>
      <c r="AJY247" s="243"/>
      <c r="AJZ247" s="243"/>
      <c r="AKA247" s="243"/>
      <c r="AKB247" s="243"/>
      <c r="AKC247" s="243"/>
      <c r="AKD247" s="243"/>
      <c r="AKE247" s="243"/>
      <c r="AKF247" s="243"/>
      <c r="AKG247" s="243"/>
      <c r="AKH247" s="243"/>
      <c r="AKI247" s="243"/>
      <c r="AKJ247" s="243"/>
      <c r="AKK247" s="243"/>
      <c r="AKL247" s="243"/>
      <c r="AKM247" s="243"/>
      <c r="AKN247" s="243"/>
      <c r="AKO247" s="243"/>
      <c r="AKP247" s="243"/>
      <c r="AKQ247" s="243"/>
      <c r="AKR247" s="243"/>
      <c r="AKS247" s="243"/>
      <c r="AKT247" s="243"/>
      <c r="AKU247" s="243"/>
      <c r="AKV247" s="243"/>
      <c r="AKW247" s="243"/>
      <c r="AKX247" s="243"/>
      <c r="AKY247" s="243"/>
      <c r="AKZ247" s="243"/>
      <c r="ALA247" s="243"/>
      <c r="ALB247" s="243"/>
      <c r="ALC247" s="243"/>
      <c r="ALD247" s="243"/>
      <c r="ALE247" s="243"/>
      <c r="ALF247" s="243"/>
      <c r="ALG247" s="243"/>
      <c r="ALH247" s="243"/>
      <c r="ALI247" s="243"/>
      <c r="ALJ247" s="243"/>
      <c r="ALK247" s="243"/>
      <c r="ALL247" s="243"/>
      <c r="ALM247" s="243"/>
      <c r="ALN247" s="243"/>
      <c r="ALO247" s="243"/>
      <c r="ALP247" s="243"/>
      <c r="ALQ247" s="243"/>
      <c r="ALR247" s="243"/>
      <c r="ALS247" s="243"/>
      <c r="ALT247" s="243"/>
      <c r="ALU247" s="243"/>
      <c r="ALV247" s="243"/>
      <c r="ALW247" s="243"/>
      <c r="ALX247" s="243"/>
      <c r="ALY247" s="243"/>
      <c r="ALZ247" s="243"/>
      <c r="AMA247" s="243"/>
      <c r="AMB247" s="243"/>
      <c r="AMC247" s="243"/>
      <c r="AMD247" s="243"/>
      <c r="AME247" s="243"/>
      <c r="AMF247" s="243"/>
      <c r="AMG247" s="243"/>
      <c r="AMH247" s="243"/>
      <c r="AMI247" s="244"/>
      <c r="AMJ247" s="244"/>
    </row>
    <row r="248" spans="1:1024">
      <c r="G248" s="455"/>
    </row>
    <row r="250" spans="1:1024" ht="15" customHeight="1">
      <c r="A250" s="913" t="s">
        <v>123</v>
      </c>
      <c r="B250" s="914"/>
      <c r="C250" s="914"/>
      <c r="D250" s="914"/>
      <c r="E250" s="914"/>
      <c r="F250" s="914"/>
      <c r="G250" s="914"/>
      <c r="H250" s="914"/>
      <c r="I250" s="921" t="s">
        <v>2</v>
      </c>
      <c r="J250" s="922"/>
      <c r="K250" s="922"/>
      <c r="L250" s="922"/>
      <c r="M250" s="922"/>
      <c r="N250" s="922"/>
      <c r="O250" s="922"/>
      <c r="P250" s="922"/>
      <c r="Q250" s="923"/>
      <c r="R250" s="243"/>
      <c r="S250" s="243"/>
      <c r="T250" s="243"/>
      <c r="U250" s="243"/>
      <c r="V250" s="243"/>
      <c r="W250" s="243"/>
      <c r="X250" s="243"/>
      <c r="Y250" s="243"/>
      <c r="Z250" s="243"/>
      <c r="AA250" s="243"/>
      <c r="AB250" s="243"/>
      <c r="AC250" s="243"/>
      <c r="AD250" s="243"/>
      <c r="AE250" s="243"/>
      <c r="AF250" s="243"/>
      <c r="AG250" s="243"/>
      <c r="AH250" s="243"/>
      <c r="AI250" s="243"/>
      <c r="AJ250" s="243"/>
      <c r="AK250" s="243"/>
      <c r="AL250" s="243"/>
      <c r="AM250" s="243"/>
      <c r="AN250" s="243"/>
      <c r="AO250" s="243"/>
      <c r="AP250" s="243"/>
      <c r="AQ250" s="243"/>
      <c r="AR250" s="243"/>
      <c r="AS250" s="243"/>
      <c r="AT250" s="243"/>
      <c r="AU250" s="243"/>
      <c r="AV250" s="243"/>
      <c r="AW250" s="243"/>
      <c r="AX250" s="243"/>
      <c r="AY250" s="243"/>
      <c r="AZ250" s="243"/>
      <c r="BA250" s="243"/>
      <c r="BB250" s="243"/>
      <c r="BC250" s="243"/>
      <c r="BD250" s="243"/>
      <c r="BE250" s="243"/>
      <c r="BF250" s="243"/>
      <c r="BG250" s="243"/>
      <c r="BH250" s="243"/>
      <c r="BI250" s="243"/>
      <c r="BJ250" s="243"/>
      <c r="BK250" s="243"/>
      <c r="BL250" s="243"/>
      <c r="BM250" s="243"/>
      <c r="BN250" s="243"/>
      <c r="BO250" s="243"/>
      <c r="BP250" s="243"/>
      <c r="BQ250" s="243"/>
      <c r="BR250" s="243"/>
      <c r="BS250" s="243"/>
      <c r="BT250" s="243"/>
      <c r="BU250" s="243"/>
      <c r="BV250" s="243"/>
      <c r="BW250" s="243"/>
      <c r="BX250" s="243"/>
      <c r="BY250" s="243"/>
      <c r="BZ250" s="243"/>
      <c r="CA250" s="243"/>
      <c r="CB250" s="243"/>
      <c r="CC250" s="243"/>
      <c r="CD250" s="243"/>
      <c r="CE250" s="243"/>
      <c r="CF250" s="243"/>
      <c r="CG250" s="243"/>
      <c r="CH250" s="243"/>
      <c r="CI250" s="243"/>
      <c r="CJ250" s="243"/>
      <c r="CK250" s="243"/>
      <c r="CL250" s="243"/>
      <c r="CM250" s="243"/>
      <c r="CN250" s="243"/>
      <c r="CO250" s="243"/>
      <c r="CP250" s="243"/>
      <c r="CQ250" s="243"/>
      <c r="CR250" s="243"/>
      <c r="CS250" s="243"/>
      <c r="CT250" s="243"/>
      <c r="CU250" s="243"/>
      <c r="CV250" s="243"/>
      <c r="CW250" s="243"/>
      <c r="CX250" s="243"/>
      <c r="CY250" s="243"/>
      <c r="CZ250" s="243"/>
      <c r="DA250" s="243"/>
      <c r="DB250" s="243"/>
      <c r="DC250" s="243"/>
      <c r="DD250" s="243"/>
      <c r="DE250" s="243"/>
      <c r="DF250" s="243"/>
      <c r="DG250" s="243"/>
      <c r="DH250" s="243"/>
      <c r="DI250" s="243"/>
      <c r="DJ250" s="243"/>
      <c r="DK250" s="243"/>
      <c r="DL250" s="243"/>
      <c r="DM250" s="243"/>
      <c r="DN250" s="243"/>
      <c r="DO250" s="243"/>
      <c r="DP250" s="243"/>
      <c r="DQ250" s="243"/>
      <c r="DR250" s="243"/>
      <c r="DS250" s="243"/>
      <c r="DT250" s="243"/>
      <c r="DU250" s="243"/>
      <c r="DV250" s="243"/>
      <c r="DW250" s="243"/>
      <c r="DX250" s="243"/>
      <c r="DY250" s="243"/>
      <c r="DZ250" s="243"/>
      <c r="EA250" s="243"/>
      <c r="EB250" s="243"/>
      <c r="EC250" s="243"/>
      <c r="ED250" s="243"/>
      <c r="EE250" s="243"/>
      <c r="EF250" s="243"/>
      <c r="EG250" s="243"/>
      <c r="EH250" s="243"/>
      <c r="EI250" s="243"/>
      <c r="EJ250" s="243"/>
      <c r="EK250" s="243"/>
      <c r="EL250" s="243"/>
      <c r="EM250" s="243"/>
      <c r="EN250" s="243"/>
      <c r="EO250" s="243"/>
      <c r="EP250" s="243"/>
      <c r="EQ250" s="243"/>
      <c r="ER250" s="243"/>
      <c r="ES250" s="243"/>
      <c r="ET250" s="243"/>
      <c r="EU250" s="243"/>
      <c r="EV250" s="243"/>
      <c r="EW250" s="243"/>
      <c r="EX250" s="243"/>
      <c r="EY250" s="243"/>
      <c r="EZ250" s="243"/>
      <c r="FA250" s="243"/>
      <c r="FB250" s="243"/>
      <c r="FC250" s="243"/>
      <c r="FD250" s="243"/>
      <c r="FE250" s="243"/>
      <c r="FF250" s="243"/>
      <c r="FG250" s="243"/>
      <c r="FH250" s="243"/>
      <c r="FI250" s="243"/>
      <c r="FJ250" s="243"/>
      <c r="FK250" s="243"/>
      <c r="FL250" s="243"/>
      <c r="FM250" s="243"/>
      <c r="FN250" s="243"/>
      <c r="FO250" s="243"/>
      <c r="FP250" s="243"/>
      <c r="FQ250" s="243"/>
      <c r="FR250" s="243"/>
      <c r="FS250" s="243"/>
      <c r="FT250" s="243"/>
      <c r="FU250" s="243"/>
      <c r="FV250" s="243"/>
      <c r="FW250" s="243"/>
      <c r="FX250" s="243"/>
      <c r="FY250" s="243"/>
      <c r="FZ250" s="243"/>
      <c r="GA250" s="243"/>
      <c r="GB250" s="243"/>
      <c r="GC250" s="243"/>
      <c r="GD250" s="243"/>
      <c r="GE250" s="243"/>
      <c r="GF250" s="243"/>
      <c r="GG250" s="243"/>
      <c r="GH250" s="243"/>
      <c r="GI250" s="243"/>
      <c r="GJ250" s="243"/>
      <c r="GK250" s="243"/>
      <c r="GL250" s="243"/>
      <c r="GM250" s="243"/>
      <c r="GN250" s="243"/>
      <c r="GO250" s="243"/>
      <c r="GP250" s="243"/>
      <c r="GQ250" s="243"/>
      <c r="GR250" s="243"/>
      <c r="GS250" s="243"/>
      <c r="GT250" s="243"/>
      <c r="GU250" s="243"/>
      <c r="GV250" s="243"/>
      <c r="GW250" s="243"/>
      <c r="GX250" s="243"/>
      <c r="GY250" s="243"/>
      <c r="GZ250" s="243"/>
      <c r="HA250" s="243"/>
      <c r="HB250" s="243"/>
      <c r="HC250" s="243"/>
      <c r="HD250" s="243"/>
      <c r="HE250" s="243"/>
      <c r="HF250" s="243"/>
      <c r="HG250" s="243"/>
      <c r="HH250" s="243"/>
      <c r="HI250" s="243"/>
      <c r="HJ250" s="243"/>
      <c r="HK250" s="243"/>
      <c r="HL250" s="243"/>
      <c r="HM250" s="243"/>
      <c r="HN250" s="243"/>
      <c r="HO250" s="243"/>
      <c r="HP250" s="243"/>
      <c r="HQ250" s="243"/>
      <c r="HR250" s="243"/>
      <c r="HS250" s="243"/>
      <c r="HT250" s="243"/>
      <c r="HU250" s="243"/>
      <c r="HV250" s="243"/>
      <c r="HW250" s="243"/>
      <c r="HX250" s="243"/>
      <c r="HY250" s="243"/>
      <c r="HZ250" s="243"/>
      <c r="IA250" s="243"/>
      <c r="IB250" s="243"/>
      <c r="IC250" s="243"/>
      <c r="ID250" s="243"/>
      <c r="IE250" s="243"/>
      <c r="IF250" s="243"/>
      <c r="IG250" s="243"/>
      <c r="IH250" s="243"/>
      <c r="II250" s="243"/>
      <c r="IJ250" s="243"/>
      <c r="IK250" s="243"/>
      <c r="IL250" s="243"/>
      <c r="IM250" s="243"/>
      <c r="IN250" s="243"/>
      <c r="IO250" s="243"/>
      <c r="IP250" s="243"/>
      <c r="IQ250" s="243"/>
      <c r="IR250" s="243"/>
      <c r="IS250" s="243"/>
      <c r="IT250" s="243"/>
      <c r="IU250" s="243"/>
      <c r="IV250" s="243"/>
      <c r="IW250" s="243"/>
      <c r="IX250" s="243"/>
      <c r="IY250" s="243"/>
      <c r="IZ250" s="243"/>
      <c r="JA250" s="243"/>
      <c r="JB250" s="243"/>
      <c r="JC250" s="243"/>
      <c r="JD250" s="243"/>
      <c r="JE250" s="243"/>
      <c r="JF250" s="243"/>
      <c r="JG250" s="243"/>
      <c r="JH250" s="243"/>
      <c r="JI250" s="243"/>
      <c r="JJ250" s="243"/>
      <c r="JK250" s="243"/>
      <c r="JL250" s="243"/>
      <c r="JM250" s="243"/>
      <c r="JN250" s="243"/>
      <c r="JO250" s="243"/>
      <c r="JP250" s="243"/>
      <c r="JQ250" s="243"/>
      <c r="JR250" s="243"/>
      <c r="JS250" s="243"/>
      <c r="JT250" s="243"/>
      <c r="JU250" s="243"/>
      <c r="JV250" s="243"/>
      <c r="JW250" s="243"/>
      <c r="JX250" s="243"/>
      <c r="JY250" s="243"/>
      <c r="JZ250" s="243"/>
      <c r="KA250" s="243"/>
      <c r="KB250" s="243"/>
      <c r="KC250" s="243"/>
      <c r="KD250" s="243"/>
      <c r="KE250" s="243"/>
      <c r="KF250" s="243"/>
      <c r="KG250" s="243"/>
      <c r="KH250" s="243"/>
      <c r="KI250" s="243"/>
      <c r="KJ250" s="243"/>
      <c r="KK250" s="243"/>
      <c r="KL250" s="243"/>
      <c r="KM250" s="243"/>
      <c r="KN250" s="243"/>
      <c r="KO250" s="243"/>
      <c r="KP250" s="243"/>
      <c r="KQ250" s="243"/>
      <c r="KR250" s="243"/>
      <c r="KS250" s="243"/>
      <c r="KT250" s="243"/>
      <c r="KU250" s="243"/>
      <c r="KV250" s="243"/>
      <c r="KW250" s="243"/>
      <c r="KX250" s="243"/>
      <c r="KY250" s="243"/>
      <c r="KZ250" s="243"/>
      <c r="LA250" s="243"/>
      <c r="LB250" s="243"/>
      <c r="LC250" s="243"/>
      <c r="LD250" s="243"/>
      <c r="LE250" s="243"/>
      <c r="LF250" s="243"/>
      <c r="LG250" s="243"/>
      <c r="LH250" s="243"/>
      <c r="LI250" s="243"/>
      <c r="LJ250" s="243"/>
      <c r="LK250" s="243"/>
      <c r="LL250" s="243"/>
      <c r="LM250" s="243"/>
      <c r="LN250" s="243"/>
      <c r="LO250" s="243"/>
      <c r="LP250" s="243"/>
      <c r="LQ250" s="243"/>
      <c r="LR250" s="243"/>
      <c r="LS250" s="243"/>
      <c r="LT250" s="243"/>
      <c r="LU250" s="243"/>
      <c r="LV250" s="243"/>
      <c r="LW250" s="243"/>
      <c r="LX250" s="243"/>
      <c r="LY250" s="243"/>
      <c r="LZ250" s="243"/>
      <c r="MA250" s="243"/>
      <c r="MB250" s="243"/>
      <c r="MC250" s="243"/>
      <c r="MD250" s="243"/>
      <c r="ME250" s="243"/>
      <c r="MF250" s="243"/>
      <c r="MG250" s="243"/>
      <c r="MH250" s="243"/>
      <c r="MI250" s="243"/>
      <c r="MJ250" s="243"/>
      <c r="MK250" s="243"/>
      <c r="ML250" s="243"/>
      <c r="MM250" s="243"/>
      <c r="MN250" s="243"/>
      <c r="MO250" s="243"/>
      <c r="MP250" s="243"/>
      <c r="MQ250" s="243"/>
      <c r="MR250" s="243"/>
      <c r="MS250" s="243"/>
      <c r="MT250" s="243"/>
      <c r="MU250" s="243"/>
      <c r="MV250" s="243"/>
      <c r="MW250" s="243"/>
      <c r="MX250" s="243"/>
      <c r="MY250" s="243"/>
      <c r="MZ250" s="243"/>
      <c r="NA250" s="243"/>
      <c r="NB250" s="243"/>
      <c r="NC250" s="243"/>
      <c r="ND250" s="243"/>
      <c r="NE250" s="243"/>
      <c r="NF250" s="243"/>
      <c r="NG250" s="243"/>
      <c r="NH250" s="243"/>
      <c r="NI250" s="243"/>
      <c r="NJ250" s="243"/>
      <c r="NK250" s="243"/>
      <c r="NL250" s="243"/>
      <c r="NM250" s="243"/>
      <c r="NN250" s="243"/>
      <c r="NO250" s="243"/>
      <c r="NP250" s="243"/>
      <c r="NQ250" s="243"/>
      <c r="NR250" s="243"/>
      <c r="NS250" s="243"/>
      <c r="NT250" s="243"/>
      <c r="NU250" s="243"/>
      <c r="NV250" s="243"/>
      <c r="NW250" s="243"/>
      <c r="NX250" s="243"/>
      <c r="NY250" s="243"/>
      <c r="NZ250" s="243"/>
      <c r="OA250" s="243"/>
      <c r="OB250" s="243"/>
      <c r="OC250" s="243"/>
      <c r="OD250" s="243"/>
      <c r="OE250" s="243"/>
      <c r="OF250" s="243"/>
      <c r="OG250" s="243"/>
      <c r="OH250" s="243"/>
      <c r="OI250" s="243"/>
      <c r="OJ250" s="243"/>
      <c r="OK250" s="243"/>
      <c r="OL250" s="243"/>
      <c r="OM250" s="243"/>
      <c r="ON250" s="243"/>
      <c r="OO250" s="243"/>
      <c r="OP250" s="243"/>
      <c r="OQ250" s="243"/>
      <c r="OR250" s="243"/>
      <c r="OS250" s="243"/>
      <c r="OT250" s="243"/>
      <c r="OU250" s="243"/>
      <c r="OV250" s="243"/>
      <c r="OW250" s="243"/>
      <c r="OX250" s="243"/>
      <c r="OY250" s="243"/>
      <c r="OZ250" s="243"/>
      <c r="PA250" s="243"/>
      <c r="PB250" s="243"/>
      <c r="PC250" s="243"/>
      <c r="PD250" s="243"/>
      <c r="PE250" s="243"/>
      <c r="PF250" s="243"/>
      <c r="PG250" s="243"/>
      <c r="PH250" s="243"/>
      <c r="PI250" s="243"/>
      <c r="PJ250" s="243"/>
      <c r="PK250" s="243"/>
      <c r="PL250" s="243"/>
      <c r="PM250" s="243"/>
      <c r="PN250" s="243"/>
      <c r="PO250" s="243"/>
      <c r="PP250" s="243"/>
      <c r="PQ250" s="243"/>
      <c r="PR250" s="243"/>
      <c r="PS250" s="243"/>
      <c r="PT250" s="243"/>
      <c r="PU250" s="243"/>
      <c r="PV250" s="243"/>
      <c r="PW250" s="243"/>
      <c r="PX250" s="243"/>
      <c r="PY250" s="243"/>
      <c r="PZ250" s="243"/>
      <c r="QA250" s="243"/>
      <c r="QB250" s="243"/>
      <c r="QC250" s="243"/>
      <c r="QD250" s="243"/>
      <c r="QE250" s="243"/>
      <c r="QF250" s="243"/>
      <c r="QG250" s="243"/>
      <c r="QH250" s="243"/>
      <c r="QI250" s="243"/>
      <c r="QJ250" s="243"/>
      <c r="QK250" s="243"/>
      <c r="QL250" s="243"/>
      <c r="QM250" s="243"/>
      <c r="QN250" s="243"/>
      <c r="QO250" s="243"/>
      <c r="QP250" s="243"/>
      <c r="QQ250" s="243"/>
      <c r="QR250" s="243"/>
      <c r="QS250" s="243"/>
      <c r="QT250" s="243"/>
      <c r="QU250" s="243"/>
      <c r="QV250" s="243"/>
      <c r="QW250" s="243"/>
      <c r="QX250" s="243"/>
      <c r="QY250" s="243"/>
      <c r="QZ250" s="243"/>
      <c r="RA250" s="243"/>
      <c r="RB250" s="243"/>
      <c r="RC250" s="243"/>
      <c r="RD250" s="243"/>
      <c r="RE250" s="243"/>
      <c r="RF250" s="243"/>
      <c r="RG250" s="243"/>
      <c r="RH250" s="243"/>
      <c r="RI250" s="243"/>
      <c r="RJ250" s="243"/>
      <c r="RK250" s="243"/>
      <c r="RL250" s="243"/>
      <c r="RM250" s="243"/>
      <c r="RN250" s="243"/>
      <c r="RO250" s="243"/>
      <c r="RP250" s="243"/>
      <c r="RQ250" s="243"/>
      <c r="RR250" s="243"/>
      <c r="RS250" s="243"/>
      <c r="RT250" s="243"/>
      <c r="RU250" s="243"/>
      <c r="RV250" s="243"/>
      <c r="RW250" s="243"/>
      <c r="RX250" s="243"/>
      <c r="RY250" s="243"/>
      <c r="RZ250" s="243"/>
      <c r="SA250" s="243"/>
      <c r="SB250" s="243"/>
      <c r="SC250" s="243"/>
      <c r="SD250" s="243"/>
      <c r="SE250" s="243"/>
      <c r="SF250" s="243"/>
      <c r="SG250" s="243"/>
      <c r="SH250" s="243"/>
      <c r="SI250" s="243"/>
      <c r="SJ250" s="243"/>
      <c r="SK250" s="243"/>
      <c r="SL250" s="243"/>
      <c r="SM250" s="243"/>
      <c r="SN250" s="243"/>
      <c r="SO250" s="243"/>
      <c r="SP250" s="243"/>
      <c r="SQ250" s="243"/>
      <c r="SR250" s="243"/>
      <c r="SS250" s="243"/>
      <c r="ST250" s="243"/>
      <c r="SU250" s="243"/>
      <c r="SV250" s="243"/>
      <c r="SW250" s="243"/>
      <c r="SX250" s="243"/>
      <c r="SY250" s="243"/>
      <c r="SZ250" s="243"/>
      <c r="TA250" s="243"/>
      <c r="TB250" s="243"/>
      <c r="TC250" s="243"/>
      <c r="TD250" s="243"/>
      <c r="TE250" s="243"/>
      <c r="TF250" s="243"/>
      <c r="TG250" s="243"/>
      <c r="TH250" s="243"/>
      <c r="TI250" s="243"/>
      <c r="TJ250" s="243"/>
      <c r="TK250" s="243"/>
      <c r="TL250" s="243"/>
      <c r="TM250" s="243"/>
      <c r="TN250" s="243"/>
      <c r="TO250" s="243"/>
      <c r="TP250" s="243"/>
      <c r="TQ250" s="243"/>
      <c r="TR250" s="243"/>
      <c r="TS250" s="243"/>
      <c r="TT250" s="243"/>
      <c r="TU250" s="243"/>
      <c r="TV250" s="243"/>
      <c r="TW250" s="243"/>
      <c r="TX250" s="243"/>
      <c r="TY250" s="243"/>
      <c r="TZ250" s="243"/>
      <c r="UA250" s="243"/>
      <c r="UB250" s="243"/>
      <c r="UC250" s="243"/>
      <c r="UD250" s="243"/>
      <c r="UE250" s="243"/>
      <c r="UF250" s="243"/>
      <c r="UG250" s="243"/>
      <c r="UH250" s="243"/>
      <c r="UI250" s="243"/>
      <c r="UJ250" s="243"/>
      <c r="UK250" s="243"/>
      <c r="UL250" s="243"/>
      <c r="UM250" s="243"/>
      <c r="UN250" s="243"/>
      <c r="UO250" s="243"/>
      <c r="UP250" s="243"/>
      <c r="UQ250" s="243"/>
      <c r="UR250" s="243"/>
      <c r="US250" s="243"/>
      <c r="UT250" s="243"/>
      <c r="UU250" s="243"/>
      <c r="UV250" s="243"/>
      <c r="UW250" s="243"/>
      <c r="UX250" s="243"/>
      <c r="UY250" s="243"/>
      <c r="UZ250" s="243"/>
      <c r="VA250" s="243"/>
      <c r="VB250" s="243"/>
      <c r="VC250" s="243"/>
      <c r="VD250" s="243"/>
      <c r="VE250" s="243"/>
      <c r="VF250" s="243"/>
      <c r="VG250" s="243"/>
      <c r="VH250" s="243"/>
      <c r="VI250" s="243"/>
      <c r="VJ250" s="243"/>
      <c r="VK250" s="243"/>
      <c r="VL250" s="243"/>
      <c r="VM250" s="243"/>
      <c r="VN250" s="243"/>
      <c r="VO250" s="243"/>
      <c r="VP250" s="243"/>
      <c r="VQ250" s="243"/>
      <c r="VR250" s="243"/>
      <c r="VS250" s="243"/>
      <c r="VT250" s="243"/>
      <c r="VU250" s="243"/>
      <c r="VV250" s="243"/>
      <c r="VW250" s="243"/>
      <c r="VX250" s="243"/>
      <c r="VY250" s="243"/>
      <c r="VZ250" s="243"/>
      <c r="WA250" s="243"/>
      <c r="WB250" s="243"/>
      <c r="WC250" s="243"/>
      <c r="WD250" s="243"/>
      <c r="WE250" s="243"/>
      <c r="WF250" s="243"/>
      <c r="WG250" s="243"/>
      <c r="WH250" s="243"/>
      <c r="WI250" s="243"/>
      <c r="WJ250" s="243"/>
      <c r="WK250" s="243"/>
      <c r="WL250" s="243"/>
      <c r="WM250" s="243"/>
      <c r="WN250" s="243"/>
      <c r="WO250" s="243"/>
      <c r="WP250" s="243"/>
      <c r="WQ250" s="243"/>
      <c r="WR250" s="243"/>
      <c r="WS250" s="243"/>
      <c r="WT250" s="243"/>
      <c r="WU250" s="243"/>
      <c r="WV250" s="243"/>
      <c r="WW250" s="243"/>
      <c r="WX250" s="243"/>
      <c r="WY250" s="243"/>
      <c r="WZ250" s="243"/>
      <c r="XA250" s="243"/>
      <c r="XB250" s="243"/>
      <c r="XC250" s="243"/>
      <c r="XD250" s="243"/>
      <c r="XE250" s="243"/>
      <c r="XF250" s="243"/>
      <c r="XG250" s="243"/>
      <c r="XH250" s="243"/>
      <c r="XI250" s="243"/>
      <c r="XJ250" s="243"/>
      <c r="XK250" s="243"/>
      <c r="XL250" s="243"/>
      <c r="XM250" s="243"/>
      <c r="XN250" s="243"/>
      <c r="XO250" s="243"/>
      <c r="XP250" s="243"/>
      <c r="XQ250" s="243"/>
      <c r="XR250" s="243"/>
      <c r="XS250" s="243"/>
      <c r="XT250" s="243"/>
      <c r="XU250" s="243"/>
      <c r="XV250" s="243"/>
      <c r="XW250" s="243"/>
      <c r="XX250" s="243"/>
      <c r="XY250" s="243"/>
      <c r="XZ250" s="243"/>
      <c r="YA250" s="243"/>
      <c r="YB250" s="243"/>
      <c r="YC250" s="243"/>
      <c r="YD250" s="243"/>
      <c r="YE250" s="243"/>
      <c r="YF250" s="243"/>
      <c r="YG250" s="243"/>
      <c r="YH250" s="243"/>
      <c r="YI250" s="243"/>
      <c r="YJ250" s="243"/>
      <c r="YK250" s="243"/>
      <c r="YL250" s="243"/>
      <c r="YM250" s="243"/>
      <c r="YN250" s="243"/>
      <c r="YO250" s="243"/>
      <c r="YP250" s="243"/>
      <c r="YQ250" s="243"/>
      <c r="YR250" s="243"/>
      <c r="YS250" s="243"/>
      <c r="YT250" s="243"/>
      <c r="YU250" s="243"/>
      <c r="YV250" s="243"/>
      <c r="YW250" s="243"/>
      <c r="YX250" s="243"/>
      <c r="YY250" s="243"/>
      <c r="YZ250" s="243"/>
      <c r="ZA250" s="243"/>
      <c r="ZB250" s="243"/>
      <c r="ZC250" s="243"/>
      <c r="ZD250" s="243"/>
      <c r="ZE250" s="243"/>
      <c r="ZF250" s="243"/>
      <c r="ZG250" s="243"/>
      <c r="ZH250" s="243"/>
      <c r="ZI250" s="243"/>
      <c r="ZJ250" s="243"/>
      <c r="ZK250" s="243"/>
      <c r="ZL250" s="243"/>
      <c r="ZM250" s="243"/>
      <c r="ZN250" s="243"/>
      <c r="ZO250" s="243"/>
      <c r="ZP250" s="243"/>
      <c r="ZQ250" s="243"/>
      <c r="ZR250" s="243"/>
      <c r="ZS250" s="243"/>
      <c r="ZT250" s="243"/>
      <c r="ZU250" s="243"/>
      <c r="ZV250" s="243"/>
      <c r="ZW250" s="243"/>
      <c r="ZX250" s="243"/>
      <c r="ZY250" s="243"/>
      <c r="ZZ250" s="243"/>
      <c r="AAA250" s="243"/>
      <c r="AAB250" s="243"/>
      <c r="AAC250" s="243"/>
      <c r="AAD250" s="243"/>
      <c r="AAE250" s="243"/>
      <c r="AAF250" s="243"/>
      <c r="AAG250" s="243"/>
      <c r="AAH250" s="243"/>
      <c r="AAI250" s="243"/>
      <c r="AAJ250" s="243"/>
      <c r="AAK250" s="243"/>
      <c r="AAL250" s="243"/>
      <c r="AAM250" s="243"/>
      <c r="AAN250" s="243"/>
      <c r="AAO250" s="243"/>
      <c r="AAP250" s="243"/>
      <c r="AAQ250" s="243"/>
      <c r="AAR250" s="243"/>
      <c r="AAS250" s="243"/>
      <c r="AAT250" s="243"/>
      <c r="AAU250" s="243"/>
      <c r="AAV250" s="243"/>
      <c r="AAW250" s="243"/>
      <c r="AAX250" s="243"/>
      <c r="AAY250" s="243"/>
      <c r="AAZ250" s="243"/>
      <c r="ABA250" s="243"/>
      <c r="ABB250" s="243"/>
      <c r="ABC250" s="243"/>
      <c r="ABD250" s="243"/>
      <c r="ABE250" s="243"/>
      <c r="ABF250" s="243"/>
      <c r="ABG250" s="243"/>
      <c r="ABH250" s="243"/>
      <c r="ABI250" s="243"/>
      <c r="ABJ250" s="243"/>
      <c r="ABK250" s="243"/>
      <c r="ABL250" s="243"/>
      <c r="ABM250" s="243"/>
      <c r="ABN250" s="243"/>
      <c r="ABO250" s="243"/>
      <c r="ABP250" s="243"/>
      <c r="ABQ250" s="243"/>
      <c r="ABR250" s="243"/>
      <c r="ABS250" s="243"/>
      <c r="ABT250" s="243"/>
      <c r="ABU250" s="243"/>
      <c r="ABV250" s="243"/>
      <c r="ABW250" s="243"/>
      <c r="ABX250" s="243"/>
      <c r="ABY250" s="243"/>
      <c r="ABZ250" s="243"/>
      <c r="ACA250" s="243"/>
      <c r="ACB250" s="243"/>
      <c r="ACC250" s="243"/>
      <c r="ACD250" s="243"/>
      <c r="ACE250" s="243"/>
      <c r="ACF250" s="243"/>
      <c r="ACG250" s="243"/>
      <c r="ACH250" s="243"/>
      <c r="ACI250" s="243"/>
      <c r="ACJ250" s="243"/>
      <c r="ACK250" s="243"/>
      <c r="ACL250" s="243"/>
      <c r="ACM250" s="243"/>
      <c r="ACN250" s="243"/>
      <c r="ACO250" s="243"/>
      <c r="ACP250" s="243"/>
      <c r="ACQ250" s="243"/>
      <c r="ACR250" s="243"/>
      <c r="ACS250" s="243"/>
      <c r="ACT250" s="243"/>
      <c r="ACU250" s="243"/>
      <c r="ACV250" s="243"/>
      <c r="ACW250" s="243"/>
      <c r="ACX250" s="243"/>
      <c r="ACY250" s="243"/>
      <c r="ACZ250" s="243"/>
      <c r="ADA250" s="243"/>
      <c r="ADB250" s="243"/>
      <c r="ADC250" s="243"/>
      <c r="ADD250" s="243"/>
      <c r="ADE250" s="243"/>
      <c r="ADF250" s="243"/>
      <c r="ADG250" s="243"/>
      <c r="ADH250" s="243"/>
      <c r="ADI250" s="243"/>
      <c r="ADJ250" s="243"/>
      <c r="ADK250" s="243"/>
      <c r="ADL250" s="243"/>
      <c r="ADM250" s="243"/>
      <c r="ADN250" s="243"/>
      <c r="ADO250" s="243"/>
      <c r="ADP250" s="243"/>
      <c r="ADQ250" s="243"/>
      <c r="ADR250" s="243"/>
      <c r="ADS250" s="243"/>
      <c r="ADT250" s="243"/>
      <c r="ADU250" s="243"/>
      <c r="ADV250" s="243"/>
      <c r="ADW250" s="243"/>
      <c r="ADX250" s="243"/>
      <c r="ADY250" s="243"/>
      <c r="ADZ250" s="243"/>
      <c r="AEA250" s="243"/>
      <c r="AEB250" s="243"/>
      <c r="AEC250" s="243"/>
      <c r="AED250" s="243"/>
      <c r="AEE250" s="243"/>
      <c r="AEF250" s="243"/>
      <c r="AEG250" s="243"/>
      <c r="AEH250" s="243"/>
      <c r="AEI250" s="243"/>
      <c r="AEJ250" s="243"/>
      <c r="AEK250" s="243"/>
      <c r="AEL250" s="243"/>
      <c r="AEM250" s="243"/>
      <c r="AEN250" s="243"/>
      <c r="AEO250" s="243"/>
      <c r="AEP250" s="243"/>
      <c r="AEQ250" s="243"/>
      <c r="AER250" s="243"/>
      <c r="AES250" s="243"/>
      <c r="AET250" s="243"/>
      <c r="AEU250" s="243"/>
      <c r="AEV250" s="243"/>
      <c r="AEW250" s="243"/>
      <c r="AEX250" s="243"/>
      <c r="AEY250" s="243"/>
      <c r="AEZ250" s="243"/>
      <c r="AFA250" s="243"/>
      <c r="AFB250" s="243"/>
      <c r="AFC250" s="243"/>
      <c r="AFD250" s="243"/>
      <c r="AFE250" s="243"/>
      <c r="AFF250" s="243"/>
      <c r="AFG250" s="243"/>
      <c r="AFH250" s="243"/>
      <c r="AFI250" s="243"/>
      <c r="AFJ250" s="243"/>
      <c r="AFK250" s="243"/>
      <c r="AFL250" s="243"/>
      <c r="AFM250" s="243"/>
      <c r="AFN250" s="243"/>
      <c r="AFO250" s="243"/>
      <c r="AFP250" s="243"/>
      <c r="AFQ250" s="243"/>
      <c r="AFR250" s="243"/>
      <c r="AFS250" s="243"/>
      <c r="AFT250" s="243"/>
      <c r="AFU250" s="243"/>
      <c r="AFV250" s="243"/>
      <c r="AFW250" s="243"/>
      <c r="AFX250" s="243"/>
      <c r="AFY250" s="243"/>
      <c r="AFZ250" s="243"/>
      <c r="AGA250" s="243"/>
      <c r="AGB250" s="243"/>
      <c r="AGC250" s="243"/>
      <c r="AGD250" s="243"/>
      <c r="AGE250" s="243"/>
      <c r="AGF250" s="243"/>
      <c r="AGG250" s="243"/>
      <c r="AGH250" s="243"/>
      <c r="AGI250" s="243"/>
      <c r="AGJ250" s="243"/>
      <c r="AGK250" s="243"/>
      <c r="AGL250" s="243"/>
      <c r="AGM250" s="243"/>
      <c r="AGN250" s="243"/>
      <c r="AGO250" s="243"/>
      <c r="AGP250" s="243"/>
      <c r="AGQ250" s="243"/>
      <c r="AGR250" s="243"/>
      <c r="AGS250" s="243"/>
      <c r="AGT250" s="243"/>
      <c r="AGU250" s="243"/>
      <c r="AGV250" s="243"/>
      <c r="AGW250" s="243"/>
      <c r="AGX250" s="243"/>
      <c r="AGY250" s="243"/>
      <c r="AGZ250" s="243"/>
      <c r="AHA250" s="243"/>
      <c r="AHB250" s="243"/>
      <c r="AHC250" s="243"/>
      <c r="AHD250" s="243"/>
      <c r="AHE250" s="243"/>
      <c r="AHF250" s="243"/>
      <c r="AHG250" s="243"/>
      <c r="AHH250" s="243"/>
      <c r="AHI250" s="243"/>
      <c r="AHJ250" s="243"/>
      <c r="AHK250" s="243"/>
      <c r="AHL250" s="243"/>
      <c r="AHM250" s="243"/>
      <c r="AHN250" s="243"/>
      <c r="AHO250" s="243"/>
      <c r="AHP250" s="243"/>
      <c r="AHQ250" s="243"/>
      <c r="AHR250" s="243"/>
      <c r="AHS250" s="243"/>
      <c r="AHT250" s="243"/>
      <c r="AHU250" s="243"/>
      <c r="AHV250" s="243"/>
      <c r="AHW250" s="243"/>
      <c r="AHX250" s="243"/>
      <c r="AHY250" s="243"/>
      <c r="AHZ250" s="243"/>
      <c r="AIA250" s="243"/>
      <c r="AIB250" s="243"/>
      <c r="AIC250" s="243"/>
      <c r="AID250" s="243"/>
      <c r="AIE250" s="243"/>
      <c r="AIF250" s="243"/>
      <c r="AIG250" s="243"/>
      <c r="AIH250" s="243"/>
      <c r="AII250" s="243"/>
      <c r="AIJ250" s="243"/>
      <c r="AIK250" s="243"/>
      <c r="AIL250" s="243"/>
      <c r="AIM250" s="243"/>
      <c r="AIN250" s="243"/>
      <c r="AIO250" s="243"/>
      <c r="AIP250" s="243"/>
      <c r="AIQ250" s="243"/>
      <c r="AIR250" s="243"/>
      <c r="AIS250" s="243"/>
      <c r="AIT250" s="243"/>
      <c r="AIU250" s="243"/>
      <c r="AIV250" s="243"/>
      <c r="AIW250" s="243"/>
      <c r="AIX250" s="243"/>
      <c r="AIY250" s="243"/>
      <c r="AIZ250" s="243"/>
      <c r="AJA250" s="243"/>
      <c r="AJB250" s="243"/>
      <c r="AJC250" s="243"/>
      <c r="AJD250" s="243"/>
      <c r="AJE250" s="243"/>
      <c r="AJF250" s="243"/>
      <c r="AJG250" s="243"/>
      <c r="AJH250" s="243"/>
      <c r="AJI250" s="243"/>
      <c r="AJJ250" s="243"/>
      <c r="AJK250" s="243"/>
      <c r="AJL250" s="243"/>
      <c r="AJM250" s="243"/>
      <c r="AJN250" s="243"/>
      <c r="AJO250" s="243"/>
      <c r="AJP250" s="243"/>
      <c r="AJQ250" s="243"/>
      <c r="AJR250" s="243"/>
      <c r="AJS250" s="243"/>
      <c r="AJT250" s="243"/>
      <c r="AJU250" s="243"/>
      <c r="AJV250" s="243"/>
      <c r="AJW250" s="243"/>
      <c r="AJX250" s="243"/>
      <c r="AJY250" s="243"/>
      <c r="AJZ250" s="243"/>
      <c r="AKA250" s="243"/>
      <c r="AKB250" s="243"/>
      <c r="AKC250" s="243"/>
      <c r="AKD250" s="243"/>
      <c r="AKE250" s="243"/>
      <c r="AKF250" s="243"/>
      <c r="AKG250" s="243"/>
      <c r="AKH250" s="243"/>
      <c r="AKI250" s="243"/>
      <c r="AKJ250" s="243"/>
      <c r="AKK250" s="243"/>
      <c r="AKL250" s="243"/>
      <c r="AKM250" s="243"/>
      <c r="AKN250" s="243"/>
      <c r="AKO250" s="243"/>
      <c r="AKP250" s="243"/>
      <c r="AKQ250" s="243"/>
      <c r="AKR250" s="243"/>
      <c r="AKS250" s="243"/>
      <c r="AKT250" s="243"/>
      <c r="AKU250" s="243"/>
      <c r="AKV250" s="243"/>
      <c r="AKW250" s="243"/>
      <c r="AKX250" s="243"/>
      <c r="AKY250" s="243"/>
      <c r="AKZ250" s="243"/>
      <c r="ALA250" s="243"/>
      <c r="ALB250" s="243"/>
      <c r="ALC250" s="243"/>
      <c r="ALD250" s="243"/>
      <c r="ALE250" s="243"/>
      <c r="ALF250" s="243"/>
      <c r="ALG250" s="243"/>
      <c r="ALH250" s="243"/>
      <c r="ALI250" s="243"/>
      <c r="ALJ250" s="243"/>
      <c r="ALK250" s="243"/>
      <c r="ALL250" s="243"/>
      <c r="ALM250" s="243"/>
      <c r="ALN250" s="243"/>
      <c r="ALO250" s="243"/>
      <c r="ALP250" s="243"/>
      <c r="ALQ250" s="243"/>
      <c r="ALR250" s="243"/>
      <c r="ALS250" s="243"/>
      <c r="ALT250" s="243"/>
      <c r="ALU250" s="243"/>
      <c r="ALV250" s="243"/>
      <c r="ALW250" s="243"/>
      <c r="ALX250" s="243"/>
      <c r="ALY250" s="243"/>
      <c r="ALZ250" s="243"/>
      <c r="AMA250" s="243"/>
      <c r="AMB250" s="243"/>
      <c r="AMC250" s="243"/>
      <c r="AMD250" s="243"/>
      <c r="AME250" s="243"/>
      <c r="AMF250" s="243"/>
      <c r="AMG250" s="243"/>
      <c r="AMH250" s="243"/>
      <c r="AMI250" s="244"/>
      <c r="AMJ250" s="244"/>
    </row>
    <row r="251" spans="1:1024" ht="18">
      <c r="A251" s="371" t="s">
        <v>3</v>
      </c>
      <c r="B251" s="371" t="s">
        <v>4</v>
      </c>
      <c r="C251" s="371" t="s">
        <v>115</v>
      </c>
      <c r="D251" s="371" t="s">
        <v>6</v>
      </c>
      <c r="E251" s="372" t="s">
        <v>29</v>
      </c>
      <c r="F251" s="372" t="s">
        <v>8</v>
      </c>
      <c r="G251" s="372" t="s">
        <v>9</v>
      </c>
      <c r="H251" s="372" t="s">
        <v>116</v>
      </c>
      <c r="I251" s="372" t="s">
        <v>12</v>
      </c>
      <c r="J251" s="372" t="s">
        <v>117</v>
      </c>
      <c r="K251" s="372" t="s">
        <v>118</v>
      </c>
      <c r="L251" s="372" t="s">
        <v>119</v>
      </c>
      <c r="M251" s="372" t="s">
        <v>4</v>
      </c>
      <c r="N251" s="372" t="s">
        <v>6</v>
      </c>
      <c r="O251" s="373" t="s">
        <v>29</v>
      </c>
      <c r="P251" s="374" t="s">
        <v>8</v>
      </c>
      <c r="Q251" s="374" t="s">
        <v>120</v>
      </c>
      <c r="R251" s="243"/>
      <c r="S251" s="243"/>
      <c r="T251" s="243"/>
      <c r="U251" s="243"/>
      <c r="V251" s="243"/>
      <c r="W251" s="243"/>
      <c r="X251" s="243"/>
      <c r="Y251" s="243"/>
      <c r="Z251" s="243"/>
      <c r="AA251" s="243"/>
      <c r="AB251" s="243"/>
      <c r="AC251" s="243"/>
      <c r="AD251" s="243"/>
      <c r="AE251" s="243"/>
      <c r="AF251" s="243"/>
      <c r="AG251" s="243"/>
      <c r="AH251" s="243"/>
      <c r="AI251" s="243"/>
      <c r="AJ251" s="243"/>
      <c r="AK251" s="243"/>
      <c r="AL251" s="243"/>
      <c r="AM251" s="243"/>
      <c r="AN251" s="243"/>
      <c r="AO251" s="243"/>
      <c r="AP251" s="243"/>
      <c r="AQ251" s="243"/>
      <c r="AR251" s="243"/>
      <c r="AS251" s="243"/>
      <c r="AT251" s="243"/>
      <c r="AU251" s="243"/>
      <c r="AV251" s="243"/>
      <c r="AW251" s="243"/>
      <c r="AX251" s="243"/>
      <c r="AY251" s="243"/>
      <c r="AZ251" s="243"/>
      <c r="BA251" s="243"/>
      <c r="BB251" s="243"/>
      <c r="BC251" s="243"/>
      <c r="BD251" s="243"/>
      <c r="BE251" s="243"/>
      <c r="BF251" s="243"/>
      <c r="BG251" s="243"/>
      <c r="BH251" s="243"/>
      <c r="BI251" s="243"/>
      <c r="BJ251" s="243"/>
      <c r="BK251" s="243"/>
      <c r="BL251" s="243"/>
      <c r="BM251" s="243"/>
      <c r="BN251" s="243"/>
      <c r="BO251" s="243"/>
      <c r="BP251" s="243"/>
      <c r="BQ251" s="243"/>
      <c r="BR251" s="243"/>
      <c r="BS251" s="243"/>
      <c r="BT251" s="243"/>
      <c r="BU251" s="243"/>
      <c r="BV251" s="243"/>
      <c r="BW251" s="243"/>
      <c r="BX251" s="243"/>
      <c r="BY251" s="243"/>
      <c r="BZ251" s="243"/>
      <c r="CA251" s="243"/>
      <c r="CB251" s="243"/>
      <c r="CC251" s="243"/>
      <c r="CD251" s="243"/>
      <c r="CE251" s="243"/>
      <c r="CF251" s="243"/>
      <c r="CG251" s="243"/>
      <c r="CH251" s="243"/>
      <c r="CI251" s="243"/>
      <c r="CJ251" s="243"/>
      <c r="CK251" s="243"/>
      <c r="CL251" s="243"/>
      <c r="CM251" s="243"/>
      <c r="CN251" s="243"/>
      <c r="CO251" s="243"/>
      <c r="CP251" s="243"/>
      <c r="CQ251" s="243"/>
      <c r="CR251" s="243"/>
      <c r="CS251" s="243"/>
      <c r="CT251" s="243"/>
      <c r="CU251" s="243"/>
      <c r="CV251" s="243"/>
      <c r="CW251" s="243"/>
      <c r="CX251" s="243"/>
      <c r="CY251" s="243"/>
      <c r="CZ251" s="243"/>
      <c r="DA251" s="243"/>
      <c r="DB251" s="243"/>
      <c r="DC251" s="243"/>
      <c r="DD251" s="243"/>
      <c r="DE251" s="243"/>
      <c r="DF251" s="243"/>
      <c r="DG251" s="243"/>
      <c r="DH251" s="243"/>
      <c r="DI251" s="243"/>
      <c r="DJ251" s="243"/>
      <c r="DK251" s="243"/>
      <c r="DL251" s="243"/>
      <c r="DM251" s="243"/>
      <c r="DN251" s="243"/>
      <c r="DO251" s="243"/>
      <c r="DP251" s="243"/>
      <c r="DQ251" s="243"/>
      <c r="DR251" s="243"/>
      <c r="DS251" s="243"/>
      <c r="DT251" s="243"/>
      <c r="DU251" s="243"/>
      <c r="DV251" s="243"/>
      <c r="DW251" s="243"/>
      <c r="DX251" s="243"/>
      <c r="DY251" s="243"/>
      <c r="DZ251" s="243"/>
      <c r="EA251" s="243"/>
      <c r="EB251" s="243"/>
      <c r="EC251" s="243"/>
      <c r="ED251" s="243"/>
      <c r="EE251" s="243"/>
      <c r="EF251" s="243"/>
      <c r="EG251" s="243"/>
      <c r="EH251" s="243"/>
      <c r="EI251" s="243"/>
      <c r="EJ251" s="243"/>
      <c r="EK251" s="243"/>
      <c r="EL251" s="243"/>
      <c r="EM251" s="243"/>
      <c r="EN251" s="243"/>
      <c r="EO251" s="243"/>
      <c r="EP251" s="243"/>
      <c r="EQ251" s="243"/>
      <c r="ER251" s="243"/>
      <c r="ES251" s="243"/>
      <c r="ET251" s="243"/>
      <c r="EU251" s="243"/>
      <c r="EV251" s="243"/>
      <c r="EW251" s="243"/>
      <c r="EX251" s="243"/>
      <c r="EY251" s="243"/>
      <c r="EZ251" s="243"/>
      <c r="FA251" s="243"/>
      <c r="FB251" s="243"/>
      <c r="FC251" s="243"/>
      <c r="FD251" s="243"/>
      <c r="FE251" s="243"/>
      <c r="FF251" s="243"/>
      <c r="FG251" s="243"/>
      <c r="FH251" s="243"/>
      <c r="FI251" s="243"/>
      <c r="FJ251" s="243"/>
      <c r="FK251" s="243"/>
      <c r="FL251" s="243"/>
      <c r="FM251" s="243"/>
      <c r="FN251" s="243"/>
      <c r="FO251" s="243"/>
      <c r="FP251" s="243"/>
      <c r="FQ251" s="243"/>
      <c r="FR251" s="243"/>
      <c r="FS251" s="243"/>
      <c r="FT251" s="243"/>
      <c r="FU251" s="243"/>
      <c r="FV251" s="243"/>
      <c r="FW251" s="243"/>
      <c r="FX251" s="243"/>
      <c r="FY251" s="243"/>
      <c r="FZ251" s="243"/>
      <c r="GA251" s="243"/>
      <c r="GB251" s="243"/>
      <c r="GC251" s="243"/>
      <c r="GD251" s="243"/>
      <c r="GE251" s="243"/>
      <c r="GF251" s="243"/>
      <c r="GG251" s="243"/>
      <c r="GH251" s="243"/>
      <c r="GI251" s="243"/>
      <c r="GJ251" s="243"/>
      <c r="GK251" s="243"/>
      <c r="GL251" s="243"/>
      <c r="GM251" s="243"/>
      <c r="GN251" s="243"/>
      <c r="GO251" s="243"/>
      <c r="GP251" s="243"/>
      <c r="GQ251" s="243"/>
      <c r="GR251" s="243"/>
      <c r="GS251" s="243"/>
      <c r="GT251" s="243"/>
      <c r="GU251" s="243"/>
      <c r="GV251" s="243"/>
      <c r="GW251" s="243"/>
      <c r="GX251" s="243"/>
      <c r="GY251" s="243"/>
      <c r="GZ251" s="243"/>
      <c r="HA251" s="243"/>
      <c r="HB251" s="243"/>
      <c r="HC251" s="243"/>
      <c r="HD251" s="243"/>
      <c r="HE251" s="243"/>
      <c r="HF251" s="243"/>
      <c r="HG251" s="243"/>
      <c r="HH251" s="243"/>
      <c r="HI251" s="243"/>
      <c r="HJ251" s="243"/>
      <c r="HK251" s="243"/>
      <c r="HL251" s="243"/>
      <c r="HM251" s="243"/>
      <c r="HN251" s="243"/>
      <c r="HO251" s="243"/>
      <c r="HP251" s="243"/>
      <c r="HQ251" s="243"/>
      <c r="HR251" s="243"/>
      <c r="HS251" s="243"/>
      <c r="HT251" s="243"/>
      <c r="HU251" s="243"/>
      <c r="HV251" s="243"/>
      <c r="HW251" s="243"/>
      <c r="HX251" s="243"/>
      <c r="HY251" s="243"/>
      <c r="HZ251" s="243"/>
      <c r="IA251" s="243"/>
      <c r="IB251" s="243"/>
      <c r="IC251" s="243"/>
      <c r="ID251" s="243"/>
      <c r="IE251" s="243"/>
      <c r="IF251" s="243"/>
      <c r="IG251" s="243"/>
      <c r="IH251" s="243"/>
      <c r="II251" s="243"/>
      <c r="IJ251" s="243"/>
      <c r="IK251" s="243"/>
      <c r="IL251" s="243"/>
      <c r="IM251" s="243"/>
      <c r="IN251" s="243"/>
      <c r="IO251" s="243"/>
      <c r="IP251" s="243"/>
      <c r="IQ251" s="243"/>
      <c r="IR251" s="243"/>
      <c r="IS251" s="243"/>
      <c r="IT251" s="243"/>
      <c r="IU251" s="243"/>
      <c r="IV251" s="243"/>
      <c r="IW251" s="243"/>
      <c r="IX251" s="243"/>
      <c r="IY251" s="243"/>
      <c r="IZ251" s="243"/>
      <c r="JA251" s="243"/>
      <c r="JB251" s="243"/>
      <c r="JC251" s="243"/>
      <c r="JD251" s="243"/>
      <c r="JE251" s="243"/>
      <c r="JF251" s="243"/>
      <c r="JG251" s="243"/>
      <c r="JH251" s="243"/>
      <c r="JI251" s="243"/>
      <c r="JJ251" s="243"/>
      <c r="JK251" s="243"/>
      <c r="JL251" s="243"/>
      <c r="JM251" s="243"/>
      <c r="JN251" s="243"/>
      <c r="JO251" s="243"/>
      <c r="JP251" s="243"/>
      <c r="JQ251" s="243"/>
      <c r="JR251" s="243"/>
      <c r="JS251" s="243"/>
      <c r="JT251" s="243"/>
      <c r="JU251" s="243"/>
      <c r="JV251" s="243"/>
      <c r="JW251" s="243"/>
      <c r="JX251" s="243"/>
      <c r="JY251" s="243"/>
      <c r="JZ251" s="243"/>
      <c r="KA251" s="243"/>
      <c r="KB251" s="243"/>
      <c r="KC251" s="243"/>
      <c r="KD251" s="243"/>
      <c r="KE251" s="243"/>
      <c r="KF251" s="243"/>
      <c r="KG251" s="243"/>
      <c r="KH251" s="243"/>
      <c r="KI251" s="243"/>
      <c r="KJ251" s="243"/>
      <c r="KK251" s="243"/>
      <c r="KL251" s="243"/>
      <c r="KM251" s="243"/>
      <c r="KN251" s="243"/>
      <c r="KO251" s="243"/>
      <c r="KP251" s="243"/>
      <c r="KQ251" s="243"/>
      <c r="KR251" s="243"/>
      <c r="KS251" s="243"/>
      <c r="KT251" s="243"/>
      <c r="KU251" s="243"/>
      <c r="KV251" s="243"/>
      <c r="KW251" s="243"/>
      <c r="KX251" s="243"/>
      <c r="KY251" s="243"/>
      <c r="KZ251" s="243"/>
      <c r="LA251" s="243"/>
      <c r="LB251" s="243"/>
      <c r="LC251" s="243"/>
      <c r="LD251" s="243"/>
      <c r="LE251" s="243"/>
      <c r="LF251" s="243"/>
      <c r="LG251" s="243"/>
      <c r="LH251" s="243"/>
      <c r="LI251" s="243"/>
      <c r="LJ251" s="243"/>
      <c r="LK251" s="243"/>
      <c r="LL251" s="243"/>
      <c r="LM251" s="243"/>
      <c r="LN251" s="243"/>
      <c r="LO251" s="243"/>
      <c r="LP251" s="243"/>
      <c r="LQ251" s="243"/>
      <c r="LR251" s="243"/>
      <c r="LS251" s="243"/>
      <c r="LT251" s="243"/>
      <c r="LU251" s="243"/>
      <c r="LV251" s="243"/>
      <c r="LW251" s="243"/>
      <c r="LX251" s="243"/>
      <c r="LY251" s="243"/>
      <c r="LZ251" s="243"/>
      <c r="MA251" s="243"/>
      <c r="MB251" s="243"/>
      <c r="MC251" s="243"/>
      <c r="MD251" s="243"/>
      <c r="ME251" s="243"/>
      <c r="MF251" s="243"/>
      <c r="MG251" s="243"/>
      <c r="MH251" s="243"/>
      <c r="MI251" s="243"/>
      <c r="MJ251" s="243"/>
      <c r="MK251" s="243"/>
      <c r="ML251" s="243"/>
      <c r="MM251" s="243"/>
      <c r="MN251" s="243"/>
      <c r="MO251" s="243"/>
      <c r="MP251" s="243"/>
      <c r="MQ251" s="243"/>
      <c r="MR251" s="243"/>
      <c r="MS251" s="243"/>
      <c r="MT251" s="243"/>
      <c r="MU251" s="243"/>
      <c r="MV251" s="243"/>
      <c r="MW251" s="243"/>
      <c r="MX251" s="243"/>
      <c r="MY251" s="243"/>
      <c r="MZ251" s="243"/>
      <c r="NA251" s="243"/>
      <c r="NB251" s="243"/>
      <c r="NC251" s="243"/>
      <c r="ND251" s="243"/>
      <c r="NE251" s="243"/>
      <c r="NF251" s="243"/>
      <c r="NG251" s="243"/>
      <c r="NH251" s="243"/>
      <c r="NI251" s="243"/>
      <c r="NJ251" s="243"/>
      <c r="NK251" s="243"/>
      <c r="NL251" s="243"/>
      <c r="NM251" s="243"/>
      <c r="NN251" s="243"/>
      <c r="NO251" s="243"/>
      <c r="NP251" s="243"/>
      <c r="NQ251" s="243"/>
      <c r="NR251" s="243"/>
      <c r="NS251" s="243"/>
      <c r="NT251" s="243"/>
      <c r="NU251" s="243"/>
      <c r="NV251" s="243"/>
      <c r="NW251" s="243"/>
      <c r="NX251" s="243"/>
      <c r="NY251" s="243"/>
      <c r="NZ251" s="243"/>
      <c r="OA251" s="243"/>
      <c r="OB251" s="243"/>
      <c r="OC251" s="243"/>
      <c r="OD251" s="243"/>
      <c r="OE251" s="243"/>
      <c r="OF251" s="243"/>
      <c r="OG251" s="243"/>
      <c r="OH251" s="243"/>
      <c r="OI251" s="243"/>
      <c r="OJ251" s="243"/>
      <c r="OK251" s="243"/>
      <c r="OL251" s="243"/>
      <c r="OM251" s="243"/>
      <c r="ON251" s="243"/>
      <c r="OO251" s="243"/>
      <c r="OP251" s="243"/>
      <c r="OQ251" s="243"/>
      <c r="OR251" s="243"/>
      <c r="OS251" s="243"/>
      <c r="OT251" s="243"/>
      <c r="OU251" s="243"/>
      <c r="OV251" s="243"/>
      <c r="OW251" s="243"/>
      <c r="OX251" s="243"/>
      <c r="OY251" s="243"/>
      <c r="OZ251" s="243"/>
      <c r="PA251" s="243"/>
      <c r="PB251" s="243"/>
      <c r="PC251" s="243"/>
      <c r="PD251" s="243"/>
      <c r="PE251" s="243"/>
      <c r="PF251" s="243"/>
      <c r="PG251" s="243"/>
      <c r="PH251" s="243"/>
      <c r="PI251" s="243"/>
      <c r="PJ251" s="243"/>
      <c r="PK251" s="243"/>
      <c r="PL251" s="243"/>
      <c r="PM251" s="243"/>
      <c r="PN251" s="243"/>
      <c r="PO251" s="243"/>
      <c r="PP251" s="243"/>
      <c r="PQ251" s="243"/>
      <c r="PR251" s="243"/>
      <c r="PS251" s="243"/>
      <c r="PT251" s="243"/>
      <c r="PU251" s="243"/>
      <c r="PV251" s="243"/>
      <c r="PW251" s="243"/>
      <c r="PX251" s="243"/>
      <c r="PY251" s="243"/>
      <c r="PZ251" s="243"/>
      <c r="QA251" s="243"/>
      <c r="QB251" s="243"/>
      <c r="QC251" s="243"/>
      <c r="QD251" s="243"/>
      <c r="QE251" s="243"/>
      <c r="QF251" s="243"/>
      <c r="QG251" s="243"/>
      <c r="QH251" s="243"/>
      <c r="QI251" s="243"/>
      <c r="QJ251" s="243"/>
      <c r="QK251" s="243"/>
      <c r="QL251" s="243"/>
      <c r="QM251" s="243"/>
      <c r="QN251" s="243"/>
      <c r="QO251" s="243"/>
      <c r="QP251" s="243"/>
      <c r="QQ251" s="243"/>
      <c r="QR251" s="243"/>
      <c r="QS251" s="243"/>
      <c r="QT251" s="243"/>
      <c r="QU251" s="243"/>
      <c r="QV251" s="243"/>
      <c r="QW251" s="243"/>
      <c r="QX251" s="243"/>
      <c r="QY251" s="243"/>
      <c r="QZ251" s="243"/>
      <c r="RA251" s="243"/>
      <c r="RB251" s="243"/>
      <c r="RC251" s="243"/>
      <c r="RD251" s="243"/>
      <c r="RE251" s="243"/>
      <c r="RF251" s="243"/>
      <c r="RG251" s="243"/>
      <c r="RH251" s="243"/>
      <c r="RI251" s="243"/>
      <c r="RJ251" s="243"/>
      <c r="RK251" s="243"/>
      <c r="RL251" s="243"/>
      <c r="RM251" s="243"/>
      <c r="RN251" s="243"/>
      <c r="RO251" s="243"/>
      <c r="RP251" s="243"/>
      <c r="RQ251" s="243"/>
      <c r="RR251" s="243"/>
      <c r="RS251" s="243"/>
      <c r="RT251" s="243"/>
      <c r="RU251" s="243"/>
      <c r="RV251" s="243"/>
      <c r="RW251" s="243"/>
      <c r="RX251" s="243"/>
      <c r="RY251" s="243"/>
      <c r="RZ251" s="243"/>
      <c r="SA251" s="243"/>
      <c r="SB251" s="243"/>
      <c r="SC251" s="243"/>
      <c r="SD251" s="243"/>
      <c r="SE251" s="243"/>
      <c r="SF251" s="243"/>
      <c r="SG251" s="243"/>
      <c r="SH251" s="243"/>
      <c r="SI251" s="243"/>
      <c r="SJ251" s="243"/>
      <c r="SK251" s="243"/>
      <c r="SL251" s="243"/>
      <c r="SM251" s="243"/>
      <c r="SN251" s="243"/>
      <c r="SO251" s="243"/>
      <c r="SP251" s="243"/>
      <c r="SQ251" s="243"/>
      <c r="SR251" s="243"/>
      <c r="SS251" s="243"/>
      <c r="ST251" s="243"/>
      <c r="SU251" s="243"/>
      <c r="SV251" s="243"/>
      <c r="SW251" s="243"/>
      <c r="SX251" s="243"/>
      <c r="SY251" s="243"/>
      <c r="SZ251" s="243"/>
      <c r="TA251" s="243"/>
      <c r="TB251" s="243"/>
      <c r="TC251" s="243"/>
      <c r="TD251" s="243"/>
      <c r="TE251" s="243"/>
      <c r="TF251" s="243"/>
      <c r="TG251" s="243"/>
      <c r="TH251" s="243"/>
      <c r="TI251" s="243"/>
      <c r="TJ251" s="243"/>
      <c r="TK251" s="243"/>
      <c r="TL251" s="243"/>
      <c r="TM251" s="243"/>
      <c r="TN251" s="243"/>
      <c r="TO251" s="243"/>
      <c r="TP251" s="243"/>
      <c r="TQ251" s="243"/>
      <c r="TR251" s="243"/>
      <c r="TS251" s="243"/>
      <c r="TT251" s="243"/>
      <c r="TU251" s="243"/>
      <c r="TV251" s="243"/>
      <c r="TW251" s="243"/>
      <c r="TX251" s="243"/>
      <c r="TY251" s="243"/>
      <c r="TZ251" s="243"/>
      <c r="UA251" s="243"/>
      <c r="UB251" s="243"/>
      <c r="UC251" s="243"/>
      <c r="UD251" s="243"/>
      <c r="UE251" s="243"/>
      <c r="UF251" s="243"/>
      <c r="UG251" s="243"/>
      <c r="UH251" s="243"/>
      <c r="UI251" s="243"/>
      <c r="UJ251" s="243"/>
      <c r="UK251" s="243"/>
      <c r="UL251" s="243"/>
      <c r="UM251" s="243"/>
      <c r="UN251" s="243"/>
      <c r="UO251" s="243"/>
      <c r="UP251" s="243"/>
      <c r="UQ251" s="243"/>
      <c r="UR251" s="243"/>
      <c r="US251" s="243"/>
      <c r="UT251" s="243"/>
      <c r="UU251" s="243"/>
      <c r="UV251" s="243"/>
      <c r="UW251" s="243"/>
      <c r="UX251" s="243"/>
      <c r="UY251" s="243"/>
      <c r="UZ251" s="243"/>
      <c r="VA251" s="243"/>
      <c r="VB251" s="243"/>
      <c r="VC251" s="243"/>
      <c r="VD251" s="243"/>
      <c r="VE251" s="243"/>
      <c r="VF251" s="243"/>
      <c r="VG251" s="243"/>
      <c r="VH251" s="243"/>
      <c r="VI251" s="243"/>
      <c r="VJ251" s="243"/>
      <c r="VK251" s="243"/>
      <c r="VL251" s="243"/>
      <c r="VM251" s="243"/>
      <c r="VN251" s="243"/>
      <c r="VO251" s="243"/>
      <c r="VP251" s="243"/>
      <c r="VQ251" s="243"/>
      <c r="VR251" s="243"/>
      <c r="VS251" s="243"/>
      <c r="VT251" s="243"/>
      <c r="VU251" s="243"/>
      <c r="VV251" s="243"/>
      <c r="VW251" s="243"/>
      <c r="VX251" s="243"/>
      <c r="VY251" s="243"/>
      <c r="VZ251" s="243"/>
      <c r="WA251" s="243"/>
      <c r="WB251" s="243"/>
      <c r="WC251" s="243"/>
      <c r="WD251" s="243"/>
      <c r="WE251" s="243"/>
      <c r="WF251" s="243"/>
      <c r="WG251" s="243"/>
      <c r="WH251" s="243"/>
      <c r="WI251" s="243"/>
      <c r="WJ251" s="243"/>
      <c r="WK251" s="243"/>
      <c r="WL251" s="243"/>
      <c r="WM251" s="243"/>
      <c r="WN251" s="243"/>
      <c r="WO251" s="243"/>
      <c r="WP251" s="243"/>
      <c r="WQ251" s="243"/>
      <c r="WR251" s="243"/>
      <c r="WS251" s="243"/>
      <c r="WT251" s="243"/>
      <c r="WU251" s="243"/>
      <c r="WV251" s="243"/>
      <c r="WW251" s="243"/>
      <c r="WX251" s="243"/>
      <c r="WY251" s="243"/>
      <c r="WZ251" s="243"/>
      <c r="XA251" s="243"/>
      <c r="XB251" s="243"/>
      <c r="XC251" s="243"/>
      <c r="XD251" s="243"/>
      <c r="XE251" s="243"/>
      <c r="XF251" s="243"/>
      <c r="XG251" s="243"/>
      <c r="XH251" s="243"/>
      <c r="XI251" s="243"/>
      <c r="XJ251" s="243"/>
      <c r="XK251" s="243"/>
      <c r="XL251" s="243"/>
      <c r="XM251" s="243"/>
      <c r="XN251" s="243"/>
      <c r="XO251" s="243"/>
      <c r="XP251" s="243"/>
      <c r="XQ251" s="243"/>
      <c r="XR251" s="243"/>
      <c r="XS251" s="243"/>
      <c r="XT251" s="243"/>
      <c r="XU251" s="243"/>
      <c r="XV251" s="243"/>
      <c r="XW251" s="243"/>
      <c r="XX251" s="243"/>
      <c r="XY251" s="243"/>
      <c r="XZ251" s="243"/>
      <c r="YA251" s="243"/>
      <c r="YB251" s="243"/>
      <c r="YC251" s="243"/>
      <c r="YD251" s="243"/>
      <c r="YE251" s="243"/>
      <c r="YF251" s="243"/>
      <c r="YG251" s="243"/>
      <c r="YH251" s="243"/>
      <c r="YI251" s="243"/>
      <c r="YJ251" s="243"/>
      <c r="YK251" s="243"/>
      <c r="YL251" s="243"/>
      <c r="YM251" s="243"/>
      <c r="YN251" s="243"/>
      <c r="YO251" s="243"/>
      <c r="YP251" s="243"/>
      <c r="YQ251" s="243"/>
      <c r="YR251" s="243"/>
      <c r="YS251" s="243"/>
      <c r="YT251" s="243"/>
      <c r="YU251" s="243"/>
      <c r="YV251" s="243"/>
      <c r="YW251" s="243"/>
      <c r="YX251" s="243"/>
      <c r="YY251" s="243"/>
      <c r="YZ251" s="243"/>
      <c r="ZA251" s="243"/>
      <c r="ZB251" s="243"/>
      <c r="ZC251" s="243"/>
      <c r="ZD251" s="243"/>
      <c r="ZE251" s="243"/>
      <c r="ZF251" s="243"/>
      <c r="ZG251" s="243"/>
      <c r="ZH251" s="243"/>
      <c r="ZI251" s="243"/>
      <c r="ZJ251" s="243"/>
      <c r="ZK251" s="243"/>
      <c r="ZL251" s="243"/>
      <c r="ZM251" s="243"/>
      <c r="ZN251" s="243"/>
      <c r="ZO251" s="243"/>
      <c r="ZP251" s="243"/>
      <c r="ZQ251" s="243"/>
      <c r="ZR251" s="243"/>
      <c r="ZS251" s="243"/>
      <c r="ZT251" s="243"/>
      <c r="ZU251" s="243"/>
      <c r="ZV251" s="243"/>
      <c r="ZW251" s="243"/>
      <c r="ZX251" s="243"/>
      <c r="ZY251" s="243"/>
      <c r="ZZ251" s="243"/>
      <c r="AAA251" s="243"/>
      <c r="AAB251" s="243"/>
      <c r="AAC251" s="243"/>
      <c r="AAD251" s="243"/>
      <c r="AAE251" s="243"/>
      <c r="AAF251" s="243"/>
      <c r="AAG251" s="243"/>
      <c r="AAH251" s="243"/>
      <c r="AAI251" s="243"/>
      <c r="AAJ251" s="243"/>
      <c r="AAK251" s="243"/>
      <c r="AAL251" s="243"/>
      <c r="AAM251" s="243"/>
      <c r="AAN251" s="243"/>
      <c r="AAO251" s="243"/>
      <c r="AAP251" s="243"/>
      <c r="AAQ251" s="243"/>
      <c r="AAR251" s="243"/>
      <c r="AAS251" s="243"/>
      <c r="AAT251" s="243"/>
      <c r="AAU251" s="243"/>
      <c r="AAV251" s="243"/>
      <c r="AAW251" s="243"/>
      <c r="AAX251" s="243"/>
      <c r="AAY251" s="243"/>
      <c r="AAZ251" s="243"/>
      <c r="ABA251" s="243"/>
      <c r="ABB251" s="243"/>
      <c r="ABC251" s="243"/>
      <c r="ABD251" s="243"/>
      <c r="ABE251" s="243"/>
      <c r="ABF251" s="243"/>
      <c r="ABG251" s="243"/>
      <c r="ABH251" s="243"/>
      <c r="ABI251" s="243"/>
      <c r="ABJ251" s="243"/>
      <c r="ABK251" s="243"/>
      <c r="ABL251" s="243"/>
      <c r="ABM251" s="243"/>
      <c r="ABN251" s="243"/>
      <c r="ABO251" s="243"/>
      <c r="ABP251" s="243"/>
      <c r="ABQ251" s="243"/>
      <c r="ABR251" s="243"/>
      <c r="ABS251" s="243"/>
      <c r="ABT251" s="243"/>
      <c r="ABU251" s="243"/>
      <c r="ABV251" s="243"/>
      <c r="ABW251" s="243"/>
      <c r="ABX251" s="243"/>
      <c r="ABY251" s="243"/>
      <c r="ABZ251" s="243"/>
      <c r="ACA251" s="243"/>
      <c r="ACB251" s="243"/>
      <c r="ACC251" s="243"/>
      <c r="ACD251" s="243"/>
      <c r="ACE251" s="243"/>
      <c r="ACF251" s="243"/>
      <c r="ACG251" s="243"/>
      <c r="ACH251" s="243"/>
      <c r="ACI251" s="243"/>
      <c r="ACJ251" s="243"/>
      <c r="ACK251" s="243"/>
      <c r="ACL251" s="243"/>
      <c r="ACM251" s="243"/>
      <c r="ACN251" s="243"/>
      <c r="ACO251" s="243"/>
      <c r="ACP251" s="243"/>
      <c r="ACQ251" s="243"/>
      <c r="ACR251" s="243"/>
      <c r="ACS251" s="243"/>
      <c r="ACT251" s="243"/>
      <c r="ACU251" s="243"/>
      <c r="ACV251" s="243"/>
      <c r="ACW251" s="243"/>
      <c r="ACX251" s="243"/>
      <c r="ACY251" s="243"/>
      <c r="ACZ251" s="243"/>
      <c r="ADA251" s="243"/>
      <c r="ADB251" s="243"/>
      <c r="ADC251" s="243"/>
      <c r="ADD251" s="243"/>
      <c r="ADE251" s="243"/>
      <c r="ADF251" s="243"/>
      <c r="ADG251" s="243"/>
      <c r="ADH251" s="243"/>
      <c r="ADI251" s="243"/>
      <c r="ADJ251" s="243"/>
      <c r="ADK251" s="243"/>
      <c r="ADL251" s="243"/>
      <c r="ADM251" s="243"/>
      <c r="ADN251" s="243"/>
      <c r="ADO251" s="243"/>
      <c r="ADP251" s="243"/>
      <c r="ADQ251" s="243"/>
      <c r="ADR251" s="243"/>
      <c r="ADS251" s="243"/>
      <c r="ADT251" s="243"/>
      <c r="ADU251" s="243"/>
      <c r="ADV251" s="243"/>
      <c r="ADW251" s="243"/>
      <c r="ADX251" s="243"/>
      <c r="ADY251" s="243"/>
      <c r="ADZ251" s="243"/>
      <c r="AEA251" s="243"/>
      <c r="AEB251" s="243"/>
      <c r="AEC251" s="243"/>
      <c r="AED251" s="243"/>
      <c r="AEE251" s="243"/>
      <c r="AEF251" s="243"/>
      <c r="AEG251" s="243"/>
      <c r="AEH251" s="243"/>
      <c r="AEI251" s="243"/>
      <c r="AEJ251" s="243"/>
      <c r="AEK251" s="243"/>
      <c r="AEL251" s="243"/>
      <c r="AEM251" s="243"/>
      <c r="AEN251" s="243"/>
      <c r="AEO251" s="243"/>
      <c r="AEP251" s="243"/>
      <c r="AEQ251" s="243"/>
      <c r="AER251" s="243"/>
      <c r="AES251" s="243"/>
      <c r="AET251" s="243"/>
      <c r="AEU251" s="243"/>
      <c r="AEV251" s="243"/>
      <c r="AEW251" s="243"/>
      <c r="AEX251" s="243"/>
      <c r="AEY251" s="243"/>
      <c r="AEZ251" s="243"/>
      <c r="AFA251" s="243"/>
      <c r="AFB251" s="243"/>
      <c r="AFC251" s="243"/>
      <c r="AFD251" s="243"/>
      <c r="AFE251" s="243"/>
      <c r="AFF251" s="243"/>
      <c r="AFG251" s="243"/>
      <c r="AFH251" s="243"/>
      <c r="AFI251" s="243"/>
      <c r="AFJ251" s="243"/>
      <c r="AFK251" s="243"/>
      <c r="AFL251" s="243"/>
      <c r="AFM251" s="243"/>
      <c r="AFN251" s="243"/>
      <c r="AFO251" s="243"/>
      <c r="AFP251" s="243"/>
      <c r="AFQ251" s="243"/>
      <c r="AFR251" s="243"/>
      <c r="AFS251" s="243"/>
      <c r="AFT251" s="243"/>
      <c r="AFU251" s="243"/>
      <c r="AFV251" s="243"/>
      <c r="AFW251" s="243"/>
      <c r="AFX251" s="243"/>
      <c r="AFY251" s="243"/>
      <c r="AFZ251" s="243"/>
      <c r="AGA251" s="243"/>
      <c r="AGB251" s="243"/>
      <c r="AGC251" s="243"/>
      <c r="AGD251" s="243"/>
      <c r="AGE251" s="243"/>
      <c r="AGF251" s="243"/>
      <c r="AGG251" s="243"/>
      <c r="AGH251" s="243"/>
      <c r="AGI251" s="243"/>
      <c r="AGJ251" s="243"/>
      <c r="AGK251" s="243"/>
      <c r="AGL251" s="243"/>
      <c r="AGM251" s="243"/>
      <c r="AGN251" s="243"/>
      <c r="AGO251" s="243"/>
      <c r="AGP251" s="243"/>
      <c r="AGQ251" s="243"/>
      <c r="AGR251" s="243"/>
      <c r="AGS251" s="243"/>
      <c r="AGT251" s="243"/>
      <c r="AGU251" s="243"/>
      <c r="AGV251" s="243"/>
      <c r="AGW251" s="243"/>
      <c r="AGX251" s="243"/>
      <c r="AGY251" s="243"/>
      <c r="AGZ251" s="243"/>
      <c r="AHA251" s="243"/>
      <c r="AHB251" s="243"/>
      <c r="AHC251" s="243"/>
      <c r="AHD251" s="243"/>
      <c r="AHE251" s="243"/>
      <c r="AHF251" s="243"/>
      <c r="AHG251" s="243"/>
      <c r="AHH251" s="243"/>
      <c r="AHI251" s="243"/>
      <c r="AHJ251" s="243"/>
      <c r="AHK251" s="243"/>
      <c r="AHL251" s="243"/>
      <c r="AHM251" s="243"/>
      <c r="AHN251" s="243"/>
      <c r="AHO251" s="243"/>
      <c r="AHP251" s="243"/>
      <c r="AHQ251" s="243"/>
      <c r="AHR251" s="243"/>
      <c r="AHS251" s="243"/>
      <c r="AHT251" s="243"/>
      <c r="AHU251" s="243"/>
      <c r="AHV251" s="243"/>
      <c r="AHW251" s="243"/>
      <c r="AHX251" s="243"/>
      <c r="AHY251" s="243"/>
      <c r="AHZ251" s="243"/>
      <c r="AIA251" s="243"/>
      <c r="AIB251" s="243"/>
      <c r="AIC251" s="243"/>
      <c r="AID251" s="243"/>
      <c r="AIE251" s="243"/>
      <c r="AIF251" s="243"/>
      <c r="AIG251" s="243"/>
      <c r="AIH251" s="243"/>
      <c r="AII251" s="243"/>
      <c r="AIJ251" s="243"/>
      <c r="AIK251" s="243"/>
      <c r="AIL251" s="243"/>
      <c r="AIM251" s="243"/>
      <c r="AIN251" s="243"/>
      <c r="AIO251" s="243"/>
      <c r="AIP251" s="243"/>
      <c r="AIQ251" s="243"/>
      <c r="AIR251" s="243"/>
      <c r="AIS251" s="243"/>
      <c r="AIT251" s="243"/>
      <c r="AIU251" s="243"/>
      <c r="AIV251" s="243"/>
      <c r="AIW251" s="243"/>
      <c r="AIX251" s="243"/>
      <c r="AIY251" s="243"/>
      <c r="AIZ251" s="243"/>
      <c r="AJA251" s="243"/>
      <c r="AJB251" s="243"/>
      <c r="AJC251" s="243"/>
      <c r="AJD251" s="243"/>
      <c r="AJE251" s="243"/>
      <c r="AJF251" s="243"/>
      <c r="AJG251" s="243"/>
      <c r="AJH251" s="243"/>
      <c r="AJI251" s="243"/>
      <c r="AJJ251" s="243"/>
      <c r="AJK251" s="243"/>
      <c r="AJL251" s="243"/>
      <c r="AJM251" s="243"/>
      <c r="AJN251" s="243"/>
      <c r="AJO251" s="243"/>
      <c r="AJP251" s="243"/>
      <c r="AJQ251" s="243"/>
      <c r="AJR251" s="243"/>
      <c r="AJS251" s="243"/>
      <c r="AJT251" s="243"/>
      <c r="AJU251" s="243"/>
      <c r="AJV251" s="243"/>
      <c r="AJW251" s="243"/>
      <c r="AJX251" s="243"/>
      <c r="AJY251" s="243"/>
      <c r="AJZ251" s="243"/>
      <c r="AKA251" s="243"/>
      <c r="AKB251" s="243"/>
      <c r="AKC251" s="243"/>
      <c r="AKD251" s="243"/>
      <c r="AKE251" s="243"/>
      <c r="AKF251" s="243"/>
      <c r="AKG251" s="243"/>
      <c r="AKH251" s="243"/>
      <c r="AKI251" s="243"/>
      <c r="AKJ251" s="243"/>
      <c r="AKK251" s="243"/>
      <c r="AKL251" s="243"/>
      <c r="AKM251" s="243"/>
      <c r="AKN251" s="243"/>
      <c r="AKO251" s="243"/>
      <c r="AKP251" s="243"/>
      <c r="AKQ251" s="243"/>
      <c r="AKR251" s="243"/>
      <c r="AKS251" s="243"/>
      <c r="AKT251" s="243"/>
      <c r="AKU251" s="243"/>
      <c r="AKV251" s="243"/>
      <c r="AKW251" s="243"/>
      <c r="AKX251" s="243"/>
      <c r="AKY251" s="243"/>
      <c r="AKZ251" s="243"/>
      <c r="ALA251" s="243"/>
      <c r="ALB251" s="243"/>
      <c r="ALC251" s="243"/>
      <c r="ALD251" s="243"/>
      <c r="ALE251" s="243"/>
      <c r="ALF251" s="243"/>
      <c r="ALG251" s="243"/>
      <c r="ALH251" s="243"/>
      <c r="ALI251" s="243"/>
      <c r="ALJ251" s="243"/>
      <c r="ALK251" s="243"/>
      <c r="ALL251" s="243"/>
      <c r="ALM251" s="243"/>
      <c r="ALN251" s="243"/>
      <c r="ALO251" s="243"/>
      <c r="ALP251" s="243"/>
      <c r="ALQ251" s="243"/>
      <c r="ALR251" s="243"/>
      <c r="ALS251" s="243"/>
      <c r="ALT251" s="243"/>
      <c r="ALU251" s="243"/>
      <c r="ALV251" s="243"/>
      <c r="ALW251" s="243"/>
      <c r="ALX251" s="243"/>
      <c r="ALY251" s="243"/>
      <c r="ALZ251" s="243"/>
      <c r="AMA251" s="243"/>
      <c r="AMB251" s="243"/>
      <c r="AMC251" s="243"/>
      <c r="AMD251" s="243"/>
      <c r="AME251" s="243"/>
      <c r="AMF251" s="243"/>
      <c r="AMG251" s="243"/>
      <c r="AMH251" s="243"/>
      <c r="AMI251" s="244"/>
      <c r="AMJ251" s="244"/>
    </row>
    <row r="252" spans="1:1024">
      <c r="A252" s="1011"/>
      <c r="B252" s="443">
        <v>14059</v>
      </c>
      <c r="C252" s="432">
        <v>0.1</v>
      </c>
      <c r="D252" s="444" t="s">
        <v>168</v>
      </c>
      <c r="E252" s="433">
        <v>2898000</v>
      </c>
      <c r="F252" s="445"/>
      <c r="G252" s="400"/>
      <c r="H252" s="402" t="s">
        <v>123</v>
      </c>
      <c r="I252" s="402" t="s">
        <v>124</v>
      </c>
      <c r="J252" s="402" t="s">
        <v>125</v>
      </c>
      <c r="K252" s="402" t="s">
        <v>136</v>
      </c>
      <c r="L252" s="402" t="s">
        <v>125</v>
      </c>
      <c r="M252" s="377"/>
      <c r="N252" s="377"/>
      <c r="O252" s="377"/>
      <c r="P252" s="377"/>
      <c r="Q252" s="377"/>
      <c r="R252" s="243"/>
      <c r="S252" s="243"/>
      <c r="T252" s="243"/>
      <c r="U252" s="243"/>
      <c r="V252" s="243"/>
      <c r="W252" s="243"/>
      <c r="X252" s="243"/>
      <c r="Y252" s="243"/>
      <c r="Z252" s="243"/>
      <c r="AA252" s="243"/>
      <c r="AB252" s="243"/>
      <c r="AC252" s="243"/>
      <c r="AD252" s="243"/>
      <c r="AE252" s="243"/>
      <c r="AF252" s="243"/>
      <c r="AG252" s="243"/>
      <c r="AH252" s="243"/>
      <c r="AI252" s="243"/>
      <c r="AJ252" s="243"/>
      <c r="AK252" s="243"/>
      <c r="AL252" s="243"/>
      <c r="AM252" s="243"/>
      <c r="AN252" s="243"/>
      <c r="AO252" s="243"/>
      <c r="AP252" s="243"/>
      <c r="AQ252" s="243"/>
      <c r="AR252" s="243"/>
      <c r="AS252" s="243"/>
      <c r="AT252" s="243"/>
      <c r="AU252" s="243"/>
      <c r="AV252" s="243"/>
      <c r="AW252" s="243"/>
      <c r="AX252" s="243"/>
      <c r="AY252" s="243"/>
      <c r="AZ252" s="243"/>
      <c r="BA252" s="243"/>
      <c r="BB252" s="243"/>
      <c r="BC252" s="243"/>
      <c r="BD252" s="243"/>
      <c r="BE252" s="243"/>
      <c r="BF252" s="243"/>
      <c r="BG252" s="243"/>
      <c r="BH252" s="243"/>
      <c r="BI252" s="243"/>
      <c r="BJ252" s="243"/>
      <c r="BK252" s="243"/>
      <c r="BL252" s="243"/>
      <c r="BM252" s="243"/>
      <c r="BN252" s="243"/>
      <c r="BO252" s="243"/>
      <c r="BP252" s="243"/>
      <c r="BQ252" s="243"/>
      <c r="BR252" s="243"/>
      <c r="BS252" s="243"/>
      <c r="BT252" s="243"/>
      <c r="BU252" s="243"/>
      <c r="BV252" s="243"/>
      <c r="BW252" s="243"/>
      <c r="BX252" s="243"/>
      <c r="BY252" s="243"/>
      <c r="BZ252" s="243"/>
      <c r="CA252" s="243"/>
      <c r="CB252" s="243"/>
      <c r="CC252" s="243"/>
      <c r="CD252" s="243"/>
      <c r="CE252" s="243"/>
      <c r="CF252" s="243"/>
      <c r="CG252" s="243"/>
      <c r="CH252" s="243"/>
      <c r="CI252" s="243"/>
      <c r="CJ252" s="243"/>
      <c r="CK252" s="243"/>
      <c r="CL252" s="243"/>
      <c r="CM252" s="243"/>
      <c r="CN252" s="243"/>
      <c r="CO252" s="243"/>
      <c r="CP252" s="243"/>
      <c r="CQ252" s="243"/>
      <c r="CR252" s="243"/>
      <c r="CS252" s="243"/>
      <c r="CT252" s="243"/>
      <c r="CU252" s="243"/>
      <c r="CV252" s="243"/>
      <c r="CW252" s="243"/>
      <c r="CX252" s="243"/>
      <c r="CY252" s="243"/>
      <c r="CZ252" s="243"/>
      <c r="DA252" s="243"/>
      <c r="DB252" s="243"/>
      <c r="DC252" s="243"/>
      <c r="DD252" s="243"/>
      <c r="DE252" s="243"/>
      <c r="DF252" s="243"/>
      <c r="DG252" s="243"/>
      <c r="DH252" s="243"/>
      <c r="DI252" s="243"/>
      <c r="DJ252" s="243"/>
      <c r="DK252" s="243"/>
      <c r="DL252" s="243"/>
      <c r="DM252" s="243"/>
      <c r="DN252" s="243"/>
      <c r="DO252" s="243"/>
      <c r="DP252" s="243"/>
      <c r="DQ252" s="243"/>
      <c r="DR252" s="243"/>
      <c r="DS252" s="243"/>
      <c r="DT252" s="243"/>
      <c r="DU252" s="243"/>
      <c r="DV252" s="243"/>
      <c r="DW252" s="243"/>
      <c r="DX252" s="243"/>
      <c r="DY252" s="243"/>
      <c r="DZ252" s="243"/>
      <c r="EA252" s="243"/>
      <c r="EB252" s="243"/>
      <c r="EC252" s="243"/>
      <c r="ED252" s="243"/>
      <c r="EE252" s="243"/>
      <c r="EF252" s="243"/>
      <c r="EG252" s="243"/>
      <c r="EH252" s="243"/>
      <c r="EI252" s="243"/>
      <c r="EJ252" s="243"/>
      <c r="EK252" s="243"/>
      <c r="EL252" s="243"/>
      <c r="EM252" s="243"/>
      <c r="EN252" s="243"/>
      <c r="EO252" s="243"/>
      <c r="EP252" s="243"/>
      <c r="EQ252" s="243"/>
      <c r="ER252" s="243"/>
      <c r="ES252" s="243"/>
      <c r="ET252" s="243"/>
      <c r="EU252" s="243"/>
      <c r="EV252" s="243"/>
      <c r="EW252" s="243"/>
      <c r="EX252" s="243"/>
      <c r="EY252" s="243"/>
      <c r="EZ252" s="243"/>
      <c r="FA252" s="243"/>
      <c r="FB252" s="243"/>
      <c r="FC252" s="243"/>
      <c r="FD252" s="243"/>
      <c r="FE252" s="243"/>
      <c r="FF252" s="243"/>
      <c r="FG252" s="243"/>
      <c r="FH252" s="243"/>
      <c r="FI252" s="243"/>
      <c r="FJ252" s="243"/>
      <c r="FK252" s="243"/>
      <c r="FL252" s="243"/>
      <c r="FM252" s="243"/>
      <c r="FN252" s="243"/>
      <c r="FO252" s="243"/>
      <c r="FP252" s="243"/>
      <c r="FQ252" s="243"/>
      <c r="FR252" s="243"/>
      <c r="FS252" s="243"/>
      <c r="FT252" s="243"/>
      <c r="FU252" s="243"/>
      <c r="FV252" s="243"/>
      <c r="FW252" s="243"/>
      <c r="FX252" s="243"/>
      <c r="FY252" s="243"/>
      <c r="FZ252" s="243"/>
      <c r="GA252" s="243"/>
      <c r="GB252" s="243"/>
      <c r="GC252" s="243"/>
      <c r="GD252" s="243"/>
      <c r="GE252" s="243"/>
      <c r="GF252" s="243"/>
      <c r="GG252" s="243"/>
      <c r="GH252" s="243"/>
      <c r="GI252" s="243"/>
      <c r="GJ252" s="243"/>
      <c r="GK252" s="243"/>
      <c r="GL252" s="243"/>
      <c r="GM252" s="243"/>
      <c r="GN252" s="243"/>
      <c r="GO252" s="243"/>
      <c r="GP252" s="243"/>
      <c r="GQ252" s="243"/>
      <c r="GR252" s="243"/>
      <c r="GS252" s="243"/>
      <c r="GT252" s="243"/>
      <c r="GU252" s="243"/>
      <c r="GV252" s="243"/>
      <c r="GW252" s="243"/>
      <c r="GX252" s="243"/>
      <c r="GY252" s="243"/>
      <c r="GZ252" s="243"/>
      <c r="HA252" s="243"/>
      <c r="HB252" s="243"/>
      <c r="HC252" s="243"/>
      <c r="HD252" s="243"/>
      <c r="HE252" s="243"/>
      <c r="HF252" s="243"/>
      <c r="HG252" s="243"/>
      <c r="HH252" s="243"/>
      <c r="HI252" s="243"/>
      <c r="HJ252" s="243"/>
      <c r="HK252" s="243"/>
      <c r="HL252" s="243"/>
      <c r="HM252" s="243"/>
      <c r="HN252" s="243"/>
      <c r="HO252" s="243"/>
      <c r="HP252" s="243"/>
      <c r="HQ252" s="243"/>
      <c r="HR252" s="243"/>
      <c r="HS252" s="243"/>
      <c r="HT252" s="243"/>
      <c r="HU252" s="243"/>
      <c r="HV252" s="243"/>
      <c r="HW252" s="243"/>
      <c r="HX252" s="243"/>
      <c r="HY252" s="243"/>
      <c r="HZ252" s="243"/>
      <c r="IA252" s="243"/>
      <c r="IB252" s="243"/>
      <c r="IC252" s="243"/>
      <c r="ID252" s="243"/>
      <c r="IE252" s="243"/>
      <c r="IF252" s="243"/>
      <c r="IG252" s="243"/>
      <c r="IH252" s="243"/>
      <c r="II252" s="243"/>
      <c r="IJ252" s="243"/>
      <c r="IK252" s="243"/>
      <c r="IL252" s="243"/>
      <c r="IM252" s="243"/>
      <c r="IN252" s="243"/>
      <c r="IO252" s="243"/>
      <c r="IP252" s="243"/>
      <c r="IQ252" s="243"/>
      <c r="IR252" s="243"/>
      <c r="IS252" s="243"/>
      <c r="IT252" s="243"/>
      <c r="IU252" s="243"/>
      <c r="IV252" s="243"/>
      <c r="IW252" s="243"/>
      <c r="IX252" s="243"/>
      <c r="IY252" s="243"/>
      <c r="IZ252" s="243"/>
      <c r="JA252" s="243"/>
      <c r="JB252" s="243"/>
      <c r="JC252" s="243"/>
      <c r="JD252" s="243"/>
      <c r="JE252" s="243"/>
      <c r="JF252" s="243"/>
      <c r="JG252" s="243"/>
      <c r="JH252" s="243"/>
      <c r="JI252" s="243"/>
      <c r="JJ252" s="243"/>
      <c r="JK252" s="243"/>
      <c r="JL252" s="243"/>
      <c r="JM252" s="243"/>
      <c r="JN252" s="243"/>
      <c r="JO252" s="243"/>
      <c r="JP252" s="243"/>
      <c r="JQ252" s="243"/>
      <c r="JR252" s="243"/>
      <c r="JS252" s="243"/>
      <c r="JT252" s="243"/>
      <c r="JU252" s="243"/>
      <c r="JV252" s="243"/>
      <c r="JW252" s="243"/>
      <c r="JX252" s="243"/>
      <c r="JY252" s="243"/>
      <c r="JZ252" s="243"/>
      <c r="KA252" s="243"/>
      <c r="KB252" s="243"/>
      <c r="KC252" s="243"/>
      <c r="KD252" s="243"/>
      <c r="KE252" s="243"/>
      <c r="KF252" s="243"/>
      <c r="KG252" s="243"/>
      <c r="KH252" s="243"/>
      <c r="KI252" s="243"/>
      <c r="KJ252" s="243"/>
      <c r="KK252" s="243"/>
      <c r="KL252" s="243"/>
      <c r="KM252" s="243"/>
      <c r="KN252" s="243"/>
      <c r="KO252" s="243"/>
      <c r="KP252" s="243"/>
      <c r="KQ252" s="243"/>
      <c r="KR252" s="243"/>
      <c r="KS252" s="243"/>
      <c r="KT252" s="243"/>
      <c r="KU252" s="243"/>
      <c r="KV252" s="243"/>
      <c r="KW252" s="243"/>
      <c r="KX252" s="243"/>
      <c r="KY252" s="243"/>
      <c r="KZ252" s="243"/>
      <c r="LA252" s="243"/>
      <c r="LB252" s="243"/>
      <c r="LC252" s="243"/>
      <c r="LD252" s="243"/>
      <c r="LE252" s="243"/>
      <c r="LF252" s="243"/>
      <c r="LG252" s="243"/>
      <c r="LH252" s="243"/>
      <c r="LI252" s="243"/>
      <c r="LJ252" s="243"/>
      <c r="LK252" s="243"/>
      <c r="LL252" s="243"/>
      <c r="LM252" s="243"/>
      <c r="LN252" s="243"/>
      <c r="LO252" s="243"/>
      <c r="LP252" s="243"/>
      <c r="LQ252" s="243"/>
      <c r="LR252" s="243"/>
      <c r="LS252" s="243"/>
      <c r="LT252" s="243"/>
      <c r="LU252" s="243"/>
      <c r="LV252" s="243"/>
      <c r="LW252" s="243"/>
      <c r="LX252" s="243"/>
      <c r="LY252" s="243"/>
      <c r="LZ252" s="243"/>
      <c r="MA252" s="243"/>
      <c r="MB252" s="243"/>
      <c r="MC252" s="243"/>
      <c r="MD252" s="243"/>
      <c r="ME252" s="243"/>
      <c r="MF252" s="243"/>
      <c r="MG252" s="243"/>
      <c r="MH252" s="243"/>
      <c r="MI252" s="243"/>
      <c r="MJ252" s="243"/>
      <c r="MK252" s="243"/>
      <c r="ML252" s="243"/>
      <c r="MM252" s="243"/>
      <c r="MN252" s="243"/>
      <c r="MO252" s="243"/>
      <c r="MP252" s="243"/>
      <c r="MQ252" s="243"/>
      <c r="MR252" s="243"/>
      <c r="MS252" s="243"/>
      <c r="MT252" s="243"/>
      <c r="MU252" s="243"/>
      <c r="MV252" s="243"/>
      <c r="MW252" s="243"/>
      <c r="MX252" s="243"/>
      <c r="MY252" s="243"/>
      <c r="MZ252" s="243"/>
      <c r="NA252" s="243"/>
      <c r="NB252" s="243"/>
      <c r="NC252" s="243"/>
      <c r="ND252" s="243"/>
      <c r="NE252" s="243"/>
      <c r="NF252" s="243"/>
      <c r="NG252" s="243"/>
      <c r="NH252" s="243"/>
      <c r="NI252" s="243"/>
      <c r="NJ252" s="243"/>
      <c r="NK252" s="243"/>
      <c r="NL252" s="243"/>
      <c r="NM252" s="243"/>
      <c r="NN252" s="243"/>
      <c r="NO252" s="243"/>
      <c r="NP252" s="243"/>
      <c r="NQ252" s="243"/>
      <c r="NR252" s="243"/>
      <c r="NS252" s="243"/>
      <c r="NT252" s="243"/>
      <c r="NU252" s="243"/>
      <c r="NV252" s="243"/>
      <c r="NW252" s="243"/>
      <c r="NX252" s="243"/>
      <c r="NY252" s="243"/>
      <c r="NZ252" s="243"/>
      <c r="OA252" s="243"/>
      <c r="OB252" s="243"/>
      <c r="OC252" s="243"/>
      <c r="OD252" s="243"/>
      <c r="OE252" s="243"/>
      <c r="OF252" s="243"/>
      <c r="OG252" s="243"/>
      <c r="OH252" s="243"/>
      <c r="OI252" s="243"/>
      <c r="OJ252" s="243"/>
      <c r="OK252" s="243"/>
      <c r="OL252" s="243"/>
      <c r="OM252" s="243"/>
      <c r="ON252" s="243"/>
      <c r="OO252" s="243"/>
      <c r="OP252" s="243"/>
      <c r="OQ252" s="243"/>
      <c r="OR252" s="243"/>
      <c r="OS252" s="243"/>
      <c r="OT252" s="243"/>
      <c r="OU252" s="243"/>
      <c r="OV252" s="243"/>
      <c r="OW252" s="243"/>
      <c r="OX252" s="243"/>
      <c r="OY252" s="243"/>
      <c r="OZ252" s="243"/>
      <c r="PA252" s="243"/>
      <c r="PB252" s="243"/>
      <c r="PC252" s="243"/>
      <c r="PD252" s="243"/>
      <c r="PE252" s="243"/>
      <c r="PF252" s="243"/>
      <c r="PG252" s="243"/>
      <c r="PH252" s="243"/>
      <c r="PI252" s="243"/>
      <c r="PJ252" s="243"/>
      <c r="PK252" s="243"/>
      <c r="PL252" s="243"/>
      <c r="PM252" s="243"/>
      <c r="PN252" s="243"/>
      <c r="PO252" s="243"/>
      <c r="PP252" s="243"/>
      <c r="PQ252" s="243"/>
      <c r="PR252" s="243"/>
      <c r="PS252" s="243"/>
      <c r="PT252" s="243"/>
      <c r="PU252" s="243"/>
      <c r="PV252" s="243"/>
      <c r="PW252" s="243"/>
      <c r="PX252" s="243"/>
      <c r="PY252" s="243"/>
      <c r="PZ252" s="243"/>
      <c r="QA252" s="243"/>
      <c r="QB252" s="243"/>
      <c r="QC252" s="243"/>
      <c r="QD252" s="243"/>
      <c r="QE252" s="243"/>
      <c r="QF252" s="243"/>
      <c r="QG252" s="243"/>
      <c r="QH252" s="243"/>
      <c r="QI252" s="243"/>
      <c r="QJ252" s="243"/>
      <c r="QK252" s="243"/>
      <c r="QL252" s="243"/>
      <c r="QM252" s="243"/>
      <c r="QN252" s="243"/>
      <c r="QO252" s="243"/>
      <c r="QP252" s="243"/>
      <c r="QQ252" s="243"/>
      <c r="QR252" s="243"/>
      <c r="QS252" s="243"/>
      <c r="QT252" s="243"/>
      <c r="QU252" s="243"/>
      <c r="QV252" s="243"/>
      <c r="QW252" s="243"/>
      <c r="QX252" s="243"/>
      <c r="QY252" s="243"/>
      <c r="QZ252" s="243"/>
      <c r="RA252" s="243"/>
      <c r="RB252" s="243"/>
      <c r="RC252" s="243"/>
      <c r="RD252" s="243"/>
      <c r="RE252" s="243"/>
      <c r="RF252" s="243"/>
      <c r="RG252" s="243"/>
      <c r="RH252" s="243"/>
      <c r="RI252" s="243"/>
      <c r="RJ252" s="243"/>
      <c r="RK252" s="243"/>
      <c r="RL252" s="243"/>
      <c r="RM252" s="243"/>
      <c r="RN252" s="243"/>
      <c r="RO252" s="243"/>
      <c r="RP252" s="243"/>
      <c r="RQ252" s="243"/>
      <c r="RR252" s="243"/>
      <c r="RS252" s="243"/>
      <c r="RT252" s="243"/>
      <c r="RU252" s="243"/>
      <c r="RV252" s="243"/>
      <c r="RW252" s="243"/>
      <c r="RX252" s="243"/>
      <c r="RY252" s="243"/>
      <c r="RZ252" s="243"/>
      <c r="SA252" s="243"/>
      <c r="SB252" s="243"/>
      <c r="SC252" s="243"/>
      <c r="SD252" s="243"/>
      <c r="SE252" s="243"/>
      <c r="SF252" s="243"/>
      <c r="SG252" s="243"/>
      <c r="SH252" s="243"/>
      <c r="SI252" s="243"/>
      <c r="SJ252" s="243"/>
      <c r="SK252" s="243"/>
      <c r="SL252" s="243"/>
      <c r="SM252" s="243"/>
      <c r="SN252" s="243"/>
      <c r="SO252" s="243"/>
      <c r="SP252" s="243"/>
      <c r="SQ252" s="243"/>
      <c r="SR252" s="243"/>
      <c r="SS252" s="243"/>
      <c r="ST252" s="243"/>
      <c r="SU252" s="243"/>
      <c r="SV252" s="243"/>
      <c r="SW252" s="243"/>
      <c r="SX252" s="243"/>
      <c r="SY252" s="243"/>
      <c r="SZ252" s="243"/>
      <c r="TA252" s="243"/>
      <c r="TB252" s="243"/>
      <c r="TC252" s="243"/>
      <c r="TD252" s="243"/>
      <c r="TE252" s="243"/>
      <c r="TF252" s="243"/>
      <c r="TG252" s="243"/>
      <c r="TH252" s="243"/>
      <c r="TI252" s="243"/>
      <c r="TJ252" s="243"/>
      <c r="TK252" s="243"/>
      <c r="TL252" s="243"/>
      <c r="TM252" s="243"/>
      <c r="TN252" s="243"/>
      <c r="TO252" s="243"/>
      <c r="TP252" s="243"/>
      <c r="TQ252" s="243"/>
      <c r="TR252" s="243"/>
      <c r="TS252" s="243"/>
      <c r="TT252" s="243"/>
      <c r="TU252" s="243"/>
      <c r="TV252" s="243"/>
      <c r="TW252" s="243"/>
      <c r="TX252" s="243"/>
      <c r="TY252" s="243"/>
      <c r="TZ252" s="243"/>
      <c r="UA252" s="243"/>
      <c r="UB252" s="243"/>
      <c r="UC252" s="243"/>
      <c r="UD252" s="243"/>
      <c r="UE252" s="243"/>
      <c r="UF252" s="243"/>
      <c r="UG252" s="243"/>
      <c r="UH252" s="243"/>
      <c r="UI252" s="243"/>
      <c r="UJ252" s="243"/>
      <c r="UK252" s="243"/>
      <c r="UL252" s="243"/>
      <c r="UM252" s="243"/>
      <c r="UN252" s="243"/>
      <c r="UO252" s="243"/>
      <c r="UP252" s="243"/>
      <c r="UQ252" s="243"/>
      <c r="UR252" s="243"/>
      <c r="US252" s="243"/>
      <c r="UT252" s="243"/>
      <c r="UU252" s="243"/>
      <c r="UV252" s="243"/>
      <c r="UW252" s="243"/>
      <c r="UX252" s="243"/>
      <c r="UY252" s="243"/>
      <c r="UZ252" s="243"/>
      <c r="VA252" s="243"/>
      <c r="VB252" s="243"/>
      <c r="VC252" s="243"/>
      <c r="VD252" s="243"/>
      <c r="VE252" s="243"/>
      <c r="VF252" s="243"/>
      <c r="VG252" s="243"/>
      <c r="VH252" s="243"/>
      <c r="VI252" s="243"/>
      <c r="VJ252" s="243"/>
      <c r="VK252" s="243"/>
      <c r="VL252" s="243"/>
      <c r="VM252" s="243"/>
      <c r="VN252" s="243"/>
      <c r="VO252" s="243"/>
      <c r="VP252" s="243"/>
      <c r="VQ252" s="243"/>
      <c r="VR252" s="243"/>
      <c r="VS252" s="243"/>
      <c r="VT252" s="243"/>
      <c r="VU252" s="243"/>
      <c r="VV252" s="243"/>
      <c r="VW252" s="243"/>
      <c r="VX252" s="243"/>
      <c r="VY252" s="243"/>
      <c r="VZ252" s="243"/>
      <c r="WA252" s="243"/>
      <c r="WB252" s="243"/>
      <c r="WC252" s="243"/>
      <c r="WD252" s="243"/>
      <c r="WE252" s="243"/>
      <c r="WF252" s="243"/>
      <c r="WG252" s="243"/>
      <c r="WH252" s="243"/>
      <c r="WI252" s="243"/>
      <c r="WJ252" s="243"/>
      <c r="WK252" s="243"/>
      <c r="WL252" s="243"/>
      <c r="WM252" s="243"/>
      <c r="WN252" s="243"/>
      <c r="WO252" s="243"/>
      <c r="WP252" s="243"/>
      <c r="WQ252" s="243"/>
      <c r="WR252" s="243"/>
      <c r="WS252" s="243"/>
      <c r="WT252" s="243"/>
      <c r="WU252" s="243"/>
      <c r="WV252" s="243"/>
      <c r="WW252" s="243"/>
      <c r="WX252" s="243"/>
      <c r="WY252" s="243"/>
      <c r="WZ252" s="243"/>
      <c r="XA252" s="243"/>
      <c r="XB252" s="243"/>
      <c r="XC252" s="243"/>
      <c r="XD252" s="243"/>
      <c r="XE252" s="243"/>
      <c r="XF252" s="243"/>
      <c r="XG252" s="243"/>
      <c r="XH252" s="243"/>
      <c r="XI252" s="243"/>
      <c r="XJ252" s="243"/>
      <c r="XK252" s="243"/>
      <c r="XL252" s="243"/>
      <c r="XM252" s="243"/>
      <c r="XN252" s="243"/>
      <c r="XO252" s="243"/>
      <c r="XP252" s="243"/>
      <c r="XQ252" s="243"/>
      <c r="XR252" s="243"/>
      <c r="XS252" s="243"/>
      <c r="XT252" s="243"/>
      <c r="XU252" s="243"/>
      <c r="XV252" s="243"/>
      <c r="XW252" s="243"/>
      <c r="XX252" s="243"/>
      <c r="XY252" s="243"/>
      <c r="XZ252" s="243"/>
      <c r="YA252" s="243"/>
      <c r="YB252" s="243"/>
      <c r="YC252" s="243"/>
      <c r="YD252" s="243"/>
      <c r="YE252" s="243"/>
      <c r="YF252" s="243"/>
      <c r="YG252" s="243"/>
      <c r="YH252" s="243"/>
      <c r="YI252" s="243"/>
      <c r="YJ252" s="243"/>
      <c r="YK252" s="243"/>
      <c r="YL252" s="243"/>
      <c r="YM252" s="243"/>
      <c r="YN252" s="243"/>
      <c r="YO252" s="243"/>
      <c r="YP252" s="243"/>
      <c r="YQ252" s="243"/>
      <c r="YR252" s="243"/>
      <c r="YS252" s="243"/>
      <c r="YT252" s="243"/>
      <c r="YU252" s="243"/>
      <c r="YV252" s="243"/>
      <c r="YW252" s="243"/>
      <c r="YX252" s="243"/>
      <c r="YY252" s="243"/>
      <c r="YZ252" s="243"/>
      <c r="ZA252" s="243"/>
      <c r="ZB252" s="243"/>
      <c r="ZC252" s="243"/>
      <c r="ZD252" s="243"/>
      <c r="ZE252" s="243"/>
      <c r="ZF252" s="243"/>
      <c r="ZG252" s="243"/>
      <c r="ZH252" s="243"/>
      <c r="ZI252" s="243"/>
      <c r="ZJ252" s="243"/>
      <c r="ZK252" s="243"/>
      <c r="ZL252" s="243"/>
      <c r="ZM252" s="243"/>
      <c r="ZN252" s="243"/>
      <c r="ZO252" s="243"/>
      <c r="ZP252" s="243"/>
      <c r="ZQ252" s="243"/>
      <c r="ZR252" s="243"/>
      <c r="ZS252" s="243"/>
      <c r="ZT252" s="243"/>
      <c r="ZU252" s="243"/>
      <c r="ZV252" s="243"/>
      <c r="ZW252" s="243"/>
      <c r="ZX252" s="243"/>
      <c r="ZY252" s="243"/>
      <c r="ZZ252" s="243"/>
      <c r="AAA252" s="243"/>
      <c r="AAB252" s="243"/>
      <c r="AAC252" s="243"/>
      <c r="AAD252" s="243"/>
      <c r="AAE252" s="243"/>
      <c r="AAF252" s="243"/>
      <c r="AAG252" s="243"/>
      <c r="AAH252" s="243"/>
      <c r="AAI252" s="243"/>
      <c r="AAJ252" s="243"/>
      <c r="AAK252" s="243"/>
      <c r="AAL252" s="243"/>
      <c r="AAM252" s="243"/>
      <c r="AAN252" s="243"/>
      <c r="AAO252" s="243"/>
      <c r="AAP252" s="243"/>
      <c r="AAQ252" s="243"/>
      <c r="AAR252" s="243"/>
      <c r="AAS252" s="243"/>
      <c r="AAT252" s="243"/>
      <c r="AAU252" s="243"/>
      <c r="AAV252" s="243"/>
      <c r="AAW252" s="243"/>
      <c r="AAX252" s="243"/>
      <c r="AAY252" s="243"/>
      <c r="AAZ252" s="243"/>
      <c r="ABA252" s="243"/>
      <c r="ABB252" s="243"/>
      <c r="ABC252" s="243"/>
      <c r="ABD252" s="243"/>
      <c r="ABE252" s="243"/>
      <c r="ABF252" s="243"/>
      <c r="ABG252" s="243"/>
      <c r="ABH252" s="243"/>
      <c r="ABI252" s="243"/>
      <c r="ABJ252" s="243"/>
      <c r="ABK252" s="243"/>
      <c r="ABL252" s="243"/>
      <c r="ABM252" s="243"/>
      <c r="ABN252" s="243"/>
      <c r="ABO252" s="243"/>
      <c r="ABP252" s="243"/>
      <c r="ABQ252" s="243"/>
      <c r="ABR252" s="243"/>
      <c r="ABS252" s="243"/>
      <c r="ABT252" s="243"/>
      <c r="ABU252" s="243"/>
      <c r="ABV252" s="243"/>
      <c r="ABW252" s="243"/>
      <c r="ABX252" s="243"/>
      <c r="ABY252" s="243"/>
      <c r="ABZ252" s="243"/>
      <c r="ACA252" s="243"/>
      <c r="ACB252" s="243"/>
      <c r="ACC252" s="243"/>
      <c r="ACD252" s="243"/>
      <c r="ACE252" s="243"/>
      <c r="ACF252" s="243"/>
      <c r="ACG252" s="243"/>
      <c r="ACH252" s="243"/>
      <c r="ACI252" s="243"/>
      <c r="ACJ252" s="243"/>
      <c r="ACK252" s="243"/>
      <c r="ACL252" s="243"/>
      <c r="ACM252" s="243"/>
      <c r="ACN252" s="243"/>
      <c r="ACO252" s="243"/>
      <c r="ACP252" s="243"/>
      <c r="ACQ252" s="243"/>
      <c r="ACR252" s="243"/>
      <c r="ACS252" s="243"/>
      <c r="ACT252" s="243"/>
      <c r="ACU252" s="243"/>
      <c r="ACV252" s="243"/>
      <c r="ACW252" s="243"/>
      <c r="ACX252" s="243"/>
      <c r="ACY252" s="243"/>
      <c r="ACZ252" s="243"/>
      <c r="ADA252" s="243"/>
      <c r="ADB252" s="243"/>
      <c r="ADC252" s="243"/>
      <c r="ADD252" s="243"/>
      <c r="ADE252" s="243"/>
      <c r="ADF252" s="243"/>
      <c r="ADG252" s="243"/>
      <c r="ADH252" s="243"/>
      <c r="ADI252" s="243"/>
      <c r="ADJ252" s="243"/>
      <c r="ADK252" s="243"/>
      <c r="ADL252" s="243"/>
      <c r="ADM252" s="243"/>
      <c r="ADN252" s="243"/>
      <c r="ADO252" s="243"/>
      <c r="ADP252" s="243"/>
      <c r="ADQ252" s="243"/>
      <c r="ADR252" s="243"/>
      <c r="ADS252" s="243"/>
      <c r="ADT252" s="243"/>
      <c r="ADU252" s="243"/>
      <c r="ADV252" s="243"/>
      <c r="ADW252" s="243"/>
      <c r="ADX252" s="243"/>
      <c r="ADY252" s="243"/>
      <c r="ADZ252" s="243"/>
      <c r="AEA252" s="243"/>
      <c r="AEB252" s="243"/>
      <c r="AEC252" s="243"/>
      <c r="AED252" s="243"/>
      <c r="AEE252" s="243"/>
      <c r="AEF252" s="243"/>
      <c r="AEG252" s="243"/>
      <c r="AEH252" s="243"/>
      <c r="AEI252" s="243"/>
      <c r="AEJ252" s="243"/>
      <c r="AEK252" s="243"/>
      <c r="AEL252" s="243"/>
      <c r="AEM252" s="243"/>
      <c r="AEN252" s="243"/>
      <c r="AEO252" s="243"/>
      <c r="AEP252" s="243"/>
      <c r="AEQ252" s="243"/>
      <c r="AER252" s="243"/>
      <c r="AES252" s="243"/>
      <c r="AET252" s="243"/>
      <c r="AEU252" s="243"/>
      <c r="AEV252" s="243"/>
      <c r="AEW252" s="243"/>
      <c r="AEX252" s="243"/>
      <c r="AEY252" s="243"/>
      <c r="AEZ252" s="243"/>
      <c r="AFA252" s="243"/>
      <c r="AFB252" s="243"/>
      <c r="AFC252" s="243"/>
      <c r="AFD252" s="243"/>
      <c r="AFE252" s="243"/>
      <c r="AFF252" s="243"/>
      <c r="AFG252" s="243"/>
      <c r="AFH252" s="243"/>
      <c r="AFI252" s="243"/>
      <c r="AFJ252" s="243"/>
      <c r="AFK252" s="243"/>
      <c r="AFL252" s="243"/>
      <c r="AFM252" s="243"/>
      <c r="AFN252" s="243"/>
      <c r="AFO252" s="243"/>
      <c r="AFP252" s="243"/>
      <c r="AFQ252" s="243"/>
      <c r="AFR252" s="243"/>
      <c r="AFS252" s="243"/>
      <c r="AFT252" s="243"/>
      <c r="AFU252" s="243"/>
      <c r="AFV252" s="243"/>
      <c r="AFW252" s="243"/>
      <c r="AFX252" s="243"/>
      <c r="AFY252" s="243"/>
      <c r="AFZ252" s="243"/>
      <c r="AGA252" s="243"/>
      <c r="AGB252" s="243"/>
      <c r="AGC252" s="243"/>
      <c r="AGD252" s="243"/>
      <c r="AGE252" s="243"/>
      <c r="AGF252" s="243"/>
      <c r="AGG252" s="243"/>
      <c r="AGH252" s="243"/>
      <c r="AGI252" s="243"/>
      <c r="AGJ252" s="243"/>
      <c r="AGK252" s="243"/>
      <c r="AGL252" s="243"/>
      <c r="AGM252" s="243"/>
      <c r="AGN252" s="243"/>
      <c r="AGO252" s="243"/>
      <c r="AGP252" s="243"/>
      <c r="AGQ252" s="243"/>
      <c r="AGR252" s="243"/>
      <c r="AGS252" s="243"/>
      <c r="AGT252" s="243"/>
      <c r="AGU252" s="243"/>
      <c r="AGV252" s="243"/>
      <c r="AGW252" s="243"/>
      <c r="AGX252" s="243"/>
      <c r="AGY252" s="243"/>
      <c r="AGZ252" s="243"/>
      <c r="AHA252" s="243"/>
      <c r="AHB252" s="243"/>
      <c r="AHC252" s="243"/>
      <c r="AHD252" s="243"/>
      <c r="AHE252" s="243"/>
      <c r="AHF252" s="243"/>
      <c r="AHG252" s="243"/>
      <c r="AHH252" s="243"/>
      <c r="AHI252" s="243"/>
      <c r="AHJ252" s="243"/>
      <c r="AHK252" s="243"/>
      <c r="AHL252" s="243"/>
      <c r="AHM252" s="243"/>
      <c r="AHN252" s="243"/>
      <c r="AHO252" s="243"/>
      <c r="AHP252" s="243"/>
      <c r="AHQ252" s="243"/>
      <c r="AHR252" s="243"/>
      <c r="AHS252" s="243"/>
      <c r="AHT252" s="243"/>
      <c r="AHU252" s="243"/>
      <c r="AHV252" s="243"/>
      <c r="AHW252" s="243"/>
      <c r="AHX252" s="243"/>
      <c r="AHY252" s="243"/>
      <c r="AHZ252" s="243"/>
      <c r="AIA252" s="243"/>
      <c r="AIB252" s="243"/>
      <c r="AIC252" s="243"/>
      <c r="AID252" s="243"/>
      <c r="AIE252" s="243"/>
      <c r="AIF252" s="243"/>
      <c r="AIG252" s="243"/>
      <c r="AIH252" s="243"/>
      <c r="AII252" s="243"/>
      <c r="AIJ252" s="243"/>
      <c r="AIK252" s="243"/>
      <c r="AIL252" s="243"/>
      <c r="AIM252" s="243"/>
      <c r="AIN252" s="243"/>
      <c r="AIO252" s="243"/>
      <c r="AIP252" s="243"/>
      <c r="AIQ252" s="243"/>
      <c r="AIR252" s="243"/>
      <c r="AIS252" s="243"/>
      <c r="AIT252" s="243"/>
      <c r="AIU252" s="243"/>
      <c r="AIV252" s="243"/>
      <c r="AIW252" s="243"/>
      <c r="AIX252" s="243"/>
      <c r="AIY252" s="243"/>
      <c r="AIZ252" s="243"/>
      <c r="AJA252" s="243"/>
      <c r="AJB252" s="243"/>
      <c r="AJC252" s="243"/>
      <c r="AJD252" s="243"/>
      <c r="AJE252" s="243"/>
      <c r="AJF252" s="243"/>
      <c r="AJG252" s="243"/>
      <c r="AJH252" s="243"/>
      <c r="AJI252" s="243"/>
      <c r="AJJ252" s="243"/>
      <c r="AJK252" s="243"/>
      <c r="AJL252" s="243"/>
      <c r="AJM252" s="243"/>
      <c r="AJN252" s="243"/>
      <c r="AJO252" s="243"/>
      <c r="AJP252" s="243"/>
      <c r="AJQ252" s="243"/>
      <c r="AJR252" s="243"/>
      <c r="AJS252" s="243"/>
      <c r="AJT252" s="243"/>
      <c r="AJU252" s="243"/>
      <c r="AJV252" s="243"/>
      <c r="AJW252" s="243"/>
      <c r="AJX252" s="243"/>
      <c r="AJY252" s="243"/>
      <c r="AJZ252" s="243"/>
      <c r="AKA252" s="243"/>
      <c r="AKB252" s="243"/>
      <c r="AKC252" s="243"/>
      <c r="AKD252" s="243"/>
      <c r="AKE252" s="243"/>
      <c r="AKF252" s="243"/>
      <c r="AKG252" s="243"/>
      <c r="AKH252" s="243"/>
      <c r="AKI252" s="243"/>
      <c r="AKJ252" s="243"/>
      <c r="AKK252" s="243"/>
      <c r="AKL252" s="243"/>
      <c r="AKM252" s="243"/>
      <c r="AKN252" s="243"/>
      <c r="AKO252" s="243"/>
      <c r="AKP252" s="243"/>
      <c r="AKQ252" s="243"/>
      <c r="AKR252" s="243"/>
      <c r="AKS252" s="243"/>
      <c r="AKT252" s="243"/>
      <c r="AKU252" s="243"/>
      <c r="AKV252" s="243"/>
      <c r="AKW252" s="243"/>
      <c r="AKX252" s="243"/>
      <c r="AKY252" s="243"/>
      <c r="AKZ252" s="243"/>
      <c r="ALA252" s="243"/>
      <c r="ALB252" s="243"/>
      <c r="ALC252" s="243"/>
      <c r="ALD252" s="243"/>
      <c r="ALE252" s="243"/>
      <c r="ALF252" s="243"/>
      <c r="ALG252" s="243"/>
      <c r="ALH252" s="243"/>
      <c r="ALI252" s="243"/>
      <c r="ALJ252" s="243"/>
      <c r="ALK252" s="243"/>
      <c r="ALL252" s="243"/>
      <c r="ALM252" s="243"/>
      <c r="ALN252" s="243"/>
      <c r="ALO252" s="243"/>
      <c r="ALP252" s="243"/>
      <c r="ALQ252" s="243"/>
      <c r="ALR252" s="243"/>
      <c r="ALS252" s="243"/>
      <c r="ALT252" s="243"/>
      <c r="ALU252" s="243"/>
      <c r="ALV252" s="243"/>
      <c r="ALW252" s="243"/>
      <c r="ALX252" s="243"/>
      <c r="ALY252" s="243"/>
      <c r="ALZ252" s="243"/>
      <c r="AMA252" s="243"/>
      <c r="AMB252" s="243"/>
      <c r="AMC252" s="243"/>
      <c r="AMD252" s="243"/>
      <c r="AME252" s="243"/>
      <c r="AMF252" s="243"/>
      <c r="AMG252" s="243"/>
      <c r="AMH252" s="243"/>
      <c r="AMI252" s="244"/>
      <c r="AMJ252" s="244"/>
    </row>
    <row r="253" spans="1:1024">
      <c r="A253" s="1011"/>
      <c r="B253" s="378"/>
      <c r="C253" s="379"/>
      <c r="D253" s="278"/>
      <c r="E253" s="375"/>
      <c r="F253" s="246"/>
      <c r="G253" s="246"/>
      <c r="H253" s="376"/>
      <c r="I253" s="376"/>
      <c r="J253" s="376"/>
      <c r="K253" s="376"/>
      <c r="L253" s="376"/>
      <c r="M253" s="377"/>
      <c r="N253" s="377"/>
      <c r="O253" s="377"/>
      <c r="P253" s="377"/>
      <c r="Q253" s="377"/>
      <c r="R253" s="243"/>
      <c r="S253" s="243"/>
      <c r="T253" s="243"/>
      <c r="U253" s="243"/>
      <c r="V253" s="243"/>
      <c r="W253" s="243"/>
      <c r="X253" s="243"/>
      <c r="Y253" s="243"/>
      <c r="Z253" s="243"/>
      <c r="AA253" s="243"/>
      <c r="AB253" s="243"/>
      <c r="AC253" s="243"/>
      <c r="AD253" s="243"/>
      <c r="AE253" s="243"/>
      <c r="AF253" s="243"/>
      <c r="AG253" s="243"/>
      <c r="AH253" s="243"/>
      <c r="AI253" s="243"/>
      <c r="AJ253" s="243"/>
      <c r="AK253" s="243"/>
      <c r="AL253" s="243"/>
      <c r="AM253" s="243"/>
      <c r="AN253" s="243"/>
      <c r="AO253" s="243"/>
      <c r="AP253" s="243"/>
      <c r="AQ253" s="243"/>
      <c r="AR253" s="243"/>
      <c r="AS253" s="243"/>
      <c r="AT253" s="243"/>
      <c r="AU253" s="243"/>
      <c r="AV253" s="243"/>
      <c r="AW253" s="243"/>
      <c r="AX253" s="243"/>
      <c r="AY253" s="243"/>
      <c r="AZ253" s="243"/>
      <c r="BA253" s="243"/>
      <c r="BB253" s="243"/>
      <c r="BC253" s="243"/>
      <c r="BD253" s="243"/>
      <c r="BE253" s="243"/>
      <c r="BF253" s="243"/>
      <c r="BG253" s="243"/>
      <c r="BH253" s="243"/>
      <c r="BI253" s="243"/>
      <c r="BJ253" s="243"/>
      <c r="BK253" s="243"/>
      <c r="BL253" s="243"/>
      <c r="BM253" s="243"/>
      <c r="BN253" s="243"/>
      <c r="BO253" s="243"/>
      <c r="BP253" s="243"/>
      <c r="BQ253" s="243"/>
      <c r="BR253" s="243"/>
      <c r="BS253" s="243"/>
      <c r="BT253" s="243"/>
      <c r="BU253" s="243"/>
      <c r="BV253" s="243"/>
      <c r="BW253" s="243"/>
      <c r="BX253" s="243"/>
      <c r="BY253" s="243"/>
      <c r="BZ253" s="243"/>
      <c r="CA253" s="243"/>
      <c r="CB253" s="243"/>
      <c r="CC253" s="243"/>
      <c r="CD253" s="243"/>
      <c r="CE253" s="243"/>
      <c r="CF253" s="243"/>
      <c r="CG253" s="243"/>
      <c r="CH253" s="243"/>
      <c r="CI253" s="243"/>
      <c r="CJ253" s="243"/>
      <c r="CK253" s="243"/>
      <c r="CL253" s="243"/>
      <c r="CM253" s="243"/>
      <c r="CN253" s="243"/>
      <c r="CO253" s="243"/>
      <c r="CP253" s="243"/>
      <c r="CQ253" s="243"/>
      <c r="CR253" s="243"/>
      <c r="CS253" s="243"/>
      <c r="CT253" s="243"/>
      <c r="CU253" s="243"/>
      <c r="CV253" s="243"/>
      <c r="CW253" s="243"/>
      <c r="CX253" s="243"/>
      <c r="CY253" s="243"/>
      <c r="CZ253" s="243"/>
      <c r="DA253" s="243"/>
      <c r="DB253" s="243"/>
      <c r="DC253" s="243"/>
      <c r="DD253" s="243"/>
      <c r="DE253" s="243"/>
      <c r="DF253" s="243"/>
      <c r="DG253" s="243"/>
      <c r="DH253" s="243"/>
      <c r="DI253" s="243"/>
      <c r="DJ253" s="243"/>
      <c r="DK253" s="243"/>
      <c r="DL253" s="243"/>
      <c r="DM253" s="243"/>
      <c r="DN253" s="243"/>
      <c r="DO253" s="243"/>
      <c r="DP253" s="243"/>
      <c r="DQ253" s="243"/>
      <c r="DR253" s="243"/>
      <c r="DS253" s="243"/>
      <c r="DT253" s="243"/>
      <c r="DU253" s="243"/>
      <c r="DV253" s="243"/>
      <c r="DW253" s="243"/>
      <c r="DX253" s="243"/>
      <c r="DY253" s="243"/>
      <c r="DZ253" s="243"/>
      <c r="EA253" s="243"/>
      <c r="EB253" s="243"/>
      <c r="EC253" s="243"/>
      <c r="ED253" s="243"/>
      <c r="EE253" s="243"/>
      <c r="EF253" s="243"/>
      <c r="EG253" s="243"/>
      <c r="EH253" s="243"/>
      <c r="EI253" s="243"/>
      <c r="EJ253" s="243"/>
      <c r="EK253" s="243"/>
      <c r="EL253" s="243"/>
      <c r="EM253" s="243"/>
      <c r="EN253" s="243"/>
      <c r="EO253" s="243"/>
      <c r="EP253" s="243"/>
      <c r="EQ253" s="243"/>
      <c r="ER253" s="243"/>
      <c r="ES253" s="243"/>
      <c r="ET253" s="243"/>
      <c r="EU253" s="243"/>
      <c r="EV253" s="243"/>
      <c r="EW253" s="243"/>
      <c r="EX253" s="243"/>
      <c r="EY253" s="243"/>
      <c r="EZ253" s="243"/>
      <c r="FA253" s="243"/>
      <c r="FB253" s="243"/>
      <c r="FC253" s="243"/>
      <c r="FD253" s="243"/>
      <c r="FE253" s="243"/>
      <c r="FF253" s="243"/>
      <c r="FG253" s="243"/>
      <c r="FH253" s="243"/>
      <c r="FI253" s="243"/>
      <c r="FJ253" s="243"/>
      <c r="FK253" s="243"/>
      <c r="FL253" s="243"/>
      <c r="FM253" s="243"/>
      <c r="FN253" s="243"/>
      <c r="FO253" s="243"/>
      <c r="FP253" s="243"/>
      <c r="FQ253" s="243"/>
      <c r="FR253" s="243"/>
      <c r="FS253" s="243"/>
      <c r="FT253" s="243"/>
      <c r="FU253" s="243"/>
      <c r="FV253" s="243"/>
      <c r="FW253" s="243"/>
      <c r="FX253" s="243"/>
      <c r="FY253" s="243"/>
      <c r="FZ253" s="243"/>
      <c r="GA253" s="243"/>
      <c r="GB253" s="243"/>
      <c r="GC253" s="243"/>
      <c r="GD253" s="243"/>
      <c r="GE253" s="243"/>
      <c r="GF253" s="243"/>
      <c r="GG253" s="243"/>
      <c r="GH253" s="243"/>
      <c r="GI253" s="243"/>
      <c r="GJ253" s="243"/>
      <c r="GK253" s="243"/>
      <c r="GL253" s="243"/>
      <c r="GM253" s="243"/>
      <c r="GN253" s="243"/>
      <c r="GO253" s="243"/>
      <c r="GP253" s="243"/>
      <c r="GQ253" s="243"/>
      <c r="GR253" s="243"/>
      <c r="GS253" s="243"/>
      <c r="GT253" s="243"/>
      <c r="GU253" s="243"/>
      <c r="GV253" s="243"/>
      <c r="GW253" s="243"/>
      <c r="GX253" s="243"/>
      <c r="GY253" s="243"/>
      <c r="GZ253" s="243"/>
      <c r="HA253" s="243"/>
      <c r="HB253" s="243"/>
      <c r="HC253" s="243"/>
      <c r="HD253" s="243"/>
      <c r="HE253" s="243"/>
      <c r="HF253" s="243"/>
      <c r="HG253" s="243"/>
      <c r="HH253" s="243"/>
      <c r="HI253" s="243"/>
      <c r="HJ253" s="243"/>
      <c r="HK253" s="243"/>
      <c r="HL253" s="243"/>
      <c r="HM253" s="243"/>
      <c r="HN253" s="243"/>
      <c r="HO253" s="243"/>
      <c r="HP253" s="243"/>
      <c r="HQ253" s="243"/>
      <c r="HR253" s="243"/>
      <c r="HS253" s="243"/>
      <c r="HT253" s="243"/>
      <c r="HU253" s="243"/>
      <c r="HV253" s="243"/>
      <c r="HW253" s="243"/>
      <c r="HX253" s="243"/>
      <c r="HY253" s="243"/>
      <c r="HZ253" s="243"/>
      <c r="IA253" s="243"/>
      <c r="IB253" s="243"/>
      <c r="IC253" s="243"/>
      <c r="ID253" s="243"/>
      <c r="IE253" s="243"/>
      <c r="IF253" s="243"/>
      <c r="IG253" s="243"/>
      <c r="IH253" s="243"/>
      <c r="II253" s="243"/>
      <c r="IJ253" s="243"/>
      <c r="IK253" s="243"/>
      <c r="IL253" s="243"/>
      <c r="IM253" s="243"/>
      <c r="IN253" s="243"/>
      <c r="IO253" s="243"/>
      <c r="IP253" s="243"/>
      <c r="IQ253" s="243"/>
      <c r="IR253" s="243"/>
      <c r="IS253" s="243"/>
      <c r="IT253" s="243"/>
      <c r="IU253" s="243"/>
      <c r="IV253" s="243"/>
      <c r="IW253" s="243"/>
      <c r="IX253" s="243"/>
      <c r="IY253" s="243"/>
      <c r="IZ253" s="243"/>
      <c r="JA253" s="243"/>
      <c r="JB253" s="243"/>
      <c r="JC253" s="243"/>
      <c r="JD253" s="243"/>
      <c r="JE253" s="243"/>
      <c r="JF253" s="243"/>
      <c r="JG253" s="243"/>
      <c r="JH253" s="243"/>
      <c r="JI253" s="243"/>
      <c r="JJ253" s="243"/>
      <c r="JK253" s="243"/>
      <c r="JL253" s="243"/>
      <c r="JM253" s="243"/>
      <c r="JN253" s="243"/>
      <c r="JO253" s="243"/>
      <c r="JP253" s="243"/>
      <c r="JQ253" s="243"/>
      <c r="JR253" s="243"/>
      <c r="JS253" s="243"/>
      <c r="JT253" s="243"/>
      <c r="JU253" s="243"/>
      <c r="JV253" s="243"/>
      <c r="JW253" s="243"/>
      <c r="JX253" s="243"/>
      <c r="JY253" s="243"/>
      <c r="JZ253" s="243"/>
      <c r="KA253" s="243"/>
      <c r="KB253" s="243"/>
      <c r="KC253" s="243"/>
      <c r="KD253" s="243"/>
      <c r="KE253" s="243"/>
      <c r="KF253" s="243"/>
      <c r="KG253" s="243"/>
      <c r="KH253" s="243"/>
      <c r="KI253" s="243"/>
      <c r="KJ253" s="243"/>
      <c r="KK253" s="243"/>
      <c r="KL253" s="243"/>
      <c r="KM253" s="243"/>
      <c r="KN253" s="243"/>
      <c r="KO253" s="243"/>
      <c r="KP253" s="243"/>
      <c r="KQ253" s="243"/>
      <c r="KR253" s="243"/>
      <c r="KS253" s="243"/>
      <c r="KT253" s="243"/>
      <c r="KU253" s="243"/>
      <c r="KV253" s="243"/>
      <c r="KW253" s="243"/>
      <c r="KX253" s="243"/>
      <c r="KY253" s="243"/>
      <c r="KZ253" s="243"/>
      <c r="LA253" s="243"/>
      <c r="LB253" s="243"/>
      <c r="LC253" s="243"/>
      <c r="LD253" s="243"/>
      <c r="LE253" s="243"/>
      <c r="LF253" s="243"/>
      <c r="LG253" s="243"/>
      <c r="LH253" s="243"/>
      <c r="LI253" s="243"/>
      <c r="LJ253" s="243"/>
      <c r="LK253" s="243"/>
      <c r="LL253" s="243"/>
      <c r="LM253" s="243"/>
      <c r="LN253" s="243"/>
      <c r="LO253" s="243"/>
      <c r="LP253" s="243"/>
      <c r="LQ253" s="243"/>
      <c r="LR253" s="243"/>
      <c r="LS253" s="243"/>
      <c r="LT253" s="243"/>
      <c r="LU253" s="243"/>
      <c r="LV253" s="243"/>
      <c r="LW253" s="243"/>
      <c r="LX253" s="243"/>
      <c r="LY253" s="243"/>
      <c r="LZ253" s="243"/>
      <c r="MA253" s="243"/>
      <c r="MB253" s="243"/>
      <c r="MC253" s="243"/>
      <c r="MD253" s="243"/>
      <c r="ME253" s="243"/>
      <c r="MF253" s="243"/>
      <c r="MG253" s="243"/>
      <c r="MH253" s="243"/>
      <c r="MI253" s="243"/>
      <c r="MJ253" s="243"/>
      <c r="MK253" s="243"/>
      <c r="ML253" s="243"/>
      <c r="MM253" s="243"/>
      <c r="MN253" s="243"/>
      <c r="MO253" s="243"/>
      <c r="MP253" s="243"/>
      <c r="MQ253" s="243"/>
      <c r="MR253" s="243"/>
      <c r="MS253" s="243"/>
      <c r="MT253" s="243"/>
      <c r="MU253" s="243"/>
      <c r="MV253" s="243"/>
      <c r="MW253" s="243"/>
      <c r="MX253" s="243"/>
      <c r="MY253" s="243"/>
      <c r="MZ253" s="243"/>
      <c r="NA253" s="243"/>
      <c r="NB253" s="243"/>
      <c r="NC253" s="243"/>
      <c r="ND253" s="243"/>
      <c r="NE253" s="243"/>
      <c r="NF253" s="243"/>
      <c r="NG253" s="243"/>
      <c r="NH253" s="243"/>
      <c r="NI253" s="243"/>
      <c r="NJ253" s="243"/>
      <c r="NK253" s="243"/>
      <c r="NL253" s="243"/>
      <c r="NM253" s="243"/>
      <c r="NN253" s="243"/>
      <c r="NO253" s="243"/>
      <c r="NP253" s="243"/>
      <c r="NQ253" s="243"/>
      <c r="NR253" s="243"/>
      <c r="NS253" s="243"/>
      <c r="NT253" s="243"/>
      <c r="NU253" s="243"/>
      <c r="NV253" s="243"/>
      <c r="NW253" s="243"/>
      <c r="NX253" s="243"/>
      <c r="NY253" s="243"/>
      <c r="NZ253" s="243"/>
      <c r="OA253" s="243"/>
      <c r="OB253" s="243"/>
      <c r="OC253" s="243"/>
      <c r="OD253" s="243"/>
      <c r="OE253" s="243"/>
      <c r="OF253" s="243"/>
      <c r="OG253" s="243"/>
      <c r="OH253" s="243"/>
      <c r="OI253" s="243"/>
      <c r="OJ253" s="243"/>
      <c r="OK253" s="243"/>
      <c r="OL253" s="243"/>
      <c r="OM253" s="243"/>
      <c r="ON253" s="243"/>
      <c r="OO253" s="243"/>
      <c r="OP253" s="243"/>
      <c r="OQ253" s="243"/>
      <c r="OR253" s="243"/>
      <c r="OS253" s="243"/>
      <c r="OT253" s="243"/>
      <c r="OU253" s="243"/>
      <c r="OV253" s="243"/>
      <c r="OW253" s="243"/>
      <c r="OX253" s="243"/>
      <c r="OY253" s="243"/>
      <c r="OZ253" s="243"/>
      <c r="PA253" s="243"/>
      <c r="PB253" s="243"/>
      <c r="PC253" s="243"/>
      <c r="PD253" s="243"/>
      <c r="PE253" s="243"/>
      <c r="PF253" s="243"/>
      <c r="PG253" s="243"/>
      <c r="PH253" s="243"/>
      <c r="PI253" s="243"/>
      <c r="PJ253" s="243"/>
      <c r="PK253" s="243"/>
      <c r="PL253" s="243"/>
      <c r="PM253" s="243"/>
      <c r="PN253" s="243"/>
      <c r="PO253" s="243"/>
      <c r="PP253" s="243"/>
      <c r="PQ253" s="243"/>
      <c r="PR253" s="243"/>
      <c r="PS253" s="243"/>
      <c r="PT253" s="243"/>
      <c r="PU253" s="243"/>
      <c r="PV253" s="243"/>
      <c r="PW253" s="243"/>
      <c r="PX253" s="243"/>
      <c r="PY253" s="243"/>
      <c r="PZ253" s="243"/>
      <c r="QA253" s="243"/>
      <c r="QB253" s="243"/>
      <c r="QC253" s="243"/>
      <c r="QD253" s="243"/>
      <c r="QE253" s="243"/>
      <c r="QF253" s="243"/>
      <c r="QG253" s="243"/>
      <c r="QH253" s="243"/>
      <c r="QI253" s="243"/>
      <c r="QJ253" s="243"/>
      <c r="QK253" s="243"/>
      <c r="QL253" s="243"/>
      <c r="QM253" s="243"/>
      <c r="QN253" s="243"/>
      <c r="QO253" s="243"/>
      <c r="QP253" s="243"/>
      <c r="QQ253" s="243"/>
      <c r="QR253" s="243"/>
      <c r="QS253" s="243"/>
      <c r="QT253" s="243"/>
      <c r="QU253" s="243"/>
      <c r="QV253" s="243"/>
      <c r="QW253" s="243"/>
      <c r="QX253" s="243"/>
      <c r="QY253" s="243"/>
      <c r="QZ253" s="243"/>
      <c r="RA253" s="243"/>
      <c r="RB253" s="243"/>
      <c r="RC253" s="243"/>
      <c r="RD253" s="243"/>
      <c r="RE253" s="243"/>
      <c r="RF253" s="243"/>
      <c r="RG253" s="243"/>
      <c r="RH253" s="243"/>
      <c r="RI253" s="243"/>
      <c r="RJ253" s="243"/>
      <c r="RK253" s="243"/>
      <c r="RL253" s="243"/>
      <c r="RM253" s="243"/>
      <c r="RN253" s="243"/>
      <c r="RO253" s="243"/>
      <c r="RP253" s="243"/>
      <c r="RQ253" s="243"/>
      <c r="RR253" s="243"/>
      <c r="RS253" s="243"/>
      <c r="RT253" s="243"/>
      <c r="RU253" s="243"/>
      <c r="RV253" s="243"/>
      <c r="RW253" s="243"/>
      <c r="RX253" s="243"/>
      <c r="RY253" s="243"/>
      <c r="RZ253" s="243"/>
      <c r="SA253" s="243"/>
      <c r="SB253" s="243"/>
      <c r="SC253" s="243"/>
      <c r="SD253" s="243"/>
      <c r="SE253" s="243"/>
      <c r="SF253" s="243"/>
      <c r="SG253" s="243"/>
      <c r="SH253" s="243"/>
      <c r="SI253" s="243"/>
      <c r="SJ253" s="243"/>
      <c r="SK253" s="243"/>
      <c r="SL253" s="243"/>
      <c r="SM253" s="243"/>
      <c r="SN253" s="243"/>
      <c r="SO253" s="243"/>
      <c r="SP253" s="243"/>
      <c r="SQ253" s="243"/>
      <c r="SR253" s="243"/>
      <c r="SS253" s="243"/>
      <c r="ST253" s="243"/>
      <c r="SU253" s="243"/>
      <c r="SV253" s="243"/>
      <c r="SW253" s="243"/>
      <c r="SX253" s="243"/>
      <c r="SY253" s="243"/>
      <c r="SZ253" s="243"/>
      <c r="TA253" s="243"/>
      <c r="TB253" s="243"/>
      <c r="TC253" s="243"/>
      <c r="TD253" s="243"/>
      <c r="TE253" s="243"/>
      <c r="TF253" s="243"/>
      <c r="TG253" s="243"/>
      <c r="TH253" s="243"/>
      <c r="TI253" s="243"/>
      <c r="TJ253" s="243"/>
      <c r="TK253" s="243"/>
      <c r="TL253" s="243"/>
      <c r="TM253" s="243"/>
      <c r="TN253" s="243"/>
      <c r="TO253" s="243"/>
      <c r="TP253" s="243"/>
      <c r="TQ253" s="243"/>
      <c r="TR253" s="243"/>
      <c r="TS253" s="243"/>
      <c r="TT253" s="243"/>
      <c r="TU253" s="243"/>
      <c r="TV253" s="243"/>
      <c r="TW253" s="243"/>
      <c r="TX253" s="243"/>
      <c r="TY253" s="243"/>
      <c r="TZ253" s="243"/>
      <c r="UA253" s="243"/>
      <c r="UB253" s="243"/>
      <c r="UC253" s="243"/>
      <c r="UD253" s="243"/>
      <c r="UE253" s="243"/>
      <c r="UF253" s="243"/>
      <c r="UG253" s="243"/>
      <c r="UH253" s="243"/>
      <c r="UI253" s="243"/>
      <c r="UJ253" s="243"/>
      <c r="UK253" s="243"/>
      <c r="UL253" s="243"/>
      <c r="UM253" s="243"/>
      <c r="UN253" s="243"/>
      <c r="UO253" s="243"/>
      <c r="UP253" s="243"/>
      <c r="UQ253" s="243"/>
      <c r="UR253" s="243"/>
      <c r="US253" s="243"/>
      <c r="UT253" s="243"/>
      <c r="UU253" s="243"/>
      <c r="UV253" s="243"/>
      <c r="UW253" s="243"/>
      <c r="UX253" s="243"/>
      <c r="UY253" s="243"/>
      <c r="UZ253" s="243"/>
      <c r="VA253" s="243"/>
      <c r="VB253" s="243"/>
      <c r="VC253" s="243"/>
      <c r="VD253" s="243"/>
      <c r="VE253" s="243"/>
      <c r="VF253" s="243"/>
      <c r="VG253" s="243"/>
      <c r="VH253" s="243"/>
      <c r="VI253" s="243"/>
      <c r="VJ253" s="243"/>
      <c r="VK253" s="243"/>
      <c r="VL253" s="243"/>
      <c r="VM253" s="243"/>
      <c r="VN253" s="243"/>
      <c r="VO253" s="243"/>
      <c r="VP253" s="243"/>
      <c r="VQ253" s="243"/>
      <c r="VR253" s="243"/>
      <c r="VS253" s="243"/>
      <c r="VT253" s="243"/>
      <c r="VU253" s="243"/>
      <c r="VV253" s="243"/>
      <c r="VW253" s="243"/>
      <c r="VX253" s="243"/>
      <c r="VY253" s="243"/>
      <c r="VZ253" s="243"/>
      <c r="WA253" s="243"/>
      <c r="WB253" s="243"/>
      <c r="WC253" s="243"/>
      <c r="WD253" s="243"/>
      <c r="WE253" s="243"/>
      <c r="WF253" s="243"/>
      <c r="WG253" s="243"/>
      <c r="WH253" s="243"/>
      <c r="WI253" s="243"/>
      <c r="WJ253" s="243"/>
      <c r="WK253" s="243"/>
      <c r="WL253" s="243"/>
      <c r="WM253" s="243"/>
      <c r="WN253" s="243"/>
      <c r="WO253" s="243"/>
      <c r="WP253" s="243"/>
      <c r="WQ253" s="243"/>
      <c r="WR253" s="243"/>
      <c r="WS253" s="243"/>
      <c r="WT253" s="243"/>
      <c r="WU253" s="243"/>
      <c r="WV253" s="243"/>
      <c r="WW253" s="243"/>
      <c r="WX253" s="243"/>
      <c r="WY253" s="243"/>
      <c r="WZ253" s="243"/>
      <c r="XA253" s="243"/>
      <c r="XB253" s="243"/>
      <c r="XC253" s="243"/>
      <c r="XD253" s="243"/>
      <c r="XE253" s="243"/>
      <c r="XF253" s="243"/>
      <c r="XG253" s="243"/>
      <c r="XH253" s="243"/>
      <c r="XI253" s="243"/>
      <c r="XJ253" s="243"/>
      <c r="XK253" s="243"/>
      <c r="XL253" s="243"/>
      <c r="XM253" s="243"/>
      <c r="XN253" s="243"/>
      <c r="XO253" s="243"/>
      <c r="XP253" s="243"/>
      <c r="XQ253" s="243"/>
      <c r="XR253" s="243"/>
      <c r="XS253" s="243"/>
      <c r="XT253" s="243"/>
      <c r="XU253" s="243"/>
      <c r="XV253" s="243"/>
      <c r="XW253" s="243"/>
      <c r="XX253" s="243"/>
      <c r="XY253" s="243"/>
      <c r="XZ253" s="243"/>
      <c r="YA253" s="243"/>
      <c r="YB253" s="243"/>
      <c r="YC253" s="243"/>
      <c r="YD253" s="243"/>
      <c r="YE253" s="243"/>
      <c r="YF253" s="243"/>
      <c r="YG253" s="243"/>
      <c r="YH253" s="243"/>
      <c r="YI253" s="243"/>
      <c r="YJ253" s="243"/>
      <c r="YK253" s="243"/>
      <c r="YL253" s="243"/>
      <c r="YM253" s="243"/>
      <c r="YN253" s="243"/>
      <c r="YO253" s="243"/>
      <c r="YP253" s="243"/>
      <c r="YQ253" s="243"/>
      <c r="YR253" s="243"/>
      <c r="YS253" s="243"/>
      <c r="YT253" s="243"/>
      <c r="YU253" s="243"/>
      <c r="YV253" s="243"/>
      <c r="YW253" s="243"/>
      <c r="YX253" s="243"/>
      <c r="YY253" s="243"/>
      <c r="YZ253" s="243"/>
      <c r="ZA253" s="243"/>
      <c r="ZB253" s="243"/>
      <c r="ZC253" s="243"/>
      <c r="ZD253" s="243"/>
      <c r="ZE253" s="243"/>
      <c r="ZF253" s="243"/>
      <c r="ZG253" s="243"/>
      <c r="ZH253" s="243"/>
      <c r="ZI253" s="243"/>
      <c r="ZJ253" s="243"/>
      <c r="ZK253" s="243"/>
      <c r="ZL253" s="243"/>
      <c r="ZM253" s="243"/>
      <c r="ZN253" s="243"/>
      <c r="ZO253" s="243"/>
      <c r="ZP253" s="243"/>
      <c r="ZQ253" s="243"/>
      <c r="ZR253" s="243"/>
      <c r="ZS253" s="243"/>
      <c r="ZT253" s="243"/>
      <c r="ZU253" s="243"/>
      <c r="ZV253" s="243"/>
      <c r="ZW253" s="243"/>
      <c r="ZX253" s="243"/>
      <c r="ZY253" s="243"/>
      <c r="ZZ253" s="243"/>
      <c r="AAA253" s="243"/>
      <c r="AAB253" s="243"/>
      <c r="AAC253" s="243"/>
      <c r="AAD253" s="243"/>
      <c r="AAE253" s="243"/>
      <c r="AAF253" s="243"/>
      <c r="AAG253" s="243"/>
      <c r="AAH253" s="243"/>
      <c r="AAI253" s="243"/>
      <c r="AAJ253" s="243"/>
      <c r="AAK253" s="243"/>
      <c r="AAL253" s="243"/>
      <c r="AAM253" s="243"/>
      <c r="AAN253" s="243"/>
      <c r="AAO253" s="243"/>
      <c r="AAP253" s="243"/>
      <c r="AAQ253" s="243"/>
      <c r="AAR253" s="243"/>
      <c r="AAS253" s="243"/>
      <c r="AAT253" s="243"/>
      <c r="AAU253" s="243"/>
      <c r="AAV253" s="243"/>
      <c r="AAW253" s="243"/>
      <c r="AAX253" s="243"/>
      <c r="AAY253" s="243"/>
      <c r="AAZ253" s="243"/>
      <c r="ABA253" s="243"/>
      <c r="ABB253" s="243"/>
      <c r="ABC253" s="243"/>
      <c r="ABD253" s="243"/>
      <c r="ABE253" s="243"/>
      <c r="ABF253" s="243"/>
      <c r="ABG253" s="243"/>
      <c r="ABH253" s="243"/>
      <c r="ABI253" s="243"/>
      <c r="ABJ253" s="243"/>
      <c r="ABK253" s="243"/>
      <c r="ABL253" s="243"/>
      <c r="ABM253" s="243"/>
      <c r="ABN253" s="243"/>
      <c r="ABO253" s="243"/>
      <c r="ABP253" s="243"/>
      <c r="ABQ253" s="243"/>
      <c r="ABR253" s="243"/>
      <c r="ABS253" s="243"/>
      <c r="ABT253" s="243"/>
      <c r="ABU253" s="243"/>
      <c r="ABV253" s="243"/>
      <c r="ABW253" s="243"/>
      <c r="ABX253" s="243"/>
      <c r="ABY253" s="243"/>
      <c r="ABZ253" s="243"/>
      <c r="ACA253" s="243"/>
      <c r="ACB253" s="243"/>
      <c r="ACC253" s="243"/>
      <c r="ACD253" s="243"/>
      <c r="ACE253" s="243"/>
      <c r="ACF253" s="243"/>
      <c r="ACG253" s="243"/>
      <c r="ACH253" s="243"/>
      <c r="ACI253" s="243"/>
      <c r="ACJ253" s="243"/>
      <c r="ACK253" s="243"/>
      <c r="ACL253" s="243"/>
      <c r="ACM253" s="243"/>
      <c r="ACN253" s="243"/>
      <c r="ACO253" s="243"/>
      <c r="ACP253" s="243"/>
      <c r="ACQ253" s="243"/>
      <c r="ACR253" s="243"/>
      <c r="ACS253" s="243"/>
      <c r="ACT253" s="243"/>
      <c r="ACU253" s="243"/>
      <c r="ACV253" s="243"/>
      <c r="ACW253" s="243"/>
      <c r="ACX253" s="243"/>
      <c r="ACY253" s="243"/>
      <c r="ACZ253" s="243"/>
      <c r="ADA253" s="243"/>
      <c r="ADB253" s="243"/>
      <c r="ADC253" s="243"/>
      <c r="ADD253" s="243"/>
      <c r="ADE253" s="243"/>
      <c r="ADF253" s="243"/>
      <c r="ADG253" s="243"/>
      <c r="ADH253" s="243"/>
      <c r="ADI253" s="243"/>
      <c r="ADJ253" s="243"/>
      <c r="ADK253" s="243"/>
      <c r="ADL253" s="243"/>
      <c r="ADM253" s="243"/>
      <c r="ADN253" s="243"/>
      <c r="ADO253" s="243"/>
      <c r="ADP253" s="243"/>
      <c r="ADQ253" s="243"/>
      <c r="ADR253" s="243"/>
      <c r="ADS253" s="243"/>
      <c r="ADT253" s="243"/>
      <c r="ADU253" s="243"/>
      <c r="ADV253" s="243"/>
      <c r="ADW253" s="243"/>
      <c r="ADX253" s="243"/>
      <c r="ADY253" s="243"/>
      <c r="ADZ253" s="243"/>
      <c r="AEA253" s="243"/>
      <c r="AEB253" s="243"/>
      <c r="AEC253" s="243"/>
      <c r="AED253" s="243"/>
      <c r="AEE253" s="243"/>
      <c r="AEF253" s="243"/>
      <c r="AEG253" s="243"/>
      <c r="AEH253" s="243"/>
      <c r="AEI253" s="243"/>
      <c r="AEJ253" s="243"/>
      <c r="AEK253" s="243"/>
      <c r="AEL253" s="243"/>
      <c r="AEM253" s="243"/>
      <c r="AEN253" s="243"/>
      <c r="AEO253" s="243"/>
      <c r="AEP253" s="243"/>
      <c r="AEQ253" s="243"/>
      <c r="AER253" s="243"/>
      <c r="AES253" s="243"/>
      <c r="AET253" s="243"/>
      <c r="AEU253" s="243"/>
      <c r="AEV253" s="243"/>
      <c r="AEW253" s="243"/>
      <c r="AEX253" s="243"/>
      <c r="AEY253" s="243"/>
      <c r="AEZ253" s="243"/>
      <c r="AFA253" s="243"/>
      <c r="AFB253" s="243"/>
      <c r="AFC253" s="243"/>
      <c r="AFD253" s="243"/>
      <c r="AFE253" s="243"/>
      <c r="AFF253" s="243"/>
      <c r="AFG253" s="243"/>
      <c r="AFH253" s="243"/>
      <c r="AFI253" s="243"/>
      <c r="AFJ253" s="243"/>
      <c r="AFK253" s="243"/>
      <c r="AFL253" s="243"/>
      <c r="AFM253" s="243"/>
      <c r="AFN253" s="243"/>
      <c r="AFO253" s="243"/>
      <c r="AFP253" s="243"/>
      <c r="AFQ253" s="243"/>
      <c r="AFR253" s="243"/>
      <c r="AFS253" s="243"/>
      <c r="AFT253" s="243"/>
      <c r="AFU253" s="243"/>
      <c r="AFV253" s="243"/>
      <c r="AFW253" s="243"/>
      <c r="AFX253" s="243"/>
      <c r="AFY253" s="243"/>
      <c r="AFZ253" s="243"/>
      <c r="AGA253" s="243"/>
      <c r="AGB253" s="243"/>
      <c r="AGC253" s="243"/>
      <c r="AGD253" s="243"/>
      <c r="AGE253" s="243"/>
      <c r="AGF253" s="243"/>
      <c r="AGG253" s="243"/>
      <c r="AGH253" s="243"/>
      <c r="AGI253" s="243"/>
      <c r="AGJ253" s="243"/>
      <c r="AGK253" s="243"/>
      <c r="AGL253" s="243"/>
      <c r="AGM253" s="243"/>
      <c r="AGN253" s="243"/>
      <c r="AGO253" s="243"/>
      <c r="AGP253" s="243"/>
      <c r="AGQ253" s="243"/>
      <c r="AGR253" s="243"/>
      <c r="AGS253" s="243"/>
      <c r="AGT253" s="243"/>
      <c r="AGU253" s="243"/>
      <c r="AGV253" s="243"/>
      <c r="AGW253" s="243"/>
      <c r="AGX253" s="243"/>
      <c r="AGY253" s="243"/>
      <c r="AGZ253" s="243"/>
      <c r="AHA253" s="243"/>
      <c r="AHB253" s="243"/>
      <c r="AHC253" s="243"/>
      <c r="AHD253" s="243"/>
      <c r="AHE253" s="243"/>
      <c r="AHF253" s="243"/>
      <c r="AHG253" s="243"/>
      <c r="AHH253" s="243"/>
      <c r="AHI253" s="243"/>
      <c r="AHJ253" s="243"/>
      <c r="AHK253" s="243"/>
      <c r="AHL253" s="243"/>
      <c r="AHM253" s="243"/>
      <c r="AHN253" s="243"/>
      <c r="AHO253" s="243"/>
      <c r="AHP253" s="243"/>
      <c r="AHQ253" s="243"/>
      <c r="AHR253" s="243"/>
      <c r="AHS253" s="243"/>
      <c r="AHT253" s="243"/>
      <c r="AHU253" s="243"/>
      <c r="AHV253" s="243"/>
      <c r="AHW253" s="243"/>
      <c r="AHX253" s="243"/>
      <c r="AHY253" s="243"/>
      <c r="AHZ253" s="243"/>
      <c r="AIA253" s="243"/>
      <c r="AIB253" s="243"/>
      <c r="AIC253" s="243"/>
      <c r="AID253" s="243"/>
      <c r="AIE253" s="243"/>
      <c r="AIF253" s="243"/>
      <c r="AIG253" s="243"/>
      <c r="AIH253" s="243"/>
      <c r="AII253" s="243"/>
      <c r="AIJ253" s="243"/>
      <c r="AIK253" s="243"/>
      <c r="AIL253" s="243"/>
      <c r="AIM253" s="243"/>
      <c r="AIN253" s="243"/>
      <c r="AIO253" s="243"/>
      <c r="AIP253" s="243"/>
      <c r="AIQ253" s="243"/>
      <c r="AIR253" s="243"/>
      <c r="AIS253" s="243"/>
      <c r="AIT253" s="243"/>
      <c r="AIU253" s="243"/>
      <c r="AIV253" s="243"/>
      <c r="AIW253" s="243"/>
      <c r="AIX253" s="243"/>
      <c r="AIY253" s="243"/>
      <c r="AIZ253" s="243"/>
      <c r="AJA253" s="243"/>
      <c r="AJB253" s="243"/>
      <c r="AJC253" s="243"/>
      <c r="AJD253" s="243"/>
      <c r="AJE253" s="243"/>
      <c r="AJF253" s="243"/>
      <c r="AJG253" s="243"/>
      <c r="AJH253" s="243"/>
      <c r="AJI253" s="243"/>
      <c r="AJJ253" s="243"/>
      <c r="AJK253" s="243"/>
      <c r="AJL253" s="243"/>
      <c r="AJM253" s="243"/>
      <c r="AJN253" s="243"/>
      <c r="AJO253" s="243"/>
      <c r="AJP253" s="243"/>
      <c r="AJQ253" s="243"/>
      <c r="AJR253" s="243"/>
      <c r="AJS253" s="243"/>
      <c r="AJT253" s="243"/>
      <c r="AJU253" s="243"/>
      <c r="AJV253" s="243"/>
      <c r="AJW253" s="243"/>
      <c r="AJX253" s="243"/>
      <c r="AJY253" s="243"/>
      <c r="AJZ253" s="243"/>
      <c r="AKA253" s="243"/>
      <c r="AKB253" s="243"/>
      <c r="AKC253" s="243"/>
      <c r="AKD253" s="243"/>
      <c r="AKE253" s="243"/>
      <c r="AKF253" s="243"/>
      <c r="AKG253" s="243"/>
      <c r="AKH253" s="243"/>
      <c r="AKI253" s="243"/>
      <c r="AKJ253" s="243"/>
      <c r="AKK253" s="243"/>
      <c r="AKL253" s="243"/>
      <c r="AKM253" s="243"/>
      <c r="AKN253" s="243"/>
      <c r="AKO253" s="243"/>
      <c r="AKP253" s="243"/>
      <c r="AKQ253" s="243"/>
      <c r="AKR253" s="243"/>
      <c r="AKS253" s="243"/>
      <c r="AKT253" s="243"/>
      <c r="AKU253" s="243"/>
      <c r="AKV253" s="243"/>
      <c r="AKW253" s="243"/>
      <c r="AKX253" s="243"/>
      <c r="AKY253" s="243"/>
      <c r="AKZ253" s="243"/>
      <c r="ALA253" s="243"/>
      <c r="ALB253" s="243"/>
      <c r="ALC253" s="243"/>
      <c r="ALD253" s="243"/>
      <c r="ALE253" s="243"/>
      <c r="ALF253" s="243"/>
      <c r="ALG253" s="243"/>
      <c r="ALH253" s="243"/>
      <c r="ALI253" s="243"/>
      <c r="ALJ253" s="243"/>
      <c r="ALK253" s="243"/>
      <c r="ALL253" s="243"/>
      <c r="ALM253" s="243"/>
      <c r="ALN253" s="243"/>
      <c r="ALO253" s="243"/>
      <c r="ALP253" s="243"/>
      <c r="ALQ253" s="243"/>
      <c r="ALR253" s="243"/>
      <c r="ALS253" s="243"/>
      <c r="ALT253" s="243"/>
      <c r="ALU253" s="243"/>
      <c r="ALV253" s="243"/>
      <c r="ALW253" s="243"/>
      <c r="ALX253" s="243"/>
      <c r="ALY253" s="243"/>
      <c r="ALZ253" s="243"/>
      <c r="AMA253" s="243"/>
      <c r="AMB253" s="243"/>
      <c r="AMC253" s="243"/>
      <c r="AMD253" s="243"/>
      <c r="AME253" s="243"/>
      <c r="AMF253" s="243"/>
      <c r="AMG253" s="243"/>
      <c r="AMH253" s="243"/>
      <c r="AMI253" s="244"/>
      <c r="AMJ253" s="244"/>
    </row>
    <row r="254" spans="1:1024">
      <c r="A254" s="1012" t="s">
        <v>26</v>
      </c>
      <c r="B254" s="1013"/>
      <c r="C254" s="1013"/>
      <c r="D254" s="1014"/>
      <c r="E254" s="441">
        <f>SUM(E252:E253)</f>
        <v>2898000</v>
      </c>
      <c r="F254" s="384" t="s">
        <v>26</v>
      </c>
      <c r="G254" s="385">
        <v>0</v>
      </c>
      <c r="H254" s="1015"/>
      <c r="I254" s="1015"/>
      <c r="J254" s="1015"/>
      <c r="K254" s="1015"/>
      <c r="L254" s="1015"/>
      <c r="M254" s="1015"/>
      <c r="N254" s="1016" t="s">
        <v>27</v>
      </c>
      <c r="O254" s="1017"/>
      <c r="P254" s="1018"/>
      <c r="Q254" s="386" t="e">
        <v>#REF!</v>
      </c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  <c r="AH254" s="243"/>
      <c r="AI254" s="243"/>
      <c r="AJ254" s="243"/>
      <c r="AK254" s="243"/>
      <c r="AL254" s="243"/>
      <c r="AM254" s="243"/>
      <c r="AN254" s="243"/>
      <c r="AO254" s="243"/>
      <c r="AP254" s="243"/>
      <c r="AQ254" s="243"/>
      <c r="AR254" s="243"/>
      <c r="AS254" s="243"/>
      <c r="AT254" s="243"/>
      <c r="AU254" s="243"/>
      <c r="AV254" s="243"/>
      <c r="AW254" s="243"/>
      <c r="AX254" s="243"/>
      <c r="AY254" s="243"/>
      <c r="AZ254" s="243"/>
      <c r="BA254" s="243"/>
      <c r="BB254" s="243"/>
      <c r="BC254" s="243"/>
      <c r="BD254" s="243"/>
      <c r="BE254" s="243"/>
      <c r="BF254" s="243"/>
      <c r="BG254" s="243"/>
      <c r="BH254" s="243"/>
      <c r="BI254" s="243"/>
      <c r="BJ254" s="243"/>
      <c r="BK254" s="243"/>
      <c r="BL254" s="243"/>
      <c r="BM254" s="243"/>
      <c r="BN254" s="243"/>
      <c r="BO254" s="243"/>
      <c r="BP254" s="243"/>
      <c r="BQ254" s="243"/>
      <c r="BR254" s="243"/>
      <c r="BS254" s="243"/>
      <c r="BT254" s="243"/>
      <c r="BU254" s="243"/>
      <c r="BV254" s="243"/>
      <c r="BW254" s="243"/>
      <c r="BX254" s="243"/>
      <c r="BY254" s="243"/>
      <c r="BZ254" s="243"/>
      <c r="CA254" s="243"/>
      <c r="CB254" s="243"/>
      <c r="CC254" s="243"/>
      <c r="CD254" s="243"/>
      <c r="CE254" s="243"/>
      <c r="CF254" s="243"/>
      <c r="CG254" s="243"/>
      <c r="CH254" s="243"/>
      <c r="CI254" s="243"/>
      <c r="CJ254" s="243"/>
      <c r="CK254" s="243"/>
      <c r="CL254" s="243"/>
      <c r="CM254" s="243"/>
      <c r="CN254" s="243"/>
      <c r="CO254" s="243"/>
      <c r="CP254" s="243"/>
      <c r="CQ254" s="243"/>
      <c r="CR254" s="243"/>
      <c r="CS254" s="243"/>
      <c r="CT254" s="243"/>
      <c r="CU254" s="243"/>
      <c r="CV254" s="243"/>
      <c r="CW254" s="243"/>
      <c r="CX254" s="243"/>
      <c r="CY254" s="243"/>
      <c r="CZ254" s="243"/>
      <c r="DA254" s="243"/>
      <c r="DB254" s="243"/>
      <c r="DC254" s="243"/>
      <c r="DD254" s="243"/>
      <c r="DE254" s="243"/>
      <c r="DF254" s="243"/>
      <c r="DG254" s="243"/>
      <c r="DH254" s="243"/>
      <c r="DI254" s="243"/>
      <c r="DJ254" s="243"/>
      <c r="DK254" s="243"/>
      <c r="DL254" s="243"/>
      <c r="DM254" s="243"/>
      <c r="DN254" s="243"/>
      <c r="DO254" s="243"/>
      <c r="DP254" s="243"/>
      <c r="DQ254" s="243"/>
      <c r="DR254" s="243"/>
      <c r="DS254" s="243"/>
      <c r="DT254" s="243"/>
      <c r="DU254" s="243"/>
      <c r="DV254" s="243"/>
      <c r="DW254" s="243"/>
      <c r="DX254" s="243"/>
      <c r="DY254" s="243"/>
      <c r="DZ254" s="243"/>
      <c r="EA254" s="243"/>
      <c r="EB254" s="243"/>
      <c r="EC254" s="243"/>
      <c r="ED254" s="243"/>
      <c r="EE254" s="243"/>
      <c r="EF254" s="243"/>
      <c r="EG254" s="243"/>
      <c r="EH254" s="243"/>
      <c r="EI254" s="243"/>
      <c r="EJ254" s="243"/>
      <c r="EK254" s="243"/>
      <c r="EL254" s="243"/>
      <c r="EM254" s="243"/>
      <c r="EN254" s="243"/>
      <c r="EO254" s="243"/>
      <c r="EP254" s="243"/>
      <c r="EQ254" s="243"/>
      <c r="ER254" s="243"/>
      <c r="ES254" s="243"/>
      <c r="ET254" s="243"/>
      <c r="EU254" s="243"/>
      <c r="EV254" s="243"/>
      <c r="EW254" s="243"/>
      <c r="EX254" s="243"/>
      <c r="EY254" s="243"/>
      <c r="EZ254" s="243"/>
      <c r="FA254" s="243"/>
      <c r="FB254" s="243"/>
      <c r="FC254" s="243"/>
      <c r="FD254" s="243"/>
      <c r="FE254" s="243"/>
      <c r="FF254" s="243"/>
      <c r="FG254" s="243"/>
      <c r="FH254" s="243"/>
      <c r="FI254" s="243"/>
      <c r="FJ254" s="243"/>
      <c r="FK254" s="243"/>
      <c r="FL254" s="243"/>
      <c r="FM254" s="243"/>
      <c r="FN254" s="243"/>
      <c r="FO254" s="243"/>
      <c r="FP254" s="243"/>
      <c r="FQ254" s="243"/>
      <c r="FR254" s="243"/>
      <c r="FS254" s="243"/>
      <c r="FT254" s="243"/>
      <c r="FU254" s="243"/>
      <c r="FV254" s="243"/>
      <c r="FW254" s="243"/>
      <c r="FX254" s="243"/>
      <c r="FY254" s="243"/>
      <c r="FZ254" s="243"/>
      <c r="GA254" s="243"/>
      <c r="GB254" s="243"/>
      <c r="GC254" s="243"/>
      <c r="GD254" s="243"/>
      <c r="GE254" s="243"/>
      <c r="GF254" s="243"/>
      <c r="GG254" s="243"/>
      <c r="GH254" s="243"/>
      <c r="GI254" s="243"/>
      <c r="GJ254" s="243"/>
      <c r="GK254" s="243"/>
      <c r="GL254" s="243"/>
      <c r="GM254" s="243"/>
      <c r="GN254" s="243"/>
      <c r="GO254" s="243"/>
      <c r="GP254" s="243"/>
      <c r="GQ254" s="243"/>
      <c r="GR254" s="243"/>
      <c r="GS254" s="243"/>
      <c r="GT254" s="243"/>
      <c r="GU254" s="243"/>
      <c r="GV254" s="243"/>
      <c r="GW254" s="243"/>
      <c r="GX254" s="243"/>
      <c r="GY254" s="243"/>
      <c r="GZ254" s="243"/>
      <c r="HA254" s="243"/>
      <c r="HB254" s="243"/>
      <c r="HC254" s="243"/>
      <c r="HD254" s="243"/>
      <c r="HE254" s="243"/>
      <c r="HF254" s="243"/>
      <c r="HG254" s="243"/>
      <c r="HH254" s="243"/>
      <c r="HI254" s="243"/>
      <c r="HJ254" s="243"/>
      <c r="HK254" s="243"/>
      <c r="HL254" s="243"/>
      <c r="HM254" s="243"/>
      <c r="HN254" s="243"/>
      <c r="HO254" s="243"/>
      <c r="HP254" s="243"/>
      <c r="HQ254" s="243"/>
      <c r="HR254" s="243"/>
      <c r="HS254" s="243"/>
      <c r="HT254" s="243"/>
      <c r="HU254" s="243"/>
      <c r="HV254" s="243"/>
      <c r="HW254" s="243"/>
      <c r="HX254" s="243"/>
      <c r="HY254" s="243"/>
      <c r="HZ254" s="243"/>
      <c r="IA254" s="243"/>
      <c r="IB254" s="243"/>
      <c r="IC254" s="243"/>
      <c r="ID254" s="243"/>
      <c r="IE254" s="243"/>
      <c r="IF254" s="243"/>
      <c r="IG254" s="243"/>
      <c r="IH254" s="243"/>
      <c r="II254" s="243"/>
      <c r="IJ254" s="243"/>
      <c r="IK254" s="243"/>
      <c r="IL254" s="243"/>
      <c r="IM254" s="243"/>
      <c r="IN254" s="243"/>
      <c r="IO254" s="243"/>
      <c r="IP254" s="243"/>
      <c r="IQ254" s="243"/>
      <c r="IR254" s="243"/>
      <c r="IS254" s="243"/>
      <c r="IT254" s="243"/>
      <c r="IU254" s="243"/>
      <c r="IV254" s="243"/>
      <c r="IW254" s="243"/>
      <c r="IX254" s="243"/>
      <c r="IY254" s="243"/>
      <c r="IZ254" s="243"/>
      <c r="JA254" s="243"/>
      <c r="JB254" s="243"/>
      <c r="JC254" s="243"/>
      <c r="JD254" s="243"/>
      <c r="JE254" s="243"/>
      <c r="JF254" s="243"/>
      <c r="JG254" s="243"/>
      <c r="JH254" s="243"/>
      <c r="JI254" s="243"/>
      <c r="JJ254" s="243"/>
      <c r="JK254" s="243"/>
      <c r="JL254" s="243"/>
      <c r="JM254" s="243"/>
      <c r="JN254" s="243"/>
      <c r="JO254" s="243"/>
      <c r="JP254" s="243"/>
      <c r="JQ254" s="243"/>
      <c r="JR254" s="243"/>
      <c r="JS254" s="243"/>
      <c r="JT254" s="243"/>
      <c r="JU254" s="243"/>
      <c r="JV254" s="243"/>
      <c r="JW254" s="243"/>
      <c r="JX254" s="243"/>
      <c r="JY254" s="243"/>
      <c r="JZ254" s="243"/>
      <c r="KA254" s="243"/>
      <c r="KB254" s="243"/>
      <c r="KC254" s="243"/>
      <c r="KD254" s="243"/>
      <c r="KE254" s="243"/>
      <c r="KF254" s="243"/>
      <c r="KG254" s="243"/>
      <c r="KH254" s="243"/>
      <c r="KI254" s="243"/>
      <c r="KJ254" s="243"/>
      <c r="KK254" s="243"/>
      <c r="KL254" s="243"/>
      <c r="KM254" s="243"/>
      <c r="KN254" s="243"/>
      <c r="KO254" s="243"/>
      <c r="KP254" s="243"/>
      <c r="KQ254" s="243"/>
      <c r="KR254" s="243"/>
      <c r="KS254" s="243"/>
      <c r="KT254" s="243"/>
      <c r="KU254" s="243"/>
      <c r="KV254" s="243"/>
      <c r="KW254" s="243"/>
      <c r="KX254" s="243"/>
      <c r="KY254" s="243"/>
      <c r="KZ254" s="243"/>
      <c r="LA254" s="243"/>
      <c r="LB254" s="243"/>
      <c r="LC254" s="243"/>
      <c r="LD254" s="243"/>
      <c r="LE254" s="243"/>
      <c r="LF254" s="243"/>
      <c r="LG254" s="243"/>
      <c r="LH254" s="243"/>
      <c r="LI254" s="243"/>
      <c r="LJ254" s="243"/>
      <c r="LK254" s="243"/>
      <c r="LL254" s="243"/>
      <c r="LM254" s="243"/>
      <c r="LN254" s="243"/>
      <c r="LO254" s="243"/>
      <c r="LP254" s="243"/>
      <c r="LQ254" s="243"/>
      <c r="LR254" s="243"/>
      <c r="LS254" s="243"/>
      <c r="LT254" s="243"/>
      <c r="LU254" s="243"/>
      <c r="LV254" s="243"/>
      <c r="LW254" s="243"/>
      <c r="LX254" s="243"/>
      <c r="LY254" s="243"/>
      <c r="LZ254" s="243"/>
      <c r="MA254" s="243"/>
      <c r="MB254" s="243"/>
      <c r="MC254" s="243"/>
      <c r="MD254" s="243"/>
      <c r="ME254" s="243"/>
      <c r="MF254" s="243"/>
      <c r="MG254" s="243"/>
      <c r="MH254" s="243"/>
      <c r="MI254" s="243"/>
      <c r="MJ254" s="243"/>
      <c r="MK254" s="243"/>
      <c r="ML254" s="243"/>
      <c r="MM254" s="243"/>
      <c r="MN254" s="243"/>
      <c r="MO254" s="243"/>
      <c r="MP254" s="243"/>
      <c r="MQ254" s="243"/>
      <c r="MR254" s="243"/>
      <c r="MS254" s="243"/>
      <c r="MT254" s="243"/>
      <c r="MU254" s="243"/>
      <c r="MV254" s="243"/>
      <c r="MW254" s="243"/>
      <c r="MX254" s="243"/>
      <c r="MY254" s="243"/>
      <c r="MZ254" s="243"/>
      <c r="NA254" s="243"/>
      <c r="NB254" s="243"/>
      <c r="NC254" s="243"/>
      <c r="ND254" s="243"/>
      <c r="NE254" s="243"/>
      <c r="NF254" s="243"/>
      <c r="NG254" s="243"/>
      <c r="NH254" s="243"/>
      <c r="NI254" s="243"/>
      <c r="NJ254" s="243"/>
      <c r="NK254" s="243"/>
      <c r="NL254" s="243"/>
      <c r="NM254" s="243"/>
      <c r="NN254" s="243"/>
      <c r="NO254" s="243"/>
      <c r="NP254" s="243"/>
      <c r="NQ254" s="243"/>
      <c r="NR254" s="243"/>
      <c r="NS254" s="243"/>
      <c r="NT254" s="243"/>
      <c r="NU254" s="243"/>
      <c r="NV254" s="243"/>
      <c r="NW254" s="243"/>
      <c r="NX254" s="243"/>
      <c r="NY254" s="243"/>
      <c r="NZ254" s="243"/>
      <c r="OA254" s="243"/>
      <c r="OB254" s="243"/>
      <c r="OC254" s="243"/>
      <c r="OD254" s="243"/>
      <c r="OE254" s="243"/>
      <c r="OF254" s="243"/>
      <c r="OG254" s="243"/>
      <c r="OH254" s="243"/>
      <c r="OI254" s="243"/>
      <c r="OJ254" s="243"/>
      <c r="OK254" s="243"/>
      <c r="OL254" s="243"/>
      <c r="OM254" s="243"/>
      <c r="ON254" s="243"/>
      <c r="OO254" s="243"/>
      <c r="OP254" s="243"/>
      <c r="OQ254" s="243"/>
      <c r="OR254" s="243"/>
      <c r="OS254" s="243"/>
      <c r="OT254" s="243"/>
      <c r="OU254" s="243"/>
      <c r="OV254" s="243"/>
      <c r="OW254" s="243"/>
      <c r="OX254" s="243"/>
      <c r="OY254" s="243"/>
      <c r="OZ254" s="243"/>
      <c r="PA254" s="243"/>
      <c r="PB254" s="243"/>
      <c r="PC254" s="243"/>
      <c r="PD254" s="243"/>
      <c r="PE254" s="243"/>
      <c r="PF254" s="243"/>
      <c r="PG254" s="243"/>
      <c r="PH254" s="243"/>
      <c r="PI254" s="243"/>
      <c r="PJ254" s="243"/>
      <c r="PK254" s="243"/>
      <c r="PL254" s="243"/>
      <c r="PM254" s="243"/>
      <c r="PN254" s="243"/>
      <c r="PO254" s="243"/>
      <c r="PP254" s="243"/>
      <c r="PQ254" s="243"/>
      <c r="PR254" s="243"/>
      <c r="PS254" s="243"/>
      <c r="PT254" s="243"/>
      <c r="PU254" s="243"/>
      <c r="PV254" s="243"/>
      <c r="PW254" s="243"/>
      <c r="PX254" s="243"/>
      <c r="PY254" s="243"/>
      <c r="PZ254" s="243"/>
      <c r="QA254" s="243"/>
      <c r="QB254" s="243"/>
      <c r="QC254" s="243"/>
      <c r="QD254" s="243"/>
      <c r="QE254" s="243"/>
      <c r="QF254" s="243"/>
      <c r="QG254" s="243"/>
      <c r="QH254" s="243"/>
      <c r="QI254" s="243"/>
      <c r="QJ254" s="243"/>
      <c r="QK254" s="243"/>
      <c r="QL254" s="243"/>
      <c r="QM254" s="243"/>
      <c r="QN254" s="243"/>
      <c r="QO254" s="243"/>
      <c r="QP254" s="243"/>
      <c r="QQ254" s="243"/>
      <c r="QR254" s="243"/>
      <c r="QS254" s="243"/>
      <c r="QT254" s="243"/>
      <c r="QU254" s="243"/>
      <c r="QV254" s="243"/>
      <c r="QW254" s="243"/>
      <c r="QX254" s="243"/>
      <c r="QY254" s="243"/>
      <c r="QZ254" s="243"/>
      <c r="RA254" s="243"/>
      <c r="RB254" s="243"/>
      <c r="RC254" s="243"/>
      <c r="RD254" s="243"/>
      <c r="RE254" s="243"/>
      <c r="RF254" s="243"/>
      <c r="RG254" s="243"/>
      <c r="RH254" s="243"/>
      <c r="RI254" s="243"/>
      <c r="RJ254" s="243"/>
      <c r="RK254" s="243"/>
      <c r="RL254" s="243"/>
      <c r="RM254" s="243"/>
      <c r="RN254" s="243"/>
      <c r="RO254" s="243"/>
      <c r="RP254" s="243"/>
      <c r="RQ254" s="243"/>
      <c r="RR254" s="243"/>
      <c r="RS254" s="243"/>
      <c r="RT254" s="243"/>
      <c r="RU254" s="243"/>
      <c r="RV254" s="243"/>
      <c r="RW254" s="243"/>
      <c r="RX254" s="243"/>
      <c r="RY254" s="243"/>
      <c r="RZ254" s="243"/>
      <c r="SA254" s="243"/>
      <c r="SB254" s="243"/>
      <c r="SC254" s="243"/>
      <c r="SD254" s="243"/>
      <c r="SE254" s="243"/>
      <c r="SF254" s="243"/>
      <c r="SG254" s="243"/>
      <c r="SH254" s="243"/>
      <c r="SI254" s="243"/>
      <c r="SJ254" s="243"/>
      <c r="SK254" s="243"/>
      <c r="SL254" s="243"/>
      <c r="SM254" s="243"/>
      <c r="SN254" s="243"/>
      <c r="SO254" s="243"/>
      <c r="SP254" s="243"/>
      <c r="SQ254" s="243"/>
      <c r="SR254" s="243"/>
      <c r="SS254" s="243"/>
      <c r="ST254" s="243"/>
      <c r="SU254" s="243"/>
      <c r="SV254" s="243"/>
      <c r="SW254" s="243"/>
      <c r="SX254" s="243"/>
      <c r="SY254" s="243"/>
      <c r="SZ254" s="243"/>
      <c r="TA254" s="243"/>
      <c r="TB254" s="243"/>
      <c r="TC254" s="243"/>
      <c r="TD254" s="243"/>
      <c r="TE254" s="243"/>
      <c r="TF254" s="243"/>
      <c r="TG254" s="243"/>
      <c r="TH254" s="243"/>
      <c r="TI254" s="243"/>
      <c r="TJ254" s="243"/>
      <c r="TK254" s="243"/>
      <c r="TL254" s="243"/>
      <c r="TM254" s="243"/>
      <c r="TN254" s="243"/>
      <c r="TO254" s="243"/>
      <c r="TP254" s="243"/>
      <c r="TQ254" s="243"/>
      <c r="TR254" s="243"/>
      <c r="TS254" s="243"/>
      <c r="TT254" s="243"/>
      <c r="TU254" s="243"/>
      <c r="TV254" s="243"/>
      <c r="TW254" s="243"/>
      <c r="TX254" s="243"/>
      <c r="TY254" s="243"/>
      <c r="TZ254" s="243"/>
      <c r="UA254" s="243"/>
      <c r="UB254" s="243"/>
      <c r="UC254" s="243"/>
      <c r="UD254" s="243"/>
      <c r="UE254" s="243"/>
      <c r="UF254" s="243"/>
      <c r="UG254" s="243"/>
      <c r="UH254" s="243"/>
      <c r="UI254" s="243"/>
      <c r="UJ254" s="243"/>
      <c r="UK254" s="243"/>
      <c r="UL254" s="243"/>
      <c r="UM254" s="243"/>
      <c r="UN254" s="243"/>
      <c r="UO254" s="243"/>
      <c r="UP254" s="243"/>
      <c r="UQ254" s="243"/>
      <c r="UR254" s="243"/>
      <c r="US254" s="243"/>
      <c r="UT254" s="243"/>
      <c r="UU254" s="243"/>
      <c r="UV254" s="243"/>
      <c r="UW254" s="243"/>
      <c r="UX254" s="243"/>
      <c r="UY254" s="243"/>
      <c r="UZ254" s="243"/>
      <c r="VA254" s="243"/>
      <c r="VB254" s="243"/>
      <c r="VC254" s="243"/>
      <c r="VD254" s="243"/>
      <c r="VE254" s="243"/>
      <c r="VF254" s="243"/>
      <c r="VG254" s="243"/>
      <c r="VH254" s="243"/>
      <c r="VI254" s="243"/>
      <c r="VJ254" s="243"/>
      <c r="VK254" s="243"/>
      <c r="VL254" s="243"/>
      <c r="VM254" s="243"/>
      <c r="VN254" s="243"/>
      <c r="VO254" s="243"/>
      <c r="VP254" s="243"/>
      <c r="VQ254" s="243"/>
      <c r="VR254" s="243"/>
      <c r="VS254" s="243"/>
      <c r="VT254" s="243"/>
      <c r="VU254" s="243"/>
      <c r="VV254" s="243"/>
      <c r="VW254" s="243"/>
      <c r="VX254" s="243"/>
      <c r="VY254" s="243"/>
      <c r="VZ254" s="243"/>
      <c r="WA254" s="243"/>
      <c r="WB254" s="243"/>
      <c r="WC254" s="243"/>
      <c r="WD254" s="243"/>
      <c r="WE254" s="243"/>
      <c r="WF254" s="243"/>
      <c r="WG254" s="243"/>
      <c r="WH254" s="243"/>
      <c r="WI254" s="243"/>
      <c r="WJ254" s="243"/>
      <c r="WK254" s="243"/>
      <c r="WL254" s="243"/>
      <c r="WM254" s="243"/>
      <c r="WN254" s="243"/>
      <c r="WO254" s="243"/>
      <c r="WP254" s="243"/>
      <c r="WQ254" s="243"/>
      <c r="WR254" s="243"/>
      <c r="WS254" s="243"/>
      <c r="WT254" s="243"/>
      <c r="WU254" s="243"/>
      <c r="WV254" s="243"/>
      <c r="WW254" s="243"/>
      <c r="WX254" s="243"/>
      <c r="WY254" s="243"/>
      <c r="WZ254" s="243"/>
      <c r="XA254" s="243"/>
      <c r="XB254" s="243"/>
      <c r="XC254" s="243"/>
      <c r="XD254" s="243"/>
      <c r="XE254" s="243"/>
      <c r="XF254" s="243"/>
      <c r="XG254" s="243"/>
      <c r="XH254" s="243"/>
      <c r="XI254" s="243"/>
      <c r="XJ254" s="243"/>
      <c r="XK254" s="243"/>
      <c r="XL254" s="243"/>
      <c r="XM254" s="243"/>
      <c r="XN254" s="243"/>
      <c r="XO254" s="243"/>
      <c r="XP254" s="243"/>
      <c r="XQ254" s="243"/>
      <c r="XR254" s="243"/>
      <c r="XS254" s="243"/>
      <c r="XT254" s="243"/>
      <c r="XU254" s="243"/>
      <c r="XV254" s="243"/>
      <c r="XW254" s="243"/>
      <c r="XX254" s="243"/>
      <c r="XY254" s="243"/>
      <c r="XZ254" s="243"/>
      <c r="YA254" s="243"/>
      <c r="YB254" s="243"/>
      <c r="YC254" s="243"/>
      <c r="YD254" s="243"/>
      <c r="YE254" s="243"/>
      <c r="YF254" s="243"/>
      <c r="YG254" s="243"/>
      <c r="YH254" s="243"/>
      <c r="YI254" s="243"/>
      <c r="YJ254" s="243"/>
      <c r="YK254" s="243"/>
      <c r="YL254" s="243"/>
      <c r="YM254" s="243"/>
      <c r="YN254" s="243"/>
      <c r="YO254" s="243"/>
      <c r="YP254" s="243"/>
      <c r="YQ254" s="243"/>
      <c r="YR254" s="243"/>
      <c r="YS254" s="243"/>
      <c r="YT254" s="243"/>
      <c r="YU254" s="243"/>
      <c r="YV254" s="243"/>
      <c r="YW254" s="243"/>
      <c r="YX254" s="243"/>
      <c r="YY254" s="243"/>
      <c r="YZ254" s="243"/>
      <c r="ZA254" s="243"/>
      <c r="ZB254" s="243"/>
      <c r="ZC254" s="243"/>
      <c r="ZD254" s="243"/>
      <c r="ZE254" s="243"/>
      <c r="ZF254" s="243"/>
      <c r="ZG254" s="243"/>
      <c r="ZH254" s="243"/>
      <c r="ZI254" s="243"/>
      <c r="ZJ254" s="243"/>
      <c r="ZK254" s="243"/>
      <c r="ZL254" s="243"/>
      <c r="ZM254" s="243"/>
      <c r="ZN254" s="243"/>
      <c r="ZO254" s="243"/>
      <c r="ZP254" s="243"/>
      <c r="ZQ254" s="243"/>
      <c r="ZR254" s="243"/>
      <c r="ZS254" s="243"/>
      <c r="ZT254" s="243"/>
      <c r="ZU254" s="243"/>
      <c r="ZV254" s="243"/>
      <c r="ZW254" s="243"/>
      <c r="ZX254" s="243"/>
      <c r="ZY254" s="243"/>
      <c r="ZZ254" s="243"/>
      <c r="AAA254" s="243"/>
      <c r="AAB254" s="243"/>
      <c r="AAC254" s="243"/>
      <c r="AAD254" s="243"/>
      <c r="AAE254" s="243"/>
      <c r="AAF254" s="243"/>
      <c r="AAG254" s="243"/>
      <c r="AAH254" s="243"/>
      <c r="AAI254" s="243"/>
      <c r="AAJ254" s="243"/>
      <c r="AAK254" s="243"/>
      <c r="AAL254" s="243"/>
      <c r="AAM254" s="243"/>
      <c r="AAN254" s="243"/>
      <c r="AAO254" s="243"/>
      <c r="AAP254" s="243"/>
      <c r="AAQ254" s="243"/>
      <c r="AAR254" s="243"/>
      <c r="AAS254" s="243"/>
      <c r="AAT254" s="243"/>
      <c r="AAU254" s="243"/>
      <c r="AAV254" s="243"/>
      <c r="AAW254" s="243"/>
      <c r="AAX254" s="243"/>
      <c r="AAY254" s="243"/>
      <c r="AAZ254" s="243"/>
      <c r="ABA254" s="243"/>
      <c r="ABB254" s="243"/>
      <c r="ABC254" s="243"/>
      <c r="ABD254" s="243"/>
      <c r="ABE254" s="243"/>
      <c r="ABF254" s="243"/>
      <c r="ABG254" s="243"/>
      <c r="ABH254" s="243"/>
      <c r="ABI254" s="243"/>
      <c r="ABJ254" s="243"/>
      <c r="ABK254" s="243"/>
      <c r="ABL254" s="243"/>
      <c r="ABM254" s="243"/>
      <c r="ABN254" s="243"/>
      <c r="ABO254" s="243"/>
      <c r="ABP254" s="243"/>
      <c r="ABQ254" s="243"/>
      <c r="ABR254" s="243"/>
      <c r="ABS254" s="243"/>
      <c r="ABT254" s="243"/>
      <c r="ABU254" s="243"/>
      <c r="ABV254" s="243"/>
      <c r="ABW254" s="243"/>
      <c r="ABX254" s="243"/>
      <c r="ABY254" s="243"/>
      <c r="ABZ254" s="243"/>
      <c r="ACA254" s="243"/>
      <c r="ACB254" s="243"/>
      <c r="ACC254" s="243"/>
      <c r="ACD254" s="243"/>
      <c r="ACE254" s="243"/>
      <c r="ACF254" s="243"/>
      <c r="ACG254" s="243"/>
      <c r="ACH254" s="243"/>
      <c r="ACI254" s="243"/>
      <c r="ACJ254" s="243"/>
      <c r="ACK254" s="243"/>
      <c r="ACL254" s="243"/>
      <c r="ACM254" s="243"/>
      <c r="ACN254" s="243"/>
      <c r="ACO254" s="243"/>
      <c r="ACP254" s="243"/>
      <c r="ACQ254" s="243"/>
      <c r="ACR254" s="243"/>
      <c r="ACS254" s="243"/>
      <c r="ACT254" s="243"/>
      <c r="ACU254" s="243"/>
      <c r="ACV254" s="243"/>
      <c r="ACW254" s="243"/>
      <c r="ACX254" s="243"/>
      <c r="ACY254" s="243"/>
      <c r="ACZ254" s="243"/>
      <c r="ADA254" s="243"/>
      <c r="ADB254" s="243"/>
      <c r="ADC254" s="243"/>
      <c r="ADD254" s="243"/>
      <c r="ADE254" s="243"/>
      <c r="ADF254" s="243"/>
      <c r="ADG254" s="243"/>
      <c r="ADH254" s="243"/>
      <c r="ADI254" s="243"/>
      <c r="ADJ254" s="243"/>
      <c r="ADK254" s="243"/>
      <c r="ADL254" s="243"/>
      <c r="ADM254" s="243"/>
      <c r="ADN254" s="243"/>
      <c r="ADO254" s="243"/>
      <c r="ADP254" s="243"/>
      <c r="ADQ254" s="243"/>
      <c r="ADR254" s="243"/>
      <c r="ADS254" s="243"/>
      <c r="ADT254" s="243"/>
      <c r="ADU254" s="243"/>
      <c r="ADV254" s="243"/>
      <c r="ADW254" s="243"/>
      <c r="ADX254" s="243"/>
      <c r="ADY254" s="243"/>
      <c r="ADZ254" s="243"/>
      <c r="AEA254" s="243"/>
      <c r="AEB254" s="243"/>
      <c r="AEC254" s="243"/>
      <c r="AED254" s="243"/>
      <c r="AEE254" s="243"/>
      <c r="AEF254" s="243"/>
      <c r="AEG254" s="243"/>
      <c r="AEH254" s="243"/>
      <c r="AEI254" s="243"/>
      <c r="AEJ254" s="243"/>
      <c r="AEK254" s="243"/>
      <c r="AEL254" s="243"/>
      <c r="AEM254" s="243"/>
      <c r="AEN254" s="243"/>
      <c r="AEO254" s="243"/>
      <c r="AEP254" s="243"/>
      <c r="AEQ254" s="243"/>
      <c r="AER254" s="243"/>
      <c r="AES254" s="243"/>
      <c r="AET254" s="243"/>
      <c r="AEU254" s="243"/>
      <c r="AEV254" s="243"/>
      <c r="AEW254" s="243"/>
      <c r="AEX254" s="243"/>
      <c r="AEY254" s="243"/>
      <c r="AEZ254" s="243"/>
      <c r="AFA254" s="243"/>
      <c r="AFB254" s="243"/>
      <c r="AFC254" s="243"/>
      <c r="AFD254" s="243"/>
      <c r="AFE254" s="243"/>
      <c r="AFF254" s="243"/>
      <c r="AFG254" s="243"/>
      <c r="AFH254" s="243"/>
      <c r="AFI254" s="243"/>
      <c r="AFJ254" s="243"/>
      <c r="AFK254" s="243"/>
      <c r="AFL254" s="243"/>
      <c r="AFM254" s="243"/>
      <c r="AFN254" s="243"/>
      <c r="AFO254" s="243"/>
      <c r="AFP254" s="243"/>
      <c r="AFQ254" s="243"/>
      <c r="AFR254" s="243"/>
      <c r="AFS254" s="243"/>
      <c r="AFT254" s="243"/>
      <c r="AFU254" s="243"/>
      <c r="AFV254" s="243"/>
      <c r="AFW254" s="243"/>
      <c r="AFX254" s="243"/>
      <c r="AFY254" s="243"/>
      <c r="AFZ254" s="243"/>
      <c r="AGA254" s="243"/>
      <c r="AGB254" s="243"/>
      <c r="AGC254" s="243"/>
      <c r="AGD254" s="243"/>
      <c r="AGE254" s="243"/>
      <c r="AGF254" s="243"/>
      <c r="AGG254" s="243"/>
      <c r="AGH254" s="243"/>
      <c r="AGI254" s="243"/>
      <c r="AGJ254" s="243"/>
      <c r="AGK254" s="243"/>
      <c r="AGL254" s="243"/>
      <c r="AGM254" s="243"/>
      <c r="AGN254" s="243"/>
      <c r="AGO254" s="243"/>
      <c r="AGP254" s="243"/>
      <c r="AGQ254" s="243"/>
      <c r="AGR254" s="243"/>
      <c r="AGS254" s="243"/>
      <c r="AGT254" s="243"/>
      <c r="AGU254" s="243"/>
      <c r="AGV254" s="243"/>
      <c r="AGW254" s="243"/>
      <c r="AGX254" s="243"/>
      <c r="AGY254" s="243"/>
      <c r="AGZ254" s="243"/>
      <c r="AHA254" s="243"/>
      <c r="AHB254" s="243"/>
      <c r="AHC254" s="243"/>
      <c r="AHD254" s="243"/>
      <c r="AHE254" s="243"/>
      <c r="AHF254" s="243"/>
      <c r="AHG254" s="243"/>
      <c r="AHH254" s="243"/>
      <c r="AHI254" s="243"/>
      <c r="AHJ254" s="243"/>
      <c r="AHK254" s="243"/>
      <c r="AHL254" s="243"/>
      <c r="AHM254" s="243"/>
      <c r="AHN254" s="243"/>
      <c r="AHO254" s="243"/>
      <c r="AHP254" s="243"/>
      <c r="AHQ254" s="243"/>
      <c r="AHR254" s="243"/>
      <c r="AHS254" s="243"/>
      <c r="AHT254" s="243"/>
      <c r="AHU254" s="243"/>
      <c r="AHV254" s="243"/>
      <c r="AHW254" s="243"/>
      <c r="AHX254" s="243"/>
      <c r="AHY254" s="243"/>
      <c r="AHZ254" s="243"/>
      <c r="AIA254" s="243"/>
      <c r="AIB254" s="243"/>
      <c r="AIC254" s="243"/>
      <c r="AID254" s="243"/>
      <c r="AIE254" s="243"/>
      <c r="AIF254" s="243"/>
      <c r="AIG254" s="243"/>
      <c r="AIH254" s="243"/>
      <c r="AII254" s="243"/>
      <c r="AIJ254" s="243"/>
      <c r="AIK254" s="243"/>
      <c r="AIL254" s="243"/>
      <c r="AIM254" s="243"/>
      <c r="AIN254" s="243"/>
      <c r="AIO254" s="243"/>
      <c r="AIP254" s="243"/>
      <c r="AIQ254" s="243"/>
      <c r="AIR254" s="243"/>
      <c r="AIS254" s="243"/>
      <c r="AIT254" s="243"/>
      <c r="AIU254" s="243"/>
      <c r="AIV254" s="243"/>
      <c r="AIW254" s="243"/>
      <c r="AIX254" s="243"/>
      <c r="AIY254" s="243"/>
      <c r="AIZ254" s="243"/>
      <c r="AJA254" s="243"/>
      <c r="AJB254" s="243"/>
      <c r="AJC254" s="243"/>
      <c r="AJD254" s="243"/>
      <c r="AJE254" s="243"/>
      <c r="AJF254" s="243"/>
      <c r="AJG254" s="243"/>
      <c r="AJH254" s="243"/>
      <c r="AJI254" s="243"/>
      <c r="AJJ254" s="243"/>
      <c r="AJK254" s="243"/>
      <c r="AJL254" s="243"/>
      <c r="AJM254" s="243"/>
      <c r="AJN254" s="243"/>
      <c r="AJO254" s="243"/>
      <c r="AJP254" s="243"/>
      <c r="AJQ254" s="243"/>
      <c r="AJR254" s="243"/>
      <c r="AJS254" s="243"/>
      <c r="AJT254" s="243"/>
      <c r="AJU254" s="243"/>
      <c r="AJV254" s="243"/>
      <c r="AJW254" s="243"/>
      <c r="AJX254" s="243"/>
      <c r="AJY254" s="243"/>
      <c r="AJZ254" s="243"/>
      <c r="AKA254" s="243"/>
      <c r="AKB254" s="243"/>
      <c r="AKC254" s="243"/>
      <c r="AKD254" s="243"/>
      <c r="AKE254" s="243"/>
      <c r="AKF254" s="243"/>
      <c r="AKG254" s="243"/>
      <c r="AKH254" s="243"/>
      <c r="AKI254" s="243"/>
      <c r="AKJ254" s="243"/>
      <c r="AKK254" s="243"/>
      <c r="AKL254" s="243"/>
      <c r="AKM254" s="243"/>
      <c r="AKN254" s="243"/>
      <c r="AKO254" s="243"/>
      <c r="AKP254" s="243"/>
      <c r="AKQ254" s="243"/>
      <c r="AKR254" s="243"/>
      <c r="AKS254" s="243"/>
      <c r="AKT254" s="243"/>
      <c r="AKU254" s="243"/>
      <c r="AKV254" s="243"/>
      <c r="AKW254" s="243"/>
      <c r="AKX254" s="243"/>
      <c r="AKY254" s="243"/>
      <c r="AKZ254" s="243"/>
      <c r="ALA254" s="243"/>
      <c r="ALB254" s="243"/>
      <c r="ALC254" s="243"/>
      <c r="ALD254" s="243"/>
      <c r="ALE254" s="243"/>
      <c r="ALF254" s="243"/>
      <c r="ALG254" s="243"/>
      <c r="ALH254" s="243"/>
      <c r="ALI254" s="243"/>
      <c r="ALJ254" s="243"/>
      <c r="ALK254" s="243"/>
      <c r="ALL254" s="243"/>
      <c r="ALM254" s="243"/>
      <c r="ALN254" s="243"/>
      <c r="ALO254" s="243"/>
      <c r="ALP254" s="243"/>
      <c r="ALQ254" s="243"/>
      <c r="ALR254" s="243"/>
      <c r="ALS254" s="243"/>
      <c r="ALT254" s="243"/>
      <c r="ALU254" s="243"/>
      <c r="ALV254" s="243"/>
      <c r="ALW254" s="243"/>
      <c r="ALX254" s="243"/>
      <c r="ALY254" s="243"/>
      <c r="ALZ254" s="243"/>
      <c r="AMA254" s="243"/>
      <c r="AMB254" s="243"/>
      <c r="AMC254" s="243"/>
      <c r="AMD254" s="243"/>
      <c r="AME254" s="243"/>
      <c r="AMF254" s="243"/>
      <c r="AMG254" s="243"/>
      <c r="AMH254" s="243"/>
      <c r="AMI254" s="244"/>
      <c r="AMJ254" s="244"/>
    </row>
    <row r="255" spans="1:1024">
      <c r="A255" s="382"/>
      <c r="B255" s="382"/>
      <c r="C255" s="382"/>
      <c r="D255" s="382"/>
      <c r="E255" s="440"/>
      <c r="F255" s="382"/>
      <c r="G255" s="387"/>
      <c r="H255" s="388"/>
      <c r="I255" s="388"/>
      <c r="J255" s="388"/>
      <c r="K255" s="388"/>
      <c r="L255" s="388"/>
      <c r="M255" s="388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  <c r="AF255" s="302"/>
      <c r="AG255" s="302"/>
      <c r="AH255" s="302"/>
      <c r="AI255" s="302"/>
      <c r="AJ255" s="302"/>
      <c r="AK255" s="302"/>
      <c r="AL255" s="302"/>
      <c r="AM255" s="302"/>
      <c r="AN255" s="302"/>
      <c r="AO255" s="302"/>
      <c r="AP255" s="302"/>
      <c r="AQ255" s="302"/>
      <c r="AR255" s="302"/>
      <c r="AS255" s="302"/>
      <c r="AT255" s="302"/>
      <c r="AU255" s="302"/>
      <c r="AV255" s="302"/>
      <c r="AW255" s="302"/>
      <c r="AX255" s="302"/>
      <c r="AY255" s="302"/>
      <c r="AZ255" s="302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K255" s="302"/>
      <c r="BL255" s="302"/>
      <c r="BM255" s="302"/>
      <c r="BN255" s="302"/>
      <c r="BO255" s="302"/>
      <c r="BP255" s="302"/>
      <c r="BQ255" s="302"/>
      <c r="BR255" s="302"/>
      <c r="BS255" s="302"/>
      <c r="BT255" s="302"/>
      <c r="BU255" s="302"/>
      <c r="BV255" s="302"/>
      <c r="BW255" s="302"/>
      <c r="BX255" s="302"/>
      <c r="BY255" s="302"/>
      <c r="BZ255" s="302"/>
      <c r="CA255" s="302"/>
      <c r="CB255" s="302"/>
      <c r="CC255" s="302"/>
      <c r="CD255" s="302"/>
      <c r="CE255" s="302"/>
      <c r="CF255" s="302"/>
      <c r="CG255" s="302"/>
      <c r="CH255" s="302"/>
      <c r="CI255" s="302"/>
      <c r="CJ255" s="302"/>
      <c r="CK255" s="302"/>
      <c r="CL255" s="302"/>
      <c r="CM255" s="302"/>
      <c r="CN255" s="302"/>
      <c r="CO255" s="302"/>
      <c r="CP255" s="302"/>
      <c r="CQ255" s="302"/>
      <c r="CR255" s="302"/>
      <c r="CS255" s="302"/>
      <c r="CT255" s="302"/>
      <c r="CU255" s="302"/>
      <c r="CV255" s="302"/>
      <c r="CW255" s="302"/>
      <c r="CX255" s="302"/>
      <c r="CY255" s="302"/>
      <c r="CZ255" s="302"/>
      <c r="DA255" s="302"/>
      <c r="DB255" s="302"/>
      <c r="DC255" s="302"/>
      <c r="DD255" s="302"/>
      <c r="DE255" s="302"/>
      <c r="DF255" s="302"/>
      <c r="DG255" s="302"/>
      <c r="DH255" s="302"/>
      <c r="DI255" s="302"/>
      <c r="DJ255" s="302"/>
      <c r="DK255" s="302"/>
      <c r="DL255" s="302"/>
      <c r="DM255" s="302"/>
      <c r="DN255" s="302"/>
      <c r="DO255" s="302"/>
      <c r="DP255" s="302"/>
      <c r="DQ255" s="302"/>
      <c r="DR255" s="302"/>
      <c r="DS255" s="302"/>
      <c r="DT255" s="302"/>
      <c r="DU255" s="302"/>
      <c r="DV255" s="302"/>
      <c r="DW255" s="302"/>
      <c r="DX255" s="302"/>
      <c r="DY255" s="302"/>
      <c r="DZ255" s="302"/>
      <c r="EA255" s="302"/>
      <c r="EB255" s="302"/>
      <c r="EC255" s="302"/>
      <c r="ED255" s="302"/>
      <c r="EE255" s="302"/>
      <c r="EF255" s="302"/>
      <c r="EG255" s="302"/>
      <c r="EH255" s="302"/>
      <c r="EI255" s="302"/>
      <c r="EJ255" s="302"/>
      <c r="EK255" s="302"/>
      <c r="EL255" s="302"/>
      <c r="EM255" s="302"/>
      <c r="EN255" s="302"/>
      <c r="EO255" s="302"/>
      <c r="EP255" s="302"/>
      <c r="EQ255" s="302"/>
      <c r="ER255" s="302"/>
      <c r="ES255" s="302"/>
      <c r="ET255" s="302"/>
      <c r="EU255" s="302"/>
      <c r="EV255" s="302"/>
      <c r="EW255" s="302"/>
      <c r="EX255" s="302"/>
      <c r="EY255" s="302"/>
      <c r="EZ255" s="302"/>
      <c r="FA255" s="302"/>
      <c r="FB255" s="302"/>
      <c r="FC255" s="302"/>
      <c r="FD255" s="302"/>
      <c r="FE255" s="302"/>
      <c r="FF255" s="302"/>
      <c r="FG255" s="302"/>
      <c r="FH255" s="302"/>
      <c r="FI255" s="302"/>
      <c r="FJ255" s="302"/>
      <c r="FK255" s="302"/>
      <c r="FL255" s="302"/>
      <c r="FM255" s="302"/>
      <c r="FN255" s="302"/>
      <c r="FO255" s="302"/>
      <c r="FP255" s="302"/>
      <c r="FQ255" s="302"/>
      <c r="FR255" s="302"/>
      <c r="FS255" s="302"/>
      <c r="FT255" s="302"/>
      <c r="FU255" s="302"/>
      <c r="FV255" s="302"/>
      <c r="FW255" s="302"/>
      <c r="FX255" s="302"/>
      <c r="FY255" s="302"/>
      <c r="FZ255" s="302"/>
      <c r="GA255" s="302"/>
      <c r="GB255" s="302"/>
      <c r="GC255" s="302"/>
      <c r="GD255" s="302"/>
      <c r="GE255" s="302"/>
      <c r="GF255" s="302"/>
      <c r="GG255" s="302"/>
      <c r="GH255" s="302"/>
      <c r="GI255" s="302"/>
      <c r="GJ255" s="302"/>
      <c r="GK255" s="302"/>
      <c r="GL255" s="302"/>
      <c r="GM255" s="302"/>
      <c r="GN255" s="302"/>
      <c r="GO255" s="302"/>
      <c r="GP255" s="302"/>
      <c r="GQ255" s="302"/>
      <c r="GR255" s="302"/>
      <c r="GS255" s="302"/>
      <c r="GT255" s="302"/>
      <c r="GU255" s="302"/>
      <c r="GV255" s="302"/>
      <c r="GW255" s="302"/>
      <c r="GX255" s="302"/>
      <c r="GY255" s="302"/>
      <c r="GZ255" s="302"/>
      <c r="HA255" s="302"/>
      <c r="HB255" s="302"/>
      <c r="HC255" s="302"/>
      <c r="HD255" s="302"/>
      <c r="HE255" s="302"/>
      <c r="HF255" s="302"/>
      <c r="HG255" s="302"/>
      <c r="HH255" s="302"/>
      <c r="HI255" s="302"/>
      <c r="HJ255" s="302"/>
      <c r="HK255" s="302"/>
      <c r="HL255" s="302"/>
      <c r="HM255" s="302"/>
      <c r="HN255" s="302"/>
      <c r="HO255" s="302"/>
      <c r="HP255" s="302"/>
      <c r="HQ255" s="302"/>
      <c r="HR255" s="302"/>
      <c r="HS255" s="302"/>
      <c r="HT255" s="302"/>
      <c r="HU255" s="302"/>
      <c r="HV255" s="302"/>
      <c r="HW255" s="302"/>
      <c r="HX255" s="302"/>
      <c r="HY255" s="302"/>
      <c r="HZ255" s="302"/>
      <c r="IA255" s="302"/>
      <c r="IB255" s="302"/>
      <c r="IC255" s="302"/>
      <c r="ID255" s="302"/>
      <c r="IE255" s="302"/>
      <c r="IF255" s="302"/>
      <c r="IG255" s="302"/>
      <c r="IH255" s="302"/>
      <c r="II255" s="302"/>
      <c r="IJ255" s="302"/>
      <c r="IK255" s="302"/>
      <c r="IL255" s="302"/>
      <c r="IM255" s="302"/>
      <c r="IN255" s="302"/>
      <c r="IO255" s="302"/>
      <c r="IP255" s="302"/>
      <c r="IQ255" s="302"/>
      <c r="IR255" s="302"/>
      <c r="IS255" s="302"/>
      <c r="IT255" s="302"/>
      <c r="IU255" s="302"/>
      <c r="IV255" s="302"/>
      <c r="IW255" s="302"/>
      <c r="IX255" s="302"/>
      <c r="IY255" s="302"/>
      <c r="IZ255" s="302"/>
      <c r="JA255" s="302"/>
      <c r="JB255" s="302"/>
      <c r="JC255" s="302"/>
      <c r="JD255" s="302"/>
      <c r="JE255" s="302"/>
      <c r="JF255" s="302"/>
      <c r="JG255" s="302"/>
      <c r="JH255" s="302"/>
      <c r="JI255" s="302"/>
      <c r="JJ255" s="302"/>
      <c r="JK255" s="302"/>
      <c r="JL255" s="302"/>
      <c r="JM255" s="302"/>
      <c r="JN255" s="302"/>
      <c r="JO255" s="302"/>
      <c r="JP255" s="302"/>
      <c r="JQ255" s="302"/>
      <c r="JR255" s="302"/>
      <c r="JS255" s="302"/>
      <c r="JT255" s="302"/>
      <c r="JU255" s="302"/>
      <c r="JV255" s="302"/>
      <c r="JW255" s="302"/>
      <c r="JX255" s="302"/>
      <c r="JY255" s="302"/>
      <c r="JZ255" s="302"/>
      <c r="KA255" s="302"/>
      <c r="KB255" s="302"/>
      <c r="KC255" s="302"/>
      <c r="KD255" s="302"/>
      <c r="KE255" s="302"/>
      <c r="KF255" s="302"/>
      <c r="KG255" s="302"/>
      <c r="KH255" s="302"/>
      <c r="KI255" s="302"/>
      <c r="KJ255" s="302"/>
      <c r="KK255" s="302"/>
      <c r="KL255" s="302"/>
      <c r="KM255" s="302"/>
      <c r="KN255" s="302"/>
      <c r="KO255" s="302"/>
      <c r="KP255" s="302"/>
      <c r="KQ255" s="302"/>
      <c r="KR255" s="302"/>
      <c r="KS255" s="302"/>
      <c r="KT255" s="302"/>
      <c r="KU255" s="302"/>
      <c r="KV255" s="302"/>
      <c r="KW255" s="302"/>
      <c r="KX255" s="302"/>
      <c r="KY255" s="302"/>
      <c r="KZ255" s="302"/>
      <c r="LA255" s="302"/>
      <c r="LB255" s="302"/>
      <c r="LC255" s="302"/>
      <c r="LD255" s="302"/>
      <c r="LE255" s="302"/>
      <c r="LF255" s="302"/>
      <c r="LG255" s="302"/>
      <c r="LH255" s="302"/>
      <c r="LI255" s="302"/>
      <c r="LJ255" s="302"/>
      <c r="LK255" s="302"/>
      <c r="LL255" s="302"/>
      <c r="LM255" s="302"/>
      <c r="LN255" s="302"/>
      <c r="LO255" s="302"/>
      <c r="LP255" s="302"/>
      <c r="LQ255" s="302"/>
      <c r="LR255" s="302"/>
      <c r="LS255" s="302"/>
      <c r="LT255" s="302"/>
      <c r="LU255" s="302"/>
      <c r="LV255" s="302"/>
      <c r="LW255" s="302"/>
      <c r="LX255" s="302"/>
      <c r="LY255" s="302"/>
      <c r="LZ255" s="302"/>
      <c r="MA255" s="302"/>
      <c r="MB255" s="302"/>
      <c r="MC255" s="302"/>
      <c r="MD255" s="302"/>
      <c r="ME255" s="302"/>
      <c r="MF255" s="302"/>
      <c r="MG255" s="302"/>
      <c r="MH255" s="302"/>
      <c r="MI255" s="302"/>
      <c r="MJ255" s="302"/>
      <c r="MK255" s="302"/>
      <c r="ML255" s="302"/>
      <c r="MM255" s="302"/>
      <c r="MN255" s="302"/>
      <c r="MO255" s="302"/>
      <c r="MP255" s="302"/>
      <c r="MQ255" s="302"/>
      <c r="MR255" s="302"/>
      <c r="MS255" s="302"/>
      <c r="MT255" s="302"/>
      <c r="MU255" s="302"/>
      <c r="MV255" s="302"/>
      <c r="MW255" s="302"/>
      <c r="MX255" s="302"/>
      <c r="MY255" s="302"/>
      <c r="MZ255" s="302"/>
      <c r="NA255" s="302"/>
      <c r="NB255" s="302"/>
      <c r="NC255" s="302"/>
      <c r="ND255" s="302"/>
      <c r="NE255" s="302"/>
      <c r="NF255" s="302"/>
      <c r="NG255" s="302"/>
      <c r="NH255" s="302"/>
      <c r="NI255" s="302"/>
      <c r="NJ255" s="302"/>
      <c r="NK255" s="302"/>
      <c r="NL255" s="302"/>
      <c r="NM255" s="302"/>
      <c r="NN255" s="302"/>
      <c r="NO255" s="302"/>
      <c r="NP255" s="302"/>
      <c r="NQ255" s="302"/>
      <c r="NR255" s="302"/>
      <c r="NS255" s="302"/>
      <c r="NT255" s="302"/>
      <c r="NU255" s="302"/>
      <c r="NV255" s="302"/>
      <c r="NW255" s="302"/>
      <c r="NX255" s="302"/>
      <c r="NY255" s="302"/>
      <c r="NZ255" s="302"/>
      <c r="OA255" s="302"/>
      <c r="OB255" s="302"/>
      <c r="OC255" s="302"/>
      <c r="OD255" s="302"/>
      <c r="OE255" s="302"/>
      <c r="OF255" s="302"/>
      <c r="OG255" s="302"/>
      <c r="OH255" s="302"/>
      <c r="OI255" s="302"/>
      <c r="OJ255" s="302"/>
      <c r="OK255" s="302"/>
      <c r="OL255" s="302"/>
      <c r="OM255" s="302"/>
      <c r="ON255" s="302"/>
      <c r="OO255" s="302"/>
      <c r="OP255" s="302"/>
      <c r="OQ255" s="302"/>
      <c r="OR255" s="302"/>
      <c r="OS255" s="302"/>
      <c r="OT255" s="302"/>
      <c r="OU255" s="302"/>
      <c r="OV255" s="302"/>
      <c r="OW255" s="302"/>
      <c r="OX255" s="302"/>
      <c r="OY255" s="302"/>
      <c r="OZ255" s="302"/>
      <c r="PA255" s="302"/>
      <c r="PB255" s="302"/>
      <c r="PC255" s="302"/>
      <c r="PD255" s="302"/>
      <c r="PE255" s="302"/>
      <c r="PF255" s="302"/>
      <c r="PG255" s="302"/>
      <c r="PH255" s="302"/>
      <c r="PI255" s="302"/>
      <c r="PJ255" s="302"/>
      <c r="PK255" s="302"/>
      <c r="PL255" s="302"/>
      <c r="PM255" s="302"/>
      <c r="PN255" s="302"/>
      <c r="PO255" s="302"/>
      <c r="PP255" s="302"/>
      <c r="PQ255" s="302"/>
      <c r="PR255" s="302"/>
      <c r="PS255" s="302"/>
      <c r="PT255" s="302"/>
      <c r="PU255" s="302"/>
      <c r="PV255" s="302"/>
      <c r="PW255" s="302"/>
      <c r="PX255" s="302"/>
      <c r="PY255" s="302"/>
      <c r="PZ255" s="302"/>
      <c r="QA255" s="302"/>
      <c r="QB255" s="302"/>
      <c r="QC255" s="302"/>
      <c r="QD255" s="302"/>
      <c r="QE255" s="302"/>
      <c r="QF255" s="302"/>
      <c r="QG255" s="302"/>
      <c r="QH255" s="302"/>
      <c r="QI255" s="302"/>
      <c r="QJ255" s="302"/>
      <c r="QK255" s="302"/>
      <c r="QL255" s="302"/>
      <c r="QM255" s="302"/>
      <c r="QN255" s="302"/>
      <c r="QO255" s="302"/>
      <c r="QP255" s="302"/>
      <c r="QQ255" s="302"/>
      <c r="QR255" s="302"/>
      <c r="QS255" s="302"/>
      <c r="QT255" s="302"/>
      <c r="QU255" s="302"/>
      <c r="QV255" s="302"/>
      <c r="QW255" s="302"/>
      <c r="QX255" s="302"/>
      <c r="QY255" s="302"/>
      <c r="QZ255" s="302"/>
      <c r="RA255" s="302"/>
      <c r="RB255" s="302"/>
      <c r="RC255" s="302"/>
      <c r="RD255" s="302"/>
      <c r="RE255" s="302"/>
      <c r="RF255" s="302"/>
      <c r="RG255" s="302"/>
      <c r="RH255" s="302"/>
      <c r="RI255" s="302"/>
      <c r="RJ255" s="302"/>
      <c r="RK255" s="302"/>
      <c r="RL255" s="302"/>
      <c r="RM255" s="302"/>
      <c r="RN255" s="302"/>
      <c r="RO255" s="302"/>
      <c r="RP255" s="302"/>
      <c r="RQ255" s="302"/>
      <c r="RR255" s="302"/>
      <c r="RS255" s="302"/>
      <c r="RT255" s="302"/>
      <c r="RU255" s="302"/>
      <c r="RV255" s="302"/>
      <c r="RW255" s="302"/>
      <c r="RX255" s="302"/>
      <c r="RY255" s="302"/>
      <c r="RZ255" s="302"/>
      <c r="SA255" s="302"/>
      <c r="SB255" s="302"/>
      <c r="SC255" s="302"/>
      <c r="SD255" s="302"/>
      <c r="SE255" s="302"/>
      <c r="SF255" s="302"/>
      <c r="SG255" s="302"/>
      <c r="SH255" s="302"/>
      <c r="SI255" s="302"/>
      <c r="SJ255" s="302"/>
      <c r="SK255" s="302"/>
      <c r="SL255" s="302"/>
      <c r="SM255" s="302"/>
      <c r="SN255" s="302"/>
      <c r="SO255" s="302"/>
      <c r="SP255" s="302"/>
      <c r="SQ255" s="302"/>
      <c r="SR255" s="302"/>
      <c r="SS255" s="302"/>
      <c r="ST255" s="302"/>
      <c r="SU255" s="302"/>
      <c r="SV255" s="302"/>
      <c r="SW255" s="302"/>
      <c r="SX255" s="302"/>
      <c r="SY255" s="302"/>
      <c r="SZ255" s="302"/>
      <c r="TA255" s="302"/>
      <c r="TB255" s="302"/>
      <c r="TC255" s="302"/>
      <c r="TD255" s="302"/>
      <c r="TE255" s="302"/>
      <c r="TF255" s="302"/>
      <c r="TG255" s="302"/>
      <c r="TH255" s="302"/>
      <c r="TI255" s="302"/>
      <c r="TJ255" s="302"/>
      <c r="TK255" s="302"/>
      <c r="TL255" s="302"/>
      <c r="TM255" s="302"/>
      <c r="TN255" s="302"/>
      <c r="TO255" s="302"/>
      <c r="TP255" s="302"/>
      <c r="TQ255" s="302"/>
      <c r="TR255" s="302"/>
      <c r="TS255" s="302"/>
      <c r="TT255" s="302"/>
      <c r="TU255" s="302"/>
      <c r="TV255" s="302"/>
      <c r="TW255" s="302"/>
      <c r="TX255" s="302"/>
      <c r="TY255" s="302"/>
      <c r="TZ255" s="302"/>
      <c r="UA255" s="302"/>
      <c r="UB255" s="302"/>
      <c r="UC255" s="302"/>
      <c r="UD255" s="302"/>
      <c r="UE255" s="302"/>
      <c r="UF255" s="302"/>
      <c r="UG255" s="302"/>
      <c r="UH255" s="302"/>
      <c r="UI255" s="302"/>
      <c r="UJ255" s="302"/>
      <c r="UK255" s="302"/>
      <c r="UL255" s="302"/>
      <c r="UM255" s="302"/>
      <c r="UN255" s="302"/>
      <c r="UO255" s="302"/>
      <c r="UP255" s="302"/>
      <c r="UQ255" s="302"/>
      <c r="UR255" s="302"/>
      <c r="US255" s="302"/>
      <c r="UT255" s="302"/>
      <c r="UU255" s="302"/>
      <c r="UV255" s="302"/>
      <c r="UW255" s="302"/>
      <c r="UX255" s="302"/>
      <c r="UY255" s="302"/>
      <c r="UZ255" s="302"/>
      <c r="VA255" s="302"/>
      <c r="VB255" s="302"/>
      <c r="VC255" s="302"/>
      <c r="VD255" s="302"/>
      <c r="VE255" s="302"/>
      <c r="VF255" s="302"/>
      <c r="VG255" s="302"/>
      <c r="VH255" s="302"/>
      <c r="VI255" s="302"/>
      <c r="VJ255" s="302"/>
      <c r="VK255" s="302"/>
      <c r="VL255" s="302"/>
      <c r="VM255" s="302"/>
      <c r="VN255" s="302"/>
      <c r="VO255" s="302"/>
      <c r="VP255" s="302"/>
      <c r="VQ255" s="302"/>
      <c r="VR255" s="302"/>
      <c r="VS255" s="302"/>
      <c r="VT255" s="302"/>
      <c r="VU255" s="302"/>
      <c r="VV255" s="302"/>
      <c r="VW255" s="302"/>
      <c r="VX255" s="302"/>
      <c r="VY255" s="302"/>
      <c r="VZ255" s="302"/>
      <c r="WA255" s="302"/>
      <c r="WB255" s="302"/>
      <c r="WC255" s="302"/>
      <c r="WD255" s="302"/>
      <c r="WE255" s="302"/>
      <c r="WF255" s="302"/>
      <c r="WG255" s="302"/>
      <c r="WH255" s="302"/>
      <c r="WI255" s="302"/>
      <c r="WJ255" s="302"/>
      <c r="WK255" s="302"/>
      <c r="WL255" s="302"/>
      <c r="WM255" s="302"/>
      <c r="WN255" s="302"/>
      <c r="WO255" s="302"/>
      <c r="WP255" s="302"/>
      <c r="WQ255" s="302"/>
      <c r="WR255" s="302"/>
      <c r="WS255" s="302"/>
      <c r="WT255" s="302"/>
      <c r="WU255" s="302"/>
      <c r="WV255" s="302"/>
      <c r="WW255" s="302"/>
      <c r="WX255" s="302"/>
      <c r="WY255" s="302"/>
      <c r="WZ255" s="302"/>
      <c r="XA255" s="302"/>
      <c r="XB255" s="302"/>
      <c r="XC255" s="302"/>
      <c r="XD255" s="302"/>
      <c r="XE255" s="302"/>
      <c r="XF255" s="302"/>
      <c r="XG255" s="302"/>
      <c r="XH255" s="302"/>
      <c r="XI255" s="302"/>
      <c r="XJ255" s="302"/>
      <c r="XK255" s="302"/>
      <c r="XL255" s="302"/>
      <c r="XM255" s="302"/>
      <c r="XN255" s="302"/>
      <c r="XO255" s="302"/>
      <c r="XP255" s="302"/>
      <c r="XQ255" s="302"/>
      <c r="XR255" s="302"/>
      <c r="XS255" s="302"/>
      <c r="XT255" s="302"/>
      <c r="XU255" s="302"/>
      <c r="XV255" s="302"/>
      <c r="XW255" s="302"/>
      <c r="XX255" s="302"/>
      <c r="XY255" s="302"/>
      <c r="XZ255" s="302"/>
      <c r="YA255" s="302"/>
      <c r="YB255" s="302"/>
      <c r="YC255" s="302"/>
      <c r="YD255" s="302"/>
      <c r="YE255" s="302"/>
      <c r="YF255" s="302"/>
      <c r="YG255" s="302"/>
      <c r="YH255" s="302"/>
      <c r="YI255" s="302"/>
      <c r="YJ255" s="302"/>
      <c r="YK255" s="302"/>
      <c r="YL255" s="302"/>
      <c r="YM255" s="302"/>
      <c r="YN255" s="302"/>
      <c r="YO255" s="302"/>
      <c r="YP255" s="302"/>
      <c r="YQ255" s="302"/>
      <c r="YR255" s="302"/>
      <c r="YS255" s="302"/>
      <c r="YT255" s="302"/>
      <c r="YU255" s="302"/>
      <c r="YV255" s="302"/>
      <c r="YW255" s="302"/>
      <c r="YX255" s="302"/>
      <c r="YY255" s="302"/>
      <c r="YZ255" s="302"/>
      <c r="ZA255" s="302"/>
      <c r="ZB255" s="302"/>
      <c r="ZC255" s="302"/>
      <c r="ZD255" s="302"/>
      <c r="ZE255" s="302"/>
      <c r="ZF255" s="302"/>
      <c r="ZG255" s="302"/>
      <c r="ZH255" s="302"/>
      <c r="ZI255" s="302"/>
      <c r="ZJ255" s="302"/>
      <c r="ZK255" s="302"/>
      <c r="ZL255" s="302"/>
      <c r="ZM255" s="302"/>
      <c r="ZN255" s="302"/>
      <c r="ZO255" s="302"/>
      <c r="ZP255" s="302"/>
      <c r="ZQ255" s="302"/>
      <c r="ZR255" s="302"/>
      <c r="ZS255" s="302"/>
      <c r="ZT255" s="302"/>
      <c r="ZU255" s="302"/>
      <c r="ZV255" s="302"/>
      <c r="ZW255" s="302"/>
      <c r="ZX255" s="302"/>
      <c r="ZY255" s="302"/>
      <c r="ZZ255" s="302"/>
      <c r="AAA255" s="302"/>
      <c r="AAB255" s="302"/>
      <c r="AAC255" s="302"/>
      <c r="AAD255" s="302"/>
      <c r="AAE255" s="302"/>
      <c r="AAF255" s="302"/>
      <c r="AAG255" s="302"/>
      <c r="AAH255" s="302"/>
      <c r="AAI255" s="302"/>
      <c r="AAJ255" s="302"/>
      <c r="AAK255" s="302"/>
      <c r="AAL255" s="302"/>
      <c r="AAM255" s="302"/>
      <c r="AAN255" s="302"/>
      <c r="AAO255" s="302"/>
      <c r="AAP255" s="302"/>
      <c r="AAQ255" s="302"/>
      <c r="AAR255" s="302"/>
      <c r="AAS255" s="302"/>
      <c r="AAT255" s="302"/>
      <c r="AAU255" s="302"/>
      <c r="AAV255" s="302"/>
      <c r="AAW255" s="302"/>
      <c r="AAX255" s="302"/>
      <c r="AAY255" s="302"/>
      <c r="AAZ255" s="302"/>
      <c r="ABA255" s="302"/>
      <c r="ABB255" s="302"/>
      <c r="ABC255" s="302"/>
      <c r="ABD255" s="302"/>
      <c r="ABE255" s="302"/>
      <c r="ABF255" s="302"/>
      <c r="ABG255" s="302"/>
      <c r="ABH255" s="302"/>
      <c r="ABI255" s="302"/>
      <c r="ABJ255" s="302"/>
      <c r="ABK255" s="302"/>
      <c r="ABL255" s="302"/>
      <c r="ABM255" s="302"/>
      <c r="ABN255" s="302"/>
      <c r="ABO255" s="302"/>
      <c r="ABP255" s="302"/>
      <c r="ABQ255" s="302"/>
      <c r="ABR255" s="302"/>
      <c r="ABS255" s="302"/>
      <c r="ABT255" s="302"/>
      <c r="ABU255" s="302"/>
      <c r="ABV255" s="302"/>
      <c r="ABW255" s="302"/>
      <c r="ABX255" s="302"/>
      <c r="ABY255" s="302"/>
      <c r="ABZ255" s="302"/>
      <c r="ACA255" s="302"/>
      <c r="ACB255" s="302"/>
      <c r="ACC255" s="302"/>
      <c r="ACD255" s="302"/>
      <c r="ACE255" s="302"/>
      <c r="ACF255" s="302"/>
      <c r="ACG255" s="302"/>
      <c r="ACH255" s="302"/>
      <c r="ACI255" s="302"/>
      <c r="ACJ255" s="302"/>
      <c r="ACK255" s="302"/>
      <c r="ACL255" s="302"/>
      <c r="ACM255" s="302"/>
      <c r="ACN255" s="302"/>
      <c r="ACO255" s="302"/>
      <c r="ACP255" s="302"/>
      <c r="ACQ255" s="302"/>
      <c r="ACR255" s="302"/>
      <c r="ACS255" s="302"/>
      <c r="ACT255" s="302"/>
      <c r="ACU255" s="302"/>
      <c r="ACV255" s="302"/>
      <c r="ACW255" s="302"/>
      <c r="ACX255" s="302"/>
      <c r="ACY255" s="302"/>
      <c r="ACZ255" s="302"/>
      <c r="ADA255" s="302"/>
      <c r="ADB255" s="302"/>
      <c r="ADC255" s="302"/>
      <c r="ADD255" s="302"/>
      <c r="ADE255" s="302"/>
      <c r="ADF255" s="302"/>
      <c r="ADG255" s="302"/>
      <c r="ADH255" s="302"/>
      <c r="ADI255" s="302"/>
      <c r="ADJ255" s="302"/>
      <c r="ADK255" s="302"/>
      <c r="ADL255" s="302"/>
      <c r="ADM255" s="302"/>
      <c r="ADN255" s="302"/>
      <c r="ADO255" s="302"/>
      <c r="ADP255" s="302"/>
      <c r="ADQ255" s="302"/>
      <c r="ADR255" s="302"/>
      <c r="ADS255" s="302"/>
      <c r="ADT255" s="302"/>
      <c r="ADU255" s="302"/>
      <c r="ADV255" s="302"/>
      <c r="ADW255" s="302"/>
      <c r="ADX255" s="302"/>
      <c r="ADY255" s="302"/>
      <c r="ADZ255" s="302"/>
      <c r="AEA255" s="302"/>
      <c r="AEB255" s="302"/>
      <c r="AEC255" s="302"/>
      <c r="AED255" s="302"/>
      <c r="AEE255" s="302"/>
      <c r="AEF255" s="302"/>
      <c r="AEG255" s="302"/>
      <c r="AEH255" s="302"/>
      <c r="AEI255" s="302"/>
      <c r="AEJ255" s="302"/>
      <c r="AEK255" s="302"/>
      <c r="AEL255" s="302"/>
      <c r="AEM255" s="302"/>
      <c r="AEN255" s="302"/>
      <c r="AEO255" s="302"/>
      <c r="AEP255" s="302"/>
      <c r="AEQ255" s="302"/>
      <c r="AER255" s="302"/>
      <c r="AES255" s="302"/>
      <c r="AET255" s="302"/>
      <c r="AEU255" s="302"/>
      <c r="AEV255" s="302"/>
      <c r="AEW255" s="302"/>
      <c r="AEX255" s="302"/>
      <c r="AEY255" s="302"/>
      <c r="AEZ255" s="302"/>
      <c r="AFA255" s="302"/>
      <c r="AFB255" s="302"/>
      <c r="AFC255" s="302"/>
      <c r="AFD255" s="302"/>
      <c r="AFE255" s="302"/>
      <c r="AFF255" s="302"/>
      <c r="AFG255" s="302"/>
      <c r="AFH255" s="302"/>
      <c r="AFI255" s="302"/>
      <c r="AFJ255" s="302"/>
      <c r="AFK255" s="302"/>
      <c r="AFL255" s="302"/>
      <c r="AFM255" s="302"/>
      <c r="AFN255" s="302"/>
      <c r="AFO255" s="302"/>
      <c r="AFP255" s="302"/>
      <c r="AFQ255" s="302"/>
      <c r="AFR255" s="302"/>
      <c r="AFS255" s="302"/>
      <c r="AFT255" s="302"/>
      <c r="AFU255" s="302"/>
      <c r="AFV255" s="302"/>
      <c r="AFW255" s="302"/>
      <c r="AFX255" s="302"/>
      <c r="AFY255" s="302"/>
      <c r="AFZ255" s="302"/>
      <c r="AGA255" s="302"/>
      <c r="AGB255" s="302"/>
      <c r="AGC255" s="302"/>
      <c r="AGD255" s="302"/>
      <c r="AGE255" s="302"/>
      <c r="AGF255" s="302"/>
      <c r="AGG255" s="302"/>
      <c r="AGH255" s="302"/>
      <c r="AGI255" s="302"/>
      <c r="AGJ255" s="302"/>
      <c r="AGK255" s="302"/>
      <c r="AGL255" s="302"/>
      <c r="AGM255" s="302"/>
      <c r="AGN255" s="302"/>
      <c r="AGO255" s="302"/>
      <c r="AGP255" s="302"/>
      <c r="AGQ255" s="302"/>
      <c r="AGR255" s="302"/>
      <c r="AGS255" s="302"/>
      <c r="AGT255" s="302"/>
      <c r="AGU255" s="302"/>
      <c r="AGV255" s="302"/>
      <c r="AGW255" s="302"/>
      <c r="AGX255" s="302"/>
      <c r="AGY255" s="302"/>
      <c r="AGZ255" s="302"/>
      <c r="AHA255" s="302"/>
      <c r="AHB255" s="302"/>
      <c r="AHC255" s="302"/>
      <c r="AHD255" s="302"/>
      <c r="AHE255" s="302"/>
      <c r="AHF255" s="302"/>
      <c r="AHG255" s="302"/>
      <c r="AHH255" s="302"/>
      <c r="AHI255" s="302"/>
      <c r="AHJ255" s="302"/>
      <c r="AHK255" s="302"/>
      <c r="AHL255" s="302"/>
      <c r="AHM255" s="302"/>
      <c r="AHN255" s="302"/>
      <c r="AHO255" s="302"/>
      <c r="AHP255" s="302"/>
      <c r="AHQ255" s="302"/>
      <c r="AHR255" s="302"/>
      <c r="AHS255" s="302"/>
      <c r="AHT255" s="302"/>
      <c r="AHU255" s="302"/>
      <c r="AHV255" s="302"/>
      <c r="AHW255" s="302"/>
      <c r="AHX255" s="302"/>
      <c r="AHY255" s="302"/>
      <c r="AHZ255" s="302"/>
      <c r="AIA255" s="302"/>
      <c r="AIB255" s="302"/>
      <c r="AIC255" s="302"/>
      <c r="AID255" s="302"/>
      <c r="AIE255" s="302"/>
      <c r="AIF255" s="302"/>
      <c r="AIG255" s="302"/>
      <c r="AIH255" s="302"/>
      <c r="AII255" s="302"/>
      <c r="AIJ255" s="302"/>
      <c r="AIK255" s="302"/>
      <c r="AIL255" s="302"/>
      <c r="AIM255" s="302"/>
      <c r="AIN255" s="302"/>
      <c r="AIO255" s="302"/>
      <c r="AIP255" s="302"/>
      <c r="AIQ255" s="302"/>
      <c r="AIR255" s="302"/>
      <c r="AIS255" s="302"/>
      <c r="AIT255" s="302"/>
      <c r="AIU255" s="302"/>
      <c r="AIV255" s="302"/>
      <c r="AIW255" s="302"/>
      <c r="AIX255" s="302"/>
      <c r="AIY255" s="302"/>
      <c r="AIZ255" s="302"/>
      <c r="AJA255" s="302"/>
      <c r="AJB255" s="302"/>
      <c r="AJC255" s="302"/>
      <c r="AJD255" s="302"/>
      <c r="AJE255" s="302"/>
      <c r="AJF255" s="302"/>
      <c r="AJG255" s="302"/>
      <c r="AJH255" s="302"/>
      <c r="AJI255" s="302"/>
      <c r="AJJ255" s="302"/>
      <c r="AJK255" s="302"/>
      <c r="AJL255" s="302"/>
      <c r="AJM255" s="302"/>
      <c r="AJN255" s="302"/>
      <c r="AJO255" s="302"/>
      <c r="AJP255" s="302"/>
      <c r="AJQ255" s="302"/>
      <c r="AJR255" s="302"/>
      <c r="AJS255" s="302"/>
      <c r="AJT255" s="302"/>
      <c r="AJU255" s="302"/>
      <c r="AJV255" s="302"/>
      <c r="AJW255" s="302"/>
      <c r="AJX255" s="302"/>
      <c r="AJY255" s="302"/>
      <c r="AJZ255" s="302"/>
      <c r="AKA255" s="302"/>
      <c r="AKB255" s="302"/>
      <c r="AKC255" s="302"/>
      <c r="AKD255" s="302"/>
      <c r="AKE255" s="302"/>
      <c r="AKF255" s="302"/>
      <c r="AKG255" s="302"/>
      <c r="AKH255" s="302"/>
      <c r="AKI255" s="302"/>
      <c r="AKJ255" s="302"/>
      <c r="AKK255" s="302"/>
      <c r="AKL255" s="302"/>
      <c r="AKM255" s="302"/>
      <c r="AKN255" s="302"/>
      <c r="AKO255" s="302"/>
      <c r="AKP255" s="302"/>
      <c r="AKQ255" s="302"/>
      <c r="AKR255" s="302"/>
      <c r="AKS255" s="302"/>
      <c r="AKT255" s="302"/>
      <c r="AKU255" s="302"/>
      <c r="AKV255" s="302"/>
      <c r="AKW255" s="302"/>
      <c r="AKX255" s="302"/>
      <c r="AKY255" s="302"/>
      <c r="AKZ255" s="302"/>
      <c r="ALA255" s="302"/>
      <c r="ALB255" s="302"/>
      <c r="ALC255" s="302"/>
      <c r="ALD255" s="302"/>
      <c r="ALE255" s="302"/>
      <c r="ALF255" s="302"/>
      <c r="ALG255" s="302"/>
      <c r="ALH255" s="302"/>
      <c r="ALI255" s="302"/>
      <c r="ALJ255" s="302"/>
      <c r="ALK255" s="302"/>
      <c r="ALL255" s="302"/>
      <c r="ALM255" s="302"/>
      <c r="ALN255" s="302"/>
      <c r="ALO255" s="302"/>
      <c r="ALP255" s="302"/>
      <c r="ALQ255" s="302"/>
      <c r="ALR255" s="302"/>
      <c r="ALS255" s="302"/>
      <c r="ALT255" s="302"/>
      <c r="ALU255" s="302"/>
      <c r="ALV255" s="302"/>
      <c r="ALW255" s="302"/>
      <c r="ALX255" s="302"/>
      <c r="ALY255" s="302"/>
      <c r="ALZ255" s="302"/>
      <c r="AMA255" s="302"/>
      <c r="AMB255" s="302"/>
      <c r="AMC255" s="302"/>
      <c r="AMD255" s="302"/>
      <c r="AME255" s="302"/>
      <c r="AMF255" s="302"/>
      <c r="AMG255" s="302"/>
      <c r="AMH255" s="302"/>
      <c r="AMI255" s="302"/>
      <c r="AMJ255" s="302"/>
    </row>
    <row r="256" spans="1:1024">
      <c r="A256" s="243"/>
      <c r="B256" s="243"/>
      <c r="C256" s="243"/>
      <c r="D256" s="243"/>
      <c r="E256" s="243"/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  <c r="AA256" s="243"/>
      <c r="AB256" s="243"/>
      <c r="AC256" s="243"/>
      <c r="AD256" s="243"/>
      <c r="AE256" s="243"/>
      <c r="AF256" s="243"/>
      <c r="AG256" s="243"/>
      <c r="AH256" s="243"/>
      <c r="AI256" s="243"/>
      <c r="AJ256" s="243"/>
      <c r="AK256" s="243"/>
      <c r="AL256" s="243"/>
      <c r="AM256" s="243"/>
      <c r="AN256" s="243"/>
      <c r="AO256" s="243"/>
      <c r="AP256" s="243"/>
      <c r="AQ256" s="243"/>
      <c r="AR256" s="243"/>
      <c r="AS256" s="243"/>
      <c r="AT256" s="243"/>
      <c r="AU256" s="243"/>
      <c r="AV256" s="243"/>
      <c r="AW256" s="243"/>
      <c r="AX256" s="243"/>
      <c r="AY256" s="243"/>
      <c r="AZ256" s="243"/>
      <c r="BA256" s="243"/>
      <c r="BB256" s="243"/>
      <c r="BC256" s="243"/>
      <c r="BD256" s="243"/>
      <c r="BE256" s="243"/>
      <c r="BF256" s="243"/>
      <c r="BG256" s="243"/>
      <c r="BH256" s="243"/>
      <c r="BI256" s="243"/>
      <c r="BJ256" s="243"/>
      <c r="BK256" s="243"/>
      <c r="BL256" s="243"/>
      <c r="BM256" s="243"/>
      <c r="BN256" s="243"/>
      <c r="BO256" s="243"/>
      <c r="BP256" s="243"/>
      <c r="BQ256" s="243"/>
      <c r="BR256" s="243"/>
      <c r="BS256" s="243"/>
      <c r="BT256" s="243"/>
      <c r="BU256" s="243"/>
      <c r="BV256" s="243"/>
      <c r="BW256" s="243"/>
      <c r="BX256" s="243"/>
      <c r="BY256" s="243"/>
      <c r="BZ256" s="243"/>
      <c r="CA256" s="243"/>
      <c r="CB256" s="243"/>
      <c r="CC256" s="243"/>
      <c r="CD256" s="243"/>
      <c r="CE256" s="243"/>
      <c r="CF256" s="243"/>
      <c r="CG256" s="243"/>
      <c r="CH256" s="243"/>
      <c r="CI256" s="243"/>
      <c r="CJ256" s="243"/>
      <c r="CK256" s="243"/>
      <c r="CL256" s="243"/>
      <c r="CM256" s="243"/>
      <c r="CN256" s="243"/>
      <c r="CO256" s="243"/>
      <c r="CP256" s="243"/>
      <c r="CQ256" s="243"/>
      <c r="CR256" s="243"/>
      <c r="CS256" s="243"/>
      <c r="CT256" s="243"/>
      <c r="CU256" s="243"/>
      <c r="CV256" s="243"/>
      <c r="CW256" s="243"/>
      <c r="CX256" s="243"/>
      <c r="CY256" s="243"/>
      <c r="CZ256" s="243"/>
      <c r="DA256" s="243"/>
      <c r="DB256" s="243"/>
      <c r="DC256" s="243"/>
      <c r="DD256" s="243"/>
      <c r="DE256" s="243"/>
      <c r="DF256" s="243"/>
      <c r="DG256" s="243"/>
      <c r="DH256" s="243"/>
      <c r="DI256" s="243"/>
      <c r="DJ256" s="243"/>
      <c r="DK256" s="243"/>
      <c r="DL256" s="243"/>
      <c r="DM256" s="243"/>
      <c r="DN256" s="243"/>
      <c r="DO256" s="243"/>
      <c r="DP256" s="243"/>
      <c r="DQ256" s="243"/>
      <c r="DR256" s="243"/>
      <c r="DS256" s="243"/>
      <c r="DT256" s="243"/>
      <c r="DU256" s="243"/>
      <c r="DV256" s="243"/>
      <c r="DW256" s="243"/>
      <c r="DX256" s="243"/>
      <c r="DY256" s="243"/>
      <c r="DZ256" s="243"/>
      <c r="EA256" s="243"/>
      <c r="EB256" s="243"/>
      <c r="EC256" s="243"/>
      <c r="ED256" s="243"/>
      <c r="EE256" s="243"/>
      <c r="EF256" s="243"/>
      <c r="EG256" s="243"/>
      <c r="EH256" s="243"/>
      <c r="EI256" s="243"/>
      <c r="EJ256" s="243"/>
      <c r="EK256" s="243"/>
      <c r="EL256" s="243"/>
      <c r="EM256" s="243"/>
      <c r="EN256" s="243"/>
      <c r="EO256" s="243"/>
      <c r="EP256" s="243"/>
      <c r="EQ256" s="243"/>
      <c r="ER256" s="243"/>
      <c r="ES256" s="243"/>
      <c r="ET256" s="243"/>
      <c r="EU256" s="243"/>
      <c r="EV256" s="243"/>
      <c r="EW256" s="243"/>
      <c r="EX256" s="243"/>
      <c r="EY256" s="243"/>
      <c r="EZ256" s="243"/>
      <c r="FA256" s="243"/>
      <c r="FB256" s="243"/>
      <c r="FC256" s="243"/>
      <c r="FD256" s="243"/>
      <c r="FE256" s="243"/>
      <c r="FF256" s="243"/>
      <c r="FG256" s="243"/>
      <c r="FH256" s="243"/>
      <c r="FI256" s="243"/>
      <c r="FJ256" s="243"/>
      <c r="FK256" s="243"/>
      <c r="FL256" s="243"/>
      <c r="FM256" s="243"/>
      <c r="FN256" s="243"/>
      <c r="FO256" s="243"/>
      <c r="FP256" s="243"/>
      <c r="FQ256" s="243"/>
      <c r="FR256" s="243"/>
      <c r="FS256" s="243"/>
      <c r="FT256" s="243"/>
      <c r="FU256" s="243"/>
      <c r="FV256" s="243"/>
      <c r="FW256" s="243"/>
      <c r="FX256" s="243"/>
      <c r="FY256" s="243"/>
      <c r="FZ256" s="243"/>
      <c r="GA256" s="243"/>
      <c r="GB256" s="243"/>
      <c r="GC256" s="243"/>
      <c r="GD256" s="243"/>
      <c r="GE256" s="243"/>
      <c r="GF256" s="243"/>
      <c r="GG256" s="243"/>
      <c r="GH256" s="243"/>
      <c r="GI256" s="243"/>
      <c r="GJ256" s="243"/>
      <c r="GK256" s="243"/>
      <c r="GL256" s="243"/>
      <c r="GM256" s="243"/>
      <c r="GN256" s="243"/>
      <c r="GO256" s="243"/>
      <c r="GP256" s="243"/>
      <c r="GQ256" s="243"/>
      <c r="GR256" s="243"/>
      <c r="GS256" s="243"/>
      <c r="GT256" s="243"/>
      <c r="GU256" s="243"/>
      <c r="GV256" s="243"/>
      <c r="GW256" s="243"/>
      <c r="GX256" s="243"/>
      <c r="GY256" s="243"/>
      <c r="GZ256" s="243"/>
      <c r="HA256" s="243"/>
      <c r="HB256" s="243"/>
      <c r="HC256" s="243"/>
      <c r="HD256" s="243"/>
      <c r="HE256" s="243"/>
      <c r="HF256" s="243"/>
      <c r="HG256" s="243"/>
      <c r="HH256" s="243"/>
      <c r="HI256" s="243"/>
      <c r="HJ256" s="243"/>
      <c r="HK256" s="243"/>
      <c r="HL256" s="243"/>
      <c r="HM256" s="243"/>
      <c r="HN256" s="243"/>
      <c r="HO256" s="243"/>
      <c r="HP256" s="243"/>
      <c r="HQ256" s="243"/>
      <c r="HR256" s="243"/>
      <c r="HS256" s="243"/>
      <c r="HT256" s="243"/>
      <c r="HU256" s="243"/>
      <c r="HV256" s="243"/>
      <c r="HW256" s="243"/>
      <c r="HX256" s="243"/>
      <c r="HY256" s="243"/>
      <c r="HZ256" s="243"/>
      <c r="IA256" s="243"/>
      <c r="IB256" s="243"/>
      <c r="IC256" s="243"/>
      <c r="ID256" s="243"/>
      <c r="IE256" s="243"/>
      <c r="IF256" s="243"/>
      <c r="IG256" s="243"/>
      <c r="IH256" s="243"/>
      <c r="II256" s="243"/>
      <c r="IJ256" s="243"/>
      <c r="IK256" s="243"/>
      <c r="IL256" s="243"/>
      <c r="IM256" s="243"/>
      <c r="IN256" s="243"/>
      <c r="IO256" s="243"/>
      <c r="IP256" s="243"/>
      <c r="IQ256" s="243"/>
      <c r="IR256" s="243"/>
      <c r="IS256" s="243"/>
      <c r="IT256" s="243"/>
      <c r="IU256" s="243"/>
      <c r="IV256" s="243"/>
      <c r="IW256" s="243"/>
      <c r="IX256" s="243"/>
      <c r="IY256" s="243"/>
      <c r="IZ256" s="243"/>
      <c r="JA256" s="243"/>
      <c r="JB256" s="243"/>
      <c r="JC256" s="243"/>
      <c r="JD256" s="243"/>
      <c r="JE256" s="243"/>
      <c r="JF256" s="243"/>
      <c r="JG256" s="243"/>
      <c r="JH256" s="243"/>
      <c r="JI256" s="243"/>
      <c r="JJ256" s="243"/>
      <c r="JK256" s="243"/>
      <c r="JL256" s="243"/>
      <c r="JM256" s="243"/>
      <c r="JN256" s="243"/>
      <c r="JO256" s="243"/>
      <c r="JP256" s="243"/>
      <c r="JQ256" s="243"/>
      <c r="JR256" s="243"/>
      <c r="JS256" s="243"/>
      <c r="JT256" s="243"/>
      <c r="JU256" s="243"/>
      <c r="JV256" s="243"/>
      <c r="JW256" s="243"/>
      <c r="JX256" s="243"/>
      <c r="JY256" s="243"/>
      <c r="JZ256" s="243"/>
      <c r="KA256" s="243"/>
      <c r="KB256" s="243"/>
      <c r="KC256" s="243"/>
      <c r="KD256" s="243"/>
      <c r="KE256" s="243"/>
      <c r="KF256" s="243"/>
      <c r="KG256" s="243"/>
      <c r="KH256" s="243"/>
      <c r="KI256" s="243"/>
      <c r="KJ256" s="243"/>
      <c r="KK256" s="243"/>
      <c r="KL256" s="243"/>
      <c r="KM256" s="243"/>
      <c r="KN256" s="243"/>
      <c r="KO256" s="243"/>
      <c r="KP256" s="243"/>
      <c r="KQ256" s="243"/>
      <c r="KR256" s="243"/>
      <c r="KS256" s="243"/>
      <c r="KT256" s="243"/>
      <c r="KU256" s="243"/>
      <c r="KV256" s="243"/>
      <c r="KW256" s="243"/>
      <c r="KX256" s="243"/>
      <c r="KY256" s="243"/>
      <c r="KZ256" s="243"/>
      <c r="LA256" s="243"/>
      <c r="LB256" s="243"/>
      <c r="LC256" s="243"/>
      <c r="LD256" s="243"/>
      <c r="LE256" s="243"/>
      <c r="LF256" s="243"/>
      <c r="LG256" s="243"/>
      <c r="LH256" s="243"/>
      <c r="LI256" s="243"/>
      <c r="LJ256" s="243"/>
      <c r="LK256" s="243"/>
      <c r="LL256" s="243"/>
      <c r="LM256" s="243"/>
      <c r="LN256" s="243"/>
      <c r="LO256" s="243"/>
      <c r="LP256" s="243"/>
      <c r="LQ256" s="243"/>
      <c r="LR256" s="243"/>
      <c r="LS256" s="243"/>
      <c r="LT256" s="243"/>
      <c r="LU256" s="243"/>
      <c r="LV256" s="243"/>
      <c r="LW256" s="243"/>
      <c r="LX256" s="243"/>
      <c r="LY256" s="243"/>
      <c r="LZ256" s="243"/>
      <c r="MA256" s="243"/>
      <c r="MB256" s="243"/>
      <c r="MC256" s="243"/>
      <c r="MD256" s="243"/>
      <c r="ME256" s="243"/>
      <c r="MF256" s="243"/>
      <c r="MG256" s="243"/>
      <c r="MH256" s="243"/>
      <c r="MI256" s="243"/>
      <c r="MJ256" s="243"/>
      <c r="MK256" s="243"/>
      <c r="ML256" s="243"/>
      <c r="MM256" s="243"/>
      <c r="MN256" s="243"/>
      <c r="MO256" s="243"/>
      <c r="MP256" s="243"/>
      <c r="MQ256" s="243"/>
      <c r="MR256" s="243"/>
      <c r="MS256" s="243"/>
      <c r="MT256" s="243"/>
      <c r="MU256" s="243"/>
      <c r="MV256" s="243"/>
      <c r="MW256" s="243"/>
      <c r="MX256" s="243"/>
      <c r="MY256" s="243"/>
      <c r="MZ256" s="243"/>
      <c r="NA256" s="243"/>
      <c r="NB256" s="243"/>
      <c r="NC256" s="243"/>
      <c r="ND256" s="243"/>
      <c r="NE256" s="243"/>
      <c r="NF256" s="243"/>
      <c r="NG256" s="243"/>
      <c r="NH256" s="243"/>
      <c r="NI256" s="243"/>
      <c r="NJ256" s="243"/>
      <c r="NK256" s="243"/>
      <c r="NL256" s="243"/>
      <c r="NM256" s="243"/>
      <c r="NN256" s="243"/>
      <c r="NO256" s="243"/>
      <c r="NP256" s="243"/>
      <c r="NQ256" s="243"/>
      <c r="NR256" s="243"/>
      <c r="NS256" s="243"/>
      <c r="NT256" s="243"/>
      <c r="NU256" s="243"/>
      <c r="NV256" s="243"/>
      <c r="NW256" s="243"/>
      <c r="NX256" s="243"/>
      <c r="NY256" s="243"/>
      <c r="NZ256" s="243"/>
      <c r="OA256" s="243"/>
      <c r="OB256" s="243"/>
      <c r="OC256" s="243"/>
      <c r="OD256" s="243"/>
      <c r="OE256" s="243"/>
      <c r="OF256" s="243"/>
      <c r="OG256" s="243"/>
      <c r="OH256" s="243"/>
      <c r="OI256" s="243"/>
      <c r="OJ256" s="243"/>
      <c r="OK256" s="243"/>
      <c r="OL256" s="243"/>
      <c r="OM256" s="243"/>
      <c r="ON256" s="243"/>
      <c r="OO256" s="243"/>
      <c r="OP256" s="243"/>
      <c r="OQ256" s="243"/>
      <c r="OR256" s="243"/>
      <c r="OS256" s="243"/>
      <c r="OT256" s="243"/>
      <c r="OU256" s="243"/>
      <c r="OV256" s="243"/>
      <c r="OW256" s="243"/>
      <c r="OX256" s="243"/>
      <c r="OY256" s="243"/>
      <c r="OZ256" s="243"/>
      <c r="PA256" s="243"/>
      <c r="PB256" s="243"/>
      <c r="PC256" s="243"/>
      <c r="PD256" s="243"/>
      <c r="PE256" s="243"/>
      <c r="PF256" s="243"/>
      <c r="PG256" s="243"/>
      <c r="PH256" s="243"/>
      <c r="PI256" s="243"/>
      <c r="PJ256" s="243"/>
      <c r="PK256" s="243"/>
      <c r="PL256" s="243"/>
      <c r="PM256" s="243"/>
      <c r="PN256" s="243"/>
      <c r="PO256" s="243"/>
      <c r="PP256" s="243"/>
      <c r="PQ256" s="243"/>
      <c r="PR256" s="243"/>
      <c r="PS256" s="243"/>
      <c r="PT256" s="243"/>
      <c r="PU256" s="243"/>
      <c r="PV256" s="243"/>
      <c r="PW256" s="243"/>
      <c r="PX256" s="243"/>
      <c r="PY256" s="243"/>
      <c r="PZ256" s="243"/>
      <c r="QA256" s="243"/>
      <c r="QB256" s="243"/>
      <c r="QC256" s="243"/>
      <c r="QD256" s="243"/>
      <c r="QE256" s="243"/>
      <c r="QF256" s="243"/>
      <c r="QG256" s="243"/>
      <c r="QH256" s="243"/>
      <c r="QI256" s="243"/>
      <c r="QJ256" s="243"/>
      <c r="QK256" s="243"/>
      <c r="QL256" s="243"/>
      <c r="QM256" s="243"/>
      <c r="QN256" s="243"/>
      <c r="QO256" s="243"/>
      <c r="QP256" s="243"/>
      <c r="QQ256" s="243"/>
      <c r="QR256" s="243"/>
      <c r="QS256" s="243"/>
      <c r="QT256" s="243"/>
      <c r="QU256" s="243"/>
      <c r="QV256" s="243"/>
      <c r="QW256" s="243"/>
      <c r="QX256" s="243"/>
      <c r="QY256" s="243"/>
      <c r="QZ256" s="243"/>
      <c r="RA256" s="243"/>
      <c r="RB256" s="243"/>
      <c r="RC256" s="243"/>
      <c r="RD256" s="243"/>
      <c r="RE256" s="243"/>
      <c r="RF256" s="243"/>
      <c r="RG256" s="243"/>
      <c r="RH256" s="243"/>
      <c r="RI256" s="243"/>
      <c r="RJ256" s="243"/>
      <c r="RK256" s="243"/>
      <c r="RL256" s="243"/>
      <c r="RM256" s="243"/>
      <c r="RN256" s="243"/>
      <c r="RO256" s="243"/>
      <c r="RP256" s="243"/>
      <c r="RQ256" s="243"/>
      <c r="RR256" s="243"/>
      <c r="RS256" s="243"/>
      <c r="RT256" s="243"/>
      <c r="RU256" s="243"/>
      <c r="RV256" s="243"/>
      <c r="RW256" s="243"/>
      <c r="RX256" s="243"/>
      <c r="RY256" s="243"/>
      <c r="RZ256" s="243"/>
      <c r="SA256" s="243"/>
      <c r="SB256" s="243"/>
      <c r="SC256" s="243"/>
      <c r="SD256" s="243"/>
      <c r="SE256" s="243"/>
      <c r="SF256" s="243"/>
      <c r="SG256" s="243"/>
      <c r="SH256" s="243"/>
      <c r="SI256" s="243"/>
      <c r="SJ256" s="243"/>
      <c r="SK256" s="243"/>
      <c r="SL256" s="243"/>
      <c r="SM256" s="243"/>
      <c r="SN256" s="243"/>
      <c r="SO256" s="243"/>
      <c r="SP256" s="243"/>
      <c r="SQ256" s="243"/>
      <c r="SR256" s="243"/>
      <c r="SS256" s="243"/>
      <c r="ST256" s="243"/>
      <c r="SU256" s="243"/>
      <c r="SV256" s="243"/>
      <c r="SW256" s="243"/>
      <c r="SX256" s="243"/>
      <c r="SY256" s="243"/>
      <c r="SZ256" s="243"/>
      <c r="TA256" s="243"/>
      <c r="TB256" s="243"/>
      <c r="TC256" s="243"/>
      <c r="TD256" s="243"/>
      <c r="TE256" s="243"/>
      <c r="TF256" s="243"/>
      <c r="TG256" s="243"/>
      <c r="TH256" s="243"/>
      <c r="TI256" s="243"/>
      <c r="TJ256" s="243"/>
      <c r="TK256" s="243"/>
      <c r="TL256" s="243"/>
      <c r="TM256" s="243"/>
      <c r="TN256" s="243"/>
      <c r="TO256" s="243"/>
      <c r="TP256" s="243"/>
      <c r="TQ256" s="243"/>
      <c r="TR256" s="243"/>
      <c r="TS256" s="243"/>
      <c r="TT256" s="243"/>
      <c r="TU256" s="243"/>
      <c r="TV256" s="243"/>
      <c r="TW256" s="243"/>
      <c r="TX256" s="243"/>
      <c r="TY256" s="243"/>
      <c r="TZ256" s="243"/>
      <c r="UA256" s="243"/>
      <c r="UB256" s="243"/>
      <c r="UC256" s="243"/>
      <c r="UD256" s="243"/>
      <c r="UE256" s="243"/>
      <c r="UF256" s="243"/>
      <c r="UG256" s="243"/>
      <c r="UH256" s="243"/>
      <c r="UI256" s="243"/>
      <c r="UJ256" s="243"/>
      <c r="UK256" s="243"/>
      <c r="UL256" s="243"/>
      <c r="UM256" s="243"/>
      <c r="UN256" s="243"/>
      <c r="UO256" s="243"/>
      <c r="UP256" s="243"/>
      <c r="UQ256" s="243"/>
      <c r="UR256" s="243"/>
      <c r="US256" s="243"/>
      <c r="UT256" s="243"/>
      <c r="UU256" s="243"/>
      <c r="UV256" s="243"/>
      <c r="UW256" s="243"/>
      <c r="UX256" s="243"/>
      <c r="UY256" s="243"/>
      <c r="UZ256" s="243"/>
      <c r="VA256" s="243"/>
      <c r="VB256" s="243"/>
      <c r="VC256" s="243"/>
      <c r="VD256" s="243"/>
      <c r="VE256" s="243"/>
      <c r="VF256" s="243"/>
      <c r="VG256" s="243"/>
      <c r="VH256" s="243"/>
      <c r="VI256" s="243"/>
      <c r="VJ256" s="243"/>
      <c r="VK256" s="243"/>
      <c r="VL256" s="243"/>
      <c r="VM256" s="243"/>
      <c r="VN256" s="243"/>
      <c r="VO256" s="243"/>
      <c r="VP256" s="243"/>
      <c r="VQ256" s="243"/>
      <c r="VR256" s="243"/>
      <c r="VS256" s="243"/>
      <c r="VT256" s="243"/>
      <c r="VU256" s="243"/>
      <c r="VV256" s="243"/>
      <c r="VW256" s="243"/>
      <c r="VX256" s="243"/>
      <c r="VY256" s="243"/>
      <c r="VZ256" s="243"/>
      <c r="WA256" s="243"/>
      <c r="WB256" s="243"/>
      <c r="WC256" s="243"/>
      <c r="WD256" s="243"/>
      <c r="WE256" s="243"/>
      <c r="WF256" s="243"/>
      <c r="WG256" s="243"/>
      <c r="WH256" s="243"/>
      <c r="WI256" s="243"/>
      <c r="WJ256" s="243"/>
      <c r="WK256" s="243"/>
      <c r="WL256" s="243"/>
      <c r="WM256" s="243"/>
      <c r="WN256" s="243"/>
      <c r="WO256" s="243"/>
      <c r="WP256" s="243"/>
      <c r="WQ256" s="243"/>
      <c r="WR256" s="243"/>
      <c r="WS256" s="243"/>
      <c r="WT256" s="243"/>
      <c r="WU256" s="243"/>
      <c r="WV256" s="243"/>
      <c r="WW256" s="243"/>
      <c r="WX256" s="243"/>
      <c r="WY256" s="243"/>
      <c r="WZ256" s="243"/>
      <c r="XA256" s="243"/>
      <c r="XB256" s="243"/>
      <c r="XC256" s="243"/>
      <c r="XD256" s="243"/>
      <c r="XE256" s="243"/>
      <c r="XF256" s="243"/>
      <c r="XG256" s="243"/>
      <c r="XH256" s="243"/>
      <c r="XI256" s="243"/>
      <c r="XJ256" s="243"/>
      <c r="XK256" s="243"/>
      <c r="XL256" s="243"/>
      <c r="XM256" s="243"/>
      <c r="XN256" s="243"/>
      <c r="XO256" s="243"/>
      <c r="XP256" s="243"/>
      <c r="XQ256" s="243"/>
      <c r="XR256" s="243"/>
      <c r="XS256" s="243"/>
      <c r="XT256" s="243"/>
      <c r="XU256" s="243"/>
      <c r="XV256" s="243"/>
      <c r="XW256" s="243"/>
      <c r="XX256" s="243"/>
      <c r="XY256" s="243"/>
      <c r="XZ256" s="243"/>
      <c r="YA256" s="243"/>
      <c r="YB256" s="243"/>
      <c r="YC256" s="243"/>
      <c r="YD256" s="243"/>
      <c r="YE256" s="243"/>
      <c r="YF256" s="243"/>
      <c r="YG256" s="243"/>
      <c r="YH256" s="243"/>
      <c r="YI256" s="243"/>
      <c r="YJ256" s="243"/>
      <c r="YK256" s="243"/>
      <c r="YL256" s="243"/>
      <c r="YM256" s="243"/>
      <c r="YN256" s="243"/>
      <c r="YO256" s="243"/>
      <c r="YP256" s="243"/>
      <c r="YQ256" s="243"/>
      <c r="YR256" s="243"/>
      <c r="YS256" s="243"/>
      <c r="YT256" s="243"/>
      <c r="YU256" s="243"/>
      <c r="YV256" s="243"/>
      <c r="YW256" s="243"/>
      <c r="YX256" s="243"/>
      <c r="YY256" s="243"/>
      <c r="YZ256" s="243"/>
      <c r="ZA256" s="243"/>
      <c r="ZB256" s="243"/>
      <c r="ZC256" s="243"/>
      <c r="ZD256" s="243"/>
      <c r="ZE256" s="243"/>
      <c r="ZF256" s="243"/>
      <c r="ZG256" s="243"/>
      <c r="ZH256" s="243"/>
      <c r="ZI256" s="243"/>
      <c r="ZJ256" s="243"/>
      <c r="ZK256" s="243"/>
      <c r="ZL256" s="243"/>
      <c r="ZM256" s="243"/>
      <c r="ZN256" s="243"/>
      <c r="ZO256" s="243"/>
      <c r="ZP256" s="243"/>
      <c r="ZQ256" s="243"/>
      <c r="ZR256" s="243"/>
      <c r="ZS256" s="243"/>
      <c r="ZT256" s="243"/>
      <c r="ZU256" s="243"/>
      <c r="ZV256" s="243"/>
      <c r="ZW256" s="243"/>
      <c r="ZX256" s="243"/>
      <c r="ZY256" s="243"/>
      <c r="ZZ256" s="243"/>
      <c r="AAA256" s="243"/>
      <c r="AAB256" s="243"/>
      <c r="AAC256" s="243"/>
      <c r="AAD256" s="243"/>
      <c r="AAE256" s="243"/>
      <c r="AAF256" s="243"/>
      <c r="AAG256" s="243"/>
      <c r="AAH256" s="243"/>
      <c r="AAI256" s="243"/>
      <c r="AAJ256" s="243"/>
      <c r="AAK256" s="243"/>
      <c r="AAL256" s="243"/>
      <c r="AAM256" s="243"/>
      <c r="AAN256" s="243"/>
      <c r="AAO256" s="243"/>
      <c r="AAP256" s="243"/>
      <c r="AAQ256" s="243"/>
      <c r="AAR256" s="243"/>
      <c r="AAS256" s="243"/>
      <c r="AAT256" s="243"/>
      <c r="AAU256" s="243"/>
      <c r="AAV256" s="243"/>
      <c r="AAW256" s="243"/>
      <c r="AAX256" s="243"/>
      <c r="AAY256" s="243"/>
      <c r="AAZ256" s="243"/>
      <c r="ABA256" s="243"/>
      <c r="ABB256" s="243"/>
      <c r="ABC256" s="243"/>
      <c r="ABD256" s="243"/>
      <c r="ABE256" s="243"/>
      <c r="ABF256" s="243"/>
      <c r="ABG256" s="243"/>
      <c r="ABH256" s="243"/>
      <c r="ABI256" s="243"/>
      <c r="ABJ256" s="243"/>
      <c r="ABK256" s="243"/>
      <c r="ABL256" s="243"/>
      <c r="ABM256" s="243"/>
      <c r="ABN256" s="243"/>
      <c r="ABO256" s="243"/>
      <c r="ABP256" s="243"/>
      <c r="ABQ256" s="243"/>
      <c r="ABR256" s="243"/>
      <c r="ABS256" s="243"/>
      <c r="ABT256" s="243"/>
      <c r="ABU256" s="243"/>
      <c r="ABV256" s="243"/>
      <c r="ABW256" s="243"/>
      <c r="ABX256" s="243"/>
      <c r="ABY256" s="243"/>
      <c r="ABZ256" s="243"/>
      <c r="ACA256" s="243"/>
      <c r="ACB256" s="243"/>
      <c r="ACC256" s="243"/>
      <c r="ACD256" s="243"/>
      <c r="ACE256" s="243"/>
      <c r="ACF256" s="243"/>
      <c r="ACG256" s="243"/>
      <c r="ACH256" s="243"/>
      <c r="ACI256" s="243"/>
      <c r="ACJ256" s="243"/>
      <c r="ACK256" s="243"/>
      <c r="ACL256" s="243"/>
      <c r="ACM256" s="243"/>
      <c r="ACN256" s="243"/>
      <c r="ACO256" s="243"/>
      <c r="ACP256" s="243"/>
      <c r="ACQ256" s="243"/>
      <c r="ACR256" s="243"/>
      <c r="ACS256" s="243"/>
      <c r="ACT256" s="243"/>
      <c r="ACU256" s="243"/>
      <c r="ACV256" s="243"/>
      <c r="ACW256" s="243"/>
      <c r="ACX256" s="243"/>
      <c r="ACY256" s="243"/>
      <c r="ACZ256" s="243"/>
      <c r="ADA256" s="243"/>
      <c r="ADB256" s="243"/>
      <c r="ADC256" s="243"/>
      <c r="ADD256" s="243"/>
      <c r="ADE256" s="243"/>
      <c r="ADF256" s="243"/>
      <c r="ADG256" s="243"/>
      <c r="ADH256" s="243"/>
      <c r="ADI256" s="243"/>
      <c r="ADJ256" s="243"/>
      <c r="ADK256" s="243"/>
      <c r="ADL256" s="243"/>
      <c r="ADM256" s="243"/>
      <c r="ADN256" s="243"/>
      <c r="ADO256" s="243"/>
      <c r="ADP256" s="243"/>
      <c r="ADQ256" s="243"/>
      <c r="ADR256" s="243"/>
      <c r="ADS256" s="243"/>
      <c r="ADT256" s="243"/>
      <c r="ADU256" s="243"/>
      <c r="ADV256" s="243"/>
      <c r="ADW256" s="243"/>
      <c r="ADX256" s="243"/>
      <c r="ADY256" s="243"/>
      <c r="ADZ256" s="243"/>
      <c r="AEA256" s="243"/>
      <c r="AEB256" s="243"/>
      <c r="AEC256" s="243"/>
      <c r="AED256" s="243"/>
      <c r="AEE256" s="243"/>
      <c r="AEF256" s="243"/>
      <c r="AEG256" s="243"/>
      <c r="AEH256" s="243"/>
      <c r="AEI256" s="243"/>
      <c r="AEJ256" s="243"/>
      <c r="AEK256" s="243"/>
      <c r="AEL256" s="243"/>
      <c r="AEM256" s="243"/>
      <c r="AEN256" s="243"/>
      <c r="AEO256" s="243"/>
      <c r="AEP256" s="243"/>
      <c r="AEQ256" s="243"/>
      <c r="AER256" s="243"/>
      <c r="AES256" s="243"/>
      <c r="AET256" s="243"/>
      <c r="AEU256" s="243"/>
      <c r="AEV256" s="243"/>
      <c r="AEW256" s="243"/>
      <c r="AEX256" s="243"/>
      <c r="AEY256" s="243"/>
      <c r="AEZ256" s="243"/>
      <c r="AFA256" s="243"/>
      <c r="AFB256" s="243"/>
      <c r="AFC256" s="243"/>
      <c r="AFD256" s="243"/>
      <c r="AFE256" s="243"/>
      <c r="AFF256" s="243"/>
      <c r="AFG256" s="243"/>
      <c r="AFH256" s="243"/>
      <c r="AFI256" s="243"/>
      <c r="AFJ256" s="243"/>
      <c r="AFK256" s="243"/>
      <c r="AFL256" s="243"/>
      <c r="AFM256" s="243"/>
      <c r="AFN256" s="243"/>
      <c r="AFO256" s="243"/>
      <c r="AFP256" s="243"/>
      <c r="AFQ256" s="243"/>
      <c r="AFR256" s="243"/>
      <c r="AFS256" s="243"/>
      <c r="AFT256" s="243"/>
      <c r="AFU256" s="243"/>
      <c r="AFV256" s="243"/>
      <c r="AFW256" s="243"/>
      <c r="AFX256" s="243"/>
      <c r="AFY256" s="243"/>
      <c r="AFZ256" s="243"/>
      <c r="AGA256" s="243"/>
      <c r="AGB256" s="243"/>
      <c r="AGC256" s="243"/>
      <c r="AGD256" s="243"/>
      <c r="AGE256" s="243"/>
      <c r="AGF256" s="243"/>
      <c r="AGG256" s="243"/>
      <c r="AGH256" s="243"/>
      <c r="AGI256" s="243"/>
      <c r="AGJ256" s="243"/>
      <c r="AGK256" s="243"/>
      <c r="AGL256" s="243"/>
      <c r="AGM256" s="243"/>
      <c r="AGN256" s="243"/>
      <c r="AGO256" s="243"/>
      <c r="AGP256" s="243"/>
      <c r="AGQ256" s="243"/>
      <c r="AGR256" s="243"/>
      <c r="AGS256" s="243"/>
      <c r="AGT256" s="243"/>
      <c r="AGU256" s="243"/>
      <c r="AGV256" s="243"/>
      <c r="AGW256" s="243"/>
      <c r="AGX256" s="243"/>
      <c r="AGY256" s="243"/>
      <c r="AGZ256" s="243"/>
      <c r="AHA256" s="243"/>
      <c r="AHB256" s="243"/>
      <c r="AHC256" s="243"/>
      <c r="AHD256" s="243"/>
      <c r="AHE256" s="243"/>
      <c r="AHF256" s="243"/>
      <c r="AHG256" s="243"/>
      <c r="AHH256" s="243"/>
      <c r="AHI256" s="243"/>
      <c r="AHJ256" s="243"/>
      <c r="AHK256" s="243"/>
      <c r="AHL256" s="243"/>
      <c r="AHM256" s="243"/>
      <c r="AHN256" s="243"/>
      <c r="AHO256" s="243"/>
      <c r="AHP256" s="243"/>
      <c r="AHQ256" s="243"/>
      <c r="AHR256" s="243"/>
      <c r="AHS256" s="243"/>
      <c r="AHT256" s="243"/>
      <c r="AHU256" s="243"/>
      <c r="AHV256" s="243"/>
      <c r="AHW256" s="243"/>
      <c r="AHX256" s="243"/>
      <c r="AHY256" s="243"/>
      <c r="AHZ256" s="243"/>
      <c r="AIA256" s="243"/>
      <c r="AIB256" s="243"/>
      <c r="AIC256" s="243"/>
      <c r="AID256" s="243"/>
      <c r="AIE256" s="243"/>
      <c r="AIF256" s="243"/>
      <c r="AIG256" s="243"/>
      <c r="AIH256" s="243"/>
      <c r="AII256" s="243"/>
      <c r="AIJ256" s="243"/>
      <c r="AIK256" s="243"/>
      <c r="AIL256" s="243"/>
      <c r="AIM256" s="243"/>
      <c r="AIN256" s="243"/>
      <c r="AIO256" s="243"/>
      <c r="AIP256" s="243"/>
      <c r="AIQ256" s="243"/>
      <c r="AIR256" s="243"/>
      <c r="AIS256" s="243"/>
      <c r="AIT256" s="243"/>
      <c r="AIU256" s="243"/>
      <c r="AIV256" s="243"/>
      <c r="AIW256" s="243"/>
      <c r="AIX256" s="243"/>
      <c r="AIY256" s="243"/>
      <c r="AIZ256" s="243"/>
      <c r="AJA256" s="243"/>
      <c r="AJB256" s="243"/>
      <c r="AJC256" s="243"/>
      <c r="AJD256" s="243"/>
      <c r="AJE256" s="243"/>
      <c r="AJF256" s="243"/>
      <c r="AJG256" s="243"/>
      <c r="AJH256" s="243"/>
      <c r="AJI256" s="243"/>
      <c r="AJJ256" s="243"/>
      <c r="AJK256" s="243"/>
      <c r="AJL256" s="243"/>
      <c r="AJM256" s="243"/>
      <c r="AJN256" s="243"/>
      <c r="AJO256" s="243"/>
      <c r="AJP256" s="243"/>
      <c r="AJQ256" s="243"/>
      <c r="AJR256" s="243"/>
      <c r="AJS256" s="243"/>
      <c r="AJT256" s="243"/>
      <c r="AJU256" s="243"/>
      <c r="AJV256" s="243"/>
      <c r="AJW256" s="243"/>
      <c r="AJX256" s="243"/>
      <c r="AJY256" s="243"/>
      <c r="AJZ256" s="243"/>
      <c r="AKA256" s="243"/>
      <c r="AKB256" s="243"/>
      <c r="AKC256" s="243"/>
      <c r="AKD256" s="243"/>
      <c r="AKE256" s="243"/>
      <c r="AKF256" s="243"/>
      <c r="AKG256" s="243"/>
      <c r="AKH256" s="243"/>
      <c r="AKI256" s="243"/>
      <c r="AKJ256" s="243"/>
      <c r="AKK256" s="243"/>
      <c r="AKL256" s="243"/>
      <c r="AKM256" s="243"/>
      <c r="AKN256" s="243"/>
      <c r="AKO256" s="243"/>
      <c r="AKP256" s="243"/>
      <c r="AKQ256" s="243"/>
      <c r="AKR256" s="243"/>
      <c r="AKS256" s="243"/>
      <c r="AKT256" s="243"/>
      <c r="AKU256" s="243"/>
      <c r="AKV256" s="243"/>
      <c r="AKW256" s="243"/>
      <c r="AKX256" s="243"/>
      <c r="AKY256" s="243"/>
      <c r="AKZ256" s="243"/>
      <c r="ALA256" s="243"/>
      <c r="ALB256" s="243"/>
      <c r="ALC256" s="243"/>
      <c r="ALD256" s="243"/>
      <c r="ALE256" s="243"/>
      <c r="ALF256" s="243"/>
      <c r="ALG256" s="243"/>
      <c r="ALH256" s="243"/>
      <c r="ALI256" s="243"/>
      <c r="ALJ256" s="243"/>
      <c r="ALK256" s="243"/>
      <c r="ALL256" s="243"/>
      <c r="ALM256" s="243"/>
      <c r="ALN256" s="243"/>
      <c r="ALO256" s="243"/>
      <c r="ALP256" s="243"/>
      <c r="ALQ256" s="243"/>
      <c r="ALR256" s="243"/>
      <c r="ALS256" s="243"/>
      <c r="ALT256" s="243"/>
      <c r="ALU256" s="243"/>
      <c r="ALV256" s="243"/>
      <c r="ALW256" s="243"/>
      <c r="ALX256" s="243"/>
      <c r="ALY256" s="243"/>
      <c r="ALZ256" s="243"/>
      <c r="AMA256" s="243"/>
      <c r="AMB256" s="243"/>
      <c r="AMC256" s="243"/>
      <c r="AMD256" s="243"/>
      <c r="AME256" s="243"/>
      <c r="AMF256" s="243"/>
      <c r="AMG256" s="243"/>
      <c r="AMH256" s="243"/>
      <c r="AMI256" s="244"/>
      <c r="AMJ256" s="244"/>
    </row>
    <row r="257" spans="1:1024" ht="18">
      <c r="A257" s="1019"/>
      <c r="B257" s="1020" t="s">
        <v>42</v>
      </c>
      <c r="C257" s="1021"/>
      <c r="D257" s="1021"/>
      <c r="E257" s="389">
        <f>E254+E247+E237+E224+E213</f>
        <v>61163000</v>
      </c>
      <c r="F257" s="390"/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243"/>
      <c r="S257" s="243"/>
      <c r="T257" s="243"/>
      <c r="U257" s="243"/>
      <c r="V257" s="243"/>
      <c r="W257" s="243"/>
      <c r="X257" s="243"/>
      <c r="Y257" s="243"/>
      <c r="Z257" s="243"/>
      <c r="AA257" s="243"/>
      <c r="AB257" s="243"/>
      <c r="AC257" s="243"/>
      <c r="AD257" s="243"/>
      <c r="AE257" s="243"/>
      <c r="AF257" s="243"/>
      <c r="AG257" s="243"/>
      <c r="AH257" s="243"/>
      <c r="AI257" s="243"/>
      <c r="AJ257" s="243"/>
      <c r="AK257" s="243"/>
      <c r="AL257" s="243"/>
      <c r="AM257" s="243"/>
      <c r="AN257" s="243"/>
      <c r="AO257" s="243"/>
      <c r="AP257" s="243"/>
      <c r="AQ257" s="243"/>
      <c r="AR257" s="243"/>
      <c r="AS257" s="243"/>
      <c r="AT257" s="243"/>
      <c r="AU257" s="243"/>
      <c r="AV257" s="243"/>
      <c r="AW257" s="243"/>
      <c r="AX257" s="243"/>
      <c r="AY257" s="243"/>
      <c r="AZ257" s="243"/>
      <c r="BA257" s="243"/>
      <c r="BB257" s="243"/>
      <c r="BC257" s="243"/>
      <c r="BD257" s="243"/>
      <c r="BE257" s="243"/>
      <c r="BF257" s="243"/>
      <c r="BG257" s="243"/>
      <c r="BH257" s="243"/>
      <c r="BI257" s="243"/>
      <c r="BJ257" s="243"/>
      <c r="BK257" s="243"/>
      <c r="BL257" s="243"/>
      <c r="BM257" s="243"/>
      <c r="BN257" s="243"/>
      <c r="BO257" s="243"/>
      <c r="BP257" s="243"/>
      <c r="BQ257" s="243"/>
      <c r="BR257" s="243"/>
      <c r="BS257" s="243"/>
      <c r="BT257" s="243"/>
      <c r="BU257" s="243"/>
      <c r="BV257" s="243"/>
      <c r="BW257" s="243"/>
      <c r="BX257" s="243"/>
      <c r="BY257" s="243"/>
      <c r="BZ257" s="243"/>
      <c r="CA257" s="243"/>
      <c r="CB257" s="243"/>
      <c r="CC257" s="243"/>
      <c r="CD257" s="243"/>
      <c r="CE257" s="243"/>
      <c r="CF257" s="243"/>
      <c r="CG257" s="243"/>
      <c r="CH257" s="243"/>
      <c r="CI257" s="243"/>
      <c r="CJ257" s="243"/>
      <c r="CK257" s="243"/>
      <c r="CL257" s="243"/>
      <c r="CM257" s="243"/>
      <c r="CN257" s="243"/>
      <c r="CO257" s="243"/>
      <c r="CP257" s="243"/>
      <c r="CQ257" s="243"/>
      <c r="CR257" s="243"/>
      <c r="CS257" s="243"/>
      <c r="CT257" s="243"/>
      <c r="CU257" s="243"/>
      <c r="CV257" s="243"/>
      <c r="CW257" s="243"/>
      <c r="CX257" s="243"/>
      <c r="CY257" s="243"/>
      <c r="CZ257" s="243"/>
      <c r="DA257" s="243"/>
      <c r="DB257" s="243"/>
      <c r="DC257" s="243"/>
      <c r="DD257" s="243"/>
      <c r="DE257" s="243"/>
      <c r="DF257" s="243"/>
      <c r="DG257" s="243"/>
      <c r="DH257" s="243"/>
      <c r="DI257" s="243"/>
      <c r="DJ257" s="243"/>
      <c r="DK257" s="243"/>
      <c r="DL257" s="243"/>
      <c r="DM257" s="243"/>
      <c r="DN257" s="243"/>
      <c r="DO257" s="243"/>
      <c r="DP257" s="243"/>
      <c r="DQ257" s="243"/>
      <c r="DR257" s="243"/>
      <c r="DS257" s="243"/>
      <c r="DT257" s="243"/>
      <c r="DU257" s="243"/>
      <c r="DV257" s="243"/>
      <c r="DW257" s="243"/>
      <c r="DX257" s="243"/>
      <c r="DY257" s="243"/>
      <c r="DZ257" s="243"/>
      <c r="EA257" s="243"/>
      <c r="EB257" s="243"/>
      <c r="EC257" s="243"/>
      <c r="ED257" s="243"/>
      <c r="EE257" s="243"/>
      <c r="EF257" s="243"/>
      <c r="EG257" s="243"/>
      <c r="EH257" s="243"/>
      <c r="EI257" s="243"/>
      <c r="EJ257" s="243"/>
      <c r="EK257" s="243"/>
      <c r="EL257" s="243"/>
      <c r="EM257" s="243"/>
      <c r="EN257" s="243"/>
      <c r="EO257" s="243"/>
      <c r="EP257" s="243"/>
      <c r="EQ257" s="243"/>
      <c r="ER257" s="243"/>
      <c r="ES257" s="243"/>
      <c r="ET257" s="243"/>
      <c r="EU257" s="243"/>
      <c r="EV257" s="243"/>
      <c r="EW257" s="243"/>
      <c r="EX257" s="243"/>
      <c r="EY257" s="243"/>
      <c r="EZ257" s="243"/>
      <c r="FA257" s="243"/>
      <c r="FB257" s="243"/>
      <c r="FC257" s="243"/>
      <c r="FD257" s="243"/>
      <c r="FE257" s="243"/>
      <c r="FF257" s="243"/>
      <c r="FG257" s="243"/>
      <c r="FH257" s="243"/>
      <c r="FI257" s="243"/>
      <c r="FJ257" s="243"/>
      <c r="FK257" s="243"/>
      <c r="FL257" s="243"/>
      <c r="FM257" s="243"/>
      <c r="FN257" s="243"/>
      <c r="FO257" s="243"/>
      <c r="FP257" s="243"/>
      <c r="FQ257" s="243"/>
      <c r="FR257" s="243"/>
      <c r="FS257" s="243"/>
      <c r="FT257" s="243"/>
      <c r="FU257" s="243"/>
      <c r="FV257" s="243"/>
      <c r="FW257" s="243"/>
      <c r="FX257" s="243"/>
      <c r="FY257" s="243"/>
      <c r="FZ257" s="243"/>
      <c r="GA257" s="243"/>
      <c r="GB257" s="243"/>
      <c r="GC257" s="243"/>
      <c r="GD257" s="243"/>
      <c r="GE257" s="243"/>
      <c r="GF257" s="243"/>
      <c r="GG257" s="243"/>
      <c r="GH257" s="243"/>
      <c r="GI257" s="243"/>
      <c r="GJ257" s="243"/>
      <c r="GK257" s="243"/>
      <c r="GL257" s="243"/>
      <c r="GM257" s="243"/>
      <c r="GN257" s="243"/>
      <c r="GO257" s="243"/>
      <c r="GP257" s="243"/>
      <c r="GQ257" s="243"/>
      <c r="GR257" s="243"/>
      <c r="GS257" s="243"/>
      <c r="GT257" s="243"/>
      <c r="GU257" s="243"/>
      <c r="GV257" s="243"/>
      <c r="GW257" s="243"/>
      <c r="GX257" s="243"/>
      <c r="GY257" s="243"/>
      <c r="GZ257" s="243"/>
      <c r="HA257" s="243"/>
      <c r="HB257" s="243"/>
      <c r="HC257" s="243"/>
      <c r="HD257" s="243"/>
      <c r="HE257" s="243"/>
      <c r="HF257" s="243"/>
      <c r="HG257" s="243"/>
      <c r="HH257" s="243"/>
      <c r="HI257" s="243"/>
      <c r="HJ257" s="243"/>
      <c r="HK257" s="243"/>
      <c r="HL257" s="243"/>
      <c r="HM257" s="243"/>
      <c r="HN257" s="243"/>
      <c r="HO257" s="243"/>
      <c r="HP257" s="243"/>
      <c r="HQ257" s="243"/>
      <c r="HR257" s="243"/>
      <c r="HS257" s="243"/>
      <c r="HT257" s="243"/>
      <c r="HU257" s="243"/>
      <c r="HV257" s="243"/>
      <c r="HW257" s="243"/>
      <c r="HX257" s="243"/>
      <c r="HY257" s="243"/>
      <c r="HZ257" s="243"/>
      <c r="IA257" s="243"/>
      <c r="IB257" s="243"/>
      <c r="IC257" s="243"/>
      <c r="ID257" s="243"/>
      <c r="IE257" s="243"/>
      <c r="IF257" s="243"/>
      <c r="IG257" s="243"/>
      <c r="IH257" s="243"/>
      <c r="II257" s="243"/>
      <c r="IJ257" s="243"/>
      <c r="IK257" s="243"/>
      <c r="IL257" s="243"/>
      <c r="IM257" s="243"/>
      <c r="IN257" s="243"/>
      <c r="IO257" s="243"/>
      <c r="IP257" s="243"/>
      <c r="IQ257" s="243"/>
      <c r="IR257" s="243"/>
      <c r="IS257" s="243"/>
      <c r="IT257" s="243"/>
      <c r="IU257" s="243"/>
      <c r="IV257" s="243"/>
      <c r="IW257" s="243"/>
      <c r="IX257" s="243"/>
      <c r="IY257" s="243"/>
      <c r="IZ257" s="243"/>
      <c r="JA257" s="243"/>
      <c r="JB257" s="243"/>
      <c r="JC257" s="243"/>
      <c r="JD257" s="243"/>
      <c r="JE257" s="243"/>
      <c r="JF257" s="243"/>
      <c r="JG257" s="243"/>
      <c r="JH257" s="243"/>
      <c r="JI257" s="243"/>
      <c r="JJ257" s="243"/>
      <c r="JK257" s="243"/>
      <c r="JL257" s="243"/>
      <c r="JM257" s="243"/>
      <c r="JN257" s="243"/>
      <c r="JO257" s="243"/>
      <c r="JP257" s="243"/>
      <c r="JQ257" s="243"/>
      <c r="JR257" s="243"/>
      <c r="JS257" s="243"/>
      <c r="JT257" s="243"/>
      <c r="JU257" s="243"/>
      <c r="JV257" s="243"/>
      <c r="JW257" s="243"/>
      <c r="JX257" s="243"/>
      <c r="JY257" s="243"/>
      <c r="JZ257" s="243"/>
      <c r="KA257" s="243"/>
      <c r="KB257" s="243"/>
      <c r="KC257" s="243"/>
      <c r="KD257" s="243"/>
      <c r="KE257" s="243"/>
      <c r="KF257" s="243"/>
      <c r="KG257" s="243"/>
      <c r="KH257" s="243"/>
      <c r="KI257" s="243"/>
      <c r="KJ257" s="243"/>
      <c r="KK257" s="243"/>
      <c r="KL257" s="243"/>
      <c r="KM257" s="243"/>
      <c r="KN257" s="243"/>
      <c r="KO257" s="243"/>
      <c r="KP257" s="243"/>
      <c r="KQ257" s="243"/>
      <c r="KR257" s="243"/>
      <c r="KS257" s="243"/>
      <c r="KT257" s="243"/>
      <c r="KU257" s="243"/>
      <c r="KV257" s="243"/>
      <c r="KW257" s="243"/>
      <c r="KX257" s="243"/>
      <c r="KY257" s="243"/>
      <c r="KZ257" s="243"/>
      <c r="LA257" s="243"/>
      <c r="LB257" s="243"/>
      <c r="LC257" s="243"/>
      <c r="LD257" s="243"/>
      <c r="LE257" s="243"/>
      <c r="LF257" s="243"/>
      <c r="LG257" s="243"/>
      <c r="LH257" s="243"/>
      <c r="LI257" s="243"/>
      <c r="LJ257" s="243"/>
      <c r="LK257" s="243"/>
      <c r="LL257" s="243"/>
      <c r="LM257" s="243"/>
      <c r="LN257" s="243"/>
      <c r="LO257" s="243"/>
      <c r="LP257" s="243"/>
      <c r="LQ257" s="243"/>
      <c r="LR257" s="243"/>
      <c r="LS257" s="243"/>
      <c r="LT257" s="243"/>
      <c r="LU257" s="243"/>
      <c r="LV257" s="243"/>
      <c r="LW257" s="243"/>
      <c r="LX257" s="243"/>
      <c r="LY257" s="243"/>
      <c r="LZ257" s="243"/>
      <c r="MA257" s="243"/>
      <c r="MB257" s="243"/>
      <c r="MC257" s="243"/>
      <c r="MD257" s="243"/>
      <c r="ME257" s="243"/>
      <c r="MF257" s="243"/>
      <c r="MG257" s="243"/>
      <c r="MH257" s="243"/>
      <c r="MI257" s="243"/>
      <c r="MJ257" s="243"/>
      <c r="MK257" s="243"/>
      <c r="ML257" s="243"/>
      <c r="MM257" s="243"/>
      <c r="MN257" s="243"/>
      <c r="MO257" s="243"/>
      <c r="MP257" s="243"/>
      <c r="MQ257" s="243"/>
      <c r="MR257" s="243"/>
      <c r="MS257" s="243"/>
      <c r="MT257" s="243"/>
      <c r="MU257" s="243"/>
      <c r="MV257" s="243"/>
      <c r="MW257" s="243"/>
      <c r="MX257" s="243"/>
      <c r="MY257" s="243"/>
      <c r="MZ257" s="243"/>
      <c r="NA257" s="243"/>
      <c r="NB257" s="243"/>
      <c r="NC257" s="243"/>
      <c r="ND257" s="243"/>
      <c r="NE257" s="243"/>
      <c r="NF257" s="243"/>
      <c r="NG257" s="243"/>
      <c r="NH257" s="243"/>
      <c r="NI257" s="243"/>
      <c r="NJ257" s="243"/>
      <c r="NK257" s="243"/>
      <c r="NL257" s="243"/>
      <c r="NM257" s="243"/>
      <c r="NN257" s="243"/>
      <c r="NO257" s="243"/>
      <c r="NP257" s="243"/>
      <c r="NQ257" s="243"/>
      <c r="NR257" s="243"/>
      <c r="NS257" s="243"/>
      <c r="NT257" s="243"/>
      <c r="NU257" s="243"/>
      <c r="NV257" s="243"/>
      <c r="NW257" s="243"/>
      <c r="NX257" s="243"/>
      <c r="NY257" s="243"/>
      <c r="NZ257" s="243"/>
      <c r="OA257" s="243"/>
      <c r="OB257" s="243"/>
      <c r="OC257" s="243"/>
      <c r="OD257" s="243"/>
      <c r="OE257" s="243"/>
      <c r="OF257" s="243"/>
      <c r="OG257" s="243"/>
      <c r="OH257" s="243"/>
      <c r="OI257" s="243"/>
      <c r="OJ257" s="243"/>
      <c r="OK257" s="243"/>
      <c r="OL257" s="243"/>
      <c r="OM257" s="243"/>
      <c r="ON257" s="243"/>
      <c r="OO257" s="243"/>
      <c r="OP257" s="243"/>
      <c r="OQ257" s="243"/>
      <c r="OR257" s="243"/>
      <c r="OS257" s="243"/>
      <c r="OT257" s="243"/>
      <c r="OU257" s="243"/>
      <c r="OV257" s="243"/>
      <c r="OW257" s="243"/>
      <c r="OX257" s="243"/>
      <c r="OY257" s="243"/>
      <c r="OZ257" s="243"/>
      <c r="PA257" s="243"/>
      <c r="PB257" s="243"/>
      <c r="PC257" s="243"/>
      <c r="PD257" s="243"/>
      <c r="PE257" s="243"/>
      <c r="PF257" s="243"/>
      <c r="PG257" s="243"/>
      <c r="PH257" s="243"/>
      <c r="PI257" s="243"/>
      <c r="PJ257" s="243"/>
      <c r="PK257" s="243"/>
      <c r="PL257" s="243"/>
      <c r="PM257" s="243"/>
      <c r="PN257" s="243"/>
      <c r="PO257" s="243"/>
      <c r="PP257" s="243"/>
      <c r="PQ257" s="243"/>
      <c r="PR257" s="243"/>
      <c r="PS257" s="243"/>
      <c r="PT257" s="243"/>
      <c r="PU257" s="243"/>
      <c r="PV257" s="243"/>
      <c r="PW257" s="243"/>
      <c r="PX257" s="243"/>
      <c r="PY257" s="243"/>
      <c r="PZ257" s="243"/>
      <c r="QA257" s="243"/>
      <c r="QB257" s="243"/>
      <c r="QC257" s="243"/>
      <c r="QD257" s="243"/>
      <c r="QE257" s="243"/>
      <c r="QF257" s="243"/>
      <c r="QG257" s="243"/>
      <c r="QH257" s="243"/>
      <c r="QI257" s="243"/>
      <c r="QJ257" s="243"/>
      <c r="QK257" s="243"/>
      <c r="QL257" s="243"/>
      <c r="QM257" s="243"/>
      <c r="QN257" s="243"/>
      <c r="QO257" s="243"/>
      <c r="QP257" s="243"/>
      <c r="QQ257" s="243"/>
      <c r="QR257" s="243"/>
      <c r="QS257" s="243"/>
      <c r="QT257" s="243"/>
      <c r="QU257" s="243"/>
      <c r="QV257" s="243"/>
      <c r="QW257" s="243"/>
      <c r="QX257" s="243"/>
      <c r="QY257" s="243"/>
      <c r="QZ257" s="243"/>
      <c r="RA257" s="243"/>
      <c r="RB257" s="243"/>
      <c r="RC257" s="243"/>
      <c r="RD257" s="243"/>
      <c r="RE257" s="243"/>
      <c r="RF257" s="243"/>
      <c r="RG257" s="243"/>
      <c r="RH257" s="243"/>
      <c r="RI257" s="243"/>
      <c r="RJ257" s="243"/>
      <c r="RK257" s="243"/>
      <c r="RL257" s="243"/>
      <c r="RM257" s="243"/>
      <c r="RN257" s="243"/>
      <c r="RO257" s="243"/>
      <c r="RP257" s="243"/>
      <c r="RQ257" s="243"/>
      <c r="RR257" s="243"/>
      <c r="RS257" s="243"/>
      <c r="RT257" s="243"/>
      <c r="RU257" s="243"/>
      <c r="RV257" s="243"/>
      <c r="RW257" s="243"/>
      <c r="RX257" s="243"/>
      <c r="RY257" s="243"/>
      <c r="RZ257" s="243"/>
      <c r="SA257" s="243"/>
      <c r="SB257" s="243"/>
      <c r="SC257" s="243"/>
      <c r="SD257" s="243"/>
      <c r="SE257" s="243"/>
      <c r="SF257" s="243"/>
      <c r="SG257" s="243"/>
      <c r="SH257" s="243"/>
      <c r="SI257" s="243"/>
      <c r="SJ257" s="243"/>
      <c r="SK257" s="243"/>
      <c r="SL257" s="243"/>
      <c r="SM257" s="243"/>
      <c r="SN257" s="243"/>
      <c r="SO257" s="243"/>
      <c r="SP257" s="243"/>
      <c r="SQ257" s="243"/>
      <c r="SR257" s="243"/>
      <c r="SS257" s="243"/>
      <c r="ST257" s="243"/>
      <c r="SU257" s="243"/>
      <c r="SV257" s="243"/>
      <c r="SW257" s="243"/>
      <c r="SX257" s="243"/>
      <c r="SY257" s="243"/>
      <c r="SZ257" s="243"/>
      <c r="TA257" s="243"/>
      <c r="TB257" s="243"/>
      <c r="TC257" s="243"/>
      <c r="TD257" s="243"/>
      <c r="TE257" s="243"/>
      <c r="TF257" s="243"/>
      <c r="TG257" s="243"/>
      <c r="TH257" s="243"/>
      <c r="TI257" s="243"/>
      <c r="TJ257" s="243"/>
      <c r="TK257" s="243"/>
      <c r="TL257" s="243"/>
      <c r="TM257" s="243"/>
      <c r="TN257" s="243"/>
      <c r="TO257" s="243"/>
      <c r="TP257" s="243"/>
      <c r="TQ257" s="243"/>
      <c r="TR257" s="243"/>
      <c r="TS257" s="243"/>
      <c r="TT257" s="243"/>
      <c r="TU257" s="243"/>
      <c r="TV257" s="243"/>
      <c r="TW257" s="243"/>
      <c r="TX257" s="243"/>
      <c r="TY257" s="243"/>
      <c r="TZ257" s="243"/>
      <c r="UA257" s="243"/>
      <c r="UB257" s="243"/>
      <c r="UC257" s="243"/>
      <c r="UD257" s="243"/>
      <c r="UE257" s="243"/>
      <c r="UF257" s="243"/>
      <c r="UG257" s="243"/>
      <c r="UH257" s="243"/>
      <c r="UI257" s="243"/>
      <c r="UJ257" s="243"/>
      <c r="UK257" s="243"/>
      <c r="UL257" s="243"/>
      <c r="UM257" s="243"/>
      <c r="UN257" s="243"/>
      <c r="UO257" s="243"/>
      <c r="UP257" s="243"/>
      <c r="UQ257" s="243"/>
      <c r="UR257" s="243"/>
      <c r="US257" s="243"/>
      <c r="UT257" s="243"/>
      <c r="UU257" s="243"/>
      <c r="UV257" s="243"/>
      <c r="UW257" s="243"/>
      <c r="UX257" s="243"/>
      <c r="UY257" s="243"/>
      <c r="UZ257" s="243"/>
      <c r="VA257" s="243"/>
      <c r="VB257" s="243"/>
      <c r="VC257" s="243"/>
      <c r="VD257" s="243"/>
      <c r="VE257" s="243"/>
      <c r="VF257" s="243"/>
      <c r="VG257" s="243"/>
      <c r="VH257" s="243"/>
      <c r="VI257" s="243"/>
      <c r="VJ257" s="243"/>
      <c r="VK257" s="243"/>
      <c r="VL257" s="243"/>
      <c r="VM257" s="243"/>
      <c r="VN257" s="243"/>
      <c r="VO257" s="243"/>
      <c r="VP257" s="243"/>
      <c r="VQ257" s="243"/>
      <c r="VR257" s="243"/>
      <c r="VS257" s="243"/>
      <c r="VT257" s="243"/>
      <c r="VU257" s="243"/>
      <c r="VV257" s="243"/>
      <c r="VW257" s="243"/>
      <c r="VX257" s="243"/>
      <c r="VY257" s="243"/>
      <c r="VZ257" s="243"/>
      <c r="WA257" s="243"/>
      <c r="WB257" s="243"/>
      <c r="WC257" s="243"/>
      <c r="WD257" s="243"/>
      <c r="WE257" s="243"/>
      <c r="WF257" s="243"/>
      <c r="WG257" s="243"/>
      <c r="WH257" s="243"/>
      <c r="WI257" s="243"/>
      <c r="WJ257" s="243"/>
      <c r="WK257" s="243"/>
      <c r="WL257" s="243"/>
      <c r="WM257" s="243"/>
      <c r="WN257" s="243"/>
      <c r="WO257" s="243"/>
      <c r="WP257" s="243"/>
      <c r="WQ257" s="243"/>
      <c r="WR257" s="243"/>
      <c r="WS257" s="243"/>
      <c r="WT257" s="243"/>
      <c r="WU257" s="243"/>
      <c r="WV257" s="243"/>
      <c r="WW257" s="243"/>
      <c r="WX257" s="243"/>
      <c r="WY257" s="243"/>
      <c r="WZ257" s="243"/>
      <c r="XA257" s="243"/>
      <c r="XB257" s="243"/>
      <c r="XC257" s="243"/>
      <c r="XD257" s="243"/>
      <c r="XE257" s="243"/>
      <c r="XF257" s="243"/>
      <c r="XG257" s="243"/>
      <c r="XH257" s="243"/>
      <c r="XI257" s="243"/>
      <c r="XJ257" s="243"/>
      <c r="XK257" s="243"/>
      <c r="XL257" s="243"/>
      <c r="XM257" s="243"/>
      <c r="XN257" s="243"/>
      <c r="XO257" s="243"/>
      <c r="XP257" s="243"/>
      <c r="XQ257" s="243"/>
      <c r="XR257" s="243"/>
      <c r="XS257" s="243"/>
      <c r="XT257" s="243"/>
      <c r="XU257" s="243"/>
      <c r="XV257" s="243"/>
      <c r="XW257" s="243"/>
      <c r="XX257" s="243"/>
      <c r="XY257" s="243"/>
      <c r="XZ257" s="243"/>
      <c r="YA257" s="243"/>
      <c r="YB257" s="243"/>
      <c r="YC257" s="243"/>
      <c r="YD257" s="243"/>
      <c r="YE257" s="243"/>
      <c r="YF257" s="243"/>
      <c r="YG257" s="243"/>
      <c r="YH257" s="243"/>
      <c r="YI257" s="243"/>
      <c r="YJ257" s="243"/>
      <c r="YK257" s="243"/>
      <c r="YL257" s="243"/>
      <c r="YM257" s="243"/>
      <c r="YN257" s="243"/>
      <c r="YO257" s="243"/>
      <c r="YP257" s="243"/>
      <c r="YQ257" s="243"/>
      <c r="YR257" s="243"/>
      <c r="YS257" s="243"/>
      <c r="YT257" s="243"/>
      <c r="YU257" s="243"/>
      <c r="YV257" s="243"/>
      <c r="YW257" s="243"/>
      <c r="YX257" s="243"/>
      <c r="YY257" s="243"/>
      <c r="YZ257" s="243"/>
      <c r="ZA257" s="243"/>
      <c r="ZB257" s="243"/>
      <c r="ZC257" s="243"/>
      <c r="ZD257" s="243"/>
      <c r="ZE257" s="243"/>
      <c r="ZF257" s="243"/>
      <c r="ZG257" s="243"/>
      <c r="ZH257" s="243"/>
      <c r="ZI257" s="243"/>
      <c r="ZJ257" s="243"/>
      <c r="ZK257" s="243"/>
      <c r="ZL257" s="243"/>
      <c r="ZM257" s="243"/>
      <c r="ZN257" s="243"/>
      <c r="ZO257" s="243"/>
      <c r="ZP257" s="243"/>
      <c r="ZQ257" s="243"/>
      <c r="ZR257" s="243"/>
      <c r="ZS257" s="243"/>
      <c r="ZT257" s="243"/>
      <c r="ZU257" s="243"/>
      <c r="ZV257" s="243"/>
      <c r="ZW257" s="243"/>
      <c r="ZX257" s="243"/>
      <c r="ZY257" s="243"/>
      <c r="ZZ257" s="243"/>
      <c r="AAA257" s="243"/>
      <c r="AAB257" s="243"/>
      <c r="AAC257" s="243"/>
      <c r="AAD257" s="243"/>
      <c r="AAE257" s="243"/>
      <c r="AAF257" s="243"/>
      <c r="AAG257" s="243"/>
      <c r="AAH257" s="243"/>
      <c r="AAI257" s="243"/>
      <c r="AAJ257" s="243"/>
      <c r="AAK257" s="243"/>
      <c r="AAL257" s="243"/>
      <c r="AAM257" s="243"/>
      <c r="AAN257" s="243"/>
      <c r="AAO257" s="243"/>
      <c r="AAP257" s="243"/>
      <c r="AAQ257" s="243"/>
      <c r="AAR257" s="243"/>
      <c r="AAS257" s="243"/>
      <c r="AAT257" s="243"/>
      <c r="AAU257" s="243"/>
      <c r="AAV257" s="243"/>
      <c r="AAW257" s="243"/>
      <c r="AAX257" s="243"/>
      <c r="AAY257" s="243"/>
      <c r="AAZ257" s="243"/>
      <c r="ABA257" s="243"/>
      <c r="ABB257" s="243"/>
      <c r="ABC257" s="243"/>
      <c r="ABD257" s="243"/>
      <c r="ABE257" s="243"/>
      <c r="ABF257" s="243"/>
      <c r="ABG257" s="243"/>
      <c r="ABH257" s="243"/>
      <c r="ABI257" s="243"/>
      <c r="ABJ257" s="243"/>
      <c r="ABK257" s="243"/>
      <c r="ABL257" s="243"/>
      <c r="ABM257" s="243"/>
      <c r="ABN257" s="243"/>
      <c r="ABO257" s="243"/>
      <c r="ABP257" s="243"/>
      <c r="ABQ257" s="243"/>
      <c r="ABR257" s="243"/>
      <c r="ABS257" s="243"/>
      <c r="ABT257" s="243"/>
      <c r="ABU257" s="243"/>
      <c r="ABV257" s="243"/>
      <c r="ABW257" s="243"/>
      <c r="ABX257" s="243"/>
      <c r="ABY257" s="243"/>
      <c r="ABZ257" s="243"/>
      <c r="ACA257" s="243"/>
      <c r="ACB257" s="243"/>
      <c r="ACC257" s="243"/>
      <c r="ACD257" s="243"/>
      <c r="ACE257" s="243"/>
      <c r="ACF257" s="243"/>
      <c r="ACG257" s="243"/>
      <c r="ACH257" s="243"/>
      <c r="ACI257" s="243"/>
      <c r="ACJ257" s="243"/>
      <c r="ACK257" s="243"/>
      <c r="ACL257" s="243"/>
      <c r="ACM257" s="243"/>
      <c r="ACN257" s="243"/>
      <c r="ACO257" s="243"/>
      <c r="ACP257" s="243"/>
      <c r="ACQ257" s="243"/>
      <c r="ACR257" s="243"/>
      <c r="ACS257" s="243"/>
      <c r="ACT257" s="243"/>
      <c r="ACU257" s="243"/>
      <c r="ACV257" s="243"/>
      <c r="ACW257" s="243"/>
      <c r="ACX257" s="243"/>
      <c r="ACY257" s="243"/>
      <c r="ACZ257" s="243"/>
      <c r="ADA257" s="243"/>
      <c r="ADB257" s="243"/>
      <c r="ADC257" s="243"/>
      <c r="ADD257" s="243"/>
      <c r="ADE257" s="243"/>
      <c r="ADF257" s="243"/>
      <c r="ADG257" s="243"/>
      <c r="ADH257" s="243"/>
      <c r="ADI257" s="243"/>
      <c r="ADJ257" s="243"/>
      <c r="ADK257" s="243"/>
      <c r="ADL257" s="243"/>
      <c r="ADM257" s="243"/>
      <c r="ADN257" s="243"/>
      <c r="ADO257" s="243"/>
      <c r="ADP257" s="243"/>
      <c r="ADQ257" s="243"/>
      <c r="ADR257" s="243"/>
      <c r="ADS257" s="243"/>
      <c r="ADT257" s="243"/>
      <c r="ADU257" s="243"/>
      <c r="ADV257" s="243"/>
      <c r="ADW257" s="243"/>
      <c r="ADX257" s="243"/>
      <c r="ADY257" s="243"/>
      <c r="ADZ257" s="243"/>
      <c r="AEA257" s="243"/>
      <c r="AEB257" s="243"/>
      <c r="AEC257" s="243"/>
      <c r="AED257" s="243"/>
      <c r="AEE257" s="243"/>
      <c r="AEF257" s="243"/>
      <c r="AEG257" s="243"/>
      <c r="AEH257" s="243"/>
      <c r="AEI257" s="243"/>
      <c r="AEJ257" s="243"/>
      <c r="AEK257" s="243"/>
      <c r="AEL257" s="243"/>
      <c r="AEM257" s="243"/>
      <c r="AEN257" s="243"/>
      <c r="AEO257" s="243"/>
      <c r="AEP257" s="243"/>
      <c r="AEQ257" s="243"/>
      <c r="AER257" s="243"/>
      <c r="AES257" s="243"/>
      <c r="AET257" s="243"/>
      <c r="AEU257" s="243"/>
      <c r="AEV257" s="243"/>
      <c r="AEW257" s="243"/>
      <c r="AEX257" s="243"/>
      <c r="AEY257" s="243"/>
      <c r="AEZ257" s="243"/>
      <c r="AFA257" s="243"/>
      <c r="AFB257" s="243"/>
      <c r="AFC257" s="243"/>
      <c r="AFD257" s="243"/>
      <c r="AFE257" s="243"/>
      <c r="AFF257" s="243"/>
      <c r="AFG257" s="243"/>
      <c r="AFH257" s="243"/>
      <c r="AFI257" s="243"/>
      <c r="AFJ257" s="243"/>
      <c r="AFK257" s="243"/>
      <c r="AFL257" s="243"/>
      <c r="AFM257" s="243"/>
      <c r="AFN257" s="243"/>
      <c r="AFO257" s="243"/>
      <c r="AFP257" s="243"/>
      <c r="AFQ257" s="243"/>
      <c r="AFR257" s="243"/>
      <c r="AFS257" s="243"/>
      <c r="AFT257" s="243"/>
      <c r="AFU257" s="243"/>
      <c r="AFV257" s="243"/>
      <c r="AFW257" s="243"/>
      <c r="AFX257" s="243"/>
      <c r="AFY257" s="243"/>
      <c r="AFZ257" s="243"/>
      <c r="AGA257" s="243"/>
      <c r="AGB257" s="243"/>
      <c r="AGC257" s="243"/>
      <c r="AGD257" s="243"/>
      <c r="AGE257" s="243"/>
      <c r="AGF257" s="243"/>
      <c r="AGG257" s="243"/>
      <c r="AGH257" s="243"/>
      <c r="AGI257" s="243"/>
      <c r="AGJ257" s="243"/>
      <c r="AGK257" s="243"/>
      <c r="AGL257" s="243"/>
      <c r="AGM257" s="243"/>
      <c r="AGN257" s="243"/>
      <c r="AGO257" s="243"/>
      <c r="AGP257" s="243"/>
      <c r="AGQ257" s="243"/>
      <c r="AGR257" s="243"/>
      <c r="AGS257" s="243"/>
      <c r="AGT257" s="243"/>
      <c r="AGU257" s="243"/>
      <c r="AGV257" s="243"/>
      <c r="AGW257" s="243"/>
      <c r="AGX257" s="243"/>
      <c r="AGY257" s="243"/>
      <c r="AGZ257" s="243"/>
      <c r="AHA257" s="243"/>
      <c r="AHB257" s="243"/>
      <c r="AHC257" s="243"/>
      <c r="AHD257" s="243"/>
      <c r="AHE257" s="243"/>
      <c r="AHF257" s="243"/>
      <c r="AHG257" s="243"/>
      <c r="AHH257" s="243"/>
      <c r="AHI257" s="243"/>
      <c r="AHJ257" s="243"/>
      <c r="AHK257" s="243"/>
      <c r="AHL257" s="243"/>
      <c r="AHM257" s="243"/>
      <c r="AHN257" s="243"/>
      <c r="AHO257" s="243"/>
      <c r="AHP257" s="243"/>
      <c r="AHQ257" s="243"/>
      <c r="AHR257" s="243"/>
      <c r="AHS257" s="243"/>
      <c r="AHT257" s="243"/>
      <c r="AHU257" s="243"/>
      <c r="AHV257" s="243"/>
      <c r="AHW257" s="243"/>
      <c r="AHX257" s="243"/>
      <c r="AHY257" s="243"/>
      <c r="AHZ257" s="243"/>
      <c r="AIA257" s="243"/>
      <c r="AIB257" s="243"/>
      <c r="AIC257" s="243"/>
      <c r="AID257" s="243"/>
      <c r="AIE257" s="243"/>
      <c r="AIF257" s="243"/>
      <c r="AIG257" s="243"/>
      <c r="AIH257" s="243"/>
      <c r="AII257" s="243"/>
      <c r="AIJ257" s="243"/>
      <c r="AIK257" s="243"/>
      <c r="AIL257" s="243"/>
      <c r="AIM257" s="243"/>
      <c r="AIN257" s="243"/>
      <c r="AIO257" s="243"/>
      <c r="AIP257" s="243"/>
      <c r="AIQ257" s="243"/>
      <c r="AIR257" s="243"/>
      <c r="AIS257" s="243"/>
      <c r="AIT257" s="243"/>
      <c r="AIU257" s="243"/>
      <c r="AIV257" s="243"/>
      <c r="AIW257" s="243"/>
      <c r="AIX257" s="243"/>
      <c r="AIY257" s="243"/>
      <c r="AIZ257" s="243"/>
      <c r="AJA257" s="243"/>
      <c r="AJB257" s="243"/>
      <c r="AJC257" s="243"/>
      <c r="AJD257" s="243"/>
      <c r="AJE257" s="243"/>
      <c r="AJF257" s="243"/>
      <c r="AJG257" s="243"/>
      <c r="AJH257" s="243"/>
      <c r="AJI257" s="243"/>
      <c r="AJJ257" s="243"/>
      <c r="AJK257" s="243"/>
      <c r="AJL257" s="243"/>
      <c r="AJM257" s="243"/>
      <c r="AJN257" s="243"/>
      <c r="AJO257" s="243"/>
      <c r="AJP257" s="243"/>
      <c r="AJQ257" s="243"/>
      <c r="AJR257" s="243"/>
      <c r="AJS257" s="243"/>
      <c r="AJT257" s="243"/>
      <c r="AJU257" s="243"/>
      <c r="AJV257" s="243"/>
      <c r="AJW257" s="243"/>
      <c r="AJX257" s="243"/>
      <c r="AJY257" s="243"/>
      <c r="AJZ257" s="243"/>
      <c r="AKA257" s="243"/>
      <c r="AKB257" s="243"/>
      <c r="AKC257" s="243"/>
      <c r="AKD257" s="243"/>
      <c r="AKE257" s="243"/>
      <c r="AKF257" s="243"/>
      <c r="AKG257" s="243"/>
      <c r="AKH257" s="243"/>
      <c r="AKI257" s="243"/>
      <c r="AKJ257" s="243"/>
      <c r="AKK257" s="243"/>
      <c r="AKL257" s="243"/>
      <c r="AKM257" s="243"/>
      <c r="AKN257" s="243"/>
      <c r="AKO257" s="243"/>
      <c r="AKP257" s="243"/>
      <c r="AKQ257" s="243"/>
      <c r="AKR257" s="243"/>
      <c r="AKS257" s="243"/>
      <c r="AKT257" s="243"/>
      <c r="AKU257" s="243"/>
      <c r="AKV257" s="243"/>
      <c r="AKW257" s="243"/>
      <c r="AKX257" s="243"/>
      <c r="AKY257" s="243"/>
      <c r="AKZ257" s="243"/>
      <c r="ALA257" s="243"/>
      <c r="ALB257" s="243"/>
      <c r="ALC257" s="243"/>
      <c r="ALD257" s="243"/>
      <c r="ALE257" s="243"/>
      <c r="ALF257" s="243"/>
      <c r="ALG257" s="243"/>
      <c r="ALH257" s="243"/>
      <c r="ALI257" s="243"/>
      <c r="ALJ257" s="243"/>
      <c r="ALK257" s="243"/>
      <c r="ALL257" s="243"/>
      <c r="ALM257" s="243"/>
      <c r="ALN257" s="243"/>
      <c r="ALO257" s="243"/>
      <c r="ALP257" s="243"/>
      <c r="ALQ257" s="243"/>
      <c r="ALR257" s="243"/>
      <c r="ALS257" s="243"/>
      <c r="ALT257" s="243"/>
      <c r="ALU257" s="243"/>
      <c r="ALV257" s="243"/>
      <c r="ALW257" s="243"/>
      <c r="ALX257" s="243"/>
      <c r="ALY257" s="243"/>
      <c r="ALZ257" s="243"/>
      <c r="AMA257" s="243"/>
      <c r="AMB257" s="243"/>
      <c r="AMC257" s="243"/>
      <c r="AMD257" s="243"/>
      <c r="AME257" s="243"/>
      <c r="AMF257" s="243"/>
      <c r="AMG257" s="243"/>
      <c r="AMH257" s="243"/>
      <c r="AMI257" s="244"/>
      <c r="AMJ257" s="244"/>
    </row>
    <row r="258" spans="1:1024" ht="18">
      <c r="A258" s="1019"/>
      <c r="B258" s="1022" t="s">
        <v>44</v>
      </c>
      <c r="C258" s="1023"/>
      <c r="D258" s="1023"/>
      <c r="E258" s="391"/>
      <c r="F258" s="390"/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  <c r="AH258" s="243"/>
      <c r="AI258" s="243"/>
      <c r="AJ258" s="243"/>
      <c r="AK258" s="243"/>
      <c r="AL258" s="243"/>
      <c r="AM258" s="243"/>
      <c r="AN258" s="243"/>
      <c r="AO258" s="243"/>
      <c r="AP258" s="243"/>
      <c r="AQ258" s="243"/>
      <c r="AR258" s="243"/>
      <c r="AS258" s="243"/>
      <c r="AT258" s="243"/>
      <c r="AU258" s="243"/>
      <c r="AV258" s="243"/>
      <c r="AW258" s="243"/>
      <c r="AX258" s="243"/>
      <c r="AY258" s="243"/>
      <c r="AZ258" s="243"/>
      <c r="BA258" s="243"/>
      <c r="BB258" s="243"/>
      <c r="BC258" s="243"/>
      <c r="BD258" s="243"/>
      <c r="BE258" s="243"/>
      <c r="BF258" s="243"/>
      <c r="BG258" s="243"/>
      <c r="BH258" s="243"/>
      <c r="BI258" s="243"/>
      <c r="BJ258" s="243"/>
      <c r="BK258" s="243"/>
      <c r="BL258" s="243"/>
      <c r="BM258" s="243"/>
      <c r="BN258" s="243"/>
      <c r="BO258" s="243"/>
      <c r="BP258" s="243"/>
      <c r="BQ258" s="243"/>
      <c r="BR258" s="243"/>
      <c r="BS258" s="243"/>
      <c r="BT258" s="243"/>
      <c r="BU258" s="243"/>
      <c r="BV258" s="243"/>
      <c r="BW258" s="243"/>
      <c r="BX258" s="243"/>
      <c r="BY258" s="243"/>
      <c r="BZ258" s="243"/>
      <c r="CA258" s="243"/>
      <c r="CB258" s="243"/>
      <c r="CC258" s="243"/>
      <c r="CD258" s="243"/>
      <c r="CE258" s="243"/>
      <c r="CF258" s="243"/>
      <c r="CG258" s="243"/>
      <c r="CH258" s="243"/>
      <c r="CI258" s="243"/>
      <c r="CJ258" s="243"/>
      <c r="CK258" s="243"/>
      <c r="CL258" s="243"/>
      <c r="CM258" s="243"/>
      <c r="CN258" s="243"/>
      <c r="CO258" s="243"/>
      <c r="CP258" s="243"/>
      <c r="CQ258" s="243"/>
      <c r="CR258" s="243"/>
      <c r="CS258" s="243"/>
      <c r="CT258" s="243"/>
      <c r="CU258" s="243"/>
      <c r="CV258" s="243"/>
      <c r="CW258" s="243"/>
      <c r="CX258" s="243"/>
      <c r="CY258" s="243"/>
      <c r="CZ258" s="243"/>
      <c r="DA258" s="243"/>
      <c r="DB258" s="243"/>
      <c r="DC258" s="243"/>
      <c r="DD258" s="243"/>
      <c r="DE258" s="243"/>
      <c r="DF258" s="243"/>
      <c r="DG258" s="243"/>
      <c r="DH258" s="243"/>
      <c r="DI258" s="243"/>
      <c r="DJ258" s="243"/>
      <c r="DK258" s="243"/>
      <c r="DL258" s="243"/>
      <c r="DM258" s="243"/>
      <c r="DN258" s="243"/>
      <c r="DO258" s="243"/>
      <c r="DP258" s="243"/>
      <c r="DQ258" s="243"/>
      <c r="DR258" s="243"/>
      <c r="DS258" s="243"/>
      <c r="DT258" s="243"/>
      <c r="DU258" s="243"/>
      <c r="DV258" s="243"/>
      <c r="DW258" s="243"/>
      <c r="DX258" s="243"/>
      <c r="DY258" s="243"/>
      <c r="DZ258" s="243"/>
      <c r="EA258" s="243"/>
      <c r="EB258" s="243"/>
      <c r="EC258" s="243"/>
      <c r="ED258" s="243"/>
      <c r="EE258" s="243"/>
      <c r="EF258" s="243"/>
      <c r="EG258" s="243"/>
      <c r="EH258" s="243"/>
      <c r="EI258" s="243"/>
      <c r="EJ258" s="243"/>
      <c r="EK258" s="243"/>
      <c r="EL258" s="243"/>
      <c r="EM258" s="243"/>
      <c r="EN258" s="243"/>
      <c r="EO258" s="243"/>
      <c r="EP258" s="243"/>
      <c r="EQ258" s="243"/>
      <c r="ER258" s="243"/>
      <c r="ES258" s="243"/>
      <c r="ET258" s="243"/>
      <c r="EU258" s="243"/>
      <c r="EV258" s="243"/>
      <c r="EW258" s="243"/>
      <c r="EX258" s="243"/>
      <c r="EY258" s="243"/>
      <c r="EZ258" s="243"/>
      <c r="FA258" s="243"/>
      <c r="FB258" s="243"/>
      <c r="FC258" s="243"/>
      <c r="FD258" s="243"/>
      <c r="FE258" s="243"/>
      <c r="FF258" s="243"/>
      <c r="FG258" s="243"/>
      <c r="FH258" s="243"/>
      <c r="FI258" s="243"/>
      <c r="FJ258" s="243"/>
      <c r="FK258" s="243"/>
      <c r="FL258" s="243"/>
      <c r="FM258" s="243"/>
      <c r="FN258" s="243"/>
      <c r="FO258" s="243"/>
      <c r="FP258" s="243"/>
      <c r="FQ258" s="243"/>
      <c r="FR258" s="243"/>
      <c r="FS258" s="243"/>
      <c r="FT258" s="243"/>
      <c r="FU258" s="243"/>
      <c r="FV258" s="243"/>
      <c r="FW258" s="243"/>
      <c r="FX258" s="243"/>
      <c r="FY258" s="243"/>
      <c r="FZ258" s="243"/>
      <c r="GA258" s="243"/>
      <c r="GB258" s="243"/>
      <c r="GC258" s="243"/>
      <c r="GD258" s="243"/>
      <c r="GE258" s="243"/>
      <c r="GF258" s="243"/>
      <c r="GG258" s="243"/>
      <c r="GH258" s="243"/>
      <c r="GI258" s="243"/>
      <c r="GJ258" s="243"/>
      <c r="GK258" s="243"/>
      <c r="GL258" s="243"/>
      <c r="GM258" s="243"/>
      <c r="GN258" s="243"/>
      <c r="GO258" s="243"/>
      <c r="GP258" s="243"/>
      <c r="GQ258" s="243"/>
      <c r="GR258" s="243"/>
      <c r="GS258" s="243"/>
      <c r="GT258" s="243"/>
      <c r="GU258" s="243"/>
      <c r="GV258" s="243"/>
      <c r="GW258" s="243"/>
      <c r="GX258" s="243"/>
      <c r="GY258" s="243"/>
      <c r="GZ258" s="243"/>
      <c r="HA258" s="243"/>
      <c r="HB258" s="243"/>
      <c r="HC258" s="243"/>
      <c r="HD258" s="243"/>
      <c r="HE258" s="243"/>
      <c r="HF258" s="243"/>
      <c r="HG258" s="243"/>
      <c r="HH258" s="243"/>
      <c r="HI258" s="243"/>
      <c r="HJ258" s="243"/>
      <c r="HK258" s="243"/>
      <c r="HL258" s="243"/>
      <c r="HM258" s="243"/>
      <c r="HN258" s="243"/>
      <c r="HO258" s="243"/>
      <c r="HP258" s="243"/>
      <c r="HQ258" s="243"/>
      <c r="HR258" s="243"/>
      <c r="HS258" s="243"/>
      <c r="HT258" s="243"/>
      <c r="HU258" s="243"/>
      <c r="HV258" s="243"/>
      <c r="HW258" s="243"/>
      <c r="HX258" s="243"/>
      <c r="HY258" s="243"/>
      <c r="HZ258" s="243"/>
      <c r="IA258" s="243"/>
      <c r="IB258" s="243"/>
      <c r="IC258" s="243"/>
      <c r="ID258" s="243"/>
      <c r="IE258" s="243"/>
      <c r="IF258" s="243"/>
      <c r="IG258" s="243"/>
      <c r="IH258" s="243"/>
      <c r="II258" s="243"/>
      <c r="IJ258" s="243"/>
      <c r="IK258" s="243"/>
      <c r="IL258" s="243"/>
      <c r="IM258" s="243"/>
      <c r="IN258" s="243"/>
      <c r="IO258" s="243"/>
      <c r="IP258" s="243"/>
      <c r="IQ258" s="243"/>
      <c r="IR258" s="243"/>
      <c r="IS258" s="243"/>
      <c r="IT258" s="243"/>
      <c r="IU258" s="243"/>
      <c r="IV258" s="243"/>
      <c r="IW258" s="243"/>
      <c r="IX258" s="243"/>
      <c r="IY258" s="243"/>
      <c r="IZ258" s="243"/>
      <c r="JA258" s="243"/>
      <c r="JB258" s="243"/>
      <c r="JC258" s="243"/>
      <c r="JD258" s="243"/>
      <c r="JE258" s="243"/>
      <c r="JF258" s="243"/>
      <c r="JG258" s="243"/>
      <c r="JH258" s="243"/>
      <c r="JI258" s="243"/>
      <c r="JJ258" s="243"/>
      <c r="JK258" s="243"/>
      <c r="JL258" s="243"/>
      <c r="JM258" s="243"/>
      <c r="JN258" s="243"/>
      <c r="JO258" s="243"/>
      <c r="JP258" s="243"/>
      <c r="JQ258" s="243"/>
      <c r="JR258" s="243"/>
      <c r="JS258" s="243"/>
      <c r="JT258" s="243"/>
      <c r="JU258" s="243"/>
      <c r="JV258" s="243"/>
      <c r="JW258" s="243"/>
      <c r="JX258" s="243"/>
      <c r="JY258" s="243"/>
      <c r="JZ258" s="243"/>
      <c r="KA258" s="243"/>
      <c r="KB258" s="243"/>
      <c r="KC258" s="243"/>
      <c r="KD258" s="243"/>
      <c r="KE258" s="243"/>
      <c r="KF258" s="243"/>
      <c r="KG258" s="243"/>
      <c r="KH258" s="243"/>
      <c r="KI258" s="243"/>
      <c r="KJ258" s="243"/>
      <c r="KK258" s="243"/>
      <c r="KL258" s="243"/>
      <c r="KM258" s="243"/>
      <c r="KN258" s="243"/>
      <c r="KO258" s="243"/>
      <c r="KP258" s="243"/>
      <c r="KQ258" s="243"/>
      <c r="KR258" s="243"/>
      <c r="KS258" s="243"/>
      <c r="KT258" s="243"/>
      <c r="KU258" s="243"/>
      <c r="KV258" s="243"/>
      <c r="KW258" s="243"/>
      <c r="KX258" s="243"/>
      <c r="KY258" s="243"/>
      <c r="KZ258" s="243"/>
      <c r="LA258" s="243"/>
      <c r="LB258" s="243"/>
      <c r="LC258" s="243"/>
      <c r="LD258" s="243"/>
      <c r="LE258" s="243"/>
      <c r="LF258" s="243"/>
      <c r="LG258" s="243"/>
      <c r="LH258" s="243"/>
      <c r="LI258" s="243"/>
      <c r="LJ258" s="243"/>
      <c r="LK258" s="243"/>
      <c r="LL258" s="243"/>
      <c r="LM258" s="243"/>
      <c r="LN258" s="243"/>
      <c r="LO258" s="243"/>
      <c r="LP258" s="243"/>
      <c r="LQ258" s="243"/>
      <c r="LR258" s="243"/>
      <c r="LS258" s="243"/>
      <c r="LT258" s="243"/>
      <c r="LU258" s="243"/>
      <c r="LV258" s="243"/>
      <c r="LW258" s="243"/>
      <c r="LX258" s="243"/>
      <c r="LY258" s="243"/>
      <c r="LZ258" s="243"/>
      <c r="MA258" s="243"/>
      <c r="MB258" s="243"/>
      <c r="MC258" s="243"/>
      <c r="MD258" s="243"/>
      <c r="ME258" s="243"/>
      <c r="MF258" s="243"/>
      <c r="MG258" s="243"/>
      <c r="MH258" s="243"/>
      <c r="MI258" s="243"/>
      <c r="MJ258" s="243"/>
      <c r="MK258" s="243"/>
      <c r="ML258" s="243"/>
      <c r="MM258" s="243"/>
      <c r="MN258" s="243"/>
      <c r="MO258" s="243"/>
      <c r="MP258" s="243"/>
      <c r="MQ258" s="243"/>
      <c r="MR258" s="243"/>
      <c r="MS258" s="243"/>
      <c r="MT258" s="243"/>
      <c r="MU258" s="243"/>
      <c r="MV258" s="243"/>
      <c r="MW258" s="243"/>
      <c r="MX258" s="243"/>
      <c r="MY258" s="243"/>
      <c r="MZ258" s="243"/>
      <c r="NA258" s="243"/>
      <c r="NB258" s="243"/>
      <c r="NC258" s="243"/>
      <c r="ND258" s="243"/>
      <c r="NE258" s="243"/>
      <c r="NF258" s="243"/>
      <c r="NG258" s="243"/>
      <c r="NH258" s="243"/>
      <c r="NI258" s="243"/>
      <c r="NJ258" s="243"/>
      <c r="NK258" s="243"/>
      <c r="NL258" s="243"/>
      <c r="NM258" s="243"/>
      <c r="NN258" s="243"/>
      <c r="NO258" s="243"/>
      <c r="NP258" s="243"/>
      <c r="NQ258" s="243"/>
      <c r="NR258" s="243"/>
      <c r="NS258" s="243"/>
      <c r="NT258" s="243"/>
      <c r="NU258" s="243"/>
      <c r="NV258" s="243"/>
      <c r="NW258" s="243"/>
      <c r="NX258" s="243"/>
      <c r="NY258" s="243"/>
      <c r="NZ258" s="243"/>
      <c r="OA258" s="243"/>
      <c r="OB258" s="243"/>
      <c r="OC258" s="243"/>
      <c r="OD258" s="243"/>
      <c r="OE258" s="243"/>
      <c r="OF258" s="243"/>
      <c r="OG258" s="243"/>
      <c r="OH258" s="243"/>
      <c r="OI258" s="243"/>
      <c r="OJ258" s="243"/>
      <c r="OK258" s="243"/>
      <c r="OL258" s="243"/>
      <c r="OM258" s="243"/>
      <c r="ON258" s="243"/>
      <c r="OO258" s="243"/>
      <c r="OP258" s="243"/>
      <c r="OQ258" s="243"/>
      <c r="OR258" s="243"/>
      <c r="OS258" s="243"/>
      <c r="OT258" s="243"/>
      <c r="OU258" s="243"/>
      <c r="OV258" s="243"/>
      <c r="OW258" s="243"/>
      <c r="OX258" s="243"/>
      <c r="OY258" s="243"/>
      <c r="OZ258" s="243"/>
      <c r="PA258" s="243"/>
      <c r="PB258" s="243"/>
      <c r="PC258" s="243"/>
      <c r="PD258" s="243"/>
      <c r="PE258" s="243"/>
      <c r="PF258" s="243"/>
      <c r="PG258" s="243"/>
      <c r="PH258" s="243"/>
      <c r="PI258" s="243"/>
      <c r="PJ258" s="243"/>
      <c r="PK258" s="243"/>
      <c r="PL258" s="243"/>
      <c r="PM258" s="243"/>
      <c r="PN258" s="243"/>
      <c r="PO258" s="243"/>
      <c r="PP258" s="243"/>
      <c r="PQ258" s="243"/>
      <c r="PR258" s="243"/>
      <c r="PS258" s="243"/>
      <c r="PT258" s="243"/>
      <c r="PU258" s="243"/>
      <c r="PV258" s="243"/>
      <c r="PW258" s="243"/>
      <c r="PX258" s="243"/>
      <c r="PY258" s="243"/>
      <c r="PZ258" s="243"/>
      <c r="QA258" s="243"/>
      <c r="QB258" s="243"/>
      <c r="QC258" s="243"/>
      <c r="QD258" s="243"/>
      <c r="QE258" s="243"/>
      <c r="QF258" s="243"/>
      <c r="QG258" s="243"/>
      <c r="QH258" s="243"/>
      <c r="QI258" s="243"/>
      <c r="QJ258" s="243"/>
      <c r="QK258" s="243"/>
      <c r="QL258" s="243"/>
      <c r="QM258" s="243"/>
      <c r="QN258" s="243"/>
      <c r="QO258" s="243"/>
      <c r="QP258" s="243"/>
      <c r="QQ258" s="243"/>
      <c r="QR258" s="243"/>
      <c r="QS258" s="243"/>
      <c r="QT258" s="243"/>
      <c r="QU258" s="243"/>
      <c r="QV258" s="243"/>
      <c r="QW258" s="243"/>
      <c r="QX258" s="243"/>
      <c r="QY258" s="243"/>
      <c r="QZ258" s="243"/>
      <c r="RA258" s="243"/>
      <c r="RB258" s="243"/>
      <c r="RC258" s="243"/>
      <c r="RD258" s="243"/>
      <c r="RE258" s="243"/>
      <c r="RF258" s="243"/>
      <c r="RG258" s="243"/>
      <c r="RH258" s="243"/>
      <c r="RI258" s="243"/>
      <c r="RJ258" s="243"/>
      <c r="RK258" s="243"/>
      <c r="RL258" s="243"/>
      <c r="RM258" s="243"/>
      <c r="RN258" s="243"/>
      <c r="RO258" s="243"/>
      <c r="RP258" s="243"/>
      <c r="RQ258" s="243"/>
      <c r="RR258" s="243"/>
      <c r="RS258" s="243"/>
      <c r="RT258" s="243"/>
      <c r="RU258" s="243"/>
      <c r="RV258" s="243"/>
      <c r="RW258" s="243"/>
      <c r="RX258" s="243"/>
      <c r="RY258" s="243"/>
      <c r="RZ258" s="243"/>
      <c r="SA258" s="243"/>
      <c r="SB258" s="243"/>
      <c r="SC258" s="243"/>
      <c r="SD258" s="243"/>
      <c r="SE258" s="243"/>
      <c r="SF258" s="243"/>
      <c r="SG258" s="243"/>
      <c r="SH258" s="243"/>
      <c r="SI258" s="243"/>
      <c r="SJ258" s="243"/>
      <c r="SK258" s="243"/>
      <c r="SL258" s="243"/>
      <c r="SM258" s="243"/>
      <c r="SN258" s="243"/>
      <c r="SO258" s="243"/>
      <c r="SP258" s="243"/>
      <c r="SQ258" s="243"/>
      <c r="SR258" s="243"/>
      <c r="SS258" s="243"/>
      <c r="ST258" s="243"/>
      <c r="SU258" s="243"/>
      <c r="SV258" s="243"/>
      <c r="SW258" s="243"/>
      <c r="SX258" s="243"/>
      <c r="SY258" s="243"/>
      <c r="SZ258" s="243"/>
      <c r="TA258" s="243"/>
      <c r="TB258" s="243"/>
      <c r="TC258" s="243"/>
      <c r="TD258" s="243"/>
      <c r="TE258" s="243"/>
      <c r="TF258" s="243"/>
      <c r="TG258" s="243"/>
      <c r="TH258" s="243"/>
      <c r="TI258" s="243"/>
      <c r="TJ258" s="243"/>
      <c r="TK258" s="243"/>
      <c r="TL258" s="243"/>
      <c r="TM258" s="243"/>
      <c r="TN258" s="243"/>
      <c r="TO258" s="243"/>
      <c r="TP258" s="243"/>
      <c r="TQ258" s="243"/>
      <c r="TR258" s="243"/>
      <c r="TS258" s="243"/>
      <c r="TT258" s="243"/>
      <c r="TU258" s="243"/>
      <c r="TV258" s="243"/>
      <c r="TW258" s="243"/>
      <c r="TX258" s="243"/>
      <c r="TY258" s="243"/>
      <c r="TZ258" s="243"/>
      <c r="UA258" s="243"/>
      <c r="UB258" s="243"/>
      <c r="UC258" s="243"/>
      <c r="UD258" s="243"/>
      <c r="UE258" s="243"/>
      <c r="UF258" s="243"/>
      <c r="UG258" s="243"/>
      <c r="UH258" s="243"/>
      <c r="UI258" s="243"/>
      <c r="UJ258" s="243"/>
      <c r="UK258" s="243"/>
      <c r="UL258" s="243"/>
      <c r="UM258" s="243"/>
      <c r="UN258" s="243"/>
      <c r="UO258" s="243"/>
      <c r="UP258" s="243"/>
      <c r="UQ258" s="243"/>
      <c r="UR258" s="243"/>
      <c r="US258" s="243"/>
      <c r="UT258" s="243"/>
      <c r="UU258" s="243"/>
      <c r="UV258" s="243"/>
      <c r="UW258" s="243"/>
      <c r="UX258" s="243"/>
      <c r="UY258" s="243"/>
      <c r="UZ258" s="243"/>
      <c r="VA258" s="243"/>
      <c r="VB258" s="243"/>
      <c r="VC258" s="243"/>
      <c r="VD258" s="243"/>
      <c r="VE258" s="243"/>
      <c r="VF258" s="243"/>
      <c r="VG258" s="243"/>
      <c r="VH258" s="243"/>
      <c r="VI258" s="243"/>
      <c r="VJ258" s="243"/>
      <c r="VK258" s="243"/>
      <c r="VL258" s="243"/>
      <c r="VM258" s="243"/>
      <c r="VN258" s="243"/>
      <c r="VO258" s="243"/>
      <c r="VP258" s="243"/>
      <c r="VQ258" s="243"/>
      <c r="VR258" s="243"/>
      <c r="VS258" s="243"/>
      <c r="VT258" s="243"/>
      <c r="VU258" s="243"/>
      <c r="VV258" s="243"/>
      <c r="VW258" s="243"/>
      <c r="VX258" s="243"/>
      <c r="VY258" s="243"/>
      <c r="VZ258" s="243"/>
      <c r="WA258" s="243"/>
      <c r="WB258" s="243"/>
      <c r="WC258" s="243"/>
      <c r="WD258" s="243"/>
      <c r="WE258" s="243"/>
      <c r="WF258" s="243"/>
      <c r="WG258" s="243"/>
      <c r="WH258" s="243"/>
      <c r="WI258" s="243"/>
      <c r="WJ258" s="243"/>
      <c r="WK258" s="243"/>
      <c r="WL258" s="243"/>
      <c r="WM258" s="243"/>
      <c r="WN258" s="243"/>
      <c r="WO258" s="243"/>
      <c r="WP258" s="243"/>
      <c r="WQ258" s="243"/>
      <c r="WR258" s="243"/>
      <c r="WS258" s="243"/>
      <c r="WT258" s="243"/>
      <c r="WU258" s="243"/>
      <c r="WV258" s="243"/>
      <c r="WW258" s="243"/>
      <c r="WX258" s="243"/>
      <c r="WY258" s="243"/>
      <c r="WZ258" s="243"/>
      <c r="XA258" s="243"/>
      <c r="XB258" s="243"/>
      <c r="XC258" s="243"/>
      <c r="XD258" s="243"/>
      <c r="XE258" s="243"/>
      <c r="XF258" s="243"/>
      <c r="XG258" s="243"/>
      <c r="XH258" s="243"/>
      <c r="XI258" s="243"/>
      <c r="XJ258" s="243"/>
      <c r="XK258" s="243"/>
      <c r="XL258" s="243"/>
      <c r="XM258" s="243"/>
      <c r="XN258" s="243"/>
      <c r="XO258" s="243"/>
      <c r="XP258" s="243"/>
      <c r="XQ258" s="243"/>
      <c r="XR258" s="243"/>
      <c r="XS258" s="243"/>
      <c r="XT258" s="243"/>
      <c r="XU258" s="243"/>
      <c r="XV258" s="243"/>
      <c r="XW258" s="243"/>
      <c r="XX258" s="243"/>
      <c r="XY258" s="243"/>
      <c r="XZ258" s="243"/>
      <c r="YA258" s="243"/>
      <c r="YB258" s="243"/>
      <c r="YC258" s="243"/>
      <c r="YD258" s="243"/>
      <c r="YE258" s="243"/>
      <c r="YF258" s="243"/>
      <c r="YG258" s="243"/>
      <c r="YH258" s="243"/>
      <c r="YI258" s="243"/>
      <c r="YJ258" s="243"/>
      <c r="YK258" s="243"/>
      <c r="YL258" s="243"/>
      <c r="YM258" s="243"/>
      <c r="YN258" s="243"/>
      <c r="YO258" s="243"/>
      <c r="YP258" s="243"/>
      <c r="YQ258" s="243"/>
      <c r="YR258" s="243"/>
      <c r="YS258" s="243"/>
      <c r="YT258" s="243"/>
      <c r="YU258" s="243"/>
      <c r="YV258" s="243"/>
      <c r="YW258" s="243"/>
      <c r="YX258" s="243"/>
      <c r="YY258" s="243"/>
      <c r="YZ258" s="243"/>
      <c r="ZA258" s="243"/>
      <c r="ZB258" s="243"/>
      <c r="ZC258" s="243"/>
      <c r="ZD258" s="243"/>
      <c r="ZE258" s="243"/>
      <c r="ZF258" s="243"/>
      <c r="ZG258" s="243"/>
      <c r="ZH258" s="243"/>
      <c r="ZI258" s="243"/>
      <c r="ZJ258" s="243"/>
      <c r="ZK258" s="243"/>
      <c r="ZL258" s="243"/>
      <c r="ZM258" s="243"/>
      <c r="ZN258" s="243"/>
      <c r="ZO258" s="243"/>
      <c r="ZP258" s="243"/>
      <c r="ZQ258" s="243"/>
      <c r="ZR258" s="243"/>
      <c r="ZS258" s="243"/>
      <c r="ZT258" s="243"/>
      <c r="ZU258" s="243"/>
      <c r="ZV258" s="243"/>
      <c r="ZW258" s="243"/>
      <c r="ZX258" s="243"/>
      <c r="ZY258" s="243"/>
      <c r="ZZ258" s="243"/>
      <c r="AAA258" s="243"/>
      <c r="AAB258" s="243"/>
      <c r="AAC258" s="243"/>
      <c r="AAD258" s="243"/>
      <c r="AAE258" s="243"/>
      <c r="AAF258" s="243"/>
      <c r="AAG258" s="243"/>
      <c r="AAH258" s="243"/>
      <c r="AAI258" s="243"/>
      <c r="AAJ258" s="243"/>
      <c r="AAK258" s="243"/>
      <c r="AAL258" s="243"/>
      <c r="AAM258" s="243"/>
      <c r="AAN258" s="243"/>
      <c r="AAO258" s="243"/>
      <c r="AAP258" s="243"/>
      <c r="AAQ258" s="243"/>
      <c r="AAR258" s="243"/>
      <c r="AAS258" s="243"/>
      <c r="AAT258" s="243"/>
      <c r="AAU258" s="243"/>
      <c r="AAV258" s="243"/>
      <c r="AAW258" s="243"/>
      <c r="AAX258" s="243"/>
      <c r="AAY258" s="243"/>
      <c r="AAZ258" s="243"/>
      <c r="ABA258" s="243"/>
      <c r="ABB258" s="243"/>
      <c r="ABC258" s="243"/>
      <c r="ABD258" s="243"/>
      <c r="ABE258" s="243"/>
      <c r="ABF258" s="243"/>
      <c r="ABG258" s="243"/>
      <c r="ABH258" s="243"/>
      <c r="ABI258" s="243"/>
      <c r="ABJ258" s="243"/>
      <c r="ABK258" s="243"/>
      <c r="ABL258" s="243"/>
      <c r="ABM258" s="243"/>
      <c r="ABN258" s="243"/>
      <c r="ABO258" s="243"/>
      <c r="ABP258" s="243"/>
      <c r="ABQ258" s="243"/>
      <c r="ABR258" s="243"/>
      <c r="ABS258" s="243"/>
      <c r="ABT258" s="243"/>
      <c r="ABU258" s="243"/>
      <c r="ABV258" s="243"/>
      <c r="ABW258" s="243"/>
      <c r="ABX258" s="243"/>
      <c r="ABY258" s="243"/>
      <c r="ABZ258" s="243"/>
      <c r="ACA258" s="243"/>
      <c r="ACB258" s="243"/>
      <c r="ACC258" s="243"/>
      <c r="ACD258" s="243"/>
      <c r="ACE258" s="243"/>
      <c r="ACF258" s="243"/>
      <c r="ACG258" s="243"/>
      <c r="ACH258" s="243"/>
      <c r="ACI258" s="243"/>
      <c r="ACJ258" s="243"/>
      <c r="ACK258" s="243"/>
      <c r="ACL258" s="243"/>
      <c r="ACM258" s="243"/>
      <c r="ACN258" s="243"/>
      <c r="ACO258" s="243"/>
      <c r="ACP258" s="243"/>
      <c r="ACQ258" s="243"/>
      <c r="ACR258" s="243"/>
      <c r="ACS258" s="243"/>
      <c r="ACT258" s="243"/>
      <c r="ACU258" s="243"/>
      <c r="ACV258" s="243"/>
      <c r="ACW258" s="243"/>
      <c r="ACX258" s="243"/>
      <c r="ACY258" s="243"/>
      <c r="ACZ258" s="243"/>
      <c r="ADA258" s="243"/>
      <c r="ADB258" s="243"/>
      <c r="ADC258" s="243"/>
      <c r="ADD258" s="243"/>
      <c r="ADE258" s="243"/>
      <c r="ADF258" s="243"/>
      <c r="ADG258" s="243"/>
      <c r="ADH258" s="243"/>
      <c r="ADI258" s="243"/>
      <c r="ADJ258" s="243"/>
      <c r="ADK258" s="243"/>
      <c r="ADL258" s="243"/>
      <c r="ADM258" s="243"/>
      <c r="ADN258" s="243"/>
      <c r="ADO258" s="243"/>
      <c r="ADP258" s="243"/>
      <c r="ADQ258" s="243"/>
      <c r="ADR258" s="243"/>
      <c r="ADS258" s="243"/>
      <c r="ADT258" s="243"/>
      <c r="ADU258" s="243"/>
      <c r="ADV258" s="243"/>
      <c r="ADW258" s="243"/>
      <c r="ADX258" s="243"/>
      <c r="ADY258" s="243"/>
      <c r="ADZ258" s="243"/>
      <c r="AEA258" s="243"/>
      <c r="AEB258" s="243"/>
      <c r="AEC258" s="243"/>
      <c r="AED258" s="243"/>
      <c r="AEE258" s="243"/>
      <c r="AEF258" s="243"/>
      <c r="AEG258" s="243"/>
      <c r="AEH258" s="243"/>
      <c r="AEI258" s="243"/>
      <c r="AEJ258" s="243"/>
      <c r="AEK258" s="243"/>
      <c r="AEL258" s="243"/>
      <c r="AEM258" s="243"/>
      <c r="AEN258" s="243"/>
      <c r="AEO258" s="243"/>
      <c r="AEP258" s="243"/>
      <c r="AEQ258" s="243"/>
      <c r="AER258" s="243"/>
      <c r="AES258" s="243"/>
      <c r="AET258" s="243"/>
      <c r="AEU258" s="243"/>
      <c r="AEV258" s="243"/>
      <c r="AEW258" s="243"/>
      <c r="AEX258" s="243"/>
      <c r="AEY258" s="243"/>
      <c r="AEZ258" s="243"/>
      <c r="AFA258" s="243"/>
      <c r="AFB258" s="243"/>
      <c r="AFC258" s="243"/>
      <c r="AFD258" s="243"/>
      <c r="AFE258" s="243"/>
      <c r="AFF258" s="243"/>
      <c r="AFG258" s="243"/>
      <c r="AFH258" s="243"/>
      <c r="AFI258" s="243"/>
      <c r="AFJ258" s="243"/>
      <c r="AFK258" s="243"/>
      <c r="AFL258" s="243"/>
      <c r="AFM258" s="243"/>
      <c r="AFN258" s="243"/>
      <c r="AFO258" s="243"/>
      <c r="AFP258" s="243"/>
      <c r="AFQ258" s="243"/>
      <c r="AFR258" s="243"/>
      <c r="AFS258" s="243"/>
      <c r="AFT258" s="243"/>
      <c r="AFU258" s="243"/>
      <c r="AFV258" s="243"/>
      <c r="AFW258" s="243"/>
      <c r="AFX258" s="243"/>
      <c r="AFY258" s="243"/>
      <c r="AFZ258" s="243"/>
      <c r="AGA258" s="243"/>
      <c r="AGB258" s="243"/>
      <c r="AGC258" s="243"/>
      <c r="AGD258" s="243"/>
      <c r="AGE258" s="243"/>
      <c r="AGF258" s="243"/>
      <c r="AGG258" s="243"/>
      <c r="AGH258" s="243"/>
      <c r="AGI258" s="243"/>
      <c r="AGJ258" s="243"/>
      <c r="AGK258" s="243"/>
      <c r="AGL258" s="243"/>
      <c r="AGM258" s="243"/>
      <c r="AGN258" s="243"/>
      <c r="AGO258" s="243"/>
      <c r="AGP258" s="243"/>
      <c r="AGQ258" s="243"/>
      <c r="AGR258" s="243"/>
      <c r="AGS258" s="243"/>
      <c r="AGT258" s="243"/>
      <c r="AGU258" s="243"/>
      <c r="AGV258" s="243"/>
      <c r="AGW258" s="243"/>
      <c r="AGX258" s="243"/>
      <c r="AGY258" s="243"/>
      <c r="AGZ258" s="243"/>
      <c r="AHA258" s="243"/>
      <c r="AHB258" s="243"/>
      <c r="AHC258" s="243"/>
      <c r="AHD258" s="243"/>
      <c r="AHE258" s="243"/>
      <c r="AHF258" s="243"/>
      <c r="AHG258" s="243"/>
      <c r="AHH258" s="243"/>
      <c r="AHI258" s="243"/>
      <c r="AHJ258" s="243"/>
      <c r="AHK258" s="243"/>
      <c r="AHL258" s="243"/>
      <c r="AHM258" s="243"/>
      <c r="AHN258" s="243"/>
      <c r="AHO258" s="243"/>
      <c r="AHP258" s="243"/>
      <c r="AHQ258" s="243"/>
      <c r="AHR258" s="243"/>
      <c r="AHS258" s="243"/>
      <c r="AHT258" s="243"/>
      <c r="AHU258" s="243"/>
      <c r="AHV258" s="243"/>
      <c r="AHW258" s="243"/>
      <c r="AHX258" s="243"/>
      <c r="AHY258" s="243"/>
      <c r="AHZ258" s="243"/>
      <c r="AIA258" s="243"/>
      <c r="AIB258" s="243"/>
      <c r="AIC258" s="243"/>
      <c r="AID258" s="243"/>
      <c r="AIE258" s="243"/>
      <c r="AIF258" s="243"/>
      <c r="AIG258" s="243"/>
      <c r="AIH258" s="243"/>
      <c r="AII258" s="243"/>
      <c r="AIJ258" s="243"/>
      <c r="AIK258" s="243"/>
      <c r="AIL258" s="243"/>
      <c r="AIM258" s="243"/>
      <c r="AIN258" s="243"/>
      <c r="AIO258" s="243"/>
      <c r="AIP258" s="243"/>
      <c r="AIQ258" s="243"/>
      <c r="AIR258" s="243"/>
      <c r="AIS258" s="243"/>
      <c r="AIT258" s="243"/>
      <c r="AIU258" s="243"/>
      <c r="AIV258" s="243"/>
      <c r="AIW258" s="243"/>
      <c r="AIX258" s="243"/>
      <c r="AIY258" s="243"/>
      <c r="AIZ258" s="243"/>
      <c r="AJA258" s="243"/>
      <c r="AJB258" s="243"/>
      <c r="AJC258" s="243"/>
      <c r="AJD258" s="243"/>
      <c r="AJE258" s="243"/>
      <c r="AJF258" s="243"/>
      <c r="AJG258" s="243"/>
      <c r="AJH258" s="243"/>
      <c r="AJI258" s="243"/>
      <c r="AJJ258" s="243"/>
      <c r="AJK258" s="243"/>
      <c r="AJL258" s="243"/>
      <c r="AJM258" s="243"/>
      <c r="AJN258" s="243"/>
      <c r="AJO258" s="243"/>
      <c r="AJP258" s="243"/>
      <c r="AJQ258" s="243"/>
      <c r="AJR258" s="243"/>
      <c r="AJS258" s="243"/>
      <c r="AJT258" s="243"/>
      <c r="AJU258" s="243"/>
      <c r="AJV258" s="243"/>
      <c r="AJW258" s="243"/>
      <c r="AJX258" s="243"/>
      <c r="AJY258" s="243"/>
      <c r="AJZ258" s="243"/>
      <c r="AKA258" s="243"/>
      <c r="AKB258" s="243"/>
      <c r="AKC258" s="243"/>
      <c r="AKD258" s="243"/>
      <c r="AKE258" s="243"/>
      <c r="AKF258" s="243"/>
      <c r="AKG258" s="243"/>
      <c r="AKH258" s="243"/>
      <c r="AKI258" s="243"/>
      <c r="AKJ258" s="243"/>
      <c r="AKK258" s="243"/>
      <c r="AKL258" s="243"/>
      <c r="AKM258" s="243"/>
      <c r="AKN258" s="243"/>
      <c r="AKO258" s="243"/>
      <c r="AKP258" s="243"/>
      <c r="AKQ258" s="243"/>
      <c r="AKR258" s="243"/>
      <c r="AKS258" s="243"/>
      <c r="AKT258" s="243"/>
      <c r="AKU258" s="243"/>
      <c r="AKV258" s="243"/>
      <c r="AKW258" s="243"/>
      <c r="AKX258" s="243"/>
      <c r="AKY258" s="243"/>
      <c r="AKZ258" s="243"/>
      <c r="ALA258" s="243"/>
      <c r="ALB258" s="243"/>
      <c r="ALC258" s="243"/>
      <c r="ALD258" s="243"/>
      <c r="ALE258" s="243"/>
      <c r="ALF258" s="243"/>
      <c r="ALG258" s="243"/>
      <c r="ALH258" s="243"/>
      <c r="ALI258" s="243"/>
      <c r="ALJ258" s="243"/>
      <c r="ALK258" s="243"/>
      <c r="ALL258" s="243"/>
      <c r="ALM258" s="243"/>
      <c r="ALN258" s="243"/>
      <c r="ALO258" s="243"/>
      <c r="ALP258" s="243"/>
      <c r="ALQ258" s="243"/>
      <c r="ALR258" s="243"/>
      <c r="ALS258" s="243"/>
      <c r="ALT258" s="243"/>
      <c r="ALU258" s="243"/>
      <c r="ALV258" s="243"/>
      <c r="ALW258" s="243"/>
      <c r="ALX258" s="243"/>
      <c r="ALY258" s="243"/>
      <c r="ALZ258" s="243"/>
      <c r="AMA258" s="243"/>
      <c r="AMB258" s="243"/>
      <c r="AMC258" s="243"/>
      <c r="AMD258" s="243"/>
      <c r="AME258" s="243"/>
      <c r="AMF258" s="243"/>
      <c r="AMG258" s="243"/>
      <c r="AMH258" s="243"/>
      <c r="AMI258" s="244"/>
      <c r="AMJ258" s="244"/>
    </row>
    <row r="259" spans="1:1024" ht="18">
      <c r="A259" s="1019"/>
      <c r="B259" s="1024" t="s">
        <v>169</v>
      </c>
      <c r="C259" s="1025"/>
      <c r="D259" s="1025"/>
      <c r="E259" s="391"/>
      <c r="F259" s="390"/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  <c r="AH259" s="243"/>
      <c r="AI259" s="243"/>
      <c r="AJ259" s="243"/>
      <c r="AK259" s="243"/>
      <c r="AL259" s="243"/>
      <c r="AM259" s="243"/>
      <c r="AN259" s="243"/>
      <c r="AO259" s="243"/>
      <c r="AP259" s="243"/>
      <c r="AQ259" s="243"/>
      <c r="AR259" s="243"/>
      <c r="AS259" s="243"/>
      <c r="AT259" s="243"/>
      <c r="AU259" s="243"/>
      <c r="AV259" s="243"/>
      <c r="AW259" s="243"/>
      <c r="AX259" s="243"/>
      <c r="AY259" s="243"/>
      <c r="AZ259" s="243"/>
      <c r="BA259" s="243"/>
      <c r="BB259" s="243"/>
      <c r="BC259" s="243"/>
      <c r="BD259" s="243"/>
      <c r="BE259" s="243"/>
      <c r="BF259" s="243"/>
      <c r="BG259" s="243"/>
      <c r="BH259" s="243"/>
      <c r="BI259" s="243"/>
      <c r="BJ259" s="243"/>
      <c r="BK259" s="243"/>
      <c r="BL259" s="243"/>
      <c r="BM259" s="243"/>
      <c r="BN259" s="243"/>
      <c r="BO259" s="243"/>
      <c r="BP259" s="243"/>
      <c r="BQ259" s="243"/>
      <c r="BR259" s="243"/>
      <c r="BS259" s="243"/>
      <c r="BT259" s="243"/>
      <c r="BU259" s="243"/>
      <c r="BV259" s="243"/>
      <c r="BW259" s="243"/>
      <c r="BX259" s="243"/>
      <c r="BY259" s="243"/>
      <c r="BZ259" s="243"/>
      <c r="CA259" s="243"/>
      <c r="CB259" s="243"/>
      <c r="CC259" s="243"/>
      <c r="CD259" s="243"/>
      <c r="CE259" s="243"/>
      <c r="CF259" s="243"/>
      <c r="CG259" s="243"/>
      <c r="CH259" s="243"/>
      <c r="CI259" s="243"/>
      <c r="CJ259" s="243"/>
      <c r="CK259" s="243"/>
      <c r="CL259" s="243"/>
      <c r="CM259" s="243"/>
      <c r="CN259" s="243"/>
      <c r="CO259" s="243"/>
      <c r="CP259" s="243"/>
      <c r="CQ259" s="243"/>
      <c r="CR259" s="243"/>
      <c r="CS259" s="243"/>
      <c r="CT259" s="243"/>
      <c r="CU259" s="243"/>
      <c r="CV259" s="243"/>
      <c r="CW259" s="243"/>
      <c r="CX259" s="243"/>
      <c r="CY259" s="243"/>
      <c r="CZ259" s="243"/>
      <c r="DA259" s="243"/>
      <c r="DB259" s="243"/>
      <c r="DC259" s="243"/>
      <c r="DD259" s="243"/>
      <c r="DE259" s="243"/>
      <c r="DF259" s="243"/>
      <c r="DG259" s="243"/>
      <c r="DH259" s="243"/>
      <c r="DI259" s="243"/>
      <c r="DJ259" s="243"/>
      <c r="DK259" s="243"/>
      <c r="DL259" s="243"/>
      <c r="DM259" s="243"/>
      <c r="DN259" s="243"/>
      <c r="DO259" s="243"/>
      <c r="DP259" s="243"/>
      <c r="DQ259" s="243"/>
      <c r="DR259" s="243"/>
      <c r="DS259" s="243"/>
      <c r="DT259" s="243"/>
      <c r="DU259" s="243"/>
      <c r="DV259" s="243"/>
      <c r="DW259" s="243"/>
      <c r="DX259" s="243"/>
      <c r="DY259" s="243"/>
      <c r="DZ259" s="243"/>
      <c r="EA259" s="243"/>
      <c r="EB259" s="243"/>
      <c r="EC259" s="243"/>
      <c r="ED259" s="243"/>
      <c r="EE259" s="243"/>
      <c r="EF259" s="243"/>
      <c r="EG259" s="243"/>
      <c r="EH259" s="243"/>
      <c r="EI259" s="243"/>
      <c r="EJ259" s="243"/>
      <c r="EK259" s="243"/>
      <c r="EL259" s="243"/>
      <c r="EM259" s="243"/>
      <c r="EN259" s="243"/>
      <c r="EO259" s="243"/>
      <c r="EP259" s="243"/>
      <c r="EQ259" s="243"/>
      <c r="ER259" s="243"/>
      <c r="ES259" s="243"/>
      <c r="ET259" s="243"/>
      <c r="EU259" s="243"/>
      <c r="EV259" s="243"/>
      <c r="EW259" s="243"/>
      <c r="EX259" s="243"/>
      <c r="EY259" s="243"/>
      <c r="EZ259" s="243"/>
      <c r="FA259" s="243"/>
      <c r="FB259" s="243"/>
      <c r="FC259" s="243"/>
      <c r="FD259" s="243"/>
      <c r="FE259" s="243"/>
      <c r="FF259" s="243"/>
      <c r="FG259" s="243"/>
      <c r="FH259" s="243"/>
      <c r="FI259" s="243"/>
      <c r="FJ259" s="243"/>
      <c r="FK259" s="243"/>
      <c r="FL259" s="243"/>
      <c r="FM259" s="243"/>
      <c r="FN259" s="243"/>
      <c r="FO259" s="243"/>
      <c r="FP259" s="243"/>
      <c r="FQ259" s="243"/>
      <c r="FR259" s="243"/>
      <c r="FS259" s="243"/>
      <c r="FT259" s="243"/>
      <c r="FU259" s="243"/>
      <c r="FV259" s="243"/>
      <c r="FW259" s="243"/>
      <c r="FX259" s="243"/>
      <c r="FY259" s="243"/>
      <c r="FZ259" s="243"/>
      <c r="GA259" s="243"/>
      <c r="GB259" s="243"/>
      <c r="GC259" s="243"/>
      <c r="GD259" s="243"/>
      <c r="GE259" s="243"/>
      <c r="GF259" s="243"/>
      <c r="GG259" s="243"/>
      <c r="GH259" s="243"/>
      <c r="GI259" s="243"/>
      <c r="GJ259" s="243"/>
      <c r="GK259" s="243"/>
      <c r="GL259" s="243"/>
      <c r="GM259" s="243"/>
      <c r="GN259" s="243"/>
      <c r="GO259" s="243"/>
      <c r="GP259" s="243"/>
      <c r="GQ259" s="243"/>
      <c r="GR259" s="243"/>
      <c r="GS259" s="243"/>
      <c r="GT259" s="243"/>
      <c r="GU259" s="243"/>
      <c r="GV259" s="243"/>
      <c r="GW259" s="243"/>
      <c r="GX259" s="243"/>
      <c r="GY259" s="243"/>
      <c r="GZ259" s="243"/>
      <c r="HA259" s="243"/>
      <c r="HB259" s="243"/>
      <c r="HC259" s="243"/>
      <c r="HD259" s="243"/>
      <c r="HE259" s="243"/>
      <c r="HF259" s="243"/>
      <c r="HG259" s="243"/>
      <c r="HH259" s="243"/>
      <c r="HI259" s="243"/>
      <c r="HJ259" s="243"/>
      <c r="HK259" s="243"/>
      <c r="HL259" s="243"/>
      <c r="HM259" s="243"/>
      <c r="HN259" s="243"/>
      <c r="HO259" s="243"/>
      <c r="HP259" s="243"/>
      <c r="HQ259" s="243"/>
      <c r="HR259" s="243"/>
      <c r="HS259" s="243"/>
      <c r="HT259" s="243"/>
      <c r="HU259" s="243"/>
      <c r="HV259" s="243"/>
      <c r="HW259" s="243"/>
      <c r="HX259" s="243"/>
      <c r="HY259" s="243"/>
      <c r="HZ259" s="243"/>
      <c r="IA259" s="243"/>
      <c r="IB259" s="243"/>
      <c r="IC259" s="243"/>
      <c r="ID259" s="243"/>
      <c r="IE259" s="243"/>
      <c r="IF259" s="243"/>
      <c r="IG259" s="243"/>
      <c r="IH259" s="243"/>
      <c r="II259" s="243"/>
      <c r="IJ259" s="243"/>
      <c r="IK259" s="243"/>
      <c r="IL259" s="243"/>
      <c r="IM259" s="243"/>
      <c r="IN259" s="243"/>
      <c r="IO259" s="243"/>
      <c r="IP259" s="243"/>
      <c r="IQ259" s="243"/>
      <c r="IR259" s="243"/>
      <c r="IS259" s="243"/>
      <c r="IT259" s="243"/>
      <c r="IU259" s="243"/>
      <c r="IV259" s="243"/>
      <c r="IW259" s="243"/>
      <c r="IX259" s="243"/>
      <c r="IY259" s="243"/>
      <c r="IZ259" s="243"/>
      <c r="JA259" s="243"/>
      <c r="JB259" s="243"/>
      <c r="JC259" s="243"/>
      <c r="JD259" s="243"/>
      <c r="JE259" s="243"/>
      <c r="JF259" s="243"/>
      <c r="JG259" s="243"/>
      <c r="JH259" s="243"/>
      <c r="JI259" s="243"/>
      <c r="JJ259" s="243"/>
      <c r="JK259" s="243"/>
      <c r="JL259" s="243"/>
      <c r="JM259" s="243"/>
      <c r="JN259" s="243"/>
      <c r="JO259" s="243"/>
      <c r="JP259" s="243"/>
      <c r="JQ259" s="243"/>
      <c r="JR259" s="243"/>
      <c r="JS259" s="243"/>
      <c r="JT259" s="243"/>
      <c r="JU259" s="243"/>
      <c r="JV259" s="243"/>
      <c r="JW259" s="243"/>
      <c r="JX259" s="243"/>
      <c r="JY259" s="243"/>
      <c r="JZ259" s="243"/>
      <c r="KA259" s="243"/>
      <c r="KB259" s="243"/>
      <c r="KC259" s="243"/>
      <c r="KD259" s="243"/>
      <c r="KE259" s="243"/>
      <c r="KF259" s="243"/>
      <c r="KG259" s="243"/>
      <c r="KH259" s="243"/>
      <c r="KI259" s="243"/>
      <c r="KJ259" s="243"/>
      <c r="KK259" s="243"/>
      <c r="KL259" s="243"/>
      <c r="KM259" s="243"/>
      <c r="KN259" s="243"/>
      <c r="KO259" s="243"/>
      <c r="KP259" s="243"/>
      <c r="KQ259" s="243"/>
      <c r="KR259" s="243"/>
      <c r="KS259" s="243"/>
      <c r="KT259" s="243"/>
      <c r="KU259" s="243"/>
      <c r="KV259" s="243"/>
      <c r="KW259" s="243"/>
      <c r="KX259" s="243"/>
      <c r="KY259" s="243"/>
      <c r="KZ259" s="243"/>
      <c r="LA259" s="243"/>
      <c r="LB259" s="243"/>
      <c r="LC259" s="243"/>
      <c r="LD259" s="243"/>
      <c r="LE259" s="243"/>
      <c r="LF259" s="243"/>
      <c r="LG259" s="243"/>
      <c r="LH259" s="243"/>
      <c r="LI259" s="243"/>
      <c r="LJ259" s="243"/>
      <c r="LK259" s="243"/>
      <c r="LL259" s="243"/>
      <c r="LM259" s="243"/>
      <c r="LN259" s="243"/>
      <c r="LO259" s="243"/>
      <c r="LP259" s="243"/>
      <c r="LQ259" s="243"/>
      <c r="LR259" s="243"/>
      <c r="LS259" s="243"/>
      <c r="LT259" s="243"/>
      <c r="LU259" s="243"/>
      <c r="LV259" s="243"/>
      <c r="LW259" s="243"/>
      <c r="LX259" s="243"/>
      <c r="LY259" s="243"/>
      <c r="LZ259" s="243"/>
      <c r="MA259" s="243"/>
      <c r="MB259" s="243"/>
      <c r="MC259" s="243"/>
      <c r="MD259" s="243"/>
      <c r="ME259" s="243"/>
      <c r="MF259" s="243"/>
      <c r="MG259" s="243"/>
      <c r="MH259" s="243"/>
      <c r="MI259" s="243"/>
      <c r="MJ259" s="243"/>
      <c r="MK259" s="243"/>
      <c r="ML259" s="243"/>
      <c r="MM259" s="243"/>
      <c r="MN259" s="243"/>
      <c r="MO259" s="243"/>
      <c r="MP259" s="243"/>
      <c r="MQ259" s="243"/>
      <c r="MR259" s="243"/>
      <c r="MS259" s="243"/>
      <c r="MT259" s="243"/>
      <c r="MU259" s="243"/>
      <c r="MV259" s="243"/>
      <c r="MW259" s="243"/>
      <c r="MX259" s="243"/>
      <c r="MY259" s="243"/>
      <c r="MZ259" s="243"/>
      <c r="NA259" s="243"/>
      <c r="NB259" s="243"/>
      <c r="NC259" s="243"/>
      <c r="ND259" s="243"/>
      <c r="NE259" s="243"/>
      <c r="NF259" s="243"/>
      <c r="NG259" s="243"/>
      <c r="NH259" s="243"/>
      <c r="NI259" s="243"/>
      <c r="NJ259" s="243"/>
      <c r="NK259" s="243"/>
      <c r="NL259" s="243"/>
      <c r="NM259" s="243"/>
      <c r="NN259" s="243"/>
      <c r="NO259" s="243"/>
      <c r="NP259" s="243"/>
      <c r="NQ259" s="243"/>
      <c r="NR259" s="243"/>
      <c r="NS259" s="243"/>
      <c r="NT259" s="243"/>
      <c r="NU259" s="243"/>
      <c r="NV259" s="243"/>
      <c r="NW259" s="243"/>
      <c r="NX259" s="243"/>
      <c r="NY259" s="243"/>
      <c r="NZ259" s="243"/>
      <c r="OA259" s="243"/>
      <c r="OB259" s="243"/>
      <c r="OC259" s="243"/>
      <c r="OD259" s="243"/>
      <c r="OE259" s="243"/>
      <c r="OF259" s="243"/>
      <c r="OG259" s="243"/>
      <c r="OH259" s="243"/>
      <c r="OI259" s="243"/>
      <c r="OJ259" s="243"/>
      <c r="OK259" s="243"/>
      <c r="OL259" s="243"/>
      <c r="OM259" s="243"/>
      <c r="ON259" s="243"/>
      <c r="OO259" s="243"/>
      <c r="OP259" s="243"/>
      <c r="OQ259" s="243"/>
      <c r="OR259" s="243"/>
      <c r="OS259" s="243"/>
      <c r="OT259" s="243"/>
      <c r="OU259" s="243"/>
      <c r="OV259" s="243"/>
      <c r="OW259" s="243"/>
      <c r="OX259" s="243"/>
      <c r="OY259" s="243"/>
      <c r="OZ259" s="243"/>
      <c r="PA259" s="243"/>
      <c r="PB259" s="243"/>
      <c r="PC259" s="243"/>
      <c r="PD259" s="243"/>
      <c r="PE259" s="243"/>
      <c r="PF259" s="243"/>
      <c r="PG259" s="243"/>
      <c r="PH259" s="243"/>
      <c r="PI259" s="243"/>
      <c r="PJ259" s="243"/>
      <c r="PK259" s="243"/>
      <c r="PL259" s="243"/>
      <c r="PM259" s="243"/>
      <c r="PN259" s="243"/>
      <c r="PO259" s="243"/>
      <c r="PP259" s="243"/>
      <c r="PQ259" s="243"/>
      <c r="PR259" s="243"/>
      <c r="PS259" s="243"/>
      <c r="PT259" s="243"/>
      <c r="PU259" s="243"/>
      <c r="PV259" s="243"/>
      <c r="PW259" s="243"/>
      <c r="PX259" s="243"/>
      <c r="PY259" s="243"/>
      <c r="PZ259" s="243"/>
      <c r="QA259" s="243"/>
      <c r="QB259" s="243"/>
      <c r="QC259" s="243"/>
      <c r="QD259" s="243"/>
      <c r="QE259" s="243"/>
      <c r="QF259" s="243"/>
      <c r="QG259" s="243"/>
      <c r="QH259" s="243"/>
      <c r="QI259" s="243"/>
      <c r="QJ259" s="243"/>
      <c r="QK259" s="243"/>
      <c r="QL259" s="243"/>
      <c r="QM259" s="243"/>
      <c r="QN259" s="243"/>
      <c r="QO259" s="243"/>
      <c r="QP259" s="243"/>
      <c r="QQ259" s="243"/>
      <c r="QR259" s="243"/>
      <c r="QS259" s="243"/>
      <c r="QT259" s="243"/>
      <c r="QU259" s="243"/>
      <c r="QV259" s="243"/>
      <c r="QW259" s="243"/>
      <c r="QX259" s="243"/>
      <c r="QY259" s="243"/>
      <c r="QZ259" s="243"/>
      <c r="RA259" s="243"/>
      <c r="RB259" s="243"/>
      <c r="RC259" s="243"/>
      <c r="RD259" s="243"/>
      <c r="RE259" s="243"/>
      <c r="RF259" s="243"/>
      <c r="RG259" s="243"/>
      <c r="RH259" s="243"/>
      <c r="RI259" s="243"/>
      <c r="RJ259" s="243"/>
      <c r="RK259" s="243"/>
      <c r="RL259" s="243"/>
      <c r="RM259" s="243"/>
      <c r="RN259" s="243"/>
      <c r="RO259" s="243"/>
      <c r="RP259" s="243"/>
      <c r="RQ259" s="243"/>
      <c r="RR259" s="243"/>
      <c r="RS259" s="243"/>
      <c r="RT259" s="243"/>
      <c r="RU259" s="243"/>
      <c r="RV259" s="243"/>
      <c r="RW259" s="243"/>
      <c r="RX259" s="243"/>
      <c r="RY259" s="243"/>
      <c r="RZ259" s="243"/>
      <c r="SA259" s="243"/>
      <c r="SB259" s="243"/>
      <c r="SC259" s="243"/>
      <c r="SD259" s="243"/>
      <c r="SE259" s="243"/>
      <c r="SF259" s="243"/>
      <c r="SG259" s="243"/>
      <c r="SH259" s="243"/>
      <c r="SI259" s="243"/>
      <c r="SJ259" s="243"/>
      <c r="SK259" s="243"/>
      <c r="SL259" s="243"/>
      <c r="SM259" s="243"/>
      <c r="SN259" s="243"/>
      <c r="SO259" s="243"/>
      <c r="SP259" s="243"/>
      <c r="SQ259" s="243"/>
      <c r="SR259" s="243"/>
      <c r="SS259" s="243"/>
      <c r="ST259" s="243"/>
      <c r="SU259" s="243"/>
      <c r="SV259" s="243"/>
      <c r="SW259" s="243"/>
      <c r="SX259" s="243"/>
      <c r="SY259" s="243"/>
      <c r="SZ259" s="243"/>
      <c r="TA259" s="243"/>
      <c r="TB259" s="243"/>
      <c r="TC259" s="243"/>
      <c r="TD259" s="243"/>
      <c r="TE259" s="243"/>
      <c r="TF259" s="243"/>
      <c r="TG259" s="243"/>
      <c r="TH259" s="243"/>
      <c r="TI259" s="243"/>
      <c r="TJ259" s="243"/>
      <c r="TK259" s="243"/>
      <c r="TL259" s="243"/>
      <c r="TM259" s="243"/>
      <c r="TN259" s="243"/>
      <c r="TO259" s="243"/>
      <c r="TP259" s="243"/>
      <c r="TQ259" s="243"/>
      <c r="TR259" s="243"/>
      <c r="TS259" s="243"/>
      <c r="TT259" s="243"/>
      <c r="TU259" s="243"/>
      <c r="TV259" s="243"/>
      <c r="TW259" s="243"/>
      <c r="TX259" s="243"/>
      <c r="TY259" s="243"/>
      <c r="TZ259" s="243"/>
      <c r="UA259" s="243"/>
      <c r="UB259" s="243"/>
      <c r="UC259" s="243"/>
      <c r="UD259" s="243"/>
      <c r="UE259" s="243"/>
      <c r="UF259" s="243"/>
      <c r="UG259" s="243"/>
      <c r="UH259" s="243"/>
      <c r="UI259" s="243"/>
      <c r="UJ259" s="243"/>
      <c r="UK259" s="243"/>
      <c r="UL259" s="243"/>
      <c r="UM259" s="243"/>
      <c r="UN259" s="243"/>
      <c r="UO259" s="243"/>
      <c r="UP259" s="243"/>
      <c r="UQ259" s="243"/>
      <c r="UR259" s="243"/>
      <c r="US259" s="243"/>
      <c r="UT259" s="243"/>
      <c r="UU259" s="243"/>
      <c r="UV259" s="243"/>
      <c r="UW259" s="243"/>
      <c r="UX259" s="243"/>
      <c r="UY259" s="243"/>
      <c r="UZ259" s="243"/>
      <c r="VA259" s="243"/>
      <c r="VB259" s="243"/>
      <c r="VC259" s="243"/>
      <c r="VD259" s="243"/>
      <c r="VE259" s="243"/>
      <c r="VF259" s="243"/>
      <c r="VG259" s="243"/>
      <c r="VH259" s="243"/>
      <c r="VI259" s="243"/>
      <c r="VJ259" s="243"/>
      <c r="VK259" s="243"/>
      <c r="VL259" s="243"/>
      <c r="VM259" s="243"/>
      <c r="VN259" s="243"/>
      <c r="VO259" s="243"/>
      <c r="VP259" s="243"/>
      <c r="VQ259" s="243"/>
      <c r="VR259" s="243"/>
      <c r="VS259" s="243"/>
      <c r="VT259" s="243"/>
      <c r="VU259" s="243"/>
      <c r="VV259" s="243"/>
      <c r="VW259" s="243"/>
      <c r="VX259" s="243"/>
      <c r="VY259" s="243"/>
      <c r="VZ259" s="243"/>
      <c r="WA259" s="243"/>
      <c r="WB259" s="243"/>
      <c r="WC259" s="243"/>
      <c r="WD259" s="243"/>
      <c r="WE259" s="243"/>
      <c r="WF259" s="243"/>
      <c r="WG259" s="243"/>
      <c r="WH259" s="243"/>
      <c r="WI259" s="243"/>
      <c r="WJ259" s="243"/>
      <c r="WK259" s="243"/>
      <c r="WL259" s="243"/>
      <c r="WM259" s="243"/>
      <c r="WN259" s="243"/>
      <c r="WO259" s="243"/>
      <c r="WP259" s="243"/>
      <c r="WQ259" s="243"/>
      <c r="WR259" s="243"/>
      <c r="WS259" s="243"/>
      <c r="WT259" s="243"/>
      <c r="WU259" s="243"/>
      <c r="WV259" s="243"/>
      <c r="WW259" s="243"/>
      <c r="WX259" s="243"/>
      <c r="WY259" s="243"/>
      <c r="WZ259" s="243"/>
      <c r="XA259" s="243"/>
      <c r="XB259" s="243"/>
      <c r="XC259" s="243"/>
      <c r="XD259" s="243"/>
      <c r="XE259" s="243"/>
      <c r="XF259" s="243"/>
      <c r="XG259" s="243"/>
      <c r="XH259" s="243"/>
      <c r="XI259" s="243"/>
      <c r="XJ259" s="243"/>
      <c r="XK259" s="243"/>
      <c r="XL259" s="243"/>
      <c r="XM259" s="243"/>
      <c r="XN259" s="243"/>
      <c r="XO259" s="243"/>
      <c r="XP259" s="243"/>
      <c r="XQ259" s="243"/>
      <c r="XR259" s="243"/>
      <c r="XS259" s="243"/>
      <c r="XT259" s="243"/>
      <c r="XU259" s="243"/>
      <c r="XV259" s="243"/>
      <c r="XW259" s="243"/>
      <c r="XX259" s="243"/>
      <c r="XY259" s="243"/>
      <c r="XZ259" s="243"/>
      <c r="YA259" s="243"/>
      <c r="YB259" s="243"/>
      <c r="YC259" s="243"/>
      <c r="YD259" s="243"/>
      <c r="YE259" s="243"/>
      <c r="YF259" s="243"/>
      <c r="YG259" s="243"/>
      <c r="YH259" s="243"/>
      <c r="YI259" s="243"/>
      <c r="YJ259" s="243"/>
      <c r="YK259" s="243"/>
      <c r="YL259" s="243"/>
      <c r="YM259" s="243"/>
      <c r="YN259" s="243"/>
      <c r="YO259" s="243"/>
      <c r="YP259" s="243"/>
      <c r="YQ259" s="243"/>
      <c r="YR259" s="243"/>
      <c r="YS259" s="243"/>
      <c r="YT259" s="243"/>
      <c r="YU259" s="243"/>
      <c r="YV259" s="243"/>
      <c r="YW259" s="243"/>
      <c r="YX259" s="243"/>
      <c r="YY259" s="243"/>
      <c r="YZ259" s="243"/>
      <c r="ZA259" s="243"/>
      <c r="ZB259" s="243"/>
      <c r="ZC259" s="243"/>
      <c r="ZD259" s="243"/>
      <c r="ZE259" s="243"/>
      <c r="ZF259" s="243"/>
      <c r="ZG259" s="243"/>
      <c r="ZH259" s="243"/>
      <c r="ZI259" s="243"/>
      <c r="ZJ259" s="243"/>
      <c r="ZK259" s="243"/>
      <c r="ZL259" s="243"/>
      <c r="ZM259" s="243"/>
      <c r="ZN259" s="243"/>
      <c r="ZO259" s="243"/>
      <c r="ZP259" s="243"/>
      <c r="ZQ259" s="243"/>
      <c r="ZR259" s="243"/>
      <c r="ZS259" s="243"/>
      <c r="ZT259" s="243"/>
      <c r="ZU259" s="243"/>
      <c r="ZV259" s="243"/>
      <c r="ZW259" s="243"/>
      <c r="ZX259" s="243"/>
      <c r="ZY259" s="243"/>
      <c r="ZZ259" s="243"/>
      <c r="AAA259" s="243"/>
      <c r="AAB259" s="243"/>
      <c r="AAC259" s="243"/>
      <c r="AAD259" s="243"/>
      <c r="AAE259" s="243"/>
      <c r="AAF259" s="243"/>
      <c r="AAG259" s="243"/>
      <c r="AAH259" s="243"/>
      <c r="AAI259" s="243"/>
      <c r="AAJ259" s="243"/>
      <c r="AAK259" s="243"/>
      <c r="AAL259" s="243"/>
      <c r="AAM259" s="243"/>
      <c r="AAN259" s="243"/>
      <c r="AAO259" s="243"/>
      <c r="AAP259" s="243"/>
      <c r="AAQ259" s="243"/>
      <c r="AAR259" s="243"/>
      <c r="AAS259" s="243"/>
      <c r="AAT259" s="243"/>
      <c r="AAU259" s="243"/>
      <c r="AAV259" s="243"/>
      <c r="AAW259" s="243"/>
      <c r="AAX259" s="243"/>
      <c r="AAY259" s="243"/>
      <c r="AAZ259" s="243"/>
      <c r="ABA259" s="243"/>
      <c r="ABB259" s="243"/>
      <c r="ABC259" s="243"/>
      <c r="ABD259" s="243"/>
      <c r="ABE259" s="243"/>
      <c r="ABF259" s="243"/>
      <c r="ABG259" s="243"/>
      <c r="ABH259" s="243"/>
      <c r="ABI259" s="243"/>
      <c r="ABJ259" s="243"/>
      <c r="ABK259" s="243"/>
      <c r="ABL259" s="243"/>
      <c r="ABM259" s="243"/>
      <c r="ABN259" s="243"/>
      <c r="ABO259" s="243"/>
      <c r="ABP259" s="243"/>
      <c r="ABQ259" s="243"/>
      <c r="ABR259" s="243"/>
      <c r="ABS259" s="243"/>
      <c r="ABT259" s="243"/>
      <c r="ABU259" s="243"/>
      <c r="ABV259" s="243"/>
      <c r="ABW259" s="243"/>
      <c r="ABX259" s="243"/>
      <c r="ABY259" s="243"/>
      <c r="ABZ259" s="243"/>
      <c r="ACA259" s="243"/>
      <c r="ACB259" s="243"/>
      <c r="ACC259" s="243"/>
      <c r="ACD259" s="243"/>
      <c r="ACE259" s="243"/>
      <c r="ACF259" s="243"/>
      <c r="ACG259" s="243"/>
      <c r="ACH259" s="243"/>
      <c r="ACI259" s="243"/>
      <c r="ACJ259" s="243"/>
      <c r="ACK259" s="243"/>
      <c r="ACL259" s="243"/>
      <c r="ACM259" s="243"/>
      <c r="ACN259" s="243"/>
      <c r="ACO259" s="243"/>
      <c r="ACP259" s="243"/>
      <c r="ACQ259" s="243"/>
      <c r="ACR259" s="243"/>
      <c r="ACS259" s="243"/>
      <c r="ACT259" s="243"/>
      <c r="ACU259" s="243"/>
      <c r="ACV259" s="243"/>
      <c r="ACW259" s="243"/>
      <c r="ACX259" s="243"/>
      <c r="ACY259" s="243"/>
      <c r="ACZ259" s="243"/>
      <c r="ADA259" s="243"/>
      <c r="ADB259" s="243"/>
      <c r="ADC259" s="243"/>
      <c r="ADD259" s="243"/>
      <c r="ADE259" s="243"/>
      <c r="ADF259" s="243"/>
      <c r="ADG259" s="243"/>
      <c r="ADH259" s="243"/>
      <c r="ADI259" s="243"/>
      <c r="ADJ259" s="243"/>
      <c r="ADK259" s="243"/>
      <c r="ADL259" s="243"/>
      <c r="ADM259" s="243"/>
      <c r="ADN259" s="243"/>
      <c r="ADO259" s="243"/>
      <c r="ADP259" s="243"/>
      <c r="ADQ259" s="243"/>
      <c r="ADR259" s="243"/>
      <c r="ADS259" s="243"/>
      <c r="ADT259" s="243"/>
      <c r="ADU259" s="243"/>
      <c r="ADV259" s="243"/>
      <c r="ADW259" s="243"/>
      <c r="ADX259" s="243"/>
      <c r="ADY259" s="243"/>
      <c r="ADZ259" s="243"/>
      <c r="AEA259" s="243"/>
      <c r="AEB259" s="243"/>
      <c r="AEC259" s="243"/>
      <c r="AED259" s="243"/>
      <c r="AEE259" s="243"/>
      <c r="AEF259" s="243"/>
      <c r="AEG259" s="243"/>
      <c r="AEH259" s="243"/>
      <c r="AEI259" s="243"/>
      <c r="AEJ259" s="243"/>
      <c r="AEK259" s="243"/>
      <c r="AEL259" s="243"/>
      <c r="AEM259" s="243"/>
      <c r="AEN259" s="243"/>
      <c r="AEO259" s="243"/>
      <c r="AEP259" s="243"/>
      <c r="AEQ259" s="243"/>
      <c r="AER259" s="243"/>
      <c r="AES259" s="243"/>
      <c r="AET259" s="243"/>
      <c r="AEU259" s="243"/>
      <c r="AEV259" s="243"/>
      <c r="AEW259" s="243"/>
      <c r="AEX259" s="243"/>
      <c r="AEY259" s="243"/>
      <c r="AEZ259" s="243"/>
      <c r="AFA259" s="243"/>
      <c r="AFB259" s="243"/>
      <c r="AFC259" s="243"/>
      <c r="AFD259" s="243"/>
      <c r="AFE259" s="243"/>
      <c r="AFF259" s="243"/>
      <c r="AFG259" s="243"/>
      <c r="AFH259" s="243"/>
      <c r="AFI259" s="243"/>
      <c r="AFJ259" s="243"/>
      <c r="AFK259" s="243"/>
      <c r="AFL259" s="243"/>
      <c r="AFM259" s="243"/>
      <c r="AFN259" s="243"/>
      <c r="AFO259" s="243"/>
      <c r="AFP259" s="243"/>
      <c r="AFQ259" s="243"/>
      <c r="AFR259" s="243"/>
      <c r="AFS259" s="243"/>
      <c r="AFT259" s="243"/>
      <c r="AFU259" s="243"/>
      <c r="AFV259" s="243"/>
      <c r="AFW259" s="243"/>
      <c r="AFX259" s="243"/>
      <c r="AFY259" s="243"/>
      <c r="AFZ259" s="243"/>
      <c r="AGA259" s="243"/>
      <c r="AGB259" s="243"/>
      <c r="AGC259" s="243"/>
      <c r="AGD259" s="243"/>
      <c r="AGE259" s="243"/>
      <c r="AGF259" s="243"/>
      <c r="AGG259" s="243"/>
      <c r="AGH259" s="243"/>
      <c r="AGI259" s="243"/>
      <c r="AGJ259" s="243"/>
      <c r="AGK259" s="243"/>
      <c r="AGL259" s="243"/>
      <c r="AGM259" s="243"/>
      <c r="AGN259" s="243"/>
      <c r="AGO259" s="243"/>
      <c r="AGP259" s="243"/>
      <c r="AGQ259" s="243"/>
      <c r="AGR259" s="243"/>
      <c r="AGS259" s="243"/>
      <c r="AGT259" s="243"/>
      <c r="AGU259" s="243"/>
      <c r="AGV259" s="243"/>
      <c r="AGW259" s="243"/>
      <c r="AGX259" s="243"/>
      <c r="AGY259" s="243"/>
      <c r="AGZ259" s="243"/>
      <c r="AHA259" s="243"/>
      <c r="AHB259" s="243"/>
      <c r="AHC259" s="243"/>
      <c r="AHD259" s="243"/>
      <c r="AHE259" s="243"/>
      <c r="AHF259" s="243"/>
      <c r="AHG259" s="243"/>
      <c r="AHH259" s="243"/>
      <c r="AHI259" s="243"/>
      <c r="AHJ259" s="243"/>
      <c r="AHK259" s="243"/>
      <c r="AHL259" s="243"/>
      <c r="AHM259" s="243"/>
      <c r="AHN259" s="243"/>
      <c r="AHO259" s="243"/>
      <c r="AHP259" s="243"/>
      <c r="AHQ259" s="243"/>
      <c r="AHR259" s="243"/>
      <c r="AHS259" s="243"/>
      <c r="AHT259" s="243"/>
      <c r="AHU259" s="243"/>
      <c r="AHV259" s="243"/>
      <c r="AHW259" s="243"/>
      <c r="AHX259" s="243"/>
      <c r="AHY259" s="243"/>
      <c r="AHZ259" s="243"/>
      <c r="AIA259" s="243"/>
      <c r="AIB259" s="243"/>
      <c r="AIC259" s="243"/>
      <c r="AID259" s="243"/>
      <c r="AIE259" s="243"/>
      <c r="AIF259" s="243"/>
      <c r="AIG259" s="243"/>
      <c r="AIH259" s="243"/>
      <c r="AII259" s="243"/>
      <c r="AIJ259" s="243"/>
      <c r="AIK259" s="243"/>
      <c r="AIL259" s="243"/>
      <c r="AIM259" s="243"/>
      <c r="AIN259" s="243"/>
      <c r="AIO259" s="243"/>
      <c r="AIP259" s="243"/>
      <c r="AIQ259" s="243"/>
      <c r="AIR259" s="243"/>
      <c r="AIS259" s="243"/>
      <c r="AIT259" s="243"/>
      <c r="AIU259" s="243"/>
      <c r="AIV259" s="243"/>
      <c r="AIW259" s="243"/>
      <c r="AIX259" s="243"/>
      <c r="AIY259" s="243"/>
      <c r="AIZ259" s="243"/>
      <c r="AJA259" s="243"/>
      <c r="AJB259" s="243"/>
      <c r="AJC259" s="243"/>
      <c r="AJD259" s="243"/>
      <c r="AJE259" s="243"/>
      <c r="AJF259" s="243"/>
      <c r="AJG259" s="243"/>
      <c r="AJH259" s="243"/>
      <c r="AJI259" s="243"/>
      <c r="AJJ259" s="243"/>
      <c r="AJK259" s="243"/>
      <c r="AJL259" s="243"/>
      <c r="AJM259" s="243"/>
      <c r="AJN259" s="243"/>
      <c r="AJO259" s="243"/>
      <c r="AJP259" s="243"/>
      <c r="AJQ259" s="243"/>
      <c r="AJR259" s="243"/>
      <c r="AJS259" s="243"/>
      <c r="AJT259" s="243"/>
      <c r="AJU259" s="243"/>
      <c r="AJV259" s="243"/>
      <c r="AJW259" s="243"/>
      <c r="AJX259" s="243"/>
      <c r="AJY259" s="243"/>
      <c r="AJZ259" s="243"/>
      <c r="AKA259" s="243"/>
      <c r="AKB259" s="243"/>
      <c r="AKC259" s="243"/>
      <c r="AKD259" s="243"/>
      <c r="AKE259" s="243"/>
      <c r="AKF259" s="243"/>
      <c r="AKG259" s="243"/>
      <c r="AKH259" s="243"/>
      <c r="AKI259" s="243"/>
      <c r="AKJ259" s="243"/>
      <c r="AKK259" s="243"/>
      <c r="AKL259" s="243"/>
      <c r="AKM259" s="243"/>
      <c r="AKN259" s="243"/>
      <c r="AKO259" s="243"/>
      <c r="AKP259" s="243"/>
      <c r="AKQ259" s="243"/>
      <c r="AKR259" s="243"/>
      <c r="AKS259" s="243"/>
      <c r="AKT259" s="243"/>
      <c r="AKU259" s="243"/>
      <c r="AKV259" s="243"/>
      <c r="AKW259" s="243"/>
      <c r="AKX259" s="243"/>
      <c r="AKY259" s="243"/>
      <c r="AKZ259" s="243"/>
      <c r="ALA259" s="243"/>
      <c r="ALB259" s="243"/>
      <c r="ALC259" s="243"/>
      <c r="ALD259" s="243"/>
      <c r="ALE259" s="243"/>
      <c r="ALF259" s="243"/>
      <c r="ALG259" s="243"/>
      <c r="ALH259" s="243"/>
      <c r="ALI259" s="243"/>
      <c r="ALJ259" s="243"/>
      <c r="ALK259" s="243"/>
      <c r="ALL259" s="243"/>
      <c r="ALM259" s="243"/>
      <c r="ALN259" s="243"/>
      <c r="ALO259" s="243"/>
      <c r="ALP259" s="243"/>
      <c r="ALQ259" s="243"/>
      <c r="ALR259" s="243"/>
      <c r="ALS259" s="243"/>
      <c r="ALT259" s="243"/>
      <c r="ALU259" s="243"/>
      <c r="ALV259" s="243"/>
      <c r="ALW259" s="243"/>
      <c r="ALX259" s="243"/>
      <c r="ALY259" s="243"/>
      <c r="ALZ259" s="243"/>
      <c r="AMA259" s="243"/>
      <c r="AMB259" s="243"/>
      <c r="AMC259" s="243"/>
      <c r="AMD259" s="243"/>
      <c r="AME259" s="243"/>
      <c r="AMF259" s="243"/>
      <c r="AMG259" s="243"/>
      <c r="AMH259" s="243"/>
      <c r="AMI259" s="244"/>
      <c r="AMJ259" s="244"/>
    </row>
    <row r="260" spans="1:1024">
      <c r="A260" s="243"/>
      <c r="B260" s="243"/>
      <c r="C260" s="243"/>
      <c r="D260" s="243"/>
      <c r="E260" s="243"/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  <c r="AA260" s="243"/>
      <c r="AB260" s="243"/>
      <c r="AC260" s="243"/>
      <c r="AD260" s="243"/>
      <c r="AE260" s="243"/>
      <c r="AF260" s="243"/>
      <c r="AG260" s="243"/>
      <c r="AH260" s="243"/>
      <c r="AI260" s="243"/>
      <c r="AJ260" s="243"/>
      <c r="AK260" s="243"/>
      <c r="AL260" s="243"/>
      <c r="AM260" s="243"/>
      <c r="AN260" s="243"/>
      <c r="AO260" s="243"/>
      <c r="AP260" s="243"/>
      <c r="AQ260" s="243"/>
      <c r="AR260" s="243"/>
      <c r="AS260" s="243"/>
      <c r="AT260" s="243"/>
      <c r="AU260" s="243"/>
      <c r="AV260" s="243"/>
      <c r="AW260" s="243"/>
      <c r="AX260" s="243"/>
      <c r="AY260" s="243"/>
      <c r="AZ260" s="243"/>
      <c r="BA260" s="243"/>
      <c r="BB260" s="243"/>
      <c r="BC260" s="243"/>
      <c r="BD260" s="243"/>
      <c r="BE260" s="243"/>
      <c r="BF260" s="243"/>
      <c r="BG260" s="243"/>
      <c r="BH260" s="243"/>
      <c r="BI260" s="243"/>
      <c r="BJ260" s="243"/>
      <c r="BK260" s="243"/>
      <c r="BL260" s="243"/>
      <c r="BM260" s="243"/>
      <c r="BN260" s="243"/>
      <c r="BO260" s="243"/>
      <c r="BP260" s="243"/>
      <c r="BQ260" s="243"/>
      <c r="BR260" s="243"/>
      <c r="BS260" s="243"/>
      <c r="BT260" s="243"/>
      <c r="BU260" s="243"/>
      <c r="BV260" s="243"/>
      <c r="BW260" s="243"/>
      <c r="BX260" s="243"/>
      <c r="BY260" s="243"/>
      <c r="BZ260" s="243"/>
      <c r="CA260" s="243"/>
      <c r="CB260" s="243"/>
      <c r="CC260" s="243"/>
      <c r="CD260" s="243"/>
      <c r="CE260" s="243"/>
      <c r="CF260" s="243"/>
      <c r="CG260" s="243"/>
      <c r="CH260" s="243"/>
      <c r="CI260" s="243"/>
      <c r="CJ260" s="243"/>
      <c r="CK260" s="243"/>
      <c r="CL260" s="243"/>
      <c r="CM260" s="243"/>
      <c r="CN260" s="243"/>
      <c r="CO260" s="243"/>
      <c r="CP260" s="243"/>
      <c r="CQ260" s="243"/>
      <c r="CR260" s="243"/>
      <c r="CS260" s="243"/>
      <c r="CT260" s="243"/>
      <c r="CU260" s="243"/>
      <c r="CV260" s="243"/>
      <c r="CW260" s="243"/>
      <c r="CX260" s="243"/>
      <c r="CY260" s="243"/>
      <c r="CZ260" s="243"/>
      <c r="DA260" s="243"/>
      <c r="DB260" s="243"/>
      <c r="DC260" s="243"/>
      <c r="DD260" s="243"/>
      <c r="DE260" s="243"/>
      <c r="DF260" s="243"/>
      <c r="DG260" s="243"/>
      <c r="DH260" s="243"/>
      <c r="DI260" s="243"/>
      <c r="DJ260" s="243"/>
      <c r="DK260" s="243"/>
      <c r="DL260" s="243"/>
      <c r="DM260" s="243"/>
      <c r="DN260" s="243"/>
      <c r="DO260" s="243"/>
      <c r="DP260" s="243"/>
      <c r="DQ260" s="243"/>
      <c r="DR260" s="243"/>
      <c r="DS260" s="243"/>
      <c r="DT260" s="243"/>
      <c r="DU260" s="243"/>
      <c r="DV260" s="243"/>
      <c r="DW260" s="243"/>
      <c r="DX260" s="243"/>
      <c r="DY260" s="243"/>
      <c r="DZ260" s="243"/>
      <c r="EA260" s="243"/>
      <c r="EB260" s="243"/>
      <c r="EC260" s="243"/>
      <c r="ED260" s="243"/>
      <c r="EE260" s="243"/>
      <c r="EF260" s="243"/>
      <c r="EG260" s="243"/>
      <c r="EH260" s="243"/>
      <c r="EI260" s="243"/>
      <c r="EJ260" s="243"/>
      <c r="EK260" s="243"/>
      <c r="EL260" s="243"/>
      <c r="EM260" s="243"/>
      <c r="EN260" s="243"/>
      <c r="EO260" s="243"/>
      <c r="EP260" s="243"/>
      <c r="EQ260" s="243"/>
      <c r="ER260" s="243"/>
      <c r="ES260" s="243"/>
      <c r="ET260" s="243"/>
      <c r="EU260" s="243"/>
      <c r="EV260" s="243"/>
      <c r="EW260" s="243"/>
      <c r="EX260" s="243"/>
      <c r="EY260" s="243"/>
      <c r="EZ260" s="243"/>
      <c r="FA260" s="243"/>
      <c r="FB260" s="243"/>
      <c r="FC260" s="243"/>
      <c r="FD260" s="243"/>
      <c r="FE260" s="243"/>
      <c r="FF260" s="243"/>
      <c r="FG260" s="243"/>
      <c r="FH260" s="243"/>
      <c r="FI260" s="243"/>
      <c r="FJ260" s="243"/>
      <c r="FK260" s="243"/>
      <c r="FL260" s="243"/>
      <c r="FM260" s="243"/>
      <c r="FN260" s="243"/>
      <c r="FO260" s="243"/>
      <c r="FP260" s="243"/>
      <c r="FQ260" s="243"/>
      <c r="FR260" s="243"/>
      <c r="FS260" s="243"/>
      <c r="FT260" s="243"/>
      <c r="FU260" s="243"/>
      <c r="FV260" s="243"/>
      <c r="FW260" s="243"/>
      <c r="FX260" s="243"/>
      <c r="FY260" s="243"/>
      <c r="FZ260" s="243"/>
      <c r="GA260" s="243"/>
      <c r="GB260" s="243"/>
      <c r="GC260" s="243"/>
      <c r="GD260" s="243"/>
      <c r="GE260" s="243"/>
      <c r="GF260" s="243"/>
      <c r="GG260" s="243"/>
      <c r="GH260" s="243"/>
      <c r="GI260" s="243"/>
      <c r="GJ260" s="243"/>
      <c r="GK260" s="243"/>
      <c r="GL260" s="243"/>
      <c r="GM260" s="243"/>
      <c r="GN260" s="243"/>
      <c r="GO260" s="243"/>
      <c r="GP260" s="243"/>
      <c r="GQ260" s="243"/>
      <c r="GR260" s="243"/>
      <c r="GS260" s="243"/>
      <c r="GT260" s="243"/>
      <c r="GU260" s="243"/>
      <c r="GV260" s="243"/>
      <c r="GW260" s="243"/>
      <c r="GX260" s="243"/>
      <c r="GY260" s="243"/>
      <c r="GZ260" s="243"/>
      <c r="HA260" s="243"/>
      <c r="HB260" s="243"/>
      <c r="HC260" s="243"/>
      <c r="HD260" s="243"/>
      <c r="HE260" s="243"/>
      <c r="HF260" s="243"/>
      <c r="HG260" s="243"/>
      <c r="HH260" s="243"/>
      <c r="HI260" s="243"/>
      <c r="HJ260" s="243"/>
      <c r="HK260" s="243"/>
      <c r="HL260" s="243"/>
      <c r="HM260" s="243"/>
      <c r="HN260" s="243"/>
      <c r="HO260" s="243"/>
      <c r="HP260" s="243"/>
      <c r="HQ260" s="243"/>
      <c r="HR260" s="243"/>
      <c r="HS260" s="243"/>
      <c r="HT260" s="243"/>
      <c r="HU260" s="243"/>
      <c r="HV260" s="243"/>
      <c r="HW260" s="243"/>
      <c r="HX260" s="243"/>
      <c r="HY260" s="243"/>
      <c r="HZ260" s="243"/>
      <c r="IA260" s="243"/>
      <c r="IB260" s="243"/>
      <c r="IC260" s="243"/>
      <c r="ID260" s="243"/>
      <c r="IE260" s="243"/>
      <c r="IF260" s="243"/>
      <c r="IG260" s="243"/>
      <c r="IH260" s="243"/>
      <c r="II260" s="243"/>
      <c r="IJ260" s="243"/>
      <c r="IK260" s="243"/>
      <c r="IL260" s="243"/>
      <c r="IM260" s="243"/>
      <c r="IN260" s="243"/>
      <c r="IO260" s="243"/>
      <c r="IP260" s="243"/>
      <c r="IQ260" s="243"/>
      <c r="IR260" s="243"/>
      <c r="IS260" s="243"/>
      <c r="IT260" s="243"/>
      <c r="IU260" s="243"/>
      <c r="IV260" s="243"/>
      <c r="IW260" s="243"/>
      <c r="IX260" s="243"/>
      <c r="IY260" s="243"/>
      <c r="IZ260" s="243"/>
      <c r="JA260" s="243"/>
      <c r="JB260" s="243"/>
      <c r="JC260" s="243"/>
      <c r="JD260" s="243"/>
      <c r="JE260" s="243"/>
      <c r="JF260" s="243"/>
      <c r="JG260" s="243"/>
      <c r="JH260" s="243"/>
      <c r="JI260" s="243"/>
      <c r="JJ260" s="243"/>
      <c r="JK260" s="243"/>
      <c r="JL260" s="243"/>
      <c r="JM260" s="243"/>
      <c r="JN260" s="243"/>
      <c r="JO260" s="243"/>
      <c r="JP260" s="243"/>
      <c r="JQ260" s="243"/>
      <c r="JR260" s="243"/>
      <c r="JS260" s="243"/>
      <c r="JT260" s="243"/>
      <c r="JU260" s="243"/>
      <c r="JV260" s="243"/>
      <c r="JW260" s="243"/>
      <c r="JX260" s="243"/>
      <c r="JY260" s="243"/>
      <c r="JZ260" s="243"/>
      <c r="KA260" s="243"/>
      <c r="KB260" s="243"/>
      <c r="KC260" s="243"/>
      <c r="KD260" s="243"/>
      <c r="KE260" s="243"/>
      <c r="KF260" s="243"/>
      <c r="KG260" s="243"/>
      <c r="KH260" s="243"/>
      <c r="KI260" s="243"/>
      <c r="KJ260" s="243"/>
      <c r="KK260" s="243"/>
      <c r="KL260" s="243"/>
      <c r="KM260" s="243"/>
      <c r="KN260" s="243"/>
      <c r="KO260" s="243"/>
      <c r="KP260" s="243"/>
      <c r="KQ260" s="243"/>
      <c r="KR260" s="243"/>
      <c r="KS260" s="243"/>
      <c r="KT260" s="243"/>
      <c r="KU260" s="243"/>
      <c r="KV260" s="243"/>
      <c r="KW260" s="243"/>
      <c r="KX260" s="243"/>
      <c r="KY260" s="243"/>
      <c r="KZ260" s="243"/>
      <c r="LA260" s="243"/>
      <c r="LB260" s="243"/>
      <c r="LC260" s="243"/>
      <c r="LD260" s="243"/>
      <c r="LE260" s="243"/>
      <c r="LF260" s="243"/>
      <c r="LG260" s="243"/>
      <c r="LH260" s="243"/>
      <c r="LI260" s="243"/>
      <c r="LJ260" s="243"/>
      <c r="LK260" s="243"/>
      <c r="LL260" s="243"/>
      <c r="LM260" s="243"/>
      <c r="LN260" s="243"/>
      <c r="LO260" s="243"/>
      <c r="LP260" s="243"/>
      <c r="LQ260" s="243"/>
      <c r="LR260" s="243"/>
      <c r="LS260" s="243"/>
      <c r="LT260" s="243"/>
      <c r="LU260" s="243"/>
      <c r="LV260" s="243"/>
      <c r="LW260" s="243"/>
      <c r="LX260" s="243"/>
      <c r="LY260" s="243"/>
      <c r="LZ260" s="243"/>
      <c r="MA260" s="243"/>
      <c r="MB260" s="243"/>
      <c r="MC260" s="243"/>
      <c r="MD260" s="243"/>
      <c r="ME260" s="243"/>
      <c r="MF260" s="243"/>
      <c r="MG260" s="243"/>
      <c r="MH260" s="243"/>
      <c r="MI260" s="243"/>
      <c r="MJ260" s="243"/>
      <c r="MK260" s="243"/>
      <c r="ML260" s="243"/>
      <c r="MM260" s="243"/>
      <c r="MN260" s="243"/>
      <c r="MO260" s="243"/>
      <c r="MP260" s="243"/>
      <c r="MQ260" s="243"/>
      <c r="MR260" s="243"/>
      <c r="MS260" s="243"/>
      <c r="MT260" s="243"/>
      <c r="MU260" s="243"/>
      <c r="MV260" s="243"/>
      <c r="MW260" s="243"/>
      <c r="MX260" s="243"/>
      <c r="MY260" s="243"/>
      <c r="MZ260" s="243"/>
      <c r="NA260" s="243"/>
      <c r="NB260" s="243"/>
      <c r="NC260" s="243"/>
      <c r="ND260" s="243"/>
      <c r="NE260" s="243"/>
      <c r="NF260" s="243"/>
      <c r="NG260" s="243"/>
      <c r="NH260" s="243"/>
      <c r="NI260" s="243"/>
      <c r="NJ260" s="243"/>
      <c r="NK260" s="243"/>
      <c r="NL260" s="243"/>
      <c r="NM260" s="243"/>
      <c r="NN260" s="243"/>
      <c r="NO260" s="243"/>
      <c r="NP260" s="243"/>
      <c r="NQ260" s="243"/>
      <c r="NR260" s="243"/>
      <c r="NS260" s="243"/>
      <c r="NT260" s="243"/>
      <c r="NU260" s="243"/>
      <c r="NV260" s="243"/>
      <c r="NW260" s="243"/>
      <c r="NX260" s="243"/>
      <c r="NY260" s="243"/>
      <c r="NZ260" s="243"/>
      <c r="OA260" s="243"/>
      <c r="OB260" s="243"/>
      <c r="OC260" s="243"/>
      <c r="OD260" s="243"/>
      <c r="OE260" s="243"/>
      <c r="OF260" s="243"/>
      <c r="OG260" s="243"/>
      <c r="OH260" s="243"/>
      <c r="OI260" s="243"/>
      <c r="OJ260" s="243"/>
      <c r="OK260" s="243"/>
      <c r="OL260" s="243"/>
      <c r="OM260" s="243"/>
      <c r="ON260" s="243"/>
      <c r="OO260" s="243"/>
      <c r="OP260" s="243"/>
      <c r="OQ260" s="243"/>
      <c r="OR260" s="243"/>
      <c r="OS260" s="243"/>
      <c r="OT260" s="243"/>
      <c r="OU260" s="243"/>
      <c r="OV260" s="243"/>
      <c r="OW260" s="243"/>
      <c r="OX260" s="243"/>
      <c r="OY260" s="243"/>
      <c r="OZ260" s="243"/>
      <c r="PA260" s="243"/>
      <c r="PB260" s="243"/>
      <c r="PC260" s="243"/>
      <c r="PD260" s="243"/>
      <c r="PE260" s="243"/>
      <c r="PF260" s="243"/>
      <c r="PG260" s="243"/>
      <c r="PH260" s="243"/>
      <c r="PI260" s="243"/>
      <c r="PJ260" s="243"/>
      <c r="PK260" s="243"/>
      <c r="PL260" s="243"/>
      <c r="PM260" s="243"/>
      <c r="PN260" s="243"/>
      <c r="PO260" s="243"/>
      <c r="PP260" s="243"/>
      <c r="PQ260" s="243"/>
      <c r="PR260" s="243"/>
      <c r="PS260" s="243"/>
      <c r="PT260" s="243"/>
      <c r="PU260" s="243"/>
      <c r="PV260" s="243"/>
      <c r="PW260" s="243"/>
      <c r="PX260" s="243"/>
      <c r="PY260" s="243"/>
      <c r="PZ260" s="243"/>
      <c r="QA260" s="243"/>
      <c r="QB260" s="243"/>
      <c r="QC260" s="243"/>
      <c r="QD260" s="243"/>
      <c r="QE260" s="243"/>
      <c r="QF260" s="243"/>
      <c r="QG260" s="243"/>
      <c r="QH260" s="243"/>
      <c r="QI260" s="243"/>
      <c r="QJ260" s="243"/>
      <c r="QK260" s="243"/>
      <c r="QL260" s="243"/>
      <c r="QM260" s="243"/>
      <c r="QN260" s="243"/>
      <c r="QO260" s="243"/>
      <c r="QP260" s="243"/>
      <c r="QQ260" s="243"/>
      <c r="QR260" s="243"/>
      <c r="QS260" s="243"/>
      <c r="QT260" s="243"/>
      <c r="QU260" s="243"/>
      <c r="QV260" s="243"/>
      <c r="QW260" s="243"/>
      <c r="QX260" s="243"/>
      <c r="QY260" s="243"/>
      <c r="QZ260" s="243"/>
      <c r="RA260" s="243"/>
      <c r="RB260" s="243"/>
      <c r="RC260" s="243"/>
      <c r="RD260" s="243"/>
      <c r="RE260" s="243"/>
      <c r="RF260" s="243"/>
      <c r="RG260" s="243"/>
      <c r="RH260" s="243"/>
      <c r="RI260" s="243"/>
      <c r="RJ260" s="243"/>
      <c r="RK260" s="243"/>
      <c r="RL260" s="243"/>
      <c r="RM260" s="243"/>
      <c r="RN260" s="243"/>
      <c r="RO260" s="243"/>
      <c r="RP260" s="243"/>
      <c r="RQ260" s="243"/>
      <c r="RR260" s="243"/>
      <c r="RS260" s="243"/>
      <c r="RT260" s="243"/>
      <c r="RU260" s="243"/>
      <c r="RV260" s="243"/>
      <c r="RW260" s="243"/>
      <c r="RX260" s="243"/>
      <c r="RY260" s="243"/>
      <c r="RZ260" s="243"/>
      <c r="SA260" s="243"/>
      <c r="SB260" s="243"/>
      <c r="SC260" s="243"/>
      <c r="SD260" s="243"/>
      <c r="SE260" s="243"/>
      <c r="SF260" s="243"/>
      <c r="SG260" s="243"/>
      <c r="SH260" s="243"/>
      <c r="SI260" s="243"/>
      <c r="SJ260" s="243"/>
      <c r="SK260" s="243"/>
      <c r="SL260" s="243"/>
      <c r="SM260" s="243"/>
      <c r="SN260" s="243"/>
      <c r="SO260" s="243"/>
      <c r="SP260" s="243"/>
      <c r="SQ260" s="243"/>
      <c r="SR260" s="243"/>
      <c r="SS260" s="243"/>
      <c r="ST260" s="243"/>
      <c r="SU260" s="243"/>
      <c r="SV260" s="243"/>
      <c r="SW260" s="243"/>
      <c r="SX260" s="243"/>
      <c r="SY260" s="243"/>
      <c r="SZ260" s="243"/>
      <c r="TA260" s="243"/>
      <c r="TB260" s="243"/>
      <c r="TC260" s="243"/>
      <c r="TD260" s="243"/>
      <c r="TE260" s="243"/>
      <c r="TF260" s="243"/>
      <c r="TG260" s="243"/>
      <c r="TH260" s="243"/>
      <c r="TI260" s="243"/>
      <c r="TJ260" s="243"/>
      <c r="TK260" s="243"/>
      <c r="TL260" s="243"/>
      <c r="TM260" s="243"/>
      <c r="TN260" s="243"/>
      <c r="TO260" s="243"/>
      <c r="TP260" s="243"/>
      <c r="TQ260" s="243"/>
      <c r="TR260" s="243"/>
      <c r="TS260" s="243"/>
      <c r="TT260" s="243"/>
      <c r="TU260" s="243"/>
      <c r="TV260" s="243"/>
      <c r="TW260" s="243"/>
      <c r="TX260" s="243"/>
      <c r="TY260" s="243"/>
      <c r="TZ260" s="243"/>
      <c r="UA260" s="243"/>
      <c r="UB260" s="243"/>
      <c r="UC260" s="243"/>
      <c r="UD260" s="243"/>
      <c r="UE260" s="243"/>
      <c r="UF260" s="243"/>
      <c r="UG260" s="243"/>
      <c r="UH260" s="243"/>
      <c r="UI260" s="243"/>
      <c r="UJ260" s="243"/>
      <c r="UK260" s="243"/>
      <c r="UL260" s="243"/>
      <c r="UM260" s="243"/>
      <c r="UN260" s="243"/>
      <c r="UO260" s="243"/>
      <c r="UP260" s="243"/>
      <c r="UQ260" s="243"/>
      <c r="UR260" s="243"/>
      <c r="US260" s="243"/>
      <c r="UT260" s="243"/>
      <c r="UU260" s="243"/>
      <c r="UV260" s="243"/>
      <c r="UW260" s="243"/>
      <c r="UX260" s="243"/>
      <c r="UY260" s="243"/>
      <c r="UZ260" s="243"/>
      <c r="VA260" s="243"/>
      <c r="VB260" s="243"/>
      <c r="VC260" s="243"/>
      <c r="VD260" s="243"/>
      <c r="VE260" s="243"/>
      <c r="VF260" s="243"/>
      <c r="VG260" s="243"/>
      <c r="VH260" s="243"/>
      <c r="VI260" s="243"/>
      <c r="VJ260" s="243"/>
      <c r="VK260" s="243"/>
      <c r="VL260" s="243"/>
      <c r="VM260" s="243"/>
      <c r="VN260" s="243"/>
      <c r="VO260" s="243"/>
      <c r="VP260" s="243"/>
      <c r="VQ260" s="243"/>
      <c r="VR260" s="243"/>
      <c r="VS260" s="243"/>
      <c r="VT260" s="243"/>
      <c r="VU260" s="243"/>
      <c r="VV260" s="243"/>
      <c r="VW260" s="243"/>
      <c r="VX260" s="243"/>
      <c r="VY260" s="243"/>
      <c r="VZ260" s="243"/>
      <c r="WA260" s="243"/>
      <c r="WB260" s="243"/>
      <c r="WC260" s="243"/>
      <c r="WD260" s="243"/>
      <c r="WE260" s="243"/>
      <c r="WF260" s="243"/>
      <c r="WG260" s="243"/>
      <c r="WH260" s="243"/>
      <c r="WI260" s="243"/>
      <c r="WJ260" s="243"/>
      <c r="WK260" s="243"/>
      <c r="WL260" s="243"/>
      <c r="WM260" s="243"/>
      <c r="WN260" s="243"/>
      <c r="WO260" s="243"/>
      <c r="WP260" s="243"/>
      <c r="WQ260" s="243"/>
      <c r="WR260" s="243"/>
      <c r="WS260" s="243"/>
      <c r="WT260" s="243"/>
      <c r="WU260" s="243"/>
      <c r="WV260" s="243"/>
      <c r="WW260" s="243"/>
      <c r="WX260" s="243"/>
      <c r="WY260" s="243"/>
      <c r="WZ260" s="243"/>
      <c r="XA260" s="243"/>
      <c r="XB260" s="243"/>
      <c r="XC260" s="243"/>
      <c r="XD260" s="243"/>
      <c r="XE260" s="243"/>
      <c r="XF260" s="243"/>
      <c r="XG260" s="243"/>
      <c r="XH260" s="243"/>
      <c r="XI260" s="243"/>
      <c r="XJ260" s="243"/>
      <c r="XK260" s="243"/>
      <c r="XL260" s="243"/>
      <c r="XM260" s="243"/>
      <c r="XN260" s="243"/>
      <c r="XO260" s="243"/>
      <c r="XP260" s="243"/>
      <c r="XQ260" s="243"/>
      <c r="XR260" s="243"/>
      <c r="XS260" s="243"/>
      <c r="XT260" s="243"/>
      <c r="XU260" s="243"/>
      <c r="XV260" s="243"/>
      <c r="XW260" s="243"/>
      <c r="XX260" s="243"/>
      <c r="XY260" s="243"/>
      <c r="XZ260" s="243"/>
      <c r="YA260" s="243"/>
      <c r="YB260" s="243"/>
      <c r="YC260" s="243"/>
      <c r="YD260" s="243"/>
      <c r="YE260" s="243"/>
      <c r="YF260" s="243"/>
      <c r="YG260" s="243"/>
      <c r="YH260" s="243"/>
      <c r="YI260" s="243"/>
      <c r="YJ260" s="243"/>
      <c r="YK260" s="243"/>
      <c r="YL260" s="243"/>
      <c r="YM260" s="243"/>
      <c r="YN260" s="243"/>
      <c r="YO260" s="243"/>
      <c r="YP260" s="243"/>
      <c r="YQ260" s="243"/>
      <c r="YR260" s="243"/>
      <c r="YS260" s="243"/>
      <c r="YT260" s="243"/>
      <c r="YU260" s="243"/>
      <c r="YV260" s="243"/>
      <c r="YW260" s="243"/>
      <c r="YX260" s="243"/>
      <c r="YY260" s="243"/>
      <c r="YZ260" s="243"/>
      <c r="ZA260" s="243"/>
      <c r="ZB260" s="243"/>
      <c r="ZC260" s="243"/>
      <c r="ZD260" s="243"/>
      <c r="ZE260" s="243"/>
      <c r="ZF260" s="243"/>
      <c r="ZG260" s="243"/>
      <c r="ZH260" s="243"/>
      <c r="ZI260" s="243"/>
      <c r="ZJ260" s="243"/>
      <c r="ZK260" s="243"/>
      <c r="ZL260" s="243"/>
      <c r="ZM260" s="243"/>
      <c r="ZN260" s="243"/>
      <c r="ZO260" s="243"/>
      <c r="ZP260" s="243"/>
      <c r="ZQ260" s="243"/>
      <c r="ZR260" s="243"/>
      <c r="ZS260" s="243"/>
      <c r="ZT260" s="243"/>
      <c r="ZU260" s="243"/>
      <c r="ZV260" s="243"/>
      <c r="ZW260" s="243"/>
      <c r="ZX260" s="243"/>
      <c r="ZY260" s="243"/>
      <c r="ZZ260" s="243"/>
      <c r="AAA260" s="243"/>
      <c r="AAB260" s="243"/>
      <c r="AAC260" s="243"/>
      <c r="AAD260" s="243"/>
      <c r="AAE260" s="243"/>
      <c r="AAF260" s="243"/>
      <c r="AAG260" s="243"/>
      <c r="AAH260" s="243"/>
      <c r="AAI260" s="243"/>
      <c r="AAJ260" s="243"/>
      <c r="AAK260" s="243"/>
      <c r="AAL260" s="243"/>
      <c r="AAM260" s="243"/>
      <c r="AAN260" s="243"/>
      <c r="AAO260" s="243"/>
      <c r="AAP260" s="243"/>
      <c r="AAQ260" s="243"/>
      <c r="AAR260" s="243"/>
      <c r="AAS260" s="243"/>
      <c r="AAT260" s="243"/>
      <c r="AAU260" s="243"/>
      <c r="AAV260" s="243"/>
      <c r="AAW260" s="243"/>
      <c r="AAX260" s="243"/>
      <c r="AAY260" s="243"/>
      <c r="AAZ260" s="243"/>
      <c r="ABA260" s="243"/>
      <c r="ABB260" s="243"/>
      <c r="ABC260" s="243"/>
      <c r="ABD260" s="243"/>
      <c r="ABE260" s="243"/>
      <c r="ABF260" s="243"/>
      <c r="ABG260" s="243"/>
      <c r="ABH260" s="243"/>
      <c r="ABI260" s="243"/>
      <c r="ABJ260" s="243"/>
      <c r="ABK260" s="243"/>
      <c r="ABL260" s="243"/>
      <c r="ABM260" s="243"/>
      <c r="ABN260" s="243"/>
      <c r="ABO260" s="243"/>
      <c r="ABP260" s="243"/>
      <c r="ABQ260" s="243"/>
      <c r="ABR260" s="243"/>
      <c r="ABS260" s="243"/>
      <c r="ABT260" s="243"/>
      <c r="ABU260" s="243"/>
      <c r="ABV260" s="243"/>
      <c r="ABW260" s="243"/>
      <c r="ABX260" s="243"/>
      <c r="ABY260" s="243"/>
      <c r="ABZ260" s="243"/>
      <c r="ACA260" s="243"/>
      <c r="ACB260" s="243"/>
      <c r="ACC260" s="243"/>
      <c r="ACD260" s="243"/>
      <c r="ACE260" s="243"/>
      <c r="ACF260" s="243"/>
      <c r="ACG260" s="243"/>
      <c r="ACH260" s="243"/>
      <c r="ACI260" s="243"/>
      <c r="ACJ260" s="243"/>
      <c r="ACK260" s="243"/>
      <c r="ACL260" s="243"/>
      <c r="ACM260" s="243"/>
      <c r="ACN260" s="243"/>
      <c r="ACO260" s="243"/>
      <c r="ACP260" s="243"/>
      <c r="ACQ260" s="243"/>
      <c r="ACR260" s="243"/>
      <c r="ACS260" s="243"/>
      <c r="ACT260" s="243"/>
      <c r="ACU260" s="243"/>
      <c r="ACV260" s="243"/>
      <c r="ACW260" s="243"/>
      <c r="ACX260" s="243"/>
      <c r="ACY260" s="243"/>
      <c r="ACZ260" s="243"/>
      <c r="ADA260" s="243"/>
      <c r="ADB260" s="243"/>
      <c r="ADC260" s="243"/>
      <c r="ADD260" s="243"/>
      <c r="ADE260" s="243"/>
      <c r="ADF260" s="243"/>
      <c r="ADG260" s="243"/>
      <c r="ADH260" s="243"/>
      <c r="ADI260" s="243"/>
      <c r="ADJ260" s="243"/>
      <c r="ADK260" s="243"/>
      <c r="ADL260" s="243"/>
      <c r="ADM260" s="243"/>
      <c r="ADN260" s="243"/>
      <c r="ADO260" s="243"/>
      <c r="ADP260" s="243"/>
      <c r="ADQ260" s="243"/>
      <c r="ADR260" s="243"/>
      <c r="ADS260" s="243"/>
      <c r="ADT260" s="243"/>
      <c r="ADU260" s="243"/>
      <c r="ADV260" s="243"/>
      <c r="ADW260" s="243"/>
      <c r="ADX260" s="243"/>
      <c r="ADY260" s="243"/>
      <c r="ADZ260" s="243"/>
      <c r="AEA260" s="243"/>
      <c r="AEB260" s="243"/>
      <c r="AEC260" s="243"/>
      <c r="AED260" s="243"/>
      <c r="AEE260" s="243"/>
      <c r="AEF260" s="243"/>
      <c r="AEG260" s="243"/>
      <c r="AEH260" s="243"/>
      <c r="AEI260" s="243"/>
      <c r="AEJ260" s="243"/>
      <c r="AEK260" s="243"/>
      <c r="AEL260" s="243"/>
      <c r="AEM260" s="243"/>
      <c r="AEN260" s="243"/>
      <c r="AEO260" s="243"/>
      <c r="AEP260" s="243"/>
      <c r="AEQ260" s="243"/>
      <c r="AER260" s="243"/>
      <c r="AES260" s="243"/>
      <c r="AET260" s="243"/>
      <c r="AEU260" s="243"/>
      <c r="AEV260" s="243"/>
      <c r="AEW260" s="243"/>
      <c r="AEX260" s="243"/>
      <c r="AEY260" s="243"/>
      <c r="AEZ260" s="243"/>
      <c r="AFA260" s="243"/>
      <c r="AFB260" s="243"/>
      <c r="AFC260" s="243"/>
      <c r="AFD260" s="243"/>
      <c r="AFE260" s="243"/>
      <c r="AFF260" s="243"/>
      <c r="AFG260" s="243"/>
      <c r="AFH260" s="243"/>
      <c r="AFI260" s="243"/>
      <c r="AFJ260" s="243"/>
      <c r="AFK260" s="243"/>
      <c r="AFL260" s="243"/>
      <c r="AFM260" s="243"/>
      <c r="AFN260" s="243"/>
      <c r="AFO260" s="243"/>
      <c r="AFP260" s="243"/>
      <c r="AFQ260" s="243"/>
      <c r="AFR260" s="243"/>
      <c r="AFS260" s="243"/>
      <c r="AFT260" s="243"/>
      <c r="AFU260" s="243"/>
      <c r="AFV260" s="243"/>
      <c r="AFW260" s="243"/>
      <c r="AFX260" s="243"/>
      <c r="AFY260" s="243"/>
      <c r="AFZ260" s="243"/>
      <c r="AGA260" s="243"/>
      <c r="AGB260" s="243"/>
      <c r="AGC260" s="243"/>
      <c r="AGD260" s="243"/>
      <c r="AGE260" s="243"/>
      <c r="AGF260" s="243"/>
      <c r="AGG260" s="243"/>
      <c r="AGH260" s="243"/>
      <c r="AGI260" s="243"/>
      <c r="AGJ260" s="243"/>
      <c r="AGK260" s="243"/>
      <c r="AGL260" s="243"/>
      <c r="AGM260" s="243"/>
      <c r="AGN260" s="243"/>
      <c r="AGO260" s="243"/>
      <c r="AGP260" s="243"/>
      <c r="AGQ260" s="243"/>
      <c r="AGR260" s="243"/>
      <c r="AGS260" s="243"/>
      <c r="AGT260" s="243"/>
      <c r="AGU260" s="243"/>
      <c r="AGV260" s="243"/>
      <c r="AGW260" s="243"/>
      <c r="AGX260" s="243"/>
      <c r="AGY260" s="243"/>
      <c r="AGZ260" s="243"/>
      <c r="AHA260" s="243"/>
      <c r="AHB260" s="243"/>
      <c r="AHC260" s="243"/>
      <c r="AHD260" s="243"/>
      <c r="AHE260" s="243"/>
      <c r="AHF260" s="243"/>
      <c r="AHG260" s="243"/>
      <c r="AHH260" s="243"/>
      <c r="AHI260" s="243"/>
      <c r="AHJ260" s="243"/>
      <c r="AHK260" s="243"/>
      <c r="AHL260" s="243"/>
      <c r="AHM260" s="243"/>
      <c r="AHN260" s="243"/>
      <c r="AHO260" s="243"/>
      <c r="AHP260" s="243"/>
      <c r="AHQ260" s="243"/>
      <c r="AHR260" s="243"/>
      <c r="AHS260" s="243"/>
      <c r="AHT260" s="243"/>
      <c r="AHU260" s="243"/>
      <c r="AHV260" s="243"/>
      <c r="AHW260" s="243"/>
      <c r="AHX260" s="243"/>
      <c r="AHY260" s="243"/>
      <c r="AHZ260" s="243"/>
      <c r="AIA260" s="243"/>
      <c r="AIB260" s="243"/>
      <c r="AIC260" s="243"/>
      <c r="AID260" s="243"/>
      <c r="AIE260" s="243"/>
      <c r="AIF260" s="243"/>
      <c r="AIG260" s="243"/>
      <c r="AIH260" s="243"/>
      <c r="AII260" s="243"/>
      <c r="AIJ260" s="243"/>
      <c r="AIK260" s="243"/>
      <c r="AIL260" s="243"/>
      <c r="AIM260" s="243"/>
      <c r="AIN260" s="243"/>
      <c r="AIO260" s="243"/>
      <c r="AIP260" s="243"/>
      <c r="AIQ260" s="243"/>
      <c r="AIR260" s="243"/>
      <c r="AIS260" s="243"/>
      <c r="AIT260" s="243"/>
      <c r="AIU260" s="243"/>
      <c r="AIV260" s="243"/>
      <c r="AIW260" s="243"/>
      <c r="AIX260" s="243"/>
      <c r="AIY260" s="243"/>
      <c r="AIZ260" s="243"/>
      <c r="AJA260" s="243"/>
      <c r="AJB260" s="243"/>
      <c r="AJC260" s="243"/>
      <c r="AJD260" s="243"/>
      <c r="AJE260" s="243"/>
      <c r="AJF260" s="243"/>
      <c r="AJG260" s="243"/>
      <c r="AJH260" s="243"/>
      <c r="AJI260" s="243"/>
      <c r="AJJ260" s="243"/>
      <c r="AJK260" s="243"/>
      <c r="AJL260" s="243"/>
      <c r="AJM260" s="243"/>
      <c r="AJN260" s="243"/>
      <c r="AJO260" s="243"/>
      <c r="AJP260" s="243"/>
      <c r="AJQ260" s="243"/>
      <c r="AJR260" s="243"/>
      <c r="AJS260" s="243"/>
      <c r="AJT260" s="243"/>
      <c r="AJU260" s="243"/>
      <c r="AJV260" s="243"/>
      <c r="AJW260" s="243"/>
      <c r="AJX260" s="243"/>
      <c r="AJY260" s="243"/>
      <c r="AJZ260" s="243"/>
      <c r="AKA260" s="243"/>
      <c r="AKB260" s="243"/>
      <c r="AKC260" s="243"/>
      <c r="AKD260" s="243"/>
      <c r="AKE260" s="243"/>
      <c r="AKF260" s="243"/>
      <c r="AKG260" s="243"/>
      <c r="AKH260" s="243"/>
      <c r="AKI260" s="243"/>
      <c r="AKJ260" s="243"/>
      <c r="AKK260" s="243"/>
      <c r="AKL260" s="243"/>
      <c r="AKM260" s="243"/>
      <c r="AKN260" s="243"/>
      <c r="AKO260" s="243"/>
      <c r="AKP260" s="243"/>
      <c r="AKQ260" s="243"/>
      <c r="AKR260" s="243"/>
      <c r="AKS260" s="243"/>
      <c r="AKT260" s="243"/>
      <c r="AKU260" s="243"/>
      <c r="AKV260" s="243"/>
      <c r="AKW260" s="243"/>
      <c r="AKX260" s="243"/>
      <c r="AKY260" s="243"/>
      <c r="AKZ260" s="243"/>
      <c r="ALA260" s="243"/>
      <c r="ALB260" s="243"/>
      <c r="ALC260" s="243"/>
      <c r="ALD260" s="243"/>
      <c r="ALE260" s="243"/>
      <c r="ALF260" s="243"/>
      <c r="ALG260" s="243"/>
      <c r="ALH260" s="243"/>
      <c r="ALI260" s="243"/>
      <c r="ALJ260" s="243"/>
      <c r="ALK260" s="243"/>
      <c r="ALL260" s="243"/>
      <c r="ALM260" s="243"/>
      <c r="ALN260" s="243"/>
      <c r="ALO260" s="243"/>
      <c r="ALP260" s="243"/>
      <c r="ALQ260" s="243"/>
      <c r="ALR260" s="243"/>
      <c r="ALS260" s="243"/>
      <c r="ALT260" s="243"/>
      <c r="ALU260" s="243"/>
      <c r="ALV260" s="243"/>
      <c r="ALW260" s="243"/>
      <c r="ALX260" s="243"/>
      <c r="ALY260" s="243"/>
      <c r="ALZ260" s="243"/>
      <c r="AMA260" s="243"/>
      <c r="AMB260" s="243"/>
      <c r="AMC260" s="243"/>
      <c r="AMD260" s="243"/>
      <c r="AME260" s="243"/>
      <c r="AMF260" s="243"/>
      <c r="AMG260" s="243"/>
      <c r="AMH260" s="243"/>
      <c r="AMI260" s="244"/>
      <c r="AMJ260" s="244"/>
    </row>
    <row r="261" spans="1:1024">
      <c r="A261" s="243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  <c r="AH261" s="243"/>
      <c r="AI261" s="243"/>
      <c r="AJ261" s="243"/>
      <c r="AK261" s="243"/>
      <c r="AL261" s="243"/>
      <c r="AM261" s="243"/>
      <c r="AN261" s="243"/>
      <c r="AO261" s="243"/>
      <c r="AP261" s="243"/>
      <c r="AQ261" s="243"/>
      <c r="AR261" s="243"/>
      <c r="AS261" s="243"/>
      <c r="AT261" s="243"/>
      <c r="AU261" s="243"/>
      <c r="AV261" s="243"/>
      <c r="AW261" s="243"/>
      <c r="AX261" s="243"/>
      <c r="AY261" s="243"/>
      <c r="AZ261" s="243"/>
      <c r="BA261" s="243"/>
      <c r="BB261" s="243"/>
      <c r="BC261" s="243"/>
      <c r="BD261" s="243"/>
      <c r="BE261" s="243"/>
      <c r="BF261" s="243"/>
      <c r="BG261" s="243"/>
      <c r="BH261" s="243"/>
      <c r="BI261" s="243"/>
      <c r="BJ261" s="243"/>
      <c r="BK261" s="243"/>
      <c r="BL261" s="243"/>
      <c r="BM261" s="243"/>
      <c r="BN261" s="243"/>
      <c r="BO261" s="243"/>
      <c r="BP261" s="243"/>
      <c r="BQ261" s="243"/>
      <c r="BR261" s="243"/>
      <c r="BS261" s="243"/>
      <c r="BT261" s="243"/>
      <c r="BU261" s="243"/>
      <c r="BV261" s="243"/>
      <c r="BW261" s="243"/>
      <c r="BX261" s="243"/>
      <c r="BY261" s="243"/>
      <c r="BZ261" s="243"/>
      <c r="CA261" s="243"/>
      <c r="CB261" s="243"/>
      <c r="CC261" s="243"/>
      <c r="CD261" s="243"/>
      <c r="CE261" s="243"/>
      <c r="CF261" s="243"/>
      <c r="CG261" s="243"/>
      <c r="CH261" s="243"/>
      <c r="CI261" s="243"/>
      <c r="CJ261" s="243"/>
      <c r="CK261" s="243"/>
      <c r="CL261" s="243"/>
      <c r="CM261" s="243"/>
      <c r="CN261" s="243"/>
      <c r="CO261" s="243"/>
      <c r="CP261" s="243"/>
      <c r="CQ261" s="243"/>
      <c r="CR261" s="243"/>
      <c r="CS261" s="243"/>
      <c r="CT261" s="243"/>
      <c r="CU261" s="243"/>
      <c r="CV261" s="243"/>
      <c r="CW261" s="243"/>
      <c r="CX261" s="243"/>
      <c r="CY261" s="243"/>
      <c r="CZ261" s="243"/>
      <c r="DA261" s="243"/>
      <c r="DB261" s="243"/>
      <c r="DC261" s="243"/>
      <c r="DD261" s="243"/>
      <c r="DE261" s="243"/>
      <c r="DF261" s="243"/>
      <c r="DG261" s="243"/>
      <c r="DH261" s="243"/>
      <c r="DI261" s="243"/>
      <c r="DJ261" s="243"/>
      <c r="DK261" s="243"/>
      <c r="DL261" s="243"/>
      <c r="DM261" s="243"/>
      <c r="DN261" s="243"/>
      <c r="DO261" s="243"/>
      <c r="DP261" s="243"/>
      <c r="DQ261" s="243"/>
      <c r="DR261" s="243"/>
      <c r="DS261" s="243"/>
      <c r="DT261" s="243"/>
      <c r="DU261" s="243"/>
      <c r="DV261" s="243"/>
      <c r="DW261" s="243"/>
      <c r="DX261" s="243"/>
      <c r="DY261" s="243"/>
      <c r="DZ261" s="243"/>
      <c r="EA261" s="243"/>
      <c r="EB261" s="243"/>
      <c r="EC261" s="243"/>
      <c r="ED261" s="243"/>
      <c r="EE261" s="243"/>
      <c r="EF261" s="243"/>
      <c r="EG261" s="243"/>
      <c r="EH261" s="243"/>
      <c r="EI261" s="243"/>
      <c r="EJ261" s="243"/>
      <c r="EK261" s="243"/>
      <c r="EL261" s="243"/>
      <c r="EM261" s="243"/>
      <c r="EN261" s="243"/>
      <c r="EO261" s="243"/>
      <c r="EP261" s="243"/>
      <c r="EQ261" s="243"/>
      <c r="ER261" s="243"/>
      <c r="ES261" s="243"/>
      <c r="ET261" s="243"/>
      <c r="EU261" s="243"/>
      <c r="EV261" s="243"/>
      <c r="EW261" s="243"/>
      <c r="EX261" s="243"/>
      <c r="EY261" s="243"/>
      <c r="EZ261" s="243"/>
      <c r="FA261" s="243"/>
      <c r="FB261" s="243"/>
      <c r="FC261" s="243"/>
      <c r="FD261" s="243"/>
      <c r="FE261" s="243"/>
      <c r="FF261" s="243"/>
      <c r="FG261" s="243"/>
      <c r="FH261" s="243"/>
      <c r="FI261" s="243"/>
      <c r="FJ261" s="243"/>
      <c r="FK261" s="243"/>
      <c r="FL261" s="243"/>
      <c r="FM261" s="243"/>
      <c r="FN261" s="243"/>
      <c r="FO261" s="243"/>
      <c r="FP261" s="243"/>
      <c r="FQ261" s="243"/>
      <c r="FR261" s="243"/>
      <c r="FS261" s="243"/>
      <c r="FT261" s="243"/>
      <c r="FU261" s="243"/>
      <c r="FV261" s="243"/>
      <c r="FW261" s="243"/>
      <c r="FX261" s="243"/>
      <c r="FY261" s="243"/>
      <c r="FZ261" s="243"/>
      <c r="GA261" s="243"/>
      <c r="GB261" s="243"/>
      <c r="GC261" s="243"/>
      <c r="GD261" s="243"/>
      <c r="GE261" s="243"/>
      <c r="GF261" s="243"/>
      <c r="GG261" s="243"/>
      <c r="GH261" s="243"/>
      <c r="GI261" s="243"/>
      <c r="GJ261" s="243"/>
      <c r="GK261" s="243"/>
      <c r="GL261" s="243"/>
      <c r="GM261" s="243"/>
      <c r="GN261" s="243"/>
      <c r="GO261" s="243"/>
      <c r="GP261" s="243"/>
      <c r="GQ261" s="243"/>
      <c r="GR261" s="243"/>
      <c r="GS261" s="243"/>
      <c r="GT261" s="243"/>
      <c r="GU261" s="243"/>
      <c r="GV261" s="243"/>
      <c r="GW261" s="243"/>
      <c r="GX261" s="243"/>
      <c r="GY261" s="243"/>
      <c r="GZ261" s="243"/>
      <c r="HA261" s="243"/>
      <c r="HB261" s="243"/>
      <c r="HC261" s="243"/>
      <c r="HD261" s="243"/>
      <c r="HE261" s="243"/>
      <c r="HF261" s="243"/>
      <c r="HG261" s="243"/>
      <c r="HH261" s="243"/>
      <c r="HI261" s="243"/>
      <c r="HJ261" s="243"/>
      <c r="HK261" s="243"/>
      <c r="HL261" s="243"/>
      <c r="HM261" s="243"/>
      <c r="HN261" s="243"/>
      <c r="HO261" s="243"/>
      <c r="HP261" s="243"/>
      <c r="HQ261" s="243"/>
      <c r="HR261" s="243"/>
      <c r="HS261" s="243"/>
      <c r="HT261" s="243"/>
      <c r="HU261" s="243"/>
      <c r="HV261" s="243"/>
      <c r="HW261" s="243"/>
      <c r="HX261" s="243"/>
      <c r="HY261" s="243"/>
      <c r="HZ261" s="243"/>
      <c r="IA261" s="243"/>
      <c r="IB261" s="243"/>
      <c r="IC261" s="243"/>
      <c r="ID261" s="243"/>
      <c r="IE261" s="243"/>
      <c r="IF261" s="243"/>
      <c r="IG261" s="243"/>
      <c r="IH261" s="243"/>
      <c r="II261" s="243"/>
      <c r="IJ261" s="243"/>
      <c r="IK261" s="243"/>
      <c r="IL261" s="243"/>
      <c r="IM261" s="243"/>
      <c r="IN261" s="243"/>
      <c r="IO261" s="243"/>
      <c r="IP261" s="243"/>
      <c r="IQ261" s="243"/>
      <c r="IR261" s="243"/>
      <c r="IS261" s="243"/>
      <c r="IT261" s="243"/>
      <c r="IU261" s="243"/>
      <c r="IV261" s="243"/>
      <c r="IW261" s="243"/>
      <c r="IX261" s="243"/>
      <c r="IY261" s="243"/>
      <c r="IZ261" s="243"/>
      <c r="JA261" s="243"/>
      <c r="JB261" s="243"/>
      <c r="JC261" s="243"/>
      <c r="JD261" s="243"/>
      <c r="JE261" s="243"/>
      <c r="JF261" s="243"/>
      <c r="JG261" s="243"/>
      <c r="JH261" s="243"/>
      <c r="JI261" s="243"/>
      <c r="JJ261" s="243"/>
      <c r="JK261" s="243"/>
      <c r="JL261" s="243"/>
      <c r="JM261" s="243"/>
      <c r="JN261" s="243"/>
      <c r="JO261" s="243"/>
      <c r="JP261" s="243"/>
      <c r="JQ261" s="243"/>
      <c r="JR261" s="243"/>
      <c r="JS261" s="243"/>
      <c r="JT261" s="243"/>
      <c r="JU261" s="243"/>
      <c r="JV261" s="243"/>
      <c r="JW261" s="243"/>
      <c r="JX261" s="243"/>
      <c r="JY261" s="243"/>
      <c r="JZ261" s="243"/>
      <c r="KA261" s="243"/>
      <c r="KB261" s="243"/>
      <c r="KC261" s="243"/>
      <c r="KD261" s="243"/>
      <c r="KE261" s="243"/>
      <c r="KF261" s="243"/>
      <c r="KG261" s="243"/>
      <c r="KH261" s="243"/>
      <c r="KI261" s="243"/>
      <c r="KJ261" s="243"/>
      <c r="KK261" s="243"/>
      <c r="KL261" s="243"/>
      <c r="KM261" s="243"/>
      <c r="KN261" s="243"/>
      <c r="KO261" s="243"/>
      <c r="KP261" s="243"/>
      <c r="KQ261" s="243"/>
      <c r="KR261" s="243"/>
      <c r="KS261" s="243"/>
      <c r="KT261" s="243"/>
      <c r="KU261" s="243"/>
      <c r="KV261" s="243"/>
      <c r="KW261" s="243"/>
      <c r="KX261" s="243"/>
      <c r="KY261" s="243"/>
      <c r="KZ261" s="243"/>
      <c r="LA261" s="243"/>
      <c r="LB261" s="243"/>
      <c r="LC261" s="243"/>
      <c r="LD261" s="243"/>
      <c r="LE261" s="243"/>
      <c r="LF261" s="243"/>
      <c r="LG261" s="243"/>
      <c r="LH261" s="243"/>
      <c r="LI261" s="243"/>
      <c r="LJ261" s="243"/>
      <c r="LK261" s="243"/>
      <c r="LL261" s="243"/>
      <c r="LM261" s="243"/>
      <c r="LN261" s="243"/>
      <c r="LO261" s="243"/>
      <c r="LP261" s="243"/>
      <c r="LQ261" s="243"/>
      <c r="LR261" s="243"/>
      <c r="LS261" s="243"/>
      <c r="LT261" s="243"/>
      <c r="LU261" s="243"/>
      <c r="LV261" s="243"/>
      <c r="LW261" s="243"/>
      <c r="LX261" s="243"/>
      <c r="LY261" s="243"/>
      <c r="LZ261" s="243"/>
      <c r="MA261" s="243"/>
      <c r="MB261" s="243"/>
      <c r="MC261" s="243"/>
      <c r="MD261" s="243"/>
      <c r="ME261" s="243"/>
      <c r="MF261" s="243"/>
      <c r="MG261" s="243"/>
      <c r="MH261" s="243"/>
      <c r="MI261" s="243"/>
      <c r="MJ261" s="243"/>
      <c r="MK261" s="243"/>
      <c r="ML261" s="243"/>
      <c r="MM261" s="243"/>
      <c r="MN261" s="243"/>
      <c r="MO261" s="243"/>
      <c r="MP261" s="243"/>
      <c r="MQ261" s="243"/>
      <c r="MR261" s="243"/>
      <c r="MS261" s="243"/>
      <c r="MT261" s="243"/>
      <c r="MU261" s="243"/>
      <c r="MV261" s="243"/>
      <c r="MW261" s="243"/>
      <c r="MX261" s="243"/>
      <c r="MY261" s="243"/>
      <c r="MZ261" s="243"/>
      <c r="NA261" s="243"/>
      <c r="NB261" s="243"/>
      <c r="NC261" s="243"/>
      <c r="ND261" s="243"/>
      <c r="NE261" s="243"/>
      <c r="NF261" s="243"/>
      <c r="NG261" s="243"/>
      <c r="NH261" s="243"/>
      <c r="NI261" s="243"/>
      <c r="NJ261" s="243"/>
      <c r="NK261" s="243"/>
      <c r="NL261" s="243"/>
      <c r="NM261" s="243"/>
      <c r="NN261" s="243"/>
      <c r="NO261" s="243"/>
      <c r="NP261" s="243"/>
      <c r="NQ261" s="243"/>
      <c r="NR261" s="243"/>
      <c r="NS261" s="243"/>
      <c r="NT261" s="243"/>
      <c r="NU261" s="243"/>
      <c r="NV261" s="243"/>
      <c r="NW261" s="243"/>
      <c r="NX261" s="243"/>
      <c r="NY261" s="243"/>
      <c r="NZ261" s="243"/>
      <c r="OA261" s="243"/>
      <c r="OB261" s="243"/>
      <c r="OC261" s="243"/>
      <c r="OD261" s="243"/>
      <c r="OE261" s="243"/>
      <c r="OF261" s="243"/>
      <c r="OG261" s="243"/>
      <c r="OH261" s="243"/>
      <c r="OI261" s="243"/>
      <c r="OJ261" s="243"/>
      <c r="OK261" s="243"/>
      <c r="OL261" s="243"/>
      <c r="OM261" s="243"/>
      <c r="ON261" s="243"/>
      <c r="OO261" s="243"/>
      <c r="OP261" s="243"/>
      <c r="OQ261" s="243"/>
      <c r="OR261" s="243"/>
      <c r="OS261" s="243"/>
      <c r="OT261" s="243"/>
      <c r="OU261" s="243"/>
      <c r="OV261" s="243"/>
      <c r="OW261" s="243"/>
      <c r="OX261" s="243"/>
      <c r="OY261" s="243"/>
      <c r="OZ261" s="243"/>
      <c r="PA261" s="243"/>
      <c r="PB261" s="243"/>
      <c r="PC261" s="243"/>
      <c r="PD261" s="243"/>
      <c r="PE261" s="243"/>
      <c r="PF261" s="243"/>
      <c r="PG261" s="243"/>
      <c r="PH261" s="243"/>
      <c r="PI261" s="243"/>
      <c r="PJ261" s="243"/>
      <c r="PK261" s="243"/>
      <c r="PL261" s="243"/>
      <c r="PM261" s="243"/>
      <c r="PN261" s="243"/>
      <c r="PO261" s="243"/>
      <c r="PP261" s="243"/>
      <c r="PQ261" s="243"/>
      <c r="PR261" s="243"/>
      <c r="PS261" s="243"/>
      <c r="PT261" s="243"/>
      <c r="PU261" s="243"/>
      <c r="PV261" s="243"/>
      <c r="PW261" s="243"/>
      <c r="PX261" s="243"/>
      <c r="PY261" s="243"/>
      <c r="PZ261" s="243"/>
      <c r="QA261" s="243"/>
      <c r="QB261" s="243"/>
      <c r="QC261" s="243"/>
      <c r="QD261" s="243"/>
      <c r="QE261" s="243"/>
      <c r="QF261" s="243"/>
      <c r="QG261" s="243"/>
      <c r="QH261" s="243"/>
      <c r="QI261" s="243"/>
      <c r="QJ261" s="243"/>
      <c r="QK261" s="243"/>
      <c r="QL261" s="243"/>
      <c r="QM261" s="243"/>
      <c r="QN261" s="243"/>
      <c r="QO261" s="243"/>
      <c r="QP261" s="243"/>
      <c r="QQ261" s="243"/>
      <c r="QR261" s="243"/>
      <c r="QS261" s="243"/>
      <c r="QT261" s="243"/>
      <c r="QU261" s="243"/>
      <c r="QV261" s="243"/>
      <c r="QW261" s="243"/>
      <c r="QX261" s="243"/>
      <c r="QY261" s="243"/>
      <c r="QZ261" s="243"/>
      <c r="RA261" s="243"/>
      <c r="RB261" s="243"/>
      <c r="RC261" s="243"/>
      <c r="RD261" s="243"/>
      <c r="RE261" s="243"/>
      <c r="RF261" s="243"/>
      <c r="RG261" s="243"/>
      <c r="RH261" s="243"/>
      <c r="RI261" s="243"/>
      <c r="RJ261" s="243"/>
      <c r="RK261" s="243"/>
      <c r="RL261" s="243"/>
      <c r="RM261" s="243"/>
      <c r="RN261" s="243"/>
      <c r="RO261" s="243"/>
      <c r="RP261" s="243"/>
      <c r="RQ261" s="243"/>
      <c r="RR261" s="243"/>
      <c r="RS261" s="243"/>
      <c r="RT261" s="243"/>
      <c r="RU261" s="243"/>
      <c r="RV261" s="243"/>
      <c r="RW261" s="243"/>
      <c r="RX261" s="243"/>
      <c r="RY261" s="243"/>
      <c r="RZ261" s="243"/>
      <c r="SA261" s="243"/>
      <c r="SB261" s="243"/>
      <c r="SC261" s="243"/>
      <c r="SD261" s="243"/>
      <c r="SE261" s="243"/>
      <c r="SF261" s="243"/>
      <c r="SG261" s="243"/>
      <c r="SH261" s="243"/>
      <c r="SI261" s="243"/>
      <c r="SJ261" s="243"/>
      <c r="SK261" s="243"/>
      <c r="SL261" s="243"/>
      <c r="SM261" s="243"/>
      <c r="SN261" s="243"/>
      <c r="SO261" s="243"/>
      <c r="SP261" s="243"/>
      <c r="SQ261" s="243"/>
      <c r="SR261" s="243"/>
      <c r="SS261" s="243"/>
      <c r="ST261" s="243"/>
      <c r="SU261" s="243"/>
      <c r="SV261" s="243"/>
      <c r="SW261" s="243"/>
      <c r="SX261" s="243"/>
      <c r="SY261" s="243"/>
      <c r="SZ261" s="243"/>
      <c r="TA261" s="243"/>
      <c r="TB261" s="243"/>
      <c r="TC261" s="243"/>
      <c r="TD261" s="243"/>
      <c r="TE261" s="243"/>
      <c r="TF261" s="243"/>
      <c r="TG261" s="243"/>
      <c r="TH261" s="243"/>
      <c r="TI261" s="243"/>
      <c r="TJ261" s="243"/>
      <c r="TK261" s="243"/>
      <c r="TL261" s="243"/>
      <c r="TM261" s="243"/>
      <c r="TN261" s="243"/>
      <c r="TO261" s="243"/>
      <c r="TP261" s="243"/>
      <c r="TQ261" s="243"/>
      <c r="TR261" s="243"/>
      <c r="TS261" s="243"/>
      <c r="TT261" s="243"/>
      <c r="TU261" s="243"/>
      <c r="TV261" s="243"/>
      <c r="TW261" s="243"/>
      <c r="TX261" s="243"/>
      <c r="TY261" s="243"/>
      <c r="TZ261" s="243"/>
      <c r="UA261" s="243"/>
      <c r="UB261" s="243"/>
      <c r="UC261" s="243"/>
      <c r="UD261" s="243"/>
      <c r="UE261" s="243"/>
      <c r="UF261" s="243"/>
      <c r="UG261" s="243"/>
      <c r="UH261" s="243"/>
      <c r="UI261" s="243"/>
      <c r="UJ261" s="243"/>
      <c r="UK261" s="243"/>
      <c r="UL261" s="243"/>
      <c r="UM261" s="243"/>
      <c r="UN261" s="243"/>
      <c r="UO261" s="243"/>
      <c r="UP261" s="243"/>
      <c r="UQ261" s="243"/>
      <c r="UR261" s="243"/>
      <c r="US261" s="243"/>
      <c r="UT261" s="243"/>
      <c r="UU261" s="243"/>
      <c r="UV261" s="243"/>
      <c r="UW261" s="243"/>
      <c r="UX261" s="243"/>
      <c r="UY261" s="243"/>
      <c r="UZ261" s="243"/>
      <c r="VA261" s="243"/>
      <c r="VB261" s="243"/>
      <c r="VC261" s="243"/>
      <c r="VD261" s="243"/>
      <c r="VE261" s="243"/>
      <c r="VF261" s="243"/>
      <c r="VG261" s="243"/>
      <c r="VH261" s="243"/>
      <c r="VI261" s="243"/>
      <c r="VJ261" s="243"/>
      <c r="VK261" s="243"/>
      <c r="VL261" s="243"/>
      <c r="VM261" s="243"/>
      <c r="VN261" s="243"/>
      <c r="VO261" s="243"/>
      <c r="VP261" s="243"/>
      <c r="VQ261" s="243"/>
      <c r="VR261" s="243"/>
      <c r="VS261" s="243"/>
      <c r="VT261" s="243"/>
      <c r="VU261" s="243"/>
      <c r="VV261" s="243"/>
      <c r="VW261" s="243"/>
      <c r="VX261" s="243"/>
      <c r="VY261" s="243"/>
      <c r="VZ261" s="243"/>
      <c r="WA261" s="243"/>
      <c r="WB261" s="243"/>
      <c r="WC261" s="243"/>
      <c r="WD261" s="243"/>
      <c r="WE261" s="243"/>
      <c r="WF261" s="243"/>
      <c r="WG261" s="243"/>
      <c r="WH261" s="243"/>
      <c r="WI261" s="243"/>
      <c r="WJ261" s="243"/>
      <c r="WK261" s="243"/>
      <c r="WL261" s="243"/>
      <c r="WM261" s="243"/>
      <c r="WN261" s="243"/>
      <c r="WO261" s="243"/>
      <c r="WP261" s="243"/>
      <c r="WQ261" s="243"/>
      <c r="WR261" s="243"/>
      <c r="WS261" s="243"/>
      <c r="WT261" s="243"/>
      <c r="WU261" s="243"/>
      <c r="WV261" s="243"/>
      <c r="WW261" s="243"/>
      <c r="WX261" s="243"/>
      <c r="WY261" s="243"/>
      <c r="WZ261" s="243"/>
      <c r="XA261" s="243"/>
      <c r="XB261" s="243"/>
      <c r="XC261" s="243"/>
      <c r="XD261" s="243"/>
      <c r="XE261" s="243"/>
      <c r="XF261" s="243"/>
      <c r="XG261" s="243"/>
      <c r="XH261" s="243"/>
      <c r="XI261" s="243"/>
      <c r="XJ261" s="243"/>
      <c r="XK261" s="243"/>
      <c r="XL261" s="243"/>
      <c r="XM261" s="243"/>
      <c r="XN261" s="243"/>
      <c r="XO261" s="243"/>
      <c r="XP261" s="243"/>
      <c r="XQ261" s="243"/>
      <c r="XR261" s="243"/>
      <c r="XS261" s="243"/>
      <c r="XT261" s="243"/>
      <c r="XU261" s="243"/>
      <c r="XV261" s="243"/>
      <c r="XW261" s="243"/>
      <c r="XX261" s="243"/>
      <c r="XY261" s="243"/>
      <c r="XZ261" s="243"/>
      <c r="YA261" s="243"/>
      <c r="YB261" s="243"/>
      <c r="YC261" s="243"/>
      <c r="YD261" s="243"/>
      <c r="YE261" s="243"/>
      <c r="YF261" s="243"/>
      <c r="YG261" s="243"/>
      <c r="YH261" s="243"/>
      <c r="YI261" s="243"/>
      <c r="YJ261" s="243"/>
      <c r="YK261" s="243"/>
      <c r="YL261" s="243"/>
      <c r="YM261" s="243"/>
      <c r="YN261" s="243"/>
      <c r="YO261" s="243"/>
      <c r="YP261" s="243"/>
      <c r="YQ261" s="243"/>
      <c r="YR261" s="243"/>
      <c r="YS261" s="243"/>
      <c r="YT261" s="243"/>
      <c r="YU261" s="243"/>
      <c r="YV261" s="243"/>
      <c r="YW261" s="243"/>
      <c r="YX261" s="243"/>
      <c r="YY261" s="243"/>
      <c r="YZ261" s="243"/>
      <c r="ZA261" s="243"/>
      <c r="ZB261" s="243"/>
      <c r="ZC261" s="243"/>
      <c r="ZD261" s="243"/>
      <c r="ZE261" s="243"/>
      <c r="ZF261" s="243"/>
      <c r="ZG261" s="243"/>
      <c r="ZH261" s="243"/>
      <c r="ZI261" s="243"/>
      <c r="ZJ261" s="243"/>
      <c r="ZK261" s="243"/>
      <c r="ZL261" s="243"/>
      <c r="ZM261" s="243"/>
      <c r="ZN261" s="243"/>
      <c r="ZO261" s="243"/>
      <c r="ZP261" s="243"/>
      <c r="ZQ261" s="243"/>
      <c r="ZR261" s="243"/>
      <c r="ZS261" s="243"/>
      <c r="ZT261" s="243"/>
      <c r="ZU261" s="243"/>
      <c r="ZV261" s="243"/>
      <c r="ZW261" s="243"/>
      <c r="ZX261" s="243"/>
      <c r="ZY261" s="243"/>
      <c r="ZZ261" s="243"/>
      <c r="AAA261" s="243"/>
      <c r="AAB261" s="243"/>
      <c r="AAC261" s="243"/>
      <c r="AAD261" s="243"/>
      <c r="AAE261" s="243"/>
      <c r="AAF261" s="243"/>
      <c r="AAG261" s="243"/>
      <c r="AAH261" s="243"/>
      <c r="AAI261" s="243"/>
      <c r="AAJ261" s="243"/>
      <c r="AAK261" s="243"/>
      <c r="AAL261" s="243"/>
      <c r="AAM261" s="243"/>
      <c r="AAN261" s="243"/>
      <c r="AAO261" s="243"/>
      <c r="AAP261" s="243"/>
      <c r="AAQ261" s="243"/>
      <c r="AAR261" s="243"/>
      <c r="AAS261" s="243"/>
      <c r="AAT261" s="243"/>
      <c r="AAU261" s="243"/>
      <c r="AAV261" s="243"/>
      <c r="AAW261" s="243"/>
      <c r="AAX261" s="243"/>
      <c r="AAY261" s="243"/>
      <c r="AAZ261" s="243"/>
      <c r="ABA261" s="243"/>
      <c r="ABB261" s="243"/>
      <c r="ABC261" s="243"/>
      <c r="ABD261" s="243"/>
      <c r="ABE261" s="243"/>
      <c r="ABF261" s="243"/>
      <c r="ABG261" s="243"/>
      <c r="ABH261" s="243"/>
      <c r="ABI261" s="243"/>
      <c r="ABJ261" s="243"/>
      <c r="ABK261" s="243"/>
      <c r="ABL261" s="243"/>
      <c r="ABM261" s="243"/>
      <c r="ABN261" s="243"/>
      <c r="ABO261" s="243"/>
      <c r="ABP261" s="243"/>
      <c r="ABQ261" s="243"/>
      <c r="ABR261" s="243"/>
      <c r="ABS261" s="243"/>
      <c r="ABT261" s="243"/>
      <c r="ABU261" s="243"/>
      <c r="ABV261" s="243"/>
      <c r="ABW261" s="243"/>
      <c r="ABX261" s="243"/>
      <c r="ABY261" s="243"/>
      <c r="ABZ261" s="243"/>
      <c r="ACA261" s="243"/>
      <c r="ACB261" s="243"/>
      <c r="ACC261" s="243"/>
      <c r="ACD261" s="243"/>
      <c r="ACE261" s="243"/>
      <c r="ACF261" s="243"/>
      <c r="ACG261" s="243"/>
      <c r="ACH261" s="243"/>
      <c r="ACI261" s="243"/>
      <c r="ACJ261" s="243"/>
      <c r="ACK261" s="243"/>
      <c r="ACL261" s="243"/>
      <c r="ACM261" s="243"/>
      <c r="ACN261" s="243"/>
      <c r="ACO261" s="243"/>
      <c r="ACP261" s="243"/>
      <c r="ACQ261" s="243"/>
      <c r="ACR261" s="243"/>
      <c r="ACS261" s="243"/>
      <c r="ACT261" s="243"/>
      <c r="ACU261" s="243"/>
      <c r="ACV261" s="243"/>
      <c r="ACW261" s="243"/>
      <c r="ACX261" s="243"/>
      <c r="ACY261" s="243"/>
      <c r="ACZ261" s="243"/>
      <c r="ADA261" s="243"/>
      <c r="ADB261" s="243"/>
      <c r="ADC261" s="243"/>
      <c r="ADD261" s="243"/>
      <c r="ADE261" s="243"/>
      <c r="ADF261" s="243"/>
      <c r="ADG261" s="243"/>
      <c r="ADH261" s="243"/>
      <c r="ADI261" s="243"/>
      <c r="ADJ261" s="243"/>
      <c r="ADK261" s="243"/>
      <c r="ADL261" s="243"/>
      <c r="ADM261" s="243"/>
      <c r="ADN261" s="243"/>
      <c r="ADO261" s="243"/>
      <c r="ADP261" s="243"/>
      <c r="ADQ261" s="243"/>
      <c r="ADR261" s="243"/>
      <c r="ADS261" s="243"/>
      <c r="ADT261" s="243"/>
      <c r="ADU261" s="243"/>
      <c r="ADV261" s="243"/>
      <c r="ADW261" s="243"/>
      <c r="ADX261" s="243"/>
      <c r="ADY261" s="243"/>
      <c r="ADZ261" s="243"/>
      <c r="AEA261" s="243"/>
      <c r="AEB261" s="243"/>
      <c r="AEC261" s="243"/>
      <c r="AED261" s="243"/>
      <c r="AEE261" s="243"/>
      <c r="AEF261" s="243"/>
      <c r="AEG261" s="243"/>
      <c r="AEH261" s="243"/>
      <c r="AEI261" s="243"/>
      <c r="AEJ261" s="243"/>
      <c r="AEK261" s="243"/>
      <c r="AEL261" s="243"/>
      <c r="AEM261" s="243"/>
      <c r="AEN261" s="243"/>
      <c r="AEO261" s="243"/>
      <c r="AEP261" s="243"/>
      <c r="AEQ261" s="243"/>
      <c r="AER261" s="243"/>
      <c r="AES261" s="243"/>
      <c r="AET261" s="243"/>
      <c r="AEU261" s="243"/>
      <c r="AEV261" s="243"/>
      <c r="AEW261" s="243"/>
      <c r="AEX261" s="243"/>
      <c r="AEY261" s="243"/>
      <c r="AEZ261" s="243"/>
      <c r="AFA261" s="243"/>
      <c r="AFB261" s="243"/>
      <c r="AFC261" s="243"/>
      <c r="AFD261" s="243"/>
      <c r="AFE261" s="243"/>
      <c r="AFF261" s="243"/>
      <c r="AFG261" s="243"/>
      <c r="AFH261" s="243"/>
      <c r="AFI261" s="243"/>
      <c r="AFJ261" s="243"/>
      <c r="AFK261" s="243"/>
      <c r="AFL261" s="243"/>
      <c r="AFM261" s="243"/>
      <c r="AFN261" s="243"/>
      <c r="AFO261" s="243"/>
      <c r="AFP261" s="243"/>
      <c r="AFQ261" s="243"/>
      <c r="AFR261" s="243"/>
      <c r="AFS261" s="243"/>
      <c r="AFT261" s="243"/>
      <c r="AFU261" s="243"/>
      <c r="AFV261" s="243"/>
      <c r="AFW261" s="243"/>
      <c r="AFX261" s="243"/>
      <c r="AFY261" s="243"/>
      <c r="AFZ261" s="243"/>
      <c r="AGA261" s="243"/>
      <c r="AGB261" s="243"/>
      <c r="AGC261" s="243"/>
      <c r="AGD261" s="243"/>
      <c r="AGE261" s="243"/>
      <c r="AGF261" s="243"/>
      <c r="AGG261" s="243"/>
      <c r="AGH261" s="243"/>
      <c r="AGI261" s="243"/>
      <c r="AGJ261" s="243"/>
      <c r="AGK261" s="243"/>
      <c r="AGL261" s="243"/>
      <c r="AGM261" s="243"/>
      <c r="AGN261" s="243"/>
      <c r="AGO261" s="243"/>
      <c r="AGP261" s="243"/>
      <c r="AGQ261" s="243"/>
      <c r="AGR261" s="243"/>
      <c r="AGS261" s="243"/>
      <c r="AGT261" s="243"/>
      <c r="AGU261" s="243"/>
      <c r="AGV261" s="243"/>
      <c r="AGW261" s="243"/>
      <c r="AGX261" s="243"/>
      <c r="AGY261" s="243"/>
      <c r="AGZ261" s="243"/>
      <c r="AHA261" s="243"/>
      <c r="AHB261" s="243"/>
      <c r="AHC261" s="243"/>
      <c r="AHD261" s="243"/>
      <c r="AHE261" s="243"/>
      <c r="AHF261" s="243"/>
      <c r="AHG261" s="243"/>
      <c r="AHH261" s="243"/>
      <c r="AHI261" s="243"/>
      <c r="AHJ261" s="243"/>
      <c r="AHK261" s="243"/>
      <c r="AHL261" s="243"/>
      <c r="AHM261" s="243"/>
      <c r="AHN261" s="243"/>
      <c r="AHO261" s="243"/>
      <c r="AHP261" s="243"/>
      <c r="AHQ261" s="243"/>
      <c r="AHR261" s="243"/>
      <c r="AHS261" s="243"/>
      <c r="AHT261" s="243"/>
      <c r="AHU261" s="243"/>
      <c r="AHV261" s="243"/>
      <c r="AHW261" s="243"/>
      <c r="AHX261" s="243"/>
      <c r="AHY261" s="243"/>
      <c r="AHZ261" s="243"/>
      <c r="AIA261" s="243"/>
      <c r="AIB261" s="243"/>
      <c r="AIC261" s="243"/>
      <c r="AID261" s="243"/>
      <c r="AIE261" s="243"/>
      <c r="AIF261" s="243"/>
      <c r="AIG261" s="243"/>
      <c r="AIH261" s="243"/>
      <c r="AII261" s="243"/>
      <c r="AIJ261" s="243"/>
      <c r="AIK261" s="243"/>
      <c r="AIL261" s="243"/>
      <c r="AIM261" s="243"/>
      <c r="AIN261" s="243"/>
      <c r="AIO261" s="243"/>
      <c r="AIP261" s="243"/>
      <c r="AIQ261" s="243"/>
      <c r="AIR261" s="243"/>
      <c r="AIS261" s="243"/>
      <c r="AIT261" s="243"/>
      <c r="AIU261" s="243"/>
      <c r="AIV261" s="243"/>
      <c r="AIW261" s="243"/>
      <c r="AIX261" s="243"/>
      <c r="AIY261" s="243"/>
      <c r="AIZ261" s="243"/>
      <c r="AJA261" s="243"/>
      <c r="AJB261" s="243"/>
      <c r="AJC261" s="243"/>
      <c r="AJD261" s="243"/>
      <c r="AJE261" s="243"/>
      <c r="AJF261" s="243"/>
      <c r="AJG261" s="243"/>
      <c r="AJH261" s="243"/>
      <c r="AJI261" s="243"/>
      <c r="AJJ261" s="243"/>
      <c r="AJK261" s="243"/>
      <c r="AJL261" s="243"/>
      <c r="AJM261" s="243"/>
      <c r="AJN261" s="243"/>
      <c r="AJO261" s="243"/>
      <c r="AJP261" s="243"/>
      <c r="AJQ261" s="243"/>
      <c r="AJR261" s="243"/>
      <c r="AJS261" s="243"/>
      <c r="AJT261" s="243"/>
      <c r="AJU261" s="243"/>
      <c r="AJV261" s="243"/>
      <c r="AJW261" s="243"/>
      <c r="AJX261" s="243"/>
      <c r="AJY261" s="243"/>
      <c r="AJZ261" s="243"/>
      <c r="AKA261" s="243"/>
      <c r="AKB261" s="243"/>
      <c r="AKC261" s="243"/>
      <c r="AKD261" s="243"/>
      <c r="AKE261" s="243"/>
      <c r="AKF261" s="243"/>
      <c r="AKG261" s="243"/>
      <c r="AKH261" s="243"/>
      <c r="AKI261" s="243"/>
      <c r="AKJ261" s="243"/>
      <c r="AKK261" s="243"/>
      <c r="AKL261" s="243"/>
      <c r="AKM261" s="243"/>
      <c r="AKN261" s="243"/>
      <c r="AKO261" s="243"/>
      <c r="AKP261" s="243"/>
      <c r="AKQ261" s="243"/>
      <c r="AKR261" s="243"/>
      <c r="AKS261" s="243"/>
      <c r="AKT261" s="243"/>
      <c r="AKU261" s="243"/>
      <c r="AKV261" s="243"/>
      <c r="AKW261" s="243"/>
      <c r="AKX261" s="243"/>
      <c r="AKY261" s="243"/>
      <c r="AKZ261" s="243"/>
      <c r="ALA261" s="243"/>
      <c r="ALB261" s="243"/>
      <c r="ALC261" s="243"/>
      <c r="ALD261" s="243"/>
      <c r="ALE261" s="243"/>
      <c r="ALF261" s="243"/>
      <c r="ALG261" s="243"/>
      <c r="ALH261" s="243"/>
      <c r="ALI261" s="243"/>
      <c r="ALJ261" s="243"/>
      <c r="ALK261" s="243"/>
      <c r="ALL261" s="243"/>
      <c r="ALM261" s="243"/>
      <c r="ALN261" s="243"/>
      <c r="ALO261" s="243"/>
      <c r="ALP261" s="243"/>
      <c r="ALQ261" s="243"/>
      <c r="ALR261" s="243"/>
      <c r="ALS261" s="243"/>
      <c r="ALT261" s="243"/>
      <c r="ALU261" s="243"/>
      <c r="ALV261" s="243"/>
      <c r="ALW261" s="243"/>
      <c r="ALX261" s="243"/>
      <c r="ALY261" s="243"/>
      <c r="ALZ261" s="243"/>
      <c r="AMA261" s="243"/>
      <c r="AMB261" s="243"/>
      <c r="AMC261" s="243"/>
      <c r="AMD261" s="243"/>
      <c r="AME261" s="243"/>
      <c r="AMF261" s="243"/>
      <c r="AMG261" s="243"/>
      <c r="AMH261" s="243"/>
      <c r="AMI261" s="244"/>
      <c r="AMJ261" s="244"/>
    </row>
    <row r="262" spans="1:1024" ht="43.5">
      <c r="A262" s="1026" t="s">
        <v>170</v>
      </c>
      <c r="B262" s="1026" t="s">
        <v>171</v>
      </c>
      <c r="C262" s="1026" t="s">
        <v>172</v>
      </c>
      <c r="D262" s="1026" t="s">
        <v>173</v>
      </c>
      <c r="E262" s="392"/>
      <c r="F262" s="390"/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  <c r="AH262" s="243"/>
      <c r="AI262" s="243"/>
      <c r="AJ262" s="243"/>
      <c r="AK262" s="243"/>
      <c r="AL262" s="243"/>
      <c r="AM262" s="243"/>
      <c r="AN262" s="243"/>
      <c r="AO262" s="243"/>
      <c r="AP262" s="243"/>
      <c r="AQ262" s="243"/>
      <c r="AR262" s="243"/>
      <c r="AS262" s="243"/>
      <c r="AT262" s="243"/>
      <c r="AU262" s="243"/>
      <c r="AV262" s="243"/>
      <c r="AW262" s="243"/>
      <c r="AX262" s="243"/>
      <c r="AY262" s="243"/>
      <c r="AZ262" s="243"/>
      <c r="BA262" s="243"/>
      <c r="BB262" s="243"/>
      <c r="BC262" s="243"/>
      <c r="BD262" s="243"/>
      <c r="BE262" s="243"/>
      <c r="BF262" s="243"/>
      <c r="BG262" s="243"/>
      <c r="BH262" s="243"/>
      <c r="BI262" s="243"/>
      <c r="BJ262" s="243"/>
      <c r="BK262" s="243"/>
      <c r="BL262" s="243"/>
      <c r="BM262" s="243"/>
      <c r="BN262" s="243"/>
      <c r="BO262" s="243"/>
      <c r="BP262" s="243"/>
      <c r="BQ262" s="243"/>
      <c r="BR262" s="243"/>
      <c r="BS262" s="243"/>
      <c r="BT262" s="243"/>
      <c r="BU262" s="243"/>
      <c r="BV262" s="243"/>
      <c r="BW262" s="243"/>
      <c r="BX262" s="243"/>
      <c r="BY262" s="243"/>
      <c r="BZ262" s="243"/>
      <c r="CA262" s="243"/>
      <c r="CB262" s="243"/>
      <c r="CC262" s="243"/>
      <c r="CD262" s="243"/>
      <c r="CE262" s="243"/>
      <c r="CF262" s="243"/>
      <c r="CG262" s="243"/>
      <c r="CH262" s="243"/>
      <c r="CI262" s="243"/>
      <c r="CJ262" s="243"/>
      <c r="CK262" s="243"/>
      <c r="CL262" s="243"/>
      <c r="CM262" s="243"/>
      <c r="CN262" s="243"/>
      <c r="CO262" s="243"/>
      <c r="CP262" s="243"/>
      <c r="CQ262" s="243"/>
      <c r="CR262" s="243"/>
      <c r="CS262" s="243"/>
      <c r="CT262" s="243"/>
      <c r="CU262" s="243"/>
      <c r="CV262" s="243"/>
      <c r="CW262" s="243"/>
      <c r="CX262" s="243"/>
      <c r="CY262" s="243"/>
      <c r="CZ262" s="243"/>
      <c r="DA262" s="243"/>
      <c r="DB262" s="243"/>
      <c r="DC262" s="243"/>
      <c r="DD262" s="243"/>
      <c r="DE262" s="243"/>
      <c r="DF262" s="243"/>
      <c r="DG262" s="243"/>
      <c r="DH262" s="243"/>
      <c r="DI262" s="243"/>
      <c r="DJ262" s="243"/>
      <c r="DK262" s="243"/>
      <c r="DL262" s="243"/>
      <c r="DM262" s="243"/>
      <c r="DN262" s="243"/>
      <c r="DO262" s="243"/>
      <c r="DP262" s="243"/>
      <c r="DQ262" s="243"/>
      <c r="DR262" s="243"/>
      <c r="DS262" s="243"/>
      <c r="DT262" s="243"/>
      <c r="DU262" s="243"/>
      <c r="DV262" s="243"/>
      <c r="DW262" s="243"/>
      <c r="DX262" s="243"/>
      <c r="DY262" s="243"/>
      <c r="DZ262" s="243"/>
      <c r="EA262" s="243"/>
      <c r="EB262" s="243"/>
      <c r="EC262" s="243"/>
      <c r="ED262" s="243"/>
      <c r="EE262" s="243"/>
      <c r="EF262" s="243"/>
      <c r="EG262" s="243"/>
      <c r="EH262" s="243"/>
      <c r="EI262" s="243"/>
      <c r="EJ262" s="243"/>
      <c r="EK262" s="243"/>
      <c r="EL262" s="243"/>
      <c r="EM262" s="243"/>
      <c r="EN262" s="243"/>
      <c r="EO262" s="243"/>
      <c r="EP262" s="243"/>
      <c r="EQ262" s="243"/>
      <c r="ER262" s="243"/>
      <c r="ES262" s="243"/>
      <c r="ET262" s="243"/>
      <c r="EU262" s="243"/>
      <c r="EV262" s="243"/>
      <c r="EW262" s="243"/>
      <c r="EX262" s="243"/>
      <c r="EY262" s="243"/>
      <c r="EZ262" s="243"/>
      <c r="FA262" s="243"/>
      <c r="FB262" s="243"/>
      <c r="FC262" s="243"/>
      <c r="FD262" s="243"/>
      <c r="FE262" s="243"/>
      <c r="FF262" s="243"/>
      <c r="FG262" s="243"/>
      <c r="FH262" s="243"/>
      <c r="FI262" s="243"/>
      <c r="FJ262" s="243"/>
      <c r="FK262" s="243"/>
      <c r="FL262" s="243"/>
      <c r="FM262" s="243"/>
      <c r="FN262" s="243"/>
      <c r="FO262" s="243"/>
      <c r="FP262" s="243"/>
      <c r="FQ262" s="243"/>
      <c r="FR262" s="243"/>
      <c r="FS262" s="243"/>
      <c r="FT262" s="243"/>
      <c r="FU262" s="243"/>
      <c r="FV262" s="243"/>
      <c r="FW262" s="243"/>
      <c r="FX262" s="243"/>
      <c r="FY262" s="243"/>
      <c r="FZ262" s="243"/>
      <c r="GA262" s="243"/>
      <c r="GB262" s="243"/>
      <c r="GC262" s="243"/>
      <c r="GD262" s="243"/>
      <c r="GE262" s="243"/>
      <c r="GF262" s="243"/>
      <c r="GG262" s="243"/>
      <c r="GH262" s="243"/>
      <c r="GI262" s="243"/>
      <c r="GJ262" s="243"/>
      <c r="GK262" s="243"/>
      <c r="GL262" s="243"/>
      <c r="GM262" s="243"/>
      <c r="GN262" s="243"/>
      <c r="GO262" s="243"/>
      <c r="GP262" s="243"/>
      <c r="GQ262" s="243"/>
      <c r="GR262" s="243"/>
      <c r="GS262" s="243"/>
      <c r="GT262" s="243"/>
      <c r="GU262" s="243"/>
      <c r="GV262" s="243"/>
      <c r="GW262" s="243"/>
      <c r="GX262" s="243"/>
      <c r="GY262" s="243"/>
      <c r="GZ262" s="243"/>
      <c r="HA262" s="243"/>
      <c r="HB262" s="243"/>
      <c r="HC262" s="243"/>
      <c r="HD262" s="243"/>
      <c r="HE262" s="243"/>
      <c r="HF262" s="243"/>
      <c r="HG262" s="243"/>
      <c r="HH262" s="243"/>
      <c r="HI262" s="243"/>
      <c r="HJ262" s="243"/>
      <c r="HK262" s="243"/>
      <c r="HL262" s="243"/>
      <c r="HM262" s="243"/>
      <c r="HN262" s="243"/>
      <c r="HO262" s="243"/>
      <c r="HP262" s="243"/>
      <c r="HQ262" s="243"/>
      <c r="HR262" s="243"/>
      <c r="HS262" s="243"/>
      <c r="HT262" s="243"/>
      <c r="HU262" s="243"/>
      <c r="HV262" s="243"/>
      <c r="HW262" s="243"/>
      <c r="HX262" s="243"/>
      <c r="HY262" s="243"/>
      <c r="HZ262" s="243"/>
      <c r="IA262" s="243"/>
      <c r="IB262" s="243"/>
      <c r="IC262" s="243"/>
      <c r="ID262" s="243"/>
      <c r="IE262" s="243"/>
      <c r="IF262" s="243"/>
      <c r="IG262" s="243"/>
      <c r="IH262" s="243"/>
      <c r="II262" s="243"/>
      <c r="IJ262" s="243"/>
      <c r="IK262" s="243"/>
      <c r="IL262" s="243"/>
      <c r="IM262" s="243"/>
      <c r="IN262" s="243"/>
      <c r="IO262" s="243"/>
      <c r="IP262" s="243"/>
      <c r="IQ262" s="243"/>
      <c r="IR262" s="243"/>
      <c r="IS262" s="243"/>
      <c r="IT262" s="243"/>
      <c r="IU262" s="243"/>
      <c r="IV262" s="243"/>
      <c r="IW262" s="243"/>
      <c r="IX262" s="243"/>
      <c r="IY262" s="243"/>
      <c r="IZ262" s="243"/>
      <c r="JA262" s="243"/>
      <c r="JB262" s="243"/>
      <c r="JC262" s="243"/>
      <c r="JD262" s="243"/>
      <c r="JE262" s="243"/>
      <c r="JF262" s="243"/>
      <c r="JG262" s="243"/>
      <c r="JH262" s="243"/>
      <c r="JI262" s="243"/>
      <c r="JJ262" s="243"/>
      <c r="JK262" s="243"/>
      <c r="JL262" s="243"/>
      <c r="JM262" s="243"/>
      <c r="JN262" s="243"/>
      <c r="JO262" s="243"/>
      <c r="JP262" s="243"/>
      <c r="JQ262" s="243"/>
      <c r="JR262" s="243"/>
      <c r="JS262" s="243"/>
      <c r="JT262" s="243"/>
      <c r="JU262" s="243"/>
      <c r="JV262" s="243"/>
      <c r="JW262" s="243"/>
      <c r="JX262" s="243"/>
      <c r="JY262" s="243"/>
      <c r="JZ262" s="243"/>
      <c r="KA262" s="243"/>
      <c r="KB262" s="243"/>
      <c r="KC262" s="243"/>
      <c r="KD262" s="243"/>
      <c r="KE262" s="243"/>
      <c r="KF262" s="243"/>
      <c r="KG262" s="243"/>
      <c r="KH262" s="243"/>
      <c r="KI262" s="243"/>
      <c r="KJ262" s="243"/>
      <c r="KK262" s="243"/>
      <c r="KL262" s="243"/>
      <c r="KM262" s="243"/>
      <c r="KN262" s="243"/>
      <c r="KO262" s="243"/>
      <c r="KP262" s="243"/>
      <c r="KQ262" s="243"/>
      <c r="KR262" s="243"/>
      <c r="KS262" s="243"/>
      <c r="KT262" s="243"/>
      <c r="KU262" s="243"/>
      <c r="KV262" s="243"/>
      <c r="KW262" s="243"/>
      <c r="KX262" s="243"/>
      <c r="KY262" s="243"/>
      <c r="KZ262" s="243"/>
      <c r="LA262" s="243"/>
      <c r="LB262" s="243"/>
      <c r="LC262" s="243"/>
      <c r="LD262" s="243"/>
      <c r="LE262" s="243"/>
      <c r="LF262" s="243"/>
      <c r="LG262" s="243"/>
      <c r="LH262" s="243"/>
      <c r="LI262" s="243"/>
      <c r="LJ262" s="243"/>
      <c r="LK262" s="243"/>
      <c r="LL262" s="243"/>
      <c r="LM262" s="243"/>
      <c r="LN262" s="243"/>
      <c r="LO262" s="243"/>
      <c r="LP262" s="243"/>
      <c r="LQ262" s="243"/>
      <c r="LR262" s="243"/>
      <c r="LS262" s="243"/>
      <c r="LT262" s="243"/>
      <c r="LU262" s="243"/>
      <c r="LV262" s="243"/>
      <c r="LW262" s="243"/>
      <c r="LX262" s="243"/>
      <c r="LY262" s="243"/>
      <c r="LZ262" s="243"/>
      <c r="MA262" s="243"/>
      <c r="MB262" s="243"/>
      <c r="MC262" s="243"/>
      <c r="MD262" s="243"/>
      <c r="ME262" s="243"/>
      <c r="MF262" s="243"/>
      <c r="MG262" s="243"/>
      <c r="MH262" s="243"/>
      <c r="MI262" s="243"/>
      <c r="MJ262" s="243"/>
      <c r="MK262" s="243"/>
      <c r="ML262" s="243"/>
      <c r="MM262" s="243"/>
      <c r="MN262" s="243"/>
      <c r="MO262" s="243"/>
      <c r="MP262" s="243"/>
      <c r="MQ262" s="243"/>
      <c r="MR262" s="243"/>
      <c r="MS262" s="243"/>
      <c r="MT262" s="243"/>
      <c r="MU262" s="243"/>
      <c r="MV262" s="243"/>
      <c r="MW262" s="243"/>
      <c r="MX262" s="243"/>
      <c r="MY262" s="243"/>
      <c r="MZ262" s="243"/>
      <c r="NA262" s="243"/>
      <c r="NB262" s="243"/>
      <c r="NC262" s="243"/>
      <c r="ND262" s="243"/>
      <c r="NE262" s="243"/>
      <c r="NF262" s="243"/>
      <c r="NG262" s="243"/>
      <c r="NH262" s="243"/>
      <c r="NI262" s="243"/>
      <c r="NJ262" s="243"/>
      <c r="NK262" s="243"/>
      <c r="NL262" s="243"/>
      <c r="NM262" s="243"/>
      <c r="NN262" s="243"/>
      <c r="NO262" s="243"/>
      <c r="NP262" s="243"/>
      <c r="NQ262" s="243"/>
      <c r="NR262" s="243"/>
      <c r="NS262" s="243"/>
      <c r="NT262" s="243"/>
      <c r="NU262" s="243"/>
      <c r="NV262" s="243"/>
      <c r="NW262" s="243"/>
      <c r="NX262" s="243"/>
      <c r="NY262" s="243"/>
      <c r="NZ262" s="243"/>
      <c r="OA262" s="243"/>
      <c r="OB262" s="243"/>
      <c r="OC262" s="243"/>
      <c r="OD262" s="243"/>
      <c r="OE262" s="243"/>
      <c r="OF262" s="243"/>
      <c r="OG262" s="243"/>
      <c r="OH262" s="243"/>
      <c r="OI262" s="243"/>
      <c r="OJ262" s="243"/>
      <c r="OK262" s="243"/>
      <c r="OL262" s="243"/>
      <c r="OM262" s="243"/>
      <c r="ON262" s="243"/>
      <c r="OO262" s="243"/>
      <c r="OP262" s="243"/>
      <c r="OQ262" s="243"/>
      <c r="OR262" s="243"/>
      <c r="OS262" s="243"/>
      <c r="OT262" s="243"/>
      <c r="OU262" s="243"/>
      <c r="OV262" s="243"/>
      <c r="OW262" s="243"/>
      <c r="OX262" s="243"/>
      <c r="OY262" s="243"/>
      <c r="OZ262" s="243"/>
      <c r="PA262" s="243"/>
      <c r="PB262" s="243"/>
      <c r="PC262" s="243"/>
      <c r="PD262" s="243"/>
      <c r="PE262" s="243"/>
      <c r="PF262" s="243"/>
      <c r="PG262" s="243"/>
      <c r="PH262" s="243"/>
      <c r="PI262" s="243"/>
      <c r="PJ262" s="243"/>
      <c r="PK262" s="243"/>
      <c r="PL262" s="243"/>
      <c r="PM262" s="243"/>
      <c r="PN262" s="243"/>
      <c r="PO262" s="243"/>
      <c r="PP262" s="243"/>
      <c r="PQ262" s="243"/>
      <c r="PR262" s="243"/>
      <c r="PS262" s="243"/>
      <c r="PT262" s="243"/>
      <c r="PU262" s="243"/>
      <c r="PV262" s="243"/>
      <c r="PW262" s="243"/>
      <c r="PX262" s="243"/>
      <c r="PY262" s="243"/>
      <c r="PZ262" s="243"/>
      <c r="QA262" s="243"/>
      <c r="QB262" s="243"/>
      <c r="QC262" s="243"/>
      <c r="QD262" s="243"/>
      <c r="QE262" s="243"/>
      <c r="QF262" s="243"/>
      <c r="QG262" s="243"/>
      <c r="QH262" s="243"/>
      <c r="QI262" s="243"/>
      <c r="QJ262" s="243"/>
      <c r="QK262" s="243"/>
      <c r="QL262" s="243"/>
      <c r="QM262" s="243"/>
      <c r="QN262" s="243"/>
      <c r="QO262" s="243"/>
      <c r="QP262" s="243"/>
      <c r="QQ262" s="243"/>
      <c r="QR262" s="243"/>
      <c r="QS262" s="243"/>
      <c r="QT262" s="243"/>
      <c r="QU262" s="243"/>
      <c r="QV262" s="243"/>
      <c r="QW262" s="243"/>
      <c r="QX262" s="243"/>
      <c r="QY262" s="243"/>
      <c r="QZ262" s="243"/>
      <c r="RA262" s="243"/>
      <c r="RB262" s="243"/>
      <c r="RC262" s="243"/>
      <c r="RD262" s="243"/>
      <c r="RE262" s="243"/>
      <c r="RF262" s="243"/>
      <c r="RG262" s="243"/>
      <c r="RH262" s="243"/>
      <c r="RI262" s="243"/>
      <c r="RJ262" s="243"/>
      <c r="RK262" s="243"/>
      <c r="RL262" s="243"/>
      <c r="RM262" s="243"/>
      <c r="RN262" s="243"/>
      <c r="RO262" s="243"/>
      <c r="RP262" s="243"/>
      <c r="RQ262" s="243"/>
      <c r="RR262" s="243"/>
      <c r="RS262" s="243"/>
      <c r="RT262" s="243"/>
      <c r="RU262" s="243"/>
      <c r="RV262" s="243"/>
      <c r="RW262" s="243"/>
      <c r="RX262" s="243"/>
      <c r="RY262" s="243"/>
      <c r="RZ262" s="243"/>
      <c r="SA262" s="243"/>
      <c r="SB262" s="243"/>
      <c r="SC262" s="243"/>
      <c r="SD262" s="243"/>
      <c r="SE262" s="243"/>
      <c r="SF262" s="243"/>
      <c r="SG262" s="243"/>
      <c r="SH262" s="243"/>
      <c r="SI262" s="243"/>
      <c r="SJ262" s="243"/>
      <c r="SK262" s="243"/>
      <c r="SL262" s="243"/>
      <c r="SM262" s="243"/>
      <c r="SN262" s="243"/>
      <c r="SO262" s="243"/>
      <c r="SP262" s="243"/>
      <c r="SQ262" s="243"/>
      <c r="SR262" s="243"/>
      <c r="SS262" s="243"/>
      <c r="ST262" s="243"/>
      <c r="SU262" s="243"/>
      <c r="SV262" s="243"/>
      <c r="SW262" s="243"/>
      <c r="SX262" s="243"/>
      <c r="SY262" s="243"/>
      <c r="SZ262" s="243"/>
      <c r="TA262" s="243"/>
      <c r="TB262" s="243"/>
      <c r="TC262" s="243"/>
      <c r="TD262" s="243"/>
      <c r="TE262" s="243"/>
      <c r="TF262" s="243"/>
      <c r="TG262" s="243"/>
      <c r="TH262" s="243"/>
      <c r="TI262" s="243"/>
      <c r="TJ262" s="243"/>
      <c r="TK262" s="243"/>
      <c r="TL262" s="243"/>
      <c r="TM262" s="243"/>
      <c r="TN262" s="243"/>
      <c r="TO262" s="243"/>
      <c r="TP262" s="243"/>
      <c r="TQ262" s="243"/>
      <c r="TR262" s="243"/>
      <c r="TS262" s="243"/>
      <c r="TT262" s="243"/>
      <c r="TU262" s="243"/>
      <c r="TV262" s="243"/>
      <c r="TW262" s="243"/>
      <c r="TX262" s="243"/>
      <c r="TY262" s="243"/>
      <c r="TZ262" s="243"/>
      <c r="UA262" s="243"/>
      <c r="UB262" s="243"/>
      <c r="UC262" s="243"/>
      <c r="UD262" s="243"/>
      <c r="UE262" s="243"/>
      <c r="UF262" s="243"/>
      <c r="UG262" s="243"/>
      <c r="UH262" s="243"/>
      <c r="UI262" s="243"/>
      <c r="UJ262" s="243"/>
      <c r="UK262" s="243"/>
      <c r="UL262" s="243"/>
      <c r="UM262" s="243"/>
      <c r="UN262" s="243"/>
      <c r="UO262" s="243"/>
      <c r="UP262" s="243"/>
      <c r="UQ262" s="243"/>
      <c r="UR262" s="243"/>
      <c r="US262" s="243"/>
      <c r="UT262" s="243"/>
      <c r="UU262" s="243"/>
      <c r="UV262" s="243"/>
      <c r="UW262" s="243"/>
      <c r="UX262" s="243"/>
      <c r="UY262" s="243"/>
      <c r="UZ262" s="243"/>
      <c r="VA262" s="243"/>
      <c r="VB262" s="243"/>
      <c r="VC262" s="243"/>
      <c r="VD262" s="243"/>
      <c r="VE262" s="243"/>
      <c r="VF262" s="243"/>
      <c r="VG262" s="243"/>
      <c r="VH262" s="243"/>
      <c r="VI262" s="243"/>
      <c r="VJ262" s="243"/>
      <c r="VK262" s="243"/>
      <c r="VL262" s="243"/>
      <c r="VM262" s="243"/>
      <c r="VN262" s="243"/>
      <c r="VO262" s="243"/>
      <c r="VP262" s="243"/>
      <c r="VQ262" s="243"/>
      <c r="VR262" s="243"/>
      <c r="VS262" s="243"/>
      <c r="VT262" s="243"/>
      <c r="VU262" s="243"/>
      <c r="VV262" s="243"/>
      <c r="VW262" s="243"/>
      <c r="VX262" s="243"/>
      <c r="VY262" s="243"/>
      <c r="VZ262" s="243"/>
      <c r="WA262" s="243"/>
      <c r="WB262" s="243"/>
      <c r="WC262" s="243"/>
      <c r="WD262" s="243"/>
      <c r="WE262" s="243"/>
      <c r="WF262" s="243"/>
      <c r="WG262" s="243"/>
      <c r="WH262" s="243"/>
      <c r="WI262" s="243"/>
      <c r="WJ262" s="243"/>
      <c r="WK262" s="243"/>
      <c r="WL262" s="243"/>
      <c r="WM262" s="243"/>
      <c r="WN262" s="243"/>
      <c r="WO262" s="243"/>
      <c r="WP262" s="243"/>
      <c r="WQ262" s="243"/>
      <c r="WR262" s="243"/>
      <c r="WS262" s="243"/>
      <c r="WT262" s="243"/>
      <c r="WU262" s="243"/>
      <c r="WV262" s="243"/>
      <c r="WW262" s="243"/>
      <c r="WX262" s="243"/>
      <c r="WY262" s="243"/>
      <c r="WZ262" s="243"/>
      <c r="XA262" s="243"/>
      <c r="XB262" s="243"/>
      <c r="XC262" s="243"/>
      <c r="XD262" s="243"/>
      <c r="XE262" s="243"/>
      <c r="XF262" s="243"/>
      <c r="XG262" s="243"/>
      <c r="XH262" s="243"/>
      <c r="XI262" s="243"/>
      <c r="XJ262" s="243"/>
      <c r="XK262" s="243"/>
      <c r="XL262" s="243"/>
      <c r="XM262" s="243"/>
      <c r="XN262" s="243"/>
      <c r="XO262" s="243"/>
      <c r="XP262" s="243"/>
      <c r="XQ262" s="243"/>
      <c r="XR262" s="243"/>
      <c r="XS262" s="243"/>
      <c r="XT262" s="243"/>
      <c r="XU262" s="243"/>
      <c r="XV262" s="243"/>
      <c r="XW262" s="243"/>
      <c r="XX262" s="243"/>
      <c r="XY262" s="243"/>
      <c r="XZ262" s="243"/>
      <c r="YA262" s="243"/>
      <c r="YB262" s="243"/>
      <c r="YC262" s="243"/>
      <c r="YD262" s="243"/>
      <c r="YE262" s="243"/>
      <c r="YF262" s="243"/>
      <c r="YG262" s="243"/>
      <c r="YH262" s="243"/>
      <c r="YI262" s="243"/>
      <c r="YJ262" s="243"/>
      <c r="YK262" s="243"/>
      <c r="YL262" s="243"/>
      <c r="YM262" s="243"/>
      <c r="YN262" s="243"/>
      <c r="YO262" s="243"/>
      <c r="YP262" s="243"/>
      <c r="YQ262" s="243"/>
      <c r="YR262" s="243"/>
      <c r="YS262" s="243"/>
      <c r="YT262" s="243"/>
      <c r="YU262" s="243"/>
      <c r="YV262" s="243"/>
      <c r="YW262" s="243"/>
      <c r="YX262" s="243"/>
      <c r="YY262" s="243"/>
      <c r="YZ262" s="243"/>
      <c r="ZA262" s="243"/>
      <c r="ZB262" s="243"/>
      <c r="ZC262" s="243"/>
      <c r="ZD262" s="243"/>
      <c r="ZE262" s="243"/>
      <c r="ZF262" s="243"/>
      <c r="ZG262" s="243"/>
      <c r="ZH262" s="243"/>
      <c r="ZI262" s="243"/>
      <c r="ZJ262" s="243"/>
      <c r="ZK262" s="243"/>
      <c r="ZL262" s="243"/>
      <c r="ZM262" s="243"/>
      <c r="ZN262" s="243"/>
      <c r="ZO262" s="243"/>
      <c r="ZP262" s="243"/>
      <c r="ZQ262" s="243"/>
      <c r="ZR262" s="243"/>
      <c r="ZS262" s="243"/>
      <c r="ZT262" s="243"/>
      <c r="ZU262" s="243"/>
      <c r="ZV262" s="243"/>
      <c r="ZW262" s="243"/>
      <c r="ZX262" s="243"/>
      <c r="ZY262" s="243"/>
      <c r="ZZ262" s="243"/>
      <c r="AAA262" s="243"/>
      <c r="AAB262" s="243"/>
      <c r="AAC262" s="243"/>
      <c r="AAD262" s="243"/>
      <c r="AAE262" s="243"/>
      <c r="AAF262" s="243"/>
      <c r="AAG262" s="243"/>
      <c r="AAH262" s="243"/>
      <c r="AAI262" s="243"/>
      <c r="AAJ262" s="243"/>
      <c r="AAK262" s="243"/>
      <c r="AAL262" s="243"/>
      <c r="AAM262" s="243"/>
      <c r="AAN262" s="243"/>
      <c r="AAO262" s="243"/>
      <c r="AAP262" s="243"/>
      <c r="AAQ262" s="243"/>
      <c r="AAR262" s="243"/>
      <c r="AAS262" s="243"/>
      <c r="AAT262" s="243"/>
      <c r="AAU262" s="243"/>
      <c r="AAV262" s="243"/>
      <c r="AAW262" s="243"/>
      <c r="AAX262" s="243"/>
      <c r="AAY262" s="243"/>
      <c r="AAZ262" s="243"/>
      <c r="ABA262" s="243"/>
      <c r="ABB262" s="243"/>
      <c r="ABC262" s="243"/>
      <c r="ABD262" s="243"/>
      <c r="ABE262" s="243"/>
      <c r="ABF262" s="243"/>
      <c r="ABG262" s="243"/>
      <c r="ABH262" s="243"/>
      <c r="ABI262" s="243"/>
      <c r="ABJ262" s="243"/>
      <c r="ABK262" s="243"/>
      <c r="ABL262" s="243"/>
      <c r="ABM262" s="243"/>
      <c r="ABN262" s="243"/>
      <c r="ABO262" s="243"/>
      <c r="ABP262" s="243"/>
      <c r="ABQ262" s="243"/>
      <c r="ABR262" s="243"/>
      <c r="ABS262" s="243"/>
      <c r="ABT262" s="243"/>
      <c r="ABU262" s="243"/>
      <c r="ABV262" s="243"/>
      <c r="ABW262" s="243"/>
      <c r="ABX262" s="243"/>
      <c r="ABY262" s="243"/>
      <c r="ABZ262" s="243"/>
      <c r="ACA262" s="243"/>
      <c r="ACB262" s="243"/>
      <c r="ACC262" s="243"/>
      <c r="ACD262" s="243"/>
      <c r="ACE262" s="243"/>
      <c r="ACF262" s="243"/>
      <c r="ACG262" s="243"/>
      <c r="ACH262" s="243"/>
      <c r="ACI262" s="243"/>
      <c r="ACJ262" s="243"/>
      <c r="ACK262" s="243"/>
      <c r="ACL262" s="243"/>
      <c r="ACM262" s="243"/>
      <c r="ACN262" s="243"/>
      <c r="ACO262" s="243"/>
      <c r="ACP262" s="243"/>
      <c r="ACQ262" s="243"/>
      <c r="ACR262" s="243"/>
      <c r="ACS262" s="243"/>
      <c r="ACT262" s="243"/>
      <c r="ACU262" s="243"/>
      <c r="ACV262" s="243"/>
      <c r="ACW262" s="243"/>
      <c r="ACX262" s="243"/>
      <c r="ACY262" s="243"/>
      <c r="ACZ262" s="243"/>
      <c r="ADA262" s="243"/>
      <c r="ADB262" s="243"/>
      <c r="ADC262" s="243"/>
      <c r="ADD262" s="243"/>
      <c r="ADE262" s="243"/>
      <c r="ADF262" s="243"/>
      <c r="ADG262" s="243"/>
      <c r="ADH262" s="243"/>
      <c r="ADI262" s="243"/>
      <c r="ADJ262" s="243"/>
      <c r="ADK262" s="243"/>
      <c r="ADL262" s="243"/>
      <c r="ADM262" s="243"/>
      <c r="ADN262" s="243"/>
      <c r="ADO262" s="243"/>
      <c r="ADP262" s="243"/>
      <c r="ADQ262" s="243"/>
      <c r="ADR262" s="243"/>
      <c r="ADS262" s="243"/>
      <c r="ADT262" s="243"/>
      <c r="ADU262" s="243"/>
      <c r="ADV262" s="243"/>
      <c r="ADW262" s="243"/>
      <c r="ADX262" s="243"/>
      <c r="ADY262" s="243"/>
      <c r="ADZ262" s="243"/>
      <c r="AEA262" s="243"/>
      <c r="AEB262" s="243"/>
      <c r="AEC262" s="243"/>
      <c r="AED262" s="243"/>
      <c r="AEE262" s="243"/>
      <c r="AEF262" s="243"/>
      <c r="AEG262" s="243"/>
      <c r="AEH262" s="243"/>
      <c r="AEI262" s="243"/>
      <c r="AEJ262" s="243"/>
      <c r="AEK262" s="243"/>
      <c r="AEL262" s="243"/>
      <c r="AEM262" s="243"/>
      <c r="AEN262" s="243"/>
      <c r="AEO262" s="243"/>
      <c r="AEP262" s="243"/>
      <c r="AEQ262" s="243"/>
      <c r="AER262" s="243"/>
      <c r="AES262" s="243"/>
      <c r="AET262" s="243"/>
      <c r="AEU262" s="243"/>
      <c r="AEV262" s="243"/>
      <c r="AEW262" s="243"/>
      <c r="AEX262" s="243"/>
      <c r="AEY262" s="243"/>
      <c r="AEZ262" s="243"/>
      <c r="AFA262" s="243"/>
      <c r="AFB262" s="243"/>
      <c r="AFC262" s="243"/>
      <c r="AFD262" s="243"/>
      <c r="AFE262" s="243"/>
      <c r="AFF262" s="243"/>
      <c r="AFG262" s="243"/>
      <c r="AFH262" s="243"/>
      <c r="AFI262" s="243"/>
      <c r="AFJ262" s="243"/>
      <c r="AFK262" s="243"/>
      <c r="AFL262" s="243"/>
      <c r="AFM262" s="243"/>
      <c r="AFN262" s="243"/>
      <c r="AFO262" s="243"/>
      <c r="AFP262" s="243"/>
      <c r="AFQ262" s="243"/>
      <c r="AFR262" s="243"/>
      <c r="AFS262" s="243"/>
      <c r="AFT262" s="243"/>
      <c r="AFU262" s="243"/>
      <c r="AFV262" s="243"/>
      <c r="AFW262" s="243"/>
      <c r="AFX262" s="243"/>
      <c r="AFY262" s="243"/>
      <c r="AFZ262" s="243"/>
      <c r="AGA262" s="243"/>
      <c r="AGB262" s="243"/>
      <c r="AGC262" s="243"/>
      <c r="AGD262" s="243"/>
      <c r="AGE262" s="243"/>
      <c r="AGF262" s="243"/>
      <c r="AGG262" s="243"/>
      <c r="AGH262" s="243"/>
      <c r="AGI262" s="243"/>
      <c r="AGJ262" s="243"/>
      <c r="AGK262" s="243"/>
      <c r="AGL262" s="243"/>
      <c r="AGM262" s="243"/>
      <c r="AGN262" s="243"/>
      <c r="AGO262" s="243"/>
      <c r="AGP262" s="243"/>
      <c r="AGQ262" s="243"/>
      <c r="AGR262" s="243"/>
      <c r="AGS262" s="243"/>
      <c r="AGT262" s="243"/>
      <c r="AGU262" s="243"/>
      <c r="AGV262" s="243"/>
      <c r="AGW262" s="243"/>
      <c r="AGX262" s="243"/>
      <c r="AGY262" s="243"/>
      <c r="AGZ262" s="243"/>
      <c r="AHA262" s="243"/>
      <c r="AHB262" s="243"/>
      <c r="AHC262" s="243"/>
      <c r="AHD262" s="243"/>
      <c r="AHE262" s="243"/>
      <c r="AHF262" s="243"/>
      <c r="AHG262" s="243"/>
      <c r="AHH262" s="243"/>
      <c r="AHI262" s="243"/>
      <c r="AHJ262" s="243"/>
      <c r="AHK262" s="243"/>
      <c r="AHL262" s="243"/>
      <c r="AHM262" s="243"/>
      <c r="AHN262" s="243"/>
      <c r="AHO262" s="243"/>
      <c r="AHP262" s="243"/>
      <c r="AHQ262" s="243"/>
      <c r="AHR262" s="243"/>
      <c r="AHS262" s="243"/>
      <c r="AHT262" s="243"/>
      <c r="AHU262" s="243"/>
      <c r="AHV262" s="243"/>
      <c r="AHW262" s="243"/>
      <c r="AHX262" s="243"/>
      <c r="AHY262" s="243"/>
      <c r="AHZ262" s="243"/>
      <c r="AIA262" s="243"/>
      <c r="AIB262" s="243"/>
      <c r="AIC262" s="243"/>
      <c r="AID262" s="243"/>
      <c r="AIE262" s="243"/>
      <c r="AIF262" s="243"/>
      <c r="AIG262" s="243"/>
      <c r="AIH262" s="243"/>
      <c r="AII262" s="243"/>
      <c r="AIJ262" s="243"/>
      <c r="AIK262" s="243"/>
      <c r="AIL262" s="243"/>
      <c r="AIM262" s="243"/>
      <c r="AIN262" s="243"/>
      <c r="AIO262" s="243"/>
      <c r="AIP262" s="243"/>
      <c r="AIQ262" s="243"/>
      <c r="AIR262" s="243"/>
      <c r="AIS262" s="243"/>
      <c r="AIT262" s="243"/>
      <c r="AIU262" s="243"/>
      <c r="AIV262" s="243"/>
      <c r="AIW262" s="243"/>
      <c r="AIX262" s="243"/>
      <c r="AIY262" s="243"/>
      <c r="AIZ262" s="243"/>
      <c r="AJA262" s="243"/>
      <c r="AJB262" s="243"/>
      <c r="AJC262" s="243"/>
      <c r="AJD262" s="243"/>
      <c r="AJE262" s="243"/>
      <c r="AJF262" s="243"/>
      <c r="AJG262" s="243"/>
      <c r="AJH262" s="243"/>
      <c r="AJI262" s="243"/>
      <c r="AJJ262" s="243"/>
      <c r="AJK262" s="243"/>
      <c r="AJL262" s="243"/>
      <c r="AJM262" s="243"/>
      <c r="AJN262" s="243"/>
      <c r="AJO262" s="243"/>
      <c r="AJP262" s="243"/>
      <c r="AJQ262" s="243"/>
      <c r="AJR262" s="243"/>
      <c r="AJS262" s="243"/>
      <c r="AJT262" s="243"/>
      <c r="AJU262" s="243"/>
      <c r="AJV262" s="243"/>
      <c r="AJW262" s="243"/>
      <c r="AJX262" s="243"/>
      <c r="AJY262" s="243"/>
      <c r="AJZ262" s="243"/>
      <c r="AKA262" s="243"/>
      <c r="AKB262" s="243"/>
      <c r="AKC262" s="243"/>
      <c r="AKD262" s="243"/>
      <c r="AKE262" s="243"/>
      <c r="AKF262" s="243"/>
      <c r="AKG262" s="243"/>
      <c r="AKH262" s="243"/>
      <c r="AKI262" s="243"/>
      <c r="AKJ262" s="243"/>
      <c r="AKK262" s="243"/>
      <c r="AKL262" s="243"/>
      <c r="AKM262" s="243"/>
      <c r="AKN262" s="243"/>
      <c r="AKO262" s="243"/>
      <c r="AKP262" s="243"/>
      <c r="AKQ262" s="243"/>
      <c r="AKR262" s="243"/>
      <c r="AKS262" s="243"/>
      <c r="AKT262" s="243"/>
      <c r="AKU262" s="243"/>
      <c r="AKV262" s="243"/>
      <c r="AKW262" s="243"/>
      <c r="AKX262" s="243"/>
      <c r="AKY262" s="243"/>
      <c r="AKZ262" s="243"/>
      <c r="ALA262" s="243"/>
      <c r="ALB262" s="243"/>
      <c r="ALC262" s="243"/>
      <c r="ALD262" s="243"/>
      <c r="ALE262" s="243"/>
      <c r="ALF262" s="243"/>
      <c r="ALG262" s="243"/>
      <c r="ALH262" s="243"/>
      <c r="ALI262" s="243"/>
      <c r="ALJ262" s="243"/>
      <c r="ALK262" s="243"/>
      <c r="ALL262" s="243"/>
      <c r="ALM262" s="243"/>
      <c r="ALN262" s="243"/>
      <c r="ALO262" s="243"/>
      <c r="ALP262" s="243"/>
      <c r="ALQ262" s="243"/>
      <c r="ALR262" s="243"/>
      <c r="ALS262" s="243"/>
      <c r="ALT262" s="243"/>
      <c r="ALU262" s="243"/>
      <c r="ALV262" s="243"/>
      <c r="ALW262" s="243"/>
      <c r="ALX262" s="243"/>
      <c r="ALY262" s="243"/>
      <c r="ALZ262" s="243"/>
      <c r="AMA262" s="243"/>
      <c r="AMB262" s="243"/>
      <c r="AMC262" s="243"/>
      <c r="AMD262" s="243"/>
      <c r="AME262" s="243"/>
      <c r="AMF262" s="243"/>
      <c r="AMG262" s="243"/>
      <c r="AMH262" s="243"/>
      <c r="AMI262" s="244"/>
      <c r="AMJ262" s="244"/>
    </row>
    <row r="263" spans="1:1024" ht="43.5">
      <c r="A263" s="1027"/>
      <c r="B263" s="1027"/>
      <c r="C263" s="1027"/>
      <c r="D263" s="1027"/>
      <c r="E263" s="392"/>
      <c r="F263" s="390"/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243"/>
      <c r="S263" s="243"/>
      <c r="T263" s="243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3"/>
      <c r="AG263" s="243"/>
      <c r="AH263" s="243"/>
      <c r="AI263" s="243"/>
      <c r="AJ263" s="243"/>
      <c r="AK263" s="243"/>
      <c r="AL263" s="243"/>
      <c r="AM263" s="243"/>
      <c r="AN263" s="243"/>
      <c r="AO263" s="243"/>
      <c r="AP263" s="243"/>
      <c r="AQ263" s="243"/>
      <c r="AR263" s="243"/>
      <c r="AS263" s="243"/>
      <c r="AT263" s="243"/>
      <c r="AU263" s="243"/>
      <c r="AV263" s="243"/>
      <c r="AW263" s="243"/>
      <c r="AX263" s="243"/>
      <c r="AY263" s="243"/>
      <c r="AZ263" s="243"/>
      <c r="BA263" s="243"/>
      <c r="BB263" s="243"/>
      <c r="BC263" s="243"/>
      <c r="BD263" s="243"/>
      <c r="BE263" s="243"/>
      <c r="BF263" s="243"/>
      <c r="BG263" s="243"/>
      <c r="BH263" s="243"/>
      <c r="BI263" s="243"/>
      <c r="BJ263" s="243"/>
      <c r="BK263" s="243"/>
      <c r="BL263" s="243"/>
      <c r="BM263" s="243"/>
      <c r="BN263" s="243"/>
      <c r="BO263" s="243"/>
      <c r="BP263" s="243"/>
      <c r="BQ263" s="243"/>
      <c r="BR263" s="243"/>
      <c r="BS263" s="243"/>
      <c r="BT263" s="243"/>
      <c r="BU263" s="243"/>
      <c r="BV263" s="243"/>
      <c r="BW263" s="243"/>
      <c r="BX263" s="243"/>
      <c r="BY263" s="243"/>
      <c r="BZ263" s="243"/>
      <c r="CA263" s="243"/>
      <c r="CB263" s="243"/>
      <c r="CC263" s="243"/>
      <c r="CD263" s="243"/>
      <c r="CE263" s="243"/>
      <c r="CF263" s="243"/>
      <c r="CG263" s="243"/>
      <c r="CH263" s="243"/>
      <c r="CI263" s="243"/>
      <c r="CJ263" s="243"/>
      <c r="CK263" s="243"/>
      <c r="CL263" s="243"/>
      <c r="CM263" s="243"/>
      <c r="CN263" s="243"/>
      <c r="CO263" s="243"/>
      <c r="CP263" s="243"/>
      <c r="CQ263" s="243"/>
      <c r="CR263" s="243"/>
      <c r="CS263" s="243"/>
      <c r="CT263" s="243"/>
      <c r="CU263" s="243"/>
      <c r="CV263" s="243"/>
      <c r="CW263" s="243"/>
      <c r="CX263" s="243"/>
      <c r="CY263" s="243"/>
      <c r="CZ263" s="243"/>
      <c r="DA263" s="243"/>
      <c r="DB263" s="243"/>
      <c r="DC263" s="243"/>
      <c r="DD263" s="243"/>
      <c r="DE263" s="243"/>
      <c r="DF263" s="243"/>
      <c r="DG263" s="243"/>
      <c r="DH263" s="243"/>
      <c r="DI263" s="243"/>
      <c r="DJ263" s="243"/>
      <c r="DK263" s="243"/>
      <c r="DL263" s="243"/>
      <c r="DM263" s="243"/>
      <c r="DN263" s="243"/>
      <c r="DO263" s="243"/>
      <c r="DP263" s="243"/>
      <c r="DQ263" s="243"/>
      <c r="DR263" s="243"/>
      <c r="DS263" s="243"/>
      <c r="DT263" s="243"/>
      <c r="DU263" s="243"/>
      <c r="DV263" s="243"/>
      <c r="DW263" s="243"/>
      <c r="DX263" s="243"/>
      <c r="DY263" s="243"/>
      <c r="DZ263" s="243"/>
      <c r="EA263" s="243"/>
      <c r="EB263" s="243"/>
      <c r="EC263" s="243"/>
      <c r="ED263" s="243"/>
      <c r="EE263" s="243"/>
      <c r="EF263" s="243"/>
      <c r="EG263" s="243"/>
      <c r="EH263" s="243"/>
      <c r="EI263" s="243"/>
      <c r="EJ263" s="243"/>
      <c r="EK263" s="243"/>
      <c r="EL263" s="243"/>
      <c r="EM263" s="243"/>
      <c r="EN263" s="243"/>
      <c r="EO263" s="243"/>
      <c r="EP263" s="243"/>
      <c r="EQ263" s="243"/>
      <c r="ER263" s="243"/>
      <c r="ES263" s="243"/>
      <c r="ET263" s="243"/>
      <c r="EU263" s="243"/>
      <c r="EV263" s="243"/>
      <c r="EW263" s="243"/>
      <c r="EX263" s="243"/>
      <c r="EY263" s="243"/>
      <c r="EZ263" s="243"/>
      <c r="FA263" s="243"/>
      <c r="FB263" s="243"/>
      <c r="FC263" s="243"/>
      <c r="FD263" s="243"/>
      <c r="FE263" s="243"/>
      <c r="FF263" s="243"/>
      <c r="FG263" s="243"/>
      <c r="FH263" s="243"/>
      <c r="FI263" s="243"/>
      <c r="FJ263" s="243"/>
      <c r="FK263" s="243"/>
      <c r="FL263" s="243"/>
      <c r="FM263" s="243"/>
      <c r="FN263" s="243"/>
      <c r="FO263" s="243"/>
      <c r="FP263" s="243"/>
      <c r="FQ263" s="243"/>
      <c r="FR263" s="243"/>
      <c r="FS263" s="243"/>
      <c r="FT263" s="243"/>
      <c r="FU263" s="243"/>
      <c r="FV263" s="243"/>
      <c r="FW263" s="243"/>
      <c r="FX263" s="243"/>
      <c r="FY263" s="243"/>
      <c r="FZ263" s="243"/>
      <c r="GA263" s="243"/>
      <c r="GB263" s="243"/>
      <c r="GC263" s="243"/>
      <c r="GD263" s="243"/>
      <c r="GE263" s="243"/>
      <c r="GF263" s="243"/>
      <c r="GG263" s="243"/>
      <c r="GH263" s="243"/>
      <c r="GI263" s="243"/>
      <c r="GJ263" s="243"/>
      <c r="GK263" s="243"/>
      <c r="GL263" s="243"/>
      <c r="GM263" s="243"/>
      <c r="GN263" s="243"/>
      <c r="GO263" s="243"/>
      <c r="GP263" s="243"/>
      <c r="GQ263" s="243"/>
      <c r="GR263" s="243"/>
      <c r="GS263" s="243"/>
      <c r="GT263" s="243"/>
      <c r="GU263" s="243"/>
      <c r="GV263" s="243"/>
      <c r="GW263" s="243"/>
      <c r="GX263" s="243"/>
      <c r="GY263" s="243"/>
      <c r="GZ263" s="243"/>
      <c r="HA263" s="243"/>
      <c r="HB263" s="243"/>
      <c r="HC263" s="243"/>
      <c r="HD263" s="243"/>
      <c r="HE263" s="243"/>
      <c r="HF263" s="243"/>
      <c r="HG263" s="243"/>
      <c r="HH263" s="243"/>
      <c r="HI263" s="243"/>
      <c r="HJ263" s="243"/>
      <c r="HK263" s="243"/>
      <c r="HL263" s="243"/>
      <c r="HM263" s="243"/>
      <c r="HN263" s="243"/>
      <c r="HO263" s="243"/>
      <c r="HP263" s="243"/>
      <c r="HQ263" s="243"/>
      <c r="HR263" s="243"/>
      <c r="HS263" s="243"/>
      <c r="HT263" s="243"/>
      <c r="HU263" s="243"/>
      <c r="HV263" s="243"/>
      <c r="HW263" s="243"/>
      <c r="HX263" s="243"/>
      <c r="HY263" s="243"/>
      <c r="HZ263" s="243"/>
      <c r="IA263" s="243"/>
      <c r="IB263" s="243"/>
      <c r="IC263" s="243"/>
      <c r="ID263" s="243"/>
      <c r="IE263" s="243"/>
      <c r="IF263" s="243"/>
      <c r="IG263" s="243"/>
      <c r="IH263" s="243"/>
      <c r="II263" s="243"/>
      <c r="IJ263" s="243"/>
      <c r="IK263" s="243"/>
      <c r="IL263" s="243"/>
      <c r="IM263" s="243"/>
      <c r="IN263" s="243"/>
      <c r="IO263" s="243"/>
      <c r="IP263" s="243"/>
      <c r="IQ263" s="243"/>
      <c r="IR263" s="243"/>
      <c r="IS263" s="243"/>
      <c r="IT263" s="243"/>
      <c r="IU263" s="243"/>
      <c r="IV263" s="243"/>
      <c r="IW263" s="243"/>
      <c r="IX263" s="243"/>
      <c r="IY263" s="243"/>
      <c r="IZ263" s="243"/>
      <c r="JA263" s="243"/>
      <c r="JB263" s="243"/>
      <c r="JC263" s="243"/>
      <c r="JD263" s="243"/>
      <c r="JE263" s="243"/>
      <c r="JF263" s="243"/>
      <c r="JG263" s="243"/>
      <c r="JH263" s="243"/>
      <c r="JI263" s="243"/>
      <c r="JJ263" s="243"/>
      <c r="JK263" s="243"/>
      <c r="JL263" s="243"/>
      <c r="JM263" s="243"/>
      <c r="JN263" s="243"/>
      <c r="JO263" s="243"/>
      <c r="JP263" s="243"/>
      <c r="JQ263" s="243"/>
      <c r="JR263" s="243"/>
      <c r="JS263" s="243"/>
      <c r="JT263" s="243"/>
      <c r="JU263" s="243"/>
      <c r="JV263" s="243"/>
      <c r="JW263" s="243"/>
      <c r="JX263" s="243"/>
      <c r="JY263" s="243"/>
      <c r="JZ263" s="243"/>
      <c r="KA263" s="243"/>
      <c r="KB263" s="243"/>
      <c r="KC263" s="243"/>
      <c r="KD263" s="243"/>
      <c r="KE263" s="243"/>
      <c r="KF263" s="243"/>
      <c r="KG263" s="243"/>
      <c r="KH263" s="243"/>
      <c r="KI263" s="243"/>
      <c r="KJ263" s="243"/>
      <c r="KK263" s="243"/>
      <c r="KL263" s="243"/>
      <c r="KM263" s="243"/>
      <c r="KN263" s="243"/>
      <c r="KO263" s="243"/>
      <c r="KP263" s="243"/>
      <c r="KQ263" s="243"/>
      <c r="KR263" s="243"/>
      <c r="KS263" s="243"/>
      <c r="KT263" s="243"/>
      <c r="KU263" s="243"/>
      <c r="KV263" s="243"/>
      <c r="KW263" s="243"/>
      <c r="KX263" s="243"/>
      <c r="KY263" s="243"/>
      <c r="KZ263" s="243"/>
      <c r="LA263" s="243"/>
      <c r="LB263" s="243"/>
      <c r="LC263" s="243"/>
      <c r="LD263" s="243"/>
      <c r="LE263" s="243"/>
      <c r="LF263" s="243"/>
      <c r="LG263" s="243"/>
      <c r="LH263" s="243"/>
      <c r="LI263" s="243"/>
      <c r="LJ263" s="243"/>
      <c r="LK263" s="243"/>
      <c r="LL263" s="243"/>
      <c r="LM263" s="243"/>
      <c r="LN263" s="243"/>
      <c r="LO263" s="243"/>
      <c r="LP263" s="243"/>
      <c r="LQ263" s="243"/>
      <c r="LR263" s="243"/>
      <c r="LS263" s="243"/>
      <c r="LT263" s="243"/>
      <c r="LU263" s="243"/>
      <c r="LV263" s="243"/>
      <c r="LW263" s="243"/>
      <c r="LX263" s="243"/>
      <c r="LY263" s="243"/>
      <c r="LZ263" s="243"/>
      <c r="MA263" s="243"/>
      <c r="MB263" s="243"/>
      <c r="MC263" s="243"/>
      <c r="MD263" s="243"/>
      <c r="ME263" s="243"/>
      <c r="MF263" s="243"/>
      <c r="MG263" s="243"/>
      <c r="MH263" s="243"/>
      <c r="MI263" s="243"/>
      <c r="MJ263" s="243"/>
      <c r="MK263" s="243"/>
      <c r="ML263" s="243"/>
      <c r="MM263" s="243"/>
      <c r="MN263" s="243"/>
      <c r="MO263" s="243"/>
      <c r="MP263" s="243"/>
      <c r="MQ263" s="243"/>
      <c r="MR263" s="243"/>
      <c r="MS263" s="243"/>
      <c r="MT263" s="243"/>
      <c r="MU263" s="243"/>
      <c r="MV263" s="243"/>
      <c r="MW263" s="243"/>
      <c r="MX263" s="243"/>
      <c r="MY263" s="243"/>
      <c r="MZ263" s="243"/>
      <c r="NA263" s="243"/>
      <c r="NB263" s="243"/>
      <c r="NC263" s="243"/>
      <c r="ND263" s="243"/>
      <c r="NE263" s="243"/>
      <c r="NF263" s="243"/>
      <c r="NG263" s="243"/>
      <c r="NH263" s="243"/>
      <c r="NI263" s="243"/>
      <c r="NJ263" s="243"/>
      <c r="NK263" s="243"/>
      <c r="NL263" s="243"/>
      <c r="NM263" s="243"/>
      <c r="NN263" s="243"/>
      <c r="NO263" s="243"/>
      <c r="NP263" s="243"/>
      <c r="NQ263" s="243"/>
      <c r="NR263" s="243"/>
      <c r="NS263" s="243"/>
      <c r="NT263" s="243"/>
      <c r="NU263" s="243"/>
      <c r="NV263" s="243"/>
      <c r="NW263" s="243"/>
      <c r="NX263" s="243"/>
      <c r="NY263" s="243"/>
      <c r="NZ263" s="243"/>
      <c r="OA263" s="243"/>
      <c r="OB263" s="243"/>
      <c r="OC263" s="243"/>
      <c r="OD263" s="243"/>
      <c r="OE263" s="243"/>
      <c r="OF263" s="243"/>
      <c r="OG263" s="243"/>
      <c r="OH263" s="243"/>
      <c r="OI263" s="243"/>
      <c r="OJ263" s="243"/>
      <c r="OK263" s="243"/>
      <c r="OL263" s="243"/>
      <c r="OM263" s="243"/>
      <c r="ON263" s="243"/>
      <c r="OO263" s="243"/>
      <c r="OP263" s="243"/>
      <c r="OQ263" s="243"/>
      <c r="OR263" s="243"/>
      <c r="OS263" s="243"/>
      <c r="OT263" s="243"/>
      <c r="OU263" s="243"/>
      <c r="OV263" s="243"/>
      <c r="OW263" s="243"/>
      <c r="OX263" s="243"/>
      <c r="OY263" s="243"/>
      <c r="OZ263" s="243"/>
      <c r="PA263" s="243"/>
      <c r="PB263" s="243"/>
      <c r="PC263" s="243"/>
      <c r="PD263" s="243"/>
      <c r="PE263" s="243"/>
      <c r="PF263" s="243"/>
      <c r="PG263" s="243"/>
      <c r="PH263" s="243"/>
      <c r="PI263" s="243"/>
      <c r="PJ263" s="243"/>
      <c r="PK263" s="243"/>
      <c r="PL263" s="243"/>
      <c r="PM263" s="243"/>
      <c r="PN263" s="243"/>
      <c r="PO263" s="243"/>
      <c r="PP263" s="243"/>
      <c r="PQ263" s="243"/>
      <c r="PR263" s="243"/>
      <c r="PS263" s="243"/>
      <c r="PT263" s="243"/>
      <c r="PU263" s="243"/>
      <c r="PV263" s="243"/>
      <c r="PW263" s="243"/>
      <c r="PX263" s="243"/>
      <c r="PY263" s="243"/>
      <c r="PZ263" s="243"/>
      <c r="QA263" s="243"/>
      <c r="QB263" s="243"/>
      <c r="QC263" s="243"/>
      <c r="QD263" s="243"/>
      <c r="QE263" s="243"/>
      <c r="QF263" s="243"/>
      <c r="QG263" s="243"/>
      <c r="QH263" s="243"/>
      <c r="QI263" s="243"/>
      <c r="QJ263" s="243"/>
      <c r="QK263" s="243"/>
      <c r="QL263" s="243"/>
      <c r="QM263" s="243"/>
      <c r="QN263" s="243"/>
      <c r="QO263" s="243"/>
      <c r="QP263" s="243"/>
      <c r="QQ263" s="243"/>
      <c r="QR263" s="243"/>
      <c r="QS263" s="243"/>
      <c r="QT263" s="243"/>
      <c r="QU263" s="243"/>
      <c r="QV263" s="243"/>
      <c r="QW263" s="243"/>
      <c r="QX263" s="243"/>
      <c r="QY263" s="243"/>
      <c r="QZ263" s="243"/>
      <c r="RA263" s="243"/>
      <c r="RB263" s="243"/>
      <c r="RC263" s="243"/>
      <c r="RD263" s="243"/>
      <c r="RE263" s="243"/>
      <c r="RF263" s="243"/>
      <c r="RG263" s="243"/>
      <c r="RH263" s="243"/>
      <c r="RI263" s="243"/>
      <c r="RJ263" s="243"/>
      <c r="RK263" s="243"/>
      <c r="RL263" s="243"/>
      <c r="RM263" s="243"/>
      <c r="RN263" s="243"/>
      <c r="RO263" s="243"/>
      <c r="RP263" s="243"/>
      <c r="RQ263" s="243"/>
      <c r="RR263" s="243"/>
      <c r="RS263" s="243"/>
      <c r="RT263" s="243"/>
      <c r="RU263" s="243"/>
      <c r="RV263" s="243"/>
      <c r="RW263" s="243"/>
      <c r="RX263" s="243"/>
      <c r="RY263" s="243"/>
      <c r="RZ263" s="243"/>
      <c r="SA263" s="243"/>
      <c r="SB263" s="243"/>
      <c r="SC263" s="243"/>
      <c r="SD263" s="243"/>
      <c r="SE263" s="243"/>
      <c r="SF263" s="243"/>
      <c r="SG263" s="243"/>
      <c r="SH263" s="243"/>
      <c r="SI263" s="243"/>
      <c r="SJ263" s="243"/>
      <c r="SK263" s="243"/>
      <c r="SL263" s="243"/>
      <c r="SM263" s="243"/>
      <c r="SN263" s="243"/>
      <c r="SO263" s="243"/>
      <c r="SP263" s="243"/>
      <c r="SQ263" s="243"/>
      <c r="SR263" s="243"/>
      <c r="SS263" s="243"/>
      <c r="ST263" s="243"/>
      <c r="SU263" s="243"/>
      <c r="SV263" s="243"/>
      <c r="SW263" s="243"/>
      <c r="SX263" s="243"/>
      <c r="SY263" s="243"/>
      <c r="SZ263" s="243"/>
      <c r="TA263" s="243"/>
      <c r="TB263" s="243"/>
      <c r="TC263" s="243"/>
      <c r="TD263" s="243"/>
      <c r="TE263" s="243"/>
      <c r="TF263" s="243"/>
      <c r="TG263" s="243"/>
      <c r="TH263" s="243"/>
      <c r="TI263" s="243"/>
      <c r="TJ263" s="243"/>
      <c r="TK263" s="243"/>
      <c r="TL263" s="243"/>
      <c r="TM263" s="243"/>
      <c r="TN263" s="243"/>
      <c r="TO263" s="243"/>
      <c r="TP263" s="243"/>
      <c r="TQ263" s="243"/>
      <c r="TR263" s="243"/>
      <c r="TS263" s="243"/>
      <c r="TT263" s="243"/>
      <c r="TU263" s="243"/>
      <c r="TV263" s="243"/>
      <c r="TW263" s="243"/>
      <c r="TX263" s="243"/>
      <c r="TY263" s="243"/>
      <c r="TZ263" s="243"/>
      <c r="UA263" s="243"/>
      <c r="UB263" s="243"/>
      <c r="UC263" s="243"/>
      <c r="UD263" s="243"/>
      <c r="UE263" s="243"/>
      <c r="UF263" s="243"/>
      <c r="UG263" s="243"/>
      <c r="UH263" s="243"/>
      <c r="UI263" s="243"/>
      <c r="UJ263" s="243"/>
      <c r="UK263" s="243"/>
      <c r="UL263" s="243"/>
      <c r="UM263" s="243"/>
      <c r="UN263" s="243"/>
      <c r="UO263" s="243"/>
      <c r="UP263" s="243"/>
      <c r="UQ263" s="243"/>
      <c r="UR263" s="243"/>
      <c r="US263" s="243"/>
      <c r="UT263" s="243"/>
      <c r="UU263" s="243"/>
      <c r="UV263" s="243"/>
      <c r="UW263" s="243"/>
      <c r="UX263" s="243"/>
      <c r="UY263" s="243"/>
      <c r="UZ263" s="243"/>
      <c r="VA263" s="243"/>
      <c r="VB263" s="243"/>
      <c r="VC263" s="243"/>
      <c r="VD263" s="243"/>
      <c r="VE263" s="243"/>
      <c r="VF263" s="243"/>
      <c r="VG263" s="243"/>
      <c r="VH263" s="243"/>
      <c r="VI263" s="243"/>
      <c r="VJ263" s="243"/>
      <c r="VK263" s="243"/>
      <c r="VL263" s="243"/>
      <c r="VM263" s="243"/>
      <c r="VN263" s="243"/>
      <c r="VO263" s="243"/>
      <c r="VP263" s="243"/>
      <c r="VQ263" s="243"/>
      <c r="VR263" s="243"/>
      <c r="VS263" s="243"/>
      <c r="VT263" s="243"/>
      <c r="VU263" s="243"/>
      <c r="VV263" s="243"/>
      <c r="VW263" s="243"/>
      <c r="VX263" s="243"/>
      <c r="VY263" s="243"/>
      <c r="VZ263" s="243"/>
      <c r="WA263" s="243"/>
      <c r="WB263" s="243"/>
      <c r="WC263" s="243"/>
      <c r="WD263" s="243"/>
      <c r="WE263" s="243"/>
      <c r="WF263" s="243"/>
      <c r="WG263" s="243"/>
      <c r="WH263" s="243"/>
      <c r="WI263" s="243"/>
      <c r="WJ263" s="243"/>
      <c r="WK263" s="243"/>
      <c r="WL263" s="243"/>
      <c r="WM263" s="243"/>
      <c r="WN263" s="243"/>
      <c r="WO263" s="243"/>
      <c r="WP263" s="243"/>
      <c r="WQ263" s="243"/>
      <c r="WR263" s="243"/>
      <c r="WS263" s="243"/>
      <c r="WT263" s="243"/>
      <c r="WU263" s="243"/>
      <c r="WV263" s="243"/>
      <c r="WW263" s="243"/>
      <c r="WX263" s="243"/>
      <c r="WY263" s="243"/>
      <c r="WZ263" s="243"/>
      <c r="XA263" s="243"/>
      <c r="XB263" s="243"/>
      <c r="XC263" s="243"/>
      <c r="XD263" s="243"/>
      <c r="XE263" s="243"/>
      <c r="XF263" s="243"/>
      <c r="XG263" s="243"/>
      <c r="XH263" s="243"/>
      <c r="XI263" s="243"/>
      <c r="XJ263" s="243"/>
      <c r="XK263" s="243"/>
      <c r="XL263" s="243"/>
      <c r="XM263" s="243"/>
      <c r="XN263" s="243"/>
      <c r="XO263" s="243"/>
      <c r="XP263" s="243"/>
      <c r="XQ263" s="243"/>
      <c r="XR263" s="243"/>
      <c r="XS263" s="243"/>
      <c r="XT263" s="243"/>
      <c r="XU263" s="243"/>
      <c r="XV263" s="243"/>
      <c r="XW263" s="243"/>
      <c r="XX263" s="243"/>
      <c r="XY263" s="243"/>
      <c r="XZ263" s="243"/>
      <c r="YA263" s="243"/>
      <c r="YB263" s="243"/>
      <c r="YC263" s="243"/>
      <c r="YD263" s="243"/>
      <c r="YE263" s="243"/>
      <c r="YF263" s="243"/>
      <c r="YG263" s="243"/>
      <c r="YH263" s="243"/>
      <c r="YI263" s="243"/>
      <c r="YJ263" s="243"/>
      <c r="YK263" s="243"/>
      <c r="YL263" s="243"/>
      <c r="YM263" s="243"/>
      <c r="YN263" s="243"/>
      <c r="YO263" s="243"/>
      <c r="YP263" s="243"/>
      <c r="YQ263" s="243"/>
      <c r="YR263" s="243"/>
      <c r="YS263" s="243"/>
      <c r="YT263" s="243"/>
      <c r="YU263" s="243"/>
      <c r="YV263" s="243"/>
      <c r="YW263" s="243"/>
      <c r="YX263" s="243"/>
      <c r="YY263" s="243"/>
      <c r="YZ263" s="243"/>
      <c r="ZA263" s="243"/>
      <c r="ZB263" s="243"/>
      <c r="ZC263" s="243"/>
      <c r="ZD263" s="243"/>
      <c r="ZE263" s="243"/>
      <c r="ZF263" s="243"/>
      <c r="ZG263" s="243"/>
      <c r="ZH263" s="243"/>
      <c r="ZI263" s="243"/>
      <c r="ZJ263" s="243"/>
      <c r="ZK263" s="243"/>
      <c r="ZL263" s="243"/>
      <c r="ZM263" s="243"/>
      <c r="ZN263" s="243"/>
      <c r="ZO263" s="243"/>
      <c r="ZP263" s="243"/>
      <c r="ZQ263" s="243"/>
      <c r="ZR263" s="243"/>
      <c r="ZS263" s="243"/>
      <c r="ZT263" s="243"/>
      <c r="ZU263" s="243"/>
      <c r="ZV263" s="243"/>
      <c r="ZW263" s="243"/>
      <c r="ZX263" s="243"/>
      <c r="ZY263" s="243"/>
      <c r="ZZ263" s="243"/>
      <c r="AAA263" s="243"/>
      <c r="AAB263" s="243"/>
      <c r="AAC263" s="243"/>
      <c r="AAD263" s="243"/>
      <c r="AAE263" s="243"/>
      <c r="AAF263" s="243"/>
      <c r="AAG263" s="243"/>
      <c r="AAH263" s="243"/>
      <c r="AAI263" s="243"/>
      <c r="AAJ263" s="243"/>
      <c r="AAK263" s="243"/>
      <c r="AAL263" s="243"/>
      <c r="AAM263" s="243"/>
      <c r="AAN263" s="243"/>
      <c r="AAO263" s="243"/>
      <c r="AAP263" s="243"/>
      <c r="AAQ263" s="243"/>
      <c r="AAR263" s="243"/>
      <c r="AAS263" s="243"/>
      <c r="AAT263" s="243"/>
      <c r="AAU263" s="243"/>
      <c r="AAV263" s="243"/>
      <c r="AAW263" s="243"/>
      <c r="AAX263" s="243"/>
      <c r="AAY263" s="243"/>
      <c r="AAZ263" s="243"/>
      <c r="ABA263" s="243"/>
      <c r="ABB263" s="243"/>
      <c r="ABC263" s="243"/>
      <c r="ABD263" s="243"/>
      <c r="ABE263" s="243"/>
      <c r="ABF263" s="243"/>
      <c r="ABG263" s="243"/>
      <c r="ABH263" s="243"/>
      <c r="ABI263" s="243"/>
      <c r="ABJ263" s="243"/>
      <c r="ABK263" s="243"/>
      <c r="ABL263" s="243"/>
      <c r="ABM263" s="243"/>
      <c r="ABN263" s="243"/>
      <c r="ABO263" s="243"/>
      <c r="ABP263" s="243"/>
      <c r="ABQ263" s="243"/>
      <c r="ABR263" s="243"/>
      <c r="ABS263" s="243"/>
      <c r="ABT263" s="243"/>
      <c r="ABU263" s="243"/>
      <c r="ABV263" s="243"/>
      <c r="ABW263" s="243"/>
      <c r="ABX263" s="243"/>
      <c r="ABY263" s="243"/>
      <c r="ABZ263" s="243"/>
      <c r="ACA263" s="243"/>
      <c r="ACB263" s="243"/>
      <c r="ACC263" s="243"/>
      <c r="ACD263" s="243"/>
      <c r="ACE263" s="243"/>
      <c r="ACF263" s="243"/>
      <c r="ACG263" s="243"/>
      <c r="ACH263" s="243"/>
      <c r="ACI263" s="243"/>
      <c r="ACJ263" s="243"/>
      <c r="ACK263" s="243"/>
      <c r="ACL263" s="243"/>
      <c r="ACM263" s="243"/>
      <c r="ACN263" s="243"/>
      <c r="ACO263" s="243"/>
      <c r="ACP263" s="243"/>
      <c r="ACQ263" s="243"/>
      <c r="ACR263" s="243"/>
      <c r="ACS263" s="243"/>
      <c r="ACT263" s="243"/>
      <c r="ACU263" s="243"/>
      <c r="ACV263" s="243"/>
      <c r="ACW263" s="243"/>
      <c r="ACX263" s="243"/>
      <c r="ACY263" s="243"/>
      <c r="ACZ263" s="243"/>
      <c r="ADA263" s="243"/>
      <c r="ADB263" s="243"/>
      <c r="ADC263" s="243"/>
      <c r="ADD263" s="243"/>
      <c r="ADE263" s="243"/>
      <c r="ADF263" s="243"/>
      <c r="ADG263" s="243"/>
      <c r="ADH263" s="243"/>
      <c r="ADI263" s="243"/>
      <c r="ADJ263" s="243"/>
      <c r="ADK263" s="243"/>
      <c r="ADL263" s="243"/>
      <c r="ADM263" s="243"/>
      <c r="ADN263" s="243"/>
      <c r="ADO263" s="243"/>
      <c r="ADP263" s="243"/>
      <c r="ADQ263" s="243"/>
      <c r="ADR263" s="243"/>
      <c r="ADS263" s="243"/>
      <c r="ADT263" s="243"/>
      <c r="ADU263" s="243"/>
      <c r="ADV263" s="243"/>
      <c r="ADW263" s="243"/>
      <c r="ADX263" s="243"/>
      <c r="ADY263" s="243"/>
      <c r="ADZ263" s="243"/>
      <c r="AEA263" s="243"/>
      <c r="AEB263" s="243"/>
      <c r="AEC263" s="243"/>
      <c r="AED263" s="243"/>
      <c r="AEE263" s="243"/>
      <c r="AEF263" s="243"/>
      <c r="AEG263" s="243"/>
      <c r="AEH263" s="243"/>
      <c r="AEI263" s="243"/>
      <c r="AEJ263" s="243"/>
      <c r="AEK263" s="243"/>
      <c r="AEL263" s="243"/>
      <c r="AEM263" s="243"/>
      <c r="AEN263" s="243"/>
      <c r="AEO263" s="243"/>
      <c r="AEP263" s="243"/>
      <c r="AEQ263" s="243"/>
      <c r="AER263" s="243"/>
      <c r="AES263" s="243"/>
      <c r="AET263" s="243"/>
      <c r="AEU263" s="243"/>
      <c r="AEV263" s="243"/>
      <c r="AEW263" s="243"/>
      <c r="AEX263" s="243"/>
      <c r="AEY263" s="243"/>
      <c r="AEZ263" s="243"/>
      <c r="AFA263" s="243"/>
      <c r="AFB263" s="243"/>
      <c r="AFC263" s="243"/>
      <c r="AFD263" s="243"/>
      <c r="AFE263" s="243"/>
      <c r="AFF263" s="243"/>
      <c r="AFG263" s="243"/>
      <c r="AFH263" s="243"/>
      <c r="AFI263" s="243"/>
      <c r="AFJ263" s="243"/>
      <c r="AFK263" s="243"/>
      <c r="AFL263" s="243"/>
      <c r="AFM263" s="243"/>
      <c r="AFN263" s="243"/>
      <c r="AFO263" s="243"/>
      <c r="AFP263" s="243"/>
      <c r="AFQ263" s="243"/>
      <c r="AFR263" s="243"/>
      <c r="AFS263" s="243"/>
      <c r="AFT263" s="243"/>
      <c r="AFU263" s="243"/>
      <c r="AFV263" s="243"/>
      <c r="AFW263" s="243"/>
      <c r="AFX263" s="243"/>
      <c r="AFY263" s="243"/>
      <c r="AFZ263" s="243"/>
      <c r="AGA263" s="243"/>
      <c r="AGB263" s="243"/>
      <c r="AGC263" s="243"/>
      <c r="AGD263" s="243"/>
      <c r="AGE263" s="243"/>
      <c r="AGF263" s="243"/>
      <c r="AGG263" s="243"/>
      <c r="AGH263" s="243"/>
      <c r="AGI263" s="243"/>
      <c r="AGJ263" s="243"/>
      <c r="AGK263" s="243"/>
      <c r="AGL263" s="243"/>
      <c r="AGM263" s="243"/>
      <c r="AGN263" s="243"/>
      <c r="AGO263" s="243"/>
      <c r="AGP263" s="243"/>
      <c r="AGQ263" s="243"/>
      <c r="AGR263" s="243"/>
      <c r="AGS263" s="243"/>
      <c r="AGT263" s="243"/>
      <c r="AGU263" s="243"/>
      <c r="AGV263" s="243"/>
      <c r="AGW263" s="243"/>
      <c r="AGX263" s="243"/>
      <c r="AGY263" s="243"/>
      <c r="AGZ263" s="243"/>
      <c r="AHA263" s="243"/>
      <c r="AHB263" s="243"/>
      <c r="AHC263" s="243"/>
      <c r="AHD263" s="243"/>
      <c r="AHE263" s="243"/>
      <c r="AHF263" s="243"/>
      <c r="AHG263" s="243"/>
      <c r="AHH263" s="243"/>
      <c r="AHI263" s="243"/>
      <c r="AHJ263" s="243"/>
      <c r="AHK263" s="243"/>
      <c r="AHL263" s="243"/>
      <c r="AHM263" s="243"/>
      <c r="AHN263" s="243"/>
      <c r="AHO263" s="243"/>
      <c r="AHP263" s="243"/>
      <c r="AHQ263" s="243"/>
      <c r="AHR263" s="243"/>
      <c r="AHS263" s="243"/>
      <c r="AHT263" s="243"/>
      <c r="AHU263" s="243"/>
      <c r="AHV263" s="243"/>
      <c r="AHW263" s="243"/>
      <c r="AHX263" s="243"/>
      <c r="AHY263" s="243"/>
      <c r="AHZ263" s="243"/>
      <c r="AIA263" s="243"/>
      <c r="AIB263" s="243"/>
      <c r="AIC263" s="243"/>
      <c r="AID263" s="243"/>
      <c r="AIE263" s="243"/>
      <c r="AIF263" s="243"/>
      <c r="AIG263" s="243"/>
      <c r="AIH263" s="243"/>
      <c r="AII263" s="243"/>
      <c r="AIJ263" s="243"/>
      <c r="AIK263" s="243"/>
      <c r="AIL263" s="243"/>
      <c r="AIM263" s="243"/>
      <c r="AIN263" s="243"/>
      <c r="AIO263" s="243"/>
      <c r="AIP263" s="243"/>
      <c r="AIQ263" s="243"/>
      <c r="AIR263" s="243"/>
      <c r="AIS263" s="243"/>
      <c r="AIT263" s="243"/>
      <c r="AIU263" s="243"/>
      <c r="AIV263" s="243"/>
      <c r="AIW263" s="243"/>
      <c r="AIX263" s="243"/>
      <c r="AIY263" s="243"/>
      <c r="AIZ263" s="243"/>
      <c r="AJA263" s="243"/>
      <c r="AJB263" s="243"/>
      <c r="AJC263" s="243"/>
      <c r="AJD263" s="243"/>
      <c r="AJE263" s="243"/>
      <c r="AJF263" s="243"/>
      <c r="AJG263" s="243"/>
      <c r="AJH263" s="243"/>
      <c r="AJI263" s="243"/>
      <c r="AJJ263" s="243"/>
      <c r="AJK263" s="243"/>
      <c r="AJL263" s="243"/>
      <c r="AJM263" s="243"/>
      <c r="AJN263" s="243"/>
      <c r="AJO263" s="243"/>
      <c r="AJP263" s="243"/>
      <c r="AJQ263" s="243"/>
      <c r="AJR263" s="243"/>
      <c r="AJS263" s="243"/>
      <c r="AJT263" s="243"/>
      <c r="AJU263" s="243"/>
      <c r="AJV263" s="243"/>
      <c r="AJW263" s="243"/>
      <c r="AJX263" s="243"/>
      <c r="AJY263" s="243"/>
      <c r="AJZ263" s="243"/>
      <c r="AKA263" s="243"/>
      <c r="AKB263" s="243"/>
      <c r="AKC263" s="243"/>
      <c r="AKD263" s="243"/>
      <c r="AKE263" s="243"/>
      <c r="AKF263" s="243"/>
      <c r="AKG263" s="243"/>
      <c r="AKH263" s="243"/>
      <c r="AKI263" s="243"/>
      <c r="AKJ263" s="243"/>
      <c r="AKK263" s="243"/>
      <c r="AKL263" s="243"/>
      <c r="AKM263" s="243"/>
      <c r="AKN263" s="243"/>
      <c r="AKO263" s="243"/>
      <c r="AKP263" s="243"/>
      <c r="AKQ263" s="243"/>
      <c r="AKR263" s="243"/>
      <c r="AKS263" s="243"/>
      <c r="AKT263" s="243"/>
      <c r="AKU263" s="243"/>
      <c r="AKV263" s="243"/>
      <c r="AKW263" s="243"/>
      <c r="AKX263" s="243"/>
      <c r="AKY263" s="243"/>
      <c r="AKZ263" s="243"/>
      <c r="ALA263" s="243"/>
      <c r="ALB263" s="243"/>
      <c r="ALC263" s="243"/>
      <c r="ALD263" s="243"/>
      <c r="ALE263" s="243"/>
      <c r="ALF263" s="243"/>
      <c r="ALG263" s="243"/>
      <c r="ALH263" s="243"/>
      <c r="ALI263" s="243"/>
      <c r="ALJ263" s="243"/>
      <c r="ALK263" s="243"/>
      <c r="ALL263" s="243"/>
      <c r="ALM263" s="243"/>
      <c r="ALN263" s="243"/>
      <c r="ALO263" s="243"/>
      <c r="ALP263" s="243"/>
      <c r="ALQ263" s="243"/>
      <c r="ALR263" s="243"/>
      <c r="ALS263" s="243"/>
      <c r="ALT263" s="243"/>
      <c r="ALU263" s="243"/>
      <c r="ALV263" s="243"/>
      <c r="ALW263" s="243"/>
      <c r="ALX263" s="243"/>
      <c r="ALY263" s="243"/>
      <c r="ALZ263" s="243"/>
      <c r="AMA263" s="243"/>
      <c r="AMB263" s="243"/>
      <c r="AMC263" s="243"/>
      <c r="AMD263" s="243"/>
      <c r="AME263" s="243"/>
      <c r="AMF263" s="243"/>
      <c r="AMG263" s="243"/>
      <c r="AMH263" s="243"/>
      <c r="AMI263" s="244"/>
      <c r="AMJ263" s="244"/>
    </row>
    <row r="264" spans="1:1024" ht="43.5">
      <c r="A264" s="1028" t="s">
        <v>174</v>
      </c>
      <c r="B264" s="1029">
        <v>43</v>
      </c>
      <c r="C264" s="1030">
        <v>56163000</v>
      </c>
      <c r="D264" s="1031">
        <v>20</v>
      </c>
      <c r="E264" s="392"/>
      <c r="F264" s="390"/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243"/>
      <c r="S264" s="243"/>
      <c r="T264" s="243"/>
      <c r="U264" s="243"/>
      <c r="V264" s="243"/>
      <c r="W264" s="243"/>
      <c r="X264" s="243"/>
      <c r="Y264" s="243"/>
      <c r="Z264" s="243"/>
      <c r="AA264" s="243"/>
      <c r="AB264" s="243"/>
      <c r="AC264" s="243"/>
      <c r="AD264" s="243"/>
      <c r="AE264" s="243"/>
      <c r="AF264" s="243"/>
      <c r="AG264" s="243"/>
      <c r="AH264" s="243"/>
      <c r="AI264" s="243"/>
      <c r="AJ264" s="243"/>
      <c r="AK264" s="243"/>
      <c r="AL264" s="243"/>
      <c r="AM264" s="243"/>
      <c r="AN264" s="243"/>
      <c r="AO264" s="243"/>
      <c r="AP264" s="243"/>
      <c r="AQ264" s="243"/>
      <c r="AR264" s="243"/>
      <c r="AS264" s="243"/>
      <c r="AT264" s="243"/>
      <c r="AU264" s="243"/>
      <c r="AV264" s="243"/>
      <c r="AW264" s="243"/>
      <c r="AX264" s="243"/>
      <c r="AY264" s="243"/>
      <c r="AZ264" s="243"/>
      <c r="BA264" s="243"/>
      <c r="BB264" s="243"/>
      <c r="BC264" s="243"/>
      <c r="BD264" s="243"/>
      <c r="BE264" s="243"/>
      <c r="BF264" s="243"/>
      <c r="BG264" s="243"/>
      <c r="BH264" s="243"/>
      <c r="BI264" s="243"/>
      <c r="BJ264" s="243"/>
      <c r="BK264" s="243"/>
      <c r="BL264" s="243"/>
      <c r="BM264" s="243"/>
      <c r="BN264" s="243"/>
      <c r="BO264" s="243"/>
      <c r="BP264" s="243"/>
      <c r="BQ264" s="243"/>
      <c r="BR264" s="243"/>
      <c r="BS264" s="243"/>
      <c r="BT264" s="243"/>
      <c r="BU264" s="243"/>
      <c r="BV264" s="243"/>
      <c r="BW264" s="243"/>
      <c r="BX264" s="243"/>
      <c r="BY264" s="243"/>
      <c r="BZ264" s="243"/>
      <c r="CA264" s="243"/>
      <c r="CB264" s="243"/>
      <c r="CC264" s="243"/>
      <c r="CD264" s="243"/>
      <c r="CE264" s="243"/>
      <c r="CF264" s="243"/>
      <c r="CG264" s="243"/>
      <c r="CH264" s="243"/>
      <c r="CI264" s="243"/>
      <c r="CJ264" s="243"/>
      <c r="CK264" s="243"/>
      <c r="CL264" s="243"/>
      <c r="CM264" s="243"/>
      <c r="CN264" s="243"/>
      <c r="CO264" s="243"/>
      <c r="CP264" s="243"/>
      <c r="CQ264" s="243"/>
      <c r="CR264" s="243"/>
      <c r="CS264" s="243"/>
      <c r="CT264" s="243"/>
      <c r="CU264" s="243"/>
      <c r="CV264" s="243"/>
      <c r="CW264" s="243"/>
      <c r="CX264" s="243"/>
      <c r="CY264" s="243"/>
      <c r="CZ264" s="243"/>
      <c r="DA264" s="243"/>
      <c r="DB264" s="243"/>
      <c r="DC264" s="243"/>
      <c r="DD264" s="243"/>
      <c r="DE264" s="243"/>
      <c r="DF264" s="243"/>
      <c r="DG264" s="243"/>
      <c r="DH264" s="243"/>
      <c r="DI264" s="243"/>
      <c r="DJ264" s="243"/>
      <c r="DK264" s="243"/>
      <c r="DL264" s="243"/>
      <c r="DM264" s="243"/>
      <c r="DN264" s="243"/>
      <c r="DO264" s="243"/>
      <c r="DP264" s="243"/>
      <c r="DQ264" s="243"/>
      <c r="DR264" s="243"/>
      <c r="DS264" s="243"/>
      <c r="DT264" s="243"/>
      <c r="DU264" s="243"/>
      <c r="DV264" s="243"/>
      <c r="DW264" s="243"/>
      <c r="DX264" s="243"/>
      <c r="DY264" s="243"/>
      <c r="DZ264" s="243"/>
      <c r="EA264" s="243"/>
      <c r="EB264" s="243"/>
      <c r="EC264" s="243"/>
      <c r="ED264" s="243"/>
      <c r="EE264" s="243"/>
      <c r="EF264" s="243"/>
      <c r="EG264" s="243"/>
      <c r="EH264" s="243"/>
      <c r="EI264" s="243"/>
      <c r="EJ264" s="243"/>
      <c r="EK264" s="243"/>
      <c r="EL264" s="243"/>
      <c r="EM264" s="243"/>
      <c r="EN264" s="243"/>
      <c r="EO264" s="243"/>
      <c r="EP264" s="243"/>
      <c r="EQ264" s="243"/>
      <c r="ER264" s="243"/>
      <c r="ES264" s="243"/>
      <c r="ET264" s="243"/>
      <c r="EU264" s="243"/>
      <c r="EV264" s="243"/>
      <c r="EW264" s="243"/>
      <c r="EX264" s="243"/>
      <c r="EY264" s="243"/>
      <c r="EZ264" s="243"/>
      <c r="FA264" s="243"/>
      <c r="FB264" s="243"/>
      <c r="FC264" s="243"/>
      <c r="FD264" s="243"/>
      <c r="FE264" s="243"/>
      <c r="FF264" s="243"/>
      <c r="FG264" s="243"/>
      <c r="FH264" s="243"/>
      <c r="FI264" s="243"/>
      <c r="FJ264" s="243"/>
      <c r="FK264" s="243"/>
      <c r="FL264" s="243"/>
      <c r="FM264" s="243"/>
      <c r="FN264" s="243"/>
      <c r="FO264" s="243"/>
      <c r="FP264" s="243"/>
      <c r="FQ264" s="243"/>
      <c r="FR264" s="243"/>
      <c r="FS264" s="243"/>
      <c r="FT264" s="243"/>
      <c r="FU264" s="243"/>
      <c r="FV264" s="243"/>
      <c r="FW264" s="243"/>
      <c r="FX264" s="243"/>
      <c r="FY264" s="243"/>
      <c r="FZ264" s="243"/>
      <c r="GA264" s="243"/>
      <c r="GB264" s="243"/>
      <c r="GC264" s="243"/>
      <c r="GD264" s="243"/>
      <c r="GE264" s="243"/>
      <c r="GF264" s="243"/>
      <c r="GG264" s="243"/>
      <c r="GH264" s="243"/>
      <c r="GI264" s="243"/>
      <c r="GJ264" s="243"/>
      <c r="GK264" s="243"/>
      <c r="GL264" s="243"/>
      <c r="GM264" s="243"/>
      <c r="GN264" s="243"/>
      <c r="GO264" s="243"/>
      <c r="GP264" s="243"/>
      <c r="GQ264" s="243"/>
      <c r="GR264" s="243"/>
      <c r="GS264" s="243"/>
      <c r="GT264" s="243"/>
      <c r="GU264" s="243"/>
      <c r="GV264" s="243"/>
      <c r="GW264" s="243"/>
      <c r="GX264" s="243"/>
      <c r="GY264" s="243"/>
      <c r="GZ264" s="243"/>
      <c r="HA264" s="243"/>
      <c r="HB264" s="243"/>
      <c r="HC264" s="243"/>
      <c r="HD264" s="243"/>
      <c r="HE264" s="243"/>
      <c r="HF264" s="243"/>
      <c r="HG264" s="243"/>
      <c r="HH264" s="243"/>
      <c r="HI264" s="243"/>
      <c r="HJ264" s="243"/>
      <c r="HK264" s="243"/>
      <c r="HL264" s="243"/>
      <c r="HM264" s="243"/>
      <c r="HN264" s="243"/>
      <c r="HO264" s="243"/>
      <c r="HP264" s="243"/>
      <c r="HQ264" s="243"/>
      <c r="HR264" s="243"/>
      <c r="HS264" s="243"/>
      <c r="HT264" s="243"/>
      <c r="HU264" s="243"/>
      <c r="HV264" s="243"/>
      <c r="HW264" s="243"/>
      <c r="HX264" s="243"/>
      <c r="HY264" s="243"/>
      <c r="HZ264" s="243"/>
      <c r="IA264" s="243"/>
      <c r="IB264" s="243"/>
      <c r="IC264" s="243"/>
      <c r="ID264" s="243"/>
      <c r="IE264" s="243"/>
      <c r="IF264" s="243"/>
      <c r="IG264" s="243"/>
      <c r="IH264" s="243"/>
      <c r="II264" s="243"/>
      <c r="IJ264" s="243"/>
      <c r="IK264" s="243"/>
      <c r="IL264" s="243"/>
      <c r="IM264" s="243"/>
      <c r="IN264" s="243"/>
      <c r="IO264" s="243"/>
      <c r="IP264" s="243"/>
      <c r="IQ264" s="243"/>
      <c r="IR264" s="243"/>
      <c r="IS264" s="243"/>
      <c r="IT264" s="243"/>
      <c r="IU264" s="243"/>
      <c r="IV264" s="243"/>
      <c r="IW264" s="243"/>
      <c r="IX264" s="243"/>
      <c r="IY264" s="243"/>
      <c r="IZ264" s="243"/>
      <c r="JA264" s="243"/>
      <c r="JB264" s="243"/>
      <c r="JC264" s="243"/>
      <c r="JD264" s="243"/>
      <c r="JE264" s="243"/>
      <c r="JF264" s="243"/>
      <c r="JG264" s="243"/>
      <c r="JH264" s="243"/>
      <c r="JI264" s="243"/>
      <c r="JJ264" s="243"/>
      <c r="JK264" s="243"/>
      <c r="JL264" s="243"/>
      <c r="JM264" s="243"/>
      <c r="JN264" s="243"/>
      <c r="JO264" s="243"/>
      <c r="JP264" s="243"/>
      <c r="JQ264" s="243"/>
      <c r="JR264" s="243"/>
      <c r="JS264" s="243"/>
      <c r="JT264" s="243"/>
      <c r="JU264" s="243"/>
      <c r="JV264" s="243"/>
      <c r="JW264" s="243"/>
      <c r="JX264" s="243"/>
      <c r="JY264" s="243"/>
      <c r="JZ264" s="243"/>
      <c r="KA264" s="243"/>
      <c r="KB264" s="243"/>
      <c r="KC264" s="243"/>
      <c r="KD264" s="243"/>
      <c r="KE264" s="243"/>
      <c r="KF264" s="243"/>
      <c r="KG264" s="243"/>
      <c r="KH264" s="243"/>
      <c r="KI264" s="243"/>
      <c r="KJ264" s="243"/>
      <c r="KK264" s="243"/>
      <c r="KL264" s="243"/>
      <c r="KM264" s="243"/>
      <c r="KN264" s="243"/>
      <c r="KO264" s="243"/>
      <c r="KP264" s="243"/>
      <c r="KQ264" s="243"/>
      <c r="KR264" s="243"/>
      <c r="KS264" s="243"/>
      <c r="KT264" s="243"/>
      <c r="KU264" s="243"/>
      <c r="KV264" s="243"/>
      <c r="KW264" s="243"/>
      <c r="KX264" s="243"/>
      <c r="KY264" s="243"/>
      <c r="KZ264" s="243"/>
      <c r="LA264" s="243"/>
      <c r="LB264" s="243"/>
      <c r="LC264" s="243"/>
      <c r="LD264" s="243"/>
      <c r="LE264" s="243"/>
      <c r="LF264" s="243"/>
      <c r="LG264" s="243"/>
      <c r="LH264" s="243"/>
      <c r="LI264" s="243"/>
      <c r="LJ264" s="243"/>
      <c r="LK264" s="243"/>
      <c r="LL264" s="243"/>
      <c r="LM264" s="243"/>
      <c r="LN264" s="243"/>
      <c r="LO264" s="243"/>
      <c r="LP264" s="243"/>
      <c r="LQ264" s="243"/>
      <c r="LR264" s="243"/>
      <c r="LS264" s="243"/>
      <c r="LT264" s="243"/>
      <c r="LU264" s="243"/>
      <c r="LV264" s="243"/>
      <c r="LW264" s="243"/>
      <c r="LX264" s="243"/>
      <c r="LY264" s="243"/>
      <c r="LZ264" s="243"/>
      <c r="MA264" s="243"/>
      <c r="MB264" s="243"/>
      <c r="MC264" s="243"/>
      <c r="MD264" s="243"/>
      <c r="ME264" s="243"/>
      <c r="MF264" s="243"/>
      <c r="MG264" s="243"/>
      <c r="MH264" s="243"/>
      <c r="MI264" s="243"/>
      <c r="MJ264" s="243"/>
      <c r="MK264" s="243"/>
      <c r="ML264" s="243"/>
      <c r="MM264" s="243"/>
      <c r="MN264" s="243"/>
      <c r="MO264" s="243"/>
      <c r="MP264" s="243"/>
      <c r="MQ264" s="243"/>
      <c r="MR264" s="243"/>
      <c r="MS264" s="243"/>
      <c r="MT264" s="243"/>
      <c r="MU264" s="243"/>
      <c r="MV264" s="243"/>
      <c r="MW264" s="243"/>
      <c r="MX264" s="243"/>
      <c r="MY264" s="243"/>
      <c r="MZ264" s="243"/>
      <c r="NA264" s="243"/>
      <c r="NB264" s="243"/>
      <c r="NC264" s="243"/>
      <c r="ND264" s="243"/>
      <c r="NE264" s="243"/>
      <c r="NF264" s="243"/>
      <c r="NG264" s="243"/>
      <c r="NH264" s="243"/>
      <c r="NI264" s="243"/>
      <c r="NJ264" s="243"/>
      <c r="NK264" s="243"/>
      <c r="NL264" s="243"/>
      <c r="NM264" s="243"/>
      <c r="NN264" s="243"/>
      <c r="NO264" s="243"/>
      <c r="NP264" s="243"/>
      <c r="NQ264" s="243"/>
      <c r="NR264" s="243"/>
      <c r="NS264" s="243"/>
      <c r="NT264" s="243"/>
      <c r="NU264" s="243"/>
      <c r="NV264" s="243"/>
      <c r="NW264" s="243"/>
      <c r="NX264" s="243"/>
      <c r="NY264" s="243"/>
      <c r="NZ264" s="243"/>
      <c r="OA264" s="243"/>
      <c r="OB264" s="243"/>
      <c r="OC264" s="243"/>
      <c r="OD264" s="243"/>
      <c r="OE264" s="243"/>
      <c r="OF264" s="243"/>
      <c r="OG264" s="243"/>
      <c r="OH264" s="243"/>
      <c r="OI264" s="243"/>
      <c r="OJ264" s="243"/>
      <c r="OK264" s="243"/>
      <c r="OL264" s="243"/>
      <c r="OM264" s="243"/>
      <c r="ON264" s="243"/>
      <c r="OO264" s="243"/>
      <c r="OP264" s="243"/>
      <c r="OQ264" s="243"/>
      <c r="OR264" s="243"/>
      <c r="OS264" s="243"/>
      <c r="OT264" s="243"/>
      <c r="OU264" s="243"/>
      <c r="OV264" s="243"/>
      <c r="OW264" s="243"/>
      <c r="OX264" s="243"/>
      <c r="OY264" s="243"/>
      <c r="OZ264" s="243"/>
      <c r="PA264" s="243"/>
      <c r="PB264" s="243"/>
      <c r="PC264" s="243"/>
      <c r="PD264" s="243"/>
      <c r="PE264" s="243"/>
      <c r="PF264" s="243"/>
      <c r="PG264" s="243"/>
      <c r="PH264" s="243"/>
      <c r="PI264" s="243"/>
      <c r="PJ264" s="243"/>
      <c r="PK264" s="243"/>
      <c r="PL264" s="243"/>
      <c r="PM264" s="243"/>
      <c r="PN264" s="243"/>
      <c r="PO264" s="243"/>
      <c r="PP264" s="243"/>
      <c r="PQ264" s="243"/>
      <c r="PR264" s="243"/>
      <c r="PS264" s="243"/>
      <c r="PT264" s="243"/>
      <c r="PU264" s="243"/>
      <c r="PV264" s="243"/>
      <c r="PW264" s="243"/>
      <c r="PX264" s="243"/>
      <c r="PY264" s="243"/>
      <c r="PZ264" s="243"/>
      <c r="QA264" s="243"/>
      <c r="QB264" s="243"/>
      <c r="QC264" s="243"/>
      <c r="QD264" s="243"/>
      <c r="QE264" s="243"/>
      <c r="QF264" s="243"/>
      <c r="QG264" s="243"/>
      <c r="QH264" s="243"/>
      <c r="QI264" s="243"/>
      <c r="QJ264" s="243"/>
      <c r="QK264" s="243"/>
      <c r="QL264" s="243"/>
      <c r="QM264" s="243"/>
      <c r="QN264" s="243"/>
      <c r="QO264" s="243"/>
      <c r="QP264" s="243"/>
      <c r="QQ264" s="243"/>
      <c r="QR264" s="243"/>
      <c r="QS264" s="243"/>
      <c r="QT264" s="243"/>
      <c r="QU264" s="243"/>
      <c r="QV264" s="243"/>
      <c r="QW264" s="243"/>
      <c r="QX264" s="243"/>
      <c r="QY264" s="243"/>
      <c r="QZ264" s="243"/>
      <c r="RA264" s="243"/>
      <c r="RB264" s="243"/>
      <c r="RC264" s="243"/>
      <c r="RD264" s="243"/>
      <c r="RE264" s="243"/>
      <c r="RF264" s="243"/>
      <c r="RG264" s="243"/>
      <c r="RH264" s="243"/>
      <c r="RI264" s="243"/>
      <c r="RJ264" s="243"/>
      <c r="RK264" s="243"/>
      <c r="RL264" s="243"/>
      <c r="RM264" s="243"/>
      <c r="RN264" s="243"/>
      <c r="RO264" s="243"/>
      <c r="RP264" s="243"/>
      <c r="RQ264" s="243"/>
      <c r="RR264" s="243"/>
      <c r="RS264" s="243"/>
      <c r="RT264" s="243"/>
      <c r="RU264" s="243"/>
      <c r="RV264" s="243"/>
      <c r="RW264" s="243"/>
      <c r="RX264" s="243"/>
      <c r="RY264" s="243"/>
      <c r="RZ264" s="243"/>
      <c r="SA264" s="243"/>
      <c r="SB264" s="243"/>
      <c r="SC264" s="243"/>
      <c r="SD264" s="243"/>
      <c r="SE264" s="243"/>
      <c r="SF264" s="243"/>
      <c r="SG264" s="243"/>
      <c r="SH264" s="243"/>
      <c r="SI264" s="243"/>
      <c r="SJ264" s="243"/>
      <c r="SK264" s="243"/>
      <c r="SL264" s="243"/>
      <c r="SM264" s="243"/>
      <c r="SN264" s="243"/>
      <c r="SO264" s="243"/>
      <c r="SP264" s="243"/>
      <c r="SQ264" s="243"/>
      <c r="SR264" s="243"/>
      <c r="SS264" s="243"/>
      <c r="ST264" s="243"/>
      <c r="SU264" s="243"/>
      <c r="SV264" s="243"/>
      <c r="SW264" s="243"/>
      <c r="SX264" s="243"/>
      <c r="SY264" s="243"/>
      <c r="SZ264" s="243"/>
      <c r="TA264" s="243"/>
      <c r="TB264" s="243"/>
      <c r="TC264" s="243"/>
      <c r="TD264" s="243"/>
      <c r="TE264" s="243"/>
      <c r="TF264" s="243"/>
      <c r="TG264" s="243"/>
      <c r="TH264" s="243"/>
      <c r="TI264" s="243"/>
      <c r="TJ264" s="243"/>
      <c r="TK264" s="243"/>
      <c r="TL264" s="243"/>
      <c r="TM264" s="243"/>
      <c r="TN264" s="243"/>
      <c r="TO264" s="243"/>
      <c r="TP264" s="243"/>
      <c r="TQ264" s="243"/>
      <c r="TR264" s="243"/>
      <c r="TS264" s="243"/>
      <c r="TT264" s="243"/>
      <c r="TU264" s="243"/>
      <c r="TV264" s="243"/>
      <c r="TW264" s="243"/>
      <c r="TX264" s="243"/>
      <c r="TY264" s="243"/>
      <c r="TZ264" s="243"/>
      <c r="UA264" s="243"/>
      <c r="UB264" s="243"/>
      <c r="UC264" s="243"/>
      <c r="UD264" s="243"/>
      <c r="UE264" s="243"/>
      <c r="UF264" s="243"/>
      <c r="UG264" s="243"/>
      <c r="UH264" s="243"/>
      <c r="UI264" s="243"/>
      <c r="UJ264" s="243"/>
      <c r="UK264" s="243"/>
      <c r="UL264" s="243"/>
      <c r="UM264" s="243"/>
      <c r="UN264" s="243"/>
      <c r="UO264" s="243"/>
      <c r="UP264" s="243"/>
      <c r="UQ264" s="243"/>
      <c r="UR264" s="243"/>
      <c r="US264" s="243"/>
      <c r="UT264" s="243"/>
      <c r="UU264" s="243"/>
      <c r="UV264" s="243"/>
      <c r="UW264" s="243"/>
      <c r="UX264" s="243"/>
      <c r="UY264" s="243"/>
      <c r="UZ264" s="243"/>
      <c r="VA264" s="243"/>
      <c r="VB264" s="243"/>
      <c r="VC264" s="243"/>
      <c r="VD264" s="243"/>
      <c r="VE264" s="243"/>
      <c r="VF264" s="243"/>
      <c r="VG264" s="243"/>
      <c r="VH264" s="243"/>
      <c r="VI264" s="243"/>
      <c r="VJ264" s="243"/>
      <c r="VK264" s="243"/>
      <c r="VL264" s="243"/>
      <c r="VM264" s="243"/>
      <c r="VN264" s="243"/>
      <c r="VO264" s="243"/>
      <c r="VP264" s="243"/>
      <c r="VQ264" s="243"/>
      <c r="VR264" s="243"/>
      <c r="VS264" s="243"/>
      <c r="VT264" s="243"/>
      <c r="VU264" s="243"/>
      <c r="VV264" s="243"/>
      <c r="VW264" s="243"/>
      <c r="VX264" s="243"/>
      <c r="VY264" s="243"/>
      <c r="VZ264" s="243"/>
      <c r="WA264" s="243"/>
      <c r="WB264" s="243"/>
      <c r="WC264" s="243"/>
      <c r="WD264" s="243"/>
      <c r="WE264" s="243"/>
      <c r="WF264" s="243"/>
      <c r="WG264" s="243"/>
      <c r="WH264" s="243"/>
      <c r="WI264" s="243"/>
      <c r="WJ264" s="243"/>
      <c r="WK264" s="243"/>
      <c r="WL264" s="243"/>
      <c r="WM264" s="243"/>
      <c r="WN264" s="243"/>
      <c r="WO264" s="243"/>
      <c r="WP264" s="243"/>
      <c r="WQ264" s="243"/>
      <c r="WR264" s="243"/>
      <c r="WS264" s="243"/>
      <c r="WT264" s="243"/>
      <c r="WU264" s="243"/>
      <c r="WV264" s="243"/>
      <c r="WW264" s="243"/>
      <c r="WX264" s="243"/>
      <c r="WY264" s="243"/>
      <c r="WZ264" s="243"/>
      <c r="XA264" s="243"/>
      <c r="XB264" s="243"/>
      <c r="XC264" s="243"/>
      <c r="XD264" s="243"/>
      <c r="XE264" s="243"/>
      <c r="XF264" s="243"/>
      <c r="XG264" s="243"/>
      <c r="XH264" s="243"/>
      <c r="XI264" s="243"/>
      <c r="XJ264" s="243"/>
      <c r="XK264" s="243"/>
      <c r="XL264" s="243"/>
      <c r="XM264" s="243"/>
      <c r="XN264" s="243"/>
      <c r="XO264" s="243"/>
      <c r="XP264" s="243"/>
      <c r="XQ264" s="243"/>
      <c r="XR264" s="243"/>
      <c r="XS264" s="243"/>
      <c r="XT264" s="243"/>
      <c r="XU264" s="243"/>
      <c r="XV264" s="243"/>
      <c r="XW264" s="243"/>
      <c r="XX264" s="243"/>
      <c r="XY264" s="243"/>
      <c r="XZ264" s="243"/>
      <c r="YA264" s="243"/>
      <c r="YB264" s="243"/>
      <c r="YC264" s="243"/>
      <c r="YD264" s="243"/>
      <c r="YE264" s="243"/>
      <c r="YF264" s="243"/>
      <c r="YG264" s="243"/>
      <c r="YH264" s="243"/>
      <c r="YI264" s="243"/>
      <c r="YJ264" s="243"/>
      <c r="YK264" s="243"/>
      <c r="YL264" s="243"/>
      <c r="YM264" s="243"/>
      <c r="YN264" s="243"/>
      <c r="YO264" s="243"/>
      <c r="YP264" s="243"/>
      <c r="YQ264" s="243"/>
      <c r="YR264" s="243"/>
      <c r="YS264" s="243"/>
      <c r="YT264" s="243"/>
      <c r="YU264" s="243"/>
      <c r="YV264" s="243"/>
      <c r="YW264" s="243"/>
      <c r="YX264" s="243"/>
      <c r="YY264" s="243"/>
      <c r="YZ264" s="243"/>
      <c r="ZA264" s="243"/>
      <c r="ZB264" s="243"/>
      <c r="ZC264" s="243"/>
      <c r="ZD264" s="243"/>
      <c r="ZE264" s="243"/>
      <c r="ZF264" s="243"/>
      <c r="ZG264" s="243"/>
      <c r="ZH264" s="243"/>
      <c r="ZI264" s="243"/>
      <c r="ZJ264" s="243"/>
      <c r="ZK264" s="243"/>
      <c r="ZL264" s="243"/>
      <c r="ZM264" s="243"/>
      <c r="ZN264" s="243"/>
      <c r="ZO264" s="243"/>
      <c r="ZP264" s="243"/>
      <c r="ZQ264" s="243"/>
      <c r="ZR264" s="243"/>
      <c r="ZS264" s="243"/>
      <c r="ZT264" s="243"/>
      <c r="ZU264" s="243"/>
      <c r="ZV264" s="243"/>
      <c r="ZW264" s="243"/>
      <c r="ZX264" s="243"/>
      <c r="ZY264" s="243"/>
      <c r="ZZ264" s="243"/>
      <c r="AAA264" s="243"/>
      <c r="AAB264" s="243"/>
      <c r="AAC264" s="243"/>
      <c r="AAD264" s="243"/>
      <c r="AAE264" s="243"/>
      <c r="AAF264" s="243"/>
      <c r="AAG264" s="243"/>
      <c r="AAH264" s="243"/>
      <c r="AAI264" s="243"/>
      <c r="AAJ264" s="243"/>
      <c r="AAK264" s="243"/>
      <c r="AAL264" s="243"/>
      <c r="AAM264" s="243"/>
      <c r="AAN264" s="243"/>
      <c r="AAO264" s="243"/>
      <c r="AAP264" s="243"/>
      <c r="AAQ264" s="243"/>
      <c r="AAR264" s="243"/>
      <c r="AAS264" s="243"/>
      <c r="AAT264" s="243"/>
      <c r="AAU264" s="243"/>
      <c r="AAV264" s="243"/>
      <c r="AAW264" s="243"/>
      <c r="AAX264" s="243"/>
      <c r="AAY264" s="243"/>
      <c r="AAZ264" s="243"/>
      <c r="ABA264" s="243"/>
      <c r="ABB264" s="243"/>
      <c r="ABC264" s="243"/>
      <c r="ABD264" s="243"/>
      <c r="ABE264" s="243"/>
      <c r="ABF264" s="243"/>
      <c r="ABG264" s="243"/>
      <c r="ABH264" s="243"/>
      <c r="ABI264" s="243"/>
      <c r="ABJ264" s="243"/>
      <c r="ABK264" s="243"/>
      <c r="ABL264" s="243"/>
      <c r="ABM264" s="243"/>
      <c r="ABN264" s="243"/>
      <c r="ABO264" s="243"/>
      <c r="ABP264" s="243"/>
      <c r="ABQ264" s="243"/>
      <c r="ABR264" s="243"/>
      <c r="ABS264" s="243"/>
      <c r="ABT264" s="243"/>
      <c r="ABU264" s="243"/>
      <c r="ABV264" s="243"/>
      <c r="ABW264" s="243"/>
      <c r="ABX264" s="243"/>
      <c r="ABY264" s="243"/>
      <c r="ABZ264" s="243"/>
      <c r="ACA264" s="243"/>
      <c r="ACB264" s="243"/>
      <c r="ACC264" s="243"/>
      <c r="ACD264" s="243"/>
      <c r="ACE264" s="243"/>
      <c r="ACF264" s="243"/>
      <c r="ACG264" s="243"/>
      <c r="ACH264" s="243"/>
      <c r="ACI264" s="243"/>
      <c r="ACJ264" s="243"/>
      <c r="ACK264" s="243"/>
      <c r="ACL264" s="243"/>
      <c r="ACM264" s="243"/>
      <c r="ACN264" s="243"/>
      <c r="ACO264" s="243"/>
      <c r="ACP264" s="243"/>
      <c r="ACQ264" s="243"/>
      <c r="ACR264" s="243"/>
      <c r="ACS264" s="243"/>
      <c r="ACT264" s="243"/>
      <c r="ACU264" s="243"/>
      <c r="ACV264" s="243"/>
      <c r="ACW264" s="243"/>
      <c r="ACX264" s="243"/>
      <c r="ACY264" s="243"/>
      <c r="ACZ264" s="243"/>
      <c r="ADA264" s="243"/>
      <c r="ADB264" s="243"/>
      <c r="ADC264" s="243"/>
      <c r="ADD264" s="243"/>
      <c r="ADE264" s="243"/>
      <c r="ADF264" s="243"/>
      <c r="ADG264" s="243"/>
      <c r="ADH264" s="243"/>
      <c r="ADI264" s="243"/>
      <c r="ADJ264" s="243"/>
      <c r="ADK264" s="243"/>
      <c r="ADL264" s="243"/>
      <c r="ADM264" s="243"/>
      <c r="ADN264" s="243"/>
      <c r="ADO264" s="243"/>
      <c r="ADP264" s="243"/>
      <c r="ADQ264" s="243"/>
      <c r="ADR264" s="243"/>
      <c r="ADS264" s="243"/>
      <c r="ADT264" s="243"/>
      <c r="ADU264" s="243"/>
      <c r="ADV264" s="243"/>
      <c r="ADW264" s="243"/>
      <c r="ADX264" s="243"/>
      <c r="ADY264" s="243"/>
      <c r="ADZ264" s="243"/>
      <c r="AEA264" s="243"/>
      <c r="AEB264" s="243"/>
      <c r="AEC264" s="243"/>
      <c r="AED264" s="243"/>
      <c r="AEE264" s="243"/>
      <c r="AEF264" s="243"/>
      <c r="AEG264" s="243"/>
      <c r="AEH264" s="243"/>
      <c r="AEI264" s="243"/>
      <c r="AEJ264" s="243"/>
      <c r="AEK264" s="243"/>
      <c r="AEL264" s="243"/>
      <c r="AEM264" s="243"/>
      <c r="AEN264" s="243"/>
      <c r="AEO264" s="243"/>
      <c r="AEP264" s="243"/>
      <c r="AEQ264" s="243"/>
      <c r="AER264" s="243"/>
      <c r="AES264" s="243"/>
      <c r="AET264" s="243"/>
      <c r="AEU264" s="243"/>
      <c r="AEV264" s="243"/>
      <c r="AEW264" s="243"/>
      <c r="AEX264" s="243"/>
      <c r="AEY264" s="243"/>
      <c r="AEZ264" s="243"/>
      <c r="AFA264" s="243"/>
      <c r="AFB264" s="243"/>
      <c r="AFC264" s="243"/>
      <c r="AFD264" s="243"/>
      <c r="AFE264" s="243"/>
      <c r="AFF264" s="243"/>
      <c r="AFG264" s="243"/>
      <c r="AFH264" s="243"/>
      <c r="AFI264" s="243"/>
      <c r="AFJ264" s="243"/>
      <c r="AFK264" s="243"/>
      <c r="AFL264" s="243"/>
      <c r="AFM264" s="243"/>
      <c r="AFN264" s="243"/>
      <c r="AFO264" s="243"/>
      <c r="AFP264" s="243"/>
      <c r="AFQ264" s="243"/>
      <c r="AFR264" s="243"/>
      <c r="AFS264" s="243"/>
      <c r="AFT264" s="243"/>
      <c r="AFU264" s="243"/>
      <c r="AFV264" s="243"/>
      <c r="AFW264" s="243"/>
      <c r="AFX264" s="243"/>
      <c r="AFY264" s="243"/>
      <c r="AFZ264" s="243"/>
      <c r="AGA264" s="243"/>
      <c r="AGB264" s="243"/>
      <c r="AGC264" s="243"/>
      <c r="AGD264" s="243"/>
      <c r="AGE264" s="243"/>
      <c r="AGF264" s="243"/>
      <c r="AGG264" s="243"/>
      <c r="AGH264" s="243"/>
      <c r="AGI264" s="243"/>
      <c r="AGJ264" s="243"/>
      <c r="AGK264" s="243"/>
      <c r="AGL264" s="243"/>
      <c r="AGM264" s="243"/>
      <c r="AGN264" s="243"/>
      <c r="AGO264" s="243"/>
      <c r="AGP264" s="243"/>
      <c r="AGQ264" s="243"/>
      <c r="AGR264" s="243"/>
      <c r="AGS264" s="243"/>
      <c r="AGT264" s="243"/>
      <c r="AGU264" s="243"/>
      <c r="AGV264" s="243"/>
      <c r="AGW264" s="243"/>
      <c r="AGX264" s="243"/>
      <c r="AGY264" s="243"/>
      <c r="AGZ264" s="243"/>
      <c r="AHA264" s="243"/>
      <c r="AHB264" s="243"/>
      <c r="AHC264" s="243"/>
      <c r="AHD264" s="243"/>
      <c r="AHE264" s="243"/>
      <c r="AHF264" s="243"/>
      <c r="AHG264" s="243"/>
      <c r="AHH264" s="243"/>
      <c r="AHI264" s="243"/>
      <c r="AHJ264" s="243"/>
      <c r="AHK264" s="243"/>
      <c r="AHL264" s="243"/>
      <c r="AHM264" s="243"/>
      <c r="AHN264" s="243"/>
      <c r="AHO264" s="243"/>
      <c r="AHP264" s="243"/>
      <c r="AHQ264" s="243"/>
      <c r="AHR264" s="243"/>
      <c r="AHS264" s="243"/>
      <c r="AHT264" s="243"/>
      <c r="AHU264" s="243"/>
      <c r="AHV264" s="243"/>
      <c r="AHW264" s="243"/>
      <c r="AHX264" s="243"/>
      <c r="AHY264" s="243"/>
      <c r="AHZ264" s="243"/>
      <c r="AIA264" s="243"/>
      <c r="AIB264" s="243"/>
      <c r="AIC264" s="243"/>
      <c r="AID264" s="243"/>
      <c r="AIE264" s="243"/>
      <c r="AIF264" s="243"/>
      <c r="AIG264" s="243"/>
      <c r="AIH264" s="243"/>
      <c r="AII264" s="243"/>
      <c r="AIJ264" s="243"/>
      <c r="AIK264" s="243"/>
      <c r="AIL264" s="243"/>
      <c r="AIM264" s="243"/>
      <c r="AIN264" s="243"/>
      <c r="AIO264" s="243"/>
      <c r="AIP264" s="243"/>
      <c r="AIQ264" s="243"/>
      <c r="AIR264" s="243"/>
      <c r="AIS264" s="243"/>
      <c r="AIT264" s="243"/>
      <c r="AIU264" s="243"/>
      <c r="AIV264" s="243"/>
      <c r="AIW264" s="243"/>
      <c r="AIX264" s="243"/>
      <c r="AIY264" s="243"/>
      <c r="AIZ264" s="243"/>
      <c r="AJA264" s="243"/>
      <c r="AJB264" s="243"/>
      <c r="AJC264" s="243"/>
      <c r="AJD264" s="243"/>
      <c r="AJE264" s="243"/>
      <c r="AJF264" s="243"/>
      <c r="AJG264" s="243"/>
      <c r="AJH264" s="243"/>
      <c r="AJI264" s="243"/>
      <c r="AJJ264" s="243"/>
      <c r="AJK264" s="243"/>
      <c r="AJL264" s="243"/>
      <c r="AJM264" s="243"/>
      <c r="AJN264" s="243"/>
      <c r="AJO264" s="243"/>
      <c r="AJP264" s="243"/>
      <c r="AJQ264" s="243"/>
      <c r="AJR264" s="243"/>
      <c r="AJS264" s="243"/>
      <c r="AJT264" s="243"/>
      <c r="AJU264" s="243"/>
      <c r="AJV264" s="243"/>
      <c r="AJW264" s="243"/>
      <c r="AJX264" s="243"/>
      <c r="AJY264" s="243"/>
      <c r="AJZ264" s="243"/>
      <c r="AKA264" s="243"/>
      <c r="AKB264" s="243"/>
      <c r="AKC264" s="243"/>
      <c r="AKD264" s="243"/>
      <c r="AKE264" s="243"/>
      <c r="AKF264" s="243"/>
      <c r="AKG264" s="243"/>
      <c r="AKH264" s="243"/>
      <c r="AKI264" s="243"/>
      <c r="AKJ264" s="243"/>
      <c r="AKK264" s="243"/>
      <c r="AKL264" s="243"/>
      <c r="AKM264" s="243"/>
      <c r="AKN264" s="243"/>
      <c r="AKO264" s="243"/>
      <c r="AKP264" s="243"/>
      <c r="AKQ264" s="243"/>
      <c r="AKR264" s="243"/>
      <c r="AKS264" s="243"/>
      <c r="AKT264" s="243"/>
      <c r="AKU264" s="243"/>
      <c r="AKV264" s="243"/>
      <c r="AKW264" s="243"/>
      <c r="AKX264" s="243"/>
      <c r="AKY264" s="243"/>
      <c r="AKZ264" s="243"/>
      <c r="ALA264" s="243"/>
      <c r="ALB264" s="243"/>
      <c r="ALC264" s="243"/>
      <c r="ALD264" s="243"/>
      <c r="ALE264" s="243"/>
      <c r="ALF264" s="243"/>
      <c r="ALG264" s="243"/>
      <c r="ALH264" s="243"/>
      <c r="ALI264" s="243"/>
      <c r="ALJ264" s="243"/>
      <c r="ALK264" s="243"/>
      <c r="ALL264" s="243"/>
      <c r="ALM264" s="243"/>
      <c r="ALN264" s="243"/>
      <c r="ALO264" s="243"/>
      <c r="ALP264" s="243"/>
      <c r="ALQ264" s="243"/>
      <c r="ALR264" s="243"/>
      <c r="ALS264" s="243"/>
      <c r="ALT264" s="243"/>
      <c r="ALU264" s="243"/>
      <c r="ALV264" s="243"/>
      <c r="ALW264" s="243"/>
      <c r="ALX264" s="243"/>
      <c r="ALY264" s="243"/>
      <c r="ALZ264" s="243"/>
      <c r="AMA264" s="243"/>
      <c r="AMB264" s="243"/>
      <c r="AMC264" s="243"/>
      <c r="AMD264" s="243"/>
      <c r="AME264" s="243"/>
      <c r="AMF264" s="243"/>
      <c r="AMG264" s="243"/>
      <c r="AMH264" s="243"/>
      <c r="AMI264" s="244"/>
      <c r="AMJ264" s="244"/>
    </row>
    <row r="265" spans="1:1024" ht="43.5">
      <c r="A265" s="1032"/>
      <c r="B265" s="1033"/>
      <c r="C265" s="1034"/>
      <c r="D265" s="1035"/>
      <c r="E265" s="392"/>
      <c r="F265" s="390"/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243"/>
      <c r="S265" s="243"/>
      <c r="T265" s="243"/>
      <c r="U265" s="243"/>
      <c r="V265" s="243"/>
      <c r="W265" s="243"/>
      <c r="X265" s="243"/>
      <c r="Y265" s="243"/>
      <c r="Z265" s="243"/>
      <c r="AA265" s="243"/>
      <c r="AB265" s="243"/>
      <c r="AC265" s="243"/>
      <c r="AD265" s="243"/>
      <c r="AE265" s="243"/>
      <c r="AF265" s="243"/>
      <c r="AG265" s="243"/>
      <c r="AH265" s="243"/>
      <c r="AI265" s="243"/>
      <c r="AJ265" s="243"/>
      <c r="AK265" s="243"/>
      <c r="AL265" s="243"/>
      <c r="AM265" s="243"/>
      <c r="AN265" s="243"/>
      <c r="AO265" s="243"/>
      <c r="AP265" s="243"/>
      <c r="AQ265" s="243"/>
      <c r="AR265" s="243"/>
      <c r="AS265" s="243"/>
      <c r="AT265" s="243"/>
      <c r="AU265" s="243"/>
      <c r="AV265" s="243"/>
      <c r="AW265" s="243"/>
      <c r="AX265" s="243"/>
      <c r="AY265" s="243"/>
      <c r="AZ265" s="243"/>
      <c r="BA265" s="243"/>
      <c r="BB265" s="243"/>
      <c r="BC265" s="243"/>
      <c r="BD265" s="243"/>
      <c r="BE265" s="243"/>
      <c r="BF265" s="243"/>
      <c r="BG265" s="243"/>
      <c r="BH265" s="243"/>
      <c r="BI265" s="243"/>
      <c r="BJ265" s="243"/>
      <c r="BK265" s="243"/>
      <c r="BL265" s="243"/>
      <c r="BM265" s="243"/>
      <c r="BN265" s="243"/>
      <c r="BO265" s="243"/>
      <c r="BP265" s="243"/>
      <c r="BQ265" s="243"/>
      <c r="BR265" s="243"/>
      <c r="BS265" s="243"/>
      <c r="BT265" s="243"/>
      <c r="BU265" s="243"/>
      <c r="BV265" s="243"/>
      <c r="BW265" s="243"/>
      <c r="BX265" s="243"/>
      <c r="BY265" s="243"/>
      <c r="BZ265" s="243"/>
      <c r="CA265" s="243"/>
      <c r="CB265" s="243"/>
      <c r="CC265" s="243"/>
      <c r="CD265" s="243"/>
      <c r="CE265" s="243"/>
      <c r="CF265" s="243"/>
      <c r="CG265" s="243"/>
      <c r="CH265" s="243"/>
      <c r="CI265" s="243"/>
      <c r="CJ265" s="243"/>
      <c r="CK265" s="243"/>
      <c r="CL265" s="243"/>
      <c r="CM265" s="243"/>
      <c r="CN265" s="243"/>
      <c r="CO265" s="243"/>
      <c r="CP265" s="243"/>
      <c r="CQ265" s="243"/>
      <c r="CR265" s="243"/>
      <c r="CS265" s="243"/>
      <c r="CT265" s="243"/>
      <c r="CU265" s="243"/>
      <c r="CV265" s="243"/>
      <c r="CW265" s="243"/>
      <c r="CX265" s="243"/>
      <c r="CY265" s="243"/>
      <c r="CZ265" s="243"/>
      <c r="DA265" s="243"/>
      <c r="DB265" s="243"/>
      <c r="DC265" s="243"/>
      <c r="DD265" s="243"/>
      <c r="DE265" s="243"/>
      <c r="DF265" s="243"/>
      <c r="DG265" s="243"/>
      <c r="DH265" s="243"/>
      <c r="DI265" s="243"/>
      <c r="DJ265" s="243"/>
      <c r="DK265" s="243"/>
      <c r="DL265" s="243"/>
      <c r="DM265" s="243"/>
      <c r="DN265" s="243"/>
      <c r="DO265" s="243"/>
      <c r="DP265" s="243"/>
      <c r="DQ265" s="243"/>
      <c r="DR265" s="243"/>
      <c r="DS265" s="243"/>
      <c r="DT265" s="243"/>
      <c r="DU265" s="243"/>
      <c r="DV265" s="243"/>
      <c r="DW265" s="243"/>
      <c r="DX265" s="243"/>
      <c r="DY265" s="243"/>
      <c r="DZ265" s="243"/>
      <c r="EA265" s="243"/>
      <c r="EB265" s="243"/>
      <c r="EC265" s="243"/>
      <c r="ED265" s="243"/>
      <c r="EE265" s="243"/>
      <c r="EF265" s="243"/>
      <c r="EG265" s="243"/>
      <c r="EH265" s="243"/>
      <c r="EI265" s="243"/>
      <c r="EJ265" s="243"/>
      <c r="EK265" s="243"/>
      <c r="EL265" s="243"/>
      <c r="EM265" s="243"/>
      <c r="EN265" s="243"/>
      <c r="EO265" s="243"/>
      <c r="EP265" s="243"/>
      <c r="EQ265" s="243"/>
      <c r="ER265" s="243"/>
      <c r="ES265" s="243"/>
      <c r="ET265" s="243"/>
      <c r="EU265" s="243"/>
      <c r="EV265" s="243"/>
      <c r="EW265" s="243"/>
      <c r="EX265" s="243"/>
      <c r="EY265" s="243"/>
      <c r="EZ265" s="243"/>
      <c r="FA265" s="243"/>
      <c r="FB265" s="243"/>
      <c r="FC265" s="243"/>
      <c r="FD265" s="243"/>
      <c r="FE265" s="243"/>
      <c r="FF265" s="243"/>
      <c r="FG265" s="243"/>
      <c r="FH265" s="243"/>
      <c r="FI265" s="243"/>
      <c r="FJ265" s="243"/>
      <c r="FK265" s="243"/>
      <c r="FL265" s="243"/>
      <c r="FM265" s="243"/>
      <c r="FN265" s="243"/>
      <c r="FO265" s="243"/>
      <c r="FP265" s="243"/>
      <c r="FQ265" s="243"/>
      <c r="FR265" s="243"/>
      <c r="FS265" s="243"/>
      <c r="FT265" s="243"/>
      <c r="FU265" s="243"/>
      <c r="FV265" s="243"/>
      <c r="FW265" s="243"/>
      <c r="FX265" s="243"/>
      <c r="FY265" s="243"/>
      <c r="FZ265" s="243"/>
      <c r="GA265" s="243"/>
      <c r="GB265" s="243"/>
      <c r="GC265" s="243"/>
      <c r="GD265" s="243"/>
      <c r="GE265" s="243"/>
      <c r="GF265" s="243"/>
      <c r="GG265" s="243"/>
      <c r="GH265" s="243"/>
      <c r="GI265" s="243"/>
      <c r="GJ265" s="243"/>
      <c r="GK265" s="243"/>
      <c r="GL265" s="243"/>
      <c r="GM265" s="243"/>
      <c r="GN265" s="243"/>
      <c r="GO265" s="243"/>
      <c r="GP265" s="243"/>
      <c r="GQ265" s="243"/>
      <c r="GR265" s="243"/>
      <c r="GS265" s="243"/>
      <c r="GT265" s="243"/>
      <c r="GU265" s="243"/>
      <c r="GV265" s="243"/>
      <c r="GW265" s="243"/>
      <c r="GX265" s="243"/>
      <c r="GY265" s="243"/>
      <c r="GZ265" s="243"/>
      <c r="HA265" s="243"/>
      <c r="HB265" s="243"/>
      <c r="HC265" s="243"/>
      <c r="HD265" s="243"/>
      <c r="HE265" s="243"/>
      <c r="HF265" s="243"/>
      <c r="HG265" s="243"/>
      <c r="HH265" s="243"/>
      <c r="HI265" s="243"/>
      <c r="HJ265" s="243"/>
      <c r="HK265" s="243"/>
      <c r="HL265" s="243"/>
      <c r="HM265" s="243"/>
      <c r="HN265" s="243"/>
      <c r="HO265" s="243"/>
      <c r="HP265" s="243"/>
      <c r="HQ265" s="243"/>
      <c r="HR265" s="243"/>
      <c r="HS265" s="243"/>
      <c r="HT265" s="243"/>
      <c r="HU265" s="243"/>
      <c r="HV265" s="243"/>
      <c r="HW265" s="243"/>
      <c r="HX265" s="243"/>
      <c r="HY265" s="243"/>
      <c r="HZ265" s="243"/>
      <c r="IA265" s="243"/>
      <c r="IB265" s="243"/>
      <c r="IC265" s="243"/>
      <c r="ID265" s="243"/>
      <c r="IE265" s="243"/>
      <c r="IF265" s="243"/>
      <c r="IG265" s="243"/>
      <c r="IH265" s="243"/>
      <c r="II265" s="243"/>
      <c r="IJ265" s="243"/>
      <c r="IK265" s="243"/>
      <c r="IL265" s="243"/>
      <c r="IM265" s="243"/>
      <c r="IN265" s="243"/>
      <c r="IO265" s="243"/>
      <c r="IP265" s="243"/>
      <c r="IQ265" s="243"/>
      <c r="IR265" s="243"/>
      <c r="IS265" s="243"/>
      <c r="IT265" s="243"/>
      <c r="IU265" s="243"/>
      <c r="IV265" s="243"/>
      <c r="IW265" s="243"/>
      <c r="IX265" s="243"/>
      <c r="IY265" s="243"/>
      <c r="IZ265" s="243"/>
      <c r="JA265" s="243"/>
      <c r="JB265" s="243"/>
      <c r="JC265" s="243"/>
      <c r="JD265" s="243"/>
      <c r="JE265" s="243"/>
      <c r="JF265" s="243"/>
      <c r="JG265" s="243"/>
      <c r="JH265" s="243"/>
      <c r="JI265" s="243"/>
      <c r="JJ265" s="243"/>
      <c r="JK265" s="243"/>
      <c r="JL265" s="243"/>
      <c r="JM265" s="243"/>
      <c r="JN265" s="243"/>
      <c r="JO265" s="243"/>
      <c r="JP265" s="243"/>
      <c r="JQ265" s="243"/>
      <c r="JR265" s="243"/>
      <c r="JS265" s="243"/>
      <c r="JT265" s="243"/>
      <c r="JU265" s="243"/>
      <c r="JV265" s="243"/>
      <c r="JW265" s="243"/>
      <c r="JX265" s="243"/>
      <c r="JY265" s="243"/>
      <c r="JZ265" s="243"/>
      <c r="KA265" s="243"/>
      <c r="KB265" s="243"/>
      <c r="KC265" s="243"/>
      <c r="KD265" s="243"/>
      <c r="KE265" s="243"/>
      <c r="KF265" s="243"/>
      <c r="KG265" s="243"/>
      <c r="KH265" s="243"/>
      <c r="KI265" s="243"/>
      <c r="KJ265" s="243"/>
      <c r="KK265" s="243"/>
      <c r="KL265" s="243"/>
      <c r="KM265" s="243"/>
      <c r="KN265" s="243"/>
      <c r="KO265" s="243"/>
      <c r="KP265" s="243"/>
      <c r="KQ265" s="243"/>
      <c r="KR265" s="243"/>
      <c r="KS265" s="243"/>
      <c r="KT265" s="243"/>
      <c r="KU265" s="243"/>
      <c r="KV265" s="243"/>
      <c r="KW265" s="243"/>
      <c r="KX265" s="243"/>
      <c r="KY265" s="243"/>
      <c r="KZ265" s="243"/>
      <c r="LA265" s="243"/>
      <c r="LB265" s="243"/>
      <c r="LC265" s="243"/>
      <c r="LD265" s="243"/>
      <c r="LE265" s="243"/>
      <c r="LF265" s="243"/>
      <c r="LG265" s="243"/>
      <c r="LH265" s="243"/>
      <c r="LI265" s="243"/>
      <c r="LJ265" s="243"/>
      <c r="LK265" s="243"/>
      <c r="LL265" s="243"/>
      <c r="LM265" s="243"/>
      <c r="LN265" s="243"/>
      <c r="LO265" s="243"/>
      <c r="LP265" s="243"/>
      <c r="LQ265" s="243"/>
      <c r="LR265" s="243"/>
      <c r="LS265" s="243"/>
      <c r="LT265" s="243"/>
      <c r="LU265" s="243"/>
      <c r="LV265" s="243"/>
      <c r="LW265" s="243"/>
      <c r="LX265" s="243"/>
      <c r="LY265" s="243"/>
      <c r="LZ265" s="243"/>
      <c r="MA265" s="243"/>
      <c r="MB265" s="243"/>
      <c r="MC265" s="243"/>
      <c r="MD265" s="243"/>
      <c r="ME265" s="243"/>
      <c r="MF265" s="243"/>
      <c r="MG265" s="243"/>
      <c r="MH265" s="243"/>
      <c r="MI265" s="243"/>
      <c r="MJ265" s="243"/>
      <c r="MK265" s="243"/>
      <c r="ML265" s="243"/>
      <c r="MM265" s="243"/>
      <c r="MN265" s="243"/>
      <c r="MO265" s="243"/>
      <c r="MP265" s="243"/>
      <c r="MQ265" s="243"/>
      <c r="MR265" s="243"/>
      <c r="MS265" s="243"/>
      <c r="MT265" s="243"/>
      <c r="MU265" s="243"/>
      <c r="MV265" s="243"/>
      <c r="MW265" s="243"/>
      <c r="MX265" s="243"/>
      <c r="MY265" s="243"/>
      <c r="MZ265" s="243"/>
      <c r="NA265" s="243"/>
      <c r="NB265" s="243"/>
      <c r="NC265" s="243"/>
      <c r="ND265" s="243"/>
      <c r="NE265" s="243"/>
      <c r="NF265" s="243"/>
      <c r="NG265" s="243"/>
      <c r="NH265" s="243"/>
      <c r="NI265" s="243"/>
      <c r="NJ265" s="243"/>
      <c r="NK265" s="243"/>
      <c r="NL265" s="243"/>
      <c r="NM265" s="243"/>
      <c r="NN265" s="243"/>
      <c r="NO265" s="243"/>
      <c r="NP265" s="243"/>
      <c r="NQ265" s="243"/>
      <c r="NR265" s="243"/>
      <c r="NS265" s="243"/>
      <c r="NT265" s="243"/>
      <c r="NU265" s="243"/>
      <c r="NV265" s="243"/>
      <c r="NW265" s="243"/>
      <c r="NX265" s="243"/>
      <c r="NY265" s="243"/>
      <c r="NZ265" s="243"/>
      <c r="OA265" s="243"/>
      <c r="OB265" s="243"/>
      <c r="OC265" s="243"/>
      <c r="OD265" s="243"/>
      <c r="OE265" s="243"/>
      <c r="OF265" s="243"/>
      <c r="OG265" s="243"/>
      <c r="OH265" s="243"/>
      <c r="OI265" s="243"/>
      <c r="OJ265" s="243"/>
      <c r="OK265" s="243"/>
      <c r="OL265" s="243"/>
      <c r="OM265" s="243"/>
      <c r="ON265" s="243"/>
      <c r="OO265" s="243"/>
      <c r="OP265" s="243"/>
      <c r="OQ265" s="243"/>
      <c r="OR265" s="243"/>
      <c r="OS265" s="243"/>
      <c r="OT265" s="243"/>
      <c r="OU265" s="243"/>
      <c r="OV265" s="243"/>
      <c r="OW265" s="243"/>
      <c r="OX265" s="243"/>
      <c r="OY265" s="243"/>
      <c r="OZ265" s="243"/>
      <c r="PA265" s="243"/>
      <c r="PB265" s="243"/>
      <c r="PC265" s="243"/>
      <c r="PD265" s="243"/>
      <c r="PE265" s="243"/>
      <c r="PF265" s="243"/>
      <c r="PG265" s="243"/>
      <c r="PH265" s="243"/>
      <c r="PI265" s="243"/>
      <c r="PJ265" s="243"/>
      <c r="PK265" s="243"/>
      <c r="PL265" s="243"/>
      <c r="PM265" s="243"/>
      <c r="PN265" s="243"/>
      <c r="PO265" s="243"/>
      <c r="PP265" s="243"/>
      <c r="PQ265" s="243"/>
      <c r="PR265" s="243"/>
      <c r="PS265" s="243"/>
      <c r="PT265" s="243"/>
      <c r="PU265" s="243"/>
      <c r="PV265" s="243"/>
      <c r="PW265" s="243"/>
      <c r="PX265" s="243"/>
      <c r="PY265" s="243"/>
      <c r="PZ265" s="243"/>
      <c r="QA265" s="243"/>
      <c r="QB265" s="243"/>
      <c r="QC265" s="243"/>
      <c r="QD265" s="243"/>
      <c r="QE265" s="243"/>
      <c r="QF265" s="243"/>
      <c r="QG265" s="243"/>
      <c r="QH265" s="243"/>
      <c r="QI265" s="243"/>
      <c r="QJ265" s="243"/>
      <c r="QK265" s="243"/>
      <c r="QL265" s="243"/>
      <c r="QM265" s="243"/>
      <c r="QN265" s="243"/>
      <c r="QO265" s="243"/>
      <c r="QP265" s="243"/>
      <c r="QQ265" s="243"/>
      <c r="QR265" s="243"/>
      <c r="QS265" s="243"/>
      <c r="QT265" s="243"/>
      <c r="QU265" s="243"/>
      <c r="QV265" s="243"/>
      <c r="QW265" s="243"/>
      <c r="QX265" s="243"/>
      <c r="QY265" s="243"/>
      <c r="QZ265" s="243"/>
      <c r="RA265" s="243"/>
      <c r="RB265" s="243"/>
      <c r="RC265" s="243"/>
      <c r="RD265" s="243"/>
      <c r="RE265" s="243"/>
      <c r="RF265" s="243"/>
      <c r="RG265" s="243"/>
      <c r="RH265" s="243"/>
      <c r="RI265" s="243"/>
      <c r="RJ265" s="243"/>
      <c r="RK265" s="243"/>
      <c r="RL265" s="243"/>
      <c r="RM265" s="243"/>
      <c r="RN265" s="243"/>
      <c r="RO265" s="243"/>
      <c r="RP265" s="243"/>
      <c r="RQ265" s="243"/>
      <c r="RR265" s="243"/>
      <c r="RS265" s="243"/>
      <c r="RT265" s="243"/>
      <c r="RU265" s="243"/>
      <c r="RV265" s="243"/>
      <c r="RW265" s="243"/>
      <c r="RX265" s="243"/>
      <c r="RY265" s="243"/>
      <c r="RZ265" s="243"/>
      <c r="SA265" s="243"/>
      <c r="SB265" s="243"/>
      <c r="SC265" s="243"/>
      <c r="SD265" s="243"/>
      <c r="SE265" s="243"/>
      <c r="SF265" s="243"/>
      <c r="SG265" s="243"/>
      <c r="SH265" s="243"/>
      <c r="SI265" s="243"/>
      <c r="SJ265" s="243"/>
      <c r="SK265" s="243"/>
      <c r="SL265" s="243"/>
      <c r="SM265" s="243"/>
      <c r="SN265" s="243"/>
      <c r="SO265" s="243"/>
      <c r="SP265" s="243"/>
      <c r="SQ265" s="243"/>
      <c r="SR265" s="243"/>
      <c r="SS265" s="243"/>
      <c r="ST265" s="243"/>
      <c r="SU265" s="243"/>
      <c r="SV265" s="243"/>
      <c r="SW265" s="243"/>
      <c r="SX265" s="243"/>
      <c r="SY265" s="243"/>
      <c r="SZ265" s="243"/>
      <c r="TA265" s="243"/>
      <c r="TB265" s="243"/>
      <c r="TC265" s="243"/>
      <c r="TD265" s="243"/>
      <c r="TE265" s="243"/>
      <c r="TF265" s="243"/>
      <c r="TG265" s="243"/>
      <c r="TH265" s="243"/>
      <c r="TI265" s="243"/>
      <c r="TJ265" s="243"/>
      <c r="TK265" s="243"/>
      <c r="TL265" s="243"/>
      <c r="TM265" s="243"/>
      <c r="TN265" s="243"/>
      <c r="TO265" s="243"/>
      <c r="TP265" s="243"/>
      <c r="TQ265" s="243"/>
      <c r="TR265" s="243"/>
      <c r="TS265" s="243"/>
      <c r="TT265" s="243"/>
      <c r="TU265" s="243"/>
      <c r="TV265" s="243"/>
      <c r="TW265" s="243"/>
      <c r="TX265" s="243"/>
      <c r="TY265" s="243"/>
      <c r="TZ265" s="243"/>
      <c r="UA265" s="243"/>
      <c r="UB265" s="243"/>
      <c r="UC265" s="243"/>
      <c r="UD265" s="243"/>
      <c r="UE265" s="243"/>
      <c r="UF265" s="243"/>
      <c r="UG265" s="243"/>
      <c r="UH265" s="243"/>
      <c r="UI265" s="243"/>
      <c r="UJ265" s="243"/>
      <c r="UK265" s="243"/>
      <c r="UL265" s="243"/>
      <c r="UM265" s="243"/>
      <c r="UN265" s="243"/>
      <c r="UO265" s="243"/>
      <c r="UP265" s="243"/>
      <c r="UQ265" s="243"/>
      <c r="UR265" s="243"/>
      <c r="US265" s="243"/>
      <c r="UT265" s="243"/>
      <c r="UU265" s="243"/>
      <c r="UV265" s="243"/>
      <c r="UW265" s="243"/>
      <c r="UX265" s="243"/>
      <c r="UY265" s="243"/>
      <c r="UZ265" s="243"/>
      <c r="VA265" s="243"/>
      <c r="VB265" s="243"/>
      <c r="VC265" s="243"/>
      <c r="VD265" s="243"/>
      <c r="VE265" s="243"/>
      <c r="VF265" s="243"/>
      <c r="VG265" s="243"/>
      <c r="VH265" s="243"/>
      <c r="VI265" s="243"/>
      <c r="VJ265" s="243"/>
      <c r="VK265" s="243"/>
      <c r="VL265" s="243"/>
      <c r="VM265" s="243"/>
      <c r="VN265" s="243"/>
      <c r="VO265" s="243"/>
      <c r="VP265" s="243"/>
      <c r="VQ265" s="243"/>
      <c r="VR265" s="243"/>
      <c r="VS265" s="243"/>
      <c r="VT265" s="243"/>
      <c r="VU265" s="243"/>
      <c r="VV265" s="243"/>
      <c r="VW265" s="243"/>
      <c r="VX265" s="243"/>
      <c r="VY265" s="243"/>
      <c r="VZ265" s="243"/>
      <c r="WA265" s="243"/>
      <c r="WB265" s="243"/>
      <c r="WC265" s="243"/>
      <c r="WD265" s="243"/>
      <c r="WE265" s="243"/>
      <c r="WF265" s="243"/>
      <c r="WG265" s="243"/>
      <c r="WH265" s="243"/>
      <c r="WI265" s="243"/>
      <c r="WJ265" s="243"/>
      <c r="WK265" s="243"/>
      <c r="WL265" s="243"/>
      <c r="WM265" s="243"/>
      <c r="WN265" s="243"/>
      <c r="WO265" s="243"/>
      <c r="WP265" s="243"/>
      <c r="WQ265" s="243"/>
      <c r="WR265" s="243"/>
      <c r="WS265" s="243"/>
      <c r="WT265" s="243"/>
      <c r="WU265" s="243"/>
      <c r="WV265" s="243"/>
      <c r="WW265" s="243"/>
      <c r="WX265" s="243"/>
      <c r="WY265" s="243"/>
      <c r="WZ265" s="243"/>
      <c r="XA265" s="243"/>
      <c r="XB265" s="243"/>
      <c r="XC265" s="243"/>
      <c r="XD265" s="243"/>
      <c r="XE265" s="243"/>
      <c r="XF265" s="243"/>
      <c r="XG265" s="243"/>
      <c r="XH265" s="243"/>
      <c r="XI265" s="243"/>
      <c r="XJ265" s="243"/>
      <c r="XK265" s="243"/>
      <c r="XL265" s="243"/>
      <c r="XM265" s="243"/>
      <c r="XN265" s="243"/>
      <c r="XO265" s="243"/>
      <c r="XP265" s="243"/>
      <c r="XQ265" s="243"/>
      <c r="XR265" s="243"/>
      <c r="XS265" s="243"/>
      <c r="XT265" s="243"/>
      <c r="XU265" s="243"/>
      <c r="XV265" s="243"/>
      <c r="XW265" s="243"/>
      <c r="XX265" s="243"/>
      <c r="XY265" s="243"/>
      <c r="XZ265" s="243"/>
      <c r="YA265" s="243"/>
      <c r="YB265" s="243"/>
      <c r="YC265" s="243"/>
      <c r="YD265" s="243"/>
      <c r="YE265" s="243"/>
      <c r="YF265" s="243"/>
      <c r="YG265" s="243"/>
      <c r="YH265" s="243"/>
      <c r="YI265" s="243"/>
      <c r="YJ265" s="243"/>
      <c r="YK265" s="243"/>
      <c r="YL265" s="243"/>
      <c r="YM265" s="243"/>
      <c r="YN265" s="243"/>
      <c r="YO265" s="243"/>
      <c r="YP265" s="243"/>
      <c r="YQ265" s="243"/>
      <c r="YR265" s="243"/>
      <c r="YS265" s="243"/>
      <c r="YT265" s="243"/>
      <c r="YU265" s="243"/>
      <c r="YV265" s="243"/>
      <c r="YW265" s="243"/>
      <c r="YX265" s="243"/>
      <c r="YY265" s="243"/>
      <c r="YZ265" s="243"/>
      <c r="ZA265" s="243"/>
      <c r="ZB265" s="243"/>
      <c r="ZC265" s="243"/>
      <c r="ZD265" s="243"/>
      <c r="ZE265" s="243"/>
      <c r="ZF265" s="243"/>
      <c r="ZG265" s="243"/>
      <c r="ZH265" s="243"/>
      <c r="ZI265" s="243"/>
      <c r="ZJ265" s="243"/>
      <c r="ZK265" s="243"/>
      <c r="ZL265" s="243"/>
      <c r="ZM265" s="243"/>
      <c r="ZN265" s="243"/>
      <c r="ZO265" s="243"/>
      <c r="ZP265" s="243"/>
      <c r="ZQ265" s="243"/>
      <c r="ZR265" s="243"/>
      <c r="ZS265" s="243"/>
      <c r="ZT265" s="243"/>
      <c r="ZU265" s="243"/>
      <c r="ZV265" s="243"/>
      <c r="ZW265" s="243"/>
      <c r="ZX265" s="243"/>
      <c r="ZY265" s="243"/>
      <c r="ZZ265" s="243"/>
      <c r="AAA265" s="243"/>
      <c r="AAB265" s="243"/>
      <c r="AAC265" s="243"/>
      <c r="AAD265" s="243"/>
      <c r="AAE265" s="243"/>
      <c r="AAF265" s="243"/>
      <c r="AAG265" s="243"/>
      <c r="AAH265" s="243"/>
      <c r="AAI265" s="243"/>
      <c r="AAJ265" s="243"/>
      <c r="AAK265" s="243"/>
      <c r="AAL265" s="243"/>
      <c r="AAM265" s="243"/>
      <c r="AAN265" s="243"/>
      <c r="AAO265" s="243"/>
      <c r="AAP265" s="243"/>
      <c r="AAQ265" s="243"/>
      <c r="AAR265" s="243"/>
      <c r="AAS265" s="243"/>
      <c r="AAT265" s="243"/>
      <c r="AAU265" s="243"/>
      <c r="AAV265" s="243"/>
      <c r="AAW265" s="243"/>
      <c r="AAX265" s="243"/>
      <c r="AAY265" s="243"/>
      <c r="AAZ265" s="243"/>
      <c r="ABA265" s="243"/>
      <c r="ABB265" s="243"/>
      <c r="ABC265" s="243"/>
      <c r="ABD265" s="243"/>
      <c r="ABE265" s="243"/>
      <c r="ABF265" s="243"/>
      <c r="ABG265" s="243"/>
      <c r="ABH265" s="243"/>
      <c r="ABI265" s="243"/>
      <c r="ABJ265" s="243"/>
      <c r="ABK265" s="243"/>
      <c r="ABL265" s="243"/>
      <c r="ABM265" s="243"/>
      <c r="ABN265" s="243"/>
      <c r="ABO265" s="243"/>
      <c r="ABP265" s="243"/>
      <c r="ABQ265" s="243"/>
      <c r="ABR265" s="243"/>
      <c r="ABS265" s="243"/>
      <c r="ABT265" s="243"/>
      <c r="ABU265" s="243"/>
      <c r="ABV265" s="243"/>
      <c r="ABW265" s="243"/>
      <c r="ABX265" s="243"/>
      <c r="ABY265" s="243"/>
      <c r="ABZ265" s="243"/>
      <c r="ACA265" s="243"/>
      <c r="ACB265" s="243"/>
      <c r="ACC265" s="243"/>
      <c r="ACD265" s="243"/>
      <c r="ACE265" s="243"/>
      <c r="ACF265" s="243"/>
      <c r="ACG265" s="243"/>
      <c r="ACH265" s="243"/>
      <c r="ACI265" s="243"/>
      <c r="ACJ265" s="243"/>
      <c r="ACK265" s="243"/>
      <c r="ACL265" s="243"/>
      <c r="ACM265" s="243"/>
      <c r="ACN265" s="243"/>
      <c r="ACO265" s="243"/>
      <c r="ACP265" s="243"/>
      <c r="ACQ265" s="243"/>
      <c r="ACR265" s="243"/>
      <c r="ACS265" s="243"/>
      <c r="ACT265" s="243"/>
      <c r="ACU265" s="243"/>
      <c r="ACV265" s="243"/>
      <c r="ACW265" s="243"/>
      <c r="ACX265" s="243"/>
      <c r="ACY265" s="243"/>
      <c r="ACZ265" s="243"/>
      <c r="ADA265" s="243"/>
      <c r="ADB265" s="243"/>
      <c r="ADC265" s="243"/>
      <c r="ADD265" s="243"/>
      <c r="ADE265" s="243"/>
      <c r="ADF265" s="243"/>
      <c r="ADG265" s="243"/>
      <c r="ADH265" s="243"/>
      <c r="ADI265" s="243"/>
      <c r="ADJ265" s="243"/>
      <c r="ADK265" s="243"/>
      <c r="ADL265" s="243"/>
      <c r="ADM265" s="243"/>
      <c r="ADN265" s="243"/>
      <c r="ADO265" s="243"/>
      <c r="ADP265" s="243"/>
      <c r="ADQ265" s="243"/>
      <c r="ADR265" s="243"/>
      <c r="ADS265" s="243"/>
      <c r="ADT265" s="243"/>
      <c r="ADU265" s="243"/>
      <c r="ADV265" s="243"/>
      <c r="ADW265" s="243"/>
      <c r="ADX265" s="243"/>
      <c r="ADY265" s="243"/>
      <c r="ADZ265" s="243"/>
      <c r="AEA265" s="243"/>
      <c r="AEB265" s="243"/>
      <c r="AEC265" s="243"/>
      <c r="AED265" s="243"/>
      <c r="AEE265" s="243"/>
      <c r="AEF265" s="243"/>
      <c r="AEG265" s="243"/>
      <c r="AEH265" s="243"/>
      <c r="AEI265" s="243"/>
      <c r="AEJ265" s="243"/>
      <c r="AEK265" s="243"/>
      <c r="AEL265" s="243"/>
      <c r="AEM265" s="243"/>
      <c r="AEN265" s="243"/>
      <c r="AEO265" s="243"/>
      <c r="AEP265" s="243"/>
      <c r="AEQ265" s="243"/>
      <c r="AER265" s="243"/>
      <c r="AES265" s="243"/>
      <c r="AET265" s="243"/>
      <c r="AEU265" s="243"/>
      <c r="AEV265" s="243"/>
      <c r="AEW265" s="243"/>
      <c r="AEX265" s="243"/>
      <c r="AEY265" s="243"/>
      <c r="AEZ265" s="243"/>
      <c r="AFA265" s="243"/>
      <c r="AFB265" s="243"/>
      <c r="AFC265" s="243"/>
      <c r="AFD265" s="243"/>
      <c r="AFE265" s="243"/>
      <c r="AFF265" s="243"/>
      <c r="AFG265" s="243"/>
      <c r="AFH265" s="243"/>
      <c r="AFI265" s="243"/>
      <c r="AFJ265" s="243"/>
      <c r="AFK265" s="243"/>
      <c r="AFL265" s="243"/>
      <c r="AFM265" s="243"/>
      <c r="AFN265" s="243"/>
      <c r="AFO265" s="243"/>
      <c r="AFP265" s="243"/>
      <c r="AFQ265" s="243"/>
      <c r="AFR265" s="243"/>
      <c r="AFS265" s="243"/>
      <c r="AFT265" s="243"/>
      <c r="AFU265" s="243"/>
      <c r="AFV265" s="243"/>
      <c r="AFW265" s="243"/>
      <c r="AFX265" s="243"/>
      <c r="AFY265" s="243"/>
      <c r="AFZ265" s="243"/>
      <c r="AGA265" s="243"/>
      <c r="AGB265" s="243"/>
      <c r="AGC265" s="243"/>
      <c r="AGD265" s="243"/>
      <c r="AGE265" s="243"/>
      <c r="AGF265" s="243"/>
      <c r="AGG265" s="243"/>
      <c r="AGH265" s="243"/>
      <c r="AGI265" s="243"/>
      <c r="AGJ265" s="243"/>
      <c r="AGK265" s="243"/>
      <c r="AGL265" s="243"/>
      <c r="AGM265" s="243"/>
      <c r="AGN265" s="243"/>
      <c r="AGO265" s="243"/>
      <c r="AGP265" s="243"/>
      <c r="AGQ265" s="243"/>
      <c r="AGR265" s="243"/>
      <c r="AGS265" s="243"/>
      <c r="AGT265" s="243"/>
      <c r="AGU265" s="243"/>
      <c r="AGV265" s="243"/>
      <c r="AGW265" s="243"/>
      <c r="AGX265" s="243"/>
      <c r="AGY265" s="243"/>
      <c r="AGZ265" s="243"/>
      <c r="AHA265" s="243"/>
      <c r="AHB265" s="243"/>
      <c r="AHC265" s="243"/>
      <c r="AHD265" s="243"/>
      <c r="AHE265" s="243"/>
      <c r="AHF265" s="243"/>
      <c r="AHG265" s="243"/>
      <c r="AHH265" s="243"/>
      <c r="AHI265" s="243"/>
      <c r="AHJ265" s="243"/>
      <c r="AHK265" s="243"/>
      <c r="AHL265" s="243"/>
      <c r="AHM265" s="243"/>
      <c r="AHN265" s="243"/>
      <c r="AHO265" s="243"/>
      <c r="AHP265" s="243"/>
      <c r="AHQ265" s="243"/>
      <c r="AHR265" s="243"/>
      <c r="AHS265" s="243"/>
      <c r="AHT265" s="243"/>
      <c r="AHU265" s="243"/>
      <c r="AHV265" s="243"/>
      <c r="AHW265" s="243"/>
      <c r="AHX265" s="243"/>
      <c r="AHY265" s="243"/>
      <c r="AHZ265" s="243"/>
      <c r="AIA265" s="243"/>
      <c r="AIB265" s="243"/>
      <c r="AIC265" s="243"/>
      <c r="AID265" s="243"/>
      <c r="AIE265" s="243"/>
      <c r="AIF265" s="243"/>
      <c r="AIG265" s="243"/>
      <c r="AIH265" s="243"/>
      <c r="AII265" s="243"/>
      <c r="AIJ265" s="243"/>
      <c r="AIK265" s="243"/>
      <c r="AIL265" s="243"/>
      <c r="AIM265" s="243"/>
      <c r="AIN265" s="243"/>
      <c r="AIO265" s="243"/>
      <c r="AIP265" s="243"/>
      <c r="AIQ265" s="243"/>
      <c r="AIR265" s="243"/>
      <c r="AIS265" s="243"/>
      <c r="AIT265" s="243"/>
      <c r="AIU265" s="243"/>
      <c r="AIV265" s="243"/>
      <c r="AIW265" s="243"/>
      <c r="AIX265" s="243"/>
      <c r="AIY265" s="243"/>
      <c r="AIZ265" s="243"/>
      <c r="AJA265" s="243"/>
      <c r="AJB265" s="243"/>
      <c r="AJC265" s="243"/>
      <c r="AJD265" s="243"/>
      <c r="AJE265" s="243"/>
      <c r="AJF265" s="243"/>
      <c r="AJG265" s="243"/>
      <c r="AJH265" s="243"/>
      <c r="AJI265" s="243"/>
      <c r="AJJ265" s="243"/>
      <c r="AJK265" s="243"/>
      <c r="AJL265" s="243"/>
      <c r="AJM265" s="243"/>
      <c r="AJN265" s="243"/>
      <c r="AJO265" s="243"/>
      <c r="AJP265" s="243"/>
      <c r="AJQ265" s="243"/>
      <c r="AJR265" s="243"/>
      <c r="AJS265" s="243"/>
      <c r="AJT265" s="243"/>
      <c r="AJU265" s="243"/>
      <c r="AJV265" s="243"/>
      <c r="AJW265" s="243"/>
      <c r="AJX265" s="243"/>
      <c r="AJY265" s="243"/>
      <c r="AJZ265" s="243"/>
      <c r="AKA265" s="243"/>
      <c r="AKB265" s="243"/>
      <c r="AKC265" s="243"/>
      <c r="AKD265" s="243"/>
      <c r="AKE265" s="243"/>
      <c r="AKF265" s="243"/>
      <c r="AKG265" s="243"/>
      <c r="AKH265" s="243"/>
      <c r="AKI265" s="243"/>
      <c r="AKJ265" s="243"/>
      <c r="AKK265" s="243"/>
      <c r="AKL265" s="243"/>
      <c r="AKM265" s="243"/>
      <c r="AKN265" s="243"/>
      <c r="AKO265" s="243"/>
      <c r="AKP265" s="243"/>
      <c r="AKQ265" s="243"/>
      <c r="AKR265" s="243"/>
      <c r="AKS265" s="243"/>
      <c r="AKT265" s="243"/>
      <c r="AKU265" s="243"/>
      <c r="AKV265" s="243"/>
      <c r="AKW265" s="243"/>
      <c r="AKX265" s="243"/>
      <c r="AKY265" s="243"/>
      <c r="AKZ265" s="243"/>
      <c r="ALA265" s="243"/>
      <c r="ALB265" s="243"/>
      <c r="ALC265" s="243"/>
      <c r="ALD265" s="243"/>
      <c r="ALE265" s="243"/>
      <c r="ALF265" s="243"/>
      <c r="ALG265" s="243"/>
      <c r="ALH265" s="243"/>
      <c r="ALI265" s="243"/>
      <c r="ALJ265" s="243"/>
      <c r="ALK265" s="243"/>
      <c r="ALL265" s="243"/>
      <c r="ALM265" s="243"/>
      <c r="ALN265" s="243"/>
      <c r="ALO265" s="243"/>
      <c r="ALP265" s="243"/>
      <c r="ALQ265" s="243"/>
      <c r="ALR265" s="243"/>
      <c r="ALS265" s="243"/>
      <c r="ALT265" s="243"/>
      <c r="ALU265" s="243"/>
      <c r="ALV265" s="243"/>
      <c r="ALW265" s="243"/>
      <c r="ALX265" s="243"/>
      <c r="ALY265" s="243"/>
      <c r="ALZ265" s="243"/>
      <c r="AMA265" s="243"/>
      <c r="AMB265" s="243"/>
      <c r="AMC265" s="243"/>
      <c r="AMD265" s="243"/>
      <c r="AME265" s="243"/>
      <c r="AMF265" s="243"/>
      <c r="AMG265" s="243"/>
      <c r="AMH265" s="243"/>
      <c r="AMI265" s="244"/>
      <c r="AMJ265" s="244"/>
    </row>
    <row r="266" spans="1:1024" ht="43.5">
      <c r="A266" s="924" t="s">
        <v>175</v>
      </c>
      <c r="B266" s="1029">
        <v>2</v>
      </c>
      <c r="C266" s="1029">
        <v>5000000</v>
      </c>
      <c r="D266" s="1031">
        <v>1</v>
      </c>
      <c r="E266" s="392"/>
      <c r="F266" s="390"/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243"/>
      <c r="S266" s="243"/>
      <c r="T266" s="243"/>
      <c r="U266" s="243"/>
      <c r="V266" s="243"/>
      <c r="W266" s="243"/>
      <c r="X266" s="243"/>
      <c r="Y266" s="243"/>
      <c r="Z266" s="243"/>
      <c r="AA266" s="243"/>
      <c r="AB266" s="243"/>
      <c r="AC266" s="243"/>
      <c r="AD266" s="243"/>
      <c r="AE266" s="243"/>
      <c r="AF266" s="243"/>
      <c r="AG266" s="243"/>
      <c r="AH266" s="243"/>
      <c r="AI266" s="243"/>
      <c r="AJ266" s="243"/>
      <c r="AK266" s="243"/>
      <c r="AL266" s="243"/>
      <c r="AM266" s="243"/>
      <c r="AN266" s="243"/>
      <c r="AO266" s="243"/>
      <c r="AP266" s="243"/>
      <c r="AQ266" s="243"/>
      <c r="AR266" s="243"/>
      <c r="AS266" s="243"/>
      <c r="AT266" s="243"/>
      <c r="AU266" s="243"/>
      <c r="AV266" s="243"/>
      <c r="AW266" s="243"/>
      <c r="AX266" s="243"/>
      <c r="AY266" s="243"/>
      <c r="AZ266" s="243"/>
      <c r="BA266" s="243"/>
      <c r="BB266" s="243"/>
      <c r="BC266" s="243"/>
      <c r="BD266" s="243"/>
      <c r="BE266" s="243"/>
      <c r="BF266" s="243"/>
      <c r="BG266" s="243"/>
      <c r="BH266" s="243"/>
      <c r="BI266" s="243"/>
      <c r="BJ266" s="243"/>
      <c r="BK266" s="243"/>
      <c r="BL266" s="243"/>
      <c r="BM266" s="243"/>
      <c r="BN266" s="243"/>
      <c r="BO266" s="243"/>
      <c r="BP266" s="243"/>
      <c r="BQ266" s="243"/>
      <c r="BR266" s="243"/>
      <c r="BS266" s="243"/>
      <c r="BT266" s="243"/>
      <c r="BU266" s="243"/>
      <c r="BV266" s="243"/>
      <c r="BW266" s="243"/>
      <c r="BX266" s="243"/>
      <c r="BY266" s="243"/>
      <c r="BZ266" s="243"/>
      <c r="CA266" s="243"/>
      <c r="CB266" s="243"/>
      <c r="CC266" s="243"/>
      <c r="CD266" s="243"/>
      <c r="CE266" s="243"/>
      <c r="CF266" s="243"/>
      <c r="CG266" s="243"/>
      <c r="CH266" s="243"/>
      <c r="CI266" s="243"/>
      <c r="CJ266" s="243"/>
      <c r="CK266" s="243"/>
      <c r="CL266" s="243"/>
      <c r="CM266" s="243"/>
      <c r="CN266" s="243"/>
      <c r="CO266" s="243"/>
      <c r="CP266" s="243"/>
      <c r="CQ266" s="243"/>
      <c r="CR266" s="243"/>
      <c r="CS266" s="243"/>
      <c r="CT266" s="243"/>
      <c r="CU266" s="243"/>
      <c r="CV266" s="243"/>
      <c r="CW266" s="243"/>
      <c r="CX266" s="243"/>
      <c r="CY266" s="243"/>
      <c r="CZ266" s="243"/>
      <c r="DA266" s="243"/>
      <c r="DB266" s="243"/>
      <c r="DC266" s="243"/>
      <c r="DD266" s="243"/>
      <c r="DE266" s="243"/>
      <c r="DF266" s="243"/>
      <c r="DG266" s="243"/>
      <c r="DH266" s="243"/>
      <c r="DI266" s="243"/>
      <c r="DJ266" s="243"/>
      <c r="DK266" s="243"/>
      <c r="DL266" s="243"/>
      <c r="DM266" s="243"/>
      <c r="DN266" s="243"/>
      <c r="DO266" s="243"/>
      <c r="DP266" s="243"/>
      <c r="DQ266" s="243"/>
      <c r="DR266" s="243"/>
      <c r="DS266" s="243"/>
      <c r="DT266" s="243"/>
      <c r="DU266" s="243"/>
      <c r="DV266" s="243"/>
      <c r="DW266" s="243"/>
      <c r="DX266" s="243"/>
      <c r="DY266" s="243"/>
      <c r="DZ266" s="243"/>
      <c r="EA266" s="243"/>
      <c r="EB266" s="243"/>
      <c r="EC266" s="243"/>
      <c r="ED266" s="243"/>
      <c r="EE266" s="243"/>
      <c r="EF266" s="243"/>
      <c r="EG266" s="243"/>
      <c r="EH266" s="243"/>
      <c r="EI266" s="243"/>
      <c r="EJ266" s="243"/>
      <c r="EK266" s="243"/>
      <c r="EL266" s="243"/>
      <c r="EM266" s="243"/>
      <c r="EN266" s="243"/>
      <c r="EO266" s="243"/>
      <c r="EP266" s="243"/>
      <c r="EQ266" s="243"/>
      <c r="ER266" s="243"/>
      <c r="ES266" s="243"/>
      <c r="ET266" s="243"/>
      <c r="EU266" s="243"/>
      <c r="EV266" s="243"/>
      <c r="EW266" s="243"/>
      <c r="EX266" s="243"/>
      <c r="EY266" s="243"/>
      <c r="EZ266" s="243"/>
      <c r="FA266" s="243"/>
      <c r="FB266" s="243"/>
      <c r="FC266" s="243"/>
      <c r="FD266" s="243"/>
      <c r="FE266" s="243"/>
      <c r="FF266" s="243"/>
      <c r="FG266" s="243"/>
      <c r="FH266" s="243"/>
      <c r="FI266" s="243"/>
      <c r="FJ266" s="243"/>
      <c r="FK266" s="243"/>
      <c r="FL266" s="243"/>
      <c r="FM266" s="243"/>
      <c r="FN266" s="243"/>
      <c r="FO266" s="243"/>
      <c r="FP266" s="243"/>
      <c r="FQ266" s="243"/>
      <c r="FR266" s="243"/>
      <c r="FS266" s="243"/>
      <c r="FT266" s="243"/>
      <c r="FU266" s="243"/>
      <c r="FV266" s="243"/>
      <c r="FW266" s="243"/>
      <c r="FX266" s="243"/>
      <c r="FY266" s="243"/>
      <c r="FZ266" s="243"/>
      <c r="GA266" s="243"/>
      <c r="GB266" s="243"/>
      <c r="GC266" s="243"/>
      <c r="GD266" s="243"/>
      <c r="GE266" s="243"/>
      <c r="GF266" s="243"/>
      <c r="GG266" s="243"/>
      <c r="GH266" s="243"/>
      <c r="GI266" s="243"/>
      <c r="GJ266" s="243"/>
      <c r="GK266" s="243"/>
      <c r="GL266" s="243"/>
      <c r="GM266" s="243"/>
      <c r="GN266" s="243"/>
      <c r="GO266" s="243"/>
      <c r="GP266" s="243"/>
      <c r="GQ266" s="243"/>
      <c r="GR266" s="243"/>
      <c r="GS266" s="243"/>
      <c r="GT266" s="243"/>
      <c r="GU266" s="243"/>
      <c r="GV266" s="243"/>
      <c r="GW266" s="243"/>
      <c r="GX266" s="243"/>
      <c r="GY266" s="243"/>
      <c r="GZ266" s="243"/>
      <c r="HA266" s="243"/>
      <c r="HB266" s="243"/>
      <c r="HC266" s="243"/>
      <c r="HD266" s="243"/>
      <c r="HE266" s="243"/>
      <c r="HF266" s="243"/>
      <c r="HG266" s="243"/>
      <c r="HH266" s="243"/>
      <c r="HI266" s="243"/>
      <c r="HJ266" s="243"/>
      <c r="HK266" s="243"/>
      <c r="HL266" s="243"/>
      <c r="HM266" s="243"/>
      <c r="HN266" s="243"/>
      <c r="HO266" s="243"/>
      <c r="HP266" s="243"/>
      <c r="HQ266" s="243"/>
      <c r="HR266" s="243"/>
      <c r="HS266" s="243"/>
      <c r="HT266" s="243"/>
      <c r="HU266" s="243"/>
      <c r="HV266" s="243"/>
      <c r="HW266" s="243"/>
      <c r="HX266" s="243"/>
      <c r="HY266" s="243"/>
      <c r="HZ266" s="243"/>
      <c r="IA266" s="243"/>
      <c r="IB266" s="243"/>
      <c r="IC266" s="243"/>
      <c r="ID266" s="243"/>
      <c r="IE266" s="243"/>
      <c r="IF266" s="243"/>
      <c r="IG266" s="243"/>
      <c r="IH266" s="243"/>
      <c r="II266" s="243"/>
      <c r="IJ266" s="243"/>
      <c r="IK266" s="243"/>
      <c r="IL266" s="243"/>
      <c r="IM266" s="243"/>
      <c r="IN266" s="243"/>
      <c r="IO266" s="243"/>
      <c r="IP266" s="243"/>
      <c r="IQ266" s="243"/>
      <c r="IR266" s="243"/>
      <c r="IS266" s="243"/>
      <c r="IT266" s="243"/>
      <c r="IU266" s="243"/>
      <c r="IV266" s="243"/>
      <c r="IW266" s="243"/>
      <c r="IX266" s="243"/>
      <c r="IY266" s="243"/>
      <c r="IZ266" s="243"/>
      <c r="JA266" s="243"/>
      <c r="JB266" s="243"/>
      <c r="JC266" s="243"/>
      <c r="JD266" s="243"/>
      <c r="JE266" s="243"/>
      <c r="JF266" s="243"/>
      <c r="JG266" s="243"/>
      <c r="JH266" s="243"/>
      <c r="JI266" s="243"/>
      <c r="JJ266" s="243"/>
      <c r="JK266" s="243"/>
      <c r="JL266" s="243"/>
      <c r="JM266" s="243"/>
      <c r="JN266" s="243"/>
      <c r="JO266" s="243"/>
      <c r="JP266" s="243"/>
      <c r="JQ266" s="243"/>
      <c r="JR266" s="243"/>
      <c r="JS266" s="243"/>
      <c r="JT266" s="243"/>
      <c r="JU266" s="243"/>
      <c r="JV266" s="243"/>
      <c r="JW266" s="243"/>
      <c r="JX266" s="243"/>
      <c r="JY266" s="243"/>
      <c r="JZ266" s="243"/>
      <c r="KA266" s="243"/>
      <c r="KB266" s="243"/>
      <c r="KC266" s="243"/>
      <c r="KD266" s="243"/>
      <c r="KE266" s="243"/>
      <c r="KF266" s="243"/>
      <c r="KG266" s="243"/>
      <c r="KH266" s="243"/>
      <c r="KI266" s="243"/>
      <c r="KJ266" s="243"/>
      <c r="KK266" s="243"/>
      <c r="KL266" s="243"/>
      <c r="KM266" s="243"/>
      <c r="KN266" s="243"/>
      <c r="KO266" s="243"/>
      <c r="KP266" s="243"/>
      <c r="KQ266" s="243"/>
      <c r="KR266" s="243"/>
      <c r="KS266" s="243"/>
      <c r="KT266" s="243"/>
      <c r="KU266" s="243"/>
      <c r="KV266" s="243"/>
      <c r="KW266" s="243"/>
      <c r="KX266" s="243"/>
      <c r="KY266" s="243"/>
      <c r="KZ266" s="243"/>
      <c r="LA266" s="243"/>
      <c r="LB266" s="243"/>
      <c r="LC266" s="243"/>
      <c r="LD266" s="243"/>
      <c r="LE266" s="243"/>
      <c r="LF266" s="243"/>
      <c r="LG266" s="243"/>
      <c r="LH266" s="243"/>
      <c r="LI266" s="243"/>
      <c r="LJ266" s="243"/>
      <c r="LK266" s="243"/>
      <c r="LL266" s="243"/>
      <c r="LM266" s="243"/>
      <c r="LN266" s="243"/>
      <c r="LO266" s="243"/>
      <c r="LP266" s="243"/>
      <c r="LQ266" s="243"/>
      <c r="LR266" s="243"/>
      <c r="LS266" s="243"/>
      <c r="LT266" s="243"/>
      <c r="LU266" s="243"/>
      <c r="LV266" s="243"/>
      <c r="LW266" s="243"/>
      <c r="LX266" s="243"/>
      <c r="LY266" s="243"/>
      <c r="LZ266" s="243"/>
      <c r="MA266" s="243"/>
      <c r="MB266" s="243"/>
      <c r="MC266" s="243"/>
      <c r="MD266" s="243"/>
      <c r="ME266" s="243"/>
      <c r="MF266" s="243"/>
      <c r="MG266" s="243"/>
      <c r="MH266" s="243"/>
      <c r="MI266" s="243"/>
      <c r="MJ266" s="243"/>
      <c r="MK266" s="243"/>
      <c r="ML266" s="243"/>
      <c r="MM266" s="243"/>
      <c r="MN266" s="243"/>
      <c r="MO266" s="243"/>
      <c r="MP266" s="243"/>
      <c r="MQ266" s="243"/>
      <c r="MR266" s="243"/>
      <c r="MS266" s="243"/>
      <c r="MT266" s="243"/>
      <c r="MU266" s="243"/>
      <c r="MV266" s="243"/>
      <c r="MW266" s="243"/>
      <c r="MX266" s="243"/>
      <c r="MY266" s="243"/>
      <c r="MZ266" s="243"/>
      <c r="NA266" s="243"/>
      <c r="NB266" s="243"/>
      <c r="NC266" s="243"/>
      <c r="ND266" s="243"/>
      <c r="NE266" s="243"/>
      <c r="NF266" s="243"/>
      <c r="NG266" s="243"/>
      <c r="NH266" s="243"/>
      <c r="NI266" s="243"/>
      <c r="NJ266" s="243"/>
      <c r="NK266" s="243"/>
      <c r="NL266" s="243"/>
      <c r="NM266" s="243"/>
      <c r="NN266" s="243"/>
      <c r="NO266" s="243"/>
      <c r="NP266" s="243"/>
      <c r="NQ266" s="243"/>
      <c r="NR266" s="243"/>
      <c r="NS266" s="243"/>
      <c r="NT266" s="243"/>
      <c r="NU266" s="243"/>
      <c r="NV266" s="243"/>
      <c r="NW266" s="243"/>
      <c r="NX266" s="243"/>
      <c r="NY266" s="243"/>
      <c r="NZ266" s="243"/>
      <c r="OA266" s="243"/>
      <c r="OB266" s="243"/>
      <c r="OC266" s="243"/>
      <c r="OD266" s="243"/>
      <c r="OE266" s="243"/>
      <c r="OF266" s="243"/>
      <c r="OG266" s="243"/>
      <c r="OH266" s="243"/>
      <c r="OI266" s="243"/>
      <c r="OJ266" s="243"/>
      <c r="OK266" s="243"/>
      <c r="OL266" s="243"/>
      <c r="OM266" s="243"/>
      <c r="ON266" s="243"/>
      <c r="OO266" s="243"/>
      <c r="OP266" s="243"/>
      <c r="OQ266" s="243"/>
      <c r="OR266" s="243"/>
      <c r="OS266" s="243"/>
      <c r="OT266" s="243"/>
      <c r="OU266" s="243"/>
      <c r="OV266" s="243"/>
      <c r="OW266" s="243"/>
      <c r="OX266" s="243"/>
      <c r="OY266" s="243"/>
      <c r="OZ266" s="243"/>
      <c r="PA266" s="243"/>
      <c r="PB266" s="243"/>
      <c r="PC266" s="243"/>
      <c r="PD266" s="243"/>
      <c r="PE266" s="243"/>
      <c r="PF266" s="243"/>
      <c r="PG266" s="243"/>
      <c r="PH266" s="243"/>
      <c r="PI266" s="243"/>
      <c r="PJ266" s="243"/>
      <c r="PK266" s="243"/>
      <c r="PL266" s="243"/>
      <c r="PM266" s="243"/>
      <c r="PN266" s="243"/>
      <c r="PO266" s="243"/>
      <c r="PP266" s="243"/>
      <c r="PQ266" s="243"/>
      <c r="PR266" s="243"/>
      <c r="PS266" s="243"/>
      <c r="PT266" s="243"/>
      <c r="PU266" s="243"/>
      <c r="PV266" s="243"/>
      <c r="PW266" s="243"/>
      <c r="PX266" s="243"/>
      <c r="PY266" s="243"/>
      <c r="PZ266" s="243"/>
      <c r="QA266" s="243"/>
      <c r="QB266" s="243"/>
      <c r="QC266" s="243"/>
      <c r="QD266" s="243"/>
      <c r="QE266" s="243"/>
      <c r="QF266" s="243"/>
      <c r="QG266" s="243"/>
      <c r="QH266" s="243"/>
      <c r="QI266" s="243"/>
      <c r="QJ266" s="243"/>
      <c r="QK266" s="243"/>
      <c r="QL266" s="243"/>
      <c r="QM266" s="243"/>
      <c r="QN266" s="243"/>
      <c r="QO266" s="243"/>
      <c r="QP266" s="243"/>
      <c r="QQ266" s="243"/>
      <c r="QR266" s="243"/>
      <c r="QS266" s="243"/>
      <c r="QT266" s="243"/>
      <c r="QU266" s="243"/>
      <c r="QV266" s="243"/>
      <c r="QW266" s="243"/>
      <c r="QX266" s="243"/>
      <c r="QY266" s="243"/>
      <c r="QZ266" s="243"/>
      <c r="RA266" s="243"/>
      <c r="RB266" s="243"/>
      <c r="RC266" s="243"/>
      <c r="RD266" s="243"/>
      <c r="RE266" s="243"/>
      <c r="RF266" s="243"/>
      <c r="RG266" s="243"/>
      <c r="RH266" s="243"/>
      <c r="RI266" s="243"/>
      <c r="RJ266" s="243"/>
      <c r="RK266" s="243"/>
      <c r="RL266" s="243"/>
      <c r="RM266" s="243"/>
      <c r="RN266" s="243"/>
      <c r="RO266" s="243"/>
      <c r="RP266" s="243"/>
      <c r="RQ266" s="243"/>
      <c r="RR266" s="243"/>
      <c r="RS266" s="243"/>
      <c r="RT266" s="243"/>
      <c r="RU266" s="243"/>
      <c r="RV266" s="243"/>
      <c r="RW266" s="243"/>
      <c r="RX266" s="243"/>
      <c r="RY266" s="243"/>
      <c r="RZ266" s="243"/>
      <c r="SA266" s="243"/>
      <c r="SB266" s="243"/>
      <c r="SC266" s="243"/>
      <c r="SD266" s="243"/>
      <c r="SE266" s="243"/>
      <c r="SF266" s="243"/>
      <c r="SG266" s="243"/>
      <c r="SH266" s="243"/>
      <c r="SI266" s="243"/>
      <c r="SJ266" s="243"/>
      <c r="SK266" s="243"/>
      <c r="SL266" s="243"/>
      <c r="SM266" s="243"/>
      <c r="SN266" s="243"/>
      <c r="SO266" s="243"/>
      <c r="SP266" s="243"/>
      <c r="SQ266" s="243"/>
      <c r="SR266" s="243"/>
      <c r="SS266" s="243"/>
      <c r="ST266" s="243"/>
      <c r="SU266" s="243"/>
      <c r="SV266" s="243"/>
      <c r="SW266" s="243"/>
      <c r="SX266" s="243"/>
      <c r="SY266" s="243"/>
      <c r="SZ266" s="243"/>
      <c r="TA266" s="243"/>
      <c r="TB266" s="243"/>
      <c r="TC266" s="243"/>
      <c r="TD266" s="243"/>
      <c r="TE266" s="243"/>
      <c r="TF266" s="243"/>
      <c r="TG266" s="243"/>
      <c r="TH266" s="243"/>
      <c r="TI266" s="243"/>
      <c r="TJ266" s="243"/>
      <c r="TK266" s="243"/>
      <c r="TL266" s="243"/>
      <c r="TM266" s="243"/>
      <c r="TN266" s="243"/>
      <c r="TO266" s="243"/>
      <c r="TP266" s="243"/>
      <c r="TQ266" s="243"/>
      <c r="TR266" s="243"/>
      <c r="TS266" s="243"/>
      <c r="TT266" s="243"/>
      <c r="TU266" s="243"/>
      <c r="TV266" s="243"/>
      <c r="TW266" s="243"/>
      <c r="TX266" s="243"/>
      <c r="TY266" s="243"/>
      <c r="TZ266" s="243"/>
      <c r="UA266" s="243"/>
      <c r="UB266" s="243"/>
      <c r="UC266" s="243"/>
      <c r="UD266" s="243"/>
      <c r="UE266" s="243"/>
      <c r="UF266" s="243"/>
      <c r="UG266" s="243"/>
      <c r="UH266" s="243"/>
      <c r="UI266" s="243"/>
      <c r="UJ266" s="243"/>
      <c r="UK266" s="243"/>
      <c r="UL266" s="243"/>
      <c r="UM266" s="243"/>
      <c r="UN266" s="243"/>
      <c r="UO266" s="243"/>
      <c r="UP266" s="243"/>
      <c r="UQ266" s="243"/>
      <c r="UR266" s="243"/>
      <c r="US266" s="243"/>
      <c r="UT266" s="243"/>
      <c r="UU266" s="243"/>
      <c r="UV266" s="243"/>
      <c r="UW266" s="243"/>
      <c r="UX266" s="243"/>
      <c r="UY266" s="243"/>
      <c r="UZ266" s="243"/>
      <c r="VA266" s="243"/>
      <c r="VB266" s="243"/>
      <c r="VC266" s="243"/>
      <c r="VD266" s="243"/>
      <c r="VE266" s="243"/>
      <c r="VF266" s="243"/>
      <c r="VG266" s="243"/>
      <c r="VH266" s="243"/>
      <c r="VI266" s="243"/>
      <c r="VJ266" s="243"/>
      <c r="VK266" s="243"/>
      <c r="VL266" s="243"/>
      <c r="VM266" s="243"/>
      <c r="VN266" s="243"/>
      <c r="VO266" s="243"/>
      <c r="VP266" s="243"/>
      <c r="VQ266" s="243"/>
      <c r="VR266" s="243"/>
      <c r="VS266" s="243"/>
      <c r="VT266" s="243"/>
      <c r="VU266" s="243"/>
      <c r="VV266" s="243"/>
      <c r="VW266" s="243"/>
      <c r="VX266" s="243"/>
      <c r="VY266" s="243"/>
      <c r="VZ266" s="243"/>
      <c r="WA266" s="243"/>
      <c r="WB266" s="243"/>
      <c r="WC266" s="243"/>
      <c r="WD266" s="243"/>
      <c r="WE266" s="243"/>
      <c r="WF266" s="243"/>
      <c r="WG266" s="243"/>
      <c r="WH266" s="243"/>
      <c r="WI266" s="243"/>
      <c r="WJ266" s="243"/>
      <c r="WK266" s="243"/>
      <c r="WL266" s="243"/>
      <c r="WM266" s="243"/>
      <c r="WN266" s="243"/>
      <c r="WO266" s="243"/>
      <c r="WP266" s="243"/>
      <c r="WQ266" s="243"/>
      <c r="WR266" s="243"/>
      <c r="WS266" s="243"/>
      <c r="WT266" s="243"/>
      <c r="WU266" s="243"/>
      <c r="WV266" s="243"/>
      <c r="WW266" s="243"/>
      <c r="WX266" s="243"/>
      <c r="WY266" s="243"/>
      <c r="WZ266" s="243"/>
      <c r="XA266" s="243"/>
      <c r="XB266" s="243"/>
      <c r="XC266" s="243"/>
      <c r="XD266" s="243"/>
      <c r="XE266" s="243"/>
      <c r="XF266" s="243"/>
      <c r="XG266" s="243"/>
      <c r="XH266" s="243"/>
      <c r="XI266" s="243"/>
      <c r="XJ266" s="243"/>
      <c r="XK266" s="243"/>
      <c r="XL266" s="243"/>
      <c r="XM266" s="243"/>
      <c r="XN266" s="243"/>
      <c r="XO266" s="243"/>
      <c r="XP266" s="243"/>
      <c r="XQ266" s="243"/>
      <c r="XR266" s="243"/>
      <c r="XS266" s="243"/>
      <c r="XT266" s="243"/>
      <c r="XU266" s="243"/>
      <c r="XV266" s="243"/>
      <c r="XW266" s="243"/>
      <c r="XX266" s="243"/>
      <c r="XY266" s="243"/>
      <c r="XZ266" s="243"/>
      <c r="YA266" s="243"/>
      <c r="YB266" s="243"/>
      <c r="YC266" s="243"/>
      <c r="YD266" s="243"/>
      <c r="YE266" s="243"/>
      <c r="YF266" s="243"/>
      <c r="YG266" s="243"/>
      <c r="YH266" s="243"/>
      <c r="YI266" s="243"/>
      <c r="YJ266" s="243"/>
      <c r="YK266" s="243"/>
      <c r="YL266" s="243"/>
      <c r="YM266" s="243"/>
      <c r="YN266" s="243"/>
      <c r="YO266" s="243"/>
      <c r="YP266" s="243"/>
      <c r="YQ266" s="243"/>
      <c r="YR266" s="243"/>
      <c r="YS266" s="243"/>
      <c r="YT266" s="243"/>
      <c r="YU266" s="243"/>
      <c r="YV266" s="243"/>
      <c r="YW266" s="243"/>
      <c r="YX266" s="243"/>
      <c r="YY266" s="243"/>
      <c r="YZ266" s="243"/>
      <c r="ZA266" s="243"/>
      <c r="ZB266" s="243"/>
      <c r="ZC266" s="243"/>
      <c r="ZD266" s="243"/>
      <c r="ZE266" s="243"/>
      <c r="ZF266" s="243"/>
      <c r="ZG266" s="243"/>
      <c r="ZH266" s="243"/>
      <c r="ZI266" s="243"/>
      <c r="ZJ266" s="243"/>
      <c r="ZK266" s="243"/>
      <c r="ZL266" s="243"/>
      <c r="ZM266" s="243"/>
      <c r="ZN266" s="243"/>
      <c r="ZO266" s="243"/>
      <c r="ZP266" s="243"/>
      <c r="ZQ266" s="243"/>
      <c r="ZR266" s="243"/>
      <c r="ZS266" s="243"/>
      <c r="ZT266" s="243"/>
      <c r="ZU266" s="243"/>
      <c r="ZV266" s="243"/>
      <c r="ZW266" s="243"/>
      <c r="ZX266" s="243"/>
      <c r="ZY266" s="243"/>
      <c r="ZZ266" s="243"/>
      <c r="AAA266" s="243"/>
      <c r="AAB266" s="243"/>
      <c r="AAC266" s="243"/>
      <c r="AAD266" s="243"/>
      <c r="AAE266" s="243"/>
      <c r="AAF266" s="243"/>
      <c r="AAG266" s="243"/>
      <c r="AAH266" s="243"/>
      <c r="AAI266" s="243"/>
      <c r="AAJ266" s="243"/>
      <c r="AAK266" s="243"/>
      <c r="AAL266" s="243"/>
      <c r="AAM266" s="243"/>
      <c r="AAN266" s="243"/>
      <c r="AAO266" s="243"/>
      <c r="AAP266" s="243"/>
      <c r="AAQ266" s="243"/>
      <c r="AAR266" s="243"/>
      <c r="AAS266" s="243"/>
      <c r="AAT266" s="243"/>
      <c r="AAU266" s="243"/>
      <c r="AAV266" s="243"/>
      <c r="AAW266" s="243"/>
      <c r="AAX266" s="243"/>
      <c r="AAY266" s="243"/>
      <c r="AAZ266" s="243"/>
      <c r="ABA266" s="243"/>
      <c r="ABB266" s="243"/>
      <c r="ABC266" s="243"/>
      <c r="ABD266" s="243"/>
      <c r="ABE266" s="243"/>
      <c r="ABF266" s="243"/>
      <c r="ABG266" s="243"/>
      <c r="ABH266" s="243"/>
      <c r="ABI266" s="243"/>
      <c r="ABJ266" s="243"/>
      <c r="ABK266" s="243"/>
      <c r="ABL266" s="243"/>
      <c r="ABM266" s="243"/>
      <c r="ABN266" s="243"/>
      <c r="ABO266" s="243"/>
      <c r="ABP266" s="243"/>
      <c r="ABQ266" s="243"/>
      <c r="ABR266" s="243"/>
      <c r="ABS266" s="243"/>
      <c r="ABT266" s="243"/>
      <c r="ABU266" s="243"/>
      <c r="ABV266" s="243"/>
      <c r="ABW266" s="243"/>
      <c r="ABX266" s="243"/>
      <c r="ABY266" s="243"/>
      <c r="ABZ266" s="243"/>
      <c r="ACA266" s="243"/>
      <c r="ACB266" s="243"/>
      <c r="ACC266" s="243"/>
      <c r="ACD266" s="243"/>
      <c r="ACE266" s="243"/>
      <c r="ACF266" s="243"/>
      <c r="ACG266" s="243"/>
      <c r="ACH266" s="243"/>
      <c r="ACI266" s="243"/>
      <c r="ACJ266" s="243"/>
      <c r="ACK266" s="243"/>
      <c r="ACL266" s="243"/>
      <c r="ACM266" s="243"/>
      <c r="ACN266" s="243"/>
      <c r="ACO266" s="243"/>
      <c r="ACP266" s="243"/>
      <c r="ACQ266" s="243"/>
      <c r="ACR266" s="243"/>
      <c r="ACS266" s="243"/>
      <c r="ACT266" s="243"/>
      <c r="ACU266" s="243"/>
      <c r="ACV266" s="243"/>
      <c r="ACW266" s="243"/>
      <c r="ACX266" s="243"/>
      <c r="ACY266" s="243"/>
      <c r="ACZ266" s="243"/>
      <c r="ADA266" s="243"/>
      <c r="ADB266" s="243"/>
      <c r="ADC266" s="243"/>
      <c r="ADD266" s="243"/>
      <c r="ADE266" s="243"/>
      <c r="ADF266" s="243"/>
      <c r="ADG266" s="243"/>
      <c r="ADH266" s="243"/>
      <c r="ADI266" s="243"/>
      <c r="ADJ266" s="243"/>
      <c r="ADK266" s="243"/>
      <c r="ADL266" s="243"/>
      <c r="ADM266" s="243"/>
      <c r="ADN266" s="243"/>
      <c r="ADO266" s="243"/>
      <c r="ADP266" s="243"/>
      <c r="ADQ266" s="243"/>
      <c r="ADR266" s="243"/>
      <c r="ADS266" s="243"/>
      <c r="ADT266" s="243"/>
      <c r="ADU266" s="243"/>
      <c r="ADV266" s="243"/>
      <c r="ADW266" s="243"/>
      <c r="ADX266" s="243"/>
      <c r="ADY266" s="243"/>
      <c r="ADZ266" s="243"/>
      <c r="AEA266" s="243"/>
      <c r="AEB266" s="243"/>
      <c r="AEC266" s="243"/>
      <c r="AED266" s="243"/>
      <c r="AEE266" s="243"/>
      <c r="AEF266" s="243"/>
      <c r="AEG266" s="243"/>
      <c r="AEH266" s="243"/>
      <c r="AEI266" s="243"/>
      <c r="AEJ266" s="243"/>
      <c r="AEK266" s="243"/>
      <c r="AEL266" s="243"/>
      <c r="AEM266" s="243"/>
      <c r="AEN266" s="243"/>
      <c r="AEO266" s="243"/>
      <c r="AEP266" s="243"/>
      <c r="AEQ266" s="243"/>
      <c r="AER266" s="243"/>
      <c r="AES266" s="243"/>
      <c r="AET266" s="243"/>
      <c r="AEU266" s="243"/>
      <c r="AEV266" s="243"/>
      <c r="AEW266" s="243"/>
      <c r="AEX266" s="243"/>
      <c r="AEY266" s="243"/>
      <c r="AEZ266" s="243"/>
      <c r="AFA266" s="243"/>
      <c r="AFB266" s="243"/>
      <c r="AFC266" s="243"/>
      <c r="AFD266" s="243"/>
      <c r="AFE266" s="243"/>
      <c r="AFF266" s="243"/>
      <c r="AFG266" s="243"/>
      <c r="AFH266" s="243"/>
      <c r="AFI266" s="243"/>
      <c r="AFJ266" s="243"/>
      <c r="AFK266" s="243"/>
      <c r="AFL266" s="243"/>
      <c r="AFM266" s="243"/>
      <c r="AFN266" s="243"/>
      <c r="AFO266" s="243"/>
      <c r="AFP266" s="243"/>
      <c r="AFQ266" s="243"/>
      <c r="AFR266" s="243"/>
      <c r="AFS266" s="243"/>
      <c r="AFT266" s="243"/>
      <c r="AFU266" s="243"/>
      <c r="AFV266" s="243"/>
      <c r="AFW266" s="243"/>
      <c r="AFX266" s="243"/>
      <c r="AFY266" s="243"/>
      <c r="AFZ266" s="243"/>
      <c r="AGA266" s="243"/>
      <c r="AGB266" s="243"/>
      <c r="AGC266" s="243"/>
      <c r="AGD266" s="243"/>
      <c r="AGE266" s="243"/>
      <c r="AGF266" s="243"/>
      <c r="AGG266" s="243"/>
      <c r="AGH266" s="243"/>
      <c r="AGI266" s="243"/>
      <c r="AGJ266" s="243"/>
      <c r="AGK266" s="243"/>
      <c r="AGL266" s="243"/>
      <c r="AGM266" s="243"/>
      <c r="AGN266" s="243"/>
      <c r="AGO266" s="243"/>
      <c r="AGP266" s="243"/>
      <c r="AGQ266" s="243"/>
      <c r="AGR266" s="243"/>
      <c r="AGS266" s="243"/>
      <c r="AGT266" s="243"/>
      <c r="AGU266" s="243"/>
      <c r="AGV266" s="243"/>
      <c r="AGW266" s="243"/>
      <c r="AGX266" s="243"/>
      <c r="AGY266" s="243"/>
      <c r="AGZ266" s="243"/>
      <c r="AHA266" s="243"/>
      <c r="AHB266" s="243"/>
      <c r="AHC266" s="243"/>
      <c r="AHD266" s="243"/>
      <c r="AHE266" s="243"/>
      <c r="AHF266" s="243"/>
      <c r="AHG266" s="243"/>
      <c r="AHH266" s="243"/>
      <c r="AHI266" s="243"/>
      <c r="AHJ266" s="243"/>
      <c r="AHK266" s="243"/>
      <c r="AHL266" s="243"/>
      <c r="AHM266" s="243"/>
      <c r="AHN266" s="243"/>
      <c r="AHO266" s="243"/>
      <c r="AHP266" s="243"/>
      <c r="AHQ266" s="243"/>
      <c r="AHR266" s="243"/>
      <c r="AHS266" s="243"/>
      <c r="AHT266" s="243"/>
      <c r="AHU266" s="243"/>
      <c r="AHV266" s="243"/>
      <c r="AHW266" s="243"/>
      <c r="AHX266" s="243"/>
      <c r="AHY266" s="243"/>
      <c r="AHZ266" s="243"/>
      <c r="AIA266" s="243"/>
      <c r="AIB266" s="243"/>
      <c r="AIC266" s="243"/>
      <c r="AID266" s="243"/>
      <c r="AIE266" s="243"/>
      <c r="AIF266" s="243"/>
      <c r="AIG266" s="243"/>
      <c r="AIH266" s="243"/>
      <c r="AII266" s="243"/>
      <c r="AIJ266" s="243"/>
      <c r="AIK266" s="243"/>
      <c r="AIL266" s="243"/>
      <c r="AIM266" s="243"/>
      <c r="AIN266" s="243"/>
      <c r="AIO266" s="243"/>
      <c r="AIP266" s="243"/>
      <c r="AIQ266" s="243"/>
      <c r="AIR266" s="243"/>
      <c r="AIS266" s="243"/>
      <c r="AIT266" s="243"/>
      <c r="AIU266" s="243"/>
      <c r="AIV266" s="243"/>
      <c r="AIW266" s="243"/>
      <c r="AIX266" s="243"/>
      <c r="AIY266" s="243"/>
      <c r="AIZ266" s="243"/>
      <c r="AJA266" s="243"/>
      <c r="AJB266" s="243"/>
      <c r="AJC266" s="243"/>
      <c r="AJD266" s="243"/>
      <c r="AJE266" s="243"/>
      <c r="AJF266" s="243"/>
      <c r="AJG266" s="243"/>
      <c r="AJH266" s="243"/>
      <c r="AJI266" s="243"/>
      <c r="AJJ266" s="243"/>
      <c r="AJK266" s="243"/>
      <c r="AJL266" s="243"/>
      <c r="AJM266" s="243"/>
      <c r="AJN266" s="243"/>
      <c r="AJO266" s="243"/>
      <c r="AJP266" s="243"/>
      <c r="AJQ266" s="243"/>
      <c r="AJR266" s="243"/>
      <c r="AJS266" s="243"/>
      <c r="AJT266" s="243"/>
      <c r="AJU266" s="243"/>
      <c r="AJV266" s="243"/>
      <c r="AJW266" s="243"/>
      <c r="AJX266" s="243"/>
      <c r="AJY266" s="243"/>
      <c r="AJZ266" s="243"/>
      <c r="AKA266" s="243"/>
      <c r="AKB266" s="243"/>
      <c r="AKC266" s="243"/>
      <c r="AKD266" s="243"/>
      <c r="AKE266" s="243"/>
      <c r="AKF266" s="243"/>
      <c r="AKG266" s="243"/>
      <c r="AKH266" s="243"/>
      <c r="AKI266" s="243"/>
      <c r="AKJ266" s="243"/>
      <c r="AKK266" s="243"/>
      <c r="AKL266" s="243"/>
      <c r="AKM266" s="243"/>
      <c r="AKN266" s="243"/>
      <c r="AKO266" s="243"/>
      <c r="AKP266" s="243"/>
      <c r="AKQ266" s="243"/>
      <c r="AKR266" s="243"/>
      <c r="AKS266" s="243"/>
      <c r="AKT266" s="243"/>
      <c r="AKU266" s="243"/>
      <c r="AKV266" s="243"/>
      <c r="AKW266" s="243"/>
      <c r="AKX266" s="243"/>
      <c r="AKY266" s="243"/>
      <c r="AKZ266" s="243"/>
      <c r="ALA266" s="243"/>
      <c r="ALB266" s="243"/>
      <c r="ALC266" s="243"/>
      <c r="ALD266" s="243"/>
      <c r="ALE266" s="243"/>
      <c r="ALF266" s="243"/>
      <c r="ALG266" s="243"/>
      <c r="ALH266" s="243"/>
      <c r="ALI266" s="243"/>
      <c r="ALJ266" s="243"/>
      <c r="ALK266" s="243"/>
      <c r="ALL266" s="243"/>
      <c r="ALM266" s="243"/>
      <c r="ALN266" s="243"/>
      <c r="ALO266" s="243"/>
      <c r="ALP266" s="243"/>
      <c r="ALQ266" s="243"/>
      <c r="ALR266" s="243"/>
      <c r="ALS266" s="243"/>
      <c r="ALT266" s="243"/>
      <c r="ALU266" s="243"/>
      <c r="ALV266" s="243"/>
      <c r="ALW266" s="243"/>
      <c r="ALX266" s="243"/>
      <c r="ALY266" s="243"/>
      <c r="ALZ266" s="243"/>
      <c r="AMA266" s="243"/>
      <c r="AMB266" s="243"/>
      <c r="AMC266" s="243"/>
      <c r="AMD266" s="243"/>
      <c r="AME266" s="243"/>
      <c r="AMF266" s="243"/>
      <c r="AMG266" s="243"/>
      <c r="AMH266" s="243"/>
      <c r="AMI266" s="244"/>
      <c r="AMJ266" s="244"/>
    </row>
    <row r="267" spans="1:1024" ht="11.25" customHeight="1">
      <c r="A267" s="925"/>
      <c r="B267" s="1033"/>
      <c r="C267" s="1033"/>
      <c r="D267" s="1035"/>
      <c r="E267" s="392"/>
      <c r="F267" s="390"/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243"/>
      <c r="S267" s="243"/>
      <c r="T267" s="243"/>
      <c r="U267" s="243"/>
      <c r="V267" s="243"/>
      <c r="W267" s="243"/>
      <c r="X267" s="243"/>
      <c r="Y267" s="243"/>
      <c r="Z267" s="243"/>
      <c r="AA267" s="243"/>
      <c r="AB267" s="243"/>
      <c r="AC267" s="243"/>
      <c r="AD267" s="243"/>
      <c r="AE267" s="243"/>
      <c r="AF267" s="243"/>
      <c r="AG267" s="243"/>
      <c r="AH267" s="243"/>
      <c r="AI267" s="243"/>
      <c r="AJ267" s="243"/>
      <c r="AK267" s="243"/>
      <c r="AL267" s="243"/>
      <c r="AM267" s="243"/>
      <c r="AN267" s="243"/>
      <c r="AO267" s="243"/>
      <c r="AP267" s="243"/>
      <c r="AQ267" s="243"/>
      <c r="AR267" s="243"/>
      <c r="AS267" s="243"/>
      <c r="AT267" s="243"/>
      <c r="AU267" s="243"/>
      <c r="AV267" s="243"/>
      <c r="AW267" s="243"/>
      <c r="AX267" s="243"/>
      <c r="AY267" s="243"/>
      <c r="AZ267" s="243"/>
      <c r="BA267" s="243"/>
      <c r="BB267" s="243"/>
      <c r="BC267" s="243"/>
      <c r="BD267" s="243"/>
      <c r="BE267" s="243"/>
      <c r="BF267" s="243"/>
      <c r="BG267" s="243"/>
      <c r="BH267" s="243"/>
      <c r="BI267" s="243"/>
      <c r="BJ267" s="243"/>
      <c r="BK267" s="243"/>
      <c r="BL267" s="243"/>
      <c r="BM267" s="243"/>
      <c r="BN267" s="243"/>
      <c r="BO267" s="243"/>
      <c r="BP267" s="243"/>
      <c r="BQ267" s="243"/>
      <c r="BR267" s="243"/>
      <c r="BS267" s="243"/>
      <c r="BT267" s="243"/>
      <c r="BU267" s="243"/>
      <c r="BV267" s="243"/>
      <c r="BW267" s="243"/>
      <c r="BX267" s="243"/>
      <c r="BY267" s="243"/>
      <c r="BZ267" s="243"/>
      <c r="CA267" s="243"/>
      <c r="CB267" s="243"/>
      <c r="CC267" s="243"/>
      <c r="CD267" s="243"/>
      <c r="CE267" s="243"/>
      <c r="CF267" s="243"/>
      <c r="CG267" s="243"/>
      <c r="CH267" s="243"/>
      <c r="CI267" s="243"/>
      <c r="CJ267" s="243"/>
      <c r="CK267" s="243"/>
      <c r="CL267" s="243"/>
      <c r="CM267" s="243"/>
      <c r="CN267" s="243"/>
      <c r="CO267" s="243"/>
      <c r="CP267" s="243"/>
      <c r="CQ267" s="243"/>
      <c r="CR267" s="243"/>
      <c r="CS267" s="243"/>
      <c r="CT267" s="243"/>
      <c r="CU267" s="243"/>
      <c r="CV267" s="243"/>
      <c r="CW267" s="243"/>
      <c r="CX267" s="243"/>
      <c r="CY267" s="243"/>
      <c r="CZ267" s="243"/>
      <c r="DA267" s="243"/>
      <c r="DB267" s="243"/>
      <c r="DC267" s="243"/>
      <c r="DD267" s="243"/>
      <c r="DE267" s="243"/>
      <c r="DF267" s="243"/>
      <c r="DG267" s="243"/>
      <c r="DH267" s="243"/>
      <c r="DI267" s="243"/>
      <c r="DJ267" s="243"/>
      <c r="DK267" s="243"/>
      <c r="DL267" s="243"/>
      <c r="DM267" s="243"/>
      <c r="DN267" s="243"/>
      <c r="DO267" s="243"/>
      <c r="DP267" s="243"/>
      <c r="DQ267" s="243"/>
      <c r="DR267" s="243"/>
      <c r="DS267" s="243"/>
      <c r="DT267" s="243"/>
      <c r="DU267" s="243"/>
      <c r="DV267" s="243"/>
      <c r="DW267" s="243"/>
      <c r="DX267" s="243"/>
      <c r="DY267" s="243"/>
      <c r="DZ267" s="243"/>
      <c r="EA267" s="243"/>
      <c r="EB267" s="243"/>
      <c r="EC267" s="243"/>
      <c r="ED267" s="243"/>
      <c r="EE267" s="243"/>
      <c r="EF267" s="243"/>
      <c r="EG267" s="243"/>
      <c r="EH267" s="243"/>
      <c r="EI267" s="243"/>
      <c r="EJ267" s="243"/>
      <c r="EK267" s="243"/>
      <c r="EL267" s="243"/>
      <c r="EM267" s="243"/>
      <c r="EN267" s="243"/>
      <c r="EO267" s="243"/>
      <c r="EP267" s="243"/>
      <c r="EQ267" s="243"/>
      <c r="ER267" s="243"/>
      <c r="ES267" s="243"/>
      <c r="ET267" s="243"/>
      <c r="EU267" s="243"/>
      <c r="EV267" s="243"/>
      <c r="EW267" s="243"/>
      <c r="EX267" s="243"/>
      <c r="EY267" s="243"/>
      <c r="EZ267" s="243"/>
      <c r="FA267" s="243"/>
      <c r="FB267" s="243"/>
      <c r="FC267" s="243"/>
      <c r="FD267" s="243"/>
      <c r="FE267" s="243"/>
      <c r="FF267" s="243"/>
      <c r="FG267" s="243"/>
      <c r="FH267" s="243"/>
      <c r="FI267" s="243"/>
      <c r="FJ267" s="243"/>
      <c r="FK267" s="243"/>
      <c r="FL267" s="243"/>
      <c r="FM267" s="243"/>
      <c r="FN267" s="243"/>
      <c r="FO267" s="243"/>
      <c r="FP267" s="243"/>
      <c r="FQ267" s="243"/>
      <c r="FR267" s="243"/>
      <c r="FS267" s="243"/>
      <c r="FT267" s="243"/>
      <c r="FU267" s="243"/>
      <c r="FV267" s="243"/>
      <c r="FW267" s="243"/>
      <c r="FX267" s="243"/>
      <c r="FY267" s="243"/>
      <c r="FZ267" s="243"/>
      <c r="GA267" s="243"/>
      <c r="GB267" s="243"/>
      <c r="GC267" s="243"/>
      <c r="GD267" s="243"/>
      <c r="GE267" s="243"/>
      <c r="GF267" s="243"/>
      <c r="GG267" s="243"/>
      <c r="GH267" s="243"/>
      <c r="GI267" s="243"/>
      <c r="GJ267" s="243"/>
      <c r="GK267" s="243"/>
      <c r="GL267" s="243"/>
      <c r="GM267" s="243"/>
      <c r="GN267" s="243"/>
      <c r="GO267" s="243"/>
      <c r="GP267" s="243"/>
      <c r="GQ267" s="243"/>
      <c r="GR267" s="243"/>
      <c r="GS267" s="243"/>
      <c r="GT267" s="243"/>
      <c r="GU267" s="243"/>
      <c r="GV267" s="243"/>
      <c r="GW267" s="243"/>
      <c r="GX267" s="243"/>
      <c r="GY267" s="243"/>
      <c r="GZ267" s="243"/>
      <c r="HA267" s="243"/>
      <c r="HB267" s="243"/>
      <c r="HC267" s="243"/>
      <c r="HD267" s="243"/>
      <c r="HE267" s="243"/>
      <c r="HF267" s="243"/>
      <c r="HG267" s="243"/>
      <c r="HH267" s="243"/>
      <c r="HI267" s="243"/>
      <c r="HJ267" s="243"/>
      <c r="HK267" s="243"/>
      <c r="HL267" s="243"/>
      <c r="HM267" s="243"/>
      <c r="HN267" s="243"/>
      <c r="HO267" s="243"/>
      <c r="HP267" s="243"/>
      <c r="HQ267" s="243"/>
      <c r="HR267" s="243"/>
      <c r="HS267" s="243"/>
      <c r="HT267" s="243"/>
      <c r="HU267" s="243"/>
      <c r="HV267" s="243"/>
      <c r="HW267" s="243"/>
      <c r="HX267" s="243"/>
      <c r="HY267" s="243"/>
      <c r="HZ267" s="243"/>
      <c r="IA267" s="243"/>
      <c r="IB267" s="243"/>
      <c r="IC267" s="243"/>
      <c r="ID267" s="243"/>
      <c r="IE267" s="243"/>
      <c r="IF267" s="243"/>
      <c r="IG267" s="243"/>
      <c r="IH267" s="243"/>
      <c r="II267" s="243"/>
      <c r="IJ267" s="243"/>
      <c r="IK267" s="243"/>
      <c r="IL267" s="243"/>
      <c r="IM267" s="243"/>
      <c r="IN267" s="243"/>
      <c r="IO267" s="243"/>
      <c r="IP267" s="243"/>
      <c r="IQ267" s="243"/>
      <c r="IR267" s="243"/>
      <c r="IS267" s="243"/>
      <c r="IT267" s="243"/>
      <c r="IU267" s="243"/>
      <c r="IV267" s="243"/>
      <c r="IW267" s="243"/>
      <c r="IX267" s="243"/>
      <c r="IY267" s="243"/>
      <c r="IZ267" s="243"/>
      <c r="JA267" s="243"/>
      <c r="JB267" s="243"/>
      <c r="JC267" s="243"/>
      <c r="JD267" s="243"/>
      <c r="JE267" s="243"/>
      <c r="JF267" s="243"/>
      <c r="JG267" s="243"/>
      <c r="JH267" s="243"/>
      <c r="JI267" s="243"/>
      <c r="JJ267" s="243"/>
      <c r="JK267" s="243"/>
      <c r="JL267" s="243"/>
      <c r="JM267" s="243"/>
      <c r="JN267" s="243"/>
      <c r="JO267" s="243"/>
      <c r="JP267" s="243"/>
      <c r="JQ267" s="243"/>
      <c r="JR267" s="243"/>
      <c r="JS267" s="243"/>
      <c r="JT267" s="243"/>
      <c r="JU267" s="243"/>
      <c r="JV267" s="243"/>
      <c r="JW267" s="243"/>
      <c r="JX267" s="243"/>
      <c r="JY267" s="243"/>
      <c r="JZ267" s="243"/>
      <c r="KA267" s="243"/>
      <c r="KB267" s="243"/>
      <c r="KC267" s="243"/>
      <c r="KD267" s="243"/>
      <c r="KE267" s="243"/>
      <c r="KF267" s="243"/>
      <c r="KG267" s="243"/>
      <c r="KH267" s="243"/>
      <c r="KI267" s="243"/>
      <c r="KJ267" s="243"/>
      <c r="KK267" s="243"/>
      <c r="KL267" s="243"/>
      <c r="KM267" s="243"/>
      <c r="KN267" s="243"/>
      <c r="KO267" s="243"/>
      <c r="KP267" s="243"/>
      <c r="KQ267" s="243"/>
      <c r="KR267" s="243"/>
      <c r="KS267" s="243"/>
      <c r="KT267" s="243"/>
      <c r="KU267" s="243"/>
      <c r="KV267" s="243"/>
      <c r="KW267" s="243"/>
      <c r="KX267" s="243"/>
      <c r="KY267" s="243"/>
      <c r="KZ267" s="243"/>
      <c r="LA267" s="243"/>
      <c r="LB267" s="243"/>
      <c r="LC267" s="243"/>
      <c r="LD267" s="243"/>
      <c r="LE267" s="243"/>
      <c r="LF267" s="243"/>
      <c r="LG267" s="243"/>
      <c r="LH267" s="243"/>
      <c r="LI267" s="243"/>
      <c r="LJ267" s="243"/>
      <c r="LK267" s="243"/>
      <c r="LL267" s="243"/>
      <c r="LM267" s="243"/>
      <c r="LN267" s="243"/>
      <c r="LO267" s="243"/>
      <c r="LP267" s="243"/>
      <c r="LQ267" s="243"/>
      <c r="LR267" s="243"/>
      <c r="LS267" s="243"/>
      <c r="LT267" s="243"/>
      <c r="LU267" s="243"/>
      <c r="LV267" s="243"/>
      <c r="LW267" s="243"/>
      <c r="LX267" s="243"/>
      <c r="LY267" s="243"/>
      <c r="LZ267" s="243"/>
      <c r="MA267" s="243"/>
      <c r="MB267" s="243"/>
      <c r="MC267" s="243"/>
      <c r="MD267" s="243"/>
      <c r="ME267" s="243"/>
      <c r="MF267" s="243"/>
      <c r="MG267" s="243"/>
      <c r="MH267" s="243"/>
      <c r="MI267" s="243"/>
      <c r="MJ267" s="243"/>
      <c r="MK267" s="243"/>
      <c r="ML267" s="243"/>
      <c r="MM267" s="243"/>
      <c r="MN267" s="243"/>
      <c r="MO267" s="243"/>
      <c r="MP267" s="243"/>
      <c r="MQ267" s="243"/>
      <c r="MR267" s="243"/>
      <c r="MS267" s="243"/>
      <c r="MT267" s="243"/>
      <c r="MU267" s="243"/>
      <c r="MV267" s="243"/>
      <c r="MW267" s="243"/>
      <c r="MX267" s="243"/>
      <c r="MY267" s="243"/>
      <c r="MZ267" s="243"/>
      <c r="NA267" s="243"/>
      <c r="NB267" s="243"/>
      <c r="NC267" s="243"/>
      <c r="ND267" s="243"/>
      <c r="NE267" s="243"/>
      <c r="NF267" s="243"/>
      <c r="NG267" s="243"/>
      <c r="NH267" s="243"/>
      <c r="NI267" s="243"/>
      <c r="NJ267" s="243"/>
      <c r="NK267" s="243"/>
      <c r="NL267" s="243"/>
      <c r="NM267" s="243"/>
      <c r="NN267" s="243"/>
      <c r="NO267" s="243"/>
      <c r="NP267" s="243"/>
      <c r="NQ267" s="243"/>
      <c r="NR267" s="243"/>
      <c r="NS267" s="243"/>
      <c r="NT267" s="243"/>
      <c r="NU267" s="243"/>
      <c r="NV267" s="243"/>
      <c r="NW267" s="243"/>
      <c r="NX267" s="243"/>
      <c r="NY267" s="243"/>
      <c r="NZ267" s="243"/>
      <c r="OA267" s="243"/>
      <c r="OB267" s="243"/>
      <c r="OC267" s="243"/>
      <c r="OD267" s="243"/>
      <c r="OE267" s="243"/>
      <c r="OF267" s="243"/>
      <c r="OG267" s="243"/>
      <c r="OH267" s="243"/>
      <c r="OI267" s="243"/>
      <c r="OJ267" s="243"/>
      <c r="OK267" s="243"/>
      <c r="OL267" s="243"/>
      <c r="OM267" s="243"/>
      <c r="ON267" s="243"/>
      <c r="OO267" s="243"/>
      <c r="OP267" s="243"/>
      <c r="OQ267" s="243"/>
      <c r="OR267" s="243"/>
      <c r="OS267" s="243"/>
      <c r="OT267" s="243"/>
      <c r="OU267" s="243"/>
      <c r="OV267" s="243"/>
      <c r="OW267" s="243"/>
      <c r="OX267" s="243"/>
      <c r="OY267" s="243"/>
      <c r="OZ267" s="243"/>
      <c r="PA267" s="243"/>
      <c r="PB267" s="243"/>
      <c r="PC267" s="243"/>
      <c r="PD267" s="243"/>
      <c r="PE267" s="243"/>
      <c r="PF267" s="243"/>
      <c r="PG267" s="243"/>
      <c r="PH267" s="243"/>
      <c r="PI267" s="243"/>
      <c r="PJ267" s="243"/>
      <c r="PK267" s="243"/>
      <c r="PL267" s="243"/>
      <c r="PM267" s="243"/>
      <c r="PN267" s="243"/>
      <c r="PO267" s="243"/>
      <c r="PP267" s="243"/>
      <c r="PQ267" s="243"/>
      <c r="PR267" s="243"/>
      <c r="PS267" s="243"/>
      <c r="PT267" s="243"/>
      <c r="PU267" s="243"/>
      <c r="PV267" s="243"/>
      <c r="PW267" s="243"/>
      <c r="PX267" s="243"/>
      <c r="PY267" s="243"/>
      <c r="PZ267" s="243"/>
      <c r="QA267" s="243"/>
      <c r="QB267" s="243"/>
      <c r="QC267" s="243"/>
      <c r="QD267" s="243"/>
      <c r="QE267" s="243"/>
      <c r="QF267" s="243"/>
      <c r="QG267" s="243"/>
      <c r="QH267" s="243"/>
      <c r="QI267" s="243"/>
      <c r="QJ267" s="243"/>
      <c r="QK267" s="243"/>
      <c r="QL267" s="243"/>
      <c r="QM267" s="243"/>
      <c r="QN267" s="243"/>
      <c r="QO267" s="243"/>
      <c r="QP267" s="243"/>
      <c r="QQ267" s="243"/>
      <c r="QR267" s="243"/>
      <c r="QS267" s="243"/>
      <c r="QT267" s="243"/>
      <c r="QU267" s="243"/>
      <c r="QV267" s="243"/>
      <c r="QW267" s="243"/>
      <c r="QX267" s="243"/>
      <c r="QY267" s="243"/>
      <c r="QZ267" s="243"/>
      <c r="RA267" s="243"/>
      <c r="RB267" s="243"/>
      <c r="RC267" s="243"/>
      <c r="RD267" s="243"/>
      <c r="RE267" s="243"/>
      <c r="RF267" s="243"/>
      <c r="RG267" s="243"/>
      <c r="RH267" s="243"/>
      <c r="RI267" s="243"/>
      <c r="RJ267" s="243"/>
      <c r="RK267" s="243"/>
      <c r="RL267" s="243"/>
      <c r="RM267" s="243"/>
      <c r="RN267" s="243"/>
      <c r="RO267" s="243"/>
      <c r="RP267" s="243"/>
      <c r="RQ267" s="243"/>
      <c r="RR267" s="243"/>
      <c r="RS267" s="243"/>
      <c r="RT267" s="243"/>
      <c r="RU267" s="243"/>
      <c r="RV267" s="243"/>
      <c r="RW267" s="243"/>
      <c r="RX267" s="243"/>
      <c r="RY267" s="243"/>
      <c r="RZ267" s="243"/>
      <c r="SA267" s="243"/>
      <c r="SB267" s="243"/>
      <c r="SC267" s="243"/>
      <c r="SD267" s="243"/>
      <c r="SE267" s="243"/>
      <c r="SF267" s="243"/>
      <c r="SG267" s="243"/>
      <c r="SH267" s="243"/>
      <c r="SI267" s="243"/>
      <c r="SJ267" s="243"/>
      <c r="SK267" s="243"/>
      <c r="SL267" s="243"/>
      <c r="SM267" s="243"/>
      <c r="SN267" s="243"/>
      <c r="SO267" s="243"/>
      <c r="SP267" s="243"/>
      <c r="SQ267" s="243"/>
      <c r="SR267" s="243"/>
      <c r="SS267" s="243"/>
      <c r="ST267" s="243"/>
      <c r="SU267" s="243"/>
      <c r="SV267" s="243"/>
      <c r="SW267" s="243"/>
      <c r="SX267" s="243"/>
      <c r="SY267" s="243"/>
      <c r="SZ267" s="243"/>
      <c r="TA267" s="243"/>
      <c r="TB267" s="243"/>
      <c r="TC267" s="243"/>
      <c r="TD267" s="243"/>
      <c r="TE267" s="243"/>
      <c r="TF267" s="243"/>
      <c r="TG267" s="243"/>
      <c r="TH267" s="243"/>
      <c r="TI267" s="243"/>
      <c r="TJ267" s="243"/>
      <c r="TK267" s="243"/>
      <c r="TL267" s="243"/>
      <c r="TM267" s="243"/>
      <c r="TN267" s="243"/>
      <c r="TO267" s="243"/>
      <c r="TP267" s="243"/>
      <c r="TQ267" s="243"/>
      <c r="TR267" s="243"/>
      <c r="TS267" s="243"/>
      <c r="TT267" s="243"/>
      <c r="TU267" s="243"/>
      <c r="TV267" s="243"/>
      <c r="TW267" s="243"/>
      <c r="TX267" s="243"/>
      <c r="TY267" s="243"/>
      <c r="TZ267" s="243"/>
      <c r="UA267" s="243"/>
      <c r="UB267" s="243"/>
      <c r="UC267" s="243"/>
      <c r="UD267" s="243"/>
      <c r="UE267" s="243"/>
      <c r="UF267" s="243"/>
      <c r="UG267" s="243"/>
      <c r="UH267" s="243"/>
      <c r="UI267" s="243"/>
      <c r="UJ267" s="243"/>
      <c r="UK267" s="243"/>
      <c r="UL267" s="243"/>
      <c r="UM267" s="243"/>
      <c r="UN267" s="243"/>
      <c r="UO267" s="243"/>
      <c r="UP267" s="243"/>
      <c r="UQ267" s="243"/>
      <c r="UR267" s="243"/>
      <c r="US267" s="243"/>
      <c r="UT267" s="243"/>
      <c r="UU267" s="243"/>
      <c r="UV267" s="243"/>
      <c r="UW267" s="243"/>
      <c r="UX267" s="243"/>
      <c r="UY267" s="243"/>
      <c r="UZ267" s="243"/>
      <c r="VA267" s="243"/>
      <c r="VB267" s="243"/>
      <c r="VC267" s="243"/>
      <c r="VD267" s="243"/>
      <c r="VE267" s="243"/>
      <c r="VF267" s="243"/>
      <c r="VG267" s="243"/>
      <c r="VH267" s="243"/>
      <c r="VI267" s="243"/>
      <c r="VJ267" s="243"/>
      <c r="VK267" s="243"/>
      <c r="VL267" s="243"/>
      <c r="VM267" s="243"/>
      <c r="VN267" s="243"/>
      <c r="VO267" s="243"/>
      <c r="VP267" s="243"/>
      <c r="VQ267" s="243"/>
      <c r="VR267" s="243"/>
      <c r="VS267" s="243"/>
      <c r="VT267" s="243"/>
      <c r="VU267" s="243"/>
      <c r="VV267" s="243"/>
      <c r="VW267" s="243"/>
      <c r="VX267" s="243"/>
      <c r="VY267" s="243"/>
      <c r="VZ267" s="243"/>
      <c r="WA267" s="243"/>
      <c r="WB267" s="243"/>
      <c r="WC267" s="243"/>
      <c r="WD267" s="243"/>
      <c r="WE267" s="243"/>
      <c r="WF267" s="243"/>
      <c r="WG267" s="243"/>
      <c r="WH267" s="243"/>
      <c r="WI267" s="243"/>
      <c r="WJ267" s="243"/>
      <c r="WK267" s="243"/>
      <c r="WL267" s="243"/>
      <c r="WM267" s="243"/>
      <c r="WN267" s="243"/>
      <c r="WO267" s="243"/>
      <c r="WP267" s="243"/>
      <c r="WQ267" s="243"/>
      <c r="WR267" s="243"/>
      <c r="WS267" s="243"/>
      <c r="WT267" s="243"/>
      <c r="WU267" s="243"/>
      <c r="WV267" s="243"/>
      <c r="WW267" s="243"/>
      <c r="WX267" s="243"/>
      <c r="WY267" s="243"/>
      <c r="WZ267" s="243"/>
      <c r="XA267" s="243"/>
      <c r="XB267" s="243"/>
      <c r="XC267" s="243"/>
      <c r="XD267" s="243"/>
      <c r="XE267" s="243"/>
      <c r="XF267" s="243"/>
      <c r="XG267" s="243"/>
      <c r="XH267" s="243"/>
      <c r="XI267" s="243"/>
      <c r="XJ267" s="243"/>
      <c r="XK267" s="243"/>
      <c r="XL267" s="243"/>
      <c r="XM267" s="243"/>
      <c r="XN267" s="243"/>
      <c r="XO267" s="243"/>
      <c r="XP267" s="243"/>
      <c r="XQ267" s="243"/>
      <c r="XR267" s="243"/>
      <c r="XS267" s="243"/>
      <c r="XT267" s="243"/>
      <c r="XU267" s="243"/>
      <c r="XV267" s="243"/>
      <c r="XW267" s="243"/>
      <c r="XX267" s="243"/>
      <c r="XY267" s="243"/>
      <c r="XZ267" s="243"/>
      <c r="YA267" s="243"/>
      <c r="YB267" s="243"/>
      <c r="YC267" s="243"/>
      <c r="YD267" s="243"/>
      <c r="YE267" s="243"/>
      <c r="YF267" s="243"/>
      <c r="YG267" s="243"/>
      <c r="YH267" s="243"/>
      <c r="YI267" s="243"/>
      <c r="YJ267" s="243"/>
      <c r="YK267" s="243"/>
      <c r="YL267" s="243"/>
      <c r="YM267" s="243"/>
      <c r="YN267" s="243"/>
      <c r="YO267" s="243"/>
      <c r="YP267" s="243"/>
      <c r="YQ267" s="243"/>
      <c r="YR267" s="243"/>
      <c r="YS267" s="243"/>
      <c r="YT267" s="243"/>
      <c r="YU267" s="243"/>
      <c r="YV267" s="243"/>
      <c r="YW267" s="243"/>
      <c r="YX267" s="243"/>
      <c r="YY267" s="243"/>
      <c r="YZ267" s="243"/>
      <c r="ZA267" s="243"/>
      <c r="ZB267" s="243"/>
      <c r="ZC267" s="243"/>
      <c r="ZD267" s="243"/>
      <c r="ZE267" s="243"/>
      <c r="ZF267" s="243"/>
      <c r="ZG267" s="243"/>
      <c r="ZH267" s="243"/>
      <c r="ZI267" s="243"/>
      <c r="ZJ267" s="243"/>
      <c r="ZK267" s="243"/>
      <c r="ZL267" s="243"/>
      <c r="ZM267" s="243"/>
      <c r="ZN267" s="243"/>
      <c r="ZO267" s="243"/>
      <c r="ZP267" s="243"/>
      <c r="ZQ267" s="243"/>
      <c r="ZR267" s="243"/>
      <c r="ZS267" s="243"/>
      <c r="ZT267" s="243"/>
      <c r="ZU267" s="243"/>
      <c r="ZV267" s="243"/>
      <c r="ZW267" s="243"/>
      <c r="ZX267" s="243"/>
      <c r="ZY267" s="243"/>
      <c r="ZZ267" s="243"/>
      <c r="AAA267" s="243"/>
      <c r="AAB267" s="243"/>
      <c r="AAC267" s="243"/>
      <c r="AAD267" s="243"/>
      <c r="AAE267" s="243"/>
      <c r="AAF267" s="243"/>
      <c r="AAG267" s="243"/>
      <c r="AAH267" s="243"/>
      <c r="AAI267" s="243"/>
      <c r="AAJ267" s="243"/>
      <c r="AAK267" s="243"/>
      <c r="AAL267" s="243"/>
      <c r="AAM267" s="243"/>
      <c r="AAN267" s="243"/>
      <c r="AAO267" s="243"/>
      <c r="AAP267" s="243"/>
      <c r="AAQ267" s="243"/>
      <c r="AAR267" s="243"/>
      <c r="AAS267" s="243"/>
      <c r="AAT267" s="243"/>
      <c r="AAU267" s="243"/>
      <c r="AAV267" s="243"/>
      <c r="AAW267" s="243"/>
      <c r="AAX267" s="243"/>
      <c r="AAY267" s="243"/>
      <c r="AAZ267" s="243"/>
      <c r="ABA267" s="243"/>
      <c r="ABB267" s="243"/>
      <c r="ABC267" s="243"/>
      <c r="ABD267" s="243"/>
      <c r="ABE267" s="243"/>
      <c r="ABF267" s="243"/>
      <c r="ABG267" s="243"/>
      <c r="ABH267" s="243"/>
      <c r="ABI267" s="243"/>
      <c r="ABJ267" s="243"/>
      <c r="ABK267" s="243"/>
      <c r="ABL267" s="243"/>
      <c r="ABM267" s="243"/>
      <c r="ABN267" s="243"/>
      <c r="ABO267" s="243"/>
      <c r="ABP267" s="243"/>
      <c r="ABQ267" s="243"/>
      <c r="ABR267" s="243"/>
      <c r="ABS267" s="243"/>
      <c r="ABT267" s="243"/>
      <c r="ABU267" s="243"/>
      <c r="ABV267" s="243"/>
      <c r="ABW267" s="243"/>
      <c r="ABX267" s="243"/>
      <c r="ABY267" s="243"/>
      <c r="ABZ267" s="243"/>
      <c r="ACA267" s="243"/>
      <c r="ACB267" s="243"/>
      <c r="ACC267" s="243"/>
      <c r="ACD267" s="243"/>
      <c r="ACE267" s="243"/>
      <c r="ACF267" s="243"/>
      <c r="ACG267" s="243"/>
      <c r="ACH267" s="243"/>
      <c r="ACI267" s="243"/>
      <c r="ACJ267" s="243"/>
      <c r="ACK267" s="243"/>
      <c r="ACL267" s="243"/>
      <c r="ACM267" s="243"/>
      <c r="ACN267" s="243"/>
      <c r="ACO267" s="243"/>
      <c r="ACP267" s="243"/>
      <c r="ACQ267" s="243"/>
      <c r="ACR267" s="243"/>
      <c r="ACS267" s="243"/>
      <c r="ACT267" s="243"/>
      <c r="ACU267" s="243"/>
      <c r="ACV267" s="243"/>
      <c r="ACW267" s="243"/>
      <c r="ACX267" s="243"/>
      <c r="ACY267" s="243"/>
      <c r="ACZ267" s="243"/>
      <c r="ADA267" s="243"/>
      <c r="ADB267" s="243"/>
      <c r="ADC267" s="243"/>
      <c r="ADD267" s="243"/>
      <c r="ADE267" s="243"/>
      <c r="ADF267" s="243"/>
      <c r="ADG267" s="243"/>
      <c r="ADH267" s="243"/>
      <c r="ADI267" s="243"/>
      <c r="ADJ267" s="243"/>
      <c r="ADK267" s="243"/>
      <c r="ADL267" s="243"/>
      <c r="ADM267" s="243"/>
      <c r="ADN267" s="243"/>
      <c r="ADO267" s="243"/>
      <c r="ADP267" s="243"/>
      <c r="ADQ267" s="243"/>
      <c r="ADR267" s="243"/>
      <c r="ADS267" s="243"/>
      <c r="ADT267" s="243"/>
      <c r="ADU267" s="243"/>
      <c r="ADV267" s="243"/>
      <c r="ADW267" s="243"/>
      <c r="ADX267" s="243"/>
      <c r="ADY267" s="243"/>
      <c r="ADZ267" s="243"/>
      <c r="AEA267" s="243"/>
      <c r="AEB267" s="243"/>
      <c r="AEC267" s="243"/>
      <c r="AED267" s="243"/>
      <c r="AEE267" s="243"/>
      <c r="AEF267" s="243"/>
      <c r="AEG267" s="243"/>
      <c r="AEH267" s="243"/>
      <c r="AEI267" s="243"/>
      <c r="AEJ267" s="243"/>
      <c r="AEK267" s="243"/>
      <c r="AEL267" s="243"/>
      <c r="AEM267" s="243"/>
      <c r="AEN267" s="243"/>
      <c r="AEO267" s="243"/>
      <c r="AEP267" s="243"/>
      <c r="AEQ267" s="243"/>
      <c r="AER267" s="243"/>
      <c r="AES267" s="243"/>
      <c r="AET267" s="243"/>
      <c r="AEU267" s="243"/>
      <c r="AEV267" s="243"/>
      <c r="AEW267" s="243"/>
      <c r="AEX267" s="243"/>
      <c r="AEY267" s="243"/>
      <c r="AEZ267" s="243"/>
      <c r="AFA267" s="243"/>
      <c r="AFB267" s="243"/>
      <c r="AFC267" s="243"/>
      <c r="AFD267" s="243"/>
      <c r="AFE267" s="243"/>
      <c r="AFF267" s="243"/>
      <c r="AFG267" s="243"/>
      <c r="AFH267" s="243"/>
      <c r="AFI267" s="243"/>
      <c r="AFJ267" s="243"/>
      <c r="AFK267" s="243"/>
      <c r="AFL267" s="243"/>
      <c r="AFM267" s="243"/>
      <c r="AFN267" s="243"/>
      <c r="AFO267" s="243"/>
      <c r="AFP267" s="243"/>
      <c r="AFQ267" s="243"/>
      <c r="AFR267" s="243"/>
      <c r="AFS267" s="243"/>
      <c r="AFT267" s="243"/>
      <c r="AFU267" s="243"/>
      <c r="AFV267" s="243"/>
      <c r="AFW267" s="243"/>
      <c r="AFX267" s="243"/>
      <c r="AFY267" s="243"/>
      <c r="AFZ267" s="243"/>
      <c r="AGA267" s="243"/>
      <c r="AGB267" s="243"/>
      <c r="AGC267" s="243"/>
      <c r="AGD267" s="243"/>
      <c r="AGE267" s="243"/>
      <c r="AGF267" s="243"/>
      <c r="AGG267" s="243"/>
      <c r="AGH267" s="243"/>
      <c r="AGI267" s="243"/>
      <c r="AGJ267" s="243"/>
      <c r="AGK267" s="243"/>
      <c r="AGL267" s="243"/>
      <c r="AGM267" s="243"/>
      <c r="AGN267" s="243"/>
      <c r="AGO267" s="243"/>
      <c r="AGP267" s="243"/>
      <c r="AGQ267" s="243"/>
      <c r="AGR267" s="243"/>
      <c r="AGS267" s="243"/>
      <c r="AGT267" s="243"/>
      <c r="AGU267" s="243"/>
      <c r="AGV267" s="243"/>
      <c r="AGW267" s="243"/>
      <c r="AGX267" s="243"/>
      <c r="AGY267" s="243"/>
      <c r="AGZ267" s="243"/>
      <c r="AHA267" s="243"/>
      <c r="AHB267" s="243"/>
      <c r="AHC267" s="243"/>
      <c r="AHD267" s="243"/>
      <c r="AHE267" s="243"/>
      <c r="AHF267" s="243"/>
      <c r="AHG267" s="243"/>
      <c r="AHH267" s="243"/>
      <c r="AHI267" s="243"/>
      <c r="AHJ267" s="243"/>
      <c r="AHK267" s="243"/>
      <c r="AHL267" s="243"/>
      <c r="AHM267" s="243"/>
      <c r="AHN267" s="243"/>
      <c r="AHO267" s="243"/>
      <c r="AHP267" s="243"/>
      <c r="AHQ267" s="243"/>
      <c r="AHR267" s="243"/>
      <c r="AHS267" s="243"/>
      <c r="AHT267" s="243"/>
      <c r="AHU267" s="243"/>
      <c r="AHV267" s="243"/>
      <c r="AHW267" s="243"/>
      <c r="AHX267" s="243"/>
      <c r="AHY267" s="243"/>
      <c r="AHZ267" s="243"/>
      <c r="AIA267" s="243"/>
      <c r="AIB267" s="243"/>
      <c r="AIC267" s="243"/>
      <c r="AID267" s="243"/>
      <c r="AIE267" s="243"/>
      <c r="AIF267" s="243"/>
      <c r="AIG267" s="243"/>
      <c r="AIH267" s="243"/>
      <c r="AII267" s="243"/>
      <c r="AIJ267" s="243"/>
      <c r="AIK267" s="243"/>
      <c r="AIL267" s="243"/>
      <c r="AIM267" s="243"/>
      <c r="AIN267" s="243"/>
      <c r="AIO267" s="243"/>
      <c r="AIP267" s="243"/>
      <c r="AIQ267" s="243"/>
      <c r="AIR267" s="243"/>
      <c r="AIS267" s="243"/>
      <c r="AIT267" s="243"/>
      <c r="AIU267" s="243"/>
      <c r="AIV267" s="243"/>
      <c r="AIW267" s="243"/>
      <c r="AIX267" s="243"/>
      <c r="AIY267" s="243"/>
      <c r="AIZ267" s="243"/>
      <c r="AJA267" s="243"/>
      <c r="AJB267" s="243"/>
      <c r="AJC267" s="243"/>
      <c r="AJD267" s="243"/>
      <c r="AJE267" s="243"/>
      <c r="AJF267" s="243"/>
      <c r="AJG267" s="243"/>
      <c r="AJH267" s="243"/>
      <c r="AJI267" s="243"/>
      <c r="AJJ267" s="243"/>
      <c r="AJK267" s="243"/>
      <c r="AJL267" s="243"/>
      <c r="AJM267" s="243"/>
      <c r="AJN267" s="243"/>
      <c r="AJO267" s="243"/>
      <c r="AJP267" s="243"/>
      <c r="AJQ267" s="243"/>
      <c r="AJR267" s="243"/>
      <c r="AJS267" s="243"/>
      <c r="AJT267" s="243"/>
      <c r="AJU267" s="243"/>
      <c r="AJV267" s="243"/>
      <c r="AJW267" s="243"/>
      <c r="AJX267" s="243"/>
      <c r="AJY267" s="243"/>
      <c r="AJZ267" s="243"/>
      <c r="AKA267" s="243"/>
      <c r="AKB267" s="243"/>
      <c r="AKC267" s="243"/>
      <c r="AKD267" s="243"/>
      <c r="AKE267" s="243"/>
      <c r="AKF267" s="243"/>
      <c r="AKG267" s="243"/>
      <c r="AKH267" s="243"/>
      <c r="AKI267" s="243"/>
      <c r="AKJ267" s="243"/>
      <c r="AKK267" s="243"/>
      <c r="AKL267" s="243"/>
      <c r="AKM267" s="243"/>
      <c r="AKN267" s="243"/>
      <c r="AKO267" s="243"/>
      <c r="AKP267" s="243"/>
      <c r="AKQ267" s="243"/>
      <c r="AKR267" s="243"/>
      <c r="AKS267" s="243"/>
      <c r="AKT267" s="243"/>
      <c r="AKU267" s="243"/>
      <c r="AKV267" s="243"/>
      <c r="AKW267" s="243"/>
      <c r="AKX267" s="243"/>
      <c r="AKY267" s="243"/>
      <c r="AKZ267" s="243"/>
      <c r="ALA267" s="243"/>
      <c r="ALB267" s="243"/>
      <c r="ALC267" s="243"/>
      <c r="ALD267" s="243"/>
      <c r="ALE267" s="243"/>
      <c r="ALF267" s="243"/>
      <c r="ALG267" s="243"/>
      <c r="ALH267" s="243"/>
      <c r="ALI267" s="243"/>
      <c r="ALJ267" s="243"/>
      <c r="ALK267" s="243"/>
      <c r="ALL267" s="243"/>
      <c r="ALM267" s="243"/>
      <c r="ALN267" s="243"/>
      <c r="ALO267" s="243"/>
      <c r="ALP267" s="243"/>
      <c r="ALQ267" s="243"/>
      <c r="ALR267" s="243"/>
      <c r="ALS267" s="243"/>
      <c r="ALT267" s="243"/>
      <c r="ALU267" s="243"/>
      <c r="ALV267" s="243"/>
      <c r="ALW267" s="243"/>
      <c r="ALX267" s="243"/>
      <c r="ALY267" s="243"/>
      <c r="ALZ267" s="243"/>
      <c r="AMA267" s="243"/>
      <c r="AMB267" s="243"/>
      <c r="AMC267" s="243"/>
      <c r="AMD267" s="243"/>
      <c r="AME267" s="243"/>
      <c r="AMF267" s="243"/>
      <c r="AMG267" s="243"/>
      <c r="AMH267" s="243"/>
      <c r="AMI267" s="244"/>
      <c r="AMJ267" s="244"/>
    </row>
    <row r="268" spans="1:1024" ht="43.5">
      <c r="A268" s="1036" t="s">
        <v>176</v>
      </c>
      <c r="B268" s="1036">
        <v>0</v>
      </c>
      <c r="C268" s="1037">
        <v>0</v>
      </c>
      <c r="D268" s="1036">
        <v>0</v>
      </c>
      <c r="E268" s="392"/>
      <c r="F268" s="390"/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243"/>
      <c r="S268" s="243"/>
      <c r="T268" s="243"/>
      <c r="U268" s="243"/>
      <c r="V268" s="243"/>
      <c r="W268" s="243"/>
      <c r="X268" s="243"/>
      <c r="Y268" s="243"/>
      <c r="Z268" s="243"/>
      <c r="AA268" s="243"/>
      <c r="AB268" s="243"/>
      <c r="AC268" s="243"/>
      <c r="AD268" s="243"/>
      <c r="AE268" s="243"/>
      <c r="AF268" s="243"/>
      <c r="AG268" s="243"/>
      <c r="AH268" s="243"/>
      <c r="AI268" s="243"/>
      <c r="AJ268" s="243"/>
      <c r="AK268" s="243"/>
      <c r="AL268" s="243"/>
      <c r="AM268" s="243"/>
      <c r="AN268" s="243"/>
      <c r="AO268" s="243"/>
      <c r="AP268" s="243"/>
      <c r="AQ268" s="243"/>
      <c r="AR268" s="243"/>
      <c r="AS268" s="243"/>
      <c r="AT268" s="243"/>
      <c r="AU268" s="243"/>
      <c r="AV268" s="243"/>
      <c r="AW268" s="243"/>
      <c r="AX268" s="243"/>
      <c r="AY268" s="243"/>
      <c r="AZ268" s="243"/>
      <c r="BA268" s="243"/>
      <c r="BB268" s="243"/>
      <c r="BC268" s="243"/>
      <c r="BD268" s="243"/>
      <c r="BE268" s="243"/>
      <c r="BF268" s="243"/>
      <c r="BG268" s="243"/>
      <c r="BH268" s="243"/>
      <c r="BI268" s="243"/>
      <c r="BJ268" s="243"/>
      <c r="BK268" s="243"/>
      <c r="BL268" s="243"/>
      <c r="BM268" s="243"/>
      <c r="BN268" s="243"/>
      <c r="BO268" s="243"/>
      <c r="BP268" s="243"/>
      <c r="BQ268" s="243"/>
      <c r="BR268" s="243"/>
      <c r="BS268" s="243"/>
      <c r="BT268" s="243"/>
      <c r="BU268" s="243"/>
      <c r="BV268" s="243"/>
      <c r="BW268" s="243"/>
      <c r="BX268" s="243"/>
      <c r="BY268" s="243"/>
      <c r="BZ268" s="243"/>
      <c r="CA268" s="243"/>
      <c r="CB268" s="243"/>
      <c r="CC268" s="243"/>
      <c r="CD268" s="243"/>
      <c r="CE268" s="243"/>
      <c r="CF268" s="243"/>
      <c r="CG268" s="243"/>
      <c r="CH268" s="243"/>
      <c r="CI268" s="243"/>
      <c r="CJ268" s="243"/>
      <c r="CK268" s="243"/>
      <c r="CL268" s="243"/>
      <c r="CM268" s="243"/>
      <c r="CN268" s="243"/>
      <c r="CO268" s="243"/>
      <c r="CP268" s="243"/>
      <c r="CQ268" s="243"/>
      <c r="CR268" s="243"/>
      <c r="CS268" s="243"/>
      <c r="CT268" s="243"/>
      <c r="CU268" s="243"/>
      <c r="CV268" s="243"/>
      <c r="CW268" s="243"/>
      <c r="CX268" s="243"/>
      <c r="CY268" s="243"/>
      <c r="CZ268" s="243"/>
      <c r="DA268" s="243"/>
      <c r="DB268" s="243"/>
      <c r="DC268" s="243"/>
      <c r="DD268" s="243"/>
      <c r="DE268" s="243"/>
      <c r="DF268" s="243"/>
      <c r="DG268" s="243"/>
      <c r="DH268" s="243"/>
      <c r="DI268" s="243"/>
      <c r="DJ268" s="243"/>
      <c r="DK268" s="243"/>
      <c r="DL268" s="243"/>
      <c r="DM268" s="243"/>
      <c r="DN268" s="243"/>
      <c r="DO268" s="243"/>
      <c r="DP268" s="243"/>
      <c r="DQ268" s="243"/>
      <c r="DR268" s="243"/>
      <c r="DS268" s="243"/>
      <c r="DT268" s="243"/>
      <c r="DU268" s="243"/>
      <c r="DV268" s="243"/>
      <c r="DW268" s="243"/>
      <c r="DX268" s="243"/>
      <c r="DY268" s="243"/>
      <c r="DZ268" s="243"/>
      <c r="EA268" s="243"/>
      <c r="EB268" s="243"/>
      <c r="EC268" s="243"/>
      <c r="ED268" s="243"/>
      <c r="EE268" s="243"/>
      <c r="EF268" s="243"/>
      <c r="EG268" s="243"/>
      <c r="EH268" s="243"/>
      <c r="EI268" s="243"/>
      <c r="EJ268" s="243"/>
      <c r="EK268" s="243"/>
      <c r="EL268" s="243"/>
      <c r="EM268" s="243"/>
      <c r="EN268" s="243"/>
      <c r="EO268" s="243"/>
      <c r="EP268" s="243"/>
      <c r="EQ268" s="243"/>
      <c r="ER268" s="243"/>
      <c r="ES268" s="243"/>
      <c r="ET268" s="243"/>
      <c r="EU268" s="243"/>
      <c r="EV268" s="243"/>
      <c r="EW268" s="243"/>
      <c r="EX268" s="243"/>
      <c r="EY268" s="243"/>
      <c r="EZ268" s="243"/>
      <c r="FA268" s="243"/>
      <c r="FB268" s="243"/>
      <c r="FC268" s="243"/>
      <c r="FD268" s="243"/>
      <c r="FE268" s="243"/>
      <c r="FF268" s="243"/>
      <c r="FG268" s="243"/>
      <c r="FH268" s="243"/>
      <c r="FI268" s="243"/>
      <c r="FJ268" s="243"/>
      <c r="FK268" s="243"/>
      <c r="FL268" s="243"/>
      <c r="FM268" s="243"/>
      <c r="FN268" s="243"/>
      <c r="FO268" s="243"/>
      <c r="FP268" s="243"/>
      <c r="FQ268" s="243"/>
      <c r="FR268" s="243"/>
      <c r="FS268" s="243"/>
      <c r="FT268" s="243"/>
      <c r="FU268" s="243"/>
      <c r="FV268" s="243"/>
      <c r="FW268" s="243"/>
      <c r="FX268" s="243"/>
      <c r="FY268" s="243"/>
      <c r="FZ268" s="243"/>
      <c r="GA268" s="243"/>
      <c r="GB268" s="243"/>
      <c r="GC268" s="243"/>
      <c r="GD268" s="243"/>
      <c r="GE268" s="243"/>
      <c r="GF268" s="243"/>
      <c r="GG268" s="243"/>
      <c r="GH268" s="243"/>
      <c r="GI268" s="243"/>
      <c r="GJ268" s="243"/>
      <c r="GK268" s="243"/>
      <c r="GL268" s="243"/>
      <c r="GM268" s="243"/>
      <c r="GN268" s="243"/>
      <c r="GO268" s="243"/>
      <c r="GP268" s="243"/>
      <c r="GQ268" s="243"/>
      <c r="GR268" s="243"/>
      <c r="GS268" s="243"/>
      <c r="GT268" s="243"/>
      <c r="GU268" s="243"/>
      <c r="GV268" s="243"/>
      <c r="GW268" s="243"/>
      <c r="GX268" s="243"/>
      <c r="GY268" s="243"/>
      <c r="GZ268" s="243"/>
      <c r="HA268" s="243"/>
      <c r="HB268" s="243"/>
      <c r="HC268" s="243"/>
      <c r="HD268" s="243"/>
      <c r="HE268" s="243"/>
      <c r="HF268" s="243"/>
      <c r="HG268" s="243"/>
      <c r="HH268" s="243"/>
      <c r="HI268" s="243"/>
      <c r="HJ268" s="243"/>
      <c r="HK268" s="243"/>
      <c r="HL268" s="243"/>
      <c r="HM268" s="243"/>
      <c r="HN268" s="243"/>
      <c r="HO268" s="243"/>
      <c r="HP268" s="243"/>
      <c r="HQ268" s="243"/>
      <c r="HR268" s="243"/>
      <c r="HS268" s="243"/>
      <c r="HT268" s="243"/>
      <c r="HU268" s="243"/>
      <c r="HV268" s="243"/>
      <c r="HW268" s="243"/>
      <c r="HX268" s="243"/>
      <c r="HY268" s="243"/>
      <c r="HZ268" s="243"/>
      <c r="IA268" s="243"/>
      <c r="IB268" s="243"/>
      <c r="IC268" s="243"/>
      <c r="ID268" s="243"/>
      <c r="IE268" s="243"/>
      <c r="IF268" s="243"/>
      <c r="IG268" s="243"/>
      <c r="IH268" s="243"/>
      <c r="II268" s="243"/>
      <c r="IJ268" s="243"/>
      <c r="IK268" s="243"/>
      <c r="IL268" s="243"/>
      <c r="IM268" s="243"/>
      <c r="IN268" s="243"/>
      <c r="IO268" s="243"/>
      <c r="IP268" s="243"/>
      <c r="IQ268" s="243"/>
      <c r="IR268" s="243"/>
      <c r="IS268" s="243"/>
      <c r="IT268" s="243"/>
      <c r="IU268" s="243"/>
      <c r="IV268" s="243"/>
      <c r="IW268" s="243"/>
      <c r="IX268" s="243"/>
      <c r="IY268" s="243"/>
      <c r="IZ268" s="243"/>
      <c r="JA268" s="243"/>
      <c r="JB268" s="243"/>
      <c r="JC268" s="243"/>
      <c r="JD268" s="243"/>
      <c r="JE268" s="243"/>
      <c r="JF268" s="243"/>
      <c r="JG268" s="243"/>
      <c r="JH268" s="243"/>
      <c r="JI268" s="243"/>
      <c r="JJ268" s="243"/>
      <c r="JK268" s="243"/>
      <c r="JL268" s="243"/>
      <c r="JM268" s="243"/>
      <c r="JN268" s="243"/>
      <c r="JO268" s="243"/>
      <c r="JP268" s="243"/>
      <c r="JQ268" s="243"/>
      <c r="JR268" s="243"/>
      <c r="JS268" s="243"/>
      <c r="JT268" s="243"/>
      <c r="JU268" s="243"/>
      <c r="JV268" s="243"/>
      <c r="JW268" s="243"/>
      <c r="JX268" s="243"/>
      <c r="JY268" s="243"/>
      <c r="JZ268" s="243"/>
      <c r="KA268" s="243"/>
      <c r="KB268" s="243"/>
      <c r="KC268" s="243"/>
      <c r="KD268" s="243"/>
      <c r="KE268" s="243"/>
      <c r="KF268" s="243"/>
      <c r="KG268" s="243"/>
      <c r="KH268" s="243"/>
      <c r="KI268" s="243"/>
      <c r="KJ268" s="243"/>
      <c r="KK268" s="243"/>
      <c r="KL268" s="243"/>
      <c r="KM268" s="243"/>
      <c r="KN268" s="243"/>
      <c r="KO268" s="243"/>
      <c r="KP268" s="243"/>
      <c r="KQ268" s="243"/>
      <c r="KR268" s="243"/>
      <c r="KS268" s="243"/>
      <c r="KT268" s="243"/>
      <c r="KU268" s="243"/>
      <c r="KV268" s="243"/>
      <c r="KW268" s="243"/>
      <c r="KX268" s="243"/>
      <c r="KY268" s="243"/>
      <c r="KZ268" s="243"/>
      <c r="LA268" s="243"/>
      <c r="LB268" s="243"/>
      <c r="LC268" s="243"/>
      <c r="LD268" s="243"/>
      <c r="LE268" s="243"/>
      <c r="LF268" s="243"/>
      <c r="LG268" s="243"/>
      <c r="LH268" s="243"/>
      <c r="LI268" s="243"/>
      <c r="LJ268" s="243"/>
      <c r="LK268" s="243"/>
      <c r="LL268" s="243"/>
      <c r="LM268" s="243"/>
      <c r="LN268" s="243"/>
      <c r="LO268" s="243"/>
      <c r="LP268" s="243"/>
      <c r="LQ268" s="243"/>
      <c r="LR268" s="243"/>
      <c r="LS268" s="243"/>
      <c r="LT268" s="243"/>
      <c r="LU268" s="243"/>
      <c r="LV268" s="243"/>
      <c r="LW268" s="243"/>
      <c r="LX268" s="243"/>
      <c r="LY268" s="243"/>
      <c r="LZ268" s="243"/>
      <c r="MA268" s="243"/>
      <c r="MB268" s="243"/>
      <c r="MC268" s="243"/>
      <c r="MD268" s="243"/>
      <c r="ME268" s="243"/>
      <c r="MF268" s="243"/>
      <c r="MG268" s="243"/>
      <c r="MH268" s="243"/>
      <c r="MI268" s="243"/>
      <c r="MJ268" s="243"/>
      <c r="MK268" s="243"/>
      <c r="ML268" s="243"/>
      <c r="MM268" s="243"/>
      <c r="MN268" s="243"/>
      <c r="MO268" s="243"/>
      <c r="MP268" s="243"/>
      <c r="MQ268" s="243"/>
      <c r="MR268" s="243"/>
      <c r="MS268" s="243"/>
      <c r="MT268" s="243"/>
      <c r="MU268" s="243"/>
      <c r="MV268" s="243"/>
      <c r="MW268" s="243"/>
      <c r="MX268" s="243"/>
      <c r="MY268" s="243"/>
      <c r="MZ268" s="243"/>
      <c r="NA268" s="243"/>
      <c r="NB268" s="243"/>
      <c r="NC268" s="243"/>
      <c r="ND268" s="243"/>
      <c r="NE268" s="243"/>
      <c r="NF268" s="243"/>
      <c r="NG268" s="243"/>
      <c r="NH268" s="243"/>
      <c r="NI268" s="243"/>
      <c r="NJ268" s="243"/>
      <c r="NK268" s="243"/>
      <c r="NL268" s="243"/>
      <c r="NM268" s="243"/>
      <c r="NN268" s="243"/>
      <c r="NO268" s="243"/>
      <c r="NP268" s="243"/>
      <c r="NQ268" s="243"/>
      <c r="NR268" s="243"/>
      <c r="NS268" s="243"/>
      <c r="NT268" s="243"/>
      <c r="NU268" s="243"/>
      <c r="NV268" s="243"/>
      <c r="NW268" s="243"/>
      <c r="NX268" s="243"/>
      <c r="NY268" s="243"/>
      <c r="NZ268" s="243"/>
      <c r="OA268" s="243"/>
      <c r="OB268" s="243"/>
      <c r="OC268" s="243"/>
      <c r="OD268" s="243"/>
      <c r="OE268" s="243"/>
      <c r="OF268" s="243"/>
      <c r="OG268" s="243"/>
      <c r="OH268" s="243"/>
      <c r="OI268" s="243"/>
      <c r="OJ268" s="243"/>
      <c r="OK268" s="243"/>
      <c r="OL268" s="243"/>
      <c r="OM268" s="243"/>
      <c r="ON268" s="243"/>
      <c r="OO268" s="243"/>
      <c r="OP268" s="243"/>
      <c r="OQ268" s="243"/>
      <c r="OR268" s="243"/>
      <c r="OS268" s="243"/>
      <c r="OT268" s="243"/>
      <c r="OU268" s="243"/>
      <c r="OV268" s="243"/>
      <c r="OW268" s="243"/>
      <c r="OX268" s="243"/>
      <c r="OY268" s="243"/>
      <c r="OZ268" s="243"/>
      <c r="PA268" s="243"/>
      <c r="PB268" s="243"/>
      <c r="PC268" s="243"/>
      <c r="PD268" s="243"/>
      <c r="PE268" s="243"/>
      <c r="PF268" s="243"/>
      <c r="PG268" s="243"/>
      <c r="PH268" s="243"/>
      <c r="PI268" s="243"/>
      <c r="PJ268" s="243"/>
      <c r="PK268" s="243"/>
      <c r="PL268" s="243"/>
      <c r="PM268" s="243"/>
      <c r="PN268" s="243"/>
      <c r="PO268" s="243"/>
      <c r="PP268" s="243"/>
      <c r="PQ268" s="243"/>
      <c r="PR268" s="243"/>
      <c r="PS268" s="243"/>
      <c r="PT268" s="243"/>
      <c r="PU268" s="243"/>
      <c r="PV268" s="243"/>
      <c r="PW268" s="243"/>
      <c r="PX268" s="243"/>
      <c r="PY268" s="243"/>
      <c r="PZ268" s="243"/>
      <c r="QA268" s="243"/>
      <c r="QB268" s="243"/>
      <c r="QC268" s="243"/>
      <c r="QD268" s="243"/>
      <c r="QE268" s="243"/>
      <c r="QF268" s="243"/>
      <c r="QG268" s="243"/>
      <c r="QH268" s="243"/>
      <c r="QI268" s="243"/>
      <c r="QJ268" s="243"/>
      <c r="QK268" s="243"/>
      <c r="QL268" s="243"/>
      <c r="QM268" s="243"/>
      <c r="QN268" s="243"/>
      <c r="QO268" s="243"/>
      <c r="QP268" s="243"/>
      <c r="QQ268" s="243"/>
      <c r="QR268" s="243"/>
      <c r="QS268" s="243"/>
      <c r="QT268" s="243"/>
      <c r="QU268" s="243"/>
      <c r="QV268" s="243"/>
      <c r="QW268" s="243"/>
      <c r="QX268" s="243"/>
      <c r="QY268" s="243"/>
      <c r="QZ268" s="243"/>
      <c r="RA268" s="243"/>
      <c r="RB268" s="243"/>
      <c r="RC268" s="243"/>
      <c r="RD268" s="243"/>
      <c r="RE268" s="243"/>
      <c r="RF268" s="243"/>
      <c r="RG268" s="243"/>
      <c r="RH268" s="243"/>
      <c r="RI268" s="243"/>
      <c r="RJ268" s="243"/>
      <c r="RK268" s="243"/>
      <c r="RL268" s="243"/>
      <c r="RM268" s="243"/>
      <c r="RN268" s="243"/>
      <c r="RO268" s="243"/>
      <c r="RP268" s="243"/>
      <c r="RQ268" s="243"/>
      <c r="RR268" s="243"/>
      <c r="RS268" s="243"/>
      <c r="RT268" s="243"/>
      <c r="RU268" s="243"/>
      <c r="RV268" s="243"/>
      <c r="RW268" s="243"/>
      <c r="RX268" s="243"/>
      <c r="RY268" s="243"/>
      <c r="RZ268" s="243"/>
      <c r="SA268" s="243"/>
      <c r="SB268" s="243"/>
      <c r="SC268" s="243"/>
      <c r="SD268" s="243"/>
      <c r="SE268" s="243"/>
      <c r="SF268" s="243"/>
      <c r="SG268" s="243"/>
      <c r="SH268" s="243"/>
      <c r="SI268" s="243"/>
      <c r="SJ268" s="243"/>
      <c r="SK268" s="243"/>
      <c r="SL268" s="243"/>
      <c r="SM268" s="243"/>
      <c r="SN268" s="243"/>
      <c r="SO268" s="243"/>
      <c r="SP268" s="243"/>
      <c r="SQ268" s="243"/>
      <c r="SR268" s="243"/>
      <c r="SS268" s="243"/>
      <c r="ST268" s="243"/>
      <c r="SU268" s="243"/>
      <c r="SV268" s="243"/>
      <c r="SW268" s="243"/>
      <c r="SX268" s="243"/>
      <c r="SY268" s="243"/>
      <c r="SZ268" s="243"/>
      <c r="TA268" s="243"/>
      <c r="TB268" s="243"/>
      <c r="TC268" s="243"/>
      <c r="TD268" s="243"/>
      <c r="TE268" s="243"/>
      <c r="TF268" s="243"/>
      <c r="TG268" s="243"/>
      <c r="TH268" s="243"/>
      <c r="TI268" s="243"/>
      <c r="TJ268" s="243"/>
      <c r="TK268" s="243"/>
      <c r="TL268" s="243"/>
      <c r="TM268" s="243"/>
      <c r="TN268" s="243"/>
      <c r="TO268" s="243"/>
      <c r="TP268" s="243"/>
      <c r="TQ268" s="243"/>
      <c r="TR268" s="243"/>
      <c r="TS268" s="243"/>
      <c r="TT268" s="243"/>
      <c r="TU268" s="243"/>
      <c r="TV268" s="243"/>
      <c r="TW268" s="243"/>
      <c r="TX268" s="243"/>
      <c r="TY268" s="243"/>
      <c r="TZ268" s="243"/>
      <c r="UA268" s="243"/>
      <c r="UB268" s="243"/>
      <c r="UC268" s="243"/>
      <c r="UD268" s="243"/>
      <c r="UE268" s="243"/>
      <c r="UF268" s="243"/>
      <c r="UG268" s="243"/>
      <c r="UH268" s="243"/>
      <c r="UI268" s="243"/>
      <c r="UJ268" s="243"/>
      <c r="UK268" s="243"/>
      <c r="UL268" s="243"/>
      <c r="UM268" s="243"/>
      <c r="UN268" s="243"/>
      <c r="UO268" s="243"/>
      <c r="UP268" s="243"/>
      <c r="UQ268" s="243"/>
      <c r="UR268" s="243"/>
      <c r="US268" s="243"/>
      <c r="UT268" s="243"/>
      <c r="UU268" s="243"/>
      <c r="UV268" s="243"/>
      <c r="UW268" s="243"/>
      <c r="UX268" s="243"/>
      <c r="UY268" s="243"/>
      <c r="UZ268" s="243"/>
      <c r="VA268" s="243"/>
      <c r="VB268" s="243"/>
      <c r="VC268" s="243"/>
      <c r="VD268" s="243"/>
      <c r="VE268" s="243"/>
      <c r="VF268" s="243"/>
      <c r="VG268" s="243"/>
      <c r="VH268" s="243"/>
      <c r="VI268" s="243"/>
      <c r="VJ268" s="243"/>
      <c r="VK268" s="243"/>
      <c r="VL268" s="243"/>
      <c r="VM268" s="243"/>
      <c r="VN268" s="243"/>
      <c r="VO268" s="243"/>
      <c r="VP268" s="243"/>
      <c r="VQ268" s="243"/>
      <c r="VR268" s="243"/>
      <c r="VS268" s="243"/>
      <c r="VT268" s="243"/>
      <c r="VU268" s="243"/>
      <c r="VV268" s="243"/>
      <c r="VW268" s="243"/>
      <c r="VX268" s="243"/>
      <c r="VY268" s="243"/>
      <c r="VZ268" s="243"/>
      <c r="WA268" s="243"/>
      <c r="WB268" s="243"/>
      <c r="WC268" s="243"/>
      <c r="WD268" s="243"/>
      <c r="WE268" s="243"/>
      <c r="WF268" s="243"/>
      <c r="WG268" s="243"/>
      <c r="WH268" s="243"/>
      <c r="WI268" s="243"/>
      <c r="WJ268" s="243"/>
      <c r="WK268" s="243"/>
      <c r="WL268" s="243"/>
      <c r="WM268" s="243"/>
      <c r="WN268" s="243"/>
      <c r="WO268" s="243"/>
      <c r="WP268" s="243"/>
      <c r="WQ268" s="243"/>
      <c r="WR268" s="243"/>
      <c r="WS268" s="243"/>
      <c r="WT268" s="243"/>
      <c r="WU268" s="243"/>
      <c r="WV268" s="243"/>
      <c r="WW268" s="243"/>
      <c r="WX268" s="243"/>
      <c r="WY268" s="243"/>
      <c r="WZ268" s="243"/>
      <c r="XA268" s="243"/>
      <c r="XB268" s="243"/>
      <c r="XC268" s="243"/>
      <c r="XD268" s="243"/>
      <c r="XE268" s="243"/>
      <c r="XF268" s="243"/>
      <c r="XG268" s="243"/>
      <c r="XH268" s="243"/>
      <c r="XI268" s="243"/>
      <c r="XJ268" s="243"/>
      <c r="XK268" s="243"/>
      <c r="XL268" s="243"/>
      <c r="XM268" s="243"/>
      <c r="XN268" s="243"/>
      <c r="XO268" s="243"/>
      <c r="XP268" s="243"/>
      <c r="XQ268" s="243"/>
      <c r="XR268" s="243"/>
      <c r="XS268" s="243"/>
      <c r="XT268" s="243"/>
      <c r="XU268" s="243"/>
      <c r="XV268" s="243"/>
      <c r="XW268" s="243"/>
      <c r="XX268" s="243"/>
      <c r="XY268" s="243"/>
      <c r="XZ268" s="243"/>
      <c r="YA268" s="243"/>
      <c r="YB268" s="243"/>
      <c r="YC268" s="243"/>
      <c r="YD268" s="243"/>
      <c r="YE268" s="243"/>
      <c r="YF268" s="243"/>
      <c r="YG268" s="243"/>
      <c r="YH268" s="243"/>
      <c r="YI268" s="243"/>
      <c r="YJ268" s="243"/>
      <c r="YK268" s="243"/>
      <c r="YL268" s="243"/>
      <c r="YM268" s="243"/>
      <c r="YN268" s="243"/>
      <c r="YO268" s="243"/>
      <c r="YP268" s="243"/>
      <c r="YQ268" s="243"/>
      <c r="YR268" s="243"/>
      <c r="YS268" s="243"/>
      <c r="YT268" s="243"/>
      <c r="YU268" s="243"/>
      <c r="YV268" s="243"/>
      <c r="YW268" s="243"/>
      <c r="YX268" s="243"/>
      <c r="YY268" s="243"/>
      <c r="YZ268" s="243"/>
      <c r="ZA268" s="243"/>
      <c r="ZB268" s="243"/>
      <c r="ZC268" s="243"/>
      <c r="ZD268" s="243"/>
      <c r="ZE268" s="243"/>
      <c r="ZF268" s="243"/>
      <c r="ZG268" s="243"/>
      <c r="ZH268" s="243"/>
      <c r="ZI268" s="243"/>
      <c r="ZJ268" s="243"/>
      <c r="ZK268" s="243"/>
      <c r="ZL268" s="243"/>
      <c r="ZM268" s="243"/>
      <c r="ZN268" s="243"/>
      <c r="ZO268" s="243"/>
      <c r="ZP268" s="243"/>
      <c r="ZQ268" s="243"/>
      <c r="ZR268" s="243"/>
      <c r="ZS268" s="243"/>
      <c r="ZT268" s="243"/>
      <c r="ZU268" s="243"/>
      <c r="ZV268" s="243"/>
      <c r="ZW268" s="243"/>
      <c r="ZX268" s="243"/>
      <c r="ZY268" s="243"/>
      <c r="ZZ268" s="243"/>
      <c r="AAA268" s="243"/>
      <c r="AAB268" s="243"/>
      <c r="AAC268" s="243"/>
      <c r="AAD268" s="243"/>
      <c r="AAE268" s="243"/>
      <c r="AAF268" s="243"/>
      <c r="AAG268" s="243"/>
      <c r="AAH268" s="243"/>
      <c r="AAI268" s="243"/>
      <c r="AAJ268" s="243"/>
      <c r="AAK268" s="243"/>
      <c r="AAL268" s="243"/>
      <c r="AAM268" s="243"/>
      <c r="AAN268" s="243"/>
      <c r="AAO268" s="243"/>
      <c r="AAP268" s="243"/>
      <c r="AAQ268" s="243"/>
      <c r="AAR268" s="243"/>
      <c r="AAS268" s="243"/>
      <c r="AAT268" s="243"/>
      <c r="AAU268" s="243"/>
      <c r="AAV268" s="243"/>
      <c r="AAW268" s="243"/>
      <c r="AAX268" s="243"/>
      <c r="AAY268" s="243"/>
      <c r="AAZ268" s="243"/>
      <c r="ABA268" s="243"/>
      <c r="ABB268" s="243"/>
      <c r="ABC268" s="243"/>
      <c r="ABD268" s="243"/>
      <c r="ABE268" s="243"/>
      <c r="ABF268" s="243"/>
      <c r="ABG268" s="243"/>
      <c r="ABH268" s="243"/>
      <c r="ABI268" s="243"/>
      <c r="ABJ268" s="243"/>
      <c r="ABK268" s="243"/>
      <c r="ABL268" s="243"/>
      <c r="ABM268" s="243"/>
      <c r="ABN268" s="243"/>
      <c r="ABO268" s="243"/>
      <c r="ABP268" s="243"/>
      <c r="ABQ268" s="243"/>
      <c r="ABR268" s="243"/>
      <c r="ABS268" s="243"/>
      <c r="ABT268" s="243"/>
      <c r="ABU268" s="243"/>
      <c r="ABV268" s="243"/>
      <c r="ABW268" s="243"/>
      <c r="ABX268" s="243"/>
      <c r="ABY268" s="243"/>
      <c r="ABZ268" s="243"/>
      <c r="ACA268" s="243"/>
      <c r="ACB268" s="243"/>
      <c r="ACC268" s="243"/>
      <c r="ACD268" s="243"/>
      <c r="ACE268" s="243"/>
      <c r="ACF268" s="243"/>
      <c r="ACG268" s="243"/>
      <c r="ACH268" s="243"/>
      <c r="ACI268" s="243"/>
      <c r="ACJ268" s="243"/>
      <c r="ACK268" s="243"/>
      <c r="ACL268" s="243"/>
      <c r="ACM268" s="243"/>
      <c r="ACN268" s="243"/>
      <c r="ACO268" s="243"/>
      <c r="ACP268" s="243"/>
      <c r="ACQ268" s="243"/>
      <c r="ACR268" s="243"/>
      <c r="ACS268" s="243"/>
      <c r="ACT268" s="243"/>
      <c r="ACU268" s="243"/>
      <c r="ACV268" s="243"/>
      <c r="ACW268" s="243"/>
      <c r="ACX268" s="243"/>
      <c r="ACY268" s="243"/>
      <c r="ACZ268" s="243"/>
      <c r="ADA268" s="243"/>
      <c r="ADB268" s="243"/>
      <c r="ADC268" s="243"/>
      <c r="ADD268" s="243"/>
      <c r="ADE268" s="243"/>
      <c r="ADF268" s="243"/>
      <c r="ADG268" s="243"/>
      <c r="ADH268" s="243"/>
      <c r="ADI268" s="243"/>
      <c r="ADJ268" s="243"/>
      <c r="ADK268" s="243"/>
      <c r="ADL268" s="243"/>
      <c r="ADM268" s="243"/>
      <c r="ADN268" s="243"/>
      <c r="ADO268" s="243"/>
      <c r="ADP268" s="243"/>
      <c r="ADQ268" s="243"/>
      <c r="ADR268" s="243"/>
      <c r="ADS268" s="243"/>
      <c r="ADT268" s="243"/>
      <c r="ADU268" s="243"/>
      <c r="ADV268" s="243"/>
      <c r="ADW268" s="243"/>
      <c r="ADX268" s="243"/>
      <c r="ADY268" s="243"/>
      <c r="ADZ268" s="243"/>
      <c r="AEA268" s="243"/>
      <c r="AEB268" s="243"/>
      <c r="AEC268" s="243"/>
      <c r="AED268" s="243"/>
      <c r="AEE268" s="243"/>
      <c r="AEF268" s="243"/>
      <c r="AEG268" s="243"/>
      <c r="AEH268" s="243"/>
      <c r="AEI268" s="243"/>
      <c r="AEJ268" s="243"/>
      <c r="AEK268" s="243"/>
      <c r="AEL268" s="243"/>
      <c r="AEM268" s="243"/>
      <c r="AEN268" s="243"/>
      <c r="AEO268" s="243"/>
      <c r="AEP268" s="243"/>
      <c r="AEQ268" s="243"/>
      <c r="AER268" s="243"/>
      <c r="AES268" s="243"/>
      <c r="AET268" s="243"/>
      <c r="AEU268" s="243"/>
      <c r="AEV268" s="243"/>
      <c r="AEW268" s="243"/>
      <c r="AEX268" s="243"/>
      <c r="AEY268" s="243"/>
      <c r="AEZ268" s="243"/>
      <c r="AFA268" s="243"/>
      <c r="AFB268" s="243"/>
      <c r="AFC268" s="243"/>
      <c r="AFD268" s="243"/>
      <c r="AFE268" s="243"/>
      <c r="AFF268" s="243"/>
      <c r="AFG268" s="243"/>
      <c r="AFH268" s="243"/>
      <c r="AFI268" s="243"/>
      <c r="AFJ268" s="243"/>
      <c r="AFK268" s="243"/>
      <c r="AFL268" s="243"/>
      <c r="AFM268" s="243"/>
      <c r="AFN268" s="243"/>
      <c r="AFO268" s="243"/>
      <c r="AFP268" s="243"/>
      <c r="AFQ268" s="243"/>
      <c r="AFR268" s="243"/>
      <c r="AFS268" s="243"/>
      <c r="AFT268" s="243"/>
      <c r="AFU268" s="243"/>
      <c r="AFV268" s="243"/>
      <c r="AFW268" s="243"/>
      <c r="AFX268" s="243"/>
      <c r="AFY268" s="243"/>
      <c r="AFZ268" s="243"/>
      <c r="AGA268" s="243"/>
      <c r="AGB268" s="243"/>
      <c r="AGC268" s="243"/>
      <c r="AGD268" s="243"/>
      <c r="AGE268" s="243"/>
      <c r="AGF268" s="243"/>
      <c r="AGG268" s="243"/>
      <c r="AGH268" s="243"/>
      <c r="AGI268" s="243"/>
      <c r="AGJ268" s="243"/>
      <c r="AGK268" s="243"/>
      <c r="AGL268" s="243"/>
      <c r="AGM268" s="243"/>
      <c r="AGN268" s="243"/>
      <c r="AGO268" s="243"/>
      <c r="AGP268" s="243"/>
      <c r="AGQ268" s="243"/>
      <c r="AGR268" s="243"/>
      <c r="AGS268" s="243"/>
      <c r="AGT268" s="243"/>
      <c r="AGU268" s="243"/>
      <c r="AGV268" s="243"/>
      <c r="AGW268" s="243"/>
      <c r="AGX268" s="243"/>
      <c r="AGY268" s="243"/>
      <c r="AGZ268" s="243"/>
      <c r="AHA268" s="243"/>
      <c r="AHB268" s="243"/>
      <c r="AHC268" s="243"/>
      <c r="AHD268" s="243"/>
      <c r="AHE268" s="243"/>
      <c r="AHF268" s="243"/>
      <c r="AHG268" s="243"/>
      <c r="AHH268" s="243"/>
      <c r="AHI268" s="243"/>
      <c r="AHJ268" s="243"/>
      <c r="AHK268" s="243"/>
      <c r="AHL268" s="243"/>
      <c r="AHM268" s="243"/>
      <c r="AHN268" s="243"/>
      <c r="AHO268" s="243"/>
      <c r="AHP268" s="243"/>
      <c r="AHQ268" s="243"/>
      <c r="AHR268" s="243"/>
      <c r="AHS268" s="243"/>
      <c r="AHT268" s="243"/>
      <c r="AHU268" s="243"/>
      <c r="AHV268" s="243"/>
      <c r="AHW268" s="243"/>
      <c r="AHX268" s="243"/>
      <c r="AHY268" s="243"/>
      <c r="AHZ268" s="243"/>
      <c r="AIA268" s="243"/>
      <c r="AIB268" s="243"/>
      <c r="AIC268" s="243"/>
      <c r="AID268" s="243"/>
      <c r="AIE268" s="243"/>
      <c r="AIF268" s="243"/>
      <c r="AIG268" s="243"/>
      <c r="AIH268" s="243"/>
      <c r="AII268" s="243"/>
      <c r="AIJ268" s="243"/>
      <c r="AIK268" s="243"/>
      <c r="AIL268" s="243"/>
      <c r="AIM268" s="243"/>
      <c r="AIN268" s="243"/>
      <c r="AIO268" s="243"/>
      <c r="AIP268" s="243"/>
      <c r="AIQ268" s="243"/>
      <c r="AIR268" s="243"/>
      <c r="AIS268" s="243"/>
      <c r="AIT268" s="243"/>
      <c r="AIU268" s="243"/>
      <c r="AIV268" s="243"/>
      <c r="AIW268" s="243"/>
      <c r="AIX268" s="243"/>
      <c r="AIY268" s="243"/>
      <c r="AIZ268" s="243"/>
      <c r="AJA268" s="243"/>
      <c r="AJB268" s="243"/>
      <c r="AJC268" s="243"/>
      <c r="AJD268" s="243"/>
      <c r="AJE268" s="243"/>
      <c r="AJF268" s="243"/>
      <c r="AJG268" s="243"/>
      <c r="AJH268" s="243"/>
      <c r="AJI268" s="243"/>
      <c r="AJJ268" s="243"/>
      <c r="AJK268" s="243"/>
      <c r="AJL268" s="243"/>
      <c r="AJM268" s="243"/>
      <c r="AJN268" s="243"/>
      <c r="AJO268" s="243"/>
      <c r="AJP268" s="243"/>
      <c r="AJQ268" s="243"/>
      <c r="AJR268" s="243"/>
      <c r="AJS268" s="243"/>
      <c r="AJT268" s="243"/>
      <c r="AJU268" s="243"/>
      <c r="AJV268" s="243"/>
      <c r="AJW268" s="243"/>
      <c r="AJX268" s="243"/>
      <c r="AJY268" s="243"/>
      <c r="AJZ268" s="243"/>
      <c r="AKA268" s="243"/>
      <c r="AKB268" s="243"/>
      <c r="AKC268" s="243"/>
      <c r="AKD268" s="243"/>
      <c r="AKE268" s="243"/>
      <c r="AKF268" s="243"/>
      <c r="AKG268" s="243"/>
      <c r="AKH268" s="243"/>
      <c r="AKI268" s="243"/>
      <c r="AKJ268" s="243"/>
      <c r="AKK268" s="243"/>
      <c r="AKL268" s="243"/>
      <c r="AKM268" s="243"/>
      <c r="AKN268" s="243"/>
      <c r="AKO268" s="243"/>
      <c r="AKP268" s="243"/>
      <c r="AKQ268" s="243"/>
      <c r="AKR268" s="243"/>
      <c r="AKS268" s="243"/>
      <c r="AKT268" s="243"/>
      <c r="AKU268" s="243"/>
      <c r="AKV268" s="243"/>
      <c r="AKW268" s="243"/>
      <c r="AKX268" s="243"/>
      <c r="AKY268" s="243"/>
      <c r="AKZ268" s="243"/>
      <c r="ALA268" s="243"/>
      <c r="ALB268" s="243"/>
      <c r="ALC268" s="243"/>
      <c r="ALD268" s="243"/>
      <c r="ALE268" s="243"/>
      <c r="ALF268" s="243"/>
      <c r="ALG268" s="243"/>
      <c r="ALH268" s="243"/>
      <c r="ALI268" s="243"/>
      <c r="ALJ268" s="243"/>
      <c r="ALK268" s="243"/>
      <c r="ALL268" s="243"/>
      <c r="ALM268" s="243"/>
      <c r="ALN268" s="243"/>
      <c r="ALO268" s="243"/>
      <c r="ALP268" s="243"/>
      <c r="ALQ268" s="243"/>
      <c r="ALR268" s="243"/>
      <c r="ALS268" s="243"/>
      <c r="ALT268" s="243"/>
      <c r="ALU268" s="243"/>
      <c r="ALV268" s="243"/>
      <c r="ALW268" s="243"/>
      <c r="ALX268" s="243"/>
      <c r="ALY268" s="243"/>
      <c r="ALZ268" s="243"/>
      <c r="AMA268" s="243"/>
      <c r="AMB268" s="243"/>
      <c r="AMC268" s="243"/>
      <c r="AMD268" s="243"/>
      <c r="AME268" s="243"/>
      <c r="AMF268" s="243"/>
      <c r="AMG268" s="243"/>
      <c r="AMH268" s="243"/>
      <c r="AMI268" s="244"/>
      <c r="AMJ268" s="244"/>
    </row>
    <row r="269" spans="1:1024" ht="43.5">
      <c r="A269" s="1038"/>
      <c r="B269" s="1038"/>
      <c r="C269" s="1038"/>
      <c r="D269" s="1038"/>
      <c r="E269" s="392"/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  <c r="AA269" s="243"/>
      <c r="AB269" s="243"/>
      <c r="AC269" s="243"/>
      <c r="AD269" s="243"/>
      <c r="AE269" s="243"/>
      <c r="AF269" s="243"/>
      <c r="AG269" s="243"/>
      <c r="AH269" s="243"/>
      <c r="AI269" s="243"/>
      <c r="AJ269" s="243"/>
      <c r="AK269" s="243"/>
      <c r="AL269" s="243"/>
      <c r="AM269" s="243"/>
      <c r="AN269" s="243"/>
      <c r="AO269" s="243"/>
      <c r="AP269" s="243"/>
      <c r="AQ269" s="243"/>
      <c r="AR269" s="243"/>
      <c r="AS269" s="243"/>
      <c r="AT269" s="243"/>
      <c r="AU269" s="243"/>
      <c r="AV269" s="243"/>
      <c r="AW269" s="243"/>
      <c r="AX269" s="243"/>
      <c r="AY269" s="243"/>
      <c r="AZ269" s="243"/>
      <c r="BA269" s="243"/>
      <c r="BB269" s="243"/>
      <c r="BC269" s="243"/>
      <c r="BD269" s="243"/>
      <c r="BE269" s="243"/>
      <c r="BF269" s="243"/>
      <c r="BG269" s="243"/>
      <c r="BH269" s="243"/>
      <c r="BI269" s="243"/>
      <c r="BJ269" s="243"/>
      <c r="BK269" s="243"/>
      <c r="BL269" s="243"/>
      <c r="BM269" s="243"/>
      <c r="BN269" s="243"/>
      <c r="BO269" s="243"/>
      <c r="BP269" s="243"/>
      <c r="BQ269" s="243"/>
      <c r="BR269" s="243"/>
      <c r="BS269" s="243"/>
      <c r="BT269" s="243"/>
      <c r="BU269" s="243"/>
      <c r="BV269" s="243"/>
      <c r="BW269" s="243"/>
      <c r="BX269" s="243"/>
      <c r="BY269" s="243"/>
      <c r="BZ269" s="243"/>
      <c r="CA269" s="243"/>
      <c r="CB269" s="243"/>
      <c r="CC269" s="243"/>
      <c r="CD269" s="243"/>
      <c r="CE269" s="243"/>
      <c r="CF269" s="243"/>
      <c r="CG269" s="243"/>
      <c r="CH269" s="243"/>
      <c r="CI269" s="243"/>
      <c r="CJ269" s="243"/>
      <c r="CK269" s="243"/>
      <c r="CL269" s="243"/>
      <c r="CM269" s="243"/>
      <c r="CN269" s="243"/>
      <c r="CO269" s="243"/>
      <c r="CP269" s="243"/>
      <c r="CQ269" s="243"/>
      <c r="CR269" s="243"/>
      <c r="CS269" s="243"/>
      <c r="CT269" s="243"/>
      <c r="CU269" s="243"/>
      <c r="CV269" s="243"/>
      <c r="CW269" s="243"/>
      <c r="CX269" s="243"/>
      <c r="CY269" s="243"/>
      <c r="CZ269" s="243"/>
      <c r="DA269" s="243"/>
      <c r="DB269" s="243"/>
      <c r="DC269" s="243"/>
      <c r="DD269" s="243"/>
      <c r="DE269" s="243"/>
      <c r="DF269" s="243"/>
      <c r="DG269" s="243"/>
      <c r="DH269" s="243"/>
      <c r="DI269" s="243"/>
      <c r="DJ269" s="243"/>
      <c r="DK269" s="243"/>
      <c r="DL269" s="243"/>
      <c r="DM269" s="243"/>
      <c r="DN269" s="243"/>
      <c r="DO269" s="243"/>
      <c r="DP269" s="243"/>
      <c r="DQ269" s="243"/>
      <c r="DR269" s="243"/>
      <c r="DS269" s="243"/>
      <c r="DT269" s="243"/>
      <c r="DU269" s="243"/>
      <c r="DV269" s="243"/>
      <c r="DW269" s="243"/>
      <c r="DX269" s="243"/>
      <c r="DY269" s="243"/>
      <c r="DZ269" s="243"/>
      <c r="EA269" s="243"/>
      <c r="EB269" s="243"/>
      <c r="EC269" s="243"/>
      <c r="ED269" s="243"/>
      <c r="EE269" s="243"/>
      <c r="EF269" s="243"/>
      <c r="EG269" s="243"/>
      <c r="EH269" s="243"/>
      <c r="EI269" s="243"/>
      <c r="EJ269" s="243"/>
      <c r="EK269" s="243"/>
      <c r="EL269" s="243"/>
      <c r="EM269" s="243"/>
      <c r="EN269" s="243"/>
      <c r="EO269" s="243"/>
      <c r="EP269" s="243"/>
      <c r="EQ269" s="243"/>
      <c r="ER269" s="243"/>
      <c r="ES269" s="243"/>
      <c r="ET269" s="243"/>
      <c r="EU269" s="243"/>
      <c r="EV269" s="243"/>
      <c r="EW269" s="243"/>
      <c r="EX269" s="243"/>
      <c r="EY269" s="243"/>
      <c r="EZ269" s="243"/>
      <c r="FA269" s="243"/>
      <c r="FB269" s="243"/>
      <c r="FC269" s="243"/>
      <c r="FD269" s="243"/>
      <c r="FE269" s="243"/>
      <c r="FF269" s="243"/>
      <c r="FG269" s="243"/>
      <c r="FH269" s="243"/>
      <c r="FI269" s="243"/>
      <c r="FJ269" s="243"/>
      <c r="FK269" s="243"/>
      <c r="FL269" s="243"/>
      <c r="FM269" s="243"/>
      <c r="FN269" s="243"/>
      <c r="FO269" s="243"/>
      <c r="FP269" s="243"/>
      <c r="FQ269" s="243"/>
      <c r="FR269" s="243"/>
      <c r="FS269" s="243"/>
      <c r="FT269" s="243"/>
      <c r="FU269" s="243"/>
      <c r="FV269" s="243"/>
      <c r="FW269" s="243"/>
      <c r="FX269" s="243"/>
      <c r="FY269" s="243"/>
      <c r="FZ269" s="243"/>
      <c r="GA269" s="243"/>
      <c r="GB269" s="243"/>
      <c r="GC269" s="243"/>
      <c r="GD269" s="243"/>
      <c r="GE269" s="243"/>
      <c r="GF269" s="243"/>
      <c r="GG269" s="243"/>
      <c r="GH269" s="243"/>
      <c r="GI269" s="243"/>
      <c r="GJ269" s="243"/>
      <c r="GK269" s="243"/>
      <c r="GL269" s="243"/>
      <c r="GM269" s="243"/>
      <c r="GN269" s="243"/>
      <c r="GO269" s="243"/>
      <c r="GP269" s="243"/>
      <c r="GQ269" s="243"/>
      <c r="GR269" s="243"/>
      <c r="GS269" s="243"/>
      <c r="GT269" s="243"/>
      <c r="GU269" s="243"/>
      <c r="GV269" s="243"/>
      <c r="GW269" s="243"/>
      <c r="GX269" s="243"/>
      <c r="GY269" s="243"/>
      <c r="GZ269" s="243"/>
      <c r="HA269" s="243"/>
      <c r="HB269" s="243"/>
      <c r="HC269" s="243"/>
      <c r="HD269" s="243"/>
      <c r="HE269" s="243"/>
      <c r="HF269" s="243"/>
      <c r="HG269" s="243"/>
      <c r="HH269" s="243"/>
      <c r="HI269" s="243"/>
      <c r="HJ269" s="243"/>
      <c r="HK269" s="243"/>
      <c r="HL269" s="243"/>
      <c r="HM269" s="243"/>
      <c r="HN269" s="243"/>
      <c r="HO269" s="243"/>
      <c r="HP269" s="243"/>
      <c r="HQ269" s="243"/>
      <c r="HR269" s="243"/>
      <c r="HS269" s="243"/>
      <c r="HT269" s="243"/>
      <c r="HU269" s="243"/>
      <c r="HV269" s="243"/>
      <c r="HW269" s="243"/>
      <c r="HX269" s="243"/>
      <c r="HY269" s="243"/>
      <c r="HZ269" s="243"/>
      <c r="IA269" s="243"/>
      <c r="IB269" s="243"/>
      <c r="IC269" s="243"/>
      <c r="ID269" s="243"/>
      <c r="IE269" s="243"/>
      <c r="IF269" s="243"/>
      <c r="IG269" s="243"/>
      <c r="IH269" s="243"/>
      <c r="II269" s="243"/>
      <c r="IJ269" s="243"/>
      <c r="IK269" s="243"/>
      <c r="IL269" s="243"/>
      <c r="IM269" s="243"/>
      <c r="IN269" s="243"/>
      <c r="IO269" s="243"/>
      <c r="IP269" s="243"/>
      <c r="IQ269" s="243"/>
      <c r="IR269" s="243"/>
      <c r="IS269" s="243"/>
      <c r="IT269" s="243"/>
      <c r="IU269" s="243"/>
      <c r="IV269" s="243"/>
      <c r="IW269" s="243"/>
      <c r="IX269" s="243"/>
      <c r="IY269" s="243"/>
      <c r="IZ269" s="243"/>
      <c r="JA269" s="243"/>
      <c r="JB269" s="243"/>
      <c r="JC269" s="243"/>
      <c r="JD269" s="243"/>
      <c r="JE269" s="243"/>
      <c r="JF269" s="243"/>
      <c r="JG269" s="243"/>
      <c r="JH269" s="243"/>
      <c r="JI269" s="243"/>
      <c r="JJ269" s="243"/>
      <c r="JK269" s="243"/>
      <c r="JL269" s="243"/>
      <c r="JM269" s="243"/>
      <c r="JN269" s="243"/>
      <c r="JO269" s="243"/>
      <c r="JP269" s="243"/>
      <c r="JQ269" s="243"/>
      <c r="JR269" s="243"/>
      <c r="JS269" s="243"/>
      <c r="JT269" s="243"/>
      <c r="JU269" s="243"/>
      <c r="JV269" s="243"/>
      <c r="JW269" s="243"/>
      <c r="JX269" s="243"/>
      <c r="JY269" s="243"/>
      <c r="JZ269" s="243"/>
      <c r="KA269" s="243"/>
      <c r="KB269" s="243"/>
      <c r="KC269" s="243"/>
      <c r="KD269" s="243"/>
      <c r="KE269" s="243"/>
      <c r="KF269" s="243"/>
      <c r="KG269" s="243"/>
      <c r="KH269" s="243"/>
      <c r="KI269" s="243"/>
      <c r="KJ269" s="243"/>
      <c r="KK269" s="243"/>
      <c r="KL269" s="243"/>
      <c r="KM269" s="243"/>
      <c r="KN269" s="243"/>
      <c r="KO269" s="243"/>
      <c r="KP269" s="243"/>
      <c r="KQ269" s="243"/>
      <c r="KR269" s="243"/>
      <c r="KS269" s="243"/>
      <c r="KT269" s="243"/>
      <c r="KU269" s="243"/>
      <c r="KV269" s="243"/>
      <c r="KW269" s="243"/>
      <c r="KX269" s="243"/>
      <c r="KY269" s="243"/>
      <c r="KZ269" s="243"/>
      <c r="LA269" s="243"/>
      <c r="LB269" s="243"/>
      <c r="LC269" s="243"/>
      <c r="LD269" s="243"/>
      <c r="LE269" s="243"/>
      <c r="LF269" s="243"/>
      <c r="LG269" s="243"/>
      <c r="LH269" s="243"/>
      <c r="LI269" s="243"/>
      <c r="LJ269" s="243"/>
      <c r="LK269" s="243"/>
      <c r="LL269" s="243"/>
      <c r="LM269" s="243"/>
      <c r="LN269" s="243"/>
      <c r="LO269" s="243"/>
      <c r="LP269" s="243"/>
      <c r="LQ269" s="243"/>
      <c r="LR269" s="243"/>
      <c r="LS269" s="243"/>
      <c r="LT269" s="243"/>
      <c r="LU269" s="243"/>
      <c r="LV269" s="243"/>
      <c r="LW269" s="243"/>
      <c r="LX269" s="243"/>
      <c r="LY269" s="243"/>
      <c r="LZ269" s="243"/>
      <c r="MA269" s="243"/>
      <c r="MB269" s="243"/>
      <c r="MC269" s="243"/>
      <c r="MD269" s="243"/>
      <c r="ME269" s="243"/>
      <c r="MF269" s="243"/>
      <c r="MG269" s="243"/>
      <c r="MH269" s="243"/>
      <c r="MI269" s="243"/>
      <c r="MJ269" s="243"/>
      <c r="MK269" s="243"/>
      <c r="ML269" s="243"/>
      <c r="MM269" s="243"/>
      <c r="MN269" s="243"/>
      <c r="MO269" s="243"/>
      <c r="MP269" s="243"/>
      <c r="MQ269" s="243"/>
      <c r="MR269" s="243"/>
      <c r="MS269" s="243"/>
      <c r="MT269" s="243"/>
      <c r="MU269" s="243"/>
      <c r="MV269" s="243"/>
      <c r="MW269" s="243"/>
      <c r="MX269" s="243"/>
      <c r="MY269" s="243"/>
      <c r="MZ269" s="243"/>
      <c r="NA269" s="243"/>
      <c r="NB269" s="243"/>
      <c r="NC269" s="243"/>
      <c r="ND269" s="243"/>
      <c r="NE269" s="243"/>
      <c r="NF269" s="243"/>
      <c r="NG269" s="243"/>
      <c r="NH269" s="243"/>
      <c r="NI269" s="243"/>
      <c r="NJ269" s="243"/>
      <c r="NK269" s="243"/>
      <c r="NL269" s="243"/>
      <c r="NM269" s="243"/>
      <c r="NN269" s="243"/>
      <c r="NO269" s="243"/>
      <c r="NP269" s="243"/>
      <c r="NQ269" s="243"/>
      <c r="NR269" s="243"/>
      <c r="NS269" s="243"/>
      <c r="NT269" s="243"/>
      <c r="NU269" s="243"/>
      <c r="NV269" s="243"/>
      <c r="NW269" s="243"/>
      <c r="NX269" s="243"/>
      <c r="NY269" s="243"/>
      <c r="NZ269" s="243"/>
      <c r="OA269" s="243"/>
      <c r="OB269" s="243"/>
      <c r="OC269" s="243"/>
      <c r="OD269" s="243"/>
      <c r="OE269" s="243"/>
      <c r="OF269" s="243"/>
      <c r="OG269" s="243"/>
      <c r="OH269" s="243"/>
      <c r="OI269" s="243"/>
      <c r="OJ269" s="243"/>
      <c r="OK269" s="243"/>
      <c r="OL269" s="243"/>
      <c r="OM269" s="243"/>
      <c r="ON269" s="243"/>
      <c r="OO269" s="243"/>
      <c r="OP269" s="243"/>
      <c r="OQ269" s="243"/>
      <c r="OR269" s="243"/>
      <c r="OS269" s="243"/>
      <c r="OT269" s="243"/>
      <c r="OU269" s="243"/>
      <c r="OV269" s="243"/>
      <c r="OW269" s="243"/>
      <c r="OX269" s="243"/>
      <c r="OY269" s="243"/>
      <c r="OZ269" s="243"/>
      <c r="PA269" s="243"/>
      <c r="PB269" s="243"/>
      <c r="PC269" s="243"/>
      <c r="PD269" s="243"/>
      <c r="PE269" s="243"/>
      <c r="PF269" s="243"/>
      <c r="PG269" s="243"/>
      <c r="PH269" s="243"/>
      <c r="PI269" s="243"/>
      <c r="PJ269" s="243"/>
      <c r="PK269" s="243"/>
      <c r="PL269" s="243"/>
      <c r="PM269" s="243"/>
      <c r="PN269" s="243"/>
      <c r="PO269" s="243"/>
      <c r="PP269" s="243"/>
      <c r="PQ269" s="243"/>
      <c r="PR269" s="243"/>
      <c r="PS269" s="243"/>
      <c r="PT269" s="243"/>
      <c r="PU269" s="243"/>
      <c r="PV269" s="243"/>
      <c r="PW269" s="243"/>
      <c r="PX269" s="243"/>
      <c r="PY269" s="243"/>
      <c r="PZ269" s="243"/>
      <c r="QA269" s="243"/>
      <c r="QB269" s="243"/>
      <c r="QC269" s="243"/>
      <c r="QD269" s="243"/>
      <c r="QE269" s="243"/>
      <c r="QF269" s="243"/>
      <c r="QG269" s="243"/>
      <c r="QH269" s="243"/>
      <c r="QI269" s="243"/>
      <c r="QJ269" s="243"/>
      <c r="QK269" s="243"/>
      <c r="QL269" s="243"/>
      <c r="QM269" s="243"/>
      <c r="QN269" s="243"/>
      <c r="QO269" s="243"/>
      <c r="QP269" s="243"/>
      <c r="QQ269" s="243"/>
      <c r="QR269" s="243"/>
      <c r="QS269" s="243"/>
      <c r="QT269" s="243"/>
      <c r="QU269" s="243"/>
      <c r="QV269" s="243"/>
      <c r="QW269" s="243"/>
      <c r="QX269" s="243"/>
      <c r="QY269" s="243"/>
      <c r="QZ269" s="243"/>
      <c r="RA269" s="243"/>
      <c r="RB269" s="243"/>
      <c r="RC269" s="243"/>
      <c r="RD269" s="243"/>
      <c r="RE269" s="243"/>
      <c r="RF269" s="243"/>
      <c r="RG269" s="243"/>
      <c r="RH269" s="243"/>
      <c r="RI269" s="243"/>
      <c r="RJ269" s="243"/>
      <c r="RK269" s="243"/>
      <c r="RL269" s="243"/>
      <c r="RM269" s="243"/>
      <c r="RN269" s="243"/>
      <c r="RO269" s="243"/>
      <c r="RP269" s="243"/>
      <c r="RQ269" s="243"/>
      <c r="RR269" s="243"/>
      <c r="RS269" s="243"/>
      <c r="RT269" s="243"/>
      <c r="RU269" s="243"/>
      <c r="RV269" s="243"/>
      <c r="RW269" s="243"/>
      <c r="RX269" s="243"/>
      <c r="RY269" s="243"/>
      <c r="RZ269" s="243"/>
      <c r="SA269" s="243"/>
      <c r="SB269" s="243"/>
      <c r="SC269" s="243"/>
      <c r="SD269" s="243"/>
      <c r="SE269" s="243"/>
      <c r="SF269" s="243"/>
      <c r="SG269" s="243"/>
      <c r="SH269" s="243"/>
      <c r="SI269" s="243"/>
      <c r="SJ269" s="243"/>
      <c r="SK269" s="243"/>
      <c r="SL269" s="243"/>
      <c r="SM269" s="243"/>
      <c r="SN269" s="243"/>
      <c r="SO269" s="243"/>
      <c r="SP269" s="243"/>
      <c r="SQ269" s="243"/>
      <c r="SR269" s="243"/>
      <c r="SS269" s="243"/>
      <c r="ST269" s="243"/>
      <c r="SU269" s="243"/>
      <c r="SV269" s="243"/>
      <c r="SW269" s="243"/>
      <c r="SX269" s="243"/>
      <c r="SY269" s="243"/>
      <c r="SZ269" s="243"/>
      <c r="TA269" s="243"/>
      <c r="TB269" s="243"/>
      <c r="TC269" s="243"/>
      <c r="TD269" s="243"/>
      <c r="TE269" s="243"/>
      <c r="TF269" s="243"/>
      <c r="TG269" s="243"/>
      <c r="TH269" s="243"/>
      <c r="TI269" s="243"/>
      <c r="TJ269" s="243"/>
      <c r="TK269" s="243"/>
      <c r="TL269" s="243"/>
      <c r="TM269" s="243"/>
      <c r="TN269" s="243"/>
      <c r="TO269" s="243"/>
      <c r="TP269" s="243"/>
      <c r="TQ269" s="243"/>
      <c r="TR269" s="243"/>
      <c r="TS269" s="243"/>
      <c r="TT269" s="243"/>
      <c r="TU269" s="243"/>
      <c r="TV269" s="243"/>
      <c r="TW269" s="243"/>
      <c r="TX269" s="243"/>
      <c r="TY269" s="243"/>
      <c r="TZ269" s="243"/>
      <c r="UA269" s="243"/>
      <c r="UB269" s="243"/>
      <c r="UC269" s="243"/>
      <c r="UD269" s="243"/>
      <c r="UE269" s="243"/>
      <c r="UF269" s="243"/>
      <c r="UG269" s="243"/>
      <c r="UH269" s="243"/>
      <c r="UI269" s="243"/>
      <c r="UJ269" s="243"/>
      <c r="UK269" s="243"/>
      <c r="UL269" s="243"/>
      <c r="UM269" s="243"/>
      <c r="UN269" s="243"/>
      <c r="UO269" s="243"/>
      <c r="UP269" s="243"/>
      <c r="UQ269" s="243"/>
      <c r="UR269" s="243"/>
      <c r="US269" s="243"/>
      <c r="UT269" s="243"/>
      <c r="UU269" s="243"/>
      <c r="UV269" s="243"/>
      <c r="UW269" s="243"/>
      <c r="UX269" s="243"/>
      <c r="UY269" s="243"/>
      <c r="UZ269" s="243"/>
      <c r="VA269" s="243"/>
      <c r="VB269" s="243"/>
      <c r="VC269" s="243"/>
      <c r="VD269" s="243"/>
      <c r="VE269" s="243"/>
      <c r="VF269" s="243"/>
      <c r="VG269" s="243"/>
      <c r="VH269" s="243"/>
      <c r="VI269" s="243"/>
      <c r="VJ269" s="243"/>
      <c r="VK269" s="243"/>
      <c r="VL269" s="243"/>
      <c r="VM269" s="243"/>
      <c r="VN269" s="243"/>
      <c r="VO269" s="243"/>
      <c r="VP269" s="243"/>
      <c r="VQ269" s="243"/>
      <c r="VR269" s="243"/>
      <c r="VS269" s="243"/>
      <c r="VT269" s="243"/>
      <c r="VU269" s="243"/>
      <c r="VV269" s="243"/>
      <c r="VW269" s="243"/>
      <c r="VX269" s="243"/>
      <c r="VY269" s="243"/>
      <c r="VZ269" s="243"/>
      <c r="WA269" s="243"/>
      <c r="WB269" s="243"/>
      <c r="WC269" s="243"/>
      <c r="WD269" s="243"/>
      <c r="WE269" s="243"/>
      <c r="WF269" s="243"/>
      <c r="WG269" s="243"/>
      <c r="WH269" s="243"/>
      <c r="WI269" s="243"/>
      <c r="WJ269" s="243"/>
      <c r="WK269" s="243"/>
      <c r="WL269" s="243"/>
      <c r="WM269" s="243"/>
      <c r="WN269" s="243"/>
      <c r="WO269" s="243"/>
      <c r="WP269" s="243"/>
      <c r="WQ269" s="243"/>
      <c r="WR269" s="243"/>
      <c r="WS269" s="243"/>
      <c r="WT269" s="243"/>
      <c r="WU269" s="243"/>
      <c r="WV269" s="243"/>
      <c r="WW269" s="243"/>
      <c r="WX269" s="243"/>
      <c r="WY269" s="243"/>
      <c r="WZ269" s="243"/>
      <c r="XA269" s="243"/>
      <c r="XB269" s="243"/>
      <c r="XC269" s="243"/>
      <c r="XD269" s="243"/>
      <c r="XE269" s="243"/>
      <c r="XF269" s="243"/>
      <c r="XG269" s="243"/>
      <c r="XH269" s="243"/>
      <c r="XI269" s="243"/>
      <c r="XJ269" s="243"/>
      <c r="XK269" s="243"/>
      <c r="XL269" s="243"/>
      <c r="XM269" s="243"/>
      <c r="XN269" s="243"/>
      <c r="XO269" s="243"/>
      <c r="XP269" s="243"/>
      <c r="XQ269" s="243"/>
      <c r="XR269" s="243"/>
      <c r="XS269" s="243"/>
      <c r="XT269" s="243"/>
      <c r="XU269" s="243"/>
      <c r="XV269" s="243"/>
      <c r="XW269" s="243"/>
      <c r="XX269" s="243"/>
      <c r="XY269" s="243"/>
      <c r="XZ269" s="243"/>
      <c r="YA269" s="243"/>
      <c r="YB269" s="243"/>
      <c r="YC269" s="243"/>
      <c r="YD269" s="243"/>
      <c r="YE269" s="243"/>
      <c r="YF269" s="243"/>
      <c r="YG269" s="243"/>
      <c r="YH269" s="243"/>
      <c r="YI269" s="243"/>
      <c r="YJ269" s="243"/>
      <c r="YK269" s="243"/>
      <c r="YL269" s="243"/>
      <c r="YM269" s="243"/>
      <c r="YN269" s="243"/>
      <c r="YO269" s="243"/>
      <c r="YP269" s="243"/>
      <c r="YQ269" s="243"/>
      <c r="YR269" s="243"/>
      <c r="YS269" s="243"/>
      <c r="YT269" s="243"/>
      <c r="YU269" s="243"/>
      <c r="YV269" s="243"/>
      <c r="YW269" s="243"/>
      <c r="YX269" s="243"/>
      <c r="YY269" s="243"/>
      <c r="YZ269" s="243"/>
      <c r="ZA269" s="243"/>
      <c r="ZB269" s="243"/>
      <c r="ZC269" s="243"/>
      <c r="ZD269" s="243"/>
      <c r="ZE269" s="243"/>
      <c r="ZF269" s="243"/>
      <c r="ZG269" s="243"/>
      <c r="ZH269" s="243"/>
      <c r="ZI269" s="243"/>
      <c r="ZJ269" s="243"/>
      <c r="ZK269" s="243"/>
      <c r="ZL269" s="243"/>
      <c r="ZM269" s="243"/>
      <c r="ZN269" s="243"/>
      <c r="ZO269" s="243"/>
      <c r="ZP269" s="243"/>
      <c r="ZQ269" s="243"/>
      <c r="ZR269" s="243"/>
      <c r="ZS269" s="243"/>
      <c r="ZT269" s="243"/>
      <c r="ZU269" s="243"/>
      <c r="ZV269" s="243"/>
      <c r="ZW269" s="243"/>
      <c r="ZX269" s="243"/>
      <c r="ZY269" s="243"/>
      <c r="ZZ269" s="243"/>
      <c r="AAA269" s="243"/>
      <c r="AAB269" s="243"/>
      <c r="AAC269" s="243"/>
      <c r="AAD269" s="243"/>
      <c r="AAE269" s="243"/>
      <c r="AAF269" s="243"/>
      <c r="AAG269" s="243"/>
      <c r="AAH269" s="243"/>
      <c r="AAI269" s="243"/>
      <c r="AAJ269" s="243"/>
      <c r="AAK269" s="243"/>
      <c r="AAL269" s="243"/>
      <c r="AAM269" s="243"/>
      <c r="AAN269" s="243"/>
      <c r="AAO269" s="243"/>
      <c r="AAP269" s="243"/>
      <c r="AAQ269" s="243"/>
      <c r="AAR269" s="243"/>
      <c r="AAS269" s="243"/>
      <c r="AAT269" s="243"/>
      <c r="AAU269" s="243"/>
      <c r="AAV269" s="243"/>
      <c r="AAW269" s="243"/>
      <c r="AAX269" s="243"/>
      <c r="AAY269" s="243"/>
      <c r="AAZ269" s="243"/>
      <c r="ABA269" s="243"/>
      <c r="ABB269" s="243"/>
      <c r="ABC269" s="243"/>
      <c r="ABD269" s="243"/>
      <c r="ABE269" s="243"/>
      <c r="ABF269" s="243"/>
      <c r="ABG269" s="243"/>
      <c r="ABH269" s="243"/>
      <c r="ABI269" s="243"/>
      <c r="ABJ269" s="243"/>
      <c r="ABK269" s="243"/>
      <c r="ABL269" s="243"/>
      <c r="ABM269" s="243"/>
      <c r="ABN269" s="243"/>
      <c r="ABO269" s="243"/>
      <c r="ABP269" s="243"/>
      <c r="ABQ269" s="243"/>
      <c r="ABR269" s="243"/>
      <c r="ABS269" s="243"/>
      <c r="ABT269" s="243"/>
      <c r="ABU269" s="243"/>
      <c r="ABV269" s="243"/>
      <c r="ABW269" s="243"/>
      <c r="ABX269" s="243"/>
      <c r="ABY269" s="243"/>
      <c r="ABZ269" s="243"/>
      <c r="ACA269" s="243"/>
      <c r="ACB269" s="243"/>
      <c r="ACC269" s="243"/>
      <c r="ACD269" s="243"/>
      <c r="ACE269" s="243"/>
      <c r="ACF269" s="243"/>
      <c r="ACG269" s="243"/>
      <c r="ACH269" s="243"/>
      <c r="ACI269" s="243"/>
      <c r="ACJ269" s="243"/>
      <c r="ACK269" s="243"/>
      <c r="ACL269" s="243"/>
      <c r="ACM269" s="243"/>
      <c r="ACN269" s="243"/>
      <c r="ACO269" s="243"/>
      <c r="ACP269" s="243"/>
      <c r="ACQ269" s="243"/>
      <c r="ACR269" s="243"/>
      <c r="ACS269" s="243"/>
      <c r="ACT269" s="243"/>
      <c r="ACU269" s="243"/>
      <c r="ACV269" s="243"/>
      <c r="ACW269" s="243"/>
      <c r="ACX269" s="243"/>
      <c r="ACY269" s="243"/>
      <c r="ACZ269" s="243"/>
      <c r="ADA269" s="243"/>
      <c r="ADB269" s="243"/>
      <c r="ADC269" s="243"/>
      <c r="ADD269" s="243"/>
      <c r="ADE269" s="243"/>
      <c r="ADF269" s="243"/>
      <c r="ADG269" s="243"/>
      <c r="ADH269" s="243"/>
      <c r="ADI269" s="243"/>
      <c r="ADJ269" s="243"/>
      <c r="ADK269" s="243"/>
      <c r="ADL269" s="243"/>
      <c r="ADM269" s="243"/>
      <c r="ADN269" s="243"/>
      <c r="ADO269" s="243"/>
      <c r="ADP269" s="243"/>
      <c r="ADQ269" s="243"/>
      <c r="ADR269" s="243"/>
      <c r="ADS269" s="243"/>
      <c r="ADT269" s="243"/>
      <c r="ADU269" s="243"/>
      <c r="ADV269" s="243"/>
      <c r="ADW269" s="243"/>
      <c r="ADX269" s="243"/>
      <c r="ADY269" s="243"/>
      <c r="ADZ269" s="243"/>
      <c r="AEA269" s="243"/>
      <c r="AEB269" s="243"/>
      <c r="AEC269" s="243"/>
      <c r="AED269" s="243"/>
      <c r="AEE269" s="243"/>
      <c r="AEF269" s="243"/>
      <c r="AEG269" s="243"/>
      <c r="AEH269" s="243"/>
      <c r="AEI269" s="243"/>
      <c r="AEJ269" s="243"/>
      <c r="AEK269" s="243"/>
      <c r="AEL269" s="243"/>
      <c r="AEM269" s="243"/>
      <c r="AEN269" s="243"/>
      <c r="AEO269" s="243"/>
      <c r="AEP269" s="243"/>
      <c r="AEQ269" s="243"/>
      <c r="AER269" s="243"/>
      <c r="AES269" s="243"/>
      <c r="AET269" s="243"/>
      <c r="AEU269" s="243"/>
      <c r="AEV269" s="243"/>
      <c r="AEW269" s="243"/>
      <c r="AEX269" s="243"/>
      <c r="AEY269" s="243"/>
      <c r="AEZ269" s="243"/>
      <c r="AFA269" s="243"/>
      <c r="AFB269" s="243"/>
      <c r="AFC269" s="243"/>
      <c r="AFD269" s="243"/>
      <c r="AFE269" s="243"/>
      <c r="AFF269" s="243"/>
      <c r="AFG269" s="243"/>
      <c r="AFH269" s="243"/>
      <c r="AFI269" s="243"/>
      <c r="AFJ269" s="243"/>
      <c r="AFK269" s="243"/>
      <c r="AFL269" s="243"/>
      <c r="AFM269" s="243"/>
      <c r="AFN269" s="243"/>
      <c r="AFO269" s="243"/>
      <c r="AFP269" s="243"/>
      <c r="AFQ269" s="243"/>
      <c r="AFR269" s="243"/>
      <c r="AFS269" s="243"/>
      <c r="AFT269" s="243"/>
      <c r="AFU269" s="243"/>
      <c r="AFV269" s="243"/>
      <c r="AFW269" s="243"/>
      <c r="AFX269" s="243"/>
      <c r="AFY269" s="243"/>
      <c r="AFZ269" s="243"/>
      <c r="AGA269" s="243"/>
      <c r="AGB269" s="243"/>
      <c r="AGC269" s="243"/>
      <c r="AGD269" s="243"/>
      <c r="AGE269" s="243"/>
      <c r="AGF269" s="243"/>
      <c r="AGG269" s="243"/>
      <c r="AGH269" s="243"/>
      <c r="AGI269" s="243"/>
      <c r="AGJ269" s="243"/>
      <c r="AGK269" s="243"/>
      <c r="AGL269" s="243"/>
      <c r="AGM269" s="243"/>
      <c r="AGN269" s="243"/>
      <c r="AGO269" s="243"/>
      <c r="AGP269" s="243"/>
      <c r="AGQ269" s="243"/>
      <c r="AGR269" s="243"/>
      <c r="AGS269" s="243"/>
      <c r="AGT269" s="243"/>
      <c r="AGU269" s="243"/>
      <c r="AGV269" s="243"/>
      <c r="AGW269" s="243"/>
      <c r="AGX269" s="243"/>
      <c r="AGY269" s="243"/>
      <c r="AGZ269" s="243"/>
      <c r="AHA269" s="243"/>
      <c r="AHB269" s="243"/>
      <c r="AHC269" s="243"/>
      <c r="AHD269" s="243"/>
      <c r="AHE269" s="243"/>
      <c r="AHF269" s="243"/>
      <c r="AHG269" s="243"/>
      <c r="AHH269" s="243"/>
      <c r="AHI269" s="243"/>
      <c r="AHJ269" s="243"/>
      <c r="AHK269" s="243"/>
      <c r="AHL269" s="243"/>
      <c r="AHM269" s="243"/>
      <c r="AHN269" s="243"/>
      <c r="AHO269" s="243"/>
      <c r="AHP269" s="243"/>
      <c r="AHQ269" s="243"/>
      <c r="AHR269" s="243"/>
      <c r="AHS269" s="243"/>
      <c r="AHT269" s="243"/>
      <c r="AHU269" s="243"/>
      <c r="AHV269" s="243"/>
      <c r="AHW269" s="243"/>
      <c r="AHX269" s="243"/>
      <c r="AHY269" s="243"/>
      <c r="AHZ269" s="243"/>
      <c r="AIA269" s="243"/>
      <c r="AIB269" s="243"/>
      <c r="AIC269" s="243"/>
      <c r="AID269" s="243"/>
      <c r="AIE269" s="243"/>
      <c r="AIF269" s="243"/>
      <c r="AIG269" s="243"/>
      <c r="AIH269" s="243"/>
      <c r="AII269" s="243"/>
      <c r="AIJ269" s="243"/>
      <c r="AIK269" s="243"/>
      <c r="AIL269" s="243"/>
      <c r="AIM269" s="243"/>
      <c r="AIN269" s="243"/>
      <c r="AIO269" s="243"/>
      <c r="AIP269" s="243"/>
      <c r="AIQ269" s="243"/>
      <c r="AIR269" s="243"/>
      <c r="AIS269" s="243"/>
      <c r="AIT269" s="243"/>
      <c r="AIU269" s="243"/>
      <c r="AIV269" s="243"/>
      <c r="AIW269" s="243"/>
      <c r="AIX269" s="243"/>
      <c r="AIY269" s="243"/>
      <c r="AIZ269" s="243"/>
      <c r="AJA269" s="243"/>
      <c r="AJB269" s="243"/>
      <c r="AJC269" s="243"/>
      <c r="AJD269" s="243"/>
      <c r="AJE269" s="243"/>
      <c r="AJF269" s="243"/>
      <c r="AJG269" s="243"/>
      <c r="AJH269" s="243"/>
      <c r="AJI269" s="243"/>
      <c r="AJJ269" s="243"/>
      <c r="AJK269" s="243"/>
      <c r="AJL269" s="243"/>
      <c r="AJM269" s="243"/>
      <c r="AJN269" s="243"/>
      <c r="AJO269" s="243"/>
      <c r="AJP269" s="243"/>
      <c r="AJQ269" s="243"/>
      <c r="AJR269" s="243"/>
      <c r="AJS269" s="243"/>
      <c r="AJT269" s="243"/>
      <c r="AJU269" s="243"/>
      <c r="AJV269" s="243"/>
      <c r="AJW269" s="243"/>
      <c r="AJX269" s="243"/>
      <c r="AJY269" s="243"/>
      <c r="AJZ269" s="243"/>
      <c r="AKA269" s="243"/>
      <c r="AKB269" s="243"/>
      <c r="AKC269" s="243"/>
      <c r="AKD269" s="243"/>
      <c r="AKE269" s="243"/>
      <c r="AKF269" s="243"/>
      <c r="AKG269" s="243"/>
      <c r="AKH269" s="243"/>
      <c r="AKI269" s="243"/>
      <c r="AKJ269" s="243"/>
      <c r="AKK269" s="243"/>
      <c r="AKL269" s="243"/>
      <c r="AKM269" s="243"/>
      <c r="AKN269" s="243"/>
      <c r="AKO269" s="243"/>
      <c r="AKP269" s="243"/>
      <c r="AKQ269" s="243"/>
      <c r="AKR269" s="243"/>
      <c r="AKS269" s="243"/>
      <c r="AKT269" s="243"/>
      <c r="AKU269" s="243"/>
      <c r="AKV269" s="243"/>
      <c r="AKW269" s="243"/>
      <c r="AKX269" s="243"/>
      <c r="AKY269" s="243"/>
      <c r="AKZ269" s="243"/>
      <c r="ALA269" s="243"/>
      <c r="ALB269" s="243"/>
      <c r="ALC269" s="243"/>
      <c r="ALD269" s="243"/>
      <c r="ALE269" s="243"/>
      <c r="ALF269" s="243"/>
      <c r="ALG269" s="243"/>
      <c r="ALH269" s="243"/>
      <c r="ALI269" s="243"/>
      <c r="ALJ269" s="243"/>
      <c r="ALK269" s="243"/>
      <c r="ALL269" s="243"/>
      <c r="ALM269" s="243"/>
      <c r="ALN269" s="243"/>
      <c r="ALO269" s="243"/>
      <c r="ALP269" s="243"/>
      <c r="ALQ269" s="243"/>
      <c r="ALR269" s="243"/>
      <c r="ALS269" s="243"/>
      <c r="ALT269" s="243"/>
      <c r="ALU269" s="243"/>
      <c r="ALV269" s="243"/>
      <c r="ALW269" s="243"/>
      <c r="ALX269" s="243"/>
      <c r="ALY269" s="243"/>
      <c r="ALZ269" s="243"/>
      <c r="AMA269" s="243"/>
      <c r="AMB269" s="243"/>
      <c r="AMC269" s="243"/>
      <c r="AMD269" s="243"/>
      <c r="AME269" s="243"/>
      <c r="AMF269" s="243"/>
      <c r="AMG269" s="243"/>
      <c r="AMH269" s="243"/>
      <c r="AMI269" s="244"/>
      <c r="AMJ269" s="244"/>
    </row>
    <row r="272" spans="1:1024">
      <c r="A272" s="102"/>
      <c r="B272" s="103"/>
      <c r="C272" s="103"/>
      <c r="D272" s="103"/>
      <c r="E272" s="85"/>
      <c r="G272" s="104"/>
      <c r="H272" s="104"/>
    </row>
    <row r="273" spans="1:1024" ht="31.5">
      <c r="A273" s="918" t="s">
        <v>177</v>
      </c>
      <c r="B273" s="919"/>
      <c r="C273" s="919"/>
      <c r="D273" s="919"/>
      <c r="E273" s="919"/>
      <c r="F273" s="919"/>
      <c r="G273" s="919"/>
      <c r="H273" s="919"/>
      <c r="I273" s="919"/>
      <c r="J273" s="919"/>
      <c r="K273" s="919"/>
      <c r="L273" s="919"/>
      <c r="M273" s="919"/>
      <c r="N273" s="919"/>
      <c r="O273" s="919"/>
      <c r="P273" s="919"/>
      <c r="Q273" s="920"/>
      <c r="R273" s="393"/>
      <c r="S273" s="393"/>
      <c r="T273" s="393"/>
      <c r="U273" s="393"/>
      <c r="V273" s="393"/>
      <c r="W273" s="393"/>
      <c r="X273" s="393"/>
      <c r="Y273" s="393"/>
      <c r="Z273" s="393"/>
      <c r="AA273" s="393"/>
      <c r="AB273" s="393"/>
      <c r="AC273" s="393"/>
      <c r="AD273" s="393"/>
      <c r="AE273" s="393"/>
      <c r="AF273" s="393"/>
      <c r="AG273" s="393"/>
      <c r="AH273" s="393"/>
      <c r="AI273" s="393"/>
      <c r="AJ273" s="393"/>
      <c r="AK273" s="393"/>
      <c r="AL273" s="393"/>
      <c r="AM273" s="393"/>
      <c r="AN273" s="393"/>
      <c r="AO273" s="393"/>
      <c r="AP273" s="393"/>
      <c r="AQ273" s="393"/>
      <c r="AR273" s="393"/>
      <c r="AS273" s="393"/>
      <c r="AT273" s="393"/>
      <c r="AU273" s="393"/>
      <c r="AV273" s="393"/>
      <c r="AW273" s="393"/>
      <c r="AX273" s="393"/>
      <c r="AY273" s="393"/>
      <c r="AZ273" s="393"/>
      <c r="BA273" s="393"/>
      <c r="BB273" s="393"/>
      <c r="BC273" s="393"/>
      <c r="BD273" s="393"/>
      <c r="BE273" s="393"/>
      <c r="BF273" s="393"/>
      <c r="BG273" s="393"/>
      <c r="BH273" s="393"/>
      <c r="BI273" s="393"/>
      <c r="BJ273" s="393"/>
      <c r="BK273" s="393"/>
      <c r="BL273" s="393"/>
      <c r="BM273" s="393"/>
      <c r="BN273" s="393"/>
      <c r="BO273" s="393"/>
      <c r="BP273" s="393"/>
      <c r="BQ273" s="393"/>
      <c r="BR273" s="393"/>
      <c r="BS273" s="393"/>
      <c r="BT273" s="393"/>
      <c r="BU273" s="393"/>
      <c r="BV273" s="393"/>
      <c r="BW273" s="393"/>
      <c r="BX273" s="393"/>
      <c r="BY273" s="393"/>
      <c r="BZ273" s="393"/>
      <c r="CA273" s="393"/>
      <c r="CB273" s="393"/>
      <c r="CC273" s="393"/>
      <c r="CD273" s="393"/>
      <c r="CE273" s="393"/>
      <c r="CF273" s="393"/>
      <c r="CG273" s="393"/>
      <c r="CH273" s="393"/>
      <c r="CI273" s="393"/>
      <c r="CJ273" s="393"/>
      <c r="CK273" s="393"/>
      <c r="CL273" s="393"/>
      <c r="CM273" s="393"/>
      <c r="CN273" s="393"/>
      <c r="CO273" s="393"/>
      <c r="CP273" s="393"/>
      <c r="CQ273" s="393"/>
      <c r="CR273" s="393"/>
      <c r="CS273" s="393"/>
      <c r="CT273" s="393"/>
      <c r="CU273" s="393"/>
      <c r="CV273" s="393"/>
      <c r="CW273" s="393"/>
      <c r="CX273" s="393"/>
      <c r="CY273" s="393"/>
      <c r="CZ273" s="393"/>
      <c r="DA273" s="393"/>
      <c r="DB273" s="393"/>
      <c r="DC273" s="393"/>
      <c r="DD273" s="393"/>
      <c r="DE273" s="393"/>
      <c r="DF273" s="393"/>
      <c r="DG273" s="393"/>
      <c r="DH273" s="393"/>
      <c r="DI273" s="393"/>
      <c r="DJ273" s="393"/>
      <c r="DK273" s="393"/>
      <c r="DL273" s="393"/>
      <c r="DM273" s="393"/>
      <c r="DN273" s="393"/>
      <c r="DO273" s="393"/>
      <c r="DP273" s="393"/>
      <c r="DQ273" s="393"/>
      <c r="DR273" s="393"/>
      <c r="DS273" s="393"/>
      <c r="DT273" s="393"/>
      <c r="DU273" s="393"/>
      <c r="DV273" s="393"/>
      <c r="DW273" s="393"/>
      <c r="DX273" s="393"/>
      <c r="DY273" s="393"/>
      <c r="DZ273" s="393"/>
      <c r="EA273" s="393"/>
      <c r="EB273" s="393"/>
      <c r="EC273" s="393"/>
      <c r="ED273" s="393"/>
      <c r="EE273" s="393"/>
      <c r="EF273" s="393"/>
      <c r="EG273" s="393"/>
      <c r="EH273" s="393"/>
      <c r="EI273" s="393"/>
      <c r="EJ273" s="393"/>
      <c r="EK273" s="393"/>
      <c r="EL273" s="393"/>
      <c r="EM273" s="393"/>
      <c r="EN273" s="393"/>
      <c r="EO273" s="393"/>
      <c r="EP273" s="393"/>
      <c r="EQ273" s="393"/>
      <c r="ER273" s="393"/>
      <c r="ES273" s="393"/>
      <c r="ET273" s="393"/>
      <c r="EU273" s="393"/>
      <c r="EV273" s="393"/>
      <c r="EW273" s="393"/>
      <c r="EX273" s="393"/>
      <c r="EY273" s="393"/>
      <c r="EZ273" s="393"/>
      <c r="FA273" s="393"/>
      <c r="FB273" s="393"/>
      <c r="FC273" s="393"/>
      <c r="FD273" s="393"/>
      <c r="FE273" s="393"/>
      <c r="FF273" s="393"/>
      <c r="FG273" s="393"/>
      <c r="FH273" s="393"/>
      <c r="FI273" s="393"/>
      <c r="FJ273" s="393"/>
      <c r="FK273" s="393"/>
      <c r="FL273" s="393"/>
      <c r="FM273" s="393"/>
      <c r="FN273" s="393"/>
      <c r="FO273" s="393"/>
      <c r="FP273" s="393"/>
      <c r="FQ273" s="393"/>
      <c r="FR273" s="393"/>
      <c r="FS273" s="393"/>
      <c r="FT273" s="393"/>
      <c r="FU273" s="393"/>
      <c r="FV273" s="393"/>
      <c r="FW273" s="393"/>
      <c r="FX273" s="393"/>
      <c r="FY273" s="393"/>
      <c r="FZ273" s="393"/>
      <c r="GA273" s="393"/>
      <c r="GB273" s="393"/>
      <c r="GC273" s="393"/>
      <c r="GD273" s="393"/>
      <c r="GE273" s="393"/>
      <c r="GF273" s="393"/>
      <c r="GG273" s="393"/>
      <c r="GH273" s="393"/>
      <c r="GI273" s="393"/>
      <c r="GJ273" s="393"/>
      <c r="GK273" s="393"/>
      <c r="GL273" s="393"/>
      <c r="GM273" s="393"/>
      <c r="GN273" s="393"/>
      <c r="GO273" s="393"/>
      <c r="GP273" s="393"/>
      <c r="GQ273" s="393"/>
      <c r="GR273" s="393"/>
      <c r="GS273" s="393"/>
      <c r="GT273" s="393"/>
      <c r="GU273" s="393"/>
      <c r="GV273" s="393"/>
      <c r="GW273" s="393"/>
      <c r="GX273" s="393"/>
      <c r="GY273" s="393"/>
      <c r="GZ273" s="393"/>
      <c r="HA273" s="393"/>
      <c r="HB273" s="393"/>
      <c r="HC273" s="393"/>
      <c r="HD273" s="393"/>
      <c r="HE273" s="393"/>
      <c r="HF273" s="393"/>
      <c r="HG273" s="393"/>
      <c r="HH273" s="393"/>
      <c r="HI273" s="393"/>
      <c r="HJ273" s="393"/>
      <c r="HK273" s="393"/>
      <c r="HL273" s="393"/>
      <c r="HM273" s="393"/>
      <c r="HN273" s="393"/>
      <c r="HO273" s="393"/>
      <c r="HP273" s="393"/>
      <c r="HQ273" s="393"/>
      <c r="HR273" s="393"/>
      <c r="HS273" s="393"/>
      <c r="HT273" s="393"/>
      <c r="HU273" s="393"/>
      <c r="HV273" s="393"/>
      <c r="HW273" s="393"/>
      <c r="HX273" s="393"/>
      <c r="HY273" s="393"/>
      <c r="HZ273" s="393"/>
      <c r="IA273" s="393"/>
      <c r="IB273" s="393"/>
      <c r="IC273" s="393"/>
      <c r="ID273" s="393"/>
      <c r="IE273" s="393"/>
      <c r="IF273" s="393"/>
      <c r="IG273" s="393"/>
      <c r="IH273" s="393"/>
      <c r="II273" s="393"/>
      <c r="IJ273" s="393"/>
      <c r="IK273" s="393"/>
      <c r="IL273" s="393"/>
      <c r="IM273" s="393"/>
      <c r="IN273" s="393"/>
      <c r="IO273" s="393"/>
      <c r="IP273" s="393"/>
      <c r="IQ273" s="393"/>
      <c r="IR273" s="393"/>
      <c r="IS273" s="393"/>
      <c r="IT273" s="393"/>
      <c r="IU273" s="393"/>
      <c r="IV273" s="393"/>
      <c r="IW273" s="393"/>
      <c r="IX273" s="393"/>
      <c r="IY273" s="393"/>
      <c r="IZ273" s="393"/>
      <c r="JA273" s="393"/>
      <c r="JB273" s="393"/>
      <c r="JC273" s="393"/>
      <c r="JD273" s="393"/>
      <c r="JE273" s="393"/>
      <c r="JF273" s="393"/>
      <c r="JG273" s="393"/>
      <c r="JH273" s="393"/>
      <c r="JI273" s="393"/>
      <c r="JJ273" s="393"/>
      <c r="JK273" s="393"/>
      <c r="JL273" s="393"/>
      <c r="JM273" s="393"/>
      <c r="JN273" s="393"/>
      <c r="JO273" s="393"/>
      <c r="JP273" s="393"/>
      <c r="JQ273" s="393"/>
      <c r="JR273" s="393"/>
      <c r="JS273" s="393"/>
      <c r="JT273" s="393"/>
      <c r="JU273" s="393"/>
      <c r="JV273" s="393"/>
      <c r="JW273" s="393"/>
      <c r="JX273" s="393"/>
      <c r="JY273" s="393"/>
      <c r="JZ273" s="393"/>
      <c r="KA273" s="393"/>
      <c r="KB273" s="393"/>
      <c r="KC273" s="393"/>
      <c r="KD273" s="393"/>
      <c r="KE273" s="393"/>
      <c r="KF273" s="393"/>
      <c r="KG273" s="393"/>
      <c r="KH273" s="393"/>
      <c r="KI273" s="393"/>
      <c r="KJ273" s="393"/>
      <c r="KK273" s="393"/>
      <c r="KL273" s="393"/>
      <c r="KM273" s="393"/>
      <c r="KN273" s="393"/>
      <c r="KO273" s="393"/>
      <c r="KP273" s="393"/>
      <c r="KQ273" s="393"/>
      <c r="KR273" s="393"/>
      <c r="KS273" s="393"/>
      <c r="KT273" s="393"/>
      <c r="KU273" s="393"/>
      <c r="KV273" s="393"/>
      <c r="KW273" s="393"/>
      <c r="KX273" s="393"/>
      <c r="KY273" s="393"/>
      <c r="KZ273" s="393"/>
      <c r="LA273" s="393"/>
      <c r="LB273" s="393"/>
      <c r="LC273" s="393"/>
      <c r="LD273" s="393"/>
      <c r="LE273" s="393"/>
      <c r="LF273" s="393"/>
      <c r="LG273" s="393"/>
      <c r="LH273" s="393"/>
      <c r="LI273" s="393"/>
      <c r="LJ273" s="393"/>
      <c r="LK273" s="393"/>
      <c r="LL273" s="393"/>
      <c r="LM273" s="393"/>
      <c r="LN273" s="393"/>
      <c r="LO273" s="393"/>
      <c r="LP273" s="393"/>
      <c r="LQ273" s="393"/>
      <c r="LR273" s="393"/>
      <c r="LS273" s="393"/>
      <c r="LT273" s="393"/>
      <c r="LU273" s="393"/>
      <c r="LV273" s="393"/>
      <c r="LW273" s="393"/>
      <c r="LX273" s="393"/>
      <c r="LY273" s="393"/>
      <c r="LZ273" s="393"/>
      <c r="MA273" s="393"/>
      <c r="MB273" s="393"/>
      <c r="MC273" s="393"/>
      <c r="MD273" s="393"/>
      <c r="ME273" s="393"/>
      <c r="MF273" s="393"/>
      <c r="MG273" s="393"/>
      <c r="MH273" s="393"/>
      <c r="MI273" s="393"/>
      <c r="MJ273" s="393"/>
      <c r="MK273" s="393"/>
      <c r="ML273" s="393"/>
      <c r="MM273" s="393"/>
      <c r="MN273" s="393"/>
      <c r="MO273" s="393"/>
      <c r="MP273" s="393"/>
      <c r="MQ273" s="393"/>
      <c r="MR273" s="393"/>
      <c r="MS273" s="393"/>
      <c r="MT273" s="393"/>
      <c r="MU273" s="393"/>
      <c r="MV273" s="393"/>
      <c r="MW273" s="393"/>
      <c r="MX273" s="393"/>
      <c r="MY273" s="393"/>
      <c r="MZ273" s="393"/>
      <c r="NA273" s="393"/>
      <c r="NB273" s="393"/>
      <c r="NC273" s="393"/>
      <c r="ND273" s="393"/>
      <c r="NE273" s="393"/>
      <c r="NF273" s="393"/>
      <c r="NG273" s="393"/>
      <c r="NH273" s="393"/>
      <c r="NI273" s="393"/>
      <c r="NJ273" s="393"/>
      <c r="NK273" s="393"/>
      <c r="NL273" s="393"/>
      <c r="NM273" s="393"/>
      <c r="NN273" s="393"/>
      <c r="NO273" s="393"/>
      <c r="NP273" s="393"/>
      <c r="NQ273" s="393"/>
      <c r="NR273" s="393"/>
      <c r="NS273" s="393"/>
      <c r="NT273" s="393"/>
      <c r="NU273" s="393"/>
      <c r="NV273" s="393"/>
      <c r="NW273" s="393"/>
      <c r="NX273" s="393"/>
      <c r="NY273" s="393"/>
      <c r="NZ273" s="393"/>
      <c r="OA273" s="393"/>
      <c r="OB273" s="393"/>
      <c r="OC273" s="393"/>
      <c r="OD273" s="393"/>
      <c r="OE273" s="393"/>
      <c r="OF273" s="393"/>
      <c r="OG273" s="393"/>
      <c r="OH273" s="393"/>
      <c r="OI273" s="393"/>
      <c r="OJ273" s="393"/>
      <c r="OK273" s="393"/>
      <c r="OL273" s="393"/>
      <c r="OM273" s="393"/>
      <c r="ON273" s="393"/>
      <c r="OO273" s="393"/>
      <c r="OP273" s="393"/>
      <c r="OQ273" s="393"/>
      <c r="OR273" s="393"/>
      <c r="OS273" s="393"/>
      <c r="OT273" s="393"/>
      <c r="OU273" s="393"/>
      <c r="OV273" s="393"/>
      <c r="OW273" s="393"/>
      <c r="OX273" s="393"/>
      <c r="OY273" s="393"/>
      <c r="OZ273" s="393"/>
      <c r="PA273" s="393"/>
      <c r="PB273" s="393"/>
      <c r="PC273" s="393"/>
      <c r="PD273" s="393"/>
      <c r="PE273" s="393"/>
      <c r="PF273" s="393"/>
      <c r="PG273" s="393"/>
      <c r="PH273" s="393"/>
      <c r="PI273" s="393"/>
      <c r="PJ273" s="393"/>
      <c r="PK273" s="393"/>
      <c r="PL273" s="393"/>
      <c r="PM273" s="393"/>
      <c r="PN273" s="393"/>
      <c r="PO273" s="393"/>
      <c r="PP273" s="393"/>
      <c r="PQ273" s="393"/>
      <c r="PR273" s="393"/>
      <c r="PS273" s="393"/>
      <c r="PT273" s="393"/>
      <c r="PU273" s="393"/>
      <c r="PV273" s="393"/>
      <c r="PW273" s="393"/>
      <c r="PX273" s="393"/>
      <c r="PY273" s="393"/>
      <c r="PZ273" s="393"/>
      <c r="QA273" s="393"/>
      <c r="QB273" s="393"/>
      <c r="QC273" s="393"/>
      <c r="QD273" s="393"/>
      <c r="QE273" s="393"/>
      <c r="QF273" s="393"/>
      <c r="QG273" s="393"/>
      <c r="QH273" s="393"/>
      <c r="QI273" s="393"/>
      <c r="QJ273" s="393"/>
      <c r="QK273" s="393"/>
      <c r="QL273" s="393"/>
      <c r="QM273" s="393"/>
      <c r="QN273" s="393"/>
      <c r="QO273" s="393"/>
      <c r="QP273" s="393"/>
      <c r="QQ273" s="393"/>
      <c r="QR273" s="393"/>
      <c r="QS273" s="393"/>
      <c r="QT273" s="393"/>
      <c r="QU273" s="393"/>
      <c r="QV273" s="393"/>
      <c r="QW273" s="393"/>
      <c r="QX273" s="393"/>
      <c r="QY273" s="393"/>
      <c r="QZ273" s="393"/>
      <c r="RA273" s="393"/>
      <c r="RB273" s="393"/>
      <c r="RC273" s="393"/>
      <c r="RD273" s="393"/>
      <c r="RE273" s="393"/>
      <c r="RF273" s="393"/>
      <c r="RG273" s="393"/>
      <c r="RH273" s="393"/>
      <c r="RI273" s="393"/>
      <c r="RJ273" s="393"/>
      <c r="RK273" s="393"/>
      <c r="RL273" s="393"/>
      <c r="RM273" s="393"/>
      <c r="RN273" s="393"/>
      <c r="RO273" s="393"/>
      <c r="RP273" s="393"/>
      <c r="RQ273" s="393"/>
      <c r="RR273" s="393"/>
      <c r="RS273" s="393"/>
      <c r="RT273" s="393"/>
      <c r="RU273" s="393"/>
      <c r="RV273" s="393"/>
      <c r="RW273" s="393"/>
      <c r="RX273" s="393"/>
      <c r="RY273" s="393"/>
      <c r="RZ273" s="393"/>
      <c r="SA273" s="393"/>
      <c r="SB273" s="393"/>
      <c r="SC273" s="393"/>
      <c r="SD273" s="393"/>
      <c r="SE273" s="393"/>
      <c r="SF273" s="393"/>
      <c r="SG273" s="393"/>
      <c r="SH273" s="393"/>
      <c r="SI273" s="393"/>
      <c r="SJ273" s="393"/>
      <c r="SK273" s="393"/>
      <c r="SL273" s="393"/>
      <c r="SM273" s="393"/>
      <c r="SN273" s="393"/>
      <c r="SO273" s="393"/>
      <c r="SP273" s="393"/>
      <c r="SQ273" s="393"/>
      <c r="SR273" s="393"/>
      <c r="SS273" s="393"/>
      <c r="ST273" s="393"/>
      <c r="SU273" s="393"/>
      <c r="SV273" s="393"/>
      <c r="SW273" s="393"/>
      <c r="SX273" s="393"/>
      <c r="SY273" s="393"/>
      <c r="SZ273" s="393"/>
      <c r="TA273" s="393"/>
      <c r="TB273" s="393"/>
      <c r="TC273" s="393"/>
      <c r="TD273" s="393"/>
      <c r="TE273" s="393"/>
      <c r="TF273" s="393"/>
      <c r="TG273" s="393"/>
      <c r="TH273" s="393"/>
      <c r="TI273" s="393"/>
      <c r="TJ273" s="393"/>
      <c r="TK273" s="393"/>
      <c r="TL273" s="393"/>
      <c r="TM273" s="393"/>
      <c r="TN273" s="393"/>
      <c r="TO273" s="393"/>
      <c r="TP273" s="393"/>
      <c r="TQ273" s="393"/>
      <c r="TR273" s="393"/>
      <c r="TS273" s="393"/>
      <c r="TT273" s="393"/>
      <c r="TU273" s="393"/>
      <c r="TV273" s="393"/>
      <c r="TW273" s="393"/>
      <c r="TX273" s="393"/>
      <c r="TY273" s="393"/>
      <c r="TZ273" s="393"/>
      <c r="UA273" s="393"/>
      <c r="UB273" s="393"/>
      <c r="UC273" s="393"/>
      <c r="UD273" s="393"/>
      <c r="UE273" s="393"/>
      <c r="UF273" s="393"/>
      <c r="UG273" s="393"/>
      <c r="UH273" s="393"/>
      <c r="UI273" s="393"/>
      <c r="UJ273" s="393"/>
      <c r="UK273" s="393"/>
      <c r="UL273" s="393"/>
      <c r="UM273" s="393"/>
      <c r="UN273" s="393"/>
      <c r="UO273" s="393"/>
      <c r="UP273" s="393"/>
      <c r="UQ273" s="393"/>
      <c r="UR273" s="393"/>
      <c r="US273" s="393"/>
      <c r="UT273" s="393"/>
      <c r="UU273" s="393"/>
      <c r="UV273" s="393"/>
      <c r="UW273" s="393"/>
      <c r="UX273" s="393"/>
      <c r="UY273" s="393"/>
      <c r="UZ273" s="393"/>
      <c r="VA273" s="393"/>
      <c r="VB273" s="393"/>
      <c r="VC273" s="393"/>
      <c r="VD273" s="393"/>
      <c r="VE273" s="393"/>
      <c r="VF273" s="393"/>
      <c r="VG273" s="393"/>
      <c r="VH273" s="393"/>
      <c r="VI273" s="393"/>
      <c r="VJ273" s="393"/>
      <c r="VK273" s="393"/>
      <c r="VL273" s="393"/>
      <c r="VM273" s="393"/>
      <c r="VN273" s="393"/>
      <c r="VO273" s="393"/>
      <c r="VP273" s="393"/>
      <c r="VQ273" s="393"/>
      <c r="VR273" s="393"/>
      <c r="VS273" s="393"/>
      <c r="VT273" s="393"/>
      <c r="VU273" s="393"/>
      <c r="VV273" s="393"/>
      <c r="VW273" s="393"/>
      <c r="VX273" s="393"/>
      <c r="VY273" s="393"/>
      <c r="VZ273" s="393"/>
      <c r="WA273" s="393"/>
      <c r="WB273" s="393"/>
      <c r="WC273" s="393"/>
      <c r="WD273" s="393"/>
      <c r="WE273" s="393"/>
      <c r="WF273" s="393"/>
      <c r="WG273" s="393"/>
      <c r="WH273" s="393"/>
      <c r="WI273" s="393"/>
      <c r="WJ273" s="393"/>
      <c r="WK273" s="393"/>
      <c r="WL273" s="393"/>
      <c r="WM273" s="393"/>
      <c r="WN273" s="393"/>
      <c r="WO273" s="393"/>
      <c r="WP273" s="393"/>
      <c r="WQ273" s="393"/>
      <c r="WR273" s="393"/>
      <c r="WS273" s="393"/>
      <c r="WT273" s="393"/>
      <c r="WU273" s="393"/>
      <c r="WV273" s="393"/>
      <c r="WW273" s="393"/>
      <c r="WX273" s="393"/>
      <c r="WY273" s="393"/>
      <c r="WZ273" s="393"/>
      <c r="XA273" s="393"/>
      <c r="XB273" s="393"/>
      <c r="XC273" s="393"/>
      <c r="XD273" s="393"/>
      <c r="XE273" s="393"/>
      <c r="XF273" s="393"/>
      <c r="XG273" s="393"/>
      <c r="XH273" s="393"/>
      <c r="XI273" s="393"/>
      <c r="XJ273" s="393"/>
      <c r="XK273" s="393"/>
      <c r="XL273" s="393"/>
      <c r="XM273" s="393"/>
      <c r="XN273" s="393"/>
      <c r="XO273" s="393"/>
      <c r="XP273" s="393"/>
      <c r="XQ273" s="393"/>
      <c r="XR273" s="393"/>
      <c r="XS273" s="393"/>
      <c r="XT273" s="393"/>
      <c r="XU273" s="393"/>
      <c r="XV273" s="393"/>
      <c r="XW273" s="393"/>
      <c r="XX273" s="393"/>
      <c r="XY273" s="393"/>
      <c r="XZ273" s="393"/>
      <c r="YA273" s="393"/>
      <c r="YB273" s="393"/>
      <c r="YC273" s="393"/>
      <c r="YD273" s="393"/>
      <c r="YE273" s="393"/>
      <c r="YF273" s="393"/>
      <c r="YG273" s="393"/>
      <c r="YH273" s="393"/>
      <c r="YI273" s="393"/>
      <c r="YJ273" s="393"/>
      <c r="YK273" s="393"/>
      <c r="YL273" s="393"/>
      <c r="YM273" s="393"/>
      <c r="YN273" s="393"/>
      <c r="YO273" s="393"/>
      <c r="YP273" s="393"/>
      <c r="YQ273" s="393"/>
      <c r="YR273" s="393"/>
      <c r="YS273" s="393"/>
      <c r="YT273" s="393"/>
      <c r="YU273" s="393"/>
      <c r="YV273" s="393"/>
      <c r="YW273" s="393"/>
      <c r="YX273" s="393"/>
      <c r="YY273" s="393"/>
      <c r="YZ273" s="393"/>
      <c r="ZA273" s="393"/>
      <c r="ZB273" s="393"/>
      <c r="ZC273" s="393"/>
      <c r="ZD273" s="393"/>
      <c r="ZE273" s="393"/>
      <c r="ZF273" s="393"/>
      <c r="ZG273" s="393"/>
      <c r="ZH273" s="393"/>
      <c r="ZI273" s="393"/>
      <c r="ZJ273" s="393"/>
      <c r="ZK273" s="393"/>
      <c r="ZL273" s="393"/>
      <c r="ZM273" s="393"/>
      <c r="ZN273" s="393"/>
      <c r="ZO273" s="393"/>
      <c r="ZP273" s="393"/>
      <c r="ZQ273" s="393"/>
      <c r="ZR273" s="393"/>
      <c r="ZS273" s="393"/>
      <c r="ZT273" s="393"/>
      <c r="ZU273" s="393"/>
      <c r="ZV273" s="393"/>
      <c r="ZW273" s="393"/>
      <c r="ZX273" s="393"/>
      <c r="ZY273" s="393"/>
      <c r="ZZ273" s="393"/>
      <c r="AAA273" s="393"/>
      <c r="AAB273" s="393"/>
      <c r="AAC273" s="393"/>
      <c r="AAD273" s="393"/>
      <c r="AAE273" s="393"/>
      <c r="AAF273" s="393"/>
      <c r="AAG273" s="393"/>
      <c r="AAH273" s="393"/>
      <c r="AAI273" s="393"/>
      <c r="AAJ273" s="393"/>
      <c r="AAK273" s="393"/>
      <c r="AAL273" s="393"/>
      <c r="AAM273" s="393"/>
      <c r="AAN273" s="393"/>
      <c r="AAO273" s="393"/>
      <c r="AAP273" s="393"/>
      <c r="AAQ273" s="393"/>
      <c r="AAR273" s="393"/>
      <c r="AAS273" s="393"/>
      <c r="AAT273" s="393"/>
      <c r="AAU273" s="393"/>
      <c r="AAV273" s="393"/>
      <c r="AAW273" s="393"/>
      <c r="AAX273" s="393"/>
      <c r="AAY273" s="393"/>
      <c r="AAZ273" s="393"/>
      <c r="ABA273" s="393"/>
      <c r="ABB273" s="393"/>
      <c r="ABC273" s="393"/>
      <c r="ABD273" s="393"/>
      <c r="ABE273" s="393"/>
      <c r="ABF273" s="393"/>
      <c r="ABG273" s="393"/>
      <c r="ABH273" s="393"/>
      <c r="ABI273" s="393"/>
      <c r="ABJ273" s="393"/>
      <c r="ABK273" s="393"/>
      <c r="ABL273" s="393"/>
      <c r="ABM273" s="393"/>
      <c r="ABN273" s="393"/>
      <c r="ABO273" s="393"/>
      <c r="ABP273" s="393"/>
      <c r="ABQ273" s="393"/>
      <c r="ABR273" s="393"/>
      <c r="ABS273" s="393"/>
      <c r="ABT273" s="393"/>
      <c r="ABU273" s="393"/>
      <c r="ABV273" s="393"/>
      <c r="ABW273" s="393"/>
      <c r="ABX273" s="393"/>
      <c r="ABY273" s="393"/>
      <c r="ABZ273" s="393"/>
      <c r="ACA273" s="393"/>
      <c r="ACB273" s="393"/>
      <c r="ACC273" s="393"/>
      <c r="ACD273" s="393"/>
      <c r="ACE273" s="393"/>
      <c r="ACF273" s="393"/>
      <c r="ACG273" s="393"/>
      <c r="ACH273" s="393"/>
      <c r="ACI273" s="393"/>
      <c r="ACJ273" s="393"/>
      <c r="ACK273" s="393"/>
      <c r="ACL273" s="393"/>
      <c r="ACM273" s="393"/>
      <c r="ACN273" s="393"/>
      <c r="ACO273" s="393"/>
      <c r="ACP273" s="393"/>
      <c r="ACQ273" s="393"/>
      <c r="ACR273" s="393"/>
      <c r="ACS273" s="393"/>
      <c r="ACT273" s="393"/>
      <c r="ACU273" s="393"/>
      <c r="ACV273" s="393"/>
      <c r="ACW273" s="393"/>
      <c r="ACX273" s="393"/>
      <c r="ACY273" s="393"/>
      <c r="ACZ273" s="393"/>
      <c r="ADA273" s="393"/>
      <c r="ADB273" s="393"/>
      <c r="ADC273" s="393"/>
      <c r="ADD273" s="393"/>
      <c r="ADE273" s="393"/>
      <c r="ADF273" s="393"/>
      <c r="ADG273" s="393"/>
      <c r="ADH273" s="393"/>
      <c r="ADI273" s="393"/>
      <c r="ADJ273" s="393"/>
      <c r="ADK273" s="393"/>
      <c r="ADL273" s="393"/>
      <c r="ADM273" s="393"/>
      <c r="ADN273" s="393"/>
      <c r="ADO273" s="393"/>
      <c r="ADP273" s="393"/>
      <c r="ADQ273" s="393"/>
      <c r="ADR273" s="393"/>
      <c r="ADS273" s="393"/>
      <c r="ADT273" s="393"/>
      <c r="ADU273" s="393"/>
      <c r="ADV273" s="393"/>
      <c r="ADW273" s="393"/>
      <c r="ADX273" s="393"/>
      <c r="ADY273" s="393"/>
      <c r="ADZ273" s="393"/>
      <c r="AEA273" s="393"/>
      <c r="AEB273" s="393"/>
      <c r="AEC273" s="393"/>
      <c r="AED273" s="393"/>
      <c r="AEE273" s="393"/>
      <c r="AEF273" s="393"/>
      <c r="AEG273" s="393"/>
      <c r="AEH273" s="393"/>
      <c r="AEI273" s="393"/>
      <c r="AEJ273" s="393"/>
      <c r="AEK273" s="393"/>
      <c r="AEL273" s="393"/>
      <c r="AEM273" s="393"/>
      <c r="AEN273" s="393"/>
      <c r="AEO273" s="393"/>
      <c r="AEP273" s="393"/>
      <c r="AEQ273" s="393"/>
      <c r="AER273" s="393"/>
      <c r="AES273" s="393"/>
      <c r="AET273" s="393"/>
      <c r="AEU273" s="393"/>
      <c r="AEV273" s="393"/>
      <c r="AEW273" s="393"/>
      <c r="AEX273" s="393"/>
      <c r="AEY273" s="393"/>
      <c r="AEZ273" s="393"/>
      <c r="AFA273" s="393"/>
      <c r="AFB273" s="393"/>
      <c r="AFC273" s="393"/>
      <c r="AFD273" s="393"/>
      <c r="AFE273" s="393"/>
      <c r="AFF273" s="393"/>
      <c r="AFG273" s="393"/>
      <c r="AFH273" s="393"/>
      <c r="AFI273" s="393"/>
      <c r="AFJ273" s="393"/>
      <c r="AFK273" s="393"/>
      <c r="AFL273" s="393"/>
      <c r="AFM273" s="393"/>
      <c r="AFN273" s="393"/>
      <c r="AFO273" s="393"/>
      <c r="AFP273" s="393"/>
      <c r="AFQ273" s="393"/>
      <c r="AFR273" s="393"/>
      <c r="AFS273" s="393"/>
      <c r="AFT273" s="393"/>
      <c r="AFU273" s="393"/>
      <c r="AFV273" s="393"/>
      <c r="AFW273" s="393"/>
      <c r="AFX273" s="393"/>
      <c r="AFY273" s="393"/>
      <c r="AFZ273" s="393"/>
      <c r="AGA273" s="393"/>
      <c r="AGB273" s="393"/>
      <c r="AGC273" s="393"/>
      <c r="AGD273" s="393"/>
      <c r="AGE273" s="393"/>
      <c r="AGF273" s="393"/>
      <c r="AGG273" s="393"/>
      <c r="AGH273" s="393"/>
      <c r="AGI273" s="393"/>
      <c r="AGJ273" s="393"/>
      <c r="AGK273" s="393"/>
      <c r="AGL273" s="393"/>
      <c r="AGM273" s="393"/>
      <c r="AGN273" s="393"/>
      <c r="AGO273" s="393"/>
      <c r="AGP273" s="393"/>
      <c r="AGQ273" s="393"/>
      <c r="AGR273" s="393"/>
      <c r="AGS273" s="393"/>
      <c r="AGT273" s="393"/>
      <c r="AGU273" s="393"/>
      <c r="AGV273" s="393"/>
      <c r="AGW273" s="393"/>
      <c r="AGX273" s="393"/>
      <c r="AGY273" s="393"/>
      <c r="AGZ273" s="393"/>
      <c r="AHA273" s="393"/>
      <c r="AHB273" s="393"/>
      <c r="AHC273" s="393"/>
      <c r="AHD273" s="393"/>
      <c r="AHE273" s="393"/>
      <c r="AHF273" s="393"/>
      <c r="AHG273" s="393"/>
      <c r="AHH273" s="393"/>
      <c r="AHI273" s="393"/>
      <c r="AHJ273" s="393"/>
      <c r="AHK273" s="393"/>
      <c r="AHL273" s="393"/>
      <c r="AHM273" s="393"/>
      <c r="AHN273" s="393"/>
      <c r="AHO273" s="393"/>
      <c r="AHP273" s="393"/>
      <c r="AHQ273" s="393"/>
      <c r="AHR273" s="393"/>
      <c r="AHS273" s="393"/>
      <c r="AHT273" s="393"/>
      <c r="AHU273" s="393"/>
      <c r="AHV273" s="393"/>
      <c r="AHW273" s="393"/>
      <c r="AHX273" s="393"/>
      <c r="AHY273" s="393"/>
      <c r="AHZ273" s="393"/>
      <c r="AIA273" s="393"/>
      <c r="AIB273" s="393"/>
      <c r="AIC273" s="393"/>
      <c r="AID273" s="393"/>
      <c r="AIE273" s="393"/>
      <c r="AIF273" s="393"/>
      <c r="AIG273" s="393"/>
      <c r="AIH273" s="393"/>
      <c r="AII273" s="393"/>
      <c r="AIJ273" s="393"/>
      <c r="AIK273" s="393"/>
      <c r="AIL273" s="393"/>
      <c r="AIM273" s="393"/>
      <c r="AIN273" s="393"/>
      <c r="AIO273" s="393"/>
      <c r="AIP273" s="393"/>
      <c r="AIQ273" s="393"/>
      <c r="AIR273" s="393"/>
      <c r="AIS273" s="393"/>
      <c r="AIT273" s="393"/>
      <c r="AIU273" s="393"/>
      <c r="AIV273" s="393"/>
      <c r="AIW273" s="393"/>
      <c r="AIX273" s="393"/>
      <c r="AIY273" s="393"/>
      <c r="AIZ273" s="393"/>
      <c r="AJA273" s="393"/>
      <c r="AJB273" s="393"/>
      <c r="AJC273" s="393"/>
      <c r="AJD273" s="393"/>
      <c r="AJE273" s="393"/>
      <c r="AJF273" s="393"/>
      <c r="AJG273" s="393"/>
      <c r="AJH273" s="393"/>
      <c r="AJI273" s="393"/>
      <c r="AJJ273" s="393"/>
      <c r="AJK273" s="393"/>
      <c r="AJL273" s="393"/>
      <c r="AJM273" s="393"/>
      <c r="AJN273" s="393"/>
      <c r="AJO273" s="393"/>
      <c r="AJP273" s="393"/>
      <c r="AJQ273" s="393"/>
      <c r="AJR273" s="393"/>
      <c r="AJS273" s="393"/>
      <c r="AJT273" s="393"/>
      <c r="AJU273" s="393"/>
      <c r="AJV273" s="393"/>
      <c r="AJW273" s="393"/>
      <c r="AJX273" s="393"/>
      <c r="AJY273" s="393"/>
      <c r="AJZ273" s="393"/>
      <c r="AKA273" s="393"/>
      <c r="AKB273" s="393"/>
      <c r="AKC273" s="393"/>
      <c r="AKD273" s="393"/>
      <c r="AKE273" s="393"/>
      <c r="AKF273" s="393"/>
      <c r="AKG273" s="393"/>
      <c r="AKH273" s="393"/>
      <c r="AKI273" s="393"/>
      <c r="AKJ273" s="393"/>
      <c r="AKK273" s="393"/>
      <c r="AKL273" s="393"/>
      <c r="AKM273" s="393"/>
      <c r="AKN273" s="393"/>
      <c r="AKO273" s="393"/>
      <c r="AKP273" s="393"/>
      <c r="AKQ273" s="393"/>
      <c r="AKR273" s="393"/>
      <c r="AKS273" s="393"/>
      <c r="AKT273" s="393"/>
      <c r="AKU273" s="393"/>
      <c r="AKV273" s="393"/>
      <c r="AKW273" s="393"/>
      <c r="AKX273" s="393"/>
      <c r="AKY273" s="393"/>
      <c r="AKZ273" s="393"/>
      <c r="ALA273" s="393"/>
      <c r="ALB273" s="393"/>
      <c r="ALC273" s="393"/>
      <c r="ALD273" s="393"/>
      <c r="ALE273" s="393"/>
      <c r="ALF273" s="393"/>
      <c r="ALG273" s="393"/>
      <c r="ALH273" s="393"/>
      <c r="ALI273" s="393"/>
      <c r="ALJ273" s="393"/>
      <c r="ALK273" s="393"/>
      <c r="ALL273" s="393"/>
      <c r="ALM273" s="393"/>
      <c r="ALN273" s="393"/>
      <c r="ALO273" s="393"/>
      <c r="ALP273" s="393"/>
      <c r="ALQ273" s="393"/>
      <c r="ALR273" s="393"/>
      <c r="ALS273" s="393"/>
      <c r="ALT273" s="393"/>
      <c r="ALU273" s="393"/>
      <c r="ALV273" s="393"/>
      <c r="ALW273" s="393"/>
      <c r="ALX273" s="393"/>
      <c r="ALY273" s="393"/>
      <c r="ALZ273" s="393"/>
      <c r="AMA273" s="393"/>
      <c r="AMB273" s="393"/>
      <c r="AMC273" s="393"/>
      <c r="AMD273" s="393"/>
      <c r="AME273" s="393"/>
      <c r="AMF273" s="393"/>
      <c r="AMG273" s="393"/>
      <c r="AMH273" s="393"/>
      <c r="AMI273" s="394"/>
      <c r="AMJ273" s="394"/>
    </row>
    <row r="275" spans="1:1024" ht="15" customHeight="1">
      <c r="A275" s="939" t="s">
        <v>1</v>
      </c>
      <c r="B275" s="939"/>
      <c r="C275" s="939"/>
      <c r="D275" s="939"/>
      <c r="E275" s="939"/>
      <c r="F275" s="939"/>
      <c r="G275" s="939"/>
      <c r="H275" s="939"/>
      <c r="I275" s="939" t="s">
        <v>2</v>
      </c>
      <c r="J275" s="939"/>
      <c r="K275" s="939"/>
      <c r="L275" s="939"/>
      <c r="M275" s="939"/>
      <c r="N275" s="939"/>
      <c r="O275" s="939"/>
      <c r="P275" s="939"/>
      <c r="Q275" s="939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  <c r="AH275" s="243"/>
      <c r="AI275" s="243"/>
      <c r="AJ275" s="243"/>
      <c r="AK275" s="243"/>
      <c r="AL275" s="243"/>
      <c r="AM275" s="243"/>
      <c r="AN275" s="243"/>
      <c r="AO275" s="243"/>
      <c r="AP275" s="243"/>
      <c r="AQ275" s="243"/>
      <c r="AR275" s="243"/>
      <c r="AS275" s="243"/>
      <c r="AT275" s="243"/>
      <c r="AU275" s="243"/>
      <c r="AV275" s="243"/>
      <c r="AW275" s="243"/>
      <c r="AX275" s="243"/>
      <c r="AY275" s="243"/>
      <c r="AZ275" s="243"/>
      <c r="BA275" s="243"/>
      <c r="BB275" s="243"/>
      <c r="BC275" s="243"/>
      <c r="BD275" s="243"/>
      <c r="BE275" s="243"/>
      <c r="BF275" s="243"/>
      <c r="BG275" s="243"/>
      <c r="BH275" s="243"/>
      <c r="BI275" s="243"/>
      <c r="BJ275" s="243"/>
      <c r="BK275" s="243"/>
      <c r="BL275" s="243"/>
      <c r="BM275" s="243"/>
      <c r="BN275" s="243"/>
      <c r="BO275" s="243"/>
      <c r="BP275" s="243"/>
      <c r="BQ275" s="243"/>
      <c r="BR275" s="243"/>
      <c r="BS275" s="243"/>
      <c r="BT275" s="243"/>
      <c r="BU275" s="243"/>
      <c r="BV275" s="243"/>
      <c r="BW275" s="243"/>
      <c r="BX275" s="243"/>
      <c r="BY275" s="243"/>
      <c r="BZ275" s="243"/>
      <c r="CA275" s="243"/>
      <c r="CB275" s="243"/>
      <c r="CC275" s="243"/>
      <c r="CD275" s="243"/>
      <c r="CE275" s="243"/>
      <c r="CF275" s="243"/>
      <c r="CG275" s="243"/>
      <c r="CH275" s="243"/>
      <c r="CI275" s="243"/>
      <c r="CJ275" s="243"/>
      <c r="CK275" s="243"/>
      <c r="CL275" s="243"/>
      <c r="CM275" s="243"/>
      <c r="CN275" s="243"/>
      <c r="CO275" s="243"/>
      <c r="CP275" s="243"/>
      <c r="CQ275" s="243"/>
      <c r="CR275" s="243"/>
      <c r="CS275" s="243"/>
      <c r="CT275" s="243"/>
      <c r="CU275" s="243"/>
      <c r="CV275" s="243"/>
      <c r="CW275" s="243"/>
      <c r="CX275" s="243"/>
      <c r="CY275" s="243"/>
      <c r="CZ275" s="243"/>
      <c r="DA275" s="243"/>
      <c r="DB275" s="243"/>
      <c r="DC275" s="243"/>
      <c r="DD275" s="243"/>
      <c r="DE275" s="243"/>
      <c r="DF275" s="243"/>
      <c r="DG275" s="243"/>
      <c r="DH275" s="243"/>
      <c r="DI275" s="243"/>
      <c r="DJ275" s="243"/>
      <c r="DK275" s="243"/>
      <c r="DL275" s="243"/>
      <c r="DM275" s="243"/>
      <c r="DN275" s="243"/>
      <c r="DO275" s="243"/>
      <c r="DP275" s="243"/>
      <c r="DQ275" s="243"/>
      <c r="DR275" s="243"/>
      <c r="DS275" s="243"/>
      <c r="DT275" s="243"/>
      <c r="DU275" s="243"/>
      <c r="DV275" s="243"/>
      <c r="DW275" s="243"/>
      <c r="DX275" s="243"/>
      <c r="DY275" s="243"/>
      <c r="DZ275" s="243"/>
      <c r="EA275" s="243"/>
      <c r="EB275" s="243"/>
      <c r="EC275" s="243"/>
      <c r="ED275" s="243"/>
      <c r="EE275" s="243"/>
      <c r="EF275" s="243"/>
      <c r="EG275" s="243"/>
      <c r="EH275" s="243"/>
      <c r="EI275" s="243"/>
      <c r="EJ275" s="243"/>
      <c r="EK275" s="243"/>
      <c r="EL275" s="243"/>
      <c r="EM275" s="243"/>
      <c r="EN275" s="243"/>
      <c r="EO275" s="243"/>
      <c r="EP275" s="243"/>
      <c r="EQ275" s="243"/>
      <c r="ER275" s="243"/>
      <c r="ES275" s="243"/>
      <c r="ET275" s="243"/>
      <c r="EU275" s="243"/>
      <c r="EV275" s="243"/>
      <c r="EW275" s="243"/>
      <c r="EX275" s="243"/>
      <c r="EY275" s="243"/>
      <c r="EZ275" s="243"/>
      <c r="FA275" s="243"/>
      <c r="FB275" s="243"/>
      <c r="FC275" s="243"/>
      <c r="FD275" s="243"/>
      <c r="FE275" s="243"/>
      <c r="FF275" s="243"/>
      <c r="FG275" s="243"/>
      <c r="FH275" s="243"/>
      <c r="FI275" s="243"/>
      <c r="FJ275" s="243"/>
      <c r="FK275" s="243"/>
      <c r="FL275" s="243"/>
      <c r="FM275" s="243"/>
      <c r="FN275" s="243"/>
      <c r="FO275" s="243"/>
      <c r="FP275" s="243"/>
      <c r="FQ275" s="243"/>
      <c r="FR275" s="243"/>
      <c r="FS275" s="243"/>
      <c r="FT275" s="243"/>
      <c r="FU275" s="243"/>
      <c r="FV275" s="243"/>
      <c r="FW275" s="243"/>
      <c r="FX275" s="243"/>
      <c r="FY275" s="243"/>
      <c r="FZ275" s="243"/>
      <c r="GA275" s="243"/>
      <c r="GB275" s="243"/>
      <c r="GC275" s="243"/>
      <c r="GD275" s="243"/>
      <c r="GE275" s="243"/>
      <c r="GF275" s="243"/>
      <c r="GG275" s="243"/>
      <c r="GH275" s="243"/>
      <c r="GI275" s="243"/>
      <c r="GJ275" s="243"/>
      <c r="GK275" s="243"/>
      <c r="GL275" s="243"/>
      <c r="GM275" s="243"/>
      <c r="GN275" s="243"/>
      <c r="GO275" s="243"/>
      <c r="GP275" s="243"/>
      <c r="GQ275" s="243"/>
      <c r="GR275" s="243"/>
      <c r="GS275" s="243"/>
      <c r="GT275" s="243"/>
      <c r="GU275" s="243"/>
      <c r="GV275" s="243"/>
      <c r="GW275" s="243"/>
      <c r="GX275" s="243"/>
      <c r="GY275" s="243"/>
      <c r="GZ275" s="243"/>
      <c r="HA275" s="243"/>
      <c r="HB275" s="243"/>
      <c r="HC275" s="243"/>
      <c r="HD275" s="243"/>
      <c r="HE275" s="243"/>
      <c r="HF275" s="243"/>
      <c r="HG275" s="243"/>
      <c r="HH275" s="243"/>
      <c r="HI275" s="243"/>
      <c r="HJ275" s="243"/>
      <c r="HK275" s="243"/>
      <c r="HL275" s="243"/>
      <c r="HM275" s="243"/>
      <c r="HN275" s="243"/>
      <c r="HO275" s="243"/>
      <c r="HP275" s="243"/>
      <c r="HQ275" s="243"/>
      <c r="HR275" s="243"/>
      <c r="HS275" s="243"/>
      <c r="HT275" s="243"/>
      <c r="HU275" s="243"/>
      <c r="HV275" s="243"/>
      <c r="HW275" s="243"/>
      <c r="HX275" s="243"/>
      <c r="HY275" s="243"/>
      <c r="HZ275" s="243"/>
      <c r="IA275" s="243"/>
      <c r="IB275" s="243"/>
      <c r="IC275" s="243"/>
      <c r="ID275" s="243"/>
      <c r="IE275" s="243"/>
      <c r="IF275" s="243"/>
      <c r="IG275" s="243"/>
      <c r="IH275" s="243"/>
      <c r="II275" s="243"/>
      <c r="IJ275" s="243"/>
      <c r="IK275" s="243"/>
      <c r="IL275" s="243"/>
      <c r="IM275" s="243"/>
      <c r="IN275" s="243"/>
      <c r="IO275" s="243"/>
      <c r="IP275" s="243"/>
      <c r="IQ275" s="243"/>
      <c r="IR275" s="243"/>
      <c r="IS275" s="243"/>
      <c r="IT275" s="243"/>
      <c r="IU275" s="243"/>
      <c r="IV275" s="243"/>
      <c r="IW275" s="243"/>
      <c r="IX275" s="243"/>
      <c r="IY275" s="243"/>
      <c r="IZ275" s="243"/>
      <c r="JA275" s="243"/>
      <c r="JB275" s="243"/>
      <c r="JC275" s="243"/>
      <c r="JD275" s="243"/>
      <c r="JE275" s="243"/>
      <c r="JF275" s="243"/>
      <c r="JG275" s="243"/>
      <c r="JH275" s="243"/>
      <c r="JI275" s="243"/>
      <c r="JJ275" s="243"/>
      <c r="JK275" s="243"/>
      <c r="JL275" s="243"/>
      <c r="JM275" s="243"/>
      <c r="JN275" s="243"/>
      <c r="JO275" s="243"/>
      <c r="JP275" s="243"/>
      <c r="JQ275" s="243"/>
      <c r="JR275" s="243"/>
      <c r="JS275" s="243"/>
      <c r="JT275" s="243"/>
      <c r="JU275" s="243"/>
      <c r="JV275" s="243"/>
      <c r="JW275" s="243"/>
      <c r="JX275" s="243"/>
      <c r="JY275" s="243"/>
      <c r="JZ275" s="243"/>
      <c r="KA275" s="243"/>
      <c r="KB275" s="243"/>
      <c r="KC275" s="243"/>
      <c r="KD275" s="243"/>
      <c r="KE275" s="243"/>
      <c r="KF275" s="243"/>
      <c r="KG275" s="243"/>
      <c r="KH275" s="243"/>
      <c r="KI275" s="243"/>
      <c r="KJ275" s="243"/>
      <c r="KK275" s="243"/>
      <c r="KL275" s="243"/>
      <c r="KM275" s="243"/>
      <c r="KN275" s="243"/>
      <c r="KO275" s="243"/>
      <c r="KP275" s="243"/>
      <c r="KQ275" s="243"/>
      <c r="KR275" s="243"/>
      <c r="KS275" s="243"/>
      <c r="KT275" s="243"/>
      <c r="KU275" s="243"/>
      <c r="KV275" s="243"/>
      <c r="KW275" s="243"/>
      <c r="KX275" s="243"/>
      <c r="KY275" s="243"/>
      <c r="KZ275" s="243"/>
      <c r="LA275" s="243"/>
      <c r="LB275" s="243"/>
      <c r="LC275" s="243"/>
      <c r="LD275" s="243"/>
      <c r="LE275" s="243"/>
      <c r="LF275" s="243"/>
      <c r="LG275" s="243"/>
      <c r="LH275" s="243"/>
      <c r="LI275" s="243"/>
      <c r="LJ275" s="243"/>
      <c r="LK275" s="243"/>
      <c r="LL275" s="243"/>
      <c r="LM275" s="243"/>
      <c r="LN275" s="243"/>
      <c r="LO275" s="243"/>
      <c r="LP275" s="243"/>
      <c r="LQ275" s="243"/>
      <c r="LR275" s="243"/>
      <c r="LS275" s="243"/>
      <c r="LT275" s="243"/>
      <c r="LU275" s="243"/>
      <c r="LV275" s="243"/>
      <c r="LW275" s="243"/>
      <c r="LX275" s="243"/>
      <c r="LY275" s="243"/>
      <c r="LZ275" s="243"/>
      <c r="MA275" s="243"/>
      <c r="MB275" s="243"/>
      <c r="MC275" s="243"/>
      <c r="MD275" s="243"/>
      <c r="ME275" s="243"/>
      <c r="MF275" s="243"/>
      <c r="MG275" s="243"/>
      <c r="MH275" s="243"/>
      <c r="MI275" s="243"/>
      <c r="MJ275" s="243"/>
      <c r="MK275" s="243"/>
      <c r="ML275" s="243"/>
      <c r="MM275" s="243"/>
      <c r="MN275" s="243"/>
      <c r="MO275" s="243"/>
      <c r="MP275" s="243"/>
      <c r="MQ275" s="243"/>
      <c r="MR275" s="243"/>
      <c r="MS275" s="243"/>
      <c r="MT275" s="243"/>
      <c r="MU275" s="243"/>
      <c r="MV275" s="243"/>
      <c r="MW275" s="243"/>
      <c r="MX275" s="243"/>
      <c r="MY275" s="243"/>
      <c r="MZ275" s="243"/>
      <c r="NA275" s="243"/>
      <c r="NB275" s="243"/>
      <c r="NC275" s="243"/>
      <c r="ND275" s="243"/>
      <c r="NE275" s="243"/>
      <c r="NF275" s="243"/>
      <c r="NG275" s="243"/>
      <c r="NH275" s="243"/>
      <c r="NI275" s="243"/>
      <c r="NJ275" s="243"/>
      <c r="NK275" s="243"/>
      <c r="NL275" s="243"/>
      <c r="NM275" s="243"/>
      <c r="NN275" s="243"/>
      <c r="NO275" s="243"/>
      <c r="NP275" s="243"/>
      <c r="NQ275" s="243"/>
      <c r="NR275" s="243"/>
      <c r="NS275" s="243"/>
      <c r="NT275" s="243"/>
      <c r="NU275" s="243"/>
      <c r="NV275" s="243"/>
      <c r="NW275" s="243"/>
      <c r="NX275" s="243"/>
      <c r="NY275" s="243"/>
      <c r="NZ275" s="243"/>
      <c r="OA275" s="243"/>
      <c r="OB275" s="243"/>
      <c r="OC275" s="243"/>
      <c r="OD275" s="243"/>
      <c r="OE275" s="243"/>
      <c r="OF275" s="243"/>
      <c r="OG275" s="243"/>
      <c r="OH275" s="243"/>
      <c r="OI275" s="243"/>
      <c r="OJ275" s="243"/>
      <c r="OK275" s="243"/>
      <c r="OL275" s="243"/>
      <c r="OM275" s="243"/>
      <c r="ON275" s="243"/>
      <c r="OO275" s="243"/>
      <c r="OP275" s="243"/>
      <c r="OQ275" s="243"/>
      <c r="OR275" s="243"/>
      <c r="OS275" s="243"/>
      <c r="OT275" s="243"/>
      <c r="OU275" s="243"/>
      <c r="OV275" s="243"/>
      <c r="OW275" s="243"/>
      <c r="OX275" s="243"/>
      <c r="OY275" s="243"/>
      <c r="OZ275" s="243"/>
      <c r="PA275" s="243"/>
      <c r="PB275" s="243"/>
      <c r="PC275" s="243"/>
      <c r="PD275" s="243"/>
      <c r="PE275" s="243"/>
      <c r="PF275" s="243"/>
      <c r="PG275" s="243"/>
      <c r="PH275" s="243"/>
      <c r="PI275" s="243"/>
      <c r="PJ275" s="243"/>
      <c r="PK275" s="243"/>
      <c r="PL275" s="243"/>
      <c r="PM275" s="243"/>
      <c r="PN275" s="243"/>
      <c r="PO275" s="243"/>
      <c r="PP275" s="243"/>
      <c r="PQ275" s="243"/>
      <c r="PR275" s="243"/>
      <c r="PS275" s="243"/>
      <c r="PT275" s="243"/>
      <c r="PU275" s="243"/>
      <c r="PV275" s="243"/>
      <c r="PW275" s="243"/>
      <c r="PX275" s="243"/>
      <c r="PY275" s="243"/>
      <c r="PZ275" s="243"/>
      <c r="QA275" s="243"/>
      <c r="QB275" s="243"/>
      <c r="QC275" s="243"/>
      <c r="QD275" s="243"/>
      <c r="QE275" s="243"/>
      <c r="QF275" s="243"/>
      <c r="QG275" s="243"/>
      <c r="QH275" s="243"/>
      <c r="QI275" s="243"/>
      <c r="QJ275" s="243"/>
      <c r="QK275" s="243"/>
      <c r="QL275" s="243"/>
      <c r="QM275" s="243"/>
      <c r="QN275" s="243"/>
      <c r="QO275" s="243"/>
      <c r="QP275" s="243"/>
      <c r="QQ275" s="243"/>
      <c r="QR275" s="243"/>
      <c r="QS275" s="243"/>
      <c r="QT275" s="243"/>
      <c r="QU275" s="243"/>
      <c r="QV275" s="243"/>
      <c r="QW275" s="243"/>
      <c r="QX275" s="243"/>
      <c r="QY275" s="243"/>
      <c r="QZ275" s="243"/>
      <c r="RA275" s="243"/>
      <c r="RB275" s="243"/>
      <c r="RC275" s="243"/>
      <c r="RD275" s="243"/>
      <c r="RE275" s="243"/>
      <c r="RF275" s="243"/>
      <c r="RG275" s="243"/>
      <c r="RH275" s="243"/>
      <c r="RI275" s="243"/>
      <c r="RJ275" s="243"/>
      <c r="RK275" s="243"/>
      <c r="RL275" s="243"/>
      <c r="RM275" s="243"/>
      <c r="RN275" s="243"/>
      <c r="RO275" s="243"/>
      <c r="RP275" s="243"/>
      <c r="RQ275" s="243"/>
      <c r="RR275" s="243"/>
      <c r="RS275" s="243"/>
      <c r="RT275" s="243"/>
      <c r="RU275" s="243"/>
      <c r="RV275" s="243"/>
      <c r="RW275" s="243"/>
      <c r="RX275" s="243"/>
      <c r="RY275" s="243"/>
      <c r="RZ275" s="243"/>
      <c r="SA275" s="243"/>
      <c r="SB275" s="243"/>
      <c r="SC275" s="243"/>
      <c r="SD275" s="243"/>
      <c r="SE275" s="243"/>
      <c r="SF275" s="243"/>
      <c r="SG275" s="243"/>
      <c r="SH275" s="243"/>
      <c r="SI275" s="243"/>
      <c r="SJ275" s="243"/>
      <c r="SK275" s="243"/>
      <c r="SL275" s="243"/>
      <c r="SM275" s="243"/>
      <c r="SN275" s="243"/>
      <c r="SO275" s="243"/>
      <c r="SP275" s="243"/>
      <c r="SQ275" s="243"/>
      <c r="SR275" s="243"/>
      <c r="SS275" s="243"/>
      <c r="ST275" s="243"/>
      <c r="SU275" s="243"/>
      <c r="SV275" s="243"/>
      <c r="SW275" s="243"/>
      <c r="SX275" s="243"/>
      <c r="SY275" s="243"/>
      <c r="SZ275" s="243"/>
      <c r="TA275" s="243"/>
      <c r="TB275" s="243"/>
      <c r="TC275" s="243"/>
      <c r="TD275" s="243"/>
      <c r="TE275" s="243"/>
      <c r="TF275" s="243"/>
      <c r="TG275" s="243"/>
      <c r="TH275" s="243"/>
      <c r="TI275" s="243"/>
      <c r="TJ275" s="243"/>
      <c r="TK275" s="243"/>
      <c r="TL275" s="243"/>
      <c r="TM275" s="243"/>
      <c r="TN275" s="243"/>
      <c r="TO275" s="243"/>
      <c r="TP275" s="243"/>
      <c r="TQ275" s="243"/>
      <c r="TR275" s="243"/>
      <c r="TS275" s="243"/>
      <c r="TT275" s="243"/>
      <c r="TU275" s="243"/>
      <c r="TV275" s="243"/>
      <c r="TW275" s="243"/>
      <c r="TX275" s="243"/>
      <c r="TY275" s="243"/>
      <c r="TZ275" s="243"/>
      <c r="UA275" s="243"/>
      <c r="UB275" s="243"/>
      <c r="UC275" s="243"/>
      <c r="UD275" s="243"/>
      <c r="UE275" s="243"/>
      <c r="UF275" s="243"/>
      <c r="UG275" s="243"/>
      <c r="UH275" s="243"/>
      <c r="UI275" s="243"/>
      <c r="UJ275" s="243"/>
      <c r="UK275" s="243"/>
      <c r="UL275" s="243"/>
      <c r="UM275" s="243"/>
      <c r="UN275" s="243"/>
      <c r="UO275" s="243"/>
      <c r="UP275" s="243"/>
      <c r="UQ275" s="243"/>
      <c r="UR275" s="243"/>
      <c r="US275" s="243"/>
      <c r="UT275" s="243"/>
      <c r="UU275" s="243"/>
      <c r="UV275" s="243"/>
      <c r="UW275" s="243"/>
      <c r="UX275" s="243"/>
      <c r="UY275" s="243"/>
      <c r="UZ275" s="243"/>
      <c r="VA275" s="243"/>
      <c r="VB275" s="243"/>
      <c r="VC275" s="243"/>
      <c r="VD275" s="243"/>
      <c r="VE275" s="243"/>
      <c r="VF275" s="243"/>
      <c r="VG275" s="243"/>
      <c r="VH275" s="243"/>
      <c r="VI275" s="243"/>
      <c r="VJ275" s="243"/>
      <c r="VK275" s="243"/>
      <c r="VL275" s="243"/>
      <c r="VM275" s="243"/>
      <c r="VN275" s="243"/>
      <c r="VO275" s="243"/>
      <c r="VP275" s="243"/>
      <c r="VQ275" s="243"/>
      <c r="VR275" s="243"/>
      <c r="VS275" s="243"/>
      <c r="VT275" s="243"/>
      <c r="VU275" s="243"/>
      <c r="VV275" s="243"/>
      <c r="VW275" s="243"/>
      <c r="VX275" s="243"/>
      <c r="VY275" s="243"/>
      <c r="VZ275" s="243"/>
      <c r="WA275" s="243"/>
      <c r="WB275" s="243"/>
      <c r="WC275" s="243"/>
      <c r="WD275" s="243"/>
      <c r="WE275" s="243"/>
      <c r="WF275" s="243"/>
      <c r="WG275" s="243"/>
      <c r="WH275" s="243"/>
      <c r="WI275" s="243"/>
      <c r="WJ275" s="243"/>
      <c r="WK275" s="243"/>
      <c r="WL275" s="243"/>
      <c r="WM275" s="243"/>
      <c r="WN275" s="243"/>
      <c r="WO275" s="243"/>
      <c r="WP275" s="243"/>
      <c r="WQ275" s="243"/>
      <c r="WR275" s="243"/>
      <c r="WS275" s="243"/>
      <c r="WT275" s="243"/>
      <c r="WU275" s="243"/>
      <c r="WV275" s="243"/>
      <c r="WW275" s="243"/>
      <c r="WX275" s="243"/>
      <c r="WY275" s="243"/>
      <c r="WZ275" s="243"/>
      <c r="XA275" s="243"/>
      <c r="XB275" s="243"/>
      <c r="XC275" s="243"/>
      <c r="XD275" s="243"/>
      <c r="XE275" s="243"/>
      <c r="XF275" s="243"/>
      <c r="XG275" s="243"/>
      <c r="XH275" s="243"/>
      <c r="XI275" s="243"/>
      <c r="XJ275" s="243"/>
      <c r="XK275" s="243"/>
      <c r="XL275" s="243"/>
      <c r="XM275" s="243"/>
      <c r="XN275" s="243"/>
      <c r="XO275" s="243"/>
      <c r="XP275" s="243"/>
      <c r="XQ275" s="243"/>
      <c r="XR275" s="243"/>
      <c r="XS275" s="243"/>
      <c r="XT275" s="243"/>
      <c r="XU275" s="243"/>
      <c r="XV275" s="243"/>
      <c r="XW275" s="243"/>
      <c r="XX275" s="243"/>
      <c r="XY275" s="243"/>
      <c r="XZ275" s="243"/>
      <c r="YA275" s="243"/>
      <c r="YB275" s="243"/>
      <c r="YC275" s="243"/>
      <c r="YD275" s="243"/>
      <c r="YE275" s="243"/>
      <c r="YF275" s="243"/>
      <c r="YG275" s="243"/>
      <c r="YH275" s="243"/>
      <c r="YI275" s="243"/>
      <c r="YJ275" s="243"/>
      <c r="YK275" s="243"/>
      <c r="YL275" s="243"/>
      <c r="YM275" s="243"/>
      <c r="YN275" s="243"/>
      <c r="YO275" s="243"/>
      <c r="YP275" s="243"/>
      <c r="YQ275" s="243"/>
      <c r="YR275" s="243"/>
      <c r="YS275" s="243"/>
      <c r="YT275" s="243"/>
      <c r="YU275" s="243"/>
      <c r="YV275" s="243"/>
      <c r="YW275" s="243"/>
      <c r="YX275" s="243"/>
      <c r="YY275" s="243"/>
      <c r="YZ275" s="243"/>
      <c r="ZA275" s="243"/>
      <c r="ZB275" s="243"/>
      <c r="ZC275" s="243"/>
      <c r="ZD275" s="243"/>
      <c r="ZE275" s="243"/>
      <c r="ZF275" s="243"/>
      <c r="ZG275" s="243"/>
      <c r="ZH275" s="243"/>
      <c r="ZI275" s="243"/>
      <c r="ZJ275" s="243"/>
      <c r="ZK275" s="243"/>
      <c r="ZL275" s="243"/>
      <c r="ZM275" s="243"/>
      <c r="ZN275" s="243"/>
      <c r="ZO275" s="243"/>
      <c r="ZP275" s="243"/>
      <c r="ZQ275" s="243"/>
      <c r="ZR275" s="243"/>
      <c r="ZS275" s="243"/>
      <c r="ZT275" s="243"/>
      <c r="ZU275" s="243"/>
      <c r="ZV275" s="243"/>
      <c r="ZW275" s="243"/>
      <c r="ZX275" s="243"/>
      <c r="ZY275" s="243"/>
      <c r="ZZ275" s="243"/>
      <c r="AAA275" s="243"/>
      <c r="AAB275" s="243"/>
      <c r="AAC275" s="243"/>
      <c r="AAD275" s="243"/>
      <c r="AAE275" s="243"/>
      <c r="AAF275" s="243"/>
      <c r="AAG275" s="243"/>
      <c r="AAH275" s="243"/>
      <c r="AAI275" s="243"/>
      <c r="AAJ275" s="243"/>
      <c r="AAK275" s="243"/>
      <c r="AAL275" s="243"/>
      <c r="AAM275" s="243"/>
      <c r="AAN275" s="243"/>
      <c r="AAO275" s="243"/>
      <c r="AAP275" s="243"/>
      <c r="AAQ275" s="243"/>
      <c r="AAR275" s="243"/>
      <c r="AAS275" s="243"/>
      <c r="AAT275" s="243"/>
      <c r="AAU275" s="243"/>
      <c r="AAV275" s="243"/>
      <c r="AAW275" s="243"/>
      <c r="AAX275" s="243"/>
      <c r="AAY275" s="243"/>
      <c r="AAZ275" s="243"/>
      <c r="ABA275" s="243"/>
      <c r="ABB275" s="243"/>
      <c r="ABC275" s="243"/>
      <c r="ABD275" s="243"/>
      <c r="ABE275" s="243"/>
      <c r="ABF275" s="243"/>
      <c r="ABG275" s="243"/>
      <c r="ABH275" s="243"/>
      <c r="ABI275" s="243"/>
      <c r="ABJ275" s="243"/>
      <c r="ABK275" s="243"/>
      <c r="ABL275" s="243"/>
      <c r="ABM275" s="243"/>
      <c r="ABN275" s="243"/>
      <c r="ABO275" s="243"/>
      <c r="ABP275" s="243"/>
      <c r="ABQ275" s="243"/>
      <c r="ABR275" s="243"/>
      <c r="ABS275" s="243"/>
      <c r="ABT275" s="243"/>
      <c r="ABU275" s="243"/>
      <c r="ABV275" s="243"/>
      <c r="ABW275" s="243"/>
      <c r="ABX275" s="243"/>
      <c r="ABY275" s="243"/>
      <c r="ABZ275" s="243"/>
      <c r="ACA275" s="243"/>
      <c r="ACB275" s="243"/>
      <c r="ACC275" s="243"/>
      <c r="ACD275" s="243"/>
      <c r="ACE275" s="243"/>
      <c r="ACF275" s="243"/>
      <c r="ACG275" s="243"/>
      <c r="ACH275" s="243"/>
      <c r="ACI275" s="243"/>
      <c r="ACJ275" s="243"/>
      <c r="ACK275" s="243"/>
      <c r="ACL275" s="243"/>
      <c r="ACM275" s="243"/>
      <c r="ACN275" s="243"/>
      <c r="ACO275" s="243"/>
      <c r="ACP275" s="243"/>
      <c r="ACQ275" s="243"/>
      <c r="ACR275" s="243"/>
      <c r="ACS275" s="243"/>
      <c r="ACT275" s="243"/>
      <c r="ACU275" s="243"/>
      <c r="ACV275" s="243"/>
      <c r="ACW275" s="243"/>
      <c r="ACX275" s="243"/>
      <c r="ACY275" s="243"/>
      <c r="ACZ275" s="243"/>
      <c r="ADA275" s="243"/>
      <c r="ADB275" s="243"/>
      <c r="ADC275" s="243"/>
      <c r="ADD275" s="243"/>
      <c r="ADE275" s="243"/>
      <c r="ADF275" s="243"/>
      <c r="ADG275" s="243"/>
      <c r="ADH275" s="243"/>
      <c r="ADI275" s="243"/>
      <c r="ADJ275" s="243"/>
      <c r="ADK275" s="243"/>
      <c r="ADL275" s="243"/>
      <c r="ADM275" s="243"/>
      <c r="ADN275" s="243"/>
      <c r="ADO275" s="243"/>
      <c r="ADP275" s="243"/>
      <c r="ADQ275" s="243"/>
      <c r="ADR275" s="243"/>
      <c r="ADS275" s="243"/>
      <c r="ADT275" s="243"/>
      <c r="ADU275" s="243"/>
      <c r="ADV275" s="243"/>
      <c r="ADW275" s="243"/>
      <c r="ADX275" s="243"/>
      <c r="ADY275" s="243"/>
      <c r="ADZ275" s="243"/>
      <c r="AEA275" s="243"/>
      <c r="AEB275" s="243"/>
      <c r="AEC275" s="243"/>
      <c r="AED275" s="243"/>
      <c r="AEE275" s="243"/>
      <c r="AEF275" s="243"/>
      <c r="AEG275" s="243"/>
      <c r="AEH275" s="243"/>
      <c r="AEI275" s="243"/>
      <c r="AEJ275" s="243"/>
      <c r="AEK275" s="243"/>
      <c r="AEL275" s="243"/>
      <c r="AEM275" s="243"/>
      <c r="AEN275" s="243"/>
      <c r="AEO275" s="243"/>
      <c r="AEP275" s="243"/>
      <c r="AEQ275" s="243"/>
      <c r="AER275" s="243"/>
      <c r="AES275" s="243"/>
      <c r="AET275" s="243"/>
      <c r="AEU275" s="243"/>
      <c r="AEV275" s="243"/>
      <c r="AEW275" s="243"/>
      <c r="AEX275" s="243"/>
      <c r="AEY275" s="243"/>
      <c r="AEZ275" s="243"/>
      <c r="AFA275" s="243"/>
      <c r="AFB275" s="243"/>
      <c r="AFC275" s="243"/>
      <c r="AFD275" s="243"/>
      <c r="AFE275" s="243"/>
      <c r="AFF275" s="243"/>
      <c r="AFG275" s="243"/>
      <c r="AFH275" s="243"/>
      <c r="AFI275" s="243"/>
      <c r="AFJ275" s="243"/>
      <c r="AFK275" s="243"/>
      <c r="AFL275" s="243"/>
      <c r="AFM275" s="243"/>
      <c r="AFN275" s="243"/>
      <c r="AFO275" s="243"/>
      <c r="AFP275" s="243"/>
      <c r="AFQ275" s="243"/>
      <c r="AFR275" s="243"/>
      <c r="AFS275" s="243"/>
      <c r="AFT275" s="243"/>
      <c r="AFU275" s="243"/>
      <c r="AFV275" s="243"/>
      <c r="AFW275" s="243"/>
      <c r="AFX275" s="243"/>
      <c r="AFY275" s="243"/>
      <c r="AFZ275" s="243"/>
      <c r="AGA275" s="243"/>
      <c r="AGB275" s="243"/>
      <c r="AGC275" s="243"/>
      <c r="AGD275" s="243"/>
      <c r="AGE275" s="243"/>
      <c r="AGF275" s="243"/>
      <c r="AGG275" s="243"/>
      <c r="AGH275" s="243"/>
      <c r="AGI275" s="243"/>
      <c r="AGJ275" s="243"/>
      <c r="AGK275" s="243"/>
      <c r="AGL275" s="243"/>
      <c r="AGM275" s="243"/>
      <c r="AGN275" s="243"/>
      <c r="AGO275" s="243"/>
      <c r="AGP275" s="243"/>
      <c r="AGQ275" s="243"/>
      <c r="AGR275" s="243"/>
      <c r="AGS275" s="243"/>
      <c r="AGT275" s="243"/>
      <c r="AGU275" s="243"/>
      <c r="AGV275" s="243"/>
      <c r="AGW275" s="243"/>
      <c r="AGX275" s="243"/>
      <c r="AGY275" s="243"/>
      <c r="AGZ275" s="243"/>
      <c r="AHA275" s="243"/>
      <c r="AHB275" s="243"/>
      <c r="AHC275" s="243"/>
      <c r="AHD275" s="243"/>
      <c r="AHE275" s="243"/>
      <c r="AHF275" s="243"/>
      <c r="AHG275" s="243"/>
      <c r="AHH275" s="243"/>
      <c r="AHI275" s="243"/>
      <c r="AHJ275" s="243"/>
      <c r="AHK275" s="243"/>
      <c r="AHL275" s="243"/>
      <c r="AHM275" s="243"/>
      <c r="AHN275" s="243"/>
      <c r="AHO275" s="243"/>
      <c r="AHP275" s="243"/>
      <c r="AHQ275" s="243"/>
      <c r="AHR275" s="243"/>
      <c r="AHS275" s="243"/>
      <c r="AHT275" s="243"/>
      <c r="AHU275" s="243"/>
      <c r="AHV275" s="243"/>
      <c r="AHW275" s="243"/>
      <c r="AHX275" s="243"/>
      <c r="AHY275" s="243"/>
      <c r="AHZ275" s="243"/>
      <c r="AIA275" s="243"/>
      <c r="AIB275" s="243"/>
      <c r="AIC275" s="243"/>
      <c r="AID275" s="243"/>
      <c r="AIE275" s="243"/>
      <c r="AIF275" s="243"/>
      <c r="AIG275" s="243"/>
      <c r="AIH275" s="243"/>
      <c r="AII275" s="243"/>
      <c r="AIJ275" s="243"/>
      <c r="AIK275" s="243"/>
      <c r="AIL275" s="243"/>
      <c r="AIM275" s="243"/>
      <c r="AIN275" s="243"/>
      <c r="AIO275" s="243"/>
      <c r="AIP275" s="243"/>
      <c r="AIQ275" s="243"/>
      <c r="AIR275" s="243"/>
      <c r="AIS275" s="243"/>
      <c r="AIT275" s="243"/>
      <c r="AIU275" s="243"/>
      <c r="AIV275" s="243"/>
      <c r="AIW275" s="243"/>
      <c r="AIX275" s="243"/>
      <c r="AIY275" s="243"/>
      <c r="AIZ275" s="243"/>
      <c r="AJA275" s="243"/>
      <c r="AJB275" s="243"/>
      <c r="AJC275" s="243"/>
      <c r="AJD275" s="243"/>
      <c r="AJE275" s="243"/>
      <c r="AJF275" s="243"/>
      <c r="AJG275" s="243"/>
      <c r="AJH275" s="243"/>
      <c r="AJI275" s="243"/>
      <c r="AJJ275" s="243"/>
      <c r="AJK275" s="243"/>
      <c r="AJL275" s="243"/>
      <c r="AJM275" s="243"/>
      <c r="AJN275" s="243"/>
      <c r="AJO275" s="243"/>
      <c r="AJP275" s="243"/>
      <c r="AJQ275" s="243"/>
      <c r="AJR275" s="243"/>
      <c r="AJS275" s="243"/>
      <c r="AJT275" s="243"/>
      <c r="AJU275" s="243"/>
      <c r="AJV275" s="243"/>
      <c r="AJW275" s="243"/>
      <c r="AJX275" s="243"/>
      <c r="AJY275" s="243"/>
      <c r="AJZ275" s="243"/>
      <c r="AKA275" s="243"/>
      <c r="AKB275" s="243"/>
      <c r="AKC275" s="243"/>
      <c r="AKD275" s="243"/>
      <c r="AKE275" s="243"/>
      <c r="AKF275" s="243"/>
      <c r="AKG275" s="243"/>
      <c r="AKH275" s="243"/>
      <c r="AKI275" s="243"/>
      <c r="AKJ275" s="243"/>
      <c r="AKK275" s="243"/>
      <c r="AKL275" s="243"/>
      <c r="AKM275" s="243"/>
      <c r="AKN275" s="243"/>
      <c r="AKO275" s="243"/>
      <c r="AKP275" s="243"/>
      <c r="AKQ275" s="243"/>
      <c r="AKR275" s="243"/>
      <c r="AKS275" s="243"/>
      <c r="AKT275" s="243"/>
      <c r="AKU275" s="243"/>
      <c r="AKV275" s="243"/>
      <c r="AKW275" s="243"/>
      <c r="AKX275" s="243"/>
      <c r="AKY275" s="243"/>
      <c r="AKZ275" s="243"/>
      <c r="ALA275" s="243"/>
      <c r="ALB275" s="243"/>
      <c r="ALC275" s="243"/>
      <c r="ALD275" s="243"/>
      <c r="ALE275" s="243"/>
      <c r="ALF275" s="243"/>
      <c r="ALG275" s="243"/>
      <c r="ALH275" s="243"/>
      <c r="ALI275" s="243"/>
      <c r="ALJ275" s="243"/>
      <c r="ALK275" s="243"/>
      <c r="ALL275" s="243"/>
      <c r="ALM275" s="243"/>
      <c r="ALN275" s="243"/>
      <c r="ALO275" s="243"/>
      <c r="ALP275" s="243"/>
      <c r="ALQ275" s="243"/>
      <c r="ALR275" s="243"/>
      <c r="ALS275" s="243"/>
      <c r="ALT275" s="243"/>
      <c r="ALU275" s="243"/>
      <c r="ALV275" s="243"/>
      <c r="ALW275" s="243"/>
      <c r="ALX275" s="243"/>
      <c r="ALY275" s="243"/>
      <c r="ALZ275" s="243"/>
      <c r="AMA275" s="243"/>
      <c r="AMB275" s="243"/>
      <c r="AMC275" s="243"/>
      <c r="AMD275" s="243"/>
      <c r="AME275" s="243"/>
      <c r="AMF275" s="243"/>
      <c r="AMG275" s="243"/>
      <c r="AMH275" s="243"/>
      <c r="AMI275" s="244"/>
      <c r="AMJ275" s="244"/>
    </row>
    <row r="276" spans="1:1024" ht="18">
      <c r="A276" s="457" t="s">
        <v>3</v>
      </c>
      <c r="B276" s="457" t="s">
        <v>4</v>
      </c>
      <c r="C276" s="457" t="s">
        <v>115</v>
      </c>
      <c r="D276" s="457" t="s">
        <v>6</v>
      </c>
      <c r="E276" s="457" t="s">
        <v>29</v>
      </c>
      <c r="F276" s="457" t="s">
        <v>8</v>
      </c>
      <c r="G276" s="457" t="s">
        <v>9</v>
      </c>
      <c r="H276" s="457" t="s">
        <v>116</v>
      </c>
      <c r="I276" s="457" t="s">
        <v>12</v>
      </c>
      <c r="J276" s="457" t="s">
        <v>117</v>
      </c>
      <c r="K276" s="457" t="s">
        <v>118</v>
      </c>
      <c r="L276" s="457" t="s">
        <v>119</v>
      </c>
      <c r="M276" s="371" t="s">
        <v>4</v>
      </c>
      <c r="N276" s="371" t="s">
        <v>6</v>
      </c>
      <c r="O276" s="371" t="s">
        <v>29</v>
      </c>
      <c r="P276" s="371" t="s">
        <v>8</v>
      </c>
      <c r="Q276" s="371" t="s">
        <v>120</v>
      </c>
      <c r="R276" s="243"/>
      <c r="S276" s="243"/>
      <c r="T276" s="243"/>
      <c r="U276" s="243"/>
      <c r="V276" s="243"/>
      <c r="W276" s="243"/>
      <c r="X276" s="243"/>
      <c r="Y276" s="243"/>
      <c r="Z276" s="243"/>
      <c r="AA276" s="243"/>
      <c r="AB276" s="243"/>
      <c r="AC276" s="243"/>
      <c r="AD276" s="243"/>
      <c r="AE276" s="243"/>
      <c r="AF276" s="243"/>
      <c r="AG276" s="243"/>
      <c r="AH276" s="243"/>
      <c r="AI276" s="243"/>
      <c r="AJ276" s="243"/>
      <c r="AK276" s="243"/>
      <c r="AL276" s="243"/>
      <c r="AM276" s="243"/>
      <c r="AN276" s="243"/>
      <c r="AO276" s="243"/>
      <c r="AP276" s="243"/>
      <c r="AQ276" s="243"/>
      <c r="AR276" s="243"/>
      <c r="AS276" s="243"/>
      <c r="AT276" s="243"/>
      <c r="AU276" s="243"/>
      <c r="AV276" s="243"/>
      <c r="AW276" s="243"/>
      <c r="AX276" s="243"/>
      <c r="AY276" s="243"/>
      <c r="AZ276" s="243"/>
      <c r="BA276" s="243"/>
      <c r="BB276" s="243"/>
      <c r="BC276" s="243"/>
      <c r="BD276" s="243"/>
      <c r="BE276" s="243"/>
      <c r="BF276" s="243"/>
      <c r="BG276" s="243"/>
      <c r="BH276" s="243"/>
      <c r="BI276" s="243"/>
      <c r="BJ276" s="243"/>
      <c r="BK276" s="243"/>
      <c r="BL276" s="243"/>
      <c r="BM276" s="243"/>
      <c r="BN276" s="243"/>
      <c r="BO276" s="243"/>
      <c r="BP276" s="243"/>
      <c r="BQ276" s="243"/>
      <c r="BR276" s="243"/>
      <c r="BS276" s="243"/>
      <c r="BT276" s="243"/>
      <c r="BU276" s="243"/>
      <c r="BV276" s="243"/>
      <c r="BW276" s="243"/>
      <c r="BX276" s="243"/>
      <c r="BY276" s="243"/>
      <c r="BZ276" s="243"/>
      <c r="CA276" s="243"/>
      <c r="CB276" s="243"/>
      <c r="CC276" s="243"/>
      <c r="CD276" s="243"/>
      <c r="CE276" s="243"/>
      <c r="CF276" s="243"/>
      <c r="CG276" s="243"/>
      <c r="CH276" s="243"/>
      <c r="CI276" s="243"/>
      <c r="CJ276" s="243"/>
      <c r="CK276" s="243"/>
      <c r="CL276" s="243"/>
      <c r="CM276" s="243"/>
      <c r="CN276" s="243"/>
      <c r="CO276" s="243"/>
      <c r="CP276" s="243"/>
      <c r="CQ276" s="243"/>
      <c r="CR276" s="243"/>
      <c r="CS276" s="243"/>
      <c r="CT276" s="243"/>
      <c r="CU276" s="243"/>
      <c r="CV276" s="243"/>
      <c r="CW276" s="243"/>
      <c r="CX276" s="243"/>
      <c r="CY276" s="243"/>
      <c r="CZ276" s="243"/>
      <c r="DA276" s="243"/>
      <c r="DB276" s="243"/>
      <c r="DC276" s="243"/>
      <c r="DD276" s="243"/>
      <c r="DE276" s="243"/>
      <c r="DF276" s="243"/>
      <c r="DG276" s="243"/>
      <c r="DH276" s="243"/>
      <c r="DI276" s="243"/>
      <c r="DJ276" s="243"/>
      <c r="DK276" s="243"/>
      <c r="DL276" s="243"/>
      <c r="DM276" s="243"/>
      <c r="DN276" s="243"/>
      <c r="DO276" s="243"/>
      <c r="DP276" s="243"/>
      <c r="DQ276" s="243"/>
      <c r="DR276" s="243"/>
      <c r="DS276" s="243"/>
      <c r="DT276" s="243"/>
      <c r="DU276" s="243"/>
      <c r="DV276" s="243"/>
      <c r="DW276" s="243"/>
      <c r="DX276" s="243"/>
      <c r="DY276" s="243"/>
      <c r="DZ276" s="243"/>
      <c r="EA276" s="243"/>
      <c r="EB276" s="243"/>
      <c r="EC276" s="243"/>
      <c r="ED276" s="243"/>
      <c r="EE276" s="243"/>
      <c r="EF276" s="243"/>
      <c r="EG276" s="243"/>
      <c r="EH276" s="243"/>
      <c r="EI276" s="243"/>
      <c r="EJ276" s="243"/>
      <c r="EK276" s="243"/>
      <c r="EL276" s="243"/>
      <c r="EM276" s="243"/>
      <c r="EN276" s="243"/>
      <c r="EO276" s="243"/>
      <c r="EP276" s="243"/>
      <c r="EQ276" s="243"/>
      <c r="ER276" s="243"/>
      <c r="ES276" s="243"/>
      <c r="ET276" s="243"/>
      <c r="EU276" s="243"/>
      <c r="EV276" s="243"/>
      <c r="EW276" s="243"/>
      <c r="EX276" s="243"/>
      <c r="EY276" s="243"/>
      <c r="EZ276" s="243"/>
      <c r="FA276" s="243"/>
      <c r="FB276" s="243"/>
      <c r="FC276" s="243"/>
      <c r="FD276" s="243"/>
      <c r="FE276" s="243"/>
      <c r="FF276" s="243"/>
      <c r="FG276" s="243"/>
      <c r="FH276" s="243"/>
      <c r="FI276" s="243"/>
      <c r="FJ276" s="243"/>
      <c r="FK276" s="243"/>
      <c r="FL276" s="243"/>
      <c r="FM276" s="243"/>
      <c r="FN276" s="243"/>
      <c r="FO276" s="243"/>
      <c r="FP276" s="243"/>
      <c r="FQ276" s="243"/>
      <c r="FR276" s="243"/>
      <c r="FS276" s="243"/>
      <c r="FT276" s="243"/>
      <c r="FU276" s="243"/>
      <c r="FV276" s="243"/>
      <c r="FW276" s="243"/>
      <c r="FX276" s="243"/>
      <c r="FY276" s="243"/>
      <c r="FZ276" s="243"/>
      <c r="GA276" s="243"/>
      <c r="GB276" s="243"/>
      <c r="GC276" s="243"/>
      <c r="GD276" s="243"/>
      <c r="GE276" s="243"/>
      <c r="GF276" s="243"/>
      <c r="GG276" s="243"/>
      <c r="GH276" s="243"/>
      <c r="GI276" s="243"/>
      <c r="GJ276" s="243"/>
      <c r="GK276" s="243"/>
      <c r="GL276" s="243"/>
      <c r="GM276" s="243"/>
      <c r="GN276" s="243"/>
      <c r="GO276" s="243"/>
      <c r="GP276" s="243"/>
      <c r="GQ276" s="243"/>
      <c r="GR276" s="243"/>
      <c r="GS276" s="243"/>
      <c r="GT276" s="243"/>
      <c r="GU276" s="243"/>
      <c r="GV276" s="243"/>
      <c r="GW276" s="243"/>
      <c r="GX276" s="243"/>
      <c r="GY276" s="243"/>
      <c r="GZ276" s="243"/>
      <c r="HA276" s="243"/>
      <c r="HB276" s="243"/>
      <c r="HC276" s="243"/>
      <c r="HD276" s="243"/>
      <c r="HE276" s="243"/>
      <c r="HF276" s="243"/>
      <c r="HG276" s="243"/>
      <c r="HH276" s="243"/>
      <c r="HI276" s="243"/>
      <c r="HJ276" s="243"/>
      <c r="HK276" s="243"/>
      <c r="HL276" s="243"/>
      <c r="HM276" s="243"/>
      <c r="HN276" s="243"/>
      <c r="HO276" s="243"/>
      <c r="HP276" s="243"/>
      <c r="HQ276" s="243"/>
      <c r="HR276" s="243"/>
      <c r="HS276" s="243"/>
      <c r="HT276" s="243"/>
      <c r="HU276" s="243"/>
      <c r="HV276" s="243"/>
      <c r="HW276" s="243"/>
      <c r="HX276" s="243"/>
      <c r="HY276" s="243"/>
      <c r="HZ276" s="243"/>
      <c r="IA276" s="243"/>
      <c r="IB276" s="243"/>
      <c r="IC276" s="243"/>
      <c r="ID276" s="243"/>
      <c r="IE276" s="243"/>
      <c r="IF276" s="243"/>
      <c r="IG276" s="243"/>
      <c r="IH276" s="243"/>
      <c r="II276" s="243"/>
      <c r="IJ276" s="243"/>
      <c r="IK276" s="243"/>
      <c r="IL276" s="243"/>
      <c r="IM276" s="243"/>
      <c r="IN276" s="243"/>
      <c r="IO276" s="243"/>
      <c r="IP276" s="243"/>
      <c r="IQ276" s="243"/>
      <c r="IR276" s="243"/>
      <c r="IS276" s="243"/>
      <c r="IT276" s="243"/>
      <c r="IU276" s="243"/>
      <c r="IV276" s="243"/>
      <c r="IW276" s="243"/>
      <c r="IX276" s="243"/>
      <c r="IY276" s="243"/>
      <c r="IZ276" s="243"/>
      <c r="JA276" s="243"/>
      <c r="JB276" s="243"/>
      <c r="JC276" s="243"/>
      <c r="JD276" s="243"/>
      <c r="JE276" s="243"/>
      <c r="JF276" s="243"/>
      <c r="JG276" s="243"/>
      <c r="JH276" s="243"/>
      <c r="JI276" s="243"/>
      <c r="JJ276" s="243"/>
      <c r="JK276" s="243"/>
      <c r="JL276" s="243"/>
      <c r="JM276" s="243"/>
      <c r="JN276" s="243"/>
      <c r="JO276" s="243"/>
      <c r="JP276" s="243"/>
      <c r="JQ276" s="243"/>
      <c r="JR276" s="243"/>
      <c r="JS276" s="243"/>
      <c r="JT276" s="243"/>
      <c r="JU276" s="243"/>
      <c r="JV276" s="243"/>
      <c r="JW276" s="243"/>
      <c r="JX276" s="243"/>
      <c r="JY276" s="243"/>
      <c r="JZ276" s="243"/>
      <c r="KA276" s="243"/>
      <c r="KB276" s="243"/>
      <c r="KC276" s="243"/>
      <c r="KD276" s="243"/>
      <c r="KE276" s="243"/>
      <c r="KF276" s="243"/>
      <c r="KG276" s="243"/>
      <c r="KH276" s="243"/>
      <c r="KI276" s="243"/>
      <c r="KJ276" s="243"/>
      <c r="KK276" s="243"/>
      <c r="KL276" s="243"/>
      <c r="KM276" s="243"/>
      <c r="KN276" s="243"/>
      <c r="KO276" s="243"/>
      <c r="KP276" s="243"/>
      <c r="KQ276" s="243"/>
      <c r="KR276" s="243"/>
      <c r="KS276" s="243"/>
      <c r="KT276" s="243"/>
      <c r="KU276" s="243"/>
      <c r="KV276" s="243"/>
      <c r="KW276" s="243"/>
      <c r="KX276" s="243"/>
      <c r="KY276" s="243"/>
      <c r="KZ276" s="243"/>
      <c r="LA276" s="243"/>
      <c r="LB276" s="243"/>
      <c r="LC276" s="243"/>
      <c r="LD276" s="243"/>
      <c r="LE276" s="243"/>
      <c r="LF276" s="243"/>
      <c r="LG276" s="243"/>
      <c r="LH276" s="243"/>
      <c r="LI276" s="243"/>
      <c r="LJ276" s="243"/>
      <c r="LK276" s="243"/>
      <c r="LL276" s="243"/>
      <c r="LM276" s="243"/>
      <c r="LN276" s="243"/>
      <c r="LO276" s="243"/>
      <c r="LP276" s="243"/>
      <c r="LQ276" s="243"/>
      <c r="LR276" s="243"/>
      <c r="LS276" s="243"/>
      <c r="LT276" s="243"/>
      <c r="LU276" s="243"/>
      <c r="LV276" s="243"/>
      <c r="LW276" s="243"/>
      <c r="LX276" s="243"/>
      <c r="LY276" s="243"/>
      <c r="LZ276" s="243"/>
      <c r="MA276" s="243"/>
      <c r="MB276" s="243"/>
      <c r="MC276" s="243"/>
      <c r="MD276" s="243"/>
      <c r="ME276" s="243"/>
      <c r="MF276" s="243"/>
      <c r="MG276" s="243"/>
      <c r="MH276" s="243"/>
      <c r="MI276" s="243"/>
      <c r="MJ276" s="243"/>
      <c r="MK276" s="243"/>
      <c r="ML276" s="243"/>
      <c r="MM276" s="243"/>
      <c r="MN276" s="243"/>
      <c r="MO276" s="243"/>
      <c r="MP276" s="243"/>
      <c r="MQ276" s="243"/>
      <c r="MR276" s="243"/>
      <c r="MS276" s="243"/>
      <c r="MT276" s="243"/>
      <c r="MU276" s="243"/>
      <c r="MV276" s="243"/>
      <c r="MW276" s="243"/>
      <c r="MX276" s="243"/>
      <c r="MY276" s="243"/>
      <c r="MZ276" s="243"/>
      <c r="NA276" s="243"/>
      <c r="NB276" s="243"/>
      <c r="NC276" s="243"/>
      <c r="ND276" s="243"/>
      <c r="NE276" s="243"/>
      <c r="NF276" s="243"/>
      <c r="NG276" s="243"/>
      <c r="NH276" s="243"/>
      <c r="NI276" s="243"/>
      <c r="NJ276" s="243"/>
      <c r="NK276" s="243"/>
      <c r="NL276" s="243"/>
      <c r="NM276" s="243"/>
      <c r="NN276" s="243"/>
      <c r="NO276" s="243"/>
      <c r="NP276" s="243"/>
      <c r="NQ276" s="243"/>
      <c r="NR276" s="243"/>
      <c r="NS276" s="243"/>
      <c r="NT276" s="243"/>
      <c r="NU276" s="243"/>
      <c r="NV276" s="243"/>
      <c r="NW276" s="243"/>
      <c r="NX276" s="243"/>
      <c r="NY276" s="243"/>
      <c r="NZ276" s="243"/>
      <c r="OA276" s="243"/>
      <c r="OB276" s="243"/>
      <c r="OC276" s="243"/>
      <c r="OD276" s="243"/>
      <c r="OE276" s="243"/>
      <c r="OF276" s="243"/>
      <c r="OG276" s="243"/>
      <c r="OH276" s="243"/>
      <c r="OI276" s="243"/>
      <c r="OJ276" s="243"/>
      <c r="OK276" s="243"/>
      <c r="OL276" s="243"/>
      <c r="OM276" s="243"/>
      <c r="ON276" s="243"/>
      <c r="OO276" s="243"/>
      <c r="OP276" s="243"/>
      <c r="OQ276" s="243"/>
      <c r="OR276" s="243"/>
      <c r="OS276" s="243"/>
      <c r="OT276" s="243"/>
      <c r="OU276" s="243"/>
      <c r="OV276" s="243"/>
      <c r="OW276" s="243"/>
      <c r="OX276" s="243"/>
      <c r="OY276" s="243"/>
      <c r="OZ276" s="243"/>
      <c r="PA276" s="243"/>
      <c r="PB276" s="243"/>
      <c r="PC276" s="243"/>
      <c r="PD276" s="243"/>
      <c r="PE276" s="243"/>
      <c r="PF276" s="243"/>
      <c r="PG276" s="243"/>
      <c r="PH276" s="243"/>
      <c r="PI276" s="243"/>
      <c r="PJ276" s="243"/>
      <c r="PK276" s="243"/>
      <c r="PL276" s="243"/>
      <c r="PM276" s="243"/>
      <c r="PN276" s="243"/>
      <c r="PO276" s="243"/>
      <c r="PP276" s="243"/>
      <c r="PQ276" s="243"/>
      <c r="PR276" s="243"/>
      <c r="PS276" s="243"/>
      <c r="PT276" s="243"/>
      <c r="PU276" s="243"/>
      <c r="PV276" s="243"/>
      <c r="PW276" s="243"/>
      <c r="PX276" s="243"/>
      <c r="PY276" s="243"/>
      <c r="PZ276" s="243"/>
      <c r="QA276" s="243"/>
      <c r="QB276" s="243"/>
      <c r="QC276" s="243"/>
      <c r="QD276" s="243"/>
      <c r="QE276" s="243"/>
      <c r="QF276" s="243"/>
      <c r="QG276" s="243"/>
      <c r="QH276" s="243"/>
      <c r="QI276" s="243"/>
      <c r="QJ276" s="243"/>
      <c r="QK276" s="243"/>
      <c r="QL276" s="243"/>
      <c r="QM276" s="243"/>
      <c r="QN276" s="243"/>
      <c r="QO276" s="243"/>
      <c r="QP276" s="243"/>
      <c r="QQ276" s="243"/>
      <c r="QR276" s="243"/>
      <c r="QS276" s="243"/>
      <c r="QT276" s="243"/>
      <c r="QU276" s="243"/>
      <c r="QV276" s="243"/>
      <c r="QW276" s="243"/>
      <c r="QX276" s="243"/>
      <c r="QY276" s="243"/>
      <c r="QZ276" s="243"/>
      <c r="RA276" s="243"/>
      <c r="RB276" s="243"/>
      <c r="RC276" s="243"/>
      <c r="RD276" s="243"/>
      <c r="RE276" s="243"/>
      <c r="RF276" s="243"/>
      <c r="RG276" s="243"/>
      <c r="RH276" s="243"/>
      <c r="RI276" s="243"/>
      <c r="RJ276" s="243"/>
      <c r="RK276" s="243"/>
      <c r="RL276" s="243"/>
      <c r="RM276" s="243"/>
      <c r="RN276" s="243"/>
      <c r="RO276" s="243"/>
      <c r="RP276" s="243"/>
      <c r="RQ276" s="243"/>
      <c r="RR276" s="243"/>
      <c r="RS276" s="243"/>
      <c r="RT276" s="243"/>
      <c r="RU276" s="243"/>
      <c r="RV276" s="243"/>
      <c r="RW276" s="243"/>
      <c r="RX276" s="243"/>
      <c r="RY276" s="243"/>
      <c r="RZ276" s="243"/>
      <c r="SA276" s="243"/>
      <c r="SB276" s="243"/>
      <c r="SC276" s="243"/>
      <c r="SD276" s="243"/>
      <c r="SE276" s="243"/>
      <c r="SF276" s="243"/>
      <c r="SG276" s="243"/>
      <c r="SH276" s="243"/>
      <c r="SI276" s="243"/>
      <c r="SJ276" s="243"/>
      <c r="SK276" s="243"/>
      <c r="SL276" s="243"/>
      <c r="SM276" s="243"/>
      <c r="SN276" s="243"/>
      <c r="SO276" s="243"/>
      <c r="SP276" s="243"/>
      <c r="SQ276" s="243"/>
      <c r="SR276" s="243"/>
      <c r="SS276" s="243"/>
      <c r="ST276" s="243"/>
      <c r="SU276" s="243"/>
      <c r="SV276" s="243"/>
      <c r="SW276" s="243"/>
      <c r="SX276" s="243"/>
      <c r="SY276" s="243"/>
      <c r="SZ276" s="243"/>
      <c r="TA276" s="243"/>
      <c r="TB276" s="243"/>
      <c r="TC276" s="243"/>
      <c r="TD276" s="243"/>
      <c r="TE276" s="243"/>
      <c r="TF276" s="243"/>
      <c r="TG276" s="243"/>
      <c r="TH276" s="243"/>
      <c r="TI276" s="243"/>
      <c r="TJ276" s="243"/>
      <c r="TK276" s="243"/>
      <c r="TL276" s="243"/>
      <c r="TM276" s="243"/>
      <c r="TN276" s="243"/>
      <c r="TO276" s="243"/>
      <c r="TP276" s="243"/>
      <c r="TQ276" s="243"/>
      <c r="TR276" s="243"/>
      <c r="TS276" s="243"/>
      <c r="TT276" s="243"/>
      <c r="TU276" s="243"/>
      <c r="TV276" s="243"/>
      <c r="TW276" s="243"/>
      <c r="TX276" s="243"/>
      <c r="TY276" s="243"/>
      <c r="TZ276" s="243"/>
      <c r="UA276" s="243"/>
      <c r="UB276" s="243"/>
      <c r="UC276" s="243"/>
      <c r="UD276" s="243"/>
      <c r="UE276" s="243"/>
      <c r="UF276" s="243"/>
      <c r="UG276" s="243"/>
      <c r="UH276" s="243"/>
      <c r="UI276" s="243"/>
      <c r="UJ276" s="243"/>
      <c r="UK276" s="243"/>
      <c r="UL276" s="243"/>
      <c r="UM276" s="243"/>
      <c r="UN276" s="243"/>
      <c r="UO276" s="243"/>
      <c r="UP276" s="243"/>
      <c r="UQ276" s="243"/>
      <c r="UR276" s="243"/>
      <c r="US276" s="243"/>
      <c r="UT276" s="243"/>
      <c r="UU276" s="243"/>
      <c r="UV276" s="243"/>
      <c r="UW276" s="243"/>
      <c r="UX276" s="243"/>
      <c r="UY276" s="243"/>
      <c r="UZ276" s="243"/>
      <c r="VA276" s="243"/>
      <c r="VB276" s="243"/>
      <c r="VC276" s="243"/>
      <c r="VD276" s="243"/>
      <c r="VE276" s="243"/>
      <c r="VF276" s="243"/>
      <c r="VG276" s="243"/>
      <c r="VH276" s="243"/>
      <c r="VI276" s="243"/>
      <c r="VJ276" s="243"/>
      <c r="VK276" s="243"/>
      <c r="VL276" s="243"/>
      <c r="VM276" s="243"/>
      <c r="VN276" s="243"/>
      <c r="VO276" s="243"/>
      <c r="VP276" s="243"/>
      <c r="VQ276" s="243"/>
      <c r="VR276" s="243"/>
      <c r="VS276" s="243"/>
      <c r="VT276" s="243"/>
      <c r="VU276" s="243"/>
      <c r="VV276" s="243"/>
      <c r="VW276" s="243"/>
      <c r="VX276" s="243"/>
      <c r="VY276" s="243"/>
      <c r="VZ276" s="243"/>
      <c r="WA276" s="243"/>
      <c r="WB276" s="243"/>
      <c r="WC276" s="243"/>
      <c r="WD276" s="243"/>
      <c r="WE276" s="243"/>
      <c r="WF276" s="243"/>
      <c r="WG276" s="243"/>
      <c r="WH276" s="243"/>
      <c r="WI276" s="243"/>
      <c r="WJ276" s="243"/>
      <c r="WK276" s="243"/>
      <c r="WL276" s="243"/>
      <c r="WM276" s="243"/>
      <c r="WN276" s="243"/>
      <c r="WO276" s="243"/>
      <c r="WP276" s="243"/>
      <c r="WQ276" s="243"/>
      <c r="WR276" s="243"/>
      <c r="WS276" s="243"/>
      <c r="WT276" s="243"/>
      <c r="WU276" s="243"/>
      <c r="WV276" s="243"/>
      <c r="WW276" s="243"/>
      <c r="WX276" s="243"/>
      <c r="WY276" s="243"/>
      <c r="WZ276" s="243"/>
      <c r="XA276" s="243"/>
      <c r="XB276" s="243"/>
      <c r="XC276" s="243"/>
      <c r="XD276" s="243"/>
      <c r="XE276" s="243"/>
      <c r="XF276" s="243"/>
      <c r="XG276" s="243"/>
      <c r="XH276" s="243"/>
      <c r="XI276" s="243"/>
      <c r="XJ276" s="243"/>
      <c r="XK276" s="243"/>
      <c r="XL276" s="243"/>
      <c r="XM276" s="243"/>
      <c r="XN276" s="243"/>
      <c r="XO276" s="243"/>
      <c r="XP276" s="243"/>
      <c r="XQ276" s="243"/>
      <c r="XR276" s="243"/>
      <c r="XS276" s="243"/>
      <c r="XT276" s="243"/>
      <c r="XU276" s="243"/>
      <c r="XV276" s="243"/>
      <c r="XW276" s="243"/>
      <c r="XX276" s="243"/>
      <c r="XY276" s="243"/>
      <c r="XZ276" s="243"/>
      <c r="YA276" s="243"/>
      <c r="YB276" s="243"/>
      <c r="YC276" s="243"/>
      <c r="YD276" s="243"/>
      <c r="YE276" s="243"/>
      <c r="YF276" s="243"/>
      <c r="YG276" s="243"/>
      <c r="YH276" s="243"/>
      <c r="YI276" s="243"/>
      <c r="YJ276" s="243"/>
      <c r="YK276" s="243"/>
      <c r="YL276" s="243"/>
      <c r="YM276" s="243"/>
      <c r="YN276" s="243"/>
      <c r="YO276" s="243"/>
      <c r="YP276" s="243"/>
      <c r="YQ276" s="243"/>
      <c r="YR276" s="243"/>
      <c r="YS276" s="243"/>
      <c r="YT276" s="243"/>
      <c r="YU276" s="243"/>
      <c r="YV276" s="243"/>
      <c r="YW276" s="243"/>
      <c r="YX276" s="243"/>
      <c r="YY276" s="243"/>
      <c r="YZ276" s="243"/>
      <c r="ZA276" s="243"/>
      <c r="ZB276" s="243"/>
      <c r="ZC276" s="243"/>
      <c r="ZD276" s="243"/>
      <c r="ZE276" s="243"/>
      <c r="ZF276" s="243"/>
      <c r="ZG276" s="243"/>
      <c r="ZH276" s="243"/>
      <c r="ZI276" s="243"/>
      <c r="ZJ276" s="243"/>
      <c r="ZK276" s="243"/>
      <c r="ZL276" s="243"/>
      <c r="ZM276" s="243"/>
      <c r="ZN276" s="243"/>
      <c r="ZO276" s="243"/>
      <c r="ZP276" s="243"/>
      <c r="ZQ276" s="243"/>
      <c r="ZR276" s="243"/>
      <c r="ZS276" s="243"/>
      <c r="ZT276" s="243"/>
      <c r="ZU276" s="243"/>
      <c r="ZV276" s="243"/>
      <c r="ZW276" s="243"/>
      <c r="ZX276" s="243"/>
      <c r="ZY276" s="243"/>
      <c r="ZZ276" s="243"/>
      <c r="AAA276" s="243"/>
      <c r="AAB276" s="243"/>
      <c r="AAC276" s="243"/>
      <c r="AAD276" s="243"/>
      <c r="AAE276" s="243"/>
      <c r="AAF276" s="243"/>
      <c r="AAG276" s="243"/>
      <c r="AAH276" s="243"/>
      <c r="AAI276" s="243"/>
      <c r="AAJ276" s="243"/>
      <c r="AAK276" s="243"/>
      <c r="AAL276" s="243"/>
      <c r="AAM276" s="243"/>
      <c r="AAN276" s="243"/>
      <c r="AAO276" s="243"/>
      <c r="AAP276" s="243"/>
      <c r="AAQ276" s="243"/>
      <c r="AAR276" s="243"/>
      <c r="AAS276" s="243"/>
      <c r="AAT276" s="243"/>
      <c r="AAU276" s="243"/>
      <c r="AAV276" s="243"/>
      <c r="AAW276" s="243"/>
      <c r="AAX276" s="243"/>
      <c r="AAY276" s="243"/>
      <c r="AAZ276" s="243"/>
      <c r="ABA276" s="243"/>
      <c r="ABB276" s="243"/>
      <c r="ABC276" s="243"/>
      <c r="ABD276" s="243"/>
      <c r="ABE276" s="243"/>
      <c r="ABF276" s="243"/>
      <c r="ABG276" s="243"/>
      <c r="ABH276" s="243"/>
      <c r="ABI276" s="243"/>
      <c r="ABJ276" s="243"/>
      <c r="ABK276" s="243"/>
      <c r="ABL276" s="243"/>
      <c r="ABM276" s="243"/>
      <c r="ABN276" s="243"/>
      <c r="ABO276" s="243"/>
      <c r="ABP276" s="243"/>
      <c r="ABQ276" s="243"/>
      <c r="ABR276" s="243"/>
      <c r="ABS276" s="243"/>
      <c r="ABT276" s="243"/>
      <c r="ABU276" s="243"/>
      <c r="ABV276" s="243"/>
      <c r="ABW276" s="243"/>
      <c r="ABX276" s="243"/>
      <c r="ABY276" s="243"/>
      <c r="ABZ276" s="243"/>
      <c r="ACA276" s="243"/>
      <c r="ACB276" s="243"/>
      <c r="ACC276" s="243"/>
      <c r="ACD276" s="243"/>
      <c r="ACE276" s="243"/>
      <c r="ACF276" s="243"/>
      <c r="ACG276" s="243"/>
      <c r="ACH276" s="243"/>
      <c r="ACI276" s="243"/>
      <c r="ACJ276" s="243"/>
      <c r="ACK276" s="243"/>
      <c r="ACL276" s="243"/>
      <c r="ACM276" s="243"/>
      <c r="ACN276" s="243"/>
      <c r="ACO276" s="243"/>
      <c r="ACP276" s="243"/>
      <c r="ACQ276" s="243"/>
      <c r="ACR276" s="243"/>
      <c r="ACS276" s="243"/>
      <c r="ACT276" s="243"/>
      <c r="ACU276" s="243"/>
      <c r="ACV276" s="243"/>
      <c r="ACW276" s="243"/>
      <c r="ACX276" s="243"/>
      <c r="ACY276" s="243"/>
      <c r="ACZ276" s="243"/>
      <c r="ADA276" s="243"/>
      <c r="ADB276" s="243"/>
      <c r="ADC276" s="243"/>
      <c r="ADD276" s="243"/>
      <c r="ADE276" s="243"/>
      <c r="ADF276" s="243"/>
      <c r="ADG276" s="243"/>
      <c r="ADH276" s="243"/>
      <c r="ADI276" s="243"/>
      <c r="ADJ276" s="243"/>
      <c r="ADK276" s="243"/>
      <c r="ADL276" s="243"/>
      <c r="ADM276" s="243"/>
      <c r="ADN276" s="243"/>
      <c r="ADO276" s="243"/>
      <c r="ADP276" s="243"/>
      <c r="ADQ276" s="243"/>
      <c r="ADR276" s="243"/>
      <c r="ADS276" s="243"/>
      <c r="ADT276" s="243"/>
      <c r="ADU276" s="243"/>
      <c r="ADV276" s="243"/>
      <c r="ADW276" s="243"/>
      <c r="ADX276" s="243"/>
      <c r="ADY276" s="243"/>
      <c r="ADZ276" s="243"/>
      <c r="AEA276" s="243"/>
      <c r="AEB276" s="243"/>
      <c r="AEC276" s="243"/>
      <c r="AED276" s="243"/>
      <c r="AEE276" s="243"/>
      <c r="AEF276" s="243"/>
      <c r="AEG276" s="243"/>
      <c r="AEH276" s="243"/>
      <c r="AEI276" s="243"/>
      <c r="AEJ276" s="243"/>
      <c r="AEK276" s="243"/>
      <c r="AEL276" s="243"/>
      <c r="AEM276" s="243"/>
      <c r="AEN276" s="243"/>
      <c r="AEO276" s="243"/>
      <c r="AEP276" s="243"/>
      <c r="AEQ276" s="243"/>
      <c r="AER276" s="243"/>
      <c r="AES276" s="243"/>
      <c r="AET276" s="243"/>
      <c r="AEU276" s="243"/>
      <c r="AEV276" s="243"/>
      <c r="AEW276" s="243"/>
      <c r="AEX276" s="243"/>
      <c r="AEY276" s="243"/>
      <c r="AEZ276" s="243"/>
      <c r="AFA276" s="243"/>
      <c r="AFB276" s="243"/>
      <c r="AFC276" s="243"/>
      <c r="AFD276" s="243"/>
      <c r="AFE276" s="243"/>
      <c r="AFF276" s="243"/>
      <c r="AFG276" s="243"/>
      <c r="AFH276" s="243"/>
      <c r="AFI276" s="243"/>
      <c r="AFJ276" s="243"/>
      <c r="AFK276" s="243"/>
      <c r="AFL276" s="243"/>
      <c r="AFM276" s="243"/>
      <c r="AFN276" s="243"/>
      <c r="AFO276" s="243"/>
      <c r="AFP276" s="243"/>
      <c r="AFQ276" s="243"/>
      <c r="AFR276" s="243"/>
      <c r="AFS276" s="243"/>
      <c r="AFT276" s="243"/>
      <c r="AFU276" s="243"/>
      <c r="AFV276" s="243"/>
      <c r="AFW276" s="243"/>
      <c r="AFX276" s="243"/>
      <c r="AFY276" s="243"/>
      <c r="AFZ276" s="243"/>
      <c r="AGA276" s="243"/>
      <c r="AGB276" s="243"/>
      <c r="AGC276" s="243"/>
      <c r="AGD276" s="243"/>
      <c r="AGE276" s="243"/>
      <c r="AGF276" s="243"/>
      <c r="AGG276" s="243"/>
      <c r="AGH276" s="243"/>
      <c r="AGI276" s="243"/>
      <c r="AGJ276" s="243"/>
      <c r="AGK276" s="243"/>
      <c r="AGL276" s="243"/>
      <c r="AGM276" s="243"/>
      <c r="AGN276" s="243"/>
      <c r="AGO276" s="243"/>
      <c r="AGP276" s="243"/>
      <c r="AGQ276" s="243"/>
      <c r="AGR276" s="243"/>
      <c r="AGS276" s="243"/>
      <c r="AGT276" s="243"/>
      <c r="AGU276" s="243"/>
      <c r="AGV276" s="243"/>
      <c r="AGW276" s="243"/>
      <c r="AGX276" s="243"/>
      <c r="AGY276" s="243"/>
      <c r="AGZ276" s="243"/>
      <c r="AHA276" s="243"/>
      <c r="AHB276" s="243"/>
      <c r="AHC276" s="243"/>
      <c r="AHD276" s="243"/>
      <c r="AHE276" s="243"/>
      <c r="AHF276" s="243"/>
      <c r="AHG276" s="243"/>
      <c r="AHH276" s="243"/>
      <c r="AHI276" s="243"/>
      <c r="AHJ276" s="243"/>
      <c r="AHK276" s="243"/>
      <c r="AHL276" s="243"/>
      <c r="AHM276" s="243"/>
      <c r="AHN276" s="243"/>
      <c r="AHO276" s="243"/>
      <c r="AHP276" s="243"/>
      <c r="AHQ276" s="243"/>
      <c r="AHR276" s="243"/>
      <c r="AHS276" s="243"/>
      <c r="AHT276" s="243"/>
      <c r="AHU276" s="243"/>
      <c r="AHV276" s="243"/>
      <c r="AHW276" s="243"/>
      <c r="AHX276" s="243"/>
      <c r="AHY276" s="243"/>
      <c r="AHZ276" s="243"/>
      <c r="AIA276" s="243"/>
      <c r="AIB276" s="243"/>
      <c r="AIC276" s="243"/>
      <c r="AID276" s="243"/>
      <c r="AIE276" s="243"/>
      <c r="AIF276" s="243"/>
      <c r="AIG276" s="243"/>
      <c r="AIH276" s="243"/>
      <c r="AII276" s="243"/>
      <c r="AIJ276" s="243"/>
      <c r="AIK276" s="243"/>
      <c r="AIL276" s="243"/>
      <c r="AIM276" s="243"/>
      <c r="AIN276" s="243"/>
      <c r="AIO276" s="243"/>
      <c r="AIP276" s="243"/>
      <c r="AIQ276" s="243"/>
      <c r="AIR276" s="243"/>
      <c r="AIS276" s="243"/>
      <c r="AIT276" s="243"/>
      <c r="AIU276" s="243"/>
      <c r="AIV276" s="243"/>
      <c r="AIW276" s="243"/>
      <c r="AIX276" s="243"/>
      <c r="AIY276" s="243"/>
      <c r="AIZ276" s="243"/>
      <c r="AJA276" s="243"/>
      <c r="AJB276" s="243"/>
      <c r="AJC276" s="243"/>
      <c r="AJD276" s="243"/>
      <c r="AJE276" s="243"/>
      <c r="AJF276" s="243"/>
      <c r="AJG276" s="243"/>
      <c r="AJH276" s="243"/>
      <c r="AJI276" s="243"/>
      <c r="AJJ276" s="243"/>
      <c r="AJK276" s="243"/>
      <c r="AJL276" s="243"/>
      <c r="AJM276" s="243"/>
      <c r="AJN276" s="243"/>
      <c r="AJO276" s="243"/>
      <c r="AJP276" s="243"/>
      <c r="AJQ276" s="243"/>
      <c r="AJR276" s="243"/>
      <c r="AJS276" s="243"/>
      <c r="AJT276" s="243"/>
      <c r="AJU276" s="243"/>
      <c r="AJV276" s="243"/>
      <c r="AJW276" s="243"/>
      <c r="AJX276" s="243"/>
      <c r="AJY276" s="243"/>
      <c r="AJZ276" s="243"/>
      <c r="AKA276" s="243"/>
      <c r="AKB276" s="243"/>
      <c r="AKC276" s="243"/>
      <c r="AKD276" s="243"/>
      <c r="AKE276" s="243"/>
      <c r="AKF276" s="243"/>
      <c r="AKG276" s="243"/>
      <c r="AKH276" s="243"/>
      <c r="AKI276" s="243"/>
      <c r="AKJ276" s="243"/>
      <c r="AKK276" s="243"/>
      <c r="AKL276" s="243"/>
      <c r="AKM276" s="243"/>
      <c r="AKN276" s="243"/>
      <c r="AKO276" s="243"/>
      <c r="AKP276" s="243"/>
      <c r="AKQ276" s="243"/>
      <c r="AKR276" s="243"/>
      <c r="AKS276" s="243"/>
      <c r="AKT276" s="243"/>
      <c r="AKU276" s="243"/>
      <c r="AKV276" s="243"/>
      <c r="AKW276" s="243"/>
      <c r="AKX276" s="243"/>
      <c r="AKY276" s="243"/>
      <c r="AKZ276" s="243"/>
      <c r="ALA276" s="243"/>
      <c r="ALB276" s="243"/>
      <c r="ALC276" s="243"/>
      <c r="ALD276" s="243"/>
      <c r="ALE276" s="243"/>
      <c r="ALF276" s="243"/>
      <c r="ALG276" s="243"/>
      <c r="ALH276" s="243"/>
      <c r="ALI276" s="243"/>
      <c r="ALJ276" s="243"/>
      <c r="ALK276" s="243"/>
      <c r="ALL276" s="243"/>
      <c r="ALM276" s="243"/>
      <c r="ALN276" s="243"/>
      <c r="ALO276" s="243"/>
      <c r="ALP276" s="243"/>
      <c r="ALQ276" s="243"/>
      <c r="ALR276" s="243"/>
      <c r="ALS276" s="243"/>
      <c r="ALT276" s="243"/>
      <c r="ALU276" s="243"/>
      <c r="ALV276" s="243"/>
      <c r="ALW276" s="243"/>
      <c r="ALX276" s="243"/>
      <c r="ALY276" s="243"/>
      <c r="ALZ276" s="243"/>
      <c r="AMA276" s="243"/>
      <c r="AMB276" s="243"/>
      <c r="AMC276" s="243"/>
      <c r="AMD276" s="243"/>
      <c r="AME276" s="243"/>
      <c r="AMF276" s="243"/>
      <c r="AMG276" s="243"/>
      <c r="AMH276" s="243"/>
      <c r="AMI276" s="244"/>
      <c r="AMJ276" s="244"/>
    </row>
    <row r="277" spans="1:1024">
      <c r="A277" s="907" t="s">
        <v>121</v>
      </c>
      <c r="B277" s="502">
        <v>14139</v>
      </c>
      <c r="C277" s="458">
        <v>0.1</v>
      </c>
      <c r="D277" s="459" t="s">
        <v>178</v>
      </c>
      <c r="E277" s="528">
        <v>4200000</v>
      </c>
      <c r="F277" s="466">
        <v>0.06</v>
      </c>
      <c r="G277" s="460">
        <f t="shared" ref="G277:G284" si="10">E277*F277</f>
        <v>252000</v>
      </c>
      <c r="H277" s="461" t="s">
        <v>123</v>
      </c>
      <c r="I277" s="461" t="s">
        <v>138</v>
      </c>
      <c r="J277" s="461" t="s">
        <v>125</v>
      </c>
      <c r="K277" s="461" t="s">
        <v>179</v>
      </c>
      <c r="L277" s="504" t="s">
        <v>125</v>
      </c>
      <c r="M277" s="370"/>
      <c r="N277" s="370" t="s">
        <v>180</v>
      </c>
      <c r="O277" s="433">
        <v>3550000</v>
      </c>
      <c r="P277" s="430">
        <v>0.04</v>
      </c>
      <c r="Q277" s="433">
        <f>O277*P277</f>
        <v>142000</v>
      </c>
      <c r="R277" s="243"/>
      <c r="S277" s="243"/>
      <c r="T277" s="243"/>
      <c r="U277" s="243"/>
      <c r="V277" s="243"/>
      <c r="W277" s="243"/>
      <c r="X277" s="243"/>
      <c r="Y277" s="243"/>
      <c r="Z277" s="243"/>
      <c r="AA277" s="243"/>
      <c r="AB277" s="243"/>
      <c r="AC277" s="243"/>
      <c r="AD277" s="243"/>
      <c r="AE277" s="243"/>
      <c r="AF277" s="243"/>
      <c r="AG277" s="243"/>
      <c r="AH277" s="243"/>
      <c r="AI277" s="243"/>
      <c r="AJ277" s="243"/>
      <c r="AK277" s="243"/>
      <c r="AL277" s="243"/>
      <c r="AM277" s="243"/>
      <c r="AN277" s="243"/>
      <c r="AO277" s="243"/>
      <c r="AP277" s="243"/>
      <c r="AQ277" s="243"/>
      <c r="AR277" s="243"/>
      <c r="AS277" s="243"/>
      <c r="AT277" s="243"/>
      <c r="AU277" s="243"/>
      <c r="AV277" s="243"/>
      <c r="AW277" s="243"/>
      <c r="AX277" s="243"/>
      <c r="AY277" s="243"/>
      <c r="AZ277" s="243"/>
      <c r="BA277" s="243"/>
      <c r="BB277" s="243"/>
      <c r="BC277" s="243"/>
      <c r="BD277" s="243"/>
      <c r="BE277" s="243"/>
      <c r="BF277" s="243"/>
      <c r="BG277" s="243"/>
      <c r="BH277" s="243"/>
      <c r="BI277" s="243"/>
      <c r="BJ277" s="243"/>
      <c r="BK277" s="243"/>
      <c r="BL277" s="243"/>
      <c r="BM277" s="243"/>
      <c r="BN277" s="243"/>
      <c r="BO277" s="243"/>
      <c r="BP277" s="243"/>
      <c r="BQ277" s="243"/>
      <c r="BR277" s="243"/>
      <c r="BS277" s="243"/>
      <c r="BT277" s="243"/>
      <c r="BU277" s="243"/>
      <c r="BV277" s="243"/>
      <c r="BW277" s="243"/>
      <c r="BX277" s="243"/>
      <c r="BY277" s="243"/>
      <c r="BZ277" s="243"/>
      <c r="CA277" s="243"/>
      <c r="CB277" s="243"/>
      <c r="CC277" s="243"/>
      <c r="CD277" s="243"/>
      <c r="CE277" s="243"/>
      <c r="CF277" s="243"/>
      <c r="CG277" s="243"/>
      <c r="CH277" s="243"/>
      <c r="CI277" s="243"/>
      <c r="CJ277" s="243"/>
      <c r="CK277" s="243"/>
      <c r="CL277" s="243"/>
      <c r="CM277" s="243"/>
      <c r="CN277" s="243"/>
      <c r="CO277" s="243"/>
      <c r="CP277" s="243"/>
      <c r="CQ277" s="243"/>
      <c r="CR277" s="243"/>
      <c r="CS277" s="243"/>
      <c r="CT277" s="243"/>
      <c r="CU277" s="243"/>
      <c r="CV277" s="243"/>
      <c r="CW277" s="243"/>
      <c r="CX277" s="243"/>
      <c r="CY277" s="243"/>
      <c r="CZ277" s="243"/>
      <c r="DA277" s="243"/>
      <c r="DB277" s="243"/>
      <c r="DC277" s="243"/>
      <c r="DD277" s="243"/>
      <c r="DE277" s="243"/>
      <c r="DF277" s="243"/>
      <c r="DG277" s="243"/>
      <c r="DH277" s="243"/>
      <c r="DI277" s="243"/>
      <c r="DJ277" s="243"/>
      <c r="DK277" s="243"/>
      <c r="DL277" s="243"/>
      <c r="DM277" s="243"/>
      <c r="DN277" s="243"/>
      <c r="DO277" s="243"/>
      <c r="DP277" s="243"/>
      <c r="DQ277" s="243"/>
      <c r="DR277" s="243"/>
      <c r="DS277" s="243"/>
      <c r="DT277" s="243"/>
      <c r="DU277" s="243"/>
      <c r="DV277" s="243"/>
      <c r="DW277" s="243"/>
      <c r="DX277" s="243"/>
      <c r="DY277" s="243"/>
      <c r="DZ277" s="243"/>
      <c r="EA277" s="243"/>
      <c r="EB277" s="243"/>
      <c r="EC277" s="243"/>
      <c r="ED277" s="243"/>
      <c r="EE277" s="243"/>
      <c r="EF277" s="243"/>
      <c r="EG277" s="243"/>
      <c r="EH277" s="243"/>
      <c r="EI277" s="243"/>
      <c r="EJ277" s="243"/>
      <c r="EK277" s="243"/>
      <c r="EL277" s="243"/>
      <c r="EM277" s="243"/>
      <c r="EN277" s="243"/>
      <c r="EO277" s="243"/>
      <c r="EP277" s="243"/>
      <c r="EQ277" s="243"/>
      <c r="ER277" s="243"/>
      <c r="ES277" s="243"/>
      <c r="ET277" s="243"/>
      <c r="EU277" s="243"/>
      <c r="EV277" s="243"/>
      <c r="EW277" s="243"/>
      <c r="EX277" s="243"/>
      <c r="EY277" s="243"/>
      <c r="EZ277" s="243"/>
      <c r="FA277" s="243"/>
      <c r="FB277" s="243"/>
      <c r="FC277" s="243"/>
      <c r="FD277" s="243"/>
      <c r="FE277" s="243"/>
      <c r="FF277" s="243"/>
      <c r="FG277" s="243"/>
      <c r="FH277" s="243"/>
      <c r="FI277" s="243"/>
      <c r="FJ277" s="243"/>
      <c r="FK277" s="243"/>
      <c r="FL277" s="243"/>
      <c r="FM277" s="243"/>
      <c r="FN277" s="243"/>
      <c r="FO277" s="243"/>
      <c r="FP277" s="243"/>
      <c r="FQ277" s="243"/>
      <c r="FR277" s="243"/>
      <c r="FS277" s="243"/>
      <c r="FT277" s="243"/>
      <c r="FU277" s="243"/>
      <c r="FV277" s="243"/>
      <c r="FW277" s="243"/>
      <c r="FX277" s="243"/>
      <c r="FY277" s="243"/>
      <c r="FZ277" s="243"/>
      <c r="GA277" s="243"/>
      <c r="GB277" s="243"/>
      <c r="GC277" s="243"/>
      <c r="GD277" s="243"/>
      <c r="GE277" s="243"/>
      <c r="GF277" s="243"/>
      <c r="GG277" s="243"/>
      <c r="GH277" s="243"/>
      <c r="GI277" s="243"/>
      <c r="GJ277" s="243"/>
      <c r="GK277" s="243"/>
      <c r="GL277" s="243"/>
      <c r="GM277" s="243"/>
      <c r="GN277" s="243"/>
      <c r="GO277" s="243"/>
      <c r="GP277" s="243"/>
      <c r="GQ277" s="243"/>
      <c r="GR277" s="243"/>
      <c r="GS277" s="243"/>
      <c r="GT277" s="243"/>
      <c r="GU277" s="243"/>
      <c r="GV277" s="243"/>
      <c r="GW277" s="243"/>
      <c r="GX277" s="243"/>
      <c r="GY277" s="243"/>
      <c r="GZ277" s="243"/>
      <c r="HA277" s="243"/>
      <c r="HB277" s="243"/>
      <c r="HC277" s="243"/>
      <c r="HD277" s="243"/>
      <c r="HE277" s="243"/>
      <c r="HF277" s="243"/>
      <c r="HG277" s="243"/>
      <c r="HH277" s="243"/>
      <c r="HI277" s="243"/>
      <c r="HJ277" s="243"/>
      <c r="HK277" s="243"/>
      <c r="HL277" s="243"/>
      <c r="HM277" s="243"/>
      <c r="HN277" s="243"/>
      <c r="HO277" s="243"/>
      <c r="HP277" s="243"/>
      <c r="HQ277" s="243"/>
      <c r="HR277" s="243"/>
      <c r="HS277" s="243"/>
      <c r="HT277" s="243"/>
      <c r="HU277" s="243"/>
      <c r="HV277" s="243"/>
      <c r="HW277" s="243"/>
      <c r="HX277" s="243"/>
      <c r="HY277" s="243"/>
      <c r="HZ277" s="243"/>
      <c r="IA277" s="243"/>
      <c r="IB277" s="243"/>
      <c r="IC277" s="243"/>
      <c r="ID277" s="243"/>
      <c r="IE277" s="243"/>
      <c r="IF277" s="243"/>
      <c r="IG277" s="243"/>
      <c r="IH277" s="243"/>
      <c r="II277" s="243"/>
      <c r="IJ277" s="243"/>
      <c r="IK277" s="243"/>
      <c r="IL277" s="243"/>
      <c r="IM277" s="243"/>
      <c r="IN277" s="243"/>
      <c r="IO277" s="243"/>
      <c r="IP277" s="243"/>
      <c r="IQ277" s="243"/>
      <c r="IR277" s="243"/>
      <c r="IS277" s="243"/>
      <c r="IT277" s="243"/>
      <c r="IU277" s="243"/>
      <c r="IV277" s="243"/>
      <c r="IW277" s="243"/>
      <c r="IX277" s="243"/>
      <c r="IY277" s="243"/>
      <c r="IZ277" s="243"/>
      <c r="JA277" s="243"/>
      <c r="JB277" s="243"/>
      <c r="JC277" s="243"/>
      <c r="JD277" s="243"/>
      <c r="JE277" s="243"/>
      <c r="JF277" s="243"/>
      <c r="JG277" s="243"/>
      <c r="JH277" s="243"/>
      <c r="JI277" s="243"/>
      <c r="JJ277" s="243"/>
      <c r="JK277" s="243"/>
      <c r="JL277" s="243"/>
      <c r="JM277" s="243"/>
      <c r="JN277" s="243"/>
      <c r="JO277" s="243"/>
      <c r="JP277" s="243"/>
      <c r="JQ277" s="243"/>
      <c r="JR277" s="243"/>
      <c r="JS277" s="243"/>
      <c r="JT277" s="243"/>
      <c r="JU277" s="243"/>
      <c r="JV277" s="243"/>
      <c r="JW277" s="243"/>
      <c r="JX277" s="243"/>
      <c r="JY277" s="243"/>
      <c r="JZ277" s="243"/>
      <c r="KA277" s="243"/>
      <c r="KB277" s="243"/>
      <c r="KC277" s="243"/>
      <c r="KD277" s="243"/>
      <c r="KE277" s="243"/>
      <c r="KF277" s="243"/>
      <c r="KG277" s="243"/>
      <c r="KH277" s="243"/>
      <c r="KI277" s="243"/>
      <c r="KJ277" s="243"/>
      <c r="KK277" s="243"/>
      <c r="KL277" s="243"/>
      <c r="KM277" s="243"/>
      <c r="KN277" s="243"/>
      <c r="KO277" s="243"/>
      <c r="KP277" s="243"/>
      <c r="KQ277" s="243"/>
      <c r="KR277" s="243"/>
      <c r="KS277" s="243"/>
      <c r="KT277" s="243"/>
      <c r="KU277" s="243"/>
      <c r="KV277" s="243"/>
      <c r="KW277" s="243"/>
      <c r="KX277" s="243"/>
      <c r="KY277" s="243"/>
      <c r="KZ277" s="243"/>
      <c r="LA277" s="243"/>
      <c r="LB277" s="243"/>
      <c r="LC277" s="243"/>
      <c r="LD277" s="243"/>
      <c r="LE277" s="243"/>
      <c r="LF277" s="243"/>
      <c r="LG277" s="243"/>
      <c r="LH277" s="243"/>
      <c r="LI277" s="243"/>
      <c r="LJ277" s="243"/>
      <c r="LK277" s="243"/>
      <c r="LL277" s="243"/>
      <c r="LM277" s="243"/>
      <c r="LN277" s="243"/>
      <c r="LO277" s="243"/>
      <c r="LP277" s="243"/>
      <c r="LQ277" s="243"/>
      <c r="LR277" s="243"/>
      <c r="LS277" s="243"/>
      <c r="LT277" s="243"/>
      <c r="LU277" s="243"/>
      <c r="LV277" s="243"/>
      <c r="LW277" s="243"/>
      <c r="LX277" s="243"/>
      <c r="LY277" s="243"/>
      <c r="LZ277" s="243"/>
      <c r="MA277" s="243"/>
      <c r="MB277" s="243"/>
      <c r="MC277" s="243"/>
      <c r="MD277" s="243"/>
      <c r="ME277" s="243"/>
      <c r="MF277" s="243"/>
      <c r="MG277" s="243"/>
      <c r="MH277" s="243"/>
      <c r="MI277" s="243"/>
      <c r="MJ277" s="243"/>
      <c r="MK277" s="243"/>
      <c r="ML277" s="243"/>
      <c r="MM277" s="243"/>
      <c r="MN277" s="243"/>
      <c r="MO277" s="243"/>
      <c r="MP277" s="243"/>
      <c r="MQ277" s="243"/>
      <c r="MR277" s="243"/>
      <c r="MS277" s="243"/>
      <c r="MT277" s="243"/>
      <c r="MU277" s="243"/>
      <c r="MV277" s="243"/>
      <c r="MW277" s="243"/>
      <c r="MX277" s="243"/>
      <c r="MY277" s="243"/>
      <c r="MZ277" s="243"/>
      <c r="NA277" s="243"/>
      <c r="NB277" s="243"/>
      <c r="NC277" s="243"/>
      <c r="ND277" s="243"/>
      <c r="NE277" s="243"/>
      <c r="NF277" s="243"/>
      <c r="NG277" s="243"/>
      <c r="NH277" s="243"/>
      <c r="NI277" s="243"/>
      <c r="NJ277" s="243"/>
      <c r="NK277" s="243"/>
      <c r="NL277" s="243"/>
      <c r="NM277" s="243"/>
      <c r="NN277" s="243"/>
      <c r="NO277" s="243"/>
      <c r="NP277" s="243"/>
      <c r="NQ277" s="243"/>
      <c r="NR277" s="243"/>
      <c r="NS277" s="243"/>
      <c r="NT277" s="243"/>
      <c r="NU277" s="243"/>
      <c r="NV277" s="243"/>
      <c r="NW277" s="243"/>
      <c r="NX277" s="243"/>
      <c r="NY277" s="243"/>
      <c r="NZ277" s="243"/>
      <c r="OA277" s="243"/>
      <c r="OB277" s="243"/>
      <c r="OC277" s="243"/>
      <c r="OD277" s="243"/>
      <c r="OE277" s="243"/>
      <c r="OF277" s="243"/>
      <c r="OG277" s="243"/>
      <c r="OH277" s="243"/>
      <c r="OI277" s="243"/>
      <c r="OJ277" s="243"/>
      <c r="OK277" s="243"/>
      <c r="OL277" s="243"/>
      <c r="OM277" s="243"/>
      <c r="ON277" s="243"/>
      <c r="OO277" s="243"/>
      <c r="OP277" s="243"/>
      <c r="OQ277" s="243"/>
      <c r="OR277" s="243"/>
      <c r="OS277" s="243"/>
      <c r="OT277" s="243"/>
      <c r="OU277" s="243"/>
      <c r="OV277" s="243"/>
      <c r="OW277" s="243"/>
      <c r="OX277" s="243"/>
      <c r="OY277" s="243"/>
      <c r="OZ277" s="243"/>
      <c r="PA277" s="243"/>
      <c r="PB277" s="243"/>
      <c r="PC277" s="243"/>
      <c r="PD277" s="243"/>
      <c r="PE277" s="243"/>
      <c r="PF277" s="243"/>
      <c r="PG277" s="243"/>
      <c r="PH277" s="243"/>
      <c r="PI277" s="243"/>
      <c r="PJ277" s="243"/>
      <c r="PK277" s="243"/>
      <c r="PL277" s="243"/>
      <c r="PM277" s="243"/>
      <c r="PN277" s="243"/>
      <c r="PO277" s="243"/>
      <c r="PP277" s="243"/>
      <c r="PQ277" s="243"/>
      <c r="PR277" s="243"/>
      <c r="PS277" s="243"/>
      <c r="PT277" s="243"/>
      <c r="PU277" s="243"/>
      <c r="PV277" s="243"/>
      <c r="PW277" s="243"/>
      <c r="PX277" s="243"/>
      <c r="PY277" s="243"/>
      <c r="PZ277" s="243"/>
      <c r="QA277" s="243"/>
      <c r="QB277" s="243"/>
      <c r="QC277" s="243"/>
      <c r="QD277" s="243"/>
      <c r="QE277" s="243"/>
      <c r="QF277" s="243"/>
      <c r="QG277" s="243"/>
      <c r="QH277" s="243"/>
      <c r="QI277" s="243"/>
      <c r="QJ277" s="243"/>
      <c r="QK277" s="243"/>
      <c r="QL277" s="243"/>
      <c r="QM277" s="243"/>
      <c r="QN277" s="243"/>
      <c r="QO277" s="243"/>
      <c r="QP277" s="243"/>
      <c r="QQ277" s="243"/>
      <c r="QR277" s="243"/>
      <c r="QS277" s="243"/>
      <c r="QT277" s="243"/>
      <c r="QU277" s="243"/>
      <c r="QV277" s="243"/>
      <c r="QW277" s="243"/>
      <c r="QX277" s="243"/>
      <c r="QY277" s="243"/>
      <c r="QZ277" s="243"/>
      <c r="RA277" s="243"/>
      <c r="RB277" s="243"/>
      <c r="RC277" s="243"/>
      <c r="RD277" s="243"/>
      <c r="RE277" s="243"/>
      <c r="RF277" s="243"/>
      <c r="RG277" s="243"/>
      <c r="RH277" s="243"/>
      <c r="RI277" s="243"/>
      <c r="RJ277" s="243"/>
      <c r="RK277" s="243"/>
      <c r="RL277" s="243"/>
      <c r="RM277" s="243"/>
      <c r="RN277" s="243"/>
      <c r="RO277" s="243"/>
      <c r="RP277" s="243"/>
      <c r="RQ277" s="243"/>
      <c r="RR277" s="243"/>
      <c r="RS277" s="243"/>
      <c r="RT277" s="243"/>
      <c r="RU277" s="243"/>
      <c r="RV277" s="243"/>
      <c r="RW277" s="243"/>
      <c r="RX277" s="243"/>
      <c r="RY277" s="243"/>
      <c r="RZ277" s="243"/>
      <c r="SA277" s="243"/>
      <c r="SB277" s="243"/>
      <c r="SC277" s="243"/>
      <c r="SD277" s="243"/>
      <c r="SE277" s="243"/>
      <c r="SF277" s="243"/>
      <c r="SG277" s="243"/>
      <c r="SH277" s="243"/>
      <c r="SI277" s="243"/>
      <c r="SJ277" s="243"/>
      <c r="SK277" s="243"/>
      <c r="SL277" s="243"/>
      <c r="SM277" s="243"/>
      <c r="SN277" s="243"/>
      <c r="SO277" s="243"/>
      <c r="SP277" s="243"/>
      <c r="SQ277" s="243"/>
      <c r="SR277" s="243"/>
      <c r="SS277" s="243"/>
      <c r="ST277" s="243"/>
      <c r="SU277" s="243"/>
      <c r="SV277" s="243"/>
      <c r="SW277" s="243"/>
      <c r="SX277" s="243"/>
      <c r="SY277" s="243"/>
      <c r="SZ277" s="243"/>
      <c r="TA277" s="243"/>
      <c r="TB277" s="243"/>
      <c r="TC277" s="243"/>
      <c r="TD277" s="243"/>
      <c r="TE277" s="243"/>
      <c r="TF277" s="243"/>
      <c r="TG277" s="243"/>
      <c r="TH277" s="243"/>
      <c r="TI277" s="243"/>
      <c r="TJ277" s="243"/>
      <c r="TK277" s="243"/>
      <c r="TL277" s="243"/>
      <c r="TM277" s="243"/>
      <c r="TN277" s="243"/>
      <c r="TO277" s="243"/>
      <c r="TP277" s="243"/>
      <c r="TQ277" s="243"/>
      <c r="TR277" s="243"/>
      <c r="TS277" s="243"/>
      <c r="TT277" s="243"/>
      <c r="TU277" s="243"/>
      <c r="TV277" s="243"/>
      <c r="TW277" s="243"/>
      <c r="TX277" s="243"/>
      <c r="TY277" s="243"/>
      <c r="TZ277" s="243"/>
      <c r="UA277" s="243"/>
      <c r="UB277" s="243"/>
      <c r="UC277" s="243"/>
      <c r="UD277" s="243"/>
      <c r="UE277" s="243"/>
      <c r="UF277" s="243"/>
      <c r="UG277" s="243"/>
      <c r="UH277" s="243"/>
      <c r="UI277" s="243"/>
      <c r="UJ277" s="243"/>
      <c r="UK277" s="243"/>
      <c r="UL277" s="243"/>
      <c r="UM277" s="243"/>
      <c r="UN277" s="243"/>
      <c r="UO277" s="243"/>
      <c r="UP277" s="243"/>
      <c r="UQ277" s="243"/>
      <c r="UR277" s="243"/>
      <c r="US277" s="243"/>
      <c r="UT277" s="243"/>
      <c r="UU277" s="243"/>
      <c r="UV277" s="243"/>
      <c r="UW277" s="243"/>
      <c r="UX277" s="243"/>
      <c r="UY277" s="243"/>
      <c r="UZ277" s="243"/>
      <c r="VA277" s="243"/>
      <c r="VB277" s="243"/>
      <c r="VC277" s="243"/>
      <c r="VD277" s="243"/>
      <c r="VE277" s="243"/>
      <c r="VF277" s="243"/>
      <c r="VG277" s="243"/>
      <c r="VH277" s="243"/>
      <c r="VI277" s="243"/>
      <c r="VJ277" s="243"/>
      <c r="VK277" s="243"/>
      <c r="VL277" s="243"/>
      <c r="VM277" s="243"/>
      <c r="VN277" s="243"/>
      <c r="VO277" s="243"/>
      <c r="VP277" s="243"/>
      <c r="VQ277" s="243"/>
      <c r="VR277" s="243"/>
      <c r="VS277" s="243"/>
      <c r="VT277" s="243"/>
      <c r="VU277" s="243"/>
      <c r="VV277" s="243"/>
      <c r="VW277" s="243"/>
      <c r="VX277" s="243"/>
      <c r="VY277" s="243"/>
      <c r="VZ277" s="243"/>
      <c r="WA277" s="243"/>
      <c r="WB277" s="243"/>
      <c r="WC277" s="243"/>
      <c r="WD277" s="243"/>
      <c r="WE277" s="243"/>
      <c r="WF277" s="243"/>
      <c r="WG277" s="243"/>
      <c r="WH277" s="243"/>
      <c r="WI277" s="243"/>
      <c r="WJ277" s="243"/>
      <c r="WK277" s="243"/>
      <c r="WL277" s="243"/>
      <c r="WM277" s="243"/>
      <c r="WN277" s="243"/>
      <c r="WO277" s="243"/>
      <c r="WP277" s="243"/>
      <c r="WQ277" s="243"/>
      <c r="WR277" s="243"/>
      <c r="WS277" s="243"/>
      <c r="WT277" s="243"/>
      <c r="WU277" s="243"/>
      <c r="WV277" s="243"/>
      <c r="WW277" s="243"/>
      <c r="WX277" s="243"/>
      <c r="WY277" s="243"/>
      <c r="WZ277" s="243"/>
      <c r="XA277" s="243"/>
      <c r="XB277" s="243"/>
      <c r="XC277" s="243"/>
      <c r="XD277" s="243"/>
      <c r="XE277" s="243"/>
      <c r="XF277" s="243"/>
      <c r="XG277" s="243"/>
      <c r="XH277" s="243"/>
      <c r="XI277" s="243"/>
      <c r="XJ277" s="243"/>
      <c r="XK277" s="243"/>
      <c r="XL277" s="243"/>
      <c r="XM277" s="243"/>
      <c r="XN277" s="243"/>
      <c r="XO277" s="243"/>
      <c r="XP277" s="243"/>
      <c r="XQ277" s="243"/>
      <c r="XR277" s="243"/>
      <c r="XS277" s="243"/>
      <c r="XT277" s="243"/>
      <c r="XU277" s="243"/>
      <c r="XV277" s="243"/>
      <c r="XW277" s="243"/>
      <c r="XX277" s="243"/>
      <c r="XY277" s="243"/>
      <c r="XZ277" s="243"/>
      <c r="YA277" s="243"/>
      <c r="YB277" s="243"/>
      <c r="YC277" s="243"/>
      <c r="YD277" s="243"/>
      <c r="YE277" s="243"/>
      <c r="YF277" s="243"/>
      <c r="YG277" s="243"/>
      <c r="YH277" s="243"/>
      <c r="YI277" s="243"/>
      <c r="YJ277" s="243"/>
      <c r="YK277" s="243"/>
      <c r="YL277" s="243"/>
      <c r="YM277" s="243"/>
      <c r="YN277" s="243"/>
      <c r="YO277" s="243"/>
      <c r="YP277" s="243"/>
      <c r="YQ277" s="243"/>
      <c r="YR277" s="243"/>
      <c r="YS277" s="243"/>
      <c r="YT277" s="243"/>
      <c r="YU277" s="243"/>
      <c r="YV277" s="243"/>
      <c r="YW277" s="243"/>
      <c r="YX277" s="243"/>
      <c r="YY277" s="243"/>
      <c r="YZ277" s="243"/>
      <c r="ZA277" s="243"/>
      <c r="ZB277" s="243"/>
      <c r="ZC277" s="243"/>
      <c r="ZD277" s="243"/>
      <c r="ZE277" s="243"/>
      <c r="ZF277" s="243"/>
      <c r="ZG277" s="243"/>
      <c r="ZH277" s="243"/>
      <c r="ZI277" s="243"/>
      <c r="ZJ277" s="243"/>
      <c r="ZK277" s="243"/>
      <c r="ZL277" s="243"/>
      <c r="ZM277" s="243"/>
      <c r="ZN277" s="243"/>
      <c r="ZO277" s="243"/>
      <c r="ZP277" s="243"/>
      <c r="ZQ277" s="243"/>
      <c r="ZR277" s="243"/>
      <c r="ZS277" s="243"/>
      <c r="ZT277" s="243"/>
      <c r="ZU277" s="243"/>
      <c r="ZV277" s="243"/>
      <c r="ZW277" s="243"/>
      <c r="ZX277" s="243"/>
      <c r="ZY277" s="243"/>
      <c r="ZZ277" s="243"/>
      <c r="AAA277" s="243"/>
      <c r="AAB277" s="243"/>
      <c r="AAC277" s="243"/>
      <c r="AAD277" s="243"/>
      <c r="AAE277" s="243"/>
      <c r="AAF277" s="243"/>
      <c r="AAG277" s="243"/>
      <c r="AAH277" s="243"/>
      <c r="AAI277" s="243"/>
      <c r="AAJ277" s="243"/>
      <c r="AAK277" s="243"/>
      <c r="AAL277" s="243"/>
      <c r="AAM277" s="243"/>
      <c r="AAN277" s="243"/>
      <c r="AAO277" s="243"/>
      <c r="AAP277" s="243"/>
      <c r="AAQ277" s="243"/>
      <c r="AAR277" s="243"/>
      <c r="AAS277" s="243"/>
      <c r="AAT277" s="243"/>
      <c r="AAU277" s="243"/>
      <c r="AAV277" s="243"/>
      <c r="AAW277" s="243"/>
      <c r="AAX277" s="243"/>
      <c r="AAY277" s="243"/>
      <c r="AAZ277" s="243"/>
      <c r="ABA277" s="243"/>
      <c r="ABB277" s="243"/>
      <c r="ABC277" s="243"/>
      <c r="ABD277" s="243"/>
      <c r="ABE277" s="243"/>
      <c r="ABF277" s="243"/>
      <c r="ABG277" s="243"/>
      <c r="ABH277" s="243"/>
      <c r="ABI277" s="243"/>
      <c r="ABJ277" s="243"/>
      <c r="ABK277" s="243"/>
      <c r="ABL277" s="243"/>
      <c r="ABM277" s="243"/>
      <c r="ABN277" s="243"/>
      <c r="ABO277" s="243"/>
      <c r="ABP277" s="243"/>
      <c r="ABQ277" s="243"/>
      <c r="ABR277" s="243"/>
      <c r="ABS277" s="243"/>
      <c r="ABT277" s="243"/>
      <c r="ABU277" s="243"/>
      <c r="ABV277" s="243"/>
      <c r="ABW277" s="243"/>
      <c r="ABX277" s="243"/>
      <c r="ABY277" s="243"/>
      <c r="ABZ277" s="243"/>
      <c r="ACA277" s="243"/>
      <c r="ACB277" s="243"/>
      <c r="ACC277" s="243"/>
      <c r="ACD277" s="243"/>
      <c r="ACE277" s="243"/>
      <c r="ACF277" s="243"/>
      <c r="ACG277" s="243"/>
      <c r="ACH277" s="243"/>
      <c r="ACI277" s="243"/>
      <c r="ACJ277" s="243"/>
      <c r="ACK277" s="243"/>
      <c r="ACL277" s="243"/>
      <c r="ACM277" s="243"/>
      <c r="ACN277" s="243"/>
      <c r="ACO277" s="243"/>
      <c r="ACP277" s="243"/>
      <c r="ACQ277" s="243"/>
      <c r="ACR277" s="243"/>
      <c r="ACS277" s="243"/>
      <c r="ACT277" s="243"/>
      <c r="ACU277" s="243"/>
      <c r="ACV277" s="243"/>
      <c r="ACW277" s="243"/>
      <c r="ACX277" s="243"/>
      <c r="ACY277" s="243"/>
      <c r="ACZ277" s="243"/>
      <c r="ADA277" s="243"/>
      <c r="ADB277" s="243"/>
      <c r="ADC277" s="243"/>
      <c r="ADD277" s="243"/>
      <c r="ADE277" s="243"/>
      <c r="ADF277" s="243"/>
      <c r="ADG277" s="243"/>
      <c r="ADH277" s="243"/>
      <c r="ADI277" s="243"/>
      <c r="ADJ277" s="243"/>
      <c r="ADK277" s="243"/>
      <c r="ADL277" s="243"/>
      <c r="ADM277" s="243"/>
      <c r="ADN277" s="243"/>
      <c r="ADO277" s="243"/>
      <c r="ADP277" s="243"/>
      <c r="ADQ277" s="243"/>
      <c r="ADR277" s="243"/>
      <c r="ADS277" s="243"/>
      <c r="ADT277" s="243"/>
      <c r="ADU277" s="243"/>
      <c r="ADV277" s="243"/>
      <c r="ADW277" s="243"/>
      <c r="ADX277" s="243"/>
      <c r="ADY277" s="243"/>
      <c r="ADZ277" s="243"/>
      <c r="AEA277" s="243"/>
      <c r="AEB277" s="243"/>
      <c r="AEC277" s="243"/>
      <c r="AED277" s="243"/>
      <c r="AEE277" s="243"/>
      <c r="AEF277" s="243"/>
      <c r="AEG277" s="243"/>
      <c r="AEH277" s="243"/>
      <c r="AEI277" s="243"/>
      <c r="AEJ277" s="243"/>
      <c r="AEK277" s="243"/>
      <c r="AEL277" s="243"/>
      <c r="AEM277" s="243"/>
      <c r="AEN277" s="243"/>
      <c r="AEO277" s="243"/>
      <c r="AEP277" s="243"/>
      <c r="AEQ277" s="243"/>
      <c r="AER277" s="243"/>
      <c r="AES277" s="243"/>
      <c r="AET277" s="243"/>
      <c r="AEU277" s="243"/>
      <c r="AEV277" s="243"/>
      <c r="AEW277" s="243"/>
      <c r="AEX277" s="243"/>
      <c r="AEY277" s="243"/>
      <c r="AEZ277" s="243"/>
      <c r="AFA277" s="243"/>
      <c r="AFB277" s="243"/>
      <c r="AFC277" s="243"/>
      <c r="AFD277" s="243"/>
      <c r="AFE277" s="243"/>
      <c r="AFF277" s="243"/>
      <c r="AFG277" s="243"/>
      <c r="AFH277" s="243"/>
      <c r="AFI277" s="243"/>
      <c r="AFJ277" s="243"/>
      <c r="AFK277" s="243"/>
      <c r="AFL277" s="243"/>
      <c r="AFM277" s="243"/>
      <c r="AFN277" s="243"/>
      <c r="AFO277" s="243"/>
      <c r="AFP277" s="243"/>
      <c r="AFQ277" s="243"/>
      <c r="AFR277" s="243"/>
      <c r="AFS277" s="243"/>
      <c r="AFT277" s="243"/>
      <c r="AFU277" s="243"/>
      <c r="AFV277" s="243"/>
      <c r="AFW277" s="243"/>
      <c r="AFX277" s="243"/>
      <c r="AFY277" s="243"/>
      <c r="AFZ277" s="243"/>
      <c r="AGA277" s="243"/>
      <c r="AGB277" s="243"/>
      <c r="AGC277" s="243"/>
      <c r="AGD277" s="243"/>
      <c r="AGE277" s="243"/>
      <c r="AGF277" s="243"/>
      <c r="AGG277" s="243"/>
      <c r="AGH277" s="243"/>
      <c r="AGI277" s="243"/>
      <c r="AGJ277" s="243"/>
      <c r="AGK277" s="243"/>
      <c r="AGL277" s="243"/>
      <c r="AGM277" s="243"/>
      <c r="AGN277" s="243"/>
      <c r="AGO277" s="243"/>
      <c r="AGP277" s="243"/>
      <c r="AGQ277" s="243"/>
      <c r="AGR277" s="243"/>
      <c r="AGS277" s="243"/>
      <c r="AGT277" s="243"/>
      <c r="AGU277" s="243"/>
      <c r="AGV277" s="243"/>
      <c r="AGW277" s="243"/>
      <c r="AGX277" s="243"/>
      <c r="AGY277" s="243"/>
      <c r="AGZ277" s="243"/>
      <c r="AHA277" s="243"/>
      <c r="AHB277" s="243"/>
      <c r="AHC277" s="243"/>
      <c r="AHD277" s="243"/>
      <c r="AHE277" s="243"/>
      <c r="AHF277" s="243"/>
      <c r="AHG277" s="243"/>
      <c r="AHH277" s="243"/>
      <c r="AHI277" s="243"/>
      <c r="AHJ277" s="243"/>
      <c r="AHK277" s="243"/>
      <c r="AHL277" s="243"/>
      <c r="AHM277" s="243"/>
      <c r="AHN277" s="243"/>
      <c r="AHO277" s="243"/>
      <c r="AHP277" s="243"/>
      <c r="AHQ277" s="243"/>
      <c r="AHR277" s="243"/>
      <c r="AHS277" s="243"/>
      <c r="AHT277" s="243"/>
      <c r="AHU277" s="243"/>
      <c r="AHV277" s="243"/>
      <c r="AHW277" s="243"/>
      <c r="AHX277" s="243"/>
      <c r="AHY277" s="243"/>
      <c r="AHZ277" s="243"/>
      <c r="AIA277" s="243"/>
      <c r="AIB277" s="243"/>
      <c r="AIC277" s="243"/>
      <c r="AID277" s="243"/>
      <c r="AIE277" s="243"/>
      <c r="AIF277" s="243"/>
      <c r="AIG277" s="243"/>
      <c r="AIH277" s="243"/>
      <c r="AII277" s="243"/>
      <c r="AIJ277" s="243"/>
      <c r="AIK277" s="243"/>
      <c r="AIL277" s="243"/>
      <c r="AIM277" s="243"/>
      <c r="AIN277" s="243"/>
      <c r="AIO277" s="243"/>
      <c r="AIP277" s="243"/>
      <c r="AIQ277" s="243"/>
      <c r="AIR277" s="243"/>
      <c r="AIS277" s="243"/>
      <c r="AIT277" s="243"/>
      <c r="AIU277" s="243"/>
      <c r="AIV277" s="243"/>
      <c r="AIW277" s="243"/>
      <c r="AIX277" s="243"/>
      <c r="AIY277" s="243"/>
      <c r="AIZ277" s="243"/>
      <c r="AJA277" s="243"/>
      <c r="AJB277" s="243"/>
      <c r="AJC277" s="243"/>
      <c r="AJD277" s="243"/>
      <c r="AJE277" s="243"/>
      <c r="AJF277" s="243"/>
      <c r="AJG277" s="243"/>
      <c r="AJH277" s="243"/>
      <c r="AJI277" s="243"/>
      <c r="AJJ277" s="243"/>
      <c r="AJK277" s="243"/>
      <c r="AJL277" s="243"/>
      <c r="AJM277" s="243"/>
      <c r="AJN277" s="243"/>
      <c r="AJO277" s="243"/>
      <c r="AJP277" s="243"/>
      <c r="AJQ277" s="243"/>
      <c r="AJR277" s="243"/>
      <c r="AJS277" s="243"/>
      <c r="AJT277" s="243"/>
      <c r="AJU277" s="243"/>
      <c r="AJV277" s="243"/>
      <c r="AJW277" s="243"/>
      <c r="AJX277" s="243"/>
      <c r="AJY277" s="243"/>
      <c r="AJZ277" s="243"/>
      <c r="AKA277" s="243"/>
      <c r="AKB277" s="243"/>
      <c r="AKC277" s="243"/>
      <c r="AKD277" s="243"/>
      <c r="AKE277" s="243"/>
      <c r="AKF277" s="243"/>
      <c r="AKG277" s="243"/>
      <c r="AKH277" s="243"/>
      <c r="AKI277" s="243"/>
      <c r="AKJ277" s="243"/>
      <c r="AKK277" s="243"/>
      <c r="AKL277" s="243"/>
      <c r="AKM277" s="243"/>
      <c r="AKN277" s="243"/>
      <c r="AKO277" s="243"/>
      <c r="AKP277" s="243"/>
      <c r="AKQ277" s="243"/>
      <c r="AKR277" s="243"/>
      <c r="AKS277" s="243"/>
      <c r="AKT277" s="243"/>
      <c r="AKU277" s="243"/>
      <c r="AKV277" s="243"/>
      <c r="AKW277" s="243"/>
      <c r="AKX277" s="243"/>
      <c r="AKY277" s="243"/>
      <c r="AKZ277" s="243"/>
      <c r="ALA277" s="243"/>
      <c r="ALB277" s="243"/>
      <c r="ALC277" s="243"/>
      <c r="ALD277" s="243"/>
      <c r="ALE277" s="243"/>
      <c r="ALF277" s="243"/>
      <c r="ALG277" s="243"/>
      <c r="ALH277" s="243"/>
      <c r="ALI277" s="243"/>
      <c r="ALJ277" s="243"/>
      <c r="ALK277" s="243"/>
      <c r="ALL277" s="243"/>
      <c r="ALM277" s="243"/>
      <c r="ALN277" s="243"/>
      <c r="ALO277" s="243"/>
      <c r="ALP277" s="243"/>
      <c r="ALQ277" s="243"/>
      <c r="ALR277" s="243"/>
      <c r="ALS277" s="243"/>
      <c r="ALT277" s="243"/>
      <c r="ALU277" s="243"/>
      <c r="ALV277" s="243"/>
      <c r="ALW277" s="243"/>
      <c r="ALX277" s="243"/>
      <c r="ALY277" s="243"/>
      <c r="ALZ277" s="243"/>
      <c r="AMA277" s="243"/>
      <c r="AMB277" s="243"/>
      <c r="AMC277" s="243"/>
      <c r="AMD277" s="243"/>
      <c r="AME277" s="243"/>
      <c r="AMF277" s="243"/>
      <c r="AMG277" s="243"/>
      <c r="AMH277" s="243"/>
      <c r="AMI277" s="244"/>
      <c r="AMJ277" s="244"/>
    </row>
    <row r="278" spans="1:1024" ht="21.75" customHeight="1">
      <c r="A278" s="908"/>
      <c r="B278" s="442">
        <v>14262</v>
      </c>
      <c r="C278" s="430">
        <v>0.08</v>
      </c>
      <c r="D278" s="370" t="s">
        <v>181</v>
      </c>
      <c r="E278" s="433">
        <v>3900000</v>
      </c>
      <c r="F278" s="477">
        <v>0.1</v>
      </c>
      <c r="G278" s="401">
        <f t="shared" si="10"/>
        <v>390000</v>
      </c>
      <c r="H278" s="402" t="s">
        <v>47</v>
      </c>
      <c r="I278" s="402" t="s">
        <v>138</v>
      </c>
      <c r="J278" s="402" t="s">
        <v>125</v>
      </c>
      <c r="K278" s="402" t="s">
        <v>182</v>
      </c>
      <c r="L278" s="505" t="s">
        <v>125</v>
      </c>
      <c r="M278" s="442">
        <v>14246</v>
      </c>
      <c r="N278" s="370" t="s">
        <v>183</v>
      </c>
      <c r="O278" s="433">
        <v>1450000</v>
      </c>
      <c r="P278" s="430">
        <v>0.04</v>
      </c>
      <c r="Q278" s="433">
        <f>O278*P278</f>
        <v>58000</v>
      </c>
      <c r="R278" s="243"/>
      <c r="S278" s="243"/>
      <c r="T278" s="243"/>
      <c r="U278" s="243"/>
      <c r="V278" s="243"/>
      <c r="W278" s="243"/>
      <c r="X278" s="243"/>
      <c r="Y278" s="243"/>
      <c r="Z278" s="243"/>
      <c r="AA278" s="243"/>
      <c r="AB278" s="243"/>
      <c r="AC278" s="243"/>
      <c r="AD278" s="243"/>
      <c r="AE278" s="243"/>
      <c r="AF278" s="243"/>
      <c r="AG278" s="243"/>
      <c r="AH278" s="243"/>
      <c r="AI278" s="243"/>
      <c r="AJ278" s="243"/>
      <c r="AK278" s="243"/>
      <c r="AL278" s="243"/>
      <c r="AM278" s="243"/>
      <c r="AN278" s="243"/>
      <c r="AO278" s="243"/>
      <c r="AP278" s="243"/>
      <c r="AQ278" s="243"/>
      <c r="AR278" s="243"/>
      <c r="AS278" s="243"/>
      <c r="AT278" s="243"/>
      <c r="AU278" s="243"/>
      <c r="AV278" s="243"/>
      <c r="AW278" s="243"/>
      <c r="AX278" s="243"/>
      <c r="AY278" s="243"/>
      <c r="AZ278" s="243"/>
      <c r="BA278" s="243"/>
      <c r="BB278" s="243"/>
      <c r="BC278" s="243"/>
      <c r="BD278" s="243"/>
      <c r="BE278" s="243"/>
      <c r="BF278" s="243"/>
      <c r="BG278" s="243"/>
      <c r="BH278" s="243"/>
      <c r="BI278" s="243"/>
      <c r="BJ278" s="243"/>
      <c r="BK278" s="243"/>
      <c r="BL278" s="243"/>
      <c r="BM278" s="243"/>
      <c r="BN278" s="243"/>
      <c r="BO278" s="243"/>
      <c r="BP278" s="243"/>
      <c r="BQ278" s="243"/>
      <c r="BR278" s="243"/>
      <c r="BS278" s="243"/>
      <c r="BT278" s="243"/>
      <c r="BU278" s="243"/>
      <c r="BV278" s="243"/>
      <c r="BW278" s="243"/>
      <c r="BX278" s="243"/>
      <c r="BY278" s="243"/>
      <c r="BZ278" s="243"/>
      <c r="CA278" s="243"/>
      <c r="CB278" s="243"/>
      <c r="CC278" s="243"/>
      <c r="CD278" s="243"/>
      <c r="CE278" s="243"/>
      <c r="CF278" s="243"/>
      <c r="CG278" s="243"/>
      <c r="CH278" s="243"/>
      <c r="CI278" s="243"/>
      <c r="CJ278" s="243"/>
      <c r="CK278" s="243"/>
      <c r="CL278" s="243"/>
      <c r="CM278" s="243"/>
      <c r="CN278" s="243"/>
      <c r="CO278" s="243"/>
      <c r="CP278" s="243"/>
      <c r="CQ278" s="243"/>
      <c r="CR278" s="243"/>
      <c r="CS278" s="243"/>
      <c r="CT278" s="243"/>
      <c r="CU278" s="243"/>
      <c r="CV278" s="243"/>
      <c r="CW278" s="243"/>
      <c r="CX278" s="243"/>
      <c r="CY278" s="243"/>
      <c r="CZ278" s="243"/>
      <c r="DA278" s="243"/>
      <c r="DB278" s="243"/>
      <c r="DC278" s="243"/>
      <c r="DD278" s="243"/>
      <c r="DE278" s="243"/>
      <c r="DF278" s="243"/>
      <c r="DG278" s="243"/>
      <c r="DH278" s="243"/>
      <c r="DI278" s="243"/>
      <c r="DJ278" s="243"/>
      <c r="DK278" s="243"/>
      <c r="DL278" s="243"/>
      <c r="DM278" s="243"/>
      <c r="DN278" s="243"/>
      <c r="DO278" s="243"/>
      <c r="DP278" s="243"/>
      <c r="DQ278" s="243"/>
      <c r="DR278" s="243"/>
      <c r="DS278" s="243"/>
      <c r="DT278" s="243"/>
      <c r="DU278" s="243"/>
      <c r="DV278" s="243"/>
      <c r="DW278" s="243"/>
      <c r="DX278" s="243"/>
      <c r="DY278" s="243"/>
      <c r="DZ278" s="243"/>
      <c r="EA278" s="243"/>
      <c r="EB278" s="243"/>
      <c r="EC278" s="243"/>
      <c r="ED278" s="243"/>
      <c r="EE278" s="243"/>
      <c r="EF278" s="243"/>
      <c r="EG278" s="243"/>
      <c r="EH278" s="243"/>
      <c r="EI278" s="243"/>
      <c r="EJ278" s="243"/>
      <c r="EK278" s="243"/>
      <c r="EL278" s="243"/>
      <c r="EM278" s="243"/>
      <c r="EN278" s="243"/>
      <c r="EO278" s="243"/>
      <c r="EP278" s="243"/>
      <c r="EQ278" s="243"/>
      <c r="ER278" s="243"/>
      <c r="ES278" s="243"/>
      <c r="ET278" s="243"/>
      <c r="EU278" s="243"/>
      <c r="EV278" s="243"/>
      <c r="EW278" s="243"/>
      <c r="EX278" s="243"/>
      <c r="EY278" s="243"/>
      <c r="EZ278" s="243"/>
      <c r="FA278" s="243"/>
      <c r="FB278" s="243"/>
      <c r="FC278" s="243"/>
      <c r="FD278" s="243"/>
      <c r="FE278" s="243"/>
      <c r="FF278" s="243"/>
      <c r="FG278" s="243"/>
      <c r="FH278" s="243"/>
      <c r="FI278" s="243"/>
      <c r="FJ278" s="243"/>
      <c r="FK278" s="243"/>
      <c r="FL278" s="243"/>
      <c r="FM278" s="243"/>
      <c r="FN278" s="243"/>
      <c r="FO278" s="243"/>
      <c r="FP278" s="243"/>
      <c r="FQ278" s="243"/>
      <c r="FR278" s="243"/>
      <c r="FS278" s="243"/>
      <c r="FT278" s="243"/>
      <c r="FU278" s="243"/>
      <c r="FV278" s="243"/>
      <c r="FW278" s="243"/>
      <c r="FX278" s="243"/>
      <c r="FY278" s="243"/>
      <c r="FZ278" s="243"/>
      <c r="GA278" s="243"/>
      <c r="GB278" s="243"/>
      <c r="GC278" s="243"/>
      <c r="GD278" s="243"/>
      <c r="GE278" s="243"/>
      <c r="GF278" s="243"/>
      <c r="GG278" s="243"/>
      <c r="GH278" s="243"/>
      <c r="GI278" s="243"/>
      <c r="GJ278" s="243"/>
      <c r="GK278" s="243"/>
      <c r="GL278" s="243"/>
      <c r="GM278" s="243"/>
      <c r="GN278" s="243"/>
      <c r="GO278" s="243"/>
      <c r="GP278" s="243"/>
      <c r="GQ278" s="243"/>
      <c r="GR278" s="243"/>
      <c r="GS278" s="243"/>
      <c r="GT278" s="243"/>
      <c r="GU278" s="243"/>
      <c r="GV278" s="243"/>
      <c r="GW278" s="243"/>
      <c r="GX278" s="243"/>
      <c r="GY278" s="243"/>
      <c r="GZ278" s="243"/>
      <c r="HA278" s="243"/>
      <c r="HB278" s="243"/>
      <c r="HC278" s="243"/>
      <c r="HD278" s="243"/>
      <c r="HE278" s="243"/>
      <c r="HF278" s="243"/>
      <c r="HG278" s="243"/>
      <c r="HH278" s="243"/>
      <c r="HI278" s="243"/>
      <c r="HJ278" s="243"/>
      <c r="HK278" s="243"/>
      <c r="HL278" s="243"/>
      <c r="HM278" s="243"/>
      <c r="HN278" s="243"/>
      <c r="HO278" s="243"/>
      <c r="HP278" s="243"/>
      <c r="HQ278" s="243"/>
      <c r="HR278" s="243"/>
      <c r="HS278" s="243"/>
      <c r="HT278" s="243"/>
      <c r="HU278" s="243"/>
      <c r="HV278" s="243"/>
      <c r="HW278" s="243"/>
      <c r="HX278" s="243"/>
      <c r="HY278" s="243"/>
      <c r="HZ278" s="243"/>
      <c r="IA278" s="243"/>
      <c r="IB278" s="243"/>
      <c r="IC278" s="243"/>
      <c r="ID278" s="243"/>
      <c r="IE278" s="243"/>
      <c r="IF278" s="243"/>
      <c r="IG278" s="243"/>
      <c r="IH278" s="243"/>
      <c r="II278" s="243"/>
      <c r="IJ278" s="243"/>
      <c r="IK278" s="243"/>
      <c r="IL278" s="243"/>
      <c r="IM278" s="243"/>
      <c r="IN278" s="243"/>
      <c r="IO278" s="243"/>
      <c r="IP278" s="243"/>
      <c r="IQ278" s="243"/>
      <c r="IR278" s="243"/>
      <c r="IS278" s="243"/>
      <c r="IT278" s="243"/>
      <c r="IU278" s="243"/>
      <c r="IV278" s="243"/>
      <c r="IW278" s="243"/>
      <c r="IX278" s="243"/>
      <c r="IY278" s="243"/>
      <c r="IZ278" s="243"/>
      <c r="JA278" s="243"/>
      <c r="JB278" s="243"/>
      <c r="JC278" s="243"/>
      <c r="JD278" s="243"/>
      <c r="JE278" s="243"/>
      <c r="JF278" s="243"/>
      <c r="JG278" s="243"/>
      <c r="JH278" s="243"/>
      <c r="JI278" s="243"/>
      <c r="JJ278" s="243"/>
      <c r="JK278" s="243"/>
      <c r="JL278" s="243"/>
      <c r="JM278" s="243"/>
      <c r="JN278" s="243"/>
      <c r="JO278" s="243"/>
      <c r="JP278" s="243"/>
      <c r="JQ278" s="243"/>
      <c r="JR278" s="243"/>
      <c r="JS278" s="243"/>
      <c r="JT278" s="243"/>
      <c r="JU278" s="243"/>
      <c r="JV278" s="243"/>
      <c r="JW278" s="243"/>
      <c r="JX278" s="243"/>
      <c r="JY278" s="243"/>
      <c r="JZ278" s="243"/>
      <c r="KA278" s="243"/>
      <c r="KB278" s="243"/>
      <c r="KC278" s="243"/>
      <c r="KD278" s="243"/>
      <c r="KE278" s="243"/>
      <c r="KF278" s="243"/>
      <c r="KG278" s="243"/>
      <c r="KH278" s="243"/>
      <c r="KI278" s="243"/>
      <c r="KJ278" s="243"/>
      <c r="KK278" s="243"/>
      <c r="KL278" s="243"/>
      <c r="KM278" s="243"/>
      <c r="KN278" s="243"/>
      <c r="KO278" s="243"/>
      <c r="KP278" s="243"/>
      <c r="KQ278" s="243"/>
      <c r="KR278" s="243"/>
      <c r="KS278" s="243"/>
      <c r="KT278" s="243"/>
      <c r="KU278" s="243"/>
      <c r="KV278" s="243"/>
      <c r="KW278" s="243"/>
      <c r="KX278" s="243"/>
      <c r="KY278" s="243"/>
      <c r="KZ278" s="243"/>
      <c r="LA278" s="243"/>
      <c r="LB278" s="243"/>
      <c r="LC278" s="243"/>
      <c r="LD278" s="243"/>
      <c r="LE278" s="243"/>
      <c r="LF278" s="243"/>
      <c r="LG278" s="243"/>
      <c r="LH278" s="243"/>
      <c r="LI278" s="243"/>
      <c r="LJ278" s="243"/>
      <c r="LK278" s="243"/>
      <c r="LL278" s="243"/>
      <c r="LM278" s="243"/>
      <c r="LN278" s="243"/>
      <c r="LO278" s="243"/>
      <c r="LP278" s="243"/>
      <c r="LQ278" s="243"/>
      <c r="LR278" s="243"/>
      <c r="LS278" s="243"/>
      <c r="LT278" s="243"/>
      <c r="LU278" s="243"/>
      <c r="LV278" s="243"/>
      <c r="LW278" s="243"/>
      <c r="LX278" s="243"/>
      <c r="LY278" s="243"/>
      <c r="LZ278" s="243"/>
      <c r="MA278" s="243"/>
      <c r="MB278" s="243"/>
      <c r="MC278" s="243"/>
      <c r="MD278" s="243"/>
      <c r="ME278" s="243"/>
      <c r="MF278" s="243"/>
      <c r="MG278" s="243"/>
      <c r="MH278" s="243"/>
      <c r="MI278" s="243"/>
      <c r="MJ278" s="243"/>
      <c r="MK278" s="243"/>
      <c r="ML278" s="243"/>
      <c r="MM278" s="243"/>
      <c r="MN278" s="243"/>
      <c r="MO278" s="243"/>
      <c r="MP278" s="243"/>
      <c r="MQ278" s="243"/>
      <c r="MR278" s="243"/>
      <c r="MS278" s="243"/>
      <c r="MT278" s="243"/>
      <c r="MU278" s="243"/>
      <c r="MV278" s="243"/>
      <c r="MW278" s="243"/>
      <c r="MX278" s="243"/>
      <c r="MY278" s="243"/>
      <c r="MZ278" s="243"/>
      <c r="NA278" s="243"/>
      <c r="NB278" s="243"/>
      <c r="NC278" s="243"/>
      <c r="ND278" s="243"/>
      <c r="NE278" s="243"/>
      <c r="NF278" s="243"/>
      <c r="NG278" s="243"/>
      <c r="NH278" s="243"/>
      <c r="NI278" s="243"/>
      <c r="NJ278" s="243"/>
      <c r="NK278" s="243"/>
      <c r="NL278" s="243"/>
      <c r="NM278" s="243"/>
      <c r="NN278" s="243"/>
      <c r="NO278" s="243"/>
      <c r="NP278" s="243"/>
      <c r="NQ278" s="243"/>
      <c r="NR278" s="243"/>
      <c r="NS278" s="243"/>
      <c r="NT278" s="243"/>
      <c r="NU278" s="243"/>
      <c r="NV278" s="243"/>
      <c r="NW278" s="243"/>
      <c r="NX278" s="243"/>
      <c r="NY278" s="243"/>
      <c r="NZ278" s="243"/>
      <c r="OA278" s="243"/>
      <c r="OB278" s="243"/>
      <c r="OC278" s="243"/>
      <c r="OD278" s="243"/>
      <c r="OE278" s="243"/>
      <c r="OF278" s="243"/>
      <c r="OG278" s="243"/>
      <c r="OH278" s="243"/>
      <c r="OI278" s="243"/>
      <c r="OJ278" s="243"/>
      <c r="OK278" s="243"/>
      <c r="OL278" s="243"/>
      <c r="OM278" s="243"/>
      <c r="ON278" s="243"/>
      <c r="OO278" s="243"/>
      <c r="OP278" s="243"/>
      <c r="OQ278" s="243"/>
      <c r="OR278" s="243"/>
      <c r="OS278" s="243"/>
      <c r="OT278" s="243"/>
      <c r="OU278" s="243"/>
      <c r="OV278" s="243"/>
      <c r="OW278" s="243"/>
      <c r="OX278" s="243"/>
      <c r="OY278" s="243"/>
      <c r="OZ278" s="243"/>
      <c r="PA278" s="243"/>
      <c r="PB278" s="243"/>
      <c r="PC278" s="243"/>
      <c r="PD278" s="243"/>
      <c r="PE278" s="243"/>
      <c r="PF278" s="243"/>
      <c r="PG278" s="243"/>
      <c r="PH278" s="243"/>
      <c r="PI278" s="243"/>
      <c r="PJ278" s="243"/>
      <c r="PK278" s="243"/>
      <c r="PL278" s="243"/>
      <c r="PM278" s="243"/>
      <c r="PN278" s="243"/>
      <c r="PO278" s="243"/>
      <c r="PP278" s="243"/>
      <c r="PQ278" s="243"/>
      <c r="PR278" s="243"/>
      <c r="PS278" s="243"/>
      <c r="PT278" s="243"/>
      <c r="PU278" s="243"/>
      <c r="PV278" s="243"/>
      <c r="PW278" s="243"/>
      <c r="PX278" s="243"/>
      <c r="PY278" s="243"/>
      <c r="PZ278" s="243"/>
      <c r="QA278" s="243"/>
      <c r="QB278" s="243"/>
      <c r="QC278" s="243"/>
      <c r="QD278" s="243"/>
      <c r="QE278" s="243"/>
      <c r="QF278" s="243"/>
      <c r="QG278" s="243"/>
      <c r="QH278" s="243"/>
      <c r="QI278" s="243"/>
      <c r="QJ278" s="243"/>
      <c r="QK278" s="243"/>
      <c r="QL278" s="243"/>
      <c r="QM278" s="243"/>
      <c r="QN278" s="243"/>
      <c r="QO278" s="243"/>
      <c r="QP278" s="243"/>
      <c r="QQ278" s="243"/>
      <c r="QR278" s="243"/>
      <c r="QS278" s="243"/>
      <c r="QT278" s="243"/>
      <c r="QU278" s="243"/>
      <c r="QV278" s="243"/>
      <c r="QW278" s="243"/>
      <c r="QX278" s="243"/>
      <c r="QY278" s="243"/>
      <c r="QZ278" s="243"/>
      <c r="RA278" s="243"/>
      <c r="RB278" s="243"/>
      <c r="RC278" s="243"/>
      <c r="RD278" s="243"/>
      <c r="RE278" s="243"/>
      <c r="RF278" s="243"/>
      <c r="RG278" s="243"/>
      <c r="RH278" s="243"/>
      <c r="RI278" s="243"/>
      <c r="RJ278" s="243"/>
      <c r="RK278" s="243"/>
      <c r="RL278" s="243"/>
      <c r="RM278" s="243"/>
      <c r="RN278" s="243"/>
      <c r="RO278" s="243"/>
      <c r="RP278" s="243"/>
      <c r="RQ278" s="243"/>
      <c r="RR278" s="243"/>
      <c r="RS278" s="243"/>
      <c r="RT278" s="243"/>
      <c r="RU278" s="243"/>
      <c r="RV278" s="243"/>
      <c r="RW278" s="243"/>
      <c r="RX278" s="243"/>
      <c r="RY278" s="243"/>
      <c r="RZ278" s="243"/>
      <c r="SA278" s="243"/>
      <c r="SB278" s="243"/>
      <c r="SC278" s="243"/>
      <c r="SD278" s="243"/>
      <c r="SE278" s="243"/>
      <c r="SF278" s="243"/>
      <c r="SG278" s="243"/>
      <c r="SH278" s="243"/>
      <c r="SI278" s="243"/>
      <c r="SJ278" s="243"/>
      <c r="SK278" s="243"/>
      <c r="SL278" s="243"/>
      <c r="SM278" s="243"/>
      <c r="SN278" s="243"/>
      <c r="SO278" s="243"/>
      <c r="SP278" s="243"/>
      <c r="SQ278" s="243"/>
      <c r="SR278" s="243"/>
      <c r="SS278" s="243"/>
      <c r="ST278" s="243"/>
      <c r="SU278" s="243"/>
      <c r="SV278" s="243"/>
      <c r="SW278" s="243"/>
      <c r="SX278" s="243"/>
      <c r="SY278" s="243"/>
      <c r="SZ278" s="243"/>
      <c r="TA278" s="243"/>
      <c r="TB278" s="243"/>
      <c r="TC278" s="243"/>
      <c r="TD278" s="243"/>
      <c r="TE278" s="243"/>
      <c r="TF278" s="243"/>
      <c r="TG278" s="243"/>
      <c r="TH278" s="243"/>
      <c r="TI278" s="243"/>
      <c r="TJ278" s="243"/>
      <c r="TK278" s="243"/>
      <c r="TL278" s="243"/>
      <c r="TM278" s="243"/>
      <c r="TN278" s="243"/>
      <c r="TO278" s="243"/>
      <c r="TP278" s="243"/>
      <c r="TQ278" s="243"/>
      <c r="TR278" s="243"/>
      <c r="TS278" s="243"/>
      <c r="TT278" s="243"/>
      <c r="TU278" s="243"/>
      <c r="TV278" s="243"/>
      <c r="TW278" s="243"/>
      <c r="TX278" s="243"/>
      <c r="TY278" s="243"/>
      <c r="TZ278" s="243"/>
      <c r="UA278" s="243"/>
      <c r="UB278" s="243"/>
      <c r="UC278" s="243"/>
      <c r="UD278" s="243"/>
      <c r="UE278" s="243"/>
      <c r="UF278" s="243"/>
      <c r="UG278" s="243"/>
      <c r="UH278" s="243"/>
      <c r="UI278" s="243"/>
      <c r="UJ278" s="243"/>
      <c r="UK278" s="243"/>
      <c r="UL278" s="243"/>
      <c r="UM278" s="243"/>
      <c r="UN278" s="243"/>
      <c r="UO278" s="243"/>
      <c r="UP278" s="243"/>
      <c r="UQ278" s="243"/>
      <c r="UR278" s="243"/>
      <c r="US278" s="243"/>
      <c r="UT278" s="243"/>
      <c r="UU278" s="243"/>
      <c r="UV278" s="243"/>
      <c r="UW278" s="243"/>
      <c r="UX278" s="243"/>
      <c r="UY278" s="243"/>
      <c r="UZ278" s="243"/>
      <c r="VA278" s="243"/>
      <c r="VB278" s="243"/>
      <c r="VC278" s="243"/>
      <c r="VD278" s="243"/>
      <c r="VE278" s="243"/>
      <c r="VF278" s="243"/>
      <c r="VG278" s="243"/>
      <c r="VH278" s="243"/>
      <c r="VI278" s="243"/>
      <c r="VJ278" s="243"/>
      <c r="VK278" s="243"/>
      <c r="VL278" s="243"/>
      <c r="VM278" s="243"/>
      <c r="VN278" s="243"/>
      <c r="VO278" s="243"/>
      <c r="VP278" s="243"/>
      <c r="VQ278" s="243"/>
      <c r="VR278" s="243"/>
      <c r="VS278" s="243"/>
      <c r="VT278" s="243"/>
      <c r="VU278" s="243"/>
      <c r="VV278" s="243"/>
      <c r="VW278" s="243"/>
      <c r="VX278" s="243"/>
      <c r="VY278" s="243"/>
      <c r="VZ278" s="243"/>
      <c r="WA278" s="243"/>
      <c r="WB278" s="243"/>
      <c r="WC278" s="243"/>
      <c r="WD278" s="243"/>
      <c r="WE278" s="243"/>
      <c r="WF278" s="243"/>
      <c r="WG278" s="243"/>
      <c r="WH278" s="243"/>
      <c r="WI278" s="243"/>
      <c r="WJ278" s="243"/>
      <c r="WK278" s="243"/>
      <c r="WL278" s="243"/>
      <c r="WM278" s="243"/>
      <c r="WN278" s="243"/>
      <c r="WO278" s="243"/>
      <c r="WP278" s="243"/>
      <c r="WQ278" s="243"/>
      <c r="WR278" s="243"/>
      <c r="WS278" s="243"/>
      <c r="WT278" s="243"/>
      <c r="WU278" s="243"/>
      <c r="WV278" s="243"/>
      <c r="WW278" s="243"/>
      <c r="WX278" s="243"/>
      <c r="WY278" s="243"/>
      <c r="WZ278" s="243"/>
      <c r="XA278" s="243"/>
      <c r="XB278" s="243"/>
      <c r="XC278" s="243"/>
      <c r="XD278" s="243"/>
      <c r="XE278" s="243"/>
      <c r="XF278" s="243"/>
      <c r="XG278" s="243"/>
      <c r="XH278" s="243"/>
      <c r="XI278" s="243"/>
      <c r="XJ278" s="243"/>
      <c r="XK278" s="243"/>
      <c r="XL278" s="243"/>
      <c r="XM278" s="243"/>
      <c r="XN278" s="243"/>
      <c r="XO278" s="243"/>
      <c r="XP278" s="243"/>
      <c r="XQ278" s="243"/>
      <c r="XR278" s="243"/>
      <c r="XS278" s="243"/>
      <c r="XT278" s="243"/>
      <c r="XU278" s="243"/>
      <c r="XV278" s="243"/>
      <c r="XW278" s="243"/>
      <c r="XX278" s="243"/>
      <c r="XY278" s="243"/>
      <c r="XZ278" s="243"/>
      <c r="YA278" s="243"/>
      <c r="YB278" s="243"/>
      <c r="YC278" s="243"/>
      <c r="YD278" s="243"/>
      <c r="YE278" s="243"/>
      <c r="YF278" s="243"/>
      <c r="YG278" s="243"/>
      <c r="YH278" s="243"/>
      <c r="YI278" s="243"/>
      <c r="YJ278" s="243"/>
      <c r="YK278" s="243"/>
      <c r="YL278" s="243"/>
      <c r="YM278" s="243"/>
      <c r="YN278" s="243"/>
      <c r="YO278" s="243"/>
      <c r="YP278" s="243"/>
      <c r="YQ278" s="243"/>
      <c r="YR278" s="243"/>
      <c r="YS278" s="243"/>
      <c r="YT278" s="243"/>
      <c r="YU278" s="243"/>
      <c r="YV278" s="243"/>
      <c r="YW278" s="243"/>
      <c r="YX278" s="243"/>
      <c r="YY278" s="243"/>
      <c r="YZ278" s="243"/>
      <c r="ZA278" s="243"/>
      <c r="ZB278" s="243"/>
      <c r="ZC278" s="243"/>
      <c r="ZD278" s="243"/>
      <c r="ZE278" s="243"/>
      <c r="ZF278" s="243"/>
      <c r="ZG278" s="243"/>
      <c r="ZH278" s="243"/>
      <c r="ZI278" s="243"/>
      <c r="ZJ278" s="243"/>
      <c r="ZK278" s="243"/>
      <c r="ZL278" s="243"/>
      <c r="ZM278" s="243"/>
      <c r="ZN278" s="243"/>
      <c r="ZO278" s="243"/>
      <c r="ZP278" s="243"/>
      <c r="ZQ278" s="243"/>
      <c r="ZR278" s="243"/>
      <c r="ZS278" s="243"/>
      <c r="ZT278" s="243"/>
      <c r="ZU278" s="243"/>
      <c r="ZV278" s="243"/>
      <c r="ZW278" s="243"/>
      <c r="ZX278" s="243"/>
      <c r="ZY278" s="243"/>
      <c r="ZZ278" s="243"/>
      <c r="AAA278" s="243"/>
      <c r="AAB278" s="243"/>
      <c r="AAC278" s="243"/>
      <c r="AAD278" s="243"/>
      <c r="AAE278" s="243"/>
      <c r="AAF278" s="243"/>
      <c r="AAG278" s="243"/>
      <c r="AAH278" s="243"/>
      <c r="AAI278" s="243"/>
      <c r="AAJ278" s="243"/>
      <c r="AAK278" s="243"/>
      <c r="AAL278" s="243"/>
      <c r="AAM278" s="243"/>
      <c r="AAN278" s="243"/>
      <c r="AAO278" s="243"/>
      <c r="AAP278" s="243"/>
      <c r="AAQ278" s="243"/>
      <c r="AAR278" s="243"/>
      <c r="AAS278" s="243"/>
      <c r="AAT278" s="243"/>
      <c r="AAU278" s="243"/>
      <c r="AAV278" s="243"/>
      <c r="AAW278" s="243"/>
      <c r="AAX278" s="243"/>
      <c r="AAY278" s="243"/>
      <c r="AAZ278" s="243"/>
      <c r="ABA278" s="243"/>
      <c r="ABB278" s="243"/>
      <c r="ABC278" s="243"/>
      <c r="ABD278" s="243"/>
      <c r="ABE278" s="243"/>
      <c r="ABF278" s="243"/>
      <c r="ABG278" s="243"/>
      <c r="ABH278" s="243"/>
      <c r="ABI278" s="243"/>
      <c r="ABJ278" s="243"/>
      <c r="ABK278" s="243"/>
      <c r="ABL278" s="243"/>
      <c r="ABM278" s="243"/>
      <c r="ABN278" s="243"/>
      <c r="ABO278" s="243"/>
      <c r="ABP278" s="243"/>
      <c r="ABQ278" s="243"/>
      <c r="ABR278" s="243"/>
      <c r="ABS278" s="243"/>
      <c r="ABT278" s="243"/>
      <c r="ABU278" s="243"/>
      <c r="ABV278" s="243"/>
      <c r="ABW278" s="243"/>
      <c r="ABX278" s="243"/>
      <c r="ABY278" s="243"/>
      <c r="ABZ278" s="243"/>
      <c r="ACA278" s="243"/>
      <c r="ACB278" s="243"/>
      <c r="ACC278" s="243"/>
      <c r="ACD278" s="243"/>
      <c r="ACE278" s="243"/>
      <c r="ACF278" s="243"/>
      <c r="ACG278" s="243"/>
      <c r="ACH278" s="243"/>
      <c r="ACI278" s="243"/>
      <c r="ACJ278" s="243"/>
      <c r="ACK278" s="243"/>
      <c r="ACL278" s="243"/>
      <c r="ACM278" s="243"/>
      <c r="ACN278" s="243"/>
      <c r="ACO278" s="243"/>
      <c r="ACP278" s="243"/>
      <c r="ACQ278" s="243"/>
      <c r="ACR278" s="243"/>
      <c r="ACS278" s="243"/>
      <c r="ACT278" s="243"/>
      <c r="ACU278" s="243"/>
      <c r="ACV278" s="243"/>
      <c r="ACW278" s="243"/>
      <c r="ACX278" s="243"/>
      <c r="ACY278" s="243"/>
      <c r="ACZ278" s="243"/>
      <c r="ADA278" s="243"/>
      <c r="ADB278" s="243"/>
      <c r="ADC278" s="243"/>
      <c r="ADD278" s="243"/>
      <c r="ADE278" s="243"/>
      <c r="ADF278" s="243"/>
      <c r="ADG278" s="243"/>
      <c r="ADH278" s="243"/>
      <c r="ADI278" s="243"/>
      <c r="ADJ278" s="243"/>
      <c r="ADK278" s="243"/>
      <c r="ADL278" s="243"/>
      <c r="ADM278" s="243"/>
      <c r="ADN278" s="243"/>
      <c r="ADO278" s="243"/>
      <c r="ADP278" s="243"/>
      <c r="ADQ278" s="243"/>
      <c r="ADR278" s="243"/>
      <c r="ADS278" s="243"/>
      <c r="ADT278" s="243"/>
      <c r="ADU278" s="243"/>
      <c r="ADV278" s="243"/>
      <c r="ADW278" s="243"/>
      <c r="ADX278" s="243"/>
      <c r="ADY278" s="243"/>
      <c r="ADZ278" s="243"/>
      <c r="AEA278" s="243"/>
      <c r="AEB278" s="243"/>
      <c r="AEC278" s="243"/>
      <c r="AED278" s="243"/>
      <c r="AEE278" s="243"/>
      <c r="AEF278" s="243"/>
      <c r="AEG278" s="243"/>
      <c r="AEH278" s="243"/>
      <c r="AEI278" s="243"/>
      <c r="AEJ278" s="243"/>
      <c r="AEK278" s="243"/>
      <c r="AEL278" s="243"/>
      <c r="AEM278" s="243"/>
      <c r="AEN278" s="243"/>
      <c r="AEO278" s="243"/>
      <c r="AEP278" s="243"/>
      <c r="AEQ278" s="243"/>
      <c r="AER278" s="243"/>
      <c r="AES278" s="243"/>
      <c r="AET278" s="243"/>
      <c r="AEU278" s="243"/>
      <c r="AEV278" s="243"/>
      <c r="AEW278" s="243"/>
      <c r="AEX278" s="243"/>
      <c r="AEY278" s="243"/>
      <c r="AEZ278" s="243"/>
      <c r="AFA278" s="243"/>
      <c r="AFB278" s="243"/>
      <c r="AFC278" s="243"/>
      <c r="AFD278" s="243"/>
      <c r="AFE278" s="243"/>
      <c r="AFF278" s="243"/>
      <c r="AFG278" s="243"/>
      <c r="AFH278" s="243"/>
      <c r="AFI278" s="243"/>
      <c r="AFJ278" s="243"/>
      <c r="AFK278" s="243"/>
      <c r="AFL278" s="243"/>
      <c r="AFM278" s="243"/>
      <c r="AFN278" s="243"/>
      <c r="AFO278" s="243"/>
      <c r="AFP278" s="243"/>
      <c r="AFQ278" s="243"/>
      <c r="AFR278" s="243"/>
      <c r="AFS278" s="243"/>
      <c r="AFT278" s="243"/>
      <c r="AFU278" s="243"/>
      <c r="AFV278" s="243"/>
      <c r="AFW278" s="243"/>
      <c r="AFX278" s="243"/>
      <c r="AFY278" s="243"/>
      <c r="AFZ278" s="243"/>
      <c r="AGA278" s="243"/>
      <c r="AGB278" s="243"/>
      <c r="AGC278" s="243"/>
      <c r="AGD278" s="243"/>
      <c r="AGE278" s="243"/>
      <c r="AGF278" s="243"/>
      <c r="AGG278" s="243"/>
      <c r="AGH278" s="243"/>
      <c r="AGI278" s="243"/>
      <c r="AGJ278" s="243"/>
      <c r="AGK278" s="243"/>
      <c r="AGL278" s="243"/>
      <c r="AGM278" s="243"/>
      <c r="AGN278" s="243"/>
      <c r="AGO278" s="243"/>
      <c r="AGP278" s="243"/>
      <c r="AGQ278" s="243"/>
      <c r="AGR278" s="243"/>
      <c r="AGS278" s="243"/>
      <c r="AGT278" s="243"/>
      <c r="AGU278" s="243"/>
      <c r="AGV278" s="243"/>
      <c r="AGW278" s="243"/>
      <c r="AGX278" s="243"/>
      <c r="AGY278" s="243"/>
      <c r="AGZ278" s="243"/>
      <c r="AHA278" s="243"/>
      <c r="AHB278" s="243"/>
      <c r="AHC278" s="243"/>
      <c r="AHD278" s="243"/>
      <c r="AHE278" s="243"/>
      <c r="AHF278" s="243"/>
      <c r="AHG278" s="243"/>
      <c r="AHH278" s="243"/>
      <c r="AHI278" s="243"/>
      <c r="AHJ278" s="243"/>
      <c r="AHK278" s="243"/>
      <c r="AHL278" s="243"/>
      <c r="AHM278" s="243"/>
      <c r="AHN278" s="243"/>
      <c r="AHO278" s="243"/>
      <c r="AHP278" s="243"/>
      <c r="AHQ278" s="243"/>
      <c r="AHR278" s="243"/>
      <c r="AHS278" s="243"/>
      <c r="AHT278" s="243"/>
      <c r="AHU278" s="243"/>
      <c r="AHV278" s="243"/>
      <c r="AHW278" s="243"/>
      <c r="AHX278" s="243"/>
      <c r="AHY278" s="243"/>
      <c r="AHZ278" s="243"/>
      <c r="AIA278" s="243"/>
      <c r="AIB278" s="243"/>
      <c r="AIC278" s="243"/>
      <c r="AID278" s="243"/>
      <c r="AIE278" s="243"/>
      <c r="AIF278" s="243"/>
      <c r="AIG278" s="243"/>
      <c r="AIH278" s="243"/>
      <c r="AII278" s="243"/>
      <c r="AIJ278" s="243"/>
      <c r="AIK278" s="243"/>
      <c r="AIL278" s="243"/>
      <c r="AIM278" s="243"/>
      <c r="AIN278" s="243"/>
      <c r="AIO278" s="243"/>
      <c r="AIP278" s="243"/>
      <c r="AIQ278" s="243"/>
      <c r="AIR278" s="243"/>
      <c r="AIS278" s="243"/>
      <c r="AIT278" s="243"/>
      <c r="AIU278" s="243"/>
      <c r="AIV278" s="243"/>
      <c r="AIW278" s="243"/>
      <c r="AIX278" s="243"/>
      <c r="AIY278" s="243"/>
      <c r="AIZ278" s="243"/>
      <c r="AJA278" s="243"/>
      <c r="AJB278" s="243"/>
      <c r="AJC278" s="243"/>
      <c r="AJD278" s="243"/>
      <c r="AJE278" s="243"/>
      <c r="AJF278" s="243"/>
      <c r="AJG278" s="243"/>
      <c r="AJH278" s="243"/>
      <c r="AJI278" s="243"/>
      <c r="AJJ278" s="243"/>
      <c r="AJK278" s="243"/>
      <c r="AJL278" s="243"/>
      <c r="AJM278" s="243"/>
      <c r="AJN278" s="243"/>
      <c r="AJO278" s="243"/>
      <c r="AJP278" s="243"/>
      <c r="AJQ278" s="243"/>
      <c r="AJR278" s="243"/>
      <c r="AJS278" s="243"/>
      <c r="AJT278" s="243"/>
      <c r="AJU278" s="243"/>
      <c r="AJV278" s="243"/>
      <c r="AJW278" s="243"/>
      <c r="AJX278" s="243"/>
      <c r="AJY278" s="243"/>
      <c r="AJZ278" s="243"/>
      <c r="AKA278" s="243"/>
      <c r="AKB278" s="243"/>
      <c r="AKC278" s="243"/>
      <c r="AKD278" s="243"/>
      <c r="AKE278" s="243"/>
      <c r="AKF278" s="243"/>
      <c r="AKG278" s="243"/>
      <c r="AKH278" s="243"/>
      <c r="AKI278" s="243"/>
      <c r="AKJ278" s="243"/>
      <c r="AKK278" s="243"/>
      <c r="AKL278" s="243"/>
      <c r="AKM278" s="243"/>
      <c r="AKN278" s="243"/>
      <c r="AKO278" s="243"/>
      <c r="AKP278" s="243"/>
      <c r="AKQ278" s="243"/>
      <c r="AKR278" s="243"/>
      <c r="AKS278" s="243"/>
      <c r="AKT278" s="243"/>
      <c r="AKU278" s="243"/>
      <c r="AKV278" s="243"/>
      <c r="AKW278" s="243"/>
      <c r="AKX278" s="243"/>
      <c r="AKY278" s="243"/>
      <c r="AKZ278" s="243"/>
      <c r="ALA278" s="243"/>
      <c r="ALB278" s="243"/>
      <c r="ALC278" s="243"/>
      <c r="ALD278" s="243"/>
      <c r="ALE278" s="243"/>
      <c r="ALF278" s="243"/>
      <c r="ALG278" s="243"/>
      <c r="ALH278" s="243"/>
      <c r="ALI278" s="243"/>
      <c r="ALJ278" s="243"/>
      <c r="ALK278" s="243"/>
      <c r="ALL278" s="243"/>
      <c r="ALM278" s="243"/>
      <c r="ALN278" s="243"/>
      <c r="ALO278" s="243"/>
      <c r="ALP278" s="243"/>
      <c r="ALQ278" s="243"/>
      <c r="ALR278" s="243"/>
      <c r="ALS278" s="243"/>
      <c r="ALT278" s="243"/>
      <c r="ALU278" s="243"/>
      <c r="ALV278" s="243"/>
      <c r="ALW278" s="243"/>
      <c r="ALX278" s="243"/>
      <c r="ALY278" s="243"/>
      <c r="ALZ278" s="243"/>
      <c r="AMA278" s="243"/>
      <c r="AMB278" s="243"/>
      <c r="AMC278" s="243"/>
      <c r="AMD278" s="243"/>
      <c r="AME278" s="243"/>
      <c r="AMF278" s="243"/>
      <c r="AMG278" s="243"/>
      <c r="AMH278" s="243"/>
      <c r="AMI278" s="244"/>
      <c r="AMJ278" s="244"/>
    </row>
    <row r="279" spans="1:1024">
      <c r="A279" s="908"/>
      <c r="B279" s="442">
        <v>14191</v>
      </c>
      <c r="C279" s="430">
        <v>0.08</v>
      </c>
      <c r="D279" s="370" t="s">
        <v>184</v>
      </c>
      <c r="E279" s="433">
        <v>3200000</v>
      </c>
      <c r="F279" s="477">
        <v>0.1</v>
      </c>
      <c r="G279" s="401">
        <f t="shared" si="10"/>
        <v>320000</v>
      </c>
      <c r="H279" s="402" t="s">
        <v>47</v>
      </c>
      <c r="I279" s="402" t="s">
        <v>138</v>
      </c>
      <c r="J279" s="402" t="s">
        <v>125</v>
      </c>
      <c r="K279" s="402" t="s">
        <v>179</v>
      </c>
      <c r="L279" s="505" t="s">
        <v>125</v>
      </c>
      <c r="M279" s="442" t="s">
        <v>185</v>
      </c>
      <c r="N279" s="370" t="s">
        <v>186</v>
      </c>
      <c r="O279" s="433">
        <v>1800000</v>
      </c>
      <c r="P279" s="430">
        <v>0.04</v>
      </c>
      <c r="Q279" s="433">
        <f>O279*P279</f>
        <v>72000</v>
      </c>
      <c r="R279" s="243"/>
      <c r="S279" s="243"/>
      <c r="T279" s="243"/>
      <c r="U279" s="243"/>
      <c r="V279" s="243"/>
      <c r="W279" s="243"/>
      <c r="X279" s="243"/>
      <c r="Y279" s="243"/>
      <c r="Z279" s="243"/>
      <c r="AA279" s="243"/>
      <c r="AB279" s="243"/>
      <c r="AC279" s="243"/>
      <c r="AD279" s="243"/>
      <c r="AE279" s="243"/>
      <c r="AF279" s="243"/>
      <c r="AG279" s="243"/>
      <c r="AH279" s="243"/>
      <c r="AI279" s="243"/>
      <c r="AJ279" s="243"/>
      <c r="AK279" s="243"/>
      <c r="AL279" s="243"/>
      <c r="AM279" s="243"/>
      <c r="AN279" s="243"/>
      <c r="AO279" s="243"/>
      <c r="AP279" s="243"/>
      <c r="AQ279" s="243"/>
      <c r="AR279" s="243"/>
      <c r="AS279" s="243"/>
      <c r="AT279" s="243"/>
      <c r="AU279" s="243"/>
      <c r="AV279" s="243"/>
      <c r="AW279" s="243"/>
      <c r="AX279" s="243"/>
      <c r="AY279" s="243"/>
      <c r="AZ279" s="243"/>
      <c r="BA279" s="243"/>
      <c r="BB279" s="243"/>
      <c r="BC279" s="243"/>
      <c r="BD279" s="243"/>
      <c r="BE279" s="243"/>
      <c r="BF279" s="243"/>
      <c r="BG279" s="243"/>
      <c r="BH279" s="243"/>
      <c r="BI279" s="243"/>
      <c r="BJ279" s="243"/>
      <c r="BK279" s="243"/>
      <c r="BL279" s="243"/>
      <c r="BM279" s="243"/>
      <c r="BN279" s="243"/>
      <c r="BO279" s="243"/>
      <c r="BP279" s="243"/>
      <c r="BQ279" s="243"/>
      <c r="BR279" s="243"/>
      <c r="BS279" s="243"/>
      <c r="BT279" s="243"/>
      <c r="BU279" s="243"/>
      <c r="BV279" s="243"/>
      <c r="BW279" s="243"/>
      <c r="BX279" s="243"/>
      <c r="BY279" s="243"/>
      <c r="BZ279" s="243"/>
      <c r="CA279" s="243"/>
      <c r="CB279" s="243"/>
      <c r="CC279" s="243"/>
      <c r="CD279" s="243"/>
      <c r="CE279" s="243"/>
      <c r="CF279" s="243"/>
      <c r="CG279" s="243"/>
      <c r="CH279" s="243"/>
      <c r="CI279" s="243"/>
      <c r="CJ279" s="243"/>
      <c r="CK279" s="243"/>
      <c r="CL279" s="243"/>
      <c r="CM279" s="243"/>
      <c r="CN279" s="243"/>
      <c r="CO279" s="243"/>
      <c r="CP279" s="243"/>
      <c r="CQ279" s="243"/>
      <c r="CR279" s="243"/>
      <c r="CS279" s="243"/>
      <c r="CT279" s="243"/>
      <c r="CU279" s="243"/>
      <c r="CV279" s="243"/>
      <c r="CW279" s="243"/>
      <c r="CX279" s="243"/>
      <c r="CY279" s="243"/>
      <c r="CZ279" s="243"/>
      <c r="DA279" s="243"/>
      <c r="DB279" s="243"/>
      <c r="DC279" s="243"/>
      <c r="DD279" s="243"/>
      <c r="DE279" s="243"/>
      <c r="DF279" s="243"/>
      <c r="DG279" s="243"/>
      <c r="DH279" s="243"/>
      <c r="DI279" s="243"/>
      <c r="DJ279" s="243"/>
      <c r="DK279" s="243"/>
      <c r="DL279" s="243"/>
      <c r="DM279" s="243"/>
      <c r="DN279" s="243"/>
      <c r="DO279" s="243"/>
      <c r="DP279" s="243"/>
      <c r="DQ279" s="243"/>
      <c r="DR279" s="243"/>
      <c r="DS279" s="243"/>
      <c r="DT279" s="243"/>
      <c r="DU279" s="243"/>
      <c r="DV279" s="243"/>
      <c r="DW279" s="243"/>
      <c r="DX279" s="243"/>
      <c r="DY279" s="243"/>
      <c r="DZ279" s="243"/>
      <c r="EA279" s="243"/>
      <c r="EB279" s="243"/>
      <c r="EC279" s="243"/>
      <c r="ED279" s="243"/>
      <c r="EE279" s="243"/>
      <c r="EF279" s="243"/>
      <c r="EG279" s="243"/>
      <c r="EH279" s="243"/>
      <c r="EI279" s="243"/>
      <c r="EJ279" s="243"/>
      <c r="EK279" s="243"/>
      <c r="EL279" s="243"/>
      <c r="EM279" s="243"/>
      <c r="EN279" s="243"/>
      <c r="EO279" s="243"/>
      <c r="EP279" s="243"/>
      <c r="EQ279" s="243"/>
      <c r="ER279" s="243"/>
      <c r="ES279" s="243"/>
      <c r="ET279" s="243"/>
      <c r="EU279" s="243"/>
      <c r="EV279" s="243"/>
      <c r="EW279" s="243"/>
      <c r="EX279" s="243"/>
      <c r="EY279" s="243"/>
      <c r="EZ279" s="243"/>
      <c r="FA279" s="243"/>
      <c r="FB279" s="243"/>
      <c r="FC279" s="243"/>
      <c r="FD279" s="243"/>
      <c r="FE279" s="243"/>
      <c r="FF279" s="243"/>
      <c r="FG279" s="243"/>
      <c r="FH279" s="243"/>
      <c r="FI279" s="243"/>
      <c r="FJ279" s="243"/>
      <c r="FK279" s="243"/>
      <c r="FL279" s="243"/>
      <c r="FM279" s="243"/>
      <c r="FN279" s="243"/>
      <c r="FO279" s="243"/>
      <c r="FP279" s="243"/>
      <c r="FQ279" s="243"/>
      <c r="FR279" s="243"/>
      <c r="FS279" s="243"/>
      <c r="FT279" s="243"/>
      <c r="FU279" s="243"/>
      <c r="FV279" s="243"/>
      <c r="FW279" s="243"/>
      <c r="FX279" s="243"/>
      <c r="FY279" s="243"/>
      <c r="FZ279" s="243"/>
      <c r="GA279" s="243"/>
      <c r="GB279" s="243"/>
      <c r="GC279" s="243"/>
      <c r="GD279" s="243"/>
      <c r="GE279" s="243"/>
      <c r="GF279" s="243"/>
      <c r="GG279" s="243"/>
      <c r="GH279" s="243"/>
      <c r="GI279" s="243"/>
      <c r="GJ279" s="243"/>
      <c r="GK279" s="243"/>
      <c r="GL279" s="243"/>
      <c r="GM279" s="243"/>
      <c r="GN279" s="243"/>
      <c r="GO279" s="243"/>
      <c r="GP279" s="243"/>
      <c r="GQ279" s="243"/>
      <c r="GR279" s="243"/>
      <c r="GS279" s="243"/>
      <c r="GT279" s="243"/>
      <c r="GU279" s="243"/>
      <c r="GV279" s="243"/>
      <c r="GW279" s="243"/>
      <c r="GX279" s="243"/>
      <c r="GY279" s="243"/>
      <c r="GZ279" s="243"/>
      <c r="HA279" s="243"/>
      <c r="HB279" s="243"/>
      <c r="HC279" s="243"/>
      <c r="HD279" s="243"/>
      <c r="HE279" s="243"/>
      <c r="HF279" s="243"/>
      <c r="HG279" s="243"/>
      <c r="HH279" s="243"/>
      <c r="HI279" s="243"/>
      <c r="HJ279" s="243"/>
      <c r="HK279" s="243"/>
      <c r="HL279" s="243"/>
      <c r="HM279" s="243"/>
      <c r="HN279" s="243"/>
      <c r="HO279" s="243"/>
      <c r="HP279" s="243"/>
      <c r="HQ279" s="243"/>
      <c r="HR279" s="243"/>
      <c r="HS279" s="243"/>
      <c r="HT279" s="243"/>
      <c r="HU279" s="243"/>
      <c r="HV279" s="243"/>
      <c r="HW279" s="243"/>
      <c r="HX279" s="243"/>
      <c r="HY279" s="243"/>
      <c r="HZ279" s="243"/>
      <c r="IA279" s="243"/>
      <c r="IB279" s="243"/>
      <c r="IC279" s="243"/>
      <c r="ID279" s="243"/>
      <c r="IE279" s="243"/>
      <c r="IF279" s="243"/>
      <c r="IG279" s="243"/>
      <c r="IH279" s="243"/>
      <c r="II279" s="243"/>
      <c r="IJ279" s="243"/>
      <c r="IK279" s="243"/>
      <c r="IL279" s="243"/>
      <c r="IM279" s="243"/>
      <c r="IN279" s="243"/>
      <c r="IO279" s="243"/>
      <c r="IP279" s="243"/>
      <c r="IQ279" s="243"/>
      <c r="IR279" s="243"/>
      <c r="IS279" s="243"/>
      <c r="IT279" s="243"/>
      <c r="IU279" s="243"/>
      <c r="IV279" s="243"/>
      <c r="IW279" s="243"/>
      <c r="IX279" s="243"/>
      <c r="IY279" s="243"/>
      <c r="IZ279" s="243"/>
      <c r="JA279" s="243"/>
      <c r="JB279" s="243"/>
      <c r="JC279" s="243"/>
      <c r="JD279" s="243"/>
      <c r="JE279" s="243"/>
      <c r="JF279" s="243"/>
      <c r="JG279" s="243"/>
      <c r="JH279" s="243"/>
      <c r="JI279" s="243"/>
      <c r="JJ279" s="243"/>
      <c r="JK279" s="243"/>
      <c r="JL279" s="243"/>
      <c r="JM279" s="243"/>
      <c r="JN279" s="243"/>
      <c r="JO279" s="243"/>
      <c r="JP279" s="243"/>
      <c r="JQ279" s="243"/>
      <c r="JR279" s="243"/>
      <c r="JS279" s="243"/>
      <c r="JT279" s="243"/>
      <c r="JU279" s="243"/>
      <c r="JV279" s="243"/>
      <c r="JW279" s="243"/>
      <c r="JX279" s="243"/>
      <c r="JY279" s="243"/>
      <c r="JZ279" s="243"/>
      <c r="KA279" s="243"/>
      <c r="KB279" s="243"/>
      <c r="KC279" s="243"/>
      <c r="KD279" s="243"/>
      <c r="KE279" s="243"/>
      <c r="KF279" s="243"/>
      <c r="KG279" s="243"/>
      <c r="KH279" s="243"/>
      <c r="KI279" s="243"/>
      <c r="KJ279" s="243"/>
      <c r="KK279" s="243"/>
      <c r="KL279" s="243"/>
      <c r="KM279" s="243"/>
      <c r="KN279" s="243"/>
      <c r="KO279" s="243"/>
      <c r="KP279" s="243"/>
      <c r="KQ279" s="243"/>
      <c r="KR279" s="243"/>
      <c r="KS279" s="243"/>
      <c r="KT279" s="243"/>
      <c r="KU279" s="243"/>
      <c r="KV279" s="243"/>
      <c r="KW279" s="243"/>
      <c r="KX279" s="243"/>
      <c r="KY279" s="243"/>
      <c r="KZ279" s="243"/>
      <c r="LA279" s="243"/>
      <c r="LB279" s="243"/>
      <c r="LC279" s="243"/>
      <c r="LD279" s="243"/>
      <c r="LE279" s="243"/>
      <c r="LF279" s="243"/>
      <c r="LG279" s="243"/>
      <c r="LH279" s="243"/>
      <c r="LI279" s="243"/>
      <c r="LJ279" s="243"/>
      <c r="LK279" s="243"/>
      <c r="LL279" s="243"/>
      <c r="LM279" s="243"/>
      <c r="LN279" s="243"/>
      <c r="LO279" s="243"/>
      <c r="LP279" s="243"/>
      <c r="LQ279" s="243"/>
      <c r="LR279" s="243"/>
      <c r="LS279" s="243"/>
      <c r="LT279" s="243"/>
      <c r="LU279" s="243"/>
      <c r="LV279" s="243"/>
      <c r="LW279" s="243"/>
      <c r="LX279" s="243"/>
      <c r="LY279" s="243"/>
      <c r="LZ279" s="243"/>
      <c r="MA279" s="243"/>
      <c r="MB279" s="243"/>
      <c r="MC279" s="243"/>
      <c r="MD279" s="243"/>
      <c r="ME279" s="243"/>
      <c r="MF279" s="243"/>
      <c r="MG279" s="243"/>
      <c r="MH279" s="243"/>
      <c r="MI279" s="243"/>
      <c r="MJ279" s="243"/>
      <c r="MK279" s="243"/>
      <c r="ML279" s="243"/>
      <c r="MM279" s="243"/>
      <c r="MN279" s="243"/>
      <c r="MO279" s="243"/>
      <c r="MP279" s="243"/>
      <c r="MQ279" s="243"/>
      <c r="MR279" s="243"/>
      <c r="MS279" s="243"/>
      <c r="MT279" s="243"/>
      <c r="MU279" s="243"/>
      <c r="MV279" s="243"/>
      <c r="MW279" s="243"/>
      <c r="MX279" s="243"/>
      <c r="MY279" s="243"/>
      <c r="MZ279" s="243"/>
      <c r="NA279" s="243"/>
      <c r="NB279" s="243"/>
      <c r="NC279" s="243"/>
      <c r="ND279" s="243"/>
      <c r="NE279" s="243"/>
      <c r="NF279" s="243"/>
      <c r="NG279" s="243"/>
      <c r="NH279" s="243"/>
      <c r="NI279" s="243"/>
      <c r="NJ279" s="243"/>
      <c r="NK279" s="243"/>
      <c r="NL279" s="243"/>
      <c r="NM279" s="243"/>
      <c r="NN279" s="243"/>
      <c r="NO279" s="243"/>
      <c r="NP279" s="243"/>
      <c r="NQ279" s="243"/>
      <c r="NR279" s="243"/>
      <c r="NS279" s="243"/>
      <c r="NT279" s="243"/>
      <c r="NU279" s="243"/>
      <c r="NV279" s="243"/>
      <c r="NW279" s="243"/>
      <c r="NX279" s="243"/>
      <c r="NY279" s="243"/>
      <c r="NZ279" s="243"/>
      <c r="OA279" s="243"/>
      <c r="OB279" s="243"/>
      <c r="OC279" s="243"/>
      <c r="OD279" s="243"/>
      <c r="OE279" s="243"/>
      <c r="OF279" s="243"/>
      <c r="OG279" s="243"/>
      <c r="OH279" s="243"/>
      <c r="OI279" s="243"/>
      <c r="OJ279" s="243"/>
      <c r="OK279" s="243"/>
      <c r="OL279" s="243"/>
      <c r="OM279" s="243"/>
      <c r="ON279" s="243"/>
      <c r="OO279" s="243"/>
      <c r="OP279" s="243"/>
      <c r="OQ279" s="243"/>
      <c r="OR279" s="243"/>
      <c r="OS279" s="243"/>
      <c r="OT279" s="243"/>
      <c r="OU279" s="243"/>
      <c r="OV279" s="243"/>
      <c r="OW279" s="243"/>
      <c r="OX279" s="243"/>
      <c r="OY279" s="243"/>
      <c r="OZ279" s="243"/>
      <c r="PA279" s="243"/>
      <c r="PB279" s="243"/>
      <c r="PC279" s="243"/>
      <c r="PD279" s="243"/>
      <c r="PE279" s="243"/>
      <c r="PF279" s="243"/>
      <c r="PG279" s="243"/>
      <c r="PH279" s="243"/>
      <c r="PI279" s="243"/>
      <c r="PJ279" s="243"/>
      <c r="PK279" s="243"/>
      <c r="PL279" s="243"/>
      <c r="PM279" s="243"/>
      <c r="PN279" s="243"/>
      <c r="PO279" s="243"/>
      <c r="PP279" s="243"/>
      <c r="PQ279" s="243"/>
      <c r="PR279" s="243"/>
      <c r="PS279" s="243"/>
      <c r="PT279" s="243"/>
      <c r="PU279" s="243"/>
      <c r="PV279" s="243"/>
      <c r="PW279" s="243"/>
      <c r="PX279" s="243"/>
      <c r="PY279" s="243"/>
      <c r="PZ279" s="243"/>
      <c r="QA279" s="243"/>
      <c r="QB279" s="243"/>
      <c r="QC279" s="243"/>
      <c r="QD279" s="243"/>
      <c r="QE279" s="243"/>
      <c r="QF279" s="243"/>
      <c r="QG279" s="243"/>
      <c r="QH279" s="243"/>
      <c r="QI279" s="243"/>
      <c r="QJ279" s="243"/>
      <c r="QK279" s="243"/>
      <c r="QL279" s="243"/>
      <c r="QM279" s="243"/>
      <c r="QN279" s="243"/>
      <c r="QO279" s="243"/>
      <c r="QP279" s="243"/>
      <c r="QQ279" s="243"/>
      <c r="QR279" s="243"/>
      <c r="QS279" s="243"/>
      <c r="QT279" s="243"/>
      <c r="QU279" s="243"/>
      <c r="QV279" s="243"/>
      <c r="QW279" s="243"/>
      <c r="QX279" s="243"/>
      <c r="QY279" s="243"/>
      <c r="QZ279" s="243"/>
      <c r="RA279" s="243"/>
      <c r="RB279" s="243"/>
      <c r="RC279" s="243"/>
      <c r="RD279" s="243"/>
      <c r="RE279" s="243"/>
      <c r="RF279" s="243"/>
      <c r="RG279" s="243"/>
      <c r="RH279" s="243"/>
      <c r="RI279" s="243"/>
      <c r="RJ279" s="243"/>
      <c r="RK279" s="243"/>
      <c r="RL279" s="243"/>
      <c r="RM279" s="243"/>
      <c r="RN279" s="243"/>
      <c r="RO279" s="243"/>
      <c r="RP279" s="243"/>
      <c r="RQ279" s="243"/>
      <c r="RR279" s="243"/>
      <c r="RS279" s="243"/>
      <c r="RT279" s="243"/>
      <c r="RU279" s="243"/>
      <c r="RV279" s="243"/>
      <c r="RW279" s="243"/>
      <c r="RX279" s="243"/>
      <c r="RY279" s="243"/>
      <c r="RZ279" s="243"/>
      <c r="SA279" s="243"/>
      <c r="SB279" s="243"/>
      <c r="SC279" s="243"/>
      <c r="SD279" s="243"/>
      <c r="SE279" s="243"/>
      <c r="SF279" s="243"/>
      <c r="SG279" s="243"/>
      <c r="SH279" s="243"/>
      <c r="SI279" s="243"/>
      <c r="SJ279" s="243"/>
      <c r="SK279" s="243"/>
      <c r="SL279" s="243"/>
      <c r="SM279" s="243"/>
      <c r="SN279" s="243"/>
      <c r="SO279" s="243"/>
      <c r="SP279" s="243"/>
      <c r="SQ279" s="243"/>
      <c r="SR279" s="243"/>
      <c r="SS279" s="243"/>
      <c r="ST279" s="243"/>
      <c r="SU279" s="243"/>
      <c r="SV279" s="243"/>
      <c r="SW279" s="243"/>
      <c r="SX279" s="243"/>
      <c r="SY279" s="243"/>
      <c r="SZ279" s="243"/>
      <c r="TA279" s="243"/>
      <c r="TB279" s="243"/>
      <c r="TC279" s="243"/>
      <c r="TD279" s="243"/>
      <c r="TE279" s="243"/>
      <c r="TF279" s="243"/>
      <c r="TG279" s="243"/>
      <c r="TH279" s="243"/>
      <c r="TI279" s="243"/>
      <c r="TJ279" s="243"/>
      <c r="TK279" s="243"/>
      <c r="TL279" s="243"/>
      <c r="TM279" s="243"/>
      <c r="TN279" s="243"/>
      <c r="TO279" s="243"/>
      <c r="TP279" s="243"/>
      <c r="TQ279" s="243"/>
      <c r="TR279" s="243"/>
      <c r="TS279" s="243"/>
      <c r="TT279" s="243"/>
      <c r="TU279" s="243"/>
      <c r="TV279" s="243"/>
      <c r="TW279" s="243"/>
      <c r="TX279" s="243"/>
      <c r="TY279" s="243"/>
      <c r="TZ279" s="243"/>
      <c r="UA279" s="243"/>
      <c r="UB279" s="243"/>
      <c r="UC279" s="243"/>
      <c r="UD279" s="243"/>
      <c r="UE279" s="243"/>
      <c r="UF279" s="243"/>
      <c r="UG279" s="243"/>
      <c r="UH279" s="243"/>
      <c r="UI279" s="243"/>
      <c r="UJ279" s="243"/>
      <c r="UK279" s="243"/>
      <c r="UL279" s="243"/>
      <c r="UM279" s="243"/>
      <c r="UN279" s="243"/>
      <c r="UO279" s="243"/>
      <c r="UP279" s="243"/>
      <c r="UQ279" s="243"/>
      <c r="UR279" s="243"/>
      <c r="US279" s="243"/>
      <c r="UT279" s="243"/>
      <c r="UU279" s="243"/>
      <c r="UV279" s="243"/>
      <c r="UW279" s="243"/>
      <c r="UX279" s="243"/>
      <c r="UY279" s="243"/>
      <c r="UZ279" s="243"/>
      <c r="VA279" s="243"/>
      <c r="VB279" s="243"/>
      <c r="VC279" s="243"/>
      <c r="VD279" s="243"/>
      <c r="VE279" s="243"/>
      <c r="VF279" s="243"/>
      <c r="VG279" s="243"/>
      <c r="VH279" s="243"/>
      <c r="VI279" s="243"/>
      <c r="VJ279" s="243"/>
      <c r="VK279" s="243"/>
      <c r="VL279" s="243"/>
      <c r="VM279" s="243"/>
      <c r="VN279" s="243"/>
      <c r="VO279" s="243"/>
      <c r="VP279" s="243"/>
      <c r="VQ279" s="243"/>
      <c r="VR279" s="243"/>
      <c r="VS279" s="243"/>
      <c r="VT279" s="243"/>
      <c r="VU279" s="243"/>
      <c r="VV279" s="243"/>
      <c r="VW279" s="243"/>
      <c r="VX279" s="243"/>
      <c r="VY279" s="243"/>
      <c r="VZ279" s="243"/>
      <c r="WA279" s="243"/>
      <c r="WB279" s="243"/>
      <c r="WC279" s="243"/>
      <c r="WD279" s="243"/>
      <c r="WE279" s="243"/>
      <c r="WF279" s="243"/>
      <c r="WG279" s="243"/>
      <c r="WH279" s="243"/>
      <c r="WI279" s="243"/>
      <c r="WJ279" s="243"/>
      <c r="WK279" s="243"/>
      <c r="WL279" s="243"/>
      <c r="WM279" s="243"/>
      <c r="WN279" s="243"/>
      <c r="WO279" s="243"/>
      <c r="WP279" s="243"/>
      <c r="WQ279" s="243"/>
      <c r="WR279" s="243"/>
      <c r="WS279" s="243"/>
      <c r="WT279" s="243"/>
      <c r="WU279" s="243"/>
      <c r="WV279" s="243"/>
      <c r="WW279" s="243"/>
      <c r="WX279" s="243"/>
      <c r="WY279" s="243"/>
      <c r="WZ279" s="243"/>
      <c r="XA279" s="243"/>
      <c r="XB279" s="243"/>
      <c r="XC279" s="243"/>
      <c r="XD279" s="243"/>
      <c r="XE279" s="243"/>
      <c r="XF279" s="243"/>
      <c r="XG279" s="243"/>
      <c r="XH279" s="243"/>
      <c r="XI279" s="243"/>
      <c r="XJ279" s="243"/>
      <c r="XK279" s="243"/>
      <c r="XL279" s="243"/>
      <c r="XM279" s="243"/>
      <c r="XN279" s="243"/>
      <c r="XO279" s="243"/>
      <c r="XP279" s="243"/>
      <c r="XQ279" s="243"/>
      <c r="XR279" s="243"/>
      <c r="XS279" s="243"/>
      <c r="XT279" s="243"/>
      <c r="XU279" s="243"/>
      <c r="XV279" s="243"/>
      <c r="XW279" s="243"/>
      <c r="XX279" s="243"/>
      <c r="XY279" s="243"/>
      <c r="XZ279" s="243"/>
      <c r="YA279" s="243"/>
      <c r="YB279" s="243"/>
      <c r="YC279" s="243"/>
      <c r="YD279" s="243"/>
      <c r="YE279" s="243"/>
      <c r="YF279" s="243"/>
      <c r="YG279" s="243"/>
      <c r="YH279" s="243"/>
      <c r="YI279" s="243"/>
      <c r="YJ279" s="243"/>
      <c r="YK279" s="243"/>
      <c r="YL279" s="243"/>
      <c r="YM279" s="243"/>
      <c r="YN279" s="243"/>
      <c r="YO279" s="243"/>
      <c r="YP279" s="243"/>
      <c r="YQ279" s="243"/>
      <c r="YR279" s="243"/>
      <c r="YS279" s="243"/>
      <c r="YT279" s="243"/>
      <c r="YU279" s="243"/>
      <c r="YV279" s="243"/>
      <c r="YW279" s="243"/>
      <c r="YX279" s="243"/>
      <c r="YY279" s="243"/>
      <c r="YZ279" s="243"/>
      <c r="ZA279" s="243"/>
      <c r="ZB279" s="243"/>
      <c r="ZC279" s="243"/>
      <c r="ZD279" s="243"/>
      <c r="ZE279" s="243"/>
      <c r="ZF279" s="243"/>
      <c r="ZG279" s="243"/>
      <c r="ZH279" s="243"/>
      <c r="ZI279" s="243"/>
      <c r="ZJ279" s="243"/>
      <c r="ZK279" s="243"/>
      <c r="ZL279" s="243"/>
      <c r="ZM279" s="243"/>
      <c r="ZN279" s="243"/>
      <c r="ZO279" s="243"/>
      <c r="ZP279" s="243"/>
      <c r="ZQ279" s="243"/>
      <c r="ZR279" s="243"/>
      <c r="ZS279" s="243"/>
      <c r="ZT279" s="243"/>
      <c r="ZU279" s="243"/>
      <c r="ZV279" s="243"/>
      <c r="ZW279" s="243"/>
      <c r="ZX279" s="243"/>
      <c r="ZY279" s="243"/>
      <c r="ZZ279" s="243"/>
      <c r="AAA279" s="243"/>
      <c r="AAB279" s="243"/>
      <c r="AAC279" s="243"/>
      <c r="AAD279" s="243"/>
      <c r="AAE279" s="243"/>
      <c r="AAF279" s="243"/>
      <c r="AAG279" s="243"/>
      <c r="AAH279" s="243"/>
      <c r="AAI279" s="243"/>
      <c r="AAJ279" s="243"/>
      <c r="AAK279" s="243"/>
      <c r="AAL279" s="243"/>
      <c r="AAM279" s="243"/>
      <c r="AAN279" s="243"/>
      <c r="AAO279" s="243"/>
      <c r="AAP279" s="243"/>
      <c r="AAQ279" s="243"/>
      <c r="AAR279" s="243"/>
      <c r="AAS279" s="243"/>
      <c r="AAT279" s="243"/>
      <c r="AAU279" s="243"/>
      <c r="AAV279" s="243"/>
      <c r="AAW279" s="243"/>
      <c r="AAX279" s="243"/>
      <c r="AAY279" s="243"/>
      <c r="AAZ279" s="243"/>
      <c r="ABA279" s="243"/>
      <c r="ABB279" s="243"/>
      <c r="ABC279" s="243"/>
      <c r="ABD279" s="243"/>
      <c r="ABE279" s="243"/>
      <c r="ABF279" s="243"/>
      <c r="ABG279" s="243"/>
      <c r="ABH279" s="243"/>
      <c r="ABI279" s="243"/>
      <c r="ABJ279" s="243"/>
      <c r="ABK279" s="243"/>
      <c r="ABL279" s="243"/>
      <c r="ABM279" s="243"/>
      <c r="ABN279" s="243"/>
      <c r="ABO279" s="243"/>
      <c r="ABP279" s="243"/>
      <c r="ABQ279" s="243"/>
      <c r="ABR279" s="243"/>
      <c r="ABS279" s="243"/>
      <c r="ABT279" s="243"/>
      <c r="ABU279" s="243"/>
      <c r="ABV279" s="243"/>
      <c r="ABW279" s="243"/>
      <c r="ABX279" s="243"/>
      <c r="ABY279" s="243"/>
      <c r="ABZ279" s="243"/>
      <c r="ACA279" s="243"/>
      <c r="ACB279" s="243"/>
      <c r="ACC279" s="243"/>
      <c r="ACD279" s="243"/>
      <c r="ACE279" s="243"/>
      <c r="ACF279" s="243"/>
      <c r="ACG279" s="243"/>
      <c r="ACH279" s="243"/>
      <c r="ACI279" s="243"/>
      <c r="ACJ279" s="243"/>
      <c r="ACK279" s="243"/>
      <c r="ACL279" s="243"/>
      <c r="ACM279" s="243"/>
      <c r="ACN279" s="243"/>
      <c r="ACO279" s="243"/>
      <c r="ACP279" s="243"/>
      <c r="ACQ279" s="243"/>
      <c r="ACR279" s="243"/>
      <c r="ACS279" s="243"/>
      <c r="ACT279" s="243"/>
      <c r="ACU279" s="243"/>
      <c r="ACV279" s="243"/>
      <c r="ACW279" s="243"/>
      <c r="ACX279" s="243"/>
      <c r="ACY279" s="243"/>
      <c r="ACZ279" s="243"/>
      <c r="ADA279" s="243"/>
      <c r="ADB279" s="243"/>
      <c r="ADC279" s="243"/>
      <c r="ADD279" s="243"/>
      <c r="ADE279" s="243"/>
      <c r="ADF279" s="243"/>
      <c r="ADG279" s="243"/>
      <c r="ADH279" s="243"/>
      <c r="ADI279" s="243"/>
      <c r="ADJ279" s="243"/>
      <c r="ADK279" s="243"/>
      <c r="ADL279" s="243"/>
      <c r="ADM279" s="243"/>
      <c r="ADN279" s="243"/>
      <c r="ADO279" s="243"/>
      <c r="ADP279" s="243"/>
      <c r="ADQ279" s="243"/>
      <c r="ADR279" s="243"/>
      <c r="ADS279" s="243"/>
      <c r="ADT279" s="243"/>
      <c r="ADU279" s="243"/>
      <c r="ADV279" s="243"/>
      <c r="ADW279" s="243"/>
      <c r="ADX279" s="243"/>
      <c r="ADY279" s="243"/>
      <c r="ADZ279" s="243"/>
      <c r="AEA279" s="243"/>
      <c r="AEB279" s="243"/>
      <c r="AEC279" s="243"/>
      <c r="AED279" s="243"/>
      <c r="AEE279" s="243"/>
      <c r="AEF279" s="243"/>
      <c r="AEG279" s="243"/>
      <c r="AEH279" s="243"/>
      <c r="AEI279" s="243"/>
      <c r="AEJ279" s="243"/>
      <c r="AEK279" s="243"/>
      <c r="AEL279" s="243"/>
      <c r="AEM279" s="243"/>
      <c r="AEN279" s="243"/>
      <c r="AEO279" s="243"/>
      <c r="AEP279" s="243"/>
      <c r="AEQ279" s="243"/>
      <c r="AER279" s="243"/>
      <c r="AES279" s="243"/>
      <c r="AET279" s="243"/>
      <c r="AEU279" s="243"/>
      <c r="AEV279" s="243"/>
      <c r="AEW279" s="243"/>
      <c r="AEX279" s="243"/>
      <c r="AEY279" s="243"/>
      <c r="AEZ279" s="243"/>
      <c r="AFA279" s="243"/>
      <c r="AFB279" s="243"/>
      <c r="AFC279" s="243"/>
      <c r="AFD279" s="243"/>
      <c r="AFE279" s="243"/>
      <c r="AFF279" s="243"/>
      <c r="AFG279" s="243"/>
      <c r="AFH279" s="243"/>
      <c r="AFI279" s="243"/>
      <c r="AFJ279" s="243"/>
      <c r="AFK279" s="243"/>
      <c r="AFL279" s="243"/>
      <c r="AFM279" s="243"/>
      <c r="AFN279" s="243"/>
      <c r="AFO279" s="243"/>
      <c r="AFP279" s="243"/>
      <c r="AFQ279" s="243"/>
      <c r="AFR279" s="243"/>
      <c r="AFS279" s="243"/>
      <c r="AFT279" s="243"/>
      <c r="AFU279" s="243"/>
      <c r="AFV279" s="243"/>
      <c r="AFW279" s="243"/>
      <c r="AFX279" s="243"/>
      <c r="AFY279" s="243"/>
      <c r="AFZ279" s="243"/>
      <c r="AGA279" s="243"/>
      <c r="AGB279" s="243"/>
      <c r="AGC279" s="243"/>
      <c r="AGD279" s="243"/>
      <c r="AGE279" s="243"/>
      <c r="AGF279" s="243"/>
      <c r="AGG279" s="243"/>
      <c r="AGH279" s="243"/>
      <c r="AGI279" s="243"/>
      <c r="AGJ279" s="243"/>
      <c r="AGK279" s="243"/>
      <c r="AGL279" s="243"/>
      <c r="AGM279" s="243"/>
      <c r="AGN279" s="243"/>
      <c r="AGO279" s="243"/>
      <c r="AGP279" s="243"/>
      <c r="AGQ279" s="243"/>
      <c r="AGR279" s="243"/>
      <c r="AGS279" s="243"/>
      <c r="AGT279" s="243"/>
      <c r="AGU279" s="243"/>
      <c r="AGV279" s="243"/>
      <c r="AGW279" s="243"/>
      <c r="AGX279" s="243"/>
      <c r="AGY279" s="243"/>
      <c r="AGZ279" s="243"/>
      <c r="AHA279" s="243"/>
      <c r="AHB279" s="243"/>
      <c r="AHC279" s="243"/>
      <c r="AHD279" s="243"/>
      <c r="AHE279" s="243"/>
      <c r="AHF279" s="243"/>
      <c r="AHG279" s="243"/>
      <c r="AHH279" s="243"/>
      <c r="AHI279" s="243"/>
      <c r="AHJ279" s="243"/>
      <c r="AHK279" s="243"/>
      <c r="AHL279" s="243"/>
      <c r="AHM279" s="243"/>
      <c r="AHN279" s="243"/>
      <c r="AHO279" s="243"/>
      <c r="AHP279" s="243"/>
      <c r="AHQ279" s="243"/>
      <c r="AHR279" s="243"/>
      <c r="AHS279" s="243"/>
      <c r="AHT279" s="243"/>
      <c r="AHU279" s="243"/>
      <c r="AHV279" s="243"/>
      <c r="AHW279" s="243"/>
      <c r="AHX279" s="243"/>
      <c r="AHY279" s="243"/>
      <c r="AHZ279" s="243"/>
      <c r="AIA279" s="243"/>
      <c r="AIB279" s="243"/>
      <c r="AIC279" s="243"/>
      <c r="AID279" s="243"/>
      <c r="AIE279" s="243"/>
      <c r="AIF279" s="243"/>
      <c r="AIG279" s="243"/>
      <c r="AIH279" s="243"/>
      <c r="AII279" s="243"/>
      <c r="AIJ279" s="243"/>
      <c r="AIK279" s="243"/>
      <c r="AIL279" s="243"/>
      <c r="AIM279" s="243"/>
      <c r="AIN279" s="243"/>
      <c r="AIO279" s="243"/>
      <c r="AIP279" s="243"/>
      <c r="AIQ279" s="243"/>
      <c r="AIR279" s="243"/>
      <c r="AIS279" s="243"/>
      <c r="AIT279" s="243"/>
      <c r="AIU279" s="243"/>
      <c r="AIV279" s="243"/>
      <c r="AIW279" s="243"/>
      <c r="AIX279" s="243"/>
      <c r="AIY279" s="243"/>
      <c r="AIZ279" s="243"/>
      <c r="AJA279" s="243"/>
      <c r="AJB279" s="243"/>
      <c r="AJC279" s="243"/>
      <c r="AJD279" s="243"/>
      <c r="AJE279" s="243"/>
      <c r="AJF279" s="243"/>
      <c r="AJG279" s="243"/>
      <c r="AJH279" s="243"/>
      <c r="AJI279" s="243"/>
      <c r="AJJ279" s="243"/>
      <c r="AJK279" s="243"/>
      <c r="AJL279" s="243"/>
      <c r="AJM279" s="243"/>
      <c r="AJN279" s="243"/>
      <c r="AJO279" s="243"/>
      <c r="AJP279" s="243"/>
      <c r="AJQ279" s="243"/>
      <c r="AJR279" s="243"/>
      <c r="AJS279" s="243"/>
      <c r="AJT279" s="243"/>
      <c r="AJU279" s="243"/>
      <c r="AJV279" s="243"/>
      <c r="AJW279" s="243"/>
      <c r="AJX279" s="243"/>
      <c r="AJY279" s="243"/>
      <c r="AJZ279" s="243"/>
      <c r="AKA279" s="243"/>
      <c r="AKB279" s="243"/>
      <c r="AKC279" s="243"/>
      <c r="AKD279" s="243"/>
      <c r="AKE279" s="243"/>
      <c r="AKF279" s="243"/>
      <c r="AKG279" s="243"/>
      <c r="AKH279" s="243"/>
      <c r="AKI279" s="243"/>
      <c r="AKJ279" s="243"/>
      <c r="AKK279" s="243"/>
      <c r="AKL279" s="243"/>
      <c r="AKM279" s="243"/>
      <c r="AKN279" s="243"/>
      <c r="AKO279" s="243"/>
      <c r="AKP279" s="243"/>
      <c r="AKQ279" s="243"/>
      <c r="AKR279" s="243"/>
      <c r="AKS279" s="243"/>
      <c r="AKT279" s="243"/>
      <c r="AKU279" s="243"/>
      <c r="AKV279" s="243"/>
      <c r="AKW279" s="243"/>
      <c r="AKX279" s="243"/>
      <c r="AKY279" s="243"/>
      <c r="AKZ279" s="243"/>
      <c r="ALA279" s="243"/>
      <c r="ALB279" s="243"/>
      <c r="ALC279" s="243"/>
      <c r="ALD279" s="243"/>
      <c r="ALE279" s="243"/>
      <c r="ALF279" s="243"/>
      <c r="ALG279" s="243"/>
      <c r="ALH279" s="243"/>
      <c r="ALI279" s="243"/>
      <c r="ALJ279" s="243"/>
      <c r="ALK279" s="243"/>
      <c r="ALL279" s="243"/>
      <c r="ALM279" s="243"/>
      <c r="ALN279" s="243"/>
      <c r="ALO279" s="243"/>
      <c r="ALP279" s="243"/>
      <c r="ALQ279" s="243"/>
      <c r="ALR279" s="243"/>
      <c r="ALS279" s="243"/>
      <c r="ALT279" s="243"/>
      <c r="ALU279" s="243"/>
      <c r="ALV279" s="243"/>
      <c r="ALW279" s="243"/>
      <c r="ALX279" s="243"/>
      <c r="ALY279" s="243"/>
      <c r="ALZ279" s="243"/>
      <c r="AMA279" s="243"/>
      <c r="AMB279" s="243"/>
      <c r="AMC279" s="243"/>
      <c r="AMD279" s="243"/>
      <c r="AME279" s="243"/>
      <c r="AMF279" s="243"/>
      <c r="AMG279" s="243"/>
      <c r="AMH279" s="243"/>
      <c r="AMI279" s="244"/>
      <c r="AMJ279" s="244"/>
    </row>
    <row r="280" spans="1:1024">
      <c r="A280" s="908"/>
      <c r="B280" s="442">
        <v>14219</v>
      </c>
      <c r="C280" s="430">
        <v>0.08</v>
      </c>
      <c r="D280" s="370" t="s">
        <v>187</v>
      </c>
      <c r="E280" s="433">
        <v>3700000</v>
      </c>
      <c r="F280" s="477">
        <v>0.05</v>
      </c>
      <c r="G280" s="401">
        <f t="shared" si="10"/>
        <v>185000</v>
      </c>
      <c r="H280" s="402" t="s">
        <v>123</v>
      </c>
      <c r="I280" s="402" t="s">
        <v>138</v>
      </c>
      <c r="J280" s="402" t="s">
        <v>125</v>
      </c>
      <c r="K280" s="402" t="s">
        <v>179</v>
      </c>
      <c r="L280" s="402" t="s">
        <v>125</v>
      </c>
      <c r="M280" s="537"/>
      <c r="N280" s="538"/>
      <c r="O280" s="536"/>
      <c r="P280" s="539"/>
      <c r="Q280" s="540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3"/>
      <c r="AI280" s="243"/>
      <c r="AJ280" s="243"/>
      <c r="AK280" s="243"/>
      <c r="AL280" s="243"/>
      <c r="AM280" s="243"/>
      <c r="AN280" s="243"/>
      <c r="AO280" s="243"/>
      <c r="AP280" s="243"/>
      <c r="AQ280" s="243"/>
      <c r="AR280" s="243"/>
      <c r="AS280" s="243"/>
      <c r="AT280" s="243"/>
      <c r="AU280" s="243"/>
      <c r="AV280" s="243"/>
      <c r="AW280" s="243"/>
      <c r="AX280" s="243"/>
      <c r="AY280" s="243"/>
      <c r="AZ280" s="243"/>
      <c r="BA280" s="243"/>
      <c r="BB280" s="243"/>
      <c r="BC280" s="243"/>
      <c r="BD280" s="243"/>
      <c r="BE280" s="243"/>
      <c r="BF280" s="243"/>
      <c r="BG280" s="243"/>
      <c r="BH280" s="243"/>
      <c r="BI280" s="243"/>
      <c r="BJ280" s="243"/>
      <c r="BK280" s="243"/>
      <c r="BL280" s="243"/>
      <c r="BM280" s="243"/>
      <c r="BN280" s="243"/>
      <c r="BO280" s="243"/>
      <c r="BP280" s="243"/>
      <c r="BQ280" s="243"/>
      <c r="BR280" s="243"/>
      <c r="BS280" s="243"/>
      <c r="BT280" s="243"/>
      <c r="BU280" s="243"/>
      <c r="BV280" s="243"/>
      <c r="BW280" s="243"/>
      <c r="BX280" s="243"/>
      <c r="BY280" s="243"/>
      <c r="BZ280" s="243"/>
      <c r="CA280" s="243"/>
      <c r="CB280" s="243"/>
      <c r="CC280" s="243"/>
      <c r="CD280" s="243"/>
      <c r="CE280" s="243"/>
      <c r="CF280" s="243"/>
      <c r="CG280" s="243"/>
      <c r="CH280" s="243"/>
      <c r="CI280" s="243"/>
      <c r="CJ280" s="243"/>
      <c r="CK280" s="243"/>
      <c r="CL280" s="243"/>
      <c r="CM280" s="243"/>
      <c r="CN280" s="243"/>
      <c r="CO280" s="243"/>
      <c r="CP280" s="243"/>
      <c r="CQ280" s="243"/>
      <c r="CR280" s="243"/>
      <c r="CS280" s="243"/>
      <c r="CT280" s="243"/>
      <c r="CU280" s="243"/>
      <c r="CV280" s="243"/>
      <c r="CW280" s="243"/>
      <c r="CX280" s="243"/>
      <c r="CY280" s="243"/>
      <c r="CZ280" s="243"/>
      <c r="DA280" s="243"/>
      <c r="DB280" s="243"/>
      <c r="DC280" s="243"/>
      <c r="DD280" s="243"/>
      <c r="DE280" s="243"/>
      <c r="DF280" s="243"/>
      <c r="DG280" s="243"/>
      <c r="DH280" s="243"/>
      <c r="DI280" s="243"/>
      <c r="DJ280" s="243"/>
      <c r="DK280" s="243"/>
      <c r="DL280" s="243"/>
      <c r="DM280" s="243"/>
      <c r="DN280" s="243"/>
      <c r="DO280" s="243"/>
      <c r="DP280" s="243"/>
      <c r="DQ280" s="243"/>
      <c r="DR280" s="243"/>
      <c r="DS280" s="243"/>
      <c r="DT280" s="243"/>
      <c r="DU280" s="243"/>
      <c r="DV280" s="243"/>
      <c r="DW280" s="243"/>
      <c r="DX280" s="243"/>
      <c r="DY280" s="243"/>
      <c r="DZ280" s="243"/>
      <c r="EA280" s="243"/>
      <c r="EB280" s="243"/>
      <c r="EC280" s="243"/>
      <c r="ED280" s="243"/>
      <c r="EE280" s="243"/>
      <c r="EF280" s="243"/>
      <c r="EG280" s="243"/>
      <c r="EH280" s="243"/>
      <c r="EI280" s="243"/>
      <c r="EJ280" s="243"/>
      <c r="EK280" s="243"/>
      <c r="EL280" s="243"/>
      <c r="EM280" s="243"/>
      <c r="EN280" s="243"/>
      <c r="EO280" s="243"/>
      <c r="EP280" s="243"/>
      <c r="EQ280" s="243"/>
      <c r="ER280" s="243"/>
      <c r="ES280" s="243"/>
      <c r="ET280" s="243"/>
      <c r="EU280" s="243"/>
      <c r="EV280" s="243"/>
      <c r="EW280" s="243"/>
      <c r="EX280" s="243"/>
      <c r="EY280" s="243"/>
      <c r="EZ280" s="243"/>
      <c r="FA280" s="243"/>
      <c r="FB280" s="243"/>
      <c r="FC280" s="243"/>
      <c r="FD280" s="243"/>
      <c r="FE280" s="243"/>
      <c r="FF280" s="243"/>
      <c r="FG280" s="243"/>
      <c r="FH280" s="243"/>
      <c r="FI280" s="243"/>
      <c r="FJ280" s="243"/>
      <c r="FK280" s="243"/>
      <c r="FL280" s="243"/>
      <c r="FM280" s="243"/>
      <c r="FN280" s="243"/>
      <c r="FO280" s="243"/>
      <c r="FP280" s="243"/>
      <c r="FQ280" s="243"/>
      <c r="FR280" s="243"/>
      <c r="FS280" s="243"/>
      <c r="FT280" s="243"/>
      <c r="FU280" s="243"/>
      <c r="FV280" s="243"/>
      <c r="FW280" s="243"/>
      <c r="FX280" s="243"/>
      <c r="FY280" s="243"/>
      <c r="FZ280" s="243"/>
      <c r="GA280" s="243"/>
      <c r="GB280" s="243"/>
      <c r="GC280" s="243"/>
      <c r="GD280" s="243"/>
      <c r="GE280" s="243"/>
      <c r="GF280" s="243"/>
      <c r="GG280" s="243"/>
      <c r="GH280" s="243"/>
      <c r="GI280" s="243"/>
      <c r="GJ280" s="243"/>
      <c r="GK280" s="243"/>
      <c r="GL280" s="243"/>
      <c r="GM280" s="243"/>
      <c r="GN280" s="243"/>
      <c r="GO280" s="243"/>
      <c r="GP280" s="243"/>
      <c r="GQ280" s="243"/>
      <c r="GR280" s="243"/>
      <c r="GS280" s="243"/>
      <c r="GT280" s="243"/>
      <c r="GU280" s="243"/>
      <c r="GV280" s="243"/>
      <c r="GW280" s="243"/>
      <c r="GX280" s="243"/>
      <c r="GY280" s="243"/>
      <c r="GZ280" s="243"/>
      <c r="HA280" s="243"/>
      <c r="HB280" s="243"/>
      <c r="HC280" s="243"/>
      <c r="HD280" s="243"/>
      <c r="HE280" s="243"/>
      <c r="HF280" s="243"/>
      <c r="HG280" s="243"/>
      <c r="HH280" s="243"/>
      <c r="HI280" s="243"/>
      <c r="HJ280" s="243"/>
      <c r="HK280" s="243"/>
      <c r="HL280" s="243"/>
      <c r="HM280" s="243"/>
      <c r="HN280" s="243"/>
      <c r="HO280" s="243"/>
      <c r="HP280" s="243"/>
      <c r="HQ280" s="243"/>
      <c r="HR280" s="243"/>
      <c r="HS280" s="243"/>
      <c r="HT280" s="243"/>
      <c r="HU280" s="243"/>
      <c r="HV280" s="243"/>
      <c r="HW280" s="243"/>
      <c r="HX280" s="243"/>
      <c r="HY280" s="243"/>
      <c r="HZ280" s="243"/>
      <c r="IA280" s="243"/>
      <c r="IB280" s="243"/>
      <c r="IC280" s="243"/>
      <c r="ID280" s="243"/>
      <c r="IE280" s="243"/>
      <c r="IF280" s="243"/>
      <c r="IG280" s="243"/>
      <c r="IH280" s="243"/>
      <c r="II280" s="243"/>
      <c r="IJ280" s="243"/>
      <c r="IK280" s="243"/>
      <c r="IL280" s="243"/>
      <c r="IM280" s="243"/>
      <c r="IN280" s="243"/>
      <c r="IO280" s="243"/>
      <c r="IP280" s="243"/>
      <c r="IQ280" s="243"/>
      <c r="IR280" s="243"/>
      <c r="IS280" s="243"/>
      <c r="IT280" s="243"/>
      <c r="IU280" s="243"/>
      <c r="IV280" s="243"/>
      <c r="IW280" s="243"/>
      <c r="IX280" s="243"/>
      <c r="IY280" s="243"/>
      <c r="IZ280" s="243"/>
      <c r="JA280" s="243"/>
      <c r="JB280" s="243"/>
      <c r="JC280" s="243"/>
      <c r="JD280" s="243"/>
      <c r="JE280" s="243"/>
      <c r="JF280" s="243"/>
      <c r="JG280" s="243"/>
      <c r="JH280" s="243"/>
      <c r="JI280" s="243"/>
      <c r="JJ280" s="243"/>
      <c r="JK280" s="243"/>
      <c r="JL280" s="243"/>
      <c r="JM280" s="243"/>
      <c r="JN280" s="243"/>
      <c r="JO280" s="243"/>
      <c r="JP280" s="243"/>
      <c r="JQ280" s="243"/>
      <c r="JR280" s="243"/>
      <c r="JS280" s="243"/>
      <c r="JT280" s="243"/>
      <c r="JU280" s="243"/>
      <c r="JV280" s="243"/>
      <c r="JW280" s="243"/>
      <c r="JX280" s="243"/>
      <c r="JY280" s="243"/>
      <c r="JZ280" s="243"/>
      <c r="KA280" s="243"/>
      <c r="KB280" s="243"/>
      <c r="KC280" s="243"/>
      <c r="KD280" s="243"/>
      <c r="KE280" s="243"/>
      <c r="KF280" s="243"/>
      <c r="KG280" s="243"/>
      <c r="KH280" s="243"/>
      <c r="KI280" s="243"/>
      <c r="KJ280" s="243"/>
      <c r="KK280" s="243"/>
      <c r="KL280" s="243"/>
      <c r="KM280" s="243"/>
      <c r="KN280" s="243"/>
      <c r="KO280" s="243"/>
      <c r="KP280" s="243"/>
      <c r="KQ280" s="243"/>
      <c r="KR280" s="243"/>
      <c r="KS280" s="243"/>
      <c r="KT280" s="243"/>
      <c r="KU280" s="243"/>
      <c r="KV280" s="243"/>
      <c r="KW280" s="243"/>
      <c r="KX280" s="243"/>
      <c r="KY280" s="243"/>
      <c r="KZ280" s="243"/>
      <c r="LA280" s="243"/>
      <c r="LB280" s="243"/>
      <c r="LC280" s="243"/>
      <c r="LD280" s="243"/>
      <c r="LE280" s="243"/>
      <c r="LF280" s="243"/>
      <c r="LG280" s="243"/>
      <c r="LH280" s="243"/>
      <c r="LI280" s="243"/>
      <c r="LJ280" s="243"/>
      <c r="LK280" s="243"/>
      <c r="LL280" s="243"/>
      <c r="LM280" s="243"/>
      <c r="LN280" s="243"/>
      <c r="LO280" s="243"/>
      <c r="LP280" s="243"/>
      <c r="LQ280" s="243"/>
      <c r="LR280" s="243"/>
      <c r="LS280" s="243"/>
      <c r="LT280" s="243"/>
      <c r="LU280" s="243"/>
      <c r="LV280" s="243"/>
      <c r="LW280" s="243"/>
      <c r="LX280" s="243"/>
      <c r="LY280" s="243"/>
      <c r="LZ280" s="243"/>
      <c r="MA280" s="243"/>
      <c r="MB280" s="243"/>
      <c r="MC280" s="243"/>
      <c r="MD280" s="243"/>
      <c r="ME280" s="243"/>
      <c r="MF280" s="243"/>
      <c r="MG280" s="243"/>
      <c r="MH280" s="243"/>
      <c r="MI280" s="243"/>
      <c r="MJ280" s="243"/>
      <c r="MK280" s="243"/>
      <c r="ML280" s="243"/>
      <c r="MM280" s="243"/>
      <c r="MN280" s="243"/>
      <c r="MO280" s="243"/>
      <c r="MP280" s="243"/>
      <c r="MQ280" s="243"/>
      <c r="MR280" s="243"/>
      <c r="MS280" s="243"/>
      <c r="MT280" s="243"/>
      <c r="MU280" s="243"/>
      <c r="MV280" s="243"/>
      <c r="MW280" s="243"/>
      <c r="MX280" s="243"/>
      <c r="MY280" s="243"/>
      <c r="MZ280" s="243"/>
      <c r="NA280" s="243"/>
      <c r="NB280" s="243"/>
      <c r="NC280" s="243"/>
      <c r="ND280" s="243"/>
      <c r="NE280" s="243"/>
      <c r="NF280" s="243"/>
      <c r="NG280" s="243"/>
      <c r="NH280" s="243"/>
      <c r="NI280" s="243"/>
      <c r="NJ280" s="243"/>
      <c r="NK280" s="243"/>
      <c r="NL280" s="243"/>
      <c r="NM280" s="243"/>
      <c r="NN280" s="243"/>
      <c r="NO280" s="243"/>
      <c r="NP280" s="243"/>
      <c r="NQ280" s="243"/>
      <c r="NR280" s="243"/>
      <c r="NS280" s="243"/>
      <c r="NT280" s="243"/>
      <c r="NU280" s="243"/>
      <c r="NV280" s="243"/>
      <c r="NW280" s="243"/>
      <c r="NX280" s="243"/>
      <c r="NY280" s="243"/>
      <c r="NZ280" s="243"/>
      <c r="OA280" s="243"/>
      <c r="OB280" s="243"/>
      <c r="OC280" s="243"/>
      <c r="OD280" s="243"/>
      <c r="OE280" s="243"/>
      <c r="OF280" s="243"/>
      <c r="OG280" s="243"/>
      <c r="OH280" s="243"/>
      <c r="OI280" s="243"/>
      <c r="OJ280" s="243"/>
      <c r="OK280" s="243"/>
      <c r="OL280" s="243"/>
      <c r="OM280" s="243"/>
      <c r="ON280" s="243"/>
      <c r="OO280" s="243"/>
      <c r="OP280" s="243"/>
      <c r="OQ280" s="243"/>
      <c r="OR280" s="243"/>
      <c r="OS280" s="243"/>
      <c r="OT280" s="243"/>
      <c r="OU280" s="243"/>
      <c r="OV280" s="243"/>
      <c r="OW280" s="243"/>
      <c r="OX280" s="243"/>
      <c r="OY280" s="243"/>
      <c r="OZ280" s="243"/>
      <c r="PA280" s="243"/>
      <c r="PB280" s="243"/>
      <c r="PC280" s="243"/>
      <c r="PD280" s="243"/>
      <c r="PE280" s="243"/>
      <c r="PF280" s="243"/>
      <c r="PG280" s="243"/>
      <c r="PH280" s="243"/>
      <c r="PI280" s="243"/>
      <c r="PJ280" s="243"/>
      <c r="PK280" s="243"/>
      <c r="PL280" s="243"/>
      <c r="PM280" s="243"/>
      <c r="PN280" s="243"/>
      <c r="PO280" s="243"/>
      <c r="PP280" s="243"/>
      <c r="PQ280" s="243"/>
      <c r="PR280" s="243"/>
      <c r="PS280" s="243"/>
      <c r="PT280" s="243"/>
      <c r="PU280" s="243"/>
      <c r="PV280" s="243"/>
      <c r="PW280" s="243"/>
      <c r="PX280" s="243"/>
      <c r="PY280" s="243"/>
      <c r="PZ280" s="243"/>
      <c r="QA280" s="243"/>
      <c r="QB280" s="243"/>
      <c r="QC280" s="243"/>
      <c r="QD280" s="243"/>
      <c r="QE280" s="243"/>
      <c r="QF280" s="243"/>
      <c r="QG280" s="243"/>
      <c r="QH280" s="243"/>
      <c r="QI280" s="243"/>
      <c r="QJ280" s="243"/>
      <c r="QK280" s="243"/>
      <c r="QL280" s="243"/>
      <c r="QM280" s="243"/>
      <c r="QN280" s="243"/>
      <c r="QO280" s="243"/>
      <c r="QP280" s="243"/>
      <c r="QQ280" s="243"/>
      <c r="QR280" s="243"/>
      <c r="QS280" s="243"/>
      <c r="QT280" s="243"/>
      <c r="QU280" s="243"/>
      <c r="QV280" s="243"/>
      <c r="QW280" s="243"/>
      <c r="QX280" s="243"/>
      <c r="QY280" s="243"/>
      <c r="QZ280" s="243"/>
      <c r="RA280" s="243"/>
      <c r="RB280" s="243"/>
      <c r="RC280" s="243"/>
      <c r="RD280" s="243"/>
      <c r="RE280" s="243"/>
      <c r="RF280" s="243"/>
      <c r="RG280" s="243"/>
      <c r="RH280" s="243"/>
      <c r="RI280" s="243"/>
      <c r="RJ280" s="243"/>
      <c r="RK280" s="243"/>
      <c r="RL280" s="243"/>
      <c r="RM280" s="243"/>
      <c r="RN280" s="243"/>
      <c r="RO280" s="243"/>
      <c r="RP280" s="243"/>
      <c r="RQ280" s="243"/>
      <c r="RR280" s="243"/>
      <c r="RS280" s="243"/>
      <c r="RT280" s="243"/>
      <c r="RU280" s="243"/>
      <c r="RV280" s="243"/>
      <c r="RW280" s="243"/>
      <c r="RX280" s="243"/>
      <c r="RY280" s="243"/>
      <c r="RZ280" s="243"/>
      <c r="SA280" s="243"/>
      <c r="SB280" s="243"/>
      <c r="SC280" s="243"/>
      <c r="SD280" s="243"/>
      <c r="SE280" s="243"/>
      <c r="SF280" s="243"/>
      <c r="SG280" s="243"/>
      <c r="SH280" s="243"/>
      <c r="SI280" s="243"/>
      <c r="SJ280" s="243"/>
      <c r="SK280" s="243"/>
      <c r="SL280" s="243"/>
      <c r="SM280" s="243"/>
      <c r="SN280" s="243"/>
      <c r="SO280" s="243"/>
      <c r="SP280" s="243"/>
      <c r="SQ280" s="243"/>
      <c r="SR280" s="243"/>
      <c r="SS280" s="243"/>
      <c r="ST280" s="243"/>
      <c r="SU280" s="243"/>
      <c r="SV280" s="243"/>
      <c r="SW280" s="243"/>
      <c r="SX280" s="243"/>
      <c r="SY280" s="243"/>
      <c r="SZ280" s="243"/>
      <c r="TA280" s="243"/>
      <c r="TB280" s="243"/>
      <c r="TC280" s="243"/>
      <c r="TD280" s="243"/>
      <c r="TE280" s="243"/>
      <c r="TF280" s="243"/>
      <c r="TG280" s="243"/>
      <c r="TH280" s="243"/>
      <c r="TI280" s="243"/>
      <c r="TJ280" s="243"/>
      <c r="TK280" s="243"/>
      <c r="TL280" s="243"/>
      <c r="TM280" s="243"/>
      <c r="TN280" s="243"/>
      <c r="TO280" s="243"/>
      <c r="TP280" s="243"/>
      <c r="TQ280" s="243"/>
      <c r="TR280" s="243"/>
      <c r="TS280" s="243"/>
      <c r="TT280" s="243"/>
      <c r="TU280" s="243"/>
      <c r="TV280" s="243"/>
      <c r="TW280" s="243"/>
      <c r="TX280" s="243"/>
      <c r="TY280" s="243"/>
      <c r="TZ280" s="243"/>
      <c r="UA280" s="243"/>
      <c r="UB280" s="243"/>
      <c r="UC280" s="243"/>
      <c r="UD280" s="243"/>
      <c r="UE280" s="243"/>
      <c r="UF280" s="243"/>
      <c r="UG280" s="243"/>
      <c r="UH280" s="243"/>
      <c r="UI280" s="243"/>
      <c r="UJ280" s="243"/>
      <c r="UK280" s="243"/>
      <c r="UL280" s="243"/>
      <c r="UM280" s="243"/>
      <c r="UN280" s="243"/>
      <c r="UO280" s="243"/>
      <c r="UP280" s="243"/>
      <c r="UQ280" s="243"/>
      <c r="UR280" s="243"/>
      <c r="US280" s="243"/>
      <c r="UT280" s="243"/>
      <c r="UU280" s="243"/>
      <c r="UV280" s="243"/>
      <c r="UW280" s="243"/>
      <c r="UX280" s="243"/>
      <c r="UY280" s="243"/>
      <c r="UZ280" s="243"/>
      <c r="VA280" s="243"/>
      <c r="VB280" s="243"/>
      <c r="VC280" s="243"/>
      <c r="VD280" s="243"/>
      <c r="VE280" s="243"/>
      <c r="VF280" s="243"/>
      <c r="VG280" s="243"/>
      <c r="VH280" s="243"/>
      <c r="VI280" s="243"/>
      <c r="VJ280" s="243"/>
      <c r="VK280" s="243"/>
      <c r="VL280" s="243"/>
      <c r="VM280" s="243"/>
      <c r="VN280" s="243"/>
      <c r="VO280" s="243"/>
      <c r="VP280" s="243"/>
      <c r="VQ280" s="243"/>
      <c r="VR280" s="243"/>
      <c r="VS280" s="243"/>
      <c r="VT280" s="243"/>
      <c r="VU280" s="243"/>
      <c r="VV280" s="243"/>
      <c r="VW280" s="243"/>
      <c r="VX280" s="243"/>
      <c r="VY280" s="243"/>
      <c r="VZ280" s="243"/>
      <c r="WA280" s="243"/>
      <c r="WB280" s="243"/>
      <c r="WC280" s="243"/>
      <c r="WD280" s="243"/>
      <c r="WE280" s="243"/>
      <c r="WF280" s="243"/>
      <c r="WG280" s="243"/>
      <c r="WH280" s="243"/>
      <c r="WI280" s="243"/>
      <c r="WJ280" s="243"/>
      <c r="WK280" s="243"/>
      <c r="WL280" s="243"/>
      <c r="WM280" s="243"/>
      <c r="WN280" s="243"/>
      <c r="WO280" s="243"/>
      <c r="WP280" s="243"/>
      <c r="WQ280" s="243"/>
      <c r="WR280" s="243"/>
      <c r="WS280" s="243"/>
      <c r="WT280" s="243"/>
      <c r="WU280" s="243"/>
      <c r="WV280" s="243"/>
      <c r="WW280" s="243"/>
      <c r="WX280" s="243"/>
      <c r="WY280" s="243"/>
      <c r="WZ280" s="243"/>
      <c r="XA280" s="243"/>
      <c r="XB280" s="243"/>
      <c r="XC280" s="243"/>
      <c r="XD280" s="243"/>
      <c r="XE280" s="243"/>
      <c r="XF280" s="243"/>
      <c r="XG280" s="243"/>
      <c r="XH280" s="243"/>
      <c r="XI280" s="243"/>
      <c r="XJ280" s="243"/>
      <c r="XK280" s="243"/>
      <c r="XL280" s="243"/>
      <c r="XM280" s="243"/>
      <c r="XN280" s="243"/>
      <c r="XO280" s="243"/>
      <c r="XP280" s="243"/>
      <c r="XQ280" s="243"/>
      <c r="XR280" s="243"/>
      <c r="XS280" s="243"/>
      <c r="XT280" s="243"/>
      <c r="XU280" s="243"/>
      <c r="XV280" s="243"/>
      <c r="XW280" s="243"/>
      <c r="XX280" s="243"/>
      <c r="XY280" s="243"/>
      <c r="XZ280" s="243"/>
      <c r="YA280" s="243"/>
      <c r="YB280" s="243"/>
      <c r="YC280" s="243"/>
      <c r="YD280" s="243"/>
      <c r="YE280" s="243"/>
      <c r="YF280" s="243"/>
      <c r="YG280" s="243"/>
      <c r="YH280" s="243"/>
      <c r="YI280" s="243"/>
      <c r="YJ280" s="243"/>
      <c r="YK280" s="243"/>
      <c r="YL280" s="243"/>
      <c r="YM280" s="243"/>
      <c r="YN280" s="243"/>
      <c r="YO280" s="243"/>
      <c r="YP280" s="243"/>
      <c r="YQ280" s="243"/>
      <c r="YR280" s="243"/>
      <c r="YS280" s="243"/>
      <c r="YT280" s="243"/>
      <c r="YU280" s="243"/>
      <c r="YV280" s="243"/>
      <c r="YW280" s="243"/>
      <c r="YX280" s="243"/>
      <c r="YY280" s="243"/>
      <c r="YZ280" s="243"/>
      <c r="ZA280" s="243"/>
      <c r="ZB280" s="243"/>
      <c r="ZC280" s="243"/>
      <c r="ZD280" s="243"/>
      <c r="ZE280" s="243"/>
      <c r="ZF280" s="243"/>
      <c r="ZG280" s="243"/>
      <c r="ZH280" s="243"/>
      <c r="ZI280" s="243"/>
      <c r="ZJ280" s="243"/>
      <c r="ZK280" s="243"/>
      <c r="ZL280" s="243"/>
      <c r="ZM280" s="243"/>
      <c r="ZN280" s="243"/>
      <c r="ZO280" s="243"/>
      <c r="ZP280" s="243"/>
      <c r="ZQ280" s="243"/>
      <c r="ZR280" s="243"/>
      <c r="ZS280" s="243"/>
      <c r="ZT280" s="243"/>
      <c r="ZU280" s="243"/>
      <c r="ZV280" s="243"/>
      <c r="ZW280" s="243"/>
      <c r="ZX280" s="243"/>
      <c r="ZY280" s="243"/>
      <c r="ZZ280" s="243"/>
      <c r="AAA280" s="243"/>
      <c r="AAB280" s="243"/>
      <c r="AAC280" s="243"/>
      <c r="AAD280" s="243"/>
      <c r="AAE280" s="243"/>
      <c r="AAF280" s="243"/>
      <c r="AAG280" s="243"/>
      <c r="AAH280" s="243"/>
      <c r="AAI280" s="243"/>
      <c r="AAJ280" s="243"/>
      <c r="AAK280" s="243"/>
      <c r="AAL280" s="243"/>
      <c r="AAM280" s="243"/>
      <c r="AAN280" s="243"/>
      <c r="AAO280" s="243"/>
      <c r="AAP280" s="243"/>
      <c r="AAQ280" s="243"/>
      <c r="AAR280" s="243"/>
      <c r="AAS280" s="243"/>
      <c r="AAT280" s="243"/>
      <c r="AAU280" s="243"/>
      <c r="AAV280" s="243"/>
      <c r="AAW280" s="243"/>
      <c r="AAX280" s="243"/>
      <c r="AAY280" s="243"/>
      <c r="AAZ280" s="243"/>
      <c r="ABA280" s="243"/>
      <c r="ABB280" s="243"/>
      <c r="ABC280" s="243"/>
      <c r="ABD280" s="243"/>
      <c r="ABE280" s="243"/>
      <c r="ABF280" s="243"/>
      <c r="ABG280" s="243"/>
      <c r="ABH280" s="243"/>
      <c r="ABI280" s="243"/>
      <c r="ABJ280" s="243"/>
      <c r="ABK280" s="243"/>
      <c r="ABL280" s="243"/>
      <c r="ABM280" s="243"/>
      <c r="ABN280" s="243"/>
      <c r="ABO280" s="243"/>
      <c r="ABP280" s="243"/>
      <c r="ABQ280" s="243"/>
      <c r="ABR280" s="243"/>
      <c r="ABS280" s="243"/>
      <c r="ABT280" s="243"/>
      <c r="ABU280" s="243"/>
      <c r="ABV280" s="243"/>
      <c r="ABW280" s="243"/>
      <c r="ABX280" s="243"/>
      <c r="ABY280" s="243"/>
      <c r="ABZ280" s="243"/>
      <c r="ACA280" s="243"/>
      <c r="ACB280" s="243"/>
      <c r="ACC280" s="243"/>
      <c r="ACD280" s="243"/>
      <c r="ACE280" s="243"/>
      <c r="ACF280" s="243"/>
      <c r="ACG280" s="243"/>
      <c r="ACH280" s="243"/>
      <c r="ACI280" s="243"/>
      <c r="ACJ280" s="243"/>
      <c r="ACK280" s="243"/>
      <c r="ACL280" s="243"/>
      <c r="ACM280" s="243"/>
      <c r="ACN280" s="243"/>
      <c r="ACO280" s="243"/>
      <c r="ACP280" s="243"/>
      <c r="ACQ280" s="243"/>
      <c r="ACR280" s="243"/>
      <c r="ACS280" s="243"/>
      <c r="ACT280" s="243"/>
      <c r="ACU280" s="243"/>
      <c r="ACV280" s="243"/>
      <c r="ACW280" s="243"/>
      <c r="ACX280" s="243"/>
      <c r="ACY280" s="243"/>
      <c r="ACZ280" s="243"/>
      <c r="ADA280" s="243"/>
      <c r="ADB280" s="243"/>
      <c r="ADC280" s="243"/>
      <c r="ADD280" s="243"/>
      <c r="ADE280" s="243"/>
      <c r="ADF280" s="243"/>
      <c r="ADG280" s="243"/>
      <c r="ADH280" s="243"/>
      <c r="ADI280" s="243"/>
      <c r="ADJ280" s="243"/>
      <c r="ADK280" s="243"/>
      <c r="ADL280" s="243"/>
      <c r="ADM280" s="243"/>
      <c r="ADN280" s="243"/>
      <c r="ADO280" s="243"/>
      <c r="ADP280" s="243"/>
      <c r="ADQ280" s="243"/>
      <c r="ADR280" s="243"/>
      <c r="ADS280" s="243"/>
      <c r="ADT280" s="243"/>
      <c r="ADU280" s="243"/>
      <c r="ADV280" s="243"/>
      <c r="ADW280" s="243"/>
      <c r="ADX280" s="243"/>
      <c r="ADY280" s="243"/>
      <c r="ADZ280" s="243"/>
      <c r="AEA280" s="243"/>
      <c r="AEB280" s="243"/>
      <c r="AEC280" s="243"/>
      <c r="AED280" s="243"/>
      <c r="AEE280" s="243"/>
      <c r="AEF280" s="243"/>
      <c r="AEG280" s="243"/>
      <c r="AEH280" s="243"/>
      <c r="AEI280" s="243"/>
      <c r="AEJ280" s="243"/>
      <c r="AEK280" s="243"/>
      <c r="AEL280" s="243"/>
      <c r="AEM280" s="243"/>
      <c r="AEN280" s="243"/>
      <c r="AEO280" s="243"/>
      <c r="AEP280" s="243"/>
      <c r="AEQ280" s="243"/>
      <c r="AER280" s="243"/>
      <c r="AES280" s="243"/>
      <c r="AET280" s="243"/>
      <c r="AEU280" s="243"/>
      <c r="AEV280" s="243"/>
      <c r="AEW280" s="243"/>
      <c r="AEX280" s="243"/>
      <c r="AEY280" s="243"/>
      <c r="AEZ280" s="243"/>
      <c r="AFA280" s="243"/>
      <c r="AFB280" s="243"/>
      <c r="AFC280" s="243"/>
      <c r="AFD280" s="243"/>
      <c r="AFE280" s="243"/>
      <c r="AFF280" s="243"/>
      <c r="AFG280" s="243"/>
      <c r="AFH280" s="243"/>
      <c r="AFI280" s="243"/>
      <c r="AFJ280" s="243"/>
      <c r="AFK280" s="243"/>
      <c r="AFL280" s="243"/>
      <c r="AFM280" s="243"/>
      <c r="AFN280" s="243"/>
      <c r="AFO280" s="243"/>
      <c r="AFP280" s="243"/>
      <c r="AFQ280" s="243"/>
      <c r="AFR280" s="243"/>
      <c r="AFS280" s="243"/>
      <c r="AFT280" s="243"/>
      <c r="AFU280" s="243"/>
      <c r="AFV280" s="243"/>
      <c r="AFW280" s="243"/>
      <c r="AFX280" s="243"/>
      <c r="AFY280" s="243"/>
      <c r="AFZ280" s="243"/>
      <c r="AGA280" s="243"/>
      <c r="AGB280" s="243"/>
      <c r="AGC280" s="243"/>
      <c r="AGD280" s="243"/>
      <c r="AGE280" s="243"/>
      <c r="AGF280" s="243"/>
      <c r="AGG280" s="243"/>
      <c r="AGH280" s="243"/>
      <c r="AGI280" s="243"/>
      <c r="AGJ280" s="243"/>
      <c r="AGK280" s="243"/>
      <c r="AGL280" s="243"/>
      <c r="AGM280" s="243"/>
      <c r="AGN280" s="243"/>
      <c r="AGO280" s="243"/>
      <c r="AGP280" s="243"/>
      <c r="AGQ280" s="243"/>
      <c r="AGR280" s="243"/>
      <c r="AGS280" s="243"/>
      <c r="AGT280" s="243"/>
      <c r="AGU280" s="243"/>
      <c r="AGV280" s="243"/>
      <c r="AGW280" s="243"/>
      <c r="AGX280" s="243"/>
      <c r="AGY280" s="243"/>
      <c r="AGZ280" s="243"/>
      <c r="AHA280" s="243"/>
      <c r="AHB280" s="243"/>
      <c r="AHC280" s="243"/>
      <c r="AHD280" s="243"/>
      <c r="AHE280" s="243"/>
      <c r="AHF280" s="243"/>
      <c r="AHG280" s="243"/>
      <c r="AHH280" s="243"/>
      <c r="AHI280" s="243"/>
      <c r="AHJ280" s="243"/>
      <c r="AHK280" s="243"/>
      <c r="AHL280" s="243"/>
      <c r="AHM280" s="243"/>
      <c r="AHN280" s="243"/>
      <c r="AHO280" s="243"/>
      <c r="AHP280" s="243"/>
      <c r="AHQ280" s="243"/>
      <c r="AHR280" s="243"/>
      <c r="AHS280" s="243"/>
      <c r="AHT280" s="243"/>
      <c r="AHU280" s="243"/>
      <c r="AHV280" s="243"/>
      <c r="AHW280" s="243"/>
      <c r="AHX280" s="243"/>
      <c r="AHY280" s="243"/>
      <c r="AHZ280" s="243"/>
      <c r="AIA280" s="243"/>
      <c r="AIB280" s="243"/>
      <c r="AIC280" s="243"/>
      <c r="AID280" s="243"/>
      <c r="AIE280" s="243"/>
      <c r="AIF280" s="243"/>
      <c r="AIG280" s="243"/>
      <c r="AIH280" s="243"/>
      <c r="AII280" s="243"/>
      <c r="AIJ280" s="243"/>
      <c r="AIK280" s="243"/>
      <c r="AIL280" s="243"/>
      <c r="AIM280" s="243"/>
      <c r="AIN280" s="243"/>
      <c r="AIO280" s="243"/>
      <c r="AIP280" s="243"/>
      <c r="AIQ280" s="243"/>
      <c r="AIR280" s="243"/>
      <c r="AIS280" s="243"/>
      <c r="AIT280" s="243"/>
      <c r="AIU280" s="243"/>
      <c r="AIV280" s="243"/>
      <c r="AIW280" s="243"/>
      <c r="AIX280" s="243"/>
      <c r="AIY280" s="243"/>
      <c r="AIZ280" s="243"/>
      <c r="AJA280" s="243"/>
      <c r="AJB280" s="243"/>
      <c r="AJC280" s="243"/>
      <c r="AJD280" s="243"/>
      <c r="AJE280" s="243"/>
      <c r="AJF280" s="243"/>
      <c r="AJG280" s="243"/>
      <c r="AJH280" s="243"/>
      <c r="AJI280" s="243"/>
      <c r="AJJ280" s="243"/>
      <c r="AJK280" s="243"/>
      <c r="AJL280" s="243"/>
      <c r="AJM280" s="243"/>
      <c r="AJN280" s="243"/>
      <c r="AJO280" s="243"/>
      <c r="AJP280" s="243"/>
      <c r="AJQ280" s="243"/>
      <c r="AJR280" s="243"/>
      <c r="AJS280" s="243"/>
      <c r="AJT280" s="243"/>
      <c r="AJU280" s="243"/>
      <c r="AJV280" s="243"/>
      <c r="AJW280" s="243"/>
      <c r="AJX280" s="243"/>
      <c r="AJY280" s="243"/>
      <c r="AJZ280" s="243"/>
      <c r="AKA280" s="243"/>
      <c r="AKB280" s="243"/>
      <c r="AKC280" s="243"/>
      <c r="AKD280" s="243"/>
      <c r="AKE280" s="243"/>
      <c r="AKF280" s="243"/>
      <c r="AKG280" s="243"/>
      <c r="AKH280" s="243"/>
      <c r="AKI280" s="243"/>
      <c r="AKJ280" s="243"/>
      <c r="AKK280" s="243"/>
      <c r="AKL280" s="243"/>
      <c r="AKM280" s="243"/>
      <c r="AKN280" s="243"/>
      <c r="AKO280" s="243"/>
      <c r="AKP280" s="243"/>
      <c r="AKQ280" s="243"/>
      <c r="AKR280" s="243"/>
      <c r="AKS280" s="243"/>
      <c r="AKT280" s="243"/>
      <c r="AKU280" s="243"/>
      <c r="AKV280" s="243"/>
      <c r="AKW280" s="243"/>
      <c r="AKX280" s="243"/>
      <c r="AKY280" s="243"/>
      <c r="AKZ280" s="243"/>
      <c r="ALA280" s="243"/>
      <c r="ALB280" s="243"/>
      <c r="ALC280" s="243"/>
      <c r="ALD280" s="243"/>
      <c r="ALE280" s="243"/>
      <c r="ALF280" s="243"/>
      <c r="ALG280" s="243"/>
      <c r="ALH280" s="243"/>
      <c r="ALI280" s="243"/>
      <c r="ALJ280" s="243"/>
      <c r="ALK280" s="243"/>
      <c r="ALL280" s="243"/>
      <c r="ALM280" s="243"/>
      <c r="ALN280" s="243"/>
      <c r="ALO280" s="243"/>
      <c r="ALP280" s="243"/>
      <c r="ALQ280" s="243"/>
      <c r="ALR280" s="243"/>
      <c r="ALS280" s="243"/>
      <c r="ALT280" s="243"/>
      <c r="ALU280" s="243"/>
      <c r="ALV280" s="243"/>
      <c r="ALW280" s="243"/>
      <c r="ALX280" s="243"/>
      <c r="ALY280" s="243"/>
      <c r="ALZ280" s="243"/>
      <c r="AMA280" s="243"/>
      <c r="AMB280" s="243"/>
      <c r="AMC280" s="243"/>
      <c r="AMD280" s="243"/>
      <c r="AME280" s="243"/>
      <c r="AMF280" s="243"/>
      <c r="AMG280" s="243"/>
      <c r="AMH280" s="243"/>
      <c r="AMI280" s="244"/>
      <c r="AMJ280" s="244"/>
    </row>
    <row r="281" spans="1:1024">
      <c r="A281" s="908"/>
      <c r="B281" s="442">
        <v>14303</v>
      </c>
      <c r="C281" s="430">
        <v>0.09</v>
      </c>
      <c r="D281" s="370" t="s">
        <v>188</v>
      </c>
      <c r="E281" s="433">
        <v>3000000</v>
      </c>
      <c r="F281" s="477">
        <v>0.1</v>
      </c>
      <c r="G281" s="401">
        <f t="shared" si="10"/>
        <v>300000</v>
      </c>
      <c r="H281" s="402" t="s">
        <v>47</v>
      </c>
      <c r="I281" s="402" t="s">
        <v>138</v>
      </c>
      <c r="J281" s="402" t="s">
        <v>125</v>
      </c>
      <c r="K281" s="402" t="s">
        <v>123</v>
      </c>
      <c r="L281" s="402" t="s">
        <v>125</v>
      </c>
      <c r="M281" s="395"/>
      <c r="N281" s="396"/>
      <c r="O281" s="377"/>
      <c r="P281" s="377"/>
      <c r="Q281" s="377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243"/>
      <c r="AJ281" s="243"/>
      <c r="AK281" s="243"/>
      <c r="AL281" s="243"/>
      <c r="AM281" s="243"/>
      <c r="AN281" s="243"/>
      <c r="AO281" s="243"/>
      <c r="AP281" s="243"/>
      <c r="AQ281" s="243"/>
      <c r="AR281" s="243"/>
      <c r="AS281" s="243"/>
      <c r="AT281" s="243"/>
      <c r="AU281" s="243"/>
      <c r="AV281" s="243"/>
      <c r="AW281" s="243"/>
      <c r="AX281" s="243"/>
      <c r="AY281" s="243"/>
      <c r="AZ281" s="243"/>
      <c r="BA281" s="243"/>
      <c r="BB281" s="243"/>
      <c r="BC281" s="243"/>
      <c r="BD281" s="243"/>
      <c r="BE281" s="243"/>
      <c r="BF281" s="243"/>
      <c r="BG281" s="243"/>
      <c r="BH281" s="243"/>
      <c r="BI281" s="243"/>
      <c r="BJ281" s="243"/>
      <c r="BK281" s="243"/>
      <c r="BL281" s="243"/>
      <c r="BM281" s="243"/>
      <c r="BN281" s="243"/>
      <c r="BO281" s="243"/>
      <c r="BP281" s="243"/>
      <c r="BQ281" s="243"/>
      <c r="BR281" s="243"/>
      <c r="BS281" s="243"/>
      <c r="BT281" s="243"/>
      <c r="BU281" s="243"/>
      <c r="BV281" s="243"/>
      <c r="BW281" s="243"/>
      <c r="BX281" s="243"/>
      <c r="BY281" s="243"/>
      <c r="BZ281" s="243"/>
      <c r="CA281" s="243"/>
      <c r="CB281" s="243"/>
      <c r="CC281" s="243"/>
      <c r="CD281" s="243"/>
      <c r="CE281" s="243"/>
      <c r="CF281" s="243"/>
      <c r="CG281" s="243"/>
      <c r="CH281" s="243"/>
      <c r="CI281" s="243"/>
      <c r="CJ281" s="243"/>
      <c r="CK281" s="243"/>
      <c r="CL281" s="243"/>
      <c r="CM281" s="243"/>
      <c r="CN281" s="243"/>
      <c r="CO281" s="243"/>
      <c r="CP281" s="243"/>
      <c r="CQ281" s="243"/>
      <c r="CR281" s="243"/>
      <c r="CS281" s="243"/>
      <c r="CT281" s="243"/>
      <c r="CU281" s="243"/>
      <c r="CV281" s="243"/>
      <c r="CW281" s="243"/>
      <c r="CX281" s="243"/>
      <c r="CY281" s="243"/>
      <c r="CZ281" s="243"/>
      <c r="DA281" s="243"/>
      <c r="DB281" s="243"/>
      <c r="DC281" s="243"/>
      <c r="DD281" s="243"/>
      <c r="DE281" s="243"/>
      <c r="DF281" s="243"/>
      <c r="DG281" s="243"/>
      <c r="DH281" s="243"/>
      <c r="DI281" s="243"/>
      <c r="DJ281" s="243"/>
      <c r="DK281" s="243"/>
      <c r="DL281" s="243"/>
      <c r="DM281" s="243"/>
      <c r="DN281" s="243"/>
      <c r="DO281" s="243"/>
      <c r="DP281" s="243"/>
      <c r="DQ281" s="243"/>
      <c r="DR281" s="243"/>
      <c r="DS281" s="243"/>
      <c r="DT281" s="243"/>
      <c r="DU281" s="243"/>
      <c r="DV281" s="243"/>
      <c r="DW281" s="243"/>
      <c r="DX281" s="243"/>
      <c r="DY281" s="243"/>
      <c r="DZ281" s="243"/>
      <c r="EA281" s="243"/>
      <c r="EB281" s="243"/>
      <c r="EC281" s="243"/>
      <c r="ED281" s="243"/>
      <c r="EE281" s="243"/>
      <c r="EF281" s="243"/>
      <c r="EG281" s="243"/>
      <c r="EH281" s="243"/>
      <c r="EI281" s="243"/>
      <c r="EJ281" s="243"/>
      <c r="EK281" s="243"/>
      <c r="EL281" s="243"/>
      <c r="EM281" s="243"/>
      <c r="EN281" s="243"/>
      <c r="EO281" s="243"/>
      <c r="EP281" s="243"/>
      <c r="EQ281" s="243"/>
      <c r="ER281" s="243"/>
      <c r="ES281" s="243"/>
      <c r="ET281" s="243"/>
      <c r="EU281" s="243"/>
      <c r="EV281" s="243"/>
      <c r="EW281" s="243"/>
      <c r="EX281" s="243"/>
      <c r="EY281" s="243"/>
      <c r="EZ281" s="243"/>
      <c r="FA281" s="243"/>
      <c r="FB281" s="243"/>
      <c r="FC281" s="243"/>
      <c r="FD281" s="243"/>
      <c r="FE281" s="243"/>
      <c r="FF281" s="243"/>
      <c r="FG281" s="243"/>
      <c r="FH281" s="243"/>
      <c r="FI281" s="243"/>
      <c r="FJ281" s="243"/>
      <c r="FK281" s="243"/>
      <c r="FL281" s="243"/>
      <c r="FM281" s="243"/>
      <c r="FN281" s="243"/>
      <c r="FO281" s="243"/>
      <c r="FP281" s="243"/>
      <c r="FQ281" s="243"/>
      <c r="FR281" s="243"/>
      <c r="FS281" s="243"/>
      <c r="FT281" s="243"/>
      <c r="FU281" s="243"/>
      <c r="FV281" s="243"/>
      <c r="FW281" s="243"/>
      <c r="FX281" s="243"/>
      <c r="FY281" s="243"/>
      <c r="FZ281" s="243"/>
      <c r="GA281" s="243"/>
      <c r="GB281" s="243"/>
      <c r="GC281" s="243"/>
      <c r="GD281" s="243"/>
      <c r="GE281" s="243"/>
      <c r="GF281" s="243"/>
      <c r="GG281" s="243"/>
      <c r="GH281" s="243"/>
      <c r="GI281" s="243"/>
      <c r="GJ281" s="243"/>
      <c r="GK281" s="243"/>
      <c r="GL281" s="243"/>
      <c r="GM281" s="243"/>
      <c r="GN281" s="243"/>
      <c r="GO281" s="243"/>
      <c r="GP281" s="243"/>
      <c r="GQ281" s="243"/>
      <c r="GR281" s="243"/>
      <c r="GS281" s="243"/>
      <c r="GT281" s="243"/>
      <c r="GU281" s="243"/>
      <c r="GV281" s="243"/>
      <c r="GW281" s="243"/>
      <c r="GX281" s="243"/>
      <c r="GY281" s="243"/>
      <c r="GZ281" s="243"/>
      <c r="HA281" s="243"/>
      <c r="HB281" s="243"/>
      <c r="HC281" s="243"/>
      <c r="HD281" s="243"/>
      <c r="HE281" s="243"/>
      <c r="HF281" s="243"/>
      <c r="HG281" s="243"/>
      <c r="HH281" s="243"/>
      <c r="HI281" s="243"/>
      <c r="HJ281" s="243"/>
      <c r="HK281" s="243"/>
      <c r="HL281" s="243"/>
      <c r="HM281" s="243"/>
      <c r="HN281" s="243"/>
      <c r="HO281" s="243"/>
      <c r="HP281" s="243"/>
      <c r="HQ281" s="243"/>
      <c r="HR281" s="243"/>
      <c r="HS281" s="243"/>
      <c r="HT281" s="243"/>
      <c r="HU281" s="243"/>
      <c r="HV281" s="243"/>
      <c r="HW281" s="243"/>
      <c r="HX281" s="243"/>
      <c r="HY281" s="243"/>
      <c r="HZ281" s="243"/>
      <c r="IA281" s="243"/>
      <c r="IB281" s="243"/>
      <c r="IC281" s="243"/>
      <c r="ID281" s="243"/>
      <c r="IE281" s="243"/>
      <c r="IF281" s="243"/>
      <c r="IG281" s="243"/>
      <c r="IH281" s="243"/>
      <c r="II281" s="243"/>
      <c r="IJ281" s="243"/>
      <c r="IK281" s="243"/>
      <c r="IL281" s="243"/>
      <c r="IM281" s="243"/>
      <c r="IN281" s="243"/>
      <c r="IO281" s="243"/>
      <c r="IP281" s="243"/>
      <c r="IQ281" s="243"/>
      <c r="IR281" s="243"/>
      <c r="IS281" s="243"/>
      <c r="IT281" s="243"/>
      <c r="IU281" s="243"/>
      <c r="IV281" s="243"/>
      <c r="IW281" s="243"/>
      <c r="IX281" s="243"/>
      <c r="IY281" s="243"/>
      <c r="IZ281" s="243"/>
      <c r="JA281" s="243"/>
      <c r="JB281" s="243"/>
      <c r="JC281" s="243"/>
      <c r="JD281" s="243"/>
      <c r="JE281" s="243"/>
      <c r="JF281" s="243"/>
      <c r="JG281" s="243"/>
      <c r="JH281" s="243"/>
      <c r="JI281" s="243"/>
      <c r="JJ281" s="243"/>
      <c r="JK281" s="243"/>
      <c r="JL281" s="243"/>
      <c r="JM281" s="243"/>
      <c r="JN281" s="243"/>
      <c r="JO281" s="243"/>
      <c r="JP281" s="243"/>
      <c r="JQ281" s="243"/>
      <c r="JR281" s="243"/>
      <c r="JS281" s="243"/>
      <c r="JT281" s="243"/>
      <c r="JU281" s="243"/>
      <c r="JV281" s="243"/>
      <c r="JW281" s="243"/>
      <c r="JX281" s="243"/>
      <c r="JY281" s="243"/>
      <c r="JZ281" s="243"/>
      <c r="KA281" s="243"/>
      <c r="KB281" s="243"/>
      <c r="KC281" s="243"/>
      <c r="KD281" s="243"/>
      <c r="KE281" s="243"/>
      <c r="KF281" s="243"/>
      <c r="KG281" s="243"/>
      <c r="KH281" s="243"/>
      <c r="KI281" s="243"/>
      <c r="KJ281" s="243"/>
      <c r="KK281" s="243"/>
      <c r="KL281" s="243"/>
      <c r="KM281" s="243"/>
      <c r="KN281" s="243"/>
      <c r="KO281" s="243"/>
      <c r="KP281" s="243"/>
      <c r="KQ281" s="243"/>
      <c r="KR281" s="243"/>
      <c r="KS281" s="243"/>
      <c r="KT281" s="243"/>
      <c r="KU281" s="243"/>
      <c r="KV281" s="243"/>
      <c r="KW281" s="243"/>
      <c r="KX281" s="243"/>
      <c r="KY281" s="243"/>
      <c r="KZ281" s="243"/>
      <c r="LA281" s="243"/>
      <c r="LB281" s="243"/>
      <c r="LC281" s="243"/>
      <c r="LD281" s="243"/>
      <c r="LE281" s="243"/>
      <c r="LF281" s="243"/>
      <c r="LG281" s="243"/>
      <c r="LH281" s="243"/>
      <c r="LI281" s="243"/>
      <c r="LJ281" s="243"/>
      <c r="LK281" s="243"/>
      <c r="LL281" s="243"/>
      <c r="LM281" s="243"/>
      <c r="LN281" s="243"/>
      <c r="LO281" s="243"/>
      <c r="LP281" s="243"/>
      <c r="LQ281" s="243"/>
      <c r="LR281" s="243"/>
      <c r="LS281" s="243"/>
      <c r="LT281" s="243"/>
      <c r="LU281" s="243"/>
      <c r="LV281" s="243"/>
      <c r="LW281" s="243"/>
      <c r="LX281" s="243"/>
      <c r="LY281" s="243"/>
      <c r="LZ281" s="243"/>
      <c r="MA281" s="243"/>
      <c r="MB281" s="243"/>
      <c r="MC281" s="243"/>
      <c r="MD281" s="243"/>
      <c r="ME281" s="243"/>
      <c r="MF281" s="243"/>
      <c r="MG281" s="243"/>
      <c r="MH281" s="243"/>
      <c r="MI281" s="243"/>
      <c r="MJ281" s="243"/>
      <c r="MK281" s="243"/>
      <c r="ML281" s="243"/>
      <c r="MM281" s="243"/>
      <c r="MN281" s="243"/>
      <c r="MO281" s="243"/>
      <c r="MP281" s="243"/>
      <c r="MQ281" s="243"/>
      <c r="MR281" s="243"/>
      <c r="MS281" s="243"/>
      <c r="MT281" s="243"/>
      <c r="MU281" s="243"/>
      <c r="MV281" s="243"/>
      <c r="MW281" s="243"/>
      <c r="MX281" s="243"/>
      <c r="MY281" s="243"/>
      <c r="MZ281" s="243"/>
      <c r="NA281" s="243"/>
      <c r="NB281" s="243"/>
      <c r="NC281" s="243"/>
      <c r="ND281" s="243"/>
      <c r="NE281" s="243"/>
      <c r="NF281" s="243"/>
      <c r="NG281" s="243"/>
      <c r="NH281" s="243"/>
      <c r="NI281" s="243"/>
      <c r="NJ281" s="243"/>
      <c r="NK281" s="243"/>
      <c r="NL281" s="243"/>
      <c r="NM281" s="243"/>
      <c r="NN281" s="243"/>
      <c r="NO281" s="243"/>
      <c r="NP281" s="243"/>
      <c r="NQ281" s="243"/>
      <c r="NR281" s="243"/>
      <c r="NS281" s="243"/>
      <c r="NT281" s="243"/>
      <c r="NU281" s="243"/>
      <c r="NV281" s="243"/>
      <c r="NW281" s="243"/>
      <c r="NX281" s="243"/>
      <c r="NY281" s="243"/>
      <c r="NZ281" s="243"/>
      <c r="OA281" s="243"/>
      <c r="OB281" s="243"/>
      <c r="OC281" s="243"/>
      <c r="OD281" s="243"/>
      <c r="OE281" s="243"/>
      <c r="OF281" s="243"/>
      <c r="OG281" s="243"/>
      <c r="OH281" s="243"/>
      <c r="OI281" s="243"/>
      <c r="OJ281" s="243"/>
      <c r="OK281" s="243"/>
      <c r="OL281" s="243"/>
      <c r="OM281" s="243"/>
      <c r="ON281" s="243"/>
      <c r="OO281" s="243"/>
      <c r="OP281" s="243"/>
      <c r="OQ281" s="243"/>
      <c r="OR281" s="243"/>
      <c r="OS281" s="243"/>
      <c r="OT281" s="243"/>
      <c r="OU281" s="243"/>
      <c r="OV281" s="243"/>
      <c r="OW281" s="243"/>
      <c r="OX281" s="243"/>
      <c r="OY281" s="243"/>
      <c r="OZ281" s="243"/>
      <c r="PA281" s="243"/>
      <c r="PB281" s="243"/>
      <c r="PC281" s="243"/>
      <c r="PD281" s="243"/>
      <c r="PE281" s="243"/>
      <c r="PF281" s="243"/>
      <c r="PG281" s="243"/>
      <c r="PH281" s="243"/>
      <c r="PI281" s="243"/>
      <c r="PJ281" s="243"/>
      <c r="PK281" s="243"/>
      <c r="PL281" s="243"/>
      <c r="PM281" s="243"/>
      <c r="PN281" s="243"/>
      <c r="PO281" s="243"/>
      <c r="PP281" s="243"/>
      <c r="PQ281" s="243"/>
      <c r="PR281" s="243"/>
      <c r="PS281" s="243"/>
      <c r="PT281" s="243"/>
      <c r="PU281" s="243"/>
      <c r="PV281" s="243"/>
      <c r="PW281" s="243"/>
      <c r="PX281" s="243"/>
      <c r="PY281" s="243"/>
      <c r="PZ281" s="243"/>
      <c r="QA281" s="243"/>
      <c r="QB281" s="243"/>
      <c r="QC281" s="243"/>
      <c r="QD281" s="243"/>
      <c r="QE281" s="243"/>
      <c r="QF281" s="243"/>
      <c r="QG281" s="243"/>
      <c r="QH281" s="243"/>
      <c r="QI281" s="243"/>
      <c r="QJ281" s="243"/>
      <c r="QK281" s="243"/>
      <c r="QL281" s="243"/>
      <c r="QM281" s="243"/>
      <c r="QN281" s="243"/>
      <c r="QO281" s="243"/>
      <c r="QP281" s="243"/>
      <c r="QQ281" s="243"/>
      <c r="QR281" s="243"/>
      <c r="QS281" s="243"/>
      <c r="QT281" s="243"/>
      <c r="QU281" s="243"/>
      <c r="QV281" s="243"/>
      <c r="QW281" s="243"/>
      <c r="QX281" s="243"/>
      <c r="QY281" s="243"/>
      <c r="QZ281" s="243"/>
      <c r="RA281" s="243"/>
      <c r="RB281" s="243"/>
      <c r="RC281" s="243"/>
      <c r="RD281" s="243"/>
      <c r="RE281" s="243"/>
      <c r="RF281" s="243"/>
      <c r="RG281" s="243"/>
      <c r="RH281" s="243"/>
      <c r="RI281" s="243"/>
      <c r="RJ281" s="243"/>
      <c r="RK281" s="243"/>
      <c r="RL281" s="243"/>
      <c r="RM281" s="243"/>
      <c r="RN281" s="243"/>
      <c r="RO281" s="243"/>
      <c r="RP281" s="243"/>
      <c r="RQ281" s="243"/>
      <c r="RR281" s="243"/>
      <c r="RS281" s="243"/>
      <c r="RT281" s="243"/>
      <c r="RU281" s="243"/>
      <c r="RV281" s="243"/>
      <c r="RW281" s="243"/>
      <c r="RX281" s="243"/>
      <c r="RY281" s="243"/>
      <c r="RZ281" s="243"/>
      <c r="SA281" s="243"/>
      <c r="SB281" s="243"/>
      <c r="SC281" s="243"/>
      <c r="SD281" s="243"/>
      <c r="SE281" s="243"/>
      <c r="SF281" s="243"/>
      <c r="SG281" s="243"/>
      <c r="SH281" s="243"/>
      <c r="SI281" s="243"/>
      <c r="SJ281" s="243"/>
      <c r="SK281" s="243"/>
      <c r="SL281" s="243"/>
      <c r="SM281" s="243"/>
      <c r="SN281" s="243"/>
      <c r="SO281" s="243"/>
      <c r="SP281" s="243"/>
      <c r="SQ281" s="243"/>
      <c r="SR281" s="243"/>
      <c r="SS281" s="243"/>
      <c r="ST281" s="243"/>
      <c r="SU281" s="243"/>
      <c r="SV281" s="243"/>
      <c r="SW281" s="243"/>
      <c r="SX281" s="243"/>
      <c r="SY281" s="243"/>
      <c r="SZ281" s="243"/>
      <c r="TA281" s="243"/>
      <c r="TB281" s="243"/>
      <c r="TC281" s="243"/>
      <c r="TD281" s="243"/>
      <c r="TE281" s="243"/>
      <c r="TF281" s="243"/>
      <c r="TG281" s="243"/>
      <c r="TH281" s="243"/>
      <c r="TI281" s="243"/>
      <c r="TJ281" s="243"/>
      <c r="TK281" s="243"/>
      <c r="TL281" s="243"/>
      <c r="TM281" s="243"/>
      <c r="TN281" s="243"/>
      <c r="TO281" s="243"/>
      <c r="TP281" s="243"/>
      <c r="TQ281" s="243"/>
      <c r="TR281" s="243"/>
      <c r="TS281" s="243"/>
      <c r="TT281" s="243"/>
      <c r="TU281" s="243"/>
      <c r="TV281" s="243"/>
      <c r="TW281" s="243"/>
      <c r="TX281" s="243"/>
      <c r="TY281" s="243"/>
      <c r="TZ281" s="243"/>
      <c r="UA281" s="243"/>
      <c r="UB281" s="243"/>
      <c r="UC281" s="243"/>
      <c r="UD281" s="243"/>
      <c r="UE281" s="243"/>
      <c r="UF281" s="243"/>
      <c r="UG281" s="243"/>
      <c r="UH281" s="243"/>
      <c r="UI281" s="243"/>
      <c r="UJ281" s="243"/>
      <c r="UK281" s="243"/>
      <c r="UL281" s="243"/>
      <c r="UM281" s="243"/>
      <c r="UN281" s="243"/>
      <c r="UO281" s="243"/>
      <c r="UP281" s="243"/>
      <c r="UQ281" s="243"/>
      <c r="UR281" s="243"/>
      <c r="US281" s="243"/>
      <c r="UT281" s="243"/>
      <c r="UU281" s="243"/>
      <c r="UV281" s="243"/>
      <c r="UW281" s="243"/>
      <c r="UX281" s="243"/>
      <c r="UY281" s="243"/>
      <c r="UZ281" s="243"/>
      <c r="VA281" s="243"/>
      <c r="VB281" s="243"/>
      <c r="VC281" s="243"/>
      <c r="VD281" s="243"/>
      <c r="VE281" s="243"/>
      <c r="VF281" s="243"/>
      <c r="VG281" s="243"/>
      <c r="VH281" s="243"/>
      <c r="VI281" s="243"/>
      <c r="VJ281" s="243"/>
      <c r="VK281" s="243"/>
      <c r="VL281" s="243"/>
      <c r="VM281" s="243"/>
      <c r="VN281" s="243"/>
      <c r="VO281" s="243"/>
      <c r="VP281" s="243"/>
      <c r="VQ281" s="243"/>
      <c r="VR281" s="243"/>
      <c r="VS281" s="243"/>
      <c r="VT281" s="243"/>
      <c r="VU281" s="243"/>
      <c r="VV281" s="243"/>
      <c r="VW281" s="243"/>
      <c r="VX281" s="243"/>
      <c r="VY281" s="243"/>
      <c r="VZ281" s="243"/>
      <c r="WA281" s="243"/>
      <c r="WB281" s="243"/>
      <c r="WC281" s="243"/>
      <c r="WD281" s="243"/>
      <c r="WE281" s="243"/>
      <c r="WF281" s="243"/>
      <c r="WG281" s="243"/>
      <c r="WH281" s="243"/>
      <c r="WI281" s="243"/>
      <c r="WJ281" s="243"/>
      <c r="WK281" s="243"/>
      <c r="WL281" s="243"/>
      <c r="WM281" s="243"/>
      <c r="WN281" s="243"/>
      <c r="WO281" s="243"/>
      <c r="WP281" s="243"/>
      <c r="WQ281" s="243"/>
      <c r="WR281" s="243"/>
      <c r="WS281" s="243"/>
      <c r="WT281" s="243"/>
      <c r="WU281" s="243"/>
      <c r="WV281" s="243"/>
      <c r="WW281" s="243"/>
      <c r="WX281" s="243"/>
      <c r="WY281" s="243"/>
      <c r="WZ281" s="243"/>
      <c r="XA281" s="243"/>
      <c r="XB281" s="243"/>
      <c r="XC281" s="243"/>
      <c r="XD281" s="243"/>
      <c r="XE281" s="243"/>
      <c r="XF281" s="243"/>
      <c r="XG281" s="243"/>
      <c r="XH281" s="243"/>
      <c r="XI281" s="243"/>
      <c r="XJ281" s="243"/>
      <c r="XK281" s="243"/>
      <c r="XL281" s="243"/>
      <c r="XM281" s="243"/>
      <c r="XN281" s="243"/>
      <c r="XO281" s="243"/>
      <c r="XP281" s="243"/>
      <c r="XQ281" s="243"/>
      <c r="XR281" s="243"/>
      <c r="XS281" s="243"/>
      <c r="XT281" s="243"/>
      <c r="XU281" s="243"/>
      <c r="XV281" s="243"/>
      <c r="XW281" s="243"/>
      <c r="XX281" s="243"/>
      <c r="XY281" s="243"/>
      <c r="XZ281" s="243"/>
      <c r="YA281" s="243"/>
      <c r="YB281" s="243"/>
      <c r="YC281" s="243"/>
      <c r="YD281" s="243"/>
      <c r="YE281" s="243"/>
      <c r="YF281" s="243"/>
      <c r="YG281" s="243"/>
      <c r="YH281" s="243"/>
      <c r="YI281" s="243"/>
      <c r="YJ281" s="243"/>
      <c r="YK281" s="243"/>
      <c r="YL281" s="243"/>
      <c r="YM281" s="243"/>
      <c r="YN281" s="243"/>
      <c r="YO281" s="243"/>
      <c r="YP281" s="243"/>
      <c r="YQ281" s="243"/>
      <c r="YR281" s="243"/>
      <c r="YS281" s="243"/>
      <c r="YT281" s="243"/>
      <c r="YU281" s="243"/>
      <c r="YV281" s="243"/>
      <c r="YW281" s="243"/>
      <c r="YX281" s="243"/>
      <c r="YY281" s="243"/>
      <c r="YZ281" s="243"/>
      <c r="ZA281" s="243"/>
      <c r="ZB281" s="243"/>
      <c r="ZC281" s="243"/>
      <c r="ZD281" s="243"/>
      <c r="ZE281" s="243"/>
      <c r="ZF281" s="243"/>
      <c r="ZG281" s="243"/>
      <c r="ZH281" s="243"/>
      <c r="ZI281" s="243"/>
      <c r="ZJ281" s="243"/>
      <c r="ZK281" s="243"/>
      <c r="ZL281" s="243"/>
      <c r="ZM281" s="243"/>
      <c r="ZN281" s="243"/>
      <c r="ZO281" s="243"/>
      <c r="ZP281" s="243"/>
      <c r="ZQ281" s="243"/>
      <c r="ZR281" s="243"/>
      <c r="ZS281" s="243"/>
      <c r="ZT281" s="243"/>
      <c r="ZU281" s="243"/>
      <c r="ZV281" s="243"/>
      <c r="ZW281" s="243"/>
      <c r="ZX281" s="243"/>
      <c r="ZY281" s="243"/>
      <c r="ZZ281" s="243"/>
      <c r="AAA281" s="243"/>
      <c r="AAB281" s="243"/>
      <c r="AAC281" s="243"/>
      <c r="AAD281" s="243"/>
      <c r="AAE281" s="243"/>
      <c r="AAF281" s="243"/>
      <c r="AAG281" s="243"/>
      <c r="AAH281" s="243"/>
      <c r="AAI281" s="243"/>
      <c r="AAJ281" s="243"/>
      <c r="AAK281" s="243"/>
      <c r="AAL281" s="243"/>
      <c r="AAM281" s="243"/>
      <c r="AAN281" s="243"/>
      <c r="AAO281" s="243"/>
      <c r="AAP281" s="243"/>
      <c r="AAQ281" s="243"/>
      <c r="AAR281" s="243"/>
      <c r="AAS281" s="243"/>
      <c r="AAT281" s="243"/>
      <c r="AAU281" s="243"/>
      <c r="AAV281" s="243"/>
      <c r="AAW281" s="243"/>
      <c r="AAX281" s="243"/>
      <c r="AAY281" s="243"/>
      <c r="AAZ281" s="243"/>
      <c r="ABA281" s="243"/>
      <c r="ABB281" s="243"/>
      <c r="ABC281" s="243"/>
      <c r="ABD281" s="243"/>
      <c r="ABE281" s="243"/>
      <c r="ABF281" s="243"/>
      <c r="ABG281" s="243"/>
      <c r="ABH281" s="243"/>
      <c r="ABI281" s="243"/>
      <c r="ABJ281" s="243"/>
      <c r="ABK281" s="243"/>
      <c r="ABL281" s="243"/>
      <c r="ABM281" s="243"/>
      <c r="ABN281" s="243"/>
      <c r="ABO281" s="243"/>
      <c r="ABP281" s="243"/>
      <c r="ABQ281" s="243"/>
      <c r="ABR281" s="243"/>
      <c r="ABS281" s="243"/>
      <c r="ABT281" s="243"/>
      <c r="ABU281" s="243"/>
      <c r="ABV281" s="243"/>
      <c r="ABW281" s="243"/>
      <c r="ABX281" s="243"/>
      <c r="ABY281" s="243"/>
      <c r="ABZ281" s="243"/>
      <c r="ACA281" s="243"/>
      <c r="ACB281" s="243"/>
      <c r="ACC281" s="243"/>
      <c r="ACD281" s="243"/>
      <c r="ACE281" s="243"/>
      <c r="ACF281" s="243"/>
      <c r="ACG281" s="243"/>
      <c r="ACH281" s="243"/>
      <c r="ACI281" s="243"/>
      <c r="ACJ281" s="243"/>
      <c r="ACK281" s="243"/>
      <c r="ACL281" s="243"/>
      <c r="ACM281" s="243"/>
      <c r="ACN281" s="243"/>
      <c r="ACO281" s="243"/>
      <c r="ACP281" s="243"/>
      <c r="ACQ281" s="243"/>
      <c r="ACR281" s="243"/>
      <c r="ACS281" s="243"/>
      <c r="ACT281" s="243"/>
      <c r="ACU281" s="243"/>
      <c r="ACV281" s="243"/>
      <c r="ACW281" s="243"/>
      <c r="ACX281" s="243"/>
      <c r="ACY281" s="243"/>
      <c r="ACZ281" s="243"/>
      <c r="ADA281" s="243"/>
      <c r="ADB281" s="243"/>
      <c r="ADC281" s="243"/>
      <c r="ADD281" s="243"/>
      <c r="ADE281" s="243"/>
      <c r="ADF281" s="243"/>
      <c r="ADG281" s="243"/>
      <c r="ADH281" s="243"/>
      <c r="ADI281" s="243"/>
      <c r="ADJ281" s="243"/>
      <c r="ADK281" s="243"/>
      <c r="ADL281" s="243"/>
      <c r="ADM281" s="243"/>
      <c r="ADN281" s="243"/>
      <c r="ADO281" s="243"/>
      <c r="ADP281" s="243"/>
      <c r="ADQ281" s="243"/>
      <c r="ADR281" s="243"/>
      <c r="ADS281" s="243"/>
      <c r="ADT281" s="243"/>
      <c r="ADU281" s="243"/>
      <c r="ADV281" s="243"/>
      <c r="ADW281" s="243"/>
      <c r="ADX281" s="243"/>
      <c r="ADY281" s="243"/>
      <c r="ADZ281" s="243"/>
      <c r="AEA281" s="243"/>
      <c r="AEB281" s="243"/>
      <c r="AEC281" s="243"/>
      <c r="AED281" s="243"/>
      <c r="AEE281" s="243"/>
      <c r="AEF281" s="243"/>
      <c r="AEG281" s="243"/>
      <c r="AEH281" s="243"/>
      <c r="AEI281" s="243"/>
      <c r="AEJ281" s="243"/>
      <c r="AEK281" s="243"/>
      <c r="AEL281" s="243"/>
      <c r="AEM281" s="243"/>
      <c r="AEN281" s="243"/>
      <c r="AEO281" s="243"/>
      <c r="AEP281" s="243"/>
      <c r="AEQ281" s="243"/>
      <c r="AER281" s="243"/>
      <c r="AES281" s="243"/>
      <c r="AET281" s="243"/>
      <c r="AEU281" s="243"/>
      <c r="AEV281" s="243"/>
      <c r="AEW281" s="243"/>
      <c r="AEX281" s="243"/>
      <c r="AEY281" s="243"/>
      <c r="AEZ281" s="243"/>
      <c r="AFA281" s="243"/>
      <c r="AFB281" s="243"/>
      <c r="AFC281" s="243"/>
      <c r="AFD281" s="243"/>
      <c r="AFE281" s="243"/>
      <c r="AFF281" s="243"/>
      <c r="AFG281" s="243"/>
      <c r="AFH281" s="243"/>
      <c r="AFI281" s="243"/>
      <c r="AFJ281" s="243"/>
      <c r="AFK281" s="243"/>
      <c r="AFL281" s="243"/>
      <c r="AFM281" s="243"/>
      <c r="AFN281" s="243"/>
      <c r="AFO281" s="243"/>
      <c r="AFP281" s="243"/>
      <c r="AFQ281" s="243"/>
      <c r="AFR281" s="243"/>
      <c r="AFS281" s="243"/>
      <c r="AFT281" s="243"/>
      <c r="AFU281" s="243"/>
      <c r="AFV281" s="243"/>
      <c r="AFW281" s="243"/>
      <c r="AFX281" s="243"/>
      <c r="AFY281" s="243"/>
      <c r="AFZ281" s="243"/>
      <c r="AGA281" s="243"/>
      <c r="AGB281" s="243"/>
      <c r="AGC281" s="243"/>
      <c r="AGD281" s="243"/>
      <c r="AGE281" s="243"/>
      <c r="AGF281" s="243"/>
      <c r="AGG281" s="243"/>
      <c r="AGH281" s="243"/>
      <c r="AGI281" s="243"/>
      <c r="AGJ281" s="243"/>
      <c r="AGK281" s="243"/>
      <c r="AGL281" s="243"/>
      <c r="AGM281" s="243"/>
      <c r="AGN281" s="243"/>
      <c r="AGO281" s="243"/>
      <c r="AGP281" s="243"/>
      <c r="AGQ281" s="243"/>
      <c r="AGR281" s="243"/>
      <c r="AGS281" s="243"/>
      <c r="AGT281" s="243"/>
      <c r="AGU281" s="243"/>
      <c r="AGV281" s="243"/>
      <c r="AGW281" s="243"/>
      <c r="AGX281" s="243"/>
      <c r="AGY281" s="243"/>
      <c r="AGZ281" s="243"/>
      <c r="AHA281" s="243"/>
      <c r="AHB281" s="243"/>
      <c r="AHC281" s="243"/>
      <c r="AHD281" s="243"/>
      <c r="AHE281" s="243"/>
      <c r="AHF281" s="243"/>
      <c r="AHG281" s="243"/>
      <c r="AHH281" s="243"/>
      <c r="AHI281" s="243"/>
      <c r="AHJ281" s="243"/>
      <c r="AHK281" s="243"/>
      <c r="AHL281" s="243"/>
      <c r="AHM281" s="243"/>
      <c r="AHN281" s="243"/>
      <c r="AHO281" s="243"/>
      <c r="AHP281" s="243"/>
      <c r="AHQ281" s="243"/>
      <c r="AHR281" s="243"/>
      <c r="AHS281" s="243"/>
      <c r="AHT281" s="243"/>
      <c r="AHU281" s="243"/>
      <c r="AHV281" s="243"/>
      <c r="AHW281" s="243"/>
      <c r="AHX281" s="243"/>
      <c r="AHY281" s="243"/>
      <c r="AHZ281" s="243"/>
      <c r="AIA281" s="243"/>
      <c r="AIB281" s="243"/>
      <c r="AIC281" s="243"/>
      <c r="AID281" s="243"/>
      <c r="AIE281" s="243"/>
      <c r="AIF281" s="243"/>
      <c r="AIG281" s="243"/>
      <c r="AIH281" s="243"/>
      <c r="AII281" s="243"/>
      <c r="AIJ281" s="243"/>
      <c r="AIK281" s="243"/>
      <c r="AIL281" s="243"/>
      <c r="AIM281" s="243"/>
      <c r="AIN281" s="243"/>
      <c r="AIO281" s="243"/>
      <c r="AIP281" s="243"/>
      <c r="AIQ281" s="243"/>
      <c r="AIR281" s="243"/>
      <c r="AIS281" s="243"/>
      <c r="AIT281" s="243"/>
      <c r="AIU281" s="243"/>
      <c r="AIV281" s="243"/>
      <c r="AIW281" s="243"/>
      <c r="AIX281" s="243"/>
      <c r="AIY281" s="243"/>
      <c r="AIZ281" s="243"/>
      <c r="AJA281" s="243"/>
      <c r="AJB281" s="243"/>
      <c r="AJC281" s="243"/>
      <c r="AJD281" s="243"/>
      <c r="AJE281" s="243"/>
      <c r="AJF281" s="243"/>
      <c r="AJG281" s="243"/>
      <c r="AJH281" s="243"/>
      <c r="AJI281" s="243"/>
      <c r="AJJ281" s="243"/>
      <c r="AJK281" s="243"/>
      <c r="AJL281" s="243"/>
      <c r="AJM281" s="243"/>
      <c r="AJN281" s="243"/>
      <c r="AJO281" s="243"/>
      <c r="AJP281" s="243"/>
      <c r="AJQ281" s="243"/>
      <c r="AJR281" s="243"/>
      <c r="AJS281" s="243"/>
      <c r="AJT281" s="243"/>
      <c r="AJU281" s="243"/>
      <c r="AJV281" s="243"/>
      <c r="AJW281" s="243"/>
      <c r="AJX281" s="243"/>
      <c r="AJY281" s="243"/>
      <c r="AJZ281" s="243"/>
      <c r="AKA281" s="243"/>
      <c r="AKB281" s="243"/>
      <c r="AKC281" s="243"/>
      <c r="AKD281" s="243"/>
      <c r="AKE281" s="243"/>
      <c r="AKF281" s="243"/>
      <c r="AKG281" s="243"/>
      <c r="AKH281" s="243"/>
      <c r="AKI281" s="243"/>
      <c r="AKJ281" s="243"/>
      <c r="AKK281" s="243"/>
      <c r="AKL281" s="243"/>
      <c r="AKM281" s="243"/>
      <c r="AKN281" s="243"/>
      <c r="AKO281" s="243"/>
      <c r="AKP281" s="243"/>
      <c r="AKQ281" s="243"/>
      <c r="AKR281" s="243"/>
      <c r="AKS281" s="243"/>
      <c r="AKT281" s="243"/>
      <c r="AKU281" s="243"/>
      <c r="AKV281" s="243"/>
      <c r="AKW281" s="243"/>
      <c r="AKX281" s="243"/>
      <c r="AKY281" s="243"/>
      <c r="AKZ281" s="243"/>
      <c r="ALA281" s="243"/>
      <c r="ALB281" s="243"/>
      <c r="ALC281" s="243"/>
      <c r="ALD281" s="243"/>
      <c r="ALE281" s="243"/>
      <c r="ALF281" s="243"/>
      <c r="ALG281" s="243"/>
      <c r="ALH281" s="243"/>
      <c r="ALI281" s="243"/>
      <c r="ALJ281" s="243"/>
      <c r="ALK281" s="243"/>
      <c r="ALL281" s="243"/>
      <c r="ALM281" s="243"/>
      <c r="ALN281" s="243"/>
      <c r="ALO281" s="243"/>
      <c r="ALP281" s="243"/>
      <c r="ALQ281" s="243"/>
      <c r="ALR281" s="243"/>
      <c r="ALS281" s="243"/>
      <c r="ALT281" s="243"/>
      <c r="ALU281" s="243"/>
      <c r="ALV281" s="243"/>
      <c r="ALW281" s="243"/>
      <c r="ALX281" s="243"/>
      <c r="ALY281" s="243"/>
      <c r="ALZ281" s="243"/>
      <c r="AMA281" s="243"/>
      <c r="AMB281" s="243"/>
      <c r="AMC281" s="243"/>
      <c r="AMD281" s="243"/>
      <c r="AME281" s="243"/>
      <c r="AMF281" s="243"/>
      <c r="AMG281" s="243"/>
      <c r="AMH281" s="243"/>
      <c r="AMI281" s="244"/>
      <c r="AMJ281" s="244"/>
    </row>
    <row r="282" spans="1:1024">
      <c r="A282" s="908"/>
      <c r="B282" s="442">
        <v>14222</v>
      </c>
      <c r="C282" s="432">
        <v>0.1</v>
      </c>
      <c r="D282" s="370" t="s">
        <v>189</v>
      </c>
      <c r="E282" s="433">
        <v>2300000</v>
      </c>
      <c r="F282" s="474">
        <v>0.06</v>
      </c>
      <c r="G282" s="401">
        <f t="shared" si="10"/>
        <v>138000</v>
      </c>
      <c r="H282" s="402" t="s">
        <v>123</v>
      </c>
      <c r="I282" s="402" t="s">
        <v>190</v>
      </c>
      <c r="J282" s="402" t="s">
        <v>125</v>
      </c>
      <c r="K282" s="402" t="s">
        <v>123</v>
      </c>
      <c r="L282" s="402" t="s">
        <v>125</v>
      </c>
      <c r="M282" s="395"/>
      <c r="N282" s="396"/>
      <c r="O282" s="377"/>
      <c r="P282" s="377"/>
      <c r="Q282" s="377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3"/>
      <c r="AI282" s="243"/>
      <c r="AJ282" s="243"/>
      <c r="AK282" s="243"/>
      <c r="AL282" s="243"/>
      <c r="AM282" s="243"/>
      <c r="AN282" s="243"/>
      <c r="AO282" s="243"/>
      <c r="AP282" s="243"/>
      <c r="AQ282" s="243"/>
      <c r="AR282" s="243"/>
      <c r="AS282" s="243"/>
      <c r="AT282" s="243"/>
      <c r="AU282" s="243"/>
      <c r="AV282" s="243"/>
      <c r="AW282" s="243"/>
      <c r="AX282" s="243"/>
      <c r="AY282" s="243"/>
      <c r="AZ282" s="243"/>
      <c r="BA282" s="243"/>
      <c r="BB282" s="243"/>
      <c r="BC282" s="243"/>
      <c r="BD282" s="243"/>
      <c r="BE282" s="243"/>
      <c r="BF282" s="243"/>
      <c r="BG282" s="243"/>
      <c r="BH282" s="243"/>
      <c r="BI282" s="243"/>
      <c r="BJ282" s="243"/>
      <c r="BK282" s="243"/>
      <c r="BL282" s="243"/>
      <c r="BM282" s="243"/>
      <c r="BN282" s="243"/>
      <c r="BO282" s="243"/>
      <c r="BP282" s="243"/>
      <c r="BQ282" s="243"/>
      <c r="BR282" s="243"/>
      <c r="BS282" s="243"/>
      <c r="BT282" s="243"/>
      <c r="BU282" s="243"/>
      <c r="BV282" s="243"/>
      <c r="BW282" s="243"/>
      <c r="BX282" s="243"/>
      <c r="BY282" s="243"/>
      <c r="BZ282" s="243"/>
      <c r="CA282" s="243"/>
      <c r="CB282" s="243"/>
      <c r="CC282" s="243"/>
      <c r="CD282" s="243"/>
      <c r="CE282" s="243"/>
      <c r="CF282" s="243"/>
      <c r="CG282" s="243"/>
      <c r="CH282" s="243"/>
      <c r="CI282" s="243"/>
      <c r="CJ282" s="243"/>
      <c r="CK282" s="243"/>
      <c r="CL282" s="243"/>
      <c r="CM282" s="243"/>
      <c r="CN282" s="243"/>
      <c r="CO282" s="243"/>
      <c r="CP282" s="243"/>
      <c r="CQ282" s="243"/>
      <c r="CR282" s="243"/>
      <c r="CS282" s="243"/>
      <c r="CT282" s="243"/>
      <c r="CU282" s="243"/>
      <c r="CV282" s="243"/>
      <c r="CW282" s="243"/>
      <c r="CX282" s="243"/>
      <c r="CY282" s="243"/>
      <c r="CZ282" s="243"/>
      <c r="DA282" s="243"/>
      <c r="DB282" s="243"/>
      <c r="DC282" s="243"/>
      <c r="DD282" s="243"/>
      <c r="DE282" s="243"/>
      <c r="DF282" s="243"/>
      <c r="DG282" s="243"/>
      <c r="DH282" s="243"/>
      <c r="DI282" s="243"/>
      <c r="DJ282" s="243"/>
      <c r="DK282" s="243"/>
      <c r="DL282" s="243"/>
      <c r="DM282" s="243"/>
      <c r="DN282" s="243"/>
      <c r="DO282" s="243"/>
      <c r="DP282" s="243"/>
      <c r="DQ282" s="243"/>
      <c r="DR282" s="243"/>
      <c r="DS282" s="243"/>
      <c r="DT282" s="243"/>
      <c r="DU282" s="243"/>
      <c r="DV282" s="243"/>
      <c r="DW282" s="243"/>
      <c r="DX282" s="243"/>
      <c r="DY282" s="243"/>
      <c r="DZ282" s="243"/>
      <c r="EA282" s="243"/>
      <c r="EB282" s="243"/>
      <c r="EC282" s="243"/>
      <c r="ED282" s="243"/>
      <c r="EE282" s="243"/>
      <c r="EF282" s="243"/>
      <c r="EG282" s="243"/>
      <c r="EH282" s="243"/>
      <c r="EI282" s="243"/>
      <c r="EJ282" s="243"/>
      <c r="EK282" s="243"/>
      <c r="EL282" s="243"/>
      <c r="EM282" s="243"/>
      <c r="EN282" s="243"/>
      <c r="EO282" s="243"/>
      <c r="EP282" s="243"/>
      <c r="EQ282" s="243"/>
      <c r="ER282" s="243"/>
      <c r="ES282" s="243"/>
      <c r="ET282" s="243"/>
      <c r="EU282" s="243"/>
      <c r="EV282" s="243"/>
      <c r="EW282" s="243"/>
      <c r="EX282" s="243"/>
      <c r="EY282" s="243"/>
      <c r="EZ282" s="243"/>
      <c r="FA282" s="243"/>
      <c r="FB282" s="243"/>
      <c r="FC282" s="243"/>
      <c r="FD282" s="243"/>
      <c r="FE282" s="243"/>
      <c r="FF282" s="243"/>
      <c r="FG282" s="243"/>
      <c r="FH282" s="243"/>
      <c r="FI282" s="243"/>
      <c r="FJ282" s="243"/>
      <c r="FK282" s="243"/>
      <c r="FL282" s="243"/>
      <c r="FM282" s="243"/>
      <c r="FN282" s="243"/>
      <c r="FO282" s="243"/>
      <c r="FP282" s="243"/>
      <c r="FQ282" s="243"/>
      <c r="FR282" s="243"/>
      <c r="FS282" s="243"/>
      <c r="FT282" s="243"/>
      <c r="FU282" s="243"/>
      <c r="FV282" s="243"/>
      <c r="FW282" s="243"/>
      <c r="FX282" s="243"/>
      <c r="FY282" s="243"/>
      <c r="FZ282" s="243"/>
      <c r="GA282" s="243"/>
      <c r="GB282" s="243"/>
      <c r="GC282" s="243"/>
      <c r="GD282" s="243"/>
      <c r="GE282" s="243"/>
      <c r="GF282" s="243"/>
      <c r="GG282" s="243"/>
      <c r="GH282" s="243"/>
      <c r="GI282" s="243"/>
      <c r="GJ282" s="243"/>
      <c r="GK282" s="243"/>
      <c r="GL282" s="243"/>
      <c r="GM282" s="243"/>
      <c r="GN282" s="243"/>
      <c r="GO282" s="243"/>
      <c r="GP282" s="243"/>
      <c r="GQ282" s="243"/>
      <c r="GR282" s="243"/>
      <c r="GS282" s="243"/>
      <c r="GT282" s="243"/>
      <c r="GU282" s="243"/>
      <c r="GV282" s="243"/>
      <c r="GW282" s="243"/>
      <c r="GX282" s="243"/>
      <c r="GY282" s="243"/>
      <c r="GZ282" s="243"/>
      <c r="HA282" s="243"/>
      <c r="HB282" s="243"/>
      <c r="HC282" s="243"/>
      <c r="HD282" s="243"/>
      <c r="HE282" s="243"/>
      <c r="HF282" s="243"/>
      <c r="HG282" s="243"/>
      <c r="HH282" s="243"/>
      <c r="HI282" s="243"/>
      <c r="HJ282" s="243"/>
      <c r="HK282" s="243"/>
      <c r="HL282" s="243"/>
      <c r="HM282" s="243"/>
      <c r="HN282" s="243"/>
      <c r="HO282" s="243"/>
      <c r="HP282" s="243"/>
      <c r="HQ282" s="243"/>
      <c r="HR282" s="243"/>
      <c r="HS282" s="243"/>
      <c r="HT282" s="243"/>
      <c r="HU282" s="243"/>
      <c r="HV282" s="243"/>
      <c r="HW282" s="243"/>
      <c r="HX282" s="243"/>
      <c r="HY282" s="243"/>
      <c r="HZ282" s="243"/>
      <c r="IA282" s="243"/>
      <c r="IB282" s="243"/>
      <c r="IC282" s="243"/>
      <c r="ID282" s="243"/>
      <c r="IE282" s="243"/>
      <c r="IF282" s="243"/>
      <c r="IG282" s="243"/>
      <c r="IH282" s="243"/>
      <c r="II282" s="243"/>
      <c r="IJ282" s="243"/>
      <c r="IK282" s="243"/>
      <c r="IL282" s="243"/>
      <c r="IM282" s="243"/>
      <c r="IN282" s="243"/>
      <c r="IO282" s="243"/>
      <c r="IP282" s="243"/>
      <c r="IQ282" s="243"/>
      <c r="IR282" s="243"/>
      <c r="IS282" s="243"/>
      <c r="IT282" s="243"/>
      <c r="IU282" s="243"/>
      <c r="IV282" s="243"/>
      <c r="IW282" s="243"/>
      <c r="IX282" s="243"/>
      <c r="IY282" s="243"/>
      <c r="IZ282" s="243"/>
      <c r="JA282" s="243"/>
      <c r="JB282" s="243"/>
      <c r="JC282" s="243"/>
      <c r="JD282" s="243"/>
      <c r="JE282" s="243"/>
      <c r="JF282" s="243"/>
      <c r="JG282" s="243"/>
      <c r="JH282" s="243"/>
      <c r="JI282" s="243"/>
      <c r="JJ282" s="243"/>
      <c r="JK282" s="243"/>
      <c r="JL282" s="243"/>
      <c r="JM282" s="243"/>
      <c r="JN282" s="243"/>
      <c r="JO282" s="243"/>
      <c r="JP282" s="243"/>
      <c r="JQ282" s="243"/>
      <c r="JR282" s="243"/>
      <c r="JS282" s="243"/>
      <c r="JT282" s="243"/>
      <c r="JU282" s="243"/>
      <c r="JV282" s="243"/>
      <c r="JW282" s="243"/>
      <c r="JX282" s="243"/>
      <c r="JY282" s="243"/>
      <c r="JZ282" s="243"/>
      <c r="KA282" s="243"/>
      <c r="KB282" s="243"/>
      <c r="KC282" s="243"/>
      <c r="KD282" s="243"/>
      <c r="KE282" s="243"/>
      <c r="KF282" s="243"/>
      <c r="KG282" s="243"/>
      <c r="KH282" s="243"/>
      <c r="KI282" s="243"/>
      <c r="KJ282" s="243"/>
      <c r="KK282" s="243"/>
      <c r="KL282" s="243"/>
      <c r="KM282" s="243"/>
      <c r="KN282" s="243"/>
      <c r="KO282" s="243"/>
      <c r="KP282" s="243"/>
      <c r="KQ282" s="243"/>
      <c r="KR282" s="243"/>
      <c r="KS282" s="243"/>
      <c r="KT282" s="243"/>
      <c r="KU282" s="243"/>
      <c r="KV282" s="243"/>
      <c r="KW282" s="243"/>
      <c r="KX282" s="243"/>
      <c r="KY282" s="243"/>
      <c r="KZ282" s="243"/>
      <c r="LA282" s="243"/>
      <c r="LB282" s="243"/>
      <c r="LC282" s="243"/>
      <c r="LD282" s="243"/>
      <c r="LE282" s="243"/>
      <c r="LF282" s="243"/>
      <c r="LG282" s="243"/>
      <c r="LH282" s="243"/>
      <c r="LI282" s="243"/>
      <c r="LJ282" s="243"/>
      <c r="LK282" s="243"/>
      <c r="LL282" s="243"/>
      <c r="LM282" s="243"/>
      <c r="LN282" s="243"/>
      <c r="LO282" s="243"/>
      <c r="LP282" s="243"/>
      <c r="LQ282" s="243"/>
      <c r="LR282" s="243"/>
      <c r="LS282" s="243"/>
      <c r="LT282" s="243"/>
      <c r="LU282" s="243"/>
      <c r="LV282" s="243"/>
      <c r="LW282" s="243"/>
      <c r="LX282" s="243"/>
      <c r="LY282" s="243"/>
      <c r="LZ282" s="243"/>
      <c r="MA282" s="243"/>
      <c r="MB282" s="243"/>
      <c r="MC282" s="243"/>
      <c r="MD282" s="243"/>
      <c r="ME282" s="243"/>
      <c r="MF282" s="243"/>
      <c r="MG282" s="243"/>
      <c r="MH282" s="243"/>
      <c r="MI282" s="243"/>
      <c r="MJ282" s="243"/>
      <c r="MK282" s="243"/>
      <c r="ML282" s="243"/>
      <c r="MM282" s="243"/>
      <c r="MN282" s="243"/>
      <c r="MO282" s="243"/>
      <c r="MP282" s="243"/>
      <c r="MQ282" s="243"/>
      <c r="MR282" s="243"/>
      <c r="MS282" s="243"/>
      <c r="MT282" s="243"/>
      <c r="MU282" s="243"/>
      <c r="MV282" s="243"/>
      <c r="MW282" s="243"/>
      <c r="MX282" s="243"/>
      <c r="MY282" s="243"/>
      <c r="MZ282" s="243"/>
      <c r="NA282" s="243"/>
      <c r="NB282" s="243"/>
      <c r="NC282" s="243"/>
      <c r="ND282" s="243"/>
      <c r="NE282" s="243"/>
      <c r="NF282" s="243"/>
      <c r="NG282" s="243"/>
      <c r="NH282" s="243"/>
      <c r="NI282" s="243"/>
      <c r="NJ282" s="243"/>
      <c r="NK282" s="243"/>
      <c r="NL282" s="243"/>
      <c r="NM282" s="243"/>
      <c r="NN282" s="243"/>
      <c r="NO282" s="243"/>
      <c r="NP282" s="243"/>
      <c r="NQ282" s="243"/>
      <c r="NR282" s="243"/>
      <c r="NS282" s="243"/>
      <c r="NT282" s="243"/>
      <c r="NU282" s="243"/>
      <c r="NV282" s="243"/>
      <c r="NW282" s="243"/>
      <c r="NX282" s="243"/>
      <c r="NY282" s="243"/>
      <c r="NZ282" s="243"/>
      <c r="OA282" s="243"/>
      <c r="OB282" s="243"/>
      <c r="OC282" s="243"/>
      <c r="OD282" s="243"/>
      <c r="OE282" s="243"/>
      <c r="OF282" s="243"/>
      <c r="OG282" s="243"/>
      <c r="OH282" s="243"/>
      <c r="OI282" s="243"/>
      <c r="OJ282" s="243"/>
      <c r="OK282" s="243"/>
      <c r="OL282" s="243"/>
      <c r="OM282" s="243"/>
      <c r="ON282" s="243"/>
      <c r="OO282" s="243"/>
      <c r="OP282" s="243"/>
      <c r="OQ282" s="243"/>
      <c r="OR282" s="243"/>
      <c r="OS282" s="243"/>
      <c r="OT282" s="243"/>
      <c r="OU282" s="243"/>
      <c r="OV282" s="243"/>
      <c r="OW282" s="243"/>
      <c r="OX282" s="243"/>
      <c r="OY282" s="243"/>
      <c r="OZ282" s="243"/>
      <c r="PA282" s="243"/>
      <c r="PB282" s="243"/>
      <c r="PC282" s="243"/>
      <c r="PD282" s="243"/>
      <c r="PE282" s="243"/>
      <c r="PF282" s="243"/>
      <c r="PG282" s="243"/>
      <c r="PH282" s="243"/>
      <c r="PI282" s="243"/>
      <c r="PJ282" s="243"/>
      <c r="PK282" s="243"/>
      <c r="PL282" s="243"/>
      <c r="PM282" s="243"/>
      <c r="PN282" s="243"/>
      <c r="PO282" s="243"/>
      <c r="PP282" s="243"/>
      <c r="PQ282" s="243"/>
      <c r="PR282" s="243"/>
      <c r="PS282" s="243"/>
      <c r="PT282" s="243"/>
      <c r="PU282" s="243"/>
      <c r="PV282" s="243"/>
      <c r="PW282" s="243"/>
      <c r="PX282" s="243"/>
      <c r="PY282" s="243"/>
      <c r="PZ282" s="243"/>
      <c r="QA282" s="243"/>
      <c r="QB282" s="243"/>
      <c r="QC282" s="243"/>
      <c r="QD282" s="243"/>
      <c r="QE282" s="243"/>
      <c r="QF282" s="243"/>
      <c r="QG282" s="243"/>
      <c r="QH282" s="243"/>
      <c r="QI282" s="243"/>
      <c r="QJ282" s="243"/>
      <c r="QK282" s="243"/>
      <c r="QL282" s="243"/>
      <c r="QM282" s="243"/>
      <c r="QN282" s="243"/>
      <c r="QO282" s="243"/>
      <c r="QP282" s="243"/>
      <c r="QQ282" s="243"/>
      <c r="QR282" s="243"/>
      <c r="QS282" s="243"/>
      <c r="QT282" s="243"/>
      <c r="QU282" s="243"/>
      <c r="QV282" s="243"/>
      <c r="QW282" s="243"/>
      <c r="QX282" s="243"/>
      <c r="QY282" s="243"/>
      <c r="QZ282" s="243"/>
      <c r="RA282" s="243"/>
      <c r="RB282" s="243"/>
      <c r="RC282" s="243"/>
      <c r="RD282" s="243"/>
      <c r="RE282" s="243"/>
      <c r="RF282" s="243"/>
      <c r="RG282" s="243"/>
      <c r="RH282" s="243"/>
      <c r="RI282" s="243"/>
      <c r="RJ282" s="243"/>
      <c r="RK282" s="243"/>
      <c r="RL282" s="243"/>
      <c r="RM282" s="243"/>
      <c r="RN282" s="243"/>
      <c r="RO282" s="243"/>
      <c r="RP282" s="243"/>
      <c r="RQ282" s="243"/>
      <c r="RR282" s="243"/>
      <c r="RS282" s="243"/>
      <c r="RT282" s="243"/>
      <c r="RU282" s="243"/>
      <c r="RV282" s="243"/>
      <c r="RW282" s="243"/>
      <c r="RX282" s="243"/>
      <c r="RY282" s="243"/>
      <c r="RZ282" s="243"/>
      <c r="SA282" s="243"/>
      <c r="SB282" s="243"/>
      <c r="SC282" s="243"/>
      <c r="SD282" s="243"/>
      <c r="SE282" s="243"/>
      <c r="SF282" s="243"/>
      <c r="SG282" s="243"/>
      <c r="SH282" s="243"/>
      <c r="SI282" s="243"/>
      <c r="SJ282" s="243"/>
      <c r="SK282" s="243"/>
      <c r="SL282" s="243"/>
      <c r="SM282" s="243"/>
      <c r="SN282" s="243"/>
      <c r="SO282" s="243"/>
      <c r="SP282" s="243"/>
      <c r="SQ282" s="243"/>
      <c r="SR282" s="243"/>
      <c r="SS282" s="243"/>
      <c r="ST282" s="243"/>
      <c r="SU282" s="243"/>
      <c r="SV282" s="243"/>
      <c r="SW282" s="243"/>
      <c r="SX282" s="243"/>
      <c r="SY282" s="243"/>
      <c r="SZ282" s="243"/>
      <c r="TA282" s="243"/>
      <c r="TB282" s="243"/>
      <c r="TC282" s="243"/>
      <c r="TD282" s="243"/>
      <c r="TE282" s="243"/>
      <c r="TF282" s="243"/>
      <c r="TG282" s="243"/>
      <c r="TH282" s="243"/>
      <c r="TI282" s="243"/>
      <c r="TJ282" s="243"/>
      <c r="TK282" s="243"/>
      <c r="TL282" s="243"/>
      <c r="TM282" s="243"/>
      <c r="TN282" s="243"/>
      <c r="TO282" s="243"/>
      <c r="TP282" s="243"/>
      <c r="TQ282" s="243"/>
      <c r="TR282" s="243"/>
      <c r="TS282" s="243"/>
      <c r="TT282" s="243"/>
      <c r="TU282" s="243"/>
      <c r="TV282" s="243"/>
      <c r="TW282" s="243"/>
      <c r="TX282" s="243"/>
      <c r="TY282" s="243"/>
      <c r="TZ282" s="243"/>
      <c r="UA282" s="243"/>
      <c r="UB282" s="243"/>
      <c r="UC282" s="243"/>
      <c r="UD282" s="243"/>
      <c r="UE282" s="243"/>
      <c r="UF282" s="243"/>
      <c r="UG282" s="243"/>
      <c r="UH282" s="243"/>
      <c r="UI282" s="243"/>
      <c r="UJ282" s="243"/>
      <c r="UK282" s="243"/>
      <c r="UL282" s="243"/>
      <c r="UM282" s="243"/>
      <c r="UN282" s="243"/>
      <c r="UO282" s="243"/>
      <c r="UP282" s="243"/>
      <c r="UQ282" s="243"/>
      <c r="UR282" s="243"/>
      <c r="US282" s="243"/>
      <c r="UT282" s="243"/>
      <c r="UU282" s="243"/>
      <c r="UV282" s="243"/>
      <c r="UW282" s="243"/>
      <c r="UX282" s="243"/>
      <c r="UY282" s="243"/>
      <c r="UZ282" s="243"/>
      <c r="VA282" s="243"/>
      <c r="VB282" s="243"/>
      <c r="VC282" s="243"/>
      <c r="VD282" s="243"/>
      <c r="VE282" s="243"/>
      <c r="VF282" s="243"/>
      <c r="VG282" s="243"/>
      <c r="VH282" s="243"/>
      <c r="VI282" s="243"/>
      <c r="VJ282" s="243"/>
      <c r="VK282" s="243"/>
      <c r="VL282" s="243"/>
      <c r="VM282" s="243"/>
      <c r="VN282" s="243"/>
      <c r="VO282" s="243"/>
      <c r="VP282" s="243"/>
      <c r="VQ282" s="243"/>
      <c r="VR282" s="243"/>
      <c r="VS282" s="243"/>
      <c r="VT282" s="243"/>
      <c r="VU282" s="243"/>
      <c r="VV282" s="243"/>
      <c r="VW282" s="243"/>
      <c r="VX282" s="243"/>
      <c r="VY282" s="243"/>
      <c r="VZ282" s="243"/>
      <c r="WA282" s="243"/>
      <c r="WB282" s="243"/>
      <c r="WC282" s="243"/>
      <c r="WD282" s="243"/>
      <c r="WE282" s="243"/>
      <c r="WF282" s="243"/>
      <c r="WG282" s="243"/>
      <c r="WH282" s="243"/>
      <c r="WI282" s="243"/>
      <c r="WJ282" s="243"/>
      <c r="WK282" s="243"/>
      <c r="WL282" s="243"/>
      <c r="WM282" s="243"/>
      <c r="WN282" s="243"/>
      <c r="WO282" s="243"/>
      <c r="WP282" s="243"/>
      <c r="WQ282" s="243"/>
      <c r="WR282" s="243"/>
      <c r="WS282" s="243"/>
      <c r="WT282" s="243"/>
      <c r="WU282" s="243"/>
      <c r="WV282" s="243"/>
      <c r="WW282" s="243"/>
      <c r="WX282" s="243"/>
      <c r="WY282" s="243"/>
      <c r="WZ282" s="243"/>
      <c r="XA282" s="243"/>
      <c r="XB282" s="243"/>
      <c r="XC282" s="243"/>
      <c r="XD282" s="243"/>
      <c r="XE282" s="243"/>
      <c r="XF282" s="243"/>
      <c r="XG282" s="243"/>
      <c r="XH282" s="243"/>
      <c r="XI282" s="243"/>
      <c r="XJ282" s="243"/>
      <c r="XK282" s="243"/>
      <c r="XL282" s="243"/>
      <c r="XM282" s="243"/>
      <c r="XN282" s="243"/>
      <c r="XO282" s="243"/>
      <c r="XP282" s="243"/>
      <c r="XQ282" s="243"/>
      <c r="XR282" s="243"/>
      <c r="XS282" s="243"/>
      <c r="XT282" s="243"/>
      <c r="XU282" s="243"/>
      <c r="XV282" s="243"/>
      <c r="XW282" s="243"/>
      <c r="XX282" s="243"/>
      <c r="XY282" s="243"/>
      <c r="XZ282" s="243"/>
      <c r="YA282" s="243"/>
      <c r="YB282" s="243"/>
      <c r="YC282" s="243"/>
      <c r="YD282" s="243"/>
      <c r="YE282" s="243"/>
      <c r="YF282" s="243"/>
      <c r="YG282" s="243"/>
      <c r="YH282" s="243"/>
      <c r="YI282" s="243"/>
      <c r="YJ282" s="243"/>
      <c r="YK282" s="243"/>
      <c r="YL282" s="243"/>
      <c r="YM282" s="243"/>
      <c r="YN282" s="243"/>
      <c r="YO282" s="243"/>
      <c r="YP282" s="243"/>
      <c r="YQ282" s="243"/>
      <c r="YR282" s="243"/>
      <c r="YS282" s="243"/>
      <c r="YT282" s="243"/>
      <c r="YU282" s="243"/>
      <c r="YV282" s="243"/>
      <c r="YW282" s="243"/>
      <c r="YX282" s="243"/>
      <c r="YY282" s="243"/>
      <c r="YZ282" s="243"/>
      <c r="ZA282" s="243"/>
      <c r="ZB282" s="243"/>
      <c r="ZC282" s="243"/>
      <c r="ZD282" s="243"/>
      <c r="ZE282" s="243"/>
      <c r="ZF282" s="243"/>
      <c r="ZG282" s="243"/>
      <c r="ZH282" s="243"/>
      <c r="ZI282" s="243"/>
      <c r="ZJ282" s="243"/>
      <c r="ZK282" s="243"/>
      <c r="ZL282" s="243"/>
      <c r="ZM282" s="243"/>
      <c r="ZN282" s="243"/>
      <c r="ZO282" s="243"/>
      <c r="ZP282" s="243"/>
      <c r="ZQ282" s="243"/>
      <c r="ZR282" s="243"/>
      <c r="ZS282" s="243"/>
      <c r="ZT282" s="243"/>
      <c r="ZU282" s="243"/>
      <c r="ZV282" s="243"/>
      <c r="ZW282" s="243"/>
      <c r="ZX282" s="243"/>
      <c r="ZY282" s="243"/>
      <c r="ZZ282" s="243"/>
      <c r="AAA282" s="243"/>
      <c r="AAB282" s="243"/>
      <c r="AAC282" s="243"/>
      <c r="AAD282" s="243"/>
      <c r="AAE282" s="243"/>
      <c r="AAF282" s="243"/>
      <c r="AAG282" s="243"/>
      <c r="AAH282" s="243"/>
      <c r="AAI282" s="243"/>
      <c r="AAJ282" s="243"/>
      <c r="AAK282" s="243"/>
      <c r="AAL282" s="243"/>
      <c r="AAM282" s="243"/>
      <c r="AAN282" s="243"/>
      <c r="AAO282" s="243"/>
      <c r="AAP282" s="243"/>
      <c r="AAQ282" s="243"/>
      <c r="AAR282" s="243"/>
      <c r="AAS282" s="243"/>
      <c r="AAT282" s="243"/>
      <c r="AAU282" s="243"/>
      <c r="AAV282" s="243"/>
      <c r="AAW282" s="243"/>
      <c r="AAX282" s="243"/>
      <c r="AAY282" s="243"/>
      <c r="AAZ282" s="243"/>
      <c r="ABA282" s="243"/>
      <c r="ABB282" s="243"/>
      <c r="ABC282" s="243"/>
      <c r="ABD282" s="243"/>
      <c r="ABE282" s="243"/>
      <c r="ABF282" s="243"/>
      <c r="ABG282" s="243"/>
      <c r="ABH282" s="243"/>
      <c r="ABI282" s="243"/>
      <c r="ABJ282" s="243"/>
      <c r="ABK282" s="243"/>
      <c r="ABL282" s="243"/>
      <c r="ABM282" s="243"/>
      <c r="ABN282" s="243"/>
      <c r="ABO282" s="243"/>
      <c r="ABP282" s="243"/>
      <c r="ABQ282" s="243"/>
      <c r="ABR282" s="243"/>
      <c r="ABS282" s="243"/>
      <c r="ABT282" s="243"/>
      <c r="ABU282" s="243"/>
      <c r="ABV282" s="243"/>
      <c r="ABW282" s="243"/>
      <c r="ABX282" s="243"/>
      <c r="ABY282" s="243"/>
      <c r="ABZ282" s="243"/>
      <c r="ACA282" s="243"/>
      <c r="ACB282" s="243"/>
      <c r="ACC282" s="243"/>
      <c r="ACD282" s="243"/>
      <c r="ACE282" s="243"/>
      <c r="ACF282" s="243"/>
      <c r="ACG282" s="243"/>
      <c r="ACH282" s="243"/>
      <c r="ACI282" s="243"/>
      <c r="ACJ282" s="243"/>
      <c r="ACK282" s="243"/>
      <c r="ACL282" s="243"/>
      <c r="ACM282" s="243"/>
      <c r="ACN282" s="243"/>
      <c r="ACO282" s="243"/>
      <c r="ACP282" s="243"/>
      <c r="ACQ282" s="243"/>
      <c r="ACR282" s="243"/>
      <c r="ACS282" s="243"/>
      <c r="ACT282" s="243"/>
      <c r="ACU282" s="243"/>
      <c r="ACV282" s="243"/>
      <c r="ACW282" s="243"/>
      <c r="ACX282" s="243"/>
      <c r="ACY282" s="243"/>
      <c r="ACZ282" s="243"/>
      <c r="ADA282" s="243"/>
      <c r="ADB282" s="243"/>
      <c r="ADC282" s="243"/>
      <c r="ADD282" s="243"/>
      <c r="ADE282" s="243"/>
      <c r="ADF282" s="243"/>
      <c r="ADG282" s="243"/>
      <c r="ADH282" s="243"/>
      <c r="ADI282" s="243"/>
      <c r="ADJ282" s="243"/>
      <c r="ADK282" s="243"/>
      <c r="ADL282" s="243"/>
      <c r="ADM282" s="243"/>
      <c r="ADN282" s="243"/>
      <c r="ADO282" s="243"/>
      <c r="ADP282" s="243"/>
      <c r="ADQ282" s="243"/>
      <c r="ADR282" s="243"/>
      <c r="ADS282" s="243"/>
      <c r="ADT282" s="243"/>
      <c r="ADU282" s="243"/>
      <c r="ADV282" s="243"/>
      <c r="ADW282" s="243"/>
      <c r="ADX282" s="243"/>
      <c r="ADY282" s="243"/>
      <c r="ADZ282" s="243"/>
      <c r="AEA282" s="243"/>
      <c r="AEB282" s="243"/>
      <c r="AEC282" s="243"/>
      <c r="AED282" s="243"/>
      <c r="AEE282" s="243"/>
      <c r="AEF282" s="243"/>
      <c r="AEG282" s="243"/>
      <c r="AEH282" s="243"/>
      <c r="AEI282" s="243"/>
      <c r="AEJ282" s="243"/>
      <c r="AEK282" s="243"/>
      <c r="AEL282" s="243"/>
      <c r="AEM282" s="243"/>
      <c r="AEN282" s="243"/>
      <c r="AEO282" s="243"/>
      <c r="AEP282" s="243"/>
      <c r="AEQ282" s="243"/>
      <c r="AER282" s="243"/>
      <c r="AES282" s="243"/>
      <c r="AET282" s="243"/>
      <c r="AEU282" s="243"/>
      <c r="AEV282" s="243"/>
      <c r="AEW282" s="243"/>
      <c r="AEX282" s="243"/>
      <c r="AEY282" s="243"/>
      <c r="AEZ282" s="243"/>
      <c r="AFA282" s="243"/>
      <c r="AFB282" s="243"/>
      <c r="AFC282" s="243"/>
      <c r="AFD282" s="243"/>
      <c r="AFE282" s="243"/>
      <c r="AFF282" s="243"/>
      <c r="AFG282" s="243"/>
      <c r="AFH282" s="243"/>
      <c r="AFI282" s="243"/>
      <c r="AFJ282" s="243"/>
      <c r="AFK282" s="243"/>
      <c r="AFL282" s="243"/>
      <c r="AFM282" s="243"/>
      <c r="AFN282" s="243"/>
      <c r="AFO282" s="243"/>
      <c r="AFP282" s="243"/>
      <c r="AFQ282" s="243"/>
      <c r="AFR282" s="243"/>
      <c r="AFS282" s="243"/>
      <c r="AFT282" s="243"/>
      <c r="AFU282" s="243"/>
      <c r="AFV282" s="243"/>
      <c r="AFW282" s="243"/>
      <c r="AFX282" s="243"/>
      <c r="AFY282" s="243"/>
      <c r="AFZ282" s="243"/>
      <c r="AGA282" s="243"/>
      <c r="AGB282" s="243"/>
      <c r="AGC282" s="243"/>
      <c r="AGD282" s="243"/>
      <c r="AGE282" s="243"/>
      <c r="AGF282" s="243"/>
      <c r="AGG282" s="243"/>
      <c r="AGH282" s="243"/>
      <c r="AGI282" s="243"/>
      <c r="AGJ282" s="243"/>
      <c r="AGK282" s="243"/>
      <c r="AGL282" s="243"/>
      <c r="AGM282" s="243"/>
      <c r="AGN282" s="243"/>
      <c r="AGO282" s="243"/>
      <c r="AGP282" s="243"/>
      <c r="AGQ282" s="243"/>
      <c r="AGR282" s="243"/>
      <c r="AGS282" s="243"/>
      <c r="AGT282" s="243"/>
      <c r="AGU282" s="243"/>
      <c r="AGV282" s="243"/>
      <c r="AGW282" s="243"/>
      <c r="AGX282" s="243"/>
      <c r="AGY282" s="243"/>
      <c r="AGZ282" s="243"/>
      <c r="AHA282" s="243"/>
      <c r="AHB282" s="243"/>
      <c r="AHC282" s="243"/>
      <c r="AHD282" s="243"/>
      <c r="AHE282" s="243"/>
      <c r="AHF282" s="243"/>
      <c r="AHG282" s="243"/>
      <c r="AHH282" s="243"/>
      <c r="AHI282" s="243"/>
      <c r="AHJ282" s="243"/>
      <c r="AHK282" s="243"/>
      <c r="AHL282" s="243"/>
      <c r="AHM282" s="243"/>
      <c r="AHN282" s="243"/>
      <c r="AHO282" s="243"/>
      <c r="AHP282" s="243"/>
      <c r="AHQ282" s="243"/>
      <c r="AHR282" s="243"/>
      <c r="AHS282" s="243"/>
      <c r="AHT282" s="243"/>
      <c r="AHU282" s="243"/>
      <c r="AHV282" s="243"/>
      <c r="AHW282" s="243"/>
      <c r="AHX282" s="243"/>
      <c r="AHY282" s="243"/>
      <c r="AHZ282" s="243"/>
      <c r="AIA282" s="243"/>
      <c r="AIB282" s="243"/>
      <c r="AIC282" s="243"/>
      <c r="AID282" s="243"/>
      <c r="AIE282" s="243"/>
      <c r="AIF282" s="243"/>
      <c r="AIG282" s="243"/>
      <c r="AIH282" s="243"/>
      <c r="AII282" s="243"/>
      <c r="AIJ282" s="243"/>
      <c r="AIK282" s="243"/>
      <c r="AIL282" s="243"/>
      <c r="AIM282" s="243"/>
      <c r="AIN282" s="243"/>
      <c r="AIO282" s="243"/>
      <c r="AIP282" s="243"/>
      <c r="AIQ282" s="243"/>
      <c r="AIR282" s="243"/>
      <c r="AIS282" s="243"/>
      <c r="AIT282" s="243"/>
      <c r="AIU282" s="243"/>
      <c r="AIV282" s="243"/>
      <c r="AIW282" s="243"/>
      <c r="AIX282" s="243"/>
      <c r="AIY282" s="243"/>
      <c r="AIZ282" s="243"/>
      <c r="AJA282" s="243"/>
      <c r="AJB282" s="243"/>
      <c r="AJC282" s="243"/>
      <c r="AJD282" s="243"/>
      <c r="AJE282" s="243"/>
      <c r="AJF282" s="243"/>
      <c r="AJG282" s="243"/>
      <c r="AJH282" s="243"/>
      <c r="AJI282" s="243"/>
      <c r="AJJ282" s="243"/>
      <c r="AJK282" s="243"/>
      <c r="AJL282" s="243"/>
      <c r="AJM282" s="243"/>
      <c r="AJN282" s="243"/>
      <c r="AJO282" s="243"/>
      <c r="AJP282" s="243"/>
      <c r="AJQ282" s="243"/>
      <c r="AJR282" s="243"/>
      <c r="AJS282" s="243"/>
      <c r="AJT282" s="243"/>
      <c r="AJU282" s="243"/>
      <c r="AJV282" s="243"/>
      <c r="AJW282" s="243"/>
      <c r="AJX282" s="243"/>
      <c r="AJY282" s="243"/>
      <c r="AJZ282" s="243"/>
      <c r="AKA282" s="243"/>
      <c r="AKB282" s="243"/>
      <c r="AKC282" s="243"/>
      <c r="AKD282" s="243"/>
      <c r="AKE282" s="243"/>
      <c r="AKF282" s="243"/>
      <c r="AKG282" s="243"/>
      <c r="AKH282" s="243"/>
      <c r="AKI282" s="243"/>
      <c r="AKJ282" s="243"/>
      <c r="AKK282" s="243"/>
      <c r="AKL282" s="243"/>
      <c r="AKM282" s="243"/>
      <c r="AKN282" s="243"/>
      <c r="AKO282" s="243"/>
      <c r="AKP282" s="243"/>
      <c r="AKQ282" s="243"/>
      <c r="AKR282" s="243"/>
      <c r="AKS282" s="243"/>
      <c r="AKT282" s="243"/>
      <c r="AKU282" s="243"/>
      <c r="AKV282" s="243"/>
      <c r="AKW282" s="243"/>
      <c r="AKX282" s="243"/>
      <c r="AKY282" s="243"/>
      <c r="AKZ282" s="243"/>
      <c r="ALA282" s="243"/>
      <c r="ALB282" s="243"/>
      <c r="ALC282" s="243"/>
      <c r="ALD282" s="243"/>
      <c r="ALE282" s="243"/>
      <c r="ALF282" s="243"/>
      <c r="ALG282" s="243"/>
      <c r="ALH282" s="243"/>
      <c r="ALI282" s="243"/>
      <c r="ALJ282" s="243"/>
      <c r="ALK282" s="243"/>
      <c r="ALL282" s="243"/>
      <c r="ALM282" s="243"/>
      <c r="ALN282" s="243"/>
      <c r="ALO282" s="243"/>
      <c r="ALP282" s="243"/>
      <c r="ALQ282" s="243"/>
      <c r="ALR282" s="243"/>
      <c r="ALS282" s="243"/>
      <c r="ALT282" s="243"/>
      <c r="ALU282" s="243"/>
      <c r="ALV282" s="243"/>
      <c r="ALW282" s="243"/>
      <c r="ALX282" s="243"/>
      <c r="ALY282" s="243"/>
      <c r="ALZ282" s="243"/>
      <c r="AMA282" s="243"/>
      <c r="AMB282" s="243"/>
      <c r="AMC282" s="243"/>
      <c r="AMD282" s="243"/>
      <c r="AME282" s="243"/>
      <c r="AMF282" s="243"/>
      <c r="AMG282" s="243"/>
      <c r="AMH282" s="243"/>
      <c r="AMI282" s="244"/>
      <c r="AMJ282" s="244"/>
    </row>
    <row r="283" spans="1:1024">
      <c r="A283" s="908"/>
      <c r="B283" s="442">
        <v>14302</v>
      </c>
      <c r="C283" s="430">
        <v>0.08</v>
      </c>
      <c r="D283" s="370" t="s">
        <v>191</v>
      </c>
      <c r="E283" s="433">
        <v>3100000</v>
      </c>
      <c r="F283" s="477">
        <v>0.1</v>
      </c>
      <c r="G283" s="401">
        <f t="shared" si="10"/>
        <v>310000</v>
      </c>
      <c r="H283" s="402" t="s">
        <v>47</v>
      </c>
      <c r="I283" s="402" t="s">
        <v>190</v>
      </c>
      <c r="J283" s="402" t="s">
        <v>125</v>
      </c>
      <c r="K283" s="402" t="s">
        <v>179</v>
      </c>
      <c r="L283" s="402" t="s">
        <v>125</v>
      </c>
      <c r="M283" s="396"/>
      <c r="N283" s="396"/>
      <c r="O283" s="377"/>
      <c r="P283" s="377"/>
      <c r="Q283" s="377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  <c r="AH283" s="243"/>
      <c r="AI283" s="243"/>
      <c r="AJ283" s="243"/>
      <c r="AK283" s="243"/>
      <c r="AL283" s="243"/>
      <c r="AM283" s="243"/>
      <c r="AN283" s="243"/>
      <c r="AO283" s="243"/>
      <c r="AP283" s="243"/>
      <c r="AQ283" s="243"/>
      <c r="AR283" s="243"/>
      <c r="AS283" s="243"/>
      <c r="AT283" s="243"/>
      <c r="AU283" s="243"/>
      <c r="AV283" s="243"/>
      <c r="AW283" s="243"/>
      <c r="AX283" s="243"/>
      <c r="AY283" s="243"/>
      <c r="AZ283" s="243"/>
      <c r="BA283" s="243"/>
      <c r="BB283" s="243"/>
      <c r="BC283" s="243"/>
      <c r="BD283" s="243"/>
      <c r="BE283" s="243"/>
      <c r="BF283" s="243"/>
      <c r="BG283" s="243"/>
      <c r="BH283" s="243"/>
      <c r="BI283" s="243"/>
      <c r="BJ283" s="243"/>
      <c r="BK283" s="243"/>
      <c r="BL283" s="243"/>
      <c r="BM283" s="243"/>
      <c r="BN283" s="243"/>
      <c r="BO283" s="243"/>
      <c r="BP283" s="243"/>
      <c r="BQ283" s="243"/>
      <c r="BR283" s="243"/>
      <c r="BS283" s="243"/>
      <c r="BT283" s="243"/>
      <c r="BU283" s="243"/>
      <c r="BV283" s="243"/>
      <c r="BW283" s="243"/>
      <c r="BX283" s="243"/>
      <c r="BY283" s="243"/>
      <c r="BZ283" s="243"/>
      <c r="CA283" s="243"/>
      <c r="CB283" s="243"/>
      <c r="CC283" s="243"/>
      <c r="CD283" s="243"/>
      <c r="CE283" s="243"/>
      <c r="CF283" s="243"/>
      <c r="CG283" s="243"/>
      <c r="CH283" s="243"/>
      <c r="CI283" s="243"/>
      <c r="CJ283" s="243"/>
      <c r="CK283" s="243"/>
      <c r="CL283" s="243"/>
      <c r="CM283" s="243"/>
      <c r="CN283" s="243"/>
      <c r="CO283" s="243"/>
      <c r="CP283" s="243"/>
      <c r="CQ283" s="243"/>
      <c r="CR283" s="243"/>
      <c r="CS283" s="243"/>
      <c r="CT283" s="243"/>
      <c r="CU283" s="243"/>
      <c r="CV283" s="243"/>
      <c r="CW283" s="243"/>
      <c r="CX283" s="243"/>
      <c r="CY283" s="243"/>
      <c r="CZ283" s="243"/>
      <c r="DA283" s="243"/>
      <c r="DB283" s="243"/>
      <c r="DC283" s="243"/>
      <c r="DD283" s="243"/>
      <c r="DE283" s="243"/>
      <c r="DF283" s="243"/>
      <c r="DG283" s="243"/>
      <c r="DH283" s="243"/>
      <c r="DI283" s="243"/>
      <c r="DJ283" s="243"/>
      <c r="DK283" s="243"/>
      <c r="DL283" s="243"/>
      <c r="DM283" s="243"/>
      <c r="DN283" s="243"/>
      <c r="DO283" s="243"/>
      <c r="DP283" s="243"/>
      <c r="DQ283" s="243"/>
      <c r="DR283" s="243"/>
      <c r="DS283" s="243"/>
      <c r="DT283" s="243"/>
      <c r="DU283" s="243"/>
      <c r="DV283" s="243"/>
      <c r="DW283" s="243"/>
      <c r="DX283" s="243"/>
      <c r="DY283" s="243"/>
      <c r="DZ283" s="243"/>
      <c r="EA283" s="243"/>
      <c r="EB283" s="243"/>
      <c r="EC283" s="243"/>
      <c r="ED283" s="243"/>
      <c r="EE283" s="243"/>
      <c r="EF283" s="243"/>
      <c r="EG283" s="243"/>
      <c r="EH283" s="243"/>
      <c r="EI283" s="243"/>
      <c r="EJ283" s="243"/>
      <c r="EK283" s="243"/>
      <c r="EL283" s="243"/>
      <c r="EM283" s="243"/>
      <c r="EN283" s="243"/>
      <c r="EO283" s="243"/>
      <c r="EP283" s="243"/>
      <c r="EQ283" s="243"/>
      <c r="ER283" s="243"/>
      <c r="ES283" s="243"/>
      <c r="ET283" s="243"/>
      <c r="EU283" s="243"/>
      <c r="EV283" s="243"/>
      <c r="EW283" s="243"/>
      <c r="EX283" s="243"/>
      <c r="EY283" s="243"/>
      <c r="EZ283" s="243"/>
      <c r="FA283" s="243"/>
      <c r="FB283" s="243"/>
      <c r="FC283" s="243"/>
      <c r="FD283" s="243"/>
      <c r="FE283" s="243"/>
      <c r="FF283" s="243"/>
      <c r="FG283" s="243"/>
      <c r="FH283" s="243"/>
      <c r="FI283" s="243"/>
      <c r="FJ283" s="243"/>
      <c r="FK283" s="243"/>
      <c r="FL283" s="243"/>
      <c r="FM283" s="243"/>
      <c r="FN283" s="243"/>
      <c r="FO283" s="243"/>
      <c r="FP283" s="243"/>
      <c r="FQ283" s="243"/>
      <c r="FR283" s="243"/>
      <c r="FS283" s="243"/>
      <c r="FT283" s="243"/>
      <c r="FU283" s="243"/>
      <c r="FV283" s="243"/>
      <c r="FW283" s="243"/>
      <c r="FX283" s="243"/>
      <c r="FY283" s="243"/>
      <c r="FZ283" s="243"/>
      <c r="GA283" s="243"/>
      <c r="GB283" s="243"/>
      <c r="GC283" s="243"/>
      <c r="GD283" s="243"/>
      <c r="GE283" s="243"/>
      <c r="GF283" s="243"/>
      <c r="GG283" s="243"/>
      <c r="GH283" s="243"/>
      <c r="GI283" s="243"/>
      <c r="GJ283" s="243"/>
      <c r="GK283" s="243"/>
      <c r="GL283" s="243"/>
      <c r="GM283" s="243"/>
      <c r="GN283" s="243"/>
      <c r="GO283" s="243"/>
      <c r="GP283" s="243"/>
      <c r="GQ283" s="243"/>
      <c r="GR283" s="243"/>
      <c r="GS283" s="243"/>
      <c r="GT283" s="243"/>
      <c r="GU283" s="243"/>
      <c r="GV283" s="243"/>
      <c r="GW283" s="243"/>
      <c r="GX283" s="243"/>
      <c r="GY283" s="243"/>
      <c r="GZ283" s="243"/>
      <c r="HA283" s="243"/>
      <c r="HB283" s="243"/>
      <c r="HC283" s="243"/>
      <c r="HD283" s="243"/>
      <c r="HE283" s="243"/>
      <c r="HF283" s="243"/>
      <c r="HG283" s="243"/>
      <c r="HH283" s="243"/>
      <c r="HI283" s="243"/>
      <c r="HJ283" s="243"/>
      <c r="HK283" s="243"/>
      <c r="HL283" s="243"/>
      <c r="HM283" s="243"/>
      <c r="HN283" s="243"/>
      <c r="HO283" s="243"/>
      <c r="HP283" s="243"/>
      <c r="HQ283" s="243"/>
      <c r="HR283" s="243"/>
      <c r="HS283" s="243"/>
      <c r="HT283" s="243"/>
      <c r="HU283" s="243"/>
      <c r="HV283" s="243"/>
      <c r="HW283" s="243"/>
      <c r="HX283" s="243"/>
      <c r="HY283" s="243"/>
      <c r="HZ283" s="243"/>
      <c r="IA283" s="243"/>
      <c r="IB283" s="243"/>
      <c r="IC283" s="243"/>
      <c r="ID283" s="243"/>
      <c r="IE283" s="243"/>
      <c r="IF283" s="243"/>
      <c r="IG283" s="243"/>
      <c r="IH283" s="243"/>
      <c r="II283" s="243"/>
      <c r="IJ283" s="243"/>
      <c r="IK283" s="243"/>
      <c r="IL283" s="243"/>
      <c r="IM283" s="243"/>
      <c r="IN283" s="243"/>
      <c r="IO283" s="243"/>
      <c r="IP283" s="243"/>
      <c r="IQ283" s="243"/>
      <c r="IR283" s="243"/>
      <c r="IS283" s="243"/>
      <c r="IT283" s="243"/>
      <c r="IU283" s="243"/>
      <c r="IV283" s="243"/>
      <c r="IW283" s="243"/>
      <c r="IX283" s="243"/>
      <c r="IY283" s="243"/>
      <c r="IZ283" s="243"/>
      <c r="JA283" s="243"/>
      <c r="JB283" s="243"/>
      <c r="JC283" s="243"/>
      <c r="JD283" s="243"/>
      <c r="JE283" s="243"/>
      <c r="JF283" s="243"/>
      <c r="JG283" s="243"/>
      <c r="JH283" s="243"/>
      <c r="JI283" s="243"/>
      <c r="JJ283" s="243"/>
      <c r="JK283" s="243"/>
      <c r="JL283" s="243"/>
      <c r="JM283" s="243"/>
      <c r="JN283" s="243"/>
      <c r="JO283" s="243"/>
      <c r="JP283" s="243"/>
      <c r="JQ283" s="243"/>
      <c r="JR283" s="243"/>
      <c r="JS283" s="243"/>
      <c r="JT283" s="243"/>
      <c r="JU283" s="243"/>
      <c r="JV283" s="243"/>
      <c r="JW283" s="243"/>
      <c r="JX283" s="243"/>
      <c r="JY283" s="243"/>
      <c r="JZ283" s="243"/>
      <c r="KA283" s="243"/>
      <c r="KB283" s="243"/>
      <c r="KC283" s="243"/>
      <c r="KD283" s="243"/>
      <c r="KE283" s="243"/>
      <c r="KF283" s="243"/>
      <c r="KG283" s="243"/>
      <c r="KH283" s="243"/>
      <c r="KI283" s="243"/>
      <c r="KJ283" s="243"/>
      <c r="KK283" s="243"/>
      <c r="KL283" s="243"/>
      <c r="KM283" s="243"/>
      <c r="KN283" s="243"/>
      <c r="KO283" s="243"/>
      <c r="KP283" s="243"/>
      <c r="KQ283" s="243"/>
      <c r="KR283" s="243"/>
      <c r="KS283" s="243"/>
      <c r="KT283" s="243"/>
      <c r="KU283" s="243"/>
      <c r="KV283" s="243"/>
      <c r="KW283" s="243"/>
      <c r="KX283" s="243"/>
      <c r="KY283" s="243"/>
      <c r="KZ283" s="243"/>
      <c r="LA283" s="243"/>
      <c r="LB283" s="243"/>
      <c r="LC283" s="243"/>
      <c r="LD283" s="243"/>
      <c r="LE283" s="243"/>
      <c r="LF283" s="243"/>
      <c r="LG283" s="243"/>
      <c r="LH283" s="243"/>
      <c r="LI283" s="243"/>
      <c r="LJ283" s="243"/>
      <c r="LK283" s="243"/>
      <c r="LL283" s="243"/>
      <c r="LM283" s="243"/>
      <c r="LN283" s="243"/>
      <c r="LO283" s="243"/>
      <c r="LP283" s="243"/>
      <c r="LQ283" s="243"/>
      <c r="LR283" s="243"/>
      <c r="LS283" s="243"/>
      <c r="LT283" s="243"/>
      <c r="LU283" s="243"/>
      <c r="LV283" s="243"/>
      <c r="LW283" s="243"/>
      <c r="LX283" s="243"/>
      <c r="LY283" s="243"/>
      <c r="LZ283" s="243"/>
      <c r="MA283" s="243"/>
      <c r="MB283" s="243"/>
      <c r="MC283" s="243"/>
      <c r="MD283" s="243"/>
      <c r="ME283" s="243"/>
      <c r="MF283" s="243"/>
      <c r="MG283" s="243"/>
      <c r="MH283" s="243"/>
      <c r="MI283" s="243"/>
      <c r="MJ283" s="243"/>
      <c r="MK283" s="243"/>
      <c r="ML283" s="243"/>
      <c r="MM283" s="243"/>
      <c r="MN283" s="243"/>
      <c r="MO283" s="243"/>
      <c r="MP283" s="243"/>
      <c r="MQ283" s="243"/>
      <c r="MR283" s="243"/>
      <c r="MS283" s="243"/>
      <c r="MT283" s="243"/>
      <c r="MU283" s="243"/>
      <c r="MV283" s="243"/>
      <c r="MW283" s="243"/>
      <c r="MX283" s="243"/>
      <c r="MY283" s="243"/>
      <c r="MZ283" s="243"/>
      <c r="NA283" s="243"/>
      <c r="NB283" s="243"/>
      <c r="NC283" s="243"/>
      <c r="ND283" s="243"/>
      <c r="NE283" s="243"/>
      <c r="NF283" s="243"/>
      <c r="NG283" s="243"/>
      <c r="NH283" s="243"/>
      <c r="NI283" s="243"/>
      <c r="NJ283" s="243"/>
      <c r="NK283" s="243"/>
      <c r="NL283" s="243"/>
      <c r="NM283" s="243"/>
      <c r="NN283" s="243"/>
      <c r="NO283" s="243"/>
      <c r="NP283" s="243"/>
      <c r="NQ283" s="243"/>
      <c r="NR283" s="243"/>
      <c r="NS283" s="243"/>
      <c r="NT283" s="243"/>
      <c r="NU283" s="243"/>
      <c r="NV283" s="243"/>
      <c r="NW283" s="243"/>
      <c r="NX283" s="243"/>
      <c r="NY283" s="243"/>
      <c r="NZ283" s="243"/>
      <c r="OA283" s="243"/>
      <c r="OB283" s="243"/>
      <c r="OC283" s="243"/>
      <c r="OD283" s="243"/>
      <c r="OE283" s="243"/>
      <c r="OF283" s="243"/>
      <c r="OG283" s="243"/>
      <c r="OH283" s="243"/>
      <c r="OI283" s="243"/>
      <c r="OJ283" s="243"/>
      <c r="OK283" s="243"/>
      <c r="OL283" s="243"/>
      <c r="OM283" s="243"/>
      <c r="ON283" s="243"/>
      <c r="OO283" s="243"/>
      <c r="OP283" s="243"/>
      <c r="OQ283" s="243"/>
      <c r="OR283" s="243"/>
      <c r="OS283" s="243"/>
      <c r="OT283" s="243"/>
      <c r="OU283" s="243"/>
      <c r="OV283" s="243"/>
      <c r="OW283" s="243"/>
      <c r="OX283" s="243"/>
      <c r="OY283" s="243"/>
      <c r="OZ283" s="243"/>
      <c r="PA283" s="243"/>
      <c r="PB283" s="243"/>
      <c r="PC283" s="243"/>
      <c r="PD283" s="243"/>
      <c r="PE283" s="243"/>
      <c r="PF283" s="243"/>
      <c r="PG283" s="243"/>
      <c r="PH283" s="243"/>
      <c r="PI283" s="243"/>
      <c r="PJ283" s="243"/>
      <c r="PK283" s="243"/>
      <c r="PL283" s="243"/>
      <c r="PM283" s="243"/>
      <c r="PN283" s="243"/>
      <c r="PO283" s="243"/>
      <c r="PP283" s="243"/>
      <c r="PQ283" s="243"/>
      <c r="PR283" s="243"/>
      <c r="PS283" s="243"/>
      <c r="PT283" s="243"/>
      <c r="PU283" s="243"/>
      <c r="PV283" s="243"/>
      <c r="PW283" s="243"/>
      <c r="PX283" s="243"/>
      <c r="PY283" s="243"/>
      <c r="PZ283" s="243"/>
      <c r="QA283" s="243"/>
      <c r="QB283" s="243"/>
      <c r="QC283" s="243"/>
      <c r="QD283" s="243"/>
      <c r="QE283" s="243"/>
      <c r="QF283" s="243"/>
      <c r="QG283" s="243"/>
      <c r="QH283" s="243"/>
      <c r="QI283" s="243"/>
      <c r="QJ283" s="243"/>
      <c r="QK283" s="243"/>
      <c r="QL283" s="243"/>
      <c r="QM283" s="243"/>
      <c r="QN283" s="243"/>
      <c r="QO283" s="243"/>
      <c r="QP283" s="243"/>
      <c r="QQ283" s="243"/>
      <c r="QR283" s="243"/>
      <c r="QS283" s="243"/>
      <c r="QT283" s="243"/>
      <c r="QU283" s="243"/>
      <c r="QV283" s="243"/>
      <c r="QW283" s="243"/>
      <c r="QX283" s="243"/>
      <c r="QY283" s="243"/>
      <c r="QZ283" s="243"/>
      <c r="RA283" s="243"/>
      <c r="RB283" s="243"/>
      <c r="RC283" s="243"/>
      <c r="RD283" s="243"/>
      <c r="RE283" s="243"/>
      <c r="RF283" s="243"/>
      <c r="RG283" s="243"/>
      <c r="RH283" s="243"/>
      <c r="RI283" s="243"/>
      <c r="RJ283" s="243"/>
      <c r="RK283" s="243"/>
      <c r="RL283" s="243"/>
      <c r="RM283" s="243"/>
      <c r="RN283" s="243"/>
      <c r="RO283" s="243"/>
      <c r="RP283" s="243"/>
      <c r="RQ283" s="243"/>
      <c r="RR283" s="243"/>
      <c r="RS283" s="243"/>
      <c r="RT283" s="243"/>
      <c r="RU283" s="243"/>
      <c r="RV283" s="243"/>
      <c r="RW283" s="243"/>
      <c r="RX283" s="243"/>
      <c r="RY283" s="243"/>
      <c r="RZ283" s="243"/>
      <c r="SA283" s="243"/>
      <c r="SB283" s="243"/>
      <c r="SC283" s="243"/>
      <c r="SD283" s="243"/>
      <c r="SE283" s="243"/>
      <c r="SF283" s="243"/>
      <c r="SG283" s="243"/>
      <c r="SH283" s="243"/>
      <c r="SI283" s="243"/>
      <c r="SJ283" s="243"/>
      <c r="SK283" s="243"/>
      <c r="SL283" s="243"/>
      <c r="SM283" s="243"/>
      <c r="SN283" s="243"/>
      <c r="SO283" s="243"/>
      <c r="SP283" s="243"/>
      <c r="SQ283" s="243"/>
      <c r="SR283" s="243"/>
      <c r="SS283" s="243"/>
      <c r="ST283" s="243"/>
      <c r="SU283" s="243"/>
      <c r="SV283" s="243"/>
      <c r="SW283" s="243"/>
      <c r="SX283" s="243"/>
      <c r="SY283" s="243"/>
      <c r="SZ283" s="243"/>
      <c r="TA283" s="243"/>
      <c r="TB283" s="243"/>
      <c r="TC283" s="243"/>
      <c r="TD283" s="243"/>
      <c r="TE283" s="243"/>
      <c r="TF283" s="243"/>
      <c r="TG283" s="243"/>
      <c r="TH283" s="243"/>
      <c r="TI283" s="243"/>
      <c r="TJ283" s="243"/>
      <c r="TK283" s="243"/>
      <c r="TL283" s="243"/>
      <c r="TM283" s="243"/>
      <c r="TN283" s="243"/>
      <c r="TO283" s="243"/>
      <c r="TP283" s="243"/>
      <c r="TQ283" s="243"/>
      <c r="TR283" s="243"/>
      <c r="TS283" s="243"/>
      <c r="TT283" s="243"/>
      <c r="TU283" s="243"/>
      <c r="TV283" s="243"/>
      <c r="TW283" s="243"/>
      <c r="TX283" s="243"/>
      <c r="TY283" s="243"/>
      <c r="TZ283" s="243"/>
      <c r="UA283" s="243"/>
      <c r="UB283" s="243"/>
      <c r="UC283" s="243"/>
      <c r="UD283" s="243"/>
      <c r="UE283" s="243"/>
      <c r="UF283" s="243"/>
      <c r="UG283" s="243"/>
      <c r="UH283" s="243"/>
      <c r="UI283" s="243"/>
      <c r="UJ283" s="243"/>
      <c r="UK283" s="243"/>
      <c r="UL283" s="243"/>
      <c r="UM283" s="243"/>
      <c r="UN283" s="243"/>
      <c r="UO283" s="243"/>
      <c r="UP283" s="243"/>
      <c r="UQ283" s="243"/>
      <c r="UR283" s="243"/>
      <c r="US283" s="243"/>
      <c r="UT283" s="243"/>
      <c r="UU283" s="243"/>
      <c r="UV283" s="243"/>
      <c r="UW283" s="243"/>
      <c r="UX283" s="243"/>
      <c r="UY283" s="243"/>
      <c r="UZ283" s="243"/>
      <c r="VA283" s="243"/>
      <c r="VB283" s="243"/>
      <c r="VC283" s="243"/>
      <c r="VD283" s="243"/>
      <c r="VE283" s="243"/>
      <c r="VF283" s="243"/>
      <c r="VG283" s="243"/>
      <c r="VH283" s="243"/>
      <c r="VI283" s="243"/>
      <c r="VJ283" s="243"/>
      <c r="VK283" s="243"/>
      <c r="VL283" s="243"/>
      <c r="VM283" s="243"/>
      <c r="VN283" s="243"/>
      <c r="VO283" s="243"/>
      <c r="VP283" s="243"/>
      <c r="VQ283" s="243"/>
      <c r="VR283" s="243"/>
      <c r="VS283" s="243"/>
      <c r="VT283" s="243"/>
      <c r="VU283" s="243"/>
      <c r="VV283" s="243"/>
      <c r="VW283" s="243"/>
      <c r="VX283" s="243"/>
      <c r="VY283" s="243"/>
      <c r="VZ283" s="243"/>
      <c r="WA283" s="243"/>
      <c r="WB283" s="243"/>
      <c r="WC283" s="243"/>
      <c r="WD283" s="243"/>
      <c r="WE283" s="243"/>
      <c r="WF283" s="243"/>
      <c r="WG283" s="243"/>
      <c r="WH283" s="243"/>
      <c r="WI283" s="243"/>
      <c r="WJ283" s="243"/>
      <c r="WK283" s="243"/>
      <c r="WL283" s="243"/>
      <c r="WM283" s="243"/>
      <c r="WN283" s="243"/>
      <c r="WO283" s="243"/>
      <c r="WP283" s="243"/>
      <c r="WQ283" s="243"/>
      <c r="WR283" s="243"/>
      <c r="WS283" s="243"/>
      <c r="WT283" s="243"/>
      <c r="WU283" s="243"/>
      <c r="WV283" s="243"/>
      <c r="WW283" s="243"/>
      <c r="WX283" s="243"/>
      <c r="WY283" s="243"/>
      <c r="WZ283" s="243"/>
      <c r="XA283" s="243"/>
      <c r="XB283" s="243"/>
      <c r="XC283" s="243"/>
      <c r="XD283" s="243"/>
      <c r="XE283" s="243"/>
      <c r="XF283" s="243"/>
      <c r="XG283" s="243"/>
      <c r="XH283" s="243"/>
      <c r="XI283" s="243"/>
      <c r="XJ283" s="243"/>
      <c r="XK283" s="243"/>
      <c r="XL283" s="243"/>
      <c r="XM283" s="243"/>
      <c r="XN283" s="243"/>
      <c r="XO283" s="243"/>
      <c r="XP283" s="243"/>
      <c r="XQ283" s="243"/>
      <c r="XR283" s="243"/>
      <c r="XS283" s="243"/>
      <c r="XT283" s="243"/>
      <c r="XU283" s="243"/>
      <c r="XV283" s="243"/>
      <c r="XW283" s="243"/>
      <c r="XX283" s="243"/>
      <c r="XY283" s="243"/>
      <c r="XZ283" s="243"/>
      <c r="YA283" s="243"/>
      <c r="YB283" s="243"/>
      <c r="YC283" s="243"/>
      <c r="YD283" s="243"/>
      <c r="YE283" s="243"/>
      <c r="YF283" s="243"/>
      <c r="YG283" s="243"/>
      <c r="YH283" s="243"/>
      <c r="YI283" s="243"/>
      <c r="YJ283" s="243"/>
      <c r="YK283" s="243"/>
      <c r="YL283" s="243"/>
      <c r="YM283" s="243"/>
      <c r="YN283" s="243"/>
      <c r="YO283" s="243"/>
      <c r="YP283" s="243"/>
      <c r="YQ283" s="243"/>
      <c r="YR283" s="243"/>
      <c r="YS283" s="243"/>
      <c r="YT283" s="243"/>
      <c r="YU283" s="243"/>
      <c r="YV283" s="243"/>
      <c r="YW283" s="243"/>
      <c r="YX283" s="243"/>
      <c r="YY283" s="243"/>
      <c r="YZ283" s="243"/>
      <c r="ZA283" s="243"/>
      <c r="ZB283" s="243"/>
      <c r="ZC283" s="243"/>
      <c r="ZD283" s="243"/>
      <c r="ZE283" s="243"/>
      <c r="ZF283" s="243"/>
      <c r="ZG283" s="243"/>
      <c r="ZH283" s="243"/>
      <c r="ZI283" s="243"/>
      <c r="ZJ283" s="243"/>
      <c r="ZK283" s="243"/>
      <c r="ZL283" s="243"/>
      <c r="ZM283" s="243"/>
      <c r="ZN283" s="243"/>
      <c r="ZO283" s="243"/>
      <c r="ZP283" s="243"/>
      <c r="ZQ283" s="243"/>
      <c r="ZR283" s="243"/>
      <c r="ZS283" s="243"/>
      <c r="ZT283" s="243"/>
      <c r="ZU283" s="243"/>
      <c r="ZV283" s="243"/>
      <c r="ZW283" s="243"/>
      <c r="ZX283" s="243"/>
      <c r="ZY283" s="243"/>
      <c r="ZZ283" s="243"/>
      <c r="AAA283" s="243"/>
      <c r="AAB283" s="243"/>
      <c r="AAC283" s="243"/>
      <c r="AAD283" s="243"/>
      <c r="AAE283" s="243"/>
      <c r="AAF283" s="243"/>
      <c r="AAG283" s="243"/>
      <c r="AAH283" s="243"/>
      <c r="AAI283" s="243"/>
      <c r="AAJ283" s="243"/>
      <c r="AAK283" s="243"/>
      <c r="AAL283" s="243"/>
      <c r="AAM283" s="243"/>
      <c r="AAN283" s="243"/>
      <c r="AAO283" s="243"/>
      <c r="AAP283" s="243"/>
      <c r="AAQ283" s="243"/>
      <c r="AAR283" s="243"/>
      <c r="AAS283" s="243"/>
      <c r="AAT283" s="243"/>
      <c r="AAU283" s="243"/>
      <c r="AAV283" s="243"/>
      <c r="AAW283" s="243"/>
      <c r="AAX283" s="243"/>
      <c r="AAY283" s="243"/>
      <c r="AAZ283" s="243"/>
      <c r="ABA283" s="243"/>
      <c r="ABB283" s="243"/>
      <c r="ABC283" s="243"/>
      <c r="ABD283" s="243"/>
      <c r="ABE283" s="243"/>
      <c r="ABF283" s="243"/>
      <c r="ABG283" s="243"/>
      <c r="ABH283" s="243"/>
      <c r="ABI283" s="243"/>
      <c r="ABJ283" s="243"/>
      <c r="ABK283" s="243"/>
      <c r="ABL283" s="243"/>
      <c r="ABM283" s="243"/>
      <c r="ABN283" s="243"/>
      <c r="ABO283" s="243"/>
      <c r="ABP283" s="243"/>
      <c r="ABQ283" s="243"/>
      <c r="ABR283" s="243"/>
      <c r="ABS283" s="243"/>
      <c r="ABT283" s="243"/>
      <c r="ABU283" s="243"/>
      <c r="ABV283" s="243"/>
      <c r="ABW283" s="243"/>
      <c r="ABX283" s="243"/>
      <c r="ABY283" s="243"/>
      <c r="ABZ283" s="243"/>
      <c r="ACA283" s="243"/>
      <c r="ACB283" s="243"/>
      <c r="ACC283" s="243"/>
      <c r="ACD283" s="243"/>
      <c r="ACE283" s="243"/>
      <c r="ACF283" s="243"/>
      <c r="ACG283" s="243"/>
      <c r="ACH283" s="243"/>
      <c r="ACI283" s="243"/>
      <c r="ACJ283" s="243"/>
      <c r="ACK283" s="243"/>
      <c r="ACL283" s="243"/>
      <c r="ACM283" s="243"/>
      <c r="ACN283" s="243"/>
      <c r="ACO283" s="243"/>
      <c r="ACP283" s="243"/>
      <c r="ACQ283" s="243"/>
      <c r="ACR283" s="243"/>
      <c r="ACS283" s="243"/>
      <c r="ACT283" s="243"/>
      <c r="ACU283" s="243"/>
      <c r="ACV283" s="243"/>
      <c r="ACW283" s="243"/>
      <c r="ACX283" s="243"/>
      <c r="ACY283" s="243"/>
      <c r="ACZ283" s="243"/>
      <c r="ADA283" s="243"/>
      <c r="ADB283" s="243"/>
      <c r="ADC283" s="243"/>
      <c r="ADD283" s="243"/>
      <c r="ADE283" s="243"/>
      <c r="ADF283" s="243"/>
      <c r="ADG283" s="243"/>
      <c r="ADH283" s="243"/>
      <c r="ADI283" s="243"/>
      <c r="ADJ283" s="243"/>
      <c r="ADK283" s="243"/>
      <c r="ADL283" s="243"/>
      <c r="ADM283" s="243"/>
      <c r="ADN283" s="243"/>
      <c r="ADO283" s="243"/>
      <c r="ADP283" s="243"/>
      <c r="ADQ283" s="243"/>
      <c r="ADR283" s="243"/>
      <c r="ADS283" s="243"/>
      <c r="ADT283" s="243"/>
      <c r="ADU283" s="243"/>
      <c r="ADV283" s="243"/>
      <c r="ADW283" s="243"/>
      <c r="ADX283" s="243"/>
      <c r="ADY283" s="243"/>
      <c r="ADZ283" s="243"/>
      <c r="AEA283" s="243"/>
      <c r="AEB283" s="243"/>
      <c r="AEC283" s="243"/>
      <c r="AED283" s="243"/>
      <c r="AEE283" s="243"/>
      <c r="AEF283" s="243"/>
      <c r="AEG283" s="243"/>
      <c r="AEH283" s="243"/>
      <c r="AEI283" s="243"/>
      <c r="AEJ283" s="243"/>
      <c r="AEK283" s="243"/>
      <c r="AEL283" s="243"/>
      <c r="AEM283" s="243"/>
      <c r="AEN283" s="243"/>
      <c r="AEO283" s="243"/>
      <c r="AEP283" s="243"/>
      <c r="AEQ283" s="243"/>
      <c r="AER283" s="243"/>
      <c r="AES283" s="243"/>
      <c r="AET283" s="243"/>
      <c r="AEU283" s="243"/>
      <c r="AEV283" s="243"/>
      <c r="AEW283" s="243"/>
      <c r="AEX283" s="243"/>
      <c r="AEY283" s="243"/>
      <c r="AEZ283" s="243"/>
      <c r="AFA283" s="243"/>
      <c r="AFB283" s="243"/>
      <c r="AFC283" s="243"/>
      <c r="AFD283" s="243"/>
      <c r="AFE283" s="243"/>
      <c r="AFF283" s="243"/>
      <c r="AFG283" s="243"/>
      <c r="AFH283" s="243"/>
      <c r="AFI283" s="243"/>
      <c r="AFJ283" s="243"/>
      <c r="AFK283" s="243"/>
      <c r="AFL283" s="243"/>
      <c r="AFM283" s="243"/>
      <c r="AFN283" s="243"/>
      <c r="AFO283" s="243"/>
      <c r="AFP283" s="243"/>
      <c r="AFQ283" s="243"/>
      <c r="AFR283" s="243"/>
      <c r="AFS283" s="243"/>
      <c r="AFT283" s="243"/>
      <c r="AFU283" s="243"/>
      <c r="AFV283" s="243"/>
      <c r="AFW283" s="243"/>
      <c r="AFX283" s="243"/>
      <c r="AFY283" s="243"/>
      <c r="AFZ283" s="243"/>
      <c r="AGA283" s="243"/>
      <c r="AGB283" s="243"/>
      <c r="AGC283" s="243"/>
      <c r="AGD283" s="243"/>
      <c r="AGE283" s="243"/>
      <c r="AGF283" s="243"/>
      <c r="AGG283" s="243"/>
      <c r="AGH283" s="243"/>
      <c r="AGI283" s="243"/>
      <c r="AGJ283" s="243"/>
      <c r="AGK283" s="243"/>
      <c r="AGL283" s="243"/>
      <c r="AGM283" s="243"/>
      <c r="AGN283" s="243"/>
      <c r="AGO283" s="243"/>
      <c r="AGP283" s="243"/>
      <c r="AGQ283" s="243"/>
      <c r="AGR283" s="243"/>
      <c r="AGS283" s="243"/>
      <c r="AGT283" s="243"/>
      <c r="AGU283" s="243"/>
      <c r="AGV283" s="243"/>
      <c r="AGW283" s="243"/>
      <c r="AGX283" s="243"/>
      <c r="AGY283" s="243"/>
      <c r="AGZ283" s="243"/>
      <c r="AHA283" s="243"/>
      <c r="AHB283" s="243"/>
      <c r="AHC283" s="243"/>
      <c r="AHD283" s="243"/>
      <c r="AHE283" s="243"/>
      <c r="AHF283" s="243"/>
      <c r="AHG283" s="243"/>
      <c r="AHH283" s="243"/>
      <c r="AHI283" s="243"/>
      <c r="AHJ283" s="243"/>
      <c r="AHK283" s="243"/>
      <c r="AHL283" s="243"/>
      <c r="AHM283" s="243"/>
      <c r="AHN283" s="243"/>
      <c r="AHO283" s="243"/>
      <c r="AHP283" s="243"/>
      <c r="AHQ283" s="243"/>
      <c r="AHR283" s="243"/>
      <c r="AHS283" s="243"/>
      <c r="AHT283" s="243"/>
      <c r="AHU283" s="243"/>
      <c r="AHV283" s="243"/>
      <c r="AHW283" s="243"/>
      <c r="AHX283" s="243"/>
      <c r="AHY283" s="243"/>
      <c r="AHZ283" s="243"/>
      <c r="AIA283" s="243"/>
      <c r="AIB283" s="243"/>
      <c r="AIC283" s="243"/>
      <c r="AID283" s="243"/>
      <c r="AIE283" s="243"/>
      <c r="AIF283" s="243"/>
      <c r="AIG283" s="243"/>
      <c r="AIH283" s="243"/>
      <c r="AII283" s="243"/>
      <c r="AIJ283" s="243"/>
      <c r="AIK283" s="243"/>
      <c r="AIL283" s="243"/>
      <c r="AIM283" s="243"/>
      <c r="AIN283" s="243"/>
      <c r="AIO283" s="243"/>
      <c r="AIP283" s="243"/>
      <c r="AIQ283" s="243"/>
      <c r="AIR283" s="243"/>
      <c r="AIS283" s="243"/>
      <c r="AIT283" s="243"/>
      <c r="AIU283" s="243"/>
      <c r="AIV283" s="243"/>
      <c r="AIW283" s="243"/>
      <c r="AIX283" s="243"/>
      <c r="AIY283" s="243"/>
      <c r="AIZ283" s="243"/>
      <c r="AJA283" s="243"/>
      <c r="AJB283" s="243"/>
      <c r="AJC283" s="243"/>
      <c r="AJD283" s="243"/>
      <c r="AJE283" s="243"/>
      <c r="AJF283" s="243"/>
      <c r="AJG283" s="243"/>
      <c r="AJH283" s="243"/>
      <c r="AJI283" s="243"/>
      <c r="AJJ283" s="243"/>
      <c r="AJK283" s="243"/>
      <c r="AJL283" s="243"/>
      <c r="AJM283" s="243"/>
      <c r="AJN283" s="243"/>
      <c r="AJO283" s="243"/>
      <c r="AJP283" s="243"/>
      <c r="AJQ283" s="243"/>
      <c r="AJR283" s="243"/>
      <c r="AJS283" s="243"/>
      <c r="AJT283" s="243"/>
      <c r="AJU283" s="243"/>
      <c r="AJV283" s="243"/>
      <c r="AJW283" s="243"/>
      <c r="AJX283" s="243"/>
      <c r="AJY283" s="243"/>
      <c r="AJZ283" s="243"/>
      <c r="AKA283" s="243"/>
      <c r="AKB283" s="243"/>
      <c r="AKC283" s="243"/>
      <c r="AKD283" s="243"/>
      <c r="AKE283" s="243"/>
      <c r="AKF283" s="243"/>
      <c r="AKG283" s="243"/>
      <c r="AKH283" s="243"/>
      <c r="AKI283" s="243"/>
      <c r="AKJ283" s="243"/>
      <c r="AKK283" s="243"/>
      <c r="AKL283" s="243"/>
      <c r="AKM283" s="243"/>
      <c r="AKN283" s="243"/>
      <c r="AKO283" s="243"/>
      <c r="AKP283" s="243"/>
      <c r="AKQ283" s="243"/>
      <c r="AKR283" s="243"/>
      <c r="AKS283" s="243"/>
      <c r="AKT283" s="243"/>
      <c r="AKU283" s="243"/>
      <c r="AKV283" s="243"/>
      <c r="AKW283" s="243"/>
      <c r="AKX283" s="243"/>
      <c r="AKY283" s="243"/>
      <c r="AKZ283" s="243"/>
      <c r="ALA283" s="243"/>
      <c r="ALB283" s="243"/>
      <c r="ALC283" s="243"/>
      <c r="ALD283" s="243"/>
      <c r="ALE283" s="243"/>
      <c r="ALF283" s="243"/>
      <c r="ALG283" s="243"/>
      <c r="ALH283" s="243"/>
      <c r="ALI283" s="243"/>
      <c r="ALJ283" s="243"/>
      <c r="ALK283" s="243"/>
      <c r="ALL283" s="243"/>
      <c r="ALM283" s="243"/>
      <c r="ALN283" s="243"/>
      <c r="ALO283" s="243"/>
      <c r="ALP283" s="243"/>
      <c r="ALQ283" s="243"/>
      <c r="ALR283" s="243"/>
      <c r="ALS283" s="243"/>
      <c r="ALT283" s="243"/>
      <c r="ALU283" s="243"/>
      <c r="ALV283" s="243"/>
      <c r="ALW283" s="243"/>
      <c r="ALX283" s="243"/>
      <c r="ALY283" s="243"/>
      <c r="ALZ283" s="243"/>
      <c r="AMA283" s="243"/>
      <c r="AMB283" s="243"/>
      <c r="AMC283" s="243"/>
      <c r="AMD283" s="243"/>
      <c r="AME283" s="243"/>
      <c r="AMF283" s="243"/>
      <c r="AMG283" s="243"/>
      <c r="AMH283" s="243"/>
      <c r="AMI283" s="244"/>
      <c r="AMJ283" s="244"/>
    </row>
    <row r="284" spans="1:1024">
      <c r="A284" s="908"/>
      <c r="B284" s="442">
        <v>14297</v>
      </c>
      <c r="C284" s="430">
        <v>0.08</v>
      </c>
      <c r="D284" s="370" t="s">
        <v>192</v>
      </c>
      <c r="E284" s="433">
        <v>2500000</v>
      </c>
      <c r="F284" s="477">
        <v>0.1</v>
      </c>
      <c r="G284" s="401">
        <f t="shared" si="10"/>
        <v>250000</v>
      </c>
      <c r="H284" s="402" t="s">
        <v>47</v>
      </c>
      <c r="I284" s="402" t="s">
        <v>190</v>
      </c>
      <c r="J284" s="402" t="s">
        <v>125</v>
      </c>
      <c r="K284" s="402" t="s">
        <v>123</v>
      </c>
      <c r="L284" s="402" t="s">
        <v>125</v>
      </c>
      <c r="M284" s="396"/>
      <c r="N284" s="396"/>
      <c r="O284" s="377"/>
      <c r="P284" s="377"/>
      <c r="Q284" s="377"/>
      <c r="R284" s="243"/>
      <c r="S284" s="243"/>
      <c r="T284" s="243"/>
      <c r="U284" s="243"/>
      <c r="V284" s="243"/>
      <c r="W284" s="243"/>
      <c r="X284" s="243"/>
      <c r="Y284" s="243"/>
      <c r="Z284" s="243"/>
      <c r="AA284" s="243"/>
      <c r="AB284" s="243"/>
      <c r="AC284" s="243"/>
      <c r="AD284" s="243"/>
      <c r="AE284" s="243"/>
      <c r="AF284" s="243"/>
      <c r="AG284" s="243"/>
      <c r="AH284" s="243"/>
      <c r="AI284" s="243"/>
      <c r="AJ284" s="243"/>
      <c r="AK284" s="243"/>
      <c r="AL284" s="243"/>
      <c r="AM284" s="243"/>
      <c r="AN284" s="243"/>
      <c r="AO284" s="243"/>
      <c r="AP284" s="243"/>
      <c r="AQ284" s="243"/>
      <c r="AR284" s="243"/>
      <c r="AS284" s="243"/>
      <c r="AT284" s="243"/>
      <c r="AU284" s="243"/>
      <c r="AV284" s="243"/>
      <c r="AW284" s="243"/>
      <c r="AX284" s="243"/>
      <c r="AY284" s="243"/>
      <c r="AZ284" s="243"/>
      <c r="BA284" s="243"/>
      <c r="BB284" s="243"/>
      <c r="BC284" s="243"/>
      <c r="BD284" s="243"/>
      <c r="BE284" s="243"/>
      <c r="BF284" s="243"/>
      <c r="BG284" s="243"/>
      <c r="BH284" s="243"/>
      <c r="BI284" s="243"/>
      <c r="BJ284" s="243"/>
      <c r="BK284" s="243"/>
      <c r="BL284" s="243"/>
      <c r="BM284" s="243"/>
      <c r="BN284" s="243"/>
      <c r="BO284" s="243"/>
      <c r="BP284" s="243"/>
      <c r="BQ284" s="243"/>
      <c r="BR284" s="243"/>
      <c r="BS284" s="243"/>
      <c r="BT284" s="243"/>
      <c r="BU284" s="243"/>
      <c r="BV284" s="243"/>
      <c r="BW284" s="243"/>
      <c r="BX284" s="243"/>
      <c r="BY284" s="243"/>
      <c r="BZ284" s="243"/>
      <c r="CA284" s="243"/>
      <c r="CB284" s="243"/>
      <c r="CC284" s="243"/>
      <c r="CD284" s="243"/>
      <c r="CE284" s="243"/>
      <c r="CF284" s="243"/>
      <c r="CG284" s="243"/>
      <c r="CH284" s="243"/>
      <c r="CI284" s="243"/>
      <c r="CJ284" s="243"/>
      <c r="CK284" s="243"/>
      <c r="CL284" s="243"/>
      <c r="CM284" s="243"/>
      <c r="CN284" s="243"/>
      <c r="CO284" s="243"/>
      <c r="CP284" s="243"/>
      <c r="CQ284" s="243"/>
      <c r="CR284" s="243"/>
      <c r="CS284" s="243"/>
      <c r="CT284" s="243"/>
      <c r="CU284" s="243"/>
      <c r="CV284" s="243"/>
      <c r="CW284" s="243"/>
      <c r="CX284" s="243"/>
      <c r="CY284" s="243"/>
      <c r="CZ284" s="243"/>
      <c r="DA284" s="243"/>
      <c r="DB284" s="243"/>
      <c r="DC284" s="243"/>
      <c r="DD284" s="243"/>
      <c r="DE284" s="243"/>
      <c r="DF284" s="243"/>
      <c r="DG284" s="243"/>
      <c r="DH284" s="243"/>
      <c r="DI284" s="243"/>
      <c r="DJ284" s="243"/>
      <c r="DK284" s="243"/>
      <c r="DL284" s="243"/>
      <c r="DM284" s="243"/>
      <c r="DN284" s="243"/>
      <c r="DO284" s="243"/>
      <c r="DP284" s="243"/>
      <c r="DQ284" s="243"/>
      <c r="DR284" s="243"/>
      <c r="DS284" s="243"/>
      <c r="DT284" s="243"/>
      <c r="DU284" s="243"/>
      <c r="DV284" s="243"/>
      <c r="DW284" s="243"/>
      <c r="DX284" s="243"/>
      <c r="DY284" s="243"/>
      <c r="DZ284" s="243"/>
      <c r="EA284" s="243"/>
      <c r="EB284" s="243"/>
      <c r="EC284" s="243"/>
      <c r="ED284" s="243"/>
      <c r="EE284" s="243"/>
      <c r="EF284" s="243"/>
      <c r="EG284" s="243"/>
      <c r="EH284" s="243"/>
      <c r="EI284" s="243"/>
      <c r="EJ284" s="243"/>
      <c r="EK284" s="243"/>
      <c r="EL284" s="243"/>
      <c r="EM284" s="243"/>
      <c r="EN284" s="243"/>
      <c r="EO284" s="243"/>
      <c r="EP284" s="243"/>
      <c r="EQ284" s="243"/>
      <c r="ER284" s="243"/>
      <c r="ES284" s="243"/>
      <c r="ET284" s="243"/>
      <c r="EU284" s="243"/>
      <c r="EV284" s="243"/>
      <c r="EW284" s="243"/>
      <c r="EX284" s="243"/>
      <c r="EY284" s="243"/>
      <c r="EZ284" s="243"/>
      <c r="FA284" s="243"/>
      <c r="FB284" s="243"/>
      <c r="FC284" s="243"/>
      <c r="FD284" s="243"/>
      <c r="FE284" s="243"/>
      <c r="FF284" s="243"/>
      <c r="FG284" s="243"/>
      <c r="FH284" s="243"/>
      <c r="FI284" s="243"/>
      <c r="FJ284" s="243"/>
      <c r="FK284" s="243"/>
      <c r="FL284" s="243"/>
      <c r="FM284" s="243"/>
      <c r="FN284" s="243"/>
      <c r="FO284" s="243"/>
      <c r="FP284" s="243"/>
      <c r="FQ284" s="243"/>
      <c r="FR284" s="243"/>
      <c r="FS284" s="243"/>
      <c r="FT284" s="243"/>
      <c r="FU284" s="243"/>
      <c r="FV284" s="243"/>
      <c r="FW284" s="243"/>
      <c r="FX284" s="243"/>
      <c r="FY284" s="243"/>
      <c r="FZ284" s="243"/>
      <c r="GA284" s="243"/>
      <c r="GB284" s="243"/>
      <c r="GC284" s="243"/>
      <c r="GD284" s="243"/>
      <c r="GE284" s="243"/>
      <c r="GF284" s="243"/>
      <c r="GG284" s="243"/>
      <c r="GH284" s="243"/>
      <c r="GI284" s="243"/>
      <c r="GJ284" s="243"/>
      <c r="GK284" s="243"/>
      <c r="GL284" s="243"/>
      <c r="GM284" s="243"/>
      <c r="GN284" s="243"/>
      <c r="GO284" s="243"/>
      <c r="GP284" s="243"/>
      <c r="GQ284" s="243"/>
      <c r="GR284" s="243"/>
      <c r="GS284" s="243"/>
      <c r="GT284" s="243"/>
      <c r="GU284" s="243"/>
      <c r="GV284" s="243"/>
      <c r="GW284" s="243"/>
      <c r="GX284" s="243"/>
      <c r="GY284" s="243"/>
      <c r="GZ284" s="243"/>
      <c r="HA284" s="243"/>
      <c r="HB284" s="243"/>
      <c r="HC284" s="243"/>
      <c r="HD284" s="243"/>
      <c r="HE284" s="243"/>
      <c r="HF284" s="243"/>
      <c r="HG284" s="243"/>
      <c r="HH284" s="243"/>
      <c r="HI284" s="243"/>
      <c r="HJ284" s="243"/>
      <c r="HK284" s="243"/>
      <c r="HL284" s="243"/>
      <c r="HM284" s="243"/>
      <c r="HN284" s="243"/>
      <c r="HO284" s="243"/>
      <c r="HP284" s="243"/>
      <c r="HQ284" s="243"/>
      <c r="HR284" s="243"/>
      <c r="HS284" s="243"/>
      <c r="HT284" s="243"/>
      <c r="HU284" s="243"/>
      <c r="HV284" s="243"/>
      <c r="HW284" s="243"/>
      <c r="HX284" s="243"/>
      <c r="HY284" s="243"/>
      <c r="HZ284" s="243"/>
      <c r="IA284" s="243"/>
      <c r="IB284" s="243"/>
      <c r="IC284" s="243"/>
      <c r="ID284" s="243"/>
      <c r="IE284" s="243"/>
      <c r="IF284" s="243"/>
      <c r="IG284" s="243"/>
      <c r="IH284" s="243"/>
      <c r="II284" s="243"/>
      <c r="IJ284" s="243"/>
      <c r="IK284" s="243"/>
      <c r="IL284" s="243"/>
      <c r="IM284" s="243"/>
      <c r="IN284" s="243"/>
      <c r="IO284" s="243"/>
      <c r="IP284" s="243"/>
      <c r="IQ284" s="243"/>
      <c r="IR284" s="243"/>
      <c r="IS284" s="243"/>
      <c r="IT284" s="243"/>
      <c r="IU284" s="243"/>
      <c r="IV284" s="243"/>
      <c r="IW284" s="243"/>
      <c r="IX284" s="243"/>
      <c r="IY284" s="243"/>
      <c r="IZ284" s="243"/>
      <c r="JA284" s="243"/>
      <c r="JB284" s="243"/>
      <c r="JC284" s="243"/>
      <c r="JD284" s="243"/>
      <c r="JE284" s="243"/>
      <c r="JF284" s="243"/>
      <c r="JG284" s="243"/>
      <c r="JH284" s="243"/>
      <c r="JI284" s="243"/>
      <c r="JJ284" s="243"/>
      <c r="JK284" s="243"/>
      <c r="JL284" s="243"/>
      <c r="JM284" s="243"/>
      <c r="JN284" s="243"/>
      <c r="JO284" s="243"/>
      <c r="JP284" s="243"/>
      <c r="JQ284" s="243"/>
      <c r="JR284" s="243"/>
      <c r="JS284" s="243"/>
      <c r="JT284" s="243"/>
      <c r="JU284" s="243"/>
      <c r="JV284" s="243"/>
      <c r="JW284" s="243"/>
      <c r="JX284" s="243"/>
      <c r="JY284" s="243"/>
      <c r="JZ284" s="243"/>
      <c r="KA284" s="243"/>
      <c r="KB284" s="243"/>
      <c r="KC284" s="243"/>
      <c r="KD284" s="243"/>
      <c r="KE284" s="243"/>
      <c r="KF284" s="243"/>
      <c r="KG284" s="243"/>
      <c r="KH284" s="243"/>
      <c r="KI284" s="243"/>
      <c r="KJ284" s="243"/>
      <c r="KK284" s="243"/>
      <c r="KL284" s="243"/>
      <c r="KM284" s="243"/>
      <c r="KN284" s="243"/>
      <c r="KO284" s="243"/>
      <c r="KP284" s="243"/>
      <c r="KQ284" s="243"/>
      <c r="KR284" s="243"/>
      <c r="KS284" s="243"/>
      <c r="KT284" s="243"/>
      <c r="KU284" s="243"/>
      <c r="KV284" s="243"/>
      <c r="KW284" s="243"/>
      <c r="KX284" s="243"/>
      <c r="KY284" s="243"/>
      <c r="KZ284" s="243"/>
      <c r="LA284" s="243"/>
      <c r="LB284" s="243"/>
      <c r="LC284" s="243"/>
      <c r="LD284" s="243"/>
      <c r="LE284" s="243"/>
      <c r="LF284" s="243"/>
      <c r="LG284" s="243"/>
      <c r="LH284" s="243"/>
      <c r="LI284" s="243"/>
      <c r="LJ284" s="243"/>
      <c r="LK284" s="243"/>
      <c r="LL284" s="243"/>
      <c r="LM284" s="243"/>
      <c r="LN284" s="243"/>
      <c r="LO284" s="243"/>
      <c r="LP284" s="243"/>
      <c r="LQ284" s="243"/>
      <c r="LR284" s="243"/>
      <c r="LS284" s="243"/>
      <c r="LT284" s="243"/>
      <c r="LU284" s="243"/>
      <c r="LV284" s="243"/>
      <c r="LW284" s="243"/>
      <c r="LX284" s="243"/>
      <c r="LY284" s="243"/>
      <c r="LZ284" s="243"/>
      <c r="MA284" s="243"/>
      <c r="MB284" s="243"/>
      <c r="MC284" s="243"/>
      <c r="MD284" s="243"/>
      <c r="ME284" s="243"/>
      <c r="MF284" s="243"/>
      <c r="MG284" s="243"/>
      <c r="MH284" s="243"/>
      <c r="MI284" s="243"/>
      <c r="MJ284" s="243"/>
      <c r="MK284" s="243"/>
      <c r="ML284" s="243"/>
      <c r="MM284" s="243"/>
      <c r="MN284" s="243"/>
      <c r="MO284" s="243"/>
      <c r="MP284" s="243"/>
      <c r="MQ284" s="243"/>
      <c r="MR284" s="243"/>
      <c r="MS284" s="243"/>
      <c r="MT284" s="243"/>
      <c r="MU284" s="243"/>
      <c r="MV284" s="243"/>
      <c r="MW284" s="243"/>
      <c r="MX284" s="243"/>
      <c r="MY284" s="243"/>
      <c r="MZ284" s="243"/>
      <c r="NA284" s="243"/>
      <c r="NB284" s="243"/>
      <c r="NC284" s="243"/>
      <c r="ND284" s="243"/>
      <c r="NE284" s="243"/>
      <c r="NF284" s="243"/>
      <c r="NG284" s="243"/>
      <c r="NH284" s="243"/>
      <c r="NI284" s="243"/>
      <c r="NJ284" s="243"/>
      <c r="NK284" s="243"/>
      <c r="NL284" s="243"/>
      <c r="NM284" s="243"/>
      <c r="NN284" s="243"/>
      <c r="NO284" s="243"/>
      <c r="NP284" s="243"/>
      <c r="NQ284" s="243"/>
      <c r="NR284" s="243"/>
      <c r="NS284" s="243"/>
      <c r="NT284" s="243"/>
      <c r="NU284" s="243"/>
      <c r="NV284" s="243"/>
      <c r="NW284" s="243"/>
      <c r="NX284" s="243"/>
      <c r="NY284" s="243"/>
      <c r="NZ284" s="243"/>
      <c r="OA284" s="243"/>
      <c r="OB284" s="243"/>
      <c r="OC284" s="243"/>
      <c r="OD284" s="243"/>
      <c r="OE284" s="243"/>
      <c r="OF284" s="243"/>
      <c r="OG284" s="243"/>
      <c r="OH284" s="243"/>
      <c r="OI284" s="243"/>
      <c r="OJ284" s="243"/>
      <c r="OK284" s="243"/>
      <c r="OL284" s="243"/>
      <c r="OM284" s="243"/>
      <c r="ON284" s="243"/>
      <c r="OO284" s="243"/>
      <c r="OP284" s="243"/>
      <c r="OQ284" s="243"/>
      <c r="OR284" s="243"/>
      <c r="OS284" s="243"/>
      <c r="OT284" s="243"/>
      <c r="OU284" s="243"/>
      <c r="OV284" s="243"/>
      <c r="OW284" s="243"/>
      <c r="OX284" s="243"/>
      <c r="OY284" s="243"/>
      <c r="OZ284" s="243"/>
      <c r="PA284" s="243"/>
      <c r="PB284" s="243"/>
      <c r="PC284" s="243"/>
      <c r="PD284" s="243"/>
      <c r="PE284" s="243"/>
      <c r="PF284" s="243"/>
      <c r="PG284" s="243"/>
      <c r="PH284" s="243"/>
      <c r="PI284" s="243"/>
      <c r="PJ284" s="243"/>
      <c r="PK284" s="243"/>
      <c r="PL284" s="243"/>
      <c r="PM284" s="243"/>
      <c r="PN284" s="243"/>
      <c r="PO284" s="243"/>
      <c r="PP284" s="243"/>
      <c r="PQ284" s="243"/>
      <c r="PR284" s="243"/>
      <c r="PS284" s="243"/>
      <c r="PT284" s="243"/>
      <c r="PU284" s="243"/>
      <c r="PV284" s="243"/>
      <c r="PW284" s="243"/>
      <c r="PX284" s="243"/>
      <c r="PY284" s="243"/>
      <c r="PZ284" s="243"/>
      <c r="QA284" s="243"/>
      <c r="QB284" s="243"/>
      <c r="QC284" s="243"/>
      <c r="QD284" s="243"/>
      <c r="QE284" s="243"/>
      <c r="QF284" s="243"/>
      <c r="QG284" s="243"/>
      <c r="QH284" s="243"/>
      <c r="QI284" s="243"/>
      <c r="QJ284" s="243"/>
      <c r="QK284" s="243"/>
      <c r="QL284" s="243"/>
      <c r="QM284" s="243"/>
      <c r="QN284" s="243"/>
      <c r="QO284" s="243"/>
      <c r="QP284" s="243"/>
      <c r="QQ284" s="243"/>
      <c r="QR284" s="243"/>
      <c r="QS284" s="243"/>
      <c r="QT284" s="243"/>
      <c r="QU284" s="243"/>
      <c r="QV284" s="243"/>
      <c r="QW284" s="243"/>
      <c r="QX284" s="243"/>
      <c r="QY284" s="243"/>
      <c r="QZ284" s="243"/>
      <c r="RA284" s="243"/>
      <c r="RB284" s="243"/>
      <c r="RC284" s="243"/>
      <c r="RD284" s="243"/>
      <c r="RE284" s="243"/>
      <c r="RF284" s="243"/>
      <c r="RG284" s="243"/>
      <c r="RH284" s="243"/>
      <c r="RI284" s="243"/>
      <c r="RJ284" s="243"/>
      <c r="RK284" s="243"/>
      <c r="RL284" s="243"/>
      <c r="RM284" s="243"/>
      <c r="RN284" s="243"/>
      <c r="RO284" s="243"/>
      <c r="RP284" s="243"/>
      <c r="RQ284" s="243"/>
      <c r="RR284" s="243"/>
      <c r="RS284" s="243"/>
      <c r="RT284" s="243"/>
      <c r="RU284" s="243"/>
      <c r="RV284" s="243"/>
      <c r="RW284" s="243"/>
      <c r="RX284" s="243"/>
      <c r="RY284" s="243"/>
      <c r="RZ284" s="243"/>
      <c r="SA284" s="243"/>
      <c r="SB284" s="243"/>
      <c r="SC284" s="243"/>
      <c r="SD284" s="243"/>
      <c r="SE284" s="243"/>
      <c r="SF284" s="243"/>
      <c r="SG284" s="243"/>
      <c r="SH284" s="243"/>
      <c r="SI284" s="243"/>
      <c r="SJ284" s="243"/>
      <c r="SK284" s="243"/>
      <c r="SL284" s="243"/>
      <c r="SM284" s="243"/>
      <c r="SN284" s="243"/>
      <c r="SO284" s="243"/>
      <c r="SP284" s="243"/>
      <c r="SQ284" s="243"/>
      <c r="SR284" s="243"/>
      <c r="SS284" s="243"/>
      <c r="ST284" s="243"/>
      <c r="SU284" s="243"/>
      <c r="SV284" s="243"/>
      <c r="SW284" s="243"/>
      <c r="SX284" s="243"/>
      <c r="SY284" s="243"/>
      <c r="SZ284" s="243"/>
      <c r="TA284" s="243"/>
      <c r="TB284" s="243"/>
      <c r="TC284" s="243"/>
      <c r="TD284" s="243"/>
      <c r="TE284" s="243"/>
      <c r="TF284" s="243"/>
      <c r="TG284" s="243"/>
      <c r="TH284" s="243"/>
      <c r="TI284" s="243"/>
      <c r="TJ284" s="243"/>
      <c r="TK284" s="243"/>
      <c r="TL284" s="243"/>
      <c r="TM284" s="243"/>
      <c r="TN284" s="243"/>
      <c r="TO284" s="243"/>
      <c r="TP284" s="243"/>
      <c r="TQ284" s="243"/>
      <c r="TR284" s="243"/>
      <c r="TS284" s="243"/>
      <c r="TT284" s="243"/>
      <c r="TU284" s="243"/>
      <c r="TV284" s="243"/>
      <c r="TW284" s="243"/>
      <c r="TX284" s="243"/>
      <c r="TY284" s="243"/>
      <c r="TZ284" s="243"/>
      <c r="UA284" s="243"/>
      <c r="UB284" s="243"/>
      <c r="UC284" s="243"/>
      <c r="UD284" s="243"/>
      <c r="UE284" s="243"/>
      <c r="UF284" s="243"/>
      <c r="UG284" s="243"/>
      <c r="UH284" s="243"/>
      <c r="UI284" s="243"/>
      <c r="UJ284" s="243"/>
      <c r="UK284" s="243"/>
      <c r="UL284" s="243"/>
      <c r="UM284" s="243"/>
      <c r="UN284" s="243"/>
      <c r="UO284" s="243"/>
      <c r="UP284" s="243"/>
      <c r="UQ284" s="243"/>
      <c r="UR284" s="243"/>
      <c r="US284" s="243"/>
      <c r="UT284" s="243"/>
      <c r="UU284" s="243"/>
      <c r="UV284" s="243"/>
      <c r="UW284" s="243"/>
      <c r="UX284" s="243"/>
      <c r="UY284" s="243"/>
      <c r="UZ284" s="243"/>
      <c r="VA284" s="243"/>
      <c r="VB284" s="243"/>
      <c r="VC284" s="243"/>
      <c r="VD284" s="243"/>
      <c r="VE284" s="243"/>
      <c r="VF284" s="243"/>
      <c r="VG284" s="243"/>
      <c r="VH284" s="243"/>
      <c r="VI284" s="243"/>
      <c r="VJ284" s="243"/>
      <c r="VK284" s="243"/>
      <c r="VL284" s="243"/>
      <c r="VM284" s="243"/>
      <c r="VN284" s="243"/>
      <c r="VO284" s="243"/>
      <c r="VP284" s="243"/>
      <c r="VQ284" s="243"/>
      <c r="VR284" s="243"/>
      <c r="VS284" s="243"/>
      <c r="VT284" s="243"/>
      <c r="VU284" s="243"/>
      <c r="VV284" s="243"/>
      <c r="VW284" s="243"/>
      <c r="VX284" s="243"/>
      <c r="VY284" s="243"/>
      <c r="VZ284" s="243"/>
      <c r="WA284" s="243"/>
      <c r="WB284" s="243"/>
      <c r="WC284" s="243"/>
      <c r="WD284" s="243"/>
      <c r="WE284" s="243"/>
      <c r="WF284" s="243"/>
      <c r="WG284" s="243"/>
      <c r="WH284" s="243"/>
      <c r="WI284" s="243"/>
      <c r="WJ284" s="243"/>
      <c r="WK284" s="243"/>
      <c r="WL284" s="243"/>
      <c r="WM284" s="243"/>
      <c r="WN284" s="243"/>
      <c r="WO284" s="243"/>
      <c r="WP284" s="243"/>
      <c r="WQ284" s="243"/>
      <c r="WR284" s="243"/>
      <c r="WS284" s="243"/>
      <c r="WT284" s="243"/>
      <c r="WU284" s="243"/>
      <c r="WV284" s="243"/>
      <c r="WW284" s="243"/>
      <c r="WX284" s="243"/>
      <c r="WY284" s="243"/>
      <c r="WZ284" s="243"/>
      <c r="XA284" s="243"/>
      <c r="XB284" s="243"/>
      <c r="XC284" s="243"/>
      <c r="XD284" s="243"/>
      <c r="XE284" s="243"/>
      <c r="XF284" s="243"/>
      <c r="XG284" s="243"/>
      <c r="XH284" s="243"/>
      <c r="XI284" s="243"/>
      <c r="XJ284" s="243"/>
      <c r="XK284" s="243"/>
      <c r="XL284" s="243"/>
      <c r="XM284" s="243"/>
      <c r="XN284" s="243"/>
      <c r="XO284" s="243"/>
      <c r="XP284" s="243"/>
      <c r="XQ284" s="243"/>
      <c r="XR284" s="243"/>
      <c r="XS284" s="243"/>
      <c r="XT284" s="243"/>
      <c r="XU284" s="243"/>
      <c r="XV284" s="243"/>
      <c r="XW284" s="243"/>
      <c r="XX284" s="243"/>
      <c r="XY284" s="243"/>
      <c r="XZ284" s="243"/>
      <c r="YA284" s="243"/>
      <c r="YB284" s="243"/>
      <c r="YC284" s="243"/>
      <c r="YD284" s="243"/>
      <c r="YE284" s="243"/>
      <c r="YF284" s="243"/>
      <c r="YG284" s="243"/>
      <c r="YH284" s="243"/>
      <c r="YI284" s="243"/>
      <c r="YJ284" s="243"/>
      <c r="YK284" s="243"/>
      <c r="YL284" s="243"/>
      <c r="YM284" s="243"/>
      <c r="YN284" s="243"/>
      <c r="YO284" s="243"/>
      <c r="YP284" s="243"/>
      <c r="YQ284" s="243"/>
      <c r="YR284" s="243"/>
      <c r="YS284" s="243"/>
      <c r="YT284" s="243"/>
      <c r="YU284" s="243"/>
      <c r="YV284" s="243"/>
      <c r="YW284" s="243"/>
      <c r="YX284" s="243"/>
      <c r="YY284" s="243"/>
      <c r="YZ284" s="243"/>
      <c r="ZA284" s="243"/>
      <c r="ZB284" s="243"/>
      <c r="ZC284" s="243"/>
      <c r="ZD284" s="243"/>
      <c r="ZE284" s="243"/>
      <c r="ZF284" s="243"/>
      <c r="ZG284" s="243"/>
      <c r="ZH284" s="243"/>
      <c r="ZI284" s="243"/>
      <c r="ZJ284" s="243"/>
      <c r="ZK284" s="243"/>
      <c r="ZL284" s="243"/>
      <c r="ZM284" s="243"/>
      <c r="ZN284" s="243"/>
      <c r="ZO284" s="243"/>
      <c r="ZP284" s="243"/>
      <c r="ZQ284" s="243"/>
      <c r="ZR284" s="243"/>
      <c r="ZS284" s="243"/>
      <c r="ZT284" s="243"/>
      <c r="ZU284" s="243"/>
      <c r="ZV284" s="243"/>
      <c r="ZW284" s="243"/>
      <c r="ZX284" s="243"/>
      <c r="ZY284" s="243"/>
      <c r="ZZ284" s="243"/>
      <c r="AAA284" s="243"/>
      <c r="AAB284" s="243"/>
      <c r="AAC284" s="243"/>
      <c r="AAD284" s="243"/>
      <c r="AAE284" s="243"/>
      <c r="AAF284" s="243"/>
      <c r="AAG284" s="243"/>
      <c r="AAH284" s="243"/>
      <c r="AAI284" s="243"/>
      <c r="AAJ284" s="243"/>
      <c r="AAK284" s="243"/>
      <c r="AAL284" s="243"/>
      <c r="AAM284" s="243"/>
      <c r="AAN284" s="243"/>
      <c r="AAO284" s="243"/>
      <c r="AAP284" s="243"/>
      <c r="AAQ284" s="243"/>
      <c r="AAR284" s="243"/>
      <c r="AAS284" s="243"/>
      <c r="AAT284" s="243"/>
      <c r="AAU284" s="243"/>
      <c r="AAV284" s="243"/>
      <c r="AAW284" s="243"/>
      <c r="AAX284" s="243"/>
      <c r="AAY284" s="243"/>
      <c r="AAZ284" s="243"/>
      <c r="ABA284" s="243"/>
      <c r="ABB284" s="243"/>
      <c r="ABC284" s="243"/>
      <c r="ABD284" s="243"/>
      <c r="ABE284" s="243"/>
      <c r="ABF284" s="243"/>
      <c r="ABG284" s="243"/>
      <c r="ABH284" s="243"/>
      <c r="ABI284" s="243"/>
      <c r="ABJ284" s="243"/>
      <c r="ABK284" s="243"/>
      <c r="ABL284" s="243"/>
      <c r="ABM284" s="243"/>
      <c r="ABN284" s="243"/>
      <c r="ABO284" s="243"/>
      <c r="ABP284" s="243"/>
      <c r="ABQ284" s="243"/>
      <c r="ABR284" s="243"/>
      <c r="ABS284" s="243"/>
      <c r="ABT284" s="243"/>
      <c r="ABU284" s="243"/>
      <c r="ABV284" s="243"/>
      <c r="ABW284" s="243"/>
      <c r="ABX284" s="243"/>
      <c r="ABY284" s="243"/>
      <c r="ABZ284" s="243"/>
      <c r="ACA284" s="243"/>
      <c r="ACB284" s="243"/>
      <c r="ACC284" s="243"/>
      <c r="ACD284" s="243"/>
      <c r="ACE284" s="243"/>
      <c r="ACF284" s="243"/>
      <c r="ACG284" s="243"/>
      <c r="ACH284" s="243"/>
      <c r="ACI284" s="243"/>
      <c r="ACJ284" s="243"/>
      <c r="ACK284" s="243"/>
      <c r="ACL284" s="243"/>
      <c r="ACM284" s="243"/>
      <c r="ACN284" s="243"/>
      <c r="ACO284" s="243"/>
      <c r="ACP284" s="243"/>
      <c r="ACQ284" s="243"/>
      <c r="ACR284" s="243"/>
      <c r="ACS284" s="243"/>
      <c r="ACT284" s="243"/>
      <c r="ACU284" s="243"/>
      <c r="ACV284" s="243"/>
      <c r="ACW284" s="243"/>
      <c r="ACX284" s="243"/>
      <c r="ACY284" s="243"/>
      <c r="ACZ284" s="243"/>
      <c r="ADA284" s="243"/>
      <c r="ADB284" s="243"/>
      <c r="ADC284" s="243"/>
      <c r="ADD284" s="243"/>
      <c r="ADE284" s="243"/>
      <c r="ADF284" s="243"/>
      <c r="ADG284" s="243"/>
      <c r="ADH284" s="243"/>
      <c r="ADI284" s="243"/>
      <c r="ADJ284" s="243"/>
      <c r="ADK284" s="243"/>
      <c r="ADL284" s="243"/>
      <c r="ADM284" s="243"/>
      <c r="ADN284" s="243"/>
      <c r="ADO284" s="243"/>
      <c r="ADP284" s="243"/>
      <c r="ADQ284" s="243"/>
      <c r="ADR284" s="243"/>
      <c r="ADS284" s="243"/>
      <c r="ADT284" s="243"/>
      <c r="ADU284" s="243"/>
      <c r="ADV284" s="243"/>
      <c r="ADW284" s="243"/>
      <c r="ADX284" s="243"/>
      <c r="ADY284" s="243"/>
      <c r="ADZ284" s="243"/>
      <c r="AEA284" s="243"/>
      <c r="AEB284" s="243"/>
      <c r="AEC284" s="243"/>
      <c r="AED284" s="243"/>
      <c r="AEE284" s="243"/>
      <c r="AEF284" s="243"/>
      <c r="AEG284" s="243"/>
      <c r="AEH284" s="243"/>
      <c r="AEI284" s="243"/>
      <c r="AEJ284" s="243"/>
      <c r="AEK284" s="243"/>
      <c r="AEL284" s="243"/>
      <c r="AEM284" s="243"/>
      <c r="AEN284" s="243"/>
      <c r="AEO284" s="243"/>
      <c r="AEP284" s="243"/>
      <c r="AEQ284" s="243"/>
      <c r="AER284" s="243"/>
      <c r="AES284" s="243"/>
      <c r="AET284" s="243"/>
      <c r="AEU284" s="243"/>
      <c r="AEV284" s="243"/>
      <c r="AEW284" s="243"/>
      <c r="AEX284" s="243"/>
      <c r="AEY284" s="243"/>
      <c r="AEZ284" s="243"/>
      <c r="AFA284" s="243"/>
      <c r="AFB284" s="243"/>
      <c r="AFC284" s="243"/>
      <c r="AFD284" s="243"/>
      <c r="AFE284" s="243"/>
      <c r="AFF284" s="243"/>
      <c r="AFG284" s="243"/>
      <c r="AFH284" s="243"/>
      <c r="AFI284" s="243"/>
      <c r="AFJ284" s="243"/>
      <c r="AFK284" s="243"/>
      <c r="AFL284" s="243"/>
      <c r="AFM284" s="243"/>
      <c r="AFN284" s="243"/>
      <c r="AFO284" s="243"/>
      <c r="AFP284" s="243"/>
      <c r="AFQ284" s="243"/>
      <c r="AFR284" s="243"/>
      <c r="AFS284" s="243"/>
      <c r="AFT284" s="243"/>
      <c r="AFU284" s="243"/>
      <c r="AFV284" s="243"/>
      <c r="AFW284" s="243"/>
      <c r="AFX284" s="243"/>
      <c r="AFY284" s="243"/>
      <c r="AFZ284" s="243"/>
      <c r="AGA284" s="243"/>
      <c r="AGB284" s="243"/>
      <c r="AGC284" s="243"/>
      <c r="AGD284" s="243"/>
      <c r="AGE284" s="243"/>
      <c r="AGF284" s="243"/>
      <c r="AGG284" s="243"/>
      <c r="AGH284" s="243"/>
      <c r="AGI284" s="243"/>
      <c r="AGJ284" s="243"/>
      <c r="AGK284" s="243"/>
      <c r="AGL284" s="243"/>
      <c r="AGM284" s="243"/>
      <c r="AGN284" s="243"/>
      <c r="AGO284" s="243"/>
      <c r="AGP284" s="243"/>
      <c r="AGQ284" s="243"/>
      <c r="AGR284" s="243"/>
      <c r="AGS284" s="243"/>
      <c r="AGT284" s="243"/>
      <c r="AGU284" s="243"/>
      <c r="AGV284" s="243"/>
      <c r="AGW284" s="243"/>
      <c r="AGX284" s="243"/>
      <c r="AGY284" s="243"/>
      <c r="AGZ284" s="243"/>
      <c r="AHA284" s="243"/>
      <c r="AHB284" s="243"/>
      <c r="AHC284" s="243"/>
      <c r="AHD284" s="243"/>
      <c r="AHE284" s="243"/>
      <c r="AHF284" s="243"/>
      <c r="AHG284" s="243"/>
      <c r="AHH284" s="243"/>
      <c r="AHI284" s="243"/>
      <c r="AHJ284" s="243"/>
      <c r="AHK284" s="243"/>
      <c r="AHL284" s="243"/>
      <c r="AHM284" s="243"/>
      <c r="AHN284" s="243"/>
      <c r="AHO284" s="243"/>
      <c r="AHP284" s="243"/>
      <c r="AHQ284" s="243"/>
      <c r="AHR284" s="243"/>
      <c r="AHS284" s="243"/>
      <c r="AHT284" s="243"/>
      <c r="AHU284" s="243"/>
      <c r="AHV284" s="243"/>
      <c r="AHW284" s="243"/>
      <c r="AHX284" s="243"/>
      <c r="AHY284" s="243"/>
      <c r="AHZ284" s="243"/>
      <c r="AIA284" s="243"/>
      <c r="AIB284" s="243"/>
      <c r="AIC284" s="243"/>
      <c r="AID284" s="243"/>
      <c r="AIE284" s="243"/>
      <c r="AIF284" s="243"/>
      <c r="AIG284" s="243"/>
      <c r="AIH284" s="243"/>
      <c r="AII284" s="243"/>
      <c r="AIJ284" s="243"/>
      <c r="AIK284" s="243"/>
      <c r="AIL284" s="243"/>
      <c r="AIM284" s="243"/>
      <c r="AIN284" s="243"/>
      <c r="AIO284" s="243"/>
      <c r="AIP284" s="243"/>
      <c r="AIQ284" s="243"/>
      <c r="AIR284" s="243"/>
      <c r="AIS284" s="243"/>
      <c r="AIT284" s="243"/>
      <c r="AIU284" s="243"/>
      <c r="AIV284" s="243"/>
      <c r="AIW284" s="243"/>
      <c r="AIX284" s="243"/>
      <c r="AIY284" s="243"/>
      <c r="AIZ284" s="243"/>
      <c r="AJA284" s="243"/>
      <c r="AJB284" s="243"/>
      <c r="AJC284" s="243"/>
      <c r="AJD284" s="243"/>
      <c r="AJE284" s="243"/>
      <c r="AJF284" s="243"/>
      <c r="AJG284" s="243"/>
      <c r="AJH284" s="243"/>
      <c r="AJI284" s="243"/>
      <c r="AJJ284" s="243"/>
      <c r="AJK284" s="243"/>
      <c r="AJL284" s="243"/>
      <c r="AJM284" s="243"/>
      <c r="AJN284" s="243"/>
      <c r="AJO284" s="243"/>
      <c r="AJP284" s="243"/>
      <c r="AJQ284" s="243"/>
      <c r="AJR284" s="243"/>
      <c r="AJS284" s="243"/>
      <c r="AJT284" s="243"/>
      <c r="AJU284" s="243"/>
      <c r="AJV284" s="243"/>
      <c r="AJW284" s="243"/>
      <c r="AJX284" s="243"/>
      <c r="AJY284" s="243"/>
      <c r="AJZ284" s="243"/>
      <c r="AKA284" s="243"/>
      <c r="AKB284" s="243"/>
      <c r="AKC284" s="243"/>
      <c r="AKD284" s="243"/>
      <c r="AKE284" s="243"/>
      <c r="AKF284" s="243"/>
      <c r="AKG284" s="243"/>
      <c r="AKH284" s="243"/>
      <c r="AKI284" s="243"/>
      <c r="AKJ284" s="243"/>
      <c r="AKK284" s="243"/>
      <c r="AKL284" s="243"/>
      <c r="AKM284" s="243"/>
      <c r="AKN284" s="243"/>
      <c r="AKO284" s="243"/>
      <c r="AKP284" s="243"/>
      <c r="AKQ284" s="243"/>
      <c r="AKR284" s="243"/>
      <c r="AKS284" s="243"/>
      <c r="AKT284" s="243"/>
      <c r="AKU284" s="243"/>
      <c r="AKV284" s="243"/>
      <c r="AKW284" s="243"/>
      <c r="AKX284" s="243"/>
      <c r="AKY284" s="243"/>
      <c r="AKZ284" s="243"/>
      <c r="ALA284" s="243"/>
      <c r="ALB284" s="243"/>
      <c r="ALC284" s="243"/>
      <c r="ALD284" s="243"/>
      <c r="ALE284" s="243"/>
      <c r="ALF284" s="243"/>
      <c r="ALG284" s="243"/>
      <c r="ALH284" s="243"/>
      <c r="ALI284" s="243"/>
      <c r="ALJ284" s="243"/>
      <c r="ALK284" s="243"/>
      <c r="ALL284" s="243"/>
      <c r="ALM284" s="243"/>
      <c r="ALN284" s="243"/>
      <c r="ALO284" s="243"/>
      <c r="ALP284" s="243"/>
      <c r="ALQ284" s="243"/>
      <c r="ALR284" s="243"/>
      <c r="ALS284" s="243"/>
      <c r="ALT284" s="243"/>
      <c r="ALU284" s="243"/>
      <c r="ALV284" s="243"/>
      <c r="ALW284" s="243"/>
      <c r="ALX284" s="243"/>
      <c r="ALY284" s="243"/>
      <c r="ALZ284" s="243"/>
      <c r="AMA284" s="243"/>
      <c r="AMB284" s="243"/>
      <c r="AMC284" s="243"/>
      <c r="AMD284" s="243"/>
      <c r="AME284" s="243"/>
      <c r="AMF284" s="243"/>
      <c r="AMG284" s="243"/>
      <c r="AMH284" s="243"/>
      <c r="AMI284" s="244"/>
      <c r="AMJ284" s="244"/>
    </row>
    <row r="285" spans="1:1024">
      <c r="A285" s="908"/>
      <c r="B285" s="511"/>
      <c r="C285" s="439"/>
      <c r="D285" s="405" t="s">
        <v>193</v>
      </c>
      <c r="E285" s="437"/>
      <c r="F285" s="405"/>
      <c r="G285" s="405"/>
      <c r="H285" s="407" t="s">
        <v>47</v>
      </c>
      <c r="I285" s="407" t="s">
        <v>138</v>
      </c>
      <c r="J285" s="405" t="s">
        <v>194</v>
      </c>
      <c r="K285" s="407"/>
      <c r="L285" s="407"/>
      <c r="M285" s="396"/>
      <c r="N285" s="396"/>
      <c r="O285" s="377"/>
      <c r="P285" s="377"/>
      <c r="Q285" s="377"/>
      <c r="R285" s="243"/>
      <c r="S285" s="243"/>
      <c r="T285" s="243"/>
      <c r="U285" s="243"/>
      <c r="V285" s="243"/>
      <c r="W285" s="243"/>
      <c r="X285" s="243"/>
      <c r="Y285" s="243"/>
      <c r="Z285" s="243"/>
      <c r="AA285" s="243"/>
      <c r="AB285" s="243"/>
      <c r="AC285" s="243"/>
      <c r="AD285" s="243"/>
      <c r="AE285" s="243"/>
      <c r="AF285" s="243"/>
      <c r="AG285" s="243"/>
      <c r="AH285" s="243"/>
      <c r="AI285" s="243"/>
      <c r="AJ285" s="243"/>
      <c r="AK285" s="243"/>
      <c r="AL285" s="243"/>
      <c r="AM285" s="243"/>
      <c r="AN285" s="243"/>
      <c r="AO285" s="243"/>
      <c r="AP285" s="243"/>
      <c r="AQ285" s="243"/>
      <c r="AR285" s="243"/>
      <c r="AS285" s="243"/>
      <c r="AT285" s="243"/>
      <c r="AU285" s="243"/>
      <c r="AV285" s="243"/>
      <c r="AW285" s="243"/>
      <c r="AX285" s="243"/>
      <c r="AY285" s="243"/>
      <c r="AZ285" s="243"/>
      <c r="BA285" s="243"/>
      <c r="BB285" s="243"/>
      <c r="BC285" s="243"/>
      <c r="BD285" s="243"/>
      <c r="BE285" s="243"/>
      <c r="BF285" s="243"/>
      <c r="BG285" s="243"/>
      <c r="BH285" s="243"/>
      <c r="BI285" s="243"/>
      <c r="BJ285" s="243"/>
      <c r="BK285" s="243"/>
      <c r="BL285" s="243"/>
      <c r="BM285" s="243"/>
      <c r="BN285" s="243"/>
      <c r="BO285" s="243"/>
      <c r="BP285" s="243"/>
      <c r="BQ285" s="243"/>
      <c r="BR285" s="243"/>
      <c r="BS285" s="243"/>
      <c r="BT285" s="243"/>
      <c r="BU285" s="243"/>
      <c r="BV285" s="243"/>
      <c r="BW285" s="243"/>
      <c r="BX285" s="243"/>
      <c r="BY285" s="243"/>
      <c r="BZ285" s="243"/>
      <c r="CA285" s="243"/>
      <c r="CB285" s="243"/>
      <c r="CC285" s="243"/>
      <c r="CD285" s="243"/>
      <c r="CE285" s="243"/>
      <c r="CF285" s="243"/>
      <c r="CG285" s="243"/>
      <c r="CH285" s="243"/>
      <c r="CI285" s="243"/>
      <c r="CJ285" s="243"/>
      <c r="CK285" s="243"/>
      <c r="CL285" s="243"/>
      <c r="CM285" s="243"/>
      <c r="CN285" s="243"/>
      <c r="CO285" s="243"/>
      <c r="CP285" s="243"/>
      <c r="CQ285" s="243"/>
      <c r="CR285" s="243"/>
      <c r="CS285" s="243"/>
      <c r="CT285" s="243"/>
      <c r="CU285" s="243"/>
      <c r="CV285" s="243"/>
      <c r="CW285" s="243"/>
      <c r="CX285" s="243"/>
      <c r="CY285" s="243"/>
      <c r="CZ285" s="243"/>
      <c r="DA285" s="243"/>
      <c r="DB285" s="243"/>
      <c r="DC285" s="243"/>
      <c r="DD285" s="243"/>
      <c r="DE285" s="243"/>
      <c r="DF285" s="243"/>
      <c r="DG285" s="243"/>
      <c r="DH285" s="243"/>
      <c r="DI285" s="243"/>
      <c r="DJ285" s="243"/>
      <c r="DK285" s="243"/>
      <c r="DL285" s="243"/>
      <c r="DM285" s="243"/>
      <c r="DN285" s="243"/>
      <c r="DO285" s="243"/>
      <c r="DP285" s="243"/>
      <c r="DQ285" s="243"/>
      <c r="DR285" s="243"/>
      <c r="DS285" s="243"/>
      <c r="DT285" s="243"/>
      <c r="DU285" s="243"/>
      <c r="DV285" s="243"/>
      <c r="DW285" s="243"/>
      <c r="DX285" s="243"/>
      <c r="DY285" s="243"/>
      <c r="DZ285" s="243"/>
      <c r="EA285" s="243"/>
      <c r="EB285" s="243"/>
      <c r="EC285" s="243"/>
      <c r="ED285" s="243"/>
      <c r="EE285" s="243"/>
      <c r="EF285" s="243"/>
      <c r="EG285" s="243"/>
      <c r="EH285" s="243"/>
      <c r="EI285" s="243"/>
      <c r="EJ285" s="243"/>
      <c r="EK285" s="243"/>
      <c r="EL285" s="243"/>
      <c r="EM285" s="243"/>
      <c r="EN285" s="243"/>
      <c r="EO285" s="243"/>
      <c r="EP285" s="243"/>
      <c r="EQ285" s="243"/>
      <c r="ER285" s="243"/>
      <c r="ES285" s="243"/>
      <c r="ET285" s="243"/>
      <c r="EU285" s="243"/>
      <c r="EV285" s="243"/>
      <c r="EW285" s="243"/>
      <c r="EX285" s="243"/>
      <c r="EY285" s="243"/>
      <c r="EZ285" s="243"/>
      <c r="FA285" s="243"/>
      <c r="FB285" s="243"/>
      <c r="FC285" s="243"/>
      <c r="FD285" s="243"/>
      <c r="FE285" s="243"/>
      <c r="FF285" s="243"/>
      <c r="FG285" s="243"/>
      <c r="FH285" s="243"/>
      <c r="FI285" s="243"/>
      <c r="FJ285" s="243"/>
      <c r="FK285" s="243"/>
      <c r="FL285" s="243"/>
      <c r="FM285" s="243"/>
      <c r="FN285" s="243"/>
      <c r="FO285" s="243"/>
      <c r="FP285" s="243"/>
      <c r="FQ285" s="243"/>
      <c r="FR285" s="243"/>
      <c r="FS285" s="243"/>
      <c r="FT285" s="243"/>
      <c r="FU285" s="243"/>
      <c r="FV285" s="243"/>
      <c r="FW285" s="243"/>
      <c r="FX285" s="243"/>
      <c r="FY285" s="243"/>
      <c r="FZ285" s="243"/>
      <c r="GA285" s="243"/>
      <c r="GB285" s="243"/>
      <c r="GC285" s="243"/>
      <c r="GD285" s="243"/>
      <c r="GE285" s="243"/>
      <c r="GF285" s="243"/>
      <c r="GG285" s="243"/>
      <c r="GH285" s="243"/>
      <c r="GI285" s="243"/>
      <c r="GJ285" s="243"/>
      <c r="GK285" s="243"/>
      <c r="GL285" s="243"/>
      <c r="GM285" s="243"/>
      <c r="GN285" s="243"/>
      <c r="GO285" s="243"/>
      <c r="GP285" s="243"/>
      <c r="GQ285" s="243"/>
      <c r="GR285" s="243"/>
      <c r="GS285" s="243"/>
      <c r="GT285" s="243"/>
      <c r="GU285" s="243"/>
      <c r="GV285" s="243"/>
      <c r="GW285" s="243"/>
      <c r="GX285" s="243"/>
      <c r="GY285" s="243"/>
      <c r="GZ285" s="243"/>
      <c r="HA285" s="243"/>
      <c r="HB285" s="243"/>
      <c r="HC285" s="243"/>
      <c r="HD285" s="243"/>
      <c r="HE285" s="243"/>
      <c r="HF285" s="243"/>
      <c r="HG285" s="243"/>
      <c r="HH285" s="243"/>
      <c r="HI285" s="243"/>
      <c r="HJ285" s="243"/>
      <c r="HK285" s="243"/>
      <c r="HL285" s="243"/>
      <c r="HM285" s="243"/>
      <c r="HN285" s="243"/>
      <c r="HO285" s="243"/>
      <c r="HP285" s="243"/>
      <c r="HQ285" s="243"/>
      <c r="HR285" s="243"/>
      <c r="HS285" s="243"/>
      <c r="HT285" s="243"/>
      <c r="HU285" s="243"/>
      <c r="HV285" s="243"/>
      <c r="HW285" s="243"/>
      <c r="HX285" s="243"/>
      <c r="HY285" s="243"/>
      <c r="HZ285" s="243"/>
      <c r="IA285" s="243"/>
      <c r="IB285" s="243"/>
      <c r="IC285" s="243"/>
      <c r="ID285" s="243"/>
      <c r="IE285" s="243"/>
      <c r="IF285" s="243"/>
      <c r="IG285" s="243"/>
      <c r="IH285" s="243"/>
      <c r="II285" s="243"/>
      <c r="IJ285" s="243"/>
      <c r="IK285" s="243"/>
      <c r="IL285" s="243"/>
      <c r="IM285" s="243"/>
      <c r="IN285" s="243"/>
      <c r="IO285" s="243"/>
      <c r="IP285" s="243"/>
      <c r="IQ285" s="243"/>
      <c r="IR285" s="243"/>
      <c r="IS285" s="243"/>
      <c r="IT285" s="243"/>
      <c r="IU285" s="243"/>
      <c r="IV285" s="243"/>
      <c r="IW285" s="243"/>
      <c r="IX285" s="243"/>
      <c r="IY285" s="243"/>
      <c r="IZ285" s="243"/>
      <c r="JA285" s="243"/>
      <c r="JB285" s="243"/>
      <c r="JC285" s="243"/>
      <c r="JD285" s="243"/>
      <c r="JE285" s="243"/>
      <c r="JF285" s="243"/>
      <c r="JG285" s="243"/>
      <c r="JH285" s="243"/>
      <c r="JI285" s="243"/>
      <c r="JJ285" s="243"/>
      <c r="JK285" s="243"/>
      <c r="JL285" s="243"/>
      <c r="JM285" s="243"/>
      <c r="JN285" s="243"/>
      <c r="JO285" s="243"/>
      <c r="JP285" s="243"/>
      <c r="JQ285" s="243"/>
      <c r="JR285" s="243"/>
      <c r="JS285" s="243"/>
      <c r="JT285" s="243"/>
      <c r="JU285" s="243"/>
      <c r="JV285" s="243"/>
      <c r="JW285" s="243"/>
      <c r="JX285" s="243"/>
      <c r="JY285" s="243"/>
      <c r="JZ285" s="243"/>
      <c r="KA285" s="243"/>
      <c r="KB285" s="243"/>
      <c r="KC285" s="243"/>
      <c r="KD285" s="243"/>
      <c r="KE285" s="243"/>
      <c r="KF285" s="243"/>
      <c r="KG285" s="243"/>
      <c r="KH285" s="243"/>
      <c r="KI285" s="243"/>
      <c r="KJ285" s="243"/>
      <c r="KK285" s="243"/>
      <c r="KL285" s="243"/>
      <c r="KM285" s="243"/>
      <c r="KN285" s="243"/>
      <c r="KO285" s="243"/>
      <c r="KP285" s="243"/>
      <c r="KQ285" s="243"/>
      <c r="KR285" s="243"/>
      <c r="KS285" s="243"/>
      <c r="KT285" s="243"/>
      <c r="KU285" s="243"/>
      <c r="KV285" s="243"/>
      <c r="KW285" s="243"/>
      <c r="KX285" s="243"/>
      <c r="KY285" s="243"/>
      <c r="KZ285" s="243"/>
      <c r="LA285" s="243"/>
      <c r="LB285" s="243"/>
      <c r="LC285" s="243"/>
      <c r="LD285" s="243"/>
      <c r="LE285" s="243"/>
      <c r="LF285" s="243"/>
      <c r="LG285" s="243"/>
      <c r="LH285" s="243"/>
      <c r="LI285" s="243"/>
      <c r="LJ285" s="243"/>
      <c r="LK285" s="243"/>
      <c r="LL285" s="243"/>
      <c r="LM285" s="243"/>
      <c r="LN285" s="243"/>
      <c r="LO285" s="243"/>
      <c r="LP285" s="243"/>
      <c r="LQ285" s="243"/>
      <c r="LR285" s="243"/>
      <c r="LS285" s="243"/>
      <c r="LT285" s="243"/>
      <c r="LU285" s="243"/>
      <c r="LV285" s="243"/>
      <c r="LW285" s="243"/>
      <c r="LX285" s="243"/>
      <c r="LY285" s="243"/>
      <c r="LZ285" s="243"/>
      <c r="MA285" s="243"/>
      <c r="MB285" s="243"/>
      <c r="MC285" s="243"/>
      <c r="MD285" s="243"/>
      <c r="ME285" s="243"/>
      <c r="MF285" s="243"/>
      <c r="MG285" s="243"/>
      <c r="MH285" s="243"/>
      <c r="MI285" s="243"/>
      <c r="MJ285" s="243"/>
      <c r="MK285" s="243"/>
      <c r="ML285" s="243"/>
      <c r="MM285" s="243"/>
      <c r="MN285" s="243"/>
      <c r="MO285" s="243"/>
      <c r="MP285" s="243"/>
      <c r="MQ285" s="243"/>
      <c r="MR285" s="243"/>
      <c r="MS285" s="243"/>
      <c r="MT285" s="243"/>
      <c r="MU285" s="243"/>
      <c r="MV285" s="243"/>
      <c r="MW285" s="243"/>
      <c r="MX285" s="243"/>
      <c r="MY285" s="243"/>
      <c r="MZ285" s="243"/>
      <c r="NA285" s="243"/>
      <c r="NB285" s="243"/>
      <c r="NC285" s="243"/>
      <c r="ND285" s="243"/>
      <c r="NE285" s="243"/>
      <c r="NF285" s="243"/>
      <c r="NG285" s="243"/>
      <c r="NH285" s="243"/>
      <c r="NI285" s="243"/>
      <c r="NJ285" s="243"/>
      <c r="NK285" s="243"/>
      <c r="NL285" s="243"/>
      <c r="NM285" s="243"/>
      <c r="NN285" s="243"/>
      <c r="NO285" s="243"/>
      <c r="NP285" s="243"/>
      <c r="NQ285" s="243"/>
      <c r="NR285" s="243"/>
      <c r="NS285" s="243"/>
      <c r="NT285" s="243"/>
      <c r="NU285" s="243"/>
      <c r="NV285" s="243"/>
      <c r="NW285" s="243"/>
      <c r="NX285" s="243"/>
      <c r="NY285" s="243"/>
      <c r="NZ285" s="243"/>
      <c r="OA285" s="243"/>
      <c r="OB285" s="243"/>
      <c r="OC285" s="243"/>
      <c r="OD285" s="243"/>
      <c r="OE285" s="243"/>
      <c r="OF285" s="243"/>
      <c r="OG285" s="243"/>
      <c r="OH285" s="243"/>
      <c r="OI285" s="243"/>
      <c r="OJ285" s="243"/>
      <c r="OK285" s="243"/>
      <c r="OL285" s="243"/>
      <c r="OM285" s="243"/>
      <c r="ON285" s="243"/>
      <c r="OO285" s="243"/>
      <c r="OP285" s="243"/>
      <c r="OQ285" s="243"/>
      <c r="OR285" s="243"/>
      <c r="OS285" s="243"/>
      <c r="OT285" s="243"/>
      <c r="OU285" s="243"/>
      <c r="OV285" s="243"/>
      <c r="OW285" s="243"/>
      <c r="OX285" s="243"/>
      <c r="OY285" s="243"/>
      <c r="OZ285" s="243"/>
      <c r="PA285" s="243"/>
      <c r="PB285" s="243"/>
      <c r="PC285" s="243"/>
      <c r="PD285" s="243"/>
      <c r="PE285" s="243"/>
      <c r="PF285" s="243"/>
      <c r="PG285" s="243"/>
      <c r="PH285" s="243"/>
      <c r="PI285" s="243"/>
      <c r="PJ285" s="243"/>
      <c r="PK285" s="243"/>
      <c r="PL285" s="243"/>
      <c r="PM285" s="243"/>
      <c r="PN285" s="243"/>
      <c r="PO285" s="243"/>
      <c r="PP285" s="243"/>
      <c r="PQ285" s="243"/>
      <c r="PR285" s="243"/>
      <c r="PS285" s="243"/>
      <c r="PT285" s="243"/>
      <c r="PU285" s="243"/>
      <c r="PV285" s="243"/>
      <c r="PW285" s="243"/>
      <c r="PX285" s="243"/>
      <c r="PY285" s="243"/>
      <c r="PZ285" s="243"/>
      <c r="QA285" s="243"/>
      <c r="QB285" s="243"/>
      <c r="QC285" s="243"/>
      <c r="QD285" s="243"/>
      <c r="QE285" s="243"/>
      <c r="QF285" s="243"/>
      <c r="QG285" s="243"/>
      <c r="QH285" s="243"/>
      <c r="QI285" s="243"/>
      <c r="QJ285" s="243"/>
      <c r="QK285" s="243"/>
      <c r="QL285" s="243"/>
      <c r="QM285" s="243"/>
      <c r="QN285" s="243"/>
      <c r="QO285" s="243"/>
      <c r="QP285" s="243"/>
      <c r="QQ285" s="243"/>
      <c r="QR285" s="243"/>
      <c r="QS285" s="243"/>
      <c r="QT285" s="243"/>
      <c r="QU285" s="243"/>
      <c r="QV285" s="243"/>
      <c r="QW285" s="243"/>
      <c r="QX285" s="243"/>
      <c r="QY285" s="243"/>
      <c r="QZ285" s="243"/>
      <c r="RA285" s="243"/>
      <c r="RB285" s="243"/>
      <c r="RC285" s="243"/>
      <c r="RD285" s="243"/>
      <c r="RE285" s="243"/>
      <c r="RF285" s="243"/>
      <c r="RG285" s="243"/>
      <c r="RH285" s="243"/>
      <c r="RI285" s="243"/>
      <c r="RJ285" s="243"/>
      <c r="RK285" s="243"/>
      <c r="RL285" s="243"/>
      <c r="RM285" s="243"/>
      <c r="RN285" s="243"/>
      <c r="RO285" s="243"/>
      <c r="RP285" s="243"/>
      <c r="RQ285" s="243"/>
      <c r="RR285" s="243"/>
      <c r="RS285" s="243"/>
      <c r="RT285" s="243"/>
      <c r="RU285" s="243"/>
      <c r="RV285" s="243"/>
      <c r="RW285" s="243"/>
      <c r="RX285" s="243"/>
      <c r="RY285" s="243"/>
      <c r="RZ285" s="243"/>
      <c r="SA285" s="243"/>
      <c r="SB285" s="243"/>
      <c r="SC285" s="243"/>
      <c r="SD285" s="243"/>
      <c r="SE285" s="243"/>
      <c r="SF285" s="243"/>
      <c r="SG285" s="243"/>
      <c r="SH285" s="243"/>
      <c r="SI285" s="243"/>
      <c r="SJ285" s="243"/>
      <c r="SK285" s="243"/>
      <c r="SL285" s="243"/>
      <c r="SM285" s="243"/>
      <c r="SN285" s="243"/>
      <c r="SO285" s="243"/>
      <c r="SP285" s="243"/>
      <c r="SQ285" s="243"/>
      <c r="SR285" s="243"/>
      <c r="SS285" s="243"/>
      <c r="ST285" s="243"/>
      <c r="SU285" s="243"/>
      <c r="SV285" s="243"/>
      <c r="SW285" s="243"/>
      <c r="SX285" s="243"/>
      <c r="SY285" s="243"/>
      <c r="SZ285" s="243"/>
      <c r="TA285" s="243"/>
      <c r="TB285" s="243"/>
      <c r="TC285" s="243"/>
      <c r="TD285" s="243"/>
      <c r="TE285" s="243"/>
      <c r="TF285" s="243"/>
      <c r="TG285" s="243"/>
      <c r="TH285" s="243"/>
      <c r="TI285" s="243"/>
      <c r="TJ285" s="243"/>
      <c r="TK285" s="243"/>
      <c r="TL285" s="243"/>
      <c r="TM285" s="243"/>
      <c r="TN285" s="243"/>
      <c r="TO285" s="243"/>
      <c r="TP285" s="243"/>
      <c r="TQ285" s="243"/>
      <c r="TR285" s="243"/>
      <c r="TS285" s="243"/>
      <c r="TT285" s="243"/>
      <c r="TU285" s="243"/>
      <c r="TV285" s="243"/>
      <c r="TW285" s="243"/>
      <c r="TX285" s="243"/>
      <c r="TY285" s="243"/>
      <c r="TZ285" s="243"/>
      <c r="UA285" s="243"/>
      <c r="UB285" s="243"/>
      <c r="UC285" s="243"/>
      <c r="UD285" s="243"/>
      <c r="UE285" s="243"/>
      <c r="UF285" s="243"/>
      <c r="UG285" s="243"/>
      <c r="UH285" s="243"/>
      <c r="UI285" s="243"/>
      <c r="UJ285" s="243"/>
      <c r="UK285" s="243"/>
      <c r="UL285" s="243"/>
      <c r="UM285" s="243"/>
      <c r="UN285" s="243"/>
      <c r="UO285" s="243"/>
      <c r="UP285" s="243"/>
      <c r="UQ285" s="243"/>
      <c r="UR285" s="243"/>
      <c r="US285" s="243"/>
      <c r="UT285" s="243"/>
      <c r="UU285" s="243"/>
      <c r="UV285" s="243"/>
      <c r="UW285" s="243"/>
      <c r="UX285" s="243"/>
      <c r="UY285" s="243"/>
      <c r="UZ285" s="243"/>
      <c r="VA285" s="243"/>
      <c r="VB285" s="243"/>
      <c r="VC285" s="243"/>
      <c r="VD285" s="243"/>
      <c r="VE285" s="243"/>
      <c r="VF285" s="243"/>
      <c r="VG285" s="243"/>
      <c r="VH285" s="243"/>
      <c r="VI285" s="243"/>
      <c r="VJ285" s="243"/>
      <c r="VK285" s="243"/>
      <c r="VL285" s="243"/>
      <c r="VM285" s="243"/>
      <c r="VN285" s="243"/>
      <c r="VO285" s="243"/>
      <c r="VP285" s="243"/>
      <c r="VQ285" s="243"/>
      <c r="VR285" s="243"/>
      <c r="VS285" s="243"/>
      <c r="VT285" s="243"/>
      <c r="VU285" s="243"/>
      <c r="VV285" s="243"/>
      <c r="VW285" s="243"/>
      <c r="VX285" s="243"/>
      <c r="VY285" s="243"/>
      <c r="VZ285" s="243"/>
      <c r="WA285" s="243"/>
      <c r="WB285" s="243"/>
      <c r="WC285" s="243"/>
      <c r="WD285" s="243"/>
      <c r="WE285" s="243"/>
      <c r="WF285" s="243"/>
      <c r="WG285" s="243"/>
      <c r="WH285" s="243"/>
      <c r="WI285" s="243"/>
      <c r="WJ285" s="243"/>
      <c r="WK285" s="243"/>
      <c r="WL285" s="243"/>
      <c r="WM285" s="243"/>
      <c r="WN285" s="243"/>
      <c r="WO285" s="243"/>
      <c r="WP285" s="243"/>
      <c r="WQ285" s="243"/>
      <c r="WR285" s="243"/>
      <c r="WS285" s="243"/>
      <c r="WT285" s="243"/>
      <c r="WU285" s="243"/>
      <c r="WV285" s="243"/>
      <c r="WW285" s="243"/>
      <c r="WX285" s="243"/>
      <c r="WY285" s="243"/>
      <c r="WZ285" s="243"/>
      <c r="XA285" s="243"/>
      <c r="XB285" s="243"/>
      <c r="XC285" s="243"/>
      <c r="XD285" s="243"/>
      <c r="XE285" s="243"/>
      <c r="XF285" s="243"/>
      <c r="XG285" s="243"/>
      <c r="XH285" s="243"/>
      <c r="XI285" s="243"/>
      <c r="XJ285" s="243"/>
      <c r="XK285" s="243"/>
      <c r="XL285" s="243"/>
      <c r="XM285" s="243"/>
      <c r="XN285" s="243"/>
      <c r="XO285" s="243"/>
      <c r="XP285" s="243"/>
      <c r="XQ285" s="243"/>
      <c r="XR285" s="243"/>
      <c r="XS285" s="243"/>
      <c r="XT285" s="243"/>
      <c r="XU285" s="243"/>
      <c r="XV285" s="243"/>
      <c r="XW285" s="243"/>
      <c r="XX285" s="243"/>
      <c r="XY285" s="243"/>
      <c r="XZ285" s="243"/>
      <c r="YA285" s="243"/>
      <c r="YB285" s="243"/>
      <c r="YC285" s="243"/>
      <c r="YD285" s="243"/>
      <c r="YE285" s="243"/>
      <c r="YF285" s="243"/>
      <c r="YG285" s="243"/>
      <c r="YH285" s="243"/>
      <c r="YI285" s="243"/>
      <c r="YJ285" s="243"/>
      <c r="YK285" s="243"/>
      <c r="YL285" s="243"/>
      <c r="YM285" s="243"/>
      <c r="YN285" s="243"/>
      <c r="YO285" s="243"/>
      <c r="YP285" s="243"/>
      <c r="YQ285" s="243"/>
      <c r="YR285" s="243"/>
      <c r="YS285" s="243"/>
      <c r="YT285" s="243"/>
      <c r="YU285" s="243"/>
      <c r="YV285" s="243"/>
      <c r="YW285" s="243"/>
      <c r="YX285" s="243"/>
      <c r="YY285" s="243"/>
      <c r="YZ285" s="243"/>
      <c r="ZA285" s="243"/>
      <c r="ZB285" s="243"/>
      <c r="ZC285" s="243"/>
      <c r="ZD285" s="243"/>
      <c r="ZE285" s="243"/>
      <c r="ZF285" s="243"/>
      <c r="ZG285" s="243"/>
      <c r="ZH285" s="243"/>
      <c r="ZI285" s="243"/>
      <c r="ZJ285" s="243"/>
      <c r="ZK285" s="243"/>
      <c r="ZL285" s="243"/>
      <c r="ZM285" s="243"/>
      <c r="ZN285" s="243"/>
      <c r="ZO285" s="243"/>
      <c r="ZP285" s="243"/>
      <c r="ZQ285" s="243"/>
      <c r="ZR285" s="243"/>
      <c r="ZS285" s="243"/>
      <c r="ZT285" s="243"/>
      <c r="ZU285" s="243"/>
      <c r="ZV285" s="243"/>
      <c r="ZW285" s="243"/>
      <c r="ZX285" s="243"/>
      <c r="ZY285" s="243"/>
      <c r="ZZ285" s="243"/>
      <c r="AAA285" s="243"/>
      <c r="AAB285" s="243"/>
      <c r="AAC285" s="243"/>
      <c r="AAD285" s="243"/>
      <c r="AAE285" s="243"/>
      <c r="AAF285" s="243"/>
      <c r="AAG285" s="243"/>
      <c r="AAH285" s="243"/>
      <c r="AAI285" s="243"/>
      <c r="AAJ285" s="243"/>
      <c r="AAK285" s="243"/>
      <c r="AAL285" s="243"/>
      <c r="AAM285" s="243"/>
      <c r="AAN285" s="243"/>
      <c r="AAO285" s="243"/>
      <c r="AAP285" s="243"/>
      <c r="AAQ285" s="243"/>
      <c r="AAR285" s="243"/>
      <c r="AAS285" s="243"/>
      <c r="AAT285" s="243"/>
      <c r="AAU285" s="243"/>
      <c r="AAV285" s="243"/>
      <c r="AAW285" s="243"/>
      <c r="AAX285" s="243"/>
      <c r="AAY285" s="243"/>
      <c r="AAZ285" s="243"/>
      <c r="ABA285" s="243"/>
      <c r="ABB285" s="243"/>
      <c r="ABC285" s="243"/>
      <c r="ABD285" s="243"/>
      <c r="ABE285" s="243"/>
      <c r="ABF285" s="243"/>
      <c r="ABG285" s="243"/>
      <c r="ABH285" s="243"/>
      <c r="ABI285" s="243"/>
      <c r="ABJ285" s="243"/>
      <c r="ABK285" s="243"/>
      <c r="ABL285" s="243"/>
      <c r="ABM285" s="243"/>
      <c r="ABN285" s="243"/>
      <c r="ABO285" s="243"/>
      <c r="ABP285" s="243"/>
      <c r="ABQ285" s="243"/>
      <c r="ABR285" s="243"/>
      <c r="ABS285" s="243"/>
      <c r="ABT285" s="243"/>
      <c r="ABU285" s="243"/>
      <c r="ABV285" s="243"/>
      <c r="ABW285" s="243"/>
      <c r="ABX285" s="243"/>
      <c r="ABY285" s="243"/>
      <c r="ABZ285" s="243"/>
      <c r="ACA285" s="243"/>
      <c r="ACB285" s="243"/>
      <c r="ACC285" s="243"/>
      <c r="ACD285" s="243"/>
      <c r="ACE285" s="243"/>
      <c r="ACF285" s="243"/>
      <c r="ACG285" s="243"/>
      <c r="ACH285" s="243"/>
      <c r="ACI285" s="243"/>
      <c r="ACJ285" s="243"/>
      <c r="ACK285" s="243"/>
      <c r="ACL285" s="243"/>
      <c r="ACM285" s="243"/>
      <c r="ACN285" s="243"/>
      <c r="ACO285" s="243"/>
      <c r="ACP285" s="243"/>
      <c r="ACQ285" s="243"/>
      <c r="ACR285" s="243"/>
      <c r="ACS285" s="243"/>
      <c r="ACT285" s="243"/>
      <c r="ACU285" s="243"/>
      <c r="ACV285" s="243"/>
      <c r="ACW285" s="243"/>
      <c r="ACX285" s="243"/>
      <c r="ACY285" s="243"/>
      <c r="ACZ285" s="243"/>
      <c r="ADA285" s="243"/>
      <c r="ADB285" s="243"/>
      <c r="ADC285" s="243"/>
      <c r="ADD285" s="243"/>
      <c r="ADE285" s="243"/>
      <c r="ADF285" s="243"/>
      <c r="ADG285" s="243"/>
      <c r="ADH285" s="243"/>
      <c r="ADI285" s="243"/>
      <c r="ADJ285" s="243"/>
      <c r="ADK285" s="243"/>
      <c r="ADL285" s="243"/>
      <c r="ADM285" s="243"/>
      <c r="ADN285" s="243"/>
      <c r="ADO285" s="243"/>
      <c r="ADP285" s="243"/>
      <c r="ADQ285" s="243"/>
      <c r="ADR285" s="243"/>
      <c r="ADS285" s="243"/>
      <c r="ADT285" s="243"/>
      <c r="ADU285" s="243"/>
      <c r="ADV285" s="243"/>
      <c r="ADW285" s="243"/>
      <c r="ADX285" s="243"/>
      <c r="ADY285" s="243"/>
      <c r="ADZ285" s="243"/>
      <c r="AEA285" s="243"/>
      <c r="AEB285" s="243"/>
      <c r="AEC285" s="243"/>
      <c r="AED285" s="243"/>
      <c r="AEE285" s="243"/>
      <c r="AEF285" s="243"/>
      <c r="AEG285" s="243"/>
      <c r="AEH285" s="243"/>
      <c r="AEI285" s="243"/>
      <c r="AEJ285" s="243"/>
      <c r="AEK285" s="243"/>
      <c r="AEL285" s="243"/>
      <c r="AEM285" s="243"/>
      <c r="AEN285" s="243"/>
      <c r="AEO285" s="243"/>
      <c r="AEP285" s="243"/>
      <c r="AEQ285" s="243"/>
      <c r="AER285" s="243"/>
      <c r="AES285" s="243"/>
      <c r="AET285" s="243"/>
      <c r="AEU285" s="243"/>
      <c r="AEV285" s="243"/>
      <c r="AEW285" s="243"/>
      <c r="AEX285" s="243"/>
      <c r="AEY285" s="243"/>
      <c r="AEZ285" s="243"/>
      <c r="AFA285" s="243"/>
      <c r="AFB285" s="243"/>
      <c r="AFC285" s="243"/>
      <c r="AFD285" s="243"/>
      <c r="AFE285" s="243"/>
      <c r="AFF285" s="243"/>
      <c r="AFG285" s="243"/>
      <c r="AFH285" s="243"/>
      <c r="AFI285" s="243"/>
      <c r="AFJ285" s="243"/>
      <c r="AFK285" s="243"/>
      <c r="AFL285" s="243"/>
      <c r="AFM285" s="243"/>
      <c r="AFN285" s="243"/>
      <c r="AFO285" s="243"/>
      <c r="AFP285" s="243"/>
      <c r="AFQ285" s="243"/>
      <c r="AFR285" s="243"/>
      <c r="AFS285" s="243"/>
      <c r="AFT285" s="243"/>
      <c r="AFU285" s="243"/>
      <c r="AFV285" s="243"/>
      <c r="AFW285" s="243"/>
      <c r="AFX285" s="243"/>
      <c r="AFY285" s="243"/>
      <c r="AFZ285" s="243"/>
      <c r="AGA285" s="243"/>
      <c r="AGB285" s="243"/>
      <c r="AGC285" s="243"/>
      <c r="AGD285" s="243"/>
      <c r="AGE285" s="243"/>
      <c r="AGF285" s="243"/>
      <c r="AGG285" s="243"/>
      <c r="AGH285" s="243"/>
      <c r="AGI285" s="243"/>
      <c r="AGJ285" s="243"/>
      <c r="AGK285" s="243"/>
      <c r="AGL285" s="243"/>
      <c r="AGM285" s="243"/>
      <c r="AGN285" s="243"/>
      <c r="AGO285" s="243"/>
      <c r="AGP285" s="243"/>
      <c r="AGQ285" s="243"/>
      <c r="AGR285" s="243"/>
      <c r="AGS285" s="243"/>
      <c r="AGT285" s="243"/>
      <c r="AGU285" s="243"/>
      <c r="AGV285" s="243"/>
      <c r="AGW285" s="243"/>
      <c r="AGX285" s="243"/>
      <c r="AGY285" s="243"/>
      <c r="AGZ285" s="243"/>
      <c r="AHA285" s="243"/>
      <c r="AHB285" s="243"/>
      <c r="AHC285" s="243"/>
      <c r="AHD285" s="243"/>
      <c r="AHE285" s="243"/>
      <c r="AHF285" s="243"/>
      <c r="AHG285" s="243"/>
      <c r="AHH285" s="243"/>
      <c r="AHI285" s="243"/>
      <c r="AHJ285" s="243"/>
      <c r="AHK285" s="243"/>
      <c r="AHL285" s="243"/>
      <c r="AHM285" s="243"/>
      <c r="AHN285" s="243"/>
      <c r="AHO285" s="243"/>
      <c r="AHP285" s="243"/>
      <c r="AHQ285" s="243"/>
      <c r="AHR285" s="243"/>
      <c r="AHS285" s="243"/>
      <c r="AHT285" s="243"/>
      <c r="AHU285" s="243"/>
      <c r="AHV285" s="243"/>
      <c r="AHW285" s="243"/>
      <c r="AHX285" s="243"/>
      <c r="AHY285" s="243"/>
      <c r="AHZ285" s="243"/>
      <c r="AIA285" s="243"/>
      <c r="AIB285" s="243"/>
      <c r="AIC285" s="243"/>
      <c r="AID285" s="243"/>
      <c r="AIE285" s="243"/>
      <c r="AIF285" s="243"/>
      <c r="AIG285" s="243"/>
      <c r="AIH285" s="243"/>
      <c r="AII285" s="243"/>
      <c r="AIJ285" s="243"/>
      <c r="AIK285" s="243"/>
      <c r="AIL285" s="243"/>
      <c r="AIM285" s="243"/>
      <c r="AIN285" s="243"/>
      <c r="AIO285" s="243"/>
      <c r="AIP285" s="243"/>
      <c r="AIQ285" s="243"/>
      <c r="AIR285" s="243"/>
      <c r="AIS285" s="243"/>
      <c r="AIT285" s="243"/>
      <c r="AIU285" s="243"/>
      <c r="AIV285" s="243"/>
      <c r="AIW285" s="243"/>
      <c r="AIX285" s="243"/>
      <c r="AIY285" s="243"/>
      <c r="AIZ285" s="243"/>
      <c r="AJA285" s="243"/>
      <c r="AJB285" s="243"/>
      <c r="AJC285" s="243"/>
      <c r="AJD285" s="243"/>
      <c r="AJE285" s="243"/>
      <c r="AJF285" s="243"/>
      <c r="AJG285" s="243"/>
      <c r="AJH285" s="243"/>
      <c r="AJI285" s="243"/>
      <c r="AJJ285" s="243"/>
      <c r="AJK285" s="243"/>
      <c r="AJL285" s="243"/>
      <c r="AJM285" s="243"/>
      <c r="AJN285" s="243"/>
      <c r="AJO285" s="243"/>
      <c r="AJP285" s="243"/>
      <c r="AJQ285" s="243"/>
      <c r="AJR285" s="243"/>
      <c r="AJS285" s="243"/>
      <c r="AJT285" s="243"/>
      <c r="AJU285" s="243"/>
      <c r="AJV285" s="243"/>
      <c r="AJW285" s="243"/>
      <c r="AJX285" s="243"/>
      <c r="AJY285" s="243"/>
      <c r="AJZ285" s="243"/>
      <c r="AKA285" s="243"/>
      <c r="AKB285" s="243"/>
      <c r="AKC285" s="243"/>
      <c r="AKD285" s="243"/>
      <c r="AKE285" s="243"/>
      <c r="AKF285" s="243"/>
      <c r="AKG285" s="243"/>
      <c r="AKH285" s="243"/>
      <c r="AKI285" s="243"/>
      <c r="AKJ285" s="243"/>
      <c r="AKK285" s="243"/>
      <c r="AKL285" s="243"/>
      <c r="AKM285" s="243"/>
      <c r="AKN285" s="243"/>
      <c r="AKO285" s="243"/>
      <c r="AKP285" s="243"/>
      <c r="AKQ285" s="243"/>
      <c r="AKR285" s="243"/>
      <c r="AKS285" s="243"/>
      <c r="AKT285" s="243"/>
      <c r="AKU285" s="243"/>
      <c r="AKV285" s="243"/>
      <c r="AKW285" s="243"/>
      <c r="AKX285" s="243"/>
      <c r="AKY285" s="243"/>
      <c r="AKZ285" s="243"/>
      <c r="ALA285" s="243"/>
      <c r="ALB285" s="243"/>
      <c r="ALC285" s="243"/>
      <c r="ALD285" s="243"/>
      <c r="ALE285" s="243"/>
      <c r="ALF285" s="243"/>
      <c r="ALG285" s="243"/>
      <c r="ALH285" s="243"/>
      <c r="ALI285" s="243"/>
      <c r="ALJ285" s="243"/>
      <c r="ALK285" s="243"/>
      <c r="ALL285" s="243"/>
      <c r="ALM285" s="243"/>
      <c r="ALN285" s="243"/>
      <c r="ALO285" s="243"/>
      <c r="ALP285" s="243"/>
      <c r="ALQ285" s="243"/>
      <c r="ALR285" s="243"/>
      <c r="ALS285" s="243"/>
      <c r="ALT285" s="243"/>
      <c r="ALU285" s="243"/>
      <c r="ALV285" s="243"/>
      <c r="ALW285" s="243"/>
      <c r="ALX285" s="243"/>
      <c r="ALY285" s="243"/>
      <c r="ALZ285" s="243"/>
      <c r="AMA285" s="243"/>
      <c r="AMB285" s="243"/>
      <c r="AMC285" s="243"/>
      <c r="AMD285" s="243"/>
      <c r="AME285" s="243"/>
      <c r="AMF285" s="243"/>
      <c r="AMG285" s="243"/>
      <c r="AMH285" s="243"/>
      <c r="AMI285" s="244"/>
      <c r="AMJ285" s="244"/>
    </row>
    <row r="286" spans="1:1024">
      <c r="A286" s="908"/>
      <c r="B286" s="511"/>
      <c r="C286" s="439"/>
      <c r="D286" s="405" t="s">
        <v>195</v>
      </c>
      <c r="E286" s="437"/>
      <c r="F286" s="405"/>
      <c r="G286" s="405"/>
      <c r="H286" s="407" t="s">
        <v>47</v>
      </c>
      <c r="I286" s="407" t="s">
        <v>190</v>
      </c>
      <c r="J286" s="405" t="s">
        <v>196</v>
      </c>
      <c r="K286" s="407"/>
      <c r="L286" s="407"/>
      <c r="M286" s="396"/>
      <c r="N286" s="396"/>
      <c r="O286" s="377"/>
      <c r="P286" s="377"/>
      <c r="Q286" s="377"/>
      <c r="R286" s="243"/>
      <c r="S286" s="243"/>
      <c r="T286" s="243"/>
      <c r="U286" s="243"/>
      <c r="V286" s="243"/>
      <c r="W286" s="243"/>
      <c r="X286" s="243"/>
      <c r="Y286" s="243"/>
      <c r="Z286" s="243"/>
      <c r="AA286" s="243"/>
      <c r="AB286" s="243"/>
      <c r="AC286" s="243"/>
      <c r="AD286" s="243"/>
      <c r="AE286" s="243"/>
      <c r="AF286" s="243"/>
      <c r="AG286" s="243"/>
      <c r="AH286" s="243"/>
      <c r="AI286" s="243"/>
      <c r="AJ286" s="243"/>
      <c r="AK286" s="243"/>
      <c r="AL286" s="243"/>
      <c r="AM286" s="243"/>
      <c r="AN286" s="243"/>
      <c r="AO286" s="243"/>
      <c r="AP286" s="243"/>
      <c r="AQ286" s="243"/>
      <c r="AR286" s="243"/>
      <c r="AS286" s="243"/>
      <c r="AT286" s="243"/>
      <c r="AU286" s="243"/>
      <c r="AV286" s="243"/>
      <c r="AW286" s="243"/>
      <c r="AX286" s="243"/>
      <c r="AY286" s="243"/>
      <c r="AZ286" s="243"/>
      <c r="BA286" s="243"/>
      <c r="BB286" s="243"/>
      <c r="BC286" s="243"/>
      <c r="BD286" s="243"/>
      <c r="BE286" s="243"/>
      <c r="BF286" s="243"/>
      <c r="BG286" s="243"/>
      <c r="BH286" s="243"/>
      <c r="BI286" s="243"/>
      <c r="BJ286" s="243"/>
      <c r="BK286" s="243"/>
      <c r="BL286" s="243"/>
      <c r="BM286" s="243"/>
      <c r="BN286" s="243"/>
      <c r="BO286" s="243"/>
      <c r="BP286" s="243"/>
      <c r="BQ286" s="243"/>
      <c r="BR286" s="243"/>
      <c r="BS286" s="243"/>
      <c r="BT286" s="243"/>
      <c r="BU286" s="243"/>
      <c r="BV286" s="243"/>
      <c r="BW286" s="243"/>
      <c r="BX286" s="243"/>
      <c r="BY286" s="243"/>
      <c r="BZ286" s="243"/>
      <c r="CA286" s="243"/>
      <c r="CB286" s="243"/>
      <c r="CC286" s="243"/>
      <c r="CD286" s="243"/>
      <c r="CE286" s="243"/>
      <c r="CF286" s="243"/>
      <c r="CG286" s="243"/>
      <c r="CH286" s="243"/>
      <c r="CI286" s="243"/>
      <c r="CJ286" s="243"/>
      <c r="CK286" s="243"/>
      <c r="CL286" s="243"/>
      <c r="CM286" s="243"/>
      <c r="CN286" s="243"/>
      <c r="CO286" s="243"/>
      <c r="CP286" s="243"/>
      <c r="CQ286" s="243"/>
      <c r="CR286" s="243"/>
      <c r="CS286" s="243"/>
      <c r="CT286" s="243"/>
      <c r="CU286" s="243"/>
      <c r="CV286" s="243"/>
      <c r="CW286" s="243"/>
      <c r="CX286" s="243"/>
      <c r="CY286" s="243"/>
      <c r="CZ286" s="243"/>
      <c r="DA286" s="243"/>
      <c r="DB286" s="243"/>
      <c r="DC286" s="243"/>
      <c r="DD286" s="243"/>
      <c r="DE286" s="243"/>
      <c r="DF286" s="243"/>
      <c r="DG286" s="243"/>
      <c r="DH286" s="243"/>
      <c r="DI286" s="243"/>
      <c r="DJ286" s="243"/>
      <c r="DK286" s="243"/>
      <c r="DL286" s="243"/>
      <c r="DM286" s="243"/>
      <c r="DN286" s="243"/>
      <c r="DO286" s="243"/>
      <c r="DP286" s="243"/>
      <c r="DQ286" s="243"/>
      <c r="DR286" s="243"/>
      <c r="DS286" s="243"/>
      <c r="DT286" s="243"/>
      <c r="DU286" s="243"/>
      <c r="DV286" s="243"/>
      <c r="DW286" s="243"/>
      <c r="DX286" s="243"/>
      <c r="DY286" s="243"/>
      <c r="DZ286" s="243"/>
      <c r="EA286" s="243"/>
      <c r="EB286" s="243"/>
      <c r="EC286" s="243"/>
      <c r="ED286" s="243"/>
      <c r="EE286" s="243"/>
      <c r="EF286" s="243"/>
      <c r="EG286" s="243"/>
      <c r="EH286" s="243"/>
      <c r="EI286" s="243"/>
      <c r="EJ286" s="243"/>
      <c r="EK286" s="243"/>
      <c r="EL286" s="243"/>
      <c r="EM286" s="243"/>
      <c r="EN286" s="243"/>
      <c r="EO286" s="243"/>
      <c r="EP286" s="243"/>
      <c r="EQ286" s="243"/>
      <c r="ER286" s="243"/>
      <c r="ES286" s="243"/>
      <c r="ET286" s="243"/>
      <c r="EU286" s="243"/>
      <c r="EV286" s="243"/>
      <c r="EW286" s="243"/>
      <c r="EX286" s="243"/>
      <c r="EY286" s="243"/>
      <c r="EZ286" s="243"/>
      <c r="FA286" s="243"/>
      <c r="FB286" s="243"/>
      <c r="FC286" s="243"/>
      <c r="FD286" s="243"/>
      <c r="FE286" s="243"/>
      <c r="FF286" s="243"/>
      <c r="FG286" s="243"/>
      <c r="FH286" s="243"/>
      <c r="FI286" s="243"/>
      <c r="FJ286" s="243"/>
      <c r="FK286" s="243"/>
      <c r="FL286" s="243"/>
      <c r="FM286" s="243"/>
      <c r="FN286" s="243"/>
      <c r="FO286" s="243"/>
      <c r="FP286" s="243"/>
      <c r="FQ286" s="243"/>
      <c r="FR286" s="243"/>
      <c r="FS286" s="243"/>
      <c r="FT286" s="243"/>
      <c r="FU286" s="243"/>
      <c r="FV286" s="243"/>
      <c r="FW286" s="243"/>
      <c r="FX286" s="243"/>
      <c r="FY286" s="243"/>
      <c r="FZ286" s="243"/>
      <c r="GA286" s="243"/>
      <c r="GB286" s="243"/>
      <c r="GC286" s="243"/>
      <c r="GD286" s="243"/>
      <c r="GE286" s="243"/>
      <c r="GF286" s="243"/>
      <c r="GG286" s="243"/>
      <c r="GH286" s="243"/>
      <c r="GI286" s="243"/>
      <c r="GJ286" s="243"/>
      <c r="GK286" s="243"/>
      <c r="GL286" s="243"/>
      <c r="GM286" s="243"/>
      <c r="GN286" s="243"/>
      <c r="GO286" s="243"/>
      <c r="GP286" s="243"/>
      <c r="GQ286" s="243"/>
      <c r="GR286" s="243"/>
      <c r="GS286" s="243"/>
      <c r="GT286" s="243"/>
      <c r="GU286" s="243"/>
      <c r="GV286" s="243"/>
      <c r="GW286" s="243"/>
      <c r="GX286" s="243"/>
      <c r="GY286" s="243"/>
      <c r="GZ286" s="243"/>
      <c r="HA286" s="243"/>
      <c r="HB286" s="243"/>
      <c r="HC286" s="243"/>
      <c r="HD286" s="243"/>
      <c r="HE286" s="243"/>
      <c r="HF286" s="243"/>
      <c r="HG286" s="243"/>
      <c r="HH286" s="243"/>
      <c r="HI286" s="243"/>
      <c r="HJ286" s="243"/>
      <c r="HK286" s="243"/>
      <c r="HL286" s="243"/>
      <c r="HM286" s="243"/>
      <c r="HN286" s="243"/>
      <c r="HO286" s="243"/>
      <c r="HP286" s="243"/>
      <c r="HQ286" s="243"/>
      <c r="HR286" s="243"/>
      <c r="HS286" s="243"/>
      <c r="HT286" s="243"/>
      <c r="HU286" s="243"/>
      <c r="HV286" s="243"/>
      <c r="HW286" s="243"/>
      <c r="HX286" s="243"/>
      <c r="HY286" s="243"/>
      <c r="HZ286" s="243"/>
      <c r="IA286" s="243"/>
      <c r="IB286" s="243"/>
      <c r="IC286" s="243"/>
      <c r="ID286" s="243"/>
      <c r="IE286" s="243"/>
      <c r="IF286" s="243"/>
      <c r="IG286" s="243"/>
      <c r="IH286" s="243"/>
      <c r="II286" s="243"/>
      <c r="IJ286" s="243"/>
      <c r="IK286" s="243"/>
      <c r="IL286" s="243"/>
      <c r="IM286" s="243"/>
      <c r="IN286" s="243"/>
      <c r="IO286" s="243"/>
      <c r="IP286" s="243"/>
      <c r="IQ286" s="243"/>
      <c r="IR286" s="243"/>
      <c r="IS286" s="243"/>
      <c r="IT286" s="243"/>
      <c r="IU286" s="243"/>
      <c r="IV286" s="243"/>
      <c r="IW286" s="243"/>
      <c r="IX286" s="243"/>
      <c r="IY286" s="243"/>
      <c r="IZ286" s="243"/>
      <c r="JA286" s="243"/>
      <c r="JB286" s="243"/>
      <c r="JC286" s="243"/>
      <c r="JD286" s="243"/>
      <c r="JE286" s="243"/>
      <c r="JF286" s="243"/>
      <c r="JG286" s="243"/>
      <c r="JH286" s="243"/>
      <c r="JI286" s="243"/>
      <c r="JJ286" s="243"/>
      <c r="JK286" s="243"/>
      <c r="JL286" s="243"/>
      <c r="JM286" s="243"/>
      <c r="JN286" s="243"/>
      <c r="JO286" s="243"/>
      <c r="JP286" s="243"/>
      <c r="JQ286" s="243"/>
      <c r="JR286" s="243"/>
      <c r="JS286" s="243"/>
      <c r="JT286" s="243"/>
      <c r="JU286" s="243"/>
      <c r="JV286" s="243"/>
      <c r="JW286" s="243"/>
      <c r="JX286" s="243"/>
      <c r="JY286" s="243"/>
      <c r="JZ286" s="243"/>
      <c r="KA286" s="243"/>
      <c r="KB286" s="243"/>
      <c r="KC286" s="243"/>
      <c r="KD286" s="243"/>
      <c r="KE286" s="243"/>
      <c r="KF286" s="243"/>
      <c r="KG286" s="243"/>
      <c r="KH286" s="243"/>
      <c r="KI286" s="243"/>
      <c r="KJ286" s="243"/>
      <c r="KK286" s="243"/>
      <c r="KL286" s="243"/>
      <c r="KM286" s="243"/>
      <c r="KN286" s="243"/>
      <c r="KO286" s="243"/>
      <c r="KP286" s="243"/>
      <c r="KQ286" s="243"/>
      <c r="KR286" s="243"/>
      <c r="KS286" s="243"/>
      <c r="KT286" s="243"/>
      <c r="KU286" s="243"/>
      <c r="KV286" s="243"/>
      <c r="KW286" s="243"/>
      <c r="KX286" s="243"/>
      <c r="KY286" s="243"/>
      <c r="KZ286" s="243"/>
      <c r="LA286" s="243"/>
      <c r="LB286" s="243"/>
      <c r="LC286" s="243"/>
      <c r="LD286" s="243"/>
      <c r="LE286" s="243"/>
      <c r="LF286" s="243"/>
      <c r="LG286" s="243"/>
      <c r="LH286" s="243"/>
      <c r="LI286" s="243"/>
      <c r="LJ286" s="243"/>
      <c r="LK286" s="243"/>
      <c r="LL286" s="243"/>
      <c r="LM286" s="243"/>
      <c r="LN286" s="243"/>
      <c r="LO286" s="243"/>
      <c r="LP286" s="243"/>
      <c r="LQ286" s="243"/>
      <c r="LR286" s="243"/>
      <c r="LS286" s="243"/>
      <c r="LT286" s="243"/>
      <c r="LU286" s="243"/>
      <c r="LV286" s="243"/>
      <c r="LW286" s="243"/>
      <c r="LX286" s="243"/>
      <c r="LY286" s="243"/>
      <c r="LZ286" s="243"/>
      <c r="MA286" s="243"/>
      <c r="MB286" s="243"/>
      <c r="MC286" s="243"/>
      <c r="MD286" s="243"/>
      <c r="ME286" s="243"/>
      <c r="MF286" s="243"/>
      <c r="MG286" s="243"/>
      <c r="MH286" s="243"/>
      <c r="MI286" s="243"/>
      <c r="MJ286" s="243"/>
      <c r="MK286" s="243"/>
      <c r="ML286" s="243"/>
      <c r="MM286" s="243"/>
      <c r="MN286" s="243"/>
      <c r="MO286" s="243"/>
      <c r="MP286" s="243"/>
      <c r="MQ286" s="243"/>
      <c r="MR286" s="243"/>
      <c r="MS286" s="243"/>
      <c r="MT286" s="243"/>
      <c r="MU286" s="243"/>
      <c r="MV286" s="243"/>
      <c r="MW286" s="243"/>
      <c r="MX286" s="243"/>
      <c r="MY286" s="243"/>
      <c r="MZ286" s="243"/>
      <c r="NA286" s="243"/>
      <c r="NB286" s="243"/>
      <c r="NC286" s="243"/>
      <c r="ND286" s="243"/>
      <c r="NE286" s="243"/>
      <c r="NF286" s="243"/>
      <c r="NG286" s="243"/>
      <c r="NH286" s="243"/>
      <c r="NI286" s="243"/>
      <c r="NJ286" s="243"/>
      <c r="NK286" s="243"/>
      <c r="NL286" s="243"/>
      <c r="NM286" s="243"/>
      <c r="NN286" s="243"/>
      <c r="NO286" s="243"/>
      <c r="NP286" s="243"/>
      <c r="NQ286" s="243"/>
      <c r="NR286" s="243"/>
      <c r="NS286" s="243"/>
      <c r="NT286" s="243"/>
      <c r="NU286" s="243"/>
      <c r="NV286" s="243"/>
      <c r="NW286" s="243"/>
      <c r="NX286" s="243"/>
      <c r="NY286" s="243"/>
      <c r="NZ286" s="243"/>
      <c r="OA286" s="243"/>
      <c r="OB286" s="243"/>
      <c r="OC286" s="243"/>
      <c r="OD286" s="243"/>
      <c r="OE286" s="243"/>
      <c r="OF286" s="243"/>
      <c r="OG286" s="243"/>
      <c r="OH286" s="243"/>
      <c r="OI286" s="243"/>
      <c r="OJ286" s="243"/>
      <c r="OK286" s="243"/>
      <c r="OL286" s="243"/>
      <c r="OM286" s="243"/>
      <c r="ON286" s="243"/>
      <c r="OO286" s="243"/>
      <c r="OP286" s="243"/>
      <c r="OQ286" s="243"/>
      <c r="OR286" s="243"/>
      <c r="OS286" s="243"/>
      <c r="OT286" s="243"/>
      <c r="OU286" s="243"/>
      <c r="OV286" s="243"/>
      <c r="OW286" s="243"/>
      <c r="OX286" s="243"/>
      <c r="OY286" s="243"/>
      <c r="OZ286" s="243"/>
      <c r="PA286" s="243"/>
      <c r="PB286" s="243"/>
      <c r="PC286" s="243"/>
      <c r="PD286" s="243"/>
      <c r="PE286" s="243"/>
      <c r="PF286" s="243"/>
      <c r="PG286" s="243"/>
      <c r="PH286" s="243"/>
      <c r="PI286" s="243"/>
      <c r="PJ286" s="243"/>
      <c r="PK286" s="243"/>
      <c r="PL286" s="243"/>
      <c r="PM286" s="243"/>
      <c r="PN286" s="243"/>
      <c r="PO286" s="243"/>
      <c r="PP286" s="243"/>
      <c r="PQ286" s="243"/>
      <c r="PR286" s="243"/>
      <c r="PS286" s="243"/>
      <c r="PT286" s="243"/>
      <c r="PU286" s="243"/>
      <c r="PV286" s="243"/>
      <c r="PW286" s="243"/>
      <c r="PX286" s="243"/>
      <c r="PY286" s="243"/>
      <c r="PZ286" s="243"/>
      <c r="QA286" s="243"/>
      <c r="QB286" s="243"/>
      <c r="QC286" s="243"/>
      <c r="QD286" s="243"/>
      <c r="QE286" s="243"/>
      <c r="QF286" s="243"/>
      <c r="QG286" s="243"/>
      <c r="QH286" s="243"/>
      <c r="QI286" s="243"/>
      <c r="QJ286" s="243"/>
      <c r="QK286" s="243"/>
      <c r="QL286" s="243"/>
      <c r="QM286" s="243"/>
      <c r="QN286" s="243"/>
      <c r="QO286" s="243"/>
      <c r="QP286" s="243"/>
      <c r="QQ286" s="243"/>
      <c r="QR286" s="243"/>
      <c r="QS286" s="243"/>
      <c r="QT286" s="243"/>
      <c r="QU286" s="243"/>
      <c r="QV286" s="243"/>
      <c r="QW286" s="243"/>
      <c r="QX286" s="243"/>
      <c r="QY286" s="243"/>
      <c r="QZ286" s="243"/>
      <c r="RA286" s="243"/>
      <c r="RB286" s="243"/>
      <c r="RC286" s="243"/>
      <c r="RD286" s="243"/>
      <c r="RE286" s="243"/>
      <c r="RF286" s="243"/>
      <c r="RG286" s="243"/>
      <c r="RH286" s="243"/>
      <c r="RI286" s="243"/>
      <c r="RJ286" s="243"/>
      <c r="RK286" s="243"/>
      <c r="RL286" s="243"/>
      <c r="RM286" s="243"/>
      <c r="RN286" s="243"/>
      <c r="RO286" s="243"/>
      <c r="RP286" s="243"/>
      <c r="RQ286" s="243"/>
      <c r="RR286" s="243"/>
      <c r="RS286" s="243"/>
      <c r="RT286" s="243"/>
      <c r="RU286" s="243"/>
      <c r="RV286" s="243"/>
      <c r="RW286" s="243"/>
      <c r="RX286" s="243"/>
      <c r="RY286" s="243"/>
      <c r="RZ286" s="243"/>
      <c r="SA286" s="243"/>
      <c r="SB286" s="243"/>
      <c r="SC286" s="243"/>
      <c r="SD286" s="243"/>
      <c r="SE286" s="243"/>
      <c r="SF286" s="243"/>
      <c r="SG286" s="243"/>
      <c r="SH286" s="243"/>
      <c r="SI286" s="243"/>
      <c r="SJ286" s="243"/>
      <c r="SK286" s="243"/>
      <c r="SL286" s="243"/>
      <c r="SM286" s="243"/>
      <c r="SN286" s="243"/>
      <c r="SO286" s="243"/>
      <c r="SP286" s="243"/>
      <c r="SQ286" s="243"/>
      <c r="SR286" s="243"/>
      <c r="SS286" s="243"/>
      <c r="ST286" s="243"/>
      <c r="SU286" s="243"/>
      <c r="SV286" s="243"/>
      <c r="SW286" s="243"/>
      <c r="SX286" s="243"/>
      <c r="SY286" s="243"/>
      <c r="SZ286" s="243"/>
      <c r="TA286" s="243"/>
      <c r="TB286" s="243"/>
      <c r="TC286" s="243"/>
      <c r="TD286" s="243"/>
      <c r="TE286" s="243"/>
      <c r="TF286" s="243"/>
      <c r="TG286" s="243"/>
      <c r="TH286" s="243"/>
      <c r="TI286" s="243"/>
      <c r="TJ286" s="243"/>
      <c r="TK286" s="243"/>
      <c r="TL286" s="243"/>
      <c r="TM286" s="243"/>
      <c r="TN286" s="243"/>
      <c r="TO286" s="243"/>
      <c r="TP286" s="243"/>
      <c r="TQ286" s="243"/>
      <c r="TR286" s="243"/>
      <c r="TS286" s="243"/>
      <c r="TT286" s="243"/>
      <c r="TU286" s="243"/>
      <c r="TV286" s="243"/>
      <c r="TW286" s="243"/>
      <c r="TX286" s="243"/>
      <c r="TY286" s="243"/>
      <c r="TZ286" s="243"/>
      <c r="UA286" s="243"/>
      <c r="UB286" s="243"/>
      <c r="UC286" s="243"/>
      <c r="UD286" s="243"/>
      <c r="UE286" s="243"/>
      <c r="UF286" s="243"/>
      <c r="UG286" s="243"/>
      <c r="UH286" s="243"/>
      <c r="UI286" s="243"/>
      <c r="UJ286" s="243"/>
      <c r="UK286" s="243"/>
      <c r="UL286" s="243"/>
      <c r="UM286" s="243"/>
      <c r="UN286" s="243"/>
      <c r="UO286" s="243"/>
      <c r="UP286" s="243"/>
      <c r="UQ286" s="243"/>
      <c r="UR286" s="243"/>
      <c r="US286" s="243"/>
      <c r="UT286" s="243"/>
      <c r="UU286" s="243"/>
      <c r="UV286" s="243"/>
      <c r="UW286" s="243"/>
      <c r="UX286" s="243"/>
      <c r="UY286" s="243"/>
      <c r="UZ286" s="243"/>
      <c r="VA286" s="243"/>
      <c r="VB286" s="243"/>
      <c r="VC286" s="243"/>
      <c r="VD286" s="243"/>
      <c r="VE286" s="243"/>
      <c r="VF286" s="243"/>
      <c r="VG286" s="243"/>
      <c r="VH286" s="243"/>
      <c r="VI286" s="243"/>
      <c r="VJ286" s="243"/>
      <c r="VK286" s="243"/>
      <c r="VL286" s="243"/>
      <c r="VM286" s="243"/>
      <c r="VN286" s="243"/>
      <c r="VO286" s="243"/>
      <c r="VP286" s="243"/>
      <c r="VQ286" s="243"/>
      <c r="VR286" s="243"/>
      <c r="VS286" s="243"/>
      <c r="VT286" s="243"/>
      <c r="VU286" s="243"/>
      <c r="VV286" s="243"/>
      <c r="VW286" s="243"/>
      <c r="VX286" s="243"/>
      <c r="VY286" s="243"/>
      <c r="VZ286" s="243"/>
      <c r="WA286" s="243"/>
      <c r="WB286" s="243"/>
      <c r="WC286" s="243"/>
      <c r="WD286" s="243"/>
      <c r="WE286" s="243"/>
      <c r="WF286" s="243"/>
      <c r="WG286" s="243"/>
      <c r="WH286" s="243"/>
      <c r="WI286" s="243"/>
      <c r="WJ286" s="243"/>
      <c r="WK286" s="243"/>
      <c r="WL286" s="243"/>
      <c r="WM286" s="243"/>
      <c r="WN286" s="243"/>
      <c r="WO286" s="243"/>
      <c r="WP286" s="243"/>
      <c r="WQ286" s="243"/>
      <c r="WR286" s="243"/>
      <c r="WS286" s="243"/>
      <c r="WT286" s="243"/>
      <c r="WU286" s="243"/>
      <c r="WV286" s="243"/>
      <c r="WW286" s="243"/>
      <c r="WX286" s="243"/>
      <c r="WY286" s="243"/>
      <c r="WZ286" s="243"/>
      <c r="XA286" s="243"/>
      <c r="XB286" s="243"/>
      <c r="XC286" s="243"/>
      <c r="XD286" s="243"/>
      <c r="XE286" s="243"/>
      <c r="XF286" s="243"/>
      <c r="XG286" s="243"/>
      <c r="XH286" s="243"/>
      <c r="XI286" s="243"/>
      <c r="XJ286" s="243"/>
      <c r="XK286" s="243"/>
      <c r="XL286" s="243"/>
      <c r="XM286" s="243"/>
      <c r="XN286" s="243"/>
      <c r="XO286" s="243"/>
      <c r="XP286" s="243"/>
      <c r="XQ286" s="243"/>
      <c r="XR286" s="243"/>
      <c r="XS286" s="243"/>
      <c r="XT286" s="243"/>
      <c r="XU286" s="243"/>
      <c r="XV286" s="243"/>
      <c r="XW286" s="243"/>
      <c r="XX286" s="243"/>
      <c r="XY286" s="243"/>
      <c r="XZ286" s="243"/>
      <c r="YA286" s="243"/>
      <c r="YB286" s="243"/>
      <c r="YC286" s="243"/>
      <c r="YD286" s="243"/>
      <c r="YE286" s="243"/>
      <c r="YF286" s="243"/>
      <c r="YG286" s="243"/>
      <c r="YH286" s="243"/>
      <c r="YI286" s="243"/>
      <c r="YJ286" s="243"/>
      <c r="YK286" s="243"/>
      <c r="YL286" s="243"/>
      <c r="YM286" s="243"/>
      <c r="YN286" s="243"/>
      <c r="YO286" s="243"/>
      <c r="YP286" s="243"/>
      <c r="YQ286" s="243"/>
      <c r="YR286" s="243"/>
      <c r="YS286" s="243"/>
      <c r="YT286" s="243"/>
      <c r="YU286" s="243"/>
      <c r="YV286" s="243"/>
      <c r="YW286" s="243"/>
      <c r="YX286" s="243"/>
      <c r="YY286" s="243"/>
      <c r="YZ286" s="243"/>
      <c r="ZA286" s="243"/>
      <c r="ZB286" s="243"/>
      <c r="ZC286" s="243"/>
      <c r="ZD286" s="243"/>
      <c r="ZE286" s="243"/>
      <c r="ZF286" s="243"/>
      <c r="ZG286" s="243"/>
      <c r="ZH286" s="243"/>
      <c r="ZI286" s="243"/>
      <c r="ZJ286" s="243"/>
      <c r="ZK286" s="243"/>
      <c r="ZL286" s="243"/>
      <c r="ZM286" s="243"/>
      <c r="ZN286" s="243"/>
      <c r="ZO286" s="243"/>
      <c r="ZP286" s="243"/>
      <c r="ZQ286" s="243"/>
      <c r="ZR286" s="243"/>
      <c r="ZS286" s="243"/>
      <c r="ZT286" s="243"/>
      <c r="ZU286" s="243"/>
      <c r="ZV286" s="243"/>
      <c r="ZW286" s="243"/>
      <c r="ZX286" s="243"/>
      <c r="ZY286" s="243"/>
      <c r="ZZ286" s="243"/>
      <c r="AAA286" s="243"/>
      <c r="AAB286" s="243"/>
      <c r="AAC286" s="243"/>
      <c r="AAD286" s="243"/>
      <c r="AAE286" s="243"/>
      <c r="AAF286" s="243"/>
      <c r="AAG286" s="243"/>
      <c r="AAH286" s="243"/>
      <c r="AAI286" s="243"/>
      <c r="AAJ286" s="243"/>
      <c r="AAK286" s="243"/>
      <c r="AAL286" s="243"/>
      <c r="AAM286" s="243"/>
      <c r="AAN286" s="243"/>
      <c r="AAO286" s="243"/>
      <c r="AAP286" s="243"/>
      <c r="AAQ286" s="243"/>
      <c r="AAR286" s="243"/>
      <c r="AAS286" s="243"/>
      <c r="AAT286" s="243"/>
      <c r="AAU286" s="243"/>
      <c r="AAV286" s="243"/>
      <c r="AAW286" s="243"/>
      <c r="AAX286" s="243"/>
      <c r="AAY286" s="243"/>
      <c r="AAZ286" s="243"/>
      <c r="ABA286" s="243"/>
      <c r="ABB286" s="243"/>
      <c r="ABC286" s="243"/>
      <c r="ABD286" s="243"/>
      <c r="ABE286" s="243"/>
      <c r="ABF286" s="243"/>
      <c r="ABG286" s="243"/>
      <c r="ABH286" s="243"/>
      <c r="ABI286" s="243"/>
      <c r="ABJ286" s="243"/>
      <c r="ABK286" s="243"/>
      <c r="ABL286" s="243"/>
      <c r="ABM286" s="243"/>
      <c r="ABN286" s="243"/>
      <c r="ABO286" s="243"/>
      <c r="ABP286" s="243"/>
      <c r="ABQ286" s="243"/>
      <c r="ABR286" s="243"/>
      <c r="ABS286" s="243"/>
      <c r="ABT286" s="243"/>
      <c r="ABU286" s="243"/>
      <c r="ABV286" s="243"/>
      <c r="ABW286" s="243"/>
      <c r="ABX286" s="243"/>
      <c r="ABY286" s="243"/>
      <c r="ABZ286" s="243"/>
      <c r="ACA286" s="243"/>
      <c r="ACB286" s="243"/>
      <c r="ACC286" s="243"/>
      <c r="ACD286" s="243"/>
      <c r="ACE286" s="243"/>
      <c r="ACF286" s="243"/>
      <c r="ACG286" s="243"/>
      <c r="ACH286" s="243"/>
      <c r="ACI286" s="243"/>
      <c r="ACJ286" s="243"/>
      <c r="ACK286" s="243"/>
      <c r="ACL286" s="243"/>
      <c r="ACM286" s="243"/>
      <c r="ACN286" s="243"/>
      <c r="ACO286" s="243"/>
      <c r="ACP286" s="243"/>
      <c r="ACQ286" s="243"/>
      <c r="ACR286" s="243"/>
      <c r="ACS286" s="243"/>
      <c r="ACT286" s="243"/>
      <c r="ACU286" s="243"/>
      <c r="ACV286" s="243"/>
      <c r="ACW286" s="243"/>
      <c r="ACX286" s="243"/>
      <c r="ACY286" s="243"/>
      <c r="ACZ286" s="243"/>
      <c r="ADA286" s="243"/>
      <c r="ADB286" s="243"/>
      <c r="ADC286" s="243"/>
      <c r="ADD286" s="243"/>
      <c r="ADE286" s="243"/>
      <c r="ADF286" s="243"/>
      <c r="ADG286" s="243"/>
      <c r="ADH286" s="243"/>
      <c r="ADI286" s="243"/>
      <c r="ADJ286" s="243"/>
      <c r="ADK286" s="243"/>
      <c r="ADL286" s="243"/>
      <c r="ADM286" s="243"/>
      <c r="ADN286" s="243"/>
      <c r="ADO286" s="243"/>
      <c r="ADP286" s="243"/>
      <c r="ADQ286" s="243"/>
      <c r="ADR286" s="243"/>
      <c r="ADS286" s="243"/>
      <c r="ADT286" s="243"/>
      <c r="ADU286" s="243"/>
      <c r="ADV286" s="243"/>
      <c r="ADW286" s="243"/>
      <c r="ADX286" s="243"/>
      <c r="ADY286" s="243"/>
      <c r="ADZ286" s="243"/>
      <c r="AEA286" s="243"/>
      <c r="AEB286" s="243"/>
      <c r="AEC286" s="243"/>
      <c r="AED286" s="243"/>
      <c r="AEE286" s="243"/>
      <c r="AEF286" s="243"/>
      <c r="AEG286" s="243"/>
      <c r="AEH286" s="243"/>
      <c r="AEI286" s="243"/>
      <c r="AEJ286" s="243"/>
      <c r="AEK286" s="243"/>
      <c r="AEL286" s="243"/>
      <c r="AEM286" s="243"/>
      <c r="AEN286" s="243"/>
      <c r="AEO286" s="243"/>
      <c r="AEP286" s="243"/>
      <c r="AEQ286" s="243"/>
      <c r="AER286" s="243"/>
      <c r="AES286" s="243"/>
      <c r="AET286" s="243"/>
      <c r="AEU286" s="243"/>
      <c r="AEV286" s="243"/>
      <c r="AEW286" s="243"/>
      <c r="AEX286" s="243"/>
      <c r="AEY286" s="243"/>
      <c r="AEZ286" s="243"/>
      <c r="AFA286" s="243"/>
      <c r="AFB286" s="243"/>
      <c r="AFC286" s="243"/>
      <c r="AFD286" s="243"/>
      <c r="AFE286" s="243"/>
      <c r="AFF286" s="243"/>
      <c r="AFG286" s="243"/>
      <c r="AFH286" s="243"/>
      <c r="AFI286" s="243"/>
      <c r="AFJ286" s="243"/>
      <c r="AFK286" s="243"/>
      <c r="AFL286" s="243"/>
      <c r="AFM286" s="243"/>
      <c r="AFN286" s="243"/>
      <c r="AFO286" s="243"/>
      <c r="AFP286" s="243"/>
      <c r="AFQ286" s="243"/>
      <c r="AFR286" s="243"/>
      <c r="AFS286" s="243"/>
      <c r="AFT286" s="243"/>
      <c r="AFU286" s="243"/>
      <c r="AFV286" s="243"/>
      <c r="AFW286" s="243"/>
      <c r="AFX286" s="243"/>
      <c r="AFY286" s="243"/>
      <c r="AFZ286" s="243"/>
      <c r="AGA286" s="243"/>
      <c r="AGB286" s="243"/>
      <c r="AGC286" s="243"/>
      <c r="AGD286" s="243"/>
      <c r="AGE286" s="243"/>
      <c r="AGF286" s="243"/>
      <c r="AGG286" s="243"/>
      <c r="AGH286" s="243"/>
      <c r="AGI286" s="243"/>
      <c r="AGJ286" s="243"/>
      <c r="AGK286" s="243"/>
      <c r="AGL286" s="243"/>
      <c r="AGM286" s="243"/>
      <c r="AGN286" s="243"/>
      <c r="AGO286" s="243"/>
      <c r="AGP286" s="243"/>
      <c r="AGQ286" s="243"/>
      <c r="AGR286" s="243"/>
      <c r="AGS286" s="243"/>
      <c r="AGT286" s="243"/>
      <c r="AGU286" s="243"/>
      <c r="AGV286" s="243"/>
      <c r="AGW286" s="243"/>
      <c r="AGX286" s="243"/>
      <c r="AGY286" s="243"/>
      <c r="AGZ286" s="243"/>
      <c r="AHA286" s="243"/>
      <c r="AHB286" s="243"/>
      <c r="AHC286" s="243"/>
      <c r="AHD286" s="243"/>
      <c r="AHE286" s="243"/>
      <c r="AHF286" s="243"/>
      <c r="AHG286" s="243"/>
      <c r="AHH286" s="243"/>
      <c r="AHI286" s="243"/>
      <c r="AHJ286" s="243"/>
      <c r="AHK286" s="243"/>
      <c r="AHL286" s="243"/>
      <c r="AHM286" s="243"/>
      <c r="AHN286" s="243"/>
      <c r="AHO286" s="243"/>
      <c r="AHP286" s="243"/>
      <c r="AHQ286" s="243"/>
      <c r="AHR286" s="243"/>
      <c r="AHS286" s="243"/>
      <c r="AHT286" s="243"/>
      <c r="AHU286" s="243"/>
      <c r="AHV286" s="243"/>
      <c r="AHW286" s="243"/>
      <c r="AHX286" s="243"/>
      <c r="AHY286" s="243"/>
      <c r="AHZ286" s="243"/>
      <c r="AIA286" s="243"/>
      <c r="AIB286" s="243"/>
      <c r="AIC286" s="243"/>
      <c r="AID286" s="243"/>
      <c r="AIE286" s="243"/>
      <c r="AIF286" s="243"/>
      <c r="AIG286" s="243"/>
      <c r="AIH286" s="243"/>
      <c r="AII286" s="243"/>
      <c r="AIJ286" s="243"/>
      <c r="AIK286" s="243"/>
      <c r="AIL286" s="243"/>
      <c r="AIM286" s="243"/>
      <c r="AIN286" s="243"/>
      <c r="AIO286" s="243"/>
      <c r="AIP286" s="243"/>
      <c r="AIQ286" s="243"/>
      <c r="AIR286" s="243"/>
      <c r="AIS286" s="243"/>
      <c r="AIT286" s="243"/>
      <c r="AIU286" s="243"/>
      <c r="AIV286" s="243"/>
      <c r="AIW286" s="243"/>
      <c r="AIX286" s="243"/>
      <c r="AIY286" s="243"/>
      <c r="AIZ286" s="243"/>
      <c r="AJA286" s="243"/>
      <c r="AJB286" s="243"/>
      <c r="AJC286" s="243"/>
      <c r="AJD286" s="243"/>
      <c r="AJE286" s="243"/>
      <c r="AJF286" s="243"/>
      <c r="AJG286" s="243"/>
      <c r="AJH286" s="243"/>
      <c r="AJI286" s="243"/>
      <c r="AJJ286" s="243"/>
      <c r="AJK286" s="243"/>
      <c r="AJL286" s="243"/>
      <c r="AJM286" s="243"/>
      <c r="AJN286" s="243"/>
      <c r="AJO286" s="243"/>
      <c r="AJP286" s="243"/>
      <c r="AJQ286" s="243"/>
      <c r="AJR286" s="243"/>
      <c r="AJS286" s="243"/>
      <c r="AJT286" s="243"/>
      <c r="AJU286" s="243"/>
      <c r="AJV286" s="243"/>
      <c r="AJW286" s="243"/>
      <c r="AJX286" s="243"/>
      <c r="AJY286" s="243"/>
      <c r="AJZ286" s="243"/>
      <c r="AKA286" s="243"/>
      <c r="AKB286" s="243"/>
      <c r="AKC286" s="243"/>
      <c r="AKD286" s="243"/>
      <c r="AKE286" s="243"/>
      <c r="AKF286" s="243"/>
      <c r="AKG286" s="243"/>
      <c r="AKH286" s="243"/>
      <c r="AKI286" s="243"/>
      <c r="AKJ286" s="243"/>
      <c r="AKK286" s="243"/>
      <c r="AKL286" s="243"/>
      <c r="AKM286" s="243"/>
      <c r="AKN286" s="243"/>
      <c r="AKO286" s="243"/>
      <c r="AKP286" s="243"/>
      <c r="AKQ286" s="243"/>
      <c r="AKR286" s="243"/>
      <c r="AKS286" s="243"/>
      <c r="AKT286" s="243"/>
      <c r="AKU286" s="243"/>
      <c r="AKV286" s="243"/>
      <c r="AKW286" s="243"/>
      <c r="AKX286" s="243"/>
      <c r="AKY286" s="243"/>
      <c r="AKZ286" s="243"/>
      <c r="ALA286" s="243"/>
      <c r="ALB286" s="243"/>
      <c r="ALC286" s="243"/>
      <c r="ALD286" s="243"/>
      <c r="ALE286" s="243"/>
      <c r="ALF286" s="243"/>
      <c r="ALG286" s="243"/>
      <c r="ALH286" s="243"/>
      <c r="ALI286" s="243"/>
      <c r="ALJ286" s="243"/>
      <c r="ALK286" s="243"/>
      <c r="ALL286" s="243"/>
      <c r="ALM286" s="243"/>
      <c r="ALN286" s="243"/>
      <c r="ALO286" s="243"/>
      <c r="ALP286" s="243"/>
      <c r="ALQ286" s="243"/>
      <c r="ALR286" s="243"/>
      <c r="ALS286" s="243"/>
      <c r="ALT286" s="243"/>
      <c r="ALU286" s="243"/>
      <c r="ALV286" s="243"/>
      <c r="ALW286" s="243"/>
      <c r="ALX286" s="243"/>
      <c r="ALY286" s="243"/>
      <c r="ALZ286" s="243"/>
      <c r="AMA286" s="243"/>
      <c r="AMB286" s="243"/>
      <c r="AMC286" s="243"/>
      <c r="AMD286" s="243"/>
      <c r="AME286" s="243"/>
      <c r="AMF286" s="243"/>
      <c r="AMG286" s="243"/>
      <c r="AMH286" s="243"/>
      <c r="AMI286" s="244"/>
      <c r="AMJ286" s="244"/>
    </row>
    <row r="287" spans="1:1024" ht="15.75">
      <c r="A287" s="909"/>
      <c r="B287" s="511"/>
      <c r="C287" s="439"/>
      <c r="D287" s="405" t="s">
        <v>197</v>
      </c>
      <c r="E287" s="437"/>
      <c r="F287" s="405"/>
      <c r="G287" s="405"/>
      <c r="H287" s="407" t="s">
        <v>64</v>
      </c>
      <c r="I287" s="407" t="s">
        <v>138</v>
      </c>
      <c r="J287" s="405" t="s">
        <v>198</v>
      </c>
      <c r="K287" s="407"/>
      <c r="L287" s="407"/>
      <c r="M287" s="396"/>
      <c r="N287" s="396"/>
      <c r="O287" s="377"/>
      <c r="P287" s="377"/>
      <c r="Q287" s="503">
        <f>SUM(Q277:Q286)</f>
        <v>272000</v>
      </c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  <c r="AH287" s="243"/>
      <c r="AI287" s="243"/>
      <c r="AJ287" s="243"/>
      <c r="AK287" s="243"/>
      <c r="AL287" s="243"/>
      <c r="AM287" s="243"/>
      <c r="AN287" s="243"/>
      <c r="AO287" s="243"/>
      <c r="AP287" s="243"/>
      <c r="AQ287" s="243"/>
      <c r="AR287" s="243"/>
      <c r="AS287" s="243"/>
      <c r="AT287" s="243"/>
      <c r="AU287" s="243"/>
      <c r="AV287" s="243"/>
      <c r="AW287" s="243"/>
      <c r="AX287" s="243"/>
      <c r="AY287" s="243"/>
      <c r="AZ287" s="243"/>
      <c r="BA287" s="243"/>
      <c r="BB287" s="243"/>
      <c r="BC287" s="243"/>
      <c r="BD287" s="243"/>
      <c r="BE287" s="243"/>
      <c r="BF287" s="243"/>
      <c r="BG287" s="243"/>
      <c r="BH287" s="243"/>
      <c r="BI287" s="243"/>
      <c r="BJ287" s="243"/>
      <c r="BK287" s="243"/>
      <c r="BL287" s="243"/>
      <c r="BM287" s="243"/>
      <c r="BN287" s="243"/>
      <c r="BO287" s="243"/>
      <c r="BP287" s="243"/>
      <c r="BQ287" s="243"/>
      <c r="BR287" s="243"/>
      <c r="BS287" s="243"/>
      <c r="BT287" s="243"/>
      <c r="BU287" s="243"/>
      <c r="BV287" s="243"/>
      <c r="BW287" s="243"/>
      <c r="BX287" s="243"/>
      <c r="BY287" s="243"/>
      <c r="BZ287" s="243"/>
      <c r="CA287" s="243"/>
      <c r="CB287" s="243"/>
      <c r="CC287" s="243"/>
      <c r="CD287" s="243"/>
      <c r="CE287" s="243"/>
      <c r="CF287" s="243"/>
      <c r="CG287" s="243"/>
      <c r="CH287" s="243"/>
      <c r="CI287" s="243"/>
      <c r="CJ287" s="243"/>
      <c r="CK287" s="243"/>
      <c r="CL287" s="243"/>
      <c r="CM287" s="243"/>
      <c r="CN287" s="243"/>
      <c r="CO287" s="243"/>
      <c r="CP287" s="243"/>
      <c r="CQ287" s="243"/>
      <c r="CR287" s="243"/>
      <c r="CS287" s="243"/>
      <c r="CT287" s="243"/>
      <c r="CU287" s="243"/>
      <c r="CV287" s="243"/>
      <c r="CW287" s="243"/>
      <c r="CX287" s="243"/>
      <c r="CY287" s="243"/>
      <c r="CZ287" s="243"/>
      <c r="DA287" s="243"/>
      <c r="DB287" s="243"/>
      <c r="DC287" s="243"/>
      <c r="DD287" s="243"/>
      <c r="DE287" s="243"/>
      <c r="DF287" s="243"/>
      <c r="DG287" s="243"/>
      <c r="DH287" s="243"/>
      <c r="DI287" s="243"/>
      <c r="DJ287" s="243"/>
      <c r="DK287" s="243"/>
      <c r="DL287" s="243"/>
      <c r="DM287" s="243"/>
      <c r="DN287" s="243"/>
      <c r="DO287" s="243"/>
      <c r="DP287" s="243"/>
      <c r="DQ287" s="243"/>
      <c r="DR287" s="243"/>
      <c r="DS287" s="243"/>
      <c r="DT287" s="243"/>
      <c r="DU287" s="243"/>
      <c r="DV287" s="243"/>
      <c r="DW287" s="243"/>
      <c r="DX287" s="243"/>
      <c r="DY287" s="243"/>
      <c r="DZ287" s="243"/>
      <c r="EA287" s="243"/>
      <c r="EB287" s="243"/>
      <c r="EC287" s="243"/>
      <c r="ED287" s="243"/>
      <c r="EE287" s="243"/>
      <c r="EF287" s="243"/>
      <c r="EG287" s="243"/>
      <c r="EH287" s="243"/>
      <c r="EI287" s="243"/>
      <c r="EJ287" s="243"/>
      <c r="EK287" s="243"/>
      <c r="EL287" s="243"/>
      <c r="EM287" s="243"/>
      <c r="EN287" s="243"/>
      <c r="EO287" s="243"/>
      <c r="EP287" s="243"/>
      <c r="EQ287" s="243"/>
      <c r="ER287" s="243"/>
      <c r="ES287" s="243"/>
      <c r="ET287" s="243"/>
      <c r="EU287" s="243"/>
      <c r="EV287" s="243"/>
      <c r="EW287" s="243"/>
      <c r="EX287" s="243"/>
      <c r="EY287" s="243"/>
      <c r="EZ287" s="243"/>
      <c r="FA287" s="243"/>
      <c r="FB287" s="243"/>
      <c r="FC287" s="243"/>
      <c r="FD287" s="243"/>
      <c r="FE287" s="243"/>
      <c r="FF287" s="243"/>
      <c r="FG287" s="243"/>
      <c r="FH287" s="243"/>
      <c r="FI287" s="243"/>
      <c r="FJ287" s="243"/>
      <c r="FK287" s="243"/>
      <c r="FL287" s="243"/>
      <c r="FM287" s="243"/>
      <c r="FN287" s="243"/>
      <c r="FO287" s="243"/>
      <c r="FP287" s="243"/>
      <c r="FQ287" s="243"/>
      <c r="FR287" s="243"/>
      <c r="FS287" s="243"/>
      <c r="FT287" s="243"/>
      <c r="FU287" s="243"/>
      <c r="FV287" s="243"/>
      <c r="FW287" s="243"/>
      <c r="FX287" s="243"/>
      <c r="FY287" s="243"/>
      <c r="FZ287" s="243"/>
      <c r="GA287" s="243"/>
      <c r="GB287" s="243"/>
      <c r="GC287" s="243"/>
      <c r="GD287" s="243"/>
      <c r="GE287" s="243"/>
      <c r="GF287" s="243"/>
      <c r="GG287" s="243"/>
      <c r="GH287" s="243"/>
      <c r="GI287" s="243"/>
      <c r="GJ287" s="243"/>
      <c r="GK287" s="243"/>
      <c r="GL287" s="243"/>
      <c r="GM287" s="243"/>
      <c r="GN287" s="243"/>
      <c r="GO287" s="243"/>
      <c r="GP287" s="243"/>
      <c r="GQ287" s="243"/>
      <c r="GR287" s="243"/>
      <c r="GS287" s="243"/>
      <c r="GT287" s="243"/>
      <c r="GU287" s="243"/>
      <c r="GV287" s="243"/>
      <c r="GW287" s="243"/>
      <c r="GX287" s="243"/>
      <c r="GY287" s="243"/>
      <c r="GZ287" s="243"/>
      <c r="HA287" s="243"/>
      <c r="HB287" s="243"/>
      <c r="HC287" s="243"/>
      <c r="HD287" s="243"/>
      <c r="HE287" s="243"/>
      <c r="HF287" s="243"/>
      <c r="HG287" s="243"/>
      <c r="HH287" s="243"/>
      <c r="HI287" s="243"/>
      <c r="HJ287" s="243"/>
      <c r="HK287" s="243"/>
      <c r="HL287" s="243"/>
      <c r="HM287" s="243"/>
      <c r="HN287" s="243"/>
      <c r="HO287" s="243"/>
      <c r="HP287" s="243"/>
      <c r="HQ287" s="243"/>
      <c r="HR287" s="243"/>
      <c r="HS287" s="243"/>
      <c r="HT287" s="243"/>
      <c r="HU287" s="243"/>
      <c r="HV287" s="243"/>
      <c r="HW287" s="243"/>
      <c r="HX287" s="243"/>
      <c r="HY287" s="243"/>
      <c r="HZ287" s="243"/>
      <c r="IA287" s="243"/>
      <c r="IB287" s="243"/>
      <c r="IC287" s="243"/>
      <c r="ID287" s="243"/>
      <c r="IE287" s="243"/>
      <c r="IF287" s="243"/>
      <c r="IG287" s="243"/>
      <c r="IH287" s="243"/>
      <c r="II287" s="243"/>
      <c r="IJ287" s="243"/>
      <c r="IK287" s="243"/>
      <c r="IL287" s="243"/>
      <c r="IM287" s="243"/>
      <c r="IN287" s="243"/>
      <c r="IO287" s="243"/>
      <c r="IP287" s="243"/>
      <c r="IQ287" s="243"/>
      <c r="IR287" s="243"/>
      <c r="IS287" s="243"/>
      <c r="IT287" s="243"/>
      <c r="IU287" s="243"/>
      <c r="IV287" s="243"/>
      <c r="IW287" s="243"/>
      <c r="IX287" s="243"/>
      <c r="IY287" s="243"/>
      <c r="IZ287" s="243"/>
      <c r="JA287" s="243"/>
      <c r="JB287" s="243"/>
      <c r="JC287" s="243"/>
      <c r="JD287" s="243"/>
      <c r="JE287" s="243"/>
      <c r="JF287" s="243"/>
      <c r="JG287" s="243"/>
      <c r="JH287" s="243"/>
      <c r="JI287" s="243"/>
      <c r="JJ287" s="243"/>
      <c r="JK287" s="243"/>
      <c r="JL287" s="243"/>
      <c r="JM287" s="243"/>
      <c r="JN287" s="243"/>
      <c r="JO287" s="243"/>
      <c r="JP287" s="243"/>
      <c r="JQ287" s="243"/>
      <c r="JR287" s="243"/>
      <c r="JS287" s="243"/>
      <c r="JT287" s="243"/>
      <c r="JU287" s="243"/>
      <c r="JV287" s="243"/>
      <c r="JW287" s="243"/>
      <c r="JX287" s="243"/>
      <c r="JY287" s="243"/>
      <c r="JZ287" s="243"/>
      <c r="KA287" s="243"/>
      <c r="KB287" s="243"/>
      <c r="KC287" s="243"/>
      <c r="KD287" s="243"/>
      <c r="KE287" s="243"/>
      <c r="KF287" s="243"/>
      <c r="KG287" s="243"/>
      <c r="KH287" s="243"/>
      <c r="KI287" s="243"/>
      <c r="KJ287" s="243"/>
      <c r="KK287" s="243"/>
      <c r="KL287" s="243"/>
      <c r="KM287" s="243"/>
      <c r="KN287" s="243"/>
      <c r="KO287" s="243"/>
      <c r="KP287" s="243"/>
      <c r="KQ287" s="243"/>
      <c r="KR287" s="243"/>
      <c r="KS287" s="243"/>
      <c r="KT287" s="243"/>
      <c r="KU287" s="243"/>
      <c r="KV287" s="243"/>
      <c r="KW287" s="243"/>
      <c r="KX287" s="243"/>
      <c r="KY287" s="243"/>
      <c r="KZ287" s="243"/>
      <c r="LA287" s="243"/>
      <c r="LB287" s="243"/>
      <c r="LC287" s="243"/>
      <c r="LD287" s="243"/>
      <c r="LE287" s="243"/>
      <c r="LF287" s="243"/>
      <c r="LG287" s="243"/>
      <c r="LH287" s="243"/>
      <c r="LI287" s="243"/>
      <c r="LJ287" s="243"/>
      <c r="LK287" s="243"/>
      <c r="LL287" s="243"/>
      <c r="LM287" s="243"/>
      <c r="LN287" s="243"/>
      <c r="LO287" s="243"/>
      <c r="LP287" s="243"/>
      <c r="LQ287" s="243"/>
      <c r="LR287" s="243"/>
      <c r="LS287" s="243"/>
      <c r="LT287" s="243"/>
      <c r="LU287" s="243"/>
      <c r="LV287" s="243"/>
      <c r="LW287" s="243"/>
      <c r="LX287" s="243"/>
      <c r="LY287" s="243"/>
      <c r="LZ287" s="243"/>
      <c r="MA287" s="243"/>
      <c r="MB287" s="243"/>
      <c r="MC287" s="243"/>
      <c r="MD287" s="243"/>
      <c r="ME287" s="243"/>
      <c r="MF287" s="243"/>
      <c r="MG287" s="243"/>
      <c r="MH287" s="243"/>
      <c r="MI287" s="243"/>
      <c r="MJ287" s="243"/>
      <c r="MK287" s="243"/>
      <c r="ML287" s="243"/>
      <c r="MM287" s="243"/>
      <c r="MN287" s="243"/>
      <c r="MO287" s="243"/>
      <c r="MP287" s="243"/>
      <c r="MQ287" s="243"/>
      <c r="MR287" s="243"/>
      <c r="MS287" s="243"/>
      <c r="MT287" s="243"/>
      <c r="MU287" s="243"/>
      <c r="MV287" s="243"/>
      <c r="MW287" s="243"/>
      <c r="MX287" s="243"/>
      <c r="MY287" s="243"/>
      <c r="MZ287" s="243"/>
      <c r="NA287" s="243"/>
      <c r="NB287" s="243"/>
      <c r="NC287" s="243"/>
      <c r="ND287" s="243"/>
      <c r="NE287" s="243"/>
      <c r="NF287" s="243"/>
      <c r="NG287" s="243"/>
      <c r="NH287" s="243"/>
      <c r="NI287" s="243"/>
      <c r="NJ287" s="243"/>
      <c r="NK287" s="243"/>
      <c r="NL287" s="243"/>
      <c r="NM287" s="243"/>
      <c r="NN287" s="243"/>
      <c r="NO287" s="243"/>
      <c r="NP287" s="243"/>
      <c r="NQ287" s="243"/>
      <c r="NR287" s="243"/>
      <c r="NS287" s="243"/>
      <c r="NT287" s="243"/>
      <c r="NU287" s="243"/>
      <c r="NV287" s="243"/>
      <c r="NW287" s="243"/>
      <c r="NX287" s="243"/>
      <c r="NY287" s="243"/>
      <c r="NZ287" s="243"/>
      <c r="OA287" s="243"/>
      <c r="OB287" s="243"/>
      <c r="OC287" s="243"/>
      <c r="OD287" s="243"/>
      <c r="OE287" s="243"/>
      <c r="OF287" s="243"/>
      <c r="OG287" s="243"/>
      <c r="OH287" s="243"/>
      <c r="OI287" s="243"/>
      <c r="OJ287" s="243"/>
      <c r="OK287" s="243"/>
      <c r="OL287" s="243"/>
      <c r="OM287" s="243"/>
      <c r="ON287" s="243"/>
      <c r="OO287" s="243"/>
      <c r="OP287" s="243"/>
      <c r="OQ287" s="243"/>
      <c r="OR287" s="243"/>
      <c r="OS287" s="243"/>
      <c r="OT287" s="243"/>
      <c r="OU287" s="243"/>
      <c r="OV287" s="243"/>
      <c r="OW287" s="243"/>
      <c r="OX287" s="243"/>
      <c r="OY287" s="243"/>
      <c r="OZ287" s="243"/>
      <c r="PA287" s="243"/>
      <c r="PB287" s="243"/>
      <c r="PC287" s="243"/>
      <c r="PD287" s="243"/>
      <c r="PE287" s="243"/>
      <c r="PF287" s="243"/>
      <c r="PG287" s="243"/>
      <c r="PH287" s="243"/>
      <c r="PI287" s="243"/>
      <c r="PJ287" s="243"/>
      <c r="PK287" s="243"/>
      <c r="PL287" s="243"/>
      <c r="PM287" s="243"/>
      <c r="PN287" s="243"/>
      <c r="PO287" s="243"/>
      <c r="PP287" s="243"/>
      <c r="PQ287" s="243"/>
      <c r="PR287" s="243"/>
      <c r="PS287" s="243"/>
      <c r="PT287" s="243"/>
      <c r="PU287" s="243"/>
      <c r="PV287" s="243"/>
      <c r="PW287" s="243"/>
      <c r="PX287" s="243"/>
      <c r="PY287" s="243"/>
      <c r="PZ287" s="243"/>
      <c r="QA287" s="243"/>
      <c r="QB287" s="243"/>
      <c r="QC287" s="243"/>
      <c r="QD287" s="243"/>
      <c r="QE287" s="243"/>
      <c r="QF287" s="243"/>
      <c r="QG287" s="243"/>
      <c r="QH287" s="243"/>
      <c r="QI287" s="243"/>
      <c r="QJ287" s="243"/>
      <c r="QK287" s="243"/>
      <c r="QL287" s="243"/>
      <c r="QM287" s="243"/>
      <c r="QN287" s="243"/>
      <c r="QO287" s="243"/>
      <c r="QP287" s="243"/>
      <c r="QQ287" s="243"/>
      <c r="QR287" s="243"/>
      <c r="QS287" s="243"/>
      <c r="QT287" s="243"/>
      <c r="QU287" s="243"/>
      <c r="QV287" s="243"/>
      <c r="QW287" s="243"/>
      <c r="QX287" s="243"/>
      <c r="QY287" s="243"/>
      <c r="QZ287" s="243"/>
      <c r="RA287" s="243"/>
      <c r="RB287" s="243"/>
      <c r="RC287" s="243"/>
      <c r="RD287" s="243"/>
      <c r="RE287" s="243"/>
      <c r="RF287" s="243"/>
      <c r="RG287" s="243"/>
      <c r="RH287" s="243"/>
      <c r="RI287" s="243"/>
      <c r="RJ287" s="243"/>
      <c r="RK287" s="243"/>
      <c r="RL287" s="243"/>
      <c r="RM287" s="243"/>
      <c r="RN287" s="243"/>
      <c r="RO287" s="243"/>
      <c r="RP287" s="243"/>
      <c r="RQ287" s="243"/>
      <c r="RR287" s="243"/>
      <c r="RS287" s="243"/>
      <c r="RT287" s="243"/>
      <c r="RU287" s="243"/>
      <c r="RV287" s="243"/>
      <c r="RW287" s="243"/>
      <c r="RX287" s="243"/>
      <c r="RY287" s="243"/>
      <c r="RZ287" s="243"/>
      <c r="SA287" s="243"/>
      <c r="SB287" s="243"/>
      <c r="SC287" s="243"/>
      <c r="SD287" s="243"/>
      <c r="SE287" s="243"/>
      <c r="SF287" s="243"/>
      <c r="SG287" s="243"/>
      <c r="SH287" s="243"/>
      <c r="SI287" s="243"/>
      <c r="SJ287" s="243"/>
      <c r="SK287" s="243"/>
      <c r="SL287" s="243"/>
      <c r="SM287" s="243"/>
      <c r="SN287" s="243"/>
      <c r="SO287" s="243"/>
      <c r="SP287" s="243"/>
      <c r="SQ287" s="243"/>
      <c r="SR287" s="243"/>
      <c r="SS287" s="243"/>
      <c r="ST287" s="243"/>
      <c r="SU287" s="243"/>
      <c r="SV287" s="243"/>
      <c r="SW287" s="243"/>
      <c r="SX287" s="243"/>
      <c r="SY287" s="243"/>
      <c r="SZ287" s="243"/>
      <c r="TA287" s="243"/>
      <c r="TB287" s="243"/>
      <c r="TC287" s="243"/>
      <c r="TD287" s="243"/>
      <c r="TE287" s="243"/>
      <c r="TF287" s="243"/>
      <c r="TG287" s="243"/>
      <c r="TH287" s="243"/>
      <c r="TI287" s="243"/>
      <c r="TJ287" s="243"/>
      <c r="TK287" s="243"/>
      <c r="TL287" s="243"/>
      <c r="TM287" s="243"/>
      <c r="TN287" s="243"/>
      <c r="TO287" s="243"/>
      <c r="TP287" s="243"/>
      <c r="TQ287" s="243"/>
      <c r="TR287" s="243"/>
      <c r="TS287" s="243"/>
      <c r="TT287" s="243"/>
      <c r="TU287" s="243"/>
      <c r="TV287" s="243"/>
      <c r="TW287" s="243"/>
      <c r="TX287" s="243"/>
      <c r="TY287" s="243"/>
      <c r="TZ287" s="243"/>
      <c r="UA287" s="243"/>
      <c r="UB287" s="243"/>
      <c r="UC287" s="243"/>
      <c r="UD287" s="243"/>
      <c r="UE287" s="243"/>
      <c r="UF287" s="243"/>
      <c r="UG287" s="243"/>
      <c r="UH287" s="243"/>
      <c r="UI287" s="243"/>
      <c r="UJ287" s="243"/>
      <c r="UK287" s="243"/>
      <c r="UL287" s="243"/>
      <c r="UM287" s="243"/>
      <c r="UN287" s="243"/>
      <c r="UO287" s="243"/>
      <c r="UP287" s="243"/>
      <c r="UQ287" s="243"/>
      <c r="UR287" s="243"/>
      <c r="US287" s="243"/>
      <c r="UT287" s="243"/>
      <c r="UU287" s="243"/>
      <c r="UV287" s="243"/>
      <c r="UW287" s="243"/>
      <c r="UX287" s="243"/>
      <c r="UY287" s="243"/>
      <c r="UZ287" s="243"/>
      <c r="VA287" s="243"/>
      <c r="VB287" s="243"/>
      <c r="VC287" s="243"/>
      <c r="VD287" s="243"/>
      <c r="VE287" s="243"/>
      <c r="VF287" s="243"/>
      <c r="VG287" s="243"/>
      <c r="VH287" s="243"/>
      <c r="VI287" s="243"/>
      <c r="VJ287" s="243"/>
      <c r="VK287" s="243"/>
      <c r="VL287" s="243"/>
      <c r="VM287" s="243"/>
      <c r="VN287" s="243"/>
      <c r="VO287" s="243"/>
      <c r="VP287" s="243"/>
      <c r="VQ287" s="243"/>
      <c r="VR287" s="243"/>
      <c r="VS287" s="243"/>
      <c r="VT287" s="243"/>
      <c r="VU287" s="243"/>
      <c r="VV287" s="243"/>
      <c r="VW287" s="243"/>
      <c r="VX287" s="243"/>
      <c r="VY287" s="243"/>
      <c r="VZ287" s="243"/>
      <c r="WA287" s="243"/>
      <c r="WB287" s="243"/>
      <c r="WC287" s="243"/>
      <c r="WD287" s="243"/>
      <c r="WE287" s="243"/>
      <c r="WF287" s="243"/>
      <c r="WG287" s="243"/>
      <c r="WH287" s="243"/>
      <c r="WI287" s="243"/>
      <c r="WJ287" s="243"/>
      <c r="WK287" s="243"/>
      <c r="WL287" s="243"/>
      <c r="WM287" s="243"/>
      <c r="WN287" s="243"/>
      <c r="WO287" s="243"/>
      <c r="WP287" s="243"/>
      <c r="WQ287" s="243"/>
      <c r="WR287" s="243"/>
      <c r="WS287" s="243"/>
      <c r="WT287" s="243"/>
      <c r="WU287" s="243"/>
      <c r="WV287" s="243"/>
      <c r="WW287" s="243"/>
      <c r="WX287" s="243"/>
      <c r="WY287" s="243"/>
      <c r="WZ287" s="243"/>
      <c r="XA287" s="243"/>
      <c r="XB287" s="243"/>
      <c r="XC287" s="243"/>
      <c r="XD287" s="243"/>
      <c r="XE287" s="243"/>
      <c r="XF287" s="243"/>
      <c r="XG287" s="243"/>
      <c r="XH287" s="243"/>
      <c r="XI287" s="243"/>
      <c r="XJ287" s="243"/>
      <c r="XK287" s="243"/>
      <c r="XL287" s="243"/>
      <c r="XM287" s="243"/>
      <c r="XN287" s="243"/>
      <c r="XO287" s="243"/>
      <c r="XP287" s="243"/>
      <c r="XQ287" s="243"/>
      <c r="XR287" s="243"/>
      <c r="XS287" s="243"/>
      <c r="XT287" s="243"/>
      <c r="XU287" s="243"/>
      <c r="XV287" s="243"/>
      <c r="XW287" s="243"/>
      <c r="XX287" s="243"/>
      <c r="XY287" s="243"/>
      <c r="XZ287" s="243"/>
      <c r="YA287" s="243"/>
      <c r="YB287" s="243"/>
      <c r="YC287" s="243"/>
      <c r="YD287" s="243"/>
      <c r="YE287" s="243"/>
      <c r="YF287" s="243"/>
      <c r="YG287" s="243"/>
      <c r="YH287" s="243"/>
      <c r="YI287" s="243"/>
      <c r="YJ287" s="243"/>
      <c r="YK287" s="243"/>
      <c r="YL287" s="243"/>
      <c r="YM287" s="243"/>
      <c r="YN287" s="243"/>
      <c r="YO287" s="243"/>
      <c r="YP287" s="243"/>
      <c r="YQ287" s="243"/>
      <c r="YR287" s="243"/>
      <c r="YS287" s="243"/>
      <c r="YT287" s="243"/>
      <c r="YU287" s="243"/>
      <c r="YV287" s="243"/>
      <c r="YW287" s="243"/>
      <c r="YX287" s="243"/>
      <c r="YY287" s="243"/>
      <c r="YZ287" s="243"/>
      <c r="ZA287" s="243"/>
      <c r="ZB287" s="243"/>
      <c r="ZC287" s="243"/>
      <c r="ZD287" s="243"/>
      <c r="ZE287" s="243"/>
      <c r="ZF287" s="243"/>
      <c r="ZG287" s="243"/>
      <c r="ZH287" s="243"/>
      <c r="ZI287" s="243"/>
      <c r="ZJ287" s="243"/>
      <c r="ZK287" s="243"/>
      <c r="ZL287" s="243"/>
      <c r="ZM287" s="243"/>
      <c r="ZN287" s="243"/>
      <c r="ZO287" s="243"/>
      <c r="ZP287" s="243"/>
      <c r="ZQ287" s="243"/>
      <c r="ZR287" s="243"/>
      <c r="ZS287" s="243"/>
      <c r="ZT287" s="243"/>
      <c r="ZU287" s="243"/>
      <c r="ZV287" s="243"/>
      <c r="ZW287" s="243"/>
      <c r="ZX287" s="243"/>
      <c r="ZY287" s="243"/>
      <c r="ZZ287" s="243"/>
      <c r="AAA287" s="243"/>
      <c r="AAB287" s="243"/>
      <c r="AAC287" s="243"/>
      <c r="AAD287" s="243"/>
      <c r="AAE287" s="243"/>
      <c r="AAF287" s="243"/>
      <c r="AAG287" s="243"/>
      <c r="AAH287" s="243"/>
      <c r="AAI287" s="243"/>
      <c r="AAJ287" s="243"/>
      <c r="AAK287" s="243"/>
      <c r="AAL287" s="243"/>
      <c r="AAM287" s="243"/>
      <c r="AAN287" s="243"/>
      <c r="AAO287" s="243"/>
      <c r="AAP287" s="243"/>
      <c r="AAQ287" s="243"/>
      <c r="AAR287" s="243"/>
      <c r="AAS287" s="243"/>
      <c r="AAT287" s="243"/>
      <c r="AAU287" s="243"/>
      <c r="AAV287" s="243"/>
      <c r="AAW287" s="243"/>
      <c r="AAX287" s="243"/>
      <c r="AAY287" s="243"/>
      <c r="AAZ287" s="243"/>
      <c r="ABA287" s="243"/>
      <c r="ABB287" s="243"/>
      <c r="ABC287" s="243"/>
      <c r="ABD287" s="243"/>
      <c r="ABE287" s="243"/>
      <c r="ABF287" s="243"/>
      <c r="ABG287" s="243"/>
      <c r="ABH287" s="243"/>
      <c r="ABI287" s="243"/>
      <c r="ABJ287" s="243"/>
      <c r="ABK287" s="243"/>
      <c r="ABL287" s="243"/>
      <c r="ABM287" s="243"/>
      <c r="ABN287" s="243"/>
      <c r="ABO287" s="243"/>
      <c r="ABP287" s="243"/>
      <c r="ABQ287" s="243"/>
      <c r="ABR287" s="243"/>
      <c r="ABS287" s="243"/>
      <c r="ABT287" s="243"/>
      <c r="ABU287" s="243"/>
      <c r="ABV287" s="243"/>
      <c r="ABW287" s="243"/>
      <c r="ABX287" s="243"/>
      <c r="ABY287" s="243"/>
      <c r="ABZ287" s="243"/>
      <c r="ACA287" s="243"/>
      <c r="ACB287" s="243"/>
      <c r="ACC287" s="243"/>
      <c r="ACD287" s="243"/>
      <c r="ACE287" s="243"/>
      <c r="ACF287" s="243"/>
      <c r="ACG287" s="243"/>
      <c r="ACH287" s="243"/>
      <c r="ACI287" s="243"/>
      <c r="ACJ287" s="243"/>
      <c r="ACK287" s="243"/>
      <c r="ACL287" s="243"/>
      <c r="ACM287" s="243"/>
      <c r="ACN287" s="243"/>
      <c r="ACO287" s="243"/>
      <c r="ACP287" s="243"/>
      <c r="ACQ287" s="243"/>
      <c r="ACR287" s="243"/>
      <c r="ACS287" s="243"/>
      <c r="ACT287" s="243"/>
      <c r="ACU287" s="243"/>
      <c r="ACV287" s="243"/>
      <c r="ACW287" s="243"/>
      <c r="ACX287" s="243"/>
      <c r="ACY287" s="243"/>
      <c r="ACZ287" s="243"/>
      <c r="ADA287" s="243"/>
      <c r="ADB287" s="243"/>
      <c r="ADC287" s="243"/>
      <c r="ADD287" s="243"/>
      <c r="ADE287" s="243"/>
      <c r="ADF287" s="243"/>
      <c r="ADG287" s="243"/>
      <c r="ADH287" s="243"/>
      <c r="ADI287" s="243"/>
      <c r="ADJ287" s="243"/>
      <c r="ADK287" s="243"/>
      <c r="ADL287" s="243"/>
      <c r="ADM287" s="243"/>
      <c r="ADN287" s="243"/>
      <c r="ADO287" s="243"/>
      <c r="ADP287" s="243"/>
      <c r="ADQ287" s="243"/>
      <c r="ADR287" s="243"/>
      <c r="ADS287" s="243"/>
      <c r="ADT287" s="243"/>
      <c r="ADU287" s="243"/>
      <c r="ADV287" s="243"/>
      <c r="ADW287" s="243"/>
      <c r="ADX287" s="243"/>
      <c r="ADY287" s="243"/>
      <c r="ADZ287" s="243"/>
      <c r="AEA287" s="243"/>
      <c r="AEB287" s="243"/>
      <c r="AEC287" s="243"/>
      <c r="AED287" s="243"/>
      <c r="AEE287" s="243"/>
      <c r="AEF287" s="243"/>
      <c r="AEG287" s="243"/>
      <c r="AEH287" s="243"/>
      <c r="AEI287" s="243"/>
      <c r="AEJ287" s="243"/>
      <c r="AEK287" s="243"/>
      <c r="AEL287" s="243"/>
      <c r="AEM287" s="243"/>
      <c r="AEN287" s="243"/>
      <c r="AEO287" s="243"/>
      <c r="AEP287" s="243"/>
      <c r="AEQ287" s="243"/>
      <c r="AER287" s="243"/>
      <c r="AES287" s="243"/>
      <c r="AET287" s="243"/>
      <c r="AEU287" s="243"/>
      <c r="AEV287" s="243"/>
      <c r="AEW287" s="243"/>
      <c r="AEX287" s="243"/>
      <c r="AEY287" s="243"/>
      <c r="AEZ287" s="243"/>
      <c r="AFA287" s="243"/>
      <c r="AFB287" s="243"/>
      <c r="AFC287" s="243"/>
      <c r="AFD287" s="243"/>
      <c r="AFE287" s="243"/>
      <c r="AFF287" s="243"/>
      <c r="AFG287" s="243"/>
      <c r="AFH287" s="243"/>
      <c r="AFI287" s="243"/>
      <c r="AFJ287" s="243"/>
      <c r="AFK287" s="243"/>
      <c r="AFL287" s="243"/>
      <c r="AFM287" s="243"/>
      <c r="AFN287" s="243"/>
      <c r="AFO287" s="243"/>
      <c r="AFP287" s="243"/>
      <c r="AFQ287" s="243"/>
      <c r="AFR287" s="243"/>
      <c r="AFS287" s="243"/>
      <c r="AFT287" s="243"/>
      <c r="AFU287" s="243"/>
      <c r="AFV287" s="243"/>
      <c r="AFW287" s="243"/>
      <c r="AFX287" s="243"/>
      <c r="AFY287" s="243"/>
      <c r="AFZ287" s="243"/>
      <c r="AGA287" s="243"/>
      <c r="AGB287" s="243"/>
      <c r="AGC287" s="243"/>
      <c r="AGD287" s="243"/>
      <c r="AGE287" s="243"/>
      <c r="AGF287" s="243"/>
      <c r="AGG287" s="243"/>
      <c r="AGH287" s="243"/>
      <c r="AGI287" s="243"/>
      <c r="AGJ287" s="243"/>
      <c r="AGK287" s="243"/>
      <c r="AGL287" s="243"/>
      <c r="AGM287" s="243"/>
      <c r="AGN287" s="243"/>
      <c r="AGO287" s="243"/>
      <c r="AGP287" s="243"/>
      <c r="AGQ287" s="243"/>
      <c r="AGR287" s="243"/>
      <c r="AGS287" s="243"/>
      <c r="AGT287" s="243"/>
      <c r="AGU287" s="243"/>
      <c r="AGV287" s="243"/>
      <c r="AGW287" s="243"/>
      <c r="AGX287" s="243"/>
      <c r="AGY287" s="243"/>
      <c r="AGZ287" s="243"/>
      <c r="AHA287" s="243"/>
      <c r="AHB287" s="243"/>
      <c r="AHC287" s="243"/>
      <c r="AHD287" s="243"/>
      <c r="AHE287" s="243"/>
      <c r="AHF287" s="243"/>
      <c r="AHG287" s="243"/>
      <c r="AHH287" s="243"/>
      <c r="AHI287" s="243"/>
      <c r="AHJ287" s="243"/>
      <c r="AHK287" s="243"/>
      <c r="AHL287" s="243"/>
      <c r="AHM287" s="243"/>
      <c r="AHN287" s="243"/>
      <c r="AHO287" s="243"/>
      <c r="AHP287" s="243"/>
      <c r="AHQ287" s="243"/>
      <c r="AHR287" s="243"/>
      <c r="AHS287" s="243"/>
      <c r="AHT287" s="243"/>
      <c r="AHU287" s="243"/>
      <c r="AHV287" s="243"/>
      <c r="AHW287" s="243"/>
      <c r="AHX287" s="243"/>
      <c r="AHY287" s="243"/>
      <c r="AHZ287" s="243"/>
      <c r="AIA287" s="243"/>
      <c r="AIB287" s="243"/>
      <c r="AIC287" s="243"/>
      <c r="AID287" s="243"/>
      <c r="AIE287" s="243"/>
      <c r="AIF287" s="243"/>
      <c r="AIG287" s="243"/>
      <c r="AIH287" s="243"/>
      <c r="AII287" s="243"/>
      <c r="AIJ287" s="243"/>
      <c r="AIK287" s="243"/>
      <c r="AIL287" s="243"/>
      <c r="AIM287" s="243"/>
      <c r="AIN287" s="243"/>
      <c r="AIO287" s="243"/>
      <c r="AIP287" s="243"/>
      <c r="AIQ287" s="243"/>
      <c r="AIR287" s="243"/>
      <c r="AIS287" s="243"/>
      <c r="AIT287" s="243"/>
      <c r="AIU287" s="243"/>
      <c r="AIV287" s="243"/>
      <c r="AIW287" s="243"/>
      <c r="AIX287" s="243"/>
      <c r="AIY287" s="243"/>
      <c r="AIZ287" s="243"/>
      <c r="AJA287" s="243"/>
      <c r="AJB287" s="243"/>
      <c r="AJC287" s="243"/>
      <c r="AJD287" s="243"/>
      <c r="AJE287" s="243"/>
      <c r="AJF287" s="243"/>
      <c r="AJG287" s="243"/>
      <c r="AJH287" s="243"/>
      <c r="AJI287" s="243"/>
      <c r="AJJ287" s="243"/>
      <c r="AJK287" s="243"/>
      <c r="AJL287" s="243"/>
      <c r="AJM287" s="243"/>
      <c r="AJN287" s="243"/>
      <c r="AJO287" s="243"/>
      <c r="AJP287" s="243"/>
      <c r="AJQ287" s="243"/>
      <c r="AJR287" s="243"/>
      <c r="AJS287" s="243"/>
      <c r="AJT287" s="243"/>
      <c r="AJU287" s="243"/>
      <c r="AJV287" s="243"/>
      <c r="AJW287" s="243"/>
      <c r="AJX287" s="243"/>
      <c r="AJY287" s="243"/>
      <c r="AJZ287" s="243"/>
      <c r="AKA287" s="243"/>
      <c r="AKB287" s="243"/>
      <c r="AKC287" s="243"/>
      <c r="AKD287" s="243"/>
      <c r="AKE287" s="243"/>
      <c r="AKF287" s="243"/>
      <c r="AKG287" s="243"/>
      <c r="AKH287" s="243"/>
      <c r="AKI287" s="243"/>
      <c r="AKJ287" s="243"/>
      <c r="AKK287" s="243"/>
      <c r="AKL287" s="243"/>
      <c r="AKM287" s="243"/>
      <c r="AKN287" s="243"/>
      <c r="AKO287" s="243"/>
      <c r="AKP287" s="243"/>
      <c r="AKQ287" s="243"/>
      <c r="AKR287" s="243"/>
      <c r="AKS287" s="243"/>
      <c r="AKT287" s="243"/>
      <c r="AKU287" s="243"/>
      <c r="AKV287" s="243"/>
      <c r="AKW287" s="243"/>
      <c r="AKX287" s="243"/>
      <c r="AKY287" s="243"/>
      <c r="AKZ287" s="243"/>
      <c r="ALA287" s="243"/>
      <c r="ALB287" s="243"/>
      <c r="ALC287" s="243"/>
      <c r="ALD287" s="243"/>
      <c r="ALE287" s="243"/>
      <c r="ALF287" s="243"/>
      <c r="ALG287" s="243"/>
      <c r="ALH287" s="243"/>
      <c r="ALI287" s="243"/>
      <c r="ALJ287" s="243"/>
      <c r="ALK287" s="243"/>
      <c r="ALL287" s="243"/>
      <c r="ALM287" s="243"/>
      <c r="ALN287" s="243"/>
      <c r="ALO287" s="243"/>
      <c r="ALP287" s="243"/>
      <c r="ALQ287" s="243"/>
      <c r="ALR287" s="243"/>
      <c r="ALS287" s="243"/>
      <c r="ALT287" s="243"/>
      <c r="ALU287" s="243"/>
      <c r="ALV287" s="243"/>
      <c r="ALW287" s="243"/>
      <c r="ALX287" s="243"/>
      <c r="ALY287" s="243"/>
      <c r="ALZ287" s="243"/>
      <c r="AMA287" s="243"/>
      <c r="AMB287" s="243"/>
      <c r="AMC287" s="243"/>
      <c r="AMD287" s="243"/>
      <c r="AME287" s="243"/>
      <c r="AMF287" s="243"/>
      <c r="AMG287" s="243"/>
      <c r="AMH287" s="243"/>
      <c r="AMI287" s="244"/>
      <c r="AMJ287" s="244"/>
    </row>
    <row r="288" spans="1:1024">
      <c r="A288" s="1039" t="s">
        <v>26</v>
      </c>
      <c r="B288" s="1039"/>
      <c r="C288" s="1039"/>
      <c r="D288" s="1039"/>
      <c r="E288" s="524">
        <f>SUM(E277:E287)</f>
        <v>25900000</v>
      </c>
      <c r="F288" s="525" t="s">
        <v>26</v>
      </c>
      <c r="G288" s="526">
        <f>SUM(G277:G287)</f>
        <v>2145000</v>
      </c>
      <c r="H288" s="1040"/>
      <c r="I288" s="1040"/>
      <c r="J288" s="1040"/>
      <c r="K288" s="1040"/>
      <c r="L288" s="1040"/>
      <c r="M288" s="1040"/>
      <c r="N288" s="1041" t="s">
        <v>27</v>
      </c>
      <c r="O288" s="1041"/>
      <c r="P288" s="1041"/>
      <c r="Q288" s="534">
        <f>G288+Q287</f>
        <v>2417000</v>
      </c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  <c r="AH288" s="243"/>
      <c r="AI288" s="243"/>
      <c r="AJ288" s="243"/>
      <c r="AK288" s="243"/>
      <c r="AL288" s="243"/>
      <c r="AM288" s="243"/>
      <c r="AN288" s="243"/>
      <c r="AO288" s="243"/>
      <c r="AP288" s="243"/>
      <c r="AQ288" s="243"/>
      <c r="AR288" s="243"/>
      <c r="AS288" s="243"/>
      <c r="AT288" s="243"/>
      <c r="AU288" s="243"/>
      <c r="AV288" s="243"/>
      <c r="AW288" s="243"/>
      <c r="AX288" s="243"/>
      <c r="AY288" s="243"/>
      <c r="AZ288" s="243"/>
      <c r="BA288" s="243"/>
      <c r="BB288" s="243"/>
      <c r="BC288" s="243"/>
      <c r="BD288" s="243"/>
      <c r="BE288" s="243"/>
      <c r="BF288" s="243"/>
      <c r="BG288" s="243"/>
      <c r="BH288" s="243"/>
      <c r="BI288" s="243"/>
      <c r="BJ288" s="243"/>
      <c r="BK288" s="243"/>
      <c r="BL288" s="243"/>
      <c r="BM288" s="243"/>
      <c r="BN288" s="243"/>
      <c r="BO288" s="243"/>
      <c r="BP288" s="243"/>
      <c r="BQ288" s="243"/>
      <c r="BR288" s="243"/>
      <c r="BS288" s="243"/>
      <c r="BT288" s="243"/>
      <c r="BU288" s="243"/>
      <c r="BV288" s="243"/>
      <c r="BW288" s="243"/>
      <c r="BX288" s="243"/>
      <c r="BY288" s="243"/>
      <c r="BZ288" s="243"/>
      <c r="CA288" s="243"/>
      <c r="CB288" s="243"/>
      <c r="CC288" s="243"/>
      <c r="CD288" s="243"/>
      <c r="CE288" s="243"/>
      <c r="CF288" s="243"/>
      <c r="CG288" s="243"/>
      <c r="CH288" s="243"/>
      <c r="CI288" s="243"/>
      <c r="CJ288" s="243"/>
      <c r="CK288" s="243"/>
      <c r="CL288" s="243"/>
      <c r="CM288" s="243"/>
      <c r="CN288" s="243"/>
      <c r="CO288" s="243"/>
      <c r="CP288" s="243"/>
      <c r="CQ288" s="243"/>
      <c r="CR288" s="243"/>
      <c r="CS288" s="243"/>
      <c r="CT288" s="243"/>
      <c r="CU288" s="243"/>
      <c r="CV288" s="243"/>
      <c r="CW288" s="243"/>
      <c r="CX288" s="243"/>
      <c r="CY288" s="243"/>
      <c r="CZ288" s="243"/>
      <c r="DA288" s="243"/>
      <c r="DB288" s="243"/>
      <c r="DC288" s="243"/>
      <c r="DD288" s="243"/>
      <c r="DE288" s="243"/>
      <c r="DF288" s="243"/>
      <c r="DG288" s="243"/>
      <c r="DH288" s="243"/>
      <c r="DI288" s="243"/>
      <c r="DJ288" s="243"/>
      <c r="DK288" s="243"/>
      <c r="DL288" s="243"/>
      <c r="DM288" s="243"/>
      <c r="DN288" s="243"/>
      <c r="DO288" s="243"/>
      <c r="DP288" s="243"/>
      <c r="DQ288" s="243"/>
      <c r="DR288" s="243"/>
      <c r="DS288" s="243"/>
      <c r="DT288" s="243"/>
      <c r="DU288" s="243"/>
      <c r="DV288" s="243"/>
      <c r="DW288" s="243"/>
      <c r="DX288" s="243"/>
      <c r="DY288" s="243"/>
      <c r="DZ288" s="243"/>
      <c r="EA288" s="243"/>
      <c r="EB288" s="243"/>
      <c r="EC288" s="243"/>
      <c r="ED288" s="243"/>
      <c r="EE288" s="243"/>
      <c r="EF288" s="243"/>
      <c r="EG288" s="243"/>
      <c r="EH288" s="243"/>
      <c r="EI288" s="243"/>
      <c r="EJ288" s="243"/>
      <c r="EK288" s="243"/>
      <c r="EL288" s="243"/>
      <c r="EM288" s="243"/>
      <c r="EN288" s="243"/>
      <c r="EO288" s="243"/>
      <c r="EP288" s="243"/>
      <c r="EQ288" s="243"/>
      <c r="ER288" s="243"/>
      <c r="ES288" s="243"/>
      <c r="ET288" s="243"/>
      <c r="EU288" s="243"/>
      <c r="EV288" s="243"/>
      <c r="EW288" s="243"/>
      <c r="EX288" s="243"/>
      <c r="EY288" s="243"/>
      <c r="EZ288" s="243"/>
      <c r="FA288" s="243"/>
      <c r="FB288" s="243"/>
      <c r="FC288" s="243"/>
      <c r="FD288" s="243"/>
      <c r="FE288" s="243"/>
      <c r="FF288" s="243"/>
      <c r="FG288" s="243"/>
      <c r="FH288" s="243"/>
      <c r="FI288" s="243"/>
      <c r="FJ288" s="243"/>
      <c r="FK288" s="243"/>
      <c r="FL288" s="243"/>
      <c r="FM288" s="243"/>
      <c r="FN288" s="243"/>
      <c r="FO288" s="243"/>
      <c r="FP288" s="243"/>
      <c r="FQ288" s="243"/>
      <c r="FR288" s="243"/>
      <c r="FS288" s="243"/>
      <c r="FT288" s="243"/>
      <c r="FU288" s="243"/>
      <c r="FV288" s="243"/>
      <c r="FW288" s="243"/>
      <c r="FX288" s="243"/>
      <c r="FY288" s="243"/>
      <c r="FZ288" s="243"/>
      <c r="GA288" s="243"/>
      <c r="GB288" s="243"/>
      <c r="GC288" s="243"/>
      <c r="GD288" s="243"/>
      <c r="GE288" s="243"/>
      <c r="GF288" s="243"/>
      <c r="GG288" s="243"/>
      <c r="GH288" s="243"/>
      <c r="GI288" s="243"/>
      <c r="GJ288" s="243"/>
      <c r="GK288" s="243"/>
      <c r="GL288" s="243"/>
      <c r="GM288" s="243"/>
      <c r="GN288" s="243"/>
      <c r="GO288" s="243"/>
      <c r="GP288" s="243"/>
      <c r="GQ288" s="243"/>
      <c r="GR288" s="243"/>
      <c r="GS288" s="243"/>
      <c r="GT288" s="243"/>
      <c r="GU288" s="243"/>
      <c r="GV288" s="243"/>
      <c r="GW288" s="243"/>
      <c r="GX288" s="243"/>
      <c r="GY288" s="243"/>
      <c r="GZ288" s="243"/>
      <c r="HA288" s="243"/>
      <c r="HB288" s="243"/>
      <c r="HC288" s="243"/>
      <c r="HD288" s="243"/>
      <c r="HE288" s="243"/>
      <c r="HF288" s="243"/>
      <c r="HG288" s="243"/>
      <c r="HH288" s="243"/>
      <c r="HI288" s="243"/>
      <c r="HJ288" s="243"/>
      <c r="HK288" s="243"/>
      <c r="HL288" s="243"/>
      <c r="HM288" s="243"/>
      <c r="HN288" s="243"/>
      <c r="HO288" s="243"/>
      <c r="HP288" s="243"/>
      <c r="HQ288" s="243"/>
      <c r="HR288" s="243"/>
      <c r="HS288" s="243"/>
      <c r="HT288" s="243"/>
      <c r="HU288" s="243"/>
      <c r="HV288" s="243"/>
      <c r="HW288" s="243"/>
      <c r="HX288" s="243"/>
      <c r="HY288" s="243"/>
      <c r="HZ288" s="243"/>
      <c r="IA288" s="243"/>
      <c r="IB288" s="243"/>
      <c r="IC288" s="243"/>
      <c r="ID288" s="243"/>
      <c r="IE288" s="243"/>
      <c r="IF288" s="243"/>
      <c r="IG288" s="243"/>
      <c r="IH288" s="243"/>
      <c r="II288" s="243"/>
      <c r="IJ288" s="243"/>
      <c r="IK288" s="243"/>
      <c r="IL288" s="243"/>
      <c r="IM288" s="243"/>
      <c r="IN288" s="243"/>
      <c r="IO288" s="243"/>
      <c r="IP288" s="243"/>
      <c r="IQ288" s="243"/>
      <c r="IR288" s="243"/>
      <c r="IS288" s="243"/>
      <c r="IT288" s="243"/>
      <c r="IU288" s="243"/>
      <c r="IV288" s="243"/>
      <c r="IW288" s="243"/>
      <c r="IX288" s="243"/>
      <c r="IY288" s="243"/>
      <c r="IZ288" s="243"/>
      <c r="JA288" s="243"/>
      <c r="JB288" s="243"/>
      <c r="JC288" s="243"/>
      <c r="JD288" s="243"/>
      <c r="JE288" s="243"/>
      <c r="JF288" s="243"/>
      <c r="JG288" s="243"/>
      <c r="JH288" s="243"/>
      <c r="JI288" s="243"/>
      <c r="JJ288" s="243"/>
      <c r="JK288" s="243"/>
      <c r="JL288" s="243"/>
      <c r="JM288" s="243"/>
      <c r="JN288" s="243"/>
      <c r="JO288" s="243"/>
      <c r="JP288" s="243"/>
      <c r="JQ288" s="243"/>
      <c r="JR288" s="243"/>
      <c r="JS288" s="243"/>
      <c r="JT288" s="243"/>
      <c r="JU288" s="243"/>
      <c r="JV288" s="243"/>
      <c r="JW288" s="243"/>
      <c r="JX288" s="243"/>
      <c r="JY288" s="243"/>
      <c r="JZ288" s="243"/>
      <c r="KA288" s="243"/>
      <c r="KB288" s="243"/>
      <c r="KC288" s="243"/>
      <c r="KD288" s="243"/>
      <c r="KE288" s="243"/>
      <c r="KF288" s="243"/>
      <c r="KG288" s="243"/>
      <c r="KH288" s="243"/>
      <c r="KI288" s="243"/>
      <c r="KJ288" s="243"/>
      <c r="KK288" s="243"/>
      <c r="KL288" s="243"/>
      <c r="KM288" s="243"/>
      <c r="KN288" s="243"/>
      <c r="KO288" s="243"/>
      <c r="KP288" s="243"/>
      <c r="KQ288" s="243"/>
      <c r="KR288" s="243"/>
      <c r="KS288" s="243"/>
      <c r="KT288" s="243"/>
      <c r="KU288" s="243"/>
      <c r="KV288" s="243"/>
      <c r="KW288" s="243"/>
      <c r="KX288" s="243"/>
      <c r="KY288" s="243"/>
      <c r="KZ288" s="243"/>
      <c r="LA288" s="243"/>
      <c r="LB288" s="243"/>
      <c r="LC288" s="243"/>
      <c r="LD288" s="243"/>
      <c r="LE288" s="243"/>
      <c r="LF288" s="243"/>
      <c r="LG288" s="243"/>
      <c r="LH288" s="243"/>
      <c r="LI288" s="243"/>
      <c r="LJ288" s="243"/>
      <c r="LK288" s="243"/>
      <c r="LL288" s="243"/>
      <c r="LM288" s="243"/>
      <c r="LN288" s="243"/>
      <c r="LO288" s="243"/>
      <c r="LP288" s="243"/>
      <c r="LQ288" s="243"/>
      <c r="LR288" s="243"/>
      <c r="LS288" s="243"/>
      <c r="LT288" s="243"/>
      <c r="LU288" s="243"/>
      <c r="LV288" s="243"/>
      <c r="LW288" s="243"/>
      <c r="LX288" s="243"/>
      <c r="LY288" s="243"/>
      <c r="LZ288" s="243"/>
      <c r="MA288" s="243"/>
      <c r="MB288" s="243"/>
      <c r="MC288" s="243"/>
      <c r="MD288" s="243"/>
      <c r="ME288" s="243"/>
      <c r="MF288" s="243"/>
      <c r="MG288" s="243"/>
      <c r="MH288" s="243"/>
      <c r="MI288" s="243"/>
      <c r="MJ288" s="243"/>
      <c r="MK288" s="243"/>
      <c r="ML288" s="243"/>
      <c r="MM288" s="243"/>
      <c r="MN288" s="243"/>
      <c r="MO288" s="243"/>
      <c r="MP288" s="243"/>
      <c r="MQ288" s="243"/>
      <c r="MR288" s="243"/>
      <c r="MS288" s="243"/>
      <c r="MT288" s="243"/>
      <c r="MU288" s="243"/>
      <c r="MV288" s="243"/>
      <c r="MW288" s="243"/>
      <c r="MX288" s="243"/>
      <c r="MY288" s="243"/>
      <c r="MZ288" s="243"/>
      <c r="NA288" s="243"/>
      <c r="NB288" s="243"/>
      <c r="NC288" s="243"/>
      <c r="ND288" s="243"/>
      <c r="NE288" s="243"/>
      <c r="NF288" s="243"/>
      <c r="NG288" s="243"/>
      <c r="NH288" s="243"/>
      <c r="NI288" s="243"/>
      <c r="NJ288" s="243"/>
      <c r="NK288" s="243"/>
      <c r="NL288" s="243"/>
      <c r="NM288" s="243"/>
      <c r="NN288" s="243"/>
      <c r="NO288" s="243"/>
      <c r="NP288" s="243"/>
      <c r="NQ288" s="243"/>
      <c r="NR288" s="243"/>
      <c r="NS288" s="243"/>
      <c r="NT288" s="243"/>
      <c r="NU288" s="243"/>
      <c r="NV288" s="243"/>
      <c r="NW288" s="243"/>
      <c r="NX288" s="243"/>
      <c r="NY288" s="243"/>
      <c r="NZ288" s="243"/>
      <c r="OA288" s="243"/>
      <c r="OB288" s="243"/>
      <c r="OC288" s="243"/>
      <c r="OD288" s="243"/>
      <c r="OE288" s="243"/>
      <c r="OF288" s="243"/>
      <c r="OG288" s="243"/>
      <c r="OH288" s="243"/>
      <c r="OI288" s="243"/>
      <c r="OJ288" s="243"/>
      <c r="OK288" s="243"/>
      <c r="OL288" s="243"/>
      <c r="OM288" s="243"/>
      <c r="ON288" s="243"/>
      <c r="OO288" s="243"/>
      <c r="OP288" s="243"/>
      <c r="OQ288" s="243"/>
      <c r="OR288" s="243"/>
      <c r="OS288" s="243"/>
      <c r="OT288" s="243"/>
      <c r="OU288" s="243"/>
      <c r="OV288" s="243"/>
      <c r="OW288" s="243"/>
      <c r="OX288" s="243"/>
      <c r="OY288" s="243"/>
      <c r="OZ288" s="243"/>
      <c r="PA288" s="243"/>
      <c r="PB288" s="243"/>
      <c r="PC288" s="243"/>
      <c r="PD288" s="243"/>
      <c r="PE288" s="243"/>
      <c r="PF288" s="243"/>
      <c r="PG288" s="243"/>
      <c r="PH288" s="243"/>
      <c r="PI288" s="243"/>
      <c r="PJ288" s="243"/>
      <c r="PK288" s="243"/>
      <c r="PL288" s="243"/>
      <c r="PM288" s="243"/>
      <c r="PN288" s="243"/>
      <c r="PO288" s="243"/>
      <c r="PP288" s="243"/>
      <c r="PQ288" s="243"/>
      <c r="PR288" s="243"/>
      <c r="PS288" s="243"/>
      <c r="PT288" s="243"/>
      <c r="PU288" s="243"/>
      <c r="PV288" s="243"/>
      <c r="PW288" s="243"/>
      <c r="PX288" s="243"/>
      <c r="PY288" s="243"/>
      <c r="PZ288" s="243"/>
      <c r="QA288" s="243"/>
      <c r="QB288" s="243"/>
      <c r="QC288" s="243"/>
      <c r="QD288" s="243"/>
      <c r="QE288" s="243"/>
      <c r="QF288" s="243"/>
      <c r="QG288" s="243"/>
      <c r="QH288" s="243"/>
      <c r="QI288" s="243"/>
      <c r="QJ288" s="243"/>
      <c r="QK288" s="243"/>
      <c r="QL288" s="243"/>
      <c r="QM288" s="243"/>
      <c r="QN288" s="243"/>
      <c r="QO288" s="243"/>
      <c r="QP288" s="243"/>
      <c r="QQ288" s="243"/>
      <c r="QR288" s="243"/>
      <c r="QS288" s="243"/>
      <c r="QT288" s="243"/>
      <c r="QU288" s="243"/>
      <c r="QV288" s="243"/>
      <c r="QW288" s="243"/>
      <c r="QX288" s="243"/>
      <c r="QY288" s="243"/>
      <c r="QZ288" s="243"/>
      <c r="RA288" s="243"/>
      <c r="RB288" s="243"/>
      <c r="RC288" s="243"/>
      <c r="RD288" s="243"/>
      <c r="RE288" s="243"/>
      <c r="RF288" s="243"/>
      <c r="RG288" s="243"/>
      <c r="RH288" s="243"/>
      <c r="RI288" s="243"/>
      <c r="RJ288" s="243"/>
      <c r="RK288" s="243"/>
      <c r="RL288" s="243"/>
      <c r="RM288" s="243"/>
      <c r="RN288" s="243"/>
      <c r="RO288" s="243"/>
      <c r="RP288" s="243"/>
      <c r="RQ288" s="243"/>
      <c r="RR288" s="243"/>
      <c r="RS288" s="243"/>
      <c r="RT288" s="243"/>
      <c r="RU288" s="243"/>
      <c r="RV288" s="243"/>
      <c r="RW288" s="243"/>
      <c r="RX288" s="243"/>
      <c r="RY288" s="243"/>
      <c r="RZ288" s="243"/>
      <c r="SA288" s="243"/>
      <c r="SB288" s="243"/>
      <c r="SC288" s="243"/>
      <c r="SD288" s="243"/>
      <c r="SE288" s="243"/>
      <c r="SF288" s="243"/>
      <c r="SG288" s="243"/>
      <c r="SH288" s="243"/>
      <c r="SI288" s="243"/>
      <c r="SJ288" s="243"/>
      <c r="SK288" s="243"/>
      <c r="SL288" s="243"/>
      <c r="SM288" s="243"/>
      <c r="SN288" s="243"/>
      <c r="SO288" s="243"/>
      <c r="SP288" s="243"/>
      <c r="SQ288" s="243"/>
      <c r="SR288" s="243"/>
      <c r="SS288" s="243"/>
      <c r="ST288" s="243"/>
      <c r="SU288" s="243"/>
      <c r="SV288" s="243"/>
      <c r="SW288" s="243"/>
      <c r="SX288" s="243"/>
      <c r="SY288" s="243"/>
      <c r="SZ288" s="243"/>
      <c r="TA288" s="243"/>
      <c r="TB288" s="243"/>
      <c r="TC288" s="243"/>
      <c r="TD288" s="243"/>
      <c r="TE288" s="243"/>
      <c r="TF288" s="243"/>
      <c r="TG288" s="243"/>
      <c r="TH288" s="243"/>
      <c r="TI288" s="243"/>
      <c r="TJ288" s="243"/>
      <c r="TK288" s="243"/>
      <c r="TL288" s="243"/>
      <c r="TM288" s="243"/>
      <c r="TN288" s="243"/>
      <c r="TO288" s="243"/>
      <c r="TP288" s="243"/>
      <c r="TQ288" s="243"/>
      <c r="TR288" s="243"/>
      <c r="TS288" s="243"/>
      <c r="TT288" s="243"/>
      <c r="TU288" s="243"/>
      <c r="TV288" s="243"/>
      <c r="TW288" s="243"/>
      <c r="TX288" s="243"/>
      <c r="TY288" s="243"/>
      <c r="TZ288" s="243"/>
      <c r="UA288" s="243"/>
      <c r="UB288" s="243"/>
      <c r="UC288" s="243"/>
      <c r="UD288" s="243"/>
      <c r="UE288" s="243"/>
      <c r="UF288" s="243"/>
      <c r="UG288" s="243"/>
      <c r="UH288" s="243"/>
      <c r="UI288" s="243"/>
      <c r="UJ288" s="243"/>
      <c r="UK288" s="243"/>
      <c r="UL288" s="243"/>
      <c r="UM288" s="243"/>
      <c r="UN288" s="243"/>
      <c r="UO288" s="243"/>
      <c r="UP288" s="243"/>
      <c r="UQ288" s="243"/>
      <c r="UR288" s="243"/>
      <c r="US288" s="243"/>
      <c r="UT288" s="243"/>
      <c r="UU288" s="243"/>
      <c r="UV288" s="243"/>
      <c r="UW288" s="243"/>
      <c r="UX288" s="243"/>
      <c r="UY288" s="243"/>
      <c r="UZ288" s="243"/>
      <c r="VA288" s="243"/>
      <c r="VB288" s="243"/>
      <c r="VC288" s="243"/>
      <c r="VD288" s="243"/>
      <c r="VE288" s="243"/>
      <c r="VF288" s="243"/>
      <c r="VG288" s="243"/>
      <c r="VH288" s="243"/>
      <c r="VI288" s="243"/>
      <c r="VJ288" s="243"/>
      <c r="VK288" s="243"/>
      <c r="VL288" s="243"/>
      <c r="VM288" s="243"/>
      <c r="VN288" s="243"/>
      <c r="VO288" s="243"/>
      <c r="VP288" s="243"/>
      <c r="VQ288" s="243"/>
      <c r="VR288" s="243"/>
      <c r="VS288" s="243"/>
      <c r="VT288" s="243"/>
      <c r="VU288" s="243"/>
      <c r="VV288" s="243"/>
      <c r="VW288" s="243"/>
      <c r="VX288" s="243"/>
      <c r="VY288" s="243"/>
      <c r="VZ288" s="243"/>
      <c r="WA288" s="243"/>
      <c r="WB288" s="243"/>
      <c r="WC288" s="243"/>
      <c r="WD288" s="243"/>
      <c r="WE288" s="243"/>
      <c r="WF288" s="243"/>
      <c r="WG288" s="243"/>
      <c r="WH288" s="243"/>
      <c r="WI288" s="243"/>
      <c r="WJ288" s="243"/>
      <c r="WK288" s="243"/>
      <c r="WL288" s="243"/>
      <c r="WM288" s="243"/>
      <c r="WN288" s="243"/>
      <c r="WO288" s="243"/>
      <c r="WP288" s="243"/>
      <c r="WQ288" s="243"/>
      <c r="WR288" s="243"/>
      <c r="WS288" s="243"/>
      <c r="WT288" s="243"/>
      <c r="WU288" s="243"/>
      <c r="WV288" s="243"/>
      <c r="WW288" s="243"/>
      <c r="WX288" s="243"/>
      <c r="WY288" s="243"/>
      <c r="WZ288" s="243"/>
      <c r="XA288" s="243"/>
      <c r="XB288" s="243"/>
      <c r="XC288" s="243"/>
      <c r="XD288" s="243"/>
      <c r="XE288" s="243"/>
      <c r="XF288" s="243"/>
      <c r="XG288" s="243"/>
      <c r="XH288" s="243"/>
      <c r="XI288" s="243"/>
      <c r="XJ288" s="243"/>
      <c r="XK288" s="243"/>
      <c r="XL288" s="243"/>
      <c r="XM288" s="243"/>
      <c r="XN288" s="243"/>
      <c r="XO288" s="243"/>
      <c r="XP288" s="243"/>
      <c r="XQ288" s="243"/>
      <c r="XR288" s="243"/>
      <c r="XS288" s="243"/>
      <c r="XT288" s="243"/>
      <c r="XU288" s="243"/>
      <c r="XV288" s="243"/>
      <c r="XW288" s="243"/>
      <c r="XX288" s="243"/>
      <c r="XY288" s="243"/>
      <c r="XZ288" s="243"/>
      <c r="YA288" s="243"/>
      <c r="YB288" s="243"/>
      <c r="YC288" s="243"/>
      <c r="YD288" s="243"/>
      <c r="YE288" s="243"/>
      <c r="YF288" s="243"/>
      <c r="YG288" s="243"/>
      <c r="YH288" s="243"/>
      <c r="YI288" s="243"/>
      <c r="YJ288" s="243"/>
      <c r="YK288" s="243"/>
      <c r="YL288" s="243"/>
      <c r="YM288" s="243"/>
      <c r="YN288" s="243"/>
      <c r="YO288" s="243"/>
      <c r="YP288" s="243"/>
      <c r="YQ288" s="243"/>
      <c r="YR288" s="243"/>
      <c r="YS288" s="243"/>
      <c r="YT288" s="243"/>
      <c r="YU288" s="243"/>
      <c r="YV288" s="243"/>
      <c r="YW288" s="243"/>
      <c r="YX288" s="243"/>
      <c r="YY288" s="243"/>
      <c r="YZ288" s="243"/>
      <c r="ZA288" s="243"/>
      <c r="ZB288" s="243"/>
      <c r="ZC288" s="243"/>
      <c r="ZD288" s="243"/>
      <c r="ZE288" s="243"/>
      <c r="ZF288" s="243"/>
      <c r="ZG288" s="243"/>
      <c r="ZH288" s="243"/>
      <c r="ZI288" s="243"/>
      <c r="ZJ288" s="243"/>
      <c r="ZK288" s="243"/>
      <c r="ZL288" s="243"/>
      <c r="ZM288" s="243"/>
      <c r="ZN288" s="243"/>
      <c r="ZO288" s="243"/>
      <c r="ZP288" s="243"/>
      <c r="ZQ288" s="243"/>
      <c r="ZR288" s="243"/>
      <c r="ZS288" s="243"/>
      <c r="ZT288" s="243"/>
      <c r="ZU288" s="243"/>
      <c r="ZV288" s="243"/>
      <c r="ZW288" s="243"/>
      <c r="ZX288" s="243"/>
      <c r="ZY288" s="243"/>
      <c r="ZZ288" s="243"/>
      <c r="AAA288" s="243"/>
      <c r="AAB288" s="243"/>
      <c r="AAC288" s="243"/>
      <c r="AAD288" s="243"/>
      <c r="AAE288" s="243"/>
      <c r="AAF288" s="243"/>
      <c r="AAG288" s="243"/>
      <c r="AAH288" s="243"/>
      <c r="AAI288" s="243"/>
      <c r="AAJ288" s="243"/>
      <c r="AAK288" s="243"/>
      <c r="AAL288" s="243"/>
      <c r="AAM288" s="243"/>
      <c r="AAN288" s="243"/>
      <c r="AAO288" s="243"/>
      <c r="AAP288" s="243"/>
      <c r="AAQ288" s="243"/>
      <c r="AAR288" s="243"/>
      <c r="AAS288" s="243"/>
      <c r="AAT288" s="243"/>
      <c r="AAU288" s="243"/>
      <c r="AAV288" s="243"/>
      <c r="AAW288" s="243"/>
      <c r="AAX288" s="243"/>
      <c r="AAY288" s="243"/>
      <c r="AAZ288" s="243"/>
      <c r="ABA288" s="243"/>
      <c r="ABB288" s="243"/>
      <c r="ABC288" s="243"/>
      <c r="ABD288" s="243"/>
      <c r="ABE288" s="243"/>
      <c r="ABF288" s="243"/>
      <c r="ABG288" s="243"/>
      <c r="ABH288" s="243"/>
      <c r="ABI288" s="243"/>
      <c r="ABJ288" s="243"/>
      <c r="ABK288" s="243"/>
      <c r="ABL288" s="243"/>
      <c r="ABM288" s="243"/>
      <c r="ABN288" s="243"/>
      <c r="ABO288" s="243"/>
      <c r="ABP288" s="243"/>
      <c r="ABQ288" s="243"/>
      <c r="ABR288" s="243"/>
      <c r="ABS288" s="243"/>
      <c r="ABT288" s="243"/>
      <c r="ABU288" s="243"/>
      <c r="ABV288" s="243"/>
      <c r="ABW288" s="243"/>
      <c r="ABX288" s="243"/>
      <c r="ABY288" s="243"/>
      <c r="ABZ288" s="243"/>
      <c r="ACA288" s="243"/>
      <c r="ACB288" s="243"/>
      <c r="ACC288" s="243"/>
      <c r="ACD288" s="243"/>
      <c r="ACE288" s="243"/>
      <c r="ACF288" s="243"/>
      <c r="ACG288" s="243"/>
      <c r="ACH288" s="243"/>
      <c r="ACI288" s="243"/>
      <c r="ACJ288" s="243"/>
      <c r="ACK288" s="243"/>
      <c r="ACL288" s="243"/>
      <c r="ACM288" s="243"/>
      <c r="ACN288" s="243"/>
      <c r="ACO288" s="243"/>
      <c r="ACP288" s="243"/>
      <c r="ACQ288" s="243"/>
      <c r="ACR288" s="243"/>
      <c r="ACS288" s="243"/>
      <c r="ACT288" s="243"/>
      <c r="ACU288" s="243"/>
      <c r="ACV288" s="243"/>
      <c r="ACW288" s="243"/>
      <c r="ACX288" s="243"/>
      <c r="ACY288" s="243"/>
      <c r="ACZ288" s="243"/>
      <c r="ADA288" s="243"/>
      <c r="ADB288" s="243"/>
      <c r="ADC288" s="243"/>
      <c r="ADD288" s="243"/>
      <c r="ADE288" s="243"/>
      <c r="ADF288" s="243"/>
      <c r="ADG288" s="243"/>
      <c r="ADH288" s="243"/>
      <c r="ADI288" s="243"/>
      <c r="ADJ288" s="243"/>
      <c r="ADK288" s="243"/>
      <c r="ADL288" s="243"/>
      <c r="ADM288" s="243"/>
      <c r="ADN288" s="243"/>
      <c r="ADO288" s="243"/>
      <c r="ADP288" s="243"/>
      <c r="ADQ288" s="243"/>
      <c r="ADR288" s="243"/>
      <c r="ADS288" s="243"/>
      <c r="ADT288" s="243"/>
      <c r="ADU288" s="243"/>
      <c r="ADV288" s="243"/>
      <c r="ADW288" s="243"/>
      <c r="ADX288" s="243"/>
      <c r="ADY288" s="243"/>
      <c r="ADZ288" s="243"/>
      <c r="AEA288" s="243"/>
      <c r="AEB288" s="243"/>
      <c r="AEC288" s="243"/>
      <c r="AED288" s="243"/>
      <c r="AEE288" s="243"/>
      <c r="AEF288" s="243"/>
      <c r="AEG288" s="243"/>
      <c r="AEH288" s="243"/>
      <c r="AEI288" s="243"/>
      <c r="AEJ288" s="243"/>
      <c r="AEK288" s="243"/>
      <c r="AEL288" s="243"/>
      <c r="AEM288" s="243"/>
      <c r="AEN288" s="243"/>
      <c r="AEO288" s="243"/>
      <c r="AEP288" s="243"/>
      <c r="AEQ288" s="243"/>
      <c r="AER288" s="243"/>
      <c r="AES288" s="243"/>
      <c r="AET288" s="243"/>
      <c r="AEU288" s="243"/>
      <c r="AEV288" s="243"/>
      <c r="AEW288" s="243"/>
      <c r="AEX288" s="243"/>
      <c r="AEY288" s="243"/>
      <c r="AEZ288" s="243"/>
      <c r="AFA288" s="243"/>
      <c r="AFB288" s="243"/>
      <c r="AFC288" s="243"/>
      <c r="AFD288" s="243"/>
      <c r="AFE288" s="243"/>
      <c r="AFF288" s="243"/>
      <c r="AFG288" s="243"/>
      <c r="AFH288" s="243"/>
      <c r="AFI288" s="243"/>
      <c r="AFJ288" s="243"/>
      <c r="AFK288" s="243"/>
      <c r="AFL288" s="243"/>
      <c r="AFM288" s="243"/>
      <c r="AFN288" s="243"/>
      <c r="AFO288" s="243"/>
      <c r="AFP288" s="243"/>
      <c r="AFQ288" s="243"/>
      <c r="AFR288" s="243"/>
      <c r="AFS288" s="243"/>
      <c r="AFT288" s="243"/>
      <c r="AFU288" s="243"/>
      <c r="AFV288" s="243"/>
      <c r="AFW288" s="243"/>
      <c r="AFX288" s="243"/>
      <c r="AFY288" s="243"/>
      <c r="AFZ288" s="243"/>
      <c r="AGA288" s="243"/>
      <c r="AGB288" s="243"/>
      <c r="AGC288" s="243"/>
      <c r="AGD288" s="243"/>
      <c r="AGE288" s="243"/>
      <c r="AGF288" s="243"/>
      <c r="AGG288" s="243"/>
      <c r="AGH288" s="243"/>
      <c r="AGI288" s="243"/>
      <c r="AGJ288" s="243"/>
      <c r="AGK288" s="243"/>
      <c r="AGL288" s="243"/>
      <c r="AGM288" s="243"/>
      <c r="AGN288" s="243"/>
      <c r="AGO288" s="243"/>
      <c r="AGP288" s="243"/>
      <c r="AGQ288" s="243"/>
      <c r="AGR288" s="243"/>
      <c r="AGS288" s="243"/>
      <c r="AGT288" s="243"/>
      <c r="AGU288" s="243"/>
      <c r="AGV288" s="243"/>
      <c r="AGW288" s="243"/>
      <c r="AGX288" s="243"/>
      <c r="AGY288" s="243"/>
      <c r="AGZ288" s="243"/>
      <c r="AHA288" s="243"/>
      <c r="AHB288" s="243"/>
      <c r="AHC288" s="243"/>
      <c r="AHD288" s="243"/>
      <c r="AHE288" s="243"/>
      <c r="AHF288" s="243"/>
      <c r="AHG288" s="243"/>
      <c r="AHH288" s="243"/>
      <c r="AHI288" s="243"/>
      <c r="AHJ288" s="243"/>
      <c r="AHK288" s="243"/>
      <c r="AHL288" s="243"/>
      <c r="AHM288" s="243"/>
      <c r="AHN288" s="243"/>
      <c r="AHO288" s="243"/>
      <c r="AHP288" s="243"/>
      <c r="AHQ288" s="243"/>
      <c r="AHR288" s="243"/>
      <c r="AHS288" s="243"/>
      <c r="AHT288" s="243"/>
      <c r="AHU288" s="243"/>
      <c r="AHV288" s="243"/>
      <c r="AHW288" s="243"/>
      <c r="AHX288" s="243"/>
      <c r="AHY288" s="243"/>
      <c r="AHZ288" s="243"/>
      <c r="AIA288" s="243"/>
      <c r="AIB288" s="243"/>
      <c r="AIC288" s="243"/>
      <c r="AID288" s="243"/>
      <c r="AIE288" s="243"/>
      <c r="AIF288" s="243"/>
      <c r="AIG288" s="243"/>
      <c r="AIH288" s="243"/>
      <c r="AII288" s="243"/>
      <c r="AIJ288" s="243"/>
      <c r="AIK288" s="243"/>
      <c r="AIL288" s="243"/>
      <c r="AIM288" s="243"/>
      <c r="AIN288" s="243"/>
      <c r="AIO288" s="243"/>
      <c r="AIP288" s="243"/>
      <c r="AIQ288" s="243"/>
      <c r="AIR288" s="243"/>
      <c r="AIS288" s="243"/>
      <c r="AIT288" s="243"/>
      <c r="AIU288" s="243"/>
      <c r="AIV288" s="243"/>
      <c r="AIW288" s="243"/>
      <c r="AIX288" s="243"/>
      <c r="AIY288" s="243"/>
      <c r="AIZ288" s="243"/>
      <c r="AJA288" s="243"/>
      <c r="AJB288" s="243"/>
      <c r="AJC288" s="243"/>
      <c r="AJD288" s="243"/>
      <c r="AJE288" s="243"/>
      <c r="AJF288" s="243"/>
      <c r="AJG288" s="243"/>
      <c r="AJH288" s="243"/>
      <c r="AJI288" s="243"/>
      <c r="AJJ288" s="243"/>
      <c r="AJK288" s="243"/>
      <c r="AJL288" s="243"/>
      <c r="AJM288" s="243"/>
      <c r="AJN288" s="243"/>
      <c r="AJO288" s="243"/>
      <c r="AJP288" s="243"/>
      <c r="AJQ288" s="243"/>
      <c r="AJR288" s="243"/>
      <c r="AJS288" s="243"/>
      <c r="AJT288" s="243"/>
      <c r="AJU288" s="243"/>
      <c r="AJV288" s="243"/>
      <c r="AJW288" s="243"/>
      <c r="AJX288" s="243"/>
      <c r="AJY288" s="243"/>
      <c r="AJZ288" s="243"/>
      <c r="AKA288" s="243"/>
      <c r="AKB288" s="243"/>
      <c r="AKC288" s="243"/>
      <c r="AKD288" s="243"/>
      <c r="AKE288" s="243"/>
      <c r="AKF288" s="243"/>
      <c r="AKG288" s="243"/>
      <c r="AKH288" s="243"/>
      <c r="AKI288" s="243"/>
      <c r="AKJ288" s="243"/>
      <c r="AKK288" s="243"/>
      <c r="AKL288" s="243"/>
      <c r="AKM288" s="243"/>
      <c r="AKN288" s="243"/>
      <c r="AKO288" s="243"/>
      <c r="AKP288" s="243"/>
      <c r="AKQ288" s="243"/>
      <c r="AKR288" s="243"/>
      <c r="AKS288" s="243"/>
      <c r="AKT288" s="243"/>
      <c r="AKU288" s="243"/>
      <c r="AKV288" s="243"/>
      <c r="AKW288" s="243"/>
      <c r="AKX288" s="243"/>
      <c r="AKY288" s="243"/>
      <c r="AKZ288" s="243"/>
      <c r="ALA288" s="243"/>
      <c r="ALB288" s="243"/>
      <c r="ALC288" s="243"/>
      <c r="ALD288" s="243"/>
      <c r="ALE288" s="243"/>
      <c r="ALF288" s="243"/>
      <c r="ALG288" s="243"/>
      <c r="ALH288" s="243"/>
      <c r="ALI288" s="243"/>
      <c r="ALJ288" s="243"/>
      <c r="ALK288" s="243"/>
      <c r="ALL288" s="243"/>
      <c r="ALM288" s="243"/>
      <c r="ALN288" s="243"/>
      <c r="ALO288" s="243"/>
      <c r="ALP288" s="243"/>
      <c r="ALQ288" s="243"/>
      <c r="ALR288" s="243"/>
      <c r="ALS288" s="243"/>
      <c r="ALT288" s="243"/>
      <c r="ALU288" s="243"/>
      <c r="ALV288" s="243"/>
      <c r="ALW288" s="243"/>
      <c r="ALX288" s="243"/>
      <c r="ALY288" s="243"/>
      <c r="ALZ288" s="243"/>
      <c r="AMA288" s="243"/>
      <c r="AMB288" s="243"/>
      <c r="AMC288" s="243"/>
      <c r="AMD288" s="243"/>
      <c r="AME288" s="243"/>
      <c r="AMF288" s="243"/>
      <c r="AMG288" s="243"/>
      <c r="AMH288" s="243"/>
      <c r="AMI288" s="244"/>
      <c r="AMJ288" s="244"/>
    </row>
    <row r="289" spans="1:1024">
      <c r="G289" s="455"/>
      <c r="Q289" s="455"/>
    </row>
    <row r="291" spans="1:1024" ht="15" customHeight="1">
      <c r="A291" s="939" t="s">
        <v>199</v>
      </c>
      <c r="B291" s="939"/>
      <c r="C291" s="939"/>
      <c r="D291" s="939"/>
      <c r="E291" s="939"/>
      <c r="F291" s="939"/>
      <c r="G291" s="939"/>
      <c r="H291" s="939"/>
      <c r="I291" s="939" t="s">
        <v>2</v>
      </c>
      <c r="J291" s="939"/>
      <c r="K291" s="939"/>
      <c r="L291" s="939"/>
      <c r="M291" s="939"/>
      <c r="N291" s="939"/>
      <c r="O291" s="939"/>
      <c r="P291" s="939"/>
      <c r="Q291" s="939"/>
      <c r="R291" s="243"/>
      <c r="S291" s="243"/>
      <c r="T291" s="243"/>
      <c r="U291" s="243"/>
      <c r="V291" s="243"/>
      <c r="W291" s="243"/>
      <c r="X291" s="243"/>
      <c r="Y291" s="243"/>
      <c r="Z291" s="243"/>
      <c r="AA291" s="243"/>
      <c r="AB291" s="243"/>
      <c r="AC291" s="243"/>
      <c r="AD291" s="243"/>
      <c r="AE291" s="243"/>
      <c r="AF291" s="243"/>
      <c r="AG291" s="243"/>
      <c r="AH291" s="243"/>
      <c r="AI291" s="243"/>
      <c r="AJ291" s="243"/>
      <c r="AK291" s="243"/>
      <c r="AL291" s="243"/>
      <c r="AM291" s="243"/>
      <c r="AN291" s="243"/>
      <c r="AO291" s="243"/>
      <c r="AP291" s="243"/>
      <c r="AQ291" s="243"/>
      <c r="AR291" s="243"/>
      <c r="AS291" s="243"/>
      <c r="AT291" s="243"/>
      <c r="AU291" s="243"/>
      <c r="AV291" s="243"/>
      <c r="AW291" s="243"/>
      <c r="AX291" s="243"/>
      <c r="AY291" s="243"/>
      <c r="AZ291" s="243"/>
      <c r="BA291" s="243"/>
      <c r="BB291" s="243"/>
      <c r="BC291" s="243"/>
      <c r="BD291" s="243"/>
      <c r="BE291" s="243"/>
      <c r="BF291" s="243"/>
      <c r="BG291" s="243"/>
      <c r="BH291" s="243"/>
      <c r="BI291" s="243"/>
      <c r="BJ291" s="243"/>
      <c r="BK291" s="243"/>
      <c r="BL291" s="243"/>
      <c r="BM291" s="243"/>
      <c r="BN291" s="243"/>
      <c r="BO291" s="243"/>
      <c r="BP291" s="243"/>
      <c r="BQ291" s="243"/>
      <c r="BR291" s="243"/>
      <c r="BS291" s="243"/>
      <c r="BT291" s="243"/>
      <c r="BU291" s="243"/>
      <c r="BV291" s="243"/>
      <c r="BW291" s="243"/>
      <c r="BX291" s="243"/>
      <c r="BY291" s="243"/>
      <c r="BZ291" s="243"/>
      <c r="CA291" s="243"/>
      <c r="CB291" s="243"/>
      <c r="CC291" s="243"/>
      <c r="CD291" s="243"/>
      <c r="CE291" s="243"/>
      <c r="CF291" s="243"/>
      <c r="CG291" s="243"/>
      <c r="CH291" s="243"/>
      <c r="CI291" s="243"/>
      <c r="CJ291" s="243"/>
      <c r="CK291" s="243"/>
      <c r="CL291" s="243"/>
      <c r="CM291" s="243"/>
      <c r="CN291" s="243"/>
      <c r="CO291" s="243"/>
      <c r="CP291" s="243"/>
      <c r="CQ291" s="243"/>
      <c r="CR291" s="243"/>
      <c r="CS291" s="243"/>
      <c r="CT291" s="243"/>
      <c r="CU291" s="243"/>
      <c r="CV291" s="243"/>
      <c r="CW291" s="243"/>
      <c r="CX291" s="243"/>
      <c r="CY291" s="243"/>
      <c r="CZ291" s="243"/>
      <c r="DA291" s="243"/>
      <c r="DB291" s="243"/>
      <c r="DC291" s="243"/>
      <c r="DD291" s="243"/>
      <c r="DE291" s="243"/>
      <c r="DF291" s="243"/>
      <c r="DG291" s="243"/>
      <c r="DH291" s="243"/>
      <c r="DI291" s="243"/>
      <c r="DJ291" s="243"/>
      <c r="DK291" s="243"/>
      <c r="DL291" s="243"/>
      <c r="DM291" s="243"/>
      <c r="DN291" s="243"/>
      <c r="DO291" s="243"/>
      <c r="DP291" s="243"/>
      <c r="DQ291" s="243"/>
      <c r="DR291" s="243"/>
      <c r="DS291" s="243"/>
      <c r="DT291" s="243"/>
      <c r="DU291" s="243"/>
      <c r="DV291" s="243"/>
      <c r="DW291" s="243"/>
      <c r="DX291" s="243"/>
      <c r="DY291" s="243"/>
      <c r="DZ291" s="243"/>
      <c r="EA291" s="243"/>
      <c r="EB291" s="243"/>
      <c r="EC291" s="243"/>
      <c r="ED291" s="243"/>
      <c r="EE291" s="243"/>
      <c r="EF291" s="243"/>
      <c r="EG291" s="243"/>
      <c r="EH291" s="243"/>
      <c r="EI291" s="243"/>
      <c r="EJ291" s="243"/>
      <c r="EK291" s="243"/>
      <c r="EL291" s="243"/>
      <c r="EM291" s="243"/>
      <c r="EN291" s="243"/>
      <c r="EO291" s="243"/>
      <c r="EP291" s="243"/>
      <c r="EQ291" s="243"/>
      <c r="ER291" s="243"/>
      <c r="ES291" s="243"/>
      <c r="ET291" s="243"/>
      <c r="EU291" s="243"/>
      <c r="EV291" s="243"/>
      <c r="EW291" s="243"/>
      <c r="EX291" s="243"/>
      <c r="EY291" s="243"/>
      <c r="EZ291" s="243"/>
      <c r="FA291" s="243"/>
      <c r="FB291" s="243"/>
      <c r="FC291" s="243"/>
      <c r="FD291" s="243"/>
      <c r="FE291" s="243"/>
      <c r="FF291" s="243"/>
      <c r="FG291" s="243"/>
      <c r="FH291" s="243"/>
      <c r="FI291" s="243"/>
      <c r="FJ291" s="243"/>
      <c r="FK291" s="243"/>
      <c r="FL291" s="243"/>
      <c r="FM291" s="243"/>
      <c r="FN291" s="243"/>
      <c r="FO291" s="243"/>
      <c r="FP291" s="243"/>
      <c r="FQ291" s="243"/>
      <c r="FR291" s="243"/>
      <c r="FS291" s="243"/>
      <c r="FT291" s="243"/>
      <c r="FU291" s="243"/>
      <c r="FV291" s="243"/>
      <c r="FW291" s="243"/>
      <c r="FX291" s="243"/>
      <c r="FY291" s="243"/>
      <c r="FZ291" s="243"/>
      <c r="GA291" s="243"/>
      <c r="GB291" s="243"/>
      <c r="GC291" s="243"/>
      <c r="GD291" s="243"/>
      <c r="GE291" s="243"/>
      <c r="GF291" s="243"/>
      <c r="GG291" s="243"/>
      <c r="GH291" s="243"/>
      <c r="GI291" s="243"/>
      <c r="GJ291" s="243"/>
      <c r="GK291" s="243"/>
      <c r="GL291" s="243"/>
      <c r="GM291" s="243"/>
      <c r="GN291" s="243"/>
      <c r="GO291" s="243"/>
      <c r="GP291" s="243"/>
      <c r="GQ291" s="243"/>
      <c r="GR291" s="243"/>
      <c r="GS291" s="243"/>
      <c r="GT291" s="243"/>
      <c r="GU291" s="243"/>
      <c r="GV291" s="243"/>
      <c r="GW291" s="243"/>
      <c r="GX291" s="243"/>
      <c r="GY291" s="243"/>
      <c r="GZ291" s="243"/>
      <c r="HA291" s="243"/>
      <c r="HB291" s="243"/>
      <c r="HC291" s="243"/>
      <c r="HD291" s="243"/>
      <c r="HE291" s="243"/>
      <c r="HF291" s="243"/>
      <c r="HG291" s="243"/>
      <c r="HH291" s="243"/>
      <c r="HI291" s="243"/>
      <c r="HJ291" s="243"/>
      <c r="HK291" s="243"/>
      <c r="HL291" s="243"/>
      <c r="HM291" s="243"/>
      <c r="HN291" s="243"/>
      <c r="HO291" s="243"/>
      <c r="HP291" s="243"/>
      <c r="HQ291" s="243"/>
      <c r="HR291" s="243"/>
      <c r="HS291" s="243"/>
      <c r="HT291" s="243"/>
      <c r="HU291" s="243"/>
      <c r="HV291" s="243"/>
      <c r="HW291" s="243"/>
      <c r="HX291" s="243"/>
      <c r="HY291" s="243"/>
      <c r="HZ291" s="243"/>
      <c r="IA291" s="243"/>
      <c r="IB291" s="243"/>
      <c r="IC291" s="243"/>
      <c r="ID291" s="243"/>
      <c r="IE291" s="243"/>
      <c r="IF291" s="243"/>
      <c r="IG291" s="243"/>
      <c r="IH291" s="243"/>
      <c r="II291" s="243"/>
      <c r="IJ291" s="243"/>
      <c r="IK291" s="243"/>
      <c r="IL291" s="243"/>
      <c r="IM291" s="243"/>
      <c r="IN291" s="243"/>
      <c r="IO291" s="243"/>
      <c r="IP291" s="243"/>
      <c r="IQ291" s="243"/>
      <c r="IR291" s="243"/>
      <c r="IS291" s="243"/>
      <c r="IT291" s="243"/>
      <c r="IU291" s="243"/>
      <c r="IV291" s="243"/>
      <c r="IW291" s="243"/>
      <c r="IX291" s="243"/>
      <c r="IY291" s="243"/>
      <c r="IZ291" s="243"/>
      <c r="JA291" s="243"/>
      <c r="JB291" s="243"/>
      <c r="JC291" s="243"/>
      <c r="JD291" s="243"/>
      <c r="JE291" s="243"/>
      <c r="JF291" s="243"/>
      <c r="JG291" s="243"/>
      <c r="JH291" s="243"/>
      <c r="JI291" s="243"/>
      <c r="JJ291" s="243"/>
      <c r="JK291" s="243"/>
      <c r="JL291" s="243"/>
      <c r="JM291" s="243"/>
      <c r="JN291" s="243"/>
      <c r="JO291" s="243"/>
      <c r="JP291" s="243"/>
      <c r="JQ291" s="243"/>
      <c r="JR291" s="243"/>
      <c r="JS291" s="243"/>
      <c r="JT291" s="243"/>
      <c r="JU291" s="243"/>
      <c r="JV291" s="243"/>
      <c r="JW291" s="243"/>
      <c r="JX291" s="243"/>
      <c r="JY291" s="243"/>
      <c r="JZ291" s="243"/>
      <c r="KA291" s="243"/>
      <c r="KB291" s="243"/>
      <c r="KC291" s="243"/>
      <c r="KD291" s="243"/>
      <c r="KE291" s="243"/>
      <c r="KF291" s="243"/>
      <c r="KG291" s="243"/>
      <c r="KH291" s="243"/>
      <c r="KI291" s="243"/>
      <c r="KJ291" s="243"/>
      <c r="KK291" s="243"/>
      <c r="KL291" s="243"/>
      <c r="KM291" s="243"/>
      <c r="KN291" s="243"/>
      <c r="KO291" s="243"/>
      <c r="KP291" s="243"/>
      <c r="KQ291" s="243"/>
      <c r="KR291" s="243"/>
      <c r="KS291" s="243"/>
      <c r="KT291" s="243"/>
      <c r="KU291" s="243"/>
      <c r="KV291" s="243"/>
      <c r="KW291" s="243"/>
      <c r="KX291" s="243"/>
      <c r="KY291" s="243"/>
      <c r="KZ291" s="243"/>
      <c r="LA291" s="243"/>
      <c r="LB291" s="243"/>
      <c r="LC291" s="243"/>
      <c r="LD291" s="243"/>
      <c r="LE291" s="243"/>
      <c r="LF291" s="243"/>
      <c r="LG291" s="243"/>
      <c r="LH291" s="243"/>
      <c r="LI291" s="243"/>
      <c r="LJ291" s="243"/>
      <c r="LK291" s="243"/>
      <c r="LL291" s="243"/>
      <c r="LM291" s="243"/>
      <c r="LN291" s="243"/>
      <c r="LO291" s="243"/>
      <c r="LP291" s="243"/>
      <c r="LQ291" s="243"/>
      <c r="LR291" s="243"/>
      <c r="LS291" s="243"/>
      <c r="LT291" s="243"/>
      <c r="LU291" s="243"/>
      <c r="LV291" s="243"/>
      <c r="LW291" s="243"/>
      <c r="LX291" s="243"/>
      <c r="LY291" s="243"/>
      <c r="LZ291" s="243"/>
      <c r="MA291" s="243"/>
      <c r="MB291" s="243"/>
      <c r="MC291" s="243"/>
      <c r="MD291" s="243"/>
      <c r="ME291" s="243"/>
      <c r="MF291" s="243"/>
      <c r="MG291" s="243"/>
      <c r="MH291" s="243"/>
      <c r="MI291" s="243"/>
      <c r="MJ291" s="243"/>
      <c r="MK291" s="243"/>
      <c r="ML291" s="243"/>
      <c r="MM291" s="243"/>
      <c r="MN291" s="243"/>
      <c r="MO291" s="243"/>
      <c r="MP291" s="243"/>
      <c r="MQ291" s="243"/>
      <c r="MR291" s="243"/>
      <c r="MS291" s="243"/>
      <c r="MT291" s="243"/>
      <c r="MU291" s="243"/>
      <c r="MV291" s="243"/>
      <c r="MW291" s="243"/>
      <c r="MX291" s="243"/>
      <c r="MY291" s="243"/>
      <c r="MZ291" s="243"/>
      <c r="NA291" s="243"/>
      <c r="NB291" s="243"/>
      <c r="NC291" s="243"/>
      <c r="ND291" s="243"/>
      <c r="NE291" s="243"/>
      <c r="NF291" s="243"/>
      <c r="NG291" s="243"/>
      <c r="NH291" s="243"/>
      <c r="NI291" s="243"/>
      <c r="NJ291" s="243"/>
      <c r="NK291" s="243"/>
      <c r="NL291" s="243"/>
      <c r="NM291" s="243"/>
      <c r="NN291" s="243"/>
      <c r="NO291" s="243"/>
      <c r="NP291" s="243"/>
      <c r="NQ291" s="243"/>
      <c r="NR291" s="243"/>
      <c r="NS291" s="243"/>
      <c r="NT291" s="243"/>
      <c r="NU291" s="243"/>
      <c r="NV291" s="243"/>
      <c r="NW291" s="243"/>
      <c r="NX291" s="243"/>
      <c r="NY291" s="243"/>
      <c r="NZ291" s="243"/>
      <c r="OA291" s="243"/>
      <c r="OB291" s="243"/>
      <c r="OC291" s="243"/>
      <c r="OD291" s="243"/>
      <c r="OE291" s="243"/>
      <c r="OF291" s="243"/>
      <c r="OG291" s="243"/>
      <c r="OH291" s="243"/>
      <c r="OI291" s="243"/>
      <c r="OJ291" s="243"/>
      <c r="OK291" s="243"/>
      <c r="OL291" s="243"/>
      <c r="OM291" s="243"/>
      <c r="ON291" s="243"/>
      <c r="OO291" s="243"/>
      <c r="OP291" s="243"/>
      <c r="OQ291" s="243"/>
      <c r="OR291" s="243"/>
      <c r="OS291" s="243"/>
      <c r="OT291" s="243"/>
      <c r="OU291" s="243"/>
      <c r="OV291" s="243"/>
      <c r="OW291" s="243"/>
      <c r="OX291" s="243"/>
      <c r="OY291" s="243"/>
      <c r="OZ291" s="243"/>
      <c r="PA291" s="243"/>
      <c r="PB291" s="243"/>
      <c r="PC291" s="243"/>
      <c r="PD291" s="243"/>
      <c r="PE291" s="243"/>
      <c r="PF291" s="243"/>
      <c r="PG291" s="243"/>
      <c r="PH291" s="243"/>
      <c r="PI291" s="243"/>
      <c r="PJ291" s="243"/>
      <c r="PK291" s="243"/>
      <c r="PL291" s="243"/>
      <c r="PM291" s="243"/>
      <c r="PN291" s="243"/>
      <c r="PO291" s="243"/>
      <c r="PP291" s="243"/>
      <c r="PQ291" s="243"/>
      <c r="PR291" s="243"/>
      <c r="PS291" s="243"/>
      <c r="PT291" s="243"/>
      <c r="PU291" s="243"/>
      <c r="PV291" s="243"/>
      <c r="PW291" s="243"/>
      <c r="PX291" s="243"/>
      <c r="PY291" s="243"/>
      <c r="PZ291" s="243"/>
      <c r="QA291" s="243"/>
      <c r="QB291" s="243"/>
      <c r="QC291" s="243"/>
      <c r="QD291" s="243"/>
      <c r="QE291" s="243"/>
      <c r="QF291" s="243"/>
      <c r="QG291" s="243"/>
      <c r="QH291" s="243"/>
      <c r="QI291" s="243"/>
      <c r="QJ291" s="243"/>
      <c r="QK291" s="243"/>
      <c r="QL291" s="243"/>
      <c r="QM291" s="243"/>
      <c r="QN291" s="243"/>
      <c r="QO291" s="243"/>
      <c r="QP291" s="243"/>
      <c r="QQ291" s="243"/>
      <c r="QR291" s="243"/>
      <c r="QS291" s="243"/>
      <c r="QT291" s="243"/>
      <c r="QU291" s="243"/>
      <c r="QV291" s="243"/>
      <c r="QW291" s="243"/>
      <c r="QX291" s="243"/>
      <c r="QY291" s="243"/>
      <c r="QZ291" s="243"/>
      <c r="RA291" s="243"/>
      <c r="RB291" s="243"/>
      <c r="RC291" s="243"/>
      <c r="RD291" s="243"/>
      <c r="RE291" s="243"/>
      <c r="RF291" s="243"/>
      <c r="RG291" s="243"/>
      <c r="RH291" s="243"/>
      <c r="RI291" s="243"/>
      <c r="RJ291" s="243"/>
      <c r="RK291" s="243"/>
      <c r="RL291" s="243"/>
      <c r="RM291" s="243"/>
      <c r="RN291" s="243"/>
      <c r="RO291" s="243"/>
      <c r="RP291" s="243"/>
      <c r="RQ291" s="243"/>
      <c r="RR291" s="243"/>
      <c r="RS291" s="243"/>
      <c r="RT291" s="243"/>
      <c r="RU291" s="243"/>
      <c r="RV291" s="243"/>
      <c r="RW291" s="243"/>
      <c r="RX291" s="243"/>
      <c r="RY291" s="243"/>
      <c r="RZ291" s="243"/>
      <c r="SA291" s="243"/>
      <c r="SB291" s="243"/>
      <c r="SC291" s="243"/>
      <c r="SD291" s="243"/>
      <c r="SE291" s="243"/>
      <c r="SF291" s="243"/>
      <c r="SG291" s="243"/>
      <c r="SH291" s="243"/>
      <c r="SI291" s="243"/>
      <c r="SJ291" s="243"/>
      <c r="SK291" s="243"/>
      <c r="SL291" s="243"/>
      <c r="SM291" s="243"/>
      <c r="SN291" s="243"/>
      <c r="SO291" s="243"/>
      <c r="SP291" s="243"/>
      <c r="SQ291" s="243"/>
      <c r="SR291" s="243"/>
      <c r="SS291" s="243"/>
      <c r="ST291" s="243"/>
      <c r="SU291" s="243"/>
      <c r="SV291" s="243"/>
      <c r="SW291" s="243"/>
      <c r="SX291" s="243"/>
      <c r="SY291" s="243"/>
      <c r="SZ291" s="243"/>
      <c r="TA291" s="243"/>
      <c r="TB291" s="243"/>
      <c r="TC291" s="243"/>
      <c r="TD291" s="243"/>
      <c r="TE291" s="243"/>
      <c r="TF291" s="243"/>
      <c r="TG291" s="243"/>
      <c r="TH291" s="243"/>
      <c r="TI291" s="243"/>
      <c r="TJ291" s="243"/>
      <c r="TK291" s="243"/>
      <c r="TL291" s="243"/>
      <c r="TM291" s="243"/>
      <c r="TN291" s="243"/>
      <c r="TO291" s="243"/>
      <c r="TP291" s="243"/>
      <c r="TQ291" s="243"/>
      <c r="TR291" s="243"/>
      <c r="TS291" s="243"/>
      <c r="TT291" s="243"/>
      <c r="TU291" s="243"/>
      <c r="TV291" s="243"/>
      <c r="TW291" s="243"/>
      <c r="TX291" s="243"/>
      <c r="TY291" s="243"/>
      <c r="TZ291" s="243"/>
      <c r="UA291" s="243"/>
      <c r="UB291" s="243"/>
      <c r="UC291" s="243"/>
      <c r="UD291" s="243"/>
      <c r="UE291" s="243"/>
      <c r="UF291" s="243"/>
      <c r="UG291" s="243"/>
      <c r="UH291" s="243"/>
      <c r="UI291" s="243"/>
      <c r="UJ291" s="243"/>
      <c r="UK291" s="243"/>
      <c r="UL291" s="243"/>
      <c r="UM291" s="243"/>
      <c r="UN291" s="243"/>
      <c r="UO291" s="243"/>
      <c r="UP291" s="243"/>
      <c r="UQ291" s="243"/>
      <c r="UR291" s="243"/>
      <c r="US291" s="243"/>
      <c r="UT291" s="243"/>
      <c r="UU291" s="243"/>
      <c r="UV291" s="243"/>
      <c r="UW291" s="243"/>
      <c r="UX291" s="243"/>
      <c r="UY291" s="243"/>
      <c r="UZ291" s="243"/>
      <c r="VA291" s="243"/>
      <c r="VB291" s="243"/>
      <c r="VC291" s="243"/>
      <c r="VD291" s="243"/>
      <c r="VE291" s="243"/>
      <c r="VF291" s="243"/>
      <c r="VG291" s="243"/>
      <c r="VH291" s="243"/>
      <c r="VI291" s="243"/>
      <c r="VJ291" s="243"/>
      <c r="VK291" s="243"/>
      <c r="VL291" s="243"/>
      <c r="VM291" s="243"/>
      <c r="VN291" s="243"/>
      <c r="VO291" s="243"/>
      <c r="VP291" s="243"/>
      <c r="VQ291" s="243"/>
      <c r="VR291" s="243"/>
      <c r="VS291" s="243"/>
      <c r="VT291" s="243"/>
      <c r="VU291" s="243"/>
      <c r="VV291" s="243"/>
      <c r="VW291" s="243"/>
      <c r="VX291" s="243"/>
      <c r="VY291" s="243"/>
      <c r="VZ291" s="243"/>
      <c r="WA291" s="243"/>
      <c r="WB291" s="243"/>
      <c r="WC291" s="243"/>
      <c r="WD291" s="243"/>
      <c r="WE291" s="243"/>
      <c r="WF291" s="243"/>
      <c r="WG291" s="243"/>
      <c r="WH291" s="243"/>
      <c r="WI291" s="243"/>
      <c r="WJ291" s="243"/>
      <c r="WK291" s="243"/>
      <c r="WL291" s="243"/>
      <c r="WM291" s="243"/>
      <c r="WN291" s="243"/>
      <c r="WO291" s="243"/>
      <c r="WP291" s="243"/>
      <c r="WQ291" s="243"/>
      <c r="WR291" s="243"/>
      <c r="WS291" s="243"/>
      <c r="WT291" s="243"/>
      <c r="WU291" s="243"/>
      <c r="WV291" s="243"/>
      <c r="WW291" s="243"/>
      <c r="WX291" s="243"/>
      <c r="WY291" s="243"/>
      <c r="WZ291" s="243"/>
      <c r="XA291" s="243"/>
      <c r="XB291" s="243"/>
      <c r="XC291" s="243"/>
      <c r="XD291" s="243"/>
      <c r="XE291" s="243"/>
      <c r="XF291" s="243"/>
      <c r="XG291" s="243"/>
      <c r="XH291" s="243"/>
      <c r="XI291" s="243"/>
      <c r="XJ291" s="243"/>
      <c r="XK291" s="243"/>
      <c r="XL291" s="243"/>
      <c r="XM291" s="243"/>
      <c r="XN291" s="243"/>
      <c r="XO291" s="243"/>
      <c r="XP291" s="243"/>
      <c r="XQ291" s="243"/>
      <c r="XR291" s="243"/>
      <c r="XS291" s="243"/>
      <c r="XT291" s="243"/>
      <c r="XU291" s="243"/>
      <c r="XV291" s="243"/>
      <c r="XW291" s="243"/>
      <c r="XX291" s="243"/>
      <c r="XY291" s="243"/>
      <c r="XZ291" s="243"/>
      <c r="YA291" s="243"/>
      <c r="YB291" s="243"/>
      <c r="YC291" s="243"/>
      <c r="YD291" s="243"/>
      <c r="YE291" s="243"/>
      <c r="YF291" s="243"/>
      <c r="YG291" s="243"/>
      <c r="YH291" s="243"/>
      <c r="YI291" s="243"/>
      <c r="YJ291" s="243"/>
      <c r="YK291" s="243"/>
      <c r="YL291" s="243"/>
      <c r="YM291" s="243"/>
      <c r="YN291" s="243"/>
      <c r="YO291" s="243"/>
      <c r="YP291" s="243"/>
      <c r="YQ291" s="243"/>
      <c r="YR291" s="243"/>
      <c r="YS291" s="243"/>
      <c r="YT291" s="243"/>
      <c r="YU291" s="243"/>
      <c r="YV291" s="243"/>
      <c r="YW291" s="243"/>
      <c r="YX291" s="243"/>
      <c r="YY291" s="243"/>
      <c r="YZ291" s="243"/>
      <c r="ZA291" s="243"/>
      <c r="ZB291" s="243"/>
      <c r="ZC291" s="243"/>
      <c r="ZD291" s="243"/>
      <c r="ZE291" s="243"/>
      <c r="ZF291" s="243"/>
      <c r="ZG291" s="243"/>
      <c r="ZH291" s="243"/>
      <c r="ZI291" s="243"/>
      <c r="ZJ291" s="243"/>
      <c r="ZK291" s="243"/>
      <c r="ZL291" s="243"/>
      <c r="ZM291" s="243"/>
      <c r="ZN291" s="243"/>
      <c r="ZO291" s="243"/>
      <c r="ZP291" s="243"/>
      <c r="ZQ291" s="243"/>
      <c r="ZR291" s="243"/>
      <c r="ZS291" s="243"/>
      <c r="ZT291" s="243"/>
      <c r="ZU291" s="243"/>
      <c r="ZV291" s="243"/>
      <c r="ZW291" s="243"/>
      <c r="ZX291" s="243"/>
      <c r="ZY291" s="243"/>
      <c r="ZZ291" s="243"/>
      <c r="AAA291" s="243"/>
      <c r="AAB291" s="243"/>
      <c r="AAC291" s="243"/>
      <c r="AAD291" s="243"/>
      <c r="AAE291" s="243"/>
      <c r="AAF291" s="243"/>
      <c r="AAG291" s="243"/>
      <c r="AAH291" s="243"/>
      <c r="AAI291" s="243"/>
      <c r="AAJ291" s="243"/>
      <c r="AAK291" s="243"/>
      <c r="AAL291" s="243"/>
      <c r="AAM291" s="243"/>
      <c r="AAN291" s="243"/>
      <c r="AAO291" s="243"/>
      <c r="AAP291" s="243"/>
      <c r="AAQ291" s="243"/>
      <c r="AAR291" s="243"/>
      <c r="AAS291" s="243"/>
      <c r="AAT291" s="243"/>
      <c r="AAU291" s="243"/>
      <c r="AAV291" s="243"/>
      <c r="AAW291" s="243"/>
      <c r="AAX291" s="243"/>
      <c r="AAY291" s="243"/>
      <c r="AAZ291" s="243"/>
      <c r="ABA291" s="243"/>
      <c r="ABB291" s="243"/>
      <c r="ABC291" s="243"/>
      <c r="ABD291" s="243"/>
      <c r="ABE291" s="243"/>
      <c r="ABF291" s="243"/>
      <c r="ABG291" s="243"/>
      <c r="ABH291" s="243"/>
      <c r="ABI291" s="243"/>
      <c r="ABJ291" s="243"/>
      <c r="ABK291" s="243"/>
      <c r="ABL291" s="243"/>
      <c r="ABM291" s="243"/>
      <c r="ABN291" s="243"/>
      <c r="ABO291" s="243"/>
      <c r="ABP291" s="243"/>
      <c r="ABQ291" s="243"/>
      <c r="ABR291" s="243"/>
      <c r="ABS291" s="243"/>
      <c r="ABT291" s="243"/>
      <c r="ABU291" s="243"/>
      <c r="ABV291" s="243"/>
      <c r="ABW291" s="243"/>
      <c r="ABX291" s="243"/>
      <c r="ABY291" s="243"/>
      <c r="ABZ291" s="243"/>
      <c r="ACA291" s="243"/>
      <c r="ACB291" s="243"/>
      <c r="ACC291" s="243"/>
      <c r="ACD291" s="243"/>
      <c r="ACE291" s="243"/>
      <c r="ACF291" s="243"/>
      <c r="ACG291" s="243"/>
      <c r="ACH291" s="243"/>
      <c r="ACI291" s="243"/>
      <c r="ACJ291" s="243"/>
      <c r="ACK291" s="243"/>
      <c r="ACL291" s="243"/>
      <c r="ACM291" s="243"/>
      <c r="ACN291" s="243"/>
      <c r="ACO291" s="243"/>
      <c r="ACP291" s="243"/>
      <c r="ACQ291" s="243"/>
      <c r="ACR291" s="243"/>
      <c r="ACS291" s="243"/>
      <c r="ACT291" s="243"/>
      <c r="ACU291" s="243"/>
      <c r="ACV291" s="243"/>
      <c r="ACW291" s="243"/>
      <c r="ACX291" s="243"/>
      <c r="ACY291" s="243"/>
      <c r="ACZ291" s="243"/>
      <c r="ADA291" s="243"/>
      <c r="ADB291" s="243"/>
      <c r="ADC291" s="243"/>
      <c r="ADD291" s="243"/>
      <c r="ADE291" s="243"/>
      <c r="ADF291" s="243"/>
      <c r="ADG291" s="243"/>
      <c r="ADH291" s="243"/>
      <c r="ADI291" s="243"/>
      <c r="ADJ291" s="243"/>
      <c r="ADK291" s="243"/>
      <c r="ADL291" s="243"/>
      <c r="ADM291" s="243"/>
      <c r="ADN291" s="243"/>
      <c r="ADO291" s="243"/>
      <c r="ADP291" s="243"/>
      <c r="ADQ291" s="243"/>
      <c r="ADR291" s="243"/>
      <c r="ADS291" s="243"/>
      <c r="ADT291" s="243"/>
      <c r="ADU291" s="243"/>
      <c r="ADV291" s="243"/>
      <c r="ADW291" s="243"/>
      <c r="ADX291" s="243"/>
      <c r="ADY291" s="243"/>
      <c r="ADZ291" s="243"/>
      <c r="AEA291" s="243"/>
      <c r="AEB291" s="243"/>
      <c r="AEC291" s="243"/>
      <c r="AED291" s="243"/>
      <c r="AEE291" s="243"/>
      <c r="AEF291" s="243"/>
      <c r="AEG291" s="243"/>
      <c r="AEH291" s="243"/>
      <c r="AEI291" s="243"/>
      <c r="AEJ291" s="243"/>
      <c r="AEK291" s="243"/>
      <c r="AEL291" s="243"/>
      <c r="AEM291" s="243"/>
      <c r="AEN291" s="243"/>
      <c r="AEO291" s="243"/>
      <c r="AEP291" s="243"/>
      <c r="AEQ291" s="243"/>
      <c r="AER291" s="243"/>
      <c r="AES291" s="243"/>
      <c r="AET291" s="243"/>
      <c r="AEU291" s="243"/>
      <c r="AEV291" s="243"/>
      <c r="AEW291" s="243"/>
      <c r="AEX291" s="243"/>
      <c r="AEY291" s="243"/>
      <c r="AEZ291" s="243"/>
      <c r="AFA291" s="243"/>
      <c r="AFB291" s="243"/>
      <c r="AFC291" s="243"/>
      <c r="AFD291" s="243"/>
      <c r="AFE291" s="243"/>
      <c r="AFF291" s="243"/>
      <c r="AFG291" s="243"/>
      <c r="AFH291" s="243"/>
      <c r="AFI291" s="243"/>
      <c r="AFJ291" s="243"/>
      <c r="AFK291" s="243"/>
      <c r="AFL291" s="243"/>
      <c r="AFM291" s="243"/>
      <c r="AFN291" s="243"/>
      <c r="AFO291" s="243"/>
      <c r="AFP291" s="243"/>
      <c r="AFQ291" s="243"/>
      <c r="AFR291" s="243"/>
      <c r="AFS291" s="243"/>
      <c r="AFT291" s="243"/>
      <c r="AFU291" s="243"/>
      <c r="AFV291" s="243"/>
      <c r="AFW291" s="243"/>
      <c r="AFX291" s="243"/>
      <c r="AFY291" s="243"/>
      <c r="AFZ291" s="243"/>
      <c r="AGA291" s="243"/>
      <c r="AGB291" s="243"/>
      <c r="AGC291" s="243"/>
      <c r="AGD291" s="243"/>
      <c r="AGE291" s="243"/>
      <c r="AGF291" s="243"/>
      <c r="AGG291" s="243"/>
      <c r="AGH291" s="243"/>
      <c r="AGI291" s="243"/>
      <c r="AGJ291" s="243"/>
      <c r="AGK291" s="243"/>
      <c r="AGL291" s="243"/>
      <c r="AGM291" s="243"/>
      <c r="AGN291" s="243"/>
      <c r="AGO291" s="243"/>
      <c r="AGP291" s="243"/>
      <c r="AGQ291" s="243"/>
      <c r="AGR291" s="243"/>
      <c r="AGS291" s="243"/>
      <c r="AGT291" s="243"/>
      <c r="AGU291" s="243"/>
      <c r="AGV291" s="243"/>
      <c r="AGW291" s="243"/>
      <c r="AGX291" s="243"/>
      <c r="AGY291" s="243"/>
      <c r="AGZ291" s="243"/>
      <c r="AHA291" s="243"/>
      <c r="AHB291" s="243"/>
      <c r="AHC291" s="243"/>
      <c r="AHD291" s="243"/>
      <c r="AHE291" s="243"/>
      <c r="AHF291" s="243"/>
      <c r="AHG291" s="243"/>
      <c r="AHH291" s="243"/>
      <c r="AHI291" s="243"/>
      <c r="AHJ291" s="243"/>
      <c r="AHK291" s="243"/>
      <c r="AHL291" s="243"/>
      <c r="AHM291" s="243"/>
      <c r="AHN291" s="243"/>
      <c r="AHO291" s="243"/>
      <c r="AHP291" s="243"/>
      <c r="AHQ291" s="243"/>
      <c r="AHR291" s="243"/>
      <c r="AHS291" s="243"/>
      <c r="AHT291" s="243"/>
      <c r="AHU291" s="243"/>
      <c r="AHV291" s="243"/>
      <c r="AHW291" s="243"/>
      <c r="AHX291" s="243"/>
      <c r="AHY291" s="243"/>
      <c r="AHZ291" s="243"/>
      <c r="AIA291" s="243"/>
      <c r="AIB291" s="243"/>
      <c r="AIC291" s="243"/>
      <c r="AID291" s="243"/>
      <c r="AIE291" s="243"/>
      <c r="AIF291" s="243"/>
      <c r="AIG291" s="243"/>
      <c r="AIH291" s="243"/>
      <c r="AII291" s="243"/>
      <c r="AIJ291" s="243"/>
      <c r="AIK291" s="243"/>
      <c r="AIL291" s="243"/>
      <c r="AIM291" s="243"/>
      <c r="AIN291" s="243"/>
      <c r="AIO291" s="243"/>
      <c r="AIP291" s="243"/>
      <c r="AIQ291" s="243"/>
      <c r="AIR291" s="243"/>
      <c r="AIS291" s="243"/>
      <c r="AIT291" s="243"/>
      <c r="AIU291" s="243"/>
      <c r="AIV291" s="243"/>
      <c r="AIW291" s="243"/>
      <c r="AIX291" s="243"/>
      <c r="AIY291" s="243"/>
      <c r="AIZ291" s="243"/>
      <c r="AJA291" s="243"/>
      <c r="AJB291" s="243"/>
      <c r="AJC291" s="243"/>
      <c r="AJD291" s="243"/>
      <c r="AJE291" s="243"/>
      <c r="AJF291" s="243"/>
      <c r="AJG291" s="243"/>
      <c r="AJH291" s="243"/>
      <c r="AJI291" s="243"/>
      <c r="AJJ291" s="243"/>
      <c r="AJK291" s="243"/>
      <c r="AJL291" s="243"/>
      <c r="AJM291" s="243"/>
      <c r="AJN291" s="243"/>
      <c r="AJO291" s="243"/>
      <c r="AJP291" s="243"/>
      <c r="AJQ291" s="243"/>
      <c r="AJR291" s="243"/>
      <c r="AJS291" s="243"/>
      <c r="AJT291" s="243"/>
      <c r="AJU291" s="243"/>
      <c r="AJV291" s="243"/>
      <c r="AJW291" s="243"/>
      <c r="AJX291" s="243"/>
      <c r="AJY291" s="243"/>
      <c r="AJZ291" s="243"/>
      <c r="AKA291" s="243"/>
      <c r="AKB291" s="243"/>
      <c r="AKC291" s="243"/>
      <c r="AKD291" s="243"/>
      <c r="AKE291" s="243"/>
      <c r="AKF291" s="243"/>
      <c r="AKG291" s="243"/>
      <c r="AKH291" s="243"/>
      <c r="AKI291" s="243"/>
      <c r="AKJ291" s="243"/>
      <c r="AKK291" s="243"/>
      <c r="AKL291" s="243"/>
      <c r="AKM291" s="243"/>
      <c r="AKN291" s="243"/>
      <c r="AKO291" s="243"/>
      <c r="AKP291" s="243"/>
      <c r="AKQ291" s="243"/>
      <c r="AKR291" s="243"/>
      <c r="AKS291" s="243"/>
      <c r="AKT291" s="243"/>
      <c r="AKU291" s="243"/>
      <c r="AKV291" s="243"/>
      <c r="AKW291" s="243"/>
      <c r="AKX291" s="243"/>
      <c r="AKY291" s="243"/>
      <c r="AKZ291" s="243"/>
      <c r="ALA291" s="243"/>
      <c r="ALB291" s="243"/>
      <c r="ALC291" s="243"/>
      <c r="ALD291" s="243"/>
      <c r="ALE291" s="243"/>
      <c r="ALF291" s="243"/>
      <c r="ALG291" s="243"/>
      <c r="ALH291" s="243"/>
      <c r="ALI291" s="243"/>
      <c r="ALJ291" s="243"/>
      <c r="ALK291" s="243"/>
      <c r="ALL291" s="243"/>
      <c r="ALM291" s="243"/>
      <c r="ALN291" s="243"/>
      <c r="ALO291" s="243"/>
      <c r="ALP291" s="243"/>
      <c r="ALQ291" s="243"/>
      <c r="ALR291" s="243"/>
      <c r="ALS291" s="243"/>
      <c r="ALT291" s="243"/>
      <c r="ALU291" s="243"/>
      <c r="ALV291" s="243"/>
      <c r="ALW291" s="243"/>
      <c r="ALX291" s="243"/>
      <c r="ALY291" s="243"/>
      <c r="ALZ291" s="243"/>
      <c r="AMA291" s="243"/>
      <c r="AMB291" s="243"/>
      <c r="AMC291" s="243"/>
      <c r="AMD291" s="243"/>
      <c r="AME291" s="243"/>
      <c r="AMF291" s="243"/>
      <c r="AMG291" s="243"/>
      <c r="AMH291" s="243"/>
      <c r="AMI291" s="244"/>
      <c r="AMJ291" s="244"/>
    </row>
    <row r="292" spans="1:1024" ht="18">
      <c r="A292" s="457" t="s">
        <v>3</v>
      </c>
      <c r="B292" s="457" t="s">
        <v>4</v>
      </c>
      <c r="C292" s="457" t="s">
        <v>115</v>
      </c>
      <c r="D292" s="457" t="s">
        <v>6</v>
      </c>
      <c r="E292" s="457" t="s">
        <v>29</v>
      </c>
      <c r="F292" s="457" t="s">
        <v>8</v>
      </c>
      <c r="G292" s="457" t="s">
        <v>9</v>
      </c>
      <c r="H292" s="457" t="s">
        <v>116</v>
      </c>
      <c r="I292" s="457" t="s">
        <v>12</v>
      </c>
      <c r="J292" s="457" t="s">
        <v>117</v>
      </c>
      <c r="K292" s="457" t="s">
        <v>118</v>
      </c>
      <c r="L292" s="457"/>
      <c r="M292" s="457" t="s">
        <v>4</v>
      </c>
      <c r="N292" s="457" t="s">
        <v>6</v>
      </c>
      <c r="O292" s="457" t="s">
        <v>29</v>
      </c>
      <c r="P292" s="457" t="s">
        <v>8</v>
      </c>
      <c r="Q292" s="457" t="s">
        <v>120</v>
      </c>
      <c r="R292" s="243"/>
      <c r="S292" s="243"/>
      <c r="T292" s="243"/>
      <c r="U292" s="243"/>
      <c r="V292" s="243"/>
      <c r="W292" s="243"/>
      <c r="X292" s="243"/>
      <c r="Y292" s="243"/>
      <c r="Z292" s="243"/>
      <c r="AA292" s="243"/>
      <c r="AB292" s="243"/>
      <c r="AC292" s="243"/>
      <c r="AD292" s="243"/>
      <c r="AE292" s="243"/>
      <c r="AF292" s="243"/>
      <c r="AG292" s="243"/>
      <c r="AH292" s="243"/>
      <c r="AI292" s="243"/>
      <c r="AJ292" s="243"/>
      <c r="AK292" s="243"/>
      <c r="AL292" s="243"/>
      <c r="AM292" s="243"/>
      <c r="AN292" s="243"/>
      <c r="AO292" s="243"/>
      <c r="AP292" s="243"/>
      <c r="AQ292" s="243"/>
      <c r="AR292" s="243"/>
      <c r="AS292" s="243"/>
      <c r="AT292" s="243"/>
      <c r="AU292" s="243"/>
      <c r="AV292" s="243"/>
      <c r="AW292" s="243"/>
      <c r="AX292" s="243"/>
      <c r="AY292" s="243"/>
      <c r="AZ292" s="243"/>
      <c r="BA292" s="243"/>
      <c r="BB292" s="243"/>
      <c r="BC292" s="243"/>
      <c r="BD292" s="243"/>
      <c r="BE292" s="243"/>
      <c r="BF292" s="243"/>
      <c r="BG292" s="243"/>
      <c r="BH292" s="243"/>
      <c r="BI292" s="243"/>
      <c r="BJ292" s="243"/>
      <c r="BK292" s="243"/>
      <c r="BL292" s="243"/>
      <c r="BM292" s="243"/>
      <c r="BN292" s="243"/>
      <c r="BO292" s="243"/>
      <c r="BP292" s="243"/>
      <c r="BQ292" s="243"/>
      <c r="BR292" s="243"/>
      <c r="BS292" s="243"/>
      <c r="BT292" s="243"/>
      <c r="BU292" s="243"/>
      <c r="BV292" s="243"/>
      <c r="BW292" s="243"/>
      <c r="BX292" s="243"/>
      <c r="BY292" s="243"/>
      <c r="BZ292" s="243"/>
      <c r="CA292" s="243"/>
      <c r="CB292" s="243"/>
      <c r="CC292" s="243"/>
      <c r="CD292" s="243"/>
      <c r="CE292" s="243"/>
      <c r="CF292" s="243"/>
      <c r="CG292" s="243"/>
      <c r="CH292" s="243"/>
      <c r="CI292" s="243"/>
      <c r="CJ292" s="243"/>
      <c r="CK292" s="243"/>
      <c r="CL292" s="243"/>
      <c r="CM292" s="243"/>
      <c r="CN292" s="243"/>
      <c r="CO292" s="243"/>
      <c r="CP292" s="243"/>
      <c r="CQ292" s="243"/>
      <c r="CR292" s="243"/>
      <c r="CS292" s="243"/>
      <c r="CT292" s="243"/>
      <c r="CU292" s="243"/>
      <c r="CV292" s="243"/>
      <c r="CW292" s="243"/>
      <c r="CX292" s="243"/>
      <c r="CY292" s="243"/>
      <c r="CZ292" s="243"/>
      <c r="DA292" s="243"/>
      <c r="DB292" s="243"/>
      <c r="DC292" s="243"/>
      <c r="DD292" s="243"/>
      <c r="DE292" s="243"/>
      <c r="DF292" s="243"/>
      <c r="DG292" s="243"/>
      <c r="DH292" s="243"/>
      <c r="DI292" s="243"/>
      <c r="DJ292" s="243"/>
      <c r="DK292" s="243"/>
      <c r="DL292" s="243"/>
      <c r="DM292" s="243"/>
      <c r="DN292" s="243"/>
      <c r="DO292" s="243"/>
      <c r="DP292" s="243"/>
      <c r="DQ292" s="243"/>
      <c r="DR292" s="243"/>
      <c r="DS292" s="243"/>
      <c r="DT292" s="243"/>
      <c r="DU292" s="243"/>
      <c r="DV292" s="243"/>
      <c r="DW292" s="243"/>
      <c r="DX292" s="243"/>
      <c r="DY292" s="243"/>
      <c r="DZ292" s="243"/>
      <c r="EA292" s="243"/>
      <c r="EB292" s="243"/>
      <c r="EC292" s="243"/>
      <c r="ED292" s="243"/>
      <c r="EE292" s="243"/>
      <c r="EF292" s="243"/>
      <c r="EG292" s="243"/>
      <c r="EH292" s="243"/>
      <c r="EI292" s="243"/>
      <c r="EJ292" s="243"/>
      <c r="EK292" s="243"/>
      <c r="EL292" s="243"/>
      <c r="EM292" s="243"/>
      <c r="EN292" s="243"/>
      <c r="EO292" s="243"/>
      <c r="EP292" s="243"/>
      <c r="EQ292" s="243"/>
      <c r="ER292" s="243"/>
      <c r="ES292" s="243"/>
      <c r="ET292" s="243"/>
      <c r="EU292" s="243"/>
      <c r="EV292" s="243"/>
      <c r="EW292" s="243"/>
      <c r="EX292" s="243"/>
      <c r="EY292" s="243"/>
      <c r="EZ292" s="243"/>
      <c r="FA292" s="243"/>
      <c r="FB292" s="243"/>
      <c r="FC292" s="243"/>
      <c r="FD292" s="243"/>
      <c r="FE292" s="243"/>
      <c r="FF292" s="243"/>
      <c r="FG292" s="243"/>
      <c r="FH292" s="243"/>
      <c r="FI292" s="243"/>
      <c r="FJ292" s="243"/>
      <c r="FK292" s="243"/>
      <c r="FL292" s="243"/>
      <c r="FM292" s="243"/>
      <c r="FN292" s="243"/>
      <c r="FO292" s="243"/>
      <c r="FP292" s="243"/>
      <c r="FQ292" s="243"/>
      <c r="FR292" s="243"/>
      <c r="FS292" s="243"/>
      <c r="FT292" s="243"/>
      <c r="FU292" s="243"/>
      <c r="FV292" s="243"/>
      <c r="FW292" s="243"/>
      <c r="FX292" s="243"/>
      <c r="FY292" s="243"/>
      <c r="FZ292" s="243"/>
      <c r="GA292" s="243"/>
      <c r="GB292" s="243"/>
      <c r="GC292" s="243"/>
      <c r="GD292" s="243"/>
      <c r="GE292" s="243"/>
      <c r="GF292" s="243"/>
      <c r="GG292" s="243"/>
      <c r="GH292" s="243"/>
      <c r="GI292" s="243"/>
      <c r="GJ292" s="243"/>
      <c r="GK292" s="243"/>
      <c r="GL292" s="243"/>
      <c r="GM292" s="243"/>
      <c r="GN292" s="243"/>
      <c r="GO292" s="243"/>
      <c r="GP292" s="243"/>
      <c r="GQ292" s="243"/>
      <c r="GR292" s="243"/>
      <c r="GS292" s="243"/>
      <c r="GT292" s="243"/>
      <c r="GU292" s="243"/>
      <c r="GV292" s="243"/>
      <c r="GW292" s="243"/>
      <c r="GX292" s="243"/>
      <c r="GY292" s="243"/>
      <c r="GZ292" s="243"/>
      <c r="HA292" s="243"/>
      <c r="HB292" s="243"/>
      <c r="HC292" s="243"/>
      <c r="HD292" s="243"/>
      <c r="HE292" s="243"/>
      <c r="HF292" s="243"/>
      <c r="HG292" s="243"/>
      <c r="HH292" s="243"/>
      <c r="HI292" s="243"/>
      <c r="HJ292" s="243"/>
      <c r="HK292" s="243"/>
      <c r="HL292" s="243"/>
      <c r="HM292" s="243"/>
      <c r="HN292" s="243"/>
      <c r="HO292" s="243"/>
      <c r="HP292" s="243"/>
      <c r="HQ292" s="243"/>
      <c r="HR292" s="243"/>
      <c r="HS292" s="243"/>
      <c r="HT292" s="243"/>
      <c r="HU292" s="243"/>
      <c r="HV292" s="243"/>
      <c r="HW292" s="243"/>
      <c r="HX292" s="243"/>
      <c r="HY292" s="243"/>
      <c r="HZ292" s="243"/>
      <c r="IA292" s="243"/>
      <c r="IB292" s="243"/>
      <c r="IC292" s="243"/>
      <c r="ID292" s="243"/>
      <c r="IE292" s="243"/>
      <c r="IF292" s="243"/>
      <c r="IG292" s="243"/>
      <c r="IH292" s="243"/>
      <c r="II292" s="243"/>
      <c r="IJ292" s="243"/>
      <c r="IK292" s="243"/>
      <c r="IL292" s="243"/>
      <c r="IM292" s="243"/>
      <c r="IN292" s="243"/>
      <c r="IO292" s="243"/>
      <c r="IP292" s="243"/>
      <c r="IQ292" s="243"/>
      <c r="IR292" s="243"/>
      <c r="IS292" s="243"/>
      <c r="IT292" s="243"/>
      <c r="IU292" s="243"/>
      <c r="IV292" s="243"/>
      <c r="IW292" s="243"/>
      <c r="IX292" s="243"/>
      <c r="IY292" s="243"/>
      <c r="IZ292" s="243"/>
      <c r="JA292" s="243"/>
      <c r="JB292" s="243"/>
      <c r="JC292" s="243"/>
      <c r="JD292" s="243"/>
      <c r="JE292" s="243"/>
      <c r="JF292" s="243"/>
      <c r="JG292" s="243"/>
      <c r="JH292" s="243"/>
      <c r="JI292" s="243"/>
      <c r="JJ292" s="243"/>
      <c r="JK292" s="243"/>
      <c r="JL292" s="243"/>
      <c r="JM292" s="243"/>
      <c r="JN292" s="243"/>
      <c r="JO292" s="243"/>
      <c r="JP292" s="243"/>
      <c r="JQ292" s="243"/>
      <c r="JR292" s="243"/>
      <c r="JS292" s="243"/>
      <c r="JT292" s="243"/>
      <c r="JU292" s="243"/>
      <c r="JV292" s="243"/>
      <c r="JW292" s="243"/>
      <c r="JX292" s="243"/>
      <c r="JY292" s="243"/>
      <c r="JZ292" s="243"/>
      <c r="KA292" s="243"/>
      <c r="KB292" s="243"/>
      <c r="KC292" s="243"/>
      <c r="KD292" s="243"/>
      <c r="KE292" s="243"/>
      <c r="KF292" s="243"/>
      <c r="KG292" s="243"/>
      <c r="KH292" s="243"/>
      <c r="KI292" s="243"/>
      <c r="KJ292" s="243"/>
      <c r="KK292" s="243"/>
      <c r="KL292" s="243"/>
      <c r="KM292" s="243"/>
      <c r="KN292" s="243"/>
      <c r="KO292" s="243"/>
      <c r="KP292" s="243"/>
      <c r="KQ292" s="243"/>
      <c r="KR292" s="243"/>
      <c r="KS292" s="243"/>
      <c r="KT292" s="243"/>
      <c r="KU292" s="243"/>
      <c r="KV292" s="243"/>
      <c r="KW292" s="243"/>
      <c r="KX292" s="243"/>
      <c r="KY292" s="243"/>
      <c r="KZ292" s="243"/>
      <c r="LA292" s="243"/>
      <c r="LB292" s="243"/>
      <c r="LC292" s="243"/>
      <c r="LD292" s="243"/>
      <c r="LE292" s="243"/>
      <c r="LF292" s="243"/>
      <c r="LG292" s="243"/>
      <c r="LH292" s="243"/>
      <c r="LI292" s="243"/>
      <c r="LJ292" s="243"/>
      <c r="LK292" s="243"/>
      <c r="LL292" s="243"/>
      <c r="LM292" s="243"/>
      <c r="LN292" s="243"/>
      <c r="LO292" s="243"/>
      <c r="LP292" s="243"/>
      <c r="LQ292" s="243"/>
      <c r="LR292" s="243"/>
      <c r="LS292" s="243"/>
      <c r="LT292" s="243"/>
      <c r="LU292" s="243"/>
      <c r="LV292" s="243"/>
      <c r="LW292" s="243"/>
      <c r="LX292" s="243"/>
      <c r="LY292" s="243"/>
      <c r="LZ292" s="243"/>
      <c r="MA292" s="243"/>
      <c r="MB292" s="243"/>
      <c r="MC292" s="243"/>
      <c r="MD292" s="243"/>
      <c r="ME292" s="243"/>
      <c r="MF292" s="243"/>
      <c r="MG292" s="243"/>
      <c r="MH292" s="243"/>
      <c r="MI292" s="243"/>
      <c r="MJ292" s="243"/>
      <c r="MK292" s="243"/>
      <c r="ML292" s="243"/>
      <c r="MM292" s="243"/>
      <c r="MN292" s="243"/>
      <c r="MO292" s="243"/>
      <c r="MP292" s="243"/>
      <c r="MQ292" s="243"/>
      <c r="MR292" s="243"/>
      <c r="MS292" s="243"/>
      <c r="MT292" s="243"/>
      <c r="MU292" s="243"/>
      <c r="MV292" s="243"/>
      <c r="MW292" s="243"/>
      <c r="MX292" s="243"/>
      <c r="MY292" s="243"/>
      <c r="MZ292" s="243"/>
      <c r="NA292" s="243"/>
      <c r="NB292" s="243"/>
      <c r="NC292" s="243"/>
      <c r="ND292" s="243"/>
      <c r="NE292" s="243"/>
      <c r="NF292" s="243"/>
      <c r="NG292" s="243"/>
      <c r="NH292" s="243"/>
      <c r="NI292" s="243"/>
      <c r="NJ292" s="243"/>
      <c r="NK292" s="243"/>
      <c r="NL292" s="243"/>
      <c r="NM292" s="243"/>
      <c r="NN292" s="243"/>
      <c r="NO292" s="243"/>
      <c r="NP292" s="243"/>
      <c r="NQ292" s="243"/>
      <c r="NR292" s="243"/>
      <c r="NS292" s="243"/>
      <c r="NT292" s="243"/>
      <c r="NU292" s="243"/>
      <c r="NV292" s="243"/>
      <c r="NW292" s="243"/>
      <c r="NX292" s="243"/>
      <c r="NY292" s="243"/>
      <c r="NZ292" s="243"/>
      <c r="OA292" s="243"/>
      <c r="OB292" s="243"/>
      <c r="OC292" s="243"/>
      <c r="OD292" s="243"/>
      <c r="OE292" s="243"/>
      <c r="OF292" s="243"/>
      <c r="OG292" s="243"/>
      <c r="OH292" s="243"/>
      <c r="OI292" s="243"/>
      <c r="OJ292" s="243"/>
      <c r="OK292" s="243"/>
      <c r="OL292" s="243"/>
      <c r="OM292" s="243"/>
      <c r="ON292" s="243"/>
      <c r="OO292" s="243"/>
      <c r="OP292" s="243"/>
      <c r="OQ292" s="243"/>
      <c r="OR292" s="243"/>
      <c r="OS292" s="243"/>
      <c r="OT292" s="243"/>
      <c r="OU292" s="243"/>
      <c r="OV292" s="243"/>
      <c r="OW292" s="243"/>
      <c r="OX292" s="243"/>
      <c r="OY292" s="243"/>
      <c r="OZ292" s="243"/>
      <c r="PA292" s="243"/>
      <c r="PB292" s="243"/>
      <c r="PC292" s="243"/>
      <c r="PD292" s="243"/>
      <c r="PE292" s="243"/>
      <c r="PF292" s="243"/>
      <c r="PG292" s="243"/>
      <c r="PH292" s="243"/>
      <c r="PI292" s="243"/>
      <c r="PJ292" s="243"/>
      <c r="PK292" s="243"/>
      <c r="PL292" s="243"/>
      <c r="PM292" s="243"/>
      <c r="PN292" s="243"/>
      <c r="PO292" s="243"/>
      <c r="PP292" s="243"/>
      <c r="PQ292" s="243"/>
      <c r="PR292" s="243"/>
      <c r="PS292" s="243"/>
      <c r="PT292" s="243"/>
      <c r="PU292" s="243"/>
      <c r="PV292" s="243"/>
      <c r="PW292" s="243"/>
      <c r="PX292" s="243"/>
      <c r="PY292" s="243"/>
      <c r="PZ292" s="243"/>
      <c r="QA292" s="243"/>
      <c r="QB292" s="243"/>
      <c r="QC292" s="243"/>
      <c r="QD292" s="243"/>
      <c r="QE292" s="243"/>
      <c r="QF292" s="243"/>
      <c r="QG292" s="243"/>
      <c r="QH292" s="243"/>
      <c r="QI292" s="243"/>
      <c r="QJ292" s="243"/>
      <c r="QK292" s="243"/>
      <c r="QL292" s="243"/>
      <c r="QM292" s="243"/>
      <c r="QN292" s="243"/>
      <c r="QO292" s="243"/>
      <c r="QP292" s="243"/>
      <c r="QQ292" s="243"/>
      <c r="QR292" s="243"/>
      <c r="QS292" s="243"/>
      <c r="QT292" s="243"/>
      <c r="QU292" s="243"/>
      <c r="QV292" s="243"/>
      <c r="QW292" s="243"/>
      <c r="QX292" s="243"/>
      <c r="QY292" s="243"/>
      <c r="QZ292" s="243"/>
      <c r="RA292" s="243"/>
      <c r="RB292" s="243"/>
      <c r="RC292" s="243"/>
      <c r="RD292" s="243"/>
      <c r="RE292" s="243"/>
      <c r="RF292" s="243"/>
      <c r="RG292" s="243"/>
      <c r="RH292" s="243"/>
      <c r="RI292" s="243"/>
      <c r="RJ292" s="243"/>
      <c r="RK292" s="243"/>
      <c r="RL292" s="243"/>
      <c r="RM292" s="243"/>
      <c r="RN292" s="243"/>
      <c r="RO292" s="243"/>
      <c r="RP292" s="243"/>
      <c r="RQ292" s="243"/>
      <c r="RR292" s="243"/>
      <c r="RS292" s="243"/>
      <c r="RT292" s="243"/>
      <c r="RU292" s="243"/>
      <c r="RV292" s="243"/>
      <c r="RW292" s="243"/>
      <c r="RX292" s="243"/>
      <c r="RY292" s="243"/>
      <c r="RZ292" s="243"/>
      <c r="SA292" s="243"/>
      <c r="SB292" s="243"/>
      <c r="SC292" s="243"/>
      <c r="SD292" s="243"/>
      <c r="SE292" s="243"/>
      <c r="SF292" s="243"/>
      <c r="SG292" s="243"/>
      <c r="SH292" s="243"/>
      <c r="SI292" s="243"/>
      <c r="SJ292" s="243"/>
      <c r="SK292" s="243"/>
      <c r="SL292" s="243"/>
      <c r="SM292" s="243"/>
      <c r="SN292" s="243"/>
      <c r="SO292" s="243"/>
      <c r="SP292" s="243"/>
      <c r="SQ292" s="243"/>
      <c r="SR292" s="243"/>
      <c r="SS292" s="243"/>
      <c r="ST292" s="243"/>
      <c r="SU292" s="243"/>
      <c r="SV292" s="243"/>
      <c r="SW292" s="243"/>
      <c r="SX292" s="243"/>
      <c r="SY292" s="243"/>
      <c r="SZ292" s="243"/>
      <c r="TA292" s="243"/>
      <c r="TB292" s="243"/>
      <c r="TC292" s="243"/>
      <c r="TD292" s="243"/>
      <c r="TE292" s="243"/>
      <c r="TF292" s="243"/>
      <c r="TG292" s="243"/>
      <c r="TH292" s="243"/>
      <c r="TI292" s="243"/>
      <c r="TJ292" s="243"/>
      <c r="TK292" s="243"/>
      <c r="TL292" s="243"/>
      <c r="TM292" s="243"/>
      <c r="TN292" s="243"/>
      <c r="TO292" s="243"/>
      <c r="TP292" s="243"/>
      <c r="TQ292" s="243"/>
      <c r="TR292" s="243"/>
      <c r="TS292" s="243"/>
      <c r="TT292" s="243"/>
      <c r="TU292" s="243"/>
      <c r="TV292" s="243"/>
      <c r="TW292" s="243"/>
      <c r="TX292" s="243"/>
      <c r="TY292" s="243"/>
      <c r="TZ292" s="243"/>
      <c r="UA292" s="243"/>
      <c r="UB292" s="243"/>
      <c r="UC292" s="243"/>
      <c r="UD292" s="243"/>
      <c r="UE292" s="243"/>
      <c r="UF292" s="243"/>
      <c r="UG292" s="243"/>
      <c r="UH292" s="243"/>
      <c r="UI292" s="243"/>
      <c r="UJ292" s="243"/>
      <c r="UK292" s="243"/>
      <c r="UL292" s="243"/>
      <c r="UM292" s="243"/>
      <c r="UN292" s="243"/>
      <c r="UO292" s="243"/>
      <c r="UP292" s="243"/>
      <c r="UQ292" s="243"/>
      <c r="UR292" s="243"/>
      <c r="US292" s="243"/>
      <c r="UT292" s="243"/>
      <c r="UU292" s="243"/>
      <c r="UV292" s="243"/>
      <c r="UW292" s="243"/>
      <c r="UX292" s="243"/>
      <c r="UY292" s="243"/>
      <c r="UZ292" s="243"/>
      <c r="VA292" s="243"/>
      <c r="VB292" s="243"/>
      <c r="VC292" s="243"/>
      <c r="VD292" s="243"/>
      <c r="VE292" s="243"/>
      <c r="VF292" s="243"/>
      <c r="VG292" s="243"/>
      <c r="VH292" s="243"/>
      <c r="VI292" s="243"/>
      <c r="VJ292" s="243"/>
      <c r="VK292" s="243"/>
      <c r="VL292" s="243"/>
      <c r="VM292" s="243"/>
      <c r="VN292" s="243"/>
      <c r="VO292" s="243"/>
      <c r="VP292" s="243"/>
      <c r="VQ292" s="243"/>
      <c r="VR292" s="243"/>
      <c r="VS292" s="243"/>
      <c r="VT292" s="243"/>
      <c r="VU292" s="243"/>
      <c r="VV292" s="243"/>
      <c r="VW292" s="243"/>
      <c r="VX292" s="243"/>
      <c r="VY292" s="243"/>
      <c r="VZ292" s="243"/>
      <c r="WA292" s="243"/>
      <c r="WB292" s="243"/>
      <c r="WC292" s="243"/>
      <c r="WD292" s="243"/>
      <c r="WE292" s="243"/>
      <c r="WF292" s="243"/>
      <c r="WG292" s="243"/>
      <c r="WH292" s="243"/>
      <c r="WI292" s="243"/>
      <c r="WJ292" s="243"/>
      <c r="WK292" s="243"/>
      <c r="WL292" s="243"/>
      <c r="WM292" s="243"/>
      <c r="WN292" s="243"/>
      <c r="WO292" s="243"/>
      <c r="WP292" s="243"/>
      <c r="WQ292" s="243"/>
      <c r="WR292" s="243"/>
      <c r="WS292" s="243"/>
      <c r="WT292" s="243"/>
      <c r="WU292" s="243"/>
      <c r="WV292" s="243"/>
      <c r="WW292" s="243"/>
      <c r="WX292" s="243"/>
      <c r="WY292" s="243"/>
      <c r="WZ292" s="243"/>
      <c r="XA292" s="243"/>
      <c r="XB292" s="243"/>
      <c r="XC292" s="243"/>
      <c r="XD292" s="243"/>
      <c r="XE292" s="243"/>
      <c r="XF292" s="243"/>
      <c r="XG292" s="243"/>
      <c r="XH292" s="243"/>
      <c r="XI292" s="243"/>
      <c r="XJ292" s="243"/>
      <c r="XK292" s="243"/>
      <c r="XL292" s="243"/>
      <c r="XM292" s="243"/>
      <c r="XN292" s="243"/>
      <c r="XO292" s="243"/>
      <c r="XP292" s="243"/>
      <c r="XQ292" s="243"/>
      <c r="XR292" s="243"/>
      <c r="XS292" s="243"/>
      <c r="XT292" s="243"/>
      <c r="XU292" s="243"/>
      <c r="XV292" s="243"/>
      <c r="XW292" s="243"/>
      <c r="XX292" s="243"/>
      <c r="XY292" s="243"/>
      <c r="XZ292" s="243"/>
      <c r="YA292" s="243"/>
      <c r="YB292" s="243"/>
      <c r="YC292" s="243"/>
      <c r="YD292" s="243"/>
      <c r="YE292" s="243"/>
      <c r="YF292" s="243"/>
      <c r="YG292" s="243"/>
      <c r="YH292" s="243"/>
      <c r="YI292" s="243"/>
      <c r="YJ292" s="243"/>
      <c r="YK292" s="243"/>
      <c r="YL292" s="243"/>
      <c r="YM292" s="243"/>
      <c r="YN292" s="243"/>
      <c r="YO292" s="243"/>
      <c r="YP292" s="243"/>
      <c r="YQ292" s="243"/>
      <c r="YR292" s="243"/>
      <c r="YS292" s="243"/>
      <c r="YT292" s="243"/>
      <c r="YU292" s="243"/>
      <c r="YV292" s="243"/>
      <c r="YW292" s="243"/>
      <c r="YX292" s="243"/>
      <c r="YY292" s="243"/>
      <c r="YZ292" s="243"/>
      <c r="ZA292" s="243"/>
      <c r="ZB292" s="243"/>
      <c r="ZC292" s="243"/>
      <c r="ZD292" s="243"/>
      <c r="ZE292" s="243"/>
      <c r="ZF292" s="243"/>
      <c r="ZG292" s="243"/>
      <c r="ZH292" s="243"/>
      <c r="ZI292" s="243"/>
      <c r="ZJ292" s="243"/>
      <c r="ZK292" s="243"/>
      <c r="ZL292" s="243"/>
      <c r="ZM292" s="243"/>
      <c r="ZN292" s="243"/>
      <c r="ZO292" s="243"/>
      <c r="ZP292" s="243"/>
      <c r="ZQ292" s="243"/>
      <c r="ZR292" s="243"/>
      <c r="ZS292" s="243"/>
      <c r="ZT292" s="243"/>
      <c r="ZU292" s="243"/>
      <c r="ZV292" s="243"/>
      <c r="ZW292" s="243"/>
      <c r="ZX292" s="243"/>
      <c r="ZY292" s="243"/>
      <c r="ZZ292" s="243"/>
      <c r="AAA292" s="243"/>
      <c r="AAB292" s="243"/>
      <c r="AAC292" s="243"/>
      <c r="AAD292" s="243"/>
      <c r="AAE292" s="243"/>
      <c r="AAF292" s="243"/>
      <c r="AAG292" s="243"/>
      <c r="AAH292" s="243"/>
      <c r="AAI292" s="243"/>
      <c r="AAJ292" s="243"/>
      <c r="AAK292" s="243"/>
      <c r="AAL292" s="243"/>
      <c r="AAM292" s="243"/>
      <c r="AAN292" s="243"/>
      <c r="AAO292" s="243"/>
      <c r="AAP292" s="243"/>
      <c r="AAQ292" s="243"/>
      <c r="AAR292" s="243"/>
      <c r="AAS292" s="243"/>
      <c r="AAT292" s="243"/>
      <c r="AAU292" s="243"/>
      <c r="AAV292" s="243"/>
      <c r="AAW292" s="243"/>
      <c r="AAX292" s="243"/>
      <c r="AAY292" s="243"/>
      <c r="AAZ292" s="243"/>
      <c r="ABA292" s="243"/>
      <c r="ABB292" s="243"/>
      <c r="ABC292" s="243"/>
      <c r="ABD292" s="243"/>
      <c r="ABE292" s="243"/>
      <c r="ABF292" s="243"/>
      <c r="ABG292" s="243"/>
      <c r="ABH292" s="243"/>
      <c r="ABI292" s="243"/>
      <c r="ABJ292" s="243"/>
      <c r="ABK292" s="243"/>
      <c r="ABL292" s="243"/>
      <c r="ABM292" s="243"/>
      <c r="ABN292" s="243"/>
      <c r="ABO292" s="243"/>
      <c r="ABP292" s="243"/>
      <c r="ABQ292" s="243"/>
      <c r="ABR292" s="243"/>
      <c r="ABS292" s="243"/>
      <c r="ABT292" s="243"/>
      <c r="ABU292" s="243"/>
      <c r="ABV292" s="243"/>
      <c r="ABW292" s="243"/>
      <c r="ABX292" s="243"/>
      <c r="ABY292" s="243"/>
      <c r="ABZ292" s="243"/>
      <c r="ACA292" s="243"/>
      <c r="ACB292" s="243"/>
      <c r="ACC292" s="243"/>
      <c r="ACD292" s="243"/>
      <c r="ACE292" s="243"/>
      <c r="ACF292" s="243"/>
      <c r="ACG292" s="243"/>
      <c r="ACH292" s="243"/>
      <c r="ACI292" s="243"/>
      <c r="ACJ292" s="243"/>
      <c r="ACK292" s="243"/>
      <c r="ACL292" s="243"/>
      <c r="ACM292" s="243"/>
      <c r="ACN292" s="243"/>
      <c r="ACO292" s="243"/>
      <c r="ACP292" s="243"/>
      <c r="ACQ292" s="243"/>
      <c r="ACR292" s="243"/>
      <c r="ACS292" s="243"/>
      <c r="ACT292" s="243"/>
      <c r="ACU292" s="243"/>
      <c r="ACV292" s="243"/>
      <c r="ACW292" s="243"/>
      <c r="ACX292" s="243"/>
      <c r="ACY292" s="243"/>
      <c r="ACZ292" s="243"/>
      <c r="ADA292" s="243"/>
      <c r="ADB292" s="243"/>
      <c r="ADC292" s="243"/>
      <c r="ADD292" s="243"/>
      <c r="ADE292" s="243"/>
      <c r="ADF292" s="243"/>
      <c r="ADG292" s="243"/>
      <c r="ADH292" s="243"/>
      <c r="ADI292" s="243"/>
      <c r="ADJ292" s="243"/>
      <c r="ADK292" s="243"/>
      <c r="ADL292" s="243"/>
      <c r="ADM292" s="243"/>
      <c r="ADN292" s="243"/>
      <c r="ADO292" s="243"/>
      <c r="ADP292" s="243"/>
      <c r="ADQ292" s="243"/>
      <c r="ADR292" s="243"/>
      <c r="ADS292" s="243"/>
      <c r="ADT292" s="243"/>
      <c r="ADU292" s="243"/>
      <c r="ADV292" s="243"/>
      <c r="ADW292" s="243"/>
      <c r="ADX292" s="243"/>
      <c r="ADY292" s="243"/>
      <c r="ADZ292" s="243"/>
      <c r="AEA292" s="243"/>
      <c r="AEB292" s="243"/>
      <c r="AEC292" s="243"/>
      <c r="AED292" s="243"/>
      <c r="AEE292" s="243"/>
      <c r="AEF292" s="243"/>
      <c r="AEG292" s="243"/>
      <c r="AEH292" s="243"/>
      <c r="AEI292" s="243"/>
      <c r="AEJ292" s="243"/>
      <c r="AEK292" s="243"/>
      <c r="AEL292" s="243"/>
      <c r="AEM292" s="243"/>
      <c r="AEN292" s="243"/>
      <c r="AEO292" s="243"/>
      <c r="AEP292" s="243"/>
      <c r="AEQ292" s="243"/>
      <c r="AER292" s="243"/>
      <c r="AES292" s="243"/>
      <c r="AET292" s="243"/>
      <c r="AEU292" s="243"/>
      <c r="AEV292" s="243"/>
      <c r="AEW292" s="243"/>
      <c r="AEX292" s="243"/>
      <c r="AEY292" s="243"/>
      <c r="AEZ292" s="243"/>
      <c r="AFA292" s="243"/>
      <c r="AFB292" s="243"/>
      <c r="AFC292" s="243"/>
      <c r="AFD292" s="243"/>
      <c r="AFE292" s="243"/>
      <c r="AFF292" s="243"/>
      <c r="AFG292" s="243"/>
      <c r="AFH292" s="243"/>
      <c r="AFI292" s="243"/>
      <c r="AFJ292" s="243"/>
      <c r="AFK292" s="243"/>
      <c r="AFL292" s="243"/>
      <c r="AFM292" s="243"/>
      <c r="AFN292" s="243"/>
      <c r="AFO292" s="243"/>
      <c r="AFP292" s="243"/>
      <c r="AFQ292" s="243"/>
      <c r="AFR292" s="243"/>
      <c r="AFS292" s="243"/>
      <c r="AFT292" s="243"/>
      <c r="AFU292" s="243"/>
      <c r="AFV292" s="243"/>
      <c r="AFW292" s="243"/>
      <c r="AFX292" s="243"/>
      <c r="AFY292" s="243"/>
      <c r="AFZ292" s="243"/>
      <c r="AGA292" s="243"/>
      <c r="AGB292" s="243"/>
      <c r="AGC292" s="243"/>
      <c r="AGD292" s="243"/>
      <c r="AGE292" s="243"/>
      <c r="AGF292" s="243"/>
      <c r="AGG292" s="243"/>
      <c r="AGH292" s="243"/>
      <c r="AGI292" s="243"/>
      <c r="AGJ292" s="243"/>
      <c r="AGK292" s="243"/>
      <c r="AGL292" s="243"/>
      <c r="AGM292" s="243"/>
      <c r="AGN292" s="243"/>
      <c r="AGO292" s="243"/>
      <c r="AGP292" s="243"/>
      <c r="AGQ292" s="243"/>
      <c r="AGR292" s="243"/>
      <c r="AGS292" s="243"/>
      <c r="AGT292" s="243"/>
      <c r="AGU292" s="243"/>
      <c r="AGV292" s="243"/>
      <c r="AGW292" s="243"/>
      <c r="AGX292" s="243"/>
      <c r="AGY292" s="243"/>
      <c r="AGZ292" s="243"/>
      <c r="AHA292" s="243"/>
      <c r="AHB292" s="243"/>
      <c r="AHC292" s="243"/>
      <c r="AHD292" s="243"/>
      <c r="AHE292" s="243"/>
      <c r="AHF292" s="243"/>
      <c r="AHG292" s="243"/>
      <c r="AHH292" s="243"/>
      <c r="AHI292" s="243"/>
      <c r="AHJ292" s="243"/>
      <c r="AHK292" s="243"/>
      <c r="AHL292" s="243"/>
      <c r="AHM292" s="243"/>
      <c r="AHN292" s="243"/>
      <c r="AHO292" s="243"/>
      <c r="AHP292" s="243"/>
      <c r="AHQ292" s="243"/>
      <c r="AHR292" s="243"/>
      <c r="AHS292" s="243"/>
      <c r="AHT292" s="243"/>
      <c r="AHU292" s="243"/>
      <c r="AHV292" s="243"/>
      <c r="AHW292" s="243"/>
      <c r="AHX292" s="243"/>
      <c r="AHY292" s="243"/>
      <c r="AHZ292" s="243"/>
      <c r="AIA292" s="243"/>
      <c r="AIB292" s="243"/>
      <c r="AIC292" s="243"/>
      <c r="AID292" s="243"/>
      <c r="AIE292" s="243"/>
      <c r="AIF292" s="243"/>
      <c r="AIG292" s="243"/>
      <c r="AIH292" s="243"/>
      <c r="AII292" s="243"/>
      <c r="AIJ292" s="243"/>
      <c r="AIK292" s="243"/>
      <c r="AIL292" s="243"/>
      <c r="AIM292" s="243"/>
      <c r="AIN292" s="243"/>
      <c r="AIO292" s="243"/>
      <c r="AIP292" s="243"/>
      <c r="AIQ292" s="243"/>
      <c r="AIR292" s="243"/>
      <c r="AIS292" s="243"/>
      <c r="AIT292" s="243"/>
      <c r="AIU292" s="243"/>
      <c r="AIV292" s="243"/>
      <c r="AIW292" s="243"/>
      <c r="AIX292" s="243"/>
      <c r="AIY292" s="243"/>
      <c r="AIZ292" s="243"/>
      <c r="AJA292" s="243"/>
      <c r="AJB292" s="243"/>
      <c r="AJC292" s="243"/>
      <c r="AJD292" s="243"/>
      <c r="AJE292" s="243"/>
      <c r="AJF292" s="243"/>
      <c r="AJG292" s="243"/>
      <c r="AJH292" s="243"/>
      <c r="AJI292" s="243"/>
      <c r="AJJ292" s="243"/>
      <c r="AJK292" s="243"/>
      <c r="AJL292" s="243"/>
      <c r="AJM292" s="243"/>
      <c r="AJN292" s="243"/>
      <c r="AJO292" s="243"/>
      <c r="AJP292" s="243"/>
      <c r="AJQ292" s="243"/>
      <c r="AJR292" s="243"/>
      <c r="AJS292" s="243"/>
      <c r="AJT292" s="243"/>
      <c r="AJU292" s="243"/>
      <c r="AJV292" s="243"/>
      <c r="AJW292" s="243"/>
      <c r="AJX292" s="243"/>
      <c r="AJY292" s="243"/>
      <c r="AJZ292" s="243"/>
      <c r="AKA292" s="243"/>
      <c r="AKB292" s="243"/>
      <c r="AKC292" s="243"/>
      <c r="AKD292" s="243"/>
      <c r="AKE292" s="243"/>
      <c r="AKF292" s="243"/>
      <c r="AKG292" s="243"/>
      <c r="AKH292" s="243"/>
      <c r="AKI292" s="243"/>
      <c r="AKJ292" s="243"/>
      <c r="AKK292" s="243"/>
      <c r="AKL292" s="243"/>
      <c r="AKM292" s="243"/>
      <c r="AKN292" s="243"/>
      <c r="AKO292" s="243"/>
      <c r="AKP292" s="243"/>
      <c r="AKQ292" s="243"/>
      <c r="AKR292" s="243"/>
      <c r="AKS292" s="243"/>
      <c r="AKT292" s="243"/>
      <c r="AKU292" s="243"/>
      <c r="AKV292" s="243"/>
      <c r="AKW292" s="243"/>
      <c r="AKX292" s="243"/>
      <c r="AKY292" s="243"/>
      <c r="AKZ292" s="243"/>
      <c r="ALA292" s="243"/>
      <c r="ALB292" s="243"/>
      <c r="ALC292" s="243"/>
      <c r="ALD292" s="243"/>
      <c r="ALE292" s="243"/>
      <c r="ALF292" s="243"/>
      <c r="ALG292" s="243"/>
      <c r="ALH292" s="243"/>
      <c r="ALI292" s="243"/>
      <c r="ALJ292" s="243"/>
      <c r="ALK292" s="243"/>
      <c r="ALL292" s="243"/>
      <c r="ALM292" s="243"/>
      <c r="ALN292" s="243"/>
      <c r="ALO292" s="243"/>
      <c r="ALP292" s="243"/>
      <c r="ALQ292" s="243"/>
      <c r="ALR292" s="243"/>
      <c r="ALS292" s="243"/>
      <c r="ALT292" s="243"/>
      <c r="ALU292" s="243"/>
      <c r="ALV292" s="243"/>
      <c r="ALW292" s="243"/>
      <c r="ALX292" s="243"/>
      <c r="ALY292" s="243"/>
      <c r="ALZ292" s="243"/>
      <c r="AMA292" s="243"/>
      <c r="AMB292" s="243"/>
      <c r="AMC292" s="243"/>
      <c r="AMD292" s="243"/>
      <c r="AME292" s="243"/>
      <c r="AMF292" s="243"/>
      <c r="AMG292" s="243"/>
      <c r="AMH292" s="243"/>
      <c r="AMI292" s="244"/>
      <c r="AMJ292" s="244"/>
    </row>
    <row r="293" spans="1:1024">
      <c r="A293" s="910" t="s">
        <v>121</v>
      </c>
      <c r="B293" s="442">
        <v>14211</v>
      </c>
      <c r="C293" s="430">
        <v>0.08</v>
      </c>
      <c r="D293" s="370" t="s">
        <v>200</v>
      </c>
      <c r="E293" s="433">
        <v>1800000</v>
      </c>
      <c r="F293" s="477">
        <v>0.05</v>
      </c>
      <c r="G293" s="401">
        <f t="shared" ref="G293:G297" si="11">E293*F293</f>
        <v>90000</v>
      </c>
      <c r="H293" s="402" t="s">
        <v>123</v>
      </c>
      <c r="I293" s="402" t="s">
        <v>124</v>
      </c>
      <c r="J293" s="402" t="s">
        <v>125</v>
      </c>
      <c r="K293" s="402" t="s">
        <v>123</v>
      </c>
      <c r="L293" s="402" t="s">
        <v>125</v>
      </c>
      <c r="M293" s="395"/>
      <c r="N293" s="396"/>
      <c r="O293" s="377"/>
      <c r="P293" s="377"/>
      <c r="Q293" s="377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  <c r="AH293" s="243"/>
      <c r="AI293" s="243"/>
      <c r="AJ293" s="243"/>
      <c r="AK293" s="243"/>
      <c r="AL293" s="243"/>
      <c r="AM293" s="243"/>
      <c r="AN293" s="243"/>
      <c r="AO293" s="243"/>
      <c r="AP293" s="243"/>
      <c r="AQ293" s="243"/>
      <c r="AR293" s="243"/>
      <c r="AS293" s="243"/>
      <c r="AT293" s="243"/>
      <c r="AU293" s="243"/>
      <c r="AV293" s="243"/>
      <c r="AW293" s="243"/>
      <c r="AX293" s="243"/>
      <c r="AY293" s="243"/>
      <c r="AZ293" s="243"/>
      <c r="BA293" s="243"/>
      <c r="BB293" s="243"/>
      <c r="BC293" s="243"/>
      <c r="BD293" s="243"/>
      <c r="BE293" s="243"/>
      <c r="BF293" s="243"/>
      <c r="BG293" s="243"/>
      <c r="BH293" s="243"/>
      <c r="BI293" s="243"/>
      <c r="BJ293" s="243"/>
      <c r="BK293" s="243"/>
      <c r="BL293" s="243"/>
      <c r="BM293" s="243"/>
      <c r="BN293" s="243"/>
      <c r="BO293" s="243"/>
      <c r="BP293" s="243"/>
      <c r="BQ293" s="243"/>
      <c r="BR293" s="243"/>
      <c r="BS293" s="243"/>
      <c r="BT293" s="243"/>
      <c r="BU293" s="243"/>
      <c r="BV293" s="243"/>
      <c r="BW293" s="243"/>
      <c r="BX293" s="243"/>
      <c r="BY293" s="243"/>
      <c r="BZ293" s="243"/>
      <c r="CA293" s="243"/>
      <c r="CB293" s="243"/>
      <c r="CC293" s="243"/>
      <c r="CD293" s="243"/>
      <c r="CE293" s="243"/>
      <c r="CF293" s="243"/>
      <c r="CG293" s="243"/>
      <c r="CH293" s="243"/>
      <c r="CI293" s="243"/>
      <c r="CJ293" s="243"/>
      <c r="CK293" s="243"/>
      <c r="CL293" s="243"/>
      <c r="CM293" s="243"/>
      <c r="CN293" s="243"/>
      <c r="CO293" s="243"/>
      <c r="CP293" s="243"/>
      <c r="CQ293" s="243"/>
      <c r="CR293" s="243"/>
      <c r="CS293" s="243"/>
      <c r="CT293" s="243"/>
      <c r="CU293" s="243"/>
      <c r="CV293" s="243"/>
      <c r="CW293" s="243"/>
      <c r="CX293" s="243"/>
      <c r="CY293" s="243"/>
      <c r="CZ293" s="243"/>
      <c r="DA293" s="243"/>
      <c r="DB293" s="243"/>
      <c r="DC293" s="243"/>
      <c r="DD293" s="243"/>
      <c r="DE293" s="243"/>
      <c r="DF293" s="243"/>
      <c r="DG293" s="243"/>
      <c r="DH293" s="243"/>
      <c r="DI293" s="243"/>
      <c r="DJ293" s="243"/>
      <c r="DK293" s="243"/>
      <c r="DL293" s="243"/>
      <c r="DM293" s="243"/>
      <c r="DN293" s="243"/>
      <c r="DO293" s="243"/>
      <c r="DP293" s="243"/>
      <c r="DQ293" s="243"/>
      <c r="DR293" s="243"/>
      <c r="DS293" s="243"/>
      <c r="DT293" s="243"/>
      <c r="DU293" s="243"/>
      <c r="DV293" s="243"/>
      <c r="DW293" s="243"/>
      <c r="DX293" s="243"/>
      <c r="DY293" s="243"/>
      <c r="DZ293" s="243"/>
      <c r="EA293" s="243"/>
      <c r="EB293" s="243"/>
      <c r="EC293" s="243"/>
      <c r="ED293" s="243"/>
      <c r="EE293" s="243"/>
      <c r="EF293" s="243"/>
      <c r="EG293" s="243"/>
      <c r="EH293" s="243"/>
      <c r="EI293" s="243"/>
      <c r="EJ293" s="243"/>
      <c r="EK293" s="243"/>
      <c r="EL293" s="243"/>
      <c r="EM293" s="243"/>
      <c r="EN293" s="243"/>
      <c r="EO293" s="243"/>
      <c r="EP293" s="243"/>
      <c r="EQ293" s="243"/>
      <c r="ER293" s="243"/>
      <c r="ES293" s="243"/>
      <c r="ET293" s="243"/>
      <c r="EU293" s="243"/>
      <c r="EV293" s="243"/>
      <c r="EW293" s="243"/>
      <c r="EX293" s="243"/>
      <c r="EY293" s="243"/>
      <c r="EZ293" s="243"/>
      <c r="FA293" s="243"/>
      <c r="FB293" s="243"/>
      <c r="FC293" s="243"/>
      <c r="FD293" s="243"/>
      <c r="FE293" s="243"/>
      <c r="FF293" s="243"/>
      <c r="FG293" s="243"/>
      <c r="FH293" s="243"/>
      <c r="FI293" s="243"/>
      <c r="FJ293" s="243"/>
      <c r="FK293" s="243"/>
      <c r="FL293" s="243"/>
      <c r="FM293" s="243"/>
      <c r="FN293" s="243"/>
      <c r="FO293" s="243"/>
      <c r="FP293" s="243"/>
      <c r="FQ293" s="243"/>
      <c r="FR293" s="243"/>
      <c r="FS293" s="243"/>
      <c r="FT293" s="243"/>
      <c r="FU293" s="243"/>
      <c r="FV293" s="243"/>
      <c r="FW293" s="243"/>
      <c r="FX293" s="243"/>
      <c r="FY293" s="243"/>
      <c r="FZ293" s="243"/>
      <c r="GA293" s="243"/>
      <c r="GB293" s="243"/>
      <c r="GC293" s="243"/>
      <c r="GD293" s="243"/>
      <c r="GE293" s="243"/>
      <c r="GF293" s="243"/>
      <c r="GG293" s="243"/>
      <c r="GH293" s="243"/>
      <c r="GI293" s="243"/>
      <c r="GJ293" s="243"/>
      <c r="GK293" s="243"/>
      <c r="GL293" s="243"/>
      <c r="GM293" s="243"/>
      <c r="GN293" s="243"/>
      <c r="GO293" s="243"/>
      <c r="GP293" s="243"/>
      <c r="GQ293" s="243"/>
      <c r="GR293" s="243"/>
      <c r="GS293" s="243"/>
      <c r="GT293" s="243"/>
      <c r="GU293" s="243"/>
      <c r="GV293" s="243"/>
      <c r="GW293" s="243"/>
      <c r="GX293" s="243"/>
      <c r="GY293" s="243"/>
      <c r="GZ293" s="243"/>
      <c r="HA293" s="243"/>
      <c r="HB293" s="243"/>
      <c r="HC293" s="243"/>
      <c r="HD293" s="243"/>
      <c r="HE293" s="243"/>
      <c r="HF293" s="243"/>
      <c r="HG293" s="243"/>
      <c r="HH293" s="243"/>
      <c r="HI293" s="243"/>
      <c r="HJ293" s="243"/>
      <c r="HK293" s="243"/>
      <c r="HL293" s="243"/>
      <c r="HM293" s="243"/>
      <c r="HN293" s="243"/>
      <c r="HO293" s="243"/>
      <c r="HP293" s="243"/>
      <c r="HQ293" s="243"/>
      <c r="HR293" s="243"/>
      <c r="HS293" s="243"/>
      <c r="HT293" s="243"/>
      <c r="HU293" s="243"/>
      <c r="HV293" s="243"/>
      <c r="HW293" s="243"/>
      <c r="HX293" s="243"/>
      <c r="HY293" s="243"/>
      <c r="HZ293" s="243"/>
      <c r="IA293" s="243"/>
      <c r="IB293" s="243"/>
      <c r="IC293" s="243"/>
      <c r="ID293" s="243"/>
      <c r="IE293" s="243"/>
      <c r="IF293" s="243"/>
      <c r="IG293" s="243"/>
      <c r="IH293" s="243"/>
      <c r="II293" s="243"/>
      <c r="IJ293" s="243"/>
      <c r="IK293" s="243"/>
      <c r="IL293" s="243"/>
      <c r="IM293" s="243"/>
      <c r="IN293" s="243"/>
      <c r="IO293" s="243"/>
      <c r="IP293" s="243"/>
      <c r="IQ293" s="243"/>
      <c r="IR293" s="243"/>
      <c r="IS293" s="243"/>
      <c r="IT293" s="243"/>
      <c r="IU293" s="243"/>
      <c r="IV293" s="243"/>
      <c r="IW293" s="243"/>
      <c r="IX293" s="243"/>
      <c r="IY293" s="243"/>
      <c r="IZ293" s="243"/>
      <c r="JA293" s="243"/>
      <c r="JB293" s="243"/>
      <c r="JC293" s="243"/>
      <c r="JD293" s="243"/>
      <c r="JE293" s="243"/>
      <c r="JF293" s="243"/>
      <c r="JG293" s="243"/>
      <c r="JH293" s="243"/>
      <c r="JI293" s="243"/>
      <c r="JJ293" s="243"/>
      <c r="JK293" s="243"/>
      <c r="JL293" s="243"/>
      <c r="JM293" s="243"/>
      <c r="JN293" s="243"/>
      <c r="JO293" s="243"/>
      <c r="JP293" s="243"/>
      <c r="JQ293" s="243"/>
      <c r="JR293" s="243"/>
      <c r="JS293" s="243"/>
      <c r="JT293" s="243"/>
      <c r="JU293" s="243"/>
      <c r="JV293" s="243"/>
      <c r="JW293" s="243"/>
      <c r="JX293" s="243"/>
      <c r="JY293" s="243"/>
      <c r="JZ293" s="243"/>
      <c r="KA293" s="243"/>
      <c r="KB293" s="243"/>
      <c r="KC293" s="243"/>
      <c r="KD293" s="243"/>
      <c r="KE293" s="243"/>
      <c r="KF293" s="243"/>
      <c r="KG293" s="243"/>
      <c r="KH293" s="243"/>
      <c r="KI293" s="243"/>
      <c r="KJ293" s="243"/>
      <c r="KK293" s="243"/>
      <c r="KL293" s="243"/>
      <c r="KM293" s="243"/>
      <c r="KN293" s="243"/>
      <c r="KO293" s="243"/>
      <c r="KP293" s="243"/>
      <c r="KQ293" s="243"/>
      <c r="KR293" s="243"/>
      <c r="KS293" s="243"/>
      <c r="KT293" s="243"/>
      <c r="KU293" s="243"/>
      <c r="KV293" s="243"/>
      <c r="KW293" s="243"/>
      <c r="KX293" s="243"/>
      <c r="KY293" s="243"/>
      <c r="KZ293" s="243"/>
      <c r="LA293" s="243"/>
      <c r="LB293" s="243"/>
      <c r="LC293" s="243"/>
      <c r="LD293" s="243"/>
      <c r="LE293" s="243"/>
      <c r="LF293" s="243"/>
      <c r="LG293" s="243"/>
      <c r="LH293" s="243"/>
      <c r="LI293" s="243"/>
      <c r="LJ293" s="243"/>
      <c r="LK293" s="243"/>
      <c r="LL293" s="243"/>
      <c r="LM293" s="243"/>
      <c r="LN293" s="243"/>
      <c r="LO293" s="243"/>
      <c r="LP293" s="243"/>
      <c r="LQ293" s="243"/>
      <c r="LR293" s="243"/>
      <c r="LS293" s="243"/>
      <c r="LT293" s="243"/>
      <c r="LU293" s="243"/>
      <c r="LV293" s="243"/>
      <c r="LW293" s="243"/>
      <c r="LX293" s="243"/>
      <c r="LY293" s="243"/>
      <c r="LZ293" s="243"/>
      <c r="MA293" s="243"/>
      <c r="MB293" s="243"/>
      <c r="MC293" s="243"/>
      <c r="MD293" s="243"/>
      <c r="ME293" s="243"/>
      <c r="MF293" s="243"/>
      <c r="MG293" s="243"/>
      <c r="MH293" s="243"/>
      <c r="MI293" s="243"/>
      <c r="MJ293" s="243"/>
      <c r="MK293" s="243"/>
      <c r="ML293" s="243"/>
      <c r="MM293" s="243"/>
      <c r="MN293" s="243"/>
      <c r="MO293" s="243"/>
      <c r="MP293" s="243"/>
      <c r="MQ293" s="243"/>
      <c r="MR293" s="243"/>
      <c r="MS293" s="243"/>
      <c r="MT293" s="243"/>
      <c r="MU293" s="243"/>
      <c r="MV293" s="243"/>
      <c r="MW293" s="243"/>
      <c r="MX293" s="243"/>
      <c r="MY293" s="243"/>
      <c r="MZ293" s="243"/>
      <c r="NA293" s="243"/>
      <c r="NB293" s="243"/>
      <c r="NC293" s="243"/>
      <c r="ND293" s="243"/>
      <c r="NE293" s="243"/>
      <c r="NF293" s="243"/>
      <c r="NG293" s="243"/>
      <c r="NH293" s="243"/>
      <c r="NI293" s="243"/>
      <c r="NJ293" s="243"/>
      <c r="NK293" s="243"/>
      <c r="NL293" s="243"/>
      <c r="NM293" s="243"/>
      <c r="NN293" s="243"/>
      <c r="NO293" s="243"/>
      <c r="NP293" s="243"/>
      <c r="NQ293" s="243"/>
      <c r="NR293" s="243"/>
      <c r="NS293" s="243"/>
      <c r="NT293" s="243"/>
      <c r="NU293" s="243"/>
      <c r="NV293" s="243"/>
      <c r="NW293" s="243"/>
      <c r="NX293" s="243"/>
      <c r="NY293" s="243"/>
      <c r="NZ293" s="243"/>
      <c r="OA293" s="243"/>
      <c r="OB293" s="243"/>
      <c r="OC293" s="243"/>
      <c r="OD293" s="243"/>
      <c r="OE293" s="243"/>
      <c r="OF293" s="243"/>
      <c r="OG293" s="243"/>
      <c r="OH293" s="243"/>
      <c r="OI293" s="243"/>
      <c r="OJ293" s="243"/>
      <c r="OK293" s="243"/>
      <c r="OL293" s="243"/>
      <c r="OM293" s="243"/>
      <c r="ON293" s="243"/>
      <c r="OO293" s="243"/>
      <c r="OP293" s="243"/>
      <c r="OQ293" s="243"/>
      <c r="OR293" s="243"/>
      <c r="OS293" s="243"/>
      <c r="OT293" s="243"/>
      <c r="OU293" s="243"/>
      <c r="OV293" s="243"/>
      <c r="OW293" s="243"/>
      <c r="OX293" s="243"/>
      <c r="OY293" s="243"/>
      <c r="OZ293" s="243"/>
      <c r="PA293" s="243"/>
      <c r="PB293" s="243"/>
      <c r="PC293" s="243"/>
      <c r="PD293" s="243"/>
      <c r="PE293" s="243"/>
      <c r="PF293" s="243"/>
      <c r="PG293" s="243"/>
      <c r="PH293" s="243"/>
      <c r="PI293" s="243"/>
      <c r="PJ293" s="243"/>
      <c r="PK293" s="243"/>
      <c r="PL293" s="243"/>
      <c r="PM293" s="243"/>
      <c r="PN293" s="243"/>
      <c r="PO293" s="243"/>
      <c r="PP293" s="243"/>
      <c r="PQ293" s="243"/>
      <c r="PR293" s="243"/>
      <c r="PS293" s="243"/>
      <c r="PT293" s="243"/>
      <c r="PU293" s="243"/>
      <c r="PV293" s="243"/>
      <c r="PW293" s="243"/>
      <c r="PX293" s="243"/>
      <c r="PY293" s="243"/>
      <c r="PZ293" s="243"/>
      <c r="QA293" s="243"/>
      <c r="QB293" s="243"/>
      <c r="QC293" s="243"/>
      <c r="QD293" s="243"/>
      <c r="QE293" s="243"/>
      <c r="QF293" s="243"/>
      <c r="QG293" s="243"/>
      <c r="QH293" s="243"/>
      <c r="QI293" s="243"/>
      <c r="QJ293" s="243"/>
      <c r="QK293" s="243"/>
      <c r="QL293" s="243"/>
      <c r="QM293" s="243"/>
      <c r="QN293" s="243"/>
      <c r="QO293" s="243"/>
      <c r="QP293" s="243"/>
      <c r="QQ293" s="243"/>
      <c r="QR293" s="243"/>
      <c r="QS293" s="243"/>
      <c r="QT293" s="243"/>
      <c r="QU293" s="243"/>
      <c r="QV293" s="243"/>
      <c r="QW293" s="243"/>
      <c r="QX293" s="243"/>
      <c r="QY293" s="243"/>
      <c r="QZ293" s="243"/>
      <c r="RA293" s="243"/>
      <c r="RB293" s="243"/>
      <c r="RC293" s="243"/>
      <c r="RD293" s="243"/>
      <c r="RE293" s="243"/>
      <c r="RF293" s="243"/>
      <c r="RG293" s="243"/>
      <c r="RH293" s="243"/>
      <c r="RI293" s="243"/>
      <c r="RJ293" s="243"/>
      <c r="RK293" s="243"/>
      <c r="RL293" s="243"/>
      <c r="RM293" s="243"/>
      <c r="RN293" s="243"/>
      <c r="RO293" s="243"/>
      <c r="RP293" s="243"/>
      <c r="RQ293" s="243"/>
      <c r="RR293" s="243"/>
      <c r="RS293" s="243"/>
      <c r="RT293" s="243"/>
      <c r="RU293" s="243"/>
      <c r="RV293" s="243"/>
      <c r="RW293" s="243"/>
      <c r="RX293" s="243"/>
      <c r="RY293" s="243"/>
      <c r="RZ293" s="243"/>
      <c r="SA293" s="243"/>
      <c r="SB293" s="243"/>
      <c r="SC293" s="243"/>
      <c r="SD293" s="243"/>
      <c r="SE293" s="243"/>
      <c r="SF293" s="243"/>
      <c r="SG293" s="243"/>
      <c r="SH293" s="243"/>
      <c r="SI293" s="243"/>
      <c r="SJ293" s="243"/>
      <c r="SK293" s="243"/>
      <c r="SL293" s="243"/>
      <c r="SM293" s="243"/>
      <c r="SN293" s="243"/>
      <c r="SO293" s="243"/>
      <c r="SP293" s="243"/>
      <c r="SQ293" s="243"/>
      <c r="SR293" s="243"/>
      <c r="SS293" s="243"/>
      <c r="ST293" s="243"/>
      <c r="SU293" s="243"/>
      <c r="SV293" s="243"/>
      <c r="SW293" s="243"/>
      <c r="SX293" s="243"/>
      <c r="SY293" s="243"/>
      <c r="SZ293" s="243"/>
      <c r="TA293" s="243"/>
      <c r="TB293" s="243"/>
      <c r="TC293" s="243"/>
      <c r="TD293" s="243"/>
      <c r="TE293" s="243"/>
      <c r="TF293" s="243"/>
      <c r="TG293" s="243"/>
      <c r="TH293" s="243"/>
      <c r="TI293" s="243"/>
      <c r="TJ293" s="243"/>
      <c r="TK293" s="243"/>
      <c r="TL293" s="243"/>
      <c r="TM293" s="243"/>
      <c r="TN293" s="243"/>
      <c r="TO293" s="243"/>
      <c r="TP293" s="243"/>
      <c r="TQ293" s="243"/>
      <c r="TR293" s="243"/>
      <c r="TS293" s="243"/>
      <c r="TT293" s="243"/>
      <c r="TU293" s="243"/>
      <c r="TV293" s="243"/>
      <c r="TW293" s="243"/>
      <c r="TX293" s="243"/>
      <c r="TY293" s="243"/>
      <c r="TZ293" s="243"/>
      <c r="UA293" s="243"/>
      <c r="UB293" s="243"/>
      <c r="UC293" s="243"/>
      <c r="UD293" s="243"/>
      <c r="UE293" s="243"/>
      <c r="UF293" s="243"/>
      <c r="UG293" s="243"/>
      <c r="UH293" s="243"/>
      <c r="UI293" s="243"/>
      <c r="UJ293" s="243"/>
      <c r="UK293" s="243"/>
      <c r="UL293" s="243"/>
      <c r="UM293" s="243"/>
      <c r="UN293" s="243"/>
      <c r="UO293" s="243"/>
      <c r="UP293" s="243"/>
      <c r="UQ293" s="243"/>
      <c r="UR293" s="243"/>
      <c r="US293" s="243"/>
      <c r="UT293" s="243"/>
      <c r="UU293" s="243"/>
      <c r="UV293" s="243"/>
      <c r="UW293" s="243"/>
      <c r="UX293" s="243"/>
      <c r="UY293" s="243"/>
      <c r="UZ293" s="243"/>
      <c r="VA293" s="243"/>
      <c r="VB293" s="243"/>
      <c r="VC293" s="243"/>
      <c r="VD293" s="243"/>
      <c r="VE293" s="243"/>
      <c r="VF293" s="243"/>
      <c r="VG293" s="243"/>
      <c r="VH293" s="243"/>
      <c r="VI293" s="243"/>
      <c r="VJ293" s="243"/>
      <c r="VK293" s="243"/>
      <c r="VL293" s="243"/>
      <c r="VM293" s="243"/>
      <c r="VN293" s="243"/>
      <c r="VO293" s="243"/>
      <c r="VP293" s="243"/>
      <c r="VQ293" s="243"/>
      <c r="VR293" s="243"/>
      <c r="VS293" s="243"/>
      <c r="VT293" s="243"/>
      <c r="VU293" s="243"/>
      <c r="VV293" s="243"/>
      <c r="VW293" s="243"/>
      <c r="VX293" s="243"/>
      <c r="VY293" s="243"/>
      <c r="VZ293" s="243"/>
      <c r="WA293" s="243"/>
      <c r="WB293" s="243"/>
      <c r="WC293" s="243"/>
      <c r="WD293" s="243"/>
      <c r="WE293" s="243"/>
      <c r="WF293" s="243"/>
      <c r="WG293" s="243"/>
      <c r="WH293" s="243"/>
      <c r="WI293" s="243"/>
      <c r="WJ293" s="243"/>
      <c r="WK293" s="243"/>
      <c r="WL293" s="243"/>
      <c r="WM293" s="243"/>
      <c r="WN293" s="243"/>
      <c r="WO293" s="243"/>
      <c r="WP293" s="243"/>
      <c r="WQ293" s="243"/>
      <c r="WR293" s="243"/>
      <c r="WS293" s="243"/>
      <c r="WT293" s="243"/>
      <c r="WU293" s="243"/>
      <c r="WV293" s="243"/>
      <c r="WW293" s="243"/>
      <c r="WX293" s="243"/>
      <c r="WY293" s="243"/>
      <c r="WZ293" s="243"/>
      <c r="XA293" s="243"/>
      <c r="XB293" s="243"/>
      <c r="XC293" s="243"/>
      <c r="XD293" s="243"/>
      <c r="XE293" s="243"/>
      <c r="XF293" s="243"/>
      <c r="XG293" s="243"/>
      <c r="XH293" s="243"/>
      <c r="XI293" s="243"/>
      <c r="XJ293" s="243"/>
      <c r="XK293" s="243"/>
      <c r="XL293" s="243"/>
      <c r="XM293" s="243"/>
      <c r="XN293" s="243"/>
      <c r="XO293" s="243"/>
      <c r="XP293" s="243"/>
      <c r="XQ293" s="243"/>
      <c r="XR293" s="243"/>
      <c r="XS293" s="243"/>
      <c r="XT293" s="243"/>
      <c r="XU293" s="243"/>
      <c r="XV293" s="243"/>
      <c r="XW293" s="243"/>
      <c r="XX293" s="243"/>
      <c r="XY293" s="243"/>
      <c r="XZ293" s="243"/>
      <c r="YA293" s="243"/>
      <c r="YB293" s="243"/>
      <c r="YC293" s="243"/>
      <c r="YD293" s="243"/>
      <c r="YE293" s="243"/>
      <c r="YF293" s="243"/>
      <c r="YG293" s="243"/>
      <c r="YH293" s="243"/>
      <c r="YI293" s="243"/>
      <c r="YJ293" s="243"/>
      <c r="YK293" s="243"/>
      <c r="YL293" s="243"/>
      <c r="YM293" s="243"/>
      <c r="YN293" s="243"/>
      <c r="YO293" s="243"/>
      <c r="YP293" s="243"/>
      <c r="YQ293" s="243"/>
      <c r="YR293" s="243"/>
      <c r="YS293" s="243"/>
      <c r="YT293" s="243"/>
      <c r="YU293" s="243"/>
      <c r="YV293" s="243"/>
      <c r="YW293" s="243"/>
      <c r="YX293" s="243"/>
      <c r="YY293" s="243"/>
      <c r="YZ293" s="243"/>
      <c r="ZA293" s="243"/>
      <c r="ZB293" s="243"/>
      <c r="ZC293" s="243"/>
      <c r="ZD293" s="243"/>
      <c r="ZE293" s="243"/>
      <c r="ZF293" s="243"/>
      <c r="ZG293" s="243"/>
      <c r="ZH293" s="243"/>
      <c r="ZI293" s="243"/>
      <c r="ZJ293" s="243"/>
      <c r="ZK293" s="243"/>
      <c r="ZL293" s="243"/>
      <c r="ZM293" s="243"/>
      <c r="ZN293" s="243"/>
      <c r="ZO293" s="243"/>
      <c r="ZP293" s="243"/>
      <c r="ZQ293" s="243"/>
      <c r="ZR293" s="243"/>
      <c r="ZS293" s="243"/>
      <c r="ZT293" s="243"/>
      <c r="ZU293" s="243"/>
      <c r="ZV293" s="243"/>
      <c r="ZW293" s="243"/>
      <c r="ZX293" s="243"/>
      <c r="ZY293" s="243"/>
      <c r="ZZ293" s="243"/>
      <c r="AAA293" s="243"/>
      <c r="AAB293" s="243"/>
      <c r="AAC293" s="243"/>
      <c r="AAD293" s="243"/>
      <c r="AAE293" s="243"/>
      <c r="AAF293" s="243"/>
      <c r="AAG293" s="243"/>
      <c r="AAH293" s="243"/>
      <c r="AAI293" s="243"/>
      <c r="AAJ293" s="243"/>
      <c r="AAK293" s="243"/>
      <c r="AAL293" s="243"/>
      <c r="AAM293" s="243"/>
      <c r="AAN293" s="243"/>
      <c r="AAO293" s="243"/>
      <c r="AAP293" s="243"/>
      <c r="AAQ293" s="243"/>
      <c r="AAR293" s="243"/>
      <c r="AAS293" s="243"/>
      <c r="AAT293" s="243"/>
      <c r="AAU293" s="243"/>
      <c r="AAV293" s="243"/>
      <c r="AAW293" s="243"/>
      <c r="AAX293" s="243"/>
      <c r="AAY293" s="243"/>
      <c r="AAZ293" s="243"/>
      <c r="ABA293" s="243"/>
      <c r="ABB293" s="243"/>
      <c r="ABC293" s="243"/>
      <c r="ABD293" s="243"/>
      <c r="ABE293" s="243"/>
      <c r="ABF293" s="243"/>
      <c r="ABG293" s="243"/>
      <c r="ABH293" s="243"/>
      <c r="ABI293" s="243"/>
      <c r="ABJ293" s="243"/>
      <c r="ABK293" s="243"/>
      <c r="ABL293" s="243"/>
      <c r="ABM293" s="243"/>
      <c r="ABN293" s="243"/>
      <c r="ABO293" s="243"/>
      <c r="ABP293" s="243"/>
      <c r="ABQ293" s="243"/>
      <c r="ABR293" s="243"/>
      <c r="ABS293" s="243"/>
      <c r="ABT293" s="243"/>
      <c r="ABU293" s="243"/>
      <c r="ABV293" s="243"/>
      <c r="ABW293" s="243"/>
      <c r="ABX293" s="243"/>
      <c r="ABY293" s="243"/>
      <c r="ABZ293" s="243"/>
      <c r="ACA293" s="243"/>
      <c r="ACB293" s="243"/>
      <c r="ACC293" s="243"/>
      <c r="ACD293" s="243"/>
      <c r="ACE293" s="243"/>
      <c r="ACF293" s="243"/>
      <c r="ACG293" s="243"/>
      <c r="ACH293" s="243"/>
      <c r="ACI293" s="243"/>
      <c r="ACJ293" s="243"/>
      <c r="ACK293" s="243"/>
      <c r="ACL293" s="243"/>
      <c r="ACM293" s="243"/>
      <c r="ACN293" s="243"/>
      <c r="ACO293" s="243"/>
      <c r="ACP293" s="243"/>
      <c r="ACQ293" s="243"/>
      <c r="ACR293" s="243"/>
      <c r="ACS293" s="243"/>
      <c r="ACT293" s="243"/>
      <c r="ACU293" s="243"/>
      <c r="ACV293" s="243"/>
      <c r="ACW293" s="243"/>
      <c r="ACX293" s="243"/>
      <c r="ACY293" s="243"/>
      <c r="ACZ293" s="243"/>
      <c r="ADA293" s="243"/>
      <c r="ADB293" s="243"/>
      <c r="ADC293" s="243"/>
      <c r="ADD293" s="243"/>
      <c r="ADE293" s="243"/>
      <c r="ADF293" s="243"/>
      <c r="ADG293" s="243"/>
      <c r="ADH293" s="243"/>
      <c r="ADI293" s="243"/>
      <c r="ADJ293" s="243"/>
      <c r="ADK293" s="243"/>
      <c r="ADL293" s="243"/>
      <c r="ADM293" s="243"/>
      <c r="ADN293" s="243"/>
      <c r="ADO293" s="243"/>
      <c r="ADP293" s="243"/>
      <c r="ADQ293" s="243"/>
      <c r="ADR293" s="243"/>
      <c r="ADS293" s="243"/>
      <c r="ADT293" s="243"/>
      <c r="ADU293" s="243"/>
      <c r="ADV293" s="243"/>
      <c r="ADW293" s="243"/>
      <c r="ADX293" s="243"/>
      <c r="ADY293" s="243"/>
      <c r="ADZ293" s="243"/>
      <c r="AEA293" s="243"/>
      <c r="AEB293" s="243"/>
      <c r="AEC293" s="243"/>
      <c r="AED293" s="243"/>
      <c r="AEE293" s="243"/>
      <c r="AEF293" s="243"/>
      <c r="AEG293" s="243"/>
      <c r="AEH293" s="243"/>
      <c r="AEI293" s="243"/>
      <c r="AEJ293" s="243"/>
      <c r="AEK293" s="243"/>
      <c r="AEL293" s="243"/>
      <c r="AEM293" s="243"/>
      <c r="AEN293" s="243"/>
      <c r="AEO293" s="243"/>
      <c r="AEP293" s="243"/>
      <c r="AEQ293" s="243"/>
      <c r="AER293" s="243"/>
      <c r="AES293" s="243"/>
      <c r="AET293" s="243"/>
      <c r="AEU293" s="243"/>
      <c r="AEV293" s="243"/>
      <c r="AEW293" s="243"/>
      <c r="AEX293" s="243"/>
      <c r="AEY293" s="243"/>
      <c r="AEZ293" s="243"/>
      <c r="AFA293" s="243"/>
      <c r="AFB293" s="243"/>
      <c r="AFC293" s="243"/>
      <c r="AFD293" s="243"/>
      <c r="AFE293" s="243"/>
      <c r="AFF293" s="243"/>
      <c r="AFG293" s="243"/>
      <c r="AFH293" s="243"/>
      <c r="AFI293" s="243"/>
      <c r="AFJ293" s="243"/>
      <c r="AFK293" s="243"/>
      <c r="AFL293" s="243"/>
      <c r="AFM293" s="243"/>
      <c r="AFN293" s="243"/>
      <c r="AFO293" s="243"/>
      <c r="AFP293" s="243"/>
      <c r="AFQ293" s="243"/>
      <c r="AFR293" s="243"/>
      <c r="AFS293" s="243"/>
      <c r="AFT293" s="243"/>
      <c r="AFU293" s="243"/>
      <c r="AFV293" s="243"/>
      <c r="AFW293" s="243"/>
      <c r="AFX293" s="243"/>
      <c r="AFY293" s="243"/>
      <c r="AFZ293" s="243"/>
      <c r="AGA293" s="243"/>
      <c r="AGB293" s="243"/>
      <c r="AGC293" s="243"/>
      <c r="AGD293" s="243"/>
      <c r="AGE293" s="243"/>
      <c r="AGF293" s="243"/>
      <c r="AGG293" s="243"/>
      <c r="AGH293" s="243"/>
      <c r="AGI293" s="243"/>
      <c r="AGJ293" s="243"/>
      <c r="AGK293" s="243"/>
      <c r="AGL293" s="243"/>
      <c r="AGM293" s="243"/>
      <c r="AGN293" s="243"/>
      <c r="AGO293" s="243"/>
      <c r="AGP293" s="243"/>
      <c r="AGQ293" s="243"/>
      <c r="AGR293" s="243"/>
      <c r="AGS293" s="243"/>
      <c r="AGT293" s="243"/>
      <c r="AGU293" s="243"/>
      <c r="AGV293" s="243"/>
      <c r="AGW293" s="243"/>
      <c r="AGX293" s="243"/>
      <c r="AGY293" s="243"/>
      <c r="AGZ293" s="243"/>
      <c r="AHA293" s="243"/>
      <c r="AHB293" s="243"/>
      <c r="AHC293" s="243"/>
      <c r="AHD293" s="243"/>
      <c r="AHE293" s="243"/>
      <c r="AHF293" s="243"/>
      <c r="AHG293" s="243"/>
      <c r="AHH293" s="243"/>
      <c r="AHI293" s="243"/>
      <c r="AHJ293" s="243"/>
      <c r="AHK293" s="243"/>
      <c r="AHL293" s="243"/>
      <c r="AHM293" s="243"/>
      <c r="AHN293" s="243"/>
      <c r="AHO293" s="243"/>
      <c r="AHP293" s="243"/>
      <c r="AHQ293" s="243"/>
      <c r="AHR293" s="243"/>
      <c r="AHS293" s="243"/>
      <c r="AHT293" s="243"/>
      <c r="AHU293" s="243"/>
      <c r="AHV293" s="243"/>
      <c r="AHW293" s="243"/>
      <c r="AHX293" s="243"/>
      <c r="AHY293" s="243"/>
      <c r="AHZ293" s="243"/>
      <c r="AIA293" s="243"/>
      <c r="AIB293" s="243"/>
      <c r="AIC293" s="243"/>
      <c r="AID293" s="243"/>
      <c r="AIE293" s="243"/>
      <c r="AIF293" s="243"/>
      <c r="AIG293" s="243"/>
      <c r="AIH293" s="243"/>
      <c r="AII293" s="243"/>
      <c r="AIJ293" s="243"/>
      <c r="AIK293" s="243"/>
      <c r="AIL293" s="243"/>
      <c r="AIM293" s="243"/>
      <c r="AIN293" s="243"/>
      <c r="AIO293" s="243"/>
      <c r="AIP293" s="243"/>
      <c r="AIQ293" s="243"/>
      <c r="AIR293" s="243"/>
      <c r="AIS293" s="243"/>
      <c r="AIT293" s="243"/>
      <c r="AIU293" s="243"/>
      <c r="AIV293" s="243"/>
      <c r="AIW293" s="243"/>
      <c r="AIX293" s="243"/>
      <c r="AIY293" s="243"/>
      <c r="AIZ293" s="243"/>
      <c r="AJA293" s="243"/>
      <c r="AJB293" s="243"/>
      <c r="AJC293" s="243"/>
      <c r="AJD293" s="243"/>
      <c r="AJE293" s="243"/>
      <c r="AJF293" s="243"/>
      <c r="AJG293" s="243"/>
      <c r="AJH293" s="243"/>
      <c r="AJI293" s="243"/>
      <c r="AJJ293" s="243"/>
      <c r="AJK293" s="243"/>
      <c r="AJL293" s="243"/>
      <c r="AJM293" s="243"/>
      <c r="AJN293" s="243"/>
      <c r="AJO293" s="243"/>
      <c r="AJP293" s="243"/>
      <c r="AJQ293" s="243"/>
      <c r="AJR293" s="243"/>
      <c r="AJS293" s="243"/>
      <c r="AJT293" s="243"/>
      <c r="AJU293" s="243"/>
      <c r="AJV293" s="243"/>
      <c r="AJW293" s="243"/>
      <c r="AJX293" s="243"/>
      <c r="AJY293" s="243"/>
      <c r="AJZ293" s="243"/>
      <c r="AKA293" s="243"/>
      <c r="AKB293" s="243"/>
      <c r="AKC293" s="243"/>
      <c r="AKD293" s="243"/>
      <c r="AKE293" s="243"/>
      <c r="AKF293" s="243"/>
      <c r="AKG293" s="243"/>
      <c r="AKH293" s="243"/>
      <c r="AKI293" s="243"/>
      <c r="AKJ293" s="243"/>
      <c r="AKK293" s="243"/>
      <c r="AKL293" s="243"/>
      <c r="AKM293" s="243"/>
      <c r="AKN293" s="243"/>
      <c r="AKO293" s="243"/>
      <c r="AKP293" s="243"/>
      <c r="AKQ293" s="243"/>
      <c r="AKR293" s="243"/>
      <c r="AKS293" s="243"/>
      <c r="AKT293" s="243"/>
      <c r="AKU293" s="243"/>
      <c r="AKV293" s="243"/>
      <c r="AKW293" s="243"/>
      <c r="AKX293" s="243"/>
      <c r="AKY293" s="243"/>
      <c r="AKZ293" s="243"/>
      <c r="ALA293" s="243"/>
      <c r="ALB293" s="243"/>
      <c r="ALC293" s="243"/>
      <c r="ALD293" s="243"/>
      <c r="ALE293" s="243"/>
      <c r="ALF293" s="243"/>
      <c r="ALG293" s="243"/>
      <c r="ALH293" s="243"/>
      <c r="ALI293" s="243"/>
      <c r="ALJ293" s="243"/>
      <c r="ALK293" s="243"/>
      <c r="ALL293" s="243"/>
      <c r="ALM293" s="243"/>
      <c r="ALN293" s="243"/>
      <c r="ALO293" s="243"/>
      <c r="ALP293" s="243"/>
      <c r="ALQ293" s="243"/>
      <c r="ALR293" s="243"/>
      <c r="ALS293" s="243"/>
      <c r="ALT293" s="243"/>
      <c r="ALU293" s="243"/>
      <c r="ALV293" s="243"/>
      <c r="ALW293" s="243"/>
      <c r="ALX293" s="243"/>
      <c r="ALY293" s="243"/>
      <c r="ALZ293" s="243"/>
      <c r="AMA293" s="243"/>
      <c r="AMB293" s="243"/>
      <c r="AMC293" s="243"/>
      <c r="AMD293" s="243"/>
      <c r="AME293" s="243"/>
      <c r="AMF293" s="243"/>
      <c r="AMG293" s="243"/>
      <c r="AMH293" s="243"/>
      <c r="AMI293" s="244"/>
      <c r="AMJ293" s="244"/>
    </row>
    <row r="294" spans="1:1024">
      <c r="A294" s="911"/>
      <c r="B294" s="442">
        <v>14322</v>
      </c>
      <c r="C294" s="432">
        <v>0.09</v>
      </c>
      <c r="D294" s="370" t="s">
        <v>180</v>
      </c>
      <c r="E294" s="433">
        <v>3550000</v>
      </c>
      <c r="F294" s="477">
        <v>0.05</v>
      </c>
      <c r="G294" s="401">
        <f t="shared" si="11"/>
        <v>177500</v>
      </c>
      <c r="H294" s="402" t="s">
        <v>47</v>
      </c>
      <c r="I294" s="402" t="s">
        <v>138</v>
      </c>
      <c r="J294" s="402"/>
      <c r="K294" s="402"/>
      <c r="L294" s="402"/>
      <c r="M294" s="395"/>
      <c r="N294" s="396"/>
      <c r="O294" s="377"/>
      <c r="P294" s="377"/>
      <c r="Q294" s="377"/>
      <c r="R294" s="243"/>
      <c r="S294" s="243"/>
      <c r="T294" s="243"/>
      <c r="U294" s="243"/>
      <c r="V294" s="243"/>
      <c r="W294" s="243"/>
      <c r="X294" s="243"/>
      <c r="Y294" s="243"/>
      <c r="Z294" s="243"/>
      <c r="AA294" s="243"/>
      <c r="AB294" s="243"/>
      <c r="AC294" s="243"/>
      <c r="AD294" s="243"/>
      <c r="AE294" s="243"/>
      <c r="AF294" s="243"/>
      <c r="AG294" s="243"/>
      <c r="AH294" s="243"/>
      <c r="AI294" s="243"/>
      <c r="AJ294" s="243"/>
      <c r="AK294" s="243"/>
      <c r="AL294" s="243"/>
      <c r="AM294" s="243"/>
      <c r="AN294" s="243"/>
      <c r="AO294" s="243"/>
      <c r="AP294" s="243"/>
      <c r="AQ294" s="243"/>
      <c r="AR294" s="243"/>
      <c r="AS294" s="243"/>
      <c r="AT294" s="243"/>
      <c r="AU294" s="243"/>
      <c r="AV294" s="243"/>
      <c r="AW294" s="243"/>
      <c r="AX294" s="243"/>
      <c r="AY294" s="243"/>
      <c r="AZ294" s="243"/>
      <c r="BA294" s="243"/>
      <c r="BB294" s="243"/>
      <c r="BC294" s="243"/>
      <c r="BD294" s="243"/>
      <c r="BE294" s="243"/>
      <c r="BF294" s="243"/>
      <c r="BG294" s="243"/>
      <c r="BH294" s="243"/>
      <c r="BI294" s="243"/>
      <c r="BJ294" s="243"/>
      <c r="BK294" s="243"/>
      <c r="BL294" s="243"/>
      <c r="BM294" s="243"/>
      <c r="BN294" s="243"/>
      <c r="BO294" s="243"/>
      <c r="BP294" s="243"/>
      <c r="BQ294" s="243"/>
      <c r="BR294" s="243"/>
      <c r="BS294" s="243"/>
      <c r="BT294" s="243"/>
      <c r="BU294" s="243"/>
      <c r="BV294" s="243"/>
      <c r="BW294" s="243"/>
      <c r="BX294" s="243"/>
      <c r="BY294" s="243"/>
      <c r="BZ294" s="243"/>
      <c r="CA294" s="243"/>
      <c r="CB294" s="243"/>
      <c r="CC294" s="243"/>
      <c r="CD294" s="243"/>
      <c r="CE294" s="243"/>
      <c r="CF294" s="243"/>
      <c r="CG294" s="243"/>
      <c r="CH294" s="243"/>
      <c r="CI294" s="243"/>
      <c r="CJ294" s="243"/>
      <c r="CK294" s="243"/>
      <c r="CL294" s="243"/>
      <c r="CM294" s="243"/>
      <c r="CN294" s="243"/>
      <c r="CO294" s="243"/>
      <c r="CP294" s="243"/>
      <c r="CQ294" s="243"/>
      <c r="CR294" s="243"/>
      <c r="CS294" s="243"/>
      <c r="CT294" s="243"/>
      <c r="CU294" s="243"/>
      <c r="CV294" s="243"/>
      <c r="CW294" s="243"/>
      <c r="CX294" s="243"/>
      <c r="CY294" s="243"/>
      <c r="CZ294" s="243"/>
      <c r="DA294" s="243"/>
      <c r="DB294" s="243"/>
      <c r="DC294" s="243"/>
      <c r="DD294" s="243"/>
      <c r="DE294" s="243"/>
      <c r="DF294" s="243"/>
      <c r="DG294" s="243"/>
      <c r="DH294" s="243"/>
      <c r="DI294" s="243"/>
      <c r="DJ294" s="243"/>
      <c r="DK294" s="243"/>
      <c r="DL294" s="243"/>
      <c r="DM294" s="243"/>
      <c r="DN294" s="243"/>
      <c r="DO294" s="243"/>
      <c r="DP294" s="243"/>
      <c r="DQ294" s="243"/>
      <c r="DR294" s="243"/>
      <c r="DS294" s="243"/>
      <c r="DT294" s="243"/>
      <c r="DU294" s="243"/>
      <c r="DV294" s="243"/>
      <c r="DW294" s="243"/>
      <c r="DX294" s="243"/>
      <c r="DY294" s="243"/>
      <c r="DZ294" s="243"/>
      <c r="EA294" s="243"/>
      <c r="EB294" s="243"/>
      <c r="EC294" s="243"/>
      <c r="ED294" s="243"/>
      <c r="EE294" s="243"/>
      <c r="EF294" s="243"/>
      <c r="EG294" s="243"/>
      <c r="EH294" s="243"/>
      <c r="EI294" s="243"/>
      <c r="EJ294" s="243"/>
      <c r="EK294" s="243"/>
      <c r="EL294" s="243"/>
      <c r="EM294" s="243"/>
      <c r="EN294" s="243"/>
      <c r="EO294" s="243"/>
      <c r="EP294" s="243"/>
      <c r="EQ294" s="243"/>
      <c r="ER294" s="243"/>
      <c r="ES294" s="243"/>
      <c r="ET294" s="243"/>
      <c r="EU294" s="243"/>
      <c r="EV294" s="243"/>
      <c r="EW294" s="243"/>
      <c r="EX294" s="243"/>
      <c r="EY294" s="243"/>
      <c r="EZ294" s="243"/>
      <c r="FA294" s="243"/>
      <c r="FB294" s="243"/>
      <c r="FC294" s="243"/>
      <c r="FD294" s="243"/>
      <c r="FE294" s="243"/>
      <c r="FF294" s="243"/>
      <c r="FG294" s="243"/>
      <c r="FH294" s="243"/>
      <c r="FI294" s="243"/>
      <c r="FJ294" s="243"/>
      <c r="FK294" s="243"/>
      <c r="FL294" s="243"/>
      <c r="FM294" s="243"/>
      <c r="FN294" s="243"/>
      <c r="FO294" s="243"/>
      <c r="FP294" s="243"/>
      <c r="FQ294" s="243"/>
      <c r="FR294" s="243"/>
      <c r="FS294" s="243"/>
      <c r="FT294" s="243"/>
      <c r="FU294" s="243"/>
      <c r="FV294" s="243"/>
      <c r="FW294" s="243"/>
      <c r="FX294" s="243"/>
      <c r="FY294" s="243"/>
      <c r="FZ294" s="243"/>
      <c r="GA294" s="243"/>
      <c r="GB294" s="243"/>
      <c r="GC294" s="243"/>
      <c r="GD294" s="243"/>
      <c r="GE294" s="243"/>
      <c r="GF294" s="243"/>
      <c r="GG294" s="243"/>
      <c r="GH294" s="243"/>
      <c r="GI294" s="243"/>
      <c r="GJ294" s="243"/>
      <c r="GK294" s="243"/>
      <c r="GL294" s="243"/>
      <c r="GM294" s="243"/>
      <c r="GN294" s="243"/>
      <c r="GO294" s="243"/>
      <c r="GP294" s="243"/>
      <c r="GQ294" s="243"/>
      <c r="GR294" s="243"/>
      <c r="GS294" s="243"/>
      <c r="GT294" s="243"/>
      <c r="GU294" s="243"/>
      <c r="GV294" s="243"/>
      <c r="GW294" s="243"/>
      <c r="GX294" s="243"/>
      <c r="GY294" s="243"/>
      <c r="GZ294" s="243"/>
      <c r="HA294" s="243"/>
      <c r="HB294" s="243"/>
      <c r="HC294" s="243"/>
      <c r="HD294" s="243"/>
      <c r="HE294" s="243"/>
      <c r="HF294" s="243"/>
      <c r="HG294" s="243"/>
      <c r="HH294" s="243"/>
      <c r="HI294" s="243"/>
      <c r="HJ294" s="243"/>
      <c r="HK294" s="243"/>
      <c r="HL294" s="243"/>
      <c r="HM294" s="243"/>
      <c r="HN294" s="243"/>
      <c r="HO294" s="243"/>
      <c r="HP294" s="243"/>
      <c r="HQ294" s="243"/>
      <c r="HR294" s="243"/>
      <c r="HS294" s="243"/>
      <c r="HT294" s="243"/>
      <c r="HU294" s="243"/>
      <c r="HV294" s="243"/>
      <c r="HW294" s="243"/>
      <c r="HX294" s="243"/>
      <c r="HY294" s="243"/>
      <c r="HZ294" s="243"/>
      <c r="IA294" s="243"/>
      <c r="IB294" s="243"/>
      <c r="IC294" s="243"/>
      <c r="ID294" s="243"/>
      <c r="IE294" s="243"/>
      <c r="IF294" s="243"/>
      <c r="IG294" s="243"/>
      <c r="IH294" s="243"/>
      <c r="II294" s="243"/>
      <c r="IJ294" s="243"/>
      <c r="IK294" s="243"/>
      <c r="IL294" s="243"/>
      <c r="IM294" s="243"/>
      <c r="IN294" s="243"/>
      <c r="IO294" s="243"/>
      <c r="IP294" s="243"/>
      <c r="IQ294" s="243"/>
      <c r="IR294" s="243"/>
      <c r="IS294" s="243"/>
      <c r="IT294" s="243"/>
      <c r="IU294" s="243"/>
      <c r="IV294" s="243"/>
      <c r="IW294" s="243"/>
      <c r="IX294" s="243"/>
      <c r="IY294" s="243"/>
      <c r="IZ294" s="243"/>
      <c r="JA294" s="243"/>
      <c r="JB294" s="243"/>
      <c r="JC294" s="243"/>
      <c r="JD294" s="243"/>
      <c r="JE294" s="243"/>
      <c r="JF294" s="243"/>
      <c r="JG294" s="243"/>
      <c r="JH294" s="243"/>
      <c r="JI294" s="243"/>
      <c r="JJ294" s="243"/>
      <c r="JK294" s="243"/>
      <c r="JL294" s="243"/>
      <c r="JM294" s="243"/>
      <c r="JN294" s="243"/>
      <c r="JO294" s="243"/>
      <c r="JP294" s="243"/>
      <c r="JQ294" s="243"/>
      <c r="JR294" s="243"/>
      <c r="JS294" s="243"/>
      <c r="JT294" s="243"/>
      <c r="JU294" s="243"/>
      <c r="JV294" s="243"/>
      <c r="JW294" s="243"/>
      <c r="JX294" s="243"/>
      <c r="JY294" s="243"/>
      <c r="JZ294" s="243"/>
      <c r="KA294" s="243"/>
      <c r="KB294" s="243"/>
      <c r="KC294" s="243"/>
      <c r="KD294" s="243"/>
      <c r="KE294" s="243"/>
      <c r="KF294" s="243"/>
      <c r="KG294" s="243"/>
      <c r="KH294" s="243"/>
      <c r="KI294" s="243"/>
      <c r="KJ294" s="243"/>
      <c r="KK294" s="243"/>
      <c r="KL294" s="243"/>
      <c r="KM294" s="243"/>
      <c r="KN294" s="243"/>
      <c r="KO294" s="243"/>
      <c r="KP294" s="243"/>
      <c r="KQ294" s="243"/>
      <c r="KR294" s="243"/>
      <c r="KS294" s="243"/>
      <c r="KT294" s="243"/>
      <c r="KU294" s="243"/>
      <c r="KV294" s="243"/>
      <c r="KW294" s="243"/>
      <c r="KX294" s="243"/>
      <c r="KY294" s="243"/>
      <c r="KZ294" s="243"/>
      <c r="LA294" s="243"/>
      <c r="LB294" s="243"/>
      <c r="LC294" s="243"/>
      <c r="LD294" s="243"/>
      <c r="LE294" s="243"/>
      <c r="LF294" s="243"/>
      <c r="LG294" s="243"/>
      <c r="LH294" s="243"/>
      <c r="LI294" s="243"/>
      <c r="LJ294" s="243"/>
      <c r="LK294" s="243"/>
      <c r="LL294" s="243"/>
      <c r="LM294" s="243"/>
      <c r="LN294" s="243"/>
      <c r="LO294" s="243"/>
      <c r="LP294" s="243"/>
      <c r="LQ294" s="243"/>
      <c r="LR294" s="243"/>
      <c r="LS294" s="243"/>
      <c r="LT294" s="243"/>
      <c r="LU294" s="243"/>
      <c r="LV294" s="243"/>
      <c r="LW294" s="243"/>
      <c r="LX294" s="243"/>
      <c r="LY294" s="243"/>
      <c r="LZ294" s="243"/>
      <c r="MA294" s="243"/>
      <c r="MB294" s="243"/>
      <c r="MC294" s="243"/>
      <c r="MD294" s="243"/>
      <c r="ME294" s="243"/>
      <c r="MF294" s="243"/>
      <c r="MG294" s="243"/>
      <c r="MH294" s="243"/>
      <c r="MI294" s="243"/>
      <c r="MJ294" s="243"/>
      <c r="MK294" s="243"/>
      <c r="ML294" s="243"/>
      <c r="MM294" s="243"/>
      <c r="MN294" s="243"/>
      <c r="MO294" s="243"/>
      <c r="MP294" s="243"/>
      <c r="MQ294" s="243"/>
      <c r="MR294" s="243"/>
      <c r="MS294" s="243"/>
      <c r="MT294" s="243"/>
      <c r="MU294" s="243"/>
      <c r="MV294" s="243"/>
      <c r="MW294" s="243"/>
      <c r="MX294" s="243"/>
      <c r="MY294" s="243"/>
      <c r="MZ294" s="243"/>
      <c r="NA294" s="243"/>
      <c r="NB294" s="243"/>
      <c r="NC294" s="243"/>
      <c r="ND294" s="243"/>
      <c r="NE294" s="243"/>
      <c r="NF294" s="243"/>
      <c r="NG294" s="243"/>
      <c r="NH294" s="243"/>
      <c r="NI294" s="243"/>
      <c r="NJ294" s="243"/>
      <c r="NK294" s="243"/>
      <c r="NL294" s="243"/>
      <c r="NM294" s="243"/>
      <c r="NN294" s="243"/>
      <c r="NO294" s="243"/>
      <c r="NP294" s="243"/>
      <c r="NQ294" s="243"/>
      <c r="NR294" s="243"/>
      <c r="NS294" s="243"/>
      <c r="NT294" s="243"/>
      <c r="NU294" s="243"/>
      <c r="NV294" s="243"/>
      <c r="NW294" s="243"/>
      <c r="NX294" s="243"/>
      <c r="NY294" s="243"/>
      <c r="NZ294" s="243"/>
      <c r="OA294" s="243"/>
      <c r="OB294" s="243"/>
      <c r="OC294" s="243"/>
      <c r="OD294" s="243"/>
      <c r="OE294" s="243"/>
      <c r="OF294" s="243"/>
      <c r="OG294" s="243"/>
      <c r="OH294" s="243"/>
      <c r="OI294" s="243"/>
      <c r="OJ294" s="243"/>
      <c r="OK294" s="243"/>
      <c r="OL294" s="243"/>
      <c r="OM294" s="243"/>
      <c r="ON294" s="243"/>
      <c r="OO294" s="243"/>
      <c r="OP294" s="243"/>
      <c r="OQ294" s="243"/>
      <c r="OR294" s="243"/>
      <c r="OS294" s="243"/>
      <c r="OT294" s="243"/>
      <c r="OU294" s="243"/>
      <c r="OV294" s="243"/>
      <c r="OW294" s="243"/>
      <c r="OX294" s="243"/>
      <c r="OY294" s="243"/>
      <c r="OZ294" s="243"/>
      <c r="PA294" s="243"/>
      <c r="PB294" s="243"/>
      <c r="PC294" s="243"/>
      <c r="PD294" s="243"/>
      <c r="PE294" s="243"/>
      <c r="PF294" s="243"/>
      <c r="PG294" s="243"/>
      <c r="PH294" s="243"/>
      <c r="PI294" s="243"/>
      <c r="PJ294" s="243"/>
      <c r="PK294" s="243"/>
      <c r="PL294" s="243"/>
      <c r="PM294" s="243"/>
      <c r="PN294" s="243"/>
      <c r="PO294" s="243"/>
      <c r="PP294" s="243"/>
      <c r="PQ294" s="243"/>
      <c r="PR294" s="243"/>
      <c r="PS294" s="243"/>
      <c r="PT294" s="243"/>
      <c r="PU294" s="243"/>
      <c r="PV294" s="243"/>
      <c r="PW294" s="243"/>
      <c r="PX294" s="243"/>
      <c r="PY294" s="243"/>
      <c r="PZ294" s="243"/>
      <c r="QA294" s="243"/>
      <c r="QB294" s="243"/>
      <c r="QC294" s="243"/>
      <c r="QD294" s="243"/>
      <c r="QE294" s="243"/>
      <c r="QF294" s="243"/>
      <c r="QG294" s="243"/>
      <c r="QH294" s="243"/>
      <c r="QI294" s="243"/>
      <c r="QJ294" s="243"/>
      <c r="QK294" s="243"/>
      <c r="QL294" s="243"/>
      <c r="QM294" s="243"/>
      <c r="QN294" s="243"/>
      <c r="QO294" s="243"/>
      <c r="QP294" s="243"/>
      <c r="QQ294" s="243"/>
      <c r="QR294" s="243"/>
      <c r="QS294" s="243"/>
      <c r="QT294" s="243"/>
      <c r="QU294" s="243"/>
      <c r="QV294" s="243"/>
      <c r="QW294" s="243"/>
      <c r="QX294" s="243"/>
      <c r="QY294" s="243"/>
      <c r="QZ294" s="243"/>
      <c r="RA294" s="243"/>
      <c r="RB294" s="243"/>
      <c r="RC294" s="243"/>
      <c r="RD294" s="243"/>
      <c r="RE294" s="243"/>
      <c r="RF294" s="243"/>
      <c r="RG294" s="243"/>
      <c r="RH294" s="243"/>
      <c r="RI294" s="243"/>
      <c r="RJ294" s="243"/>
      <c r="RK294" s="243"/>
      <c r="RL294" s="243"/>
      <c r="RM294" s="243"/>
      <c r="RN294" s="243"/>
      <c r="RO294" s="243"/>
      <c r="RP294" s="243"/>
      <c r="RQ294" s="243"/>
      <c r="RR294" s="243"/>
      <c r="RS294" s="243"/>
      <c r="RT294" s="243"/>
      <c r="RU294" s="243"/>
      <c r="RV294" s="243"/>
      <c r="RW294" s="243"/>
      <c r="RX294" s="243"/>
      <c r="RY294" s="243"/>
      <c r="RZ294" s="243"/>
      <c r="SA294" s="243"/>
      <c r="SB294" s="243"/>
      <c r="SC294" s="243"/>
      <c r="SD294" s="243"/>
      <c r="SE294" s="243"/>
      <c r="SF294" s="243"/>
      <c r="SG294" s="243"/>
      <c r="SH294" s="243"/>
      <c r="SI294" s="243"/>
      <c r="SJ294" s="243"/>
      <c r="SK294" s="243"/>
      <c r="SL294" s="243"/>
      <c r="SM294" s="243"/>
      <c r="SN294" s="243"/>
      <c r="SO294" s="243"/>
      <c r="SP294" s="243"/>
      <c r="SQ294" s="243"/>
      <c r="SR294" s="243"/>
      <c r="SS294" s="243"/>
      <c r="ST294" s="243"/>
      <c r="SU294" s="243"/>
      <c r="SV294" s="243"/>
      <c r="SW294" s="243"/>
      <c r="SX294" s="243"/>
      <c r="SY294" s="243"/>
      <c r="SZ294" s="243"/>
      <c r="TA294" s="243"/>
      <c r="TB294" s="243"/>
      <c r="TC294" s="243"/>
      <c r="TD294" s="243"/>
      <c r="TE294" s="243"/>
      <c r="TF294" s="243"/>
      <c r="TG294" s="243"/>
      <c r="TH294" s="243"/>
      <c r="TI294" s="243"/>
      <c r="TJ294" s="243"/>
      <c r="TK294" s="243"/>
      <c r="TL294" s="243"/>
      <c r="TM294" s="243"/>
      <c r="TN294" s="243"/>
      <c r="TO294" s="243"/>
      <c r="TP294" s="243"/>
      <c r="TQ294" s="243"/>
      <c r="TR294" s="243"/>
      <c r="TS294" s="243"/>
      <c r="TT294" s="243"/>
      <c r="TU294" s="243"/>
      <c r="TV294" s="243"/>
      <c r="TW294" s="243"/>
      <c r="TX294" s="243"/>
      <c r="TY294" s="243"/>
      <c r="TZ294" s="243"/>
      <c r="UA294" s="243"/>
      <c r="UB294" s="243"/>
      <c r="UC294" s="243"/>
      <c r="UD294" s="243"/>
      <c r="UE294" s="243"/>
      <c r="UF294" s="243"/>
      <c r="UG294" s="243"/>
      <c r="UH294" s="243"/>
      <c r="UI294" s="243"/>
      <c r="UJ294" s="243"/>
      <c r="UK294" s="243"/>
      <c r="UL294" s="243"/>
      <c r="UM294" s="243"/>
      <c r="UN294" s="243"/>
      <c r="UO294" s="243"/>
      <c r="UP294" s="243"/>
      <c r="UQ294" s="243"/>
      <c r="UR294" s="243"/>
      <c r="US294" s="243"/>
      <c r="UT294" s="243"/>
      <c r="UU294" s="243"/>
      <c r="UV294" s="243"/>
      <c r="UW294" s="243"/>
      <c r="UX294" s="243"/>
      <c r="UY294" s="243"/>
      <c r="UZ294" s="243"/>
      <c r="VA294" s="243"/>
      <c r="VB294" s="243"/>
      <c r="VC294" s="243"/>
      <c r="VD294" s="243"/>
      <c r="VE294" s="243"/>
      <c r="VF294" s="243"/>
      <c r="VG294" s="243"/>
      <c r="VH294" s="243"/>
      <c r="VI294" s="243"/>
      <c r="VJ294" s="243"/>
      <c r="VK294" s="243"/>
      <c r="VL294" s="243"/>
      <c r="VM294" s="243"/>
      <c r="VN294" s="243"/>
      <c r="VO294" s="243"/>
      <c r="VP294" s="243"/>
      <c r="VQ294" s="243"/>
      <c r="VR294" s="243"/>
      <c r="VS294" s="243"/>
      <c r="VT294" s="243"/>
      <c r="VU294" s="243"/>
      <c r="VV294" s="243"/>
      <c r="VW294" s="243"/>
      <c r="VX294" s="243"/>
      <c r="VY294" s="243"/>
      <c r="VZ294" s="243"/>
      <c r="WA294" s="243"/>
      <c r="WB294" s="243"/>
      <c r="WC294" s="243"/>
      <c r="WD294" s="243"/>
      <c r="WE294" s="243"/>
      <c r="WF294" s="243"/>
      <c r="WG294" s="243"/>
      <c r="WH294" s="243"/>
      <c r="WI294" s="243"/>
      <c r="WJ294" s="243"/>
      <c r="WK294" s="243"/>
      <c r="WL294" s="243"/>
      <c r="WM294" s="243"/>
      <c r="WN294" s="243"/>
      <c r="WO294" s="243"/>
      <c r="WP294" s="243"/>
      <c r="WQ294" s="243"/>
      <c r="WR294" s="243"/>
      <c r="WS294" s="243"/>
      <c r="WT294" s="243"/>
      <c r="WU294" s="243"/>
      <c r="WV294" s="243"/>
      <c r="WW294" s="243"/>
      <c r="WX294" s="243"/>
      <c r="WY294" s="243"/>
      <c r="WZ294" s="243"/>
      <c r="XA294" s="243"/>
      <c r="XB294" s="243"/>
      <c r="XC294" s="243"/>
      <c r="XD294" s="243"/>
      <c r="XE294" s="243"/>
      <c r="XF294" s="243"/>
      <c r="XG294" s="243"/>
      <c r="XH294" s="243"/>
      <c r="XI294" s="243"/>
      <c r="XJ294" s="243"/>
      <c r="XK294" s="243"/>
      <c r="XL294" s="243"/>
      <c r="XM294" s="243"/>
      <c r="XN294" s="243"/>
      <c r="XO294" s="243"/>
      <c r="XP294" s="243"/>
      <c r="XQ294" s="243"/>
      <c r="XR294" s="243"/>
      <c r="XS294" s="243"/>
      <c r="XT294" s="243"/>
      <c r="XU294" s="243"/>
      <c r="XV294" s="243"/>
      <c r="XW294" s="243"/>
      <c r="XX294" s="243"/>
      <c r="XY294" s="243"/>
      <c r="XZ294" s="243"/>
      <c r="YA294" s="243"/>
      <c r="YB294" s="243"/>
      <c r="YC294" s="243"/>
      <c r="YD294" s="243"/>
      <c r="YE294" s="243"/>
      <c r="YF294" s="243"/>
      <c r="YG294" s="243"/>
      <c r="YH294" s="243"/>
      <c r="YI294" s="243"/>
      <c r="YJ294" s="243"/>
      <c r="YK294" s="243"/>
      <c r="YL294" s="243"/>
      <c r="YM294" s="243"/>
      <c r="YN294" s="243"/>
      <c r="YO294" s="243"/>
      <c r="YP294" s="243"/>
      <c r="YQ294" s="243"/>
      <c r="YR294" s="243"/>
      <c r="YS294" s="243"/>
      <c r="YT294" s="243"/>
      <c r="YU294" s="243"/>
      <c r="YV294" s="243"/>
      <c r="YW294" s="243"/>
      <c r="YX294" s="243"/>
      <c r="YY294" s="243"/>
      <c r="YZ294" s="243"/>
      <c r="ZA294" s="243"/>
      <c r="ZB294" s="243"/>
      <c r="ZC294" s="243"/>
      <c r="ZD294" s="243"/>
      <c r="ZE294" s="243"/>
      <c r="ZF294" s="243"/>
      <c r="ZG294" s="243"/>
      <c r="ZH294" s="243"/>
      <c r="ZI294" s="243"/>
      <c r="ZJ294" s="243"/>
      <c r="ZK294" s="243"/>
      <c r="ZL294" s="243"/>
      <c r="ZM294" s="243"/>
      <c r="ZN294" s="243"/>
      <c r="ZO294" s="243"/>
      <c r="ZP294" s="243"/>
      <c r="ZQ294" s="243"/>
      <c r="ZR294" s="243"/>
      <c r="ZS294" s="243"/>
      <c r="ZT294" s="243"/>
      <c r="ZU294" s="243"/>
      <c r="ZV294" s="243"/>
      <c r="ZW294" s="243"/>
      <c r="ZX294" s="243"/>
      <c r="ZY294" s="243"/>
      <c r="ZZ294" s="243"/>
      <c r="AAA294" s="243"/>
      <c r="AAB294" s="243"/>
      <c r="AAC294" s="243"/>
      <c r="AAD294" s="243"/>
      <c r="AAE294" s="243"/>
      <c r="AAF294" s="243"/>
      <c r="AAG294" s="243"/>
      <c r="AAH294" s="243"/>
      <c r="AAI294" s="243"/>
      <c r="AAJ294" s="243"/>
      <c r="AAK294" s="243"/>
      <c r="AAL294" s="243"/>
      <c r="AAM294" s="243"/>
      <c r="AAN294" s="243"/>
      <c r="AAO294" s="243"/>
      <c r="AAP294" s="243"/>
      <c r="AAQ294" s="243"/>
      <c r="AAR294" s="243"/>
      <c r="AAS294" s="243"/>
      <c r="AAT294" s="243"/>
      <c r="AAU294" s="243"/>
      <c r="AAV294" s="243"/>
      <c r="AAW294" s="243"/>
      <c r="AAX294" s="243"/>
      <c r="AAY294" s="243"/>
      <c r="AAZ294" s="243"/>
      <c r="ABA294" s="243"/>
      <c r="ABB294" s="243"/>
      <c r="ABC294" s="243"/>
      <c r="ABD294" s="243"/>
      <c r="ABE294" s="243"/>
      <c r="ABF294" s="243"/>
      <c r="ABG294" s="243"/>
      <c r="ABH294" s="243"/>
      <c r="ABI294" s="243"/>
      <c r="ABJ294" s="243"/>
      <c r="ABK294" s="243"/>
      <c r="ABL294" s="243"/>
      <c r="ABM294" s="243"/>
      <c r="ABN294" s="243"/>
      <c r="ABO294" s="243"/>
      <c r="ABP294" s="243"/>
      <c r="ABQ294" s="243"/>
      <c r="ABR294" s="243"/>
      <c r="ABS294" s="243"/>
      <c r="ABT294" s="243"/>
      <c r="ABU294" s="243"/>
      <c r="ABV294" s="243"/>
      <c r="ABW294" s="243"/>
      <c r="ABX294" s="243"/>
      <c r="ABY294" s="243"/>
      <c r="ABZ294" s="243"/>
      <c r="ACA294" s="243"/>
      <c r="ACB294" s="243"/>
      <c r="ACC294" s="243"/>
      <c r="ACD294" s="243"/>
      <c r="ACE294" s="243"/>
      <c r="ACF294" s="243"/>
      <c r="ACG294" s="243"/>
      <c r="ACH294" s="243"/>
      <c r="ACI294" s="243"/>
      <c r="ACJ294" s="243"/>
      <c r="ACK294" s="243"/>
      <c r="ACL294" s="243"/>
      <c r="ACM294" s="243"/>
      <c r="ACN294" s="243"/>
      <c r="ACO294" s="243"/>
      <c r="ACP294" s="243"/>
      <c r="ACQ294" s="243"/>
      <c r="ACR294" s="243"/>
      <c r="ACS294" s="243"/>
      <c r="ACT294" s="243"/>
      <c r="ACU294" s="243"/>
      <c r="ACV294" s="243"/>
      <c r="ACW294" s="243"/>
      <c r="ACX294" s="243"/>
      <c r="ACY294" s="243"/>
      <c r="ACZ294" s="243"/>
      <c r="ADA294" s="243"/>
      <c r="ADB294" s="243"/>
      <c r="ADC294" s="243"/>
      <c r="ADD294" s="243"/>
      <c r="ADE294" s="243"/>
      <c r="ADF294" s="243"/>
      <c r="ADG294" s="243"/>
      <c r="ADH294" s="243"/>
      <c r="ADI294" s="243"/>
      <c r="ADJ294" s="243"/>
      <c r="ADK294" s="243"/>
      <c r="ADL294" s="243"/>
      <c r="ADM294" s="243"/>
      <c r="ADN294" s="243"/>
      <c r="ADO294" s="243"/>
      <c r="ADP294" s="243"/>
      <c r="ADQ294" s="243"/>
      <c r="ADR294" s="243"/>
      <c r="ADS294" s="243"/>
      <c r="ADT294" s="243"/>
      <c r="ADU294" s="243"/>
      <c r="ADV294" s="243"/>
      <c r="ADW294" s="243"/>
      <c r="ADX294" s="243"/>
      <c r="ADY294" s="243"/>
      <c r="ADZ294" s="243"/>
      <c r="AEA294" s="243"/>
      <c r="AEB294" s="243"/>
      <c r="AEC294" s="243"/>
      <c r="AED294" s="243"/>
      <c r="AEE294" s="243"/>
      <c r="AEF294" s="243"/>
      <c r="AEG294" s="243"/>
      <c r="AEH294" s="243"/>
      <c r="AEI294" s="243"/>
      <c r="AEJ294" s="243"/>
      <c r="AEK294" s="243"/>
      <c r="AEL294" s="243"/>
      <c r="AEM294" s="243"/>
      <c r="AEN294" s="243"/>
      <c r="AEO294" s="243"/>
      <c r="AEP294" s="243"/>
      <c r="AEQ294" s="243"/>
      <c r="AER294" s="243"/>
      <c r="AES294" s="243"/>
      <c r="AET294" s="243"/>
      <c r="AEU294" s="243"/>
      <c r="AEV294" s="243"/>
      <c r="AEW294" s="243"/>
      <c r="AEX294" s="243"/>
      <c r="AEY294" s="243"/>
      <c r="AEZ294" s="243"/>
      <c r="AFA294" s="243"/>
      <c r="AFB294" s="243"/>
      <c r="AFC294" s="243"/>
      <c r="AFD294" s="243"/>
      <c r="AFE294" s="243"/>
      <c r="AFF294" s="243"/>
      <c r="AFG294" s="243"/>
      <c r="AFH294" s="243"/>
      <c r="AFI294" s="243"/>
      <c r="AFJ294" s="243"/>
      <c r="AFK294" s="243"/>
      <c r="AFL294" s="243"/>
      <c r="AFM294" s="243"/>
      <c r="AFN294" s="243"/>
      <c r="AFO294" s="243"/>
      <c r="AFP294" s="243"/>
      <c r="AFQ294" s="243"/>
      <c r="AFR294" s="243"/>
      <c r="AFS294" s="243"/>
      <c r="AFT294" s="243"/>
      <c r="AFU294" s="243"/>
      <c r="AFV294" s="243"/>
      <c r="AFW294" s="243"/>
      <c r="AFX294" s="243"/>
      <c r="AFY294" s="243"/>
      <c r="AFZ294" s="243"/>
      <c r="AGA294" s="243"/>
      <c r="AGB294" s="243"/>
      <c r="AGC294" s="243"/>
      <c r="AGD294" s="243"/>
      <c r="AGE294" s="243"/>
      <c r="AGF294" s="243"/>
      <c r="AGG294" s="243"/>
      <c r="AGH294" s="243"/>
      <c r="AGI294" s="243"/>
      <c r="AGJ294" s="243"/>
      <c r="AGK294" s="243"/>
      <c r="AGL294" s="243"/>
      <c r="AGM294" s="243"/>
      <c r="AGN294" s="243"/>
      <c r="AGO294" s="243"/>
      <c r="AGP294" s="243"/>
      <c r="AGQ294" s="243"/>
      <c r="AGR294" s="243"/>
      <c r="AGS294" s="243"/>
      <c r="AGT294" s="243"/>
      <c r="AGU294" s="243"/>
      <c r="AGV294" s="243"/>
      <c r="AGW294" s="243"/>
      <c r="AGX294" s="243"/>
      <c r="AGY294" s="243"/>
      <c r="AGZ294" s="243"/>
      <c r="AHA294" s="243"/>
      <c r="AHB294" s="243"/>
      <c r="AHC294" s="243"/>
      <c r="AHD294" s="243"/>
      <c r="AHE294" s="243"/>
      <c r="AHF294" s="243"/>
      <c r="AHG294" s="243"/>
      <c r="AHH294" s="243"/>
      <c r="AHI294" s="243"/>
      <c r="AHJ294" s="243"/>
      <c r="AHK294" s="243"/>
      <c r="AHL294" s="243"/>
      <c r="AHM294" s="243"/>
      <c r="AHN294" s="243"/>
      <c r="AHO294" s="243"/>
      <c r="AHP294" s="243"/>
      <c r="AHQ294" s="243"/>
      <c r="AHR294" s="243"/>
      <c r="AHS294" s="243"/>
      <c r="AHT294" s="243"/>
      <c r="AHU294" s="243"/>
      <c r="AHV294" s="243"/>
      <c r="AHW294" s="243"/>
      <c r="AHX294" s="243"/>
      <c r="AHY294" s="243"/>
      <c r="AHZ294" s="243"/>
      <c r="AIA294" s="243"/>
      <c r="AIB294" s="243"/>
      <c r="AIC294" s="243"/>
      <c r="AID294" s="243"/>
      <c r="AIE294" s="243"/>
      <c r="AIF294" s="243"/>
      <c r="AIG294" s="243"/>
      <c r="AIH294" s="243"/>
      <c r="AII294" s="243"/>
      <c r="AIJ294" s="243"/>
      <c r="AIK294" s="243"/>
      <c r="AIL294" s="243"/>
      <c r="AIM294" s="243"/>
      <c r="AIN294" s="243"/>
      <c r="AIO294" s="243"/>
      <c r="AIP294" s="243"/>
      <c r="AIQ294" s="243"/>
      <c r="AIR294" s="243"/>
      <c r="AIS294" s="243"/>
      <c r="AIT294" s="243"/>
      <c r="AIU294" s="243"/>
      <c r="AIV294" s="243"/>
      <c r="AIW294" s="243"/>
      <c r="AIX294" s="243"/>
      <c r="AIY294" s="243"/>
      <c r="AIZ294" s="243"/>
      <c r="AJA294" s="243"/>
      <c r="AJB294" s="243"/>
      <c r="AJC294" s="243"/>
      <c r="AJD294" s="243"/>
      <c r="AJE294" s="243"/>
      <c r="AJF294" s="243"/>
      <c r="AJG294" s="243"/>
      <c r="AJH294" s="243"/>
      <c r="AJI294" s="243"/>
      <c r="AJJ294" s="243"/>
      <c r="AJK294" s="243"/>
      <c r="AJL294" s="243"/>
      <c r="AJM294" s="243"/>
      <c r="AJN294" s="243"/>
      <c r="AJO294" s="243"/>
      <c r="AJP294" s="243"/>
      <c r="AJQ294" s="243"/>
      <c r="AJR294" s="243"/>
      <c r="AJS294" s="243"/>
      <c r="AJT294" s="243"/>
      <c r="AJU294" s="243"/>
      <c r="AJV294" s="243"/>
      <c r="AJW294" s="243"/>
      <c r="AJX294" s="243"/>
      <c r="AJY294" s="243"/>
      <c r="AJZ294" s="243"/>
      <c r="AKA294" s="243"/>
      <c r="AKB294" s="243"/>
      <c r="AKC294" s="243"/>
      <c r="AKD294" s="243"/>
      <c r="AKE294" s="243"/>
      <c r="AKF294" s="243"/>
      <c r="AKG294" s="243"/>
      <c r="AKH294" s="243"/>
      <c r="AKI294" s="243"/>
      <c r="AKJ294" s="243"/>
      <c r="AKK294" s="243"/>
      <c r="AKL294" s="243"/>
      <c r="AKM294" s="243"/>
      <c r="AKN294" s="243"/>
      <c r="AKO294" s="243"/>
      <c r="AKP294" s="243"/>
      <c r="AKQ294" s="243"/>
      <c r="AKR294" s="243"/>
      <c r="AKS294" s="243"/>
      <c r="AKT294" s="243"/>
      <c r="AKU294" s="243"/>
      <c r="AKV294" s="243"/>
      <c r="AKW294" s="243"/>
      <c r="AKX294" s="243"/>
      <c r="AKY294" s="243"/>
      <c r="AKZ294" s="243"/>
      <c r="ALA294" s="243"/>
      <c r="ALB294" s="243"/>
      <c r="ALC294" s="243"/>
      <c r="ALD294" s="243"/>
      <c r="ALE294" s="243"/>
      <c r="ALF294" s="243"/>
      <c r="ALG294" s="243"/>
      <c r="ALH294" s="243"/>
      <c r="ALI294" s="243"/>
      <c r="ALJ294" s="243"/>
      <c r="ALK294" s="243"/>
      <c r="ALL294" s="243"/>
      <c r="ALM294" s="243"/>
      <c r="ALN294" s="243"/>
      <c r="ALO294" s="243"/>
      <c r="ALP294" s="243"/>
      <c r="ALQ294" s="243"/>
      <c r="ALR294" s="243"/>
      <c r="ALS294" s="243"/>
      <c r="ALT294" s="243"/>
      <c r="ALU294" s="243"/>
      <c r="ALV294" s="243"/>
      <c r="ALW294" s="243"/>
      <c r="ALX294" s="243"/>
      <c r="ALY294" s="243"/>
      <c r="ALZ294" s="243"/>
      <c r="AMA294" s="243"/>
      <c r="AMB294" s="243"/>
      <c r="AMC294" s="243"/>
      <c r="AMD294" s="243"/>
      <c r="AME294" s="243"/>
      <c r="AMF294" s="243"/>
      <c r="AMG294" s="243"/>
      <c r="AMH294" s="243"/>
      <c r="AMI294" s="244"/>
      <c r="AMJ294" s="244"/>
    </row>
    <row r="295" spans="1:1024">
      <c r="A295" s="911"/>
      <c r="B295" s="443">
        <v>14260</v>
      </c>
      <c r="C295" s="521">
        <v>0.08</v>
      </c>
      <c r="D295" s="370" t="s">
        <v>201</v>
      </c>
      <c r="E295" s="401">
        <v>3000000</v>
      </c>
      <c r="F295" s="477">
        <v>0.08</v>
      </c>
      <c r="G295" s="401">
        <f t="shared" si="11"/>
        <v>240000</v>
      </c>
      <c r="H295" s="402" t="s">
        <v>202</v>
      </c>
      <c r="I295" s="402" t="s">
        <v>138</v>
      </c>
      <c r="J295" s="402" t="s">
        <v>125</v>
      </c>
      <c r="K295" s="402" t="s">
        <v>203</v>
      </c>
      <c r="L295" s="402" t="s">
        <v>125</v>
      </c>
      <c r="M295" s="395"/>
      <c r="N295" s="396"/>
      <c r="O295" s="377"/>
      <c r="P295" s="377"/>
      <c r="Q295" s="377"/>
      <c r="R295" s="243"/>
      <c r="S295" s="243"/>
      <c r="T295" s="243"/>
      <c r="U295" s="243"/>
      <c r="V295" s="243"/>
      <c r="W295" s="243"/>
      <c r="X295" s="243"/>
      <c r="Y295" s="243"/>
      <c r="Z295" s="243"/>
      <c r="AA295" s="243"/>
      <c r="AB295" s="243"/>
      <c r="AC295" s="243"/>
      <c r="AD295" s="243"/>
      <c r="AE295" s="243"/>
      <c r="AF295" s="243"/>
      <c r="AG295" s="243"/>
      <c r="AH295" s="243"/>
      <c r="AI295" s="243"/>
      <c r="AJ295" s="243"/>
      <c r="AK295" s="243"/>
      <c r="AL295" s="243"/>
      <c r="AM295" s="243"/>
      <c r="AN295" s="243"/>
      <c r="AO295" s="243"/>
      <c r="AP295" s="243"/>
      <c r="AQ295" s="243"/>
      <c r="AR295" s="243"/>
      <c r="AS295" s="243"/>
      <c r="AT295" s="243"/>
      <c r="AU295" s="243"/>
      <c r="AV295" s="243"/>
      <c r="AW295" s="243"/>
      <c r="AX295" s="243"/>
      <c r="AY295" s="243"/>
      <c r="AZ295" s="243"/>
      <c r="BA295" s="243"/>
      <c r="BB295" s="243"/>
      <c r="BC295" s="243"/>
      <c r="BD295" s="243"/>
      <c r="BE295" s="243"/>
      <c r="BF295" s="243"/>
      <c r="BG295" s="243"/>
      <c r="BH295" s="243"/>
      <c r="BI295" s="243"/>
      <c r="BJ295" s="243"/>
      <c r="BK295" s="243"/>
      <c r="BL295" s="243"/>
      <c r="BM295" s="243"/>
      <c r="BN295" s="243"/>
      <c r="BO295" s="243"/>
      <c r="BP295" s="243"/>
      <c r="BQ295" s="243"/>
      <c r="BR295" s="243"/>
      <c r="BS295" s="243"/>
      <c r="BT295" s="243"/>
      <c r="BU295" s="243"/>
      <c r="BV295" s="243"/>
      <c r="BW295" s="243"/>
      <c r="BX295" s="243"/>
      <c r="BY295" s="243"/>
      <c r="BZ295" s="243"/>
      <c r="CA295" s="243"/>
      <c r="CB295" s="243"/>
      <c r="CC295" s="243"/>
      <c r="CD295" s="243"/>
      <c r="CE295" s="243"/>
      <c r="CF295" s="243"/>
      <c r="CG295" s="243"/>
      <c r="CH295" s="243"/>
      <c r="CI295" s="243"/>
      <c r="CJ295" s="243"/>
      <c r="CK295" s="243"/>
      <c r="CL295" s="243"/>
      <c r="CM295" s="243"/>
      <c r="CN295" s="243"/>
      <c r="CO295" s="243"/>
      <c r="CP295" s="243"/>
      <c r="CQ295" s="243"/>
      <c r="CR295" s="243"/>
      <c r="CS295" s="243"/>
      <c r="CT295" s="243"/>
      <c r="CU295" s="243"/>
      <c r="CV295" s="243"/>
      <c r="CW295" s="243"/>
      <c r="CX295" s="243"/>
      <c r="CY295" s="243"/>
      <c r="CZ295" s="243"/>
      <c r="DA295" s="243"/>
      <c r="DB295" s="243"/>
      <c r="DC295" s="243"/>
      <c r="DD295" s="243"/>
      <c r="DE295" s="243"/>
      <c r="DF295" s="243"/>
      <c r="DG295" s="243"/>
      <c r="DH295" s="243"/>
      <c r="DI295" s="243"/>
      <c r="DJ295" s="243"/>
      <c r="DK295" s="243"/>
      <c r="DL295" s="243"/>
      <c r="DM295" s="243"/>
      <c r="DN295" s="243"/>
      <c r="DO295" s="243"/>
      <c r="DP295" s="243"/>
      <c r="DQ295" s="243"/>
      <c r="DR295" s="243"/>
      <c r="DS295" s="243"/>
      <c r="DT295" s="243"/>
      <c r="DU295" s="243"/>
      <c r="DV295" s="243"/>
      <c r="DW295" s="243"/>
      <c r="DX295" s="243"/>
      <c r="DY295" s="243"/>
      <c r="DZ295" s="243"/>
      <c r="EA295" s="243"/>
      <c r="EB295" s="243"/>
      <c r="EC295" s="243"/>
      <c r="ED295" s="243"/>
      <c r="EE295" s="243"/>
      <c r="EF295" s="243"/>
      <c r="EG295" s="243"/>
      <c r="EH295" s="243"/>
      <c r="EI295" s="243"/>
      <c r="EJ295" s="243"/>
      <c r="EK295" s="243"/>
      <c r="EL295" s="243"/>
      <c r="EM295" s="243"/>
      <c r="EN295" s="243"/>
      <c r="EO295" s="243"/>
      <c r="EP295" s="243"/>
      <c r="EQ295" s="243"/>
      <c r="ER295" s="243"/>
      <c r="ES295" s="243"/>
      <c r="ET295" s="243"/>
      <c r="EU295" s="243"/>
      <c r="EV295" s="243"/>
      <c r="EW295" s="243"/>
      <c r="EX295" s="243"/>
      <c r="EY295" s="243"/>
      <c r="EZ295" s="243"/>
      <c r="FA295" s="243"/>
      <c r="FB295" s="243"/>
      <c r="FC295" s="243"/>
      <c r="FD295" s="243"/>
      <c r="FE295" s="243"/>
      <c r="FF295" s="243"/>
      <c r="FG295" s="243"/>
      <c r="FH295" s="243"/>
      <c r="FI295" s="243"/>
      <c r="FJ295" s="243"/>
      <c r="FK295" s="243"/>
      <c r="FL295" s="243"/>
      <c r="FM295" s="243"/>
      <c r="FN295" s="243"/>
      <c r="FO295" s="243"/>
      <c r="FP295" s="243"/>
      <c r="FQ295" s="243"/>
      <c r="FR295" s="243"/>
      <c r="FS295" s="243"/>
      <c r="FT295" s="243"/>
      <c r="FU295" s="243"/>
      <c r="FV295" s="243"/>
      <c r="FW295" s="243"/>
      <c r="FX295" s="243"/>
      <c r="FY295" s="243"/>
      <c r="FZ295" s="243"/>
      <c r="GA295" s="243"/>
      <c r="GB295" s="243"/>
      <c r="GC295" s="243"/>
      <c r="GD295" s="243"/>
      <c r="GE295" s="243"/>
      <c r="GF295" s="243"/>
      <c r="GG295" s="243"/>
      <c r="GH295" s="243"/>
      <c r="GI295" s="243"/>
      <c r="GJ295" s="243"/>
      <c r="GK295" s="243"/>
      <c r="GL295" s="243"/>
      <c r="GM295" s="243"/>
      <c r="GN295" s="243"/>
      <c r="GO295" s="243"/>
      <c r="GP295" s="243"/>
      <c r="GQ295" s="243"/>
      <c r="GR295" s="243"/>
      <c r="GS295" s="243"/>
      <c r="GT295" s="243"/>
      <c r="GU295" s="243"/>
      <c r="GV295" s="243"/>
      <c r="GW295" s="243"/>
      <c r="GX295" s="243"/>
      <c r="GY295" s="243"/>
      <c r="GZ295" s="243"/>
      <c r="HA295" s="243"/>
      <c r="HB295" s="243"/>
      <c r="HC295" s="243"/>
      <c r="HD295" s="243"/>
      <c r="HE295" s="243"/>
      <c r="HF295" s="243"/>
      <c r="HG295" s="243"/>
      <c r="HH295" s="243"/>
      <c r="HI295" s="243"/>
      <c r="HJ295" s="243"/>
      <c r="HK295" s="243"/>
      <c r="HL295" s="243"/>
      <c r="HM295" s="243"/>
      <c r="HN295" s="243"/>
      <c r="HO295" s="243"/>
      <c r="HP295" s="243"/>
      <c r="HQ295" s="243"/>
      <c r="HR295" s="243"/>
      <c r="HS295" s="243"/>
      <c r="HT295" s="243"/>
      <c r="HU295" s="243"/>
      <c r="HV295" s="243"/>
      <c r="HW295" s="243"/>
      <c r="HX295" s="243"/>
      <c r="HY295" s="243"/>
      <c r="HZ295" s="243"/>
      <c r="IA295" s="243"/>
      <c r="IB295" s="243"/>
      <c r="IC295" s="243"/>
      <c r="ID295" s="243"/>
      <c r="IE295" s="243"/>
      <c r="IF295" s="243"/>
      <c r="IG295" s="243"/>
      <c r="IH295" s="243"/>
      <c r="II295" s="243"/>
      <c r="IJ295" s="243"/>
      <c r="IK295" s="243"/>
      <c r="IL295" s="243"/>
      <c r="IM295" s="243"/>
      <c r="IN295" s="243"/>
      <c r="IO295" s="243"/>
      <c r="IP295" s="243"/>
      <c r="IQ295" s="243"/>
      <c r="IR295" s="243"/>
      <c r="IS295" s="243"/>
      <c r="IT295" s="243"/>
      <c r="IU295" s="243"/>
      <c r="IV295" s="243"/>
      <c r="IW295" s="243"/>
      <c r="IX295" s="243"/>
      <c r="IY295" s="243"/>
      <c r="IZ295" s="243"/>
      <c r="JA295" s="243"/>
      <c r="JB295" s="243"/>
      <c r="JC295" s="243"/>
      <c r="JD295" s="243"/>
      <c r="JE295" s="243"/>
      <c r="JF295" s="243"/>
      <c r="JG295" s="243"/>
      <c r="JH295" s="243"/>
      <c r="JI295" s="243"/>
      <c r="JJ295" s="243"/>
      <c r="JK295" s="243"/>
      <c r="JL295" s="243"/>
      <c r="JM295" s="243"/>
      <c r="JN295" s="243"/>
      <c r="JO295" s="243"/>
      <c r="JP295" s="243"/>
      <c r="JQ295" s="243"/>
      <c r="JR295" s="243"/>
      <c r="JS295" s="243"/>
      <c r="JT295" s="243"/>
      <c r="JU295" s="243"/>
      <c r="JV295" s="243"/>
      <c r="JW295" s="243"/>
      <c r="JX295" s="243"/>
      <c r="JY295" s="243"/>
      <c r="JZ295" s="243"/>
      <c r="KA295" s="243"/>
      <c r="KB295" s="243"/>
      <c r="KC295" s="243"/>
      <c r="KD295" s="243"/>
      <c r="KE295" s="243"/>
      <c r="KF295" s="243"/>
      <c r="KG295" s="243"/>
      <c r="KH295" s="243"/>
      <c r="KI295" s="243"/>
      <c r="KJ295" s="243"/>
      <c r="KK295" s="243"/>
      <c r="KL295" s="243"/>
      <c r="KM295" s="243"/>
      <c r="KN295" s="243"/>
      <c r="KO295" s="243"/>
      <c r="KP295" s="243"/>
      <c r="KQ295" s="243"/>
      <c r="KR295" s="243"/>
      <c r="KS295" s="243"/>
      <c r="KT295" s="243"/>
      <c r="KU295" s="243"/>
      <c r="KV295" s="243"/>
      <c r="KW295" s="243"/>
      <c r="KX295" s="243"/>
      <c r="KY295" s="243"/>
      <c r="KZ295" s="243"/>
      <c r="LA295" s="243"/>
      <c r="LB295" s="243"/>
      <c r="LC295" s="243"/>
      <c r="LD295" s="243"/>
      <c r="LE295" s="243"/>
      <c r="LF295" s="243"/>
      <c r="LG295" s="243"/>
      <c r="LH295" s="243"/>
      <c r="LI295" s="243"/>
      <c r="LJ295" s="243"/>
      <c r="LK295" s="243"/>
      <c r="LL295" s="243"/>
      <c r="LM295" s="243"/>
      <c r="LN295" s="243"/>
      <c r="LO295" s="243"/>
      <c r="LP295" s="243"/>
      <c r="LQ295" s="243"/>
      <c r="LR295" s="243"/>
      <c r="LS295" s="243"/>
      <c r="LT295" s="243"/>
      <c r="LU295" s="243"/>
      <c r="LV295" s="243"/>
      <c r="LW295" s="243"/>
      <c r="LX295" s="243"/>
      <c r="LY295" s="243"/>
      <c r="LZ295" s="243"/>
      <c r="MA295" s="243"/>
      <c r="MB295" s="243"/>
      <c r="MC295" s="243"/>
      <c r="MD295" s="243"/>
      <c r="ME295" s="243"/>
      <c r="MF295" s="243"/>
      <c r="MG295" s="243"/>
      <c r="MH295" s="243"/>
      <c r="MI295" s="243"/>
      <c r="MJ295" s="243"/>
      <c r="MK295" s="243"/>
      <c r="ML295" s="243"/>
      <c r="MM295" s="243"/>
      <c r="MN295" s="243"/>
      <c r="MO295" s="243"/>
      <c r="MP295" s="243"/>
      <c r="MQ295" s="243"/>
      <c r="MR295" s="243"/>
      <c r="MS295" s="243"/>
      <c r="MT295" s="243"/>
      <c r="MU295" s="243"/>
      <c r="MV295" s="243"/>
      <c r="MW295" s="243"/>
      <c r="MX295" s="243"/>
      <c r="MY295" s="243"/>
      <c r="MZ295" s="243"/>
      <c r="NA295" s="243"/>
      <c r="NB295" s="243"/>
      <c r="NC295" s="243"/>
      <c r="ND295" s="243"/>
      <c r="NE295" s="243"/>
      <c r="NF295" s="243"/>
      <c r="NG295" s="243"/>
      <c r="NH295" s="243"/>
      <c r="NI295" s="243"/>
      <c r="NJ295" s="243"/>
      <c r="NK295" s="243"/>
      <c r="NL295" s="243"/>
      <c r="NM295" s="243"/>
      <c r="NN295" s="243"/>
      <c r="NO295" s="243"/>
      <c r="NP295" s="243"/>
      <c r="NQ295" s="243"/>
      <c r="NR295" s="243"/>
      <c r="NS295" s="243"/>
      <c r="NT295" s="243"/>
      <c r="NU295" s="243"/>
      <c r="NV295" s="243"/>
      <c r="NW295" s="243"/>
      <c r="NX295" s="243"/>
      <c r="NY295" s="243"/>
      <c r="NZ295" s="243"/>
      <c r="OA295" s="243"/>
      <c r="OB295" s="243"/>
      <c r="OC295" s="243"/>
      <c r="OD295" s="243"/>
      <c r="OE295" s="243"/>
      <c r="OF295" s="243"/>
      <c r="OG295" s="243"/>
      <c r="OH295" s="243"/>
      <c r="OI295" s="243"/>
      <c r="OJ295" s="243"/>
      <c r="OK295" s="243"/>
      <c r="OL295" s="243"/>
      <c r="OM295" s="243"/>
      <c r="ON295" s="243"/>
      <c r="OO295" s="243"/>
      <c r="OP295" s="243"/>
      <c r="OQ295" s="243"/>
      <c r="OR295" s="243"/>
      <c r="OS295" s="243"/>
      <c r="OT295" s="243"/>
      <c r="OU295" s="243"/>
      <c r="OV295" s="243"/>
      <c r="OW295" s="243"/>
      <c r="OX295" s="243"/>
      <c r="OY295" s="243"/>
      <c r="OZ295" s="243"/>
      <c r="PA295" s="243"/>
      <c r="PB295" s="243"/>
      <c r="PC295" s="243"/>
      <c r="PD295" s="243"/>
      <c r="PE295" s="243"/>
      <c r="PF295" s="243"/>
      <c r="PG295" s="243"/>
      <c r="PH295" s="243"/>
      <c r="PI295" s="243"/>
      <c r="PJ295" s="243"/>
      <c r="PK295" s="243"/>
      <c r="PL295" s="243"/>
      <c r="PM295" s="243"/>
      <c r="PN295" s="243"/>
      <c r="PO295" s="243"/>
      <c r="PP295" s="243"/>
      <c r="PQ295" s="243"/>
      <c r="PR295" s="243"/>
      <c r="PS295" s="243"/>
      <c r="PT295" s="243"/>
      <c r="PU295" s="243"/>
      <c r="PV295" s="243"/>
      <c r="PW295" s="243"/>
      <c r="PX295" s="243"/>
      <c r="PY295" s="243"/>
      <c r="PZ295" s="243"/>
      <c r="QA295" s="243"/>
      <c r="QB295" s="243"/>
      <c r="QC295" s="243"/>
      <c r="QD295" s="243"/>
      <c r="QE295" s="243"/>
      <c r="QF295" s="243"/>
      <c r="QG295" s="243"/>
      <c r="QH295" s="243"/>
      <c r="QI295" s="243"/>
      <c r="QJ295" s="243"/>
      <c r="QK295" s="243"/>
      <c r="QL295" s="243"/>
      <c r="QM295" s="243"/>
      <c r="QN295" s="243"/>
      <c r="QO295" s="243"/>
      <c r="QP295" s="243"/>
      <c r="QQ295" s="243"/>
      <c r="QR295" s="243"/>
      <c r="QS295" s="243"/>
      <c r="QT295" s="243"/>
      <c r="QU295" s="243"/>
      <c r="QV295" s="243"/>
      <c r="QW295" s="243"/>
      <c r="QX295" s="243"/>
      <c r="QY295" s="243"/>
      <c r="QZ295" s="243"/>
      <c r="RA295" s="243"/>
      <c r="RB295" s="243"/>
      <c r="RC295" s="243"/>
      <c r="RD295" s="243"/>
      <c r="RE295" s="243"/>
      <c r="RF295" s="243"/>
      <c r="RG295" s="243"/>
      <c r="RH295" s="243"/>
      <c r="RI295" s="243"/>
      <c r="RJ295" s="243"/>
      <c r="RK295" s="243"/>
      <c r="RL295" s="243"/>
      <c r="RM295" s="243"/>
      <c r="RN295" s="243"/>
      <c r="RO295" s="243"/>
      <c r="RP295" s="243"/>
      <c r="RQ295" s="243"/>
      <c r="RR295" s="243"/>
      <c r="RS295" s="243"/>
      <c r="RT295" s="243"/>
      <c r="RU295" s="243"/>
      <c r="RV295" s="243"/>
      <c r="RW295" s="243"/>
      <c r="RX295" s="243"/>
      <c r="RY295" s="243"/>
      <c r="RZ295" s="243"/>
      <c r="SA295" s="243"/>
      <c r="SB295" s="243"/>
      <c r="SC295" s="243"/>
      <c r="SD295" s="243"/>
      <c r="SE295" s="243"/>
      <c r="SF295" s="243"/>
      <c r="SG295" s="243"/>
      <c r="SH295" s="243"/>
      <c r="SI295" s="243"/>
      <c r="SJ295" s="243"/>
      <c r="SK295" s="243"/>
      <c r="SL295" s="243"/>
      <c r="SM295" s="243"/>
      <c r="SN295" s="243"/>
      <c r="SO295" s="243"/>
      <c r="SP295" s="243"/>
      <c r="SQ295" s="243"/>
      <c r="SR295" s="243"/>
      <c r="SS295" s="243"/>
      <c r="ST295" s="243"/>
      <c r="SU295" s="243"/>
      <c r="SV295" s="243"/>
      <c r="SW295" s="243"/>
      <c r="SX295" s="243"/>
      <c r="SY295" s="243"/>
      <c r="SZ295" s="243"/>
      <c r="TA295" s="243"/>
      <c r="TB295" s="243"/>
      <c r="TC295" s="243"/>
      <c r="TD295" s="243"/>
      <c r="TE295" s="243"/>
      <c r="TF295" s="243"/>
      <c r="TG295" s="243"/>
      <c r="TH295" s="243"/>
      <c r="TI295" s="243"/>
      <c r="TJ295" s="243"/>
      <c r="TK295" s="243"/>
      <c r="TL295" s="243"/>
      <c r="TM295" s="243"/>
      <c r="TN295" s="243"/>
      <c r="TO295" s="243"/>
      <c r="TP295" s="243"/>
      <c r="TQ295" s="243"/>
      <c r="TR295" s="243"/>
      <c r="TS295" s="243"/>
      <c r="TT295" s="243"/>
      <c r="TU295" s="243"/>
      <c r="TV295" s="243"/>
      <c r="TW295" s="243"/>
      <c r="TX295" s="243"/>
      <c r="TY295" s="243"/>
      <c r="TZ295" s="243"/>
      <c r="UA295" s="243"/>
      <c r="UB295" s="243"/>
      <c r="UC295" s="243"/>
      <c r="UD295" s="243"/>
      <c r="UE295" s="243"/>
      <c r="UF295" s="243"/>
      <c r="UG295" s="243"/>
      <c r="UH295" s="243"/>
      <c r="UI295" s="243"/>
      <c r="UJ295" s="243"/>
      <c r="UK295" s="243"/>
      <c r="UL295" s="243"/>
      <c r="UM295" s="243"/>
      <c r="UN295" s="243"/>
      <c r="UO295" s="243"/>
      <c r="UP295" s="243"/>
      <c r="UQ295" s="243"/>
      <c r="UR295" s="243"/>
      <c r="US295" s="243"/>
      <c r="UT295" s="243"/>
      <c r="UU295" s="243"/>
      <c r="UV295" s="243"/>
      <c r="UW295" s="243"/>
      <c r="UX295" s="243"/>
      <c r="UY295" s="243"/>
      <c r="UZ295" s="243"/>
      <c r="VA295" s="243"/>
      <c r="VB295" s="243"/>
      <c r="VC295" s="243"/>
      <c r="VD295" s="243"/>
      <c r="VE295" s="243"/>
      <c r="VF295" s="243"/>
      <c r="VG295" s="243"/>
      <c r="VH295" s="243"/>
      <c r="VI295" s="243"/>
      <c r="VJ295" s="243"/>
      <c r="VK295" s="243"/>
      <c r="VL295" s="243"/>
      <c r="VM295" s="243"/>
      <c r="VN295" s="243"/>
      <c r="VO295" s="243"/>
      <c r="VP295" s="243"/>
      <c r="VQ295" s="243"/>
      <c r="VR295" s="243"/>
      <c r="VS295" s="243"/>
      <c r="VT295" s="243"/>
      <c r="VU295" s="243"/>
      <c r="VV295" s="243"/>
      <c r="VW295" s="243"/>
      <c r="VX295" s="243"/>
      <c r="VY295" s="243"/>
      <c r="VZ295" s="243"/>
      <c r="WA295" s="243"/>
      <c r="WB295" s="243"/>
      <c r="WC295" s="243"/>
      <c r="WD295" s="243"/>
      <c r="WE295" s="243"/>
      <c r="WF295" s="243"/>
      <c r="WG295" s="243"/>
      <c r="WH295" s="243"/>
      <c r="WI295" s="243"/>
      <c r="WJ295" s="243"/>
      <c r="WK295" s="243"/>
      <c r="WL295" s="243"/>
      <c r="WM295" s="243"/>
      <c r="WN295" s="243"/>
      <c r="WO295" s="243"/>
      <c r="WP295" s="243"/>
      <c r="WQ295" s="243"/>
      <c r="WR295" s="243"/>
      <c r="WS295" s="243"/>
      <c r="WT295" s="243"/>
      <c r="WU295" s="243"/>
      <c r="WV295" s="243"/>
      <c r="WW295" s="243"/>
      <c r="WX295" s="243"/>
      <c r="WY295" s="243"/>
      <c r="WZ295" s="243"/>
      <c r="XA295" s="243"/>
      <c r="XB295" s="243"/>
      <c r="XC295" s="243"/>
      <c r="XD295" s="243"/>
      <c r="XE295" s="243"/>
      <c r="XF295" s="243"/>
      <c r="XG295" s="243"/>
      <c r="XH295" s="243"/>
      <c r="XI295" s="243"/>
      <c r="XJ295" s="243"/>
      <c r="XK295" s="243"/>
      <c r="XL295" s="243"/>
      <c r="XM295" s="243"/>
      <c r="XN295" s="243"/>
      <c r="XO295" s="243"/>
      <c r="XP295" s="243"/>
      <c r="XQ295" s="243"/>
      <c r="XR295" s="243"/>
      <c r="XS295" s="243"/>
      <c r="XT295" s="243"/>
      <c r="XU295" s="243"/>
      <c r="XV295" s="243"/>
      <c r="XW295" s="243"/>
      <c r="XX295" s="243"/>
      <c r="XY295" s="243"/>
      <c r="XZ295" s="243"/>
      <c r="YA295" s="243"/>
      <c r="YB295" s="243"/>
      <c r="YC295" s="243"/>
      <c r="YD295" s="243"/>
      <c r="YE295" s="243"/>
      <c r="YF295" s="243"/>
      <c r="YG295" s="243"/>
      <c r="YH295" s="243"/>
      <c r="YI295" s="243"/>
      <c r="YJ295" s="243"/>
      <c r="YK295" s="243"/>
      <c r="YL295" s="243"/>
      <c r="YM295" s="243"/>
      <c r="YN295" s="243"/>
      <c r="YO295" s="243"/>
      <c r="YP295" s="243"/>
      <c r="YQ295" s="243"/>
      <c r="YR295" s="243"/>
      <c r="YS295" s="243"/>
      <c r="YT295" s="243"/>
      <c r="YU295" s="243"/>
      <c r="YV295" s="243"/>
      <c r="YW295" s="243"/>
      <c r="YX295" s="243"/>
      <c r="YY295" s="243"/>
      <c r="YZ295" s="243"/>
      <c r="ZA295" s="243"/>
      <c r="ZB295" s="243"/>
      <c r="ZC295" s="243"/>
      <c r="ZD295" s="243"/>
      <c r="ZE295" s="243"/>
      <c r="ZF295" s="243"/>
      <c r="ZG295" s="243"/>
      <c r="ZH295" s="243"/>
      <c r="ZI295" s="243"/>
      <c r="ZJ295" s="243"/>
      <c r="ZK295" s="243"/>
      <c r="ZL295" s="243"/>
      <c r="ZM295" s="243"/>
      <c r="ZN295" s="243"/>
      <c r="ZO295" s="243"/>
      <c r="ZP295" s="243"/>
      <c r="ZQ295" s="243"/>
      <c r="ZR295" s="243"/>
      <c r="ZS295" s="243"/>
      <c r="ZT295" s="243"/>
      <c r="ZU295" s="243"/>
      <c r="ZV295" s="243"/>
      <c r="ZW295" s="243"/>
      <c r="ZX295" s="243"/>
      <c r="ZY295" s="243"/>
      <c r="ZZ295" s="243"/>
      <c r="AAA295" s="243"/>
      <c r="AAB295" s="243"/>
      <c r="AAC295" s="243"/>
      <c r="AAD295" s="243"/>
      <c r="AAE295" s="243"/>
      <c r="AAF295" s="243"/>
      <c r="AAG295" s="243"/>
      <c r="AAH295" s="243"/>
      <c r="AAI295" s="243"/>
      <c r="AAJ295" s="243"/>
      <c r="AAK295" s="243"/>
      <c r="AAL295" s="243"/>
      <c r="AAM295" s="243"/>
      <c r="AAN295" s="243"/>
      <c r="AAO295" s="243"/>
      <c r="AAP295" s="243"/>
      <c r="AAQ295" s="243"/>
      <c r="AAR295" s="243"/>
      <c r="AAS295" s="243"/>
      <c r="AAT295" s="243"/>
      <c r="AAU295" s="243"/>
      <c r="AAV295" s="243"/>
      <c r="AAW295" s="243"/>
      <c r="AAX295" s="243"/>
      <c r="AAY295" s="243"/>
      <c r="AAZ295" s="243"/>
      <c r="ABA295" s="243"/>
      <c r="ABB295" s="243"/>
      <c r="ABC295" s="243"/>
      <c r="ABD295" s="243"/>
      <c r="ABE295" s="243"/>
      <c r="ABF295" s="243"/>
      <c r="ABG295" s="243"/>
      <c r="ABH295" s="243"/>
      <c r="ABI295" s="243"/>
      <c r="ABJ295" s="243"/>
      <c r="ABK295" s="243"/>
      <c r="ABL295" s="243"/>
      <c r="ABM295" s="243"/>
      <c r="ABN295" s="243"/>
      <c r="ABO295" s="243"/>
      <c r="ABP295" s="243"/>
      <c r="ABQ295" s="243"/>
      <c r="ABR295" s="243"/>
      <c r="ABS295" s="243"/>
      <c r="ABT295" s="243"/>
      <c r="ABU295" s="243"/>
      <c r="ABV295" s="243"/>
      <c r="ABW295" s="243"/>
      <c r="ABX295" s="243"/>
      <c r="ABY295" s="243"/>
      <c r="ABZ295" s="243"/>
      <c r="ACA295" s="243"/>
      <c r="ACB295" s="243"/>
      <c r="ACC295" s="243"/>
      <c r="ACD295" s="243"/>
      <c r="ACE295" s="243"/>
      <c r="ACF295" s="243"/>
      <c r="ACG295" s="243"/>
      <c r="ACH295" s="243"/>
      <c r="ACI295" s="243"/>
      <c r="ACJ295" s="243"/>
      <c r="ACK295" s="243"/>
      <c r="ACL295" s="243"/>
      <c r="ACM295" s="243"/>
      <c r="ACN295" s="243"/>
      <c r="ACO295" s="243"/>
      <c r="ACP295" s="243"/>
      <c r="ACQ295" s="243"/>
      <c r="ACR295" s="243"/>
      <c r="ACS295" s="243"/>
      <c r="ACT295" s="243"/>
      <c r="ACU295" s="243"/>
      <c r="ACV295" s="243"/>
      <c r="ACW295" s="243"/>
      <c r="ACX295" s="243"/>
      <c r="ACY295" s="243"/>
      <c r="ACZ295" s="243"/>
      <c r="ADA295" s="243"/>
      <c r="ADB295" s="243"/>
      <c r="ADC295" s="243"/>
      <c r="ADD295" s="243"/>
      <c r="ADE295" s="243"/>
      <c r="ADF295" s="243"/>
      <c r="ADG295" s="243"/>
      <c r="ADH295" s="243"/>
      <c r="ADI295" s="243"/>
      <c r="ADJ295" s="243"/>
      <c r="ADK295" s="243"/>
      <c r="ADL295" s="243"/>
      <c r="ADM295" s="243"/>
      <c r="ADN295" s="243"/>
      <c r="ADO295" s="243"/>
      <c r="ADP295" s="243"/>
      <c r="ADQ295" s="243"/>
      <c r="ADR295" s="243"/>
      <c r="ADS295" s="243"/>
      <c r="ADT295" s="243"/>
      <c r="ADU295" s="243"/>
      <c r="ADV295" s="243"/>
      <c r="ADW295" s="243"/>
      <c r="ADX295" s="243"/>
      <c r="ADY295" s="243"/>
      <c r="ADZ295" s="243"/>
      <c r="AEA295" s="243"/>
      <c r="AEB295" s="243"/>
      <c r="AEC295" s="243"/>
      <c r="AED295" s="243"/>
      <c r="AEE295" s="243"/>
      <c r="AEF295" s="243"/>
      <c r="AEG295" s="243"/>
      <c r="AEH295" s="243"/>
      <c r="AEI295" s="243"/>
      <c r="AEJ295" s="243"/>
      <c r="AEK295" s="243"/>
      <c r="AEL295" s="243"/>
      <c r="AEM295" s="243"/>
      <c r="AEN295" s="243"/>
      <c r="AEO295" s="243"/>
      <c r="AEP295" s="243"/>
      <c r="AEQ295" s="243"/>
      <c r="AER295" s="243"/>
      <c r="AES295" s="243"/>
      <c r="AET295" s="243"/>
      <c r="AEU295" s="243"/>
      <c r="AEV295" s="243"/>
      <c r="AEW295" s="243"/>
      <c r="AEX295" s="243"/>
      <c r="AEY295" s="243"/>
      <c r="AEZ295" s="243"/>
      <c r="AFA295" s="243"/>
      <c r="AFB295" s="243"/>
      <c r="AFC295" s="243"/>
      <c r="AFD295" s="243"/>
      <c r="AFE295" s="243"/>
      <c r="AFF295" s="243"/>
      <c r="AFG295" s="243"/>
      <c r="AFH295" s="243"/>
      <c r="AFI295" s="243"/>
      <c r="AFJ295" s="243"/>
      <c r="AFK295" s="243"/>
      <c r="AFL295" s="243"/>
      <c r="AFM295" s="243"/>
      <c r="AFN295" s="243"/>
      <c r="AFO295" s="243"/>
      <c r="AFP295" s="243"/>
      <c r="AFQ295" s="243"/>
      <c r="AFR295" s="243"/>
      <c r="AFS295" s="243"/>
      <c r="AFT295" s="243"/>
      <c r="AFU295" s="243"/>
      <c r="AFV295" s="243"/>
      <c r="AFW295" s="243"/>
      <c r="AFX295" s="243"/>
      <c r="AFY295" s="243"/>
      <c r="AFZ295" s="243"/>
      <c r="AGA295" s="243"/>
      <c r="AGB295" s="243"/>
      <c r="AGC295" s="243"/>
      <c r="AGD295" s="243"/>
      <c r="AGE295" s="243"/>
      <c r="AGF295" s="243"/>
      <c r="AGG295" s="243"/>
      <c r="AGH295" s="243"/>
      <c r="AGI295" s="243"/>
      <c r="AGJ295" s="243"/>
      <c r="AGK295" s="243"/>
      <c r="AGL295" s="243"/>
      <c r="AGM295" s="243"/>
      <c r="AGN295" s="243"/>
      <c r="AGO295" s="243"/>
      <c r="AGP295" s="243"/>
      <c r="AGQ295" s="243"/>
      <c r="AGR295" s="243"/>
      <c r="AGS295" s="243"/>
      <c r="AGT295" s="243"/>
      <c r="AGU295" s="243"/>
      <c r="AGV295" s="243"/>
      <c r="AGW295" s="243"/>
      <c r="AGX295" s="243"/>
      <c r="AGY295" s="243"/>
      <c r="AGZ295" s="243"/>
      <c r="AHA295" s="243"/>
      <c r="AHB295" s="243"/>
      <c r="AHC295" s="243"/>
      <c r="AHD295" s="243"/>
      <c r="AHE295" s="243"/>
      <c r="AHF295" s="243"/>
      <c r="AHG295" s="243"/>
      <c r="AHH295" s="243"/>
      <c r="AHI295" s="243"/>
      <c r="AHJ295" s="243"/>
      <c r="AHK295" s="243"/>
      <c r="AHL295" s="243"/>
      <c r="AHM295" s="243"/>
      <c r="AHN295" s="243"/>
      <c r="AHO295" s="243"/>
      <c r="AHP295" s="243"/>
      <c r="AHQ295" s="243"/>
      <c r="AHR295" s="243"/>
      <c r="AHS295" s="243"/>
      <c r="AHT295" s="243"/>
      <c r="AHU295" s="243"/>
      <c r="AHV295" s="243"/>
      <c r="AHW295" s="243"/>
      <c r="AHX295" s="243"/>
      <c r="AHY295" s="243"/>
      <c r="AHZ295" s="243"/>
      <c r="AIA295" s="243"/>
      <c r="AIB295" s="243"/>
      <c r="AIC295" s="243"/>
      <c r="AID295" s="243"/>
      <c r="AIE295" s="243"/>
      <c r="AIF295" s="243"/>
      <c r="AIG295" s="243"/>
      <c r="AIH295" s="243"/>
      <c r="AII295" s="243"/>
      <c r="AIJ295" s="243"/>
      <c r="AIK295" s="243"/>
      <c r="AIL295" s="243"/>
      <c r="AIM295" s="243"/>
      <c r="AIN295" s="243"/>
      <c r="AIO295" s="243"/>
      <c r="AIP295" s="243"/>
      <c r="AIQ295" s="243"/>
      <c r="AIR295" s="243"/>
      <c r="AIS295" s="243"/>
      <c r="AIT295" s="243"/>
      <c r="AIU295" s="243"/>
      <c r="AIV295" s="243"/>
      <c r="AIW295" s="243"/>
      <c r="AIX295" s="243"/>
      <c r="AIY295" s="243"/>
      <c r="AIZ295" s="243"/>
      <c r="AJA295" s="243"/>
      <c r="AJB295" s="243"/>
      <c r="AJC295" s="243"/>
      <c r="AJD295" s="243"/>
      <c r="AJE295" s="243"/>
      <c r="AJF295" s="243"/>
      <c r="AJG295" s="243"/>
      <c r="AJH295" s="243"/>
      <c r="AJI295" s="243"/>
      <c r="AJJ295" s="243"/>
      <c r="AJK295" s="243"/>
      <c r="AJL295" s="243"/>
      <c r="AJM295" s="243"/>
      <c r="AJN295" s="243"/>
      <c r="AJO295" s="243"/>
      <c r="AJP295" s="243"/>
      <c r="AJQ295" s="243"/>
      <c r="AJR295" s="243"/>
      <c r="AJS295" s="243"/>
      <c r="AJT295" s="243"/>
      <c r="AJU295" s="243"/>
      <c r="AJV295" s="243"/>
      <c r="AJW295" s="243"/>
      <c r="AJX295" s="243"/>
      <c r="AJY295" s="243"/>
      <c r="AJZ295" s="243"/>
      <c r="AKA295" s="243"/>
      <c r="AKB295" s="243"/>
      <c r="AKC295" s="243"/>
      <c r="AKD295" s="243"/>
      <c r="AKE295" s="243"/>
      <c r="AKF295" s="243"/>
      <c r="AKG295" s="243"/>
      <c r="AKH295" s="243"/>
      <c r="AKI295" s="243"/>
      <c r="AKJ295" s="243"/>
      <c r="AKK295" s="243"/>
      <c r="AKL295" s="243"/>
      <c r="AKM295" s="243"/>
      <c r="AKN295" s="243"/>
      <c r="AKO295" s="243"/>
      <c r="AKP295" s="243"/>
      <c r="AKQ295" s="243"/>
      <c r="AKR295" s="243"/>
      <c r="AKS295" s="243"/>
      <c r="AKT295" s="243"/>
      <c r="AKU295" s="243"/>
      <c r="AKV295" s="243"/>
      <c r="AKW295" s="243"/>
      <c r="AKX295" s="243"/>
      <c r="AKY295" s="243"/>
      <c r="AKZ295" s="243"/>
      <c r="ALA295" s="243"/>
      <c r="ALB295" s="243"/>
      <c r="ALC295" s="243"/>
      <c r="ALD295" s="243"/>
      <c r="ALE295" s="243"/>
      <c r="ALF295" s="243"/>
      <c r="ALG295" s="243"/>
      <c r="ALH295" s="243"/>
      <c r="ALI295" s="243"/>
      <c r="ALJ295" s="243"/>
      <c r="ALK295" s="243"/>
      <c r="ALL295" s="243"/>
      <c r="ALM295" s="243"/>
      <c r="ALN295" s="243"/>
      <c r="ALO295" s="243"/>
      <c r="ALP295" s="243"/>
      <c r="ALQ295" s="243"/>
      <c r="ALR295" s="243"/>
      <c r="ALS295" s="243"/>
      <c r="ALT295" s="243"/>
      <c r="ALU295" s="243"/>
      <c r="ALV295" s="243"/>
      <c r="ALW295" s="243"/>
      <c r="ALX295" s="243"/>
      <c r="ALY295" s="243"/>
      <c r="ALZ295" s="243"/>
      <c r="AMA295" s="243"/>
      <c r="AMB295" s="243"/>
      <c r="AMC295" s="243"/>
      <c r="AMD295" s="243"/>
      <c r="AME295" s="243"/>
      <c r="AMF295" s="243"/>
      <c r="AMG295" s="243"/>
      <c r="AMH295" s="243"/>
      <c r="AMI295" s="244"/>
      <c r="AMJ295" s="244"/>
    </row>
    <row r="296" spans="1:1024">
      <c r="A296" s="911"/>
      <c r="B296" s="442">
        <v>14242</v>
      </c>
      <c r="C296" s="432">
        <v>0.1</v>
      </c>
      <c r="D296" s="370" t="s">
        <v>204</v>
      </c>
      <c r="E296" s="433">
        <v>2250000</v>
      </c>
      <c r="F296" s="477">
        <v>0.06</v>
      </c>
      <c r="G296" s="401">
        <f t="shared" si="11"/>
        <v>135000</v>
      </c>
      <c r="H296" s="402" t="s">
        <v>123</v>
      </c>
      <c r="I296" s="402" t="s">
        <v>190</v>
      </c>
      <c r="J296" s="402" t="s">
        <v>125</v>
      </c>
      <c r="K296" s="402" t="s">
        <v>179</v>
      </c>
      <c r="L296" s="402" t="s">
        <v>125</v>
      </c>
      <c r="M296" s="396"/>
      <c r="N296" s="396"/>
      <c r="O296" s="377"/>
      <c r="P296" s="377"/>
      <c r="Q296" s="377"/>
      <c r="R296" s="243"/>
      <c r="S296" s="243"/>
      <c r="T296" s="243"/>
      <c r="U296" s="243"/>
      <c r="V296" s="243"/>
      <c r="W296" s="243"/>
      <c r="X296" s="243"/>
      <c r="Y296" s="243"/>
      <c r="Z296" s="243"/>
      <c r="AA296" s="243"/>
      <c r="AB296" s="243"/>
      <c r="AC296" s="243"/>
      <c r="AD296" s="243"/>
      <c r="AE296" s="243"/>
      <c r="AF296" s="243"/>
      <c r="AG296" s="243"/>
      <c r="AH296" s="243"/>
      <c r="AI296" s="243"/>
      <c r="AJ296" s="243"/>
      <c r="AK296" s="243"/>
      <c r="AL296" s="243"/>
      <c r="AM296" s="243"/>
      <c r="AN296" s="243"/>
      <c r="AO296" s="243"/>
      <c r="AP296" s="243"/>
      <c r="AQ296" s="243"/>
      <c r="AR296" s="243"/>
      <c r="AS296" s="243"/>
      <c r="AT296" s="243"/>
      <c r="AU296" s="243"/>
      <c r="AV296" s="243"/>
      <c r="AW296" s="243"/>
      <c r="AX296" s="243"/>
      <c r="AY296" s="243"/>
      <c r="AZ296" s="243"/>
      <c r="BA296" s="243"/>
      <c r="BB296" s="243"/>
      <c r="BC296" s="243"/>
      <c r="BD296" s="243"/>
      <c r="BE296" s="243"/>
      <c r="BF296" s="243"/>
      <c r="BG296" s="243"/>
      <c r="BH296" s="243"/>
      <c r="BI296" s="243"/>
      <c r="BJ296" s="243"/>
      <c r="BK296" s="243"/>
      <c r="BL296" s="243"/>
      <c r="BM296" s="243"/>
      <c r="BN296" s="243"/>
      <c r="BO296" s="243"/>
      <c r="BP296" s="243"/>
      <c r="BQ296" s="243"/>
      <c r="BR296" s="243"/>
      <c r="BS296" s="243"/>
      <c r="BT296" s="243"/>
      <c r="BU296" s="243"/>
      <c r="BV296" s="243"/>
      <c r="BW296" s="243"/>
      <c r="BX296" s="243"/>
      <c r="BY296" s="243"/>
      <c r="BZ296" s="243"/>
      <c r="CA296" s="243"/>
      <c r="CB296" s="243"/>
      <c r="CC296" s="243"/>
      <c r="CD296" s="243"/>
      <c r="CE296" s="243"/>
      <c r="CF296" s="243"/>
      <c r="CG296" s="243"/>
      <c r="CH296" s="243"/>
      <c r="CI296" s="243"/>
      <c r="CJ296" s="243"/>
      <c r="CK296" s="243"/>
      <c r="CL296" s="243"/>
      <c r="CM296" s="243"/>
      <c r="CN296" s="243"/>
      <c r="CO296" s="243"/>
      <c r="CP296" s="243"/>
      <c r="CQ296" s="243"/>
      <c r="CR296" s="243"/>
      <c r="CS296" s="243"/>
      <c r="CT296" s="243"/>
      <c r="CU296" s="243"/>
      <c r="CV296" s="243"/>
      <c r="CW296" s="243"/>
      <c r="CX296" s="243"/>
      <c r="CY296" s="243"/>
      <c r="CZ296" s="243"/>
      <c r="DA296" s="243"/>
      <c r="DB296" s="243"/>
      <c r="DC296" s="243"/>
      <c r="DD296" s="243"/>
      <c r="DE296" s="243"/>
      <c r="DF296" s="243"/>
      <c r="DG296" s="243"/>
      <c r="DH296" s="243"/>
      <c r="DI296" s="243"/>
      <c r="DJ296" s="243"/>
      <c r="DK296" s="243"/>
      <c r="DL296" s="243"/>
      <c r="DM296" s="243"/>
      <c r="DN296" s="243"/>
      <c r="DO296" s="243"/>
      <c r="DP296" s="243"/>
      <c r="DQ296" s="243"/>
      <c r="DR296" s="243"/>
      <c r="DS296" s="243"/>
      <c r="DT296" s="243"/>
      <c r="DU296" s="243"/>
      <c r="DV296" s="243"/>
      <c r="DW296" s="243"/>
      <c r="DX296" s="243"/>
      <c r="DY296" s="243"/>
      <c r="DZ296" s="243"/>
      <c r="EA296" s="243"/>
      <c r="EB296" s="243"/>
      <c r="EC296" s="243"/>
      <c r="ED296" s="243"/>
      <c r="EE296" s="243"/>
      <c r="EF296" s="243"/>
      <c r="EG296" s="243"/>
      <c r="EH296" s="243"/>
      <c r="EI296" s="243"/>
      <c r="EJ296" s="243"/>
      <c r="EK296" s="243"/>
      <c r="EL296" s="243"/>
      <c r="EM296" s="243"/>
      <c r="EN296" s="243"/>
      <c r="EO296" s="243"/>
      <c r="EP296" s="243"/>
      <c r="EQ296" s="243"/>
      <c r="ER296" s="243"/>
      <c r="ES296" s="243"/>
      <c r="ET296" s="243"/>
      <c r="EU296" s="243"/>
      <c r="EV296" s="243"/>
      <c r="EW296" s="243"/>
      <c r="EX296" s="243"/>
      <c r="EY296" s="243"/>
      <c r="EZ296" s="243"/>
      <c r="FA296" s="243"/>
      <c r="FB296" s="243"/>
      <c r="FC296" s="243"/>
      <c r="FD296" s="243"/>
      <c r="FE296" s="243"/>
      <c r="FF296" s="243"/>
      <c r="FG296" s="243"/>
      <c r="FH296" s="243"/>
      <c r="FI296" s="243"/>
      <c r="FJ296" s="243"/>
      <c r="FK296" s="243"/>
      <c r="FL296" s="243"/>
      <c r="FM296" s="243"/>
      <c r="FN296" s="243"/>
      <c r="FO296" s="243"/>
      <c r="FP296" s="243"/>
      <c r="FQ296" s="243"/>
      <c r="FR296" s="243"/>
      <c r="FS296" s="243"/>
      <c r="FT296" s="243"/>
      <c r="FU296" s="243"/>
      <c r="FV296" s="243"/>
      <c r="FW296" s="243"/>
      <c r="FX296" s="243"/>
      <c r="FY296" s="243"/>
      <c r="FZ296" s="243"/>
      <c r="GA296" s="243"/>
      <c r="GB296" s="243"/>
      <c r="GC296" s="243"/>
      <c r="GD296" s="243"/>
      <c r="GE296" s="243"/>
      <c r="GF296" s="243"/>
      <c r="GG296" s="243"/>
      <c r="GH296" s="243"/>
      <c r="GI296" s="243"/>
      <c r="GJ296" s="243"/>
      <c r="GK296" s="243"/>
      <c r="GL296" s="243"/>
      <c r="GM296" s="243"/>
      <c r="GN296" s="243"/>
      <c r="GO296" s="243"/>
      <c r="GP296" s="243"/>
      <c r="GQ296" s="243"/>
      <c r="GR296" s="243"/>
      <c r="GS296" s="243"/>
      <c r="GT296" s="243"/>
      <c r="GU296" s="243"/>
      <c r="GV296" s="243"/>
      <c r="GW296" s="243"/>
      <c r="GX296" s="243"/>
      <c r="GY296" s="243"/>
      <c r="GZ296" s="243"/>
      <c r="HA296" s="243"/>
      <c r="HB296" s="243"/>
      <c r="HC296" s="243"/>
      <c r="HD296" s="243"/>
      <c r="HE296" s="243"/>
      <c r="HF296" s="243"/>
      <c r="HG296" s="243"/>
      <c r="HH296" s="243"/>
      <c r="HI296" s="243"/>
      <c r="HJ296" s="243"/>
      <c r="HK296" s="243"/>
      <c r="HL296" s="243"/>
      <c r="HM296" s="243"/>
      <c r="HN296" s="243"/>
      <c r="HO296" s="243"/>
      <c r="HP296" s="243"/>
      <c r="HQ296" s="243"/>
      <c r="HR296" s="243"/>
      <c r="HS296" s="243"/>
      <c r="HT296" s="243"/>
      <c r="HU296" s="243"/>
      <c r="HV296" s="243"/>
      <c r="HW296" s="243"/>
      <c r="HX296" s="243"/>
      <c r="HY296" s="243"/>
      <c r="HZ296" s="243"/>
      <c r="IA296" s="243"/>
      <c r="IB296" s="243"/>
      <c r="IC296" s="243"/>
      <c r="ID296" s="243"/>
      <c r="IE296" s="243"/>
      <c r="IF296" s="243"/>
      <c r="IG296" s="243"/>
      <c r="IH296" s="243"/>
      <c r="II296" s="243"/>
      <c r="IJ296" s="243"/>
      <c r="IK296" s="243"/>
      <c r="IL296" s="243"/>
      <c r="IM296" s="243"/>
      <c r="IN296" s="243"/>
      <c r="IO296" s="243"/>
      <c r="IP296" s="243"/>
      <c r="IQ296" s="243"/>
      <c r="IR296" s="243"/>
      <c r="IS296" s="243"/>
      <c r="IT296" s="243"/>
      <c r="IU296" s="243"/>
      <c r="IV296" s="243"/>
      <c r="IW296" s="243"/>
      <c r="IX296" s="243"/>
      <c r="IY296" s="243"/>
      <c r="IZ296" s="243"/>
      <c r="JA296" s="243"/>
      <c r="JB296" s="243"/>
      <c r="JC296" s="243"/>
      <c r="JD296" s="243"/>
      <c r="JE296" s="243"/>
      <c r="JF296" s="243"/>
      <c r="JG296" s="243"/>
      <c r="JH296" s="243"/>
      <c r="JI296" s="243"/>
      <c r="JJ296" s="243"/>
      <c r="JK296" s="243"/>
      <c r="JL296" s="243"/>
      <c r="JM296" s="243"/>
      <c r="JN296" s="243"/>
      <c r="JO296" s="243"/>
      <c r="JP296" s="243"/>
      <c r="JQ296" s="243"/>
      <c r="JR296" s="243"/>
      <c r="JS296" s="243"/>
      <c r="JT296" s="243"/>
      <c r="JU296" s="243"/>
      <c r="JV296" s="243"/>
      <c r="JW296" s="243"/>
      <c r="JX296" s="243"/>
      <c r="JY296" s="243"/>
      <c r="JZ296" s="243"/>
      <c r="KA296" s="243"/>
      <c r="KB296" s="243"/>
      <c r="KC296" s="243"/>
      <c r="KD296" s="243"/>
      <c r="KE296" s="243"/>
      <c r="KF296" s="243"/>
      <c r="KG296" s="243"/>
      <c r="KH296" s="243"/>
      <c r="KI296" s="243"/>
      <c r="KJ296" s="243"/>
      <c r="KK296" s="243"/>
      <c r="KL296" s="243"/>
      <c r="KM296" s="243"/>
      <c r="KN296" s="243"/>
      <c r="KO296" s="243"/>
      <c r="KP296" s="243"/>
      <c r="KQ296" s="243"/>
      <c r="KR296" s="243"/>
      <c r="KS296" s="243"/>
      <c r="KT296" s="243"/>
      <c r="KU296" s="243"/>
      <c r="KV296" s="243"/>
      <c r="KW296" s="243"/>
      <c r="KX296" s="243"/>
      <c r="KY296" s="243"/>
      <c r="KZ296" s="243"/>
      <c r="LA296" s="243"/>
      <c r="LB296" s="243"/>
      <c r="LC296" s="243"/>
      <c r="LD296" s="243"/>
      <c r="LE296" s="243"/>
      <c r="LF296" s="243"/>
      <c r="LG296" s="243"/>
      <c r="LH296" s="243"/>
      <c r="LI296" s="243"/>
      <c r="LJ296" s="243"/>
      <c r="LK296" s="243"/>
      <c r="LL296" s="243"/>
      <c r="LM296" s="243"/>
      <c r="LN296" s="243"/>
      <c r="LO296" s="243"/>
      <c r="LP296" s="243"/>
      <c r="LQ296" s="243"/>
      <c r="LR296" s="243"/>
      <c r="LS296" s="243"/>
      <c r="LT296" s="243"/>
      <c r="LU296" s="243"/>
      <c r="LV296" s="243"/>
      <c r="LW296" s="243"/>
      <c r="LX296" s="243"/>
      <c r="LY296" s="243"/>
      <c r="LZ296" s="243"/>
      <c r="MA296" s="243"/>
      <c r="MB296" s="243"/>
      <c r="MC296" s="243"/>
      <c r="MD296" s="243"/>
      <c r="ME296" s="243"/>
      <c r="MF296" s="243"/>
      <c r="MG296" s="243"/>
      <c r="MH296" s="243"/>
      <c r="MI296" s="243"/>
      <c r="MJ296" s="243"/>
      <c r="MK296" s="243"/>
      <c r="ML296" s="243"/>
      <c r="MM296" s="243"/>
      <c r="MN296" s="243"/>
      <c r="MO296" s="243"/>
      <c r="MP296" s="243"/>
      <c r="MQ296" s="243"/>
      <c r="MR296" s="243"/>
      <c r="MS296" s="243"/>
      <c r="MT296" s="243"/>
      <c r="MU296" s="243"/>
      <c r="MV296" s="243"/>
      <c r="MW296" s="243"/>
      <c r="MX296" s="243"/>
      <c r="MY296" s="243"/>
      <c r="MZ296" s="243"/>
      <c r="NA296" s="243"/>
      <c r="NB296" s="243"/>
      <c r="NC296" s="243"/>
      <c r="ND296" s="243"/>
      <c r="NE296" s="243"/>
      <c r="NF296" s="243"/>
      <c r="NG296" s="243"/>
      <c r="NH296" s="243"/>
      <c r="NI296" s="243"/>
      <c r="NJ296" s="243"/>
      <c r="NK296" s="243"/>
      <c r="NL296" s="243"/>
      <c r="NM296" s="243"/>
      <c r="NN296" s="243"/>
      <c r="NO296" s="243"/>
      <c r="NP296" s="243"/>
      <c r="NQ296" s="243"/>
      <c r="NR296" s="243"/>
      <c r="NS296" s="243"/>
      <c r="NT296" s="243"/>
      <c r="NU296" s="243"/>
      <c r="NV296" s="243"/>
      <c r="NW296" s="243"/>
      <c r="NX296" s="243"/>
      <c r="NY296" s="243"/>
      <c r="NZ296" s="243"/>
      <c r="OA296" s="243"/>
      <c r="OB296" s="243"/>
      <c r="OC296" s="243"/>
      <c r="OD296" s="243"/>
      <c r="OE296" s="243"/>
      <c r="OF296" s="243"/>
      <c r="OG296" s="243"/>
      <c r="OH296" s="243"/>
      <c r="OI296" s="243"/>
      <c r="OJ296" s="243"/>
      <c r="OK296" s="243"/>
      <c r="OL296" s="243"/>
      <c r="OM296" s="243"/>
      <c r="ON296" s="243"/>
      <c r="OO296" s="243"/>
      <c r="OP296" s="243"/>
      <c r="OQ296" s="243"/>
      <c r="OR296" s="243"/>
      <c r="OS296" s="243"/>
      <c r="OT296" s="243"/>
      <c r="OU296" s="243"/>
      <c r="OV296" s="243"/>
      <c r="OW296" s="243"/>
      <c r="OX296" s="243"/>
      <c r="OY296" s="243"/>
      <c r="OZ296" s="243"/>
      <c r="PA296" s="243"/>
      <c r="PB296" s="243"/>
      <c r="PC296" s="243"/>
      <c r="PD296" s="243"/>
      <c r="PE296" s="243"/>
      <c r="PF296" s="243"/>
      <c r="PG296" s="243"/>
      <c r="PH296" s="243"/>
      <c r="PI296" s="243"/>
      <c r="PJ296" s="243"/>
      <c r="PK296" s="243"/>
      <c r="PL296" s="243"/>
      <c r="PM296" s="243"/>
      <c r="PN296" s="243"/>
      <c r="PO296" s="243"/>
      <c r="PP296" s="243"/>
      <c r="PQ296" s="243"/>
      <c r="PR296" s="243"/>
      <c r="PS296" s="243"/>
      <c r="PT296" s="243"/>
      <c r="PU296" s="243"/>
      <c r="PV296" s="243"/>
      <c r="PW296" s="243"/>
      <c r="PX296" s="243"/>
      <c r="PY296" s="243"/>
      <c r="PZ296" s="243"/>
      <c r="QA296" s="243"/>
      <c r="QB296" s="243"/>
      <c r="QC296" s="243"/>
      <c r="QD296" s="243"/>
      <c r="QE296" s="243"/>
      <c r="QF296" s="243"/>
      <c r="QG296" s="243"/>
      <c r="QH296" s="243"/>
      <c r="QI296" s="243"/>
      <c r="QJ296" s="243"/>
      <c r="QK296" s="243"/>
      <c r="QL296" s="243"/>
      <c r="QM296" s="243"/>
      <c r="QN296" s="243"/>
      <c r="QO296" s="243"/>
      <c r="QP296" s="243"/>
      <c r="QQ296" s="243"/>
      <c r="QR296" s="243"/>
      <c r="QS296" s="243"/>
      <c r="QT296" s="243"/>
      <c r="QU296" s="243"/>
      <c r="QV296" s="243"/>
      <c r="QW296" s="243"/>
      <c r="QX296" s="243"/>
      <c r="QY296" s="243"/>
      <c r="QZ296" s="243"/>
      <c r="RA296" s="243"/>
      <c r="RB296" s="243"/>
      <c r="RC296" s="243"/>
      <c r="RD296" s="243"/>
      <c r="RE296" s="243"/>
      <c r="RF296" s="243"/>
      <c r="RG296" s="243"/>
      <c r="RH296" s="243"/>
      <c r="RI296" s="243"/>
      <c r="RJ296" s="243"/>
      <c r="RK296" s="243"/>
      <c r="RL296" s="243"/>
      <c r="RM296" s="243"/>
      <c r="RN296" s="243"/>
      <c r="RO296" s="243"/>
      <c r="RP296" s="243"/>
      <c r="RQ296" s="243"/>
      <c r="RR296" s="243"/>
      <c r="RS296" s="243"/>
      <c r="RT296" s="243"/>
      <c r="RU296" s="243"/>
      <c r="RV296" s="243"/>
      <c r="RW296" s="243"/>
      <c r="RX296" s="243"/>
      <c r="RY296" s="243"/>
      <c r="RZ296" s="243"/>
      <c r="SA296" s="243"/>
      <c r="SB296" s="243"/>
      <c r="SC296" s="243"/>
      <c r="SD296" s="243"/>
      <c r="SE296" s="243"/>
      <c r="SF296" s="243"/>
      <c r="SG296" s="243"/>
      <c r="SH296" s="243"/>
      <c r="SI296" s="243"/>
      <c r="SJ296" s="243"/>
      <c r="SK296" s="243"/>
      <c r="SL296" s="243"/>
      <c r="SM296" s="243"/>
      <c r="SN296" s="243"/>
      <c r="SO296" s="243"/>
      <c r="SP296" s="243"/>
      <c r="SQ296" s="243"/>
      <c r="SR296" s="243"/>
      <c r="SS296" s="243"/>
      <c r="ST296" s="243"/>
      <c r="SU296" s="243"/>
      <c r="SV296" s="243"/>
      <c r="SW296" s="243"/>
      <c r="SX296" s="243"/>
      <c r="SY296" s="243"/>
      <c r="SZ296" s="243"/>
      <c r="TA296" s="243"/>
      <c r="TB296" s="243"/>
      <c r="TC296" s="243"/>
      <c r="TD296" s="243"/>
      <c r="TE296" s="243"/>
      <c r="TF296" s="243"/>
      <c r="TG296" s="243"/>
      <c r="TH296" s="243"/>
      <c r="TI296" s="243"/>
      <c r="TJ296" s="243"/>
      <c r="TK296" s="243"/>
      <c r="TL296" s="243"/>
      <c r="TM296" s="243"/>
      <c r="TN296" s="243"/>
      <c r="TO296" s="243"/>
      <c r="TP296" s="243"/>
      <c r="TQ296" s="243"/>
      <c r="TR296" s="243"/>
      <c r="TS296" s="243"/>
      <c r="TT296" s="243"/>
      <c r="TU296" s="243"/>
      <c r="TV296" s="243"/>
      <c r="TW296" s="243"/>
      <c r="TX296" s="243"/>
      <c r="TY296" s="243"/>
      <c r="TZ296" s="243"/>
      <c r="UA296" s="243"/>
      <c r="UB296" s="243"/>
      <c r="UC296" s="243"/>
      <c r="UD296" s="243"/>
      <c r="UE296" s="243"/>
      <c r="UF296" s="243"/>
      <c r="UG296" s="243"/>
      <c r="UH296" s="243"/>
      <c r="UI296" s="243"/>
      <c r="UJ296" s="243"/>
      <c r="UK296" s="243"/>
      <c r="UL296" s="243"/>
      <c r="UM296" s="243"/>
      <c r="UN296" s="243"/>
      <c r="UO296" s="243"/>
      <c r="UP296" s="243"/>
      <c r="UQ296" s="243"/>
      <c r="UR296" s="243"/>
      <c r="US296" s="243"/>
      <c r="UT296" s="243"/>
      <c r="UU296" s="243"/>
      <c r="UV296" s="243"/>
      <c r="UW296" s="243"/>
      <c r="UX296" s="243"/>
      <c r="UY296" s="243"/>
      <c r="UZ296" s="243"/>
      <c r="VA296" s="243"/>
      <c r="VB296" s="243"/>
      <c r="VC296" s="243"/>
      <c r="VD296" s="243"/>
      <c r="VE296" s="243"/>
      <c r="VF296" s="243"/>
      <c r="VG296" s="243"/>
      <c r="VH296" s="243"/>
      <c r="VI296" s="243"/>
      <c r="VJ296" s="243"/>
      <c r="VK296" s="243"/>
      <c r="VL296" s="243"/>
      <c r="VM296" s="243"/>
      <c r="VN296" s="243"/>
      <c r="VO296" s="243"/>
      <c r="VP296" s="243"/>
      <c r="VQ296" s="243"/>
      <c r="VR296" s="243"/>
      <c r="VS296" s="243"/>
      <c r="VT296" s="243"/>
      <c r="VU296" s="243"/>
      <c r="VV296" s="243"/>
      <c r="VW296" s="243"/>
      <c r="VX296" s="243"/>
      <c r="VY296" s="243"/>
      <c r="VZ296" s="243"/>
      <c r="WA296" s="243"/>
      <c r="WB296" s="243"/>
      <c r="WC296" s="243"/>
      <c r="WD296" s="243"/>
      <c r="WE296" s="243"/>
      <c r="WF296" s="243"/>
      <c r="WG296" s="243"/>
      <c r="WH296" s="243"/>
      <c r="WI296" s="243"/>
      <c r="WJ296" s="243"/>
      <c r="WK296" s="243"/>
      <c r="WL296" s="243"/>
      <c r="WM296" s="243"/>
      <c r="WN296" s="243"/>
      <c r="WO296" s="243"/>
      <c r="WP296" s="243"/>
      <c r="WQ296" s="243"/>
      <c r="WR296" s="243"/>
      <c r="WS296" s="243"/>
      <c r="WT296" s="243"/>
      <c r="WU296" s="243"/>
      <c r="WV296" s="243"/>
      <c r="WW296" s="243"/>
      <c r="WX296" s="243"/>
      <c r="WY296" s="243"/>
      <c r="WZ296" s="243"/>
      <c r="XA296" s="243"/>
      <c r="XB296" s="243"/>
      <c r="XC296" s="243"/>
      <c r="XD296" s="243"/>
      <c r="XE296" s="243"/>
      <c r="XF296" s="243"/>
      <c r="XG296" s="243"/>
      <c r="XH296" s="243"/>
      <c r="XI296" s="243"/>
      <c r="XJ296" s="243"/>
      <c r="XK296" s="243"/>
      <c r="XL296" s="243"/>
      <c r="XM296" s="243"/>
      <c r="XN296" s="243"/>
      <c r="XO296" s="243"/>
      <c r="XP296" s="243"/>
      <c r="XQ296" s="243"/>
      <c r="XR296" s="243"/>
      <c r="XS296" s="243"/>
      <c r="XT296" s="243"/>
      <c r="XU296" s="243"/>
      <c r="XV296" s="243"/>
      <c r="XW296" s="243"/>
      <c r="XX296" s="243"/>
      <c r="XY296" s="243"/>
      <c r="XZ296" s="243"/>
      <c r="YA296" s="243"/>
      <c r="YB296" s="243"/>
      <c r="YC296" s="243"/>
      <c r="YD296" s="243"/>
      <c r="YE296" s="243"/>
      <c r="YF296" s="243"/>
      <c r="YG296" s="243"/>
      <c r="YH296" s="243"/>
      <c r="YI296" s="243"/>
      <c r="YJ296" s="243"/>
      <c r="YK296" s="243"/>
      <c r="YL296" s="243"/>
      <c r="YM296" s="243"/>
      <c r="YN296" s="243"/>
      <c r="YO296" s="243"/>
      <c r="YP296" s="243"/>
      <c r="YQ296" s="243"/>
      <c r="YR296" s="243"/>
      <c r="YS296" s="243"/>
      <c r="YT296" s="243"/>
      <c r="YU296" s="243"/>
      <c r="YV296" s="243"/>
      <c r="YW296" s="243"/>
      <c r="YX296" s="243"/>
      <c r="YY296" s="243"/>
      <c r="YZ296" s="243"/>
      <c r="ZA296" s="243"/>
      <c r="ZB296" s="243"/>
      <c r="ZC296" s="243"/>
      <c r="ZD296" s="243"/>
      <c r="ZE296" s="243"/>
      <c r="ZF296" s="243"/>
      <c r="ZG296" s="243"/>
      <c r="ZH296" s="243"/>
      <c r="ZI296" s="243"/>
      <c r="ZJ296" s="243"/>
      <c r="ZK296" s="243"/>
      <c r="ZL296" s="243"/>
      <c r="ZM296" s="243"/>
      <c r="ZN296" s="243"/>
      <c r="ZO296" s="243"/>
      <c r="ZP296" s="243"/>
      <c r="ZQ296" s="243"/>
      <c r="ZR296" s="243"/>
      <c r="ZS296" s="243"/>
      <c r="ZT296" s="243"/>
      <c r="ZU296" s="243"/>
      <c r="ZV296" s="243"/>
      <c r="ZW296" s="243"/>
      <c r="ZX296" s="243"/>
      <c r="ZY296" s="243"/>
      <c r="ZZ296" s="243"/>
      <c r="AAA296" s="243"/>
      <c r="AAB296" s="243"/>
      <c r="AAC296" s="243"/>
      <c r="AAD296" s="243"/>
      <c r="AAE296" s="243"/>
      <c r="AAF296" s="243"/>
      <c r="AAG296" s="243"/>
      <c r="AAH296" s="243"/>
      <c r="AAI296" s="243"/>
      <c r="AAJ296" s="243"/>
      <c r="AAK296" s="243"/>
      <c r="AAL296" s="243"/>
      <c r="AAM296" s="243"/>
      <c r="AAN296" s="243"/>
      <c r="AAO296" s="243"/>
      <c r="AAP296" s="243"/>
      <c r="AAQ296" s="243"/>
      <c r="AAR296" s="243"/>
      <c r="AAS296" s="243"/>
      <c r="AAT296" s="243"/>
      <c r="AAU296" s="243"/>
      <c r="AAV296" s="243"/>
      <c r="AAW296" s="243"/>
      <c r="AAX296" s="243"/>
      <c r="AAY296" s="243"/>
      <c r="AAZ296" s="243"/>
      <c r="ABA296" s="243"/>
      <c r="ABB296" s="243"/>
      <c r="ABC296" s="243"/>
      <c r="ABD296" s="243"/>
      <c r="ABE296" s="243"/>
      <c r="ABF296" s="243"/>
      <c r="ABG296" s="243"/>
      <c r="ABH296" s="243"/>
      <c r="ABI296" s="243"/>
      <c r="ABJ296" s="243"/>
      <c r="ABK296" s="243"/>
      <c r="ABL296" s="243"/>
      <c r="ABM296" s="243"/>
      <c r="ABN296" s="243"/>
      <c r="ABO296" s="243"/>
      <c r="ABP296" s="243"/>
      <c r="ABQ296" s="243"/>
      <c r="ABR296" s="243"/>
      <c r="ABS296" s="243"/>
      <c r="ABT296" s="243"/>
      <c r="ABU296" s="243"/>
      <c r="ABV296" s="243"/>
      <c r="ABW296" s="243"/>
      <c r="ABX296" s="243"/>
      <c r="ABY296" s="243"/>
      <c r="ABZ296" s="243"/>
      <c r="ACA296" s="243"/>
      <c r="ACB296" s="243"/>
      <c r="ACC296" s="243"/>
      <c r="ACD296" s="243"/>
      <c r="ACE296" s="243"/>
      <c r="ACF296" s="243"/>
      <c r="ACG296" s="243"/>
      <c r="ACH296" s="243"/>
      <c r="ACI296" s="243"/>
      <c r="ACJ296" s="243"/>
      <c r="ACK296" s="243"/>
      <c r="ACL296" s="243"/>
      <c r="ACM296" s="243"/>
      <c r="ACN296" s="243"/>
      <c r="ACO296" s="243"/>
      <c r="ACP296" s="243"/>
      <c r="ACQ296" s="243"/>
      <c r="ACR296" s="243"/>
      <c r="ACS296" s="243"/>
      <c r="ACT296" s="243"/>
      <c r="ACU296" s="243"/>
      <c r="ACV296" s="243"/>
      <c r="ACW296" s="243"/>
      <c r="ACX296" s="243"/>
      <c r="ACY296" s="243"/>
      <c r="ACZ296" s="243"/>
      <c r="ADA296" s="243"/>
      <c r="ADB296" s="243"/>
      <c r="ADC296" s="243"/>
      <c r="ADD296" s="243"/>
      <c r="ADE296" s="243"/>
      <c r="ADF296" s="243"/>
      <c r="ADG296" s="243"/>
      <c r="ADH296" s="243"/>
      <c r="ADI296" s="243"/>
      <c r="ADJ296" s="243"/>
      <c r="ADK296" s="243"/>
      <c r="ADL296" s="243"/>
      <c r="ADM296" s="243"/>
      <c r="ADN296" s="243"/>
      <c r="ADO296" s="243"/>
      <c r="ADP296" s="243"/>
      <c r="ADQ296" s="243"/>
      <c r="ADR296" s="243"/>
      <c r="ADS296" s="243"/>
      <c r="ADT296" s="243"/>
      <c r="ADU296" s="243"/>
      <c r="ADV296" s="243"/>
      <c r="ADW296" s="243"/>
      <c r="ADX296" s="243"/>
      <c r="ADY296" s="243"/>
      <c r="ADZ296" s="243"/>
      <c r="AEA296" s="243"/>
      <c r="AEB296" s="243"/>
      <c r="AEC296" s="243"/>
      <c r="AED296" s="243"/>
      <c r="AEE296" s="243"/>
      <c r="AEF296" s="243"/>
      <c r="AEG296" s="243"/>
      <c r="AEH296" s="243"/>
      <c r="AEI296" s="243"/>
      <c r="AEJ296" s="243"/>
      <c r="AEK296" s="243"/>
      <c r="AEL296" s="243"/>
      <c r="AEM296" s="243"/>
      <c r="AEN296" s="243"/>
      <c r="AEO296" s="243"/>
      <c r="AEP296" s="243"/>
      <c r="AEQ296" s="243"/>
      <c r="AER296" s="243"/>
      <c r="AES296" s="243"/>
      <c r="AET296" s="243"/>
      <c r="AEU296" s="243"/>
      <c r="AEV296" s="243"/>
      <c r="AEW296" s="243"/>
      <c r="AEX296" s="243"/>
      <c r="AEY296" s="243"/>
      <c r="AEZ296" s="243"/>
      <c r="AFA296" s="243"/>
      <c r="AFB296" s="243"/>
      <c r="AFC296" s="243"/>
      <c r="AFD296" s="243"/>
      <c r="AFE296" s="243"/>
      <c r="AFF296" s="243"/>
      <c r="AFG296" s="243"/>
      <c r="AFH296" s="243"/>
      <c r="AFI296" s="243"/>
      <c r="AFJ296" s="243"/>
      <c r="AFK296" s="243"/>
      <c r="AFL296" s="243"/>
      <c r="AFM296" s="243"/>
      <c r="AFN296" s="243"/>
      <c r="AFO296" s="243"/>
      <c r="AFP296" s="243"/>
      <c r="AFQ296" s="243"/>
      <c r="AFR296" s="243"/>
      <c r="AFS296" s="243"/>
      <c r="AFT296" s="243"/>
      <c r="AFU296" s="243"/>
      <c r="AFV296" s="243"/>
      <c r="AFW296" s="243"/>
      <c r="AFX296" s="243"/>
      <c r="AFY296" s="243"/>
      <c r="AFZ296" s="243"/>
      <c r="AGA296" s="243"/>
      <c r="AGB296" s="243"/>
      <c r="AGC296" s="243"/>
      <c r="AGD296" s="243"/>
      <c r="AGE296" s="243"/>
      <c r="AGF296" s="243"/>
      <c r="AGG296" s="243"/>
      <c r="AGH296" s="243"/>
      <c r="AGI296" s="243"/>
      <c r="AGJ296" s="243"/>
      <c r="AGK296" s="243"/>
      <c r="AGL296" s="243"/>
      <c r="AGM296" s="243"/>
      <c r="AGN296" s="243"/>
      <c r="AGO296" s="243"/>
      <c r="AGP296" s="243"/>
      <c r="AGQ296" s="243"/>
      <c r="AGR296" s="243"/>
      <c r="AGS296" s="243"/>
      <c r="AGT296" s="243"/>
      <c r="AGU296" s="243"/>
      <c r="AGV296" s="243"/>
      <c r="AGW296" s="243"/>
      <c r="AGX296" s="243"/>
      <c r="AGY296" s="243"/>
      <c r="AGZ296" s="243"/>
      <c r="AHA296" s="243"/>
      <c r="AHB296" s="243"/>
      <c r="AHC296" s="243"/>
      <c r="AHD296" s="243"/>
      <c r="AHE296" s="243"/>
      <c r="AHF296" s="243"/>
      <c r="AHG296" s="243"/>
      <c r="AHH296" s="243"/>
      <c r="AHI296" s="243"/>
      <c r="AHJ296" s="243"/>
      <c r="AHK296" s="243"/>
      <c r="AHL296" s="243"/>
      <c r="AHM296" s="243"/>
      <c r="AHN296" s="243"/>
      <c r="AHO296" s="243"/>
      <c r="AHP296" s="243"/>
      <c r="AHQ296" s="243"/>
      <c r="AHR296" s="243"/>
      <c r="AHS296" s="243"/>
      <c r="AHT296" s="243"/>
      <c r="AHU296" s="243"/>
      <c r="AHV296" s="243"/>
      <c r="AHW296" s="243"/>
      <c r="AHX296" s="243"/>
      <c r="AHY296" s="243"/>
      <c r="AHZ296" s="243"/>
      <c r="AIA296" s="243"/>
      <c r="AIB296" s="243"/>
      <c r="AIC296" s="243"/>
      <c r="AID296" s="243"/>
      <c r="AIE296" s="243"/>
      <c r="AIF296" s="243"/>
      <c r="AIG296" s="243"/>
      <c r="AIH296" s="243"/>
      <c r="AII296" s="243"/>
      <c r="AIJ296" s="243"/>
      <c r="AIK296" s="243"/>
      <c r="AIL296" s="243"/>
      <c r="AIM296" s="243"/>
      <c r="AIN296" s="243"/>
      <c r="AIO296" s="243"/>
      <c r="AIP296" s="243"/>
      <c r="AIQ296" s="243"/>
      <c r="AIR296" s="243"/>
      <c r="AIS296" s="243"/>
      <c r="AIT296" s="243"/>
      <c r="AIU296" s="243"/>
      <c r="AIV296" s="243"/>
      <c r="AIW296" s="243"/>
      <c r="AIX296" s="243"/>
      <c r="AIY296" s="243"/>
      <c r="AIZ296" s="243"/>
      <c r="AJA296" s="243"/>
      <c r="AJB296" s="243"/>
      <c r="AJC296" s="243"/>
      <c r="AJD296" s="243"/>
      <c r="AJE296" s="243"/>
      <c r="AJF296" s="243"/>
      <c r="AJG296" s="243"/>
      <c r="AJH296" s="243"/>
      <c r="AJI296" s="243"/>
      <c r="AJJ296" s="243"/>
      <c r="AJK296" s="243"/>
      <c r="AJL296" s="243"/>
      <c r="AJM296" s="243"/>
      <c r="AJN296" s="243"/>
      <c r="AJO296" s="243"/>
      <c r="AJP296" s="243"/>
      <c r="AJQ296" s="243"/>
      <c r="AJR296" s="243"/>
      <c r="AJS296" s="243"/>
      <c r="AJT296" s="243"/>
      <c r="AJU296" s="243"/>
      <c r="AJV296" s="243"/>
      <c r="AJW296" s="243"/>
      <c r="AJX296" s="243"/>
      <c r="AJY296" s="243"/>
      <c r="AJZ296" s="243"/>
      <c r="AKA296" s="243"/>
      <c r="AKB296" s="243"/>
      <c r="AKC296" s="243"/>
      <c r="AKD296" s="243"/>
      <c r="AKE296" s="243"/>
      <c r="AKF296" s="243"/>
      <c r="AKG296" s="243"/>
      <c r="AKH296" s="243"/>
      <c r="AKI296" s="243"/>
      <c r="AKJ296" s="243"/>
      <c r="AKK296" s="243"/>
      <c r="AKL296" s="243"/>
      <c r="AKM296" s="243"/>
      <c r="AKN296" s="243"/>
      <c r="AKO296" s="243"/>
      <c r="AKP296" s="243"/>
      <c r="AKQ296" s="243"/>
      <c r="AKR296" s="243"/>
      <c r="AKS296" s="243"/>
      <c r="AKT296" s="243"/>
      <c r="AKU296" s="243"/>
      <c r="AKV296" s="243"/>
      <c r="AKW296" s="243"/>
      <c r="AKX296" s="243"/>
      <c r="AKY296" s="243"/>
      <c r="AKZ296" s="243"/>
      <c r="ALA296" s="243"/>
      <c r="ALB296" s="243"/>
      <c r="ALC296" s="243"/>
      <c r="ALD296" s="243"/>
      <c r="ALE296" s="243"/>
      <c r="ALF296" s="243"/>
      <c r="ALG296" s="243"/>
      <c r="ALH296" s="243"/>
      <c r="ALI296" s="243"/>
      <c r="ALJ296" s="243"/>
      <c r="ALK296" s="243"/>
      <c r="ALL296" s="243"/>
      <c r="ALM296" s="243"/>
      <c r="ALN296" s="243"/>
      <c r="ALO296" s="243"/>
      <c r="ALP296" s="243"/>
      <c r="ALQ296" s="243"/>
      <c r="ALR296" s="243"/>
      <c r="ALS296" s="243"/>
      <c r="ALT296" s="243"/>
      <c r="ALU296" s="243"/>
      <c r="ALV296" s="243"/>
      <c r="ALW296" s="243"/>
      <c r="ALX296" s="243"/>
      <c r="ALY296" s="243"/>
      <c r="ALZ296" s="243"/>
      <c r="AMA296" s="243"/>
      <c r="AMB296" s="243"/>
      <c r="AMC296" s="243"/>
      <c r="AMD296" s="243"/>
      <c r="AME296" s="243"/>
      <c r="AMF296" s="243"/>
      <c r="AMG296" s="243"/>
      <c r="AMH296" s="243"/>
      <c r="AMI296" s="244"/>
      <c r="AMJ296" s="244"/>
    </row>
    <row r="297" spans="1:1024">
      <c r="A297" s="911"/>
      <c r="B297" s="443">
        <v>14238</v>
      </c>
      <c r="C297" s="521">
        <v>0.08</v>
      </c>
      <c r="D297" s="370" t="s">
        <v>205</v>
      </c>
      <c r="E297" s="401">
        <v>3100000</v>
      </c>
      <c r="F297" s="477">
        <v>0.05</v>
      </c>
      <c r="G297" s="401">
        <f t="shared" si="11"/>
        <v>155000</v>
      </c>
      <c r="H297" s="402" t="s">
        <v>103</v>
      </c>
      <c r="I297" s="402" t="s">
        <v>190</v>
      </c>
      <c r="J297" s="402" t="s">
        <v>125</v>
      </c>
      <c r="K297" s="402" t="s">
        <v>155</v>
      </c>
      <c r="L297" s="402" t="s">
        <v>125</v>
      </c>
      <c r="M297" s="395"/>
      <c r="N297" s="396"/>
      <c r="O297" s="377"/>
      <c r="P297" s="377"/>
      <c r="Q297" s="377"/>
      <c r="R297" s="243"/>
      <c r="S297" s="243"/>
      <c r="T297" s="243"/>
      <c r="U297" s="243"/>
      <c r="V297" s="243"/>
      <c r="W297" s="243"/>
      <c r="X297" s="243"/>
      <c r="Y297" s="243"/>
      <c r="Z297" s="243"/>
      <c r="AA297" s="243"/>
      <c r="AB297" s="243"/>
      <c r="AC297" s="243"/>
      <c r="AD297" s="243"/>
      <c r="AE297" s="243"/>
      <c r="AF297" s="243"/>
      <c r="AG297" s="243"/>
      <c r="AH297" s="243"/>
      <c r="AI297" s="243"/>
      <c r="AJ297" s="243"/>
      <c r="AK297" s="243"/>
      <c r="AL297" s="243"/>
      <c r="AM297" s="243"/>
      <c r="AN297" s="243"/>
      <c r="AO297" s="243"/>
      <c r="AP297" s="243"/>
      <c r="AQ297" s="243"/>
      <c r="AR297" s="243"/>
      <c r="AS297" s="243"/>
      <c r="AT297" s="243"/>
      <c r="AU297" s="243"/>
      <c r="AV297" s="243"/>
      <c r="AW297" s="243"/>
      <c r="AX297" s="243"/>
      <c r="AY297" s="243"/>
      <c r="AZ297" s="243"/>
      <c r="BA297" s="243"/>
      <c r="BB297" s="243"/>
      <c r="BC297" s="243"/>
      <c r="BD297" s="243"/>
      <c r="BE297" s="243"/>
      <c r="BF297" s="243"/>
      <c r="BG297" s="243"/>
      <c r="BH297" s="243"/>
      <c r="BI297" s="243"/>
      <c r="BJ297" s="243"/>
      <c r="BK297" s="243"/>
      <c r="BL297" s="243"/>
      <c r="BM297" s="243"/>
      <c r="BN297" s="243"/>
      <c r="BO297" s="243"/>
      <c r="BP297" s="243"/>
      <c r="BQ297" s="243"/>
      <c r="BR297" s="243"/>
      <c r="BS297" s="243"/>
      <c r="BT297" s="243"/>
      <c r="BU297" s="243"/>
      <c r="BV297" s="243"/>
      <c r="BW297" s="243"/>
      <c r="BX297" s="243"/>
      <c r="BY297" s="243"/>
      <c r="BZ297" s="243"/>
      <c r="CA297" s="243"/>
      <c r="CB297" s="243"/>
      <c r="CC297" s="243"/>
      <c r="CD297" s="243"/>
      <c r="CE297" s="243"/>
      <c r="CF297" s="243"/>
      <c r="CG297" s="243"/>
      <c r="CH297" s="243"/>
      <c r="CI297" s="243"/>
      <c r="CJ297" s="243"/>
      <c r="CK297" s="243"/>
      <c r="CL297" s="243"/>
      <c r="CM297" s="243"/>
      <c r="CN297" s="243"/>
      <c r="CO297" s="243"/>
      <c r="CP297" s="243"/>
      <c r="CQ297" s="243"/>
      <c r="CR297" s="243"/>
      <c r="CS297" s="243"/>
      <c r="CT297" s="243"/>
      <c r="CU297" s="243"/>
      <c r="CV297" s="243"/>
      <c r="CW297" s="243"/>
      <c r="CX297" s="243"/>
      <c r="CY297" s="243"/>
      <c r="CZ297" s="243"/>
      <c r="DA297" s="243"/>
      <c r="DB297" s="243"/>
      <c r="DC297" s="243"/>
      <c r="DD297" s="243"/>
      <c r="DE297" s="243"/>
      <c r="DF297" s="243"/>
      <c r="DG297" s="243"/>
      <c r="DH297" s="243"/>
      <c r="DI297" s="243"/>
      <c r="DJ297" s="243"/>
      <c r="DK297" s="243"/>
      <c r="DL297" s="243"/>
      <c r="DM297" s="243"/>
      <c r="DN297" s="243"/>
      <c r="DO297" s="243"/>
      <c r="DP297" s="243"/>
      <c r="DQ297" s="243"/>
      <c r="DR297" s="243"/>
      <c r="DS297" s="243"/>
      <c r="DT297" s="243"/>
      <c r="DU297" s="243"/>
      <c r="DV297" s="243"/>
      <c r="DW297" s="243"/>
      <c r="DX297" s="243"/>
      <c r="DY297" s="243"/>
      <c r="DZ297" s="243"/>
      <c r="EA297" s="243"/>
      <c r="EB297" s="243"/>
      <c r="EC297" s="243"/>
      <c r="ED297" s="243"/>
      <c r="EE297" s="243"/>
      <c r="EF297" s="243"/>
      <c r="EG297" s="243"/>
      <c r="EH297" s="243"/>
      <c r="EI297" s="243"/>
      <c r="EJ297" s="243"/>
      <c r="EK297" s="243"/>
      <c r="EL297" s="243"/>
      <c r="EM297" s="243"/>
      <c r="EN297" s="243"/>
      <c r="EO297" s="243"/>
      <c r="EP297" s="243"/>
      <c r="EQ297" s="243"/>
      <c r="ER297" s="243"/>
      <c r="ES297" s="243"/>
      <c r="ET297" s="243"/>
      <c r="EU297" s="243"/>
      <c r="EV297" s="243"/>
      <c r="EW297" s="243"/>
      <c r="EX297" s="243"/>
      <c r="EY297" s="243"/>
      <c r="EZ297" s="243"/>
      <c r="FA297" s="243"/>
      <c r="FB297" s="243"/>
      <c r="FC297" s="243"/>
      <c r="FD297" s="243"/>
      <c r="FE297" s="243"/>
      <c r="FF297" s="243"/>
      <c r="FG297" s="243"/>
      <c r="FH297" s="243"/>
      <c r="FI297" s="243"/>
      <c r="FJ297" s="243"/>
      <c r="FK297" s="243"/>
      <c r="FL297" s="243"/>
      <c r="FM297" s="243"/>
      <c r="FN297" s="243"/>
      <c r="FO297" s="243"/>
      <c r="FP297" s="243"/>
      <c r="FQ297" s="243"/>
      <c r="FR297" s="243"/>
      <c r="FS297" s="243"/>
      <c r="FT297" s="243"/>
      <c r="FU297" s="243"/>
      <c r="FV297" s="243"/>
      <c r="FW297" s="243"/>
      <c r="FX297" s="243"/>
      <c r="FY297" s="243"/>
      <c r="FZ297" s="243"/>
      <c r="GA297" s="243"/>
      <c r="GB297" s="243"/>
      <c r="GC297" s="243"/>
      <c r="GD297" s="243"/>
      <c r="GE297" s="243"/>
      <c r="GF297" s="243"/>
      <c r="GG297" s="243"/>
      <c r="GH297" s="243"/>
      <c r="GI297" s="243"/>
      <c r="GJ297" s="243"/>
      <c r="GK297" s="243"/>
      <c r="GL297" s="243"/>
      <c r="GM297" s="243"/>
      <c r="GN297" s="243"/>
      <c r="GO297" s="243"/>
      <c r="GP297" s="243"/>
      <c r="GQ297" s="243"/>
      <c r="GR297" s="243"/>
      <c r="GS297" s="243"/>
      <c r="GT297" s="243"/>
      <c r="GU297" s="243"/>
      <c r="GV297" s="243"/>
      <c r="GW297" s="243"/>
      <c r="GX297" s="243"/>
      <c r="GY297" s="243"/>
      <c r="GZ297" s="243"/>
      <c r="HA297" s="243"/>
      <c r="HB297" s="243"/>
      <c r="HC297" s="243"/>
      <c r="HD297" s="243"/>
      <c r="HE297" s="243"/>
      <c r="HF297" s="243"/>
      <c r="HG297" s="243"/>
      <c r="HH297" s="243"/>
      <c r="HI297" s="243"/>
      <c r="HJ297" s="243"/>
      <c r="HK297" s="243"/>
      <c r="HL297" s="243"/>
      <c r="HM297" s="243"/>
      <c r="HN297" s="243"/>
      <c r="HO297" s="243"/>
      <c r="HP297" s="243"/>
      <c r="HQ297" s="243"/>
      <c r="HR297" s="243"/>
      <c r="HS297" s="243"/>
      <c r="HT297" s="243"/>
      <c r="HU297" s="243"/>
      <c r="HV297" s="243"/>
      <c r="HW297" s="243"/>
      <c r="HX297" s="243"/>
      <c r="HY297" s="243"/>
      <c r="HZ297" s="243"/>
      <c r="IA297" s="243"/>
      <c r="IB297" s="243"/>
      <c r="IC297" s="243"/>
      <c r="ID297" s="243"/>
      <c r="IE297" s="243"/>
      <c r="IF297" s="243"/>
      <c r="IG297" s="243"/>
      <c r="IH297" s="243"/>
      <c r="II297" s="243"/>
      <c r="IJ297" s="243"/>
      <c r="IK297" s="243"/>
      <c r="IL297" s="243"/>
      <c r="IM297" s="243"/>
      <c r="IN297" s="243"/>
      <c r="IO297" s="243"/>
      <c r="IP297" s="243"/>
      <c r="IQ297" s="243"/>
      <c r="IR297" s="243"/>
      <c r="IS297" s="243"/>
      <c r="IT297" s="243"/>
      <c r="IU297" s="243"/>
      <c r="IV297" s="243"/>
      <c r="IW297" s="243"/>
      <c r="IX297" s="243"/>
      <c r="IY297" s="243"/>
      <c r="IZ297" s="243"/>
      <c r="JA297" s="243"/>
      <c r="JB297" s="243"/>
      <c r="JC297" s="243"/>
      <c r="JD297" s="243"/>
      <c r="JE297" s="243"/>
      <c r="JF297" s="243"/>
      <c r="JG297" s="243"/>
      <c r="JH297" s="243"/>
      <c r="JI297" s="243"/>
      <c r="JJ297" s="243"/>
      <c r="JK297" s="243"/>
      <c r="JL297" s="243"/>
      <c r="JM297" s="243"/>
      <c r="JN297" s="243"/>
      <c r="JO297" s="243"/>
      <c r="JP297" s="243"/>
      <c r="JQ297" s="243"/>
      <c r="JR297" s="243"/>
      <c r="JS297" s="243"/>
      <c r="JT297" s="243"/>
      <c r="JU297" s="243"/>
      <c r="JV297" s="243"/>
      <c r="JW297" s="243"/>
      <c r="JX297" s="243"/>
      <c r="JY297" s="243"/>
      <c r="JZ297" s="243"/>
      <c r="KA297" s="243"/>
      <c r="KB297" s="243"/>
      <c r="KC297" s="243"/>
      <c r="KD297" s="243"/>
      <c r="KE297" s="243"/>
      <c r="KF297" s="243"/>
      <c r="KG297" s="243"/>
      <c r="KH297" s="243"/>
      <c r="KI297" s="243"/>
      <c r="KJ297" s="243"/>
      <c r="KK297" s="243"/>
      <c r="KL297" s="243"/>
      <c r="KM297" s="243"/>
      <c r="KN297" s="243"/>
      <c r="KO297" s="243"/>
      <c r="KP297" s="243"/>
      <c r="KQ297" s="243"/>
      <c r="KR297" s="243"/>
      <c r="KS297" s="243"/>
      <c r="KT297" s="243"/>
      <c r="KU297" s="243"/>
      <c r="KV297" s="243"/>
      <c r="KW297" s="243"/>
      <c r="KX297" s="243"/>
      <c r="KY297" s="243"/>
      <c r="KZ297" s="243"/>
      <c r="LA297" s="243"/>
      <c r="LB297" s="243"/>
      <c r="LC297" s="243"/>
      <c r="LD297" s="243"/>
      <c r="LE297" s="243"/>
      <c r="LF297" s="243"/>
      <c r="LG297" s="243"/>
      <c r="LH297" s="243"/>
      <c r="LI297" s="243"/>
      <c r="LJ297" s="243"/>
      <c r="LK297" s="243"/>
      <c r="LL297" s="243"/>
      <c r="LM297" s="243"/>
      <c r="LN297" s="243"/>
      <c r="LO297" s="243"/>
      <c r="LP297" s="243"/>
      <c r="LQ297" s="243"/>
      <c r="LR297" s="243"/>
      <c r="LS297" s="243"/>
      <c r="LT297" s="243"/>
      <c r="LU297" s="243"/>
      <c r="LV297" s="243"/>
      <c r="LW297" s="243"/>
      <c r="LX297" s="243"/>
      <c r="LY297" s="243"/>
      <c r="LZ297" s="243"/>
      <c r="MA297" s="243"/>
      <c r="MB297" s="243"/>
      <c r="MC297" s="243"/>
      <c r="MD297" s="243"/>
      <c r="ME297" s="243"/>
      <c r="MF297" s="243"/>
      <c r="MG297" s="243"/>
      <c r="MH297" s="243"/>
      <c r="MI297" s="243"/>
      <c r="MJ297" s="243"/>
      <c r="MK297" s="243"/>
      <c r="ML297" s="243"/>
      <c r="MM297" s="243"/>
      <c r="MN297" s="243"/>
      <c r="MO297" s="243"/>
      <c r="MP297" s="243"/>
      <c r="MQ297" s="243"/>
      <c r="MR297" s="243"/>
      <c r="MS297" s="243"/>
      <c r="MT297" s="243"/>
      <c r="MU297" s="243"/>
      <c r="MV297" s="243"/>
      <c r="MW297" s="243"/>
      <c r="MX297" s="243"/>
      <c r="MY297" s="243"/>
      <c r="MZ297" s="243"/>
      <c r="NA297" s="243"/>
      <c r="NB297" s="243"/>
      <c r="NC297" s="243"/>
      <c r="ND297" s="243"/>
      <c r="NE297" s="243"/>
      <c r="NF297" s="243"/>
      <c r="NG297" s="243"/>
      <c r="NH297" s="243"/>
      <c r="NI297" s="243"/>
      <c r="NJ297" s="243"/>
      <c r="NK297" s="243"/>
      <c r="NL297" s="243"/>
      <c r="NM297" s="243"/>
      <c r="NN297" s="243"/>
      <c r="NO297" s="243"/>
      <c r="NP297" s="243"/>
      <c r="NQ297" s="243"/>
      <c r="NR297" s="243"/>
      <c r="NS297" s="243"/>
      <c r="NT297" s="243"/>
      <c r="NU297" s="243"/>
      <c r="NV297" s="243"/>
      <c r="NW297" s="243"/>
      <c r="NX297" s="243"/>
      <c r="NY297" s="243"/>
      <c r="NZ297" s="243"/>
      <c r="OA297" s="243"/>
      <c r="OB297" s="243"/>
      <c r="OC297" s="243"/>
      <c r="OD297" s="243"/>
      <c r="OE297" s="243"/>
      <c r="OF297" s="243"/>
      <c r="OG297" s="243"/>
      <c r="OH297" s="243"/>
      <c r="OI297" s="243"/>
      <c r="OJ297" s="243"/>
      <c r="OK297" s="243"/>
      <c r="OL297" s="243"/>
      <c r="OM297" s="243"/>
      <c r="ON297" s="243"/>
      <c r="OO297" s="243"/>
      <c r="OP297" s="243"/>
      <c r="OQ297" s="243"/>
      <c r="OR297" s="243"/>
      <c r="OS297" s="243"/>
      <c r="OT297" s="243"/>
      <c r="OU297" s="243"/>
      <c r="OV297" s="243"/>
      <c r="OW297" s="243"/>
      <c r="OX297" s="243"/>
      <c r="OY297" s="243"/>
      <c r="OZ297" s="243"/>
      <c r="PA297" s="243"/>
      <c r="PB297" s="243"/>
      <c r="PC297" s="243"/>
      <c r="PD297" s="243"/>
      <c r="PE297" s="243"/>
      <c r="PF297" s="243"/>
      <c r="PG297" s="243"/>
      <c r="PH297" s="243"/>
      <c r="PI297" s="243"/>
      <c r="PJ297" s="243"/>
      <c r="PK297" s="243"/>
      <c r="PL297" s="243"/>
      <c r="PM297" s="243"/>
      <c r="PN297" s="243"/>
      <c r="PO297" s="243"/>
      <c r="PP297" s="243"/>
      <c r="PQ297" s="243"/>
      <c r="PR297" s="243"/>
      <c r="PS297" s="243"/>
      <c r="PT297" s="243"/>
      <c r="PU297" s="243"/>
      <c r="PV297" s="243"/>
      <c r="PW297" s="243"/>
      <c r="PX297" s="243"/>
      <c r="PY297" s="243"/>
      <c r="PZ297" s="243"/>
      <c r="QA297" s="243"/>
      <c r="QB297" s="243"/>
      <c r="QC297" s="243"/>
      <c r="QD297" s="243"/>
      <c r="QE297" s="243"/>
      <c r="QF297" s="243"/>
      <c r="QG297" s="243"/>
      <c r="QH297" s="243"/>
      <c r="QI297" s="243"/>
      <c r="QJ297" s="243"/>
      <c r="QK297" s="243"/>
      <c r="QL297" s="243"/>
      <c r="QM297" s="243"/>
      <c r="QN297" s="243"/>
      <c r="QO297" s="243"/>
      <c r="QP297" s="243"/>
      <c r="QQ297" s="243"/>
      <c r="QR297" s="243"/>
      <c r="QS297" s="243"/>
      <c r="QT297" s="243"/>
      <c r="QU297" s="243"/>
      <c r="QV297" s="243"/>
      <c r="QW297" s="243"/>
      <c r="QX297" s="243"/>
      <c r="QY297" s="243"/>
      <c r="QZ297" s="243"/>
      <c r="RA297" s="243"/>
      <c r="RB297" s="243"/>
      <c r="RC297" s="243"/>
      <c r="RD297" s="243"/>
      <c r="RE297" s="243"/>
      <c r="RF297" s="243"/>
      <c r="RG297" s="243"/>
      <c r="RH297" s="243"/>
      <c r="RI297" s="243"/>
      <c r="RJ297" s="243"/>
      <c r="RK297" s="243"/>
      <c r="RL297" s="243"/>
      <c r="RM297" s="243"/>
      <c r="RN297" s="243"/>
      <c r="RO297" s="243"/>
      <c r="RP297" s="243"/>
      <c r="RQ297" s="243"/>
      <c r="RR297" s="243"/>
      <c r="RS297" s="243"/>
      <c r="RT297" s="243"/>
      <c r="RU297" s="243"/>
      <c r="RV297" s="243"/>
      <c r="RW297" s="243"/>
      <c r="RX297" s="243"/>
      <c r="RY297" s="243"/>
      <c r="RZ297" s="243"/>
      <c r="SA297" s="243"/>
      <c r="SB297" s="243"/>
      <c r="SC297" s="243"/>
      <c r="SD297" s="243"/>
      <c r="SE297" s="243"/>
      <c r="SF297" s="243"/>
      <c r="SG297" s="243"/>
      <c r="SH297" s="243"/>
      <c r="SI297" s="243"/>
      <c r="SJ297" s="243"/>
      <c r="SK297" s="243"/>
      <c r="SL297" s="243"/>
      <c r="SM297" s="243"/>
      <c r="SN297" s="243"/>
      <c r="SO297" s="243"/>
      <c r="SP297" s="243"/>
      <c r="SQ297" s="243"/>
      <c r="SR297" s="243"/>
      <c r="SS297" s="243"/>
      <c r="ST297" s="243"/>
      <c r="SU297" s="243"/>
      <c r="SV297" s="243"/>
      <c r="SW297" s="243"/>
      <c r="SX297" s="243"/>
      <c r="SY297" s="243"/>
      <c r="SZ297" s="243"/>
      <c r="TA297" s="243"/>
      <c r="TB297" s="243"/>
      <c r="TC297" s="243"/>
      <c r="TD297" s="243"/>
      <c r="TE297" s="243"/>
      <c r="TF297" s="243"/>
      <c r="TG297" s="243"/>
      <c r="TH297" s="243"/>
      <c r="TI297" s="243"/>
      <c r="TJ297" s="243"/>
      <c r="TK297" s="243"/>
      <c r="TL297" s="243"/>
      <c r="TM297" s="243"/>
      <c r="TN297" s="243"/>
      <c r="TO297" s="243"/>
      <c r="TP297" s="243"/>
      <c r="TQ297" s="243"/>
      <c r="TR297" s="243"/>
      <c r="TS297" s="243"/>
      <c r="TT297" s="243"/>
      <c r="TU297" s="243"/>
      <c r="TV297" s="243"/>
      <c r="TW297" s="243"/>
      <c r="TX297" s="243"/>
      <c r="TY297" s="243"/>
      <c r="TZ297" s="243"/>
      <c r="UA297" s="243"/>
      <c r="UB297" s="243"/>
      <c r="UC297" s="243"/>
      <c r="UD297" s="243"/>
      <c r="UE297" s="243"/>
      <c r="UF297" s="243"/>
      <c r="UG297" s="243"/>
      <c r="UH297" s="243"/>
      <c r="UI297" s="243"/>
      <c r="UJ297" s="243"/>
      <c r="UK297" s="243"/>
      <c r="UL297" s="243"/>
      <c r="UM297" s="243"/>
      <c r="UN297" s="243"/>
      <c r="UO297" s="243"/>
      <c r="UP297" s="243"/>
      <c r="UQ297" s="243"/>
      <c r="UR297" s="243"/>
      <c r="US297" s="243"/>
      <c r="UT297" s="243"/>
      <c r="UU297" s="243"/>
      <c r="UV297" s="243"/>
      <c r="UW297" s="243"/>
      <c r="UX297" s="243"/>
      <c r="UY297" s="243"/>
      <c r="UZ297" s="243"/>
      <c r="VA297" s="243"/>
      <c r="VB297" s="243"/>
      <c r="VC297" s="243"/>
      <c r="VD297" s="243"/>
      <c r="VE297" s="243"/>
      <c r="VF297" s="243"/>
      <c r="VG297" s="243"/>
      <c r="VH297" s="243"/>
      <c r="VI297" s="243"/>
      <c r="VJ297" s="243"/>
      <c r="VK297" s="243"/>
      <c r="VL297" s="243"/>
      <c r="VM297" s="243"/>
      <c r="VN297" s="243"/>
      <c r="VO297" s="243"/>
      <c r="VP297" s="243"/>
      <c r="VQ297" s="243"/>
      <c r="VR297" s="243"/>
      <c r="VS297" s="243"/>
      <c r="VT297" s="243"/>
      <c r="VU297" s="243"/>
      <c r="VV297" s="243"/>
      <c r="VW297" s="243"/>
      <c r="VX297" s="243"/>
      <c r="VY297" s="243"/>
      <c r="VZ297" s="243"/>
      <c r="WA297" s="243"/>
      <c r="WB297" s="243"/>
      <c r="WC297" s="243"/>
      <c r="WD297" s="243"/>
      <c r="WE297" s="243"/>
      <c r="WF297" s="243"/>
      <c r="WG297" s="243"/>
      <c r="WH297" s="243"/>
      <c r="WI297" s="243"/>
      <c r="WJ297" s="243"/>
      <c r="WK297" s="243"/>
      <c r="WL297" s="243"/>
      <c r="WM297" s="243"/>
      <c r="WN297" s="243"/>
      <c r="WO297" s="243"/>
      <c r="WP297" s="243"/>
      <c r="WQ297" s="243"/>
      <c r="WR297" s="243"/>
      <c r="WS297" s="243"/>
      <c r="WT297" s="243"/>
      <c r="WU297" s="243"/>
      <c r="WV297" s="243"/>
      <c r="WW297" s="243"/>
      <c r="WX297" s="243"/>
      <c r="WY297" s="243"/>
      <c r="WZ297" s="243"/>
      <c r="XA297" s="243"/>
      <c r="XB297" s="243"/>
      <c r="XC297" s="243"/>
      <c r="XD297" s="243"/>
      <c r="XE297" s="243"/>
      <c r="XF297" s="243"/>
      <c r="XG297" s="243"/>
      <c r="XH297" s="243"/>
      <c r="XI297" s="243"/>
      <c r="XJ297" s="243"/>
      <c r="XK297" s="243"/>
      <c r="XL297" s="243"/>
      <c r="XM297" s="243"/>
      <c r="XN297" s="243"/>
      <c r="XO297" s="243"/>
      <c r="XP297" s="243"/>
      <c r="XQ297" s="243"/>
      <c r="XR297" s="243"/>
      <c r="XS297" s="243"/>
      <c r="XT297" s="243"/>
      <c r="XU297" s="243"/>
      <c r="XV297" s="243"/>
      <c r="XW297" s="243"/>
      <c r="XX297" s="243"/>
      <c r="XY297" s="243"/>
      <c r="XZ297" s="243"/>
      <c r="YA297" s="243"/>
      <c r="YB297" s="243"/>
      <c r="YC297" s="243"/>
      <c r="YD297" s="243"/>
      <c r="YE297" s="243"/>
      <c r="YF297" s="243"/>
      <c r="YG297" s="243"/>
      <c r="YH297" s="243"/>
      <c r="YI297" s="243"/>
      <c r="YJ297" s="243"/>
      <c r="YK297" s="243"/>
      <c r="YL297" s="243"/>
      <c r="YM297" s="243"/>
      <c r="YN297" s="243"/>
      <c r="YO297" s="243"/>
      <c r="YP297" s="243"/>
      <c r="YQ297" s="243"/>
      <c r="YR297" s="243"/>
      <c r="YS297" s="243"/>
      <c r="YT297" s="243"/>
      <c r="YU297" s="243"/>
      <c r="YV297" s="243"/>
      <c r="YW297" s="243"/>
      <c r="YX297" s="243"/>
      <c r="YY297" s="243"/>
      <c r="YZ297" s="243"/>
      <c r="ZA297" s="243"/>
      <c r="ZB297" s="243"/>
      <c r="ZC297" s="243"/>
      <c r="ZD297" s="243"/>
      <c r="ZE297" s="243"/>
      <c r="ZF297" s="243"/>
      <c r="ZG297" s="243"/>
      <c r="ZH297" s="243"/>
      <c r="ZI297" s="243"/>
      <c r="ZJ297" s="243"/>
      <c r="ZK297" s="243"/>
      <c r="ZL297" s="243"/>
      <c r="ZM297" s="243"/>
      <c r="ZN297" s="243"/>
      <c r="ZO297" s="243"/>
      <c r="ZP297" s="243"/>
      <c r="ZQ297" s="243"/>
      <c r="ZR297" s="243"/>
      <c r="ZS297" s="243"/>
      <c r="ZT297" s="243"/>
      <c r="ZU297" s="243"/>
      <c r="ZV297" s="243"/>
      <c r="ZW297" s="243"/>
      <c r="ZX297" s="243"/>
      <c r="ZY297" s="243"/>
      <c r="ZZ297" s="243"/>
      <c r="AAA297" s="243"/>
      <c r="AAB297" s="243"/>
      <c r="AAC297" s="243"/>
      <c r="AAD297" s="243"/>
      <c r="AAE297" s="243"/>
      <c r="AAF297" s="243"/>
      <c r="AAG297" s="243"/>
      <c r="AAH297" s="243"/>
      <c r="AAI297" s="243"/>
      <c r="AAJ297" s="243"/>
      <c r="AAK297" s="243"/>
      <c r="AAL297" s="243"/>
      <c r="AAM297" s="243"/>
      <c r="AAN297" s="243"/>
      <c r="AAO297" s="243"/>
      <c r="AAP297" s="243"/>
      <c r="AAQ297" s="243"/>
      <c r="AAR297" s="243"/>
      <c r="AAS297" s="243"/>
      <c r="AAT297" s="243"/>
      <c r="AAU297" s="243"/>
      <c r="AAV297" s="243"/>
      <c r="AAW297" s="243"/>
      <c r="AAX297" s="243"/>
      <c r="AAY297" s="243"/>
      <c r="AAZ297" s="243"/>
      <c r="ABA297" s="243"/>
      <c r="ABB297" s="243"/>
      <c r="ABC297" s="243"/>
      <c r="ABD297" s="243"/>
      <c r="ABE297" s="243"/>
      <c r="ABF297" s="243"/>
      <c r="ABG297" s="243"/>
      <c r="ABH297" s="243"/>
      <c r="ABI297" s="243"/>
      <c r="ABJ297" s="243"/>
      <c r="ABK297" s="243"/>
      <c r="ABL297" s="243"/>
      <c r="ABM297" s="243"/>
      <c r="ABN297" s="243"/>
      <c r="ABO297" s="243"/>
      <c r="ABP297" s="243"/>
      <c r="ABQ297" s="243"/>
      <c r="ABR297" s="243"/>
      <c r="ABS297" s="243"/>
      <c r="ABT297" s="243"/>
      <c r="ABU297" s="243"/>
      <c r="ABV297" s="243"/>
      <c r="ABW297" s="243"/>
      <c r="ABX297" s="243"/>
      <c r="ABY297" s="243"/>
      <c r="ABZ297" s="243"/>
      <c r="ACA297" s="243"/>
      <c r="ACB297" s="243"/>
      <c r="ACC297" s="243"/>
      <c r="ACD297" s="243"/>
      <c r="ACE297" s="243"/>
      <c r="ACF297" s="243"/>
      <c r="ACG297" s="243"/>
      <c r="ACH297" s="243"/>
      <c r="ACI297" s="243"/>
      <c r="ACJ297" s="243"/>
      <c r="ACK297" s="243"/>
      <c r="ACL297" s="243"/>
      <c r="ACM297" s="243"/>
      <c r="ACN297" s="243"/>
      <c r="ACO297" s="243"/>
      <c r="ACP297" s="243"/>
      <c r="ACQ297" s="243"/>
      <c r="ACR297" s="243"/>
      <c r="ACS297" s="243"/>
      <c r="ACT297" s="243"/>
      <c r="ACU297" s="243"/>
      <c r="ACV297" s="243"/>
      <c r="ACW297" s="243"/>
      <c r="ACX297" s="243"/>
      <c r="ACY297" s="243"/>
      <c r="ACZ297" s="243"/>
      <c r="ADA297" s="243"/>
      <c r="ADB297" s="243"/>
      <c r="ADC297" s="243"/>
      <c r="ADD297" s="243"/>
      <c r="ADE297" s="243"/>
      <c r="ADF297" s="243"/>
      <c r="ADG297" s="243"/>
      <c r="ADH297" s="243"/>
      <c r="ADI297" s="243"/>
      <c r="ADJ297" s="243"/>
      <c r="ADK297" s="243"/>
      <c r="ADL297" s="243"/>
      <c r="ADM297" s="243"/>
      <c r="ADN297" s="243"/>
      <c r="ADO297" s="243"/>
      <c r="ADP297" s="243"/>
      <c r="ADQ297" s="243"/>
      <c r="ADR297" s="243"/>
      <c r="ADS297" s="243"/>
      <c r="ADT297" s="243"/>
      <c r="ADU297" s="243"/>
      <c r="ADV297" s="243"/>
      <c r="ADW297" s="243"/>
      <c r="ADX297" s="243"/>
      <c r="ADY297" s="243"/>
      <c r="ADZ297" s="243"/>
      <c r="AEA297" s="243"/>
      <c r="AEB297" s="243"/>
      <c r="AEC297" s="243"/>
      <c r="AED297" s="243"/>
      <c r="AEE297" s="243"/>
      <c r="AEF297" s="243"/>
      <c r="AEG297" s="243"/>
      <c r="AEH297" s="243"/>
      <c r="AEI297" s="243"/>
      <c r="AEJ297" s="243"/>
      <c r="AEK297" s="243"/>
      <c r="AEL297" s="243"/>
      <c r="AEM297" s="243"/>
      <c r="AEN297" s="243"/>
      <c r="AEO297" s="243"/>
      <c r="AEP297" s="243"/>
      <c r="AEQ297" s="243"/>
      <c r="AER297" s="243"/>
      <c r="AES297" s="243"/>
      <c r="AET297" s="243"/>
      <c r="AEU297" s="243"/>
      <c r="AEV297" s="243"/>
      <c r="AEW297" s="243"/>
      <c r="AEX297" s="243"/>
      <c r="AEY297" s="243"/>
      <c r="AEZ297" s="243"/>
      <c r="AFA297" s="243"/>
      <c r="AFB297" s="243"/>
      <c r="AFC297" s="243"/>
      <c r="AFD297" s="243"/>
      <c r="AFE297" s="243"/>
      <c r="AFF297" s="243"/>
      <c r="AFG297" s="243"/>
      <c r="AFH297" s="243"/>
      <c r="AFI297" s="243"/>
      <c r="AFJ297" s="243"/>
      <c r="AFK297" s="243"/>
      <c r="AFL297" s="243"/>
      <c r="AFM297" s="243"/>
      <c r="AFN297" s="243"/>
      <c r="AFO297" s="243"/>
      <c r="AFP297" s="243"/>
      <c r="AFQ297" s="243"/>
      <c r="AFR297" s="243"/>
      <c r="AFS297" s="243"/>
      <c r="AFT297" s="243"/>
      <c r="AFU297" s="243"/>
      <c r="AFV297" s="243"/>
      <c r="AFW297" s="243"/>
      <c r="AFX297" s="243"/>
      <c r="AFY297" s="243"/>
      <c r="AFZ297" s="243"/>
      <c r="AGA297" s="243"/>
      <c r="AGB297" s="243"/>
      <c r="AGC297" s="243"/>
      <c r="AGD297" s="243"/>
      <c r="AGE297" s="243"/>
      <c r="AGF297" s="243"/>
      <c r="AGG297" s="243"/>
      <c r="AGH297" s="243"/>
      <c r="AGI297" s="243"/>
      <c r="AGJ297" s="243"/>
      <c r="AGK297" s="243"/>
      <c r="AGL297" s="243"/>
      <c r="AGM297" s="243"/>
      <c r="AGN297" s="243"/>
      <c r="AGO297" s="243"/>
      <c r="AGP297" s="243"/>
      <c r="AGQ297" s="243"/>
      <c r="AGR297" s="243"/>
      <c r="AGS297" s="243"/>
      <c r="AGT297" s="243"/>
      <c r="AGU297" s="243"/>
      <c r="AGV297" s="243"/>
      <c r="AGW297" s="243"/>
      <c r="AGX297" s="243"/>
      <c r="AGY297" s="243"/>
      <c r="AGZ297" s="243"/>
      <c r="AHA297" s="243"/>
      <c r="AHB297" s="243"/>
      <c r="AHC297" s="243"/>
      <c r="AHD297" s="243"/>
      <c r="AHE297" s="243"/>
      <c r="AHF297" s="243"/>
      <c r="AHG297" s="243"/>
      <c r="AHH297" s="243"/>
      <c r="AHI297" s="243"/>
      <c r="AHJ297" s="243"/>
      <c r="AHK297" s="243"/>
      <c r="AHL297" s="243"/>
      <c r="AHM297" s="243"/>
      <c r="AHN297" s="243"/>
      <c r="AHO297" s="243"/>
      <c r="AHP297" s="243"/>
      <c r="AHQ297" s="243"/>
      <c r="AHR297" s="243"/>
      <c r="AHS297" s="243"/>
      <c r="AHT297" s="243"/>
      <c r="AHU297" s="243"/>
      <c r="AHV297" s="243"/>
      <c r="AHW297" s="243"/>
      <c r="AHX297" s="243"/>
      <c r="AHY297" s="243"/>
      <c r="AHZ297" s="243"/>
      <c r="AIA297" s="243"/>
      <c r="AIB297" s="243"/>
      <c r="AIC297" s="243"/>
      <c r="AID297" s="243"/>
      <c r="AIE297" s="243"/>
      <c r="AIF297" s="243"/>
      <c r="AIG297" s="243"/>
      <c r="AIH297" s="243"/>
      <c r="AII297" s="243"/>
      <c r="AIJ297" s="243"/>
      <c r="AIK297" s="243"/>
      <c r="AIL297" s="243"/>
      <c r="AIM297" s="243"/>
      <c r="AIN297" s="243"/>
      <c r="AIO297" s="243"/>
      <c r="AIP297" s="243"/>
      <c r="AIQ297" s="243"/>
      <c r="AIR297" s="243"/>
      <c r="AIS297" s="243"/>
      <c r="AIT297" s="243"/>
      <c r="AIU297" s="243"/>
      <c r="AIV297" s="243"/>
      <c r="AIW297" s="243"/>
      <c r="AIX297" s="243"/>
      <c r="AIY297" s="243"/>
      <c r="AIZ297" s="243"/>
      <c r="AJA297" s="243"/>
      <c r="AJB297" s="243"/>
      <c r="AJC297" s="243"/>
      <c r="AJD297" s="243"/>
      <c r="AJE297" s="243"/>
      <c r="AJF297" s="243"/>
      <c r="AJG297" s="243"/>
      <c r="AJH297" s="243"/>
      <c r="AJI297" s="243"/>
      <c r="AJJ297" s="243"/>
      <c r="AJK297" s="243"/>
      <c r="AJL297" s="243"/>
      <c r="AJM297" s="243"/>
      <c r="AJN297" s="243"/>
      <c r="AJO297" s="243"/>
      <c r="AJP297" s="243"/>
      <c r="AJQ297" s="243"/>
      <c r="AJR297" s="243"/>
      <c r="AJS297" s="243"/>
      <c r="AJT297" s="243"/>
      <c r="AJU297" s="243"/>
      <c r="AJV297" s="243"/>
      <c r="AJW297" s="243"/>
      <c r="AJX297" s="243"/>
      <c r="AJY297" s="243"/>
      <c r="AJZ297" s="243"/>
      <c r="AKA297" s="243"/>
      <c r="AKB297" s="243"/>
      <c r="AKC297" s="243"/>
      <c r="AKD297" s="243"/>
      <c r="AKE297" s="243"/>
      <c r="AKF297" s="243"/>
      <c r="AKG297" s="243"/>
      <c r="AKH297" s="243"/>
      <c r="AKI297" s="243"/>
      <c r="AKJ297" s="243"/>
      <c r="AKK297" s="243"/>
      <c r="AKL297" s="243"/>
      <c r="AKM297" s="243"/>
      <c r="AKN297" s="243"/>
      <c r="AKO297" s="243"/>
      <c r="AKP297" s="243"/>
      <c r="AKQ297" s="243"/>
      <c r="AKR297" s="243"/>
      <c r="AKS297" s="243"/>
      <c r="AKT297" s="243"/>
      <c r="AKU297" s="243"/>
      <c r="AKV297" s="243"/>
      <c r="AKW297" s="243"/>
      <c r="AKX297" s="243"/>
      <c r="AKY297" s="243"/>
      <c r="AKZ297" s="243"/>
      <c r="ALA297" s="243"/>
      <c r="ALB297" s="243"/>
      <c r="ALC297" s="243"/>
      <c r="ALD297" s="243"/>
      <c r="ALE297" s="243"/>
      <c r="ALF297" s="243"/>
      <c r="ALG297" s="243"/>
      <c r="ALH297" s="243"/>
      <c r="ALI297" s="243"/>
      <c r="ALJ297" s="243"/>
      <c r="ALK297" s="243"/>
      <c r="ALL297" s="243"/>
      <c r="ALM297" s="243"/>
      <c r="ALN297" s="243"/>
      <c r="ALO297" s="243"/>
      <c r="ALP297" s="243"/>
      <c r="ALQ297" s="243"/>
      <c r="ALR297" s="243"/>
      <c r="ALS297" s="243"/>
      <c r="ALT297" s="243"/>
      <c r="ALU297" s="243"/>
      <c r="ALV297" s="243"/>
      <c r="ALW297" s="243"/>
      <c r="ALX297" s="243"/>
      <c r="ALY297" s="243"/>
      <c r="ALZ297" s="243"/>
      <c r="AMA297" s="243"/>
      <c r="AMB297" s="243"/>
      <c r="AMC297" s="243"/>
      <c r="AMD297" s="243"/>
      <c r="AME297" s="243"/>
      <c r="AMF297" s="243"/>
      <c r="AMG297" s="243"/>
      <c r="AMH297" s="243"/>
      <c r="AMI297" s="244"/>
      <c r="AMJ297" s="244"/>
    </row>
    <row r="298" spans="1:1024">
      <c r="A298" s="911"/>
      <c r="B298" s="405"/>
      <c r="C298" s="404"/>
      <c r="D298" s="405" t="s">
        <v>206</v>
      </c>
      <c r="E298" s="406"/>
      <c r="F298" s="405"/>
      <c r="G298" s="405"/>
      <c r="H298" s="405" t="s">
        <v>202</v>
      </c>
      <c r="I298" s="405" t="s">
        <v>124</v>
      </c>
      <c r="J298" s="405"/>
      <c r="K298" s="511" t="s">
        <v>207</v>
      </c>
      <c r="L298" s="407"/>
      <c r="M298" s="396"/>
      <c r="N298" s="396"/>
      <c r="O298" s="377"/>
      <c r="P298" s="377"/>
      <c r="Q298" s="377"/>
      <c r="R298" s="243"/>
      <c r="S298" s="243"/>
      <c r="T298" s="243"/>
      <c r="U298" s="243"/>
      <c r="V298" s="243"/>
      <c r="W298" s="243"/>
      <c r="X298" s="243"/>
      <c r="Y298" s="243"/>
      <c r="Z298" s="243"/>
      <c r="AA298" s="243"/>
      <c r="AB298" s="243"/>
      <c r="AC298" s="243"/>
      <c r="AD298" s="243"/>
      <c r="AE298" s="243"/>
      <c r="AF298" s="243"/>
      <c r="AG298" s="243"/>
      <c r="AH298" s="243"/>
      <c r="AI298" s="243"/>
      <c r="AJ298" s="243"/>
      <c r="AK298" s="243"/>
      <c r="AL298" s="243"/>
      <c r="AM298" s="243"/>
      <c r="AN298" s="243"/>
      <c r="AO298" s="243"/>
      <c r="AP298" s="243"/>
      <c r="AQ298" s="243"/>
      <c r="AR298" s="243"/>
      <c r="AS298" s="243"/>
      <c r="AT298" s="243"/>
      <c r="AU298" s="243"/>
      <c r="AV298" s="243"/>
      <c r="AW298" s="243"/>
      <c r="AX298" s="243"/>
      <c r="AY298" s="243"/>
      <c r="AZ298" s="243"/>
      <c r="BA298" s="243"/>
      <c r="BB298" s="243"/>
      <c r="BC298" s="243"/>
      <c r="BD298" s="243"/>
      <c r="BE298" s="243"/>
      <c r="BF298" s="243"/>
      <c r="BG298" s="243"/>
      <c r="BH298" s="243"/>
      <c r="BI298" s="243"/>
      <c r="BJ298" s="243"/>
      <c r="BK298" s="243"/>
      <c r="BL298" s="243"/>
      <c r="BM298" s="243"/>
      <c r="BN298" s="243"/>
      <c r="BO298" s="243"/>
      <c r="BP298" s="243"/>
      <c r="BQ298" s="243"/>
      <c r="BR298" s="243"/>
      <c r="BS298" s="243"/>
      <c r="BT298" s="243"/>
      <c r="BU298" s="243"/>
      <c r="BV298" s="243"/>
      <c r="BW298" s="243"/>
      <c r="BX298" s="243"/>
      <c r="BY298" s="243"/>
      <c r="BZ298" s="243"/>
      <c r="CA298" s="243"/>
      <c r="CB298" s="243"/>
      <c r="CC298" s="243"/>
      <c r="CD298" s="243"/>
      <c r="CE298" s="243"/>
      <c r="CF298" s="243"/>
      <c r="CG298" s="243"/>
      <c r="CH298" s="243"/>
      <c r="CI298" s="243"/>
      <c r="CJ298" s="243"/>
      <c r="CK298" s="243"/>
      <c r="CL298" s="243"/>
      <c r="CM298" s="243"/>
      <c r="CN298" s="243"/>
      <c r="CO298" s="243"/>
      <c r="CP298" s="243"/>
      <c r="CQ298" s="243"/>
      <c r="CR298" s="243"/>
      <c r="CS298" s="243"/>
      <c r="CT298" s="243"/>
      <c r="CU298" s="243"/>
      <c r="CV298" s="243"/>
      <c r="CW298" s="243"/>
      <c r="CX298" s="243"/>
      <c r="CY298" s="243"/>
      <c r="CZ298" s="243"/>
      <c r="DA298" s="243"/>
      <c r="DB298" s="243"/>
      <c r="DC298" s="243"/>
      <c r="DD298" s="243"/>
      <c r="DE298" s="243"/>
      <c r="DF298" s="243"/>
      <c r="DG298" s="243"/>
      <c r="DH298" s="243"/>
      <c r="DI298" s="243"/>
      <c r="DJ298" s="243"/>
      <c r="DK298" s="243"/>
      <c r="DL298" s="243"/>
      <c r="DM298" s="243"/>
      <c r="DN298" s="243"/>
      <c r="DO298" s="243"/>
      <c r="DP298" s="243"/>
      <c r="DQ298" s="243"/>
      <c r="DR298" s="243"/>
      <c r="DS298" s="243"/>
      <c r="DT298" s="243"/>
      <c r="DU298" s="243"/>
      <c r="DV298" s="243"/>
      <c r="DW298" s="243"/>
      <c r="DX298" s="243"/>
      <c r="DY298" s="243"/>
      <c r="DZ298" s="243"/>
      <c r="EA298" s="243"/>
      <c r="EB298" s="243"/>
      <c r="EC298" s="243"/>
      <c r="ED298" s="243"/>
      <c r="EE298" s="243"/>
      <c r="EF298" s="243"/>
      <c r="EG298" s="243"/>
      <c r="EH298" s="243"/>
      <c r="EI298" s="243"/>
      <c r="EJ298" s="243"/>
      <c r="EK298" s="243"/>
      <c r="EL298" s="243"/>
      <c r="EM298" s="243"/>
      <c r="EN298" s="243"/>
      <c r="EO298" s="243"/>
      <c r="EP298" s="243"/>
      <c r="EQ298" s="243"/>
      <c r="ER298" s="243"/>
      <c r="ES298" s="243"/>
      <c r="ET298" s="243"/>
      <c r="EU298" s="243"/>
      <c r="EV298" s="243"/>
      <c r="EW298" s="243"/>
      <c r="EX298" s="243"/>
      <c r="EY298" s="243"/>
      <c r="EZ298" s="243"/>
      <c r="FA298" s="243"/>
      <c r="FB298" s="243"/>
      <c r="FC298" s="243"/>
      <c r="FD298" s="243"/>
      <c r="FE298" s="243"/>
      <c r="FF298" s="243"/>
      <c r="FG298" s="243"/>
      <c r="FH298" s="243"/>
      <c r="FI298" s="243"/>
      <c r="FJ298" s="243"/>
      <c r="FK298" s="243"/>
      <c r="FL298" s="243"/>
      <c r="FM298" s="243"/>
      <c r="FN298" s="243"/>
      <c r="FO298" s="243"/>
      <c r="FP298" s="243"/>
      <c r="FQ298" s="243"/>
      <c r="FR298" s="243"/>
      <c r="FS298" s="243"/>
      <c r="FT298" s="243"/>
      <c r="FU298" s="243"/>
      <c r="FV298" s="243"/>
      <c r="FW298" s="243"/>
      <c r="FX298" s="243"/>
      <c r="FY298" s="243"/>
      <c r="FZ298" s="243"/>
      <c r="GA298" s="243"/>
      <c r="GB298" s="243"/>
      <c r="GC298" s="243"/>
      <c r="GD298" s="243"/>
      <c r="GE298" s="243"/>
      <c r="GF298" s="243"/>
      <c r="GG298" s="243"/>
      <c r="GH298" s="243"/>
      <c r="GI298" s="243"/>
      <c r="GJ298" s="243"/>
      <c r="GK298" s="243"/>
      <c r="GL298" s="243"/>
      <c r="GM298" s="243"/>
      <c r="GN298" s="243"/>
      <c r="GO298" s="243"/>
      <c r="GP298" s="243"/>
      <c r="GQ298" s="243"/>
      <c r="GR298" s="243"/>
      <c r="GS298" s="243"/>
      <c r="GT298" s="243"/>
      <c r="GU298" s="243"/>
      <c r="GV298" s="243"/>
      <c r="GW298" s="243"/>
      <c r="GX298" s="243"/>
      <c r="GY298" s="243"/>
      <c r="GZ298" s="243"/>
      <c r="HA298" s="243"/>
      <c r="HB298" s="243"/>
      <c r="HC298" s="243"/>
      <c r="HD298" s="243"/>
      <c r="HE298" s="243"/>
      <c r="HF298" s="243"/>
      <c r="HG298" s="243"/>
      <c r="HH298" s="243"/>
      <c r="HI298" s="243"/>
      <c r="HJ298" s="243"/>
      <c r="HK298" s="243"/>
      <c r="HL298" s="243"/>
      <c r="HM298" s="243"/>
      <c r="HN298" s="243"/>
      <c r="HO298" s="243"/>
      <c r="HP298" s="243"/>
      <c r="HQ298" s="243"/>
      <c r="HR298" s="243"/>
      <c r="HS298" s="243"/>
      <c r="HT298" s="243"/>
      <c r="HU298" s="243"/>
      <c r="HV298" s="243"/>
      <c r="HW298" s="243"/>
      <c r="HX298" s="243"/>
      <c r="HY298" s="243"/>
      <c r="HZ298" s="243"/>
      <c r="IA298" s="243"/>
      <c r="IB298" s="243"/>
      <c r="IC298" s="243"/>
      <c r="ID298" s="243"/>
      <c r="IE298" s="243"/>
      <c r="IF298" s="243"/>
      <c r="IG298" s="243"/>
      <c r="IH298" s="243"/>
      <c r="II298" s="243"/>
      <c r="IJ298" s="243"/>
      <c r="IK298" s="243"/>
      <c r="IL298" s="243"/>
      <c r="IM298" s="243"/>
      <c r="IN298" s="243"/>
      <c r="IO298" s="243"/>
      <c r="IP298" s="243"/>
      <c r="IQ298" s="243"/>
      <c r="IR298" s="243"/>
      <c r="IS298" s="243"/>
      <c r="IT298" s="243"/>
      <c r="IU298" s="243"/>
      <c r="IV298" s="243"/>
      <c r="IW298" s="243"/>
      <c r="IX298" s="243"/>
      <c r="IY298" s="243"/>
      <c r="IZ298" s="243"/>
      <c r="JA298" s="243"/>
      <c r="JB298" s="243"/>
      <c r="JC298" s="243"/>
      <c r="JD298" s="243"/>
      <c r="JE298" s="243"/>
      <c r="JF298" s="243"/>
      <c r="JG298" s="243"/>
      <c r="JH298" s="243"/>
      <c r="JI298" s="243"/>
      <c r="JJ298" s="243"/>
      <c r="JK298" s="243"/>
      <c r="JL298" s="243"/>
      <c r="JM298" s="243"/>
      <c r="JN298" s="243"/>
      <c r="JO298" s="243"/>
      <c r="JP298" s="243"/>
      <c r="JQ298" s="243"/>
      <c r="JR298" s="243"/>
      <c r="JS298" s="243"/>
      <c r="JT298" s="243"/>
      <c r="JU298" s="243"/>
      <c r="JV298" s="243"/>
      <c r="JW298" s="243"/>
      <c r="JX298" s="243"/>
      <c r="JY298" s="243"/>
      <c r="JZ298" s="243"/>
      <c r="KA298" s="243"/>
      <c r="KB298" s="243"/>
      <c r="KC298" s="243"/>
      <c r="KD298" s="243"/>
      <c r="KE298" s="243"/>
      <c r="KF298" s="243"/>
      <c r="KG298" s="243"/>
      <c r="KH298" s="243"/>
      <c r="KI298" s="243"/>
      <c r="KJ298" s="243"/>
      <c r="KK298" s="243"/>
      <c r="KL298" s="243"/>
      <c r="KM298" s="243"/>
      <c r="KN298" s="243"/>
      <c r="KO298" s="243"/>
      <c r="KP298" s="243"/>
      <c r="KQ298" s="243"/>
      <c r="KR298" s="243"/>
      <c r="KS298" s="243"/>
      <c r="KT298" s="243"/>
      <c r="KU298" s="243"/>
      <c r="KV298" s="243"/>
      <c r="KW298" s="243"/>
      <c r="KX298" s="243"/>
      <c r="KY298" s="243"/>
      <c r="KZ298" s="243"/>
      <c r="LA298" s="243"/>
      <c r="LB298" s="243"/>
      <c r="LC298" s="243"/>
      <c r="LD298" s="243"/>
      <c r="LE298" s="243"/>
      <c r="LF298" s="243"/>
      <c r="LG298" s="243"/>
      <c r="LH298" s="243"/>
      <c r="LI298" s="243"/>
      <c r="LJ298" s="243"/>
      <c r="LK298" s="243"/>
      <c r="LL298" s="243"/>
      <c r="LM298" s="243"/>
      <c r="LN298" s="243"/>
      <c r="LO298" s="243"/>
      <c r="LP298" s="243"/>
      <c r="LQ298" s="243"/>
      <c r="LR298" s="243"/>
      <c r="LS298" s="243"/>
      <c r="LT298" s="243"/>
      <c r="LU298" s="243"/>
      <c r="LV298" s="243"/>
      <c r="LW298" s="243"/>
      <c r="LX298" s="243"/>
      <c r="LY298" s="243"/>
      <c r="LZ298" s="243"/>
      <c r="MA298" s="243"/>
      <c r="MB298" s="243"/>
      <c r="MC298" s="243"/>
      <c r="MD298" s="243"/>
      <c r="ME298" s="243"/>
      <c r="MF298" s="243"/>
      <c r="MG298" s="243"/>
      <c r="MH298" s="243"/>
      <c r="MI298" s="243"/>
      <c r="MJ298" s="243"/>
      <c r="MK298" s="243"/>
      <c r="ML298" s="243"/>
      <c r="MM298" s="243"/>
      <c r="MN298" s="243"/>
      <c r="MO298" s="243"/>
      <c r="MP298" s="243"/>
      <c r="MQ298" s="243"/>
      <c r="MR298" s="243"/>
      <c r="MS298" s="243"/>
      <c r="MT298" s="243"/>
      <c r="MU298" s="243"/>
      <c r="MV298" s="243"/>
      <c r="MW298" s="243"/>
      <c r="MX298" s="243"/>
      <c r="MY298" s="243"/>
      <c r="MZ298" s="243"/>
      <c r="NA298" s="243"/>
      <c r="NB298" s="243"/>
      <c r="NC298" s="243"/>
      <c r="ND298" s="243"/>
      <c r="NE298" s="243"/>
      <c r="NF298" s="243"/>
      <c r="NG298" s="243"/>
      <c r="NH298" s="243"/>
      <c r="NI298" s="243"/>
      <c r="NJ298" s="243"/>
      <c r="NK298" s="243"/>
      <c r="NL298" s="243"/>
      <c r="NM298" s="243"/>
      <c r="NN298" s="243"/>
      <c r="NO298" s="243"/>
      <c r="NP298" s="243"/>
      <c r="NQ298" s="243"/>
      <c r="NR298" s="243"/>
      <c r="NS298" s="243"/>
      <c r="NT298" s="243"/>
      <c r="NU298" s="243"/>
      <c r="NV298" s="243"/>
      <c r="NW298" s="243"/>
      <c r="NX298" s="243"/>
      <c r="NY298" s="243"/>
      <c r="NZ298" s="243"/>
      <c r="OA298" s="243"/>
      <c r="OB298" s="243"/>
      <c r="OC298" s="243"/>
      <c r="OD298" s="243"/>
      <c r="OE298" s="243"/>
      <c r="OF298" s="243"/>
      <c r="OG298" s="243"/>
      <c r="OH298" s="243"/>
      <c r="OI298" s="243"/>
      <c r="OJ298" s="243"/>
      <c r="OK298" s="243"/>
      <c r="OL298" s="243"/>
      <c r="OM298" s="243"/>
      <c r="ON298" s="243"/>
      <c r="OO298" s="243"/>
      <c r="OP298" s="243"/>
      <c r="OQ298" s="243"/>
      <c r="OR298" s="243"/>
      <c r="OS298" s="243"/>
      <c r="OT298" s="243"/>
      <c r="OU298" s="243"/>
      <c r="OV298" s="243"/>
      <c r="OW298" s="243"/>
      <c r="OX298" s="243"/>
      <c r="OY298" s="243"/>
      <c r="OZ298" s="243"/>
      <c r="PA298" s="243"/>
      <c r="PB298" s="243"/>
      <c r="PC298" s="243"/>
      <c r="PD298" s="243"/>
      <c r="PE298" s="243"/>
      <c r="PF298" s="243"/>
      <c r="PG298" s="243"/>
      <c r="PH298" s="243"/>
      <c r="PI298" s="243"/>
      <c r="PJ298" s="243"/>
      <c r="PK298" s="243"/>
      <c r="PL298" s="243"/>
      <c r="PM298" s="243"/>
      <c r="PN298" s="243"/>
      <c r="PO298" s="243"/>
      <c r="PP298" s="243"/>
      <c r="PQ298" s="243"/>
      <c r="PR298" s="243"/>
      <c r="PS298" s="243"/>
      <c r="PT298" s="243"/>
      <c r="PU298" s="243"/>
      <c r="PV298" s="243"/>
      <c r="PW298" s="243"/>
      <c r="PX298" s="243"/>
      <c r="PY298" s="243"/>
      <c r="PZ298" s="243"/>
      <c r="QA298" s="243"/>
      <c r="QB298" s="243"/>
      <c r="QC298" s="243"/>
      <c r="QD298" s="243"/>
      <c r="QE298" s="243"/>
      <c r="QF298" s="243"/>
      <c r="QG298" s="243"/>
      <c r="QH298" s="243"/>
      <c r="QI298" s="243"/>
      <c r="QJ298" s="243"/>
      <c r="QK298" s="243"/>
      <c r="QL298" s="243"/>
      <c r="QM298" s="243"/>
      <c r="QN298" s="243"/>
      <c r="QO298" s="243"/>
      <c r="QP298" s="243"/>
      <c r="QQ298" s="243"/>
      <c r="QR298" s="243"/>
      <c r="QS298" s="243"/>
      <c r="QT298" s="243"/>
      <c r="QU298" s="243"/>
      <c r="QV298" s="243"/>
      <c r="QW298" s="243"/>
      <c r="QX298" s="243"/>
      <c r="QY298" s="243"/>
      <c r="QZ298" s="243"/>
      <c r="RA298" s="243"/>
      <c r="RB298" s="243"/>
      <c r="RC298" s="243"/>
      <c r="RD298" s="243"/>
      <c r="RE298" s="243"/>
      <c r="RF298" s="243"/>
      <c r="RG298" s="243"/>
      <c r="RH298" s="243"/>
      <c r="RI298" s="243"/>
      <c r="RJ298" s="243"/>
      <c r="RK298" s="243"/>
      <c r="RL298" s="243"/>
      <c r="RM298" s="243"/>
      <c r="RN298" s="243"/>
      <c r="RO298" s="243"/>
      <c r="RP298" s="243"/>
      <c r="RQ298" s="243"/>
      <c r="RR298" s="243"/>
      <c r="RS298" s="243"/>
      <c r="RT298" s="243"/>
      <c r="RU298" s="243"/>
      <c r="RV298" s="243"/>
      <c r="RW298" s="243"/>
      <c r="RX298" s="243"/>
      <c r="RY298" s="243"/>
      <c r="RZ298" s="243"/>
      <c r="SA298" s="243"/>
      <c r="SB298" s="243"/>
      <c r="SC298" s="243"/>
      <c r="SD298" s="243"/>
      <c r="SE298" s="243"/>
      <c r="SF298" s="243"/>
      <c r="SG298" s="243"/>
      <c r="SH298" s="243"/>
      <c r="SI298" s="243"/>
      <c r="SJ298" s="243"/>
      <c r="SK298" s="243"/>
      <c r="SL298" s="243"/>
      <c r="SM298" s="243"/>
      <c r="SN298" s="243"/>
      <c r="SO298" s="243"/>
      <c r="SP298" s="243"/>
      <c r="SQ298" s="243"/>
      <c r="SR298" s="243"/>
      <c r="SS298" s="243"/>
      <c r="ST298" s="243"/>
      <c r="SU298" s="243"/>
      <c r="SV298" s="243"/>
      <c r="SW298" s="243"/>
      <c r="SX298" s="243"/>
      <c r="SY298" s="243"/>
      <c r="SZ298" s="243"/>
      <c r="TA298" s="243"/>
      <c r="TB298" s="243"/>
      <c r="TC298" s="243"/>
      <c r="TD298" s="243"/>
      <c r="TE298" s="243"/>
      <c r="TF298" s="243"/>
      <c r="TG298" s="243"/>
      <c r="TH298" s="243"/>
      <c r="TI298" s="243"/>
      <c r="TJ298" s="243"/>
      <c r="TK298" s="243"/>
      <c r="TL298" s="243"/>
      <c r="TM298" s="243"/>
      <c r="TN298" s="243"/>
      <c r="TO298" s="243"/>
      <c r="TP298" s="243"/>
      <c r="TQ298" s="243"/>
      <c r="TR298" s="243"/>
      <c r="TS298" s="243"/>
      <c r="TT298" s="243"/>
      <c r="TU298" s="243"/>
      <c r="TV298" s="243"/>
      <c r="TW298" s="243"/>
      <c r="TX298" s="243"/>
      <c r="TY298" s="243"/>
      <c r="TZ298" s="243"/>
      <c r="UA298" s="243"/>
      <c r="UB298" s="243"/>
      <c r="UC298" s="243"/>
      <c r="UD298" s="243"/>
      <c r="UE298" s="243"/>
      <c r="UF298" s="243"/>
      <c r="UG298" s="243"/>
      <c r="UH298" s="243"/>
      <c r="UI298" s="243"/>
      <c r="UJ298" s="243"/>
      <c r="UK298" s="243"/>
      <c r="UL298" s="243"/>
      <c r="UM298" s="243"/>
      <c r="UN298" s="243"/>
      <c r="UO298" s="243"/>
      <c r="UP298" s="243"/>
      <c r="UQ298" s="243"/>
      <c r="UR298" s="243"/>
      <c r="US298" s="243"/>
      <c r="UT298" s="243"/>
      <c r="UU298" s="243"/>
      <c r="UV298" s="243"/>
      <c r="UW298" s="243"/>
      <c r="UX298" s="243"/>
      <c r="UY298" s="243"/>
      <c r="UZ298" s="243"/>
      <c r="VA298" s="243"/>
      <c r="VB298" s="243"/>
      <c r="VC298" s="243"/>
      <c r="VD298" s="243"/>
      <c r="VE298" s="243"/>
      <c r="VF298" s="243"/>
      <c r="VG298" s="243"/>
      <c r="VH298" s="243"/>
      <c r="VI298" s="243"/>
      <c r="VJ298" s="243"/>
      <c r="VK298" s="243"/>
      <c r="VL298" s="243"/>
      <c r="VM298" s="243"/>
      <c r="VN298" s="243"/>
      <c r="VO298" s="243"/>
      <c r="VP298" s="243"/>
      <c r="VQ298" s="243"/>
      <c r="VR298" s="243"/>
      <c r="VS298" s="243"/>
      <c r="VT298" s="243"/>
      <c r="VU298" s="243"/>
      <c r="VV298" s="243"/>
      <c r="VW298" s="243"/>
      <c r="VX298" s="243"/>
      <c r="VY298" s="243"/>
      <c r="VZ298" s="243"/>
      <c r="WA298" s="243"/>
      <c r="WB298" s="243"/>
      <c r="WC298" s="243"/>
      <c r="WD298" s="243"/>
      <c r="WE298" s="243"/>
      <c r="WF298" s="243"/>
      <c r="WG298" s="243"/>
      <c r="WH298" s="243"/>
      <c r="WI298" s="243"/>
      <c r="WJ298" s="243"/>
      <c r="WK298" s="243"/>
      <c r="WL298" s="243"/>
      <c r="WM298" s="243"/>
      <c r="WN298" s="243"/>
      <c r="WO298" s="243"/>
      <c r="WP298" s="243"/>
      <c r="WQ298" s="243"/>
      <c r="WR298" s="243"/>
      <c r="WS298" s="243"/>
      <c r="WT298" s="243"/>
      <c r="WU298" s="243"/>
      <c r="WV298" s="243"/>
      <c r="WW298" s="243"/>
      <c r="WX298" s="243"/>
      <c r="WY298" s="243"/>
      <c r="WZ298" s="243"/>
      <c r="XA298" s="243"/>
      <c r="XB298" s="243"/>
      <c r="XC298" s="243"/>
      <c r="XD298" s="243"/>
      <c r="XE298" s="243"/>
      <c r="XF298" s="243"/>
      <c r="XG298" s="243"/>
      <c r="XH298" s="243"/>
      <c r="XI298" s="243"/>
      <c r="XJ298" s="243"/>
      <c r="XK298" s="243"/>
      <c r="XL298" s="243"/>
      <c r="XM298" s="243"/>
      <c r="XN298" s="243"/>
      <c r="XO298" s="243"/>
      <c r="XP298" s="243"/>
      <c r="XQ298" s="243"/>
      <c r="XR298" s="243"/>
      <c r="XS298" s="243"/>
      <c r="XT298" s="243"/>
      <c r="XU298" s="243"/>
      <c r="XV298" s="243"/>
      <c r="XW298" s="243"/>
      <c r="XX298" s="243"/>
      <c r="XY298" s="243"/>
      <c r="XZ298" s="243"/>
      <c r="YA298" s="243"/>
      <c r="YB298" s="243"/>
      <c r="YC298" s="243"/>
      <c r="YD298" s="243"/>
      <c r="YE298" s="243"/>
      <c r="YF298" s="243"/>
      <c r="YG298" s="243"/>
      <c r="YH298" s="243"/>
      <c r="YI298" s="243"/>
      <c r="YJ298" s="243"/>
      <c r="YK298" s="243"/>
      <c r="YL298" s="243"/>
      <c r="YM298" s="243"/>
      <c r="YN298" s="243"/>
      <c r="YO298" s="243"/>
      <c r="YP298" s="243"/>
      <c r="YQ298" s="243"/>
      <c r="YR298" s="243"/>
      <c r="YS298" s="243"/>
      <c r="YT298" s="243"/>
      <c r="YU298" s="243"/>
      <c r="YV298" s="243"/>
      <c r="YW298" s="243"/>
      <c r="YX298" s="243"/>
      <c r="YY298" s="243"/>
      <c r="YZ298" s="243"/>
      <c r="ZA298" s="243"/>
      <c r="ZB298" s="243"/>
      <c r="ZC298" s="243"/>
      <c r="ZD298" s="243"/>
      <c r="ZE298" s="243"/>
      <c r="ZF298" s="243"/>
      <c r="ZG298" s="243"/>
      <c r="ZH298" s="243"/>
      <c r="ZI298" s="243"/>
      <c r="ZJ298" s="243"/>
      <c r="ZK298" s="243"/>
      <c r="ZL298" s="243"/>
      <c r="ZM298" s="243"/>
      <c r="ZN298" s="243"/>
      <c r="ZO298" s="243"/>
      <c r="ZP298" s="243"/>
      <c r="ZQ298" s="243"/>
      <c r="ZR298" s="243"/>
      <c r="ZS298" s="243"/>
      <c r="ZT298" s="243"/>
      <c r="ZU298" s="243"/>
      <c r="ZV298" s="243"/>
      <c r="ZW298" s="243"/>
      <c r="ZX298" s="243"/>
      <c r="ZY298" s="243"/>
      <c r="ZZ298" s="243"/>
      <c r="AAA298" s="243"/>
      <c r="AAB298" s="243"/>
      <c r="AAC298" s="243"/>
      <c r="AAD298" s="243"/>
      <c r="AAE298" s="243"/>
      <c r="AAF298" s="243"/>
      <c r="AAG298" s="243"/>
      <c r="AAH298" s="243"/>
      <c r="AAI298" s="243"/>
      <c r="AAJ298" s="243"/>
      <c r="AAK298" s="243"/>
      <c r="AAL298" s="243"/>
      <c r="AAM298" s="243"/>
      <c r="AAN298" s="243"/>
      <c r="AAO298" s="243"/>
      <c r="AAP298" s="243"/>
      <c r="AAQ298" s="243"/>
      <c r="AAR298" s="243"/>
      <c r="AAS298" s="243"/>
      <c r="AAT298" s="243"/>
      <c r="AAU298" s="243"/>
      <c r="AAV298" s="243"/>
      <c r="AAW298" s="243"/>
      <c r="AAX298" s="243"/>
      <c r="AAY298" s="243"/>
      <c r="AAZ298" s="243"/>
      <c r="ABA298" s="243"/>
      <c r="ABB298" s="243"/>
      <c r="ABC298" s="243"/>
      <c r="ABD298" s="243"/>
      <c r="ABE298" s="243"/>
      <c r="ABF298" s="243"/>
      <c r="ABG298" s="243"/>
      <c r="ABH298" s="243"/>
      <c r="ABI298" s="243"/>
      <c r="ABJ298" s="243"/>
      <c r="ABK298" s="243"/>
      <c r="ABL298" s="243"/>
      <c r="ABM298" s="243"/>
      <c r="ABN298" s="243"/>
      <c r="ABO298" s="243"/>
      <c r="ABP298" s="243"/>
      <c r="ABQ298" s="243"/>
      <c r="ABR298" s="243"/>
      <c r="ABS298" s="243"/>
      <c r="ABT298" s="243"/>
      <c r="ABU298" s="243"/>
      <c r="ABV298" s="243"/>
      <c r="ABW298" s="243"/>
      <c r="ABX298" s="243"/>
      <c r="ABY298" s="243"/>
      <c r="ABZ298" s="243"/>
      <c r="ACA298" s="243"/>
      <c r="ACB298" s="243"/>
      <c r="ACC298" s="243"/>
      <c r="ACD298" s="243"/>
      <c r="ACE298" s="243"/>
      <c r="ACF298" s="243"/>
      <c r="ACG298" s="243"/>
      <c r="ACH298" s="243"/>
      <c r="ACI298" s="243"/>
      <c r="ACJ298" s="243"/>
      <c r="ACK298" s="243"/>
      <c r="ACL298" s="243"/>
      <c r="ACM298" s="243"/>
      <c r="ACN298" s="243"/>
      <c r="ACO298" s="243"/>
      <c r="ACP298" s="243"/>
      <c r="ACQ298" s="243"/>
      <c r="ACR298" s="243"/>
      <c r="ACS298" s="243"/>
      <c r="ACT298" s="243"/>
      <c r="ACU298" s="243"/>
      <c r="ACV298" s="243"/>
      <c r="ACW298" s="243"/>
      <c r="ACX298" s="243"/>
      <c r="ACY298" s="243"/>
      <c r="ACZ298" s="243"/>
      <c r="ADA298" s="243"/>
      <c r="ADB298" s="243"/>
      <c r="ADC298" s="243"/>
      <c r="ADD298" s="243"/>
      <c r="ADE298" s="243"/>
      <c r="ADF298" s="243"/>
      <c r="ADG298" s="243"/>
      <c r="ADH298" s="243"/>
      <c r="ADI298" s="243"/>
      <c r="ADJ298" s="243"/>
      <c r="ADK298" s="243"/>
      <c r="ADL298" s="243"/>
      <c r="ADM298" s="243"/>
      <c r="ADN298" s="243"/>
      <c r="ADO298" s="243"/>
      <c r="ADP298" s="243"/>
      <c r="ADQ298" s="243"/>
      <c r="ADR298" s="243"/>
      <c r="ADS298" s="243"/>
      <c r="ADT298" s="243"/>
      <c r="ADU298" s="243"/>
      <c r="ADV298" s="243"/>
      <c r="ADW298" s="243"/>
      <c r="ADX298" s="243"/>
      <c r="ADY298" s="243"/>
      <c r="ADZ298" s="243"/>
      <c r="AEA298" s="243"/>
      <c r="AEB298" s="243"/>
      <c r="AEC298" s="243"/>
      <c r="AED298" s="243"/>
      <c r="AEE298" s="243"/>
      <c r="AEF298" s="243"/>
      <c r="AEG298" s="243"/>
      <c r="AEH298" s="243"/>
      <c r="AEI298" s="243"/>
      <c r="AEJ298" s="243"/>
      <c r="AEK298" s="243"/>
      <c r="AEL298" s="243"/>
      <c r="AEM298" s="243"/>
      <c r="AEN298" s="243"/>
      <c r="AEO298" s="243"/>
      <c r="AEP298" s="243"/>
      <c r="AEQ298" s="243"/>
      <c r="AER298" s="243"/>
      <c r="AES298" s="243"/>
      <c r="AET298" s="243"/>
      <c r="AEU298" s="243"/>
      <c r="AEV298" s="243"/>
      <c r="AEW298" s="243"/>
      <c r="AEX298" s="243"/>
      <c r="AEY298" s="243"/>
      <c r="AEZ298" s="243"/>
      <c r="AFA298" s="243"/>
      <c r="AFB298" s="243"/>
      <c r="AFC298" s="243"/>
      <c r="AFD298" s="243"/>
      <c r="AFE298" s="243"/>
      <c r="AFF298" s="243"/>
      <c r="AFG298" s="243"/>
      <c r="AFH298" s="243"/>
      <c r="AFI298" s="243"/>
      <c r="AFJ298" s="243"/>
      <c r="AFK298" s="243"/>
      <c r="AFL298" s="243"/>
      <c r="AFM298" s="243"/>
      <c r="AFN298" s="243"/>
      <c r="AFO298" s="243"/>
      <c r="AFP298" s="243"/>
      <c r="AFQ298" s="243"/>
      <c r="AFR298" s="243"/>
      <c r="AFS298" s="243"/>
      <c r="AFT298" s="243"/>
      <c r="AFU298" s="243"/>
      <c r="AFV298" s="243"/>
      <c r="AFW298" s="243"/>
      <c r="AFX298" s="243"/>
      <c r="AFY298" s="243"/>
      <c r="AFZ298" s="243"/>
      <c r="AGA298" s="243"/>
      <c r="AGB298" s="243"/>
      <c r="AGC298" s="243"/>
      <c r="AGD298" s="243"/>
      <c r="AGE298" s="243"/>
      <c r="AGF298" s="243"/>
      <c r="AGG298" s="243"/>
      <c r="AGH298" s="243"/>
      <c r="AGI298" s="243"/>
      <c r="AGJ298" s="243"/>
      <c r="AGK298" s="243"/>
      <c r="AGL298" s="243"/>
      <c r="AGM298" s="243"/>
      <c r="AGN298" s="243"/>
      <c r="AGO298" s="243"/>
      <c r="AGP298" s="243"/>
      <c r="AGQ298" s="243"/>
      <c r="AGR298" s="243"/>
      <c r="AGS298" s="243"/>
      <c r="AGT298" s="243"/>
      <c r="AGU298" s="243"/>
      <c r="AGV298" s="243"/>
      <c r="AGW298" s="243"/>
      <c r="AGX298" s="243"/>
      <c r="AGY298" s="243"/>
      <c r="AGZ298" s="243"/>
      <c r="AHA298" s="243"/>
      <c r="AHB298" s="243"/>
      <c r="AHC298" s="243"/>
      <c r="AHD298" s="243"/>
      <c r="AHE298" s="243"/>
      <c r="AHF298" s="243"/>
      <c r="AHG298" s="243"/>
      <c r="AHH298" s="243"/>
      <c r="AHI298" s="243"/>
      <c r="AHJ298" s="243"/>
      <c r="AHK298" s="243"/>
      <c r="AHL298" s="243"/>
      <c r="AHM298" s="243"/>
      <c r="AHN298" s="243"/>
      <c r="AHO298" s="243"/>
      <c r="AHP298" s="243"/>
      <c r="AHQ298" s="243"/>
      <c r="AHR298" s="243"/>
      <c r="AHS298" s="243"/>
      <c r="AHT298" s="243"/>
      <c r="AHU298" s="243"/>
      <c r="AHV298" s="243"/>
      <c r="AHW298" s="243"/>
      <c r="AHX298" s="243"/>
      <c r="AHY298" s="243"/>
      <c r="AHZ298" s="243"/>
      <c r="AIA298" s="243"/>
      <c r="AIB298" s="243"/>
      <c r="AIC298" s="243"/>
      <c r="AID298" s="243"/>
      <c r="AIE298" s="243"/>
      <c r="AIF298" s="243"/>
      <c r="AIG298" s="243"/>
      <c r="AIH298" s="243"/>
      <c r="AII298" s="243"/>
      <c r="AIJ298" s="243"/>
      <c r="AIK298" s="243"/>
      <c r="AIL298" s="243"/>
      <c r="AIM298" s="243"/>
      <c r="AIN298" s="243"/>
      <c r="AIO298" s="243"/>
      <c r="AIP298" s="243"/>
      <c r="AIQ298" s="243"/>
      <c r="AIR298" s="243"/>
      <c r="AIS298" s="243"/>
      <c r="AIT298" s="243"/>
      <c r="AIU298" s="243"/>
      <c r="AIV298" s="243"/>
      <c r="AIW298" s="243"/>
      <c r="AIX298" s="243"/>
      <c r="AIY298" s="243"/>
      <c r="AIZ298" s="243"/>
      <c r="AJA298" s="243"/>
      <c r="AJB298" s="243"/>
      <c r="AJC298" s="243"/>
      <c r="AJD298" s="243"/>
      <c r="AJE298" s="243"/>
      <c r="AJF298" s="243"/>
      <c r="AJG298" s="243"/>
      <c r="AJH298" s="243"/>
      <c r="AJI298" s="243"/>
      <c r="AJJ298" s="243"/>
      <c r="AJK298" s="243"/>
      <c r="AJL298" s="243"/>
      <c r="AJM298" s="243"/>
      <c r="AJN298" s="243"/>
      <c r="AJO298" s="243"/>
      <c r="AJP298" s="243"/>
      <c r="AJQ298" s="243"/>
      <c r="AJR298" s="243"/>
      <c r="AJS298" s="243"/>
      <c r="AJT298" s="243"/>
      <c r="AJU298" s="243"/>
      <c r="AJV298" s="243"/>
      <c r="AJW298" s="243"/>
      <c r="AJX298" s="243"/>
      <c r="AJY298" s="243"/>
      <c r="AJZ298" s="243"/>
      <c r="AKA298" s="243"/>
      <c r="AKB298" s="243"/>
      <c r="AKC298" s="243"/>
      <c r="AKD298" s="243"/>
      <c r="AKE298" s="243"/>
      <c r="AKF298" s="243"/>
      <c r="AKG298" s="243"/>
      <c r="AKH298" s="243"/>
      <c r="AKI298" s="243"/>
      <c r="AKJ298" s="243"/>
      <c r="AKK298" s="243"/>
      <c r="AKL298" s="243"/>
      <c r="AKM298" s="243"/>
      <c r="AKN298" s="243"/>
      <c r="AKO298" s="243"/>
      <c r="AKP298" s="243"/>
      <c r="AKQ298" s="243"/>
      <c r="AKR298" s="243"/>
      <c r="AKS298" s="243"/>
      <c r="AKT298" s="243"/>
      <c r="AKU298" s="243"/>
      <c r="AKV298" s="243"/>
      <c r="AKW298" s="243"/>
      <c r="AKX298" s="243"/>
      <c r="AKY298" s="243"/>
      <c r="AKZ298" s="243"/>
      <c r="ALA298" s="243"/>
      <c r="ALB298" s="243"/>
      <c r="ALC298" s="243"/>
      <c r="ALD298" s="243"/>
      <c r="ALE298" s="243"/>
      <c r="ALF298" s="243"/>
      <c r="ALG298" s="243"/>
      <c r="ALH298" s="243"/>
      <c r="ALI298" s="243"/>
      <c r="ALJ298" s="243"/>
      <c r="ALK298" s="243"/>
      <c r="ALL298" s="243"/>
      <c r="ALM298" s="243"/>
      <c r="ALN298" s="243"/>
      <c r="ALO298" s="243"/>
      <c r="ALP298" s="243"/>
      <c r="ALQ298" s="243"/>
      <c r="ALR298" s="243"/>
      <c r="ALS298" s="243"/>
      <c r="ALT298" s="243"/>
      <c r="ALU298" s="243"/>
      <c r="ALV298" s="243"/>
      <c r="ALW298" s="243"/>
      <c r="ALX298" s="243"/>
      <c r="ALY298" s="243"/>
      <c r="ALZ298" s="243"/>
      <c r="AMA298" s="243"/>
      <c r="AMB298" s="243"/>
      <c r="AMC298" s="243"/>
      <c r="AMD298" s="243"/>
      <c r="AME298" s="243"/>
      <c r="AMF298" s="243"/>
      <c r="AMG298" s="243"/>
      <c r="AMH298" s="243"/>
      <c r="AMI298" s="244"/>
      <c r="AMJ298" s="244"/>
    </row>
    <row r="299" spans="1:1024" ht="15" customHeight="1">
      <c r="A299" s="944"/>
      <c r="B299" s="405"/>
      <c r="C299" s="404"/>
      <c r="D299" s="405" t="s">
        <v>208</v>
      </c>
      <c r="E299" s="437"/>
      <c r="F299" s="405"/>
      <c r="G299" s="405"/>
      <c r="H299" s="407" t="s">
        <v>64</v>
      </c>
      <c r="I299" s="407" t="s">
        <v>190</v>
      </c>
      <c r="J299" s="407"/>
      <c r="K299" s="407" t="s">
        <v>143</v>
      </c>
      <c r="L299" s="407"/>
      <c r="M299" s="395"/>
      <c r="N299" s="396"/>
      <c r="O299" s="377"/>
      <c r="P299" s="377"/>
      <c r="Q299" s="377"/>
      <c r="R299" s="243"/>
      <c r="S299" s="243"/>
      <c r="T299" s="243"/>
      <c r="U299" s="243"/>
      <c r="V299" s="243"/>
      <c r="W299" s="243"/>
      <c r="X299" s="243"/>
      <c r="Y299" s="243"/>
      <c r="Z299" s="243"/>
      <c r="AA299" s="243"/>
      <c r="AB299" s="243"/>
      <c r="AC299" s="243"/>
      <c r="AD299" s="243"/>
      <c r="AE299" s="243"/>
      <c r="AF299" s="243"/>
      <c r="AG299" s="243"/>
      <c r="AH299" s="243"/>
      <c r="AI299" s="243"/>
      <c r="AJ299" s="243"/>
      <c r="AK299" s="243"/>
      <c r="AL299" s="243"/>
      <c r="AM299" s="243"/>
      <c r="AN299" s="243"/>
      <c r="AO299" s="243"/>
      <c r="AP299" s="243"/>
      <c r="AQ299" s="243"/>
      <c r="AR299" s="243"/>
      <c r="AS299" s="243"/>
      <c r="AT299" s="243"/>
      <c r="AU299" s="243"/>
      <c r="AV299" s="243"/>
      <c r="AW299" s="243"/>
      <c r="AX299" s="243"/>
      <c r="AY299" s="243"/>
      <c r="AZ299" s="243"/>
      <c r="BA299" s="243"/>
      <c r="BB299" s="243"/>
      <c r="BC299" s="243"/>
      <c r="BD299" s="243"/>
      <c r="BE299" s="243"/>
      <c r="BF299" s="243"/>
      <c r="BG299" s="243"/>
      <c r="BH299" s="243"/>
      <c r="BI299" s="243"/>
      <c r="BJ299" s="243"/>
      <c r="BK299" s="243"/>
      <c r="BL299" s="243"/>
      <c r="BM299" s="243"/>
      <c r="BN299" s="243"/>
      <c r="BO299" s="243"/>
      <c r="BP299" s="243"/>
      <c r="BQ299" s="243"/>
      <c r="BR299" s="243"/>
      <c r="BS299" s="243"/>
      <c r="BT299" s="243"/>
      <c r="BU299" s="243"/>
      <c r="BV299" s="243"/>
      <c r="BW299" s="243"/>
      <c r="BX299" s="243"/>
      <c r="BY299" s="243"/>
      <c r="BZ299" s="243"/>
      <c r="CA299" s="243"/>
      <c r="CB299" s="243"/>
      <c r="CC299" s="243"/>
      <c r="CD299" s="243"/>
      <c r="CE299" s="243"/>
      <c r="CF299" s="243"/>
      <c r="CG299" s="243"/>
      <c r="CH299" s="243"/>
      <c r="CI299" s="243"/>
      <c r="CJ299" s="243"/>
      <c r="CK299" s="243"/>
      <c r="CL299" s="243"/>
      <c r="CM299" s="243"/>
      <c r="CN299" s="243"/>
      <c r="CO299" s="243"/>
      <c r="CP299" s="243"/>
      <c r="CQ299" s="243"/>
      <c r="CR299" s="243"/>
      <c r="CS299" s="243"/>
      <c r="CT299" s="243"/>
      <c r="CU299" s="243"/>
      <c r="CV299" s="243"/>
      <c r="CW299" s="243"/>
      <c r="CX299" s="243"/>
      <c r="CY299" s="243"/>
      <c r="CZ299" s="243"/>
      <c r="DA299" s="243"/>
      <c r="DB299" s="243"/>
      <c r="DC299" s="243"/>
      <c r="DD299" s="243"/>
      <c r="DE299" s="243"/>
      <c r="DF299" s="243"/>
      <c r="DG299" s="243"/>
      <c r="DH299" s="243"/>
      <c r="DI299" s="243"/>
      <c r="DJ299" s="243"/>
      <c r="DK299" s="243"/>
      <c r="DL299" s="243"/>
      <c r="DM299" s="243"/>
      <c r="DN299" s="243"/>
      <c r="DO299" s="243"/>
      <c r="DP299" s="243"/>
      <c r="DQ299" s="243"/>
      <c r="DR299" s="243"/>
      <c r="DS299" s="243"/>
      <c r="DT299" s="243"/>
      <c r="DU299" s="243"/>
      <c r="DV299" s="243"/>
      <c r="DW299" s="243"/>
      <c r="DX299" s="243"/>
      <c r="DY299" s="243"/>
      <c r="DZ299" s="243"/>
      <c r="EA299" s="243"/>
      <c r="EB299" s="243"/>
      <c r="EC299" s="243"/>
      <c r="ED299" s="243"/>
      <c r="EE299" s="243"/>
      <c r="EF299" s="243"/>
      <c r="EG299" s="243"/>
      <c r="EH299" s="243"/>
      <c r="EI299" s="243"/>
      <c r="EJ299" s="243"/>
      <c r="EK299" s="243"/>
      <c r="EL299" s="243"/>
      <c r="EM299" s="243"/>
      <c r="EN299" s="243"/>
      <c r="EO299" s="243"/>
      <c r="EP299" s="243"/>
      <c r="EQ299" s="243"/>
      <c r="ER299" s="243"/>
      <c r="ES299" s="243"/>
      <c r="ET299" s="243"/>
      <c r="EU299" s="243"/>
      <c r="EV299" s="243"/>
      <c r="EW299" s="243"/>
      <c r="EX299" s="243"/>
      <c r="EY299" s="243"/>
      <c r="EZ299" s="243"/>
      <c r="FA299" s="243"/>
      <c r="FB299" s="243"/>
      <c r="FC299" s="243"/>
      <c r="FD299" s="243"/>
      <c r="FE299" s="243"/>
      <c r="FF299" s="243"/>
      <c r="FG299" s="243"/>
      <c r="FH299" s="243"/>
      <c r="FI299" s="243"/>
      <c r="FJ299" s="243"/>
      <c r="FK299" s="243"/>
      <c r="FL299" s="243"/>
      <c r="FM299" s="243"/>
      <c r="FN299" s="243"/>
      <c r="FO299" s="243"/>
      <c r="FP299" s="243"/>
      <c r="FQ299" s="243"/>
      <c r="FR299" s="243"/>
      <c r="FS299" s="243"/>
      <c r="FT299" s="243"/>
      <c r="FU299" s="243"/>
      <c r="FV299" s="243"/>
      <c r="FW299" s="243"/>
      <c r="FX299" s="243"/>
      <c r="FY299" s="243"/>
      <c r="FZ299" s="243"/>
      <c r="GA299" s="243"/>
      <c r="GB299" s="243"/>
      <c r="GC299" s="243"/>
      <c r="GD299" s="243"/>
      <c r="GE299" s="243"/>
      <c r="GF299" s="243"/>
      <c r="GG299" s="243"/>
      <c r="GH299" s="243"/>
      <c r="GI299" s="243"/>
      <c r="GJ299" s="243"/>
      <c r="GK299" s="243"/>
      <c r="GL299" s="243"/>
      <c r="GM299" s="243"/>
      <c r="GN299" s="243"/>
      <c r="GO299" s="243"/>
      <c r="GP299" s="243"/>
      <c r="GQ299" s="243"/>
      <c r="GR299" s="243"/>
      <c r="GS299" s="243"/>
      <c r="GT299" s="243"/>
      <c r="GU299" s="243"/>
      <c r="GV299" s="243"/>
      <c r="GW299" s="243"/>
      <c r="GX299" s="243"/>
      <c r="GY299" s="243"/>
      <c r="GZ299" s="243"/>
      <c r="HA299" s="243"/>
      <c r="HB299" s="243"/>
      <c r="HC299" s="243"/>
      <c r="HD299" s="243"/>
      <c r="HE299" s="243"/>
      <c r="HF299" s="243"/>
      <c r="HG299" s="243"/>
      <c r="HH299" s="243"/>
      <c r="HI299" s="243"/>
      <c r="HJ299" s="243"/>
      <c r="HK299" s="243"/>
      <c r="HL299" s="243"/>
      <c r="HM299" s="243"/>
      <c r="HN299" s="243"/>
      <c r="HO299" s="243"/>
      <c r="HP299" s="243"/>
      <c r="HQ299" s="243"/>
      <c r="HR299" s="243"/>
      <c r="HS299" s="243"/>
      <c r="HT299" s="243"/>
      <c r="HU299" s="243"/>
      <c r="HV299" s="243"/>
      <c r="HW299" s="243"/>
      <c r="HX299" s="243"/>
      <c r="HY299" s="243"/>
      <c r="HZ299" s="243"/>
      <c r="IA299" s="243"/>
      <c r="IB299" s="243"/>
      <c r="IC299" s="243"/>
      <c r="ID299" s="243"/>
      <c r="IE299" s="243"/>
      <c r="IF299" s="243"/>
      <c r="IG299" s="243"/>
      <c r="IH299" s="243"/>
      <c r="II299" s="243"/>
      <c r="IJ299" s="243"/>
      <c r="IK299" s="243"/>
      <c r="IL299" s="243"/>
      <c r="IM299" s="243"/>
      <c r="IN299" s="243"/>
      <c r="IO299" s="243"/>
      <c r="IP299" s="243"/>
      <c r="IQ299" s="243"/>
      <c r="IR299" s="243"/>
      <c r="IS299" s="243"/>
      <c r="IT299" s="243"/>
      <c r="IU299" s="243"/>
      <c r="IV299" s="243"/>
      <c r="IW299" s="243"/>
      <c r="IX299" s="243"/>
      <c r="IY299" s="243"/>
      <c r="IZ299" s="243"/>
      <c r="JA299" s="243"/>
      <c r="JB299" s="243"/>
      <c r="JC299" s="243"/>
      <c r="JD299" s="243"/>
      <c r="JE299" s="243"/>
      <c r="JF299" s="243"/>
      <c r="JG299" s="243"/>
      <c r="JH299" s="243"/>
      <c r="JI299" s="243"/>
      <c r="JJ299" s="243"/>
      <c r="JK299" s="243"/>
      <c r="JL299" s="243"/>
      <c r="JM299" s="243"/>
      <c r="JN299" s="243"/>
      <c r="JO299" s="243"/>
      <c r="JP299" s="243"/>
      <c r="JQ299" s="243"/>
      <c r="JR299" s="243"/>
      <c r="JS299" s="243"/>
      <c r="JT299" s="243"/>
      <c r="JU299" s="243"/>
      <c r="JV299" s="243"/>
      <c r="JW299" s="243"/>
      <c r="JX299" s="243"/>
      <c r="JY299" s="243"/>
      <c r="JZ299" s="243"/>
      <c r="KA299" s="243"/>
      <c r="KB299" s="243"/>
      <c r="KC299" s="243"/>
      <c r="KD299" s="243"/>
      <c r="KE299" s="243"/>
      <c r="KF299" s="243"/>
      <c r="KG299" s="243"/>
      <c r="KH299" s="243"/>
      <c r="KI299" s="243"/>
      <c r="KJ299" s="243"/>
      <c r="KK299" s="243"/>
      <c r="KL299" s="243"/>
      <c r="KM299" s="243"/>
      <c r="KN299" s="243"/>
      <c r="KO299" s="243"/>
      <c r="KP299" s="243"/>
      <c r="KQ299" s="243"/>
      <c r="KR299" s="243"/>
      <c r="KS299" s="243"/>
      <c r="KT299" s="243"/>
      <c r="KU299" s="243"/>
      <c r="KV299" s="243"/>
      <c r="KW299" s="243"/>
      <c r="KX299" s="243"/>
      <c r="KY299" s="243"/>
      <c r="KZ299" s="243"/>
      <c r="LA299" s="243"/>
      <c r="LB299" s="243"/>
      <c r="LC299" s="243"/>
      <c r="LD299" s="243"/>
      <c r="LE299" s="243"/>
      <c r="LF299" s="243"/>
      <c r="LG299" s="243"/>
      <c r="LH299" s="243"/>
      <c r="LI299" s="243"/>
      <c r="LJ299" s="243"/>
      <c r="LK299" s="243"/>
      <c r="LL299" s="243"/>
      <c r="LM299" s="243"/>
      <c r="LN299" s="243"/>
      <c r="LO299" s="243"/>
      <c r="LP299" s="243"/>
      <c r="LQ299" s="243"/>
      <c r="LR299" s="243"/>
      <c r="LS299" s="243"/>
      <c r="LT299" s="243"/>
      <c r="LU299" s="243"/>
      <c r="LV299" s="243"/>
      <c r="LW299" s="243"/>
      <c r="LX299" s="243"/>
      <c r="LY299" s="243"/>
      <c r="LZ299" s="243"/>
      <c r="MA299" s="243"/>
      <c r="MB299" s="243"/>
      <c r="MC299" s="243"/>
      <c r="MD299" s="243"/>
      <c r="ME299" s="243"/>
      <c r="MF299" s="243"/>
      <c r="MG299" s="243"/>
      <c r="MH299" s="243"/>
      <c r="MI299" s="243"/>
      <c r="MJ299" s="243"/>
      <c r="MK299" s="243"/>
      <c r="ML299" s="243"/>
      <c r="MM299" s="243"/>
      <c r="MN299" s="243"/>
      <c r="MO299" s="243"/>
      <c r="MP299" s="243"/>
      <c r="MQ299" s="243"/>
      <c r="MR299" s="243"/>
      <c r="MS299" s="243"/>
      <c r="MT299" s="243"/>
      <c r="MU299" s="243"/>
      <c r="MV299" s="243"/>
      <c r="MW299" s="243"/>
      <c r="MX299" s="243"/>
      <c r="MY299" s="243"/>
      <c r="MZ299" s="243"/>
      <c r="NA299" s="243"/>
      <c r="NB299" s="243"/>
      <c r="NC299" s="243"/>
      <c r="ND299" s="243"/>
      <c r="NE299" s="243"/>
      <c r="NF299" s="243"/>
      <c r="NG299" s="243"/>
      <c r="NH299" s="243"/>
      <c r="NI299" s="243"/>
      <c r="NJ299" s="243"/>
      <c r="NK299" s="243"/>
      <c r="NL299" s="243"/>
      <c r="NM299" s="243"/>
      <c r="NN299" s="243"/>
      <c r="NO299" s="243"/>
      <c r="NP299" s="243"/>
      <c r="NQ299" s="243"/>
      <c r="NR299" s="243"/>
      <c r="NS299" s="243"/>
      <c r="NT299" s="243"/>
      <c r="NU299" s="243"/>
      <c r="NV299" s="243"/>
      <c r="NW299" s="243"/>
      <c r="NX299" s="243"/>
      <c r="NY299" s="243"/>
      <c r="NZ299" s="243"/>
      <c r="OA299" s="243"/>
      <c r="OB299" s="243"/>
      <c r="OC299" s="243"/>
      <c r="OD299" s="243"/>
      <c r="OE299" s="243"/>
      <c r="OF299" s="243"/>
      <c r="OG299" s="243"/>
      <c r="OH299" s="243"/>
      <c r="OI299" s="243"/>
      <c r="OJ299" s="243"/>
      <c r="OK299" s="243"/>
      <c r="OL299" s="243"/>
      <c r="OM299" s="243"/>
      <c r="ON299" s="243"/>
      <c r="OO299" s="243"/>
      <c r="OP299" s="243"/>
      <c r="OQ299" s="243"/>
      <c r="OR299" s="243"/>
      <c r="OS299" s="243"/>
      <c r="OT299" s="243"/>
      <c r="OU299" s="243"/>
      <c r="OV299" s="243"/>
      <c r="OW299" s="243"/>
      <c r="OX299" s="243"/>
      <c r="OY299" s="243"/>
      <c r="OZ299" s="243"/>
      <c r="PA299" s="243"/>
      <c r="PB299" s="243"/>
      <c r="PC299" s="243"/>
      <c r="PD299" s="243"/>
      <c r="PE299" s="243"/>
      <c r="PF299" s="243"/>
      <c r="PG299" s="243"/>
      <c r="PH299" s="243"/>
      <c r="PI299" s="243"/>
      <c r="PJ299" s="243"/>
      <c r="PK299" s="243"/>
      <c r="PL299" s="243"/>
      <c r="PM299" s="243"/>
      <c r="PN299" s="243"/>
      <c r="PO299" s="243"/>
      <c r="PP299" s="243"/>
      <c r="PQ299" s="243"/>
      <c r="PR299" s="243"/>
      <c r="PS299" s="243"/>
      <c r="PT299" s="243"/>
      <c r="PU299" s="243"/>
      <c r="PV299" s="243"/>
      <c r="PW299" s="243"/>
      <c r="PX299" s="243"/>
      <c r="PY299" s="243"/>
      <c r="PZ299" s="243"/>
      <c r="QA299" s="243"/>
      <c r="QB299" s="243"/>
      <c r="QC299" s="243"/>
      <c r="QD299" s="243"/>
      <c r="QE299" s="243"/>
      <c r="QF299" s="243"/>
      <c r="QG299" s="243"/>
      <c r="QH299" s="243"/>
      <c r="QI299" s="243"/>
      <c r="QJ299" s="243"/>
      <c r="QK299" s="243"/>
      <c r="QL299" s="243"/>
      <c r="QM299" s="243"/>
      <c r="QN299" s="243"/>
      <c r="QO299" s="243"/>
      <c r="QP299" s="243"/>
      <c r="QQ299" s="243"/>
      <c r="QR299" s="243"/>
      <c r="QS299" s="243"/>
      <c r="QT299" s="243"/>
      <c r="QU299" s="243"/>
      <c r="QV299" s="243"/>
      <c r="QW299" s="243"/>
      <c r="QX299" s="243"/>
      <c r="QY299" s="243"/>
      <c r="QZ299" s="243"/>
      <c r="RA299" s="243"/>
      <c r="RB299" s="243"/>
      <c r="RC299" s="243"/>
      <c r="RD299" s="243"/>
      <c r="RE299" s="243"/>
      <c r="RF299" s="243"/>
      <c r="RG299" s="243"/>
      <c r="RH299" s="243"/>
      <c r="RI299" s="243"/>
      <c r="RJ299" s="243"/>
      <c r="RK299" s="243"/>
      <c r="RL299" s="243"/>
      <c r="RM299" s="243"/>
      <c r="RN299" s="243"/>
      <c r="RO299" s="243"/>
      <c r="RP299" s="243"/>
      <c r="RQ299" s="243"/>
      <c r="RR299" s="243"/>
      <c r="RS299" s="243"/>
      <c r="RT299" s="243"/>
      <c r="RU299" s="243"/>
      <c r="RV299" s="243"/>
      <c r="RW299" s="243"/>
      <c r="RX299" s="243"/>
      <c r="RY299" s="243"/>
      <c r="RZ299" s="243"/>
      <c r="SA299" s="243"/>
      <c r="SB299" s="243"/>
      <c r="SC299" s="243"/>
      <c r="SD299" s="243"/>
      <c r="SE299" s="243"/>
      <c r="SF299" s="243"/>
      <c r="SG299" s="243"/>
      <c r="SH299" s="243"/>
      <c r="SI299" s="243"/>
      <c r="SJ299" s="243"/>
      <c r="SK299" s="243"/>
      <c r="SL299" s="243"/>
      <c r="SM299" s="243"/>
      <c r="SN299" s="243"/>
      <c r="SO299" s="243"/>
      <c r="SP299" s="243"/>
      <c r="SQ299" s="243"/>
      <c r="SR299" s="243"/>
      <c r="SS299" s="243"/>
      <c r="ST299" s="243"/>
      <c r="SU299" s="243"/>
      <c r="SV299" s="243"/>
      <c r="SW299" s="243"/>
      <c r="SX299" s="243"/>
      <c r="SY299" s="243"/>
      <c r="SZ299" s="243"/>
      <c r="TA299" s="243"/>
      <c r="TB299" s="243"/>
      <c r="TC299" s="243"/>
      <c r="TD299" s="243"/>
      <c r="TE299" s="243"/>
      <c r="TF299" s="243"/>
      <c r="TG299" s="243"/>
      <c r="TH299" s="243"/>
      <c r="TI299" s="243"/>
      <c r="TJ299" s="243"/>
      <c r="TK299" s="243"/>
      <c r="TL299" s="243"/>
      <c r="TM299" s="243"/>
      <c r="TN299" s="243"/>
      <c r="TO299" s="243"/>
      <c r="TP299" s="243"/>
      <c r="TQ299" s="243"/>
      <c r="TR299" s="243"/>
      <c r="TS299" s="243"/>
      <c r="TT299" s="243"/>
      <c r="TU299" s="243"/>
      <c r="TV299" s="243"/>
      <c r="TW299" s="243"/>
      <c r="TX299" s="243"/>
      <c r="TY299" s="243"/>
      <c r="TZ299" s="243"/>
      <c r="UA299" s="243"/>
      <c r="UB299" s="243"/>
      <c r="UC299" s="243"/>
      <c r="UD299" s="243"/>
      <c r="UE299" s="243"/>
      <c r="UF299" s="243"/>
      <c r="UG299" s="243"/>
      <c r="UH299" s="243"/>
      <c r="UI299" s="243"/>
      <c r="UJ299" s="243"/>
      <c r="UK299" s="243"/>
      <c r="UL299" s="243"/>
      <c r="UM299" s="243"/>
      <c r="UN299" s="243"/>
      <c r="UO299" s="243"/>
      <c r="UP299" s="243"/>
      <c r="UQ299" s="243"/>
      <c r="UR299" s="243"/>
      <c r="US299" s="243"/>
      <c r="UT299" s="243"/>
      <c r="UU299" s="243"/>
      <c r="UV299" s="243"/>
      <c r="UW299" s="243"/>
      <c r="UX299" s="243"/>
      <c r="UY299" s="243"/>
      <c r="UZ299" s="243"/>
      <c r="VA299" s="243"/>
      <c r="VB299" s="243"/>
      <c r="VC299" s="243"/>
      <c r="VD299" s="243"/>
      <c r="VE299" s="243"/>
      <c r="VF299" s="243"/>
      <c r="VG299" s="243"/>
      <c r="VH299" s="243"/>
      <c r="VI299" s="243"/>
      <c r="VJ299" s="243"/>
      <c r="VK299" s="243"/>
      <c r="VL299" s="243"/>
      <c r="VM299" s="243"/>
      <c r="VN299" s="243"/>
      <c r="VO299" s="243"/>
      <c r="VP299" s="243"/>
      <c r="VQ299" s="243"/>
      <c r="VR299" s="243"/>
      <c r="VS299" s="243"/>
      <c r="VT299" s="243"/>
      <c r="VU299" s="243"/>
      <c r="VV299" s="243"/>
      <c r="VW299" s="243"/>
      <c r="VX299" s="243"/>
      <c r="VY299" s="243"/>
      <c r="VZ299" s="243"/>
      <c r="WA299" s="243"/>
      <c r="WB299" s="243"/>
      <c r="WC299" s="243"/>
      <c r="WD299" s="243"/>
      <c r="WE299" s="243"/>
      <c r="WF299" s="243"/>
      <c r="WG299" s="243"/>
      <c r="WH299" s="243"/>
      <c r="WI299" s="243"/>
      <c r="WJ299" s="243"/>
      <c r="WK299" s="243"/>
      <c r="WL299" s="243"/>
      <c r="WM299" s="243"/>
      <c r="WN299" s="243"/>
      <c r="WO299" s="243"/>
      <c r="WP299" s="243"/>
      <c r="WQ299" s="243"/>
      <c r="WR299" s="243"/>
      <c r="WS299" s="243"/>
      <c r="WT299" s="243"/>
      <c r="WU299" s="243"/>
      <c r="WV299" s="243"/>
      <c r="WW299" s="243"/>
      <c r="WX299" s="243"/>
      <c r="WY299" s="243"/>
      <c r="WZ299" s="243"/>
      <c r="XA299" s="243"/>
      <c r="XB299" s="243"/>
      <c r="XC299" s="243"/>
      <c r="XD299" s="243"/>
      <c r="XE299" s="243"/>
      <c r="XF299" s="243"/>
      <c r="XG299" s="243"/>
      <c r="XH299" s="243"/>
      <c r="XI299" s="243"/>
      <c r="XJ299" s="243"/>
      <c r="XK299" s="243"/>
      <c r="XL299" s="243"/>
      <c r="XM299" s="243"/>
      <c r="XN299" s="243"/>
      <c r="XO299" s="243"/>
      <c r="XP299" s="243"/>
      <c r="XQ299" s="243"/>
      <c r="XR299" s="243"/>
      <c r="XS299" s="243"/>
      <c r="XT299" s="243"/>
      <c r="XU299" s="243"/>
      <c r="XV299" s="243"/>
      <c r="XW299" s="243"/>
      <c r="XX299" s="243"/>
      <c r="XY299" s="243"/>
      <c r="XZ299" s="243"/>
      <c r="YA299" s="243"/>
      <c r="YB299" s="243"/>
      <c r="YC299" s="243"/>
      <c r="YD299" s="243"/>
      <c r="YE299" s="243"/>
      <c r="YF299" s="243"/>
      <c r="YG299" s="243"/>
      <c r="YH299" s="243"/>
      <c r="YI299" s="243"/>
      <c r="YJ299" s="243"/>
      <c r="YK299" s="243"/>
      <c r="YL299" s="243"/>
      <c r="YM299" s="243"/>
      <c r="YN299" s="243"/>
      <c r="YO299" s="243"/>
      <c r="YP299" s="243"/>
      <c r="YQ299" s="243"/>
      <c r="YR299" s="243"/>
      <c r="YS299" s="243"/>
      <c r="YT299" s="243"/>
      <c r="YU299" s="243"/>
      <c r="YV299" s="243"/>
      <c r="YW299" s="243"/>
      <c r="YX299" s="243"/>
      <c r="YY299" s="243"/>
      <c r="YZ299" s="243"/>
      <c r="ZA299" s="243"/>
      <c r="ZB299" s="243"/>
      <c r="ZC299" s="243"/>
      <c r="ZD299" s="243"/>
      <c r="ZE299" s="243"/>
      <c r="ZF299" s="243"/>
      <c r="ZG299" s="243"/>
      <c r="ZH299" s="243"/>
      <c r="ZI299" s="243"/>
      <c r="ZJ299" s="243"/>
      <c r="ZK299" s="243"/>
      <c r="ZL299" s="243"/>
      <c r="ZM299" s="243"/>
      <c r="ZN299" s="243"/>
      <c r="ZO299" s="243"/>
      <c r="ZP299" s="243"/>
      <c r="ZQ299" s="243"/>
      <c r="ZR299" s="243"/>
      <c r="ZS299" s="243"/>
      <c r="ZT299" s="243"/>
      <c r="ZU299" s="243"/>
      <c r="ZV299" s="243"/>
      <c r="ZW299" s="243"/>
      <c r="ZX299" s="243"/>
      <c r="ZY299" s="243"/>
      <c r="ZZ299" s="243"/>
      <c r="AAA299" s="243"/>
      <c r="AAB299" s="243"/>
      <c r="AAC299" s="243"/>
      <c r="AAD299" s="243"/>
      <c r="AAE299" s="243"/>
      <c r="AAF299" s="243"/>
      <c r="AAG299" s="243"/>
      <c r="AAH299" s="243"/>
      <c r="AAI299" s="243"/>
      <c r="AAJ299" s="243"/>
      <c r="AAK299" s="243"/>
      <c r="AAL299" s="243"/>
      <c r="AAM299" s="243"/>
      <c r="AAN299" s="243"/>
      <c r="AAO299" s="243"/>
      <c r="AAP299" s="243"/>
      <c r="AAQ299" s="243"/>
      <c r="AAR299" s="243"/>
      <c r="AAS299" s="243"/>
      <c r="AAT299" s="243"/>
      <c r="AAU299" s="243"/>
      <c r="AAV299" s="243"/>
      <c r="AAW299" s="243"/>
      <c r="AAX299" s="243"/>
      <c r="AAY299" s="243"/>
      <c r="AAZ299" s="243"/>
      <c r="ABA299" s="243"/>
      <c r="ABB299" s="243"/>
      <c r="ABC299" s="243"/>
      <c r="ABD299" s="243"/>
      <c r="ABE299" s="243"/>
      <c r="ABF299" s="243"/>
      <c r="ABG299" s="243"/>
      <c r="ABH299" s="243"/>
      <c r="ABI299" s="243"/>
      <c r="ABJ299" s="243"/>
      <c r="ABK299" s="243"/>
      <c r="ABL299" s="243"/>
      <c r="ABM299" s="243"/>
      <c r="ABN299" s="243"/>
      <c r="ABO299" s="243"/>
      <c r="ABP299" s="243"/>
      <c r="ABQ299" s="243"/>
      <c r="ABR299" s="243"/>
      <c r="ABS299" s="243"/>
      <c r="ABT299" s="243"/>
      <c r="ABU299" s="243"/>
      <c r="ABV299" s="243"/>
      <c r="ABW299" s="243"/>
      <c r="ABX299" s="243"/>
      <c r="ABY299" s="243"/>
      <c r="ABZ299" s="243"/>
      <c r="ACA299" s="243"/>
      <c r="ACB299" s="243"/>
      <c r="ACC299" s="243"/>
      <c r="ACD299" s="243"/>
      <c r="ACE299" s="243"/>
      <c r="ACF299" s="243"/>
      <c r="ACG299" s="243"/>
      <c r="ACH299" s="243"/>
      <c r="ACI299" s="243"/>
      <c r="ACJ299" s="243"/>
      <c r="ACK299" s="243"/>
      <c r="ACL299" s="243"/>
      <c r="ACM299" s="243"/>
      <c r="ACN299" s="243"/>
      <c r="ACO299" s="243"/>
      <c r="ACP299" s="243"/>
      <c r="ACQ299" s="243"/>
      <c r="ACR299" s="243"/>
      <c r="ACS299" s="243"/>
      <c r="ACT299" s="243"/>
      <c r="ACU299" s="243"/>
      <c r="ACV299" s="243"/>
      <c r="ACW299" s="243"/>
      <c r="ACX299" s="243"/>
      <c r="ACY299" s="243"/>
      <c r="ACZ299" s="243"/>
      <c r="ADA299" s="243"/>
      <c r="ADB299" s="243"/>
      <c r="ADC299" s="243"/>
      <c r="ADD299" s="243"/>
      <c r="ADE299" s="243"/>
      <c r="ADF299" s="243"/>
      <c r="ADG299" s="243"/>
      <c r="ADH299" s="243"/>
      <c r="ADI299" s="243"/>
      <c r="ADJ299" s="243"/>
      <c r="ADK299" s="243"/>
      <c r="ADL299" s="243"/>
      <c r="ADM299" s="243"/>
      <c r="ADN299" s="243"/>
      <c r="ADO299" s="243"/>
      <c r="ADP299" s="243"/>
      <c r="ADQ299" s="243"/>
      <c r="ADR299" s="243"/>
      <c r="ADS299" s="243"/>
      <c r="ADT299" s="243"/>
      <c r="ADU299" s="243"/>
      <c r="ADV299" s="243"/>
      <c r="ADW299" s="243"/>
      <c r="ADX299" s="243"/>
      <c r="ADY299" s="243"/>
      <c r="ADZ299" s="243"/>
      <c r="AEA299" s="243"/>
      <c r="AEB299" s="243"/>
      <c r="AEC299" s="243"/>
      <c r="AED299" s="243"/>
      <c r="AEE299" s="243"/>
      <c r="AEF299" s="243"/>
      <c r="AEG299" s="243"/>
      <c r="AEH299" s="243"/>
      <c r="AEI299" s="243"/>
      <c r="AEJ299" s="243"/>
      <c r="AEK299" s="243"/>
      <c r="AEL299" s="243"/>
      <c r="AEM299" s="243"/>
      <c r="AEN299" s="243"/>
      <c r="AEO299" s="243"/>
      <c r="AEP299" s="243"/>
      <c r="AEQ299" s="243"/>
      <c r="AER299" s="243"/>
      <c r="AES299" s="243"/>
      <c r="AET299" s="243"/>
      <c r="AEU299" s="243"/>
      <c r="AEV299" s="243"/>
      <c r="AEW299" s="243"/>
      <c r="AEX299" s="243"/>
      <c r="AEY299" s="243"/>
      <c r="AEZ299" s="243"/>
      <c r="AFA299" s="243"/>
      <c r="AFB299" s="243"/>
      <c r="AFC299" s="243"/>
      <c r="AFD299" s="243"/>
      <c r="AFE299" s="243"/>
      <c r="AFF299" s="243"/>
      <c r="AFG299" s="243"/>
      <c r="AFH299" s="243"/>
      <c r="AFI299" s="243"/>
      <c r="AFJ299" s="243"/>
      <c r="AFK299" s="243"/>
      <c r="AFL299" s="243"/>
      <c r="AFM299" s="243"/>
      <c r="AFN299" s="243"/>
      <c r="AFO299" s="243"/>
      <c r="AFP299" s="243"/>
      <c r="AFQ299" s="243"/>
      <c r="AFR299" s="243"/>
      <c r="AFS299" s="243"/>
      <c r="AFT299" s="243"/>
      <c r="AFU299" s="243"/>
      <c r="AFV299" s="243"/>
      <c r="AFW299" s="243"/>
      <c r="AFX299" s="243"/>
      <c r="AFY299" s="243"/>
      <c r="AFZ299" s="243"/>
      <c r="AGA299" s="243"/>
      <c r="AGB299" s="243"/>
      <c r="AGC299" s="243"/>
      <c r="AGD299" s="243"/>
      <c r="AGE299" s="243"/>
      <c r="AGF299" s="243"/>
      <c r="AGG299" s="243"/>
      <c r="AGH299" s="243"/>
      <c r="AGI299" s="243"/>
      <c r="AGJ299" s="243"/>
      <c r="AGK299" s="243"/>
      <c r="AGL299" s="243"/>
      <c r="AGM299" s="243"/>
      <c r="AGN299" s="243"/>
      <c r="AGO299" s="243"/>
      <c r="AGP299" s="243"/>
      <c r="AGQ299" s="243"/>
      <c r="AGR299" s="243"/>
      <c r="AGS299" s="243"/>
      <c r="AGT299" s="243"/>
      <c r="AGU299" s="243"/>
      <c r="AGV299" s="243"/>
      <c r="AGW299" s="243"/>
      <c r="AGX299" s="243"/>
      <c r="AGY299" s="243"/>
      <c r="AGZ299" s="243"/>
      <c r="AHA299" s="243"/>
      <c r="AHB299" s="243"/>
      <c r="AHC299" s="243"/>
      <c r="AHD299" s="243"/>
      <c r="AHE299" s="243"/>
      <c r="AHF299" s="243"/>
      <c r="AHG299" s="243"/>
      <c r="AHH299" s="243"/>
      <c r="AHI299" s="243"/>
      <c r="AHJ299" s="243"/>
      <c r="AHK299" s="243"/>
      <c r="AHL299" s="243"/>
      <c r="AHM299" s="243"/>
      <c r="AHN299" s="243"/>
      <c r="AHO299" s="243"/>
      <c r="AHP299" s="243"/>
      <c r="AHQ299" s="243"/>
      <c r="AHR299" s="243"/>
      <c r="AHS299" s="243"/>
      <c r="AHT299" s="243"/>
      <c r="AHU299" s="243"/>
      <c r="AHV299" s="243"/>
      <c r="AHW299" s="243"/>
      <c r="AHX299" s="243"/>
      <c r="AHY299" s="243"/>
      <c r="AHZ299" s="243"/>
      <c r="AIA299" s="243"/>
      <c r="AIB299" s="243"/>
      <c r="AIC299" s="243"/>
      <c r="AID299" s="243"/>
      <c r="AIE299" s="243"/>
      <c r="AIF299" s="243"/>
      <c r="AIG299" s="243"/>
      <c r="AIH299" s="243"/>
      <c r="AII299" s="243"/>
      <c r="AIJ299" s="243"/>
      <c r="AIK299" s="243"/>
      <c r="AIL299" s="243"/>
      <c r="AIM299" s="243"/>
      <c r="AIN299" s="243"/>
      <c r="AIO299" s="243"/>
      <c r="AIP299" s="243"/>
      <c r="AIQ299" s="243"/>
      <c r="AIR299" s="243"/>
      <c r="AIS299" s="243"/>
      <c r="AIT299" s="243"/>
      <c r="AIU299" s="243"/>
      <c r="AIV299" s="243"/>
      <c r="AIW299" s="243"/>
      <c r="AIX299" s="243"/>
      <c r="AIY299" s="243"/>
      <c r="AIZ299" s="243"/>
      <c r="AJA299" s="243"/>
      <c r="AJB299" s="243"/>
      <c r="AJC299" s="243"/>
      <c r="AJD299" s="243"/>
      <c r="AJE299" s="243"/>
      <c r="AJF299" s="243"/>
      <c r="AJG299" s="243"/>
      <c r="AJH299" s="243"/>
      <c r="AJI299" s="243"/>
      <c r="AJJ299" s="243"/>
      <c r="AJK299" s="243"/>
      <c r="AJL299" s="243"/>
      <c r="AJM299" s="243"/>
      <c r="AJN299" s="243"/>
      <c r="AJO299" s="243"/>
      <c r="AJP299" s="243"/>
      <c r="AJQ299" s="243"/>
      <c r="AJR299" s="243"/>
      <c r="AJS299" s="243"/>
      <c r="AJT299" s="243"/>
      <c r="AJU299" s="243"/>
      <c r="AJV299" s="243"/>
      <c r="AJW299" s="243"/>
      <c r="AJX299" s="243"/>
      <c r="AJY299" s="243"/>
      <c r="AJZ299" s="243"/>
      <c r="AKA299" s="243"/>
      <c r="AKB299" s="243"/>
      <c r="AKC299" s="243"/>
      <c r="AKD299" s="243"/>
      <c r="AKE299" s="243"/>
      <c r="AKF299" s="243"/>
      <c r="AKG299" s="243"/>
      <c r="AKH299" s="243"/>
      <c r="AKI299" s="243"/>
      <c r="AKJ299" s="243"/>
      <c r="AKK299" s="243"/>
      <c r="AKL299" s="243"/>
      <c r="AKM299" s="243"/>
      <c r="AKN299" s="243"/>
      <c r="AKO299" s="243"/>
      <c r="AKP299" s="243"/>
      <c r="AKQ299" s="243"/>
      <c r="AKR299" s="243"/>
      <c r="AKS299" s="243"/>
      <c r="AKT299" s="243"/>
      <c r="AKU299" s="243"/>
      <c r="AKV299" s="243"/>
      <c r="AKW299" s="243"/>
      <c r="AKX299" s="243"/>
      <c r="AKY299" s="243"/>
      <c r="AKZ299" s="243"/>
      <c r="ALA299" s="243"/>
      <c r="ALB299" s="243"/>
      <c r="ALC299" s="243"/>
      <c r="ALD299" s="243"/>
      <c r="ALE299" s="243"/>
      <c r="ALF299" s="243"/>
      <c r="ALG299" s="243"/>
      <c r="ALH299" s="243"/>
      <c r="ALI299" s="243"/>
      <c r="ALJ299" s="243"/>
      <c r="ALK299" s="243"/>
      <c r="ALL299" s="243"/>
      <c r="ALM299" s="243"/>
      <c r="ALN299" s="243"/>
      <c r="ALO299" s="243"/>
      <c r="ALP299" s="243"/>
      <c r="ALQ299" s="243"/>
      <c r="ALR299" s="243"/>
      <c r="ALS299" s="243"/>
      <c r="ALT299" s="243"/>
      <c r="ALU299" s="243"/>
      <c r="ALV299" s="243"/>
      <c r="ALW299" s="243"/>
      <c r="ALX299" s="243"/>
      <c r="ALY299" s="243"/>
      <c r="ALZ299" s="243"/>
      <c r="AMA299" s="243"/>
      <c r="AMB299" s="243"/>
      <c r="AMC299" s="243"/>
      <c r="AMD299" s="243"/>
      <c r="AME299" s="243"/>
      <c r="AMF299" s="243"/>
      <c r="AMG299" s="243"/>
      <c r="AMH299" s="243"/>
      <c r="AMI299" s="244"/>
      <c r="AMJ299" s="244"/>
    </row>
    <row r="300" spans="1:1024">
      <c r="A300" s="1039" t="s">
        <v>26</v>
      </c>
      <c r="B300" s="1039"/>
      <c r="C300" s="1039"/>
      <c r="D300" s="1039"/>
      <c r="E300" s="524">
        <f>SUM(E293:E299)</f>
        <v>13700000</v>
      </c>
      <c r="F300" s="525" t="s">
        <v>26</v>
      </c>
      <c r="G300" s="535">
        <f>SUM(G293:G299)</f>
        <v>797500</v>
      </c>
      <c r="H300" s="1040"/>
      <c r="I300" s="1040"/>
      <c r="J300" s="1040"/>
      <c r="K300" s="1040"/>
      <c r="L300" s="1040"/>
      <c r="M300" s="1040"/>
      <c r="N300" s="1041" t="s">
        <v>27</v>
      </c>
      <c r="O300" s="1041"/>
      <c r="P300" s="1041"/>
      <c r="Q300" s="533" t="e">
        <v>#REF!</v>
      </c>
      <c r="R300" s="243"/>
      <c r="S300" s="243"/>
      <c r="T300" s="243"/>
      <c r="U300" s="243"/>
      <c r="V300" s="243"/>
      <c r="W300" s="243"/>
      <c r="X300" s="243"/>
      <c r="Y300" s="243"/>
      <c r="Z300" s="243"/>
      <c r="AA300" s="243"/>
      <c r="AB300" s="243"/>
      <c r="AC300" s="243"/>
      <c r="AD300" s="243"/>
      <c r="AE300" s="243"/>
      <c r="AF300" s="243"/>
      <c r="AG300" s="243"/>
      <c r="AH300" s="243"/>
      <c r="AI300" s="243"/>
      <c r="AJ300" s="243"/>
      <c r="AK300" s="243"/>
      <c r="AL300" s="243"/>
      <c r="AM300" s="243"/>
      <c r="AN300" s="243"/>
      <c r="AO300" s="243"/>
      <c r="AP300" s="243"/>
      <c r="AQ300" s="243"/>
      <c r="AR300" s="243"/>
      <c r="AS300" s="243"/>
      <c r="AT300" s="243"/>
      <c r="AU300" s="243"/>
      <c r="AV300" s="243"/>
      <c r="AW300" s="243"/>
      <c r="AX300" s="243"/>
      <c r="AY300" s="243"/>
      <c r="AZ300" s="243"/>
      <c r="BA300" s="243"/>
      <c r="BB300" s="243"/>
      <c r="BC300" s="243"/>
      <c r="BD300" s="243"/>
      <c r="BE300" s="243"/>
      <c r="BF300" s="243"/>
      <c r="BG300" s="243"/>
      <c r="BH300" s="243"/>
      <c r="BI300" s="243"/>
      <c r="BJ300" s="243"/>
      <c r="BK300" s="243"/>
      <c r="BL300" s="243"/>
      <c r="BM300" s="243"/>
      <c r="BN300" s="243"/>
      <c r="BO300" s="243"/>
      <c r="BP300" s="243"/>
      <c r="BQ300" s="243"/>
      <c r="BR300" s="243"/>
      <c r="BS300" s="243"/>
      <c r="BT300" s="243"/>
      <c r="BU300" s="243"/>
      <c r="BV300" s="243"/>
      <c r="BW300" s="243"/>
      <c r="BX300" s="243"/>
      <c r="BY300" s="243"/>
      <c r="BZ300" s="243"/>
      <c r="CA300" s="243"/>
      <c r="CB300" s="243"/>
      <c r="CC300" s="243"/>
      <c r="CD300" s="243"/>
      <c r="CE300" s="243"/>
      <c r="CF300" s="243"/>
      <c r="CG300" s="243"/>
      <c r="CH300" s="243"/>
      <c r="CI300" s="243"/>
      <c r="CJ300" s="243"/>
      <c r="CK300" s="243"/>
      <c r="CL300" s="243"/>
      <c r="CM300" s="243"/>
      <c r="CN300" s="243"/>
      <c r="CO300" s="243"/>
      <c r="CP300" s="243"/>
      <c r="CQ300" s="243"/>
      <c r="CR300" s="243"/>
      <c r="CS300" s="243"/>
      <c r="CT300" s="243"/>
      <c r="CU300" s="243"/>
      <c r="CV300" s="243"/>
      <c r="CW300" s="243"/>
      <c r="CX300" s="243"/>
      <c r="CY300" s="243"/>
      <c r="CZ300" s="243"/>
      <c r="DA300" s="243"/>
      <c r="DB300" s="243"/>
      <c r="DC300" s="243"/>
      <c r="DD300" s="243"/>
      <c r="DE300" s="243"/>
      <c r="DF300" s="243"/>
      <c r="DG300" s="243"/>
      <c r="DH300" s="243"/>
      <c r="DI300" s="243"/>
      <c r="DJ300" s="243"/>
      <c r="DK300" s="243"/>
      <c r="DL300" s="243"/>
      <c r="DM300" s="243"/>
      <c r="DN300" s="243"/>
      <c r="DO300" s="243"/>
      <c r="DP300" s="243"/>
      <c r="DQ300" s="243"/>
      <c r="DR300" s="243"/>
      <c r="DS300" s="243"/>
      <c r="DT300" s="243"/>
      <c r="DU300" s="243"/>
      <c r="DV300" s="243"/>
      <c r="DW300" s="243"/>
      <c r="DX300" s="243"/>
      <c r="DY300" s="243"/>
      <c r="DZ300" s="243"/>
      <c r="EA300" s="243"/>
      <c r="EB300" s="243"/>
      <c r="EC300" s="243"/>
      <c r="ED300" s="243"/>
      <c r="EE300" s="243"/>
      <c r="EF300" s="243"/>
      <c r="EG300" s="243"/>
      <c r="EH300" s="243"/>
      <c r="EI300" s="243"/>
      <c r="EJ300" s="243"/>
      <c r="EK300" s="243"/>
      <c r="EL300" s="243"/>
      <c r="EM300" s="243"/>
      <c r="EN300" s="243"/>
      <c r="EO300" s="243"/>
      <c r="EP300" s="243"/>
      <c r="EQ300" s="243"/>
      <c r="ER300" s="243"/>
      <c r="ES300" s="243"/>
      <c r="ET300" s="243"/>
      <c r="EU300" s="243"/>
      <c r="EV300" s="243"/>
      <c r="EW300" s="243"/>
      <c r="EX300" s="243"/>
      <c r="EY300" s="243"/>
      <c r="EZ300" s="243"/>
      <c r="FA300" s="243"/>
      <c r="FB300" s="243"/>
      <c r="FC300" s="243"/>
      <c r="FD300" s="243"/>
      <c r="FE300" s="243"/>
      <c r="FF300" s="243"/>
      <c r="FG300" s="243"/>
      <c r="FH300" s="243"/>
      <c r="FI300" s="243"/>
      <c r="FJ300" s="243"/>
      <c r="FK300" s="243"/>
      <c r="FL300" s="243"/>
      <c r="FM300" s="243"/>
      <c r="FN300" s="243"/>
      <c r="FO300" s="243"/>
      <c r="FP300" s="243"/>
      <c r="FQ300" s="243"/>
      <c r="FR300" s="243"/>
      <c r="FS300" s="243"/>
      <c r="FT300" s="243"/>
      <c r="FU300" s="243"/>
      <c r="FV300" s="243"/>
      <c r="FW300" s="243"/>
      <c r="FX300" s="243"/>
      <c r="FY300" s="243"/>
      <c r="FZ300" s="243"/>
      <c r="GA300" s="243"/>
      <c r="GB300" s="243"/>
      <c r="GC300" s="243"/>
      <c r="GD300" s="243"/>
      <c r="GE300" s="243"/>
      <c r="GF300" s="243"/>
      <c r="GG300" s="243"/>
      <c r="GH300" s="243"/>
      <c r="GI300" s="243"/>
      <c r="GJ300" s="243"/>
      <c r="GK300" s="243"/>
      <c r="GL300" s="243"/>
      <c r="GM300" s="243"/>
      <c r="GN300" s="243"/>
      <c r="GO300" s="243"/>
      <c r="GP300" s="243"/>
      <c r="GQ300" s="243"/>
      <c r="GR300" s="243"/>
      <c r="GS300" s="243"/>
      <c r="GT300" s="243"/>
      <c r="GU300" s="243"/>
      <c r="GV300" s="243"/>
      <c r="GW300" s="243"/>
      <c r="GX300" s="243"/>
      <c r="GY300" s="243"/>
      <c r="GZ300" s="243"/>
      <c r="HA300" s="243"/>
      <c r="HB300" s="243"/>
      <c r="HC300" s="243"/>
      <c r="HD300" s="243"/>
      <c r="HE300" s="243"/>
      <c r="HF300" s="243"/>
      <c r="HG300" s="243"/>
      <c r="HH300" s="243"/>
      <c r="HI300" s="243"/>
      <c r="HJ300" s="243"/>
      <c r="HK300" s="243"/>
      <c r="HL300" s="243"/>
      <c r="HM300" s="243"/>
      <c r="HN300" s="243"/>
      <c r="HO300" s="243"/>
      <c r="HP300" s="243"/>
      <c r="HQ300" s="243"/>
      <c r="HR300" s="243"/>
      <c r="HS300" s="243"/>
      <c r="HT300" s="243"/>
      <c r="HU300" s="243"/>
      <c r="HV300" s="243"/>
      <c r="HW300" s="243"/>
      <c r="HX300" s="243"/>
      <c r="HY300" s="243"/>
      <c r="HZ300" s="243"/>
      <c r="IA300" s="243"/>
      <c r="IB300" s="243"/>
      <c r="IC300" s="243"/>
      <c r="ID300" s="243"/>
      <c r="IE300" s="243"/>
      <c r="IF300" s="243"/>
      <c r="IG300" s="243"/>
      <c r="IH300" s="243"/>
      <c r="II300" s="243"/>
      <c r="IJ300" s="243"/>
      <c r="IK300" s="243"/>
      <c r="IL300" s="243"/>
      <c r="IM300" s="243"/>
      <c r="IN300" s="243"/>
      <c r="IO300" s="243"/>
      <c r="IP300" s="243"/>
      <c r="IQ300" s="243"/>
      <c r="IR300" s="243"/>
      <c r="IS300" s="243"/>
      <c r="IT300" s="243"/>
      <c r="IU300" s="243"/>
      <c r="IV300" s="243"/>
      <c r="IW300" s="243"/>
      <c r="IX300" s="243"/>
      <c r="IY300" s="243"/>
      <c r="IZ300" s="243"/>
      <c r="JA300" s="243"/>
      <c r="JB300" s="243"/>
      <c r="JC300" s="243"/>
      <c r="JD300" s="243"/>
      <c r="JE300" s="243"/>
      <c r="JF300" s="243"/>
      <c r="JG300" s="243"/>
      <c r="JH300" s="243"/>
      <c r="JI300" s="243"/>
      <c r="JJ300" s="243"/>
      <c r="JK300" s="243"/>
      <c r="JL300" s="243"/>
      <c r="JM300" s="243"/>
      <c r="JN300" s="243"/>
      <c r="JO300" s="243"/>
      <c r="JP300" s="243"/>
      <c r="JQ300" s="243"/>
      <c r="JR300" s="243"/>
      <c r="JS300" s="243"/>
      <c r="JT300" s="243"/>
      <c r="JU300" s="243"/>
      <c r="JV300" s="243"/>
      <c r="JW300" s="243"/>
      <c r="JX300" s="243"/>
      <c r="JY300" s="243"/>
      <c r="JZ300" s="243"/>
      <c r="KA300" s="243"/>
      <c r="KB300" s="243"/>
      <c r="KC300" s="243"/>
      <c r="KD300" s="243"/>
      <c r="KE300" s="243"/>
      <c r="KF300" s="243"/>
      <c r="KG300" s="243"/>
      <c r="KH300" s="243"/>
      <c r="KI300" s="243"/>
      <c r="KJ300" s="243"/>
      <c r="KK300" s="243"/>
      <c r="KL300" s="243"/>
      <c r="KM300" s="243"/>
      <c r="KN300" s="243"/>
      <c r="KO300" s="243"/>
      <c r="KP300" s="243"/>
      <c r="KQ300" s="243"/>
      <c r="KR300" s="243"/>
      <c r="KS300" s="243"/>
      <c r="KT300" s="243"/>
      <c r="KU300" s="243"/>
      <c r="KV300" s="243"/>
      <c r="KW300" s="243"/>
      <c r="KX300" s="243"/>
      <c r="KY300" s="243"/>
      <c r="KZ300" s="243"/>
      <c r="LA300" s="243"/>
      <c r="LB300" s="243"/>
      <c r="LC300" s="243"/>
      <c r="LD300" s="243"/>
      <c r="LE300" s="243"/>
      <c r="LF300" s="243"/>
      <c r="LG300" s="243"/>
      <c r="LH300" s="243"/>
      <c r="LI300" s="243"/>
      <c r="LJ300" s="243"/>
      <c r="LK300" s="243"/>
      <c r="LL300" s="243"/>
      <c r="LM300" s="243"/>
      <c r="LN300" s="243"/>
      <c r="LO300" s="243"/>
      <c r="LP300" s="243"/>
      <c r="LQ300" s="243"/>
      <c r="LR300" s="243"/>
      <c r="LS300" s="243"/>
      <c r="LT300" s="243"/>
      <c r="LU300" s="243"/>
      <c r="LV300" s="243"/>
      <c r="LW300" s="243"/>
      <c r="LX300" s="243"/>
      <c r="LY300" s="243"/>
      <c r="LZ300" s="243"/>
      <c r="MA300" s="243"/>
      <c r="MB300" s="243"/>
      <c r="MC300" s="243"/>
      <c r="MD300" s="243"/>
      <c r="ME300" s="243"/>
      <c r="MF300" s="243"/>
      <c r="MG300" s="243"/>
      <c r="MH300" s="243"/>
      <c r="MI300" s="243"/>
      <c r="MJ300" s="243"/>
      <c r="MK300" s="243"/>
      <c r="ML300" s="243"/>
      <c r="MM300" s="243"/>
      <c r="MN300" s="243"/>
      <c r="MO300" s="243"/>
      <c r="MP300" s="243"/>
      <c r="MQ300" s="243"/>
      <c r="MR300" s="243"/>
      <c r="MS300" s="243"/>
      <c r="MT300" s="243"/>
      <c r="MU300" s="243"/>
      <c r="MV300" s="243"/>
      <c r="MW300" s="243"/>
      <c r="MX300" s="243"/>
      <c r="MY300" s="243"/>
      <c r="MZ300" s="243"/>
      <c r="NA300" s="243"/>
      <c r="NB300" s="243"/>
      <c r="NC300" s="243"/>
      <c r="ND300" s="243"/>
      <c r="NE300" s="243"/>
      <c r="NF300" s="243"/>
      <c r="NG300" s="243"/>
      <c r="NH300" s="243"/>
      <c r="NI300" s="243"/>
      <c r="NJ300" s="243"/>
      <c r="NK300" s="243"/>
      <c r="NL300" s="243"/>
      <c r="NM300" s="243"/>
      <c r="NN300" s="243"/>
      <c r="NO300" s="243"/>
      <c r="NP300" s="243"/>
      <c r="NQ300" s="243"/>
      <c r="NR300" s="243"/>
      <c r="NS300" s="243"/>
      <c r="NT300" s="243"/>
      <c r="NU300" s="243"/>
      <c r="NV300" s="243"/>
      <c r="NW300" s="243"/>
      <c r="NX300" s="243"/>
      <c r="NY300" s="243"/>
      <c r="NZ300" s="243"/>
      <c r="OA300" s="243"/>
      <c r="OB300" s="243"/>
      <c r="OC300" s="243"/>
      <c r="OD300" s="243"/>
      <c r="OE300" s="243"/>
      <c r="OF300" s="243"/>
      <c r="OG300" s="243"/>
      <c r="OH300" s="243"/>
      <c r="OI300" s="243"/>
      <c r="OJ300" s="243"/>
      <c r="OK300" s="243"/>
      <c r="OL300" s="243"/>
      <c r="OM300" s="243"/>
      <c r="ON300" s="243"/>
      <c r="OO300" s="243"/>
      <c r="OP300" s="243"/>
      <c r="OQ300" s="243"/>
      <c r="OR300" s="243"/>
      <c r="OS300" s="243"/>
      <c r="OT300" s="243"/>
      <c r="OU300" s="243"/>
      <c r="OV300" s="243"/>
      <c r="OW300" s="243"/>
      <c r="OX300" s="243"/>
      <c r="OY300" s="243"/>
      <c r="OZ300" s="243"/>
      <c r="PA300" s="243"/>
      <c r="PB300" s="243"/>
      <c r="PC300" s="243"/>
      <c r="PD300" s="243"/>
      <c r="PE300" s="243"/>
      <c r="PF300" s="243"/>
      <c r="PG300" s="243"/>
      <c r="PH300" s="243"/>
      <c r="PI300" s="243"/>
      <c r="PJ300" s="243"/>
      <c r="PK300" s="243"/>
      <c r="PL300" s="243"/>
      <c r="PM300" s="243"/>
      <c r="PN300" s="243"/>
      <c r="PO300" s="243"/>
      <c r="PP300" s="243"/>
      <c r="PQ300" s="243"/>
      <c r="PR300" s="243"/>
      <c r="PS300" s="243"/>
      <c r="PT300" s="243"/>
      <c r="PU300" s="243"/>
      <c r="PV300" s="243"/>
      <c r="PW300" s="243"/>
      <c r="PX300" s="243"/>
      <c r="PY300" s="243"/>
      <c r="PZ300" s="243"/>
      <c r="QA300" s="243"/>
      <c r="QB300" s="243"/>
      <c r="QC300" s="243"/>
      <c r="QD300" s="243"/>
      <c r="QE300" s="243"/>
      <c r="QF300" s="243"/>
      <c r="QG300" s="243"/>
      <c r="QH300" s="243"/>
      <c r="QI300" s="243"/>
      <c r="QJ300" s="243"/>
      <c r="QK300" s="243"/>
      <c r="QL300" s="243"/>
      <c r="QM300" s="243"/>
      <c r="QN300" s="243"/>
      <c r="QO300" s="243"/>
      <c r="QP300" s="243"/>
      <c r="QQ300" s="243"/>
      <c r="QR300" s="243"/>
      <c r="QS300" s="243"/>
      <c r="QT300" s="243"/>
      <c r="QU300" s="243"/>
      <c r="QV300" s="243"/>
      <c r="QW300" s="243"/>
      <c r="QX300" s="243"/>
      <c r="QY300" s="243"/>
      <c r="QZ300" s="243"/>
      <c r="RA300" s="243"/>
      <c r="RB300" s="243"/>
      <c r="RC300" s="243"/>
      <c r="RD300" s="243"/>
      <c r="RE300" s="243"/>
      <c r="RF300" s="243"/>
      <c r="RG300" s="243"/>
      <c r="RH300" s="243"/>
      <c r="RI300" s="243"/>
      <c r="RJ300" s="243"/>
      <c r="RK300" s="243"/>
      <c r="RL300" s="243"/>
      <c r="RM300" s="243"/>
      <c r="RN300" s="243"/>
      <c r="RO300" s="243"/>
      <c r="RP300" s="243"/>
      <c r="RQ300" s="243"/>
      <c r="RR300" s="243"/>
      <c r="RS300" s="243"/>
      <c r="RT300" s="243"/>
      <c r="RU300" s="243"/>
      <c r="RV300" s="243"/>
      <c r="RW300" s="243"/>
      <c r="RX300" s="243"/>
      <c r="RY300" s="243"/>
      <c r="RZ300" s="243"/>
      <c r="SA300" s="243"/>
      <c r="SB300" s="243"/>
      <c r="SC300" s="243"/>
      <c r="SD300" s="243"/>
      <c r="SE300" s="243"/>
      <c r="SF300" s="243"/>
      <c r="SG300" s="243"/>
      <c r="SH300" s="243"/>
      <c r="SI300" s="243"/>
      <c r="SJ300" s="243"/>
      <c r="SK300" s="243"/>
      <c r="SL300" s="243"/>
      <c r="SM300" s="243"/>
      <c r="SN300" s="243"/>
      <c r="SO300" s="243"/>
      <c r="SP300" s="243"/>
      <c r="SQ300" s="243"/>
      <c r="SR300" s="243"/>
      <c r="SS300" s="243"/>
      <c r="ST300" s="243"/>
      <c r="SU300" s="243"/>
      <c r="SV300" s="243"/>
      <c r="SW300" s="243"/>
      <c r="SX300" s="243"/>
      <c r="SY300" s="243"/>
      <c r="SZ300" s="243"/>
      <c r="TA300" s="243"/>
      <c r="TB300" s="243"/>
      <c r="TC300" s="243"/>
      <c r="TD300" s="243"/>
      <c r="TE300" s="243"/>
      <c r="TF300" s="243"/>
      <c r="TG300" s="243"/>
      <c r="TH300" s="243"/>
      <c r="TI300" s="243"/>
      <c r="TJ300" s="243"/>
      <c r="TK300" s="243"/>
      <c r="TL300" s="243"/>
      <c r="TM300" s="243"/>
      <c r="TN300" s="243"/>
      <c r="TO300" s="243"/>
      <c r="TP300" s="243"/>
      <c r="TQ300" s="243"/>
      <c r="TR300" s="243"/>
      <c r="TS300" s="243"/>
      <c r="TT300" s="243"/>
      <c r="TU300" s="243"/>
      <c r="TV300" s="243"/>
      <c r="TW300" s="243"/>
      <c r="TX300" s="243"/>
      <c r="TY300" s="243"/>
      <c r="TZ300" s="243"/>
      <c r="UA300" s="243"/>
      <c r="UB300" s="243"/>
      <c r="UC300" s="243"/>
      <c r="UD300" s="243"/>
      <c r="UE300" s="243"/>
      <c r="UF300" s="243"/>
      <c r="UG300" s="243"/>
      <c r="UH300" s="243"/>
      <c r="UI300" s="243"/>
      <c r="UJ300" s="243"/>
      <c r="UK300" s="243"/>
      <c r="UL300" s="243"/>
      <c r="UM300" s="243"/>
      <c r="UN300" s="243"/>
      <c r="UO300" s="243"/>
      <c r="UP300" s="243"/>
      <c r="UQ300" s="243"/>
      <c r="UR300" s="243"/>
      <c r="US300" s="243"/>
      <c r="UT300" s="243"/>
      <c r="UU300" s="243"/>
      <c r="UV300" s="243"/>
      <c r="UW300" s="243"/>
      <c r="UX300" s="243"/>
      <c r="UY300" s="243"/>
      <c r="UZ300" s="243"/>
      <c r="VA300" s="243"/>
      <c r="VB300" s="243"/>
      <c r="VC300" s="243"/>
      <c r="VD300" s="243"/>
      <c r="VE300" s="243"/>
      <c r="VF300" s="243"/>
      <c r="VG300" s="243"/>
      <c r="VH300" s="243"/>
      <c r="VI300" s="243"/>
      <c r="VJ300" s="243"/>
      <c r="VK300" s="243"/>
      <c r="VL300" s="243"/>
      <c r="VM300" s="243"/>
      <c r="VN300" s="243"/>
      <c r="VO300" s="243"/>
      <c r="VP300" s="243"/>
      <c r="VQ300" s="243"/>
      <c r="VR300" s="243"/>
      <c r="VS300" s="243"/>
      <c r="VT300" s="243"/>
      <c r="VU300" s="243"/>
      <c r="VV300" s="243"/>
      <c r="VW300" s="243"/>
      <c r="VX300" s="243"/>
      <c r="VY300" s="243"/>
      <c r="VZ300" s="243"/>
      <c r="WA300" s="243"/>
      <c r="WB300" s="243"/>
      <c r="WC300" s="243"/>
      <c r="WD300" s="243"/>
      <c r="WE300" s="243"/>
      <c r="WF300" s="243"/>
      <c r="WG300" s="243"/>
      <c r="WH300" s="243"/>
      <c r="WI300" s="243"/>
      <c r="WJ300" s="243"/>
      <c r="WK300" s="243"/>
      <c r="WL300" s="243"/>
      <c r="WM300" s="243"/>
      <c r="WN300" s="243"/>
      <c r="WO300" s="243"/>
      <c r="WP300" s="243"/>
      <c r="WQ300" s="243"/>
      <c r="WR300" s="243"/>
      <c r="WS300" s="243"/>
      <c r="WT300" s="243"/>
      <c r="WU300" s="243"/>
      <c r="WV300" s="243"/>
      <c r="WW300" s="243"/>
      <c r="WX300" s="243"/>
      <c r="WY300" s="243"/>
      <c r="WZ300" s="243"/>
      <c r="XA300" s="243"/>
      <c r="XB300" s="243"/>
      <c r="XC300" s="243"/>
      <c r="XD300" s="243"/>
      <c r="XE300" s="243"/>
      <c r="XF300" s="243"/>
      <c r="XG300" s="243"/>
      <c r="XH300" s="243"/>
      <c r="XI300" s="243"/>
      <c r="XJ300" s="243"/>
      <c r="XK300" s="243"/>
      <c r="XL300" s="243"/>
      <c r="XM300" s="243"/>
      <c r="XN300" s="243"/>
      <c r="XO300" s="243"/>
      <c r="XP300" s="243"/>
      <c r="XQ300" s="243"/>
      <c r="XR300" s="243"/>
      <c r="XS300" s="243"/>
      <c r="XT300" s="243"/>
      <c r="XU300" s="243"/>
      <c r="XV300" s="243"/>
      <c r="XW300" s="243"/>
      <c r="XX300" s="243"/>
      <c r="XY300" s="243"/>
      <c r="XZ300" s="243"/>
      <c r="YA300" s="243"/>
      <c r="YB300" s="243"/>
      <c r="YC300" s="243"/>
      <c r="YD300" s="243"/>
      <c r="YE300" s="243"/>
      <c r="YF300" s="243"/>
      <c r="YG300" s="243"/>
      <c r="YH300" s="243"/>
      <c r="YI300" s="243"/>
      <c r="YJ300" s="243"/>
      <c r="YK300" s="243"/>
      <c r="YL300" s="243"/>
      <c r="YM300" s="243"/>
      <c r="YN300" s="243"/>
      <c r="YO300" s="243"/>
      <c r="YP300" s="243"/>
      <c r="YQ300" s="243"/>
      <c r="YR300" s="243"/>
      <c r="YS300" s="243"/>
      <c r="YT300" s="243"/>
      <c r="YU300" s="243"/>
      <c r="YV300" s="243"/>
      <c r="YW300" s="243"/>
      <c r="YX300" s="243"/>
      <c r="YY300" s="243"/>
      <c r="YZ300" s="243"/>
      <c r="ZA300" s="243"/>
      <c r="ZB300" s="243"/>
      <c r="ZC300" s="243"/>
      <c r="ZD300" s="243"/>
      <c r="ZE300" s="243"/>
      <c r="ZF300" s="243"/>
      <c r="ZG300" s="243"/>
      <c r="ZH300" s="243"/>
      <c r="ZI300" s="243"/>
      <c r="ZJ300" s="243"/>
      <c r="ZK300" s="243"/>
      <c r="ZL300" s="243"/>
      <c r="ZM300" s="243"/>
      <c r="ZN300" s="243"/>
      <c r="ZO300" s="243"/>
      <c r="ZP300" s="243"/>
      <c r="ZQ300" s="243"/>
      <c r="ZR300" s="243"/>
      <c r="ZS300" s="243"/>
      <c r="ZT300" s="243"/>
      <c r="ZU300" s="243"/>
      <c r="ZV300" s="243"/>
      <c r="ZW300" s="243"/>
      <c r="ZX300" s="243"/>
      <c r="ZY300" s="243"/>
      <c r="ZZ300" s="243"/>
      <c r="AAA300" s="243"/>
      <c r="AAB300" s="243"/>
      <c r="AAC300" s="243"/>
      <c r="AAD300" s="243"/>
      <c r="AAE300" s="243"/>
      <c r="AAF300" s="243"/>
      <c r="AAG300" s="243"/>
      <c r="AAH300" s="243"/>
      <c r="AAI300" s="243"/>
      <c r="AAJ300" s="243"/>
      <c r="AAK300" s="243"/>
      <c r="AAL300" s="243"/>
      <c r="AAM300" s="243"/>
      <c r="AAN300" s="243"/>
      <c r="AAO300" s="243"/>
      <c r="AAP300" s="243"/>
      <c r="AAQ300" s="243"/>
      <c r="AAR300" s="243"/>
      <c r="AAS300" s="243"/>
      <c r="AAT300" s="243"/>
      <c r="AAU300" s="243"/>
      <c r="AAV300" s="243"/>
      <c r="AAW300" s="243"/>
      <c r="AAX300" s="243"/>
      <c r="AAY300" s="243"/>
      <c r="AAZ300" s="243"/>
      <c r="ABA300" s="243"/>
      <c r="ABB300" s="243"/>
      <c r="ABC300" s="243"/>
      <c r="ABD300" s="243"/>
      <c r="ABE300" s="243"/>
      <c r="ABF300" s="243"/>
      <c r="ABG300" s="243"/>
      <c r="ABH300" s="243"/>
      <c r="ABI300" s="243"/>
      <c r="ABJ300" s="243"/>
      <c r="ABK300" s="243"/>
      <c r="ABL300" s="243"/>
      <c r="ABM300" s="243"/>
      <c r="ABN300" s="243"/>
      <c r="ABO300" s="243"/>
      <c r="ABP300" s="243"/>
      <c r="ABQ300" s="243"/>
      <c r="ABR300" s="243"/>
      <c r="ABS300" s="243"/>
      <c r="ABT300" s="243"/>
      <c r="ABU300" s="243"/>
      <c r="ABV300" s="243"/>
      <c r="ABW300" s="243"/>
      <c r="ABX300" s="243"/>
      <c r="ABY300" s="243"/>
      <c r="ABZ300" s="243"/>
      <c r="ACA300" s="243"/>
      <c r="ACB300" s="243"/>
      <c r="ACC300" s="243"/>
      <c r="ACD300" s="243"/>
      <c r="ACE300" s="243"/>
      <c r="ACF300" s="243"/>
      <c r="ACG300" s="243"/>
      <c r="ACH300" s="243"/>
      <c r="ACI300" s="243"/>
      <c r="ACJ300" s="243"/>
      <c r="ACK300" s="243"/>
      <c r="ACL300" s="243"/>
      <c r="ACM300" s="243"/>
      <c r="ACN300" s="243"/>
      <c r="ACO300" s="243"/>
      <c r="ACP300" s="243"/>
      <c r="ACQ300" s="243"/>
      <c r="ACR300" s="243"/>
      <c r="ACS300" s="243"/>
      <c r="ACT300" s="243"/>
      <c r="ACU300" s="243"/>
      <c r="ACV300" s="243"/>
      <c r="ACW300" s="243"/>
      <c r="ACX300" s="243"/>
      <c r="ACY300" s="243"/>
      <c r="ACZ300" s="243"/>
      <c r="ADA300" s="243"/>
      <c r="ADB300" s="243"/>
      <c r="ADC300" s="243"/>
      <c r="ADD300" s="243"/>
      <c r="ADE300" s="243"/>
      <c r="ADF300" s="243"/>
      <c r="ADG300" s="243"/>
      <c r="ADH300" s="243"/>
      <c r="ADI300" s="243"/>
      <c r="ADJ300" s="243"/>
      <c r="ADK300" s="243"/>
      <c r="ADL300" s="243"/>
      <c r="ADM300" s="243"/>
      <c r="ADN300" s="243"/>
      <c r="ADO300" s="243"/>
      <c r="ADP300" s="243"/>
      <c r="ADQ300" s="243"/>
      <c r="ADR300" s="243"/>
      <c r="ADS300" s="243"/>
      <c r="ADT300" s="243"/>
      <c r="ADU300" s="243"/>
      <c r="ADV300" s="243"/>
      <c r="ADW300" s="243"/>
      <c r="ADX300" s="243"/>
      <c r="ADY300" s="243"/>
      <c r="ADZ300" s="243"/>
      <c r="AEA300" s="243"/>
      <c r="AEB300" s="243"/>
      <c r="AEC300" s="243"/>
      <c r="AED300" s="243"/>
      <c r="AEE300" s="243"/>
      <c r="AEF300" s="243"/>
      <c r="AEG300" s="243"/>
      <c r="AEH300" s="243"/>
      <c r="AEI300" s="243"/>
      <c r="AEJ300" s="243"/>
      <c r="AEK300" s="243"/>
      <c r="AEL300" s="243"/>
      <c r="AEM300" s="243"/>
      <c r="AEN300" s="243"/>
      <c r="AEO300" s="243"/>
      <c r="AEP300" s="243"/>
      <c r="AEQ300" s="243"/>
      <c r="AER300" s="243"/>
      <c r="AES300" s="243"/>
      <c r="AET300" s="243"/>
      <c r="AEU300" s="243"/>
      <c r="AEV300" s="243"/>
      <c r="AEW300" s="243"/>
      <c r="AEX300" s="243"/>
      <c r="AEY300" s="243"/>
      <c r="AEZ300" s="243"/>
      <c r="AFA300" s="243"/>
      <c r="AFB300" s="243"/>
      <c r="AFC300" s="243"/>
      <c r="AFD300" s="243"/>
      <c r="AFE300" s="243"/>
      <c r="AFF300" s="243"/>
      <c r="AFG300" s="243"/>
      <c r="AFH300" s="243"/>
      <c r="AFI300" s="243"/>
      <c r="AFJ300" s="243"/>
      <c r="AFK300" s="243"/>
      <c r="AFL300" s="243"/>
      <c r="AFM300" s="243"/>
      <c r="AFN300" s="243"/>
      <c r="AFO300" s="243"/>
      <c r="AFP300" s="243"/>
      <c r="AFQ300" s="243"/>
      <c r="AFR300" s="243"/>
      <c r="AFS300" s="243"/>
      <c r="AFT300" s="243"/>
      <c r="AFU300" s="243"/>
      <c r="AFV300" s="243"/>
      <c r="AFW300" s="243"/>
      <c r="AFX300" s="243"/>
      <c r="AFY300" s="243"/>
      <c r="AFZ300" s="243"/>
      <c r="AGA300" s="243"/>
      <c r="AGB300" s="243"/>
      <c r="AGC300" s="243"/>
      <c r="AGD300" s="243"/>
      <c r="AGE300" s="243"/>
      <c r="AGF300" s="243"/>
      <c r="AGG300" s="243"/>
      <c r="AGH300" s="243"/>
      <c r="AGI300" s="243"/>
      <c r="AGJ300" s="243"/>
      <c r="AGK300" s="243"/>
      <c r="AGL300" s="243"/>
      <c r="AGM300" s="243"/>
      <c r="AGN300" s="243"/>
      <c r="AGO300" s="243"/>
      <c r="AGP300" s="243"/>
      <c r="AGQ300" s="243"/>
      <c r="AGR300" s="243"/>
      <c r="AGS300" s="243"/>
      <c r="AGT300" s="243"/>
      <c r="AGU300" s="243"/>
      <c r="AGV300" s="243"/>
      <c r="AGW300" s="243"/>
      <c r="AGX300" s="243"/>
      <c r="AGY300" s="243"/>
      <c r="AGZ300" s="243"/>
      <c r="AHA300" s="243"/>
      <c r="AHB300" s="243"/>
      <c r="AHC300" s="243"/>
      <c r="AHD300" s="243"/>
      <c r="AHE300" s="243"/>
      <c r="AHF300" s="243"/>
      <c r="AHG300" s="243"/>
      <c r="AHH300" s="243"/>
      <c r="AHI300" s="243"/>
      <c r="AHJ300" s="243"/>
      <c r="AHK300" s="243"/>
      <c r="AHL300" s="243"/>
      <c r="AHM300" s="243"/>
      <c r="AHN300" s="243"/>
      <c r="AHO300" s="243"/>
      <c r="AHP300" s="243"/>
      <c r="AHQ300" s="243"/>
      <c r="AHR300" s="243"/>
      <c r="AHS300" s="243"/>
      <c r="AHT300" s="243"/>
      <c r="AHU300" s="243"/>
      <c r="AHV300" s="243"/>
      <c r="AHW300" s="243"/>
      <c r="AHX300" s="243"/>
      <c r="AHY300" s="243"/>
      <c r="AHZ300" s="243"/>
      <c r="AIA300" s="243"/>
      <c r="AIB300" s="243"/>
      <c r="AIC300" s="243"/>
      <c r="AID300" s="243"/>
      <c r="AIE300" s="243"/>
      <c r="AIF300" s="243"/>
      <c r="AIG300" s="243"/>
      <c r="AIH300" s="243"/>
      <c r="AII300" s="243"/>
      <c r="AIJ300" s="243"/>
      <c r="AIK300" s="243"/>
      <c r="AIL300" s="243"/>
      <c r="AIM300" s="243"/>
      <c r="AIN300" s="243"/>
      <c r="AIO300" s="243"/>
      <c r="AIP300" s="243"/>
      <c r="AIQ300" s="243"/>
      <c r="AIR300" s="243"/>
      <c r="AIS300" s="243"/>
      <c r="AIT300" s="243"/>
      <c r="AIU300" s="243"/>
      <c r="AIV300" s="243"/>
      <c r="AIW300" s="243"/>
      <c r="AIX300" s="243"/>
      <c r="AIY300" s="243"/>
      <c r="AIZ300" s="243"/>
      <c r="AJA300" s="243"/>
      <c r="AJB300" s="243"/>
      <c r="AJC300" s="243"/>
      <c r="AJD300" s="243"/>
      <c r="AJE300" s="243"/>
      <c r="AJF300" s="243"/>
      <c r="AJG300" s="243"/>
      <c r="AJH300" s="243"/>
      <c r="AJI300" s="243"/>
      <c r="AJJ300" s="243"/>
      <c r="AJK300" s="243"/>
      <c r="AJL300" s="243"/>
      <c r="AJM300" s="243"/>
      <c r="AJN300" s="243"/>
      <c r="AJO300" s="243"/>
      <c r="AJP300" s="243"/>
      <c r="AJQ300" s="243"/>
      <c r="AJR300" s="243"/>
      <c r="AJS300" s="243"/>
      <c r="AJT300" s="243"/>
      <c r="AJU300" s="243"/>
      <c r="AJV300" s="243"/>
      <c r="AJW300" s="243"/>
      <c r="AJX300" s="243"/>
      <c r="AJY300" s="243"/>
      <c r="AJZ300" s="243"/>
      <c r="AKA300" s="243"/>
      <c r="AKB300" s="243"/>
      <c r="AKC300" s="243"/>
      <c r="AKD300" s="243"/>
      <c r="AKE300" s="243"/>
      <c r="AKF300" s="243"/>
      <c r="AKG300" s="243"/>
      <c r="AKH300" s="243"/>
      <c r="AKI300" s="243"/>
      <c r="AKJ300" s="243"/>
      <c r="AKK300" s="243"/>
      <c r="AKL300" s="243"/>
      <c r="AKM300" s="243"/>
      <c r="AKN300" s="243"/>
      <c r="AKO300" s="243"/>
      <c r="AKP300" s="243"/>
      <c r="AKQ300" s="243"/>
      <c r="AKR300" s="243"/>
      <c r="AKS300" s="243"/>
      <c r="AKT300" s="243"/>
      <c r="AKU300" s="243"/>
      <c r="AKV300" s="243"/>
      <c r="AKW300" s="243"/>
      <c r="AKX300" s="243"/>
      <c r="AKY300" s="243"/>
      <c r="AKZ300" s="243"/>
      <c r="ALA300" s="243"/>
      <c r="ALB300" s="243"/>
      <c r="ALC300" s="243"/>
      <c r="ALD300" s="243"/>
      <c r="ALE300" s="243"/>
      <c r="ALF300" s="243"/>
      <c r="ALG300" s="243"/>
      <c r="ALH300" s="243"/>
      <c r="ALI300" s="243"/>
      <c r="ALJ300" s="243"/>
      <c r="ALK300" s="243"/>
      <c r="ALL300" s="243"/>
      <c r="ALM300" s="243"/>
      <c r="ALN300" s="243"/>
      <c r="ALO300" s="243"/>
      <c r="ALP300" s="243"/>
      <c r="ALQ300" s="243"/>
      <c r="ALR300" s="243"/>
      <c r="ALS300" s="243"/>
      <c r="ALT300" s="243"/>
      <c r="ALU300" s="243"/>
      <c r="ALV300" s="243"/>
      <c r="ALW300" s="243"/>
      <c r="ALX300" s="243"/>
      <c r="ALY300" s="243"/>
      <c r="ALZ300" s="243"/>
      <c r="AMA300" s="243"/>
      <c r="AMB300" s="243"/>
      <c r="AMC300" s="243"/>
      <c r="AMD300" s="243"/>
      <c r="AME300" s="243"/>
      <c r="AMF300" s="243"/>
      <c r="AMG300" s="243"/>
      <c r="AMH300" s="243"/>
      <c r="AMI300" s="244"/>
      <c r="AMJ300" s="244"/>
    </row>
    <row r="304" spans="1:1024" ht="15" customHeight="1">
      <c r="A304" s="939" t="s">
        <v>163</v>
      </c>
      <c r="B304" s="939"/>
      <c r="C304" s="939"/>
      <c r="D304" s="939"/>
      <c r="E304" s="939"/>
      <c r="F304" s="939"/>
      <c r="G304" s="939"/>
      <c r="H304" s="939"/>
      <c r="I304" s="939" t="s">
        <v>2</v>
      </c>
      <c r="J304" s="939"/>
      <c r="K304" s="939"/>
      <c r="L304" s="939"/>
      <c r="M304" s="939"/>
      <c r="N304" s="939"/>
      <c r="O304" s="939"/>
      <c r="P304" s="939"/>
      <c r="Q304" s="939"/>
      <c r="R304" s="243"/>
      <c r="S304" s="243"/>
      <c r="T304" s="243"/>
      <c r="U304" s="243"/>
      <c r="V304" s="243"/>
      <c r="W304" s="243"/>
      <c r="X304" s="243"/>
      <c r="Y304" s="243"/>
      <c r="Z304" s="243"/>
      <c r="AA304" s="243"/>
      <c r="AB304" s="243"/>
      <c r="AC304" s="243"/>
      <c r="AD304" s="243"/>
      <c r="AE304" s="243"/>
      <c r="AF304" s="243"/>
      <c r="AG304" s="243"/>
      <c r="AH304" s="243"/>
      <c r="AI304" s="243"/>
      <c r="AJ304" s="243"/>
      <c r="AK304" s="243"/>
      <c r="AL304" s="243"/>
      <c r="AM304" s="243"/>
      <c r="AN304" s="243"/>
      <c r="AO304" s="243"/>
      <c r="AP304" s="243"/>
      <c r="AQ304" s="243"/>
      <c r="AR304" s="243"/>
      <c r="AS304" s="243"/>
      <c r="AT304" s="243"/>
      <c r="AU304" s="243"/>
      <c r="AV304" s="243"/>
      <c r="AW304" s="243"/>
      <c r="AX304" s="243"/>
      <c r="AY304" s="243"/>
      <c r="AZ304" s="243"/>
      <c r="BA304" s="243"/>
      <c r="BB304" s="243"/>
      <c r="BC304" s="243"/>
      <c r="BD304" s="243"/>
      <c r="BE304" s="243"/>
      <c r="BF304" s="243"/>
      <c r="BG304" s="243"/>
      <c r="BH304" s="243"/>
      <c r="BI304" s="243"/>
      <c r="BJ304" s="243"/>
      <c r="BK304" s="243"/>
      <c r="BL304" s="243"/>
      <c r="BM304" s="243"/>
      <c r="BN304" s="243"/>
      <c r="BO304" s="243"/>
      <c r="BP304" s="243"/>
      <c r="BQ304" s="243"/>
      <c r="BR304" s="243"/>
      <c r="BS304" s="243"/>
      <c r="BT304" s="243"/>
      <c r="BU304" s="243"/>
      <c r="BV304" s="243"/>
      <c r="BW304" s="243"/>
      <c r="BX304" s="243"/>
      <c r="BY304" s="243"/>
      <c r="BZ304" s="243"/>
      <c r="CA304" s="243"/>
      <c r="CB304" s="243"/>
      <c r="CC304" s="243"/>
      <c r="CD304" s="243"/>
      <c r="CE304" s="243"/>
      <c r="CF304" s="243"/>
      <c r="CG304" s="243"/>
      <c r="CH304" s="243"/>
      <c r="CI304" s="243"/>
      <c r="CJ304" s="243"/>
      <c r="CK304" s="243"/>
      <c r="CL304" s="243"/>
      <c r="CM304" s="243"/>
      <c r="CN304" s="243"/>
      <c r="CO304" s="243"/>
      <c r="CP304" s="243"/>
      <c r="CQ304" s="243"/>
      <c r="CR304" s="243"/>
      <c r="CS304" s="243"/>
      <c r="CT304" s="243"/>
      <c r="CU304" s="243"/>
      <c r="CV304" s="243"/>
      <c r="CW304" s="243"/>
      <c r="CX304" s="243"/>
      <c r="CY304" s="243"/>
      <c r="CZ304" s="243"/>
      <c r="DA304" s="243"/>
      <c r="DB304" s="243"/>
      <c r="DC304" s="243"/>
      <c r="DD304" s="243"/>
      <c r="DE304" s="243"/>
      <c r="DF304" s="243"/>
      <c r="DG304" s="243"/>
      <c r="DH304" s="243"/>
      <c r="DI304" s="243"/>
      <c r="DJ304" s="243"/>
      <c r="DK304" s="243"/>
      <c r="DL304" s="243"/>
      <c r="DM304" s="243"/>
      <c r="DN304" s="243"/>
      <c r="DO304" s="243"/>
      <c r="DP304" s="243"/>
      <c r="DQ304" s="243"/>
      <c r="DR304" s="243"/>
      <c r="DS304" s="243"/>
      <c r="DT304" s="243"/>
      <c r="DU304" s="243"/>
      <c r="DV304" s="243"/>
      <c r="DW304" s="243"/>
      <c r="DX304" s="243"/>
      <c r="DY304" s="243"/>
      <c r="DZ304" s="243"/>
      <c r="EA304" s="243"/>
      <c r="EB304" s="243"/>
      <c r="EC304" s="243"/>
      <c r="ED304" s="243"/>
      <c r="EE304" s="243"/>
      <c r="EF304" s="243"/>
      <c r="EG304" s="243"/>
      <c r="EH304" s="243"/>
      <c r="EI304" s="243"/>
      <c r="EJ304" s="243"/>
      <c r="EK304" s="243"/>
      <c r="EL304" s="243"/>
      <c r="EM304" s="243"/>
      <c r="EN304" s="243"/>
      <c r="EO304" s="243"/>
      <c r="EP304" s="243"/>
      <c r="EQ304" s="243"/>
      <c r="ER304" s="243"/>
      <c r="ES304" s="243"/>
      <c r="ET304" s="243"/>
      <c r="EU304" s="243"/>
      <c r="EV304" s="243"/>
      <c r="EW304" s="243"/>
      <c r="EX304" s="243"/>
      <c r="EY304" s="243"/>
      <c r="EZ304" s="243"/>
      <c r="FA304" s="243"/>
      <c r="FB304" s="243"/>
      <c r="FC304" s="243"/>
      <c r="FD304" s="243"/>
      <c r="FE304" s="243"/>
      <c r="FF304" s="243"/>
      <c r="FG304" s="243"/>
      <c r="FH304" s="243"/>
      <c r="FI304" s="243"/>
      <c r="FJ304" s="243"/>
      <c r="FK304" s="243"/>
      <c r="FL304" s="243"/>
      <c r="FM304" s="243"/>
      <c r="FN304" s="243"/>
      <c r="FO304" s="243"/>
      <c r="FP304" s="243"/>
      <c r="FQ304" s="243"/>
      <c r="FR304" s="243"/>
      <c r="FS304" s="243"/>
      <c r="FT304" s="243"/>
      <c r="FU304" s="243"/>
      <c r="FV304" s="243"/>
      <c r="FW304" s="243"/>
      <c r="FX304" s="243"/>
      <c r="FY304" s="243"/>
      <c r="FZ304" s="243"/>
      <c r="GA304" s="243"/>
      <c r="GB304" s="243"/>
      <c r="GC304" s="243"/>
      <c r="GD304" s="243"/>
      <c r="GE304" s="243"/>
      <c r="GF304" s="243"/>
      <c r="GG304" s="243"/>
      <c r="GH304" s="243"/>
      <c r="GI304" s="243"/>
      <c r="GJ304" s="243"/>
      <c r="GK304" s="243"/>
      <c r="GL304" s="243"/>
      <c r="GM304" s="243"/>
      <c r="GN304" s="243"/>
      <c r="GO304" s="243"/>
      <c r="GP304" s="243"/>
      <c r="GQ304" s="243"/>
      <c r="GR304" s="243"/>
      <c r="GS304" s="243"/>
      <c r="GT304" s="243"/>
      <c r="GU304" s="243"/>
      <c r="GV304" s="243"/>
      <c r="GW304" s="243"/>
      <c r="GX304" s="243"/>
      <c r="GY304" s="243"/>
      <c r="GZ304" s="243"/>
      <c r="HA304" s="243"/>
      <c r="HB304" s="243"/>
      <c r="HC304" s="243"/>
      <c r="HD304" s="243"/>
      <c r="HE304" s="243"/>
      <c r="HF304" s="243"/>
      <c r="HG304" s="243"/>
      <c r="HH304" s="243"/>
      <c r="HI304" s="243"/>
      <c r="HJ304" s="243"/>
      <c r="HK304" s="243"/>
      <c r="HL304" s="243"/>
      <c r="HM304" s="243"/>
      <c r="HN304" s="243"/>
      <c r="HO304" s="243"/>
      <c r="HP304" s="243"/>
      <c r="HQ304" s="243"/>
      <c r="HR304" s="243"/>
      <c r="HS304" s="243"/>
      <c r="HT304" s="243"/>
      <c r="HU304" s="243"/>
      <c r="HV304" s="243"/>
      <c r="HW304" s="243"/>
      <c r="HX304" s="243"/>
      <c r="HY304" s="243"/>
      <c r="HZ304" s="243"/>
      <c r="IA304" s="243"/>
      <c r="IB304" s="243"/>
      <c r="IC304" s="243"/>
      <c r="ID304" s="243"/>
      <c r="IE304" s="243"/>
      <c r="IF304" s="243"/>
      <c r="IG304" s="243"/>
      <c r="IH304" s="243"/>
      <c r="II304" s="243"/>
      <c r="IJ304" s="243"/>
      <c r="IK304" s="243"/>
      <c r="IL304" s="243"/>
      <c r="IM304" s="243"/>
      <c r="IN304" s="243"/>
      <c r="IO304" s="243"/>
      <c r="IP304" s="243"/>
      <c r="IQ304" s="243"/>
      <c r="IR304" s="243"/>
      <c r="IS304" s="243"/>
      <c r="IT304" s="243"/>
      <c r="IU304" s="243"/>
      <c r="IV304" s="243"/>
      <c r="IW304" s="243"/>
      <c r="IX304" s="243"/>
      <c r="IY304" s="243"/>
      <c r="IZ304" s="243"/>
      <c r="JA304" s="243"/>
      <c r="JB304" s="243"/>
      <c r="JC304" s="243"/>
      <c r="JD304" s="243"/>
      <c r="JE304" s="243"/>
      <c r="JF304" s="243"/>
      <c r="JG304" s="243"/>
      <c r="JH304" s="243"/>
      <c r="JI304" s="243"/>
      <c r="JJ304" s="243"/>
      <c r="JK304" s="243"/>
      <c r="JL304" s="243"/>
      <c r="JM304" s="243"/>
      <c r="JN304" s="243"/>
      <c r="JO304" s="243"/>
      <c r="JP304" s="243"/>
      <c r="JQ304" s="243"/>
      <c r="JR304" s="243"/>
      <c r="JS304" s="243"/>
      <c r="JT304" s="243"/>
      <c r="JU304" s="243"/>
      <c r="JV304" s="243"/>
      <c r="JW304" s="243"/>
      <c r="JX304" s="243"/>
      <c r="JY304" s="243"/>
      <c r="JZ304" s="243"/>
      <c r="KA304" s="243"/>
      <c r="KB304" s="243"/>
      <c r="KC304" s="243"/>
      <c r="KD304" s="243"/>
      <c r="KE304" s="243"/>
      <c r="KF304" s="243"/>
      <c r="KG304" s="243"/>
      <c r="KH304" s="243"/>
      <c r="KI304" s="243"/>
      <c r="KJ304" s="243"/>
      <c r="KK304" s="243"/>
      <c r="KL304" s="243"/>
      <c r="KM304" s="243"/>
      <c r="KN304" s="243"/>
      <c r="KO304" s="243"/>
      <c r="KP304" s="243"/>
      <c r="KQ304" s="243"/>
      <c r="KR304" s="243"/>
      <c r="KS304" s="243"/>
      <c r="KT304" s="243"/>
      <c r="KU304" s="243"/>
      <c r="KV304" s="243"/>
      <c r="KW304" s="243"/>
      <c r="KX304" s="243"/>
      <c r="KY304" s="243"/>
      <c r="KZ304" s="243"/>
      <c r="LA304" s="243"/>
      <c r="LB304" s="243"/>
      <c r="LC304" s="243"/>
      <c r="LD304" s="243"/>
      <c r="LE304" s="243"/>
      <c r="LF304" s="243"/>
      <c r="LG304" s="243"/>
      <c r="LH304" s="243"/>
      <c r="LI304" s="243"/>
      <c r="LJ304" s="243"/>
      <c r="LK304" s="243"/>
      <c r="LL304" s="243"/>
      <c r="LM304" s="243"/>
      <c r="LN304" s="243"/>
      <c r="LO304" s="243"/>
      <c r="LP304" s="243"/>
      <c r="LQ304" s="243"/>
      <c r="LR304" s="243"/>
      <c r="LS304" s="243"/>
      <c r="LT304" s="243"/>
      <c r="LU304" s="243"/>
      <c r="LV304" s="243"/>
      <c r="LW304" s="243"/>
      <c r="LX304" s="243"/>
      <c r="LY304" s="243"/>
      <c r="LZ304" s="243"/>
      <c r="MA304" s="243"/>
      <c r="MB304" s="243"/>
      <c r="MC304" s="243"/>
      <c r="MD304" s="243"/>
      <c r="ME304" s="243"/>
      <c r="MF304" s="243"/>
      <c r="MG304" s="243"/>
      <c r="MH304" s="243"/>
      <c r="MI304" s="243"/>
      <c r="MJ304" s="243"/>
      <c r="MK304" s="243"/>
      <c r="ML304" s="243"/>
      <c r="MM304" s="243"/>
      <c r="MN304" s="243"/>
      <c r="MO304" s="243"/>
      <c r="MP304" s="243"/>
      <c r="MQ304" s="243"/>
      <c r="MR304" s="243"/>
      <c r="MS304" s="243"/>
      <c r="MT304" s="243"/>
      <c r="MU304" s="243"/>
      <c r="MV304" s="243"/>
      <c r="MW304" s="243"/>
      <c r="MX304" s="243"/>
      <c r="MY304" s="243"/>
      <c r="MZ304" s="243"/>
      <c r="NA304" s="243"/>
      <c r="NB304" s="243"/>
      <c r="NC304" s="243"/>
      <c r="ND304" s="243"/>
      <c r="NE304" s="243"/>
      <c r="NF304" s="243"/>
      <c r="NG304" s="243"/>
      <c r="NH304" s="243"/>
      <c r="NI304" s="243"/>
      <c r="NJ304" s="243"/>
      <c r="NK304" s="243"/>
      <c r="NL304" s="243"/>
      <c r="NM304" s="243"/>
      <c r="NN304" s="243"/>
      <c r="NO304" s="243"/>
      <c r="NP304" s="243"/>
      <c r="NQ304" s="243"/>
      <c r="NR304" s="243"/>
      <c r="NS304" s="243"/>
      <c r="NT304" s="243"/>
      <c r="NU304" s="243"/>
      <c r="NV304" s="243"/>
      <c r="NW304" s="243"/>
      <c r="NX304" s="243"/>
      <c r="NY304" s="243"/>
      <c r="NZ304" s="243"/>
      <c r="OA304" s="243"/>
      <c r="OB304" s="243"/>
      <c r="OC304" s="243"/>
      <c r="OD304" s="243"/>
      <c r="OE304" s="243"/>
      <c r="OF304" s="243"/>
      <c r="OG304" s="243"/>
      <c r="OH304" s="243"/>
      <c r="OI304" s="243"/>
      <c r="OJ304" s="243"/>
      <c r="OK304" s="243"/>
      <c r="OL304" s="243"/>
      <c r="OM304" s="243"/>
      <c r="ON304" s="243"/>
      <c r="OO304" s="243"/>
      <c r="OP304" s="243"/>
      <c r="OQ304" s="243"/>
      <c r="OR304" s="243"/>
      <c r="OS304" s="243"/>
      <c r="OT304" s="243"/>
      <c r="OU304" s="243"/>
      <c r="OV304" s="243"/>
      <c r="OW304" s="243"/>
      <c r="OX304" s="243"/>
      <c r="OY304" s="243"/>
      <c r="OZ304" s="243"/>
      <c r="PA304" s="243"/>
      <c r="PB304" s="243"/>
      <c r="PC304" s="243"/>
      <c r="PD304" s="243"/>
      <c r="PE304" s="243"/>
      <c r="PF304" s="243"/>
      <c r="PG304" s="243"/>
      <c r="PH304" s="243"/>
      <c r="PI304" s="243"/>
      <c r="PJ304" s="243"/>
      <c r="PK304" s="243"/>
      <c r="PL304" s="243"/>
      <c r="PM304" s="243"/>
      <c r="PN304" s="243"/>
      <c r="PO304" s="243"/>
      <c r="PP304" s="243"/>
      <c r="PQ304" s="243"/>
      <c r="PR304" s="243"/>
      <c r="PS304" s="243"/>
      <c r="PT304" s="243"/>
      <c r="PU304" s="243"/>
      <c r="PV304" s="243"/>
      <c r="PW304" s="243"/>
      <c r="PX304" s="243"/>
      <c r="PY304" s="243"/>
      <c r="PZ304" s="243"/>
      <c r="QA304" s="243"/>
      <c r="QB304" s="243"/>
      <c r="QC304" s="243"/>
      <c r="QD304" s="243"/>
      <c r="QE304" s="243"/>
      <c r="QF304" s="243"/>
      <c r="QG304" s="243"/>
      <c r="QH304" s="243"/>
      <c r="QI304" s="243"/>
      <c r="QJ304" s="243"/>
      <c r="QK304" s="243"/>
      <c r="QL304" s="243"/>
      <c r="QM304" s="243"/>
      <c r="QN304" s="243"/>
      <c r="QO304" s="243"/>
      <c r="QP304" s="243"/>
      <c r="QQ304" s="243"/>
      <c r="QR304" s="243"/>
      <c r="QS304" s="243"/>
      <c r="QT304" s="243"/>
      <c r="QU304" s="243"/>
      <c r="QV304" s="243"/>
      <c r="QW304" s="243"/>
      <c r="QX304" s="243"/>
      <c r="QY304" s="243"/>
      <c r="QZ304" s="243"/>
      <c r="RA304" s="243"/>
      <c r="RB304" s="243"/>
      <c r="RC304" s="243"/>
      <c r="RD304" s="243"/>
      <c r="RE304" s="243"/>
      <c r="RF304" s="243"/>
      <c r="RG304" s="243"/>
      <c r="RH304" s="243"/>
      <c r="RI304" s="243"/>
      <c r="RJ304" s="243"/>
      <c r="RK304" s="243"/>
      <c r="RL304" s="243"/>
      <c r="RM304" s="243"/>
      <c r="RN304" s="243"/>
      <c r="RO304" s="243"/>
      <c r="RP304" s="243"/>
      <c r="RQ304" s="243"/>
      <c r="RR304" s="243"/>
      <c r="RS304" s="243"/>
      <c r="RT304" s="243"/>
      <c r="RU304" s="243"/>
      <c r="RV304" s="243"/>
      <c r="RW304" s="243"/>
      <c r="RX304" s="243"/>
      <c r="RY304" s="243"/>
      <c r="RZ304" s="243"/>
      <c r="SA304" s="243"/>
      <c r="SB304" s="243"/>
      <c r="SC304" s="243"/>
      <c r="SD304" s="243"/>
      <c r="SE304" s="243"/>
      <c r="SF304" s="243"/>
      <c r="SG304" s="243"/>
      <c r="SH304" s="243"/>
      <c r="SI304" s="243"/>
      <c r="SJ304" s="243"/>
      <c r="SK304" s="243"/>
      <c r="SL304" s="243"/>
      <c r="SM304" s="243"/>
      <c r="SN304" s="243"/>
      <c r="SO304" s="243"/>
      <c r="SP304" s="243"/>
      <c r="SQ304" s="243"/>
      <c r="SR304" s="243"/>
      <c r="SS304" s="243"/>
      <c r="ST304" s="243"/>
      <c r="SU304" s="243"/>
      <c r="SV304" s="243"/>
      <c r="SW304" s="243"/>
      <c r="SX304" s="243"/>
      <c r="SY304" s="243"/>
      <c r="SZ304" s="243"/>
      <c r="TA304" s="243"/>
      <c r="TB304" s="243"/>
      <c r="TC304" s="243"/>
      <c r="TD304" s="243"/>
      <c r="TE304" s="243"/>
      <c r="TF304" s="243"/>
      <c r="TG304" s="243"/>
      <c r="TH304" s="243"/>
      <c r="TI304" s="243"/>
      <c r="TJ304" s="243"/>
      <c r="TK304" s="243"/>
      <c r="TL304" s="243"/>
      <c r="TM304" s="243"/>
      <c r="TN304" s="243"/>
      <c r="TO304" s="243"/>
      <c r="TP304" s="243"/>
      <c r="TQ304" s="243"/>
      <c r="TR304" s="243"/>
      <c r="TS304" s="243"/>
      <c r="TT304" s="243"/>
      <c r="TU304" s="243"/>
      <c r="TV304" s="243"/>
      <c r="TW304" s="243"/>
      <c r="TX304" s="243"/>
      <c r="TY304" s="243"/>
      <c r="TZ304" s="243"/>
      <c r="UA304" s="243"/>
      <c r="UB304" s="243"/>
      <c r="UC304" s="243"/>
      <c r="UD304" s="243"/>
      <c r="UE304" s="243"/>
      <c r="UF304" s="243"/>
      <c r="UG304" s="243"/>
      <c r="UH304" s="243"/>
      <c r="UI304" s="243"/>
      <c r="UJ304" s="243"/>
      <c r="UK304" s="243"/>
      <c r="UL304" s="243"/>
      <c r="UM304" s="243"/>
      <c r="UN304" s="243"/>
      <c r="UO304" s="243"/>
      <c r="UP304" s="243"/>
      <c r="UQ304" s="243"/>
      <c r="UR304" s="243"/>
      <c r="US304" s="243"/>
      <c r="UT304" s="243"/>
      <c r="UU304" s="243"/>
      <c r="UV304" s="243"/>
      <c r="UW304" s="243"/>
      <c r="UX304" s="243"/>
      <c r="UY304" s="243"/>
      <c r="UZ304" s="243"/>
      <c r="VA304" s="243"/>
      <c r="VB304" s="243"/>
      <c r="VC304" s="243"/>
      <c r="VD304" s="243"/>
      <c r="VE304" s="243"/>
      <c r="VF304" s="243"/>
      <c r="VG304" s="243"/>
      <c r="VH304" s="243"/>
      <c r="VI304" s="243"/>
      <c r="VJ304" s="243"/>
      <c r="VK304" s="243"/>
      <c r="VL304" s="243"/>
      <c r="VM304" s="243"/>
      <c r="VN304" s="243"/>
      <c r="VO304" s="243"/>
      <c r="VP304" s="243"/>
      <c r="VQ304" s="243"/>
      <c r="VR304" s="243"/>
      <c r="VS304" s="243"/>
      <c r="VT304" s="243"/>
      <c r="VU304" s="243"/>
      <c r="VV304" s="243"/>
      <c r="VW304" s="243"/>
      <c r="VX304" s="243"/>
      <c r="VY304" s="243"/>
      <c r="VZ304" s="243"/>
      <c r="WA304" s="243"/>
      <c r="WB304" s="243"/>
      <c r="WC304" s="243"/>
      <c r="WD304" s="243"/>
      <c r="WE304" s="243"/>
      <c r="WF304" s="243"/>
      <c r="WG304" s="243"/>
      <c r="WH304" s="243"/>
      <c r="WI304" s="243"/>
      <c r="WJ304" s="243"/>
      <c r="WK304" s="243"/>
      <c r="WL304" s="243"/>
      <c r="WM304" s="243"/>
      <c r="WN304" s="243"/>
      <c r="WO304" s="243"/>
      <c r="WP304" s="243"/>
      <c r="WQ304" s="243"/>
      <c r="WR304" s="243"/>
      <c r="WS304" s="243"/>
      <c r="WT304" s="243"/>
      <c r="WU304" s="243"/>
      <c r="WV304" s="243"/>
      <c r="WW304" s="243"/>
      <c r="WX304" s="243"/>
      <c r="WY304" s="243"/>
      <c r="WZ304" s="243"/>
      <c r="XA304" s="243"/>
      <c r="XB304" s="243"/>
      <c r="XC304" s="243"/>
      <c r="XD304" s="243"/>
      <c r="XE304" s="243"/>
      <c r="XF304" s="243"/>
      <c r="XG304" s="243"/>
      <c r="XH304" s="243"/>
      <c r="XI304" s="243"/>
      <c r="XJ304" s="243"/>
      <c r="XK304" s="243"/>
      <c r="XL304" s="243"/>
      <c r="XM304" s="243"/>
      <c r="XN304" s="243"/>
      <c r="XO304" s="243"/>
      <c r="XP304" s="243"/>
      <c r="XQ304" s="243"/>
      <c r="XR304" s="243"/>
      <c r="XS304" s="243"/>
      <c r="XT304" s="243"/>
      <c r="XU304" s="243"/>
      <c r="XV304" s="243"/>
      <c r="XW304" s="243"/>
      <c r="XX304" s="243"/>
      <c r="XY304" s="243"/>
      <c r="XZ304" s="243"/>
      <c r="YA304" s="243"/>
      <c r="YB304" s="243"/>
      <c r="YC304" s="243"/>
      <c r="YD304" s="243"/>
      <c r="YE304" s="243"/>
      <c r="YF304" s="243"/>
      <c r="YG304" s="243"/>
      <c r="YH304" s="243"/>
      <c r="YI304" s="243"/>
      <c r="YJ304" s="243"/>
      <c r="YK304" s="243"/>
      <c r="YL304" s="243"/>
      <c r="YM304" s="243"/>
      <c r="YN304" s="243"/>
      <c r="YO304" s="243"/>
      <c r="YP304" s="243"/>
      <c r="YQ304" s="243"/>
      <c r="YR304" s="243"/>
      <c r="YS304" s="243"/>
      <c r="YT304" s="243"/>
      <c r="YU304" s="243"/>
      <c r="YV304" s="243"/>
      <c r="YW304" s="243"/>
      <c r="YX304" s="243"/>
      <c r="YY304" s="243"/>
      <c r="YZ304" s="243"/>
      <c r="ZA304" s="243"/>
      <c r="ZB304" s="243"/>
      <c r="ZC304" s="243"/>
      <c r="ZD304" s="243"/>
      <c r="ZE304" s="243"/>
      <c r="ZF304" s="243"/>
      <c r="ZG304" s="243"/>
      <c r="ZH304" s="243"/>
      <c r="ZI304" s="243"/>
      <c r="ZJ304" s="243"/>
      <c r="ZK304" s="243"/>
      <c r="ZL304" s="243"/>
      <c r="ZM304" s="243"/>
      <c r="ZN304" s="243"/>
      <c r="ZO304" s="243"/>
      <c r="ZP304" s="243"/>
      <c r="ZQ304" s="243"/>
      <c r="ZR304" s="243"/>
      <c r="ZS304" s="243"/>
      <c r="ZT304" s="243"/>
      <c r="ZU304" s="243"/>
      <c r="ZV304" s="243"/>
      <c r="ZW304" s="243"/>
      <c r="ZX304" s="243"/>
      <c r="ZY304" s="243"/>
      <c r="ZZ304" s="243"/>
      <c r="AAA304" s="243"/>
      <c r="AAB304" s="243"/>
      <c r="AAC304" s="243"/>
      <c r="AAD304" s="243"/>
      <c r="AAE304" s="243"/>
      <c r="AAF304" s="243"/>
      <c r="AAG304" s="243"/>
      <c r="AAH304" s="243"/>
      <c r="AAI304" s="243"/>
      <c r="AAJ304" s="243"/>
      <c r="AAK304" s="243"/>
      <c r="AAL304" s="243"/>
      <c r="AAM304" s="243"/>
      <c r="AAN304" s="243"/>
      <c r="AAO304" s="243"/>
      <c r="AAP304" s="243"/>
      <c r="AAQ304" s="243"/>
      <c r="AAR304" s="243"/>
      <c r="AAS304" s="243"/>
      <c r="AAT304" s="243"/>
      <c r="AAU304" s="243"/>
      <c r="AAV304" s="243"/>
      <c r="AAW304" s="243"/>
      <c r="AAX304" s="243"/>
      <c r="AAY304" s="243"/>
      <c r="AAZ304" s="243"/>
      <c r="ABA304" s="243"/>
      <c r="ABB304" s="243"/>
      <c r="ABC304" s="243"/>
      <c r="ABD304" s="243"/>
      <c r="ABE304" s="243"/>
      <c r="ABF304" s="243"/>
      <c r="ABG304" s="243"/>
      <c r="ABH304" s="243"/>
      <c r="ABI304" s="243"/>
      <c r="ABJ304" s="243"/>
      <c r="ABK304" s="243"/>
      <c r="ABL304" s="243"/>
      <c r="ABM304" s="243"/>
      <c r="ABN304" s="243"/>
      <c r="ABO304" s="243"/>
      <c r="ABP304" s="243"/>
      <c r="ABQ304" s="243"/>
      <c r="ABR304" s="243"/>
      <c r="ABS304" s="243"/>
      <c r="ABT304" s="243"/>
      <c r="ABU304" s="243"/>
      <c r="ABV304" s="243"/>
      <c r="ABW304" s="243"/>
      <c r="ABX304" s="243"/>
      <c r="ABY304" s="243"/>
      <c r="ABZ304" s="243"/>
      <c r="ACA304" s="243"/>
      <c r="ACB304" s="243"/>
      <c r="ACC304" s="243"/>
      <c r="ACD304" s="243"/>
      <c r="ACE304" s="243"/>
      <c r="ACF304" s="243"/>
      <c r="ACG304" s="243"/>
      <c r="ACH304" s="243"/>
      <c r="ACI304" s="243"/>
      <c r="ACJ304" s="243"/>
      <c r="ACK304" s="243"/>
      <c r="ACL304" s="243"/>
      <c r="ACM304" s="243"/>
      <c r="ACN304" s="243"/>
      <c r="ACO304" s="243"/>
      <c r="ACP304" s="243"/>
      <c r="ACQ304" s="243"/>
      <c r="ACR304" s="243"/>
      <c r="ACS304" s="243"/>
      <c r="ACT304" s="243"/>
      <c r="ACU304" s="243"/>
      <c r="ACV304" s="243"/>
      <c r="ACW304" s="243"/>
      <c r="ACX304" s="243"/>
      <c r="ACY304" s="243"/>
      <c r="ACZ304" s="243"/>
      <c r="ADA304" s="243"/>
      <c r="ADB304" s="243"/>
      <c r="ADC304" s="243"/>
      <c r="ADD304" s="243"/>
      <c r="ADE304" s="243"/>
      <c r="ADF304" s="243"/>
      <c r="ADG304" s="243"/>
      <c r="ADH304" s="243"/>
      <c r="ADI304" s="243"/>
      <c r="ADJ304" s="243"/>
      <c r="ADK304" s="243"/>
      <c r="ADL304" s="243"/>
      <c r="ADM304" s="243"/>
      <c r="ADN304" s="243"/>
      <c r="ADO304" s="243"/>
      <c r="ADP304" s="243"/>
      <c r="ADQ304" s="243"/>
      <c r="ADR304" s="243"/>
      <c r="ADS304" s="243"/>
      <c r="ADT304" s="243"/>
      <c r="ADU304" s="243"/>
      <c r="ADV304" s="243"/>
      <c r="ADW304" s="243"/>
      <c r="ADX304" s="243"/>
      <c r="ADY304" s="243"/>
      <c r="ADZ304" s="243"/>
      <c r="AEA304" s="243"/>
      <c r="AEB304" s="243"/>
      <c r="AEC304" s="243"/>
      <c r="AED304" s="243"/>
      <c r="AEE304" s="243"/>
      <c r="AEF304" s="243"/>
      <c r="AEG304" s="243"/>
      <c r="AEH304" s="243"/>
      <c r="AEI304" s="243"/>
      <c r="AEJ304" s="243"/>
      <c r="AEK304" s="243"/>
      <c r="AEL304" s="243"/>
      <c r="AEM304" s="243"/>
      <c r="AEN304" s="243"/>
      <c r="AEO304" s="243"/>
      <c r="AEP304" s="243"/>
      <c r="AEQ304" s="243"/>
      <c r="AER304" s="243"/>
      <c r="AES304" s="243"/>
      <c r="AET304" s="243"/>
      <c r="AEU304" s="243"/>
      <c r="AEV304" s="243"/>
      <c r="AEW304" s="243"/>
      <c r="AEX304" s="243"/>
      <c r="AEY304" s="243"/>
      <c r="AEZ304" s="243"/>
      <c r="AFA304" s="243"/>
      <c r="AFB304" s="243"/>
      <c r="AFC304" s="243"/>
      <c r="AFD304" s="243"/>
      <c r="AFE304" s="243"/>
      <c r="AFF304" s="243"/>
      <c r="AFG304" s="243"/>
      <c r="AFH304" s="243"/>
      <c r="AFI304" s="243"/>
      <c r="AFJ304" s="243"/>
      <c r="AFK304" s="243"/>
      <c r="AFL304" s="243"/>
      <c r="AFM304" s="243"/>
      <c r="AFN304" s="243"/>
      <c r="AFO304" s="243"/>
      <c r="AFP304" s="243"/>
      <c r="AFQ304" s="243"/>
      <c r="AFR304" s="243"/>
      <c r="AFS304" s="243"/>
      <c r="AFT304" s="243"/>
      <c r="AFU304" s="243"/>
      <c r="AFV304" s="243"/>
      <c r="AFW304" s="243"/>
      <c r="AFX304" s="243"/>
      <c r="AFY304" s="243"/>
      <c r="AFZ304" s="243"/>
      <c r="AGA304" s="243"/>
      <c r="AGB304" s="243"/>
      <c r="AGC304" s="243"/>
      <c r="AGD304" s="243"/>
      <c r="AGE304" s="243"/>
      <c r="AGF304" s="243"/>
      <c r="AGG304" s="243"/>
      <c r="AGH304" s="243"/>
      <c r="AGI304" s="243"/>
      <c r="AGJ304" s="243"/>
      <c r="AGK304" s="243"/>
      <c r="AGL304" s="243"/>
      <c r="AGM304" s="243"/>
      <c r="AGN304" s="243"/>
      <c r="AGO304" s="243"/>
      <c r="AGP304" s="243"/>
      <c r="AGQ304" s="243"/>
      <c r="AGR304" s="243"/>
      <c r="AGS304" s="243"/>
      <c r="AGT304" s="243"/>
      <c r="AGU304" s="243"/>
      <c r="AGV304" s="243"/>
      <c r="AGW304" s="243"/>
      <c r="AGX304" s="243"/>
      <c r="AGY304" s="243"/>
      <c r="AGZ304" s="243"/>
      <c r="AHA304" s="243"/>
      <c r="AHB304" s="243"/>
      <c r="AHC304" s="243"/>
      <c r="AHD304" s="243"/>
      <c r="AHE304" s="243"/>
      <c r="AHF304" s="243"/>
      <c r="AHG304" s="243"/>
      <c r="AHH304" s="243"/>
      <c r="AHI304" s="243"/>
      <c r="AHJ304" s="243"/>
      <c r="AHK304" s="243"/>
      <c r="AHL304" s="243"/>
      <c r="AHM304" s="243"/>
      <c r="AHN304" s="243"/>
      <c r="AHO304" s="243"/>
      <c r="AHP304" s="243"/>
      <c r="AHQ304" s="243"/>
      <c r="AHR304" s="243"/>
      <c r="AHS304" s="243"/>
      <c r="AHT304" s="243"/>
      <c r="AHU304" s="243"/>
      <c r="AHV304" s="243"/>
      <c r="AHW304" s="243"/>
      <c r="AHX304" s="243"/>
      <c r="AHY304" s="243"/>
      <c r="AHZ304" s="243"/>
      <c r="AIA304" s="243"/>
      <c r="AIB304" s="243"/>
      <c r="AIC304" s="243"/>
      <c r="AID304" s="243"/>
      <c r="AIE304" s="243"/>
      <c r="AIF304" s="243"/>
      <c r="AIG304" s="243"/>
      <c r="AIH304" s="243"/>
      <c r="AII304" s="243"/>
      <c r="AIJ304" s="243"/>
      <c r="AIK304" s="243"/>
      <c r="AIL304" s="243"/>
      <c r="AIM304" s="243"/>
      <c r="AIN304" s="243"/>
      <c r="AIO304" s="243"/>
      <c r="AIP304" s="243"/>
      <c r="AIQ304" s="243"/>
      <c r="AIR304" s="243"/>
      <c r="AIS304" s="243"/>
      <c r="AIT304" s="243"/>
      <c r="AIU304" s="243"/>
      <c r="AIV304" s="243"/>
      <c r="AIW304" s="243"/>
      <c r="AIX304" s="243"/>
      <c r="AIY304" s="243"/>
      <c r="AIZ304" s="243"/>
      <c r="AJA304" s="243"/>
      <c r="AJB304" s="243"/>
      <c r="AJC304" s="243"/>
      <c r="AJD304" s="243"/>
      <c r="AJE304" s="243"/>
      <c r="AJF304" s="243"/>
      <c r="AJG304" s="243"/>
      <c r="AJH304" s="243"/>
      <c r="AJI304" s="243"/>
      <c r="AJJ304" s="243"/>
      <c r="AJK304" s="243"/>
      <c r="AJL304" s="243"/>
      <c r="AJM304" s="243"/>
      <c r="AJN304" s="243"/>
      <c r="AJO304" s="243"/>
      <c r="AJP304" s="243"/>
      <c r="AJQ304" s="243"/>
      <c r="AJR304" s="243"/>
      <c r="AJS304" s="243"/>
      <c r="AJT304" s="243"/>
      <c r="AJU304" s="243"/>
      <c r="AJV304" s="243"/>
      <c r="AJW304" s="243"/>
      <c r="AJX304" s="243"/>
      <c r="AJY304" s="243"/>
      <c r="AJZ304" s="243"/>
      <c r="AKA304" s="243"/>
      <c r="AKB304" s="243"/>
      <c r="AKC304" s="243"/>
      <c r="AKD304" s="243"/>
      <c r="AKE304" s="243"/>
      <c r="AKF304" s="243"/>
      <c r="AKG304" s="243"/>
      <c r="AKH304" s="243"/>
      <c r="AKI304" s="243"/>
      <c r="AKJ304" s="243"/>
      <c r="AKK304" s="243"/>
      <c r="AKL304" s="243"/>
      <c r="AKM304" s="243"/>
      <c r="AKN304" s="243"/>
      <c r="AKO304" s="243"/>
      <c r="AKP304" s="243"/>
      <c r="AKQ304" s="243"/>
      <c r="AKR304" s="243"/>
      <c r="AKS304" s="243"/>
      <c r="AKT304" s="243"/>
      <c r="AKU304" s="243"/>
      <c r="AKV304" s="243"/>
      <c r="AKW304" s="243"/>
      <c r="AKX304" s="243"/>
      <c r="AKY304" s="243"/>
      <c r="AKZ304" s="243"/>
      <c r="ALA304" s="243"/>
      <c r="ALB304" s="243"/>
      <c r="ALC304" s="243"/>
      <c r="ALD304" s="243"/>
      <c r="ALE304" s="243"/>
      <c r="ALF304" s="243"/>
      <c r="ALG304" s="243"/>
      <c r="ALH304" s="243"/>
      <c r="ALI304" s="243"/>
      <c r="ALJ304" s="243"/>
      <c r="ALK304" s="243"/>
      <c r="ALL304" s="243"/>
      <c r="ALM304" s="243"/>
      <c r="ALN304" s="243"/>
      <c r="ALO304" s="243"/>
      <c r="ALP304" s="243"/>
      <c r="ALQ304" s="243"/>
      <c r="ALR304" s="243"/>
      <c r="ALS304" s="243"/>
      <c r="ALT304" s="243"/>
      <c r="ALU304" s="243"/>
      <c r="ALV304" s="243"/>
      <c r="ALW304" s="243"/>
      <c r="ALX304" s="243"/>
      <c r="ALY304" s="243"/>
      <c r="ALZ304" s="243"/>
      <c r="AMA304" s="243"/>
      <c r="AMB304" s="243"/>
      <c r="AMC304" s="243"/>
      <c r="AMD304" s="243"/>
      <c r="AME304" s="243"/>
      <c r="AMF304" s="243"/>
      <c r="AMG304" s="243"/>
      <c r="AMH304" s="243"/>
      <c r="AMI304" s="244"/>
      <c r="AMJ304" s="244"/>
    </row>
    <row r="305" spans="1:1024" ht="18">
      <c r="A305" s="457" t="s">
        <v>3</v>
      </c>
      <c r="B305" s="457" t="s">
        <v>4</v>
      </c>
      <c r="C305" s="457" t="s">
        <v>5</v>
      </c>
      <c r="D305" s="457" t="s">
        <v>6</v>
      </c>
      <c r="E305" s="457" t="s">
        <v>29</v>
      </c>
      <c r="F305" s="457" t="s">
        <v>8</v>
      </c>
      <c r="G305" s="457" t="s">
        <v>9</v>
      </c>
      <c r="H305" s="457" t="s">
        <v>116</v>
      </c>
      <c r="I305" s="457" t="s">
        <v>12</v>
      </c>
      <c r="J305" s="457" t="s">
        <v>117</v>
      </c>
      <c r="K305" s="457" t="s">
        <v>118</v>
      </c>
      <c r="L305" s="457"/>
      <c r="M305" s="457" t="s">
        <v>4</v>
      </c>
      <c r="N305" s="457" t="s">
        <v>6</v>
      </c>
      <c r="O305" s="457" t="s">
        <v>29</v>
      </c>
      <c r="P305" s="457" t="s">
        <v>8</v>
      </c>
      <c r="Q305" s="457" t="s">
        <v>120</v>
      </c>
      <c r="R305" s="243"/>
      <c r="S305" s="243"/>
      <c r="T305" s="243"/>
      <c r="U305" s="243"/>
      <c r="V305" s="243"/>
      <c r="W305" s="243"/>
      <c r="X305" s="243"/>
      <c r="Y305" s="243"/>
      <c r="Z305" s="243"/>
      <c r="AA305" s="243"/>
      <c r="AB305" s="243"/>
      <c r="AC305" s="243"/>
      <c r="AD305" s="243"/>
      <c r="AE305" s="243"/>
      <c r="AF305" s="243"/>
      <c r="AG305" s="243"/>
      <c r="AH305" s="243"/>
      <c r="AI305" s="243"/>
      <c r="AJ305" s="243"/>
      <c r="AK305" s="243"/>
      <c r="AL305" s="243"/>
      <c r="AM305" s="243"/>
      <c r="AN305" s="243"/>
      <c r="AO305" s="243"/>
      <c r="AP305" s="243"/>
      <c r="AQ305" s="243"/>
      <c r="AR305" s="243"/>
      <c r="AS305" s="243"/>
      <c r="AT305" s="243"/>
      <c r="AU305" s="243"/>
      <c r="AV305" s="243"/>
      <c r="AW305" s="243"/>
      <c r="AX305" s="243"/>
      <c r="AY305" s="243"/>
      <c r="AZ305" s="243"/>
      <c r="BA305" s="243"/>
      <c r="BB305" s="243"/>
      <c r="BC305" s="243"/>
      <c r="BD305" s="243"/>
      <c r="BE305" s="243"/>
      <c r="BF305" s="243"/>
      <c r="BG305" s="243"/>
      <c r="BH305" s="243"/>
      <c r="BI305" s="243"/>
      <c r="BJ305" s="243"/>
      <c r="BK305" s="243"/>
      <c r="BL305" s="243"/>
      <c r="BM305" s="243"/>
      <c r="BN305" s="243"/>
      <c r="BO305" s="243"/>
      <c r="BP305" s="243"/>
      <c r="BQ305" s="243"/>
      <c r="BR305" s="243"/>
      <c r="BS305" s="243"/>
      <c r="BT305" s="243"/>
      <c r="BU305" s="243"/>
      <c r="BV305" s="243"/>
      <c r="BW305" s="243"/>
      <c r="BX305" s="243"/>
      <c r="BY305" s="243"/>
      <c r="BZ305" s="243"/>
      <c r="CA305" s="243"/>
      <c r="CB305" s="243"/>
      <c r="CC305" s="243"/>
      <c r="CD305" s="243"/>
      <c r="CE305" s="243"/>
      <c r="CF305" s="243"/>
      <c r="CG305" s="243"/>
      <c r="CH305" s="243"/>
      <c r="CI305" s="243"/>
      <c r="CJ305" s="243"/>
      <c r="CK305" s="243"/>
      <c r="CL305" s="243"/>
      <c r="CM305" s="243"/>
      <c r="CN305" s="243"/>
      <c r="CO305" s="243"/>
      <c r="CP305" s="243"/>
      <c r="CQ305" s="243"/>
      <c r="CR305" s="243"/>
      <c r="CS305" s="243"/>
      <c r="CT305" s="243"/>
      <c r="CU305" s="243"/>
      <c r="CV305" s="243"/>
      <c r="CW305" s="243"/>
      <c r="CX305" s="243"/>
      <c r="CY305" s="243"/>
      <c r="CZ305" s="243"/>
      <c r="DA305" s="243"/>
      <c r="DB305" s="243"/>
      <c r="DC305" s="243"/>
      <c r="DD305" s="243"/>
      <c r="DE305" s="243"/>
      <c r="DF305" s="243"/>
      <c r="DG305" s="243"/>
      <c r="DH305" s="243"/>
      <c r="DI305" s="243"/>
      <c r="DJ305" s="243"/>
      <c r="DK305" s="243"/>
      <c r="DL305" s="243"/>
      <c r="DM305" s="243"/>
      <c r="DN305" s="243"/>
      <c r="DO305" s="243"/>
      <c r="DP305" s="243"/>
      <c r="DQ305" s="243"/>
      <c r="DR305" s="243"/>
      <c r="DS305" s="243"/>
      <c r="DT305" s="243"/>
      <c r="DU305" s="243"/>
      <c r="DV305" s="243"/>
      <c r="DW305" s="243"/>
      <c r="DX305" s="243"/>
      <c r="DY305" s="243"/>
      <c r="DZ305" s="243"/>
      <c r="EA305" s="243"/>
      <c r="EB305" s="243"/>
      <c r="EC305" s="243"/>
      <c r="ED305" s="243"/>
      <c r="EE305" s="243"/>
      <c r="EF305" s="243"/>
      <c r="EG305" s="243"/>
      <c r="EH305" s="243"/>
      <c r="EI305" s="243"/>
      <c r="EJ305" s="243"/>
      <c r="EK305" s="243"/>
      <c r="EL305" s="243"/>
      <c r="EM305" s="243"/>
      <c r="EN305" s="243"/>
      <c r="EO305" s="243"/>
      <c r="EP305" s="243"/>
      <c r="EQ305" s="243"/>
      <c r="ER305" s="243"/>
      <c r="ES305" s="243"/>
      <c r="ET305" s="243"/>
      <c r="EU305" s="243"/>
      <c r="EV305" s="243"/>
      <c r="EW305" s="243"/>
      <c r="EX305" s="243"/>
      <c r="EY305" s="243"/>
      <c r="EZ305" s="243"/>
      <c r="FA305" s="243"/>
      <c r="FB305" s="243"/>
      <c r="FC305" s="243"/>
      <c r="FD305" s="243"/>
      <c r="FE305" s="243"/>
      <c r="FF305" s="243"/>
      <c r="FG305" s="243"/>
      <c r="FH305" s="243"/>
      <c r="FI305" s="243"/>
      <c r="FJ305" s="243"/>
      <c r="FK305" s="243"/>
      <c r="FL305" s="243"/>
      <c r="FM305" s="243"/>
      <c r="FN305" s="243"/>
      <c r="FO305" s="243"/>
      <c r="FP305" s="243"/>
      <c r="FQ305" s="243"/>
      <c r="FR305" s="243"/>
      <c r="FS305" s="243"/>
      <c r="FT305" s="243"/>
      <c r="FU305" s="243"/>
      <c r="FV305" s="243"/>
      <c r="FW305" s="243"/>
      <c r="FX305" s="243"/>
      <c r="FY305" s="243"/>
      <c r="FZ305" s="243"/>
      <c r="GA305" s="243"/>
      <c r="GB305" s="243"/>
      <c r="GC305" s="243"/>
      <c r="GD305" s="243"/>
      <c r="GE305" s="243"/>
      <c r="GF305" s="243"/>
      <c r="GG305" s="243"/>
      <c r="GH305" s="243"/>
      <c r="GI305" s="243"/>
      <c r="GJ305" s="243"/>
      <c r="GK305" s="243"/>
      <c r="GL305" s="243"/>
      <c r="GM305" s="243"/>
      <c r="GN305" s="243"/>
      <c r="GO305" s="243"/>
      <c r="GP305" s="243"/>
      <c r="GQ305" s="243"/>
      <c r="GR305" s="243"/>
      <c r="GS305" s="243"/>
      <c r="GT305" s="243"/>
      <c r="GU305" s="243"/>
      <c r="GV305" s="243"/>
      <c r="GW305" s="243"/>
      <c r="GX305" s="243"/>
      <c r="GY305" s="243"/>
      <c r="GZ305" s="243"/>
      <c r="HA305" s="243"/>
      <c r="HB305" s="243"/>
      <c r="HC305" s="243"/>
      <c r="HD305" s="243"/>
      <c r="HE305" s="243"/>
      <c r="HF305" s="243"/>
      <c r="HG305" s="243"/>
      <c r="HH305" s="243"/>
      <c r="HI305" s="243"/>
      <c r="HJ305" s="243"/>
      <c r="HK305" s="243"/>
      <c r="HL305" s="243"/>
      <c r="HM305" s="243"/>
      <c r="HN305" s="243"/>
      <c r="HO305" s="243"/>
      <c r="HP305" s="243"/>
      <c r="HQ305" s="243"/>
      <c r="HR305" s="243"/>
      <c r="HS305" s="243"/>
      <c r="HT305" s="243"/>
      <c r="HU305" s="243"/>
      <c r="HV305" s="243"/>
      <c r="HW305" s="243"/>
      <c r="HX305" s="243"/>
      <c r="HY305" s="243"/>
      <c r="HZ305" s="243"/>
      <c r="IA305" s="243"/>
      <c r="IB305" s="243"/>
      <c r="IC305" s="243"/>
      <c r="ID305" s="243"/>
      <c r="IE305" s="243"/>
      <c r="IF305" s="243"/>
      <c r="IG305" s="243"/>
      <c r="IH305" s="243"/>
      <c r="II305" s="243"/>
      <c r="IJ305" s="243"/>
      <c r="IK305" s="243"/>
      <c r="IL305" s="243"/>
      <c r="IM305" s="243"/>
      <c r="IN305" s="243"/>
      <c r="IO305" s="243"/>
      <c r="IP305" s="243"/>
      <c r="IQ305" s="243"/>
      <c r="IR305" s="243"/>
      <c r="IS305" s="243"/>
      <c r="IT305" s="243"/>
      <c r="IU305" s="243"/>
      <c r="IV305" s="243"/>
      <c r="IW305" s="243"/>
      <c r="IX305" s="243"/>
      <c r="IY305" s="243"/>
      <c r="IZ305" s="243"/>
      <c r="JA305" s="243"/>
      <c r="JB305" s="243"/>
      <c r="JC305" s="243"/>
      <c r="JD305" s="243"/>
      <c r="JE305" s="243"/>
      <c r="JF305" s="243"/>
      <c r="JG305" s="243"/>
      <c r="JH305" s="243"/>
      <c r="JI305" s="243"/>
      <c r="JJ305" s="243"/>
      <c r="JK305" s="243"/>
      <c r="JL305" s="243"/>
      <c r="JM305" s="243"/>
      <c r="JN305" s="243"/>
      <c r="JO305" s="243"/>
      <c r="JP305" s="243"/>
      <c r="JQ305" s="243"/>
      <c r="JR305" s="243"/>
      <c r="JS305" s="243"/>
      <c r="JT305" s="243"/>
      <c r="JU305" s="243"/>
      <c r="JV305" s="243"/>
      <c r="JW305" s="243"/>
      <c r="JX305" s="243"/>
      <c r="JY305" s="243"/>
      <c r="JZ305" s="243"/>
      <c r="KA305" s="243"/>
      <c r="KB305" s="243"/>
      <c r="KC305" s="243"/>
      <c r="KD305" s="243"/>
      <c r="KE305" s="243"/>
      <c r="KF305" s="243"/>
      <c r="KG305" s="243"/>
      <c r="KH305" s="243"/>
      <c r="KI305" s="243"/>
      <c r="KJ305" s="243"/>
      <c r="KK305" s="243"/>
      <c r="KL305" s="243"/>
      <c r="KM305" s="243"/>
      <c r="KN305" s="243"/>
      <c r="KO305" s="243"/>
      <c r="KP305" s="243"/>
      <c r="KQ305" s="243"/>
      <c r="KR305" s="243"/>
      <c r="KS305" s="243"/>
      <c r="KT305" s="243"/>
      <c r="KU305" s="243"/>
      <c r="KV305" s="243"/>
      <c r="KW305" s="243"/>
      <c r="KX305" s="243"/>
      <c r="KY305" s="243"/>
      <c r="KZ305" s="243"/>
      <c r="LA305" s="243"/>
      <c r="LB305" s="243"/>
      <c r="LC305" s="243"/>
      <c r="LD305" s="243"/>
      <c r="LE305" s="243"/>
      <c r="LF305" s="243"/>
      <c r="LG305" s="243"/>
      <c r="LH305" s="243"/>
      <c r="LI305" s="243"/>
      <c r="LJ305" s="243"/>
      <c r="LK305" s="243"/>
      <c r="LL305" s="243"/>
      <c r="LM305" s="243"/>
      <c r="LN305" s="243"/>
      <c r="LO305" s="243"/>
      <c r="LP305" s="243"/>
      <c r="LQ305" s="243"/>
      <c r="LR305" s="243"/>
      <c r="LS305" s="243"/>
      <c r="LT305" s="243"/>
      <c r="LU305" s="243"/>
      <c r="LV305" s="243"/>
      <c r="LW305" s="243"/>
      <c r="LX305" s="243"/>
      <c r="LY305" s="243"/>
      <c r="LZ305" s="243"/>
      <c r="MA305" s="243"/>
      <c r="MB305" s="243"/>
      <c r="MC305" s="243"/>
      <c r="MD305" s="243"/>
      <c r="ME305" s="243"/>
      <c r="MF305" s="243"/>
      <c r="MG305" s="243"/>
      <c r="MH305" s="243"/>
      <c r="MI305" s="243"/>
      <c r="MJ305" s="243"/>
      <c r="MK305" s="243"/>
      <c r="ML305" s="243"/>
      <c r="MM305" s="243"/>
      <c r="MN305" s="243"/>
      <c r="MO305" s="243"/>
      <c r="MP305" s="243"/>
      <c r="MQ305" s="243"/>
      <c r="MR305" s="243"/>
      <c r="MS305" s="243"/>
      <c r="MT305" s="243"/>
      <c r="MU305" s="243"/>
      <c r="MV305" s="243"/>
      <c r="MW305" s="243"/>
      <c r="MX305" s="243"/>
      <c r="MY305" s="243"/>
      <c r="MZ305" s="243"/>
      <c r="NA305" s="243"/>
      <c r="NB305" s="243"/>
      <c r="NC305" s="243"/>
      <c r="ND305" s="243"/>
      <c r="NE305" s="243"/>
      <c r="NF305" s="243"/>
      <c r="NG305" s="243"/>
      <c r="NH305" s="243"/>
      <c r="NI305" s="243"/>
      <c r="NJ305" s="243"/>
      <c r="NK305" s="243"/>
      <c r="NL305" s="243"/>
      <c r="NM305" s="243"/>
      <c r="NN305" s="243"/>
      <c r="NO305" s="243"/>
      <c r="NP305" s="243"/>
      <c r="NQ305" s="243"/>
      <c r="NR305" s="243"/>
      <c r="NS305" s="243"/>
      <c r="NT305" s="243"/>
      <c r="NU305" s="243"/>
      <c r="NV305" s="243"/>
      <c r="NW305" s="243"/>
      <c r="NX305" s="243"/>
      <c r="NY305" s="243"/>
      <c r="NZ305" s="243"/>
      <c r="OA305" s="243"/>
      <c r="OB305" s="243"/>
      <c r="OC305" s="243"/>
      <c r="OD305" s="243"/>
      <c r="OE305" s="243"/>
      <c r="OF305" s="243"/>
      <c r="OG305" s="243"/>
      <c r="OH305" s="243"/>
      <c r="OI305" s="243"/>
      <c r="OJ305" s="243"/>
      <c r="OK305" s="243"/>
      <c r="OL305" s="243"/>
      <c r="OM305" s="243"/>
      <c r="ON305" s="243"/>
      <c r="OO305" s="243"/>
      <c r="OP305" s="243"/>
      <c r="OQ305" s="243"/>
      <c r="OR305" s="243"/>
      <c r="OS305" s="243"/>
      <c r="OT305" s="243"/>
      <c r="OU305" s="243"/>
      <c r="OV305" s="243"/>
      <c r="OW305" s="243"/>
      <c r="OX305" s="243"/>
      <c r="OY305" s="243"/>
      <c r="OZ305" s="243"/>
      <c r="PA305" s="243"/>
      <c r="PB305" s="243"/>
      <c r="PC305" s="243"/>
      <c r="PD305" s="243"/>
      <c r="PE305" s="243"/>
      <c r="PF305" s="243"/>
      <c r="PG305" s="243"/>
      <c r="PH305" s="243"/>
      <c r="PI305" s="243"/>
      <c r="PJ305" s="243"/>
      <c r="PK305" s="243"/>
      <c r="PL305" s="243"/>
      <c r="PM305" s="243"/>
      <c r="PN305" s="243"/>
      <c r="PO305" s="243"/>
      <c r="PP305" s="243"/>
      <c r="PQ305" s="243"/>
      <c r="PR305" s="243"/>
      <c r="PS305" s="243"/>
      <c r="PT305" s="243"/>
      <c r="PU305" s="243"/>
      <c r="PV305" s="243"/>
      <c r="PW305" s="243"/>
      <c r="PX305" s="243"/>
      <c r="PY305" s="243"/>
      <c r="PZ305" s="243"/>
      <c r="QA305" s="243"/>
      <c r="QB305" s="243"/>
      <c r="QC305" s="243"/>
      <c r="QD305" s="243"/>
      <c r="QE305" s="243"/>
      <c r="QF305" s="243"/>
      <c r="QG305" s="243"/>
      <c r="QH305" s="243"/>
      <c r="QI305" s="243"/>
      <c r="QJ305" s="243"/>
      <c r="QK305" s="243"/>
      <c r="QL305" s="243"/>
      <c r="QM305" s="243"/>
      <c r="QN305" s="243"/>
      <c r="QO305" s="243"/>
      <c r="QP305" s="243"/>
      <c r="QQ305" s="243"/>
      <c r="QR305" s="243"/>
      <c r="QS305" s="243"/>
      <c r="QT305" s="243"/>
      <c r="QU305" s="243"/>
      <c r="QV305" s="243"/>
      <c r="QW305" s="243"/>
      <c r="QX305" s="243"/>
      <c r="QY305" s="243"/>
      <c r="QZ305" s="243"/>
      <c r="RA305" s="243"/>
      <c r="RB305" s="243"/>
      <c r="RC305" s="243"/>
      <c r="RD305" s="243"/>
      <c r="RE305" s="243"/>
      <c r="RF305" s="243"/>
      <c r="RG305" s="243"/>
      <c r="RH305" s="243"/>
      <c r="RI305" s="243"/>
      <c r="RJ305" s="243"/>
      <c r="RK305" s="243"/>
      <c r="RL305" s="243"/>
      <c r="RM305" s="243"/>
      <c r="RN305" s="243"/>
      <c r="RO305" s="243"/>
      <c r="RP305" s="243"/>
      <c r="RQ305" s="243"/>
      <c r="RR305" s="243"/>
      <c r="RS305" s="243"/>
      <c r="RT305" s="243"/>
      <c r="RU305" s="243"/>
      <c r="RV305" s="243"/>
      <c r="RW305" s="243"/>
      <c r="RX305" s="243"/>
      <c r="RY305" s="243"/>
      <c r="RZ305" s="243"/>
      <c r="SA305" s="243"/>
      <c r="SB305" s="243"/>
      <c r="SC305" s="243"/>
      <c r="SD305" s="243"/>
      <c r="SE305" s="243"/>
      <c r="SF305" s="243"/>
      <c r="SG305" s="243"/>
      <c r="SH305" s="243"/>
      <c r="SI305" s="243"/>
      <c r="SJ305" s="243"/>
      <c r="SK305" s="243"/>
      <c r="SL305" s="243"/>
      <c r="SM305" s="243"/>
      <c r="SN305" s="243"/>
      <c r="SO305" s="243"/>
      <c r="SP305" s="243"/>
      <c r="SQ305" s="243"/>
      <c r="SR305" s="243"/>
      <c r="SS305" s="243"/>
      <c r="ST305" s="243"/>
      <c r="SU305" s="243"/>
      <c r="SV305" s="243"/>
      <c r="SW305" s="243"/>
      <c r="SX305" s="243"/>
      <c r="SY305" s="243"/>
      <c r="SZ305" s="243"/>
      <c r="TA305" s="243"/>
      <c r="TB305" s="243"/>
      <c r="TC305" s="243"/>
      <c r="TD305" s="243"/>
      <c r="TE305" s="243"/>
      <c r="TF305" s="243"/>
      <c r="TG305" s="243"/>
      <c r="TH305" s="243"/>
      <c r="TI305" s="243"/>
      <c r="TJ305" s="243"/>
      <c r="TK305" s="243"/>
      <c r="TL305" s="243"/>
      <c r="TM305" s="243"/>
      <c r="TN305" s="243"/>
      <c r="TO305" s="243"/>
      <c r="TP305" s="243"/>
      <c r="TQ305" s="243"/>
      <c r="TR305" s="243"/>
      <c r="TS305" s="243"/>
      <c r="TT305" s="243"/>
      <c r="TU305" s="243"/>
      <c r="TV305" s="243"/>
      <c r="TW305" s="243"/>
      <c r="TX305" s="243"/>
      <c r="TY305" s="243"/>
      <c r="TZ305" s="243"/>
      <c r="UA305" s="243"/>
      <c r="UB305" s="243"/>
      <c r="UC305" s="243"/>
      <c r="UD305" s="243"/>
      <c r="UE305" s="243"/>
      <c r="UF305" s="243"/>
      <c r="UG305" s="243"/>
      <c r="UH305" s="243"/>
      <c r="UI305" s="243"/>
      <c r="UJ305" s="243"/>
      <c r="UK305" s="243"/>
      <c r="UL305" s="243"/>
      <c r="UM305" s="243"/>
      <c r="UN305" s="243"/>
      <c r="UO305" s="243"/>
      <c r="UP305" s="243"/>
      <c r="UQ305" s="243"/>
      <c r="UR305" s="243"/>
      <c r="US305" s="243"/>
      <c r="UT305" s="243"/>
      <c r="UU305" s="243"/>
      <c r="UV305" s="243"/>
      <c r="UW305" s="243"/>
      <c r="UX305" s="243"/>
      <c r="UY305" s="243"/>
      <c r="UZ305" s="243"/>
      <c r="VA305" s="243"/>
      <c r="VB305" s="243"/>
      <c r="VC305" s="243"/>
      <c r="VD305" s="243"/>
      <c r="VE305" s="243"/>
      <c r="VF305" s="243"/>
      <c r="VG305" s="243"/>
      <c r="VH305" s="243"/>
      <c r="VI305" s="243"/>
      <c r="VJ305" s="243"/>
      <c r="VK305" s="243"/>
      <c r="VL305" s="243"/>
      <c r="VM305" s="243"/>
      <c r="VN305" s="243"/>
      <c r="VO305" s="243"/>
      <c r="VP305" s="243"/>
      <c r="VQ305" s="243"/>
      <c r="VR305" s="243"/>
      <c r="VS305" s="243"/>
      <c r="VT305" s="243"/>
      <c r="VU305" s="243"/>
      <c r="VV305" s="243"/>
      <c r="VW305" s="243"/>
      <c r="VX305" s="243"/>
      <c r="VY305" s="243"/>
      <c r="VZ305" s="243"/>
      <c r="WA305" s="243"/>
      <c r="WB305" s="243"/>
      <c r="WC305" s="243"/>
      <c r="WD305" s="243"/>
      <c r="WE305" s="243"/>
      <c r="WF305" s="243"/>
      <c r="WG305" s="243"/>
      <c r="WH305" s="243"/>
      <c r="WI305" s="243"/>
      <c r="WJ305" s="243"/>
      <c r="WK305" s="243"/>
      <c r="WL305" s="243"/>
      <c r="WM305" s="243"/>
      <c r="WN305" s="243"/>
      <c r="WO305" s="243"/>
      <c r="WP305" s="243"/>
      <c r="WQ305" s="243"/>
      <c r="WR305" s="243"/>
      <c r="WS305" s="243"/>
      <c r="WT305" s="243"/>
      <c r="WU305" s="243"/>
      <c r="WV305" s="243"/>
      <c r="WW305" s="243"/>
      <c r="WX305" s="243"/>
      <c r="WY305" s="243"/>
      <c r="WZ305" s="243"/>
      <c r="XA305" s="243"/>
      <c r="XB305" s="243"/>
      <c r="XC305" s="243"/>
      <c r="XD305" s="243"/>
      <c r="XE305" s="243"/>
      <c r="XF305" s="243"/>
      <c r="XG305" s="243"/>
      <c r="XH305" s="243"/>
      <c r="XI305" s="243"/>
      <c r="XJ305" s="243"/>
      <c r="XK305" s="243"/>
      <c r="XL305" s="243"/>
      <c r="XM305" s="243"/>
      <c r="XN305" s="243"/>
      <c r="XO305" s="243"/>
      <c r="XP305" s="243"/>
      <c r="XQ305" s="243"/>
      <c r="XR305" s="243"/>
      <c r="XS305" s="243"/>
      <c r="XT305" s="243"/>
      <c r="XU305" s="243"/>
      <c r="XV305" s="243"/>
      <c r="XW305" s="243"/>
      <c r="XX305" s="243"/>
      <c r="XY305" s="243"/>
      <c r="XZ305" s="243"/>
      <c r="YA305" s="243"/>
      <c r="YB305" s="243"/>
      <c r="YC305" s="243"/>
      <c r="YD305" s="243"/>
      <c r="YE305" s="243"/>
      <c r="YF305" s="243"/>
      <c r="YG305" s="243"/>
      <c r="YH305" s="243"/>
      <c r="YI305" s="243"/>
      <c r="YJ305" s="243"/>
      <c r="YK305" s="243"/>
      <c r="YL305" s="243"/>
      <c r="YM305" s="243"/>
      <c r="YN305" s="243"/>
      <c r="YO305" s="243"/>
      <c r="YP305" s="243"/>
      <c r="YQ305" s="243"/>
      <c r="YR305" s="243"/>
      <c r="YS305" s="243"/>
      <c r="YT305" s="243"/>
      <c r="YU305" s="243"/>
      <c r="YV305" s="243"/>
      <c r="YW305" s="243"/>
      <c r="YX305" s="243"/>
      <c r="YY305" s="243"/>
      <c r="YZ305" s="243"/>
      <c r="ZA305" s="243"/>
      <c r="ZB305" s="243"/>
      <c r="ZC305" s="243"/>
      <c r="ZD305" s="243"/>
      <c r="ZE305" s="243"/>
      <c r="ZF305" s="243"/>
      <c r="ZG305" s="243"/>
      <c r="ZH305" s="243"/>
      <c r="ZI305" s="243"/>
      <c r="ZJ305" s="243"/>
      <c r="ZK305" s="243"/>
      <c r="ZL305" s="243"/>
      <c r="ZM305" s="243"/>
      <c r="ZN305" s="243"/>
      <c r="ZO305" s="243"/>
      <c r="ZP305" s="243"/>
      <c r="ZQ305" s="243"/>
      <c r="ZR305" s="243"/>
      <c r="ZS305" s="243"/>
      <c r="ZT305" s="243"/>
      <c r="ZU305" s="243"/>
      <c r="ZV305" s="243"/>
      <c r="ZW305" s="243"/>
      <c r="ZX305" s="243"/>
      <c r="ZY305" s="243"/>
      <c r="ZZ305" s="243"/>
      <c r="AAA305" s="243"/>
      <c r="AAB305" s="243"/>
      <c r="AAC305" s="243"/>
      <c r="AAD305" s="243"/>
      <c r="AAE305" s="243"/>
      <c r="AAF305" s="243"/>
      <c r="AAG305" s="243"/>
      <c r="AAH305" s="243"/>
      <c r="AAI305" s="243"/>
      <c r="AAJ305" s="243"/>
      <c r="AAK305" s="243"/>
      <c r="AAL305" s="243"/>
      <c r="AAM305" s="243"/>
      <c r="AAN305" s="243"/>
      <c r="AAO305" s="243"/>
      <c r="AAP305" s="243"/>
      <c r="AAQ305" s="243"/>
      <c r="AAR305" s="243"/>
      <c r="AAS305" s="243"/>
      <c r="AAT305" s="243"/>
      <c r="AAU305" s="243"/>
      <c r="AAV305" s="243"/>
      <c r="AAW305" s="243"/>
      <c r="AAX305" s="243"/>
      <c r="AAY305" s="243"/>
      <c r="AAZ305" s="243"/>
      <c r="ABA305" s="243"/>
      <c r="ABB305" s="243"/>
      <c r="ABC305" s="243"/>
      <c r="ABD305" s="243"/>
      <c r="ABE305" s="243"/>
      <c r="ABF305" s="243"/>
      <c r="ABG305" s="243"/>
      <c r="ABH305" s="243"/>
      <c r="ABI305" s="243"/>
      <c r="ABJ305" s="243"/>
      <c r="ABK305" s="243"/>
      <c r="ABL305" s="243"/>
      <c r="ABM305" s="243"/>
      <c r="ABN305" s="243"/>
      <c r="ABO305" s="243"/>
      <c r="ABP305" s="243"/>
      <c r="ABQ305" s="243"/>
      <c r="ABR305" s="243"/>
      <c r="ABS305" s="243"/>
      <c r="ABT305" s="243"/>
      <c r="ABU305" s="243"/>
      <c r="ABV305" s="243"/>
      <c r="ABW305" s="243"/>
      <c r="ABX305" s="243"/>
      <c r="ABY305" s="243"/>
      <c r="ABZ305" s="243"/>
      <c r="ACA305" s="243"/>
      <c r="ACB305" s="243"/>
      <c r="ACC305" s="243"/>
      <c r="ACD305" s="243"/>
      <c r="ACE305" s="243"/>
      <c r="ACF305" s="243"/>
      <c r="ACG305" s="243"/>
      <c r="ACH305" s="243"/>
      <c r="ACI305" s="243"/>
      <c r="ACJ305" s="243"/>
      <c r="ACK305" s="243"/>
      <c r="ACL305" s="243"/>
      <c r="ACM305" s="243"/>
      <c r="ACN305" s="243"/>
      <c r="ACO305" s="243"/>
      <c r="ACP305" s="243"/>
      <c r="ACQ305" s="243"/>
      <c r="ACR305" s="243"/>
      <c r="ACS305" s="243"/>
      <c r="ACT305" s="243"/>
      <c r="ACU305" s="243"/>
      <c r="ACV305" s="243"/>
      <c r="ACW305" s="243"/>
      <c r="ACX305" s="243"/>
      <c r="ACY305" s="243"/>
      <c r="ACZ305" s="243"/>
      <c r="ADA305" s="243"/>
      <c r="ADB305" s="243"/>
      <c r="ADC305" s="243"/>
      <c r="ADD305" s="243"/>
      <c r="ADE305" s="243"/>
      <c r="ADF305" s="243"/>
      <c r="ADG305" s="243"/>
      <c r="ADH305" s="243"/>
      <c r="ADI305" s="243"/>
      <c r="ADJ305" s="243"/>
      <c r="ADK305" s="243"/>
      <c r="ADL305" s="243"/>
      <c r="ADM305" s="243"/>
      <c r="ADN305" s="243"/>
      <c r="ADO305" s="243"/>
      <c r="ADP305" s="243"/>
      <c r="ADQ305" s="243"/>
      <c r="ADR305" s="243"/>
      <c r="ADS305" s="243"/>
      <c r="ADT305" s="243"/>
      <c r="ADU305" s="243"/>
      <c r="ADV305" s="243"/>
      <c r="ADW305" s="243"/>
      <c r="ADX305" s="243"/>
      <c r="ADY305" s="243"/>
      <c r="ADZ305" s="243"/>
      <c r="AEA305" s="243"/>
      <c r="AEB305" s="243"/>
      <c r="AEC305" s="243"/>
      <c r="AED305" s="243"/>
      <c r="AEE305" s="243"/>
      <c r="AEF305" s="243"/>
      <c r="AEG305" s="243"/>
      <c r="AEH305" s="243"/>
      <c r="AEI305" s="243"/>
      <c r="AEJ305" s="243"/>
      <c r="AEK305" s="243"/>
      <c r="AEL305" s="243"/>
      <c r="AEM305" s="243"/>
      <c r="AEN305" s="243"/>
      <c r="AEO305" s="243"/>
      <c r="AEP305" s="243"/>
      <c r="AEQ305" s="243"/>
      <c r="AER305" s="243"/>
      <c r="AES305" s="243"/>
      <c r="AET305" s="243"/>
      <c r="AEU305" s="243"/>
      <c r="AEV305" s="243"/>
      <c r="AEW305" s="243"/>
      <c r="AEX305" s="243"/>
      <c r="AEY305" s="243"/>
      <c r="AEZ305" s="243"/>
      <c r="AFA305" s="243"/>
      <c r="AFB305" s="243"/>
      <c r="AFC305" s="243"/>
      <c r="AFD305" s="243"/>
      <c r="AFE305" s="243"/>
      <c r="AFF305" s="243"/>
      <c r="AFG305" s="243"/>
      <c r="AFH305" s="243"/>
      <c r="AFI305" s="243"/>
      <c r="AFJ305" s="243"/>
      <c r="AFK305" s="243"/>
      <c r="AFL305" s="243"/>
      <c r="AFM305" s="243"/>
      <c r="AFN305" s="243"/>
      <c r="AFO305" s="243"/>
      <c r="AFP305" s="243"/>
      <c r="AFQ305" s="243"/>
      <c r="AFR305" s="243"/>
      <c r="AFS305" s="243"/>
      <c r="AFT305" s="243"/>
      <c r="AFU305" s="243"/>
      <c r="AFV305" s="243"/>
      <c r="AFW305" s="243"/>
      <c r="AFX305" s="243"/>
      <c r="AFY305" s="243"/>
      <c r="AFZ305" s="243"/>
      <c r="AGA305" s="243"/>
      <c r="AGB305" s="243"/>
      <c r="AGC305" s="243"/>
      <c r="AGD305" s="243"/>
      <c r="AGE305" s="243"/>
      <c r="AGF305" s="243"/>
      <c r="AGG305" s="243"/>
      <c r="AGH305" s="243"/>
      <c r="AGI305" s="243"/>
      <c r="AGJ305" s="243"/>
      <c r="AGK305" s="243"/>
      <c r="AGL305" s="243"/>
      <c r="AGM305" s="243"/>
      <c r="AGN305" s="243"/>
      <c r="AGO305" s="243"/>
      <c r="AGP305" s="243"/>
      <c r="AGQ305" s="243"/>
      <c r="AGR305" s="243"/>
      <c r="AGS305" s="243"/>
      <c r="AGT305" s="243"/>
      <c r="AGU305" s="243"/>
      <c r="AGV305" s="243"/>
      <c r="AGW305" s="243"/>
      <c r="AGX305" s="243"/>
      <c r="AGY305" s="243"/>
      <c r="AGZ305" s="243"/>
      <c r="AHA305" s="243"/>
      <c r="AHB305" s="243"/>
      <c r="AHC305" s="243"/>
      <c r="AHD305" s="243"/>
      <c r="AHE305" s="243"/>
      <c r="AHF305" s="243"/>
      <c r="AHG305" s="243"/>
      <c r="AHH305" s="243"/>
      <c r="AHI305" s="243"/>
      <c r="AHJ305" s="243"/>
      <c r="AHK305" s="243"/>
      <c r="AHL305" s="243"/>
      <c r="AHM305" s="243"/>
      <c r="AHN305" s="243"/>
      <c r="AHO305" s="243"/>
      <c r="AHP305" s="243"/>
      <c r="AHQ305" s="243"/>
      <c r="AHR305" s="243"/>
      <c r="AHS305" s="243"/>
      <c r="AHT305" s="243"/>
      <c r="AHU305" s="243"/>
      <c r="AHV305" s="243"/>
      <c r="AHW305" s="243"/>
      <c r="AHX305" s="243"/>
      <c r="AHY305" s="243"/>
      <c r="AHZ305" s="243"/>
      <c r="AIA305" s="243"/>
      <c r="AIB305" s="243"/>
      <c r="AIC305" s="243"/>
      <c r="AID305" s="243"/>
      <c r="AIE305" s="243"/>
      <c r="AIF305" s="243"/>
      <c r="AIG305" s="243"/>
      <c r="AIH305" s="243"/>
      <c r="AII305" s="243"/>
      <c r="AIJ305" s="243"/>
      <c r="AIK305" s="243"/>
      <c r="AIL305" s="243"/>
      <c r="AIM305" s="243"/>
      <c r="AIN305" s="243"/>
      <c r="AIO305" s="243"/>
      <c r="AIP305" s="243"/>
      <c r="AIQ305" s="243"/>
      <c r="AIR305" s="243"/>
      <c r="AIS305" s="243"/>
      <c r="AIT305" s="243"/>
      <c r="AIU305" s="243"/>
      <c r="AIV305" s="243"/>
      <c r="AIW305" s="243"/>
      <c r="AIX305" s="243"/>
      <c r="AIY305" s="243"/>
      <c r="AIZ305" s="243"/>
      <c r="AJA305" s="243"/>
      <c r="AJB305" s="243"/>
      <c r="AJC305" s="243"/>
      <c r="AJD305" s="243"/>
      <c r="AJE305" s="243"/>
      <c r="AJF305" s="243"/>
      <c r="AJG305" s="243"/>
      <c r="AJH305" s="243"/>
      <c r="AJI305" s="243"/>
      <c r="AJJ305" s="243"/>
      <c r="AJK305" s="243"/>
      <c r="AJL305" s="243"/>
      <c r="AJM305" s="243"/>
      <c r="AJN305" s="243"/>
      <c r="AJO305" s="243"/>
      <c r="AJP305" s="243"/>
      <c r="AJQ305" s="243"/>
      <c r="AJR305" s="243"/>
      <c r="AJS305" s="243"/>
      <c r="AJT305" s="243"/>
      <c r="AJU305" s="243"/>
      <c r="AJV305" s="243"/>
      <c r="AJW305" s="243"/>
      <c r="AJX305" s="243"/>
      <c r="AJY305" s="243"/>
      <c r="AJZ305" s="243"/>
      <c r="AKA305" s="243"/>
      <c r="AKB305" s="243"/>
      <c r="AKC305" s="243"/>
      <c r="AKD305" s="243"/>
      <c r="AKE305" s="243"/>
      <c r="AKF305" s="243"/>
      <c r="AKG305" s="243"/>
      <c r="AKH305" s="243"/>
      <c r="AKI305" s="243"/>
      <c r="AKJ305" s="243"/>
      <c r="AKK305" s="243"/>
      <c r="AKL305" s="243"/>
      <c r="AKM305" s="243"/>
      <c r="AKN305" s="243"/>
      <c r="AKO305" s="243"/>
      <c r="AKP305" s="243"/>
      <c r="AKQ305" s="243"/>
      <c r="AKR305" s="243"/>
      <c r="AKS305" s="243"/>
      <c r="AKT305" s="243"/>
      <c r="AKU305" s="243"/>
      <c r="AKV305" s="243"/>
      <c r="AKW305" s="243"/>
      <c r="AKX305" s="243"/>
      <c r="AKY305" s="243"/>
      <c r="AKZ305" s="243"/>
      <c r="ALA305" s="243"/>
      <c r="ALB305" s="243"/>
      <c r="ALC305" s="243"/>
      <c r="ALD305" s="243"/>
      <c r="ALE305" s="243"/>
      <c r="ALF305" s="243"/>
      <c r="ALG305" s="243"/>
      <c r="ALH305" s="243"/>
      <c r="ALI305" s="243"/>
      <c r="ALJ305" s="243"/>
      <c r="ALK305" s="243"/>
      <c r="ALL305" s="243"/>
      <c r="ALM305" s="243"/>
      <c r="ALN305" s="243"/>
      <c r="ALO305" s="243"/>
      <c r="ALP305" s="243"/>
      <c r="ALQ305" s="243"/>
      <c r="ALR305" s="243"/>
      <c r="ALS305" s="243"/>
      <c r="ALT305" s="243"/>
      <c r="ALU305" s="243"/>
      <c r="ALV305" s="243"/>
      <c r="ALW305" s="243"/>
      <c r="ALX305" s="243"/>
      <c r="ALY305" s="243"/>
      <c r="ALZ305" s="243"/>
      <c r="AMA305" s="243"/>
      <c r="AMB305" s="243"/>
      <c r="AMC305" s="243"/>
      <c r="AMD305" s="243"/>
      <c r="AME305" s="243"/>
      <c r="AMF305" s="243"/>
      <c r="AMG305" s="243"/>
      <c r="AMH305" s="243"/>
      <c r="AMI305" s="244"/>
      <c r="AMJ305" s="244"/>
    </row>
    <row r="306" spans="1:1024">
      <c r="A306" s="945" t="s">
        <v>209</v>
      </c>
      <c r="B306" s="442">
        <v>14138</v>
      </c>
      <c r="C306" s="498">
        <v>0.1</v>
      </c>
      <c r="D306" s="370" t="s">
        <v>210</v>
      </c>
      <c r="E306" s="433">
        <v>1500000</v>
      </c>
      <c r="F306" s="477">
        <v>0.05</v>
      </c>
      <c r="G306" s="401">
        <f>E306*F306</f>
        <v>75000</v>
      </c>
      <c r="H306" s="402" t="s">
        <v>211</v>
      </c>
      <c r="I306" s="402" t="s">
        <v>124</v>
      </c>
      <c r="J306" s="402" t="s">
        <v>125</v>
      </c>
      <c r="K306" s="402" t="s">
        <v>155</v>
      </c>
      <c r="L306" s="402" t="s">
        <v>125</v>
      </c>
      <c r="M306" s="396"/>
      <c r="N306" s="396"/>
      <c r="O306" s="377"/>
      <c r="P306" s="377"/>
      <c r="Q306" s="377"/>
      <c r="R306" s="243"/>
      <c r="S306" s="243"/>
      <c r="T306" s="243"/>
      <c r="U306" s="243"/>
      <c r="V306" s="243"/>
      <c r="W306" s="243"/>
      <c r="X306" s="243"/>
      <c r="Y306" s="243"/>
      <c r="Z306" s="243"/>
      <c r="AA306" s="243"/>
      <c r="AB306" s="243"/>
      <c r="AC306" s="243"/>
      <c r="AD306" s="243"/>
      <c r="AE306" s="243"/>
      <c r="AF306" s="243"/>
      <c r="AG306" s="243"/>
      <c r="AH306" s="243"/>
      <c r="AI306" s="243"/>
      <c r="AJ306" s="243"/>
      <c r="AK306" s="243"/>
      <c r="AL306" s="243"/>
      <c r="AM306" s="243"/>
      <c r="AN306" s="243"/>
      <c r="AO306" s="243"/>
      <c r="AP306" s="243"/>
      <c r="AQ306" s="243"/>
      <c r="AR306" s="243"/>
      <c r="AS306" s="243"/>
      <c r="AT306" s="243"/>
      <c r="AU306" s="243"/>
      <c r="AV306" s="243"/>
      <c r="AW306" s="243"/>
      <c r="AX306" s="243"/>
      <c r="AY306" s="243"/>
      <c r="AZ306" s="243"/>
      <c r="BA306" s="243"/>
      <c r="BB306" s="243"/>
      <c r="BC306" s="243"/>
      <c r="BD306" s="243"/>
      <c r="BE306" s="243"/>
      <c r="BF306" s="243"/>
      <c r="BG306" s="243"/>
      <c r="BH306" s="243"/>
      <c r="BI306" s="243"/>
      <c r="BJ306" s="243"/>
      <c r="BK306" s="243"/>
      <c r="BL306" s="243"/>
      <c r="BM306" s="243"/>
      <c r="BN306" s="243"/>
      <c r="BO306" s="243"/>
      <c r="BP306" s="243"/>
      <c r="BQ306" s="243"/>
      <c r="BR306" s="243"/>
      <c r="BS306" s="243"/>
      <c r="BT306" s="243"/>
      <c r="BU306" s="243"/>
      <c r="BV306" s="243"/>
      <c r="BW306" s="243"/>
      <c r="BX306" s="243"/>
      <c r="BY306" s="243"/>
      <c r="BZ306" s="243"/>
      <c r="CA306" s="243"/>
      <c r="CB306" s="243"/>
      <c r="CC306" s="243"/>
      <c r="CD306" s="243"/>
      <c r="CE306" s="243"/>
      <c r="CF306" s="243"/>
      <c r="CG306" s="243"/>
      <c r="CH306" s="243"/>
      <c r="CI306" s="243"/>
      <c r="CJ306" s="243"/>
      <c r="CK306" s="243"/>
      <c r="CL306" s="243"/>
      <c r="CM306" s="243"/>
      <c r="CN306" s="243"/>
      <c r="CO306" s="243"/>
      <c r="CP306" s="243"/>
      <c r="CQ306" s="243"/>
      <c r="CR306" s="243"/>
      <c r="CS306" s="243"/>
      <c r="CT306" s="243"/>
      <c r="CU306" s="243"/>
      <c r="CV306" s="243"/>
      <c r="CW306" s="243"/>
      <c r="CX306" s="243"/>
      <c r="CY306" s="243"/>
      <c r="CZ306" s="243"/>
      <c r="DA306" s="243"/>
      <c r="DB306" s="243"/>
      <c r="DC306" s="243"/>
      <c r="DD306" s="243"/>
      <c r="DE306" s="243"/>
      <c r="DF306" s="243"/>
      <c r="DG306" s="243"/>
      <c r="DH306" s="243"/>
      <c r="DI306" s="243"/>
      <c r="DJ306" s="243"/>
      <c r="DK306" s="243"/>
      <c r="DL306" s="243"/>
      <c r="DM306" s="243"/>
      <c r="DN306" s="243"/>
      <c r="DO306" s="243"/>
      <c r="DP306" s="243"/>
      <c r="DQ306" s="243"/>
      <c r="DR306" s="243"/>
      <c r="DS306" s="243"/>
      <c r="DT306" s="243"/>
      <c r="DU306" s="243"/>
      <c r="DV306" s="243"/>
      <c r="DW306" s="243"/>
      <c r="DX306" s="243"/>
      <c r="DY306" s="243"/>
      <c r="DZ306" s="243"/>
      <c r="EA306" s="243"/>
      <c r="EB306" s="243"/>
      <c r="EC306" s="243"/>
      <c r="ED306" s="243"/>
      <c r="EE306" s="243"/>
      <c r="EF306" s="243"/>
      <c r="EG306" s="243"/>
      <c r="EH306" s="243"/>
      <c r="EI306" s="243"/>
      <c r="EJ306" s="243"/>
      <c r="EK306" s="243"/>
      <c r="EL306" s="243"/>
      <c r="EM306" s="243"/>
      <c r="EN306" s="243"/>
      <c r="EO306" s="243"/>
      <c r="EP306" s="243"/>
      <c r="EQ306" s="243"/>
      <c r="ER306" s="243"/>
      <c r="ES306" s="243"/>
      <c r="ET306" s="243"/>
      <c r="EU306" s="243"/>
      <c r="EV306" s="243"/>
      <c r="EW306" s="243"/>
      <c r="EX306" s="243"/>
      <c r="EY306" s="243"/>
      <c r="EZ306" s="243"/>
      <c r="FA306" s="243"/>
      <c r="FB306" s="243"/>
      <c r="FC306" s="243"/>
      <c r="FD306" s="243"/>
      <c r="FE306" s="243"/>
      <c r="FF306" s="243"/>
      <c r="FG306" s="243"/>
      <c r="FH306" s="243"/>
      <c r="FI306" s="243"/>
      <c r="FJ306" s="243"/>
      <c r="FK306" s="243"/>
      <c r="FL306" s="243"/>
      <c r="FM306" s="243"/>
      <c r="FN306" s="243"/>
      <c r="FO306" s="243"/>
      <c r="FP306" s="243"/>
      <c r="FQ306" s="243"/>
      <c r="FR306" s="243"/>
      <c r="FS306" s="243"/>
      <c r="FT306" s="243"/>
      <c r="FU306" s="243"/>
      <c r="FV306" s="243"/>
      <c r="FW306" s="243"/>
      <c r="FX306" s="243"/>
      <c r="FY306" s="243"/>
      <c r="FZ306" s="243"/>
      <c r="GA306" s="243"/>
      <c r="GB306" s="243"/>
      <c r="GC306" s="243"/>
      <c r="GD306" s="243"/>
      <c r="GE306" s="243"/>
      <c r="GF306" s="243"/>
      <c r="GG306" s="243"/>
      <c r="GH306" s="243"/>
      <c r="GI306" s="243"/>
      <c r="GJ306" s="243"/>
      <c r="GK306" s="243"/>
      <c r="GL306" s="243"/>
      <c r="GM306" s="243"/>
      <c r="GN306" s="243"/>
      <c r="GO306" s="243"/>
      <c r="GP306" s="243"/>
      <c r="GQ306" s="243"/>
      <c r="GR306" s="243"/>
      <c r="GS306" s="243"/>
      <c r="GT306" s="243"/>
      <c r="GU306" s="243"/>
      <c r="GV306" s="243"/>
      <c r="GW306" s="243"/>
      <c r="GX306" s="243"/>
      <c r="GY306" s="243"/>
      <c r="GZ306" s="243"/>
      <c r="HA306" s="243"/>
      <c r="HB306" s="243"/>
      <c r="HC306" s="243"/>
      <c r="HD306" s="243"/>
      <c r="HE306" s="243"/>
      <c r="HF306" s="243"/>
      <c r="HG306" s="243"/>
      <c r="HH306" s="243"/>
      <c r="HI306" s="243"/>
      <c r="HJ306" s="243"/>
      <c r="HK306" s="243"/>
      <c r="HL306" s="243"/>
      <c r="HM306" s="243"/>
      <c r="HN306" s="243"/>
      <c r="HO306" s="243"/>
      <c r="HP306" s="243"/>
      <c r="HQ306" s="243"/>
      <c r="HR306" s="243"/>
      <c r="HS306" s="243"/>
      <c r="HT306" s="243"/>
      <c r="HU306" s="243"/>
      <c r="HV306" s="243"/>
      <c r="HW306" s="243"/>
      <c r="HX306" s="243"/>
      <c r="HY306" s="243"/>
      <c r="HZ306" s="243"/>
      <c r="IA306" s="243"/>
      <c r="IB306" s="243"/>
      <c r="IC306" s="243"/>
      <c r="ID306" s="243"/>
      <c r="IE306" s="243"/>
      <c r="IF306" s="243"/>
      <c r="IG306" s="243"/>
      <c r="IH306" s="243"/>
      <c r="II306" s="243"/>
      <c r="IJ306" s="243"/>
      <c r="IK306" s="243"/>
      <c r="IL306" s="243"/>
      <c r="IM306" s="243"/>
      <c r="IN306" s="243"/>
      <c r="IO306" s="243"/>
      <c r="IP306" s="243"/>
      <c r="IQ306" s="243"/>
      <c r="IR306" s="243"/>
      <c r="IS306" s="243"/>
      <c r="IT306" s="243"/>
      <c r="IU306" s="243"/>
      <c r="IV306" s="243"/>
      <c r="IW306" s="243"/>
      <c r="IX306" s="243"/>
      <c r="IY306" s="243"/>
      <c r="IZ306" s="243"/>
      <c r="JA306" s="243"/>
      <c r="JB306" s="243"/>
      <c r="JC306" s="243"/>
      <c r="JD306" s="243"/>
      <c r="JE306" s="243"/>
      <c r="JF306" s="243"/>
      <c r="JG306" s="243"/>
      <c r="JH306" s="243"/>
      <c r="JI306" s="243"/>
      <c r="JJ306" s="243"/>
      <c r="JK306" s="243"/>
      <c r="JL306" s="243"/>
      <c r="JM306" s="243"/>
      <c r="JN306" s="243"/>
      <c r="JO306" s="243"/>
      <c r="JP306" s="243"/>
      <c r="JQ306" s="243"/>
      <c r="JR306" s="243"/>
      <c r="JS306" s="243"/>
      <c r="JT306" s="243"/>
      <c r="JU306" s="243"/>
      <c r="JV306" s="243"/>
      <c r="JW306" s="243"/>
      <c r="JX306" s="243"/>
      <c r="JY306" s="243"/>
      <c r="JZ306" s="243"/>
      <c r="KA306" s="243"/>
      <c r="KB306" s="243"/>
      <c r="KC306" s="243"/>
      <c r="KD306" s="243"/>
      <c r="KE306" s="243"/>
      <c r="KF306" s="243"/>
      <c r="KG306" s="243"/>
      <c r="KH306" s="243"/>
      <c r="KI306" s="243"/>
      <c r="KJ306" s="243"/>
      <c r="KK306" s="243"/>
      <c r="KL306" s="243"/>
      <c r="KM306" s="243"/>
      <c r="KN306" s="243"/>
      <c r="KO306" s="243"/>
      <c r="KP306" s="243"/>
      <c r="KQ306" s="243"/>
      <c r="KR306" s="243"/>
      <c r="KS306" s="243"/>
      <c r="KT306" s="243"/>
      <c r="KU306" s="243"/>
      <c r="KV306" s="243"/>
      <c r="KW306" s="243"/>
      <c r="KX306" s="243"/>
      <c r="KY306" s="243"/>
      <c r="KZ306" s="243"/>
      <c r="LA306" s="243"/>
      <c r="LB306" s="243"/>
      <c r="LC306" s="243"/>
      <c r="LD306" s="243"/>
      <c r="LE306" s="243"/>
      <c r="LF306" s="243"/>
      <c r="LG306" s="243"/>
      <c r="LH306" s="243"/>
      <c r="LI306" s="243"/>
      <c r="LJ306" s="243"/>
      <c r="LK306" s="243"/>
      <c r="LL306" s="243"/>
      <c r="LM306" s="243"/>
      <c r="LN306" s="243"/>
      <c r="LO306" s="243"/>
      <c r="LP306" s="243"/>
      <c r="LQ306" s="243"/>
      <c r="LR306" s="243"/>
      <c r="LS306" s="243"/>
      <c r="LT306" s="243"/>
      <c r="LU306" s="243"/>
      <c r="LV306" s="243"/>
      <c r="LW306" s="243"/>
      <c r="LX306" s="243"/>
      <c r="LY306" s="243"/>
      <c r="LZ306" s="243"/>
      <c r="MA306" s="243"/>
      <c r="MB306" s="243"/>
      <c r="MC306" s="243"/>
      <c r="MD306" s="243"/>
      <c r="ME306" s="243"/>
      <c r="MF306" s="243"/>
      <c r="MG306" s="243"/>
      <c r="MH306" s="243"/>
      <c r="MI306" s="243"/>
      <c r="MJ306" s="243"/>
      <c r="MK306" s="243"/>
      <c r="ML306" s="243"/>
      <c r="MM306" s="243"/>
      <c r="MN306" s="243"/>
      <c r="MO306" s="243"/>
      <c r="MP306" s="243"/>
      <c r="MQ306" s="243"/>
      <c r="MR306" s="243"/>
      <c r="MS306" s="243"/>
      <c r="MT306" s="243"/>
      <c r="MU306" s="243"/>
      <c r="MV306" s="243"/>
      <c r="MW306" s="243"/>
      <c r="MX306" s="243"/>
      <c r="MY306" s="243"/>
      <c r="MZ306" s="243"/>
      <c r="NA306" s="243"/>
      <c r="NB306" s="243"/>
      <c r="NC306" s="243"/>
      <c r="ND306" s="243"/>
      <c r="NE306" s="243"/>
      <c r="NF306" s="243"/>
      <c r="NG306" s="243"/>
      <c r="NH306" s="243"/>
      <c r="NI306" s="243"/>
      <c r="NJ306" s="243"/>
      <c r="NK306" s="243"/>
      <c r="NL306" s="243"/>
      <c r="NM306" s="243"/>
      <c r="NN306" s="243"/>
      <c r="NO306" s="243"/>
      <c r="NP306" s="243"/>
      <c r="NQ306" s="243"/>
      <c r="NR306" s="243"/>
      <c r="NS306" s="243"/>
      <c r="NT306" s="243"/>
      <c r="NU306" s="243"/>
      <c r="NV306" s="243"/>
      <c r="NW306" s="243"/>
      <c r="NX306" s="243"/>
      <c r="NY306" s="243"/>
      <c r="NZ306" s="243"/>
      <c r="OA306" s="243"/>
      <c r="OB306" s="243"/>
      <c r="OC306" s="243"/>
      <c r="OD306" s="243"/>
      <c r="OE306" s="243"/>
      <c r="OF306" s="243"/>
      <c r="OG306" s="243"/>
      <c r="OH306" s="243"/>
      <c r="OI306" s="243"/>
      <c r="OJ306" s="243"/>
      <c r="OK306" s="243"/>
      <c r="OL306" s="243"/>
      <c r="OM306" s="243"/>
      <c r="ON306" s="243"/>
      <c r="OO306" s="243"/>
      <c r="OP306" s="243"/>
      <c r="OQ306" s="243"/>
      <c r="OR306" s="243"/>
      <c r="OS306" s="243"/>
      <c r="OT306" s="243"/>
      <c r="OU306" s="243"/>
      <c r="OV306" s="243"/>
      <c r="OW306" s="243"/>
      <c r="OX306" s="243"/>
      <c r="OY306" s="243"/>
      <c r="OZ306" s="243"/>
      <c r="PA306" s="243"/>
      <c r="PB306" s="243"/>
      <c r="PC306" s="243"/>
      <c r="PD306" s="243"/>
      <c r="PE306" s="243"/>
      <c r="PF306" s="243"/>
      <c r="PG306" s="243"/>
      <c r="PH306" s="243"/>
      <c r="PI306" s="243"/>
      <c r="PJ306" s="243"/>
      <c r="PK306" s="243"/>
      <c r="PL306" s="243"/>
      <c r="PM306" s="243"/>
      <c r="PN306" s="243"/>
      <c r="PO306" s="243"/>
      <c r="PP306" s="243"/>
      <c r="PQ306" s="243"/>
      <c r="PR306" s="243"/>
      <c r="PS306" s="243"/>
      <c r="PT306" s="243"/>
      <c r="PU306" s="243"/>
      <c r="PV306" s="243"/>
      <c r="PW306" s="243"/>
      <c r="PX306" s="243"/>
      <c r="PY306" s="243"/>
      <c r="PZ306" s="243"/>
      <c r="QA306" s="243"/>
      <c r="QB306" s="243"/>
      <c r="QC306" s="243"/>
      <c r="QD306" s="243"/>
      <c r="QE306" s="243"/>
      <c r="QF306" s="243"/>
      <c r="QG306" s="243"/>
      <c r="QH306" s="243"/>
      <c r="QI306" s="243"/>
      <c r="QJ306" s="243"/>
      <c r="QK306" s="243"/>
      <c r="QL306" s="243"/>
      <c r="QM306" s="243"/>
      <c r="QN306" s="243"/>
      <c r="QO306" s="243"/>
      <c r="QP306" s="243"/>
      <c r="QQ306" s="243"/>
      <c r="QR306" s="243"/>
      <c r="QS306" s="243"/>
      <c r="QT306" s="243"/>
      <c r="QU306" s="243"/>
      <c r="QV306" s="243"/>
      <c r="QW306" s="243"/>
      <c r="QX306" s="243"/>
      <c r="QY306" s="243"/>
      <c r="QZ306" s="243"/>
      <c r="RA306" s="243"/>
      <c r="RB306" s="243"/>
      <c r="RC306" s="243"/>
      <c r="RD306" s="243"/>
      <c r="RE306" s="243"/>
      <c r="RF306" s="243"/>
      <c r="RG306" s="243"/>
      <c r="RH306" s="243"/>
      <c r="RI306" s="243"/>
      <c r="RJ306" s="243"/>
      <c r="RK306" s="243"/>
      <c r="RL306" s="243"/>
      <c r="RM306" s="243"/>
      <c r="RN306" s="243"/>
      <c r="RO306" s="243"/>
      <c r="RP306" s="243"/>
      <c r="RQ306" s="243"/>
      <c r="RR306" s="243"/>
      <c r="RS306" s="243"/>
      <c r="RT306" s="243"/>
      <c r="RU306" s="243"/>
      <c r="RV306" s="243"/>
      <c r="RW306" s="243"/>
      <c r="RX306" s="243"/>
      <c r="RY306" s="243"/>
      <c r="RZ306" s="243"/>
      <c r="SA306" s="243"/>
      <c r="SB306" s="243"/>
      <c r="SC306" s="243"/>
      <c r="SD306" s="243"/>
      <c r="SE306" s="243"/>
      <c r="SF306" s="243"/>
      <c r="SG306" s="243"/>
      <c r="SH306" s="243"/>
      <c r="SI306" s="243"/>
      <c r="SJ306" s="243"/>
      <c r="SK306" s="243"/>
      <c r="SL306" s="243"/>
      <c r="SM306" s="243"/>
      <c r="SN306" s="243"/>
      <c r="SO306" s="243"/>
      <c r="SP306" s="243"/>
      <c r="SQ306" s="243"/>
      <c r="SR306" s="243"/>
      <c r="SS306" s="243"/>
      <c r="ST306" s="243"/>
      <c r="SU306" s="243"/>
      <c r="SV306" s="243"/>
      <c r="SW306" s="243"/>
      <c r="SX306" s="243"/>
      <c r="SY306" s="243"/>
      <c r="SZ306" s="243"/>
      <c r="TA306" s="243"/>
      <c r="TB306" s="243"/>
      <c r="TC306" s="243"/>
      <c r="TD306" s="243"/>
      <c r="TE306" s="243"/>
      <c r="TF306" s="243"/>
      <c r="TG306" s="243"/>
      <c r="TH306" s="243"/>
      <c r="TI306" s="243"/>
      <c r="TJ306" s="243"/>
      <c r="TK306" s="243"/>
      <c r="TL306" s="243"/>
      <c r="TM306" s="243"/>
      <c r="TN306" s="243"/>
      <c r="TO306" s="243"/>
      <c r="TP306" s="243"/>
      <c r="TQ306" s="243"/>
      <c r="TR306" s="243"/>
      <c r="TS306" s="243"/>
      <c r="TT306" s="243"/>
      <c r="TU306" s="243"/>
      <c r="TV306" s="243"/>
      <c r="TW306" s="243"/>
      <c r="TX306" s="243"/>
      <c r="TY306" s="243"/>
      <c r="TZ306" s="243"/>
      <c r="UA306" s="243"/>
      <c r="UB306" s="243"/>
      <c r="UC306" s="243"/>
      <c r="UD306" s="243"/>
      <c r="UE306" s="243"/>
      <c r="UF306" s="243"/>
      <c r="UG306" s="243"/>
      <c r="UH306" s="243"/>
      <c r="UI306" s="243"/>
      <c r="UJ306" s="243"/>
      <c r="UK306" s="243"/>
      <c r="UL306" s="243"/>
      <c r="UM306" s="243"/>
      <c r="UN306" s="243"/>
      <c r="UO306" s="243"/>
      <c r="UP306" s="243"/>
      <c r="UQ306" s="243"/>
      <c r="UR306" s="243"/>
      <c r="US306" s="243"/>
      <c r="UT306" s="243"/>
      <c r="UU306" s="243"/>
      <c r="UV306" s="243"/>
      <c r="UW306" s="243"/>
      <c r="UX306" s="243"/>
      <c r="UY306" s="243"/>
      <c r="UZ306" s="243"/>
      <c r="VA306" s="243"/>
      <c r="VB306" s="243"/>
      <c r="VC306" s="243"/>
      <c r="VD306" s="243"/>
      <c r="VE306" s="243"/>
      <c r="VF306" s="243"/>
      <c r="VG306" s="243"/>
      <c r="VH306" s="243"/>
      <c r="VI306" s="243"/>
      <c r="VJ306" s="243"/>
      <c r="VK306" s="243"/>
      <c r="VL306" s="243"/>
      <c r="VM306" s="243"/>
      <c r="VN306" s="243"/>
      <c r="VO306" s="243"/>
      <c r="VP306" s="243"/>
      <c r="VQ306" s="243"/>
      <c r="VR306" s="243"/>
      <c r="VS306" s="243"/>
      <c r="VT306" s="243"/>
      <c r="VU306" s="243"/>
      <c r="VV306" s="243"/>
      <c r="VW306" s="243"/>
      <c r="VX306" s="243"/>
      <c r="VY306" s="243"/>
      <c r="VZ306" s="243"/>
      <c r="WA306" s="243"/>
      <c r="WB306" s="243"/>
      <c r="WC306" s="243"/>
      <c r="WD306" s="243"/>
      <c r="WE306" s="243"/>
      <c r="WF306" s="243"/>
      <c r="WG306" s="243"/>
      <c r="WH306" s="243"/>
      <c r="WI306" s="243"/>
      <c r="WJ306" s="243"/>
      <c r="WK306" s="243"/>
      <c r="WL306" s="243"/>
      <c r="WM306" s="243"/>
      <c r="WN306" s="243"/>
      <c r="WO306" s="243"/>
      <c r="WP306" s="243"/>
      <c r="WQ306" s="243"/>
      <c r="WR306" s="243"/>
      <c r="WS306" s="243"/>
      <c r="WT306" s="243"/>
      <c r="WU306" s="243"/>
      <c r="WV306" s="243"/>
      <c r="WW306" s="243"/>
      <c r="WX306" s="243"/>
      <c r="WY306" s="243"/>
      <c r="WZ306" s="243"/>
      <c r="XA306" s="243"/>
      <c r="XB306" s="243"/>
      <c r="XC306" s="243"/>
      <c r="XD306" s="243"/>
      <c r="XE306" s="243"/>
      <c r="XF306" s="243"/>
      <c r="XG306" s="243"/>
      <c r="XH306" s="243"/>
      <c r="XI306" s="243"/>
      <c r="XJ306" s="243"/>
      <c r="XK306" s="243"/>
      <c r="XL306" s="243"/>
      <c r="XM306" s="243"/>
      <c r="XN306" s="243"/>
      <c r="XO306" s="243"/>
      <c r="XP306" s="243"/>
      <c r="XQ306" s="243"/>
      <c r="XR306" s="243"/>
      <c r="XS306" s="243"/>
      <c r="XT306" s="243"/>
      <c r="XU306" s="243"/>
      <c r="XV306" s="243"/>
      <c r="XW306" s="243"/>
      <c r="XX306" s="243"/>
      <c r="XY306" s="243"/>
      <c r="XZ306" s="243"/>
      <c r="YA306" s="243"/>
      <c r="YB306" s="243"/>
      <c r="YC306" s="243"/>
      <c r="YD306" s="243"/>
      <c r="YE306" s="243"/>
      <c r="YF306" s="243"/>
      <c r="YG306" s="243"/>
      <c r="YH306" s="243"/>
      <c r="YI306" s="243"/>
      <c r="YJ306" s="243"/>
      <c r="YK306" s="243"/>
      <c r="YL306" s="243"/>
      <c r="YM306" s="243"/>
      <c r="YN306" s="243"/>
      <c r="YO306" s="243"/>
      <c r="YP306" s="243"/>
      <c r="YQ306" s="243"/>
      <c r="YR306" s="243"/>
      <c r="YS306" s="243"/>
      <c r="YT306" s="243"/>
      <c r="YU306" s="243"/>
      <c r="YV306" s="243"/>
      <c r="YW306" s="243"/>
      <c r="YX306" s="243"/>
      <c r="YY306" s="243"/>
      <c r="YZ306" s="243"/>
      <c r="ZA306" s="243"/>
      <c r="ZB306" s="243"/>
      <c r="ZC306" s="243"/>
      <c r="ZD306" s="243"/>
      <c r="ZE306" s="243"/>
      <c r="ZF306" s="243"/>
      <c r="ZG306" s="243"/>
      <c r="ZH306" s="243"/>
      <c r="ZI306" s="243"/>
      <c r="ZJ306" s="243"/>
      <c r="ZK306" s="243"/>
      <c r="ZL306" s="243"/>
      <c r="ZM306" s="243"/>
      <c r="ZN306" s="243"/>
      <c r="ZO306" s="243"/>
      <c r="ZP306" s="243"/>
      <c r="ZQ306" s="243"/>
      <c r="ZR306" s="243"/>
      <c r="ZS306" s="243"/>
      <c r="ZT306" s="243"/>
      <c r="ZU306" s="243"/>
      <c r="ZV306" s="243"/>
      <c r="ZW306" s="243"/>
      <c r="ZX306" s="243"/>
      <c r="ZY306" s="243"/>
      <c r="ZZ306" s="243"/>
      <c r="AAA306" s="243"/>
      <c r="AAB306" s="243"/>
      <c r="AAC306" s="243"/>
      <c r="AAD306" s="243"/>
      <c r="AAE306" s="243"/>
      <c r="AAF306" s="243"/>
      <c r="AAG306" s="243"/>
      <c r="AAH306" s="243"/>
      <c r="AAI306" s="243"/>
      <c r="AAJ306" s="243"/>
      <c r="AAK306" s="243"/>
      <c r="AAL306" s="243"/>
      <c r="AAM306" s="243"/>
      <c r="AAN306" s="243"/>
      <c r="AAO306" s="243"/>
      <c r="AAP306" s="243"/>
      <c r="AAQ306" s="243"/>
      <c r="AAR306" s="243"/>
      <c r="AAS306" s="243"/>
      <c r="AAT306" s="243"/>
      <c r="AAU306" s="243"/>
      <c r="AAV306" s="243"/>
      <c r="AAW306" s="243"/>
      <c r="AAX306" s="243"/>
      <c r="AAY306" s="243"/>
      <c r="AAZ306" s="243"/>
      <c r="ABA306" s="243"/>
      <c r="ABB306" s="243"/>
      <c r="ABC306" s="243"/>
      <c r="ABD306" s="243"/>
      <c r="ABE306" s="243"/>
      <c r="ABF306" s="243"/>
      <c r="ABG306" s="243"/>
      <c r="ABH306" s="243"/>
      <c r="ABI306" s="243"/>
      <c r="ABJ306" s="243"/>
      <c r="ABK306" s="243"/>
      <c r="ABL306" s="243"/>
      <c r="ABM306" s="243"/>
      <c r="ABN306" s="243"/>
      <c r="ABO306" s="243"/>
      <c r="ABP306" s="243"/>
      <c r="ABQ306" s="243"/>
      <c r="ABR306" s="243"/>
      <c r="ABS306" s="243"/>
      <c r="ABT306" s="243"/>
      <c r="ABU306" s="243"/>
      <c r="ABV306" s="243"/>
      <c r="ABW306" s="243"/>
      <c r="ABX306" s="243"/>
      <c r="ABY306" s="243"/>
      <c r="ABZ306" s="243"/>
      <c r="ACA306" s="243"/>
      <c r="ACB306" s="243"/>
      <c r="ACC306" s="243"/>
      <c r="ACD306" s="243"/>
      <c r="ACE306" s="243"/>
      <c r="ACF306" s="243"/>
      <c r="ACG306" s="243"/>
      <c r="ACH306" s="243"/>
      <c r="ACI306" s="243"/>
      <c r="ACJ306" s="243"/>
      <c r="ACK306" s="243"/>
      <c r="ACL306" s="243"/>
      <c r="ACM306" s="243"/>
      <c r="ACN306" s="243"/>
      <c r="ACO306" s="243"/>
      <c r="ACP306" s="243"/>
      <c r="ACQ306" s="243"/>
      <c r="ACR306" s="243"/>
      <c r="ACS306" s="243"/>
      <c r="ACT306" s="243"/>
      <c r="ACU306" s="243"/>
      <c r="ACV306" s="243"/>
      <c r="ACW306" s="243"/>
      <c r="ACX306" s="243"/>
      <c r="ACY306" s="243"/>
      <c r="ACZ306" s="243"/>
      <c r="ADA306" s="243"/>
      <c r="ADB306" s="243"/>
      <c r="ADC306" s="243"/>
      <c r="ADD306" s="243"/>
      <c r="ADE306" s="243"/>
      <c r="ADF306" s="243"/>
      <c r="ADG306" s="243"/>
      <c r="ADH306" s="243"/>
      <c r="ADI306" s="243"/>
      <c r="ADJ306" s="243"/>
      <c r="ADK306" s="243"/>
      <c r="ADL306" s="243"/>
      <c r="ADM306" s="243"/>
      <c r="ADN306" s="243"/>
      <c r="ADO306" s="243"/>
      <c r="ADP306" s="243"/>
      <c r="ADQ306" s="243"/>
      <c r="ADR306" s="243"/>
      <c r="ADS306" s="243"/>
      <c r="ADT306" s="243"/>
      <c r="ADU306" s="243"/>
      <c r="ADV306" s="243"/>
      <c r="ADW306" s="243"/>
      <c r="ADX306" s="243"/>
      <c r="ADY306" s="243"/>
      <c r="ADZ306" s="243"/>
      <c r="AEA306" s="243"/>
      <c r="AEB306" s="243"/>
      <c r="AEC306" s="243"/>
      <c r="AED306" s="243"/>
      <c r="AEE306" s="243"/>
      <c r="AEF306" s="243"/>
      <c r="AEG306" s="243"/>
      <c r="AEH306" s="243"/>
      <c r="AEI306" s="243"/>
      <c r="AEJ306" s="243"/>
      <c r="AEK306" s="243"/>
      <c r="AEL306" s="243"/>
      <c r="AEM306" s="243"/>
      <c r="AEN306" s="243"/>
      <c r="AEO306" s="243"/>
      <c r="AEP306" s="243"/>
      <c r="AEQ306" s="243"/>
      <c r="AER306" s="243"/>
      <c r="AES306" s="243"/>
      <c r="AET306" s="243"/>
      <c r="AEU306" s="243"/>
      <c r="AEV306" s="243"/>
      <c r="AEW306" s="243"/>
      <c r="AEX306" s="243"/>
      <c r="AEY306" s="243"/>
      <c r="AEZ306" s="243"/>
      <c r="AFA306" s="243"/>
      <c r="AFB306" s="243"/>
      <c r="AFC306" s="243"/>
      <c r="AFD306" s="243"/>
      <c r="AFE306" s="243"/>
      <c r="AFF306" s="243"/>
      <c r="AFG306" s="243"/>
      <c r="AFH306" s="243"/>
      <c r="AFI306" s="243"/>
      <c r="AFJ306" s="243"/>
      <c r="AFK306" s="243"/>
      <c r="AFL306" s="243"/>
      <c r="AFM306" s="243"/>
      <c r="AFN306" s="243"/>
      <c r="AFO306" s="243"/>
      <c r="AFP306" s="243"/>
      <c r="AFQ306" s="243"/>
      <c r="AFR306" s="243"/>
      <c r="AFS306" s="243"/>
      <c r="AFT306" s="243"/>
      <c r="AFU306" s="243"/>
      <c r="AFV306" s="243"/>
      <c r="AFW306" s="243"/>
      <c r="AFX306" s="243"/>
      <c r="AFY306" s="243"/>
      <c r="AFZ306" s="243"/>
      <c r="AGA306" s="243"/>
      <c r="AGB306" s="243"/>
      <c r="AGC306" s="243"/>
      <c r="AGD306" s="243"/>
      <c r="AGE306" s="243"/>
      <c r="AGF306" s="243"/>
      <c r="AGG306" s="243"/>
      <c r="AGH306" s="243"/>
      <c r="AGI306" s="243"/>
      <c r="AGJ306" s="243"/>
      <c r="AGK306" s="243"/>
      <c r="AGL306" s="243"/>
      <c r="AGM306" s="243"/>
      <c r="AGN306" s="243"/>
      <c r="AGO306" s="243"/>
      <c r="AGP306" s="243"/>
      <c r="AGQ306" s="243"/>
      <c r="AGR306" s="243"/>
      <c r="AGS306" s="243"/>
      <c r="AGT306" s="243"/>
      <c r="AGU306" s="243"/>
      <c r="AGV306" s="243"/>
      <c r="AGW306" s="243"/>
      <c r="AGX306" s="243"/>
      <c r="AGY306" s="243"/>
      <c r="AGZ306" s="243"/>
      <c r="AHA306" s="243"/>
      <c r="AHB306" s="243"/>
      <c r="AHC306" s="243"/>
      <c r="AHD306" s="243"/>
      <c r="AHE306" s="243"/>
      <c r="AHF306" s="243"/>
      <c r="AHG306" s="243"/>
      <c r="AHH306" s="243"/>
      <c r="AHI306" s="243"/>
      <c r="AHJ306" s="243"/>
      <c r="AHK306" s="243"/>
      <c r="AHL306" s="243"/>
      <c r="AHM306" s="243"/>
      <c r="AHN306" s="243"/>
      <c r="AHO306" s="243"/>
      <c r="AHP306" s="243"/>
      <c r="AHQ306" s="243"/>
      <c r="AHR306" s="243"/>
      <c r="AHS306" s="243"/>
      <c r="AHT306" s="243"/>
      <c r="AHU306" s="243"/>
      <c r="AHV306" s="243"/>
      <c r="AHW306" s="243"/>
      <c r="AHX306" s="243"/>
      <c r="AHY306" s="243"/>
      <c r="AHZ306" s="243"/>
      <c r="AIA306" s="243"/>
      <c r="AIB306" s="243"/>
      <c r="AIC306" s="243"/>
      <c r="AID306" s="243"/>
      <c r="AIE306" s="243"/>
      <c r="AIF306" s="243"/>
      <c r="AIG306" s="243"/>
      <c r="AIH306" s="243"/>
      <c r="AII306" s="243"/>
      <c r="AIJ306" s="243"/>
      <c r="AIK306" s="243"/>
      <c r="AIL306" s="243"/>
      <c r="AIM306" s="243"/>
      <c r="AIN306" s="243"/>
      <c r="AIO306" s="243"/>
      <c r="AIP306" s="243"/>
      <c r="AIQ306" s="243"/>
      <c r="AIR306" s="243"/>
      <c r="AIS306" s="243"/>
      <c r="AIT306" s="243"/>
      <c r="AIU306" s="243"/>
      <c r="AIV306" s="243"/>
      <c r="AIW306" s="243"/>
      <c r="AIX306" s="243"/>
      <c r="AIY306" s="243"/>
      <c r="AIZ306" s="243"/>
      <c r="AJA306" s="243"/>
      <c r="AJB306" s="243"/>
      <c r="AJC306" s="243"/>
      <c r="AJD306" s="243"/>
      <c r="AJE306" s="243"/>
      <c r="AJF306" s="243"/>
      <c r="AJG306" s="243"/>
      <c r="AJH306" s="243"/>
      <c r="AJI306" s="243"/>
      <c r="AJJ306" s="243"/>
      <c r="AJK306" s="243"/>
      <c r="AJL306" s="243"/>
      <c r="AJM306" s="243"/>
      <c r="AJN306" s="243"/>
      <c r="AJO306" s="243"/>
      <c r="AJP306" s="243"/>
      <c r="AJQ306" s="243"/>
      <c r="AJR306" s="243"/>
      <c r="AJS306" s="243"/>
      <c r="AJT306" s="243"/>
      <c r="AJU306" s="243"/>
      <c r="AJV306" s="243"/>
      <c r="AJW306" s="243"/>
      <c r="AJX306" s="243"/>
      <c r="AJY306" s="243"/>
      <c r="AJZ306" s="243"/>
      <c r="AKA306" s="243"/>
      <c r="AKB306" s="243"/>
      <c r="AKC306" s="243"/>
      <c r="AKD306" s="243"/>
      <c r="AKE306" s="243"/>
      <c r="AKF306" s="243"/>
      <c r="AKG306" s="243"/>
      <c r="AKH306" s="243"/>
      <c r="AKI306" s="243"/>
      <c r="AKJ306" s="243"/>
      <c r="AKK306" s="243"/>
      <c r="AKL306" s="243"/>
      <c r="AKM306" s="243"/>
      <c r="AKN306" s="243"/>
      <c r="AKO306" s="243"/>
      <c r="AKP306" s="243"/>
      <c r="AKQ306" s="243"/>
      <c r="AKR306" s="243"/>
      <c r="AKS306" s="243"/>
      <c r="AKT306" s="243"/>
      <c r="AKU306" s="243"/>
      <c r="AKV306" s="243"/>
      <c r="AKW306" s="243"/>
      <c r="AKX306" s="243"/>
      <c r="AKY306" s="243"/>
      <c r="AKZ306" s="243"/>
      <c r="ALA306" s="243"/>
      <c r="ALB306" s="243"/>
      <c r="ALC306" s="243"/>
      <c r="ALD306" s="243"/>
      <c r="ALE306" s="243"/>
      <c r="ALF306" s="243"/>
      <c r="ALG306" s="243"/>
      <c r="ALH306" s="243"/>
      <c r="ALI306" s="243"/>
      <c r="ALJ306" s="243"/>
      <c r="ALK306" s="243"/>
      <c r="ALL306" s="243"/>
      <c r="ALM306" s="243"/>
      <c r="ALN306" s="243"/>
      <c r="ALO306" s="243"/>
      <c r="ALP306" s="243"/>
      <c r="ALQ306" s="243"/>
      <c r="ALR306" s="243"/>
      <c r="ALS306" s="243"/>
      <c r="ALT306" s="243"/>
      <c r="ALU306" s="243"/>
      <c r="ALV306" s="243"/>
      <c r="ALW306" s="243"/>
      <c r="ALX306" s="243"/>
      <c r="ALY306" s="243"/>
      <c r="ALZ306" s="243"/>
      <c r="AMA306" s="243"/>
      <c r="AMB306" s="243"/>
      <c r="AMC306" s="243"/>
      <c r="AMD306" s="243"/>
      <c r="AME306" s="243"/>
      <c r="AMF306" s="243"/>
      <c r="AMG306" s="243"/>
      <c r="AMH306" s="243"/>
      <c r="AMI306" s="244"/>
      <c r="AMJ306" s="244"/>
    </row>
    <row r="307" spans="1:1024">
      <c r="A307" s="946"/>
      <c r="B307" s="442">
        <v>14147</v>
      </c>
      <c r="C307" s="430">
        <v>0.08</v>
      </c>
      <c r="D307" s="370" t="s">
        <v>212</v>
      </c>
      <c r="E307" s="433">
        <v>5300000</v>
      </c>
      <c r="F307" s="477">
        <v>0.04</v>
      </c>
      <c r="G307" s="401">
        <f>E307*F307</f>
        <v>212000</v>
      </c>
      <c r="H307" s="402" t="s">
        <v>103</v>
      </c>
      <c r="I307" s="402" t="s">
        <v>124</v>
      </c>
      <c r="J307" s="402" t="s">
        <v>125</v>
      </c>
      <c r="K307" s="402" t="s">
        <v>123</v>
      </c>
      <c r="L307" s="402" t="s">
        <v>125</v>
      </c>
      <c r="M307" s="396"/>
      <c r="N307" s="396"/>
      <c r="O307" s="377"/>
      <c r="P307" s="377"/>
      <c r="Q307" s="377"/>
      <c r="R307" s="243"/>
      <c r="S307" s="243"/>
      <c r="T307" s="243"/>
      <c r="U307" s="243"/>
      <c r="V307" s="243"/>
      <c r="W307" s="243"/>
      <c r="X307" s="243"/>
      <c r="Y307" s="243"/>
      <c r="Z307" s="243"/>
      <c r="AA307" s="243"/>
      <c r="AB307" s="243"/>
      <c r="AC307" s="243"/>
      <c r="AD307" s="243"/>
      <c r="AE307" s="243"/>
      <c r="AF307" s="243"/>
      <c r="AG307" s="243"/>
      <c r="AH307" s="243"/>
      <c r="AI307" s="243"/>
      <c r="AJ307" s="243"/>
      <c r="AK307" s="243"/>
      <c r="AL307" s="243"/>
      <c r="AM307" s="243"/>
      <c r="AN307" s="243"/>
      <c r="AO307" s="243"/>
      <c r="AP307" s="243"/>
      <c r="AQ307" s="243"/>
      <c r="AR307" s="243"/>
      <c r="AS307" s="243"/>
      <c r="AT307" s="243"/>
      <c r="AU307" s="243"/>
      <c r="AV307" s="243"/>
      <c r="AW307" s="243"/>
      <c r="AX307" s="243"/>
      <c r="AY307" s="243"/>
      <c r="AZ307" s="243"/>
      <c r="BA307" s="243"/>
      <c r="BB307" s="243"/>
      <c r="BC307" s="243"/>
      <c r="BD307" s="243"/>
      <c r="BE307" s="243"/>
      <c r="BF307" s="243"/>
      <c r="BG307" s="243"/>
      <c r="BH307" s="243"/>
      <c r="BI307" s="243"/>
      <c r="BJ307" s="243"/>
      <c r="BK307" s="243"/>
      <c r="BL307" s="243"/>
      <c r="BM307" s="243"/>
      <c r="BN307" s="243"/>
      <c r="BO307" s="243"/>
      <c r="BP307" s="243"/>
      <c r="BQ307" s="243"/>
      <c r="BR307" s="243"/>
      <c r="BS307" s="243"/>
      <c r="BT307" s="243"/>
      <c r="BU307" s="243"/>
      <c r="BV307" s="243"/>
      <c r="BW307" s="243"/>
      <c r="BX307" s="243"/>
      <c r="BY307" s="243"/>
      <c r="BZ307" s="243"/>
      <c r="CA307" s="243"/>
      <c r="CB307" s="243"/>
      <c r="CC307" s="243"/>
      <c r="CD307" s="243"/>
      <c r="CE307" s="243"/>
      <c r="CF307" s="243"/>
      <c r="CG307" s="243"/>
      <c r="CH307" s="243"/>
      <c r="CI307" s="243"/>
      <c r="CJ307" s="243"/>
      <c r="CK307" s="243"/>
      <c r="CL307" s="243"/>
      <c r="CM307" s="243"/>
      <c r="CN307" s="243"/>
      <c r="CO307" s="243"/>
      <c r="CP307" s="243"/>
      <c r="CQ307" s="243"/>
      <c r="CR307" s="243"/>
      <c r="CS307" s="243"/>
      <c r="CT307" s="243"/>
      <c r="CU307" s="243"/>
      <c r="CV307" s="243"/>
      <c r="CW307" s="243"/>
      <c r="CX307" s="243"/>
      <c r="CY307" s="243"/>
      <c r="CZ307" s="243"/>
      <c r="DA307" s="243"/>
      <c r="DB307" s="243"/>
      <c r="DC307" s="243"/>
      <c r="DD307" s="243"/>
      <c r="DE307" s="243"/>
      <c r="DF307" s="243"/>
      <c r="DG307" s="243"/>
      <c r="DH307" s="243"/>
      <c r="DI307" s="243"/>
      <c r="DJ307" s="243"/>
      <c r="DK307" s="243"/>
      <c r="DL307" s="243"/>
      <c r="DM307" s="243"/>
      <c r="DN307" s="243"/>
      <c r="DO307" s="243"/>
      <c r="DP307" s="243"/>
      <c r="DQ307" s="243"/>
      <c r="DR307" s="243"/>
      <c r="DS307" s="243"/>
      <c r="DT307" s="243"/>
      <c r="DU307" s="243"/>
      <c r="DV307" s="243"/>
      <c r="DW307" s="243"/>
      <c r="DX307" s="243"/>
      <c r="DY307" s="243"/>
      <c r="DZ307" s="243"/>
      <c r="EA307" s="243"/>
      <c r="EB307" s="243"/>
      <c r="EC307" s="243"/>
      <c r="ED307" s="243"/>
      <c r="EE307" s="243"/>
      <c r="EF307" s="243"/>
      <c r="EG307" s="243"/>
      <c r="EH307" s="243"/>
      <c r="EI307" s="243"/>
      <c r="EJ307" s="243"/>
      <c r="EK307" s="243"/>
      <c r="EL307" s="243"/>
      <c r="EM307" s="243"/>
      <c r="EN307" s="243"/>
      <c r="EO307" s="243"/>
      <c r="EP307" s="243"/>
      <c r="EQ307" s="243"/>
      <c r="ER307" s="243"/>
      <c r="ES307" s="243"/>
      <c r="ET307" s="243"/>
      <c r="EU307" s="243"/>
      <c r="EV307" s="243"/>
      <c r="EW307" s="243"/>
      <c r="EX307" s="243"/>
      <c r="EY307" s="243"/>
      <c r="EZ307" s="243"/>
      <c r="FA307" s="243"/>
      <c r="FB307" s="243"/>
      <c r="FC307" s="243"/>
      <c r="FD307" s="243"/>
      <c r="FE307" s="243"/>
      <c r="FF307" s="243"/>
      <c r="FG307" s="243"/>
      <c r="FH307" s="243"/>
      <c r="FI307" s="243"/>
      <c r="FJ307" s="243"/>
      <c r="FK307" s="243"/>
      <c r="FL307" s="243"/>
      <c r="FM307" s="243"/>
      <c r="FN307" s="243"/>
      <c r="FO307" s="243"/>
      <c r="FP307" s="243"/>
      <c r="FQ307" s="243"/>
      <c r="FR307" s="243"/>
      <c r="FS307" s="243"/>
      <c r="FT307" s="243"/>
      <c r="FU307" s="243"/>
      <c r="FV307" s="243"/>
      <c r="FW307" s="243"/>
      <c r="FX307" s="243"/>
      <c r="FY307" s="243"/>
      <c r="FZ307" s="243"/>
      <c r="GA307" s="243"/>
      <c r="GB307" s="243"/>
      <c r="GC307" s="243"/>
      <c r="GD307" s="243"/>
      <c r="GE307" s="243"/>
      <c r="GF307" s="243"/>
      <c r="GG307" s="243"/>
      <c r="GH307" s="243"/>
      <c r="GI307" s="243"/>
      <c r="GJ307" s="243"/>
      <c r="GK307" s="243"/>
      <c r="GL307" s="243"/>
      <c r="GM307" s="243"/>
      <c r="GN307" s="243"/>
      <c r="GO307" s="243"/>
      <c r="GP307" s="243"/>
      <c r="GQ307" s="243"/>
      <c r="GR307" s="243"/>
      <c r="GS307" s="243"/>
      <c r="GT307" s="243"/>
      <c r="GU307" s="243"/>
      <c r="GV307" s="243"/>
      <c r="GW307" s="243"/>
      <c r="GX307" s="243"/>
      <c r="GY307" s="243"/>
      <c r="GZ307" s="243"/>
      <c r="HA307" s="243"/>
      <c r="HB307" s="243"/>
      <c r="HC307" s="243"/>
      <c r="HD307" s="243"/>
      <c r="HE307" s="243"/>
      <c r="HF307" s="243"/>
      <c r="HG307" s="243"/>
      <c r="HH307" s="243"/>
      <c r="HI307" s="243"/>
      <c r="HJ307" s="243"/>
      <c r="HK307" s="243"/>
      <c r="HL307" s="243"/>
      <c r="HM307" s="243"/>
      <c r="HN307" s="243"/>
      <c r="HO307" s="243"/>
      <c r="HP307" s="243"/>
      <c r="HQ307" s="243"/>
      <c r="HR307" s="243"/>
      <c r="HS307" s="243"/>
      <c r="HT307" s="243"/>
      <c r="HU307" s="243"/>
      <c r="HV307" s="243"/>
      <c r="HW307" s="243"/>
      <c r="HX307" s="243"/>
      <c r="HY307" s="243"/>
      <c r="HZ307" s="243"/>
      <c r="IA307" s="243"/>
      <c r="IB307" s="243"/>
      <c r="IC307" s="243"/>
      <c r="ID307" s="243"/>
      <c r="IE307" s="243"/>
      <c r="IF307" s="243"/>
      <c r="IG307" s="243"/>
      <c r="IH307" s="243"/>
      <c r="II307" s="243"/>
      <c r="IJ307" s="243"/>
      <c r="IK307" s="243"/>
      <c r="IL307" s="243"/>
      <c r="IM307" s="243"/>
      <c r="IN307" s="243"/>
      <c r="IO307" s="243"/>
      <c r="IP307" s="243"/>
      <c r="IQ307" s="243"/>
      <c r="IR307" s="243"/>
      <c r="IS307" s="243"/>
      <c r="IT307" s="243"/>
      <c r="IU307" s="243"/>
      <c r="IV307" s="243"/>
      <c r="IW307" s="243"/>
      <c r="IX307" s="243"/>
      <c r="IY307" s="243"/>
      <c r="IZ307" s="243"/>
      <c r="JA307" s="243"/>
      <c r="JB307" s="243"/>
      <c r="JC307" s="243"/>
      <c r="JD307" s="243"/>
      <c r="JE307" s="243"/>
      <c r="JF307" s="243"/>
      <c r="JG307" s="243"/>
      <c r="JH307" s="243"/>
      <c r="JI307" s="243"/>
      <c r="JJ307" s="243"/>
      <c r="JK307" s="243"/>
      <c r="JL307" s="243"/>
      <c r="JM307" s="243"/>
      <c r="JN307" s="243"/>
      <c r="JO307" s="243"/>
      <c r="JP307" s="243"/>
      <c r="JQ307" s="243"/>
      <c r="JR307" s="243"/>
      <c r="JS307" s="243"/>
      <c r="JT307" s="243"/>
      <c r="JU307" s="243"/>
      <c r="JV307" s="243"/>
      <c r="JW307" s="243"/>
      <c r="JX307" s="243"/>
      <c r="JY307" s="243"/>
      <c r="JZ307" s="243"/>
      <c r="KA307" s="243"/>
      <c r="KB307" s="243"/>
      <c r="KC307" s="243"/>
      <c r="KD307" s="243"/>
      <c r="KE307" s="243"/>
      <c r="KF307" s="243"/>
      <c r="KG307" s="243"/>
      <c r="KH307" s="243"/>
      <c r="KI307" s="243"/>
      <c r="KJ307" s="243"/>
      <c r="KK307" s="243"/>
      <c r="KL307" s="243"/>
      <c r="KM307" s="243"/>
      <c r="KN307" s="243"/>
      <c r="KO307" s="243"/>
      <c r="KP307" s="243"/>
      <c r="KQ307" s="243"/>
      <c r="KR307" s="243"/>
      <c r="KS307" s="243"/>
      <c r="KT307" s="243"/>
      <c r="KU307" s="243"/>
      <c r="KV307" s="243"/>
      <c r="KW307" s="243"/>
      <c r="KX307" s="243"/>
      <c r="KY307" s="243"/>
      <c r="KZ307" s="243"/>
      <c r="LA307" s="243"/>
      <c r="LB307" s="243"/>
      <c r="LC307" s="243"/>
      <c r="LD307" s="243"/>
      <c r="LE307" s="243"/>
      <c r="LF307" s="243"/>
      <c r="LG307" s="243"/>
      <c r="LH307" s="243"/>
      <c r="LI307" s="243"/>
      <c r="LJ307" s="243"/>
      <c r="LK307" s="243"/>
      <c r="LL307" s="243"/>
      <c r="LM307" s="243"/>
      <c r="LN307" s="243"/>
      <c r="LO307" s="243"/>
      <c r="LP307" s="243"/>
      <c r="LQ307" s="243"/>
      <c r="LR307" s="243"/>
      <c r="LS307" s="243"/>
      <c r="LT307" s="243"/>
      <c r="LU307" s="243"/>
      <c r="LV307" s="243"/>
      <c r="LW307" s="243"/>
      <c r="LX307" s="243"/>
      <c r="LY307" s="243"/>
      <c r="LZ307" s="243"/>
      <c r="MA307" s="243"/>
      <c r="MB307" s="243"/>
      <c r="MC307" s="243"/>
      <c r="MD307" s="243"/>
      <c r="ME307" s="243"/>
      <c r="MF307" s="243"/>
      <c r="MG307" s="243"/>
      <c r="MH307" s="243"/>
      <c r="MI307" s="243"/>
      <c r="MJ307" s="243"/>
      <c r="MK307" s="243"/>
      <c r="ML307" s="243"/>
      <c r="MM307" s="243"/>
      <c r="MN307" s="243"/>
      <c r="MO307" s="243"/>
      <c r="MP307" s="243"/>
      <c r="MQ307" s="243"/>
      <c r="MR307" s="243"/>
      <c r="MS307" s="243"/>
      <c r="MT307" s="243"/>
      <c r="MU307" s="243"/>
      <c r="MV307" s="243"/>
      <c r="MW307" s="243"/>
      <c r="MX307" s="243"/>
      <c r="MY307" s="243"/>
      <c r="MZ307" s="243"/>
      <c r="NA307" s="243"/>
      <c r="NB307" s="243"/>
      <c r="NC307" s="243"/>
      <c r="ND307" s="243"/>
      <c r="NE307" s="243"/>
      <c r="NF307" s="243"/>
      <c r="NG307" s="243"/>
      <c r="NH307" s="243"/>
      <c r="NI307" s="243"/>
      <c r="NJ307" s="243"/>
      <c r="NK307" s="243"/>
      <c r="NL307" s="243"/>
      <c r="NM307" s="243"/>
      <c r="NN307" s="243"/>
      <c r="NO307" s="243"/>
      <c r="NP307" s="243"/>
      <c r="NQ307" s="243"/>
      <c r="NR307" s="243"/>
      <c r="NS307" s="243"/>
      <c r="NT307" s="243"/>
      <c r="NU307" s="243"/>
      <c r="NV307" s="243"/>
      <c r="NW307" s="243"/>
      <c r="NX307" s="243"/>
      <c r="NY307" s="243"/>
      <c r="NZ307" s="243"/>
      <c r="OA307" s="243"/>
      <c r="OB307" s="243"/>
      <c r="OC307" s="243"/>
      <c r="OD307" s="243"/>
      <c r="OE307" s="243"/>
      <c r="OF307" s="243"/>
      <c r="OG307" s="243"/>
      <c r="OH307" s="243"/>
      <c r="OI307" s="243"/>
      <c r="OJ307" s="243"/>
      <c r="OK307" s="243"/>
      <c r="OL307" s="243"/>
      <c r="OM307" s="243"/>
      <c r="ON307" s="243"/>
      <c r="OO307" s="243"/>
      <c r="OP307" s="243"/>
      <c r="OQ307" s="243"/>
      <c r="OR307" s="243"/>
      <c r="OS307" s="243"/>
      <c r="OT307" s="243"/>
      <c r="OU307" s="243"/>
      <c r="OV307" s="243"/>
      <c r="OW307" s="243"/>
      <c r="OX307" s="243"/>
      <c r="OY307" s="243"/>
      <c r="OZ307" s="243"/>
      <c r="PA307" s="243"/>
      <c r="PB307" s="243"/>
      <c r="PC307" s="243"/>
      <c r="PD307" s="243"/>
      <c r="PE307" s="243"/>
      <c r="PF307" s="243"/>
      <c r="PG307" s="243"/>
      <c r="PH307" s="243"/>
      <c r="PI307" s="243"/>
      <c r="PJ307" s="243"/>
      <c r="PK307" s="243"/>
      <c r="PL307" s="243"/>
      <c r="PM307" s="243"/>
      <c r="PN307" s="243"/>
      <c r="PO307" s="243"/>
      <c r="PP307" s="243"/>
      <c r="PQ307" s="243"/>
      <c r="PR307" s="243"/>
      <c r="PS307" s="243"/>
      <c r="PT307" s="243"/>
      <c r="PU307" s="243"/>
      <c r="PV307" s="243"/>
      <c r="PW307" s="243"/>
      <c r="PX307" s="243"/>
      <c r="PY307" s="243"/>
      <c r="PZ307" s="243"/>
      <c r="QA307" s="243"/>
      <c r="QB307" s="243"/>
      <c r="QC307" s="243"/>
      <c r="QD307" s="243"/>
      <c r="QE307" s="243"/>
      <c r="QF307" s="243"/>
      <c r="QG307" s="243"/>
      <c r="QH307" s="243"/>
      <c r="QI307" s="243"/>
      <c r="QJ307" s="243"/>
      <c r="QK307" s="243"/>
      <c r="QL307" s="243"/>
      <c r="QM307" s="243"/>
      <c r="QN307" s="243"/>
      <c r="QO307" s="243"/>
      <c r="QP307" s="243"/>
      <c r="QQ307" s="243"/>
      <c r="QR307" s="243"/>
      <c r="QS307" s="243"/>
      <c r="QT307" s="243"/>
      <c r="QU307" s="243"/>
      <c r="QV307" s="243"/>
      <c r="QW307" s="243"/>
      <c r="QX307" s="243"/>
      <c r="QY307" s="243"/>
      <c r="QZ307" s="243"/>
      <c r="RA307" s="243"/>
      <c r="RB307" s="243"/>
      <c r="RC307" s="243"/>
      <c r="RD307" s="243"/>
      <c r="RE307" s="243"/>
      <c r="RF307" s="243"/>
      <c r="RG307" s="243"/>
      <c r="RH307" s="243"/>
      <c r="RI307" s="243"/>
      <c r="RJ307" s="243"/>
      <c r="RK307" s="243"/>
      <c r="RL307" s="243"/>
      <c r="RM307" s="243"/>
      <c r="RN307" s="243"/>
      <c r="RO307" s="243"/>
      <c r="RP307" s="243"/>
      <c r="RQ307" s="243"/>
      <c r="RR307" s="243"/>
      <c r="RS307" s="243"/>
      <c r="RT307" s="243"/>
      <c r="RU307" s="243"/>
      <c r="RV307" s="243"/>
      <c r="RW307" s="243"/>
      <c r="RX307" s="243"/>
      <c r="RY307" s="243"/>
      <c r="RZ307" s="243"/>
      <c r="SA307" s="243"/>
      <c r="SB307" s="243"/>
      <c r="SC307" s="243"/>
      <c r="SD307" s="243"/>
      <c r="SE307" s="243"/>
      <c r="SF307" s="243"/>
      <c r="SG307" s="243"/>
      <c r="SH307" s="243"/>
      <c r="SI307" s="243"/>
      <c r="SJ307" s="243"/>
      <c r="SK307" s="243"/>
      <c r="SL307" s="243"/>
      <c r="SM307" s="243"/>
      <c r="SN307" s="243"/>
      <c r="SO307" s="243"/>
      <c r="SP307" s="243"/>
      <c r="SQ307" s="243"/>
      <c r="SR307" s="243"/>
      <c r="SS307" s="243"/>
      <c r="ST307" s="243"/>
      <c r="SU307" s="243"/>
      <c r="SV307" s="243"/>
      <c r="SW307" s="243"/>
      <c r="SX307" s="243"/>
      <c r="SY307" s="243"/>
      <c r="SZ307" s="243"/>
      <c r="TA307" s="243"/>
      <c r="TB307" s="243"/>
      <c r="TC307" s="243"/>
      <c r="TD307" s="243"/>
      <c r="TE307" s="243"/>
      <c r="TF307" s="243"/>
      <c r="TG307" s="243"/>
      <c r="TH307" s="243"/>
      <c r="TI307" s="243"/>
      <c r="TJ307" s="243"/>
      <c r="TK307" s="243"/>
      <c r="TL307" s="243"/>
      <c r="TM307" s="243"/>
      <c r="TN307" s="243"/>
      <c r="TO307" s="243"/>
      <c r="TP307" s="243"/>
      <c r="TQ307" s="243"/>
      <c r="TR307" s="243"/>
      <c r="TS307" s="243"/>
      <c r="TT307" s="243"/>
      <c r="TU307" s="243"/>
      <c r="TV307" s="243"/>
      <c r="TW307" s="243"/>
      <c r="TX307" s="243"/>
      <c r="TY307" s="243"/>
      <c r="TZ307" s="243"/>
      <c r="UA307" s="243"/>
      <c r="UB307" s="243"/>
      <c r="UC307" s="243"/>
      <c r="UD307" s="243"/>
      <c r="UE307" s="243"/>
      <c r="UF307" s="243"/>
      <c r="UG307" s="243"/>
      <c r="UH307" s="243"/>
      <c r="UI307" s="243"/>
      <c r="UJ307" s="243"/>
      <c r="UK307" s="243"/>
      <c r="UL307" s="243"/>
      <c r="UM307" s="243"/>
      <c r="UN307" s="243"/>
      <c r="UO307" s="243"/>
      <c r="UP307" s="243"/>
      <c r="UQ307" s="243"/>
      <c r="UR307" s="243"/>
      <c r="US307" s="243"/>
      <c r="UT307" s="243"/>
      <c r="UU307" s="243"/>
      <c r="UV307" s="243"/>
      <c r="UW307" s="243"/>
      <c r="UX307" s="243"/>
      <c r="UY307" s="243"/>
      <c r="UZ307" s="243"/>
      <c r="VA307" s="243"/>
      <c r="VB307" s="243"/>
      <c r="VC307" s="243"/>
      <c r="VD307" s="243"/>
      <c r="VE307" s="243"/>
      <c r="VF307" s="243"/>
      <c r="VG307" s="243"/>
      <c r="VH307" s="243"/>
      <c r="VI307" s="243"/>
      <c r="VJ307" s="243"/>
      <c r="VK307" s="243"/>
      <c r="VL307" s="243"/>
      <c r="VM307" s="243"/>
      <c r="VN307" s="243"/>
      <c r="VO307" s="243"/>
      <c r="VP307" s="243"/>
      <c r="VQ307" s="243"/>
      <c r="VR307" s="243"/>
      <c r="VS307" s="243"/>
      <c r="VT307" s="243"/>
      <c r="VU307" s="243"/>
      <c r="VV307" s="243"/>
      <c r="VW307" s="243"/>
      <c r="VX307" s="243"/>
      <c r="VY307" s="243"/>
      <c r="VZ307" s="243"/>
      <c r="WA307" s="243"/>
      <c r="WB307" s="243"/>
      <c r="WC307" s="243"/>
      <c r="WD307" s="243"/>
      <c r="WE307" s="243"/>
      <c r="WF307" s="243"/>
      <c r="WG307" s="243"/>
      <c r="WH307" s="243"/>
      <c r="WI307" s="243"/>
      <c r="WJ307" s="243"/>
      <c r="WK307" s="243"/>
      <c r="WL307" s="243"/>
      <c r="WM307" s="243"/>
      <c r="WN307" s="243"/>
      <c r="WO307" s="243"/>
      <c r="WP307" s="243"/>
      <c r="WQ307" s="243"/>
      <c r="WR307" s="243"/>
      <c r="WS307" s="243"/>
      <c r="WT307" s="243"/>
      <c r="WU307" s="243"/>
      <c r="WV307" s="243"/>
      <c r="WW307" s="243"/>
      <c r="WX307" s="243"/>
      <c r="WY307" s="243"/>
      <c r="WZ307" s="243"/>
      <c r="XA307" s="243"/>
      <c r="XB307" s="243"/>
      <c r="XC307" s="243"/>
      <c r="XD307" s="243"/>
      <c r="XE307" s="243"/>
      <c r="XF307" s="243"/>
      <c r="XG307" s="243"/>
      <c r="XH307" s="243"/>
      <c r="XI307" s="243"/>
      <c r="XJ307" s="243"/>
      <c r="XK307" s="243"/>
      <c r="XL307" s="243"/>
      <c r="XM307" s="243"/>
      <c r="XN307" s="243"/>
      <c r="XO307" s="243"/>
      <c r="XP307" s="243"/>
      <c r="XQ307" s="243"/>
      <c r="XR307" s="243"/>
      <c r="XS307" s="243"/>
      <c r="XT307" s="243"/>
      <c r="XU307" s="243"/>
      <c r="XV307" s="243"/>
      <c r="XW307" s="243"/>
      <c r="XX307" s="243"/>
      <c r="XY307" s="243"/>
      <c r="XZ307" s="243"/>
      <c r="YA307" s="243"/>
      <c r="YB307" s="243"/>
      <c r="YC307" s="243"/>
      <c r="YD307" s="243"/>
      <c r="YE307" s="243"/>
      <c r="YF307" s="243"/>
      <c r="YG307" s="243"/>
      <c r="YH307" s="243"/>
      <c r="YI307" s="243"/>
      <c r="YJ307" s="243"/>
      <c r="YK307" s="243"/>
      <c r="YL307" s="243"/>
      <c r="YM307" s="243"/>
      <c r="YN307" s="243"/>
      <c r="YO307" s="243"/>
      <c r="YP307" s="243"/>
      <c r="YQ307" s="243"/>
      <c r="YR307" s="243"/>
      <c r="YS307" s="243"/>
      <c r="YT307" s="243"/>
      <c r="YU307" s="243"/>
      <c r="YV307" s="243"/>
      <c r="YW307" s="243"/>
      <c r="YX307" s="243"/>
      <c r="YY307" s="243"/>
      <c r="YZ307" s="243"/>
      <c r="ZA307" s="243"/>
      <c r="ZB307" s="243"/>
      <c r="ZC307" s="243"/>
      <c r="ZD307" s="243"/>
      <c r="ZE307" s="243"/>
      <c r="ZF307" s="243"/>
      <c r="ZG307" s="243"/>
      <c r="ZH307" s="243"/>
      <c r="ZI307" s="243"/>
      <c r="ZJ307" s="243"/>
      <c r="ZK307" s="243"/>
      <c r="ZL307" s="243"/>
      <c r="ZM307" s="243"/>
      <c r="ZN307" s="243"/>
      <c r="ZO307" s="243"/>
      <c r="ZP307" s="243"/>
      <c r="ZQ307" s="243"/>
      <c r="ZR307" s="243"/>
      <c r="ZS307" s="243"/>
      <c r="ZT307" s="243"/>
      <c r="ZU307" s="243"/>
      <c r="ZV307" s="243"/>
      <c r="ZW307" s="243"/>
      <c r="ZX307" s="243"/>
      <c r="ZY307" s="243"/>
      <c r="ZZ307" s="243"/>
      <c r="AAA307" s="243"/>
      <c r="AAB307" s="243"/>
      <c r="AAC307" s="243"/>
      <c r="AAD307" s="243"/>
      <c r="AAE307" s="243"/>
      <c r="AAF307" s="243"/>
      <c r="AAG307" s="243"/>
      <c r="AAH307" s="243"/>
      <c r="AAI307" s="243"/>
      <c r="AAJ307" s="243"/>
      <c r="AAK307" s="243"/>
      <c r="AAL307" s="243"/>
      <c r="AAM307" s="243"/>
      <c r="AAN307" s="243"/>
      <c r="AAO307" s="243"/>
      <c r="AAP307" s="243"/>
      <c r="AAQ307" s="243"/>
      <c r="AAR307" s="243"/>
      <c r="AAS307" s="243"/>
      <c r="AAT307" s="243"/>
      <c r="AAU307" s="243"/>
      <c r="AAV307" s="243"/>
      <c r="AAW307" s="243"/>
      <c r="AAX307" s="243"/>
      <c r="AAY307" s="243"/>
      <c r="AAZ307" s="243"/>
      <c r="ABA307" s="243"/>
      <c r="ABB307" s="243"/>
      <c r="ABC307" s="243"/>
      <c r="ABD307" s="243"/>
      <c r="ABE307" s="243"/>
      <c r="ABF307" s="243"/>
      <c r="ABG307" s="243"/>
      <c r="ABH307" s="243"/>
      <c r="ABI307" s="243"/>
      <c r="ABJ307" s="243"/>
      <c r="ABK307" s="243"/>
      <c r="ABL307" s="243"/>
      <c r="ABM307" s="243"/>
      <c r="ABN307" s="243"/>
      <c r="ABO307" s="243"/>
      <c r="ABP307" s="243"/>
      <c r="ABQ307" s="243"/>
      <c r="ABR307" s="243"/>
      <c r="ABS307" s="243"/>
      <c r="ABT307" s="243"/>
      <c r="ABU307" s="243"/>
      <c r="ABV307" s="243"/>
      <c r="ABW307" s="243"/>
      <c r="ABX307" s="243"/>
      <c r="ABY307" s="243"/>
      <c r="ABZ307" s="243"/>
      <c r="ACA307" s="243"/>
      <c r="ACB307" s="243"/>
      <c r="ACC307" s="243"/>
      <c r="ACD307" s="243"/>
      <c r="ACE307" s="243"/>
      <c r="ACF307" s="243"/>
      <c r="ACG307" s="243"/>
      <c r="ACH307" s="243"/>
      <c r="ACI307" s="243"/>
      <c r="ACJ307" s="243"/>
      <c r="ACK307" s="243"/>
      <c r="ACL307" s="243"/>
      <c r="ACM307" s="243"/>
      <c r="ACN307" s="243"/>
      <c r="ACO307" s="243"/>
      <c r="ACP307" s="243"/>
      <c r="ACQ307" s="243"/>
      <c r="ACR307" s="243"/>
      <c r="ACS307" s="243"/>
      <c r="ACT307" s="243"/>
      <c r="ACU307" s="243"/>
      <c r="ACV307" s="243"/>
      <c r="ACW307" s="243"/>
      <c r="ACX307" s="243"/>
      <c r="ACY307" s="243"/>
      <c r="ACZ307" s="243"/>
      <c r="ADA307" s="243"/>
      <c r="ADB307" s="243"/>
      <c r="ADC307" s="243"/>
      <c r="ADD307" s="243"/>
      <c r="ADE307" s="243"/>
      <c r="ADF307" s="243"/>
      <c r="ADG307" s="243"/>
      <c r="ADH307" s="243"/>
      <c r="ADI307" s="243"/>
      <c r="ADJ307" s="243"/>
      <c r="ADK307" s="243"/>
      <c r="ADL307" s="243"/>
      <c r="ADM307" s="243"/>
      <c r="ADN307" s="243"/>
      <c r="ADO307" s="243"/>
      <c r="ADP307" s="243"/>
      <c r="ADQ307" s="243"/>
      <c r="ADR307" s="243"/>
      <c r="ADS307" s="243"/>
      <c r="ADT307" s="243"/>
      <c r="ADU307" s="243"/>
      <c r="ADV307" s="243"/>
      <c r="ADW307" s="243"/>
      <c r="ADX307" s="243"/>
      <c r="ADY307" s="243"/>
      <c r="ADZ307" s="243"/>
      <c r="AEA307" s="243"/>
      <c r="AEB307" s="243"/>
      <c r="AEC307" s="243"/>
      <c r="AED307" s="243"/>
      <c r="AEE307" s="243"/>
      <c r="AEF307" s="243"/>
      <c r="AEG307" s="243"/>
      <c r="AEH307" s="243"/>
      <c r="AEI307" s="243"/>
      <c r="AEJ307" s="243"/>
      <c r="AEK307" s="243"/>
      <c r="AEL307" s="243"/>
      <c r="AEM307" s="243"/>
      <c r="AEN307" s="243"/>
      <c r="AEO307" s="243"/>
      <c r="AEP307" s="243"/>
      <c r="AEQ307" s="243"/>
      <c r="AER307" s="243"/>
      <c r="AES307" s="243"/>
      <c r="AET307" s="243"/>
      <c r="AEU307" s="243"/>
      <c r="AEV307" s="243"/>
      <c r="AEW307" s="243"/>
      <c r="AEX307" s="243"/>
      <c r="AEY307" s="243"/>
      <c r="AEZ307" s="243"/>
      <c r="AFA307" s="243"/>
      <c r="AFB307" s="243"/>
      <c r="AFC307" s="243"/>
      <c r="AFD307" s="243"/>
      <c r="AFE307" s="243"/>
      <c r="AFF307" s="243"/>
      <c r="AFG307" s="243"/>
      <c r="AFH307" s="243"/>
      <c r="AFI307" s="243"/>
      <c r="AFJ307" s="243"/>
      <c r="AFK307" s="243"/>
      <c r="AFL307" s="243"/>
      <c r="AFM307" s="243"/>
      <c r="AFN307" s="243"/>
      <c r="AFO307" s="243"/>
      <c r="AFP307" s="243"/>
      <c r="AFQ307" s="243"/>
      <c r="AFR307" s="243"/>
      <c r="AFS307" s="243"/>
      <c r="AFT307" s="243"/>
      <c r="AFU307" s="243"/>
      <c r="AFV307" s="243"/>
      <c r="AFW307" s="243"/>
      <c r="AFX307" s="243"/>
      <c r="AFY307" s="243"/>
      <c r="AFZ307" s="243"/>
      <c r="AGA307" s="243"/>
      <c r="AGB307" s="243"/>
      <c r="AGC307" s="243"/>
      <c r="AGD307" s="243"/>
      <c r="AGE307" s="243"/>
      <c r="AGF307" s="243"/>
      <c r="AGG307" s="243"/>
      <c r="AGH307" s="243"/>
      <c r="AGI307" s="243"/>
      <c r="AGJ307" s="243"/>
      <c r="AGK307" s="243"/>
      <c r="AGL307" s="243"/>
      <c r="AGM307" s="243"/>
      <c r="AGN307" s="243"/>
      <c r="AGO307" s="243"/>
      <c r="AGP307" s="243"/>
      <c r="AGQ307" s="243"/>
      <c r="AGR307" s="243"/>
      <c r="AGS307" s="243"/>
      <c r="AGT307" s="243"/>
      <c r="AGU307" s="243"/>
      <c r="AGV307" s="243"/>
      <c r="AGW307" s="243"/>
      <c r="AGX307" s="243"/>
      <c r="AGY307" s="243"/>
      <c r="AGZ307" s="243"/>
      <c r="AHA307" s="243"/>
      <c r="AHB307" s="243"/>
      <c r="AHC307" s="243"/>
      <c r="AHD307" s="243"/>
      <c r="AHE307" s="243"/>
      <c r="AHF307" s="243"/>
      <c r="AHG307" s="243"/>
      <c r="AHH307" s="243"/>
      <c r="AHI307" s="243"/>
      <c r="AHJ307" s="243"/>
      <c r="AHK307" s="243"/>
      <c r="AHL307" s="243"/>
      <c r="AHM307" s="243"/>
      <c r="AHN307" s="243"/>
      <c r="AHO307" s="243"/>
      <c r="AHP307" s="243"/>
      <c r="AHQ307" s="243"/>
      <c r="AHR307" s="243"/>
      <c r="AHS307" s="243"/>
      <c r="AHT307" s="243"/>
      <c r="AHU307" s="243"/>
      <c r="AHV307" s="243"/>
      <c r="AHW307" s="243"/>
      <c r="AHX307" s="243"/>
      <c r="AHY307" s="243"/>
      <c r="AHZ307" s="243"/>
      <c r="AIA307" s="243"/>
      <c r="AIB307" s="243"/>
      <c r="AIC307" s="243"/>
      <c r="AID307" s="243"/>
      <c r="AIE307" s="243"/>
      <c r="AIF307" s="243"/>
      <c r="AIG307" s="243"/>
      <c r="AIH307" s="243"/>
      <c r="AII307" s="243"/>
      <c r="AIJ307" s="243"/>
      <c r="AIK307" s="243"/>
      <c r="AIL307" s="243"/>
      <c r="AIM307" s="243"/>
      <c r="AIN307" s="243"/>
      <c r="AIO307" s="243"/>
      <c r="AIP307" s="243"/>
      <c r="AIQ307" s="243"/>
      <c r="AIR307" s="243"/>
      <c r="AIS307" s="243"/>
      <c r="AIT307" s="243"/>
      <c r="AIU307" s="243"/>
      <c r="AIV307" s="243"/>
      <c r="AIW307" s="243"/>
      <c r="AIX307" s="243"/>
      <c r="AIY307" s="243"/>
      <c r="AIZ307" s="243"/>
      <c r="AJA307" s="243"/>
      <c r="AJB307" s="243"/>
      <c r="AJC307" s="243"/>
      <c r="AJD307" s="243"/>
      <c r="AJE307" s="243"/>
      <c r="AJF307" s="243"/>
      <c r="AJG307" s="243"/>
      <c r="AJH307" s="243"/>
      <c r="AJI307" s="243"/>
      <c r="AJJ307" s="243"/>
      <c r="AJK307" s="243"/>
      <c r="AJL307" s="243"/>
      <c r="AJM307" s="243"/>
      <c r="AJN307" s="243"/>
      <c r="AJO307" s="243"/>
      <c r="AJP307" s="243"/>
      <c r="AJQ307" s="243"/>
      <c r="AJR307" s="243"/>
      <c r="AJS307" s="243"/>
      <c r="AJT307" s="243"/>
      <c r="AJU307" s="243"/>
      <c r="AJV307" s="243"/>
      <c r="AJW307" s="243"/>
      <c r="AJX307" s="243"/>
      <c r="AJY307" s="243"/>
      <c r="AJZ307" s="243"/>
      <c r="AKA307" s="243"/>
      <c r="AKB307" s="243"/>
      <c r="AKC307" s="243"/>
      <c r="AKD307" s="243"/>
      <c r="AKE307" s="243"/>
      <c r="AKF307" s="243"/>
      <c r="AKG307" s="243"/>
      <c r="AKH307" s="243"/>
      <c r="AKI307" s="243"/>
      <c r="AKJ307" s="243"/>
      <c r="AKK307" s="243"/>
      <c r="AKL307" s="243"/>
      <c r="AKM307" s="243"/>
      <c r="AKN307" s="243"/>
      <c r="AKO307" s="243"/>
      <c r="AKP307" s="243"/>
      <c r="AKQ307" s="243"/>
      <c r="AKR307" s="243"/>
      <c r="AKS307" s="243"/>
      <c r="AKT307" s="243"/>
      <c r="AKU307" s="243"/>
      <c r="AKV307" s="243"/>
      <c r="AKW307" s="243"/>
      <c r="AKX307" s="243"/>
      <c r="AKY307" s="243"/>
      <c r="AKZ307" s="243"/>
      <c r="ALA307" s="243"/>
      <c r="ALB307" s="243"/>
      <c r="ALC307" s="243"/>
      <c r="ALD307" s="243"/>
      <c r="ALE307" s="243"/>
      <c r="ALF307" s="243"/>
      <c r="ALG307" s="243"/>
      <c r="ALH307" s="243"/>
      <c r="ALI307" s="243"/>
      <c r="ALJ307" s="243"/>
      <c r="ALK307" s="243"/>
      <c r="ALL307" s="243"/>
      <c r="ALM307" s="243"/>
      <c r="ALN307" s="243"/>
      <c r="ALO307" s="243"/>
      <c r="ALP307" s="243"/>
      <c r="ALQ307" s="243"/>
      <c r="ALR307" s="243"/>
      <c r="ALS307" s="243"/>
      <c r="ALT307" s="243"/>
      <c r="ALU307" s="243"/>
      <c r="ALV307" s="243"/>
      <c r="ALW307" s="243"/>
      <c r="ALX307" s="243"/>
      <c r="ALY307" s="243"/>
      <c r="ALZ307" s="243"/>
      <c r="AMA307" s="243"/>
      <c r="AMB307" s="243"/>
      <c r="AMC307" s="243"/>
      <c r="AMD307" s="243"/>
      <c r="AME307" s="243"/>
      <c r="AMF307" s="243"/>
      <c r="AMG307" s="243"/>
      <c r="AMH307" s="243"/>
      <c r="AMI307" s="244"/>
      <c r="AMJ307" s="244"/>
    </row>
    <row r="308" spans="1:1024">
      <c r="A308" s="946"/>
      <c r="B308" s="442">
        <v>14243</v>
      </c>
      <c r="C308" s="430">
        <v>0.08</v>
      </c>
      <c r="D308" s="370" t="s">
        <v>213</v>
      </c>
      <c r="E308" s="433">
        <v>2600000</v>
      </c>
      <c r="F308" s="477">
        <v>0.08</v>
      </c>
      <c r="G308" s="401">
        <f t="shared" ref="G308" si="12">E308*F308</f>
        <v>208000</v>
      </c>
      <c r="H308" s="402" t="s">
        <v>214</v>
      </c>
      <c r="I308" s="402" t="s">
        <v>190</v>
      </c>
      <c r="J308" s="402" t="s">
        <v>125</v>
      </c>
      <c r="K308" s="402" t="s">
        <v>123</v>
      </c>
      <c r="L308" s="402" t="s">
        <v>125</v>
      </c>
      <c r="M308" s="396"/>
      <c r="N308" s="396"/>
      <c r="O308" s="377"/>
      <c r="P308" s="377"/>
      <c r="Q308" s="377"/>
      <c r="R308" s="243"/>
      <c r="S308" s="243"/>
      <c r="T308" s="243"/>
      <c r="U308" s="243"/>
      <c r="V308" s="243"/>
      <c r="W308" s="243"/>
      <c r="X308" s="243"/>
      <c r="Y308" s="243"/>
      <c r="Z308" s="243"/>
      <c r="AA308" s="243"/>
      <c r="AB308" s="243"/>
      <c r="AC308" s="243"/>
      <c r="AD308" s="243"/>
      <c r="AE308" s="243"/>
      <c r="AF308" s="243"/>
      <c r="AG308" s="243"/>
      <c r="AH308" s="243"/>
      <c r="AI308" s="243"/>
      <c r="AJ308" s="243"/>
      <c r="AK308" s="243"/>
      <c r="AL308" s="243"/>
      <c r="AM308" s="243"/>
      <c r="AN308" s="243"/>
      <c r="AO308" s="243"/>
      <c r="AP308" s="243"/>
      <c r="AQ308" s="243"/>
      <c r="AR308" s="243"/>
      <c r="AS308" s="243"/>
      <c r="AT308" s="243"/>
      <c r="AU308" s="243"/>
      <c r="AV308" s="243"/>
      <c r="AW308" s="243"/>
      <c r="AX308" s="243"/>
      <c r="AY308" s="243"/>
      <c r="AZ308" s="243"/>
      <c r="BA308" s="243"/>
      <c r="BB308" s="243"/>
      <c r="BC308" s="243"/>
      <c r="BD308" s="243"/>
      <c r="BE308" s="243"/>
      <c r="BF308" s="243"/>
      <c r="BG308" s="243"/>
      <c r="BH308" s="243"/>
      <c r="BI308" s="243"/>
      <c r="BJ308" s="243"/>
      <c r="BK308" s="243"/>
      <c r="BL308" s="243"/>
      <c r="BM308" s="243"/>
      <c r="BN308" s="243"/>
      <c r="BO308" s="243"/>
      <c r="BP308" s="243"/>
      <c r="BQ308" s="243"/>
      <c r="BR308" s="243"/>
      <c r="BS308" s="243"/>
      <c r="BT308" s="243"/>
      <c r="BU308" s="243"/>
      <c r="BV308" s="243"/>
      <c r="BW308" s="243"/>
      <c r="BX308" s="243"/>
      <c r="BY308" s="243"/>
      <c r="BZ308" s="243"/>
      <c r="CA308" s="243"/>
      <c r="CB308" s="243"/>
      <c r="CC308" s="243"/>
      <c r="CD308" s="243"/>
      <c r="CE308" s="243"/>
      <c r="CF308" s="243"/>
      <c r="CG308" s="243"/>
      <c r="CH308" s="243"/>
      <c r="CI308" s="243"/>
      <c r="CJ308" s="243"/>
      <c r="CK308" s="243"/>
      <c r="CL308" s="243"/>
      <c r="CM308" s="243"/>
      <c r="CN308" s="243"/>
      <c r="CO308" s="243"/>
      <c r="CP308" s="243"/>
      <c r="CQ308" s="243"/>
      <c r="CR308" s="243"/>
      <c r="CS308" s="243"/>
      <c r="CT308" s="243"/>
      <c r="CU308" s="243"/>
      <c r="CV308" s="243"/>
      <c r="CW308" s="243"/>
      <c r="CX308" s="243"/>
      <c r="CY308" s="243"/>
      <c r="CZ308" s="243"/>
      <c r="DA308" s="243"/>
      <c r="DB308" s="243"/>
      <c r="DC308" s="243"/>
      <c r="DD308" s="243"/>
      <c r="DE308" s="243"/>
      <c r="DF308" s="243"/>
      <c r="DG308" s="243"/>
      <c r="DH308" s="243"/>
      <c r="DI308" s="243"/>
      <c r="DJ308" s="243"/>
      <c r="DK308" s="243"/>
      <c r="DL308" s="243"/>
      <c r="DM308" s="243"/>
      <c r="DN308" s="243"/>
      <c r="DO308" s="243"/>
      <c r="DP308" s="243"/>
      <c r="DQ308" s="243"/>
      <c r="DR308" s="243"/>
      <c r="DS308" s="243"/>
      <c r="DT308" s="243"/>
      <c r="DU308" s="243"/>
      <c r="DV308" s="243"/>
      <c r="DW308" s="243"/>
      <c r="DX308" s="243"/>
      <c r="DY308" s="243"/>
      <c r="DZ308" s="243"/>
      <c r="EA308" s="243"/>
      <c r="EB308" s="243"/>
      <c r="EC308" s="243"/>
      <c r="ED308" s="243"/>
      <c r="EE308" s="243"/>
      <c r="EF308" s="243"/>
      <c r="EG308" s="243"/>
      <c r="EH308" s="243"/>
      <c r="EI308" s="243"/>
      <c r="EJ308" s="243"/>
      <c r="EK308" s="243"/>
      <c r="EL308" s="243"/>
      <c r="EM308" s="243"/>
      <c r="EN308" s="243"/>
      <c r="EO308" s="243"/>
      <c r="EP308" s="243"/>
      <c r="EQ308" s="243"/>
      <c r="ER308" s="243"/>
      <c r="ES308" s="243"/>
      <c r="ET308" s="243"/>
      <c r="EU308" s="243"/>
      <c r="EV308" s="243"/>
      <c r="EW308" s="243"/>
      <c r="EX308" s="243"/>
      <c r="EY308" s="243"/>
      <c r="EZ308" s="243"/>
      <c r="FA308" s="243"/>
      <c r="FB308" s="243"/>
      <c r="FC308" s="243"/>
      <c r="FD308" s="243"/>
      <c r="FE308" s="243"/>
      <c r="FF308" s="243"/>
      <c r="FG308" s="243"/>
      <c r="FH308" s="243"/>
      <c r="FI308" s="243"/>
      <c r="FJ308" s="243"/>
      <c r="FK308" s="243"/>
      <c r="FL308" s="243"/>
      <c r="FM308" s="243"/>
      <c r="FN308" s="243"/>
      <c r="FO308" s="243"/>
      <c r="FP308" s="243"/>
      <c r="FQ308" s="243"/>
      <c r="FR308" s="243"/>
      <c r="FS308" s="243"/>
      <c r="FT308" s="243"/>
      <c r="FU308" s="243"/>
      <c r="FV308" s="243"/>
      <c r="FW308" s="243"/>
      <c r="FX308" s="243"/>
      <c r="FY308" s="243"/>
      <c r="FZ308" s="243"/>
      <c r="GA308" s="243"/>
      <c r="GB308" s="243"/>
      <c r="GC308" s="243"/>
      <c r="GD308" s="243"/>
      <c r="GE308" s="243"/>
      <c r="GF308" s="243"/>
      <c r="GG308" s="243"/>
      <c r="GH308" s="243"/>
      <c r="GI308" s="243"/>
      <c r="GJ308" s="243"/>
      <c r="GK308" s="243"/>
      <c r="GL308" s="243"/>
      <c r="GM308" s="243"/>
      <c r="GN308" s="243"/>
      <c r="GO308" s="243"/>
      <c r="GP308" s="243"/>
      <c r="GQ308" s="243"/>
      <c r="GR308" s="243"/>
      <c r="GS308" s="243"/>
      <c r="GT308" s="243"/>
      <c r="GU308" s="243"/>
      <c r="GV308" s="243"/>
      <c r="GW308" s="243"/>
      <c r="GX308" s="243"/>
      <c r="GY308" s="243"/>
      <c r="GZ308" s="243"/>
      <c r="HA308" s="243"/>
      <c r="HB308" s="243"/>
      <c r="HC308" s="243"/>
      <c r="HD308" s="243"/>
      <c r="HE308" s="243"/>
      <c r="HF308" s="243"/>
      <c r="HG308" s="243"/>
      <c r="HH308" s="243"/>
      <c r="HI308" s="243"/>
      <c r="HJ308" s="243"/>
      <c r="HK308" s="243"/>
      <c r="HL308" s="243"/>
      <c r="HM308" s="243"/>
      <c r="HN308" s="243"/>
      <c r="HO308" s="243"/>
      <c r="HP308" s="243"/>
      <c r="HQ308" s="243"/>
      <c r="HR308" s="243"/>
      <c r="HS308" s="243"/>
      <c r="HT308" s="243"/>
      <c r="HU308" s="243"/>
      <c r="HV308" s="243"/>
      <c r="HW308" s="243"/>
      <c r="HX308" s="243"/>
      <c r="HY308" s="243"/>
      <c r="HZ308" s="243"/>
      <c r="IA308" s="243"/>
      <c r="IB308" s="243"/>
      <c r="IC308" s="243"/>
      <c r="ID308" s="243"/>
      <c r="IE308" s="243"/>
      <c r="IF308" s="243"/>
      <c r="IG308" s="243"/>
      <c r="IH308" s="243"/>
      <c r="II308" s="243"/>
      <c r="IJ308" s="243"/>
      <c r="IK308" s="243"/>
      <c r="IL308" s="243"/>
      <c r="IM308" s="243"/>
      <c r="IN308" s="243"/>
      <c r="IO308" s="243"/>
      <c r="IP308" s="243"/>
      <c r="IQ308" s="243"/>
      <c r="IR308" s="243"/>
      <c r="IS308" s="243"/>
      <c r="IT308" s="243"/>
      <c r="IU308" s="243"/>
      <c r="IV308" s="243"/>
      <c r="IW308" s="243"/>
      <c r="IX308" s="243"/>
      <c r="IY308" s="243"/>
      <c r="IZ308" s="243"/>
      <c r="JA308" s="243"/>
      <c r="JB308" s="243"/>
      <c r="JC308" s="243"/>
      <c r="JD308" s="243"/>
      <c r="JE308" s="243"/>
      <c r="JF308" s="243"/>
      <c r="JG308" s="243"/>
      <c r="JH308" s="243"/>
      <c r="JI308" s="243"/>
      <c r="JJ308" s="243"/>
      <c r="JK308" s="243"/>
      <c r="JL308" s="243"/>
      <c r="JM308" s="243"/>
      <c r="JN308" s="243"/>
      <c r="JO308" s="243"/>
      <c r="JP308" s="243"/>
      <c r="JQ308" s="243"/>
      <c r="JR308" s="243"/>
      <c r="JS308" s="243"/>
      <c r="JT308" s="243"/>
      <c r="JU308" s="243"/>
      <c r="JV308" s="243"/>
      <c r="JW308" s="243"/>
      <c r="JX308" s="243"/>
      <c r="JY308" s="243"/>
      <c r="JZ308" s="243"/>
      <c r="KA308" s="243"/>
      <c r="KB308" s="243"/>
      <c r="KC308" s="243"/>
      <c r="KD308" s="243"/>
      <c r="KE308" s="243"/>
      <c r="KF308" s="243"/>
      <c r="KG308" s="243"/>
      <c r="KH308" s="243"/>
      <c r="KI308" s="243"/>
      <c r="KJ308" s="243"/>
      <c r="KK308" s="243"/>
      <c r="KL308" s="243"/>
      <c r="KM308" s="243"/>
      <c r="KN308" s="243"/>
      <c r="KO308" s="243"/>
      <c r="KP308" s="243"/>
      <c r="KQ308" s="243"/>
      <c r="KR308" s="243"/>
      <c r="KS308" s="243"/>
      <c r="KT308" s="243"/>
      <c r="KU308" s="243"/>
      <c r="KV308" s="243"/>
      <c r="KW308" s="243"/>
      <c r="KX308" s="243"/>
      <c r="KY308" s="243"/>
      <c r="KZ308" s="243"/>
      <c r="LA308" s="243"/>
      <c r="LB308" s="243"/>
      <c r="LC308" s="243"/>
      <c r="LD308" s="243"/>
      <c r="LE308" s="243"/>
      <c r="LF308" s="243"/>
      <c r="LG308" s="243"/>
      <c r="LH308" s="243"/>
      <c r="LI308" s="243"/>
      <c r="LJ308" s="243"/>
      <c r="LK308" s="243"/>
      <c r="LL308" s="243"/>
      <c r="LM308" s="243"/>
      <c r="LN308" s="243"/>
      <c r="LO308" s="243"/>
      <c r="LP308" s="243"/>
      <c r="LQ308" s="243"/>
      <c r="LR308" s="243"/>
      <c r="LS308" s="243"/>
      <c r="LT308" s="243"/>
      <c r="LU308" s="243"/>
      <c r="LV308" s="243"/>
      <c r="LW308" s="243"/>
      <c r="LX308" s="243"/>
      <c r="LY308" s="243"/>
      <c r="LZ308" s="243"/>
      <c r="MA308" s="243"/>
      <c r="MB308" s="243"/>
      <c r="MC308" s="243"/>
      <c r="MD308" s="243"/>
      <c r="ME308" s="243"/>
      <c r="MF308" s="243"/>
      <c r="MG308" s="243"/>
      <c r="MH308" s="243"/>
      <c r="MI308" s="243"/>
      <c r="MJ308" s="243"/>
      <c r="MK308" s="243"/>
      <c r="ML308" s="243"/>
      <c r="MM308" s="243"/>
      <c r="MN308" s="243"/>
      <c r="MO308" s="243"/>
      <c r="MP308" s="243"/>
      <c r="MQ308" s="243"/>
      <c r="MR308" s="243"/>
      <c r="MS308" s="243"/>
      <c r="MT308" s="243"/>
      <c r="MU308" s="243"/>
      <c r="MV308" s="243"/>
      <c r="MW308" s="243"/>
      <c r="MX308" s="243"/>
      <c r="MY308" s="243"/>
      <c r="MZ308" s="243"/>
      <c r="NA308" s="243"/>
      <c r="NB308" s="243"/>
      <c r="NC308" s="243"/>
      <c r="ND308" s="243"/>
      <c r="NE308" s="243"/>
      <c r="NF308" s="243"/>
      <c r="NG308" s="243"/>
      <c r="NH308" s="243"/>
      <c r="NI308" s="243"/>
      <c r="NJ308" s="243"/>
      <c r="NK308" s="243"/>
      <c r="NL308" s="243"/>
      <c r="NM308" s="243"/>
      <c r="NN308" s="243"/>
      <c r="NO308" s="243"/>
      <c r="NP308" s="243"/>
      <c r="NQ308" s="243"/>
      <c r="NR308" s="243"/>
      <c r="NS308" s="243"/>
      <c r="NT308" s="243"/>
      <c r="NU308" s="243"/>
      <c r="NV308" s="243"/>
      <c r="NW308" s="243"/>
      <c r="NX308" s="243"/>
      <c r="NY308" s="243"/>
      <c r="NZ308" s="243"/>
      <c r="OA308" s="243"/>
      <c r="OB308" s="243"/>
      <c r="OC308" s="243"/>
      <c r="OD308" s="243"/>
      <c r="OE308" s="243"/>
      <c r="OF308" s="243"/>
      <c r="OG308" s="243"/>
      <c r="OH308" s="243"/>
      <c r="OI308" s="243"/>
      <c r="OJ308" s="243"/>
      <c r="OK308" s="243"/>
      <c r="OL308" s="243"/>
      <c r="OM308" s="243"/>
      <c r="ON308" s="243"/>
      <c r="OO308" s="243"/>
      <c r="OP308" s="243"/>
      <c r="OQ308" s="243"/>
      <c r="OR308" s="243"/>
      <c r="OS308" s="243"/>
      <c r="OT308" s="243"/>
      <c r="OU308" s="243"/>
      <c r="OV308" s="243"/>
      <c r="OW308" s="243"/>
      <c r="OX308" s="243"/>
      <c r="OY308" s="243"/>
      <c r="OZ308" s="243"/>
      <c r="PA308" s="243"/>
      <c r="PB308" s="243"/>
      <c r="PC308" s="243"/>
      <c r="PD308" s="243"/>
      <c r="PE308" s="243"/>
      <c r="PF308" s="243"/>
      <c r="PG308" s="243"/>
      <c r="PH308" s="243"/>
      <c r="PI308" s="243"/>
      <c r="PJ308" s="243"/>
      <c r="PK308" s="243"/>
      <c r="PL308" s="243"/>
      <c r="PM308" s="243"/>
      <c r="PN308" s="243"/>
      <c r="PO308" s="243"/>
      <c r="PP308" s="243"/>
      <c r="PQ308" s="243"/>
      <c r="PR308" s="243"/>
      <c r="PS308" s="243"/>
      <c r="PT308" s="243"/>
      <c r="PU308" s="243"/>
      <c r="PV308" s="243"/>
      <c r="PW308" s="243"/>
      <c r="PX308" s="243"/>
      <c r="PY308" s="243"/>
      <c r="PZ308" s="243"/>
      <c r="QA308" s="243"/>
      <c r="QB308" s="243"/>
      <c r="QC308" s="243"/>
      <c r="QD308" s="243"/>
      <c r="QE308" s="243"/>
      <c r="QF308" s="243"/>
      <c r="QG308" s="243"/>
      <c r="QH308" s="243"/>
      <c r="QI308" s="243"/>
      <c r="QJ308" s="243"/>
      <c r="QK308" s="243"/>
      <c r="QL308" s="243"/>
      <c r="QM308" s="243"/>
      <c r="QN308" s="243"/>
      <c r="QO308" s="243"/>
      <c r="QP308" s="243"/>
      <c r="QQ308" s="243"/>
      <c r="QR308" s="243"/>
      <c r="QS308" s="243"/>
      <c r="QT308" s="243"/>
      <c r="QU308" s="243"/>
      <c r="QV308" s="243"/>
      <c r="QW308" s="243"/>
      <c r="QX308" s="243"/>
      <c r="QY308" s="243"/>
      <c r="QZ308" s="243"/>
      <c r="RA308" s="243"/>
      <c r="RB308" s="243"/>
      <c r="RC308" s="243"/>
      <c r="RD308" s="243"/>
      <c r="RE308" s="243"/>
      <c r="RF308" s="243"/>
      <c r="RG308" s="243"/>
      <c r="RH308" s="243"/>
      <c r="RI308" s="243"/>
      <c r="RJ308" s="243"/>
      <c r="RK308" s="243"/>
      <c r="RL308" s="243"/>
      <c r="RM308" s="243"/>
      <c r="RN308" s="243"/>
      <c r="RO308" s="243"/>
      <c r="RP308" s="243"/>
      <c r="RQ308" s="243"/>
      <c r="RR308" s="243"/>
      <c r="RS308" s="243"/>
      <c r="RT308" s="243"/>
      <c r="RU308" s="243"/>
      <c r="RV308" s="243"/>
      <c r="RW308" s="243"/>
      <c r="RX308" s="243"/>
      <c r="RY308" s="243"/>
      <c r="RZ308" s="243"/>
      <c r="SA308" s="243"/>
      <c r="SB308" s="243"/>
      <c r="SC308" s="243"/>
      <c r="SD308" s="243"/>
      <c r="SE308" s="243"/>
      <c r="SF308" s="243"/>
      <c r="SG308" s="243"/>
      <c r="SH308" s="243"/>
      <c r="SI308" s="243"/>
      <c r="SJ308" s="243"/>
      <c r="SK308" s="243"/>
      <c r="SL308" s="243"/>
      <c r="SM308" s="243"/>
      <c r="SN308" s="243"/>
      <c r="SO308" s="243"/>
      <c r="SP308" s="243"/>
      <c r="SQ308" s="243"/>
      <c r="SR308" s="243"/>
      <c r="SS308" s="243"/>
      <c r="ST308" s="243"/>
      <c r="SU308" s="243"/>
      <c r="SV308" s="243"/>
      <c r="SW308" s="243"/>
      <c r="SX308" s="243"/>
      <c r="SY308" s="243"/>
      <c r="SZ308" s="243"/>
      <c r="TA308" s="243"/>
      <c r="TB308" s="243"/>
      <c r="TC308" s="243"/>
      <c r="TD308" s="243"/>
      <c r="TE308" s="243"/>
      <c r="TF308" s="243"/>
      <c r="TG308" s="243"/>
      <c r="TH308" s="243"/>
      <c r="TI308" s="243"/>
      <c r="TJ308" s="243"/>
      <c r="TK308" s="243"/>
      <c r="TL308" s="243"/>
      <c r="TM308" s="243"/>
      <c r="TN308" s="243"/>
      <c r="TO308" s="243"/>
      <c r="TP308" s="243"/>
      <c r="TQ308" s="243"/>
      <c r="TR308" s="243"/>
      <c r="TS308" s="243"/>
      <c r="TT308" s="243"/>
      <c r="TU308" s="243"/>
      <c r="TV308" s="243"/>
      <c r="TW308" s="243"/>
      <c r="TX308" s="243"/>
      <c r="TY308" s="243"/>
      <c r="TZ308" s="243"/>
      <c r="UA308" s="243"/>
      <c r="UB308" s="243"/>
      <c r="UC308" s="243"/>
      <c r="UD308" s="243"/>
      <c r="UE308" s="243"/>
      <c r="UF308" s="243"/>
      <c r="UG308" s="243"/>
      <c r="UH308" s="243"/>
      <c r="UI308" s="243"/>
      <c r="UJ308" s="243"/>
      <c r="UK308" s="243"/>
      <c r="UL308" s="243"/>
      <c r="UM308" s="243"/>
      <c r="UN308" s="243"/>
      <c r="UO308" s="243"/>
      <c r="UP308" s="243"/>
      <c r="UQ308" s="243"/>
      <c r="UR308" s="243"/>
      <c r="US308" s="243"/>
      <c r="UT308" s="243"/>
      <c r="UU308" s="243"/>
      <c r="UV308" s="243"/>
      <c r="UW308" s="243"/>
      <c r="UX308" s="243"/>
      <c r="UY308" s="243"/>
      <c r="UZ308" s="243"/>
      <c r="VA308" s="243"/>
      <c r="VB308" s="243"/>
      <c r="VC308" s="243"/>
      <c r="VD308" s="243"/>
      <c r="VE308" s="243"/>
      <c r="VF308" s="243"/>
      <c r="VG308" s="243"/>
      <c r="VH308" s="243"/>
      <c r="VI308" s="243"/>
      <c r="VJ308" s="243"/>
      <c r="VK308" s="243"/>
      <c r="VL308" s="243"/>
      <c r="VM308" s="243"/>
      <c r="VN308" s="243"/>
      <c r="VO308" s="243"/>
      <c r="VP308" s="243"/>
      <c r="VQ308" s="243"/>
      <c r="VR308" s="243"/>
      <c r="VS308" s="243"/>
      <c r="VT308" s="243"/>
      <c r="VU308" s="243"/>
      <c r="VV308" s="243"/>
      <c r="VW308" s="243"/>
      <c r="VX308" s="243"/>
      <c r="VY308" s="243"/>
      <c r="VZ308" s="243"/>
      <c r="WA308" s="243"/>
      <c r="WB308" s="243"/>
      <c r="WC308" s="243"/>
      <c r="WD308" s="243"/>
      <c r="WE308" s="243"/>
      <c r="WF308" s="243"/>
      <c r="WG308" s="243"/>
      <c r="WH308" s="243"/>
      <c r="WI308" s="243"/>
      <c r="WJ308" s="243"/>
      <c r="WK308" s="243"/>
      <c r="WL308" s="243"/>
      <c r="WM308" s="243"/>
      <c r="WN308" s="243"/>
      <c r="WO308" s="243"/>
      <c r="WP308" s="243"/>
      <c r="WQ308" s="243"/>
      <c r="WR308" s="243"/>
      <c r="WS308" s="243"/>
      <c r="WT308" s="243"/>
      <c r="WU308" s="243"/>
      <c r="WV308" s="243"/>
      <c r="WW308" s="243"/>
      <c r="WX308" s="243"/>
      <c r="WY308" s="243"/>
      <c r="WZ308" s="243"/>
      <c r="XA308" s="243"/>
      <c r="XB308" s="243"/>
      <c r="XC308" s="243"/>
      <c r="XD308" s="243"/>
      <c r="XE308" s="243"/>
      <c r="XF308" s="243"/>
      <c r="XG308" s="243"/>
      <c r="XH308" s="243"/>
      <c r="XI308" s="243"/>
      <c r="XJ308" s="243"/>
      <c r="XK308" s="243"/>
      <c r="XL308" s="243"/>
      <c r="XM308" s="243"/>
      <c r="XN308" s="243"/>
      <c r="XO308" s="243"/>
      <c r="XP308" s="243"/>
      <c r="XQ308" s="243"/>
      <c r="XR308" s="243"/>
      <c r="XS308" s="243"/>
      <c r="XT308" s="243"/>
      <c r="XU308" s="243"/>
      <c r="XV308" s="243"/>
      <c r="XW308" s="243"/>
      <c r="XX308" s="243"/>
      <c r="XY308" s="243"/>
      <c r="XZ308" s="243"/>
      <c r="YA308" s="243"/>
      <c r="YB308" s="243"/>
      <c r="YC308" s="243"/>
      <c r="YD308" s="243"/>
      <c r="YE308" s="243"/>
      <c r="YF308" s="243"/>
      <c r="YG308" s="243"/>
      <c r="YH308" s="243"/>
      <c r="YI308" s="243"/>
      <c r="YJ308" s="243"/>
      <c r="YK308" s="243"/>
      <c r="YL308" s="243"/>
      <c r="YM308" s="243"/>
      <c r="YN308" s="243"/>
      <c r="YO308" s="243"/>
      <c r="YP308" s="243"/>
      <c r="YQ308" s="243"/>
      <c r="YR308" s="243"/>
      <c r="YS308" s="243"/>
      <c r="YT308" s="243"/>
      <c r="YU308" s="243"/>
      <c r="YV308" s="243"/>
      <c r="YW308" s="243"/>
      <c r="YX308" s="243"/>
      <c r="YY308" s="243"/>
      <c r="YZ308" s="243"/>
      <c r="ZA308" s="243"/>
      <c r="ZB308" s="243"/>
      <c r="ZC308" s="243"/>
      <c r="ZD308" s="243"/>
      <c r="ZE308" s="243"/>
      <c r="ZF308" s="243"/>
      <c r="ZG308" s="243"/>
      <c r="ZH308" s="243"/>
      <c r="ZI308" s="243"/>
      <c r="ZJ308" s="243"/>
      <c r="ZK308" s="243"/>
      <c r="ZL308" s="243"/>
      <c r="ZM308" s="243"/>
      <c r="ZN308" s="243"/>
      <c r="ZO308" s="243"/>
      <c r="ZP308" s="243"/>
      <c r="ZQ308" s="243"/>
      <c r="ZR308" s="243"/>
      <c r="ZS308" s="243"/>
      <c r="ZT308" s="243"/>
      <c r="ZU308" s="243"/>
      <c r="ZV308" s="243"/>
      <c r="ZW308" s="243"/>
      <c r="ZX308" s="243"/>
      <c r="ZY308" s="243"/>
      <c r="ZZ308" s="243"/>
      <c r="AAA308" s="243"/>
      <c r="AAB308" s="243"/>
      <c r="AAC308" s="243"/>
      <c r="AAD308" s="243"/>
      <c r="AAE308" s="243"/>
      <c r="AAF308" s="243"/>
      <c r="AAG308" s="243"/>
      <c r="AAH308" s="243"/>
      <c r="AAI308" s="243"/>
      <c r="AAJ308" s="243"/>
      <c r="AAK308" s="243"/>
      <c r="AAL308" s="243"/>
      <c r="AAM308" s="243"/>
      <c r="AAN308" s="243"/>
      <c r="AAO308" s="243"/>
      <c r="AAP308" s="243"/>
      <c r="AAQ308" s="243"/>
      <c r="AAR308" s="243"/>
      <c r="AAS308" s="243"/>
      <c r="AAT308" s="243"/>
      <c r="AAU308" s="243"/>
      <c r="AAV308" s="243"/>
      <c r="AAW308" s="243"/>
      <c r="AAX308" s="243"/>
      <c r="AAY308" s="243"/>
      <c r="AAZ308" s="243"/>
      <c r="ABA308" s="243"/>
      <c r="ABB308" s="243"/>
      <c r="ABC308" s="243"/>
      <c r="ABD308" s="243"/>
      <c r="ABE308" s="243"/>
      <c r="ABF308" s="243"/>
      <c r="ABG308" s="243"/>
      <c r="ABH308" s="243"/>
      <c r="ABI308" s="243"/>
      <c r="ABJ308" s="243"/>
      <c r="ABK308" s="243"/>
      <c r="ABL308" s="243"/>
      <c r="ABM308" s="243"/>
      <c r="ABN308" s="243"/>
      <c r="ABO308" s="243"/>
      <c r="ABP308" s="243"/>
      <c r="ABQ308" s="243"/>
      <c r="ABR308" s="243"/>
      <c r="ABS308" s="243"/>
      <c r="ABT308" s="243"/>
      <c r="ABU308" s="243"/>
      <c r="ABV308" s="243"/>
      <c r="ABW308" s="243"/>
      <c r="ABX308" s="243"/>
      <c r="ABY308" s="243"/>
      <c r="ABZ308" s="243"/>
      <c r="ACA308" s="243"/>
      <c r="ACB308" s="243"/>
      <c r="ACC308" s="243"/>
      <c r="ACD308" s="243"/>
      <c r="ACE308" s="243"/>
      <c r="ACF308" s="243"/>
      <c r="ACG308" s="243"/>
      <c r="ACH308" s="243"/>
      <c r="ACI308" s="243"/>
      <c r="ACJ308" s="243"/>
      <c r="ACK308" s="243"/>
      <c r="ACL308" s="243"/>
      <c r="ACM308" s="243"/>
      <c r="ACN308" s="243"/>
      <c r="ACO308" s="243"/>
      <c r="ACP308" s="243"/>
      <c r="ACQ308" s="243"/>
      <c r="ACR308" s="243"/>
      <c r="ACS308" s="243"/>
      <c r="ACT308" s="243"/>
      <c r="ACU308" s="243"/>
      <c r="ACV308" s="243"/>
      <c r="ACW308" s="243"/>
      <c r="ACX308" s="243"/>
      <c r="ACY308" s="243"/>
      <c r="ACZ308" s="243"/>
      <c r="ADA308" s="243"/>
      <c r="ADB308" s="243"/>
      <c r="ADC308" s="243"/>
      <c r="ADD308" s="243"/>
      <c r="ADE308" s="243"/>
      <c r="ADF308" s="243"/>
      <c r="ADG308" s="243"/>
      <c r="ADH308" s="243"/>
      <c r="ADI308" s="243"/>
      <c r="ADJ308" s="243"/>
      <c r="ADK308" s="243"/>
      <c r="ADL308" s="243"/>
      <c r="ADM308" s="243"/>
      <c r="ADN308" s="243"/>
      <c r="ADO308" s="243"/>
      <c r="ADP308" s="243"/>
      <c r="ADQ308" s="243"/>
      <c r="ADR308" s="243"/>
      <c r="ADS308" s="243"/>
      <c r="ADT308" s="243"/>
      <c r="ADU308" s="243"/>
      <c r="ADV308" s="243"/>
      <c r="ADW308" s="243"/>
      <c r="ADX308" s="243"/>
      <c r="ADY308" s="243"/>
      <c r="ADZ308" s="243"/>
      <c r="AEA308" s="243"/>
      <c r="AEB308" s="243"/>
      <c r="AEC308" s="243"/>
      <c r="AED308" s="243"/>
      <c r="AEE308" s="243"/>
      <c r="AEF308" s="243"/>
      <c r="AEG308" s="243"/>
      <c r="AEH308" s="243"/>
      <c r="AEI308" s="243"/>
      <c r="AEJ308" s="243"/>
      <c r="AEK308" s="243"/>
      <c r="AEL308" s="243"/>
      <c r="AEM308" s="243"/>
      <c r="AEN308" s="243"/>
      <c r="AEO308" s="243"/>
      <c r="AEP308" s="243"/>
      <c r="AEQ308" s="243"/>
      <c r="AER308" s="243"/>
      <c r="AES308" s="243"/>
      <c r="AET308" s="243"/>
      <c r="AEU308" s="243"/>
      <c r="AEV308" s="243"/>
      <c r="AEW308" s="243"/>
      <c r="AEX308" s="243"/>
      <c r="AEY308" s="243"/>
      <c r="AEZ308" s="243"/>
      <c r="AFA308" s="243"/>
      <c r="AFB308" s="243"/>
      <c r="AFC308" s="243"/>
      <c r="AFD308" s="243"/>
      <c r="AFE308" s="243"/>
      <c r="AFF308" s="243"/>
      <c r="AFG308" s="243"/>
      <c r="AFH308" s="243"/>
      <c r="AFI308" s="243"/>
      <c r="AFJ308" s="243"/>
      <c r="AFK308" s="243"/>
      <c r="AFL308" s="243"/>
      <c r="AFM308" s="243"/>
      <c r="AFN308" s="243"/>
      <c r="AFO308" s="243"/>
      <c r="AFP308" s="243"/>
      <c r="AFQ308" s="243"/>
      <c r="AFR308" s="243"/>
      <c r="AFS308" s="243"/>
      <c r="AFT308" s="243"/>
      <c r="AFU308" s="243"/>
      <c r="AFV308" s="243"/>
      <c r="AFW308" s="243"/>
      <c r="AFX308" s="243"/>
      <c r="AFY308" s="243"/>
      <c r="AFZ308" s="243"/>
      <c r="AGA308" s="243"/>
      <c r="AGB308" s="243"/>
      <c r="AGC308" s="243"/>
      <c r="AGD308" s="243"/>
      <c r="AGE308" s="243"/>
      <c r="AGF308" s="243"/>
      <c r="AGG308" s="243"/>
      <c r="AGH308" s="243"/>
      <c r="AGI308" s="243"/>
      <c r="AGJ308" s="243"/>
      <c r="AGK308" s="243"/>
      <c r="AGL308" s="243"/>
      <c r="AGM308" s="243"/>
      <c r="AGN308" s="243"/>
      <c r="AGO308" s="243"/>
      <c r="AGP308" s="243"/>
      <c r="AGQ308" s="243"/>
      <c r="AGR308" s="243"/>
      <c r="AGS308" s="243"/>
      <c r="AGT308" s="243"/>
      <c r="AGU308" s="243"/>
      <c r="AGV308" s="243"/>
      <c r="AGW308" s="243"/>
      <c r="AGX308" s="243"/>
      <c r="AGY308" s="243"/>
      <c r="AGZ308" s="243"/>
      <c r="AHA308" s="243"/>
      <c r="AHB308" s="243"/>
      <c r="AHC308" s="243"/>
      <c r="AHD308" s="243"/>
      <c r="AHE308" s="243"/>
      <c r="AHF308" s="243"/>
      <c r="AHG308" s="243"/>
      <c r="AHH308" s="243"/>
      <c r="AHI308" s="243"/>
      <c r="AHJ308" s="243"/>
      <c r="AHK308" s="243"/>
      <c r="AHL308" s="243"/>
      <c r="AHM308" s="243"/>
      <c r="AHN308" s="243"/>
      <c r="AHO308" s="243"/>
      <c r="AHP308" s="243"/>
      <c r="AHQ308" s="243"/>
      <c r="AHR308" s="243"/>
      <c r="AHS308" s="243"/>
      <c r="AHT308" s="243"/>
      <c r="AHU308" s="243"/>
      <c r="AHV308" s="243"/>
      <c r="AHW308" s="243"/>
      <c r="AHX308" s="243"/>
      <c r="AHY308" s="243"/>
      <c r="AHZ308" s="243"/>
      <c r="AIA308" s="243"/>
      <c r="AIB308" s="243"/>
      <c r="AIC308" s="243"/>
      <c r="AID308" s="243"/>
      <c r="AIE308" s="243"/>
      <c r="AIF308" s="243"/>
      <c r="AIG308" s="243"/>
      <c r="AIH308" s="243"/>
      <c r="AII308" s="243"/>
      <c r="AIJ308" s="243"/>
      <c r="AIK308" s="243"/>
      <c r="AIL308" s="243"/>
      <c r="AIM308" s="243"/>
      <c r="AIN308" s="243"/>
      <c r="AIO308" s="243"/>
      <c r="AIP308" s="243"/>
      <c r="AIQ308" s="243"/>
      <c r="AIR308" s="243"/>
      <c r="AIS308" s="243"/>
      <c r="AIT308" s="243"/>
      <c r="AIU308" s="243"/>
      <c r="AIV308" s="243"/>
      <c r="AIW308" s="243"/>
      <c r="AIX308" s="243"/>
      <c r="AIY308" s="243"/>
      <c r="AIZ308" s="243"/>
      <c r="AJA308" s="243"/>
      <c r="AJB308" s="243"/>
      <c r="AJC308" s="243"/>
      <c r="AJD308" s="243"/>
      <c r="AJE308" s="243"/>
      <c r="AJF308" s="243"/>
      <c r="AJG308" s="243"/>
      <c r="AJH308" s="243"/>
      <c r="AJI308" s="243"/>
      <c r="AJJ308" s="243"/>
      <c r="AJK308" s="243"/>
      <c r="AJL308" s="243"/>
      <c r="AJM308" s="243"/>
      <c r="AJN308" s="243"/>
      <c r="AJO308" s="243"/>
      <c r="AJP308" s="243"/>
      <c r="AJQ308" s="243"/>
      <c r="AJR308" s="243"/>
      <c r="AJS308" s="243"/>
      <c r="AJT308" s="243"/>
      <c r="AJU308" s="243"/>
      <c r="AJV308" s="243"/>
      <c r="AJW308" s="243"/>
      <c r="AJX308" s="243"/>
      <c r="AJY308" s="243"/>
      <c r="AJZ308" s="243"/>
      <c r="AKA308" s="243"/>
      <c r="AKB308" s="243"/>
      <c r="AKC308" s="243"/>
      <c r="AKD308" s="243"/>
      <c r="AKE308" s="243"/>
      <c r="AKF308" s="243"/>
      <c r="AKG308" s="243"/>
      <c r="AKH308" s="243"/>
      <c r="AKI308" s="243"/>
      <c r="AKJ308" s="243"/>
      <c r="AKK308" s="243"/>
      <c r="AKL308" s="243"/>
      <c r="AKM308" s="243"/>
      <c r="AKN308" s="243"/>
      <c r="AKO308" s="243"/>
      <c r="AKP308" s="243"/>
      <c r="AKQ308" s="243"/>
      <c r="AKR308" s="243"/>
      <c r="AKS308" s="243"/>
      <c r="AKT308" s="243"/>
      <c r="AKU308" s="243"/>
      <c r="AKV308" s="243"/>
      <c r="AKW308" s="243"/>
      <c r="AKX308" s="243"/>
      <c r="AKY308" s="243"/>
      <c r="AKZ308" s="243"/>
      <c r="ALA308" s="243"/>
      <c r="ALB308" s="243"/>
      <c r="ALC308" s="243"/>
      <c r="ALD308" s="243"/>
      <c r="ALE308" s="243"/>
      <c r="ALF308" s="243"/>
      <c r="ALG308" s="243"/>
      <c r="ALH308" s="243"/>
      <c r="ALI308" s="243"/>
      <c r="ALJ308" s="243"/>
      <c r="ALK308" s="243"/>
      <c r="ALL308" s="243"/>
      <c r="ALM308" s="243"/>
      <c r="ALN308" s="243"/>
      <c r="ALO308" s="243"/>
      <c r="ALP308" s="243"/>
      <c r="ALQ308" s="243"/>
      <c r="ALR308" s="243"/>
      <c r="ALS308" s="243"/>
      <c r="ALT308" s="243"/>
      <c r="ALU308" s="243"/>
      <c r="ALV308" s="243"/>
      <c r="ALW308" s="243"/>
      <c r="ALX308" s="243"/>
      <c r="ALY308" s="243"/>
      <c r="ALZ308" s="243"/>
      <c r="AMA308" s="243"/>
      <c r="AMB308" s="243"/>
      <c r="AMC308" s="243"/>
      <c r="AMD308" s="243"/>
      <c r="AME308" s="243"/>
      <c r="AMF308" s="243"/>
      <c r="AMG308" s="243"/>
      <c r="AMH308" s="243"/>
      <c r="AMI308" s="244"/>
      <c r="AMJ308" s="244"/>
    </row>
    <row r="309" spans="1:1024" ht="20.25" customHeight="1">
      <c r="A309" s="946"/>
      <c r="B309" s="405"/>
      <c r="C309" s="404"/>
      <c r="D309" s="405" t="s">
        <v>184</v>
      </c>
      <c r="E309" s="437"/>
      <c r="F309" s="405"/>
      <c r="G309" s="405"/>
      <c r="H309" s="407" t="s">
        <v>47</v>
      </c>
      <c r="I309" s="407" t="s">
        <v>124</v>
      </c>
      <c r="J309" s="407"/>
      <c r="K309" s="407"/>
      <c r="L309" s="405" t="s">
        <v>215</v>
      </c>
      <c r="M309" s="395"/>
      <c r="N309" s="396"/>
      <c r="O309" s="377"/>
      <c r="P309" s="377"/>
      <c r="Q309" s="377"/>
      <c r="R309" s="243"/>
      <c r="S309" s="243"/>
      <c r="T309" s="243"/>
      <c r="U309" s="243"/>
      <c r="V309" s="243"/>
      <c r="W309" s="243"/>
      <c r="X309" s="243"/>
      <c r="Y309" s="243"/>
      <c r="Z309" s="243"/>
      <c r="AA309" s="243"/>
      <c r="AB309" s="243"/>
      <c r="AC309" s="243"/>
      <c r="AD309" s="243"/>
      <c r="AE309" s="243"/>
      <c r="AF309" s="243"/>
      <c r="AG309" s="243"/>
      <c r="AH309" s="243"/>
      <c r="AI309" s="243"/>
      <c r="AJ309" s="243"/>
      <c r="AK309" s="243"/>
      <c r="AL309" s="243"/>
      <c r="AM309" s="243"/>
      <c r="AN309" s="243"/>
      <c r="AO309" s="243"/>
      <c r="AP309" s="243"/>
      <c r="AQ309" s="243"/>
      <c r="AR309" s="243"/>
      <c r="AS309" s="243"/>
      <c r="AT309" s="243"/>
      <c r="AU309" s="243"/>
      <c r="AV309" s="243"/>
      <c r="AW309" s="243"/>
      <c r="AX309" s="243"/>
      <c r="AY309" s="243"/>
      <c r="AZ309" s="243"/>
      <c r="BA309" s="243"/>
      <c r="BB309" s="243"/>
      <c r="BC309" s="243"/>
      <c r="BD309" s="243"/>
      <c r="BE309" s="243"/>
      <c r="BF309" s="243"/>
      <c r="BG309" s="243"/>
      <c r="BH309" s="243"/>
      <c r="BI309" s="243"/>
      <c r="BJ309" s="243"/>
      <c r="BK309" s="243"/>
      <c r="BL309" s="243"/>
      <c r="BM309" s="243"/>
      <c r="BN309" s="243"/>
      <c r="BO309" s="243"/>
      <c r="BP309" s="243"/>
      <c r="BQ309" s="243"/>
      <c r="BR309" s="243"/>
      <c r="BS309" s="243"/>
      <c r="BT309" s="243"/>
      <c r="BU309" s="243"/>
      <c r="BV309" s="243"/>
      <c r="BW309" s="243"/>
      <c r="BX309" s="243"/>
      <c r="BY309" s="243"/>
      <c r="BZ309" s="243"/>
      <c r="CA309" s="243"/>
      <c r="CB309" s="243"/>
      <c r="CC309" s="243"/>
      <c r="CD309" s="243"/>
      <c r="CE309" s="243"/>
      <c r="CF309" s="243"/>
      <c r="CG309" s="243"/>
      <c r="CH309" s="243"/>
      <c r="CI309" s="243"/>
      <c r="CJ309" s="243"/>
      <c r="CK309" s="243"/>
      <c r="CL309" s="243"/>
      <c r="CM309" s="243"/>
      <c r="CN309" s="243"/>
      <c r="CO309" s="243"/>
      <c r="CP309" s="243"/>
      <c r="CQ309" s="243"/>
      <c r="CR309" s="243"/>
      <c r="CS309" s="243"/>
      <c r="CT309" s="243"/>
      <c r="CU309" s="243"/>
      <c r="CV309" s="243"/>
      <c r="CW309" s="243"/>
      <c r="CX309" s="243"/>
      <c r="CY309" s="243"/>
      <c r="CZ309" s="243"/>
      <c r="DA309" s="243"/>
      <c r="DB309" s="243"/>
      <c r="DC309" s="243"/>
      <c r="DD309" s="243"/>
      <c r="DE309" s="243"/>
      <c r="DF309" s="243"/>
      <c r="DG309" s="243"/>
      <c r="DH309" s="243"/>
      <c r="DI309" s="243"/>
      <c r="DJ309" s="243"/>
      <c r="DK309" s="243"/>
      <c r="DL309" s="243"/>
      <c r="DM309" s="243"/>
      <c r="DN309" s="243"/>
      <c r="DO309" s="243"/>
      <c r="DP309" s="243"/>
      <c r="DQ309" s="243"/>
      <c r="DR309" s="243"/>
      <c r="DS309" s="243"/>
      <c r="DT309" s="243"/>
      <c r="DU309" s="243"/>
      <c r="DV309" s="243"/>
      <c r="DW309" s="243"/>
      <c r="DX309" s="243"/>
      <c r="DY309" s="243"/>
      <c r="DZ309" s="243"/>
      <c r="EA309" s="243"/>
      <c r="EB309" s="243"/>
      <c r="EC309" s="243"/>
      <c r="ED309" s="243"/>
      <c r="EE309" s="243"/>
      <c r="EF309" s="243"/>
      <c r="EG309" s="243"/>
      <c r="EH309" s="243"/>
      <c r="EI309" s="243"/>
      <c r="EJ309" s="243"/>
      <c r="EK309" s="243"/>
      <c r="EL309" s="243"/>
      <c r="EM309" s="243"/>
      <c r="EN309" s="243"/>
      <c r="EO309" s="243"/>
      <c r="EP309" s="243"/>
      <c r="EQ309" s="243"/>
      <c r="ER309" s="243"/>
      <c r="ES309" s="243"/>
      <c r="ET309" s="243"/>
      <c r="EU309" s="243"/>
      <c r="EV309" s="243"/>
      <c r="EW309" s="243"/>
      <c r="EX309" s="243"/>
      <c r="EY309" s="243"/>
      <c r="EZ309" s="243"/>
      <c r="FA309" s="243"/>
      <c r="FB309" s="243"/>
      <c r="FC309" s="243"/>
      <c r="FD309" s="243"/>
      <c r="FE309" s="243"/>
      <c r="FF309" s="243"/>
      <c r="FG309" s="243"/>
      <c r="FH309" s="243"/>
      <c r="FI309" s="243"/>
      <c r="FJ309" s="243"/>
      <c r="FK309" s="243"/>
      <c r="FL309" s="243"/>
      <c r="FM309" s="243"/>
      <c r="FN309" s="243"/>
      <c r="FO309" s="243"/>
      <c r="FP309" s="243"/>
      <c r="FQ309" s="243"/>
      <c r="FR309" s="243"/>
      <c r="FS309" s="243"/>
      <c r="FT309" s="243"/>
      <c r="FU309" s="243"/>
      <c r="FV309" s="243"/>
      <c r="FW309" s="243"/>
      <c r="FX309" s="243"/>
      <c r="FY309" s="243"/>
      <c r="FZ309" s="243"/>
      <c r="GA309" s="243"/>
      <c r="GB309" s="243"/>
      <c r="GC309" s="243"/>
      <c r="GD309" s="243"/>
      <c r="GE309" s="243"/>
      <c r="GF309" s="243"/>
      <c r="GG309" s="243"/>
      <c r="GH309" s="243"/>
      <c r="GI309" s="243"/>
      <c r="GJ309" s="243"/>
      <c r="GK309" s="243"/>
      <c r="GL309" s="243"/>
      <c r="GM309" s="243"/>
      <c r="GN309" s="243"/>
      <c r="GO309" s="243"/>
      <c r="GP309" s="243"/>
      <c r="GQ309" s="243"/>
      <c r="GR309" s="243"/>
      <c r="GS309" s="243"/>
      <c r="GT309" s="243"/>
      <c r="GU309" s="243"/>
      <c r="GV309" s="243"/>
      <c r="GW309" s="243"/>
      <c r="GX309" s="243"/>
      <c r="GY309" s="243"/>
      <c r="GZ309" s="243"/>
      <c r="HA309" s="243"/>
      <c r="HB309" s="243"/>
      <c r="HC309" s="243"/>
      <c r="HD309" s="243"/>
      <c r="HE309" s="243"/>
      <c r="HF309" s="243"/>
      <c r="HG309" s="243"/>
      <c r="HH309" s="243"/>
      <c r="HI309" s="243"/>
      <c r="HJ309" s="243"/>
      <c r="HK309" s="243"/>
      <c r="HL309" s="243"/>
      <c r="HM309" s="243"/>
      <c r="HN309" s="243"/>
      <c r="HO309" s="243"/>
      <c r="HP309" s="243"/>
      <c r="HQ309" s="243"/>
      <c r="HR309" s="243"/>
      <c r="HS309" s="243"/>
      <c r="HT309" s="243"/>
      <c r="HU309" s="243"/>
      <c r="HV309" s="243"/>
      <c r="HW309" s="243"/>
      <c r="HX309" s="243"/>
      <c r="HY309" s="243"/>
      <c r="HZ309" s="243"/>
      <c r="IA309" s="243"/>
      <c r="IB309" s="243"/>
      <c r="IC309" s="243"/>
      <c r="ID309" s="243"/>
      <c r="IE309" s="243"/>
      <c r="IF309" s="243"/>
      <c r="IG309" s="243"/>
      <c r="IH309" s="243"/>
      <c r="II309" s="243"/>
      <c r="IJ309" s="243"/>
      <c r="IK309" s="243"/>
      <c r="IL309" s="243"/>
      <c r="IM309" s="243"/>
      <c r="IN309" s="243"/>
      <c r="IO309" s="243"/>
      <c r="IP309" s="243"/>
      <c r="IQ309" s="243"/>
      <c r="IR309" s="243"/>
      <c r="IS309" s="243"/>
      <c r="IT309" s="243"/>
      <c r="IU309" s="243"/>
      <c r="IV309" s="243"/>
      <c r="IW309" s="243"/>
      <c r="IX309" s="243"/>
      <c r="IY309" s="243"/>
      <c r="IZ309" s="243"/>
      <c r="JA309" s="243"/>
      <c r="JB309" s="243"/>
      <c r="JC309" s="243"/>
      <c r="JD309" s="243"/>
      <c r="JE309" s="243"/>
      <c r="JF309" s="243"/>
      <c r="JG309" s="243"/>
      <c r="JH309" s="243"/>
      <c r="JI309" s="243"/>
      <c r="JJ309" s="243"/>
      <c r="JK309" s="243"/>
      <c r="JL309" s="243"/>
      <c r="JM309" s="243"/>
      <c r="JN309" s="243"/>
      <c r="JO309" s="243"/>
      <c r="JP309" s="243"/>
      <c r="JQ309" s="243"/>
      <c r="JR309" s="243"/>
      <c r="JS309" s="243"/>
      <c r="JT309" s="243"/>
      <c r="JU309" s="243"/>
      <c r="JV309" s="243"/>
      <c r="JW309" s="243"/>
      <c r="JX309" s="243"/>
      <c r="JY309" s="243"/>
      <c r="JZ309" s="243"/>
      <c r="KA309" s="243"/>
      <c r="KB309" s="243"/>
      <c r="KC309" s="243"/>
      <c r="KD309" s="243"/>
      <c r="KE309" s="243"/>
      <c r="KF309" s="243"/>
      <c r="KG309" s="243"/>
      <c r="KH309" s="243"/>
      <c r="KI309" s="243"/>
      <c r="KJ309" s="243"/>
      <c r="KK309" s="243"/>
      <c r="KL309" s="243"/>
      <c r="KM309" s="243"/>
      <c r="KN309" s="243"/>
      <c r="KO309" s="243"/>
      <c r="KP309" s="243"/>
      <c r="KQ309" s="243"/>
      <c r="KR309" s="243"/>
      <c r="KS309" s="243"/>
      <c r="KT309" s="243"/>
      <c r="KU309" s="243"/>
      <c r="KV309" s="243"/>
      <c r="KW309" s="243"/>
      <c r="KX309" s="243"/>
      <c r="KY309" s="243"/>
      <c r="KZ309" s="243"/>
      <c r="LA309" s="243"/>
      <c r="LB309" s="243"/>
      <c r="LC309" s="243"/>
      <c r="LD309" s="243"/>
      <c r="LE309" s="243"/>
      <c r="LF309" s="243"/>
      <c r="LG309" s="243"/>
      <c r="LH309" s="243"/>
      <c r="LI309" s="243"/>
      <c r="LJ309" s="243"/>
      <c r="LK309" s="243"/>
      <c r="LL309" s="243"/>
      <c r="LM309" s="243"/>
      <c r="LN309" s="243"/>
      <c r="LO309" s="243"/>
      <c r="LP309" s="243"/>
      <c r="LQ309" s="243"/>
      <c r="LR309" s="243"/>
      <c r="LS309" s="243"/>
      <c r="LT309" s="243"/>
      <c r="LU309" s="243"/>
      <c r="LV309" s="243"/>
      <c r="LW309" s="243"/>
      <c r="LX309" s="243"/>
      <c r="LY309" s="243"/>
      <c r="LZ309" s="243"/>
      <c r="MA309" s="243"/>
      <c r="MB309" s="243"/>
      <c r="MC309" s="243"/>
      <c r="MD309" s="243"/>
      <c r="ME309" s="243"/>
      <c r="MF309" s="243"/>
      <c r="MG309" s="243"/>
      <c r="MH309" s="243"/>
      <c r="MI309" s="243"/>
      <c r="MJ309" s="243"/>
      <c r="MK309" s="243"/>
      <c r="ML309" s="243"/>
      <c r="MM309" s="243"/>
      <c r="MN309" s="243"/>
      <c r="MO309" s="243"/>
      <c r="MP309" s="243"/>
      <c r="MQ309" s="243"/>
      <c r="MR309" s="243"/>
      <c r="MS309" s="243"/>
      <c r="MT309" s="243"/>
      <c r="MU309" s="243"/>
      <c r="MV309" s="243"/>
      <c r="MW309" s="243"/>
      <c r="MX309" s="243"/>
      <c r="MY309" s="243"/>
      <c r="MZ309" s="243"/>
      <c r="NA309" s="243"/>
      <c r="NB309" s="243"/>
      <c r="NC309" s="243"/>
      <c r="ND309" s="243"/>
      <c r="NE309" s="243"/>
      <c r="NF309" s="243"/>
      <c r="NG309" s="243"/>
      <c r="NH309" s="243"/>
      <c r="NI309" s="243"/>
      <c r="NJ309" s="243"/>
      <c r="NK309" s="243"/>
      <c r="NL309" s="243"/>
      <c r="NM309" s="243"/>
      <c r="NN309" s="243"/>
      <c r="NO309" s="243"/>
      <c r="NP309" s="243"/>
      <c r="NQ309" s="243"/>
      <c r="NR309" s="243"/>
      <c r="NS309" s="243"/>
      <c r="NT309" s="243"/>
      <c r="NU309" s="243"/>
      <c r="NV309" s="243"/>
      <c r="NW309" s="243"/>
      <c r="NX309" s="243"/>
      <c r="NY309" s="243"/>
      <c r="NZ309" s="243"/>
      <c r="OA309" s="243"/>
      <c r="OB309" s="243"/>
      <c r="OC309" s="243"/>
      <c r="OD309" s="243"/>
      <c r="OE309" s="243"/>
      <c r="OF309" s="243"/>
      <c r="OG309" s="243"/>
      <c r="OH309" s="243"/>
      <c r="OI309" s="243"/>
      <c r="OJ309" s="243"/>
      <c r="OK309" s="243"/>
      <c r="OL309" s="243"/>
      <c r="OM309" s="243"/>
      <c r="ON309" s="243"/>
      <c r="OO309" s="243"/>
      <c r="OP309" s="243"/>
      <c r="OQ309" s="243"/>
      <c r="OR309" s="243"/>
      <c r="OS309" s="243"/>
      <c r="OT309" s="243"/>
      <c r="OU309" s="243"/>
      <c r="OV309" s="243"/>
      <c r="OW309" s="243"/>
      <c r="OX309" s="243"/>
      <c r="OY309" s="243"/>
      <c r="OZ309" s="243"/>
      <c r="PA309" s="243"/>
      <c r="PB309" s="243"/>
      <c r="PC309" s="243"/>
      <c r="PD309" s="243"/>
      <c r="PE309" s="243"/>
      <c r="PF309" s="243"/>
      <c r="PG309" s="243"/>
      <c r="PH309" s="243"/>
      <c r="PI309" s="243"/>
      <c r="PJ309" s="243"/>
      <c r="PK309" s="243"/>
      <c r="PL309" s="243"/>
      <c r="PM309" s="243"/>
      <c r="PN309" s="243"/>
      <c r="PO309" s="243"/>
      <c r="PP309" s="243"/>
      <c r="PQ309" s="243"/>
      <c r="PR309" s="243"/>
      <c r="PS309" s="243"/>
      <c r="PT309" s="243"/>
      <c r="PU309" s="243"/>
      <c r="PV309" s="243"/>
      <c r="PW309" s="243"/>
      <c r="PX309" s="243"/>
      <c r="PY309" s="243"/>
      <c r="PZ309" s="243"/>
      <c r="QA309" s="243"/>
      <c r="QB309" s="243"/>
      <c r="QC309" s="243"/>
      <c r="QD309" s="243"/>
      <c r="QE309" s="243"/>
      <c r="QF309" s="243"/>
      <c r="QG309" s="243"/>
      <c r="QH309" s="243"/>
      <c r="QI309" s="243"/>
      <c r="QJ309" s="243"/>
      <c r="QK309" s="243"/>
      <c r="QL309" s="243"/>
      <c r="QM309" s="243"/>
      <c r="QN309" s="243"/>
      <c r="QO309" s="243"/>
      <c r="QP309" s="243"/>
      <c r="QQ309" s="243"/>
      <c r="QR309" s="243"/>
      <c r="QS309" s="243"/>
      <c r="QT309" s="243"/>
      <c r="QU309" s="243"/>
      <c r="QV309" s="243"/>
      <c r="QW309" s="243"/>
      <c r="QX309" s="243"/>
      <c r="QY309" s="243"/>
      <c r="QZ309" s="243"/>
      <c r="RA309" s="243"/>
      <c r="RB309" s="243"/>
      <c r="RC309" s="243"/>
      <c r="RD309" s="243"/>
      <c r="RE309" s="243"/>
      <c r="RF309" s="243"/>
      <c r="RG309" s="243"/>
      <c r="RH309" s="243"/>
      <c r="RI309" s="243"/>
      <c r="RJ309" s="243"/>
      <c r="RK309" s="243"/>
      <c r="RL309" s="243"/>
      <c r="RM309" s="243"/>
      <c r="RN309" s="243"/>
      <c r="RO309" s="243"/>
      <c r="RP309" s="243"/>
      <c r="RQ309" s="243"/>
      <c r="RR309" s="243"/>
      <c r="RS309" s="243"/>
      <c r="RT309" s="243"/>
      <c r="RU309" s="243"/>
      <c r="RV309" s="243"/>
      <c r="RW309" s="243"/>
      <c r="RX309" s="243"/>
      <c r="RY309" s="243"/>
      <c r="RZ309" s="243"/>
      <c r="SA309" s="243"/>
      <c r="SB309" s="243"/>
      <c r="SC309" s="243"/>
      <c r="SD309" s="243"/>
      <c r="SE309" s="243"/>
      <c r="SF309" s="243"/>
      <c r="SG309" s="243"/>
      <c r="SH309" s="243"/>
      <c r="SI309" s="243"/>
      <c r="SJ309" s="243"/>
      <c r="SK309" s="243"/>
      <c r="SL309" s="243"/>
      <c r="SM309" s="243"/>
      <c r="SN309" s="243"/>
      <c r="SO309" s="243"/>
      <c r="SP309" s="243"/>
      <c r="SQ309" s="243"/>
      <c r="SR309" s="243"/>
      <c r="SS309" s="243"/>
      <c r="ST309" s="243"/>
      <c r="SU309" s="243"/>
      <c r="SV309" s="243"/>
      <c r="SW309" s="243"/>
      <c r="SX309" s="243"/>
      <c r="SY309" s="243"/>
      <c r="SZ309" s="243"/>
      <c r="TA309" s="243"/>
      <c r="TB309" s="243"/>
      <c r="TC309" s="243"/>
      <c r="TD309" s="243"/>
      <c r="TE309" s="243"/>
      <c r="TF309" s="243"/>
      <c r="TG309" s="243"/>
      <c r="TH309" s="243"/>
      <c r="TI309" s="243"/>
      <c r="TJ309" s="243"/>
      <c r="TK309" s="243"/>
      <c r="TL309" s="243"/>
      <c r="TM309" s="243"/>
      <c r="TN309" s="243"/>
      <c r="TO309" s="243"/>
      <c r="TP309" s="243"/>
      <c r="TQ309" s="243"/>
      <c r="TR309" s="243"/>
      <c r="TS309" s="243"/>
      <c r="TT309" s="243"/>
      <c r="TU309" s="243"/>
      <c r="TV309" s="243"/>
      <c r="TW309" s="243"/>
      <c r="TX309" s="243"/>
      <c r="TY309" s="243"/>
      <c r="TZ309" s="243"/>
      <c r="UA309" s="243"/>
      <c r="UB309" s="243"/>
      <c r="UC309" s="243"/>
      <c r="UD309" s="243"/>
      <c r="UE309" s="243"/>
      <c r="UF309" s="243"/>
      <c r="UG309" s="243"/>
      <c r="UH309" s="243"/>
      <c r="UI309" s="243"/>
      <c r="UJ309" s="243"/>
      <c r="UK309" s="243"/>
      <c r="UL309" s="243"/>
      <c r="UM309" s="243"/>
      <c r="UN309" s="243"/>
      <c r="UO309" s="243"/>
      <c r="UP309" s="243"/>
      <c r="UQ309" s="243"/>
      <c r="UR309" s="243"/>
      <c r="US309" s="243"/>
      <c r="UT309" s="243"/>
      <c r="UU309" s="243"/>
      <c r="UV309" s="243"/>
      <c r="UW309" s="243"/>
      <c r="UX309" s="243"/>
      <c r="UY309" s="243"/>
      <c r="UZ309" s="243"/>
      <c r="VA309" s="243"/>
      <c r="VB309" s="243"/>
      <c r="VC309" s="243"/>
      <c r="VD309" s="243"/>
      <c r="VE309" s="243"/>
      <c r="VF309" s="243"/>
      <c r="VG309" s="243"/>
      <c r="VH309" s="243"/>
      <c r="VI309" s="243"/>
      <c r="VJ309" s="243"/>
      <c r="VK309" s="243"/>
      <c r="VL309" s="243"/>
      <c r="VM309" s="243"/>
      <c r="VN309" s="243"/>
      <c r="VO309" s="243"/>
      <c r="VP309" s="243"/>
      <c r="VQ309" s="243"/>
      <c r="VR309" s="243"/>
      <c r="VS309" s="243"/>
      <c r="VT309" s="243"/>
      <c r="VU309" s="243"/>
      <c r="VV309" s="243"/>
      <c r="VW309" s="243"/>
      <c r="VX309" s="243"/>
      <c r="VY309" s="243"/>
      <c r="VZ309" s="243"/>
      <c r="WA309" s="243"/>
      <c r="WB309" s="243"/>
      <c r="WC309" s="243"/>
      <c r="WD309" s="243"/>
      <c r="WE309" s="243"/>
      <c r="WF309" s="243"/>
      <c r="WG309" s="243"/>
      <c r="WH309" s="243"/>
      <c r="WI309" s="243"/>
      <c r="WJ309" s="243"/>
      <c r="WK309" s="243"/>
      <c r="WL309" s="243"/>
      <c r="WM309" s="243"/>
      <c r="WN309" s="243"/>
      <c r="WO309" s="243"/>
      <c r="WP309" s="243"/>
      <c r="WQ309" s="243"/>
      <c r="WR309" s="243"/>
      <c r="WS309" s="243"/>
      <c r="WT309" s="243"/>
      <c r="WU309" s="243"/>
      <c r="WV309" s="243"/>
      <c r="WW309" s="243"/>
      <c r="WX309" s="243"/>
      <c r="WY309" s="243"/>
      <c r="WZ309" s="243"/>
      <c r="XA309" s="243"/>
      <c r="XB309" s="243"/>
      <c r="XC309" s="243"/>
      <c r="XD309" s="243"/>
      <c r="XE309" s="243"/>
      <c r="XF309" s="243"/>
      <c r="XG309" s="243"/>
      <c r="XH309" s="243"/>
      <c r="XI309" s="243"/>
      <c r="XJ309" s="243"/>
      <c r="XK309" s="243"/>
      <c r="XL309" s="243"/>
      <c r="XM309" s="243"/>
      <c r="XN309" s="243"/>
      <c r="XO309" s="243"/>
      <c r="XP309" s="243"/>
      <c r="XQ309" s="243"/>
      <c r="XR309" s="243"/>
      <c r="XS309" s="243"/>
      <c r="XT309" s="243"/>
      <c r="XU309" s="243"/>
      <c r="XV309" s="243"/>
      <c r="XW309" s="243"/>
      <c r="XX309" s="243"/>
      <c r="XY309" s="243"/>
      <c r="XZ309" s="243"/>
      <c r="YA309" s="243"/>
      <c r="YB309" s="243"/>
      <c r="YC309" s="243"/>
      <c r="YD309" s="243"/>
      <c r="YE309" s="243"/>
      <c r="YF309" s="243"/>
      <c r="YG309" s="243"/>
      <c r="YH309" s="243"/>
      <c r="YI309" s="243"/>
      <c r="YJ309" s="243"/>
      <c r="YK309" s="243"/>
      <c r="YL309" s="243"/>
      <c r="YM309" s="243"/>
      <c r="YN309" s="243"/>
      <c r="YO309" s="243"/>
      <c r="YP309" s="243"/>
      <c r="YQ309" s="243"/>
      <c r="YR309" s="243"/>
      <c r="YS309" s="243"/>
      <c r="YT309" s="243"/>
      <c r="YU309" s="243"/>
      <c r="YV309" s="243"/>
      <c r="YW309" s="243"/>
      <c r="YX309" s="243"/>
      <c r="YY309" s="243"/>
      <c r="YZ309" s="243"/>
      <c r="ZA309" s="243"/>
      <c r="ZB309" s="243"/>
      <c r="ZC309" s="243"/>
      <c r="ZD309" s="243"/>
      <c r="ZE309" s="243"/>
      <c r="ZF309" s="243"/>
      <c r="ZG309" s="243"/>
      <c r="ZH309" s="243"/>
      <c r="ZI309" s="243"/>
      <c r="ZJ309" s="243"/>
      <c r="ZK309" s="243"/>
      <c r="ZL309" s="243"/>
      <c r="ZM309" s="243"/>
      <c r="ZN309" s="243"/>
      <c r="ZO309" s="243"/>
      <c r="ZP309" s="243"/>
      <c r="ZQ309" s="243"/>
      <c r="ZR309" s="243"/>
      <c r="ZS309" s="243"/>
      <c r="ZT309" s="243"/>
      <c r="ZU309" s="243"/>
      <c r="ZV309" s="243"/>
      <c r="ZW309" s="243"/>
      <c r="ZX309" s="243"/>
      <c r="ZY309" s="243"/>
      <c r="ZZ309" s="243"/>
      <c r="AAA309" s="243"/>
      <c r="AAB309" s="243"/>
      <c r="AAC309" s="243"/>
      <c r="AAD309" s="243"/>
      <c r="AAE309" s="243"/>
      <c r="AAF309" s="243"/>
      <c r="AAG309" s="243"/>
      <c r="AAH309" s="243"/>
      <c r="AAI309" s="243"/>
      <c r="AAJ309" s="243"/>
      <c r="AAK309" s="243"/>
      <c r="AAL309" s="243"/>
      <c r="AAM309" s="243"/>
      <c r="AAN309" s="243"/>
      <c r="AAO309" s="243"/>
      <c r="AAP309" s="243"/>
      <c r="AAQ309" s="243"/>
      <c r="AAR309" s="243"/>
      <c r="AAS309" s="243"/>
      <c r="AAT309" s="243"/>
      <c r="AAU309" s="243"/>
      <c r="AAV309" s="243"/>
      <c r="AAW309" s="243"/>
      <c r="AAX309" s="243"/>
      <c r="AAY309" s="243"/>
      <c r="AAZ309" s="243"/>
      <c r="ABA309" s="243"/>
      <c r="ABB309" s="243"/>
      <c r="ABC309" s="243"/>
      <c r="ABD309" s="243"/>
      <c r="ABE309" s="243"/>
      <c r="ABF309" s="243"/>
      <c r="ABG309" s="243"/>
      <c r="ABH309" s="243"/>
      <c r="ABI309" s="243"/>
      <c r="ABJ309" s="243"/>
      <c r="ABK309" s="243"/>
      <c r="ABL309" s="243"/>
      <c r="ABM309" s="243"/>
      <c r="ABN309" s="243"/>
      <c r="ABO309" s="243"/>
      <c r="ABP309" s="243"/>
      <c r="ABQ309" s="243"/>
      <c r="ABR309" s="243"/>
      <c r="ABS309" s="243"/>
      <c r="ABT309" s="243"/>
      <c r="ABU309" s="243"/>
      <c r="ABV309" s="243"/>
      <c r="ABW309" s="243"/>
      <c r="ABX309" s="243"/>
      <c r="ABY309" s="243"/>
      <c r="ABZ309" s="243"/>
      <c r="ACA309" s="243"/>
      <c r="ACB309" s="243"/>
      <c r="ACC309" s="243"/>
      <c r="ACD309" s="243"/>
      <c r="ACE309" s="243"/>
      <c r="ACF309" s="243"/>
      <c r="ACG309" s="243"/>
      <c r="ACH309" s="243"/>
      <c r="ACI309" s="243"/>
      <c r="ACJ309" s="243"/>
      <c r="ACK309" s="243"/>
      <c r="ACL309" s="243"/>
      <c r="ACM309" s="243"/>
      <c r="ACN309" s="243"/>
      <c r="ACO309" s="243"/>
      <c r="ACP309" s="243"/>
      <c r="ACQ309" s="243"/>
      <c r="ACR309" s="243"/>
      <c r="ACS309" s="243"/>
      <c r="ACT309" s="243"/>
      <c r="ACU309" s="243"/>
      <c r="ACV309" s="243"/>
      <c r="ACW309" s="243"/>
      <c r="ACX309" s="243"/>
      <c r="ACY309" s="243"/>
      <c r="ACZ309" s="243"/>
      <c r="ADA309" s="243"/>
      <c r="ADB309" s="243"/>
      <c r="ADC309" s="243"/>
      <c r="ADD309" s="243"/>
      <c r="ADE309" s="243"/>
      <c r="ADF309" s="243"/>
      <c r="ADG309" s="243"/>
      <c r="ADH309" s="243"/>
      <c r="ADI309" s="243"/>
      <c r="ADJ309" s="243"/>
      <c r="ADK309" s="243"/>
      <c r="ADL309" s="243"/>
      <c r="ADM309" s="243"/>
      <c r="ADN309" s="243"/>
      <c r="ADO309" s="243"/>
      <c r="ADP309" s="243"/>
      <c r="ADQ309" s="243"/>
      <c r="ADR309" s="243"/>
      <c r="ADS309" s="243"/>
      <c r="ADT309" s="243"/>
      <c r="ADU309" s="243"/>
      <c r="ADV309" s="243"/>
      <c r="ADW309" s="243"/>
      <c r="ADX309" s="243"/>
      <c r="ADY309" s="243"/>
      <c r="ADZ309" s="243"/>
      <c r="AEA309" s="243"/>
      <c r="AEB309" s="243"/>
      <c r="AEC309" s="243"/>
      <c r="AED309" s="243"/>
      <c r="AEE309" s="243"/>
      <c r="AEF309" s="243"/>
      <c r="AEG309" s="243"/>
      <c r="AEH309" s="243"/>
      <c r="AEI309" s="243"/>
      <c r="AEJ309" s="243"/>
      <c r="AEK309" s="243"/>
      <c r="AEL309" s="243"/>
      <c r="AEM309" s="243"/>
      <c r="AEN309" s="243"/>
      <c r="AEO309" s="243"/>
      <c r="AEP309" s="243"/>
      <c r="AEQ309" s="243"/>
      <c r="AER309" s="243"/>
      <c r="AES309" s="243"/>
      <c r="AET309" s="243"/>
      <c r="AEU309" s="243"/>
      <c r="AEV309" s="243"/>
      <c r="AEW309" s="243"/>
      <c r="AEX309" s="243"/>
      <c r="AEY309" s="243"/>
      <c r="AEZ309" s="243"/>
      <c r="AFA309" s="243"/>
      <c r="AFB309" s="243"/>
      <c r="AFC309" s="243"/>
      <c r="AFD309" s="243"/>
      <c r="AFE309" s="243"/>
      <c r="AFF309" s="243"/>
      <c r="AFG309" s="243"/>
      <c r="AFH309" s="243"/>
      <c r="AFI309" s="243"/>
      <c r="AFJ309" s="243"/>
      <c r="AFK309" s="243"/>
      <c r="AFL309" s="243"/>
      <c r="AFM309" s="243"/>
      <c r="AFN309" s="243"/>
      <c r="AFO309" s="243"/>
      <c r="AFP309" s="243"/>
      <c r="AFQ309" s="243"/>
      <c r="AFR309" s="243"/>
      <c r="AFS309" s="243"/>
      <c r="AFT309" s="243"/>
      <c r="AFU309" s="243"/>
      <c r="AFV309" s="243"/>
      <c r="AFW309" s="243"/>
      <c r="AFX309" s="243"/>
      <c r="AFY309" s="243"/>
      <c r="AFZ309" s="243"/>
      <c r="AGA309" s="243"/>
      <c r="AGB309" s="243"/>
      <c r="AGC309" s="243"/>
      <c r="AGD309" s="243"/>
      <c r="AGE309" s="243"/>
      <c r="AGF309" s="243"/>
      <c r="AGG309" s="243"/>
      <c r="AGH309" s="243"/>
      <c r="AGI309" s="243"/>
      <c r="AGJ309" s="243"/>
      <c r="AGK309" s="243"/>
      <c r="AGL309" s="243"/>
      <c r="AGM309" s="243"/>
      <c r="AGN309" s="243"/>
      <c r="AGO309" s="243"/>
      <c r="AGP309" s="243"/>
      <c r="AGQ309" s="243"/>
      <c r="AGR309" s="243"/>
      <c r="AGS309" s="243"/>
      <c r="AGT309" s="243"/>
      <c r="AGU309" s="243"/>
      <c r="AGV309" s="243"/>
      <c r="AGW309" s="243"/>
      <c r="AGX309" s="243"/>
      <c r="AGY309" s="243"/>
      <c r="AGZ309" s="243"/>
      <c r="AHA309" s="243"/>
      <c r="AHB309" s="243"/>
      <c r="AHC309" s="243"/>
      <c r="AHD309" s="243"/>
      <c r="AHE309" s="243"/>
      <c r="AHF309" s="243"/>
      <c r="AHG309" s="243"/>
      <c r="AHH309" s="243"/>
      <c r="AHI309" s="243"/>
      <c r="AHJ309" s="243"/>
      <c r="AHK309" s="243"/>
      <c r="AHL309" s="243"/>
      <c r="AHM309" s="243"/>
      <c r="AHN309" s="243"/>
      <c r="AHO309" s="243"/>
      <c r="AHP309" s="243"/>
      <c r="AHQ309" s="243"/>
      <c r="AHR309" s="243"/>
      <c r="AHS309" s="243"/>
      <c r="AHT309" s="243"/>
      <c r="AHU309" s="243"/>
      <c r="AHV309" s="243"/>
      <c r="AHW309" s="243"/>
      <c r="AHX309" s="243"/>
      <c r="AHY309" s="243"/>
      <c r="AHZ309" s="243"/>
      <c r="AIA309" s="243"/>
      <c r="AIB309" s="243"/>
      <c r="AIC309" s="243"/>
      <c r="AID309" s="243"/>
      <c r="AIE309" s="243"/>
      <c r="AIF309" s="243"/>
      <c r="AIG309" s="243"/>
      <c r="AIH309" s="243"/>
      <c r="AII309" s="243"/>
      <c r="AIJ309" s="243"/>
      <c r="AIK309" s="243"/>
      <c r="AIL309" s="243"/>
      <c r="AIM309" s="243"/>
      <c r="AIN309" s="243"/>
      <c r="AIO309" s="243"/>
      <c r="AIP309" s="243"/>
      <c r="AIQ309" s="243"/>
      <c r="AIR309" s="243"/>
      <c r="AIS309" s="243"/>
      <c r="AIT309" s="243"/>
      <c r="AIU309" s="243"/>
      <c r="AIV309" s="243"/>
      <c r="AIW309" s="243"/>
      <c r="AIX309" s="243"/>
      <c r="AIY309" s="243"/>
      <c r="AIZ309" s="243"/>
      <c r="AJA309" s="243"/>
      <c r="AJB309" s="243"/>
      <c r="AJC309" s="243"/>
      <c r="AJD309" s="243"/>
      <c r="AJE309" s="243"/>
      <c r="AJF309" s="243"/>
      <c r="AJG309" s="243"/>
      <c r="AJH309" s="243"/>
      <c r="AJI309" s="243"/>
      <c r="AJJ309" s="243"/>
      <c r="AJK309" s="243"/>
      <c r="AJL309" s="243"/>
      <c r="AJM309" s="243"/>
      <c r="AJN309" s="243"/>
      <c r="AJO309" s="243"/>
      <c r="AJP309" s="243"/>
      <c r="AJQ309" s="243"/>
      <c r="AJR309" s="243"/>
      <c r="AJS309" s="243"/>
      <c r="AJT309" s="243"/>
      <c r="AJU309" s="243"/>
      <c r="AJV309" s="243"/>
      <c r="AJW309" s="243"/>
      <c r="AJX309" s="243"/>
      <c r="AJY309" s="243"/>
      <c r="AJZ309" s="243"/>
      <c r="AKA309" s="243"/>
      <c r="AKB309" s="243"/>
      <c r="AKC309" s="243"/>
      <c r="AKD309" s="243"/>
      <c r="AKE309" s="243"/>
      <c r="AKF309" s="243"/>
      <c r="AKG309" s="243"/>
      <c r="AKH309" s="243"/>
      <c r="AKI309" s="243"/>
      <c r="AKJ309" s="243"/>
      <c r="AKK309" s="243"/>
      <c r="AKL309" s="243"/>
      <c r="AKM309" s="243"/>
      <c r="AKN309" s="243"/>
      <c r="AKO309" s="243"/>
      <c r="AKP309" s="243"/>
      <c r="AKQ309" s="243"/>
      <c r="AKR309" s="243"/>
      <c r="AKS309" s="243"/>
      <c r="AKT309" s="243"/>
      <c r="AKU309" s="243"/>
      <c r="AKV309" s="243"/>
      <c r="AKW309" s="243"/>
      <c r="AKX309" s="243"/>
      <c r="AKY309" s="243"/>
      <c r="AKZ309" s="243"/>
      <c r="ALA309" s="243"/>
      <c r="ALB309" s="243"/>
      <c r="ALC309" s="243"/>
      <c r="ALD309" s="243"/>
      <c r="ALE309" s="243"/>
      <c r="ALF309" s="243"/>
      <c r="ALG309" s="243"/>
      <c r="ALH309" s="243"/>
      <c r="ALI309" s="243"/>
      <c r="ALJ309" s="243"/>
      <c r="ALK309" s="243"/>
      <c r="ALL309" s="243"/>
      <c r="ALM309" s="243"/>
      <c r="ALN309" s="243"/>
      <c r="ALO309" s="243"/>
      <c r="ALP309" s="243"/>
      <c r="ALQ309" s="243"/>
      <c r="ALR309" s="243"/>
      <c r="ALS309" s="243"/>
      <c r="ALT309" s="243"/>
      <c r="ALU309" s="243"/>
      <c r="ALV309" s="243"/>
      <c r="ALW309" s="243"/>
      <c r="ALX309" s="243"/>
      <c r="ALY309" s="243"/>
      <c r="ALZ309" s="243"/>
      <c r="AMA309" s="243"/>
      <c r="AMB309" s="243"/>
      <c r="AMC309" s="243"/>
      <c r="AMD309" s="243"/>
      <c r="AME309" s="243"/>
      <c r="AMF309" s="243"/>
      <c r="AMG309" s="243"/>
      <c r="AMH309" s="243"/>
      <c r="AMI309" s="244"/>
      <c r="AMJ309" s="244"/>
    </row>
    <row r="310" spans="1:1024">
      <c r="A310" s="947"/>
      <c r="B310" s="511"/>
      <c r="C310" s="439"/>
      <c r="D310" s="405" t="s">
        <v>216</v>
      </c>
      <c r="E310" s="437"/>
      <c r="F310" s="405"/>
      <c r="G310" s="405"/>
      <c r="H310" s="407"/>
      <c r="I310" s="407"/>
      <c r="J310" s="407"/>
      <c r="K310" s="407"/>
      <c r="L310" s="405" t="s">
        <v>217</v>
      </c>
      <c r="M310" s="395"/>
      <c r="N310" s="396"/>
      <c r="O310" s="377"/>
      <c r="P310" s="377"/>
      <c r="Q310" s="377"/>
      <c r="R310" s="243"/>
      <c r="S310" s="243"/>
      <c r="T310" s="243"/>
      <c r="U310" s="243"/>
      <c r="V310" s="243"/>
      <c r="W310" s="243"/>
      <c r="X310" s="243"/>
      <c r="Y310" s="243"/>
      <c r="Z310" s="243"/>
      <c r="AA310" s="243"/>
      <c r="AB310" s="243"/>
      <c r="AC310" s="243"/>
      <c r="AD310" s="243"/>
      <c r="AE310" s="243"/>
      <c r="AF310" s="243"/>
      <c r="AG310" s="243"/>
      <c r="AH310" s="243"/>
      <c r="AI310" s="243"/>
      <c r="AJ310" s="243"/>
      <c r="AK310" s="243"/>
      <c r="AL310" s="243"/>
      <c r="AM310" s="243"/>
      <c r="AN310" s="243"/>
      <c r="AO310" s="243"/>
      <c r="AP310" s="243"/>
      <c r="AQ310" s="243"/>
      <c r="AR310" s="243"/>
      <c r="AS310" s="243"/>
      <c r="AT310" s="243"/>
      <c r="AU310" s="243"/>
      <c r="AV310" s="243"/>
      <c r="AW310" s="243"/>
      <c r="AX310" s="243"/>
      <c r="AY310" s="243"/>
      <c r="AZ310" s="243"/>
      <c r="BA310" s="243"/>
      <c r="BB310" s="243"/>
      <c r="BC310" s="243"/>
      <c r="BD310" s="243"/>
      <c r="BE310" s="243"/>
      <c r="BF310" s="243"/>
      <c r="BG310" s="243"/>
      <c r="BH310" s="243"/>
      <c r="BI310" s="243"/>
      <c r="BJ310" s="243"/>
      <c r="BK310" s="243"/>
      <c r="BL310" s="243"/>
      <c r="BM310" s="243"/>
      <c r="BN310" s="243"/>
      <c r="BO310" s="243"/>
      <c r="BP310" s="243"/>
      <c r="BQ310" s="243"/>
      <c r="BR310" s="243"/>
      <c r="BS310" s="243"/>
      <c r="BT310" s="243"/>
      <c r="BU310" s="243"/>
      <c r="BV310" s="243"/>
      <c r="BW310" s="243"/>
      <c r="BX310" s="243"/>
      <c r="BY310" s="243"/>
      <c r="BZ310" s="243"/>
      <c r="CA310" s="243"/>
      <c r="CB310" s="243"/>
      <c r="CC310" s="243"/>
      <c r="CD310" s="243"/>
      <c r="CE310" s="243"/>
      <c r="CF310" s="243"/>
      <c r="CG310" s="243"/>
      <c r="CH310" s="243"/>
      <c r="CI310" s="243"/>
      <c r="CJ310" s="243"/>
      <c r="CK310" s="243"/>
      <c r="CL310" s="243"/>
      <c r="CM310" s="243"/>
      <c r="CN310" s="243"/>
      <c r="CO310" s="243"/>
      <c r="CP310" s="243"/>
      <c r="CQ310" s="243"/>
      <c r="CR310" s="243"/>
      <c r="CS310" s="243"/>
      <c r="CT310" s="243"/>
      <c r="CU310" s="243"/>
      <c r="CV310" s="243"/>
      <c r="CW310" s="243"/>
      <c r="CX310" s="243"/>
      <c r="CY310" s="243"/>
      <c r="CZ310" s="243"/>
      <c r="DA310" s="243"/>
      <c r="DB310" s="243"/>
      <c r="DC310" s="243"/>
      <c r="DD310" s="243"/>
      <c r="DE310" s="243"/>
      <c r="DF310" s="243"/>
      <c r="DG310" s="243"/>
      <c r="DH310" s="243"/>
      <c r="DI310" s="243"/>
      <c r="DJ310" s="243"/>
      <c r="DK310" s="243"/>
      <c r="DL310" s="243"/>
      <c r="DM310" s="243"/>
      <c r="DN310" s="243"/>
      <c r="DO310" s="243"/>
      <c r="DP310" s="243"/>
      <c r="DQ310" s="243"/>
      <c r="DR310" s="243"/>
      <c r="DS310" s="243"/>
      <c r="DT310" s="243"/>
      <c r="DU310" s="243"/>
      <c r="DV310" s="243"/>
      <c r="DW310" s="243"/>
      <c r="DX310" s="243"/>
      <c r="DY310" s="243"/>
      <c r="DZ310" s="243"/>
      <c r="EA310" s="243"/>
      <c r="EB310" s="243"/>
      <c r="EC310" s="243"/>
      <c r="ED310" s="243"/>
      <c r="EE310" s="243"/>
      <c r="EF310" s="243"/>
      <c r="EG310" s="243"/>
      <c r="EH310" s="243"/>
      <c r="EI310" s="243"/>
      <c r="EJ310" s="243"/>
      <c r="EK310" s="243"/>
      <c r="EL310" s="243"/>
      <c r="EM310" s="243"/>
      <c r="EN310" s="243"/>
      <c r="EO310" s="243"/>
      <c r="EP310" s="243"/>
      <c r="EQ310" s="243"/>
      <c r="ER310" s="243"/>
      <c r="ES310" s="243"/>
      <c r="ET310" s="243"/>
      <c r="EU310" s="243"/>
      <c r="EV310" s="243"/>
      <c r="EW310" s="243"/>
      <c r="EX310" s="243"/>
      <c r="EY310" s="243"/>
      <c r="EZ310" s="243"/>
      <c r="FA310" s="243"/>
      <c r="FB310" s="243"/>
      <c r="FC310" s="243"/>
      <c r="FD310" s="243"/>
      <c r="FE310" s="243"/>
      <c r="FF310" s="243"/>
      <c r="FG310" s="243"/>
      <c r="FH310" s="243"/>
      <c r="FI310" s="243"/>
      <c r="FJ310" s="243"/>
      <c r="FK310" s="243"/>
      <c r="FL310" s="243"/>
      <c r="FM310" s="243"/>
      <c r="FN310" s="243"/>
      <c r="FO310" s="243"/>
      <c r="FP310" s="243"/>
      <c r="FQ310" s="243"/>
      <c r="FR310" s="243"/>
      <c r="FS310" s="243"/>
      <c r="FT310" s="243"/>
      <c r="FU310" s="243"/>
      <c r="FV310" s="243"/>
      <c r="FW310" s="243"/>
      <c r="FX310" s="243"/>
      <c r="FY310" s="243"/>
      <c r="FZ310" s="243"/>
      <c r="GA310" s="243"/>
      <c r="GB310" s="243"/>
      <c r="GC310" s="243"/>
      <c r="GD310" s="243"/>
      <c r="GE310" s="243"/>
      <c r="GF310" s="243"/>
      <c r="GG310" s="243"/>
      <c r="GH310" s="243"/>
      <c r="GI310" s="243"/>
      <c r="GJ310" s="243"/>
      <c r="GK310" s="243"/>
      <c r="GL310" s="243"/>
      <c r="GM310" s="243"/>
      <c r="GN310" s="243"/>
      <c r="GO310" s="243"/>
      <c r="GP310" s="243"/>
      <c r="GQ310" s="243"/>
      <c r="GR310" s="243"/>
      <c r="GS310" s="243"/>
      <c r="GT310" s="243"/>
      <c r="GU310" s="243"/>
      <c r="GV310" s="243"/>
      <c r="GW310" s="243"/>
      <c r="GX310" s="243"/>
      <c r="GY310" s="243"/>
      <c r="GZ310" s="243"/>
      <c r="HA310" s="243"/>
      <c r="HB310" s="243"/>
      <c r="HC310" s="243"/>
      <c r="HD310" s="243"/>
      <c r="HE310" s="243"/>
      <c r="HF310" s="243"/>
      <c r="HG310" s="243"/>
      <c r="HH310" s="243"/>
      <c r="HI310" s="243"/>
      <c r="HJ310" s="243"/>
      <c r="HK310" s="243"/>
      <c r="HL310" s="243"/>
      <c r="HM310" s="243"/>
      <c r="HN310" s="243"/>
      <c r="HO310" s="243"/>
      <c r="HP310" s="243"/>
      <c r="HQ310" s="243"/>
      <c r="HR310" s="243"/>
      <c r="HS310" s="243"/>
      <c r="HT310" s="243"/>
      <c r="HU310" s="243"/>
      <c r="HV310" s="243"/>
      <c r="HW310" s="243"/>
      <c r="HX310" s="243"/>
      <c r="HY310" s="243"/>
      <c r="HZ310" s="243"/>
      <c r="IA310" s="243"/>
      <c r="IB310" s="243"/>
      <c r="IC310" s="243"/>
      <c r="ID310" s="243"/>
      <c r="IE310" s="243"/>
      <c r="IF310" s="243"/>
      <c r="IG310" s="243"/>
      <c r="IH310" s="243"/>
      <c r="II310" s="243"/>
      <c r="IJ310" s="243"/>
      <c r="IK310" s="243"/>
      <c r="IL310" s="243"/>
      <c r="IM310" s="243"/>
      <c r="IN310" s="243"/>
      <c r="IO310" s="243"/>
      <c r="IP310" s="243"/>
      <c r="IQ310" s="243"/>
      <c r="IR310" s="243"/>
      <c r="IS310" s="243"/>
      <c r="IT310" s="243"/>
      <c r="IU310" s="243"/>
      <c r="IV310" s="243"/>
      <c r="IW310" s="243"/>
      <c r="IX310" s="243"/>
      <c r="IY310" s="243"/>
      <c r="IZ310" s="243"/>
      <c r="JA310" s="243"/>
      <c r="JB310" s="243"/>
      <c r="JC310" s="243"/>
      <c r="JD310" s="243"/>
      <c r="JE310" s="243"/>
      <c r="JF310" s="243"/>
      <c r="JG310" s="243"/>
      <c r="JH310" s="243"/>
      <c r="JI310" s="243"/>
      <c r="JJ310" s="243"/>
      <c r="JK310" s="243"/>
      <c r="JL310" s="243"/>
      <c r="JM310" s="243"/>
      <c r="JN310" s="243"/>
      <c r="JO310" s="243"/>
      <c r="JP310" s="243"/>
      <c r="JQ310" s="243"/>
      <c r="JR310" s="243"/>
      <c r="JS310" s="243"/>
      <c r="JT310" s="243"/>
      <c r="JU310" s="243"/>
      <c r="JV310" s="243"/>
      <c r="JW310" s="243"/>
      <c r="JX310" s="243"/>
      <c r="JY310" s="243"/>
      <c r="JZ310" s="243"/>
      <c r="KA310" s="243"/>
      <c r="KB310" s="243"/>
      <c r="KC310" s="243"/>
      <c r="KD310" s="243"/>
      <c r="KE310" s="243"/>
      <c r="KF310" s="243"/>
      <c r="KG310" s="243"/>
      <c r="KH310" s="243"/>
      <c r="KI310" s="243"/>
      <c r="KJ310" s="243"/>
      <c r="KK310" s="243"/>
      <c r="KL310" s="243"/>
      <c r="KM310" s="243"/>
      <c r="KN310" s="243"/>
      <c r="KO310" s="243"/>
      <c r="KP310" s="243"/>
      <c r="KQ310" s="243"/>
      <c r="KR310" s="243"/>
      <c r="KS310" s="243"/>
      <c r="KT310" s="243"/>
      <c r="KU310" s="243"/>
      <c r="KV310" s="243"/>
      <c r="KW310" s="243"/>
      <c r="KX310" s="243"/>
      <c r="KY310" s="243"/>
      <c r="KZ310" s="243"/>
      <c r="LA310" s="243"/>
      <c r="LB310" s="243"/>
      <c r="LC310" s="243"/>
      <c r="LD310" s="243"/>
      <c r="LE310" s="243"/>
      <c r="LF310" s="243"/>
      <c r="LG310" s="243"/>
      <c r="LH310" s="243"/>
      <c r="LI310" s="243"/>
      <c r="LJ310" s="243"/>
      <c r="LK310" s="243"/>
      <c r="LL310" s="243"/>
      <c r="LM310" s="243"/>
      <c r="LN310" s="243"/>
      <c r="LO310" s="243"/>
      <c r="LP310" s="243"/>
      <c r="LQ310" s="243"/>
      <c r="LR310" s="243"/>
      <c r="LS310" s="243"/>
      <c r="LT310" s="243"/>
      <c r="LU310" s="243"/>
      <c r="LV310" s="243"/>
      <c r="LW310" s="243"/>
      <c r="LX310" s="243"/>
      <c r="LY310" s="243"/>
      <c r="LZ310" s="243"/>
      <c r="MA310" s="243"/>
      <c r="MB310" s="243"/>
      <c r="MC310" s="243"/>
      <c r="MD310" s="243"/>
      <c r="ME310" s="243"/>
      <c r="MF310" s="243"/>
      <c r="MG310" s="243"/>
      <c r="MH310" s="243"/>
      <c r="MI310" s="243"/>
      <c r="MJ310" s="243"/>
      <c r="MK310" s="243"/>
      <c r="ML310" s="243"/>
      <c r="MM310" s="243"/>
      <c r="MN310" s="243"/>
      <c r="MO310" s="243"/>
      <c r="MP310" s="243"/>
      <c r="MQ310" s="243"/>
      <c r="MR310" s="243"/>
      <c r="MS310" s="243"/>
      <c r="MT310" s="243"/>
      <c r="MU310" s="243"/>
      <c r="MV310" s="243"/>
      <c r="MW310" s="243"/>
      <c r="MX310" s="243"/>
      <c r="MY310" s="243"/>
      <c r="MZ310" s="243"/>
      <c r="NA310" s="243"/>
      <c r="NB310" s="243"/>
      <c r="NC310" s="243"/>
      <c r="ND310" s="243"/>
      <c r="NE310" s="243"/>
      <c r="NF310" s="243"/>
      <c r="NG310" s="243"/>
      <c r="NH310" s="243"/>
      <c r="NI310" s="243"/>
      <c r="NJ310" s="243"/>
      <c r="NK310" s="243"/>
      <c r="NL310" s="243"/>
      <c r="NM310" s="243"/>
      <c r="NN310" s="243"/>
      <c r="NO310" s="243"/>
      <c r="NP310" s="243"/>
      <c r="NQ310" s="243"/>
      <c r="NR310" s="243"/>
      <c r="NS310" s="243"/>
      <c r="NT310" s="243"/>
      <c r="NU310" s="243"/>
      <c r="NV310" s="243"/>
      <c r="NW310" s="243"/>
      <c r="NX310" s="243"/>
      <c r="NY310" s="243"/>
      <c r="NZ310" s="243"/>
      <c r="OA310" s="243"/>
      <c r="OB310" s="243"/>
      <c r="OC310" s="243"/>
      <c r="OD310" s="243"/>
      <c r="OE310" s="243"/>
      <c r="OF310" s="243"/>
      <c r="OG310" s="243"/>
      <c r="OH310" s="243"/>
      <c r="OI310" s="243"/>
      <c r="OJ310" s="243"/>
      <c r="OK310" s="243"/>
      <c r="OL310" s="243"/>
      <c r="OM310" s="243"/>
      <c r="ON310" s="243"/>
      <c r="OO310" s="243"/>
      <c r="OP310" s="243"/>
      <c r="OQ310" s="243"/>
      <c r="OR310" s="243"/>
      <c r="OS310" s="243"/>
      <c r="OT310" s="243"/>
      <c r="OU310" s="243"/>
      <c r="OV310" s="243"/>
      <c r="OW310" s="243"/>
      <c r="OX310" s="243"/>
      <c r="OY310" s="243"/>
      <c r="OZ310" s="243"/>
      <c r="PA310" s="243"/>
      <c r="PB310" s="243"/>
      <c r="PC310" s="243"/>
      <c r="PD310" s="243"/>
      <c r="PE310" s="243"/>
      <c r="PF310" s="243"/>
      <c r="PG310" s="243"/>
      <c r="PH310" s="243"/>
      <c r="PI310" s="243"/>
      <c r="PJ310" s="243"/>
      <c r="PK310" s="243"/>
      <c r="PL310" s="243"/>
      <c r="PM310" s="243"/>
      <c r="PN310" s="243"/>
      <c r="PO310" s="243"/>
      <c r="PP310" s="243"/>
      <c r="PQ310" s="243"/>
      <c r="PR310" s="243"/>
      <c r="PS310" s="243"/>
      <c r="PT310" s="243"/>
      <c r="PU310" s="243"/>
      <c r="PV310" s="243"/>
      <c r="PW310" s="243"/>
      <c r="PX310" s="243"/>
      <c r="PY310" s="243"/>
      <c r="PZ310" s="243"/>
      <c r="QA310" s="243"/>
      <c r="QB310" s="243"/>
      <c r="QC310" s="243"/>
      <c r="QD310" s="243"/>
      <c r="QE310" s="243"/>
      <c r="QF310" s="243"/>
      <c r="QG310" s="243"/>
      <c r="QH310" s="243"/>
      <c r="QI310" s="243"/>
      <c r="QJ310" s="243"/>
      <c r="QK310" s="243"/>
      <c r="QL310" s="243"/>
      <c r="QM310" s="243"/>
      <c r="QN310" s="243"/>
      <c r="QO310" s="243"/>
      <c r="QP310" s="243"/>
      <c r="QQ310" s="243"/>
      <c r="QR310" s="243"/>
      <c r="QS310" s="243"/>
      <c r="QT310" s="243"/>
      <c r="QU310" s="243"/>
      <c r="QV310" s="243"/>
      <c r="QW310" s="243"/>
      <c r="QX310" s="243"/>
      <c r="QY310" s="243"/>
      <c r="QZ310" s="243"/>
      <c r="RA310" s="243"/>
      <c r="RB310" s="243"/>
      <c r="RC310" s="243"/>
      <c r="RD310" s="243"/>
      <c r="RE310" s="243"/>
      <c r="RF310" s="243"/>
      <c r="RG310" s="243"/>
      <c r="RH310" s="243"/>
      <c r="RI310" s="243"/>
      <c r="RJ310" s="243"/>
      <c r="RK310" s="243"/>
      <c r="RL310" s="243"/>
      <c r="RM310" s="243"/>
      <c r="RN310" s="243"/>
      <c r="RO310" s="243"/>
      <c r="RP310" s="243"/>
      <c r="RQ310" s="243"/>
      <c r="RR310" s="243"/>
      <c r="RS310" s="243"/>
      <c r="RT310" s="243"/>
      <c r="RU310" s="243"/>
      <c r="RV310" s="243"/>
      <c r="RW310" s="243"/>
      <c r="RX310" s="243"/>
      <c r="RY310" s="243"/>
      <c r="RZ310" s="243"/>
      <c r="SA310" s="243"/>
      <c r="SB310" s="243"/>
      <c r="SC310" s="243"/>
      <c r="SD310" s="243"/>
      <c r="SE310" s="243"/>
      <c r="SF310" s="243"/>
      <c r="SG310" s="243"/>
      <c r="SH310" s="243"/>
      <c r="SI310" s="243"/>
      <c r="SJ310" s="243"/>
      <c r="SK310" s="243"/>
      <c r="SL310" s="243"/>
      <c r="SM310" s="243"/>
      <c r="SN310" s="243"/>
      <c r="SO310" s="243"/>
      <c r="SP310" s="243"/>
      <c r="SQ310" s="243"/>
      <c r="SR310" s="243"/>
      <c r="SS310" s="243"/>
      <c r="ST310" s="243"/>
      <c r="SU310" s="243"/>
      <c r="SV310" s="243"/>
      <c r="SW310" s="243"/>
      <c r="SX310" s="243"/>
      <c r="SY310" s="243"/>
      <c r="SZ310" s="243"/>
      <c r="TA310" s="243"/>
      <c r="TB310" s="243"/>
      <c r="TC310" s="243"/>
      <c r="TD310" s="243"/>
      <c r="TE310" s="243"/>
      <c r="TF310" s="243"/>
      <c r="TG310" s="243"/>
      <c r="TH310" s="243"/>
      <c r="TI310" s="243"/>
      <c r="TJ310" s="243"/>
      <c r="TK310" s="243"/>
      <c r="TL310" s="243"/>
      <c r="TM310" s="243"/>
      <c r="TN310" s="243"/>
      <c r="TO310" s="243"/>
      <c r="TP310" s="243"/>
      <c r="TQ310" s="243"/>
      <c r="TR310" s="243"/>
      <c r="TS310" s="243"/>
      <c r="TT310" s="243"/>
      <c r="TU310" s="243"/>
      <c r="TV310" s="243"/>
      <c r="TW310" s="243"/>
      <c r="TX310" s="243"/>
      <c r="TY310" s="243"/>
      <c r="TZ310" s="243"/>
      <c r="UA310" s="243"/>
      <c r="UB310" s="243"/>
      <c r="UC310" s="243"/>
      <c r="UD310" s="243"/>
      <c r="UE310" s="243"/>
      <c r="UF310" s="243"/>
      <c r="UG310" s="243"/>
      <c r="UH310" s="243"/>
      <c r="UI310" s="243"/>
      <c r="UJ310" s="243"/>
      <c r="UK310" s="243"/>
      <c r="UL310" s="243"/>
      <c r="UM310" s="243"/>
      <c r="UN310" s="243"/>
      <c r="UO310" s="243"/>
      <c r="UP310" s="243"/>
      <c r="UQ310" s="243"/>
      <c r="UR310" s="243"/>
      <c r="US310" s="243"/>
      <c r="UT310" s="243"/>
      <c r="UU310" s="243"/>
      <c r="UV310" s="243"/>
      <c r="UW310" s="243"/>
      <c r="UX310" s="243"/>
      <c r="UY310" s="243"/>
      <c r="UZ310" s="243"/>
      <c r="VA310" s="243"/>
      <c r="VB310" s="243"/>
      <c r="VC310" s="243"/>
      <c r="VD310" s="243"/>
      <c r="VE310" s="243"/>
      <c r="VF310" s="243"/>
      <c r="VG310" s="243"/>
      <c r="VH310" s="243"/>
      <c r="VI310" s="243"/>
      <c r="VJ310" s="243"/>
      <c r="VK310" s="243"/>
      <c r="VL310" s="243"/>
      <c r="VM310" s="243"/>
      <c r="VN310" s="243"/>
      <c r="VO310" s="243"/>
      <c r="VP310" s="243"/>
      <c r="VQ310" s="243"/>
      <c r="VR310" s="243"/>
      <c r="VS310" s="243"/>
      <c r="VT310" s="243"/>
      <c r="VU310" s="243"/>
      <c r="VV310" s="243"/>
      <c r="VW310" s="243"/>
      <c r="VX310" s="243"/>
      <c r="VY310" s="243"/>
      <c r="VZ310" s="243"/>
      <c r="WA310" s="243"/>
      <c r="WB310" s="243"/>
      <c r="WC310" s="243"/>
      <c r="WD310" s="243"/>
      <c r="WE310" s="243"/>
      <c r="WF310" s="243"/>
      <c r="WG310" s="243"/>
      <c r="WH310" s="243"/>
      <c r="WI310" s="243"/>
      <c r="WJ310" s="243"/>
      <c r="WK310" s="243"/>
      <c r="WL310" s="243"/>
      <c r="WM310" s="243"/>
      <c r="WN310" s="243"/>
      <c r="WO310" s="243"/>
      <c r="WP310" s="243"/>
      <c r="WQ310" s="243"/>
      <c r="WR310" s="243"/>
      <c r="WS310" s="243"/>
      <c r="WT310" s="243"/>
      <c r="WU310" s="243"/>
      <c r="WV310" s="243"/>
      <c r="WW310" s="243"/>
      <c r="WX310" s="243"/>
      <c r="WY310" s="243"/>
      <c r="WZ310" s="243"/>
      <c r="XA310" s="243"/>
      <c r="XB310" s="243"/>
      <c r="XC310" s="243"/>
      <c r="XD310" s="243"/>
      <c r="XE310" s="243"/>
      <c r="XF310" s="243"/>
      <c r="XG310" s="243"/>
      <c r="XH310" s="243"/>
      <c r="XI310" s="243"/>
      <c r="XJ310" s="243"/>
      <c r="XK310" s="243"/>
      <c r="XL310" s="243"/>
      <c r="XM310" s="243"/>
      <c r="XN310" s="243"/>
      <c r="XO310" s="243"/>
      <c r="XP310" s="243"/>
      <c r="XQ310" s="243"/>
      <c r="XR310" s="243"/>
      <c r="XS310" s="243"/>
      <c r="XT310" s="243"/>
      <c r="XU310" s="243"/>
      <c r="XV310" s="243"/>
      <c r="XW310" s="243"/>
      <c r="XX310" s="243"/>
      <c r="XY310" s="243"/>
      <c r="XZ310" s="243"/>
      <c r="YA310" s="243"/>
      <c r="YB310" s="243"/>
      <c r="YC310" s="243"/>
      <c r="YD310" s="243"/>
      <c r="YE310" s="243"/>
      <c r="YF310" s="243"/>
      <c r="YG310" s="243"/>
      <c r="YH310" s="243"/>
      <c r="YI310" s="243"/>
      <c r="YJ310" s="243"/>
      <c r="YK310" s="243"/>
      <c r="YL310" s="243"/>
      <c r="YM310" s="243"/>
      <c r="YN310" s="243"/>
      <c r="YO310" s="243"/>
      <c r="YP310" s="243"/>
      <c r="YQ310" s="243"/>
      <c r="YR310" s="243"/>
      <c r="YS310" s="243"/>
      <c r="YT310" s="243"/>
      <c r="YU310" s="243"/>
      <c r="YV310" s="243"/>
      <c r="YW310" s="243"/>
      <c r="YX310" s="243"/>
      <c r="YY310" s="243"/>
      <c r="YZ310" s="243"/>
      <c r="ZA310" s="243"/>
      <c r="ZB310" s="243"/>
      <c r="ZC310" s="243"/>
      <c r="ZD310" s="243"/>
      <c r="ZE310" s="243"/>
      <c r="ZF310" s="243"/>
      <c r="ZG310" s="243"/>
      <c r="ZH310" s="243"/>
      <c r="ZI310" s="243"/>
      <c r="ZJ310" s="243"/>
      <c r="ZK310" s="243"/>
      <c r="ZL310" s="243"/>
      <c r="ZM310" s="243"/>
      <c r="ZN310" s="243"/>
      <c r="ZO310" s="243"/>
      <c r="ZP310" s="243"/>
      <c r="ZQ310" s="243"/>
      <c r="ZR310" s="243"/>
      <c r="ZS310" s="243"/>
      <c r="ZT310" s="243"/>
      <c r="ZU310" s="243"/>
      <c r="ZV310" s="243"/>
      <c r="ZW310" s="243"/>
      <c r="ZX310" s="243"/>
      <c r="ZY310" s="243"/>
      <c r="ZZ310" s="243"/>
      <c r="AAA310" s="243"/>
      <c r="AAB310" s="243"/>
      <c r="AAC310" s="243"/>
      <c r="AAD310" s="243"/>
      <c r="AAE310" s="243"/>
      <c r="AAF310" s="243"/>
      <c r="AAG310" s="243"/>
      <c r="AAH310" s="243"/>
      <c r="AAI310" s="243"/>
      <c r="AAJ310" s="243"/>
      <c r="AAK310" s="243"/>
      <c r="AAL310" s="243"/>
      <c r="AAM310" s="243"/>
      <c r="AAN310" s="243"/>
      <c r="AAO310" s="243"/>
      <c r="AAP310" s="243"/>
      <c r="AAQ310" s="243"/>
      <c r="AAR310" s="243"/>
      <c r="AAS310" s="243"/>
      <c r="AAT310" s="243"/>
      <c r="AAU310" s="243"/>
      <c r="AAV310" s="243"/>
      <c r="AAW310" s="243"/>
      <c r="AAX310" s="243"/>
      <c r="AAY310" s="243"/>
      <c r="AAZ310" s="243"/>
      <c r="ABA310" s="243"/>
      <c r="ABB310" s="243"/>
      <c r="ABC310" s="243"/>
      <c r="ABD310" s="243"/>
      <c r="ABE310" s="243"/>
      <c r="ABF310" s="243"/>
      <c r="ABG310" s="243"/>
      <c r="ABH310" s="243"/>
      <c r="ABI310" s="243"/>
      <c r="ABJ310" s="243"/>
      <c r="ABK310" s="243"/>
      <c r="ABL310" s="243"/>
      <c r="ABM310" s="243"/>
      <c r="ABN310" s="243"/>
      <c r="ABO310" s="243"/>
      <c r="ABP310" s="243"/>
      <c r="ABQ310" s="243"/>
      <c r="ABR310" s="243"/>
      <c r="ABS310" s="243"/>
      <c r="ABT310" s="243"/>
      <c r="ABU310" s="243"/>
      <c r="ABV310" s="243"/>
      <c r="ABW310" s="243"/>
      <c r="ABX310" s="243"/>
      <c r="ABY310" s="243"/>
      <c r="ABZ310" s="243"/>
      <c r="ACA310" s="243"/>
      <c r="ACB310" s="243"/>
      <c r="ACC310" s="243"/>
      <c r="ACD310" s="243"/>
      <c r="ACE310" s="243"/>
      <c r="ACF310" s="243"/>
      <c r="ACG310" s="243"/>
      <c r="ACH310" s="243"/>
      <c r="ACI310" s="243"/>
      <c r="ACJ310" s="243"/>
      <c r="ACK310" s="243"/>
      <c r="ACL310" s="243"/>
      <c r="ACM310" s="243"/>
      <c r="ACN310" s="243"/>
      <c r="ACO310" s="243"/>
      <c r="ACP310" s="243"/>
      <c r="ACQ310" s="243"/>
      <c r="ACR310" s="243"/>
      <c r="ACS310" s="243"/>
      <c r="ACT310" s="243"/>
      <c r="ACU310" s="243"/>
      <c r="ACV310" s="243"/>
      <c r="ACW310" s="243"/>
      <c r="ACX310" s="243"/>
      <c r="ACY310" s="243"/>
      <c r="ACZ310" s="243"/>
      <c r="ADA310" s="243"/>
      <c r="ADB310" s="243"/>
      <c r="ADC310" s="243"/>
      <c r="ADD310" s="243"/>
      <c r="ADE310" s="243"/>
      <c r="ADF310" s="243"/>
      <c r="ADG310" s="243"/>
      <c r="ADH310" s="243"/>
      <c r="ADI310" s="243"/>
      <c r="ADJ310" s="243"/>
      <c r="ADK310" s="243"/>
      <c r="ADL310" s="243"/>
      <c r="ADM310" s="243"/>
      <c r="ADN310" s="243"/>
      <c r="ADO310" s="243"/>
      <c r="ADP310" s="243"/>
      <c r="ADQ310" s="243"/>
      <c r="ADR310" s="243"/>
      <c r="ADS310" s="243"/>
      <c r="ADT310" s="243"/>
      <c r="ADU310" s="243"/>
      <c r="ADV310" s="243"/>
      <c r="ADW310" s="243"/>
      <c r="ADX310" s="243"/>
      <c r="ADY310" s="243"/>
      <c r="ADZ310" s="243"/>
      <c r="AEA310" s="243"/>
      <c r="AEB310" s="243"/>
      <c r="AEC310" s="243"/>
      <c r="AED310" s="243"/>
      <c r="AEE310" s="243"/>
      <c r="AEF310" s="243"/>
      <c r="AEG310" s="243"/>
      <c r="AEH310" s="243"/>
      <c r="AEI310" s="243"/>
      <c r="AEJ310" s="243"/>
      <c r="AEK310" s="243"/>
      <c r="AEL310" s="243"/>
      <c r="AEM310" s="243"/>
      <c r="AEN310" s="243"/>
      <c r="AEO310" s="243"/>
      <c r="AEP310" s="243"/>
      <c r="AEQ310" s="243"/>
      <c r="AER310" s="243"/>
      <c r="AES310" s="243"/>
      <c r="AET310" s="243"/>
      <c r="AEU310" s="243"/>
      <c r="AEV310" s="243"/>
      <c r="AEW310" s="243"/>
      <c r="AEX310" s="243"/>
      <c r="AEY310" s="243"/>
      <c r="AEZ310" s="243"/>
      <c r="AFA310" s="243"/>
      <c r="AFB310" s="243"/>
      <c r="AFC310" s="243"/>
      <c r="AFD310" s="243"/>
      <c r="AFE310" s="243"/>
      <c r="AFF310" s="243"/>
      <c r="AFG310" s="243"/>
      <c r="AFH310" s="243"/>
      <c r="AFI310" s="243"/>
      <c r="AFJ310" s="243"/>
      <c r="AFK310" s="243"/>
      <c r="AFL310" s="243"/>
      <c r="AFM310" s="243"/>
      <c r="AFN310" s="243"/>
      <c r="AFO310" s="243"/>
      <c r="AFP310" s="243"/>
      <c r="AFQ310" s="243"/>
      <c r="AFR310" s="243"/>
      <c r="AFS310" s="243"/>
      <c r="AFT310" s="243"/>
      <c r="AFU310" s="243"/>
      <c r="AFV310" s="243"/>
      <c r="AFW310" s="243"/>
      <c r="AFX310" s="243"/>
      <c r="AFY310" s="243"/>
      <c r="AFZ310" s="243"/>
      <c r="AGA310" s="243"/>
      <c r="AGB310" s="243"/>
      <c r="AGC310" s="243"/>
      <c r="AGD310" s="243"/>
      <c r="AGE310" s="243"/>
      <c r="AGF310" s="243"/>
      <c r="AGG310" s="243"/>
      <c r="AGH310" s="243"/>
      <c r="AGI310" s="243"/>
      <c r="AGJ310" s="243"/>
      <c r="AGK310" s="243"/>
      <c r="AGL310" s="243"/>
      <c r="AGM310" s="243"/>
      <c r="AGN310" s="243"/>
      <c r="AGO310" s="243"/>
      <c r="AGP310" s="243"/>
      <c r="AGQ310" s="243"/>
      <c r="AGR310" s="243"/>
      <c r="AGS310" s="243"/>
      <c r="AGT310" s="243"/>
      <c r="AGU310" s="243"/>
      <c r="AGV310" s="243"/>
      <c r="AGW310" s="243"/>
      <c r="AGX310" s="243"/>
      <c r="AGY310" s="243"/>
      <c r="AGZ310" s="243"/>
      <c r="AHA310" s="243"/>
      <c r="AHB310" s="243"/>
      <c r="AHC310" s="243"/>
      <c r="AHD310" s="243"/>
      <c r="AHE310" s="243"/>
      <c r="AHF310" s="243"/>
      <c r="AHG310" s="243"/>
      <c r="AHH310" s="243"/>
      <c r="AHI310" s="243"/>
      <c r="AHJ310" s="243"/>
      <c r="AHK310" s="243"/>
      <c r="AHL310" s="243"/>
      <c r="AHM310" s="243"/>
      <c r="AHN310" s="243"/>
      <c r="AHO310" s="243"/>
      <c r="AHP310" s="243"/>
      <c r="AHQ310" s="243"/>
      <c r="AHR310" s="243"/>
      <c r="AHS310" s="243"/>
      <c r="AHT310" s="243"/>
      <c r="AHU310" s="243"/>
      <c r="AHV310" s="243"/>
      <c r="AHW310" s="243"/>
      <c r="AHX310" s="243"/>
      <c r="AHY310" s="243"/>
      <c r="AHZ310" s="243"/>
      <c r="AIA310" s="243"/>
      <c r="AIB310" s="243"/>
      <c r="AIC310" s="243"/>
      <c r="AID310" s="243"/>
      <c r="AIE310" s="243"/>
      <c r="AIF310" s="243"/>
      <c r="AIG310" s="243"/>
      <c r="AIH310" s="243"/>
      <c r="AII310" s="243"/>
      <c r="AIJ310" s="243"/>
      <c r="AIK310" s="243"/>
      <c r="AIL310" s="243"/>
      <c r="AIM310" s="243"/>
      <c r="AIN310" s="243"/>
      <c r="AIO310" s="243"/>
      <c r="AIP310" s="243"/>
      <c r="AIQ310" s="243"/>
      <c r="AIR310" s="243"/>
      <c r="AIS310" s="243"/>
      <c r="AIT310" s="243"/>
      <c r="AIU310" s="243"/>
      <c r="AIV310" s="243"/>
      <c r="AIW310" s="243"/>
      <c r="AIX310" s="243"/>
      <c r="AIY310" s="243"/>
      <c r="AIZ310" s="243"/>
      <c r="AJA310" s="243"/>
      <c r="AJB310" s="243"/>
      <c r="AJC310" s="243"/>
      <c r="AJD310" s="243"/>
      <c r="AJE310" s="243"/>
      <c r="AJF310" s="243"/>
      <c r="AJG310" s="243"/>
      <c r="AJH310" s="243"/>
      <c r="AJI310" s="243"/>
      <c r="AJJ310" s="243"/>
      <c r="AJK310" s="243"/>
      <c r="AJL310" s="243"/>
      <c r="AJM310" s="243"/>
      <c r="AJN310" s="243"/>
      <c r="AJO310" s="243"/>
      <c r="AJP310" s="243"/>
      <c r="AJQ310" s="243"/>
      <c r="AJR310" s="243"/>
      <c r="AJS310" s="243"/>
      <c r="AJT310" s="243"/>
      <c r="AJU310" s="243"/>
      <c r="AJV310" s="243"/>
      <c r="AJW310" s="243"/>
      <c r="AJX310" s="243"/>
      <c r="AJY310" s="243"/>
      <c r="AJZ310" s="243"/>
      <c r="AKA310" s="243"/>
      <c r="AKB310" s="243"/>
      <c r="AKC310" s="243"/>
      <c r="AKD310" s="243"/>
      <c r="AKE310" s="243"/>
      <c r="AKF310" s="243"/>
      <c r="AKG310" s="243"/>
      <c r="AKH310" s="243"/>
      <c r="AKI310" s="243"/>
      <c r="AKJ310" s="243"/>
      <c r="AKK310" s="243"/>
      <c r="AKL310" s="243"/>
      <c r="AKM310" s="243"/>
      <c r="AKN310" s="243"/>
      <c r="AKO310" s="243"/>
      <c r="AKP310" s="243"/>
      <c r="AKQ310" s="243"/>
      <c r="AKR310" s="243"/>
      <c r="AKS310" s="243"/>
      <c r="AKT310" s="243"/>
      <c r="AKU310" s="243"/>
      <c r="AKV310" s="243"/>
      <c r="AKW310" s="243"/>
      <c r="AKX310" s="243"/>
      <c r="AKY310" s="243"/>
      <c r="AKZ310" s="243"/>
      <c r="ALA310" s="243"/>
      <c r="ALB310" s="243"/>
      <c r="ALC310" s="243"/>
      <c r="ALD310" s="243"/>
      <c r="ALE310" s="243"/>
      <c r="ALF310" s="243"/>
      <c r="ALG310" s="243"/>
      <c r="ALH310" s="243"/>
      <c r="ALI310" s="243"/>
      <c r="ALJ310" s="243"/>
      <c r="ALK310" s="243"/>
      <c r="ALL310" s="243"/>
      <c r="ALM310" s="243"/>
      <c r="ALN310" s="243"/>
      <c r="ALO310" s="243"/>
      <c r="ALP310" s="243"/>
      <c r="ALQ310" s="243"/>
      <c r="ALR310" s="243"/>
      <c r="ALS310" s="243"/>
      <c r="ALT310" s="243"/>
      <c r="ALU310" s="243"/>
      <c r="ALV310" s="243"/>
      <c r="ALW310" s="243"/>
      <c r="ALX310" s="243"/>
      <c r="ALY310" s="243"/>
      <c r="ALZ310" s="243"/>
      <c r="AMA310" s="243"/>
      <c r="AMB310" s="243"/>
      <c r="AMC310" s="243"/>
      <c r="AMD310" s="243"/>
      <c r="AME310" s="243"/>
      <c r="AMF310" s="243"/>
      <c r="AMG310" s="243"/>
      <c r="AMH310" s="243"/>
      <c r="AMI310" s="244"/>
      <c r="AMJ310" s="244"/>
    </row>
    <row r="311" spans="1:1024">
      <c r="A311" s="1039" t="s">
        <v>26</v>
      </c>
      <c r="B311" s="1039"/>
      <c r="C311" s="1039"/>
      <c r="D311" s="1039"/>
      <c r="E311" s="524">
        <f>SUM(E306:E310)</f>
        <v>9400000</v>
      </c>
      <c r="F311" s="525" t="s">
        <v>26</v>
      </c>
      <c r="G311" s="535">
        <f>SUM(G306:G310)</f>
        <v>495000</v>
      </c>
      <c r="H311" s="1040"/>
      <c r="I311" s="1040"/>
      <c r="J311" s="1040"/>
      <c r="K311" s="1040"/>
      <c r="L311" s="1040"/>
      <c r="M311" s="1040"/>
      <c r="N311" s="1042" t="s">
        <v>27</v>
      </c>
      <c r="O311" s="1042"/>
      <c r="P311" s="1042"/>
      <c r="Q311" s="527" t="e">
        <v>#REF!</v>
      </c>
      <c r="R311" s="243"/>
      <c r="S311" s="243"/>
      <c r="T311" s="243"/>
      <c r="U311" s="243"/>
      <c r="V311" s="243"/>
      <c r="W311" s="243"/>
      <c r="X311" s="243"/>
      <c r="Y311" s="243"/>
      <c r="Z311" s="243"/>
      <c r="AA311" s="243"/>
      <c r="AB311" s="243"/>
      <c r="AC311" s="243"/>
      <c r="AD311" s="243"/>
      <c r="AE311" s="243"/>
      <c r="AF311" s="243"/>
      <c r="AG311" s="243"/>
      <c r="AH311" s="243"/>
      <c r="AI311" s="243"/>
      <c r="AJ311" s="243"/>
      <c r="AK311" s="243"/>
      <c r="AL311" s="243"/>
      <c r="AM311" s="243"/>
      <c r="AN311" s="243"/>
      <c r="AO311" s="243"/>
      <c r="AP311" s="243"/>
      <c r="AQ311" s="243"/>
      <c r="AR311" s="243"/>
      <c r="AS311" s="243"/>
      <c r="AT311" s="243"/>
      <c r="AU311" s="243"/>
      <c r="AV311" s="243"/>
      <c r="AW311" s="243"/>
      <c r="AX311" s="243"/>
      <c r="AY311" s="243"/>
      <c r="AZ311" s="243"/>
      <c r="BA311" s="243"/>
      <c r="BB311" s="243"/>
      <c r="BC311" s="243"/>
      <c r="BD311" s="243"/>
      <c r="BE311" s="243"/>
      <c r="BF311" s="243"/>
      <c r="BG311" s="243"/>
      <c r="BH311" s="243"/>
      <c r="BI311" s="243"/>
      <c r="BJ311" s="243"/>
      <c r="BK311" s="243"/>
      <c r="BL311" s="243"/>
      <c r="BM311" s="243"/>
      <c r="BN311" s="243"/>
      <c r="BO311" s="243"/>
      <c r="BP311" s="243"/>
      <c r="BQ311" s="243"/>
      <c r="BR311" s="243"/>
      <c r="BS311" s="243"/>
      <c r="BT311" s="243"/>
      <c r="BU311" s="243"/>
      <c r="BV311" s="243"/>
      <c r="BW311" s="243"/>
      <c r="BX311" s="243"/>
      <c r="BY311" s="243"/>
      <c r="BZ311" s="243"/>
      <c r="CA311" s="243"/>
      <c r="CB311" s="243"/>
      <c r="CC311" s="243"/>
      <c r="CD311" s="243"/>
      <c r="CE311" s="243"/>
      <c r="CF311" s="243"/>
      <c r="CG311" s="243"/>
      <c r="CH311" s="243"/>
      <c r="CI311" s="243"/>
      <c r="CJ311" s="243"/>
      <c r="CK311" s="243"/>
      <c r="CL311" s="243"/>
      <c r="CM311" s="243"/>
      <c r="CN311" s="243"/>
      <c r="CO311" s="243"/>
      <c r="CP311" s="243"/>
      <c r="CQ311" s="243"/>
      <c r="CR311" s="243"/>
      <c r="CS311" s="243"/>
      <c r="CT311" s="243"/>
      <c r="CU311" s="243"/>
      <c r="CV311" s="243"/>
      <c r="CW311" s="243"/>
      <c r="CX311" s="243"/>
      <c r="CY311" s="243"/>
      <c r="CZ311" s="243"/>
      <c r="DA311" s="243"/>
      <c r="DB311" s="243"/>
      <c r="DC311" s="243"/>
      <c r="DD311" s="243"/>
      <c r="DE311" s="243"/>
      <c r="DF311" s="243"/>
      <c r="DG311" s="243"/>
      <c r="DH311" s="243"/>
      <c r="DI311" s="243"/>
      <c r="DJ311" s="243"/>
      <c r="DK311" s="243"/>
      <c r="DL311" s="243"/>
      <c r="DM311" s="243"/>
      <c r="DN311" s="243"/>
      <c r="DO311" s="243"/>
      <c r="DP311" s="243"/>
      <c r="DQ311" s="243"/>
      <c r="DR311" s="243"/>
      <c r="DS311" s="243"/>
      <c r="DT311" s="243"/>
      <c r="DU311" s="243"/>
      <c r="DV311" s="243"/>
      <c r="DW311" s="243"/>
      <c r="DX311" s="243"/>
      <c r="DY311" s="243"/>
      <c r="DZ311" s="243"/>
      <c r="EA311" s="243"/>
      <c r="EB311" s="243"/>
      <c r="EC311" s="243"/>
      <c r="ED311" s="243"/>
      <c r="EE311" s="243"/>
      <c r="EF311" s="243"/>
      <c r="EG311" s="243"/>
      <c r="EH311" s="243"/>
      <c r="EI311" s="243"/>
      <c r="EJ311" s="243"/>
      <c r="EK311" s="243"/>
      <c r="EL311" s="243"/>
      <c r="EM311" s="243"/>
      <c r="EN311" s="243"/>
      <c r="EO311" s="243"/>
      <c r="EP311" s="243"/>
      <c r="EQ311" s="243"/>
      <c r="ER311" s="243"/>
      <c r="ES311" s="243"/>
      <c r="ET311" s="243"/>
      <c r="EU311" s="243"/>
      <c r="EV311" s="243"/>
      <c r="EW311" s="243"/>
      <c r="EX311" s="243"/>
      <c r="EY311" s="243"/>
      <c r="EZ311" s="243"/>
      <c r="FA311" s="243"/>
      <c r="FB311" s="243"/>
      <c r="FC311" s="243"/>
      <c r="FD311" s="243"/>
      <c r="FE311" s="243"/>
      <c r="FF311" s="243"/>
      <c r="FG311" s="243"/>
      <c r="FH311" s="243"/>
      <c r="FI311" s="243"/>
      <c r="FJ311" s="243"/>
      <c r="FK311" s="243"/>
      <c r="FL311" s="243"/>
      <c r="FM311" s="243"/>
      <c r="FN311" s="243"/>
      <c r="FO311" s="243"/>
      <c r="FP311" s="243"/>
      <c r="FQ311" s="243"/>
      <c r="FR311" s="243"/>
      <c r="FS311" s="243"/>
      <c r="FT311" s="243"/>
      <c r="FU311" s="243"/>
      <c r="FV311" s="243"/>
      <c r="FW311" s="243"/>
      <c r="FX311" s="243"/>
      <c r="FY311" s="243"/>
      <c r="FZ311" s="243"/>
      <c r="GA311" s="243"/>
      <c r="GB311" s="243"/>
      <c r="GC311" s="243"/>
      <c r="GD311" s="243"/>
      <c r="GE311" s="243"/>
      <c r="GF311" s="243"/>
      <c r="GG311" s="243"/>
      <c r="GH311" s="243"/>
      <c r="GI311" s="243"/>
      <c r="GJ311" s="243"/>
      <c r="GK311" s="243"/>
      <c r="GL311" s="243"/>
      <c r="GM311" s="243"/>
      <c r="GN311" s="243"/>
      <c r="GO311" s="243"/>
      <c r="GP311" s="243"/>
      <c r="GQ311" s="243"/>
      <c r="GR311" s="243"/>
      <c r="GS311" s="243"/>
      <c r="GT311" s="243"/>
      <c r="GU311" s="243"/>
      <c r="GV311" s="243"/>
      <c r="GW311" s="243"/>
      <c r="GX311" s="243"/>
      <c r="GY311" s="243"/>
      <c r="GZ311" s="243"/>
      <c r="HA311" s="243"/>
      <c r="HB311" s="243"/>
      <c r="HC311" s="243"/>
      <c r="HD311" s="243"/>
      <c r="HE311" s="243"/>
      <c r="HF311" s="243"/>
      <c r="HG311" s="243"/>
      <c r="HH311" s="243"/>
      <c r="HI311" s="243"/>
      <c r="HJ311" s="243"/>
      <c r="HK311" s="243"/>
      <c r="HL311" s="243"/>
      <c r="HM311" s="243"/>
      <c r="HN311" s="243"/>
      <c r="HO311" s="243"/>
      <c r="HP311" s="243"/>
      <c r="HQ311" s="243"/>
      <c r="HR311" s="243"/>
      <c r="HS311" s="243"/>
      <c r="HT311" s="243"/>
      <c r="HU311" s="243"/>
      <c r="HV311" s="243"/>
      <c r="HW311" s="243"/>
      <c r="HX311" s="243"/>
      <c r="HY311" s="243"/>
      <c r="HZ311" s="243"/>
      <c r="IA311" s="243"/>
      <c r="IB311" s="243"/>
      <c r="IC311" s="243"/>
      <c r="ID311" s="243"/>
      <c r="IE311" s="243"/>
      <c r="IF311" s="243"/>
      <c r="IG311" s="243"/>
      <c r="IH311" s="243"/>
      <c r="II311" s="243"/>
      <c r="IJ311" s="243"/>
      <c r="IK311" s="243"/>
      <c r="IL311" s="243"/>
      <c r="IM311" s="243"/>
      <c r="IN311" s="243"/>
      <c r="IO311" s="243"/>
      <c r="IP311" s="243"/>
      <c r="IQ311" s="243"/>
      <c r="IR311" s="243"/>
      <c r="IS311" s="243"/>
      <c r="IT311" s="243"/>
      <c r="IU311" s="243"/>
      <c r="IV311" s="243"/>
      <c r="IW311" s="243"/>
      <c r="IX311" s="243"/>
      <c r="IY311" s="243"/>
      <c r="IZ311" s="243"/>
      <c r="JA311" s="243"/>
      <c r="JB311" s="243"/>
      <c r="JC311" s="243"/>
      <c r="JD311" s="243"/>
      <c r="JE311" s="243"/>
      <c r="JF311" s="243"/>
      <c r="JG311" s="243"/>
      <c r="JH311" s="243"/>
      <c r="JI311" s="243"/>
      <c r="JJ311" s="243"/>
      <c r="JK311" s="243"/>
      <c r="JL311" s="243"/>
      <c r="JM311" s="243"/>
      <c r="JN311" s="243"/>
      <c r="JO311" s="243"/>
      <c r="JP311" s="243"/>
      <c r="JQ311" s="243"/>
      <c r="JR311" s="243"/>
      <c r="JS311" s="243"/>
      <c r="JT311" s="243"/>
      <c r="JU311" s="243"/>
      <c r="JV311" s="243"/>
      <c r="JW311" s="243"/>
      <c r="JX311" s="243"/>
      <c r="JY311" s="243"/>
      <c r="JZ311" s="243"/>
      <c r="KA311" s="243"/>
      <c r="KB311" s="243"/>
      <c r="KC311" s="243"/>
      <c r="KD311" s="243"/>
      <c r="KE311" s="243"/>
      <c r="KF311" s="243"/>
      <c r="KG311" s="243"/>
      <c r="KH311" s="243"/>
      <c r="KI311" s="243"/>
      <c r="KJ311" s="243"/>
      <c r="KK311" s="243"/>
      <c r="KL311" s="243"/>
      <c r="KM311" s="243"/>
      <c r="KN311" s="243"/>
      <c r="KO311" s="243"/>
      <c r="KP311" s="243"/>
      <c r="KQ311" s="243"/>
      <c r="KR311" s="243"/>
      <c r="KS311" s="243"/>
      <c r="KT311" s="243"/>
      <c r="KU311" s="243"/>
      <c r="KV311" s="243"/>
      <c r="KW311" s="243"/>
      <c r="KX311" s="243"/>
      <c r="KY311" s="243"/>
      <c r="KZ311" s="243"/>
      <c r="LA311" s="243"/>
      <c r="LB311" s="243"/>
      <c r="LC311" s="243"/>
      <c r="LD311" s="243"/>
      <c r="LE311" s="243"/>
      <c r="LF311" s="243"/>
      <c r="LG311" s="243"/>
      <c r="LH311" s="243"/>
      <c r="LI311" s="243"/>
      <c r="LJ311" s="243"/>
      <c r="LK311" s="243"/>
      <c r="LL311" s="243"/>
      <c r="LM311" s="243"/>
      <c r="LN311" s="243"/>
      <c r="LO311" s="243"/>
      <c r="LP311" s="243"/>
      <c r="LQ311" s="243"/>
      <c r="LR311" s="243"/>
      <c r="LS311" s="243"/>
      <c r="LT311" s="243"/>
      <c r="LU311" s="243"/>
      <c r="LV311" s="243"/>
      <c r="LW311" s="243"/>
      <c r="LX311" s="243"/>
      <c r="LY311" s="243"/>
      <c r="LZ311" s="243"/>
      <c r="MA311" s="243"/>
      <c r="MB311" s="243"/>
      <c r="MC311" s="243"/>
      <c r="MD311" s="243"/>
      <c r="ME311" s="243"/>
      <c r="MF311" s="243"/>
      <c r="MG311" s="243"/>
      <c r="MH311" s="243"/>
      <c r="MI311" s="243"/>
      <c r="MJ311" s="243"/>
      <c r="MK311" s="243"/>
      <c r="ML311" s="243"/>
      <c r="MM311" s="243"/>
      <c r="MN311" s="243"/>
      <c r="MO311" s="243"/>
      <c r="MP311" s="243"/>
      <c r="MQ311" s="243"/>
      <c r="MR311" s="243"/>
      <c r="MS311" s="243"/>
      <c r="MT311" s="243"/>
      <c r="MU311" s="243"/>
      <c r="MV311" s="243"/>
      <c r="MW311" s="243"/>
      <c r="MX311" s="243"/>
      <c r="MY311" s="243"/>
      <c r="MZ311" s="243"/>
      <c r="NA311" s="243"/>
      <c r="NB311" s="243"/>
      <c r="NC311" s="243"/>
      <c r="ND311" s="243"/>
      <c r="NE311" s="243"/>
      <c r="NF311" s="243"/>
      <c r="NG311" s="243"/>
      <c r="NH311" s="243"/>
      <c r="NI311" s="243"/>
      <c r="NJ311" s="243"/>
      <c r="NK311" s="243"/>
      <c r="NL311" s="243"/>
      <c r="NM311" s="243"/>
      <c r="NN311" s="243"/>
      <c r="NO311" s="243"/>
      <c r="NP311" s="243"/>
      <c r="NQ311" s="243"/>
      <c r="NR311" s="243"/>
      <c r="NS311" s="243"/>
      <c r="NT311" s="243"/>
      <c r="NU311" s="243"/>
      <c r="NV311" s="243"/>
      <c r="NW311" s="243"/>
      <c r="NX311" s="243"/>
      <c r="NY311" s="243"/>
      <c r="NZ311" s="243"/>
      <c r="OA311" s="243"/>
      <c r="OB311" s="243"/>
      <c r="OC311" s="243"/>
      <c r="OD311" s="243"/>
      <c r="OE311" s="243"/>
      <c r="OF311" s="243"/>
      <c r="OG311" s="243"/>
      <c r="OH311" s="243"/>
      <c r="OI311" s="243"/>
      <c r="OJ311" s="243"/>
      <c r="OK311" s="243"/>
      <c r="OL311" s="243"/>
      <c r="OM311" s="243"/>
      <c r="ON311" s="243"/>
      <c r="OO311" s="243"/>
      <c r="OP311" s="243"/>
      <c r="OQ311" s="243"/>
      <c r="OR311" s="243"/>
      <c r="OS311" s="243"/>
      <c r="OT311" s="243"/>
      <c r="OU311" s="243"/>
      <c r="OV311" s="243"/>
      <c r="OW311" s="243"/>
      <c r="OX311" s="243"/>
      <c r="OY311" s="243"/>
      <c r="OZ311" s="243"/>
      <c r="PA311" s="243"/>
      <c r="PB311" s="243"/>
      <c r="PC311" s="243"/>
      <c r="PD311" s="243"/>
      <c r="PE311" s="243"/>
      <c r="PF311" s="243"/>
      <c r="PG311" s="243"/>
      <c r="PH311" s="243"/>
      <c r="PI311" s="243"/>
      <c r="PJ311" s="243"/>
      <c r="PK311" s="243"/>
      <c r="PL311" s="243"/>
      <c r="PM311" s="243"/>
      <c r="PN311" s="243"/>
      <c r="PO311" s="243"/>
      <c r="PP311" s="243"/>
      <c r="PQ311" s="243"/>
      <c r="PR311" s="243"/>
      <c r="PS311" s="243"/>
      <c r="PT311" s="243"/>
      <c r="PU311" s="243"/>
      <c r="PV311" s="243"/>
      <c r="PW311" s="243"/>
      <c r="PX311" s="243"/>
      <c r="PY311" s="243"/>
      <c r="PZ311" s="243"/>
      <c r="QA311" s="243"/>
      <c r="QB311" s="243"/>
      <c r="QC311" s="243"/>
      <c r="QD311" s="243"/>
      <c r="QE311" s="243"/>
      <c r="QF311" s="243"/>
      <c r="QG311" s="243"/>
      <c r="QH311" s="243"/>
      <c r="QI311" s="243"/>
      <c r="QJ311" s="243"/>
      <c r="QK311" s="243"/>
      <c r="QL311" s="243"/>
      <c r="QM311" s="243"/>
      <c r="QN311" s="243"/>
      <c r="QO311" s="243"/>
      <c r="QP311" s="243"/>
      <c r="QQ311" s="243"/>
      <c r="QR311" s="243"/>
      <c r="QS311" s="243"/>
      <c r="QT311" s="243"/>
      <c r="QU311" s="243"/>
      <c r="QV311" s="243"/>
      <c r="QW311" s="243"/>
      <c r="QX311" s="243"/>
      <c r="QY311" s="243"/>
      <c r="QZ311" s="243"/>
      <c r="RA311" s="243"/>
      <c r="RB311" s="243"/>
      <c r="RC311" s="243"/>
      <c r="RD311" s="243"/>
      <c r="RE311" s="243"/>
      <c r="RF311" s="243"/>
      <c r="RG311" s="243"/>
      <c r="RH311" s="243"/>
      <c r="RI311" s="243"/>
      <c r="RJ311" s="243"/>
      <c r="RK311" s="243"/>
      <c r="RL311" s="243"/>
      <c r="RM311" s="243"/>
      <c r="RN311" s="243"/>
      <c r="RO311" s="243"/>
      <c r="RP311" s="243"/>
      <c r="RQ311" s="243"/>
      <c r="RR311" s="243"/>
      <c r="RS311" s="243"/>
      <c r="RT311" s="243"/>
      <c r="RU311" s="243"/>
      <c r="RV311" s="243"/>
      <c r="RW311" s="243"/>
      <c r="RX311" s="243"/>
      <c r="RY311" s="243"/>
      <c r="RZ311" s="243"/>
      <c r="SA311" s="243"/>
      <c r="SB311" s="243"/>
      <c r="SC311" s="243"/>
      <c r="SD311" s="243"/>
      <c r="SE311" s="243"/>
      <c r="SF311" s="243"/>
      <c r="SG311" s="243"/>
      <c r="SH311" s="243"/>
      <c r="SI311" s="243"/>
      <c r="SJ311" s="243"/>
      <c r="SK311" s="243"/>
      <c r="SL311" s="243"/>
      <c r="SM311" s="243"/>
      <c r="SN311" s="243"/>
      <c r="SO311" s="243"/>
      <c r="SP311" s="243"/>
      <c r="SQ311" s="243"/>
      <c r="SR311" s="243"/>
      <c r="SS311" s="243"/>
      <c r="ST311" s="243"/>
      <c r="SU311" s="243"/>
      <c r="SV311" s="243"/>
      <c r="SW311" s="243"/>
      <c r="SX311" s="243"/>
      <c r="SY311" s="243"/>
      <c r="SZ311" s="243"/>
      <c r="TA311" s="243"/>
      <c r="TB311" s="243"/>
      <c r="TC311" s="243"/>
      <c r="TD311" s="243"/>
      <c r="TE311" s="243"/>
      <c r="TF311" s="243"/>
      <c r="TG311" s="243"/>
      <c r="TH311" s="243"/>
      <c r="TI311" s="243"/>
      <c r="TJ311" s="243"/>
      <c r="TK311" s="243"/>
      <c r="TL311" s="243"/>
      <c r="TM311" s="243"/>
      <c r="TN311" s="243"/>
      <c r="TO311" s="243"/>
      <c r="TP311" s="243"/>
      <c r="TQ311" s="243"/>
      <c r="TR311" s="243"/>
      <c r="TS311" s="243"/>
      <c r="TT311" s="243"/>
      <c r="TU311" s="243"/>
      <c r="TV311" s="243"/>
      <c r="TW311" s="243"/>
      <c r="TX311" s="243"/>
      <c r="TY311" s="243"/>
      <c r="TZ311" s="243"/>
      <c r="UA311" s="243"/>
      <c r="UB311" s="243"/>
      <c r="UC311" s="243"/>
      <c r="UD311" s="243"/>
      <c r="UE311" s="243"/>
      <c r="UF311" s="243"/>
      <c r="UG311" s="243"/>
      <c r="UH311" s="243"/>
      <c r="UI311" s="243"/>
      <c r="UJ311" s="243"/>
      <c r="UK311" s="243"/>
      <c r="UL311" s="243"/>
      <c r="UM311" s="243"/>
      <c r="UN311" s="243"/>
      <c r="UO311" s="243"/>
      <c r="UP311" s="243"/>
      <c r="UQ311" s="243"/>
      <c r="UR311" s="243"/>
      <c r="US311" s="243"/>
      <c r="UT311" s="243"/>
      <c r="UU311" s="243"/>
      <c r="UV311" s="243"/>
      <c r="UW311" s="243"/>
      <c r="UX311" s="243"/>
      <c r="UY311" s="243"/>
      <c r="UZ311" s="243"/>
      <c r="VA311" s="243"/>
      <c r="VB311" s="243"/>
      <c r="VC311" s="243"/>
      <c r="VD311" s="243"/>
      <c r="VE311" s="243"/>
      <c r="VF311" s="243"/>
      <c r="VG311" s="243"/>
      <c r="VH311" s="243"/>
      <c r="VI311" s="243"/>
      <c r="VJ311" s="243"/>
      <c r="VK311" s="243"/>
      <c r="VL311" s="243"/>
      <c r="VM311" s="243"/>
      <c r="VN311" s="243"/>
      <c r="VO311" s="243"/>
      <c r="VP311" s="243"/>
      <c r="VQ311" s="243"/>
      <c r="VR311" s="243"/>
      <c r="VS311" s="243"/>
      <c r="VT311" s="243"/>
      <c r="VU311" s="243"/>
      <c r="VV311" s="243"/>
      <c r="VW311" s="243"/>
      <c r="VX311" s="243"/>
      <c r="VY311" s="243"/>
      <c r="VZ311" s="243"/>
      <c r="WA311" s="243"/>
      <c r="WB311" s="243"/>
      <c r="WC311" s="243"/>
      <c r="WD311" s="243"/>
      <c r="WE311" s="243"/>
      <c r="WF311" s="243"/>
      <c r="WG311" s="243"/>
      <c r="WH311" s="243"/>
      <c r="WI311" s="243"/>
      <c r="WJ311" s="243"/>
      <c r="WK311" s="243"/>
      <c r="WL311" s="243"/>
      <c r="WM311" s="243"/>
      <c r="WN311" s="243"/>
      <c r="WO311" s="243"/>
      <c r="WP311" s="243"/>
      <c r="WQ311" s="243"/>
      <c r="WR311" s="243"/>
      <c r="WS311" s="243"/>
      <c r="WT311" s="243"/>
      <c r="WU311" s="243"/>
      <c r="WV311" s="243"/>
      <c r="WW311" s="243"/>
      <c r="WX311" s="243"/>
      <c r="WY311" s="243"/>
      <c r="WZ311" s="243"/>
      <c r="XA311" s="243"/>
      <c r="XB311" s="243"/>
      <c r="XC311" s="243"/>
      <c r="XD311" s="243"/>
      <c r="XE311" s="243"/>
      <c r="XF311" s="243"/>
      <c r="XG311" s="243"/>
      <c r="XH311" s="243"/>
      <c r="XI311" s="243"/>
      <c r="XJ311" s="243"/>
      <c r="XK311" s="243"/>
      <c r="XL311" s="243"/>
      <c r="XM311" s="243"/>
      <c r="XN311" s="243"/>
      <c r="XO311" s="243"/>
      <c r="XP311" s="243"/>
      <c r="XQ311" s="243"/>
      <c r="XR311" s="243"/>
      <c r="XS311" s="243"/>
      <c r="XT311" s="243"/>
      <c r="XU311" s="243"/>
      <c r="XV311" s="243"/>
      <c r="XW311" s="243"/>
      <c r="XX311" s="243"/>
      <c r="XY311" s="243"/>
      <c r="XZ311" s="243"/>
      <c r="YA311" s="243"/>
      <c r="YB311" s="243"/>
      <c r="YC311" s="243"/>
      <c r="YD311" s="243"/>
      <c r="YE311" s="243"/>
      <c r="YF311" s="243"/>
      <c r="YG311" s="243"/>
      <c r="YH311" s="243"/>
      <c r="YI311" s="243"/>
      <c r="YJ311" s="243"/>
      <c r="YK311" s="243"/>
      <c r="YL311" s="243"/>
      <c r="YM311" s="243"/>
      <c r="YN311" s="243"/>
      <c r="YO311" s="243"/>
      <c r="YP311" s="243"/>
      <c r="YQ311" s="243"/>
      <c r="YR311" s="243"/>
      <c r="YS311" s="243"/>
      <c r="YT311" s="243"/>
      <c r="YU311" s="243"/>
      <c r="YV311" s="243"/>
      <c r="YW311" s="243"/>
      <c r="YX311" s="243"/>
      <c r="YY311" s="243"/>
      <c r="YZ311" s="243"/>
      <c r="ZA311" s="243"/>
      <c r="ZB311" s="243"/>
      <c r="ZC311" s="243"/>
      <c r="ZD311" s="243"/>
      <c r="ZE311" s="243"/>
      <c r="ZF311" s="243"/>
      <c r="ZG311" s="243"/>
      <c r="ZH311" s="243"/>
      <c r="ZI311" s="243"/>
      <c r="ZJ311" s="243"/>
      <c r="ZK311" s="243"/>
      <c r="ZL311" s="243"/>
      <c r="ZM311" s="243"/>
      <c r="ZN311" s="243"/>
      <c r="ZO311" s="243"/>
      <c r="ZP311" s="243"/>
      <c r="ZQ311" s="243"/>
      <c r="ZR311" s="243"/>
      <c r="ZS311" s="243"/>
      <c r="ZT311" s="243"/>
      <c r="ZU311" s="243"/>
      <c r="ZV311" s="243"/>
      <c r="ZW311" s="243"/>
      <c r="ZX311" s="243"/>
      <c r="ZY311" s="243"/>
      <c r="ZZ311" s="243"/>
      <c r="AAA311" s="243"/>
      <c r="AAB311" s="243"/>
      <c r="AAC311" s="243"/>
      <c r="AAD311" s="243"/>
      <c r="AAE311" s="243"/>
      <c r="AAF311" s="243"/>
      <c r="AAG311" s="243"/>
      <c r="AAH311" s="243"/>
      <c r="AAI311" s="243"/>
      <c r="AAJ311" s="243"/>
      <c r="AAK311" s="243"/>
      <c r="AAL311" s="243"/>
      <c r="AAM311" s="243"/>
      <c r="AAN311" s="243"/>
      <c r="AAO311" s="243"/>
      <c r="AAP311" s="243"/>
      <c r="AAQ311" s="243"/>
      <c r="AAR311" s="243"/>
      <c r="AAS311" s="243"/>
      <c r="AAT311" s="243"/>
      <c r="AAU311" s="243"/>
      <c r="AAV311" s="243"/>
      <c r="AAW311" s="243"/>
      <c r="AAX311" s="243"/>
      <c r="AAY311" s="243"/>
      <c r="AAZ311" s="243"/>
      <c r="ABA311" s="243"/>
      <c r="ABB311" s="243"/>
      <c r="ABC311" s="243"/>
      <c r="ABD311" s="243"/>
      <c r="ABE311" s="243"/>
      <c r="ABF311" s="243"/>
      <c r="ABG311" s="243"/>
      <c r="ABH311" s="243"/>
      <c r="ABI311" s="243"/>
      <c r="ABJ311" s="243"/>
      <c r="ABK311" s="243"/>
      <c r="ABL311" s="243"/>
      <c r="ABM311" s="243"/>
      <c r="ABN311" s="243"/>
      <c r="ABO311" s="243"/>
      <c r="ABP311" s="243"/>
      <c r="ABQ311" s="243"/>
      <c r="ABR311" s="243"/>
      <c r="ABS311" s="243"/>
      <c r="ABT311" s="243"/>
      <c r="ABU311" s="243"/>
      <c r="ABV311" s="243"/>
      <c r="ABW311" s="243"/>
      <c r="ABX311" s="243"/>
      <c r="ABY311" s="243"/>
      <c r="ABZ311" s="243"/>
      <c r="ACA311" s="243"/>
      <c r="ACB311" s="243"/>
      <c r="ACC311" s="243"/>
      <c r="ACD311" s="243"/>
      <c r="ACE311" s="243"/>
      <c r="ACF311" s="243"/>
      <c r="ACG311" s="243"/>
      <c r="ACH311" s="243"/>
      <c r="ACI311" s="243"/>
      <c r="ACJ311" s="243"/>
      <c r="ACK311" s="243"/>
      <c r="ACL311" s="243"/>
      <c r="ACM311" s="243"/>
      <c r="ACN311" s="243"/>
      <c r="ACO311" s="243"/>
      <c r="ACP311" s="243"/>
      <c r="ACQ311" s="243"/>
      <c r="ACR311" s="243"/>
      <c r="ACS311" s="243"/>
      <c r="ACT311" s="243"/>
      <c r="ACU311" s="243"/>
      <c r="ACV311" s="243"/>
      <c r="ACW311" s="243"/>
      <c r="ACX311" s="243"/>
      <c r="ACY311" s="243"/>
      <c r="ACZ311" s="243"/>
      <c r="ADA311" s="243"/>
      <c r="ADB311" s="243"/>
      <c r="ADC311" s="243"/>
      <c r="ADD311" s="243"/>
      <c r="ADE311" s="243"/>
      <c r="ADF311" s="243"/>
      <c r="ADG311" s="243"/>
      <c r="ADH311" s="243"/>
      <c r="ADI311" s="243"/>
      <c r="ADJ311" s="243"/>
      <c r="ADK311" s="243"/>
      <c r="ADL311" s="243"/>
      <c r="ADM311" s="243"/>
      <c r="ADN311" s="243"/>
      <c r="ADO311" s="243"/>
      <c r="ADP311" s="243"/>
      <c r="ADQ311" s="243"/>
      <c r="ADR311" s="243"/>
      <c r="ADS311" s="243"/>
      <c r="ADT311" s="243"/>
      <c r="ADU311" s="243"/>
      <c r="ADV311" s="243"/>
      <c r="ADW311" s="243"/>
      <c r="ADX311" s="243"/>
      <c r="ADY311" s="243"/>
      <c r="ADZ311" s="243"/>
      <c r="AEA311" s="243"/>
      <c r="AEB311" s="243"/>
      <c r="AEC311" s="243"/>
      <c r="AED311" s="243"/>
      <c r="AEE311" s="243"/>
      <c r="AEF311" s="243"/>
      <c r="AEG311" s="243"/>
      <c r="AEH311" s="243"/>
      <c r="AEI311" s="243"/>
      <c r="AEJ311" s="243"/>
      <c r="AEK311" s="243"/>
      <c r="AEL311" s="243"/>
      <c r="AEM311" s="243"/>
      <c r="AEN311" s="243"/>
      <c r="AEO311" s="243"/>
      <c r="AEP311" s="243"/>
      <c r="AEQ311" s="243"/>
      <c r="AER311" s="243"/>
      <c r="AES311" s="243"/>
      <c r="AET311" s="243"/>
      <c r="AEU311" s="243"/>
      <c r="AEV311" s="243"/>
      <c r="AEW311" s="243"/>
      <c r="AEX311" s="243"/>
      <c r="AEY311" s="243"/>
      <c r="AEZ311" s="243"/>
      <c r="AFA311" s="243"/>
      <c r="AFB311" s="243"/>
      <c r="AFC311" s="243"/>
      <c r="AFD311" s="243"/>
      <c r="AFE311" s="243"/>
      <c r="AFF311" s="243"/>
      <c r="AFG311" s="243"/>
      <c r="AFH311" s="243"/>
      <c r="AFI311" s="243"/>
      <c r="AFJ311" s="243"/>
      <c r="AFK311" s="243"/>
      <c r="AFL311" s="243"/>
      <c r="AFM311" s="243"/>
      <c r="AFN311" s="243"/>
      <c r="AFO311" s="243"/>
      <c r="AFP311" s="243"/>
      <c r="AFQ311" s="243"/>
      <c r="AFR311" s="243"/>
      <c r="AFS311" s="243"/>
      <c r="AFT311" s="243"/>
      <c r="AFU311" s="243"/>
      <c r="AFV311" s="243"/>
      <c r="AFW311" s="243"/>
      <c r="AFX311" s="243"/>
      <c r="AFY311" s="243"/>
      <c r="AFZ311" s="243"/>
      <c r="AGA311" s="243"/>
      <c r="AGB311" s="243"/>
      <c r="AGC311" s="243"/>
      <c r="AGD311" s="243"/>
      <c r="AGE311" s="243"/>
      <c r="AGF311" s="243"/>
      <c r="AGG311" s="243"/>
      <c r="AGH311" s="243"/>
      <c r="AGI311" s="243"/>
      <c r="AGJ311" s="243"/>
      <c r="AGK311" s="243"/>
      <c r="AGL311" s="243"/>
      <c r="AGM311" s="243"/>
      <c r="AGN311" s="243"/>
      <c r="AGO311" s="243"/>
      <c r="AGP311" s="243"/>
      <c r="AGQ311" s="243"/>
      <c r="AGR311" s="243"/>
      <c r="AGS311" s="243"/>
      <c r="AGT311" s="243"/>
      <c r="AGU311" s="243"/>
      <c r="AGV311" s="243"/>
      <c r="AGW311" s="243"/>
      <c r="AGX311" s="243"/>
      <c r="AGY311" s="243"/>
      <c r="AGZ311" s="243"/>
      <c r="AHA311" s="243"/>
      <c r="AHB311" s="243"/>
      <c r="AHC311" s="243"/>
      <c r="AHD311" s="243"/>
      <c r="AHE311" s="243"/>
      <c r="AHF311" s="243"/>
      <c r="AHG311" s="243"/>
      <c r="AHH311" s="243"/>
      <c r="AHI311" s="243"/>
      <c r="AHJ311" s="243"/>
      <c r="AHK311" s="243"/>
      <c r="AHL311" s="243"/>
      <c r="AHM311" s="243"/>
      <c r="AHN311" s="243"/>
      <c r="AHO311" s="243"/>
      <c r="AHP311" s="243"/>
      <c r="AHQ311" s="243"/>
      <c r="AHR311" s="243"/>
      <c r="AHS311" s="243"/>
      <c r="AHT311" s="243"/>
      <c r="AHU311" s="243"/>
      <c r="AHV311" s="243"/>
      <c r="AHW311" s="243"/>
      <c r="AHX311" s="243"/>
      <c r="AHY311" s="243"/>
      <c r="AHZ311" s="243"/>
      <c r="AIA311" s="243"/>
      <c r="AIB311" s="243"/>
      <c r="AIC311" s="243"/>
      <c r="AID311" s="243"/>
      <c r="AIE311" s="243"/>
      <c r="AIF311" s="243"/>
      <c r="AIG311" s="243"/>
      <c r="AIH311" s="243"/>
      <c r="AII311" s="243"/>
      <c r="AIJ311" s="243"/>
      <c r="AIK311" s="243"/>
      <c r="AIL311" s="243"/>
      <c r="AIM311" s="243"/>
      <c r="AIN311" s="243"/>
      <c r="AIO311" s="243"/>
      <c r="AIP311" s="243"/>
      <c r="AIQ311" s="243"/>
      <c r="AIR311" s="243"/>
      <c r="AIS311" s="243"/>
      <c r="AIT311" s="243"/>
      <c r="AIU311" s="243"/>
      <c r="AIV311" s="243"/>
      <c r="AIW311" s="243"/>
      <c r="AIX311" s="243"/>
      <c r="AIY311" s="243"/>
      <c r="AIZ311" s="243"/>
      <c r="AJA311" s="243"/>
      <c r="AJB311" s="243"/>
      <c r="AJC311" s="243"/>
      <c r="AJD311" s="243"/>
      <c r="AJE311" s="243"/>
      <c r="AJF311" s="243"/>
      <c r="AJG311" s="243"/>
      <c r="AJH311" s="243"/>
      <c r="AJI311" s="243"/>
      <c r="AJJ311" s="243"/>
      <c r="AJK311" s="243"/>
      <c r="AJL311" s="243"/>
      <c r="AJM311" s="243"/>
      <c r="AJN311" s="243"/>
      <c r="AJO311" s="243"/>
      <c r="AJP311" s="243"/>
      <c r="AJQ311" s="243"/>
      <c r="AJR311" s="243"/>
      <c r="AJS311" s="243"/>
      <c r="AJT311" s="243"/>
      <c r="AJU311" s="243"/>
      <c r="AJV311" s="243"/>
      <c r="AJW311" s="243"/>
      <c r="AJX311" s="243"/>
      <c r="AJY311" s="243"/>
      <c r="AJZ311" s="243"/>
      <c r="AKA311" s="243"/>
      <c r="AKB311" s="243"/>
      <c r="AKC311" s="243"/>
      <c r="AKD311" s="243"/>
      <c r="AKE311" s="243"/>
      <c r="AKF311" s="243"/>
      <c r="AKG311" s="243"/>
      <c r="AKH311" s="243"/>
      <c r="AKI311" s="243"/>
      <c r="AKJ311" s="243"/>
      <c r="AKK311" s="243"/>
      <c r="AKL311" s="243"/>
      <c r="AKM311" s="243"/>
      <c r="AKN311" s="243"/>
      <c r="AKO311" s="243"/>
      <c r="AKP311" s="243"/>
      <c r="AKQ311" s="243"/>
      <c r="AKR311" s="243"/>
      <c r="AKS311" s="243"/>
      <c r="AKT311" s="243"/>
      <c r="AKU311" s="243"/>
      <c r="AKV311" s="243"/>
      <c r="AKW311" s="243"/>
      <c r="AKX311" s="243"/>
      <c r="AKY311" s="243"/>
      <c r="AKZ311" s="243"/>
      <c r="ALA311" s="243"/>
      <c r="ALB311" s="243"/>
      <c r="ALC311" s="243"/>
      <c r="ALD311" s="243"/>
      <c r="ALE311" s="243"/>
      <c r="ALF311" s="243"/>
      <c r="ALG311" s="243"/>
      <c r="ALH311" s="243"/>
      <c r="ALI311" s="243"/>
      <c r="ALJ311" s="243"/>
      <c r="ALK311" s="243"/>
      <c r="ALL311" s="243"/>
      <c r="ALM311" s="243"/>
      <c r="ALN311" s="243"/>
      <c r="ALO311" s="243"/>
      <c r="ALP311" s="243"/>
      <c r="ALQ311" s="243"/>
      <c r="ALR311" s="243"/>
      <c r="ALS311" s="243"/>
      <c r="ALT311" s="243"/>
      <c r="ALU311" s="243"/>
      <c r="ALV311" s="243"/>
      <c r="ALW311" s="243"/>
      <c r="ALX311" s="243"/>
      <c r="ALY311" s="243"/>
      <c r="ALZ311" s="243"/>
      <c r="AMA311" s="243"/>
      <c r="AMB311" s="243"/>
      <c r="AMC311" s="243"/>
      <c r="AMD311" s="243"/>
      <c r="AME311" s="243"/>
      <c r="AMF311" s="243"/>
      <c r="AMG311" s="243"/>
      <c r="AMH311" s="243"/>
      <c r="AMI311" s="244"/>
      <c r="AMJ311" s="244"/>
    </row>
    <row r="314" spans="1:1024" ht="15" customHeight="1">
      <c r="A314" s="913" t="s">
        <v>123</v>
      </c>
      <c r="B314" s="914"/>
      <c r="C314" s="914"/>
      <c r="D314" s="914"/>
      <c r="E314" s="914"/>
      <c r="F314" s="914"/>
      <c r="G314" s="914"/>
      <c r="H314" s="914"/>
      <c r="I314" s="921" t="s">
        <v>2</v>
      </c>
      <c r="J314" s="922"/>
      <c r="K314" s="922"/>
      <c r="L314" s="922"/>
      <c r="M314" s="922"/>
      <c r="N314" s="922"/>
      <c r="O314" s="922"/>
      <c r="P314" s="922"/>
      <c r="Q314" s="923"/>
      <c r="R314" s="243"/>
      <c r="S314" s="243"/>
      <c r="T314" s="243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3"/>
      <c r="AG314" s="243"/>
      <c r="AH314" s="243"/>
      <c r="AI314" s="243"/>
      <c r="AJ314" s="243"/>
      <c r="AK314" s="243"/>
      <c r="AL314" s="243"/>
      <c r="AM314" s="243"/>
      <c r="AN314" s="243"/>
      <c r="AO314" s="243"/>
      <c r="AP314" s="243"/>
      <c r="AQ314" s="243"/>
      <c r="AR314" s="243"/>
      <c r="AS314" s="243"/>
      <c r="AT314" s="243"/>
      <c r="AU314" s="243"/>
      <c r="AV314" s="243"/>
      <c r="AW314" s="243"/>
      <c r="AX314" s="243"/>
      <c r="AY314" s="243"/>
      <c r="AZ314" s="243"/>
      <c r="BA314" s="243"/>
      <c r="BB314" s="243"/>
      <c r="BC314" s="243"/>
      <c r="BD314" s="243"/>
      <c r="BE314" s="243"/>
      <c r="BF314" s="243"/>
      <c r="BG314" s="243"/>
      <c r="BH314" s="243"/>
      <c r="BI314" s="243"/>
      <c r="BJ314" s="243"/>
      <c r="BK314" s="243"/>
      <c r="BL314" s="243"/>
      <c r="BM314" s="243"/>
      <c r="BN314" s="243"/>
      <c r="BO314" s="243"/>
      <c r="BP314" s="243"/>
      <c r="BQ314" s="243"/>
      <c r="BR314" s="243"/>
      <c r="BS314" s="243"/>
      <c r="BT314" s="243"/>
      <c r="BU314" s="243"/>
      <c r="BV314" s="243"/>
      <c r="BW314" s="243"/>
      <c r="BX314" s="243"/>
      <c r="BY314" s="243"/>
      <c r="BZ314" s="243"/>
      <c r="CA314" s="243"/>
      <c r="CB314" s="243"/>
      <c r="CC314" s="243"/>
      <c r="CD314" s="243"/>
      <c r="CE314" s="243"/>
      <c r="CF314" s="243"/>
      <c r="CG314" s="243"/>
      <c r="CH314" s="243"/>
      <c r="CI314" s="243"/>
      <c r="CJ314" s="243"/>
      <c r="CK314" s="243"/>
      <c r="CL314" s="243"/>
      <c r="CM314" s="243"/>
      <c r="CN314" s="243"/>
      <c r="CO314" s="243"/>
      <c r="CP314" s="243"/>
      <c r="CQ314" s="243"/>
      <c r="CR314" s="243"/>
      <c r="CS314" s="243"/>
      <c r="CT314" s="243"/>
      <c r="CU314" s="243"/>
      <c r="CV314" s="243"/>
      <c r="CW314" s="243"/>
      <c r="CX314" s="243"/>
      <c r="CY314" s="243"/>
      <c r="CZ314" s="243"/>
      <c r="DA314" s="243"/>
      <c r="DB314" s="243"/>
      <c r="DC314" s="243"/>
      <c r="DD314" s="243"/>
      <c r="DE314" s="243"/>
      <c r="DF314" s="243"/>
      <c r="DG314" s="243"/>
      <c r="DH314" s="243"/>
      <c r="DI314" s="243"/>
      <c r="DJ314" s="243"/>
      <c r="DK314" s="243"/>
      <c r="DL314" s="243"/>
      <c r="DM314" s="243"/>
      <c r="DN314" s="243"/>
      <c r="DO314" s="243"/>
      <c r="DP314" s="243"/>
      <c r="DQ314" s="243"/>
      <c r="DR314" s="243"/>
      <c r="DS314" s="243"/>
      <c r="DT314" s="243"/>
      <c r="DU314" s="243"/>
      <c r="DV314" s="243"/>
      <c r="DW314" s="243"/>
      <c r="DX314" s="243"/>
      <c r="DY314" s="243"/>
      <c r="DZ314" s="243"/>
      <c r="EA314" s="243"/>
      <c r="EB314" s="243"/>
      <c r="EC314" s="243"/>
      <c r="ED314" s="243"/>
      <c r="EE314" s="243"/>
      <c r="EF314" s="243"/>
      <c r="EG314" s="243"/>
      <c r="EH314" s="243"/>
      <c r="EI314" s="243"/>
      <c r="EJ314" s="243"/>
      <c r="EK314" s="243"/>
      <c r="EL314" s="243"/>
      <c r="EM314" s="243"/>
      <c r="EN314" s="243"/>
      <c r="EO314" s="243"/>
      <c r="EP314" s="243"/>
      <c r="EQ314" s="243"/>
      <c r="ER314" s="243"/>
      <c r="ES314" s="243"/>
      <c r="ET314" s="243"/>
      <c r="EU314" s="243"/>
      <c r="EV314" s="243"/>
      <c r="EW314" s="243"/>
      <c r="EX314" s="243"/>
      <c r="EY314" s="243"/>
      <c r="EZ314" s="243"/>
      <c r="FA314" s="243"/>
      <c r="FB314" s="243"/>
      <c r="FC314" s="243"/>
      <c r="FD314" s="243"/>
      <c r="FE314" s="243"/>
      <c r="FF314" s="243"/>
      <c r="FG314" s="243"/>
      <c r="FH314" s="243"/>
      <c r="FI314" s="243"/>
      <c r="FJ314" s="243"/>
      <c r="FK314" s="243"/>
      <c r="FL314" s="243"/>
      <c r="FM314" s="243"/>
      <c r="FN314" s="243"/>
      <c r="FO314" s="243"/>
      <c r="FP314" s="243"/>
      <c r="FQ314" s="243"/>
      <c r="FR314" s="243"/>
      <c r="FS314" s="243"/>
      <c r="FT314" s="243"/>
      <c r="FU314" s="243"/>
      <c r="FV314" s="243"/>
      <c r="FW314" s="243"/>
      <c r="FX314" s="243"/>
      <c r="FY314" s="243"/>
      <c r="FZ314" s="243"/>
      <c r="GA314" s="243"/>
      <c r="GB314" s="243"/>
      <c r="GC314" s="243"/>
      <c r="GD314" s="243"/>
      <c r="GE314" s="243"/>
      <c r="GF314" s="243"/>
      <c r="GG314" s="243"/>
      <c r="GH314" s="243"/>
      <c r="GI314" s="243"/>
      <c r="GJ314" s="243"/>
      <c r="GK314" s="243"/>
      <c r="GL314" s="243"/>
      <c r="GM314" s="243"/>
      <c r="GN314" s="243"/>
      <c r="GO314" s="243"/>
      <c r="GP314" s="243"/>
      <c r="GQ314" s="243"/>
      <c r="GR314" s="243"/>
      <c r="GS314" s="243"/>
      <c r="GT314" s="243"/>
      <c r="GU314" s="243"/>
      <c r="GV314" s="243"/>
      <c r="GW314" s="243"/>
      <c r="GX314" s="243"/>
      <c r="GY314" s="243"/>
      <c r="GZ314" s="243"/>
      <c r="HA314" s="243"/>
      <c r="HB314" s="243"/>
      <c r="HC314" s="243"/>
      <c r="HD314" s="243"/>
      <c r="HE314" s="243"/>
      <c r="HF314" s="243"/>
      <c r="HG314" s="243"/>
      <c r="HH314" s="243"/>
      <c r="HI314" s="243"/>
      <c r="HJ314" s="243"/>
      <c r="HK314" s="243"/>
      <c r="HL314" s="243"/>
      <c r="HM314" s="243"/>
      <c r="HN314" s="243"/>
      <c r="HO314" s="243"/>
      <c r="HP314" s="243"/>
      <c r="HQ314" s="243"/>
      <c r="HR314" s="243"/>
      <c r="HS314" s="243"/>
      <c r="HT314" s="243"/>
      <c r="HU314" s="243"/>
      <c r="HV314" s="243"/>
      <c r="HW314" s="243"/>
      <c r="HX314" s="243"/>
      <c r="HY314" s="243"/>
      <c r="HZ314" s="243"/>
      <c r="IA314" s="243"/>
      <c r="IB314" s="243"/>
      <c r="IC314" s="243"/>
      <c r="ID314" s="243"/>
      <c r="IE314" s="243"/>
      <c r="IF314" s="243"/>
      <c r="IG314" s="243"/>
      <c r="IH314" s="243"/>
      <c r="II314" s="243"/>
      <c r="IJ314" s="243"/>
      <c r="IK314" s="243"/>
      <c r="IL314" s="243"/>
      <c r="IM314" s="243"/>
      <c r="IN314" s="243"/>
      <c r="IO314" s="243"/>
      <c r="IP314" s="243"/>
      <c r="IQ314" s="243"/>
      <c r="IR314" s="243"/>
      <c r="IS314" s="243"/>
      <c r="IT314" s="243"/>
      <c r="IU314" s="243"/>
      <c r="IV314" s="243"/>
      <c r="IW314" s="243"/>
      <c r="IX314" s="243"/>
      <c r="IY314" s="243"/>
      <c r="IZ314" s="243"/>
      <c r="JA314" s="243"/>
      <c r="JB314" s="243"/>
      <c r="JC314" s="243"/>
      <c r="JD314" s="243"/>
      <c r="JE314" s="243"/>
      <c r="JF314" s="243"/>
      <c r="JG314" s="243"/>
      <c r="JH314" s="243"/>
      <c r="JI314" s="243"/>
      <c r="JJ314" s="243"/>
      <c r="JK314" s="243"/>
      <c r="JL314" s="243"/>
      <c r="JM314" s="243"/>
      <c r="JN314" s="243"/>
      <c r="JO314" s="243"/>
      <c r="JP314" s="243"/>
      <c r="JQ314" s="243"/>
      <c r="JR314" s="243"/>
      <c r="JS314" s="243"/>
      <c r="JT314" s="243"/>
      <c r="JU314" s="243"/>
      <c r="JV314" s="243"/>
      <c r="JW314" s="243"/>
      <c r="JX314" s="243"/>
      <c r="JY314" s="243"/>
      <c r="JZ314" s="243"/>
      <c r="KA314" s="243"/>
      <c r="KB314" s="243"/>
      <c r="KC314" s="243"/>
      <c r="KD314" s="243"/>
      <c r="KE314" s="243"/>
      <c r="KF314" s="243"/>
      <c r="KG314" s="243"/>
      <c r="KH314" s="243"/>
      <c r="KI314" s="243"/>
      <c r="KJ314" s="243"/>
      <c r="KK314" s="243"/>
      <c r="KL314" s="243"/>
      <c r="KM314" s="243"/>
      <c r="KN314" s="243"/>
      <c r="KO314" s="243"/>
      <c r="KP314" s="243"/>
      <c r="KQ314" s="243"/>
      <c r="KR314" s="243"/>
      <c r="KS314" s="243"/>
      <c r="KT314" s="243"/>
      <c r="KU314" s="243"/>
      <c r="KV314" s="243"/>
      <c r="KW314" s="243"/>
      <c r="KX314" s="243"/>
      <c r="KY314" s="243"/>
      <c r="KZ314" s="243"/>
      <c r="LA314" s="243"/>
      <c r="LB314" s="243"/>
      <c r="LC314" s="243"/>
      <c r="LD314" s="243"/>
      <c r="LE314" s="243"/>
      <c r="LF314" s="243"/>
      <c r="LG314" s="243"/>
      <c r="LH314" s="243"/>
      <c r="LI314" s="243"/>
      <c r="LJ314" s="243"/>
      <c r="LK314" s="243"/>
      <c r="LL314" s="243"/>
      <c r="LM314" s="243"/>
      <c r="LN314" s="243"/>
      <c r="LO314" s="243"/>
      <c r="LP314" s="243"/>
      <c r="LQ314" s="243"/>
      <c r="LR314" s="243"/>
      <c r="LS314" s="243"/>
      <c r="LT314" s="243"/>
      <c r="LU314" s="243"/>
      <c r="LV314" s="243"/>
      <c r="LW314" s="243"/>
      <c r="LX314" s="243"/>
      <c r="LY314" s="243"/>
      <c r="LZ314" s="243"/>
      <c r="MA314" s="243"/>
      <c r="MB314" s="243"/>
      <c r="MC314" s="243"/>
      <c r="MD314" s="243"/>
      <c r="ME314" s="243"/>
      <c r="MF314" s="243"/>
      <c r="MG314" s="243"/>
      <c r="MH314" s="243"/>
      <c r="MI314" s="243"/>
      <c r="MJ314" s="243"/>
      <c r="MK314" s="243"/>
      <c r="ML314" s="243"/>
      <c r="MM314" s="243"/>
      <c r="MN314" s="243"/>
      <c r="MO314" s="243"/>
      <c r="MP314" s="243"/>
      <c r="MQ314" s="243"/>
      <c r="MR314" s="243"/>
      <c r="MS314" s="243"/>
      <c r="MT314" s="243"/>
      <c r="MU314" s="243"/>
      <c r="MV314" s="243"/>
      <c r="MW314" s="243"/>
      <c r="MX314" s="243"/>
      <c r="MY314" s="243"/>
      <c r="MZ314" s="243"/>
      <c r="NA314" s="243"/>
      <c r="NB314" s="243"/>
      <c r="NC314" s="243"/>
      <c r="ND314" s="243"/>
      <c r="NE314" s="243"/>
      <c r="NF314" s="243"/>
      <c r="NG314" s="243"/>
      <c r="NH314" s="243"/>
      <c r="NI314" s="243"/>
      <c r="NJ314" s="243"/>
      <c r="NK314" s="243"/>
      <c r="NL314" s="243"/>
      <c r="NM314" s="243"/>
      <c r="NN314" s="243"/>
      <c r="NO314" s="243"/>
      <c r="NP314" s="243"/>
      <c r="NQ314" s="243"/>
      <c r="NR314" s="243"/>
      <c r="NS314" s="243"/>
      <c r="NT314" s="243"/>
      <c r="NU314" s="243"/>
      <c r="NV314" s="243"/>
      <c r="NW314" s="243"/>
      <c r="NX314" s="243"/>
      <c r="NY314" s="243"/>
      <c r="NZ314" s="243"/>
      <c r="OA314" s="243"/>
      <c r="OB314" s="243"/>
      <c r="OC314" s="243"/>
      <c r="OD314" s="243"/>
      <c r="OE314" s="243"/>
      <c r="OF314" s="243"/>
      <c r="OG314" s="243"/>
      <c r="OH314" s="243"/>
      <c r="OI314" s="243"/>
      <c r="OJ314" s="243"/>
      <c r="OK314" s="243"/>
      <c r="OL314" s="243"/>
      <c r="OM314" s="243"/>
      <c r="ON314" s="243"/>
      <c r="OO314" s="243"/>
      <c r="OP314" s="243"/>
      <c r="OQ314" s="243"/>
      <c r="OR314" s="243"/>
      <c r="OS314" s="243"/>
      <c r="OT314" s="243"/>
      <c r="OU314" s="243"/>
      <c r="OV314" s="243"/>
      <c r="OW314" s="243"/>
      <c r="OX314" s="243"/>
      <c r="OY314" s="243"/>
      <c r="OZ314" s="243"/>
      <c r="PA314" s="243"/>
      <c r="PB314" s="243"/>
      <c r="PC314" s="243"/>
      <c r="PD314" s="243"/>
      <c r="PE314" s="243"/>
      <c r="PF314" s="243"/>
      <c r="PG314" s="243"/>
      <c r="PH314" s="243"/>
      <c r="PI314" s="243"/>
      <c r="PJ314" s="243"/>
      <c r="PK314" s="243"/>
      <c r="PL314" s="243"/>
      <c r="PM314" s="243"/>
      <c r="PN314" s="243"/>
      <c r="PO314" s="243"/>
      <c r="PP314" s="243"/>
      <c r="PQ314" s="243"/>
      <c r="PR314" s="243"/>
      <c r="PS314" s="243"/>
      <c r="PT314" s="243"/>
      <c r="PU314" s="243"/>
      <c r="PV314" s="243"/>
      <c r="PW314" s="243"/>
      <c r="PX314" s="243"/>
      <c r="PY314" s="243"/>
      <c r="PZ314" s="243"/>
      <c r="QA314" s="243"/>
      <c r="QB314" s="243"/>
      <c r="QC314" s="243"/>
      <c r="QD314" s="243"/>
      <c r="QE314" s="243"/>
      <c r="QF314" s="243"/>
      <c r="QG314" s="243"/>
      <c r="QH314" s="243"/>
      <c r="QI314" s="243"/>
      <c r="QJ314" s="243"/>
      <c r="QK314" s="243"/>
      <c r="QL314" s="243"/>
      <c r="QM314" s="243"/>
      <c r="QN314" s="243"/>
      <c r="QO314" s="243"/>
      <c r="QP314" s="243"/>
      <c r="QQ314" s="243"/>
      <c r="QR314" s="243"/>
      <c r="QS314" s="243"/>
      <c r="QT314" s="243"/>
      <c r="QU314" s="243"/>
      <c r="QV314" s="243"/>
      <c r="QW314" s="243"/>
      <c r="QX314" s="243"/>
      <c r="QY314" s="243"/>
      <c r="QZ314" s="243"/>
      <c r="RA314" s="243"/>
      <c r="RB314" s="243"/>
      <c r="RC314" s="243"/>
      <c r="RD314" s="243"/>
      <c r="RE314" s="243"/>
      <c r="RF314" s="243"/>
      <c r="RG314" s="243"/>
      <c r="RH314" s="243"/>
      <c r="RI314" s="243"/>
      <c r="RJ314" s="243"/>
      <c r="RK314" s="243"/>
      <c r="RL314" s="243"/>
      <c r="RM314" s="243"/>
      <c r="RN314" s="243"/>
      <c r="RO314" s="243"/>
      <c r="RP314" s="243"/>
      <c r="RQ314" s="243"/>
      <c r="RR314" s="243"/>
      <c r="RS314" s="243"/>
      <c r="RT314" s="243"/>
      <c r="RU314" s="243"/>
      <c r="RV314" s="243"/>
      <c r="RW314" s="243"/>
      <c r="RX314" s="243"/>
      <c r="RY314" s="243"/>
      <c r="RZ314" s="243"/>
      <c r="SA314" s="243"/>
      <c r="SB314" s="243"/>
      <c r="SC314" s="243"/>
      <c r="SD314" s="243"/>
      <c r="SE314" s="243"/>
      <c r="SF314" s="243"/>
      <c r="SG314" s="243"/>
      <c r="SH314" s="243"/>
      <c r="SI314" s="243"/>
      <c r="SJ314" s="243"/>
      <c r="SK314" s="243"/>
      <c r="SL314" s="243"/>
      <c r="SM314" s="243"/>
      <c r="SN314" s="243"/>
      <c r="SO314" s="243"/>
      <c r="SP314" s="243"/>
      <c r="SQ314" s="243"/>
      <c r="SR314" s="243"/>
      <c r="SS314" s="243"/>
      <c r="ST314" s="243"/>
      <c r="SU314" s="243"/>
      <c r="SV314" s="243"/>
      <c r="SW314" s="243"/>
      <c r="SX314" s="243"/>
      <c r="SY314" s="243"/>
      <c r="SZ314" s="243"/>
      <c r="TA314" s="243"/>
      <c r="TB314" s="243"/>
      <c r="TC314" s="243"/>
      <c r="TD314" s="243"/>
      <c r="TE314" s="243"/>
      <c r="TF314" s="243"/>
      <c r="TG314" s="243"/>
      <c r="TH314" s="243"/>
      <c r="TI314" s="243"/>
      <c r="TJ314" s="243"/>
      <c r="TK314" s="243"/>
      <c r="TL314" s="243"/>
      <c r="TM314" s="243"/>
      <c r="TN314" s="243"/>
      <c r="TO314" s="243"/>
      <c r="TP314" s="243"/>
      <c r="TQ314" s="243"/>
      <c r="TR314" s="243"/>
      <c r="TS314" s="243"/>
      <c r="TT314" s="243"/>
      <c r="TU314" s="243"/>
      <c r="TV314" s="243"/>
      <c r="TW314" s="243"/>
      <c r="TX314" s="243"/>
      <c r="TY314" s="243"/>
      <c r="TZ314" s="243"/>
      <c r="UA314" s="243"/>
      <c r="UB314" s="243"/>
      <c r="UC314" s="243"/>
      <c r="UD314" s="243"/>
      <c r="UE314" s="243"/>
      <c r="UF314" s="243"/>
      <c r="UG314" s="243"/>
      <c r="UH314" s="243"/>
      <c r="UI314" s="243"/>
      <c r="UJ314" s="243"/>
      <c r="UK314" s="243"/>
      <c r="UL314" s="243"/>
      <c r="UM314" s="243"/>
      <c r="UN314" s="243"/>
      <c r="UO314" s="243"/>
      <c r="UP314" s="243"/>
      <c r="UQ314" s="243"/>
      <c r="UR314" s="243"/>
      <c r="US314" s="243"/>
      <c r="UT314" s="243"/>
      <c r="UU314" s="243"/>
      <c r="UV314" s="243"/>
      <c r="UW314" s="243"/>
      <c r="UX314" s="243"/>
      <c r="UY314" s="243"/>
      <c r="UZ314" s="243"/>
      <c r="VA314" s="243"/>
      <c r="VB314" s="243"/>
      <c r="VC314" s="243"/>
      <c r="VD314" s="243"/>
      <c r="VE314" s="243"/>
      <c r="VF314" s="243"/>
      <c r="VG314" s="243"/>
      <c r="VH314" s="243"/>
      <c r="VI314" s="243"/>
      <c r="VJ314" s="243"/>
      <c r="VK314" s="243"/>
      <c r="VL314" s="243"/>
      <c r="VM314" s="243"/>
      <c r="VN314" s="243"/>
      <c r="VO314" s="243"/>
      <c r="VP314" s="243"/>
      <c r="VQ314" s="243"/>
      <c r="VR314" s="243"/>
      <c r="VS314" s="243"/>
      <c r="VT314" s="243"/>
      <c r="VU314" s="243"/>
      <c r="VV314" s="243"/>
      <c r="VW314" s="243"/>
      <c r="VX314" s="243"/>
      <c r="VY314" s="243"/>
      <c r="VZ314" s="243"/>
      <c r="WA314" s="243"/>
      <c r="WB314" s="243"/>
      <c r="WC314" s="243"/>
      <c r="WD314" s="243"/>
      <c r="WE314" s="243"/>
      <c r="WF314" s="243"/>
      <c r="WG314" s="243"/>
      <c r="WH314" s="243"/>
      <c r="WI314" s="243"/>
      <c r="WJ314" s="243"/>
      <c r="WK314" s="243"/>
      <c r="WL314" s="243"/>
      <c r="WM314" s="243"/>
      <c r="WN314" s="243"/>
      <c r="WO314" s="243"/>
      <c r="WP314" s="243"/>
      <c r="WQ314" s="243"/>
      <c r="WR314" s="243"/>
      <c r="WS314" s="243"/>
      <c r="WT314" s="243"/>
      <c r="WU314" s="243"/>
      <c r="WV314" s="243"/>
      <c r="WW314" s="243"/>
      <c r="WX314" s="243"/>
      <c r="WY314" s="243"/>
      <c r="WZ314" s="243"/>
      <c r="XA314" s="243"/>
      <c r="XB314" s="243"/>
      <c r="XC314" s="243"/>
      <c r="XD314" s="243"/>
      <c r="XE314" s="243"/>
      <c r="XF314" s="243"/>
      <c r="XG314" s="243"/>
      <c r="XH314" s="243"/>
      <c r="XI314" s="243"/>
      <c r="XJ314" s="243"/>
      <c r="XK314" s="243"/>
      <c r="XL314" s="243"/>
      <c r="XM314" s="243"/>
      <c r="XN314" s="243"/>
      <c r="XO314" s="243"/>
      <c r="XP314" s="243"/>
      <c r="XQ314" s="243"/>
      <c r="XR314" s="243"/>
      <c r="XS314" s="243"/>
      <c r="XT314" s="243"/>
      <c r="XU314" s="243"/>
      <c r="XV314" s="243"/>
      <c r="XW314" s="243"/>
      <c r="XX314" s="243"/>
      <c r="XY314" s="243"/>
      <c r="XZ314" s="243"/>
      <c r="YA314" s="243"/>
      <c r="YB314" s="243"/>
      <c r="YC314" s="243"/>
      <c r="YD314" s="243"/>
      <c r="YE314" s="243"/>
      <c r="YF314" s="243"/>
      <c r="YG314" s="243"/>
      <c r="YH314" s="243"/>
      <c r="YI314" s="243"/>
      <c r="YJ314" s="243"/>
      <c r="YK314" s="243"/>
      <c r="YL314" s="243"/>
      <c r="YM314" s="243"/>
      <c r="YN314" s="243"/>
      <c r="YO314" s="243"/>
      <c r="YP314" s="243"/>
      <c r="YQ314" s="243"/>
      <c r="YR314" s="243"/>
      <c r="YS314" s="243"/>
      <c r="YT314" s="243"/>
      <c r="YU314" s="243"/>
      <c r="YV314" s="243"/>
      <c r="YW314" s="243"/>
      <c r="YX314" s="243"/>
      <c r="YY314" s="243"/>
      <c r="YZ314" s="243"/>
      <c r="ZA314" s="243"/>
      <c r="ZB314" s="243"/>
      <c r="ZC314" s="243"/>
      <c r="ZD314" s="243"/>
      <c r="ZE314" s="243"/>
      <c r="ZF314" s="243"/>
      <c r="ZG314" s="243"/>
      <c r="ZH314" s="243"/>
      <c r="ZI314" s="243"/>
      <c r="ZJ314" s="243"/>
      <c r="ZK314" s="243"/>
      <c r="ZL314" s="243"/>
      <c r="ZM314" s="243"/>
      <c r="ZN314" s="243"/>
      <c r="ZO314" s="243"/>
      <c r="ZP314" s="243"/>
      <c r="ZQ314" s="243"/>
      <c r="ZR314" s="243"/>
      <c r="ZS314" s="243"/>
      <c r="ZT314" s="243"/>
      <c r="ZU314" s="243"/>
      <c r="ZV314" s="243"/>
      <c r="ZW314" s="243"/>
      <c r="ZX314" s="243"/>
      <c r="ZY314" s="243"/>
      <c r="ZZ314" s="243"/>
      <c r="AAA314" s="243"/>
      <c r="AAB314" s="243"/>
      <c r="AAC314" s="243"/>
      <c r="AAD314" s="243"/>
      <c r="AAE314" s="243"/>
      <c r="AAF314" s="243"/>
      <c r="AAG314" s="243"/>
      <c r="AAH314" s="243"/>
      <c r="AAI314" s="243"/>
      <c r="AAJ314" s="243"/>
      <c r="AAK314" s="243"/>
      <c r="AAL314" s="243"/>
      <c r="AAM314" s="243"/>
      <c r="AAN314" s="243"/>
      <c r="AAO314" s="243"/>
      <c r="AAP314" s="243"/>
      <c r="AAQ314" s="243"/>
      <c r="AAR314" s="243"/>
      <c r="AAS314" s="243"/>
      <c r="AAT314" s="243"/>
      <c r="AAU314" s="243"/>
      <c r="AAV314" s="243"/>
      <c r="AAW314" s="243"/>
      <c r="AAX314" s="243"/>
      <c r="AAY314" s="243"/>
      <c r="AAZ314" s="243"/>
      <c r="ABA314" s="243"/>
      <c r="ABB314" s="243"/>
      <c r="ABC314" s="243"/>
      <c r="ABD314" s="243"/>
      <c r="ABE314" s="243"/>
      <c r="ABF314" s="243"/>
      <c r="ABG314" s="243"/>
      <c r="ABH314" s="243"/>
      <c r="ABI314" s="243"/>
      <c r="ABJ314" s="243"/>
      <c r="ABK314" s="243"/>
      <c r="ABL314" s="243"/>
      <c r="ABM314" s="243"/>
      <c r="ABN314" s="243"/>
      <c r="ABO314" s="243"/>
      <c r="ABP314" s="243"/>
      <c r="ABQ314" s="243"/>
      <c r="ABR314" s="243"/>
      <c r="ABS314" s="243"/>
      <c r="ABT314" s="243"/>
      <c r="ABU314" s="243"/>
      <c r="ABV314" s="243"/>
      <c r="ABW314" s="243"/>
      <c r="ABX314" s="243"/>
      <c r="ABY314" s="243"/>
      <c r="ABZ314" s="243"/>
      <c r="ACA314" s="243"/>
      <c r="ACB314" s="243"/>
      <c r="ACC314" s="243"/>
      <c r="ACD314" s="243"/>
      <c r="ACE314" s="243"/>
      <c r="ACF314" s="243"/>
      <c r="ACG314" s="243"/>
      <c r="ACH314" s="243"/>
      <c r="ACI314" s="243"/>
      <c r="ACJ314" s="243"/>
      <c r="ACK314" s="243"/>
      <c r="ACL314" s="243"/>
      <c r="ACM314" s="243"/>
      <c r="ACN314" s="243"/>
      <c r="ACO314" s="243"/>
      <c r="ACP314" s="243"/>
      <c r="ACQ314" s="243"/>
      <c r="ACR314" s="243"/>
      <c r="ACS314" s="243"/>
      <c r="ACT314" s="243"/>
      <c r="ACU314" s="243"/>
      <c r="ACV314" s="243"/>
      <c r="ACW314" s="243"/>
      <c r="ACX314" s="243"/>
      <c r="ACY314" s="243"/>
      <c r="ACZ314" s="243"/>
      <c r="ADA314" s="243"/>
      <c r="ADB314" s="243"/>
      <c r="ADC314" s="243"/>
      <c r="ADD314" s="243"/>
      <c r="ADE314" s="243"/>
      <c r="ADF314" s="243"/>
      <c r="ADG314" s="243"/>
      <c r="ADH314" s="243"/>
      <c r="ADI314" s="243"/>
      <c r="ADJ314" s="243"/>
      <c r="ADK314" s="243"/>
      <c r="ADL314" s="243"/>
      <c r="ADM314" s="243"/>
      <c r="ADN314" s="243"/>
      <c r="ADO314" s="243"/>
      <c r="ADP314" s="243"/>
      <c r="ADQ314" s="243"/>
      <c r="ADR314" s="243"/>
      <c r="ADS314" s="243"/>
      <c r="ADT314" s="243"/>
      <c r="ADU314" s="243"/>
      <c r="ADV314" s="243"/>
      <c r="ADW314" s="243"/>
      <c r="ADX314" s="243"/>
      <c r="ADY314" s="243"/>
      <c r="ADZ314" s="243"/>
      <c r="AEA314" s="243"/>
      <c r="AEB314" s="243"/>
      <c r="AEC314" s="243"/>
      <c r="AED314" s="243"/>
      <c r="AEE314" s="243"/>
      <c r="AEF314" s="243"/>
      <c r="AEG314" s="243"/>
      <c r="AEH314" s="243"/>
      <c r="AEI314" s="243"/>
      <c r="AEJ314" s="243"/>
      <c r="AEK314" s="243"/>
      <c r="AEL314" s="243"/>
      <c r="AEM314" s="243"/>
      <c r="AEN314" s="243"/>
      <c r="AEO314" s="243"/>
      <c r="AEP314" s="243"/>
      <c r="AEQ314" s="243"/>
      <c r="AER314" s="243"/>
      <c r="AES314" s="243"/>
      <c r="AET314" s="243"/>
      <c r="AEU314" s="243"/>
      <c r="AEV314" s="243"/>
      <c r="AEW314" s="243"/>
      <c r="AEX314" s="243"/>
      <c r="AEY314" s="243"/>
      <c r="AEZ314" s="243"/>
      <c r="AFA314" s="243"/>
      <c r="AFB314" s="243"/>
      <c r="AFC314" s="243"/>
      <c r="AFD314" s="243"/>
      <c r="AFE314" s="243"/>
      <c r="AFF314" s="243"/>
      <c r="AFG314" s="243"/>
      <c r="AFH314" s="243"/>
      <c r="AFI314" s="243"/>
      <c r="AFJ314" s="243"/>
      <c r="AFK314" s="243"/>
      <c r="AFL314" s="243"/>
      <c r="AFM314" s="243"/>
      <c r="AFN314" s="243"/>
      <c r="AFO314" s="243"/>
      <c r="AFP314" s="243"/>
      <c r="AFQ314" s="243"/>
      <c r="AFR314" s="243"/>
      <c r="AFS314" s="243"/>
      <c r="AFT314" s="243"/>
      <c r="AFU314" s="243"/>
      <c r="AFV314" s="243"/>
      <c r="AFW314" s="243"/>
      <c r="AFX314" s="243"/>
      <c r="AFY314" s="243"/>
      <c r="AFZ314" s="243"/>
      <c r="AGA314" s="243"/>
      <c r="AGB314" s="243"/>
      <c r="AGC314" s="243"/>
      <c r="AGD314" s="243"/>
      <c r="AGE314" s="243"/>
      <c r="AGF314" s="243"/>
      <c r="AGG314" s="243"/>
      <c r="AGH314" s="243"/>
      <c r="AGI314" s="243"/>
      <c r="AGJ314" s="243"/>
      <c r="AGK314" s="243"/>
      <c r="AGL314" s="243"/>
      <c r="AGM314" s="243"/>
      <c r="AGN314" s="243"/>
      <c r="AGO314" s="243"/>
      <c r="AGP314" s="243"/>
      <c r="AGQ314" s="243"/>
      <c r="AGR314" s="243"/>
      <c r="AGS314" s="243"/>
      <c r="AGT314" s="243"/>
      <c r="AGU314" s="243"/>
      <c r="AGV314" s="243"/>
      <c r="AGW314" s="243"/>
      <c r="AGX314" s="243"/>
      <c r="AGY314" s="243"/>
      <c r="AGZ314" s="243"/>
      <c r="AHA314" s="243"/>
      <c r="AHB314" s="243"/>
      <c r="AHC314" s="243"/>
      <c r="AHD314" s="243"/>
      <c r="AHE314" s="243"/>
      <c r="AHF314" s="243"/>
      <c r="AHG314" s="243"/>
      <c r="AHH314" s="243"/>
      <c r="AHI314" s="243"/>
      <c r="AHJ314" s="243"/>
      <c r="AHK314" s="243"/>
      <c r="AHL314" s="243"/>
      <c r="AHM314" s="243"/>
      <c r="AHN314" s="243"/>
      <c r="AHO314" s="243"/>
      <c r="AHP314" s="243"/>
      <c r="AHQ314" s="243"/>
      <c r="AHR314" s="243"/>
      <c r="AHS314" s="243"/>
      <c r="AHT314" s="243"/>
      <c r="AHU314" s="243"/>
      <c r="AHV314" s="243"/>
      <c r="AHW314" s="243"/>
      <c r="AHX314" s="243"/>
      <c r="AHY314" s="243"/>
      <c r="AHZ314" s="243"/>
      <c r="AIA314" s="243"/>
      <c r="AIB314" s="243"/>
      <c r="AIC314" s="243"/>
      <c r="AID314" s="243"/>
      <c r="AIE314" s="243"/>
      <c r="AIF314" s="243"/>
      <c r="AIG314" s="243"/>
      <c r="AIH314" s="243"/>
      <c r="AII314" s="243"/>
      <c r="AIJ314" s="243"/>
      <c r="AIK314" s="243"/>
      <c r="AIL314" s="243"/>
      <c r="AIM314" s="243"/>
      <c r="AIN314" s="243"/>
      <c r="AIO314" s="243"/>
      <c r="AIP314" s="243"/>
      <c r="AIQ314" s="243"/>
      <c r="AIR314" s="243"/>
      <c r="AIS314" s="243"/>
      <c r="AIT314" s="243"/>
      <c r="AIU314" s="243"/>
      <c r="AIV314" s="243"/>
      <c r="AIW314" s="243"/>
      <c r="AIX314" s="243"/>
      <c r="AIY314" s="243"/>
      <c r="AIZ314" s="243"/>
      <c r="AJA314" s="243"/>
      <c r="AJB314" s="243"/>
      <c r="AJC314" s="243"/>
      <c r="AJD314" s="243"/>
      <c r="AJE314" s="243"/>
      <c r="AJF314" s="243"/>
      <c r="AJG314" s="243"/>
      <c r="AJH314" s="243"/>
      <c r="AJI314" s="243"/>
      <c r="AJJ314" s="243"/>
      <c r="AJK314" s="243"/>
      <c r="AJL314" s="243"/>
      <c r="AJM314" s="243"/>
      <c r="AJN314" s="243"/>
      <c r="AJO314" s="243"/>
      <c r="AJP314" s="243"/>
      <c r="AJQ314" s="243"/>
      <c r="AJR314" s="243"/>
      <c r="AJS314" s="243"/>
      <c r="AJT314" s="243"/>
      <c r="AJU314" s="243"/>
      <c r="AJV314" s="243"/>
      <c r="AJW314" s="243"/>
      <c r="AJX314" s="243"/>
      <c r="AJY314" s="243"/>
      <c r="AJZ314" s="243"/>
      <c r="AKA314" s="243"/>
      <c r="AKB314" s="243"/>
      <c r="AKC314" s="243"/>
      <c r="AKD314" s="243"/>
      <c r="AKE314" s="243"/>
      <c r="AKF314" s="243"/>
      <c r="AKG314" s="243"/>
      <c r="AKH314" s="243"/>
      <c r="AKI314" s="243"/>
      <c r="AKJ314" s="243"/>
      <c r="AKK314" s="243"/>
      <c r="AKL314" s="243"/>
      <c r="AKM314" s="243"/>
      <c r="AKN314" s="243"/>
      <c r="AKO314" s="243"/>
      <c r="AKP314" s="243"/>
      <c r="AKQ314" s="243"/>
      <c r="AKR314" s="243"/>
      <c r="AKS314" s="243"/>
      <c r="AKT314" s="243"/>
      <c r="AKU314" s="243"/>
      <c r="AKV314" s="243"/>
      <c r="AKW314" s="243"/>
      <c r="AKX314" s="243"/>
      <c r="AKY314" s="243"/>
      <c r="AKZ314" s="243"/>
      <c r="ALA314" s="243"/>
      <c r="ALB314" s="243"/>
      <c r="ALC314" s="243"/>
      <c r="ALD314" s="243"/>
      <c r="ALE314" s="243"/>
      <c r="ALF314" s="243"/>
      <c r="ALG314" s="243"/>
      <c r="ALH314" s="243"/>
      <c r="ALI314" s="243"/>
      <c r="ALJ314" s="243"/>
      <c r="ALK314" s="243"/>
      <c r="ALL314" s="243"/>
      <c r="ALM314" s="243"/>
      <c r="ALN314" s="243"/>
      <c r="ALO314" s="243"/>
      <c r="ALP314" s="243"/>
      <c r="ALQ314" s="243"/>
      <c r="ALR314" s="243"/>
      <c r="ALS314" s="243"/>
      <c r="ALT314" s="243"/>
      <c r="ALU314" s="243"/>
      <c r="ALV314" s="243"/>
      <c r="ALW314" s="243"/>
      <c r="ALX314" s="243"/>
      <c r="ALY314" s="243"/>
      <c r="ALZ314" s="243"/>
      <c r="AMA314" s="243"/>
      <c r="AMB314" s="243"/>
      <c r="AMC314" s="243"/>
      <c r="AMD314" s="243"/>
      <c r="AME314" s="243"/>
      <c r="AMF314" s="243"/>
      <c r="AMG314" s="243"/>
      <c r="AMH314" s="243"/>
      <c r="AMI314" s="244"/>
      <c r="AMJ314" s="244"/>
    </row>
    <row r="315" spans="1:1024" ht="18">
      <c r="A315" s="371" t="s">
        <v>3</v>
      </c>
      <c r="B315" s="371" t="s">
        <v>4</v>
      </c>
      <c r="C315" s="371" t="s">
        <v>115</v>
      </c>
      <c r="D315" s="371" t="s">
        <v>6</v>
      </c>
      <c r="E315" s="372" t="s">
        <v>29</v>
      </c>
      <c r="F315" s="372" t="s">
        <v>8</v>
      </c>
      <c r="G315" s="372" t="s">
        <v>9</v>
      </c>
      <c r="H315" s="372" t="s">
        <v>116</v>
      </c>
      <c r="I315" s="372" t="s">
        <v>12</v>
      </c>
      <c r="J315" s="372" t="s">
        <v>117</v>
      </c>
      <c r="K315" s="372" t="s">
        <v>118</v>
      </c>
      <c r="L315" s="372"/>
      <c r="M315" s="372" t="s">
        <v>4</v>
      </c>
      <c r="N315" s="372" t="s">
        <v>6</v>
      </c>
      <c r="O315" s="373" t="s">
        <v>29</v>
      </c>
      <c r="P315" s="374" t="s">
        <v>8</v>
      </c>
      <c r="Q315" s="374" t="s">
        <v>120</v>
      </c>
      <c r="R315" s="243"/>
      <c r="S315" s="243"/>
      <c r="T315" s="243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3"/>
      <c r="AG315" s="243"/>
      <c r="AH315" s="243"/>
      <c r="AI315" s="243"/>
      <c r="AJ315" s="243"/>
      <c r="AK315" s="243"/>
      <c r="AL315" s="243"/>
      <c r="AM315" s="243"/>
      <c r="AN315" s="243"/>
      <c r="AO315" s="243"/>
      <c r="AP315" s="243"/>
      <c r="AQ315" s="243"/>
      <c r="AR315" s="243"/>
      <c r="AS315" s="243"/>
      <c r="AT315" s="243"/>
      <c r="AU315" s="243"/>
      <c r="AV315" s="243"/>
      <c r="AW315" s="243"/>
      <c r="AX315" s="243"/>
      <c r="AY315" s="243"/>
      <c r="AZ315" s="243"/>
      <c r="BA315" s="243"/>
      <c r="BB315" s="243"/>
      <c r="BC315" s="243"/>
      <c r="BD315" s="243"/>
      <c r="BE315" s="243"/>
      <c r="BF315" s="243"/>
      <c r="BG315" s="243"/>
      <c r="BH315" s="243"/>
      <c r="BI315" s="243"/>
      <c r="BJ315" s="243"/>
      <c r="BK315" s="243"/>
      <c r="BL315" s="243"/>
      <c r="BM315" s="243"/>
      <c r="BN315" s="243"/>
      <c r="BO315" s="243"/>
      <c r="BP315" s="243"/>
      <c r="BQ315" s="243"/>
      <c r="BR315" s="243"/>
      <c r="BS315" s="243"/>
      <c r="BT315" s="243"/>
      <c r="BU315" s="243"/>
      <c r="BV315" s="243"/>
      <c r="BW315" s="243"/>
      <c r="BX315" s="243"/>
      <c r="BY315" s="243"/>
      <c r="BZ315" s="243"/>
      <c r="CA315" s="243"/>
      <c r="CB315" s="243"/>
      <c r="CC315" s="243"/>
      <c r="CD315" s="243"/>
      <c r="CE315" s="243"/>
      <c r="CF315" s="243"/>
      <c r="CG315" s="243"/>
      <c r="CH315" s="243"/>
      <c r="CI315" s="243"/>
      <c r="CJ315" s="243"/>
      <c r="CK315" s="243"/>
      <c r="CL315" s="243"/>
      <c r="CM315" s="243"/>
      <c r="CN315" s="243"/>
      <c r="CO315" s="243"/>
      <c r="CP315" s="243"/>
      <c r="CQ315" s="243"/>
      <c r="CR315" s="243"/>
      <c r="CS315" s="243"/>
      <c r="CT315" s="243"/>
      <c r="CU315" s="243"/>
      <c r="CV315" s="243"/>
      <c r="CW315" s="243"/>
      <c r="CX315" s="243"/>
      <c r="CY315" s="243"/>
      <c r="CZ315" s="243"/>
      <c r="DA315" s="243"/>
      <c r="DB315" s="243"/>
      <c r="DC315" s="243"/>
      <c r="DD315" s="243"/>
      <c r="DE315" s="243"/>
      <c r="DF315" s="243"/>
      <c r="DG315" s="243"/>
      <c r="DH315" s="243"/>
      <c r="DI315" s="243"/>
      <c r="DJ315" s="243"/>
      <c r="DK315" s="243"/>
      <c r="DL315" s="243"/>
      <c r="DM315" s="243"/>
      <c r="DN315" s="243"/>
      <c r="DO315" s="243"/>
      <c r="DP315" s="243"/>
      <c r="DQ315" s="243"/>
      <c r="DR315" s="243"/>
      <c r="DS315" s="243"/>
      <c r="DT315" s="243"/>
      <c r="DU315" s="243"/>
      <c r="DV315" s="243"/>
      <c r="DW315" s="243"/>
      <c r="DX315" s="243"/>
      <c r="DY315" s="243"/>
      <c r="DZ315" s="243"/>
      <c r="EA315" s="243"/>
      <c r="EB315" s="243"/>
      <c r="EC315" s="243"/>
      <c r="ED315" s="243"/>
      <c r="EE315" s="243"/>
      <c r="EF315" s="243"/>
      <c r="EG315" s="243"/>
      <c r="EH315" s="243"/>
      <c r="EI315" s="243"/>
      <c r="EJ315" s="243"/>
      <c r="EK315" s="243"/>
      <c r="EL315" s="243"/>
      <c r="EM315" s="243"/>
      <c r="EN315" s="243"/>
      <c r="EO315" s="243"/>
      <c r="EP315" s="243"/>
      <c r="EQ315" s="243"/>
      <c r="ER315" s="243"/>
      <c r="ES315" s="243"/>
      <c r="ET315" s="243"/>
      <c r="EU315" s="243"/>
      <c r="EV315" s="243"/>
      <c r="EW315" s="243"/>
      <c r="EX315" s="243"/>
      <c r="EY315" s="243"/>
      <c r="EZ315" s="243"/>
      <c r="FA315" s="243"/>
      <c r="FB315" s="243"/>
      <c r="FC315" s="243"/>
      <c r="FD315" s="243"/>
      <c r="FE315" s="243"/>
      <c r="FF315" s="243"/>
      <c r="FG315" s="243"/>
      <c r="FH315" s="243"/>
      <c r="FI315" s="243"/>
      <c r="FJ315" s="243"/>
      <c r="FK315" s="243"/>
      <c r="FL315" s="243"/>
      <c r="FM315" s="243"/>
      <c r="FN315" s="243"/>
      <c r="FO315" s="243"/>
      <c r="FP315" s="243"/>
      <c r="FQ315" s="243"/>
      <c r="FR315" s="243"/>
      <c r="FS315" s="243"/>
      <c r="FT315" s="243"/>
      <c r="FU315" s="243"/>
      <c r="FV315" s="243"/>
      <c r="FW315" s="243"/>
      <c r="FX315" s="243"/>
      <c r="FY315" s="243"/>
      <c r="FZ315" s="243"/>
      <c r="GA315" s="243"/>
      <c r="GB315" s="243"/>
      <c r="GC315" s="243"/>
      <c r="GD315" s="243"/>
      <c r="GE315" s="243"/>
      <c r="GF315" s="243"/>
      <c r="GG315" s="243"/>
      <c r="GH315" s="243"/>
      <c r="GI315" s="243"/>
      <c r="GJ315" s="243"/>
      <c r="GK315" s="243"/>
      <c r="GL315" s="243"/>
      <c r="GM315" s="243"/>
      <c r="GN315" s="243"/>
      <c r="GO315" s="243"/>
      <c r="GP315" s="243"/>
      <c r="GQ315" s="243"/>
      <c r="GR315" s="243"/>
      <c r="GS315" s="243"/>
      <c r="GT315" s="243"/>
      <c r="GU315" s="243"/>
      <c r="GV315" s="243"/>
      <c r="GW315" s="243"/>
      <c r="GX315" s="243"/>
      <c r="GY315" s="243"/>
      <c r="GZ315" s="243"/>
      <c r="HA315" s="243"/>
      <c r="HB315" s="243"/>
      <c r="HC315" s="243"/>
      <c r="HD315" s="243"/>
      <c r="HE315" s="243"/>
      <c r="HF315" s="243"/>
      <c r="HG315" s="243"/>
      <c r="HH315" s="243"/>
      <c r="HI315" s="243"/>
      <c r="HJ315" s="243"/>
      <c r="HK315" s="243"/>
      <c r="HL315" s="243"/>
      <c r="HM315" s="243"/>
      <c r="HN315" s="243"/>
      <c r="HO315" s="243"/>
      <c r="HP315" s="243"/>
      <c r="HQ315" s="243"/>
      <c r="HR315" s="243"/>
      <c r="HS315" s="243"/>
      <c r="HT315" s="243"/>
      <c r="HU315" s="243"/>
      <c r="HV315" s="243"/>
      <c r="HW315" s="243"/>
      <c r="HX315" s="243"/>
      <c r="HY315" s="243"/>
      <c r="HZ315" s="243"/>
      <c r="IA315" s="243"/>
      <c r="IB315" s="243"/>
      <c r="IC315" s="243"/>
      <c r="ID315" s="243"/>
      <c r="IE315" s="243"/>
      <c r="IF315" s="243"/>
      <c r="IG315" s="243"/>
      <c r="IH315" s="243"/>
      <c r="II315" s="243"/>
      <c r="IJ315" s="243"/>
      <c r="IK315" s="243"/>
      <c r="IL315" s="243"/>
      <c r="IM315" s="243"/>
      <c r="IN315" s="243"/>
      <c r="IO315" s="243"/>
      <c r="IP315" s="243"/>
      <c r="IQ315" s="243"/>
      <c r="IR315" s="243"/>
      <c r="IS315" s="243"/>
      <c r="IT315" s="243"/>
      <c r="IU315" s="243"/>
      <c r="IV315" s="243"/>
      <c r="IW315" s="243"/>
      <c r="IX315" s="243"/>
      <c r="IY315" s="243"/>
      <c r="IZ315" s="243"/>
      <c r="JA315" s="243"/>
      <c r="JB315" s="243"/>
      <c r="JC315" s="243"/>
      <c r="JD315" s="243"/>
      <c r="JE315" s="243"/>
      <c r="JF315" s="243"/>
      <c r="JG315" s="243"/>
      <c r="JH315" s="243"/>
      <c r="JI315" s="243"/>
      <c r="JJ315" s="243"/>
      <c r="JK315" s="243"/>
      <c r="JL315" s="243"/>
      <c r="JM315" s="243"/>
      <c r="JN315" s="243"/>
      <c r="JO315" s="243"/>
      <c r="JP315" s="243"/>
      <c r="JQ315" s="243"/>
      <c r="JR315" s="243"/>
      <c r="JS315" s="243"/>
      <c r="JT315" s="243"/>
      <c r="JU315" s="243"/>
      <c r="JV315" s="243"/>
      <c r="JW315" s="243"/>
      <c r="JX315" s="243"/>
      <c r="JY315" s="243"/>
      <c r="JZ315" s="243"/>
      <c r="KA315" s="243"/>
      <c r="KB315" s="243"/>
      <c r="KC315" s="243"/>
      <c r="KD315" s="243"/>
      <c r="KE315" s="243"/>
      <c r="KF315" s="243"/>
      <c r="KG315" s="243"/>
      <c r="KH315" s="243"/>
      <c r="KI315" s="243"/>
      <c r="KJ315" s="243"/>
      <c r="KK315" s="243"/>
      <c r="KL315" s="243"/>
      <c r="KM315" s="243"/>
      <c r="KN315" s="243"/>
      <c r="KO315" s="243"/>
      <c r="KP315" s="243"/>
      <c r="KQ315" s="243"/>
      <c r="KR315" s="243"/>
      <c r="KS315" s="243"/>
      <c r="KT315" s="243"/>
      <c r="KU315" s="243"/>
      <c r="KV315" s="243"/>
      <c r="KW315" s="243"/>
      <c r="KX315" s="243"/>
      <c r="KY315" s="243"/>
      <c r="KZ315" s="243"/>
      <c r="LA315" s="243"/>
      <c r="LB315" s="243"/>
      <c r="LC315" s="243"/>
      <c r="LD315" s="243"/>
      <c r="LE315" s="243"/>
      <c r="LF315" s="243"/>
      <c r="LG315" s="243"/>
      <c r="LH315" s="243"/>
      <c r="LI315" s="243"/>
      <c r="LJ315" s="243"/>
      <c r="LK315" s="243"/>
      <c r="LL315" s="243"/>
      <c r="LM315" s="243"/>
      <c r="LN315" s="243"/>
      <c r="LO315" s="243"/>
      <c r="LP315" s="243"/>
      <c r="LQ315" s="243"/>
      <c r="LR315" s="243"/>
      <c r="LS315" s="243"/>
      <c r="LT315" s="243"/>
      <c r="LU315" s="243"/>
      <c r="LV315" s="243"/>
      <c r="LW315" s="243"/>
      <c r="LX315" s="243"/>
      <c r="LY315" s="243"/>
      <c r="LZ315" s="243"/>
      <c r="MA315" s="243"/>
      <c r="MB315" s="243"/>
      <c r="MC315" s="243"/>
      <c r="MD315" s="243"/>
      <c r="ME315" s="243"/>
      <c r="MF315" s="243"/>
      <c r="MG315" s="243"/>
      <c r="MH315" s="243"/>
      <c r="MI315" s="243"/>
      <c r="MJ315" s="243"/>
      <c r="MK315" s="243"/>
      <c r="ML315" s="243"/>
      <c r="MM315" s="243"/>
      <c r="MN315" s="243"/>
      <c r="MO315" s="243"/>
      <c r="MP315" s="243"/>
      <c r="MQ315" s="243"/>
      <c r="MR315" s="243"/>
      <c r="MS315" s="243"/>
      <c r="MT315" s="243"/>
      <c r="MU315" s="243"/>
      <c r="MV315" s="243"/>
      <c r="MW315" s="243"/>
      <c r="MX315" s="243"/>
      <c r="MY315" s="243"/>
      <c r="MZ315" s="243"/>
      <c r="NA315" s="243"/>
      <c r="NB315" s="243"/>
      <c r="NC315" s="243"/>
      <c r="ND315" s="243"/>
      <c r="NE315" s="243"/>
      <c r="NF315" s="243"/>
      <c r="NG315" s="243"/>
      <c r="NH315" s="243"/>
      <c r="NI315" s="243"/>
      <c r="NJ315" s="243"/>
      <c r="NK315" s="243"/>
      <c r="NL315" s="243"/>
      <c r="NM315" s="243"/>
      <c r="NN315" s="243"/>
      <c r="NO315" s="243"/>
      <c r="NP315" s="243"/>
      <c r="NQ315" s="243"/>
      <c r="NR315" s="243"/>
      <c r="NS315" s="243"/>
      <c r="NT315" s="243"/>
      <c r="NU315" s="243"/>
      <c r="NV315" s="243"/>
      <c r="NW315" s="243"/>
      <c r="NX315" s="243"/>
      <c r="NY315" s="243"/>
      <c r="NZ315" s="243"/>
      <c r="OA315" s="243"/>
      <c r="OB315" s="243"/>
      <c r="OC315" s="243"/>
      <c r="OD315" s="243"/>
      <c r="OE315" s="243"/>
      <c r="OF315" s="243"/>
      <c r="OG315" s="243"/>
      <c r="OH315" s="243"/>
      <c r="OI315" s="243"/>
      <c r="OJ315" s="243"/>
      <c r="OK315" s="243"/>
      <c r="OL315" s="243"/>
      <c r="OM315" s="243"/>
      <c r="ON315" s="243"/>
      <c r="OO315" s="243"/>
      <c r="OP315" s="243"/>
      <c r="OQ315" s="243"/>
      <c r="OR315" s="243"/>
      <c r="OS315" s="243"/>
      <c r="OT315" s="243"/>
      <c r="OU315" s="243"/>
      <c r="OV315" s="243"/>
      <c r="OW315" s="243"/>
      <c r="OX315" s="243"/>
      <c r="OY315" s="243"/>
      <c r="OZ315" s="243"/>
      <c r="PA315" s="243"/>
      <c r="PB315" s="243"/>
      <c r="PC315" s="243"/>
      <c r="PD315" s="243"/>
      <c r="PE315" s="243"/>
      <c r="PF315" s="243"/>
      <c r="PG315" s="243"/>
      <c r="PH315" s="243"/>
      <c r="PI315" s="243"/>
      <c r="PJ315" s="243"/>
      <c r="PK315" s="243"/>
      <c r="PL315" s="243"/>
      <c r="PM315" s="243"/>
      <c r="PN315" s="243"/>
      <c r="PO315" s="243"/>
      <c r="PP315" s="243"/>
      <c r="PQ315" s="243"/>
      <c r="PR315" s="243"/>
      <c r="PS315" s="243"/>
      <c r="PT315" s="243"/>
      <c r="PU315" s="243"/>
      <c r="PV315" s="243"/>
      <c r="PW315" s="243"/>
      <c r="PX315" s="243"/>
      <c r="PY315" s="243"/>
      <c r="PZ315" s="243"/>
      <c r="QA315" s="243"/>
      <c r="QB315" s="243"/>
      <c r="QC315" s="243"/>
      <c r="QD315" s="243"/>
      <c r="QE315" s="243"/>
      <c r="QF315" s="243"/>
      <c r="QG315" s="243"/>
      <c r="QH315" s="243"/>
      <c r="QI315" s="243"/>
      <c r="QJ315" s="243"/>
      <c r="QK315" s="243"/>
      <c r="QL315" s="243"/>
      <c r="QM315" s="243"/>
      <c r="QN315" s="243"/>
      <c r="QO315" s="243"/>
      <c r="QP315" s="243"/>
      <c r="QQ315" s="243"/>
      <c r="QR315" s="243"/>
      <c r="QS315" s="243"/>
      <c r="QT315" s="243"/>
      <c r="QU315" s="243"/>
      <c r="QV315" s="243"/>
      <c r="QW315" s="243"/>
      <c r="QX315" s="243"/>
      <c r="QY315" s="243"/>
      <c r="QZ315" s="243"/>
      <c r="RA315" s="243"/>
      <c r="RB315" s="243"/>
      <c r="RC315" s="243"/>
      <c r="RD315" s="243"/>
      <c r="RE315" s="243"/>
      <c r="RF315" s="243"/>
      <c r="RG315" s="243"/>
      <c r="RH315" s="243"/>
      <c r="RI315" s="243"/>
      <c r="RJ315" s="243"/>
      <c r="RK315" s="243"/>
      <c r="RL315" s="243"/>
      <c r="RM315" s="243"/>
      <c r="RN315" s="243"/>
      <c r="RO315" s="243"/>
      <c r="RP315" s="243"/>
      <c r="RQ315" s="243"/>
      <c r="RR315" s="243"/>
      <c r="RS315" s="243"/>
      <c r="RT315" s="243"/>
      <c r="RU315" s="243"/>
      <c r="RV315" s="243"/>
      <c r="RW315" s="243"/>
      <c r="RX315" s="243"/>
      <c r="RY315" s="243"/>
      <c r="RZ315" s="243"/>
      <c r="SA315" s="243"/>
      <c r="SB315" s="243"/>
      <c r="SC315" s="243"/>
      <c r="SD315" s="243"/>
      <c r="SE315" s="243"/>
      <c r="SF315" s="243"/>
      <c r="SG315" s="243"/>
      <c r="SH315" s="243"/>
      <c r="SI315" s="243"/>
      <c r="SJ315" s="243"/>
      <c r="SK315" s="243"/>
      <c r="SL315" s="243"/>
      <c r="SM315" s="243"/>
      <c r="SN315" s="243"/>
      <c r="SO315" s="243"/>
      <c r="SP315" s="243"/>
      <c r="SQ315" s="243"/>
      <c r="SR315" s="243"/>
      <c r="SS315" s="243"/>
      <c r="ST315" s="243"/>
      <c r="SU315" s="243"/>
      <c r="SV315" s="243"/>
      <c r="SW315" s="243"/>
      <c r="SX315" s="243"/>
      <c r="SY315" s="243"/>
      <c r="SZ315" s="243"/>
      <c r="TA315" s="243"/>
      <c r="TB315" s="243"/>
      <c r="TC315" s="243"/>
      <c r="TD315" s="243"/>
      <c r="TE315" s="243"/>
      <c r="TF315" s="243"/>
      <c r="TG315" s="243"/>
      <c r="TH315" s="243"/>
      <c r="TI315" s="243"/>
      <c r="TJ315" s="243"/>
      <c r="TK315" s="243"/>
      <c r="TL315" s="243"/>
      <c r="TM315" s="243"/>
      <c r="TN315" s="243"/>
      <c r="TO315" s="243"/>
      <c r="TP315" s="243"/>
      <c r="TQ315" s="243"/>
      <c r="TR315" s="243"/>
      <c r="TS315" s="243"/>
      <c r="TT315" s="243"/>
      <c r="TU315" s="243"/>
      <c r="TV315" s="243"/>
      <c r="TW315" s="243"/>
      <c r="TX315" s="243"/>
      <c r="TY315" s="243"/>
      <c r="TZ315" s="243"/>
      <c r="UA315" s="243"/>
      <c r="UB315" s="243"/>
      <c r="UC315" s="243"/>
      <c r="UD315" s="243"/>
      <c r="UE315" s="243"/>
      <c r="UF315" s="243"/>
      <c r="UG315" s="243"/>
      <c r="UH315" s="243"/>
      <c r="UI315" s="243"/>
      <c r="UJ315" s="243"/>
      <c r="UK315" s="243"/>
      <c r="UL315" s="243"/>
      <c r="UM315" s="243"/>
      <c r="UN315" s="243"/>
      <c r="UO315" s="243"/>
      <c r="UP315" s="243"/>
      <c r="UQ315" s="243"/>
      <c r="UR315" s="243"/>
      <c r="US315" s="243"/>
      <c r="UT315" s="243"/>
      <c r="UU315" s="243"/>
      <c r="UV315" s="243"/>
      <c r="UW315" s="243"/>
      <c r="UX315" s="243"/>
      <c r="UY315" s="243"/>
      <c r="UZ315" s="243"/>
      <c r="VA315" s="243"/>
      <c r="VB315" s="243"/>
      <c r="VC315" s="243"/>
      <c r="VD315" s="243"/>
      <c r="VE315" s="243"/>
      <c r="VF315" s="243"/>
      <c r="VG315" s="243"/>
      <c r="VH315" s="243"/>
      <c r="VI315" s="243"/>
      <c r="VJ315" s="243"/>
      <c r="VK315" s="243"/>
      <c r="VL315" s="243"/>
      <c r="VM315" s="243"/>
      <c r="VN315" s="243"/>
      <c r="VO315" s="243"/>
      <c r="VP315" s="243"/>
      <c r="VQ315" s="243"/>
      <c r="VR315" s="243"/>
      <c r="VS315" s="243"/>
      <c r="VT315" s="243"/>
      <c r="VU315" s="243"/>
      <c r="VV315" s="243"/>
      <c r="VW315" s="243"/>
      <c r="VX315" s="243"/>
      <c r="VY315" s="243"/>
      <c r="VZ315" s="243"/>
      <c r="WA315" s="243"/>
      <c r="WB315" s="243"/>
      <c r="WC315" s="243"/>
      <c r="WD315" s="243"/>
      <c r="WE315" s="243"/>
      <c r="WF315" s="243"/>
      <c r="WG315" s="243"/>
      <c r="WH315" s="243"/>
      <c r="WI315" s="243"/>
      <c r="WJ315" s="243"/>
      <c r="WK315" s="243"/>
      <c r="WL315" s="243"/>
      <c r="WM315" s="243"/>
      <c r="WN315" s="243"/>
      <c r="WO315" s="243"/>
      <c r="WP315" s="243"/>
      <c r="WQ315" s="243"/>
      <c r="WR315" s="243"/>
      <c r="WS315" s="243"/>
      <c r="WT315" s="243"/>
      <c r="WU315" s="243"/>
      <c r="WV315" s="243"/>
      <c r="WW315" s="243"/>
      <c r="WX315" s="243"/>
      <c r="WY315" s="243"/>
      <c r="WZ315" s="243"/>
      <c r="XA315" s="243"/>
      <c r="XB315" s="243"/>
      <c r="XC315" s="243"/>
      <c r="XD315" s="243"/>
      <c r="XE315" s="243"/>
      <c r="XF315" s="243"/>
      <c r="XG315" s="243"/>
      <c r="XH315" s="243"/>
      <c r="XI315" s="243"/>
      <c r="XJ315" s="243"/>
      <c r="XK315" s="243"/>
      <c r="XL315" s="243"/>
      <c r="XM315" s="243"/>
      <c r="XN315" s="243"/>
      <c r="XO315" s="243"/>
      <c r="XP315" s="243"/>
      <c r="XQ315" s="243"/>
      <c r="XR315" s="243"/>
      <c r="XS315" s="243"/>
      <c r="XT315" s="243"/>
      <c r="XU315" s="243"/>
      <c r="XV315" s="243"/>
      <c r="XW315" s="243"/>
      <c r="XX315" s="243"/>
      <c r="XY315" s="243"/>
      <c r="XZ315" s="243"/>
      <c r="YA315" s="243"/>
      <c r="YB315" s="243"/>
      <c r="YC315" s="243"/>
      <c r="YD315" s="243"/>
      <c r="YE315" s="243"/>
      <c r="YF315" s="243"/>
      <c r="YG315" s="243"/>
      <c r="YH315" s="243"/>
      <c r="YI315" s="243"/>
      <c r="YJ315" s="243"/>
      <c r="YK315" s="243"/>
      <c r="YL315" s="243"/>
      <c r="YM315" s="243"/>
      <c r="YN315" s="243"/>
      <c r="YO315" s="243"/>
      <c r="YP315" s="243"/>
      <c r="YQ315" s="243"/>
      <c r="YR315" s="243"/>
      <c r="YS315" s="243"/>
      <c r="YT315" s="243"/>
      <c r="YU315" s="243"/>
      <c r="YV315" s="243"/>
      <c r="YW315" s="243"/>
      <c r="YX315" s="243"/>
      <c r="YY315" s="243"/>
      <c r="YZ315" s="243"/>
      <c r="ZA315" s="243"/>
      <c r="ZB315" s="243"/>
      <c r="ZC315" s="243"/>
      <c r="ZD315" s="243"/>
      <c r="ZE315" s="243"/>
      <c r="ZF315" s="243"/>
      <c r="ZG315" s="243"/>
      <c r="ZH315" s="243"/>
      <c r="ZI315" s="243"/>
      <c r="ZJ315" s="243"/>
      <c r="ZK315" s="243"/>
      <c r="ZL315" s="243"/>
      <c r="ZM315" s="243"/>
      <c r="ZN315" s="243"/>
      <c r="ZO315" s="243"/>
      <c r="ZP315" s="243"/>
      <c r="ZQ315" s="243"/>
      <c r="ZR315" s="243"/>
      <c r="ZS315" s="243"/>
      <c r="ZT315" s="243"/>
      <c r="ZU315" s="243"/>
      <c r="ZV315" s="243"/>
      <c r="ZW315" s="243"/>
      <c r="ZX315" s="243"/>
      <c r="ZY315" s="243"/>
      <c r="ZZ315" s="243"/>
      <c r="AAA315" s="243"/>
      <c r="AAB315" s="243"/>
      <c r="AAC315" s="243"/>
      <c r="AAD315" s="243"/>
      <c r="AAE315" s="243"/>
      <c r="AAF315" s="243"/>
      <c r="AAG315" s="243"/>
      <c r="AAH315" s="243"/>
      <c r="AAI315" s="243"/>
      <c r="AAJ315" s="243"/>
      <c r="AAK315" s="243"/>
      <c r="AAL315" s="243"/>
      <c r="AAM315" s="243"/>
      <c r="AAN315" s="243"/>
      <c r="AAO315" s="243"/>
      <c r="AAP315" s="243"/>
      <c r="AAQ315" s="243"/>
      <c r="AAR315" s="243"/>
      <c r="AAS315" s="243"/>
      <c r="AAT315" s="243"/>
      <c r="AAU315" s="243"/>
      <c r="AAV315" s="243"/>
      <c r="AAW315" s="243"/>
      <c r="AAX315" s="243"/>
      <c r="AAY315" s="243"/>
      <c r="AAZ315" s="243"/>
      <c r="ABA315" s="243"/>
      <c r="ABB315" s="243"/>
      <c r="ABC315" s="243"/>
      <c r="ABD315" s="243"/>
      <c r="ABE315" s="243"/>
      <c r="ABF315" s="243"/>
      <c r="ABG315" s="243"/>
      <c r="ABH315" s="243"/>
      <c r="ABI315" s="243"/>
      <c r="ABJ315" s="243"/>
      <c r="ABK315" s="243"/>
      <c r="ABL315" s="243"/>
      <c r="ABM315" s="243"/>
      <c r="ABN315" s="243"/>
      <c r="ABO315" s="243"/>
      <c r="ABP315" s="243"/>
      <c r="ABQ315" s="243"/>
      <c r="ABR315" s="243"/>
      <c r="ABS315" s="243"/>
      <c r="ABT315" s="243"/>
      <c r="ABU315" s="243"/>
      <c r="ABV315" s="243"/>
      <c r="ABW315" s="243"/>
      <c r="ABX315" s="243"/>
      <c r="ABY315" s="243"/>
      <c r="ABZ315" s="243"/>
      <c r="ACA315" s="243"/>
      <c r="ACB315" s="243"/>
      <c r="ACC315" s="243"/>
      <c r="ACD315" s="243"/>
      <c r="ACE315" s="243"/>
      <c r="ACF315" s="243"/>
      <c r="ACG315" s="243"/>
      <c r="ACH315" s="243"/>
      <c r="ACI315" s="243"/>
      <c r="ACJ315" s="243"/>
      <c r="ACK315" s="243"/>
      <c r="ACL315" s="243"/>
      <c r="ACM315" s="243"/>
      <c r="ACN315" s="243"/>
      <c r="ACO315" s="243"/>
      <c r="ACP315" s="243"/>
      <c r="ACQ315" s="243"/>
      <c r="ACR315" s="243"/>
      <c r="ACS315" s="243"/>
      <c r="ACT315" s="243"/>
      <c r="ACU315" s="243"/>
      <c r="ACV315" s="243"/>
      <c r="ACW315" s="243"/>
      <c r="ACX315" s="243"/>
      <c r="ACY315" s="243"/>
      <c r="ACZ315" s="243"/>
      <c r="ADA315" s="243"/>
      <c r="ADB315" s="243"/>
      <c r="ADC315" s="243"/>
      <c r="ADD315" s="243"/>
      <c r="ADE315" s="243"/>
      <c r="ADF315" s="243"/>
      <c r="ADG315" s="243"/>
      <c r="ADH315" s="243"/>
      <c r="ADI315" s="243"/>
      <c r="ADJ315" s="243"/>
      <c r="ADK315" s="243"/>
      <c r="ADL315" s="243"/>
      <c r="ADM315" s="243"/>
      <c r="ADN315" s="243"/>
      <c r="ADO315" s="243"/>
      <c r="ADP315" s="243"/>
      <c r="ADQ315" s="243"/>
      <c r="ADR315" s="243"/>
      <c r="ADS315" s="243"/>
      <c r="ADT315" s="243"/>
      <c r="ADU315" s="243"/>
      <c r="ADV315" s="243"/>
      <c r="ADW315" s="243"/>
      <c r="ADX315" s="243"/>
      <c r="ADY315" s="243"/>
      <c r="ADZ315" s="243"/>
      <c r="AEA315" s="243"/>
      <c r="AEB315" s="243"/>
      <c r="AEC315" s="243"/>
      <c r="AED315" s="243"/>
      <c r="AEE315" s="243"/>
      <c r="AEF315" s="243"/>
      <c r="AEG315" s="243"/>
      <c r="AEH315" s="243"/>
      <c r="AEI315" s="243"/>
      <c r="AEJ315" s="243"/>
      <c r="AEK315" s="243"/>
      <c r="AEL315" s="243"/>
      <c r="AEM315" s="243"/>
      <c r="AEN315" s="243"/>
      <c r="AEO315" s="243"/>
      <c r="AEP315" s="243"/>
      <c r="AEQ315" s="243"/>
      <c r="AER315" s="243"/>
      <c r="AES315" s="243"/>
      <c r="AET315" s="243"/>
      <c r="AEU315" s="243"/>
      <c r="AEV315" s="243"/>
      <c r="AEW315" s="243"/>
      <c r="AEX315" s="243"/>
      <c r="AEY315" s="243"/>
      <c r="AEZ315" s="243"/>
      <c r="AFA315" s="243"/>
      <c r="AFB315" s="243"/>
      <c r="AFC315" s="243"/>
      <c r="AFD315" s="243"/>
      <c r="AFE315" s="243"/>
      <c r="AFF315" s="243"/>
      <c r="AFG315" s="243"/>
      <c r="AFH315" s="243"/>
      <c r="AFI315" s="243"/>
      <c r="AFJ315" s="243"/>
      <c r="AFK315" s="243"/>
      <c r="AFL315" s="243"/>
      <c r="AFM315" s="243"/>
      <c r="AFN315" s="243"/>
      <c r="AFO315" s="243"/>
      <c r="AFP315" s="243"/>
      <c r="AFQ315" s="243"/>
      <c r="AFR315" s="243"/>
      <c r="AFS315" s="243"/>
      <c r="AFT315" s="243"/>
      <c r="AFU315" s="243"/>
      <c r="AFV315" s="243"/>
      <c r="AFW315" s="243"/>
      <c r="AFX315" s="243"/>
      <c r="AFY315" s="243"/>
      <c r="AFZ315" s="243"/>
      <c r="AGA315" s="243"/>
      <c r="AGB315" s="243"/>
      <c r="AGC315" s="243"/>
      <c r="AGD315" s="243"/>
      <c r="AGE315" s="243"/>
      <c r="AGF315" s="243"/>
      <c r="AGG315" s="243"/>
      <c r="AGH315" s="243"/>
      <c r="AGI315" s="243"/>
      <c r="AGJ315" s="243"/>
      <c r="AGK315" s="243"/>
      <c r="AGL315" s="243"/>
      <c r="AGM315" s="243"/>
      <c r="AGN315" s="243"/>
      <c r="AGO315" s="243"/>
      <c r="AGP315" s="243"/>
      <c r="AGQ315" s="243"/>
      <c r="AGR315" s="243"/>
      <c r="AGS315" s="243"/>
      <c r="AGT315" s="243"/>
      <c r="AGU315" s="243"/>
      <c r="AGV315" s="243"/>
      <c r="AGW315" s="243"/>
      <c r="AGX315" s="243"/>
      <c r="AGY315" s="243"/>
      <c r="AGZ315" s="243"/>
      <c r="AHA315" s="243"/>
      <c r="AHB315" s="243"/>
      <c r="AHC315" s="243"/>
      <c r="AHD315" s="243"/>
      <c r="AHE315" s="243"/>
      <c r="AHF315" s="243"/>
      <c r="AHG315" s="243"/>
      <c r="AHH315" s="243"/>
      <c r="AHI315" s="243"/>
      <c r="AHJ315" s="243"/>
      <c r="AHK315" s="243"/>
      <c r="AHL315" s="243"/>
      <c r="AHM315" s="243"/>
      <c r="AHN315" s="243"/>
      <c r="AHO315" s="243"/>
      <c r="AHP315" s="243"/>
      <c r="AHQ315" s="243"/>
      <c r="AHR315" s="243"/>
      <c r="AHS315" s="243"/>
      <c r="AHT315" s="243"/>
      <c r="AHU315" s="243"/>
      <c r="AHV315" s="243"/>
      <c r="AHW315" s="243"/>
      <c r="AHX315" s="243"/>
      <c r="AHY315" s="243"/>
      <c r="AHZ315" s="243"/>
      <c r="AIA315" s="243"/>
      <c r="AIB315" s="243"/>
      <c r="AIC315" s="243"/>
      <c r="AID315" s="243"/>
      <c r="AIE315" s="243"/>
      <c r="AIF315" s="243"/>
      <c r="AIG315" s="243"/>
      <c r="AIH315" s="243"/>
      <c r="AII315" s="243"/>
      <c r="AIJ315" s="243"/>
      <c r="AIK315" s="243"/>
      <c r="AIL315" s="243"/>
      <c r="AIM315" s="243"/>
      <c r="AIN315" s="243"/>
      <c r="AIO315" s="243"/>
      <c r="AIP315" s="243"/>
      <c r="AIQ315" s="243"/>
      <c r="AIR315" s="243"/>
      <c r="AIS315" s="243"/>
      <c r="AIT315" s="243"/>
      <c r="AIU315" s="243"/>
      <c r="AIV315" s="243"/>
      <c r="AIW315" s="243"/>
      <c r="AIX315" s="243"/>
      <c r="AIY315" s="243"/>
      <c r="AIZ315" s="243"/>
      <c r="AJA315" s="243"/>
      <c r="AJB315" s="243"/>
      <c r="AJC315" s="243"/>
      <c r="AJD315" s="243"/>
      <c r="AJE315" s="243"/>
      <c r="AJF315" s="243"/>
      <c r="AJG315" s="243"/>
      <c r="AJH315" s="243"/>
      <c r="AJI315" s="243"/>
      <c r="AJJ315" s="243"/>
      <c r="AJK315" s="243"/>
      <c r="AJL315" s="243"/>
      <c r="AJM315" s="243"/>
      <c r="AJN315" s="243"/>
      <c r="AJO315" s="243"/>
      <c r="AJP315" s="243"/>
      <c r="AJQ315" s="243"/>
      <c r="AJR315" s="243"/>
      <c r="AJS315" s="243"/>
      <c r="AJT315" s="243"/>
      <c r="AJU315" s="243"/>
      <c r="AJV315" s="243"/>
      <c r="AJW315" s="243"/>
      <c r="AJX315" s="243"/>
      <c r="AJY315" s="243"/>
      <c r="AJZ315" s="243"/>
      <c r="AKA315" s="243"/>
      <c r="AKB315" s="243"/>
      <c r="AKC315" s="243"/>
      <c r="AKD315" s="243"/>
      <c r="AKE315" s="243"/>
      <c r="AKF315" s="243"/>
      <c r="AKG315" s="243"/>
      <c r="AKH315" s="243"/>
      <c r="AKI315" s="243"/>
      <c r="AKJ315" s="243"/>
      <c r="AKK315" s="243"/>
      <c r="AKL315" s="243"/>
      <c r="AKM315" s="243"/>
      <c r="AKN315" s="243"/>
      <c r="AKO315" s="243"/>
      <c r="AKP315" s="243"/>
      <c r="AKQ315" s="243"/>
      <c r="AKR315" s="243"/>
      <c r="AKS315" s="243"/>
      <c r="AKT315" s="243"/>
      <c r="AKU315" s="243"/>
      <c r="AKV315" s="243"/>
      <c r="AKW315" s="243"/>
      <c r="AKX315" s="243"/>
      <c r="AKY315" s="243"/>
      <c r="AKZ315" s="243"/>
      <c r="ALA315" s="243"/>
      <c r="ALB315" s="243"/>
      <c r="ALC315" s="243"/>
      <c r="ALD315" s="243"/>
      <c r="ALE315" s="243"/>
      <c r="ALF315" s="243"/>
      <c r="ALG315" s="243"/>
      <c r="ALH315" s="243"/>
      <c r="ALI315" s="243"/>
      <c r="ALJ315" s="243"/>
      <c r="ALK315" s="243"/>
      <c r="ALL315" s="243"/>
      <c r="ALM315" s="243"/>
      <c r="ALN315" s="243"/>
      <c r="ALO315" s="243"/>
      <c r="ALP315" s="243"/>
      <c r="ALQ315" s="243"/>
      <c r="ALR315" s="243"/>
      <c r="ALS315" s="243"/>
      <c r="ALT315" s="243"/>
      <c r="ALU315" s="243"/>
      <c r="ALV315" s="243"/>
      <c r="ALW315" s="243"/>
      <c r="ALX315" s="243"/>
      <c r="ALY315" s="243"/>
      <c r="ALZ315" s="243"/>
      <c r="AMA315" s="243"/>
      <c r="AMB315" s="243"/>
      <c r="AMC315" s="243"/>
      <c r="AMD315" s="243"/>
      <c r="AME315" s="243"/>
      <c r="AMF315" s="243"/>
      <c r="AMG315" s="243"/>
      <c r="AMH315" s="243"/>
      <c r="AMI315" s="244"/>
      <c r="AMJ315" s="244"/>
    </row>
    <row r="316" spans="1:1024">
      <c r="A316" s="447"/>
      <c r="B316" s="516">
        <v>14220</v>
      </c>
      <c r="C316" s="522">
        <v>0.08</v>
      </c>
      <c r="D316" s="370" t="s">
        <v>218</v>
      </c>
      <c r="E316" s="433">
        <v>2200000</v>
      </c>
      <c r="F316" s="400"/>
      <c r="G316" s="400"/>
      <c r="H316" s="402" t="s">
        <v>47</v>
      </c>
      <c r="I316" s="402" t="s">
        <v>219</v>
      </c>
      <c r="J316" s="402" t="s">
        <v>125</v>
      </c>
      <c r="K316" s="402" t="s">
        <v>182</v>
      </c>
      <c r="L316" s="376" t="s">
        <v>125</v>
      </c>
      <c r="M316" s="442" t="s">
        <v>220</v>
      </c>
      <c r="N316" s="370" t="s">
        <v>221</v>
      </c>
      <c r="O316" s="433">
        <v>2200000</v>
      </c>
      <c r="P316" s="430">
        <v>0.04</v>
      </c>
      <c r="Q316" s="433">
        <f>O316*P316</f>
        <v>88000</v>
      </c>
      <c r="R316" s="243" t="s">
        <v>222</v>
      </c>
      <c r="S316" s="243"/>
      <c r="T316" s="243"/>
      <c r="U316" s="243"/>
      <c r="V316" s="243"/>
      <c r="W316" s="243"/>
      <c r="X316" s="243"/>
      <c r="Y316" s="243"/>
      <c r="Z316" s="243"/>
      <c r="AA316" s="243"/>
      <c r="AB316" s="243"/>
      <c r="AC316" s="243"/>
      <c r="AD316" s="243"/>
      <c r="AE316" s="243"/>
      <c r="AF316" s="243"/>
      <c r="AG316" s="243"/>
      <c r="AH316" s="243"/>
      <c r="AI316" s="243"/>
      <c r="AJ316" s="243"/>
      <c r="AK316" s="243"/>
      <c r="AL316" s="243"/>
      <c r="AM316" s="243"/>
      <c r="AN316" s="243"/>
      <c r="AO316" s="243"/>
      <c r="AP316" s="243"/>
      <c r="AQ316" s="243"/>
      <c r="AR316" s="243"/>
      <c r="AS316" s="243"/>
      <c r="AT316" s="243"/>
      <c r="AU316" s="243"/>
      <c r="AV316" s="243"/>
      <c r="AW316" s="243"/>
      <c r="AX316" s="243"/>
      <c r="AY316" s="243"/>
      <c r="AZ316" s="243"/>
      <c r="BA316" s="243"/>
      <c r="BB316" s="243"/>
      <c r="BC316" s="243"/>
      <c r="BD316" s="243"/>
      <c r="BE316" s="243"/>
      <c r="BF316" s="243"/>
      <c r="BG316" s="243"/>
      <c r="BH316" s="243"/>
      <c r="BI316" s="243"/>
      <c r="BJ316" s="243"/>
      <c r="BK316" s="243"/>
      <c r="BL316" s="243"/>
      <c r="BM316" s="243"/>
      <c r="BN316" s="243"/>
      <c r="BO316" s="243"/>
      <c r="BP316" s="243"/>
      <c r="BQ316" s="243"/>
      <c r="BR316" s="243"/>
      <c r="BS316" s="243"/>
      <c r="BT316" s="243"/>
      <c r="BU316" s="243"/>
      <c r="BV316" s="243"/>
      <c r="BW316" s="243"/>
      <c r="BX316" s="243"/>
      <c r="BY316" s="243"/>
      <c r="BZ316" s="243"/>
      <c r="CA316" s="243"/>
      <c r="CB316" s="243"/>
      <c r="CC316" s="243"/>
      <c r="CD316" s="243"/>
      <c r="CE316" s="243"/>
      <c r="CF316" s="243"/>
      <c r="CG316" s="243"/>
      <c r="CH316" s="243"/>
      <c r="CI316" s="243"/>
      <c r="CJ316" s="243"/>
      <c r="CK316" s="243"/>
      <c r="CL316" s="243"/>
      <c r="CM316" s="243"/>
      <c r="CN316" s="243"/>
      <c r="CO316" s="243"/>
      <c r="CP316" s="243"/>
      <c r="CQ316" s="243"/>
      <c r="CR316" s="243"/>
      <c r="CS316" s="243"/>
      <c r="CT316" s="243"/>
      <c r="CU316" s="243"/>
      <c r="CV316" s="243"/>
      <c r="CW316" s="243"/>
      <c r="CX316" s="243"/>
      <c r="CY316" s="243"/>
      <c r="CZ316" s="243"/>
      <c r="DA316" s="243"/>
      <c r="DB316" s="243"/>
      <c r="DC316" s="243"/>
      <c r="DD316" s="243"/>
      <c r="DE316" s="243"/>
      <c r="DF316" s="243"/>
      <c r="DG316" s="243"/>
      <c r="DH316" s="243"/>
      <c r="DI316" s="243"/>
      <c r="DJ316" s="243"/>
      <c r="DK316" s="243"/>
      <c r="DL316" s="243"/>
      <c r="DM316" s="243"/>
      <c r="DN316" s="243"/>
      <c r="DO316" s="243"/>
      <c r="DP316" s="243"/>
      <c r="DQ316" s="243"/>
      <c r="DR316" s="243"/>
      <c r="DS316" s="243"/>
      <c r="DT316" s="243"/>
      <c r="DU316" s="243"/>
      <c r="DV316" s="243"/>
      <c r="DW316" s="243"/>
      <c r="DX316" s="243"/>
      <c r="DY316" s="243"/>
      <c r="DZ316" s="243"/>
      <c r="EA316" s="243"/>
      <c r="EB316" s="243"/>
      <c r="EC316" s="243"/>
      <c r="ED316" s="243"/>
      <c r="EE316" s="243"/>
      <c r="EF316" s="243"/>
      <c r="EG316" s="243"/>
      <c r="EH316" s="243"/>
      <c r="EI316" s="243"/>
      <c r="EJ316" s="243"/>
      <c r="EK316" s="243"/>
      <c r="EL316" s="243"/>
      <c r="EM316" s="243"/>
      <c r="EN316" s="243"/>
      <c r="EO316" s="243"/>
      <c r="EP316" s="243"/>
      <c r="EQ316" s="243"/>
      <c r="ER316" s="243"/>
      <c r="ES316" s="243"/>
      <c r="ET316" s="243"/>
      <c r="EU316" s="243"/>
      <c r="EV316" s="243"/>
      <c r="EW316" s="243"/>
      <c r="EX316" s="243"/>
      <c r="EY316" s="243"/>
      <c r="EZ316" s="243"/>
      <c r="FA316" s="243"/>
      <c r="FB316" s="243"/>
      <c r="FC316" s="243"/>
      <c r="FD316" s="243"/>
      <c r="FE316" s="243"/>
      <c r="FF316" s="243"/>
      <c r="FG316" s="243"/>
      <c r="FH316" s="243"/>
      <c r="FI316" s="243"/>
      <c r="FJ316" s="243"/>
      <c r="FK316" s="243"/>
      <c r="FL316" s="243"/>
      <c r="FM316" s="243"/>
      <c r="FN316" s="243"/>
      <c r="FO316" s="243"/>
      <c r="FP316" s="243"/>
      <c r="FQ316" s="243"/>
      <c r="FR316" s="243"/>
      <c r="FS316" s="243"/>
      <c r="FT316" s="243"/>
      <c r="FU316" s="243"/>
      <c r="FV316" s="243"/>
      <c r="FW316" s="243"/>
      <c r="FX316" s="243"/>
      <c r="FY316" s="243"/>
      <c r="FZ316" s="243"/>
      <c r="GA316" s="243"/>
      <c r="GB316" s="243"/>
      <c r="GC316" s="243"/>
      <c r="GD316" s="243"/>
      <c r="GE316" s="243"/>
      <c r="GF316" s="243"/>
      <c r="GG316" s="243"/>
      <c r="GH316" s="243"/>
      <c r="GI316" s="243"/>
      <c r="GJ316" s="243"/>
      <c r="GK316" s="243"/>
      <c r="GL316" s="243"/>
      <c r="GM316" s="243"/>
      <c r="GN316" s="243"/>
      <c r="GO316" s="243"/>
      <c r="GP316" s="243"/>
      <c r="GQ316" s="243"/>
      <c r="GR316" s="243"/>
      <c r="GS316" s="243"/>
      <c r="GT316" s="243"/>
      <c r="GU316" s="243"/>
      <c r="GV316" s="243"/>
      <c r="GW316" s="243"/>
      <c r="GX316" s="243"/>
      <c r="GY316" s="243"/>
      <c r="GZ316" s="243"/>
      <c r="HA316" s="243"/>
      <c r="HB316" s="243"/>
      <c r="HC316" s="243"/>
      <c r="HD316" s="243"/>
      <c r="HE316" s="243"/>
      <c r="HF316" s="243"/>
      <c r="HG316" s="243"/>
      <c r="HH316" s="243"/>
      <c r="HI316" s="243"/>
      <c r="HJ316" s="243"/>
      <c r="HK316" s="243"/>
      <c r="HL316" s="243"/>
      <c r="HM316" s="243"/>
      <c r="HN316" s="243"/>
      <c r="HO316" s="243"/>
      <c r="HP316" s="243"/>
      <c r="HQ316" s="243"/>
      <c r="HR316" s="243"/>
      <c r="HS316" s="243"/>
      <c r="HT316" s="243"/>
      <c r="HU316" s="243"/>
      <c r="HV316" s="243"/>
      <c r="HW316" s="243"/>
      <c r="HX316" s="243"/>
      <c r="HY316" s="243"/>
      <c r="HZ316" s="243"/>
      <c r="IA316" s="243"/>
      <c r="IB316" s="243"/>
      <c r="IC316" s="243"/>
      <c r="ID316" s="243"/>
      <c r="IE316" s="243"/>
      <c r="IF316" s="243"/>
      <c r="IG316" s="243"/>
      <c r="IH316" s="243"/>
      <c r="II316" s="243"/>
      <c r="IJ316" s="243"/>
      <c r="IK316" s="243"/>
      <c r="IL316" s="243"/>
      <c r="IM316" s="243"/>
      <c r="IN316" s="243"/>
      <c r="IO316" s="243"/>
      <c r="IP316" s="243"/>
      <c r="IQ316" s="243"/>
      <c r="IR316" s="243"/>
      <c r="IS316" s="243"/>
      <c r="IT316" s="243"/>
      <c r="IU316" s="243"/>
      <c r="IV316" s="243"/>
      <c r="IW316" s="243"/>
      <c r="IX316" s="243"/>
      <c r="IY316" s="243"/>
      <c r="IZ316" s="243"/>
      <c r="JA316" s="243"/>
      <c r="JB316" s="243"/>
      <c r="JC316" s="243"/>
      <c r="JD316" s="243"/>
      <c r="JE316" s="243"/>
      <c r="JF316" s="243"/>
      <c r="JG316" s="243"/>
      <c r="JH316" s="243"/>
      <c r="JI316" s="243"/>
      <c r="JJ316" s="243"/>
      <c r="JK316" s="243"/>
      <c r="JL316" s="243"/>
      <c r="JM316" s="243"/>
      <c r="JN316" s="243"/>
      <c r="JO316" s="243"/>
      <c r="JP316" s="243"/>
      <c r="JQ316" s="243"/>
      <c r="JR316" s="243"/>
      <c r="JS316" s="243"/>
      <c r="JT316" s="243"/>
      <c r="JU316" s="243"/>
      <c r="JV316" s="243"/>
      <c r="JW316" s="243"/>
      <c r="JX316" s="243"/>
      <c r="JY316" s="243"/>
      <c r="JZ316" s="243"/>
      <c r="KA316" s="243"/>
      <c r="KB316" s="243"/>
      <c r="KC316" s="243"/>
      <c r="KD316" s="243"/>
      <c r="KE316" s="243"/>
      <c r="KF316" s="243"/>
      <c r="KG316" s="243"/>
      <c r="KH316" s="243"/>
      <c r="KI316" s="243"/>
      <c r="KJ316" s="243"/>
      <c r="KK316" s="243"/>
      <c r="KL316" s="243"/>
      <c r="KM316" s="243"/>
      <c r="KN316" s="243"/>
      <c r="KO316" s="243"/>
      <c r="KP316" s="243"/>
      <c r="KQ316" s="243"/>
      <c r="KR316" s="243"/>
      <c r="KS316" s="243"/>
      <c r="KT316" s="243"/>
      <c r="KU316" s="243"/>
      <c r="KV316" s="243"/>
      <c r="KW316" s="243"/>
      <c r="KX316" s="243"/>
      <c r="KY316" s="243"/>
      <c r="KZ316" s="243"/>
      <c r="LA316" s="243"/>
      <c r="LB316" s="243"/>
      <c r="LC316" s="243"/>
      <c r="LD316" s="243"/>
      <c r="LE316" s="243"/>
      <c r="LF316" s="243"/>
      <c r="LG316" s="243"/>
      <c r="LH316" s="243"/>
      <c r="LI316" s="243"/>
      <c r="LJ316" s="243"/>
      <c r="LK316" s="243"/>
      <c r="LL316" s="243"/>
      <c r="LM316" s="243"/>
      <c r="LN316" s="243"/>
      <c r="LO316" s="243"/>
      <c r="LP316" s="243"/>
      <c r="LQ316" s="243"/>
      <c r="LR316" s="243"/>
      <c r="LS316" s="243"/>
      <c r="LT316" s="243"/>
      <c r="LU316" s="243"/>
      <c r="LV316" s="243"/>
      <c r="LW316" s="243"/>
      <c r="LX316" s="243"/>
      <c r="LY316" s="243"/>
      <c r="LZ316" s="243"/>
      <c r="MA316" s="243"/>
      <c r="MB316" s="243"/>
      <c r="MC316" s="243"/>
      <c r="MD316" s="243"/>
      <c r="ME316" s="243"/>
      <c r="MF316" s="243"/>
      <c r="MG316" s="243"/>
      <c r="MH316" s="243"/>
      <c r="MI316" s="243"/>
      <c r="MJ316" s="243"/>
      <c r="MK316" s="243"/>
      <c r="ML316" s="243"/>
      <c r="MM316" s="243"/>
      <c r="MN316" s="243"/>
      <c r="MO316" s="243"/>
      <c r="MP316" s="243"/>
      <c r="MQ316" s="243"/>
      <c r="MR316" s="243"/>
      <c r="MS316" s="243"/>
      <c r="MT316" s="243"/>
      <c r="MU316" s="243"/>
      <c r="MV316" s="243"/>
      <c r="MW316" s="243"/>
      <c r="MX316" s="243"/>
      <c r="MY316" s="243"/>
      <c r="MZ316" s="243"/>
      <c r="NA316" s="243"/>
      <c r="NB316" s="243"/>
      <c r="NC316" s="243"/>
      <c r="ND316" s="243"/>
      <c r="NE316" s="243"/>
      <c r="NF316" s="243"/>
      <c r="NG316" s="243"/>
      <c r="NH316" s="243"/>
      <c r="NI316" s="243"/>
      <c r="NJ316" s="243"/>
      <c r="NK316" s="243"/>
      <c r="NL316" s="243"/>
      <c r="NM316" s="243"/>
      <c r="NN316" s="243"/>
      <c r="NO316" s="243"/>
      <c r="NP316" s="243"/>
      <c r="NQ316" s="243"/>
      <c r="NR316" s="243"/>
      <c r="NS316" s="243"/>
      <c r="NT316" s="243"/>
      <c r="NU316" s="243"/>
      <c r="NV316" s="243"/>
      <c r="NW316" s="243"/>
      <c r="NX316" s="243"/>
      <c r="NY316" s="243"/>
      <c r="NZ316" s="243"/>
      <c r="OA316" s="243"/>
      <c r="OB316" s="243"/>
      <c r="OC316" s="243"/>
      <c r="OD316" s="243"/>
      <c r="OE316" s="243"/>
      <c r="OF316" s="243"/>
      <c r="OG316" s="243"/>
      <c r="OH316" s="243"/>
      <c r="OI316" s="243"/>
      <c r="OJ316" s="243"/>
      <c r="OK316" s="243"/>
      <c r="OL316" s="243"/>
      <c r="OM316" s="243"/>
      <c r="ON316" s="243"/>
      <c r="OO316" s="243"/>
      <c r="OP316" s="243"/>
      <c r="OQ316" s="243"/>
      <c r="OR316" s="243"/>
      <c r="OS316" s="243"/>
      <c r="OT316" s="243"/>
      <c r="OU316" s="243"/>
      <c r="OV316" s="243"/>
      <c r="OW316" s="243"/>
      <c r="OX316" s="243"/>
      <c r="OY316" s="243"/>
      <c r="OZ316" s="243"/>
      <c r="PA316" s="243"/>
      <c r="PB316" s="243"/>
      <c r="PC316" s="243"/>
      <c r="PD316" s="243"/>
      <c r="PE316" s="243"/>
      <c r="PF316" s="243"/>
      <c r="PG316" s="243"/>
      <c r="PH316" s="243"/>
      <c r="PI316" s="243"/>
      <c r="PJ316" s="243"/>
      <c r="PK316" s="243"/>
      <c r="PL316" s="243"/>
      <c r="PM316" s="243"/>
      <c r="PN316" s="243"/>
      <c r="PO316" s="243"/>
      <c r="PP316" s="243"/>
      <c r="PQ316" s="243"/>
      <c r="PR316" s="243"/>
      <c r="PS316" s="243"/>
      <c r="PT316" s="243"/>
      <c r="PU316" s="243"/>
      <c r="PV316" s="243"/>
      <c r="PW316" s="243"/>
      <c r="PX316" s="243"/>
      <c r="PY316" s="243"/>
      <c r="PZ316" s="243"/>
      <c r="QA316" s="243"/>
      <c r="QB316" s="243"/>
      <c r="QC316" s="243"/>
      <c r="QD316" s="243"/>
      <c r="QE316" s="243"/>
      <c r="QF316" s="243"/>
      <c r="QG316" s="243"/>
      <c r="QH316" s="243"/>
      <c r="QI316" s="243"/>
      <c r="QJ316" s="243"/>
      <c r="QK316" s="243"/>
      <c r="QL316" s="243"/>
      <c r="QM316" s="243"/>
      <c r="QN316" s="243"/>
      <c r="QO316" s="243"/>
      <c r="QP316" s="243"/>
      <c r="QQ316" s="243"/>
      <c r="QR316" s="243"/>
      <c r="QS316" s="243"/>
      <c r="QT316" s="243"/>
      <c r="QU316" s="243"/>
      <c r="QV316" s="243"/>
      <c r="QW316" s="243"/>
      <c r="QX316" s="243"/>
      <c r="QY316" s="243"/>
      <c r="QZ316" s="243"/>
      <c r="RA316" s="243"/>
      <c r="RB316" s="243"/>
      <c r="RC316" s="243"/>
      <c r="RD316" s="243"/>
      <c r="RE316" s="243"/>
      <c r="RF316" s="243"/>
      <c r="RG316" s="243"/>
      <c r="RH316" s="243"/>
      <c r="RI316" s="243"/>
      <c r="RJ316" s="243"/>
      <c r="RK316" s="243"/>
      <c r="RL316" s="243"/>
      <c r="RM316" s="243"/>
      <c r="RN316" s="243"/>
      <c r="RO316" s="243"/>
      <c r="RP316" s="243"/>
      <c r="RQ316" s="243"/>
      <c r="RR316" s="243"/>
      <c r="RS316" s="243"/>
      <c r="RT316" s="243"/>
      <c r="RU316" s="243"/>
      <c r="RV316" s="243"/>
      <c r="RW316" s="243"/>
      <c r="RX316" s="243"/>
      <c r="RY316" s="243"/>
      <c r="RZ316" s="243"/>
      <c r="SA316" s="243"/>
      <c r="SB316" s="243"/>
      <c r="SC316" s="243"/>
      <c r="SD316" s="243"/>
      <c r="SE316" s="243"/>
      <c r="SF316" s="243"/>
      <c r="SG316" s="243"/>
      <c r="SH316" s="243"/>
      <c r="SI316" s="243"/>
      <c r="SJ316" s="243"/>
      <c r="SK316" s="243"/>
      <c r="SL316" s="243"/>
      <c r="SM316" s="243"/>
      <c r="SN316" s="243"/>
      <c r="SO316" s="243"/>
      <c r="SP316" s="243"/>
      <c r="SQ316" s="243"/>
      <c r="SR316" s="243"/>
      <c r="SS316" s="243"/>
      <c r="ST316" s="243"/>
      <c r="SU316" s="243"/>
      <c r="SV316" s="243"/>
      <c r="SW316" s="243"/>
      <c r="SX316" s="243"/>
      <c r="SY316" s="243"/>
      <c r="SZ316" s="243"/>
      <c r="TA316" s="243"/>
      <c r="TB316" s="243"/>
      <c r="TC316" s="243"/>
      <c r="TD316" s="243"/>
      <c r="TE316" s="243"/>
      <c r="TF316" s="243"/>
      <c r="TG316" s="243"/>
      <c r="TH316" s="243"/>
      <c r="TI316" s="243"/>
      <c r="TJ316" s="243"/>
      <c r="TK316" s="243"/>
      <c r="TL316" s="243"/>
      <c r="TM316" s="243"/>
      <c r="TN316" s="243"/>
      <c r="TO316" s="243"/>
      <c r="TP316" s="243"/>
      <c r="TQ316" s="243"/>
      <c r="TR316" s="243"/>
      <c r="TS316" s="243"/>
      <c r="TT316" s="243"/>
      <c r="TU316" s="243"/>
      <c r="TV316" s="243"/>
      <c r="TW316" s="243"/>
      <c r="TX316" s="243"/>
      <c r="TY316" s="243"/>
      <c r="TZ316" s="243"/>
      <c r="UA316" s="243"/>
      <c r="UB316" s="243"/>
      <c r="UC316" s="243"/>
      <c r="UD316" s="243"/>
      <c r="UE316" s="243"/>
      <c r="UF316" s="243"/>
      <c r="UG316" s="243"/>
      <c r="UH316" s="243"/>
      <c r="UI316" s="243"/>
      <c r="UJ316" s="243"/>
      <c r="UK316" s="243"/>
      <c r="UL316" s="243"/>
      <c r="UM316" s="243"/>
      <c r="UN316" s="243"/>
      <c r="UO316" s="243"/>
      <c r="UP316" s="243"/>
      <c r="UQ316" s="243"/>
      <c r="UR316" s="243"/>
      <c r="US316" s="243"/>
      <c r="UT316" s="243"/>
      <c r="UU316" s="243"/>
      <c r="UV316" s="243"/>
      <c r="UW316" s="243"/>
      <c r="UX316" s="243"/>
      <c r="UY316" s="243"/>
      <c r="UZ316" s="243"/>
      <c r="VA316" s="243"/>
      <c r="VB316" s="243"/>
      <c r="VC316" s="243"/>
      <c r="VD316" s="243"/>
      <c r="VE316" s="243"/>
      <c r="VF316" s="243"/>
      <c r="VG316" s="243"/>
      <c r="VH316" s="243"/>
      <c r="VI316" s="243"/>
      <c r="VJ316" s="243"/>
      <c r="VK316" s="243"/>
      <c r="VL316" s="243"/>
      <c r="VM316" s="243"/>
      <c r="VN316" s="243"/>
      <c r="VO316" s="243"/>
      <c r="VP316" s="243"/>
      <c r="VQ316" s="243"/>
      <c r="VR316" s="243"/>
      <c r="VS316" s="243"/>
      <c r="VT316" s="243"/>
      <c r="VU316" s="243"/>
      <c r="VV316" s="243"/>
      <c r="VW316" s="243"/>
      <c r="VX316" s="243"/>
      <c r="VY316" s="243"/>
      <c r="VZ316" s="243"/>
      <c r="WA316" s="243"/>
      <c r="WB316" s="243"/>
      <c r="WC316" s="243"/>
      <c r="WD316" s="243"/>
      <c r="WE316" s="243"/>
      <c r="WF316" s="243"/>
      <c r="WG316" s="243"/>
      <c r="WH316" s="243"/>
      <c r="WI316" s="243"/>
      <c r="WJ316" s="243"/>
      <c r="WK316" s="243"/>
      <c r="WL316" s="243"/>
      <c r="WM316" s="243"/>
      <c r="WN316" s="243"/>
      <c r="WO316" s="243"/>
      <c r="WP316" s="243"/>
      <c r="WQ316" s="243"/>
      <c r="WR316" s="243"/>
      <c r="WS316" s="243"/>
      <c r="WT316" s="243"/>
      <c r="WU316" s="243"/>
      <c r="WV316" s="243"/>
      <c r="WW316" s="243"/>
      <c r="WX316" s="243"/>
      <c r="WY316" s="243"/>
      <c r="WZ316" s="243"/>
      <c r="XA316" s="243"/>
      <c r="XB316" s="243"/>
      <c r="XC316" s="243"/>
      <c r="XD316" s="243"/>
      <c r="XE316" s="243"/>
      <c r="XF316" s="243"/>
      <c r="XG316" s="243"/>
      <c r="XH316" s="243"/>
      <c r="XI316" s="243"/>
      <c r="XJ316" s="243"/>
      <c r="XK316" s="243"/>
      <c r="XL316" s="243"/>
      <c r="XM316" s="243"/>
      <c r="XN316" s="243"/>
      <c r="XO316" s="243"/>
      <c r="XP316" s="243"/>
      <c r="XQ316" s="243"/>
      <c r="XR316" s="243"/>
      <c r="XS316" s="243"/>
      <c r="XT316" s="243"/>
      <c r="XU316" s="243"/>
      <c r="XV316" s="243"/>
      <c r="XW316" s="243"/>
      <c r="XX316" s="243"/>
      <c r="XY316" s="243"/>
      <c r="XZ316" s="243"/>
      <c r="YA316" s="243"/>
      <c r="YB316" s="243"/>
      <c r="YC316" s="243"/>
      <c r="YD316" s="243"/>
      <c r="YE316" s="243"/>
      <c r="YF316" s="243"/>
      <c r="YG316" s="243"/>
      <c r="YH316" s="243"/>
      <c r="YI316" s="243"/>
      <c r="YJ316" s="243"/>
      <c r="YK316" s="243"/>
      <c r="YL316" s="243"/>
      <c r="YM316" s="243"/>
      <c r="YN316" s="243"/>
      <c r="YO316" s="243"/>
      <c r="YP316" s="243"/>
      <c r="YQ316" s="243"/>
      <c r="YR316" s="243"/>
      <c r="YS316" s="243"/>
      <c r="YT316" s="243"/>
      <c r="YU316" s="243"/>
      <c r="YV316" s="243"/>
      <c r="YW316" s="243"/>
      <c r="YX316" s="243"/>
      <c r="YY316" s="243"/>
      <c r="YZ316" s="243"/>
      <c r="ZA316" s="243"/>
      <c r="ZB316" s="243"/>
      <c r="ZC316" s="243"/>
      <c r="ZD316" s="243"/>
      <c r="ZE316" s="243"/>
      <c r="ZF316" s="243"/>
      <c r="ZG316" s="243"/>
      <c r="ZH316" s="243"/>
      <c r="ZI316" s="243"/>
      <c r="ZJ316" s="243"/>
      <c r="ZK316" s="243"/>
      <c r="ZL316" s="243"/>
      <c r="ZM316" s="243"/>
      <c r="ZN316" s="243"/>
      <c r="ZO316" s="243"/>
      <c r="ZP316" s="243"/>
      <c r="ZQ316" s="243"/>
      <c r="ZR316" s="243"/>
      <c r="ZS316" s="243"/>
      <c r="ZT316" s="243"/>
      <c r="ZU316" s="243"/>
      <c r="ZV316" s="243"/>
      <c r="ZW316" s="243"/>
      <c r="ZX316" s="243"/>
      <c r="ZY316" s="243"/>
      <c r="ZZ316" s="243"/>
      <c r="AAA316" s="243"/>
      <c r="AAB316" s="243"/>
      <c r="AAC316" s="243"/>
      <c r="AAD316" s="243"/>
      <c r="AAE316" s="243"/>
      <c r="AAF316" s="243"/>
      <c r="AAG316" s="243"/>
      <c r="AAH316" s="243"/>
      <c r="AAI316" s="243"/>
      <c r="AAJ316" s="243"/>
      <c r="AAK316" s="243"/>
      <c r="AAL316" s="243"/>
      <c r="AAM316" s="243"/>
      <c r="AAN316" s="243"/>
      <c r="AAO316" s="243"/>
      <c r="AAP316" s="243"/>
      <c r="AAQ316" s="243"/>
      <c r="AAR316" s="243"/>
      <c r="AAS316" s="243"/>
      <c r="AAT316" s="243"/>
      <c r="AAU316" s="243"/>
      <c r="AAV316" s="243"/>
      <c r="AAW316" s="243"/>
      <c r="AAX316" s="243"/>
      <c r="AAY316" s="243"/>
      <c r="AAZ316" s="243"/>
      <c r="ABA316" s="243"/>
      <c r="ABB316" s="243"/>
      <c r="ABC316" s="243"/>
      <c r="ABD316" s="243"/>
      <c r="ABE316" s="243"/>
      <c r="ABF316" s="243"/>
      <c r="ABG316" s="243"/>
      <c r="ABH316" s="243"/>
      <c r="ABI316" s="243"/>
      <c r="ABJ316" s="243"/>
      <c r="ABK316" s="243"/>
      <c r="ABL316" s="243"/>
      <c r="ABM316" s="243"/>
      <c r="ABN316" s="243"/>
      <c r="ABO316" s="243"/>
      <c r="ABP316" s="243"/>
      <c r="ABQ316" s="243"/>
      <c r="ABR316" s="243"/>
      <c r="ABS316" s="243"/>
      <c r="ABT316" s="243"/>
      <c r="ABU316" s="243"/>
      <c r="ABV316" s="243"/>
      <c r="ABW316" s="243"/>
      <c r="ABX316" s="243"/>
      <c r="ABY316" s="243"/>
      <c r="ABZ316" s="243"/>
      <c r="ACA316" s="243"/>
      <c r="ACB316" s="243"/>
      <c r="ACC316" s="243"/>
      <c r="ACD316" s="243"/>
      <c r="ACE316" s="243"/>
      <c r="ACF316" s="243"/>
      <c r="ACG316" s="243"/>
      <c r="ACH316" s="243"/>
      <c r="ACI316" s="243"/>
      <c r="ACJ316" s="243"/>
      <c r="ACK316" s="243"/>
      <c r="ACL316" s="243"/>
      <c r="ACM316" s="243"/>
      <c r="ACN316" s="243"/>
      <c r="ACO316" s="243"/>
      <c r="ACP316" s="243"/>
      <c r="ACQ316" s="243"/>
      <c r="ACR316" s="243"/>
      <c r="ACS316" s="243"/>
      <c r="ACT316" s="243"/>
      <c r="ACU316" s="243"/>
      <c r="ACV316" s="243"/>
      <c r="ACW316" s="243"/>
      <c r="ACX316" s="243"/>
      <c r="ACY316" s="243"/>
      <c r="ACZ316" s="243"/>
      <c r="ADA316" s="243"/>
      <c r="ADB316" s="243"/>
      <c r="ADC316" s="243"/>
      <c r="ADD316" s="243"/>
      <c r="ADE316" s="243"/>
      <c r="ADF316" s="243"/>
      <c r="ADG316" s="243"/>
      <c r="ADH316" s="243"/>
      <c r="ADI316" s="243"/>
      <c r="ADJ316" s="243"/>
      <c r="ADK316" s="243"/>
      <c r="ADL316" s="243"/>
      <c r="ADM316" s="243"/>
      <c r="ADN316" s="243"/>
      <c r="ADO316" s="243"/>
      <c r="ADP316" s="243"/>
      <c r="ADQ316" s="243"/>
      <c r="ADR316" s="243"/>
      <c r="ADS316" s="243"/>
      <c r="ADT316" s="243"/>
      <c r="ADU316" s="243"/>
      <c r="ADV316" s="243"/>
      <c r="ADW316" s="243"/>
      <c r="ADX316" s="243"/>
      <c r="ADY316" s="243"/>
      <c r="ADZ316" s="243"/>
      <c r="AEA316" s="243"/>
      <c r="AEB316" s="243"/>
      <c r="AEC316" s="243"/>
      <c r="AED316" s="243"/>
      <c r="AEE316" s="243"/>
      <c r="AEF316" s="243"/>
      <c r="AEG316" s="243"/>
      <c r="AEH316" s="243"/>
      <c r="AEI316" s="243"/>
      <c r="AEJ316" s="243"/>
      <c r="AEK316" s="243"/>
      <c r="AEL316" s="243"/>
      <c r="AEM316" s="243"/>
      <c r="AEN316" s="243"/>
      <c r="AEO316" s="243"/>
      <c r="AEP316" s="243"/>
      <c r="AEQ316" s="243"/>
      <c r="AER316" s="243"/>
      <c r="AES316" s="243"/>
      <c r="AET316" s="243"/>
      <c r="AEU316" s="243"/>
      <c r="AEV316" s="243"/>
      <c r="AEW316" s="243"/>
      <c r="AEX316" s="243"/>
      <c r="AEY316" s="243"/>
      <c r="AEZ316" s="243"/>
      <c r="AFA316" s="243"/>
      <c r="AFB316" s="243"/>
      <c r="AFC316" s="243"/>
      <c r="AFD316" s="243"/>
      <c r="AFE316" s="243"/>
      <c r="AFF316" s="243"/>
      <c r="AFG316" s="243"/>
      <c r="AFH316" s="243"/>
      <c r="AFI316" s="243"/>
      <c r="AFJ316" s="243"/>
      <c r="AFK316" s="243"/>
      <c r="AFL316" s="243"/>
      <c r="AFM316" s="243"/>
      <c r="AFN316" s="243"/>
      <c r="AFO316" s="243"/>
      <c r="AFP316" s="243"/>
      <c r="AFQ316" s="243"/>
      <c r="AFR316" s="243"/>
      <c r="AFS316" s="243"/>
      <c r="AFT316" s="243"/>
      <c r="AFU316" s="243"/>
      <c r="AFV316" s="243"/>
      <c r="AFW316" s="243"/>
      <c r="AFX316" s="243"/>
      <c r="AFY316" s="243"/>
      <c r="AFZ316" s="243"/>
      <c r="AGA316" s="243"/>
      <c r="AGB316" s="243"/>
      <c r="AGC316" s="243"/>
      <c r="AGD316" s="243"/>
      <c r="AGE316" s="243"/>
      <c r="AGF316" s="243"/>
      <c r="AGG316" s="243"/>
      <c r="AGH316" s="243"/>
      <c r="AGI316" s="243"/>
      <c r="AGJ316" s="243"/>
      <c r="AGK316" s="243"/>
      <c r="AGL316" s="243"/>
      <c r="AGM316" s="243"/>
      <c r="AGN316" s="243"/>
      <c r="AGO316" s="243"/>
      <c r="AGP316" s="243"/>
      <c r="AGQ316" s="243"/>
      <c r="AGR316" s="243"/>
      <c r="AGS316" s="243"/>
      <c r="AGT316" s="243"/>
      <c r="AGU316" s="243"/>
      <c r="AGV316" s="243"/>
      <c r="AGW316" s="243"/>
      <c r="AGX316" s="243"/>
      <c r="AGY316" s="243"/>
      <c r="AGZ316" s="243"/>
      <c r="AHA316" s="243"/>
      <c r="AHB316" s="243"/>
      <c r="AHC316" s="243"/>
      <c r="AHD316" s="243"/>
      <c r="AHE316" s="243"/>
      <c r="AHF316" s="243"/>
      <c r="AHG316" s="243"/>
      <c r="AHH316" s="243"/>
      <c r="AHI316" s="243"/>
      <c r="AHJ316" s="243"/>
      <c r="AHK316" s="243"/>
      <c r="AHL316" s="243"/>
      <c r="AHM316" s="243"/>
      <c r="AHN316" s="243"/>
      <c r="AHO316" s="243"/>
      <c r="AHP316" s="243"/>
      <c r="AHQ316" s="243"/>
      <c r="AHR316" s="243"/>
      <c r="AHS316" s="243"/>
      <c r="AHT316" s="243"/>
      <c r="AHU316" s="243"/>
      <c r="AHV316" s="243"/>
      <c r="AHW316" s="243"/>
      <c r="AHX316" s="243"/>
      <c r="AHY316" s="243"/>
      <c r="AHZ316" s="243"/>
      <c r="AIA316" s="243"/>
      <c r="AIB316" s="243"/>
      <c r="AIC316" s="243"/>
      <c r="AID316" s="243"/>
      <c r="AIE316" s="243"/>
      <c r="AIF316" s="243"/>
      <c r="AIG316" s="243"/>
      <c r="AIH316" s="243"/>
      <c r="AII316" s="243"/>
      <c r="AIJ316" s="243"/>
      <c r="AIK316" s="243"/>
      <c r="AIL316" s="243"/>
      <c r="AIM316" s="243"/>
      <c r="AIN316" s="243"/>
      <c r="AIO316" s="243"/>
      <c r="AIP316" s="243"/>
      <c r="AIQ316" s="243"/>
      <c r="AIR316" s="243"/>
      <c r="AIS316" s="243"/>
      <c r="AIT316" s="243"/>
      <c r="AIU316" s="243"/>
      <c r="AIV316" s="243"/>
      <c r="AIW316" s="243"/>
      <c r="AIX316" s="243"/>
      <c r="AIY316" s="243"/>
      <c r="AIZ316" s="243"/>
      <c r="AJA316" s="243"/>
      <c r="AJB316" s="243"/>
      <c r="AJC316" s="243"/>
      <c r="AJD316" s="243"/>
      <c r="AJE316" s="243"/>
      <c r="AJF316" s="243"/>
      <c r="AJG316" s="243"/>
      <c r="AJH316" s="243"/>
      <c r="AJI316" s="243"/>
      <c r="AJJ316" s="243"/>
      <c r="AJK316" s="243"/>
      <c r="AJL316" s="243"/>
      <c r="AJM316" s="243"/>
      <c r="AJN316" s="243"/>
      <c r="AJO316" s="243"/>
      <c r="AJP316" s="243"/>
      <c r="AJQ316" s="243"/>
      <c r="AJR316" s="243"/>
      <c r="AJS316" s="243"/>
      <c r="AJT316" s="243"/>
      <c r="AJU316" s="243"/>
      <c r="AJV316" s="243"/>
      <c r="AJW316" s="243"/>
      <c r="AJX316" s="243"/>
      <c r="AJY316" s="243"/>
      <c r="AJZ316" s="243"/>
      <c r="AKA316" s="243"/>
      <c r="AKB316" s="243"/>
      <c r="AKC316" s="243"/>
      <c r="AKD316" s="243"/>
      <c r="AKE316" s="243"/>
      <c r="AKF316" s="243"/>
      <c r="AKG316" s="243"/>
      <c r="AKH316" s="243"/>
      <c r="AKI316" s="243"/>
      <c r="AKJ316" s="243"/>
      <c r="AKK316" s="243"/>
      <c r="AKL316" s="243"/>
      <c r="AKM316" s="243"/>
      <c r="AKN316" s="243"/>
      <c r="AKO316" s="243"/>
      <c r="AKP316" s="243"/>
      <c r="AKQ316" s="243"/>
      <c r="AKR316" s="243"/>
      <c r="AKS316" s="243"/>
      <c r="AKT316" s="243"/>
      <c r="AKU316" s="243"/>
      <c r="AKV316" s="243"/>
      <c r="AKW316" s="243"/>
      <c r="AKX316" s="243"/>
      <c r="AKY316" s="243"/>
      <c r="AKZ316" s="243"/>
      <c r="ALA316" s="243"/>
      <c r="ALB316" s="243"/>
      <c r="ALC316" s="243"/>
      <c r="ALD316" s="243"/>
      <c r="ALE316" s="243"/>
      <c r="ALF316" s="243"/>
      <c r="ALG316" s="243"/>
      <c r="ALH316" s="243"/>
      <c r="ALI316" s="243"/>
      <c r="ALJ316" s="243"/>
      <c r="ALK316" s="243"/>
      <c r="ALL316" s="243"/>
      <c r="ALM316" s="243"/>
      <c r="ALN316" s="243"/>
      <c r="ALO316" s="243"/>
      <c r="ALP316" s="243"/>
      <c r="ALQ316" s="243"/>
      <c r="ALR316" s="243"/>
      <c r="ALS316" s="243"/>
      <c r="ALT316" s="243"/>
      <c r="ALU316" s="243"/>
      <c r="ALV316" s="243"/>
      <c r="ALW316" s="243"/>
      <c r="ALX316" s="243"/>
      <c r="ALY316" s="243"/>
      <c r="ALZ316" s="243"/>
      <c r="AMA316" s="243"/>
      <c r="AMB316" s="243"/>
      <c r="AMC316" s="243"/>
      <c r="AMD316" s="243"/>
      <c r="AME316" s="243"/>
      <c r="AMF316" s="243"/>
      <c r="AMG316" s="243"/>
      <c r="AMH316" s="243"/>
      <c r="AMI316" s="244"/>
      <c r="AMJ316" s="244"/>
    </row>
    <row r="317" spans="1:1024">
      <c r="A317" s="380"/>
      <c r="B317" s="381"/>
      <c r="C317" s="379"/>
      <c r="D317" s="379"/>
      <c r="E317" s="382"/>
      <c r="F317" s="382"/>
      <c r="G317" s="382"/>
      <c r="H317" s="383"/>
      <c r="I317" s="383"/>
      <c r="J317" s="383"/>
      <c r="K317" s="383"/>
      <c r="L317" s="38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  <c r="AH317" s="243"/>
      <c r="AI317" s="243"/>
      <c r="AJ317" s="243"/>
      <c r="AK317" s="243"/>
      <c r="AL317" s="243"/>
      <c r="AM317" s="243"/>
      <c r="AN317" s="243"/>
      <c r="AO317" s="243"/>
      <c r="AP317" s="243"/>
      <c r="AQ317" s="243"/>
      <c r="AR317" s="243"/>
      <c r="AS317" s="243"/>
      <c r="AT317" s="243"/>
      <c r="AU317" s="243"/>
      <c r="AV317" s="243"/>
      <c r="AW317" s="243"/>
      <c r="AX317" s="243"/>
      <c r="AY317" s="243"/>
      <c r="AZ317" s="243"/>
      <c r="BA317" s="243"/>
      <c r="BB317" s="243"/>
      <c r="BC317" s="243"/>
      <c r="BD317" s="243"/>
      <c r="BE317" s="243"/>
      <c r="BF317" s="243"/>
      <c r="BG317" s="243"/>
      <c r="BH317" s="243"/>
      <c r="BI317" s="243"/>
      <c r="BJ317" s="243"/>
      <c r="BK317" s="243"/>
      <c r="BL317" s="243"/>
      <c r="BM317" s="243"/>
      <c r="BN317" s="243"/>
      <c r="BO317" s="243"/>
      <c r="BP317" s="243"/>
      <c r="BQ317" s="243"/>
      <c r="BR317" s="243"/>
      <c r="BS317" s="243"/>
      <c r="BT317" s="243"/>
      <c r="BU317" s="243"/>
      <c r="BV317" s="243"/>
      <c r="BW317" s="243"/>
      <c r="BX317" s="243"/>
      <c r="BY317" s="243"/>
      <c r="BZ317" s="243"/>
      <c r="CA317" s="243"/>
      <c r="CB317" s="243"/>
      <c r="CC317" s="243"/>
      <c r="CD317" s="243"/>
      <c r="CE317" s="243"/>
      <c r="CF317" s="243"/>
      <c r="CG317" s="243"/>
      <c r="CH317" s="243"/>
      <c r="CI317" s="243"/>
      <c r="CJ317" s="243"/>
      <c r="CK317" s="243"/>
      <c r="CL317" s="243"/>
      <c r="CM317" s="243"/>
      <c r="CN317" s="243"/>
      <c r="CO317" s="243"/>
      <c r="CP317" s="243"/>
      <c r="CQ317" s="243"/>
      <c r="CR317" s="243"/>
      <c r="CS317" s="243"/>
      <c r="CT317" s="243"/>
      <c r="CU317" s="243"/>
      <c r="CV317" s="243"/>
      <c r="CW317" s="243"/>
      <c r="CX317" s="243"/>
      <c r="CY317" s="243"/>
      <c r="CZ317" s="243"/>
      <c r="DA317" s="243"/>
      <c r="DB317" s="243"/>
      <c r="DC317" s="243"/>
      <c r="DD317" s="243"/>
      <c r="DE317" s="243"/>
      <c r="DF317" s="243"/>
      <c r="DG317" s="243"/>
      <c r="DH317" s="243"/>
      <c r="DI317" s="243"/>
      <c r="DJ317" s="243"/>
      <c r="DK317" s="243"/>
      <c r="DL317" s="243"/>
      <c r="DM317" s="243"/>
      <c r="DN317" s="243"/>
      <c r="DO317" s="243"/>
      <c r="DP317" s="243"/>
      <c r="DQ317" s="243"/>
      <c r="DR317" s="243"/>
      <c r="DS317" s="243"/>
      <c r="DT317" s="243"/>
      <c r="DU317" s="243"/>
      <c r="DV317" s="243"/>
      <c r="DW317" s="243"/>
      <c r="DX317" s="243"/>
      <c r="DY317" s="243"/>
      <c r="DZ317" s="243"/>
      <c r="EA317" s="243"/>
      <c r="EB317" s="243"/>
      <c r="EC317" s="243"/>
      <c r="ED317" s="243"/>
      <c r="EE317" s="243"/>
      <c r="EF317" s="243"/>
      <c r="EG317" s="243"/>
      <c r="EH317" s="243"/>
      <c r="EI317" s="243"/>
      <c r="EJ317" s="243"/>
      <c r="EK317" s="243"/>
      <c r="EL317" s="243"/>
      <c r="EM317" s="243"/>
      <c r="EN317" s="243"/>
      <c r="EO317" s="243"/>
      <c r="EP317" s="243"/>
      <c r="EQ317" s="243"/>
      <c r="ER317" s="243"/>
      <c r="ES317" s="243"/>
      <c r="ET317" s="243"/>
      <c r="EU317" s="243"/>
      <c r="EV317" s="243"/>
      <c r="EW317" s="243"/>
      <c r="EX317" s="243"/>
      <c r="EY317" s="243"/>
      <c r="EZ317" s="243"/>
      <c r="FA317" s="243"/>
      <c r="FB317" s="243"/>
      <c r="FC317" s="243"/>
      <c r="FD317" s="243"/>
      <c r="FE317" s="243"/>
      <c r="FF317" s="243"/>
      <c r="FG317" s="243"/>
      <c r="FH317" s="243"/>
      <c r="FI317" s="243"/>
      <c r="FJ317" s="243"/>
      <c r="FK317" s="243"/>
      <c r="FL317" s="243"/>
      <c r="FM317" s="243"/>
      <c r="FN317" s="243"/>
      <c r="FO317" s="243"/>
      <c r="FP317" s="243"/>
      <c r="FQ317" s="243"/>
      <c r="FR317" s="243"/>
      <c r="FS317" s="243"/>
      <c r="FT317" s="243"/>
      <c r="FU317" s="243"/>
      <c r="FV317" s="243"/>
      <c r="FW317" s="243"/>
      <c r="FX317" s="243"/>
      <c r="FY317" s="243"/>
      <c r="FZ317" s="243"/>
      <c r="GA317" s="243"/>
      <c r="GB317" s="243"/>
      <c r="GC317" s="243"/>
      <c r="GD317" s="243"/>
      <c r="GE317" s="243"/>
      <c r="GF317" s="243"/>
      <c r="GG317" s="243"/>
      <c r="GH317" s="243"/>
      <c r="GI317" s="243"/>
      <c r="GJ317" s="243"/>
      <c r="GK317" s="243"/>
      <c r="GL317" s="243"/>
      <c r="GM317" s="243"/>
      <c r="GN317" s="243"/>
      <c r="GO317" s="243"/>
      <c r="GP317" s="243"/>
      <c r="GQ317" s="243"/>
      <c r="GR317" s="243"/>
      <c r="GS317" s="243"/>
      <c r="GT317" s="243"/>
      <c r="GU317" s="243"/>
      <c r="GV317" s="243"/>
      <c r="GW317" s="243"/>
      <c r="GX317" s="243"/>
      <c r="GY317" s="243"/>
      <c r="GZ317" s="243"/>
      <c r="HA317" s="243"/>
      <c r="HB317" s="243"/>
      <c r="HC317" s="243"/>
      <c r="HD317" s="243"/>
      <c r="HE317" s="243"/>
      <c r="HF317" s="243"/>
      <c r="HG317" s="243"/>
      <c r="HH317" s="243"/>
      <c r="HI317" s="243"/>
      <c r="HJ317" s="243"/>
      <c r="HK317" s="243"/>
      <c r="HL317" s="243"/>
      <c r="HM317" s="243"/>
      <c r="HN317" s="243"/>
      <c r="HO317" s="243"/>
      <c r="HP317" s="243"/>
      <c r="HQ317" s="243"/>
      <c r="HR317" s="243"/>
      <c r="HS317" s="243"/>
      <c r="HT317" s="243"/>
      <c r="HU317" s="243"/>
      <c r="HV317" s="243"/>
      <c r="HW317" s="243"/>
      <c r="HX317" s="243"/>
      <c r="HY317" s="243"/>
      <c r="HZ317" s="243"/>
      <c r="IA317" s="243"/>
      <c r="IB317" s="243"/>
      <c r="IC317" s="243"/>
      <c r="ID317" s="243"/>
      <c r="IE317" s="243"/>
      <c r="IF317" s="243"/>
      <c r="IG317" s="243"/>
      <c r="IH317" s="243"/>
      <c r="II317" s="243"/>
      <c r="IJ317" s="243"/>
      <c r="IK317" s="243"/>
      <c r="IL317" s="243"/>
      <c r="IM317" s="243"/>
      <c r="IN317" s="243"/>
      <c r="IO317" s="243"/>
      <c r="IP317" s="243"/>
      <c r="IQ317" s="243"/>
      <c r="IR317" s="243"/>
      <c r="IS317" s="243"/>
      <c r="IT317" s="243"/>
      <c r="IU317" s="243"/>
      <c r="IV317" s="243"/>
      <c r="IW317" s="243"/>
      <c r="IX317" s="243"/>
      <c r="IY317" s="243"/>
      <c r="IZ317" s="243"/>
      <c r="JA317" s="243"/>
      <c r="JB317" s="243"/>
      <c r="JC317" s="243"/>
      <c r="JD317" s="243"/>
      <c r="JE317" s="243"/>
      <c r="JF317" s="243"/>
      <c r="JG317" s="243"/>
      <c r="JH317" s="243"/>
      <c r="JI317" s="243"/>
      <c r="JJ317" s="243"/>
      <c r="JK317" s="243"/>
      <c r="JL317" s="243"/>
      <c r="JM317" s="243"/>
      <c r="JN317" s="243"/>
      <c r="JO317" s="243"/>
      <c r="JP317" s="243"/>
      <c r="JQ317" s="243"/>
      <c r="JR317" s="243"/>
      <c r="JS317" s="243"/>
      <c r="JT317" s="243"/>
      <c r="JU317" s="243"/>
      <c r="JV317" s="243"/>
      <c r="JW317" s="243"/>
      <c r="JX317" s="243"/>
      <c r="JY317" s="243"/>
      <c r="JZ317" s="243"/>
      <c r="KA317" s="243"/>
      <c r="KB317" s="243"/>
      <c r="KC317" s="243"/>
      <c r="KD317" s="243"/>
      <c r="KE317" s="243"/>
      <c r="KF317" s="243"/>
      <c r="KG317" s="243"/>
      <c r="KH317" s="243"/>
      <c r="KI317" s="243"/>
      <c r="KJ317" s="243"/>
      <c r="KK317" s="243"/>
      <c r="KL317" s="243"/>
      <c r="KM317" s="243"/>
      <c r="KN317" s="243"/>
      <c r="KO317" s="243"/>
      <c r="KP317" s="243"/>
      <c r="KQ317" s="243"/>
      <c r="KR317" s="243"/>
      <c r="KS317" s="243"/>
      <c r="KT317" s="243"/>
      <c r="KU317" s="243"/>
      <c r="KV317" s="243"/>
      <c r="KW317" s="243"/>
      <c r="KX317" s="243"/>
      <c r="KY317" s="243"/>
      <c r="KZ317" s="243"/>
      <c r="LA317" s="243"/>
      <c r="LB317" s="243"/>
      <c r="LC317" s="243"/>
      <c r="LD317" s="243"/>
      <c r="LE317" s="243"/>
      <c r="LF317" s="243"/>
      <c r="LG317" s="243"/>
      <c r="LH317" s="243"/>
      <c r="LI317" s="243"/>
      <c r="LJ317" s="243"/>
      <c r="LK317" s="243"/>
      <c r="LL317" s="243"/>
      <c r="LM317" s="243"/>
      <c r="LN317" s="243"/>
      <c r="LO317" s="243"/>
      <c r="LP317" s="243"/>
      <c r="LQ317" s="243"/>
      <c r="LR317" s="243"/>
      <c r="LS317" s="243"/>
      <c r="LT317" s="243"/>
      <c r="LU317" s="243"/>
      <c r="LV317" s="243"/>
      <c r="LW317" s="243"/>
      <c r="LX317" s="243"/>
      <c r="LY317" s="243"/>
      <c r="LZ317" s="243"/>
      <c r="MA317" s="243"/>
      <c r="MB317" s="243"/>
      <c r="MC317" s="243"/>
      <c r="MD317" s="243"/>
      <c r="ME317" s="243"/>
      <c r="MF317" s="243"/>
      <c r="MG317" s="243"/>
      <c r="MH317" s="243"/>
      <c r="MI317" s="243"/>
      <c r="MJ317" s="243"/>
      <c r="MK317" s="243"/>
      <c r="ML317" s="243"/>
      <c r="MM317" s="243"/>
      <c r="MN317" s="243"/>
      <c r="MO317" s="243"/>
      <c r="MP317" s="243"/>
      <c r="MQ317" s="243"/>
      <c r="MR317" s="243"/>
      <c r="MS317" s="243"/>
      <c r="MT317" s="243"/>
      <c r="MU317" s="243"/>
      <c r="MV317" s="243"/>
      <c r="MW317" s="243"/>
      <c r="MX317" s="243"/>
      <c r="MY317" s="243"/>
      <c r="MZ317" s="243"/>
      <c r="NA317" s="243"/>
      <c r="NB317" s="243"/>
      <c r="NC317" s="243"/>
      <c r="ND317" s="243"/>
      <c r="NE317" s="243"/>
      <c r="NF317" s="243"/>
      <c r="NG317" s="243"/>
      <c r="NH317" s="243"/>
      <c r="NI317" s="243"/>
      <c r="NJ317" s="243"/>
      <c r="NK317" s="243"/>
      <c r="NL317" s="243"/>
      <c r="NM317" s="243"/>
      <c r="NN317" s="243"/>
      <c r="NO317" s="243"/>
      <c r="NP317" s="243"/>
      <c r="NQ317" s="243"/>
      <c r="NR317" s="243"/>
      <c r="NS317" s="243"/>
      <c r="NT317" s="243"/>
      <c r="NU317" s="243"/>
      <c r="NV317" s="243"/>
      <c r="NW317" s="243"/>
      <c r="NX317" s="243"/>
      <c r="NY317" s="243"/>
      <c r="NZ317" s="243"/>
      <c r="OA317" s="243"/>
      <c r="OB317" s="243"/>
      <c r="OC317" s="243"/>
      <c r="OD317" s="243"/>
      <c r="OE317" s="243"/>
      <c r="OF317" s="243"/>
      <c r="OG317" s="243"/>
      <c r="OH317" s="243"/>
      <c r="OI317" s="243"/>
      <c r="OJ317" s="243"/>
      <c r="OK317" s="243"/>
      <c r="OL317" s="243"/>
      <c r="OM317" s="243"/>
      <c r="ON317" s="243"/>
      <c r="OO317" s="243"/>
      <c r="OP317" s="243"/>
      <c r="OQ317" s="243"/>
      <c r="OR317" s="243"/>
      <c r="OS317" s="243"/>
      <c r="OT317" s="243"/>
      <c r="OU317" s="243"/>
      <c r="OV317" s="243"/>
      <c r="OW317" s="243"/>
      <c r="OX317" s="243"/>
      <c r="OY317" s="243"/>
      <c r="OZ317" s="243"/>
      <c r="PA317" s="243"/>
      <c r="PB317" s="243"/>
      <c r="PC317" s="243"/>
      <c r="PD317" s="243"/>
      <c r="PE317" s="243"/>
      <c r="PF317" s="243"/>
      <c r="PG317" s="243"/>
      <c r="PH317" s="243"/>
      <c r="PI317" s="243"/>
      <c r="PJ317" s="243"/>
      <c r="PK317" s="243"/>
      <c r="PL317" s="243"/>
      <c r="PM317" s="243"/>
      <c r="PN317" s="243"/>
      <c r="PO317" s="243"/>
      <c r="PP317" s="243"/>
      <c r="PQ317" s="243"/>
      <c r="PR317" s="243"/>
      <c r="PS317" s="243"/>
      <c r="PT317" s="243"/>
      <c r="PU317" s="243"/>
      <c r="PV317" s="243"/>
      <c r="PW317" s="243"/>
      <c r="PX317" s="243"/>
      <c r="PY317" s="243"/>
      <c r="PZ317" s="243"/>
      <c r="QA317" s="243"/>
      <c r="QB317" s="243"/>
      <c r="QC317" s="243"/>
      <c r="QD317" s="243"/>
      <c r="QE317" s="243"/>
      <c r="QF317" s="243"/>
      <c r="QG317" s="243"/>
      <c r="QH317" s="243"/>
      <c r="QI317" s="243"/>
      <c r="QJ317" s="243"/>
      <c r="QK317" s="243"/>
      <c r="QL317" s="243"/>
      <c r="QM317" s="243"/>
      <c r="QN317" s="243"/>
      <c r="QO317" s="243"/>
      <c r="QP317" s="243"/>
      <c r="QQ317" s="243"/>
      <c r="QR317" s="243"/>
      <c r="QS317" s="243"/>
      <c r="QT317" s="243"/>
      <c r="QU317" s="243"/>
      <c r="QV317" s="243"/>
      <c r="QW317" s="243"/>
      <c r="QX317" s="243"/>
      <c r="QY317" s="243"/>
      <c r="QZ317" s="243"/>
      <c r="RA317" s="243"/>
      <c r="RB317" s="243"/>
      <c r="RC317" s="243"/>
      <c r="RD317" s="243"/>
      <c r="RE317" s="243"/>
      <c r="RF317" s="243"/>
      <c r="RG317" s="243"/>
      <c r="RH317" s="243"/>
      <c r="RI317" s="243"/>
      <c r="RJ317" s="243"/>
      <c r="RK317" s="243"/>
      <c r="RL317" s="243"/>
      <c r="RM317" s="243"/>
      <c r="RN317" s="243"/>
      <c r="RO317" s="243"/>
      <c r="RP317" s="243"/>
      <c r="RQ317" s="243"/>
      <c r="RR317" s="243"/>
      <c r="RS317" s="243"/>
      <c r="RT317" s="243"/>
      <c r="RU317" s="243"/>
      <c r="RV317" s="243"/>
      <c r="RW317" s="243"/>
      <c r="RX317" s="243"/>
      <c r="RY317" s="243"/>
      <c r="RZ317" s="243"/>
      <c r="SA317" s="243"/>
      <c r="SB317" s="243"/>
      <c r="SC317" s="243"/>
      <c r="SD317" s="243"/>
      <c r="SE317" s="243"/>
      <c r="SF317" s="243"/>
      <c r="SG317" s="243"/>
      <c r="SH317" s="243"/>
      <c r="SI317" s="243"/>
      <c r="SJ317" s="243"/>
      <c r="SK317" s="243"/>
      <c r="SL317" s="243"/>
      <c r="SM317" s="243"/>
      <c r="SN317" s="243"/>
      <c r="SO317" s="243"/>
      <c r="SP317" s="243"/>
      <c r="SQ317" s="243"/>
      <c r="SR317" s="243"/>
      <c r="SS317" s="243"/>
      <c r="ST317" s="243"/>
      <c r="SU317" s="243"/>
      <c r="SV317" s="243"/>
      <c r="SW317" s="243"/>
      <c r="SX317" s="243"/>
      <c r="SY317" s="243"/>
      <c r="SZ317" s="243"/>
      <c r="TA317" s="243"/>
      <c r="TB317" s="243"/>
      <c r="TC317" s="243"/>
      <c r="TD317" s="243"/>
      <c r="TE317" s="243"/>
      <c r="TF317" s="243"/>
      <c r="TG317" s="243"/>
      <c r="TH317" s="243"/>
      <c r="TI317" s="243"/>
      <c r="TJ317" s="243"/>
      <c r="TK317" s="243"/>
      <c r="TL317" s="243"/>
      <c r="TM317" s="243"/>
      <c r="TN317" s="243"/>
      <c r="TO317" s="243"/>
      <c r="TP317" s="243"/>
      <c r="TQ317" s="243"/>
      <c r="TR317" s="243"/>
      <c r="TS317" s="243"/>
      <c r="TT317" s="243"/>
      <c r="TU317" s="243"/>
      <c r="TV317" s="243"/>
      <c r="TW317" s="243"/>
      <c r="TX317" s="243"/>
      <c r="TY317" s="243"/>
      <c r="TZ317" s="243"/>
      <c r="UA317" s="243"/>
      <c r="UB317" s="243"/>
      <c r="UC317" s="243"/>
      <c r="UD317" s="243"/>
      <c r="UE317" s="243"/>
      <c r="UF317" s="243"/>
      <c r="UG317" s="243"/>
      <c r="UH317" s="243"/>
      <c r="UI317" s="243"/>
      <c r="UJ317" s="243"/>
      <c r="UK317" s="243"/>
      <c r="UL317" s="243"/>
      <c r="UM317" s="243"/>
      <c r="UN317" s="243"/>
      <c r="UO317" s="243"/>
      <c r="UP317" s="243"/>
      <c r="UQ317" s="243"/>
      <c r="UR317" s="243"/>
      <c r="US317" s="243"/>
      <c r="UT317" s="243"/>
      <c r="UU317" s="243"/>
      <c r="UV317" s="243"/>
      <c r="UW317" s="243"/>
      <c r="UX317" s="243"/>
      <c r="UY317" s="243"/>
      <c r="UZ317" s="243"/>
      <c r="VA317" s="243"/>
      <c r="VB317" s="243"/>
      <c r="VC317" s="243"/>
      <c r="VD317" s="243"/>
      <c r="VE317" s="243"/>
      <c r="VF317" s="243"/>
      <c r="VG317" s="243"/>
      <c r="VH317" s="243"/>
      <c r="VI317" s="243"/>
      <c r="VJ317" s="243"/>
      <c r="VK317" s="243"/>
      <c r="VL317" s="243"/>
      <c r="VM317" s="243"/>
      <c r="VN317" s="243"/>
      <c r="VO317" s="243"/>
      <c r="VP317" s="243"/>
      <c r="VQ317" s="243"/>
      <c r="VR317" s="243"/>
      <c r="VS317" s="243"/>
      <c r="VT317" s="243"/>
      <c r="VU317" s="243"/>
      <c r="VV317" s="243"/>
      <c r="VW317" s="243"/>
      <c r="VX317" s="243"/>
      <c r="VY317" s="243"/>
      <c r="VZ317" s="243"/>
      <c r="WA317" s="243"/>
      <c r="WB317" s="243"/>
      <c r="WC317" s="243"/>
      <c r="WD317" s="243"/>
      <c r="WE317" s="243"/>
      <c r="WF317" s="243"/>
      <c r="WG317" s="243"/>
      <c r="WH317" s="243"/>
      <c r="WI317" s="243"/>
      <c r="WJ317" s="243"/>
      <c r="WK317" s="243"/>
      <c r="WL317" s="243"/>
      <c r="WM317" s="243"/>
      <c r="WN317" s="243"/>
      <c r="WO317" s="243"/>
      <c r="WP317" s="243"/>
      <c r="WQ317" s="243"/>
      <c r="WR317" s="243"/>
      <c r="WS317" s="243"/>
      <c r="WT317" s="243"/>
      <c r="WU317" s="243"/>
      <c r="WV317" s="243"/>
      <c r="WW317" s="243"/>
      <c r="WX317" s="243"/>
      <c r="WY317" s="243"/>
      <c r="WZ317" s="243"/>
      <c r="XA317" s="243"/>
      <c r="XB317" s="243"/>
      <c r="XC317" s="243"/>
      <c r="XD317" s="243"/>
      <c r="XE317" s="243"/>
      <c r="XF317" s="243"/>
      <c r="XG317" s="243"/>
      <c r="XH317" s="243"/>
      <c r="XI317" s="243"/>
      <c r="XJ317" s="243"/>
      <c r="XK317" s="243"/>
      <c r="XL317" s="243"/>
      <c r="XM317" s="243"/>
      <c r="XN317" s="243"/>
      <c r="XO317" s="243"/>
      <c r="XP317" s="243"/>
      <c r="XQ317" s="243"/>
      <c r="XR317" s="243"/>
      <c r="XS317" s="243"/>
      <c r="XT317" s="243"/>
      <c r="XU317" s="243"/>
      <c r="XV317" s="243"/>
      <c r="XW317" s="243"/>
      <c r="XX317" s="243"/>
      <c r="XY317" s="243"/>
      <c r="XZ317" s="243"/>
      <c r="YA317" s="243"/>
      <c r="YB317" s="243"/>
      <c r="YC317" s="243"/>
      <c r="YD317" s="243"/>
      <c r="YE317" s="243"/>
      <c r="YF317" s="243"/>
      <c r="YG317" s="243"/>
      <c r="YH317" s="243"/>
      <c r="YI317" s="243"/>
      <c r="YJ317" s="243"/>
      <c r="YK317" s="243"/>
      <c r="YL317" s="243"/>
      <c r="YM317" s="243"/>
      <c r="YN317" s="243"/>
      <c r="YO317" s="243"/>
      <c r="YP317" s="243"/>
      <c r="YQ317" s="243"/>
      <c r="YR317" s="243"/>
      <c r="YS317" s="243"/>
      <c r="YT317" s="243"/>
      <c r="YU317" s="243"/>
      <c r="YV317" s="243"/>
      <c r="YW317" s="243"/>
      <c r="YX317" s="243"/>
      <c r="YY317" s="243"/>
      <c r="YZ317" s="243"/>
      <c r="ZA317" s="243"/>
      <c r="ZB317" s="243"/>
      <c r="ZC317" s="243"/>
      <c r="ZD317" s="243"/>
      <c r="ZE317" s="243"/>
      <c r="ZF317" s="243"/>
      <c r="ZG317" s="243"/>
      <c r="ZH317" s="243"/>
      <c r="ZI317" s="243"/>
      <c r="ZJ317" s="243"/>
      <c r="ZK317" s="243"/>
      <c r="ZL317" s="243"/>
      <c r="ZM317" s="243"/>
      <c r="ZN317" s="243"/>
      <c r="ZO317" s="243"/>
      <c r="ZP317" s="243"/>
      <c r="ZQ317" s="243"/>
      <c r="ZR317" s="243"/>
      <c r="ZS317" s="243"/>
      <c r="ZT317" s="243"/>
      <c r="ZU317" s="243"/>
      <c r="ZV317" s="243"/>
      <c r="ZW317" s="243"/>
      <c r="ZX317" s="243"/>
      <c r="ZY317" s="243"/>
      <c r="ZZ317" s="243"/>
      <c r="AAA317" s="243"/>
      <c r="AAB317" s="243"/>
      <c r="AAC317" s="243"/>
      <c r="AAD317" s="243"/>
      <c r="AAE317" s="243"/>
      <c r="AAF317" s="243"/>
      <c r="AAG317" s="243"/>
      <c r="AAH317" s="243"/>
      <c r="AAI317" s="243"/>
      <c r="AAJ317" s="243"/>
      <c r="AAK317" s="243"/>
      <c r="AAL317" s="243"/>
      <c r="AAM317" s="243"/>
      <c r="AAN317" s="243"/>
      <c r="AAO317" s="243"/>
      <c r="AAP317" s="243"/>
      <c r="AAQ317" s="243"/>
      <c r="AAR317" s="243"/>
      <c r="AAS317" s="243"/>
      <c r="AAT317" s="243"/>
      <c r="AAU317" s="243"/>
      <c r="AAV317" s="243"/>
      <c r="AAW317" s="243"/>
      <c r="AAX317" s="243"/>
      <c r="AAY317" s="243"/>
      <c r="AAZ317" s="243"/>
      <c r="ABA317" s="243"/>
      <c r="ABB317" s="243"/>
      <c r="ABC317" s="243"/>
      <c r="ABD317" s="243"/>
      <c r="ABE317" s="243"/>
      <c r="ABF317" s="243"/>
      <c r="ABG317" s="243"/>
      <c r="ABH317" s="243"/>
      <c r="ABI317" s="243"/>
      <c r="ABJ317" s="243"/>
      <c r="ABK317" s="243"/>
      <c r="ABL317" s="243"/>
      <c r="ABM317" s="243"/>
      <c r="ABN317" s="243"/>
      <c r="ABO317" s="243"/>
      <c r="ABP317" s="243"/>
      <c r="ABQ317" s="243"/>
      <c r="ABR317" s="243"/>
      <c r="ABS317" s="243"/>
      <c r="ABT317" s="243"/>
      <c r="ABU317" s="243"/>
      <c r="ABV317" s="243"/>
      <c r="ABW317" s="243"/>
      <c r="ABX317" s="243"/>
      <c r="ABY317" s="243"/>
      <c r="ABZ317" s="243"/>
      <c r="ACA317" s="243"/>
      <c r="ACB317" s="243"/>
      <c r="ACC317" s="243"/>
      <c r="ACD317" s="243"/>
      <c r="ACE317" s="243"/>
      <c r="ACF317" s="243"/>
      <c r="ACG317" s="243"/>
      <c r="ACH317" s="243"/>
      <c r="ACI317" s="243"/>
      <c r="ACJ317" s="243"/>
      <c r="ACK317" s="243"/>
      <c r="ACL317" s="243"/>
      <c r="ACM317" s="243"/>
      <c r="ACN317" s="243"/>
      <c r="ACO317" s="243"/>
      <c r="ACP317" s="243"/>
      <c r="ACQ317" s="243"/>
      <c r="ACR317" s="243"/>
      <c r="ACS317" s="243"/>
      <c r="ACT317" s="243"/>
      <c r="ACU317" s="243"/>
      <c r="ACV317" s="243"/>
      <c r="ACW317" s="243"/>
      <c r="ACX317" s="243"/>
      <c r="ACY317" s="243"/>
      <c r="ACZ317" s="243"/>
      <c r="ADA317" s="243"/>
      <c r="ADB317" s="243"/>
      <c r="ADC317" s="243"/>
      <c r="ADD317" s="243"/>
      <c r="ADE317" s="243"/>
      <c r="ADF317" s="243"/>
      <c r="ADG317" s="243"/>
      <c r="ADH317" s="243"/>
      <c r="ADI317" s="243"/>
      <c r="ADJ317" s="243"/>
      <c r="ADK317" s="243"/>
      <c r="ADL317" s="243"/>
      <c r="ADM317" s="243"/>
      <c r="ADN317" s="243"/>
      <c r="ADO317" s="243"/>
      <c r="ADP317" s="243"/>
      <c r="ADQ317" s="243"/>
      <c r="ADR317" s="243"/>
      <c r="ADS317" s="243"/>
      <c r="ADT317" s="243"/>
      <c r="ADU317" s="243"/>
      <c r="ADV317" s="243"/>
      <c r="ADW317" s="243"/>
      <c r="ADX317" s="243"/>
      <c r="ADY317" s="243"/>
      <c r="ADZ317" s="243"/>
      <c r="AEA317" s="243"/>
      <c r="AEB317" s="243"/>
      <c r="AEC317" s="243"/>
      <c r="AED317" s="243"/>
      <c r="AEE317" s="243"/>
      <c r="AEF317" s="243"/>
      <c r="AEG317" s="243"/>
      <c r="AEH317" s="243"/>
      <c r="AEI317" s="243"/>
      <c r="AEJ317" s="243"/>
      <c r="AEK317" s="243"/>
      <c r="AEL317" s="243"/>
      <c r="AEM317" s="243"/>
      <c r="AEN317" s="243"/>
      <c r="AEO317" s="243"/>
      <c r="AEP317" s="243"/>
      <c r="AEQ317" s="243"/>
      <c r="AER317" s="243"/>
      <c r="AES317" s="243"/>
      <c r="AET317" s="243"/>
      <c r="AEU317" s="243"/>
      <c r="AEV317" s="243"/>
      <c r="AEW317" s="243"/>
      <c r="AEX317" s="243"/>
      <c r="AEY317" s="243"/>
      <c r="AEZ317" s="243"/>
      <c r="AFA317" s="243"/>
      <c r="AFB317" s="243"/>
      <c r="AFC317" s="243"/>
      <c r="AFD317" s="243"/>
      <c r="AFE317" s="243"/>
      <c r="AFF317" s="243"/>
      <c r="AFG317" s="243"/>
      <c r="AFH317" s="243"/>
      <c r="AFI317" s="243"/>
      <c r="AFJ317" s="243"/>
      <c r="AFK317" s="243"/>
      <c r="AFL317" s="243"/>
      <c r="AFM317" s="243"/>
      <c r="AFN317" s="243"/>
      <c r="AFO317" s="243"/>
      <c r="AFP317" s="243"/>
      <c r="AFQ317" s="243"/>
      <c r="AFR317" s="243"/>
      <c r="AFS317" s="243"/>
      <c r="AFT317" s="243"/>
      <c r="AFU317" s="243"/>
      <c r="AFV317" s="243"/>
      <c r="AFW317" s="243"/>
      <c r="AFX317" s="243"/>
      <c r="AFY317" s="243"/>
      <c r="AFZ317" s="243"/>
      <c r="AGA317" s="243"/>
      <c r="AGB317" s="243"/>
      <c r="AGC317" s="243"/>
      <c r="AGD317" s="243"/>
      <c r="AGE317" s="243"/>
      <c r="AGF317" s="243"/>
      <c r="AGG317" s="243"/>
      <c r="AGH317" s="243"/>
      <c r="AGI317" s="243"/>
      <c r="AGJ317" s="243"/>
      <c r="AGK317" s="243"/>
      <c r="AGL317" s="243"/>
      <c r="AGM317" s="243"/>
      <c r="AGN317" s="243"/>
      <c r="AGO317" s="243"/>
      <c r="AGP317" s="243"/>
      <c r="AGQ317" s="243"/>
      <c r="AGR317" s="243"/>
      <c r="AGS317" s="243"/>
      <c r="AGT317" s="243"/>
      <c r="AGU317" s="243"/>
      <c r="AGV317" s="243"/>
      <c r="AGW317" s="243"/>
      <c r="AGX317" s="243"/>
      <c r="AGY317" s="243"/>
      <c r="AGZ317" s="243"/>
      <c r="AHA317" s="243"/>
      <c r="AHB317" s="243"/>
      <c r="AHC317" s="243"/>
      <c r="AHD317" s="243"/>
      <c r="AHE317" s="243"/>
      <c r="AHF317" s="243"/>
      <c r="AHG317" s="243"/>
      <c r="AHH317" s="243"/>
      <c r="AHI317" s="243"/>
      <c r="AHJ317" s="243"/>
      <c r="AHK317" s="243"/>
      <c r="AHL317" s="243"/>
      <c r="AHM317" s="243"/>
      <c r="AHN317" s="243"/>
      <c r="AHO317" s="243"/>
      <c r="AHP317" s="243"/>
      <c r="AHQ317" s="243"/>
      <c r="AHR317" s="243"/>
      <c r="AHS317" s="243"/>
      <c r="AHT317" s="243"/>
      <c r="AHU317" s="243"/>
      <c r="AHV317" s="243"/>
      <c r="AHW317" s="243"/>
      <c r="AHX317" s="243"/>
      <c r="AHY317" s="243"/>
      <c r="AHZ317" s="243"/>
      <c r="AIA317" s="243"/>
      <c r="AIB317" s="243"/>
      <c r="AIC317" s="243"/>
      <c r="AID317" s="243"/>
      <c r="AIE317" s="243"/>
      <c r="AIF317" s="243"/>
      <c r="AIG317" s="243"/>
      <c r="AIH317" s="243"/>
      <c r="AII317" s="243"/>
      <c r="AIJ317" s="243"/>
      <c r="AIK317" s="243"/>
      <c r="AIL317" s="243"/>
      <c r="AIM317" s="243"/>
      <c r="AIN317" s="243"/>
      <c r="AIO317" s="243"/>
      <c r="AIP317" s="243"/>
      <c r="AIQ317" s="243"/>
      <c r="AIR317" s="243"/>
      <c r="AIS317" s="243"/>
      <c r="AIT317" s="243"/>
      <c r="AIU317" s="243"/>
      <c r="AIV317" s="243"/>
      <c r="AIW317" s="243"/>
      <c r="AIX317" s="243"/>
      <c r="AIY317" s="243"/>
      <c r="AIZ317" s="243"/>
      <c r="AJA317" s="243"/>
      <c r="AJB317" s="243"/>
      <c r="AJC317" s="243"/>
      <c r="AJD317" s="243"/>
      <c r="AJE317" s="243"/>
      <c r="AJF317" s="243"/>
      <c r="AJG317" s="243"/>
      <c r="AJH317" s="243"/>
      <c r="AJI317" s="243"/>
      <c r="AJJ317" s="243"/>
      <c r="AJK317" s="243"/>
      <c r="AJL317" s="243"/>
      <c r="AJM317" s="243"/>
      <c r="AJN317" s="243"/>
      <c r="AJO317" s="243"/>
      <c r="AJP317" s="243"/>
      <c r="AJQ317" s="243"/>
      <c r="AJR317" s="243"/>
      <c r="AJS317" s="243"/>
      <c r="AJT317" s="243"/>
      <c r="AJU317" s="243"/>
      <c r="AJV317" s="243"/>
      <c r="AJW317" s="243"/>
      <c r="AJX317" s="243"/>
      <c r="AJY317" s="243"/>
      <c r="AJZ317" s="243"/>
      <c r="AKA317" s="243"/>
      <c r="AKB317" s="243"/>
      <c r="AKC317" s="243"/>
      <c r="AKD317" s="243"/>
      <c r="AKE317" s="243"/>
      <c r="AKF317" s="243"/>
      <c r="AKG317" s="243"/>
      <c r="AKH317" s="243"/>
      <c r="AKI317" s="243"/>
      <c r="AKJ317" s="243"/>
      <c r="AKK317" s="243"/>
      <c r="AKL317" s="243"/>
      <c r="AKM317" s="243"/>
      <c r="AKN317" s="243"/>
      <c r="AKO317" s="243"/>
      <c r="AKP317" s="243"/>
      <c r="AKQ317" s="243"/>
      <c r="AKR317" s="243"/>
      <c r="AKS317" s="243"/>
      <c r="AKT317" s="243"/>
      <c r="AKU317" s="243"/>
      <c r="AKV317" s="243"/>
      <c r="AKW317" s="243"/>
      <c r="AKX317" s="243"/>
      <c r="AKY317" s="243"/>
      <c r="AKZ317" s="243"/>
      <c r="ALA317" s="243"/>
      <c r="ALB317" s="243"/>
      <c r="ALC317" s="243"/>
      <c r="ALD317" s="243"/>
      <c r="ALE317" s="243"/>
      <c r="ALF317" s="243"/>
      <c r="ALG317" s="243"/>
      <c r="ALH317" s="243"/>
      <c r="ALI317" s="243"/>
      <c r="ALJ317" s="243"/>
      <c r="ALK317" s="243"/>
      <c r="ALL317" s="243"/>
      <c r="ALM317" s="243"/>
      <c r="ALN317" s="243"/>
      <c r="ALO317" s="243"/>
      <c r="ALP317" s="243"/>
      <c r="ALQ317" s="243"/>
      <c r="ALR317" s="243"/>
      <c r="ALS317" s="243"/>
      <c r="ALT317" s="243"/>
      <c r="ALU317" s="243"/>
      <c r="ALV317" s="243"/>
      <c r="ALW317" s="243"/>
      <c r="ALX317" s="243"/>
      <c r="ALY317" s="243"/>
      <c r="ALZ317" s="243"/>
      <c r="AMA317" s="243"/>
      <c r="AMB317" s="243"/>
      <c r="AMC317" s="243"/>
      <c r="AMD317" s="243"/>
      <c r="AME317" s="243"/>
      <c r="AMF317" s="243"/>
      <c r="AMG317" s="243"/>
      <c r="AMH317" s="243"/>
      <c r="AMI317" s="244"/>
      <c r="AMJ317" s="244"/>
    </row>
    <row r="318" spans="1:1024">
      <c r="A318" s="1012" t="s">
        <v>26</v>
      </c>
      <c r="B318" s="1013"/>
      <c r="C318" s="1013"/>
      <c r="D318" s="1014"/>
      <c r="E318" s="441">
        <f>SUM(E316:E317)</f>
        <v>2200000</v>
      </c>
      <c r="F318" s="384" t="s">
        <v>26</v>
      </c>
      <c r="G318" s="385">
        <v>0</v>
      </c>
      <c r="H318" s="1015"/>
      <c r="I318" s="1015"/>
      <c r="J318" s="1015"/>
      <c r="K318" s="1015"/>
      <c r="L318" s="1015"/>
      <c r="M318" s="1015"/>
      <c r="N318" s="1016" t="s">
        <v>27</v>
      </c>
      <c r="O318" s="1017"/>
      <c r="P318" s="1018"/>
      <c r="Q318" s="386" t="e">
        <v>#REF!</v>
      </c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3"/>
      <c r="AI318" s="243"/>
      <c r="AJ318" s="243"/>
      <c r="AK318" s="243"/>
      <c r="AL318" s="243"/>
      <c r="AM318" s="243"/>
      <c r="AN318" s="243"/>
      <c r="AO318" s="243"/>
      <c r="AP318" s="243"/>
      <c r="AQ318" s="243"/>
      <c r="AR318" s="243"/>
      <c r="AS318" s="243"/>
      <c r="AT318" s="243"/>
      <c r="AU318" s="243"/>
      <c r="AV318" s="243"/>
      <c r="AW318" s="243"/>
      <c r="AX318" s="243"/>
      <c r="AY318" s="243"/>
      <c r="AZ318" s="243"/>
      <c r="BA318" s="243"/>
      <c r="BB318" s="243"/>
      <c r="BC318" s="243"/>
      <c r="BD318" s="243"/>
      <c r="BE318" s="243"/>
      <c r="BF318" s="243"/>
      <c r="BG318" s="243"/>
      <c r="BH318" s="243"/>
      <c r="BI318" s="243"/>
      <c r="BJ318" s="243"/>
      <c r="BK318" s="243"/>
      <c r="BL318" s="243"/>
      <c r="BM318" s="243"/>
      <c r="BN318" s="243"/>
      <c r="BO318" s="243"/>
      <c r="BP318" s="243"/>
      <c r="BQ318" s="243"/>
      <c r="BR318" s="243"/>
      <c r="BS318" s="243"/>
      <c r="BT318" s="243"/>
      <c r="BU318" s="243"/>
      <c r="BV318" s="243"/>
      <c r="BW318" s="243"/>
      <c r="BX318" s="243"/>
      <c r="BY318" s="243"/>
      <c r="BZ318" s="243"/>
      <c r="CA318" s="243"/>
      <c r="CB318" s="243"/>
      <c r="CC318" s="243"/>
      <c r="CD318" s="243"/>
      <c r="CE318" s="243"/>
      <c r="CF318" s="243"/>
      <c r="CG318" s="243"/>
      <c r="CH318" s="243"/>
      <c r="CI318" s="243"/>
      <c r="CJ318" s="243"/>
      <c r="CK318" s="243"/>
      <c r="CL318" s="243"/>
      <c r="CM318" s="243"/>
      <c r="CN318" s="243"/>
      <c r="CO318" s="243"/>
      <c r="CP318" s="243"/>
      <c r="CQ318" s="243"/>
      <c r="CR318" s="243"/>
      <c r="CS318" s="243"/>
      <c r="CT318" s="243"/>
      <c r="CU318" s="243"/>
      <c r="CV318" s="243"/>
      <c r="CW318" s="243"/>
      <c r="CX318" s="243"/>
      <c r="CY318" s="243"/>
      <c r="CZ318" s="243"/>
      <c r="DA318" s="243"/>
      <c r="DB318" s="243"/>
      <c r="DC318" s="243"/>
      <c r="DD318" s="243"/>
      <c r="DE318" s="243"/>
      <c r="DF318" s="243"/>
      <c r="DG318" s="243"/>
      <c r="DH318" s="243"/>
      <c r="DI318" s="243"/>
      <c r="DJ318" s="243"/>
      <c r="DK318" s="243"/>
      <c r="DL318" s="243"/>
      <c r="DM318" s="243"/>
      <c r="DN318" s="243"/>
      <c r="DO318" s="243"/>
      <c r="DP318" s="243"/>
      <c r="DQ318" s="243"/>
      <c r="DR318" s="243"/>
      <c r="DS318" s="243"/>
      <c r="DT318" s="243"/>
      <c r="DU318" s="243"/>
      <c r="DV318" s="243"/>
      <c r="DW318" s="243"/>
      <c r="DX318" s="243"/>
      <c r="DY318" s="243"/>
      <c r="DZ318" s="243"/>
      <c r="EA318" s="243"/>
      <c r="EB318" s="243"/>
      <c r="EC318" s="243"/>
      <c r="ED318" s="243"/>
      <c r="EE318" s="243"/>
      <c r="EF318" s="243"/>
      <c r="EG318" s="243"/>
      <c r="EH318" s="243"/>
      <c r="EI318" s="243"/>
      <c r="EJ318" s="243"/>
      <c r="EK318" s="243"/>
      <c r="EL318" s="243"/>
      <c r="EM318" s="243"/>
      <c r="EN318" s="243"/>
      <c r="EO318" s="243"/>
      <c r="EP318" s="243"/>
      <c r="EQ318" s="243"/>
      <c r="ER318" s="243"/>
      <c r="ES318" s="243"/>
      <c r="ET318" s="243"/>
      <c r="EU318" s="243"/>
      <c r="EV318" s="243"/>
      <c r="EW318" s="243"/>
      <c r="EX318" s="243"/>
      <c r="EY318" s="243"/>
      <c r="EZ318" s="243"/>
      <c r="FA318" s="243"/>
      <c r="FB318" s="243"/>
      <c r="FC318" s="243"/>
      <c r="FD318" s="243"/>
      <c r="FE318" s="243"/>
      <c r="FF318" s="243"/>
      <c r="FG318" s="243"/>
      <c r="FH318" s="243"/>
      <c r="FI318" s="243"/>
      <c r="FJ318" s="243"/>
      <c r="FK318" s="243"/>
      <c r="FL318" s="243"/>
      <c r="FM318" s="243"/>
      <c r="FN318" s="243"/>
      <c r="FO318" s="243"/>
      <c r="FP318" s="243"/>
      <c r="FQ318" s="243"/>
      <c r="FR318" s="243"/>
      <c r="FS318" s="243"/>
      <c r="FT318" s="243"/>
      <c r="FU318" s="243"/>
      <c r="FV318" s="243"/>
      <c r="FW318" s="243"/>
      <c r="FX318" s="243"/>
      <c r="FY318" s="243"/>
      <c r="FZ318" s="243"/>
      <c r="GA318" s="243"/>
      <c r="GB318" s="243"/>
      <c r="GC318" s="243"/>
      <c r="GD318" s="243"/>
      <c r="GE318" s="243"/>
      <c r="GF318" s="243"/>
      <c r="GG318" s="243"/>
      <c r="GH318" s="243"/>
      <c r="GI318" s="243"/>
      <c r="GJ318" s="243"/>
      <c r="GK318" s="243"/>
      <c r="GL318" s="243"/>
      <c r="GM318" s="243"/>
      <c r="GN318" s="243"/>
      <c r="GO318" s="243"/>
      <c r="GP318" s="243"/>
      <c r="GQ318" s="243"/>
      <c r="GR318" s="243"/>
      <c r="GS318" s="243"/>
      <c r="GT318" s="243"/>
      <c r="GU318" s="243"/>
      <c r="GV318" s="243"/>
      <c r="GW318" s="243"/>
      <c r="GX318" s="243"/>
      <c r="GY318" s="243"/>
      <c r="GZ318" s="243"/>
      <c r="HA318" s="243"/>
      <c r="HB318" s="243"/>
      <c r="HC318" s="243"/>
      <c r="HD318" s="243"/>
      <c r="HE318" s="243"/>
      <c r="HF318" s="243"/>
      <c r="HG318" s="243"/>
      <c r="HH318" s="243"/>
      <c r="HI318" s="243"/>
      <c r="HJ318" s="243"/>
      <c r="HK318" s="243"/>
      <c r="HL318" s="243"/>
      <c r="HM318" s="243"/>
      <c r="HN318" s="243"/>
      <c r="HO318" s="243"/>
      <c r="HP318" s="243"/>
      <c r="HQ318" s="243"/>
      <c r="HR318" s="243"/>
      <c r="HS318" s="243"/>
      <c r="HT318" s="243"/>
      <c r="HU318" s="243"/>
      <c r="HV318" s="243"/>
      <c r="HW318" s="243"/>
      <c r="HX318" s="243"/>
      <c r="HY318" s="243"/>
      <c r="HZ318" s="243"/>
      <c r="IA318" s="243"/>
      <c r="IB318" s="243"/>
      <c r="IC318" s="243"/>
      <c r="ID318" s="243"/>
      <c r="IE318" s="243"/>
      <c r="IF318" s="243"/>
      <c r="IG318" s="243"/>
      <c r="IH318" s="243"/>
      <c r="II318" s="243"/>
      <c r="IJ318" s="243"/>
      <c r="IK318" s="243"/>
      <c r="IL318" s="243"/>
      <c r="IM318" s="243"/>
      <c r="IN318" s="243"/>
      <c r="IO318" s="243"/>
      <c r="IP318" s="243"/>
      <c r="IQ318" s="243"/>
      <c r="IR318" s="243"/>
      <c r="IS318" s="243"/>
      <c r="IT318" s="243"/>
      <c r="IU318" s="243"/>
      <c r="IV318" s="243"/>
      <c r="IW318" s="243"/>
      <c r="IX318" s="243"/>
      <c r="IY318" s="243"/>
      <c r="IZ318" s="243"/>
      <c r="JA318" s="243"/>
      <c r="JB318" s="243"/>
      <c r="JC318" s="243"/>
      <c r="JD318" s="243"/>
      <c r="JE318" s="243"/>
      <c r="JF318" s="243"/>
      <c r="JG318" s="243"/>
      <c r="JH318" s="243"/>
      <c r="JI318" s="243"/>
      <c r="JJ318" s="243"/>
      <c r="JK318" s="243"/>
      <c r="JL318" s="243"/>
      <c r="JM318" s="243"/>
      <c r="JN318" s="243"/>
      <c r="JO318" s="243"/>
      <c r="JP318" s="243"/>
      <c r="JQ318" s="243"/>
      <c r="JR318" s="243"/>
      <c r="JS318" s="243"/>
      <c r="JT318" s="243"/>
      <c r="JU318" s="243"/>
      <c r="JV318" s="243"/>
      <c r="JW318" s="243"/>
      <c r="JX318" s="243"/>
      <c r="JY318" s="243"/>
      <c r="JZ318" s="243"/>
      <c r="KA318" s="243"/>
      <c r="KB318" s="243"/>
      <c r="KC318" s="243"/>
      <c r="KD318" s="243"/>
      <c r="KE318" s="243"/>
      <c r="KF318" s="243"/>
      <c r="KG318" s="243"/>
      <c r="KH318" s="243"/>
      <c r="KI318" s="243"/>
      <c r="KJ318" s="243"/>
      <c r="KK318" s="243"/>
      <c r="KL318" s="243"/>
      <c r="KM318" s="243"/>
      <c r="KN318" s="243"/>
      <c r="KO318" s="243"/>
      <c r="KP318" s="243"/>
      <c r="KQ318" s="243"/>
      <c r="KR318" s="243"/>
      <c r="KS318" s="243"/>
      <c r="KT318" s="243"/>
      <c r="KU318" s="243"/>
      <c r="KV318" s="243"/>
      <c r="KW318" s="243"/>
      <c r="KX318" s="243"/>
      <c r="KY318" s="243"/>
      <c r="KZ318" s="243"/>
      <c r="LA318" s="243"/>
      <c r="LB318" s="243"/>
      <c r="LC318" s="243"/>
      <c r="LD318" s="243"/>
      <c r="LE318" s="243"/>
      <c r="LF318" s="243"/>
      <c r="LG318" s="243"/>
      <c r="LH318" s="243"/>
      <c r="LI318" s="243"/>
      <c r="LJ318" s="243"/>
      <c r="LK318" s="243"/>
      <c r="LL318" s="243"/>
      <c r="LM318" s="243"/>
      <c r="LN318" s="243"/>
      <c r="LO318" s="243"/>
      <c r="LP318" s="243"/>
      <c r="LQ318" s="243"/>
      <c r="LR318" s="243"/>
      <c r="LS318" s="243"/>
      <c r="LT318" s="243"/>
      <c r="LU318" s="243"/>
      <c r="LV318" s="243"/>
      <c r="LW318" s="243"/>
      <c r="LX318" s="243"/>
      <c r="LY318" s="243"/>
      <c r="LZ318" s="243"/>
      <c r="MA318" s="243"/>
      <c r="MB318" s="243"/>
      <c r="MC318" s="243"/>
      <c r="MD318" s="243"/>
      <c r="ME318" s="243"/>
      <c r="MF318" s="243"/>
      <c r="MG318" s="243"/>
      <c r="MH318" s="243"/>
      <c r="MI318" s="243"/>
      <c r="MJ318" s="243"/>
      <c r="MK318" s="243"/>
      <c r="ML318" s="243"/>
      <c r="MM318" s="243"/>
      <c r="MN318" s="243"/>
      <c r="MO318" s="243"/>
      <c r="MP318" s="243"/>
      <c r="MQ318" s="243"/>
      <c r="MR318" s="243"/>
      <c r="MS318" s="243"/>
      <c r="MT318" s="243"/>
      <c r="MU318" s="243"/>
      <c r="MV318" s="243"/>
      <c r="MW318" s="243"/>
      <c r="MX318" s="243"/>
      <c r="MY318" s="243"/>
      <c r="MZ318" s="243"/>
      <c r="NA318" s="243"/>
      <c r="NB318" s="243"/>
      <c r="NC318" s="243"/>
      <c r="ND318" s="243"/>
      <c r="NE318" s="243"/>
      <c r="NF318" s="243"/>
      <c r="NG318" s="243"/>
      <c r="NH318" s="243"/>
      <c r="NI318" s="243"/>
      <c r="NJ318" s="243"/>
      <c r="NK318" s="243"/>
      <c r="NL318" s="243"/>
      <c r="NM318" s="243"/>
      <c r="NN318" s="243"/>
      <c r="NO318" s="243"/>
      <c r="NP318" s="243"/>
      <c r="NQ318" s="243"/>
      <c r="NR318" s="243"/>
      <c r="NS318" s="243"/>
      <c r="NT318" s="243"/>
      <c r="NU318" s="243"/>
      <c r="NV318" s="243"/>
      <c r="NW318" s="243"/>
      <c r="NX318" s="243"/>
      <c r="NY318" s="243"/>
      <c r="NZ318" s="243"/>
      <c r="OA318" s="243"/>
      <c r="OB318" s="243"/>
      <c r="OC318" s="243"/>
      <c r="OD318" s="243"/>
      <c r="OE318" s="243"/>
      <c r="OF318" s="243"/>
      <c r="OG318" s="243"/>
      <c r="OH318" s="243"/>
      <c r="OI318" s="243"/>
      <c r="OJ318" s="243"/>
      <c r="OK318" s="243"/>
      <c r="OL318" s="243"/>
      <c r="OM318" s="243"/>
      <c r="ON318" s="243"/>
      <c r="OO318" s="243"/>
      <c r="OP318" s="243"/>
      <c r="OQ318" s="243"/>
      <c r="OR318" s="243"/>
      <c r="OS318" s="243"/>
      <c r="OT318" s="243"/>
      <c r="OU318" s="243"/>
      <c r="OV318" s="243"/>
      <c r="OW318" s="243"/>
      <c r="OX318" s="243"/>
      <c r="OY318" s="243"/>
      <c r="OZ318" s="243"/>
      <c r="PA318" s="243"/>
      <c r="PB318" s="243"/>
      <c r="PC318" s="243"/>
      <c r="PD318" s="243"/>
      <c r="PE318" s="243"/>
      <c r="PF318" s="243"/>
      <c r="PG318" s="243"/>
      <c r="PH318" s="243"/>
      <c r="PI318" s="243"/>
      <c r="PJ318" s="243"/>
      <c r="PK318" s="243"/>
      <c r="PL318" s="243"/>
      <c r="PM318" s="243"/>
      <c r="PN318" s="243"/>
      <c r="PO318" s="243"/>
      <c r="PP318" s="243"/>
      <c r="PQ318" s="243"/>
      <c r="PR318" s="243"/>
      <c r="PS318" s="243"/>
      <c r="PT318" s="243"/>
      <c r="PU318" s="243"/>
      <c r="PV318" s="243"/>
      <c r="PW318" s="243"/>
      <c r="PX318" s="243"/>
      <c r="PY318" s="243"/>
      <c r="PZ318" s="243"/>
      <c r="QA318" s="243"/>
      <c r="QB318" s="243"/>
      <c r="QC318" s="243"/>
      <c r="QD318" s="243"/>
      <c r="QE318" s="243"/>
      <c r="QF318" s="243"/>
      <c r="QG318" s="243"/>
      <c r="QH318" s="243"/>
      <c r="QI318" s="243"/>
      <c r="QJ318" s="243"/>
      <c r="QK318" s="243"/>
      <c r="QL318" s="243"/>
      <c r="QM318" s="243"/>
      <c r="QN318" s="243"/>
      <c r="QO318" s="243"/>
      <c r="QP318" s="243"/>
      <c r="QQ318" s="243"/>
      <c r="QR318" s="243"/>
      <c r="QS318" s="243"/>
      <c r="QT318" s="243"/>
      <c r="QU318" s="243"/>
      <c r="QV318" s="243"/>
      <c r="QW318" s="243"/>
      <c r="QX318" s="243"/>
      <c r="QY318" s="243"/>
      <c r="QZ318" s="243"/>
      <c r="RA318" s="243"/>
      <c r="RB318" s="243"/>
      <c r="RC318" s="243"/>
      <c r="RD318" s="243"/>
      <c r="RE318" s="243"/>
      <c r="RF318" s="243"/>
      <c r="RG318" s="243"/>
      <c r="RH318" s="243"/>
      <c r="RI318" s="243"/>
      <c r="RJ318" s="243"/>
      <c r="RK318" s="243"/>
      <c r="RL318" s="243"/>
      <c r="RM318" s="243"/>
      <c r="RN318" s="243"/>
      <c r="RO318" s="243"/>
      <c r="RP318" s="243"/>
      <c r="RQ318" s="243"/>
      <c r="RR318" s="243"/>
      <c r="RS318" s="243"/>
      <c r="RT318" s="243"/>
      <c r="RU318" s="243"/>
      <c r="RV318" s="243"/>
      <c r="RW318" s="243"/>
      <c r="RX318" s="243"/>
      <c r="RY318" s="243"/>
      <c r="RZ318" s="243"/>
      <c r="SA318" s="243"/>
      <c r="SB318" s="243"/>
      <c r="SC318" s="243"/>
      <c r="SD318" s="243"/>
      <c r="SE318" s="243"/>
      <c r="SF318" s="243"/>
      <c r="SG318" s="243"/>
      <c r="SH318" s="243"/>
      <c r="SI318" s="243"/>
      <c r="SJ318" s="243"/>
      <c r="SK318" s="243"/>
      <c r="SL318" s="243"/>
      <c r="SM318" s="243"/>
      <c r="SN318" s="243"/>
      <c r="SO318" s="243"/>
      <c r="SP318" s="243"/>
      <c r="SQ318" s="243"/>
      <c r="SR318" s="243"/>
      <c r="SS318" s="243"/>
      <c r="ST318" s="243"/>
      <c r="SU318" s="243"/>
      <c r="SV318" s="243"/>
      <c r="SW318" s="243"/>
      <c r="SX318" s="243"/>
      <c r="SY318" s="243"/>
      <c r="SZ318" s="243"/>
      <c r="TA318" s="243"/>
      <c r="TB318" s="243"/>
      <c r="TC318" s="243"/>
      <c r="TD318" s="243"/>
      <c r="TE318" s="243"/>
      <c r="TF318" s="243"/>
      <c r="TG318" s="243"/>
      <c r="TH318" s="243"/>
      <c r="TI318" s="243"/>
      <c r="TJ318" s="243"/>
      <c r="TK318" s="243"/>
      <c r="TL318" s="243"/>
      <c r="TM318" s="243"/>
      <c r="TN318" s="243"/>
      <c r="TO318" s="243"/>
      <c r="TP318" s="243"/>
      <c r="TQ318" s="243"/>
      <c r="TR318" s="243"/>
      <c r="TS318" s="243"/>
      <c r="TT318" s="243"/>
      <c r="TU318" s="243"/>
      <c r="TV318" s="243"/>
      <c r="TW318" s="243"/>
      <c r="TX318" s="243"/>
      <c r="TY318" s="243"/>
      <c r="TZ318" s="243"/>
      <c r="UA318" s="243"/>
      <c r="UB318" s="243"/>
      <c r="UC318" s="243"/>
      <c r="UD318" s="243"/>
      <c r="UE318" s="243"/>
      <c r="UF318" s="243"/>
      <c r="UG318" s="243"/>
      <c r="UH318" s="243"/>
      <c r="UI318" s="243"/>
      <c r="UJ318" s="243"/>
      <c r="UK318" s="243"/>
      <c r="UL318" s="243"/>
      <c r="UM318" s="243"/>
      <c r="UN318" s="243"/>
      <c r="UO318" s="243"/>
      <c r="UP318" s="243"/>
      <c r="UQ318" s="243"/>
      <c r="UR318" s="243"/>
      <c r="US318" s="243"/>
      <c r="UT318" s="243"/>
      <c r="UU318" s="243"/>
      <c r="UV318" s="243"/>
      <c r="UW318" s="243"/>
      <c r="UX318" s="243"/>
      <c r="UY318" s="243"/>
      <c r="UZ318" s="243"/>
      <c r="VA318" s="243"/>
      <c r="VB318" s="243"/>
      <c r="VC318" s="243"/>
      <c r="VD318" s="243"/>
      <c r="VE318" s="243"/>
      <c r="VF318" s="243"/>
      <c r="VG318" s="243"/>
      <c r="VH318" s="243"/>
      <c r="VI318" s="243"/>
      <c r="VJ318" s="243"/>
      <c r="VK318" s="243"/>
      <c r="VL318" s="243"/>
      <c r="VM318" s="243"/>
      <c r="VN318" s="243"/>
      <c r="VO318" s="243"/>
      <c r="VP318" s="243"/>
      <c r="VQ318" s="243"/>
      <c r="VR318" s="243"/>
      <c r="VS318" s="243"/>
      <c r="VT318" s="243"/>
      <c r="VU318" s="243"/>
      <c r="VV318" s="243"/>
      <c r="VW318" s="243"/>
      <c r="VX318" s="243"/>
      <c r="VY318" s="243"/>
      <c r="VZ318" s="243"/>
      <c r="WA318" s="243"/>
      <c r="WB318" s="243"/>
      <c r="WC318" s="243"/>
      <c r="WD318" s="243"/>
      <c r="WE318" s="243"/>
      <c r="WF318" s="243"/>
      <c r="WG318" s="243"/>
      <c r="WH318" s="243"/>
      <c r="WI318" s="243"/>
      <c r="WJ318" s="243"/>
      <c r="WK318" s="243"/>
      <c r="WL318" s="243"/>
      <c r="WM318" s="243"/>
      <c r="WN318" s="243"/>
      <c r="WO318" s="243"/>
      <c r="WP318" s="243"/>
      <c r="WQ318" s="243"/>
      <c r="WR318" s="243"/>
      <c r="WS318" s="243"/>
      <c r="WT318" s="243"/>
      <c r="WU318" s="243"/>
      <c r="WV318" s="243"/>
      <c r="WW318" s="243"/>
      <c r="WX318" s="243"/>
      <c r="WY318" s="243"/>
      <c r="WZ318" s="243"/>
      <c r="XA318" s="243"/>
      <c r="XB318" s="243"/>
      <c r="XC318" s="243"/>
      <c r="XD318" s="243"/>
      <c r="XE318" s="243"/>
      <c r="XF318" s="243"/>
      <c r="XG318" s="243"/>
      <c r="XH318" s="243"/>
      <c r="XI318" s="243"/>
      <c r="XJ318" s="243"/>
      <c r="XK318" s="243"/>
      <c r="XL318" s="243"/>
      <c r="XM318" s="243"/>
      <c r="XN318" s="243"/>
      <c r="XO318" s="243"/>
      <c r="XP318" s="243"/>
      <c r="XQ318" s="243"/>
      <c r="XR318" s="243"/>
      <c r="XS318" s="243"/>
      <c r="XT318" s="243"/>
      <c r="XU318" s="243"/>
      <c r="XV318" s="243"/>
      <c r="XW318" s="243"/>
      <c r="XX318" s="243"/>
      <c r="XY318" s="243"/>
      <c r="XZ318" s="243"/>
      <c r="YA318" s="243"/>
      <c r="YB318" s="243"/>
      <c r="YC318" s="243"/>
      <c r="YD318" s="243"/>
      <c r="YE318" s="243"/>
      <c r="YF318" s="243"/>
      <c r="YG318" s="243"/>
      <c r="YH318" s="243"/>
      <c r="YI318" s="243"/>
      <c r="YJ318" s="243"/>
      <c r="YK318" s="243"/>
      <c r="YL318" s="243"/>
      <c r="YM318" s="243"/>
      <c r="YN318" s="243"/>
      <c r="YO318" s="243"/>
      <c r="YP318" s="243"/>
      <c r="YQ318" s="243"/>
      <c r="YR318" s="243"/>
      <c r="YS318" s="243"/>
      <c r="YT318" s="243"/>
      <c r="YU318" s="243"/>
      <c r="YV318" s="243"/>
      <c r="YW318" s="243"/>
      <c r="YX318" s="243"/>
      <c r="YY318" s="243"/>
      <c r="YZ318" s="243"/>
      <c r="ZA318" s="243"/>
      <c r="ZB318" s="243"/>
      <c r="ZC318" s="243"/>
      <c r="ZD318" s="243"/>
      <c r="ZE318" s="243"/>
      <c r="ZF318" s="243"/>
      <c r="ZG318" s="243"/>
      <c r="ZH318" s="243"/>
      <c r="ZI318" s="243"/>
      <c r="ZJ318" s="243"/>
      <c r="ZK318" s="243"/>
      <c r="ZL318" s="243"/>
      <c r="ZM318" s="243"/>
      <c r="ZN318" s="243"/>
      <c r="ZO318" s="243"/>
      <c r="ZP318" s="243"/>
      <c r="ZQ318" s="243"/>
      <c r="ZR318" s="243"/>
      <c r="ZS318" s="243"/>
      <c r="ZT318" s="243"/>
      <c r="ZU318" s="243"/>
      <c r="ZV318" s="243"/>
      <c r="ZW318" s="243"/>
      <c r="ZX318" s="243"/>
      <c r="ZY318" s="243"/>
      <c r="ZZ318" s="243"/>
      <c r="AAA318" s="243"/>
      <c r="AAB318" s="243"/>
      <c r="AAC318" s="243"/>
      <c r="AAD318" s="243"/>
      <c r="AAE318" s="243"/>
      <c r="AAF318" s="243"/>
      <c r="AAG318" s="243"/>
      <c r="AAH318" s="243"/>
      <c r="AAI318" s="243"/>
      <c r="AAJ318" s="243"/>
      <c r="AAK318" s="243"/>
      <c r="AAL318" s="243"/>
      <c r="AAM318" s="243"/>
      <c r="AAN318" s="243"/>
      <c r="AAO318" s="243"/>
      <c r="AAP318" s="243"/>
      <c r="AAQ318" s="243"/>
      <c r="AAR318" s="243"/>
      <c r="AAS318" s="243"/>
      <c r="AAT318" s="243"/>
      <c r="AAU318" s="243"/>
      <c r="AAV318" s="243"/>
      <c r="AAW318" s="243"/>
      <c r="AAX318" s="243"/>
      <c r="AAY318" s="243"/>
      <c r="AAZ318" s="243"/>
      <c r="ABA318" s="243"/>
      <c r="ABB318" s="243"/>
      <c r="ABC318" s="243"/>
      <c r="ABD318" s="243"/>
      <c r="ABE318" s="243"/>
      <c r="ABF318" s="243"/>
      <c r="ABG318" s="243"/>
      <c r="ABH318" s="243"/>
      <c r="ABI318" s="243"/>
      <c r="ABJ318" s="243"/>
      <c r="ABK318" s="243"/>
      <c r="ABL318" s="243"/>
      <c r="ABM318" s="243"/>
      <c r="ABN318" s="243"/>
      <c r="ABO318" s="243"/>
      <c r="ABP318" s="243"/>
      <c r="ABQ318" s="243"/>
      <c r="ABR318" s="243"/>
      <c r="ABS318" s="243"/>
      <c r="ABT318" s="243"/>
      <c r="ABU318" s="243"/>
      <c r="ABV318" s="243"/>
      <c r="ABW318" s="243"/>
      <c r="ABX318" s="243"/>
      <c r="ABY318" s="243"/>
      <c r="ABZ318" s="243"/>
      <c r="ACA318" s="243"/>
      <c r="ACB318" s="243"/>
      <c r="ACC318" s="243"/>
      <c r="ACD318" s="243"/>
      <c r="ACE318" s="243"/>
      <c r="ACF318" s="243"/>
      <c r="ACG318" s="243"/>
      <c r="ACH318" s="243"/>
      <c r="ACI318" s="243"/>
      <c r="ACJ318" s="243"/>
      <c r="ACK318" s="243"/>
      <c r="ACL318" s="243"/>
      <c r="ACM318" s="243"/>
      <c r="ACN318" s="243"/>
      <c r="ACO318" s="243"/>
      <c r="ACP318" s="243"/>
      <c r="ACQ318" s="243"/>
      <c r="ACR318" s="243"/>
      <c r="ACS318" s="243"/>
      <c r="ACT318" s="243"/>
      <c r="ACU318" s="243"/>
      <c r="ACV318" s="243"/>
      <c r="ACW318" s="243"/>
      <c r="ACX318" s="243"/>
      <c r="ACY318" s="243"/>
      <c r="ACZ318" s="243"/>
      <c r="ADA318" s="243"/>
      <c r="ADB318" s="243"/>
      <c r="ADC318" s="243"/>
      <c r="ADD318" s="243"/>
      <c r="ADE318" s="243"/>
      <c r="ADF318" s="243"/>
      <c r="ADG318" s="243"/>
      <c r="ADH318" s="243"/>
      <c r="ADI318" s="243"/>
      <c r="ADJ318" s="243"/>
      <c r="ADK318" s="243"/>
      <c r="ADL318" s="243"/>
      <c r="ADM318" s="243"/>
      <c r="ADN318" s="243"/>
      <c r="ADO318" s="243"/>
      <c r="ADP318" s="243"/>
      <c r="ADQ318" s="243"/>
      <c r="ADR318" s="243"/>
      <c r="ADS318" s="243"/>
      <c r="ADT318" s="243"/>
      <c r="ADU318" s="243"/>
      <c r="ADV318" s="243"/>
      <c r="ADW318" s="243"/>
      <c r="ADX318" s="243"/>
      <c r="ADY318" s="243"/>
      <c r="ADZ318" s="243"/>
      <c r="AEA318" s="243"/>
      <c r="AEB318" s="243"/>
      <c r="AEC318" s="243"/>
      <c r="AED318" s="243"/>
      <c r="AEE318" s="243"/>
      <c r="AEF318" s="243"/>
      <c r="AEG318" s="243"/>
      <c r="AEH318" s="243"/>
      <c r="AEI318" s="243"/>
      <c r="AEJ318" s="243"/>
      <c r="AEK318" s="243"/>
      <c r="AEL318" s="243"/>
      <c r="AEM318" s="243"/>
      <c r="AEN318" s="243"/>
      <c r="AEO318" s="243"/>
      <c r="AEP318" s="243"/>
      <c r="AEQ318" s="243"/>
      <c r="AER318" s="243"/>
      <c r="AES318" s="243"/>
      <c r="AET318" s="243"/>
      <c r="AEU318" s="243"/>
      <c r="AEV318" s="243"/>
      <c r="AEW318" s="243"/>
      <c r="AEX318" s="243"/>
      <c r="AEY318" s="243"/>
      <c r="AEZ318" s="243"/>
      <c r="AFA318" s="243"/>
      <c r="AFB318" s="243"/>
      <c r="AFC318" s="243"/>
      <c r="AFD318" s="243"/>
      <c r="AFE318" s="243"/>
      <c r="AFF318" s="243"/>
      <c r="AFG318" s="243"/>
      <c r="AFH318" s="243"/>
      <c r="AFI318" s="243"/>
      <c r="AFJ318" s="243"/>
      <c r="AFK318" s="243"/>
      <c r="AFL318" s="243"/>
      <c r="AFM318" s="243"/>
      <c r="AFN318" s="243"/>
      <c r="AFO318" s="243"/>
      <c r="AFP318" s="243"/>
      <c r="AFQ318" s="243"/>
      <c r="AFR318" s="243"/>
      <c r="AFS318" s="243"/>
      <c r="AFT318" s="243"/>
      <c r="AFU318" s="243"/>
      <c r="AFV318" s="243"/>
      <c r="AFW318" s="243"/>
      <c r="AFX318" s="243"/>
      <c r="AFY318" s="243"/>
      <c r="AFZ318" s="243"/>
      <c r="AGA318" s="243"/>
      <c r="AGB318" s="243"/>
      <c r="AGC318" s="243"/>
      <c r="AGD318" s="243"/>
      <c r="AGE318" s="243"/>
      <c r="AGF318" s="243"/>
      <c r="AGG318" s="243"/>
      <c r="AGH318" s="243"/>
      <c r="AGI318" s="243"/>
      <c r="AGJ318" s="243"/>
      <c r="AGK318" s="243"/>
      <c r="AGL318" s="243"/>
      <c r="AGM318" s="243"/>
      <c r="AGN318" s="243"/>
      <c r="AGO318" s="243"/>
      <c r="AGP318" s="243"/>
      <c r="AGQ318" s="243"/>
      <c r="AGR318" s="243"/>
      <c r="AGS318" s="243"/>
      <c r="AGT318" s="243"/>
      <c r="AGU318" s="243"/>
      <c r="AGV318" s="243"/>
      <c r="AGW318" s="243"/>
      <c r="AGX318" s="243"/>
      <c r="AGY318" s="243"/>
      <c r="AGZ318" s="243"/>
      <c r="AHA318" s="243"/>
      <c r="AHB318" s="243"/>
      <c r="AHC318" s="243"/>
      <c r="AHD318" s="243"/>
      <c r="AHE318" s="243"/>
      <c r="AHF318" s="243"/>
      <c r="AHG318" s="243"/>
      <c r="AHH318" s="243"/>
      <c r="AHI318" s="243"/>
      <c r="AHJ318" s="243"/>
      <c r="AHK318" s="243"/>
      <c r="AHL318" s="243"/>
      <c r="AHM318" s="243"/>
      <c r="AHN318" s="243"/>
      <c r="AHO318" s="243"/>
      <c r="AHP318" s="243"/>
      <c r="AHQ318" s="243"/>
      <c r="AHR318" s="243"/>
      <c r="AHS318" s="243"/>
      <c r="AHT318" s="243"/>
      <c r="AHU318" s="243"/>
      <c r="AHV318" s="243"/>
      <c r="AHW318" s="243"/>
      <c r="AHX318" s="243"/>
      <c r="AHY318" s="243"/>
      <c r="AHZ318" s="243"/>
      <c r="AIA318" s="243"/>
      <c r="AIB318" s="243"/>
      <c r="AIC318" s="243"/>
      <c r="AID318" s="243"/>
      <c r="AIE318" s="243"/>
      <c r="AIF318" s="243"/>
      <c r="AIG318" s="243"/>
      <c r="AIH318" s="243"/>
      <c r="AII318" s="243"/>
      <c r="AIJ318" s="243"/>
      <c r="AIK318" s="243"/>
      <c r="AIL318" s="243"/>
      <c r="AIM318" s="243"/>
      <c r="AIN318" s="243"/>
      <c r="AIO318" s="243"/>
      <c r="AIP318" s="243"/>
      <c r="AIQ318" s="243"/>
      <c r="AIR318" s="243"/>
      <c r="AIS318" s="243"/>
      <c r="AIT318" s="243"/>
      <c r="AIU318" s="243"/>
      <c r="AIV318" s="243"/>
      <c r="AIW318" s="243"/>
      <c r="AIX318" s="243"/>
      <c r="AIY318" s="243"/>
      <c r="AIZ318" s="243"/>
      <c r="AJA318" s="243"/>
      <c r="AJB318" s="243"/>
      <c r="AJC318" s="243"/>
      <c r="AJD318" s="243"/>
      <c r="AJE318" s="243"/>
      <c r="AJF318" s="243"/>
      <c r="AJG318" s="243"/>
      <c r="AJH318" s="243"/>
      <c r="AJI318" s="243"/>
      <c r="AJJ318" s="243"/>
      <c r="AJK318" s="243"/>
      <c r="AJL318" s="243"/>
      <c r="AJM318" s="243"/>
      <c r="AJN318" s="243"/>
      <c r="AJO318" s="243"/>
      <c r="AJP318" s="243"/>
      <c r="AJQ318" s="243"/>
      <c r="AJR318" s="243"/>
      <c r="AJS318" s="243"/>
      <c r="AJT318" s="243"/>
      <c r="AJU318" s="243"/>
      <c r="AJV318" s="243"/>
      <c r="AJW318" s="243"/>
      <c r="AJX318" s="243"/>
      <c r="AJY318" s="243"/>
      <c r="AJZ318" s="243"/>
      <c r="AKA318" s="243"/>
      <c r="AKB318" s="243"/>
      <c r="AKC318" s="243"/>
      <c r="AKD318" s="243"/>
      <c r="AKE318" s="243"/>
      <c r="AKF318" s="243"/>
      <c r="AKG318" s="243"/>
      <c r="AKH318" s="243"/>
      <c r="AKI318" s="243"/>
      <c r="AKJ318" s="243"/>
      <c r="AKK318" s="243"/>
      <c r="AKL318" s="243"/>
      <c r="AKM318" s="243"/>
      <c r="AKN318" s="243"/>
      <c r="AKO318" s="243"/>
      <c r="AKP318" s="243"/>
      <c r="AKQ318" s="243"/>
      <c r="AKR318" s="243"/>
      <c r="AKS318" s="243"/>
      <c r="AKT318" s="243"/>
      <c r="AKU318" s="243"/>
      <c r="AKV318" s="243"/>
      <c r="AKW318" s="243"/>
      <c r="AKX318" s="243"/>
      <c r="AKY318" s="243"/>
      <c r="AKZ318" s="243"/>
      <c r="ALA318" s="243"/>
      <c r="ALB318" s="243"/>
      <c r="ALC318" s="243"/>
      <c r="ALD318" s="243"/>
      <c r="ALE318" s="243"/>
      <c r="ALF318" s="243"/>
      <c r="ALG318" s="243"/>
      <c r="ALH318" s="243"/>
      <c r="ALI318" s="243"/>
      <c r="ALJ318" s="243"/>
      <c r="ALK318" s="243"/>
      <c r="ALL318" s="243"/>
      <c r="ALM318" s="243"/>
      <c r="ALN318" s="243"/>
      <c r="ALO318" s="243"/>
      <c r="ALP318" s="243"/>
      <c r="ALQ318" s="243"/>
      <c r="ALR318" s="243"/>
      <c r="ALS318" s="243"/>
      <c r="ALT318" s="243"/>
      <c r="ALU318" s="243"/>
      <c r="ALV318" s="243"/>
      <c r="ALW318" s="243"/>
      <c r="ALX318" s="243"/>
      <c r="ALY318" s="243"/>
      <c r="ALZ318" s="243"/>
      <c r="AMA318" s="243"/>
      <c r="AMB318" s="243"/>
      <c r="AMC318" s="243"/>
      <c r="AMD318" s="243"/>
      <c r="AME318" s="243"/>
      <c r="AMF318" s="243"/>
      <c r="AMG318" s="243"/>
      <c r="AMH318" s="243"/>
      <c r="AMI318" s="244"/>
      <c r="AMJ318" s="244"/>
    </row>
    <row r="319" spans="1:1024">
      <c r="A319" s="382"/>
      <c r="B319" s="382"/>
      <c r="C319" s="382"/>
      <c r="D319" s="382"/>
      <c r="E319" s="440"/>
      <c r="F319" s="382"/>
      <c r="G319" s="387"/>
      <c r="H319" s="388"/>
      <c r="I319" s="388"/>
      <c r="J319" s="388"/>
      <c r="K319" s="388"/>
      <c r="L319" s="388"/>
      <c r="M319" s="388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  <c r="AD319" s="302"/>
      <c r="AE319" s="302"/>
      <c r="AF319" s="302"/>
      <c r="AG319" s="302"/>
      <c r="AH319" s="302"/>
      <c r="AI319" s="302"/>
      <c r="AJ319" s="302"/>
      <c r="AK319" s="302"/>
      <c r="AL319" s="302"/>
      <c r="AM319" s="302"/>
      <c r="AN319" s="302"/>
      <c r="AO319" s="302"/>
      <c r="AP319" s="302"/>
      <c r="AQ319" s="302"/>
      <c r="AR319" s="302"/>
      <c r="AS319" s="302"/>
      <c r="AT319" s="302"/>
      <c r="AU319" s="302"/>
      <c r="AV319" s="302"/>
      <c r="AW319" s="302"/>
      <c r="AX319" s="302"/>
      <c r="AY319" s="302"/>
      <c r="AZ319" s="302"/>
      <c r="BA319" s="302"/>
      <c r="BB319" s="302"/>
      <c r="BC319" s="302"/>
      <c r="BD319" s="302"/>
      <c r="BE319" s="302"/>
      <c r="BF319" s="302"/>
      <c r="BG319" s="302"/>
      <c r="BH319" s="302"/>
      <c r="BI319" s="302"/>
      <c r="BJ319" s="302"/>
      <c r="BK319" s="302"/>
      <c r="BL319" s="302"/>
      <c r="BM319" s="302"/>
      <c r="BN319" s="302"/>
      <c r="BO319" s="302"/>
      <c r="BP319" s="302"/>
      <c r="BQ319" s="302"/>
      <c r="BR319" s="302"/>
      <c r="BS319" s="302"/>
      <c r="BT319" s="302"/>
      <c r="BU319" s="302"/>
      <c r="BV319" s="302"/>
      <c r="BW319" s="302"/>
      <c r="BX319" s="302"/>
      <c r="BY319" s="302"/>
      <c r="BZ319" s="302"/>
      <c r="CA319" s="302"/>
      <c r="CB319" s="302"/>
      <c r="CC319" s="302"/>
      <c r="CD319" s="302"/>
      <c r="CE319" s="302"/>
      <c r="CF319" s="302"/>
      <c r="CG319" s="302"/>
      <c r="CH319" s="302"/>
      <c r="CI319" s="302"/>
      <c r="CJ319" s="302"/>
      <c r="CK319" s="302"/>
      <c r="CL319" s="302"/>
      <c r="CM319" s="302"/>
      <c r="CN319" s="302"/>
      <c r="CO319" s="302"/>
      <c r="CP319" s="302"/>
      <c r="CQ319" s="302"/>
      <c r="CR319" s="302"/>
      <c r="CS319" s="302"/>
      <c r="CT319" s="302"/>
      <c r="CU319" s="302"/>
      <c r="CV319" s="302"/>
      <c r="CW319" s="302"/>
      <c r="CX319" s="302"/>
      <c r="CY319" s="302"/>
      <c r="CZ319" s="302"/>
      <c r="DA319" s="302"/>
      <c r="DB319" s="302"/>
      <c r="DC319" s="302"/>
      <c r="DD319" s="302"/>
      <c r="DE319" s="302"/>
      <c r="DF319" s="302"/>
      <c r="DG319" s="302"/>
      <c r="DH319" s="302"/>
      <c r="DI319" s="302"/>
      <c r="DJ319" s="302"/>
      <c r="DK319" s="302"/>
      <c r="DL319" s="302"/>
      <c r="DM319" s="302"/>
      <c r="DN319" s="302"/>
      <c r="DO319" s="302"/>
      <c r="DP319" s="302"/>
      <c r="DQ319" s="302"/>
      <c r="DR319" s="302"/>
      <c r="DS319" s="302"/>
      <c r="DT319" s="302"/>
      <c r="DU319" s="302"/>
      <c r="DV319" s="302"/>
      <c r="DW319" s="302"/>
      <c r="DX319" s="302"/>
      <c r="DY319" s="302"/>
      <c r="DZ319" s="302"/>
      <c r="EA319" s="302"/>
      <c r="EB319" s="302"/>
      <c r="EC319" s="302"/>
      <c r="ED319" s="302"/>
      <c r="EE319" s="302"/>
      <c r="EF319" s="302"/>
      <c r="EG319" s="302"/>
      <c r="EH319" s="302"/>
      <c r="EI319" s="302"/>
      <c r="EJ319" s="302"/>
      <c r="EK319" s="302"/>
      <c r="EL319" s="302"/>
      <c r="EM319" s="302"/>
      <c r="EN319" s="302"/>
      <c r="EO319" s="302"/>
      <c r="EP319" s="302"/>
      <c r="EQ319" s="302"/>
      <c r="ER319" s="302"/>
      <c r="ES319" s="302"/>
      <c r="ET319" s="302"/>
      <c r="EU319" s="302"/>
      <c r="EV319" s="302"/>
      <c r="EW319" s="302"/>
      <c r="EX319" s="302"/>
      <c r="EY319" s="302"/>
      <c r="EZ319" s="302"/>
      <c r="FA319" s="302"/>
      <c r="FB319" s="302"/>
      <c r="FC319" s="302"/>
      <c r="FD319" s="302"/>
      <c r="FE319" s="302"/>
      <c r="FF319" s="302"/>
      <c r="FG319" s="302"/>
      <c r="FH319" s="302"/>
      <c r="FI319" s="302"/>
      <c r="FJ319" s="302"/>
      <c r="FK319" s="302"/>
      <c r="FL319" s="302"/>
      <c r="FM319" s="302"/>
      <c r="FN319" s="302"/>
      <c r="FO319" s="302"/>
      <c r="FP319" s="302"/>
      <c r="FQ319" s="302"/>
      <c r="FR319" s="302"/>
      <c r="FS319" s="302"/>
      <c r="FT319" s="302"/>
      <c r="FU319" s="302"/>
      <c r="FV319" s="302"/>
      <c r="FW319" s="302"/>
      <c r="FX319" s="302"/>
      <c r="FY319" s="302"/>
      <c r="FZ319" s="302"/>
      <c r="GA319" s="302"/>
      <c r="GB319" s="302"/>
      <c r="GC319" s="302"/>
      <c r="GD319" s="302"/>
      <c r="GE319" s="302"/>
      <c r="GF319" s="302"/>
      <c r="GG319" s="302"/>
      <c r="GH319" s="302"/>
      <c r="GI319" s="302"/>
      <c r="GJ319" s="302"/>
      <c r="GK319" s="302"/>
      <c r="GL319" s="302"/>
      <c r="GM319" s="302"/>
      <c r="GN319" s="302"/>
      <c r="GO319" s="302"/>
      <c r="GP319" s="302"/>
      <c r="GQ319" s="302"/>
      <c r="GR319" s="302"/>
      <c r="GS319" s="302"/>
      <c r="GT319" s="302"/>
      <c r="GU319" s="302"/>
      <c r="GV319" s="302"/>
      <c r="GW319" s="302"/>
      <c r="GX319" s="302"/>
      <c r="GY319" s="302"/>
      <c r="GZ319" s="302"/>
      <c r="HA319" s="302"/>
      <c r="HB319" s="302"/>
      <c r="HC319" s="302"/>
      <c r="HD319" s="302"/>
      <c r="HE319" s="302"/>
      <c r="HF319" s="302"/>
      <c r="HG319" s="302"/>
      <c r="HH319" s="302"/>
      <c r="HI319" s="302"/>
      <c r="HJ319" s="302"/>
      <c r="HK319" s="302"/>
      <c r="HL319" s="302"/>
      <c r="HM319" s="302"/>
      <c r="HN319" s="302"/>
      <c r="HO319" s="302"/>
      <c r="HP319" s="302"/>
      <c r="HQ319" s="302"/>
      <c r="HR319" s="302"/>
      <c r="HS319" s="302"/>
      <c r="HT319" s="302"/>
      <c r="HU319" s="302"/>
      <c r="HV319" s="302"/>
      <c r="HW319" s="302"/>
      <c r="HX319" s="302"/>
      <c r="HY319" s="302"/>
      <c r="HZ319" s="302"/>
      <c r="IA319" s="302"/>
      <c r="IB319" s="302"/>
      <c r="IC319" s="302"/>
      <c r="ID319" s="302"/>
      <c r="IE319" s="302"/>
      <c r="IF319" s="302"/>
      <c r="IG319" s="302"/>
      <c r="IH319" s="302"/>
      <c r="II319" s="302"/>
      <c r="IJ319" s="302"/>
      <c r="IK319" s="302"/>
      <c r="IL319" s="302"/>
      <c r="IM319" s="302"/>
      <c r="IN319" s="302"/>
      <c r="IO319" s="302"/>
      <c r="IP319" s="302"/>
      <c r="IQ319" s="302"/>
      <c r="IR319" s="302"/>
      <c r="IS319" s="302"/>
      <c r="IT319" s="302"/>
      <c r="IU319" s="302"/>
      <c r="IV319" s="302"/>
      <c r="IW319" s="302"/>
      <c r="IX319" s="302"/>
      <c r="IY319" s="302"/>
      <c r="IZ319" s="302"/>
      <c r="JA319" s="302"/>
      <c r="JB319" s="302"/>
      <c r="JC319" s="302"/>
      <c r="JD319" s="302"/>
      <c r="JE319" s="302"/>
      <c r="JF319" s="302"/>
      <c r="JG319" s="302"/>
      <c r="JH319" s="302"/>
      <c r="JI319" s="302"/>
      <c r="JJ319" s="302"/>
      <c r="JK319" s="302"/>
      <c r="JL319" s="302"/>
      <c r="JM319" s="302"/>
      <c r="JN319" s="302"/>
      <c r="JO319" s="302"/>
      <c r="JP319" s="302"/>
      <c r="JQ319" s="302"/>
      <c r="JR319" s="302"/>
      <c r="JS319" s="302"/>
      <c r="JT319" s="302"/>
      <c r="JU319" s="302"/>
      <c r="JV319" s="302"/>
      <c r="JW319" s="302"/>
      <c r="JX319" s="302"/>
      <c r="JY319" s="302"/>
      <c r="JZ319" s="302"/>
      <c r="KA319" s="302"/>
      <c r="KB319" s="302"/>
      <c r="KC319" s="302"/>
      <c r="KD319" s="302"/>
      <c r="KE319" s="302"/>
      <c r="KF319" s="302"/>
      <c r="KG319" s="302"/>
      <c r="KH319" s="302"/>
      <c r="KI319" s="302"/>
      <c r="KJ319" s="302"/>
      <c r="KK319" s="302"/>
      <c r="KL319" s="302"/>
      <c r="KM319" s="302"/>
      <c r="KN319" s="302"/>
      <c r="KO319" s="302"/>
      <c r="KP319" s="302"/>
      <c r="KQ319" s="302"/>
      <c r="KR319" s="302"/>
      <c r="KS319" s="302"/>
      <c r="KT319" s="302"/>
      <c r="KU319" s="302"/>
      <c r="KV319" s="302"/>
      <c r="KW319" s="302"/>
      <c r="KX319" s="302"/>
      <c r="KY319" s="302"/>
      <c r="KZ319" s="302"/>
      <c r="LA319" s="302"/>
      <c r="LB319" s="302"/>
      <c r="LC319" s="302"/>
      <c r="LD319" s="302"/>
      <c r="LE319" s="302"/>
      <c r="LF319" s="302"/>
      <c r="LG319" s="302"/>
      <c r="LH319" s="302"/>
      <c r="LI319" s="302"/>
      <c r="LJ319" s="302"/>
      <c r="LK319" s="302"/>
      <c r="LL319" s="302"/>
      <c r="LM319" s="302"/>
      <c r="LN319" s="302"/>
      <c r="LO319" s="302"/>
      <c r="LP319" s="302"/>
      <c r="LQ319" s="302"/>
      <c r="LR319" s="302"/>
      <c r="LS319" s="302"/>
      <c r="LT319" s="302"/>
      <c r="LU319" s="302"/>
      <c r="LV319" s="302"/>
      <c r="LW319" s="302"/>
      <c r="LX319" s="302"/>
      <c r="LY319" s="302"/>
      <c r="LZ319" s="302"/>
      <c r="MA319" s="302"/>
      <c r="MB319" s="302"/>
      <c r="MC319" s="302"/>
      <c r="MD319" s="302"/>
      <c r="ME319" s="302"/>
      <c r="MF319" s="302"/>
      <c r="MG319" s="302"/>
      <c r="MH319" s="302"/>
      <c r="MI319" s="302"/>
      <c r="MJ319" s="302"/>
      <c r="MK319" s="302"/>
      <c r="ML319" s="302"/>
      <c r="MM319" s="302"/>
      <c r="MN319" s="302"/>
      <c r="MO319" s="302"/>
      <c r="MP319" s="302"/>
      <c r="MQ319" s="302"/>
      <c r="MR319" s="302"/>
      <c r="MS319" s="302"/>
      <c r="MT319" s="302"/>
      <c r="MU319" s="302"/>
      <c r="MV319" s="302"/>
      <c r="MW319" s="302"/>
      <c r="MX319" s="302"/>
      <c r="MY319" s="302"/>
      <c r="MZ319" s="302"/>
      <c r="NA319" s="302"/>
      <c r="NB319" s="302"/>
      <c r="NC319" s="302"/>
      <c r="ND319" s="302"/>
      <c r="NE319" s="302"/>
      <c r="NF319" s="302"/>
      <c r="NG319" s="302"/>
      <c r="NH319" s="302"/>
      <c r="NI319" s="302"/>
      <c r="NJ319" s="302"/>
      <c r="NK319" s="302"/>
      <c r="NL319" s="302"/>
      <c r="NM319" s="302"/>
      <c r="NN319" s="302"/>
      <c r="NO319" s="302"/>
      <c r="NP319" s="302"/>
      <c r="NQ319" s="302"/>
      <c r="NR319" s="302"/>
      <c r="NS319" s="302"/>
      <c r="NT319" s="302"/>
      <c r="NU319" s="302"/>
      <c r="NV319" s="302"/>
      <c r="NW319" s="302"/>
      <c r="NX319" s="302"/>
      <c r="NY319" s="302"/>
      <c r="NZ319" s="302"/>
      <c r="OA319" s="302"/>
      <c r="OB319" s="302"/>
      <c r="OC319" s="302"/>
      <c r="OD319" s="302"/>
      <c r="OE319" s="302"/>
      <c r="OF319" s="302"/>
      <c r="OG319" s="302"/>
      <c r="OH319" s="302"/>
      <c r="OI319" s="302"/>
      <c r="OJ319" s="302"/>
      <c r="OK319" s="302"/>
      <c r="OL319" s="302"/>
      <c r="OM319" s="302"/>
      <c r="ON319" s="302"/>
      <c r="OO319" s="302"/>
      <c r="OP319" s="302"/>
      <c r="OQ319" s="302"/>
      <c r="OR319" s="302"/>
      <c r="OS319" s="302"/>
      <c r="OT319" s="302"/>
      <c r="OU319" s="302"/>
      <c r="OV319" s="302"/>
      <c r="OW319" s="302"/>
      <c r="OX319" s="302"/>
      <c r="OY319" s="302"/>
      <c r="OZ319" s="302"/>
      <c r="PA319" s="302"/>
      <c r="PB319" s="302"/>
      <c r="PC319" s="302"/>
      <c r="PD319" s="302"/>
      <c r="PE319" s="302"/>
      <c r="PF319" s="302"/>
      <c r="PG319" s="302"/>
      <c r="PH319" s="302"/>
      <c r="PI319" s="302"/>
      <c r="PJ319" s="302"/>
      <c r="PK319" s="302"/>
      <c r="PL319" s="302"/>
      <c r="PM319" s="302"/>
      <c r="PN319" s="302"/>
      <c r="PO319" s="302"/>
      <c r="PP319" s="302"/>
      <c r="PQ319" s="302"/>
      <c r="PR319" s="302"/>
      <c r="PS319" s="302"/>
      <c r="PT319" s="302"/>
      <c r="PU319" s="302"/>
      <c r="PV319" s="302"/>
      <c r="PW319" s="302"/>
      <c r="PX319" s="302"/>
      <c r="PY319" s="302"/>
      <c r="PZ319" s="302"/>
      <c r="QA319" s="302"/>
      <c r="QB319" s="302"/>
      <c r="QC319" s="302"/>
      <c r="QD319" s="302"/>
      <c r="QE319" s="302"/>
      <c r="QF319" s="302"/>
      <c r="QG319" s="302"/>
      <c r="QH319" s="302"/>
      <c r="QI319" s="302"/>
      <c r="QJ319" s="302"/>
      <c r="QK319" s="302"/>
      <c r="QL319" s="302"/>
      <c r="QM319" s="302"/>
      <c r="QN319" s="302"/>
      <c r="QO319" s="302"/>
      <c r="QP319" s="302"/>
      <c r="QQ319" s="302"/>
      <c r="QR319" s="302"/>
      <c r="QS319" s="302"/>
      <c r="QT319" s="302"/>
      <c r="QU319" s="302"/>
      <c r="QV319" s="302"/>
      <c r="QW319" s="302"/>
      <c r="QX319" s="302"/>
      <c r="QY319" s="302"/>
      <c r="QZ319" s="302"/>
      <c r="RA319" s="302"/>
      <c r="RB319" s="302"/>
      <c r="RC319" s="302"/>
      <c r="RD319" s="302"/>
      <c r="RE319" s="302"/>
      <c r="RF319" s="302"/>
      <c r="RG319" s="302"/>
      <c r="RH319" s="302"/>
      <c r="RI319" s="302"/>
      <c r="RJ319" s="302"/>
      <c r="RK319" s="302"/>
      <c r="RL319" s="302"/>
      <c r="RM319" s="302"/>
      <c r="RN319" s="302"/>
      <c r="RO319" s="302"/>
      <c r="RP319" s="302"/>
      <c r="RQ319" s="302"/>
      <c r="RR319" s="302"/>
      <c r="RS319" s="302"/>
      <c r="RT319" s="302"/>
      <c r="RU319" s="302"/>
      <c r="RV319" s="302"/>
      <c r="RW319" s="302"/>
      <c r="RX319" s="302"/>
      <c r="RY319" s="302"/>
      <c r="RZ319" s="302"/>
      <c r="SA319" s="302"/>
      <c r="SB319" s="302"/>
      <c r="SC319" s="302"/>
      <c r="SD319" s="302"/>
      <c r="SE319" s="302"/>
      <c r="SF319" s="302"/>
      <c r="SG319" s="302"/>
      <c r="SH319" s="302"/>
      <c r="SI319" s="302"/>
      <c r="SJ319" s="302"/>
      <c r="SK319" s="302"/>
      <c r="SL319" s="302"/>
      <c r="SM319" s="302"/>
      <c r="SN319" s="302"/>
      <c r="SO319" s="302"/>
      <c r="SP319" s="302"/>
      <c r="SQ319" s="302"/>
      <c r="SR319" s="302"/>
      <c r="SS319" s="302"/>
      <c r="ST319" s="302"/>
      <c r="SU319" s="302"/>
      <c r="SV319" s="302"/>
      <c r="SW319" s="302"/>
      <c r="SX319" s="302"/>
      <c r="SY319" s="302"/>
      <c r="SZ319" s="302"/>
      <c r="TA319" s="302"/>
      <c r="TB319" s="302"/>
      <c r="TC319" s="302"/>
      <c r="TD319" s="302"/>
      <c r="TE319" s="302"/>
      <c r="TF319" s="302"/>
      <c r="TG319" s="302"/>
      <c r="TH319" s="302"/>
      <c r="TI319" s="302"/>
      <c r="TJ319" s="302"/>
      <c r="TK319" s="302"/>
      <c r="TL319" s="302"/>
      <c r="TM319" s="302"/>
      <c r="TN319" s="302"/>
      <c r="TO319" s="302"/>
      <c r="TP319" s="302"/>
      <c r="TQ319" s="302"/>
      <c r="TR319" s="302"/>
      <c r="TS319" s="302"/>
      <c r="TT319" s="302"/>
      <c r="TU319" s="302"/>
      <c r="TV319" s="302"/>
      <c r="TW319" s="302"/>
      <c r="TX319" s="302"/>
      <c r="TY319" s="302"/>
      <c r="TZ319" s="302"/>
      <c r="UA319" s="302"/>
      <c r="UB319" s="302"/>
      <c r="UC319" s="302"/>
      <c r="UD319" s="302"/>
      <c r="UE319" s="302"/>
      <c r="UF319" s="302"/>
      <c r="UG319" s="302"/>
      <c r="UH319" s="302"/>
      <c r="UI319" s="302"/>
      <c r="UJ319" s="302"/>
      <c r="UK319" s="302"/>
      <c r="UL319" s="302"/>
      <c r="UM319" s="302"/>
      <c r="UN319" s="302"/>
      <c r="UO319" s="302"/>
      <c r="UP319" s="302"/>
      <c r="UQ319" s="302"/>
      <c r="UR319" s="302"/>
      <c r="US319" s="302"/>
      <c r="UT319" s="302"/>
      <c r="UU319" s="302"/>
      <c r="UV319" s="302"/>
      <c r="UW319" s="302"/>
      <c r="UX319" s="302"/>
      <c r="UY319" s="302"/>
      <c r="UZ319" s="302"/>
      <c r="VA319" s="302"/>
      <c r="VB319" s="302"/>
      <c r="VC319" s="302"/>
      <c r="VD319" s="302"/>
      <c r="VE319" s="302"/>
      <c r="VF319" s="302"/>
      <c r="VG319" s="302"/>
      <c r="VH319" s="302"/>
      <c r="VI319" s="302"/>
      <c r="VJ319" s="302"/>
      <c r="VK319" s="302"/>
      <c r="VL319" s="302"/>
      <c r="VM319" s="302"/>
      <c r="VN319" s="302"/>
      <c r="VO319" s="302"/>
      <c r="VP319" s="302"/>
      <c r="VQ319" s="302"/>
      <c r="VR319" s="302"/>
      <c r="VS319" s="302"/>
      <c r="VT319" s="302"/>
      <c r="VU319" s="302"/>
      <c r="VV319" s="302"/>
      <c r="VW319" s="302"/>
      <c r="VX319" s="302"/>
      <c r="VY319" s="302"/>
      <c r="VZ319" s="302"/>
      <c r="WA319" s="302"/>
      <c r="WB319" s="302"/>
      <c r="WC319" s="302"/>
      <c r="WD319" s="302"/>
      <c r="WE319" s="302"/>
      <c r="WF319" s="302"/>
      <c r="WG319" s="302"/>
      <c r="WH319" s="302"/>
      <c r="WI319" s="302"/>
      <c r="WJ319" s="302"/>
      <c r="WK319" s="302"/>
      <c r="WL319" s="302"/>
      <c r="WM319" s="302"/>
      <c r="WN319" s="302"/>
      <c r="WO319" s="302"/>
      <c r="WP319" s="302"/>
      <c r="WQ319" s="302"/>
      <c r="WR319" s="302"/>
      <c r="WS319" s="302"/>
      <c r="WT319" s="302"/>
      <c r="WU319" s="302"/>
      <c r="WV319" s="302"/>
      <c r="WW319" s="302"/>
      <c r="WX319" s="302"/>
      <c r="WY319" s="302"/>
      <c r="WZ319" s="302"/>
      <c r="XA319" s="302"/>
      <c r="XB319" s="302"/>
      <c r="XC319" s="302"/>
      <c r="XD319" s="302"/>
      <c r="XE319" s="302"/>
      <c r="XF319" s="302"/>
      <c r="XG319" s="302"/>
      <c r="XH319" s="302"/>
      <c r="XI319" s="302"/>
      <c r="XJ319" s="302"/>
      <c r="XK319" s="302"/>
      <c r="XL319" s="302"/>
      <c r="XM319" s="302"/>
      <c r="XN319" s="302"/>
      <c r="XO319" s="302"/>
      <c r="XP319" s="302"/>
      <c r="XQ319" s="302"/>
      <c r="XR319" s="302"/>
      <c r="XS319" s="302"/>
      <c r="XT319" s="302"/>
      <c r="XU319" s="302"/>
      <c r="XV319" s="302"/>
      <c r="XW319" s="302"/>
      <c r="XX319" s="302"/>
      <c r="XY319" s="302"/>
      <c r="XZ319" s="302"/>
      <c r="YA319" s="302"/>
      <c r="YB319" s="302"/>
      <c r="YC319" s="302"/>
      <c r="YD319" s="302"/>
      <c r="YE319" s="302"/>
      <c r="YF319" s="302"/>
      <c r="YG319" s="302"/>
      <c r="YH319" s="302"/>
      <c r="YI319" s="302"/>
      <c r="YJ319" s="302"/>
      <c r="YK319" s="302"/>
      <c r="YL319" s="302"/>
      <c r="YM319" s="302"/>
      <c r="YN319" s="302"/>
      <c r="YO319" s="302"/>
      <c r="YP319" s="302"/>
      <c r="YQ319" s="302"/>
      <c r="YR319" s="302"/>
      <c r="YS319" s="302"/>
      <c r="YT319" s="302"/>
      <c r="YU319" s="302"/>
      <c r="YV319" s="302"/>
      <c r="YW319" s="302"/>
      <c r="YX319" s="302"/>
      <c r="YY319" s="302"/>
      <c r="YZ319" s="302"/>
      <c r="ZA319" s="302"/>
      <c r="ZB319" s="302"/>
      <c r="ZC319" s="302"/>
      <c r="ZD319" s="302"/>
      <c r="ZE319" s="302"/>
      <c r="ZF319" s="302"/>
      <c r="ZG319" s="302"/>
      <c r="ZH319" s="302"/>
      <c r="ZI319" s="302"/>
      <c r="ZJ319" s="302"/>
      <c r="ZK319" s="302"/>
      <c r="ZL319" s="302"/>
      <c r="ZM319" s="302"/>
      <c r="ZN319" s="302"/>
      <c r="ZO319" s="302"/>
      <c r="ZP319" s="302"/>
      <c r="ZQ319" s="302"/>
      <c r="ZR319" s="302"/>
      <c r="ZS319" s="302"/>
      <c r="ZT319" s="302"/>
      <c r="ZU319" s="302"/>
      <c r="ZV319" s="302"/>
      <c r="ZW319" s="302"/>
      <c r="ZX319" s="302"/>
      <c r="ZY319" s="302"/>
      <c r="ZZ319" s="302"/>
      <c r="AAA319" s="302"/>
      <c r="AAB319" s="302"/>
      <c r="AAC319" s="302"/>
      <c r="AAD319" s="302"/>
      <c r="AAE319" s="302"/>
      <c r="AAF319" s="302"/>
      <c r="AAG319" s="302"/>
      <c r="AAH319" s="302"/>
      <c r="AAI319" s="302"/>
      <c r="AAJ319" s="302"/>
      <c r="AAK319" s="302"/>
      <c r="AAL319" s="302"/>
      <c r="AAM319" s="302"/>
      <c r="AAN319" s="302"/>
      <c r="AAO319" s="302"/>
      <c r="AAP319" s="302"/>
      <c r="AAQ319" s="302"/>
      <c r="AAR319" s="302"/>
      <c r="AAS319" s="302"/>
      <c r="AAT319" s="302"/>
      <c r="AAU319" s="302"/>
      <c r="AAV319" s="302"/>
      <c r="AAW319" s="302"/>
      <c r="AAX319" s="302"/>
      <c r="AAY319" s="302"/>
      <c r="AAZ319" s="302"/>
      <c r="ABA319" s="302"/>
      <c r="ABB319" s="302"/>
      <c r="ABC319" s="302"/>
      <c r="ABD319" s="302"/>
      <c r="ABE319" s="302"/>
      <c r="ABF319" s="302"/>
      <c r="ABG319" s="302"/>
      <c r="ABH319" s="302"/>
      <c r="ABI319" s="302"/>
      <c r="ABJ319" s="302"/>
      <c r="ABK319" s="302"/>
      <c r="ABL319" s="302"/>
      <c r="ABM319" s="302"/>
      <c r="ABN319" s="302"/>
      <c r="ABO319" s="302"/>
      <c r="ABP319" s="302"/>
      <c r="ABQ319" s="302"/>
      <c r="ABR319" s="302"/>
      <c r="ABS319" s="302"/>
      <c r="ABT319" s="302"/>
      <c r="ABU319" s="302"/>
      <c r="ABV319" s="302"/>
      <c r="ABW319" s="302"/>
      <c r="ABX319" s="302"/>
      <c r="ABY319" s="302"/>
      <c r="ABZ319" s="302"/>
      <c r="ACA319" s="302"/>
      <c r="ACB319" s="302"/>
      <c r="ACC319" s="302"/>
      <c r="ACD319" s="302"/>
      <c r="ACE319" s="302"/>
      <c r="ACF319" s="302"/>
      <c r="ACG319" s="302"/>
      <c r="ACH319" s="302"/>
      <c r="ACI319" s="302"/>
      <c r="ACJ319" s="302"/>
      <c r="ACK319" s="302"/>
      <c r="ACL319" s="302"/>
      <c r="ACM319" s="302"/>
      <c r="ACN319" s="302"/>
      <c r="ACO319" s="302"/>
      <c r="ACP319" s="302"/>
      <c r="ACQ319" s="302"/>
      <c r="ACR319" s="302"/>
      <c r="ACS319" s="302"/>
      <c r="ACT319" s="302"/>
      <c r="ACU319" s="302"/>
      <c r="ACV319" s="302"/>
      <c r="ACW319" s="302"/>
      <c r="ACX319" s="302"/>
      <c r="ACY319" s="302"/>
      <c r="ACZ319" s="302"/>
      <c r="ADA319" s="302"/>
      <c r="ADB319" s="302"/>
      <c r="ADC319" s="302"/>
      <c r="ADD319" s="302"/>
      <c r="ADE319" s="302"/>
      <c r="ADF319" s="302"/>
      <c r="ADG319" s="302"/>
      <c r="ADH319" s="302"/>
      <c r="ADI319" s="302"/>
      <c r="ADJ319" s="302"/>
      <c r="ADK319" s="302"/>
      <c r="ADL319" s="302"/>
      <c r="ADM319" s="302"/>
      <c r="ADN319" s="302"/>
      <c r="ADO319" s="302"/>
      <c r="ADP319" s="302"/>
      <c r="ADQ319" s="302"/>
      <c r="ADR319" s="302"/>
      <c r="ADS319" s="302"/>
      <c r="ADT319" s="302"/>
      <c r="ADU319" s="302"/>
      <c r="ADV319" s="302"/>
      <c r="ADW319" s="302"/>
      <c r="ADX319" s="302"/>
      <c r="ADY319" s="302"/>
      <c r="ADZ319" s="302"/>
      <c r="AEA319" s="302"/>
      <c r="AEB319" s="302"/>
      <c r="AEC319" s="302"/>
      <c r="AED319" s="302"/>
      <c r="AEE319" s="302"/>
      <c r="AEF319" s="302"/>
      <c r="AEG319" s="302"/>
      <c r="AEH319" s="302"/>
      <c r="AEI319" s="302"/>
      <c r="AEJ319" s="302"/>
      <c r="AEK319" s="302"/>
      <c r="AEL319" s="302"/>
      <c r="AEM319" s="302"/>
      <c r="AEN319" s="302"/>
      <c r="AEO319" s="302"/>
      <c r="AEP319" s="302"/>
      <c r="AEQ319" s="302"/>
      <c r="AER319" s="302"/>
      <c r="AES319" s="302"/>
      <c r="AET319" s="302"/>
      <c r="AEU319" s="302"/>
      <c r="AEV319" s="302"/>
      <c r="AEW319" s="302"/>
      <c r="AEX319" s="302"/>
      <c r="AEY319" s="302"/>
      <c r="AEZ319" s="302"/>
      <c r="AFA319" s="302"/>
      <c r="AFB319" s="302"/>
      <c r="AFC319" s="302"/>
      <c r="AFD319" s="302"/>
      <c r="AFE319" s="302"/>
      <c r="AFF319" s="302"/>
      <c r="AFG319" s="302"/>
      <c r="AFH319" s="302"/>
      <c r="AFI319" s="302"/>
      <c r="AFJ319" s="302"/>
      <c r="AFK319" s="302"/>
      <c r="AFL319" s="302"/>
      <c r="AFM319" s="302"/>
      <c r="AFN319" s="302"/>
      <c r="AFO319" s="302"/>
      <c r="AFP319" s="302"/>
      <c r="AFQ319" s="302"/>
      <c r="AFR319" s="302"/>
      <c r="AFS319" s="302"/>
      <c r="AFT319" s="302"/>
      <c r="AFU319" s="302"/>
      <c r="AFV319" s="302"/>
      <c r="AFW319" s="302"/>
      <c r="AFX319" s="302"/>
      <c r="AFY319" s="302"/>
      <c r="AFZ319" s="302"/>
      <c r="AGA319" s="302"/>
      <c r="AGB319" s="302"/>
      <c r="AGC319" s="302"/>
      <c r="AGD319" s="302"/>
      <c r="AGE319" s="302"/>
      <c r="AGF319" s="302"/>
      <c r="AGG319" s="302"/>
      <c r="AGH319" s="302"/>
      <c r="AGI319" s="302"/>
      <c r="AGJ319" s="302"/>
      <c r="AGK319" s="302"/>
      <c r="AGL319" s="302"/>
      <c r="AGM319" s="302"/>
      <c r="AGN319" s="302"/>
      <c r="AGO319" s="302"/>
      <c r="AGP319" s="302"/>
      <c r="AGQ319" s="302"/>
      <c r="AGR319" s="302"/>
      <c r="AGS319" s="302"/>
      <c r="AGT319" s="302"/>
      <c r="AGU319" s="302"/>
      <c r="AGV319" s="302"/>
      <c r="AGW319" s="302"/>
      <c r="AGX319" s="302"/>
      <c r="AGY319" s="302"/>
      <c r="AGZ319" s="302"/>
      <c r="AHA319" s="302"/>
      <c r="AHB319" s="302"/>
      <c r="AHC319" s="302"/>
      <c r="AHD319" s="302"/>
      <c r="AHE319" s="302"/>
      <c r="AHF319" s="302"/>
      <c r="AHG319" s="302"/>
      <c r="AHH319" s="302"/>
      <c r="AHI319" s="302"/>
      <c r="AHJ319" s="302"/>
      <c r="AHK319" s="302"/>
      <c r="AHL319" s="302"/>
      <c r="AHM319" s="302"/>
      <c r="AHN319" s="302"/>
      <c r="AHO319" s="302"/>
      <c r="AHP319" s="302"/>
      <c r="AHQ319" s="302"/>
      <c r="AHR319" s="302"/>
      <c r="AHS319" s="302"/>
      <c r="AHT319" s="302"/>
      <c r="AHU319" s="302"/>
      <c r="AHV319" s="302"/>
      <c r="AHW319" s="302"/>
      <c r="AHX319" s="302"/>
      <c r="AHY319" s="302"/>
      <c r="AHZ319" s="302"/>
      <c r="AIA319" s="302"/>
      <c r="AIB319" s="302"/>
      <c r="AIC319" s="302"/>
      <c r="AID319" s="302"/>
      <c r="AIE319" s="302"/>
      <c r="AIF319" s="302"/>
      <c r="AIG319" s="302"/>
      <c r="AIH319" s="302"/>
      <c r="AII319" s="302"/>
      <c r="AIJ319" s="302"/>
      <c r="AIK319" s="302"/>
      <c r="AIL319" s="302"/>
      <c r="AIM319" s="302"/>
      <c r="AIN319" s="302"/>
      <c r="AIO319" s="302"/>
      <c r="AIP319" s="302"/>
      <c r="AIQ319" s="302"/>
      <c r="AIR319" s="302"/>
      <c r="AIS319" s="302"/>
      <c r="AIT319" s="302"/>
      <c r="AIU319" s="302"/>
      <c r="AIV319" s="302"/>
      <c r="AIW319" s="302"/>
      <c r="AIX319" s="302"/>
      <c r="AIY319" s="302"/>
      <c r="AIZ319" s="302"/>
      <c r="AJA319" s="302"/>
      <c r="AJB319" s="302"/>
      <c r="AJC319" s="302"/>
      <c r="AJD319" s="302"/>
      <c r="AJE319" s="302"/>
      <c r="AJF319" s="302"/>
      <c r="AJG319" s="302"/>
      <c r="AJH319" s="302"/>
      <c r="AJI319" s="302"/>
      <c r="AJJ319" s="302"/>
      <c r="AJK319" s="302"/>
      <c r="AJL319" s="302"/>
      <c r="AJM319" s="302"/>
      <c r="AJN319" s="302"/>
      <c r="AJO319" s="302"/>
      <c r="AJP319" s="302"/>
      <c r="AJQ319" s="302"/>
      <c r="AJR319" s="302"/>
      <c r="AJS319" s="302"/>
      <c r="AJT319" s="302"/>
      <c r="AJU319" s="302"/>
      <c r="AJV319" s="302"/>
      <c r="AJW319" s="302"/>
      <c r="AJX319" s="302"/>
      <c r="AJY319" s="302"/>
      <c r="AJZ319" s="302"/>
      <c r="AKA319" s="302"/>
      <c r="AKB319" s="302"/>
      <c r="AKC319" s="302"/>
      <c r="AKD319" s="302"/>
      <c r="AKE319" s="302"/>
      <c r="AKF319" s="302"/>
      <c r="AKG319" s="302"/>
      <c r="AKH319" s="302"/>
      <c r="AKI319" s="302"/>
      <c r="AKJ319" s="302"/>
      <c r="AKK319" s="302"/>
      <c r="AKL319" s="302"/>
      <c r="AKM319" s="302"/>
      <c r="AKN319" s="302"/>
      <c r="AKO319" s="302"/>
      <c r="AKP319" s="302"/>
      <c r="AKQ319" s="302"/>
      <c r="AKR319" s="302"/>
      <c r="AKS319" s="302"/>
      <c r="AKT319" s="302"/>
      <c r="AKU319" s="302"/>
      <c r="AKV319" s="302"/>
      <c r="AKW319" s="302"/>
      <c r="AKX319" s="302"/>
      <c r="AKY319" s="302"/>
      <c r="AKZ319" s="302"/>
      <c r="ALA319" s="302"/>
      <c r="ALB319" s="302"/>
      <c r="ALC319" s="302"/>
      <c r="ALD319" s="302"/>
      <c r="ALE319" s="302"/>
      <c r="ALF319" s="302"/>
      <c r="ALG319" s="302"/>
      <c r="ALH319" s="302"/>
      <c r="ALI319" s="302"/>
      <c r="ALJ319" s="302"/>
      <c r="ALK319" s="302"/>
      <c r="ALL319" s="302"/>
      <c r="ALM319" s="302"/>
      <c r="ALN319" s="302"/>
      <c r="ALO319" s="302"/>
      <c r="ALP319" s="302"/>
      <c r="ALQ319" s="302"/>
      <c r="ALR319" s="302"/>
      <c r="ALS319" s="302"/>
      <c r="ALT319" s="302"/>
      <c r="ALU319" s="302"/>
      <c r="ALV319" s="302"/>
      <c r="ALW319" s="302"/>
      <c r="ALX319" s="302"/>
      <c r="ALY319" s="302"/>
      <c r="ALZ319" s="302"/>
      <c r="AMA319" s="302"/>
      <c r="AMB319" s="302"/>
      <c r="AMC319" s="302"/>
      <c r="AMD319" s="302"/>
      <c r="AME319" s="302"/>
      <c r="AMF319" s="302"/>
      <c r="AMG319" s="302"/>
      <c r="AMH319" s="302"/>
      <c r="AMI319" s="302"/>
      <c r="AMJ319" s="302"/>
    </row>
    <row r="320" spans="1:1024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  <c r="AA320" s="243"/>
      <c r="AB320" s="243"/>
      <c r="AC320" s="243"/>
      <c r="AD320" s="243"/>
      <c r="AE320" s="243"/>
      <c r="AF320" s="243"/>
      <c r="AG320" s="243"/>
      <c r="AH320" s="243"/>
      <c r="AI320" s="243"/>
      <c r="AJ320" s="243"/>
      <c r="AK320" s="243"/>
      <c r="AL320" s="243"/>
      <c r="AM320" s="243"/>
      <c r="AN320" s="243"/>
      <c r="AO320" s="243"/>
      <c r="AP320" s="243"/>
      <c r="AQ320" s="243"/>
      <c r="AR320" s="243"/>
      <c r="AS320" s="243"/>
      <c r="AT320" s="243"/>
      <c r="AU320" s="243"/>
      <c r="AV320" s="243"/>
      <c r="AW320" s="243"/>
      <c r="AX320" s="243"/>
      <c r="AY320" s="243"/>
      <c r="AZ320" s="243"/>
      <c r="BA320" s="243"/>
      <c r="BB320" s="243"/>
      <c r="BC320" s="243"/>
      <c r="BD320" s="243"/>
      <c r="BE320" s="243"/>
      <c r="BF320" s="243"/>
      <c r="BG320" s="243"/>
      <c r="BH320" s="243"/>
      <c r="BI320" s="243"/>
      <c r="BJ320" s="243"/>
      <c r="BK320" s="243"/>
      <c r="BL320" s="243"/>
      <c r="BM320" s="243"/>
      <c r="BN320" s="243"/>
      <c r="BO320" s="243"/>
      <c r="BP320" s="243"/>
      <c r="BQ320" s="243"/>
      <c r="BR320" s="243"/>
      <c r="BS320" s="243"/>
      <c r="BT320" s="243"/>
      <c r="BU320" s="243"/>
      <c r="BV320" s="243"/>
      <c r="BW320" s="243"/>
      <c r="BX320" s="243"/>
      <c r="BY320" s="243"/>
      <c r="BZ320" s="243"/>
      <c r="CA320" s="243"/>
      <c r="CB320" s="243"/>
      <c r="CC320" s="243"/>
      <c r="CD320" s="243"/>
      <c r="CE320" s="243"/>
      <c r="CF320" s="243"/>
      <c r="CG320" s="243"/>
      <c r="CH320" s="243"/>
      <c r="CI320" s="243"/>
      <c r="CJ320" s="243"/>
      <c r="CK320" s="243"/>
      <c r="CL320" s="243"/>
      <c r="CM320" s="243"/>
      <c r="CN320" s="243"/>
      <c r="CO320" s="243"/>
      <c r="CP320" s="243"/>
      <c r="CQ320" s="243"/>
      <c r="CR320" s="243"/>
      <c r="CS320" s="243"/>
      <c r="CT320" s="243"/>
      <c r="CU320" s="243"/>
      <c r="CV320" s="243"/>
      <c r="CW320" s="243"/>
      <c r="CX320" s="243"/>
      <c r="CY320" s="243"/>
      <c r="CZ320" s="243"/>
      <c r="DA320" s="243"/>
      <c r="DB320" s="243"/>
      <c r="DC320" s="243"/>
      <c r="DD320" s="243"/>
      <c r="DE320" s="243"/>
      <c r="DF320" s="243"/>
      <c r="DG320" s="243"/>
      <c r="DH320" s="243"/>
      <c r="DI320" s="243"/>
      <c r="DJ320" s="243"/>
      <c r="DK320" s="243"/>
      <c r="DL320" s="243"/>
      <c r="DM320" s="243"/>
      <c r="DN320" s="243"/>
      <c r="DO320" s="243"/>
      <c r="DP320" s="243"/>
      <c r="DQ320" s="243"/>
      <c r="DR320" s="243"/>
      <c r="DS320" s="243"/>
      <c r="DT320" s="243"/>
      <c r="DU320" s="243"/>
      <c r="DV320" s="243"/>
      <c r="DW320" s="243"/>
      <c r="DX320" s="243"/>
      <c r="DY320" s="243"/>
      <c r="DZ320" s="243"/>
      <c r="EA320" s="243"/>
      <c r="EB320" s="243"/>
      <c r="EC320" s="243"/>
      <c r="ED320" s="243"/>
      <c r="EE320" s="243"/>
      <c r="EF320" s="243"/>
      <c r="EG320" s="243"/>
      <c r="EH320" s="243"/>
      <c r="EI320" s="243"/>
      <c r="EJ320" s="243"/>
      <c r="EK320" s="243"/>
      <c r="EL320" s="243"/>
      <c r="EM320" s="243"/>
      <c r="EN320" s="243"/>
      <c r="EO320" s="243"/>
      <c r="EP320" s="243"/>
      <c r="EQ320" s="243"/>
      <c r="ER320" s="243"/>
      <c r="ES320" s="243"/>
      <c r="ET320" s="243"/>
      <c r="EU320" s="243"/>
      <c r="EV320" s="243"/>
      <c r="EW320" s="243"/>
      <c r="EX320" s="243"/>
      <c r="EY320" s="243"/>
      <c r="EZ320" s="243"/>
      <c r="FA320" s="243"/>
      <c r="FB320" s="243"/>
      <c r="FC320" s="243"/>
      <c r="FD320" s="243"/>
      <c r="FE320" s="243"/>
      <c r="FF320" s="243"/>
      <c r="FG320" s="243"/>
      <c r="FH320" s="243"/>
      <c r="FI320" s="243"/>
      <c r="FJ320" s="243"/>
      <c r="FK320" s="243"/>
      <c r="FL320" s="243"/>
      <c r="FM320" s="243"/>
      <c r="FN320" s="243"/>
      <c r="FO320" s="243"/>
      <c r="FP320" s="243"/>
      <c r="FQ320" s="243"/>
      <c r="FR320" s="243"/>
      <c r="FS320" s="243"/>
      <c r="FT320" s="243"/>
      <c r="FU320" s="243"/>
      <c r="FV320" s="243"/>
      <c r="FW320" s="243"/>
      <c r="FX320" s="243"/>
      <c r="FY320" s="243"/>
      <c r="FZ320" s="243"/>
      <c r="GA320" s="243"/>
      <c r="GB320" s="243"/>
      <c r="GC320" s="243"/>
      <c r="GD320" s="243"/>
      <c r="GE320" s="243"/>
      <c r="GF320" s="243"/>
      <c r="GG320" s="243"/>
      <c r="GH320" s="243"/>
      <c r="GI320" s="243"/>
      <c r="GJ320" s="243"/>
      <c r="GK320" s="243"/>
      <c r="GL320" s="243"/>
      <c r="GM320" s="243"/>
      <c r="GN320" s="243"/>
      <c r="GO320" s="243"/>
      <c r="GP320" s="243"/>
      <c r="GQ320" s="243"/>
      <c r="GR320" s="243"/>
      <c r="GS320" s="243"/>
      <c r="GT320" s="243"/>
      <c r="GU320" s="243"/>
      <c r="GV320" s="243"/>
      <c r="GW320" s="243"/>
      <c r="GX320" s="243"/>
      <c r="GY320" s="243"/>
      <c r="GZ320" s="243"/>
      <c r="HA320" s="243"/>
      <c r="HB320" s="243"/>
      <c r="HC320" s="243"/>
      <c r="HD320" s="243"/>
      <c r="HE320" s="243"/>
      <c r="HF320" s="243"/>
      <c r="HG320" s="243"/>
      <c r="HH320" s="243"/>
      <c r="HI320" s="243"/>
      <c r="HJ320" s="243"/>
      <c r="HK320" s="243"/>
      <c r="HL320" s="243"/>
      <c r="HM320" s="243"/>
      <c r="HN320" s="243"/>
      <c r="HO320" s="243"/>
      <c r="HP320" s="243"/>
      <c r="HQ320" s="243"/>
      <c r="HR320" s="243"/>
      <c r="HS320" s="243"/>
      <c r="HT320" s="243"/>
      <c r="HU320" s="243"/>
      <c r="HV320" s="243"/>
      <c r="HW320" s="243"/>
      <c r="HX320" s="243"/>
      <c r="HY320" s="243"/>
      <c r="HZ320" s="243"/>
      <c r="IA320" s="243"/>
      <c r="IB320" s="243"/>
      <c r="IC320" s="243"/>
      <c r="ID320" s="243"/>
      <c r="IE320" s="243"/>
      <c r="IF320" s="243"/>
      <c r="IG320" s="243"/>
      <c r="IH320" s="243"/>
      <c r="II320" s="243"/>
      <c r="IJ320" s="243"/>
      <c r="IK320" s="243"/>
      <c r="IL320" s="243"/>
      <c r="IM320" s="243"/>
      <c r="IN320" s="243"/>
      <c r="IO320" s="243"/>
      <c r="IP320" s="243"/>
      <c r="IQ320" s="243"/>
      <c r="IR320" s="243"/>
      <c r="IS320" s="243"/>
      <c r="IT320" s="243"/>
      <c r="IU320" s="243"/>
      <c r="IV320" s="243"/>
      <c r="IW320" s="243"/>
      <c r="IX320" s="243"/>
      <c r="IY320" s="243"/>
      <c r="IZ320" s="243"/>
      <c r="JA320" s="243"/>
      <c r="JB320" s="243"/>
      <c r="JC320" s="243"/>
      <c r="JD320" s="243"/>
      <c r="JE320" s="243"/>
      <c r="JF320" s="243"/>
      <c r="JG320" s="243"/>
      <c r="JH320" s="243"/>
      <c r="JI320" s="243"/>
      <c r="JJ320" s="243"/>
      <c r="JK320" s="243"/>
      <c r="JL320" s="243"/>
      <c r="JM320" s="243"/>
      <c r="JN320" s="243"/>
      <c r="JO320" s="243"/>
      <c r="JP320" s="243"/>
      <c r="JQ320" s="243"/>
      <c r="JR320" s="243"/>
      <c r="JS320" s="243"/>
      <c r="JT320" s="243"/>
      <c r="JU320" s="243"/>
      <c r="JV320" s="243"/>
      <c r="JW320" s="243"/>
      <c r="JX320" s="243"/>
      <c r="JY320" s="243"/>
      <c r="JZ320" s="243"/>
      <c r="KA320" s="243"/>
      <c r="KB320" s="243"/>
      <c r="KC320" s="243"/>
      <c r="KD320" s="243"/>
      <c r="KE320" s="243"/>
      <c r="KF320" s="243"/>
      <c r="KG320" s="243"/>
      <c r="KH320" s="243"/>
      <c r="KI320" s="243"/>
      <c r="KJ320" s="243"/>
      <c r="KK320" s="243"/>
      <c r="KL320" s="243"/>
      <c r="KM320" s="243"/>
      <c r="KN320" s="243"/>
      <c r="KO320" s="243"/>
      <c r="KP320" s="243"/>
      <c r="KQ320" s="243"/>
      <c r="KR320" s="243"/>
      <c r="KS320" s="243"/>
      <c r="KT320" s="243"/>
      <c r="KU320" s="243"/>
      <c r="KV320" s="243"/>
      <c r="KW320" s="243"/>
      <c r="KX320" s="243"/>
      <c r="KY320" s="243"/>
      <c r="KZ320" s="243"/>
      <c r="LA320" s="243"/>
      <c r="LB320" s="243"/>
      <c r="LC320" s="243"/>
      <c r="LD320" s="243"/>
      <c r="LE320" s="243"/>
      <c r="LF320" s="243"/>
      <c r="LG320" s="243"/>
      <c r="LH320" s="243"/>
      <c r="LI320" s="243"/>
      <c r="LJ320" s="243"/>
      <c r="LK320" s="243"/>
      <c r="LL320" s="243"/>
      <c r="LM320" s="243"/>
      <c r="LN320" s="243"/>
      <c r="LO320" s="243"/>
      <c r="LP320" s="243"/>
      <c r="LQ320" s="243"/>
      <c r="LR320" s="243"/>
      <c r="LS320" s="243"/>
      <c r="LT320" s="243"/>
      <c r="LU320" s="243"/>
      <c r="LV320" s="243"/>
      <c r="LW320" s="243"/>
      <c r="LX320" s="243"/>
      <c r="LY320" s="243"/>
      <c r="LZ320" s="243"/>
      <c r="MA320" s="243"/>
      <c r="MB320" s="243"/>
      <c r="MC320" s="243"/>
      <c r="MD320" s="243"/>
      <c r="ME320" s="243"/>
      <c r="MF320" s="243"/>
      <c r="MG320" s="243"/>
      <c r="MH320" s="243"/>
      <c r="MI320" s="243"/>
      <c r="MJ320" s="243"/>
      <c r="MK320" s="243"/>
      <c r="ML320" s="243"/>
      <c r="MM320" s="243"/>
      <c r="MN320" s="243"/>
      <c r="MO320" s="243"/>
      <c r="MP320" s="243"/>
      <c r="MQ320" s="243"/>
      <c r="MR320" s="243"/>
      <c r="MS320" s="243"/>
      <c r="MT320" s="243"/>
      <c r="MU320" s="243"/>
      <c r="MV320" s="243"/>
      <c r="MW320" s="243"/>
      <c r="MX320" s="243"/>
      <c r="MY320" s="243"/>
      <c r="MZ320" s="243"/>
      <c r="NA320" s="243"/>
      <c r="NB320" s="243"/>
      <c r="NC320" s="243"/>
      <c r="ND320" s="243"/>
      <c r="NE320" s="243"/>
      <c r="NF320" s="243"/>
      <c r="NG320" s="243"/>
      <c r="NH320" s="243"/>
      <c r="NI320" s="243"/>
      <c r="NJ320" s="243"/>
      <c r="NK320" s="243"/>
      <c r="NL320" s="243"/>
      <c r="NM320" s="243"/>
      <c r="NN320" s="243"/>
      <c r="NO320" s="243"/>
      <c r="NP320" s="243"/>
      <c r="NQ320" s="243"/>
      <c r="NR320" s="243"/>
      <c r="NS320" s="243"/>
      <c r="NT320" s="243"/>
      <c r="NU320" s="243"/>
      <c r="NV320" s="243"/>
      <c r="NW320" s="243"/>
      <c r="NX320" s="243"/>
      <c r="NY320" s="243"/>
      <c r="NZ320" s="243"/>
      <c r="OA320" s="243"/>
      <c r="OB320" s="243"/>
      <c r="OC320" s="243"/>
      <c r="OD320" s="243"/>
      <c r="OE320" s="243"/>
      <c r="OF320" s="243"/>
      <c r="OG320" s="243"/>
      <c r="OH320" s="243"/>
      <c r="OI320" s="243"/>
      <c r="OJ320" s="243"/>
      <c r="OK320" s="243"/>
      <c r="OL320" s="243"/>
      <c r="OM320" s="243"/>
      <c r="ON320" s="243"/>
      <c r="OO320" s="243"/>
      <c r="OP320" s="243"/>
      <c r="OQ320" s="243"/>
      <c r="OR320" s="243"/>
      <c r="OS320" s="243"/>
      <c r="OT320" s="243"/>
      <c r="OU320" s="243"/>
      <c r="OV320" s="243"/>
      <c r="OW320" s="243"/>
      <c r="OX320" s="243"/>
      <c r="OY320" s="243"/>
      <c r="OZ320" s="243"/>
      <c r="PA320" s="243"/>
      <c r="PB320" s="243"/>
      <c r="PC320" s="243"/>
      <c r="PD320" s="243"/>
      <c r="PE320" s="243"/>
      <c r="PF320" s="243"/>
      <c r="PG320" s="243"/>
      <c r="PH320" s="243"/>
      <c r="PI320" s="243"/>
      <c r="PJ320" s="243"/>
      <c r="PK320" s="243"/>
      <c r="PL320" s="243"/>
      <c r="PM320" s="243"/>
      <c r="PN320" s="243"/>
      <c r="PO320" s="243"/>
      <c r="PP320" s="243"/>
      <c r="PQ320" s="243"/>
      <c r="PR320" s="243"/>
      <c r="PS320" s="243"/>
      <c r="PT320" s="243"/>
      <c r="PU320" s="243"/>
      <c r="PV320" s="243"/>
      <c r="PW320" s="243"/>
      <c r="PX320" s="243"/>
      <c r="PY320" s="243"/>
      <c r="PZ320" s="243"/>
      <c r="QA320" s="243"/>
      <c r="QB320" s="243"/>
      <c r="QC320" s="243"/>
      <c r="QD320" s="243"/>
      <c r="QE320" s="243"/>
      <c r="QF320" s="243"/>
      <c r="QG320" s="243"/>
      <c r="QH320" s="243"/>
      <c r="QI320" s="243"/>
      <c r="QJ320" s="243"/>
      <c r="QK320" s="243"/>
      <c r="QL320" s="243"/>
      <c r="QM320" s="243"/>
      <c r="QN320" s="243"/>
      <c r="QO320" s="243"/>
      <c r="QP320" s="243"/>
      <c r="QQ320" s="243"/>
      <c r="QR320" s="243"/>
      <c r="QS320" s="243"/>
      <c r="QT320" s="243"/>
      <c r="QU320" s="243"/>
      <c r="QV320" s="243"/>
      <c r="QW320" s="243"/>
      <c r="QX320" s="243"/>
      <c r="QY320" s="243"/>
      <c r="QZ320" s="243"/>
      <c r="RA320" s="243"/>
      <c r="RB320" s="243"/>
      <c r="RC320" s="243"/>
      <c r="RD320" s="243"/>
      <c r="RE320" s="243"/>
      <c r="RF320" s="243"/>
      <c r="RG320" s="243"/>
      <c r="RH320" s="243"/>
      <c r="RI320" s="243"/>
      <c r="RJ320" s="243"/>
      <c r="RK320" s="243"/>
      <c r="RL320" s="243"/>
      <c r="RM320" s="243"/>
      <c r="RN320" s="243"/>
      <c r="RO320" s="243"/>
      <c r="RP320" s="243"/>
      <c r="RQ320" s="243"/>
      <c r="RR320" s="243"/>
      <c r="RS320" s="243"/>
      <c r="RT320" s="243"/>
      <c r="RU320" s="243"/>
      <c r="RV320" s="243"/>
      <c r="RW320" s="243"/>
      <c r="RX320" s="243"/>
      <c r="RY320" s="243"/>
      <c r="RZ320" s="243"/>
      <c r="SA320" s="243"/>
      <c r="SB320" s="243"/>
      <c r="SC320" s="243"/>
      <c r="SD320" s="243"/>
      <c r="SE320" s="243"/>
      <c r="SF320" s="243"/>
      <c r="SG320" s="243"/>
      <c r="SH320" s="243"/>
      <c r="SI320" s="243"/>
      <c r="SJ320" s="243"/>
      <c r="SK320" s="243"/>
      <c r="SL320" s="243"/>
      <c r="SM320" s="243"/>
      <c r="SN320" s="243"/>
      <c r="SO320" s="243"/>
      <c r="SP320" s="243"/>
      <c r="SQ320" s="243"/>
      <c r="SR320" s="243"/>
      <c r="SS320" s="243"/>
      <c r="ST320" s="243"/>
      <c r="SU320" s="243"/>
      <c r="SV320" s="243"/>
      <c r="SW320" s="243"/>
      <c r="SX320" s="243"/>
      <c r="SY320" s="243"/>
      <c r="SZ320" s="243"/>
      <c r="TA320" s="243"/>
      <c r="TB320" s="243"/>
      <c r="TC320" s="243"/>
      <c r="TD320" s="243"/>
      <c r="TE320" s="243"/>
      <c r="TF320" s="243"/>
      <c r="TG320" s="243"/>
      <c r="TH320" s="243"/>
      <c r="TI320" s="243"/>
      <c r="TJ320" s="243"/>
      <c r="TK320" s="243"/>
      <c r="TL320" s="243"/>
      <c r="TM320" s="243"/>
      <c r="TN320" s="243"/>
      <c r="TO320" s="243"/>
      <c r="TP320" s="243"/>
      <c r="TQ320" s="243"/>
      <c r="TR320" s="243"/>
      <c r="TS320" s="243"/>
      <c r="TT320" s="243"/>
      <c r="TU320" s="243"/>
      <c r="TV320" s="243"/>
      <c r="TW320" s="243"/>
      <c r="TX320" s="243"/>
      <c r="TY320" s="243"/>
      <c r="TZ320" s="243"/>
      <c r="UA320" s="243"/>
      <c r="UB320" s="243"/>
      <c r="UC320" s="243"/>
      <c r="UD320" s="243"/>
      <c r="UE320" s="243"/>
      <c r="UF320" s="243"/>
      <c r="UG320" s="243"/>
      <c r="UH320" s="243"/>
      <c r="UI320" s="243"/>
      <c r="UJ320" s="243"/>
      <c r="UK320" s="243"/>
      <c r="UL320" s="243"/>
      <c r="UM320" s="243"/>
      <c r="UN320" s="243"/>
      <c r="UO320" s="243"/>
      <c r="UP320" s="243"/>
      <c r="UQ320" s="243"/>
      <c r="UR320" s="243"/>
      <c r="US320" s="243"/>
      <c r="UT320" s="243"/>
      <c r="UU320" s="243"/>
      <c r="UV320" s="243"/>
      <c r="UW320" s="243"/>
      <c r="UX320" s="243"/>
      <c r="UY320" s="243"/>
      <c r="UZ320" s="243"/>
      <c r="VA320" s="243"/>
      <c r="VB320" s="243"/>
      <c r="VC320" s="243"/>
      <c r="VD320" s="243"/>
      <c r="VE320" s="243"/>
      <c r="VF320" s="243"/>
      <c r="VG320" s="243"/>
      <c r="VH320" s="243"/>
      <c r="VI320" s="243"/>
      <c r="VJ320" s="243"/>
      <c r="VK320" s="243"/>
      <c r="VL320" s="243"/>
      <c r="VM320" s="243"/>
      <c r="VN320" s="243"/>
      <c r="VO320" s="243"/>
      <c r="VP320" s="243"/>
      <c r="VQ320" s="243"/>
      <c r="VR320" s="243"/>
      <c r="VS320" s="243"/>
      <c r="VT320" s="243"/>
      <c r="VU320" s="243"/>
      <c r="VV320" s="243"/>
      <c r="VW320" s="243"/>
      <c r="VX320" s="243"/>
      <c r="VY320" s="243"/>
      <c r="VZ320" s="243"/>
      <c r="WA320" s="243"/>
      <c r="WB320" s="243"/>
      <c r="WC320" s="243"/>
      <c r="WD320" s="243"/>
      <c r="WE320" s="243"/>
      <c r="WF320" s="243"/>
      <c r="WG320" s="243"/>
      <c r="WH320" s="243"/>
      <c r="WI320" s="243"/>
      <c r="WJ320" s="243"/>
      <c r="WK320" s="243"/>
      <c r="WL320" s="243"/>
      <c r="WM320" s="243"/>
      <c r="WN320" s="243"/>
      <c r="WO320" s="243"/>
      <c r="WP320" s="243"/>
      <c r="WQ320" s="243"/>
      <c r="WR320" s="243"/>
      <c r="WS320" s="243"/>
      <c r="WT320" s="243"/>
      <c r="WU320" s="243"/>
      <c r="WV320" s="243"/>
      <c r="WW320" s="243"/>
      <c r="WX320" s="243"/>
      <c r="WY320" s="243"/>
      <c r="WZ320" s="243"/>
      <c r="XA320" s="243"/>
      <c r="XB320" s="243"/>
      <c r="XC320" s="243"/>
      <c r="XD320" s="243"/>
      <c r="XE320" s="243"/>
      <c r="XF320" s="243"/>
      <c r="XG320" s="243"/>
      <c r="XH320" s="243"/>
      <c r="XI320" s="243"/>
      <c r="XJ320" s="243"/>
      <c r="XK320" s="243"/>
      <c r="XL320" s="243"/>
      <c r="XM320" s="243"/>
      <c r="XN320" s="243"/>
      <c r="XO320" s="243"/>
      <c r="XP320" s="243"/>
      <c r="XQ320" s="243"/>
      <c r="XR320" s="243"/>
      <c r="XS320" s="243"/>
      <c r="XT320" s="243"/>
      <c r="XU320" s="243"/>
      <c r="XV320" s="243"/>
      <c r="XW320" s="243"/>
      <c r="XX320" s="243"/>
      <c r="XY320" s="243"/>
      <c r="XZ320" s="243"/>
      <c r="YA320" s="243"/>
      <c r="YB320" s="243"/>
      <c r="YC320" s="243"/>
      <c r="YD320" s="243"/>
      <c r="YE320" s="243"/>
      <c r="YF320" s="243"/>
      <c r="YG320" s="243"/>
      <c r="YH320" s="243"/>
      <c r="YI320" s="243"/>
      <c r="YJ320" s="243"/>
      <c r="YK320" s="243"/>
      <c r="YL320" s="243"/>
      <c r="YM320" s="243"/>
      <c r="YN320" s="243"/>
      <c r="YO320" s="243"/>
      <c r="YP320" s="243"/>
      <c r="YQ320" s="243"/>
      <c r="YR320" s="243"/>
      <c r="YS320" s="243"/>
      <c r="YT320" s="243"/>
      <c r="YU320" s="243"/>
      <c r="YV320" s="243"/>
      <c r="YW320" s="243"/>
      <c r="YX320" s="243"/>
      <c r="YY320" s="243"/>
      <c r="YZ320" s="243"/>
      <c r="ZA320" s="243"/>
      <c r="ZB320" s="243"/>
      <c r="ZC320" s="243"/>
      <c r="ZD320" s="243"/>
      <c r="ZE320" s="243"/>
      <c r="ZF320" s="243"/>
      <c r="ZG320" s="243"/>
      <c r="ZH320" s="243"/>
      <c r="ZI320" s="243"/>
      <c r="ZJ320" s="243"/>
      <c r="ZK320" s="243"/>
      <c r="ZL320" s="243"/>
      <c r="ZM320" s="243"/>
      <c r="ZN320" s="243"/>
      <c r="ZO320" s="243"/>
      <c r="ZP320" s="243"/>
      <c r="ZQ320" s="243"/>
      <c r="ZR320" s="243"/>
      <c r="ZS320" s="243"/>
      <c r="ZT320" s="243"/>
      <c r="ZU320" s="243"/>
      <c r="ZV320" s="243"/>
      <c r="ZW320" s="243"/>
      <c r="ZX320" s="243"/>
      <c r="ZY320" s="243"/>
      <c r="ZZ320" s="243"/>
      <c r="AAA320" s="243"/>
      <c r="AAB320" s="243"/>
      <c r="AAC320" s="243"/>
      <c r="AAD320" s="243"/>
      <c r="AAE320" s="243"/>
      <c r="AAF320" s="243"/>
      <c r="AAG320" s="243"/>
      <c r="AAH320" s="243"/>
      <c r="AAI320" s="243"/>
      <c r="AAJ320" s="243"/>
      <c r="AAK320" s="243"/>
      <c r="AAL320" s="243"/>
      <c r="AAM320" s="243"/>
      <c r="AAN320" s="243"/>
      <c r="AAO320" s="243"/>
      <c r="AAP320" s="243"/>
      <c r="AAQ320" s="243"/>
      <c r="AAR320" s="243"/>
      <c r="AAS320" s="243"/>
      <c r="AAT320" s="243"/>
      <c r="AAU320" s="243"/>
      <c r="AAV320" s="243"/>
      <c r="AAW320" s="243"/>
      <c r="AAX320" s="243"/>
      <c r="AAY320" s="243"/>
      <c r="AAZ320" s="243"/>
      <c r="ABA320" s="243"/>
      <c r="ABB320" s="243"/>
      <c r="ABC320" s="243"/>
      <c r="ABD320" s="243"/>
      <c r="ABE320" s="243"/>
      <c r="ABF320" s="243"/>
      <c r="ABG320" s="243"/>
      <c r="ABH320" s="243"/>
      <c r="ABI320" s="243"/>
      <c r="ABJ320" s="243"/>
      <c r="ABK320" s="243"/>
      <c r="ABL320" s="243"/>
      <c r="ABM320" s="243"/>
      <c r="ABN320" s="243"/>
      <c r="ABO320" s="243"/>
      <c r="ABP320" s="243"/>
      <c r="ABQ320" s="243"/>
      <c r="ABR320" s="243"/>
      <c r="ABS320" s="243"/>
      <c r="ABT320" s="243"/>
      <c r="ABU320" s="243"/>
      <c r="ABV320" s="243"/>
      <c r="ABW320" s="243"/>
      <c r="ABX320" s="243"/>
      <c r="ABY320" s="243"/>
      <c r="ABZ320" s="243"/>
      <c r="ACA320" s="243"/>
      <c r="ACB320" s="243"/>
      <c r="ACC320" s="243"/>
      <c r="ACD320" s="243"/>
      <c r="ACE320" s="243"/>
      <c r="ACF320" s="243"/>
      <c r="ACG320" s="243"/>
      <c r="ACH320" s="243"/>
      <c r="ACI320" s="243"/>
      <c r="ACJ320" s="243"/>
      <c r="ACK320" s="243"/>
      <c r="ACL320" s="243"/>
      <c r="ACM320" s="243"/>
      <c r="ACN320" s="243"/>
      <c r="ACO320" s="243"/>
      <c r="ACP320" s="243"/>
      <c r="ACQ320" s="243"/>
      <c r="ACR320" s="243"/>
      <c r="ACS320" s="243"/>
      <c r="ACT320" s="243"/>
      <c r="ACU320" s="243"/>
      <c r="ACV320" s="243"/>
      <c r="ACW320" s="243"/>
      <c r="ACX320" s="243"/>
      <c r="ACY320" s="243"/>
      <c r="ACZ320" s="243"/>
      <c r="ADA320" s="243"/>
      <c r="ADB320" s="243"/>
      <c r="ADC320" s="243"/>
      <c r="ADD320" s="243"/>
      <c r="ADE320" s="243"/>
      <c r="ADF320" s="243"/>
      <c r="ADG320" s="243"/>
      <c r="ADH320" s="243"/>
      <c r="ADI320" s="243"/>
      <c r="ADJ320" s="243"/>
      <c r="ADK320" s="243"/>
      <c r="ADL320" s="243"/>
      <c r="ADM320" s="243"/>
      <c r="ADN320" s="243"/>
      <c r="ADO320" s="243"/>
      <c r="ADP320" s="243"/>
      <c r="ADQ320" s="243"/>
      <c r="ADR320" s="243"/>
      <c r="ADS320" s="243"/>
      <c r="ADT320" s="243"/>
      <c r="ADU320" s="243"/>
      <c r="ADV320" s="243"/>
      <c r="ADW320" s="243"/>
      <c r="ADX320" s="243"/>
      <c r="ADY320" s="243"/>
      <c r="ADZ320" s="243"/>
      <c r="AEA320" s="243"/>
      <c r="AEB320" s="243"/>
      <c r="AEC320" s="243"/>
      <c r="AED320" s="243"/>
      <c r="AEE320" s="243"/>
      <c r="AEF320" s="243"/>
      <c r="AEG320" s="243"/>
      <c r="AEH320" s="243"/>
      <c r="AEI320" s="243"/>
      <c r="AEJ320" s="243"/>
      <c r="AEK320" s="243"/>
      <c r="AEL320" s="243"/>
      <c r="AEM320" s="243"/>
      <c r="AEN320" s="243"/>
      <c r="AEO320" s="243"/>
      <c r="AEP320" s="243"/>
      <c r="AEQ320" s="243"/>
      <c r="AER320" s="243"/>
      <c r="AES320" s="243"/>
      <c r="AET320" s="243"/>
      <c r="AEU320" s="243"/>
      <c r="AEV320" s="243"/>
      <c r="AEW320" s="243"/>
      <c r="AEX320" s="243"/>
      <c r="AEY320" s="243"/>
      <c r="AEZ320" s="243"/>
      <c r="AFA320" s="243"/>
      <c r="AFB320" s="243"/>
      <c r="AFC320" s="243"/>
      <c r="AFD320" s="243"/>
      <c r="AFE320" s="243"/>
      <c r="AFF320" s="243"/>
      <c r="AFG320" s="243"/>
      <c r="AFH320" s="243"/>
      <c r="AFI320" s="243"/>
      <c r="AFJ320" s="243"/>
      <c r="AFK320" s="243"/>
      <c r="AFL320" s="243"/>
      <c r="AFM320" s="243"/>
      <c r="AFN320" s="243"/>
      <c r="AFO320" s="243"/>
      <c r="AFP320" s="243"/>
      <c r="AFQ320" s="243"/>
      <c r="AFR320" s="243"/>
      <c r="AFS320" s="243"/>
      <c r="AFT320" s="243"/>
      <c r="AFU320" s="243"/>
      <c r="AFV320" s="243"/>
      <c r="AFW320" s="243"/>
      <c r="AFX320" s="243"/>
      <c r="AFY320" s="243"/>
      <c r="AFZ320" s="243"/>
      <c r="AGA320" s="243"/>
      <c r="AGB320" s="243"/>
      <c r="AGC320" s="243"/>
      <c r="AGD320" s="243"/>
      <c r="AGE320" s="243"/>
      <c r="AGF320" s="243"/>
      <c r="AGG320" s="243"/>
      <c r="AGH320" s="243"/>
      <c r="AGI320" s="243"/>
      <c r="AGJ320" s="243"/>
      <c r="AGK320" s="243"/>
      <c r="AGL320" s="243"/>
      <c r="AGM320" s="243"/>
      <c r="AGN320" s="243"/>
      <c r="AGO320" s="243"/>
      <c r="AGP320" s="243"/>
      <c r="AGQ320" s="243"/>
      <c r="AGR320" s="243"/>
      <c r="AGS320" s="243"/>
      <c r="AGT320" s="243"/>
      <c r="AGU320" s="243"/>
      <c r="AGV320" s="243"/>
      <c r="AGW320" s="243"/>
      <c r="AGX320" s="243"/>
      <c r="AGY320" s="243"/>
      <c r="AGZ320" s="243"/>
      <c r="AHA320" s="243"/>
      <c r="AHB320" s="243"/>
      <c r="AHC320" s="243"/>
      <c r="AHD320" s="243"/>
      <c r="AHE320" s="243"/>
      <c r="AHF320" s="243"/>
      <c r="AHG320" s="243"/>
      <c r="AHH320" s="243"/>
      <c r="AHI320" s="243"/>
      <c r="AHJ320" s="243"/>
      <c r="AHK320" s="243"/>
      <c r="AHL320" s="243"/>
      <c r="AHM320" s="243"/>
      <c r="AHN320" s="243"/>
      <c r="AHO320" s="243"/>
      <c r="AHP320" s="243"/>
      <c r="AHQ320" s="243"/>
      <c r="AHR320" s="243"/>
      <c r="AHS320" s="243"/>
      <c r="AHT320" s="243"/>
      <c r="AHU320" s="243"/>
      <c r="AHV320" s="243"/>
      <c r="AHW320" s="243"/>
      <c r="AHX320" s="243"/>
      <c r="AHY320" s="243"/>
      <c r="AHZ320" s="243"/>
      <c r="AIA320" s="243"/>
      <c r="AIB320" s="243"/>
      <c r="AIC320" s="243"/>
      <c r="AID320" s="243"/>
      <c r="AIE320" s="243"/>
      <c r="AIF320" s="243"/>
      <c r="AIG320" s="243"/>
      <c r="AIH320" s="243"/>
      <c r="AII320" s="243"/>
      <c r="AIJ320" s="243"/>
      <c r="AIK320" s="243"/>
      <c r="AIL320" s="243"/>
      <c r="AIM320" s="243"/>
      <c r="AIN320" s="243"/>
      <c r="AIO320" s="243"/>
      <c r="AIP320" s="243"/>
      <c r="AIQ320" s="243"/>
      <c r="AIR320" s="243"/>
      <c r="AIS320" s="243"/>
      <c r="AIT320" s="243"/>
      <c r="AIU320" s="243"/>
      <c r="AIV320" s="243"/>
      <c r="AIW320" s="243"/>
      <c r="AIX320" s="243"/>
      <c r="AIY320" s="243"/>
      <c r="AIZ320" s="243"/>
      <c r="AJA320" s="243"/>
      <c r="AJB320" s="243"/>
      <c r="AJC320" s="243"/>
      <c r="AJD320" s="243"/>
      <c r="AJE320" s="243"/>
      <c r="AJF320" s="243"/>
      <c r="AJG320" s="243"/>
      <c r="AJH320" s="243"/>
      <c r="AJI320" s="243"/>
      <c r="AJJ320" s="243"/>
      <c r="AJK320" s="243"/>
      <c r="AJL320" s="243"/>
      <c r="AJM320" s="243"/>
      <c r="AJN320" s="243"/>
      <c r="AJO320" s="243"/>
      <c r="AJP320" s="243"/>
      <c r="AJQ320" s="243"/>
      <c r="AJR320" s="243"/>
      <c r="AJS320" s="243"/>
      <c r="AJT320" s="243"/>
      <c r="AJU320" s="243"/>
      <c r="AJV320" s="243"/>
      <c r="AJW320" s="243"/>
      <c r="AJX320" s="243"/>
      <c r="AJY320" s="243"/>
      <c r="AJZ320" s="243"/>
      <c r="AKA320" s="243"/>
      <c r="AKB320" s="243"/>
      <c r="AKC320" s="243"/>
      <c r="AKD320" s="243"/>
      <c r="AKE320" s="243"/>
      <c r="AKF320" s="243"/>
      <c r="AKG320" s="243"/>
      <c r="AKH320" s="243"/>
      <c r="AKI320" s="243"/>
      <c r="AKJ320" s="243"/>
      <c r="AKK320" s="243"/>
      <c r="AKL320" s="243"/>
      <c r="AKM320" s="243"/>
      <c r="AKN320" s="243"/>
      <c r="AKO320" s="243"/>
      <c r="AKP320" s="243"/>
      <c r="AKQ320" s="243"/>
      <c r="AKR320" s="243"/>
      <c r="AKS320" s="243"/>
      <c r="AKT320" s="243"/>
      <c r="AKU320" s="243"/>
      <c r="AKV320" s="243"/>
      <c r="AKW320" s="243"/>
      <c r="AKX320" s="243"/>
      <c r="AKY320" s="243"/>
      <c r="AKZ320" s="243"/>
      <c r="ALA320" s="243"/>
      <c r="ALB320" s="243"/>
      <c r="ALC320" s="243"/>
      <c r="ALD320" s="243"/>
      <c r="ALE320" s="243"/>
      <c r="ALF320" s="243"/>
      <c r="ALG320" s="243"/>
      <c r="ALH320" s="243"/>
      <c r="ALI320" s="243"/>
      <c r="ALJ320" s="243"/>
      <c r="ALK320" s="243"/>
      <c r="ALL320" s="243"/>
      <c r="ALM320" s="243"/>
      <c r="ALN320" s="243"/>
      <c r="ALO320" s="243"/>
      <c r="ALP320" s="243"/>
      <c r="ALQ320" s="243"/>
      <c r="ALR320" s="243"/>
      <c r="ALS320" s="243"/>
      <c r="ALT320" s="243"/>
      <c r="ALU320" s="243"/>
      <c r="ALV320" s="243"/>
      <c r="ALW320" s="243"/>
      <c r="ALX320" s="243"/>
      <c r="ALY320" s="243"/>
      <c r="ALZ320" s="243"/>
      <c r="AMA320" s="243"/>
      <c r="AMB320" s="243"/>
      <c r="AMC320" s="243"/>
      <c r="AMD320" s="243"/>
      <c r="AME320" s="243"/>
      <c r="AMF320" s="243"/>
      <c r="AMG320" s="243"/>
      <c r="AMH320" s="243"/>
      <c r="AMI320" s="244"/>
      <c r="AMJ320" s="244"/>
    </row>
    <row r="321" spans="1:1024" ht="18">
      <c r="A321" s="1019"/>
      <c r="B321" s="1020" t="s">
        <v>42</v>
      </c>
      <c r="C321" s="1021"/>
      <c r="D321" s="1021"/>
      <c r="E321" s="389">
        <f>E318+E311+E300+E288</f>
        <v>51200000</v>
      </c>
      <c r="F321" s="390"/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  <c r="AH321" s="243"/>
      <c r="AI321" s="243"/>
      <c r="AJ321" s="243"/>
      <c r="AK321" s="243"/>
      <c r="AL321" s="243"/>
      <c r="AM321" s="243"/>
      <c r="AN321" s="243"/>
      <c r="AO321" s="243"/>
      <c r="AP321" s="243"/>
      <c r="AQ321" s="243"/>
      <c r="AR321" s="243"/>
      <c r="AS321" s="243"/>
      <c r="AT321" s="243"/>
      <c r="AU321" s="243"/>
      <c r="AV321" s="243"/>
      <c r="AW321" s="243"/>
      <c r="AX321" s="243"/>
      <c r="AY321" s="243"/>
      <c r="AZ321" s="243"/>
      <c r="BA321" s="243"/>
      <c r="BB321" s="243"/>
      <c r="BC321" s="243"/>
      <c r="BD321" s="243"/>
      <c r="BE321" s="243"/>
      <c r="BF321" s="243"/>
      <c r="BG321" s="243"/>
      <c r="BH321" s="243"/>
      <c r="BI321" s="243"/>
      <c r="BJ321" s="243"/>
      <c r="BK321" s="243"/>
      <c r="BL321" s="243"/>
      <c r="BM321" s="243"/>
      <c r="BN321" s="243"/>
      <c r="BO321" s="243"/>
      <c r="BP321" s="243"/>
      <c r="BQ321" s="243"/>
      <c r="BR321" s="243"/>
      <c r="BS321" s="243"/>
      <c r="BT321" s="243"/>
      <c r="BU321" s="243"/>
      <c r="BV321" s="243"/>
      <c r="BW321" s="243"/>
      <c r="BX321" s="243"/>
      <c r="BY321" s="243"/>
      <c r="BZ321" s="243"/>
      <c r="CA321" s="243"/>
      <c r="CB321" s="243"/>
      <c r="CC321" s="243"/>
      <c r="CD321" s="243"/>
      <c r="CE321" s="243"/>
      <c r="CF321" s="243"/>
      <c r="CG321" s="243"/>
      <c r="CH321" s="243"/>
      <c r="CI321" s="243"/>
      <c r="CJ321" s="243"/>
      <c r="CK321" s="243"/>
      <c r="CL321" s="243"/>
      <c r="CM321" s="243"/>
      <c r="CN321" s="243"/>
      <c r="CO321" s="243"/>
      <c r="CP321" s="243"/>
      <c r="CQ321" s="243"/>
      <c r="CR321" s="243"/>
      <c r="CS321" s="243"/>
      <c r="CT321" s="243"/>
      <c r="CU321" s="243"/>
      <c r="CV321" s="243"/>
      <c r="CW321" s="243"/>
      <c r="CX321" s="243"/>
      <c r="CY321" s="243"/>
      <c r="CZ321" s="243"/>
      <c r="DA321" s="243"/>
      <c r="DB321" s="243"/>
      <c r="DC321" s="243"/>
      <c r="DD321" s="243"/>
      <c r="DE321" s="243"/>
      <c r="DF321" s="243"/>
      <c r="DG321" s="243"/>
      <c r="DH321" s="243"/>
      <c r="DI321" s="243"/>
      <c r="DJ321" s="243"/>
      <c r="DK321" s="243"/>
      <c r="DL321" s="243"/>
      <c r="DM321" s="243"/>
      <c r="DN321" s="243"/>
      <c r="DO321" s="243"/>
      <c r="DP321" s="243"/>
      <c r="DQ321" s="243"/>
      <c r="DR321" s="243"/>
      <c r="DS321" s="243"/>
      <c r="DT321" s="243"/>
      <c r="DU321" s="243"/>
      <c r="DV321" s="243"/>
      <c r="DW321" s="243"/>
      <c r="DX321" s="243"/>
      <c r="DY321" s="243"/>
      <c r="DZ321" s="243"/>
      <c r="EA321" s="243"/>
      <c r="EB321" s="243"/>
      <c r="EC321" s="243"/>
      <c r="ED321" s="243"/>
      <c r="EE321" s="243"/>
      <c r="EF321" s="243"/>
      <c r="EG321" s="243"/>
      <c r="EH321" s="243"/>
      <c r="EI321" s="243"/>
      <c r="EJ321" s="243"/>
      <c r="EK321" s="243"/>
      <c r="EL321" s="243"/>
      <c r="EM321" s="243"/>
      <c r="EN321" s="243"/>
      <c r="EO321" s="243"/>
      <c r="EP321" s="243"/>
      <c r="EQ321" s="243"/>
      <c r="ER321" s="243"/>
      <c r="ES321" s="243"/>
      <c r="ET321" s="243"/>
      <c r="EU321" s="243"/>
      <c r="EV321" s="243"/>
      <c r="EW321" s="243"/>
      <c r="EX321" s="243"/>
      <c r="EY321" s="243"/>
      <c r="EZ321" s="243"/>
      <c r="FA321" s="243"/>
      <c r="FB321" s="243"/>
      <c r="FC321" s="243"/>
      <c r="FD321" s="243"/>
      <c r="FE321" s="243"/>
      <c r="FF321" s="243"/>
      <c r="FG321" s="243"/>
      <c r="FH321" s="243"/>
      <c r="FI321" s="243"/>
      <c r="FJ321" s="243"/>
      <c r="FK321" s="243"/>
      <c r="FL321" s="243"/>
      <c r="FM321" s="243"/>
      <c r="FN321" s="243"/>
      <c r="FO321" s="243"/>
      <c r="FP321" s="243"/>
      <c r="FQ321" s="243"/>
      <c r="FR321" s="243"/>
      <c r="FS321" s="243"/>
      <c r="FT321" s="243"/>
      <c r="FU321" s="243"/>
      <c r="FV321" s="243"/>
      <c r="FW321" s="243"/>
      <c r="FX321" s="243"/>
      <c r="FY321" s="243"/>
      <c r="FZ321" s="243"/>
      <c r="GA321" s="243"/>
      <c r="GB321" s="243"/>
      <c r="GC321" s="243"/>
      <c r="GD321" s="243"/>
      <c r="GE321" s="243"/>
      <c r="GF321" s="243"/>
      <c r="GG321" s="243"/>
      <c r="GH321" s="243"/>
      <c r="GI321" s="243"/>
      <c r="GJ321" s="243"/>
      <c r="GK321" s="243"/>
      <c r="GL321" s="243"/>
      <c r="GM321" s="243"/>
      <c r="GN321" s="243"/>
      <c r="GO321" s="243"/>
      <c r="GP321" s="243"/>
      <c r="GQ321" s="243"/>
      <c r="GR321" s="243"/>
      <c r="GS321" s="243"/>
      <c r="GT321" s="243"/>
      <c r="GU321" s="243"/>
      <c r="GV321" s="243"/>
      <c r="GW321" s="243"/>
      <c r="GX321" s="243"/>
      <c r="GY321" s="243"/>
      <c r="GZ321" s="243"/>
      <c r="HA321" s="243"/>
      <c r="HB321" s="243"/>
      <c r="HC321" s="243"/>
      <c r="HD321" s="243"/>
      <c r="HE321" s="243"/>
      <c r="HF321" s="243"/>
      <c r="HG321" s="243"/>
      <c r="HH321" s="243"/>
      <c r="HI321" s="243"/>
      <c r="HJ321" s="243"/>
      <c r="HK321" s="243"/>
      <c r="HL321" s="243"/>
      <c r="HM321" s="243"/>
      <c r="HN321" s="243"/>
      <c r="HO321" s="243"/>
      <c r="HP321" s="243"/>
      <c r="HQ321" s="243"/>
      <c r="HR321" s="243"/>
      <c r="HS321" s="243"/>
      <c r="HT321" s="243"/>
      <c r="HU321" s="243"/>
      <c r="HV321" s="243"/>
      <c r="HW321" s="243"/>
      <c r="HX321" s="243"/>
      <c r="HY321" s="243"/>
      <c r="HZ321" s="243"/>
      <c r="IA321" s="243"/>
      <c r="IB321" s="243"/>
      <c r="IC321" s="243"/>
      <c r="ID321" s="243"/>
      <c r="IE321" s="243"/>
      <c r="IF321" s="243"/>
      <c r="IG321" s="243"/>
      <c r="IH321" s="243"/>
      <c r="II321" s="243"/>
      <c r="IJ321" s="243"/>
      <c r="IK321" s="243"/>
      <c r="IL321" s="243"/>
      <c r="IM321" s="243"/>
      <c r="IN321" s="243"/>
      <c r="IO321" s="243"/>
      <c r="IP321" s="243"/>
      <c r="IQ321" s="243"/>
      <c r="IR321" s="243"/>
      <c r="IS321" s="243"/>
      <c r="IT321" s="243"/>
      <c r="IU321" s="243"/>
      <c r="IV321" s="243"/>
      <c r="IW321" s="243"/>
      <c r="IX321" s="243"/>
      <c r="IY321" s="243"/>
      <c r="IZ321" s="243"/>
      <c r="JA321" s="243"/>
      <c r="JB321" s="243"/>
      <c r="JC321" s="243"/>
      <c r="JD321" s="243"/>
      <c r="JE321" s="243"/>
      <c r="JF321" s="243"/>
      <c r="JG321" s="243"/>
      <c r="JH321" s="243"/>
      <c r="JI321" s="243"/>
      <c r="JJ321" s="243"/>
      <c r="JK321" s="243"/>
      <c r="JL321" s="243"/>
      <c r="JM321" s="243"/>
      <c r="JN321" s="243"/>
      <c r="JO321" s="243"/>
      <c r="JP321" s="243"/>
      <c r="JQ321" s="243"/>
      <c r="JR321" s="243"/>
      <c r="JS321" s="243"/>
      <c r="JT321" s="243"/>
      <c r="JU321" s="243"/>
      <c r="JV321" s="243"/>
      <c r="JW321" s="243"/>
      <c r="JX321" s="243"/>
      <c r="JY321" s="243"/>
      <c r="JZ321" s="243"/>
      <c r="KA321" s="243"/>
      <c r="KB321" s="243"/>
      <c r="KC321" s="243"/>
      <c r="KD321" s="243"/>
      <c r="KE321" s="243"/>
      <c r="KF321" s="243"/>
      <c r="KG321" s="243"/>
      <c r="KH321" s="243"/>
      <c r="KI321" s="243"/>
      <c r="KJ321" s="243"/>
      <c r="KK321" s="243"/>
      <c r="KL321" s="243"/>
      <c r="KM321" s="243"/>
      <c r="KN321" s="243"/>
      <c r="KO321" s="243"/>
      <c r="KP321" s="243"/>
      <c r="KQ321" s="243"/>
      <c r="KR321" s="243"/>
      <c r="KS321" s="243"/>
      <c r="KT321" s="243"/>
      <c r="KU321" s="243"/>
      <c r="KV321" s="243"/>
      <c r="KW321" s="243"/>
      <c r="KX321" s="243"/>
      <c r="KY321" s="243"/>
      <c r="KZ321" s="243"/>
      <c r="LA321" s="243"/>
      <c r="LB321" s="243"/>
      <c r="LC321" s="243"/>
      <c r="LD321" s="243"/>
      <c r="LE321" s="243"/>
      <c r="LF321" s="243"/>
      <c r="LG321" s="243"/>
      <c r="LH321" s="243"/>
      <c r="LI321" s="243"/>
      <c r="LJ321" s="243"/>
      <c r="LK321" s="243"/>
      <c r="LL321" s="243"/>
      <c r="LM321" s="243"/>
      <c r="LN321" s="243"/>
      <c r="LO321" s="243"/>
      <c r="LP321" s="243"/>
      <c r="LQ321" s="243"/>
      <c r="LR321" s="243"/>
      <c r="LS321" s="243"/>
      <c r="LT321" s="243"/>
      <c r="LU321" s="243"/>
      <c r="LV321" s="243"/>
      <c r="LW321" s="243"/>
      <c r="LX321" s="243"/>
      <c r="LY321" s="243"/>
      <c r="LZ321" s="243"/>
      <c r="MA321" s="243"/>
      <c r="MB321" s="243"/>
      <c r="MC321" s="243"/>
      <c r="MD321" s="243"/>
      <c r="ME321" s="243"/>
      <c r="MF321" s="243"/>
      <c r="MG321" s="243"/>
      <c r="MH321" s="243"/>
      <c r="MI321" s="243"/>
      <c r="MJ321" s="243"/>
      <c r="MK321" s="243"/>
      <c r="ML321" s="243"/>
      <c r="MM321" s="243"/>
      <c r="MN321" s="243"/>
      <c r="MO321" s="243"/>
      <c r="MP321" s="243"/>
      <c r="MQ321" s="243"/>
      <c r="MR321" s="243"/>
      <c r="MS321" s="243"/>
      <c r="MT321" s="243"/>
      <c r="MU321" s="243"/>
      <c r="MV321" s="243"/>
      <c r="MW321" s="243"/>
      <c r="MX321" s="243"/>
      <c r="MY321" s="243"/>
      <c r="MZ321" s="243"/>
      <c r="NA321" s="243"/>
      <c r="NB321" s="243"/>
      <c r="NC321" s="243"/>
      <c r="ND321" s="243"/>
      <c r="NE321" s="243"/>
      <c r="NF321" s="243"/>
      <c r="NG321" s="243"/>
      <c r="NH321" s="243"/>
      <c r="NI321" s="243"/>
      <c r="NJ321" s="243"/>
      <c r="NK321" s="243"/>
      <c r="NL321" s="243"/>
      <c r="NM321" s="243"/>
      <c r="NN321" s="243"/>
      <c r="NO321" s="243"/>
      <c r="NP321" s="243"/>
      <c r="NQ321" s="243"/>
      <c r="NR321" s="243"/>
      <c r="NS321" s="243"/>
      <c r="NT321" s="243"/>
      <c r="NU321" s="243"/>
      <c r="NV321" s="243"/>
      <c r="NW321" s="243"/>
      <c r="NX321" s="243"/>
      <c r="NY321" s="243"/>
      <c r="NZ321" s="243"/>
      <c r="OA321" s="243"/>
      <c r="OB321" s="243"/>
      <c r="OC321" s="243"/>
      <c r="OD321" s="243"/>
      <c r="OE321" s="243"/>
      <c r="OF321" s="243"/>
      <c r="OG321" s="243"/>
      <c r="OH321" s="243"/>
      <c r="OI321" s="243"/>
      <c r="OJ321" s="243"/>
      <c r="OK321" s="243"/>
      <c r="OL321" s="243"/>
      <c r="OM321" s="243"/>
      <c r="ON321" s="243"/>
      <c r="OO321" s="243"/>
      <c r="OP321" s="243"/>
      <c r="OQ321" s="243"/>
      <c r="OR321" s="243"/>
      <c r="OS321" s="243"/>
      <c r="OT321" s="243"/>
      <c r="OU321" s="243"/>
      <c r="OV321" s="243"/>
      <c r="OW321" s="243"/>
      <c r="OX321" s="243"/>
      <c r="OY321" s="243"/>
      <c r="OZ321" s="243"/>
      <c r="PA321" s="243"/>
      <c r="PB321" s="243"/>
      <c r="PC321" s="243"/>
      <c r="PD321" s="243"/>
      <c r="PE321" s="243"/>
      <c r="PF321" s="243"/>
      <c r="PG321" s="243"/>
      <c r="PH321" s="243"/>
      <c r="PI321" s="243"/>
      <c r="PJ321" s="243"/>
      <c r="PK321" s="243"/>
      <c r="PL321" s="243"/>
      <c r="PM321" s="243"/>
      <c r="PN321" s="243"/>
      <c r="PO321" s="243"/>
      <c r="PP321" s="243"/>
      <c r="PQ321" s="243"/>
      <c r="PR321" s="243"/>
      <c r="PS321" s="243"/>
      <c r="PT321" s="243"/>
      <c r="PU321" s="243"/>
      <c r="PV321" s="243"/>
      <c r="PW321" s="243"/>
      <c r="PX321" s="243"/>
      <c r="PY321" s="243"/>
      <c r="PZ321" s="243"/>
      <c r="QA321" s="243"/>
      <c r="QB321" s="243"/>
      <c r="QC321" s="243"/>
      <c r="QD321" s="243"/>
      <c r="QE321" s="243"/>
      <c r="QF321" s="243"/>
      <c r="QG321" s="243"/>
      <c r="QH321" s="243"/>
      <c r="QI321" s="243"/>
      <c r="QJ321" s="243"/>
      <c r="QK321" s="243"/>
      <c r="QL321" s="243"/>
      <c r="QM321" s="243"/>
      <c r="QN321" s="243"/>
      <c r="QO321" s="243"/>
      <c r="QP321" s="243"/>
      <c r="QQ321" s="243"/>
      <c r="QR321" s="243"/>
      <c r="QS321" s="243"/>
      <c r="QT321" s="243"/>
      <c r="QU321" s="243"/>
      <c r="QV321" s="243"/>
      <c r="QW321" s="243"/>
      <c r="QX321" s="243"/>
      <c r="QY321" s="243"/>
      <c r="QZ321" s="243"/>
      <c r="RA321" s="243"/>
      <c r="RB321" s="243"/>
      <c r="RC321" s="243"/>
      <c r="RD321" s="243"/>
      <c r="RE321" s="243"/>
      <c r="RF321" s="243"/>
      <c r="RG321" s="243"/>
      <c r="RH321" s="243"/>
      <c r="RI321" s="243"/>
      <c r="RJ321" s="243"/>
      <c r="RK321" s="243"/>
      <c r="RL321" s="243"/>
      <c r="RM321" s="243"/>
      <c r="RN321" s="243"/>
      <c r="RO321" s="243"/>
      <c r="RP321" s="243"/>
      <c r="RQ321" s="243"/>
      <c r="RR321" s="243"/>
      <c r="RS321" s="243"/>
      <c r="RT321" s="243"/>
      <c r="RU321" s="243"/>
      <c r="RV321" s="243"/>
      <c r="RW321" s="243"/>
      <c r="RX321" s="243"/>
      <c r="RY321" s="243"/>
      <c r="RZ321" s="243"/>
      <c r="SA321" s="243"/>
      <c r="SB321" s="243"/>
      <c r="SC321" s="243"/>
      <c r="SD321" s="243"/>
      <c r="SE321" s="243"/>
      <c r="SF321" s="243"/>
      <c r="SG321" s="243"/>
      <c r="SH321" s="243"/>
      <c r="SI321" s="243"/>
      <c r="SJ321" s="243"/>
      <c r="SK321" s="243"/>
      <c r="SL321" s="243"/>
      <c r="SM321" s="243"/>
      <c r="SN321" s="243"/>
      <c r="SO321" s="243"/>
      <c r="SP321" s="243"/>
      <c r="SQ321" s="243"/>
      <c r="SR321" s="243"/>
      <c r="SS321" s="243"/>
      <c r="ST321" s="243"/>
      <c r="SU321" s="243"/>
      <c r="SV321" s="243"/>
      <c r="SW321" s="243"/>
      <c r="SX321" s="243"/>
      <c r="SY321" s="243"/>
      <c r="SZ321" s="243"/>
      <c r="TA321" s="243"/>
      <c r="TB321" s="243"/>
      <c r="TC321" s="243"/>
      <c r="TD321" s="243"/>
      <c r="TE321" s="243"/>
      <c r="TF321" s="243"/>
      <c r="TG321" s="243"/>
      <c r="TH321" s="243"/>
      <c r="TI321" s="243"/>
      <c r="TJ321" s="243"/>
      <c r="TK321" s="243"/>
      <c r="TL321" s="243"/>
      <c r="TM321" s="243"/>
      <c r="TN321" s="243"/>
      <c r="TO321" s="243"/>
      <c r="TP321" s="243"/>
      <c r="TQ321" s="243"/>
      <c r="TR321" s="243"/>
      <c r="TS321" s="243"/>
      <c r="TT321" s="243"/>
      <c r="TU321" s="243"/>
      <c r="TV321" s="243"/>
      <c r="TW321" s="243"/>
      <c r="TX321" s="243"/>
      <c r="TY321" s="243"/>
      <c r="TZ321" s="243"/>
      <c r="UA321" s="243"/>
      <c r="UB321" s="243"/>
      <c r="UC321" s="243"/>
      <c r="UD321" s="243"/>
      <c r="UE321" s="243"/>
      <c r="UF321" s="243"/>
      <c r="UG321" s="243"/>
      <c r="UH321" s="243"/>
      <c r="UI321" s="243"/>
      <c r="UJ321" s="243"/>
      <c r="UK321" s="243"/>
      <c r="UL321" s="243"/>
      <c r="UM321" s="243"/>
      <c r="UN321" s="243"/>
      <c r="UO321" s="243"/>
      <c r="UP321" s="243"/>
      <c r="UQ321" s="243"/>
      <c r="UR321" s="243"/>
      <c r="US321" s="243"/>
      <c r="UT321" s="243"/>
      <c r="UU321" s="243"/>
      <c r="UV321" s="243"/>
      <c r="UW321" s="243"/>
      <c r="UX321" s="243"/>
      <c r="UY321" s="243"/>
      <c r="UZ321" s="243"/>
      <c r="VA321" s="243"/>
      <c r="VB321" s="243"/>
      <c r="VC321" s="243"/>
      <c r="VD321" s="243"/>
      <c r="VE321" s="243"/>
      <c r="VF321" s="243"/>
      <c r="VG321" s="243"/>
      <c r="VH321" s="243"/>
      <c r="VI321" s="243"/>
      <c r="VJ321" s="243"/>
      <c r="VK321" s="243"/>
      <c r="VL321" s="243"/>
      <c r="VM321" s="243"/>
      <c r="VN321" s="243"/>
      <c r="VO321" s="243"/>
      <c r="VP321" s="243"/>
      <c r="VQ321" s="243"/>
      <c r="VR321" s="243"/>
      <c r="VS321" s="243"/>
      <c r="VT321" s="243"/>
      <c r="VU321" s="243"/>
      <c r="VV321" s="243"/>
      <c r="VW321" s="243"/>
      <c r="VX321" s="243"/>
      <c r="VY321" s="243"/>
      <c r="VZ321" s="243"/>
      <c r="WA321" s="243"/>
      <c r="WB321" s="243"/>
      <c r="WC321" s="243"/>
      <c r="WD321" s="243"/>
      <c r="WE321" s="243"/>
      <c r="WF321" s="243"/>
      <c r="WG321" s="243"/>
      <c r="WH321" s="243"/>
      <c r="WI321" s="243"/>
      <c r="WJ321" s="243"/>
      <c r="WK321" s="243"/>
      <c r="WL321" s="243"/>
      <c r="WM321" s="243"/>
      <c r="WN321" s="243"/>
      <c r="WO321" s="243"/>
      <c r="WP321" s="243"/>
      <c r="WQ321" s="243"/>
      <c r="WR321" s="243"/>
      <c r="WS321" s="243"/>
      <c r="WT321" s="243"/>
      <c r="WU321" s="243"/>
      <c r="WV321" s="243"/>
      <c r="WW321" s="243"/>
      <c r="WX321" s="243"/>
      <c r="WY321" s="243"/>
      <c r="WZ321" s="243"/>
      <c r="XA321" s="243"/>
      <c r="XB321" s="243"/>
      <c r="XC321" s="243"/>
      <c r="XD321" s="243"/>
      <c r="XE321" s="243"/>
      <c r="XF321" s="243"/>
      <c r="XG321" s="243"/>
      <c r="XH321" s="243"/>
      <c r="XI321" s="243"/>
      <c r="XJ321" s="243"/>
      <c r="XK321" s="243"/>
      <c r="XL321" s="243"/>
      <c r="XM321" s="243"/>
      <c r="XN321" s="243"/>
      <c r="XO321" s="243"/>
      <c r="XP321" s="243"/>
      <c r="XQ321" s="243"/>
      <c r="XR321" s="243"/>
      <c r="XS321" s="243"/>
      <c r="XT321" s="243"/>
      <c r="XU321" s="243"/>
      <c r="XV321" s="243"/>
      <c r="XW321" s="243"/>
      <c r="XX321" s="243"/>
      <c r="XY321" s="243"/>
      <c r="XZ321" s="243"/>
      <c r="YA321" s="243"/>
      <c r="YB321" s="243"/>
      <c r="YC321" s="243"/>
      <c r="YD321" s="243"/>
      <c r="YE321" s="243"/>
      <c r="YF321" s="243"/>
      <c r="YG321" s="243"/>
      <c r="YH321" s="243"/>
      <c r="YI321" s="243"/>
      <c r="YJ321" s="243"/>
      <c r="YK321" s="243"/>
      <c r="YL321" s="243"/>
      <c r="YM321" s="243"/>
      <c r="YN321" s="243"/>
      <c r="YO321" s="243"/>
      <c r="YP321" s="243"/>
      <c r="YQ321" s="243"/>
      <c r="YR321" s="243"/>
      <c r="YS321" s="243"/>
      <c r="YT321" s="243"/>
      <c r="YU321" s="243"/>
      <c r="YV321" s="243"/>
      <c r="YW321" s="243"/>
      <c r="YX321" s="243"/>
      <c r="YY321" s="243"/>
      <c r="YZ321" s="243"/>
      <c r="ZA321" s="243"/>
      <c r="ZB321" s="243"/>
      <c r="ZC321" s="243"/>
      <c r="ZD321" s="243"/>
      <c r="ZE321" s="243"/>
      <c r="ZF321" s="243"/>
      <c r="ZG321" s="243"/>
      <c r="ZH321" s="243"/>
      <c r="ZI321" s="243"/>
      <c r="ZJ321" s="243"/>
      <c r="ZK321" s="243"/>
      <c r="ZL321" s="243"/>
      <c r="ZM321" s="243"/>
      <c r="ZN321" s="243"/>
      <c r="ZO321" s="243"/>
      <c r="ZP321" s="243"/>
      <c r="ZQ321" s="243"/>
      <c r="ZR321" s="243"/>
      <c r="ZS321" s="243"/>
      <c r="ZT321" s="243"/>
      <c r="ZU321" s="243"/>
      <c r="ZV321" s="243"/>
      <c r="ZW321" s="243"/>
      <c r="ZX321" s="243"/>
      <c r="ZY321" s="243"/>
      <c r="ZZ321" s="243"/>
      <c r="AAA321" s="243"/>
      <c r="AAB321" s="243"/>
      <c r="AAC321" s="243"/>
      <c r="AAD321" s="243"/>
      <c r="AAE321" s="243"/>
      <c r="AAF321" s="243"/>
      <c r="AAG321" s="243"/>
      <c r="AAH321" s="243"/>
      <c r="AAI321" s="243"/>
      <c r="AAJ321" s="243"/>
      <c r="AAK321" s="243"/>
      <c r="AAL321" s="243"/>
      <c r="AAM321" s="243"/>
      <c r="AAN321" s="243"/>
      <c r="AAO321" s="243"/>
      <c r="AAP321" s="243"/>
      <c r="AAQ321" s="243"/>
      <c r="AAR321" s="243"/>
      <c r="AAS321" s="243"/>
      <c r="AAT321" s="243"/>
      <c r="AAU321" s="243"/>
      <c r="AAV321" s="243"/>
      <c r="AAW321" s="243"/>
      <c r="AAX321" s="243"/>
      <c r="AAY321" s="243"/>
      <c r="AAZ321" s="243"/>
      <c r="ABA321" s="243"/>
      <c r="ABB321" s="243"/>
      <c r="ABC321" s="243"/>
      <c r="ABD321" s="243"/>
      <c r="ABE321" s="243"/>
      <c r="ABF321" s="243"/>
      <c r="ABG321" s="243"/>
      <c r="ABH321" s="243"/>
      <c r="ABI321" s="243"/>
      <c r="ABJ321" s="243"/>
      <c r="ABK321" s="243"/>
      <c r="ABL321" s="243"/>
      <c r="ABM321" s="243"/>
      <c r="ABN321" s="243"/>
      <c r="ABO321" s="243"/>
      <c r="ABP321" s="243"/>
      <c r="ABQ321" s="243"/>
      <c r="ABR321" s="243"/>
      <c r="ABS321" s="243"/>
      <c r="ABT321" s="243"/>
      <c r="ABU321" s="243"/>
      <c r="ABV321" s="243"/>
      <c r="ABW321" s="243"/>
      <c r="ABX321" s="243"/>
      <c r="ABY321" s="243"/>
      <c r="ABZ321" s="243"/>
      <c r="ACA321" s="243"/>
      <c r="ACB321" s="243"/>
      <c r="ACC321" s="243"/>
      <c r="ACD321" s="243"/>
      <c r="ACE321" s="243"/>
      <c r="ACF321" s="243"/>
      <c r="ACG321" s="243"/>
      <c r="ACH321" s="243"/>
      <c r="ACI321" s="243"/>
      <c r="ACJ321" s="243"/>
      <c r="ACK321" s="243"/>
      <c r="ACL321" s="243"/>
      <c r="ACM321" s="243"/>
      <c r="ACN321" s="243"/>
      <c r="ACO321" s="243"/>
      <c r="ACP321" s="243"/>
      <c r="ACQ321" s="243"/>
      <c r="ACR321" s="243"/>
      <c r="ACS321" s="243"/>
      <c r="ACT321" s="243"/>
      <c r="ACU321" s="243"/>
      <c r="ACV321" s="243"/>
      <c r="ACW321" s="243"/>
      <c r="ACX321" s="243"/>
      <c r="ACY321" s="243"/>
      <c r="ACZ321" s="243"/>
      <c r="ADA321" s="243"/>
      <c r="ADB321" s="243"/>
      <c r="ADC321" s="243"/>
      <c r="ADD321" s="243"/>
      <c r="ADE321" s="243"/>
      <c r="ADF321" s="243"/>
      <c r="ADG321" s="243"/>
      <c r="ADH321" s="243"/>
      <c r="ADI321" s="243"/>
      <c r="ADJ321" s="243"/>
      <c r="ADK321" s="243"/>
      <c r="ADL321" s="243"/>
      <c r="ADM321" s="243"/>
      <c r="ADN321" s="243"/>
      <c r="ADO321" s="243"/>
      <c r="ADP321" s="243"/>
      <c r="ADQ321" s="243"/>
      <c r="ADR321" s="243"/>
      <c r="ADS321" s="243"/>
      <c r="ADT321" s="243"/>
      <c r="ADU321" s="243"/>
      <c r="ADV321" s="243"/>
      <c r="ADW321" s="243"/>
      <c r="ADX321" s="243"/>
      <c r="ADY321" s="243"/>
      <c r="ADZ321" s="243"/>
      <c r="AEA321" s="243"/>
      <c r="AEB321" s="243"/>
      <c r="AEC321" s="243"/>
      <c r="AED321" s="243"/>
      <c r="AEE321" s="243"/>
      <c r="AEF321" s="243"/>
      <c r="AEG321" s="243"/>
      <c r="AEH321" s="243"/>
      <c r="AEI321" s="243"/>
      <c r="AEJ321" s="243"/>
      <c r="AEK321" s="243"/>
      <c r="AEL321" s="243"/>
      <c r="AEM321" s="243"/>
      <c r="AEN321" s="243"/>
      <c r="AEO321" s="243"/>
      <c r="AEP321" s="243"/>
      <c r="AEQ321" s="243"/>
      <c r="AER321" s="243"/>
      <c r="AES321" s="243"/>
      <c r="AET321" s="243"/>
      <c r="AEU321" s="243"/>
      <c r="AEV321" s="243"/>
      <c r="AEW321" s="243"/>
      <c r="AEX321" s="243"/>
      <c r="AEY321" s="243"/>
      <c r="AEZ321" s="243"/>
      <c r="AFA321" s="243"/>
      <c r="AFB321" s="243"/>
      <c r="AFC321" s="243"/>
      <c r="AFD321" s="243"/>
      <c r="AFE321" s="243"/>
      <c r="AFF321" s="243"/>
      <c r="AFG321" s="243"/>
      <c r="AFH321" s="243"/>
      <c r="AFI321" s="243"/>
      <c r="AFJ321" s="243"/>
      <c r="AFK321" s="243"/>
      <c r="AFL321" s="243"/>
      <c r="AFM321" s="243"/>
      <c r="AFN321" s="243"/>
      <c r="AFO321" s="243"/>
      <c r="AFP321" s="243"/>
      <c r="AFQ321" s="243"/>
      <c r="AFR321" s="243"/>
      <c r="AFS321" s="243"/>
      <c r="AFT321" s="243"/>
      <c r="AFU321" s="243"/>
      <c r="AFV321" s="243"/>
      <c r="AFW321" s="243"/>
      <c r="AFX321" s="243"/>
      <c r="AFY321" s="243"/>
      <c r="AFZ321" s="243"/>
      <c r="AGA321" s="243"/>
      <c r="AGB321" s="243"/>
      <c r="AGC321" s="243"/>
      <c r="AGD321" s="243"/>
      <c r="AGE321" s="243"/>
      <c r="AGF321" s="243"/>
      <c r="AGG321" s="243"/>
      <c r="AGH321" s="243"/>
      <c r="AGI321" s="243"/>
      <c r="AGJ321" s="243"/>
      <c r="AGK321" s="243"/>
      <c r="AGL321" s="243"/>
      <c r="AGM321" s="243"/>
      <c r="AGN321" s="243"/>
      <c r="AGO321" s="243"/>
      <c r="AGP321" s="243"/>
      <c r="AGQ321" s="243"/>
      <c r="AGR321" s="243"/>
      <c r="AGS321" s="243"/>
      <c r="AGT321" s="243"/>
      <c r="AGU321" s="243"/>
      <c r="AGV321" s="243"/>
      <c r="AGW321" s="243"/>
      <c r="AGX321" s="243"/>
      <c r="AGY321" s="243"/>
      <c r="AGZ321" s="243"/>
      <c r="AHA321" s="243"/>
      <c r="AHB321" s="243"/>
      <c r="AHC321" s="243"/>
      <c r="AHD321" s="243"/>
      <c r="AHE321" s="243"/>
      <c r="AHF321" s="243"/>
      <c r="AHG321" s="243"/>
      <c r="AHH321" s="243"/>
      <c r="AHI321" s="243"/>
      <c r="AHJ321" s="243"/>
      <c r="AHK321" s="243"/>
      <c r="AHL321" s="243"/>
      <c r="AHM321" s="243"/>
      <c r="AHN321" s="243"/>
      <c r="AHO321" s="243"/>
      <c r="AHP321" s="243"/>
      <c r="AHQ321" s="243"/>
      <c r="AHR321" s="243"/>
      <c r="AHS321" s="243"/>
      <c r="AHT321" s="243"/>
      <c r="AHU321" s="243"/>
      <c r="AHV321" s="243"/>
      <c r="AHW321" s="243"/>
      <c r="AHX321" s="243"/>
      <c r="AHY321" s="243"/>
      <c r="AHZ321" s="243"/>
      <c r="AIA321" s="243"/>
      <c r="AIB321" s="243"/>
      <c r="AIC321" s="243"/>
      <c r="AID321" s="243"/>
      <c r="AIE321" s="243"/>
      <c r="AIF321" s="243"/>
      <c r="AIG321" s="243"/>
      <c r="AIH321" s="243"/>
      <c r="AII321" s="243"/>
      <c r="AIJ321" s="243"/>
      <c r="AIK321" s="243"/>
      <c r="AIL321" s="243"/>
      <c r="AIM321" s="243"/>
      <c r="AIN321" s="243"/>
      <c r="AIO321" s="243"/>
      <c r="AIP321" s="243"/>
      <c r="AIQ321" s="243"/>
      <c r="AIR321" s="243"/>
      <c r="AIS321" s="243"/>
      <c r="AIT321" s="243"/>
      <c r="AIU321" s="243"/>
      <c r="AIV321" s="243"/>
      <c r="AIW321" s="243"/>
      <c r="AIX321" s="243"/>
      <c r="AIY321" s="243"/>
      <c r="AIZ321" s="243"/>
      <c r="AJA321" s="243"/>
      <c r="AJB321" s="243"/>
      <c r="AJC321" s="243"/>
      <c r="AJD321" s="243"/>
      <c r="AJE321" s="243"/>
      <c r="AJF321" s="243"/>
      <c r="AJG321" s="243"/>
      <c r="AJH321" s="243"/>
      <c r="AJI321" s="243"/>
      <c r="AJJ321" s="243"/>
      <c r="AJK321" s="243"/>
      <c r="AJL321" s="243"/>
      <c r="AJM321" s="243"/>
      <c r="AJN321" s="243"/>
      <c r="AJO321" s="243"/>
      <c r="AJP321" s="243"/>
      <c r="AJQ321" s="243"/>
      <c r="AJR321" s="243"/>
      <c r="AJS321" s="243"/>
      <c r="AJT321" s="243"/>
      <c r="AJU321" s="243"/>
      <c r="AJV321" s="243"/>
      <c r="AJW321" s="243"/>
      <c r="AJX321" s="243"/>
      <c r="AJY321" s="243"/>
      <c r="AJZ321" s="243"/>
      <c r="AKA321" s="243"/>
      <c r="AKB321" s="243"/>
      <c r="AKC321" s="243"/>
      <c r="AKD321" s="243"/>
      <c r="AKE321" s="243"/>
      <c r="AKF321" s="243"/>
      <c r="AKG321" s="243"/>
      <c r="AKH321" s="243"/>
      <c r="AKI321" s="243"/>
      <c r="AKJ321" s="243"/>
      <c r="AKK321" s="243"/>
      <c r="AKL321" s="243"/>
      <c r="AKM321" s="243"/>
      <c r="AKN321" s="243"/>
      <c r="AKO321" s="243"/>
      <c r="AKP321" s="243"/>
      <c r="AKQ321" s="243"/>
      <c r="AKR321" s="243"/>
      <c r="AKS321" s="243"/>
      <c r="AKT321" s="243"/>
      <c r="AKU321" s="243"/>
      <c r="AKV321" s="243"/>
      <c r="AKW321" s="243"/>
      <c r="AKX321" s="243"/>
      <c r="AKY321" s="243"/>
      <c r="AKZ321" s="243"/>
      <c r="ALA321" s="243"/>
      <c r="ALB321" s="243"/>
      <c r="ALC321" s="243"/>
      <c r="ALD321" s="243"/>
      <c r="ALE321" s="243"/>
      <c r="ALF321" s="243"/>
      <c r="ALG321" s="243"/>
      <c r="ALH321" s="243"/>
      <c r="ALI321" s="243"/>
      <c r="ALJ321" s="243"/>
      <c r="ALK321" s="243"/>
      <c r="ALL321" s="243"/>
      <c r="ALM321" s="243"/>
      <c r="ALN321" s="243"/>
      <c r="ALO321" s="243"/>
      <c r="ALP321" s="243"/>
      <c r="ALQ321" s="243"/>
      <c r="ALR321" s="243"/>
      <c r="ALS321" s="243"/>
      <c r="ALT321" s="243"/>
      <c r="ALU321" s="243"/>
      <c r="ALV321" s="243"/>
      <c r="ALW321" s="243"/>
      <c r="ALX321" s="243"/>
      <c r="ALY321" s="243"/>
      <c r="ALZ321" s="243"/>
      <c r="AMA321" s="243"/>
      <c r="AMB321" s="243"/>
      <c r="AMC321" s="243"/>
      <c r="AMD321" s="243"/>
      <c r="AME321" s="243"/>
      <c r="AMF321" s="243"/>
      <c r="AMG321" s="243"/>
      <c r="AMH321" s="243"/>
      <c r="AMI321" s="244"/>
      <c r="AMJ321" s="244"/>
    </row>
    <row r="322" spans="1:1024" ht="18">
      <c r="A322" s="1019"/>
      <c r="B322" s="1022" t="s">
        <v>44</v>
      </c>
      <c r="C322" s="1023"/>
      <c r="D322" s="1023"/>
      <c r="E322" s="391"/>
      <c r="F322" s="390"/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243"/>
      <c r="S322" s="243"/>
      <c r="T322" s="243"/>
      <c r="U322" s="243"/>
      <c r="V322" s="243"/>
      <c r="W322" s="243"/>
      <c r="X322" s="243"/>
      <c r="Y322" s="243"/>
      <c r="Z322" s="243"/>
      <c r="AA322" s="243"/>
      <c r="AB322" s="243"/>
      <c r="AC322" s="243"/>
      <c r="AD322" s="243"/>
      <c r="AE322" s="243"/>
      <c r="AF322" s="243"/>
      <c r="AG322" s="243"/>
      <c r="AH322" s="243"/>
      <c r="AI322" s="243"/>
      <c r="AJ322" s="243"/>
      <c r="AK322" s="243"/>
      <c r="AL322" s="243"/>
      <c r="AM322" s="243"/>
      <c r="AN322" s="243"/>
      <c r="AO322" s="243"/>
      <c r="AP322" s="243"/>
      <c r="AQ322" s="243"/>
      <c r="AR322" s="243"/>
      <c r="AS322" s="243"/>
      <c r="AT322" s="243"/>
      <c r="AU322" s="243"/>
      <c r="AV322" s="243"/>
      <c r="AW322" s="243"/>
      <c r="AX322" s="243"/>
      <c r="AY322" s="243"/>
      <c r="AZ322" s="243"/>
      <c r="BA322" s="243"/>
      <c r="BB322" s="243"/>
      <c r="BC322" s="243"/>
      <c r="BD322" s="243"/>
      <c r="BE322" s="243"/>
      <c r="BF322" s="243"/>
      <c r="BG322" s="243"/>
      <c r="BH322" s="243"/>
      <c r="BI322" s="243"/>
      <c r="BJ322" s="243"/>
      <c r="BK322" s="243"/>
      <c r="BL322" s="243"/>
      <c r="BM322" s="243"/>
      <c r="BN322" s="243"/>
      <c r="BO322" s="243"/>
      <c r="BP322" s="243"/>
      <c r="BQ322" s="243"/>
      <c r="BR322" s="243"/>
      <c r="BS322" s="243"/>
      <c r="BT322" s="243"/>
      <c r="BU322" s="243"/>
      <c r="BV322" s="243"/>
      <c r="BW322" s="243"/>
      <c r="BX322" s="243"/>
      <c r="BY322" s="243"/>
      <c r="BZ322" s="243"/>
      <c r="CA322" s="243"/>
      <c r="CB322" s="243"/>
      <c r="CC322" s="243"/>
      <c r="CD322" s="243"/>
      <c r="CE322" s="243"/>
      <c r="CF322" s="243"/>
      <c r="CG322" s="243"/>
      <c r="CH322" s="243"/>
      <c r="CI322" s="243"/>
      <c r="CJ322" s="243"/>
      <c r="CK322" s="243"/>
      <c r="CL322" s="243"/>
      <c r="CM322" s="243"/>
      <c r="CN322" s="243"/>
      <c r="CO322" s="243"/>
      <c r="CP322" s="243"/>
      <c r="CQ322" s="243"/>
      <c r="CR322" s="243"/>
      <c r="CS322" s="243"/>
      <c r="CT322" s="243"/>
      <c r="CU322" s="243"/>
      <c r="CV322" s="243"/>
      <c r="CW322" s="243"/>
      <c r="CX322" s="243"/>
      <c r="CY322" s="243"/>
      <c r="CZ322" s="243"/>
      <c r="DA322" s="243"/>
      <c r="DB322" s="243"/>
      <c r="DC322" s="243"/>
      <c r="DD322" s="243"/>
      <c r="DE322" s="243"/>
      <c r="DF322" s="243"/>
      <c r="DG322" s="243"/>
      <c r="DH322" s="243"/>
      <c r="DI322" s="243"/>
      <c r="DJ322" s="243"/>
      <c r="DK322" s="243"/>
      <c r="DL322" s="243"/>
      <c r="DM322" s="243"/>
      <c r="DN322" s="243"/>
      <c r="DO322" s="243"/>
      <c r="DP322" s="243"/>
      <c r="DQ322" s="243"/>
      <c r="DR322" s="243"/>
      <c r="DS322" s="243"/>
      <c r="DT322" s="243"/>
      <c r="DU322" s="243"/>
      <c r="DV322" s="243"/>
      <c r="DW322" s="243"/>
      <c r="DX322" s="243"/>
      <c r="DY322" s="243"/>
      <c r="DZ322" s="243"/>
      <c r="EA322" s="243"/>
      <c r="EB322" s="243"/>
      <c r="EC322" s="243"/>
      <c r="ED322" s="243"/>
      <c r="EE322" s="243"/>
      <c r="EF322" s="243"/>
      <c r="EG322" s="243"/>
      <c r="EH322" s="243"/>
      <c r="EI322" s="243"/>
      <c r="EJ322" s="243"/>
      <c r="EK322" s="243"/>
      <c r="EL322" s="243"/>
      <c r="EM322" s="243"/>
      <c r="EN322" s="243"/>
      <c r="EO322" s="243"/>
      <c r="EP322" s="243"/>
      <c r="EQ322" s="243"/>
      <c r="ER322" s="243"/>
      <c r="ES322" s="243"/>
      <c r="ET322" s="243"/>
      <c r="EU322" s="243"/>
      <c r="EV322" s="243"/>
      <c r="EW322" s="243"/>
      <c r="EX322" s="243"/>
      <c r="EY322" s="243"/>
      <c r="EZ322" s="243"/>
      <c r="FA322" s="243"/>
      <c r="FB322" s="243"/>
      <c r="FC322" s="243"/>
      <c r="FD322" s="243"/>
      <c r="FE322" s="243"/>
      <c r="FF322" s="243"/>
      <c r="FG322" s="243"/>
      <c r="FH322" s="243"/>
      <c r="FI322" s="243"/>
      <c r="FJ322" s="243"/>
      <c r="FK322" s="243"/>
      <c r="FL322" s="243"/>
      <c r="FM322" s="243"/>
      <c r="FN322" s="243"/>
      <c r="FO322" s="243"/>
      <c r="FP322" s="243"/>
      <c r="FQ322" s="243"/>
      <c r="FR322" s="243"/>
      <c r="FS322" s="243"/>
      <c r="FT322" s="243"/>
      <c r="FU322" s="243"/>
      <c r="FV322" s="243"/>
      <c r="FW322" s="243"/>
      <c r="FX322" s="243"/>
      <c r="FY322" s="243"/>
      <c r="FZ322" s="243"/>
      <c r="GA322" s="243"/>
      <c r="GB322" s="243"/>
      <c r="GC322" s="243"/>
      <c r="GD322" s="243"/>
      <c r="GE322" s="243"/>
      <c r="GF322" s="243"/>
      <c r="GG322" s="243"/>
      <c r="GH322" s="243"/>
      <c r="GI322" s="243"/>
      <c r="GJ322" s="243"/>
      <c r="GK322" s="243"/>
      <c r="GL322" s="243"/>
      <c r="GM322" s="243"/>
      <c r="GN322" s="243"/>
      <c r="GO322" s="243"/>
      <c r="GP322" s="243"/>
      <c r="GQ322" s="243"/>
      <c r="GR322" s="243"/>
      <c r="GS322" s="243"/>
      <c r="GT322" s="243"/>
      <c r="GU322" s="243"/>
      <c r="GV322" s="243"/>
      <c r="GW322" s="243"/>
      <c r="GX322" s="243"/>
      <c r="GY322" s="243"/>
      <c r="GZ322" s="243"/>
      <c r="HA322" s="243"/>
      <c r="HB322" s="243"/>
      <c r="HC322" s="243"/>
      <c r="HD322" s="243"/>
      <c r="HE322" s="243"/>
      <c r="HF322" s="243"/>
      <c r="HG322" s="243"/>
      <c r="HH322" s="243"/>
      <c r="HI322" s="243"/>
      <c r="HJ322" s="243"/>
      <c r="HK322" s="243"/>
      <c r="HL322" s="243"/>
      <c r="HM322" s="243"/>
      <c r="HN322" s="243"/>
      <c r="HO322" s="243"/>
      <c r="HP322" s="243"/>
      <c r="HQ322" s="243"/>
      <c r="HR322" s="243"/>
      <c r="HS322" s="243"/>
      <c r="HT322" s="243"/>
      <c r="HU322" s="243"/>
      <c r="HV322" s="243"/>
      <c r="HW322" s="243"/>
      <c r="HX322" s="243"/>
      <c r="HY322" s="243"/>
      <c r="HZ322" s="243"/>
      <c r="IA322" s="243"/>
      <c r="IB322" s="243"/>
      <c r="IC322" s="243"/>
      <c r="ID322" s="243"/>
      <c r="IE322" s="243"/>
      <c r="IF322" s="243"/>
      <c r="IG322" s="243"/>
      <c r="IH322" s="243"/>
      <c r="II322" s="243"/>
      <c r="IJ322" s="243"/>
      <c r="IK322" s="243"/>
      <c r="IL322" s="243"/>
      <c r="IM322" s="243"/>
      <c r="IN322" s="243"/>
      <c r="IO322" s="243"/>
      <c r="IP322" s="243"/>
      <c r="IQ322" s="243"/>
      <c r="IR322" s="243"/>
      <c r="IS322" s="243"/>
      <c r="IT322" s="243"/>
      <c r="IU322" s="243"/>
      <c r="IV322" s="243"/>
      <c r="IW322" s="243"/>
      <c r="IX322" s="243"/>
      <c r="IY322" s="243"/>
      <c r="IZ322" s="243"/>
      <c r="JA322" s="243"/>
      <c r="JB322" s="243"/>
      <c r="JC322" s="243"/>
      <c r="JD322" s="243"/>
      <c r="JE322" s="243"/>
      <c r="JF322" s="243"/>
      <c r="JG322" s="243"/>
      <c r="JH322" s="243"/>
      <c r="JI322" s="243"/>
      <c r="JJ322" s="243"/>
      <c r="JK322" s="243"/>
      <c r="JL322" s="243"/>
      <c r="JM322" s="243"/>
      <c r="JN322" s="243"/>
      <c r="JO322" s="243"/>
      <c r="JP322" s="243"/>
      <c r="JQ322" s="243"/>
      <c r="JR322" s="243"/>
      <c r="JS322" s="243"/>
      <c r="JT322" s="243"/>
      <c r="JU322" s="243"/>
      <c r="JV322" s="243"/>
      <c r="JW322" s="243"/>
      <c r="JX322" s="243"/>
      <c r="JY322" s="243"/>
      <c r="JZ322" s="243"/>
      <c r="KA322" s="243"/>
      <c r="KB322" s="243"/>
      <c r="KC322" s="243"/>
      <c r="KD322" s="243"/>
      <c r="KE322" s="243"/>
      <c r="KF322" s="243"/>
      <c r="KG322" s="243"/>
      <c r="KH322" s="243"/>
      <c r="KI322" s="243"/>
      <c r="KJ322" s="243"/>
      <c r="KK322" s="243"/>
      <c r="KL322" s="243"/>
      <c r="KM322" s="243"/>
      <c r="KN322" s="243"/>
      <c r="KO322" s="243"/>
      <c r="KP322" s="243"/>
      <c r="KQ322" s="243"/>
      <c r="KR322" s="243"/>
      <c r="KS322" s="243"/>
      <c r="KT322" s="243"/>
      <c r="KU322" s="243"/>
      <c r="KV322" s="243"/>
      <c r="KW322" s="243"/>
      <c r="KX322" s="243"/>
      <c r="KY322" s="243"/>
      <c r="KZ322" s="243"/>
      <c r="LA322" s="243"/>
      <c r="LB322" s="243"/>
      <c r="LC322" s="243"/>
      <c r="LD322" s="243"/>
      <c r="LE322" s="243"/>
      <c r="LF322" s="243"/>
      <c r="LG322" s="243"/>
      <c r="LH322" s="243"/>
      <c r="LI322" s="243"/>
      <c r="LJ322" s="243"/>
      <c r="LK322" s="243"/>
      <c r="LL322" s="243"/>
      <c r="LM322" s="243"/>
      <c r="LN322" s="243"/>
      <c r="LO322" s="243"/>
      <c r="LP322" s="243"/>
      <c r="LQ322" s="243"/>
      <c r="LR322" s="243"/>
      <c r="LS322" s="243"/>
      <c r="LT322" s="243"/>
      <c r="LU322" s="243"/>
      <c r="LV322" s="243"/>
      <c r="LW322" s="243"/>
      <c r="LX322" s="243"/>
      <c r="LY322" s="243"/>
      <c r="LZ322" s="243"/>
      <c r="MA322" s="243"/>
      <c r="MB322" s="243"/>
      <c r="MC322" s="243"/>
      <c r="MD322" s="243"/>
      <c r="ME322" s="243"/>
      <c r="MF322" s="243"/>
      <c r="MG322" s="243"/>
      <c r="MH322" s="243"/>
      <c r="MI322" s="243"/>
      <c r="MJ322" s="243"/>
      <c r="MK322" s="243"/>
      <c r="ML322" s="243"/>
      <c r="MM322" s="243"/>
      <c r="MN322" s="243"/>
      <c r="MO322" s="243"/>
      <c r="MP322" s="243"/>
      <c r="MQ322" s="243"/>
      <c r="MR322" s="243"/>
      <c r="MS322" s="243"/>
      <c r="MT322" s="243"/>
      <c r="MU322" s="243"/>
      <c r="MV322" s="243"/>
      <c r="MW322" s="243"/>
      <c r="MX322" s="243"/>
      <c r="MY322" s="243"/>
      <c r="MZ322" s="243"/>
      <c r="NA322" s="243"/>
      <c r="NB322" s="243"/>
      <c r="NC322" s="243"/>
      <c r="ND322" s="243"/>
      <c r="NE322" s="243"/>
      <c r="NF322" s="243"/>
      <c r="NG322" s="243"/>
      <c r="NH322" s="243"/>
      <c r="NI322" s="243"/>
      <c r="NJ322" s="243"/>
      <c r="NK322" s="243"/>
      <c r="NL322" s="243"/>
      <c r="NM322" s="243"/>
      <c r="NN322" s="243"/>
      <c r="NO322" s="243"/>
      <c r="NP322" s="243"/>
      <c r="NQ322" s="243"/>
      <c r="NR322" s="243"/>
      <c r="NS322" s="243"/>
      <c r="NT322" s="243"/>
      <c r="NU322" s="243"/>
      <c r="NV322" s="243"/>
      <c r="NW322" s="243"/>
      <c r="NX322" s="243"/>
      <c r="NY322" s="243"/>
      <c r="NZ322" s="243"/>
      <c r="OA322" s="243"/>
      <c r="OB322" s="243"/>
      <c r="OC322" s="243"/>
      <c r="OD322" s="243"/>
      <c r="OE322" s="243"/>
      <c r="OF322" s="243"/>
      <c r="OG322" s="243"/>
      <c r="OH322" s="243"/>
      <c r="OI322" s="243"/>
      <c r="OJ322" s="243"/>
      <c r="OK322" s="243"/>
      <c r="OL322" s="243"/>
      <c r="OM322" s="243"/>
      <c r="ON322" s="243"/>
      <c r="OO322" s="243"/>
      <c r="OP322" s="243"/>
      <c r="OQ322" s="243"/>
      <c r="OR322" s="243"/>
      <c r="OS322" s="243"/>
      <c r="OT322" s="243"/>
      <c r="OU322" s="243"/>
      <c r="OV322" s="243"/>
      <c r="OW322" s="243"/>
      <c r="OX322" s="243"/>
      <c r="OY322" s="243"/>
      <c r="OZ322" s="243"/>
      <c r="PA322" s="243"/>
      <c r="PB322" s="243"/>
      <c r="PC322" s="243"/>
      <c r="PD322" s="243"/>
      <c r="PE322" s="243"/>
      <c r="PF322" s="243"/>
      <c r="PG322" s="243"/>
      <c r="PH322" s="243"/>
      <c r="PI322" s="243"/>
      <c r="PJ322" s="243"/>
      <c r="PK322" s="243"/>
      <c r="PL322" s="243"/>
      <c r="PM322" s="243"/>
      <c r="PN322" s="243"/>
      <c r="PO322" s="243"/>
      <c r="PP322" s="243"/>
      <c r="PQ322" s="243"/>
      <c r="PR322" s="243"/>
      <c r="PS322" s="243"/>
      <c r="PT322" s="243"/>
      <c r="PU322" s="243"/>
      <c r="PV322" s="243"/>
      <c r="PW322" s="243"/>
      <c r="PX322" s="243"/>
      <c r="PY322" s="243"/>
      <c r="PZ322" s="243"/>
      <c r="QA322" s="243"/>
      <c r="QB322" s="243"/>
      <c r="QC322" s="243"/>
      <c r="QD322" s="243"/>
      <c r="QE322" s="243"/>
      <c r="QF322" s="243"/>
      <c r="QG322" s="243"/>
      <c r="QH322" s="243"/>
      <c r="QI322" s="243"/>
      <c r="QJ322" s="243"/>
      <c r="QK322" s="243"/>
      <c r="QL322" s="243"/>
      <c r="QM322" s="243"/>
      <c r="QN322" s="243"/>
      <c r="QO322" s="243"/>
      <c r="QP322" s="243"/>
      <c r="QQ322" s="243"/>
      <c r="QR322" s="243"/>
      <c r="QS322" s="243"/>
      <c r="QT322" s="243"/>
      <c r="QU322" s="243"/>
      <c r="QV322" s="243"/>
      <c r="QW322" s="243"/>
      <c r="QX322" s="243"/>
      <c r="QY322" s="243"/>
      <c r="QZ322" s="243"/>
      <c r="RA322" s="243"/>
      <c r="RB322" s="243"/>
      <c r="RC322" s="243"/>
      <c r="RD322" s="243"/>
      <c r="RE322" s="243"/>
      <c r="RF322" s="243"/>
      <c r="RG322" s="243"/>
      <c r="RH322" s="243"/>
      <c r="RI322" s="243"/>
      <c r="RJ322" s="243"/>
      <c r="RK322" s="243"/>
      <c r="RL322" s="243"/>
      <c r="RM322" s="243"/>
      <c r="RN322" s="243"/>
      <c r="RO322" s="243"/>
      <c r="RP322" s="243"/>
      <c r="RQ322" s="243"/>
      <c r="RR322" s="243"/>
      <c r="RS322" s="243"/>
      <c r="RT322" s="243"/>
      <c r="RU322" s="243"/>
      <c r="RV322" s="243"/>
      <c r="RW322" s="243"/>
      <c r="RX322" s="243"/>
      <c r="RY322" s="243"/>
      <c r="RZ322" s="243"/>
      <c r="SA322" s="243"/>
      <c r="SB322" s="243"/>
      <c r="SC322" s="243"/>
      <c r="SD322" s="243"/>
      <c r="SE322" s="243"/>
      <c r="SF322" s="243"/>
      <c r="SG322" s="243"/>
      <c r="SH322" s="243"/>
      <c r="SI322" s="243"/>
      <c r="SJ322" s="243"/>
      <c r="SK322" s="243"/>
      <c r="SL322" s="243"/>
      <c r="SM322" s="243"/>
      <c r="SN322" s="243"/>
      <c r="SO322" s="243"/>
      <c r="SP322" s="243"/>
      <c r="SQ322" s="243"/>
      <c r="SR322" s="243"/>
      <c r="SS322" s="243"/>
      <c r="ST322" s="243"/>
      <c r="SU322" s="243"/>
      <c r="SV322" s="243"/>
      <c r="SW322" s="243"/>
      <c r="SX322" s="243"/>
      <c r="SY322" s="243"/>
      <c r="SZ322" s="243"/>
      <c r="TA322" s="243"/>
      <c r="TB322" s="243"/>
      <c r="TC322" s="243"/>
      <c r="TD322" s="243"/>
      <c r="TE322" s="243"/>
      <c r="TF322" s="243"/>
      <c r="TG322" s="243"/>
      <c r="TH322" s="243"/>
      <c r="TI322" s="243"/>
      <c r="TJ322" s="243"/>
      <c r="TK322" s="243"/>
      <c r="TL322" s="243"/>
      <c r="TM322" s="243"/>
      <c r="TN322" s="243"/>
      <c r="TO322" s="243"/>
      <c r="TP322" s="243"/>
      <c r="TQ322" s="243"/>
      <c r="TR322" s="243"/>
      <c r="TS322" s="243"/>
      <c r="TT322" s="243"/>
      <c r="TU322" s="243"/>
      <c r="TV322" s="243"/>
      <c r="TW322" s="243"/>
      <c r="TX322" s="243"/>
      <c r="TY322" s="243"/>
      <c r="TZ322" s="243"/>
      <c r="UA322" s="243"/>
      <c r="UB322" s="243"/>
      <c r="UC322" s="243"/>
      <c r="UD322" s="243"/>
      <c r="UE322" s="243"/>
      <c r="UF322" s="243"/>
      <c r="UG322" s="243"/>
      <c r="UH322" s="243"/>
      <c r="UI322" s="243"/>
      <c r="UJ322" s="243"/>
      <c r="UK322" s="243"/>
      <c r="UL322" s="243"/>
      <c r="UM322" s="243"/>
      <c r="UN322" s="243"/>
      <c r="UO322" s="243"/>
      <c r="UP322" s="243"/>
      <c r="UQ322" s="243"/>
      <c r="UR322" s="243"/>
      <c r="US322" s="243"/>
      <c r="UT322" s="243"/>
      <c r="UU322" s="243"/>
      <c r="UV322" s="243"/>
      <c r="UW322" s="243"/>
      <c r="UX322" s="243"/>
      <c r="UY322" s="243"/>
      <c r="UZ322" s="243"/>
      <c r="VA322" s="243"/>
      <c r="VB322" s="243"/>
      <c r="VC322" s="243"/>
      <c r="VD322" s="243"/>
      <c r="VE322" s="243"/>
      <c r="VF322" s="243"/>
      <c r="VG322" s="243"/>
      <c r="VH322" s="243"/>
      <c r="VI322" s="243"/>
      <c r="VJ322" s="243"/>
      <c r="VK322" s="243"/>
      <c r="VL322" s="243"/>
      <c r="VM322" s="243"/>
      <c r="VN322" s="243"/>
      <c r="VO322" s="243"/>
      <c r="VP322" s="243"/>
      <c r="VQ322" s="243"/>
      <c r="VR322" s="243"/>
      <c r="VS322" s="243"/>
      <c r="VT322" s="243"/>
      <c r="VU322" s="243"/>
      <c r="VV322" s="243"/>
      <c r="VW322" s="243"/>
      <c r="VX322" s="243"/>
      <c r="VY322" s="243"/>
      <c r="VZ322" s="243"/>
      <c r="WA322" s="243"/>
      <c r="WB322" s="243"/>
      <c r="WC322" s="243"/>
      <c r="WD322" s="243"/>
      <c r="WE322" s="243"/>
      <c r="WF322" s="243"/>
      <c r="WG322" s="243"/>
      <c r="WH322" s="243"/>
      <c r="WI322" s="243"/>
      <c r="WJ322" s="243"/>
      <c r="WK322" s="243"/>
      <c r="WL322" s="243"/>
      <c r="WM322" s="243"/>
      <c r="WN322" s="243"/>
      <c r="WO322" s="243"/>
      <c r="WP322" s="243"/>
      <c r="WQ322" s="243"/>
      <c r="WR322" s="243"/>
      <c r="WS322" s="243"/>
      <c r="WT322" s="243"/>
      <c r="WU322" s="243"/>
      <c r="WV322" s="243"/>
      <c r="WW322" s="243"/>
      <c r="WX322" s="243"/>
      <c r="WY322" s="243"/>
      <c r="WZ322" s="243"/>
      <c r="XA322" s="243"/>
      <c r="XB322" s="243"/>
      <c r="XC322" s="243"/>
      <c r="XD322" s="243"/>
      <c r="XE322" s="243"/>
      <c r="XF322" s="243"/>
      <c r="XG322" s="243"/>
      <c r="XH322" s="243"/>
      <c r="XI322" s="243"/>
      <c r="XJ322" s="243"/>
      <c r="XK322" s="243"/>
      <c r="XL322" s="243"/>
      <c r="XM322" s="243"/>
      <c r="XN322" s="243"/>
      <c r="XO322" s="243"/>
      <c r="XP322" s="243"/>
      <c r="XQ322" s="243"/>
      <c r="XR322" s="243"/>
      <c r="XS322" s="243"/>
      <c r="XT322" s="243"/>
      <c r="XU322" s="243"/>
      <c r="XV322" s="243"/>
      <c r="XW322" s="243"/>
      <c r="XX322" s="243"/>
      <c r="XY322" s="243"/>
      <c r="XZ322" s="243"/>
      <c r="YA322" s="243"/>
      <c r="YB322" s="243"/>
      <c r="YC322" s="243"/>
      <c r="YD322" s="243"/>
      <c r="YE322" s="243"/>
      <c r="YF322" s="243"/>
      <c r="YG322" s="243"/>
      <c r="YH322" s="243"/>
      <c r="YI322" s="243"/>
      <c r="YJ322" s="243"/>
      <c r="YK322" s="243"/>
      <c r="YL322" s="243"/>
      <c r="YM322" s="243"/>
      <c r="YN322" s="243"/>
      <c r="YO322" s="243"/>
      <c r="YP322" s="243"/>
      <c r="YQ322" s="243"/>
      <c r="YR322" s="243"/>
      <c r="YS322" s="243"/>
      <c r="YT322" s="243"/>
      <c r="YU322" s="243"/>
      <c r="YV322" s="243"/>
      <c r="YW322" s="243"/>
      <c r="YX322" s="243"/>
      <c r="YY322" s="243"/>
      <c r="YZ322" s="243"/>
      <c r="ZA322" s="243"/>
      <c r="ZB322" s="243"/>
      <c r="ZC322" s="243"/>
      <c r="ZD322" s="243"/>
      <c r="ZE322" s="243"/>
      <c r="ZF322" s="243"/>
      <c r="ZG322" s="243"/>
      <c r="ZH322" s="243"/>
      <c r="ZI322" s="243"/>
      <c r="ZJ322" s="243"/>
      <c r="ZK322" s="243"/>
      <c r="ZL322" s="243"/>
      <c r="ZM322" s="243"/>
      <c r="ZN322" s="243"/>
      <c r="ZO322" s="243"/>
      <c r="ZP322" s="243"/>
      <c r="ZQ322" s="243"/>
      <c r="ZR322" s="243"/>
      <c r="ZS322" s="243"/>
      <c r="ZT322" s="243"/>
      <c r="ZU322" s="243"/>
      <c r="ZV322" s="243"/>
      <c r="ZW322" s="243"/>
      <c r="ZX322" s="243"/>
      <c r="ZY322" s="243"/>
      <c r="ZZ322" s="243"/>
      <c r="AAA322" s="243"/>
      <c r="AAB322" s="243"/>
      <c r="AAC322" s="243"/>
      <c r="AAD322" s="243"/>
      <c r="AAE322" s="243"/>
      <c r="AAF322" s="243"/>
      <c r="AAG322" s="243"/>
      <c r="AAH322" s="243"/>
      <c r="AAI322" s="243"/>
      <c r="AAJ322" s="243"/>
      <c r="AAK322" s="243"/>
      <c r="AAL322" s="243"/>
      <c r="AAM322" s="243"/>
      <c r="AAN322" s="243"/>
      <c r="AAO322" s="243"/>
      <c r="AAP322" s="243"/>
      <c r="AAQ322" s="243"/>
      <c r="AAR322" s="243"/>
      <c r="AAS322" s="243"/>
      <c r="AAT322" s="243"/>
      <c r="AAU322" s="243"/>
      <c r="AAV322" s="243"/>
      <c r="AAW322" s="243"/>
      <c r="AAX322" s="243"/>
      <c r="AAY322" s="243"/>
      <c r="AAZ322" s="243"/>
      <c r="ABA322" s="243"/>
      <c r="ABB322" s="243"/>
      <c r="ABC322" s="243"/>
      <c r="ABD322" s="243"/>
      <c r="ABE322" s="243"/>
      <c r="ABF322" s="243"/>
      <c r="ABG322" s="243"/>
      <c r="ABH322" s="243"/>
      <c r="ABI322" s="243"/>
      <c r="ABJ322" s="243"/>
      <c r="ABK322" s="243"/>
      <c r="ABL322" s="243"/>
      <c r="ABM322" s="243"/>
      <c r="ABN322" s="243"/>
      <c r="ABO322" s="243"/>
      <c r="ABP322" s="243"/>
      <c r="ABQ322" s="243"/>
      <c r="ABR322" s="243"/>
      <c r="ABS322" s="243"/>
      <c r="ABT322" s="243"/>
      <c r="ABU322" s="243"/>
      <c r="ABV322" s="243"/>
      <c r="ABW322" s="243"/>
      <c r="ABX322" s="243"/>
      <c r="ABY322" s="243"/>
      <c r="ABZ322" s="243"/>
      <c r="ACA322" s="243"/>
      <c r="ACB322" s="243"/>
      <c r="ACC322" s="243"/>
      <c r="ACD322" s="243"/>
      <c r="ACE322" s="243"/>
      <c r="ACF322" s="243"/>
      <c r="ACG322" s="243"/>
      <c r="ACH322" s="243"/>
      <c r="ACI322" s="243"/>
      <c r="ACJ322" s="243"/>
      <c r="ACK322" s="243"/>
      <c r="ACL322" s="243"/>
      <c r="ACM322" s="243"/>
      <c r="ACN322" s="243"/>
      <c r="ACO322" s="243"/>
      <c r="ACP322" s="243"/>
      <c r="ACQ322" s="243"/>
      <c r="ACR322" s="243"/>
      <c r="ACS322" s="243"/>
      <c r="ACT322" s="243"/>
      <c r="ACU322" s="243"/>
      <c r="ACV322" s="243"/>
      <c r="ACW322" s="243"/>
      <c r="ACX322" s="243"/>
      <c r="ACY322" s="243"/>
      <c r="ACZ322" s="243"/>
      <c r="ADA322" s="243"/>
      <c r="ADB322" s="243"/>
      <c r="ADC322" s="243"/>
      <c r="ADD322" s="243"/>
      <c r="ADE322" s="243"/>
      <c r="ADF322" s="243"/>
      <c r="ADG322" s="243"/>
      <c r="ADH322" s="243"/>
      <c r="ADI322" s="243"/>
      <c r="ADJ322" s="243"/>
      <c r="ADK322" s="243"/>
      <c r="ADL322" s="243"/>
      <c r="ADM322" s="243"/>
      <c r="ADN322" s="243"/>
      <c r="ADO322" s="243"/>
      <c r="ADP322" s="243"/>
      <c r="ADQ322" s="243"/>
      <c r="ADR322" s="243"/>
      <c r="ADS322" s="243"/>
      <c r="ADT322" s="243"/>
      <c r="ADU322" s="243"/>
      <c r="ADV322" s="243"/>
      <c r="ADW322" s="243"/>
      <c r="ADX322" s="243"/>
      <c r="ADY322" s="243"/>
      <c r="ADZ322" s="243"/>
      <c r="AEA322" s="243"/>
      <c r="AEB322" s="243"/>
      <c r="AEC322" s="243"/>
      <c r="AED322" s="243"/>
      <c r="AEE322" s="243"/>
      <c r="AEF322" s="243"/>
      <c r="AEG322" s="243"/>
      <c r="AEH322" s="243"/>
      <c r="AEI322" s="243"/>
      <c r="AEJ322" s="243"/>
      <c r="AEK322" s="243"/>
      <c r="AEL322" s="243"/>
      <c r="AEM322" s="243"/>
      <c r="AEN322" s="243"/>
      <c r="AEO322" s="243"/>
      <c r="AEP322" s="243"/>
      <c r="AEQ322" s="243"/>
      <c r="AER322" s="243"/>
      <c r="AES322" s="243"/>
      <c r="AET322" s="243"/>
      <c r="AEU322" s="243"/>
      <c r="AEV322" s="243"/>
      <c r="AEW322" s="243"/>
      <c r="AEX322" s="243"/>
      <c r="AEY322" s="243"/>
      <c r="AEZ322" s="243"/>
      <c r="AFA322" s="243"/>
      <c r="AFB322" s="243"/>
      <c r="AFC322" s="243"/>
      <c r="AFD322" s="243"/>
      <c r="AFE322" s="243"/>
      <c r="AFF322" s="243"/>
      <c r="AFG322" s="243"/>
      <c r="AFH322" s="243"/>
      <c r="AFI322" s="243"/>
      <c r="AFJ322" s="243"/>
      <c r="AFK322" s="243"/>
      <c r="AFL322" s="243"/>
      <c r="AFM322" s="243"/>
      <c r="AFN322" s="243"/>
      <c r="AFO322" s="243"/>
      <c r="AFP322" s="243"/>
      <c r="AFQ322" s="243"/>
      <c r="AFR322" s="243"/>
      <c r="AFS322" s="243"/>
      <c r="AFT322" s="243"/>
      <c r="AFU322" s="243"/>
      <c r="AFV322" s="243"/>
      <c r="AFW322" s="243"/>
      <c r="AFX322" s="243"/>
      <c r="AFY322" s="243"/>
      <c r="AFZ322" s="243"/>
      <c r="AGA322" s="243"/>
      <c r="AGB322" s="243"/>
      <c r="AGC322" s="243"/>
      <c r="AGD322" s="243"/>
      <c r="AGE322" s="243"/>
      <c r="AGF322" s="243"/>
      <c r="AGG322" s="243"/>
      <c r="AGH322" s="243"/>
      <c r="AGI322" s="243"/>
      <c r="AGJ322" s="243"/>
      <c r="AGK322" s="243"/>
      <c r="AGL322" s="243"/>
      <c r="AGM322" s="243"/>
      <c r="AGN322" s="243"/>
      <c r="AGO322" s="243"/>
      <c r="AGP322" s="243"/>
      <c r="AGQ322" s="243"/>
      <c r="AGR322" s="243"/>
      <c r="AGS322" s="243"/>
      <c r="AGT322" s="243"/>
      <c r="AGU322" s="243"/>
      <c r="AGV322" s="243"/>
      <c r="AGW322" s="243"/>
      <c r="AGX322" s="243"/>
      <c r="AGY322" s="243"/>
      <c r="AGZ322" s="243"/>
      <c r="AHA322" s="243"/>
      <c r="AHB322" s="243"/>
      <c r="AHC322" s="243"/>
      <c r="AHD322" s="243"/>
      <c r="AHE322" s="243"/>
      <c r="AHF322" s="243"/>
      <c r="AHG322" s="243"/>
      <c r="AHH322" s="243"/>
      <c r="AHI322" s="243"/>
      <c r="AHJ322" s="243"/>
      <c r="AHK322" s="243"/>
      <c r="AHL322" s="243"/>
      <c r="AHM322" s="243"/>
      <c r="AHN322" s="243"/>
      <c r="AHO322" s="243"/>
      <c r="AHP322" s="243"/>
      <c r="AHQ322" s="243"/>
      <c r="AHR322" s="243"/>
      <c r="AHS322" s="243"/>
      <c r="AHT322" s="243"/>
      <c r="AHU322" s="243"/>
      <c r="AHV322" s="243"/>
      <c r="AHW322" s="243"/>
      <c r="AHX322" s="243"/>
      <c r="AHY322" s="243"/>
      <c r="AHZ322" s="243"/>
      <c r="AIA322" s="243"/>
      <c r="AIB322" s="243"/>
      <c r="AIC322" s="243"/>
      <c r="AID322" s="243"/>
      <c r="AIE322" s="243"/>
      <c r="AIF322" s="243"/>
      <c r="AIG322" s="243"/>
      <c r="AIH322" s="243"/>
      <c r="AII322" s="243"/>
      <c r="AIJ322" s="243"/>
      <c r="AIK322" s="243"/>
      <c r="AIL322" s="243"/>
      <c r="AIM322" s="243"/>
      <c r="AIN322" s="243"/>
      <c r="AIO322" s="243"/>
      <c r="AIP322" s="243"/>
      <c r="AIQ322" s="243"/>
      <c r="AIR322" s="243"/>
      <c r="AIS322" s="243"/>
      <c r="AIT322" s="243"/>
      <c r="AIU322" s="243"/>
      <c r="AIV322" s="243"/>
      <c r="AIW322" s="243"/>
      <c r="AIX322" s="243"/>
      <c r="AIY322" s="243"/>
      <c r="AIZ322" s="243"/>
      <c r="AJA322" s="243"/>
      <c r="AJB322" s="243"/>
      <c r="AJC322" s="243"/>
      <c r="AJD322" s="243"/>
      <c r="AJE322" s="243"/>
      <c r="AJF322" s="243"/>
      <c r="AJG322" s="243"/>
      <c r="AJH322" s="243"/>
      <c r="AJI322" s="243"/>
      <c r="AJJ322" s="243"/>
      <c r="AJK322" s="243"/>
      <c r="AJL322" s="243"/>
      <c r="AJM322" s="243"/>
      <c r="AJN322" s="243"/>
      <c r="AJO322" s="243"/>
      <c r="AJP322" s="243"/>
      <c r="AJQ322" s="243"/>
      <c r="AJR322" s="243"/>
      <c r="AJS322" s="243"/>
      <c r="AJT322" s="243"/>
      <c r="AJU322" s="243"/>
      <c r="AJV322" s="243"/>
      <c r="AJW322" s="243"/>
      <c r="AJX322" s="243"/>
      <c r="AJY322" s="243"/>
      <c r="AJZ322" s="243"/>
      <c r="AKA322" s="243"/>
      <c r="AKB322" s="243"/>
      <c r="AKC322" s="243"/>
      <c r="AKD322" s="243"/>
      <c r="AKE322" s="243"/>
      <c r="AKF322" s="243"/>
      <c r="AKG322" s="243"/>
      <c r="AKH322" s="243"/>
      <c r="AKI322" s="243"/>
      <c r="AKJ322" s="243"/>
      <c r="AKK322" s="243"/>
      <c r="AKL322" s="243"/>
      <c r="AKM322" s="243"/>
      <c r="AKN322" s="243"/>
      <c r="AKO322" s="243"/>
      <c r="AKP322" s="243"/>
      <c r="AKQ322" s="243"/>
      <c r="AKR322" s="243"/>
      <c r="AKS322" s="243"/>
      <c r="AKT322" s="243"/>
      <c r="AKU322" s="243"/>
      <c r="AKV322" s="243"/>
      <c r="AKW322" s="243"/>
      <c r="AKX322" s="243"/>
      <c r="AKY322" s="243"/>
      <c r="AKZ322" s="243"/>
      <c r="ALA322" s="243"/>
      <c r="ALB322" s="243"/>
      <c r="ALC322" s="243"/>
      <c r="ALD322" s="243"/>
      <c r="ALE322" s="243"/>
      <c r="ALF322" s="243"/>
      <c r="ALG322" s="243"/>
      <c r="ALH322" s="243"/>
      <c r="ALI322" s="243"/>
      <c r="ALJ322" s="243"/>
      <c r="ALK322" s="243"/>
      <c r="ALL322" s="243"/>
      <c r="ALM322" s="243"/>
      <c r="ALN322" s="243"/>
      <c r="ALO322" s="243"/>
      <c r="ALP322" s="243"/>
      <c r="ALQ322" s="243"/>
      <c r="ALR322" s="243"/>
      <c r="ALS322" s="243"/>
      <c r="ALT322" s="243"/>
      <c r="ALU322" s="243"/>
      <c r="ALV322" s="243"/>
      <c r="ALW322" s="243"/>
      <c r="ALX322" s="243"/>
      <c r="ALY322" s="243"/>
      <c r="ALZ322" s="243"/>
      <c r="AMA322" s="243"/>
      <c r="AMB322" s="243"/>
      <c r="AMC322" s="243"/>
      <c r="AMD322" s="243"/>
      <c r="AME322" s="243"/>
      <c r="AMF322" s="243"/>
      <c r="AMG322" s="243"/>
      <c r="AMH322" s="243"/>
      <c r="AMI322" s="244"/>
      <c r="AMJ322" s="244"/>
    </row>
    <row r="323" spans="1:1024" ht="18">
      <c r="A323" s="1019"/>
      <c r="B323" s="1024" t="s">
        <v>169</v>
      </c>
      <c r="C323" s="1025"/>
      <c r="D323" s="1025"/>
      <c r="E323" s="391"/>
      <c r="F323" s="390"/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243"/>
      <c r="S323" s="243"/>
      <c r="T323" s="243"/>
      <c r="U323" s="243"/>
      <c r="V323" s="243"/>
      <c r="W323" s="243"/>
      <c r="X323" s="243"/>
      <c r="Y323" s="243"/>
      <c r="Z323" s="243"/>
      <c r="AA323" s="243"/>
      <c r="AB323" s="243"/>
      <c r="AC323" s="243"/>
      <c r="AD323" s="243"/>
      <c r="AE323" s="243"/>
      <c r="AF323" s="243"/>
      <c r="AG323" s="243"/>
      <c r="AH323" s="243"/>
      <c r="AI323" s="243"/>
      <c r="AJ323" s="243"/>
      <c r="AK323" s="243"/>
      <c r="AL323" s="243"/>
      <c r="AM323" s="243"/>
      <c r="AN323" s="243"/>
      <c r="AO323" s="243"/>
      <c r="AP323" s="243"/>
      <c r="AQ323" s="243"/>
      <c r="AR323" s="243"/>
      <c r="AS323" s="243"/>
      <c r="AT323" s="243"/>
      <c r="AU323" s="243"/>
      <c r="AV323" s="243"/>
      <c r="AW323" s="243"/>
      <c r="AX323" s="243"/>
      <c r="AY323" s="243"/>
      <c r="AZ323" s="243"/>
      <c r="BA323" s="243"/>
      <c r="BB323" s="243"/>
      <c r="BC323" s="243"/>
      <c r="BD323" s="243"/>
      <c r="BE323" s="243"/>
      <c r="BF323" s="243"/>
      <c r="BG323" s="243"/>
      <c r="BH323" s="243"/>
      <c r="BI323" s="243"/>
      <c r="BJ323" s="243"/>
      <c r="BK323" s="243"/>
      <c r="BL323" s="243"/>
      <c r="BM323" s="243"/>
      <c r="BN323" s="243"/>
      <c r="BO323" s="243"/>
      <c r="BP323" s="243"/>
      <c r="BQ323" s="243"/>
      <c r="BR323" s="243"/>
      <c r="BS323" s="243"/>
      <c r="BT323" s="243"/>
      <c r="BU323" s="243"/>
      <c r="BV323" s="243"/>
      <c r="BW323" s="243"/>
      <c r="BX323" s="243"/>
      <c r="BY323" s="243"/>
      <c r="BZ323" s="243"/>
      <c r="CA323" s="243"/>
      <c r="CB323" s="243"/>
      <c r="CC323" s="243"/>
      <c r="CD323" s="243"/>
      <c r="CE323" s="243"/>
      <c r="CF323" s="243"/>
      <c r="CG323" s="243"/>
      <c r="CH323" s="243"/>
      <c r="CI323" s="243"/>
      <c r="CJ323" s="243"/>
      <c r="CK323" s="243"/>
      <c r="CL323" s="243"/>
      <c r="CM323" s="243"/>
      <c r="CN323" s="243"/>
      <c r="CO323" s="243"/>
      <c r="CP323" s="243"/>
      <c r="CQ323" s="243"/>
      <c r="CR323" s="243"/>
      <c r="CS323" s="243"/>
      <c r="CT323" s="243"/>
      <c r="CU323" s="243"/>
      <c r="CV323" s="243"/>
      <c r="CW323" s="243"/>
      <c r="CX323" s="243"/>
      <c r="CY323" s="243"/>
      <c r="CZ323" s="243"/>
      <c r="DA323" s="243"/>
      <c r="DB323" s="243"/>
      <c r="DC323" s="243"/>
      <c r="DD323" s="243"/>
      <c r="DE323" s="243"/>
      <c r="DF323" s="243"/>
      <c r="DG323" s="243"/>
      <c r="DH323" s="243"/>
      <c r="DI323" s="243"/>
      <c r="DJ323" s="243"/>
      <c r="DK323" s="243"/>
      <c r="DL323" s="243"/>
      <c r="DM323" s="243"/>
      <c r="DN323" s="243"/>
      <c r="DO323" s="243"/>
      <c r="DP323" s="243"/>
      <c r="DQ323" s="243"/>
      <c r="DR323" s="243"/>
      <c r="DS323" s="243"/>
      <c r="DT323" s="243"/>
      <c r="DU323" s="243"/>
      <c r="DV323" s="243"/>
      <c r="DW323" s="243"/>
      <c r="DX323" s="243"/>
      <c r="DY323" s="243"/>
      <c r="DZ323" s="243"/>
      <c r="EA323" s="243"/>
      <c r="EB323" s="243"/>
      <c r="EC323" s="243"/>
      <c r="ED323" s="243"/>
      <c r="EE323" s="243"/>
      <c r="EF323" s="243"/>
      <c r="EG323" s="243"/>
      <c r="EH323" s="243"/>
      <c r="EI323" s="243"/>
      <c r="EJ323" s="243"/>
      <c r="EK323" s="243"/>
      <c r="EL323" s="243"/>
      <c r="EM323" s="243"/>
      <c r="EN323" s="243"/>
      <c r="EO323" s="243"/>
      <c r="EP323" s="243"/>
      <c r="EQ323" s="243"/>
      <c r="ER323" s="243"/>
      <c r="ES323" s="243"/>
      <c r="ET323" s="243"/>
      <c r="EU323" s="243"/>
      <c r="EV323" s="243"/>
      <c r="EW323" s="243"/>
      <c r="EX323" s="243"/>
      <c r="EY323" s="243"/>
      <c r="EZ323" s="243"/>
      <c r="FA323" s="243"/>
      <c r="FB323" s="243"/>
      <c r="FC323" s="243"/>
      <c r="FD323" s="243"/>
      <c r="FE323" s="243"/>
      <c r="FF323" s="243"/>
      <c r="FG323" s="243"/>
      <c r="FH323" s="243"/>
      <c r="FI323" s="243"/>
      <c r="FJ323" s="243"/>
      <c r="FK323" s="243"/>
      <c r="FL323" s="243"/>
      <c r="FM323" s="243"/>
      <c r="FN323" s="243"/>
      <c r="FO323" s="243"/>
      <c r="FP323" s="243"/>
      <c r="FQ323" s="243"/>
      <c r="FR323" s="243"/>
      <c r="FS323" s="243"/>
      <c r="FT323" s="243"/>
      <c r="FU323" s="243"/>
      <c r="FV323" s="243"/>
      <c r="FW323" s="243"/>
      <c r="FX323" s="243"/>
      <c r="FY323" s="243"/>
      <c r="FZ323" s="243"/>
      <c r="GA323" s="243"/>
      <c r="GB323" s="243"/>
      <c r="GC323" s="243"/>
      <c r="GD323" s="243"/>
      <c r="GE323" s="243"/>
      <c r="GF323" s="243"/>
      <c r="GG323" s="243"/>
      <c r="GH323" s="243"/>
      <c r="GI323" s="243"/>
      <c r="GJ323" s="243"/>
      <c r="GK323" s="243"/>
      <c r="GL323" s="243"/>
      <c r="GM323" s="243"/>
      <c r="GN323" s="243"/>
      <c r="GO323" s="243"/>
      <c r="GP323" s="243"/>
      <c r="GQ323" s="243"/>
      <c r="GR323" s="243"/>
      <c r="GS323" s="243"/>
      <c r="GT323" s="243"/>
      <c r="GU323" s="243"/>
      <c r="GV323" s="243"/>
      <c r="GW323" s="243"/>
      <c r="GX323" s="243"/>
      <c r="GY323" s="243"/>
      <c r="GZ323" s="243"/>
      <c r="HA323" s="243"/>
      <c r="HB323" s="243"/>
      <c r="HC323" s="243"/>
      <c r="HD323" s="243"/>
      <c r="HE323" s="243"/>
      <c r="HF323" s="243"/>
      <c r="HG323" s="243"/>
      <c r="HH323" s="243"/>
      <c r="HI323" s="243"/>
      <c r="HJ323" s="243"/>
      <c r="HK323" s="243"/>
      <c r="HL323" s="243"/>
      <c r="HM323" s="243"/>
      <c r="HN323" s="243"/>
      <c r="HO323" s="243"/>
      <c r="HP323" s="243"/>
      <c r="HQ323" s="243"/>
      <c r="HR323" s="243"/>
      <c r="HS323" s="243"/>
      <c r="HT323" s="243"/>
      <c r="HU323" s="243"/>
      <c r="HV323" s="243"/>
      <c r="HW323" s="243"/>
      <c r="HX323" s="243"/>
      <c r="HY323" s="243"/>
      <c r="HZ323" s="243"/>
      <c r="IA323" s="243"/>
      <c r="IB323" s="243"/>
      <c r="IC323" s="243"/>
      <c r="ID323" s="243"/>
      <c r="IE323" s="243"/>
      <c r="IF323" s="243"/>
      <c r="IG323" s="243"/>
      <c r="IH323" s="243"/>
      <c r="II323" s="243"/>
      <c r="IJ323" s="243"/>
      <c r="IK323" s="243"/>
      <c r="IL323" s="243"/>
      <c r="IM323" s="243"/>
      <c r="IN323" s="243"/>
      <c r="IO323" s="243"/>
      <c r="IP323" s="243"/>
      <c r="IQ323" s="243"/>
      <c r="IR323" s="243"/>
      <c r="IS323" s="243"/>
      <c r="IT323" s="243"/>
      <c r="IU323" s="243"/>
      <c r="IV323" s="243"/>
      <c r="IW323" s="243"/>
      <c r="IX323" s="243"/>
      <c r="IY323" s="243"/>
      <c r="IZ323" s="243"/>
      <c r="JA323" s="243"/>
      <c r="JB323" s="243"/>
      <c r="JC323" s="243"/>
      <c r="JD323" s="243"/>
      <c r="JE323" s="243"/>
      <c r="JF323" s="243"/>
      <c r="JG323" s="243"/>
      <c r="JH323" s="243"/>
      <c r="JI323" s="243"/>
      <c r="JJ323" s="243"/>
      <c r="JK323" s="243"/>
      <c r="JL323" s="243"/>
      <c r="JM323" s="243"/>
      <c r="JN323" s="243"/>
      <c r="JO323" s="243"/>
      <c r="JP323" s="243"/>
      <c r="JQ323" s="243"/>
      <c r="JR323" s="243"/>
      <c r="JS323" s="243"/>
      <c r="JT323" s="243"/>
      <c r="JU323" s="243"/>
      <c r="JV323" s="243"/>
      <c r="JW323" s="243"/>
      <c r="JX323" s="243"/>
      <c r="JY323" s="243"/>
      <c r="JZ323" s="243"/>
      <c r="KA323" s="243"/>
      <c r="KB323" s="243"/>
      <c r="KC323" s="243"/>
      <c r="KD323" s="243"/>
      <c r="KE323" s="243"/>
      <c r="KF323" s="243"/>
      <c r="KG323" s="243"/>
      <c r="KH323" s="243"/>
      <c r="KI323" s="243"/>
      <c r="KJ323" s="243"/>
      <c r="KK323" s="243"/>
      <c r="KL323" s="243"/>
      <c r="KM323" s="243"/>
      <c r="KN323" s="243"/>
      <c r="KO323" s="243"/>
      <c r="KP323" s="243"/>
      <c r="KQ323" s="243"/>
      <c r="KR323" s="243"/>
      <c r="KS323" s="243"/>
      <c r="KT323" s="243"/>
      <c r="KU323" s="243"/>
      <c r="KV323" s="243"/>
      <c r="KW323" s="243"/>
      <c r="KX323" s="243"/>
      <c r="KY323" s="243"/>
      <c r="KZ323" s="243"/>
      <c r="LA323" s="243"/>
      <c r="LB323" s="243"/>
      <c r="LC323" s="243"/>
      <c r="LD323" s="243"/>
      <c r="LE323" s="243"/>
      <c r="LF323" s="243"/>
      <c r="LG323" s="243"/>
      <c r="LH323" s="243"/>
      <c r="LI323" s="243"/>
      <c r="LJ323" s="243"/>
      <c r="LK323" s="243"/>
      <c r="LL323" s="243"/>
      <c r="LM323" s="243"/>
      <c r="LN323" s="243"/>
      <c r="LO323" s="243"/>
      <c r="LP323" s="243"/>
      <c r="LQ323" s="243"/>
      <c r="LR323" s="243"/>
      <c r="LS323" s="243"/>
      <c r="LT323" s="243"/>
      <c r="LU323" s="243"/>
      <c r="LV323" s="243"/>
      <c r="LW323" s="243"/>
      <c r="LX323" s="243"/>
      <c r="LY323" s="243"/>
      <c r="LZ323" s="243"/>
      <c r="MA323" s="243"/>
      <c r="MB323" s="243"/>
      <c r="MC323" s="243"/>
      <c r="MD323" s="243"/>
      <c r="ME323" s="243"/>
      <c r="MF323" s="243"/>
      <c r="MG323" s="243"/>
      <c r="MH323" s="243"/>
      <c r="MI323" s="243"/>
      <c r="MJ323" s="243"/>
      <c r="MK323" s="243"/>
      <c r="ML323" s="243"/>
      <c r="MM323" s="243"/>
      <c r="MN323" s="243"/>
      <c r="MO323" s="243"/>
      <c r="MP323" s="243"/>
      <c r="MQ323" s="243"/>
      <c r="MR323" s="243"/>
      <c r="MS323" s="243"/>
      <c r="MT323" s="243"/>
      <c r="MU323" s="243"/>
      <c r="MV323" s="243"/>
      <c r="MW323" s="243"/>
      <c r="MX323" s="243"/>
      <c r="MY323" s="243"/>
      <c r="MZ323" s="243"/>
      <c r="NA323" s="243"/>
      <c r="NB323" s="243"/>
      <c r="NC323" s="243"/>
      <c r="ND323" s="243"/>
      <c r="NE323" s="243"/>
      <c r="NF323" s="243"/>
      <c r="NG323" s="243"/>
      <c r="NH323" s="243"/>
      <c r="NI323" s="243"/>
      <c r="NJ323" s="243"/>
      <c r="NK323" s="243"/>
      <c r="NL323" s="243"/>
      <c r="NM323" s="243"/>
      <c r="NN323" s="243"/>
      <c r="NO323" s="243"/>
      <c r="NP323" s="243"/>
      <c r="NQ323" s="243"/>
      <c r="NR323" s="243"/>
      <c r="NS323" s="243"/>
      <c r="NT323" s="243"/>
      <c r="NU323" s="243"/>
      <c r="NV323" s="243"/>
      <c r="NW323" s="243"/>
      <c r="NX323" s="243"/>
      <c r="NY323" s="243"/>
      <c r="NZ323" s="243"/>
      <c r="OA323" s="243"/>
      <c r="OB323" s="243"/>
      <c r="OC323" s="243"/>
      <c r="OD323" s="243"/>
      <c r="OE323" s="243"/>
      <c r="OF323" s="243"/>
      <c r="OG323" s="243"/>
      <c r="OH323" s="243"/>
      <c r="OI323" s="243"/>
      <c r="OJ323" s="243"/>
      <c r="OK323" s="243"/>
      <c r="OL323" s="243"/>
      <c r="OM323" s="243"/>
      <c r="ON323" s="243"/>
      <c r="OO323" s="243"/>
      <c r="OP323" s="243"/>
      <c r="OQ323" s="243"/>
      <c r="OR323" s="243"/>
      <c r="OS323" s="243"/>
      <c r="OT323" s="243"/>
      <c r="OU323" s="243"/>
      <c r="OV323" s="243"/>
      <c r="OW323" s="243"/>
      <c r="OX323" s="243"/>
      <c r="OY323" s="243"/>
      <c r="OZ323" s="243"/>
      <c r="PA323" s="243"/>
      <c r="PB323" s="243"/>
      <c r="PC323" s="243"/>
      <c r="PD323" s="243"/>
      <c r="PE323" s="243"/>
      <c r="PF323" s="243"/>
      <c r="PG323" s="243"/>
      <c r="PH323" s="243"/>
      <c r="PI323" s="243"/>
      <c r="PJ323" s="243"/>
      <c r="PK323" s="243"/>
      <c r="PL323" s="243"/>
      <c r="PM323" s="243"/>
      <c r="PN323" s="243"/>
      <c r="PO323" s="243"/>
      <c r="PP323" s="243"/>
      <c r="PQ323" s="243"/>
      <c r="PR323" s="243"/>
      <c r="PS323" s="243"/>
      <c r="PT323" s="243"/>
      <c r="PU323" s="243"/>
      <c r="PV323" s="243"/>
      <c r="PW323" s="243"/>
      <c r="PX323" s="243"/>
      <c r="PY323" s="243"/>
      <c r="PZ323" s="243"/>
      <c r="QA323" s="243"/>
      <c r="QB323" s="243"/>
      <c r="QC323" s="243"/>
      <c r="QD323" s="243"/>
      <c r="QE323" s="243"/>
      <c r="QF323" s="243"/>
      <c r="QG323" s="243"/>
      <c r="QH323" s="243"/>
      <c r="QI323" s="243"/>
      <c r="QJ323" s="243"/>
      <c r="QK323" s="243"/>
      <c r="QL323" s="243"/>
      <c r="QM323" s="243"/>
      <c r="QN323" s="243"/>
      <c r="QO323" s="243"/>
      <c r="QP323" s="243"/>
      <c r="QQ323" s="243"/>
      <c r="QR323" s="243"/>
      <c r="QS323" s="243"/>
      <c r="QT323" s="243"/>
      <c r="QU323" s="243"/>
      <c r="QV323" s="243"/>
      <c r="QW323" s="243"/>
      <c r="QX323" s="243"/>
      <c r="QY323" s="243"/>
      <c r="QZ323" s="243"/>
      <c r="RA323" s="243"/>
      <c r="RB323" s="243"/>
      <c r="RC323" s="243"/>
      <c r="RD323" s="243"/>
      <c r="RE323" s="243"/>
      <c r="RF323" s="243"/>
      <c r="RG323" s="243"/>
      <c r="RH323" s="243"/>
      <c r="RI323" s="243"/>
      <c r="RJ323" s="243"/>
      <c r="RK323" s="243"/>
      <c r="RL323" s="243"/>
      <c r="RM323" s="243"/>
      <c r="RN323" s="243"/>
      <c r="RO323" s="243"/>
      <c r="RP323" s="243"/>
      <c r="RQ323" s="243"/>
      <c r="RR323" s="243"/>
      <c r="RS323" s="243"/>
      <c r="RT323" s="243"/>
      <c r="RU323" s="243"/>
      <c r="RV323" s="243"/>
      <c r="RW323" s="243"/>
      <c r="RX323" s="243"/>
      <c r="RY323" s="243"/>
      <c r="RZ323" s="243"/>
      <c r="SA323" s="243"/>
      <c r="SB323" s="243"/>
      <c r="SC323" s="243"/>
      <c r="SD323" s="243"/>
      <c r="SE323" s="243"/>
      <c r="SF323" s="243"/>
      <c r="SG323" s="243"/>
      <c r="SH323" s="243"/>
      <c r="SI323" s="243"/>
      <c r="SJ323" s="243"/>
      <c r="SK323" s="243"/>
      <c r="SL323" s="243"/>
      <c r="SM323" s="243"/>
      <c r="SN323" s="243"/>
      <c r="SO323" s="243"/>
      <c r="SP323" s="243"/>
      <c r="SQ323" s="243"/>
      <c r="SR323" s="243"/>
      <c r="SS323" s="243"/>
      <c r="ST323" s="243"/>
      <c r="SU323" s="243"/>
      <c r="SV323" s="243"/>
      <c r="SW323" s="243"/>
      <c r="SX323" s="243"/>
      <c r="SY323" s="243"/>
      <c r="SZ323" s="243"/>
      <c r="TA323" s="243"/>
      <c r="TB323" s="243"/>
      <c r="TC323" s="243"/>
      <c r="TD323" s="243"/>
      <c r="TE323" s="243"/>
      <c r="TF323" s="243"/>
      <c r="TG323" s="243"/>
      <c r="TH323" s="243"/>
      <c r="TI323" s="243"/>
      <c r="TJ323" s="243"/>
      <c r="TK323" s="243"/>
      <c r="TL323" s="243"/>
      <c r="TM323" s="243"/>
      <c r="TN323" s="243"/>
      <c r="TO323" s="243"/>
      <c r="TP323" s="243"/>
      <c r="TQ323" s="243"/>
      <c r="TR323" s="243"/>
      <c r="TS323" s="243"/>
      <c r="TT323" s="243"/>
      <c r="TU323" s="243"/>
      <c r="TV323" s="243"/>
      <c r="TW323" s="243"/>
      <c r="TX323" s="243"/>
      <c r="TY323" s="243"/>
      <c r="TZ323" s="243"/>
      <c r="UA323" s="243"/>
      <c r="UB323" s="243"/>
      <c r="UC323" s="243"/>
      <c r="UD323" s="243"/>
      <c r="UE323" s="243"/>
      <c r="UF323" s="243"/>
      <c r="UG323" s="243"/>
      <c r="UH323" s="243"/>
      <c r="UI323" s="243"/>
      <c r="UJ323" s="243"/>
      <c r="UK323" s="243"/>
      <c r="UL323" s="243"/>
      <c r="UM323" s="243"/>
      <c r="UN323" s="243"/>
      <c r="UO323" s="243"/>
      <c r="UP323" s="243"/>
      <c r="UQ323" s="243"/>
      <c r="UR323" s="243"/>
      <c r="US323" s="243"/>
      <c r="UT323" s="243"/>
      <c r="UU323" s="243"/>
      <c r="UV323" s="243"/>
      <c r="UW323" s="243"/>
      <c r="UX323" s="243"/>
      <c r="UY323" s="243"/>
      <c r="UZ323" s="243"/>
      <c r="VA323" s="243"/>
      <c r="VB323" s="243"/>
      <c r="VC323" s="243"/>
      <c r="VD323" s="243"/>
      <c r="VE323" s="243"/>
      <c r="VF323" s="243"/>
      <c r="VG323" s="243"/>
      <c r="VH323" s="243"/>
      <c r="VI323" s="243"/>
      <c r="VJ323" s="243"/>
      <c r="VK323" s="243"/>
      <c r="VL323" s="243"/>
      <c r="VM323" s="243"/>
      <c r="VN323" s="243"/>
      <c r="VO323" s="243"/>
      <c r="VP323" s="243"/>
      <c r="VQ323" s="243"/>
      <c r="VR323" s="243"/>
      <c r="VS323" s="243"/>
      <c r="VT323" s="243"/>
      <c r="VU323" s="243"/>
      <c r="VV323" s="243"/>
      <c r="VW323" s="243"/>
      <c r="VX323" s="243"/>
      <c r="VY323" s="243"/>
      <c r="VZ323" s="243"/>
      <c r="WA323" s="243"/>
      <c r="WB323" s="243"/>
      <c r="WC323" s="243"/>
      <c r="WD323" s="243"/>
      <c r="WE323" s="243"/>
      <c r="WF323" s="243"/>
      <c r="WG323" s="243"/>
      <c r="WH323" s="243"/>
      <c r="WI323" s="243"/>
      <c r="WJ323" s="243"/>
      <c r="WK323" s="243"/>
      <c r="WL323" s="243"/>
      <c r="WM323" s="243"/>
      <c r="WN323" s="243"/>
      <c r="WO323" s="243"/>
      <c r="WP323" s="243"/>
      <c r="WQ323" s="243"/>
      <c r="WR323" s="243"/>
      <c r="WS323" s="243"/>
      <c r="WT323" s="243"/>
      <c r="WU323" s="243"/>
      <c r="WV323" s="243"/>
      <c r="WW323" s="243"/>
      <c r="WX323" s="243"/>
      <c r="WY323" s="243"/>
      <c r="WZ323" s="243"/>
      <c r="XA323" s="243"/>
      <c r="XB323" s="243"/>
      <c r="XC323" s="243"/>
      <c r="XD323" s="243"/>
      <c r="XE323" s="243"/>
      <c r="XF323" s="243"/>
      <c r="XG323" s="243"/>
      <c r="XH323" s="243"/>
      <c r="XI323" s="243"/>
      <c r="XJ323" s="243"/>
      <c r="XK323" s="243"/>
      <c r="XL323" s="243"/>
      <c r="XM323" s="243"/>
      <c r="XN323" s="243"/>
      <c r="XO323" s="243"/>
      <c r="XP323" s="243"/>
      <c r="XQ323" s="243"/>
      <c r="XR323" s="243"/>
      <c r="XS323" s="243"/>
      <c r="XT323" s="243"/>
      <c r="XU323" s="243"/>
      <c r="XV323" s="243"/>
      <c r="XW323" s="243"/>
      <c r="XX323" s="243"/>
      <c r="XY323" s="243"/>
      <c r="XZ323" s="243"/>
      <c r="YA323" s="243"/>
      <c r="YB323" s="243"/>
      <c r="YC323" s="243"/>
      <c r="YD323" s="243"/>
      <c r="YE323" s="243"/>
      <c r="YF323" s="243"/>
      <c r="YG323" s="243"/>
      <c r="YH323" s="243"/>
      <c r="YI323" s="243"/>
      <c r="YJ323" s="243"/>
      <c r="YK323" s="243"/>
      <c r="YL323" s="243"/>
      <c r="YM323" s="243"/>
      <c r="YN323" s="243"/>
      <c r="YO323" s="243"/>
      <c r="YP323" s="243"/>
      <c r="YQ323" s="243"/>
      <c r="YR323" s="243"/>
      <c r="YS323" s="243"/>
      <c r="YT323" s="243"/>
      <c r="YU323" s="243"/>
      <c r="YV323" s="243"/>
      <c r="YW323" s="243"/>
      <c r="YX323" s="243"/>
      <c r="YY323" s="243"/>
      <c r="YZ323" s="243"/>
      <c r="ZA323" s="243"/>
      <c r="ZB323" s="243"/>
      <c r="ZC323" s="243"/>
      <c r="ZD323" s="243"/>
      <c r="ZE323" s="243"/>
      <c r="ZF323" s="243"/>
      <c r="ZG323" s="243"/>
      <c r="ZH323" s="243"/>
      <c r="ZI323" s="243"/>
      <c r="ZJ323" s="243"/>
      <c r="ZK323" s="243"/>
      <c r="ZL323" s="243"/>
      <c r="ZM323" s="243"/>
      <c r="ZN323" s="243"/>
      <c r="ZO323" s="243"/>
      <c r="ZP323" s="243"/>
      <c r="ZQ323" s="243"/>
      <c r="ZR323" s="243"/>
      <c r="ZS323" s="243"/>
      <c r="ZT323" s="243"/>
      <c r="ZU323" s="243"/>
      <c r="ZV323" s="243"/>
      <c r="ZW323" s="243"/>
      <c r="ZX323" s="243"/>
      <c r="ZY323" s="243"/>
      <c r="ZZ323" s="243"/>
      <c r="AAA323" s="243"/>
      <c r="AAB323" s="243"/>
      <c r="AAC323" s="243"/>
      <c r="AAD323" s="243"/>
      <c r="AAE323" s="243"/>
      <c r="AAF323" s="243"/>
      <c r="AAG323" s="243"/>
      <c r="AAH323" s="243"/>
      <c r="AAI323" s="243"/>
      <c r="AAJ323" s="243"/>
      <c r="AAK323" s="243"/>
      <c r="AAL323" s="243"/>
      <c r="AAM323" s="243"/>
      <c r="AAN323" s="243"/>
      <c r="AAO323" s="243"/>
      <c r="AAP323" s="243"/>
      <c r="AAQ323" s="243"/>
      <c r="AAR323" s="243"/>
      <c r="AAS323" s="243"/>
      <c r="AAT323" s="243"/>
      <c r="AAU323" s="243"/>
      <c r="AAV323" s="243"/>
      <c r="AAW323" s="243"/>
      <c r="AAX323" s="243"/>
      <c r="AAY323" s="243"/>
      <c r="AAZ323" s="243"/>
      <c r="ABA323" s="243"/>
      <c r="ABB323" s="243"/>
      <c r="ABC323" s="243"/>
      <c r="ABD323" s="243"/>
      <c r="ABE323" s="243"/>
      <c r="ABF323" s="243"/>
      <c r="ABG323" s="243"/>
      <c r="ABH323" s="243"/>
      <c r="ABI323" s="243"/>
      <c r="ABJ323" s="243"/>
      <c r="ABK323" s="243"/>
      <c r="ABL323" s="243"/>
      <c r="ABM323" s="243"/>
      <c r="ABN323" s="243"/>
      <c r="ABO323" s="243"/>
      <c r="ABP323" s="243"/>
      <c r="ABQ323" s="243"/>
      <c r="ABR323" s="243"/>
      <c r="ABS323" s="243"/>
      <c r="ABT323" s="243"/>
      <c r="ABU323" s="243"/>
      <c r="ABV323" s="243"/>
      <c r="ABW323" s="243"/>
      <c r="ABX323" s="243"/>
      <c r="ABY323" s="243"/>
      <c r="ABZ323" s="243"/>
      <c r="ACA323" s="243"/>
      <c r="ACB323" s="243"/>
      <c r="ACC323" s="243"/>
      <c r="ACD323" s="243"/>
      <c r="ACE323" s="243"/>
      <c r="ACF323" s="243"/>
      <c r="ACG323" s="243"/>
      <c r="ACH323" s="243"/>
      <c r="ACI323" s="243"/>
      <c r="ACJ323" s="243"/>
      <c r="ACK323" s="243"/>
      <c r="ACL323" s="243"/>
      <c r="ACM323" s="243"/>
      <c r="ACN323" s="243"/>
      <c r="ACO323" s="243"/>
      <c r="ACP323" s="243"/>
      <c r="ACQ323" s="243"/>
      <c r="ACR323" s="243"/>
      <c r="ACS323" s="243"/>
      <c r="ACT323" s="243"/>
      <c r="ACU323" s="243"/>
      <c r="ACV323" s="243"/>
      <c r="ACW323" s="243"/>
      <c r="ACX323" s="243"/>
      <c r="ACY323" s="243"/>
      <c r="ACZ323" s="243"/>
      <c r="ADA323" s="243"/>
      <c r="ADB323" s="243"/>
      <c r="ADC323" s="243"/>
      <c r="ADD323" s="243"/>
      <c r="ADE323" s="243"/>
      <c r="ADF323" s="243"/>
      <c r="ADG323" s="243"/>
      <c r="ADH323" s="243"/>
      <c r="ADI323" s="243"/>
      <c r="ADJ323" s="243"/>
      <c r="ADK323" s="243"/>
      <c r="ADL323" s="243"/>
      <c r="ADM323" s="243"/>
      <c r="ADN323" s="243"/>
      <c r="ADO323" s="243"/>
      <c r="ADP323" s="243"/>
      <c r="ADQ323" s="243"/>
      <c r="ADR323" s="243"/>
      <c r="ADS323" s="243"/>
      <c r="ADT323" s="243"/>
      <c r="ADU323" s="243"/>
      <c r="ADV323" s="243"/>
      <c r="ADW323" s="243"/>
      <c r="ADX323" s="243"/>
      <c r="ADY323" s="243"/>
      <c r="ADZ323" s="243"/>
      <c r="AEA323" s="243"/>
      <c r="AEB323" s="243"/>
      <c r="AEC323" s="243"/>
      <c r="AED323" s="243"/>
      <c r="AEE323" s="243"/>
      <c r="AEF323" s="243"/>
      <c r="AEG323" s="243"/>
      <c r="AEH323" s="243"/>
      <c r="AEI323" s="243"/>
      <c r="AEJ323" s="243"/>
      <c r="AEK323" s="243"/>
      <c r="AEL323" s="243"/>
      <c r="AEM323" s="243"/>
      <c r="AEN323" s="243"/>
      <c r="AEO323" s="243"/>
      <c r="AEP323" s="243"/>
      <c r="AEQ323" s="243"/>
      <c r="AER323" s="243"/>
      <c r="AES323" s="243"/>
      <c r="AET323" s="243"/>
      <c r="AEU323" s="243"/>
      <c r="AEV323" s="243"/>
      <c r="AEW323" s="243"/>
      <c r="AEX323" s="243"/>
      <c r="AEY323" s="243"/>
      <c r="AEZ323" s="243"/>
      <c r="AFA323" s="243"/>
      <c r="AFB323" s="243"/>
      <c r="AFC323" s="243"/>
      <c r="AFD323" s="243"/>
      <c r="AFE323" s="243"/>
      <c r="AFF323" s="243"/>
      <c r="AFG323" s="243"/>
      <c r="AFH323" s="243"/>
      <c r="AFI323" s="243"/>
      <c r="AFJ323" s="243"/>
      <c r="AFK323" s="243"/>
      <c r="AFL323" s="243"/>
      <c r="AFM323" s="243"/>
      <c r="AFN323" s="243"/>
      <c r="AFO323" s="243"/>
      <c r="AFP323" s="243"/>
      <c r="AFQ323" s="243"/>
      <c r="AFR323" s="243"/>
      <c r="AFS323" s="243"/>
      <c r="AFT323" s="243"/>
      <c r="AFU323" s="243"/>
      <c r="AFV323" s="243"/>
      <c r="AFW323" s="243"/>
      <c r="AFX323" s="243"/>
      <c r="AFY323" s="243"/>
      <c r="AFZ323" s="243"/>
      <c r="AGA323" s="243"/>
      <c r="AGB323" s="243"/>
      <c r="AGC323" s="243"/>
      <c r="AGD323" s="243"/>
      <c r="AGE323" s="243"/>
      <c r="AGF323" s="243"/>
      <c r="AGG323" s="243"/>
      <c r="AGH323" s="243"/>
      <c r="AGI323" s="243"/>
      <c r="AGJ323" s="243"/>
      <c r="AGK323" s="243"/>
      <c r="AGL323" s="243"/>
      <c r="AGM323" s="243"/>
      <c r="AGN323" s="243"/>
      <c r="AGO323" s="243"/>
      <c r="AGP323" s="243"/>
      <c r="AGQ323" s="243"/>
      <c r="AGR323" s="243"/>
      <c r="AGS323" s="243"/>
      <c r="AGT323" s="243"/>
      <c r="AGU323" s="243"/>
      <c r="AGV323" s="243"/>
      <c r="AGW323" s="243"/>
      <c r="AGX323" s="243"/>
      <c r="AGY323" s="243"/>
      <c r="AGZ323" s="243"/>
      <c r="AHA323" s="243"/>
      <c r="AHB323" s="243"/>
      <c r="AHC323" s="243"/>
      <c r="AHD323" s="243"/>
      <c r="AHE323" s="243"/>
      <c r="AHF323" s="243"/>
      <c r="AHG323" s="243"/>
      <c r="AHH323" s="243"/>
      <c r="AHI323" s="243"/>
      <c r="AHJ323" s="243"/>
      <c r="AHK323" s="243"/>
      <c r="AHL323" s="243"/>
      <c r="AHM323" s="243"/>
      <c r="AHN323" s="243"/>
      <c r="AHO323" s="243"/>
      <c r="AHP323" s="243"/>
      <c r="AHQ323" s="243"/>
      <c r="AHR323" s="243"/>
      <c r="AHS323" s="243"/>
      <c r="AHT323" s="243"/>
      <c r="AHU323" s="243"/>
      <c r="AHV323" s="243"/>
      <c r="AHW323" s="243"/>
      <c r="AHX323" s="243"/>
      <c r="AHY323" s="243"/>
      <c r="AHZ323" s="243"/>
      <c r="AIA323" s="243"/>
      <c r="AIB323" s="243"/>
      <c r="AIC323" s="243"/>
      <c r="AID323" s="243"/>
      <c r="AIE323" s="243"/>
      <c r="AIF323" s="243"/>
      <c r="AIG323" s="243"/>
      <c r="AIH323" s="243"/>
      <c r="AII323" s="243"/>
      <c r="AIJ323" s="243"/>
      <c r="AIK323" s="243"/>
      <c r="AIL323" s="243"/>
      <c r="AIM323" s="243"/>
      <c r="AIN323" s="243"/>
      <c r="AIO323" s="243"/>
      <c r="AIP323" s="243"/>
      <c r="AIQ323" s="243"/>
      <c r="AIR323" s="243"/>
      <c r="AIS323" s="243"/>
      <c r="AIT323" s="243"/>
      <c r="AIU323" s="243"/>
      <c r="AIV323" s="243"/>
      <c r="AIW323" s="243"/>
      <c r="AIX323" s="243"/>
      <c r="AIY323" s="243"/>
      <c r="AIZ323" s="243"/>
      <c r="AJA323" s="243"/>
      <c r="AJB323" s="243"/>
      <c r="AJC323" s="243"/>
      <c r="AJD323" s="243"/>
      <c r="AJE323" s="243"/>
      <c r="AJF323" s="243"/>
      <c r="AJG323" s="243"/>
      <c r="AJH323" s="243"/>
      <c r="AJI323" s="243"/>
      <c r="AJJ323" s="243"/>
      <c r="AJK323" s="243"/>
      <c r="AJL323" s="243"/>
      <c r="AJM323" s="243"/>
      <c r="AJN323" s="243"/>
      <c r="AJO323" s="243"/>
      <c r="AJP323" s="243"/>
      <c r="AJQ323" s="243"/>
      <c r="AJR323" s="243"/>
      <c r="AJS323" s="243"/>
      <c r="AJT323" s="243"/>
      <c r="AJU323" s="243"/>
      <c r="AJV323" s="243"/>
      <c r="AJW323" s="243"/>
      <c r="AJX323" s="243"/>
      <c r="AJY323" s="243"/>
      <c r="AJZ323" s="243"/>
      <c r="AKA323" s="243"/>
      <c r="AKB323" s="243"/>
      <c r="AKC323" s="243"/>
      <c r="AKD323" s="243"/>
      <c r="AKE323" s="243"/>
      <c r="AKF323" s="243"/>
      <c r="AKG323" s="243"/>
      <c r="AKH323" s="243"/>
      <c r="AKI323" s="243"/>
      <c r="AKJ323" s="243"/>
      <c r="AKK323" s="243"/>
      <c r="AKL323" s="243"/>
      <c r="AKM323" s="243"/>
      <c r="AKN323" s="243"/>
      <c r="AKO323" s="243"/>
      <c r="AKP323" s="243"/>
      <c r="AKQ323" s="243"/>
      <c r="AKR323" s="243"/>
      <c r="AKS323" s="243"/>
      <c r="AKT323" s="243"/>
      <c r="AKU323" s="243"/>
      <c r="AKV323" s="243"/>
      <c r="AKW323" s="243"/>
      <c r="AKX323" s="243"/>
      <c r="AKY323" s="243"/>
      <c r="AKZ323" s="243"/>
      <c r="ALA323" s="243"/>
      <c r="ALB323" s="243"/>
      <c r="ALC323" s="243"/>
      <c r="ALD323" s="243"/>
      <c r="ALE323" s="243"/>
      <c r="ALF323" s="243"/>
      <c r="ALG323" s="243"/>
      <c r="ALH323" s="243"/>
      <c r="ALI323" s="243"/>
      <c r="ALJ323" s="243"/>
      <c r="ALK323" s="243"/>
      <c r="ALL323" s="243"/>
      <c r="ALM323" s="243"/>
      <c r="ALN323" s="243"/>
      <c r="ALO323" s="243"/>
      <c r="ALP323" s="243"/>
      <c r="ALQ323" s="243"/>
      <c r="ALR323" s="243"/>
      <c r="ALS323" s="243"/>
      <c r="ALT323" s="243"/>
      <c r="ALU323" s="243"/>
      <c r="ALV323" s="243"/>
      <c r="ALW323" s="243"/>
      <c r="ALX323" s="243"/>
      <c r="ALY323" s="243"/>
      <c r="ALZ323" s="243"/>
      <c r="AMA323" s="243"/>
      <c r="AMB323" s="243"/>
      <c r="AMC323" s="243"/>
      <c r="AMD323" s="243"/>
      <c r="AME323" s="243"/>
      <c r="AMF323" s="243"/>
      <c r="AMG323" s="243"/>
      <c r="AMH323" s="243"/>
      <c r="AMI323" s="244"/>
      <c r="AMJ323" s="244"/>
    </row>
    <row r="324" spans="1:1024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43"/>
      <c r="S324" s="243"/>
      <c r="T324" s="243"/>
      <c r="U324" s="243"/>
      <c r="V324" s="243"/>
      <c r="W324" s="243"/>
      <c r="X324" s="243"/>
      <c r="Y324" s="243"/>
      <c r="Z324" s="243"/>
      <c r="AA324" s="243"/>
      <c r="AB324" s="243"/>
      <c r="AC324" s="243"/>
      <c r="AD324" s="243"/>
      <c r="AE324" s="243"/>
      <c r="AF324" s="243"/>
      <c r="AG324" s="243"/>
      <c r="AH324" s="243"/>
      <c r="AI324" s="243"/>
      <c r="AJ324" s="243"/>
      <c r="AK324" s="243"/>
      <c r="AL324" s="243"/>
      <c r="AM324" s="243"/>
      <c r="AN324" s="243"/>
      <c r="AO324" s="243"/>
      <c r="AP324" s="243"/>
      <c r="AQ324" s="243"/>
      <c r="AR324" s="243"/>
      <c r="AS324" s="243"/>
      <c r="AT324" s="243"/>
      <c r="AU324" s="243"/>
      <c r="AV324" s="243"/>
      <c r="AW324" s="243"/>
      <c r="AX324" s="243"/>
      <c r="AY324" s="243"/>
      <c r="AZ324" s="243"/>
      <c r="BA324" s="243"/>
      <c r="BB324" s="243"/>
      <c r="BC324" s="243"/>
      <c r="BD324" s="243"/>
      <c r="BE324" s="243"/>
      <c r="BF324" s="243"/>
      <c r="BG324" s="243"/>
      <c r="BH324" s="243"/>
      <c r="BI324" s="243"/>
      <c r="BJ324" s="243"/>
      <c r="BK324" s="243"/>
      <c r="BL324" s="243"/>
      <c r="BM324" s="243"/>
      <c r="BN324" s="243"/>
      <c r="BO324" s="243"/>
      <c r="BP324" s="243"/>
      <c r="BQ324" s="243"/>
      <c r="BR324" s="243"/>
      <c r="BS324" s="243"/>
      <c r="BT324" s="243"/>
      <c r="BU324" s="243"/>
      <c r="BV324" s="243"/>
      <c r="BW324" s="243"/>
      <c r="BX324" s="243"/>
      <c r="BY324" s="243"/>
      <c r="BZ324" s="243"/>
      <c r="CA324" s="243"/>
      <c r="CB324" s="243"/>
      <c r="CC324" s="243"/>
      <c r="CD324" s="243"/>
      <c r="CE324" s="243"/>
      <c r="CF324" s="243"/>
      <c r="CG324" s="243"/>
      <c r="CH324" s="243"/>
      <c r="CI324" s="243"/>
      <c r="CJ324" s="243"/>
      <c r="CK324" s="243"/>
      <c r="CL324" s="243"/>
      <c r="CM324" s="243"/>
      <c r="CN324" s="243"/>
      <c r="CO324" s="243"/>
      <c r="CP324" s="243"/>
      <c r="CQ324" s="243"/>
      <c r="CR324" s="243"/>
      <c r="CS324" s="243"/>
      <c r="CT324" s="243"/>
      <c r="CU324" s="243"/>
      <c r="CV324" s="243"/>
      <c r="CW324" s="243"/>
      <c r="CX324" s="243"/>
      <c r="CY324" s="243"/>
      <c r="CZ324" s="243"/>
      <c r="DA324" s="243"/>
      <c r="DB324" s="243"/>
      <c r="DC324" s="243"/>
      <c r="DD324" s="243"/>
      <c r="DE324" s="243"/>
      <c r="DF324" s="243"/>
      <c r="DG324" s="243"/>
      <c r="DH324" s="243"/>
      <c r="DI324" s="243"/>
      <c r="DJ324" s="243"/>
      <c r="DK324" s="243"/>
      <c r="DL324" s="243"/>
      <c r="DM324" s="243"/>
      <c r="DN324" s="243"/>
      <c r="DO324" s="243"/>
      <c r="DP324" s="243"/>
      <c r="DQ324" s="243"/>
      <c r="DR324" s="243"/>
      <c r="DS324" s="243"/>
      <c r="DT324" s="243"/>
      <c r="DU324" s="243"/>
      <c r="DV324" s="243"/>
      <c r="DW324" s="243"/>
      <c r="DX324" s="243"/>
      <c r="DY324" s="243"/>
      <c r="DZ324" s="243"/>
      <c r="EA324" s="243"/>
      <c r="EB324" s="243"/>
      <c r="EC324" s="243"/>
      <c r="ED324" s="243"/>
      <c r="EE324" s="243"/>
      <c r="EF324" s="243"/>
      <c r="EG324" s="243"/>
      <c r="EH324" s="243"/>
      <c r="EI324" s="243"/>
      <c r="EJ324" s="243"/>
      <c r="EK324" s="243"/>
      <c r="EL324" s="243"/>
      <c r="EM324" s="243"/>
      <c r="EN324" s="243"/>
      <c r="EO324" s="243"/>
      <c r="EP324" s="243"/>
      <c r="EQ324" s="243"/>
      <c r="ER324" s="243"/>
      <c r="ES324" s="243"/>
      <c r="ET324" s="243"/>
      <c r="EU324" s="243"/>
      <c r="EV324" s="243"/>
      <c r="EW324" s="243"/>
      <c r="EX324" s="243"/>
      <c r="EY324" s="243"/>
      <c r="EZ324" s="243"/>
      <c r="FA324" s="243"/>
      <c r="FB324" s="243"/>
      <c r="FC324" s="243"/>
      <c r="FD324" s="243"/>
      <c r="FE324" s="243"/>
      <c r="FF324" s="243"/>
      <c r="FG324" s="243"/>
      <c r="FH324" s="243"/>
      <c r="FI324" s="243"/>
      <c r="FJ324" s="243"/>
      <c r="FK324" s="243"/>
      <c r="FL324" s="243"/>
      <c r="FM324" s="243"/>
      <c r="FN324" s="243"/>
      <c r="FO324" s="243"/>
      <c r="FP324" s="243"/>
      <c r="FQ324" s="243"/>
      <c r="FR324" s="243"/>
      <c r="FS324" s="243"/>
      <c r="FT324" s="243"/>
      <c r="FU324" s="243"/>
      <c r="FV324" s="243"/>
      <c r="FW324" s="243"/>
      <c r="FX324" s="243"/>
      <c r="FY324" s="243"/>
      <c r="FZ324" s="243"/>
      <c r="GA324" s="243"/>
      <c r="GB324" s="243"/>
      <c r="GC324" s="243"/>
      <c r="GD324" s="243"/>
      <c r="GE324" s="243"/>
      <c r="GF324" s="243"/>
      <c r="GG324" s="243"/>
      <c r="GH324" s="243"/>
      <c r="GI324" s="243"/>
      <c r="GJ324" s="243"/>
      <c r="GK324" s="243"/>
      <c r="GL324" s="243"/>
      <c r="GM324" s="243"/>
      <c r="GN324" s="243"/>
      <c r="GO324" s="243"/>
      <c r="GP324" s="243"/>
      <c r="GQ324" s="243"/>
      <c r="GR324" s="243"/>
      <c r="GS324" s="243"/>
      <c r="GT324" s="243"/>
      <c r="GU324" s="243"/>
      <c r="GV324" s="243"/>
      <c r="GW324" s="243"/>
      <c r="GX324" s="243"/>
      <c r="GY324" s="243"/>
      <c r="GZ324" s="243"/>
      <c r="HA324" s="243"/>
      <c r="HB324" s="243"/>
      <c r="HC324" s="243"/>
      <c r="HD324" s="243"/>
      <c r="HE324" s="243"/>
      <c r="HF324" s="243"/>
      <c r="HG324" s="243"/>
      <c r="HH324" s="243"/>
      <c r="HI324" s="243"/>
      <c r="HJ324" s="243"/>
      <c r="HK324" s="243"/>
      <c r="HL324" s="243"/>
      <c r="HM324" s="243"/>
      <c r="HN324" s="243"/>
      <c r="HO324" s="243"/>
      <c r="HP324" s="243"/>
      <c r="HQ324" s="243"/>
      <c r="HR324" s="243"/>
      <c r="HS324" s="243"/>
      <c r="HT324" s="243"/>
      <c r="HU324" s="243"/>
      <c r="HV324" s="243"/>
      <c r="HW324" s="243"/>
      <c r="HX324" s="243"/>
      <c r="HY324" s="243"/>
      <c r="HZ324" s="243"/>
      <c r="IA324" s="243"/>
      <c r="IB324" s="243"/>
      <c r="IC324" s="243"/>
      <c r="ID324" s="243"/>
      <c r="IE324" s="243"/>
      <c r="IF324" s="243"/>
      <c r="IG324" s="243"/>
      <c r="IH324" s="243"/>
      <c r="II324" s="243"/>
      <c r="IJ324" s="243"/>
      <c r="IK324" s="243"/>
      <c r="IL324" s="243"/>
      <c r="IM324" s="243"/>
      <c r="IN324" s="243"/>
      <c r="IO324" s="243"/>
      <c r="IP324" s="243"/>
      <c r="IQ324" s="243"/>
      <c r="IR324" s="243"/>
      <c r="IS324" s="243"/>
      <c r="IT324" s="243"/>
      <c r="IU324" s="243"/>
      <c r="IV324" s="243"/>
      <c r="IW324" s="243"/>
      <c r="IX324" s="243"/>
      <c r="IY324" s="243"/>
      <c r="IZ324" s="243"/>
      <c r="JA324" s="243"/>
      <c r="JB324" s="243"/>
      <c r="JC324" s="243"/>
      <c r="JD324" s="243"/>
      <c r="JE324" s="243"/>
      <c r="JF324" s="243"/>
      <c r="JG324" s="243"/>
      <c r="JH324" s="243"/>
      <c r="JI324" s="243"/>
      <c r="JJ324" s="243"/>
      <c r="JK324" s="243"/>
      <c r="JL324" s="243"/>
      <c r="JM324" s="243"/>
      <c r="JN324" s="243"/>
      <c r="JO324" s="243"/>
      <c r="JP324" s="243"/>
      <c r="JQ324" s="243"/>
      <c r="JR324" s="243"/>
      <c r="JS324" s="243"/>
      <c r="JT324" s="243"/>
      <c r="JU324" s="243"/>
      <c r="JV324" s="243"/>
      <c r="JW324" s="243"/>
      <c r="JX324" s="243"/>
      <c r="JY324" s="243"/>
      <c r="JZ324" s="243"/>
      <c r="KA324" s="243"/>
      <c r="KB324" s="243"/>
      <c r="KC324" s="243"/>
      <c r="KD324" s="243"/>
      <c r="KE324" s="243"/>
      <c r="KF324" s="243"/>
      <c r="KG324" s="243"/>
      <c r="KH324" s="243"/>
      <c r="KI324" s="243"/>
      <c r="KJ324" s="243"/>
      <c r="KK324" s="243"/>
      <c r="KL324" s="243"/>
      <c r="KM324" s="243"/>
      <c r="KN324" s="243"/>
      <c r="KO324" s="243"/>
      <c r="KP324" s="243"/>
      <c r="KQ324" s="243"/>
      <c r="KR324" s="243"/>
      <c r="KS324" s="243"/>
      <c r="KT324" s="243"/>
      <c r="KU324" s="243"/>
      <c r="KV324" s="243"/>
      <c r="KW324" s="243"/>
      <c r="KX324" s="243"/>
      <c r="KY324" s="243"/>
      <c r="KZ324" s="243"/>
      <c r="LA324" s="243"/>
      <c r="LB324" s="243"/>
      <c r="LC324" s="243"/>
      <c r="LD324" s="243"/>
      <c r="LE324" s="243"/>
      <c r="LF324" s="243"/>
      <c r="LG324" s="243"/>
      <c r="LH324" s="243"/>
      <c r="LI324" s="243"/>
      <c r="LJ324" s="243"/>
      <c r="LK324" s="243"/>
      <c r="LL324" s="243"/>
      <c r="LM324" s="243"/>
      <c r="LN324" s="243"/>
      <c r="LO324" s="243"/>
      <c r="LP324" s="243"/>
      <c r="LQ324" s="243"/>
      <c r="LR324" s="243"/>
      <c r="LS324" s="243"/>
      <c r="LT324" s="243"/>
      <c r="LU324" s="243"/>
      <c r="LV324" s="243"/>
      <c r="LW324" s="243"/>
      <c r="LX324" s="243"/>
      <c r="LY324" s="243"/>
      <c r="LZ324" s="243"/>
      <c r="MA324" s="243"/>
      <c r="MB324" s="243"/>
      <c r="MC324" s="243"/>
      <c r="MD324" s="243"/>
      <c r="ME324" s="243"/>
      <c r="MF324" s="243"/>
      <c r="MG324" s="243"/>
      <c r="MH324" s="243"/>
      <c r="MI324" s="243"/>
      <c r="MJ324" s="243"/>
      <c r="MK324" s="243"/>
      <c r="ML324" s="243"/>
      <c r="MM324" s="243"/>
      <c r="MN324" s="243"/>
      <c r="MO324" s="243"/>
      <c r="MP324" s="243"/>
      <c r="MQ324" s="243"/>
      <c r="MR324" s="243"/>
      <c r="MS324" s="243"/>
      <c r="MT324" s="243"/>
      <c r="MU324" s="243"/>
      <c r="MV324" s="243"/>
      <c r="MW324" s="243"/>
      <c r="MX324" s="243"/>
      <c r="MY324" s="243"/>
      <c r="MZ324" s="243"/>
      <c r="NA324" s="243"/>
      <c r="NB324" s="243"/>
      <c r="NC324" s="243"/>
      <c r="ND324" s="243"/>
      <c r="NE324" s="243"/>
      <c r="NF324" s="243"/>
      <c r="NG324" s="243"/>
      <c r="NH324" s="243"/>
      <c r="NI324" s="243"/>
      <c r="NJ324" s="243"/>
      <c r="NK324" s="243"/>
      <c r="NL324" s="243"/>
      <c r="NM324" s="243"/>
      <c r="NN324" s="243"/>
      <c r="NO324" s="243"/>
      <c r="NP324" s="243"/>
      <c r="NQ324" s="243"/>
      <c r="NR324" s="243"/>
      <c r="NS324" s="243"/>
      <c r="NT324" s="243"/>
      <c r="NU324" s="243"/>
      <c r="NV324" s="243"/>
      <c r="NW324" s="243"/>
      <c r="NX324" s="243"/>
      <c r="NY324" s="243"/>
      <c r="NZ324" s="243"/>
      <c r="OA324" s="243"/>
      <c r="OB324" s="243"/>
      <c r="OC324" s="243"/>
      <c r="OD324" s="243"/>
      <c r="OE324" s="243"/>
      <c r="OF324" s="243"/>
      <c r="OG324" s="243"/>
      <c r="OH324" s="243"/>
      <c r="OI324" s="243"/>
      <c r="OJ324" s="243"/>
      <c r="OK324" s="243"/>
      <c r="OL324" s="243"/>
      <c r="OM324" s="243"/>
      <c r="ON324" s="243"/>
      <c r="OO324" s="243"/>
      <c r="OP324" s="243"/>
      <c r="OQ324" s="243"/>
      <c r="OR324" s="243"/>
      <c r="OS324" s="243"/>
      <c r="OT324" s="243"/>
      <c r="OU324" s="243"/>
      <c r="OV324" s="243"/>
      <c r="OW324" s="243"/>
      <c r="OX324" s="243"/>
      <c r="OY324" s="243"/>
      <c r="OZ324" s="243"/>
      <c r="PA324" s="243"/>
      <c r="PB324" s="243"/>
      <c r="PC324" s="243"/>
      <c r="PD324" s="243"/>
      <c r="PE324" s="243"/>
      <c r="PF324" s="243"/>
      <c r="PG324" s="243"/>
      <c r="PH324" s="243"/>
      <c r="PI324" s="243"/>
      <c r="PJ324" s="243"/>
      <c r="PK324" s="243"/>
      <c r="PL324" s="243"/>
      <c r="PM324" s="243"/>
      <c r="PN324" s="243"/>
      <c r="PO324" s="243"/>
      <c r="PP324" s="243"/>
      <c r="PQ324" s="243"/>
      <c r="PR324" s="243"/>
      <c r="PS324" s="243"/>
      <c r="PT324" s="243"/>
      <c r="PU324" s="243"/>
      <c r="PV324" s="243"/>
      <c r="PW324" s="243"/>
      <c r="PX324" s="243"/>
      <c r="PY324" s="243"/>
      <c r="PZ324" s="243"/>
      <c r="QA324" s="243"/>
      <c r="QB324" s="243"/>
      <c r="QC324" s="243"/>
      <c r="QD324" s="243"/>
      <c r="QE324" s="243"/>
      <c r="QF324" s="243"/>
      <c r="QG324" s="243"/>
      <c r="QH324" s="243"/>
      <c r="QI324" s="243"/>
      <c r="QJ324" s="243"/>
      <c r="QK324" s="243"/>
      <c r="QL324" s="243"/>
      <c r="QM324" s="243"/>
      <c r="QN324" s="243"/>
      <c r="QO324" s="243"/>
      <c r="QP324" s="243"/>
      <c r="QQ324" s="243"/>
      <c r="QR324" s="243"/>
      <c r="QS324" s="243"/>
      <c r="QT324" s="243"/>
      <c r="QU324" s="243"/>
      <c r="QV324" s="243"/>
      <c r="QW324" s="243"/>
      <c r="QX324" s="243"/>
      <c r="QY324" s="243"/>
      <c r="QZ324" s="243"/>
      <c r="RA324" s="243"/>
      <c r="RB324" s="243"/>
      <c r="RC324" s="243"/>
      <c r="RD324" s="243"/>
      <c r="RE324" s="243"/>
      <c r="RF324" s="243"/>
      <c r="RG324" s="243"/>
      <c r="RH324" s="243"/>
      <c r="RI324" s="243"/>
      <c r="RJ324" s="243"/>
      <c r="RK324" s="243"/>
      <c r="RL324" s="243"/>
      <c r="RM324" s="243"/>
      <c r="RN324" s="243"/>
      <c r="RO324" s="243"/>
      <c r="RP324" s="243"/>
      <c r="RQ324" s="243"/>
      <c r="RR324" s="243"/>
      <c r="RS324" s="243"/>
      <c r="RT324" s="243"/>
      <c r="RU324" s="243"/>
      <c r="RV324" s="243"/>
      <c r="RW324" s="243"/>
      <c r="RX324" s="243"/>
      <c r="RY324" s="243"/>
      <c r="RZ324" s="243"/>
      <c r="SA324" s="243"/>
      <c r="SB324" s="243"/>
      <c r="SC324" s="243"/>
      <c r="SD324" s="243"/>
      <c r="SE324" s="243"/>
      <c r="SF324" s="243"/>
      <c r="SG324" s="243"/>
      <c r="SH324" s="243"/>
      <c r="SI324" s="243"/>
      <c r="SJ324" s="243"/>
      <c r="SK324" s="243"/>
      <c r="SL324" s="243"/>
      <c r="SM324" s="243"/>
      <c r="SN324" s="243"/>
      <c r="SO324" s="243"/>
      <c r="SP324" s="243"/>
      <c r="SQ324" s="243"/>
      <c r="SR324" s="243"/>
      <c r="SS324" s="243"/>
      <c r="ST324" s="243"/>
      <c r="SU324" s="243"/>
      <c r="SV324" s="243"/>
      <c r="SW324" s="243"/>
      <c r="SX324" s="243"/>
      <c r="SY324" s="243"/>
      <c r="SZ324" s="243"/>
      <c r="TA324" s="243"/>
      <c r="TB324" s="243"/>
      <c r="TC324" s="243"/>
      <c r="TD324" s="243"/>
      <c r="TE324" s="243"/>
      <c r="TF324" s="243"/>
      <c r="TG324" s="243"/>
      <c r="TH324" s="243"/>
      <c r="TI324" s="243"/>
      <c r="TJ324" s="243"/>
      <c r="TK324" s="243"/>
      <c r="TL324" s="243"/>
      <c r="TM324" s="243"/>
      <c r="TN324" s="243"/>
      <c r="TO324" s="243"/>
      <c r="TP324" s="243"/>
      <c r="TQ324" s="243"/>
      <c r="TR324" s="243"/>
      <c r="TS324" s="243"/>
      <c r="TT324" s="243"/>
      <c r="TU324" s="243"/>
      <c r="TV324" s="243"/>
      <c r="TW324" s="243"/>
      <c r="TX324" s="243"/>
      <c r="TY324" s="243"/>
      <c r="TZ324" s="243"/>
      <c r="UA324" s="243"/>
      <c r="UB324" s="243"/>
      <c r="UC324" s="243"/>
      <c r="UD324" s="243"/>
      <c r="UE324" s="243"/>
      <c r="UF324" s="243"/>
      <c r="UG324" s="243"/>
      <c r="UH324" s="243"/>
      <c r="UI324" s="243"/>
      <c r="UJ324" s="243"/>
      <c r="UK324" s="243"/>
      <c r="UL324" s="243"/>
      <c r="UM324" s="243"/>
      <c r="UN324" s="243"/>
      <c r="UO324" s="243"/>
      <c r="UP324" s="243"/>
      <c r="UQ324" s="243"/>
      <c r="UR324" s="243"/>
      <c r="US324" s="243"/>
      <c r="UT324" s="243"/>
      <c r="UU324" s="243"/>
      <c r="UV324" s="243"/>
      <c r="UW324" s="243"/>
      <c r="UX324" s="243"/>
      <c r="UY324" s="243"/>
      <c r="UZ324" s="243"/>
      <c r="VA324" s="243"/>
      <c r="VB324" s="243"/>
      <c r="VC324" s="243"/>
      <c r="VD324" s="243"/>
      <c r="VE324" s="243"/>
      <c r="VF324" s="243"/>
      <c r="VG324" s="243"/>
      <c r="VH324" s="243"/>
      <c r="VI324" s="243"/>
      <c r="VJ324" s="243"/>
      <c r="VK324" s="243"/>
      <c r="VL324" s="243"/>
      <c r="VM324" s="243"/>
      <c r="VN324" s="243"/>
      <c r="VO324" s="243"/>
      <c r="VP324" s="243"/>
      <c r="VQ324" s="243"/>
      <c r="VR324" s="243"/>
      <c r="VS324" s="243"/>
      <c r="VT324" s="243"/>
      <c r="VU324" s="243"/>
      <c r="VV324" s="243"/>
      <c r="VW324" s="243"/>
      <c r="VX324" s="243"/>
      <c r="VY324" s="243"/>
      <c r="VZ324" s="243"/>
      <c r="WA324" s="243"/>
      <c r="WB324" s="243"/>
      <c r="WC324" s="243"/>
      <c r="WD324" s="243"/>
      <c r="WE324" s="243"/>
      <c r="WF324" s="243"/>
      <c r="WG324" s="243"/>
      <c r="WH324" s="243"/>
      <c r="WI324" s="243"/>
      <c r="WJ324" s="243"/>
      <c r="WK324" s="243"/>
      <c r="WL324" s="243"/>
      <c r="WM324" s="243"/>
      <c r="WN324" s="243"/>
      <c r="WO324" s="243"/>
      <c r="WP324" s="243"/>
      <c r="WQ324" s="243"/>
      <c r="WR324" s="243"/>
      <c r="WS324" s="243"/>
      <c r="WT324" s="243"/>
      <c r="WU324" s="243"/>
      <c r="WV324" s="243"/>
      <c r="WW324" s="243"/>
      <c r="WX324" s="243"/>
      <c r="WY324" s="243"/>
      <c r="WZ324" s="243"/>
      <c r="XA324" s="243"/>
      <c r="XB324" s="243"/>
      <c r="XC324" s="243"/>
      <c r="XD324" s="243"/>
      <c r="XE324" s="243"/>
      <c r="XF324" s="243"/>
      <c r="XG324" s="243"/>
      <c r="XH324" s="243"/>
      <c r="XI324" s="243"/>
      <c r="XJ324" s="243"/>
      <c r="XK324" s="243"/>
      <c r="XL324" s="243"/>
      <c r="XM324" s="243"/>
      <c r="XN324" s="243"/>
      <c r="XO324" s="243"/>
      <c r="XP324" s="243"/>
      <c r="XQ324" s="243"/>
      <c r="XR324" s="243"/>
      <c r="XS324" s="243"/>
      <c r="XT324" s="243"/>
      <c r="XU324" s="243"/>
      <c r="XV324" s="243"/>
      <c r="XW324" s="243"/>
      <c r="XX324" s="243"/>
      <c r="XY324" s="243"/>
      <c r="XZ324" s="243"/>
      <c r="YA324" s="243"/>
      <c r="YB324" s="243"/>
      <c r="YC324" s="243"/>
      <c r="YD324" s="243"/>
      <c r="YE324" s="243"/>
      <c r="YF324" s="243"/>
      <c r="YG324" s="243"/>
      <c r="YH324" s="243"/>
      <c r="YI324" s="243"/>
      <c r="YJ324" s="243"/>
      <c r="YK324" s="243"/>
      <c r="YL324" s="243"/>
      <c r="YM324" s="243"/>
      <c r="YN324" s="243"/>
      <c r="YO324" s="243"/>
      <c r="YP324" s="243"/>
      <c r="YQ324" s="243"/>
      <c r="YR324" s="243"/>
      <c r="YS324" s="243"/>
      <c r="YT324" s="243"/>
      <c r="YU324" s="243"/>
      <c r="YV324" s="243"/>
      <c r="YW324" s="243"/>
      <c r="YX324" s="243"/>
      <c r="YY324" s="243"/>
      <c r="YZ324" s="243"/>
      <c r="ZA324" s="243"/>
      <c r="ZB324" s="243"/>
      <c r="ZC324" s="243"/>
      <c r="ZD324" s="243"/>
      <c r="ZE324" s="243"/>
      <c r="ZF324" s="243"/>
      <c r="ZG324" s="243"/>
      <c r="ZH324" s="243"/>
      <c r="ZI324" s="243"/>
      <c r="ZJ324" s="243"/>
      <c r="ZK324" s="243"/>
      <c r="ZL324" s="243"/>
      <c r="ZM324" s="243"/>
      <c r="ZN324" s="243"/>
      <c r="ZO324" s="243"/>
      <c r="ZP324" s="243"/>
      <c r="ZQ324" s="243"/>
      <c r="ZR324" s="243"/>
      <c r="ZS324" s="243"/>
      <c r="ZT324" s="243"/>
      <c r="ZU324" s="243"/>
      <c r="ZV324" s="243"/>
      <c r="ZW324" s="243"/>
      <c r="ZX324" s="243"/>
      <c r="ZY324" s="243"/>
      <c r="ZZ324" s="243"/>
      <c r="AAA324" s="243"/>
      <c r="AAB324" s="243"/>
      <c r="AAC324" s="243"/>
      <c r="AAD324" s="243"/>
      <c r="AAE324" s="243"/>
      <c r="AAF324" s="243"/>
      <c r="AAG324" s="243"/>
      <c r="AAH324" s="243"/>
      <c r="AAI324" s="243"/>
      <c r="AAJ324" s="243"/>
      <c r="AAK324" s="243"/>
      <c r="AAL324" s="243"/>
      <c r="AAM324" s="243"/>
      <c r="AAN324" s="243"/>
      <c r="AAO324" s="243"/>
      <c r="AAP324" s="243"/>
      <c r="AAQ324" s="243"/>
      <c r="AAR324" s="243"/>
      <c r="AAS324" s="243"/>
      <c r="AAT324" s="243"/>
      <c r="AAU324" s="243"/>
      <c r="AAV324" s="243"/>
      <c r="AAW324" s="243"/>
      <c r="AAX324" s="243"/>
      <c r="AAY324" s="243"/>
      <c r="AAZ324" s="243"/>
      <c r="ABA324" s="243"/>
      <c r="ABB324" s="243"/>
      <c r="ABC324" s="243"/>
      <c r="ABD324" s="243"/>
      <c r="ABE324" s="243"/>
      <c r="ABF324" s="243"/>
      <c r="ABG324" s="243"/>
      <c r="ABH324" s="243"/>
      <c r="ABI324" s="243"/>
      <c r="ABJ324" s="243"/>
      <c r="ABK324" s="243"/>
      <c r="ABL324" s="243"/>
      <c r="ABM324" s="243"/>
      <c r="ABN324" s="243"/>
      <c r="ABO324" s="243"/>
      <c r="ABP324" s="243"/>
      <c r="ABQ324" s="243"/>
      <c r="ABR324" s="243"/>
      <c r="ABS324" s="243"/>
      <c r="ABT324" s="243"/>
      <c r="ABU324" s="243"/>
      <c r="ABV324" s="243"/>
      <c r="ABW324" s="243"/>
      <c r="ABX324" s="243"/>
      <c r="ABY324" s="243"/>
      <c r="ABZ324" s="243"/>
      <c r="ACA324" s="243"/>
      <c r="ACB324" s="243"/>
      <c r="ACC324" s="243"/>
      <c r="ACD324" s="243"/>
      <c r="ACE324" s="243"/>
      <c r="ACF324" s="243"/>
      <c r="ACG324" s="243"/>
      <c r="ACH324" s="243"/>
      <c r="ACI324" s="243"/>
      <c r="ACJ324" s="243"/>
      <c r="ACK324" s="243"/>
      <c r="ACL324" s="243"/>
      <c r="ACM324" s="243"/>
      <c r="ACN324" s="243"/>
      <c r="ACO324" s="243"/>
      <c r="ACP324" s="243"/>
      <c r="ACQ324" s="243"/>
      <c r="ACR324" s="243"/>
      <c r="ACS324" s="243"/>
      <c r="ACT324" s="243"/>
      <c r="ACU324" s="243"/>
      <c r="ACV324" s="243"/>
      <c r="ACW324" s="243"/>
      <c r="ACX324" s="243"/>
      <c r="ACY324" s="243"/>
      <c r="ACZ324" s="243"/>
      <c r="ADA324" s="243"/>
      <c r="ADB324" s="243"/>
      <c r="ADC324" s="243"/>
      <c r="ADD324" s="243"/>
      <c r="ADE324" s="243"/>
      <c r="ADF324" s="243"/>
      <c r="ADG324" s="243"/>
      <c r="ADH324" s="243"/>
      <c r="ADI324" s="243"/>
      <c r="ADJ324" s="243"/>
      <c r="ADK324" s="243"/>
      <c r="ADL324" s="243"/>
      <c r="ADM324" s="243"/>
      <c r="ADN324" s="243"/>
      <c r="ADO324" s="243"/>
      <c r="ADP324" s="243"/>
      <c r="ADQ324" s="243"/>
      <c r="ADR324" s="243"/>
      <c r="ADS324" s="243"/>
      <c r="ADT324" s="243"/>
      <c r="ADU324" s="243"/>
      <c r="ADV324" s="243"/>
      <c r="ADW324" s="243"/>
      <c r="ADX324" s="243"/>
      <c r="ADY324" s="243"/>
      <c r="ADZ324" s="243"/>
      <c r="AEA324" s="243"/>
      <c r="AEB324" s="243"/>
      <c r="AEC324" s="243"/>
      <c r="AED324" s="243"/>
      <c r="AEE324" s="243"/>
      <c r="AEF324" s="243"/>
      <c r="AEG324" s="243"/>
      <c r="AEH324" s="243"/>
      <c r="AEI324" s="243"/>
      <c r="AEJ324" s="243"/>
      <c r="AEK324" s="243"/>
      <c r="AEL324" s="243"/>
      <c r="AEM324" s="243"/>
      <c r="AEN324" s="243"/>
      <c r="AEO324" s="243"/>
      <c r="AEP324" s="243"/>
      <c r="AEQ324" s="243"/>
      <c r="AER324" s="243"/>
      <c r="AES324" s="243"/>
      <c r="AET324" s="243"/>
      <c r="AEU324" s="243"/>
      <c r="AEV324" s="243"/>
      <c r="AEW324" s="243"/>
      <c r="AEX324" s="243"/>
      <c r="AEY324" s="243"/>
      <c r="AEZ324" s="243"/>
      <c r="AFA324" s="243"/>
      <c r="AFB324" s="243"/>
      <c r="AFC324" s="243"/>
      <c r="AFD324" s="243"/>
      <c r="AFE324" s="243"/>
      <c r="AFF324" s="243"/>
      <c r="AFG324" s="243"/>
      <c r="AFH324" s="243"/>
      <c r="AFI324" s="243"/>
      <c r="AFJ324" s="243"/>
      <c r="AFK324" s="243"/>
      <c r="AFL324" s="243"/>
      <c r="AFM324" s="243"/>
      <c r="AFN324" s="243"/>
      <c r="AFO324" s="243"/>
      <c r="AFP324" s="243"/>
      <c r="AFQ324" s="243"/>
      <c r="AFR324" s="243"/>
      <c r="AFS324" s="243"/>
      <c r="AFT324" s="243"/>
      <c r="AFU324" s="243"/>
      <c r="AFV324" s="243"/>
      <c r="AFW324" s="243"/>
      <c r="AFX324" s="243"/>
      <c r="AFY324" s="243"/>
      <c r="AFZ324" s="243"/>
      <c r="AGA324" s="243"/>
      <c r="AGB324" s="243"/>
      <c r="AGC324" s="243"/>
      <c r="AGD324" s="243"/>
      <c r="AGE324" s="243"/>
      <c r="AGF324" s="243"/>
      <c r="AGG324" s="243"/>
      <c r="AGH324" s="243"/>
      <c r="AGI324" s="243"/>
      <c r="AGJ324" s="243"/>
      <c r="AGK324" s="243"/>
      <c r="AGL324" s="243"/>
      <c r="AGM324" s="243"/>
      <c r="AGN324" s="243"/>
      <c r="AGO324" s="243"/>
      <c r="AGP324" s="243"/>
      <c r="AGQ324" s="243"/>
      <c r="AGR324" s="243"/>
      <c r="AGS324" s="243"/>
      <c r="AGT324" s="243"/>
      <c r="AGU324" s="243"/>
      <c r="AGV324" s="243"/>
      <c r="AGW324" s="243"/>
      <c r="AGX324" s="243"/>
      <c r="AGY324" s="243"/>
      <c r="AGZ324" s="243"/>
      <c r="AHA324" s="243"/>
      <c r="AHB324" s="243"/>
      <c r="AHC324" s="243"/>
      <c r="AHD324" s="243"/>
      <c r="AHE324" s="243"/>
      <c r="AHF324" s="243"/>
      <c r="AHG324" s="243"/>
      <c r="AHH324" s="243"/>
      <c r="AHI324" s="243"/>
      <c r="AHJ324" s="243"/>
      <c r="AHK324" s="243"/>
      <c r="AHL324" s="243"/>
      <c r="AHM324" s="243"/>
      <c r="AHN324" s="243"/>
      <c r="AHO324" s="243"/>
      <c r="AHP324" s="243"/>
      <c r="AHQ324" s="243"/>
      <c r="AHR324" s="243"/>
      <c r="AHS324" s="243"/>
      <c r="AHT324" s="243"/>
      <c r="AHU324" s="243"/>
      <c r="AHV324" s="243"/>
      <c r="AHW324" s="243"/>
      <c r="AHX324" s="243"/>
      <c r="AHY324" s="243"/>
      <c r="AHZ324" s="243"/>
      <c r="AIA324" s="243"/>
      <c r="AIB324" s="243"/>
      <c r="AIC324" s="243"/>
      <c r="AID324" s="243"/>
      <c r="AIE324" s="243"/>
      <c r="AIF324" s="243"/>
      <c r="AIG324" s="243"/>
      <c r="AIH324" s="243"/>
      <c r="AII324" s="243"/>
      <c r="AIJ324" s="243"/>
      <c r="AIK324" s="243"/>
      <c r="AIL324" s="243"/>
      <c r="AIM324" s="243"/>
      <c r="AIN324" s="243"/>
      <c r="AIO324" s="243"/>
      <c r="AIP324" s="243"/>
      <c r="AIQ324" s="243"/>
      <c r="AIR324" s="243"/>
      <c r="AIS324" s="243"/>
      <c r="AIT324" s="243"/>
      <c r="AIU324" s="243"/>
      <c r="AIV324" s="243"/>
      <c r="AIW324" s="243"/>
      <c r="AIX324" s="243"/>
      <c r="AIY324" s="243"/>
      <c r="AIZ324" s="243"/>
      <c r="AJA324" s="243"/>
      <c r="AJB324" s="243"/>
      <c r="AJC324" s="243"/>
      <c r="AJD324" s="243"/>
      <c r="AJE324" s="243"/>
      <c r="AJF324" s="243"/>
      <c r="AJG324" s="243"/>
      <c r="AJH324" s="243"/>
      <c r="AJI324" s="243"/>
      <c r="AJJ324" s="243"/>
      <c r="AJK324" s="243"/>
      <c r="AJL324" s="243"/>
      <c r="AJM324" s="243"/>
      <c r="AJN324" s="243"/>
      <c r="AJO324" s="243"/>
      <c r="AJP324" s="243"/>
      <c r="AJQ324" s="243"/>
      <c r="AJR324" s="243"/>
      <c r="AJS324" s="243"/>
      <c r="AJT324" s="243"/>
      <c r="AJU324" s="243"/>
      <c r="AJV324" s="243"/>
      <c r="AJW324" s="243"/>
      <c r="AJX324" s="243"/>
      <c r="AJY324" s="243"/>
      <c r="AJZ324" s="243"/>
      <c r="AKA324" s="243"/>
      <c r="AKB324" s="243"/>
      <c r="AKC324" s="243"/>
      <c r="AKD324" s="243"/>
      <c r="AKE324" s="243"/>
      <c r="AKF324" s="243"/>
      <c r="AKG324" s="243"/>
      <c r="AKH324" s="243"/>
      <c r="AKI324" s="243"/>
      <c r="AKJ324" s="243"/>
      <c r="AKK324" s="243"/>
      <c r="AKL324" s="243"/>
      <c r="AKM324" s="243"/>
      <c r="AKN324" s="243"/>
      <c r="AKO324" s="243"/>
      <c r="AKP324" s="243"/>
      <c r="AKQ324" s="243"/>
      <c r="AKR324" s="243"/>
      <c r="AKS324" s="243"/>
      <c r="AKT324" s="243"/>
      <c r="AKU324" s="243"/>
      <c r="AKV324" s="243"/>
      <c r="AKW324" s="243"/>
      <c r="AKX324" s="243"/>
      <c r="AKY324" s="243"/>
      <c r="AKZ324" s="243"/>
      <c r="ALA324" s="243"/>
      <c r="ALB324" s="243"/>
      <c r="ALC324" s="243"/>
      <c r="ALD324" s="243"/>
      <c r="ALE324" s="243"/>
      <c r="ALF324" s="243"/>
      <c r="ALG324" s="243"/>
      <c r="ALH324" s="243"/>
      <c r="ALI324" s="243"/>
      <c r="ALJ324" s="243"/>
      <c r="ALK324" s="243"/>
      <c r="ALL324" s="243"/>
      <c r="ALM324" s="243"/>
      <c r="ALN324" s="243"/>
      <c r="ALO324" s="243"/>
      <c r="ALP324" s="243"/>
      <c r="ALQ324" s="243"/>
      <c r="ALR324" s="243"/>
      <c r="ALS324" s="243"/>
      <c r="ALT324" s="243"/>
      <c r="ALU324" s="243"/>
      <c r="ALV324" s="243"/>
      <c r="ALW324" s="243"/>
      <c r="ALX324" s="243"/>
      <c r="ALY324" s="243"/>
      <c r="ALZ324" s="243"/>
      <c r="AMA324" s="243"/>
      <c r="AMB324" s="243"/>
      <c r="AMC324" s="243"/>
      <c r="AMD324" s="243"/>
      <c r="AME324" s="243"/>
      <c r="AMF324" s="243"/>
      <c r="AMG324" s="243"/>
      <c r="AMH324" s="243"/>
      <c r="AMI324" s="244"/>
      <c r="AMJ324" s="244"/>
    </row>
    <row r="325" spans="1:1024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43"/>
      <c r="S325" s="243"/>
      <c r="T325" s="243"/>
      <c r="U325" s="243"/>
      <c r="V325" s="243"/>
      <c r="W325" s="243"/>
      <c r="X325" s="243"/>
      <c r="Y325" s="243"/>
      <c r="Z325" s="243"/>
      <c r="AA325" s="243"/>
      <c r="AB325" s="243"/>
      <c r="AC325" s="243"/>
      <c r="AD325" s="243"/>
      <c r="AE325" s="243"/>
      <c r="AF325" s="243"/>
      <c r="AG325" s="243"/>
      <c r="AH325" s="243"/>
      <c r="AI325" s="243"/>
      <c r="AJ325" s="243"/>
      <c r="AK325" s="243"/>
      <c r="AL325" s="243"/>
      <c r="AM325" s="243"/>
      <c r="AN325" s="243"/>
      <c r="AO325" s="243"/>
      <c r="AP325" s="243"/>
      <c r="AQ325" s="243"/>
      <c r="AR325" s="243"/>
      <c r="AS325" s="243"/>
      <c r="AT325" s="243"/>
      <c r="AU325" s="243"/>
      <c r="AV325" s="243"/>
      <c r="AW325" s="243"/>
      <c r="AX325" s="243"/>
      <c r="AY325" s="243"/>
      <c r="AZ325" s="243"/>
      <c r="BA325" s="243"/>
      <c r="BB325" s="243"/>
      <c r="BC325" s="243"/>
      <c r="BD325" s="243"/>
      <c r="BE325" s="243"/>
      <c r="BF325" s="243"/>
      <c r="BG325" s="243"/>
      <c r="BH325" s="243"/>
      <c r="BI325" s="243"/>
      <c r="BJ325" s="243"/>
      <c r="BK325" s="243"/>
      <c r="BL325" s="243"/>
      <c r="BM325" s="243"/>
      <c r="BN325" s="243"/>
      <c r="BO325" s="243"/>
      <c r="BP325" s="243"/>
      <c r="BQ325" s="243"/>
      <c r="BR325" s="243"/>
      <c r="BS325" s="243"/>
      <c r="BT325" s="243"/>
      <c r="BU325" s="243"/>
      <c r="BV325" s="243"/>
      <c r="BW325" s="243"/>
      <c r="BX325" s="243"/>
      <c r="BY325" s="243"/>
      <c r="BZ325" s="243"/>
      <c r="CA325" s="243"/>
      <c r="CB325" s="243"/>
      <c r="CC325" s="243"/>
      <c r="CD325" s="243"/>
      <c r="CE325" s="243"/>
      <c r="CF325" s="243"/>
      <c r="CG325" s="243"/>
      <c r="CH325" s="243"/>
      <c r="CI325" s="243"/>
      <c r="CJ325" s="243"/>
      <c r="CK325" s="243"/>
      <c r="CL325" s="243"/>
      <c r="CM325" s="243"/>
      <c r="CN325" s="243"/>
      <c r="CO325" s="243"/>
      <c r="CP325" s="243"/>
      <c r="CQ325" s="243"/>
      <c r="CR325" s="243"/>
      <c r="CS325" s="243"/>
      <c r="CT325" s="243"/>
      <c r="CU325" s="243"/>
      <c r="CV325" s="243"/>
      <c r="CW325" s="243"/>
      <c r="CX325" s="243"/>
      <c r="CY325" s="243"/>
      <c r="CZ325" s="243"/>
      <c r="DA325" s="243"/>
      <c r="DB325" s="243"/>
      <c r="DC325" s="243"/>
      <c r="DD325" s="243"/>
      <c r="DE325" s="243"/>
      <c r="DF325" s="243"/>
      <c r="DG325" s="243"/>
      <c r="DH325" s="243"/>
      <c r="DI325" s="243"/>
      <c r="DJ325" s="243"/>
      <c r="DK325" s="243"/>
      <c r="DL325" s="243"/>
      <c r="DM325" s="243"/>
      <c r="DN325" s="243"/>
      <c r="DO325" s="243"/>
      <c r="DP325" s="243"/>
      <c r="DQ325" s="243"/>
      <c r="DR325" s="243"/>
      <c r="DS325" s="243"/>
      <c r="DT325" s="243"/>
      <c r="DU325" s="243"/>
      <c r="DV325" s="243"/>
      <c r="DW325" s="243"/>
      <c r="DX325" s="243"/>
      <c r="DY325" s="243"/>
      <c r="DZ325" s="243"/>
      <c r="EA325" s="243"/>
      <c r="EB325" s="243"/>
      <c r="EC325" s="243"/>
      <c r="ED325" s="243"/>
      <c r="EE325" s="243"/>
      <c r="EF325" s="243"/>
      <c r="EG325" s="243"/>
      <c r="EH325" s="243"/>
      <c r="EI325" s="243"/>
      <c r="EJ325" s="243"/>
      <c r="EK325" s="243"/>
      <c r="EL325" s="243"/>
      <c r="EM325" s="243"/>
      <c r="EN325" s="243"/>
      <c r="EO325" s="243"/>
      <c r="EP325" s="243"/>
      <c r="EQ325" s="243"/>
      <c r="ER325" s="243"/>
      <c r="ES325" s="243"/>
      <c r="ET325" s="243"/>
      <c r="EU325" s="243"/>
      <c r="EV325" s="243"/>
      <c r="EW325" s="243"/>
      <c r="EX325" s="243"/>
      <c r="EY325" s="243"/>
      <c r="EZ325" s="243"/>
      <c r="FA325" s="243"/>
      <c r="FB325" s="243"/>
      <c r="FC325" s="243"/>
      <c r="FD325" s="243"/>
      <c r="FE325" s="243"/>
      <c r="FF325" s="243"/>
      <c r="FG325" s="243"/>
      <c r="FH325" s="243"/>
      <c r="FI325" s="243"/>
      <c r="FJ325" s="243"/>
      <c r="FK325" s="243"/>
      <c r="FL325" s="243"/>
      <c r="FM325" s="243"/>
      <c r="FN325" s="243"/>
      <c r="FO325" s="243"/>
      <c r="FP325" s="243"/>
      <c r="FQ325" s="243"/>
      <c r="FR325" s="243"/>
      <c r="FS325" s="243"/>
      <c r="FT325" s="243"/>
      <c r="FU325" s="243"/>
      <c r="FV325" s="243"/>
      <c r="FW325" s="243"/>
      <c r="FX325" s="243"/>
      <c r="FY325" s="243"/>
      <c r="FZ325" s="243"/>
      <c r="GA325" s="243"/>
      <c r="GB325" s="243"/>
      <c r="GC325" s="243"/>
      <c r="GD325" s="243"/>
      <c r="GE325" s="243"/>
      <c r="GF325" s="243"/>
      <c r="GG325" s="243"/>
      <c r="GH325" s="243"/>
      <c r="GI325" s="243"/>
      <c r="GJ325" s="243"/>
      <c r="GK325" s="243"/>
      <c r="GL325" s="243"/>
      <c r="GM325" s="243"/>
      <c r="GN325" s="243"/>
      <c r="GO325" s="243"/>
      <c r="GP325" s="243"/>
      <c r="GQ325" s="243"/>
      <c r="GR325" s="243"/>
      <c r="GS325" s="243"/>
      <c r="GT325" s="243"/>
      <c r="GU325" s="243"/>
      <c r="GV325" s="243"/>
      <c r="GW325" s="243"/>
      <c r="GX325" s="243"/>
      <c r="GY325" s="243"/>
      <c r="GZ325" s="243"/>
      <c r="HA325" s="243"/>
      <c r="HB325" s="243"/>
      <c r="HC325" s="243"/>
      <c r="HD325" s="243"/>
      <c r="HE325" s="243"/>
      <c r="HF325" s="243"/>
      <c r="HG325" s="243"/>
      <c r="HH325" s="243"/>
      <c r="HI325" s="243"/>
      <c r="HJ325" s="243"/>
      <c r="HK325" s="243"/>
      <c r="HL325" s="243"/>
      <c r="HM325" s="243"/>
      <c r="HN325" s="243"/>
      <c r="HO325" s="243"/>
      <c r="HP325" s="243"/>
      <c r="HQ325" s="243"/>
      <c r="HR325" s="243"/>
      <c r="HS325" s="243"/>
      <c r="HT325" s="243"/>
      <c r="HU325" s="243"/>
      <c r="HV325" s="243"/>
      <c r="HW325" s="243"/>
      <c r="HX325" s="243"/>
      <c r="HY325" s="243"/>
      <c r="HZ325" s="243"/>
      <c r="IA325" s="243"/>
      <c r="IB325" s="243"/>
      <c r="IC325" s="243"/>
      <c r="ID325" s="243"/>
      <c r="IE325" s="243"/>
      <c r="IF325" s="243"/>
      <c r="IG325" s="243"/>
      <c r="IH325" s="243"/>
      <c r="II325" s="243"/>
      <c r="IJ325" s="243"/>
      <c r="IK325" s="243"/>
      <c r="IL325" s="243"/>
      <c r="IM325" s="243"/>
      <c r="IN325" s="243"/>
      <c r="IO325" s="243"/>
      <c r="IP325" s="243"/>
      <c r="IQ325" s="243"/>
      <c r="IR325" s="243"/>
      <c r="IS325" s="243"/>
      <c r="IT325" s="243"/>
      <c r="IU325" s="243"/>
      <c r="IV325" s="243"/>
      <c r="IW325" s="243"/>
      <c r="IX325" s="243"/>
      <c r="IY325" s="243"/>
      <c r="IZ325" s="243"/>
      <c r="JA325" s="243"/>
      <c r="JB325" s="243"/>
      <c r="JC325" s="243"/>
      <c r="JD325" s="243"/>
      <c r="JE325" s="243"/>
      <c r="JF325" s="243"/>
      <c r="JG325" s="243"/>
      <c r="JH325" s="243"/>
      <c r="JI325" s="243"/>
      <c r="JJ325" s="243"/>
      <c r="JK325" s="243"/>
      <c r="JL325" s="243"/>
      <c r="JM325" s="243"/>
      <c r="JN325" s="243"/>
      <c r="JO325" s="243"/>
      <c r="JP325" s="243"/>
      <c r="JQ325" s="243"/>
      <c r="JR325" s="243"/>
      <c r="JS325" s="243"/>
      <c r="JT325" s="243"/>
      <c r="JU325" s="243"/>
      <c r="JV325" s="243"/>
      <c r="JW325" s="243"/>
      <c r="JX325" s="243"/>
      <c r="JY325" s="243"/>
      <c r="JZ325" s="243"/>
      <c r="KA325" s="243"/>
      <c r="KB325" s="243"/>
      <c r="KC325" s="243"/>
      <c r="KD325" s="243"/>
      <c r="KE325" s="243"/>
      <c r="KF325" s="243"/>
      <c r="KG325" s="243"/>
      <c r="KH325" s="243"/>
      <c r="KI325" s="243"/>
      <c r="KJ325" s="243"/>
      <c r="KK325" s="243"/>
      <c r="KL325" s="243"/>
      <c r="KM325" s="243"/>
      <c r="KN325" s="243"/>
      <c r="KO325" s="243"/>
      <c r="KP325" s="243"/>
      <c r="KQ325" s="243"/>
      <c r="KR325" s="243"/>
      <c r="KS325" s="243"/>
      <c r="KT325" s="243"/>
      <c r="KU325" s="243"/>
      <c r="KV325" s="243"/>
      <c r="KW325" s="243"/>
      <c r="KX325" s="243"/>
      <c r="KY325" s="243"/>
      <c r="KZ325" s="243"/>
      <c r="LA325" s="243"/>
      <c r="LB325" s="243"/>
      <c r="LC325" s="243"/>
      <c r="LD325" s="243"/>
      <c r="LE325" s="243"/>
      <c r="LF325" s="243"/>
      <c r="LG325" s="243"/>
      <c r="LH325" s="243"/>
      <c r="LI325" s="243"/>
      <c r="LJ325" s="243"/>
      <c r="LK325" s="243"/>
      <c r="LL325" s="243"/>
      <c r="LM325" s="243"/>
      <c r="LN325" s="243"/>
      <c r="LO325" s="243"/>
      <c r="LP325" s="243"/>
      <c r="LQ325" s="243"/>
      <c r="LR325" s="243"/>
      <c r="LS325" s="243"/>
      <c r="LT325" s="243"/>
      <c r="LU325" s="243"/>
      <c r="LV325" s="243"/>
      <c r="LW325" s="243"/>
      <c r="LX325" s="243"/>
      <c r="LY325" s="243"/>
      <c r="LZ325" s="243"/>
      <c r="MA325" s="243"/>
      <c r="MB325" s="243"/>
      <c r="MC325" s="243"/>
      <c r="MD325" s="243"/>
      <c r="ME325" s="243"/>
      <c r="MF325" s="243"/>
      <c r="MG325" s="243"/>
      <c r="MH325" s="243"/>
      <c r="MI325" s="243"/>
      <c r="MJ325" s="243"/>
      <c r="MK325" s="243"/>
      <c r="ML325" s="243"/>
      <c r="MM325" s="243"/>
      <c r="MN325" s="243"/>
      <c r="MO325" s="243"/>
      <c r="MP325" s="243"/>
      <c r="MQ325" s="243"/>
      <c r="MR325" s="243"/>
      <c r="MS325" s="243"/>
      <c r="MT325" s="243"/>
      <c r="MU325" s="243"/>
      <c r="MV325" s="243"/>
      <c r="MW325" s="243"/>
      <c r="MX325" s="243"/>
      <c r="MY325" s="243"/>
      <c r="MZ325" s="243"/>
      <c r="NA325" s="243"/>
      <c r="NB325" s="243"/>
      <c r="NC325" s="243"/>
      <c r="ND325" s="243"/>
      <c r="NE325" s="243"/>
      <c r="NF325" s="243"/>
      <c r="NG325" s="243"/>
      <c r="NH325" s="243"/>
      <c r="NI325" s="243"/>
      <c r="NJ325" s="243"/>
      <c r="NK325" s="243"/>
      <c r="NL325" s="243"/>
      <c r="NM325" s="243"/>
      <c r="NN325" s="243"/>
      <c r="NO325" s="243"/>
      <c r="NP325" s="243"/>
      <c r="NQ325" s="243"/>
      <c r="NR325" s="243"/>
      <c r="NS325" s="243"/>
      <c r="NT325" s="243"/>
      <c r="NU325" s="243"/>
      <c r="NV325" s="243"/>
      <c r="NW325" s="243"/>
      <c r="NX325" s="243"/>
      <c r="NY325" s="243"/>
      <c r="NZ325" s="243"/>
      <c r="OA325" s="243"/>
      <c r="OB325" s="243"/>
      <c r="OC325" s="243"/>
      <c r="OD325" s="243"/>
      <c r="OE325" s="243"/>
      <c r="OF325" s="243"/>
      <c r="OG325" s="243"/>
      <c r="OH325" s="243"/>
      <c r="OI325" s="243"/>
      <c r="OJ325" s="243"/>
      <c r="OK325" s="243"/>
      <c r="OL325" s="243"/>
      <c r="OM325" s="243"/>
      <c r="ON325" s="243"/>
      <c r="OO325" s="243"/>
      <c r="OP325" s="243"/>
      <c r="OQ325" s="243"/>
      <c r="OR325" s="243"/>
      <c r="OS325" s="243"/>
      <c r="OT325" s="243"/>
      <c r="OU325" s="243"/>
      <c r="OV325" s="243"/>
      <c r="OW325" s="243"/>
      <c r="OX325" s="243"/>
      <c r="OY325" s="243"/>
      <c r="OZ325" s="243"/>
      <c r="PA325" s="243"/>
      <c r="PB325" s="243"/>
      <c r="PC325" s="243"/>
      <c r="PD325" s="243"/>
      <c r="PE325" s="243"/>
      <c r="PF325" s="243"/>
      <c r="PG325" s="243"/>
      <c r="PH325" s="243"/>
      <c r="PI325" s="243"/>
      <c r="PJ325" s="243"/>
      <c r="PK325" s="243"/>
      <c r="PL325" s="243"/>
      <c r="PM325" s="243"/>
      <c r="PN325" s="243"/>
      <c r="PO325" s="243"/>
      <c r="PP325" s="243"/>
      <c r="PQ325" s="243"/>
      <c r="PR325" s="243"/>
      <c r="PS325" s="243"/>
      <c r="PT325" s="243"/>
      <c r="PU325" s="243"/>
      <c r="PV325" s="243"/>
      <c r="PW325" s="243"/>
      <c r="PX325" s="243"/>
      <c r="PY325" s="243"/>
      <c r="PZ325" s="243"/>
      <c r="QA325" s="243"/>
      <c r="QB325" s="243"/>
      <c r="QC325" s="243"/>
      <c r="QD325" s="243"/>
      <c r="QE325" s="243"/>
      <c r="QF325" s="243"/>
      <c r="QG325" s="243"/>
      <c r="QH325" s="243"/>
      <c r="QI325" s="243"/>
      <c r="QJ325" s="243"/>
      <c r="QK325" s="243"/>
      <c r="QL325" s="243"/>
      <c r="QM325" s="243"/>
      <c r="QN325" s="243"/>
      <c r="QO325" s="243"/>
      <c r="QP325" s="243"/>
      <c r="QQ325" s="243"/>
      <c r="QR325" s="243"/>
      <c r="QS325" s="243"/>
      <c r="QT325" s="243"/>
      <c r="QU325" s="243"/>
      <c r="QV325" s="243"/>
      <c r="QW325" s="243"/>
      <c r="QX325" s="243"/>
      <c r="QY325" s="243"/>
      <c r="QZ325" s="243"/>
      <c r="RA325" s="243"/>
      <c r="RB325" s="243"/>
      <c r="RC325" s="243"/>
      <c r="RD325" s="243"/>
      <c r="RE325" s="243"/>
      <c r="RF325" s="243"/>
      <c r="RG325" s="243"/>
      <c r="RH325" s="243"/>
      <c r="RI325" s="243"/>
      <c r="RJ325" s="243"/>
      <c r="RK325" s="243"/>
      <c r="RL325" s="243"/>
      <c r="RM325" s="243"/>
      <c r="RN325" s="243"/>
      <c r="RO325" s="243"/>
      <c r="RP325" s="243"/>
      <c r="RQ325" s="243"/>
      <c r="RR325" s="243"/>
      <c r="RS325" s="243"/>
      <c r="RT325" s="243"/>
      <c r="RU325" s="243"/>
      <c r="RV325" s="243"/>
      <c r="RW325" s="243"/>
      <c r="RX325" s="243"/>
      <c r="RY325" s="243"/>
      <c r="RZ325" s="243"/>
      <c r="SA325" s="243"/>
      <c r="SB325" s="243"/>
      <c r="SC325" s="243"/>
      <c r="SD325" s="243"/>
      <c r="SE325" s="243"/>
      <c r="SF325" s="243"/>
      <c r="SG325" s="243"/>
      <c r="SH325" s="243"/>
      <c r="SI325" s="243"/>
      <c r="SJ325" s="243"/>
      <c r="SK325" s="243"/>
      <c r="SL325" s="243"/>
      <c r="SM325" s="243"/>
      <c r="SN325" s="243"/>
      <c r="SO325" s="243"/>
      <c r="SP325" s="243"/>
      <c r="SQ325" s="243"/>
      <c r="SR325" s="243"/>
      <c r="SS325" s="243"/>
      <c r="ST325" s="243"/>
      <c r="SU325" s="243"/>
      <c r="SV325" s="243"/>
      <c r="SW325" s="243"/>
      <c r="SX325" s="243"/>
      <c r="SY325" s="243"/>
      <c r="SZ325" s="243"/>
      <c r="TA325" s="243"/>
      <c r="TB325" s="243"/>
      <c r="TC325" s="243"/>
      <c r="TD325" s="243"/>
      <c r="TE325" s="243"/>
      <c r="TF325" s="243"/>
      <c r="TG325" s="243"/>
      <c r="TH325" s="243"/>
      <c r="TI325" s="243"/>
      <c r="TJ325" s="243"/>
      <c r="TK325" s="243"/>
      <c r="TL325" s="243"/>
      <c r="TM325" s="243"/>
      <c r="TN325" s="243"/>
      <c r="TO325" s="243"/>
      <c r="TP325" s="243"/>
      <c r="TQ325" s="243"/>
      <c r="TR325" s="243"/>
      <c r="TS325" s="243"/>
      <c r="TT325" s="243"/>
      <c r="TU325" s="243"/>
      <c r="TV325" s="243"/>
      <c r="TW325" s="243"/>
      <c r="TX325" s="243"/>
      <c r="TY325" s="243"/>
      <c r="TZ325" s="243"/>
      <c r="UA325" s="243"/>
      <c r="UB325" s="243"/>
      <c r="UC325" s="243"/>
      <c r="UD325" s="243"/>
      <c r="UE325" s="243"/>
      <c r="UF325" s="243"/>
      <c r="UG325" s="243"/>
      <c r="UH325" s="243"/>
      <c r="UI325" s="243"/>
      <c r="UJ325" s="243"/>
      <c r="UK325" s="243"/>
      <c r="UL325" s="243"/>
      <c r="UM325" s="243"/>
      <c r="UN325" s="243"/>
      <c r="UO325" s="243"/>
      <c r="UP325" s="243"/>
      <c r="UQ325" s="243"/>
      <c r="UR325" s="243"/>
      <c r="US325" s="243"/>
      <c r="UT325" s="243"/>
      <c r="UU325" s="243"/>
      <c r="UV325" s="243"/>
      <c r="UW325" s="243"/>
      <c r="UX325" s="243"/>
      <c r="UY325" s="243"/>
      <c r="UZ325" s="243"/>
      <c r="VA325" s="243"/>
      <c r="VB325" s="243"/>
      <c r="VC325" s="243"/>
      <c r="VD325" s="243"/>
      <c r="VE325" s="243"/>
      <c r="VF325" s="243"/>
      <c r="VG325" s="243"/>
      <c r="VH325" s="243"/>
      <c r="VI325" s="243"/>
      <c r="VJ325" s="243"/>
      <c r="VK325" s="243"/>
      <c r="VL325" s="243"/>
      <c r="VM325" s="243"/>
      <c r="VN325" s="243"/>
      <c r="VO325" s="243"/>
      <c r="VP325" s="243"/>
      <c r="VQ325" s="243"/>
      <c r="VR325" s="243"/>
      <c r="VS325" s="243"/>
      <c r="VT325" s="243"/>
      <c r="VU325" s="243"/>
      <c r="VV325" s="243"/>
      <c r="VW325" s="243"/>
      <c r="VX325" s="243"/>
      <c r="VY325" s="243"/>
      <c r="VZ325" s="243"/>
      <c r="WA325" s="243"/>
      <c r="WB325" s="243"/>
      <c r="WC325" s="243"/>
      <c r="WD325" s="243"/>
      <c r="WE325" s="243"/>
      <c r="WF325" s="243"/>
      <c r="WG325" s="243"/>
      <c r="WH325" s="243"/>
      <c r="WI325" s="243"/>
      <c r="WJ325" s="243"/>
      <c r="WK325" s="243"/>
      <c r="WL325" s="243"/>
      <c r="WM325" s="243"/>
      <c r="WN325" s="243"/>
      <c r="WO325" s="243"/>
      <c r="WP325" s="243"/>
      <c r="WQ325" s="243"/>
      <c r="WR325" s="243"/>
      <c r="WS325" s="243"/>
      <c r="WT325" s="243"/>
      <c r="WU325" s="243"/>
      <c r="WV325" s="243"/>
      <c r="WW325" s="243"/>
      <c r="WX325" s="243"/>
      <c r="WY325" s="243"/>
      <c r="WZ325" s="243"/>
      <c r="XA325" s="243"/>
      <c r="XB325" s="243"/>
      <c r="XC325" s="243"/>
      <c r="XD325" s="243"/>
      <c r="XE325" s="243"/>
      <c r="XF325" s="243"/>
      <c r="XG325" s="243"/>
      <c r="XH325" s="243"/>
      <c r="XI325" s="243"/>
      <c r="XJ325" s="243"/>
      <c r="XK325" s="243"/>
      <c r="XL325" s="243"/>
      <c r="XM325" s="243"/>
      <c r="XN325" s="243"/>
      <c r="XO325" s="243"/>
      <c r="XP325" s="243"/>
      <c r="XQ325" s="243"/>
      <c r="XR325" s="243"/>
      <c r="XS325" s="243"/>
      <c r="XT325" s="243"/>
      <c r="XU325" s="243"/>
      <c r="XV325" s="243"/>
      <c r="XW325" s="243"/>
      <c r="XX325" s="243"/>
      <c r="XY325" s="243"/>
      <c r="XZ325" s="243"/>
      <c r="YA325" s="243"/>
      <c r="YB325" s="243"/>
      <c r="YC325" s="243"/>
      <c r="YD325" s="243"/>
      <c r="YE325" s="243"/>
      <c r="YF325" s="243"/>
      <c r="YG325" s="243"/>
      <c r="YH325" s="243"/>
      <c r="YI325" s="243"/>
      <c r="YJ325" s="243"/>
      <c r="YK325" s="243"/>
      <c r="YL325" s="243"/>
      <c r="YM325" s="243"/>
      <c r="YN325" s="243"/>
      <c r="YO325" s="243"/>
      <c r="YP325" s="243"/>
      <c r="YQ325" s="243"/>
      <c r="YR325" s="243"/>
      <c r="YS325" s="243"/>
      <c r="YT325" s="243"/>
      <c r="YU325" s="243"/>
      <c r="YV325" s="243"/>
      <c r="YW325" s="243"/>
      <c r="YX325" s="243"/>
      <c r="YY325" s="243"/>
      <c r="YZ325" s="243"/>
      <c r="ZA325" s="243"/>
      <c r="ZB325" s="243"/>
      <c r="ZC325" s="243"/>
      <c r="ZD325" s="243"/>
      <c r="ZE325" s="243"/>
      <c r="ZF325" s="243"/>
      <c r="ZG325" s="243"/>
      <c r="ZH325" s="243"/>
      <c r="ZI325" s="243"/>
      <c r="ZJ325" s="243"/>
      <c r="ZK325" s="243"/>
      <c r="ZL325" s="243"/>
      <c r="ZM325" s="243"/>
      <c r="ZN325" s="243"/>
      <c r="ZO325" s="243"/>
      <c r="ZP325" s="243"/>
      <c r="ZQ325" s="243"/>
      <c r="ZR325" s="243"/>
      <c r="ZS325" s="243"/>
      <c r="ZT325" s="243"/>
      <c r="ZU325" s="243"/>
      <c r="ZV325" s="243"/>
      <c r="ZW325" s="243"/>
      <c r="ZX325" s="243"/>
      <c r="ZY325" s="243"/>
      <c r="ZZ325" s="243"/>
      <c r="AAA325" s="243"/>
      <c r="AAB325" s="243"/>
      <c r="AAC325" s="243"/>
      <c r="AAD325" s="243"/>
      <c r="AAE325" s="243"/>
      <c r="AAF325" s="243"/>
      <c r="AAG325" s="243"/>
      <c r="AAH325" s="243"/>
      <c r="AAI325" s="243"/>
      <c r="AAJ325" s="243"/>
      <c r="AAK325" s="243"/>
      <c r="AAL325" s="243"/>
      <c r="AAM325" s="243"/>
      <c r="AAN325" s="243"/>
      <c r="AAO325" s="243"/>
      <c r="AAP325" s="243"/>
      <c r="AAQ325" s="243"/>
      <c r="AAR325" s="243"/>
      <c r="AAS325" s="243"/>
      <c r="AAT325" s="243"/>
      <c r="AAU325" s="243"/>
      <c r="AAV325" s="243"/>
      <c r="AAW325" s="243"/>
      <c r="AAX325" s="243"/>
      <c r="AAY325" s="243"/>
      <c r="AAZ325" s="243"/>
      <c r="ABA325" s="243"/>
      <c r="ABB325" s="243"/>
      <c r="ABC325" s="243"/>
      <c r="ABD325" s="243"/>
      <c r="ABE325" s="243"/>
      <c r="ABF325" s="243"/>
      <c r="ABG325" s="243"/>
      <c r="ABH325" s="243"/>
      <c r="ABI325" s="243"/>
      <c r="ABJ325" s="243"/>
      <c r="ABK325" s="243"/>
      <c r="ABL325" s="243"/>
      <c r="ABM325" s="243"/>
      <c r="ABN325" s="243"/>
      <c r="ABO325" s="243"/>
      <c r="ABP325" s="243"/>
      <c r="ABQ325" s="243"/>
      <c r="ABR325" s="243"/>
      <c r="ABS325" s="243"/>
      <c r="ABT325" s="243"/>
      <c r="ABU325" s="243"/>
      <c r="ABV325" s="243"/>
      <c r="ABW325" s="243"/>
      <c r="ABX325" s="243"/>
      <c r="ABY325" s="243"/>
      <c r="ABZ325" s="243"/>
      <c r="ACA325" s="243"/>
      <c r="ACB325" s="243"/>
      <c r="ACC325" s="243"/>
      <c r="ACD325" s="243"/>
      <c r="ACE325" s="243"/>
      <c r="ACF325" s="243"/>
      <c r="ACG325" s="243"/>
      <c r="ACH325" s="243"/>
      <c r="ACI325" s="243"/>
      <c r="ACJ325" s="243"/>
      <c r="ACK325" s="243"/>
      <c r="ACL325" s="243"/>
      <c r="ACM325" s="243"/>
      <c r="ACN325" s="243"/>
      <c r="ACO325" s="243"/>
      <c r="ACP325" s="243"/>
      <c r="ACQ325" s="243"/>
      <c r="ACR325" s="243"/>
      <c r="ACS325" s="243"/>
      <c r="ACT325" s="243"/>
      <c r="ACU325" s="243"/>
      <c r="ACV325" s="243"/>
      <c r="ACW325" s="243"/>
      <c r="ACX325" s="243"/>
      <c r="ACY325" s="243"/>
      <c r="ACZ325" s="243"/>
      <c r="ADA325" s="243"/>
      <c r="ADB325" s="243"/>
      <c r="ADC325" s="243"/>
      <c r="ADD325" s="243"/>
      <c r="ADE325" s="243"/>
      <c r="ADF325" s="243"/>
      <c r="ADG325" s="243"/>
      <c r="ADH325" s="243"/>
      <c r="ADI325" s="243"/>
      <c r="ADJ325" s="243"/>
      <c r="ADK325" s="243"/>
      <c r="ADL325" s="243"/>
      <c r="ADM325" s="243"/>
      <c r="ADN325" s="243"/>
      <c r="ADO325" s="243"/>
      <c r="ADP325" s="243"/>
      <c r="ADQ325" s="243"/>
      <c r="ADR325" s="243"/>
      <c r="ADS325" s="243"/>
      <c r="ADT325" s="243"/>
      <c r="ADU325" s="243"/>
      <c r="ADV325" s="243"/>
      <c r="ADW325" s="243"/>
      <c r="ADX325" s="243"/>
      <c r="ADY325" s="243"/>
      <c r="ADZ325" s="243"/>
      <c r="AEA325" s="243"/>
      <c r="AEB325" s="243"/>
      <c r="AEC325" s="243"/>
      <c r="AED325" s="243"/>
      <c r="AEE325" s="243"/>
      <c r="AEF325" s="243"/>
      <c r="AEG325" s="243"/>
      <c r="AEH325" s="243"/>
      <c r="AEI325" s="243"/>
      <c r="AEJ325" s="243"/>
      <c r="AEK325" s="243"/>
      <c r="AEL325" s="243"/>
      <c r="AEM325" s="243"/>
      <c r="AEN325" s="243"/>
      <c r="AEO325" s="243"/>
      <c r="AEP325" s="243"/>
      <c r="AEQ325" s="243"/>
      <c r="AER325" s="243"/>
      <c r="AES325" s="243"/>
      <c r="AET325" s="243"/>
      <c r="AEU325" s="243"/>
      <c r="AEV325" s="243"/>
      <c r="AEW325" s="243"/>
      <c r="AEX325" s="243"/>
      <c r="AEY325" s="243"/>
      <c r="AEZ325" s="243"/>
      <c r="AFA325" s="243"/>
      <c r="AFB325" s="243"/>
      <c r="AFC325" s="243"/>
      <c r="AFD325" s="243"/>
      <c r="AFE325" s="243"/>
      <c r="AFF325" s="243"/>
      <c r="AFG325" s="243"/>
      <c r="AFH325" s="243"/>
      <c r="AFI325" s="243"/>
      <c r="AFJ325" s="243"/>
      <c r="AFK325" s="243"/>
      <c r="AFL325" s="243"/>
      <c r="AFM325" s="243"/>
      <c r="AFN325" s="243"/>
      <c r="AFO325" s="243"/>
      <c r="AFP325" s="243"/>
      <c r="AFQ325" s="243"/>
      <c r="AFR325" s="243"/>
      <c r="AFS325" s="243"/>
      <c r="AFT325" s="243"/>
      <c r="AFU325" s="243"/>
      <c r="AFV325" s="243"/>
      <c r="AFW325" s="243"/>
      <c r="AFX325" s="243"/>
      <c r="AFY325" s="243"/>
      <c r="AFZ325" s="243"/>
      <c r="AGA325" s="243"/>
      <c r="AGB325" s="243"/>
      <c r="AGC325" s="243"/>
      <c r="AGD325" s="243"/>
      <c r="AGE325" s="243"/>
      <c r="AGF325" s="243"/>
      <c r="AGG325" s="243"/>
      <c r="AGH325" s="243"/>
      <c r="AGI325" s="243"/>
      <c r="AGJ325" s="243"/>
      <c r="AGK325" s="243"/>
      <c r="AGL325" s="243"/>
      <c r="AGM325" s="243"/>
      <c r="AGN325" s="243"/>
      <c r="AGO325" s="243"/>
      <c r="AGP325" s="243"/>
      <c r="AGQ325" s="243"/>
      <c r="AGR325" s="243"/>
      <c r="AGS325" s="243"/>
      <c r="AGT325" s="243"/>
      <c r="AGU325" s="243"/>
      <c r="AGV325" s="243"/>
      <c r="AGW325" s="243"/>
      <c r="AGX325" s="243"/>
      <c r="AGY325" s="243"/>
      <c r="AGZ325" s="243"/>
      <c r="AHA325" s="243"/>
      <c r="AHB325" s="243"/>
      <c r="AHC325" s="243"/>
      <c r="AHD325" s="243"/>
      <c r="AHE325" s="243"/>
      <c r="AHF325" s="243"/>
      <c r="AHG325" s="243"/>
      <c r="AHH325" s="243"/>
      <c r="AHI325" s="243"/>
      <c r="AHJ325" s="243"/>
      <c r="AHK325" s="243"/>
      <c r="AHL325" s="243"/>
      <c r="AHM325" s="243"/>
      <c r="AHN325" s="243"/>
      <c r="AHO325" s="243"/>
      <c r="AHP325" s="243"/>
      <c r="AHQ325" s="243"/>
      <c r="AHR325" s="243"/>
      <c r="AHS325" s="243"/>
      <c r="AHT325" s="243"/>
      <c r="AHU325" s="243"/>
      <c r="AHV325" s="243"/>
      <c r="AHW325" s="243"/>
      <c r="AHX325" s="243"/>
      <c r="AHY325" s="243"/>
      <c r="AHZ325" s="243"/>
      <c r="AIA325" s="243"/>
      <c r="AIB325" s="243"/>
      <c r="AIC325" s="243"/>
      <c r="AID325" s="243"/>
      <c r="AIE325" s="243"/>
      <c r="AIF325" s="243"/>
      <c r="AIG325" s="243"/>
      <c r="AIH325" s="243"/>
      <c r="AII325" s="243"/>
      <c r="AIJ325" s="243"/>
      <c r="AIK325" s="243"/>
      <c r="AIL325" s="243"/>
      <c r="AIM325" s="243"/>
      <c r="AIN325" s="243"/>
      <c r="AIO325" s="243"/>
      <c r="AIP325" s="243"/>
      <c r="AIQ325" s="243"/>
      <c r="AIR325" s="243"/>
      <c r="AIS325" s="243"/>
      <c r="AIT325" s="243"/>
      <c r="AIU325" s="243"/>
      <c r="AIV325" s="243"/>
      <c r="AIW325" s="243"/>
      <c r="AIX325" s="243"/>
      <c r="AIY325" s="243"/>
      <c r="AIZ325" s="243"/>
      <c r="AJA325" s="243"/>
      <c r="AJB325" s="243"/>
      <c r="AJC325" s="243"/>
      <c r="AJD325" s="243"/>
      <c r="AJE325" s="243"/>
      <c r="AJF325" s="243"/>
      <c r="AJG325" s="243"/>
      <c r="AJH325" s="243"/>
      <c r="AJI325" s="243"/>
      <c r="AJJ325" s="243"/>
      <c r="AJK325" s="243"/>
      <c r="AJL325" s="243"/>
      <c r="AJM325" s="243"/>
      <c r="AJN325" s="243"/>
      <c r="AJO325" s="243"/>
      <c r="AJP325" s="243"/>
      <c r="AJQ325" s="243"/>
      <c r="AJR325" s="243"/>
      <c r="AJS325" s="243"/>
      <c r="AJT325" s="243"/>
      <c r="AJU325" s="243"/>
      <c r="AJV325" s="243"/>
      <c r="AJW325" s="243"/>
      <c r="AJX325" s="243"/>
      <c r="AJY325" s="243"/>
      <c r="AJZ325" s="243"/>
      <c r="AKA325" s="243"/>
      <c r="AKB325" s="243"/>
      <c r="AKC325" s="243"/>
      <c r="AKD325" s="243"/>
      <c r="AKE325" s="243"/>
      <c r="AKF325" s="243"/>
      <c r="AKG325" s="243"/>
      <c r="AKH325" s="243"/>
      <c r="AKI325" s="243"/>
      <c r="AKJ325" s="243"/>
      <c r="AKK325" s="243"/>
      <c r="AKL325" s="243"/>
      <c r="AKM325" s="243"/>
      <c r="AKN325" s="243"/>
      <c r="AKO325" s="243"/>
      <c r="AKP325" s="243"/>
      <c r="AKQ325" s="243"/>
      <c r="AKR325" s="243"/>
      <c r="AKS325" s="243"/>
      <c r="AKT325" s="243"/>
      <c r="AKU325" s="243"/>
      <c r="AKV325" s="243"/>
      <c r="AKW325" s="243"/>
      <c r="AKX325" s="243"/>
      <c r="AKY325" s="243"/>
      <c r="AKZ325" s="243"/>
      <c r="ALA325" s="243"/>
      <c r="ALB325" s="243"/>
      <c r="ALC325" s="243"/>
      <c r="ALD325" s="243"/>
      <c r="ALE325" s="243"/>
      <c r="ALF325" s="243"/>
      <c r="ALG325" s="243"/>
      <c r="ALH325" s="243"/>
      <c r="ALI325" s="243"/>
      <c r="ALJ325" s="243"/>
      <c r="ALK325" s="243"/>
      <c r="ALL325" s="243"/>
      <c r="ALM325" s="243"/>
      <c r="ALN325" s="243"/>
      <c r="ALO325" s="243"/>
      <c r="ALP325" s="243"/>
      <c r="ALQ325" s="243"/>
      <c r="ALR325" s="243"/>
      <c r="ALS325" s="243"/>
      <c r="ALT325" s="243"/>
      <c r="ALU325" s="243"/>
      <c r="ALV325" s="243"/>
      <c r="ALW325" s="243"/>
      <c r="ALX325" s="243"/>
      <c r="ALY325" s="243"/>
      <c r="ALZ325" s="243"/>
      <c r="AMA325" s="243"/>
      <c r="AMB325" s="243"/>
      <c r="AMC325" s="243"/>
      <c r="AMD325" s="243"/>
      <c r="AME325" s="243"/>
      <c r="AMF325" s="243"/>
      <c r="AMG325" s="243"/>
      <c r="AMH325" s="243"/>
      <c r="AMI325" s="244"/>
      <c r="AMJ325" s="244"/>
    </row>
    <row r="326" spans="1:1024" ht="43.5">
      <c r="A326" s="1043" t="s">
        <v>170</v>
      </c>
      <c r="B326" s="1043" t="s">
        <v>171</v>
      </c>
      <c r="C326" s="1043" t="s">
        <v>172</v>
      </c>
      <c r="D326" s="1043" t="s">
        <v>173</v>
      </c>
      <c r="E326" s="392"/>
      <c r="F326" s="390"/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243"/>
      <c r="S326" s="243"/>
      <c r="T326" s="243"/>
      <c r="U326" s="243"/>
      <c r="V326" s="243"/>
      <c r="W326" s="243"/>
      <c r="X326" s="243"/>
      <c r="Y326" s="243"/>
      <c r="Z326" s="243"/>
      <c r="AA326" s="243"/>
      <c r="AB326" s="243"/>
      <c r="AC326" s="243"/>
      <c r="AD326" s="243"/>
      <c r="AE326" s="243"/>
      <c r="AF326" s="243"/>
      <c r="AG326" s="243"/>
      <c r="AH326" s="243"/>
      <c r="AI326" s="243"/>
      <c r="AJ326" s="243"/>
      <c r="AK326" s="243"/>
      <c r="AL326" s="243"/>
      <c r="AM326" s="243"/>
      <c r="AN326" s="243"/>
      <c r="AO326" s="243"/>
      <c r="AP326" s="243"/>
      <c r="AQ326" s="243"/>
      <c r="AR326" s="243"/>
      <c r="AS326" s="243"/>
      <c r="AT326" s="243"/>
      <c r="AU326" s="243"/>
      <c r="AV326" s="243"/>
      <c r="AW326" s="243"/>
      <c r="AX326" s="243"/>
      <c r="AY326" s="243"/>
      <c r="AZ326" s="243"/>
      <c r="BA326" s="243"/>
      <c r="BB326" s="243"/>
      <c r="BC326" s="243"/>
      <c r="BD326" s="243"/>
      <c r="BE326" s="243"/>
      <c r="BF326" s="243"/>
      <c r="BG326" s="243"/>
      <c r="BH326" s="243"/>
      <c r="BI326" s="243"/>
      <c r="BJ326" s="243"/>
      <c r="BK326" s="243"/>
      <c r="BL326" s="243"/>
      <c r="BM326" s="243"/>
      <c r="BN326" s="243"/>
      <c r="BO326" s="243"/>
      <c r="BP326" s="243"/>
      <c r="BQ326" s="243"/>
      <c r="BR326" s="243"/>
      <c r="BS326" s="243"/>
      <c r="BT326" s="243"/>
      <c r="BU326" s="243"/>
      <c r="BV326" s="243"/>
      <c r="BW326" s="243"/>
      <c r="BX326" s="243"/>
      <c r="BY326" s="243"/>
      <c r="BZ326" s="243"/>
      <c r="CA326" s="243"/>
      <c r="CB326" s="243"/>
      <c r="CC326" s="243"/>
      <c r="CD326" s="243"/>
      <c r="CE326" s="243"/>
      <c r="CF326" s="243"/>
      <c r="CG326" s="243"/>
      <c r="CH326" s="243"/>
      <c r="CI326" s="243"/>
      <c r="CJ326" s="243"/>
      <c r="CK326" s="243"/>
      <c r="CL326" s="243"/>
      <c r="CM326" s="243"/>
      <c r="CN326" s="243"/>
      <c r="CO326" s="243"/>
      <c r="CP326" s="243"/>
      <c r="CQ326" s="243"/>
      <c r="CR326" s="243"/>
      <c r="CS326" s="243"/>
      <c r="CT326" s="243"/>
      <c r="CU326" s="243"/>
      <c r="CV326" s="243"/>
      <c r="CW326" s="243"/>
      <c r="CX326" s="243"/>
      <c r="CY326" s="243"/>
      <c r="CZ326" s="243"/>
      <c r="DA326" s="243"/>
      <c r="DB326" s="243"/>
      <c r="DC326" s="243"/>
      <c r="DD326" s="243"/>
      <c r="DE326" s="243"/>
      <c r="DF326" s="243"/>
      <c r="DG326" s="243"/>
      <c r="DH326" s="243"/>
      <c r="DI326" s="243"/>
      <c r="DJ326" s="243"/>
      <c r="DK326" s="243"/>
      <c r="DL326" s="243"/>
      <c r="DM326" s="243"/>
      <c r="DN326" s="243"/>
      <c r="DO326" s="243"/>
      <c r="DP326" s="243"/>
      <c r="DQ326" s="243"/>
      <c r="DR326" s="243"/>
      <c r="DS326" s="243"/>
      <c r="DT326" s="243"/>
      <c r="DU326" s="243"/>
      <c r="DV326" s="243"/>
      <c r="DW326" s="243"/>
      <c r="DX326" s="243"/>
      <c r="DY326" s="243"/>
      <c r="DZ326" s="243"/>
      <c r="EA326" s="243"/>
      <c r="EB326" s="243"/>
      <c r="EC326" s="243"/>
      <c r="ED326" s="243"/>
      <c r="EE326" s="243"/>
      <c r="EF326" s="243"/>
      <c r="EG326" s="243"/>
      <c r="EH326" s="243"/>
      <c r="EI326" s="243"/>
      <c r="EJ326" s="243"/>
      <c r="EK326" s="243"/>
      <c r="EL326" s="243"/>
      <c r="EM326" s="243"/>
      <c r="EN326" s="243"/>
      <c r="EO326" s="243"/>
      <c r="EP326" s="243"/>
      <c r="EQ326" s="243"/>
      <c r="ER326" s="243"/>
      <c r="ES326" s="243"/>
      <c r="ET326" s="243"/>
      <c r="EU326" s="243"/>
      <c r="EV326" s="243"/>
      <c r="EW326" s="243"/>
      <c r="EX326" s="243"/>
      <c r="EY326" s="243"/>
      <c r="EZ326" s="243"/>
      <c r="FA326" s="243"/>
      <c r="FB326" s="243"/>
      <c r="FC326" s="243"/>
      <c r="FD326" s="243"/>
      <c r="FE326" s="243"/>
      <c r="FF326" s="243"/>
      <c r="FG326" s="243"/>
      <c r="FH326" s="243"/>
      <c r="FI326" s="243"/>
      <c r="FJ326" s="243"/>
      <c r="FK326" s="243"/>
      <c r="FL326" s="243"/>
      <c r="FM326" s="243"/>
      <c r="FN326" s="243"/>
      <c r="FO326" s="243"/>
      <c r="FP326" s="243"/>
      <c r="FQ326" s="243"/>
      <c r="FR326" s="243"/>
      <c r="FS326" s="243"/>
      <c r="FT326" s="243"/>
      <c r="FU326" s="243"/>
      <c r="FV326" s="243"/>
      <c r="FW326" s="243"/>
      <c r="FX326" s="243"/>
      <c r="FY326" s="243"/>
      <c r="FZ326" s="243"/>
      <c r="GA326" s="243"/>
      <c r="GB326" s="243"/>
      <c r="GC326" s="243"/>
      <c r="GD326" s="243"/>
      <c r="GE326" s="243"/>
      <c r="GF326" s="243"/>
      <c r="GG326" s="243"/>
      <c r="GH326" s="243"/>
      <c r="GI326" s="243"/>
      <c r="GJ326" s="243"/>
      <c r="GK326" s="243"/>
      <c r="GL326" s="243"/>
      <c r="GM326" s="243"/>
      <c r="GN326" s="243"/>
      <c r="GO326" s="243"/>
      <c r="GP326" s="243"/>
      <c r="GQ326" s="243"/>
      <c r="GR326" s="243"/>
      <c r="GS326" s="243"/>
      <c r="GT326" s="243"/>
      <c r="GU326" s="243"/>
      <c r="GV326" s="243"/>
      <c r="GW326" s="243"/>
      <c r="GX326" s="243"/>
      <c r="GY326" s="243"/>
      <c r="GZ326" s="243"/>
      <c r="HA326" s="243"/>
      <c r="HB326" s="243"/>
      <c r="HC326" s="243"/>
      <c r="HD326" s="243"/>
      <c r="HE326" s="243"/>
      <c r="HF326" s="243"/>
      <c r="HG326" s="243"/>
      <c r="HH326" s="243"/>
      <c r="HI326" s="243"/>
      <c r="HJ326" s="243"/>
      <c r="HK326" s="243"/>
      <c r="HL326" s="243"/>
      <c r="HM326" s="243"/>
      <c r="HN326" s="243"/>
      <c r="HO326" s="243"/>
      <c r="HP326" s="243"/>
      <c r="HQ326" s="243"/>
      <c r="HR326" s="243"/>
      <c r="HS326" s="243"/>
      <c r="HT326" s="243"/>
      <c r="HU326" s="243"/>
      <c r="HV326" s="243"/>
      <c r="HW326" s="243"/>
      <c r="HX326" s="243"/>
      <c r="HY326" s="243"/>
      <c r="HZ326" s="243"/>
      <c r="IA326" s="243"/>
      <c r="IB326" s="243"/>
      <c r="IC326" s="243"/>
      <c r="ID326" s="243"/>
      <c r="IE326" s="243"/>
      <c r="IF326" s="243"/>
      <c r="IG326" s="243"/>
      <c r="IH326" s="243"/>
      <c r="II326" s="243"/>
      <c r="IJ326" s="243"/>
      <c r="IK326" s="243"/>
      <c r="IL326" s="243"/>
      <c r="IM326" s="243"/>
      <c r="IN326" s="243"/>
      <c r="IO326" s="243"/>
      <c r="IP326" s="243"/>
      <c r="IQ326" s="243"/>
      <c r="IR326" s="243"/>
      <c r="IS326" s="243"/>
      <c r="IT326" s="243"/>
      <c r="IU326" s="243"/>
      <c r="IV326" s="243"/>
      <c r="IW326" s="243"/>
      <c r="IX326" s="243"/>
      <c r="IY326" s="243"/>
      <c r="IZ326" s="243"/>
      <c r="JA326" s="243"/>
      <c r="JB326" s="243"/>
      <c r="JC326" s="243"/>
      <c r="JD326" s="243"/>
      <c r="JE326" s="243"/>
      <c r="JF326" s="243"/>
      <c r="JG326" s="243"/>
      <c r="JH326" s="243"/>
      <c r="JI326" s="243"/>
      <c r="JJ326" s="243"/>
      <c r="JK326" s="243"/>
      <c r="JL326" s="243"/>
      <c r="JM326" s="243"/>
      <c r="JN326" s="243"/>
      <c r="JO326" s="243"/>
      <c r="JP326" s="243"/>
      <c r="JQ326" s="243"/>
      <c r="JR326" s="243"/>
      <c r="JS326" s="243"/>
      <c r="JT326" s="243"/>
      <c r="JU326" s="243"/>
      <c r="JV326" s="243"/>
      <c r="JW326" s="243"/>
      <c r="JX326" s="243"/>
      <c r="JY326" s="243"/>
      <c r="JZ326" s="243"/>
      <c r="KA326" s="243"/>
      <c r="KB326" s="243"/>
      <c r="KC326" s="243"/>
      <c r="KD326" s="243"/>
      <c r="KE326" s="243"/>
      <c r="KF326" s="243"/>
      <c r="KG326" s="243"/>
      <c r="KH326" s="243"/>
      <c r="KI326" s="243"/>
      <c r="KJ326" s="243"/>
      <c r="KK326" s="243"/>
      <c r="KL326" s="243"/>
      <c r="KM326" s="243"/>
      <c r="KN326" s="243"/>
      <c r="KO326" s="243"/>
      <c r="KP326" s="243"/>
      <c r="KQ326" s="243"/>
      <c r="KR326" s="243"/>
      <c r="KS326" s="243"/>
      <c r="KT326" s="243"/>
      <c r="KU326" s="243"/>
      <c r="KV326" s="243"/>
      <c r="KW326" s="243"/>
      <c r="KX326" s="243"/>
      <c r="KY326" s="243"/>
      <c r="KZ326" s="243"/>
      <c r="LA326" s="243"/>
      <c r="LB326" s="243"/>
      <c r="LC326" s="243"/>
      <c r="LD326" s="243"/>
      <c r="LE326" s="243"/>
      <c r="LF326" s="243"/>
      <c r="LG326" s="243"/>
      <c r="LH326" s="243"/>
      <c r="LI326" s="243"/>
      <c r="LJ326" s="243"/>
      <c r="LK326" s="243"/>
      <c r="LL326" s="243"/>
      <c r="LM326" s="243"/>
      <c r="LN326" s="243"/>
      <c r="LO326" s="243"/>
      <c r="LP326" s="243"/>
      <c r="LQ326" s="243"/>
      <c r="LR326" s="243"/>
      <c r="LS326" s="243"/>
      <c r="LT326" s="243"/>
      <c r="LU326" s="243"/>
      <c r="LV326" s="243"/>
      <c r="LW326" s="243"/>
      <c r="LX326" s="243"/>
      <c r="LY326" s="243"/>
      <c r="LZ326" s="243"/>
      <c r="MA326" s="243"/>
      <c r="MB326" s="243"/>
      <c r="MC326" s="243"/>
      <c r="MD326" s="243"/>
      <c r="ME326" s="243"/>
      <c r="MF326" s="243"/>
      <c r="MG326" s="243"/>
      <c r="MH326" s="243"/>
      <c r="MI326" s="243"/>
      <c r="MJ326" s="243"/>
      <c r="MK326" s="243"/>
      <c r="ML326" s="243"/>
      <c r="MM326" s="243"/>
      <c r="MN326" s="243"/>
      <c r="MO326" s="243"/>
      <c r="MP326" s="243"/>
      <c r="MQ326" s="243"/>
      <c r="MR326" s="243"/>
      <c r="MS326" s="243"/>
      <c r="MT326" s="243"/>
      <c r="MU326" s="243"/>
      <c r="MV326" s="243"/>
      <c r="MW326" s="243"/>
      <c r="MX326" s="243"/>
      <c r="MY326" s="243"/>
      <c r="MZ326" s="243"/>
      <c r="NA326" s="243"/>
      <c r="NB326" s="243"/>
      <c r="NC326" s="243"/>
      <c r="ND326" s="243"/>
      <c r="NE326" s="243"/>
      <c r="NF326" s="243"/>
      <c r="NG326" s="243"/>
      <c r="NH326" s="243"/>
      <c r="NI326" s="243"/>
      <c r="NJ326" s="243"/>
      <c r="NK326" s="243"/>
      <c r="NL326" s="243"/>
      <c r="NM326" s="243"/>
      <c r="NN326" s="243"/>
      <c r="NO326" s="243"/>
      <c r="NP326" s="243"/>
      <c r="NQ326" s="243"/>
      <c r="NR326" s="243"/>
      <c r="NS326" s="243"/>
      <c r="NT326" s="243"/>
      <c r="NU326" s="243"/>
      <c r="NV326" s="243"/>
      <c r="NW326" s="243"/>
      <c r="NX326" s="243"/>
      <c r="NY326" s="243"/>
      <c r="NZ326" s="243"/>
      <c r="OA326" s="243"/>
      <c r="OB326" s="243"/>
      <c r="OC326" s="243"/>
      <c r="OD326" s="243"/>
      <c r="OE326" s="243"/>
      <c r="OF326" s="243"/>
      <c r="OG326" s="243"/>
      <c r="OH326" s="243"/>
      <c r="OI326" s="243"/>
      <c r="OJ326" s="243"/>
      <c r="OK326" s="243"/>
      <c r="OL326" s="243"/>
      <c r="OM326" s="243"/>
      <c r="ON326" s="243"/>
      <c r="OO326" s="243"/>
      <c r="OP326" s="243"/>
      <c r="OQ326" s="243"/>
      <c r="OR326" s="243"/>
      <c r="OS326" s="243"/>
      <c r="OT326" s="243"/>
      <c r="OU326" s="243"/>
      <c r="OV326" s="243"/>
      <c r="OW326" s="243"/>
      <c r="OX326" s="243"/>
      <c r="OY326" s="243"/>
      <c r="OZ326" s="243"/>
      <c r="PA326" s="243"/>
      <c r="PB326" s="243"/>
      <c r="PC326" s="243"/>
      <c r="PD326" s="243"/>
      <c r="PE326" s="243"/>
      <c r="PF326" s="243"/>
      <c r="PG326" s="243"/>
      <c r="PH326" s="243"/>
      <c r="PI326" s="243"/>
      <c r="PJ326" s="243"/>
      <c r="PK326" s="243"/>
      <c r="PL326" s="243"/>
      <c r="PM326" s="243"/>
      <c r="PN326" s="243"/>
      <c r="PO326" s="243"/>
      <c r="PP326" s="243"/>
      <c r="PQ326" s="243"/>
      <c r="PR326" s="243"/>
      <c r="PS326" s="243"/>
      <c r="PT326" s="243"/>
      <c r="PU326" s="243"/>
      <c r="PV326" s="243"/>
      <c r="PW326" s="243"/>
      <c r="PX326" s="243"/>
      <c r="PY326" s="243"/>
      <c r="PZ326" s="243"/>
      <c r="QA326" s="243"/>
      <c r="QB326" s="243"/>
      <c r="QC326" s="243"/>
      <c r="QD326" s="243"/>
      <c r="QE326" s="243"/>
      <c r="QF326" s="243"/>
      <c r="QG326" s="243"/>
      <c r="QH326" s="243"/>
      <c r="QI326" s="243"/>
      <c r="QJ326" s="243"/>
      <c r="QK326" s="243"/>
      <c r="QL326" s="243"/>
      <c r="QM326" s="243"/>
      <c r="QN326" s="243"/>
      <c r="QO326" s="243"/>
      <c r="QP326" s="243"/>
      <c r="QQ326" s="243"/>
      <c r="QR326" s="243"/>
      <c r="QS326" s="243"/>
      <c r="QT326" s="243"/>
      <c r="QU326" s="243"/>
      <c r="QV326" s="243"/>
      <c r="QW326" s="243"/>
      <c r="QX326" s="243"/>
      <c r="QY326" s="243"/>
      <c r="QZ326" s="243"/>
      <c r="RA326" s="243"/>
      <c r="RB326" s="243"/>
      <c r="RC326" s="243"/>
      <c r="RD326" s="243"/>
      <c r="RE326" s="243"/>
      <c r="RF326" s="243"/>
      <c r="RG326" s="243"/>
      <c r="RH326" s="243"/>
      <c r="RI326" s="243"/>
      <c r="RJ326" s="243"/>
      <c r="RK326" s="243"/>
      <c r="RL326" s="243"/>
      <c r="RM326" s="243"/>
      <c r="RN326" s="243"/>
      <c r="RO326" s="243"/>
      <c r="RP326" s="243"/>
      <c r="RQ326" s="243"/>
      <c r="RR326" s="243"/>
      <c r="RS326" s="243"/>
      <c r="RT326" s="243"/>
      <c r="RU326" s="243"/>
      <c r="RV326" s="243"/>
      <c r="RW326" s="243"/>
      <c r="RX326" s="243"/>
      <c r="RY326" s="243"/>
      <c r="RZ326" s="243"/>
      <c r="SA326" s="243"/>
      <c r="SB326" s="243"/>
      <c r="SC326" s="243"/>
      <c r="SD326" s="243"/>
      <c r="SE326" s="243"/>
      <c r="SF326" s="243"/>
      <c r="SG326" s="243"/>
      <c r="SH326" s="243"/>
      <c r="SI326" s="243"/>
      <c r="SJ326" s="243"/>
      <c r="SK326" s="243"/>
      <c r="SL326" s="243"/>
      <c r="SM326" s="243"/>
      <c r="SN326" s="243"/>
      <c r="SO326" s="243"/>
      <c r="SP326" s="243"/>
      <c r="SQ326" s="243"/>
      <c r="SR326" s="243"/>
      <c r="SS326" s="243"/>
      <c r="ST326" s="243"/>
      <c r="SU326" s="243"/>
      <c r="SV326" s="243"/>
      <c r="SW326" s="243"/>
      <c r="SX326" s="243"/>
      <c r="SY326" s="243"/>
      <c r="SZ326" s="243"/>
      <c r="TA326" s="243"/>
      <c r="TB326" s="243"/>
      <c r="TC326" s="243"/>
      <c r="TD326" s="243"/>
      <c r="TE326" s="243"/>
      <c r="TF326" s="243"/>
      <c r="TG326" s="243"/>
      <c r="TH326" s="243"/>
      <c r="TI326" s="243"/>
      <c r="TJ326" s="243"/>
      <c r="TK326" s="243"/>
      <c r="TL326" s="243"/>
      <c r="TM326" s="243"/>
      <c r="TN326" s="243"/>
      <c r="TO326" s="243"/>
      <c r="TP326" s="243"/>
      <c r="TQ326" s="243"/>
      <c r="TR326" s="243"/>
      <c r="TS326" s="243"/>
      <c r="TT326" s="243"/>
      <c r="TU326" s="243"/>
      <c r="TV326" s="243"/>
      <c r="TW326" s="243"/>
      <c r="TX326" s="243"/>
      <c r="TY326" s="243"/>
      <c r="TZ326" s="243"/>
      <c r="UA326" s="243"/>
      <c r="UB326" s="243"/>
      <c r="UC326" s="243"/>
      <c r="UD326" s="243"/>
      <c r="UE326" s="243"/>
      <c r="UF326" s="243"/>
      <c r="UG326" s="243"/>
      <c r="UH326" s="243"/>
      <c r="UI326" s="243"/>
      <c r="UJ326" s="243"/>
      <c r="UK326" s="243"/>
      <c r="UL326" s="243"/>
      <c r="UM326" s="243"/>
      <c r="UN326" s="243"/>
      <c r="UO326" s="243"/>
      <c r="UP326" s="243"/>
      <c r="UQ326" s="243"/>
      <c r="UR326" s="243"/>
      <c r="US326" s="243"/>
      <c r="UT326" s="243"/>
      <c r="UU326" s="243"/>
      <c r="UV326" s="243"/>
      <c r="UW326" s="243"/>
      <c r="UX326" s="243"/>
      <c r="UY326" s="243"/>
      <c r="UZ326" s="243"/>
      <c r="VA326" s="243"/>
      <c r="VB326" s="243"/>
      <c r="VC326" s="243"/>
      <c r="VD326" s="243"/>
      <c r="VE326" s="243"/>
      <c r="VF326" s="243"/>
      <c r="VG326" s="243"/>
      <c r="VH326" s="243"/>
      <c r="VI326" s="243"/>
      <c r="VJ326" s="243"/>
      <c r="VK326" s="243"/>
      <c r="VL326" s="243"/>
      <c r="VM326" s="243"/>
      <c r="VN326" s="243"/>
      <c r="VO326" s="243"/>
      <c r="VP326" s="243"/>
      <c r="VQ326" s="243"/>
      <c r="VR326" s="243"/>
      <c r="VS326" s="243"/>
      <c r="VT326" s="243"/>
      <c r="VU326" s="243"/>
      <c r="VV326" s="243"/>
      <c r="VW326" s="243"/>
      <c r="VX326" s="243"/>
      <c r="VY326" s="243"/>
      <c r="VZ326" s="243"/>
      <c r="WA326" s="243"/>
      <c r="WB326" s="243"/>
      <c r="WC326" s="243"/>
      <c r="WD326" s="243"/>
      <c r="WE326" s="243"/>
      <c r="WF326" s="243"/>
      <c r="WG326" s="243"/>
      <c r="WH326" s="243"/>
      <c r="WI326" s="243"/>
      <c r="WJ326" s="243"/>
      <c r="WK326" s="243"/>
      <c r="WL326" s="243"/>
      <c r="WM326" s="243"/>
      <c r="WN326" s="243"/>
      <c r="WO326" s="243"/>
      <c r="WP326" s="243"/>
      <c r="WQ326" s="243"/>
      <c r="WR326" s="243"/>
      <c r="WS326" s="243"/>
      <c r="WT326" s="243"/>
      <c r="WU326" s="243"/>
      <c r="WV326" s="243"/>
      <c r="WW326" s="243"/>
      <c r="WX326" s="243"/>
      <c r="WY326" s="243"/>
      <c r="WZ326" s="243"/>
      <c r="XA326" s="243"/>
      <c r="XB326" s="243"/>
      <c r="XC326" s="243"/>
      <c r="XD326" s="243"/>
      <c r="XE326" s="243"/>
      <c r="XF326" s="243"/>
      <c r="XG326" s="243"/>
      <c r="XH326" s="243"/>
      <c r="XI326" s="243"/>
      <c r="XJ326" s="243"/>
      <c r="XK326" s="243"/>
      <c r="XL326" s="243"/>
      <c r="XM326" s="243"/>
      <c r="XN326" s="243"/>
      <c r="XO326" s="243"/>
      <c r="XP326" s="243"/>
      <c r="XQ326" s="243"/>
      <c r="XR326" s="243"/>
      <c r="XS326" s="243"/>
      <c r="XT326" s="243"/>
      <c r="XU326" s="243"/>
      <c r="XV326" s="243"/>
      <c r="XW326" s="243"/>
      <c r="XX326" s="243"/>
      <c r="XY326" s="243"/>
      <c r="XZ326" s="243"/>
      <c r="YA326" s="243"/>
      <c r="YB326" s="243"/>
      <c r="YC326" s="243"/>
      <c r="YD326" s="243"/>
      <c r="YE326" s="243"/>
      <c r="YF326" s="243"/>
      <c r="YG326" s="243"/>
      <c r="YH326" s="243"/>
      <c r="YI326" s="243"/>
      <c r="YJ326" s="243"/>
      <c r="YK326" s="243"/>
      <c r="YL326" s="243"/>
      <c r="YM326" s="243"/>
      <c r="YN326" s="243"/>
      <c r="YO326" s="243"/>
      <c r="YP326" s="243"/>
      <c r="YQ326" s="243"/>
      <c r="YR326" s="243"/>
      <c r="YS326" s="243"/>
      <c r="YT326" s="243"/>
      <c r="YU326" s="243"/>
      <c r="YV326" s="243"/>
      <c r="YW326" s="243"/>
      <c r="YX326" s="243"/>
      <c r="YY326" s="243"/>
      <c r="YZ326" s="243"/>
      <c r="ZA326" s="243"/>
      <c r="ZB326" s="243"/>
      <c r="ZC326" s="243"/>
      <c r="ZD326" s="243"/>
      <c r="ZE326" s="243"/>
      <c r="ZF326" s="243"/>
      <c r="ZG326" s="243"/>
      <c r="ZH326" s="243"/>
      <c r="ZI326" s="243"/>
      <c r="ZJ326" s="243"/>
      <c r="ZK326" s="243"/>
      <c r="ZL326" s="243"/>
      <c r="ZM326" s="243"/>
      <c r="ZN326" s="243"/>
      <c r="ZO326" s="243"/>
      <c r="ZP326" s="243"/>
      <c r="ZQ326" s="243"/>
      <c r="ZR326" s="243"/>
      <c r="ZS326" s="243"/>
      <c r="ZT326" s="243"/>
      <c r="ZU326" s="243"/>
      <c r="ZV326" s="243"/>
      <c r="ZW326" s="243"/>
      <c r="ZX326" s="243"/>
      <c r="ZY326" s="243"/>
      <c r="ZZ326" s="243"/>
      <c r="AAA326" s="243"/>
      <c r="AAB326" s="243"/>
      <c r="AAC326" s="243"/>
      <c r="AAD326" s="243"/>
      <c r="AAE326" s="243"/>
      <c r="AAF326" s="243"/>
      <c r="AAG326" s="243"/>
      <c r="AAH326" s="243"/>
      <c r="AAI326" s="243"/>
      <c r="AAJ326" s="243"/>
      <c r="AAK326" s="243"/>
      <c r="AAL326" s="243"/>
      <c r="AAM326" s="243"/>
      <c r="AAN326" s="243"/>
      <c r="AAO326" s="243"/>
      <c r="AAP326" s="243"/>
      <c r="AAQ326" s="243"/>
      <c r="AAR326" s="243"/>
      <c r="AAS326" s="243"/>
      <c r="AAT326" s="243"/>
      <c r="AAU326" s="243"/>
      <c r="AAV326" s="243"/>
      <c r="AAW326" s="243"/>
      <c r="AAX326" s="243"/>
      <c r="AAY326" s="243"/>
      <c r="AAZ326" s="243"/>
      <c r="ABA326" s="243"/>
      <c r="ABB326" s="243"/>
      <c r="ABC326" s="243"/>
      <c r="ABD326" s="243"/>
      <c r="ABE326" s="243"/>
      <c r="ABF326" s="243"/>
      <c r="ABG326" s="243"/>
      <c r="ABH326" s="243"/>
      <c r="ABI326" s="243"/>
      <c r="ABJ326" s="243"/>
      <c r="ABK326" s="243"/>
      <c r="ABL326" s="243"/>
      <c r="ABM326" s="243"/>
      <c r="ABN326" s="243"/>
      <c r="ABO326" s="243"/>
      <c r="ABP326" s="243"/>
      <c r="ABQ326" s="243"/>
      <c r="ABR326" s="243"/>
      <c r="ABS326" s="243"/>
      <c r="ABT326" s="243"/>
      <c r="ABU326" s="243"/>
      <c r="ABV326" s="243"/>
      <c r="ABW326" s="243"/>
      <c r="ABX326" s="243"/>
      <c r="ABY326" s="243"/>
      <c r="ABZ326" s="243"/>
      <c r="ACA326" s="243"/>
      <c r="ACB326" s="243"/>
      <c r="ACC326" s="243"/>
      <c r="ACD326" s="243"/>
      <c r="ACE326" s="243"/>
      <c r="ACF326" s="243"/>
      <c r="ACG326" s="243"/>
      <c r="ACH326" s="243"/>
      <c r="ACI326" s="243"/>
      <c r="ACJ326" s="243"/>
      <c r="ACK326" s="243"/>
      <c r="ACL326" s="243"/>
      <c r="ACM326" s="243"/>
      <c r="ACN326" s="243"/>
      <c r="ACO326" s="243"/>
      <c r="ACP326" s="243"/>
      <c r="ACQ326" s="243"/>
      <c r="ACR326" s="243"/>
      <c r="ACS326" s="243"/>
      <c r="ACT326" s="243"/>
      <c r="ACU326" s="243"/>
      <c r="ACV326" s="243"/>
      <c r="ACW326" s="243"/>
      <c r="ACX326" s="243"/>
      <c r="ACY326" s="243"/>
      <c r="ACZ326" s="243"/>
      <c r="ADA326" s="243"/>
      <c r="ADB326" s="243"/>
      <c r="ADC326" s="243"/>
      <c r="ADD326" s="243"/>
      <c r="ADE326" s="243"/>
      <c r="ADF326" s="243"/>
      <c r="ADG326" s="243"/>
      <c r="ADH326" s="243"/>
      <c r="ADI326" s="243"/>
      <c r="ADJ326" s="243"/>
      <c r="ADK326" s="243"/>
      <c r="ADL326" s="243"/>
      <c r="ADM326" s="243"/>
      <c r="ADN326" s="243"/>
      <c r="ADO326" s="243"/>
      <c r="ADP326" s="243"/>
      <c r="ADQ326" s="243"/>
      <c r="ADR326" s="243"/>
      <c r="ADS326" s="243"/>
      <c r="ADT326" s="243"/>
      <c r="ADU326" s="243"/>
      <c r="ADV326" s="243"/>
      <c r="ADW326" s="243"/>
      <c r="ADX326" s="243"/>
      <c r="ADY326" s="243"/>
      <c r="ADZ326" s="243"/>
      <c r="AEA326" s="243"/>
      <c r="AEB326" s="243"/>
      <c r="AEC326" s="243"/>
      <c r="AED326" s="243"/>
      <c r="AEE326" s="243"/>
      <c r="AEF326" s="243"/>
      <c r="AEG326" s="243"/>
      <c r="AEH326" s="243"/>
      <c r="AEI326" s="243"/>
      <c r="AEJ326" s="243"/>
      <c r="AEK326" s="243"/>
      <c r="AEL326" s="243"/>
      <c r="AEM326" s="243"/>
      <c r="AEN326" s="243"/>
      <c r="AEO326" s="243"/>
      <c r="AEP326" s="243"/>
      <c r="AEQ326" s="243"/>
      <c r="AER326" s="243"/>
      <c r="AES326" s="243"/>
      <c r="AET326" s="243"/>
      <c r="AEU326" s="243"/>
      <c r="AEV326" s="243"/>
      <c r="AEW326" s="243"/>
      <c r="AEX326" s="243"/>
      <c r="AEY326" s="243"/>
      <c r="AEZ326" s="243"/>
      <c r="AFA326" s="243"/>
      <c r="AFB326" s="243"/>
      <c r="AFC326" s="243"/>
      <c r="AFD326" s="243"/>
      <c r="AFE326" s="243"/>
      <c r="AFF326" s="243"/>
      <c r="AFG326" s="243"/>
      <c r="AFH326" s="243"/>
      <c r="AFI326" s="243"/>
      <c r="AFJ326" s="243"/>
      <c r="AFK326" s="243"/>
      <c r="AFL326" s="243"/>
      <c r="AFM326" s="243"/>
      <c r="AFN326" s="243"/>
      <c r="AFO326" s="243"/>
      <c r="AFP326" s="243"/>
      <c r="AFQ326" s="243"/>
      <c r="AFR326" s="243"/>
      <c r="AFS326" s="243"/>
      <c r="AFT326" s="243"/>
      <c r="AFU326" s="243"/>
      <c r="AFV326" s="243"/>
      <c r="AFW326" s="243"/>
      <c r="AFX326" s="243"/>
      <c r="AFY326" s="243"/>
      <c r="AFZ326" s="243"/>
      <c r="AGA326" s="243"/>
      <c r="AGB326" s="243"/>
      <c r="AGC326" s="243"/>
      <c r="AGD326" s="243"/>
      <c r="AGE326" s="243"/>
      <c r="AGF326" s="243"/>
      <c r="AGG326" s="243"/>
      <c r="AGH326" s="243"/>
      <c r="AGI326" s="243"/>
      <c r="AGJ326" s="243"/>
      <c r="AGK326" s="243"/>
      <c r="AGL326" s="243"/>
      <c r="AGM326" s="243"/>
      <c r="AGN326" s="243"/>
      <c r="AGO326" s="243"/>
      <c r="AGP326" s="243"/>
      <c r="AGQ326" s="243"/>
      <c r="AGR326" s="243"/>
      <c r="AGS326" s="243"/>
      <c r="AGT326" s="243"/>
      <c r="AGU326" s="243"/>
      <c r="AGV326" s="243"/>
      <c r="AGW326" s="243"/>
      <c r="AGX326" s="243"/>
      <c r="AGY326" s="243"/>
      <c r="AGZ326" s="243"/>
      <c r="AHA326" s="243"/>
      <c r="AHB326" s="243"/>
      <c r="AHC326" s="243"/>
      <c r="AHD326" s="243"/>
      <c r="AHE326" s="243"/>
      <c r="AHF326" s="243"/>
      <c r="AHG326" s="243"/>
      <c r="AHH326" s="243"/>
      <c r="AHI326" s="243"/>
      <c r="AHJ326" s="243"/>
      <c r="AHK326" s="243"/>
      <c r="AHL326" s="243"/>
      <c r="AHM326" s="243"/>
      <c r="AHN326" s="243"/>
      <c r="AHO326" s="243"/>
      <c r="AHP326" s="243"/>
      <c r="AHQ326" s="243"/>
      <c r="AHR326" s="243"/>
      <c r="AHS326" s="243"/>
      <c r="AHT326" s="243"/>
      <c r="AHU326" s="243"/>
      <c r="AHV326" s="243"/>
      <c r="AHW326" s="243"/>
      <c r="AHX326" s="243"/>
      <c r="AHY326" s="243"/>
      <c r="AHZ326" s="243"/>
      <c r="AIA326" s="243"/>
      <c r="AIB326" s="243"/>
      <c r="AIC326" s="243"/>
      <c r="AID326" s="243"/>
      <c r="AIE326" s="243"/>
      <c r="AIF326" s="243"/>
      <c r="AIG326" s="243"/>
      <c r="AIH326" s="243"/>
      <c r="AII326" s="243"/>
      <c r="AIJ326" s="243"/>
      <c r="AIK326" s="243"/>
      <c r="AIL326" s="243"/>
      <c r="AIM326" s="243"/>
      <c r="AIN326" s="243"/>
      <c r="AIO326" s="243"/>
      <c r="AIP326" s="243"/>
      <c r="AIQ326" s="243"/>
      <c r="AIR326" s="243"/>
      <c r="AIS326" s="243"/>
      <c r="AIT326" s="243"/>
      <c r="AIU326" s="243"/>
      <c r="AIV326" s="243"/>
      <c r="AIW326" s="243"/>
      <c r="AIX326" s="243"/>
      <c r="AIY326" s="243"/>
      <c r="AIZ326" s="243"/>
      <c r="AJA326" s="243"/>
      <c r="AJB326" s="243"/>
      <c r="AJC326" s="243"/>
      <c r="AJD326" s="243"/>
      <c r="AJE326" s="243"/>
      <c r="AJF326" s="243"/>
      <c r="AJG326" s="243"/>
      <c r="AJH326" s="243"/>
      <c r="AJI326" s="243"/>
      <c r="AJJ326" s="243"/>
      <c r="AJK326" s="243"/>
      <c r="AJL326" s="243"/>
      <c r="AJM326" s="243"/>
      <c r="AJN326" s="243"/>
      <c r="AJO326" s="243"/>
      <c r="AJP326" s="243"/>
      <c r="AJQ326" s="243"/>
      <c r="AJR326" s="243"/>
      <c r="AJS326" s="243"/>
      <c r="AJT326" s="243"/>
      <c r="AJU326" s="243"/>
      <c r="AJV326" s="243"/>
      <c r="AJW326" s="243"/>
      <c r="AJX326" s="243"/>
      <c r="AJY326" s="243"/>
      <c r="AJZ326" s="243"/>
      <c r="AKA326" s="243"/>
      <c r="AKB326" s="243"/>
      <c r="AKC326" s="243"/>
      <c r="AKD326" s="243"/>
      <c r="AKE326" s="243"/>
      <c r="AKF326" s="243"/>
      <c r="AKG326" s="243"/>
      <c r="AKH326" s="243"/>
      <c r="AKI326" s="243"/>
      <c r="AKJ326" s="243"/>
      <c r="AKK326" s="243"/>
      <c r="AKL326" s="243"/>
      <c r="AKM326" s="243"/>
      <c r="AKN326" s="243"/>
      <c r="AKO326" s="243"/>
      <c r="AKP326" s="243"/>
      <c r="AKQ326" s="243"/>
      <c r="AKR326" s="243"/>
      <c r="AKS326" s="243"/>
      <c r="AKT326" s="243"/>
      <c r="AKU326" s="243"/>
      <c r="AKV326" s="243"/>
      <c r="AKW326" s="243"/>
      <c r="AKX326" s="243"/>
      <c r="AKY326" s="243"/>
      <c r="AKZ326" s="243"/>
      <c r="ALA326" s="243"/>
      <c r="ALB326" s="243"/>
      <c r="ALC326" s="243"/>
      <c r="ALD326" s="243"/>
      <c r="ALE326" s="243"/>
      <c r="ALF326" s="243"/>
      <c r="ALG326" s="243"/>
      <c r="ALH326" s="243"/>
      <c r="ALI326" s="243"/>
      <c r="ALJ326" s="243"/>
      <c r="ALK326" s="243"/>
      <c r="ALL326" s="243"/>
      <c r="ALM326" s="243"/>
      <c r="ALN326" s="243"/>
      <c r="ALO326" s="243"/>
      <c r="ALP326" s="243"/>
      <c r="ALQ326" s="243"/>
      <c r="ALR326" s="243"/>
      <c r="ALS326" s="243"/>
      <c r="ALT326" s="243"/>
      <c r="ALU326" s="243"/>
      <c r="ALV326" s="243"/>
      <c r="ALW326" s="243"/>
      <c r="ALX326" s="243"/>
      <c r="ALY326" s="243"/>
      <c r="ALZ326" s="243"/>
      <c r="AMA326" s="243"/>
      <c r="AMB326" s="243"/>
      <c r="AMC326" s="243"/>
      <c r="AMD326" s="243"/>
      <c r="AME326" s="243"/>
      <c r="AMF326" s="243"/>
      <c r="AMG326" s="243"/>
      <c r="AMH326" s="243"/>
      <c r="AMI326" s="244"/>
      <c r="AMJ326" s="244"/>
    </row>
    <row r="327" spans="1:1024" ht="43.5">
      <c r="A327" s="1043"/>
      <c r="B327" s="1043"/>
      <c r="C327" s="1043"/>
      <c r="D327" s="1043"/>
      <c r="E327" s="392"/>
      <c r="F327" s="390"/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243"/>
      <c r="S327" s="243"/>
      <c r="T327" s="243"/>
      <c r="U327" s="243"/>
      <c r="V327" s="243"/>
      <c r="W327" s="243"/>
      <c r="X327" s="243"/>
      <c r="Y327" s="243"/>
      <c r="Z327" s="243"/>
      <c r="AA327" s="243"/>
      <c r="AB327" s="243"/>
      <c r="AC327" s="243"/>
      <c r="AD327" s="243"/>
      <c r="AE327" s="243"/>
      <c r="AF327" s="243"/>
      <c r="AG327" s="243"/>
      <c r="AH327" s="243"/>
      <c r="AI327" s="243"/>
      <c r="AJ327" s="243"/>
      <c r="AK327" s="243"/>
      <c r="AL327" s="243"/>
      <c r="AM327" s="243"/>
      <c r="AN327" s="243"/>
      <c r="AO327" s="243"/>
      <c r="AP327" s="243"/>
      <c r="AQ327" s="243"/>
      <c r="AR327" s="243"/>
      <c r="AS327" s="243"/>
      <c r="AT327" s="243"/>
      <c r="AU327" s="243"/>
      <c r="AV327" s="243"/>
      <c r="AW327" s="243"/>
      <c r="AX327" s="243"/>
      <c r="AY327" s="243"/>
      <c r="AZ327" s="243"/>
      <c r="BA327" s="243"/>
      <c r="BB327" s="243"/>
      <c r="BC327" s="243"/>
      <c r="BD327" s="243"/>
      <c r="BE327" s="243"/>
      <c r="BF327" s="243"/>
      <c r="BG327" s="243"/>
      <c r="BH327" s="243"/>
      <c r="BI327" s="243"/>
      <c r="BJ327" s="243"/>
      <c r="BK327" s="243"/>
      <c r="BL327" s="243"/>
      <c r="BM327" s="243"/>
      <c r="BN327" s="243"/>
      <c r="BO327" s="243"/>
      <c r="BP327" s="243"/>
      <c r="BQ327" s="243"/>
      <c r="BR327" s="243"/>
      <c r="BS327" s="243"/>
      <c r="BT327" s="243"/>
      <c r="BU327" s="243"/>
      <c r="BV327" s="243"/>
      <c r="BW327" s="243"/>
      <c r="BX327" s="243"/>
      <c r="BY327" s="243"/>
      <c r="BZ327" s="243"/>
      <c r="CA327" s="243"/>
      <c r="CB327" s="243"/>
      <c r="CC327" s="243"/>
      <c r="CD327" s="243"/>
      <c r="CE327" s="243"/>
      <c r="CF327" s="243"/>
      <c r="CG327" s="243"/>
      <c r="CH327" s="243"/>
      <c r="CI327" s="243"/>
      <c r="CJ327" s="243"/>
      <c r="CK327" s="243"/>
      <c r="CL327" s="243"/>
      <c r="CM327" s="243"/>
      <c r="CN327" s="243"/>
      <c r="CO327" s="243"/>
      <c r="CP327" s="243"/>
      <c r="CQ327" s="243"/>
      <c r="CR327" s="243"/>
      <c r="CS327" s="243"/>
      <c r="CT327" s="243"/>
      <c r="CU327" s="243"/>
      <c r="CV327" s="243"/>
      <c r="CW327" s="243"/>
      <c r="CX327" s="243"/>
      <c r="CY327" s="243"/>
      <c r="CZ327" s="243"/>
      <c r="DA327" s="243"/>
      <c r="DB327" s="243"/>
      <c r="DC327" s="243"/>
      <c r="DD327" s="243"/>
      <c r="DE327" s="243"/>
      <c r="DF327" s="243"/>
      <c r="DG327" s="243"/>
      <c r="DH327" s="243"/>
      <c r="DI327" s="243"/>
      <c r="DJ327" s="243"/>
      <c r="DK327" s="243"/>
      <c r="DL327" s="243"/>
      <c r="DM327" s="243"/>
      <c r="DN327" s="243"/>
      <c r="DO327" s="243"/>
      <c r="DP327" s="243"/>
      <c r="DQ327" s="243"/>
      <c r="DR327" s="243"/>
      <c r="DS327" s="243"/>
      <c r="DT327" s="243"/>
      <c r="DU327" s="243"/>
      <c r="DV327" s="243"/>
      <c r="DW327" s="243"/>
      <c r="DX327" s="243"/>
      <c r="DY327" s="243"/>
      <c r="DZ327" s="243"/>
      <c r="EA327" s="243"/>
      <c r="EB327" s="243"/>
      <c r="EC327" s="243"/>
      <c r="ED327" s="243"/>
      <c r="EE327" s="243"/>
      <c r="EF327" s="243"/>
      <c r="EG327" s="243"/>
      <c r="EH327" s="243"/>
      <c r="EI327" s="243"/>
      <c r="EJ327" s="243"/>
      <c r="EK327" s="243"/>
      <c r="EL327" s="243"/>
      <c r="EM327" s="243"/>
      <c r="EN327" s="243"/>
      <c r="EO327" s="243"/>
      <c r="EP327" s="243"/>
      <c r="EQ327" s="243"/>
      <c r="ER327" s="243"/>
      <c r="ES327" s="243"/>
      <c r="ET327" s="243"/>
      <c r="EU327" s="243"/>
      <c r="EV327" s="243"/>
      <c r="EW327" s="243"/>
      <c r="EX327" s="243"/>
      <c r="EY327" s="243"/>
      <c r="EZ327" s="243"/>
      <c r="FA327" s="243"/>
      <c r="FB327" s="243"/>
      <c r="FC327" s="243"/>
      <c r="FD327" s="243"/>
      <c r="FE327" s="243"/>
      <c r="FF327" s="243"/>
      <c r="FG327" s="243"/>
      <c r="FH327" s="243"/>
      <c r="FI327" s="243"/>
      <c r="FJ327" s="243"/>
      <c r="FK327" s="243"/>
      <c r="FL327" s="243"/>
      <c r="FM327" s="243"/>
      <c r="FN327" s="243"/>
      <c r="FO327" s="243"/>
      <c r="FP327" s="243"/>
      <c r="FQ327" s="243"/>
      <c r="FR327" s="243"/>
      <c r="FS327" s="243"/>
      <c r="FT327" s="243"/>
      <c r="FU327" s="243"/>
      <c r="FV327" s="243"/>
      <c r="FW327" s="243"/>
      <c r="FX327" s="243"/>
      <c r="FY327" s="243"/>
      <c r="FZ327" s="243"/>
      <c r="GA327" s="243"/>
      <c r="GB327" s="243"/>
      <c r="GC327" s="243"/>
      <c r="GD327" s="243"/>
      <c r="GE327" s="243"/>
      <c r="GF327" s="243"/>
      <c r="GG327" s="243"/>
      <c r="GH327" s="243"/>
      <c r="GI327" s="243"/>
      <c r="GJ327" s="243"/>
      <c r="GK327" s="243"/>
      <c r="GL327" s="243"/>
      <c r="GM327" s="243"/>
      <c r="GN327" s="243"/>
      <c r="GO327" s="243"/>
      <c r="GP327" s="243"/>
      <c r="GQ327" s="243"/>
      <c r="GR327" s="243"/>
      <c r="GS327" s="243"/>
      <c r="GT327" s="243"/>
      <c r="GU327" s="243"/>
      <c r="GV327" s="243"/>
      <c r="GW327" s="243"/>
      <c r="GX327" s="243"/>
      <c r="GY327" s="243"/>
      <c r="GZ327" s="243"/>
      <c r="HA327" s="243"/>
      <c r="HB327" s="243"/>
      <c r="HC327" s="243"/>
      <c r="HD327" s="243"/>
      <c r="HE327" s="243"/>
      <c r="HF327" s="243"/>
      <c r="HG327" s="243"/>
      <c r="HH327" s="243"/>
      <c r="HI327" s="243"/>
      <c r="HJ327" s="243"/>
      <c r="HK327" s="243"/>
      <c r="HL327" s="243"/>
      <c r="HM327" s="243"/>
      <c r="HN327" s="243"/>
      <c r="HO327" s="243"/>
      <c r="HP327" s="243"/>
      <c r="HQ327" s="243"/>
      <c r="HR327" s="243"/>
      <c r="HS327" s="243"/>
      <c r="HT327" s="243"/>
      <c r="HU327" s="243"/>
      <c r="HV327" s="243"/>
      <c r="HW327" s="243"/>
      <c r="HX327" s="243"/>
      <c r="HY327" s="243"/>
      <c r="HZ327" s="243"/>
      <c r="IA327" s="243"/>
      <c r="IB327" s="243"/>
      <c r="IC327" s="243"/>
      <c r="ID327" s="243"/>
      <c r="IE327" s="243"/>
      <c r="IF327" s="243"/>
      <c r="IG327" s="243"/>
      <c r="IH327" s="243"/>
      <c r="II327" s="243"/>
      <c r="IJ327" s="243"/>
      <c r="IK327" s="243"/>
      <c r="IL327" s="243"/>
      <c r="IM327" s="243"/>
      <c r="IN327" s="243"/>
      <c r="IO327" s="243"/>
      <c r="IP327" s="243"/>
      <c r="IQ327" s="243"/>
      <c r="IR327" s="243"/>
      <c r="IS327" s="243"/>
      <c r="IT327" s="243"/>
      <c r="IU327" s="243"/>
      <c r="IV327" s="243"/>
      <c r="IW327" s="243"/>
      <c r="IX327" s="243"/>
      <c r="IY327" s="243"/>
      <c r="IZ327" s="243"/>
      <c r="JA327" s="243"/>
      <c r="JB327" s="243"/>
      <c r="JC327" s="243"/>
      <c r="JD327" s="243"/>
      <c r="JE327" s="243"/>
      <c r="JF327" s="243"/>
      <c r="JG327" s="243"/>
      <c r="JH327" s="243"/>
      <c r="JI327" s="243"/>
      <c r="JJ327" s="243"/>
      <c r="JK327" s="243"/>
      <c r="JL327" s="243"/>
      <c r="JM327" s="243"/>
      <c r="JN327" s="243"/>
      <c r="JO327" s="243"/>
      <c r="JP327" s="243"/>
      <c r="JQ327" s="243"/>
      <c r="JR327" s="243"/>
      <c r="JS327" s="243"/>
      <c r="JT327" s="243"/>
      <c r="JU327" s="243"/>
      <c r="JV327" s="243"/>
      <c r="JW327" s="243"/>
      <c r="JX327" s="243"/>
      <c r="JY327" s="243"/>
      <c r="JZ327" s="243"/>
      <c r="KA327" s="243"/>
      <c r="KB327" s="243"/>
      <c r="KC327" s="243"/>
      <c r="KD327" s="243"/>
      <c r="KE327" s="243"/>
      <c r="KF327" s="243"/>
      <c r="KG327" s="243"/>
      <c r="KH327" s="243"/>
      <c r="KI327" s="243"/>
      <c r="KJ327" s="243"/>
      <c r="KK327" s="243"/>
      <c r="KL327" s="243"/>
      <c r="KM327" s="243"/>
      <c r="KN327" s="243"/>
      <c r="KO327" s="243"/>
      <c r="KP327" s="243"/>
      <c r="KQ327" s="243"/>
      <c r="KR327" s="243"/>
      <c r="KS327" s="243"/>
      <c r="KT327" s="243"/>
      <c r="KU327" s="243"/>
      <c r="KV327" s="243"/>
      <c r="KW327" s="243"/>
      <c r="KX327" s="243"/>
      <c r="KY327" s="243"/>
      <c r="KZ327" s="243"/>
      <c r="LA327" s="243"/>
      <c r="LB327" s="243"/>
      <c r="LC327" s="243"/>
      <c r="LD327" s="243"/>
      <c r="LE327" s="243"/>
      <c r="LF327" s="243"/>
      <c r="LG327" s="243"/>
      <c r="LH327" s="243"/>
      <c r="LI327" s="243"/>
      <c r="LJ327" s="243"/>
      <c r="LK327" s="243"/>
      <c r="LL327" s="243"/>
      <c r="LM327" s="243"/>
      <c r="LN327" s="243"/>
      <c r="LO327" s="243"/>
      <c r="LP327" s="243"/>
      <c r="LQ327" s="243"/>
      <c r="LR327" s="243"/>
      <c r="LS327" s="243"/>
      <c r="LT327" s="243"/>
      <c r="LU327" s="243"/>
      <c r="LV327" s="243"/>
      <c r="LW327" s="243"/>
      <c r="LX327" s="243"/>
      <c r="LY327" s="243"/>
      <c r="LZ327" s="243"/>
      <c r="MA327" s="243"/>
      <c r="MB327" s="243"/>
      <c r="MC327" s="243"/>
      <c r="MD327" s="243"/>
      <c r="ME327" s="243"/>
      <c r="MF327" s="243"/>
      <c r="MG327" s="243"/>
      <c r="MH327" s="243"/>
      <c r="MI327" s="243"/>
      <c r="MJ327" s="243"/>
      <c r="MK327" s="243"/>
      <c r="ML327" s="243"/>
      <c r="MM327" s="243"/>
      <c r="MN327" s="243"/>
      <c r="MO327" s="243"/>
      <c r="MP327" s="243"/>
      <c r="MQ327" s="243"/>
      <c r="MR327" s="243"/>
      <c r="MS327" s="243"/>
      <c r="MT327" s="243"/>
      <c r="MU327" s="243"/>
      <c r="MV327" s="243"/>
      <c r="MW327" s="243"/>
      <c r="MX327" s="243"/>
      <c r="MY327" s="243"/>
      <c r="MZ327" s="243"/>
      <c r="NA327" s="243"/>
      <c r="NB327" s="243"/>
      <c r="NC327" s="243"/>
      <c r="ND327" s="243"/>
      <c r="NE327" s="243"/>
      <c r="NF327" s="243"/>
      <c r="NG327" s="243"/>
      <c r="NH327" s="243"/>
      <c r="NI327" s="243"/>
      <c r="NJ327" s="243"/>
      <c r="NK327" s="243"/>
      <c r="NL327" s="243"/>
      <c r="NM327" s="243"/>
      <c r="NN327" s="243"/>
      <c r="NO327" s="243"/>
      <c r="NP327" s="243"/>
      <c r="NQ327" s="243"/>
      <c r="NR327" s="243"/>
      <c r="NS327" s="243"/>
      <c r="NT327" s="243"/>
      <c r="NU327" s="243"/>
      <c r="NV327" s="243"/>
      <c r="NW327" s="243"/>
      <c r="NX327" s="243"/>
      <c r="NY327" s="243"/>
      <c r="NZ327" s="243"/>
      <c r="OA327" s="243"/>
      <c r="OB327" s="243"/>
      <c r="OC327" s="243"/>
      <c r="OD327" s="243"/>
      <c r="OE327" s="243"/>
      <c r="OF327" s="243"/>
      <c r="OG327" s="243"/>
      <c r="OH327" s="243"/>
      <c r="OI327" s="243"/>
      <c r="OJ327" s="243"/>
      <c r="OK327" s="243"/>
      <c r="OL327" s="243"/>
      <c r="OM327" s="243"/>
      <c r="ON327" s="243"/>
      <c r="OO327" s="243"/>
      <c r="OP327" s="243"/>
      <c r="OQ327" s="243"/>
      <c r="OR327" s="243"/>
      <c r="OS327" s="243"/>
      <c r="OT327" s="243"/>
      <c r="OU327" s="243"/>
      <c r="OV327" s="243"/>
      <c r="OW327" s="243"/>
      <c r="OX327" s="243"/>
      <c r="OY327" s="243"/>
      <c r="OZ327" s="243"/>
      <c r="PA327" s="243"/>
      <c r="PB327" s="243"/>
      <c r="PC327" s="243"/>
      <c r="PD327" s="243"/>
      <c r="PE327" s="243"/>
      <c r="PF327" s="243"/>
      <c r="PG327" s="243"/>
      <c r="PH327" s="243"/>
      <c r="PI327" s="243"/>
      <c r="PJ327" s="243"/>
      <c r="PK327" s="243"/>
      <c r="PL327" s="243"/>
      <c r="PM327" s="243"/>
      <c r="PN327" s="243"/>
      <c r="PO327" s="243"/>
      <c r="PP327" s="243"/>
      <c r="PQ327" s="243"/>
      <c r="PR327" s="243"/>
      <c r="PS327" s="243"/>
      <c r="PT327" s="243"/>
      <c r="PU327" s="243"/>
      <c r="PV327" s="243"/>
      <c r="PW327" s="243"/>
      <c r="PX327" s="243"/>
      <c r="PY327" s="243"/>
      <c r="PZ327" s="243"/>
      <c r="QA327" s="243"/>
      <c r="QB327" s="243"/>
      <c r="QC327" s="243"/>
      <c r="QD327" s="243"/>
      <c r="QE327" s="243"/>
      <c r="QF327" s="243"/>
      <c r="QG327" s="243"/>
      <c r="QH327" s="243"/>
      <c r="QI327" s="243"/>
      <c r="QJ327" s="243"/>
      <c r="QK327" s="243"/>
      <c r="QL327" s="243"/>
      <c r="QM327" s="243"/>
      <c r="QN327" s="243"/>
      <c r="QO327" s="243"/>
      <c r="QP327" s="243"/>
      <c r="QQ327" s="243"/>
      <c r="QR327" s="243"/>
      <c r="QS327" s="243"/>
      <c r="QT327" s="243"/>
      <c r="QU327" s="243"/>
      <c r="QV327" s="243"/>
      <c r="QW327" s="243"/>
      <c r="QX327" s="243"/>
      <c r="QY327" s="243"/>
      <c r="QZ327" s="243"/>
      <c r="RA327" s="243"/>
      <c r="RB327" s="243"/>
      <c r="RC327" s="243"/>
      <c r="RD327" s="243"/>
      <c r="RE327" s="243"/>
      <c r="RF327" s="243"/>
      <c r="RG327" s="243"/>
      <c r="RH327" s="243"/>
      <c r="RI327" s="243"/>
      <c r="RJ327" s="243"/>
      <c r="RK327" s="243"/>
      <c r="RL327" s="243"/>
      <c r="RM327" s="243"/>
      <c r="RN327" s="243"/>
      <c r="RO327" s="243"/>
      <c r="RP327" s="243"/>
      <c r="RQ327" s="243"/>
      <c r="RR327" s="243"/>
      <c r="RS327" s="243"/>
      <c r="RT327" s="243"/>
      <c r="RU327" s="243"/>
      <c r="RV327" s="243"/>
      <c r="RW327" s="243"/>
      <c r="RX327" s="243"/>
      <c r="RY327" s="243"/>
      <c r="RZ327" s="243"/>
      <c r="SA327" s="243"/>
      <c r="SB327" s="243"/>
      <c r="SC327" s="243"/>
      <c r="SD327" s="243"/>
      <c r="SE327" s="243"/>
      <c r="SF327" s="243"/>
      <c r="SG327" s="243"/>
      <c r="SH327" s="243"/>
      <c r="SI327" s="243"/>
      <c r="SJ327" s="243"/>
      <c r="SK327" s="243"/>
      <c r="SL327" s="243"/>
      <c r="SM327" s="243"/>
      <c r="SN327" s="243"/>
      <c r="SO327" s="243"/>
      <c r="SP327" s="243"/>
      <c r="SQ327" s="243"/>
      <c r="SR327" s="243"/>
      <c r="SS327" s="243"/>
      <c r="ST327" s="243"/>
      <c r="SU327" s="243"/>
      <c r="SV327" s="243"/>
      <c r="SW327" s="243"/>
      <c r="SX327" s="243"/>
      <c r="SY327" s="243"/>
      <c r="SZ327" s="243"/>
      <c r="TA327" s="243"/>
      <c r="TB327" s="243"/>
      <c r="TC327" s="243"/>
      <c r="TD327" s="243"/>
      <c r="TE327" s="243"/>
      <c r="TF327" s="243"/>
      <c r="TG327" s="243"/>
      <c r="TH327" s="243"/>
      <c r="TI327" s="243"/>
      <c r="TJ327" s="243"/>
      <c r="TK327" s="243"/>
      <c r="TL327" s="243"/>
      <c r="TM327" s="243"/>
      <c r="TN327" s="243"/>
      <c r="TO327" s="243"/>
      <c r="TP327" s="243"/>
      <c r="TQ327" s="243"/>
      <c r="TR327" s="243"/>
      <c r="TS327" s="243"/>
      <c r="TT327" s="243"/>
      <c r="TU327" s="243"/>
      <c r="TV327" s="243"/>
      <c r="TW327" s="243"/>
      <c r="TX327" s="243"/>
      <c r="TY327" s="243"/>
      <c r="TZ327" s="243"/>
      <c r="UA327" s="243"/>
      <c r="UB327" s="243"/>
      <c r="UC327" s="243"/>
      <c r="UD327" s="243"/>
      <c r="UE327" s="243"/>
      <c r="UF327" s="243"/>
      <c r="UG327" s="243"/>
      <c r="UH327" s="243"/>
      <c r="UI327" s="243"/>
      <c r="UJ327" s="243"/>
      <c r="UK327" s="243"/>
      <c r="UL327" s="243"/>
      <c r="UM327" s="243"/>
      <c r="UN327" s="243"/>
      <c r="UO327" s="243"/>
      <c r="UP327" s="243"/>
      <c r="UQ327" s="243"/>
      <c r="UR327" s="243"/>
      <c r="US327" s="243"/>
      <c r="UT327" s="243"/>
      <c r="UU327" s="243"/>
      <c r="UV327" s="243"/>
      <c r="UW327" s="243"/>
      <c r="UX327" s="243"/>
      <c r="UY327" s="243"/>
      <c r="UZ327" s="243"/>
      <c r="VA327" s="243"/>
      <c r="VB327" s="243"/>
      <c r="VC327" s="243"/>
      <c r="VD327" s="243"/>
      <c r="VE327" s="243"/>
      <c r="VF327" s="243"/>
      <c r="VG327" s="243"/>
      <c r="VH327" s="243"/>
      <c r="VI327" s="243"/>
      <c r="VJ327" s="243"/>
      <c r="VK327" s="243"/>
      <c r="VL327" s="243"/>
      <c r="VM327" s="243"/>
      <c r="VN327" s="243"/>
      <c r="VO327" s="243"/>
      <c r="VP327" s="243"/>
      <c r="VQ327" s="243"/>
      <c r="VR327" s="243"/>
      <c r="VS327" s="243"/>
      <c r="VT327" s="243"/>
      <c r="VU327" s="243"/>
      <c r="VV327" s="243"/>
      <c r="VW327" s="243"/>
      <c r="VX327" s="243"/>
      <c r="VY327" s="243"/>
      <c r="VZ327" s="243"/>
      <c r="WA327" s="243"/>
      <c r="WB327" s="243"/>
      <c r="WC327" s="243"/>
      <c r="WD327" s="243"/>
      <c r="WE327" s="243"/>
      <c r="WF327" s="243"/>
      <c r="WG327" s="243"/>
      <c r="WH327" s="243"/>
      <c r="WI327" s="243"/>
      <c r="WJ327" s="243"/>
      <c r="WK327" s="243"/>
      <c r="WL327" s="243"/>
      <c r="WM327" s="243"/>
      <c r="WN327" s="243"/>
      <c r="WO327" s="243"/>
      <c r="WP327" s="243"/>
      <c r="WQ327" s="243"/>
      <c r="WR327" s="243"/>
      <c r="WS327" s="243"/>
      <c r="WT327" s="243"/>
      <c r="WU327" s="243"/>
      <c r="WV327" s="243"/>
      <c r="WW327" s="243"/>
      <c r="WX327" s="243"/>
      <c r="WY327" s="243"/>
      <c r="WZ327" s="243"/>
      <c r="XA327" s="243"/>
      <c r="XB327" s="243"/>
      <c r="XC327" s="243"/>
      <c r="XD327" s="243"/>
      <c r="XE327" s="243"/>
      <c r="XF327" s="243"/>
      <c r="XG327" s="243"/>
      <c r="XH327" s="243"/>
      <c r="XI327" s="243"/>
      <c r="XJ327" s="243"/>
      <c r="XK327" s="243"/>
      <c r="XL327" s="243"/>
      <c r="XM327" s="243"/>
      <c r="XN327" s="243"/>
      <c r="XO327" s="243"/>
      <c r="XP327" s="243"/>
      <c r="XQ327" s="243"/>
      <c r="XR327" s="243"/>
      <c r="XS327" s="243"/>
      <c r="XT327" s="243"/>
      <c r="XU327" s="243"/>
      <c r="XV327" s="243"/>
      <c r="XW327" s="243"/>
      <c r="XX327" s="243"/>
      <c r="XY327" s="243"/>
      <c r="XZ327" s="243"/>
      <c r="YA327" s="243"/>
      <c r="YB327" s="243"/>
      <c r="YC327" s="243"/>
      <c r="YD327" s="243"/>
      <c r="YE327" s="243"/>
      <c r="YF327" s="243"/>
      <c r="YG327" s="243"/>
      <c r="YH327" s="243"/>
      <c r="YI327" s="243"/>
      <c r="YJ327" s="243"/>
      <c r="YK327" s="243"/>
      <c r="YL327" s="243"/>
      <c r="YM327" s="243"/>
      <c r="YN327" s="243"/>
      <c r="YO327" s="243"/>
      <c r="YP327" s="243"/>
      <c r="YQ327" s="243"/>
      <c r="YR327" s="243"/>
      <c r="YS327" s="243"/>
      <c r="YT327" s="243"/>
      <c r="YU327" s="243"/>
      <c r="YV327" s="243"/>
      <c r="YW327" s="243"/>
      <c r="YX327" s="243"/>
      <c r="YY327" s="243"/>
      <c r="YZ327" s="243"/>
      <c r="ZA327" s="243"/>
      <c r="ZB327" s="243"/>
      <c r="ZC327" s="243"/>
      <c r="ZD327" s="243"/>
      <c r="ZE327" s="243"/>
      <c r="ZF327" s="243"/>
      <c r="ZG327" s="243"/>
      <c r="ZH327" s="243"/>
      <c r="ZI327" s="243"/>
      <c r="ZJ327" s="243"/>
      <c r="ZK327" s="243"/>
      <c r="ZL327" s="243"/>
      <c r="ZM327" s="243"/>
      <c r="ZN327" s="243"/>
      <c r="ZO327" s="243"/>
      <c r="ZP327" s="243"/>
      <c r="ZQ327" s="243"/>
      <c r="ZR327" s="243"/>
      <c r="ZS327" s="243"/>
      <c r="ZT327" s="243"/>
      <c r="ZU327" s="243"/>
      <c r="ZV327" s="243"/>
      <c r="ZW327" s="243"/>
      <c r="ZX327" s="243"/>
      <c r="ZY327" s="243"/>
      <c r="ZZ327" s="243"/>
      <c r="AAA327" s="243"/>
      <c r="AAB327" s="243"/>
      <c r="AAC327" s="243"/>
      <c r="AAD327" s="243"/>
      <c r="AAE327" s="243"/>
      <c r="AAF327" s="243"/>
      <c r="AAG327" s="243"/>
      <c r="AAH327" s="243"/>
      <c r="AAI327" s="243"/>
      <c r="AAJ327" s="243"/>
      <c r="AAK327" s="243"/>
      <c r="AAL327" s="243"/>
      <c r="AAM327" s="243"/>
      <c r="AAN327" s="243"/>
      <c r="AAO327" s="243"/>
      <c r="AAP327" s="243"/>
      <c r="AAQ327" s="243"/>
      <c r="AAR327" s="243"/>
      <c r="AAS327" s="243"/>
      <c r="AAT327" s="243"/>
      <c r="AAU327" s="243"/>
      <c r="AAV327" s="243"/>
      <c r="AAW327" s="243"/>
      <c r="AAX327" s="243"/>
      <c r="AAY327" s="243"/>
      <c r="AAZ327" s="243"/>
      <c r="ABA327" s="243"/>
      <c r="ABB327" s="243"/>
      <c r="ABC327" s="243"/>
      <c r="ABD327" s="243"/>
      <c r="ABE327" s="243"/>
      <c r="ABF327" s="243"/>
      <c r="ABG327" s="243"/>
      <c r="ABH327" s="243"/>
      <c r="ABI327" s="243"/>
      <c r="ABJ327" s="243"/>
      <c r="ABK327" s="243"/>
      <c r="ABL327" s="243"/>
      <c r="ABM327" s="243"/>
      <c r="ABN327" s="243"/>
      <c r="ABO327" s="243"/>
      <c r="ABP327" s="243"/>
      <c r="ABQ327" s="243"/>
      <c r="ABR327" s="243"/>
      <c r="ABS327" s="243"/>
      <c r="ABT327" s="243"/>
      <c r="ABU327" s="243"/>
      <c r="ABV327" s="243"/>
      <c r="ABW327" s="243"/>
      <c r="ABX327" s="243"/>
      <c r="ABY327" s="243"/>
      <c r="ABZ327" s="243"/>
      <c r="ACA327" s="243"/>
      <c r="ACB327" s="243"/>
      <c r="ACC327" s="243"/>
      <c r="ACD327" s="243"/>
      <c r="ACE327" s="243"/>
      <c r="ACF327" s="243"/>
      <c r="ACG327" s="243"/>
      <c r="ACH327" s="243"/>
      <c r="ACI327" s="243"/>
      <c r="ACJ327" s="243"/>
      <c r="ACK327" s="243"/>
      <c r="ACL327" s="243"/>
      <c r="ACM327" s="243"/>
      <c r="ACN327" s="243"/>
      <c r="ACO327" s="243"/>
      <c r="ACP327" s="243"/>
      <c r="ACQ327" s="243"/>
      <c r="ACR327" s="243"/>
      <c r="ACS327" s="243"/>
      <c r="ACT327" s="243"/>
      <c r="ACU327" s="243"/>
      <c r="ACV327" s="243"/>
      <c r="ACW327" s="243"/>
      <c r="ACX327" s="243"/>
      <c r="ACY327" s="243"/>
      <c r="ACZ327" s="243"/>
      <c r="ADA327" s="243"/>
      <c r="ADB327" s="243"/>
      <c r="ADC327" s="243"/>
      <c r="ADD327" s="243"/>
      <c r="ADE327" s="243"/>
      <c r="ADF327" s="243"/>
      <c r="ADG327" s="243"/>
      <c r="ADH327" s="243"/>
      <c r="ADI327" s="243"/>
      <c r="ADJ327" s="243"/>
      <c r="ADK327" s="243"/>
      <c r="ADL327" s="243"/>
      <c r="ADM327" s="243"/>
      <c r="ADN327" s="243"/>
      <c r="ADO327" s="243"/>
      <c r="ADP327" s="243"/>
      <c r="ADQ327" s="243"/>
      <c r="ADR327" s="243"/>
      <c r="ADS327" s="243"/>
      <c r="ADT327" s="243"/>
      <c r="ADU327" s="243"/>
      <c r="ADV327" s="243"/>
      <c r="ADW327" s="243"/>
      <c r="ADX327" s="243"/>
      <c r="ADY327" s="243"/>
      <c r="ADZ327" s="243"/>
      <c r="AEA327" s="243"/>
      <c r="AEB327" s="243"/>
      <c r="AEC327" s="243"/>
      <c r="AED327" s="243"/>
      <c r="AEE327" s="243"/>
      <c r="AEF327" s="243"/>
      <c r="AEG327" s="243"/>
      <c r="AEH327" s="243"/>
      <c r="AEI327" s="243"/>
      <c r="AEJ327" s="243"/>
      <c r="AEK327" s="243"/>
      <c r="AEL327" s="243"/>
      <c r="AEM327" s="243"/>
      <c r="AEN327" s="243"/>
      <c r="AEO327" s="243"/>
      <c r="AEP327" s="243"/>
      <c r="AEQ327" s="243"/>
      <c r="AER327" s="243"/>
      <c r="AES327" s="243"/>
      <c r="AET327" s="243"/>
      <c r="AEU327" s="243"/>
      <c r="AEV327" s="243"/>
      <c r="AEW327" s="243"/>
      <c r="AEX327" s="243"/>
      <c r="AEY327" s="243"/>
      <c r="AEZ327" s="243"/>
      <c r="AFA327" s="243"/>
      <c r="AFB327" s="243"/>
      <c r="AFC327" s="243"/>
      <c r="AFD327" s="243"/>
      <c r="AFE327" s="243"/>
      <c r="AFF327" s="243"/>
      <c r="AFG327" s="243"/>
      <c r="AFH327" s="243"/>
      <c r="AFI327" s="243"/>
      <c r="AFJ327" s="243"/>
      <c r="AFK327" s="243"/>
      <c r="AFL327" s="243"/>
      <c r="AFM327" s="243"/>
      <c r="AFN327" s="243"/>
      <c r="AFO327" s="243"/>
      <c r="AFP327" s="243"/>
      <c r="AFQ327" s="243"/>
      <c r="AFR327" s="243"/>
      <c r="AFS327" s="243"/>
      <c r="AFT327" s="243"/>
      <c r="AFU327" s="243"/>
      <c r="AFV327" s="243"/>
      <c r="AFW327" s="243"/>
      <c r="AFX327" s="243"/>
      <c r="AFY327" s="243"/>
      <c r="AFZ327" s="243"/>
      <c r="AGA327" s="243"/>
      <c r="AGB327" s="243"/>
      <c r="AGC327" s="243"/>
      <c r="AGD327" s="243"/>
      <c r="AGE327" s="243"/>
      <c r="AGF327" s="243"/>
      <c r="AGG327" s="243"/>
      <c r="AGH327" s="243"/>
      <c r="AGI327" s="243"/>
      <c r="AGJ327" s="243"/>
      <c r="AGK327" s="243"/>
      <c r="AGL327" s="243"/>
      <c r="AGM327" s="243"/>
      <c r="AGN327" s="243"/>
      <c r="AGO327" s="243"/>
      <c r="AGP327" s="243"/>
      <c r="AGQ327" s="243"/>
      <c r="AGR327" s="243"/>
      <c r="AGS327" s="243"/>
      <c r="AGT327" s="243"/>
      <c r="AGU327" s="243"/>
      <c r="AGV327" s="243"/>
      <c r="AGW327" s="243"/>
      <c r="AGX327" s="243"/>
      <c r="AGY327" s="243"/>
      <c r="AGZ327" s="243"/>
      <c r="AHA327" s="243"/>
      <c r="AHB327" s="243"/>
      <c r="AHC327" s="243"/>
      <c r="AHD327" s="243"/>
      <c r="AHE327" s="243"/>
      <c r="AHF327" s="243"/>
      <c r="AHG327" s="243"/>
      <c r="AHH327" s="243"/>
      <c r="AHI327" s="243"/>
      <c r="AHJ327" s="243"/>
      <c r="AHK327" s="243"/>
      <c r="AHL327" s="243"/>
      <c r="AHM327" s="243"/>
      <c r="AHN327" s="243"/>
      <c r="AHO327" s="243"/>
      <c r="AHP327" s="243"/>
      <c r="AHQ327" s="243"/>
      <c r="AHR327" s="243"/>
      <c r="AHS327" s="243"/>
      <c r="AHT327" s="243"/>
      <c r="AHU327" s="243"/>
      <c r="AHV327" s="243"/>
      <c r="AHW327" s="243"/>
      <c r="AHX327" s="243"/>
      <c r="AHY327" s="243"/>
      <c r="AHZ327" s="243"/>
      <c r="AIA327" s="243"/>
      <c r="AIB327" s="243"/>
      <c r="AIC327" s="243"/>
      <c r="AID327" s="243"/>
      <c r="AIE327" s="243"/>
      <c r="AIF327" s="243"/>
      <c r="AIG327" s="243"/>
      <c r="AIH327" s="243"/>
      <c r="AII327" s="243"/>
      <c r="AIJ327" s="243"/>
      <c r="AIK327" s="243"/>
      <c r="AIL327" s="243"/>
      <c r="AIM327" s="243"/>
      <c r="AIN327" s="243"/>
      <c r="AIO327" s="243"/>
      <c r="AIP327" s="243"/>
      <c r="AIQ327" s="243"/>
      <c r="AIR327" s="243"/>
      <c r="AIS327" s="243"/>
      <c r="AIT327" s="243"/>
      <c r="AIU327" s="243"/>
      <c r="AIV327" s="243"/>
      <c r="AIW327" s="243"/>
      <c r="AIX327" s="243"/>
      <c r="AIY327" s="243"/>
      <c r="AIZ327" s="243"/>
      <c r="AJA327" s="243"/>
      <c r="AJB327" s="243"/>
      <c r="AJC327" s="243"/>
      <c r="AJD327" s="243"/>
      <c r="AJE327" s="243"/>
      <c r="AJF327" s="243"/>
      <c r="AJG327" s="243"/>
      <c r="AJH327" s="243"/>
      <c r="AJI327" s="243"/>
      <c r="AJJ327" s="243"/>
      <c r="AJK327" s="243"/>
      <c r="AJL327" s="243"/>
      <c r="AJM327" s="243"/>
      <c r="AJN327" s="243"/>
      <c r="AJO327" s="243"/>
      <c r="AJP327" s="243"/>
      <c r="AJQ327" s="243"/>
      <c r="AJR327" s="243"/>
      <c r="AJS327" s="243"/>
      <c r="AJT327" s="243"/>
      <c r="AJU327" s="243"/>
      <c r="AJV327" s="243"/>
      <c r="AJW327" s="243"/>
      <c r="AJX327" s="243"/>
      <c r="AJY327" s="243"/>
      <c r="AJZ327" s="243"/>
      <c r="AKA327" s="243"/>
      <c r="AKB327" s="243"/>
      <c r="AKC327" s="243"/>
      <c r="AKD327" s="243"/>
      <c r="AKE327" s="243"/>
      <c r="AKF327" s="243"/>
      <c r="AKG327" s="243"/>
      <c r="AKH327" s="243"/>
      <c r="AKI327" s="243"/>
      <c r="AKJ327" s="243"/>
      <c r="AKK327" s="243"/>
      <c r="AKL327" s="243"/>
      <c r="AKM327" s="243"/>
      <c r="AKN327" s="243"/>
      <c r="AKO327" s="243"/>
      <c r="AKP327" s="243"/>
      <c r="AKQ327" s="243"/>
      <c r="AKR327" s="243"/>
      <c r="AKS327" s="243"/>
      <c r="AKT327" s="243"/>
      <c r="AKU327" s="243"/>
      <c r="AKV327" s="243"/>
      <c r="AKW327" s="243"/>
      <c r="AKX327" s="243"/>
      <c r="AKY327" s="243"/>
      <c r="AKZ327" s="243"/>
      <c r="ALA327" s="243"/>
      <c r="ALB327" s="243"/>
      <c r="ALC327" s="243"/>
      <c r="ALD327" s="243"/>
      <c r="ALE327" s="243"/>
      <c r="ALF327" s="243"/>
      <c r="ALG327" s="243"/>
      <c r="ALH327" s="243"/>
      <c r="ALI327" s="243"/>
      <c r="ALJ327" s="243"/>
      <c r="ALK327" s="243"/>
      <c r="ALL327" s="243"/>
      <c r="ALM327" s="243"/>
      <c r="ALN327" s="243"/>
      <c r="ALO327" s="243"/>
      <c r="ALP327" s="243"/>
      <c r="ALQ327" s="243"/>
      <c r="ALR327" s="243"/>
      <c r="ALS327" s="243"/>
      <c r="ALT327" s="243"/>
      <c r="ALU327" s="243"/>
      <c r="ALV327" s="243"/>
      <c r="ALW327" s="243"/>
      <c r="ALX327" s="243"/>
      <c r="ALY327" s="243"/>
      <c r="ALZ327" s="243"/>
      <c r="AMA327" s="243"/>
      <c r="AMB327" s="243"/>
      <c r="AMC327" s="243"/>
      <c r="AMD327" s="243"/>
      <c r="AME327" s="243"/>
      <c r="AMF327" s="243"/>
      <c r="AMG327" s="243"/>
      <c r="AMH327" s="243"/>
      <c r="AMI327" s="244"/>
      <c r="AMJ327" s="244"/>
    </row>
    <row r="328" spans="1:1024" ht="43.5">
      <c r="A328" s="1044" t="s">
        <v>174</v>
      </c>
      <c r="B328" s="1045">
        <v>64</v>
      </c>
      <c r="C328" s="1045">
        <v>51200000</v>
      </c>
      <c r="D328" s="1046">
        <v>18</v>
      </c>
      <c r="E328" s="392"/>
      <c r="F328" s="390"/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243"/>
      <c r="S328" s="243"/>
      <c r="T328" s="243"/>
      <c r="U328" s="243"/>
      <c r="V328" s="243"/>
      <c r="W328" s="243"/>
      <c r="X328" s="243"/>
      <c r="Y328" s="243"/>
      <c r="Z328" s="243"/>
      <c r="AA328" s="243"/>
      <c r="AB328" s="243"/>
      <c r="AC328" s="243"/>
      <c r="AD328" s="243"/>
      <c r="AE328" s="243"/>
      <c r="AF328" s="243"/>
      <c r="AG328" s="243"/>
      <c r="AH328" s="243"/>
      <c r="AI328" s="243"/>
      <c r="AJ328" s="243"/>
      <c r="AK328" s="243"/>
      <c r="AL328" s="243"/>
      <c r="AM328" s="243"/>
      <c r="AN328" s="243"/>
      <c r="AO328" s="243"/>
      <c r="AP328" s="243"/>
      <c r="AQ328" s="243"/>
      <c r="AR328" s="243"/>
      <c r="AS328" s="243"/>
      <c r="AT328" s="243"/>
      <c r="AU328" s="243"/>
      <c r="AV328" s="243"/>
      <c r="AW328" s="243"/>
      <c r="AX328" s="243"/>
      <c r="AY328" s="243"/>
      <c r="AZ328" s="243"/>
      <c r="BA328" s="243"/>
      <c r="BB328" s="243"/>
      <c r="BC328" s="243"/>
      <c r="BD328" s="243"/>
      <c r="BE328" s="243"/>
      <c r="BF328" s="243"/>
      <c r="BG328" s="243"/>
      <c r="BH328" s="243"/>
      <c r="BI328" s="243"/>
      <c r="BJ328" s="243"/>
      <c r="BK328" s="243"/>
      <c r="BL328" s="243"/>
      <c r="BM328" s="243"/>
      <c r="BN328" s="243"/>
      <c r="BO328" s="243"/>
      <c r="BP328" s="243"/>
      <c r="BQ328" s="243"/>
      <c r="BR328" s="243"/>
      <c r="BS328" s="243"/>
      <c r="BT328" s="243"/>
      <c r="BU328" s="243"/>
      <c r="BV328" s="243"/>
      <c r="BW328" s="243"/>
      <c r="BX328" s="243"/>
      <c r="BY328" s="243"/>
      <c r="BZ328" s="243"/>
      <c r="CA328" s="243"/>
      <c r="CB328" s="243"/>
      <c r="CC328" s="243"/>
      <c r="CD328" s="243"/>
      <c r="CE328" s="243"/>
      <c r="CF328" s="243"/>
      <c r="CG328" s="243"/>
      <c r="CH328" s="243"/>
      <c r="CI328" s="243"/>
      <c r="CJ328" s="243"/>
      <c r="CK328" s="243"/>
      <c r="CL328" s="243"/>
      <c r="CM328" s="243"/>
      <c r="CN328" s="243"/>
      <c r="CO328" s="243"/>
      <c r="CP328" s="243"/>
      <c r="CQ328" s="243"/>
      <c r="CR328" s="243"/>
      <c r="CS328" s="243"/>
      <c r="CT328" s="243"/>
      <c r="CU328" s="243"/>
      <c r="CV328" s="243"/>
      <c r="CW328" s="243"/>
      <c r="CX328" s="243"/>
      <c r="CY328" s="243"/>
      <c r="CZ328" s="243"/>
      <c r="DA328" s="243"/>
      <c r="DB328" s="243"/>
      <c r="DC328" s="243"/>
      <c r="DD328" s="243"/>
      <c r="DE328" s="243"/>
      <c r="DF328" s="243"/>
      <c r="DG328" s="243"/>
      <c r="DH328" s="243"/>
      <c r="DI328" s="243"/>
      <c r="DJ328" s="243"/>
      <c r="DK328" s="243"/>
      <c r="DL328" s="243"/>
      <c r="DM328" s="243"/>
      <c r="DN328" s="243"/>
      <c r="DO328" s="243"/>
      <c r="DP328" s="243"/>
      <c r="DQ328" s="243"/>
      <c r="DR328" s="243"/>
      <c r="DS328" s="243"/>
      <c r="DT328" s="243"/>
      <c r="DU328" s="243"/>
      <c r="DV328" s="243"/>
      <c r="DW328" s="243"/>
      <c r="DX328" s="243"/>
      <c r="DY328" s="243"/>
      <c r="DZ328" s="243"/>
      <c r="EA328" s="243"/>
      <c r="EB328" s="243"/>
      <c r="EC328" s="243"/>
      <c r="ED328" s="243"/>
      <c r="EE328" s="243"/>
      <c r="EF328" s="243"/>
      <c r="EG328" s="243"/>
      <c r="EH328" s="243"/>
      <c r="EI328" s="243"/>
      <c r="EJ328" s="243"/>
      <c r="EK328" s="243"/>
      <c r="EL328" s="243"/>
      <c r="EM328" s="243"/>
      <c r="EN328" s="243"/>
      <c r="EO328" s="243"/>
      <c r="EP328" s="243"/>
      <c r="EQ328" s="243"/>
      <c r="ER328" s="243"/>
      <c r="ES328" s="243"/>
      <c r="ET328" s="243"/>
      <c r="EU328" s="243"/>
      <c r="EV328" s="243"/>
      <c r="EW328" s="243"/>
      <c r="EX328" s="243"/>
      <c r="EY328" s="243"/>
      <c r="EZ328" s="243"/>
      <c r="FA328" s="243"/>
      <c r="FB328" s="243"/>
      <c r="FC328" s="243"/>
      <c r="FD328" s="243"/>
      <c r="FE328" s="243"/>
      <c r="FF328" s="243"/>
      <c r="FG328" s="243"/>
      <c r="FH328" s="243"/>
      <c r="FI328" s="243"/>
      <c r="FJ328" s="243"/>
      <c r="FK328" s="243"/>
      <c r="FL328" s="243"/>
      <c r="FM328" s="243"/>
      <c r="FN328" s="243"/>
      <c r="FO328" s="243"/>
      <c r="FP328" s="243"/>
      <c r="FQ328" s="243"/>
      <c r="FR328" s="243"/>
      <c r="FS328" s="243"/>
      <c r="FT328" s="243"/>
      <c r="FU328" s="243"/>
      <c r="FV328" s="243"/>
      <c r="FW328" s="243"/>
      <c r="FX328" s="243"/>
      <c r="FY328" s="243"/>
      <c r="FZ328" s="243"/>
      <c r="GA328" s="243"/>
      <c r="GB328" s="243"/>
      <c r="GC328" s="243"/>
      <c r="GD328" s="243"/>
      <c r="GE328" s="243"/>
      <c r="GF328" s="243"/>
      <c r="GG328" s="243"/>
      <c r="GH328" s="243"/>
      <c r="GI328" s="243"/>
      <c r="GJ328" s="243"/>
      <c r="GK328" s="243"/>
      <c r="GL328" s="243"/>
      <c r="GM328" s="243"/>
      <c r="GN328" s="243"/>
      <c r="GO328" s="243"/>
      <c r="GP328" s="243"/>
      <c r="GQ328" s="243"/>
      <c r="GR328" s="243"/>
      <c r="GS328" s="243"/>
      <c r="GT328" s="243"/>
      <c r="GU328" s="243"/>
      <c r="GV328" s="243"/>
      <c r="GW328" s="243"/>
      <c r="GX328" s="243"/>
      <c r="GY328" s="243"/>
      <c r="GZ328" s="243"/>
      <c r="HA328" s="243"/>
      <c r="HB328" s="243"/>
      <c r="HC328" s="243"/>
      <c r="HD328" s="243"/>
      <c r="HE328" s="243"/>
      <c r="HF328" s="243"/>
      <c r="HG328" s="243"/>
      <c r="HH328" s="243"/>
      <c r="HI328" s="243"/>
      <c r="HJ328" s="243"/>
      <c r="HK328" s="243"/>
      <c r="HL328" s="243"/>
      <c r="HM328" s="243"/>
      <c r="HN328" s="243"/>
      <c r="HO328" s="243"/>
      <c r="HP328" s="243"/>
      <c r="HQ328" s="243"/>
      <c r="HR328" s="243"/>
      <c r="HS328" s="243"/>
      <c r="HT328" s="243"/>
      <c r="HU328" s="243"/>
      <c r="HV328" s="243"/>
      <c r="HW328" s="243"/>
      <c r="HX328" s="243"/>
      <c r="HY328" s="243"/>
      <c r="HZ328" s="243"/>
      <c r="IA328" s="243"/>
      <c r="IB328" s="243"/>
      <c r="IC328" s="243"/>
      <c r="ID328" s="243"/>
      <c r="IE328" s="243"/>
      <c r="IF328" s="243"/>
      <c r="IG328" s="243"/>
      <c r="IH328" s="243"/>
      <c r="II328" s="243"/>
      <c r="IJ328" s="243"/>
      <c r="IK328" s="243"/>
      <c r="IL328" s="243"/>
      <c r="IM328" s="243"/>
      <c r="IN328" s="243"/>
      <c r="IO328" s="243"/>
      <c r="IP328" s="243"/>
      <c r="IQ328" s="243"/>
      <c r="IR328" s="243"/>
      <c r="IS328" s="243"/>
      <c r="IT328" s="243"/>
      <c r="IU328" s="243"/>
      <c r="IV328" s="243"/>
      <c r="IW328" s="243"/>
      <c r="IX328" s="243"/>
      <c r="IY328" s="243"/>
      <c r="IZ328" s="243"/>
      <c r="JA328" s="243"/>
      <c r="JB328" s="243"/>
      <c r="JC328" s="243"/>
      <c r="JD328" s="243"/>
      <c r="JE328" s="243"/>
      <c r="JF328" s="243"/>
      <c r="JG328" s="243"/>
      <c r="JH328" s="243"/>
      <c r="JI328" s="243"/>
      <c r="JJ328" s="243"/>
      <c r="JK328" s="243"/>
      <c r="JL328" s="243"/>
      <c r="JM328" s="243"/>
      <c r="JN328" s="243"/>
      <c r="JO328" s="243"/>
      <c r="JP328" s="243"/>
      <c r="JQ328" s="243"/>
      <c r="JR328" s="243"/>
      <c r="JS328" s="243"/>
      <c r="JT328" s="243"/>
      <c r="JU328" s="243"/>
      <c r="JV328" s="243"/>
      <c r="JW328" s="243"/>
      <c r="JX328" s="243"/>
      <c r="JY328" s="243"/>
      <c r="JZ328" s="243"/>
      <c r="KA328" s="243"/>
      <c r="KB328" s="243"/>
      <c r="KC328" s="243"/>
      <c r="KD328" s="243"/>
      <c r="KE328" s="243"/>
      <c r="KF328" s="243"/>
      <c r="KG328" s="243"/>
      <c r="KH328" s="243"/>
      <c r="KI328" s="243"/>
      <c r="KJ328" s="243"/>
      <c r="KK328" s="243"/>
      <c r="KL328" s="243"/>
      <c r="KM328" s="243"/>
      <c r="KN328" s="243"/>
      <c r="KO328" s="243"/>
      <c r="KP328" s="243"/>
      <c r="KQ328" s="243"/>
      <c r="KR328" s="243"/>
      <c r="KS328" s="243"/>
      <c r="KT328" s="243"/>
      <c r="KU328" s="243"/>
      <c r="KV328" s="243"/>
      <c r="KW328" s="243"/>
      <c r="KX328" s="243"/>
      <c r="KY328" s="243"/>
      <c r="KZ328" s="243"/>
      <c r="LA328" s="243"/>
      <c r="LB328" s="243"/>
      <c r="LC328" s="243"/>
      <c r="LD328" s="243"/>
      <c r="LE328" s="243"/>
      <c r="LF328" s="243"/>
      <c r="LG328" s="243"/>
      <c r="LH328" s="243"/>
      <c r="LI328" s="243"/>
      <c r="LJ328" s="243"/>
      <c r="LK328" s="243"/>
      <c r="LL328" s="243"/>
      <c r="LM328" s="243"/>
      <c r="LN328" s="243"/>
      <c r="LO328" s="243"/>
      <c r="LP328" s="243"/>
      <c r="LQ328" s="243"/>
      <c r="LR328" s="243"/>
      <c r="LS328" s="243"/>
      <c r="LT328" s="243"/>
      <c r="LU328" s="243"/>
      <c r="LV328" s="243"/>
      <c r="LW328" s="243"/>
      <c r="LX328" s="243"/>
      <c r="LY328" s="243"/>
      <c r="LZ328" s="243"/>
      <c r="MA328" s="243"/>
      <c r="MB328" s="243"/>
      <c r="MC328" s="243"/>
      <c r="MD328" s="243"/>
      <c r="ME328" s="243"/>
      <c r="MF328" s="243"/>
      <c r="MG328" s="243"/>
      <c r="MH328" s="243"/>
      <c r="MI328" s="243"/>
      <c r="MJ328" s="243"/>
      <c r="MK328" s="243"/>
      <c r="ML328" s="243"/>
      <c r="MM328" s="243"/>
      <c r="MN328" s="243"/>
      <c r="MO328" s="243"/>
      <c r="MP328" s="243"/>
      <c r="MQ328" s="243"/>
      <c r="MR328" s="243"/>
      <c r="MS328" s="243"/>
      <c r="MT328" s="243"/>
      <c r="MU328" s="243"/>
      <c r="MV328" s="243"/>
      <c r="MW328" s="243"/>
      <c r="MX328" s="243"/>
      <c r="MY328" s="243"/>
      <c r="MZ328" s="243"/>
      <c r="NA328" s="243"/>
      <c r="NB328" s="243"/>
      <c r="NC328" s="243"/>
      <c r="ND328" s="243"/>
      <c r="NE328" s="243"/>
      <c r="NF328" s="243"/>
      <c r="NG328" s="243"/>
      <c r="NH328" s="243"/>
      <c r="NI328" s="243"/>
      <c r="NJ328" s="243"/>
      <c r="NK328" s="243"/>
      <c r="NL328" s="243"/>
      <c r="NM328" s="243"/>
      <c r="NN328" s="243"/>
      <c r="NO328" s="243"/>
      <c r="NP328" s="243"/>
      <c r="NQ328" s="243"/>
      <c r="NR328" s="243"/>
      <c r="NS328" s="243"/>
      <c r="NT328" s="243"/>
      <c r="NU328" s="243"/>
      <c r="NV328" s="243"/>
      <c r="NW328" s="243"/>
      <c r="NX328" s="243"/>
      <c r="NY328" s="243"/>
      <c r="NZ328" s="243"/>
      <c r="OA328" s="243"/>
      <c r="OB328" s="243"/>
      <c r="OC328" s="243"/>
      <c r="OD328" s="243"/>
      <c r="OE328" s="243"/>
      <c r="OF328" s="243"/>
      <c r="OG328" s="243"/>
      <c r="OH328" s="243"/>
      <c r="OI328" s="243"/>
      <c r="OJ328" s="243"/>
      <c r="OK328" s="243"/>
      <c r="OL328" s="243"/>
      <c r="OM328" s="243"/>
      <c r="ON328" s="243"/>
      <c r="OO328" s="243"/>
      <c r="OP328" s="243"/>
      <c r="OQ328" s="243"/>
      <c r="OR328" s="243"/>
      <c r="OS328" s="243"/>
      <c r="OT328" s="243"/>
      <c r="OU328" s="243"/>
      <c r="OV328" s="243"/>
      <c r="OW328" s="243"/>
      <c r="OX328" s="243"/>
      <c r="OY328" s="243"/>
      <c r="OZ328" s="243"/>
      <c r="PA328" s="243"/>
      <c r="PB328" s="243"/>
      <c r="PC328" s="243"/>
      <c r="PD328" s="243"/>
      <c r="PE328" s="243"/>
      <c r="PF328" s="243"/>
      <c r="PG328" s="243"/>
      <c r="PH328" s="243"/>
      <c r="PI328" s="243"/>
      <c r="PJ328" s="243"/>
      <c r="PK328" s="243"/>
      <c r="PL328" s="243"/>
      <c r="PM328" s="243"/>
      <c r="PN328" s="243"/>
      <c r="PO328" s="243"/>
      <c r="PP328" s="243"/>
      <c r="PQ328" s="243"/>
      <c r="PR328" s="243"/>
      <c r="PS328" s="243"/>
      <c r="PT328" s="243"/>
      <c r="PU328" s="243"/>
      <c r="PV328" s="243"/>
      <c r="PW328" s="243"/>
      <c r="PX328" s="243"/>
      <c r="PY328" s="243"/>
      <c r="PZ328" s="243"/>
      <c r="QA328" s="243"/>
      <c r="QB328" s="243"/>
      <c r="QC328" s="243"/>
      <c r="QD328" s="243"/>
      <c r="QE328" s="243"/>
      <c r="QF328" s="243"/>
      <c r="QG328" s="243"/>
      <c r="QH328" s="243"/>
      <c r="QI328" s="243"/>
      <c r="QJ328" s="243"/>
      <c r="QK328" s="243"/>
      <c r="QL328" s="243"/>
      <c r="QM328" s="243"/>
      <c r="QN328" s="243"/>
      <c r="QO328" s="243"/>
      <c r="QP328" s="243"/>
      <c r="QQ328" s="243"/>
      <c r="QR328" s="243"/>
      <c r="QS328" s="243"/>
      <c r="QT328" s="243"/>
      <c r="QU328" s="243"/>
      <c r="QV328" s="243"/>
      <c r="QW328" s="243"/>
      <c r="QX328" s="243"/>
      <c r="QY328" s="243"/>
      <c r="QZ328" s="243"/>
      <c r="RA328" s="243"/>
      <c r="RB328" s="243"/>
      <c r="RC328" s="243"/>
      <c r="RD328" s="243"/>
      <c r="RE328" s="243"/>
      <c r="RF328" s="243"/>
      <c r="RG328" s="243"/>
      <c r="RH328" s="243"/>
      <c r="RI328" s="243"/>
      <c r="RJ328" s="243"/>
      <c r="RK328" s="243"/>
      <c r="RL328" s="243"/>
      <c r="RM328" s="243"/>
      <c r="RN328" s="243"/>
      <c r="RO328" s="243"/>
      <c r="RP328" s="243"/>
      <c r="RQ328" s="243"/>
      <c r="RR328" s="243"/>
      <c r="RS328" s="243"/>
      <c r="RT328" s="243"/>
      <c r="RU328" s="243"/>
      <c r="RV328" s="243"/>
      <c r="RW328" s="243"/>
      <c r="RX328" s="243"/>
      <c r="RY328" s="243"/>
      <c r="RZ328" s="243"/>
      <c r="SA328" s="243"/>
      <c r="SB328" s="243"/>
      <c r="SC328" s="243"/>
      <c r="SD328" s="243"/>
      <c r="SE328" s="243"/>
      <c r="SF328" s="243"/>
      <c r="SG328" s="243"/>
      <c r="SH328" s="243"/>
      <c r="SI328" s="243"/>
      <c r="SJ328" s="243"/>
      <c r="SK328" s="243"/>
      <c r="SL328" s="243"/>
      <c r="SM328" s="243"/>
      <c r="SN328" s="243"/>
      <c r="SO328" s="243"/>
      <c r="SP328" s="243"/>
      <c r="SQ328" s="243"/>
      <c r="SR328" s="243"/>
      <c r="SS328" s="243"/>
      <c r="ST328" s="243"/>
      <c r="SU328" s="243"/>
      <c r="SV328" s="243"/>
      <c r="SW328" s="243"/>
      <c r="SX328" s="243"/>
      <c r="SY328" s="243"/>
      <c r="SZ328" s="243"/>
      <c r="TA328" s="243"/>
      <c r="TB328" s="243"/>
      <c r="TC328" s="243"/>
      <c r="TD328" s="243"/>
      <c r="TE328" s="243"/>
      <c r="TF328" s="243"/>
      <c r="TG328" s="243"/>
      <c r="TH328" s="243"/>
      <c r="TI328" s="243"/>
      <c r="TJ328" s="243"/>
      <c r="TK328" s="243"/>
      <c r="TL328" s="243"/>
      <c r="TM328" s="243"/>
      <c r="TN328" s="243"/>
      <c r="TO328" s="243"/>
      <c r="TP328" s="243"/>
      <c r="TQ328" s="243"/>
      <c r="TR328" s="243"/>
      <c r="TS328" s="243"/>
      <c r="TT328" s="243"/>
      <c r="TU328" s="243"/>
      <c r="TV328" s="243"/>
      <c r="TW328" s="243"/>
      <c r="TX328" s="243"/>
      <c r="TY328" s="243"/>
      <c r="TZ328" s="243"/>
      <c r="UA328" s="243"/>
      <c r="UB328" s="243"/>
      <c r="UC328" s="243"/>
      <c r="UD328" s="243"/>
      <c r="UE328" s="243"/>
      <c r="UF328" s="243"/>
      <c r="UG328" s="243"/>
      <c r="UH328" s="243"/>
      <c r="UI328" s="243"/>
      <c r="UJ328" s="243"/>
      <c r="UK328" s="243"/>
      <c r="UL328" s="243"/>
      <c r="UM328" s="243"/>
      <c r="UN328" s="243"/>
      <c r="UO328" s="243"/>
      <c r="UP328" s="243"/>
      <c r="UQ328" s="243"/>
      <c r="UR328" s="243"/>
      <c r="US328" s="243"/>
      <c r="UT328" s="243"/>
      <c r="UU328" s="243"/>
      <c r="UV328" s="243"/>
      <c r="UW328" s="243"/>
      <c r="UX328" s="243"/>
      <c r="UY328" s="243"/>
      <c r="UZ328" s="243"/>
      <c r="VA328" s="243"/>
      <c r="VB328" s="243"/>
      <c r="VC328" s="243"/>
      <c r="VD328" s="243"/>
      <c r="VE328" s="243"/>
      <c r="VF328" s="243"/>
      <c r="VG328" s="243"/>
      <c r="VH328" s="243"/>
      <c r="VI328" s="243"/>
      <c r="VJ328" s="243"/>
      <c r="VK328" s="243"/>
      <c r="VL328" s="243"/>
      <c r="VM328" s="243"/>
      <c r="VN328" s="243"/>
      <c r="VO328" s="243"/>
      <c r="VP328" s="243"/>
      <c r="VQ328" s="243"/>
      <c r="VR328" s="243"/>
      <c r="VS328" s="243"/>
      <c r="VT328" s="243"/>
      <c r="VU328" s="243"/>
      <c r="VV328" s="243"/>
      <c r="VW328" s="243"/>
      <c r="VX328" s="243"/>
      <c r="VY328" s="243"/>
      <c r="VZ328" s="243"/>
      <c r="WA328" s="243"/>
      <c r="WB328" s="243"/>
      <c r="WC328" s="243"/>
      <c r="WD328" s="243"/>
      <c r="WE328" s="243"/>
      <c r="WF328" s="243"/>
      <c r="WG328" s="243"/>
      <c r="WH328" s="243"/>
      <c r="WI328" s="243"/>
      <c r="WJ328" s="243"/>
      <c r="WK328" s="243"/>
      <c r="WL328" s="243"/>
      <c r="WM328" s="243"/>
      <c r="WN328" s="243"/>
      <c r="WO328" s="243"/>
      <c r="WP328" s="243"/>
      <c r="WQ328" s="243"/>
      <c r="WR328" s="243"/>
      <c r="WS328" s="243"/>
      <c r="WT328" s="243"/>
      <c r="WU328" s="243"/>
      <c r="WV328" s="243"/>
      <c r="WW328" s="243"/>
      <c r="WX328" s="243"/>
      <c r="WY328" s="243"/>
      <c r="WZ328" s="243"/>
      <c r="XA328" s="243"/>
      <c r="XB328" s="243"/>
      <c r="XC328" s="243"/>
      <c r="XD328" s="243"/>
      <c r="XE328" s="243"/>
      <c r="XF328" s="243"/>
      <c r="XG328" s="243"/>
      <c r="XH328" s="243"/>
      <c r="XI328" s="243"/>
      <c r="XJ328" s="243"/>
      <c r="XK328" s="243"/>
      <c r="XL328" s="243"/>
      <c r="XM328" s="243"/>
      <c r="XN328" s="243"/>
      <c r="XO328" s="243"/>
      <c r="XP328" s="243"/>
      <c r="XQ328" s="243"/>
      <c r="XR328" s="243"/>
      <c r="XS328" s="243"/>
      <c r="XT328" s="243"/>
      <c r="XU328" s="243"/>
      <c r="XV328" s="243"/>
      <c r="XW328" s="243"/>
      <c r="XX328" s="243"/>
      <c r="XY328" s="243"/>
      <c r="XZ328" s="243"/>
      <c r="YA328" s="243"/>
      <c r="YB328" s="243"/>
      <c r="YC328" s="243"/>
      <c r="YD328" s="243"/>
      <c r="YE328" s="243"/>
      <c r="YF328" s="243"/>
      <c r="YG328" s="243"/>
      <c r="YH328" s="243"/>
      <c r="YI328" s="243"/>
      <c r="YJ328" s="243"/>
      <c r="YK328" s="243"/>
      <c r="YL328" s="243"/>
      <c r="YM328" s="243"/>
      <c r="YN328" s="243"/>
      <c r="YO328" s="243"/>
      <c r="YP328" s="243"/>
      <c r="YQ328" s="243"/>
      <c r="YR328" s="243"/>
      <c r="YS328" s="243"/>
      <c r="YT328" s="243"/>
      <c r="YU328" s="243"/>
      <c r="YV328" s="243"/>
      <c r="YW328" s="243"/>
      <c r="YX328" s="243"/>
      <c r="YY328" s="243"/>
      <c r="YZ328" s="243"/>
      <c r="ZA328" s="243"/>
      <c r="ZB328" s="243"/>
      <c r="ZC328" s="243"/>
      <c r="ZD328" s="243"/>
      <c r="ZE328" s="243"/>
      <c r="ZF328" s="243"/>
      <c r="ZG328" s="243"/>
      <c r="ZH328" s="243"/>
      <c r="ZI328" s="243"/>
      <c r="ZJ328" s="243"/>
      <c r="ZK328" s="243"/>
      <c r="ZL328" s="243"/>
      <c r="ZM328" s="243"/>
      <c r="ZN328" s="243"/>
      <c r="ZO328" s="243"/>
      <c r="ZP328" s="243"/>
      <c r="ZQ328" s="243"/>
      <c r="ZR328" s="243"/>
      <c r="ZS328" s="243"/>
      <c r="ZT328" s="243"/>
      <c r="ZU328" s="243"/>
      <c r="ZV328" s="243"/>
      <c r="ZW328" s="243"/>
      <c r="ZX328" s="243"/>
      <c r="ZY328" s="243"/>
      <c r="ZZ328" s="243"/>
      <c r="AAA328" s="243"/>
      <c r="AAB328" s="243"/>
      <c r="AAC328" s="243"/>
      <c r="AAD328" s="243"/>
      <c r="AAE328" s="243"/>
      <c r="AAF328" s="243"/>
      <c r="AAG328" s="243"/>
      <c r="AAH328" s="243"/>
      <c r="AAI328" s="243"/>
      <c r="AAJ328" s="243"/>
      <c r="AAK328" s="243"/>
      <c r="AAL328" s="243"/>
      <c r="AAM328" s="243"/>
      <c r="AAN328" s="243"/>
      <c r="AAO328" s="243"/>
      <c r="AAP328" s="243"/>
      <c r="AAQ328" s="243"/>
      <c r="AAR328" s="243"/>
      <c r="AAS328" s="243"/>
      <c r="AAT328" s="243"/>
      <c r="AAU328" s="243"/>
      <c r="AAV328" s="243"/>
      <c r="AAW328" s="243"/>
      <c r="AAX328" s="243"/>
      <c r="AAY328" s="243"/>
      <c r="AAZ328" s="243"/>
      <c r="ABA328" s="243"/>
      <c r="ABB328" s="243"/>
      <c r="ABC328" s="243"/>
      <c r="ABD328" s="243"/>
      <c r="ABE328" s="243"/>
      <c r="ABF328" s="243"/>
      <c r="ABG328" s="243"/>
      <c r="ABH328" s="243"/>
      <c r="ABI328" s="243"/>
      <c r="ABJ328" s="243"/>
      <c r="ABK328" s="243"/>
      <c r="ABL328" s="243"/>
      <c r="ABM328" s="243"/>
      <c r="ABN328" s="243"/>
      <c r="ABO328" s="243"/>
      <c r="ABP328" s="243"/>
      <c r="ABQ328" s="243"/>
      <c r="ABR328" s="243"/>
      <c r="ABS328" s="243"/>
      <c r="ABT328" s="243"/>
      <c r="ABU328" s="243"/>
      <c r="ABV328" s="243"/>
      <c r="ABW328" s="243"/>
      <c r="ABX328" s="243"/>
      <c r="ABY328" s="243"/>
      <c r="ABZ328" s="243"/>
      <c r="ACA328" s="243"/>
      <c r="ACB328" s="243"/>
      <c r="ACC328" s="243"/>
      <c r="ACD328" s="243"/>
      <c r="ACE328" s="243"/>
      <c r="ACF328" s="243"/>
      <c r="ACG328" s="243"/>
      <c r="ACH328" s="243"/>
      <c r="ACI328" s="243"/>
      <c r="ACJ328" s="243"/>
      <c r="ACK328" s="243"/>
      <c r="ACL328" s="243"/>
      <c r="ACM328" s="243"/>
      <c r="ACN328" s="243"/>
      <c r="ACO328" s="243"/>
      <c r="ACP328" s="243"/>
      <c r="ACQ328" s="243"/>
      <c r="ACR328" s="243"/>
      <c r="ACS328" s="243"/>
      <c r="ACT328" s="243"/>
      <c r="ACU328" s="243"/>
      <c r="ACV328" s="243"/>
      <c r="ACW328" s="243"/>
      <c r="ACX328" s="243"/>
      <c r="ACY328" s="243"/>
      <c r="ACZ328" s="243"/>
      <c r="ADA328" s="243"/>
      <c r="ADB328" s="243"/>
      <c r="ADC328" s="243"/>
      <c r="ADD328" s="243"/>
      <c r="ADE328" s="243"/>
      <c r="ADF328" s="243"/>
      <c r="ADG328" s="243"/>
      <c r="ADH328" s="243"/>
      <c r="ADI328" s="243"/>
      <c r="ADJ328" s="243"/>
      <c r="ADK328" s="243"/>
      <c r="ADL328" s="243"/>
      <c r="ADM328" s="243"/>
      <c r="ADN328" s="243"/>
      <c r="ADO328" s="243"/>
      <c r="ADP328" s="243"/>
      <c r="ADQ328" s="243"/>
      <c r="ADR328" s="243"/>
      <c r="ADS328" s="243"/>
      <c r="ADT328" s="243"/>
      <c r="ADU328" s="243"/>
      <c r="ADV328" s="243"/>
      <c r="ADW328" s="243"/>
      <c r="ADX328" s="243"/>
      <c r="ADY328" s="243"/>
      <c r="ADZ328" s="243"/>
      <c r="AEA328" s="243"/>
      <c r="AEB328" s="243"/>
      <c r="AEC328" s="243"/>
      <c r="AED328" s="243"/>
      <c r="AEE328" s="243"/>
      <c r="AEF328" s="243"/>
      <c r="AEG328" s="243"/>
      <c r="AEH328" s="243"/>
      <c r="AEI328" s="243"/>
      <c r="AEJ328" s="243"/>
      <c r="AEK328" s="243"/>
      <c r="AEL328" s="243"/>
      <c r="AEM328" s="243"/>
      <c r="AEN328" s="243"/>
      <c r="AEO328" s="243"/>
      <c r="AEP328" s="243"/>
      <c r="AEQ328" s="243"/>
      <c r="AER328" s="243"/>
      <c r="AES328" s="243"/>
      <c r="AET328" s="243"/>
      <c r="AEU328" s="243"/>
      <c r="AEV328" s="243"/>
      <c r="AEW328" s="243"/>
      <c r="AEX328" s="243"/>
      <c r="AEY328" s="243"/>
      <c r="AEZ328" s="243"/>
      <c r="AFA328" s="243"/>
      <c r="AFB328" s="243"/>
      <c r="AFC328" s="243"/>
      <c r="AFD328" s="243"/>
      <c r="AFE328" s="243"/>
      <c r="AFF328" s="243"/>
      <c r="AFG328" s="243"/>
      <c r="AFH328" s="243"/>
      <c r="AFI328" s="243"/>
      <c r="AFJ328" s="243"/>
      <c r="AFK328" s="243"/>
      <c r="AFL328" s="243"/>
      <c r="AFM328" s="243"/>
      <c r="AFN328" s="243"/>
      <c r="AFO328" s="243"/>
      <c r="AFP328" s="243"/>
      <c r="AFQ328" s="243"/>
      <c r="AFR328" s="243"/>
      <c r="AFS328" s="243"/>
      <c r="AFT328" s="243"/>
      <c r="AFU328" s="243"/>
      <c r="AFV328" s="243"/>
      <c r="AFW328" s="243"/>
      <c r="AFX328" s="243"/>
      <c r="AFY328" s="243"/>
      <c r="AFZ328" s="243"/>
      <c r="AGA328" s="243"/>
      <c r="AGB328" s="243"/>
      <c r="AGC328" s="243"/>
      <c r="AGD328" s="243"/>
      <c r="AGE328" s="243"/>
      <c r="AGF328" s="243"/>
      <c r="AGG328" s="243"/>
      <c r="AGH328" s="243"/>
      <c r="AGI328" s="243"/>
      <c r="AGJ328" s="243"/>
      <c r="AGK328" s="243"/>
      <c r="AGL328" s="243"/>
      <c r="AGM328" s="243"/>
      <c r="AGN328" s="243"/>
      <c r="AGO328" s="243"/>
      <c r="AGP328" s="243"/>
      <c r="AGQ328" s="243"/>
      <c r="AGR328" s="243"/>
      <c r="AGS328" s="243"/>
      <c r="AGT328" s="243"/>
      <c r="AGU328" s="243"/>
      <c r="AGV328" s="243"/>
      <c r="AGW328" s="243"/>
      <c r="AGX328" s="243"/>
      <c r="AGY328" s="243"/>
      <c r="AGZ328" s="243"/>
      <c r="AHA328" s="243"/>
      <c r="AHB328" s="243"/>
      <c r="AHC328" s="243"/>
      <c r="AHD328" s="243"/>
      <c r="AHE328" s="243"/>
      <c r="AHF328" s="243"/>
      <c r="AHG328" s="243"/>
      <c r="AHH328" s="243"/>
      <c r="AHI328" s="243"/>
      <c r="AHJ328" s="243"/>
      <c r="AHK328" s="243"/>
      <c r="AHL328" s="243"/>
      <c r="AHM328" s="243"/>
      <c r="AHN328" s="243"/>
      <c r="AHO328" s="243"/>
      <c r="AHP328" s="243"/>
      <c r="AHQ328" s="243"/>
      <c r="AHR328" s="243"/>
      <c r="AHS328" s="243"/>
      <c r="AHT328" s="243"/>
      <c r="AHU328" s="243"/>
      <c r="AHV328" s="243"/>
      <c r="AHW328" s="243"/>
      <c r="AHX328" s="243"/>
      <c r="AHY328" s="243"/>
      <c r="AHZ328" s="243"/>
      <c r="AIA328" s="243"/>
      <c r="AIB328" s="243"/>
      <c r="AIC328" s="243"/>
      <c r="AID328" s="243"/>
      <c r="AIE328" s="243"/>
      <c r="AIF328" s="243"/>
      <c r="AIG328" s="243"/>
      <c r="AIH328" s="243"/>
      <c r="AII328" s="243"/>
      <c r="AIJ328" s="243"/>
      <c r="AIK328" s="243"/>
      <c r="AIL328" s="243"/>
      <c r="AIM328" s="243"/>
      <c r="AIN328" s="243"/>
      <c r="AIO328" s="243"/>
      <c r="AIP328" s="243"/>
      <c r="AIQ328" s="243"/>
      <c r="AIR328" s="243"/>
      <c r="AIS328" s="243"/>
      <c r="AIT328" s="243"/>
      <c r="AIU328" s="243"/>
      <c r="AIV328" s="243"/>
      <c r="AIW328" s="243"/>
      <c r="AIX328" s="243"/>
      <c r="AIY328" s="243"/>
      <c r="AIZ328" s="243"/>
      <c r="AJA328" s="243"/>
      <c r="AJB328" s="243"/>
      <c r="AJC328" s="243"/>
      <c r="AJD328" s="243"/>
      <c r="AJE328" s="243"/>
      <c r="AJF328" s="243"/>
      <c r="AJG328" s="243"/>
      <c r="AJH328" s="243"/>
      <c r="AJI328" s="243"/>
      <c r="AJJ328" s="243"/>
      <c r="AJK328" s="243"/>
      <c r="AJL328" s="243"/>
      <c r="AJM328" s="243"/>
      <c r="AJN328" s="243"/>
      <c r="AJO328" s="243"/>
      <c r="AJP328" s="243"/>
      <c r="AJQ328" s="243"/>
      <c r="AJR328" s="243"/>
      <c r="AJS328" s="243"/>
      <c r="AJT328" s="243"/>
      <c r="AJU328" s="243"/>
      <c r="AJV328" s="243"/>
      <c r="AJW328" s="243"/>
      <c r="AJX328" s="243"/>
      <c r="AJY328" s="243"/>
      <c r="AJZ328" s="243"/>
      <c r="AKA328" s="243"/>
      <c r="AKB328" s="243"/>
      <c r="AKC328" s="243"/>
      <c r="AKD328" s="243"/>
      <c r="AKE328" s="243"/>
      <c r="AKF328" s="243"/>
      <c r="AKG328" s="243"/>
      <c r="AKH328" s="243"/>
      <c r="AKI328" s="243"/>
      <c r="AKJ328" s="243"/>
      <c r="AKK328" s="243"/>
      <c r="AKL328" s="243"/>
      <c r="AKM328" s="243"/>
      <c r="AKN328" s="243"/>
      <c r="AKO328" s="243"/>
      <c r="AKP328" s="243"/>
      <c r="AKQ328" s="243"/>
      <c r="AKR328" s="243"/>
      <c r="AKS328" s="243"/>
      <c r="AKT328" s="243"/>
      <c r="AKU328" s="243"/>
      <c r="AKV328" s="243"/>
      <c r="AKW328" s="243"/>
      <c r="AKX328" s="243"/>
      <c r="AKY328" s="243"/>
      <c r="AKZ328" s="243"/>
      <c r="ALA328" s="243"/>
      <c r="ALB328" s="243"/>
      <c r="ALC328" s="243"/>
      <c r="ALD328" s="243"/>
      <c r="ALE328" s="243"/>
      <c r="ALF328" s="243"/>
      <c r="ALG328" s="243"/>
      <c r="ALH328" s="243"/>
      <c r="ALI328" s="243"/>
      <c r="ALJ328" s="243"/>
      <c r="ALK328" s="243"/>
      <c r="ALL328" s="243"/>
      <c r="ALM328" s="243"/>
      <c r="ALN328" s="243"/>
      <c r="ALO328" s="243"/>
      <c r="ALP328" s="243"/>
      <c r="ALQ328" s="243"/>
      <c r="ALR328" s="243"/>
      <c r="ALS328" s="243"/>
      <c r="ALT328" s="243"/>
      <c r="ALU328" s="243"/>
      <c r="ALV328" s="243"/>
      <c r="ALW328" s="243"/>
      <c r="ALX328" s="243"/>
      <c r="ALY328" s="243"/>
      <c r="ALZ328" s="243"/>
      <c r="AMA328" s="243"/>
      <c r="AMB328" s="243"/>
      <c r="AMC328" s="243"/>
      <c r="AMD328" s="243"/>
      <c r="AME328" s="243"/>
      <c r="AMF328" s="243"/>
      <c r="AMG328" s="243"/>
      <c r="AMH328" s="243"/>
      <c r="AMI328" s="244"/>
      <c r="AMJ328" s="244"/>
    </row>
    <row r="329" spans="1:1024" ht="43.5">
      <c r="A329" s="1044"/>
      <c r="B329" s="1045"/>
      <c r="C329" s="1045"/>
      <c r="D329" s="1046"/>
      <c r="E329" s="392"/>
      <c r="F329" s="390"/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243"/>
      <c r="S329" s="243"/>
      <c r="T329" s="243"/>
      <c r="U329" s="243"/>
      <c r="V329" s="243"/>
      <c r="W329" s="243"/>
      <c r="X329" s="243"/>
      <c r="Y329" s="243"/>
      <c r="Z329" s="243"/>
      <c r="AA329" s="243"/>
      <c r="AB329" s="243"/>
      <c r="AC329" s="243"/>
      <c r="AD329" s="243"/>
      <c r="AE329" s="243"/>
      <c r="AF329" s="243"/>
      <c r="AG329" s="243"/>
      <c r="AH329" s="243"/>
      <c r="AI329" s="243"/>
      <c r="AJ329" s="243"/>
      <c r="AK329" s="243"/>
      <c r="AL329" s="243"/>
      <c r="AM329" s="243"/>
      <c r="AN329" s="243"/>
      <c r="AO329" s="243"/>
      <c r="AP329" s="243"/>
      <c r="AQ329" s="243"/>
      <c r="AR329" s="243"/>
      <c r="AS329" s="243"/>
      <c r="AT329" s="243"/>
      <c r="AU329" s="243"/>
      <c r="AV329" s="243"/>
      <c r="AW329" s="243"/>
      <c r="AX329" s="243"/>
      <c r="AY329" s="243"/>
      <c r="AZ329" s="243"/>
      <c r="BA329" s="243"/>
      <c r="BB329" s="243"/>
      <c r="BC329" s="243"/>
      <c r="BD329" s="243"/>
      <c r="BE329" s="243"/>
      <c r="BF329" s="243"/>
      <c r="BG329" s="243"/>
      <c r="BH329" s="243"/>
      <c r="BI329" s="243"/>
      <c r="BJ329" s="243"/>
      <c r="BK329" s="243"/>
      <c r="BL329" s="243"/>
      <c r="BM329" s="243"/>
      <c r="BN329" s="243"/>
      <c r="BO329" s="243"/>
      <c r="BP329" s="243"/>
      <c r="BQ329" s="243"/>
      <c r="BR329" s="243"/>
      <c r="BS329" s="243"/>
      <c r="BT329" s="243"/>
      <c r="BU329" s="243"/>
      <c r="BV329" s="243"/>
      <c r="BW329" s="243"/>
      <c r="BX329" s="243"/>
      <c r="BY329" s="243"/>
      <c r="BZ329" s="243"/>
      <c r="CA329" s="243"/>
      <c r="CB329" s="243"/>
      <c r="CC329" s="243"/>
      <c r="CD329" s="243"/>
      <c r="CE329" s="243"/>
      <c r="CF329" s="243"/>
      <c r="CG329" s="243"/>
      <c r="CH329" s="243"/>
      <c r="CI329" s="243"/>
      <c r="CJ329" s="243"/>
      <c r="CK329" s="243"/>
      <c r="CL329" s="243"/>
      <c r="CM329" s="243"/>
      <c r="CN329" s="243"/>
      <c r="CO329" s="243"/>
      <c r="CP329" s="243"/>
      <c r="CQ329" s="243"/>
      <c r="CR329" s="243"/>
      <c r="CS329" s="243"/>
      <c r="CT329" s="243"/>
      <c r="CU329" s="243"/>
      <c r="CV329" s="243"/>
      <c r="CW329" s="243"/>
      <c r="CX329" s="243"/>
      <c r="CY329" s="243"/>
      <c r="CZ329" s="243"/>
      <c r="DA329" s="243"/>
      <c r="DB329" s="243"/>
      <c r="DC329" s="243"/>
      <c r="DD329" s="243"/>
      <c r="DE329" s="243"/>
      <c r="DF329" s="243"/>
      <c r="DG329" s="243"/>
      <c r="DH329" s="243"/>
      <c r="DI329" s="243"/>
      <c r="DJ329" s="243"/>
      <c r="DK329" s="243"/>
      <c r="DL329" s="243"/>
      <c r="DM329" s="243"/>
      <c r="DN329" s="243"/>
      <c r="DO329" s="243"/>
      <c r="DP329" s="243"/>
      <c r="DQ329" s="243"/>
      <c r="DR329" s="243"/>
      <c r="DS329" s="243"/>
      <c r="DT329" s="243"/>
      <c r="DU329" s="243"/>
      <c r="DV329" s="243"/>
      <c r="DW329" s="243"/>
      <c r="DX329" s="243"/>
      <c r="DY329" s="243"/>
      <c r="DZ329" s="243"/>
      <c r="EA329" s="243"/>
      <c r="EB329" s="243"/>
      <c r="EC329" s="243"/>
      <c r="ED329" s="243"/>
      <c r="EE329" s="243"/>
      <c r="EF329" s="243"/>
      <c r="EG329" s="243"/>
      <c r="EH329" s="243"/>
      <c r="EI329" s="243"/>
      <c r="EJ329" s="243"/>
      <c r="EK329" s="243"/>
      <c r="EL329" s="243"/>
      <c r="EM329" s="243"/>
      <c r="EN329" s="243"/>
      <c r="EO329" s="243"/>
      <c r="EP329" s="243"/>
      <c r="EQ329" s="243"/>
      <c r="ER329" s="243"/>
      <c r="ES329" s="243"/>
      <c r="ET329" s="243"/>
      <c r="EU329" s="243"/>
      <c r="EV329" s="243"/>
      <c r="EW329" s="243"/>
      <c r="EX329" s="243"/>
      <c r="EY329" s="243"/>
      <c r="EZ329" s="243"/>
      <c r="FA329" s="243"/>
      <c r="FB329" s="243"/>
      <c r="FC329" s="243"/>
      <c r="FD329" s="243"/>
      <c r="FE329" s="243"/>
      <c r="FF329" s="243"/>
      <c r="FG329" s="243"/>
      <c r="FH329" s="243"/>
      <c r="FI329" s="243"/>
      <c r="FJ329" s="243"/>
      <c r="FK329" s="243"/>
      <c r="FL329" s="243"/>
      <c r="FM329" s="243"/>
      <c r="FN329" s="243"/>
      <c r="FO329" s="243"/>
      <c r="FP329" s="243"/>
      <c r="FQ329" s="243"/>
      <c r="FR329" s="243"/>
      <c r="FS329" s="243"/>
      <c r="FT329" s="243"/>
      <c r="FU329" s="243"/>
      <c r="FV329" s="243"/>
      <c r="FW329" s="243"/>
      <c r="FX329" s="243"/>
      <c r="FY329" s="243"/>
      <c r="FZ329" s="243"/>
      <c r="GA329" s="243"/>
      <c r="GB329" s="243"/>
      <c r="GC329" s="243"/>
      <c r="GD329" s="243"/>
      <c r="GE329" s="243"/>
      <c r="GF329" s="243"/>
      <c r="GG329" s="243"/>
      <c r="GH329" s="243"/>
      <c r="GI329" s="243"/>
      <c r="GJ329" s="243"/>
      <c r="GK329" s="243"/>
      <c r="GL329" s="243"/>
      <c r="GM329" s="243"/>
      <c r="GN329" s="243"/>
      <c r="GO329" s="243"/>
      <c r="GP329" s="243"/>
      <c r="GQ329" s="243"/>
      <c r="GR329" s="243"/>
      <c r="GS329" s="243"/>
      <c r="GT329" s="243"/>
      <c r="GU329" s="243"/>
      <c r="GV329" s="243"/>
      <c r="GW329" s="243"/>
      <c r="GX329" s="243"/>
      <c r="GY329" s="243"/>
      <c r="GZ329" s="243"/>
      <c r="HA329" s="243"/>
      <c r="HB329" s="243"/>
      <c r="HC329" s="243"/>
      <c r="HD329" s="243"/>
      <c r="HE329" s="243"/>
      <c r="HF329" s="243"/>
      <c r="HG329" s="243"/>
      <c r="HH329" s="243"/>
      <c r="HI329" s="243"/>
      <c r="HJ329" s="243"/>
      <c r="HK329" s="243"/>
      <c r="HL329" s="243"/>
      <c r="HM329" s="243"/>
      <c r="HN329" s="243"/>
      <c r="HO329" s="243"/>
      <c r="HP329" s="243"/>
      <c r="HQ329" s="243"/>
      <c r="HR329" s="243"/>
      <c r="HS329" s="243"/>
      <c r="HT329" s="243"/>
      <c r="HU329" s="243"/>
      <c r="HV329" s="243"/>
      <c r="HW329" s="243"/>
      <c r="HX329" s="243"/>
      <c r="HY329" s="243"/>
      <c r="HZ329" s="243"/>
      <c r="IA329" s="243"/>
      <c r="IB329" s="243"/>
      <c r="IC329" s="243"/>
      <c r="ID329" s="243"/>
      <c r="IE329" s="243"/>
      <c r="IF329" s="243"/>
      <c r="IG329" s="243"/>
      <c r="IH329" s="243"/>
      <c r="II329" s="243"/>
      <c r="IJ329" s="243"/>
      <c r="IK329" s="243"/>
      <c r="IL329" s="243"/>
      <c r="IM329" s="243"/>
      <c r="IN329" s="243"/>
      <c r="IO329" s="243"/>
      <c r="IP329" s="243"/>
      <c r="IQ329" s="243"/>
      <c r="IR329" s="243"/>
      <c r="IS329" s="243"/>
      <c r="IT329" s="243"/>
      <c r="IU329" s="243"/>
      <c r="IV329" s="243"/>
      <c r="IW329" s="243"/>
      <c r="IX329" s="243"/>
      <c r="IY329" s="243"/>
      <c r="IZ329" s="243"/>
      <c r="JA329" s="243"/>
      <c r="JB329" s="243"/>
      <c r="JC329" s="243"/>
      <c r="JD329" s="243"/>
      <c r="JE329" s="243"/>
      <c r="JF329" s="243"/>
      <c r="JG329" s="243"/>
      <c r="JH329" s="243"/>
      <c r="JI329" s="243"/>
      <c r="JJ329" s="243"/>
      <c r="JK329" s="243"/>
      <c r="JL329" s="243"/>
      <c r="JM329" s="243"/>
      <c r="JN329" s="243"/>
      <c r="JO329" s="243"/>
      <c r="JP329" s="243"/>
      <c r="JQ329" s="243"/>
      <c r="JR329" s="243"/>
      <c r="JS329" s="243"/>
      <c r="JT329" s="243"/>
      <c r="JU329" s="243"/>
      <c r="JV329" s="243"/>
      <c r="JW329" s="243"/>
      <c r="JX329" s="243"/>
      <c r="JY329" s="243"/>
      <c r="JZ329" s="243"/>
      <c r="KA329" s="243"/>
      <c r="KB329" s="243"/>
      <c r="KC329" s="243"/>
      <c r="KD329" s="243"/>
      <c r="KE329" s="243"/>
      <c r="KF329" s="243"/>
      <c r="KG329" s="243"/>
      <c r="KH329" s="243"/>
      <c r="KI329" s="243"/>
      <c r="KJ329" s="243"/>
      <c r="KK329" s="243"/>
      <c r="KL329" s="243"/>
      <c r="KM329" s="243"/>
      <c r="KN329" s="243"/>
      <c r="KO329" s="243"/>
      <c r="KP329" s="243"/>
      <c r="KQ329" s="243"/>
      <c r="KR329" s="243"/>
      <c r="KS329" s="243"/>
      <c r="KT329" s="243"/>
      <c r="KU329" s="243"/>
      <c r="KV329" s="243"/>
      <c r="KW329" s="243"/>
      <c r="KX329" s="243"/>
      <c r="KY329" s="243"/>
      <c r="KZ329" s="243"/>
      <c r="LA329" s="243"/>
      <c r="LB329" s="243"/>
      <c r="LC329" s="243"/>
      <c r="LD329" s="243"/>
      <c r="LE329" s="243"/>
      <c r="LF329" s="243"/>
      <c r="LG329" s="243"/>
      <c r="LH329" s="243"/>
      <c r="LI329" s="243"/>
      <c r="LJ329" s="243"/>
      <c r="LK329" s="243"/>
      <c r="LL329" s="243"/>
      <c r="LM329" s="243"/>
      <c r="LN329" s="243"/>
      <c r="LO329" s="243"/>
      <c r="LP329" s="243"/>
      <c r="LQ329" s="243"/>
      <c r="LR329" s="243"/>
      <c r="LS329" s="243"/>
      <c r="LT329" s="243"/>
      <c r="LU329" s="243"/>
      <c r="LV329" s="243"/>
      <c r="LW329" s="243"/>
      <c r="LX329" s="243"/>
      <c r="LY329" s="243"/>
      <c r="LZ329" s="243"/>
      <c r="MA329" s="243"/>
      <c r="MB329" s="243"/>
      <c r="MC329" s="243"/>
      <c r="MD329" s="243"/>
      <c r="ME329" s="243"/>
      <c r="MF329" s="243"/>
      <c r="MG329" s="243"/>
      <c r="MH329" s="243"/>
      <c r="MI329" s="243"/>
      <c r="MJ329" s="243"/>
      <c r="MK329" s="243"/>
      <c r="ML329" s="243"/>
      <c r="MM329" s="243"/>
      <c r="MN329" s="243"/>
      <c r="MO329" s="243"/>
      <c r="MP329" s="243"/>
      <c r="MQ329" s="243"/>
      <c r="MR329" s="243"/>
      <c r="MS329" s="243"/>
      <c r="MT329" s="243"/>
      <c r="MU329" s="243"/>
      <c r="MV329" s="243"/>
      <c r="MW329" s="243"/>
      <c r="MX329" s="243"/>
      <c r="MY329" s="243"/>
      <c r="MZ329" s="243"/>
      <c r="NA329" s="243"/>
      <c r="NB329" s="243"/>
      <c r="NC329" s="243"/>
      <c r="ND329" s="243"/>
      <c r="NE329" s="243"/>
      <c r="NF329" s="243"/>
      <c r="NG329" s="243"/>
      <c r="NH329" s="243"/>
      <c r="NI329" s="243"/>
      <c r="NJ329" s="243"/>
      <c r="NK329" s="243"/>
      <c r="NL329" s="243"/>
      <c r="NM329" s="243"/>
      <c r="NN329" s="243"/>
      <c r="NO329" s="243"/>
      <c r="NP329" s="243"/>
      <c r="NQ329" s="243"/>
      <c r="NR329" s="243"/>
      <c r="NS329" s="243"/>
      <c r="NT329" s="243"/>
      <c r="NU329" s="243"/>
      <c r="NV329" s="243"/>
      <c r="NW329" s="243"/>
      <c r="NX329" s="243"/>
      <c r="NY329" s="243"/>
      <c r="NZ329" s="243"/>
      <c r="OA329" s="243"/>
      <c r="OB329" s="243"/>
      <c r="OC329" s="243"/>
      <c r="OD329" s="243"/>
      <c r="OE329" s="243"/>
      <c r="OF329" s="243"/>
      <c r="OG329" s="243"/>
      <c r="OH329" s="243"/>
      <c r="OI329" s="243"/>
      <c r="OJ329" s="243"/>
      <c r="OK329" s="243"/>
      <c r="OL329" s="243"/>
      <c r="OM329" s="243"/>
      <c r="ON329" s="243"/>
      <c r="OO329" s="243"/>
      <c r="OP329" s="243"/>
      <c r="OQ329" s="243"/>
      <c r="OR329" s="243"/>
      <c r="OS329" s="243"/>
      <c r="OT329" s="243"/>
      <c r="OU329" s="243"/>
      <c r="OV329" s="243"/>
      <c r="OW329" s="243"/>
      <c r="OX329" s="243"/>
      <c r="OY329" s="243"/>
      <c r="OZ329" s="243"/>
      <c r="PA329" s="243"/>
      <c r="PB329" s="243"/>
      <c r="PC329" s="243"/>
      <c r="PD329" s="243"/>
      <c r="PE329" s="243"/>
      <c r="PF329" s="243"/>
      <c r="PG329" s="243"/>
      <c r="PH329" s="243"/>
      <c r="PI329" s="243"/>
      <c r="PJ329" s="243"/>
      <c r="PK329" s="243"/>
      <c r="PL329" s="243"/>
      <c r="PM329" s="243"/>
      <c r="PN329" s="243"/>
      <c r="PO329" s="243"/>
      <c r="PP329" s="243"/>
      <c r="PQ329" s="243"/>
      <c r="PR329" s="243"/>
      <c r="PS329" s="243"/>
      <c r="PT329" s="243"/>
      <c r="PU329" s="243"/>
      <c r="PV329" s="243"/>
      <c r="PW329" s="243"/>
      <c r="PX329" s="243"/>
      <c r="PY329" s="243"/>
      <c r="PZ329" s="243"/>
      <c r="QA329" s="243"/>
      <c r="QB329" s="243"/>
      <c r="QC329" s="243"/>
      <c r="QD329" s="243"/>
      <c r="QE329" s="243"/>
      <c r="QF329" s="243"/>
      <c r="QG329" s="243"/>
      <c r="QH329" s="243"/>
      <c r="QI329" s="243"/>
      <c r="QJ329" s="243"/>
      <c r="QK329" s="243"/>
      <c r="QL329" s="243"/>
      <c r="QM329" s="243"/>
      <c r="QN329" s="243"/>
      <c r="QO329" s="243"/>
      <c r="QP329" s="243"/>
      <c r="QQ329" s="243"/>
      <c r="QR329" s="243"/>
      <c r="QS329" s="243"/>
      <c r="QT329" s="243"/>
      <c r="QU329" s="243"/>
      <c r="QV329" s="243"/>
      <c r="QW329" s="243"/>
      <c r="QX329" s="243"/>
      <c r="QY329" s="243"/>
      <c r="QZ329" s="243"/>
      <c r="RA329" s="243"/>
      <c r="RB329" s="243"/>
      <c r="RC329" s="243"/>
      <c r="RD329" s="243"/>
      <c r="RE329" s="243"/>
      <c r="RF329" s="243"/>
      <c r="RG329" s="243"/>
      <c r="RH329" s="243"/>
      <c r="RI329" s="243"/>
      <c r="RJ329" s="243"/>
      <c r="RK329" s="243"/>
      <c r="RL329" s="243"/>
      <c r="RM329" s="243"/>
      <c r="RN329" s="243"/>
      <c r="RO329" s="243"/>
      <c r="RP329" s="243"/>
      <c r="RQ329" s="243"/>
      <c r="RR329" s="243"/>
      <c r="RS329" s="243"/>
      <c r="RT329" s="243"/>
      <c r="RU329" s="243"/>
      <c r="RV329" s="243"/>
      <c r="RW329" s="243"/>
      <c r="RX329" s="243"/>
      <c r="RY329" s="243"/>
      <c r="RZ329" s="243"/>
      <c r="SA329" s="243"/>
      <c r="SB329" s="243"/>
      <c r="SC329" s="243"/>
      <c r="SD329" s="243"/>
      <c r="SE329" s="243"/>
      <c r="SF329" s="243"/>
      <c r="SG329" s="243"/>
      <c r="SH329" s="243"/>
      <c r="SI329" s="243"/>
      <c r="SJ329" s="243"/>
      <c r="SK329" s="243"/>
      <c r="SL329" s="243"/>
      <c r="SM329" s="243"/>
      <c r="SN329" s="243"/>
      <c r="SO329" s="243"/>
      <c r="SP329" s="243"/>
      <c r="SQ329" s="243"/>
      <c r="SR329" s="243"/>
      <c r="SS329" s="243"/>
      <c r="ST329" s="243"/>
      <c r="SU329" s="243"/>
      <c r="SV329" s="243"/>
      <c r="SW329" s="243"/>
      <c r="SX329" s="243"/>
      <c r="SY329" s="243"/>
      <c r="SZ329" s="243"/>
      <c r="TA329" s="243"/>
      <c r="TB329" s="243"/>
      <c r="TC329" s="243"/>
      <c r="TD329" s="243"/>
      <c r="TE329" s="243"/>
      <c r="TF329" s="243"/>
      <c r="TG329" s="243"/>
      <c r="TH329" s="243"/>
      <c r="TI329" s="243"/>
      <c r="TJ329" s="243"/>
      <c r="TK329" s="243"/>
      <c r="TL329" s="243"/>
      <c r="TM329" s="243"/>
      <c r="TN329" s="243"/>
      <c r="TO329" s="243"/>
      <c r="TP329" s="243"/>
      <c r="TQ329" s="243"/>
      <c r="TR329" s="243"/>
      <c r="TS329" s="243"/>
      <c r="TT329" s="243"/>
      <c r="TU329" s="243"/>
      <c r="TV329" s="243"/>
      <c r="TW329" s="243"/>
      <c r="TX329" s="243"/>
      <c r="TY329" s="243"/>
      <c r="TZ329" s="243"/>
      <c r="UA329" s="243"/>
      <c r="UB329" s="243"/>
      <c r="UC329" s="243"/>
      <c r="UD329" s="243"/>
      <c r="UE329" s="243"/>
      <c r="UF329" s="243"/>
      <c r="UG329" s="243"/>
      <c r="UH329" s="243"/>
      <c r="UI329" s="243"/>
      <c r="UJ329" s="243"/>
      <c r="UK329" s="243"/>
      <c r="UL329" s="243"/>
      <c r="UM329" s="243"/>
      <c r="UN329" s="243"/>
      <c r="UO329" s="243"/>
      <c r="UP329" s="243"/>
      <c r="UQ329" s="243"/>
      <c r="UR329" s="243"/>
      <c r="US329" s="243"/>
      <c r="UT329" s="243"/>
      <c r="UU329" s="243"/>
      <c r="UV329" s="243"/>
      <c r="UW329" s="243"/>
      <c r="UX329" s="243"/>
      <c r="UY329" s="243"/>
      <c r="UZ329" s="243"/>
      <c r="VA329" s="243"/>
      <c r="VB329" s="243"/>
      <c r="VC329" s="243"/>
      <c r="VD329" s="243"/>
      <c r="VE329" s="243"/>
      <c r="VF329" s="243"/>
      <c r="VG329" s="243"/>
      <c r="VH329" s="243"/>
      <c r="VI329" s="243"/>
      <c r="VJ329" s="243"/>
      <c r="VK329" s="243"/>
      <c r="VL329" s="243"/>
      <c r="VM329" s="243"/>
      <c r="VN329" s="243"/>
      <c r="VO329" s="243"/>
      <c r="VP329" s="243"/>
      <c r="VQ329" s="243"/>
      <c r="VR329" s="243"/>
      <c r="VS329" s="243"/>
      <c r="VT329" s="243"/>
      <c r="VU329" s="243"/>
      <c r="VV329" s="243"/>
      <c r="VW329" s="243"/>
      <c r="VX329" s="243"/>
      <c r="VY329" s="243"/>
      <c r="VZ329" s="243"/>
      <c r="WA329" s="243"/>
      <c r="WB329" s="243"/>
      <c r="WC329" s="243"/>
      <c r="WD329" s="243"/>
      <c r="WE329" s="243"/>
      <c r="WF329" s="243"/>
      <c r="WG329" s="243"/>
      <c r="WH329" s="243"/>
      <c r="WI329" s="243"/>
      <c r="WJ329" s="243"/>
      <c r="WK329" s="243"/>
      <c r="WL329" s="243"/>
      <c r="WM329" s="243"/>
      <c r="WN329" s="243"/>
      <c r="WO329" s="243"/>
      <c r="WP329" s="243"/>
      <c r="WQ329" s="243"/>
      <c r="WR329" s="243"/>
      <c r="WS329" s="243"/>
      <c r="WT329" s="243"/>
      <c r="WU329" s="243"/>
      <c r="WV329" s="243"/>
      <c r="WW329" s="243"/>
      <c r="WX329" s="243"/>
      <c r="WY329" s="243"/>
      <c r="WZ329" s="243"/>
      <c r="XA329" s="243"/>
      <c r="XB329" s="243"/>
      <c r="XC329" s="243"/>
      <c r="XD329" s="243"/>
      <c r="XE329" s="243"/>
      <c r="XF329" s="243"/>
      <c r="XG329" s="243"/>
      <c r="XH329" s="243"/>
      <c r="XI329" s="243"/>
      <c r="XJ329" s="243"/>
      <c r="XK329" s="243"/>
      <c r="XL329" s="243"/>
      <c r="XM329" s="243"/>
      <c r="XN329" s="243"/>
      <c r="XO329" s="243"/>
      <c r="XP329" s="243"/>
      <c r="XQ329" s="243"/>
      <c r="XR329" s="243"/>
      <c r="XS329" s="243"/>
      <c r="XT329" s="243"/>
      <c r="XU329" s="243"/>
      <c r="XV329" s="243"/>
      <c r="XW329" s="243"/>
      <c r="XX329" s="243"/>
      <c r="XY329" s="243"/>
      <c r="XZ329" s="243"/>
      <c r="YA329" s="243"/>
      <c r="YB329" s="243"/>
      <c r="YC329" s="243"/>
      <c r="YD329" s="243"/>
      <c r="YE329" s="243"/>
      <c r="YF329" s="243"/>
      <c r="YG329" s="243"/>
      <c r="YH329" s="243"/>
      <c r="YI329" s="243"/>
      <c r="YJ329" s="243"/>
      <c r="YK329" s="243"/>
      <c r="YL329" s="243"/>
      <c r="YM329" s="243"/>
      <c r="YN329" s="243"/>
      <c r="YO329" s="243"/>
      <c r="YP329" s="243"/>
      <c r="YQ329" s="243"/>
      <c r="YR329" s="243"/>
      <c r="YS329" s="243"/>
      <c r="YT329" s="243"/>
      <c r="YU329" s="243"/>
      <c r="YV329" s="243"/>
      <c r="YW329" s="243"/>
      <c r="YX329" s="243"/>
      <c r="YY329" s="243"/>
      <c r="YZ329" s="243"/>
      <c r="ZA329" s="243"/>
      <c r="ZB329" s="243"/>
      <c r="ZC329" s="243"/>
      <c r="ZD329" s="243"/>
      <c r="ZE329" s="243"/>
      <c r="ZF329" s="243"/>
      <c r="ZG329" s="243"/>
      <c r="ZH329" s="243"/>
      <c r="ZI329" s="243"/>
      <c r="ZJ329" s="243"/>
      <c r="ZK329" s="243"/>
      <c r="ZL329" s="243"/>
      <c r="ZM329" s="243"/>
      <c r="ZN329" s="243"/>
      <c r="ZO329" s="243"/>
      <c r="ZP329" s="243"/>
      <c r="ZQ329" s="243"/>
      <c r="ZR329" s="243"/>
      <c r="ZS329" s="243"/>
      <c r="ZT329" s="243"/>
      <c r="ZU329" s="243"/>
      <c r="ZV329" s="243"/>
      <c r="ZW329" s="243"/>
      <c r="ZX329" s="243"/>
      <c r="ZY329" s="243"/>
      <c r="ZZ329" s="243"/>
      <c r="AAA329" s="243"/>
      <c r="AAB329" s="243"/>
      <c r="AAC329" s="243"/>
      <c r="AAD329" s="243"/>
      <c r="AAE329" s="243"/>
      <c r="AAF329" s="243"/>
      <c r="AAG329" s="243"/>
      <c r="AAH329" s="243"/>
      <c r="AAI329" s="243"/>
      <c r="AAJ329" s="243"/>
      <c r="AAK329" s="243"/>
      <c r="AAL329" s="243"/>
      <c r="AAM329" s="243"/>
      <c r="AAN329" s="243"/>
      <c r="AAO329" s="243"/>
      <c r="AAP329" s="243"/>
      <c r="AAQ329" s="243"/>
      <c r="AAR329" s="243"/>
      <c r="AAS329" s="243"/>
      <c r="AAT329" s="243"/>
      <c r="AAU329" s="243"/>
      <c r="AAV329" s="243"/>
      <c r="AAW329" s="243"/>
      <c r="AAX329" s="243"/>
      <c r="AAY329" s="243"/>
      <c r="AAZ329" s="243"/>
      <c r="ABA329" s="243"/>
      <c r="ABB329" s="243"/>
      <c r="ABC329" s="243"/>
      <c r="ABD329" s="243"/>
      <c r="ABE329" s="243"/>
      <c r="ABF329" s="243"/>
      <c r="ABG329" s="243"/>
      <c r="ABH329" s="243"/>
      <c r="ABI329" s="243"/>
      <c r="ABJ329" s="243"/>
      <c r="ABK329" s="243"/>
      <c r="ABL329" s="243"/>
      <c r="ABM329" s="243"/>
      <c r="ABN329" s="243"/>
      <c r="ABO329" s="243"/>
      <c r="ABP329" s="243"/>
      <c r="ABQ329" s="243"/>
      <c r="ABR329" s="243"/>
      <c r="ABS329" s="243"/>
      <c r="ABT329" s="243"/>
      <c r="ABU329" s="243"/>
      <c r="ABV329" s="243"/>
      <c r="ABW329" s="243"/>
      <c r="ABX329" s="243"/>
      <c r="ABY329" s="243"/>
      <c r="ABZ329" s="243"/>
      <c r="ACA329" s="243"/>
      <c r="ACB329" s="243"/>
      <c r="ACC329" s="243"/>
      <c r="ACD329" s="243"/>
      <c r="ACE329" s="243"/>
      <c r="ACF329" s="243"/>
      <c r="ACG329" s="243"/>
      <c r="ACH329" s="243"/>
      <c r="ACI329" s="243"/>
      <c r="ACJ329" s="243"/>
      <c r="ACK329" s="243"/>
      <c r="ACL329" s="243"/>
      <c r="ACM329" s="243"/>
      <c r="ACN329" s="243"/>
      <c r="ACO329" s="243"/>
      <c r="ACP329" s="243"/>
      <c r="ACQ329" s="243"/>
      <c r="ACR329" s="243"/>
      <c r="ACS329" s="243"/>
      <c r="ACT329" s="243"/>
      <c r="ACU329" s="243"/>
      <c r="ACV329" s="243"/>
      <c r="ACW329" s="243"/>
      <c r="ACX329" s="243"/>
      <c r="ACY329" s="243"/>
      <c r="ACZ329" s="243"/>
      <c r="ADA329" s="243"/>
      <c r="ADB329" s="243"/>
      <c r="ADC329" s="243"/>
      <c r="ADD329" s="243"/>
      <c r="ADE329" s="243"/>
      <c r="ADF329" s="243"/>
      <c r="ADG329" s="243"/>
      <c r="ADH329" s="243"/>
      <c r="ADI329" s="243"/>
      <c r="ADJ329" s="243"/>
      <c r="ADK329" s="243"/>
      <c r="ADL329" s="243"/>
      <c r="ADM329" s="243"/>
      <c r="ADN329" s="243"/>
      <c r="ADO329" s="243"/>
      <c r="ADP329" s="243"/>
      <c r="ADQ329" s="243"/>
      <c r="ADR329" s="243"/>
      <c r="ADS329" s="243"/>
      <c r="ADT329" s="243"/>
      <c r="ADU329" s="243"/>
      <c r="ADV329" s="243"/>
      <c r="ADW329" s="243"/>
      <c r="ADX329" s="243"/>
      <c r="ADY329" s="243"/>
      <c r="ADZ329" s="243"/>
      <c r="AEA329" s="243"/>
      <c r="AEB329" s="243"/>
      <c r="AEC329" s="243"/>
      <c r="AED329" s="243"/>
      <c r="AEE329" s="243"/>
      <c r="AEF329" s="243"/>
      <c r="AEG329" s="243"/>
      <c r="AEH329" s="243"/>
      <c r="AEI329" s="243"/>
      <c r="AEJ329" s="243"/>
      <c r="AEK329" s="243"/>
      <c r="AEL329" s="243"/>
      <c r="AEM329" s="243"/>
      <c r="AEN329" s="243"/>
      <c r="AEO329" s="243"/>
      <c r="AEP329" s="243"/>
      <c r="AEQ329" s="243"/>
      <c r="AER329" s="243"/>
      <c r="AES329" s="243"/>
      <c r="AET329" s="243"/>
      <c r="AEU329" s="243"/>
      <c r="AEV329" s="243"/>
      <c r="AEW329" s="243"/>
      <c r="AEX329" s="243"/>
      <c r="AEY329" s="243"/>
      <c r="AEZ329" s="243"/>
      <c r="AFA329" s="243"/>
      <c r="AFB329" s="243"/>
      <c r="AFC329" s="243"/>
      <c r="AFD329" s="243"/>
      <c r="AFE329" s="243"/>
      <c r="AFF329" s="243"/>
      <c r="AFG329" s="243"/>
      <c r="AFH329" s="243"/>
      <c r="AFI329" s="243"/>
      <c r="AFJ329" s="243"/>
      <c r="AFK329" s="243"/>
      <c r="AFL329" s="243"/>
      <c r="AFM329" s="243"/>
      <c r="AFN329" s="243"/>
      <c r="AFO329" s="243"/>
      <c r="AFP329" s="243"/>
      <c r="AFQ329" s="243"/>
      <c r="AFR329" s="243"/>
      <c r="AFS329" s="243"/>
      <c r="AFT329" s="243"/>
      <c r="AFU329" s="243"/>
      <c r="AFV329" s="243"/>
      <c r="AFW329" s="243"/>
      <c r="AFX329" s="243"/>
      <c r="AFY329" s="243"/>
      <c r="AFZ329" s="243"/>
      <c r="AGA329" s="243"/>
      <c r="AGB329" s="243"/>
      <c r="AGC329" s="243"/>
      <c r="AGD329" s="243"/>
      <c r="AGE329" s="243"/>
      <c r="AGF329" s="243"/>
      <c r="AGG329" s="243"/>
      <c r="AGH329" s="243"/>
      <c r="AGI329" s="243"/>
      <c r="AGJ329" s="243"/>
      <c r="AGK329" s="243"/>
      <c r="AGL329" s="243"/>
      <c r="AGM329" s="243"/>
      <c r="AGN329" s="243"/>
      <c r="AGO329" s="243"/>
      <c r="AGP329" s="243"/>
      <c r="AGQ329" s="243"/>
      <c r="AGR329" s="243"/>
      <c r="AGS329" s="243"/>
      <c r="AGT329" s="243"/>
      <c r="AGU329" s="243"/>
      <c r="AGV329" s="243"/>
      <c r="AGW329" s="243"/>
      <c r="AGX329" s="243"/>
      <c r="AGY329" s="243"/>
      <c r="AGZ329" s="243"/>
      <c r="AHA329" s="243"/>
      <c r="AHB329" s="243"/>
      <c r="AHC329" s="243"/>
      <c r="AHD329" s="243"/>
      <c r="AHE329" s="243"/>
      <c r="AHF329" s="243"/>
      <c r="AHG329" s="243"/>
      <c r="AHH329" s="243"/>
      <c r="AHI329" s="243"/>
      <c r="AHJ329" s="243"/>
      <c r="AHK329" s="243"/>
      <c r="AHL329" s="243"/>
      <c r="AHM329" s="243"/>
      <c r="AHN329" s="243"/>
      <c r="AHO329" s="243"/>
      <c r="AHP329" s="243"/>
      <c r="AHQ329" s="243"/>
      <c r="AHR329" s="243"/>
      <c r="AHS329" s="243"/>
      <c r="AHT329" s="243"/>
      <c r="AHU329" s="243"/>
      <c r="AHV329" s="243"/>
      <c r="AHW329" s="243"/>
      <c r="AHX329" s="243"/>
      <c r="AHY329" s="243"/>
      <c r="AHZ329" s="243"/>
      <c r="AIA329" s="243"/>
      <c r="AIB329" s="243"/>
      <c r="AIC329" s="243"/>
      <c r="AID329" s="243"/>
      <c r="AIE329" s="243"/>
      <c r="AIF329" s="243"/>
      <c r="AIG329" s="243"/>
      <c r="AIH329" s="243"/>
      <c r="AII329" s="243"/>
      <c r="AIJ329" s="243"/>
      <c r="AIK329" s="243"/>
      <c r="AIL329" s="243"/>
      <c r="AIM329" s="243"/>
      <c r="AIN329" s="243"/>
      <c r="AIO329" s="243"/>
      <c r="AIP329" s="243"/>
      <c r="AIQ329" s="243"/>
      <c r="AIR329" s="243"/>
      <c r="AIS329" s="243"/>
      <c r="AIT329" s="243"/>
      <c r="AIU329" s="243"/>
      <c r="AIV329" s="243"/>
      <c r="AIW329" s="243"/>
      <c r="AIX329" s="243"/>
      <c r="AIY329" s="243"/>
      <c r="AIZ329" s="243"/>
      <c r="AJA329" s="243"/>
      <c r="AJB329" s="243"/>
      <c r="AJC329" s="243"/>
      <c r="AJD329" s="243"/>
      <c r="AJE329" s="243"/>
      <c r="AJF329" s="243"/>
      <c r="AJG329" s="243"/>
      <c r="AJH329" s="243"/>
      <c r="AJI329" s="243"/>
      <c r="AJJ329" s="243"/>
      <c r="AJK329" s="243"/>
      <c r="AJL329" s="243"/>
      <c r="AJM329" s="243"/>
      <c r="AJN329" s="243"/>
      <c r="AJO329" s="243"/>
      <c r="AJP329" s="243"/>
      <c r="AJQ329" s="243"/>
      <c r="AJR329" s="243"/>
      <c r="AJS329" s="243"/>
      <c r="AJT329" s="243"/>
      <c r="AJU329" s="243"/>
      <c r="AJV329" s="243"/>
      <c r="AJW329" s="243"/>
      <c r="AJX329" s="243"/>
      <c r="AJY329" s="243"/>
      <c r="AJZ329" s="243"/>
      <c r="AKA329" s="243"/>
      <c r="AKB329" s="243"/>
      <c r="AKC329" s="243"/>
      <c r="AKD329" s="243"/>
      <c r="AKE329" s="243"/>
      <c r="AKF329" s="243"/>
      <c r="AKG329" s="243"/>
      <c r="AKH329" s="243"/>
      <c r="AKI329" s="243"/>
      <c r="AKJ329" s="243"/>
      <c r="AKK329" s="243"/>
      <c r="AKL329" s="243"/>
      <c r="AKM329" s="243"/>
      <c r="AKN329" s="243"/>
      <c r="AKO329" s="243"/>
      <c r="AKP329" s="243"/>
      <c r="AKQ329" s="243"/>
      <c r="AKR329" s="243"/>
      <c r="AKS329" s="243"/>
      <c r="AKT329" s="243"/>
      <c r="AKU329" s="243"/>
      <c r="AKV329" s="243"/>
      <c r="AKW329" s="243"/>
      <c r="AKX329" s="243"/>
      <c r="AKY329" s="243"/>
      <c r="AKZ329" s="243"/>
      <c r="ALA329" s="243"/>
      <c r="ALB329" s="243"/>
      <c r="ALC329" s="243"/>
      <c r="ALD329" s="243"/>
      <c r="ALE329" s="243"/>
      <c r="ALF329" s="243"/>
      <c r="ALG329" s="243"/>
      <c r="ALH329" s="243"/>
      <c r="ALI329" s="243"/>
      <c r="ALJ329" s="243"/>
      <c r="ALK329" s="243"/>
      <c r="ALL329" s="243"/>
      <c r="ALM329" s="243"/>
      <c r="ALN329" s="243"/>
      <c r="ALO329" s="243"/>
      <c r="ALP329" s="243"/>
      <c r="ALQ329" s="243"/>
      <c r="ALR329" s="243"/>
      <c r="ALS329" s="243"/>
      <c r="ALT329" s="243"/>
      <c r="ALU329" s="243"/>
      <c r="ALV329" s="243"/>
      <c r="ALW329" s="243"/>
      <c r="ALX329" s="243"/>
      <c r="ALY329" s="243"/>
      <c r="ALZ329" s="243"/>
      <c r="AMA329" s="243"/>
      <c r="AMB329" s="243"/>
      <c r="AMC329" s="243"/>
      <c r="AMD329" s="243"/>
      <c r="AME329" s="243"/>
      <c r="AMF329" s="243"/>
      <c r="AMG329" s="243"/>
      <c r="AMH329" s="243"/>
      <c r="AMI329" s="244"/>
      <c r="AMJ329" s="244"/>
    </row>
    <row r="330" spans="1:1024" ht="43.5">
      <c r="A330" s="943" t="s">
        <v>175</v>
      </c>
      <c r="B330" s="1045">
        <v>4</v>
      </c>
      <c r="C330" s="1045">
        <v>0</v>
      </c>
      <c r="D330" s="1046">
        <v>0</v>
      </c>
      <c r="E330" s="392"/>
      <c r="F330" s="390"/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243"/>
      <c r="S330" s="243"/>
      <c r="T330" s="243"/>
      <c r="U330" s="243"/>
      <c r="V330" s="243"/>
      <c r="W330" s="243"/>
      <c r="X330" s="243"/>
      <c r="Y330" s="243"/>
      <c r="Z330" s="243"/>
      <c r="AA330" s="243"/>
      <c r="AB330" s="243"/>
      <c r="AC330" s="243"/>
      <c r="AD330" s="243"/>
      <c r="AE330" s="243"/>
      <c r="AF330" s="243"/>
      <c r="AG330" s="243"/>
      <c r="AH330" s="243"/>
      <c r="AI330" s="243"/>
      <c r="AJ330" s="243"/>
      <c r="AK330" s="243"/>
      <c r="AL330" s="243"/>
      <c r="AM330" s="243"/>
      <c r="AN330" s="243"/>
      <c r="AO330" s="243"/>
      <c r="AP330" s="243"/>
      <c r="AQ330" s="243"/>
      <c r="AR330" s="243"/>
      <c r="AS330" s="243"/>
      <c r="AT330" s="243"/>
      <c r="AU330" s="243"/>
      <c r="AV330" s="243"/>
      <c r="AW330" s="243"/>
      <c r="AX330" s="243"/>
      <c r="AY330" s="243"/>
      <c r="AZ330" s="243"/>
      <c r="BA330" s="243"/>
      <c r="BB330" s="243"/>
      <c r="BC330" s="243"/>
      <c r="BD330" s="243"/>
      <c r="BE330" s="243"/>
      <c r="BF330" s="243"/>
      <c r="BG330" s="243"/>
      <c r="BH330" s="243"/>
      <c r="BI330" s="243"/>
      <c r="BJ330" s="243"/>
      <c r="BK330" s="243"/>
      <c r="BL330" s="243"/>
      <c r="BM330" s="243"/>
      <c r="BN330" s="243"/>
      <c r="BO330" s="243"/>
      <c r="BP330" s="243"/>
      <c r="BQ330" s="243"/>
      <c r="BR330" s="243"/>
      <c r="BS330" s="243"/>
      <c r="BT330" s="243"/>
      <c r="BU330" s="243"/>
      <c r="BV330" s="243"/>
      <c r="BW330" s="243"/>
      <c r="BX330" s="243"/>
      <c r="BY330" s="243"/>
      <c r="BZ330" s="243"/>
      <c r="CA330" s="243"/>
      <c r="CB330" s="243"/>
      <c r="CC330" s="243"/>
      <c r="CD330" s="243"/>
      <c r="CE330" s="243"/>
      <c r="CF330" s="243"/>
      <c r="CG330" s="243"/>
      <c r="CH330" s="243"/>
      <c r="CI330" s="243"/>
      <c r="CJ330" s="243"/>
      <c r="CK330" s="243"/>
      <c r="CL330" s="243"/>
      <c r="CM330" s="243"/>
      <c r="CN330" s="243"/>
      <c r="CO330" s="243"/>
      <c r="CP330" s="243"/>
      <c r="CQ330" s="243"/>
      <c r="CR330" s="243"/>
      <c r="CS330" s="243"/>
      <c r="CT330" s="243"/>
      <c r="CU330" s="243"/>
      <c r="CV330" s="243"/>
      <c r="CW330" s="243"/>
      <c r="CX330" s="243"/>
      <c r="CY330" s="243"/>
      <c r="CZ330" s="243"/>
      <c r="DA330" s="243"/>
      <c r="DB330" s="243"/>
      <c r="DC330" s="243"/>
      <c r="DD330" s="243"/>
      <c r="DE330" s="243"/>
      <c r="DF330" s="243"/>
      <c r="DG330" s="243"/>
      <c r="DH330" s="243"/>
      <c r="DI330" s="243"/>
      <c r="DJ330" s="243"/>
      <c r="DK330" s="243"/>
      <c r="DL330" s="243"/>
      <c r="DM330" s="243"/>
      <c r="DN330" s="243"/>
      <c r="DO330" s="243"/>
      <c r="DP330" s="243"/>
      <c r="DQ330" s="243"/>
      <c r="DR330" s="243"/>
      <c r="DS330" s="243"/>
      <c r="DT330" s="243"/>
      <c r="DU330" s="243"/>
      <c r="DV330" s="243"/>
      <c r="DW330" s="243"/>
      <c r="DX330" s="243"/>
      <c r="DY330" s="243"/>
      <c r="DZ330" s="243"/>
      <c r="EA330" s="243"/>
      <c r="EB330" s="243"/>
      <c r="EC330" s="243"/>
      <c r="ED330" s="243"/>
      <c r="EE330" s="243"/>
      <c r="EF330" s="243"/>
      <c r="EG330" s="243"/>
      <c r="EH330" s="243"/>
      <c r="EI330" s="243"/>
      <c r="EJ330" s="243"/>
      <c r="EK330" s="243"/>
      <c r="EL330" s="243"/>
      <c r="EM330" s="243"/>
      <c r="EN330" s="243"/>
      <c r="EO330" s="243"/>
      <c r="EP330" s="243"/>
      <c r="EQ330" s="243"/>
      <c r="ER330" s="243"/>
      <c r="ES330" s="243"/>
      <c r="ET330" s="243"/>
      <c r="EU330" s="243"/>
      <c r="EV330" s="243"/>
      <c r="EW330" s="243"/>
      <c r="EX330" s="243"/>
      <c r="EY330" s="243"/>
      <c r="EZ330" s="243"/>
      <c r="FA330" s="243"/>
      <c r="FB330" s="243"/>
      <c r="FC330" s="243"/>
      <c r="FD330" s="243"/>
      <c r="FE330" s="243"/>
      <c r="FF330" s="243"/>
      <c r="FG330" s="243"/>
      <c r="FH330" s="243"/>
      <c r="FI330" s="243"/>
      <c r="FJ330" s="243"/>
      <c r="FK330" s="243"/>
      <c r="FL330" s="243"/>
      <c r="FM330" s="243"/>
      <c r="FN330" s="243"/>
      <c r="FO330" s="243"/>
      <c r="FP330" s="243"/>
      <c r="FQ330" s="243"/>
      <c r="FR330" s="243"/>
      <c r="FS330" s="243"/>
      <c r="FT330" s="243"/>
      <c r="FU330" s="243"/>
      <c r="FV330" s="243"/>
      <c r="FW330" s="243"/>
      <c r="FX330" s="243"/>
      <c r="FY330" s="243"/>
      <c r="FZ330" s="243"/>
      <c r="GA330" s="243"/>
      <c r="GB330" s="243"/>
      <c r="GC330" s="243"/>
      <c r="GD330" s="243"/>
      <c r="GE330" s="243"/>
      <c r="GF330" s="243"/>
      <c r="GG330" s="243"/>
      <c r="GH330" s="243"/>
      <c r="GI330" s="243"/>
      <c r="GJ330" s="243"/>
      <c r="GK330" s="243"/>
      <c r="GL330" s="243"/>
      <c r="GM330" s="243"/>
      <c r="GN330" s="243"/>
      <c r="GO330" s="243"/>
      <c r="GP330" s="243"/>
      <c r="GQ330" s="243"/>
      <c r="GR330" s="243"/>
      <c r="GS330" s="243"/>
      <c r="GT330" s="243"/>
      <c r="GU330" s="243"/>
      <c r="GV330" s="243"/>
      <c r="GW330" s="243"/>
      <c r="GX330" s="243"/>
      <c r="GY330" s="243"/>
      <c r="GZ330" s="243"/>
      <c r="HA330" s="243"/>
      <c r="HB330" s="243"/>
      <c r="HC330" s="243"/>
      <c r="HD330" s="243"/>
      <c r="HE330" s="243"/>
      <c r="HF330" s="243"/>
      <c r="HG330" s="243"/>
      <c r="HH330" s="243"/>
      <c r="HI330" s="243"/>
      <c r="HJ330" s="243"/>
      <c r="HK330" s="243"/>
      <c r="HL330" s="243"/>
      <c r="HM330" s="243"/>
      <c r="HN330" s="243"/>
      <c r="HO330" s="243"/>
      <c r="HP330" s="243"/>
      <c r="HQ330" s="243"/>
      <c r="HR330" s="243"/>
      <c r="HS330" s="243"/>
      <c r="HT330" s="243"/>
      <c r="HU330" s="243"/>
      <c r="HV330" s="243"/>
      <c r="HW330" s="243"/>
      <c r="HX330" s="243"/>
      <c r="HY330" s="243"/>
      <c r="HZ330" s="243"/>
      <c r="IA330" s="243"/>
      <c r="IB330" s="243"/>
      <c r="IC330" s="243"/>
      <c r="ID330" s="243"/>
      <c r="IE330" s="243"/>
      <c r="IF330" s="243"/>
      <c r="IG330" s="243"/>
      <c r="IH330" s="243"/>
      <c r="II330" s="243"/>
      <c r="IJ330" s="243"/>
      <c r="IK330" s="243"/>
      <c r="IL330" s="243"/>
      <c r="IM330" s="243"/>
      <c r="IN330" s="243"/>
      <c r="IO330" s="243"/>
      <c r="IP330" s="243"/>
      <c r="IQ330" s="243"/>
      <c r="IR330" s="243"/>
      <c r="IS330" s="243"/>
      <c r="IT330" s="243"/>
      <c r="IU330" s="243"/>
      <c r="IV330" s="243"/>
      <c r="IW330" s="243"/>
      <c r="IX330" s="243"/>
      <c r="IY330" s="243"/>
      <c r="IZ330" s="243"/>
      <c r="JA330" s="243"/>
      <c r="JB330" s="243"/>
      <c r="JC330" s="243"/>
      <c r="JD330" s="243"/>
      <c r="JE330" s="243"/>
      <c r="JF330" s="243"/>
      <c r="JG330" s="243"/>
      <c r="JH330" s="243"/>
      <c r="JI330" s="243"/>
      <c r="JJ330" s="243"/>
      <c r="JK330" s="243"/>
      <c r="JL330" s="243"/>
      <c r="JM330" s="243"/>
      <c r="JN330" s="243"/>
      <c r="JO330" s="243"/>
      <c r="JP330" s="243"/>
      <c r="JQ330" s="243"/>
      <c r="JR330" s="243"/>
      <c r="JS330" s="243"/>
      <c r="JT330" s="243"/>
      <c r="JU330" s="243"/>
      <c r="JV330" s="243"/>
      <c r="JW330" s="243"/>
      <c r="JX330" s="243"/>
      <c r="JY330" s="243"/>
      <c r="JZ330" s="243"/>
      <c r="KA330" s="243"/>
      <c r="KB330" s="243"/>
      <c r="KC330" s="243"/>
      <c r="KD330" s="243"/>
      <c r="KE330" s="243"/>
      <c r="KF330" s="243"/>
      <c r="KG330" s="243"/>
      <c r="KH330" s="243"/>
      <c r="KI330" s="243"/>
      <c r="KJ330" s="243"/>
      <c r="KK330" s="243"/>
      <c r="KL330" s="243"/>
      <c r="KM330" s="243"/>
      <c r="KN330" s="243"/>
      <c r="KO330" s="243"/>
      <c r="KP330" s="243"/>
      <c r="KQ330" s="243"/>
      <c r="KR330" s="243"/>
      <c r="KS330" s="243"/>
      <c r="KT330" s="243"/>
      <c r="KU330" s="243"/>
      <c r="KV330" s="243"/>
      <c r="KW330" s="243"/>
      <c r="KX330" s="243"/>
      <c r="KY330" s="243"/>
      <c r="KZ330" s="243"/>
      <c r="LA330" s="243"/>
      <c r="LB330" s="243"/>
      <c r="LC330" s="243"/>
      <c r="LD330" s="243"/>
      <c r="LE330" s="243"/>
      <c r="LF330" s="243"/>
      <c r="LG330" s="243"/>
      <c r="LH330" s="243"/>
      <c r="LI330" s="243"/>
      <c r="LJ330" s="243"/>
      <c r="LK330" s="243"/>
      <c r="LL330" s="243"/>
      <c r="LM330" s="243"/>
      <c r="LN330" s="243"/>
      <c r="LO330" s="243"/>
      <c r="LP330" s="243"/>
      <c r="LQ330" s="243"/>
      <c r="LR330" s="243"/>
      <c r="LS330" s="243"/>
      <c r="LT330" s="243"/>
      <c r="LU330" s="243"/>
      <c r="LV330" s="243"/>
      <c r="LW330" s="243"/>
      <c r="LX330" s="243"/>
      <c r="LY330" s="243"/>
      <c r="LZ330" s="243"/>
      <c r="MA330" s="243"/>
      <c r="MB330" s="243"/>
      <c r="MC330" s="243"/>
      <c r="MD330" s="243"/>
      <c r="ME330" s="243"/>
      <c r="MF330" s="243"/>
      <c r="MG330" s="243"/>
      <c r="MH330" s="243"/>
      <c r="MI330" s="243"/>
      <c r="MJ330" s="243"/>
      <c r="MK330" s="243"/>
      <c r="ML330" s="243"/>
      <c r="MM330" s="243"/>
      <c r="MN330" s="243"/>
      <c r="MO330" s="243"/>
      <c r="MP330" s="243"/>
      <c r="MQ330" s="243"/>
      <c r="MR330" s="243"/>
      <c r="MS330" s="243"/>
      <c r="MT330" s="243"/>
      <c r="MU330" s="243"/>
      <c r="MV330" s="243"/>
      <c r="MW330" s="243"/>
      <c r="MX330" s="243"/>
      <c r="MY330" s="243"/>
      <c r="MZ330" s="243"/>
      <c r="NA330" s="243"/>
      <c r="NB330" s="243"/>
      <c r="NC330" s="243"/>
      <c r="ND330" s="243"/>
      <c r="NE330" s="243"/>
      <c r="NF330" s="243"/>
      <c r="NG330" s="243"/>
      <c r="NH330" s="243"/>
      <c r="NI330" s="243"/>
      <c r="NJ330" s="243"/>
      <c r="NK330" s="243"/>
      <c r="NL330" s="243"/>
      <c r="NM330" s="243"/>
      <c r="NN330" s="243"/>
      <c r="NO330" s="243"/>
      <c r="NP330" s="243"/>
      <c r="NQ330" s="243"/>
      <c r="NR330" s="243"/>
      <c r="NS330" s="243"/>
      <c r="NT330" s="243"/>
      <c r="NU330" s="243"/>
      <c r="NV330" s="243"/>
      <c r="NW330" s="243"/>
      <c r="NX330" s="243"/>
      <c r="NY330" s="243"/>
      <c r="NZ330" s="243"/>
      <c r="OA330" s="243"/>
      <c r="OB330" s="243"/>
      <c r="OC330" s="243"/>
      <c r="OD330" s="243"/>
      <c r="OE330" s="243"/>
      <c r="OF330" s="243"/>
      <c r="OG330" s="243"/>
      <c r="OH330" s="243"/>
      <c r="OI330" s="243"/>
      <c r="OJ330" s="243"/>
      <c r="OK330" s="243"/>
      <c r="OL330" s="243"/>
      <c r="OM330" s="243"/>
      <c r="ON330" s="243"/>
      <c r="OO330" s="243"/>
      <c r="OP330" s="243"/>
      <c r="OQ330" s="243"/>
      <c r="OR330" s="243"/>
      <c r="OS330" s="243"/>
      <c r="OT330" s="243"/>
      <c r="OU330" s="243"/>
      <c r="OV330" s="243"/>
      <c r="OW330" s="243"/>
      <c r="OX330" s="243"/>
      <c r="OY330" s="243"/>
      <c r="OZ330" s="243"/>
      <c r="PA330" s="243"/>
      <c r="PB330" s="243"/>
      <c r="PC330" s="243"/>
      <c r="PD330" s="243"/>
      <c r="PE330" s="243"/>
      <c r="PF330" s="243"/>
      <c r="PG330" s="243"/>
      <c r="PH330" s="243"/>
      <c r="PI330" s="243"/>
      <c r="PJ330" s="243"/>
      <c r="PK330" s="243"/>
      <c r="PL330" s="243"/>
      <c r="PM330" s="243"/>
      <c r="PN330" s="243"/>
      <c r="PO330" s="243"/>
      <c r="PP330" s="243"/>
      <c r="PQ330" s="243"/>
      <c r="PR330" s="243"/>
      <c r="PS330" s="243"/>
      <c r="PT330" s="243"/>
      <c r="PU330" s="243"/>
      <c r="PV330" s="243"/>
      <c r="PW330" s="243"/>
      <c r="PX330" s="243"/>
      <c r="PY330" s="243"/>
      <c r="PZ330" s="243"/>
      <c r="QA330" s="243"/>
      <c r="QB330" s="243"/>
      <c r="QC330" s="243"/>
      <c r="QD330" s="243"/>
      <c r="QE330" s="243"/>
      <c r="QF330" s="243"/>
      <c r="QG330" s="243"/>
      <c r="QH330" s="243"/>
      <c r="QI330" s="243"/>
      <c r="QJ330" s="243"/>
      <c r="QK330" s="243"/>
      <c r="QL330" s="243"/>
      <c r="QM330" s="243"/>
      <c r="QN330" s="243"/>
      <c r="QO330" s="243"/>
      <c r="QP330" s="243"/>
      <c r="QQ330" s="243"/>
      <c r="QR330" s="243"/>
      <c r="QS330" s="243"/>
      <c r="QT330" s="243"/>
      <c r="QU330" s="243"/>
      <c r="QV330" s="243"/>
      <c r="QW330" s="243"/>
      <c r="QX330" s="243"/>
      <c r="QY330" s="243"/>
      <c r="QZ330" s="243"/>
      <c r="RA330" s="243"/>
      <c r="RB330" s="243"/>
      <c r="RC330" s="243"/>
      <c r="RD330" s="243"/>
      <c r="RE330" s="243"/>
      <c r="RF330" s="243"/>
      <c r="RG330" s="243"/>
      <c r="RH330" s="243"/>
      <c r="RI330" s="243"/>
      <c r="RJ330" s="243"/>
      <c r="RK330" s="243"/>
      <c r="RL330" s="243"/>
      <c r="RM330" s="243"/>
      <c r="RN330" s="243"/>
      <c r="RO330" s="243"/>
      <c r="RP330" s="243"/>
      <c r="RQ330" s="243"/>
      <c r="RR330" s="243"/>
      <c r="RS330" s="243"/>
      <c r="RT330" s="243"/>
      <c r="RU330" s="243"/>
      <c r="RV330" s="243"/>
      <c r="RW330" s="243"/>
      <c r="RX330" s="243"/>
      <c r="RY330" s="243"/>
      <c r="RZ330" s="243"/>
      <c r="SA330" s="243"/>
      <c r="SB330" s="243"/>
      <c r="SC330" s="243"/>
      <c r="SD330" s="243"/>
      <c r="SE330" s="243"/>
      <c r="SF330" s="243"/>
      <c r="SG330" s="243"/>
      <c r="SH330" s="243"/>
      <c r="SI330" s="243"/>
      <c r="SJ330" s="243"/>
      <c r="SK330" s="243"/>
      <c r="SL330" s="243"/>
      <c r="SM330" s="243"/>
      <c r="SN330" s="243"/>
      <c r="SO330" s="243"/>
      <c r="SP330" s="243"/>
      <c r="SQ330" s="243"/>
      <c r="SR330" s="243"/>
      <c r="SS330" s="243"/>
      <c r="ST330" s="243"/>
      <c r="SU330" s="243"/>
      <c r="SV330" s="243"/>
      <c r="SW330" s="243"/>
      <c r="SX330" s="243"/>
      <c r="SY330" s="243"/>
      <c r="SZ330" s="243"/>
      <c r="TA330" s="243"/>
      <c r="TB330" s="243"/>
      <c r="TC330" s="243"/>
      <c r="TD330" s="243"/>
      <c r="TE330" s="243"/>
      <c r="TF330" s="243"/>
      <c r="TG330" s="243"/>
      <c r="TH330" s="243"/>
      <c r="TI330" s="243"/>
      <c r="TJ330" s="243"/>
      <c r="TK330" s="243"/>
      <c r="TL330" s="243"/>
      <c r="TM330" s="243"/>
      <c r="TN330" s="243"/>
      <c r="TO330" s="243"/>
      <c r="TP330" s="243"/>
      <c r="TQ330" s="243"/>
      <c r="TR330" s="243"/>
      <c r="TS330" s="243"/>
      <c r="TT330" s="243"/>
      <c r="TU330" s="243"/>
      <c r="TV330" s="243"/>
      <c r="TW330" s="243"/>
      <c r="TX330" s="243"/>
      <c r="TY330" s="243"/>
      <c r="TZ330" s="243"/>
      <c r="UA330" s="243"/>
      <c r="UB330" s="243"/>
      <c r="UC330" s="243"/>
      <c r="UD330" s="243"/>
      <c r="UE330" s="243"/>
      <c r="UF330" s="243"/>
      <c r="UG330" s="243"/>
      <c r="UH330" s="243"/>
      <c r="UI330" s="243"/>
      <c r="UJ330" s="243"/>
      <c r="UK330" s="243"/>
      <c r="UL330" s="243"/>
      <c r="UM330" s="243"/>
      <c r="UN330" s="243"/>
      <c r="UO330" s="243"/>
      <c r="UP330" s="243"/>
      <c r="UQ330" s="243"/>
      <c r="UR330" s="243"/>
      <c r="US330" s="243"/>
      <c r="UT330" s="243"/>
      <c r="UU330" s="243"/>
      <c r="UV330" s="243"/>
      <c r="UW330" s="243"/>
      <c r="UX330" s="243"/>
      <c r="UY330" s="243"/>
      <c r="UZ330" s="243"/>
      <c r="VA330" s="243"/>
      <c r="VB330" s="243"/>
      <c r="VC330" s="243"/>
      <c r="VD330" s="243"/>
      <c r="VE330" s="243"/>
      <c r="VF330" s="243"/>
      <c r="VG330" s="243"/>
      <c r="VH330" s="243"/>
      <c r="VI330" s="243"/>
      <c r="VJ330" s="243"/>
      <c r="VK330" s="243"/>
      <c r="VL330" s="243"/>
      <c r="VM330" s="243"/>
      <c r="VN330" s="243"/>
      <c r="VO330" s="243"/>
      <c r="VP330" s="243"/>
      <c r="VQ330" s="243"/>
      <c r="VR330" s="243"/>
      <c r="VS330" s="243"/>
      <c r="VT330" s="243"/>
      <c r="VU330" s="243"/>
      <c r="VV330" s="243"/>
      <c r="VW330" s="243"/>
      <c r="VX330" s="243"/>
      <c r="VY330" s="243"/>
      <c r="VZ330" s="243"/>
      <c r="WA330" s="243"/>
      <c r="WB330" s="243"/>
      <c r="WC330" s="243"/>
      <c r="WD330" s="243"/>
      <c r="WE330" s="243"/>
      <c r="WF330" s="243"/>
      <c r="WG330" s="243"/>
      <c r="WH330" s="243"/>
      <c r="WI330" s="243"/>
      <c r="WJ330" s="243"/>
      <c r="WK330" s="243"/>
      <c r="WL330" s="243"/>
      <c r="WM330" s="243"/>
      <c r="WN330" s="243"/>
      <c r="WO330" s="243"/>
      <c r="WP330" s="243"/>
      <c r="WQ330" s="243"/>
      <c r="WR330" s="243"/>
      <c r="WS330" s="243"/>
      <c r="WT330" s="243"/>
      <c r="WU330" s="243"/>
      <c r="WV330" s="243"/>
      <c r="WW330" s="243"/>
      <c r="WX330" s="243"/>
      <c r="WY330" s="243"/>
      <c r="WZ330" s="243"/>
      <c r="XA330" s="243"/>
      <c r="XB330" s="243"/>
      <c r="XC330" s="243"/>
      <c r="XD330" s="243"/>
      <c r="XE330" s="243"/>
      <c r="XF330" s="243"/>
      <c r="XG330" s="243"/>
      <c r="XH330" s="243"/>
      <c r="XI330" s="243"/>
      <c r="XJ330" s="243"/>
      <c r="XK330" s="243"/>
      <c r="XL330" s="243"/>
      <c r="XM330" s="243"/>
      <c r="XN330" s="243"/>
      <c r="XO330" s="243"/>
      <c r="XP330" s="243"/>
      <c r="XQ330" s="243"/>
      <c r="XR330" s="243"/>
      <c r="XS330" s="243"/>
      <c r="XT330" s="243"/>
      <c r="XU330" s="243"/>
      <c r="XV330" s="243"/>
      <c r="XW330" s="243"/>
      <c r="XX330" s="243"/>
      <c r="XY330" s="243"/>
      <c r="XZ330" s="243"/>
      <c r="YA330" s="243"/>
      <c r="YB330" s="243"/>
      <c r="YC330" s="243"/>
      <c r="YD330" s="243"/>
      <c r="YE330" s="243"/>
      <c r="YF330" s="243"/>
      <c r="YG330" s="243"/>
      <c r="YH330" s="243"/>
      <c r="YI330" s="243"/>
      <c r="YJ330" s="243"/>
      <c r="YK330" s="243"/>
      <c r="YL330" s="243"/>
      <c r="YM330" s="243"/>
      <c r="YN330" s="243"/>
      <c r="YO330" s="243"/>
      <c r="YP330" s="243"/>
      <c r="YQ330" s="243"/>
      <c r="YR330" s="243"/>
      <c r="YS330" s="243"/>
      <c r="YT330" s="243"/>
      <c r="YU330" s="243"/>
      <c r="YV330" s="243"/>
      <c r="YW330" s="243"/>
      <c r="YX330" s="243"/>
      <c r="YY330" s="243"/>
      <c r="YZ330" s="243"/>
      <c r="ZA330" s="243"/>
      <c r="ZB330" s="243"/>
      <c r="ZC330" s="243"/>
      <c r="ZD330" s="243"/>
      <c r="ZE330" s="243"/>
      <c r="ZF330" s="243"/>
      <c r="ZG330" s="243"/>
      <c r="ZH330" s="243"/>
      <c r="ZI330" s="243"/>
      <c r="ZJ330" s="243"/>
      <c r="ZK330" s="243"/>
      <c r="ZL330" s="243"/>
      <c r="ZM330" s="243"/>
      <c r="ZN330" s="243"/>
      <c r="ZO330" s="243"/>
      <c r="ZP330" s="243"/>
      <c r="ZQ330" s="243"/>
      <c r="ZR330" s="243"/>
      <c r="ZS330" s="243"/>
      <c r="ZT330" s="243"/>
      <c r="ZU330" s="243"/>
      <c r="ZV330" s="243"/>
      <c r="ZW330" s="243"/>
      <c r="ZX330" s="243"/>
      <c r="ZY330" s="243"/>
      <c r="ZZ330" s="243"/>
      <c r="AAA330" s="243"/>
      <c r="AAB330" s="243"/>
      <c r="AAC330" s="243"/>
      <c r="AAD330" s="243"/>
      <c r="AAE330" s="243"/>
      <c r="AAF330" s="243"/>
      <c r="AAG330" s="243"/>
      <c r="AAH330" s="243"/>
      <c r="AAI330" s="243"/>
      <c r="AAJ330" s="243"/>
      <c r="AAK330" s="243"/>
      <c r="AAL330" s="243"/>
      <c r="AAM330" s="243"/>
      <c r="AAN330" s="243"/>
      <c r="AAO330" s="243"/>
      <c r="AAP330" s="243"/>
      <c r="AAQ330" s="243"/>
      <c r="AAR330" s="243"/>
      <c r="AAS330" s="243"/>
      <c r="AAT330" s="243"/>
      <c r="AAU330" s="243"/>
      <c r="AAV330" s="243"/>
      <c r="AAW330" s="243"/>
      <c r="AAX330" s="243"/>
      <c r="AAY330" s="243"/>
      <c r="AAZ330" s="243"/>
      <c r="ABA330" s="243"/>
      <c r="ABB330" s="243"/>
      <c r="ABC330" s="243"/>
      <c r="ABD330" s="243"/>
      <c r="ABE330" s="243"/>
      <c r="ABF330" s="243"/>
      <c r="ABG330" s="243"/>
      <c r="ABH330" s="243"/>
      <c r="ABI330" s="243"/>
      <c r="ABJ330" s="243"/>
      <c r="ABK330" s="243"/>
      <c r="ABL330" s="243"/>
      <c r="ABM330" s="243"/>
      <c r="ABN330" s="243"/>
      <c r="ABO330" s="243"/>
      <c r="ABP330" s="243"/>
      <c r="ABQ330" s="243"/>
      <c r="ABR330" s="243"/>
      <c r="ABS330" s="243"/>
      <c r="ABT330" s="243"/>
      <c r="ABU330" s="243"/>
      <c r="ABV330" s="243"/>
      <c r="ABW330" s="243"/>
      <c r="ABX330" s="243"/>
      <c r="ABY330" s="243"/>
      <c r="ABZ330" s="243"/>
      <c r="ACA330" s="243"/>
      <c r="ACB330" s="243"/>
      <c r="ACC330" s="243"/>
      <c r="ACD330" s="243"/>
      <c r="ACE330" s="243"/>
      <c r="ACF330" s="243"/>
      <c r="ACG330" s="243"/>
      <c r="ACH330" s="243"/>
      <c r="ACI330" s="243"/>
      <c r="ACJ330" s="243"/>
      <c r="ACK330" s="243"/>
      <c r="ACL330" s="243"/>
      <c r="ACM330" s="243"/>
      <c r="ACN330" s="243"/>
      <c r="ACO330" s="243"/>
      <c r="ACP330" s="243"/>
      <c r="ACQ330" s="243"/>
      <c r="ACR330" s="243"/>
      <c r="ACS330" s="243"/>
      <c r="ACT330" s="243"/>
      <c r="ACU330" s="243"/>
      <c r="ACV330" s="243"/>
      <c r="ACW330" s="243"/>
      <c r="ACX330" s="243"/>
      <c r="ACY330" s="243"/>
      <c r="ACZ330" s="243"/>
      <c r="ADA330" s="243"/>
      <c r="ADB330" s="243"/>
      <c r="ADC330" s="243"/>
      <c r="ADD330" s="243"/>
      <c r="ADE330" s="243"/>
      <c r="ADF330" s="243"/>
      <c r="ADG330" s="243"/>
      <c r="ADH330" s="243"/>
      <c r="ADI330" s="243"/>
      <c r="ADJ330" s="243"/>
      <c r="ADK330" s="243"/>
      <c r="ADL330" s="243"/>
      <c r="ADM330" s="243"/>
      <c r="ADN330" s="243"/>
      <c r="ADO330" s="243"/>
      <c r="ADP330" s="243"/>
      <c r="ADQ330" s="243"/>
      <c r="ADR330" s="243"/>
      <c r="ADS330" s="243"/>
      <c r="ADT330" s="243"/>
      <c r="ADU330" s="243"/>
      <c r="ADV330" s="243"/>
      <c r="ADW330" s="243"/>
      <c r="ADX330" s="243"/>
      <c r="ADY330" s="243"/>
      <c r="ADZ330" s="243"/>
      <c r="AEA330" s="243"/>
      <c r="AEB330" s="243"/>
      <c r="AEC330" s="243"/>
      <c r="AED330" s="243"/>
      <c r="AEE330" s="243"/>
      <c r="AEF330" s="243"/>
      <c r="AEG330" s="243"/>
      <c r="AEH330" s="243"/>
      <c r="AEI330" s="243"/>
      <c r="AEJ330" s="243"/>
      <c r="AEK330" s="243"/>
      <c r="AEL330" s="243"/>
      <c r="AEM330" s="243"/>
      <c r="AEN330" s="243"/>
      <c r="AEO330" s="243"/>
      <c r="AEP330" s="243"/>
      <c r="AEQ330" s="243"/>
      <c r="AER330" s="243"/>
      <c r="AES330" s="243"/>
      <c r="AET330" s="243"/>
      <c r="AEU330" s="243"/>
      <c r="AEV330" s="243"/>
      <c r="AEW330" s="243"/>
      <c r="AEX330" s="243"/>
      <c r="AEY330" s="243"/>
      <c r="AEZ330" s="243"/>
      <c r="AFA330" s="243"/>
      <c r="AFB330" s="243"/>
      <c r="AFC330" s="243"/>
      <c r="AFD330" s="243"/>
      <c r="AFE330" s="243"/>
      <c r="AFF330" s="243"/>
      <c r="AFG330" s="243"/>
      <c r="AFH330" s="243"/>
      <c r="AFI330" s="243"/>
      <c r="AFJ330" s="243"/>
      <c r="AFK330" s="243"/>
      <c r="AFL330" s="243"/>
      <c r="AFM330" s="243"/>
      <c r="AFN330" s="243"/>
      <c r="AFO330" s="243"/>
      <c r="AFP330" s="243"/>
      <c r="AFQ330" s="243"/>
      <c r="AFR330" s="243"/>
      <c r="AFS330" s="243"/>
      <c r="AFT330" s="243"/>
      <c r="AFU330" s="243"/>
      <c r="AFV330" s="243"/>
      <c r="AFW330" s="243"/>
      <c r="AFX330" s="243"/>
      <c r="AFY330" s="243"/>
      <c r="AFZ330" s="243"/>
      <c r="AGA330" s="243"/>
      <c r="AGB330" s="243"/>
      <c r="AGC330" s="243"/>
      <c r="AGD330" s="243"/>
      <c r="AGE330" s="243"/>
      <c r="AGF330" s="243"/>
      <c r="AGG330" s="243"/>
      <c r="AGH330" s="243"/>
      <c r="AGI330" s="243"/>
      <c r="AGJ330" s="243"/>
      <c r="AGK330" s="243"/>
      <c r="AGL330" s="243"/>
      <c r="AGM330" s="243"/>
      <c r="AGN330" s="243"/>
      <c r="AGO330" s="243"/>
      <c r="AGP330" s="243"/>
      <c r="AGQ330" s="243"/>
      <c r="AGR330" s="243"/>
      <c r="AGS330" s="243"/>
      <c r="AGT330" s="243"/>
      <c r="AGU330" s="243"/>
      <c r="AGV330" s="243"/>
      <c r="AGW330" s="243"/>
      <c r="AGX330" s="243"/>
      <c r="AGY330" s="243"/>
      <c r="AGZ330" s="243"/>
      <c r="AHA330" s="243"/>
      <c r="AHB330" s="243"/>
      <c r="AHC330" s="243"/>
      <c r="AHD330" s="243"/>
      <c r="AHE330" s="243"/>
      <c r="AHF330" s="243"/>
      <c r="AHG330" s="243"/>
      <c r="AHH330" s="243"/>
      <c r="AHI330" s="243"/>
      <c r="AHJ330" s="243"/>
      <c r="AHK330" s="243"/>
      <c r="AHL330" s="243"/>
      <c r="AHM330" s="243"/>
      <c r="AHN330" s="243"/>
      <c r="AHO330" s="243"/>
      <c r="AHP330" s="243"/>
      <c r="AHQ330" s="243"/>
      <c r="AHR330" s="243"/>
      <c r="AHS330" s="243"/>
      <c r="AHT330" s="243"/>
      <c r="AHU330" s="243"/>
      <c r="AHV330" s="243"/>
      <c r="AHW330" s="243"/>
      <c r="AHX330" s="243"/>
      <c r="AHY330" s="243"/>
      <c r="AHZ330" s="243"/>
      <c r="AIA330" s="243"/>
      <c r="AIB330" s="243"/>
      <c r="AIC330" s="243"/>
      <c r="AID330" s="243"/>
      <c r="AIE330" s="243"/>
      <c r="AIF330" s="243"/>
      <c r="AIG330" s="243"/>
      <c r="AIH330" s="243"/>
      <c r="AII330" s="243"/>
      <c r="AIJ330" s="243"/>
      <c r="AIK330" s="243"/>
      <c r="AIL330" s="243"/>
      <c r="AIM330" s="243"/>
      <c r="AIN330" s="243"/>
      <c r="AIO330" s="243"/>
      <c r="AIP330" s="243"/>
      <c r="AIQ330" s="243"/>
      <c r="AIR330" s="243"/>
      <c r="AIS330" s="243"/>
      <c r="AIT330" s="243"/>
      <c r="AIU330" s="243"/>
      <c r="AIV330" s="243"/>
      <c r="AIW330" s="243"/>
      <c r="AIX330" s="243"/>
      <c r="AIY330" s="243"/>
      <c r="AIZ330" s="243"/>
      <c r="AJA330" s="243"/>
      <c r="AJB330" s="243"/>
      <c r="AJC330" s="243"/>
      <c r="AJD330" s="243"/>
      <c r="AJE330" s="243"/>
      <c r="AJF330" s="243"/>
      <c r="AJG330" s="243"/>
      <c r="AJH330" s="243"/>
      <c r="AJI330" s="243"/>
      <c r="AJJ330" s="243"/>
      <c r="AJK330" s="243"/>
      <c r="AJL330" s="243"/>
      <c r="AJM330" s="243"/>
      <c r="AJN330" s="243"/>
      <c r="AJO330" s="243"/>
      <c r="AJP330" s="243"/>
      <c r="AJQ330" s="243"/>
      <c r="AJR330" s="243"/>
      <c r="AJS330" s="243"/>
      <c r="AJT330" s="243"/>
      <c r="AJU330" s="243"/>
      <c r="AJV330" s="243"/>
      <c r="AJW330" s="243"/>
      <c r="AJX330" s="243"/>
      <c r="AJY330" s="243"/>
      <c r="AJZ330" s="243"/>
      <c r="AKA330" s="243"/>
      <c r="AKB330" s="243"/>
      <c r="AKC330" s="243"/>
      <c r="AKD330" s="243"/>
      <c r="AKE330" s="243"/>
      <c r="AKF330" s="243"/>
      <c r="AKG330" s="243"/>
      <c r="AKH330" s="243"/>
      <c r="AKI330" s="243"/>
      <c r="AKJ330" s="243"/>
      <c r="AKK330" s="243"/>
      <c r="AKL330" s="243"/>
      <c r="AKM330" s="243"/>
      <c r="AKN330" s="243"/>
      <c r="AKO330" s="243"/>
      <c r="AKP330" s="243"/>
      <c r="AKQ330" s="243"/>
      <c r="AKR330" s="243"/>
      <c r="AKS330" s="243"/>
      <c r="AKT330" s="243"/>
      <c r="AKU330" s="243"/>
      <c r="AKV330" s="243"/>
      <c r="AKW330" s="243"/>
      <c r="AKX330" s="243"/>
      <c r="AKY330" s="243"/>
      <c r="AKZ330" s="243"/>
      <c r="ALA330" s="243"/>
      <c r="ALB330" s="243"/>
      <c r="ALC330" s="243"/>
      <c r="ALD330" s="243"/>
      <c r="ALE330" s="243"/>
      <c r="ALF330" s="243"/>
      <c r="ALG330" s="243"/>
      <c r="ALH330" s="243"/>
      <c r="ALI330" s="243"/>
      <c r="ALJ330" s="243"/>
      <c r="ALK330" s="243"/>
      <c r="ALL330" s="243"/>
      <c r="ALM330" s="243"/>
      <c r="ALN330" s="243"/>
      <c r="ALO330" s="243"/>
      <c r="ALP330" s="243"/>
      <c r="ALQ330" s="243"/>
      <c r="ALR330" s="243"/>
      <c r="ALS330" s="243"/>
      <c r="ALT330" s="243"/>
      <c r="ALU330" s="243"/>
      <c r="ALV330" s="243"/>
      <c r="ALW330" s="243"/>
      <c r="ALX330" s="243"/>
      <c r="ALY330" s="243"/>
      <c r="ALZ330" s="243"/>
      <c r="AMA330" s="243"/>
      <c r="AMB330" s="243"/>
      <c r="AMC330" s="243"/>
      <c r="AMD330" s="243"/>
      <c r="AME330" s="243"/>
      <c r="AMF330" s="243"/>
      <c r="AMG330" s="243"/>
      <c r="AMH330" s="243"/>
      <c r="AMI330" s="244"/>
      <c r="AMJ330" s="244"/>
    </row>
    <row r="331" spans="1:1024" ht="11.25" customHeight="1">
      <c r="A331" s="943"/>
      <c r="B331" s="1045"/>
      <c r="C331" s="1045"/>
      <c r="D331" s="1046"/>
      <c r="E331" s="392"/>
      <c r="F331" s="390"/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243"/>
      <c r="S331" s="243"/>
      <c r="T331" s="243"/>
      <c r="U331" s="243"/>
      <c r="V331" s="243"/>
      <c r="W331" s="243"/>
      <c r="X331" s="243"/>
      <c r="Y331" s="243"/>
      <c r="Z331" s="243"/>
      <c r="AA331" s="243"/>
      <c r="AB331" s="243"/>
      <c r="AC331" s="243"/>
      <c r="AD331" s="243"/>
      <c r="AE331" s="243"/>
      <c r="AF331" s="243"/>
      <c r="AG331" s="243"/>
      <c r="AH331" s="243"/>
      <c r="AI331" s="243"/>
      <c r="AJ331" s="243"/>
      <c r="AK331" s="243"/>
      <c r="AL331" s="243"/>
      <c r="AM331" s="243"/>
      <c r="AN331" s="243"/>
      <c r="AO331" s="243"/>
      <c r="AP331" s="243"/>
      <c r="AQ331" s="243"/>
      <c r="AR331" s="243"/>
      <c r="AS331" s="243"/>
      <c r="AT331" s="243"/>
      <c r="AU331" s="243"/>
      <c r="AV331" s="243"/>
      <c r="AW331" s="243"/>
      <c r="AX331" s="243"/>
      <c r="AY331" s="243"/>
      <c r="AZ331" s="243"/>
      <c r="BA331" s="243"/>
      <c r="BB331" s="243"/>
      <c r="BC331" s="243"/>
      <c r="BD331" s="243"/>
      <c r="BE331" s="243"/>
      <c r="BF331" s="243"/>
      <c r="BG331" s="243"/>
      <c r="BH331" s="243"/>
      <c r="BI331" s="243"/>
      <c r="BJ331" s="243"/>
      <c r="BK331" s="243"/>
      <c r="BL331" s="243"/>
      <c r="BM331" s="243"/>
      <c r="BN331" s="243"/>
      <c r="BO331" s="243"/>
      <c r="BP331" s="243"/>
      <c r="BQ331" s="243"/>
      <c r="BR331" s="243"/>
      <c r="BS331" s="243"/>
      <c r="BT331" s="243"/>
      <c r="BU331" s="243"/>
      <c r="BV331" s="243"/>
      <c r="BW331" s="243"/>
      <c r="BX331" s="243"/>
      <c r="BY331" s="243"/>
      <c r="BZ331" s="243"/>
      <c r="CA331" s="243"/>
      <c r="CB331" s="243"/>
      <c r="CC331" s="243"/>
      <c r="CD331" s="243"/>
      <c r="CE331" s="243"/>
      <c r="CF331" s="243"/>
      <c r="CG331" s="243"/>
      <c r="CH331" s="243"/>
      <c r="CI331" s="243"/>
      <c r="CJ331" s="243"/>
      <c r="CK331" s="243"/>
      <c r="CL331" s="243"/>
      <c r="CM331" s="243"/>
      <c r="CN331" s="243"/>
      <c r="CO331" s="243"/>
      <c r="CP331" s="243"/>
      <c r="CQ331" s="243"/>
      <c r="CR331" s="243"/>
      <c r="CS331" s="243"/>
      <c r="CT331" s="243"/>
      <c r="CU331" s="243"/>
      <c r="CV331" s="243"/>
      <c r="CW331" s="243"/>
      <c r="CX331" s="243"/>
      <c r="CY331" s="243"/>
      <c r="CZ331" s="243"/>
      <c r="DA331" s="243"/>
      <c r="DB331" s="243"/>
      <c r="DC331" s="243"/>
      <c r="DD331" s="243"/>
      <c r="DE331" s="243"/>
      <c r="DF331" s="243"/>
      <c r="DG331" s="243"/>
      <c r="DH331" s="243"/>
      <c r="DI331" s="243"/>
      <c r="DJ331" s="243"/>
      <c r="DK331" s="243"/>
      <c r="DL331" s="243"/>
      <c r="DM331" s="243"/>
      <c r="DN331" s="243"/>
      <c r="DO331" s="243"/>
      <c r="DP331" s="243"/>
      <c r="DQ331" s="243"/>
      <c r="DR331" s="243"/>
      <c r="DS331" s="243"/>
      <c r="DT331" s="243"/>
      <c r="DU331" s="243"/>
      <c r="DV331" s="243"/>
      <c r="DW331" s="243"/>
      <c r="DX331" s="243"/>
      <c r="DY331" s="243"/>
      <c r="DZ331" s="243"/>
      <c r="EA331" s="243"/>
      <c r="EB331" s="243"/>
      <c r="EC331" s="243"/>
      <c r="ED331" s="243"/>
      <c r="EE331" s="243"/>
      <c r="EF331" s="243"/>
      <c r="EG331" s="243"/>
      <c r="EH331" s="243"/>
      <c r="EI331" s="243"/>
      <c r="EJ331" s="243"/>
      <c r="EK331" s="243"/>
      <c r="EL331" s="243"/>
      <c r="EM331" s="243"/>
      <c r="EN331" s="243"/>
      <c r="EO331" s="243"/>
      <c r="EP331" s="243"/>
      <c r="EQ331" s="243"/>
      <c r="ER331" s="243"/>
      <c r="ES331" s="243"/>
      <c r="ET331" s="243"/>
      <c r="EU331" s="243"/>
      <c r="EV331" s="243"/>
      <c r="EW331" s="243"/>
      <c r="EX331" s="243"/>
      <c r="EY331" s="243"/>
      <c r="EZ331" s="243"/>
      <c r="FA331" s="243"/>
      <c r="FB331" s="243"/>
      <c r="FC331" s="243"/>
      <c r="FD331" s="243"/>
      <c r="FE331" s="243"/>
      <c r="FF331" s="243"/>
      <c r="FG331" s="243"/>
      <c r="FH331" s="243"/>
      <c r="FI331" s="243"/>
      <c r="FJ331" s="243"/>
      <c r="FK331" s="243"/>
      <c r="FL331" s="243"/>
      <c r="FM331" s="243"/>
      <c r="FN331" s="243"/>
      <c r="FO331" s="243"/>
      <c r="FP331" s="243"/>
      <c r="FQ331" s="243"/>
      <c r="FR331" s="243"/>
      <c r="FS331" s="243"/>
      <c r="FT331" s="243"/>
      <c r="FU331" s="243"/>
      <c r="FV331" s="243"/>
      <c r="FW331" s="243"/>
      <c r="FX331" s="243"/>
      <c r="FY331" s="243"/>
      <c r="FZ331" s="243"/>
      <c r="GA331" s="243"/>
      <c r="GB331" s="243"/>
      <c r="GC331" s="243"/>
      <c r="GD331" s="243"/>
      <c r="GE331" s="243"/>
      <c r="GF331" s="243"/>
      <c r="GG331" s="243"/>
      <c r="GH331" s="243"/>
      <c r="GI331" s="243"/>
      <c r="GJ331" s="243"/>
      <c r="GK331" s="243"/>
      <c r="GL331" s="243"/>
      <c r="GM331" s="243"/>
      <c r="GN331" s="243"/>
      <c r="GO331" s="243"/>
      <c r="GP331" s="243"/>
      <c r="GQ331" s="243"/>
      <c r="GR331" s="243"/>
      <c r="GS331" s="243"/>
      <c r="GT331" s="243"/>
      <c r="GU331" s="243"/>
      <c r="GV331" s="243"/>
      <c r="GW331" s="243"/>
      <c r="GX331" s="243"/>
      <c r="GY331" s="243"/>
      <c r="GZ331" s="243"/>
      <c r="HA331" s="243"/>
      <c r="HB331" s="243"/>
      <c r="HC331" s="243"/>
      <c r="HD331" s="243"/>
      <c r="HE331" s="243"/>
      <c r="HF331" s="243"/>
      <c r="HG331" s="243"/>
      <c r="HH331" s="243"/>
      <c r="HI331" s="243"/>
      <c r="HJ331" s="243"/>
      <c r="HK331" s="243"/>
      <c r="HL331" s="243"/>
      <c r="HM331" s="243"/>
      <c r="HN331" s="243"/>
      <c r="HO331" s="243"/>
      <c r="HP331" s="243"/>
      <c r="HQ331" s="243"/>
      <c r="HR331" s="243"/>
      <c r="HS331" s="243"/>
      <c r="HT331" s="243"/>
      <c r="HU331" s="243"/>
      <c r="HV331" s="243"/>
      <c r="HW331" s="243"/>
      <c r="HX331" s="243"/>
      <c r="HY331" s="243"/>
      <c r="HZ331" s="243"/>
      <c r="IA331" s="243"/>
      <c r="IB331" s="243"/>
      <c r="IC331" s="243"/>
      <c r="ID331" s="243"/>
      <c r="IE331" s="243"/>
      <c r="IF331" s="243"/>
      <c r="IG331" s="243"/>
      <c r="IH331" s="243"/>
      <c r="II331" s="243"/>
      <c r="IJ331" s="243"/>
      <c r="IK331" s="243"/>
      <c r="IL331" s="243"/>
      <c r="IM331" s="243"/>
      <c r="IN331" s="243"/>
      <c r="IO331" s="243"/>
      <c r="IP331" s="243"/>
      <c r="IQ331" s="243"/>
      <c r="IR331" s="243"/>
      <c r="IS331" s="243"/>
      <c r="IT331" s="243"/>
      <c r="IU331" s="243"/>
      <c r="IV331" s="243"/>
      <c r="IW331" s="243"/>
      <c r="IX331" s="243"/>
      <c r="IY331" s="243"/>
      <c r="IZ331" s="243"/>
      <c r="JA331" s="243"/>
      <c r="JB331" s="243"/>
      <c r="JC331" s="243"/>
      <c r="JD331" s="243"/>
      <c r="JE331" s="243"/>
      <c r="JF331" s="243"/>
      <c r="JG331" s="243"/>
      <c r="JH331" s="243"/>
      <c r="JI331" s="243"/>
      <c r="JJ331" s="243"/>
      <c r="JK331" s="243"/>
      <c r="JL331" s="243"/>
      <c r="JM331" s="243"/>
      <c r="JN331" s="243"/>
      <c r="JO331" s="243"/>
      <c r="JP331" s="243"/>
      <c r="JQ331" s="243"/>
      <c r="JR331" s="243"/>
      <c r="JS331" s="243"/>
      <c r="JT331" s="243"/>
      <c r="JU331" s="243"/>
      <c r="JV331" s="243"/>
      <c r="JW331" s="243"/>
      <c r="JX331" s="243"/>
      <c r="JY331" s="243"/>
      <c r="JZ331" s="243"/>
      <c r="KA331" s="243"/>
      <c r="KB331" s="243"/>
      <c r="KC331" s="243"/>
      <c r="KD331" s="243"/>
      <c r="KE331" s="243"/>
      <c r="KF331" s="243"/>
      <c r="KG331" s="243"/>
      <c r="KH331" s="243"/>
      <c r="KI331" s="243"/>
      <c r="KJ331" s="243"/>
      <c r="KK331" s="243"/>
      <c r="KL331" s="243"/>
      <c r="KM331" s="243"/>
      <c r="KN331" s="243"/>
      <c r="KO331" s="243"/>
      <c r="KP331" s="243"/>
      <c r="KQ331" s="243"/>
      <c r="KR331" s="243"/>
      <c r="KS331" s="243"/>
      <c r="KT331" s="243"/>
      <c r="KU331" s="243"/>
      <c r="KV331" s="243"/>
      <c r="KW331" s="243"/>
      <c r="KX331" s="243"/>
      <c r="KY331" s="243"/>
      <c r="KZ331" s="243"/>
      <c r="LA331" s="243"/>
      <c r="LB331" s="243"/>
      <c r="LC331" s="243"/>
      <c r="LD331" s="243"/>
      <c r="LE331" s="243"/>
      <c r="LF331" s="243"/>
      <c r="LG331" s="243"/>
      <c r="LH331" s="243"/>
      <c r="LI331" s="243"/>
      <c r="LJ331" s="243"/>
      <c r="LK331" s="243"/>
      <c r="LL331" s="243"/>
      <c r="LM331" s="243"/>
      <c r="LN331" s="243"/>
      <c r="LO331" s="243"/>
      <c r="LP331" s="243"/>
      <c r="LQ331" s="243"/>
      <c r="LR331" s="243"/>
      <c r="LS331" s="243"/>
      <c r="LT331" s="243"/>
      <c r="LU331" s="243"/>
      <c r="LV331" s="243"/>
      <c r="LW331" s="243"/>
      <c r="LX331" s="243"/>
      <c r="LY331" s="243"/>
      <c r="LZ331" s="243"/>
      <c r="MA331" s="243"/>
      <c r="MB331" s="243"/>
      <c r="MC331" s="243"/>
      <c r="MD331" s="243"/>
      <c r="ME331" s="243"/>
      <c r="MF331" s="243"/>
      <c r="MG331" s="243"/>
      <c r="MH331" s="243"/>
      <c r="MI331" s="243"/>
      <c r="MJ331" s="243"/>
      <c r="MK331" s="243"/>
      <c r="ML331" s="243"/>
      <c r="MM331" s="243"/>
      <c r="MN331" s="243"/>
      <c r="MO331" s="243"/>
      <c r="MP331" s="243"/>
      <c r="MQ331" s="243"/>
      <c r="MR331" s="243"/>
      <c r="MS331" s="243"/>
      <c r="MT331" s="243"/>
      <c r="MU331" s="243"/>
      <c r="MV331" s="243"/>
      <c r="MW331" s="243"/>
      <c r="MX331" s="243"/>
      <c r="MY331" s="243"/>
      <c r="MZ331" s="243"/>
      <c r="NA331" s="243"/>
      <c r="NB331" s="243"/>
      <c r="NC331" s="243"/>
      <c r="ND331" s="243"/>
      <c r="NE331" s="243"/>
      <c r="NF331" s="243"/>
      <c r="NG331" s="243"/>
      <c r="NH331" s="243"/>
      <c r="NI331" s="243"/>
      <c r="NJ331" s="243"/>
      <c r="NK331" s="243"/>
      <c r="NL331" s="243"/>
      <c r="NM331" s="243"/>
      <c r="NN331" s="243"/>
      <c r="NO331" s="243"/>
      <c r="NP331" s="243"/>
      <c r="NQ331" s="243"/>
      <c r="NR331" s="243"/>
      <c r="NS331" s="243"/>
      <c r="NT331" s="243"/>
      <c r="NU331" s="243"/>
      <c r="NV331" s="243"/>
      <c r="NW331" s="243"/>
      <c r="NX331" s="243"/>
      <c r="NY331" s="243"/>
      <c r="NZ331" s="243"/>
      <c r="OA331" s="243"/>
      <c r="OB331" s="243"/>
      <c r="OC331" s="243"/>
      <c r="OD331" s="243"/>
      <c r="OE331" s="243"/>
      <c r="OF331" s="243"/>
      <c r="OG331" s="243"/>
      <c r="OH331" s="243"/>
      <c r="OI331" s="243"/>
      <c r="OJ331" s="243"/>
      <c r="OK331" s="243"/>
      <c r="OL331" s="243"/>
      <c r="OM331" s="243"/>
      <c r="ON331" s="243"/>
      <c r="OO331" s="243"/>
      <c r="OP331" s="243"/>
      <c r="OQ331" s="243"/>
      <c r="OR331" s="243"/>
      <c r="OS331" s="243"/>
      <c r="OT331" s="243"/>
      <c r="OU331" s="243"/>
      <c r="OV331" s="243"/>
      <c r="OW331" s="243"/>
      <c r="OX331" s="243"/>
      <c r="OY331" s="243"/>
      <c r="OZ331" s="243"/>
      <c r="PA331" s="243"/>
      <c r="PB331" s="243"/>
      <c r="PC331" s="243"/>
      <c r="PD331" s="243"/>
      <c r="PE331" s="243"/>
      <c r="PF331" s="243"/>
      <c r="PG331" s="243"/>
      <c r="PH331" s="243"/>
      <c r="PI331" s="243"/>
      <c r="PJ331" s="243"/>
      <c r="PK331" s="243"/>
      <c r="PL331" s="243"/>
      <c r="PM331" s="243"/>
      <c r="PN331" s="243"/>
      <c r="PO331" s="243"/>
      <c r="PP331" s="243"/>
      <c r="PQ331" s="243"/>
      <c r="PR331" s="243"/>
      <c r="PS331" s="243"/>
      <c r="PT331" s="243"/>
      <c r="PU331" s="243"/>
      <c r="PV331" s="243"/>
      <c r="PW331" s="243"/>
      <c r="PX331" s="243"/>
      <c r="PY331" s="243"/>
      <c r="PZ331" s="243"/>
      <c r="QA331" s="243"/>
      <c r="QB331" s="243"/>
      <c r="QC331" s="243"/>
      <c r="QD331" s="243"/>
      <c r="QE331" s="243"/>
      <c r="QF331" s="243"/>
      <c r="QG331" s="243"/>
      <c r="QH331" s="243"/>
      <c r="QI331" s="243"/>
      <c r="QJ331" s="243"/>
      <c r="QK331" s="243"/>
      <c r="QL331" s="243"/>
      <c r="QM331" s="243"/>
      <c r="QN331" s="243"/>
      <c r="QO331" s="243"/>
      <c r="QP331" s="243"/>
      <c r="QQ331" s="243"/>
      <c r="QR331" s="243"/>
      <c r="QS331" s="243"/>
      <c r="QT331" s="243"/>
      <c r="QU331" s="243"/>
      <c r="QV331" s="243"/>
      <c r="QW331" s="243"/>
      <c r="QX331" s="243"/>
      <c r="QY331" s="243"/>
      <c r="QZ331" s="243"/>
      <c r="RA331" s="243"/>
      <c r="RB331" s="243"/>
      <c r="RC331" s="243"/>
      <c r="RD331" s="243"/>
      <c r="RE331" s="243"/>
      <c r="RF331" s="243"/>
      <c r="RG331" s="243"/>
      <c r="RH331" s="243"/>
      <c r="RI331" s="243"/>
      <c r="RJ331" s="243"/>
      <c r="RK331" s="243"/>
      <c r="RL331" s="243"/>
      <c r="RM331" s="243"/>
      <c r="RN331" s="243"/>
      <c r="RO331" s="243"/>
      <c r="RP331" s="243"/>
      <c r="RQ331" s="243"/>
      <c r="RR331" s="243"/>
      <c r="RS331" s="243"/>
      <c r="RT331" s="243"/>
      <c r="RU331" s="243"/>
      <c r="RV331" s="243"/>
      <c r="RW331" s="243"/>
      <c r="RX331" s="243"/>
      <c r="RY331" s="243"/>
      <c r="RZ331" s="243"/>
      <c r="SA331" s="243"/>
      <c r="SB331" s="243"/>
      <c r="SC331" s="243"/>
      <c r="SD331" s="243"/>
      <c r="SE331" s="243"/>
      <c r="SF331" s="243"/>
      <c r="SG331" s="243"/>
      <c r="SH331" s="243"/>
      <c r="SI331" s="243"/>
      <c r="SJ331" s="243"/>
      <c r="SK331" s="243"/>
      <c r="SL331" s="243"/>
      <c r="SM331" s="243"/>
      <c r="SN331" s="243"/>
      <c r="SO331" s="243"/>
      <c r="SP331" s="243"/>
      <c r="SQ331" s="243"/>
      <c r="SR331" s="243"/>
      <c r="SS331" s="243"/>
      <c r="ST331" s="243"/>
      <c r="SU331" s="243"/>
      <c r="SV331" s="243"/>
      <c r="SW331" s="243"/>
      <c r="SX331" s="243"/>
      <c r="SY331" s="243"/>
      <c r="SZ331" s="243"/>
      <c r="TA331" s="243"/>
      <c r="TB331" s="243"/>
      <c r="TC331" s="243"/>
      <c r="TD331" s="243"/>
      <c r="TE331" s="243"/>
      <c r="TF331" s="243"/>
      <c r="TG331" s="243"/>
      <c r="TH331" s="243"/>
      <c r="TI331" s="243"/>
      <c r="TJ331" s="243"/>
      <c r="TK331" s="243"/>
      <c r="TL331" s="243"/>
      <c r="TM331" s="243"/>
      <c r="TN331" s="243"/>
      <c r="TO331" s="243"/>
      <c r="TP331" s="243"/>
      <c r="TQ331" s="243"/>
      <c r="TR331" s="243"/>
      <c r="TS331" s="243"/>
      <c r="TT331" s="243"/>
      <c r="TU331" s="243"/>
      <c r="TV331" s="243"/>
      <c r="TW331" s="243"/>
      <c r="TX331" s="243"/>
      <c r="TY331" s="243"/>
      <c r="TZ331" s="243"/>
      <c r="UA331" s="243"/>
      <c r="UB331" s="243"/>
      <c r="UC331" s="243"/>
      <c r="UD331" s="243"/>
      <c r="UE331" s="243"/>
      <c r="UF331" s="243"/>
      <c r="UG331" s="243"/>
      <c r="UH331" s="243"/>
      <c r="UI331" s="243"/>
      <c r="UJ331" s="243"/>
      <c r="UK331" s="243"/>
      <c r="UL331" s="243"/>
      <c r="UM331" s="243"/>
      <c r="UN331" s="243"/>
      <c r="UO331" s="243"/>
      <c r="UP331" s="243"/>
      <c r="UQ331" s="243"/>
      <c r="UR331" s="243"/>
      <c r="US331" s="243"/>
      <c r="UT331" s="243"/>
      <c r="UU331" s="243"/>
      <c r="UV331" s="243"/>
      <c r="UW331" s="243"/>
      <c r="UX331" s="243"/>
      <c r="UY331" s="243"/>
      <c r="UZ331" s="243"/>
      <c r="VA331" s="243"/>
      <c r="VB331" s="243"/>
      <c r="VC331" s="243"/>
      <c r="VD331" s="243"/>
      <c r="VE331" s="243"/>
      <c r="VF331" s="243"/>
      <c r="VG331" s="243"/>
      <c r="VH331" s="243"/>
      <c r="VI331" s="243"/>
      <c r="VJ331" s="243"/>
      <c r="VK331" s="243"/>
      <c r="VL331" s="243"/>
      <c r="VM331" s="243"/>
      <c r="VN331" s="243"/>
      <c r="VO331" s="243"/>
      <c r="VP331" s="243"/>
      <c r="VQ331" s="243"/>
      <c r="VR331" s="243"/>
      <c r="VS331" s="243"/>
      <c r="VT331" s="243"/>
      <c r="VU331" s="243"/>
      <c r="VV331" s="243"/>
      <c r="VW331" s="243"/>
      <c r="VX331" s="243"/>
      <c r="VY331" s="243"/>
      <c r="VZ331" s="243"/>
      <c r="WA331" s="243"/>
      <c r="WB331" s="243"/>
      <c r="WC331" s="243"/>
      <c r="WD331" s="243"/>
      <c r="WE331" s="243"/>
      <c r="WF331" s="243"/>
      <c r="WG331" s="243"/>
      <c r="WH331" s="243"/>
      <c r="WI331" s="243"/>
      <c r="WJ331" s="243"/>
      <c r="WK331" s="243"/>
      <c r="WL331" s="243"/>
      <c r="WM331" s="243"/>
      <c r="WN331" s="243"/>
      <c r="WO331" s="243"/>
      <c r="WP331" s="243"/>
      <c r="WQ331" s="243"/>
      <c r="WR331" s="243"/>
      <c r="WS331" s="243"/>
      <c r="WT331" s="243"/>
      <c r="WU331" s="243"/>
      <c r="WV331" s="243"/>
      <c r="WW331" s="243"/>
      <c r="WX331" s="243"/>
      <c r="WY331" s="243"/>
      <c r="WZ331" s="243"/>
      <c r="XA331" s="243"/>
      <c r="XB331" s="243"/>
      <c r="XC331" s="243"/>
      <c r="XD331" s="243"/>
      <c r="XE331" s="243"/>
      <c r="XF331" s="243"/>
      <c r="XG331" s="243"/>
      <c r="XH331" s="243"/>
      <c r="XI331" s="243"/>
      <c r="XJ331" s="243"/>
      <c r="XK331" s="243"/>
      <c r="XL331" s="243"/>
      <c r="XM331" s="243"/>
      <c r="XN331" s="243"/>
      <c r="XO331" s="243"/>
      <c r="XP331" s="243"/>
      <c r="XQ331" s="243"/>
      <c r="XR331" s="243"/>
      <c r="XS331" s="243"/>
      <c r="XT331" s="243"/>
      <c r="XU331" s="243"/>
      <c r="XV331" s="243"/>
      <c r="XW331" s="243"/>
      <c r="XX331" s="243"/>
      <c r="XY331" s="243"/>
      <c r="XZ331" s="243"/>
      <c r="YA331" s="243"/>
      <c r="YB331" s="243"/>
      <c r="YC331" s="243"/>
      <c r="YD331" s="243"/>
      <c r="YE331" s="243"/>
      <c r="YF331" s="243"/>
      <c r="YG331" s="243"/>
      <c r="YH331" s="243"/>
      <c r="YI331" s="243"/>
      <c r="YJ331" s="243"/>
      <c r="YK331" s="243"/>
      <c r="YL331" s="243"/>
      <c r="YM331" s="243"/>
      <c r="YN331" s="243"/>
      <c r="YO331" s="243"/>
      <c r="YP331" s="243"/>
      <c r="YQ331" s="243"/>
      <c r="YR331" s="243"/>
      <c r="YS331" s="243"/>
      <c r="YT331" s="243"/>
      <c r="YU331" s="243"/>
      <c r="YV331" s="243"/>
      <c r="YW331" s="243"/>
      <c r="YX331" s="243"/>
      <c r="YY331" s="243"/>
      <c r="YZ331" s="243"/>
      <c r="ZA331" s="243"/>
      <c r="ZB331" s="243"/>
      <c r="ZC331" s="243"/>
      <c r="ZD331" s="243"/>
      <c r="ZE331" s="243"/>
      <c r="ZF331" s="243"/>
      <c r="ZG331" s="243"/>
      <c r="ZH331" s="243"/>
      <c r="ZI331" s="243"/>
      <c r="ZJ331" s="243"/>
      <c r="ZK331" s="243"/>
      <c r="ZL331" s="243"/>
      <c r="ZM331" s="243"/>
      <c r="ZN331" s="243"/>
      <c r="ZO331" s="243"/>
      <c r="ZP331" s="243"/>
      <c r="ZQ331" s="243"/>
      <c r="ZR331" s="243"/>
      <c r="ZS331" s="243"/>
      <c r="ZT331" s="243"/>
      <c r="ZU331" s="243"/>
      <c r="ZV331" s="243"/>
      <c r="ZW331" s="243"/>
      <c r="ZX331" s="243"/>
      <c r="ZY331" s="243"/>
      <c r="ZZ331" s="243"/>
      <c r="AAA331" s="243"/>
      <c r="AAB331" s="243"/>
      <c r="AAC331" s="243"/>
      <c r="AAD331" s="243"/>
      <c r="AAE331" s="243"/>
      <c r="AAF331" s="243"/>
      <c r="AAG331" s="243"/>
      <c r="AAH331" s="243"/>
      <c r="AAI331" s="243"/>
      <c r="AAJ331" s="243"/>
      <c r="AAK331" s="243"/>
      <c r="AAL331" s="243"/>
      <c r="AAM331" s="243"/>
      <c r="AAN331" s="243"/>
      <c r="AAO331" s="243"/>
      <c r="AAP331" s="243"/>
      <c r="AAQ331" s="243"/>
      <c r="AAR331" s="243"/>
      <c r="AAS331" s="243"/>
      <c r="AAT331" s="243"/>
      <c r="AAU331" s="243"/>
      <c r="AAV331" s="243"/>
      <c r="AAW331" s="243"/>
      <c r="AAX331" s="243"/>
      <c r="AAY331" s="243"/>
      <c r="AAZ331" s="243"/>
      <c r="ABA331" s="243"/>
      <c r="ABB331" s="243"/>
      <c r="ABC331" s="243"/>
      <c r="ABD331" s="243"/>
      <c r="ABE331" s="243"/>
      <c r="ABF331" s="243"/>
      <c r="ABG331" s="243"/>
      <c r="ABH331" s="243"/>
      <c r="ABI331" s="243"/>
      <c r="ABJ331" s="243"/>
      <c r="ABK331" s="243"/>
      <c r="ABL331" s="243"/>
      <c r="ABM331" s="243"/>
      <c r="ABN331" s="243"/>
      <c r="ABO331" s="243"/>
      <c r="ABP331" s="243"/>
      <c r="ABQ331" s="243"/>
      <c r="ABR331" s="243"/>
      <c r="ABS331" s="243"/>
      <c r="ABT331" s="243"/>
      <c r="ABU331" s="243"/>
      <c r="ABV331" s="243"/>
      <c r="ABW331" s="243"/>
      <c r="ABX331" s="243"/>
      <c r="ABY331" s="243"/>
      <c r="ABZ331" s="243"/>
      <c r="ACA331" s="243"/>
      <c r="ACB331" s="243"/>
      <c r="ACC331" s="243"/>
      <c r="ACD331" s="243"/>
      <c r="ACE331" s="243"/>
      <c r="ACF331" s="243"/>
      <c r="ACG331" s="243"/>
      <c r="ACH331" s="243"/>
      <c r="ACI331" s="243"/>
      <c r="ACJ331" s="243"/>
      <c r="ACK331" s="243"/>
      <c r="ACL331" s="243"/>
      <c r="ACM331" s="243"/>
      <c r="ACN331" s="243"/>
      <c r="ACO331" s="243"/>
      <c r="ACP331" s="243"/>
      <c r="ACQ331" s="243"/>
      <c r="ACR331" s="243"/>
      <c r="ACS331" s="243"/>
      <c r="ACT331" s="243"/>
      <c r="ACU331" s="243"/>
      <c r="ACV331" s="243"/>
      <c r="ACW331" s="243"/>
      <c r="ACX331" s="243"/>
      <c r="ACY331" s="243"/>
      <c r="ACZ331" s="243"/>
      <c r="ADA331" s="243"/>
      <c r="ADB331" s="243"/>
      <c r="ADC331" s="243"/>
      <c r="ADD331" s="243"/>
      <c r="ADE331" s="243"/>
      <c r="ADF331" s="243"/>
      <c r="ADG331" s="243"/>
      <c r="ADH331" s="243"/>
      <c r="ADI331" s="243"/>
      <c r="ADJ331" s="243"/>
      <c r="ADK331" s="243"/>
      <c r="ADL331" s="243"/>
      <c r="ADM331" s="243"/>
      <c r="ADN331" s="243"/>
      <c r="ADO331" s="243"/>
      <c r="ADP331" s="243"/>
      <c r="ADQ331" s="243"/>
      <c r="ADR331" s="243"/>
      <c r="ADS331" s="243"/>
      <c r="ADT331" s="243"/>
      <c r="ADU331" s="243"/>
      <c r="ADV331" s="243"/>
      <c r="ADW331" s="243"/>
      <c r="ADX331" s="243"/>
      <c r="ADY331" s="243"/>
      <c r="ADZ331" s="243"/>
      <c r="AEA331" s="243"/>
      <c r="AEB331" s="243"/>
      <c r="AEC331" s="243"/>
      <c r="AED331" s="243"/>
      <c r="AEE331" s="243"/>
      <c r="AEF331" s="243"/>
      <c r="AEG331" s="243"/>
      <c r="AEH331" s="243"/>
      <c r="AEI331" s="243"/>
      <c r="AEJ331" s="243"/>
      <c r="AEK331" s="243"/>
      <c r="AEL331" s="243"/>
      <c r="AEM331" s="243"/>
      <c r="AEN331" s="243"/>
      <c r="AEO331" s="243"/>
      <c r="AEP331" s="243"/>
      <c r="AEQ331" s="243"/>
      <c r="AER331" s="243"/>
      <c r="AES331" s="243"/>
      <c r="AET331" s="243"/>
      <c r="AEU331" s="243"/>
      <c r="AEV331" s="243"/>
      <c r="AEW331" s="243"/>
      <c r="AEX331" s="243"/>
      <c r="AEY331" s="243"/>
      <c r="AEZ331" s="243"/>
      <c r="AFA331" s="243"/>
      <c r="AFB331" s="243"/>
      <c r="AFC331" s="243"/>
      <c r="AFD331" s="243"/>
      <c r="AFE331" s="243"/>
      <c r="AFF331" s="243"/>
      <c r="AFG331" s="243"/>
      <c r="AFH331" s="243"/>
      <c r="AFI331" s="243"/>
      <c r="AFJ331" s="243"/>
      <c r="AFK331" s="243"/>
      <c r="AFL331" s="243"/>
      <c r="AFM331" s="243"/>
      <c r="AFN331" s="243"/>
      <c r="AFO331" s="243"/>
      <c r="AFP331" s="243"/>
      <c r="AFQ331" s="243"/>
      <c r="AFR331" s="243"/>
      <c r="AFS331" s="243"/>
      <c r="AFT331" s="243"/>
      <c r="AFU331" s="243"/>
      <c r="AFV331" s="243"/>
      <c r="AFW331" s="243"/>
      <c r="AFX331" s="243"/>
      <c r="AFY331" s="243"/>
      <c r="AFZ331" s="243"/>
      <c r="AGA331" s="243"/>
      <c r="AGB331" s="243"/>
      <c r="AGC331" s="243"/>
      <c r="AGD331" s="243"/>
      <c r="AGE331" s="243"/>
      <c r="AGF331" s="243"/>
      <c r="AGG331" s="243"/>
      <c r="AGH331" s="243"/>
      <c r="AGI331" s="243"/>
      <c r="AGJ331" s="243"/>
      <c r="AGK331" s="243"/>
      <c r="AGL331" s="243"/>
      <c r="AGM331" s="243"/>
      <c r="AGN331" s="243"/>
      <c r="AGO331" s="243"/>
      <c r="AGP331" s="243"/>
      <c r="AGQ331" s="243"/>
      <c r="AGR331" s="243"/>
      <c r="AGS331" s="243"/>
      <c r="AGT331" s="243"/>
      <c r="AGU331" s="243"/>
      <c r="AGV331" s="243"/>
      <c r="AGW331" s="243"/>
      <c r="AGX331" s="243"/>
      <c r="AGY331" s="243"/>
      <c r="AGZ331" s="243"/>
      <c r="AHA331" s="243"/>
      <c r="AHB331" s="243"/>
      <c r="AHC331" s="243"/>
      <c r="AHD331" s="243"/>
      <c r="AHE331" s="243"/>
      <c r="AHF331" s="243"/>
      <c r="AHG331" s="243"/>
      <c r="AHH331" s="243"/>
      <c r="AHI331" s="243"/>
      <c r="AHJ331" s="243"/>
      <c r="AHK331" s="243"/>
      <c r="AHL331" s="243"/>
      <c r="AHM331" s="243"/>
      <c r="AHN331" s="243"/>
      <c r="AHO331" s="243"/>
      <c r="AHP331" s="243"/>
      <c r="AHQ331" s="243"/>
      <c r="AHR331" s="243"/>
      <c r="AHS331" s="243"/>
      <c r="AHT331" s="243"/>
      <c r="AHU331" s="243"/>
      <c r="AHV331" s="243"/>
      <c r="AHW331" s="243"/>
      <c r="AHX331" s="243"/>
      <c r="AHY331" s="243"/>
      <c r="AHZ331" s="243"/>
      <c r="AIA331" s="243"/>
      <c r="AIB331" s="243"/>
      <c r="AIC331" s="243"/>
      <c r="AID331" s="243"/>
      <c r="AIE331" s="243"/>
      <c r="AIF331" s="243"/>
      <c r="AIG331" s="243"/>
      <c r="AIH331" s="243"/>
      <c r="AII331" s="243"/>
      <c r="AIJ331" s="243"/>
      <c r="AIK331" s="243"/>
      <c r="AIL331" s="243"/>
      <c r="AIM331" s="243"/>
      <c r="AIN331" s="243"/>
      <c r="AIO331" s="243"/>
      <c r="AIP331" s="243"/>
      <c r="AIQ331" s="243"/>
      <c r="AIR331" s="243"/>
      <c r="AIS331" s="243"/>
      <c r="AIT331" s="243"/>
      <c r="AIU331" s="243"/>
      <c r="AIV331" s="243"/>
      <c r="AIW331" s="243"/>
      <c r="AIX331" s="243"/>
      <c r="AIY331" s="243"/>
      <c r="AIZ331" s="243"/>
      <c r="AJA331" s="243"/>
      <c r="AJB331" s="243"/>
      <c r="AJC331" s="243"/>
      <c r="AJD331" s="243"/>
      <c r="AJE331" s="243"/>
      <c r="AJF331" s="243"/>
      <c r="AJG331" s="243"/>
      <c r="AJH331" s="243"/>
      <c r="AJI331" s="243"/>
      <c r="AJJ331" s="243"/>
      <c r="AJK331" s="243"/>
      <c r="AJL331" s="243"/>
      <c r="AJM331" s="243"/>
      <c r="AJN331" s="243"/>
      <c r="AJO331" s="243"/>
      <c r="AJP331" s="243"/>
      <c r="AJQ331" s="243"/>
      <c r="AJR331" s="243"/>
      <c r="AJS331" s="243"/>
      <c r="AJT331" s="243"/>
      <c r="AJU331" s="243"/>
      <c r="AJV331" s="243"/>
      <c r="AJW331" s="243"/>
      <c r="AJX331" s="243"/>
      <c r="AJY331" s="243"/>
      <c r="AJZ331" s="243"/>
      <c r="AKA331" s="243"/>
      <c r="AKB331" s="243"/>
      <c r="AKC331" s="243"/>
      <c r="AKD331" s="243"/>
      <c r="AKE331" s="243"/>
      <c r="AKF331" s="243"/>
      <c r="AKG331" s="243"/>
      <c r="AKH331" s="243"/>
      <c r="AKI331" s="243"/>
      <c r="AKJ331" s="243"/>
      <c r="AKK331" s="243"/>
      <c r="AKL331" s="243"/>
      <c r="AKM331" s="243"/>
      <c r="AKN331" s="243"/>
      <c r="AKO331" s="243"/>
      <c r="AKP331" s="243"/>
      <c r="AKQ331" s="243"/>
      <c r="AKR331" s="243"/>
      <c r="AKS331" s="243"/>
      <c r="AKT331" s="243"/>
      <c r="AKU331" s="243"/>
      <c r="AKV331" s="243"/>
      <c r="AKW331" s="243"/>
      <c r="AKX331" s="243"/>
      <c r="AKY331" s="243"/>
      <c r="AKZ331" s="243"/>
      <c r="ALA331" s="243"/>
      <c r="ALB331" s="243"/>
      <c r="ALC331" s="243"/>
      <c r="ALD331" s="243"/>
      <c r="ALE331" s="243"/>
      <c r="ALF331" s="243"/>
      <c r="ALG331" s="243"/>
      <c r="ALH331" s="243"/>
      <c r="ALI331" s="243"/>
      <c r="ALJ331" s="243"/>
      <c r="ALK331" s="243"/>
      <c r="ALL331" s="243"/>
      <c r="ALM331" s="243"/>
      <c r="ALN331" s="243"/>
      <c r="ALO331" s="243"/>
      <c r="ALP331" s="243"/>
      <c r="ALQ331" s="243"/>
      <c r="ALR331" s="243"/>
      <c r="ALS331" s="243"/>
      <c r="ALT331" s="243"/>
      <c r="ALU331" s="243"/>
      <c r="ALV331" s="243"/>
      <c r="ALW331" s="243"/>
      <c r="ALX331" s="243"/>
      <c r="ALY331" s="243"/>
      <c r="ALZ331" s="243"/>
      <c r="AMA331" s="243"/>
      <c r="AMB331" s="243"/>
      <c r="AMC331" s="243"/>
      <c r="AMD331" s="243"/>
      <c r="AME331" s="243"/>
      <c r="AMF331" s="243"/>
      <c r="AMG331" s="243"/>
      <c r="AMH331" s="243"/>
      <c r="AMI331" s="244"/>
      <c r="AMJ331" s="244"/>
    </row>
    <row r="332" spans="1:1024" ht="43.5">
      <c r="E332" s="392"/>
      <c r="F332" s="390"/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243"/>
      <c r="S332" s="243"/>
      <c r="T332" s="243"/>
      <c r="U332" s="243"/>
      <c r="V332" s="243"/>
      <c r="W332" s="243"/>
      <c r="X332" s="243"/>
      <c r="Y332" s="243"/>
      <c r="Z332" s="243"/>
      <c r="AA332" s="243"/>
      <c r="AB332" s="243"/>
      <c r="AC332" s="243"/>
      <c r="AD332" s="243"/>
      <c r="AE332" s="243"/>
      <c r="AF332" s="243"/>
      <c r="AG332" s="243"/>
      <c r="AH332" s="243"/>
      <c r="AI332" s="243"/>
      <c r="AJ332" s="243"/>
      <c r="AK332" s="243"/>
      <c r="AL332" s="243"/>
      <c r="AM332" s="243"/>
      <c r="AN332" s="243"/>
      <c r="AO332" s="243"/>
      <c r="AP332" s="243"/>
      <c r="AQ332" s="243"/>
      <c r="AR332" s="243"/>
      <c r="AS332" s="243"/>
      <c r="AT332" s="243"/>
      <c r="AU332" s="243"/>
      <c r="AV332" s="243"/>
      <c r="AW332" s="243"/>
      <c r="AX332" s="243"/>
      <c r="AY332" s="243"/>
      <c r="AZ332" s="243"/>
      <c r="BA332" s="243"/>
      <c r="BB332" s="243"/>
      <c r="BC332" s="243"/>
      <c r="BD332" s="243"/>
      <c r="BE332" s="243"/>
      <c r="BF332" s="243"/>
      <c r="BG332" s="243"/>
      <c r="BH332" s="243"/>
      <c r="BI332" s="243"/>
      <c r="BJ332" s="243"/>
      <c r="BK332" s="243"/>
      <c r="BL332" s="243"/>
      <c r="BM332" s="243"/>
      <c r="BN332" s="243"/>
      <c r="BO332" s="243"/>
      <c r="BP332" s="243"/>
      <c r="BQ332" s="243"/>
      <c r="BR332" s="243"/>
      <c r="BS332" s="243"/>
      <c r="BT332" s="243"/>
      <c r="BU332" s="243"/>
      <c r="BV332" s="243"/>
      <c r="BW332" s="243"/>
      <c r="BX332" s="243"/>
      <c r="BY332" s="243"/>
      <c r="BZ332" s="243"/>
      <c r="CA332" s="243"/>
      <c r="CB332" s="243"/>
      <c r="CC332" s="243"/>
      <c r="CD332" s="243"/>
      <c r="CE332" s="243"/>
      <c r="CF332" s="243"/>
      <c r="CG332" s="243"/>
      <c r="CH332" s="243"/>
      <c r="CI332" s="243"/>
      <c r="CJ332" s="243"/>
      <c r="CK332" s="243"/>
      <c r="CL332" s="243"/>
      <c r="CM332" s="243"/>
      <c r="CN332" s="243"/>
      <c r="CO332" s="243"/>
      <c r="CP332" s="243"/>
      <c r="CQ332" s="243"/>
      <c r="CR332" s="243"/>
      <c r="CS332" s="243"/>
      <c r="CT332" s="243"/>
      <c r="CU332" s="243"/>
      <c r="CV332" s="243"/>
      <c r="CW332" s="243"/>
      <c r="CX332" s="243"/>
      <c r="CY332" s="243"/>
      <c r="CZ332" s="243"/>
      <c r="DA332" s="243"/>
      <c r="DB332" s="243"/>
      <c r="DC332" s="243"/>
      <c r="DD332" s="243"/>
      <c r="DE332" s="243"/>
      <c r="DF332" s="243"/>
      <c r="DG332" s="243"/>
      <c r="DH332" s="243"/>
      <c r="DI332" s="243"/>
      <c r="DJ332" s="243"/>
      <c r="DK332" s="243"/>
      <c r="DL332" s="243"/>
      <c r="DM332" s="243"/>
      <c r="DN332" s="243"/>
      <c r="DO332" s="243"/>
      <c r="DP332" s="243"/>
      <c r="DQ332" s="243"/>
      <c r="DR332" s="243"/>
      <c r="DS332" s="243"/>
      <c r="DT332" s="243"/>
      <c r="DU332" s="243"/>
      <c r="DV332" s="243"/>
      <c r="DW332" s="243"/>
      <c r="DX332" s="243"/>
      <c r="DY332" s="243"/>
      <c r="DZ332" s="243"/>
      <c r="EA332" s="243"/>
      <c r="EB332" s="243"/>
      <c r="EC332" s="243"/>
      <c r="ED332" s="243"/>
      <c r="EE332" s="243"/>
      <c r="EF332" s="243"/>
      <c r="EG332" s="243"/>
      <c r="EH332" s="243"/>
      <c r="EI332" s="243"/>
      <c r="EJ332" s="243"/>
      <c r="EK332" s="243"/>
      <c r="EL332" s="243"/>
      <c r="EM332" s="243"/>
      <c r="EN332" s="243"/>
      <c r="EO332" s="243"/>
      <c r="EP332" s="243"/>
      <c r="EQ332" s="243"/>
      <c r="ER332" s="243"/>
      <c r="ES332" s="243"/>
      <c r="ET332" s="243"/>
      <c r="EU332" s="243"/>
      <c r="EV332" s="243"/>
      <c r="EW332" s="243"/>
      <c r="EX332" s="243"/>
      <c r="EY332" s="243"/>
      <c r="EZ332" s="243"/>
      <c r="FA332" s="243"/>
      <c r="FB332" s="243"/>
      <c r="FC332" s="243"/>
      <c r="FD332" s="243"/>
      <c r="FE332" s="243"/>
      <c r="FF332" s="243"/>
      <c r="FG332" s="243"/>
      <c r="FH332" s="243"/>
      <c r="FI332" s="243"/>
      <c r="FJ332" s="243"/>
      <c r="FK332" s="243"/>
      <c r="FL332" s="243"/>
      <c r="FM332" s="243"/>
      <c r="FN332" s="243"/>
      <c r="FO332" s="243"/>
      <c r="FP332" s="243"/>
      <c r="FQ332" s="243"/>
      <c r="FR332" s="243"/>
      <c r="FS332" s="243"/>
      <c r="FT332" s="243"/>
      <c r="FU332" s="243"/>
      <c r="FV332" s="243"/>
      <c r="FW332" s="243"/>
      <c r="FX332" s="243"/>
      <c r="FY332" s="243"/>
      <c r="FZ332" s="243"/>
      <c r="GA332" s="243"/>
      <c r="GB332" s="243"/>
      <c r="GC332" s="243"/>
      <c r="GD332" s="243"/>
      <c r="GE332" s="243"/>
      <c r="GF332" s="243"/>
      <c r="GG332" s="243"/>
      <c r="GH332" s="243"/>
      <c r="GI332" s="243"/>
      <c r="GJ332" s="243"/>
      <c r="GK332" s="243"/>
      <c r="GL332" s="243"/>
      <c r="GM332" s="243"/>
      <c r="GN332" s="243"/>
      <c r="GO332" s="243"/>
      <c r="GP332" s="243"/>
      <c r="GQ332" s="243"/>
      <c r="GR332" s="243"/>
      <c r="GS332" s="243"/>
      <c r="GT332" s="243"/>
      <c r="GU332" s="243"/>
      <c r="GV332" s="243"/>
      <c r="GW332" s="243"/>
      <c r="GX332" s="243"/>
      <c r="GY332" s="243"/>
      <c r="GZ332" s="243"/>
      <c r="HA332" s="243"/>
      <c r="HB332" s="243"/>
      <c r="HC332" s="243"/>
      <c r="HD332" s="243"/>
      <c r="HE332" s="243"/>
      <c r="HF332" s="243"/>
      <c r="HG332" s="243"/>
      <c r="HH332" s="243"/>
      <c r="HI332" s="243"/>
      <c r="HJ332" s="243"/>
      <c r="HK332" s="243"/>
      <c r="HL332" s="243"/>
      <c r="HM332" s="243"/>
      <c r="HN332" s="243"/>
      <c r="HO332" s="243"/>
      <c r="HP332" s="243"/>
      <c r="HQ332" s="243"/>
      <c r="HR332" s="243"/>
      <c r="HS332" s="243"/>
      <c r="HT332" s="243"/>
      <c r="HU332" s="243"/>
      <c r="HV332" s="243"/>
      <c r="HW332" s="243"/>
      <c r="HX332" s="243"/>
      <c r="HY332" s="243"/>
      <c r="HZ332" s="243"/>
      <c r="IA332" s="243"/>
      <c r="IB332" s="243"/>
      <c r="IC332" s="243"/>
      <c r="ID332" s="243"/>
      <c r="IE332" s="243"/>
      <c r="IF332" s="243"/>
      <c r="IG332" s="243"/>
      <c r="IH332" s="243"/>
      <c r="II332" s="243"/>
      <c r="IJ332" s="243"/>
      <c r="IK332" s="243"/>
      <c r="IL332" s="243"/>
      <c r="IM332" s="243"/>
      <c r="IN332" s="243"/>
      <c r="IO332" s="243"/>
      <c r="IP332" s="243"/>
      <c r="IQ332" s="243"/>
      <c r="IR332" s="243"/>
      <c r="IS332" s="243"/>
      <c r="IT332" s="243"/>
      <c r="IU332" s="243"/>
      <c r="IV332" s="243"/>
      <c r="IW332" s="243"/>
      <c r="IX332" s="243"/>
      <c r="IY332" s="243"/>
      <c r="IZ332" s="243"/>
      <c r="JA332" s="243"/>
      <c r="JB332" s="243"/>
      <c r="JC332" s="243"/>
      <c r="JD332" s="243"/>
      <c r="JE332" s="243"/>
      <c r="JF332" s="243"/>
      <c r="JG332" s="243"/>
      <c r="JH332" s="243"/>
      <c r="JI332" s="243"/>
      <c r="JJ332" s="243"/>
      <c r="JK332" s="243"/>
      <c r="JL332" s="243"/>
      <c r="JM332" s="243"/>
      <c r="JN332" s="243"/>
      <c r="JO332" s="243"/>
      <c r="JP332" s="243"/>
      <c r="JQ332" s="243"/>
      <c r="JR332" s="243"/>
      <c r="JS332" s="243"/>
      <c r="JT332" s="243"/>
      <c r="JU332" s="243"/>
      <c r="JV332" s="243"/>
      <c r="JW332" s="243"/>
      <c r="JX332" s="243"/>
      <c r="JY332" s="243"/>
      <c r="JZ332" s="243"/>
      <c r="KA332" s="243"/>
      <c r="KB332" s="243"/>
      <c r="KC332" s="243"/>
      <c r="KD332" s="243"/>
      <c r="KE332" s="243"/>
      <c r="KF332" s="243"/>
      <c r="KG332" s="243"/>
      <c r="KH332" s="243"/>
      <c r="KI332" s="243"/>
      <c r="KJ332" s="243"/>
      <c r="KK332" s="243"/>
      <c r="KL332" s="243"/>
      <c r="KM332" s="243"/>
      <c r="KN332" s="243"/>
      <c r="KO332" s="243"/>
      <c r="KP332" s="243"/>
      <c r="KQ332" s="243"/>
      <c r="KR332" s="243"/>
      <c r="KS332" s="243"/>
      <c r="KT332" s="243"/>
      <c r="KU332" s="243"/>
      <c r="KV332" s="243"/>
      <c r="KW332" s="243"/>
      <c r="KX332" s="243"/>
      <c r="KY332" s="243"/>
      <c r="KZ332" s="243"/>
      <c r="LA332" s="243"/>
      <c r="LB332" s="243"/>
      <c r="LC332" s="243"/>
      <c r="LD332" s="243"/>
      <c r="LE332" s="243"/>
      <c r="LF332" s="243"/>
      <c r="LG332" s="243"/>
      <c r="LH332" s="243"/>
      <c r="LI332" s="243"/>
      <c r="LJ332" s="243"/>
      <c r="LK332" s="243"/>
      <c r="LL332" s="243"/>
      <c r="LM332" s="243"/>
      <c r="LN332" s="243"/>
      <c r="LO332" s="243"/>
      <c r="LP332" s="243"/>
      <c r="LQ332" s="243"/>
      <c r="LR332" s="243"/>
      <c r="LS332" s="243"/>
      <c r="LT332" s="243"/>
      <c r="LU332" s="243"/>
      <c r="LV332" s="243"/>
      <c r="LW332" s="243"/>
      <c r="LX332" s="243"/>
      <c r="LY332" s="243"/>
      <c r="LZ332" s="243"/>
      <c r="MA332" s="243"/>
      <c r="MB332" s="243"/>
      <c r="MC332" s="243"/>
      <c r="MD332" s="243"/>
      <c r="ME332" s="243"/>
      <c r="MF332" s="243"/>
      <c r="MG332" s="243"/>
      <c r="MH332" s="243"/>
      <c r="MI332" s="243"/>
      <c r="MJ332" s="243"/>
      <c r="MK332" s="243"/>
      <c r="ML332" s="243"/>
      <c r="MM332" s="243"/>
      <c r="MN332" s="243"/>
      <c r="MO332" s="243"/>
      <c r="MP332" s="243"/>
      <c r="MQ332" s="243"/>
      <c r="MR332" s="243"/>
      <c r="MS332" s="243"/>
      <c r="MT332" s="243"/>
      <c r="MU332" s="243"/>
      <c r="MV332" s="243"/>
      <c r="MW332" s="243"/>
      <c r="MX332" s="243"/>
      <c r="MY332" s="243"/>
      <c r="MZ332" s="243"/>
      <c r="NA332" s="243"/>
      <c r="NB332" s="243"/>
      <c r="NC332" s="243"/>
      <c r="ND332" s="243"/>
      <c r="NE332" s="243"/>
      <c r="NF332" s="243"/>
      <c r="NG332" s="243"/>
      <c r="NH332" s="243"/>
      <c r="NI332" s="243"/>
      <c r="NJ332" s="243"/>
      <c r="NK332" s="243"/>
      <c r="NL332" s="243"/>
      <c r="NM332" s="243"/>
      <c r="NN332" s="243"/>
      <c r="NO332" s="243"/>
      <c r="NP332" s="243"/>
      <c r="NQ332" s="243"/>
      <c r="NR332" s="243"/>
      <c r="NS332" s="243"/>
      <c r="NT332" s="243"/>
      <c r="NU332" s="243"/>
      <c r="NV332" s="243"/>
      <c r="NW332" s="243"/>
      <c r="NX332" s="243"/>
      <c r="NY332" s="243"/>
      <c r="NZ332" s="243"/>
      <c r="OA332" s="243"/>
      <c r="OB332" s="243"/>
      <c r="OC332" s="243"/>
      <c r="OD332" s="243"/>
      <c r="OE332" s="243"/>
      <c r="OF332" s="243"/>
      <c r="OG332" s="243"/>
      <c r="OH332" s="243"/>
      <c r="OI332" s="243"/>
      <c r="OJ332" s="243"/>
      <c r="OK332" s="243"/>
      <c r="OL332" s="243"/>
      <c r="OM332" s="243"/>
      <c r="ON332" s="243"/>
      <c r="OO332" s="243"/>
      <c r="OP332" s="243"/>
      <c r="OQ332" s="243"/>
      <c r="OR332" s="243"/>
      <c r="OS332" s="243"/>
      <c r="OT332" s="243"/>
      <c r="OU332" s="243"/>
      <c r="OV332" s="243"/>
      <c r="OW332" s="243"/>
      <c r="OX332" s="243"/>
      <c r="OY332" s="243"/>
      <c r="OZ332" s="243"/>
      <c r="PA332" s="243"/>
      <c r="PB332" s="243"/>
      <c r="PC332" s="243"/>
      <c r="PD332" s="243"/>
      <c r="PE332" s="243"/>
      <c r="PF332" s="243"/>
      <c r="PG332" s="243"/>
      <c r="PH332" s="243"/>
      <c r="PI332" s="243"/>
      <c r="PJ332" s="243"/>
      <c r="PK332" s="243"/>
      <c r="PL332" s="243"/>
      <c r="PM332" s="243"/>
      <c r="PN332" s="243"/>
      <c r="PO332" s="243"/>
      <c r="PP332" s="243"/>
      <c r="PQ332" s="243"/>
      <c r="PR332" s="243"/>
      <c r="PS332" s="243"/>
      <c r="PT332" s="243"/>
      <c r="PU332" s="243"/>
      <c r="PV332" s="243"/>
      <c r="PW332" s="243"/>
      <c r="PX332" s="243"/>
      <c r="PY332" s="243"/>
      <c r="PZ332" s="243"/>
      <c r="QA332" s="243"/>
      <c r="QB332" s="243"/>
      <c r="QC332" s="243"/>
      <c r="QD332" s="243"/>
      <c r="QE332" s="243"/>
      <c r="QF332" s="243"/>
      <c r="QG332" s="243"/>
      <c r="QH332" s="243"/>
      <c r="QI332" s="243"/>
      <c r="QJ332" s="243"/>
      <c r="QK332" s="243"/>
      <c r="QL332" s="243"/>
      <c r="QM332" s="243"/>
      <c r="QN332" s="243"/>
      <c r="QO332" s="243"/>
      <c r="QP332" s="243"/>
      <c r="QQ332" s="243"/>
      <c r="QR332" s="243"/>
      <c r="QS332" s="243"/>
      <c r="QT332" s="243"/>
      <c r="QU332" s="243"/>
      <c r="QV332" s="243"/>
      <c r="QW332" s="243"/>
      <c r="QX332" s="243"/>
      <c r="QY332" s="243"/>
      <c r="QZ332" s="243"/>
      <c r="RA332" s="243"/>
      <c r="RB332" s="243"/>
      <c r="RC332" s="243"/>
      <c r="RD332" s="243"/>
      <c r="RE332" s="243"/>
      <c r="RF332" s="243"/>
      <c r="RG332" s="243"/>
      <c r="RH332" s="243"/>
      <c r="RI332" s="243"/>
      <c r="RJ332" s="243"/>
      <c r="RK332" s="243"/>
      <c r="RL332" s="243"/>
      <c r="RM332" s="243"/>
      <c r="RN332" s="243"/>
      <c r="RO332" s="243"/>
      <c r="RP332" s="243"/>
      <c r="RQ332" s="243"/>
      <c r="RR332" s="243"/>
      <c r="RS332" s="243"/>
      <c r="RT332" s="243"/>
      <c r="RU332" s="243"/>
      <c r="RV332" s="243"/>
      <c r="RW332" s="243"/>
      <c r="RX332" s="243"/>
      <c r="RY332" s="243"/>
      <c r="RZ332" s="243"/>
      <c r="SA332" s="243"/>
      <c r="SB332" s="243"/>
      <c r="SC332" s="243"/>
      <c r="SD332" s="243"/>
      <c r="SE332" s="243"/>
      <c r="SF332" s="243"/>
      <c r="SG332" s="243"/>
      <c r="SH332" s="243"/>
      <c r="SI332" s="243"/>
      <c r="SJ332" s="243"/>
      <c r="SK332" s="243"/>
      <c r="SL332" s="243"/>
      <c r="SM332" s="243"/>
      <c r="SN332" s="243"/>
      <c r="SO332" s="243"/>
      <c r="SP332" s="243"/>
      <c r="SQ332" s="243"/>
      <c r="SR332" s="243"/>
      <c r="SS332" s="243"/>
      <c r="ST332" s="243"/>
      <c r="SU332" s="243"/>
      <c r="SV332" s="243"/>
      <c r="SW332" s="243"/>
      <c r="SX332" s="243"/>
      <c r="SY332" s="243"/>
      <c r="SZ332" s="243"/>
      <c r="TA332" s="243"/>
      <c r="TB332" s="243"/>
      <c r="TC332" s="243"/>
      <c r="TD332" s="243"/>
      <c r="TE332" s="243"/>
      <c r="TF332" s="243"/>
      <c r="TG332" s="243"/>
      <c r="TH332" s="243"/>
      <c r="TI332" s="243"/>
      <c r="TJ332" s="243"/>
      <c r="TK332" s="243"/>
      <c r="TL332" s="243"/>
      <c r="TM332" s="243"/>
      <c r="TN332" s="243"/>
      <c r="TO332" s="243"/>
      <c r="TP332" s="243"/>
      <c r="TQ332" s="243"/>
      <c r="TR332" s="243"/>
      <c r="TS332" s="243"/>
      <c r="TT332" s="243"/>
      <c r="TU332" s="243"/>
      <c r="TV332" s="243"/>
      <c r="TW332" s="243"/>
      <c r="TX332" s="243"/>
      <c r="TY332" s="243"/>
      <c r="TZ332" s="243"/>
      <c r="UA332" s="243"/>
      <c r="UB332" s="243"/>
      <c r="UC332" s="243"/>
      <c r="UD332" s="243"/>
      <c r="UE332" s="243"/>
      <c r="UF332" s="243"/>
      <c r="UG332" s="243"/>
      <c r="UH332" s="243"/>
      <c r="UI332" s="243"/>
      <c r="UJ332" s="243"/>
      <c r="UK332" s="243"/>
      <c r="UL332" s="243"/>
      <c r="UM332" s="243"/>
      <c r="UN332" s="243"/>
      <c r="UO332" s="243"/>
      <c r="UP332" s="243"/>
      <c r="UQ332" s="243"/>
      <c r="UR332" s="243"/>
      <c r="US332" s="243"/>
      <c r="UT332" s="243"/>
      <c r="UU332" s="243"/>
      <c r="UV332" s="243"/>
      <c r="UW332" s="243"/>
      <c r="UX332" s="243"/>
      <c r="UY332" s="243"/>
      <c r="UZ332" s="243"/>
      <c r="VA332" s="243"/>
      <c r="VB332" s="243"/>
      <c r="VC332" s="243"/>
      <c r="VD332" s="243"/>
      <c r="VE332" s="243"/>
      <c r="VF332" s="243"/>
      <c r="VG332" s="243"/>
      <c r="VH332" s="243"/>
      <c r="VI332" s="243"/>
      <c r="VJ332" s="243"/>
      <c r="VK332" s="243"/>
      <c r="VL332" s="243"/>
      <c r="VM332" s="243"/>
      <c r="VN332" s="243"/>
      <c r="VO332" s="243"/>
      <c r="VP332" s="243"/>
      <c r="VQ332" s="243"/>
      <c r="VR332" s="243"/>
      <c r="VS332" s="243"/>
      <c r="VT332" s="243"/>
      <c r="VU332" s="243"/>
      <c r="VV332" s="243"/>
      <c r="VW332" s="243"/>
      <c r="VX332" s="243"/>
      <c r="VY332" s="243"/>
      <c r="VZ332" s="243"/>
      <c r="WA332" s="243"/>
      <c r="WB332" s="243"/>
      <c r="WC332" s="243"/>
      <c r="WD332" s="243"/>
      <c r="WE332" s="243"/>
      <c r="WF332" s="243"/>
      <c r="WG332" s="243"/>
      <c r="WH332" s="243"/>
      <c r="WI332" s="243"/>
      <c r="WJ332" s="243"/>
      <c r="WK332" s="243"/>
      <c r="WL332" s="243"/>
      <c r="WM332" s="243"/>
      <c r="WN332" s="243"/>
      <c r="WO332" s="243"/>
      <c r="WP332" s="243"/>
      <c r="WQ332" s="243"/>
      <c r="WR332" s="243"/>
      <c r="WS332" s="243"/>
      <c r="WT332" s="243"/>
      <c r="WU332" s="243"/>
      <c r="WV332" s="243"/>
      <c r="WW332" s="243"/>
      <c r="WX332" s="243"/>
      <c r="WY332" s="243"/>
      <c r="WZ332" s="243"/>
      <c r="XA332" s="243"/>
      <c r="XB332" s="243"/>
      <c r="XC332" s="243"/>
      <c r="XD332" s="243"/>
      <c r="XE332" s="243"/>
      <c r="XF332" s="243"/>
      <c r="XG332" s="243"/>
      <c r="XH332" s="243"/>
      <c r="XI332" s="243"/>
      <c r="XJ332" s="243"/>
      <c r="XK332" s="243"/>
      <c r="XL332" s="243"/>
      <c r="XM332" s="243"/>
      <c r="XN332" s="243"/>
      <c r="XO332" s="243"/>
      <c r="XP332" s="243"/>
      <c r="XQ332" s="243"/>
      <c r="XR332" s="243"/>
      <c r="XS332" s="243"/>
      <c r="XT332" s="243"/>
      <c r="XU332" s="243"/>
      <c r="XV332" s="243"/>
      <c r="XW332" s="243"/>
      <c r="XX332" s="243"/>
      <c r="XY332" s="243"/>
      <c r="XZ332" s="243"/>
      <c r="YA332" s="243"/>
      <c r="YB332" s="243"/>
      <c r="YC332" s="243"/>
      <c r="YD332" s="243"/>
      <c r="YE332" s="243"/>
      <c r="YF332" s="243"/>
      <c r="YG332" s="243"/>
      <c r="YH332" s="243"/>
      <c r="YI332" s="243"/>
      <c r="YJ332" s="243"/>
      <c r="YK332" s="243"/>
      <c r="YL332" s="243"/>
      <c r="YM332" s="243"/>
      <c r="YN332" s="243"/>
      <c r="YO332" s="243"/>
      <c r="YP332" s="243"/>
      <c r="YQ332" s="243"/>
      <c r="YR332" s="243"/>
      <c r="YS332" s="243"/>
      <c r="YT332" s="243"/>
      <c r="YU332" s="243"/>
      <c r="YV332" s="243"/>
      <c r="YW332" s="243"/>
      <c r="YX332" s="243"/>
      <c r="YY332" s="243"/>
      <c r="YZ332" s="243"/>
      <c r="ZA332" s="243"/>
      <c r="ZB332" s="243"/>
      <c r="ZC332" s="243"/>
      <c r="ZD332" s="243"/>
      <c r="ZE332" s="243"/>
      <c r="ZF332" s="243"/>
      <c r="ZG332" s="243"/>
      <c r="ZH332" s="243"/>
      <c r="ZI332" s="243"/>
      <c r="ZJ332" s="243"/>
      <c r="ZK332" s="243"/>
      <c r="ZL332" s="243"/>
      <c r="ZM332" s="243"/>
      <c r="ZN332" s="243"/>
      <c r="ZO332" s="243"/>
      <c r="ZP332" s="243"/>
      <c r="ZQ332" s="243"/>
      <c r="ZR332" s="243"/>
      <c r="ZS332" s="243"/>
      <c r="ZT332" s="243"/>
      <c r="ZU332" s="243"/>
      <c r="ZV332" s="243"/>
      <c r="ZW332" s="243"/>
      <c r="ZX332" s="243"/>
      <c r="ZY332" s="243"/>
      <c r="ZZ332" s="243"/>
      <c r="AAA332" s="243"/>
      <c r="AAB332" s="243"/>
      <c r="AAC332" s="243"/>
      <c r="AAD332" s="243"/>
      <c r="AAE332" s="243"/>
      <c r="AAF332" s="243"/>
      <c r="AAG332" s="243"/>
      <c r="AAH332" s="243"/>
      <c r="AAI332" s="243"/>
      <c r="AAJ332" s="243"/>
      <c r="AAK332" s="243"/>
      <c r="AAL332" s="243"/>
      <c r="AAM332" s="243"/>
      <c r="AAN332" s="243"/>
      <c r="AAO332" s="243"/>
      <c r="AAP332" s="243"/>
      <c r="AAQ332" s="243"/>
      <c r="AAR332" s="243"/>
      <c r="AAS332" s="243"/>
      <c r="AAT332" s="243"/>
      <c r="AAU332" s="243"/>
      <c r="AAV332" s="243"/>
      <c r="AAW332" s="243"/>
      <c r="AAX332" s="243"/>
      <c r="AAY332" s="243"/>
      <c r="AAZ332" s="243"/>
      <c r="ABA332" s="243"/>
      <c r="ABB332" s="243"/>
      <c r="ABC332" s="243"/>
      <c r="ABD332" s="243"/>
      <c r="ABE332" s="243"/>
      <c r="ABF332" s="243"/>
      <c r="ABG332" s="243"/>
      <c r="ABH332" s="243"/>
      <c r="ABI332" s="243"/>
      <c r="ABJ332" s="243"/>
      <c r="ABK332" s="243"/>
      <c r="ABL332" s="243"/>
      <c r="ABM332" s="243"/>
      <c r="ABN332" s="243"/>
      <c r="ABO332" s="243"/>
      <c r="ABP332" s="243"/>
      <c r="ABQ332" s="243"/>
      <c r="ABR332" s="243"/>
      <c r="ABS332" s="243"/>
      <c r="ABT332" s="243"/>
      <c r="ABU332" s="243"/>
      <c r="ABV332" s="243"/>
      <c r="ABW332" s="243"/>
      <c r="ABX332" s="243"/>
      <c r="ABY332" s="243"/>
      <c r="ABZ332" s="243"/>
      <c r="ACA332" s="243"/>
      <c r="ACB332" s="243"/>
      <c r="ACC332" s="243"/>
      <c r="ACD332" s="243"/>
      <c r="ACE332" s="243"/>
      <c r="ACF332" s="243"/>
      <c r="ACG332" s="243"/>
      <c r="ACH332" s="243"/>
      <c r="ACI332" s="243"/>
      <c r="ACJ332" s="243"/>
      <c r="ACK332" s="243"/>
      <c r="ACL332" s="243"/>
      <c r="ACM332" s="243"/>
      <c r="ACN332" s="243"/>
      <c r="ACO332" s="243"/>
      <c r="ACP332" s="243"/>
      <c r="ACQ332" s="243"/>
      <c r="ACR332" s="243"/>
      <c r="ACS332" s="243"/>
      <c r="ACT332" s="243"/>
      <c r="ACU332" s="243"/>
      <c r="ACV332" s="243"/>
      <c r="ACW332" s="243"/>
      <c r="ACX332" s="243"/>
      <c r="ACY332" s="243"/>
      <c r="ACZ332" s="243"/>
      <c r="ADA332" s="243"/>
      <c r="ADB332" s="243"/>
      <c r="ADC332" s="243"/>
      <c r="ADD332" s="243"/>
      <c r="ADE332" s="243"/>
      <c r="ADF332" s="243"/>
      <c r="ADG332" s="243"/>
      <c r="ADH332" s="243"/>
      <c r="ADI332" s="243"/>
      <c r="ADJ332" s="243"/>
      <c r="ADK332" s="243"/>
      <c r="ADL332" s="243"/>
      <c r="ADM332" s="243"/>
      <c r="ADN332" s="243"/>
      <c r="ADO332" s="243"/>
      <c r="ADP332" s="243"/>
      <c r="ADQ332" s="243"/>
      <c r="ADR332" s="243"/>
      <c r="ADS332" s="243"/>
      <c r="ADT332" s="243"/>
      <c r="ADU332" s="243"/>
      <c r="ADV332" s="243"/>
      <c r="ADW332" s="243"/>
      <c r="ADX332" s="243"/>
      <c r="ADY332" s="243"/>
      <c r="ADZ332" s="243"/>
      <c r="AEA332" s="243"/>
      <c r="AEB332" s="243"/>
      <c r="AEC332" s="243"/>
      <c r="AED332" s="243"/>
      <c r="AEE332" s="243"/>
      <c r="AEF332" s="243"/>
      <c r="AEG332" s="243"/>
      <c r="AEH332" s="243"/>
      <c r="AEI332" s="243"/>
      <c r="AEJ332" s="243"/>
      <c r="AEK332" s="243"/>
      <c r="AEL332" s="243"/>
      <c r="AEM332" s="243"/>
      <c r="AEN332" s="243"/>
      <c r="AEO332" s="243"/>
      <c r="AEP332" s="243"/>
      <c r="AEQ332" s="243"/>
      <c r="AER332" s="243"/>
      <c r="AES332" s="243"/>
      <c r="AET332" s="243"/>
      <c r="AEU332" s="243"/>
      <c r="AEV332" s="243"/>
      <c r="AEW332" s="243"/>
      <c r="AEX332" s="243"/>
      <c r="AEY332" s="243"/>
      <c r="AEZ332" s="243"/>
      <c r="AFA332" s="243"/>
      <c r="AFB332" s="243"/>
      <c r="AFC332" s="243"/>
      <c r="AFD332" s="243"/>
      <c r="AFE332" s="243"/>
      <c r="AFF332" s="243"/>
      <c r="AFG332" s="243"/>
      <c r="AFH332" s="243"/>
      <c r="AFI332" s="243"/>
      <c r="AFJ332" s="243"/>
      <c r="AFK332" s="243"/>
      <c r="AFL332" s="243"/>
      <c r="AFM332" s="243"/>
      <c r="AFN332" s="243"/>
      <c r="AFO332" s="243"/>
      <c r="AFP332" s="243"/>
      <c r="AFQ332" s="243"/>
      <c r="AFR332" s="243"/>
      <c r="AFS332" s="243"/>
      <c r="AFT332" s="243"/>
      <c r="AFU332" s="243"/>
      <c r="AFV332" s="243"/>
      <c r="AFW332" s="243"/>
      <c r="AFX332" s="243"/>
      <c r="AFY332" s="243"/>
      <c r="AFZ332" s="243"/>
      <c r="AGA332" s="243"/>
      <c r="AGB332" s="243"/>
      <c r="AGC332" s="243"/>
      <c r="AGD332" s="243"/>
      <c r="AGE332" s="243"/>
      <c r="AGF332" s="243"/>
      <c r="AGG332" s="243"/>
      <c r="AGH332" s="243"/>
      <c r="AGI332" s="243"/>
      <c r="AGJ332" s="243"/>
      <c r="AGK332" s="243"/>
      <c r="AGL332" s="243"/>
      <c r="AGM332" s="243"/>
      <c r="AGN332" s="243"/>
      <c r="AGO332" s="243"/>
      <c r="AGP332" s="243"/>
      <c r="AGQ332" s="243"/>
      <c r="AGR332" s="243"/>
      <c r="AGS332" s="243"/>
      <c r="AGT332" s="243"/>
      <c r="AGU332" s="243"/>
      <c r="AGV332" s="243"/>
      <c r="AGW332" s="243"/>
      <c r="AGX332" s="243"/>
      <c r="AGY332" s="243"/>
      <c r="AGZ332" s="243"/>
      <c r="AHA332" s="243"/>
      <c r="AHB332" s="243"/>
      <c r="AHC332" s="243"/>
      <c r="AHD332" s="243"/>
      <c r="AHE332" s="243"/>
      <c r="AHF332" s="243"/>
      <c r="AHG332" s="243"/>
      <c r="AHH332" s="243"/>
      <c r="AHI332" s="243"/>
      <c r="AHJ332" s="243"/>
      <c r="AHK332" s="243"/>
      <c r="AHL332" s="243"/>
      <c r="AHM332" s="243"/>
      <c r="AHN332" s="243"/>
      <c r="AHO332" s="243"/>
      <c r="AHP332" s="243"/>
      <c r="AHQ332" s="243"/>
      <c r="AHR332" s="243"/>
      <c r="AHS332" s="243"/>
      <c r="AHT332" s="243"/>
      <c r="AHU332" s="243"/>
      <c r="AHV332" s="243"/>
      <c r="AHW332" s="243"/>
      <c r="AHX332" s="243"/>
      <c r="AHY332" s="243"/>
      <c r="AHZ332" s="243"/>
      <c r="AIA332" s="243"/>
      <c r="AIB332" s="243"/>
      <c r="AIC332" s="243"/>
      <c r="AID332" s="243"/>
      <c r="AIE332" s="243"/>
      <c r="AIF332" s="243"/>
      <c r="AIG332" s="243"/>
      <c r="AIH332" s="243"/>
      <c r="AII332" s="243"/>
      <c r="AIJ332" s="243"/>
      <c r="AIK332" s="243"/>
      <c r="AIL332" s="243"/>
      <c r="AIM332" s="243"/>
      <c r="AIN332" s="243"/>
      <c r="AIO332" s="243"/>
      <c r="AIP332" s="243"/>
      <c r="AIQ332" s="243"/>
      <c r="AIR332" s="243"/>
      <c r="AIS332" s="243"/>
      <c r="AIT332" s="243"/>
      <c r="AIU332" s="243"/>
      <c r="AIV332" s="243"/>
      <c r="AIW332" s="243"/>
      <c r="AIX332" s="243"/>
      <c r="AIY332" s="243"/>
      <c r="AIZ332" s="243"/>
      <c r="AJA332" s="243"/>
      <c r="AJB332" s="243"/>
      <c r="AJC332" s="243"/>
      <c r="AJD332" s="243"/>
      <c r="AJE332" s="243"/>
      <c r="AJF332" s="243"/>
      <c r="AJG332" s="243"/>
      <c r="AJH332" s="243"/>
      <c r="AJI332" s="243"/>
      <c r="AJJ332" s="243"/>
      <c r="AJK332" s="243"/>
      <c r="AJL332" s="243"/>
      <c r="AJM332" s="243"/>
      <c r="AJN332" s="243"/>
      <c r="AJO332" s="243"/>
      <c r="AJP332" s="243"/>
      <c r="AJQ332" s="243"/>
      <c r="AJR332" s="243"/>
      <c r="AJS332" s="243"/>
      <c r="AJT332" s="243"/>
      <c r="AJU332" s="243"/>
      <c r="AJV332" s="243"/>
      <c r="AJW332" s="243"/>
      <c r="AJX332" s="243"/>
      <c r="AJY332" s="243"/>
      <c r="AJZ332" s="243"/>
      <c r="AKA332" s="243"/>
      <c r="AKB332" s="243"/>
      <c r="AKC332" s="243"/>
      <c r="AKD332" s="243"/>
      <c r="AKE332" s="243"/>
      <c r="AKF332" s="243"/>
      <c r="AKG332" s="243"/>
      <c r="AKH332" s="243"/>
      <c r="AKI332" s="243"/>
      <c r="AKJ332" s="243"/>
      <c r="AKK332" s="243"/>
      <c r="AKL332" s="243"/>
      <c r="AKM332" s="243"/>
      <c r="AKN332" s="243"/>
      <c r="AKO332" s="243"/>
      <c r="AKP332" s="243"/>
      <c r="AKQ332" s="243"/>
      <c r="AKR332" s="243"/>
      <c r="AKS332" s="243"/>
      <c r="AKT332" s="243"/>
      <c r="AKU332" s="243"/>
      <c r="AKV332" s="243"/>
      <c r="AKW332" s="243"/>
      <c r="AKX332" s="243"/>
      <c r="AKY332" s="243"/>
      <c r="AKZ332" s="243"/>
      <c r="ALA332" s="243"/>
      <c r="ALB332" s="243"/>
      <c r="ALC332" s="243"/>
      <c r="ALD332" s="243"/>
      <c r="ALE332" s="243"/>
      <c r="ALF332" s="243"/>
      <c r="ALG332" s="243"/>
      <c r="ALH332" s="243"/>
      <c r="ALI332" s="243"/>
      <c r="ALJ332" s="243"/>
      <c r="ALK332" s="243"/>
      <c r="ALL332" s="243"/>
      <c r="ALM332" s="243"/>
      <c r="ALN332" s="243"/>
      <c r="ALO332" s="243"/>
      <c r="ALP332" s="243"/>
      <c r="ALQ332" s="243"/>
      <c r="ALR332" s="243"/>
      <c r="ALS332" s="243"/>
      <c r="ALT332" s="243"/>
      <c r="ALU332" s="243"/>
      <c r="ALV332" s="243"/>
      <c r="ALW332" s="243"/>
      <c r="ALX332" s="243"/>
      <c r="ALY332" s="243"/>
      <c r="ALZ332" s="243"/>
      <c r="AMA332" s="243"/>
      <c r="AMB332" s="243"/>
      <c r="AMC332" s="243"/>
      <c r="AMD332" s="243"/>
      <c r="AME332" s="243"/>
      <c r="AMF332" s="243"/>
      <c r="AMG332" s="243"/>
      <c r="AMH332" s="243"/>
      <c r="AMI332" s="244"/>
      <c r="AMJ332" s="244"/>
    </row>
    <row r="335" spans="1:1024" ht="31.5">
      <c r="A335" s="903" t="s">
        <v>223</v>
      </c>
      <c r="B335" s="903"/>
      <c r="C335" s="903"/>
      <c r="D335" s="903"/>
      <c r="E335" s="903"/>
      <c r="F335" s="903"/>
      <c r="G335" s="903"/>
      <c r="H335" s="903"/>
      <c r="I335" s="903"/>
      <c r="J335" s="903"/>
      <c r="K335" s="903"/>
      <c r="L335" s="903"/>
      <c r="M335" s="903"/>
      <c r="N335" s="903"/>
      <c r="O335" s="903"/>
      <c r="P335" s="903"/>
    </row>
    <row r="336" spans="1:1024">
      <c r="A336" s="904" t="s">
        <v>1</v>
      </c>
      <c r="B336" s="904"/>
      <c r="C336" s="904"/>
      <c r="D336" s="904"/>
      <c r="E336" s="904"/>
      <c r="F336" s="904"/>
      <c r="G336" s="904"/>
      <c r="H336" s="904"/>
      <c r="I336" s="904"/>
      <c r="J336" s="904"/>
      <c r="K336" s="892" t="s">
        <v>2</v>
      </c>
      <c r="L336" s="892"/>
      <c r="M336" s="892"/>
      <c r="N336" s="892"/>
      <c r="O336" s="892"/>
      <c r="P336" s="892"/>
    </row>
    <row r="337" spans="1:16">
      <c r="A337" s="1" t="s">
        <v>3</v>
      </c>
      <c r="B337" s="2" t="s">
        <v>4</v>
      </c>
      <c r="C337" s="3" t="s">
        <v>5</v>
      </c>
      <c r="D337" s="4" t="s">
        <v>6</v>
      </c>
      <c r="E337" s="4" t="s">
        <v>7</v>
      </c>
      <c r="F337" s="5" t="s">
        <v>8</v>
      </c>
      <c r="G337" s="4" t="s">
        <v>9</v>
      </c>
      <c r="H337" s="6" t="s">
        <v>10</v>
      </c>
      <c r="I337" s="4" t="s">
        <v>11</v>
      </c>
      <c r="J337" s="4" t="s">
        <v>12</v>
      </c>
      <c r="K337" s="7" t="s">
        <v>4</v>
      </c>
      <c r="L337" s="7" t="s">
        <v>5</v>
      </c>
      <c r="M337" s="7" t="s">
        <v>6</v>
      </c>
      <c r="N337" s="7" t="s">
        <v>13</v>
      </c>
      <c r="O337" s="8" t="s">
        <v>8</v>
      </c>
      <c r="P337" s="7" t="s">
        <v>14</v>
      </c>
    </row>
    <row r="338" spans="1:16">
      <c r="A338" s="900">
        <v>23</v>
      </c>
      <c r="B338" s="122">
        <v>14355</v>
      </c>
      <c r="C338" s="541">
        <v>0.1</v>
      </c>
      <c r="D338" s="542" t="s">
        <v>224</v>
      </c>
      <c r="E338" s="364">
        <v>2500000</v>
      </c>
      <c r="F338" s="597">
        <v>0.06</v>
      </c>
      <c r="G338" s="598">
        <f>E338*F338</f>
        <v>150000</v>
      </c>
      <c r="H338" s="599" t="s">
        <v>123</v>
      </c>
      <c r="I338" s="523"/>
      <c r="J338" s="523"/>
      <c r="K338" s="609">
        <v>14391</v>
      </c>
      <c r="L338" s="566">
        <v>0.1</v>
      </c>
      <c r="M338" s="610" t="s">
        <v>225</v>
      </c>
      <c r="N338" s="611">
        <v>1300000</v>
      </c>
      <c r="O338" s="612">
        <v>0.05</v>
      </c>
      <c r="P338" s="611">
        <f>N338*O338</f>
        <v>65000</v>
      </c>
    </row>
    <row r="339" spans="1:16" ht="12.75" customHeight="1">
      <c r="A339" s="901"/>
      <c r="B339" s="122">
        <v>14346</v>
      </c>
      <c r="C339" s="543">
        <v>0.08</v>
      </c>
      <c r="D339" s="542" t="s">
        <v>226</v>
      </c>
      <c r="E339" s="364">
        <v>5300000</v>
      </c>
      <c r="F339" s="600">
        <v>0.1</v>
      </c>
      <c r="G339" s="598">
        <f>E339*F339</f>
        <v>530000</v>
      </c>
      <c r="H339" s="599" t="s">
        <v>47</v>
      </c>
      <c r="I339" s="605" t="s">
        <v>227</v>
      </c>
      <c r="J339" s="523"/>
      <c r="K339" s="609">
        <v>14455</v>
      </c>
      <c r="L339" s="613">
        <v>0.08</v>
      </c>
      <c r="M339" s="610" t="s">
        <v>228</v>
      </c>
      <c r="N339" s="611">
        <v>2300000</v>
      </c>
      <c r="O339" s="614">
        <v>0.04</v>
      </c>
      <c r="P339" s="611">
        <f>N339*O339</f>
        <v>92000</v>
      </c>
    </row>
    <row r="340" spans="1:16" ht="12.75" customHeight="1">
      <c r="A340" s="901"/>
      <c r="B340" s="551">
        <v>14350</v>
      </c>
      <c r="C340" s="562">
        <v>0.1</v>
      </c>
      <c r="D340" s="542" t="s">
        <v>229</v>
      </c>
      <c r="E340" s="364">
        <v>2800000</v>
      </c>
      <c r="F340" s="601">
        <v>0.12</v>
      </c>
      <c r="G340" s="598">
        <f t="shared" ref="G340:G347" si="13">E340*F340</f>
        <v>336000</v>
      </c>
      <c r="H340" s="599" t="s">
        <v>47</v>
      </c>
      <c r="I340" s="523"/>
      <c r="J340" s="523"/>
      <c r="K340" s="580">
        <v>14508</v>
      </c>
      <c r="L340" s="613">
        <v>0.08</v>
      </c>
      <c r="M340" s="542" t="s">
        <v>230</v>
      </c>
      <c r="N340" s="611">
        <v>2000000</v>
      </c>
      <c r="O340" s="614">
        <v>0.04</v>
      </c>
      <c r="P340" s="611">
        <f>N340*O340</f>
        <v>80000</v>
      </c>
    </row>
    <row r="341" spans="1:16" ht="12.75" customHeight="1">
      <c r="A341" s="905"/>
      <c r="B341" s="122">
        <v>14359</v>
      </c>
      <c r="C341" s="541">
        <v>0.1</v>
      </c>
      <c r="D341" s="560" t="s">
        <v>231</v>
      </c>
      <c r="E341" s="364">
        <v>3500000</v>
      </c>
      <c r="F341" s="601">
        <v>0.12</v>
      </c>
      <c r="G341" s="598">
        <f t="shared" si="13"/>
        <v>420000</v>
      </c>
      <c r="H341" s="599" t="s">
        <v>47</v>
      </c>
      <c r="I341" s="523"/>
      <c r="J341" s="523"/>
      <c r="K341" s="609">
        <v>14458</v>
      </c>
      <c r="L341" s="566">
        <v>0.1</v>
      </c>
      <c r="M341" s="610" t="s">
        <v>232</v>
      </c>
      <c r="N341" s="611">
        <v>2500000</v>
      </c>
      <c r="O341" s="612">
        <v>0.05</v>
      </c>
      <c r="P341" s="611">
        <f>N341*O341</f>
        <v>125000</v>
      </c>
    </row>
    <row r="342" spans="1:16" ht="12.75" customHeight="1">
      <c r="A342" s="905"/>
      <c r="B342" s="559">
        <v>14375</v>
      </c>
      <c r="C342" s="541">
        <v>0.1</v>
      </c>
      <c r="D342" s="561" t="s">
        <v>233</v>
      </c>
      <c r="E342" s="364">
        <v>1650000</v>
      </c>
      <c r="F342" s="602">
        <v>0.06</v>
      </c>
      <c r="G342" s="598">
        <f t="shared" si="13"/>
        <v>99000</v>
      </c>
      <c r="H342" s="599" t="s">
        <v>123</v>
      </c>
      <c r="I342" s="523"/>
      <c r="J342" s="523"/>
      <c r="K342" s="625"/>
      <c r="L342" s="322"/>
      <c r="M342" s="322"/>
      <c r="N342" s="607"/>
      <c r="O342" s="608"/>
      <c r="P342" s="607"/>
    </row>
    <row r="343" spans="1:16" ht="12.75" customHeight="1">
      <c r="A343" s="901"/>
      <c r="B343" s="565">
        <v>14412</v>
      </c>
      <c r="C343" s="566">
        <v>0.1</v>
      </c>
      <c r="D343" s="567" t="s">
        <v>234</v>
      </c>
      <c r="E343" s="364">
        <v>1700000</v>
      </c>
      <c r="F343" s="602">
        <v>0.12</v>
      </c>
      <c r="G343" s="598">
        <f t="shared" si="13"/>
        <v>204000</v>
      </c>
      <c r="H343" s="599" t="s">
        <v>47</v>
      </c>
      <c r="I343" s="523"/>
      <c r="J343" s="523"/>
      <c r="K343" s="625"/>
      <c r="L343" s="322"/>
      <c r="M343" s="322"/>
      <c r="N343" s="607"/>
      <c r="O343" s="608"/>
      <c r="P343" s="607"/>
    </row>
    <row r="344" spans="1:16" ht="12.75" customHeight="1">
      <c r="A344" s="901"/>
      <c r="B344" s="572">
        <v>14447</v>
      </c>
      <c r="C344" s="550">
        <v>0.08</v>
      </c>
      <c r="D344" s="567" t="s">
        <v>235</v>
      </c>
      <c r="E344" s="364">
        <v>3250000</v>
      </c>
      <c r="F344" s="603">
        <v>0.1</v>
      </c>
      <c r="G344" s="598">
        <f t="shared" si="13"/>
        <v>325000</v>
      </c>
      <c r="H344" s="599" t="s">
        <v>47</v>
      </c>
      <c r="I344" s="523"/>
      <c r="J344" s="523"/>
      <c r="K344" s="625"/>
      <c r="L344" s="322"/>
      <c r="M344" s="322"/>
      <c r="N344" s="607"/>
      <c r="O344" s="608"/>
      <c r="P344" s="607"/>
    </row>
    <row r="345" spans="1:16" ht="12.75" customHeight="1">
      <c r="A345" s="901"/>
      <c r="B345" s="573">
        <v>14456</v>
      </c>
      <c r="C345" s="574">
        <v>0.1</v>
      </c>
      <c r="D345" s="575" t="s">
        <v>236</v>
      </c>
      <c r="E345" s="364">
        <v>3500000</v>
      </c>
      <c r="F345" s="602">
        <v>7.0000000000000007E-2</v>
      </c>
      <c r="G345" s="598">
        <f t="shared" si="13"/>
        <v>245000.00000000003</v>
      </c>
      <c r="H345" s="599" t="s">
        <v>237</v>
      </c>
      <c r="I345" s="4"/>
      <c r="J345" s="523"/>
      <c r="K345" s="625"/>
      <c r="L345" s="322"/>
      <c r="M345" s="322"/>
      <c r="N345" s="607"/>
      <c r="O345" s="608"/>
      <c r="P345" s="607"/>
    </row>
    <row r="346" spans="1:16" ht="12.75" customHeight="1">
      <c r="A346" s="901"/>
      <c r="B346" s="572">
        <v>14517</v>
      </c>
      <c r="C346" s="121">
        <v>0.1</v>
      </c>
      <c r="D346" s="567" t="s">
        <v>238</v>
      </c>
      <c r="E346" s="364">
        <v>2000000</v>
      </c>
      <c r="F346" s="602">
        <v>0.12</v>
      </c>
      <c r="G346" s="598">
        <f t="shared" si="13"/>
        <v>240000</v>
      </c>
      <c r="H346" s="599" t="s">
        <v>47</v>
      </c>
      <c r="I346" s="523"/>
      <c r="J346" s="523"/>
      <c r="K346" s="625"/>
      <c r="L346" s="322"/>
      <c r="M346" s="322"/>
      <c r="N346" s="607"/>
      <c r="O346" s="608"/>
      <c r="P346" s="607"/>
    </row>
    <row r="347" spans="1:16" ht="12.75" customHeight="1">
      <c r="A347" s="901"/>
      <c r="B347" s="572">
        <v>14501</v>
      </c>
      <c r="C347" s="550">
        <v>0.08</v>
      </c>
      <c r="D347" s="567" t="s">
        <v>239</v>
      </c>
      <c r="E347" s="364">
        <v>2600000</v>
      </c>
      <c r="F347" s="603">
        <v>0.1</v>
      </c>
      <c r="G347" s="598">
        <f t="shared" si="13"/>
        <v>260000</v>
      </c>
      <c r="H347" s="599" t="s">
        <v>47</v>
      </c>
      <c r="I347" s="523"/>
      <c r="J347" s="523"/>
      <c r="K347" s="625"/>
      <c r="L347" s="322"/>
      <c r="M347" s="322"/>
      <c r="N347" s="607"/>
      <c r="O347" s="608"/>
      <c r="P347" s="607"/>
    </row>
    <row r="348" spans="1:16" ht="12.75" customHeight="1">
      <c r="A348" s="901"/>
      <c r="B348" s="552"/>
      <c r="C348" s="553"/>
      <c r="D348" s="554"/>
      <c r="E348" s="564"/>
      <c r="F348" s="318"/>
      <c r="G348" s="321"/>
      <c r="H348" s="604"/>
      <c r="I348" s="523"/>
      <c r="J348" s="523"/>
      <c r="K348" s="625"/>
      <c r="L348" s="322"/>
      <c r="M348" s="318" t="s">
        <v>26</v>
      </c>
      <c r="N348" s="563">
        <f>SUM(N338:N347)</f>
        <v>8100000</v>
      </c>
      <c r="O348" s="589" t="s">
        <v>26</v>
      </c>
      <c r="P348" s="563">
        <f>SUM(P338:P347)</f>
        <v>362000</v>
      </c>
    </row>
    <row r="349" spans="1:16" ht="12.75" customHeight="1">
      <c r="A349" s="902"/>
      <c r="B349" s="30"/>
      <c r="C349" s="31"/>
      <c r="D349" s="32" t="s">
        <v>26</v>
      </c>
      <c r="E349" s="563">
        <f>SUM(E338:E348)</f>
        <v>28800000</v>
      </c>
      <c r="F349" s="318" t="s">
        <v>26</v>
      </c>
      <c r="G349" s="321">
        <f>SUM(G338:G347)</f>
        <v>2809000</v>
      </c>
      <c r="H349" s="140"/>
      <c r="I349" s="35"/>
      <c r="J349" s="35"/>
      <c r="K349" s="626" t="s">
        <v>27</v>
      </c>
      <c r="L349" s="627"/>
      <c r="M349" s="627"/>
      <c r="N349" s="628"/>
      <c r="O349" s="673"/>
      <c r="P349" s="674">
        <f>P348+G349</f>
        <v>3171000</v>
      </c>
    </row>
    <row r="350" spans="1:16" ht="18.75">
      <c r="A350" s="41"/>
      <c r="B350" s="42"/>
      <c r="C350" s="43"/>
      <c r="D350" s="41"/>
      <c r="E350" s="41"/>
      <c r="F350" s="41"/>
      <c r="G350" s="41"/>
      <c r="H350" s="41"/>
      <c r="I350" s="41"/>
      <c r="J350" s="41"/>
      <c r="K350" s="624"/>
      <c r="L350" s="624"/>
      <c r="M350" s="624"/>
      <c r="N350" s="624"/>
      <c r="O350" s="630" t="s">
        <v>28</v>
      </c>
      <c r="P350" s="675">
        <v>2906000</v>
      </c>
    </row>
    <row r="351" spans="1:16">
      <c r="A351" s="41"/>
      <c r="B351" s="42"/>
      <c r="C351" s="43"/>
      <c r="D351" s="41"/>
      <c r="E351" s="41"/>
      <c r="F351" s="41"/>
      <c r="G351" s="41"/>
      <c r="H351" s="41"/>
      <c r="I351" s="41"/>
      <c r="J351" s="41"/>
    </row>
    <row r="352" spans="1:16">
      <c r="A352" s="889" t="s">
        <v>199</v>
      </c>
      <c r="B352" s="889"/>
      <c r="C352" s="889"/>
      <c r="D352" s="889"/>
      <c r="E352" s="889"/>
      <c r="F352" s="889"/>
      <c r="G352" s="889"/>
      <c r="H352" s="889"/>
      <c r="I352" s="889"/>
      <c r="J352" s="889"/>
      <c r="K352" s="892" t="s">
        <v>2</v>
      </c>
      <c r="L352" s="892"/>
      <c r="M352" s="892"/>
      <c r="N352" s="892"/>
      <c r="O352" s="892"/>
      <c r="P352" s="892"/>
    </row>
    <row r="353" spans="1:1024">
      <c r="A353" s="1" t="s">
        <v>3</v>
      </c>
      <c r="B353" s="2" t="s">
        <v>4</v>
      </c>
      <c r="C353" s="3" t="s">
        <v>5</v>
      </c>
      <c r="D353" s="4" t="s">
        <v>6</v>
      </c>
      <c r="E353" s="4" t="s">
        <v>29</v>
      </c>
      <c r="F353" s="5" t="s">
        <v>8</v>
      </c>
      <c r="G353" s="4" t="s">
        <v>9</v>
      </c>
      <c r="H353" s="6" t="s">
        <v>10</v>
      </c>
      <c r="I353" s="4" t="s">
        <v>11</v>
      </c>
      <c r="J353" s="623" t="s">
        <v>12</v>
      </c>
      <c r="K353" s="28" t="s">
        <v>4</v>
      </c>
      <c r="L353" s="28" t="s">
        <v>5</v>
      </c>
      <c r="M353" s="28" t="s">
        <v>6</v>
      </c>
      <c r="N353" s="48" t="s">
        <v>13</v>
      </c>
      <c r="O353" s="298" t="s">
        <v>8</v>
      </c>
      <c r="P353" s="28" t="s">
        <v>14</v>
      </c>
    </row>
    <row r="354" spans="1:1024">
      <c r="A354" s="906">
        <v>23</v>
      </c>
      <c r="B354" s="572">
        <v>14353</v>
      </c>
      <c r="C354" s="541">
        <v>0.1</v>
      </c>
      <c r="D354" s="542" t="s">
        <v>240</v>
      </c>
      <c r="E354" s="364">
        <v>2600000</v>
      </c>
      <c r="F354" s="541">
        <v>0.1</v>
      </c>
      <c r="G354" s="364">
        <f>E354*F354</f>
        <v>260000</v>
      </c>
      <c r="H354" s="599" t="s">
        <v>202</v>
      </c>
      <c r="I354" s="523"/>
      <c r="J354" s="635"/>
      <c r="K354" s="122">
        <v>14368</v>
      </c>
      <c r="L354" s="632">
        <v>0.1</v>
      </c>
      <c r="M354" s="542" t="s">
        <v>241</v>
      </c>
      <c r="N354" s="364">
        <v>2950000</v>
      </c>
      <c r="O354" s="601">
        <v>0.05</v>
      </c>
      <c r="P354" s="364">
        <f>N354*O354</f>
        <v>147500</v>
      </c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  <c r="AH354" s="243"/>
      <c r="AI354" s="243"/>
      <c r="AJ354" s="243"/>
      <c r="AK354" s="243"/>
      <c r="AL354" s="243"/>
      <c r="AM354" s="243"/>
      <c r="AN354" s="243"/>
      <c r="AO354" s="243"/>
      <c r="AP354" s="243"/>
      <c r="AQ354" s="243"/>
      <c r="AR354" s="243"/>
      <c r="AS354" s="243"/>
      <c r="AT354" s="243"/>
      <c r="AU354" s="243"/>
      <c r="AV354" s="243"/>
      <c r="AW354" s="243"/>
      <c r="AX354" s="243"/>
      <c r="AY354" s="243"/>
      <c r="AZ354" s="243"/>
      <c r="BA354" s="243"/>
      <c r="BB354" s="243"/>
      <c r="BC354" s="243"/>
      <c r="BD354" s="243"/>
      <c r="BE354" s="243"/>
      <c r="BF354" s="243"/>
      <c r="BG354" s="243"/>
      <c r="BH354" s="243"/>
      <c r="BI354" s="243"/>
      <c r="BJ354" s="243"/>
      <c r="BK354" s="243"/>
      <c r="BL354" s="243"/>
      <c r="BM354" s="243"/>
      <c r="BN354" s="243"/>
      <c r="BO354" s="243"/>
      <c r="BP354" s="243"/>
      <c r="BQ354" s="243"/>
      <c r="BR354" s="243"/>
      <c r="BS354" s="243"/>
      <c r="BT354" s="243"/>
      <c r="BU354" s="243"/>
      <c r="BV354" s="243"/>
      <c r="BW354" s="243"/>
      <c r="BX354" s="243"/>
      <c r="BY354" s="243"/>
      <c r="BZ354" s="243"/>
      <c r="CA354" s="243"/>
      <c r="CB354" s="243"/>
      <c r="CC354" s="243"/>
      <c r="CD354" s="243"/>
      <c r="CE354" s="243"/>
      <c r="CF354" s="243"/>
      <c r="CG354" s="243"/>
      <c r="CH354" s="243"/>
      <c r="CI354" s="243"/>
      <c r="CJ354" s="243"/>
      <c r="CK354" s="243"/>
      <c r="CL354" s="243"/>
      <c r="CM354" s="243"/>
      <c r="CN354" s="243"/>
      <c r="CO354" s="243"/>
      <c r="CP354" s="243"/>
      <c r="CQ354" s="243"/>
      <c r="CR354" s="243"/>
      <c r="CS354" s="243"/>
      <c r="CT354" s="243"/>
      <c r="CU354" s="243"/>
      <c r="CV354" s="243"/>
      <c r="CW354" s="243"/>
      <c r="CX354" s="243"/>
      <c r="CY354" s="243"/>
      <c r="CZ354" s="243"/>
      <c r="DA354" s="243"/>
      <c r="DB354" s="243"/>
      <c r="DC354" s="243"/>
      <c r="DD354" s="243"/>
      <c r="DE354" s="243"/>
      <c r="DF354" s="243"/>
      <c r="DG354" s="243"/>
      <c r="DH354" s="243"/>
      <c r="DI354" s="243"/>
      <c r="DJ354" s="243"/>
      <c r="DK354" s="243"/>
      <c r="DL354" s="243"/>
      <c r="DM354" s="243"/>
      <c r="DN354" s="243"/>
      <c r="DO354" s="243"/>
      <c r="DP354" s="243"/>
      <c r="DQ354" s="243"/>
      <c r="DR354" s="243"/>
      <c r="DS354" s="243"/>
      <c r="DT354" s="243"/>
      <c r="DU354" s="243"/>
      <c r="DV354" s="243"/>
      <c r="DW354" s="243"/>
      <c r="DX354" s="243"/>
      <c r="DY354" s="243"/>
      <c r="DZ354" s="243"/>
      <c r="EA354" s="243"/>
      <c r="EB354" s="243"/>
      <c r="EC354" s="243"/>
      <c r="ED354" s="243"/>
      <c r="EE354" s="243"/>
      <c r="EF354" s="243"/>
      <c r="EG354" s="243"/>
      <c r="EH354" s="243"/>
      <c r="EI354" s="243"/>
      <c r="EJ354" s="243"/>
      <c r="EK354" s="243"/>
      <c r="EL354" s="243"/>
      <c r="EM354" s="243"/>
      <c r="EN354" s="243"/>
      <c r="EO354" s="243"/>
      <c r="EP354" s="243"/>
      <c r="EQ354" s="243"/>
      <c r="ER354" s="243"/>
      <c r="ES354" s="243"/>
      <c r="ET354" s="243"/>
      <c r="EU354" s="243"/>
      <c r="EV354" s="243"/>
      <c r="EW354" s="243"/>
      <c r="EX354" s="243"/>
      <c r="EY354" s="243"/>
      <c r="EZ354" s="243"/>
      <c r="FA354" s="243"/>
      <c r="FB354" s="243"/>
      <c r="FC354" s="243"/>
      <c r="FD354" s="243"/>
      <c r="FE354" s="243"/>
      <c r="FF354" s="243"/>
      <c r="FG354" s="243"/>
      <c r="FH354" s="243"/>
      <c r="FI354" s="243"/>
      <c r="FJ354" s="243"/>
      <c r="FK354" s="243"/>
      <c r="FL354" s="243"/>
      <c r="FM354" s="243"/>
      <c r="FN354" s="243"/>
      <c r="FO354" s="243"/>
      <c r="FP354" s="243"/>
      <c r="FQ354" s="243"/>
      <c r="FR354" s="243"/>
      <c r="FS354" s="243"/>
      <c r="FT354" s="243"/>
      <c r="FU354" s="243"/>
      <c r="FV354" s="243"/>
      <c r="FW354" s="243"/>
      <c r="FX354" s="243"/>
      <c r="FY354" s="243"/>
      <c r="FZ354" s="243"/>
      <c r="GA354" s="243"/>
      <c r="GB354" s="243"/>
      <c r="GC354" s="243"/>
      <c r="GD354" s="243"/>
      <c r="GE354" s="243"/>
      <c r="GF354" s="243"/>
      <c r="GG354" s="243"/>
      <c r="GH354" s="243"/>
      <c r="GI354" s="243"/>
      <c r="GJ354" s="243"/>
      <c r="GK354" s="243"/>
      <c r="GL354" s="243"/>
      <c r="GM354" s="243"/>
      <c r="GN354" s="243"/>
      <c r="GO354" s="243"/>
      <c r="GP354" s="243"/>
      <c r="GQ354" s="243"/>
      <c r="GR354" s="243"/>
      <c r="GS354" s="243"/>
      <c r="GT354" s="243"/>
      <c r="GU354" s="243"/>
      <c r="GV354" s="243"/>
      <c r="GW354" s="243"/>
      <c r="GX354" s="243"/>
      <c r="GY354" s="243"/>
      <c r="GZ354" s="243"/>
      <c r="HA354" s="243"/>
      <c r="HB354" s="243"/>
      <c r="HC354" s="243"/>
      <c r="HD354" s="243"/>
      <c r="HE354" s="243"/>
      <c r="HF354" s="243"/>
      <c r="HG354" s="243"/>
      <c r="HH354" s="243"/>
      <c r="HI354" s="243"/>
      <c r="HJ354" s="243"/>
      <c r="HK354" s="243"/>
      <c r="HL354" s="243"/>
      <c r="HM354" s="243"/>
      <c r="HN354" s="243"/>
      <c r="HO354" s="243"/>
      <c r="HP354" s="243"/>
      <c r="HQ354" s="243"/>
      <c r="HR354" s="243"/>
      <c r="HS354" s="243"/>
      <c r="HT354" s="243"/>
      <c r="HU354" s="243"/>
      <c r="HV354" s="243"/>
      <c r="HW354" s="243"/>
      <c r="HX354" s="243"/>
      <c r="HY354" s="243"/>
      <c r="HZ354" s="243"/>
      <c r="IA354" s="243"/>
      <c r="IB354" s="243"/>
      <c r="IC354" s="243"/>
      <c r="ID354" s="243"/>
      <c r="IE354" s="243"/>
      <c r="IF354" s="243"/>
      <c r="IG354" s="243"/>
      <c r="IH354" s="243"/>
      <c r="II354" s="243"/>
      <c r="IJ354" s="243"/>
      <c r="IK354" s="243"/>
      <c r="IL354" s="243"/>
      <c r="IM354" s="243"/>
      <c r="IN354" s="243"/>
      <c r="IO354" s="243"/>
      <c r="IP354" s="243"/>
      <c r="IQ354" s="243"/>
      <c r="IR354" s="243"/>
      <c r="IS354" s="243"/>
      <c r="IT354" s="243"/>
      <c r="IU354" s="243"/>
      <c r="IV354" s="243"/>
      <c r="IW354" s="243"/>
      <c r="IX354" s="243"/>
      <c r="IY354" s="243"/>
      <c r="IZ354" s="243"/>
      <c r="JA354" s="243"/>
      <c r="JB354" s="243"/>
      <c r="JC354" s="243"/>
      <c r="JD354" s="243"/>
      <c r="JE354" s="243"/>
      <c r="JF354" s="243"/>
      <c r="JG354" s="243"/>
      <c r="JH354" s="243"/>
      <c r="JI354" s="243"/>
      <c r="JJ354" s="243"/>
      <c r="JK354" s="243"/>
      <c r="JL354" s="243"/>
      <c r="JM354" s="243"/>
      <c r="JN354" s="243"/>
      <c r="JO354" s="243"/>
      <c r="JP354" s="243"/>
      <c r="JQ354" s="243"/>
      <c r="JR354" s="243"/>
      <c r="JS354" s="243"/>
      <c r="JT354" s="243"/>
      <c r="JU354" s="243"/>
      <c r="JV354" s="243"/>
      <c r="JW354" s="243"/>
      <c r="JX354" s="243"/>
      <c r="JY354" s="243"/>
      <c r="JZ354" s="243"/>
      <c r="KA354" s="243"/>
      <c r="KB354" s="243"/>
      <c r="KC354" s="243"/>
      <c r="KD354" s="243"/>
      <c r="KE354" s="243"/>
      <c r="KF354" s="243"/>
      <c r="KG354" s="243"/>
      <c r="KH354" s="243"/>
      <c r="KI354" s="243"/>
      <c r="KJ354" s="243"/>
      <c r="KK354" s="243"/>
      <c r="KL354" s="243"/>
      <c r="KM354" s="243"/>
      <c r="KN354" s="243"/>
      <c r="KO354" s="243"/>
      <c r="KP354" s="243"/>
      <c r="KQ354" s="243"/>
      <c r="KR354" s="243"/>
      <c r="KS354" s="243"/>
      <c r="KT354" s="243"/>
      <c r="KU354" s="243"/>
      <c r="KV354" s="243"/>
      <c r="KW354" s="243"/>
      <c r="KX354" s="243"/>
      <c r="KY354" s="243"/>
      <c r="KZ354" s="243"/>
      <c r="LA354" s="243"/>
      <c r="LB354" s="243"/>
      <c r="LC354" s="243"/>
      <c r="LD354" s="243"/>
      <c r="LE354" s="243"/>
      <c r="LF354" s="243"/>
      <c r="LG354" s="243"/>
      <c r="LH354" s="243"/>
      <c r="LI354" s="243"/>
      <c r="LJ354" s="243"/>
      <c r="LK354" s="243"/>
      <c r="LL354" s="243"/>
      <c r="LM354" s="243"/>
      <c r="LN354" s="243"/>
      <c r="LO354" s="243"/>
      <c r="LP354" s="243"/>
      <c r="LQ354" s="243"/>
      <c r="LR354" s="243"/>
      <c r="LS354" s="243"/>
      <c r="LT354" s="243"/>
      <c r="LU354" s="243"/>
      <c r="LV354" s="243"/>
      <c r="LW354" s="243"/>
      <c r="LX354" s="243"/>
      <c r="LY354" s="243"/>
      <c r="LZ354" s="243"/>
      <c r="MA354" s="243"/>
      <c r="MB354" s="243"/>
      <c r="MC354" s="243"/>
      <c r="MD354" s="243"/>
      <c r="ME354" s="243"/>
      <c r="MF354" s="243"/>
      <c r="MG354" s="243"/>
      <c r="MH354" s="243"/>
      <c r="MI354" s="243"/>
      <c r="MJ354" s="243"/>
      <c r="MK354" s="243"/>
      <c r="ML354" s="243"/>
      <c r="MM354" s="243"/>
      <c r="MN354" s="243"/>
      <c r="MO354" s="243"/>
      <c r="MP354" s="243"/>
      <c r="MQ354" s="243"/>
      <c r="MR354" s="243"/>
      <c r="MS354" s="243"/>
      <c r="MT354" s="243"/>
      <c r="MU354" s="243"/>
      <c r="MV354" s="243"/>
      <c r="MW354" s="243"/>
      <c r="MX354" s="243"/>
      <c r="MY354" s="243"/>
      <c r="MZ354" s="243"/>
      <c r="NA354" s="243"/>
      <c r="NB354" s="243"/>
      <c r="NC354" s="243"/>
      <c r="ND354" s="243"/>
      <c r="NE354" s="243"/>
      <c r="NF354" s="243"/>
      <c r="NG354" s="243"/>
      <c r="NH354" s="243"/>
      <c r="NI354" s="243"/>
      <c r="NJ354" s="243"/>
      <c r="NK354" s="243"/>
      <c r="NL354" s="243"/>
      <c r="NM354" s="243"/>
      <c r="NN354" s="243"/>
      <c r="NO354" s="243"/>
      <c r="NP354" s="243"/>
      <c r="NQ354" s="243"/>
      <c r="NR354" s="243"/>
      <c r="NS354" s="243"/>
      <c r="NT354" s="243"/>
      <c r="NU354" s="243"/>
      <c r="NV354" s="243"/>
      <c r="NW354" s="243"/>
      <c r="NX354" s="243"/>
      <c r="NY354" s="243"/>
      <c r="NZ354" s="243"/>
      <c r="OA354" s="243"/>
      <c r="OB354" s="243"/>
      <c r="OC354" s="243"/>
      <c r="OD354" s="243"/>
      <c r="OE354" s="243"/>
      <c r="OF354" s="243"/>
      <c r="OG354" s="243"/>
      <c r="OH354" s="243"/>
      <c r="OI354" s="243"/>
      <c r="OJ354" s="243"/>
      <c r="OK354" s="243"/>
      <c r="OL354" s="243"/>
      <c r="OM354" s="243"/>
      <c r="ON354" s="243"/>
      <c r="OO354" s="243"/>
      <c r="OP354" s="243"/>
      <c r="OQ354" s="243"/>
      <c r="OR354" s="243"/>
      <c r="OS354" s="243"/>
      <c r="OT354" s="243"/>
      <c r="OU354" s="243"/>
      <c r="OV354" s="243"/>
      <c r="OW354" s="243"/>
      <c r="OX354" s="243"/>
      <c r="OY354" s="243"/>
      <c r="OZ354" s="243"/>
      <c r="PA354" s="243"/>
      <c r="PB354" s="243"/>
      <c r="PC354" s="243"/>
      <c r="PD354" s="243"/>
      <c r="PE354" s="243"/>
      <c r="PF354" s="243"/>
      <c r="PG354" s="243"/>
      <c r="PH354" s="243"/>
      <c r="PI354" s="243"/>
      <c r="PJ354" s="243"/>
      <c r="PK354" s="243"/>
      <c r="PL354" s="243"/>
      <c r="PM354" s="243"/>
      <c r="PN354" s="243"/>
      <c r="PO354" s="243"/>
      <c r="PP354" s="243"/>
      <c r="PQ354" s="243"/>
      <c r="PR354" s="243"/>
      <c r="PS354" s="243"/>
      <c r="PT354" s="243"/>
      <c r="PU354" s="243"/>
      <c r="PV354" s="243"/>
      <c r="PW354" s="243"/>
      <c r="PX354" s="243"/>
      <c r="PY354" s="243"/>
      <c r="PZ354" s="243"/>
      <c r="QA354" s="243"/>
      <c r="QB354" s="243"/>
      <c r="QC354" s="243"/>
      <c r="QD354" s="243"/>
      <c r="QE354" s="243"/>
      <c r="QF354" s="243"/>
      <c r="QG354" s="243"/>
      <c r="QH354" s="243"/>
      <c r="QI354" s="243"/>
      <c r="QJ354" s="243"/>
      <c r="QK354" s="243"/>
      <c r="QL354" s="243"/>
      <c r="QM354" s="243"/>
      <c r="QN354" s="243"/>
      <c r="QO354" s="243"/>
      <c r="QP354" s="243"/>
      <c r="QQ354" s="243"/>
      <c r="QR354" s="243"/>
      <c r="QS354" s="243"/>
      <c r="QT354" s="243"/>
      <c r="QU354" s="243"/>
      <c r="QV354" s="243"/>
      <c r="QW354" s="243"/>
      <c r="QX354" s="243"/>
      <c r="QY354" s="243"/>
      <c r="QZ354" s="243"/>
      <c r="RA354" s="243"/>
      <c r="RB354" s="243"/>
      <c r="RC354" s="243"/>
      <c r="RD354" s="243"/>
      <c r="RE354" s="243"/>
      <c r="RF354" s="243"/>
      <c r="RG354" s="243"/>
      <c r="RH354" s="243"/>
      <c r="RI354" s="243"/>
      <c r="RJ354" s="243"/>
      <c r="RK354" s="243"/>
      <c r="RL354" s="243"/>
      <c r="RM354" s="243"/>
      <c r="RN354" s="243"/>
      <c r="RO354" s="243"/>
      <c r="RP354" s="243"/>
      <c r="RQ354" s="243"/>
      <c r="RR354" s="243"/>
      <c r="RS354" s="243"/>
      <c r="RT354" s="243"/>
      <c r="RU354" s="243"/>
      <c r="RV354" s="243"/>
      <c r="RW354" s="243"/>
      <c r="RX354" s="243"/>
      <c r="RY354" s="243"/>
      <c r="RZ354" s="243"/>
      <c r="SA354" s="243"/>
      <c r="SB354" s="243"/>
      <c r="SC354" s="243"/>
      <c r="SD354" s="243"/>
      <c r="SE354" s="243"/>
      <c r="SF354" s="243"/>
      <c r="SG354" s="243"/>
      <c r="SH354" s="243"/>
      <c r="SI354" s="243"/>
      <c r="SJ354" s="243"/>
      <c r="SK354" s="243"/>
      <c r="SL354" s="243"/>
      <c r="SM354" s="243"/>
      <c r="SN354" s="243"/>
      <c r="SO354" s="243"/>
      <c r="SP354" s="243"/>
      <c r="SQ354" s="243"/>
      <c r="SR354" s="243"/>
      <c r="SS354" s="243"/>
      <c r="ST354" s="243"/>
      <c r="SU354" s="243"/>
      <c r="SV354" s="243"/>
      <c r="SW354" s="243"/>
      <c r="SX354" s="243"/>
      <c r="SY354" s="243"/>
      <c r="SZ354" s="243"/>
      <c r="TA354" s="243"/>
      <c r="TB354" s="243"/>
      <c r="TC354" s="243"/>
      <c r="TD354" s="243"/>
      <c r="TE354" s="243"/>
      <c r="TF354" s="243"/>
      <c r="TG354" s="243"/>
      <c r="TH354" s="243"/>
      <c r="TI354" s="243"/>
      <c r="TJ354" s="243"/>
      <c r="TK354" s="243"/>
      <c r="TL354" s="243"/>
      <c r="TM354" s="243"/>
      <c r="TN354" s="243"/>
      <c r="TO354" s="243"/>
      <c r="TP354" s="243"/>
      <c r="TQ354" s="243"/>
      <c r="TR354" s="243"/>
      <c r="TS354" s="243"/>
      <c r="TT354" s="243"/>
      <c r="TU354" s="243"/>
      <c r="TV354" s="243"/>
      <c r="TW354" s="243"/>
      <c r="TX354" s="243"/>
      <c r="TY354" s="243"/>
      <c r="TZ354" s="243"/>
      <c r="UA354" s="243"/>
      <c r="UB354" s="243"/>
      <c r="UC354" s="243"/>
      <c r="UD354" s="243"/>
      <c r="UE354" s="243"/>
      <c r="UF354" s="243"/>
      <c r="UG354" s="243"/>
      <c r="UH354" s="243"/>
      <c r="UI354" s="243"/>
      <c r="UJ354" s="243"/>
      <c r="UK354" s="243"/>
      <c r="UL354" s="243"/>
      <c r="UM354" s="243"/>
      <c r="UN354" s="243"/>
      <c r="UO354" s="243"/>
      <c r="UP354" s="243"/>
      <c r="UQ354" s="243"/>
      <c r="UR354" s="243"/>
      <c r="US354" s="243"/>
      <c r="UT354" s="243"/>
      <c r="UU354" s="243"/>
      <c r="UV354" s="243"/>
      <c r="UW354" s="243"/>
      <c r="UX354" s="243"/>
      <c r="UY354" s="243"/>
      <c r="UZ354" s="243"/>
      <c r="VA354" s="243"/>
      <c r="VB354" s="243"/>
      <c r="VC354" s="243"/>
      <c r="VD354" s="243"/>
      <c r="VE354" s="243"/>
      <c r="VF354" s="243"/>
      <c r="VG354" s="243"/>
      <c r="VH354" s="243"/>
      <c r="VI354" s="243"/>
      <c r="VJ354" s="243"/>
      <c r="VK354" s="243"/>
      <c r="VL354" s="243"/>
      <c r="VM354" s="243"/>
      <c r="VN354" s="243"/>
      <c r="VO354" s="243"/>
      <c r="VP354" s="243"/>
      <c r="VQ354" s="243"/>
      <c r="VR354" s="243"/>
      <c r="VS354" s="243"/>
      <c r="VT354" s="243"/>
      <c r="VU354" s="243"/>
      <c r="VV354" s="243"/>
      <c r="VW354" s="243"/>
      <c r="VX354" s="243"/>
      <c r="VY354" s="243"/>
      <c r="VZ354" s="243"/>
      <c r="WA354" s="243"/>
      <c r="WB354" s="243"/>
      <c r="WC354" s="243"/>
      <c r="WD354" s="243"/>
      <c r="WE354" s="243"/>
      <c r="WF354" s="243"/>
      <c r="WG354" s="243"/>
      <c r="WH354" s="243"/>
      <c r="WI354" s="243"/>
      <c r="WJ354" s="243"/>
      <c r="WK354" s="243"/>
      <c r="WL354" s="243"/>
      <c r="WM354" s="243"/>
      <c r="WN354" s="243"/>
      <c r="WO354" s="243"/>
      <c r="WP354" s="243"/>
      <c r="WQ354" s="243"/>
      <c r="WR354" s="243"/>
      <c r="WS354" s="243"/>
      <c r="WT354" s="243"/>
      <c r="WU354" s="243"/>
      <c r="WV354" s="243"/>
      <c r="WW354" s="243"/>
      <c r="WX354" s="243"/>
      <c r="WY354" s="243"/>
      <c r="WZ354" s="243"/>
      <c r="XA354" s="243"/>
      <c r="XB354" s="243"/>
      <c r="XC354" s="243"/>
      <c r="XD354" s="243"/>
      <c r="XE354" s="243"/>
      <c r="XF354" s="243"/>
      <c r="XG354" s="243"/>
      <c r="XH354" s="243"/>
      <c r="XI354" s="243"/>
      <c r="XJ354" s="243"/>
      <c r="XK354" s="243"/>
      <c r="XL354" s="243"/>
      <c r="XM354" s="243"/>
      <c r="XN354" s="243"/>
      <c r="XO354" s="243"/>
      <c r="XP354" s="243"/>
      <c r="XQ354" s="243"/>
      <c r="XR354" s="243"/>
      <c r="XS354" s="243"/>
      <c r="XT354" s="243"/>
      <c r="XU354" s="243"/>
      <c r="XV354" s="243"/>
      <c r="XW354" s="243"/>
      <c r="XX354" s="243"/>
      <c r="XY354" s="243"/>
      <c r="XZ354" s="243"/>
      <c r="YA354" s="243"/>
      <c r="YB354" s="243"/>
      <c r="YC354" s="243"/>
      <c r="YD354" s="243"/>
      <c r="YE354" s="243"/>
      <c r="YF354" s="243"/>
      <c r="YG354" s="243"/>
      <c r="YH354" s="243"/>
      <c r="YI354" s="243"/>
      <c r="YJ354" s="243"/>
      <c r="YK354" s="243"/>
      <c r="YL354" s="243"/>
      <c r="YM354" s="243"/>
      <c r="YN354" s="243"/>
      <c r="YO354" s="243"/>
      <c r="YP354" s="243"/>
      <c r="YQ354" s="243"/>
      <c r="YR354" s="243"/>
      <c r="YS354" s="243"/>
      <c r="YT354" s="243"/>
      <c r="YU354" s="243"/>
      <c r="YV354" s="243"/>
      <c r="YW354" s="243"/>
      <c r="YX354" s="243"/>
      <c r="YY354" s="243"/>
      <c r="YZ354" s="243"/>
      <c r="ZA354" s="243"/>
      <c r="ZB354" s="243"/>
      <c r="ZC354" s="243"/>
      <c r="ZD354" s="243"/>
      <c r="ZE354" s="243"/>
      <c r="ZF354" s="243"/>
      <c r="ZG354" s="243"/>
      <c r="ZH354" s="243"/>
      <c r="ZI354" s="243"/>
      <c r="ZJ354" s="243"/>
      <c r="ZK354" s="243"/>
      <c r="ZL354" s="243"/>
      <c r="ZM354" s="243"/>
      <c r="ZN354" s="243"/>
      <c r="ZO354" s="243"/>
      <c r="ZP354" s="243"/>
      <c r="ZQ354" s="243"/>
      <c r="ZR354" s="243"/>
      <c r="ZS354" s="243"/>
      <c r="ZT354" s="243"/>
      <c r="ZU354" s="243"/>
      <c r="ZV354" s="243"/>
      <c r="ZW354" s="243"/>
      <c r="ZX354" s="243"/>
      <c r="ZY354" s="243"/>
      <c r="ZZ354" s="243"/>
      <c r="AAA354" s="243"/>
      <c r="AAB354" s="243"/>
      <c r="AAC354" s="243"/>
      <c r="AAD354" s="243"/>
      <c r="AAE354" s="243"/>
      <c r="AAF354" s="243"/>
      <c r="AAG354" s="243"/>
      <c r="AAH354" s="243"/>
      <c r="AAI354" s="243"/>
      <c r="AAJ354" s="243"/>
      <c r="AAK354" s="243"/>
      <c r="AAL354" s="243"/>
      <c r="AAM354" s="243"/>
      <c r="AAN354" s="243"/>
      <c r="AAO354" s="243"/>
      <c r="AAP354" s="243"/>
      <c r="AAQ354" s="243"/>
      <c r="AAR354" s="243"/>
      <c r="AAS354" s="243"/>
      <c r="AAT354" s="243"/>
      <c r="AAU354" s="243"/>
      <c r="AAV354" s="243"/>
      <c r="AAW354" s="243"/>
      <c r="AAX354" s="243"/>
      <c r="AAY354" s="243"/>
      <c r="AAZ354" s="243"/>
      <c r="ABA354" s="243"/>
      <c r="ABB354" s="243"/>
      <c r="ABC354" s="243"/>
      <c r="ABD354" s="243"/>
      <c r="ABE354" s="243"/>
      <c r="ABF354" s="243"/>
      <c r="ABG354" s="243"/>
      <c r="ABH354" s="243"/>
      <c r="ABI354" s="243"/>
      <c r="ABJ354" s="243"/>
      <c r="ABK354" s="243"/>
      <c r="ABL354" s="243"/>
      <c r="ABM354" s="243"/>
      <c r="ABN354" s="243"/>
      <c r="ABO354" s="243"/>
      <c r="ABP354" s="243"/>
      <c r="ABQ354" s="243"/>
      <c r="ABR354" s="243"/>
      <c r="ABS354" s="243"/>
      <c r="ABT354" s="243"/>
      <c r="ABU354" s="243"/>
      <c r="ABV354" s="243"/>
      <c r="ABW354" s="243"/>
      <c r="ABX354" s="243"/>
      <c r="ABY354" s="243"/>
      <c r="ABZ354" s="243"/>
      <c r="ACA354" s="243"/>
      <c r="ACB354" s="243"/>
      <c r="ACC354" s="243"/>
      <c r="ACD354" s="243"/>
      <c r="ACE354" s="243"/>
      <c r="ACF354" s="243"/>
      <c r="ACG354" s="243"/>
      <c r="ACH354" s="243"/>
      <c r="ACI354" s="243"/>
      <c r="ACJ354" s="243"/>
      <c r="ACK354" s="243"/>
      <c r="ACL354" s="243"/>
      <c r="ACM354" s="243"/>
      <c r="ACN354" s="243"/>
      <c r="ACO354" s="243"/>
      <c r="ACP354" s="243"/>
      <c r="ACQ354" s="243"/>
      <c r="ACR354" s="243"/>
      <c r="ACS354" s="243"/>
      <c r="ACT354" s="243"/>
      <c r="ACU354" s="243"/>
      <c r="ACV354" s="243"/>
      <c r="ACW354" s="243"/>
      <c r="ACX354" s="243"/>
      <c r="ACY354" s="243"/>
      <c r="ACZ354" s="243"/>
      <c r="ADA354" s="243"/>
      <c r="ADB354" s="243"/>
      <c r="ADC354" s="243"/>
      <c r="ADD354" s="243"/>
      <c r="ADE354" s="243"/>
      <c r="ADF354" s="243"/>
      <c r="ADG354" s="243"/>
      <c r="ADH354" s="243"/>
      <c r="ADI354" s="243"/>
      <c r="ADJ354" s="243"/>
      <c r="ADK354" s="243"/>
      <c r="ADL354" s="243"/>
      <c r="ADM354" s="243"/>
      <c r="ADN354" s="243"/>
      <c r="ADO354" s="243"/>
      <c r="ADP354" s="243"/>
      <c r="ADQ354" s="243"/>
      <c r="ADR354" s="243"/>
      <c r="ADS354" s="243"/>
      <c r="ADT354" s="243"/>
      <c r="ADU354" s="243"/>
      <c r="ADV354" s="243"/>
      <c r="ADW354" s="243"/>
      <c r="ADX354" s="243"/>
      <c r="ADY354" s="243"/>
      <c r="ADZ354" s="243"/>
      <c r="AEA354" s="243"/>
      <c r="AEB354" s="243"/>
      <c r="AEC354" s="243"/>
      <c r="AED354" s="243"/>
      <c r="AEE354" s="243"/>
      <c r="AEF354" s="243"/>
      <c r="AEG354" s="243"/>
      <c r="AEH354" s="243"/>
      <c r="AEI354" s="243"/>
      <c r="AEJ354" s="243"/>
      <c r="AEK354" s="243"/>
      <c r="AEL354" s="243"/>
      <c r="AEM354" s="243"/>
      <c r="AEN354" s="243"/>
      <c r="AEO354" s="243"/>
      <c r="AEP354" s="243"/>
      <c r="AEQ354" s="243"/>
      <c r="AER354" s="243"/>
      <c r="AES354" s="243"/>
      <c r="AET354" s="243"/>
      <c r="AEU354" s="243"/>
      <c r="AEV354" s="243"/>
      <c r="AEW354" s="243"/>
      <c r="AEX354" s="243"/>
      <c r="AEY354" s="243"/>
      <c r="AEZ354" s="243"/>
      <c r="AFA354" s="243"/>
      <c r="AFB354" s="243"/>
      <c r="AFC354" s="243"/>
      <c r="AFD354" s="243"/>
      <c r="AFE354" s="243"/>
      <c r="AFF354" s="243"/>
      <c r="AFG354" s="243"/>
      <c r="AFH354" s="243"/>
      <c r="AFI354" s="243"/>
      <c r="AFJ354" s="243"/>
      <c r="AFK354" s="243"/>
      <c r="AFL354" s="243"/>
      <c r="AFM354" s="243"/>
      <c r="AFN354" s="243"/>
      <c r="AFO354" s="243"/>
      <c r="AFP354" s="243"/>
      <c r="AFQ354" s="243"/>
      <c r="AFR354" s="243"/>
      <c r="AFS354" s="243"/>
      <c r="AFT354" s="243"/>
      <c r="AFU354" s="243"/>
      <c r="AFV354" s="243"/>
      <c r="AFW354" s="243"/>
      <c r="AFX354" s="243"/>
      <c r="AFY354" s="243"/>
      <c r="AFZ354" s="243"/>
      <c r="AGA354" s="243"/>
      <c r="AGB354" s="243"/>
      <c r="AGC354" s="243"/>
      <c r="AGD354" s="243"/>
      <c r="AGE354" s="243"/>
      <c r="AGF354" s="243"/>
      <c r="AGG354" s="243"/>
      <c r="AGH354" s="243"/>
      <c r="AGI354" s="243"/>
      <c r="AGJ354" s="243"/>
      <c r="AGK354" s="243"/>
      <c r="AGL354" s="243"/>
      <c r="AGM354" s="243"/>
      <c r="AGN354" s="243"/>
      <c r="AGO354" s="243"/>
      <c r="AGP354" s="243"/>
      <c r="AGQ354" s="243"/>
      <c r="AGR354" s="243"/>
      <c r="AGS354" s="243"/>
      <c r="AGT354" s="243"/>
      <c r="AGU354" s="243"/>
      <c r="AGV354" s="243"/>
      <c r="AGW354" s="243"/>
      <c r="AGX354" s="243"/>
      <c r="AGY354" s="243"/>
      <c r="AGZ354" s="243"/>
      <c r="AHA354" s="243"/>
      <c r="AHB354" s="243"/>
      <c r="AHC354" s="243"/>
      <c r="AHD354" s="243"/>
      <c r="AHE354" s="243"/>
      <c r="AHF354" s="243"/>
      <c r="AHG354" s="243"/>
      <c r="AHH354" s="243"/>
      <c r="AHI354" s="243"/>
      <c r="AHJ354" s="243"/>
      <c r="AHK354" s="243"/>
      <c r="AHL354" s="243"/>
      <c r="AHM354" s="243"/>
      <c r="AHN354" s="243"/>
      <c r="AHO354" s="243"/>
      <c r="AHP354" s="243"/>
      <c r="AHQ354" s="243"/>
      <c r="AHR354" s="243"/>
      <c r="AHS354" s="243"/>
      <c r="AHT354" s="243"/>
      <c r="AHU354" s="243"/>
      <c r="AHV354" s="243"/>
      <c r="AHW354" s="243"/>
      <c r="AHX354" s="243"/>
      <c r="AHY354" s="243"/>
      <c r="AHZ354" s="243"/>
      <c r="AIA354" s="243"/>
      <c r="AIB354" s="243"/>
      <c r="AIC354" s="243"/>
      <c r="AID354" s="243"/>
      <c r="AIE354" s="243"/>
      <c r="AIF354" s="243"/>
      <c r="AIG354" s="243"/>
      <c r="AIH354" s="243"/>
      <c r="AII354" s="243"/>
      <c r="AIJ354" s="243"/>
      <c r="AIK354" s="243"/>
      <c r="AIL354" s="243"/>
      <c r="AIM354" s="243"/>
      <c r="AIN354" s="243"/>
      <c r="AIO354" s="243"/>
      <c r="AIP354" s="243"/>
      <c r="AIQ354" s="243"/>
      <c r="AIR354" s="243"/>
      <c r="AIS354" s="243"/>
      <c r="AIT354" s="243"/>
      <c r="AIU354" s="243"/>
      <c r="AIV354" s="243"/>
      <c r="AIW354" s="243"/>
      <c r="AIX354" s="243"/>
      <c r="AIY354" s="243"/>
      <c r="AIZ354" s="243"/>
      <c r="AJA354" s="243"/>
      <c r="AJB354" s="243"/>
      <c r="AJC354" s="243"/>
      <c r="AJD354" s="243"/>
      <c r="AJE354" s="243"/>
      <c r="AJF354" s="243"/>
      <c r="AJG354" s="243"/>
      <c r="AJH354" s="243"/>
      <c r="AJI354" s="243"/>
      <c r="AJJ354" s="243"/>
      <c r="AJK354" s="243"/>
      <c r="AJL354" s="243"/>
      <c r="AJM354" s="243"/>
      <c r="AJN354" s="243"/>
      <c r="AJO354" s="243"/>
      <c r="AJP354" s="243"/>
      <c r="AJQ354" s="243"/>
      <c r="AJR354" s="243"/>
      <c r="AJS354" s="243"/>
      <c r="AJT354" s="243"/>
      <c r="AJU354" s="243"/>
      <c r="AJV354" s="243"/>
      <c r="AJW354" s="243"/>
      <c r="AJX354" s="243"/>
      <c r="AJY354" s="243"/>
      <c r="AJZ354" s="243"/>
      <c r="AKA354" s="243"/>
      <c r="AKB354" s="243"/>
      <c r="AKC354" s="243"/>
      <c r="AKD354" s="243"/>
      <c r="AKE354" s="243"/>
      <c r="AKF354" s="243"/>
      <c r="AKG354" s="243"/>
      <c r="AKH354" s="243"/>
      <c r="AKI354" s="243"/>
      <c r="AKJ354" s="243"/>
      <c r="AKK354" s="243"/>
      <c r="AKL354" s="243"/>
      <c r="AKM354" s="243"/>
      <c r="AKN354" s="243"/>
      <c r="AKO354" s="243"/>
      <c r="AKP354" s="243"/>
      <c r="AKQ354" s="243"/>
      <c r="AKR354" s="243"/>
      <c r="AKS354" s="243"/>
      <c r="AKT354" s="243"/>
      <c r="AKU354" s="243"/>
      <c r="AKV354" s="243"/>
      <c r="AKW354" s="243"/>
      <c r="AKX354" s="243"/>
      <c r="AKY354" s="243"/>
      <c r="AKZ354" s="243"/>
      <c r="ALA354" s="243"/>
      <c r="ALB354" s="243"/>
      <c r="ALC354" s="243"/>
      <c r="ALD354" s="243"/>
      <c r="ALE354" s="243"/>
      <c r="ALF354" s="243"/>
      <c r="ALG354" s="243"/>
      <c r="ALH354" s="243"/>
      <c r="ALI354" s="243"/>
      <c r="ALJ354" s="243"/>
      <c r="ALK354" s="243"/>
      <c r="ALL354" s="243"/>
      <c r="ALM354" s="243"/>
      <c r="ALN354" s="243"/>
      <c r="ALO354" s="243"/>
      <c r="ALP354" s="243"/>
      <c r="ALQ354" s="243"/>
      <c r="ALR354" s="243"/>
      <c r="ALS354" s="243"/>
      <c r="ALT354" s="243"/>
      <c r="ALU354" s="243"/>
      <c r="ALV354" s="243"/>
      <c r="ALW354" s="243"/>
      <c r="ALX354" s="243"/>
      <c r="ALY354" s="243"/>
      <c r="ALZ354" s="243"/>
      <c r="AMA354" s="243"/>
      <c r="AMB354" s="243"/>
      <c r="AMC354" s="243"/>
      <c r="AMD354" s="243"/>
      <c r="AME354" s="243"/>
      <c r="AMF354" s="243"/>
      <c r="AMG354" s="243"/>
      <c r="AMH354" s="243"/>
      <c r="AMI354" s="244"/>
      <c r="AMJ354" s="244"/>
    </row>
    <row r="355" spans="1:1024">
      <c r="A355" s="906"/>
      <c r="B355" s="572">
        <v>14367</v>
      </c>
      <c r="C355" s="543">
        <v>0.08</v>
      </c>
      <c r="D355" s="542" t="s">
        <v>242</v>
      </c>
      <c r="E355" s="364">
        <v>2600000</v>
      </c>
      <c r="F355" s="543">
        <v>0.04</v>
      </c>
      <c r="G355" s="364">
        <f t="shared" ref="G355:G360" si="14">E355*F355</f>
        <v>104000</v>
      </c>
      <c r="H355" s="599" t="s">
        <v>243</v>
      </c>
      <c r="I355" s="523"/>
      <c r="J355" s="635"/>
      <c r="K355" s="580">
        <v>14468</v>
      </c>
      <c r="L355" s="634">
        <v>0.08</v>
      </c>
      <c r="M355" s="542" t="s">
        <v>244</v>
      </c>
      <c r="N355" s="364">
        <v>2500000</v>
      </c>
      <c r="O355" s="600">
        <v>0.04</v>
      </c>
      <c r="P355" s="364">
        <f>N355*O355</f>
        <v>100000</v>
      </c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  <c r="AH355" s="243"/>
      <c r="AI355" s="243"/>
      <c r="AJ355" s="243"/>
      <c r="AK355" s="243"/>
      <c r="AL355" s="243"/>
      <c r="AM355" s="243"/>
      <c r="AN355" s="243"/>
      <c r="AO355" s="243"/>
      <c r="AP355" s="243"/>
      <c r="AQ355" s="243"/>
      <c r="AR355" s="243"/>
      <c r="AS355" s="243"/>
      <c r="AT355" s="243"/>
      <c r="AU355" s="243"/>
      <c r="AV355" s="243"/>
      <c r="AW355" s="243"/>
      <c r="AX355" s="243"/>
      <c r="AY355" s="243"/>
      <c r="AZ355" s="243"/>
      <c r="BA355" s="243"/>
      <c r="BB355" s="243"/>
      <c r="BC355" s="243"/>
      <c r="BD355" s="243"/>
      <c r="BE355" s="243"/>
      <c r="BF355" s="243"/>
      <c r="BG355" s="243"/>
      <c r="BH355" s="243"/>
      <c r="BI355" s="243"/>
      <c r="BJ355" s="243"/>
      <c r="BK355" s="243"/>
      <c r="BL355" s="243"/>
      <c r="BM355" s="243"/>
      <c r="BN355" s="243"/>
      <c r="BO355" s="243"/>
      <c r="BP355" s="243"/>
      <c r="BQ355" s="243"/>
      <c r="BR355" s="243"/>
      <c r="BS355" s="243"/>
      <c r="BT355" s="243"/>
      <c r="BU355" s="243"/>
      <c r="BV355" s="243"/>
      <c r="BW355" s="243"/>
      <c r="BX355" s="243"/>
      <c r="BY355" s="243"/>
      <c r="BZ355" s="243"/>
      <c r="CA355" s="243"/>
      <c r="CB355" s="243"/>
      <c r="CC355" s="243"/>
      <c r="CD355" s="243"/>
      <c r="CE355" s="243"/>
      <c r="CF355" s="243"/>
      <c r="CG355" s="243"/>
      <c r="CH355" s="243"/>
      <c r="CI355" s="243"/>
      <c r="CJ355" s="243"/>
      <c r="CK355" s="243"/>
      <c r="CL355" s="243"/>
      <c r="CM355" s="243"/>
      <c r="CN355" s="243"/>
      <c r="CO355" s="243"/>
      <c r="CP355" s="243"/>
      <c r="CQ355" s="243"/>
      <c r="CR355" s="243"/>
      <c r="CS355" s="243"/>
      <c r="CT355" s="243"/>
      <c r="CU355" s="243"/>
      <c r="CV355" s="243"/>
      <c r="CW355" s="243"/>
      <c r="CX355" s="243"/>
      <c r="CY355" s="243"/>
      <c r="CZ355" s="243"/>
      <c r="DA355" s="243"/>
      <c r="DB355" s="243"/>
      <c r="DC355" s="243"/>
      <c r="DD355" s="243"/>
      <c r="DE355" s="243"/>
      <c r="DF355" s="243"/>
      <c r="DG355" s="243"/>
      <c r="DH355" s="243"/>
      <c r="DI355" s="243"/>
      <c r="DJ355" s="243"/>
      <c r="DK355" s="243"/>
      <c r="DL355" s="243"/>
      <c r="DM355" s="243"/>
      <c r="DN355" s="243"/>
      <c r="DO355" s="243"/>
      <c r="DP355" s="243"/>
      <c r="DQ355" s="243"/>
      <c r="DR355" s="243"/>
      <c r="DS355" s="243"/>
      <c r="DT355" s="243"/>
      <c r="DU355" s="243"/>
      <c r="DV355" s="243"/>
      <c r="DW355" s="243"/>
      <c r="DX355" s="243"/>
      <c r="DY355" s="243"/>
      <c r="DZ355" s="243"/>
      <c r="EA355" s="243"/>
      <c r="EB355" s="243"/>
      <c r="EC355" s="243"/>
      <c r="ED355" s="243"/>
      <c r="EE355" s="243"/>
      <c r="EF355" s="243"/>
      <c r="EG355" s="243"/>
      <c r="EH355" s="243"/>
      <c r="EI355" s="243"/>
      <c r="EJ355" s="243"/>
      <c r="EK355" s="243"/>
      <c r="EL355" s="243"/>
      <c r="EM355" s="243"/>
      <c r="EN355" s="243"/>
      <c r="EO355" s="243"/>
      <c r="EP355" s="243"/>
      <c r="EQ355" s="243"/>
      <c r="ER355" s="243"/>
      <c r="ES355" s="243"/>
      <c r="ET355" s="243"/>
      <c r="EU355" s="243"/>
      <c r="EV355" s="243"/>
      <c r="EW355" s="243"/>
      <c r="EX355" s="243"/>
      <c r="EY355" s="243"/>
      <c r="EZ355" s="243"/>
      <c r="FA355" s="243"/>
      <c r="FB355" s="243"/>
      <c r="FC355" s="243"/>
      <c r="FD355" s="243"/>
      <c r="FE355" s="243"/>
      <c r="FF355" s="243"/>
      <c r="FG355" s="243"/>
      <c r="FH355" s="243"/>
      <c r="FI355" s="243"/>
      <c r="FJ355" s="243"/>
      <c r="FK355" s="243"/>
      <c r="FL355" s="243"/>
      <c r="FM355" s="243"/>
      <c r="FN355" s="243"/>
      <c r="FO355" s="243"/>
      <c r="FP355" s="243"/>
      <c r="FQ355" s="243"/>
      <c r="FR355" s="243"/>
      <c r="FS355" s="243"/>
      <c r="FT355" s="243"/>
      <c r="FU355" s="243"/>
      <c r="FV355" s="243"/>
      <c r="FW355" s="243"/>
      <c r="FX355" s="243"/>
      <c r="FY355" s="243"/>
      <c r="FZ355" s="243"/>
      <c r="GA355" s="243"/>
      <c r="GB355" s="243"/>
      <c r="GC355" s="243"/>
      <c r="GD355" s="243"/>
      <c r="GE355" s="243"/>
      <c r="GF355" s="243"/>
      <c r="GG355" s="243"/>
      <c r="GH355" s="243"/>
      <c r="GI355" s="243"/>
      <c r="GJ355" s="243"/>
      <c r="GK355" s="243"/>
      <c r="GL355" s="243"/>
      <c r="GM355" s="243"/>
      <c r="GN355" s="243"/>
      <c r="GO355" s="243"/>
      <c r="GP355" s="243"/>
      <c r="GQ355" s="243"/>
      <c r="GR355" s="243"/>
      <c r="GS355" s="243"/>
      <c r="GT355" s="243"/>
      <c r="GU355" s="243"/>
      <c r="GV355" s="243"/>
      <c r="GW355" s="243"/>
      <c r="GX355" s="243"/>
      <c r="GY355" s="243"/>
      <c r="GZ355" s="243"/>
      <c r="HA355" s="243"/>
      <c r="HB355" s="243"/>
      <c r="HC355" s="243"/>
      <c r="HD355" s="243"/>
      <c r="HE355" s="243"/>
      <c r="HF355" s="243"/>
      <c r="HG355" s="243"/>
      <c r="HH355" s="243"/>
      <c r="HI355" s="243"/>
      <c r="HJ355" s="243"/>
      <c r="HK355" s="243"/>
      <c r="HL355" s="243"/>
      <c r="HM355" s="243"/>
      <c r="HN355" s="243"/>
      <c r="HO355" s="243"/>
      <c r="HP355" s="243"/>
      <c r="HQ355" s="243"/>
      <c r="HR355" s="243"/>
      <c r="HS355" s="243"/>
      <c r="HT355" s="243"/>
      <c r="HU355" s="243"/>
      <c r="HV355" s="243"/>
      <c r="HW355" s="243"/>
      <c r="HX355" s="243"/>
      <c r="HY355" s="243"/>
      <c r="HZ355" s="243"/>
      <c r="IA355" s="243"/>
      <c r="IB355" s="243"/>
      <c r="IC355" s="243"/>
      <c r="ID355" s="243"/>
      <c r="IE355" s="243"/>
      <c r="IF355" s="243"/>
      <c r="IG355" s="243"/>
      <c r="IH355" s="243"/>
      <c r="II355" s="243"/>
      <c r="IJ355" s="243"/>
      <c r="IK355" s="243"/>
      <c r="IL355" s="243"/>
      <c r="IM355" s="243"/>
      <c r="IN355" s="243"/>
      <c r="IO355" s="243"/>
      <c r="IP355" s="243"/>
      <c r="IQ355" s="243"/>
      <c r="IR355" s="243"/>
      <c r="IS355" s="243"/>
      <c r="IT355" s="243"/>
      <c r="IU355" s="243"/>
      <c r="IV355" s="243"/>
      <c r="IW355" s="243"/>
      <c r="IX355" s="243"/>
      <c r="IY355" s="243"/>
      <c r="IZ355" s="243"/>
      <c r="JA355" s="243"/>
      <c r="JB355" s="243"/>
      <c r="JC355" s="243"/>
      <c r="JD355" s="243"/>
      <c r="JE355" s="243"/>
      <c r="JF355" s="243"/>
      <c r="JG355" s="243"/>
      <c r="JH355" s="243"/>
      <c r="JI355" s="243"/>
      <c r="JJ355" s="243"/>
      <c r="JK355" s="243"/>
      <c r="JL355" s="243"/>
      <c r="JM355" s="243"/>
      <c r="JN355" s="243"/>
      <c r="JO355" s="243"/>
      <c r="JP355" s="243"/>
      <c r="JQ355" s="243"/>
      <c r="JR355" s="243"/>
      <c r="JS355" s="243"/>
      <c r="JT355" s="243"/>
      <c r="JU355" s="243"/>
      <c r="JV355" s="243"/>
      <c r="JW355" s="243"/>
      <c r="JX355" s="243"/>
      <c r="JY355" s="243"/>
      <c r="JZ355" s="243"/>
      <c r="KA355" s="243"/>
      <c r="KB355" s="243"/>
      <c r="KC355" s="243"/>
      <c r="KD355" s="243"/>
      <c r="KE355" s="243"/>
      <c r="KF355" s="243"/>
      <c r="KG355" s="243"/>
      <c r="KH355" s="243"/>
      <c r="KI355" s="243"/>
      <c r="KJ355" s="243"/>
      <c r="KK355" s="243"/>
      <c r="KL355" s="243"/>
      <c r="KM355" s="243"/>
      <c r="KN355" s="243"/>
      <c r="KO355" s="243"/>
      <c r="KP355" s="243"/>
      <c r="KQ355" s="243"/>
      <c r="KR355" s="243"/>
      <c r="KS355" s="243"/>
      <c r="KT355" s="243"/>
      <c r="KU355" s="243"/>
      <c r="KV355" s="243"/>
      <c r="KW355" s="243"/>
      <c r="KX355" s="243"/>
      <c r="KY355" s="243"/>
      <c r="KZ355" s="243"/>
      <c r="LA355" s="243"/>
      <c r="LB355" s="243"/>
      <c r="LC355" s="243"/>
      <c r="LD355" s="243"/>
      <c r="LE355" s="243"/>
      <c r="LF355" s="243"/>
      <c r="LG355" s="243"/>
      <c r="LH355" s="243"/>
      <c r="LI355" s="243"/>
      <c r="LJ355" s="243"/>
      <c r="LK355" s="243"/>
      <c r="LL355" s="243"/>
      <c r="LM355" s="243"/>
      <c r="LN355" s="243"/>
      <c r="LO355" s="243"/>
      <c r="LP355" s="243"/>
      <c r="LQ355" s="243"/>
      <c r="LR355" s="243"/>
      <c r="LS355" s="243"/>
      <c r="LT355" s="243"/>
      <c r="LU355" s="243"/>
      <c r="LV355" s="243"/>
      <c r="LW355" s="243"/>
      <c r="LX355" s="243"/>
      <c r="LY355" s="243"/>
      <c r="LZ355" s="243"/>
      <c r="MA355" s="243"/>
      <c r="MB355" s="243"/>
      <c r="MC355" s="243"/>
      <c r="MD355" s="243"/>
      <c r="ME355" s="243"/>
      <c r="MF355" s="243"/>
      <c r="MG355" s="243"/>
      <c r="MH355" s="243"/>
      <c r="MI355" s="243"/>
      <c r="MJ355" s="243"/>
      <c r="MK355" s="243"/>
      <c r="ML355" s="243"/>
      <c r="MM355" s="243"/>
      <c r="MN355" s="243"/>
      <c r="MO355" s="243"/>
      <c r="MP355" s="243"/>
      <c r="MQ355" s="243"/>
      <c r="MR355" s="243"/>
      <c r="MS355" s="243"/>
      <c r="MT355" s="243"/>
      <c r="MU355" s="243"/>
      <c r="MV355" s="243"/>
      <c r="MW355" s="243"/>
      <c r="MX355" s="243"/>
      <c r="MY355" s="243"/>
      <c r="MZ355" s="243"/>
      <c r="NA355" s="243"/>
      <c r="NB355" s="243"/>
      <c r="NC355" s="243"/>
      <c r="ND355" s="243"/>
      <c r="NE355" s="243"/>
      <c r="NF355" s="243"/>
      <c r="NG355" s="243"/>
      <c r="NH355" s="243"/>
      <c r="NI355" s="243"/>
      <c r="NJ355" s="243"/>
      <c r="NK355" s="243"/>
      <c r="NL355" s="243"/>
      <c r="NM355" s="243"/>
      <c r="NN355" s="243"/>
      <c r="NO355" s="243"/>
      <c r="NP355" s="243"/>
      <c r="NQ355" s="243"/>
      <c r="NR355" s="243"/>
      <c r="NS355" s="243"/>
      <c r="NT355" s="243"/>
      <c r="NU355" s="243"/>
      <c r="NV355" s="243"/>
      <c r="NW355" s="243"/>
      <c r="NX355" s="243"/>
      <c r="NY355" s="243"/>
      <c r="NZ355" s="243"/>
      <c r="OA355" s="243"/>
      <c r="OB355" s="243"/>
      <c r="OC355" s="243"/>
      <c r="OD355" s="243"/>
      <c r="OE355" s="243"/>
      <c r="OF355" s="243"/>
      <c r="OG355" s="243"/>
      <c r="OH355" s="243"/>
      <c r="OI355" s="243"/>
      <c r="OJ355" s="243"/>
      <c r="OK355" s="243"/>
      <c r="OL355" s="243"/>
      <c r="OM355" s="243"/>
      <c r="ON355" s="243"/>
      <c r="OO355" s="243"/>
      <c r="OP355" s="243"/>
      <c r="OQ355" s="243"/>
      <c r="OR355" s="243"/>
      <c r="OS355" s="243"/>
      <c r="OT355" s="243"/>
      <c r="OU355" s="243"/>
      <c r="OV355" s="243"/>
      <c r="OW355" s="243"/>
      <c r="OX355" s="243"/>
      <c r="OY355" s="243"/>
      <c r="OZ355" s="243"/>
      <c r="PA355" s="243"/>
      <c r="PB355" s="243"/>
      <c r="PC355" s="243"/>
      <c r="PD355" s="243"/>
      <c r="PE355" s="243"/>
      <c r="PF355" s="243"/>
      <c r="PG355" s="243"/>
      <c r="PH355" s="243"/>
      <c r="PI355" s="243"/>
      <c r="PJ355" s="243"/>
      <c r="PK355" s="243"/>
      <c r="PL355" s="243"/>
      <c r="PM355" s="243"/>
      <c r="PN355" s="243"/>
      <c r="PO355" s="243"/>
      <c r="PP355" s="243"/>
      <c r="PQ355" s="243"/>
      <c r="PR355" s="243"/>
      <c r="PS355" s="243"/>
      <c r="PT355" s="243"/>
      <c r="PU355" s="243"/>
      <c r="PV355" s="243"/>
      <c r="PW355" s="243"/>
      <c r="PX355" s="243"/>
      <c r="PY355" s="243"/>
      <c r="PZ355" s="243"/>
      <c r="QA355" s="243"/>
      <c r="QB355" s="243"/>
      <c r="QC355" s="243"/>
      <c r="QD355" s="243"/>
      <c r="QE355" s="243"/>
      <c r="QF355" s="243"/>
      <c r="QG355" s="243"/>
      <c r="QH355" s="243"/>
      <c r="QI355" s="243"/>
      <c r="QJ355" s="243"/>
      <c r="QK355" s="243"/>
      <c r="QL355" s="243"/>
      <c r="QM355" s="243"/>
      <c r="QN355" s="243"/>
      <c r="QO355" s="243"/>
      <c r="QP355" s="243"/>
      <c r="QQ355" s="243"/>
      <c r="QR355" s="243"/>
      <c r="QS355" s="243"/>
      <c r="QT355" s="243"/>
      <c r="QU355" s="243"/>
      <c r="QV355" s="243"/>
      <c r="QW355" s="243"/>
      <c r="QX355" s="243"/>
      <c r="QY355" s="243"/>
      <c r="QZ355" s="243"/>
      <c r="RA355" s="243"/>
      <c r="RB355" s="243"/>
      <c r="RC355" s="243"/>
      <c r="RD355" s="243"/>
      <c r="RE355" s="243"/>
      <c r="RF355" s="243"/>
      <c r="RG355" s="243"/>
      <c r="RH355" s="243"/>
      <c r="RI355" s="243"/>
      <c r="RJ355" s="243"/>
      <c r="RK355" s="243"/>
      <c r="RL355" s="243"/>
      <c r="RM355" s="243"/>
      <c r="RN355" s="243"/>
      <c r="RO355" s="243"/>
      <c r="RP355" s="243"/>
      <c r="RQ355" s="243"/>
      <c r="RR355" s="243"/>
      <c r="RS355" s="243"/>
      <c r="RT355" s="243"/>
      <c r="RU355" s="243"/>
      <c r="RV355" s="243"/>
      <c r="RW355" s="243"/>
      <c r="RX355" s="243"/>
      <c r="RY355" s="243"/>
      <c r="RZ355" s="243"/>
      <c r="SA355" s="243"/>
      <c r="SB355" s="243"/>
      <c r="SC355" s="243"/>
      <c r="SD355" s="243"/>
      <c r="SE355" s="243"/>
      <c r="SF355" s="243"/>
      <c r="SG355" s="243"/>
      <c r="SH355" s="243"/>
      <c r="SI355" s="243"/>
      <c r="SJ355" s="243"/>
      <c r="SK355" s="243"/>
      <c r="SL355" s="243"/>
      <c r="SM355" s="243"/>
      <c r="SN355" s="243"/>
      <c r="SO355" s="243"/>
      <c r="SP355" s="243"/>
      <c r="SQ355" s="243"/>
      <c r="SR355" s="243"/>
      <c r="SS355" s="243"/>
      <c r="ST355" s="243"/>
      <c r="SU355" s="243"/>
      <c r="SV355" s="243"/>
      <c r="SW355" s="243"/>
      <c r="SX355" s="243"/>
      <c r="SY355" s="243"/>
      <c r="SZ355" s="243"/>
      <c r="TA355" s="243"/>
      <c r="TB355" s="243"/>
      <c r="TC355" s="243"/>
      <c r="TD355" s="243"/>
      <c r="TE355" s="243"/>
      <c r="TF355" s="243"/>
      <c r="TG355" s="243"/>
      <c r="TH355" s="243"/>
      <c r="TI355" s="243"/>
      <c r="TJ355" s="243"/>
      <c r="TK355" s="243"/>
      <c r="TL355" s="243"/>
      <c r="TM355" s="243"/>
      <c r="TN355" s="243"/>
      <c r="TO355" s="243"/>
      <c r="TP355" s="243"/>
      <c r="TQ355" s="243"/>
      <c r="TR355" s="243"/>
      <c r="TS355" s="243"/>
      <c r="TT355" s="243"/>
      <c r="TU355" s="243"/>
      <c r="TV355" s="243"/>
      <c r="TW355" s="243"/>
      <c r="TX355" s="243"/>
      <c r="TY355" s="243"/>
      <c r="TZ355" s="243"/>
      <c r="UA355" s="243"/>
      <c r="UB355" s="243"/>
      <c r="UC355" s="243"/>
      <c r="UD355" s="243"/>
      <c r="UE355" s="243"/>
      <c r="UF355" s="243"/>
      <c r="UG355" s="243"/>
      <c r="UH355" s="243"/>
      <c r="UI355" s="243"/>
      <c r="UJ355" s="243"/>
      <c r="UK355" s="243"/>
      <c r="UL355" s="243"/>
      <c r="UM355" s="243"/>
      <c r="UN355" s="243"/>
      <c r="UO355" s="243"/>
      <c r="UP355" s="243"/>
      <c r="UQ355" s="243"/>
      <c r="UR355" s="243"/>
      <c r="US355" s="243"/>
      <c r="UT355" s="243"/>
      <c r="UU355" s="243"/>
      <c r="UV355" s="243"/>
      <c r="UW355" s="243"/>
      <c r="UX355" s="243"/>
      <c r="UY355" s="243"/>
      <c r="UZ355" s="243"/>
      <c r="VA355" s="243"/>
      <c r="VB355" s="243"/>
      <c r="VC355" s="243"/>
      <c r="VD355" s="243"/>
      <c r="VE355" s="243"/>
      <c r="VF355" s="243"/>
      <c r="VG355" s="243"/>
      <c r="VH355" s="243"/>
      <c r="VI355" s="243"/>
      <c r="VJ355" s="243"/>
      <c r="VK355" s="243"/>
      <c r="VL355" s="243"/>
      <c r="VM355" s="243"/>
      <c r="VN355" s="243"/>
      <c r="VO355" s="243"/>
      <c r="VP355" s="243"/>
      <c r="VQ355" s="243"/>
      <c r="VR355" s="243"/>
      <c r="VS355" s="243"/>
      <c r="VT355" s="243"/>
      <c r="VU355" s="243"/>
      <c r="VV355" s="243"/>
      <c r="VW355" s="243"/>
      <c r="VX355" s="243"/>
      <c r="VY355" s="243"/>
      <c r="VZ355" s="243"/>
      <c r="WA355" s="243"/>
      <c r="WB355" s="243"/>
      <c r="WC355" s="243"/>
      <c r="WD355" s="243"/>
      <c r="WE355" s="243"/>
      <c r="WF355" s="243"/>
      <c r="WG355" s="243"/>
      <c r="WH355" s="243"/>
      <c r="WI355" s="243"/>
      <c r="WJ355" s="243"/>
      <c r="WK355" s="243"/>
      <c r="WL355" s="243"/>
      <c r="WM355" s="243"/>
      <c r="WN355" s="243"/>
      <c r="WO355" s="243"/>
      <c r="WP355" s="243"/>
      <c r="WQ355" s="243"/>
      <c r="WR355" s="243"/>
      <c r="WS355" s="243"/>
      <c r="WT355" s="243"/>
      <c r="WU355" s="243"/>
      <c r="WV355" s="243"/>
      <c r="WW355" s="243"/>
      <c r="WX355" s="243"/>
      <c r="WY355" s="243"/>
      <c r="WZ355" s="243"/>
      <c r="XA355" s="243"/>
      <c r="XB355" s="243"/>
      <c r="XC355" s="243"/>
      <c r="XD355" s="243"/>
      <c r="XE355" s="243"/>
      <c r="XF355" s="243"/>
      <c r="XG355" s="243"/>
      <c r="XH355" s="243"/>
      <c r="XI355" s="243"/>
      <c r="XJ355" s="243"/>
      <c r="XK355" s="243"/>
      <c r="XL355" s="243"/>
      <c r="XM355" s="243"/>
      <c r="XN355" s="243"/>
      <c r="XO355" s="243"/>
      <c r="XP355" s="243"/>
      <c r="XQ355" s="243"/>
      <c r="XR355" s="243"/>
      <c r="XS355" s="243"/>
      <c r="XT355" s="243"/>
      <c r="XU355" s="243"/>
      <c r="XV355" s="243"/>
      <c r="XW355" s="243"/>
      <c r="XX355" s="243"/>
      <c r="XY355" s="243"/>
      <c r="XZ355" s="243"/>
      <c r="YA355" s="243"/>
      <c r="YB355" s="243"/>
      <c r="YC355" s="243"/>
      <c r="YD355" s="243"/>
      <c r="YE355" s="243"/>
      <c r="YF355" s="243"/>
      <c r="YG355" s="243"/>
      <c r="YH355" s="243"/>
      <c r="YI355" s="243"/>
      <c r="YJ355" s="243"/>
      <c r="YK355" s="243"/>
      <c r="YL355" s="243"/>
      <c r="YM355" s="243"/>
      <c r="YN355" s="243"/>
      <c r="YO355" s="243"/>
      <c r="YP355" s="243"/>
      <c r="YQ355" s="243"/>
      <c r="YR355" s="243"/>
      <c r="YS355" s="243"/>
      <c r="YT355" s="243"/>
      <c r="YU355" s="243"/>
      <c r="YV355" s="243"/>
      <c r="YW355" s="243"/>
      <c r="YX355" s="243"/>
      <c r="YY355" s="243"/>
      <c r="YZ355" s="243"/>
      <c r="ZA355" s="243"/>
      <c r="ZB355" s="243"/>
      <c r="ZC355" s="243"/>
      <c r="ZD355" s="243"/>
      <c r="ZE355" s="243"/>
      <c r="ZF355" s="243"/>
      <c r="ZG355" s="243"/>
      <c r="ZH355" s="243"/>
      <c r="ZI355" s="243"/>
      <c r="ZJ355" s="243"/>
      <c r="ZK355" s="243"/>
      <c r="ZL355" s="243"/>
      <c r="ZM355" s="243"/>
      <c r="ZN355" s="243"/>
      <c r="ZO355" s="243"/>
      <c r="ZP355" s="243"/>
      <c r="ZQ355" s="243"/>
      <c r="ZR355" s="243"/>
      <c r="ZS355" s="243"/>
      <c r="ZT355" s="243"/>
      <c r="ZU355" s="243"/>
      <c r="ZV355" s="243"/>
      <c r="ZW355" s="243"/>
      <c r="ZX355" s="243"/>
      <c r="ZY355" s="243"/>
      <c r="ZZ355" s="243"/>
      <c r="AAA355" s="243"/>
      <c r="AAB355" s="243"/>
      <c r="AAC355" s="243"/>
      <c r="AAD355" s="243"/>
      <c r="AAE355" s="243"/>
      <c r="AAF355" s="243"/>
      <c r="AAG355" s="243"/>
      <c r="AAH355" s="243"/>
      <c r="AAI355" s="243"/>
      <c r="AAJ355" s="243"/>
      <c r="AAK355" s="243"/>
      <c r="AAL355" s="243"/>
      <c r="AAM355" s="243"/>
      <c r="AAN355" s="243"/>
      <c r="AAO355" s="243"/>
      <c r="AAP355" s="243"/>
      <c r="AAQ355" s="243"/>
      <c r="AAR355" s="243"/>
      <c r="AAS355" s="243"/>
      <c r="AAT355" s="243"/>
      <c r="AAU355" s="243"/>
      <c r="AAV355" s="243"/>
      <c r="AAW355" s="243"/>
      <c r="AAX355" s="243"/>
      <c r="AAY355" s="243"/>
      <c r="AAZ355" s="243"/>
      <c r="ABA355" s="243"/>
      <c r="ABB355" s="243"/>
      <c r="ABC355" s="243"/>
      <c r="ABD355" s="243"/>
      <c r="ABE355" s="243"/>
      <c r="ABF355" s="243"/>
      <c r="ABG355" s="243"/>
      <c r="ABH355" s="243"/>
      <c r="ABI355" s="243"/>
      <c r="ABJ355" s="243"/>
      <c r="ABK355" s="243"/>
      <c r="ABL355" s="243"/>
      <c r="ABM355" s="243"/>
      <c r="ABN355" s="243"/>
      <c r="ABO355" s="243"/>
      <c r="ABP355" s="243"/>
      <c r="ABQ355" s="243"/>
      <c r="ABR355" s="243"/>
      <c r="ABS355" s="243"/>
      <c r="ABT355" s="243"/>
      <c r="ABU355" s="243"/>
      <c r="ABV355" s="243"/>
      <c r="ABW355" s="243"/>
      <c r="ABX355" s="243"/>
      <c r="ABY355" s="243"/>
      <c r="ABZ355" s="243"/>
      <c r="ACA355" s="243"/>
      <c r="ACB355" s="243"/>
      <c r="ACC355" s="243"/>
      <c r="ACD355" s="243"/>
      <c r="ACE355" s="243"/>
      <c r="ACF355" s="243"/>
      <c r="ACG355" s="243"/>
      <c r="ACH355" s="243"/>
      <c r="ACI355" s="243"/>
      <c r="ACJ355" s="243"/>
      <c r="ACK355" s="243"/>
      <c r="ACL355" s="243"/>
      <c r="ACM355" s="243"/>
      <c r="ACN355" s="243"/>
      <c r="ACO355" s="243"/>
      <c r="ACP355" s="243"/>
      <c r="ACQ355" s="243"/>
      <c r="ACR355" s="243"/>
      <c r="ACS355" s="243"/>
      <c r="ACT355" s="243"/>
      <c r="ACU355" s="243"/>
      <c r="ACV355" s="243"/>
      <c r="ACW355" s="243"/>
      <c r="ACX355" s="243"/>
      <c r="ACY355" s="243"/>
      <c r="ACZ355" s="243"/>
      <c r="ADA355" s="243"/>
      <c r="ADB355" s="243"/>
      <c r="ADC355" s="243"/>
      <c r="ADD355" s="243"/>
      <c r="ADE355" s="243"/>
      <c r="ADF355" s="243"/>
      <c r="ADG355" s="243"/>
      <c r="ADH355" s="243"/>
      <c r="ADI355" s="243"/>
      <c r="ADJ355" s="243"/>
      <c r="ADK355" s="243"/>
      <c r="ADL355" s="243"/>
      <c r="ADM355" s="243"/>
      <c r="ADN355" s="243"/>
      <c r="ADO355" s="243"/>
      <c r="ADP355" s="243"/>
      <c r="ADQ355" s="243"/>
      <c r="ADR355" s="243"/>
      <c r="ADS355" s="243"/>
      <c r="ADT355" s="243"/>
      <c r="ADU355" s="243"/>
      <c r="ADV355" s="243"/>
      <c r="ADW355" s="243"/>
      <c r="ADX355" s="243"/>
      <c r="ADY355" s="243"/>
      <c r="ADZ355" s="243"/>
      <c r="AEA355" s="243"/>
      <c r="AEB355" s="243"/>
      <c r="AEC355" s="243"/>
      <c r="AED355" s="243"/>
      <c r="AEE355" s="243"/>
      <c r="AEF355" s="243"/>
      <c r="AEG355" s="243"/>
      <c r="AEH355" s="243"/>
      <c r="AEI355" s="243"/>
      <c r="AEJ355" s="243"/>
      <c r="AEK355" s="243"/>
      <c r="AEL355" s="243"/>
      <c r="AEM355" s="243"/>
      <c r="AEN355" s="243"/>
      <c r="AEO355" s="243"/>
      <c r="AEP355" s="243"/>
      <c r="AEQ355" s="243"/>
      <c r="AER355" s="243"/>
      <c r="AES355" s="243"/>
      <c r="AET355" s="243"/>
      <c r="AEU355" s="243"/>
      <c r="AEV355" s="243"/>
      <c r="AEW355" s="243"/>
      <c r="AEX355" s="243"/>
      <c r="AEY355" s="243"/>
      <c r="AEZ355" s="243"/>
      <c r="AFA355" s="243"/>
      <c r="AFB355" s="243"/>
      <c r="AFC355" s="243"/>
      <c r="AFD355" s="243"/>
      <c r="AFE355" s="243"/>
      <c r="AFF355" s="243"/>
      <c r="AFG355" s="243"/>
      <c r="AFH355" s="243"/>
      <c r="AFI355" s="243"/>
      <c r="AFJ355" s="243"/>
      <c r="AFK355" s="243"/>
      <c r="AFL355" s="243"/>
      <c r="AFM355" s="243"/>
      <c r="AFN355" s="243"/>
      <c r="AFO355" s="243"/>
      <c r="AFP355" s="243"/>
      <c r="AFQ355" s="243"/>
      <c r="AFR355" s="243"/>
      <c r="AFS355" s="243"/>
      <c r="AFT355" s="243"/>
      <c r="AFU355" s="243"/>
      <c r="AFV355" s="243"/>
      <c r="AFW355" s="243"/>
      <c r="AFX355" s="243"/>
      <c r="AFY355" s="243"/>
      <c r="AFZ355" s="243"/>
      <c r="AGA355" s="243"/>
      <c r="AGB355" s="243"/>
      <c r="AGC355" s="243"/>
      <c r="AGD355" s="243"/>
      <c r="AGE355" s="243"/>
      <c r="AGF355" s="243"/>
      <c r="AGG355" s="243"/>
      <c r="AGH355" s="243"/>
      <c r="AGI355" s="243"/>
      <c r="AGJ355" s="243"/>
      <c r="AGK355" s="243"/>
      <c r="AGL355" s="243"/>
      <c r="AGM355" s="243"/>
      <c r="AGN355" s="243"/>
      <c r="AGO355" s="243"/>
      <c r="AGP355" s="243"/>
      <c r="AGQ355" s="243"/>
      <c r="AGR355" s="243"/>
      <c r="AGS355" s="243"/>
      <c r="AGT355" s="243"/>
      <c r="AGU355" s="243"/>
      <c r="AGV355" s="243"/>
      <c r="AGW355" s="243"/>
      <c r="AGX355" s="243"/>
      <c r="AGY355" s="243"/>
      <c r="AGZ355" s="243"/>
      <c r="AHA355" s="243"/>
      <c r="AHB355" s="243"/>
      <c r="AHC355" s="243"/>
      <c r="AHD355" s="243"/>
      <c r="AHE355" s="243"/>
      <c r="AHF355" s="243"/>
      <c r="AHG355" s="243"/>
      <c r="AHH355" s="243"/>
      <c r="AHI355" s="243"/>
      <c r="AHJ355" s="243"/>
      <c r="AHK355" s="243"/>
      <c r="AHL355" s="243"/>
      <c r="AHM355" s="243"/>
      <c r="AHN355" s="243"/>
      <c r="AHO355" s="243"/>
      <c r="AHP355" s="243"/>
      <c r="AHQ355" s="243"/>
      <c r="AHR355" s="243"/>
      <c r="AHS355" s="243"/>
      <c r="AHT355" s="243"/>
      <c r="AHU355" s="243"/>
      <c r="AHV355" s="243"/>
      <c r="AHW355" s="243"/>
      <c r="AHX355" s="243"/>
      <c r="AHY355" s="243"/>
      <c r="AHZ355" s="243"/>
      <c r="AIA355" s="243"/>
      <c r="AIB355" s="243"/>
      <c r="AIC355" s="243"/>
      <c r="AID355" s="243"/>
      <c r="AIE355" s="243"/>
      <c r="AIF355" s="243"/>
      <c r="AIG355" s="243"/>
      <c r="AIH355" s="243"/>
      <c r="AII355" s="243"/>
      <c r="AIJ355" s="243"/>
      <c r="AIK355" s="243"/>
      <c r="AIL355" s="243"/>
      <c r="AIM355" s="243"/>
      <c r="AIN355" s="243"/>
      <c r="AIO355" s="243"/>
      <c r="AIP355" s="243"/>
      <c r="AIQ355" s="243"/>
      <c r="AIR355" s="243"/>
      <c r="AIS355" s="243"/>
      <c r="AIT355" s="243"/>
      <c r="AIU355" s="243"/>
      <c r="AIV355" s="243"/>
      <c r="AIW355" s="243"/>
      <c r="AIX355" s="243"/>
      <c r="AIY355" s="243"/>
      <c r="AIZ355" s="243"/>
      <c r="AJA355" s="243"/>
      <c r="AJB355" s="243"/>
      <c r="AJC355" s="243"/>
      <c r="AJD355" s="243"/>
      <c r="AJE355" s="243"/>
      <c r="AJF355" s="243"/>
      <c r="AJG355" s="243"/>
      <c r="AJH355" s="243"/>
      <c r="AJI355" s="243"/>
      <c r="AJJ355" s="243"/>
      <c r="AJK355" s="243"/>
      <c r="AJL355" s="243"/>
      <c r="AJM355" s="243"/>
      <c r="AJN355" s="243"/>
      <c r="AJO355" s="243"/>
      <c r="AJP355" s="243"/>
      <c r="AJQ355" s="243"/>
      <c r="AJR355" s="243"/>
      <c r="AJS355" s="243"/>
      <c r="AJT355" s="243"/>
      <c r="AJU355" s="243"/>
      <c r="AJV355" s="243"/>
      <c r="AJW355" s="243"/>
      <c r="AJX355" s="243"/>
      <c r="AJY355" s="243"/>
      <c r="AJZ355" s="243"/>
      <c r="AKA355" s="243"/>
      <c r="AKB355" s="243"/>
      <c r="AKC355" s="243"/>
      <c r="AKD355" s="243"/>
      <c r="AKE355" s="243"/>
      <c r="AKF355" s="243"/>
      <c r="AKG355" s="243"/>
      <c r="AKH355" s="243"/>
      <c r="AKI355" s="243"/>
      <c r="AKJ355" s="243"/>
      <c r="AKK355" s="243"/>
      <c r="AKL355" s="243"/>
      <c r="AKM355" s="243"/>
      <c r="AKN355" s="243"/>
      <c r="AKO355" s="243"/>
      <c r="AKP355" s="243"/>
      <c r="AKQ355" s="243"/>
      <c r="AKR355" s="243"/>
      <c r="AKS355" s="243"/>
      <c r="AKT355" s="243"/>
      <c r="AKU355" s="243"/>
      <c r="AKV355" s="243"/>
      <c r="AKW355" s="243"/>
      <c r="AKX355" s="243"/>
      <c r="AKY355" s="243"/>
      <c r="AKZ355" s="243"/>
      <c r="ALA355" s="243"/>
      <c r="ALB355" s="243"/>
      <c r="ALC355" s="243"/>
      <c r="ALD355" s="243"/>
      <c r="ALE355" s="243"/>
      <c r="ALF355" s="243"/>
      <c r="ALG355" s="243"/>
      <c r="ALH355" s="243"/>
      <c r="ALI355" s="243"/>
      <c r="ALJ355" s="243"/>
      <c r="ALK355" s="243"/>
      <c r="ALL355" s="243"/>
      <c r="ALM355" s="243"/>
      <c r="ALN355" s="243"/>
      <c r="ALO355" s="243"/>
      <c r="ALP355" s="243"/>
      <c r="ALQ355" s="243"/>
      <c r="ALR355" s="243"/>
      <c r="ALS355" s="243"/>
      <c r="ALT355" s="243"/>
      <c r="ALU355" s="243"/>
      <c r="ALV355" s="243"/>
      <c r="ALW355" s="243"/>
      <c r="ALX355" s="243"/>
      <c r="ALY355" s="243"/>
      <c r="ALZ355" s="243"/>
      <c r="AMA355" s="243"/>
      <c r="AMB355" s="243"/>
      <c r="AMC355" s="243"/>
      <c r="AMD355" s="243"/>
      <c r="AME355" s="243"/>
      <c r="AMF355" s="243"/>
      <c r="AMG355" s="243"/>
      <c r="AMH355" s="243"/>
      <c r="AMI355" s="244"/>
      <c r="AMJ355" s="244"/>
    </row>
    <row r="356" spans="1:1024">
      <c r="A356" s="906"/>
      <c r="B356" s="661">
        <v>14389</v>
      </c>
      <c r="C356" s="550">
        <v>0.08</v>
      </c>
      <c r="D356" s="542" t="s">
        <v>245</v>
      </c>
      <c r="E356" s="364">
        <v>2500000</v>
      </c>
      <c r="F356" s="543">
        <v>0.04</v>
      </c>
      <c r="G356" s="364">
        <f t="shared" si="14"/>
        <v>100000</v>
      </c>
      <c r="H356" s="599" t="s">
        <v>243</v>
      </c>
      <c r="I356" s="523"/>
      <c r="J356" s="635"/>
      <c r="K356" s="604"/>
      <c r="L356" s="633"/>
      <c r="M356" s="622"/>
      <c r="N356" s="647"/>
      <c r="O356" s="648"/>
      <c r="P356" s="649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3"/>
      <c r="AI356" s="243"/>
      <c r="AJ356" s="243"/>
      <c r="AK356" s="243"/>
      <c r="AL356" s="243"/>
      <c r="AM356" s="243"/>
      <c r="AN356" s="243"/>
      <c r="AO356" s="243"/>
      <c r="AP356" s="243"/>
      <c r="AQ356" s="243"/>
      <c r="AR356" s="243"/>
      <c r="AS356" s="243"/>
      <c r="AT356" s="243"/>
      <c r="AU356" s="243"/>
      <c r="AV356" s="243"/>
      <c r="AW356" s="243"/>
      <c r="AX356" s="243"/>
      <c r="AY356" s="243"/>
      <c r="AZ356" s="243"/>
      <c r="BA356" s="243"/>
      <c r="BB356" s="243"/>
      <c r="BC356" s="243"/>
      <c r="BD356" s="243"/>
      <c r="BE356" s="243"/>
      <c r="BF356" s="243"/>
      <c r="BG356" s="243"/>
      <c r="BH356" s="243"/>
      <c r="BI356" s="243"/>
      <c r="BJ356" s="243"/>
      <c r="BK356" s="243"/>
      <c r="BL356" s="243"/>
      <c r="BM356" s="243"/>
      <c r="BN356" s="243"/>
      <c r="BO356" s="243"/>
      <c r="BP356" s="243"/>
      <c r="BQ356" s="243"/>
      <c r="BR356" s="243"/>
      <c r="BS356" s="243"/>
      <c r="BT356" s="243"/>
      <c r="BU356" s="243"/>
      <c r="BV356" s="243"/>
      <c r="BW356" s="243"/>
      <c r="BX356" s="243"/>
      <c r="BY356" s="243"/>
      <c r="BZ356" s="243"/>
      <c r="CA356" s="243"/>
      <c r="CB356" s="243"/>
      <c r="CC356" s="243"/>
      <c r="CD356" s="243"/>
      <c r="CE356" s="243"/>
      <c r="CF356" s="243"/>
      <c r="CG356" s="243"/>
      <c r="CH356" s="243"/>
      <c r="CI356" s="243"/>
      <c r="CJ356" s="243"/>
      <c r="CK356" s="243"/>
      <c r="CL356" s="243"/>
      <c r="CM356" s="243"/>
      <c r="CN356" s="243"/>
      <c r="CO356" s="243"/>
      <c r="CP356" s="243"/>
      <c r="CQ356" s="243"/>
      <c r="CR356" s="243"/>
      <c r="CS356" s="243"/>
      <c r="CT356" s="243"/>
      <c r="CU356" s="243"/>
      <c r="CV356" s="243"/>
      <c r="CW356" s="243"/>
      <c r="CX356" s="243"/>
      <c r="CY356" s="243"/>
      <c r="CZ356" s="243"/>
      <c r="DA356" s="243"/>
      <c r="DB356" s="243"/>
      <c r="DC356" s="243"/>
      <c r="DD356" s="243"/>
      <c r="DE356" s="243"/>
      <c r="DF356" s="243"/>
      <c r="DG356" s="243"/>
      <c r="DH356" s="243"/>
      <c r="DI356" s="243"/>
      <c r="DJ356" s="243"/>
      <c r="DK356" s="243"/>
      <c r="DL356" s="243"/>
      <c r="DM356" s="243"/>
      <c r="DN356" s="243"/>
      <c r="DO356" s="243"/>
      <c r="DP356" s="243"/>
      <c r="DQ356" s="243"/>
      <c r="DR356" s="243"/>
      <c r="DS356" s="243"/>
      <c r="DT356" s="243"/>
      <c r="DU356" s="243"/>
      <c r="DV356" s="243"/>
      <c r="DW356" s="243"/>
      <c r="DX356" s="243"/>
      <c r="DY356" s="243"/>
      <c r="DZ356" s="243"/>
      <c r="EA356" s="243"/>
      <c r="EB356" s="243"/>
      <c r="EC356" s="243"/>
      <c r="ED356" s="243"/>
      <c r="EE356" s="243"/>
      <c r="EF356" s="243"/>
      <c r="EG356" s="243"/>
      <c r="EH356" s="243"/>
      <c r="EI356" s="243"/>
      <c r="EJ356" s="243"/>
      <c r="EK356" s="243"/>
      <c r="EL356" s="243"/>
      <c r="EM356" s="243"/>
      <c r="EN356" s="243"/>
      <c r="EO356" s="243"/>
      <c r="EP356" s="243"/>
      <c r="EQ356" s="243"/>
      <c r="ER356" s="243"/>
      <c r="ES356" s="243"/>
      <c r="ET356" s="243"/>
      <c r="EU356" s="243"/>
      <c r="EV356" s="243"/>
      <c r="EW356" s="243"/>
      <c r="EX356" s="243"/>
      <c r="EY356" s="243"/>
      <c r="EZ356" s="243"/>
      <c r="FA356" s="243"/>
      <c r="FB356" s="243"/>
      <c r="FC356" s="243"/>
      <c r="FD356" s="243"/>
      <c r="FE356" s="243"/>
      <c r="FF356" s="243"/>
      <c r="FG356" s="243"/>
      <c r="FH356" s="243"/>
      <c r="FI356" s="243"/>
      <c r="FJ356" s="243"/>
      <c r="FK356" s="243"/>
      <c r="FL356" s="243"/>
      <c r="FM356" s="243"/>
      <c r="FN356" s="243"/>
      <c r="FO356" s="243"/>
      <c r="FP356" s="243"/>
      <c r="FQ356" s="243"/>
      <c r="FR356" s="243"/>
      <c r="FS356" s="243"/>
      <c r="FT356" s="243"/>
      <c r="FU356" s="243"/>
      <c r="FV356" s="243"/>
      <c r="FW356" s="243"/>
      <c r="FX356" s="243"/>
      <c r="FY356" s="243"/>
      <c r="FZ356" s="243"/>
      <c r="GA356" s="243"/>
      <c r="GB356" s="243"/>
      <c r="GC356" s="243"/>
      <c r="GD356" s="243"/>
      <c r="GE356" s="243"/>
      <c r="GF356" s="243"/>
      <c r="GG356" s="243"/>
      <c r="GH356" s="243"/>
      <c r="GI356" s="243"/>
      <c r="GJ356" s="243"/>
      <c r="GK356" s="243"/>
      <c r="GL356" s="243"/>
      <c r="GM356" s="243"/>
      <c r="GN356" s="243"/>
      <c r="GO356" s="243"/>
      <c r="GP356" s="243"/>
      <c r="GQ356" s="243"/>
      <c r="GR356" s="243"/>
      <c r="GS356" s="243"/>
      <c r="GT356" s="243"/>
      <c r="GU356" s="243"/>
      <c r="GV356" s="243"/>
      <c r="GW356" s="243"/>
      <c r="GX356" s="243"/>
      <c r="GY356" s="243"/>
      <c r="GZ356" s="243"/>
      <c r="HA356" s="243"/>
      <c r="HB356" s="243"/>
      <c r="HC356" s="243"/>
      <c r="HD356" s="243"/>
      <c r="HE356" s="243"/>
      <c r="HF356" s="243"/>
      <c r="HG356" s="243"/>
      <c r="HH356" s="243"/>
      <c r="HI356" s="243"/>
      <c r="HJ356" s="243"/>
      <c r="HK356" s="243"/>
      <c r="HL356" s="243"/>
      <c r="HM356" s="243"/>
      <c r="HN356" s="243"/>
      <c r="HO356" s="243"/>
      <c r="HP356" s="243"/>
      <c r="HQ356" s="243"/>
      <c r="HR356" s="243"/>
      <c r="HS356" s="243"/>
      <c r="HT356" s="243"/>
      <c r="HU356" s="243"/>
      <c r="HV356" s="243"/>
      <c r="HW356" s="243"/>
      <c r="HX356" s="243"/>
      <c r="HY356" s="243"/>
      <c r="HZ356" s="243"/>
      <c r="IA356" s="243"/>
      <c r="IB356" s="243"/>
      <c r="IC356" s="243"/>
      <c r="ID356" s="243"/>
      <c r="IE356" s="243"/>
      <c r="IF356" s="243"/>
      <c r="IG356" s="243"/>
      <c r="IH356" s="243"/>
      <c r="II356" s="243"/>
      <c r="IJ356" s="243"/>
      <c r="IK356" s="243"/>
      <c r="IL356" s="243"/>
      <c r="IM356" s="243"/>
      <c r="IN356" s="243"/>
      <c r="IO356" s="243"/>
      <c r="IP356" s="243"/>
      <c r="IQ356" s="243"/>
      <c r="IR356" s="243"/>
      <c r="IS356" s="243"/>
      <c r="IT356" s="243"/>
      <c r="IU356" s="243"/>
      <c r="IV356" s="243"/>
      <c r="IW356" s="243"/>
      <c r="IX356" s="243"/>
      <c r="IY356" s="243"/>
      <c r="IZ356" s="243"/>
      <c r="JA356" s="243"/>
      <c r="JB356" s="243"/>
      <c r="JC356" s="243"/>
      <c r="JD356" s="243"/>
      <c r="JE356" s="243"/>
      <c r="JF356" s="243"/>
      <c r="JG356" s="243"/>
      <c r="JH356" s="243"/>
      <c r="JI356" s="243"/>
      <c r="JJ356" s="243"/>
      <c r="JK356" s="243"/>
      <c r="JL356" s="243"/>
      <c r="JM356" s="243"/>
      <c r="JN356" s="243"/>
      <c r="JO356" s="243"/>
      <c r="JP356" s="243"/>
      <c r="JQ356" s="243"/>
      <c r="JR356" s="243"/>
      <c r="JS356" s="243"/>
      <c r="JT356" s="243"/>
      <c r="JU356" s="243"/>
      <c r="JV356" s="243"/>
      <c r="JW356" s="243"/>
      <c r="JX356" s="243"/>
      <c r="JY356" s="243"/>
      <c r="JZ356" s="243"/>
      <c r="KA356" s="243"/>
      <c r="KB356" s="243"/>
      <c r="KC356" s="243"/>
      <c r="KD356" s="243"/>
      <c r="KE356" s="243"/>
      <c r="KF356" s="243"/>
      <c r="KG356" s="243"/>
      <c r="KH356" s="243"/>
      <c r="KI356" s="243"/>
      <c r="KJ356" s="243"/>
      <c r="KK356" s="243"/>
      <c r="KL356" s="243"/>
      <c r="KM356" s="243"/>
      <c r="KN356" s="243"/>
      <c r="KO356" s="243"/>
      <c r="KP356" s="243"/>
      <c r="KQ356" s="243"/>
      <c r="KR356" s="243"/>
      <c r="KS356" s="243"/>
      <c r="KT356" s="243"/>
      <c r="KU356" s="243"/>
      <c r="KV356" s="243"/>
      <c r="KW356" s="243"/>
      <c r="KX356" s="243"/>
      <c r="KY356" s="243"/>
      <c r="KZ356" s="243"/>
      <c r="LA356" s="243"/>
      <c r="LB356" s="243"/>
      <c r="LC356" s="243"/>
      <c r="LD356" s="243"/>
      <c r="LE356" s="243"/>
      <c r="LF356" s="243"/>
      <c r="LG356" s="243"/>
      <c r="LH356" s="243"/>
      <c r="LI356" s="243"/>
      <c r="LJ356" s="243"/>
      <c r="LK356" s="243"/>
      <c r="LL356" s="243"/>
      <c r="LM356" s="243"/>
      <c r="LN356" s="243"/>
      <c r="LO356" s="243"/>
      <c r="LP356" s="243"/>
      <c r="LQ356" s="243"/>
      <c r="LR356" s="243"/>
      <c r="LS356" s="243"/>
      <c r="LT356" s="243"/>
      <c r="LU356" s="243"/>
      <c r="LV356" s="243"/>
      <c r="LW356" s="243"/>
      <c r="LX356" s="243"/>
      <c r="LY356" s="243"/>
      <c r="LZ356" s="243"/>
      <c r="MA356" s="243"/>
      <c r="MB356" s="243"/>
      <c r="MC356" s="243"/>
      <c r="MD356" s="243"/>
      <c r="ME356" s="243"/>
      <c r="MF356" s="243"/>
      <c r="MG356" s="243"/>
      <c r="MH356" s="243"/>
      <c r="MI356" s="243"/>
      <c r="MJ356" s="243"/>
      <c r="MK356" s="243"/>
      <c r="ML356" s="243"/>
      <c r="MM356" s="243"/>
      <c r="MN356" s="243"/>
      <c r="MO356" s="243"/>
      <c r="MP356" s="243"/>
      <c r="MQ356" s="243"/>
      <c r="MR356" s="243"/>
      <c r="MS356" s="243"/>
      <c r="MT356" s="243"/>
      <c r="MU356" s="243"/>
      <c r="MV356" s="243"/>
      <c r="MW356" s="243"/>
      <c r="MX356" s="243"/>
      <c r="MY356" s="243"/>
      <c r="MZ356" s="243"/>
      <c r="NA356" s="243"/>
      <c r="NB356" s="243"/>
      <c r="NC356" s="243"/>
      <c r="ND356" s="243"/>
      <c r="NE356" s="243"/>
      <c r="NF356" s="243"/>
      <c r="NG356" s="243"/>
      <c r="NH356" s="243"/>
      <c r="NI356" s="243"/>
      <c r="NJ356" s="243"/>
      <c r="NK356" s="243"/>
      <c r="NL356" s="243"/>
      <c r="NM356" s="243"/>
      <c r="NN356" s="243"/>
      <c r="NO356" s="243"/>
      <c r="NP356" s="243"/>
      <c r="NQ356" s="243"/>
      <c r="NR356" s="243"/>
      <c r="NS356" s="243"/>
      <c r="NT356" s="243"/>
      <c r="NU356" s="243"/>
      <c r="NV356" s="243"/>
      <c r="NW356" s="243"/>
      <c r="NX356" s="243"/>
      <c r="NY356" s="243"/>
      <c r="NZ356" s="243"/>
      <c r="OA356" s="243"/>
      <c r="OB356" s="243"/>
      <c r="OC356" s="243"/>
      <c r="OD356" s="243"/>
      <c r="OE356" s="243"/>
      <c r="OF356" s="243"/>
      <c r="OG356" s="243"/>
      <c r="OH356" s="243"/>
      <c r="OI356" s="243"/>
      <c r="OJ356" s="243"/>
      <c r="OK356" s="243"/>
      <c r="OL356" s="243"/>
      <c r="OM356" s="243"/>
      <c r="ON356" s="243"/>
      <c r="OO356" s="243"/>
      <c r="OP356" s="243"/>
      <c r="OQ356" s="243"/>
      <c r="OR356" s="243"/>
      <c r="OS356" s="243"/>
      <c r="OT356" s="243"/>
      <c r="OU356" s="243"/>
      <c r="OV356" s="243"/>
      <c r="OW356" s="243"/>
      <c r="OX356" s="243"/>
      <c r="OY356" s="243"/>
      <c r="OZ356" s="243"/>
      <c r="PA356" s="243"/>
      <c r="PB356" s="243"/>
      <c r="PC356" s="243"/>
      <c r="PD356" s="243"/>
      <c r="PE356" s="243"/>
      <c r="PF356" s="243"/>
      <c r="PG356" s="243"/>
      <c r="PH356" s="243"/>
      <c r="PI356" s="243"/>
      <c r="PJ356" s="243"/>
      <c r="PK356" s="243"/>
      <c r="PL356" s="243"/>
      <c r="PM356" s="243"/>
      <c r="PN356" s="243"/>
      <c r="PO356" s="243"/>
      <c r="PP356" s="243"/>
      <c r="PQ356" s="243"/>
      <c r="PR356" s="243"/>
      <c r="PS356" s="243"/>
      <c r="PT356" s="243"/>
      <c r="PU356" s="243"/>
      <c r="PV356" s="243"/>
      <c r="PW356" s="243"/>
      <c r="PX356" s="243"/>
      <c r="PY356" s="243"/>
      <c r="PZ356" s="243"/>
      <c r="QA356" s="243"/>
      <c r="QB356" s="243"/>
      <c r="QC356" s="243"/>
      <c r="QD356" s="243"/>
      <c r="QE356" s="243"/>
      <c r="QF356" s="243"/>
      <c r="QG356" s="243"/>
      <c r="QH356" s="243"/>
      <c r="QI356" s="243"/>
      <c r="QJ356" s="243"/>
      <c r="QK356" s="243"/>
      <c r="QL356" s="243"/>
      <c r="QM356" s="243"/>
      <c r="QN356" s="243"/>
      <c r="QO356" s="243"/>
      <c r="QP356" s="243"/>
      <c r="QQ356" s="243"/>
      <c r="QR356" s="243"/>
      <c r="QS356" s="243"/>
      <c r="QT356" s="243"/>
      <c r="QU356" s="243"/>
      <c r="QV356" s="243"/>
      <c r="QW356" s="243"/>
      <c r="QX356" s="243"/>
      <c r="QY356" s="243"/>
      <c r="QZ356" s="243"/>
      <c r="RA356" s="243"/>
      <c r="RB356" s="243"/>
      <c r="RC356" s="243"/>
      <c r="RD356" s="243"/>
      <c r="RE356" s="243"/>
      <c r="RF356" s="243"/>
      <c r="RG356" s="243"/>
      <c r="RH356" s="243"/>
      <c r="RI356" s="243"/>
      <c r="RJ356" s="243"/>
      <c r="RK356" s="243"/>
      <c r="RL356" s="243"/>
      <c r="RM356" s="243"/>
      <c r="RN356" s="243"/>
      <c r="RO356" s="243"/>
      <c r="RP356" s="243"/>
      <c r="RQ356" s="243"/>
      <c r="RR356" s="243"/>
      <c r="RS356" s="243"/>
      <c r="RT356" s="243"/>
      <c r="RU356" s="243"/>
      <c r="RV356" s="243"/>
      <c r="RW356" s="243"/>
      <c r="RX356" s="243"/>
      <c r="RY356" s="243"/>
      <c r="RZ356" s="243"/>
      <c r="SA356" s="243"/>
      <c r="SB356" s="243"/>
      <c r="SC356" s="243"/>
      <c r="SD356" s="243"/>
      <c r="SE356" s="243"/>
      <c r="SF356" s="243"/>
      <c r="SG356" s="243"/>
      <c r="SH356" s="243"/>
      <c r="SI356" s="243"/>
      <c r="SJ356" s="243"/>
      <c r="SK356" s="243"/>
      <c r="SL356" s="243"/>
      <c r="SM356" s="243"/>
      <c r="SN356" s="243"/>
      <c r="SO356" s="243"/>
      <c r="SP356" s="243"/>
      <c r="SQ356" s="243"/>
      <c r="SR356" s="243"/>
      <c r="SS356" s="243"/>
      <c r="ST356" s="243"/>
      <c r="SU356" s="243"/>
      <c r="SV356" s="243"/>
      <c r="SW356" s="243"/>
      <c r="SX356" s="243"/>
      <c r="SY356" s="243"/>
      <c r="SZ356" s="243"/>
      <c r="TA356" s="243"/>
      <c r="TB356" s="243"/>
      <c r="TC356" s="243"/>
      <c r="TD356" s="243"/>
      <c r="TE356" s="243"/>
      <c r="TF356" s="243"/>
      <c r="TG356" s="243"/>
      <c r="TH356" s="243"/>
      <c r="TI356" s="243"/>
      <c r="TJ356" s="243"/>
      <c r="TK356" s="243"/>
      <c r="TL356" s="243"/>
      <c r="TM356" s="243"/>
      <c r="TN356" s="243"/>
      <c r="TO356" s="243"/>
      <c r="TP356" s="243"/>
      <c r="TQ356" s="243"/>
      <c r="TR356" s="243"/>
      <c r="TS356" s="243"/>
      <c r="TT356" s="243"/>
      <c r="TU356" s="243"/>
      <c r="TV356" s="243"/>
      <c r="TW356" s="243"/>
      <c r="TX356" s="243"/>
      <c r="TY356" s="243"/>
      <c r="TZ356" s="243"/>
      <c r="UA356" s="243"/>
      <c r="UB356" s="243"/>
      <c r="UC356" s="243"/>
      <c r="UD356" s="243"/>
      <c r="UE356" s="243"/>
      <c r="UF356" s="243"/>
      <c r="UG356" s="243"/>
      <c r="UH356" s="243"/>
      <c r="UI356" s="243"/>
      <c r="UJ356" s="243"/>
      <c r="UK356" s="243"/>
      <c r="UL356" s="243"/>
      <c r="UM356" s="243"/>
      <c r="UN356" s="243"/>
      <c r="UO356" s="243"/>
      <c r="UP356" s="243"/>
      <c r="UQ356" s="243"/>
      <c r="UR356" s="243"/>
      <c r="US356" s="243"/>
      <c r="UT356" s="243"/>
      <c r="UU356" s="243"/>
      <c r="UV356" s="243"/>
      <c r="UW356" s="243"/>
      <c r="UX356" s="243"/>
      <c r="UY356" s="243"/>
      <c r="UZ356" s="243"/>
      <c r="VA356" s="243"/>
      <c r="VB356" s="243"/>
      <c r="VC356" s="243"/>
      <c r="VD356" s="243"/>
      <c r="VE356" s="243"/>
      <c r="VF356" s="243"/>
      <c r="VG356" s="243"/>
      <c r="VH356" s="243"/>
      <c r="VI356" s="243"/>
      <c r="VJ356" s="243"/>
      <c r="VK356" s="243"/>
      <c r="VL356" s="243"/>
      <c r="VM356" s="243"/>
      <c r="VN356" s="243"/>
      <c r="VO356" s="243"/>
      <c r="VP356" s="243"/>
      <c r="VQ356" s="243"/>
      <c r="VR356" s="243"/>
      <c r="VS356" s="243"/>
      <c r="VT356" s="243"/>
      <c r="VU356" s="243"/>
      <c r="VV356" s="243"/>
      <c r="VW356" s="243"/>
      <c r="VX356" s="243"/>
      <c r="VY356" s="243"/>
      <c r="VZ356" s="243"/>
      <c r="WA356" s="243"/>
      <c r="WB356" s="243"/>
      <c r="WC356" s="243"/>
      <c r="WD356" s="243"/>
      <c r="WE356" s="243"/>
      <c r="WF356" s="243"/>
      <c r="WG356" s="243"/>
      <c r="WH356" s="243"/>
      <c r="WI356" s="243"/>
      <c r="WJ356" s="243"/>
      <c r="WK356" s="243"/>
      <c r="WL356" s="243"/>
      <c r="WM356" s="243"/>
      <c r="WN356" s="243"/>
      <c r="WO356" s="243"/>
      <c r="WP356" s="243"/>
      <c r="WQ356" s="243"/>
      <c r="WR356" s="243"/>
      <c r="WS356" s="243"/>
      <c r="WT356" s="243"/>
      <c r="WU356" s="243"/>
      <c r="WV356" s="243"/>
      <c r="WW356" s="243"/>
      <c r="WX356" s="243"/>
      <c r="WY356" s="243"/>
      <c r="WZ356" s="243"/>
      <c r="XA356" s="243"/>
      <c r="XB356" s="243"/>
      <c r="XC356" s="243"/>
      <c r="XD356" s="243"/>
      <c r="XE356" s="243"/>
      <c r="XF356" s="243"/>
      <c r="XG356" s="243"/>
      <c r="XH356" s="243"/>
      <c r="XI356" s="243"/>
      <c r="XJ356" s="243"/>
      <c r="XK356" s="243"/>
      <c r="XL356" s="243"/>
      <c r="XM356" s="243"/>
      <c r="XN356" s="243"/>
      <c r="XO356" s="243"/>
      <c r="XP356" s="243"/>
      <c r="XQ356" s="243"/>
      <c r="XR356" s="243"/>
      <c r="XS356" s="243"/>
      <c r="XT356" s="243"/>
      <c r="XU356" s="243"/>
      <c r="XV356" s="243"/>
      <c r="XW356" s="243"/>
      <c r="XX356" s="243"/>
      <c r="XY356" s="243"/>
      <c r="XZ356" s="243"/>
      <c r="YA356" s="243"/>
      <c r="YB356" s="243"/>
      <c r="YC356" s="243"/>
      <c r="YD356" s="243"/>
      <c r="YE356" s="243"/>
      <c r="YF356" s="243"/>
      <c r="YG356" s="243"/>
      <c r="YH356" s="243"/>
      <c r="YI356" s="243"/>
      <c r="YJ356" s="243"/>
      <c r="YK356" s="243"/>
      <c r="YL356" s="243"/>
      <c r="YM356" s="243"/>
      <c r="YN356" s="243"/>
      <c r="YO356" s="243"/>
      <c r="YP356" s="243"/>
      <c r="YQ356" s="243"/>
      <c r="YR356" s="243"/>
      <c r="YS356" s="243"/>
      <c r="YT356" s="243"/>
      <c r="YU356" s="243"/>
      <c r="YV356" s="243"/>
      <c r="YW356" s="243"/>
      <c r="YX356" s="243"/>
      <c r="YY356" s="243"/>
      <c r="YZ356" s="243"/>
      <c r="ZA356" s="243"/>
      <c r="ZB356" s="243"/>
      <c r="ZC356" s="243"/>
      <c r="ZD356" s="243"/>
      <c r="ZE356" s="243"/>
      <c r="ZF356" s="243"/>
      <c r="ZG356" s="243"/>
      <c r="ZH356" s="243"/>
      <c r="ZI356" s="243"/>
      <c r="ZJ356" s="243"/>
      <c r="ZK356" s="243"/>
      <c r="ZL356" s="243"/>
      <c r="ZM356" s="243"/>
      <c r="ZN356" s="243"/>
      <c r="ZO356" s="243"/>
      <c r="ZP356" s="243"/>
      <c r="ZQ356" s="243"/>
      <c r="ZR356" s="243"/>
      <c r="ZS356" s="243"/>
      <c r="ZT356" s="243"/>
      <c r="ZU356" s="243"/>
      <c r="ZV356" s="243"/>
      <c r="ZW356" s="243"/>
      <c r="ZX356" s="243"/>
      <c r="ZY356" s="243"/>
      <c r="ZZ356" s="243"/>
      <c r="AAA356" s="243"/>
      <c r="AAB356" s="243"/>
      <c r="AAC356" s="243"/>
      <c r="AAD356" s="243"/>
      <c r="AAE356" s="243"/>
      <c r="AAF356" s="243"/>
      <c r="AAG356" s="243"/>
      <c r="AAH356" s="243"/>
      <c r="AAI356" s="243"/>
      <c r="AAJ356" s="243"/>
      <c r="AAK356" s="243"/>
      <c r="AAL356" s="243"/>
      <c r="AAM356" s="243"/>
      <c r="AAN356" s="243"/>
      <c r="AAO356" s="243"/>
      <c r="AAP356" s="243"/>
      <c r="AAQ356" s="243"/>
      <c r="AAR356" s="243"/>
      <c r="AAS356" s="243"/>
      <c r="AAT356" s="243"/>
      <c r="AAU356" s="243"/>
      <c r="AAV356" s="243"/>
      <c r="AAW356" s="243"/>
      <c r="AAX356" s="243"/>
      <c r="AAY356" s="243"/>
      <c r="AAZ356" s="243"/>
      <c r="ABA356" s="243"/>
      <c r="ABB356" s="243"/>
      <c r="ABC356" s="243"/>
      <c r="ABD356" s="243"/>
      <c r="ABE356" s="243"/>
      <c r="ABF356" s="243"/>
      <c r="ABG356" s="243"/>
      <c r="ABH356" s="243"/>
      <c r="ABI356" s="243"/>
      <c r="ABJ356" s="243"/>
      <c r="ABK356" s="243"/>
      <c r="ABL356" s="243"/>
      <c r="ABM356" s="243"/>
      <c r="ABN356" s="243"/>
      <c r="ABO356" s="243"/>
      <c r="ABP356" s="243"/>
      <c r="ABQ356" s="243"/>
      <c r="ABR356" s="243"/>
      <c r="ABS356" s="243"/>
      <c r="ABT356" s="243"/>
      <c r="ABU356" s="243"/>
      <c r="ABV356" s="243"/>
      <c r="ABW356" s="243"/>
      <c r="ABX356" s="243"/>
      <c r="ABY356" s="243"/>
      <c r="ABZ356" s="243"/>
      <c r="ACA356" s="243"/>
      <c r="ACB356" s="243"/>
      <c r="ACC356" s="243"/>
      <c r="ACD356" s="243"/>
      <c r="ACE356" s="243"/>
      <c r="ACF356" s="243"/>
      <c r="ACG356" s="243"/>
      <c r="ACH356" s="243"/>
      <c r="ACI356" s="243"/>
      <c r="ACJ356" s="243"/>
      <c r="ACK356" s="243"/>
      <c r="ACL356" s="243"/>
      <c r="ACM356" s="243"/>
      <c r="ACN356" s="243"/>
      <c r="ACO356" s="243"/>
      <c r="ACP356" s="243"/>
      <c r="ACQ356" s="243"/>
      <c r="ACR356" s="243"/>
      <c r="ACS356" s="243"/>
      <c r="ACT356" s="243"/>
      <c r="ACU356" s="243"/>
      <c r="ACV356" s="243"/>
      <c r="ACW356" s="243"/>
      <c r="ACX356" s="243"/>
      <c r="ACY356" s="243"/>
      <c r="ACZ356" s="243"/>
      <c r="ADA356" s="243"/>
      <c r="ADB356" s="243"/>
      <c r="ADC356" s="243"/>
      <c r="ADD356" s="243"/>
      <c r="ADE356" s="243"/>
      <c r="ADF356" s="243"/>
      <c r="ADG356" s="243"/>
      <c r="ADH356" s="243"/>
      <c r="ADI356" s="243"/>
      <c r="ADJ356" s="243"/>
      <c r="ADK356" s="243"/>
      <c r="ADL356" s="243"/>
      <c r="ADM356" s="243"/>
      <c r="ADN356" s="243"/>
      <c r="ADO356" s="243"/>
      <c r="ADP356" s="243"/>
      <c r="ADQ356" s="243"/>
      <c r="ADR356" s="243"/>
      <c r="ADS356" s="243"/>
      <c r="ADT356" s="243"/>
      <c r="ADU356" s="243"/>
      <c r="ADV356" s="243"/>
      <c r="ADW356" s="243"/>
      <c r="ADX356" s="243"/>
      <c r="ADY356" s="243"/>
      <c r="ADZ356" s="243"/>
      <c r="AEA356" s="243"/>
      <c r="AEB356" s="243"/>
      <c r="AEC356" s="243"/>
      <c r="AED356" s="243"/>
      <c r="AEE356" s="243"/>
      <c r="AEF356" s="243"/>
      <c r="AEG356" s="243"/>
      <c r="AEH356" s="243"/>
      <c r="AEI356" s="243"/>
      <c r="AEJ356" s="243"/>
      <c r="AEK356" s="243"/>
      <c r="AEL356" s="243"/>
      <c r="AEM356" s="243"/>
      <c r="AEN356" s="243"/>
      <c r="AEO356" s="243"/>
      <c r="AEP356" s="243"/>
      <c r="AEQ356" s="243"/>
      <c r="AER356" s="243"/>
      <c r="AES356" s="243"/>
      <c r="AET356" s="243"/>
      <c r="AEU356" s="243"/>
      <c r="AEV356" s="243"/>
      <c r="AEW356" s="243"/>
      <c r="AEX356" s="243"/>
      <c r="AEY356" s="243"/>
      <c r="AEZ356" s="243"/>
      <c r="AFA356" s="243"/>
      <c r="AFB356" s="243"/>
      <c r="AFC356" s="243"/>
      <c r="AFD356" s="243"/>
      <c r="AFE356" s="243"/>
      <c r="AFF356" s="243"/>
      <c r="AFG356" s="243"/>
      <c r="AFH356" s="243"/>
      <c r="AFI356" s="243"/>
      <c r="AFJ356" s="243"/>
      <c r="AFK356" s="243"/>
      <c r="AFL356" s="243"/>
      <c r="AFM356" s="243"/>
      <c r="AFN356" s="243"/>
      <c r="AFO356" s="243"/>
      <c r="AFP356" s="243"/>
      <c r="AFQ356" s="243"/>
      <c r="AFR356" s="243"/>
      <c r="AFS356" s="243"/>
      <c r="AFT356" s="243"/>
      <c r="AFU356" s="243"/>
      <c r="AFV356" s="243"/>
      <c r="AFW356" s="243"/>
      <c r="AFX356" s="243"/>
      <c r="AFY356" s="243"/>
      <c r="AFZ356" s="243"/>
      <c r="AGA356" s="243"/>
      <c r="AGB356" s="243"/>
      <c r="AGC356" s="243"/>
      <c r="AGD356" s="243"/>
      <c r="AGE356" s="243"/>
      <c r="AGF356" s="243"/>
      <c r="AGG356" s="243"/>
      <c r="AGH356" s="243"/>
      <c r="AGI356" s="243"/>
      <c r="AGJ356" s="243"/>
      <c r="AGK356" s="243"/>
      <c r="AGL356" s="243"/>
      <c r="AGM356" s="243"/>
      <c r="AGN356" s="243"/>
      <c r="AGO356" s="243"/>
      <c r="AGP356" s="243"/>
      <c r="AGQ356" s="243"/>
      <c r="AGR356" s="243"/>
      <c r="AGS356" s="243"/>
      <c r="AGT356" s="243"/>
      <c r="AGU356" s="243"/>
      <c r="AGV356" s="243"/>
      <c r="AGW356" s="243"/>
      <c r="AGX356" s="243"/>
      <c r="AGY356" s="243"/>
      <c r="AGZ356" s="243"/>
      <c r="AHA356" s="243"/>
      <c r="AHB356" s="243"/>
      <c r="AHC356" s="243"/>
      <c r="AHD356" s="243"/>
      <c r="AHE356" s="243"/>
      <c r="AHF356" s="243"/>
      <c r="AHG356" s="243"/>
      <c r="AHH356" s="243"/>
      <c r="AHI356" s="243"/>
      <c r="AHJ356" s="243"/>
      <c r="AHK356" s="243"/>
      <c r="AHL356" s="243"/>
      <c r="AHM356" s="243"/>
      <c r="AHN356" s="243"/>
      <c r="AHO356" s="243"/>
      <c r="AHP356" s="243"/>
      <c r="AHQ356" s="243"/>
      <c r="AHR356" s="243"/>
      <c r="AHS356" s="243"/>
      <c r="AHT356" s="243"/>
      <c r="AHU356" s="243"/>
      <c r="AHV356" s="243"/>
      <c r="AHW356" s="243"/>
      <c r="AHX356" s="243"/>
      <c r="AHY356" s="243"/>
      <c r="AHZ356" s="243"/>
      <c r="AIA356" s="243"/>
      <c r="AIB356" s="243"/>
      <c r="AIC356" s="243"/>
      <c r="AID356" s="243"/>
      <c r="AIE356" s="243"/>
      <c r="AIF356" s="243"/>
      <c r="AIG356" s="243"/>
      <c r="AIH356" s="243"/>
      <c r="AII356" s="243"/>
      <c r="AIJ356" s="243"/>
      <c r="AIK356" s="243"/>
      <c r="AIL356" s="243"/>
      <c r="AIM356" s="243"/>
      <c r="AIN356" s="243"/>
      <c r="AIO356" s="243"/>
      <c r="AIP356" s="243"/>
      <c r="AIQ356" s="243"/>
      <c r="AIR356" s="243"/>
      <c r="AIS356" s="243"/>
      <c r="AIT356" s="243"/>
      <c r="AIU356" s="243"/>
      <c r="AIV356" s="243"/>
      <c r="AIW356" s="243"/>
      <c r="AIX356" s="243"/>
      <c r="AIY356" s="243"/>
      <c r="AIZ356" s="243"/>
      <c r="AJA356" s="243"/>
      <c r="AJB356" s="243"/>
      <c r="AJC356" s="243"/>
      <c r="AJD356" s="243"/>
      <c r="AJE356" s="243"/>
      <c r="AJF356" s="243"/>
      <c r="AJG356" s="243"/>
      <c r="AJH356" s="243"/>
      <c r="AJI356" s="243"/>
      <c r="AJJ356" s="243"/>
      <c r="AJK356" s="243"/>
      <c r="AJL356" s="243"/>
      <c r="AJM356" s="243"/>
      <c r="AJN356" s="243"/>
      <c r="AJO356" s="243"/>
      <c r="AJP356" s="243"/>
      <c r="AJQ356" s="243"/>
      <c r="AJR356" s="243"/>
      <c r="AJS356" s="243"/>
      <c r="AJT356" s="243"/>
      <c r="AJU356" s="243"/>
      <c r="AJV356" s="243"/>
      <c r="AJW356" s="243"/>
      <c r="AJX356" s="243"/>
      <c r="AJY356" s="243"/>
      <c r="AJZ356" s="243"/>
      <c r="AKA356" s="243"/>
      <c r="AKB356" s="243"/>
      <c r="AKC356" s="243"/>
      <c r="AKD356" s="243"/>
      <c r="AKE356" s="243"/>
      <c r="AKF356" s="243"/>
      <c r="AKG356" s="243"/>
      <c r="AKH356" s="243"/>
      <c r="AKI356" s="243"/>
      <c r="AKJ356" s="243"/>
      <c r="AKK356" s="243"/>
      <c r="AKL356" s="243"/>
      <c r="AKM356" s="243"/>
      <c r="AKN356" s="243"/>
      <c r="AKO356" s="243"/>
      <c r="AKP356" s="243"/>
      <c r="AKQ356" s="243"/>
      <c r="AKR356" s="243"/>
      <c r="AKS356" s="243"/>
      <c r="AKT356" s="243"/>
      <c r="AKU356" s="243"/>
      <c r="AKV356" s="243"/>
      <c r="AKW356" s="243"/>
      <c r="AKX356" s="243"/>
      <c r="AKY356" s="243"/>
      <c r="AKZ356" s="243"/>
      <c r="ALA356" s="243"/>
      <c r="ALB356" s="243"/>
      <c r="ALC356" s="243"/>
      <c r="ALD356" s="243"/>
      <c r="ALE356" s="243"/>
      <c r="ALF356" s="243"/>
      <c r="ALG356" s="243"/>
      <c r="ALH356" s="243"/>
      <c r="ALI356" s="243"/>
      <c r="ALJ356" s="243"/>
      <c r="ALK356" s="243"/>
      <c r="ALL356" s="243"/>
      <c r="ALM356" s="243"/>
      <c r="ALN356" s="243"/>
      <c r="ALO356" s="243"/>
      <c r="ALP356" s="243"/>
      <c r="ALQ356" s="243"/>
      <c r="ALR356" s="243"/>
      <c r="ALS356" s="243"/>
      <c r="ALT356" s="243"/>
      <c r="ALU356" s="243"/>
      <c r="ALV356" s="243"/>
      <c r="ALW356" s="243"/>
      <c r="ALX356" s="243"/>
      <c r="ALY356" s="243"/>
      <c r="ALZ356" s="243"/>
      <c r="AMA356" s="243"/>
      <c r="AMB356" s="243"/>
      <c r="AMC356" s="243"/>
      <c r="AMD356" s="243"/>
      <c r="AME356" s="243"/>
      <c r="AMF356" s="243"/>
      <c r="AMG356" s="243"/>
      <c r="AMH356" s="243"/>
      <c r="AMI356" s="244"/>
      <c r="AMJ356" s="244"/>
    </row>
    <row r="357" spans="1:1024">
      <c r="A357" s="906"/>
      <c r="B357" s="661">
        <v>14445</v>
      </c>
      <c r="C357" s="121">
        <v>0.1</v>
      </c>
      <c r="D357" s="621" t="s">
        <v>246</v>
      </c>
      <c r="E357" s="364">
        <v>1500000</v>
      </c>
      <c r="F357" s="541">
        <v>0.05</v>
      </c>
      <c r="G357" s="364">
        <f t="shared" si="14"/>
        <v>75000</v>
      </c>
      <c r="H357" s="599" t="s">
        <v>247</v>
      </c>
      <c r="I357" s="523"/>
      <c r="J357" s="635"/>
      <c r="K357" s="604"/>
      <c r="L357" s="633"/>
      <c r="M357" s="622"/>
      <c r="N357" s="647"/>
      <c r="O357" s="648"/>
      <c r="P357" s="649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3"/>
      <c r="AI357" s="243"/>
      <c r="AJ357" s="243"/>
      <c r="AK357" s="243"/>
      <c r="AL357" s="243"/>
      <c r="AM357" s="243"/>
      <c r="AN357" s="243"/>
      <c r="AO357" s="243"/>
      <c r="AP357" s="243"/>
      <c r="AQ357" s="243"/>
      <c r="AR357" s="243"/>
      <c r="AS357" s="243"/>
      <c r="AT357" s="243"/>
      <c r="AU357" s="243"/>
      <c r="AV357" s="243"/>
      <c r="AW357" s="243"/>
      <c r="AX357" s="243"/>
      <c r="AY357" s="243"/>
      <c r="AZ357" s="243"/>
      <c r="BA357" s="243"/>
      <c r="BB357" s="243"/>
      <c r="BC357" s="243"/>
      <c r="BD357" s="243"/>
      <c r="BE357" s="243"/>
      <c r="BF357" s="243"/>
      <c r="BG357" s="243"/>
      <c r="BH357" s="243"/>
      <c r="BI357" s="243"/>
      <c r="BJ357" s="243"/>
      <c r="BK357" s="243"/>
      <c r="BL357" s="243"/>
      <c r="BM357" s="243"/>
      <c r="BN357" s="243"/>
      <c r="BO357" s="243"/>
      <c r="BP357" s="243"/>
      <c r="BQ357" s="243"/>
      <c r="BR357" s="243"/>
      <c r="BS357" s="243"/>
      <c r="BT357" s="243"/>
      <c r="BU357" s="243"/>
      <c r="BV357" s="243"/>
      <c r="BW357" s="243"/>
      <c r="BX357" s="243"/>
      <c r="BY357" s="243"/>
      <c r="BZ357" s="243"/>
      <c r="CA357" s="243"/>
      <c r="CB357" s="243"/>
      <c r="CC357" s="243"/>
      <c r="CD357" s="243"/>
      <c r="CE357" s="243"/>
      <c r="CF357" s="243"/>
      <c r="CG357" s="243"/>
      <c r="CH357" s="243"/>
      <c r="CI357" s="243"/>
      <c r="CJ357" s="243"/>
      <c r="CK357" s="243"/>
      <c r="CL357" s="243"/>
      <c r="CM357" s="243"/>
      <c r="CN357" s="243"/>
      <c r="CO357" s="243"/>
      <c r="CP357" s="243"/>
      <c r="CQ357" s="243"/>
      <c r="CR357" s="243"/>
      <c r="CS357" s="243"/>
      <c r="CT357" s="243"/>
      <c r="CU357" s="243"/>
      <c r="CV357" s="243"/>
      <c r="CW357" s="243"/>
      <c r="CX357" s="243"/>
      <c r="CY357" s="243"/>
      <c r="CZ357" s="243"/>
      <c r="DA357" s="243"/>
      <c r="DB357" s="243"/>
      <c r="DC357" s="243"/>
      <c r="DD357" s="243"/>
      <c r="DE357" s="243"/>
      <c r="DF357" s="243"/>
      <c r="DG357" s="243"/>
      <c r="DH357" s="243"/>
      <c r="DI357" s="243"/>
      <c r="DJ357" s="243"/>
      <c r="DK357" s="243"/>
      <c r="DL357" s="243"/>
      <c r="DM357" s="243"/>
      <c r="DN357" s="243"/>
      <c r="DO357" s="243"/>
      <c r="DP357" s="243"/>
      <c r="DQ357" s="243"/>
      <c r="DR357" s="243"/>
      <c r="DS357" s="243"/>
      <c r="DT357" s="243"/>
      <c r="DU357" s="243"/>
      <c r="DV357" s="243"/>
      <c r="DW357" s="243"/>
      <c r="DX357" s="243"/>
      <c r="DY357" s="243"/>
      <c r="DZ357" s="243"/>
      <c r="EA357" s="243"/>
      <c r="EB357" s="243"/>
      <c r="EC357" s="243"/>
      <c r="ED357" s="243"/>
      <c r="EE357" s="243"/>
      <c r="EF357" s="243"/>
      <c r="EG357" s="243"/>
      <c r="EH357" s="243"/>
      <c r="EI357" s="243"/>
      <c r="EJ357" s="243"/>
      <c r="EK357" s="243"/>
      <c r="EL357" s="243"/>
      <c r="EM357" s="243"/>
      <c r="EN357" s="243"/>
      <c r="EO357" s="243"/>
      <c r="EP357" s="243"/>
      <c r="EQ357" s="243"/>
      <c r="ER357" s="243"/>
      <c r="ES357" s="243"/>
      <c r="ET357" s="243"/>
      <c r="EU357" s="243"/>
      <c r="EV357" s="243"/>
      <c r="EW357" s="243"/>
      <c r="EX357" s="243"/>
      <c r="EY357" s="243"/>
      <c r="EZ357" s="243"/>
      <c r="FA357" s="243"/>
      <c r="FB357" s="243"/>
      <c r="FC357" s="243"/>
      <c r="FD357" s="243"/>
      <c r="FE357" s="243"/>
      <c r="FF357" s="243"/>
      <c r="FG357" s="243"/>
      <c r="FH357" s="243"/>
      <c r="FI357" s="243"/>
      <c r="FJ357" s="243"/>
      <c r="FK357" s="243"/>
      <c r="FL357" s="243"/>
      <c r="FM357" s="243"/>
      <c r="FN357" s="243"/>
      <c r="FO357" s="243"/>
      <c r="FP357" s="243"/>
      <c r="FQ357" s="243"/>
      <c r="FR357" s="243"/>
      <c r="FS357" s="243"/>
      <c r="FT357" s="243"/>
      <c r="FU357" s="243"/>
      <c r="FV357" s="243"/>
      <c r="FW357" s="243"/>
      <c r="FX357" s="243"/>
      <c r="FY357" s="243"/>
      <c r="FZ357" s="243"/>
      <c r="GA357" s="243"/>
      <c r="GB357" s="243"/>
      <c r="GC357" s="243"/>
      <c r="GD357" s="243"/>
      <c r="GE357" s="243"/>
      <c r="GF357" s="243"/>
      <c r="GG357" s="243"/>
      <c r="GH357" s="243"/>
      <c r="GI357" s="243"/>
      <c r="GJ357" s="243"/>
      <c r="GK357" s="243"/>
      <c r="GL357" s="243"/>
      <c r="GM357" s="243"/>
      <c r="GN357" s="243"/>
      <c r="GO357" s="243"/>
      <c r="GP357" s="243"/>
      <c r="GQ357" s="243"/>
      <c r="GR357" s="243"/>
      <c r="GS357" s="243"/>
      <c r="GT357" s="243"/>
      <c r="GU357" s="243"/>
      <c r="GV357" s="243"/>
      <c r="GW357" s="243"/>
      <c r="GX357" s="243"/>
      <c r="GY357" s="243"/>
      <c r="GZ357" s="243"/>
      <c r="HA357" s="243"/>
      <c r="HB357" s="243"/>
      <c r="HC357" s="243"/>
      <c r="HD357" s="243"/>
      <c r="HE357" s="243"/>
      <c r="HF357" s="243"/>
      <c r="HG357" s="243"/>
      <c r="HH357" s="243"/>
      <c r="HI357" s="243"/>
      <c r="HJ357" s="243"/>
      <c r="HK357" s="243"/>
      <c r="HL357" s="243"/>
      <c r="HM357" s="243"/>
      <c r="HN357" s="243"/>
      <c r="HO357" s="243"/>
      <c r="HP357" s="243"/>
      <c r="HQ357" s="243"/>
      <c r="HR357" s="243"/>
      <c r="HS357" s="243"/>
      <c r="HT357" s="243"/>
      <c r="HU357" s="243"/>
      <c r="HV357" s="243"/>
      <c r="HW357" s="243"/>
      <c r="HX357" s="243"/>
      <c r="HY357" s="243"/>
      <c r="HZ357" s="243"/>
      <c r="IA357" s="243"/>
      <c r="IB357" s="243"/>
      <c r="IC357" s="243"/>
      <c r="ID357" s="243"/>
      <c r="IE357" s="243"/>
      <c r="IF357" s="243"/>
      <c r="IG357" s="243"/>
      <c r="IH357" s="243"/>
      <c r="II357" s="243"/>
      <c r="IJ357" s="243"/>
      <c r="IK357" s="243"/>
      <c r="IL357" s="243"/>
      <c r="IM357" s="243"/>
      <c r="IN357" s="243"/>
      <c r="IO357" s="243"/>
      <c r="IP357" s="243"/>
      <c r="IQ357" s="243"/>
      <c r="IR357" s="243"/>
      <c r="IS357" s="243"/>
      <c r="IT357" s="243"/>
      <c r="IU357" s="243"/>
      <c r="IV357" s="243"/>
      <c r="IW357" s="243"/>
      <c r="IX357" s="243"/>
      <c r="IY357" s="243"/>
      <c r="IZ357" s="243"/>
      <c r="JA357" s="243"/>
      <c r="JB357" s="243"/>
      <c r="JC357" s="243"/>
      <c r="JD357" s="243"/>
      <c r="JE357" s="243"/>
      <c r="JF357" s="243"/>
      <c r="JG357" s="243"/>
      <c r="JH357" s="243"/>
      <c r="JI357" s="243"/>
      <c r="JJ357" s="243"/>
      <c r="JK357" s="243"/>
      <c r="JL357" s="243"/>
      <c r="JM357" s="243"/>
      <c r="JN357" s="243"/>
      <c r="JO357" s="243"/>
      <c r="JP357" s="243"/>
      <c r="JQ357" s="243"/>
      <c r="JR357" s="243"/>
      <c r="JS357" s="243"/>
      <c r="JT357" s="243"/>
      <c r="JU357" s="243"/>
      <c r="JV357" s="243"/>
      <c r="JW357" s="243"/>
      <c r="JX357" s="243"/>
      <c r="JY357" s="243"/>
      <c r="JZ357" s="243"/>
      <c r="KA357" s="243"/>
      <c r="KB357" s="243"/>
      <c r="KC357" s="243"/>
      <c r="KD357" s="243"/>
      <c r="KE357" s="243"/>
      <c r="KF357" s="243"/>
      <c r="KG357" s="243"/>
      <c r="KH357" s="243"/>
      <c r="KI357" s="243"/>
      <c r="KJ357" s="243"/>
      <c r="KK357" s="243"/>
      <c r="KL357" s="243"/>
      <c r="KM357" s="243"/>
      <c r="KN357" s="243"/>
      <c r="KO357" s="243"/>
      <c r="KP357" s="243"/>
      <c r="KQ357" s="243"/>
      <c r="KR357" s="243"/>
      <c r="KS357" s="243"/>
      <c r="KT357" s="243"/>
      <c r="KU357" s="243"/>
      <c r="KV357" s="243"/>
      <c r="KW357" s="243"/>
      <c r="KX357" s="243"/>
      <c r="KY357" s="243"/>
      <c r="KZ357" s="243"/>
      <c r="LA357" s="243"/>
      <c r="LB357" s="243"/>
      <c r="LC357" s="243"/>
      <c r="LD357" s="243"/>
      <c r="LE357" s="243"/>
      <c r="LF357" s="243"/>
      <c r="LG357" s="243"/>
      <c r="LH357" s="243"/>
      <c r="LI357" s="243"/>
      <c r="LJ357" s="243"/>
      <c r="LK357" s="243"/>
      <c r="LL357" s="243"/>
      <c r="LM357" s="243"/>
      <c r="LN357" s="243"/>
      <c r="LO357" s="243"/>
      <c r="LP357" s="243"/>
      <c r="LQ357" s="243"/>
      <c r="LR357" s="243"/>
      <c r="LS357" s="243"/>
      <c r="LT357" s="243"/>
      <c r="LU357" s="243"/>
      <c r="LV357" s="243"/>
      <c r="LW357" s="243"/>
      <c r="LX357" s="243"/>
      <c r="LY357" s="243"/>
      <c r="LZ357" s="243"/>
      <c r="MA357" s="243"/>
      <c r="MB357" s="243"/>
      <c r="MC357" s="243"/>
      <c r="MD357" s="243"/>
      <c r="ME357" s="243"/>
      <c r="MF357" s="243"/>
      <c r="MG357" s="243"/>
      <c r="MH357" s="243"/>
      <c r="MI357" s="243"/>
      <c r="MJ357" s="243"/>
      <c r="MK357" s="243"/>
      <c r="ML357" s="243"/>
      <c r="MM357" s="243"/>
      <c r="MN357" s="243"/>
      <c r="MO357" s="243"/>
      <c r="MP357" s="243"/>
      <c r="MQ357" s="243"/>
      <c r="MR357" s="243"/>
      <c r="MS357" s="243"/>
      <c r="MT357" s="243"/>
      <c r="MU357" s="243"/>
      <c r="MV357" s="243"/>
      <c r="MW357" s="243"/>
      <c r="MX357" s="243"/>
      <c r="MY357" s="243"/>
      <c r="MZ357" s="243"/>
      <c r="NA357" s="243"/>
      <c r="NB357" s="243"/>
      <c r="NC357" s="243"/>
      <c r="ND357" s="243"/>
      <c r="NE357" s="243"/>
      <c r="NF357" s="243"/>
      <c r="NG357" s="243"/>
      <c r="NH357" s="243"/>
      <c r="NI357" s="243"/>
      <c r="NJ357" s="243"/>
      <c r="NK357" s="243"/>
      <c r="NL357" s="243"/>
      <c r="NM357" s="243"/>
      <c r="NN357" s="243"/>
      <c r="NO357" s="243"/>
      <c r="NP357" s="243"/>
      <c r="NQ357" s="243"/>
      <c r="NR357" s="243"/>
      <c r="NS357" s="243"/>
      <c r="NT357" s="243"/>
      <c r="NU357" s="243"/>
      <c r="NV357" s="243"/>
      <c r="NW357" s="243"/>
      <c r="NX357" s="243"/>
      <c r="NY357" s="243"/>
      <c r="NZ357" s="243"/>
      <c r="OA357" s="243"/>
      <c r="OB357" s="243"/>
      <c r="OC357" s="243"/>
      <c r="OD357" s="243"/>
      <c r="OE357" s="243"/>
      <c r="OF357" s="243"/>
      <c r="OG357" s="243"/>
      <c r="OH357" s="243"/>
      <c r="OI357" s="243"/>
      <c r="OJ357" s="243"/>
      <c r="OK357" s="243"/>
      <c r="OL357" s="243"/>
      <c r="OM357" s="243"/>
      <c r="ON357" s="243"/>
      <c r="OO357" s="243"/>
      <c r="OP357" s="243"/>
      <c r="OQ357" s="243"/>
      <c r="OR357" s="243"/>
      <c r="OS357" s="243"/>
      <c r="OT357" s="243"/>
      <c r="OU357" s="243"/>
      <c r="OV357" s="243"/>
      <c r="OW357" s="243"/>
      <c r="OX357" s="243"/>
      <c r="OY357" s="243"/>
      <c r="OZ357" s="243"/>
      <c r="PA357" s="243"/>
      <c r="PB357" s="243"/>
      <c r="PC357" s="243"/>
      <c r="PD357" s="243"/>
      <c r="PE357" s="243"/>
      <c r="PF357" s="243"/>
      <c r="PG357" s="243"/>
      <c r="PH357" s="243"/>
      <c r="PI357" s="243"/>
      <c r="PJ357" s="243"/>
      <c r="PK357" s="243"/>
      <c r="PL357" s="243"/>
      <c r="PM357" s="243"/>
      <c r="PN357" s="243"/>
      <c r="PO357" s="243"/>
      <c r="PP357" s="243"/>
      <c r="PQ357" s="243"/>
      <c r="PR357" s="243"/>
      <c r="PS357" s="243"/>
      <c r="PT357" s="243"/>
      <c r="PU357" s="243"/>
      <c r="PV357" s="243"/>
      <c r="PW357" s="243"/>
      <c r="PX357" s="243"/>
      <c r="PY357" s="243"/>
      <c r="PZ357" s="243"/>
      <c r="QA357" s="243"/>
      <c r="QB357" s="243"/>
      <c r="QC357" s="243"/>
      <c r="QD357" s="243"/>
      <c r="QE357" s="243"/>
      <c r="QF357" s="243"/>
      <c r="QG357" s="243"/>
      <c r="QH357" s="243"/>
      <c r="QI357" s="243"/>
      <c r="QJ357" s="243"/>
      <c r="QK357" s="243"/>
      <c r="QL357" s="243"/>
      <c r="QM357" s="243"/>
      <c r="QN357" s="243"/>
      <c r="QO357" s="243"/>
      <c r="QP357" s="243"/>
      <c r="QQ357" s="243"/>
      <c r="QR357" s="243"/>
      <c r="QS357" s="243"/>
      <c r="QT357" s="243"/>
      <c r="QU357" s="243"/>
      <c r="QV357" s="243"/>
      <c r="QW357" s="243"/>
      <c r="QX357" s="243"/>
      <c r="QY357" s="243"/>
      <c r="QZ357" s="243"/>
      <c r="RA357" s="243"/>
      <c r="RB357" s="243"/>
      <c r="RC357" s="243"/>
      <c r="RD357" s="243"/>
      <c r="RE357" s="243"/>
      <c r="RF357" s="243"/>
      <c r="RG357" s="243"/>
      <c r="RH357" s="243"/>
      <c r="RI357" s="243"/>
      <c r="RJ357" s="243"/>
      <c r="RK357" s="243"/>
      <c r="RL357" s="243"/>
      <c r="RM357" s="243"/>
      <c r="RN357" s="243"/>
      <c r="RO357" s="243"/>
      <c r="RP357" s="243"/>
      <c r="RQ357" s="243"/>
      <c r="RR357" s="243"/>
      <c r="RS357" s="243"/>
      <c r="RT357" s="243"/>
      <c r="RU357" s="243"/>
      <c r="RV357" s="243"/>
      <c r="RW357" s="243"/>
      <c r="RX357" s="243"/>
      <c r="RY357" s="243"/>
      <c r="RZ357" s="243"/>
      <c r="SA357" s="243"/>
      <c r="SB357" s="243"/>
      <c r="SC357" s="243"/>
      <c r="SD357" s="243"/>
      <c r="SE357" s="243"/>
      <c r="SF357" s="243"/>
      <c r="SG357" s="243"/>
      <c r="SH357" s="243"/>
      <c r="SI357" s="243"/>
      <c r="SJ357" s="243"/>
      <c r="SK357" s="243"/>
      <c r="SL357" s="243"/>
      <c r="SM357" s="243"/>
      <c r="SN357" s="243"/>
      <c r="SO357" s="243"/>
      <c r="SP357" s="243"/>
      <c r="SQ357" s="243"/>
      <c r="SR357" s="243"/>
      <c r="SS357" s="243"/>
      <c r="ST357" s="243"/>
      <c r="SU357" s="243"/>
      <c r="SV357" s="243"/>
      <c r="SW357" s="243"/>
      <c r="SX357" s="243"/>
      <c r="SY357" s="243"/>
      <c r="SZ357" s="243"/>
      <c r="TA357" s="243"/>
      <c r="TB357" s="243"/>
      <c r="TC357" s="243"/>
      <c r="TD357" s="243"/>
      <c r="TE357" s="243"/>
      <c r="TF357" s="243"/>
      <c r="TG357" s="243"/>
      <c r="TH357" s="243"/>
      <c r="TI357" s="243"/>
      <c r="TJ357" s="243"/>
      <c r="TK357" s="243"/>
      <c r="TL357" s="243"/>
      <c r="TM357" s="243"/>
      <c r="TN357" s="243"/>
      <c r="TO357" s="243"/>
      <c r="TP357" s="243"/>
      <c r="TQ357" s="243"/>
      <c r="TR357" s="243"/>
      <c r="TS357" s="243"/>
      <c r="TT357" s="243"/>
      <c r="TU357" s="243"/>
      <c r="TV357" s="243"/>
      <c r="TW357" s="243"/>
      <c r="TX357" s="243"/>
      <c r="TY357" s="243"/>
      <c r="TZ357" s="243"/>
      <c r="UA357" s="243"/>
      <c r="UB357" s="243"/>
      <c r="UC357" s="243"/>
      <c r="UD357" s="243"/>
      <c r="UE357" s="243"/>
      <c r="UF357" s="243"/>
      <c r="UG357" s="243"/>
      <c r="UH357" s="243"/>
      <c r="UI357" s="243"/>
      <c r="UJ357" s="243"/>
      <c r="UK357" s="243"/>
      <c r="UL357" s="243"/>
      <c r="UM357" s="243"/>
      <c r="UN357" s="243"/>
      <c r="UO357" s="243"/>
      <c r="UP357" s="243"/>
      <c r="UQ357" s="243"/>
      <c r="UR357" s="243"/>
      <c r="US357" s="243"/>
      <c r="UT357" s="243"/>
      <c r="UU357" s="243"/>
      <c r="UV357" s="243"/>
      <c r="UW357" s="243"/>
      <c r="UX357" s="243"/>
      <c r="UY357" s="243"/>
      <c r="UZ357" s="243"/>
      <c r="VA357" s="243"/>
      <c r="VB357" s="243"/>
      <c r="VC357" s="243"/>
      <c r="VD357" s="243"/>
      <c r="VE357" s="243"/>
      <c r="VF357" s="243"/>
      <c r="VG357" s="243"/>
      <c r="VH357" s="243"/>
      <c r="VI357" s="243"/>
      <c r="VJ357" s="243"/>
      <c r="VK357" s="243"/>
      <c r="VL357" s="243"/>
      <c r="VM357" s="243"/>
      <c r="VN357" s="243"/>
      <c r="VO357" s="243"/>
      <c r="VP357" s="243"/>
      <c r="VQ357" s="243"/>
      <c r="VR357" s="243"/>
      <c r="VS357" s="243"/>
      <c r="VT357" s="243"/>
      <c r="VU357" s="243"/>
      <c r="VV357" s="243"/>
      <c r="VW357" s="243"/>
      <c r="VX357" s="243"/>
      <c r="VY357" s="243"/>
      <c r="VZ357" s="243"/>
      <c r="WA357" s="243"/>
      <c r="WB357" s="243"/>
      <c r="WC357" s="243"/>
      <c r="WD357" s="243"/>
      <c r="WE357" s="243"/>
      <c r="WF357" s="243"/>
      <c r="WG357" s="243"/>
      <c r="WH357" s="243"/>
      <c r="WI357" s="243"/>
      <c r="WJ357" s="243"/>
      <c r="WK357" s="243"/>
      <c r="WL357" s="243"/>
      <c r="WM357" s="243"/>
      <c r="WN357" s="243"/>
      <c r="WO357" s="243"/>
      <c r="WP357" s="243"/>
      <c r="WQ357" s="243"/>
      <c r="WR357" s="243"/>
      <c r="WS357" s="243"/>
      <c r="WT357" s="243"/>
      <c r="WU357" s="243"/>
      <c r="WV357" s="243"/>
      <c r="WW357" s="243"/>
      <c r="WX357" s="243"/>
      <c r="WY357" s="243"/>
      <c r="WZ357" s="243"/>
      <c r="XA357" s="243"/>
      <c r="XB357" s="243"/>
      <c r="XC357" s="243"/>
      <c r="XD357" s="243"/>
      <c r="XE357" s="243"/>
      <c r="XF357" s="243"/>
      <c r="XG357" s="243"/>
      <c r="XH357" s="243"/>
      <c r="XI357" s="243"/>
      <c r="XJ357" s="243"/>
      <c r="XK357" s="243"/>
      <c r="XL357" s="243"/>
      <c r="XM357" s="243"/>
      <c r="XN357" s="243"/>
      <c r="XO357" s="243"/>
      <c r="XP357" s="243"/>
      <c r="XQ357" s="243"/>
      <c r="XR357" s="243"/>
      <c r="XS357" s="243"/>
      <c r="XT357" s="243"/>
      <c r="XU357" s="243"/>
      <c r="XV357" s="243"/>
      <c r="XW357" s="243"/>
      <c r="XX357" s="243"/>
      <c r="XY357" s="243"/>
      <c r="XZ357" s="243"/>
      <c r="YA357" s="243"/>
      <c r="YB357" s="243"/>
      <c r="YC357" s="243"/>
      <c r="YD357" s="243"/>
      <c r="YE357" s="243"/>
      <c r="YF357" s="243"/>
      <c r="YG357" s="243"/>
      <c r="YH357" s="243"/>
      <c r="YI357" s="243"/>
      <c r="YJ357" s="243"/>
      <c r="YK357" s="243"/>
      <c r="YL357" s="243"/>
      <c r="YM357" s="243"/>
      <c r="YN357" s="243"/>
      <c r="YO357" s="243"/>
      <c r="YP357" s="243"/>
      <c r="YQ357" s="243"/>
      <c r="YR357" s="243"/>
      <c r="YS357" s="243"/>
      <c r="YT357" s="243"/>
      <c r="YU357" s="243"/>
      <c r="YV357" s="243"/>
      <c r="YW357" s="243"/>
      <c r="YX357" s="243"/>
      <c r="YY357" s="243"/>
      <c r="YZ357" s="243"/>
      <c r="ZA357" s="243"/>
      <c r="ZB357" s="243"/>
      <c r="ZC357" s="243"/>
      <c r="ZD357" s="243"/>
      <c r="ZE357" s="243"/>
      <c r="ZF357" s="243"/>
      <c r="ZG357" s="243"/>
      <c r="ZH357" s="243"/>
      <c r="ZI357" s="243"/>
      <c r="ZJ357" s="243"/>
      <c r="ZK357" s="243"/>
      <c r="ZL357" s="243"/>
      <c r="ZM357" s="243"/>
      <c r="ZN357" s="243"/>
      <c r="ZO357" s="243"/>
      <c r="ZP357" s="243"/>
      <c r="ZQ357" s="243"/>
      <c r="ZR357" s="243"/>
      <c r="ZS357" s="243"/>
      <c r="ZT357" s="243"/>
      <c r="ZU357" s="243"/>
      <c r="ZV357" s="243"/>
      <c r="ZW357" s="243"/>
      <c r="ZX357" s="243"/>
      <c r="ZY357" s="243"/>
      <c r="ZZ357" s="243"/>
      <c r="AAA357" s="243"/>
      <c r="AAB357" s="243"/>
      <c r="AAC357" s="243"/>
      <c r="AAD357" s="243"/>
      <c r="AAE357" s="243"/>
      <c r="AAF357" s="243"/>
      <c r="AAG357" s="243"/>
      <c r="AAH357" s="243"/>
      <c r="AAI357" s="243"/>
      <c r="AAJ357" s="243"/>
      <c r="AAK357" s="243"/>
      <c r="AAL357" s="243"/>
      <c r="AAM357" s="243"/>
      <c r="AAN357" s="243"/>
      <c r="AAO357" s="243"/>
      <c r="AAP357" s="243"/>
      <c r="AAQ357" s="243"/>
      <c r="AAR357" s="243"/>
      <c r="AAS357" s="243"/>
      <c r="AAT357" s="243"/>
      <c r="AAU357" s="243"/>
      <c r="AAV357" s="243"/>
      <c r="AAW357" s="243"/>
      <c r="AAX357" s="243"/>
      <c r="AAY357" s="243"/>
      <c r="AAZ357" s="243"/>
      <c r="ABA357" s="243"/>
      <c r="ABB357" s="243"/>
      <c r="ABC357" s="243"/>
      <c r="ABD357" s="243"/>
      <c r="ABE357" s="243"/>
      <c r="ABF357" s="243"/>
      <c r="ABG357" s="243"/>
      <c r="ABH357" s="243"/>
      <c r="ABI357" s="243"/>
      <c r="ABJ357" s="243"/>
      <c r="ABK357" s="243"/>
      <c r="ABL357" s="243"/>
      <c r="ABM357" s="243"/>
      <c r="ABN357" s="243"/>
      <c r="ABO357" s="243"/>
      <c r="ABP357" s="243"/>
      <c r="ABQ357" s="243"/>
      <c r="ABR357" s="243"/>
      <c r="ABS357" s="243"/>
      <c r="ABT357" s="243"/>
      <c r="ABU357" s="243"/>
      <c r="ABV357" s="243"/>
      <c r="ABW357" s="243"/>
      <c r="ABX357" s="243"/>
      <c r="ABY357" s="243"/>
      <c r="ABZ357" s="243"/>
      <c r="ACA357" s="243"/>
      <c r="ACB357" s="243"/>
      <c r="ACC357" s="243"/>
      <c r="ACD357" s="243"/>
      <c r="ACE357" s="243"/>
      <c r="ACF357" s="243"/>
      <c r="ACG357" s="243"/>
      <c r="ACH357" s="243"/>
      <c r="ACI357" s="243"/>
      <c r="ACJ357" s="243"/>
      <c r="ACK357" s="243"/>
      <c r="ACL357" s="243"/>
      <c r="ACM357" s="243"/>
      <c r="ACN357" s="243"/>
      <c r="ACO357" s="243"/>
      <c r="ACP357" s="243"/>
      <c r="ACQ357" s="243"/>
      <c r="ACR357" s="243"/>
      <c r="ACS357" s="243"/>
      <c r="ACT357" s="243"/>
      <c r="ACU357" s="243"/>
      <c r="ACV357" s="243"/>
      <c r="ACW357" s="243"/>
      <c r="ACX357" s="243"/>
      <c r="ACY357" s="243"/>
      <c r="ACZ357" s="243"/>
      <c r="ADA357" s="243"/>
      <c r="ADB357" s="243"/>
      <c r="ADC357" s="243"/>
      <c r="ADD357" s="243"/>
      <c r="ADE357" s="243"/>
      <c r="ADF357" s="243"/>
      <c r="ADG357" s="243"/>
      <c r="ADH357" s="243"/>
      <c r="ADI357" s="243"/>
      <c r="ADJ357" s="243"/>
      <c r="ADK357" s="243"/>
      <c r="ADL357" s="243"/>
      <c r="ADM357" s="243"/>
      <c r="ADN357" s="243"/>
      <c r="ADO357" s="243"/>
      <c r="ADP357" s="243"/>
      <c r="ADQ357" s="243"/>
      <c r="ADR357" s="243"/>
      <c r="ADS357" s="243"/>
      <c r="ADT357" s="243"/>
      <c r="ADU357" s="243"/>
      <c r="ADV357" s="243"/>
      <c r="ADW357" s="243"/>
      <c r="ADX357" s="243"/>
      <c r="ADY357" s="243"/>
      <c r="ADZ357" s="243"/>
      <c r="AEA357" s="243"/>
      <c r="AEB357" s="243"/>
      <c r="AEC357" s="243"/>
      <c r="AED357" s="243"/>
      <c r="AEE357" s="243"/>
      <c r="AEF357" s="243"/>
      <c r="AEG357" s="243"/>
      <c r="AEH357" s="243"/>
      <c r="AEI357" s="243"/>
      <c r="AEJ357" s="243"/>
      <c r="AEK357" s="243"/>
      <c r="AEL357" s="243"/>
      <c r="AEM357" s="243"/>
      <c r="AEN357" s="243"/>
      <c r="AEO357" s="243"/>
      <c r="AEP357" s="243"/>
      <c r="AEQ357" s="243"/>
      <c r="AER357" s="243"/>
      <c r="AES357" s="243"/>
      <c r="AET357" s="243"/>
      <c r="AEU357" s="243"/>
      <c r="AEV357" s="243"/>
      <c r="AEW357" s="243"/>
      <c r="AEX357" s="243"/>
      <c r="AEY357" s="243"/>
      <c r="AEZ357" s="243"/>
      <c r="AFA357" s="243"/>
      <c r="AFB357" s="243"/>
      <c r="AFC357" s="243"/>
      <c r="AFD357" s="243"/>
      <c r="AFE357" s="243"/>
      <c r="AFF357" s="243"/>
      <c r="AFG357" s="243"/>
      <c r="AFH357" s="243"/>
      <c r="AFI357" s="243"/>
      <c r="AFJ357" s="243"/>
      <c r="AFK357" s="243"/>
      <c r="AFL357" s="243"/>
      <c r="AFM357" s="243"/>
      <c r="AFN357" s="243"/>
      <c r="AFO357" s="243"/>
      <c r="AFP357" s="243"/>
      <c r="AFQ357" s="243"/>
      <c r="AFR357" s="243"/>
      <c r="AFS357" s="243"/>
      <c r="AFT357" s="243"/>
      <c r="AFU357" s="243"/>
      <c r="AFV357" s="243"/>
      <c r="AFW357" s="243"/>
      <c r="AFX357" s="243"/>
      <c r="AFY357" s="243"/>
      <c r="AFZ357" s="243"/>
      <c r="AGA357" s="243"/>
      <c r="AGB357" s="243"/>
      <c r="AGC357" s="243"/>
      <c r="AGD357" s="243"/>
      <c r="AGE357" s="243"/>
      <c r="AGF357" s="243"/>
      <c r="AGG357" s="243"/>
      <c r="AGH357" s="243"/>
      <c r="AGI357" s="243"/>
      <c r="AGJ357" s="243"/>
      <c r="AGK357" s="243"/>
      <c r="AGL357" s="243"/>
      <c r="AGM357" s="243"/>
      <c r="AGN357" s="243"/>
      <c r="AGO357" s="243"/>
      <c r="AGP357" s="243"/>
      <c r="AGQ357" s="243"/>
      <c r="AGR357" s="243"/>
      <c r="AGS357" s="243"/>
      <c r="AGT357" s="243"/>
      <c r="AGU357" s="243"/>
      <c r="AGV357" s="243"/>
      <c r="AGW357" s="243"/>
      <c r="AGX357" s="243"/>
      <c r="AGY357" s="243"/>
      <c r="AGZ357" s="243"/>
      <c r="AHA357" s="243"/>
      <c r="AHB357" s="243"/>
      <c r="AHC357" s="243"/>
      <c r="AHD357" s="243"/>
      <c r="AHE357" s="243"/>
      <c r="AHF357" s="243"/>
      <c r="AHG357" s="243"/>
      <c r="AHH357" s="243"/>
      <c r="AHI357" s="243"/>
      <c r="AHJ357" s="243"/>
      <c r="AHK357" s="243"/>
      <c r="AHL357" s="243"/>
      <c r="AHM357" s="243"/>
      <c r="AHN357" s="243"/>
      <c r="AHO357" s="243"/>
      <c r="AHP357" s="243"/>
      <c r="AHQ357" s="243"/>
      <c r="AHR357" s="243"/>
      <c r="AHS357" s="243"/>
      <c r="AHT357" s="243"/>
      <c r="AHU357" s="243"/>
      <c r="AHV357" s="243"/>
      <c r="AHW357" s="243"/>
      <c r="AHX357" s="243"/>
      <c r="AHY357" s="243"/>
      <c r="AHZ357" s="243"/>
      <c r="AIA357" s="243"/>
      <c r="AIB357" s="243"/>
      <c r="AIC357" s="243"/>
      <c r="AID357" s="243"/>
      <c r="AIE357" s="243"/>
      <c r="AIF357" s="243"/>
      <c r="AIG357" s="243"/>
      <c r="AIH357" s="243"/>
      <c r="AII357" s="243"/>
      <c r="AIJ357" s="243"/>
      <c r="AIK357" s="243"/>
      <c r="AIL357" s="243"/>
      <c r="AIM357" s="243"/>
      <c r="AIN357" s="243"/>
      <c r="AIO357" s="243"/>
      <c r="AIP357" s="243"/>
      <c r="AIQ357" s="243"/>
      <c r="AIR357" s="243"/>
      <c r="AIS357" s="243"/>
      <c r="AIT357" s="243"/>
      <c r="AIU357" s="243"/>
      <c r="AIV357" s="243"/>
      <c r="AIW357" s="243"/>
      <c r="AIX357" s="243"/>
      <c r="AIY357" s="243"/>
      <c r="AIZ357" s="243"/>
      <c r="AJA357" s="243"/>
      <c r="AJB357" s="243"/>
      <c r="AJC357" s="243"/>
      <c r="AJD357" s="243"/>
      <c r="AJE357" s="243"/>
      <c r="AJF357" s="243"/>
      <c r="AJG357" s="243"/>
      <c r="AJH357" s="243"/>
      <c r="AJI357" s="243"/>
      <c r="AJJ357" s="243"/>
      <c r="AJK357" s="243"/>
      <c r="AJL357" s="243"/>
      <c r="AJM357" s="243"/>
      <c r="AJN357" s="243"/>
      <c r="AJO357" s="243"/>
      <c r="AJP357" s="243"/>
      <c r="AJQ357" s="243"/>
      <c r="AJR357" s="243"/>
      <c r="AJS357" s="243"/>
      <c r="AJT357" s="243"/>
      <c r="AJU357" s="243"/>
      <c r="AJV357" s="243"/>
      <c r="AJW357" s="243"/>
      <c r="AJX357" s="243"/>
      <c r="AJY357" s="243"/>
      <c r="AJZ357" s="243"/>
      <c r="AKA357" s="243"/>
      <c r="AKB357" s="243"/>
      <c r="AKC357" s="243"/>
      <c r="AKD357" s="243"/>
      <c r="AKE357" s="243"/>
      <c r="AKF357" s="243"/>
      <c r="AKG357" s="243"/>
      <c r="AKH357" s="243"/>
      <c r="AKI357" s="243"/>
      <c r="AKJ357" s="243"/>
      <c r="AKK357" s="243"/>
      <c r="AKL357" s="243"/>
      <c r="AKM357" s="243"/>
      <c r="AKN357" s="243"/>
      <c r="AKO357" s="243"/>
      <c r="AKP357" s="243"/>
      <c r="AKQ357" s="243"/>
      <c r="AKR357" s="243"/>
      <c r="AKS357" s="243"/>
      <c r="AKT357" s="243"/>
      <c r="AKU357" s="243"/>
      <c r="AKV357" s="243"/>
      <c r="AKW357" s="243"/>
      <c r="AKX357" s="243"/>
      <c r="AKY357" s="243"/>
      <c r="AKZ357" s="243"/>
      <c r="ALA357" s="243"/>
      <c r="ALB357" s="243"/>
      <c r="ALC357" s="243"/>
      <c r="ALD357" s="243"/>
      <c r="ALE357" s="243"/>
      <c r="ALF357" s="243"/>
      <c r="ALG357" s="243"/>
      <c r="ALH357" s="243"/>
      <c r="ALI357" s="243"/>
      <c r="ALJ357" s="243"/>
      <c r="ALK357" s="243"/>
      <c r="ALL357" s="243"/>
      <c r="ALM357" s="243"/>
      <c r="ALN357" s="243"/>
      <c r="ALO357" s="243"/>
      <c r="ALP357" s="243"/>
      <c r="ALQ357" s="243"/>
      <c r="ALR357" s="243"/>
      <c r="ALS357" s="243"/>
      <c r="ALT357" s="243"/>
      <c r="ALU357" s="243"/>
      <c r="ALV357" s="243"/>
      <c r="ALW357" s="243"/>
      <c r="ALX357" s="243"/>
      <c r="ALY357" s="243"/>
      <c r="ALZ357" s="243"/>
      <c r="AMA357" s="243"/>
      <c r="AMB357" s="243"/>
      <c r="AMC357" s="243"/>
      <c r="AMD357" s="243"/>
      <c r="AME357" s="243"/>
      <c r="AMF357" s="243"/>
      <c r="AMG357" s="243"/>
      <c r="AMH357" s="243"/>
      <c r="AMI357" s="244"/>
      <c r="AMJ357" s="244"/>
    </row>
    <row r="358" spans="1:1024">
      <c r="A358" s="906"/>
      <c r="B358" s="661">
        <v>14559</v>
      </c>
      <c r="C358" s="619">
        <v>0.08</v>
      </c>
      <c r="D358" s="542" t="s">
        <v>248</v>
      </c>
      <c r="E358" s="620">
        <v>2600000</v>
      </c>
      <c r="F358" s="543">
        <v>0.08</v>
      </c>
      <c r="G358" s="364">
        <f t="shared" si="14"/>
        <v>208000</v>
      </c>
      <c r="H358" s="599" t="s">
        <v>202</v>
      </c>
      <c r="I358" s="523"/>
      <c r="J358" s="635"/>
      <c r="K358" s="604"/>
      <c r="L358" s="633"/>
      <c r="M358" s="622"/>
      <c r="N358" s="647"/>
      <c r="O358" s="648"/>
      <c r="P358" s="649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  <c r="AH358" s="243"/>
      <c r="AI358" s="243"/>
      <c r="AJ358" s="243"/>
      <c r="AK358" s="243"/>
      <c r="AL358" s="243"/>
      <c r="AM358" s="243"/>
      <c r="AN358" s="243"/>
      <c r="AO358" s="243"/>
      <c r="AP358" s="243"/>
      <c r="AQ358" s="243"/>
      <c r="AR358" s="243"/>
      <c r="AS358" s="243"/>
      <c r="AT358" s="243"/>
      <c r="AU358" s="243"/>
      <c r="AV358" s="243"/>
      <c r="AW358" s="243"/>
      <c r="AX358" s="243"/>
      <c r="AY358" s="243"/>
      <c r="AZ358" s="243"/>
      <c r="BA358" s="243"/>
      <c r="BB358" s="243"/>
      <c r="BC358" s="243"/>
      <c r="BD358" s="243"/>
      <c r="BE358" s="243"/>
      <c r="BF358" s="243"/>
      <c r="BG358" s="243"/>
      <c r="BH358" s="243"/>
      <c r="BI358" s="243"/>
      <c r="BJ358" s="243"/>
      <c r="BK358" s="243"/>
      <c r="BL358" s="243"/>
      <c r="BM358" s="243"/>
      <c r="BN358" s="243"/>
      <c r="BO358" s="243"/>
      <c r="BP358" s="243"/>
      <c r="BQ358" s="243"/>
      <c r="BR358" s="243"/>
      <c r="BS358" s="243"/>
      <c r="BT358" s="243"/>
      <c r="BU358" s="243"/>
      <c r="BV358" s="243"/>
      <c r="BW358" s="243"/>
      <c r="BX358" s="243"/>
      <c r="BY358" s="243"/>
      <c r="BZ358" s="243"/>
      <c r="CA358" s="243"/>
      <c r="CB358" s="243"/>
      <c r="CC358" s="243"/>
      <c r="CD358" s="243"/>
      <c r="CE358" s="243"/>
      <c r="CF358" s="243"/>
      <c r="CG358" s="243"/>
      <c r="CH358" s="243"/>
      <c r="CI358" s="243"/>
      <c r="CJ358" s="243"/>
      <c r="CK358" s="243"/>
      <c r="CL358" s="243"/>
      <c r="CM358" s="243"/>
      <c r="CN358" s="243"/>
      <c r="CO358" s="243"/>
      <c r="CP358" s="243"/>
      <c r="CQ358" s="243"/>
      <c r="CR358" s="243"/>
      <c r="CS358" s="243"/>
      <c r="CT358" s="243"/>
      <c r="CU358" s="243"/>
      <c r="CV358" s="243"/>
      <c r="CW358" s="243"/>
      <c r="CX358" s="243"/>
      <c r="CY358" s="243"/>
      <c r="CZ358" s="243"/>
      <c r="DA358" s="243"/>
      <c r="DB358" s="243"/>
      <c r="DC358" s="243"/>
      <c r="DD358" s="243"/>
      <c r="DE358" s="243"/>
      <c r="DF358" s="243"/>
      <c r="DG358" s="243"/>
      <c r="DH358" s="243"/>
      <c r="DI358" s="243"/>
      <c r="DJ358" s="243"/>
      <c r="DK358" s="243"/>
      <c r="DL358" s="243"/>
      <c r="DM358" s="243"/>
      <c r="DN358" s="243"/>
      <c r="DO358" s="243"/>
      <c r="DP358" s="243"/>
      <c r="DQ358" s="243"/>
      <c r="DR358" s="243"/>
      <c r="DS358" s="243"/>
      <c r="DT358" s="243"/>
      <c r="DU358" s="243"/>
      <c r="DV358" s="243"/>
      <c r="DW358" s="243"/>
      <c r="DX358" s="243"/>
      <c r="DY358" s="243"/>
      <c r="DZ358" s="243"/>
      <c r="EA358" s="243"/>
      <c r="EB358" s="243"/>
      <c r="EC358" s="243"/>
      <c r="ED358" s="243"/>
      <c r="EE358" s="243"/>
      <c r="EF358" s="243"/>
      <c r="EG358" s="243"/>
      <c r="EH358" s="243"/>
      <c r="EI358" s="243"/>
      <c r="EJ358" s="243"/>
      <c r="EK358" s="243"/>
      <c r="EL358" s="243"/>
      <c r="EM358" s="243"/>
      <c r="EN358" s="243"/>
      <c r="EO358" s="243"/>
      <c r="EP358" s="243"/>
      <c r="EQ358" s="243"/>
      <c r="ER358" s="243"/>
      <c r="ES358" s="243"/>
      <c r="ET358" s="243"/>
      <c r="EU358" s="243"/>
      <c r="EV358" s="243"/>
      <c r="EW358" s="243"/>
      <c r="EX358" s="243"/>
      <c r="EY358" s="243"/>
      <c r="EZ358" s="243"/>
      <c r="FA358" s="243"/>
      <c r="FB358" s="243"/>
      <c r="FC358" s="243"/>
      <c r="FD358" s="243"/>
      <c r="FE358" s="243"/>
      <c r="FF358" s="243"/>
      <c r="FG358" s="243"/>
      <c r="FH358" s="243"/>
      <c r="FI358" s="243"/>
      <c r="FJ358" s="243"/>
      <c r="FK358" s="243"/>
      <c r="FL358" s="243"/>
      <c r="FM358" s="243"/>
      <c r="FN358" s="243"/>
      <c r="FO358" s="243"/>
      <c r="FP358" s="243"/>
      <c r="FQ358" s="243"/>
      <c r="FR358" s="243"/>
      <c r="FS358" s="243"/>
      <c r="FT358" s="243"/>
      <c r="FU358" s="243"/>
      <c r="FV358" s="243"/>
      <c r="FW358" s="243"/>
      <c r="FX358" s="243"/>
      <c r="FY358" s="243"/>
      <c r="FZ358" s="243"/>
      <c r="GA358" s="243"/>
      <c r="GB358" s="243"/>
      <c r="GC358" s="243"/>
      <c r="GD358" s="243"/>
      <c r="GE358" s="243"/>
      <c r="GF358" s="243"/>
      <c r="GG358" s="243"/>
      <c r="GH358" s="243"/>
      <c r="GI358" s="243"/>
      <c r="GJ358" s="243"/>
      <c r="GK358" s="243"/>
      <c r="GL358" s="243"/>
      <c r="GM358" s="243"/>
      <c r="GN358" s="243"/>
      <c r="GO358" s="243"/>
      <c r="GP358" s="243"/>
      <c r="GQ358" s="243"/>
      <c r="GR358" s="243"/>
      <c r="GS358" s="243"/>
      <c r="GT358" s="243"/>
      <c r="GU358" s="243"/>
      <c r="GV358" s="243"/>
      <c r="GW358" s="243"/>
      <c r="GX358" s="243"/>
      <c r="GY358" s="243"/>
      <c r="GZ358" s="243"/>
      <c r="HA358" s="243"/>
      <c r="HB358" s="243"/>
      <c r="HC358" s="243"/>
      <c r="HD358" s="243"/>
      <c r="HE358" s="243"/>
      <c r="HF358" s="243"/>
      <c r="HG358" s="243"/>
      <c r="HH358" s="243"/>
      <c r="HI358" s="243"/>
      <c r="HJ358" s="243"/>
      <c r="HK358" s="243"/>
      <c r="HL358" s="243"/>
      <c r="HM358" s="243"/>
      <c r="HN358" s="243"/>
      <c r="HO358" s="243"/>
      <c r="HP358" s="243"/>
      <c r="HQ358" s="243"/>
      <c r="HR358" s="243"/>
      <c r="HS358" s="243"/>
      <c r="HT358" s="243"/>
      <c r="HU358" s="243"/>
      <c r="HV358" s="243"/>
      <c r="HW358" s="243"/>
      <c r="HX358" s="243"/>
      <c r="HY358" s="243"/>
      <c r="HZ358" s="243"/>
      <c r="IA358" s="243"/>
      <c r="IB358" s="243"/>
      <c r="IC358" s="243"/>
      <c r="ID358" s="243"/>
      <c r="IE358" s="243"/>
      <c r="IF358" s="243"/>
      <c r="IG358" s="243"/>
      <c r="IH358" s="243"/>
      <c r="II358" s="243"/>
      <c r="IJ358" s="243"/>
      <c r="IK358" s="243"/>
      <c r="IL358" s="243"/>
      <c r="IM358" s="243"/>
      <c r="IN358" s="243"/>
      <c r="IO358" s="243"/>
      <c r="IP358" s="243"/>
      <c r="IQ358" s="243"/>
      <c r="IR358" s="243"/>
      <c r="IS358" s="243"/>
      <c r="IT358" s="243"/>
      <c r="IU358" s="243"/>
      <c r="IV358" s="243"/>
      <c r="IW358" s="243"/>
      <c r="IX358" s="243"/>
      <c r="IY358" s="243"/>
      <c r="IZ358" s="243"/>
      <c r="JA358" s="243"/>
      <c r="JB358" s="243"/>
      <c r="JC358" s="243"/>
      <c r="JD358" s="243"/>
      <c r="JE358" s="243"/>
      <c r="JF358" s="243"/>
      <c r="JG358" s="243"/>
      <c r="JH358" s="243"/>
      <c r="JI358" s="243"/>
      <c r="JJ358" s="243"/>
      <c r="JK358" s="243"/>
      <c r="JL358" s="243"/>
      <c r="JM358" s="243"/>
      <c r="JN358" s="243"/>
      <c r="JO358" s="243"/>
      <c r="JP358" s="243"/>
      <c r="JQ358" s="243"/>
      <c r="JR358" s="243"/>
      <c r="JS358" s="243"/>
      <c r="JT358" s="243"/>
      <c r="JU358" s="243"/>
      <c r="JV358" s="243"/>
      <c r="JW358" s="243"/>
      <c r="JX358" s="243"/>
      <c r="JY358" s="243"/>
      <c r="JZ358" s="243"/>
      <c r="KA358" s="243"/>
      <c r="KB358" s="243"/>
      <c r="KC358" s="243"/>
      <c r="KD358" s="243"/>
      <c r="KE358" s="243"/>
      <c r="KF358" s="243"/>
      <c r="KG358" s="243"/>
      <c r="KH358" s="243"/>
      <c r="KI358" s="243"/>
      <c r="KJ358" s="243"/>
      <c r="KK358" s="243"/>
      <c r="KL358" s="243"/>
      <c r="KM358" s="243"/>
      <c r="KN358" s="243"/>
      <c r="KO358" s="243"/>
      <c r="KP358" s="243"/>
      <c r="KQ358" s="243"/>
      <c r="KR358" s="243"/>
      <c r="KS358" s="243"/>
      <c r="KT358" s="243"/>
      <c r="KU358" s="243"/>
      <c r="KV358" s="243"/>
      <c r="KW358" s="243"/>
      <c r="KX358" s="243"/>
      <c r="KY358" s="243"/>
      <c r="KZ358" s="243"/>
      <c r="LA358" s="243"/>
      <c r="LB358" s="243"/>
      <c r="LC358" s="243"/>
      <c r="LD358" s="243"/>
      <c r="LE358" s="243"/>
      <c r="LF358" s="243"/>
      <c r="LG358" s="243"/>
      <c r="LH358" s="243"/>
      <c r="LI358" s="243"/>
      <c r="LJ358" s="243"/>
      <c r="LK358" s="243"/>
      <c r="LL358" s="243"/>
      <c r="LM358" s="243"/>
      <c r="LN358" s="243"/>
      <c r="LO358" s="243"/>
      <c r="LP358" s="243"/>
      <c r="LQ358" s="243"/>
      <c r="LR358" s="243"/>
      <c r="LS358" s="243"/>
      <c r="LT358" s="243"/>
      <c r="LU358" s="243"/>
      <c r="LV358" s="243"/>
      <c r="LW358" s="243"/>
      <c r="LX358" s="243"/>
      <c r="LY358" s="243"/>
      <c r="LZ358" s="243"/>
      <c r="MA358" s="243"/>
      <c r="MB358" s="243"/>
      <c r="MC358" s="243"/>
      <c r="MD358" s="243"/>
      <c r="ME358" s="243"/>
      <c r="MF358" s="243"/>
      <c r="MG358" s="243"/>
      <c r="MH358" s="243"/>
      <c r="MI358" s="243"/>
      <c r="MJ358" s="243"/>
      <c r="MK358" s="243"/>
      <c r="ML358" s="243"/>
      <c r="MM358" s="243"/>
      <c r="MN358" s="243"/>
      <c r="MO358" s="243"/>
      <c r="MP358" s="243"/>
      <c r="MQ358" s="243"/>
      <c r="MR358" s="243"/>
      <c r="MS358" s="243"/>
      <c r="MT358" s="243"/>
      <c r="MU358" s="243"/>
      <c r="MV358" s="243"/>
      <c r="MW358" s="243"/>
      <c r="MX358" s="243"/>
      <c r="MY358" s="243"/>
      <c r="MZ358" s="243"/>
      <c r="NA358" s="243"/>
      <c r="NB358" s="243"/>
      <c r="NC358" s="243"/>
      <c r="ND358" s="243"/>
      <c r="NE358" s="243"/>
      <c r="NF358" s="243"/>
      <c r="NG358" s="243"/>
      <c r="NH358" s="243"/>
      <c r="NI358" s="243"/>
      <c r="NJ358" s="243"/>
      <c r="NK358" s="243"/>
      <c r="NL358" s="243"/>
      <c r="NM358" s="243"/>
      <c r="NN358" s="243"/>
      <c r="NO358" s="243"/>
      <c r="NP358" s="243"/>
      <c r="NQ358" s="243"/>
      <c r="NR358" s="243"/>
      <c r="NS358" s="243"/>
      <c r="NT358" s="243"/>
      <c r="NU358" s="243"/>
      <c r="NV358" s="243"/>
      <c r="NW358" s="243"/>
      <c r="NX358" s="243"/>
      <c r="NY358" s="243"/>
      <c r="NZ358" s="243"/>
      <c r="OA358" s="243"/>
      <c r="OB358" s="243"/>
      <c r="OC358" s="243"/>
      <c r="OD358" s="243"/>
      <c r="OE358" s="243"/>
      <c r="OF358" s="243"/>
      <c r="OG358" s="243"/>
      <c r="OH358" s="243"/>
      <c r="OI358" s="243"/>
      <c r="OJ358" s="243"/>
      <c r="OK358" s="243"/>
      <c r="OL358" s="243"/>
      <c r="OM358" s="243"/>
      <c r="ON358" s="243"/>
      <c r="OO358" s="243"/>
      <c r="OP358" s="243"/>
      <c r="OQ358" s="243"/>
      <c r="OR358" s="243"/>
      <c r="OS358" s="243"/>
      <c r="OT358" s="243"/>
      <c r="OU358" s="243"/>
      <c r="OV358" s="243"/>
      <c r="OW358" s="243"/>
      <c r="OX358" s="243"/>
      <c r="OY358" s="243"/>
      <c r="OZ358" s="243"/>
      <c r="PA358" s="243"/>
      <c r="PB358" s="243"/>
      <c r="PC358" s="243"/>
      <c r="PD358" s="243"/>
      <c r="PE358" s="243"/>
      <c r="PF358" s="243"/>
      <c r="PG358" s="243"/>
      <c r="PH358" s="243"/>
      <c r="PI358" s="243"/>
      <c r="PJ358" s="243"/>
      <c r="PK358" s="243"/>
      <c r="PL358" s="243"/>
      <c r="PM358" s="243"/>
      <c r="PN358" s="243"/>
      <c r="PO358" s="243"/>
      <c r="PP358" s="243"/>
      <c r="PQ358" s="243"/>
      <c r="PR358" s="243"/>
      <c r="PS358" s="243"/>
      <c r="PT358" s="243"/>
      <c r="PU358" s="243"/>
      <c r="PV358" s="243"/>
      <c r="PW358" s="243"/>
      <c r="PX358" s="243"/>
      <c r="PY358" s="243"/>
      <c r="PZ358" s="243"/>
      <c r="QA358" s="243"/>
      <c r="QB358" s="243"/>
      <c r="QC358" s="243"/>
      <c r="QD358" s="243"/>
      <c r="QE358" s="243"/>
      <c r="QF358" s="243"/>
      <c r="QG358" s="243"/>
      <c r="QH358" s="243"/>
      <c r="QI358" s="243"/>
      <c r="QJ358" s="243"/>
      <c r="QK358" s="243"/>
      <c r="QL358" s="243"/>
      <c r="QM358" s="243"/>
      <c r="QN358" s="243"/>
      <c r="QO358" s="243"/>
      <c r="QP358" s="243"/>
      <c r="QQ358" s="243"/>
      <c r="QR358" s="243"/>
      <c r="QS358" s="243"/>
      <c r="QT358" s="243"/>
      <c r="QU358" s="243"/>
      <c r="QV358" s="243"/>
      <c r="QW358" s="243"/>
      <c r="QX358" s="243"/>
      <c r="QY358" s="243"/>
      <c r="QZ358" s="243"/>
      <c r="RA358" s="243"/>
      <c r="RB358" s="243"/>
      <c r="RC358" s="243"/>
      <c r="RD358" s="243"/>
      <c r="RE358" s="243"/>
      <c r="RF358" s="243"/>
      <c r="RG358" s="243"/>
      <c r="RH358" s="243"/>
      <c r="RI358" s="243"/>
      <c r="RJ358" s="243"/>
      <c r="RK358" s="243"/>
      <c r="RL358" s="243"/>
      <c r="RM358" s="243"/>
      <c r="RN358" s="243"/>
      <c r="RO358" s="243"/>
      <c r="RP358" s="243"/>
      <c r="RQ358" s="243"/>
      <c r="RR358" s="243"/>
      <c r="RS358" s="243"/>
      <c r="RT358" s="243"/>
      <c r="RU358" s="243"/>
      <c r="RV358" s="243"/>
      <c r="RW358" s="243"/>
      <c r="RX358" s="243"/>
      <c r="RY358" s="243"/>
      <c r="RZ358" s="243"/>
      <c r="SA358" s="243"/>
      <c r="SB358" s="243"/>
      <c r="SC358" s="243"/>
      <c r="SD358" s="243"/>
      <c r="SE358" s="243"/>
      <c r="SF358" s="243"/>
      <c r="SG358" s="243"/>
      <c r="SH358" s="243"/>
      <c r="SI358" s="243"/>
      <c r="SJ358" s="243"/>
      <c r="SK358" s="243"/>
      <c r="SL358" s="243"/>
      <c r="SM358" s="243"/>
      <c r="SN358" s="243"/>
      <c r="SO358" s="243"/>
      <c r="SP358" s="243"/>
      <c r="SQ358" s="243"/>
      <c r="SR358" s="243"/>
      <c r="SS358" s="243"/>
      <c r="ST358" s="243"/>
      <c r="SU358" s="243"/>
      <c r="SV358" s="243"/>
      <c r="SW358" s="243"/>
      <c r="SX358" s="243"/>
      <c r="SY358" s="243"/>
      <c r="SZ358" s="243"/>
      <c r="TA358" s="243"/>
      <c r="TB358" s="243"/>
      <c r="TC358" s="243"/>
      <c r="TD358" s="243"/>
      <c r="TE358" s="243"/>
      <c r="TF358" s="243"/>
      <c r="TG358" s="243"/>
      <c r="TH358" s="243"/>
      <c r="TI358" s="243"/>
      <c r="TJ358" s="243"/>
      <c r="TK358" s="243"/>
      <c r="TL358" s="243"/>
      <c r="TM358" s="243"/>
      <c r="TN358" s="243"/>
      <c r="TO358" s="243"/>
      <c r="TP358" s="243"/>
      <c r="TQ358" s="243"/>
      <c r="TR358" s="243"/>
      <c r="TS358" s="243"/>
      <c r="TT358" s="243"/>
      <c r="TU358" s="243"/>
      <c r="TV358" s="243"/>
      <c r="TW358" s="243"/>
      <c r="TX358" s="243"/>
      <c r="TY358" s="243"/>
      <c r="TZ358" s="243"/>
      <c r="UA358" s="243"/>
      <c r="UB358" s="243"/>
      <c r="UC358" s="243"/>
      <c r="UD358" s="243"/>
      <c r="UE358" s="243"/>
      <c r="UF358" s="243"/>
      <c r="UG358" s="243"/>
      <c r="UH358" s="243"/>
      <c r="UI358" s="243"/>
      <c r="UJ358" s="243"/>
      <c r="UK358" s="243"/>
      <c r="UL358" s="243"/>
      <c r="UM358" s="243"/>
      <c r="UN358" s="243"/>
      <c r="UO358" s="243"/>
      <c r="UP358" s="243"/>
      <c r="UQ358" s="243"/>
      <c r="UR358" s="243"/>
      <c r="US358" s="243"/>
      <c r="UT358" s="243"/>
      <c r="UU358" s="243"/>
      <c r="UV358" s="243"/>
      <c r="UW358" s="243"/>
      <c r="UX358" s="243"/>
      <c r="UY358" s="243"/>
      <c r="UZ358" s="243"/>
      <c r="VA358" s="243"/>
      <c r="VB358" s="243"/>
      <c r="VC358" s="243"/>
      <c r="VD358" s="243"/>
      <c r="VE358" s="243"/>
      <c r="VF358" s="243"/>
      <c r="VG358" s="243"/>
      <c r="VH358" s="243"/>
      <c r="VI358" s="243"/>
      <c r="VJ358" s="243"/>
      <c r="VK358" s="243"/>
      <c r="VL358" s="243"/>
      <c r="VM358" s="243"/>
      <c r="VN358" s="243"/>
      <c r="VO358" s="243"/>
      <c r="VP358" s="243"/>
      <c r="VQ358" s="243"/>
      <c r="VR358" s="243"/>
      <c r="VS358" s="243"/>
      <c r="VT358" s="243"/>
      <c r="VU358" s="243"/>
      <c r="VV358" s="243"/>
      <c r="VW358" s="243"/>
      <c r="VX358" s="243"/>
      <c r="VY358" s="243"/>
      <c r="VZ358" s="243"/>
      <c r="WA358" s="243"/>
      <c r="WB358" s="243"/>
      <c r="WC358" s="243"/>
      <c r="WD358" s="243"/>
      <c r="WE358" s="243"/>
      <c r="WF358" s="243"/>
      <c r="WG358" s="243"/>
      <c r="WH358" s="243"/>
      <c r="WI358" s="243"/>
      <c r="WJ358" s="243"/>
      <c r="WK358" s="243"/>
      <c r="WL358" s="243"/>
      <c r="WM358" s="243"/>
      <c r="WN358" s="243"/>
      <c r="WO358" s="243"/>
      <c r="WP358" s="243"/>
      <c r="WQ358" s="243"/>
      <c r="WR358" s="243"/>
      <c r="WS358" s="243"/>
      <c r="WT358" s="243"/>
      <c r="WU358" s="243"/>
      <c r="WV358" s="243"/>
      <c r="WW358" s="243"/>
      <c r="WX358" s="243"/>
      <c r="WY358" s="243"/>
      <c r="WZ358" s="243"/>
      <c r="XA358" s="243"/>
      <c r="XB358" s="243"/>
      <c r="XC358" s="243"/>
      <c r="XD358" s="243"/>
      <c r="XE358" s="243"/>
      <c r="XF358" s="243"/>
      <c r="XG358" s="243"/>
      <c r="XH358" s="243"/>
      <c r="XI358" s="243"/>
      <c r="XJ358" s="243"/>
      <c r="XK358" s="243"/>
      <c r="XL358" s="243"/>
      <c r="XM358" s="243"/>
      <c r="XN358" s="243"/>
      <c r="XO358" s="243"/>
      <c r="XP358" s="243"/>
      <c r="XQ358" s="243"/>
      <c r="XR358" s="243"/>
      <c r="XS358" s="243"/>
      <c r="XT358" s="243"/>
      <c r="XU358" s="243"/>
      <c r="XV358" s="243"/>
      <c r="XW358" s="243"/>
      <c r="XX358" s="243"/>
      <c r="XY358" s="243"/>
      <c r="XZ358" s="243"/>
      <c r="YA358" s="243"/>
      <c r="YB358" s="243"/>
      <c r="YC358" s="243"/>
      <c r="YD358" s="243"/>
      <c r="YE358" s="243"/>
      <c r="YF358" s="243"/>
      <c r="YG358" s="243"/>
      <c r="YH358" s="243"/>
      <c r="YI358" s="243"/>
      <c r="YJ358" s="243"/>
      <c r="YK358" s="243"/>
      <c r="YL358" s="243"/>
      <c r="YM358" s="243"/>
      <c r="YN358" s="243"/>
      <c r="YO358" s="243"/>
      <c r="YP358" s="243"/>
      <c r="YQ358" s="243"/>
      <c r="YR358" s="243"/>
      <c r="YS358" s="243"/>
      <c r="YT358" s="243"/>
      <c r="YU358" s="243"/>
      <c r="YV358" s="243"/>
      <c r="YW358" s="243"/>
      <c r="YX358" s="243"/>
      <c r="YY358" s="243"/>
      <c r="YZ358" s="243"/>
      <c r="ZA358" s="243"/>
      <c r="ZB358" s="243"/>
      <c r="ZC358" s="243"/>
      <c r="ZD358" s="243"/>
      <c r="ZE358" s="243"/>
      <c r="ZF358" s="243"/>
      <c r="ZG358" s="243"/>
      <c r="ZH358" s="243"/>
      <c r="ZI358" s="243"/>
      <c r="ZJ358" s="243"/>
      <c r="ZK358" s="243"/>
      <c r="ZL358" s="243"/>
      <c r="ZM358" s="243"/>
      <c r="ZN358" s="243"/>
      <c r="ZO358" s="243"/>
      <c r="ZP358" s="243"/>
      <c r="ZQ358" s="243"/>
      <c r="ZR358" s="243"/>
      <c r="ZS358" s="243"/>
      <c r="ZT358" s="243"/>
      <c r="ZU358" s="243"/>
      <c r="ZV358" s="243"/>
      <c r="ZW358" s="243"/>
      <c r="ZX358" s="243"/>
      <c r="ZY358" s="243"/>
      <c r="ZZ358" s="243"/>
      <c r="AAA358" s="243"/>
      <c r="AAB358" s="243"/>
      <c r="AAC358" s="243"/>
      <c r="AAD358" s="243"/>
      <c r="AAE358" s="243"/>
      <c r="AAF358" s="243"/>
      <c r="AAG358" s="243"/>
      <c r="AAH358" s="243"/>
      <c r="AAI358" s="243"/>
      <c r="AAJ358" s="243"/>
      <c r="AAK358" s="243"/>
      <c r="AAL358" s="243"/>
      <c r="AAM358" s="243"/>
      <c r="AAN358" s="243"/>
      <c r="AAO358" s="243"/>
      <c r="AAP358" s="243"/>
      <c r="AAQ358" s="243"/>
      <c r="AAR358" s="243"/>
      <c r="AAS358" s="243"/>
      <c r="AAT358" s="243"/>
      <c r="AAU358" s="243"/>
      <c r="AAV358" s="243"/>
      <c r="AAW358" s="243"/>
      <c r="AAX358" s="243"/>
      <c r="AAY358" s="243"/>
      <c r="AAZ358" s="243"/>
      <c r="ABA358" s="243"/>
      <c r="ABB358" s="243"/>
      <c r="ABC358" s="243"/>
      <c r="ABD358" s="243"/>
      <c r="ABE358" s="243"/>
      <c r="ABF358" s="243"/>
      <c r="ABG358" s="243"/>
      <c r="ABH358" s="243"/>
      <c r="ABI358" s="243"/>
      <c r="ABJ358" s="243"/>
      <c r="ABK358" s="243"/>
      <c r="ABL358" s="243"/>
      <c r="ABM358" s="243"/>
      <c r="ABN358" s="243"/>
      <c r="ABO358" s="243"/>
      <c r="ABP358" s="243"/>
      <c r="ABQ358" s="243"/>
      <c r="ABR358" s="243"/>
      <c r="ABS358" s="243"/>
      <c r="ABT358" s="243"/>
      <c r="ABU358" s="243"/>
      <c r="ABV358" s="243"/>
      <c r="ABW358" s="243"/>
      <c r="ABX358" s="243"/>
      <c r="ABY358" s="243"/>
      <c r="ABZ358" s="243"/>
      <c r="ACA358" s="243"/>
      <c r="ACB358" s="243"/>
      <c r="ACC358" s="243"/>
      <c r="ACD358" s="243"/>
      <c r="ACE358" s="243"/>
      <c r="ACF358" s="243"/>
      <c r="ACG358" s="243"/>
      <c r="ACH358" s="243"/>
      <c r="ACI358" s="243"/>
      <c r="ACJ358" s="243"/>
      <c r="ACK358" s="243"/>
      <c r="ACL358" s="243"/>
      <c r="ACM358" s="243"/>
      <c r="ACN358" s="243"/>
      <c r="ACO358" s="243"/>
      <c r="ACP358" s="243"/>
      <c r="ACQ358" s="243"/>
      <c r="ACR358" s="243"/>
      <c r="ACS358" s="243"/>
      <c r="ACT358" s="243"/>
      <c r="ACU358" s="243"/>
      <c r="ACV358" s="243"/>
      <c r="ACW358" s="243"/>
      <c r="ACX358" s="243"/>
      <c r="ACY358" s="243"/>
      <c r="ACZ358" s="243"/>
      <c r="ADA358" s="243"/>
      <c r="ADB358" s="243"/>
      <c r="ADC358" s="243"/>
      <c r="ADD358" s="243"/>
      <c r="ADE358" s="243"/>
      <c r="ADF358" s="243"/>
      <c r="ADG358" s="243"/>
      <c r="ADH358" s="243"/>
      <c r="ADI358" s="243"/>
      <c r="ADJ358" s="243"/>
      <c r="ADK358" s="243"/>
      <c r="ADL358" s="243"/>
      <c r="ADM358" s="243"/>
      <c r="ADN358" s="243"/>
      <c r="ADO358" s="243"/>
      <c r="ADP358" s="243"/>
      <c r="ADQ358" s="243"/>
      <c r="ADR358" s="243"/>
      <c r="ADS358" s="243"/>
      <c r="ADT358" s="243"/>
      <c r="ADU358" s="243"/>
      <c r="ADV358" s="243"/>
      <c r="ADW358" s="243"/>
      <c r="ADX358" s="243"/>
      <c r="ADY358" s="243"/>
      <c r="ADZ358" s="243"/>
      <c r="AEA358" s="243"/>
      <c r="AEB358" s="243"/>
      <c r="AEC358" s="243"/>
      <c r="AED358" s="243"/>
      <c r="AEE358" s="243"/>
      <c r="AEF358" s="243"/>
      <c r="AEG358" s="243"/>
      <c r="AEH358" s="243"/>
      <c r="AEI358" s="243"/>
      <c r="AEJ358" s="243"/>
      <c r="AEK358" s="243"/>
      <c r="AEL358" s="243"/>
      <c r="AEM358" s="243"/>
      <c r="AEN358" s="243"/>
      <c r="AEO358" s="243"/>
      <c r="AEP358" s="243"/>
      <c r="AEQ358" s="243"/>
      <c r="AER358" s="243"/>
      <c r="AES358" s="243"/>
      <c r="AET358" s="243"/>
      <c r="AEU358" s="243"/>
      <c r="AEV358" s="243"/>
      <c r="AEW358" s="243"/>
      <c r="AEX358" s="243"/>
      <c r="AEY358" s="243"/>
      <c r="AEZ358" s="243"/>
      <c r="AFA358" s="243"/>
      <c r="AFB358" s="243"/>
      <c r="AFC358" s="243"/>
      <c r="AFD358" s="243"/>
      <c r="AFE358" s="243"/>
      <c r="AFF358" s="243"/>
      <c r="AFG358" s="243"/>
      <c r="AFH358" s="243"/>
      <c r="AFI358" s="243"/>
      <c r="AFJ358" s="243"/>
      <c r="AFK358" s="243"/>
      <c r="AFL358" s="243"/>
      <c r="AFM358" s="243"/>
      <c r="AFN358" s="243"/>
      <c r="AFO358" s="243"/>
      <c r="AFP358" s="243"/>
      <c r="AFQ358" s="243"/>
      <c r="AFR358" s="243"/>
      <c r="AFS358" s="243"/>
      <c r="AFT358" s="243"/>
      <c r="AFU358" s="243"/>
      <c r="AFV358" s="243"/>
      <c r="AFW358" s="243"/>
      <c r="AFX358" s="243"/>
      <c r="AFY358" s="243"/>
      <c r="AFZ358" s="243"/>
      <c r="AGA358" s="243"/>
      <c r="AGB358" s="243"/>
      <c r="AGC358" s="243"/>
      <c r="AGD358" s="243"/>
      <c r="AGE358" s="243"/>
      <c r="AGF358" s="243"/>
      <c r="AGG358" s="243"/>
      <c r="AGH358" s="243"/>
      <c r="AGI358" s="243"/>
      <c r="AGJ358" s="243"/>
      <c r="AGK358" s="243"/>
      <c r="AGL358" s="243"/>
      <c r="AGM358" s="243"/>
      <c r="AGN358" s="243"/>
      <c r="AGO358" s="243"/>
      <c r="AGP358" s="243"/>
      <c r="AGQ358" s="243"/>
      <c r="AGR358" s="243"/>
      <c r="AGS358" s="243"/>
      <c r="AGT358" s="243"/>
      <c r="AGU358" s="243"/>
      <c r="AGV358" s="243"/>
      <c r="AGW358" s="243"/>
      <c r="AGX358" s="243"/>
      <c r="AGY358" s="243"/>
      <c r="AGZ358" s="243"/>
      <c r="AHA358" s="243"/>
      <c r="AHB358" s="243"/>
      <c r="AHC358" s="243"/>
      <c r="AHD358" s="243"/>
      <c r="AHE358" s="243"/>
      <c r="AHF358" s="243"/>
      <c r="AHG358" s="243"/>
      <c r="AHH358" s="243"/>
      <c r="AHI358" s="243"/>
      <c r="AHJ358" s="243"/>
      <c r="AHK358" s="243"/>
      <c r="AHL358" s="243"/>
      <c r="AHM358" s="243"/>
      <c r="AHN358" s="243"/>
      <c r="AHO358" s="243"/>
      <c r="AHP358" s="243"/>
      <c r="AHQ358" s="243"/>
      <c r="AHR358" s="243"/>
      <c r="AHS358" s="243"/>
      <c r="AHT358" s="243"/>
      <c r="AHU358" s="243"/>
      <c r="AHV358" s="243"/>
      <c r="AHW358" s="243"/>
      <c r="AHX358" s="243"/>
      <c r="AHY358" s="243"/>
      <c r="AHZ358" s="243"/>
      <c r="AIA358" s="243"/>
      <c r="AIB358" s="243"/>
      <c r="AIC358" s="243"/>
      <c r="AID358" s="243"/>
      <c r="AIE358" s="243"/>
      <c r="AIF358" s="243"/>
      <c r="AIG358" s="243"/>
      <c r="AIH358" s="243"/>
      <c r="AII358" s="243"/>
      <c r="AIJ358" s="243"/>
      <c r="AIK358" s="243"/>
      <c r="AIL358" s="243"/>
      <c r="AIM358" s="243"/>
      <c r="AIN358" s="243"/>
      <c r="AIO358" s="243"/>
      <c r="AIP358" s="243"/>
      <c r="AIQ358" s="243"/>
      <c r="AIR358" s="243"/>
      <c r="AIS358" s="243"/>
      <c r="AIT358" s="243"/>
      <c r="AIU358" s="243"/>
      <c r="AIV358" s="243"/>
      <c r="AIW358" s="243"/>
      <c r="AIX358" s="243"/>
      <c r="AIY358" s="243"/>
      <c r="AIZ358" s="243"/>
      <c r="AJA358" s="243"/>
      <c r="AJB358" s="243"/>
      <c r="AJC358" s="243"/>
      <c r="AJD358" s="243"/>
      <c r="AJE358" s="243"/>
      <c r="AJF358" s="243"/>
      <c r="AJG358" s="243"/>
      <c r="AJH358" s="243"/>
      <c r="AJI358" s="243"/>
      <c r="AJJ358" s="243"/>
      <c r="AJK358" s="243"/>
      <c r="AJL358" s="243"/>
      <c r="AJM358" s="243"/>
      <c r="AJN358" s="243"/>
      <c r="AJO358" s="243"/>
      <c r="AJP358" s="243"/>
      <c r="AJQ358" s="243"/>
      <c r="AJR358" s="243"/>
      <c r="AJS358" s="243"/>
      <c r="AJT358" s="243"/>
      <c r="AJU358" s="243"/>
      <c r="AJV358" s="243"/>
      <c r="AJW358" s="243"/>
      <c r="AJX358" s="243"/>
      <c r="AJY358" s="243"/>
      <c r="AJZ358" s="243"/>
      <c r="AKA358" s="243"/>
      <c r="AKB358" s="243"/>
      <c r="AKC358" s="243"/>
      <c r="AKD358" s="243"/>
      <c r="AKE358" s="243"/>
      <c r="AKF358" s="243"/>
      <c r="AKG358" s="243"/>
      <c r="AKH358" s="243"/>
      <c r="AKI358" s="243"/>
      <c r="AKJ358" s="243"/>
      <c r="AKK358" s="243"/>
      <c r="AKL358" s="243"/>
      <c r="AKM358" s="243"/>
      <c r="AKN358" s="243"/>
      <c r="AKO358" s="243"/>
      <c r="AKP358" s="243"/>
      <c r="AKQ358" s="243"/>
      <c r="AKR358" s="243"/>
      <c r="AKS358" s="243"/>
      <c r="AKT358" s="243"/>
      <c r="AKU358" s="243"/>
      <c r="AKV358" s="243"/>
      <c r="AKW358" s="243"/>
      <c r="AKX358" s="243"/>
      <c r="AKY358" s="243"/>
      <c r="AKZ358" s="243"/>
      <c r="ALA358" s="243"/>
      <c r="ALB358" s="243"/>
      <c r="ALC358" s="243"/>
      <c r="ALD358" s="243"/>
      <c r="ALE358" s="243"/>
      <c r="ALF358" s="243"/>
      <c r="ALG358" s="243"/>
      <c r="ALH358" s="243"/>
      <c r="ALI358" s="243"/>
      <c r="ALJ358" s="243"/>
      <c r="ALK358" s="243"/>
      <c r="ALL358" s="243"/>
      <c r="ALM358" s="243"/>
      <c r="ALN358" s="243"/>
      <c r="ALO358" s="243"/>
      <c r="ALP358" s="243"/>
      <c r="ALQ358" s="243"/>
      <c r="ALR358" s="243"/>
      <c r="ALS358" s="243"/>
      <c r="ALT358" s="243"/>
      <c r="ALU358" s="243"/>
      <c r="ALV358" s="243"/>
      <c r="ALW358" s="243"/>
      <c r="ALX358" s="243"/>
      <c r="ALY358" s="243"/>
      <c r="ALZ358" s="243"/>
      <c r="AMA358" s="243"/>
      <c r="AMB358" s="243"/>
      <c r="AMC358" s="243"/>
      <c r="AMD358" s="243"/>
      <c r="AME358" s="243"/>
      <c r="AMF358" s="243"/>
      <c r="AMG358" s="243"/>
      <c r="AMH358" s="243"/>
      <c r="AMI358" s="244"/>
      <c r="AMJ358" s="244"/>
    </row>
    <row r="359" spans="1:1024">
      <c r="A359" s="906"/>
      <c r="B359" s="661">
        <v>14597</v>
      </c>
      <c r="C359" s="619">
        <v>0.08</v>
      </c>
      <c r="D359" s="542" t="s">
        <v>249</v>
      </c>
      <c r="E359" s="620">
        <v>3000000</v>
      </c>
      <c r="F359" s="543">
        <v>0.08</v>
      </c>
      <c r="G359" s="364">
        <f t="shared" si="14"/>
        <v>240000</v>
      </c>
      <c r="H359" s="599" t="s">
        <v>202</v>
      </c>
      <c r="I359" s="523"/>
      <c r="J359" s="635"/>
      <c r="K359" s="604"/>
      <c r="L359" s="633"/>
      <c r="M359" s="622"/>
      <c r="N359" s="647"/>
      <c r="O359" s="648"/>
      <c r="P359" s="649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/>
      <c r="AD359" s="243"/>
      <c r="AE359" s="243"/>
      <c r="AF359" s="243"/>
      <c r="AG359" s="243"/>
      <c r="AH359" s="243"/>
      <c r="AI359" s="243"/>
      <c r="AJ359" s="243"/>
      <c r="AK359" s="243"/>
      <c r="AL359" s="243"/>
      <c r="AM359" s="243"/>
      <c r="AN359" s="243"/>
      <c r="AO359" s="243"/>
      <c r="AP359" s="243"/>
      <c r="AQ359" s="243"/>
      <c r="AR359" s="243"/>
      <c r="AS359" s="243"/>
      <c r="AT359" s="243"/>
      <c r="AU359" s="243"/>
      <c r="AV359" s="243"/>
      <c r="AW359" s="243"/>
      <c r="AX359" s="243"/>
      <c r="AY359" s="243"/>
      <c r="AZ359" s="243"/>
      <c r="BA359" s="243"/>
      <c r="BB359" s="243"/>
      <c r="BC359" s="243"/>
      <c r="BD359" s="243"/>
      <c r="BE359" s="243"/>
      <c r="BF359" s="243"/>
      <c r="BG359" s="243"/>
      <c r="BH359" s="243"/>
      <c r="BI359" s="243"/>
      <c r="BJ359" s="243"/>
      <c r="BK359" s="243"/>
      <c r="BL359" s="243"/>
      <c r="BM359" s="243"/>
      <c r="BN359" s="243"/>
      <c r="BO359" s="243"/>
      <c r="BP359" s="243"/>
      <c r="BQ359" s="243"/>
      <c r="BR359" s="243"/>
      <c r="BS359" s="243"/>
      <c r="BT359" s="243"/>
      <c r="BU359" s="243"/>
      <c r="BV359" s="243"/>
      <c r="BW359" s="243"/>
      <c r="BX359" s="243"/>
      <c r="BY359" s="243"/>
      <c r="BZ359" s="243"/>
      <c r="CA359" s="243"/>
      <c r="CB359" s="243"/>
      <c r="CC359" s="243"/>
      <c r="CD359" s="243"/>
      <c r="CE359" s="243"/>
      <c r="CF359" s="243"/>
      <c r="CG359" s="243"/>
      <c r="CH359" s="243"/>
      <c r="CI359" s="243"/>
      <c r="CJ359" s="243"/>
      <c r="CK359" s="243"/>
      <c r="CL359" s="243"/>
      <c r="CM359" s="243"/>
      <c r="CN359" s="243"/>
      <c r="CO359" s="243"/>
      <c r="CP359" s="243"/>
      <c r="CQ359" s="243"/>
      <c r="CR359" s="243"/>
      <c r="CS359" s="243"/>
      <c r="CT359" s="243"/>
      <c r="CU359" s="243"/>
      <c r="CV359" s="243"/>
      <c r="CW359" s="243"/>
      <c r="CX359" s="243"/>
      <c r="CY359" s="243"/>
      <c r="CZ359" s="243"/>
      <c r="DA359" s="243"/>
      <c r="DB359" s="243"/>
      <c r="DC359" s="243"/>
      <c r="DD359" s="243"/>
      <c r="DE359" s="243"/>
      <c r="DF359" s="243"/>
      <c r="DG359" s="243"/>
      <c r="DH359" s="243"/>
      <c r="DI359" s="243"/>
      <c r="DJ359" s="243"/>
      <c r="DK359" s="243"/>
      <c r="DL359" s="243"/>
      <c r="DM359" s="243"/>
      <c r="DN359" s="243"/>
      <c r="DO359" s="243"/>
      <c r="DP359" s="243"/>
      <c r="DQ359" s="243"/>
      <c r="DR359" s="243"/>
      <c r="DS359" s="243"/>
      <c r="DT359" s="243"/>
      <c r="DU359" s="243"/>
      <c r="DV359" s="243"/>
      <c r="DW359" s="243"/>
      <c r="DX359" s="243"/>
      <c r="DY359" s="243"/>
      <c r="DZ359" s="243"/>
      <c r="EA359" s="243"/>
      <c r="EB359" s="243"/>
      <c r="EC359" s="243"/>
      <c r="ED359" s="243"/>
      <c r="EE359" s="243"/>
      <c r="EF359" s="243"/>
      <c r="EG359" s="243"/>
      <c r="EH359" s="243"/>
      <c r="EI359" s="243"/>
      <c r="EJ359" s="243"/>
      <c r="EK359" s="243"/>
      <c r="EL359" s="243"/>
      <c r="EM359" s="243"/>
      <c r="EN359" s="243"/>
      <c r="EO359" s="243"/>
      <c r="EP359" s="243"/>
      <c r="EQ359" s="243"/>
      <c r="ER359" s="243"/>
      <c r="ES359" s="243"/>
      <c r="ET359" s="243"/>
      <c r="EU359" s="243"/>
      <c r="EV359" s="243"/>
      <c r="EW359" s="243"/>
      <c r="EX359" s="243"/>
      <c r="EY359" s="243"/>
      <c r="EZ359" s="243"/>
      <c r="FA359" s="243"/>
      <c r="FB359" s="243"/>
      <c r="FC359" s="243"/>
      <c r="FD359" s="243"/>
      <c r="FE359" s="243"/>
      <c r="FF359" s="243"/>
      <c r="FG359" s="243"/>
      <c r="FH359" s="243"/>
      <c r="FI359" s="243"/>
      <c r="FJ359" s="243"/>
      <c r="FK359" s="243"/>
      <c r="FL359" s="243"/>
      <c r="FM359" s="243"/>
      <c r="FN359" s="243"/>
      <c r="FO359" s="243"/>
      <c r="FP359" s="243"/>
      <c r="FQ359" s="243"/>
      <c r="FR359" s="243"/>
      <c r="FS359" s="243"/>
      <c r="FT359" s="243"/>
      <c r="FU359" s="243"/>
      <c r="FV359" s="243"/>
      <c r="FW359" s="243"/>
      <c r="FX359" s="243"/>
      <c r="FY359" s="243"/>
      <c r="FZ359" s="243"/>
      <c r="GA359" s="243"/>
      <c r="GB359" s="243"/>
      <c r="GC359" s="243"/>
      <c r="GD359" s="243"/>
      <c r="GE359" s="243"/>
      <c r="GF359" s="243"/>
      <c r="GG359" s="243"/>
      <c r="GH359" s="243"/>
      <c r="GI359" s="243"/>
      <c r="GJ359" s="243"/>
      <c r="GK359" s="243"/>
      <c r="GL359" s="243"/>
      <c r="GM359" s="243"/>
      <c r="GN359" s="243"/>
      <c r="GO359" s="243"/>
      <c r="GP359" s="243"/>
      <c r="GQ359" s="243"/>
      <c r="GR359" s="243"/>
      <c r="GS359" s="243"/>
      <c r="GT359" s="243"/>
      <c r="GU359" s="243"/>
      <c r="GV359" s="243"/>
      <c r="GW359" s="243"/>
      <c r="GX359" s="243"/>
      <c r="GY359" s="243"/>
      <c r="GZ359" s="243"/>
      <c r="HA359" s="243"/>
      <c r="HB359" s="243"/>
      <c r="HC359" s="243"/>
      <c r="HD359" s="243"/>
      <c r="HE359" s="243"/>
      <c r="HF359" s="243"/>
      <c r="HG359" s="243"/>
      <c r="HH359" s="243"/>
      <c r="HI359" s="243"/>
      <c r="HJ359" s="243"/>
      <c r="HK359" s="243"/>
      <c r="HL359" s="243"/>
      <c r="HM359" s="243"/>
      <c r="HN359" s="243"/>
      <c r="HO359" s="243"/>
      <c r="HP359" s="243"/>
      <c r="HQ359" s="243"/>
      <c r="HR359" s="243"/>
      <c r="HS359" s="243"/>
      <c r="HT359" s="243"/>
      <c r="HU359" s="243"/>
      <c r="HV359" s="243"/>
      <c r="HW359" s="243"/>
      <c r="HX359" s="243"/>
      <c r="HY359" s="243"/>
      <c r="HZ359" s="243"/>
      <c r="IA359" s="243"/>
      <c r="IB359" s="243"/>
      <c r="IC359" s="243"/>
      <c r="ID359" s="243"/>
      <c r="IE359" s="243"/>
      <c r="IF359" s="243"/>
      <c r="IG359" s="243"/>
      <c r="IH359" s="243"/>
      <c r="II359" s="243"/>
      <c r="IJ359" s="243"/>
      <c r="IK359" s="243"/>
      <c r="IL359" s="243"/>
      <c r="IM359" s="243"/>
      <c r="IN359" s="243"/>
      <c r="IO359" s="243"/>
      <c r="IP359" s="243"/>
      <c r="IQ359" s="243"/>
      <c r="IR359" s="243"/>
      <c r="IS359" s="243"/>
      <c r="IT359" s="243"/>
      <c r="IU359" s="243"/>
      <c r="IV359" s="243"/>
      <c r="IW359" s="243"/>
      <c r="IX359" s="243"/>
      <c r="IY359" s="243"/>
      <c r="IZ359" s="243"/>
      <c r="JA359" s="243"/>
      <c r="JB359" s="243"/>
      <c r="JC359" s="243"/>
      <c r="JD359" s="243"/>
      <c r="JE359" s="243"/>
      <c r="JF359" s="243"/>
      <c r="JG359" s="243"/>
      <c r="JH359" s="243"/>
      <c r="JI359" s="243"/>
      <c r="JJ359" s="243"/>
      <c r="JK359" s="243"/>
      <c r="JL359" s="243"/>
      <c r="JM359" s="243"/>
      <c r="JN359" s="243"/>
      <c r="JO359" s="243"/>
      <c r="JP359" s="243"/>
      <c r="JQ359" s="243"/>
      <c r="JR359" s="243"/>
      <c r="JS359" s="243"/>
      <c r="JT359" s="243"/>
      <c r="JU359" s="243"/>
      <c r="JV359" s="243"/>
      <c r="JW359" s="243"/>
      <c r="JX359" s="243"/>
      <c r="JY359" s="243"/>
      <c r="JZ359" s="243"/>
      <c r="KA359" s="243"/>
      <c r="KB359" s="243"/>
      <c r="KC359" s="243"/>
      <c r="KD359" s="243"/>
      <c r="KE359" s="243"/>
      <c r="KF359" s="243"/>
      <c r="KG359" s="243"/>
      <c r="KH359" s="243"/>
      <c r="KI359" s="243"/>
      <c r="KJ359" s="243"/>
      <c r="KK359" s="243"/>
      <c r="KL359" s="243"/>
      <c r="KM359" s="243"/>
      <c r="KN359" s="243"/>
      <c r="KO359" s="243"/>
      <c r="KP359" s="243"/>
      <c r="KQ359" s="243"/>
      <c r="KR359" s="243"/>
      <c r="KS359" s="243"/>
      <c r="KT359" s="243"/>
      <c r="KU359" s="243"/>
      <c r="KV359" s="243"/>
      <c r="KW359" s="243"/>
      <c r="KX359" s="243"/>
      <c r="KY359" s="243"/>
      <c r="KZ359" s="243"/>
      <c r="LA359" s="243"/>
      <c r="LB359" s="243"/>
      <c r="LC359" s="243"/>
      <c r="LD359" s="243"/>
      <c r="LE359" s="243"/>
      <c r="LF359" s="243"/>
      <c r="LG359" s="243"/>
      <c r="LH359" s="243"/>
      <c r="LI359" s="243"/>
      <c r="LJ359" s="243"/>
      <c r="LK359" s="243"/>
      <c r="LL359" s="243"/>
      <c r="LM359" s="243"/>
      <c r="LN359" s="243"/>
      <c r="LO359" s="243"/>
      <c r="LP359" s="243"/>
      <c r="LQ359" s="243"/>
      <c r="LR359" s="243"/>
      <c r="LS359" s="243"/>
      <c r="LT359" s="243"/>
      <c r="LU359" s="243"/>
      <c r="LV359" s="243"/>
      <c r="LW359" s="243"/>
      <c r="LX359" s="243"/>
      <c r="LY359" s="243"/>
      <c r="LZ359" s="243"/>
      <c r="MA359" s="243"/>
      <c r="MB359" s="243"/>
      <c r="MC359" s="243"/>
      <c r="MD359" s="243"/>
      <c r="ME359" s="243"/>
      <c r="MF359" s="243"/>
      <c r="MG359" s="243"/>
      <c r="MH359" s="243"/>
      <c r="MI359" s="243"/>
      <c r="MJ359" s="243"/>
      <c r="MK359" s="243"/>
      <c r="ML359" s="243"/>
      <c r="MM359" s="243"/>
      <c r="MN359" s="243"/>
      <c r="MO359" s="243"/>
      <c r="MP359" s="243"/>
      <c r="MQ359" s="243"/>
      <c r="MR359" s="243"/>
      <c r="MS359" s="243"/>
      <c r="MT359" s="243"/>
      <c r="MU359" s="243"/>
      <c r="MV359" s="243"/>
      <c r="MW359" s="243"/>
      <c r="MX359" s="243"/>
      <c r="MY359" s="243"/>
      <c r="MZ359" s="243"/>
      <c r="NA359" s="243"/>
      <c r="NB359" s="243"/>
      <c r="NC359" s="243"/>
      <c r="ND359" s="243"/>
      <c r="NE359" s="243"/>
      <c r="NF359" s="243"/>
      <c r="NG359" s="243"/>
      <c r="NH359" s="243"/>
      <c r="NI359" s="243"/>
      <c r="NJ359" s="243"/>
      <c r="NK359" s="243"/>
      <c r="NL359" s="243"/>
      <c r="NM359" s="243"/>
      <c r="NN359" s="243"/>
      <c r="NO359" s="243"/>
      <c r="NP359" s="243"/>
      <c r="NQ359" s="243"/>
      <c r="NR359" s="243"/>
      <c r="NS359" s="243"/>
      <c r="NT359" s="243"/>
      <c r="NU359" s="243"/>
      <c r="NV359" s="243"/>
      <c r="NW359" s="243"/>
      <c r="NX359" s="243"/>
      <c r="NY359" s="243"/>
      <c r="NZ359" s="243"/>
      <c r="OA359" s="243"/>
      <c r="OB359" s="243"/>
      <c r="OC359" s="243"/>
      <c r="OD359" s="243"/>
      <c r="OE359" s="243"/>
      <c r="OF359" s="243"/>
      <c r="OG359" s="243"/>
      <c r="OH359" s="243"/>
      <c r="OI359" s="243"/>
      <c r="OJ359" s="243"/>
      <c r="OK359" s="243"/>
      <c r="OL359" s="243"/>
      <c r="OM359" s="243"/>
      <c r="ON359" s="243"/>
      <c r="OO359" s="243"/>
      <c r="OP359" s="243"/>
      <c r="OQ359" s="243"/>
      <c r="OR359" s="243"/>
      <c r="OS359" s="243"/>
      <c r="OT359" s="243"/>
      <c r="OU359" s="243"/>
      <c r="OV359" s="243"/>
      <c r="OW359" s="243"/>
      <c r="OX359" s="243"/>
      <c r="OY359" s="243"/>
      <c r="OZ359" s="243"/>
      <c r="PA359" s="243"/>
      <c r="PB359" s="243"/>
      <c r="PC359" s="243"/>
      <c r="PD359" s="243"/>
      <c r="PE359" s="243"/>
      <c r="PF359" s="243"/>
      <c r="PG359" s="243"/>
      <c r="PH359" s="243"/>
      <c r="PI359" s="243"/>
      <c r="PJ359" s="243"/>
      <c r="PK359" s="243"/>
      <c r="PL359" s="243"/>
      <c r="PM359" s="243"/>
      <c r="PN359" s="243"/>
      <c r="PO359" s="243"/>
      <c r="PP359" s="243"/>
      <c r="PQ359" s="243"/>
      <c r="PR359" s="243"/>
      <c r="PS359" s="243"/>
      <c r="PT359" s="243"/>
      <c r="PU359" s="243"/>
      <c r="PV359" s="243"/>
      <c r="PW359" s="243"/>
      <c r="PX359" s="243"/>
      <c r="PY359" s="243"/>
      <c r="PZ359" s="243"/>
      <c r="QA359" s="243"/>
      <c r="QB359" s="243"/>
      <c r="QC359" s="243"/>
      <c r="QD359" s="243"/>
      <c r="QE359" s="243"/>
      <c r="QF359" s="243"/>
      <c r="QG359" s="243"/>
      <c r="QH359" s="243"/>
      <c r="QI359" s="243"/>
      <c r="QJ359" s="243"/>
      <c r="QK359" s="243"/>
      <c r="QL359" s="243"/>
      <c r="QM359" s="243"/>
      <c r="QN359" s="243"/>
      <c r="QO359" s="243"/>
      <c r="QP359" s="243"/>
      <c r="QQ359" s="243"/>
      <c r="QR359" s="243"/>
      <c r="QS359" s="243"/>
      <c r="QT359" s="243"/>
      <c r="QU359" s="243"/>
      <c r="QV359" s="243"/>
      <c r="QW359" s="243"/>
      <c r="QX359" s="243"/>
      <c r="QY359" s="243"/>
      <c r="QZ359" s="243"/>
      <c r="RA359" s="243"/>
      <c r="RB359" s="243"/>
      <c r="RC359" s="243"/>
      <c r="RD359" s="243"/>
      <c r="RE359" s="243"/>
      <c r="RF359" s="243"/>
      <c r="RG359" s="243"/>
      <c r="RH359" s="243"/>
      <c r="RI359" s="243"/>
      <c r="RJ359" s="243"/>
      <c r="RK359" s="243"/>
      <c r="RL359" s="243"/>
      <c r="RM359" s="243"/>
      <c r="RN359" s="243"/>
      <c r="RO359" s="243"/>
      <c r="RP359" s="243"/>
      <c r="RQ359" s="243"/>
      <c r="RR359" s="243"/>
      <c r="RS359" s="243"/>
      <c r="RT359" s="243"/>
      <c r="RU359" s="243"/>
      <c r="RV359" s="243"/>
      <c r="RW359" s="243"/>
      <c r="RX359" s="243"/>
      <c r="RY359" s="243"/>
      <c r="RZ359" s="243"/>
      <c r="SA359" s="243"/>
      <c r="SB359" s="243"/>
      <c r="SC359" s="243"/>
      <c r="SD359" s="243"/>
      <c r="SE359" s="243"/>
      <c r="SF359" s="243"/>
      <c r="SG359" s="243"/>
      <c r="SH359" s="243"/>
      <c r="SI359" s="243"/>
      <c r="SJ359" s="243"/>
      <c r="SK359" s="243"/>
      <c r="SL359" s="243"/>
      <c r="SM359" s="243"/>
      <c r="SN359" s="243"/>
      <c r="SO359" s="243"/>
      <c r="SP359" s="243"/>
      <c r="SQ359" s="243"/>
      <c r="SR359" s="243"/>
      <c r="SS359" s="243"/>
      <c r="ST359" s="243"/>
      <c r="SU359" s="243"/>
      <c r="SV359" s="243"/>
      <c r="SW359" s="243"/>
      <c r="SX359" s="243"/>
      <c r="SY359" s="243"/>
      <c r="SZ359" s="243"/>
      <c r="TA359" s="243"/>
      <c r="TB359" s="243"/>
      <c r="TC359" s="243"/>
      <c r="TD359" s="243"/>
      <c r="TE359" s="243"/>
      <c r="TF359" s="243"/>
      <c r="TG359" s="243"/>
      <c r="TH359" s="243"/>
      <c r="TI359" s="243"/>
      <c r="TJ359" s="243"/>
      <c r="TK359" s="243"/>
      <c r="TL359" s="243"/>
      <c r="TM359" s="243"/>
      <c r="TN359" s="243"/>
      <c r="TO359" s="243"/>
      <c r="TP359" s="243"/>
      <c r="TQ359" s="243"/>
      <c r="TR359" s="243"/>
      <c r="TS359" s="243"/>
      <c r="TT359" s="243"/>
      <c r="TU359" s="243"/>
      <c r="TV359" s="243"/>
      <c r="TW359" s="243"/>
      <c r="TX359" s="243"/>
      <c r="TY359" s="243"/>
      <c r="TZ359" s="243"/>
      <c r="UA359" s="243"/>
      <c r="UB359" s="243"/>
      <c r="UC359" s="243"/>
      <c r="UD359" s="243"/>
      <c r="UE359" s="243"/>
      <c r="UF359" s="243"/>
      <c r="UG359" s="243"/>
      <c r="UH359" s="243"/>
      <c r="UI359" s="243"/>
      <c r="UJ359" s="243"/>
      <c r="UK359" s="243"/>
      <c r="UL359" s="243"/>
      <c r="UM359" s="243"/>
      <c r="UN359" s="243"/>
      <c r="UO359" s="243"/>
      <c r="UP359" s="243"/>
      <c r="UQ359" s="243"/>
      <c r="UR359" s="243"/>
      <c r="US359" s="243"/>
      <c r="UT359" s="243"/>
      <c r="UU359" s="243"/>
      <c r="UV359" s="243"/>
      <c r="UW359" s="243"/>
      <c r="UX359" s="243"/>
      <c r="UY359" s="243"/>
      <c r="UZ359" s="243"/>
      <c r="VA359" s="243"/>
      <c r="VB359" s="243"/>
      <c r="VC359" s="243"/>
      <c r="VD359" s="243"/>
      <c r="VE359" s="243"/>
      <c r="VF359" s="243"/>
      <c r="VG359" s="243"/>
      <c r="VH359" s="243"/>
      <c r="VI359" s="243"/>
      <c r="VJ359" s="243"/>
      <c r="VK359" s="243"/>
      <c r="VL359" s="243"/>
      <c r="VM359" s="243"/>
      <c r="VN359" s="243"/>
      <c r="VO359" s="243"/>
      <c r="VP359" s="243"/>
      <c r="VQ359" s="243"/>
      <c r="VR359" s="243"/>
      <c r="VS359" s="243"/>
      <c r="VT359" s="243"/>
      <c r="VU359" s="243"/>
      <c r="VV359" s="243"/>
      <c r="VW359" s="243"/>
      <c r="VX359" s="243"/>
      <c r="VY359" s="243"/>
      <c r="VZ359" s="243"/>
      <c r="WA359" s="243"/>
      <c r="WB359" s="243"/>
      <c r="WC359" s="243"/>
      <c r="WD359" s="243"/>
      <c r="WE359" s="243"/>
      <c r="WF359" s="243"/>
      <c r="WG359" s="243"/>
      <c r="WH359" s="243"/>
      <c r="WI359" s="243"/>
      <c r="WJ359" s="243"/>
      <c r="WK359" s="243"/>
      <c r="WL359" s="243"/>
      <c r="WM359" s="243"/>
      <c r="WN359" s="243"/>
      <c r="WO359" s="243"/>
      <c r="WP359" s="243"/>
      <c r="WQ359" s="243"/>
      <c r="WR359" s="243"/>
      <c r="WS359" s="243"/>
      <c r="WT359" s="243"/>
      <c r="WU359" s="243"/>
      <c r="WV359" s="243"/>
      <c r="WW359" s="243"/>
      <c r="WX359" s="243"/>
      <c r="WY359" s="243"/>
      <c r="WZ359" s="243"/>
      <c r="XA359" s="243"/>
      <c r="XB359" s="243"/>
      <c r="XC359" s="243"/>
      <c r="XD359" s="243"/>
      <c r="XE359" s="243"/>
      <c r="XF359" s="243"/>
      <c r="XG359" s="243"/>
      <c r="XH359" s="243"/>
      <c r="XI359" s="243"/>
      <c r="XJ359" s="243"/>
      <c r="XK359" s="243"/>
      <c r="XL359" s="243"/>
      <c r="XM359" s="243"/>
      <c r="XN359" s="243"/>
      <c r="XO359" s="243"/>
      <c r="XP359" s="243"/>
      <c r="XQ359" s="243"/>
      <c r="XR359" s="243"/>
      <c r="XS359" s="243"/>
      <c r="XT359" s="243"/>
      <c r="XU359" s="243"/>
      <c r="XV359" s="243"/>
      <c r="XW359" s="243"/>
      <c r="XX359" s="243"/>
      <c r="XY359" s="243"/>
      <c r="XZ359" s="243"/>
      <c r="YA359" s="243"/>
      <c r="YB359" s="243"/>
      <c r="YC359" s="243"/>
      <c r="YD359" s="243"/>
      <c r="YE359" s="243"/>
      <c r="YF359" s="243"/>
      <c r="YG359" s="243"/>
      <c r="YH359" s="243"/>
      <c r="YI359" s="243"/>
      <c r="YJ359" s="243"/>
      <c r="YK359" s="243"/>
      <c r="YL359" s="243"/>
      <c r="YM359" s="243"/>
      <c r="YN359" s="243"/>
      <c r="YO359" s="243"/>
      <c r="YP359" s="243"/>
      <c r="YQ359" s="243"/>
      <c r="YR359" s="243"/>
      <c r="YS359" s="243"/>
      <c r="YT359" s="243"/>
      <c r="YU359" s="243"/>
      <c r="YV359" s="243"/>
      <c r="YW359" s="243"/>
      <c r="YX359" s="243"/>
      <c r="YY359" s="243"/>
      <c r="YZ359" s="243"/>
      <c r="ZA359" s="243"/>
      <c r="ZB359" s="243"/>
      <c r="ZC359" s="243"/>
      <c r="ZD359" s="243"/>
      <c r="ZE359" s="243"/>
      <c r="ZF359" s="243"/>
      <c r="ZG359" s="243"/>
      <c r="ZH359" s="243"/>
      <c r="ZI359" s="243"/>
      <c r="ZJ359" s="243"/>
      <c r="ZK359" s="243"/>
      <c r="ZL359" s="243"/>
      <c r="ZM359" s="243"/>
      <c r="ZN359" s="243"/>
      <c r="ZO359" s="243"/>
      <c r="ZP359" s="243"/>
      <c r="ZQ359" s="243"/>
      <c r="ZR359" s="243"/>
      <c r="ZS359" s="243"/>
      <c r="ZT359" s="243"/>
      <c r="ZU359" s="243"/>
      <c r="ZV359" s="243"/>
      <c r="ZW359" s="243"/>
      <c r="ZX359" s="243"/>
      <c r="ZY359" s="243"/>
      <c r="ZZ359" s="243"/>
      <c r="AAA359" s="243"/>
      <c r="AAB359" s="243"/>
      <c r="AAC359" s="243"/>
      <c r="AAD359" s="243"/>
      <c r="AAE359" s="243"/>
      <c r="AAF359" s="243"/>
      <c r="AAG359" s="243"/>
      <c r="AAH359" s="243"/>
      <c r="AAI359" s="243"/>
      <c r="AAJ359" s="243"/>
      <c r="AAK359" s="243"/>
      <c r="AAL359" s="243"/>
      <c r="AAM359" s="243"/>
      <c r="AAN359" s="243"/>
      <c r="AAO359" s="243"/>
      <c r="AAP359" s="243"/>
      <c r="AAQ359" s="243"/>
      <c r="AAR359" s="243"/>
      <c r="AAS359" s="243"/>
      <c r="AAT359" s="243"/>
      <c r="AAU359" s="243"/>
      <c r="AAV359" s="243"/>
      <c r="AAW359" s="243"/>
      <c r="AAX359" s="243"/>
      <c r="AAY359" s="243"/>
      <c r="AAZ359" s="243"/>
      <c r="ABA359" s="243"/>
      <c r="ABB359" s="243"/>
      <c r="ABC359" s="243"/>
      <c r="ABD359" s="243"/>
      <c r="ABE359" s="243"/>
      <c r="ABF359" s="243"/>
      <c r="ABG359" s="243"/>
      <c r="ABH359" s="243"/>
      <c r="ABI359" s="243"/>
      <c r="ABJ359" s="243"/>
      <c r="ABK359" s="243"/>
      <c r="ABL359" s="243"/>
      <c r="ABM359" s="243"/>
      <c r="ABN359" s="243"/>
      <c r="ABO359" s="243"/>
      <c r="ABP359" s="243"/>
      <c r="ABQ359" s="243"/>
      <c r="ABR359" s="243"/>
      <c r="ABS359" s="243"/>
      <c r="ABT359" s="243"/>
      <c r="ABU359" s="243"/>
      <c r="ABV359" s="243"/>
      <c r="ABW359" s="243"/>
      <c r="ABX359" s="243"/>
      <c r="ABY359" s="243"/>
      <c r="ABZ359" s="243"/>
      <c r="ACA359" s="243"/>
      <c r="ACB359" s="243"/>
      <c r="ACC359" s="243"/>
      <c r="ACD359" s="243"/>
      <c r="ACE359" s="243"/>
      <c r="ACF359" s="243"/>
      <c r="ACG359" s="243"/>
      <c r="ACH359" s="243"/>
      <c r="ACI359" s="243"/>
      <c r="ACJ359" s="243"/>
      <c r="ACK359" s="243"/>
      <c r="ACL359" s="243"/>
      <c r="ACM359" s="243"/>
      <c r="ACN359" s="243"/>
      <c r="ACO359" s="243"/>
      <c r="ACP359" s="243"/>
      <c r="ACQ359" s="243"/>
      <c r="ACR359" s="243"/>
      <c r="ACS359" s="243"/>
      <c r="ACT359" s="243"/>
      <c r="ACU359" s="243"/>
      <c r="ACV359" s="243"/>
      <c r="ACW359" s="243"/>
      <c r="ACX359" s="243"/>
      <c r="ACY359" s="243"/>
      <c r="ACZ359" s="243"/>
      <c r="ADA359" s="243"/>
      <c r="ADB359" s="243"/>
      <c r="ADC359" s="243"/>
      <c r="ADD359" s="243"/>
      <c r="ADE359" s="243"/>
      <c r="ADF359" s="243"/>
      <c r="ADG359" s="243"/>
      <c r="ADH359" s="243"/>
      <c r="ADI359" s="243"/>
      <c r="ADJ359" s="243"/>
      <c r="ADK359" s="243"/>
      <c r="ADL359" s="243"/>
      <c r="ADM359" s="243"/>
      <c r="ADN359" s="243"/>
      <c r="ADO359" s="243"/>
      <c r="ADP359" s="243"/>
      <c r="ADQ359" s="243"/>
      <c r="ADR359" s="243"/>
      <c r="ADS359" s="243"/>
      <c r="ADT359" s="243"/>
      <c r="ADU359" s="243"/>
      <c r="ADV359" s="243"/>
      <c r="ADW359" s="243"/>
      <c r="ADX359" s="243"/>
      <c r="ADY359" s="243"/>
      <c r="ADZ359" s="243"/>
      <c r="AEA359" s="243"/>
      <c r="AEB359" s="243"/>
      <c r="AEC359" s="243"/>
      <c r="AED359" s="243"/>
      <c r="AEE359" s="243"/>
      <c r="AEF359" s="243"/>
      <c r="AEG359" s="243"/>
      <c r="AEH359" s="243"/>
      <c r="AEI359" s="243"/>
      <c r="AEJ359" s="243"/>
      <c r="AEK359" s="243"/>
      <c r="AEL359" s="243"/>
      <c r="AEM359" s="243"/>
      <c r="AEN359" s="243"/>
      <c r="AEO359" s="243"/>
      <c r="AEP359" s="243"/>
      <c r="AEQ359" s="243"/>
      <c r="AER359" s="243"/>
      <c r="AES359" s="243"/>
      <c r="AET359" s="243"/>
      <c r="AEU359" s="243"/>
      <c r="AEV359" s="243"/>
      <c r="AEW359" s="243"/>
      <c r="AEX359" s="243"/>
      <c r="AEY359" s="243"/>
      <c r="AEZ359" s="243"/>
      <c r="AFA359" s="243"/>
      <c r="AFB359" s="243"/>
      <c r="AFC359" s="243"/>
      <c r="AFD359" s="243"/>
      <c r="AFE359" s="243"/>
      <c r="AFF359" s="243"/>
      <c r="AFG359" s="243"/>
      <c r="AFH359" s="243"/>
      <c r="AFI359" s="243"/>
      <c r="AFJ359" s="243"/>
      <c r="AFK359" s="243"/>
      <c r="AFL359" s="243"/>
      <c r="AFM359" s="243"/>
      <c r="AFN359" s="243"/>
      <c r="AFO359" s="243"/>
      <c r="AFP359" s="243"/>
      <c r="AFQ359" s="243"/>
      <c r="AFR359" s="243"/>
      <c r="AFS359" s="243"/>
      <c r="AFT359" s="243"/>
      <c r="AFU359" s="243"/>
      <c r="AFV359" s="243"/>
      <c r="AFW359" s="243"/>
      <c r="AFX359" s="243"/>
      <c r="AFY359" s="243"/>
      <c r="AFZ359" s="243"/>
      <c r="AGA359" s="243"/>
      <c r="AGB359" s="243"/>
      <c r="AGC359" s="243"/>
      <c r="AGD359" s="243"/>
      <c r="AGE359" s="243"/>
      <c r="AGF359" s="243"/>
      <c r="AGG359" s="243"/>
      <c r="AGH359" s="243"/>
      <c r="AGI359" s="243"/>
      <c r="AGJ359" s="243"/>
      <c r="AGK359" s="243"/>
      <c r="AGL359" s="243"/>
      <c r="AGM359" s="243"/>
      <c r="AGN359" s="243"/>
      <c r="AGO359" s="243"/>
      <c r="AGP359" s="243"/>
      <c r="AGQ359" s="243"/>
      <c r="AGR359" s="243"/>
      <c r="AGS359" s="243"/>
      <c r="AGT359" s="243"/>
      <c r="AGU359" s="243"/>
      <c r="AGV359" s="243"/>
      <c r="AGW359" s="243"/>
      <c r="AGX359" s="243"/>
      <c r="AGY359" s="243"/>
      <c r="AGZ359" s="243"/>
      <c r="AHA359" s="243"/>
      <c r="AHB359" s="243"/>
      <c r="AHC359" s="243"/>
      <c r="AHD359" s="243"/>
      <c r="AHE359" s="243"/>
      <c r="AHF359" s="243"/>
      <c r="AHG359" s="243"/>
      <c r="AHH359" s="243"/>
      <c r="AHI359" s="243"/>
      <c r="AHJ359" s="243"/>
      <c r="AHK359" s="243"/>
      <c r="AHL359" s="243"/>
      <c r="AHM359" s="243"/>
      <c r="AHN359" s="243"/>
      <c r="AHO359" s="243"/>
      <c r="AHP359" s="243"/>
      <c r="AHQ359" s="243"/>
      <c r="AHR359" s="243"/>
      <c r="AHS359" s="243"/>
      <c r="AHT359" s="243"/>
      <c r="AHU359" s="243"/>
      <c r="AHV359" s="243"/>
      <c r="AHW359" s="243"/>
      <c r="AHX359" s="243"/>
      <c r="AHY359" s="243"/>
      <c r="AHZ359" s="243"/>
      <c r="AIA359" s="243"/>
      <c r="AIB359" s="243"/>
      <c r="AIC359" s="243"/>
      <c r="AID359" s="243"/>
      <c r="AIE359" s="243"/>
      <c r="AIF359" s="243"/>
      <c r="AIG359" s="243"/>
      <c r="AIH359" s="243"/>
      <c r="AII359" s="243"/>
      <c r="AIJ359" s="243"/>
      <c r="AIK359" s="243"/>
      <c r="AIL359" s="243"/>
      <c r="AIM359" s="243"/>
      <c r="AIN359" s="243"/>
      <c r="AIO359" s="243"/>
      <c r="AIP359" s="243"/>
      <c r="AIQ359" s="243"/>
      <c r="AIR359" s="243"/>
      <c r="AIS359" s="243"/>
      <c r="AIT359" s="243"/>
      <c r="AIU359" s="243"/>
      <c r="AIV359" s="243"/>
      <c r="AIW359" s="243"/>
      <c r="AIX359" s="243"/>
      <c r="AIY359" s="243"/>
      <c r="AIZ359" s="243"/>
      <c r="AJA359" s="243"/>
      <c r="AJB359" s="243"/>
      <c r="AJC359" s="243"/>
      <c r="AJD359" s="243"/>
      <c r="AJE359" s="243"/>
      <c r="AJF359" s="243"/>
      <c r="AJG359" s="243"/>
      <c r="AJH359" s="243"/>
      <c r="AJI359" s="243"/>
      <c r="AJJ359" s="243"/>
      <c r="AJK359" s="243"/>
      <c r="AJL359" s="243"/>
      <c r="AJM359" s="243"/>
      <c r="AJN359" s="243"/>
      <c r="AJO359" s="243"/>
      <c r="AJP359" s="243"/>
      <c r="AJQ359" s="243"/>
      <c r="AJR359" s="243"/>
      <c r="AJS359" s="243"/>
      <c r="AJT359" s="243"/>
      <c r="AJU359" s="243"/>
      <c r="AJV359" s="243"/>
      <c r="AJW359" s="243"/>
      <c r="AJX359" s="243"/>
      <c r="AJY359" s="243"/>
      <c r="AJZ359" s="243"/>
      <c r="AKA359" s="243"/>
      <c r="AKB359" s="243"/>
      <c r="AKC359" s="243"/>
      <c r="AKD359" s="243"/>
      <c r="AKE359" s="243"/>
      <c r="AKF359" s="243"/>
      <c r="AKG359" s="243"/>
      <c r="AKH359" s="243"/>
      <c r="AKI359" s="243"/>
      <c r="AKJ359" s="243"/>
      <c r="AKK359" s="243"/>
      <c r="AKL359" s="243"/>
      <c r="AKM359" s="243"/>
      <c r="AKN359" s="243"/>
      <c r="AKO359" s="243"/>
      <c r="AKP359" s="243"/>
      <c r="AKQ359" s="243"/>
      <c r="AKR359" s="243"/>
      <c r="AKS359" s="243"/>
      <c r="AKT359" s="243"/>
      <c r="AKU359" s="243"/>
      <c r="AKV359" s="243"/>
      <c r="AKW359" s="243"/>
      <c r="AKX359" s="243"/>
      <c r="AKY359" s="243"/>
      <c r="AKZ359" s="243"/>
      <c r="ALA359" s="243"/>
      <c r="ALB359" s="243"/>
      <c r="ALC359" s="243"/>
      <c r="ALD359" s="243"/>
      <c r="ALE359" s="243"/>
      <c r="ALF359" s="243"/>
      <c r="ALG359" s="243"/>
      <c r="ALH359" s="243"/>
      <c r="ALI359" s="243"/>
      <c r="ALJ359" s="243"/>
      <c r="ALK359" s="243"/>
      <c r="ALL359" s="243"/>
      <c r="ALM359" s="243"/>
      <c r="ALN359" s="243"/>
      <c r="ALO359" s="243"/>
      <c r="ALP359" s="243"/>
      <c r="ALQ359" s="243"/>
      <c r="ALR359" s="243"/>
      <c r="ALS359" s="243"/>
      <c r="ALT359" s="243"/>
      <c r="ALU359" s="243"/>
      <c r="ALV359" s="243"/>
      <c r="ALW359" s="243"/>
      <c r="ALX359" s="243"/>
      <c r="ALY359" s="243"/>
      <c r="ALZ359" s="243"/>
      <c r="AMA359" s="243"/>
      <c r="AMB359" s="243"/>
      <c r="AMC359" s="243"/>
      <c r="AMD359" s="243"/>
      <c r="AME359" s="243"/>
      <c r="AMF359" s="243"/>
      <c r="AMG359" s="243"/>
      <c r="AMH359" s="243"/>
      <c r="AMI359" s="244"/>
      <c r="AMJ359" s="244"/>
    </row>
    <row r="360" spans="1:1024">
      <c r="A360" s="906"/>
      <c r="B360" s="661">
        <v>14608</v>
      </c>
      <c r="C360" s="550">
        <v>0.08</v>
      </c>
      <c r="D360" s="670" t="s">
        <v>250</v>
      </c>
      <c r="E360" s="364">
        <v>3000000</v>
      </c>
      <c r="F360" s="543">
        <v>0.08</v>
      </c>
      <c r="G360" s="364">
        <f t="shared" si="14"/>
        <v>240000</v>
      </c>
      <c r="H360" s="599" t="s">
        <v>202</v>
      </c>
      <c r="I360" s="523"/>
      <c r="J360" s="635"/>
      <c r="K360" s="604"/>
      <c r="L360" s="633"/>
      <c r="M360" s="622"/>
      <c r="N360" s="647"/>
      <c r="O360" s="648"/>
      <c r="P360" s="649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  <c r="AB360" s="243"/>
      <c r="AC360" s="243"/>
      <c r="AD360" s="243"/>
      <c r="AE360" s="243"/>
      <c r="AF360" s="243"/>
      <c r="AG360" s="243"/>
      <c r="AH360" s="243"/>
      <c r="AI360" s="243"/>
      <c r="AJ360" s="243"/>
      <c r="AK360" s="243"/>
      <c r="AL360" s="243"/>
      <c r="AM360" s="243"/>
      <c r="AN360" s="243"/>
      <c r="AO360" s="243"/>
      <c r="AP360" s="243"/>
      <c r="AQ360" s="243"/>
      <c r="AR360" s="243"/>
      <c r="AS360" s="243"/>
      <c r="AT360" s="243"/>
      <c r="AU360" s="243"/>
      <c r="AV360" s="243"/>
      <c r="AW360" s="243"/>
      <c r="AX360" s="243"/>
      <c r="AY360" s="243"/>
      <c r="AZ360" s="243"/>
      <c r="BA360" s="243"/>
      <c r="BB360" s="243"/>
      <c r="BC360" s="243"/>
      <c r="BD360" s="243"/>
      <c r="BE360" s="243"/>
      <c r="BF360" s="243"/>
      <c r="BG360" s="243"/>
      <c r="BH360" s="243"/>
      <c r="BI360" s="243"/>
      <c r="BJ360" s="243"/>
      <c r="BK360" s="243"/>
      <c r="BL360" s="243"/>
      <c r="BM360" s="243"/>
      <c r="BN360" s="243"/>
      <c r="BO360" s="243"/>
      <c r="BP360" s="243"/>
      <c r="BQ360" s="243"/>
      <c r="BR360" s="243"/>
      <c r="BS360" s="243"/>
      <c r="BT360" s="243"/>
      <c r="BU360" s="243"/>
      <c r="BV360" s="243"/>
      <c r="BW360" s="243"/>
      <c r="BX360" s="243"/>
      <c r="BY360" s="243"/>
      <c r="BZ360" s="243"/>
      <c r="CA360" s="243"/>
      <c r="CB360" s="243"/>
      <c r="CC360" s="243"/>
      <c r="CD360" s="243"/>
      <c r="CE360" s="243"/>
      <c r="CF360" s="243"/>
      <c r="CG360" s="243"/>
      <c r="CH360" s="243"/>
      <c r="CI360" s="243"/>
      <c r="CJ360" s="243"/>
      <c r="CK360" s="243"/>
      <c r="CL360" s="243"/>
      <c r="CM360" s="243"/>
      <c r="CN360" s="243"/>
      <c r="CO360" s="243"/>
      <c r="CP360" s="243"/>
      <c r="CQ360" s="243"/>
      <c r="CR360" s="243"/>
      <c r="CS360" s="243"/>
      <c r="CT360" s="243"/>
      <c r="CU360" s="243"/>
      <c r="CV360" s="243"/>
      <c r="CW360" s="243"/>
      <c r="CX360" s="243"/>
      <c r="CY360" s="243"/>
      <c r="CZ360" s="243"/>
      <c r="DA360" s="243"/>
      <c r="DB360" s="243"/>
      <c r="DC360" s="243"/>
      <c r="DD360" s="243"/>
      <c r="DE360" s="243"/>
      <c r="DF360" s="243"/>
      <c r="DG360" s="243"/>
      <c r="DH360" s="243"/>
      <c r="DI360" s="243"/>
      <c r="DJ360" s="243"/>
      <c r="DK360" s="243"/>
      <c r="DL360" s="243"/>
      <c r="DM360" s="243"/>
      <c r="DN360" s="243"/>
      <c r="DO360" s="243"/>
      <c r="DP360" s="243"/>
      <c r="DQ360" s="243"/>
      <c r="DR360" s="243"/>
      <c r="DS360" s="243"/>
      <c r="DT360" s="243"/>
      <c r="DU360" s="243"/>
      <c r="DV360" s="243"/>
      <c r="DW360" s="243"/>
      <c r="DX360" s="243"/>
      <c r="DY360" s="243"/>
      <c r="DZ360" s="243"/>
      <c r="EA360" s="243"/>
      <c r="EB360" s="243"/>
      <c r="EC360" s="243"/>
      <c r="ED360" s="243"/>
      <c r="EE360" s="243"/>
      <c r="EF360" s="243"/>
      <c r="EG360" s="243"/>
      <c r="EH360" s="243"/>
      <c r="EI360" s="243"/>
      <c r="EJ360" s="243"/>
      <c r="EK360" s="243"/>
      <c r="EL360" s="243"/>
      <c r="EM360" s="243"/>
      <c r="EN360" s="243"/>
      <c r="EO360" s="243"/>
      <c r="EP360" s="243"/>
      <c r="EQ360" s="243"/>
      <c r="ER360" s="243"/>
      <c r="ES360" s="243"/>
      <c r="ET360" s="243"/>
      <c r="EU360" s="243"/>
      <c r="EV360" s="243"/>
      <c r="EW360" s="243"/>
      <c r="EX360" s="243"/>
      <c r="EY360" s="243"/>
      <c r="EZ360" s="243"/>
      <c r="FA360" s="243"/>
      <c r="FB360" s="243"/>
      <c r="FC360" s="243"/>
      <c r="FD360" s="243"/>
      <c r="FE360" s="243"/>
      <c r="FF360" s="243"/>
      <c r="FG360" s="243"/>
      <c r="FH360" s="243"/>
      <c r="FI360" s="243"/>
      <c r="FJ360" s="243"/>
      <c r="FK360" s="243"/>
      <c r="FL360" s="243"/>
      <c r="FM360" s="243"/>
      <c r="FN360" s="243"/>
      <c r="FO360" s="243"/>
      <c r="FP360" s="243"/>
      <c r="FQ360" s="243"/>
      <c r="FR360" s="243"/>
      <c r="FS360" s="243"/>
      <c r="FT360" s="243"/>
      <c r="FU360" s="243"/>
      <c r="FV360" s="243"/>
      <c r="FW360" s="243"/>
      <c r="FX360" s="243"/>
      <c r="FY360" s="243"/>
      <c r="FZ360" s="243"/>
      <c r="GA360" s="243"/>
      <c r="GB360" s="243"/>
      <c r="GC360" s="243"/>
      <c r="GD360" s="243"/>
      <c r="GE360" s="243"/>
      <c r="GF360" s="243"/>
      <c r="GG360" s="243"/>
      <c r="GH360" s="243"/>
      <c r="GI360" s="243"/>
      <c r="GJ360" s="243"/>
      <c r="GK360" s="243"/>
      <c r="GL360" s="243"/>
      <c r="GM360" s="243"/>
      <c r="GN360" s="243"/>
      <c r="GO360" s="243"/>
      <c r="GP360" s="243"/>
      <c r="GQ360" s="243"/>
      <c r="GR360" s="243"/>
      <c r="GS360" s="243"/>
      <c r="GT360" s="243"/>
      <c r="GU360" s="243"/>
      <c r="GV360" s="243"/>
      <c r="GW360" s="243"/>
      <c r="GX360" s="243"/>
      <c r="GY360" s="243"/>
      <c r="GZ360" s="243"/>
      <c r="HA360" s="243"/>
      <c r="HB360" s="243"/>
      <c r="HC360" s="243"/>
      <c r="HD360" s="243"/>
      <c r="HE360" s="243"/>
      <c r="HF360" s="243"/>
      <c r="HG360" s="243"/>
      <c r="HH360" s="243"/>
      <c r="HI360" s="243"/>
      <c r="HJ360" s="243"/>
      <c r="HK360" s="243"/>
      <c r="HL360" s="243"/>
      <c r="HM360" s="243"/>
      <c r="HN360" s="243"/>
      <c r="HO360" s="243"/>
      <c r="HP360" s="243"/>
      <c r="HQ360" s="243"/>
      <c r="HR360" s="243"/>
      <c r="HS360" s="243"/>
      <c r="HT360" s="243"/>
      <c r="HU360" s="243"/>
      <c r="HV360" s="243"/>
      <c r="HW360" s="243"/>
      <c r="HX360" s="243"/>
      <c r="HY360" s="243"/>
      <c r="HZ360" s="243"/>
      <c r="IA360" s="243"/>
      <c r="IB360" s="243"/>
      <c r="IC360" s="243"/>
      <c r="ID360" s="243"/>
      <c r="IE360" s="243"/>
      <c r="IF360" s="243"/>
      <c r="IG360" s="243"/>
      <c r="IH360" s="243"/>
      <c r="II360" s="243"/>
      <c r="IJ360" s="243"/>
      <c r="IK360" s="243"/>
      <c r="IL360" s="243"/>
      <c r="IM360" s="243"/>
      <c r="IN360" s="243"/>
      <c r="IO360" s="243"/>
      <c r="IP360" s="243"/>
      <c r="IQ360" s="243"/>
      <c r="IR360" s="243"/>
      <c r="IS360" s="243"/>
      <c r="IT360" s="243"/>
      <c r="IU360" s="243"/>
      <c r="IV360" s="243"/>
      <c r="IW360" s="243"/>
      <c r="IX360" s="243"/>
      <c r="IY360" s="243"/>
      <c r="IZ360" s="243"/>
      <c r="JA360" s="243"/>
      <c r="JB360" s="243"/>
      <c r="JC360" s="243"/>
      <c r="JD360" s="243"/>
      <c r="JE360" s="243"/>
      <c r="JF360" s="243"/>
      <c r="JG360" s="243"/>
      <c r="JH360" s="243"/>
      <c r="JI360" s="243"/>
      <c r="JJ360" s="243"/>
      <c r="JK360" s="243"/>
      <c r="JL360" s="243"/>
      <c r="JM360" s="243"/>
      <c r="JN360" s="243"/>
      <c r="JO360" s="243"/>
      <c r="JP360" s="243"/>
      <c r="JQ360" s="243"/>
      <c r="JR360" s="243"/>
      <c r="JS360" s="243"/>
      <c r="JT360" s="243"/>
      <c r="JU360" s="243"/>
      <c r="JV360" s="243"/>
      <c r="JW360" s="243"/>
      <c r="JX360" s="243"/>
      <c r="JY360" s="243"/>
      <c r="JZ360" s="243"/>
      <c r="KA360" s="243"/>
      <c r="KB360" s="243"/>
      <c r="KC360" s="243"/>
      <c r="KD360" s="243"/>
      <c r="KE360" s="243"/>
      <c r="KF360" s="243"/>
      <c r="KG360" s="243"/>
      <c r="KH360" s="243"/>
      <c r="KI360" s="243"/>
      <c r="KJ360" s="243"/>
      <c r="KK360" s="243"/>
      <c r="KL360" s="243"/>
      <c r="KM360" s="243"/>
      <c r="KN360" s="243"/>
      <c r="KO360" s="243"/>
      <c r="KP360" s="243"/>
      <c r="KQ360" s="243"/>
      <c r="KR360" s="243"/>
      <c r="KS360" s="243"/>
      <c r="KT360" s="243"/>
      <c r="KU360" s="243"/>
      <c r="KV360" s="243"/>
      <c r="KW360" s="243"/>
      <c r="KX360" s="243"/>
      <c r="KY360" s="243"/>
      <c r="KZ360" s="243"/>
      <c r="LA360" s="243"/>
      <c r="LB360" s="243"/>
      <c r="LC360" s="243"/>
      <c r="LD360" s="243"/>
      <c r="LE360" s="243"/>
      <c r="LF360" s="243"/>
      <c r="LG360" s="243"/>
      <c r="LH360" s="243"/>
      <c r="LI360" s="243"/>
      <c r="LJ360" s="243"/>
      <c r="LK360" s="243"/>
      <c r="LL360" s="243"/>
      <c r="LM360" s="243"/>
      <c r="LN360" s="243"/>
      <c r="LO360" s="243"/>
      <c r="LP360" s="243"/>
      <c r="LQ360" s="243"/>
      <c r="LR360" s="243"/>
      <c r="LS360" s="243"/>
      <c r="LT360" s="243"/>
      <c r="LU360" s="243"/>
      <c r="LV360" s="243"/>
      <c r="LW360" s="243"/>
      <c r="LX360" s="243"/>
      <c r="LY360" s="243"/>
      <c r="LZ360" s="243"/>
      <c r="MA360" s="243"/>
      <c r="MB360" s="243"/>
      <c r="MC360" s="243"/>
      <c r="MD360" s="243"/>
      <c r="ME360" s="243"/>
      <c r="MF360" s="243"/>
      <c r="MG360" s="243"/>
      <c r="MH360" s="243"/>
      <c r="MI360" s="243"/>
      <c r="MJ360" s="243"/>
      <c r="MK360" s="243"/>
      <c r="ML360" s="243"/>
      <c r="MM360" s="243"/>
      <c r="MN360" s="243"/>
      <c r="MO360" s="243"/>
      <c r="MP360" s="243"/>
      <c r="MQ360" s="243"/>
      <c r="MR360" s="243"/>
      <c r="MS360" s="243"/>
      <c r="MT360" s="243"/>
      <c r="MU360" s="243"/>
      <c r="MV360" s="243"/>
      <c r="MW360" s="243"/>
      <c r="MX360" s="243"/>
      <c r="MY360" s="243"/>
      <c r="MZ360" s="243"/>
      <c r="NA360" s="243"/>
      <c r="NB360" s="243"/>
      <c r="NC360" s="243"/>
      <c r="ND360" s="243"/>
      <c r="NE360" s="243"/>
      <c r="NF360" s="243"/>
      <c r="NG360" s="243"/>
      <c r="NH360" s="243"/>
      <c r="NI360" s="243"/>
      <c r="NJ360" s="243"/>
      <c r="NK360" s="243"/>
      <c r="NL360" s="243"/>
      <c r="NM360" s="243"/>
      <c r="NN360" s="243"/>
      <c r="NO360" s="243"/>
      <c r="NP360" s="243"/>
      <c r="NQ360" s="243"/>
      <c r="NR360" s="243"/>
      <c r="NS360" s="243"/>
      <c r="NT360" s="243"/>
      <c r="NU360" s="243"/>
      <c r="NV360" s="243"/>
      <c r="NW360" s="243"/>
      <c r="NX360" s="243"/>
      <c r="NY360" s="243"/>
      <c r="NZ360" s="243"/>
      <c r="OA360" s="243"/>
      <c r="OB360" s="243"/>
      <c r="OC360" s="243"/>
      <c r="OD360" s="243"/>
      <c r="OE360" s="243"/>
      <c r="OF360" s="243"/>
      <c r="OG360" s="243"/>
      <c r="OH360" s="243"/>
      <c r="OI360" s="243"/>
      <c r="OJ360" s="243"/>
      <c r="OK360" s="243"/>
      <c r="OL360" s="243"/>
      <c r="OM360" s="243"/>
      <c r="ON360" s="243"/>
      <c r="OO360" s="243"/>
      <c r="OP360" s="243"/>
      <c r="OQ360" s="243"/>
      <c r="OR360" s="243"/>
      <c r="OS360" s="243"/>
      <c r="OT360" s="243"/>
      <c r="OU360" s="243"/>
      <c r="OV360" s="243"/>
      <c r="OW360" s="243"/>
      <c r="OX360" s="243"/>
      <c r="OY360" s="243"/>
      <c r="OZ360" s="243"/>
      <c r="PA360" s="243"/>
      <c r="PB360" s="243"/>
      <c r="PC360" s="243"/>
      <c r="PD360" s="243"/>
      <c r="PE360" s="243"/>
      <c r="PF360" s="243"/>
      <c r="PG360" s="243"/>
      <c r="PH360" s="243"/>
      <c r="PI360" s="243"/>
      <c r="PJ360" s="243"/>
      <c r="PK360" s="243"/>
      <c r="PL360" s="243"/>
      <c r="PM360" s="243"/>
      <c r="PN360" s="243"/>
      <c r="PO360" s="243"/>
      <c r="PP360" s="243"/>
      <c r="PQ360" s="243"/>
      <c r="PR360" s="243"/>
      <c r="PS360" s="243"/>
      <c r="PT360" s="243"/>
      <c r="PU360" s="243"/>
      <c r="PV360" s="243"/>
      <c r="PW360" s="243"/>
      <c r="PX360" s="243"/>
      <c r="PY360" s="243"/>
      <c r="PZ360" s="243"/>
      <c r="QA360" s="243"/>
      <c r="QB360" s="243"/>
      <c r="QC360" s="243"/>
      <c r="QD360" s="243"/>
      <c r="QE360" s="243"/>
      <c r="QF360" s="243"/>
      <c r="QG360" s="243"/>
      <c r="QH360" s="243"/>
      <c r="QI360" s="243"/>
      <c r="QJ360" s="243"/>
      <c r="QK360" s="243"/>
      <c r="QL360" s="243"/>
      <c r="QM360" s="243"/>
      <c r="QN360" s="243"/>
      <c r="QO360" s="243"/>
      <c r="QP360" s="243"/>
      <c r="QQ360" s="243"/>
      <c r="QR360" s="243"/>
      <c r="QS360" s="243"/>
      <c r="QT360" s="243"/>
      <c r="QU360" s="243"/>
      <c r="QV360" s="243"/>
      <c r="QW360" s="243"/>
      <c r="QX360" s="243"/>
      <c r="QY360" s="243"/>
      <c r="QZ360" s="243"/>
      <c r="RA360" s="243"/>
      <c r="RB360" s="243"/>
      <c r="RC360" s="243"/>
      <c r="RD360" s="243"/>
      <c r="RE360" s="243"/>
      <c r="RF360" s="243"/>
      <c r="RG360" s="243"/>
      <c r="RH360" s="243"/>
      <c r="RI360" s="243"/>
      <c r="RJ360" s="243"/>
      <c r="RK360" s="243"/>
      <c r="RL360" s="243"/>
      <c r="RM360" s="243"/>
      <c r="RN360" s="243"/>
      <c r="RO360" s="243"/>
      <c r="RP360" s="243"/>
      <c r="RQ360" s="243"/>
      <c r="RR360" s="243"/>
      <c r="RS360" s="243"/>
      <c r="RT360" s="243"/>
      <c r="RU360" s="243"/>
      <c r="RV360" s="243"/>
      <c r="RW360" s="243"/>
      <c r="RX360" s="243"/>
      <c r="RY360" s="243"/>
      <c r="RZ360" s="243"/>
      <c r="SA360" s="243"/>
      <c r="SB360" s="243"/>
      <c r="SC360" s="243"/>
      <c r="SD360" s="243"/>
      <c r="SE360" s="243"/>
      <c r="SF360" s="243"/>
      <c r="SG360" s="243"/>
      <c r="SH360" s="243"/>
      <c r="SI360" s="243"/>
      <c r="SJ360" s="243"/>
      <c r="SK360" s="243"/>
      <c r="SL360" s="243"/>
      <c r="SM360" s="243"/>
      <c r="SN360" s="243"/>
      <c r="SO360" s="243"/>
      <c r="SP360" s="243"/>
      <c r="SQ360" s="243"/>
      <c r="SR360" s="243"/>
      <c r="SS360" s="243"/>
      <c r="ST360" s="243"/>
      <c r="SU360" s="243"/>
      <c r="SV360" s="243"/>
      <c r="SW360" s="243"/>
      <c r="SX360" s="243"/>
      <c r="SY360" s="243"/>
      <c r="SZ360" s="243"/>
      <c r="TA360" s="243"/>
      <c r="TB360" s="243"/>
      <c r="TC360" s="243"/>
      <c r="TD360" s="243"/>
      <c r="TE360" s="243"/>
      <c r="TF360" s="243"/>
      <c r="TG360" s="243"/>
      <c r="TH360" s="243"/>
      <c r="TI360" s="243"/>
      <c r="TJ360" s="243"/>
      <c r="TK360" s="243"/>
      <c r="TL360" s="243"/>
      <c r="TM360" s="243"/>
      <c r="TN360" s="243"/>
      <c r="TO360" s="243"/>
      <c r="TP360" s="243"/>
      <c r="TQ360" s="243"/>
      <c r="TR360" s="243"/>
      <c r="TS360" s="243"/>
      <c r="TT360" s="243"/>
      <c r="TU360" s="243"/>
      <c r="TV360" s="243"/>
      <c r="TW360" s="243"/>
      <c r="TX360" s="243"/>
      <c r="TY360" s="243"/>
      <c r="TZ360" s="243"/>
      <c r="UA360" s="243"/>
      <c r="UB360" s="243"/>
      <c r="UC360" s="243"/>
      <c r="UD360" s="243"/>
      <c r="UE360" s="243"/>
      <c r="UF360" s="243"/>
      <c r="UG360" s="243"/>
      <c r="UH360" s="243"/>
      <c r="UI360" s="243"/>
      <c r="UJ360" s="243"/>
      <c r="UK360" s="243"/>
      <c r="UL360" s="243"/>
      <c r="UM360" s="243"/>
      <c r="UN360" s="243"/>
      <c r="UO360" s="243"/>
      <c r="UP360" s="243"/>
      <c r="UQ360" s="243"/>
      <c r="UR360" s="243"/>
      <c r="US360" s="243"/>
      <c r="UT360" s="243"/>
      <c r="UU360" s="243"/>
      <c r="UV360" s="243"/>
      <c r="UW360" s="243"/>
      <c r="UX360" s="243"/>
      <c r="UY360" s="243"/>
      <c r="UZ360" s="243"/>
      <c r="VA360" s="243"/>
      <c r="VB360" s="243"/>
      <c r="VC360" s="243"/>
      <c r="VD360" s="243"/>
      <c r="VE360" s="243"/>
      <c r="VF360" s="243"/>
      <c r="VG360" s="243"/>
      <c r="VH360" s="243"/>
      <c r="VI360" s="243"/>
      <c r="VJ360" s="243"/>
      <c r="VK360" s="243"/>
      <c r="VL360" s="243"/>
      <c r="VM360" s="243"/>
      <c r="VN360" s="243"/>
      <c r="VO360" s="243"/>
      <c r="VP360" s="243"/>
      <c r="VQ360" s="243"/>
      <c r="VR360" s="243"/>
      <c r="VS360" s="243"/>
      <c r="VT360" s="243"/>
      <c r="VU360" s="243"/>
      <c r="VV360" s="243"/>
      <c r="VW360" s="243"/>
      <c r="VX360" s="243"/>
      <c r="VY360" s="243"/>
      <c r="VZ360" s="243"/>
      <c r="WA360" s="243"/>
      <c r="WB360" s="243"/>
      <c r="WC360" s="243"/>
      <c r="WD360" s="243"/>
      <c r="WE360" s="243"/>
      <c r="WF360" s="243"/>
      <c r="WG360" s="243"/>
      <c r="WH360" s="243"/>
      <c r="WI360" s="243"/>
      <c r="WJ360" s="243"/>
      <c r="WK360" s="243"/>
      <c r="WL360" s="243"/>
      <c r="WM360" s="243"/>
      <c r="WN360" s="243"/>
      <c r="WO360" s="243"/>
      <c r="WP360" s="243"/>
      <c r="WQ360" s="243"/>
      <c r="WR360" s="243"/>
      <c r="WS360" s="243"/>
      <c r="WT360" s="243"/>
      <c r="WU360" s="243"/>
      <c r="WV360" s="243"/>
      <c r="WW360" s="243"/>
      <c r="WX360" s="243"/>
      <c r="WY360" s="243"/>
      <c r="WZ360" s="243"/>
      <c r="XA360" s="243"/>
      <c r="XB360" s="243"/>
      <c r="XC360" s="243"/>
      <c r="XD360" s="243"/>
      <c r="XE360" s="243"/>
      <c r="XF360" s="243"/>
      <c r="XG360" s="243"/>
      <c r="XH360" s="243"/>
      <c r="XI360" s="243"/>
      <c r="XJ360" s="243"/>
      <c r="XK360" s="243"/>
      <c r="XL360" s="243"/>
      <c r="XM360" s="243"/>
      <c r="XN360" s="243"/>
      <c r="XO360" s="243"/>
      <c r="XP360" s="243"/>
      <c r="XQ360" s="243"/>
      <c r="XR360" s="243"/>
      <c r="XS360" s="243"/>
      <c r="XT360" s="243"/>
      <c r="XU360" s="243"/>
      <c r="XV360" s="243"/>
      <c r="XW360" s="243"/>
      <c r="XX360" s="243"/>
      <c r="XY360" s="243"/>
      <c r="XZ360" s="243"/>
      <c r="YA360" s="243"/>
      <c r="YB360" s="243"/>
      <c r="YC360" s="243"/>
      <c r="YD360" s="243"/>
      <c r="YE360" s="243"/>
      <c r="YF360" s="243"/>
      <c r="YG360" s="243"/>
      <c r="YH360" s="243"/>
      <c r="YI360" s="243"/>
      <c r="YJ360" s="243"/>
      <c r="YK360" s="243"/>
      <c r="YL360" s="243"/>
      <c r="YM360" s="243"/>
      <c r="YN360" s="243"/>
      <c r="YO360" s="243"/>
      <c r="YP360" s="243"/>
      <c r="YQ360" s="243"/>
      <c r="YR360" s="243"/>
      <c r="YS360" s="243"/>
      <c r="YT360" s="243"/>
      <c r="YU360" s="243"/>
      <c r="YV360" s="243"/>
      <c r="YW360" s="243"/>
      <c r="YX360" s="243"/>
      <c r="YY360" s="243"/>
      <c r="YZ360" s="243"/>
      <c r="ZA360" s="243"/>
      <c r="ZB360" s="243"/>
      <c r="ZC360" s="243"/>
      <c r="ZD360" s="243"/>
      <c r="ZE360" s="243"/>
      <c r="ZF360" s="243"/>
      <c r="ZG360" s="243"/>
      <c r="ZH360" s="243"/>
      <c r="ZI360" s="243"/>
      <c r="ZJ360" s="243"/>
      <c r="ZK360" s="243"/>
      <c r="ZL360" s="243"/>
      <c r="ZM360" s="243"/>
      <c r="ZN360" s="243"/>
      <c r="ZO360" s="243"/>
      <c r="ZP360" s="243"/>
      <c r="ZQ360" s="243"/>
      <c r="ZR360" s="243"/>
      <c r="ZS360" s="243"/>
      <c r="ZT360" s="243"/>
      <c r="ZU360" s="243"/>
      <c r="ZV360" s="243"/>
      <c r="ZW360" s="243"/>
      <c r="ZX360" s="243"/>
      <c r="ZY360" s="243"/>
      <c r="ZZ360" s="243"/>
      <c r="AAA360" s="243"/>
      <c r="AAB360" s="243"/>
      <c r="AAC360" s="243"/>
      <c r="AAD360" s="243"/>
      <c r="AAE360" s="243"/>
      <c r="AAF360" s="243"/>
      <c r="AAG360" s="243"/>
      <c r="AAH360" s="243"/>
      <c r="AAI360" s="243"/>
      <c r="AAJ360" s="243"/>
      <c r="AAK360" s="243"/>
      <c r="AAL360" s="243"/>
      <c r="AAM360" s="243"/>
      <c r="AAN360" s="243"/>
      <c r="AAO360" s="243"/>
      <c r="AAP360" s="243"/>
      <c r="AAQ360" s="243"/>
      <c r="AAR360" s="243"/>
      <c r="AAS360" s="243"/>
      <c r="AAT360" s="243"/>
      <c r="AAU360" s="243"/>
      <c r="AAV360" s="243"/>
      <c r="AAW360" s="243"/>
      <c r="AAX360" s="243"/>
      <c r="AAY360" s="243"/>
      <c r="AAZ360" s="243"/>
      <c r="ABA360" s="243"/>
      <c r="ABB360" s="243"/>
      <c r="ABC360" s="243"/>
      <c r="ABD360" s="243"/>
      <c r="ABE360" s="243"/>
      <c r="ABF360" s="243"/>
      <c r="ABG360" s="243"/>
      <c r="ABH360" s="243"/>
      <c r="ABI360" s="243"/>
      <c r="ABJ360" s="243"/>
      <c r="ABK360" s="243"/>
      <c r="ABL360" s="243"/>
      <c r="ABM360" s="243"/>
      <c r="ABN360" s="243"/>
      <c r="ABO360" s="243"/>
      <c r="ABP360" s="243"/>
      <c r="ABQ360" s="243"/>
      <c r="ABR360" s="243"/>
      <c r="ABS360" s="243"/>
      <c r="ABT360" s="243"/>
      <c r="ABU360" s="243"/>
      <c r="ABV360" s="243"/>
      <c r="ABW360" s="243"/>
      <c r="ABX360" s="243"/>
      <c r="ABY360" s="243"/>
      <c r="ABZ360" s="243"/>
      <c r="ACA360" s="243"/>
      <c r="ACB360" s="243"/>
      <c r="ACC360" s="243"/>
      <c r="ACD360" s="243"/>
      <c r="ACE360" s="243"/>
      <c r="ACF360" s="243"/>
      <c r="ACG360" s="243"/>
      <c r="ACH360" s="243"/>
      <c r="ACI360" s="243"/>
      <c r="ACJ360" s="243"/>
      <c r="ACK360" s="243"/>
      <c r="ACL360" s="243"/>
      <c r="ACM360" s="243"/>
      <c r="ACN360" s="243"/>
      <c r="ACO360" s="243"/>
      <c r="ACP360" s="243"/>
      <c r="ACQ360" s="243"/>
      <c r="ACR360" s="243"/>
      <c r="ACS360" s="243"/>
      <c r="ACT360" s="243"/>
      <c r="ACU360" s="243"/>
      <c r="ACV360" s="243"/>
      <c r="ACW360" s="243"/>
      <c r="ACX360" s="243"/>
      <c r="ACY360" s="243"/>
      <c r="ACZ360" s="243"/>
      <c r="ADA360" s="243"/>
      <c r="ADB360" s="243"/>
      <c r="ADC360" s="243"/>
      <c r="ADD360" s="243"/>
      <c r="ADE360" s="243"/>
      <c r="ADF360" s="243"/>
      <c r="ADG360" s="243"/>
      <c r="ADH360" s="243"/>
      <c r="ADI360" s="243"/>
      <c r="ADJ360" s="243"/>
      <c r="ADK360" s="243"/>
      <c r="ADL360" s="243"/>
      <c r="ADM360" s="243"/>
      <c r="ADN360" s="243"/>
      <c r="ADO360" s="243"/>
      <c r="ADP360" s="243"/>
      <c r="ADQ360" s="243"/>
      <c r="ADR360" s="243"/>
      <c r="ADS360" s="243"/>
      <c r="ADT360" s="243"/>
      <c r="ADU360" s="243"/>
      <c r="ADV360" s="243"/>
      <c r="ADW360" s="243"/>
      <c r="ADX360" s="243"/>
      <c r="ADY360" s="243"/>
      <c r="ADZ360" s="243"/>
      <c r="AEA360" s="243"/>
      <c r="AEB360" s="243"/>
      <c r="AEC360" s="243"/>
      <c r="AED360" s="243"/>
      <c r="AEE360" s="243"/>
      <c r="AEF360" s="243"/>
      <c r="AEG360" s="243"/>
      <c r="AEH360" s="243"/>
      <c r="AEI360" s="243"/>
      <c r="AEJ360" s="243"/>
      <c r="AEK360" s="243"/>
      <c r="AEL360" s="243"/>
      <c r="AEM360" s="243"/>
      <c r="AEN360" s="243"/>
      <c r="AEO360" s="243"/>
      <c r="AEP360" s="243"/>
      <c r="AEQ360" s="243"/>
      <c r="AER360" s="243"/>
      <c r="AES360" s="243"/>
      <c r="AET360" s="243"/>
      <c r="AEU360" s="243"/>
      <c r="AEV360" s="243"/>
      <c r="AEW360" s="243"/>
      <c r="AEX360" s="243"/>
      <c r="AEY360" s="243"/>
      <c r="AEZ360" s="243"/>
      <c r="AFA360" s="243"/>
      <c r="AFB360" s="243"/>
      <c r="AFC360" s="243"/>
      <c r="AFD360" s="243"/>
      <c r="AFE360" s="243"/>
      <c r="AFF360" s="243"/>
      <c r="AFG360" s="243"/>
      <c r="AFH360" s="243"/>
      <c r="AFI360" s="243"/>
      <c r="AFJ360" s="243"/>
      <c r="AFK360" s="243"/>
      <c r="AFL360" s="243"/>
      <c r="AFM360" s="243"/>
      <c r="AFN360" s="243"/>
      <c r="AFO360" s="243"/>
      <c r="AFP360" s="243"/>
      <c r="AFQ360" s="243"/>
      <c r="AFR360" s="243"/>
      <c r="AFS360" s="243"/>
      <c r="AFT360" s="243"/>
      <c r="AFU360" s="243"/>
      <c r="AFV360" s="243"/>
      <c r="AFW360" s="243"/>
      <c r="AFX360" s="243"/>
      <c r="AFY360" s="243"/>
      <c r="AFZ360" s="243"/>
      <c r="AGA360" s="243"/>
      <c r="AGB360" s="243"/>
      <c r="AGC360" s="243"/>
      <c r="AGD360" s="243"/>
      <c r="AGE360" s="243"/>
      <c r="AGF360" s="243"/>
      <c r="AGG360" s="243"/>
      <c r="AGH360" s="243"/>
      <c r="AGI360" s="243"/>
      <c r="AGJ360" s="243"/>
      <c r="AGK360" s="243"/>
      <c r="AGL360" s="243"/>
      <c r="AGM360" s="243"/>
      <c r="AGN360" s="243"/>
      <c r="AGO360" s="243"/>
      <c r="AGP360" s="243"/>
      <c r="AGQ360" s="243"/>
      <c r="AGR360" s="243"/>
      <c r="AGS360" s="243"/>
      <c r="AGT360" s="243"/>
      <c r="AGU360" s="243"/>
      <c r="AGV360" s="243"/>
      <c r="AGW360" s="243"/>
      <c r="AGX360" s="243"/>
      <c r="AGY360" s="243"/>
      <c r="AGZ360" s="243"/>
      <c r="AHA360" s="243"/>
      <c r="AHB360" s="243"/>
      <c r="AHC360" s="243"/>
      <c r="AHD360" s="243"/>
      <c r="AHE360" s="243"/>
      <c r="AHF360" s="243"/>
      <c r="AHG360" s="243"/>
      <c r="AHH360" s="243"/>
      <c r="AHI360" s="243"/>
      <c r="AHJ360" s="243"/>
      <c r="AHK360" s="243"/>
      <c r="AHL360" s="243"/>
      <c r="AHM360" s="243"/>
      <c r="AHN360" s="243"/>
      <c r="AHO360" s="243"/>
      <c r="AHP360" s="243"/>
      <c r="AHQ360" s="243"/>
      <c r="AHR360" s="243"/>
      <c r="AHS360" s="243"/>
      <c r="AHT360" s="243"/>
      <c r="AHU360" s="243"/>
      <c r="AHV360" s="243"/>
      <c r="AHW360" s="243"/>
      <c r="AHX360" s="243"/>
      <c r="AHY360" s="243"/>
      <c r="AHZ360" s="243"/>
      <c r="AIA360" s="243"/>
      <c r="AIB360" s="243"/>
      <c r="AIC360" s="243"/>
      <c r="AID360" s="243"/>
      <c r="AIE360" s="243"/>
      <c r="AIF360" s="243"/>
      <c r="AIG360" s="243"/>
      <c r="AIH360" s="243"/>
      <c r="AII360" s="243"/>
      <c r="AIJ360" s="243"/>
      <c r="AIK360" s="243"/>
      <c r="AIL360" s="243"/>
      <c r="AIM360" s="243"/>
      <c r="AIN360" s="243"/>
      <c r="AIO360" s="243"/>
      <c r="AIP360" s="243"/>
      <c r="AIQ360" s="243"/>
      <c r="AIR360" s="243"/>
      <c r="AIS360" s="243"/>
      <c r="AIT360" s="243"/>
      <c r="AIU360" s="243"/>
      <c r="AIV360" s="243"/>
      <c r="AIW360" s="243"/>
      <c r="AIX360" s="243"/>
      <c r="AIY360" s="243"/>
      <c r="AIZ360" s="243"/>
      <c r="AJA360" s="243"/>
      <c r="AJB360" s="243"/>
      <c r="AJC360" s="243"/>
      <c r="AJD360" s="243"/>
      <c r="AJE360" s="243"/>
      <c r="AJF360" s="243"/>
      <c r="AJG360" s="243"/>
      <c r="AJH360" s="243"/>
      <c r="AJI360" s="243"/>
      <c r="AJJ360" s="243"/>
      <c r="AJK360" s="243"/>
      <c r="AJL360" s="243"/>
      <c r="AJM360" s="243"/>
      <c r="AJN360" s="243"/>
      <c r="AJO360" s="243"/>
      <c r="AJP360" s="243"/>
      <c r="AJQ360" s="243"/>
      <c r="AJR360" s="243"/>
      <c r="AJS360" s="243"/>
      <c r="AJT360" s="243"/>
      <c r="AJU360" s="243"/>
      <c r="AJV360" s="243"/>
      <c r="AJW360" s="243"/>
      <c r="AJX360" s="243"/>
      <c r="AJY360" s="243"/>
      <c r="AJZ360" s="243"/>
      <c r="AKA360" s="243"/>
      <c r="AKB360" s="243"/>
      <c r="AKC360" s="243"/>
      <c r="AKD360" s="243"/>
      <c r="AKE360" s="243"/>
      <c r="AKF360" s="243"/>
      <c r="AKG360" s="243"/>
      <c r="AKH360" s="243"/>
      <c r="AKI360" s="243"/>
      <c r="AKJ360" s="243"/>
      <c r="AKK360" s="243"/>
      <c r="AKL360" s="243"/>
      <c r="AKM360" s="243"/>
      <c r="AKN360" s="243"/>
      <c r="AKO360" s="243"/>
      <c r="AKP360" s="243"/>
      <c r="AKQ360" s="243"/>
      <c r="AKR360" s="243"/>
      <c r="AKS360" s="243"/>
      <c r="AKT360" s="243"/>
      <c r="AKU360" s="243"/>
      <c r="AKV360" s="243"/>
      <c r="AKW360" s="243"/>
      <c r="AKX360" s="243"/>
      <c r="AKY360" s="243"/>
      <c r="AKZ360" s="243"/>
      <c r="ALA360" s="243"/>
      <c r="ALB360" s="243"/>
      <c r="ALC360" s="243"/>
      <c r="ALD360" s="243"/>
      <c r="ALE360" s="243"/>
      <c r="ALF360" s="243"/>
      <c r="ALG360" s="243"/>
      <c r="ALH360" s="243"/>
      <c r="ALI360" s="243"/>
      <c r="ALJ360" s="243"/>
      <c r="ALK360" s="243"/>
      <c r="ALL360" s="243"/>
      <c r="ALM360" s="243"/>
      <c r="ALN360" s="243"/>
      <c r="ALO360" s="243"/>
      <c r="ALP360" s="243"/>
      <c r="ALQ360" s="243"/>
      <c r="ALR360" s="243"/>
      <c r="ALS360" s="243"/>
      <c r="ALT360" s="243"/>
      <c r="ALU360" s="243"/>
      <c r="ALV360" s="243"/>
      <c r="ALW360" s="243"/>
      <c r="ALX360" s="243"/>
      <c r="ALY360" s="243"/>
      <c r="ALZ360" s="243"/>
      <c r="AMA360" s="243"/>
      <c r="AMB360" s="243"/>
      <c r="AMC360" s="243"/>
      <c r="AMD360" s="243"/>
      <c r="AME360" s="243"/>
      <c r="AMF360" s="243"/>
      <c r="AMG360" s="243"/>
      <c r="AMH360" s="243"/>
      <c r="AMI360" s="244"/>
      <c r="AMJ360" s="244"/>
    </row>
    <row r="361" spans="1:1024">
      <c r="A361" s="906"/>
      <c r="B361" s="662" t="s">
        <v>43</v>
      </c>
      <c r="C361" s="571"/>
      <c r="D361" s="556" t="s">
        <v>251</v>
      </c>
      <c r="E361" s="321"/>
      <c r="F361" s="318"/>
      <c r="G361" s="318"/>
      <c r="H361" s="604"/>
      <c r="I361" s="523"/>
      <c r="J361" s="635"/>
      <c r="K361" s="604"/>
      <c r="L361" s="633"/>
      <c r="M361" s="622"/>
      <c r="N361" s="647"/>
      <c r="O361" s="648"/>
      <c r="P361" s="649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  <c r="AA361" s="243"/>
      <c r="AB361" s="243"/>
      <c r="AC361" s="243"/>
      <c r="AD361" s="243"/>
      <c r="AE361" s="243"/>
      <c r="AF361" s="243"/>
      <c r="AG361" s="243"/>
      <c r="AH361" s="243"/>
      <c r="AI361" s="243"/>
      <c r="AJ361" s="243"/>
      <c r="AK361" s="243"/>
      <c r="AL361" s="243"/>
      <c r="AM361" s="243"/>
      <c r="AN361" s="243"/>
      <c r="AO361" s="243"/>
      <c r="AP361" s="243"/>
      <c r="AQ361" s="243"/>
      <c r="AR361" s="243"/>
      <c r="AS361" s="243"/>
      <c r="AT361" s="243"/>
      <c r="AU361" s="243"/>
      <c r="AV361" s="243"/>
      <c r="AW361" s="243"/>
      <c r="AX361" s="243"/>
      <c r="AY361" s="243"/>
      <c r="AZ361" s="243"/>
      <c r="BA361" s="243"/>
      <c r="BB361" s="243"/>
      <c r="BC361" s="243"/>
      <c r="BD361" s="243"/>
      <c r="BE361" s="243"/>
      <c r="BF361" s="243"/>
      <c r="BG361" s="243"/>
      <c r="BH361" s="243"/>
      <c r="BI361" s="243"/>
      <c r="BJ361" s="243"/>
      <c r="BK361" s="243"/>
      <c r="BL361" s="243"/>
      <c r="BM361" s="243"/>
      <c r="BN361" s="243"/>
      <c r="BO361" s="243"/>
      <c r="BP361" s="243"/>
      <c r="BQ361" s="243"/>
      <c r="BR361" s="243"/>
      <c r="BS361" s="243"/>
      <c r="BT361" s="243"/>
      <c r="BU361" s="243"/>
      <c r="BV361" s="243"/>
      <c r="BW361" s="243"/>
      <c r="BX361" s="243"/>
      <c r="BY361" s="243"/>
      <c r="BZ361" s="243"/>
      <c r="CA361" s="243"/>
      <c r="CB361" s="243"/>
      <c r="CC361" s="243"/>
      <c r="CD361" s="243"/>
      <c r="CE361" s="243"/>
      <c r="CF361" s="243"/>
      <c r="CG361" s="243"/>
      <c r="CH361" s="243"/>
      <c r="CI361" s="243"/>
      <c r="CJ361" s="243"/>
      <c r="CK361" s="243"/>
      <c r="CL361" s="243"/>
      <c r="CM361" s="243"/>
      <c r="CN361" s="243"/>
      <c r="CO361" s="243"/>
      <c r="CP361" s="243"/>
      <c r="CQ361" s="243"/>
      <c r="CR361" s="243"/>
      <c r="CS361" s="243"/>
      <c r="CT361" s="243"/>
      <c r="CU361" s="243"/>
      <c r="CV361" s="243"/>
      <c r="CW361" s="243"/>
      <c r="CX361" s="243"/>
      <c r="CY361" s="243"/>
      <c r="CZ361" s="243"/>
      <c r="DA361" s="243"/>
      <c r="DB361" s="243"/>
      <c r="DC361" s="243"/>
      <c r="DD361" s="243"/>
      <c r="DE361" s="243"/>
      <c r="DF361" s="243"/>
      <c r="DG361" s="243"/>
      <c r="DH361" s="243"/>
      <c r="DI361" s="243"/>
      <c r="DJ361" s="243"/>
      <c r="DK361" s="243"/>
      <c r="DL361" s="243"/>
      <c r="DM361" s="243"/>
      <c r="DN361" s="243"/>
      <c r="DO361" s="243"/>
      <c r="DP361" s="243"/>
      <c r="DQ361" s="243"/>
      <c r="DR361" s="243"/>
      <c r="DS361" s="243"/>
      <c r="DT361" s="243"/>
      <c r="DU361" s="243"/>
      <c r="DV361" s="243"/>
      <c r="DW361" s="243"/>
      <c r="DX361" s="243"/>
      <c r="DY361" s="243"/>
      <c r="DZ361" s="243"/>
      <c r="EA361" s="243"/>
      <c r="EB361" s="243"/>
      <c r="EC361" s="243"/>
      <c r="ED361" s="243"/>
      <c r="EE361" s="243"/>
      <c r="EF361" s="243"/>
      <c r="EG361" s="243"/>
      <c r="EH361" s="243"/>
      <c r="EI361" s="243"/>
      <c r="EJ361" s="243"/>
      <c r="EK361" s="243"/>
      <c r="EL361" s="243"/>
      <c r="EM361" s="243"/>
      <c r="EN361" s="243"/>
      <c r="EO361" s="243"/>
      <c r="EP361" s="243"/>
      <c r="EQ361" s="243"/>
      <c r="ER361" s="243"/>
      <c r="ES361" s="243"/>
      <c r="ET361" s="243"/>
      <c r="EU361" s="243"/>
      <c r="EV361" s="243"/>
      <c r="EW361" s="243"/>
      <c r="EX361" s="243"/>
      <c r="EY361" s="243"/>
      <c r="EZ361" s="243"/>
      <c r="FA361" s="243"/>
      <c r="FB361" s="243"/>
      <c r="FC361" s="243"/>
      <c r="FD361" s="243"/>
      <c r="FE361" s="243"/>
      <c r="FF361" s="243"/>
      <c r="FG361" s="243"/>
      <c r="FH361" s="243"/>
      <c r="FI361" s="243"/>
      <c r="FJ361" s="243"/>
      <c r="FK361" s="243"/>
      <c r="FL361" s="243"/>
      <c r="FM361" s="243"/>
      <c r="FN361" s="243"/>
      <c r="FO361" s="243"/>
      <c r="FP361" s="243"/>
      <c r="FQ361" s="243"/>
      <c r="FR361" s="243"/>
      <c r="FS361" s="243"/>
      <c r="FT361" s="243"/>
      <c r="FU361" s="243"/>
      <c r="FV361" s="243"/>
      <c r="FW361" s="243"/>
      <c r="FX361" s="243"/>
      <c r="FY361" s="243"/>
      <c r="FZ361" s="243"/>
      <c r="GA361" s="243"/>
      <c r="GB361" s="243"/>
      <c r="GC361" s="243"/>
      <c r="GD361" s="243"/>
      <c r="GE361" s="243"/>
      <c r="GF361" s="243"/>
      <c r="GG361" s="243"/>
      <c r="GH361" s="243"/>
      <c r="GI361" s="243"/>
      <c r="GJ361" s="243"/>
      <c r="GK361" s="243"/>
      <c r="GL361" s="243"/>
      <c r="GM361" s="243"/>
      <c r="GN361" s="243"/>
      <c r="GO361" s="243"/>
      <c r="GP361" s="243"/>
      <c r="GQ361" s="243"/>
      <c r="GR361" s="243"/>
      <c r="GS361" s="243"/>
      <c r="GT361" s="243"/>
      <c r="GU361" s="243"/>
      <c r="GV361" s="243"/>
      <c r="GW361" s="243"/>
      <c r="GX361" s="243"/>
      <c r="GY361" s="243"/>
      <c r="GZ361" s="243"/>
      <c r="HA361" s="243"/>
      <c r="HB361" s="243"/>
      <c r="HC361" s="243"/>
      <c r="HD361" s="243"/>
      <c r="HE361" s="243"/>
      <c r="HF361" s="243"/>
      <c r="HG361" s="243"/>
      <c r="HH361" s="243"/>
      <c r="HI361" s="243"/>
      <c r="HJ361" s="243"/>
      <c r="HK361" s="243"/>
      <c r="HL361" s="243"/>
      <c r="HM361" s="243"/>
      <c r="HN361" s="243"/>
      <c r="HO361" s="243"/>
      <c r="HP361" s="243"/>
      <c r="HQ361" s="243"/>
      <c r="HR361" s="243"/>
      <c r="HS361" s="243"/>
      <c r="HT361" s="243"/>
      <c r="HU361" s="243"/>
      <c r="HV361" s="243"/>
      <c r="HW361" s="243"/>
      <c r="HX361" s="243"/>
      <c r="HY361" s="243"/>
      <c r="HZ361" s="243"/>
      <c r="IA361" s="243"/>
      <c r="IB361" s="243"/>
      <c r="IC361" s="243"/>
      <c r="ID361" s="243"/>
      <c r="IE361" s="243"/>
      <c r="IF361" s="243"/>
      <c r="IG361" s="243"/>
      <c r="IH361" s="243"/>
      <c r="II361" s="243"/>
      <c r="IJ361" s="243"/>
      <c r="IK361" s="243"/>
      <c r="IL361" s="243"/>
      <c r="IM361" s="243"/>
      <c r="IN361" s="243"/>
      <c r="IO361" s="243"/>
      <c r="IP361" s="243"/>
      <c r="IQ361" s="243"/>
      <c r="IR361" s="243"/>
      <c r="IS361" s="243"/>
      <c r="IT361" s="243"/>
      <c r="IU361" s="243"/>
      <c r="IV361" s="243"/>
      <c r="IW361" s="243"/>
      <c r="IX361" s="243"/>
      <c r="IY361" s="243"/>
      <c r="IZ361" s="243"/>
      <c r="JA361" s="243"/>
      <c r="JB361" s="243"/>
      <c r="JC361" s="243"/>
      <c r="JD361" s="243"/>
      <c r="JE361" s="243"/>
      <c r="JF361" s="243"/>
      <c r="JG361" s="243"/>
      <c r="JH361" s="243"/>
      <c r="JI361" s="243"/>
      <c r="JJ361" s="243"/>
      <c r="JK361" s="243"/>
      <c r="JL361" s="243"/>
      <c r="JM361" s="243"/>
      <c r="JN361" s="243"/>
      <c r="JO361" s="243"/>
      <c r="JP361" s="243"/>
      <c r="JQ361" s="243"/>
      <c r="JR361" s="243"/>
      <c r="JS361" s="243"/>
      <c r="JT361" s="243"/>
      <c r="JU361" s="243"/>
      <c r="JV361" s="243"/>
      <c r="JW361" s="243"/>
      <c r="JX361" s="243"/>
      <c r="JY361" s="243"/>
      <c r="JZ361" s="243"/>
      <c r="KA361" s="243"/>
      <c r="KB361" s="243"/>
      <c r="KC361" s="243"/>
      <c r="KD361" s="243"/>
      <c r="KE361" s="243"/>
      <c r="KF361" s="243"/>
      <c r="KG361" s="243"/>
      <c r="KH361" s="243"/>
      <c r="KI361" s="243"/>
      <c r="KJ361" s="243"/>
      <c r="KK361" s="243"/>
      <c r="KL361" s="243"/>
      <c r="KM361" s="243"/>
      <c r="KN361" s="243"/>
      <c r="KO361" s="243"/>
      <c r="KP361" s="243"/>
      <c r="KQ361" s="243"/>
      <c r="KR361" s="243"/>
      <c r="KS361" s="243"/>
      <c r="KT361" s="243"/>
      <c r="KU361" s="243"/>
      <c r="KV361" s="243"/>
      <c r="KW361" s="243"/>
      <c r="KX361" s="243"/>
      <c r="KY361" s="243"/>
      <c r="KZ361" s="243"/>
      <c r="LA361" s="243"/>
      <c r="LB361" s="243"/>
      <c r="LC361" s="243"/>
      <c r="LD361" s="243"/>
      <c r="LE361" s="243"/>
      <c r="LF361" s="243"/>
      <c r="LG361" s="243"/>
      <c r="LH361" s="243"/>
      <c r="LI361" s="243"/>
      <c r="LJ361" s="243"/>
      <c r="LK361" s="243"/>
      <c r="LL361" s="243"/>
      <c r="LM361" s="243"/>
      <c r="LN361" s="243"/>
      <c r="LO361" s="243"/>
      <c r="LP361" s="243"/>
      <c r="LQ361" s="243"/>
      <c r="LR361" s="243"/>
      <c r="LS361" s="243"/>
      <c r="LT361" s="243"/>
      <c r="LU361" s="243"/>
      <c r="LV361" s="243"/>
      <c r="LW361" s="243"/>
      <c r="LX361" s="243"/>
      <c r="LY361" s="243"/>
      <c r="LZ361" s="243"/>
      <c r="MA361" s="243"/>
      <c r="MB361" s="243"/>
      <c r="MC361" s="243"/>
      <c r="MD361" s="243"/>
      <c r="ME361" s="243"/>
      <c r="MF361" s="243"/>
      <c r="MG361" s="243"/>
      <c r="MH361" s="243"/>
      <c r="MI361" s="243"/>
      <c r="MJ361" s="243"/>
      <c r="MK361" s="243"/>
      <c r="ML361" s="243"/>
      <c r="MM361" s="243"/>
      <c r="MN361" s="243"/>
      <c r="MO361" s="243"/>
      <c r="MP361" s="243"/>
      <c r="MQ361" s="243"/>
      <c r="MR361" s="243"/>
      <c r="MS361" s="243"/>
      <c r="MT361" s="243"/>
      <c r="MU361" s="243"/>
      <c r="MV361" s="243"/>
      <c r="MW361" s="243"/>
      <c r="MX361" s="243"/>
      <c r="MY361" s="243"/>
      <c r="MZ361" s="243"/>
      <c r="NA361" s="243"/>
      <c r="NB361" s="243"/>
      <c r="NC361" s="243"/>
      <c r="ND361" s="243"/>
      <c r="NE361" s="243"/>
      <c r="NF361" s="243"/>
      <c r="NG361" s="243"/>
      <c r="NH361" s="243"/>
      <c r="NI361" s="243"/>
      <c r="NJ361" s="243"/>
      <c r="NK361" s="243"/>
      <c r="NL361" s="243"/>
      <c r="NM361" s="243"/>
      <c r="NN361" s="243"/>
      <c r="NO361" s="243"/>
      <c r="NP361" s="243"/>
      <c r="NQ361" s="243"/>
      <c r="NR361" s="243"/>
      <c r="NS361" s="243"/>
      <c r="NT361" s="243"/>
      <c r="NU361" s="243"/>
      <c r="NV361" s="243"/>
      <c r="NW361" s="243"/>
      <c r="NX361" s="243"/>
      <c r="NY361" s="243"/>
      <c r="NZ361" s="243"/>
      <c r="OA361" s="243"/>
      <c r="OB361" s="243"/>
      <c r="OC361" s="243"/>
      <c r="OD361" s="243"/>
      <c r="OE361" s="243"/>
      <c r="OF361" s="243"/>
      <c r="OG361" s="243"/>
      <c r="OH361" s="243"/>
      <c r="OI361" s="243"/>
      <c r="OJ361" s="243"/>
      <c r="OK361" s="243"/>
      <c r="OL361" s="243"/>
      <c r="OM361" s="243"/>
      <c r="ON361" s="243"/>
      <c r="OO361" s="243"/>
      <c r="OP361" s="243"/>
      <c r="OQ361" s="243"/>
      <c r="OR361" s="243"/>
      <c r="OS361" s="243"/>
      <c r="OT361" s="243"/>
      <c r="OU361" s="243"/>
      <c r="OV361" s="243"/>
      <c r="OW361" s="243"/>
      <c r="OX361" s="243"/>
      <c r="OY361" s="243"/>
      <c r="OZ361" s="243"/>
      <c r="PA361" s="243"/>
      <c r="PB361" s="243"/>
      <c r="PC361" s="243"/>
      <c r="PD361" s="243"/>
      <c r="PE361" s="243"/>
      <c r="PF361" s="243"/>
      <c r="PG361" s="243"/>
      <c r="PH361" s="243"/>
      <c r="PI361" s="243"/>
      <c r="PJ361" s="243"/>
      <c r="PK361" s="243"/>
      <c r="PL361" s="243"/>
      <c r="PM361" s="243"/>
      <c r="PN361" s="243"/>
      <c r="PO361" s="243"/>
      <c r="PP361" s="243"/>
      <c r="PQ361" s="243"/>
      <c r="PR361" s="243"/>
      <c r="PS361" s="243"/>
      <c r="PT361" s="243"/>
      <c r="PU361" s="243"/>
      <c r="PV361" s="243"/>
      <c r="PW361" s="243"/>
      <c r="PX361" s="243"/>
      <c r="PY361" s="243"/>
      <c r="PZ361" s="243"/>
      <c r="QA361" s="243"/>
      <c r="QB361" s="243"/>
      <c r="QC361" s="243"/>
      <c r="QD361" s="243"/>
      <c r="QE361" s="243"/>
      <c r="QF361" s="243"/>
      <c r="QG361" s="243"/>
      <c r="QH361" s="243"/>
      <c r="QI361" s="243"/>
      <c r="QJ361" s="243"/>
      <c r="QK361" s="243"/>
      <c r="QL361" s="243"/>
      <c r="QM361" s="243"/>
      <c r="QN361" s="243"/>
      <c r="QO361" s="243"/>
      <c r="QP361" s="243"/>
      <c r="QQ361" s="243"/>
      <c r="QR361" s="243"/>
      <c r="QS361" s="243"/>
      <c r="QT361" s="243"/>
      <c r="QU361" s="243"/>
      <c r="QV361" s="243"/>
      <c r="QW361" s="243"/>
      <c r="QX361" s="243"/>
      <c r="QY361" s="243"/>
      <c r="QZ361" s="243"/>
      <c r="RA361" s="243"/>
      <c r="RB361" s="243"/>
      <c r="RC361" s="243"/>
      <c r="RD361" s="243"/>
      <c r="RE361" s="243"/>
      <c r="RF361" s="243"/>
      <c r="RG361" s="243"/>
      <c r="RH361" s="243"/>
      <c r="RI361" s="243"/>
      <c r="RJ361" s="243"/>
      <c r="RK361" s="243"/>
      <c r="RL361" s="243"/>
      <c r="RM361" s="243"/>
      <c r="RN361" s="243"/>
      <c r="RO361" s="243"/>
      <c r="RP361" s="243"/>
      <c r="RQ361" s="243"/>
      <c r="RR361" s="243"/>
      <c r="RS361" s="243"/>
      <c r="RT361" s="243"/>
      <c r="RU361" s="243"/>
      <c r="RV361" s="243"/>
      <c r="RW361" s="243"/>
      <c r="RX361" s="243"/>
      <c r="RY361" s="243"/>
      <c r="RZ361" s="243"/>
      <c r="SA361" s="243"/>
      <c r="SB361" s="243"/>
      <c r="SC361" s="243"/>
      <c r="SD361" s="243"/>
      <c r="SE361" s="243"/>
      <c r="SF361" s="243"/>
      <c r="SG361" s="243"/>
      <c r="SH361" s="243"/>
      <c r="SI361" s="243"/>
      <c r="SJ361" s="243"/>
      <c r="SK361" s="243"/>
      <c r="SL361" s="243"/>
      <c r="SM361" s="243"/>
      <c r="SN361" s="243"/>
      <c r="SO361" s="243"/>
      <c r="SP361" s="243"/>
      <c r="SQ361" s="243"/>
      <c r="SR361" s="243"/>
      <c r="SS361" s="243"/>
      <c r="ST361" s="243"/>
      <c r="SU361" s="243"/>
      <c r="SV361" s="243"/>
      <c r="SW361" s="243"/>
      <c r="SX361" s="243"/>
      <c r="SY361" s="243"/>
      <c r="SZ361" s="243"/>
      <c r="TA361" s="243"/>
      <c r="TB361" s="243"/>
      <c r="TC361" s="243"/>
      <c r="TD361" s="243"/>
      <c r="TE361" s="243"/>
      <c r="TF361" s="243"/>
      <c r="TG361" s="243"/>
      <c r="TH361" s="243"/>
      <c r="TI361" s="243"/>
      <c r="TJ361" s="243"/>
      <c r="TK361" s="243"/>
      <c r="TL361" s="243"/>
      <c r="TM361" s="243"/>
      <c r="TN361" s="243"/>
      <c r="TO361" s="243"/>
      <c r="TP361" s="243"/>
      <c r="TQ361" s="243"/>
      <c r="TR361" s="243"/>
      <c r="TS361" s="243"/>
      <c r="TT361" s="243"/>
      <c r="TU361" s="243"/>
      <c r="TV361" s="243"/>
      <c r="TW361" s="243"/>
      <c r="TX361" s="243"/>
      <c r="TY361" s="243"/>
      <c r="TZ361" s="243"/>
      <c r="UA361" s="243"/>
      <c r="UB361" s="243"/>
      <c r="UC361" s="243"/>
      <c r="UD361" s="243"/>
      <c r="UE361" s="243"/>
      <c r="UF361" s="243"/>
      <c r="UG361" s="243"/>
      <c r="UH361" s="243"/>
      <c r="UI361" s="243"/>
      <c r="UJ361" s="243"/>
      <c r="UK361" s="243"/>
      <c r="UL361" s="243"/>
      <c r="UM361" s="243"/>
      <c r="UN361" s="243"/>
      <c r="UO361" s="243"/>
      <c r="UP361" s="243"/>
      <c r="UQ361" s="243"/>
      <c r="UR361" s="243"/>
      <c r="US361" s="243"/>
      <c r="UT361" s="243"/>
      <c r="UU361" s="243"/>
      <c r="UV361" s="243"/>
      <c r="UW361" s="243"/>
      <c r="UX361" s="243"/>
      <c r="UY361" s="243"/>
      <c r="UZ361" s="243"/>
      <c r="VA361" s="243"/>
      <c r="VB361" s="243"/>
      <c r="VC361" s="243"/>
      <c r="VD361" s="243"/>
      <c r="VE361" s="243"/>
      <c r="VF361" s="243"/>
      <c r="VG361" s="243"/>
      <c r="VH361" s="243"/>
      <c r="VI361" s="243"/>
      <c r="VJ361" s="243"/>
      <c r="VK361" s="243"/>
      <c r="VL361" s="243"/>
      <c r="VM361" s="243"/>
      <c r="VN361" s="243"/>
      <c r="VO361" s="243"/>
      <c r="VP361" s="243"/>
      <c r="VQ361" s="243"/>
      <c r="VR361" s="243"/>
      <c r="VS361" s="243"/>
      <c r="VT361" s="243"/>
      <c r="VU361" s="243"/>
      <c r="VV361" s="243"/>
      <c r="VW361" s="243"/>
      <c r="VX361" s="243"/>
      <c r="VY361" s="243"/>
      <c r="VZ361" s="243"/>
      <c r="WA361" s="243"/>
      <c r="WB361" s="243"/>
      <c r="WC361" s="243"/>
      <c r="WD361" s="243"/>
      <c r="WE361" s="243"/>
      <c r="WF361" s="243"/>
      <c r="WG361" s="243"/>
      <c r="WH361" s="243"/>
      <c r="WI361" s="243"/>
      <c r="WJ361" s="243"/>
      <c r="WK361" s="243"/>
      <c r="WL361" s="243"/>
      <c r="WM361" s="243"/>
      <c r="WN361" s="243"/>
      <c r="WO361" s="243"/>
      <c r="WP361" s="243"/>
      <c r="WQ361" s="243"/>
      <c r="WR361" s="243"/>
      <c r="WS361" s="243"/>
      <c r="WT361" s="243"/>
      <c r="WU361" s="243"/>
      <c r="WV361" s="243"/>
      <c r="WW361" s="243"/>
      <c r="WX361" s="243"/>
      <c r="WY361" s="243"/>
      <c r="WZ361" s="243"/>
      <c r="XA361" s="243"/>
      <c r="XB361" s="243"/>
      <c r="XC361" s="243"/>
      <c r="XD361" s="243"/>
      <c r="XE361" s="243"/>
      <c r="XF361" s="243"/>
      <c r="XG361" s="243"/>
      <c r="XH361" s="243"/>
      <c r="XI361" s="243"/>
      <c r="XJ361" s="243"/>
      <c r="XK361" s="243"/>
      <c r="XL361" s="243"/>
      <c r="XM361" s="243"/>
      <c r="XN361" s="243"/>
      <c r="XO361" s="243"/>
      <c r="XP361" s="243"/>
      <c r="XQ361" s="243"/>
      <c r="XR361" s="243"/>
      <c r="XS361" s="243"/>
      <c r="XT361" s="243"/>
      <c r="XU361" s="243"/>
      <c r="XV361" s="243"/>
      <c r="XW361" s="243"/>
      <c r="XX361" s="243"/>
      <c r="XY361" s="243"/>
      <c r="XZ361" s="243"/>
      <c r="YA361" s="243"/>
      <c r="YB361" s="243"/>
      <c r="YC361" s="243"/>
      <c r="YD361" s="243"/>
      <c r="YE361" s="243"/>
      <c r="YF361" s="243"/>
      <c r="YG361" s="243"/>
      <c r="YH361" s="243"/>
      <c r="YI361" s="243"/>
      <c r="YJ361" s="243"/>
      <c r="YK361" s="243"/>
      <c r="YL361" s="243"/>
      <c r="YM361" s="243"/>
      <c r="YN361" s="243"/>
      <c r="YO361" s="243"/>
      <c r="YP361" s="243"/>
      <c r="YQ361" s="243"/>
      <c r="YR361" s="243"/>
      <c r="YS361" s="243"/>
      <c r="YT361" s="243"/>
      <c r="YU361" s="243"/>
      <c r="YV361" s="243"/>
      <c r="YW361" s="243"/>
      <c r="YX361" s="243"/>
      <c r="YY361" s="243"/>
      <c r="YZ361" s="243"/>
      <c r="ZA361" s="243"/>
      <c r="ZB361" s="243"/>
      <c r="ZC361" s="243"/>
      <c r="ZD361" s="243"/>
      <c r="ZE361" s="243"/>
      <c r="ZF361" s="243"/>
      <c r="ZG361" s="243"/>
      <c r="ZH361" s="243"/>
      <c r="ZI361" s="243"/>
      <c r="ZJ361" s="243"/>
      <c r="ZK361" s="243"/>
      <c r="ZL361" s="243"/>
      <c r="ZM361" s="243"/>
      <c r="ZN361" s="243"/>
      <c r="ZO361" s="243"/>
      <c r="ZP361" s="243"/>
      <c r="ZQ361" s="243"/>
      <c r="ZR361" s="243"/>
      <c r="ZS361" s="243"/>
      <c r="ZT361" s="243"/>
      <c r="ZU361" s="243"/>
      <c r="ZV361" s="243"/>
      <c r="ZW361" s="243"/>
      <c r="ZX361" s="243"/>
      <c r="ZY361" s="243"/>
      <c r="ZZ361" s="243"/>
      <c r="AAA361" s="243"/>
      <c r="AAB361" s="243"/>
      <c r="AAC361" s="243"/>
      <c r="AAD361" s="243"/>
      <c r="AAE361" s="243"/>
      <c r="AAF361" s="243"/>
      <c r="AAG361" s="243"/>
      <c r="AAH361" s="243"/>
      <c r="AAI361" s="243"/>
      <c r="AAJ361" s="243"/>
      <c r="AAK361" s="243"/>
      <c r="AAL361" s="243"/>
      <c r="AAM361" s="243"/>
      <c r="AAN361" s="243"/>
      <c r="AAO361" s="243"/>
      <c r="AAP361" s="243"/>
      <c r="AAQ361" s="243"/>
      <c r="AAR361" s="243"/>
      <c r="AAS361" s="243"/>
      <c r="AAT361" s="243"/>
      <c r="AAU361" s="243"/>
      <c r="AAV361" s="243"/>
      <c r="AAW361" s="243"/>
      <c r="AAX361" s="243"/>
      <c r="AAY361" s="243"/>
      <c r="AAZ361" s="243"/>
      <c r="ABA361" s="243"/>
      <c r="ABB361" s="243"/>
      <c r="ABC361" s="243"/>
      <c r="ABD361" s="243"/>
      <c r="ABE361" s="243"/>
      <c r="ABF361" s="243"/>
      <c r="ABG361" s="243"/>
      <c r="ABH361" s="243"/>
      <c r="ABI361" s="243"/>
      <c r="ABJ361" s="243"/>
      <c r="ABK361" s="243"/>
      <c r="ABL361" s="243"/>
      <c r="ABM361" s="243"/>
      <c r="ABN361" s="243"/>
      <c r="ABO361" s="243"/>
      <c r="ABP361" s="243"/>
      <c r="ABQ361" s="243"/>
      <c r="ABR361" s="243"/>
      <c r="ABS361" s="243"/>
      <c r="ABT361" s="243"/>
      <c r="ABU361" s="243"/>
      <c r="ABV361" s="243"/>
      <c r="ABW361" s="243"/>
      <c r="ABX361" s="243"/>
      <c r="ABY361" s="243"/>
      <c r="ABZ361" s="243"/>
      <c r="ACA361" s="243"/>
      <c r="ACB361" s="243"/>
      <c r="ACC361" s="243"/>
      <c r="ACD361" s="243"/>
      <c r="ACE361" s="243"/>
      <c r="ACF361" s="243"/>
      <c r="ACG361" s="243"/>
      <c r="ACH361" s="243"/>
      <c r="ACI361" s="243"/>
      <c r="ACJ361" s="243"/>
      <c r="ACK361" s="243"/>
      <c r="ACL361" s="243"/>
      <c r="ACM361" s="243"/>
      <c r="ACN361" s="243"/>
      <c r="ACO361" s="243"/>
      <c r="ACP361" s="243"/>
      <c r="ACQ361" s="243"/>
      <c r="ACR361" s="243"/>
      <c r="ACS361" s="243"/>
      <c r="ACT361" s="243"/>
      <c r="ACU361" s="243"/>
      <c r="ACV361" s="243"/>
      <c r="ACW361" s="243"/>
      <c r="ACX361" s="243"/>
      <c r="ACY361" s="243"/>
      <c r="ACZ361" s="243"/>
      <c r="ADA361" s="243"/>
      <c r="ADB361" s="243"/>
      <c r="ADC361" s="243"/>
      <c r="ADD361" s="243"/>
      <c r="ADE361" s="243"/>
      <c r="ADF361" s="243"/>
      <c r="ADG361" s="243"/>
      <c r="ADH361" s="243"/>
      <c r="ADI361" s="243"/>
      <c r="ADJ361" s="243"/>
      <c r="ADK361" s="243"/>
      <c r="ADL361" s="243"/>
      <c r="ADM361" s="243"/>
      <c r="ADN361" s="243"/>
      <c r="ADO361" s="243"/>
      <c r="ADP361" s="243"/>
      <c r="ADQ361" s="243"/>
      <c r="ADR361" s="243"/>
      <c r="ADS361" s="243"/>
      <c r="ADT361" s="243"/>
      <c r="ADU361" s="243"/>
      <c r="ADV361" s="243"/>
      <c r="ADW361" s="243"/>
      <c r="ADX361" s="243"/>
      <c r="ADY361" s="243"/>
      <c r="ADZ361" s="243"/>
      <c r="AEA361" s="243"/>
      <c r="AEB361" s="243"/>
      <c r="AEC361" s="243"/>
      <c r="AED361" s="243"/>
      <c r="AEE361" s="243"/>
      <c r="AEF361" s="243"/>
      <c r="AEG361" s="243"/>
      <c r="AEH361" s="243"/>
      <c r="AEI361" s="243"/>
      <c r="AEJ361" s="243"/>
      <c r="AEK361" s="243"/>
      <c r="AEL361" s="243"/>
      <c r="AEM361" s="243"/>
      <c r="AEN361" s="243"/>
      <c r="AEO361" s="243"/>
      <c r="AEP361" s="243"/>
      <c r="AEQ361" s="243"/>
      <c r="AER361" s="243"/>
      <c r="AES361" s="243"/>
      <c r="AET361" s="243"/>
      <c r="AEU361" s="243"/>
      <c r="AEV361" s="243"/>
      <c r="AEW361" s="243"/>
      <c r="AEX361" s="243"/>
      <c r="AEY361" s="243"/>
      <c r="AEZ361" s="243"/>
      <c r="AFA361" s="243"/>
      <c r="AFB361" s="243"/>
      <c r="AFC361" s="243"/>
      <c r="AFD361" s="243"/>
      <c r="AFE361" s="243"/>
      <c r="AFF361" s="243"/>
      <c r="AFG361" s="243"/>
      <c r="AFH361" s="243"/>
      <c r="AFI361" s="243"/>
      <c r="AFJ361" s="243"/>
      <c r="AFK361" s="243"/>
      <c r="AFL361" s="243"/>
      <c r="AFM361" s="243"/>
      <c r="AFN361" s="243"/>
      <c r="AFO361" s="243"/>
      <c r="AFP361" s="243"/>
      <c r="AFQ361" s="243"/>
      <c r="AFR361" s="243"/>
      <c r="AFS361" s="243"/>
      <c r="AFT361" s="243"/>
      <c r="AFU361" s="243"/>
      <c r="AFV361" s="243"/>
      <c r="AFW361" s="243"/>
      <c r="AFX361" s="243"/>
      <c r="AFY361" s="243"/>
      <c r="AFZ361" s="243"/>
      <c r="AGA361" s="243"/>
      <c r="AGB361" s="243"/>
      <c r="AGC361" s="243"/>
      <c r="AGD361" s="243"/>
      <c r="AGE361" s="243"/>
      <c r="AGF361" s="243"/>
      <c r="AGG361" s="243"/>
      <c r="AGH361" s="243"/>
      <c r="AGI361" s="243"/>
      <c r="AGJ361" s="243"/>
      <c r="AGK361" s="243"/>
      <c r="AGL361" s="243"/>
      <c r="AGM361" s="243"/>
      <c r="AGN361" s="243"/>
      <c r="AGO361" s="243"/>
      <c r="AGP361" s="243"/>
      <c r="AGQ361" s="243"/>
      <c r="AGR361" s="243"/>
      <c r="AGS361" s="243"/>
      <c r="AGT361" s="243"/>
      <c r="AGU361" s="243"/>
      <c r="AGV361" s="243"/>
      <c r="AGW361" s="243"/>
      <c r="AGX361" s="243"/>
      <c r="AGY361" s="243"/>
      <c r="AGZ361" s="243"/>
      <c r="AHA361" s="243"/>
      <c r="AHB361" s="243"/>
      <c r="AHC361" s="243"/>
      <c r="AHD361" s="243"/>
      <c r="AHE361" s="243"/>
      <c r="AHF361" s="243"/>
      <c r="AHG361" s="243"/>
      <c r="AHH361" s="243"/>
      <c r="AHI361" s="243"/>
      <c r="AHJ361" s="243"/>
      <c r="AHK361" s="243"/>
      <c r="AHL361" s="243"/>
      <c r="AHM361" s="243"/>
      <c r="AHN361" s="243"/>
      <c r="AHO361" s="243"/>
      <c r="AHP361" s="243"/>
      <c r="AHQ361" s="243"/>
      <c r="AHR361" s="243"/>
      <c r="AHS361" s="243"/>
      <c r="AHT361" s="243"/>
      <c r="AHU361" s="243"/>
      <c r="AHV361" s="243"/>
      <c r="AHW361" s="243"/>
      <c r="AHX361" s="243"/>
      <c r="AHY361" s="243"/>
      <c r="AHZ361" s="243"/>
      <c r="AIA361" s="243"/>
      <c r="AIB361" s="243"/>
      <c r="AIC361" s="243"/>
      <c r="AID361" s="243"/>
      <c r="AIE361" s="243"/>
      <c r="AIF361" s="243"/>
      <c r="AIG361" s="243"/>
      <c r="AIH361" s="243"/>
      <c r="AII361" s="243"/>
      <c r="AIJ361" s="243"/>
      <c r="AIK361" s="243"/>
      <c r="AIL361" s="243"/>
      <c r="AIM361" s="243"/>
      <c r="AIN361" s="243"/>
      <c r="AIO361" s="243"/>
      <c r="AIP361" s="243"/>
      <c r="AIQ361" s="243"/>
      <c r="AIR361" s="243"/>
      <c r="AIS361" s="243"/>
      <c r="AIT361" s="243"/>
      <c r="AIU361" s="243"/>
      <c r="AIV361" s="243"/>
      <c r="AIW361" s="243"/>
      <c r="AIX361" s="243"/>
      <c r="AIY361" s="243"/>
      <c r="AIZ361" s="243"/>
      <c r="AJA361" s="243"/>
      <c r="AJB361" s="243"/>
      <c r="AJC361" s="243"/>
      <c r="AJD361" s="243"/>
      <c r="AJE361" s="243"/>
      <c r="AJF361" s="243"/>
      <c r="AJG361" s="243"/>
      <c r="AJH361" s="243"/>
      <c r="AJI361" s="243"/>
      <c r="AJJ361" s="243"/>
      <c r="AJK361" s="243"/>
      <c r="AJL361" s="243"/>
      <c r="AJM361" s="243"/>
      <c r="AJN361" s="243"/>
      <c r="AJO361" s="243"/>
      <c r="AJP361" s="243"/>
      <c r="AJQ361" s="243"/>
      <c r="AJR361" s="243"/>
      <c r="AJS361" s="243"/>
      <c r="AJT361" s="243"/>
      <c r="AJU361" s="243"/>
      <c r="AJV361" s="243"/>
      <c r="AJW361" s="243"/>
      <c r="AJX361" s="243"/>
      <c r="AJY361" s="243"/>
      <c r="AJZ361" s="243"/>
      <c r="AKA361" s="243"/>
      <c r="AKB361" s="243"/>
      <c r="AKC361" s="243"/>
      <c r="AKD361" s="243"/>
      <c r="AKE361" s="243"/>
      <c r="AKF361" s="243"/>
      <c r="AKG361" s="243"/>
      <c r="AKH361" s="243"/>
      <c r="AKI361" s="243"/>
      <c r="AKJ361" s="243"/>
      <c r="AKK361" s="243"/>
      <c r="AKL361" s="243"/>
      <c r="AKM361" s="243"/>
      <c r="AKN361" s="243"/>
      <c r="AKO361" s="243"/>
      <c r="AKP361" s="243"/>
      <c r="AKQ361" s="243"/>
      <c r="AKR361" s="243"/>
      <c r="AKS361" s="243"/>
      <c r="AKT361" s="243"/>
      <c r="AKU361" s="243"/>
      <c r="AKV361" s="243"/>
      <c r="AKW361" s="243"/>
      <c r="AKX361" s="243"/>
      <c r="AKY361" s="243"/>
      <c r="AKZ361" s="243"/>
      <c r="ALA361" s="243"/>
      <c r="ALB361" s="243"/>
      <c r="ALC361" s="243"/>
      <c r="ALD361" s="243"/>
      <c r="ALE361" s="243"/>
      <c r="ALF361" s="243"/>
      <c r="ALG361" s="243"/>
      <c r="ALH361" s="243"/>
      <c r="ALI361" s="243"/>
      <c r="ALJ361" s="243"/>
      <c r="ALK361" s="243"/>
      <c r="ALL361" s="243"/>
      <c r="ALM361" s="243"/>
      <c r="ALN361" s="243"/>
      <c r="ALO361" s="243"/>
      <c r="ALP361" s="243"/>
      <c r="ALQ361" s="243"/>
      <c r="ALR361" s="243"/>
      <c r="ALS361" s="243"/>
      <c r="ALT361" s="243"/>
      <c r="ALU361" s="243"/>
      <c r="ALV361" s="243"/>
      <c r="ALW361" s="243"/>
      <c r="ALX361" s="243"/>
      <c r="ALY361" s="243"/>
      <c r="ALZ361" s="243"/>
      <c r="AMA361" s="243"/>
      <c r="AMB361" s="243"/>
      <c r="AMC361" s="243"/>
      <c r="AMD361" s="243"/>
      <c r="AME361" s="243"/>
      <c r="AMF361" s="243"/>
      <c r="AMG361" s="243"/>
      <c r="AMH361" s="243"/>
      <c r="AMI361" s="244"/>
      <c r="AMJ361" s="244"/>
    </row>
    <row r="362" spans="1:1024">
      <c r="A362" s="906"/>
      <c r="B362" s="662" t="s">
        <v>43</v>
      </c>
      <c r="C362" s="571"/>
      <c r="D362" s="556" t="s">
        <v>252</v>
      </c>
      <c r="E362" s="321"/>
      <c r="F362" s="318"/>
      <c r="G362" s="318"/>
      <c r="H362" s="604"/>
      <c r="I362" s="523"/>
      <c r="J362" s="635"/>
      <c r="K362" s="604"/>
      <c r="L362" s="633"/>
      <c r="M362" s="622"/>
      <c r="N362" s="647"/>
      <c r="O362" s="638"/>
      <c r="P362" s="649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  <c r="AA362" s="243"/>
      <c r="AB362" s="243"/>
      <c r="AC362" s="243"/>
      <c r="AD362" s="243"/>
      <c r="AE362" s="243"/>
      <c r="AF362" s="243"/>
      <c r="AG362" s="243"/>
      <c r="AH362" s="243"/>
      <c r="AI362" s="243"/>
      <c r="AJ362" s="243"/>
      <c r="AK362" s="243"/>
      <c r="AL362" s="243"/>
      <c r="AM362" s="243"/>
      <c r="AN362" s="243"/>
      <c r="AO362" s="243"/>
      <c r="AP362" s="243"/>
      <c r="AQ362" s="243"/>
      <c r="AR362" s="243"/>
      <c r="AS362" s="243"/>
      <c r="AT362" s="243"/>
      <c r="AU362" s="243"/>
      <c r="AV362" s="243"/>
      <c r="AW362" s="243"/>
      <c r="AX362" s="243"/>
      <c r="AY362" s="243"/>
      <c r="AZ362" s="243"/>
      <c r="BA362" s="243"/>
      <c r="BB362" s="243"/>
      <c r="BC362" s="243"/>
      <c r="BD362" s="243"/>
      <c r="BE362" s="243"/>
      <c r="BF362" s="243"/>
      <c r="BG362" s="243"/>
      <c r="BH362" s="243"/>
      <c r="BI362" s="243"/>
      <c r="BJ362" s="243"/>
      <c r="BK362" s="243"/>
      <c r="BL362" s="243"/>
      <c r="BM362" s="243"/>
      <c r="BN362" s="243"/>
      <c r="BO362" s="243"/>
      <c r="BP362" s="243"/>
      <c r="BQ362" s="243"/>
      <c r="BR362" s="243"/>
      <c r="BS362" s="243"/>
      <c r="BT362" s="243"/>
      <c r="BU362" s="243"/>
      <c r="BV362" s="243"/>
      <c r="BW362" s="243"/>
      <c r="BX362" s="243"/>
      <c r="BY362" s="243"/>
      <c r="BZ362" s="243"/>
      <c r="CA362" s="243"/>
      <c r="CB362" s="243"/>
      <c r="CC362" s="243"/>
      <c r="CD362" s="243"/>
      <c r="CE362" s="243"/>
      <c r="CF362" s="243"/>
      <c r="CG362" s="243"/>
      <c r="CH362" s="243"/>
      <c r="CI362" s="243"/>
      <c r="CJ362" s="243"/>
      <c r="CK362" s="243"/>
      <c r="CL362" s="243"/>
      <c r="CM362" s="243"/>
      <c r="CN362" s="243"/>
      <c r="CO362" s="243"/>
      <c r="CP362" s="243"/>
      <c r="CQ362" s="243"/>
      <c r="CR362" s="243"/>
      <c r="CS362" s="243"/>
      <c r="CT362" s="243"/>
      <c r="CU362" s="243"/>
      <c r="CV362" s="243"/>
      <c r="CW362" s="243"/>
      <c r="CX362" s="243"/>
      <c r="CY362" s="243"/>
      <c r="CZ362" s="243"/>
      <c r="DA362" s="243"/>
      <c r="DB362" s="243"/>
      <c r="DC362" s="243"/>
      <c r="DD362" s="243"/>
      <c r="DE362" s="243"/>
      <c r="DF362" s="243"/>
      <c r="DG362" s="243"/>
      <c r="DH362" s="243"/>
      <c r="DI362" s="243"/>
      <c r="DJ362" s="243"/>
      <c r="DK362" s="243"/>
      <c r="DL362" s="243"/>
      <c r="DM362" s="243"/>
      <c r="DN362" s="243"/>
      <c r="DO362" s="243"/>
      <c r="DP362" s="243"/>
      <c r="DQ362" s="243"/>
      <c r="DR362" s="243"/>
      <c r="DS362" s="243"/>
      <c r="DT362" s="243"/>
      <c r="DU362" s="243"/>
      <c r="DV362" s="243"/>
      <c r="DW362" s="243"/>
      <c r="DX362" s="243"/>
      <c r="DY362" s="243"/>
      <c r="DZ362" s="243"/>
      <c r="EA362" s="243"/>
      <c r="EB362" s="243"/>
      <c r="EC362" s="243"/>
      <c r="ED362" s="243"/>
      <c r="EE362" s="243"/>
      <c r="EF362" s="243"/>
      <c r="EG362" s="243"/>
      <c r="EH362" s="243"/>
      <c r="EI362" s="243"/>
      <c r="EJ362" s="243"/>
      <c r="EK362" s="243"/>
      <c r="EL362" s="243"/>
      <c r="EM362" s="243"/>
      <c r="EN362" s="243"/>
      <c r="EO362" s="243"/>
      <c r="EP362" s="243"/>
      <c r="EQ362" s="243"/>
      <c r="ER362" s="243"/>
      <c r="ES362" s="243"/>
      <c r="ET362" s="243"/>
      <c r="EU362" s="243"/>
      <c r="EV362" s="243"/>
      <c r="EW362" s="243"/>
      <c r="EX362" s="243"/>
      <c r="EY362" s="243"/>
      <c r="EZ362" s="243"/>
      <c r="FA362" s="243"/>
      <c r="FB362" s="243"/>
      <c r="FC362" s="243"/>
      <c r="FD362" s="243"/>
      <c r="FE362" s="243"/>
      <c r="FF362" s="243"/>
      <c r="FG362" s="243"/>
      <c r="FH362" s="243"/>
      <c r="FI362" s="243"/>
      <c r="FJ362" s="243"/>
      <c r="FK362" s="243"/>
      <c r="FL362" s="243"/>
      <c r="FM362" s="243"/>
      <c r="FN362" s="243"/>
      <c r="FO362" s="243"/>
      <c r="FP362" s="243"/>
      <c r="FQ362" s="243"/>
      <c r="FR362" s="243"/>
      <c r="FS362" s="243"/>
      <c r="FT362" s="243"/>
      <c r="FU362" s="243"/>
      <c r="FV362" s="243"/>
      <c r="FW362" s="243"/>
      <c r="FX362" s="243"/>
      <c r="FY362" s="243"/>
      <c r="FZ362" s="243"/>
      <c r="GA362" s="243"/>
      <c r="GB362" s="243"/>
      <c r="GC362" s="243"/>
      <c r="GD362" s="243"/>
      <c r="GE362" s="243"/>
      <c r="GF362" s="243"/>
      <c r="GG362" s="243"/>
      <c r="GH362" s="243"/>
      <c r="GI362" s="243"/>
      <c r="GJ362" s="243"/>
      <c r="GK362" s="243"/>
      <c r="GL362" s="243"/>
      <c r="GM362" s="243"/>
      <c r="GN362" s="243"/>
      <c r="GO362" s="243"/>
      <c r="GP362" s="243"/>
      <c r="GQ362" s="243"/>
      <c r="GR362" s="243"/>
      <c r="GS362" s="243"/>
      <c r="GT362" s="243"/>
      <c r="GU362" s="243"/>
      <c r="GV362" s="243"/>
      <c r="GW362" s="243"/>
      <c r="GX362" s="243"/>
      <c r="GY362" s="243"/>
      <c r="GZ362" s="243"/>
      <c r="HA362" s="243"/>
      <c r="HB362" s="243"/>
      <c r="HC362" s="243"/>
      <c r="HD362" s="243"/>
      <c r="HE362" s="243"/>
      <c r="HF362" s="243"/>
      <c r="HG362" s="243"/>
      <c r="HH362" s="243"/>
      <c r="HI362" s="243"/>
      <c r="HJ362" s="243"/>
      <c r="HK362" s="243"/>
      <c r="HL362" s="243"/>
      <c r="HM362" s="243"/>
      <c r="HN362" s="243"/>
      <c r="HO362" s="243"/>
      <c r="HP362" s="243"/>
      <c r="HQ362" s="243"/>
      <c r="HR362" s="243"/>
      <c r="HS362" s="243"/>
      <c r="HT362" s="243"/>
      <c r="HU362" s="243"/>
      <c r="HV362" s="243"/>
      <c r="HW362" s="243"/>
      <c r="HX362" s="243"/>
      <c r="HY362" s="243"/>
      <c r="HZ362" s="243"/>
      <c r="IA362" s="243"/>
      <c r="IB362" s="243"/>
      <c r="IC362" s="243"/>
      <c r="ID362" s="243"/>
      <c r="IE362" s="243"/>
      <c r="IF362" s="243"/>
      <c r="IG362" s="243"/>
      <c r="IH362" s="243"/>
      <c r="II362" s="243"/>
      <c r="IJ362" s="243"/>
      <c r="IK362" s="243"/>
      <c r="IL362" s="243"/>
      <c r="IM362" s="243"/>
      <c r="IN362" s="243"/>
      <c r="IO362" s="243"/>
      <c r="IP362" s="243"/>
      <c r="IQ362" s="243"/>
      <c r="IR362" s="243"/>
      <c r="IS362" s="243"/>
      <c r="IT362" s="243"/>
      <c r="IU362" s="243"/>
      <c r="IV362" s="243"/>
      <c r="IW362" s="243"/>
      <c r="IX362" s="243"/>
      <c r="IY362" s="243"/>
      <c r="IZ362" s="243"/>
      <c r="JA362" s="243"/>
      <c r="JB362" s="243"/>
      <c r="JC362" s="243"/>
      <c r="JD362" s="243"/>
      <c r="JE362" s="243"/>
      <c r="JF362" s="243"/>
      <c r="JG362" s="243"/>
      <c r="JH362" s="243"/>
      <c r="JI362" s="243"/>
      <c r="JJ362" s="243"/>
      <c r="JK362" s="243"/>
      <c r="JL362" s="243"/>
      <c r="JM362" s="243"/>
      <c r="JN362" s="243"/>
      <c r="JO362" s="243"/>
      <c r="JP362" s="243"/>
      <c r="JQ362" s="243"/>
      <c r="JR362" s="243"/>
      <c r="JS362" s="243"/>
      <c r="JT362" s="243"/>
      <c r="JU362" s="243"/>
      <c r="JV362" s="243"/>
      <c r="JW362" s="243"/>
      <c r="JX362" s="243"/>
      <c r="JY362" s="243"/>
      <c r="JZ362" s="243"/>
      <c r="KA362" s="243"/>
      <c r="KB362" s="243"/>
      <c r="KC362" s="243"/>
      <c r="KD362" s="243"/>
      <c r="KE362" s="243"/>
      <c r="KF362" s="243"/>
      <c r="KG362" s="243"/>
      <c r="KH362" s="243"/>
      <c r="KI362" s="243"/>
      <c r="KJ362" s="243"/>
      <c r="KK362" s="243"/>
      <c r="KL362" s="243"/>
      <c r="KM362" s="243"/>
      <c r="KN362" s="243"/>
      <c r="KO362" s="243"/>
      <c r="KP362" s="243"/>
      <c r="KQ362" s="243"/>
      <c r="KR362" s="243"/>
      <c r="KS362" s="243"/>
      <c r="KT362" s="243"/>
      <c r="KU362" s="243"/>
      <c r="KV362" s="243"/>
      <c r="KW362" s="243"/>
      <c r="KX362" s="243"/>
      <c r="KY362" s="243"/>
      <c r="KZ362" s="243"/>
      <c r="LA362" s="243"/>
      <c r="LB362" s="243"/>
      <c r="LC362" s="243"/>
      <c r="LD362" s="243"/>
      <c r="LE362" s="243"/>
      <c r="LF362" s="243"/>
      <c r="LG362" s="243"/>
      <c r="LH362" s="243"/>
      <c r="LI362" s="243"/>
      <c r="LJ362" s="243"/>
      <c r="LK362" s="243"/>
      <c r="LL362" s="243"/>
      <c r="LM362" s="243"/>
      <c r="LN362" s="243"/>
      <c r="LO362" s="243"/>
      <c r="LP362" s="243"/>
      <c r="LQ362" s="243"/>
      <c r="LR362" s="243"/>
      <c r="LS362" s="243"/>
      <c r="LT362" s="243"/>
      <c r="LU362" s="243"/>
      <c r="LV362" s="243"/>
      <c r="LW362" s="243"/>
      <c r="LX362" s="243"/>
      <c r="LY362" s="243"/>
      <c r="LZ362" s="243"/>
      <c r="MA362" s="243"/>
      <c r="MB362" s="243"/>
      <c r="MC362" s="243"/>
      <c r="MD362" s="243"/>
      <c r="ME362" s="243"/>
      <c r="MF362" s="243"/>
      <c r="MG362" s="243"/>
      <c r="MH362" s="243"/>
      <c r="MI362" s="243"/>
      <c r="MJ362" s="243"/>
      <c r="MK362" s="243"/>
      <c r="ML362" s="243"/>
      <c r="MM362" s="243"/>
      <c r="MN362" s="243"/>
      <c r="MO362" s="243"/>
      <c r="MP362" s="243"/>
      <c r="MQ362" s="243"/>
      <c r="MR362" s="243"/>
      <c r="MS362" s="243"/>
      <c r="MT362" s="243"/>
      <c r="MU362" s="243"/>
      <c r="MV362" s="243"/>
      <c r="MW362" s="243"/>
      <c r="MX362" s="243"/>
      <c r="MY362" s="243"/>
      <c r="MZ362" s="243"/>
      <c r="NA362" s="243"/>
      <c r="NB362" s="243"/>
      <c r="NC362" s="243"/>
      <c r="ND362" s="243"/>
      <c r="NE362" s="243"/>
      <c r="NF362" s="243"/>
      <c r="NG362" s="243"/>
      <c r="NH362" s="243"/>
      <c r="NI362" s="243"/>
      <c r="NJ362" s="243"/>
      <c r="NK362" s="243"/>
      <c r="NL362" s="243"/>
      <c r="NM362" s="243"/>
      <c r="NN362" s="243"/>
      <c r="NO362" s="243"/>
      <c r="NP362" s="243"/>
      <c r="NQ362" s="243"/>
      <c r="NR362" s="243"/>
      <c r="NS362" s="243"/>
      <c r="NT362" s="243"/>
      <c r="NU362" s="243"/>
      <c r="NV362" s="243"/>
      <c r="NW362" s="243"/>
      <c r="NX362" s="243"/>
      <c r="NY362" s="243"/>
      <c r="NZ362" s="243"/>
      <c r="OA362" s="243"/>
      <c r="OB362" s="243"/>
      <c r="OC362" s="243"/>
      <c r="OD362" s="243"/>
      <c r="OE362" s="243"/>
      <c r="OF362" s="243"/>
      <c r="OG362" s="243"/>
      <c r="OH362" s="243"/>
      <c r="OI362" s="243"/>
      <c r="OJ362" s="243"/>
      <c r="OK362" s="243"/>
      <c r="OL362" s="243"/>
      <c r="OM362" s="243"/>
      <c r="ON362" s="243"/>
      <c r="OO362" s="243"/>
      <c r="OP362" s="243"/>
      <c r="OQ362" s="243"/>
      <c r="OR362" s="243"/>
      <c r="OS362" s="243"/>
      <c r="OT362" s="243"/>
      <c r="OU362" s="243"/>
      <c r="OV362" s="243"/>
      <c r="OW362" s="243"/>
      <c r="OX362" s="243"/>
      <c r="OY362" s="243"/>
      <c r="OZ362" s="243"/>
      <c r="PA362" s="243"/>
      <c r="PB362" s="243"/>
      <c r="PC362" s="243"/>
      <c r="PD362" s="243"/>
      <c r="PE362" s="243"/>
      <c r="PF362" s="243"/>
      <c r="PG362" s="243"/>
      <c r="PH362" s="243"/>
      <c r="PI362" s="243"/>
      <c r="PJ362" s="243"/>
      <c r="PK362" s="243"/>
      <c r="PL362" s="243"/>
      <c r="PM362" s="243"/>
      <c r="PN362" s="243"/>
      <c r="PO362" s="243"/>
      <c r="PP362" s="243"/>
      <c r="PQ362" s="243"/>
      <c r="PR362" s="243"/>
      <c r="PS362" s="243"/>
      <c r="PT362" s="243"/>
      <c r="PU362" s="243"/>
      <c r="PV362" s="243"/>
      <c r="PW362" s="243"/>
      <c r="PX362" s="243"/>
      <c r="PY362" s="243"/>
      <c r="PZ362" s="243"/>
      <c r="QA362" s="243"/>
      <c r="QB362" s="243"/>
      <c r="QC362" s="243"/>
      <c r="QD362" s="243"/>
      <c r="QE362" s="243"/>
      <c r="QF362" s="243"/>
      <c r="QG362" s="243"/>
      <c r="QH362" s="243"/>
      <c r="QI362" s="243"/>
      <c r="QJ362" s="243"/>
      <c r="QK362" s="243"/>
      <c r="QL362" s="243"/>
      <c r="QM362" s="243"/>
      <c r="QN362" s="243"/>
      <c r="QO362" s="243"/>
      <c r="QP362" s="243"/>
      <c r="QQ362" s="243"/>
      <c r="QR362" s="243"/>
      <c r="QS362" s="243"/>
      <c r="QT362" s="243"/>
      <c r="QU362" s="243"/>
      <c r="QV362" s="243"/>
      <c r="QW362" s="243"/>
      <c r="QX362" s="243"/>
      <c r="QY362" s="243"/>
      <c r="QZ362" s="243"/>
      <c r="RA362" s="243"/>
      <c r="RB362" s="243"/>
      <c r="RC362" s="243"/>
      <c r="RD362" s="243"/>
      <c r="RE362" s="243"/>
      <c r="RF362" s="243"/>
      <c r="RG362" s="243"/>
      <c r="RH362" s="243"/>
      <c r="RI362" s="243"/>
      <c r="RJ362" s="243"/>
      <c r="RK362" s="243"/>
      <c r="RL362" s="243"/>
      <c r="RM362" s="243"/>
      <c r="RN362" s="243"/>
      <c r="RO362" s="243"/>
      <c r="RP362" s="243"/>
      <c r="RQ362" s="243"/>
      <c r="RR362" s="243"/>
      <c r="RS362" s="243"/>
      <c r="RT362" s="243"/>
      <c r="RU362" s="243"/>
      <c r="RV362" s="243"/>
      <c r="RW362" s="243"/>
      <c r="RX362" s="243"/>
      <c r="RY362" s="243"/>
      <c r="RZ362" s="243"/>
      <c r="SA362" s="243"/>
      <c r="SB362" s="243"/>
      <c r="SC362" s="243"/>
      <c r="SD362" s="243"/>
      <c r="SE362" s="243"/>
      <c r="SF362" s="243"/>
      <c r="SG362" s="243"/>
      <c r="SH362" s="243"/>
      <c r="SI362" s="243"/>
      <c r="SJ362" s="243"/>
      <c r="SK362" s="243"/>
      <c r="SL362" s="243"/>
      <c r="SM362" s="243"/>
      <c r="SN362" s="243"/>
      <c r="SO362" s="243"/>
      <c r="SP362" s="243"/>
      <c r="SQ362" s="243"/>
      <c r="SR362" s="243"/>
      <c r="SS362" s="243"/>
      <c r="ST362" s="243"/>
      <c r="SU362" s="243"/>
      <c r="SV362" s="243"/>
      <c r="SW362" s="243"/>
      <c r="SX362" s="243"/>
      <c r="SY362" s="243"/>
      <c r="SZ362" s="243"/>
      <c r="TA362" s="243"/>
      <c r="TB362" s="243"/>
      <c r="TC362" s="243"/>
      <c r="TD362" s="243"/>
      <c r="TE362" s="243"/>
      <c r="TF362" s="243"/>
      <c r="TG362" s="243"/>
      <c r="TH362" s="243"/>
      <c r="TI362" s="243"/>
      <c r="TJ362" s="243"/>
      <c r="TK362" s="243"/>
      <c r="TL362" s="243"/>
      <c r="TM362" s="243"/>
      <c r="TN362" s="243"/>
      <c r="TO362" s="243"/>
      <c r="TP362" s="243"/>
      <c r="TQ362" s="243"/>
      <c r="TR362" s="243"/>
      <c r="TS362" s="243"/>
      <c r="TT362" s="243"/>
      <c r="TU362" s="243"/>
      <c r="TV362" s="243"/>
      <c r="TW362" s="243"/>
      <c r="TX362" s="243"/>
      <c r="TY362" s="243"/>
      <c r="TZ362" s="243"/>
      <c r="UA362" s="243"/>
      <c r="UB362" s="243"/>
      <c r="UC362" s="243"/>
      <c r="UD362" s="243"/>
      <c r="UE362" s="243"/>
      <c r="UF362" s="243"/>
      <c r="UG362" s="243"/>
      <c r="UH362" s="243"/>
      <c r="UI362" s="243"/>
      <c r="UJ362" s="243"/>
      <c r="UK362" s="243"/>
      <c r="UL362" s="243"/>
      <c r="UM362" s="243"/>
      <c r="UN362" s="243"/>
      <c r="UO362" s="243"/>
      <c r="UP362" s="243"/>
      <c r="UQ362" s="243"/>
      <c r="UR362" s="243"/>
      <c r="US362" s="243"/>
      <c r="UT362" s="243"/>
      <c r="UU362" s="243"/>
      <c r="UV362" s="243"/>
      <c r="UW362" s="243"/>
      <c r="UX362" s="243"/>
      <c r="UY362" s="243"/>
      <c r="UZ362" s="243"/>
      <c r="VA362" s="243"/>
      <c r="VB362" s="243"/>
      <c r="VC362" s="243"/>
      <c r="VD362" s="243"/>
      <c r="VE362" s="243"/>
      <c r="VF362" s="243"/>
      <c r="VG362" s="243"/>
      <c r="VH362" s="243"/>
      <c r="VI362" s="243"/>
      <c r="VJ362" s="243"/>
      <c r="VK362" s="243"/>
      <c r="VL362" s="243"/>
      <c r="VM362" s="243"/>
      <c r="VN362" s="243"/>
      <c r="VO362" s="243"/>
      <c r="VP362" s="243"/>
      <c r="VQ362" s="243"/>
      <c r="VR362" s="243"/>
      <c r="VS362" s="243"/>
      <c r="VT362" s="243"/>
      <c r="VU362" s="243"/>
      <c r="VV362" s="243"/>
      <c r="VW362" s="243"/>
      <c r="VX362" s="243"/>
      <c r="VY362" s="243"/>
      <c r="VZ362" s="243"/>
      <c r="WA362" s="243"/>
      <c r="WB362" s="243"/>
      <c r="WC362" s="243"/>
      <c r="WD362" s="243"/>
      <c r="WE362" s="243"/>
      <c r="WF362" s="243"/>
      <c r="WG362" s="243"/>
      <c r="WH362" s="243"/>
      <c r="WI362" s="243"/>
      <c r="WJ362" s="243"/>
      <c r="WK362" s="243"/>
      <c r="WL362" s="243"/>
      <c r="WM362" s="243"/>
      <c r="WN362" s="243"/>
      <c r="WO362" s="243"/>
      <c r="WP362" s="243"/>
      <c r="WQ362" s="243"/>
      <c r="WR362" s="243"/>
      <c r="WS362" s="243"/>
      <c r="WT362" s="243"/>
      <c r="WU362" s="243"/>
      <c r="WV362" s="243"/>
      <c r="WW362" s="243"/>
      <c r="WX362" s="243"/>
      <c r="WY362" s="243"/>
      <c r="WZ362" s="243"/>
      <c r="XA362" s="243"/>
      <c r="XB362" s="243"/>
      <c r="XC362" s="243"/>
      <c r="XD362" s="243"/>
      <c r="XE362" s="243"/>
      <c r="XF362" s="243"/>
      <c r="XG362" s="243"/>
      <c r="XH362" s="243"/>
      <c r="XI362" s="243"/>
      <c r="XJ362" s="243"/>
      <c r="XK362" s="243"/>
      <c r="XL362" s="243"/>
      <c r="XM362" s="243"/>
      <c r="XN362" s="243"/>
      <c r="XO362" s="243"/>
      <c r="XP362" s="243"/>
      <c r="XQ362" s="243"/>
      <c r="XR362" s="243"/>
      <c r="XS362" s="243"/>
      <c r="XT362" s="243"/>
      <c r="XU362" s="243"/>
      <c r="XV362" s="243"/>
      <c r="XW362" s="243"/>
      <c r="XX362" s="243"/>
      <c r="XY362" s="243"/>
      <c r="XZ362" s="243"/>
      <c r="YA362" s="243"/>
      <c r="YB362" s="243"/>
      <c r="YC362" s="243"/>
      <c r="YD362" s="243"/>
      <c r="YE362" s="243"/>
      <c r="YF362" s="243"/>
      <c r="YG362" s="243"/>
      <c r="YH362" s="243"/>
      <c r="YI362" s="243"/>
      <c r="YJ362" s="243"/>
      <c r="YK362" s="243"/>
      <c r="YL362" s="243"/>
      <c r="YM362" s="243"/>
      <c r="YN362" s="243"/>
      <c r="YO362" s="243"/>
      <c r="YP362" s="243"/>
      <c r="YQ362" s="243"/>
      <c r="YR362" s="243"/>
      <c r="YS362" s="243"/>
      <c r="YT362" s="243"/>
      <c r="YU362" s="243"/>
      <c r="YV362" s="243"/>
      <c r="YW362" s="243"/>
      <c r="YX362" s="243"/>
      <c r="YY362" s="243"/>
      <c r="YZ362" s="243"/>
      <c r="ZA362" s="243"/>
      <c r="ZB362" s="243"/>
      <c r="ZC362" s="243"/>
      <c r="ZD362" s="243"/>
      <c r="ZE362" s="243"/>
      <c r="ZF362" s="243"/>
      <c r="ZG362" s="243"/>
      <c r="ZH362" s="243"/>
      <c r="ZI362" s="243"/>
      <c r="ZJ362" s="243"/>
      <c r="ZK362" s="243"/>
      <c r="ZL362" s="243"/>
      <c r="ZM362" s="243"/>
      <c r="ZN362" s="243"/>
      <c r="ZO362" s="243"/>
      <c r="ZP362" s="243"/>
      <c r="ZQ362" s="243"/>
      <c r="ZR362" s="243"/>
      <c r="ZS362" s="243"/>
      <c r="ZT362" s="243"/>
      <c r="ZU362" s="243"/>
      <c r="ZV362" s="243"/>
      <c r="ZW362" s="243"/>
      <c r="ZX362" s="243"/>
      <c r="ZY362" s="243"/>
      <c r="ZZ362" s="243"/>
      <c r="AAA362" s="243"/>
      <c r="AAB362" s="243"/>
      <c r="AAC362" s="243"/>
      <c r="AAD362" s="243"/>
      <c r="AAE362" s="243"/>
      <c r="AAF362" s="243"/>
      <c r="AAG362" s="243"/>
      <c r="AAH362" s="243"/>
      <c r="AAI362" s="243"/>
      <c r="AAJ362" s="243"/>
      <c r="AAK362" s="243"/>
      <c r="AAL362" s="243"/>
      <c r="AAM362" s="243"/>
      <c r="AAN362" s="243"/>
      <c r="AAO362" s="243"/>
      <c r="AAP362" s="243"/>
      <c r="AAQ362" s="243"/>
      <c r="AAR362" s="243"/>
      <c r="AAS362" s="243"/>
      <c r="AAT362" s="243"/>
      <c r="AAU362" s="243"/>
      <c r="AAV362" s="243"/>
      <c r="AAW362" s="243"/>
      <c r="AAX362" s="243"/>
      <c r="AAY362" s="243"/>
      <c r="AAZ362" s="243"/>
      <c r="ABA362" s="243"/>
      <c r="ABB362" s="243"/>
      <c r="ABC362" s="243"/>
      <c r="ABD362" s="243"/>
      <c r="ABE362" s="243"/>
      <c r="ABF362" s="243"/>
      <c r="ABG362" s="243"/>
      <c r="ABH362" s="243"/>
      <c r="ABI362" s="243"/>
      <c r="ABJ362" s="243"/>
      <c r="ABK362" s="243"/>
      <c r="ABL362" s="243"/>
      <c r="ABM362" s="243"/>
      <c r="ABN362" s="243"/>
      <c r="ABO362" s="243"/>
      <c r="ABP362" s="243"/>
      <c r="ABQ362" s="243"/>
      <c r="ABR362" s="243"/>
      <c r="ABS362" s="243"/>
      <c r="ABT362" s="243"/>
      <c r="ABU362" s="243"/>
      <c r="ABV362" s="243"/>
      <c r="ABW362" s="243"/>
      <c r="ABX362" s="243"/>
      <c r="ABY362" s="243"/>
      <c r="ABZ362" s="243"/>
      <c r="ACA362" s="243"/>
      <c r="ACB362" s="243"/>
      <c r="ACC362" s="243"/>
      <c r="ACD362" s="243"/>
      <c r="ACE362" s="243"/>
      <c r="ACF362" s="243"/>
      <c r="ACG362" s="243"/>
      <c r="ACH362" s="243"/>
      <c r="ACI362" s="243"/>
      <c r="ACJ362" s="243"/>
      <c r="ACK362" s="243"/>
      <c r="ACL362" s="243"/>
      <c r="ACM362" s="243"/>
      <c r="ACN362" s="243"/>
      <c r="ACO362" s="243"/>
      <c r="ACP362" s="243"/>
      <c r="ACQ362" s="243"/>
      <c r="ACR362" s="243"/>
      <c r="ACS362" s="243"/>
      <c r="ACT362" s="243"/>
      <c r="ACU362" s="243"/>
      <c r="ACV362" s="243"/>
      <c r="ACW362" s="243"/>
      <c r="ACX362" s="243"/>
      <c r="ACY362" s="243"/>
      <c r="ACZ362" s="243"/>
      <c r="ADA362" s="243"/>
      <c r="ADB362" s="243"/>
      <c r="ADC362" s="243"/>
      <c r="ADD362" s="243"/>
      <c r="ADE362" s="243"/>
      <c r="ADF362" s="243"/>
      <c r="ADG362" s="243"/>
      <c r="ADH362" s="243"/>
      <c r="ADI362" s="243"/>
      <c r="ADJ362" s="243"/>
      <c r="ADK362" s="243"/>
      <c r="ADL362" s="243"/>
      <c r="ADM362" s="243"/>
      <c r="ADN362" s="243"/>
      <c r="ADO362" s="243"/>
      <c r="ADP362" s="243"/>
      <c r="ADQ362" s="243"/>
      <c r="ADR362" s="243"/>
      <c r="ADS362" s="243"/>
      <c r="ADT362" s="243"/>
      <c r="ADU362" s="243"/>
      <c r="ADV362" s="243"/>
      <c r="ADW362" s="243"/>
      <c r="ADX362" s="243"/>
      <c r="ADY362" s="243"/>
      <c r="ADZ362" s="243"/>
      <c r="AEA362" s="243"/>
      <c r="AEB362" s="243"/>
      <c r="AEC362" s="243"/>
      <c r="AED362" s="243"/>
      <c r="AEE362" s="243"/>
      <c r="AEF362" s="243"/>
      <c r="AEG362" s="243"/>
      <c r="AEH362" s="243"/>
      <c r="AEI362" s="243"/>
      <c r="AEJ362" s="243"/>
      <c r="AEK362" s="243"/>
      <c r="AEL362" s="243"/>
      <c r="AEM362" s="243"/>
      <c r="AEN362" s="243"/>
      <c r="AEO362" s="243"/>
      <c r="AEP362" s="243"/>
      <c r="AEQ362" s="243"/>
      <c r="AER362" s="243"/>
      <c r="AES362" s="243"/>
      <c r="AET362" s="243"/>
      <c r="AEU362" s="243"/>
      <c r="AEV362" s="243"/>
      <c r="AEW362" s="243"/>
      <c r="AEX362" s="243"/>
      <c r="AEY362" s="243"/>
      <c r="AEZ362" s="243"/>
      <c r="AFA362" s="243"/>
      <c r="AFB362" s="243"/>
      <c r="AFC362" s="243"/>
      <c r="AFD362" s="243"/>
      <c r="AFE362" s="243"/>
      <c r="AFF362" s="243"/>
      <c r="AFG362" s="243"/>
      <c r="AFH362" s="243"/>
      <c r="AFI362" s="243"/>
      <c r="AFJ362" s="243"/>
      <c r="AFK362" s="243"/>
      <c r="AFL362" s="243"/>
      <c r="AFM362" s="243"/>
      <c r="AFN362" s="243"/>
      <c r="AFO362" s="243"/>
      <c r="AFP362" s="243"/>
      <c r="AFQ362" s="243"/>
      <c r="AFR362" s="243"/>
      <c r="AFS362" s="243"/>
      <c r="AFT362" s="243"/>
      <c r="AFU362" s="243"/>
      <c r="AFV362" s="243"/>
      <c r="AFW362" s="243"/>
      <c r="AFX362" s="243"/>
      <c r="AFY362" s="243"/>
      <c r="AFZ362" s="243"/>
      <c r="AGA362" s="243"/>
      <c r="AGB362" s="243"/>
      <c r="AGC362" s="243"/>
      <c r="AGD362" s="243"/>
      <c r="AGE362" s="243"/>
      <c r="AGF362" s="243"/>
      <c r="AGG362" s="243"/>
      <c r="AGH362" s="243"/>
      <c r="AGI362" s="243"/>
      <c r="AGJ362" s="243"/>
      <c r="AGK362" s="243"/>
      <c r="AGL362" s="243"/>
      <c r="AGM362" s="243"/>
      <c r="AGN362" s="243"/>
      <c r="AGO362" s="243"/>
      <c r="AGP362" s="243"/>
      <c r="AGQ362" s="243"/>
      <c r="AGR362" s="243"/>
      <c r="AGS362" s="243"/>
      <c r="AGT362" s="243"/>
      <c r="AGU362" s="243"/>
      <c r="AGV362" s="243"/>
      <c r="AGW362" s="243"/>
      <c r="AGX362" s="243"/>
      <c r="AGY362" s="243"/>
      <c r="AGZ362" s="243"/>
      <c r="AHA362" s="243"/>
      <c r="AHB362" s="243"/>
      <c r="AHC362" s="243"/>
      <c r="AHD362" s="243"/>
      <c r="AHE362" s="243"/>
      <c r="AHF362" s="243"/>
      <c r="AHG362" s="243"/>
      <c r="AHH362" s="243"/>
      <c r="AHI362" s="243"/>
      <c r="AHJ362" s="243"/>
      <c r="AHK362" s="243"/>
      <c r="AHL362" s="243"/>
      <c r="AHM362" s="243"/>
      <c r="AHN362" s="243"/>
      <c r="AHO362" s="243"/>
      <c r="AHP362" s="243"/>
      <c r="AHQ362" s="243"/>
      <c r="AHR362" s="243"/>
      <c r="AHS362" s="243"/>
      <c r="AHT362" s="243"/>
      <c r="AHU362" s="243"/>
      <c r="AHV362" s="243"/>
      <c r="AHW362" s="243"/>
      <c r="AHX362" s="243"/>
      <c r="AHY362" s="243"/>
      <c r="AHZ362" s="243"/>
      <c r="AIA362" s="243"/>
      <c r="AIB362" s="243"/>
      <c r="AIC362" s="243"/>
      <c r="AID362" s="243"/>
      <c r="AIE362" s="243"/>
      <c r="AIF362" s="243"/>
      <c r="AIG362" s="243"/>
      <c r="AIH362" s="243"/>
      <c r="AII362" s="243"/>
      <c r="AIJ362" s="243"/>
      <c r="AIK362" s="243"/>
      <c r="AIL362" s="243"/>
      <c r="AIM362" s="243"/>
      <c r="AIN362" s="243"/>
      <c r="AIO362" s="243"/>
      <c r="AIP362" s="243"/>
      <c r="AIQ362" s="243"/>
      <c r="AIR362" s="243"/>
      <c r="AIS362" s="243"/>
      <c r="AIT362" s="243"/>
      <c r="AIU362" s="243"/>
      <c r="AIV362" s="243"/>
      <c r="AIW362" s="243"/>
      <c r="AIX362" s="243"/>
      <c r="AIY362" s="243"/>
      <c r="AIZ362" s="243"/>
      <c r="AJA362" s="243"/>
      <c r="AJB362" s="243"/>
      <c r="AJC362" s="243"/>
      <c r="AJD362" s="243"/>
      <c r="AJE362" s="243"/>
      <c r="AJF362" s="243"/>
      <c r="AJG362" s="243"/>
      <c r="AJH362" s="243"/>
      <c r="AJI362" s="243"/>
      <c r="AJJ362" s="243"/>
      <c r="AJK362" s="243"/>
      <c r="AJL362" s="243"/>
      <c r="AJM362" s="243"/>
      <c r="AJN362" s="243"/>
      <c r="AJO362" s="243"/>
      <c r="AJP362" s="243"/>
      <c r="AJQ362" s="243"/>
      <c r="AJR362" s="243"/>
      <c r="AJS362" s="243"/>
      <c r="AJT362" s="243"/>
      <c r="AJU362" s="243"/>
      <c r="AJV362" s="243"/>
      <c r="AJW362" s="243"/>
      <c r="AJX362" s="243"/>
      <c r="AJY362" s="243"/>
      <c r="AJZ362" s="243"/>
      <c r="AKA362" s="243"/>
      <c r="AKB362" s="243"/>
      <c r="AKC362" s="243"/>
      <c r="AKD362" s="243"/>
      <c r="AKE362" s="243"/>
      <c r="AKF362" s="243"/>
      <c r="AKG362" s="243"/>
      <c r="AKH362" s="243"/>
      <c r="AKI362" s="243"/>
      <c r="AKJ362" s="243"/>
      <c r="AKK362" s="243"/>
      <c r="AKL362" s="243"/>
      <c r="AKM362" s="243"/>
      <c r="AKN362" s="243"/>
      <c r="AKO362" s="243"/>
      <c r="AKP362" s="243"/>
      <c r="AKQ362" s="243"/>
      <c r="AKR362" s="243"/>
      <c r="AKS362" s="243"/>
      <c r="AKT362" s="243"/>
      <c r="AKU362" s="243"/>
      <c r="AKV362" s="243"/>
      <c r="AKW362" s="243"/>
      <c r="AKX362" s="243"/>
      <c r="AKY362" s="243"/>
      <c r="AKZ362" s="243"/>
      <c r="ALA362" s="243"/>
      <c r="ALB362" s="243"/>
      <c r="ALC362" s="243"/>
      <c r="ALD362" s="243"/>
      <c r="ALE362" s="243"/>
      <c r="ALF362" s="243"/>
      <c r="ALG362" s="243"/>
      <c r="ALH362" s="243"/>
      <c r="ALI362" s="243"/>
      <c r="ALJ362" s="243"/>
      <c r="ALK362" s="243"/>
      <c r="ALL362" s="243"/>
      <c r="ALM362" s="243"/>
      <c r="ALN362" s="243"/>
      <c r="ALO362" s="243"/>
      <c r="ALP362" s="243"/>
      <c r="ALQ362" s="243"/>
      <c r="ALR362" s="243"/>
      <c r="ALS362" s="243"/>
      <c r="ALT362" s="243"/>
      <c r="ALU362" s="243"/>
      <c r="ALV362" s="243"/>
      <c r="ALW362" s="243"/>
      <c r="ALX362" s="243"/>
      <c r="ALY362" s="243"/>
      <c r="ALZ362" s="243"/>
      <c r="AMA362" s="243"/>
      <c r="AMB362" s="243"/>
      <c r="AMC362" s="243"/>
      <c r="AMD362" s="243"/>
      <c r="AME362" s="243"/>
      <c r="AMF362" s="243"/>
      <c r="AMG362" s="243"/>
      <c r="AMH362" s="243"/>
      <c r="AMI362" s="244"/>
      <c r="AMJ362" s="244"/>
    </row>
    <row r="363" spans="1:1024">
      <c r="A363" s="906"/>
      <c r="B363" s="663" t="s">
        <v>43</v>
      </c>
      <c r="C363" s="555"/>
      <c r="D363" s="556" t="s">
        <v>253</v>
      </c>
      <c r="E363" s="321"/>
      <c r="F363" s="586"/>
      <c r="G363" s="321"/>
      <c r="H363" s="615"/>
      <c r="I363" s="4"/>
      <c r="J363" s="635"/>
      <c r="K363" s="318"/>
      <c r="L363" s="318"/>
      <c r="M363" s="318"/>
      <c r="N363" s="321"/>
      <c r="O363" s="119"/>
      <c r="P363" s="321"/>
    </row>
    <row r="364" spans="1:1024" ht="12.75" customHeight="1">
      <c r="A364" s="906"/>
      <c r="B364" s="55"/>
      <c r="C364" s="56"/>
      <c r="D364" s="140"/>
      <c r="E364" s="672"/>
      <c r="F364" s="616"/>
      <c r="G364" s="321"/>
      <c r="H364" s="617"/>
      <c r="I364" s="35"/>
      <c r="J364" s="650"/>
      <c r="K364" s="318"/>
      <c r="L364" s="318"/>
      <c r="M364" s="318" t="s">
        <v>26</v>
      </c>
      <c r="N364" s="563">
        <f>SUM(N354:N363)</f>
        <v>5450000</v>
      </c>
      <c r="O364" s="318" t="s">
        <v>26</v>
      </c>
      <c r="P364" s="563">
        <f>SUM(P354:P363)</f>
        <v>247500</v>
      </c>
    </row>
    <row r="365" spans="1:1024" ht="12.75" customHeight="1">
      <c r="A365" s="906"/>
      <c r="B365" s="61"/>
      <c r="C365" s="31"/>
      <c r="D365" s="626" t="s">
        <v>26</v>
      </c>
      <c r="E365" s="563">
        <f>SUM(E354:E364)</f>
        <v>17800000</v>
      </c>
      <c r="F365" s="318" t="s">
        <v>26</v>
      </c>
      <c r="G365" s="618">
        <f>SUM(G354:G364)</f>
        <v>1227000</v>
      </c>
      <c r="H365" s="140"/>
      <c r="I365" s="35"/>
      <c r="J365" s="650"/>
      <c r="K365" s="626" t="s">
        <v>27</v>
      </c>
      <c r="L365" s="626"/>
      <c r="M365" s="626"/>
      <c r="N365" s="626"/>
      <c r="O365" s="630" t="s">
        <v>28</v>
      </c>
      <c r="P365" s="640">
        <f>G365+P364</f>
        <v>1474500</v>
      </c>
    </row>
    <row r="366" spans="1:1024">
      <c r="A366" s="41"/>
      <c r="B366" s="42"/>
      <c r="C366" s="43"/>
      <c r="D366" s="41"/>
      <c r="E366" s="41"/>
      <c r="F366" s="41"/>
      <c r="G366" s="41"/>
      <c r="H366" s="41"/>
      <c r="I366" s="41"/>
      <c r="J366" s="41"/>
      <c r="K366" s="624"/>
      <c r="L366" s="624"/>
      <c r="M366" s="624"/>
      <c r="N366" s="624"/>
      <c r="O366" s="624"/>
      <c r="P366" s="624"/>
    </row>
    <row r="367" spans="1:1024">
      <c r="A367" s="889" t="s">
        <v>163</v>
      </c>
      <c r="B367" s="890"/>
      <c r="C367" s="890"/>
      <c r="D367" s="890"/>
      <c r="E367" s="890"/>
      <c r="F367" s="890"/>
      <c r="G367" s="890"/>
      <c r="H367" s="890"/>
      <c r="I367" s="890"/>
      <c r="J367" s="890"/>
      <c r="K367" s="892" t="s">
        <v>2</v>
      </c>
      <c r="L367" s="892"/>
      <c r="M367" s="996"/>
      <c r="N367" s="996"/>
      <c r="O367" s="996"/>
      <c r="P367" s="996"/>
    </row>
    <row r="368" spans="1:1024">
      <c r="A368" s="4" t="s">
        <v>3</v>
      </c>
      <c r="B368" s="2" t="s">
        <v>4</v>
      </c>
      <c r="C368" s="3" t="s">
        <v>5</v>
      </c>
      <c r="D368" s="4" t="s">
        <v>6</v>
      </c>
      <c r="E368" s="4" t="s">
        <v>7</v>
      </c>
      <c r="F368" s="5" t="s">
        <v>8</v>
      </c>
      <c r="G368" s="4" t="s">
        <v>9</v>
      </c>
      <c r="H368" s="6" t="s">
        <v>10</v>
      </c>
      <c r="I368" s="4" t="s">
        <v>11</v>
      </c>
      <c r="J368" s="623" t="s">
        <v>12</v>
      </c>
      <c r="K368" s="318" t="s">
        <v>4</v>
      </c>
      <c r="L368" s="318" t="s">
        <v>5</v>
      </c>
      <c r="M368" s="318" t="s">
        <v>6</v>
      </c>
      <c r="N368" s="318" t="s">
        <v>13</v>
      </c>
      <c r="O368" s="119" t="s">
        <v>8</v>
      </c>
      <c r="P368" s="318" t="s">
        <v>14</v>
      </c>
    </row>
    <row r="369" spans="1:1024">
      <c r="A369" s="887">
        <v>7</v>
      </c>
      <c r="B369" s="122">
        <v>14368</v>
      </c>
      <c r="C369" s="121">
        <v>0.1</v>
      </c>
      <c r="D369" s="542" t="s">
        <v>254</v>
      </c>
      <c r="E369" s="364">
        <v>2950000</v>
      </c>
      <c r="F369" s="543">
        <v>0.04</v>
      </c>
      <c r="G369" s="364">
        <f>E369*F369</f>
        <v>118000</v>
      </c>
      <c r="H369" s="599" t="s">
        <v>202</v>
      </c>
      <c r="I369" s="604"/>
      <c r="J369" s="635"/>
      <c r="K369" s="573">
        <v>14563</v>
      </c>
      <c r="L369" s="574">
        <v>0.1</v>
      </c>
      <c r="M369" s="575" t="s">
        <v>255</v>
      </c>
      <c r="N369" s="364">
        <v>2100000</v>
      </c>
      <c r="O369" s="543">
        <v>0.04</v>
      </c>
      <c r="P369" s="364">
        <f>N369*O369</f>
        <v>84000</v>
      </c>
      <c r="Q369" s="243"/>
      <c r="R369" s="243"/>
      <c r="S369" s="243"/>
      <c r="T369" s="243"/>
      <c r="U369" s="243"/>
      <c r="V369" s="243"/>
      <c r="W369" s="243"/>
      <c r="X369" s="243"/>
      <c r="Y369" s="243"/>
      <c r="Z369" s="243"/>
      <c r="AA369" s="243"/>
      <c r="AB369" s="243"/>
      <c r="AC369" s="243"/>
      <c r="AD369" s="243"/>
      <c r="AE369" s="243"/>
      <c r="AF369" s="243"/>
      <c r="AG369" s="243"/>
      <c r="AH369" s="243"/>
      <c r="AI369" s="243"/>
      <c r="AJ369" s="243"/>
      <c r="AK369" s="243"/>
      <c r="AL369" s="243"/>
      <c r="AM369" s="243"/>
      <c r="AN369" s="243"/>
      <c r="AO369" s="243"/>
      <c r="AP369" s="243"/>
      <c r="AQ369" s="243"/>
      <c r="AR369" s="243"/>
      <c r="AS369" s="243"/>
      <c r="AT369" s="243"/>
      <c r="AU369" s="243"/>
      <c r="AV369" s="243"/>
      <c r="AW369" s="243"/>
      <c r="AX369" s="243"/>
      <c r="AY369" s="243"/>
      <c r="AZ369" s="243"/>
      <c r="BA369" s="243"/>
      <c r="BB369" s="243"/>
      <c r="BC369" s="243"/>
      <c r="BD369" s="243"/>
      <c r="BE369" s="243"/>
      <c r="BF369" s="243"/>
      <c r="BG369" s="243"/>
      <c r="BH369" s="243"/>
      <c r="BI369" s="243"/>
      <c r="BJ369" s="243"/>
      <c r="BK369" s="243"/>
      <c r="BL369" s="243"/>
      <c r="BM369" s="243"/>
      <c r="BN369" s="243"/>
      <c r="BO369" s="243"/>
      <c r="BP369" s="243"/>
      <c r="BQ369" s="243"/>
      <c r="BR369" s="243"/>
      <c r="BS369" s="243"/>
      <c r="BT369" s="243"/>
      <c r="BU369" s="243"/>
      <c r="BV369" s="243"/>
      <c r="BW369" s="243"/>
      <c r="BX369" s="243"/>
      <c r="BY369" s="243"/>
      <c r="BZ369" s="243"/>
      <c r="CA369" s="243"/>
      <c r="CB369" s="243"/>
      <c r="CC369" s="243"/>
      <c r="CD369" s="243"/>
      <c r="CE369" s="243"/>
      <c r="CF369" s="243"/>
      <c r="CG369" s="243"/>
      <c r="CH369" s="243"/>
      <c r="CI369" s="243"/>
      <c r="CJ369" s="243"/>
      <c r="CK369" s="243"/>
      <c r="CL369" s="243"/>
      <c r="CM369" s="243"/>
      <c r="CN369" s="243"/>
      <c r="CO369" s="243"/>
      <c r="CP369" s="243"/>
      <c r="CQ369" s="243"/>
      <c r="CR369" s="243"/>
      <c r="CS369" s="243"/>
      <c r="CT369" s="243"/>
      <c r="CU369" s="243"/>
      <c r="CV369" s="243"/>
      <c r="CW369" s="243"/>
      <c r="CX369" s="243"/>
      <c r="CY369" s="243"/>
      <c r="CZ369" s="243"/>
      <c r="DA369" s="243"/>
      <c r="DB369" s="243"/>
      <c r="DC369" s="243"/>
      <c r="DD369" s="243"/>
      <c r="DE369" s="243"/>
      <c r="DF369" s="243"/>
      <c r="DG369" s="243"/>
      <c r="DH369" s="243"/>
      <c r="DI369" s="243"/>
      <c r="DJ369" s="243"/>
      <c r="DK369" s="243"/>
      <c r="DL369" s="243"/>
      <c r="DM369" s="243"/>
      <c r="DN369" s="243"/>
      <c r="DO369" s="243"/>
      <c r="DP369" s="243"/>
      <c r="DQ369" s="243"/>
      <c r="DR369" s="243"/>
      <c r="DS369" s="243"/>
      <c r="DT369" s="243"/>
      <c r="DU369" s="243"/>
      <c r="DV369" s="243"/>
      <c r="DW369" s="243"/>
      <c r="DX369" s="243"/>
      <c r="DY369" s="243"/>
      <c r="DZ369" s="243"/>
      <c r="EA369" s="243"/>
      <c r="EB369" s="243"/>
      <c r="EC369" s="243"/>
      <c r="ED369" s="243"/>
      <c r="EE369" s="243"/>
      <c r="EF369" s="243"/>
      <c r="EG369" s="243"/>
      <c r="EH369" s="243"/>
      <c r="EI369" s="243"/>
      <c r="EJ369" s="243"/>
      <c r="EK369" s="243"/>
      <c r="EL369" s="243"/>
      <c r="EM369" s="243"/>
      <c r="EN369" s="243"/>
      <c r="EO369" s="243"/>
      <c r="EP369" s="243"/>
      <c r="EQ369" s="243"/>
      <c r="ER369" s="243"/>
      <c r="ES369" s="243"/>
      <c r="ET369" s="243"/>
      <c r="EU369" s="243"/>
      <c r="EV369" s="243"/>
      <c r="EW369" s="243"/>
      <c r="EX369" s="243"/>
      <c r="EY369" s="243"/>
      <c r="EZ369" s="243"/>
      <c r="FA369" s="243"/>
      <c r="FB369" s="243"/>
      <c r="FC369" s="243"/>
      <c r="FD369" s="243"/>
      <c r="FE369" s="243"/>
      <c r="FF369" s="243"/>
      <c r="FG369" s="243"/>
      <c r="FH369" s="243"/>
      <c r="FI369" s="243"/>
      <c r="FJ369" s="243"/>
      <c r="FK369" s="243"/>
      <c r="FL369" s="243"/>
      <c r="FM369" s="243"/>
      <c r="FN369" s="243"/>
      <c r="FO369" s="243"/>
      <c r="FP369" s="243"/>
      <c r="FQ369" s="243"/>
      <c r="FR369" s="243"/>
      <c r="FS369" s="243"/>
      <c r="FT369" s="243"/>
      <c r="FU369" s="243"/>
      <c r="FV369" s="243"/>
      <c r="FW369" s="243"/>
      <c r="FX369" s="243"/>
      <c r="FY369" s="243"/>
      <c r="FZ369" s="243"/>
      <c r="GA369" s="243"/>
      <c r="GB369" s="243"/>
      <c r="GC369" s="243"/>
      <c r="GD369" s="243"/>
      <c r="GE369" s="243"/>
      <c r="GF369" s="243"/>
      <c r="GG369" s="243"/>
      <c r="GH369" s="243"/>
      <c r="GI369" s="243"/>
      <c r="GJ369" s="243"/>
      <c r="GK369" s="243"/>
      <c r="GL369" s="243"/>
      <c r="GM369" s="243"/>
      <c r="GN369" s="243"/>
      <c r="GO369" s="243"/>
      <c r="GP369" s="243"/>
      <c r="GQ369" s="243"/>
      <c r="GR369" s="243"/>
      <c r="GS369" s="243"/>
      <c r="GT369" s="243"/>
      <c r="GU369" s="243"/>
      <c r="GV369" s="243"/>
      <c r="GW369" s="243"/>
      <c r="GX369" s="243"/>
      <c r="GY369" s="243"/>
      <c r="GZ369" s="243"/>
      <c r="HA369" s="243"/>
      <c r="HB369" s="243"/>
      <c r="HC369" s="243"/>
      <c r="HD369" s="243"/>
      <c r="HE369" s="243"/>
      <c r="HF369" s="243"/>
      <c r="HG369" s="243"/>
      <c r="HH369" s="243"/>
      <c r="HI369" s="243"/>
      <c r="HJ369" s="243"/>
      <c r="HK369" s="243"/>
      <c r="HL369" s="243"/>
      <c r="HM369" s="243"/>
      <c r="HN369" s="243"/>
      <c r="HO369" s="243"/>
      <c r="HP369" s="243"/>
      <c r="HQ369" s="243"/>
      <c r="HR369" s="243"/>
      <c r="HS369" s="243"/>
      <c r="HT369" s="243"/>
      <c r="HU369" s="243"/>
      <c r="HV369" s="243"/>
      <c r="HW369" s="243"/>
      <c r="HX369" s="243"/>
      <c r="HY369" s="243"/>
      <c r="HZ369" s="243"/>
      <c r="IA369" s="243"/>
      <c r="IB369" s="243"/>
      <c r="IC369" s="243"/>
      <c r="ID369" s="243"/>
      <c r="IE369" s="243"/>
      <c r="IF369" s="243"/>
      <c r="IG369" s="243"/>
      <c r="IH369" s="243"/>
      <c r="II369" s="243"/>
      <c r="IJ369" s="243"/>
      <c r="IK369" s="243"/>
      <c r="IL369" s="243"/>
      <c r="IM369" s="243"/>
      <c r="IN369" s="243"/>
      <c r="IO369" s="243"/>
      <c r="IP369" s="243"/>
      <c r="IQ369" s="243"/>
      <c r="IR369" s="243"/>
      <c r="IS369" s="243"/>
      <c r="IT369" s="243"/>
      <c r="IU369" s="243"/>
      <c r="IV369" s="243"/>
      <c r="IW369" s="243"/>
      <c r="IX369" s="243"/>
      <c r="IY369" s="243"/>
      <c r="IZ369" s="243"/>
      <c r="JA369" s="243"/>
      <c r="JB369" s="243"/>
      <c r="JC369" s="243"/>
      <c r="JD369" s="243"/>
      <c r="JE369" s="243"/>
      <c r="JF369" s="243"/>
      <c r="JG369" s="243"/>
      <c r="JH369" s="243"/>
      <c r="JI369" s="243"/>
      <c r="JJ369" s="243"/>
      <c r="JK369" s="243"/>
      <c r="JL369" s="243"/>
      <c r="JM369" s="243"/>
      <c r="JN369" s="243"/>
      <c r="JO369" s="243"/>
      <c r="JP369" s="243"/>
      <c r="JQ369" s="243"/>
      <c r="JR369" s="243"/>
      <c r="JS369" s="243"/>
      <c r="JT369" s="243"/>
      <c r="JU369" s="243"/>
      <c r="JV369" s="243"/>
      <c r="JW369" s="243"/>
      <c r="JX369" s="243"/>
      <c r="JY369" s="243"/>
      <c r="JZ369" s="243"/>
      <c r="KA369" s="243"/>
      <c r="KB369" s="243"/>
      <c r="KC369" s="243"/>
      <c r="KD369" s="243"/>
      <c r="KE369" s="243"/>
      <c r="KF369" s="243"/>
      <c r="KG369" s="243"/>
      <c r="KH369" s="243"/>
      <c r="KI369" s="243"/>
      <c r="KJ369" s="243"/>
      <c r="KK369" s="243"/>
      <c r="KL369" s="243"/>
      <c r="KM369" s="243"/>
      <c r="KN369" s="243"/>
      <c r="KO369" s="243"/>
      <c r="KP369" s="243"/>
      <c r="KQ369" s="243"/>
      <c r="KR369" s="243"/>
      <c r="KS369" s="243"/>
      <c r="KT369" s="243"/>
      <c r="KU369" s="243"/>
      <c r="KV369" s="243"/>
      <c r="KW369" s="243"/>
      <c r="KX369" s="243"/>
      <c r="KY369" s="243"/>
      <c r="KZ369" s="243"/>
      <c r="LA369" s="243"/>
      <c r="LB369" s="243"/>
      <c r="LC369" s="243"/>
      <c r="LD369" s="243"/>
      <c r="LE369" s="243"/>
      <c r="LF369" s="243"/>
      <c r="LG369" s="243"/>
      <c r="LH369" s="243"/>
      <c r="LI369" s="243"/>
      <c r="LJ369" s="243"/>
      <c r="LK369" s="243"/>
      <c r="LL369" s="243"/>
      <c r="LM369" s="243"/>
      <c r="LN369" s="243"/>
      <c r="LO369" s="243"/>
      <c r="LP369" s="243"/>
      <c r="LQ369" s="243"/>
      <c r="LR369" s="243"/>
      <c r="LS369" s="243"/>
      <c r="LT369" s="243"/>
      <c r="LU369" s="243"/>
      <c r="LV369" s="243"/>
      <c r="LW369" s="243"/>
      <c r="LX369" s="243"/>
      <c r="LY369" s="243"/>
      <c r="LZ369" s="243"/>
      <c r="MA369" s="243"/>
      <c r="MB369" s="243"/>
      <c r="MC369" s="243"/>
      <c r="MD369" s="243"/>
      <c r="ME369" s="243"/>
      <c r="MF369" s="243"/>
      <c r="MG369" s="243"/>
      <c r="MH369" s="243"/>
      <c r="MI369" s="243"/>
      <c r="MJ369" s="243"/>
      <c r="MK369" s="243"/>
      <c r="ML369" s="243"/>
      <c r="MM369" s="243"/>
      <c r="MN369" s="243"/>
      <c r="MO369" s="243"/>
      <c r="MP369" s="243"/>
      <c r="MQ369" s="243"/>
      <c r="MR369" s="243"/>
      <c r="MS369" s="243"/>
      <c r="MT369" s="243"/>
      <c r="MU369" s="243"/>
      <c r="MV369" s="243"/>
      <c r="MW369" s="243"/>
      <c r="MX369" s="243"/>
      <c r="MY369" s="243"/>
      <c r="MZ369" s="243"/>
      <c r="NA369" s="243"/>
      <c r="NB369" s="243"/>
      <c r="NC369" s="243"/>
      <c r="ND369" s="243"/>
      <c r="NE369" s="243"/>
      <c r="NF369" s="243"/>
      <c r="NG369" s="243"/>
      <c r="NH369" s="243"/>
      <c r="NI369" s="243"/>
      <c r="NJ369" s="243"/>
      <c r="NK369" s="243"/>
      <c r="NL369" s="243"/>
      <c r="NM369" s="243"/>
      <c r="NN369" s="243"/>
      <c r="NO369" s="243"/>
      <c r="NP369" s="243"/>
      <c r="NQ369" s="243"/>
      <c r="NR369" s="243"/>
      <c r="NS369" s="243"/>
      <c r="NT369" s="243"/>
      <c r="NU369" s="243"/>
      <c r="NV369" s="243"/>
      <c r="NW369" s="243"/>
      <c r="NX369" s="243"/>
      <c r="NY369" s="243"/>
      <c r="NZ369" s="243"/>
      <c r="OA369" s="243"/>
      <c r="OB369" s="243"/>
      <c r="OC369" s="243"/>
      <c r="OD369" s="243"/>
      <c r="OE369" s="243"/>
      <c r="OF369" s="243"/>
      <c r="OG369" s="243"/>
      <c r="OH369" s="243"/>
      <c r="OI369" s="243"/>
      <c r="OJ369" s="243"/>
      <c r="OK369" s="243"/>
      <c r="OL369" s="243"/>
      <c r="OM369" s="243"/>
      <c r="ON369" s="243"/>
      <c r="OO369" s="243"/>
      <c r="OP369" s="243"/>
      <c r="OQ369" s="243"/>
      <c r="OR369" s="243"/>
      <c r="OS369" s="243"/>
      <c r="OT369" s="243"/>
      <c r="OU369" s="243"/>
      <c r="OV369" s="243"/>
      <c r="OW369" s="243"/>
      <c r="OX369" s="243"/>
      <c r="OY369" s="243"/>
      <c r="OZ369" s="243"/>
      <c r="PA369" s="243"/>
      <c r="PB369" s="243"/>
      <c r="PC369" s="243"/>
      <c r="PD369" s="243"/>
      <c r="PE369" s="243"/>
      <c r="PF369" s="243"/>
      <c r="PG369" s="243"/>
      <c r="PH369" s="243"/>
      <c r="PI369" s="243"/>
      <c r="PJ369" s="243"/>
      <c r="PK369" s="243"/>
      <c r="PL369" s="243"/>
      <c r="PM369" s="243"/>
      <c r="PN369" s="243"/>
      <c r="PO369" s="243"/>
      <c r="PP369" s="243"/>
      <c r="PQ369" s="243"/>
      <c r="PR369" s="243"/>
      <c r="PS369" s="243"/>
      <c r="PT369" s="243"/>
      <c r="PU369" s="243"/>
      <c r="PV369" s="243"/>
      <c r="PW369" s="243"/>
      <c r="PX369" s="243"/>
      <c r="PY369" s="243"/>
      <c r="PZ369" s="243"/>
      <c r="QA369" s="243"/>
      <c r="QB369" s="243"/>
      <c r="QC369" s="243"/>
      <c r="QD369" s="243"/>
      <c r="QE369" s="243"/>
      <c r="QF369" s="243"/>
      <c r="QG369" s="243"/>
      <c r="QH369" s="243"/>
      <c r="QI369" s="243"/>
      <c r="QJ369" s="243"/>
      <c r="QK369" s="243"/>
      <c r="QL369" s="243"/>
      <c r="QM369" s="243"/>
      <c r="QN369" s="243"/>
      <c r="QO369" s="243"/>
      <c r="QP369" s="243"/>
      <c r="QQ369" s="243"/>
      <c r="QR369" s="243"/>
      <c r="QS369" s="243"/>
      <c r="QT369" s="243"/>
      <c r="QU369" s="243"/>
      <c r="QV369" s="243"/>
      <c r="QW369" s="243"/>
      <c r="QX369" s="243"/>
      <c r="QY369" s="243"/>
      <c r="QZ369" s="243"/>
      <c r="RA369" s="243"/>
      <c r="RB369" s="243"/>
      <c r="RC369" s="243"/>
      <c r="RD369" s="243"/>
      <c r="RE369" s="243"/>
      <c r="RF369" s="243"/>
      <c r="RG369" s="243"/>
      <c r="RH369" s="243"/>
      <c r="RI369" s="243"/>
      <c r="RJ369" s="243"/>
      <c r="RK369" s="243"/>
      <c r="RL369" s="243"/>
      <c r="RM369" s="243"/>
      <c r="RN369" s="243"/>
      <c r="RO369" s="243"/>
      <c r="RP369" s="243"/>
      <c r="RQ369" s="243"/>
      <c r="RR369" s="243"/>
      <c r="RS369" s="243"/>
      <c r="RT369" s="243"/>
      <c r="RU369" s="243"/>
      <c r="RV369" s="243"/>
      <c r="RW369" s="243"/>
      <c r="RX369" s="243"/>
      <c r="RY369" s="243"/>
      <c r="RZ369" s="243"/>
      <c r="SA369" s="243"/>
      <c r="SB369" s="243"/>
      <c r="SC369" s="243"/>
      <c r="SD369" s="243"/>
      <c r="SE369" s="243"/>
      <c r="SF369" s="243"/>
      <c r="SG369" s="243"/>
      <c r="SH369" s="243"/>
      <c r="SI369" s="243"/>
      <c r="SJ369" s="243"/>
      <c r="SK369" s="243"/>
      <c r="SL369" s="243"/>
      <c r="SM369" s="243"/>
      <c r="SN369" s="243"/>
      <c r="SO369" s="243"/>
      <c r="SP369" s="243"/>
      <c r="SQ369" s="243"/>
      <c r="SR369" s="243"/>
      <c r="SS369" s="243"/>
      <c r="ST369" s="243"/>
      <c r="SU369" s="243"/>
      <c r="SV369" s="243"/>
      <c r="SW369" s="243"/>
      <c r="SX369" s="243"/>
      <c r="SY369" s="243"/>
      <c r="SZ369" s="243"/>
      <c r="TA369" s="243"/>
      <c r="TB369" s="243"/>
      <c r="TC369" s="243"/>
      <c r="TD369" s="243"/>
      <c r="TE369" s="243"/>
      <c r="TF369" s="243"/>
      <c r="TG369" s="243"/>
      <c r="TH369" s="243"/>
      <c r="TI369" s="243"/>
      <c r="TJ369" s="243"/>
      <c r="TK369" s="243"/>
      <c r="TL369" s="243"/>
      <c r="TM369" s="243"/>
      <c r="TN369" s="243"/>
      <c r="TO369" s="243"/>
      <c r="TP369" s="243"/>
      <c r="TQ369" s="243"/>
      <c r="TR369" s="243"/>
      <c r="TS369" s="243"/>
      <c r="TT369" s="243"/>
      <c r="TU369" s="243"/>
      <c r="TV369" s="243"/>
      <c r="TW369" s="243"/>
      <c r="TX369" s="243"/>
      <c r="TY369" s="243"/>
      <c r="TZ369" s="243"/>
      <c r="UA369" s="243"/>
      <c r="UB369" s="243"/>
      <c r="UC369" s="243"/>
      <c r="UD369" s="243"/>
      <c r="UE369" s="243"/>
      <c r="UF369" s="243"/>
      <c r="UG369" s="243"/>
      <c r="UH369" s="243"/>
      <c r="UI369" s="243"/>
      <c r="UJ369" s="243"/>
      <c r="UK369" s="243"/>
      <c r="UL369" s="243"/>
      <c r="UM369" s="243"/>
      <c r="UN369" s="243"/>
      <c r="UO369" s="243"/>
      <c r="UP369" s="243"/>
      <c r="UQ369" s="243"/>
      <c r="UR369" s="243"/>
      <c r="US369" s="243"/>
      <c r="UT369" s="243"/>
      <c r="UU369" s="243"/>
      <c r="UV369" s="243"/>
      <c r="UW369" s="243"/>
      <c r="UX369" s="243"/>
      <c r="UY369" s="243"/>
      <c r="UZ369" s="243"/>
      <c r="VA369" s="243"/>
      <c r="VB369" s="243"/>
      <c r="VC369" s="243"/>
      <c r="VD369" s="243"/>
      <c r="VE369" s="243"/>
      <c r="VF369" s="243"/>
      <c r="VG369" s="243"/>
      <c r="VH369" s="243"/>
      <c r="VI369" s="243"/>
      <c r="VJ369" s="243"/>
      <c r="VK369" s="243"/>
      <c r="VL369" s="243"/>
      <c r="VM369" s="243"/>
      <c r="VN369" s="243"/>
      <c r="VO369" s="243"/>
      <c r="VP369" s="243"/>
      <c r="VQ369" s="243"/>
      <c r="VR369" s="243"/>
      <c r="VS369" s="243"/>
      <c r="VT369" s="243"/>
      <c r="VU369" s="243"/>
      <c r="VV369" s="243"/>
      <c r="VW369" s="243"/>
      <c r="VX369" s="243"/>
      <c r="VY369" s="243"/>
      <c r="VZ369" s="243"/>
      <c r="WA369" s="243"/>
      <c r="WB369" s="243"/>
      <c r="WC369" s="243"/>
      <c r="WD369" s="243"/>
      <c r="WE369" s="243"/>
      <c r="WF369" s="243"/>
      <c r="WG369" s="243"/>
      <c r="WH369" s="243"/>
      <c r="WI369" s="243"/>
      <c r="WJ369" s="243"/>
      <c r="WK369" s="243"/>
      <c r="WL369" s="243"/>
      <c r="WM369" s="243"/>
      <c r="WN369" s="243"/>
      <c r="WO369" s="243"/>
      <c r="WP369" s="243"/>
      <c r="WQ369" s="243"/>
      <c r="WR369" s="243"/>
      <c r="WS369" s="243"/>
      <c r="WT369" s="243"/>
      <c r="WU369" s="243"/>
      <c r="WV369" s="243"/>
      <c r="WW369" s="243"/>
      <c r="WX369" s="243"/>
      <c r="WY369" s="243"/>
      <c r="WZ369" s="243"/>
      <c r="XA369" s="243"/>
      <c r="XB369" s="243"/>
      <c r="XC369" s="243"/>
      <c r="XD369" s="243"/>
      <c r="XE369" s="243"/>
      <c r="XF369" s="243"/>
      <c r="XG369" s="243"/>
      <c r="XH369" s="243"/>
      <c r="XI369" s="243"/>
      <c r="XJ369" s="243"/>
      <c r="XK369" s="243"/>
      <c r="XL369" s="243"/>
      <c r="XM369" s="243"/>
      <c r="XN369" s="243"/>
      <c r="XO369" s="243"/>
      <c r="XP369" s="243"/>
      <c r="XQ369" s="243"/>
      <c r="XR369" s="243"/>
      <c r="XS369" s="243"/>
      <c r="XT369" s="243"/>
      <c r="XU369" s="243"/>
      <c r="XV369" s="243"/>
      <c r="XW369" s="243"/>
      <c r="XX369" s="243"/>
      <c r="XY369" s="243"/>
      <c r="XZ369" s="243"/>
      <c r="YA369" s="243"/>
      <c r="YB369" s="243"/>
      <c r="YC369" s="243"/>
      <c r="YD369" s="243"/>
      <c r="YE369" s="243"/>
      <c r="YF369" s="243"/>
      <c r="YG369" s="243"/>
      <c r="YH369" s="243"/>
      <c r="YI369" s="243"/>
      <c r="YJ369" s="243"/>
      <c r="YK369" s="243"/>
      <c r="YL369" s="243"/>
      <c r="YM369" s="243"/>
      <c r="YN369" s="243"/>
      <c r="YO369" s="243"/>
      <c r="YP369" s="243"/>
      <c r="YQ369" s="243"/>
      <c r="YR369" s="243"/>
      <c r="YS369" s="243"/>
      <c r="YT369" s="243"/>
      <c r="YU369" s="243"/>
      <c r="YV369" s="243"/>
      <c r="YW369" s="243"/>
      <c r="YX369" s="243"/>
      <c r="YY369" s="243"/>
      <c r="YZ369" s="243"/>
      <c r="ZA369" s="243"/>
      <c r="ZB369" s="243"/>
      <c r="ZC369" s="243"/>
      <c r="ZD369" s="243"/>
      <c r="ZE369" s="243"/>
      <c r="ZF369" s="243"/>
      <c r="ZG369" s="243"/>
      <c r="ZH369" s="243"/>
      <c r="ZI369" s="243"/>
      <c r="ZJ369" s="243"/>
      <c r="ZK369" s="243"/>
      <c r="ZL369" s="243"/>
      <c r="ZM369" s="243"/>
      <c r="ZN369" s="243"/>
      <c r="ZO369" s="243"/>
      <c r="ZP369" s="243"/>
      <c r="ZQ369" s="243"/>
      <c r="ZR369" s="243"/>
      <c r="ZS369" s="243"/>
      <c r="ZT369" s="243"/>
      <c r="ZU369" s="243"/>
      <c r="ZV369" s="243"/>
      <c r="ZW369" s="243"/>
      <c r="ZX369" s="243"/>
      <c r="ZY369" s="243"/>
      <c r="ZZ369" s="243"/>
      <c r="AAA369" s="243"/>
      <c r="AAB369" s="243"/>
      <c r="AAC369" s="243"/>
      <c r="AAD369" s="243"/>
      <c r="AAE369" s="243"/>
      <c r="AAF369" s="243"/>
      <c r="AAG369" s="243"/>
      <c r="AAH369" s="243"/>
      <c r="AAI369" s="243"/>
      <c r="AAJ369" s="243"/>
      <c r="AAK369" s="243"/>
      <c r="AAL369" s="243"/>
      <c r="AAM369" s="243"/>
      <c r="AAN369" s="243"/>
      <c r="AAO369" s="243"/>
      <c r="AAP369" s="243"/>
      <c r="AAQ369" s="243"/>
      <c r="AAR369" s="243"/>
      <c r="AAS369" s="243"/>
      <c r="AAT369" s="243"/>
      <c r="AAU369" s="243"/>
      <c r="AAV369" s="243"/>
      <c r="AAW369" s="243"/>
      <c r="AAX369" s="243"/>
      <c r="AAY369" s="243"/>
      <c r="AAZ369" s="243"/>
      <c r="ABA369" s="243"/>
      <c r="ABB369" s="243"/>
      <c r="ABC369" s="243"/>
      <c r="ABD369" s="243"/>
      <c r="ABE369" s="243"/>
      <c r="ABF369" s="243"/>
      <c r="ABG369" s="243"/>
      <c r="ABH369" s="243"/>
      <c r="ABI369" s="243"/>
      <c r="ABJ369" s="243"/>
      <c r="ABK369" s="243"/>
      <c r="ABL369" s="243"/>
      <c r="ABM369" s="243"/>
      <c r="ABN369" s="243"/>
      <c r="ABO369" s="243"/>
      <c r="ABP369" s="243"/>
      <c r="ABQ369" s="243"/>
      <c r="ABR369" s="243"/>
      <c r="ABS369" s="243"/>
      <c r="ABT369" s="243"/>
      <c r="ABU369" s="243"/>
      <c r="ABV369" s="243"/>
      <c r="ABW369" s="243"/>
      <c r="ABX369" s="243"/>
      <c r="ABY369" s="243"/>
      <c r="ABZ369" s="243"/>
      <c r="ACA369" s="243"/>
      <c r="ACB369" s="243"/>
      <c r="ACC369" s="243"/>
      <c r="ACD369" s="243"/>
      <c r="ACE369" s="243"/>
      <c r="ACF369" s="243"/>
      <c r="ACG369" s="243"/>
      <c r="ACH369" s="243"/>
      <c r="ACI369" s="243"/>
      <c r="ACJ369" s="243"/>
      <c r="ACK369" s="243"/>
      <c r="ACL369" s="243"/>
      <c r="ACM369" s="243"/>
      <c r="ACN369" s="243"/>
      <c r="ACO369" s="243"/>
      <c r="ACP369" s="243"/>
      <c r="ACQ369" s="243"/>
      <c r="ACR369" s="243"/>
      <c r="ACS369" s="243"/>
      <c r="ACT369" s="243"/>
      <c r="ACU369" s="243"/>
      <c r="ACV369" s="243"/>
      <c r="ACW369" s="243"/>
      <c r="ACX369" s="243"/>
      <c r="ACY369" s="243"/>
      <c r="ACZ369" s="243"/>
      <c r="ADA369" s="243"/>
      <c r="ADB369" s="243"/>
      <c r="ADC369" s="243"/>
      <c r="ADD369" s="243"/>
      <c r="ADE369" s="243"/>
      <c r="ADF369" s="243"/>
      <c r="ADG369" s="243"/>
      <c r="ADH369" s="243"/>
      <c r="ADI369" s="243"/>
      <c r="ADJ369" s="243"/>
      <c r="ADK369" s="243"/>
      <c r="ADL369" s="243"/>
      <c r="ADM369" s="243"/>
      <c r="ADN369" s="243"/>
      <c r="ADO369" s="243"/>
      <c r="ADP369" s="243"/>
      <c r="ADQ369" s="243"/>
      <c r="ADR369" s="243"/>
      <c r="ADS369" s="243"/>
      <c r="ADT369" s="243"/>
      <c r="ADU369" s="243"/>
      <c r="ADV369" s="243"/>
      <c r="ADW369" s="243"/>
      <c r="ADX369" s="243"/>
      <c r="ADY369" s="243"/>
      <c r="ADZ369" s="243"/>
      <c r="AEA369" s="243"/>
      <c r="AEB369" s="243"/>
      <c r="AEC369" s="243"/>
      <c r="AED369" s="243"/>
      <c r="AEE369" s="243"/>
      <c r="AEF369" s="243"/>
      <c r="AEG369" s="243"/>
      <c r="AEH369" s="243"/>
      <c r="AEI369" s="243"/>
      <c r="AEJ369" s="243"/>
      <c r="AEK369" s="243"/>
      <c r="AEL369" s="243"/>
      <c r="AEM369" s="243"/>
      <c r="AEN369" s="243"/>
      <c r="AEO369" s="243"/>
      <c r="AEP369" s="243"/>
      <c r="AEQ369" s="243"/>
      <c r="AER369" s="243"/>
      <c r="AES369" s="243"/>
      <c r="AET369" s="243"/>
      <c r="AEU369" s="243"/>
      <c r="AEV369" s="243"/>
      <c r="AEW369" s="243"/>
      <c r="AEX369" s="243"/>
      <c r="AEY369" s="243"/>
      <c r="AEZ369" s="243"/>
      <c r="AFA369" s="243"/>
      <c r="AFB369" s="243"/>
      <c r="AFC369" s="243"/>
      <c r="AFD369" s="243"/>
      <c r="AFE369" s="243"/>
      <c r="AFF369" s="243"/>
      <c r="AFG369" s="243"/>
      <c r="AFH369" s="243"/>
      <c r="AFI369" s="243"/>
      <c r="AFJ369" s="243"/>
      <c r="AFK369" s="243"/>
      <c r="AFL369" s="243"/>
      <c r="AFM369" s="243"/>
      <c r="AFN369" s="243"/>
      <c r="AFO369" s="243"/>
      <c r="AFP369" s="243"/>
      <c r="AFQ369" s="243"/>
      <c r="AFR369" s="243"/>
      <c r="AFS369" s="243"/>
      <c r="AFT369" s="243"/>
      <c r="AFU369" s="243"/>
      <c r="AFV369" s="243"/>
      <c r="AFW369" s="243"/>
      <c r="AFX369" s="243"/>
      <c r="AFY369" s="243"/>
      <c r="AFZ369" s="243"/>
      <c r="AGA369" s="243"/>
      <c r="AGB369" s="243"/>
      <c r="AGC369" s="243"/>
      <c r="AGD369" s="243"/>
      <c r="AGE369" s="243"/>
      <c r="AGF369" s="243"/>
      <c r="AGG369" s="243"/>
      <c r="AGH369" s="243"/>
      <c r="AGI369" s="243"/>
      <c r="AGJ369" s="243"/>
      <c r="AGK369" s="243"/>
      <c r="AGL369" s="243"/>
      <c r="AGM369" s="243"/>
      <c r="AGN369" s="243"/>
      <c r="AGO369" s="243"/>
      <c r="AGP369" s="243"/>
      <c r="AGQ369" s="243"/>
      <c r="AGR369" s="243"/>
      <c r="AGS369" s="243"/>
      <c r="AGT369" s="243"/>
      <c r="AGU369" s="243"/>
      <c r="AGV369" s="243"/>
      <c r="AGW369" s="243"/>
      <c r="AGX369" s="243"/>
      <c r="AGY369" s="243"/>
      <c r="AGZ369" s="243"/>
      <c r="AHA369" s="243"/>
      <c r="AHB369" s="243"/>
      <c r="AHC369" s="243"/>
      <c r="AHD369" s="243"/>
      <c r="AHE369" s="243"/>
      <c r="AHF369" s="243"/>
      <c r="AHG369" s="243"/>
      <c r="AHH369" s="243"/>
      <c r="AHI369" s="243"/>
      <c r="AHJ369" s="243"/>
      <c r="AHK369" s="243"/>
      <c r="AHL369" s="243"/>
      <c r="AHM369" s="243"/>
      <c r="AHN369" s="243"/>
      <c r="AHO369" s="243"/>
      <c r="AHP369" s="243"/>
      <c r="AHQ369" s="243"/>
      <c r="AHR369" s="243"/>
      <c r="AHS369" s="243"/>
      <c r="AHT369" s="243"/>
      <c r="AHU369" s="243"/>
      <c r="AHV369" s="243"/>
      <c r="AHW369" s="243"/>
      <c r="AHX369" s="243"/>
      <c r="AHY369" s="243"/>
      <c r="AHZ369" s="243"/>
      <c r="AIA369" s="243"/>
      <c r="AIB369" s="243"/>
      <c r="AIC369" s="243"/>
      <c r="AID369" s="243"/>
      <c r="AIE369" s="243"/>
      <c r="AIF369" s="243"/>
      <c r="AIG369" s="243"/>
      <c r="AIH369" s="243"/>
      <c r="AII369" s="243"/>
      <c r="AIJ369" s="243"/>
      <c r="AIK369" s="243"/>
      <c r="AIL369" s="243"/>
      <c r="AIM369" s="243"/>
      <c r="AIN369" s="243"/>
      <c r="AIO369" s="243"/>
      <c r="AIP369" s="243"/>
      <c r="AIQ369" s="243"/>
      <c r="AIR369" s="243"/>
      <c r="AIS369" s="243"/>
      <c r="AIT369" s="243"/>
      <c r="AIU369" s="243"/>
      <c r="AIV369" s="243"/>
      <c r="AIW369" s="243"/>
      <c r="AIX369" s="243"/>
      <c r="AIY369" s="243"/>
      <c r="AIZ369" s="243"/>
      <c r="AJA369" s="243"/>
      <c r="AJB369" s="243"/>
      <c r="AJC369" s="243"/>
      <c r="AJD369" s="243"/>
      <c r="AJE369" s="243"/>
      <c r="AJF369" s="243"/>
      <c r="AJG369" s="243"/>
      <c r="AJH369" s="243"/>
      <c r="AJI369" s="243"/>
      <c r="AJJ369" s="243"/>
      <c r="AJK369" s="243"/>
      <c r="AJL369" s="243"/>
      <c r="AJM369" s="243"/>
      <c r="AJN369" s="243"/>
      <c r="AJO369" s="243"/>
      <c r="AJP369" s="243"/>
      <c r="AJQ369" s="243"/>
      <c r="AJR369" s="243"/>
      <c r="AJS369" s="243"/>
      <c r="AJT369" s="243"/>
      <c r="AJU369" s="243"/>
      <c r="AJV369" s="243"/>
      <c r="AJW369" s="243"/>
      <c r="AJX369" s="243"/>
      <c r="AJY369" s="243"/>
      <c r="AJZ369" s="243"/>
      <c r="AKA369" s="243"/>
      <c r="AKB369" s="243"/>
      <c r="AKC369" s="243"/>
      <c r="AKD369" s="243"/>
      <c r="AKE369" s="243"/>
      <c r="AKF369" s="243"/>
      <c r="AKG369" s="243"/>
      <c r="AKH369" s="243"/>
      <c r="AKI369" s="243"/>
      <c r="AKJ369" s="243"/>
      <c r="AKK369" s="243"/>
      <c r="AKL369" s="243"/>
      <c r="AKM369" s="243"/>
      <c r="AKN369" s="243"/>
      <c r="AKO369" s="243"/>
      <c r="AKP369" s="243"/>
      <c r="AKQ369" s="243"/>
      <c r="AKR369" s="243"/>
      <c r="AKS369" s="243"/>
      <c r="AKT369" s="243"/>
      <c r="AKU369" s="243"/>
      <c r="AKV369" s="243"/>
      <c r="AKW369" s="243"/>
      <c r="AKX369" s="243"/>
      <c r="AKY369" s="243"/>
      <c r="AKZ369" s="243"/>
      <c r="ALA369" s="243"/>
      <c r="ALB369" s="243"/>
      <c r="ALC369" s="243"/>
      <c r="ALD369" s="243"/>
      <c r="ALE369" s="243"/>
      <c r="ALF369" s="243"/>
      <c r="ALG369" s="243"/>
      <c r="ALH369" s="243"/>
      <c r="ALI369" s="243"/>
      <c r="ALJ369" s="243"/>
      <c r="ALK369" s="243"/>
      <c r="ALL369" s="243"/>
      <c r="ALM369" s="243"/>
      <c r="ALN369" s="243"/>
      <c r="ALO369" s="243"/>
      <c r="ALP369" s="243"/>
      <c r="ALQ369" s="243"/>
      <c r="ALR369" s="243"/>
      <c r="ALS369" s="243"/>
      <c r="ALT369" s="243"/>
      <c r="ALU369" s="243"/>
      <c r="ALV369" s="243"/>
      <c r="ALW369" s="243"/>
      <c r="ALX369" s="243"/>
      <c r="ALY369" s="243"/>
      <c r="ALZ369" s="243"/>
      <c r="AMA369" s="243"/>
      <c r="AMB369" s="243"/>
      <c r="AMC369" s="243"/>
      <c r="AMD369" s="243"/>
      <c r="AME369" s="243"/>
      <c r="AMF369" s="243"/>
      <c r="AMG369" s="243"/>
      <c r="AMH369" s="243"/>
      <c r="AMI369" s="244"/>
      <c r="AMJ369" s="244"/>
    </row>
    <row r="370" spans="1:1024">
      <c r="A370" s="887"/>
      <c r="B370" s="557">
        <v>14397</v>
      </c>
      <c r="C370" s="558">
        <v>0.09</v>
      </c>
      <c r="D370" s="542" t="s">
        <v>256</v>
      </c>
      <c r="E370" s="364">
        <v>4000000</v>
      </c>
      <c r="F370" s="543">
        <v>0.08</v>
      </c>
      <c r="G370" s="364">
        <f t="shared" ref="G370:G371" si="15">E370*F370</f>
        <v>320000</v>
      </c>
      <c r="H370" s="637" t="s">
        <v>214</v>
      </c>
      <c r="I370" s="318"/>
      <c r="J370" s="623"/>
      <c r="K370" s="119"/>
      <c r="L370" s="119"/>
      <c r="M370" s="651"/>
      <c r="N370" s="321"/>
      <c r="O370" s="587"/>
      <c r="P370" s="321"/>
    </row>
    <row r="371" spans="1:1024">
      <c r="A371" s="887"/>
      <c r="B371" s="557">
        <v>14468</v>
      </c>
      <c r="C371" s="558">
        <v>0.08</v>
      </c>
      <c r="D371" s="542" t="s">
        <v>257</v>
      </c>
      <c r="E371" s="364">
        <v>2500000</v>
      </c>
      <c r="F371" s="543">
        <v>0.04</v>
      </c>
      <c r="G371" s="364">
        <f t="shared" si="15"/>
        <v>100000</v>
      </c>
      <c r="H371" s="637" t="s">
        <v>202</v>
      </c>
      <c r="I371" s="318"/>
      <c r="J371" s="623"/>
      <c r="K371" s="119"/>
      <c r="L371" s="119"/>
      <c r="M371" s="651"/>
      <c r="N371" s="321"/>
      <c r="O371" s="587"/>
      <c r="P371" s="321"/>
    </row>
    <row r="372" spans="1:1024">
      <c r="A372" s="887"/>
      <c r="B372" s="544"/>
      <c r="C372" s="328"/>
      <c r="D372" s="545"/>
      <c r="E372" s="321"/>
      <c r="F372" s="586"/>
      <c r="G372" s="321"/>
      <c r="H372" s="318"/>
      <c r="I372" s="318"/>
      <c r="J372" s="623"/>
      <c r="K372" s="318"/>
      <c r="L372" s="318"/>
      <c r="M372" s="318"/>
      <c r="N372" s="321"/>
      <c r="O372" s="318"/>
      <c r="P372" s="321"/>
    </row>
    <row r="373" spans="1:1024">
      <c r="A373" s="887"/>
      <c r="B373" s="546"/>
      <c r="C373" s="547"/>
      <c r="D373" s="548"/>
      <c r="E373" s="549"/>
      <c r="F373" s="636"/>
      <c r="G373" s="321"/>
      <c r="H373" s="636"/>
      <c r="I373" s="636"/>
      <c r="J373" s="652"/>
      <c r="K373" s="318"/>
      <c r="L373" s="318"/>
      <c r="M373" s="318" t="s">
        <v>26</v>
      </c>
      <c r="N373" s="563">
        <f>SUM(N369:N372)</f>
        <v>2100000</v>
      </c>
      <c r="O373" s="318" t="s">
        <v>26</v>
      </c>
      <c r="P373" s="563">
        <f>SUM(P369:P372)</f>
        <v>84000</v>
      </c>
    </row>
    <row r="374" spans="1:1024">
      <c r="A374" s="888"/>
      <c r="B374" s="77"/>
      <c r="C374" s="31"/>
      <c r="D374" s="32" t="s">
        <v>26</v>
      </c>
      <c r="E374" s="563">
        <f>SUM(E369:E373)</f>
        <v>9450000</v>
      </c>
      <c r="F374" s="318" t="s">
        <v>26</v>
      </c>
      <c r="G374" s="618">
        <f>SUM(G369:G373)</f>
        <v>538000</v>
      </c>
      <c r="H374" s="140"/>
      <c r="I374" s="140"/>
      <c r="J374" s="650"/>
      <c r="K374" s="626" t="s">
        <v>27</v>
      </c>
      <c r="L374" s="626"/>
      <c r="M374" s="626"/>
      <c r="N374" s="626"/>
      <c r="O374" s="630" t="s">
        <v>28</v>
      </c>
      <c r="P374" s="640">
        <f>G374+P373</f>
        <v>622000</v>
      </c>
    </row>
    <row r="375" spans="1:1024" ht="33.75">
      <c r="A375" s="79"/>
      <c r="B375" s="80"/>
      <c r="C375" s="81"/>
      <c r="D375" s="82"/>
      <c r="E375" s="83"/>
      <c r="F375" s="82"/>
      <c r="G375" s="83"/>
      <c r="H375" s="82"/>
      <c r="I375" s="82"/>
      <c r="J375" s="82"/>
      <c r="K375" s="641"/>
      <c r="L375" s="641"/>
      <c r="M375" s="641"/>
      <c r="N375" s="641"/>
      <c r="O375" s="642"/>
      <c r="P375" s="579"/>
    </row>
    <row r="376" spans="1:1024">
      <c r="A376" s="889" t="s">
        <v>247</v>
      </c>
      <c r="B376" s="890"/>
      <c r="C376" s="890"/>
      <c r="D376" s="890"/>
      <c r="E376" s="890"/>
      <c r="F376" s="890"/>
      <c r="G376" s="890"/>
      <c r="H376" s="890"/>
      <c r="I376" s="890"/>
      <c r="J376" s="891"/>
      <c r="K376" s="892" t="s">
        <v>2</v>
      </c>
      <c r="L376" s="892"/>
      <c r="M376" s="996"/>
      <c r="N376" s="996"/>
      <c r="O376" s="996"/>
      <c r="P376" s="996"/>
    </row>
    <row r="377" spans="1:1024">
      <c r="A377" s="4" t="s">
        <v>3</v>
      </c>
      <c r="B377" s="2" t="s">
        <v>4</v>
      </c>
      <c r="C377" s="3" t="s">
        <v>5</v>
      </c>
      <c r="D377" s="4" t="s">
        <v>6</v>
      </c>
      <c r="E377" s="4" t="s">
        <v>7</v>
      </c>
      <c r="F377" s="5" t="s">
        <v>8</v>
      </c>
      <c r="G377" s="4" t="s">
        <v>9</v>
      </c>
      <c r="H377" s="6" t="s">
        <v>10</v>
      </c>
      <c r="I377" s="4" t="s">
        <v>11</v>
      </c>
      <c r="J377" s="4" t="s">
        <v>12</v>
      </c>
      <c r="K377" s="64" t="s">
        <v>4</v>
      </c>
      <c r="L377" s="7" t="s">
        <v>5</v>
      </c>
      <c r="M377" s="7" t="s">
        <v>6</v>
      </c>
      <c r="N377" s="7" t="s">
        <v>13</v>
      </c>
      <c r="O377" s="8" t="s">
        <v>8</v>
      </c>
      <c r="P377" s="64" t="s">
        <v>14</v>
      </c>
    </row>
    <row r="378" spans="1:1024">
      <c r="A378" s="899">
        <v>9</v>
      </c>
      <c r="B378" s="580">
        <v>14508</v>
      </c>
      <c r="C378" s="581">
        <v>0.08</v>
      </c>
      <c r="D378" s="542" t="s">
        <v>258</v>
      </c>
      <c r="E378" s="364">
        <v>2000000</v>
      </c>
      <c r="F378" s="543">
        <v>0.04</v>
      </c>
      <c r="G378" s="364">
        <f>E378*F378</f>
        <v>80000</v>
      </c>
      <c r="H378" s="599" t="s">
        <v>47</v>
      </c>
      <c r="I378" s="4"/>
      <c r="J378" s="623"/>
      <c r="K378" s="122">
        <v>14445</v>
      </c>
      <c r="L378" s="121">
        <v>0.1</v>
      </c>
      <c r="M378" s="542" t="s">
        <v>259</v>
      </c>
      <c r="N378" s="611">
        <v>1500000</v>
      </c>
      <c r="O378" s="644">
        <v>0.04</v>
      </c>
      <c r="P378" s="364">
        <f>N378*O378</f>
        <v>60000</v>
      </c>
    </row>
    <row r="379" spans="1:1024" ht="12.75" customHeight="1">
      <c r="A379" s="887"/>
      <c r="B379" s="573">
        <v>14563</v>
      </c>
      <c r="C379" s="574">
        <v>0.1</v>
      </c>
      <c r="D379" s="575" t="s">
        <v>260</v>
      </c>
      <c r="E379" s="364">
        <v>2100000</v>
      </c>
      <c r="F379" s="550">
        <v>0.04</v>
      </c>
      <c r="G379" s="364">
        <f>E379*F379</f>
        <v>84000</v>
      </c>
      <c r="H379" s="599" t="s">
        <v>149</v>
      </c>
      <c r="I379" s="4"/>
      <c r="J379" s="635"/>
      <c r="K379" s="318"/>
      <c r="L379" s="322"/>
      <c r="M379" s="322"/>
      <c r="N379" s="607"/>
      <c r="O379" s="643"/>
      <c r="P379" s="321"/>
    </row>
    <row r="380" spans="1:1024" ht="15" customHeight="1">
      <c r="A380" s="887"/>
      <c r="B380" s="568" t="s">
        <v>43</v>
      </c>
      <c r="C380" s="569"/>
      <c r="D380" s="556" t="s">
        <v>261</v>
      </c>
      <c r="E380" s="321"/>
      <c r="F380" s="587"/>
      <c r="G380" s="321"/>
      <c r="H380" s="604"/>
      <c r="I380" s="4"/>
      <c r="J380" s="623"/>
      <c r="K380" s="119"/>
      <c r="L380" s="588"/>
      <c r="M380" s="625"/>
      <c r="N380" s="607"/>
      <c r="O380" s="639"/>
      <c r="P380" s="321"/>
      <c r="Q380" s="169"/>
    </row>
    <row r="381" spans="1:1024" ht="15" customHeight="1">
      <c r="A381" s="887"/>
      <c r="B381" s="568" t="s">
        <v>43</v>
      </c>
      <c r="C381" s="569"/>
      <c r="D381" s="570" t="s">
        <v>262</v>
      </c>
      <c r="E381" s="321"/>
      <c r="F381" s="587"/>
      <c r="G381" s="321"/>
      <c r="H381" s="604"/>
      <c r="I381" s="4"/>
      <c r="J381" s="623"/>
      <c r="K381" s="119"/>
      <c r="L381" s="588"/>
      <c r="M381" s="625"/>
      <c r="N381" s="607"/>
      <c r="O381" s="639"/>
      <c r="P381" s="321"/>
      <c r="Q381" s="169"/>
    </row>
    <row r="382" spans="1:1024" ht="15" customHeight="1">
      <c r="A382" s="887"/>
      <c r="B382" s="107"/>
      <c r="C382" s="25"/>
      <c r="D382" s="4"/>
      <c r="E382" s="321"/>
      <c r="F382" s="587"/>
      <c r="G382" s="321"/>
      <c r="H382" s="604"/>
      <c r="I382" s="4"/>
      <c r="J382" s="4"/>
      <c r="K382" s="606"/>
      <c r="L382" s="606"/>
      <c r="M382" s="625"/>
      <c r="N382" s="607"/>
      <c r="O382" s="639"/>
      <c r="P382" s="607"/>
      <c r="Q382" s="169"/>
    </row>
    <row r="383" spans="1:1024" ht="15" customHeight="1">
      <c r="A383" s="887"/>
      <c r="B383" s="72"/>
      <c r="C383" s="73"/>
      <c r="D383" s="74"/>
      <c r="E383" s="549"/>
      <c r="F383" s="636"/>
      <c r="G383" s="636"/>
      <c r="H383" s="636"/>
      <c r="I383" s="76"/>
      <c r="J383" s="76"/>
      <c r="K383" s="318"/>
      <c r="L383" s="318"/>
      <c r="M383" s="318" t="s">
        <v>26</v>
      </c>
      <c r="N383" s="563">
        <f>SUM(N378:N382)</f>
        <v>1500000</v>
      </c>
      <c r="O383" s="589" t="s">
        <v>26</v>
      </c>
      <c r="P383" s="563">
        <f>SUM(P378:P382)</f>
        <v>60000</v>
      </c>
    </row>
    <row r="384" spans="1:1024" ht="15" customHeight="1">
      <c r="A384" s="888"/>
      <c r="B384" s="77"/>
      <c r="C384" s="31"/>
      <c r="D384" s="32" t="s">
        <v>26</v>
      </c>
      <c r="E384" s="563">
        <f>SUM(E378:E383)</f>
        <v>4100000</v>
      </c>
      <c r="F384" s="318" t="s">
        <v>26</v>
      </c>
      <c r="G384" s="563">
        <f>SUM(G378:G383)</f>
        <v>164000</v>
      </c>
      <c r="H384" s="140"/>
      <c r="I384" s="35"/>
      <c r="J384" s="35"/>
      <c r="K384" s="626" t="s">
        <v>27</v>
      </c>
      <c r="L384" s="627"/>
      <c r="M384" s="627"/>
      <c r="N384" s="628"/>
      <c r="O384" s="629" t="s">
        <v>28</v>
      </c>
      <c r="P384" s="640">
        <f>G384+P383</f>
        <v>224000</v>
      </c>
    </row>
    <row r="385" spans="1:16" ht="33.75">
      <c r="A385" s="93"/>
      <c r="B385" s="94"/>
      <c r="C385" s="95"/>
      <c r="D385" s="82"/>
      <c r="E385" s="579"/>
      <c r="F385" s="82"/>
      <c r="G385" s="83"/>
      <c r="H385" s="82"/>
      <c r="I385" s="82"/>
      <c r="J385" s="82"/>
      <c r="K385" s="84"/>
      <c r="L385" s="84"/>
      <c r="M385" s="84"/>
      <c r="N385" s="84"/>
      <c r="O385" s="85"/>
      <c r="P385" s="86"/>
    </row>
    <row r="386" spans="1:16">
      <c r="A386" s="889" t="s">
        <v>40</v>
      </c>
      <c r="B386" s="890"/>
      <c r="C386" s="890"/>
      <c r="D386" s="890"/>
      <c r="E386" s="890"/>
      <c r="F386" s="890"/>
      <c r="G386" s="890"/>
      <c r="H386" s="890"/>
      <c r="I386" s="890"/>
      <c r="J386" s="891"/>
      <c r="K386" s="892" t="s">
        <v>2</v>
      </c>
      <c r="L386" s="892"/>
      <c r="M386" s="996"/>
      <c r="N386" s="996"/>
      <c r="O386" s="996"/>
      <c r="P386" s="996"/>
    </row>
    <row r="387" spans="1:16">
      <c r="A387" s="4" t="s">
        <v>3</v>
      </c>
      <c r="B387" s="2" t="s">
        <v>4</v>
      </c>
      <c r="C387" s="3" t="s">
        <v>5</v>
      </c>
      <c r="D387" s="4" t="s">
        <v>6</v>
      </c>
      <c r="E387" s="4" t="s">
        <v>7</v>
      </c>
      <c r="F387" s="5" t="s">
        <v>8</v>
      </c>
      <c r="G387" s="4" t="s">
        <v>9</v>
      </c>
      <c r="H387" s="6" t="s">
        <v>10</v>
      </c>
      <c r="I387" s="4" t="s">
        <v>11</v>
      </c>
      <c r="J387" s="4" t="s">
        <v>12</v>
      </c>
      <c r="K387" s="7" t="s">
        <v>4</v>
      </c>
      <c r="L387" s="7"/>
      <c r="M387" s="7" t="s">
        <v>6</v>
      </c>
      <c r="N387" s="7" t="s">
        <v>13</v>
      </c>
      <c r="O387" s="8" t="s">
        <v>8</v>
      </c>
      <c r="P387" s="7" t="s">
        <v>14</v>
      </c>
    </row>
    <row r="388" spans="1:16">
      <c r="A388" s="900">
        <v>0</v>
      </c>
      <c r="B388" s="576">
        <v>14461</v>
      </c>
      <c r="C388" s="577">
        <v>0.1</v>
      </c>
      <c r="D388" s="578" t="s">
        <v>263</v>
      </c>
      <c r="E388" s="364">
        <v>1250000</v>
      </c>
      <c r="F388" s="541">
        <v>0.05</v>
      </c>
      <c r="G388" s="364">
        <f>E388*F388</f>
        <v>62500</v>
      </c>
      <c r="H388" s="318"/>
      <c r="I388" s="4"/>
      <c r="J388" s="4"/>
      <c r="K388" s="625"/>
      <c r="L388" s="625"/>
      <c r="M388" s="625"/>
      <c r="N388" s="607"/>
      <c r="O388" s="625"/>
      <c r="P388" s="607"/>
    </row>
    <row r="389" spans="1:16" ht="15" customHeight="1">
      <c r="A389" s="901"/>
      <c r="B389" s="546"/>
      <c r="C389" s="547"/>
      <c r="D389" s="548"/>
      <c r="E389" s="549"/>
      <c r="F389" s="636"/>
      <c r="G389" s="636"/>
      <c r="H389" s="636"/>
      <c r="I389" s="76"/>
      <c r="J389" s="76"/>
      <c r="K389" s="318"/>
      <c r="L389" s="318"/>
      <c r="M389" s="318" t="s">
        <v>26</v>
      </c>
      <c r="N389" s="563"/>
      <c r="O389" s="318" t="s">
        <v>26</v>
      </c>
      <c r="P389" s="563"/>
    </row>
    <row r="390" spans="1:16" ht="15" customHeight="1">
      <c r="A390" s="902"/>
      <c r="B390" s="331"/>
      <c r="C390" s="332"/>
      <c r="D390" s="626" t="s">
        <v>26</v>
      </c>
      <c r="E390" s="563">
        <f>SUM(E388:E389)</f>
        <v>1250000</v>
      </c>
      <c r="F390" s="318" t="s">
        <v>26</v>
      </c>
      <c r="G390" s="563">
        <f>SUM(G388:G389)</f>
        <v>62500</v>
      </c>
      <c r="H390" s="140"/>
      <c r="I390" s="35"/>
      <c r="J390" s="35"/>
      <c r="K390" s="626" t="s">
        <v>27</v>
      </c>
      <c r="L390" s="627"/>
      <c r="M390" s="627"/>
      <c r="N390" s="628"/>
      <c r="O390" s="630" t="s">
        <v>28</v>
      </c>
      <c r="P390" s="631">
        <f>G390+P389</f>
        <v>62500</v>
      </c>
    </row>
    <row r="391" spans="1:16">
      <c r="B391" s="97"/>
      <c r="C391" s="98"/>
    </row>
    <row r="392" spans="1:16" ht="15.75">
      <c r="A392" s="893">
        <f>A338+A354+A369+A378+A388</f>
        <v>62</v>
      </c>
      <c r="B392" s="894" t="s">
        <v>42</v>
      </c>
      <c r="C392" s="894"/>
      <c r="D392" s="894"/>
      <c r="E392" s="399">
        <f>E349+E365+E374+E384+E390</f>
        <v>61400000</v>
      </c>
    </row>
    <row r="393" spans="1:16">
      <c r="A393" s="893"/>
      <c r="B393" s="895" t="s">
        <v>43</v>
      </c>
      <c r="C393" s="895"/>
      <c r="D393" s="896"/>
      <c r="E393" s="100"/>
    </row>
    <row r="394" spans="1:16">
      <c r="A394" s="893"/>
      <c r="B394" s="897" t="s">
        <v>44</v>
      </c>
      <c r="C394" s="897"/>
      <c r="D394" s="898"/>
      <c r="E394" s="101"/>
    </row>
    <row r="398" spans="1:16" ht="31.5">
      <c r="A398" s="903" t="s">
        <v>264</v>
      </c>
      <c r="B398" s="903"/>
      <c r="C398" s="903"/>
      <c r="D398" s="903"/>
      <c r="E398" s="903"/>
      <c r="F398" s="903"/>
      <c r="G398" s="903"/>
      <c r="H398" s="903"/>
      <c r="I398" s="903"/>
      <c r="J398" s="903"/>
      <c r="K398" s="903"/>
      <c r="L398" s="903"/>
      <c r="M398" s="903"/>
      <c r="N398" s="903"/>
      <c r="O398" s="903"/>
      <c r="P398" s="903"/>
    </row>
    <row r="399" spans="1:16">
      <c r="A399" s="904" t="s">
        <v>1</v>
      </c>
      <c r="B399" s="904"/>
      <c r="C399" s="904"/>
      <c r="D399" s="904"/>
      <c r="E399" s="904"/>
      <c r="F399" s="904"/>
      <c r="G399" s="904"/>
      <c r="H399" s="904"/>
      <c r="I399" s="904"/>
      <c r="J399" s="904"/>
      <c r="K399" s="892" t="s">
        <v>2</v>
      </c>
      <c r="L399" s="892"/>
      <c r="M399" s="892"/>
      <c r="N399" s="892"/>
      <c r="O399" s="892"/>
      <c r="P399" s="892"/>
    </row>
    <row r="400" spans="1:16" ht="30.75">
      <c r="A400" s="131" t="s">
        <v>3</v>
      </c>
      <c r="B400" s="595" t="s">
        <v>4</v>
      </c>
      <c r="C400" s="327" t="s">
        <v>5</v>
      </c>
      <c r="D400" s="327" t="s">
        <v>6</v>
      </c>
      <c r="E400" s="327" t="s">
        <v>7</v>
      </c>
      <c r="F400" s="327" t="s">
        <v>8</v>
      </c>
      <c r="G400" s="327" t="s">
        <v>9</v>
      </c>
      <c r="H400" s="707" t="s">
        <v>10</v>
      </c>
      <c r="I400" s="327" t="s">
        <v>11</v>
      </c>
      <c r="J400" s="327" t="s">
        <v>12</v>
      </c>
      <c r="K400" s="706" t="s">
        <v>4</v>
      </c>
      <c r="L400" s="327" t="s">
        <v>5</v>
      </c>
      <c r="M400" s="706" t="s">
        <v>6</v>
      </c>
      <c r="N400" s="706" t="s">
        <v>13</v>
      </c>
      <c r="O400" s="706" t="s">
        <v>8</v>
      </c>
      <c r="P400" s="706" t="s">
        <v>14</v>
      </c>
    </row>
    <row r="401" spans="1:17" ht="12.75" customHeight="1">
      <c r="A401" s="906">
        <v>23</v>
      </c>
      <c r="B401" s="572">
        <v>14645</v>
      </c>
      <c r="C401" s="121">
        <v>0.1</v>
      </c>
      <c r="D401" s="542" t="s">
        <v>265</v>
      </c>
      <c r="E401" s="364">
        <v>4000000</v>
      </c>
      <c r="F401" s="601">
        <v>0.12</v>
      </c>
      <c r="G401" s="703">
        <f>E401*F401</f>
        <v>480000</v>
      </c>
      <c r="H401" s="599" t="s">
        <v>47</v>
      </c>
      <c r="I401" s="605"/>
      <c r="J401" s="604"/>
      <c r="K401" s="737" t="s">
        <v>34</v>
      </c>
      <c r="L401" s="738">
        <v>0.1</v>
      </c>
      <c r="M401" s="542" t="s">
        <v>266</v>
      </c>
      <c r="N401" s="398">
        <v>2100000</v>
      </c>
      <c r="O401" s="397">
        <v>0.05</v>
      </c>
      <c r="P401" s="398">
        <f>N401*O401</f>
        <v>105000</v>
      </c>
    </row>
    <row r="402" spans="1:17">
      <c r="A402" s="906"/>
      <c r="B402" s="572">
        <v>14658</v>
      </c>
      <c r="C402" s="566">
        <v>0.1</v>
      </c>
      <c r="D402" s="567" t="s">
        <v>267</v>
      </c>
      <c r="E402" s="364">
        <v>3200000</v>
      </c>
      <c r="F402" s="602">
        <v>7.0000000000000007E-2</v>
      </c>
      <c r="G402" s="703">
        <f t="shared" ref="G402:G409" si="16">E402*F402</f>
        <v>224000.00000000003</v>
      </c>
      <c r="H402" s="599" t="s">
        <v>237</v>
      </c>
      <c r="I402" s="604"/>
      <c r="J402" s="604"/>
      <c r="K402" s="319"/>
      <c r="L402" s="697"/>
      <c r="M402" s="322"/>
      <c r="N402" s="323"/>
      <c r="O402" s="324"/>
      <c r="P402" s="323"/>
    </row>
    <row r="403" spans="1:17" ht="12.75" customHeight="1">
      <c r="A403" s="906"/>
      <c r="B403" s="572">
        <v>14776</v>
      </c>
      <c r="C403" s="121">
        <v>0.1</v>
      </c>
      <c r="D403" s="561" t="s">
        <v>268</v>
      </c>
      <c r="E403" s="364">
        <v>2200000</v>
      </c>
      <c r="F403" s="602">
        <v>0.12</v>
      </c>
      <c r="G403" s="703">
        <f t="shared" si="16"/>
        <v>264000</v>
      </c>
      <c r="H403" s="599" t="s">
        <v>47</v>
      </c>
      <c r="I403" s="604"/>
      <c r="J403" s="604"/>
      <c r="K403" s="319"/>
      <c r="L403" s="697"/>
      <c r="M403" s="322"/>
      <c r="N403" s="323"/>
      <c r="O403" s="324"/>
      <c r="P403" s="323"/>
    </row>
    <row r="404" spans="1:17" ht="12.75" customHeight="1">
      <c r="A404" s="906"/>
      <c r="B404" s="572">
        <v>14740</v>
      </c>
      <c r="C404" s="121">
        <v>0.1</v>
      </c>
      <c r="D404" s="561" t="s">
        <v>269</v>
      </c>
      <c r="E404" s="364">
        <v>1900000</v>
      </c>
      <c r="F404" s="602">
        <v>0.12</v>
      </c>
      <c r="G404" s="703">
        <f t="shared" si="16"/>
        <v>228000</v>
      </c>
      <c r="H404" s="599" t="s">
        <v>47</v>
      </c>
      <c r="I404" s="604"/>
      <c r="J404" s="604"/>
      <c r="K404" s="319"/>
      <c r="L404" s="697"/>
      <c r="M404" s="322"/>
      <c r="N404" s="323"/>
      <c r="O404" s="324"/>
      <c r="P404" s="323"/>
    </row>
    <row r="405" spans="1:17" ht="12.75" customHeight="1">
      <c r="A405" s="906"/>
      <c r="B405" s="572">
        <v>14757</v>
      </c>
      <c r="C405" s="550">
        <v>0.08</v>
      </c>
      <c r="D405" s="561" t="s">
        <v>270</v>
      </c>
      <c r="E405" s="364">
        <v>3000000</v>
      </c>
      <c r="F405" s="603">
        <v>0.06</v>
      </c>
      <c r="G405" s="703">
        <f t="shared" si="16"/>
        <v>180000</v>
      </c>
      <c r="H405" s="599" t="s">
        <v>202</v>
      </c>
      <c r="I405" s="604"/>
      <c r="J405" s="604"/>
      <c r="K405" s="319"/>
      <c r="L405" s="697"/>
      <c r="M405" s="322"/>
      <c r="N405" s="323"/>
      <c r="O405" s="324"/>
      <c r="P405" s="323"/>
    </row>
    <row r="406" spans="1:17" ht="12.75" customHeight="1">
      <c r="A406" s="906"/>
      <c r="B406" s="572">
        <v>14762</v>
      </c>
      <c r="C406" s="550">
        <v>0.08</v>
      </c>
      <c r="D406" s="561" t="s">
        <v>271</v>
      </c>
      <c r="E406" s="364">
        <v>2900000</v>
      </c>
      <c r="F406" s="603">
        <v>0.1</v>
      </c>
      <c r="G406" s="703">
        <f t="shared" si="16"/>
        <v>290000</v>
      </c>
      <c r="H406" s="599" t="s">
        <v>47</v>
      </c>
      <c r="I406" s="604"/>
      <c r="J406" s="604"/>
      <c r="K406" s="319"/>
      <c r="L406" s="697"/>
      <c r="M406" s="322"/>
      <c r="N406" s="323"/>
      <c r="O406" s="324"/>
      <c r="P406" s="323"/>
    </row>
    <row r="407" spans="1:17" ht="12.75" customHeight="1">
      <c r="A407" s="906"/>
      <c r="B407" s="573">
        <v>14790</v>
      </c>
      <c r="C407" s="574">
        <v>0.1</v>
      </c>
      <c r="D407" s="575" t="s">
        <v>272</v>
      </c>
      <c r="E407" s="364">
        <v>2500000</v>
      </c>
      <c r="F407" s="602">
        <v>0.12</v>
      </c>
      <c r="G407" s="703">
        <f t="shared" si="16"/>
        <v>300000</v>
      </c>
      <c r="H407" s="599" t="s">
        <v>47</v>
      </c>
      <c r="I407" s="318"/>
      <c r="J407" s="604"/>
      <c r="K407" s="319"/>
      <c r="L407" s="697"/>
      <c r="M407" s="322"/>
      <c r="N407" s="323"/>
      <c r="O407" s="324"/>
      <c r="P407" s="323"/>
    </row>
    <row r="408" spans="1:17" ht="12.75" customHeight="1">
      <c r="A408" s="906"/>
      <c r="B408" s="573">
        <v>14804</v>
      </c>
      <c r="C408" s="558">
        <v>0.08</v>
      </c>
      <c r="D408" s="575" t="s">
        <v>273</v>
      </c>
      <c r="E408" s="364">
        <v>2550000</v>
      </c>
      <c r="F408" s="603">
        <v>0.1</v>
      </c>
      <c r="G408" s="703">
        <f t="shared" si="16"/>
        <v>255000</v>
      </c>
      <c r="H408" s="599" t="s">
        <v>47</v>
      </c>
      <c r="I408" s="318"/>
      <c r="J408" s="604"/>
      <c r="K408" s="319"/>
      <c r="L408" s="697"/>
      <c r="M408" s="322"/>
      <c r="N408" s="323"/>
      <c r="O408" s="324"/>
      <c r="P408" s="323"/>
    </row>
    <row r="409" spans="1:17" ht="12.75" customHeight="1">
      <c r="A409" s="906"/>
      <c r="B409" s="573">
        <v>14838</v>
      </c>
      <c r="C409" s="574">
        <v>0.1</v>
      </c>
      <c r="D409" s="575" t="s">
        <v>274</v>
      </c>
      <c r="E409" s="364">
        <v>2500000</v>
      </c>
      <c r="F409" s="602">
        <v>0.06</v>
      </c>
      <c r="G409" s="703">
        <f t="shared" si="16"/>
        <v>150000</v>
      </c>
      <c r="H409" s="599" t="s">
        <v>51</v>
      </c>
      <c r="I409" s="622" t="s">
        <v>275</v>
      </c>
      <c r="J409" s="604"/>
      <c r="K409" s="319"/>
      <c r="L409" s="697"/>
      <c r="M409" s="322"/>
      <c r="N409" s="323"/>
      <c r="O409" s="324"/>
      <c r="P409" s="323"/>
    </row>
    <row r="410" spans="1:17" ht="12.75" customHeight="1">
      <c r="A410" s="906"/>
      <c r="B410" s="746" t="s">
        <v>43</v>
      </c>
      <c r="C410" s="678"/>
      <c r="D410" s="747" t="s">
        <v>276</v>
      </c>
      <c r="E410" s="321"/>
      <c r="F410" s="679"/>
      <c r="G410" s="318"/>
      <c r="H410" s="604"/>
      <c r="I410" s="604"/>
      <c r="J410" s="604"/>
      <c r="K410" s="319"/>
      <c r="L410" s="697"/>
      <c r="M410" s="322"/>
      <c r="N410" s="323"/>
      <c r="O410" s="324"/>
      <c r="P410" s="323"/>
    </row>
    <row r="411" spans="1:17">
      <c r="A411" s="906"/>
      <c r="B411" s="704" t="s">
        <v>43</v>
      </c>
      <c r="C411" s="676"/>
      <c r="D411" s="556" t="s">
        <v>277</v>
      </c>
      <c r="E411" s="321"/>
      <c r="F411" s="693"/>
      <c r="G411" s="692"/>
      <c r="H411" s="604"/>
      <c r="I411" s="604"/>
      <c r="J411" s="604"/>
      <c r="K411" s="320"/>
      <c r="L411" s="696"/>
      <c r="M411" s="318" t="s">
        <v>26</v>
      </c>
      <c r="N411" s="563">
        <f>SUM(N401:N410)</f>
        <v>2100000</v>
      </c>
      <c r="O411" s="589" t="s">
        <v>26</v>
      </c>
      <c r="P411" s="563">
        <f>SUM(P401:P410)</f>
        <v>105000</v>
      </c>
    </row>
    <row r="412" spans="1:17" ht="12.75" customHeight="1">
      <c r="A412" s="906"/>
      <c r="B412" s="694"/>
      <c r="C412" s="332"/>
      <c r="D412" s="626" t="s">
        <v>26</v>
      </c>
      <c r="E412" s="563">
        <f>SUM(E401:E411)</f>
        <v>24750000</v>
      </c>
      <c r="F412" s="318" t="s">
        <v>26</v>
      </c>
      <c r="G412" s="321">
        <f>SUM(G401:G410)</f>
        <v>2371000</v>
      </c>
      <c r="H412" s="140"/>
      <c r="I412" s="140"/>
      <c r="J412" s="140"/>
      <c r="K412" s="698" t="s">
        <v>27</v>
      </c>
      <c r="L412" s="699"/>
      <c r="M412" s="699"/>
      <c r="N412" s="700"/>
      <c r="O412" s="701" t="s">
        <v>28</v>
      </c>
      <c r="P412" s="702">
        <f>P411+G412</f>
        <v>2476000</v>
      </c>
    </row>
    <row r="413" spans="1:17">
      <c r="A413" s="41"/>
      <c r="B413" s="42"/>
      <c r="C413" s="43"/>
      <c r="D413" s="41"/>
      <c r="E413" s="41"/>
      <c r="F413" s="41"/>
      <c r="G413" s="41"/>
      <c r="H413" s="41"/>
      <c r="I413" s="41"/>
      <c r="J413" s="41"/>
    </row>
    <row r="414" spans="1:17">
      <c r="A414" s="41"/>
      <c r="B414" s="42"/>
      <c r="C414" s="43"/>
      <c r="D414" s="41"/>
      <c r="E414" s="41"/>
      <c r="F414" s="41"/>
      <c r="G414" s="41"/>
      <c r="H414" s="41"/>
      <c r="I414" s="41"/>
      <c r="J414" s="41"/>
    </row>
    <row r="415" spans="1:17">
      <c r="A415" s="904" t="s">
        <v>199</v>
      </c>
      <c r="B415" s="904"/>
      <c r="C415" s="904"/>
      <c r="D415" s="904"/>
      <c r="E415" s="904"/>
      <c r="F415" s="904"/>
      <c r="G415" s="904"/>
      <c r="H415" s="904"/>
      <c r="I415" s="904"/>
      <c r="J415" s="904"/>
      <c r="K415" s="948" t="s">
        <v>2</v>
      </c>
      <c r="L415" s="948"/>
      <c r="M415" s="948"/>
      <c r="N415" s="948"/>
      <c r="O415" s="948"/>
      <c r="P415" s="948"/>
      <c r="Q415" s="624"/>
    </row>
    <row r="416" spans="1:17" ht="30.75">
      <c r="A416" s="327" t="s">
        <v>3</v>
      </c>
      <c r="B416" s="327" t="s">
        <v>4</v>
      </c>
      <c r="C416" s="327" t="s">
        <v>5</v>
      </c>
      <c r="D416" s="327" t="s">
        <v>6</v>
      </c>
      <c r="E416" s="327" t="s">
        <v>29</v>
      </c>
      <c r="F416" s="327" t="s">
        <v>8</v>
      </c>
      <c r="G416" s="327" t="s">
        <v>9</v>
      </c>
      <c r="H416" s="707" t="s">
        <v>10</v>
      </c>
      <c r="I416" s="327" t="s">
        <v>11</v>
      </c>
      <c r="J416" s="327" t="s">
        <v>12</v>
      </c>
      <c r="K416" s="732" t="s">
        <v>4</v>
      </c>
      <c r="L416" s="327" t="s">
        <v>5</v>
      </c>
      <c r="M416" s="732" t="s">
        <v>6</v>
      </c>
      <c r="N416" s="732" t="s">
        <v>13</v>
      </c>
      <c r="O416" s="732" t="s">
        <v>8</v>
      </c>
      <c r="P416" s="732" t="s">
        <v>14</v>
      </c>
      <c r="Q416" s="624"/>
    </row>
    <row r="417" spans="1:1024">
      <c r="A417" s="901">
        <v>23</v>
      </c>
      <c r="B417" s="122">
        <v>14694</v>
      </c>
      <c r="C417" s="541">
        <v>0.1</v>
      </c>
      <c r="D417" s="542" t="s">
        <v>278</v>
      </c>
      <c r="E417" s="364">
        <v>3000000</v>
      </c>
      <c r="F417" s="601">
        <v>0.1</v>
      </c>
      <c r="G417" s="364">
        <f>E417*F417</f>
        <v>300000</v>
      </c>
      <c r="H417" s="599" t="s">
        <v>202</v>
      </c>
      <c r="I417" s="604"/>
      <c r="J417" s="604"/>
      <c r="K417" s="572">
        <v>14757</v>
      </c>
      <c r="L417" s="634">
        <v>0.08</v>
      </c>
      <c r="M417" s="561" t="s">
        <v>279</v>
      </c>
      <c r="N417" s="364">
        <v>3000000</v>
      </c>
      <c r="O417" s="603">
        <v>0.04</v>
      </c>
      <c r="P417" s="364">
        <f>N417*O417</f>
        <v>120000</v>
      </c>
      <c r="Q417" s="638"/>
      <c r="R417" s="243"/>
      <c r="S417" s="243"/>
      <c r="T417" s="243"/>
      <c r="U417" s="243"/>
      <c r="V417" s="243"/>
      <c r="W417" s="243"/>
      <c r="X417" s="243"/>
      <c r="Y417" s="243"/>
      <c r="Z417" s="243"/>
      <c r="AA417" s="243"/>
      <c r="AB417" s="243"/>
      <c r="AC417" s="243"/>
      <c r="AD417" s="243"/>
      <c r="AE417" s="243"/>
      <c r="AF417" s="243"/>
      <c r="AG417" s="243"/>
      <c r="AH417" s="243"/>
      <c r="AI417" s="243"/>
      <c r="AJ417" s="243"/>
      <c r="AK417" s="243"/>
      <c r="AL417" s="243"/>
      <c r="AM417" s="243"/>
      <c r="AN417" s="243"/>
      <c r="AO417" s="243"/>
      <c r="AP417" s="243"/>
      <c r="AQ417" s="243"/>
      <c r="AR417" s="243"/>
      <c r="AS417" s="243"/>
      <c r="AT417" s="243"/>
      <c r="AU417" s="243"/>
      <c r="AV417" s="243"/>
      <c r="AW417" s="243"/>
      <c r="AX417" s="243"/>
      <c r="AY417" s="243"/>
      <c r="AZ417" s="243"/>
      <c r="BA417" s="243"/>
      <c r="BB417" s="243"/>
      <c r="BC417" s="243"/>
      <c r="BD417" s="243"/>
      <c r="BE417" s="243"/>
      <c r="BF417" s="243"/>
      <c r="BG417" s="243"/>
      <c r="BH417" s="243"/>
      <c r="BI417" s="243"/>
      <c r="BJ417" s="243"/>
      <c r="BK417" s="243"/>
      <c r="BL417" s="243"/>
      <c r="BM417" s="243"/>
      <c r="BN417" s="243"/>
      <c r="BO417" s="243"/>
      <c r="BP417" s="243"/>
      <c r="BQ417" s="243"/>
      <c r="BR417" s="243"/>
      <c r="BS417" s="243"/>
      <c r="BT417" s="243"/>
      <c r="BU417" s="243"/>
      <c r="BV417" s="243"/>
      <c r="BW417" s="243"/>
      <c r="BX417" s="243"/>
      <c r="BY417" s="243"/>
      <c r="BZ417" s="243"/>
      <c r="CA417" s="243"/>
      <c r="CB417" s="243"/>
      <c r="CC417" s="243"/>
      <c r="CD417" s="243"/>
      <c r="CE417" s="243"/>
      <c r="CF417" s="243"/>
      <c r="CG417" s="243"/>
      <c r="CH417" s="243"/>
      <c r="CI417" s="243"/>
      <c r="CJ417" s="243"/>
      <c r="CK417" s="243"/>
      <c r="CL417" s="243"/>
      <c r="CM417" s="243"/>
      <c r="CN417" s="243"/>
      <c r="CO417" s="243"/>
      <c r="CP417" s="243"/>
      <c r="CQ417" s="243"/>
      <c r="CR417" s="243"/>
      <c r="CS417" s="243"/>
      <c r="CT417" s="243"/>
      <c r="CU417" s="243"/>
      <c r="CV417" s="243"/>
      <c r="CW417" s="243"/>
      <c r="CX417" s="243"/>
      <c r="CY417" s="243"/>
      <c r="CZ417" s="243"/>
      <c r="DA417" s="243"/>
      <c r="DB417" s="243"/>
      <c r="DC417" s="243"/>
      <c r="DD417" s="243"/>
      <c r="DE417" s="243"/>
      <c r="DF417" s="243"/>
      <c r="DG417" s="243"/>
      <c r="DH417" s="243"/>
      <c r="DI417" s="243"/>
      <c r="DJ417" s="243"/>
      <c r="DK417" s="243"/>
      <c r="DL417" s="243"/>
      <c r="DM417" s="243"/>
      <c r="DN417" s="243"/>
      <c r="DO417" s="243"/>
      <c r="DP417" s="243"/>
      <c r="DQ417" s="243"/>
      <c r="DR417" s="243"/>
      <c r="DS417" s="243"/>
      <c r="DT417" s="243"/>
      <c r="DU417" s="243"/>
      <c r="DV417" s="243"/>
      <c r="DW417" s="243"/>
      <c r="DX417" s="243"/>
      <c r="DY417" s="243"/>
      <c r="DZ417" s="243"/>
      <c r="EA417" s="243"/>
      <c r="EB417" s="243"/>
      <c r="EC417" s="243"/>
      <c r="ED417" s="243"/>
      <c r="EE417" s="243"/>
      <c r="EF417" s="243"/>
      <c r="EG417" s="243"/>
      <c r="EH417" s="243"/>
      <c r="EI417" s="243"/>
      <c r="EJ417" s="243"/>
      <c r="EK417" s="243"/>
      <c r="EL417" s="243"/>
      <c r="EM417" s="243"/>
      <c r="EN417" s="243"/>
      <c r="EO417" s="243"/>
      <c r="EP417" s="243"/>
      <c r="EQ417" s="243"/>
      <c r="ER417" s="243"/>
      <c r="ES417" s="243"/>
      <c r="ET417" s="243"/>
      <c r="EU417" s="243"/>
      <c r="EV417" s="243"/>
      <c r="EW417" s="243"/>
      <c r="EX417" s="243"/>
      <c r="EY417" s="243"/>
      <c r="EZ417" s="243"/>
      <c r="FA417" s="243"/>
      <c r="FB417" s="243"/>
      <c r="FC417" s="243"/>
      <c r="FD417" s="243"/>
      <c r="FE417" s="243"/>
      <c r="FF417" s="243"/>
      <c r="FG417" s="243"/>
      <c r="FH417" s="243"/>
      <c r="FI417" s="243"/>
      <c r="FJ417" s="243"/>
      <c r="FK417" s="243"/>
      <c r="FL417" s="243"/>
      <c r="FM417" s="243"/>
      <c r="FN417" s="243"/>
      <c r="FO417" s="243"/>
      <c r="FP417" s="243"/>
      <c r="FQ417" s="243"/>
      <c r="FR417" s="243"/>
      <c r="FS417" s="243"/>
      <c r="FT417" s="243"/>
      <c r="FU417" s="243"/>
      <c r="FV417" s="243"/>
      <c r="FW417" s="243"/>
      <c r="FX417" s="243"/>
      <c r="FY417" s="243"/>
      <c r="FZ417" s="243"/>
      <c r="GA417" s="243"/>
      <c r="GB417" s="243"/>
      <c r="GC417" s="243"/>
      <c r="GD417" s="243"/>
      <c r="GE417" s="243"/>
      <c r="GF417" s="243"/>
      <c r="GG417" s="243"/>
      <c r="GH417" s="243"/>
      <c r="GI417" s="243"/>
      <c r="GJ417" s="243"/>
      <c r="GK417" s="243"/>
      <c r="GL417" s="243"/>
      <c r="GM417" s="243"/>
      <c r="GN417" s="243"/>
      <c r="GO417" s="243"/>
      <c r="GP417" s="243"/>
      <c r="GQ417" s="243"/>
      <c r="GR417" s="243"/>
      <c r="GS417" s="243"/>
      <c r="GT417" s="243"/>
      <c r="GU417" s="243"/>
      <c r="GV417" s="243"/>
      <c r="GW417" s="243"/>
      <c r="GX417" s="243"/>
      <c r="GY417" s="243"/>
      <c r="GZ417" s="243"/>
      <c r="HA417" s="243"/>
      <c r="HB417" s="243"/>
      <c r="HC417" s="243"/>
      <c r="HD417" s="243"/>
      <c r="HE417" s="243"/>
      <c r="HF417" s="243"/>
      <c r="HG417" s="243"/>
      <c r="HH417" s="243"/>
      <c r="HI417" s="243"/>
      <c r="HJ417" s="243"/>
      <c r="HK417" s="243"/>
      <c r="HL417" s="243"/>
      <c r="HM417" s="243"/>
      <c r="HN417" s="243"/>
      <c r="HO417" s="243"/>
      <c r="HP417" s="243"/>
      <c r="HQ417" s="243"/>
      <c r="HR417" s="243"/>
      <c r="HS417" s="243"/>
      <c r="HT417" s="243"/>
      <c r="HU417" s="243"/>
      <c r="HV417" s="243"/>
      <c r="HW417" s="243"/>
      <c r="HX417" s="243"/>
      <c r="HY417" s="243"/>
      <c r="HZ417" s="243"/>
      <c r="IA417" s="243"/>
      <c r="IB417" s="243"/>
      <c r="IC417" s="243"/>
      <c r="ID417" s="243"/>
      <c r="IE417" s="243"/>
      <c r="IF417" s="243"/>
      <c r="IG417" s="243"/>
      <c r="IH417" s="243"/>
      <c r="II417" s="243"/>
      <c r="IJ417" s="243"/>
      <c r="IK417" s="243"/>
      <c r="IL417" s="243"/>
      <c r="IM417" s="243"/>
      <c r="IN417" s="243"/>
      <c r="IO417" s="243"/>
      <c r="IP417" s="243"/>
      <c r="IQ417" s="243"/>
      <c r="IR417" s="243"/>
      <c r="IS417" s="243"/>
      <c r="IT417" s="243"/>
      <c r="IU417" s="243"/>
      <c r="IV417" s="243"/>
      <c r="IW417" s="243"/>
      <c r="IX417" s="243"/>
      <c r="IY417" s="243"/>
      <c r="IZ417" s="243"/>
      <c r="JA417" s="243"/>
      <c r="JB417" s="243"/>
      <c r="JC417" s="243"/>
      <c r="JD417" s="243"/>
      <c r="JE417" s="243"/>
      <c r="JF417" s="243"/>
      <c r="JG417" s="243"/>
      <c r="JH417" s="243"/>
      <c r="JI417" s="243"/>
      <c r="JJ417" s="243"/>
      <c r="JK417" s="243"/>
      <c r="JL417" s="243"/>
      <c r="JM417" s="243"/>
      <c r="JN417" s="243"/>
      <c r="JO417" s="243"/>
      <c r="JP417" s="243"/>
      <c r="JQ417" s="243"/>
      <c r="JR417" s="243"/>
      <c r="JS417" s="243"/>
      <c r="JT417" s="243"/>
      <c r="JU417" s="243"/>
      <c r="JV417" s="243"/>
      <c r="JW417" s="243"/>
      <c r="JX417" s="243"/>
      <c r="JY417" s="243"/>
      <c r="JZ417" s="243"/>
      <c r="KA417" s="243"/>
      <c r="KB417" s="243"/>
      <c r="KC417" s="243"/>
      <c r="KD417" s="243"/>
      <c r="KE417" s="243"/>
      <c r="KF417" s="243"/>
      <c r="KG417" s="243"/>
      <c r="KH417" s="243"/>
      <c r="KI417" s="243"/>
      <c r="KJ417" s="243"/>
      <c r="KK417" s="243"/>
      <c r="KL417" s="243"/>
      <c r="KM417" s="243"/>
      <c r="KN417" s="243"/>
      <c r="KO417" s="243"/>
      <c r="KP417" s="243"/>
      <c r="KQ417" s="243"/>
      <c r="KR417" s="243"/>
      <c r="KS417" s="243"/>
      <c r="KT417" s="243"/>
      <c r="KU417" s="243"/>
      <c r="KV417" s="243"/>
      <c r="KW417" s="243"/>
      <c r="KX417" s="243"/>
      <c r="KY417" s="243"/>
      <c r="KZ417" s="243"/>
      <c r="LA417" s="243"/>
      <c r="LB417" s="243"/>
      <c r="LC417" s="243"/>
      <c r="LD417" s="243"/>
      <c r="LE417" s="243"/>
      <c r="LF417" s="243"/>
      <c r="LG417" s="243"/>
      <c r="LH417" s="243"/>
      <c r="LI417" s="243"/>
      <c r="LJ417" s="243"/>
      <c r="LK417" s="243"/>
      <c r="LL417" s="243"/>
      <c r="LM417" s="243"/>
      <c r="LN417" s="243"/>
      <c r="LO417" s="243"/>
      <c r="LP417" s="243"/>
      <c r="LQ417" s="243"/>
      <c r="LR417" s="243"/>
      <c r="LS417" s="243"/>
      <c r="LT417" s="243"/>
      <c r="LU417" s="243"/>
      <c r="LV417" s="243"/>
      <c r="LW417" s="243"/>
      <c r="LX417" s="243"/>
      <c r="LY417" s="243"/>
      <c r="LZ417" s="243"/>
      <c r="MA417" s="243"/>
      <c r="MB417" s="243"/>
      <c r="MC417" s="243"/>
      <c r="MD417" s="243"/>
      <c r="ME417" s="243"/>
      <c r="MF417" s="243"/>
      <c r="MG417" s="243"/>
      <c r="MH417" s="243"/>
      <c r="MI417" s="243"/>
      <c r="MJ417" s="243"/>
      <c r="MK417" s="243"/>
      <c r="ML417" s="243"/>
      <c r="MM417" s="243"/>
      <c r="MN417" s="243"/>
      <c r="MO417" s="243"/>
      <c r="MP417" s="243"/>
      <c r="MQ417" s="243"/>
      <c r="MR417" s="243"/>
      <c r="MS417" s="243"/>
      <c r="MT417" s="243"/>
      <c r="MU417" s="243"/>
      <c r="MV417" s="243"/>
      <c r="MW417" s="243"/>
      <c r="MX417" s="243"/>
      <c r="MY417" s="243"/>
      <c r="MZ417" s="243"/>
      <c r="NA417" s="243"/>
      <c r="NB417" s="243"/>
      <c r="NC417" s="243"/>
      <c r="ND417" s="243"/>
      <c r="NE417" s="243"/>
      <c r="NF417" s="243"/>
      <c r="NG417" s="243"/>
      <c r="NH417" s="243"/>
      <c r="NI417" s="243"/>
      <c r="NJ417" s="243"/>
      <c r="NK417" s="243"/>
      <c r="NL417" s="243"/>
      <c r="NM417" s="243"/>
      <c r="NN417" s="243"/>
      <c r="NO417" s="243"/>
      <c r="NP417" s="243"/>
      <c r="NQ417" s="243"/>
      <c r="NR417" s="243"/>
      <c r="NS417" s="243"/>
      <c r="NT417" s="243"/>
      <c r="NU417" s="243"/>
      <c r="NV417" s="243"/>
      <c r="NW417" s="243"/>
      <c r="NX417" s="243"/>
      <c r="NY417" s="243"/>
      <c r="NZ417" s="243"/>
      <c r="OA417" s="243"/>
      <c r="OB417" s="243"/>
      <c r="OC417" s="243"/>
      <c r="OD417" s="243"/>
      <c r="OE417" s="243"/>
      <c r="OF417" s="243"/>
      <c r="OG417" s="243"/>
      <c r="OH417" s="243"/>
      <c r="OI417" s="243"/>
      <c r="OJ417" s="243"/>
      <c r="OK417" s="243"/>
      <c r="OL417" s="243"/>
      <c r="OM417" s="243"/>
      <c r="ON417" s="243"/>
      <c r="OO417" s="243"/>
      <c r="OP417" s="243"/>
      <c r="OQ417" s="243"/>
      <c r="OR417" s="243"/>
      <c r="OS417" s="243"/>
      <c r="OT417" s="243"/>
      <c r="OU417" s="243"/>
      <c r="OV417" s="243"/>
      <c r="OW417" s="243"/>
      <c r="OX417" s="243"/>
      <c r="OY417" s="243"/>
      <c r="OZ417" s="243"/>
      <c r="PA417" s="243"/>
      <c r="PB417" s="243"/>
      <c r="PC417" s="243"/>
      <c r="PD417" s="243"/>
      <c r="PE417" s="243"/>
      <c r="PF417" s="243"/>
      <c r="PG417" s="243"/>
      <c r="PH417" s="243"/>
      <c r="PI417" s="243"/>
      <c r="PJ417" s="243"/>
      <c r="PK417" s="243"/>
      <c r="PL417" s="243"/>
      <c r="PM417" s="243"/>
      <c r="PN417" s="243"/>
      <c r="PO417" s="243"/>
      <c r="PP417" s="243"/>
      <c r="PQ417" s="243"/>
      <c r="PR417" s="243"/>
      <c r="PS417" s="243"/>
      <c r="PT417" s="243"/>
      <c r="PU417" s="243"/>
      <c r="PV417" s="243"/>
      <c r="PW417" s="243"/>
      <c r="PX417" s="243"/>
      <c r="PY417" s="243"/>
      <c r="PZ417" s="243"/>
      <c r="QA417" s="243"/>
      <c r="QB417" s="243"/>
      <c r="QC417" s="243"/>
      <c r="QD417" s="243"/>
      <c r="QE417" s="243"/>
      <c r="QF417" s="243"/>
      <c r="QG417" s="243"/>
      <c r="QH417" s="243"/>
      <c r="QI417" s="243"/>
      <c r="QJ417" s="243"/>
      <c r="QK417" s="243"/>
      <c r="QL417" s="243"/>
      <c r="QM417" s="243"/>
      <c r="QN417" s="243"/>
      <c r="QO417" s="243"/>
      <c r="QP417" s="243"/>
      <c r="QQ417" s="243"/>
      <c r="QR417" s="243"/>
      <c r="QS417" s="243"/>
      <c r="QT417" s="243"/>
      <c r="QU417" s="243"/>
      <c r="QV417" s="243"/>
      <c r="QW417" s="243"/>
      <c r="QX417" s="243"/>
      <c r="QY417" s="243"/>
      <c r="QZ417" s="243"/>
      <c r="RA417" s="243"/>
      <c r="RB417" s="243"/>
      <c r="RC417" s="243"/>
      <c r="RD417" s="243"/>
      <c r="RE417" s="243"/>
      <c r="RF417" s="243"/>
      <c r="RG417" s="243"/>
      <c r="RH417" s="243"/>
      <c r="RI417" s="243"/>
      <c r="RJ417" s="243"/>
      <c r="RK417" s="243"/>
      <c r="RL417" s="243"/>
      <c r="RM417" s="243"/>
      <c r="RN417" s="243"/>
      <c r="RO417" s="243"/>
      <c r="RP417" s="243"/>
      <c r="RQ417" s="243"/>
      <c r="RR417" s="243"/>
      <c r="RS417" s="243"/>
      <c r="RT417" s="243"/>
      <c r="RU417" s="243"/>
      <c r="RV417" s="243"/>
      <c r="RW417" s="243"/>
      <c r="RX417" s="243"/>
      <c r="RY417" s="243"/>
      <c r="RZ417" s="243"/>
      <c r="SA417" s="243"/>
      <c r="SB417" s="243"/>
      <c r="SC417" s="243"/>
      <c r="SD417" s="243"/>
      <c r="SE417" s="243"/>
      <c r="SF417" s="243"/>
      <c r="SG417" s="243"/>
      <c r="SH417" s="243"/>
      <c r="SI417" s="243"/>
      <c r="SJ417" s="243"/>
      <c r="SK417" s="243"/>
      <c r="SL417" s="243"/>
      <c r="SM417" s="243"/>
      <c r="SN417" s="243"/>
      <c r="SO417" s="243"/>
      <c r="SP417" s="243"/>
      <c r="SQ417" s="243"/>
      <c r="SR417" s="243"/>
      <c r="SS417" s="243"/>
      <c r="ST417" s="243"/>
      <c r="SU417" s="243"/>
      <c r="SV417" s="243"/>
      <c r="SW417" s="243"/>
      <c r="SX417" s="243"/>
      <c r="SY417" s="243"/>
      <c r="SZ417" s="243"/>
      <c r="TA417" s="243"/>
      <c r="TB417" s="243"/>
      <c r="TC417" s="243"/>
      <c r="TD417" s="243"/>
      <c r="TE417" s="243"/>
      <c r="TF417" s="243"/>
      <c r="TG417" s="243"/>
      <c r="TH417" s="243"/>
      <c r="TI417" s="243"/>
      <c r="TJ417" s="243"/>
      <c r="TK417" s="243"/>
      <c r="TL417" s="243"/>
      <c r="TM417" s="243"/>
      <c r="TN417" s="243"/>
      <c r="TO417" s="243"/>
      <c r="TP417" s="243"/>
      <c r="TQ417" s="243"/>
      <c r="TR417" s="243"/>
      <c r="TS417" s="243"/>
      <c r="TT417" s="243"/>
      <c r="TU417" s="243"/>
      <c r="TV417" s="243"/>
      <c r="TW417" s="243"/>
      <c r="TX417" s="243"/>
      <c r="TY417" s="243"/>
      <c r="TZ417" s="243"/>
      <c r="UA417" s="243"/>
      <c r="UB417" s="243"/>
      <c r="UC417" s="243"/>
      <c r="UD417" s="243"/>
      <c r="UE417" s="243"/>
      <c r="UF417" s="243"/>
      <c r="UG417" s="243"/>
      <c r="UH417" s="243"/>
      <c r="UI417" s="243"/>
      <c r="UJ417" s="243"/>
      <c r="UK417" s="243"/>
      <c r="UL417" s="243"/>
      <c r="UM417" s="243"/>
      <c r="UN417" s="243"/>
      <c r="UO417" s="243"/>
      <c r="UP417" s="243"/>
      <c r="UQ417" s="243"/>
      <c r="UR417" s="243"/>
      <c r="US417" s="243"/>
      <c r="UT417" s="243"/>
      <c r="UU417" s="243"/>
      <c r="UV417" s="243"/>
      <c r="UW417" s="243"/>
      <c r="UX417" s="243"/>
      <c r="UY417" s="243"/>
      <c r="UZ417" s="243"/>
      <c r="VA417" s="243"/>
      <c r="VB417" s="243"/>
      <c r="VC417" s="243"/>
      <c r="VD417" s="243"/>
      <c r="VE417" s="243"/>
      <c r="VF417" s="243"/>
      <c r="VG417" s="243"/>
      <c r="VH417" s="243"/>
      <c r="VI417" s="243"/>
      <c r="VJ417" s="243"/>
      <c r="VK417" s="243"/>
      <c r="VL417" s="243"/>
      <c r="VM417" s="243"/>
      <c r="VN417" s="243"/>
      <c r="VO417" s="243"/>
      <c r="VP417" s="243"/>
      <c r="VQ417" s="243"/>
      <c r="VR417" s="243"/>
      <c r="VS417" s="243"/>
      <c r="VT417" s="243"/>
      <c r="VU417" s="243"/>
      <c r="VV417" s="243"/>
      <c r="VW417" s="243"/>
      <c r="VX417" s="243"/>
      <c r="VY417" s="243"/>
      <c r="VZ417" s="243"/>
      <c r="WA417" s="243"/>
      <c r="WB417" s="243"/>
      <c r="WC417" s="243"/>
      <c r="WD417" s="243"/>
      <c r="WE417" s="243"/>
      <c r="WF417" s="243"/>
      <c r="WG417" s="243"/>
      <c r="WH417" s="243"/>
      <c r="WI417" s="243"/>
      <c r="WJ417" s="243"/>
      <c r="WK417" s="243"/>
      <c r="WL417" s="243"/>
      <c r="WM417" s="243"/>
      <c r="WN417" s="243"/>
      <c r="WO417" s="243"/>
      <c r="WP417" s="243"/>
      <c r="WQ417" s="243"/>
      <c r="WR417" s="243"/>
      <c r="WS417" s="243"/>
      <c r="WT417" s="243"/>
      <c r="WU417" s="243"/>
      <c r="WV417" s="243"/>
      <c r="WW417" s="243"/>
      <c r="WX417" s="243"/>
      <c r="WY417" s="243"/>
      <c r="WZ417" s="243"/>
      <c r="XA417" s="243"/>
      <c r="XB417" s="243"/>
      <c r="XC417" s="243"/>
      <c r="XD417" s="243"/>
      <c r="XE417" s="243"/>
      <c r="XF417" s="243"/>
      <c r="XG417" s="243"/>
      <c r="XH417" s="243"/>
      <c r="XI417" s="243"/>
      <c r="XJ417" s="243"/>
      <c r="XK417" s="243"/>
      <c r="XL417" s="243"/>
      <c r="XM417" s="243"/>
      <c r="XN417" s="243"/>
      <c r="XO417" s="243"/>
      <c r="XP417" s="243"/>
      <c r="XQ417" s="243"/>
      <c r="XR417" s="243"/>
      <c r="XS417" s="243"/>
      <c r="XT417" s="243"/>
      <c r="XU417" s="243"/>
      <c r="XV417" s="243"/>
      <c r="XW417" s="243"/>
      <c r="XX417" s="243"/>
      <c r="XY417" s="243"/>
      <c r="XZ417" s="243"/>
      <c r="YA417" s="243"/>
      <c r="YB417" s="243"/>
      <c r="YC417" s="243"/>
      <c r="YD417" s="243"/>
      <c r="YE417" s="243"/>
      <c r="YF417" s="243"/>
      <c r="YG417" s="243"/>
      <c r="YH417" s="243"/>
      <c r="YI417" s="243"/>
      <c r="YJ417" s="243"/>
      <c r="YK417" s="243"/>
      <c r="YL417" s="243"/>
      <c r="YM417" s="243"/>
      <c r="YN417" s="243"/>
      <c r="YO417" s="243"/>
      <c r="YP417" s="243"/>
      <c r="YQ417" s="243"/>
      <c r="YR417" s="243"/>
      <c r="YS417" s="243"/>
      <c r="YT417" s="243"/>
      <c r="YU417" s="243"/>
      <c r="YV417" s="243"/>
      <c r="YW417" s="243"/>
      <c r="YX417" s="243"/>
      <c r="YY417" s="243"/>
      <c r="YZ417" s="243"/>
      <c r="ZA417" s="243"/>
      <c r="ZB417" s="243"/>
      <c r="ZC417" s="243"/>
      <c r="ZD417" s="243"/>
      <c r="ZE417" s="243"/>
      <c r="ZF417" s="243"/>
      <c r="ZG417" s="243"/>
      <c r="ZH417" s="243"/>
      <c r="ZI417" s="243"/>
      <c r="ZJ417" s="243"/>
      <c r="ZK417" s="243"/>
      <c r="ZL417" s="243"/>
      <c r="ZM417" s="243"/>
      <c r="ZN417" s="243"/>
      <c r="ZO417" s="243"/>
      <c r="ZP417" s="243"/>
      <c r="ZQ417" s="243"/>
      <c r="ZR417" s="243"/>
      <c r="ZS417" s="243"/>
      <c r="ZT417" s="243"/>
      <c r="ZU417" s="243"/>
      <c r="ZV417" s="243"/>
      <c r="ZW417" s="243"/>
      <c r="ZX417" s="243"/>
      <c r="ZY417" s="243"/>
      <c r="ZZ417" s="243"/>
      <c r="AAA417" s="243"/>
      <c r="AAB417" s="243"/>
      <c r="AAC417" s="243"/>
      <c r="AAD417" s="243"/>
      <c r="AAE417" s="243"/>
      <c r="AAF417" s="243"/>
      <c r="AAG417" s="243"/>
      <c r="AAH417" s="243"/>
      <c r="AAI417" s="243"/>
      <c r="AAJ417" s="243"/>
      <c r="AAK417" s="243"/>
      <c r="AAL417" s="243"/>
      <c r="AAM417" s="243"/>
      <c r="AAN417" s="243"/>
      <c r="AAO417" s="243"/>
      <c r="AAP417" s="243"/>
      <c r="AAQ417" s="243"/>
      <c r="AAR417" s="243"/>
      <c r="AAS417" s="243"/>
      <c r="AAT417" s="243"/>
      <c r="AAU417" s="243"/>
      <c r="AAV417" s="243"/>
      <c r="AAW417" s="243"/>
      <c r="AAX417" s="243"/>
      <c r="AAY417" s="243"/>
      <c r="AAZ417" s="243"/>
      <c r="ABA417" s="243"/>
      <c r="ABB417" s="243"/>
      <c r="ABC417" s="243"/>
      <c r="ABD417" s="243"/>
      <c r="ABE417" s="243"/>
      <c r="ABF417" s="243"/>
      <c r="ABG417" s="243"/>
      <c r="ABH417" s="243"/>
      <c r="ABI417" s="243"/>
      <c r="ABJ417" s="243"/>
      <c r="ABK417" s="243"/>
      <c r="ABL417" s="243"/>
      <c r="ABM417" s="243"/>
      <c r="ABN417" s="243"/>
      <c r="ABO417" s="243"/>
      <c r="ABP417" s="243"/>
      <c r="ABQ417" s="243"/>
      <c r="ABR417" s="243"/>
      <c r="ABS417" s="243"/>
      <c r="ABT417" s="243"/>
      <c r="ABU417" s="243"/>
      <c r="ABV417" s="243"/>
      <c r="ABW417" s="243"/>
      <c r="ABX417" s="243"/>
      <c r="ABY417" s="243"/>
      <c r="ABZ417" s="243"/>
      <c r="ACA417" s="243"/>
      <c r="ACB417" s="243"/>
      <c r="ACC417" s="243"/>
      <c r="ACD417" s="243"/>
      <c r="ACE417" s="243"/>
      <c r="ACF417" s="243"/>
      <c r="ACG417" s="243"/>
      <c r="ACH417" s="243"/>
      <c r="ACI417" s="243"/>
      <c r="ACJ417" s="243"/>
      <c r="ACK417" s="243"/>
      <c r="ACL417" s="243"/>
      <c r="ACM417" s="243"/>
      <c r="ACN417" s="243"/>
      <c r="ACO417" s="243"/>
      <c r="ACP417" s="243"/>
      <c r="ACQ417" s="243"/>
      <c r="ACR417" s="243"/>
      <c r="ACS417" s="243"/>
      <c r="ACT417" s="243"/>
      <c r="ACU417" s="243"/>
      <c r="ACV417" s="243"/>
      <c r="ACW417" s="243"/>
      <c r="ACX417" s="243"/>
      <c r="ACY417" s="243"/>
      <c r="ACZ417" s="243"/>
      <c r="ADA417" s="243"/>
      <c r="ADB417" s="243"/>
      <c r="ADC417" s="243"/>
      <c r="ADD417" s="243"/>
      <c r="ADE417" s="243"/>
      <c r="ADF417" s="243"/>
      <c r="ADG417" s="243"/>
      <c r="ADH417" s="243"/>
      <c r="ADI417" s="243"/>
      <c r="ADJ417" s="243"/>
      <c r="ADK417" s="243"/>
      <c r="ADL417" s="243"/>
      <c r="ADM417" s="243"/>
      <c r="ADN417" s="243"/>
      <c r="ADO417" s="243"/>
      <c r="ADP417" s="243"/>
      <c r="ADQ417" s="243"/>
      <c r="ADR417" s="243"/>
      <c r="ADS417" s="243"/>
      <c r="ADT417" s="243"/>
      <c r="ADU417" s="243"/>
      <c r="ADV417" s="243"/>
      <c r="ADW417" s="243"/>
      <c r="ADX417" s="243"/>
      <c r="ADY417" s="243"/>
      <c r="ADZ417" s="243"/>
      <c r="AEA417" s="243"/>
      <c r="AEB417" s="243"/>
      <c r="AEC417" s="243"/>
      <c r="AED417" s="243"/>
      <c r="AEE417" s="243"/>
      <c r="AEF417" s="243"/>
      <c r="AEG417" s="243"/>
      <c r="AEH417" s="243"/>
      <c r="AEI417" s="243"/>
      <c r="AEJ417" s="243"/>
      <c r="AEK417" s="243"/>
      <c r="AEL417" s="243"/>
      <c r="AEM417" s="243"/>
      <c r="AEN417" s="243"/>
      <c r="AEO417" s="243"/>
      <c r="AEP417" s="243"/>
      <c r="AEQ417" s="243"/>
      <c r="AER417" s="243"/>
      <c r="AES417" s="243"/>
      <c r="AET417" s="243"/>
      <c r="AEU417" s="243"/>
      <c r="AEV417" s="243"/>
      <c r="AEW417" s="243"/>
      <c r="AEX417" s="243"/>
      <c r="AEY417" s="243"/>
      <c r="AEZ417" s="243"/>
      <c r="AFA417" s="243"/>
      <c r="AFB417" s="243"/>
      <c r="AFC417" s="243"/>
      <c r="AFD417" s="243"/>
      <c r="AFE417" s="243"/>
      <c r="AFF417" s="243"/>
      <c r="AFG417" s="243"/>
      <c r="AFH417" s="243"/>
      <c r="AFI417" s="243"/>
      <c r="AFJ417" s="243"/>
      <c r="AFK417" s="243"/>
      <c r="AFL417" s="243"/>
      <c r="AFM417" s="243"/>
      <c r="AFN417" s="243"/>
      <c r="AFO417" s="243"/>
      <c r="AFP417" s="243"/>
      <c r="AFQ417" s="243"/>
      <c r="AFR417" s="243"/>
      <c r="AFS417" s="243"/>
      <c r="AFT417" s="243"/>
      <c r="AFU417" s="243"/>
      <c r="AFV417" s="243"/>
      <c r="AFW417" s="243"/>
      <c r="AFX417" s="243"/>
      <c r="AFY417" s="243"/>
      <c r="AFZ417" s="243"/>
      <c r="AGA417" s="243"/>
      <c r="AGB417" s="243"/>
      <c r="AGC417" s="243"/>
      <c r="AGD417" s="243"/>
      <c r="AGE417" s="243"/>
      <c r="AGF417" s="243"/>
      <c r="AGG417" s="243"/>
      <c r="AGH417" s="243"/>
      <c r="AGI417" s="243"/>
      <c r="AGJ417" s="243"/>
      <c r="AGK417" s="243"/>
      <c r="AGL417" s="243"/>
      <c r="AGM417" s="243"/>
      <c r="AGN417" s="243"/>
      <c r="AGO417" s="243"/>
      <c r="AGP417" s="243"/>
      <c r="AGQ417" s="243"/>
      <c r="AGR417" s="243"/>
      <c r="AGS417" s="243"/>
      <c r="AGT417" s="243"/>
      <c r="AGU417" s="243"/>
      <c r="AGV417" s="243"/>
      <c r="AGW417" s="243"/>
      <c r="AGX417" s="243"/>
      <c r="AGY417" s="243"/>
      <c r="AGZ417" s="243"/>
      <c r="AHA417" s="243"/>
      <c r="AHB417" s="243"/>
      <c r="AHC417" s="243"/>
      <c r="AHD417" s="243"/>
      <c r="AHE417" s="243"/>
      <c r="AHF417" s="243"/>
      <c r="AHG417" s="243"/>
      <c r="AHH417" s="243"/>
      <c r="AHI417" s="243"/>
      <c r="AHJ417" s="243"/>
      <c r="AHK417" s="243"/>
      <c r="AHL417" s="243"/>
      <c r="AHM417" s="243"/>
      <c r="AHN417" s="243"/>
      <c r="AHO417" s="243"/>
      <c r="AHP417" s="243"/>
      <c r="AHQ417" s="243"/>
      <c r="AHR417" s="243"/>
      <c r="AHS417" s="243"/>
      <c r="AHT417" s="243"/>
      <c r="AHU417" s="243"/>
      <c r="AHV417" s="243"/>
      <c r="AHW417" s="243"/>
      <c r="AHX417" s="243"/>
      <c r="AHY417" s="243"/>
      <c r="AHZ417" s="243"/>
      <c r="AIA417" s="243"/>
      <c r="AIB417" s="243"/>
      <c r="AIC417" s="243"/>
      <c r="AID417" s="243"/>
      <c r="AIE417" s="243"/>
      <c r="AIF417" s="243"/>
      <c r="AIG417" s="243"/>
      <c r="AIH417" s="243"/>
      <c r="AII417" s="243"/>
      <c r="AIJ417" s="243"/>
      <c r="AIK417" s="243"/>
      <c r="AIL417" s="243"/>
      <c r="AIM417" s="243"/>
      <c r="AIN417" s="243"/>
      <c r="AIO417" s="243"/>
      <c r="AIP417" s="243"/>
      <c r="AIQ417" s="243"/>
      <c r="AIR417" s="243"/>
      <c r="AIS417" s="243"/>
      <c r="AIT417" s="243"/>
      <c r="AIU417" s="243"/>
      <c r="AIV417" s="243"/>
      <c r="AIW417" s="243"/>
      <c r="AIX417" s="243"/>
      <c r="AIY417" s="243"/>
      <c r="AIZ417" s="243"/>
      <c r="AJA417" s="243"/>
      <c r="AJB417" s="243"/>
      <c r="AJC417" s="243"/>
      <c r="AJD417" s="243"/>
      <c r="AJE417" s="243"/>
      <c r="AJF417" s="243"/>
      <c r="AJG417" s="243"/>
      <c r="AJH417" s="243"/>
      <c r="AJI417" s="243"/>
      <c r="AJJ417" s="243"/>
      <c r="AJK417" s="243"/>
      <c r="AJL417" s="243"/>
      <c r="AJM417" s="243"/>
      <c r="AJN417" s="243"/>
      <c r="AJO417" s="243"/>
      <c r="AJP417" s="243"/>
      <c r="AJQ417" s="243"/>
      <c r="AJR417" s="243"/>
      <c r="AJS417" s="243"/>
      <c r="AJT417" s="243"/>
      <c r="AJU417" s="243"/>
      <c r="AJV417" s="243"/>
      <c r="AJW417" s="243"/>
      <c r="AJX417" s="243"/>
      <c r="AJY417" s="243"/>
      <c r="AJZ417" s="243"/>
      <c r="AKA417" s="243"/>
      <c r="AKB417" s="243"/>
      <c r="AKC417" s="243"/>
      <c r="AKD417" s="243"/>
      <c r="AKE417" s="243"/>
      <c r="AKF417" s="243"/>
      <c r="AKG417" s="243"/>
      <c r="AKH417" s="243"/>
      <c r="AKI417" s="243"/>
      <c r="AKJ417" s="243"/>
      <c r="AKK417" s="243"/>
      <c r="AKL417" s="243"/>
      <c r="AKM417" s="243"/>
      <c r="AKN417" s="243"/>
      <c r="AKO417" s="243"/>
      <c r="AKP417" s="243"/>
      <c r="AKQ417" s="243"/>
      <c r="AKR417" s="243"/>
      <c r="AKS417" s="243"/>
      <c r="AKT417" s="243"/>
      <c r="AKU417" s="243"/>
      <c r="AKV417" s="243"/>
      <c r="AKW417" s="243"/>
      <c r="AKX417" s="243"/>
      <c r="AKY417" s="243"/>
      <c r="AKZ417" s="243"/>
      <c r="ALA417" s="243"/>
      <c r="ALB417" s="243"/>
      <c r="ALC417" s="243"/>
      <c r="ALD417" s="243"/>
      <c r="ALE417" s="243"/>
      <c r="ALF417" s="243"/>
      <c r="ALG417" s="243"/>
      <c r="ALH417" s="243"/>
      <c r="ALI417" s="243"/>
      <c r="ALJ417" s="243"/>
      <c r="ALK417" s="243"/>
      <c r="ALL417" s="243"/>
      <c r="ALM417" s="243"/>
      <c r="ALN417" s="243"/>
      <c r="ALO417" s="243"/>
      <c r="ALP417" s="243"/>
      <c r="ALQ417" s="243"/>
      <c r="ALR417" s="243"/>
      <c r="ALS417" s="243"/>
      <c r="ALT417" s="243"/>
      <c r="ALU417" s="243"/>
      <c r="ALV417" s="243"/>
      <c r="ALW417" s="243"/>
      <c r="ALX417" s="243"/>
      <c r="ALY417" s="243"/>
      <c r="ALZ417" s="243"/>
      <c r="AMA417" s="243"/>
      <c r="AMB417" s="243"/>
      <c r="AMC417" s="243"/>
      <c r="AMD417" s="243"/>
      <c r="AME417" s="243"/>
      <c r="AMF417" s="243"/>
      <c r="AMG417" s="243"/>
      <c r="AMH417" s="243"/>
      <c r="AMI417" s="244"/>
      <c r="AMJ417" s="244"/>
    </row>
    <row r="418" spans="1:1024">
      <c r="A418" s="901"/>
      <c r="B418" s="551">
        <v>14753</v>
      </c>
      <c r="C418" s="121">
        <v>0.1</v>
      </c>
      <c r="D418" s="621" t="s">
        <v>280</v>
      </c>
      <c r="E418" s="364">
        <v>1400000</v>
      </c>
      <c r="F418" s="601">
        <v>0.06</v>
      </c>
      <c r="G418" s="364">
        <f t="shared" ref="G418:G420" si="17">E418*F418</f>
        <v>84000</v>
      </c>
      <c r="H418" s="599" t="s">
        <v>123</v>
      </c>
      <c r="I418" s="604"/>
      <c r="J418" s="604"/>
      <c r="K418" s="712"/>
      <c r="L418" s="712"/>
      <c r="M418" s="713"/>
      <c r="N418" s="733"/>
      <c r="O418" s="714"/>
      <c r="P418" s="734"/>
      <c r="Q418" s="716"/>
      <c r="R418" s="243"/>
      <c r="S418" s="243"/>
      <c r="T418" s="243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3"/>
      <c r="AG418" s="243"/>
      <c r="AH418" s="243"/>
      <c r="AI418" s="243"/>
      <c r="AJ418" s="243"/>
      <c r="AK418" s="243"/>
      <c r="AL418" s="243"/>
      <c r="AM418" s="243"/>
      <c r="AN418" s="243"/>
      <c r="AO418" s="243"/>
      <c r="AP418" s="243"/>
      <c r="AQ418" s="243"/>
      <c r="AR418" s="243"/>
      <c r="AS418" s="243"/>
      <c r="AT418" s="243"/>
      <c r="AU418" s="243"/>
      <c r="AV418" s="243"/>
      <c r="AW418" s="243"/>
      <c r="AX418" s="243"/>
      <c r="AY418" s="243"/>
      <c r="AZ418" s="243"/>
      <c r="BA418" s="243"/>
      <c r="BB418" s="243"/>
      <c r="BC418" s="243"/>
      <c r="BD418" s="243"/>
      <c r="BE418" s="243"/>
      <c r="BF418" s="243"/>
      <c r="BG418" s="243"/>
      <c r="BH418" s="243"/>
      <c r="BI418" s="243"/>
      <c r="BJ418" s="243"/>
      <c r="BK418" s="243"/>
      <c r="BL418" s="243"/>
      <c r="BM418" s="243"/>
      <c r="BN418" s="243"/>
      <c r="BO418" s="243"/>
      <c r="BP418" s="243"/>
      <c r="BQ418" s="243"/>
      <c r="BR418" s="243"/>
      <c r="BS418" s="243"/>
      <c r="BT418" s="243"/>
      <c r="BU418" s="243"/>
      <c r="BV418" s="243"/>
      <c r="BW418" s="243"/>
      <c r="BX418" s="243"/>
      <c r="BY418" s="243"/>
      <c r="BZ418" s="243"/>
      <c r="CA418" s="243"/>
      <c r="CB418" s="243"/>
      <c r="CC418" s="243"/>
      <c r="CD418" s="243"/>
      <c r="CE418" s="243"/>
      <c r="CF418" s="243"/>
      <c r="CG418" s="243"/>
      <c r="CH418" s="243"/>
      <c r="CI418" s="243"/>
      <c r="CJ418" s="243"/>
      <c r="CK418" s="243"/>
      <c r="CL418" s="243"/>
      <c r="CM418" s="243"/>
      <c r="CN418" s="243"/>
      <c r="CO418" s="243"/>
      <c r="CP418" s="243"/>
      <c r="CQ418" s="243"/>
      <c r="CR418" s="243"/>
      <c r="CS418" s="243"/>
      <c r="CT418" s="243"/>
      <c r="CU418" s="243"/>
      <c r="CV418" s="243"/>
      <c r="CW418" s="243"/>
      <c r="CX418" s="243"/>
      <c r="CY418" s="243"/>
      <c r="CZ418" s="243"/>
      <c r="DA418" s="243"/>
      <c r="DB418" s="243"/>
      <c r="DC418" s="243"/>
      <c r="DD418" s="243"/>
      <c r="DE418" s="243"/>
      <c r="DF418" s="243"/>
      <c r="DG418" s="243"/>
      <c r="DH418" s="243"/>
      <c r="DI418" s="243"/>
      <c r="DJ418" s="243"/>
      <c r="DK418" s="243"/>
      <c r="DL418" s="243"/>
      <c r="DM418" s="243"/>
      <c r="DN418" s="243"/>
      <c r="DO418" s="243"/>
      <c r="DP418" s="243"/>
      <c r="DQ418" s="243"/>
      <c r="DR418" s="243"/>
      <c r="DS418" s="243"/>
      <c r="DT418" s="243"/>
      <c r="DU418" s="243"/>
      <c r="DV418" s="243"/>
      <c r="DW418" s="243"/>
      <c r="DX418" s="243"/>
      <c r="DY418" s="243"/>
      <c r="DZ418" s="243"/>
      <c r="EA418" s="243"/>
      <c r="EB418" s="243"/>
      <c r="EC418" s="243"/>
      <c r="ED418" s="243"/>
      <c r="EE418" s="243"/>
      <c r="EF418" s="243"/>
      <c r="EG418" s="243"/>
      <c r="EH418" s="243"/>
      <c r="EI418" s="243"/>
      <c r="EJ418" s="243"/>
      <c r="EK418" s="243"/>
      <c r="EL418" s="243"/>
      <c r="EM418" s="243"/>
      <c r="EN418" s="243"/>
      <c r="EO418" s="243"/>
      <c r="EP418" s="243"/>
      <c r="EQ418" s="243"/>
      <c r="ER418" s="243"/>
      <c r="ES418" s="243"/>
      <c r="ET418" s="243"/>
      <c r="EU418" s="243"/>
      <c r="EV418" s="243"/>
      <c r="EW418" s="243"/>
      <c r="EX418" s="243"/>
      <c r="EY418" s="243"/>
      <c r="EZ418" s="243"/>
      <c r="FA418" s="243"/>
      <c r="FB418" s="243"/>
      <c r="FC418" s="243"/>
      <c r="FD418" s="243"/>
      <c r="FE418" s="243"/>
      <c r="FF418" s="243"/>
      <c r="FG418" s="243"/>
      <c r="FH418" s="243"/>
      <c r="FI418" s="243"/>
      <c r="FJ418" s="243"/>
      <c r="FK418" s="243"/>
      <c r="FL418" s="243"/>
      <c r="FM418" s="243"/>
      <c r="FN418" s="243"/>
      <c r="FO418" s="243"/>
      <c r="FP418" s="243"/>
      <c r="FQ418" s="243"/>
      <c r="FR418" s="243"/>
      <c r="FS418" s="243"/>
      <c r="FT418" s="243"/>
      <c r="FU418" s="243"/>
      <c r="FV418" s="243"/>
      <c r="FW418" s="243"/>
      <c r="FX418" s="243"/>
      <c r="FY418" s="243"/>
      <c r="FZ418" s="243"/>
      <c r="GA418" s="243"/>
      <c r="GB418" s="243"/>
      <c r="GC418" s="243"/>
      <c r="GD418" s="243"/>
      <c r="GE418" s="243"/>
      <c r="GF418" s="243"/>
      <c r="GG418" s="243"/>
      <c r="GH418" s="243"/>
      <c r="GI418" s="243"/>
      <c r="GJ418" s="243"/>
      <c r="GK418" s="243"/>
      <c r="GL418" s="243"/>
      <c r="GM418" s="243"/>
      <c r="GN418" s="243"/>
      <c r="GO418" s="243"/>
      <c r="GP418" s="243"/>
      <c r="GQ418" s="243"/>
      <c r="GR418" s="243"/>
      <c r="GS418" s="243"/>
      <c r="GT418" s="243"/>
      <c r="GU418" s="243"/>
      <c r="GV418" s="243"/>
      <c r="GW418" s="243"/>
      <c r="GX418" s="243"/>
      <c r="GY418" s="243"/>
      <c r="GZ418" s="243"/>
      <c r="HA418" s="243"/>
      <c r="HB418" s="243"/>
      <c r="HC418" s="243"/>
      <c r="HD418" s="243"/>
      <c r="HE418" s="243"/>
      <c r="HF418" s="243"/>
      <c r="HG418" s="243"/>
      <c r="HH418" s="243"/>
      <c r="HI418" s="243"/>
      <c r="HJ418" s="243"/>
      <c r="HK418" s="243"/>
      <c r="HL418" s="243"/>
      <c r="HM418" s="243"/>
      <c r="HN418" s="243"/>
      <c r="HO418" s="243"/>
      <c r="HP418" s="243"/>
      <c r="HQ418" s="243"/>
      <c r="HR418" s="243"/>
      <c r="HS418" s="243"/>
      <c r="HT418" s="243"/>
      <c r="HU418" s="243"/>
      <c r="HV418" s="243"/>
      <c r="HW418" s="243"/>
      <c r="HX418" s="243"/>
      <c r="HY418" s="243"/>
      <c r="HZ418" s="243"/>
      <c r="IA418" s="243"/>
      <c r="IB418" s="243"/>
      <c r="IC418" s="243"/>
      <c r="ID418" s="243"/>
      <c r="IE418" s="243"/>
      <c r="IF418" s="243"/>
      <c r="IG418" s="243"/>
      <c r="IH418" s="243"/>
      <c r="II418" s="243"/>
      <c r="IJ418" s="243"/>
      <c r="IK418" s="243"/>
      <c r="IL418" s="243"/>
      <c r="IM418" s="243"/>
      <c r="IN418" s="243"/>
      <c r="IO418" s="243"/>
      <c r="IP418" s="243"/>
      <c r="IQ418" s="243"/>
      <c r="IR418" s="243"/>
      <c r="IS418" s="243"/>
      <c r="IT418" s="243"/>
      <c r="IU418" s="243"/>
      <c r="IV418" s="243"/>
      <c r="IW418" s="243"/>
      <c r="IX418" s="243"/>
      <c r="IY418" s="243"/>
      <c r="IZ418" s="243"/>
      <c r="JA418" s="243"/>
      <c r="JB418" s="243"/>
      <c r="JC418" s="243"/>
      <c r="JD418" s="243"/>
      <c r="JE418" s="243"/>
      <c r="JF418" s="243"/>
      <c r="JG418" s="243"/>
      <c r="JH418" s="243"/>
      <c r="JI418" s="243"/>
      <c r="JJ418" s="243"/>
      <c r="JK418" s="243"/>
      <c r="JL418" s="243"/>
      <c r="JM418" s="243"/>
      <c r="JN418" s="243"/>
      <c r="JO418" s="243"/>
      <c r="JP418" s="243"/>
      <c r="JQ418" s="243"/>
      <c r="JR418" s="243"/>
      <c r="JS418" s="243"/>
      <c r="JT418" s="243"/>
      <c r="JU418" s="243"/>
      <c r="JV418" s="243"/>
      <c r="JW418" s="243"/>
      <c r="JX418" s="243"/>
      <c r="JY418" s="243"/>
      <c r="JZ418" s="243"/>
      <c r="KA418" s="243"/>
      <c r="KB418" s="243"/>
      <c r="KC418" s="243"/>
      <c r="KD418" s="243"/>
      <c r="KE418" s="243"/>
      <c r="KF418" s="243"/>
      <c r="KG418" s="243"/>
      <c r="KH418" s="243"/>
      <c r="KI418" s="243"/>
      <c r="KJ418" s="243"/>
      <c r="KK418" s="243"/>
      <c r="KL418" s="243"/>
      <c r="KM418" s="243"/>
      <c r="KN418" s="243"/>
      <c r="KO418" s="243"/>
      <c r="KP418" s="243"/>
      <c r="KQ418" s="243"/>
      <c r="KR418" s="243"/>
      <c r="KS418" s="243"/>
      <c r="KT418" s="243"/>
      <c r="KU418" s="243"/>
      <c r="KV418" s="243"/>
      <c r="KW418" s="243"/>
      <c r="KX418" s="243"/>
      <c r="KY418" s="243"/>
      <c r="KZ418" s="243"/>
      <c r="LA418" s="243"/>
      <c r="LB418" s="243"/>
      <c r="LC418" s="243"/>
      <c r="LD418" s="243"/>
      <c r="LE418" s="243"/>
      <c r="LF418" s="243"/>
      <c r="LG418" s="243"/>
      <c r="LH418" s="243"/>
      <c r="LI418" s="243"/>
      <c r="LJ418" s="243"/>
      <c r="LK418" s="243"/>
      <c r="LL418" s="243"/>
      <c r="LM418" s="243"/>
      <c r="LN418" s="243"/>
      <c r="LO418" s="243"/>
      <c r="LP418" s="243"/>
      <c r="LQ418" s="243"/>
      <c r="LR418" s="243"/>
      <c r="LS418" s="243"/>
      <c r="LT418" s="243"/>
      <c r="LU418" s="243"/>
      <c r="LV418" s="243"/>
      <c r="LW418" s="243"/>
      <c r="LX418" s="243"/>
      <c r="LY418" s="243"/>
      <c r="LZ418" s="243"/>
      <c r="MA418" s="243"/>
      <c r="MB418" s="243"/>
      <c r="MC418" s="243"/>
      <c r="MD418" s="243"/>
      <c r="ME418" s="243"/>
      <c r="MF418" s="243"/>
      <c r="MG418" s="243"/>
      <c r="MH418" s="243"/>
      <c r="MI418" s="243"/>
      <c r="MJ418" s="243"/>
      <c r="MK418" s="243"/>
      <c r="ML418" s="243"/>
      <c r="MM418" s="243"/>
      <c r="MN418" s="243"/>
      <c r="MO418" s="243"/>
      <c r="MP418" s="243"/>
      <c r="MQ418" s="243"/>
      <c r="MR418" s="243"/>
      <c r="MS418" s="243"/>
      <c r="MT418" s="243"/>
      <c r="MU418" s="243"/>
      <c r="MV418" s="243"/>
      <c r="MW418" s="243"/>
      <c r="MX418" s="243"/>
      <c r="MY418" s="243"/>
      <c r="MZ418" s="243"/>
      <c r="NA418" s="243"/>
      <c r="NB418" s="243"/>
      <c r="NC418" s="243"/>
      <c r="ND418" s="243"/>
      <c r="NE418" s="243"/>
      <c r="NF418" s="243"/>
      <c r="NG418" s="243"/>
      <c r="NH418" s="243"/>
      <c r="NI418" s="243"/>
      <c r="NJ418" s="243"/>
      <c r="NK418" s="243"/>
      <c r="NL418" s="243"/>
      <c r="NM418" s="243"/>
      <c r="NN418" s="243"/>
      <c r="NO418" s="243"/>
      <c r="NP418" s="243"/>
      <c r="NQ418" s="243"/>
      <c r="NR418" s="243"/>
      <c r="NS418" s="243"/>
      <c r="NT418" s="243"/>
      <c r="NU418" s="243"/>
      <c r="NV418" s="243"/>
      <c r="NW418" s="243"/>
      <c r="NX418" s="243"/>
      <c r="NY418" s="243"/>
      <c r="NZ418" s="243"/>
      <c r="OA418" s="243"/>
      <c r="OB418" s="243"/>
      <c r="OC418" s="243"/>
      <c r="OD418" s="243"/>
      <c r="OE418" s="243"/>
      <c r="OF418" s="243"/>
      <c r="OG418" s="243"/>
      <c r="OH418" s="243"/>
      <c r="OI418" s="243"/>
      <c r="OJ418" s="243"/>
      <c r="OK418" s="243"/>
      <c r="OL418" s="243"/>
      <c r="OM418" s="243"/>
      <c r="ON418" s="243"/>
      <c r="OO418" s="243"/>
      <c r="OP418" s="243"/>
      <c r="OQ418" s="243"/>
      <c r="OR418" s="243"/>
      <c r="OS418" s="243"/>
      <c r="OT418" s="243"/>
      <c r="OU418" s="243"/>
      <c r="OV418" s="243"/>
      <c r="OW418" s="243"/>
      <c r="OX418" s="243"/>
      <c r="OY418" s="243"/>
      <c r="OZ418" s="243"/>
      <c r="PA418" s="243"/>
      <c r="PB418" s="243"/>
      <c r="PC418" s="243"/>
      <c r="PD418" s="243"/>
      <c r="PE418" s="243"/>
      <c r="PF418" s="243"/>
      <c r="PG418" s="243"/>
      <c r="PH418" s="243"/>
      <c r="PI418" s="243"/>
      <c r="PJ418" s="243"/>
      <c r="PK418" s="243"/>
      <c r="PL418" s="243"/>
      <c r="PM418" s="243"/>
      <c r="PN418" s="243"/>
      <c r="PO418" s="243"/>
      <c r="PP418" s="243"/>
      <c r="PQ418" s="243"/>
      <c r="PR418" s="243"/>
      <c r="PS418" s="243"/>
      <c r="PT418" s="243"/>
      <c r="PU418" s="243"/>
      <c r="PV418" s="243"/>
      <c r="PW418" s="243"/>
      <c r="PX418" s="243"/>
      <c r="PY418" s="243"/>
      <c r="PZ418" s="243"/>
      <c r="QA418" s="243"/>
      <c r="QB418" s="243"/>
      <c r="QC418" s="243"/>
      <c r="QD418" s="243"/>
      <c r="QE418" s="243"/>
      <c r="QF418" s="243"/>
      <c r="QG418" s="243"/>
      <c r="QH418" s="243"/>
      <c r="QI418" s="243"/>
      <c r="QJ418" s="243"/>
      <c r="QK418" s="243"/>
      <c r="QL418" s="243"/>
      <c r="QM418" s="243"/>
      <c r="QN418" s="243"/>
      <c r="QO418" s="243"/>
      <c r="QP418" s="243"/>
      <c r="QQ418" s="243"/>
      <c r="QR418" s="243"/>
      <c r="QS418" s="243"/>
      <c r="QT418" s="243"/>
      <c r="QU418" s="243"/>
      <c r="QV418" s="243"/>
      <c r="QW418" s="243"/>
      <c r="QX418" s="243"/>
      <c r="QY418" s="243"/>
      <c r="QZ418" s="243"/>
      <c r="RA418" s="243"/>
      <c r="RB418" s="243"/>
      <c r="RC418" s="243"/>
      <c r="RD418" s="243"/>
      <c r="RE418" s="243"/>
      <c r="RF418" s="243"/>
      <c r="RG418" s="243"/>
      <c r="RH418" s="243"/>
      <c r="RI418" s="243"/>
      <c r="RJ418" s="243"/>
      <c r="RK418" s="243"/>
      <c r="RL418" s="243"/>
      <c r="RM418" s="243"/>
      <c r="RN418" s="243"/>
      <c r="RO418" s="243"/>
      <c r="RP418" s="243"/>
      <c r="RQ418" s="243"/>
      <c r="RR418" s="243"/>
      <c r="RS418" s="243"/>
      <c r="RT418" s="243"/>
      <c r="RU418" s="243"/>
      <c r="RV418" s="243"/>
      <c r="RW418" s="243"/>
      <c r="RX418" s="243"/>
      <c r="RY418" s="243"/>
      <c r="RZ418" s="243"/>
      <c r="SA418" s="243"/>
      <c r="SB418" s="243"/>
      <c r="SC418" s="243"/>
      <c r="SD418" s="243"/>
      <c r="SE418" s="243"/>
      <c r="SF418" s="243"/>
      <c r="SG418" s="243"/>
      <c r="SH418" s="243"/>
      <c r="SI418" s="243"/>
      <c r="SJ418" s="243"/>
      <c r="SK418" s="243"/>
      <c r="SL418" s="243"/>
      <c r="SM418" s="243"/>
      <c r="SN418" s="243"/>
      <c r="SO418" s="243"/>
      <c r="SP418" s="243"/>
      <c r="SQ418" s="243"/>
      <c r="SR418" s="243"/>
      <c r="SS418" s="243"/>
      <c r="ST418" s="243"/>
      <c r="SU418" s="243"/>
      <c r="SV418" s="243"/>
      <c r="SW418" s="243"/>
      <c r="SX418" s="243"/>
      <c r="SY418" s="243"/>
      <c r="SZ418" s="243"/>
      <c r="TA418" s="243"/>
      <c r="TB418" s="243"/>
      <c r="TC418" s="243"/>
      <c r="TD418" s="243"/>
      <c r="TE418" s="243"/>
      <c r="TF418" s="243"/>
      <c r="TG418" s="243"/>
      <c r="TH418" s="243"/>
      <c r="TI418" s="243"/>
      <c r="TJ418" s="243"/>
      <c r="TK418" s="243"/>
      <c r="TL418" s="243"/>
      <c r="TM418" s="243"/>
      <c r="TN418" s="243"/>
      <c r="TO418" s="243"/>
      <c r="TP418" s="243"/>
      <c r="TQ418" s="243"/>
      <c r="TR418" s="243"/>
      <c r="TS418" s="243"/>
      <c r="TT418" s="243"/>
      <c r="TU418" s="243"/>
      <c r="TV418" s="243"/>
      <c r="TW418" s="243"/>
      <c r="TX418" s="243"/>
      <c r="TY418" s="243"/>
      <c r="TZ418" s="243"/>
      <c r="UA418" s="243"/>
      <c r="UB418" s="243"/>
      <c r="UC418" s="243"/>
      <c r="UD418" s="243"/>
      <c r="UE418" s="243"/>
      <c r="UF418" s="243"/>
      <c r="UG418" s="243"/>
      <c r="UH418" s="243"/>
      <c r="UI418" s="243"/>
      <c r="UJ418" s="243"/>
      <c r="UK418" s="243"/>
      <c r="UL418" s="243"/>
      <c r="UM418" s="243"/>
      <c r="UN418" s="243"/>
      <c r="UO418" s="243"/>
      <c r="UP418" s="243"/>
      <c r="UQ418" s="243"/>
      <c r="UR418" s="243"/>
      <c r="US418" s="243"/>
      <c r="UT418" s="243"/>
      <c r="UU418" s="243"/>
      <c r="UV418" s="243"/>
      <c r="UW418" s="243"/>
      <c r="UX418" s="243"/>
      <c r="UY418" s="243"/>
      <c r="UZ418" s="243"/>
      <c r="VA418" s="243"/>
      <c r="VB418" s="243"/>
      <c r="VC418" s="243"/>
      <c r="VD418" s="243"/>
      <c r="VE418" s="243"/>
      <c r="VF418" s="243"/>
      <c r="VG418" s="243"/>
      <c r="VH418" s="243"/>
      <c r="VI418" s="243"/>
      <c r="VJ418" s="243"/>
      <c r="VK418" s="243"/>
      <c r="VL418" s="243"/>
      <c r="VM418" s="243"/>
      <c r="VN418" s="243"/>
      <c r="VO418" s="243"/>
      <c r="VP418" s="243"/>
      <c r="VQ418" s="243"/>
      <c r="VR418" s="243"/>
      <c r="VS418" s="243"/>
      <c r="VT418" s="243"/>
      <c r="VU418" s="243"/>
      <c r="VV418" s="243"/>
      <c r="VW418" s="243"/>
      <c r="VX418" s="243"/>
      <c r="VY418" s="243"/>
      <c r="VZ418" s="243"/>
      <c r="WA418" s="243"/>
      <c r="WB418" s="243"/>
      <c r="WC418" s="243"/>
      <c r="WD418" s="243"/>
      <c r="WE418" s="243"/>
      <c r="WF418" s="243"/>
      <c r="WG418" s="243"/>
      <c r="WH418" s="243"/>
      <c r="WI418" s="243"/>
      <c r="WJ418" s="243"/>
      <c r="WK418" s="243"/>
      <c r="WL418" s="243"/>
      <c r="WM418" s="243"/>
      <c r="WN418" s="243"/>
      <c r="WO418" s="243"/>
      <c r="WP418" s="243"/>
      <c r="WQ418" s="243"/>
      <c r="WR418" s="243"/>
      <c r="WS418" s="243"/>
      <c r="WT418" s="243"/>
      <c r="WU418" s="243"/>
      <c r="WV418" s="243"/>
      <c r="WW418" s="243"/>
      <c r="WX418" s="243"/>
      <c r="WY418" s="243"/>
      <c r="WZ418" s="243"/>
      <c r="XA418" s="243"/>
      <c r="XB418" s="243"/>
      <c r="XC418" s="243"/>
      <c r="XD418" s="243"/>
      <c r="XE418" s="243"/>
      <c r="XF418" s="243"/>
      <c r="XG418" s="243"/>
      <c r="XH418" s="243"/>
      <c r="XI418" s="243"/>
      <c r="XJ418" s="243"/>
      <c r="XK418" s="243"/>
      <c r="XL418" s="243"/>
      <c r="XM418" s="243"/>
      <c r="XN418" s="243"/>
      <c r="XO418" s="243"/>
      <c r="XP418" s="243"/>
      <c r="XQ418" s="243"/>
      <c r="XR418" s="243"/>
      <c r="XS418" s="243"/>
      <c r="XT418" s="243"/>
      <c r="XU418" s="243"/>
      <c r="XV418" s="243"/>
      <c r="XW418" s="243"/>
      <c r="XX418" s="243"/>
      <c r="XY418" s="243"/>
      <c r="XZ418" s="243"/>
      <c r="YA418" s="243"/>
      <c r="YB418" s="243"/>
      <c r="YC418" s="243"/>
      <c r="YD418" s="243"/>
      <c r="YE418" s="243"/>
      <c r="YF418" s="243"/>
      <c r="YG418" s="243"/>
      <c r="YH418" s="243"/>
      <c r="YI418" s="243"/>
      <c r="YJ418" s="243"/>
      <c r="YK418" s="243"/>
      <c r="YL418" s="243"/>
      <c r="YM418" s="243"/>
      <c r="YN418" s="243"/>
      <c r="YO418" s="243"/>
      <c r="YP418" s="243"/>
      <c r="YQ418" s="243"/>
      <c r="YR418" s="243"/>
      <c r="YS418" s="243"/>
      <c r="YT418" s="243"/>
      <c r="YU418" s="243"/>
      <c r="YV418" s="243"/>
      <c r="YW418" s="243"/>
      <c r="YX418" s="243"/>
      <c r="YY418" s="243"/>
      <c r="YZ418" s="243"/>
      <c r="ZA418" s="243"/>
      <c r="ZB418" s="243"/>
      <c r="ZC418" s="243"/>
      <c r="ZD418" s="243"/>
      <c r="ZE418" s="243"/>
      <c r="ZF418" s="243"/>
      <c r="ZG418" s="243"/>
      <c r="ZH418" s="243"/>
      <c r="ZI418" s="243"/>
      <c r="ZJ418" s="243"/>
      <c r="ZK418" s="243"/>
      <c r="ZL418" s="243"/>
      <c r="ZM418" s="243"/>
      <c r="ZN418" s="243"/>
      <c r="ZO418" s="243"/>
      <c r="ZP418" s="243"/>
      <c r="ZQ418" s="243"/>
      <c r="ZR418" s="243"/>
      <c r="ZS418" s="243"/>
      <c r="ZT418" s="243"/>
      <c r="ZU418" s="243"/>
      <c r="ZV418" s="243"/>
      <c r="ZW418" s="243"/>
      <c r="ZX418" s="243"/>
      <c r="ZY418" s="243"/>
      <c r="ZZ418" s="243"/>
      <c r="AAA418" s="243"/>
      <c r="AAB418" s="243"/>
      <c r="AAC418" s="243"/>
      <c r="AAD418" s="243"/>
      <c r="AAE418" s="243"/>
      <c r="AAF418" s="243"/>
      <c r="AAG418" s="243"/>
      <c r="AAH418" s="243"/>
      <c r="AAI418" s="243"/>
      <c r="AAJ418" s="243"/>
      <c r="AAK418" s="243"/>
      <c r="AAL418" s="243"/>
      <c r="AAM418" s="243"/>
      <c r="AAN418" s="243"/>
      <c r="AAO418" s="243"/>
      <c r="AAP418" s="243"/>
      <c r="AAQ418" s="243"/>
      <c r="AAR418" s="243"/>
      <c r="AAS418" s="243"/>
      <c r="AAT418" s="243"/>
      <c r="AAU418" s="243"/>
      <c r="AAV418" s="243"/>
      <c r="AAW418" s="243"/>
      <c r="AAX418" s="243"/>
      <c r="AAY418" s="243"/>
      <c r="AAZ418" s="243"/>
      <c r="ABA418" s="243"/>
      <c r="ABB418" s="243"/>
      <c r="ABC418" s="243"/>
      <c r="ABD418" s="243"/>
      <c r="ABE418" s="243"/>
      <c r="ABF418" s="243"/>
      <c r="ABG418" s="243"/>
      <c r="ABH418" s="243"/>
      <c r="ABI418" s="243"/>
      <c r="ABJ418" s="243"/>
      <c r="ABK418" s="243"/>
      <c r="ABL418" s="243"/>
      <c r="ABM418" s="243"/>
      <c r="ABN418" s="243"/>
      <c r="ABO418" s="243"/>
      <c r="ABP418" s="243"/>
      <c r="ABQ418" s="243"/>
      <c r="ABR418" s="243"/>
      <c r="ABS418" s="243"/>
      <c r="ABT418" s="243"/>
      <c r="ABU418" s="243"/>
      <c r="ABV418" s="243"/>
      <c r="ABW418" s="243"/>
      <c r="ABX418" s="243"/>
      <c r="ABY418" s="243"/>
      <c r="ABZ418" s="243"/>
      <c r="ACA418" s="243"/>
      <c r="ACB418" s="243"/>
      <c r="ACC418" s="243"/>
      <c r="ACD418" s="243"/>
      <c r="ACE418" s="243"/>
      <c r="ACF418" s="243"/>
      <c r="ACG418" s="243"/>
      <c r="ACH418" s="243"/>
      <c r="ACI418" s="243"/>
      <c r="ACJ418" s="243"/>
      <c r="ACK418" s="243"/>
      <c r="ACL418" s="243"/>
      <c r="ACM418" s="243"/>
      <c r="ACN418" s="243"/>
      <c r="ACO418" s="243"/>
      <c r="ACP418" s="243"/>
      <c r="ACQ418" s="243"/>
      <c r="ACR418" s="243"/>
      <c r="ACS418" s="243"/>
      <c r="ACT418" s="243"/>
      <c r="ACU418" s="243"/>
      <c r="ACV418" s="243"/>
      <c r="ACW418" s="243"/>
      <c r="ACX418" s="243"/>
      <c r="ACY418" s="243"/>
      <c r="ACZ418" s="243"/>
      <c r="ADA418" s="243"/>
      <c r="ADB418" s="243"/>
      <c r="ADC418" s="243"/>
      <c r="ADD418" s="243"/>
      <c r="ADE418" s="243"/>
      <c r="ADF418" s="243"/>
      <c r="ADG418" s="243"/>
      <c r="ADH418" s="243"/>
      <c r="ADI418" s="243"/>
      <c r="ADJ418" s="243"/>
      <c r="ADK418" s="243"/>
      <c r="ADL418" s="243"/>
      <c r="ADM418" s="243"/>
      <c r="ADN418" s="243"/>
      <c r="ADO418" s="243"/>
      <c r="ADP418" s="243"/>
      <c r="ADQ418" s="243"/>
      <c r="ADR418" s="243"/>
      <c r="ADS418" s="243"/>
      <c r="ADT418" s="243"/>
      <c r="ADU418" s="243"/>
      <c r="ADV418" s="243"/>
      <c r="ADW418" s="243"/>
      <c r="ADX418" s="243"/>
      <c r="ADY418" s="243"/>
      <c r="ADZ418" s="243"/>
      <c r="AEA418" s="243"/>
      <c r="AEB418" s="243"/>
      <c r="AEC418" s="243"/>
      <c r="AED418" s="243"/>
      <c r="AEE418" s="243"/>
      <c r="AEF418" s="243"/>
      <c r="AEG418" s="243"/>
      <c r="AEH418" s="243"/>
      <c r="AEI418" s="243"/>
      <c r="AEJ418" s="243"/>
      <c r="AEK418" s="243"/>
      <c r="AEL418" s="243"/>
      <c r="AEM418" s="243"/>
      <c r="AEN418" s="243"/>
      <c r="AEO418" s="243"/>
      <c r="AEP418" s="243"/>
      <c r="AEQ418" s="243"/>
      <c r="AER418" s="243"/>
      <c r="AES418" s="243"/>
      <c r="AET418" s="243"/>
      <c r="AEU418" s="243"/>
      <c r="AEV418" s="243"/>
      <c r="AEW418" s="243"/>
      <c r="AEX418" s="243"/>
      <c r="AEY418" s="243"/>
      <c r="AEZ418" s="243"/>
      <c r="AFA418" s="243"/>
      <c r="AFB418" s="243"/>
      <c r="AFC418" s="243"/>
      <c r="AFD418" s="243"/>
      <c r="AFE418" s="243"/>
      <c r="AFF418" s="243"/>
      <c r="AFG418" s="243"/>
      <c r="AFH418" s="243"/>
      <c r="AFI418" s="243"/>
      <c r="AFJ418" s="243"/>
      <c r="AFK418" s="243"/>
      <c r="AFL418" s="243"/>
      <c r="AFM418" s="243"/>
      <c r="AFN418" s="243"/>
      <c r="AFO418" s="243"/>
      <c r="AFP418" s="243"/>
      <c r="AFQ418" s="243"/>
      <c r="AFR418" s="243"/>
      <c r="AFS418" s="243"/>
      <c r="AFT418" s="243"/>
      <c r="AFU418" s="243"/>
      <c r="AFV418" s="243"/>
      <c r="AFW418" s="243"/>
      <c r="AFX418" s="243"/>
      <c r="AFY418" s="243"/>
      <c r="AFZ418" s="243"/>
      <c r="AGA418" s="243"/>
      <c r="AGB418" s="243"/>
      <c r="AGC418" s="243"/>
      <c r="AGD418" s="243"/>
      <c r="AGE418" s="243"/>
      <c r="AGF418" s="243"/>
      <c r="AGG418" s="243"/>
      <c r="AGH418" s="243"/>
      <c r="AGI418" s="243"/>
      <c r="AGJ418" s="243"/>
      <c r="AGK418" s="243"/>
      <c r="AGL418" s="243"/>
      <c r="AGM418" s="243"/>
      <c r="AGN418" s="243"/>
      <c r="AGO418" s="243"/>
      <c r="AGP418" s="243"/>
      <c r="AGQ418" s="243"/>
      <c r="AGR418" s="243"/>
      <c r="AGS418" s="243"/>
      <c r="AGT418" s="243"/>
      <c r="AGU418" s="243"/>
      <c r="AGV418" s="243"/>
      <c r="AGW418" s="243"/>
      <c r="AGX418" s="243"/>
      <c r="AGY418" s="243"/>
      <c r="AGZ418" s="243"/>
      <c r="AHA418" s="243"/>
      <c r="AHB418" s="243"/>
      <c r="AHC418" s="243"/>
      <c r="AHD418" s="243"/>
      <c r="AHE418" s="243"/>
      <c r="AHF418" s="243"/>
      <c r="AHG418" s="243"/>
      <c r="AHH418" s="243"/>
      <c r="AHI418" s="243"/>
      <c r="AHJ418" s="243"/>
      <c r="AHK418" s="243"/>
      <c r="AHL418" s="243"/>
      <c r="AHM418" s="243"/>
      <c r="AHN418" s="243"/>
      <c r="AHO418" s="243"/>
      <c r="AHP418" s="243"/>
      <c r="AHQ418" s="243"/>
      <c r="AHR418" s="243"/>
      <c r="AHS418" s="243"/>
      <c r="AHT418" s="243"/>
      <c r="AHU418" s="243"/>
      <c r="AHV418" s="243"/>
      <c r="AHW418" s="243"/>
      <c r="AHX418" s="243"/>
      <c r="AHY418" s="243"/>
      <c r="AHZ418" s="243"/>
      <c r="AIA418" s="243"/>
      <c r="AIB418" s="243"/>
      <c r="AIC418" s="243"/>
      <c r="AID418" s="243"/>
      <c r="AIE418" s="243"/>
      <c r="AIF418" s="243"/>
      <c r="AIG418" s="243"/>
      <c r="AIH418" s="243"/>
      <c r="AII418" s="243"/>
      <c r="AIJ418" s="243"/>
      <c r="AIK418" s="243"/>
      <c r="AIL418" s="243"/>
      <c r="AIM418" s="243"/>
      <c r="AIN418" s="243"/>
      <c r="AIO418" s="243"/>
      <c r="AIP418" s="243"/>
      <c r="AIQ418" s="243"/>
      <c r="AIR418" s="243"/>
      <c r="AIS418" s="243"/>
      <c r="AIT418" s="243"/>
      <c r="AIU418" s="243"/>
      <c r="AIV418" s="243"/>
      <c r="AIW418" s="243"/>
      <c r="AIX418" s="243"/>
      <c r="AIY418" s="243"/>
      <c r="AIZ418" s="243"/>
      <c r="AJA418" s="243"/>
      <c r="AJB418" s="243"/>
      <c r="AJC418" s="243"/>
      <c r="AJD418" s="243"/>
      <c r="AJE418" s="243"/>
      <c r="AJF418" s="243"/>
      <c r="AJG418" s="243"/>
      <c r="AJH418" s="243"/>
      <c r="AJI418" s="243"/>
      <c r="AJJ418" s="243"/>
      <c r="AJK418" s="243"/>
      <c r="AJL418" s="243"/>
      <c r="AJM418" s="243"/>
      <c r="AJN418" s="243"/>
      <c r="AJO418" s="243"/>
      <c r="AJP418" s="243"/>
      <c r="AJQ418" s="243"/>
      <c r="AJR418" s="243"/>
      <c r="AJS418" s="243"/>
      <c r="AJT418" s="243"/>
      <c r="AJU418" s="243"/>
      <c r="AJV418" s="243"/>
      <c r="AJW418" s="243"/>
      <c r="AJX418" s="243"/>
      <c r="AJY418" s="243"/>
      <c r="AJZ418" s="243"/>
      <c r="AKA418" s="243"/>
      <c r="AKB418" s="243"/>
      <c r="AKC418" s="243"/>
      <c r="AKD418" s="243"/>
      <c r="AKE418" s="243"/>
      <c r="AKF418" s="243"/>
      <c r="AKG418" s="243"/>
      <c r="AKH418" s="243"/>
      <c r="AKI418" s="243"/>
      <c r="AKJ418" s="243"/>
      <c r="AKK418" s="243"/>
      <c r="AKL418" s="243"/>
      <c r="AKM418" s="243"/>
      <c r="AKN418" s="243"/>
      <c r="AKO418" s="243"/>
      <c r="AKP418" s="243"/>
      <c r="AKQ418" s="243"/>
      <c r="AKR418" s="243"/>
      <c r="AKS418" s="243"/>
      <c r="AKT418" s="243"/>
      <c r="AKU418" s="243"/>
      <c r="AKV418" s="243"/>
      <c r="AKW418" s="243"/>
      <c r="AKX418" s="243"/>
      <c r="AKY418" s="243"/>
      <c r="AKZ418" s="243"/>
      <c r="ALA418" s="243"/>
      <c r="ALB418" s="243"/>
      <c r="ALC418" s="243"/>
      <c r="ALD418" s="243"/>
      <c r="ALE418" s="243"/>
      <c r="ALF418" s="243"/>
      <c r="ALG418" s="243"/>
      <c r="ALH418" s="243"/>
      <c r="ALI418" s="243"/>
      <c r="ALJ418" s="243"/>
      <c r="ALK418" s="243"/>
      <c r="ALL418" s="243"/>
      <c r="ALM418" s="243"/>
      <c r="ALN418" s="243"/>
      <c r="ALO418" s="243"/>
      <c r="ALP418" s="243"/>
      <c r="ALQ418" s="243"/>
      <c r="ALR418" s="243"/>
      <c r="ALS418" s="243"/>
      <c r="ALT418" s="243"/>
      <c r="ALU418" s="243"/>
      <c r="ALV418" s="243"/>
      <c r="ALW418" s="243"/>
      <c r="ALX418" s="243"/>
      <c r="ALY418" s="243"/>
      <c r="ALZ418" s="243"/>
      <c r="AMA418" s="243"/>
      <c r="AMB418" s="243"/>
      <c r="AMC418" s="243"/>
      <c r="AMD418" s="243"/>
      <c r="AME418" s="243"/>
      <c r="AMF418" s="243"/>
      <c r="AMG418" s="243"/>
      <c r="AMH418" s="243"/>
      <c r="AMI418" s="244"/>
      <c r="AMJ418" s="244"/>
    </row>
    <row r="419" spans="1:1024">
      <c r="A419" s="901"/>
      <c r="B419" s="551">
        <v>14780</v>
      </c>
      <c r="C419" s="690">
        <v>0.1</v>
      </c>
      <c r="D419" s="691" t="s">
        <v>281</v>
      </c>
      <c r="E419" s="620">
        <v>4200000</v>
      </c>
      <c r="F419" s="601">
        <v>0.05</v>
      </c>
      <c r="G419" s="364">
        <f t="shared" si="17"/>
        <v>210000</v>
      </c>
      <c r="H419" s="599" t="s">
        <v>149</v>
      </c>
      <c r="I419" s="604"/>
      <c r="J419" s="604"/>
      <c r="K419" s="712"/>
      <c r="L419" s="712"/>
      <c r="M419" s="713"/>
      <c r="N419" s="733"/>
      <c r="O419" s="714"/>
      <c r="P419" s="734"/>
      <c r="Q419" s="716"/>
      <c r="R419" s="243"/>
      <c r="S419" s="243"/>
      <c r="T419" s="243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3"/>
      <c r="AG419" s="243"/>
      <c r="AH419" s="243"/>
      <c r="AI419" s="243"/>
      <c r="AJ419" s="243"/>
      <c r="AK419" s="243"/>
      <c r="AL419" s="243"/>
      <c r="AM419" s="243"/>
      <c r="AN419" s="243"/>
      <c r="AO419" s="243"/>
      <c r="AP419" s="243"/>
      <c r="AQ419" s="243"/>
      <c r="AR419" s="243"/>
      <c r="AS419" s="243"/>
      <c r="AT419" s="243"/>
      <c r="AU419" s="243"/>
      <c r="AV419" s="243"/>
      <c r="AW419" s="243"/>
      <c r="AX419" s="243"/>
      <c r="AY419" s="243"/>
      <c r="AZ419" s="243"/>
      <c r="BA419" s="243"/>
      <c r="BB419" s="243"/>
      <c r="BC419" s="243"/>
      <c r="BD419" s="243"/>
      <c r="BE419" s="243"/>
      <c r="BF419" s="243"/>
      <c r="BG419" s="243"/>
      <c r="BH419" s="243"/>
      <c r="BI419" s="243"/>
      <c r="BJ419" s="243"/>
      <c r="BK419" s="243"/>
      <c r="BL419" s="243"/>
      <c r="BM419" s="243"/>
      <c r="BN419" s="243"/>
      <c r="BO419" s="243"/>
      <c r="BP419" s="243"/>
      <c r="BQ419" s="243"/>
      <c r="BR419" s="243"/>
      <c r="BS419" s="243"/>
      <c r="BT419" s="243"/>
      <c r="BU419" s="243"/>
      <c r="BV419" s="243"/>
      <c r="BW419" s="243"/>
      <c r="BX419" s="243"/>
      <c r="BY419" s="243"/>
      <c r="BZ419" s="243"/>
      <c r="CA419" s="243"/>
      <c r="CB419" s="243"/>
      <c r="CC419" s="243"/>
      <c r="CD419" s="243"/>
      <c r="CE419" s="243"/>
      <c r="CF419" s="243"/>
      <c r="CG419" s="243"/>
      <c r="CH419" s="243"/>
      <c r="CI419" s="243"/>
      <c r="CJ419" s="243"/>
      <c r="CK419" s="243"/>
      <c r="CL419" s="243"/>
      <c r="CM419" s="243"/>
      <c r="CN419" s="243"/>
      <c r="CO419" s="243"/>
      <c r="CP419" s="243"/>
      <c r="CQ419" s="243"/>
      <c r="CR419" s="243"/>
      <c r="CS419" s="243"/>
      <c r="CT419" s="243"/>
      <c r="CU419" s="243"/>
      <c r="CV419" s="243"/>
      <c r="CW419" s="243"/>
      <c r="CX419" s="243"/>
      <c r="CY419" s="243"/>
      <c r="CZ419" s="243"/>
      <c r="DA419" s="243"/>
      <c r="DB419" s="243"/>
      <c r="DC419" s="243"/>
      <c r="DD419" s="243"/>
      <c r="DE419" s="243"/>
      <c r="DF419" s="243"/>
      <c r="DG419" s="243"/>
      <c r="DH419" s="243"/>
      <c r="DI419" s="243"/>
      <c r="DJ419" s="243"/>
      <c r="DK419" s="243"/>
      <c r="DL419" s="243"/>
      <c r="DM419" s="243"/>
      <c r="DN419" s="243"/>
      <c r="DO419" s="243"/>
      <c r="DP419" s="243"/>
      <c r="DQ419" s="243"/>
      <c r="DR419" s="243"/>
      <c r="DS419" s="243"/>
      <c r="DT419" s="243"/>
      <c r="DU419" s="243"/>
      <c r="DV419" s="243"/>
      <c r="DW419" s="243"/>
      <c r="DX419" s="243"/>
      <c r="DY419" s="243"/>
      <c r="DZ419" s="243"/>
      <c r="EA419" s="243"/>
      <c r="EB419" s="243"/>
      <c r="EC419" s="243"/>
      <c r="ED419" s="243"/>
      <c r="EE419" s="243"/>
      <c r="EF419" s="243"/>
      <c r="EG419" s="243"/>
      <c r="EH419" s="243"/>
      <c r="EI419" s="243"/>
      <c r="EJ419" s="243"/>
      <c r="EK419" s="243"/>
      <c r="EL419" s="243"/>
      <c r="EM419" s="243"/>
      <c r="EN419" s="243"/>
      <c r="EO419" s="243"/>
      <c r="EP419" s="243"/>
      <c r="EQ419" s="243"/>
      <c r="ER419" s="243"/>
      <c r="ES419" s="243"/>
      <c r="ET419" s="243"/>
      <c r="EU419" s="243"/>
      <c r="EV419" s="243"/>
      <c r="EW419" s="243"/>
      <c r="EX419" s="243"/>
      <c r="EY419" s="243"/>
      <c r="EZ419" s="243"/>
      <c r="FA419" s="243"/>
      <c r="FB419" s="243"/>
      <c r="FC419" s="243"/>
      <c r="FD419" s="243"/>
      <c r="FE419" s="243"/>
      <c r="FF419" s="243"/>
      <c r="FG419" s="243"/>
      <c r="FH419" s="243"/>
      <c r="FI419" s="243"/>
      <c r="FJ419" s="243"/>
      <c r="FK419" s="243"/>
      <c r="FL419" s="243"/>
      <c r="FM419" s="243"/>
      <c r="FN419" s="243"/>
      <c r="FO419" s="243"/>
      <c r="FP419" s="243"/>
      <c r="FQ419" s="243"/>
      <c r="FR419" s="243"/>
      <c r="FS419" s="243"/>
      <c r="FT419" s="243"/>
      <c r="FU419" s="243"/>
      <c r="FV419" s="243"/>
      <c r="FW419" s="243"/>
      <c r="FX419" s="243"/>
      <c r="FY419" s="243"/>
      <c r="FZ419" s="243"/>
      <c r="GA419" s="243"/>
      <c r="GB419" s="243"/>
      <c r="GC419" s="243"/>
      <c r="GD419" s="243"/>
      <c r="GE419" s="243"/>
      <c r="GF419" s="243"/>
      <c r="GG419" s="243"/>
      <c r="GH419" s="243"/>
      <c r="GI419" s="243"/>
      <c r="GJ419" s="243"/>
      <c r="GK419" s="243"/>
      <c r="GL419" s="243"/>
      <c r="GM419" s="243"/>
      <c r="GN419" s="243"/>
      <c r="GO419" s="243"/>
      <c r="GP419" s="243"/>
      <c r="GQ419" s="243"/>
      <c r="GR419" s="243"/>
      <c r="GS419" s="243"/>
      <c r="GT419" s="243"/>
      <c r="GU419" s="243"/>
      <c r="GV419" s="243"/>
      <c r="GW419" s="243"/>
      <c r="GX419" s="243"/>
      <c r="GY419" s="243"/>
      <c r="GZ419" s="243"/>
      <c r="HA419" s="243"/>
      <c r="HB419" s="243"/>
      <c r="HC419" s="243"/>
      <c r="HD419" s="243"/>
      <c r="HE419" s="243"/>
      <c r="HF419" s="243"/>
      <c r="HG419" s="243"/>
      <c r="HH419" s="243"/>
      <c r="HI419" s="243"/>
      <c r="HJ419" s="243"/>
      <c r="HK419" s="243"/>
      <c r="HL419" s="243"/>
      <c r="HM419" s="243"/>
      <c r="HN419" s="243"/>
      <c r="HO419" s="243"/>
      <c r="HP419" s="243"/>
      <c r="HQ419" s="243"/>
      <c r="HR419" s="243"/>
      <c r="HS419" s="243"/>
      <c r="HT419" s="243"/>
      <c r="HU419" s="243"/>
      <c r="HV419" s="243"/>
      <c r="HW419" s="243"/>
      <c r="HX419" s="243"/>
      <c r="HY419" s="243"/>
      <c r="HZ419" s="243"/>
      <c r="IA419" s="243"/>
      <c r="IB419" s="243"/>
      <c r="IC419" s="243"/>
      <c r="ID419" s="243"/>
      <c r="IE419" s="243"/>
      <c r="IF419" s="243"/>
      <c r="IG419" s="243"/>
      <c r="IH419" s="243"/>
      <c r="II419" s="243"/>
      <c r="IJ419" s="243"/>
      <c r="IK419" s="243"/>
      <c r="IL419" s="243"/>
      <c r="IM419" s="243"/>
      <c r="IN419" s="243"/>
      <c r="IO419" s="243"/>
      <c r="IP419" s="243"/>
      <c r="IQ419" s="243"/>
      <c r="IR419" s="243"/>
      <c r="IS419" s="243"/>
      <c r="IT419" s="243"/>
      <c r="IU419" s="243"/>
      <c r="IV419" s="243"/>
      <c r="IW419" s="243"/>
      <c r="IX419" s="243"/>
      <c r="IY419" s="243"/>
      <c r="IZ419" s="243"/>
      <c r="JA419" s="243"/>
      <c r="JB419" s="243"/>
      <c r="JC419" s="243"/>
      <c r="JD419" s="243"/>
      <c r="JE419" s="243"/>
      <c r="JF419" s="243"/>
      <c r="JG419" s="243"/>
      <c r="JH419" s="243"/>
      <c r="JI419" s="243"/>
      <c r="JJ419" s="243"/>
      <c r="JK419" s="243"/>
      <c r="JL419" s="243"/>
      <c r="JM419" s="243"/>
      <c r="JN419" s="243"/>
      <c r="JO419" s="243"/>
      <c r="JP419" s="243"/>
      <c r="JQ419" s="243"/>
      <c r="JR419" s="243"/>
      <c r="JS419" s="243"/>
      <c r="JT419" s="243"/>
      <c r="JU419" s="243"/>
      <c r="JV419" s="243"/>
      <c r="JW419" s="243"/>
      <c r="JX419" s="243"/>
      <c r="JY419" s="243"/>
      <c r="JZ419" s="243"/>
      <c r="KA419" s="243"/>
      <c r="KB419" s="243"/>
      <c r="KC419" s="243"/>
      <c r="KD419" s="243"/>
      <c r="KE419" s="243"/>
      <c r="KF419" s="243"/>
      <c r="KG419" s="243"/>
      <c r="KH419" s="243"/>
      <c r="KI419" s="243"/>
      <c r="KJ419" s="243"/>
      <c r="KK419" s="243"/>
      <c r="KL419" s="243"/>
      <c r="KM419" s="243"/>
      <c r="KN419" s="243"/>
      <c r="KO419" s="243"/>
      <c r="KP419" s="243"/>
      <c r="KQ419" s="243"/>
      <c r="KR419" s="243"/>
      <c r="KS419" s="243"/>
      <c r="KT419" s="243"/>
      <c r="KU419" s="243"/>
      <c r="KV419" s="243"/>
      <c r="KW419" s="243"/>
      <c r="KX419" s="243"/>
      <c r="KY419" s="243"/>
      <c r="KZ419" s="243"/>
      <c r="LA419" s="243"/>
      <c r="LB419" s="243"/>
      <c r="LC419" s="243"/>
      <c r="LD419" s="243"/>
      <c r="LE419" s="243"/>
      <c r="LF419" s="243"/>
      <c r="LG419" s="243"/>
      <c r="LH419" s="243"/>
      <c r="LI419" s="243"/>
      <c r="LJ419" s="243"/>
      <c r="LK419" s="243"/>
      <c r="LL419" s="243"/>
      <c r="LM419" s="243"/>
      <c r="LN419" s="243"/>
      <c r="LO419" s="243"/>
      <c r="LP419" s="243"/>
      <c r="LQ419" s="243"/>
      <c r="LR419" s="243"/>
      <c r="LS419" s="243"/>
      <c r="LT419" s="243"/>
      <c r="LU419" s="243"/>
      <c r="LV419" s="243"/>
      <c r="LW419" s="243"/>
      <c r="LX419" s="243"/>
      <c r="LY419" s="243"/>
      <c r="LZ419" s="243"/>
      <c r="MA419" s="243"/>
      <c r="MB419" s="243"/>
      <c r="MC419" s="243"/>
      <c r="MD419" s="243"/>
      <c r="ME419" s="243"/>
      <c r="MF419" s="243"/>
      <c r="MG419" s="243"/>
      <c r="MH419" s="243"/>
      <c r="MI419" s="243"/>
      <c r="MJ419" s="243"/>
      <c r="MK419" s="243"/>
      <c r="ML419" s="243"/>
      <c r="MM419" s="243"/>
      <c r="MN419" s="243"/>
      <c r="MO419" s="243"/>
      <c r="MP419" s="243"/>
      <c r="MQ419" s="243"/>
      <c r="MR419" s="243"/>
      <c r="MS419" s="243"/>
      <c r="MT419" s="243"/>
      <c r="MU419" s="243"/>
      <c r="MV419" s="243"/>
      <c r="MW419" s="243"/>
      <c r="MX419" s="243"/>
      <c r="MY419" s="243"/>
      <c r="MZ419" s="243"/>
      <c r="NA419" s="243"/>
      <c r="NB419" s="243"/>
      <c r="NC419" s="243"/>
      <c r="ND419" s="243"/>
      <c r="NE419" s="243"/>
      <c r="NF419" s="243"/>
      <c r="NG419" s="243"/>
      <c r="NH419" s="243"/>
      <c r="NI419" s="243"/>
      <c r="NJ419" s="243"/>
      <c r="NK419" s="243"/>
      <c r="NL419" s="243"/>
      <c r="NM419" s="243"/>
      <c r="NN419" s="243"/>
      <c r="NO419" s="243"/>
      <c r="NP419" s="243"/>
      <c r="NQ419" s="243"/>
      <c r="NR419" s="243"/>
      <c r="NS419" s="243"/>
      <c r="NT419" s="243"/>
      <c r="NU419" s="243"/>
      <c r="NV419" s="243"/>
      <c r="NW419" s="243"/>
      <c r="NX419" s="243"/>
      <c r="NY419" s="243"/>
      <c r="NZ419" s="243"/>
      <c r="OA419" s="243"/>
      <c r="OB419" s="243"/>
      <c r="OC419" s="243"/>
      <c r="OD419" s="243"/>
      <c r="OE419" s="243"/>
      <c r="OF419" s="243"/>
      <c r="OG419" s="243"/>
      <c r="OH419" s="243"/>
      <c r="OI419" s="243"/>
      <c r="OJ419" s="243"/>
      <c r="OK419" s="243"/>
      <c r="OL419" s="243"/>
      <c r="OM419" s="243"/>
      <c r="ON419" s="243"/>
      <c r="OO419" s="243"/>
      <c r="OP419" s="243"/>
      <c r="OQ419" s="243"/>
      <c r="OR419" s="243"/>
      <c r="OS419" s="243"/>
      <c r="OT419" s="243"/>
      <c r="OU419" s="243"/>
      <c r="OV419" s="243"/>
      <c r="OW419" s="243"/>
      <c r="OX419" s="243"/>
      <c r="OY419" s="243"/>
      <c r="OZ419" s="243"/>
      <c r="PA419" s="243"/>
      <c r="PB419" s="243"/>
      <c r="PC419" s="243"/>
      <c r="PD419" s="243"/>
      <c r="PE419" s="243"/>
      <c r="PF419" s="243"/>
      <c r="PG419" s="243"/>
      <c r="PH419" s="243"/>
      <c r="PI419" s="243"/>
      <c r="PJ419" s="243"/>
      <c r="PK419" s="243"/>
      <c r="PL419" s="243"/>
      <c r="PM419" s="243"/>
      <c r="PN419" s="243"/>
      <c r="PO419" s="243"/>
      <c r="PP419" s="243"/>
      <c r="PQ419" s="243"/>
      <c r="PR419" s="243"/>
      <c r="PS419" s="243"/>
      <c r="PT419" s="243"/>
      <c r="PU419" s="243"/>
      <c r="PV419" s="243"/>
      <c r="PW419" s="243"/>
      <c r="PX419" s="243"/>
      <c r="PY419" s="243"/>
      <c r="PZ419" s="243"/>
      <c r="QA419" s="243"/>
      <c r="QB419" s="243"/>
      <c r="QC419" s="243"/>
      <c r="QD419" s="243"/>
      <c r="QE419" s="243"/>
      <c r="QF419" s="243"/>
      <c r="QG419" s="243"/>
      <c r="QH419" s="243"/>
      <c r="QI419" s="243"/>
      <c r="QJ419" s="243"/>
      <c r="QK419" s="243"/>
      <c r="QL419" s="243"/>
      <c r="QM419" s="243"/>
      <c r="QN419" s="243"/>
      <c r="QO419" s="243"/>
      <c r="QP419" s="243"/>
      <c r="QQ419" s="243"/>
      <c r="QR419" s="243"/>
      <c r="QS419" s="243"/>
      <c r="QT419" s="243"/>
      <c r="QU419" s="243"/>
      <c r="QV419" s="243"/>
      <c r="QW419" s="243"/>
      <c r="QX419" s="243"/>
      <c r="QY419" s="243"/>
      <c r="QZ419" s="243"/>
      <c r="RA419" s="243"/>
      <c r="RB419" s="243"/>
      <c r="RC419" s="243"/>
      <c r="RD419" s="243"/>
      <c r="RE419" s="243"/>
      <c r="RF419" s="243"/>
      <c r="RG419" s="243"/>
      <c r="RH419" s="243"/>
      <c r="RI419" s="243"/>
      <c r="RJ419" s="243"/>
      <c r="RK419" s="243"/>
      <c r="RL419" s="243"/>
      <c r="RM419" s="243"/>
      <c r="RN419" s="243"/>
      <c r="RO419" s="243"/>
      <c r="RP419" s="243"/>
      <c r="RQ419" s="243"/>
      <c r="RR419" s="243"/>
      <c r="RS419" s="243"/>
      <c r="RT419" s="243"/>
      <c r="RU419" s="243"/>
      <c r="RV419" s="243"/>
      <c r="RW419" s="243"/>
      <c r="RX419" s="243"/>
      <c r="RY419" s="243"/>
      <c r="RZ419" s="243"/>
      <c r="SA419" s="243"/>
      <c r="SB419" s="243"/>
      <c r="SC419" s="243"/>
      <c r="SD419" s="243"/>
      <c r="SE419" s="243"/>
      <c r="SF419" s="243"/>
      <c r="SG419" s="243"/>
      <c r="SH419" s="243"/>
      <c r="SI419" s="243"/>
      <c r="SJ419" s="243"/>
      <c r="SK419" s="243"/>
      <c r="SL419" s="243"/>
      <c r="SM419" s="243"/>
      <c r="SN419" s="243"/>
      <c r="SO419" s="243"/>
      <c r="SP419" s="243"/>
      <c r="SQ419" s="243"/>
      <c r="SR419" s="243"/>
      <c r="SS419" s="243"/>
      <c r="ST419" s="243"/>
      <c r="SU419" s="243"/>
      <c r="SV419" s="243"/>
      <c r="SW419" s="243"/>
      <c r="SX419" s="243"/>
      <c r="SY419" s="243"/>
      <c r="SZ419" s="243"/>
      <c r="TA419" s="243"/>
      <c r="TB419" s="243"/>
      <c r="TC419" s="243"/>
      <c r="TD419" s="243"/>
      <c r="TE419" s="243"/>
      <c r="TF419" s="243"/>
      <c r="TG419" s="243"/>
      <c r="TH419" s="243"/>
      <c r="TI419" s="243"/>
      <c r="TJ419" s="243"/>
      <c r="TK419" s="243"/>
      <c r="TL419" s="243"/>
      <c r="TM419" s="243"/>
      <c r="TN419" s="243"/>
      <c r="TO419" s="243"/>
      <c r="TP419" s="243"/>
      <c r="TQ419" s="243"/>
      <c r="TR419" s="243"/>
      <c r="TS419" s="243"/>
      <c r="TT419" s="243"/>
      <c r="TU419" s="243"/>
      <c r="TV419" s="243"/>
      <c r="TW419" s="243"/>
      <c r="TX419" s="243"/>
      <c r="TY419" s="243"/>
      <c r="TZ419" s="243"/>
      <c r="UA419" s="243"/>
      <c r="UB419" s="243"/>
      <c r="UC419" s="243"/>
      <c r="UD419" s="243"/>
      <c r="UE419" s="243"/>
      <c r="UF419" s="243"/>
      <c r="UG419" s="243"/>
      <c r="UH419" s="243"/>
      <c r="UI419" s="243"/>
      <c r="UJ419" s="243"/>
      <c r="UK419" s="243"/>
      <c r="UL419" s="243"/>
      <c r="UM419" s="243"/>
      <c r="UN419" s="243"/>
      <c r="UO419" s="243"/>
      <c r="UP419" s="243"/>
      <c r="UQ419" s="243"/>
      <c r="UR419" s="243"/>
      <c r="US419" s="243"/>
      <c r="UT419" s="243"/>
      <c r="UU419" s="243"/>
      <c r="UV419" s="243"/>
      <c r="UW419" s="243"/>
      <c r="UX419" s="243"/>
      <c r="UY419" s="243"/>
      <c r="UZ419" s="243"/>
      <c r="VA419" s="243"/>
      <c r="VB419" s="243"/>
      <c r="VC419" s="243"/>
      <c r="VD419" s="243"/>
      <c r="VE419" s="243"/>
      <c r="VF419" s="243"/>
      <c r="VG419" s="243"/>
      <c r="VH419" s="243"/>
      <c r="VI419" s="243"/>
      <c r="VJ419" s="243"/>
      <c r="VK419" s="243"/>
      <c r="VL419" s="243"/>
      <c r="VM419" s="243"/>
      <c r="VN419" s="243"/>
      <c r="VO419" s="243"/>
      <c r="VP419" s="243"/>
      <c r="VQ419" s="243"/>
      <c r="VR419" s="243"/>
      <c r="VS419" s="243"/>
      <c r="VT419" s="243"/>
      <c r="VU419" s="243"/>
      <c r="VV419" s="243"/>
      <c r="VW419" s="243"/>
      <c r="VX419" s="243"/>
      <c r="VY419" s="243"/>
      <c r="VZ419" s="243"/>
      <c r="WA419" s="243"/>
      <c r="WB419" s="243"/>
      <c r="WC419" s="243"/>
      <c r="WD419" s="243"/>
      <c r="WE419" s="243"/>
      <c r="WF419" s="243"/>
      <c r="WG419" s="243"/>
      <c r="WH419" s="243"/>
      <c r="WI419" s="243"/>
      <c r="WJ419" s="243"/>
      <c r="WK419" s="243"/>
      <c r="WL419" s="243"/>
      <c r="WM419" s="243"/>
      <c r="WN419" s="243"/>
      <c r="WO419" s="243"/>
      <c r="WP419" s="243"/>
      <c r="WQ419" s="243"/>
      <c r="WR419" s="243"/>
      <c r="WS419" s="243"/>
      <c r="WT419" s="243"/>
      <c r="WU419" s="243"/>
      <c r="WV419" s="243"/>
      <c r="WW419" s="243"/>
      <c r="WX419" s="243"/>
      <c r="WY419" s="243"/>
      <c r="WZ419" s="243"/>
      <c r="XA419" s="243"/>
      <c r="XB419" s="243"/>
      <c r="XC419" s="243"/>
      <c r="XD419" s="243"/>
      <c r="XE419" s="243"/>
      <c r="XF419" s="243"/>
      <c r="XG419" s="243"/>
      <c r="XH419" s="243"/>
      <c r="XI419" s="243"/>
      <c r="XJ419" s="243"/>
      <c r="XK419" s="243"/>
      <c r="XL419" s="243"/>
      <c r="XM419" s="243"/>
      <c r="XN419" s="243"/>
      <c r="XO419" s="243"/>
      <c r="XP419" s="243"/>
      <c r="XQ419" s="243"/>
      <c r="XR419" s="243"/>
      <c r="XS419" s="243"/>
      <c r="XT419" s="243"/>
      <c r="XU419" s="243"/>
      <c r="XV419" s="243"/>
      <c r="XW419" s="243"/>
      <c r="XX419" s="243"/>
      <c r="XY419" s="243"/>
      <c r="XZ419" s="243"/>
      <c r="YA419" s="243"/>
      <c r="YB419" s="243"/>
      <c r="YC419" s="243"/>
      <c r="YD419" s="243"/>
      <c r="YE419" s="243"/>
      <c r="YF419" s="243"/>
      <c r="YG419" s="243"/>
      <c r="YH419" s="243"/>
      <c r="YI419" s="243"/>
      <c r="YJ419" s="243"/>
      <c r="YK419" s="243"/>
      <c r="YL419" s="243"/>
      <c r="YM419" s="243"/>
      <c r="YN419" s="243"/>
      <c r="YO419" s="243"/>
      <c r="YP419" s="243"/>
      <c r="YQ419" s="243"/>
      <c r="YR419" s="243"/>
      <c r="YS419" s="243"/>
      <c r="YT419" s="243"/>
      <c r="YU419" s="243"/>
      <c r="YV419" s="243"/>
      <c r="YW419" s="243"/>
      <c r="YX419" s="243"/>
      <c r="YY419" s="243"/>
      <c r="YZ419" s="243"/>
      <c r="ZA419" s="243"/>
      <c r="ZB419" s="243"/>
      <c r="ZC419" s="243"/>
      <c r="ZD419" s="243"/>
      <c r="ZE419" s="243"/>
      <c r="ZF419" s="243"/>
      <c r="ZG419" s="243"/>
      <c r="ZH419" s="243"/>
      <c r="ZI419" s="243"/>
      <c r="ZJ419" s="243"/>
      <c r="ZK419" s="243"/>
      <c r="ZL419" s="243"/>
      <c r="ZM419" s="243"/>
      <c r="ZN419" s="243"/>
      <c r="ZO419" s="243"/>
      <c r="ZP419" s="243"/>
      <c r="ZQ419" s="243"/>
      <c r="ZR419" s="243"/>
      <c r="ZS419" s="243"/>
      <c r="ZT419" s="243"/>
      <c r="ZU419" s="243"/>
      <c r="ZV419" s="243"/>
      <c r="ZW419" s="243"/>
      <c r="ZX419" s="243"/>
      <c r="ZY419" s="243"/>
      <c r="ZZ419" s="243"/>
      <c r="AAA419" s="243"/>
      <c r="AAB419" s="243"/>
      <c r="AAC419" s="243"/>
      <c r="AAD419" s="243"/>
      <c r="AAE419" s="243"/>
      <c r="AAF419" s="243"/>
      <c r="AAG419" s="243"/>
      <c r="AAH419" s="243"/>
      <c r="AAI419" s="243"/>
      <c r="AAJ419" s="243"/>
      <c r="AAK419" s="243"/>
      <c r="AAL419" s="243"/>
      <c r="AAM419" s="243"/>
      <c r="AAN419" s="243"/>
      <c r="AAO419" s="243"/>
      <c r="AAP419" s="243"/>
      <c r="AAQ419" s="243"/>
      <c r="AAR419" s="243"/>
      <c r="AAS419" s="243"/>
      <c r="AAT419" s="243"/>
      <c r="AAU419" s="243"/>
      <c r="AAV419" s="243"/>
      <c r="AAW419" s="243"/>
      <c r="AAX419" s="243"/>
      <c r="AAY419" s="243"/>
      <c r="AAZ419" s="243"/>
      <c r="ABA419" s="243"/>
      <c r="ABB419" s="243"/>
      <c r="ABC419" s="243"/>
      <c r="ABD419" s="243"/>
      <c r="ABE419" s="243"/>
      <c r="ABF419" s="243"/>
      <c r="ABG419" s="243"/>
      <c r="ABH419" s="243"/>
      <c r="ABI419" s="243"/>
      <c r="ABJ419" s="243"/>
      <c r="ABK419" s="243"/>
      <c r="ABL419" s="243"/>
      <c r="ABM419" s="243"/>
      <c r="ABN419" s="243"/>
      <c r="ABO419" s="243"/>
      <c r="ABP419" s="243"/>
      <c r="ABQ419" s="243"/>
      <c r="ABR419" s="243"/>
      <c r="ABS419" s="243"/>
      <c r="ABT419" s="243"/>
      <c r="ABU419" s="243"/>
      <c r="ABV419" s="243"/>
      <c r="ABW419" s="243"/>
      <c r="ABX419" s="243"/>
      <c r="ABY419" s="243"/>
      <c r="ABZ419" s="243"/>
      <c r="ACA419" s="243"/>
      <c r="ACB419" s="243"/>
      <c r="ACC419" s="243"/>
      <c r="ACD419" s="243"/>
      <c r="ACE419" s="243"/>
      <c r="ACF419" s="243"/>
      <c r="ACG419" s="243"/>
      <c r="ACH419" s="243"/>
      <c r="ACI419" s="243"/>
      <c r="ACJ419" s="243"/>
      <c r="ACK419" s="243"/>
      <c r="ACL419" s="243"/>
      <c r="ACM419" s="243"/>
      <c r="ACN419" s="243"/>
      <c r="ACO419" s="243"/>
      <c r="ACP419" s="243"/>
      <c r="ACQ419" s="243"/>
      <c r="ACR419" s="243"/>
      <c r="ACS419" s="243"/>
      <c r="ACT419" s="243"/>
      <c r="ACU419" s="243"/>
      <c r="ACV419" s="243"/>
      <c r="ACW419" s="243"/>
      <c r="ACX419" s="243"/>
      <c r="ACY419" s="243"/>
      <c r="ACZ419" s="243"/>
      <c r="ADA419" s="243"/>
      <c r="ADB419" s="243"/>
      <c r="ADC419" s="243"/>
      <c r="ADD419" s="243"/>
      <c r="ADE419" s="243"/>
      <c r="ADF419" s="243"/>
      <c r="ADG419" s="243"/>
      <c r="ADH419" s="243"/>
      <c r="ADI419" s="243"/>
      <c r="ADJ419" s="243"/>
      <c r="ADK419" s="243"/>
      <c r="ADL419" s="243"/>
      <c r="ADM419" s="243"/>
      <c r="ADN419" s="243"/>
      <c r="ADO419" s="243"/>
      <c r="ADP419" s="243"/>
      <c r="ADQ419" s="243"/>
      <c r="ADR419" s="243"/>
      <c r="ADS419" s="243"/>
      <c r="ADT419" s="243"/>
      <c r="ADU419" s="243"/>
      <c r="ADV419" s="243"/>
      <c r="ADW419" s="243"/>
      <c r="ADX419" s="243"/>
      <c r="ADY419" s="243"/>
      <c r="ADZ419" s="243"/>
      <c r="AEA419" s="243"/>
      <c r="AEB419" s="243"/>
      <c r="AEC419" s="243"/>
      <c r="AED419" s="243"/>
      <c r="AEE419" s="243"/>
      <c r="AEF419" s="243"/>
      <c r="AEG419" s="243"/>
      <c r="AEH419" s="243"/>
      <c r="AEI419" s="243"/>
      <c r="AEJ419" s="243"/>
      <c r="AEK419" s="243"/>
      <c r="AEL419" s="243"/>
      <c r="AEM419" s="243"/>
      <c r="AEN419" s="243"/>
      <c r="AEO419" s="243"/>
      <c r="AEP419" s="243"/>
      <c r="AEQ419" s="243"/>
      <c r="AER419" s="243"/>
      <c r="AES419" s="243"/>
      <c r="AET419" s="243"/>
      <c r="AEU419" s="243"/>
      <c r="AEV419" s="243"/>
      <c r="AEW419" s="243"/>
      <c r="AEX419" s="243"/>
      <c r="AEY419" s="243"/>
      <c r="AEZ419" s="243"/>
      <c r="AFA419" s="243"/>
      <c r="AFB419" s="243"/>
      <c r="AFC419" s="243"/>
      <c r="AFD419" s="243"/>
      <c r="AFE419" s="243"/>
      <c r="AFF419" s="243"/>
      <c r="AFG419" s="243"/>
      <c r="AFH419" s="243"/>
      <c r="AFI419" s="243"/>
      <c r="AFJ419" s="243"/>
      <c r="AFK419" s="243"/>
      <c r="AFL419" s="243"/>
      <c r="AFM419" s="243"/>
      <c r="AFN419" s="243"/>
      <c r="AFO419" s="243"/>
      <c r="AFP419" s="243"/>
      <c r="AFQ419" s="243"/>
      <c r="AFR419" s="243"/>
      <c r="AFS419" s="243"/>
      <c r="AFT419" s="243"/>
      <c r="AFU419" s="243"/>
      <c r="AFV419" s="243"/>
      <c r="AFW419" s="243"/>
      <c r="AFX419" s="243"/>
      <c r="AFY419" s="243"/>
      <c r="AFZ419" s="243"/>
      <c r="AGA419" s="243"/>
      <c r="AGB419" s="243"/>
      <c r="AGC419" s="243"/>
      <c r="AGD419" s="243"/>
      <c r="AGE419" s="243"/>
      <c r="AGF419" s="243"/>
      <c r="AGG419" s="243"/>
      <c r="AGH419" s="243"/>
      <c r="AGI419" s="243"/>
      <c r="AGJ419" s="243"/>
      <c r="AGK419" s="243"/>
      <c r="AGL419" s="243"/>
      <c r="AGM419" s="243"/>
      <c r="AGN419" s="243"/>
      <c r="AGO419" s="243"/>
      <c r="AGP419" s="243"/>
      <c r="AGQ419" s="243"/>
      <c r="AGR419" s="243"/>
      <c r="AGS419" s="243"/>
      <c r="AGT419" s="243"/>
      <c r="AGU419" s="243"/>
      <c r="AGV419" s="243"/>
      <c r="AGW419" s="243"/>
      <c r="AGX419" s="243"/>
      <c r="AGY419" s="243"/>
      <c r="AGZ419" s="243"/>
      <c r="AHA419" s="243"/>
      <c r="AHB419" s="243"/>
      <c r="AHC419" s="243"/>
      <c r="AHD419" s="243"/>
      <c r="AHE419" s="243"/>
      <c r="AHF419" s="243"/>
      <c r="AHG419" s="243"/>
      <c r="AHH419" s="243"/>
      <c r="AHI419" s="243"/>
      <c r="AHJ419" s="243"/>
      <c r="AHK419" s="243"/>
      <c r="AHL419" s="243"/>
      <c r="AHM419" s="243"/>
      <c r="AHN419" s="243"/>
      <c r="AHO419" s="243"/>
      <c r="AHP419" s="243"/>
      <c r="AHQ419" s="243"/>
      <c r="AHR419" s="243"/>
      <c r="AHS419" s="243"/>
      <c r="AHT419" s="243"/>
      <c r="AHU419" s="243"/>
      <c r="AHV419" s="243"/>
      <c r="AHW419" s="243"/>
      <c r="AHX419" s="243"/>
      <c r="AHY419" s="243"/>
      <c r="AHZ419" s="243"/>
      <c r="AIA419" s="243"/>
      <c r="AIB419" s="243"/>
      <c r="AIC419" s="243"/>
      <c r="AID419" s="243"/>
      <c r="AIE419" s="243"/>
      <c r="AIF419" s="243"/>
      <c r="AIG419" s="243"/>
      <c r="AIH419" s="243"/>
      <c r="AII419" s="243"/>
      <c r="AIJ419" s="243"/>
      <c r="AIK419" s="243"/>
      <c r="AIL419" s="243"/>
      <c r="AIM419" s="243"/>
      <c r="AIN419" s="243"/>
      <c r="AIO419" s="243"/>
      <c r="AIP419" s="243"/>
      <c r="AIQ419" s="243"/>
      <c r="AIR419" s="243"/>
      <c r="AIS419" s="243"/>
      <c r="AIT419" s="243"/>
      <c r="AIU419" s="243"/>
      <c r="AIV419" s="243"/>
      <c r="AIW419" s="243"/>
      <c r="AIX419" s="243"/>
      <c r="AIY419" s="243"/>
      <c r="AIZ419" s="243"/>
      <c r="AJA419" s="243"/>
      <c r="AJB419" s="243"/>
      <c r="AJC419" s="243"/>
      <c r="AJD419" s="243"/>
      <c r="AJE419" s="243"/>
      <c r="AJF419" s="243"/>
      <c r="AJG419" s="243"/>
      <c r="AJH419" s="243"/>
      <c r="AJI419" s="243"/>
      <c r="AJJ419" s="243"/>
      <c r="AJK419" s="243"/>
      <c r="AJL419" s="243"/>
      <c r="AJM419" s="243"/>
      <c r="AJN419" s="243"/>
      <c r="AJO419" s="243"/>
      <c r="AJP419" s="243"/>
      <c r="AJQ419" s="243"/>
      <c r="AJR419" s="243"/>
      <c r="AJS419" s="243"/>
      <c r="AJT419" s="243"/>
      <c r="AJU419" s="243"/>
      <c r="AJV419" s="243"/>
      <c r="AJW419" s="243"/>
      <c r="AJX419" s="243"/>
      <c r="AJY419" s="243"/>
      <c r="AJZ419" s="243"/>
      <c r="AKA419" s="243"/>
      <c r="AKB419" s="243"/>
      <c r="AKC419" s="243"/>
      <c r="AKD419" s="243"/>
      <c r="AKE419" s="243"/>
      <c r="AKF419" s="243"/>
      <c r="AKG419" s="243"/>
      <c r="AKH419" s="243"/>
      <c r="AKI419" s="243"/>
      <c r="AKJ419" s="243"/>
      <c r="AKK419" s="243"/>
      <c r="AKL419" s="243"/>
      <c r="AKM419" s="243"/>
      <c r="AKN419" s="243"/>
      <c r="AKO419" s="243"/>
      <c r="AKP419" s="243"/>
      <c r="AKQ419" s="243"/>
      <c r="AKR419" s="243"/>
      <c r="AKS419" s="243"/>
      <c r="AKT419" s="243"/>
      <c r="AKU419" s="243"/>
      <c r="AKV419" s="243"/>
      <c r="AKW419" s="243"/>
      <c r="AKX419" s="243"/>
      <c r="AKY419" s="243"/>
      <c r="AKZ419" s="243"/>
      <c r="ALA419" s="243"/>
      <c r="ALB419" s="243"/>
      <c r="ALC419" s="243"/>
      <c r="ALD419" s="243"/>
      <c r="ALE419" s="243"/>
      <c r="ALF419" s="243"/>
      <c r="ALG419" s="243"/>
      <c r="ALH419" s="243"/>
      <c r="ALI419" s="243"/>
      <c r="ALJ419" s="243"/>
      <c r="ALK419" s="243"/>
      <c r="ALL419" s="243"/>
      <c r="ALM419" s="243"/>
      <c r="ALN419" s="243"/>
      <c r="ALO419" s="243"/>
      <c r="ALP419" s="243"/>
      <c r="ALQ419" s="243"/>
      <c r="ALR419" s="243"/>
      <c r="ALS419" s="243"/>
      <c r="ALT419" s="243"/>
      <c r="ALU419" s="243"/>
      <c r="ALV419" s="243"/>
      <c r="ALW419" s="243"/>
      <c r="ALX419" s="243"/>
      <c r="ALY419" s="243"/>
      <c r="ALZ419" s="243"/>
      <c r="AMA419" s="243"/>
      <c r="AMB419" s="243"/>
      <c r="AMC419" s="243"/>
      <c r="AMD419" s="243"/>
      <c r="AME419" s="243"/>
      <c r="AMF419" s="243"/>
      <c r="AMG419" s="243"/>
      <c r="AMH419" s="243"/>
      <c r="AMI419" s="244"/>
      <c r="AMJ419" s="244"/>
    </row>
    <row r="420" spans="1:1024">
      <c r="A420" s="901"/>
      <c r="B420" s="551">
        <v>14779</v>
      </c>
      <c r="C420" s="619">
        <v>0.08</v>
      </c>
      <c r="D420" s="542" t="s">
        <v>282</v>
      </c>
      <c r="E420" s="620">
        <v>2900000</v>
      </c>
      <c r="F420" s="600">
        <v>0.04</v>
      </c>
      <c r="G420" s="364">
        <f t="shared" si="17"/>
        <v>116000</v>
      </c>
      <c r="H420" s="599" t="s">
        <v>237</v>
      </c>
      <c r="I420" s="604"/>
      <c r="J420" s="604"/>
      <c r="K420" s="712"/>
      <c r="L420" s="712"/>
      <c r="M420" s="713"/>
      <c r="N420" s="733"/>
      <c r="O420" s="714"/>
      <c r="P420" s="734"/>
      <c r="Q420" s="716"/>
      <c r="R420" s="243"/>
      <c r="S420" s="243"/>
      <c r="T420" s="243"/>
      <c r="U420" s="243"/>
      <c r="V420" s="243"/>
      <c r="W420" s="243"/>
      <c r="X420" s="243"/>
      <c r="Y420" s="243"/>
      <c r="Z420" s="243"/>
      <c r="AA420" s="243"/>
      <c r="AB420" s="243"/>
      <c r="AC420" s="243"/>
      <c r="AD420" s="243"/>
      <c r="AE420" s="243"/>
      <c r="AF420" s="243"/>
      <c r="AG420" s="243"/>
      <c r="AH420" s="243"/>
      <c r="AI420" s="243"/>
      <c r="AJ420" s="243"/>
      <c r="AK420" s="243"/>
      <c r="AL420" s="243"/>
      <c r="AM420" s="243"/>
      <c r="AN420" s="243"/>
      <c r="AO420" s="243"/>
      <c r="AP420" s="243"/>
      <c r="AQ420" s="243"/>
      <c r="AR420" s="243"/>
      <c r="AS420" s="243"/>
      <c r="AT420" s="243"/>
      <c r="AU420" s="243"/>
      <c r="AV420" s="243"/>
      <c r="AW420" s="243"/>
      <c r="AX420" s="243"/>
      <c r="AY420" s="243"/>
      <c r="AZ420" s="243"/>
      <c r="BA420" s="243"/>
      <c r="BB420" s="243"/>
      <c r="BC420" s="243"/>
      <c r="BD420" s="243"/>
      <c r="BE420" s="243"/>
      <c r="BF420" s="243"/>
      <c r="BG420" s="243"/>
      <c r="BH420" s="243"/>
      <c r="BI420" s="243"/>
      <c r="BJ420" s="243"/>
      <c r="BK420" s="243"/>
      <c r="BL420" s="243"/>
      <c r="BM420" s="243"/>
      <c r="BN420" s="243"/>
      <c r="BO420" s="243"/>
      <c r="BP420" s="243"/>
      <c r="BQ420" s="243"/>
      <c r="BR420" s="243"/>
      <c r="BS420" s="243"/>
      <c r="BT420" s="243"/>
      <c r="BU420" s="243"/>
      <c r="BV420" s="243"/>
      <c r="BW420" s="243"/>
      <c r="BX420" s="243"/>
      <c r="BY420" s="243"/>
      <c r="BZ420" s="243"/>
      <c r="CA420" s="243"/>
      <c r="CB420" s="243"/>
      <c r="CC420" s="243"/>
      <c r="CD420" s="243"/>
      <c r="CE420" s="243"/>
      <c r="CF420" s="243"/>
      <c r="CG420" s="243"/>
      <c r="CH420" s="243"/>
      <c r="CI420" s="243"/>
      <c r="CJ420" s="243"/>
      <c r="CK420" s="243"/>
      <c r="CL420" s="243"/>
      <c r="CM420" s="243"/>
      <c r="CN420" s="243"/>
      <c r="CO420" s="243"/>
      <c r="CP420" s="243"/>
      <c r="CQ420" s="243"/>
      <c r="CR420" s="243"/>
      <c r="CS420" s="243"/>
      <c r="CT420" s="243"/>
      <c r="CU420" s="243"/>
      <c r="CV420" s="243"/>
      <c r="CW420" s="243"/>
      <c r="CX420" s="243"/>
      <c r="CY420" s="243"/>
      <c r="CZ420" s="243"/>
      <c r="DA420" s="243"/>
      <c r="DB420" s="243"/>
      <c r="DC420" s="243"/>
      <c r="DD420" s="243"/>
      <c r="DE420" s="243"/>
      <c r="DF420" s="243"/>
      <c r="DG420" s="243"/>
      <c r="DH420" s="243"/>
      <c r="DI420" s="243"/>
      <c r="DJ420" s="243"/>
      <c r="DK420" s="243"/>
      <c r="DL420" s="243"/>
      <c r="DM420" s="243"/>
      <c r="DN420" s="243"/>
      <c r="DO420" s="243"/>
      <c r="DP420" s="243"/>
      <c r="DQ420" s="243"/>
      <c r="DR420" s="243"/>
      <c r="DS420" s="243"/>
      <c r="DT420" s="243"/>
      <c r="DU420" s="243"/>
      <c r="DV420" s="243"/>
      <c r="DW420" s="243"/>
      <c r="DX420" s="243"/>
      <c r="DY420" s="243"/>
      <c r="DZ420" s="243"/>
      <c r="EA420" s="243"/>
      <c r="EB420" s="243"/>
      <c r="EC420" s="243"/>
      <c r="ED420" s="243"/>
      <c r="EE420" s="243"/>
      <c r="EF420" s="243"/>
      <c r="EG420" s="243"/>
      <c r="EH420" s="243"/>
      <c r="EI420" s="243"/>
      <c r="EJ420" s="243"/>
      <c r="EK420" s="243"/>
      <c r="EL420" s="243"/>
      <c r="EM420" s="243"/>
      <c r="EN420" s="243"/>
      <c r="EO420" s="243"/>
      <c r="EP420" s="243"/>
      <c r="EQ420" s="243"/>
      <c r="ER420" s="243"/>
      <c r="ES420" s="243"/>
      <c r="ET420" s="243"/>
      <c r="EU420" s="243"/>
      <c r="EV420" s="243"/>
      <c r="EW420" s="243"/>
      <c r="EX420" s="243"/>
      <c r="EY420" s="243"/>
      <c r="EZ420" s="243"/>
      <c r="FA420" s="243"/>
      <c r="FB420" s="243"/>
      <c r="FC420" s="243"/>
      <c r="FD420" s="243"/>
      <c r="FE420" s="243"/>
      <c r="FF420" s="243"/>
      <c r="FG420" s="243"/>
      <c r="FH420" s="243"/>
      <c r="FI420" s="243"/>
      <c r="FJ420" s="243"/>
      <c r="FK420" s="243"/>
      <c r="FL420" s="243"/>
      <c r="FM420" s="243"/>
      <c r="FN420" s="243"/>
      <c r="FO420" s="243"/>
      <c r="FP420" s="243"/>
      <c r="FQ420" s="243"/>
      <c r="FR420" s="243"/>
      <c r="FS420" s="243"/>
      <c r="FT420" s="243"/>
      <c r="FU420" s="243"/>
      <c r="FV420" s="243"/>
      <c r="FW420" s="243"/>
      <c r="FX420" s="243"/>
      <c r="FY420" s="243"/>
      <c r="FZ420" s="243"/>
      <c r="GA420" s="243"/>
      <c r="GB420" s="243"/>
      <c r="GC420" s="243"/>
      <c r="GD420" s="243"/>
      <c r="GE420" s="243"/>
      <c r="GF420" s="243"/>
      <c r="GG420" s="243"/>
      <c r="GH420" s="243"/>
      <c r="GI420" s="243"/>
      <c r="GJ420" s="243"/>
      <c r="GK420" s="243"/>
      <c r="GL420" s="243"/>
      <c r="GM420" s="243"/>
      <c r="GN420" s="243"/>
      <c r="GO420" s="243"/>
      <c r="GP420" s="243"/>
      <c r="GQ420" s="243"/>
      <c r="GR420" s="243"/>
      <c r="GS420" s="243"/>
      <c r="GT420" s="243"/>
      <c r="GU420" s="243"/>
      <c r="GV420" s="243"/>
      <c r="GW420" s="243"/>
      <c r="GX420" s="243"/>
      <c r="GY420" s="243"/>
      <c r="GZ420" s="243"/>
      <c r="HA420" s="243"/>
      <c r="HB420" s="243"/>
      <c r="HC420" s="243"/>
      <c r="HD420" s="243"/>
      <c r="HE420" s="243"/>
      <c r="HF420" s="243"/>
      <c r="HG420" s="243"/>
      <c r="HH420" s="243"/>
      <c r="HI420" s="243"/>
      <c r="HJ420" s="243"/>
      <c r="HK420" s="243"/>
      <c r="HL420" s="243"/>
      <c r="HM420" s="243"/>
      <c r="HN420" s="243"/>
      <c r="HO420" s="243"/>
      <c r="HP420" s="243"/>
      <c r="HQ420" s="243"/>
      <c r="HR420" s="243"/>
      <c r="HS420" s="243"/>
      <c r="HT420" s="243"/>
      <c r="HU420" s="243"/>
      <c r="HV420" s="243"/>
      <c r="HW420" s="243"/>
      <c r="HX420" s="243"/>
      <c r="HY420" s="243"/>
      <c r="HZ420" s="243"/>
      <c r="IA420" s="243"/>
      <c r="IB420" s="243"/>
      <c r="IC420" s="243"/>
      <c r="ID420" s="243"/>
      <c r="IE420" s="243"/>
      <c r="IF420" s="243"/>
      <c r="IG420" s="243"/>
      <c r="IH420" s="243"/>
      <c r="II420" s="243"/>
      <c r="IJ420" s="243"/>
      <c r="IK420" s="243"/>
      <c r="IL420" s="243"/>
      <c r="IM420" s="243"/>
      <c r="IN420" s="243"/>
      <c r="IO420" s="243"/>
      <c r="IP420" s="243"/>
      <c r="IQ420" s="243"/>
      <c r="IR420" s="243"/>
      <c r="IS420" s="243"/>
      <c r="IT420" s="243"/>
      <c r="IU420" s="243"/>
      <c r="IV420" s="243"/>
      <c r="IW420" s="243"/>
      <c r="IX420" s="243"/>
      <c r="IY420" s="243"/>
      <c r="IZ420" s="243"/>
      <c r="JA420" s="243"/>
      <c r="JB420" s="243"/>
      <c r="JC420" s="243"/>
      <c r="JD420" s="243"/>
      <c r="JE420" s="243"/>
      <c r="JF420" s="243"/>
      <c r="JG420" s="243"/>
      <c r="JH420" s="243"/>
      <c r="JI420" s="243"/>
      <c r="JJ420" s="243"/>
      <c r="JK420" s="243"/>
      <c r="JL420" s="243"/>
      <c r="JM420" s="243"/>
      <c r="JN420" s="243"/>
      <c r="JO420" s="243"/>
      <c r="JP420" s="243"/>
      <c r="JQ420" s="243"/>
      <c r="JR420" s="243"/>
      <c r="JS420" s="243"/>
      <c r="JT420" s="243"/>
      <c r="JU420" s="243"/>
      <c r="JV420" s="243"/>
      <c r="JW420" s="243"/>
      <c r="JX420" s="243"/>
      <c r="JY420" s="243"/>
      <c r="JZ420" s="243"/>
      <c r="KA420" s="243"/>
      <c r="KB420" s="243"/>
      <c r="KC420" s="243"/>
      <c r="KD420" s="243"/>
      <c r="KE420" s="243"/>
      <c r="KF420" s="243"/>
      <c r="KG420" s="243"/>
      <c r="KH420" s="243"/>
      <c r="KI420" s="243"/>
      <c r="KJ420" s="243"/>
      <c r="KK420" s="243"/>
      <c r="KL420" s="243"/>
      <c r="KM420" s="243"/>
      <c r="KN420" s="243"/>
      <c r="KO420" s="243"/>
      <c r="KP420" s="243"/>
      <c r="KQ420" s="243"/>
      <c r="KR420" s="243"/>
      <c r="KS420" s="243"/>
      <c r="KT420" s="243"/>
      <c r="KU420" s="243"/>
      <c r="KV420" s="243"/>
      <c r="KW420" s="243"/>
      <c r="KX420" s="243"/>
      <c r="KY420" s="243"/>
      <c r="KZ420" s="243"/>
      <c r="LA420" s="243"/>
      <c r="LB420" s="243"/>
      <c r="LC420" s="243"/>
      <c r="LD420" s="243"/>
      <c r="LE420" s="243"/>
      <c r="LF420" s="243"/>
      <c r="LG420" s="243"/>
      <c r="LH420" s="243"/>
      <c r="LI420" s="243"/>
      <c r="LJ420" s="243"/>
      <c r="LK420" s="243"/>
      <c r="LL420" s="243"/>
      <c r="LM420" s="243"/>
      <c r="LN420" s="243"/>
      <c r="LO420" s="243"/>
      <c r="LP420" s="243"/>
      <c r="LQ420" s="243"/>
      <c r="LR420" s="243"/>
      <c r="LS420" s="243"/>
      <c r="LT420" s="243"/>
      <c r="LU420" s="243"/>
      <c r="LV420" s="243"/>
      <c r="LW420" s="243"/>
      <c r="LX420" s="243"/>
      <c r="LY420" s="243"/>
      <c r="LZ420" s="243"/>
      <c r="MA420" s="243"/>
      <c r="MB420" s="243"/>
      <c r="MC420" s="243"/>
      <c r="MD420" s="243"/>
      <c r="ME420" s="243"/>
      <c r="MF420" s="243"/>
      <c r="MG420" s="243"/>
      <c r="MH420" s="243"/>
      <c r="MI420" s="243"/>
      <c r="MJ420" s="243"/>
      <c r="MK420" s="243"/>
      <c r="ML420" s="243"/>
      <c r="MM420" s="243"/>
      <c r="MN420" s="243"/>
      <c r="MO420" s="243"/>
      <c r="MP420" s="243"/>
      <c r="MQ420" s="243"/>
      <c r="MR420" s="243"/>
      <c r="MS420" s="243"/>
      <c r="MT420" s="243"/>
      <c r="MU420" s="243"/>
      <c r="MV420" s="243"/>
      <c r="MW420" s="243"/>
      <c r="MX420" s="243"/>
      <c r="MY420" s="243"/>
      <c r="MZ420" s="243"/>
      <c r="NA420" s="243"/>
      <c r="NB420" s="243"/>
      <c r="NC420" s="243"/>
      <c r="ND420" s="243"/>
      <c r="NE420" s="243"/>
      <c r="NF420" s="243"/>
      <c r="NG420" s="243"/>
      <c r="NH420" s="243"/>
      <c r="NI420" s="243"/>
      <c r="NJ420" s="243"/>
      <c r="NK420" s="243"/>
      <c r="NL420" s="243"/>
      <c r="NM420" s="243"/>
      <c r="NN420" s="243"/>
      <c r="NO420" s="243"/>
      <c r="NP420" s="243"/>
      <c r="NQ420" s="243"/>
      <c r="NR420" s="243"/>
      <c r="NS420" s="243"/>
      <c r="NT420" s="243"/>
      <c r="NU420" s="243"/>
      <c r="NV420" s="243"/>
      <c r="NW420" s="243"/>
      <c r="NX420" s="243"/>
      <c r="NY420" s="243"/>
      <c r="NZ420" s="243"/>
      <c r="OA420" s="243"/>
      <c r="OB420" s="243"/>
      <c r="OC420" s="243"/>
      <c r="OD420" s="243"/>
      <c r="OE420" s="243"/>
      <c r="OF420" s="243"/>
      <c r="OG420" s="243"/>
      <c r="OH420" s="243"/>
      <c r="OI420" s="243"/>
      <c r="OJ420" s="243"/>
      <c r="OK420" s="243"/>
      <c r="OL420" s="243"/>
      <c r="OM420" s="243"/>
      <c r="ON420" s="243"/>
      <c r="OO420" s="243"/>
      <c r="OP420" s="243"/>
      <c r="OQ420" s="243"/>
      <c r="OR420" s="243"/>
      <c r="OS420" s="243"/>
      <c r="OT420" s="243"/>
      <c r="OU420" s="243"/>
      <c r="OV420" s="243"/>
      <c r="OW420" s="243"/>
      <c r="OX420" s="243"/>
      <c r="OY420" s="243"/>
      <c r="OZ420" s="243"/>
      <c r="PA420" s="243"/>
      <c r="PB420" s="243"/>
      <c r="PC420" s="243"/>
      <c r="PD420" s="243"/>
      <c r="PE420" s="243"/>
      <c r="PF420" s="243"/>
      <c r="PG420" s="243"/>
      <c r="PH420" s="243"/>
      <c r="PI420" s="243"/>
      <c r="PJ420" s="243"/>
      <c r="PK420" s="243"/>
      <c r="PL420" s="243"/>
      <c r="PM420" s="243"/>
      <c r="PN420" s="243"/>
      <c r="PO420" s="243"/>
      <c r="PP420" s="243"/>
      <c r="PQ420" s="243"/>
      <c r="PR420" s="243"/>
      <c r="PS420" s="243"/>
      <c r="PT420" s="243"/>
      <c r="PU420" s="243"/>
      <c r="PV420" s="243"/>
      <c r="PW420" s="243"/>
      <c r="PX420" s="243"/>
      <c r="PY420" s="243"/>
      <c r="PZ420" s="243"/>
      <c r="QA420" s="243"/>
      <c r="QB420" s="243"/>
      <c r="QC420" s="243"/>
      <c r="QD420" s="243"/>
      <c r="QE420" s="243"/>
      <c r="QF420" s="243"/>
      <c r="QG420" s="243"/>
      <c r="QH420" s="243"/>
      <c r="QI420" s="243"/>
      <c r="QJ420" s="243"/>
      <c r="QK420" s="243"/>
      <c r="QL420" s="243"/>
      <c r="QM420" s="243"/>
      <c r="QN420" s="243"/>
      <c r="QO420" s="243"/>
      <c r="QP420" s="243"/>
      <c r="QQ420" s="243"/>
      <c r="QR420" s="243"/>
      <c r="QS420" s="243"/>
      <c r="QT420" s="243"/>
      <c r="QU420" s="243"/>
      <c r="QV420" s="243"/>
      <c r="QW420" s="243"/>
      <c r="QX420" s="243"/>
      <c r="QY420" s="243"/>
      <c r="QZ420" s="243"/>
      <c r="RA420" s="243"/>
      <c r="RB420" s="243"/>
      <c r="RC420" s="243"/>
      <c r="RD420" s="243"/>
      <c r="RE420" s="243"/>
      <c r="RF420" s="243"/>
      <c r="RG420" s="243"/>
      <c r="RH420" s="243"/>
      <c r="RI420" s="243"/>
      <c r="RJ420" s="243"/>
      <c r="RK420" s="243"/>
      <c r="RL420" s="243"/>
      <c r="RM420" s="243"/>
      <c r="RN420" s="243"/>
      <c r="RO420" s="243"/>
      <c r="RP420" s="243"/>
      <c r="RQ420" s="243"/>
      <c r="RR420" s="243"/>
      <c r="RS420" s="243"/>
      <c r="RT420" s="243"/>
      <c r="RU420" s="243"/>
      <c r="RV420" s="243"/>
      <c r="RW420" s="243"/>
      <c r="RX420" s="243"/>
      <c r="RY420" s="243"/>
      <c r="RZ420" s="243"/>
      <c r="SA420" s="243"/>
      <c r="SB420" s="243"/>
      <c r="SC420" s="243"/>
      <c r="SD420" s="243"/>
      <c r="SE420" s="243"/>
      <c r="SF420" s="243"/>
      <c r="SG420" s="243"/>
      <c r="SH420" s="243"/>
      <c r="SI420" s="243"/>
      <c r="SJ420" s="243"/>
      <c r="SK420" s="243"/>
      <c r="SL420" s="243"/>
      <c r="SM420" s="243"/>
      <c r="SN420" s="243"/>
      <c r="SO420" s="243"/>
      <c r="SP420" s="243"/>
      <c r="SQ420" s="243"/>
      <c r="SR420" s="243"/>
      <c r="SS420" s="243"/>
      <c r="ST420" s="243"/>
      <c r="SU420" s="243"/>
      <c r="SV420" s="243"/>
      <c r="SW420" s="243"/>
      <c r="SX420" s="243"/>
      <c r="SY420" s="243"/>
      <c r="SZ420" s="243"/>
      <c r="TA420" s="243"/>
      <c r="TB420" s="243"/>
      <c r="TC420" s="243"/>
      <c r="TD420" s="243"/>
      <c r="TE420" s="243"/>
      <c r="TF420" s="243"/>
      <c r="TG420" s="243"/>
      <c r="TH420" s="243"/>
      <c r="TI420" s="243"/>
      <c r="TJ420" s="243"/>
      <c r="TK420" s="243"/>
      <c r="TL420" s="243"/>
      <c r="TM420" s="243"/>
      <c r="TN420" s="243"/>
      <c r="TO420" s="243"/>
      <c r="TP420" s="243"/>
      <c r="TQ420" s="243"/>
      <c r="TR420" s="243"/>
      <c r="TS420" s="243"/>
      <c r="TT420" s="243"/>
      <c r="TU420" s="243"/>
      <c r="TV420" s="243"/>
      <c r="TW420" s="243"/>
      <c r="TX420" s="243"/>
      <c r="TY420" s="243"/>
      <c r="TZ420" s="243"/>
      <c r="UA420" s="243"/>
      <c r="UB420" s="243"/>
      <c r="UC420" s="243"/>
      <c r="UD420" s="243"/>
      <c r="UE420" s="243"/>
      <c r="UF420" s="243"/>
      <c r="UG420" s="243"/>
      <c r="UH420" s="243"/>
      <c r="UI420" s="243"/>
      <c r="UJ420" s="243"/>
      <c r="UK420" s="243"/>
      <c r="UL420" s="243"/>
      <c r="UM420" s="243"/>
      <c r="UN420" s="243"/>
      <c r="UO420" s="243"/>
      <c r="UP420" s="243"/>
      <c r="UQ420" s="243"/>
      <c r="UR420" s="243"/>
      <c r="US420" s="243"/>
      <c r="UT420" s="243"/>
      <c r="UU420" s="243"/>
      <c r="UV420" s="243"/>
      <c r="UW420" s="243"/>
      <c r="UX420" s="243"/>
      <c r="UY420" s="243"/>
      <c r="UZ420" s="243"/>
      <c r="VA420" s="243"/>
      <c r="VB420" s="243"/>
      <c r="VC420" s="243"/>
      <c r="VD420" s="243"/>
      <c r="VE420" s="243"/>
      <c r="VF420" s="243"/>
      <c r="VG420" s="243"/>
      <c r="VH420" s="243"/>
      <c r="VI420" s="243"/>
      <c r="VJ420" s="243"/>
      <c r="VK420" s="243"/>
      <c r="VL420" s="243"/>
      <c r="VM420" s="243"/>
      <c r="VN420" s="243"/>
      <c r="VO420" s="243"/>
      <c r="VP420" s="243"/>
      <c r="VQ420" s="243"/>
      <c r="VR420" s="243"/>
      <c r="VS420" s="243"/>
      <c r="VT420" s="243"/>
      <c r="VU420" s="243"/>
      <c r="VV420" s="243"/>
      <c r="VW420" s="243"/>
      <c r="VX420" s="243"/>
      <c r="VY420" s="243"/>
      <c r="VZ420" s="243"/>
      <c r="WA420" s="243"/>
      <c r="WB420" s="243"/>
      <c r="WC420" s="243"/>
      <c r="WD420" s="243"/>
      <c r="WE420" s="243"/>
      <c r="WF420" s="243"/>
      <c r="WG420" s="243"/>
      <c r="WH420" s="243"/>
      <c r="WI420" s="243"/>
      <c r="WJ420" s="243"/>
      <c r="WK420" s="243"/>
      <c r="WL420" s="243"/>
      <c r="WM420" s="243"/>
      <c r="WN420" s="243"/>
      <c r="WO420" s="243"/>
      <c r="WP420" s="243"/>
      <c r="WQ420" s="243"/>
      <c r="WR420" s="243"/>
      <c r="WS420" s="243"/>
      <c r="WT420" s="243"/>
      <c r="WU420" s="243"/>
      <c r="WV420" s="243"/>
      <c r="WW420" s="243"/>
      <c r="WX420" s="243"/>
      <c r="WY420" s="243"/>
      <c r="WZ420" s="243"/>
      <c r="XA420" s="243"/>
      <c r="XB420" s="243"/>
      <c r="XC420" s="243"/>
      <c r="XD420" s="243"/>
      <c r="XE420" s="243"/>
      <c r="XF420" s="243"/>
      <c r="XG420" s="243"/>
      <c r="XH420" s="243"/>
      <c r="XI420" s="243"/>
      <c r="XJ420" s="243"/>
      <c r="XK420" s="243"/>
      <c r="XL420" s="243"/>
      <c r="XM420" s="243"/>
      <c r="XN420" s="243"/>
      <c r="XO420" s="243"/>
      <c r="XP420" s="243"/>
      <c r="XQ420" s="243"/>
      <c r="XR420" s="243"/>
      <c r="XS420" s="243"/>
      <c r="XT420" s="243"/>
      <c r="XU420" s="243"/>
      <c r="XV420" s="243"/>
      <c r="XW420" s="243"/>
      <c r="XX420" s="243"/>
      <c r="XY420" s="243"/>
      <c r="XZ420" s="243"/>
      <c r="YA420" s="243"/>
      <c r="YB420" s="243"/>
      <c r="YC420" s="243"/>
      <c r="YD420" s="243"/>
      <c r="YE420" s="243"/>
      <c r="YF420" s="243"/>
      <c r="YG420" s="243"/>
      <c r="YH420" s="243"/>
      <c r="YI420" s="243"/>
      <c r="YJ420" s="243"/>
      <c r="YK420" s="243"/>
      <c r="YL420" s="243"/>
      <c r="YM420" s="243"/>
      <c r="YN420" s="243"/>
      <c r="YO420" s="243"/>
      <c r="YP420" s="243"/>
      <c r="YQ420" s="243"/>
      <c r="YR420" s="243"/>
      <c r="YS420" s="243"/>
      <c r="YT420" s="243"/>
      <c r="YU420" s="243"/>
      <c r="YV420" s="243"/>
      <c r="YW420" s="243"/>
      <c r="YX420" s="243"/>
      <c r="YY420" s="243"/>
      <c r="YZ420" s="243"/>
      <c r="ZA420" s="243"/>
      <c r="ZB420" s="243"/>
      <c r="ZC420" s="243"/>
      <c r="ZD420" s="243"/>
      <c r="ZE420" s="243"/>
      <c r="ZF420" s="243"/>
      <c r="ZG420" s="243"/>
      <c r="ZH420" s="243"/>
      <c r="ZI420" s="243"/>
      <c r="ZJ420" s="243"/>
      <c r="ZK420" s="243"/>
      <c r="ZL420" s="243"/>
      <c r="ZM420" s="243"/>
      <c r="ZN420" s="243"/>
      <c r="ZO420" s="243"/>
      <c r="ZP420" s="243"/>
      <c r="ZQ420" s="243"/>
      <c r="ZR420" s="243"/>
      <c r="ZS420" s="243"/>
      <c r="ZT420" s="243"/>
      <c r="ZU420" s="243"/>
      <c r="ZV420" s="243"/>
      <c r="ZW420" s="243"/>
      <c r="ZX420" s="243"/>
      <c r="ZY420" s="243"/>
      <c r="ZZ420" s="243"/>
      <c r="AAA420" s="243"/>
      <c r="AAB420" s="243"/>
      <c r="AAC420" s="243"/>
      <c r="AAD420" s="243"/>
      <c r="AAE420" s="243"/>
      <c r="AAF420" s="243"/>
      <c r="AAG420" s="243"/>
      <c r="AAH420" s="243"/>
      <c r="AAI420" s="243"/>
      <c r="AAJ420" s="243"/>
      <c r="AAK420" s="243"/>
      <c r="AAL420" s="243"/>
      <c r="AAM420" s="243"/>
      <c r="AAN420" s="243"/>
      <c r="AAO420" s="243"/>
      <c r="AAP420" s="243"/>
      <c r="AAQ420" s="243"/>
      <c r="AAR420" s="243"/>
      <c r="AAS420" s="243"/>
      <c r="AAT420" s="243"/>
      <c r="AAU420" s="243"/>
      <c r="AAV420" s="243"/>
      <c r="AAW420" s="243"/>
      <c r="AAX420" s="243"/>
      <c r="AAY420" s="243"/>
      <c r="AAZ420" s="243"/>
      <c r="ABA420" s="243"/>
      <c r="ABB420" s="243"/>
      <c r="ABC420" s="243"/>
      <c r="ABD420" s="243"/>
      <c r="ABE420" s="243"/>
      <c r="ABF420" s="243"/>
      <c r="ABG420" s="243"/>
      <c r="ABH420" s="243"/>
      <c r="ABI420" s="243"/>
      <c r="ABJ420" s="243"/>
      <c r="ABK420" s="243"/>
      <c r="ABL420" s="243"/>
      <c r="ABM420" s="243"/>
      <c r="ABN420" s="243"/>
      <c r="ABO420" s="243"/>
      <c r="ABP420" s="243"/>
      <c r="ABQ420" s="243"/>
      <c r="ABR420" s="243"/>
      <c r="ABS420" s="243"/>
      <c r="ABT420" s="243"/>
      <c r="ABU420" s="243"/>
      <c r="ABV420" s="243"/>
      <c r="ABW420" s="243"/>
      <c r="ABX420" s="243"/>
      <c r="ABY420" s="243"/>
      <c r="ABZ420" s="243"/>
      <c r="ACA420" s="243"/>
      <c r="ACB420" s="243"/>
      <c r="ACC420" s="243"/>
      <c r="ACD420" s="243"/>
      <c r="ACE420" s="243"/>
      <c r="ACF420" s="243"/>
      <c r="ACG420" s="243"/>
      <c r="ACH420" s="243"/>
      <c r="ACI420" s="243"/>
      <c r="ACJ420" s="243"/>
      <c r="ACK420" s="243"/>
      <c r="ACL420" s="243"/>
      <c r="ACM420" s="243"/>
      <c r="ACN420" s="243"/>
      <c r="ACO420" s="243"/>
      <c r="ACP420" s="243"/>
      <c r="ACQ420" s="243"/>
      <c r="ACR420" s="243"/>
      <c r="ACS420" s="243"/>
      <c r="ACT420" s="243"/>
      <c r="ACU420" s="243"/>
      <c r="ACV420" s="243"/>
      <c r="ACW420" s="243"/>
      <c r="ACX420" s="243"/>
      <c r="ACY420" s="243"/>
      <c r="ACZ420" s="243"/>
      <c r="ADA420" s="243"/>
      <c r="ADB420" s="243"/>
      <c r="ADC420" s="243"/>
      <c r="ADD420" s="243"/>
      <c r="ADE420" s="243"/>
      <c r="ADF420" s="243"/>
      <c r="ADG420" s="243"/>
      <c r="ADH420" s="243"/>
      <c r="ADI420" s="243"/>
      <c r="ADJ420" s="243"/>
      <c r="ADK420" s="243"/>
      <c r="ADL420" s="243"/>
      <c r="ADM420" s="243"/>
      <c r="ADN420" s="243"/>
      <c r="ADO420" s="243"/>
      <c r="ADP420" s="243"/>
      <c r="ADQ420" s="243"/>
      <c r="ADR420" s="243"/>
      <c r="ADS420" s="243"/>
      <c r="ADT420" s="243"/>
      <c r="ADU420" s="243"/>
      <c r="ADV420" s="243"/>
      <c r="ADW420" s="243"/>
      <c r="ADX420" s="243"/>
      <c r="ADY420" s="243"/>
      <c r="ADZ420" s="243"/>
      <c r="AEA420" s="243"/>
      <c r="AEB420" s="243"/>
      <c r="AEC420" s="243"/>
      <c r="AED420" s="243"/>
      <c r="AEE420" s="243"/>
      <c r="AEF420" s="243"/>
      <c r="AEG420" s="243"/>
      <c r="AEH420" s="243"/>
      <c r="AEI420" s="243"/>
      <c r="AEJ420" s="243"/>
      <c r="AEK420" s="243"/>
      <c r="AEL420" s="243"/>
      <c r="AEM420" s="243"/>
      <c r="AEN420" s="243"/>
      <c r="AEO420" s="243"/>
      <c r="AEP420" s="243"/>
      <c r="AEQ420" s="243"/>
      <c r="AER420" s="243"/>
      <c r="AES420" s="243"/>
      <c r="AET420" s="243"/>
      <c r="AEU420" s="243"/>
      <c r="AEV420" s="243"/>
      <c r="AEW420" s="243"/>
      <c r="AEX420" s="243"/>
      <c r="AEY420" s="243"/>
      <c r="AEZ420" s="243"/>
      <c r="AFA420" s="243"/>
      <c r="AFB420" s="243"/>
      <c r="AFC420" s="243"/>
      <c r="AFD420" s="243"/>
      <c r="AFE420" s="243"/>
      <c r="AFF420" s="243"/>
      <c r="AFG420" s="243"/>
      <c r="AFH420" s="243"/>
      <c r="AFI420" s="243"/>
      <c r="AFJ420" s="243"/>
      <c r="AFK420" s="243"/>
      <c r="AFL420" s="243"/>
      <c r="AFM420" s="243"/>
      <c r="AFN420" s="243"/>
      <c r="AFO420" s="243"/>
      <c r="AFP420" s="243"/>
      <c r="AFQ420" s="243"/>
      <c r="AFR420" s="243"/>
      <c r="AFS420" s="243"/>
      <c r="AFT420" s="243"/>
      <c r="AFU420" s="243"/>
      <c r="AFV420" s="243"/>
      <c r="AFW420" s="243"/>
      <c r="AFX420" s="243"/>
      <c r="AFY420" s="243"/>
      <c r="AFZ420" s="243"/>
      <c r="AGA420" s="243"/>
      <c r="AGB420" s="243"/>
      <c r="AGC420" s="243"/>
      <c r="AGD420" s="243"/>
      <c r="AGE420" s="243"/>
      <c r="AGF420" s="243"/>
      <c r="AGG420" s="243"/>
      <c r="AGH420" s="243"/>
      <c r="AGI420" s="243"/>
      <c r="AGJ420" s="243"/>
      <c r="AGK420" s="243"/>
      <c r="AGL420" s="243"/>
      <c r="AGM420" s="243"/>
      <c r="AGN420" s="243"/>
      <c r="AGO420" s="243"/>
      <c r="AGP420" s="243"/>
      <c r="AGQ420" s="243"/>
      <c r="AGR420" s="243"/>
      <c r="AGS420" s="243"/>
      <c r="AGT420" s="243"/>
      <c r="AGU420" s="243"/>
      <c r="AGV420" s="243"/>
      <c r="AGW420" s="243"/>
      <c r="AGX420" s="243"/>
      <c r="AGY420" s="243"/>
      <c r="AGZ420" s="243"/>
      <c r="AHA420" s="243"/>
      <c r="AHB420" s="243"/>
      <c r="AHC420" s="243"/>
      <c r="AHD420" s="243"/>
      <c r="AHE420" s="243"/>
      <c r="AHF420" s="243"/>
      <c r="AHG420" s="243"/>
      <c r="AHH420" s="243"/>
      <c r="AHI420" s="243"/>
      <c r="AHJ420" s="243"/>
      <c r="AHK420" s="243"/>
      <c r="AHL420" s="243"/>
      <c r="AHM420" s="243"/>
      <c r="AHN420" s="243"/>
      <c r="AHO420" s="243"/>
      <c r="AHP420" s="243"/>
      <c r="AHQ420" s="243"/>
      <c r="AHR420" s="243"/>
      <c r="AHS420" s="243"/>
      <c r="AHT420" s="243"/>
      <c r="AHU420" s="243"/>
      <c r="AHV420" s="243"/>
      <c r="AHW420" s="243"/>
      <c r="AHX420" s="243"/>
      <c r="AHY420" s="243"/>
      <c r="AHZ420" s="243"/>
      <c r="AIA420" s="243"/>
      <c r="AIB420" s="243"/>
      <c r="AIC420" s="243"/>
      <c r="AID420" s="243"/>
      <c r="AIE420" s="243"/>
      <c r="AIF420" s="243"/>
      <c r="AIG420" s="243"/>
      <c r="AIH420" s="243"/>
      <c r="AII420" s="243"/>
      <c r="AIJ420" s="243"/>
      <c r="AIK420" s="243"/>
      <c r="AIL420" s="243"/>
      <c r="AIM420" s="243"/>
      <c r="AIN420" s="243"/>
      <c r="AIO420" s="243"/>
      <c r="AIP420" s="243"/>
      <c r="AIQ420" s="243"/>
      <c r="AIR420" s="243"/>
      <c r="AIS420" s="243"/>
      <c r="AIT420" s="243"/>
      <c r="AIU420" s="243"/>
      <c r="AIV420" s="243"/>
      <c r="AIW420" s="243"/>
      <c r="AIX420" s="243"/>
      <c r="AIY420" s="243"/>
      <c r="AIZ420" s="243"/>
      <c r="AJA420" s="243"/>
      <c r="AJB420" s="243"/>
      <c r="AJC420" s="243"/>
      <c r="AJD420" s="243"/>
      <c r="AJE420" s="243"/>
      <c r="AJF420" s="243"/>
      <c r="AJG420" s="243"/>
      <c r="AJH420" s="243"/>
      <c r="AJI420" s="243"/>
      <c r="AJJ420" s="243"/>
      <c r="AJK420" s="243"/>
      <c r="AJL420" s="243"/>
      <c r="AJM420" s="243"/>
      <c r="AJN420" s="243"/>
      <c r="AJO420" s="243"/>
      <c r="AJP420" s="243"/>
      <c r="AJQ420" s="243"/>
      <c r="AJR420" s="243"/>
      <c r="AJS420" s="243"/>
      <c r="AJT420" s="243"/>
      <c r="AJU420" s="243"/>
      <c r="AJV420" s="243"/>
      <c r="AJW420" s="243"/>
      <c r="AJX420" s="243"/>
      <c r="AJY420" s="243"/>
      <c r="AJZ420" s="243"/>
      <c r="AKA420" s="243"/>
      <c r="AKB420" s="243"/>
      <c r="AKC420" s="243"/>
      <c r="AKD420" s="243"/>
      <c r="AKE420" s="243"/>
      <c r="AKF420" s="243"/>
      <c r="AKG420" s="243"/>
      <c r="AKH420" s="243"/>
      <c r="AKI420" s="243"/>
      <c r="AKJ420" s="243"/>
      <c r="AKK420" s="243"/>
      <c r="AKL420" s="243"/>
      <c r="AKM420" s="243"/>
      <c r="AKN420" s="243"/>
      <c r="AKO420" s="243"/>
      <c r="AKP420" s="243"/>
      <c r="AKQ420" s="243"/>
      <c r="AKR420" s="243"/>
      <c r="AKS420" s="243"/>
      <c r="AKT420" s="243"/>
      <c r="AKU420" s="243"/>
      <c r="AKV420" s="243"/>
      <c r="AKW420" s="243"/>
      <c r="AKX420" s="243"/>
      <c r="AKY420" s="243"/>
      <c r="AKZ420" s="243"/>
      <c r="ALA420" s="243"/>
      <c r="ALB420" s="243"/>
      <c r="ALC420" s="243"/>
      <c r="ALD420" s="243"/>
      <c r="ALE420" s="243"/>
      <c r="ALF420" s="243"/>
      <c r="ALG420" s="243"/>
      <c r="ALH420" s="243"/>
      <c r="ALI420" s="243"/>
      <c r="ALJ420" s="243"/>
      <c r="ALK420" s="243"/>
      <c r="ALL420" s="243"/>
      <c r="ALM420" s="243"/>
      <c r="ALN420" s="243"/>
      <c r="ALO420" s="243"/>
      <c r="ALP420" s="243"/>
      <c r="ALQ420" s="243"/>
      <c r="ALR420" s="243"/>
      <c r="ALS420" s="243"/>
      <c r="ALT420" s="243"/>
      <c r="ALU420" s="243"/>
      <c r="ALV420" s="243"/>
      <c r="ALW420" s="243"/>
      <c r="ALX420" s="243"/>
      <c r="ALY420" s="243"/>
      <c r="ALZ420" s="243"/>
      <c r="AMA420" s="243"/>
      <c r="AMB420" s="243"/>
      <c r="AMC420" s="243"/>
      <c r="AMD420" s="243"/>
      <c r="AME420" s="243"/>
      <c r="AMF420" s="243"/>
      <c r="AMG420" s="243"/>
      <c r="AMH420" s="243"/>
      <c r="AMI420" s="244"/>
      <c r="AMJ420" s="244"/>
    </row>
    <row r="421" spans="1:1024">
      <c r="A421" s="901"/>
      <c r="B421" s="120"/>
      <c r="C421" s="591"/>
      <c r="D421" s="625"/>
      <c r="E421" s="321"/>
      <c r="F421" s="318"/>
      <c r="G421" s="318"/>
      <c r="H421" s="604"/>
      <c r="I421" s="604"/>
      <c r="J421" s="604"/>
      <c r="K421" s="712"/>
      <c r="L421" s="712"/>
      <c r="M421" s="713"/>
      <c r="N421" s="733"/>
      <c r="O421" s="714"/>
      <c r="P421" s="715"/>
      <c r="Q421" s="716"/>
      <c r="R421" s="243"/>
      <c r="S421" s="243"/>
      <c r="T421" s="243"/>
      <c r="U421" s="243"/>
      <c r="V421" s="243"/>
      <c r="W421" s="243"/>
      <c r="X421" s="243"/>
      <c r="Y421" s="243"/>
      <c r="Z421" s="243"/>
      <c r="AA421" s="243"/>
      <c r="AB421" s="243"/>
      <c r="AC421" s="243"/>
      <c r="AD421" s="243"/>
      <c r="AE421" s="243"/>
      <c r="AF421" s="243"/>
      <c r="AG421" s="243"/>
      <c r="AH421" s="243"/>
      <c r="AI421" s="243"/>
      <c r="AJ421" s="243"/>
      <c r="AK421" s="243"/>
      <c r="AL421" s="243"/>
      <c r="AM421" s="243"/>
      <c r="AN421" s="243"/>
      <c r="AO421" s="243"/>
      <c r="AP421" s="243"/>
      <c r="AQ421" s="243"/>
      <c r="AR421" s="243"/>
      <c r="AS421" s="243"/>
      <c r="AT421" s="243"/>
      <c r="AU421" s="243"/>
      <c r="AV421" s="243"/>
      <c r="AW421" s="243"/>
      <c r="AX421" s="243"/>
      <c r="AY421" s="243"/>
      <c r="AZ421" s="243"/>
      <c r="BA421" s="243"/>
      <c r="BB421" s="243"/>
      <c r="BC421" s="243"/>
      <c r="BD421" s="243"/>
      <c r="BE421" s="243"/>
      <c r="BF421" s="243"/>
      <c r="BG421" s="243"/>
      <c r="BH421" s="243"/>
      <c r="BI421" s="243"/>
      <c r="BJ421" s="243"/>
      <c r="BK421" s="243"/>
      <c r="BL421" s="243"/>
      <c r="BM421" s="243"/>
      <c r="BN421" s="243"/>
      <c r="BO421" s="243"/>
      <c r="BP421" s="243"/>
      <c r="BQ421" s="243"/>
      <c r="BR421" s="243"/>
      <c r="BS421" s="243"/>
      <c r="BT421" s="243"/>
      <c r="BU421" s="243"/>
      <c r="BV421" s="243"/>
      <c r="BW421" s="243"/>
      <c r="BX421" s="243"/>
      <c r="BY421" s="243"/>
      <c r="BZ421" s="243"/>
      <c r="CA421" s="243"/>
      <c r="CB421" s="243"/>
      <c r="CC421" s="243"/>
      <c r="CD421" s="243"/>
      <c r="CE421" s="243"/>
      <c r="CF421" s="243"/>
      <c r="CG421" s="243"/>
      <c r="CH421" s="243"/>
      <c r="CI421" s="243"/>
      <c r="CJ421" s="243"/>
      <c r="CK421" s="243"/>
      <c r="CL421" s="243"/>
      <c r="CM421" s="243"/>
      <c r="CN421" s="243"/>
      <c r="CO421" s="243"/>
      <c r="CP421" s="243"/>
      <c r="CQ421" s="243"/>
      <c r="CR421" s="243"/>
      <c r="CS421" s="243"/>
      <c r="CT421" s="243"/>
      <c r="CU421" s="243"/>
      <c r="CV421" s="243"/>
      <c r="CW421" s="243"/>
      <c r="CX421" s="243"/>
      <c r="CY421" s="243"/>
      <c r="CZ421" s="243"/>
      <c r="DA421" s="243"/>
      <c r="DB421" s="243"/>
      <c r="DC421" s="243"/>
      <c r="DD421" s="243"/>
      <c r="DE421" s="243"/>
      <c r="DF421" s="243"/>
      <c r="DG421" s="243"/>
      <c r="DH421" s="243"/>
      <c r="DI421" s="243"/>
      <c r="DJ421" s="243"/>
      <c r="DK421" s="243"/>
      <c r="DL421" s="243"/>
      <c r="DM421" s="243"/>
      <c r="DN421" s="243"/>
      <c r="DO421" s="243"/>
      <c r="DP421" s="243"/>
      <c r="DQ421" s="243"/>
      <c r="DR421" s="243"/>
      <c r="DS421" s="243"/>
      <c r="DT421" s="243"/>
      <c r="DU421" s="243"/>
      <c r="DV421" s="243"/>
      <c r="DW421" s="243"/>
      <c r="DX421" s="243"/>
      <c r="DY421" s="243"/>
      <c r="DZ421" s="243"/>
      <c r="EA421" s="243"/>
      <c r="EB421" s="243"/>
      <c r="EC421" s="243"/>
      <c r="ED421" s="243"/>
      <c r="EE421" s="243"/>
      <c r="EF421" s="243"/>
      <c r="EG421" s="243"/>
      <c r="EH421" s="243"/>
      <c r="EI421" s="243"/>
      <c r="EJ421" s="243"/>
      <c r="EK421" s="243"/>
      <c r="EL421" s="243"/>
      <c r="EM421" s="243"/>
      <c r="EN421" s="243"/>
      <c r="EO421" s="243"/>
      <c r="EP421" s="243"/>
      <c r="EQ421" s="243"/>
      <c r="ER421" s="243"/>
      <c r="ES421" s="243"/>
      <c r="ET421" s="243"/>
      <c r="EU421" s="243"/>
      <c r="EV421" s="243"/>
      <c r="EW421" s="243"/>
      <c r="EX421" s="243"/>
      <c r="EY421" s="243"/>
      <c r="EZ421" s="243"/>
      <c r="FA421" s="243"/>
      <c r="FB421" s="243"/>
      <c r="FC421" s="243"/>
      <c r="FD421" s="243"/>
      <c r="FE421" s="243"/>
      <c r="FF421" s="243"/>
      <c r="FG421" s="243"/>
      <c r="FH421" s="243"/>
      <c r="FI421" s="243"/>
      <c r="FJ421" s="243"/>
      <c r="FK421" s="243"/>
      <c r="FL421" s="243"/>
      <c r="FM421" s="243"/>
      <c r="FN421" s="243"/>
      <c r="FO421" s="243"/>
      <c r="FP421" s="243"/>
      <c r="FQ421" s="243"/>
      <c r="FR421" s="243"/>
      <c r="FS421" s="243"/>
      <c r="FT421" s="243"/>
      <c r="FU421" s="243"/>
      <c r="FV421" s="243"/>
      <c r="FW421" s="243"/>
      <c r="FX421" s="243"/>
      <c r="FY421" s="243"/>
      <c r="FZ421" s="243"/>
      <c r="GA421" s="243"/>
      <c r="GB421" s="243"/>
      <c r="GC421" s="243"/>
      <c r="GD421" s="243"/>
      <c r="GE421" s="243"/>
      <c r="GF421" s="243"/>
      <c r="GG421" s="243"/>
      <c r="GH421" s="243"/>
      <c r="GI421" s="243"/>
      <c r="GJ421" s="243"/>
      <c r="GK421" s="243"/>
      <c r="GL421" s="243"/>
      <c r="GM421" s="243"/>
      <c r="GN421" s="243"/>
      <c r="GO421" s="243"/>
      <c r="GP421" s="243"/>
      <c r="GQ421" s="243"/>
      <c r="GR421" s="243"/>
      <c r="GS421" s="243"/>
      <c r="GT421" s="243"/>
      <c r="GU421" s="243"/>
      <c r="GV421" s="243"/>
      <c r="GW421" s="243"/>
      <c r="GX421" s="243"/>
      <c r="GY421" s="243"/>
      <c r="GZ421" s="243"/>
      <c r="HA421" s="243"/>
      <c r="HB421" s="243"/>
      <c r="HC421" s="243"/>
      <c r="HD421" s="243"/>
      <c r="HE421" s="243"/>
      <c r="HF421" s="243"/>
      <c r="HG421" s="243"/>
      <c r="HH421" s="243"/>
      <c r="HI421" s="243"/>
      <c r="HJ421" s="243"/>
      <c r="HK421" s="243"/>
      <c r="HL421" s="243"/>
      <c r="HM421" s="243"/>
      <c r="HN421" s="243"/>
      <c r="HO421" s="243"/>
      <c r="HP421" s="243"/>
      <c r="HQ421" s="243"/>
      <c r="HR421" s="243"/>
      <c r="HS421" s="243"/>
      <c r="HT421" s="243"/>
      <c r="HU421" s="243"/>
      <c r="HV421" s="243"/>
      <c r="HW421" s="243"/>
      <c r="HX421" s="243"/>
      <c r="HY421" s="243"/>
      <c r="HZ421" s="243"/>
      <c r="IA421" s="243"/>
      <c r="IB421" s="243"/>
      <c r="IC421" s="243"/>
      <c r="ID421" s="243"/>
      <c r="IE421" s="243"/>
      <c r="IF421" s="243"/>
      <c r="IG421" s="243"/>
      <c r="IH421" s="243"/>
      <c r="II421" s="243"/>
      <c r="IJ421" s="243"/>
      <c r="IK421" s="243"/>
      <c r="IL421" s="243"/>
      <c r="IM421" s="243"/>
      <c r="IN421" s="243"/>
      <c r="IO421" s="243"/>
      <c r="IP421" s="243"/>
      <c r="IQ421" s="243"/>
      <c r="IR421" s="243"/>
      <c r="IS421" s="243"/>
      <c r="IT421" s="243"/>
      <c r="IU421" s="243"/>
      <c r="IV421" s="243"/>
      <c r="IW421" s="243"/>
      <c r="IX421" s="243"/>
      <c r="IY421" s="243"/>
      <c r="IZ421" s="243"/>
      <c r="JA421" s="243"/>
      <c r="JB421" s="243"/>
      <c r="JC421" s="243"/>
      <c r="JD421" s="243"/>
      <c r="JE421" s="243"/>
      <c r="JF421" s="243"/>
      <c r="JG421" s="243"/>
      <c r="JH421" s="243"/>
      <c r="JI421" s="243"/>
      <c r="JJ421" s="243"/>
      <c r="JK421" s="243"/>
      <c r="JL421" s="243"/>
      <c r="JM421" s="243"/>
      <c r="JN421" s="243"/>
      <c r="JO421" s="243"/>
      <c r="JP421" s="243"/>
      <c r="JQ421" s="243"/>
      <c r="JR421" s="243"/>
      <c r="JS421" s="243"/>
      <c r="JT421" s="243"/>
      <c r="JU421" s="243"/>
      <c r="JV421" s="243"/>
      <c r="JW421" s="243"/>
      <c r="JX421" s="243"/>
      <c r="JY421" s="243"/>
      <c r="JZ421" s="243"/>
      <c r="KA421" s="243"/>
      <c r="KB421" s="243"/>
      <c r="KC421" s="243"/>
      <c r="KD421" s="243"/>
      <c r="KE421" s="243"/>
      <c r="KF421" s="243"/>
      <c r="KG421" s="243"/>
      <c r="KH421" s="243"/>
      <c r="KI421" s="243"/>
      <c r="KJ421" s="243"/>
      <c r="KK421" s="243"/>
      <c r="KL421" s="243"/>
      <c r="KM421" s="243"/>
      <c r="KN421" s="243"/>
      <c r="KO421" s="243"/>
      <c r="KP421" s="243"/>
      <c r="KQ421" s="243"/>
      <c r="KR421" s="243"/>
      <c r="KS421" s="243"/>
      <c r="KT421" s="243"/>
      <c r="KU421" s="243"/>
      <c r="KV421" s="243"/>
      <c r="KW421" s="243"/>
      <c r="KX421" s="243"/>
      <c r="KY421" s="243"/>
      <c r="KZ421" s="243"/>
      <c r="LA421" s="243"/>
      <c r="LB421" s="243"/>
      <c r="LC421" s="243"/>
      <c r="LD421" s="243"/>
      <c r="LE421" s="243"/>
      <c r="LF421" s="243"/>
      <c r="LG421" s="243"/>
      <c r="LH421" s="243"/>
      <c r="LI421" s="243"/>
      <c r="LJ421" s="243"/>
      <c r="LK421" s="243"/>
      <c r="LL421" s="243"/>
      <c r="LM421" s="243"/>
      <c r="LN421" s="243"/>
      <c r="LO421" s="243"/>
      <c r="LP421" s="243"/>
      <c r="LQ421" s="243"/>
      <c r="LR421" s="243"/>
      <c r="LS421" s="243"/>
      <c r="LT421" s="243"/>
      <c r="LU421" s="243"/>
      <c r="LV421" s="243"/>
      <c r="LW421" s="243"/>
      <c r="LX421" s="243"/>
      <c r="LY421" s="243"/>
      <c r="LZ421" s="243"/>
      <c r="MA421" s="243"/>
      <c r="MB421" s="243"/>
      <c r="MC421" s="243"/>
      <c r="MD421" s="243"/>
      <c r="ME421" s="243"/>
      <c r="MF421" s="243"/>
      <c r="MG421" s="243"/>
      <c r="MH421" s="243"/>
      <c r="MI421" s="243"/>
      <c r="MJ421" s="243"/>
      <c r="MK421" s="243"/>
      <c r="ML421" s="243"/>
      <c r="MM421" s="243"/>
      <c r="MN421" s="243"/>
      <c r="MO421" s="243"/>
      <c r="MP421" s="243"/>
      <c r="MQ421" s="243"/>
      <c r="MR421" s="243"/>
      <c r="MS421" s="243"/>
      <c r="MT421" s="243"/>
      <c r="MU421" s="243"/>
      <c r="MV421" s="243"/>
      <c r="MW421" s="243"/>
      <c r="MX421" s="243"/>
      <c r="MY421" s="243"/>
      <c r="MZ421" s="243"/>
      <c r="NA421" s="243"/>
      <c r="NB421" s="243"/>
      <c r="NC421" s="243"/>
      <c r="ND421" s="243"/>
      <c r="NE421" s="243"/>
      <c r="NF421" s="243"/>
      <c r="NG421" s="243"/>
      <c r="NH421" s="243"/>
      <c r="NI421" s="243"/>
      <c r="NJ421" s="243"/>
      <c r="NK421" s="243"/>
      <c r="NL421" s="243"/>
      <c r="NM421" s="243"/>
      <c r="NN421" s="243"/>
      <c r="NO421" s="243"/>
      <c r="NP421" s="243"/>
      <c r="NQ421" s="243"/>
      <c r="NR421" s="243"/>
      <c r="NS421" s="243"/>
      <c r="NT421" s="243"/>
      <c r="NU421" s="243"/>
      <c r="NV421" s="243"/>
      <c r="NW421" s="243"/>
      <c r="NX421" s="243"/>
      <c r="NY421" s="243"/>
      <c r="NZ421" s="243"/>
      <c r="OA421" s="243"/>
      <c r="OB421" s="243"/>
      <c r="OC421" s="243"/>
      <c r="OD421" s="243"/>
      <c r="OE421" s="243"/>
      <c r="OF421" s="243"/>
      <c r="OG421" s="243"/>
      <c r="OH421" s="243"/>
      <c r="OI421" s="243"/>
      <c r="OJ421" s="243"/>
      <c r="OK421" s="243"/>
      <c r="OL421" s="243"/>
      <c r="OM421" s="243"/>
      <c r="ON421" s="243"/>
      <c r="OO421" s="243"/>
      <c r="OP421" s="243"/>
      <c r="OQ421" s="243"/>
      <c r="OR421" s="243"/>
      <c r="OS421" s="243"/>
      <c r="OT421" s="243"/>
      <c r="OU421" s="243"/>
      <c r="OV421" s="243"/>
      <c r="OW421" s="243"/>
      <c r="OX421" s="243"/>
      <c r="OY421" s="243"/>
      <c r="OZ421" s="243"/>
      <c r="PA421" s="243"/>
      <c r="PB421" s="243"/>
      <c r="PC421" s="243"/>
      <c r="PD421" s="243"/>
      <c r="PE421" s="243"/>
      <c r="PF421" s="243"/>
      <c r="PG421" s="243"/>
      <c r="PH421" s="243"/>
      <c r="PI421" s="243"/>
      <c r="PJ421" s="243"/>
      <c r="PK421" s="243"/>
      <c r="PL421" s="243"/>
      <c r="PM421" s="243"/>
      <c r="PN421" s="243"/>
      <c r="PO421" s="243"/>
      <c r="PP421" s="243"/>
      <c r="PQ421" s="243"/>
      <c r="PR421" s="243"/>
      <c r="PS421" s="243"/>
      <c r="PT421" s="243"/>
      <c r="PU421" s="243"/>
      <c r="PV421" s="243"/>
      <c r="PW421" s="243"/>
      <c r="PX421" s="243"/>
      <c r="PY421" s="243"/>
      <c r="PZ421" s="243"/>
      <c r="QA421" s="243"/>
      <c r="QB421" s="243"/>
      <c r="QC421" s="243"/>
      <c r="QD421" s="243"/>
      <c r="QE421" s="243"/>
      <c r="QF421" s="243"/>
      <c r="QG421" s="243"/>
      <c r="QH421" s="243"/>
      <c r="QI421" s="243"/>
      <c r="QJ421" s="243"/>
      <c r="QK421" s="243"/>
      <c r="QL421" s="243"/>
      <c r="QM421" s="243"/>
      <c r="QN421" s="243"/>
      <c r="QO421" s="243"/>
      <c r="QP421" s="243"/>
      <c r="QQ421" s="243"/>
      <c r="QR421" s="243"/>
      <c r="QS421" s="243"/>
      <c r="QT421" s="243"/>
      <c r="QU421" s="243"/>
      <c r="QV421" s="243"/>
      <c r="QW421" s="243"/>
      <c r="QX421" s="243"/>
      <c r="QY421" s="243"/>
      <c r="QZ421" s="243"/>
      <c r="RA421" s="243"/>
      <c r="RB421" s="243"/>
      <c r="RC421" s="243"/>
      <c r="RD421" s="243"/>
      <c r="RE421" s="243"/>
      <c r="RF421" s="243"/>
      <c r="RG421" s="243"/>
      <c r="RH421" s="243"/>
      <c r="RI421" s="243"/>
      <c r="RJ421" s="243"/>
      <c r="RK421" s="243"/>
      <c r="RL421" s="243"/>
      <c r="RM421" s="243"/>
      <c r="RN421" s="243"/>
      <c r="RO421" s="243"/>
      <c r="RP421" s="243"/>
      <c r="RQ421" s="243"/>
      <c r="RR421" s="243"/>
      <c r="RS421" s="243"/>
      <c r="RT421" s="243"/>
      <c r="RU421" s="243"/>
      <c r="RV421" s="243"/>
      <c r="RW421" s="243"/>
      <c r="RX421" s="243"/>
      <c r="RY421" s="243"/>
      <c r="RZ421" s="243"/>
      <c r="SA421" s="243"/>
      <c r="SB421" s="243"/>
      <c r="SC421" s="243"/>
      <c r="SD421" s="243"/>
      <c r="SE421" s="243"/>
      <c r="SF421" s="243"/>
      <c r="SG421" s="243"/>
      <c r="SH421" s="243"/>
      <c r="SI421" s="243"/>
      <c r="SJ421" s="243"/>
      <c r="SK421" s="243"/>
      <c r="SL421" s="243"/>
      <c r="SM421" s="243"/>
      <c r="SN421" s="243"/>
      <c r="SO421" s="243"/>
      <c r="SP421" s="243"/>
      <c r="SQ421" s="243"/>
      <c r="SR421" s="243"/>
      <c r="SS421" s="243"/>
      <c r="ST421" s="243"/>
      <c r="SU421" s="243"/>
      <c r="SV421" s="243"/>
      <c r="SW421" s="243"/>
      <c r="SX421" s="243"/>
      <c r="SY421" s="243"/>
      <c r="SZ421" s="243"/>
      <c r="TA421" s="243"/>
      <c r="TB421" s="243"/>
      <c r="TC421" s="243"/>
      <c r="TD421" s="243"/>
      <c r="TE421" s="243"/>
      <c r="TF421" s="243"/>
      <c r="TG421" s="243"/>
      <c r="TH421" s="243"/>
      <c r="TI421" s="243"/>
      <c r="TJ421" s="243"/>
      <c r="TK421" s="243"/>
      <c r="TL421" s="243"/>
      <c r="TM421" s="243"/>
      <c r="TN421" s="243"/>
      <c r="TO421" s="243"/>
      <c r="TP421" s="243"/>
      <c r="TQ421" s="243"/>
      <c r="TR421" s="243"/>
      <c r="TS421" s="243"/>
      <c r="TT421" s="243"/>
      <c r="TU421" s="243"/>
      <c r="TV421" s="243"/>
      <c r="TW421" s="243"/>
      <c r="TX421" s="243"/>
      <c r="TY421" s="243"/>
      <c r="TZ421" s="243"/>
      <c r="UA421" s="243"/>
      <c r="UB421" s="243"/>
      <c r="UC421" s="243"/>
      <c r="UD421" s="243"/>
      <c r="UE421" s="243"/>
      <c r="UF421" s="243"/>
      <c r="UG421" s="243"/>
      <c r="UH421" s="243"/>
      <c r="UI421" s="243"/>
      <c r="UJ421" s="243"/>
      <c r="UK421" s="243"/>
      <c r="UL421" s="243"/>
      <c r="UM421" s="243"/>
      <c r="UN421" s="243"/>
      <c r="UO421" s="243"/>
      <c r="UP421" s="243"/>
      <c r="UQ421" s="243"/>
      <c r="UR421" s="243"/>
      <c r="US421" s="243"/>
      <c r="UT421" s="243"/>
      <c r="UU421" s="243"/>
      <c r="UV421" s="243"/>
      <c r="UW421" s="243"/>
      <c r="UX421" s="243"/>
      <c r="UY421" s="243"/>
      <c r="UZ421" s="243"/>
      <c r="VA421" s="243"/>
      <c r="VB421" s="243"/>
      <c r="VC421" s="243"/>
      <c r="VD421" s="243"/>
      <c r="VE421" s="243"/>
      <c r="VF421" s="243"/>
      <c r="VG421" s="243"/>
      <c r="VH421" s="243"/>
      <c r="VI421" s="243"/>
      <c r="VJ421" s="243"/>
      <c r="VK421" s="243"/>
      <c r="VL421" s="243"/>
      <c r="VM421" s="243"/>
      <c r="VN421" s="243"/>
      <c r="VO421" s="243"/>
      <c r="VP421" s="243"/>
      <c r="VQ421" s="243"/>
      <c r="VR421" s="243"/>
      <c r="VS421" s="243"/>
      <c r="VT421" s="243"/>
      <c r="VU421" s="243"/>
      <c r="VV421" s="243"/>
      <c r="VW421" s="243"/>
      <c r="VX421" s="243"/>
      <c r="VY421" s="243"/>
      <c r="VZ421" s="243"/>
      <c r="WA421" s="243"/>
      <c r="WB421" s="243"/>
      <c r="WC421" s="243"/>
      <c r="WD421" s="243"/>
      <c r="WE421" s="243"/>
      <c r="WF421" s="243"/>
      <c r="WG421" s="243"/>
      <c r="WH421" s="243"/>
      <c r="WI421" s="243"/>
      <c r="WJ421" s="243"/>
      <c r="WK421" s="243"/>
      <c r="WL421" s="243"/>
      <c r="WM421" s="243"/>
      <c r="WN421" s="243"/>
      <c r="WO421" s="243"/>
      <c r="WP421" s="243"/>
      <c r="WQ421" s="243"/>
      <c r="WR421" s="243"/>
      <c r="WS421" s="243"/>
      <c r="WT421" s="243"/>
      <c r="WU421" s="243"/>
      <c r="WV421" s="243"/>
      <c r="WW421" s="243"/>
      <c r="WX421" s="243"/>
      <c r="WY421" s="243"/>
      <c r="WZ421" s="243"/>
      <c r="XA421" s="243"/>
      <c r="XB421" s="243"/>
      <c r="XC421" s="243"/>
      <c r="XD421" s="243"/>
      <c r="XE421" s="243"/>
      <c r="XF421" s="243"/>
      <c r="XG421" s="243"/>
      <c r="XH421" s="243"/>
      <c r="XI421" s="243"/>
      <c r="XJ421" s="243"/>
      <c r="XK421" s="243"/>
      <c r="XL421" s="243"/>
      <c r="XM421" s="243"/>
      <c r="XN421" s="243"/>
      <c r="XO421" s="243"/>
      <c r="XP421" s="243"/>
      <c r="XQ421" s="243"/>
      <c r="XR421" s="243"/>
      <c r="XS421" s="243"/>
      <c r="XT421" s="243"/>
      <c r="XU421" s="243"/>
      <c r="XV421" s="243"/>
      <c r="XW421" s="243"/>
      <c r="XX421" s="243"/>
      <c r="XY421" s="243"/>
      <c r="XZ421" s="243"/>
      <c r="YA421" s="243"/>
      <c r="YB421" s="243"/>
      <c r="YC421" s="243"/>
      <c r="YD421" s="243"/>
      <c r="YE421" s="243"/>
      <c r="YF421" s="243"/>
      <c r="YG421" s="243"/>
      <c r="YH421" s="243"/>
      <c r="YI421" s="243"/>
      <c r="YJ421" s="243"/>
      <c r="YK421" s="243"/>
      <c r="YL421" s="243"/>
      <c r="YM421" s="243"/>
      <c r="YN421" s="243"/>
      <c r="YO421" s="243"/>
      <c r="YP421" s="243"/>
      <c r="YQ421" s="243"/>
      <c r="YR421" s="243"/>
      <c r="YS421" s="243"/>
      <c r="YT421" s="243"/>
      <c r="YU421" s="243"/>
      <c r="YV421" s="243"/>
      <c r="YW421" s="243"/>
      <c r="YX421" s="243"/>
      <c r="YY421" s="243"/>
      <c r="YZ421" s="243"/>
      <c r="ZA421" s="243"/>
      <c r="ZB421" s="243"/>
      <c r="ZC421" s="243"/>
      <c r="ZD421" s="243"/>
      <c r="ZE421" s="243"/>
      <c r="ZF421" s="243"/>
      <c r="ZG421" s="243"/>
      <c r="ZH421" s="243"/>
      <c r="ZI421" s="243"/>
      <c r="ZJ421" s="243"/>
      <c r="ZK421" s="243"/>
      <c r="ZL421" s="243"/>
      <c r="ZM421" s="243"/>
      <c r="ZN421" s="243"/>
      <c r="ZO421" s="243"/>
      <c r="ZP421" s="243"/>
      <c r="ZQ421" s="243"/>
      <c r="ZR421" s="243"/>
      <c r="ZS421" s="243"/>
      <c r="ZT421" s="243"/>
      <c r="ZU421" s="243"/>
      <c r="ZV421" s="243"/>
      <c r="ZW421" s="243"/>
      <c r="ZX421" s="243"/>
      <c r="ZY421" s="243"/>
      <c r="ZZ421" s="243"/>
      <c r="AAA421" s="243"/>
      <c r="AAB421" s="243"/>
      <c r="AAC421" s="243"/>
      <c r="AAD421" s="243"/>
      <c r="AAE421" s="243"/>
      <c r="AAF421" s="243"/>
      <c r="AAG421" s="243"/>
      <c r="AAH421" s="243"/>
      <c r="AAI421" s="243"/>
      <c r="AAJ421" s="243"/>
      <c r="AAK421" s="243"/>
      <c r="AAL421" s="243"/>
      <c r="AAM421" s="243"/>
      <c r="AAN421" s="243"/>
      <c r="AAO421" s="243"/>
      <c r="AAP421" s="243"/>
      <c r="AAQ421" s="243"/>
      <c r="AAR421" s="243"/>
      <c r="AAS421" s="243"/>
      <c r="AAT421" s="243"/>
      <c r="AAU421" s="243"/>
      <c r="AAV421" s="243"/>
      <c r="AAW421" s="243"/>
      <c r="AAX421" s="243"/>
      <c r="AAY421" s="243"/>
      <c r="AAZ421" s="243"/>
      <c r="ABA421" s="243"/>
      <c r="ABB421" s="243"/>
      <c r="ABC421" s="243"/>
      <c r="ABD421" s="243"/>
      <c r="ABE421" s="243"/>
      <c r="ABF421" s="243"/>
      <c r="ABG421" s="243"/>
      <c r="ABH421" s="243"/>
      <c r="ABI421" s="243"/>
      <c r="ABJ421" s="243"/>
      <c r="ABK421" s="243"/>
      <c r="ABL421" s="243"/>
      <c r="ABM421" s="243"/>
      <c r="ABN421" s="243"/>
      <c r="ABO421" s="243"/>
      <c r="ABP421" s="243"/>
      <c r="ABQ421" s="243"/>
      <c r="ABR421" s="243"/>
      <c r="ABS421" s="243"/>
      <c r="ABT421" s="243"/>
      <c r="ABU421" s="243"/>
      <c r="ABV421" s="243"/>
      <c r="ABW421" s="243"/>
      <c r="ABX421" s="243"/>
      <c r="ABY421" s="243"/>
      <c r="ABZ421" s="243"/>
      <c r="ACA421" s="243"/>
      <c r="ACB421" s="243"/>
      <c r="ACC421" s="243"/>
      <c r="ACD421" s="243"/>
      <c r="ACE421" s="243"/>
      <c r="ACF421" s="243"/>
      <c r="ACG421" s="243"/>
      <c r="ACH421" s="243"/>
      <c r="ACI421" s="243"/>
      <c r="ACJ421" s="243"/>
      <c r="ACK421" s="243"/>
      <c r="ACL421" s="243"/>
      <c r="ACM421" s="243"/>
      <c r="ACN421" s="243"/>
      <c r="ACO421" s="243"/>
      <c r="ACP421" s="243"/>
      <c r="ACQ421" s="243"/>
      <c r="ACR421" s="243"/>
      <c r="ACS421" s="243"/>
      <c r="ACT421" s="243"/>
      <c r="ACU421" s="243"/>
      <c r="ACV421" s="243"/>
      <c r="ACW421" s="243"/>
      <c r="ACX421" s="243"/>
      <c r="ACY421" s="243"/>
      <c r="ACZ421" s="243"/>
      <c r="ADA421" s="243"/>
      <c r="ADB421" s="243"/>
      <c r="ADC421" s="243"/>
      <c r="ADD421" s="243"/>
      <c r="ADE421" s="243"/>
      <c r="ADF421" s="243"/>
      <c r="ADG421" s="243"/>
      <c r="ADH421" s="243"/>
      <c r="ADI421" s="243"/>
      <c r="ADJ421" s="243"/>
      <c r="ADK421" s="243"/>
      <c r="ADL421" s="243"/>
      <c r="ADM421" s="243"/>
      <c r="ADN421" s="243"/>
      <c r="ADO421" s="243"/>
      <c r="ADP421" s="243"/>
      <c r="ADQ421" s="243"/>
      <c r="ADR421" s="243"/>
      <c r="ADS421" s="243"/>
      <c r="ADT421" s="243"/>
      <c r="ADU421" s="243"/>
      <c r="ADV421" s="243"/>
      <c r="ADW421" s="243"/>
      <c r="ADX421" s="243"/>
      <c r="ADY421" s="243"/>
      <c r="ADZ421" s="243"/>
      <c r="AEA421" s="243"/>
      <c r="AEB421" s="243"/>
      <c r="AEC421" s="243"/>
      <c r="AED421" s="243"/>
      <c r="AEE421" s="243"/>
      <c r="AEF421" s="243"/>
      <c r="AEG421" s="243"/>
      <c r="AEH421" s="243"/>
      <c r="AEI421" s="243"/>
      <c r="AEJ421" s="243"/>
      <c r="AEK421" s="243"/>
      <c r="AEL421" s="243"/>
      <c r="AEM421" s="243"/>
      <c r="AEN421" s="243"/>
      <c r="AEO421" s="243"/>
      <c r="AEP421" s="243"/>
      <c r="AEQ421" s="243"/>
      <c r="AER421" s="243"/>
      <c r="AES421" s="243"/>
      <c r="AET421" s="243"/>
      <c r="AEU421" s="243"/>
      <c r="AEV421" s="243"/>
      <c r="AEW421" s="243"/>
      <c r="AEX421" s="243"/>
      <c r="AEY421" s="243"/>
      <c r="AEZ421" s="243"/>
      <c r="AFA421" s="243"/>
      <c r="AFB421" s="243"/>
      <c r="AFC421" s="243"/>
      <c r="AFD421" s="243"/>
      <c r="AFE421" s="243"/>
      <c r="AFF421" s="243"/>
      <c r="AFG421" s="243"/>
      <c r="AFH421" s="243"/>
      <c r="AFI421" s="243"/>
      <c r="AFJ421" s="243"/>
      <c r="AFK421" s="243"/>
      <c r="AFL421" s="243"/>
      <c r="AFM421" s="243"/>
      <c r="AFN421" s="243"/>
      <c r="AFO421" s="243"/>
      <c r="AFP421" s="243"/>
      <c r="AFQ421" s="243"/>
      <c r="AFR421" s="243"/>
      <c r="AFS421" s="243"/>
      <c r="AFT421" s="243"/>
      <c r="AFU421" s="243"/>
      <c r="AFV421" s="243"/>
      <c r="AFW421" s="243"/>
      <c r="AFX421" s="243"/>
      <c r="AFY421" s="243"/>
      <c r="AFZ421" s="243"/>
      <c r="AGA421" s="243"/>
      <c r="AGB421" s="243"/>
      <c r="AGC421" s="243"/>
      <c r="AGD421" s="243"/>
      <c r="AGE421" s="243"/>
      <c r="AGF421" s="243"/>
      <c r="AGG421" s="243"/>
      <c r="AGH421" s="243"/>
      <c r="AGI421" s="243"/>
      <c r="AGJ421" s="243"/>
      <c r="AGK421" s="243"/>
      <c r="AGL421" s="243"/>
      <c r="AGM421" s="243"/>
      <c r="AGN421" s="243"/>
      <c r="AGO421" s="243"/>
      <c r="AGP421" s="243"/>
      <c r="AGQ421" s="243"/>
      <c r="AGR421" s="243"/>
      <c r="AGS421" s="243"/>
      <c r="AGT421" s="243"/>
      <c r="AGU421" s="243"/>
      <c r="AGV421" s="243"/>
      <c r="AGW421" s="243"/>
      <c r="AGX421" s="243"/>
      <c r="AGY421" s="243"/>
      <c r="AGZ421" s="243"/>
      <c r="AHA421" s="243"/>
      <c r="AHB421" s="243"/>
      <c r="AHC421" s="243"/>
      <c r="AHD421" s="243"/>
      <c r="AHE421" s="243"/>
      <c r="AHF421" s="243"/>
      <c r="AHG421" s="243"/>
      <c r="AHH421" s="243"/>
      <c r="AHI421" s="243"/>
      <c r="AHJ421" s="243"/>
      <c r="AHK421" s="243"/>
      <c r="AHL421" s="243"/>
      <c r="AHM421" s="243"/>
      <c r="AHN421" s="243"/>
      <c r="AHO421" s="243"/>
      <c r="AHP421" s="243"/>
      <c r="AHQ421" s="243"/>
      <c r="AHR421" s="243"/>
      <c r="AHS421" s="243"/>
      <c r="AHT421" s="243"/>
      <c r="AHU421" s="243"/>
      <c r="AHV421" s="243"/>
      <c r="AHW421" s="243"/>
      <c r="AHX421" s="243"/>
      <c r="AHY421" s="243"/>
      <c r="AHZ421" s="243"/>
      <c r="AIA421" s="243"/>
      <c r="AIB421" s="243"/>
      <c r="AIC421" s="243"/>
      <c r="AID421" s="243"/>
      <c r="AIE421" s="243"/>
      <c r="AIF421" s="243"/>
      <c r="AIG421" s="243"/>
      <c r="AIH421" s="243"/>
      <c r="AII421" s="243"/>
      <c r="AIJ421" s="243"/>
      <c r="AIK421" s="243"/>
      <c r="AIL421" s="243"/>
      <c r="AIM421" s="243"/>
      <c r="AIN421" s="243"/>
      <c r="AIO421" s="243"/>
      <c r="AIP421" s="243"/>
      <c r="AIQ421" s="243"/>
      <c r="AIR421" s="243"/>
      <c r="AIS421" s="243"/>
      <c r="AIT421" s="243"/>
      <c r="AIU421" s="243"/>
      <c r="AIV421" s="243"/>
      <c r="AIW421" s="243"/>
      <c r="AIX421" s="243"/>
      <c r="AIY421" s="243"/>
      <c r="AIZ421" s="243"/>
      <c r="AJA421" s="243"/>
      <c r="AJB421" s="243"/>
      <c r="AJC421" s="243"/>
      <c r="AJD421" s="243"/>
      <c r="AJE421" s="243"/>
      <c r="AJF421" s="243"/>
      <c r="AJG421" s="243"/>
      <c r="AJH421" s="243"/>
      <c r="AJI421" s="243"/>
      <c r="AJJ421" s="243"/>
      <c r="AJK421" s="243"/>
      <c r="AJL421" s="243"/>
      <c r="AJM421" s="243"/>
      <c r="AJN421" s="243"/>
      <c r="AJO421" s="243"/>
      <c r="AJP421" s="243"/>
      <c r="AJQ421" s="243"/>
      <c r="AJR421" s="243"/>
      <c r="AJS421" s="243"/>
      <c r="AJT421" s="243"/>
      <c r="AJU421" s="243"/>
      <c r="AJV421" s="243"/>
      <c r="AJW421" s="243"/>
      <c r="AJX421" s="243"/>
      <c r="AJY421" s="243"/>
      <c r="AJZ421" s="243"/>
      <c r="AKA421" s="243"/>
      <c r="AKB421" s="243"/>
      <c r="AKC421" s="243"/>
      <c r="AKD421" s="243"/>
      <c r="AKE421" s="243"/>
      <c r="AKF421" s="243"/>
      <c r="AKG421" s="243"/>
      <c r="AKH421" s="243"/>
      <c r="AKI421" s="243"/>
      <c r="AKJ421" s="243"/>
      <c r="AKK421" s="243"/>
      <c r="AKL421" s="243"/>
      <c r="AKM421" s="243"/>
      <c r="AKN421" s="243"/>
      <c r="AKO421" s="243"/>
      <c r="AKP421" s="243"/>
      <c r="AKQ421" s="243"/>
      <c r="AKR421" s="243"/>
      <c r="AKS421" s="243"/>
      <c r="AKT421" s="243"/>
      <c r="AKU421" s="243"/>
      <c r="AKV421" s="243"/>
      <c r="AKW421" s="243"/>
      <c r="AKX421" s="243"/>
      <c r="AKY421" s="243"/>
      <c r="AKZ421" s="243"/>
      <c r="ALA421" s="243"/>
      <c r="ALB421" s="243"/>
      <c r="ALC421" s="243"/>
      <c r="ALD421" s="243"/>
      <c r="ALE421" s="243"/>
      <c r="ALF421" s="243"/>
      <c r="ALG421" s="243"/>
      <c r="ALH421" s="243"/>
      <c r="ALI421" s="243"/>
      <c r="ALJ421" s="243"/>
      <c r="ALK421" s="243"/>
      <c r="ALL421" s="243"/>
      <c r="ALM421" s="243"/>
      <c r="ALN421" s="243"/>
      <c r="ALO421" s="243"/>
      <c r="ALP421" s="243"/>
      <c r="ALQ421" s="243"/>
      <c r="ALR421" s="243"/>
      <c r="ALS421" s="243"/>
      <c r="ALT421" s="243"/>
      <c r="ALU421" s="243"/>
      <c r="ALV421" s="243"/>
      <c r="ALW421" s="243"/>
      <c r="ALX421" s="243"/>
      <c r="ALY421" s="243"/>
      <c r="ALZ421" s="243"/>
      <c r="AMA421" s="243"/>
      <c r="AMB421" s="243"/>
      <c r="AMC421" s="243"/>
      <c r="AMD421" s="243"/>
      <c r="AME421" s="243"/>
      <c r="AMF421" s="243"/>
      <c r="AMG421" s="243"/>
      <c r="AMH421" s="243"/>
      <c r="AMI421" s="244"/>
      <c r="AMJ421" s="244"/>
    </row>
    <row r="422" spans="1:1024">
      <c r="A422" s="901"/>
      <c r="B422" s="595"/>
      <c r="C422" s="593"/>
      <c r="D422" s="318"/>
      <c r="E422" s="321"/>
      <c r="F422" s="586"/>
      <c r="G422" s="321"/>
      <c r="H422" s="615"/>
      <c r="I422" s="318"/>
      <c r="J422" s="604"/>
      <c r="K422" s="625"/>
      <c r="L422" s="625"/>
      <c r="M422" s="625"/>
      <c r="N422" s="607"/>
      <c r="O422" s="717"/>
      <c r="P422" s="607"/>
      <c r="Q422" s="624"/>
    </row>
    <row r="423" spans="1:1024">
      <c r="A423" s="901"/>
      <c r="B423" s="677" t="s">
        <v>43</v>
      </c>
      <c r="C423" s="678"/>
      <c r="D423" s="556" t="s">
        <v>283</v>
      </c>
      <c r="E423" s="321"/>
      <c r="F423" s="318"/>
      <c r="G423" s="318"/>
      <c r="H423" s="604"/>
      <c r="I423" s="604"/>
      <c r="J423" s="604"/>
      <c r="K423" s="712"/>
      <c r="L423" s="712"/>
      <c r="M423" s="318" t="s">
        <v>26</v>
      </c>
      <c r="N423" s="563">
        <f>SUM(N417:N422)</f>
        <v>3000000</v>
      </c>
      <c r="O423" s="589" t="s">
        <v>26</v>
      </c>
      <c r="P423" s="563">
        <f>SUM(P417:P422)</f>
        <v>120000</v>
      </c>
      <c r="Q423" s="716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  <c r="AB423" s="243"/>
      <c r="AC423" s="243"/>
      <c r="AD423" s="243"/>
      <c r="AE423" s="243"/>
      <c r="AF423" s="243"/>
      <c r="AG423" s="243"/>
      <c r="AH423" s="243"/>
      <c r="AI423" s="243"/>
      <c r="AJ423" s="243"/>
      <c r="AK423" s="243"/>
      <c r="AL423" s="243"/>
      <c r="AM423" s="243"/>
      <c r="AN423" s="243"/>
      <c r="AO423" s="243"/>
      <c r="AP423" s="243"/>
      <c r="AQ423" s="243"/>
      <c r="AR423" s="243"/>
      <c r="AS423" s="243"/>
      <c r="AT423" s="243"/>
      <c r="AU423" s="243"/>
      <c r="AV423" s="243"/>
      <c r="AW423" s="243"/>
      <c r="AX423" s="243"/>
      <c r="AY423" s="243"/>
      <c r="AZ423" s="243"/>
      <c r="BA423" s="243"/>
      <c r="BB423" s="243"/>
      <c r="BC423" s="243"/>
      <c r="BD423" s="243"/>
      <c r="BE423" s="243"/>
      <c r="BF423" s="243"/>
      <c r="BG423" s="243"/>
      <c r="BH423" s="243"/>
      <c r="BI423" s="243"/>
      <c r="BJ423" s="243"/>
      <c r="BK423" s="243"/>
      <c r="BL423" s="243"/>
      <c r="BM423" s="243"/>
      <c r="BN423" s="243"/>
      <c r="BO423" s="243"/>
      <c r="BP423" s="243"/>
      <c r="BQ423" s="243"/>
      <c r="BR423" s="243"/>
      <c r="BS423" s="243"/>
      <c r="BT423" s="243"/>
      <c r="BU423" s="243"/>
      <c r="BV423" s="243"/>
      <c r="BW423" s="243"/>
      <c r="BX423" s="243"/>
      <c r="BY423" s="243"/>
      <c r="BZ423" s="243"/>
      <c r="CA423" s="243"/>
      <c r="CB423" s="243"/>
      <c r="CC423" s="243"/>
      <c r="CD423" s="243"/>
      <c r="CE423" s="243"/>
      <c r="CF423" s="243"/>
      <c r="CG423" s="243"/>
      <c r="CH423" s="243"/>
      <c r="CI423" s="243"/>
      <c r="CJ423" s="243"/>
      <c r="CK423" s="243"/>
      <c r="CL423" s="243"/>
      <c r="CM423" s="243"/>
      <c r="CN423" s="243"/>
      <c r="CO423" s="243"/>
      <c r="CP423" s="243"/>
      <c r="CQ423" s="243"/>
      <c r="CR423" s="243"/>
      <c r="CS423" s="243"/>
      <c r="CT423" s="243"/>
      <c r="CU423" s="243"/>
      <c r="CV423" s="243"/>
      <c r="CW423" s="243"/>
      <c r="CX423" s="243"/>
      <c r="CY423" s="243"/>
      <c r="CZ423" s="243"/>
      <c r="DA423" s="243"/>
      <c r="DB423" s="243"/>
      <c r="DC423" s="243"/>
      <c r="DD423" s="243"/>
      <c r="DE423" s="243"/>
      <c r="DF423" s="243"/>
      <c r="DG423" s="243"/>
      <c r="DH423" s="243"/>
      <c r="DI423" s="243"/>
      <c r="DJ423" s="243"/>
      <c r="DK423" s="243"/>
      <c r="DL423" s="243"/>
      <c r="DM423" s="243"/>
      <c r="DN423" s="243"/>
      <c r="DO423" s="243"/>
      <c r="DP423" s="243"/>
      <c r="DQ423" s="243"/>
      <c r="DR423" s="243"/>
      <c r="DS423" s="243"/>
      <c r="DT423" s="243"/>
      <c r="DU423" s="243"/>
      <c r="DV423" s="243"/>
      <c r="DW423" s="243"/>
      <c r="DX423" s="243"/>
      <c r="DY423" s="243"/>
      <c r="DZ423" s="243"/>
      <c r="EA423" s="243"/>
      <c r="EB423" s="243"/>
      <c r="EC423" s="243"/>
      <c r="ED423" s="243"/>
      <c r="EE423" s="243"/>
      <c r="EF423" s="243"/>
      <c r="EG423" s="243"/>
      <c r="EH423" s="243"/>
      <c r="EI423" s="243"/>
      <c r="EJ423" s="243"/>
      <c r="EK423" s="243"/>
      <c r="EL423" s="243"/>
      <c r="EM423" s="243"/>
      <c r="EN423" s="243"/>
      <c r="EO423" s="243"/>
      <c r="EP423" s="243"/>
      <c r="EQ423" s="243"/>
      <c r="ER423" s="243"/>
      <c r="ES423" s="243"/>
      <c r="ET423" s="243"/>
      <c r="EU423" s="243"/>
      <c r="EV423" s="243"/>
      <c r="EW423" s="243"/>
      <c r="EX423" s="243"/>
      <c r="EY423" s="243"/>
      <c r="EZ423" s="243"/>
      <c r="FA423" s="243"/>
      <c r="FB423" s="243"/>
      <c r="FC423" s="243"/>
      <c r="FD423" s="243"/>
      <c r="FE423" s="243"/>
      <c r="FF423" s="243"/>
      <c r="FG423" s="243"/>
      <c r="FH423" s="243"/>
      <c r="FI423" s="243"/>
      <c r="FJ423" s="243"/>
      <c r="FK423" s="243"/>
      <c r="FL423" s="243"/>
      <c r="FM423" s="243"/>
      <c r="FN423" s="243"/>
      <c r="FO423" s="243"/>
      <c r="FP423" s="243"/>
      <c r="FQ423" s="243"/>
      <c r="FR423" s="243"/>
      <c r="FS423" s="243"/>
      <c r="FT423" s="243"/>
      <c r="FU423" s="243"/>
      <c r="FV423" s="243"/>
      <c r="FW423" s="243"/>
      <c r="FX423" s="243"/>
      <c r="FY423" s="243"/>
      <c r="FZ423" s="243"/>
      <c r="GA423" s="243"/>
      <c r="GB423" s="243"/>
      <c r="GC423" s="243"/>
      <c r="GD423" s="243"/>
      <c r="GE423" s="243"/>
      <c r="GF423" s="243"/>
      <c r="GG423" s="243"/>
      <c r="GH423" s="243"/>
      <c r="GI423" s="243"/>
      <c r="GJ423" s="243"/>
      <c r="GK423" s="243"/>
      <c r="GL423" s="243"/>
      <c r="GM423" s="243"/>
      <c r="GN423" s="243"/>
      <c r="GO423" s="243"/>
      <c r="GP423" s="243"/>
      <c r="GQ423" s="243"/>
      <c r="GR423" s="243"/>
      <c r="GS423" s="243"/>
      <c r="GT423" s="243"/>
      <c r="GU423" s="243"/>
      <c r="GV423" s="243"/>
      <c r="GW423" s="243"/>
      <c r="GX423" s="243"/>
      <c r="GY423" s="243"/>
      <c r="GZ423" s="243"/>
      <c r="HA423" s="243"/>
      <c r="HB423" s="243"/>
      <c r="HC423" s="243"/>
      <c r="HD423" s="243"/>
      <c r="HE423" s="243"/>
      <c r="HF423" s="243"/>
      <c r="HG423" s="243"/>
      <c r="HH423" s="243"/>
      <c r="HI423" s="243"/>
      <c r="HJ423" s="243"/>
      <c r="HK423" s="243"/>
      <c r="HL423" s="243"/>
      <c r="HM423" s="243"/>
      <c r="HN423" s="243"/>
      <c r="HO423" s="243"/>
      <c r="HP423" s="243"/>
      <c r="HQ423" s="243"/>
      <c r="HR423" s="243"/>
      <c r="HS423" s="243"/>
      <c r="HT423" s="243"/>
      <c r="HU423" s="243"/>
      <c r="HV423" s="243"/>
      <c r="HW423" s="243"/>
      <c r="HX423" s="243"/>
      <c r="HY423" s="243"/>
      <c r="HZ423" s="243"/>
      <c r="IA423" s="243"/>
      <c r="IB423" s="243"/>
      <c r="IC423" s="243"/>
      <c r="ID423" s="243"/>
      <c r="IE423" s="243"/>
      <c r="IF423" s="243"/>
      <c r="IG423" s="243"/>
      <c r="IH423" s="243"/>
      <c r="II423" s="243"/>
      <c r="IJ423" s="243"/>
      <c r="IK423" s="243"/>
      <c r="IL423" s="243"/>
      <c r="IM423" s="243"/>
      <c r="IN423" s="243"/>
      <c r="IO423" s="243"/>
      <c r="IP423" s="243"/>
      <c r="IQ423" s="243"/>
      <c r="IR423" s="243"/>
      <c r="IS423" s="243"/>
      <c r="IT423" s="243"/>
      <c r="IU423" s="243"/>
      <c r="IV423" s="243"/>
      <c r="IW423" s="243"/>
      <c r="IX423" s="243"/>
      <c r="IY423" s="243"/>
      <c r="IZ423" s="243"/>
      <c r="JA423" s="243"/>
      <c r="JB423" s="243"/>
      <c r="JC423" s="243"/>
      <c r="JD423" s="243"/>
      <c r="JE423" s="243"/>
      <c r="JF423" s="243"/>
      <c r="JG423" s="243"/>
      <c r="JH423" s="243"/>
      <c r="JI423" s="243"/>
      <c r="JJ423" s="243"/>
      <c r="JK423" s="243"/>
      <c r="JL423" s="243"/>
      <c r="JM423" s="243"/>
      <c r="JN423" s="243"/>
      <c r="JO423" s="243"/>
      <c r="JP423" s="243"/>
      <c r="JQ423" s="243"/>
      <c r="JR423" s="243"/>
      <c r="JS423" s="243"/>
      <c r="JT423" s="243"/>
      <c r="JU423" s="243"/>
      <c r="JV423" s="243"/>
      <c r="JW423" s="243"/>
      <c r="JX423" s="243"/>
      <c r="JY423" s="243"/>
      <c r="JZ423" s="243"/>
      <c r="KA423" s="243"/>
      <c r="KB423" s="243"/>
      <c r="KC423" s="243"/>
      <c r="KD423" s="243"/>
      <c r="KE423" s="243"/>
      <c r="KF423" s="243"/>
      <c r="KG423" s="243"/>
      <c r="KH423" s="243"/>
      <c r="KI423" s="243"/>
      <c r="KJ423" s="243"/>
      <c r="KK423" s="243"/>
      <c r="KL423" s="243"/>
      <c r="KM423" s="243"/>
      <c r="KN423" s="243"/>
      <c r="KO423" s="243"/>
      <c r="KP423" s="243"/>
      <c r="KQ423" s="243"/>
      <c r="KR423" s="243"/>
      <c r="KS423" s="243"/>
      <c r="KT423" s="243"/>
      <c r="KU423" s="243"/>
      <c r="KV423" s="243"/>
      <c r="KW423" s="243"/>
      <c r="KX423" s="243"/>
      <c r="KY423" s="243"/>
      <c r="KZ423" s="243"/>
      <c r="LA423" s="243"/>
      <c r="LB423" s="243"/>
      <c r="LC423" s="243"/>
      <c r="LD423" s="243"/>
      <c r="LE423" s="243"/>
      <c r="LF423" s="243"/>
      <c r="LG423" s="243"/>
      <c r="LH423" s="243"/>
      <c r="LI423" s="243"/>
      <c r="LJ423" s="243"/>
      <c r="LK423" s="243"/>
      <c r="LL423" s="243"/>
      <c r="LM423" s="243"/>
      <c r="LN423" s="243"/>
      <c r="LO423" s="243"/>
      <c r="LP423" s="243"/>
      <c r="LQ423" s="243"/>
      <c r="LR423" s="243"/>
      <c r="LS423" s="243"/>
      <c r="LT423" s="243"/>
      <c r="LU423" s="243"/>
      <c r="LV423" s="243"/>
      <c r="LW423" s="243"/>
      <c r="LX423" s="243"/>
      <c r="LY423" s="243"/>
      <c r="LZ423" s="243"/>
      <c r="MA423" s="243"/>
      <c r="MB423" s="243"/>
      <c r="MC423" s="243"/>
      <c r="MD423" s="243"/>
      <c r="ME423" s="243"/>
      <c r="MF423" s="243"/>
      <c r="MG423" s="243"/>
      <c r="MH423" s="243"/>
      <c r="MI423" s="243"/>
      <c r="MJ423" s="243"/>
      <c r="MK423" s="243"/>
      <c r="ML423" s="243"/>
      <c r="MM423" s="243"/>
      <c r="MN423" s="243"/>
      <c r="MO423" s="243"/>
      <c r="MP423" s="243"/>
      <c r="MQ423" s="243"/>
      <c r="MR423" s="243"/>
      <c r="MS423" s="243"/>
      <c r="MT423" s="243"/>
      <c r="MU423" s="243"/>
      <c r="MV423" s="243"/>
      <c r="MW423" s="243"/>
      <c r="MX423" s="243"/>
      <c r="MY423" s="243"/>
      <c r="MZ423" s="243"/>
      <c r="NA423" s="243"/>
      <c r="NB423" s="243"/>
      <c r="NC423" s="243"/>
      <c r="ND423" s="243"/>
      <c r="NE423" s="243"/>
      <c r="NF423" s="243"/>
      <c r="NG423" s="243"/>
      <c r="NH423" s="243"/>
      <c r="NI423" s="243"/>
      <c r="NJ423" s="243"/>
      <c r="NK423" s="243"/>
      <c r="NL423" s="243"/>
      <c r="NM423" s="243"/>
      <c r="NN423" s="243"/>
      <c r="NO423" s="243"/>
      <c r="NP423" s="243"/>
      <c r="NQ423" s="243"/>
      <c r="NR423" s="243"/>
      <c r="NS423" s="243"/>
      <c r="NT423" s="243"/>
      <c r="NU423" s="243"/>
      <c r="NV423" s="243"/>
      <c r="NW423" s="243"/>
      <c r="NX423" s="243"/>
      <c r="NY423" s="243"/>
      <c r="NZ423" s="243"/>
      <c r="OA423" s="243"/>
      <c r="OB423" s="243"/>
      <c r="OC423" s="243"/>
      <c r="OD423" s="243"/>
      <c r="OE423" s="243"/>
      <c r="OF423" s="243"/>
      <c r="OG423" s="243"/>
      <c r="OH423" s="243"/>
      <c r="OI423" s="243"/>
      <c r="OJ423" s="243"/>
      <c r="OK423" s="243"/>
      <c r="OL423" s="243"/>
      <c r="OM423" s="243"/>
      <c r="ON423" s="243"/>
      <c r="OO423" s="243"/>
      <c r="OP423" s="243"/>
      <c r="OQ423" s="243"/>
      <c r="OR423" s="243"/>
      <c r="OS423" s="243"/>
      <c r="OT423" s="243"/>
      <c r="OU423" s="243"/>
      <c r="OV423" s="243"/>
      <c r="OW423" s="243"/>
      <c r="OX423" s="243"/>
      <c r="OY423" s="243"/>
      <c r="OZ423" s="243"/>
      <c r="PA423" s="243"/>
      <c r="PB423" s="243"/>
      <c r="PC423" s="243"/>
      <c r="PD423" s="243"/>
      <c r="PE423" s="243"/>
      <c r="PF423" s="243"/>
      <c r="PG423" s="243"/>
      <c r="PH423" s="243"/>
      <c r="PI423" s="243"/>
      <c r="PJ423" s="243"/>
      <c r="PK423" s="243"/>
      <c r="PL423" s="243"/>
      <c r="PM423" s="243"/>
      <c r="PN423" s="243"/>
      <c r="PO423" s="243"/>
      <c r="PP423" s="243"/>
      <c r="PQ423" s="243"/>
      <c r="PR423" s="243"/>
      <c r="PS423" s="243"/>
      <c r="PT423" s="243"/>
      <c r="PU423" s="243"/>
      <c r="PV423" s="243"/>
      <c r="PW423" s="243"/>
      <c r="PX423" s="243"/>
      <c r="PY423" s="243"/>
      <c r="PZ423" s="243"/>
      <c r="QA423" s="243"/>
      <c r="QB423" s="243"/>
      <c r="QC423" s="243"/>
      <c r="QD423" s="243"/>
      <c r="QE423" s="243"/>
      <c r="QF423" s="243"/>
      <c r="QG423" s="243"/>
      <c r="QH423" s="243"/>
      <c r="QI423" s="243"/>
      <c r="QJ423" s="243"/>
      <c r="QK423" s="243"/>
      <c r="QL423" s="243"/>
      <c r="QM423" s="243"/>
      <c r="QN423" s="243"/>
      <c r="QO423" s="243"/>
      <c r="QP423" s="243"/>
      <c r="QQ423" s="243"/>
      <c r="QR423" s="243"/>
      <c r="QS423" s="243"/>
      <c r="QT423" s="243"/>
      <c r="QU423" s="243"/>
      <c r="QV423" s="243"/>
      <c r="QW423" s="243"/>
      <c r="QX423" s="243"/>
      <c r="QY423" s="243"/>
      <c r="QZ423" s="243"/>
      <c r="RA423" s="243"/>
      <c r="RB423" s="243"/>
      <c r="RC423" s="243"/>
      <c r="RD423" s="243"/>
      <c r="RE423" s="243"/>
      <c r="RF423" s="243"/>
      <c r="RG423" s="243"/>
      <c r="RH423" s="243"/>
      <c r="RI423" s="243"/>
      <c r="RJ423" s="243"/>
      <c r="RK423" s="243"/>
      <c r="RL423" s="243"/>
      <c r="RM423" s="243"/>
      <c r="RN423" s="243"/>
      <c r="RO423" s="243"/>
      <c r="RP423" s="243"/>
      <c r="RQ423" s="243"/>
      <c r="RR423" s="243"/>
      <c r="RS423" s="243"/>
      <c r="RT423" s="243"/>
      <c r="RU423" s="243"/>
      <c r="RV423" s="243"/>
      <c r="RW423" s="243"/>
      <c r="RX423" s="243"/>
      <c r="RY423" s="243"/>
      <c r="RZ423" s="243"/>
      <c r="SA423" s="243"/>
      <c r="SB423" s="243"/>
      <c r="SC423" s="243"/>
      <c r="SD423" s="243"/>
      <c r="SE423" s="243"/>
      <c r="SF423" s="243"/>
      <c r="SG423" s="243"/>
      <c r="SH423" s="243"/>
      <c r="SI423" s="243"/>
      <c r="SJ423" s="243"/>
      <c r="SK423" s="243"/>
      <c r="SL423" s="243"/>
      <c r="SM423" s="243"/>
      <c r="SN423" s="243"/>
      <c r="SO423" s="243"/>
      <c r="SP423" s="243"/>
      <c r="SQ423" s="243"/>
      <c r="SR423" s="243"/>
      <c r="SS423" s="243"/>
      <c r="ST423" s="243"/>
      <c r="SU423" s="243"/>
      <c r="SV423" s="243"/>
      <c r="SW423" s="243"/>
      <c r="SX423" s="243"/>
      <c r="SY423" s="243"/>
      <c r="SZ423" s="243"/>
      <c r="TA423" s="243"/>
      <c r="TB423" s="243"/>
      <c r="TC423" s="243"/>
      <c r="TD423" s="243"/>
      <c r="TE423" s="243"/>
      <c r="TF423" s="243"/>
      <c r="TG423" s="243"/>
      <c r="TH423" s="243"/>
      <c r="TI423" s="243"/>
      <c r="TJ423" s="243"/>
      <c r="TK423" s="243"/>
      <c r="TL423" s="243"/>
      <c r="TM423" s="243"/>
      <c r="TN423" s="243"/>
      <c r="TO423" s="243"/>
      <c r="TP423" s="243"/>
      <c r="TQ423" s="243"/>
      <c r="TR423" s="243"/>
      <c r="TS423" s="243"/>
      <c r="TT423" s="243"/>
      <c r="TU423" s="243"/>
      <c r="TV423" s="243"/>
      <c r="TW423" s="243"/>
      <c r="TX423" s="243"/>
      <c r="TY423" s="243"/>
      <c r="TZ423" s="243"/>
      <c r="UA423" s="243"/>
      <c r="UB423" s="243"/>
      <c r="UC423" s="243"/>
      <c r="UD423" s="243"/>
      <c r="UE423" s="243"/>
      <c r="UF423" s="243"/>
      <c r="UG423" s="243"/>
      <c r="UH423" s="243"/>
      <c r="UI423" s="243"/>
      <c r="UJ423" s="243"/>
      <c r="UK423" s="243"/>
      <c r="UL423" s="243"/>
      <c r="UM423" s="243"/>
      <c r="UN423" s="243"/>
      <c r="UO423" s="243"/>
      <c r="UP423" s="243"/>
      <c r="UQ423" s="243"/>
      <c r="UR423" s="243"/>
      <c r="US423" s="243"/>
      <c r="UT423" s="243"/>
      <c r="UU423" s="243"/>
      <c r="UV423" s="243"/>
      <c r="UW423" s="243"/>
      <c r="UX423" s="243"/>
      <c r="UY423" s="243"/>
      <c r="UZ423" s="243"/>
      <c r="VA423" s="243"/>
      <c r="VB423" s="243"/>
      <c r="VC423" s="243"/>
      <c r="VD423" s="243"/>
      <c r="VE423" s="243"/>
      <c r="VF423" s="243"/>
      <c r="VG423" s="243"/>
      <c r="VH423" s="243"/>
      <c r="VI423" s="243"/>
      <c r="VJ423" s="243"/>
      <c r="VK423" s="243"/>
      <c r="VL423" s="243"/>
      <c r="VM423" s="243"/>
      <c r="VN423" s="243"/>
      <c r="VO423" s="243"/>
      <c r="VP423" s="243"/>
      <c r="VQ423" s="243"/>
      <c r="VR423" s="243"/>
      <c r="VS423" s="243"/>
      <c r="VT423" s="243"/>
      <c r="VU423" s="243"/>
      <c r="VV423" s="243"/>
      <c r="VW423" s="243"/>
      <c r="VX423" s="243"/>
      <c r="VY423" s="243"/>
      <c r="VZ423" s="243"/>
      <c r="WA423" s="243"/>
      <c r="WB423" s="243"/>
      <c r="WC423" s="243"/>
      <c r="WD423" s="243"/>
      <c r="WE423" s="243"/>
      <c r="WF423" s="243"/>
      <c r="WG423" s="243"/>
      <c r="WH423" s="243"/>
      <c r="WI423" s="243"/>
      <c r="WJ423" s="243"/>
      <c r="WK423" s="243"/>
      <c r="WL423" s="243"/>
      <c r="WM423" s="243"/>
      <c r="WN423" s="243"/>
      <c r="WO423" s="243"/>
      <c r="WP423" s="243"/>
      <c r="WQ423" s="243"/>
      <c r="WR423" s="243"/>
      <c r="WS423" s="243"/>
      <c r="WT423" s="243"/>
      <c r="WU423" s="243"/>
      <c r="WV423" s="243"/>
      <c r="WW423" s="243"/>
      <c r="WX423" s="243"/>
      <c r="WY423" s="243"/>
      <c r="WZ423" s="243"/>
      <c r="XA423" s="243"/>
      <c r="XB423" s="243"/>
      <c r="XC423" s="243"/>
      <c r="XD423" s="243"/>
      <c r="XE423" s="243"/>
      <c r="XF423" s="243"/>
      <c r="XG423" s="243"/>
      <c r="XH423" s="243"/>
      <c r="XI423" s="243"/>
      <c r="XJ423" s="243"/>
      <c r="XK423" s="243"/>
      <c r="XL423" s="243"/>
      <c r="XM423" s="243"/>
      <c r="XN423" s="243"/>
      <c r="XO423" s="243"/>
      <c r="XP423" s="243"/>
      <c r="XQ423" s="243"/>
      <c r="XR423" s="243"/>
      <c r="XS423" s="243"/>
      <c r="XT423" s="243"/>
      <c r="XU423" s="243"/>
      <c r="XV423" s="243"/>
      <c r="XW423" s="243"/>
      <c r="XX423" s="243"/>
      <c r="XY423" s="243"/>
      <c r="XZ423" s="243"/>
      <c r="YA423" s="243"/>
      <c r="YB423" s="243"/>
      <c r="YC423" s="243"/>
      <c r="YD423" s="243"/>
      <c r="YE423" s="243"/>
      <c r="YF423" s="243"/>
      <c r="YG423" s="243"/>
      <c r="YH423" s="243"/>
      <c r="YI423" s="243"/>
      <c r="YJ423" s="243"/>
      <c r="YK423" s="243"/>
      <c r="YL423" s="243"/>
      <c r="YM423" s="243"/>
      <c r="YN423" s="243"/>
      <c r="YO423" s="243"/>
      <c r="YP423" s="243"/>
      <c r="YQ423" s="243"/>
      <c r="YR423" s="243"/>
      <c r="YS423" s="243"/>
      <c r="YT423" s="243"/>
      <c r="YU423" s="243"/>
      <c r="YV423" s="243"/>
      <c r="YW423" s="243"/>
      <c r="YX423" s="243"/>
      <c r="YY423" s="243"/>
      <c r="YZ423" s="243"/>
      <c r="ZA423" s="243"/>
      <c r="ZB423" s="243"/>
      <c r="ZC423" s="243"/>
      <c r="ZD423" s="243"/>
      <c r="ZE423" s="243"/>
      <c r="ZF423" s="243"/>
      <c r="ZG423" s="243"/>
      <c r="ZH423" s="243"/>
      <c r="ZI423" s="243"/>
      <c r="ZJ423" s="243"/>
      <c r="ZK423" s="243"/>
      <c r="ZL423" s="243"/>
      <c r="ZM423" s="243"/>
      <c r="ZN423" s="243"/>
      <c r="ZO423" s="243"/>
      <c r="ZP423" s="243"/>
      <c r="ZQ423" s="243"/>
      <c r="ZR423" s="243"/>
      <c r="ZS423" s="243"/>
      <c r="ZT423" s="243"/>
      <c r="ZU423" s="243"/>
      <c r="ZV423" s="243"/>
      <c r="ZW423" s="243"/>
      <c r="ZX423" s="243"/>
      <c r="ZY423" s="243"/>
      <c r="ZZ423" s="243"/>
      <c r="AAA423" s="243"/>
      <c r="AAB423" s="243"/>
      <c r="AAC423" s="243"/>
      <c r="AAD423" s="243"/>
      <c r="AAE423" s="243"/>
      <c r="AAF423" s="243"/>
      <c r="AAG423" s="243"/>
      <c r="AAH423" s="243"/>
      <c r="AAI423" s="243"/>
      <c r="AAJ423" s="243"/>
      <c r="AAK423" s="243"/>
      <c r="AAL423" s="243"/>
      <c r="AAM423" s="243"/>
      <c r="AAN423" s="243"/>
      <c r="AAO423" s="243"/>
      <c r="AAP423" s="243"/>
      <c r="AAQ423" s="243"/>
      <c r="AAR423" s="243"/>
      <c r="AAS423" s="243"/>
      <c r="AAT423" s="243"/>
      <c r="AAU423" s="243"/>
      <c r="AAV423" s="243"/>
      <c r="AAW423" s="243"/>
      <c r="AAX423" s="243"/>
      <c r="AAY423" s="243"/>
      <c r="AAZ423" s="243"/>
      <c r="ABA423" s="243"/>
      <c r="ABB423" s="243"/>
      <c r="ABC423" s="243"/>
      <c r="ABD423" s="243"/>
      <c r="ABE423" s="243"/>
      <c r="ABF423" s="243"/>
      <c r="ABG423" s="243"/>
      <c r="ABH423" s="243"/>
      <c r="ABI423" s="243"/>
      <c r="ABJ423" s="243"/>
      <c r="ABK423" s="243"/>
      <c r="ABL423" s="243"/>
      <c r="ABM423" s="243"/>
      <c r="ABN423" s="243"/>
      <c r="ABO423" s="243"/>
      <c r="ABP423" s="243"/>
      <c r="ABQ423" s="243"/>
      <c r="ABR423" s="243"/>
      <c r="ABS423" s="243"/>
      <c r="ABT423" s="243"/>
      <c r="ABU423" s="243"/>
      <c r="ABV423" s="243"/>
      <c r="ABW423" s="243"/>
      <c r="ABX423" s="243"/>
      <c r="ABY423" s="243"/>
      <c r="ABZ423" s="243"/>
      <c r="ACA423" s="243"/>
      <c r="ACB423" s="243"/>
      <c r="ACC423" s="243"/>
      <c r="ACD423" s="243"/>
      <c r="ACE423" s="243"/>
      <c r="ACF423" s="243"/>
      <c r="ACG423" s="243"/>
      <c r="ACH423" s="243"/>
      <c r="ACI423" s="243"/>
      <c r="ACJ423" s="243"/>
      <c r="ACK423" s="243"/>
      <c r="ACL423" s="243"/>
      <c r="ACM423" s="243"/>
      <c r="ACN423" s="243"/>
      <c r="ACO423" s="243"/>
      <c r="ACP423" s="243"/>
      <c r="ACQ423" s="243"/>
      <c r="ACR423" s="243"/>
      <c r="ACS423" s="243"/>
      <c r="ACT423" s="243"/>
      <c r="ACU423" s="243"/>
      <c r="ACV423" s="243"/>
      <c r="ACW423" s="243"/>
      <c r="ACX423" s="243"/>
      <c r="ACY423" s="243"/>
      <c r="ACZ423" s="243"/>
      <c r="ADA423" s="243"/>
      <c r="ADB423" s="243"/>
      <c r="ADC423" s="243"/>
      <c r="ADD423" s="243"/>
      <c r="ADE423" s="243"/>
      <c r="ADF423" s="243"/>
      <c r="ADG423" s="243"/>
      <c r="ADH423" s="243"/>
      <c r="ADI423" s="243"/>
      <c r="ADJ423" s="243"/>
      <c r="ADK423" s="243"/>
      <c r="ADL423" s="243"/>
      <c r="ADM423" s="243"/>
      <c r="ADN423" s="243"/>
      <c r="ADO423" s="243"/>
      <c r="ADP423" s="243"/>
      <c r="ADQ423" s="243"/>
      <c r="ADR423" s="243"/>
      <c r="ADS423" s="243"/>
      <c r="ADT423" s="243"/>
      <c r="ADU423" s="243"/>
      <c r="ADV423" s="243"/>
      <c r="ADW423" s="243"/>
      <c r="ADX423" s="243"/>
      <c r="ADY423" s="243"/>
      <c r="ADZ423" s="243"/>
      <c r="AEA423" s="243"/>
      <c r="AEB423" s="243"/>
      <c r="AEC423" s="243"/>
      <c r="AED423" s="243"/>
      <c r="AEE423" s="243"/>
      <c r="AEF423" s="243"/>
      <c r="AEG423" s="243"/>
      <c r="AEH423" s="243"/>
      <c r="AEI423" s="243"/>
      <c r="AEJ423" s="243"/>
      <c r="AEK423" s="243"/>
      <c r="AEL423" s="243"/>
      <c r="AEM423" s="243"/>
      <c r="AEN423" s="243"/>
      <c r="AEO423" s="243"/>
      <c r="AEP423" s="243"/>
      <c r="AEQ423" s="243"/>
      <c r="AER423" s="243"/>
      <c r="AES423" s="243"/>
      <c r="AET423" s="243"/>
      <c r="AEU423" s="243"/>
      <c r="AEV423" s="243"/>
      <c r="AEW423" s="243"/>
      <c r="AEX423" s="243"/>
      <c r="AEY423" s="243"/>
      <c r="AEZ423" s="243"/>
      <c r="AFA423" s="243"/>
      <c r="AFB423" s="243"/>
      <c r="AFC423" s="243"/>
      <c r="AFD423" s="243"/>
      <c r="AFE423" s="243"/>
      <c r="AFF423" s="243"/>
      <c r="AFG423" s="243"/>
      <c r="AFH423" s="243"/>
      <c r="AFI423" s="243"/>
      <c r="AFJ423" s="243"/>
      <c r="AFK423" s="243"/>
      <c r="AFL423" s="243"/>
      <c r="AFM423" s="243"/>
      <c r="AFN423" s="243"/>
      <c r="AFO423" s="243"/>
      <c r="AFP423" s="243"/>
      <c r="AFQ423" s="243"/>
      <c r="AFR423" s="243"/>
      <c r="AFS423" s="243"/>
      <c r="AFT423" s="243"/>
      <c r="AFU423" s="243"/>
      <c r="AFV423" s="243"/>
      <c r="AFW423" s="243"/>
      <c r="AFX423" s="243"/>
      <c r="AFY423" s="243"/>
      <c r="AFZ423" s="243"/>
      <c r="AGA423" s="243"/>
      <c r="AGB423" s="243"/>
      <c r="AGC423" s="243"/>
      <c r="AGD423" s="243"/>
      <c r="AGE423" s="243"/>
      <c r="AGF423" s="243"/>
      <c r="AGG423" s="243"/>
      <c r="AGH423" s="243"/>
      <c r="AGI423" s="243"/>
      <c r="AGJ423" s="243"/>
      <c r="AGK423" s="243"/>
      <c r="AGL423" s="243"/>
      <c r="AGM423" s="243"/>
      <c r="AGN423" s="243"/>
      <c r="AGO423" s="243"/>
      <c r="AGP423" s="243"/>
      <c r="AGQ423" s="243"/>
      <c r="AGR423" s="243"/>
      <c r="AGS423" s="243"/>
      <c r="AGT423" s="243"/>
      <c r="AGU423" s="243"/>
      <c r="AGV423" s="243"/>
      <c r="AGW423" s="243"/>
      <c r="AGX423" s="243"/>
      <c r="AGY423" s="243"/>
      <c r="AGZ423" s="243"/>
      <c r="AHA423" s="243"/>
      <c r="AHB423" s="243"/>
      <c r="AHC423" s="243"/>
      <c r="AHD423" s="243"/>
      <c r="AHE423" s="243"/>
      <c r="AHF423" s="243"/>
      <c r="AHG423" s="243"/>
      <c r="AHH423" s="243"/>
      <c r="AHI423" s="243"/>
      <c r="AHJ423" s="243"/>
      <c r="AHK423" s="243"/>
      <c r="AHL423" s="243"/>
      <c r="AHM423" s="243"/>
      <c r="AHN423" s="243"/>
      <c r="AHO423" s="243"/>
      <c r="AHP423" s="243"/>
      <c r="AHQ423" s="243"/>
      <c r="AHR423" s="243"/>
      <c r="AHS423" s="243"/>
      <c r="AHT423" s="243"/>
      <c r="AHU423" s="243"/>
      <c r="AHV423" s="243"/>
      <c r="AHW423" s="243"/>
      <c r="AHX423" s="243"/>
      <c r="AHY423" s="243"/>
      <c r="AHZ423" s="243"/>
      <c r="AIA423" s="243"/>
      <c r="AIB423" s="243"/>
      <c r="AIC423" s="243"/>
      <c r="AID423" s="243"/>
      <c r="AIE423" s="243"/>
      <c r="AIF423" s="243"/>
      <c r="AIG423" s="243"/>
      <c r="AIH423" s="243"/>
      <c r="AII423" s="243"/>
      <c r="AIJ423" s="243"/>
      <c r="AIK423" s="243"/>
      <c r="AIL423" s="243"/>
      <c r="AIM423" s="243"/>
      <c r="AIN423" s="243"/>
      <c r="AIO423" s="243"/>
      <c r="AIP423" s="243"/>
      <c r="AIQ423" s="243"/>
      <c r="AIR423" s="243"/>
      <c r="AIS423" s="243"/>
      <c r="AIT423" s="243"/>
      <c r="AIU423" s="243"/>
      <c r="AIV423" s="243"/>
      <c r="AIW423" s="243"/>
      <c r="AIX423" s="243"/>
      <c r="AIY423" s="243"/>
      <c r="AIZ423" s="243"/>
      <c r="AJA423" s="243"/>
      <c r="AJB423" s="243"/>
      <c r="AJC423" s="243"/>
      <c r="AJD423" s="243"/>
      <c r="AJE423" s="243"/>
      <c r="AJF423" s="243"/>
      <c r="AJG423" s="243"/>
      <c r="AJH423" s="243"/>
      <c r="AJI423" s="243"/>
      <c r="AJJ423" s="243"/>
      <c r="AJK423" s="243"/>
      <c r="AJL423" s="243"/>
      <c r="AJM423" s="243"/>
      <c r="AJN423" s="243"/>
      <c r="AJO423" s="243"/>
      <c r="AJP423" s="243"/>
      <c r="AJQ423" s="243"/>
      <c r="AJR423" s="243"/>
      <c r="AJS423" s="243"/>
      <c r="AJT423" s="243"/>
      <c r="AJU423" s="243"/>
      <c r="AJV423" s="243"/>
      <c r="AJW423" s="243"/>
      <c r="AJX423" s="243"/>
      <c r="AJY423" s="243"/>
      <c r="AJZ423" s="243"/>
      <c r="AKA423" s="243"/>
      <c r="AKB423" s="243"/>
      <c r="AKC423" s="243"/>
      <c r="AKD423" s="243"/>
      <c r="AKE423" s="243"/>
      <c r="AKF423" s="243"/>
      <c r="AKG423" s="243"/>
      <c r="AKH423" s="243"/>
      <c r="AKI423" s="243"/>
      <c r="AKJ423" s="243"/>
      <c r="AKK423" s="243"/>
      <c r="AKL423" s="243"/>
      <c r="AKM423" s="243"/>
      <c r="AKN423" s="243"/>
      <c r="AKO423" s="243"/>
      <c r="AKP423" s="243"/>
      <c r="AKQ423" s="243"/>
      <c r="AKR423" s="243"/>
      <c r="AKS423" s="243"/>
      <c r="AKT423" s="243"/>
      <c r="AKU423" s="243"/>
      <c r="AKV423" s="243"/>
      <c r="AKW423" s="243"/>
      <c r="AKX423" s="243"/>
      <c r="AKY423" s="243"/>
      <c r="AKZ423" s="243"/>
      <c r="ALA423" s="243"/>
      <c r="ALB423" s="243"/>
      <c r="ALC423" s="243"/>
      <c r="ALD423" s="243"/>
      <c r="ALE423" s="243"/>
      <c r="ALF423" s="243"/>
      <c r="ALG423" s="243"/>
      <c r="ALH423" s="243"/>
      <c r="ALI423" s="243"/>
      <c r="ALJ423" s="243"/>
      <c r="ALK423" s="243"/>
      <c r="ALL423" s="243"/>
      <c r="ALM423" s="243"/>
      <c r="ALN423" s="243"/>
      <c r="ALO423" s="243"/>
      <c r="ALP423" s="243"/>
      <c r="ALQ423" s="243"/>
      <c r="ALR423" s="243"/>
      <c r="ALS423" s="243"/>
      <c r="ALT423" s="243"/>
      <c r="ALU423" s="243"/>
      <c r="ALV423" s="243"/>
      <c r="ALW423" s="243"/>
      <c r="ALX423" s="243"/>
      <c r="ALY423" s="243"/>
      <c r="ALZ423" s="243"/>
      <c r="AMA423" s="243"/>
      <c r="AMB423" s="243"/>
      <c r="AMC423" s="243"/>
      <c r="AMD423" s="243"/>
      <c r="AME423" s="243"/>
      <c r="AMF423" s="243"/>
      <c r="AMG423" s="243"/>
      <c r="AMH423" s="243"/>
      <c r="AMI423" s="244"/>
      <c r="AMJ423" s="244"/>
    </row>
    <row r="424" spans="1:1024" ht="12.75" customHeight="1">
      <c r="A424" s="901"/>
      <c r="B424" s="686"/>
      <c r="C424" s="332"/>
      <c r="D424" s="626" t="s">
        <v>26</v>
      </c>
      <c r="E424" s="563">
        <f>SUM(E417:E423)</f>
        <v>11500000</v>
      </c>
      <c r="F424" s="318" t="s">
        <v>26</v>
      </c>
      <c r="G424" s="618">
        <f>SUM(G417:G423)</f>
        <v>710000</v>
      </c>
      <c r="H424" s="140"/>
      <c r="I424" s="140"/>
      <c r="J424" s="140"/>
      <c r="K424" s="626" t="s">
        <v>27</v>
      </c>
      <c r="L424" s="627"/>
      <c r="M424" s="627"/>
      <c r="N424" s="628"/>
      <c r="O424" s="629" t="s">
        <v>28</v>
      </c>
      <c r="P424" s="718">
        <f>G424+P423</f>
        <v>830000</v>
      </c>
      <c r="Q424" s="624"/>
    </row>
    <row r="425" spans="1:1024">
      <c r="A425" s="689"/>
      <c r="B425" s="687"/>
      <c r="C425" s="688"/>
      <c r="D425" s="689"/>
      <c r="E425" s="689"/>
      <c r="F425" s="689"/>
      <c r="G425" s="689"/>
      <c r="H425" s="689"/>
      <c r="I425" s="689"/>
      <c r="J425" s="689"/>
      <c r="K425" s="624"/>
      <c r="L425" s="624"/>
      <c r="M425" s="624"/>
      <c r="N425" s="624"/>
      <c r="O425" s="624"/>
      <c r="P425" s="624"/>
      <c r="Q425" s="624"/>
    </row>
    <row r="426" spans="1:1024">
      <c r="A426" s="904" t="s">
        <v>163</v>
      </c>
      <c r="B426" s="949"/>
      <c r="C426" s="949"/>
      <c r="D426" s="949"/>
      <c r="E426" s="949"/>
      <c r="F426" s="949"/>
      <c r="G426" s="949"/>
      <c r="H426" s="949"/>
      <c r="I426" s="949"/>
      <c r="J426" s="950"/>
      <c r="K426" s="948" t="s">
        <v>2</v>
      </c>
      <c r="L426" s="948"/>
      <c r="M426" s="1047"/>
      <c r="N426" s="1047"/>
      <c r="O426" s="1047"/>
      <c r="P426" s="1047"/>
      <c r="Q426" s="624"/>
    </row>
    <row r="427" spans="1:1024" ht="30.75">
      <c r="A427" s="327" t="s">
        <v>3</v>
      </c>
      <c r="B427" s="327" t="s">
        <v>4</v>
      </c>
      <c r="C427" s="327" t="s">
        <v>5</v>
      </c>
      <c r="D427" s="327" t="s">
        <v>6</v>
      </c>
      <c r="E427" s="327" t="s">
        <v>7</v>
      </c>
      <c r="F427" s="327" t="s">
        <v>8</v>
      </c>
      <c r="G427" s="327" t="s">
        <v>9</v>
      </c>
      <c r="H427" s="707" t="s">
        <v>10</v>
      </c>
      <c r="I427" s="327" t="s">
        <v>11</v>
      </c>
      <c r="J427" s="327" t="s">
        <v>12</v>
      </c>
      <c r="K427" s="711" t="s">
        <v>4</v>
      </c>
      <c r="L427" s="327" t="s">
        <v>5</v>
      </c>
      <c r="M427" s="732" t="s">
        <v>6</v>
      </c>
      <c r="N427" s="732" t="s">
        <v>13</v>
      </c>
      <c r="O427" s="732" t="s">
        <v>8</v>
      </c>
      <c r="P427" s="711" t="s">
        <v>14</v>
      </c>
      <c r="Q427" s="624"/>
    </row>
    <row r="428" spans="1:1024">
      <c r="A428" s="887">
        <v>14</v>
      </c>
      <c r="B428" s="122">
        <v>14745</v>
      </c>
      <c r="C428" s="121">
        <v>0.1</v>
      </c>
      <c r="D428" s="542" t="s">
        <v>284</v>
      </c>
      <c r="E428" s="364">
        <v>1400000</v>
      </c>
      <c r="F428" s="600">
        <v>0.08</v>
      </c>
      <c r="G428" s="364">
        <f>E428*F428</f>
        <v>112000</v>
      </c>
      <c r="H428" s="599" t="s">
        <v>149</v>
      </c>
      <c r="I428" s="604"/>
      <c r="J428" s="735"/>
      <c r="K428" s="122">
        <v>14780</v>
      </c>
      <c r="L428" s="736">
        <v>0.1</v>
      </c>
      <c r="M428" s="691" t="s">
        <v>285</v>
      </c>
      <c r="N428" s="364">
        <v>4200000</v>
      </c>
      <c r="O428" s="121">
        <v>0.04</v>
      </c>
      <c r="P428" s="364">
        <f>N428*O428</f>
        <v>168000</v>
      </c>
      <c r="Q428" s="638"/>
      <c r="R428" s="243"/>
      <c r="S428" s="243"/>
      <c r="T428" s="243"/>
      <c r="U428" s="243"/>
      <c r="V428" s="243"/>
      <c r="W428" s="243"/>
      <c r="X428" s="243"/>
      <c r="Y428" s="243"/>
      <c r="Z428" s="243"/>
      <c r="AA428" s="243"/>
      <c r="AB428" s="243"/>
      <c r="AC428" s="243"/>
      <c r="AD428" s="243"/>
      <c r="AE428" s="243"/>
      <c r="AF428" s="243"/>
      <c r="AG428" s="243"/>
      <c r="AH428" s="243"/>
      <c r="AI428" s="243"/>
      <c r="AJ428" s="243"/>
      <c r="AK428" s="243"/>
      <c r="AL428" s="243"/>
      <c r="AM428" s="243"/>
      <c r="AN428" s="243"/>
      <c r="AO428" s="243"/>
      <c r="AP428" s="243"/>
      <c r="AQ428" s="243"/>
      <c r="AR428" s="243"/>
      <c r="AS428" s="243"/>
      <c r="AT428" s="243"/>
      <c r="AU428" s="243"/>
      <c r="AV428" s="243"/>
      <c r="AW428" s="243"/>
      <c r="AX428" s="243"/>
      <c r="AY428" s="243"/>
      <c r="AZ428" s="243"/>
      <c r="BA428" s="243"/>
      <c r="BB428" s="243"/>
      <c r="BC428" s="243"/>
      <c r="BD428" s="243"/>
      <c r="BE428" s="243"/>
      <c r="BF428" s="243"/>
      <c r="BG428" s="243"/>
      <c r="BH428" s="243"/>
      <c r="BI428" s="243"/>
      <c r="BJ428" s="243"/>
      <c r="BK428" s="243"/>
      <c r="BL428" s="243"/>
      <c r="BM428" s="243"/>
      <c r="BN428" s="243"/>
      <c r="BO428" s="243"/>
      <c r="BP428" s="243"/>
      <c r="BQ428" s="243"/>
      <c r="BR428" s="243"/>
      <c r="BS428" s="243"/>
      <c r="BT428" s="243"/>
      <c r="BU428" s="243"/>
      <c r="BV428" s="243"/>
      <c r="BW428" s="243"/>
      <c r="BX428" s="243"/>
      <c r="BY428" s="243"/>
      <c r="BZ428" s="243"/>
      <c r="CA428" s="243"/>
      <c r="CB428" s="243"/>
      <c r="CC428" s="243"/>
      <c r="CD428" s="243"/>
      <c r="CE428" s="243"/>
      <c r="CF428" s="243"/>
      <c r="CG428" s="243"/>
      <c r="CH428" s="243"/>
      <c r="CI428" s="243"/>
      <c r="CJ428" s="243"/>
      <c r="CK428" s="243"/>
      <c r="CL428" s="243"/>
      <c r="CM428" s="243"/>
      <c r="CN428" s="243"/>
      <c r="CO428" s="243"/>
      <c r="CP428" s="243"/>
      <c r="CQ428" s="243"/>
      <c r="CR428" s="243"/>
      <c r="CS428" s="243"/>
      <c r="CT428" s="243"/>
      <c r="CU428" s="243"/>
      <c r="CV428" s="243"/>
      <c r="CW428" s="243"/>
      <c r="CX428" s="243"/>
      <c r="CY428" s="243"/>
      <c r="CZ428" s="243"/>
      <c r="DA428" s="243"/>
      <c r="DB428" s="243"/>
      <c r="DC428" s="243"/>
      <c r="DD428" s="243"/>
      <c r="DE428" s="243"/>
      <c r="DF428" s="243"/>
      <c r="DG428" s="243"/>
      <c r="DH428" s="243"/>
      <c r="DI428" s="243"/>
      <c r="DJ428" s="243"/>
      <c r="DK428" s="243"/>
      <c r="DL428" s="243"/>
      <c r="DM428" s="243"/>
      <c r="DN428" s="243"/>
      <c r="DO428" s="243"/>
      <c r="DP428" s="243"/>
      <c r="DQ428" s="243"/>
      <c r="DR428" s="243"/>
      <c r="DS428" s="243"/>
      <c r="DT428" s="243"/>
      <c r="DU428" s="243"/>
      <c r="DV428" s="243"/>
      <c r="DW428" s="243"/>
      <c r="DX428" s="243"/>
      <c r="DY428" s="243"/>
      <c r="DZ428" s="243"/>
      <c r="EA428" s="243"/>
      <c r="EB428" s="243"/>
      <c r="EC428" s="243"/>
      <c r="ED428" s="243"/>
      <c r="EE428" s="243"/>
      <c r="EF428" s="243"/>
      <c r="EG428" s="243"/>
      <c r="EH428" s="243"/>
      <c r="EI428" s="243"/>
      <c r="EJ428" s="243"/>
      <c r="EK428" s="243"/>
      <c r="EL428" s="243"/>
      <c r="EM428" s="243"/>
      <c r="EN428" s="243"/>
      <c r="EO428" s="243"/>
      <c r="EP428" s="243"/>
      <c r="EQ428" s="243"/>
      <c r="ER428" s="243"/>
      <c r="ES428" s="243"/>
      <c r="ET428" s="243"/>
      <c r="EU428" s="243"/>
      <c r="EV428" s="243"/>
      <c r="EW428" s="243"/>
      <c r="EX428" s="243"/>
      <c r="EY428" s="243"/>
      <c r="EZ428" s="243"/>
      <c r="FA428" s="243"/>
      <c r="FB428" s="243"/>
      <c r="FC428" s="243"/>
      <c r="FD428" s="243"/>
      <c r="FE428" s="243"/>
      <c r="FF428" s="243"/>
      <c r="FG428" s="243"/>
      <c r="FH428" s="243"/>
      <c r="FI428" s="243"/>
      <c r="FJ428" s="243"/>
      <c r="FK428" s="243"/>
      <c r="FL428" s="243"/>
      <c r="FM428" s="243"/>
      <c r="FN428" s="243"/>
      <c r="FO428" s="243"/>
      <c r="FP428" s="243"/>
      <c r="FQ428" s="243"/>
      <c r="FR428" s="243"/>
      <c r="FS428" s="243"/>
      <c r="FT428" s="243"/>
      <c r="FU428" s="243"/>
      <c r="FV428" s="243"/>
      <c r="FW428" s="243"/>
      <c r="FX428" s="243"/>
      <c r="FY428" s="243"/>
      <c r="FZ428" s="243"/>
      <c r="GA428" s="243"/>
      <c r="GB428" s="243"/>
      <c r="GC428" s="243"/>
      <c r="GD428" s="243"/>
      <c r="GE428" s="243"/>
      <c r="GF428" s="243"/>
      <c r="GG428" s="243"/>
      <c r="GH428" s="243"/>
      <c r="GI428" s="243"/>
      <c r="GJ428" s="243"/>
      <c r="GK428" s="243"/>
      <c r="GL428" s="243"/>
      <c r="GM428" s="243"/>
      <c r="GN428" s="243"/>
      <c r="GO428" s="243"/>
      <c r="GP428" s="243"/>
      <c r="GQ428" s="243"/>
      <c r="GR428" s="243"/>
      <c r="GS428" s="243"/>
      <c r="GT428" s="243"/>
      <c r="GU428" s="243"/>
      <c r="GV428" s="243"/>
      <c r="GW428" s="243"/>
      <c r="GX428" s="243"/>
      <c r="GY428" s="243"/>
      <c r="GZ428" s="243"/>
      <c r="HA428" s="243"/>
      <c r="HB428" s="243"/>
      <c r="HC428" s="243"/>
      <c r="HD428" s="243"/>
      <c r="HE428" s="243"/>
      <c r="HF428" s="243"/>
      <c r="HG428" s="243"/>
      <c r="HH428" s="243"/>
      <c r="HI428" s="243"/>
      <c r="HJ428" s="243"/>
      <c r="HK428" s="243"/>
      <c r="HL428" s="243"/>
      <c r="HM428" s="243"/>
      <c r="HN428" s="243"/>
      <c r="HO428" s="243"/>
      <c r="HP428" s="243"/>
      <c r="HQ428" s="243"/>
      <c r="HR428" s="243"/>
      <c r="HS428" s="243"/>
      <c r="HT428" s="243"/>
      <c r="HU428" s="243"/>
      <c r="HV428" s="243"/>
      <c r="HW428" s="243"/>
      <c r="HX428" s="243"/>
      <c r="HY428" s="243"/>
      <c r="HZ428" s="243"/>
      <c r="IA428" s="243"/>
      <c r="IB428" s="243"/>
      <c r="IC428" s="243"/>
      <c r="ID428" s="243"/>
      <c r="IE428" s="243"/>
      <c r="IF428" s="243"/>
      <c r="IG428" s="243"/>
      <c r="IH428" s="243"/>
      <c r="II428" s="243"/>
      <c r="IJ428" s="243"/>
      <c r="IK428" s="243"/>
      <c r="IL428" s="243"/>
      <c r="IM428" s="243"/>
      <c r="IN428" s="243"/>
      <c r="IO428" s="243"/>
      <c r="IP428" s="243"/>
      <c r="IQ428" s="243"/>
      <c r="IR428" s="243"/>
      <c r="IS428" s="243"/>
      <c r="IT428" s="243"/>
      <c r="IU428" s="243"/>
      <c r="IV428" s="243"/>
      <c r="IW428" s="243"/>
      <c r="IX428" s="243"/>
      <c r="IY428" s="243"/>
      <c r="IZ428" s="243"/>
      <c r="JA428" s="243"/>
      <c r="JB428" s="243"/>
      <c r="JC428" s="243"/>
      <c r="JD428" s="243"/>
      <c r="JE428" s="243"/>
      <c r="JF428" s="243"/>
      <c r="JG428" s="243"/>
      <c r="JH428" s="243"/>
      <c r="JI428" s="243"/>
      <c r="JJ428" s="243"/>
      <c r="JK428" s="243"/>
      <c r="JL428" s="243"/>
      <c r="JM428" s="243"/>
      <c r="JN428" s="243"/>
      <c r="JO428" s="243"/>
      <c r="JP428" s="243"/>
      <c r="JQ428" s="243"/>
      <c r="JR428" s="243"/>
      <c r="JS428" s="243"/>
      <c r="JT428" s="243"/>
      <c r="JU428" s="243"/>
      <c r="JV428" s="243"/>
      <c r="JW428" s="243"/>
      <c r="JX428" s="243"/>
      <c r="JY428" s="243"/>
      <c r="JZ428" s="243"/>
      <c r="KA428" s="243"/>
      <c r="KB428" s="243"/>
      <c r="KC428" s="243"/>
      <c r="KD428" s="243"/>
      <c r="KE428" s="243"/>
      <c r="KF428" s="243"/>
      <c r="KG428" s="243"/>
      <c r="KH428" s="243"/>
      <c r="KI428" s="243"/>
      <c r="KJ428" s="243"/>
      <c r="KK428" s="243"/>
      <c r="KL428" s="243"/>
      <c r="KM428" s="243"/>
      <c r="KN428" s="243"/>
      <c r="KO428" s="243"/>
      <c r="KP428" s="243"/>
      <c r="KQ428" s="243"/>
      <c r="KR428" s="243"/>
      <c r="KS428" s="243"/>
      <c r="KT428" s="243"/>
      <c r="KU428" s="243"/>
      <c r="KV428" s="243"/>
      <c r="KW428" s="243"/>
      <c r="KX428" s="243"/>
      <c r="KY428" s="243"/>
      <c r="KZ428" s="243"/>
      <c r="LA428" s="243"/>
      <c r="LB428" s="243"/>
      <c r="LC428" s="243"/>
      <c r="LD428" s="243"/>
      <c r="LE428" s="243"/>
      <c r="LF428" s="243"/>
      <c r="LG428" s="243"/>
      <c r="LH428" s="243"/>
      <c r="LI428" s="243"/>
      <c r="LJ428" s="243"/>
      <c r="LK428" s="243"/>
      <c r="LL428" s="243"/>
      <c r="LM428" s="243"/>
      <c r="LN428" s="243"/>
      <c r="LO428" s="243"/>
      <c r="LP428" s="243"/>
      <c r="LQ428" s="243"/>
      <c r="LR428" s="243"/>
      <c r="LS428" s="243"/>
      <c r="LT428" s="243"/>
      <c r="LU428" s="243"/>
      <c r="LV428" s="243"/>
      <c r="LW428" s="243"/>
      <c r="LX428" s="243"/>
      <c r="LY428" s="243"/>
      <c r="LZ428" s="243"/>
      <c r="MA428" s="243"/>
      <c r="MB428" s="243"/>
      <c r="MC428" s="243"/>
      <c r="MD428" s="243"/>
      <c r="ME428" s="243"/>
      <c r="MF428" s="243"/>
      <c r="MG428" s="243"/>
      <c r="MH428" s="243"/>
      <c r="MI428" s="243"/>
      <c r="MJ428" s="243"/>
      <c r="MK428" s="243"/>
      <c r="ML428" s="243"/>
      <c r="MM428" s="243"/>
      <c r="MN428" s="243"/>
      <c r="MO428" s="243"/>
      <c r="MP428" s="243"/>
      <c r="MQ428" s="243"/>
      <c r="MR428" s="243"/>
      <c r="MS428" s="243"/>
      <c r="MT428" s="243"/>
      <c r="MU428" s="243"/>
      <c r="MV428" s="243"/>
      <c r="MW428" s="243"/>
      <c r="MX428" s="243"/>
      <c r="MY428" s="243"/>
      <c r="MZ428" s="243"/>
      <c r="NA428" s="243"/>
      <c r="NB428" s="243"/>
      <c r="NC428" s="243"/>
      <c r="ND428" s="243"/>
      <c r="NE428" s="243"/>
      <c r="NF428" s="243"/>
      <c r="NG428" s="243"/>
      <c r="NH428" s="243"/>
      <c r="NI428" s="243"/>
      <c r="NJ428" s="243"/>
      <c r="NK428" s="243"/>
      <c r="NL428" s="243"/>
      <c r="NM428" s="243"/>
      <c r="NN428" s="243"/>
      <c r="NO428" s="243"/>
      <c r="NP428" s="243"/>
      <c r="NQ428" s="243"/>
      <c r="NR428" s="243"/>
      <c r="NS428" s="243"/>
      <c r="NT428" s="243"/>
      <c r="NU428" s="243"/>
      <c r="NV428" s="243"/>
      <c r="NW428" s="243"/>
      <c r="NX428" s="243"/>
      <c r="NY428" s="243"/>
      <c r="NZ428" s="243"/>
      <c r="OA428" s="243"/>
      <c r="OB428" s="243"/>
      <c r="OC428" s="243"/>
      <c r="OD428" s="243"/>
      <c r="OE428" s="243"/>
      <c r="OF428" s="243"/>
      <c r="OG428" s="243"/>
      <c r="OH428" s="243"/>
      <c r="OI428" s="243"/>
      <c r="OJ428" s="243"/>
      <c r="OK428" s="243"/>
      <c r="OL428" s="243"/>
      <c r="OM428" s="243"/>
      <c r="ON428" s="243"/>
      <c r="OO428" s="243"/>
      <c r="OP428" s="243"/>
      <c r="OQ428" s="243"/>
      <c r="OR428" s="243"/>
      <c r="OS428" s="243"/>
      <c r="OT428" s="243"/>
      <c r="OU428" s="243"/>
      <c r="OV428" s="243"/>
      <c r="OW428" s="243"/>
      <c r="OX428" s="243"/>
      <c r="OY428" s="243"/>
      <c r="OZ428" s="243"/>
      <c r="PA428" s="243"/>
      <c r="PB428" s="243"/>
      <c r="PC428" s="243"/>
      <c r="PD428" s="243"/>
      <c r="PE428" s="243"/>
      <c r="PF428" s="243"/>
      <c r="PG428" s="243"/>
      <c r="PH428" s="243"/>
      <c r="PI428" s="243"/>
      <c r="PJ428" s="243"/>
      <c r="PK428" s="243"/>
      <c r="PL428" s="243"/>
      <c r="PM428" s="243"/>
      <c r="PN428" s="243"/>
      <c r="PO428" s="243"/>
      <c r="PP428" s="243"/>
      <c r="PQ428" s="243"/>
      <c r="PR428" s="243"/>
      <c r="PS428" s="243"/>
      <c r="PT428" s="243"/>
      <c r="PU428" s="243"/>
      <c r="PV428" s="243"/>
      <c r="PW428" s="243"/>
      <c r="PX428" s="243"/>
      <c r="PY428" s="243"/>
      <c r="PZ428" s="243"/>
      <c r="QA428" s="243"/>
      <c r="QB428" s="243"/>
      <c r="QC428" s="243"/>
      <c r="QD428" s="243"/>
      <c r="QE428" s="243"/>
      <c r="QF428" s="243"/>
      <c r="QG428" s="243"/>
      <c r="QH428" s="243"/>
      <c r="QI428" s="243"/>
      <c r="QJ428" s="243"/>
      <c r="QK428" s="243"/>
      <c r="QL428" s="243"/>
      <c r="QM428" s="243"/>
      <c r="QN428" s="243"/>
      <c r="QO428" s="243"/>
      <c r="QP428" s="243"/>
      <c r="QQ428" s="243"/>
      <c r="QR428" s="243"/>
      <c r="QS428" s="243"/>
      <c r="QT428" s="243"/>
      <c r="QU428" s="243"/>
      <c r="QV428" s="243"/>
      <c r="QW428" s="243"/>
      <c r="QX428" s="243"/>
      <c r="QY428" s="243"/>
      <c r="QZ428" s="243"/>
      <c r="RA428" s="243"/>
      <c r="RB428" s="243"/>
      <c r="RC428" s="243"/>
      <c r="RD428" s="243"/>
      <c r="RE428" s="243"/>
      <c r="RF428" s="243"/>
      <c r="RG428" s="243"/>
      <c r="RH428" s="243"/>
      <c r="RI428" s="243"/>
      <c r="RJ428" s="243"/>
      <c r="RK428" s="243"/>
      <c r="RL428" s="243"/>
      <c r="RM428" s="243"/>
      <c r="RN428" s="243"/>
      <c r="RO428" s="243"/>
      <c r="RP428" s="243"/>
      <c r="RQ428" s="243"/>
      <c r="RR428" s="243"/>
      <c r="RS428" s="243"/>
      <c r="RT428" s="243"/>
      <c r="RU428" s="243"/>
      <c r="RV428" s="243"/>
      <c r="RW428" s="243"/>
      <c r="RX428" s="243"/>
      <c r="RY428" s="243"/>
      <c r="RZ428" s="243"/>
      <c r="SA428" s="243"/>
      <c r="SB428" s="243"/>
      <c r="SC428" s="243"/>
      <c r="SD428" s="243"/>
      <c r="SE428" s="243"/>
      <c r="SF428" s="243"/>
      <c r="SG428" s="243"/>
      <c r="SH428" s="243"/>
      <c r="SI428" s="243"/>
      <c r="SJ428" s="243"/>
      <c r="SK428" s="243"/>
      <c r="SL428" s="243"/>
      <c r="SM428" s="243"/>
      <c r="SN428" s="243"/>
      <c r="SO428" s="243"/>
      <c r="SP428" s="243"/>
      <c r="SQ428" s="243"/>
      <c r="SR428" s="243"/>
      <c r="SS428" s="243"/>
      <c r="ST428" s="243"/>
      <c r="SU428" s="243"/>
      <c r="SV428" s="243"/>
      <c r="SW428" s="243"/>
      <c r="SX428" s="243"/>
      <c r="SY428" s="243"/>
      <c r="SZ428" s="243"/>
      <c r="TA428" s="243"/>
      <c r="TB428" s="243"/>
      <c r="TC428" s="243"/>
      <c r="TD428" s="243"/>
      <c r="TE428" s="243"/>
      <c r="TF428" s="243"/>
      <c r="TG428" s="243"/>
      <c r="TH428" s="243"/>
      <c r="TI428" s="243"/>
      <c r="TJ428" s="243"/>
      <c r="TK428" s="243"/>
      <c r="TL428" s="243"/>
      <c r="TM428" s="243"/>
      <c r="TN428" s="243"/>
      <c r="TO428" s="243"/>
      <c r="TP428" s="243"/>
      <c r="TQ428" s="243"/>
      <c r="TR428" s="243"/>
      <c r="TS428" s="243"/>
      <c r="TT428" s="243"/>
      <c r="TU428" s="243"/>
      <c r="TV428" s="243"/>
      <c r="TW428" s="243"/>
      <c r="TX428" s="243"/>
      <c r="TY428" s="243"/>
      <c r="TZ428" s="243"/>
      <c r="UA428" s="243"/>
      <c r="UB428" s="243"/>
      <c r="UC428" s="243"/>
      <c r="UD428" s="243"/>
      <c r="UE428" s="243"/>
      <c r="UF428" s="243"/>
      <c r="UG428" s="243"/>
      <c r="UH428" s="243"/>
      <c r="UI428" s="243"/>
      <c r="UJ428" s="243"/>
      <c r="UK428" s="243"/>
      <c r="UL428" s="243"/>
      <c r="UM428" s="243"/>
      <c r="UN428" s="243"/>
      <c r="UO428" s="243"/>
      <c r="UP428" s="243"/>
      <c r="UQ428" s="243"/>
      <c r="UR428" s="243"/>
      <c r="US428" s="243"/>
      <c r="UT428" s="243"/>
      <c r="UU428" s="243"/>
      <c r="UV428" s="243"/>
      <c r="UW428" s="243"/>
      <c r="UX428" s="243"/>
      <c r="UY428" s="243"/>
      <c r="UZ428" s="243"/>
      <c r="VA428" s="243"/>
      <c r="VB428" s="243"/>
      <c r="VC428" s="243"/>
      <c r="VD428" s="243"/>
      <c r="VE428" s="243"/>
      <c r="VF428" s="243"/>
      <c r="VG428" s="243"/>
      <c r="VH428" s="243"/>
      <c r="VI428" s="243"/>
      <c r="VJ428" s="243"/>
      <c r="VK428" s="243"/>
      <c r="VL428" s="243"/>
      <c r="VM428" s="243"/>
      <c r="VN428" s="243"/>
      <c r="VO428" s="243"/>
      <c r="VP428" s="243"/>
      <c r="VQ428" s="243"/>
      <c r="VR428" s="243"/>
      <c r="VS428" s="243"/>
      <c r="VT428" s="243"/>
      <c r="VU428" s="243"/>
      <c r="VV428" s="243"/>
      <c r="VW428" s="243"/>
      <c r="VX428" s="243"/>
      <c r="VY428" s="243"/>
      <c r="VZ428" s="243"/>
      <c r="WA428" s="243"/>
      <c r="WB428" s="243"/>
      <c r="WC428" s="243"/>
      <c r="WD428" s="243"/>
      <c r="WE428" s="243"/>
      <c r="WF428" s="243"/>
      <c r="WG428" s="243"/>
      <c r="WH428" s="243"/>
      <c r="WI428" s="243"/>
      <c r="WJ428" s="243"/>
      <c r="WK428" s="243"/>
      <c r="WL428" s="243"/>
      <c r="WM428" s="243"/>
      <c r="WN428" s="243"/>
      <c r="WO428" s="243"/>
      <c r="WP428" s="243"/>
      <c r="WQ428" s="243"/>
      <c r="WR428" s="243"/>
      <c r="WS428" s="243"/>
      <c r="WT428" s="243"/>
      <c r="WU428" s="243"/>
      <c r="WV428" s="243"/>
      <c r="WW428" s="243"/>
      <c r="WX428" s="243"/>
      <c r="WY428" s="243"/>
      <c r="WZ428" s="243"/>
      <c r="XA428" s="243"/>
      <c r="XB428" s="243"/>
      <c r="XC428" s="243"/>
      <c r="XD428" s="243"/>
      <c r="XE428" s="243"/>
      <c r="XF428" s="243"/>
      <c r="XG428" s="243"/>
      <c r="XH428" s="243"/>
      <c r="XI428" s="243"/>
      <c r="XJ428" s="243"/>
      <c r="XK428" s="243"/>
      <c r="XL428" s="243"/>
      <c r="XM428" s="243"/>
      <c r="XN428" s="243"/>
      <c r="XO428" s="243"/>
      <c r="XP428" s="243"/>
      <c r="XQ428" s="243"/>
      <c r="XR428" s="243"/>
      <c r="XS428" s="243"/>
      <c r="XT428" s="243"/>
      <c r="XU428" s="243"/>
      <c r="XV428" s="243"/>
      <c r="XW428" s="243"/>
      <c r="XX428" s="243"/>
      <c r="XY428" s="243"/>
      <c r="XZ428" s="243"/>
      <c r="YA428" s="243"/>
      <c r="YB428" s="243"/>
      <c r="YC428" s="243"/>
      <c r="YD428" s="243"/>
      <c r="YE428" s="243"/>
      <c r="YF428" s="243"/>
      <c r="YG428" s="243"/>
      <c r="YH428" s="243"/>
      <c r="YI428" s="243"/>
      <c r="YJ428" s="243"/>
      <c r="YK428" s="243"/>
      <c r="YL428" s="243"/>
      <c r="YM428" s="243"/>
      <c r="YN428" s="243"/>
      <c r="YO428" s="243"/>
      <c r="YP428" s="243"/>
      <c r="YQ428" s="243"/>
      <c r="YR428" s="243"/>
      <c r="YS428" s="243"/>
      <c r="YT428" s="243"/>
      <c r="YU428" s="243"/>
      <c r="YV428" s="243"/>
      <c r="YW428" s="243"/>
      <c r="YX428" s="243"/>
      <c r="YY428" s="243"/>
      <c r="YZ428" s="243"/>
      <c r="ZA428" s="243"/>
      <c r="ZB428" s="243"/>
      <c r="ZC428" s="243"/>
      <c r="ZD428" s="243"/>
      <c r="ZE428" s="243"/>
      <c r="ZF428" s="243"/>
      <c r="ZG428" s="243"/>
      <c r="ZH428" s="243"/>
      <c r="ZI428" s="243"/>
      <c r="ZJ428" s="243"/>
      <c r="ZK428" s="243"/>
      <c r="ZL428" s="243"/>
      <c r="ZM428" s="243"/>
      <c r="ZN428" s="243"/>
      <c r="ZO428" s="243"/>
      <c r="ZP428" s="243"/>
      <c r="ZQ428" s="243"/>
      <c r="ZR428" s="243"/>
      <c r="ZS428" s="243"/>
      <c r="ZT428" s="243"/>
      <c r="ZU428" s="243"/>
      <c r="ZV428" s="243"/>
      <c r="ZW428" s="243"/>
      <c r="ZX428" s="243"/>
      <c r="ZY428" s="243"/>
      <c r="ZZ428" s="243"/>
      <c r="AAA428" s="243"/>
      <c r="AAB428" s="243"/>
      <c r="AAC428" s="243"/>
      <c r="AAD428" s="243"/>
      <c r="AAE428" s="243"/>
      <c r="AAF428" s="243"/>
      <c r="AAG428" s="243"/>
      <c r="AAH428" s="243"/>
      <c r="AAI428" s="243"/>
      <c r="AAJ428" s="243"/>
      <c r="AAK428" s="243"/>
      <c r="AAL428" s="243"/>
      <c r="AAM428" s="243"/>
      <c r="AAN428" s="243"/>
      <c r="AAO428" s="243"/>
      <c r="AAP428" s="243"/>
      <c r="AAQ428" s="243"/>
      <c r="AAR428" s="243"/>
      <c r="AAS428" s="243"/>
      <c r="AAT428" s="243"/>
      <c r="AAU428" s="243"/>
      <c r="AAV428" s="243"/>
      <c r="AAW428" s="243"/>
      <c r="AAX428" s="243"/>
      <c r="AAY428" s="243"/>
      <c r="AAZ428" s="243"/>
      <c r="ABA428" s="243"/>
      <c r="ABB428" s="243"/>
      <c r="ABC428" s="243"/>
      <c r="ABD428" s="243"/>
      <c r="ABE428" s="243"/>
      <c r="ABF428" s="243"/>
      <c r="ABG428" s="243"/>
      <c r="ABH428" s="243"/>
      <c r="ABI428" s="243"/>
      <c r="ABJ428" s="243"/>
      <c r="ABK428" s="243"/>
      <c r="ABL428" s="243"/>
      <c r="ABM428" s="243"/>
      <c r="ABN428" s="243"/>
      <c r="ABO428" s="243"/>
      <c r="ABP428" s="243"/>
      <c r="ABQ428" s="243"/>
      <c r="ABR428" s="243"/>
      <c r="ABS428" s="243"/>
      <c r="ABT428" s="243"/>
      <c r="ABU428" s="243"/>
      <c r="ABV428" s="243"/>
      <c r="ABW428" s="243"/>
      <c r="ABX428" s="243"/>
      <c r="ABY428" s="243"/>
      <c r="ABZ428" s="243"/>
      <c r="ACA428" s="243"/>
      <c r="ACB428" s="243"/>
      <c r="ACC428" s="243"/>
      <c r="ACD428" s="243"/>
      <c r="ACE428" s="243"/>
      <c r="ACF428" s="243"/>
      <c r="ACG428" s="243"/>
      <c r="ACH428" s="243"/>
      <c r="ACI428" s="243"/>
      <c r="ACJ428" s="243"/>
      <c r="ACK428" s="243"/>
      <c r="ACL428" s="243"/>
      <c r="ACM428" s="243"/>
      <c r="ACN428" s="243"/>
      <c r="ACO428" s="243"/>
      <c r="ACP428" s="243"/>
      <c r="ACQ428" s="243"/>
      <c r="ACR428" s="243"/>
      <c r="ACS428" s="243"/>
      <c r="ACT428" s="243"/>
      <c r="ACU428" s="243"/>
      <c r="ACV428" s="243"/>
      <c r="ACW428" s="243"/>
      <c r="ACX428" s="243"/>
      <c r="ACY428" s="243"/>
      <c r="ACZ428" s="243"/>
      <c r="ADA428" s="243"/>
      <c r="ADB428" s="243"/>
      <c r="ADC428" s="243"/>
      <c r="ADD428" s="243"/>
      <c r="ADE428" s="243"/>
      <c r="ADF428" s="243"/>
      <c r="ADG428" s="243"/>
      <c r="ADH428" s="243"/>
      <c r="ADI428" s="243"/>
      <c r="ADJ428" s="243"/>
      <c r="ADK428" s="243"/>
      <c r="ADL428" s="243"/>
      <c r="ADM428" s="243"/>
      <c r="ADN428" s="243"/>
      <c r="ADO428" s="243"/>
      <c r="ADP428" s="243"/>
      <c r="ADQ428" s="243"/>
      <c r="ADR428" s="243"/>
      <c r="ADS428" s="243"/>
      <c r="ADT428" s="243"/>
      <c r="ADU428" s="243"/>
      <c r="ADV428" s="243"/>
      <c r="ADW428" s="243"/>
      <c r="ADX428" s="243"/>
      <c r="ADY428" s="243"/>
      <c r="ADZ428" s="243"/>
      <c r="AEA428" s="243"/>
      <c r="AEB428" s="243"/>
      <c r="AEC428" s="243"/>
      <c r="AED428" s="243"/>
      <c r="AEE428" s="243"/>
      <c r="AEF428" s="243"/>
      <c r="AEG428" s="243"/>
      <c r="AEH428" s="243"/>
      <c r="AEI428" s="243"/>
      <c r="AEJ428" s="243"/>
      <c r="AEK428" s="243"/>
      <c r="AEL428" s="243"/>
      <c r="AEM428" s="243"/>
      <c r="AEN428" s="243"/>
      <c r="AEO428" s="243"/>
      <c r="AEP428" s="243"/>
      <c r="AEQ428" s="243"/>
      <c r="AER428" s="243"/>
      <c r="AES428" s="243"/>
      <c r="AET428" s="243"/>
      <c r="AEU428" s="243"/>
      <c r="AEV428" s="243"/>
      <c r="AEW428" s="243"/>
      <c r="AEX428" s="243"/>
      <c r="AEY428" s="243"/>
      <c r="AEZ428" s="243"/>
      <c r="AFA428" s="243"/>
      <c r="AFB428" s="243"/>
      <c r="AFC428" s="243"/>
      <c r="AFD428" s="243"/>
      <c r="AFE428" s="243"/>
      <c r="AFF428" s="243"/>
      <c r="AFG428" s="243"/>
      <c r="AFH428" s="243"/>
      <c r="AFI428" s="243"/>
      <c r="AFJ428" s="243"/>
      <c r="AFK428" s="243"/>
      <c r="AFL428" s="243"/>
      <c r="AFM428" s="243"/>
      <c r="AFN428" s="243"/>
      <c r="AFO428" s="243"/>
      <c r="AFP428" s="243"/>
      <c r="AFQ428" s="243"/>
      <c r="AFR428" s="243"/>
      <c r="AFS428" s="243"/>
      <c r="AFT428" s="243"/>
      <c r="AFU428" s="243"/>
      <c r="AFV428" s="243"/>
      <c r="AFW428" s="243"/>
      <c r="AFX428" s="243"/>
      <c r="AFY428" s="243"/>
      <c r="AFZ428" s="243"/>
      <c r="AGA428" s="243"/>
      <c r="AGB428" s="243"/>
      <c r="AGC428" s="243"/>
      <c r="AGD428" s="243"/>
      <c r="AGE428" s="243"/>
      <c r="AGF428" s="243"/>
      <c r="AGG428" s="243"/>
      <c r="AGH428" s="243"/>
      <c r="AGI428" s="243"/>
      <c r="AGJ428" s="243"/>
      <c r="AGK428" s="243"/>
      <c r="AGL428" s="243"/>
      <c r="AGM428" s="243"/>
      <c r="AGN428" s="243"/>
      <c r="AGO428" s="243"/>
      <c r="AGP428" s="243"/>
      <c r="AGQ428" s="243"/>
      <c r="AGR428" s="243"/>
      <c r="AGS428" s="243"/>
      <c r="AGT428" s="243"/>
      <c r="AGU428" s="243"/>
      <c r="AGV428" s="243"/>
      <c r="AGW428" s="243"/>
      <c r="AGX428" s="243"/>
      <c r="AGY428" s="243"/>
      <c r="AGZ428" s="243"/>
      <c r="AHA428" s="243"/>
      <c r="AHB428" s="243"/>
      <c r="AHC428" s="243"/>
      <c r="AHD428" s="243"/>
      <c r="AHE428" s="243"/>
      <c r="AHF428" s="243"/>
      <c r="AHG428" s="243"/>
      <c r="AHH428" s="243"/>
      <c r="AHI428" s="243"/>
      <c r="AHJ428" s="243"/>
      <c r="AHK428" s="243"/>
      <c r="AHL428" s="243"/>
      <c r="AHM428" s="243"/>
      <c r="AHN428" s="243"/>
      <c r="AHO428" s="243"/>
      <c r="AHP428" s="243"/>
      <c r="AHQ428" s="243"/>
      <c r="AHR428" s="243"/>
      <c r="AHS428" s="243"/>
      <c r="AHT428" s="243"/>
      <c r="AHU428" s="243"/>
      <c r="AHV428" s="243"/>
      <c r="AHW428" s="243"/>
      <c r="AHX428" s="243"/>
      <c r="AHY428" s="243"/>
      <c r="AHZ428" s="243"/>
      <c r="AIA428" s="243"/>
      <c r="AIB428" s="243"/>
      <c r="AIC428" s="243"/>
      <c r="AID428" s="243"/>
      <c r="AIE428" s="243"/>
      <c r="AIF428" s="243"/>
      <c r="AIG428" s="243"/>
      <c r="AIH428" s="243"/>
      <c r="AII428" s="243"/>
      <c r="AIJ428" s="243"/>
      <c r="AIK428" s="243"/>
      <c r="AIL428" s="243"/>
      <c r="AIM428" s="243"/>
      <c r="AIN428" s="243"/>
      <c r="AIO428" s="243"/>
      <c r="AIP428" s="243"/>
      <c r="AIQ428" s="243"/>
      <c r="AIR428" s="243"/>
      <c r="AIS428" s="243"/>
      <c r="AIT428" s="243"/>
      <c r="AIU428" s="243"/>
      <c r="AIV428" s="243"/>
      <c r="AIW428" s="243"/>
      <c r="AIX428" s="243"/>
      <c r="AIY428" s="243"/>
      <c r="AIZ428" s="243"/>
      <c r="AJA428" s="243"/>
      <c r="AJB428" s="243"/>
      <c r="AJC428" s="243"/>
      <c r="AJD428" s="243"/>
      <c r="AJE428" s="243"/>
      <c r="AJF428" s="243"/>
      <c r="AJG428" s="243"/>
      <c r="AJH428" s="243"/>
      <c r="AJI428" s="243"/>
      <c r="AJJ428" s="243"/>
      <c r="AJK428" s="243"/>
      <c r="AJL428" s="243"/>
      <c r="AJM428" s="243"/>
      <c r="AJN428" s="243"/>
      <c r="AJO428" s="243"/>
      <c r="AJP428" s="243"/>
      <c r="AJQ428" s="243"/>
      <c r="AJR428" s="243"/>
      <c r="AJS428" s="243"/>
      <c r="AJT428" s="243"/>
      <c r="AJU428" s="243"/>
      <c r="AJV428" s="243"/>
      <c r="AJW428" s="243"/>
      <c r="AJX428" s="243"/>
      <c r="AJY428" s="243"/>
      <c r="AJZ428" s="243"/>
      <c r="AKA428" s="243"/>
      <c r="AKB428" s="243"/>
      <c r="AKC428" s="243"/>
      <c r="AKD428" s="243"/>
      <c r="AKE428" s="243"/>
      <c r="AKF428" s="243"/>
      <c r="AKG428" s="243"/>
      <c r="AKH428" s="243"/>
      <c r="AKI428" s="243"/>
      <c r="AKJ428" s="243"/>
      <c r="AKK428" s="243"/>
      <c r="AKL428" s="243"/>
      <c r="AKM428" s="243"/>
      <c r="AKN428" s="243"/>
      <c r="AKO428" s="243"/>
      <c r="AKP428" s="243"/>
      <c r="AKQ428" s="243"/>
      <c r="AKR428" s="243"/>
      <c r="AKS428" s="243"/>
      <c r="AKT428" s="243"/>
      <c r="AKU428" s="243"/>
      <c r="AKV428" s="243"/>
      <c r="AKW428" s="243"/>
      <c r="AKX428" s="243"/>
      <c r="AKY428" s="243"/>
      <c r="AKZ428" s="243"/>
      <c r="ALA428" s="243"/>
      <c r="ALB428" s="243"/>
      <c r="ALC428" s="243"/>
      <c r="ALD428" s="243"/>
      <c r="ALE428" s="243"/>
      <c r="ALF428" s="243"/>
      <c r="ALG428" s="243"/>
      <c r="ALH428" s="243"/>
      <c r="ALI428" s="243"/>
      <c r="ALJ428" s="243"/>
      <c r="ALK428" s="243"/>
      <c r="ALL428" s="243"/>
      <c r="ALM428" s="243"/>
      <c r="ALN428" s="243"/>
      <c r="ALO428" s="243"/>
      <c r="ALP428" s="243"/>
      <c r="ALQ428" s="243"/>
      <c r="ALR428" s="243"/>
      <c r="ALS428" s="243"/>
      <c r="ALT428" s="243"/>
      <c r="ALU428" s="243"/>
      <c r="ALV428" s="243"/>
      <c r="ALW428" s="243"/>
      <c r="ALX428" s="243"/>
      <c r="ALY428" s="243"/>
      <c r="ALZ428" s="243"/>
      <c r="AMA428" s="243"/>
      <c r="AMB428" s="243"/>
      <c r="AMC428" s="243"/>
      <c r="AMD428" s="243"/>
      <c r="AME428" s="243"/>
      <c r="AMF428" s="243"/>
      <c r="AMG428" s="243"/>
      <c r="AMH428" s="243"/>
      <c r="AMI428" s="244"/>
      <c r="AMJ428" s="244"/>
    </row>
    <row r="429" spans="1:1024">
      <c r="A429" s="887"/>
      <c r="B429" s="551">
        <v>14809</v>
      </c>
      <c r="C429" s="121">
        <v>0.1</v>
      </c>
      <c r="D429" s="542" t="s">
        <v>286</v>
      </c>
      <c r="E429" s="364">
        <v>3000000</v>
      </c>
      <c r="F429" s="600">
        <v>0.08</v>
      </c>
      <c r="G429" s="364">
        <f t="shared" ref="G429:G431" si="18">E429*F429</f>
        <v>240000</v>
      </c>
      <c r="H429" s="599" t="s">
        <v>149</v>
      </c>
      <c r="I429" s="604"/>
      <c r="J429" s="604"/>
      <c r="K429" s="712"/>
      <c r="L429" s="720"/>
      <c r="M429" s="721"/>
      <c r="N429" s="733"/>
      <c r="O429" s="714"/>
      <c r="P429" s="649"/>
      <c r="Q429" s="716"/>
      <c r="R429" s="243"/>
      <c r="S429" s="243"/>
      <c r="T429" s="243"/>
      <c r="U429" s="243"/>
      <c r="V429" s="243"/>
      <c r="W429" s="243"/>
      <c r="X429" s="243"/>
      <c r="Y429" s="243"/>
      <c r="Z429" s="243"/>
      <c r="AA429" s="243"/>
      <c r="AB429" s="243"/>
      <c r="AC429" s="243"/>
      <c r="AD429" s="243"/>
      <c r="AE429" s="243"/>
      <c r="AF429" s="243"/>
      <c r="AG429" s="243"/>
      <c r="AH429" s="243"/>
      <c r="AI429" s="243"/>
      <c r="AJ429" s="243"/>
      <c r="AK429" s="243"/>
      <c r="AL429" s="243"/>
      <c r="AM429" s="243"/>
      <c r="AN429" s="243"/>
      <c r="AO429" s="243"/>
      <c r="AP429" s="243"/>
      <c r="AQ429" s="243"/>
      <c r="AR429" s="243"/>
      <c r="AS429" s="243"/>
      <c r="AT429" s="243"/>
      <c r="AU429" s="243"/>
      <c r="AV429" s="243"/>
      <c r="AW429" s="243"/>
      <c r="AX429" s="243"/>
      <c r="AY429" s="243"/>
      <c r="AZ429" s="243"/>
      <c r="BA429" s="243"/>
      <c r="BB429" s="243"/>
      <c r="BC429" s="243"/>
      <c r="BD429" s="243"/>
      <c r="BE429" s="243"/>
      <c r="BF429" s="243"/>
      <c r="BG429" s="243"/>
      <c r="BH429" s="243"/>
      <c r="BI429" s="243"/>
      <c r="BJ429" s="243"/>
      <c r="BK429" s="243"/>
      <c r="BL429" s="243"/>
      <c r="BM429" s="243"/>
      <c r="BN429" s="243"/>
      <c r="BO429" s="243"/>
      <c r="BP429" s="243"/>
      <c r="BQ429" s="243"/>
      <c r="BR429" s="243"/>
      <c r="BS429" s="243"/>
      <c r="BT429" s="243"/>
      <c r="BU429" s="243"/>
      <c r="BV429" s="243"/>
      <c r="BW429" s="243"/>
      <c r="BX429" s="243"/>
      <c r="BY429" s="243"/>
      <c r="BZ429" s="243"/>
      <c r="CA429" s="243"/>
      <c r="CB429" s="243"/>
      <c r="CC429" s="243"/>
      <c r="CD429" s="243"/>
      <c r="CE429" s="243"/>
      <c r="CF429" s="243"/>
      <c r="CG429" s="243"/>
      <c r="CH429" s="243"/>
      <c r="CI429" s="243"/>
      <c r="CJ429" s="243"/>
      <c r="CK429" s="243"/>
      <c r="CL429" s="243"/>
      <c r="CM429" s="243"/>
      <c r="CN429" s="243"/>
      <c r="CO429" s="243"/>
      <c r="CP429" s="243"/>
      <c r="CQ429" s="243"/>
      <c r="CR429" s="243"/>
      <c r="CS429" s="243"/>
      <c r="CT429" s="243"/>
      <c r="CU429" s="243"/>
      <c r="CV429" s="243"/>
      <c r="CW429" s="243"/>
      <c r="CX429" s="243"/>
      <c r="CY429" s="243"/>
      <c r="CZ429" s="243"/>
      <c r="DA429" s="243"/>
      <c r="DB429" s="243"/>
      <c r="DC429" s="243"/>
      <c r="DD429" s="243"/>
      <c r="DE429" s="243"/>
      <c r="DF429" s="243"/>
      <c r="DG429" s="243"/>
      <c r="DH429" s="243"/>
      <c r="DI429" s="243"/>
      <c r="DJ429" s="243"/>
      <c r="DK429" s="243"/>
      <c r="DL429" s="243"/>
      <c r="DM429" s="243"/>
      <c r="DN429" s="243"/>
      <c r="DO429" s="243"/>
      <c r="DP429" s="243"/>
      <c r="DQ429" s="243"/>
      <c r="DR429" s="243"/>
      <c r="DS429" s="243"/>
      <c r="DT429" s="243"/>
      <c r="DU429" s="243"/>
      <c r="DV429" s="243"/>
      <c r="DW429" s="243"/>
      <c r="DX429" s="243"/>
      <c r="DY429" s="243"/>
      <c r="DZ429" s="243"/>
      <c r="EA429" s="243"/>
      <c r="EB429" s="243"/>
      <c r="EC429" s="243"/>
      <c r="ED429" s="243"/>
      <c r="EE429" s="243"/>
      <c r="EF429" s="243"/>
      <c r="EG429" s="243"/>
      <c r="EH429" s="243"/>
      <c r="EI429" s="243"/>
      <c r="EJ429" s="243"/>
      <c r="EK429" s="243"/>
      <c r="EL429" s="243"/>
      <c r="EM429" s="243"/>
      <c r="EN429" s="243"/>
      <c r="EO429" s="243"/>
      <c r="EP429" s="243"/>
      <c r="EQ429" s="243"/>
      <c r="ER429" s="243"/>
      <c r="ES429" s="243"/>
      <c r="ET429" s="243"/>
      <c r="EU429" s="243"/>
      <c r="EV429" s="243"/>
      <c r="EW429" s="243"/>
      <c r="EX429" s="243"/>
      <c r="EY429" s="243"/>
      <c r="EZ429" s="243"/>
      <c r="FA429" s="243"/>
      <c r="FB429" s="243"/>
      <c r="FC429" s="243"/>
      <c r="FD429" s="243"/>
      <c r="FE429" s="243"/>
      <c r="FF429" s="243"/>
      <c r="FG429" s="243"/>
      <c r="FH429" s="243"/>
      <c r="FI429" s="243"/>
      <c r="FJ429" s="243"/>
      <c r="FK429" s="243"/>
      <c r="FL429" s="243"/>
      <c r="FM429" s="243"/>
      <c r="FN429" s="243"/>
      <c r="FO429" s="243"/>
      <c r="FP429" s="243"/>
      <c r="FQ429" s="243"/>
      <c r="FR429" s="243"/>
      <c r="FS429" s="243"/>
      <c r="FT429" s="243"/>
      <c r="FU429" s="243"/>
      <c r="FV429" s="243"/>
      <c r="FW429" s="243"/>
      <c r="FX429" s="243"/>
      <c r="FY429" s="243"/>
      <c r="FZ429" s="243"/>
      <c r="GA429" s="243"/>
      <c r="GB429" s="243"/>
      <c r="GC429" s="243"/>
      <c r="GD429" s="243"/>
      <c r="GE429" s="243"/>
      <c r="GF429" s="243"/>
      <c r="GG429" s="243"/>
      <c r="GH429" s="243"/>
      <c r="GI429" s="243"/>
      <c r="GJ429" s="243"/>
      <c r="GK429" s="243"/>
      <c r="GL429" s="243"/>
      <c r="GM429" s="243"/>
      <c r="GN429" s="243"/>
      <c r="GO429" s="243"/>
      <c r="GP429" s="243"/>
      <c r="GQ429" s="243"/>
      <c r="GR429" s="243"/>
      <c r="GS429" s="243"/>
      <c r="GT429" s="243"/>
      <c r="GU429" s="243"/>
      <c r="GV429" s="243"/>
      <c r="GW429" s="243"/>
      <c r="GX429" s="243"/>
      <c r="GY429" s="243"/>
      <c r="GZ429" s="243"/>
      <c r="HA429" s="243"/>
      <c r="HB429" s="243"/>
      <c r="HC429" s="243"/>
      <c r="HD429" s="243"/>
      <c r="HE429" s="243"/>
      <c r="HF429" s="243"/>
      <c r="HG429" s="243"/>
      <c r="HH429" s="243"/>
      <c r="HI429" s="243"/>
      <c r="HJ429" s="243"/>
      <c r="HK429" s="243"/>
      <c r="HL429" s="243"/>
      <c r="HM429" s="243"/>
      <c r="HN429" s="243"/>
      <c r="HO429" s="243"/>
      <c r="HP429" s="243"/>
      <c r="HQ429" s="243"/>
      <c r="HR429" s="243"/>
      <c r="HS429" s="243"/>
      <c r="HT429" s="243"/>
      <c r="HU429" s="243"/>
      <c r="HV429" s="243"/>
      <c r="HW429" s="243"/>
      <c r="HX429" s="243"/>
      <c r="HY429" s="243"/>
      <c r="HZ429" s="243"/>
      <c r="IA429" s="243"/>
      <c r="IB429" s="243"/>
      <c r="IC429" s="243"/>
      <c r="ID429" s="243"/>
      <c r="IE429" s="243"/>
      <c r="IF429" s="243"/>
      <c r="IG429" s="243"/>
      <c r="IH429" s="243"/>
      <c r="II429" s="243"/>
      <c r="IJ429" s="243"/>
      <c r="IK429" s="243"/>
      <c r="IL429" s="243"/>
      <c r="IM429" s="243"/>
      <c r="IN429" s="243"/>
      <c r="IO429" s="243"/>
      <c r="IP429" s="243"/>
      <c r="IQ429" s="243"/>
      <c r="IR429" s="243"/>
      <c r="IS429" s="243"/>
      <c r="IT429" s="243"/>
      <c r="IU429" s="243"/>
      <c r="IV429" s="243"/>
      <c r="IW429" s="243"/>
      <c r="IX429" s="243"/>
      <c r="IY429" s="243"/>
      <c r="IZ429" s="243"/>
      <c r="JA429" s="243"/>
      <c r="JB429" s="243"/>
      <c r="JC429" s="243"/>
      <c r="JD429" s="243"/>
      <c r="JE429" s="243"/>
      <c r="JF429" s="243"/>
      <c r="JG429" s="243"/>
      <c r="JH429" s="243"/>
      <c r="JI429" s="243"/>
      <c r="JJ429" s="243"/>
      <c r="JK429" s="243"/>
      <c r="JL429" s="243"/>
      <c r="JM429" s="243"/>
      <c r="JN429" s="243"/>
      <c r="JO429" s="243"/>
      <c r="JP429" s="243"/>
      <c r="JQ429" s="243"/>
      <c r="JR429" s="243"/>
      <c r="JS429" s="243"/>
      <c r="JT429" s="243"/>
      <c r="JU429" s="243"/>
      <c r="JV429" s="243"/>
      <c r="JW429" s="243"/>
      <c r="JX429" s="243"/>
      <c r="JY429" s="243"/>
      <c r="JZ429" s="243"/>
      <c r="KA429" s="243"/>
      <c r="KB429" s="243"/>
      <c r="KC429" s="243"/>
      <c r="KD429" s="243"/>
      <c r="KE429" s="243"/>
      <c r="KF429" s="243"/>
      <c r="KG429" s="243"/>
      <c r="KH429" s="243"/>
      <c r="KI429" s="243"/>
      <c r="KJ429" s="243"/>
      <c r="KK429" s="243"/>
      <c r="KL429" s="243"/>
      <c r="KM429" s="243"/>
      <c r="KN429" s="243"/>
      <c r="KO429" s="243"/>
      <c r="KP429" s="243"/>
      <c r="KQ429" s="243"/>
      <c r="KR429" s="243"/>
      <c r="KS429" s="243"/>
      <c r="KT429" s="243"/>
      <c r="KU429" s="243"/>
      <c r="KV429" s="243"/>
      <c r="KW429" s="243"/>
      <c r="KX429" s="243"/>
      <c r="KY429" s="243"/>
      <c r="KZ429" s="243"/>
      <c r="LA429" s="243"/>
      <c r="LB429" s="243"/>
      <c r="LC429" s="243"/>
      <c r="LD429" s="243"/>
      <c r="LE429" s="243"/>
      <c r="LF429" s="243"/>
      <c r="LG429" s="243"/>
      <c r="LH429" s="243"/>
      <c r="LI429" s="243"/>
      <c r="LJ429" s="243"/>
      <c r="LK429" s="243"/>
      <c r="LL429" s="243"/>
      <c r="LM429" s="243"/>
      <c r="LN429" s="243"/>
      <c r="LO429" s="243"/>
      <c r="LP429" s="243"/>
      <c r="LQ429" s="243"/>
      <c r="LR429" s="243"/>
      <c r="LS429" s="243"/>
      <c r="LT429" s="243"/>
      <c r="LU429" s="243"/>
      <c r="LV429" s="243"/>
      <c r="LW429" s="243"/>
      <c r="LX429" s="243"/>
      <c r="LY429" s="243"/>
      <c r="LZ429" s="243"/>
      <c r="MA429" s="243"/>
      <c r="MB429" s="243"/>
      <c r="MC429" s="243"/>
      <c r="MD429" s="243"/>
      <c r="ME429" s="243"/>
      <c r="MF429" s="243"/>
      <c r="MG429" s="243"/>
      <c r="MH429" s="243"/>
      <c r="MI429" s="243"/>
      <c r="MJ429" s="243"/>
      <c r="MK429" s="243"/>
      <c r="ML429" s="243"/>
      <c r="MM429" s="243"/>
      <c r="MN429" s="243"/>
      <c r="MO429" s="243"/>
      <c r="MP429" s="243"/>
      <c r="MQ429" s="243"/>
      <c r="MR429" s="243"/>
      <c r="MS429" s="243"/>
      <c r="MT429" s="243"/>
      <c r="MU429" s="243"/>
      <c r="MV429" s="243"/>
      <c r="MW429" s="243"/>
      <c r="MX429" s="243"/>
      <c r="MY429" s="243"/>
      <c r="MZ429" s="243"/>
      <c r="NA429" s="243"/>
      <c r="NB429" s="243"/>
      <c r="NC429" s="243"/>
      <c r="ND429" s="243"/>
      <c r="NE429" s="243"/>
      <c r="NF429" s="243"/>
      <c r="NG429" s="243"/>
      <c r="NH429" s="243"/>
      <c r="NI429" s="243"/>
      <c r="NJ429" s="243"/>
      <c r="NK429" s="243"/>
      <c r="NL429" s="243"/>
      <c r="NM429" s="243"/>
      <c r="NN429" s="243"/>
      <c r="NO429" s="243"/>
      <c r="NP429" s="243"/>
      <c r="NQ429" s="243"/>
      <c r="NR429" s="243"/>
      <c r="NS429" s="243"/>
      <c r="NT429" s="243"/>
      <c r="NU429" s="243"/>
      <c r="NV429" s="243"/>
      <c r="NW429" s="243"/>
      <c r="NX429" s="243"/>
      <c r="NY429" s="243"/>
      <c r="NZ429" s="243"/>
      <c r="OA429" s="243"/>
      <c r="OB429" s="243"/>
      <c r="OC429" s="243"/>
      <c r="OD429" s="243"/>
      <c r="OE429" s="243"/>
      <c r="OF429" s="243"/>
      <c r="OG429" s="243"/>
      <c r="OH429" s="243"/>
      <c r="OI429" s="243"/>
      <c r="OJ429" s="243"/>
      <c r="OK429" s="243"/>
      <c r="OL429" s="243"/>
      <c r="OM429" s="243"/>
      <c r="ON429" s="243"/>
      <c r="OO429" s="243"/>
      <c r="OP429" s="243"/>
      <c r="OQ429" s="243"/>
      <c r="OR429" s="243"/>
      <c r="OS429" s="243"/>
      <c r="OT429" s="243"/>
      <c r="OU429" s="243"/>
      <c r="OV429" s="243"/>
      <c r="OW429" s="243"/>
      <c r="OX429" s="243"/>
      <c r="OY429" s="243"/>
      <c r="OZ429" s="243"/>
      <c r="PA429" s="243"/>
      <c r="PB429" s="243"/>
      <c r="PC429" s="243"/>
      <c r="PD429" s="243"/>
      <c r="PE429" s="243"/>
      <c r="PF429" s="243"/>
      <c r="PG429" s="243"/>
      <c r="PH429" s="243"/>
      <c r="PI429" s="243"/>
      <c r="PJ429" s="243"/>
      <c r="PK429" s="243"/>
      <c r="PL429" s="243"/>
      <c r="PM429" s="243"/>
      <c r="PN429" s="243"/>
      <c r="PO429" s="243"/>
      <c r="PP429" s="243"/>
      <c r="PQ429" s="243"/>
      <c r="PR429" s="243"/>
      <c r="PS429" s="243"/>
      <c r="PT429" s="243"/>
      <c r="PU429" s="243"/>
      <c r="PV429" s="243"/>
      <c r="PW429" s="243"/>
      <c r="PX429" s="243"/>
      <c r="PY429" s="243"/>
      <c r="PZ429" s="243"/>
      <c r="QA429" s="243"/>
      <c r="QB429" s="243"/>
      <c r="QC429" s="243"/>
      <c r="QD429" s="243"/>
      <c r="QE429" s="243"/>
      <c r="QF429" s="243"/>
      <c r="QG429" s="243"/>
      <c r="QH429" s="243"/>
      <c r="QI429" s="243"/>
      <c r="QJ429" s="243"/>
      <c r="QK429" s="243"/>
      <c r="QL429" s="243"/>
      <c r="QM429" s="243"/>
      <c r="QN429" s="243"/>
      <c r="QO429" s="243"/>
      <c r="QP429" s="243"/>
      <c r="QQ429" s="243"/>
      <c r="QR429" s="243"/>
      <c r="QS429" s="243"/>
      <c r="QT429" s="243"/>
      <c r="QU429" s="243"/>
      <c r="QV429" s="243"/>
      <c r="QW429" s="243"/>
      <c r="QX429" s="243"/>
      <c r="QY429" s="243"/>
      <c r="QZ429" s="243"/>
      <c r="RA429" s="243"/>
      <c r="RB429" s="243"/>
      <c r="RC429" s="243"/>
      <c r="RD429" s="243"/>
      <c r="RE429" s="243"/>
      <c r="RF429" s="243"/>
      <c r="RG429" s="243"/>
      <c r="RH429" s="243"/>
      <c r="RI429" s="243"/>
      <c r="RJ429" s="243"/>
      <c r="RK429" s="243"/>
      <c r="RL429" s="243"/>
      <c r="RM429" s="243"/>
      <c r="RN429" s="243"/>
      <c r="RO429" s="243"/>
      <c r="RP429" s="243"/>
      <c r="RQ429" s="243"/>
      <c r="RR429" s="243"/>
      <c r="RS429" s="243"/>
      <c r="RT429" s="243"/>
      <c r="RU429" s="243"/>
      <c r="RV429" s="243"/>
      <c r="RW429" s="243"/>
      <c r="RX429" s="243"/>
      <c r="RY429" s="243"/>
      <c r="RZ429" s="243"/>
      <c r="SA429" s="243"/>
      <c r="SB429" s="243"/>
      <c r="SC429" s="243"/>
      <c r="SD429" s="243"/>
      <c r="SE429" s="243"/>
      <c r="SF429" s="243"/>
      <c r="SG429" s="243"/>
      <c r="SH429" s="243"/>
      <c r="SI429" s="243"/>
      <c r="SJ429" s="243"/>
      <c r="SK429" s="243"/>
      <c r="SL429" s="243"/>
      <c r="SM429" s="243"/>
      <c r="SN429" s="243"/>
      <c r="SO429" s="243"/>
      <c r="SP429" s="243"/>
      <c r="SQ429" s="243"/>
      <c r="SR429" s="243"/>
      <c r="SS429" s="243"/>
      <c r="ST429" s="243"/>
      <c r="SU429" s="243"/>
      <c r="SV429" s="243"/>
      <c r="SW429" s="243"/>
      <c r="SX429" s="243"/>
      <c r="SY429" s="243"/>
      <c r="SZ429" s="243"/>
      <c r="TA429" s="243"/>
      <c r="TB429" s="243"/>
      <c r="TC429" s="243"/>
      <c r="TD429" s="243"/>
      <c r="TE429" s="243"/>
      <c r="TF429" s="243"/>
      <c r="TG429" s="243"/>
      <c r="TH429" s="243"/>
      <c r="TI429" s="243"/>
      <c r="TJ429" s="243"/>
      <c r="TK429" s="243"/>
      <c r="TL429" s="243"/>
      <c r="TM429" s="243"/>
      <c r="TN429" s="243"/>
      <c r="TO429" s="243"/>
      <c r="TP429" s="243"/>
      <c r="TQ429" s="243"/>
      <c r="TR429" s="243"/>
      <c r="TS429" s="243"/>
      <c r="TT429" s="243"/>
      <c r="TU429" s="243"/>
      <c r="TV429" s="243"/>
      <c r="TW429" s="243"/>
      <c r="TX429" s="243"/>
      <c r="TY429" s="243"/>
      <c r="TZ429" s="243"/>
      <c r="UA429" s="243"/>
      <c r="UB429" s="243"/>
      <c r="UC429" s="243"/>
      <c r="UD429" s="243"/>
      <c r="UE429" s="243"/>
      <c r="UF429" s="243"/>
      <c r="UG429" s="243"/>
      <c r="UH429" s="243"/>
      <c r="UI429" s="243"/>
      <c r="UJ429" s="243"/>
      <c r="UK429" s="243"/>
      <c r="UL429" s="243"/>
      <c r="UM429" s="243"/>
      <c r="UN429" s="243"/>
      <c r="UO429" s="243"/>
      <c r="UP429" s="243"/>
      <c r="UQ429" s="243"/>
      <c r="UR429" s="243"/>
      <c r="US429" s="243"/>
      <c r="UT429" s="243"/>
      <c r="UU429" s="243"/>
      <c r="UV429" s="243"/>
      <c r="UW429" s="243"/>
      <c r="UX429" s="243"/>
      <c r="UY429" s="243"/>
      <c r="UZ429" s="243"/>
      <c r="VA429" s="243"/>
      <c r="VB429" s="243"/>
      <c r="VC429" s="243"/>
      <c r="VD429" s="243"/>
      <c r="VE429" s="243"/>
      <c r="VF429" s="243"/>
      <c r="VG429" s="243"/>
      <c r="VH429" s="243"/>
      <c r="VI429" s="243"/>
      <c r="VJ429" s="243"/>
      <c r="VK429" s="243"/>
      <c r="VL429" s="243"/>
      <c r="VM429" s="243"/>
      <c r="VN429" s="243"/>
      <c r="VO429" s="243"/>
      <c r="VP429" s="243"/>
      <c r="VQ429" s="243"/>
      <c r="VR429" s="243"/>
      <c r="VS429" s="243"/>
      <c r="VT429" s="243"/>
      <c r="VU429" s="243"/>
      <c r="VV429" s="243"/>
      <c r="VW429" s="243"/>
      <c r="VX429" s="243"/>
      <c r="VY429" s="243"/>
      <c r="VZ429" s="243"/>
      <c r="WA429" s="243"/>
      <c r="WB429" s="243"/>
      <c r="WC429" s="243"/>
      <c r="WD429" s="243"/>
      <c r="WE429" s="243"/>
      <c r="WF429" s="243"/>
      <c r="WG429" s="243"/>
      <c r="WH429" s="243"/>
      <c r="WI429" s="243"/>
      <c r="WJ429" s="243"/>
      <c r="WK429" s="243"/>
      <c r="WL429" s="243"/>
      <c r="WM429" s="243"/>
      <c r="WN429" s="243"/>
      <c r="WO429" s="243"/>
      <c r="WP429" s="243"/>
      <c r="WQ429" s="243"/>
      <c r="WR429" s="243"/>
      <c r="WS429" s="243"/>
      <c r="WT429" s="243"/>
      <c r="WU429" s="243"/>
      <c r="WV429" s="243"/>
      <c r="WW429" s="243"/>
      <c r="WX429" s="243"/>
      <c r="WY429" s="243"/>
      <c r="WZ429" s="243"/>
      <c r="XA429" s="243"/>
      <c r="XB429" s="243"/>
      <c r="XC429" s="243"/>
      <c r="XD429" s="243"/>
      <c r="XE429" s="243"/>
      <c r="XF429" s="243"/>
      <c r="XG429" s="243"/>
      <c r="XH429" s="243"/>
      <c r="XI429" s="243"/>
      <c r="XJ429" s="243"/>
      <c r="XK429" s="243"/>
      <c r="XL429" s="243"/>
      <c r="XM429" s="243"/>
      <c r="XN429" s="243"/>
      <c r="XO429" s="243"/>
      <c r="XP429" s="243"/>
      <c r="XQ429" s="243"/>
      <c r="XR429" s="243"/>
      <c r="XS429" s="243"/>
      <c r="XT429" s="243"/>
      <c r="XU429" s="243"/>
      <c r="XV429" s="243"/>
      <c r="XW429" s="243"/>
      <c r="XX429" s="243"/>
      <c r="XY429" s="243"/>
      <c r="XZ429" s="243"/>
      <c r="YA429" s="243"/>
      <c r="YB429" s="243"/>
      <c r="YC429" s="243"/>
      <c r="YD429" s="243"/>
      <c r="YE429" s="243"/>
      <c r="YF429" s="243"/>
      <c r="YG429" s="243"/>
      <c r="YH429" s="243"/>
      <c r="YI429" s="243"/>
      <c r="YJ429" s="243"/>
      <c r="YK429" s="243"/>
      <c r="YL429" s="243"/>
      <c r="YM429" s="243"/>
      <c r="YN429" s="243"/>
      <c r="YO429" s="243"/>
      <c r="YP429" s="243"/>
      <c r="YQ429" s="243"/>
      <c r="YR429" s="243"/>
      <c r="YS429" s="243"/>
      <c r="YT429" s="243"/>
      <c r="YU429" s="243"/>
      <c r="YV429" s="243"/>
      <c r="YW429" s="243"/>
      <c r="YX429" s="243"/>
      <c r="YY429" s="243"/>
      <c r="YZ429" s="243"/>
      <c r="ZA429" s="243"/>
      <c r="ZB429" s="243"/>
      <c r="ZC429" s="243"/>
      <c r="ZD429" s="243"/>
      <c r="ZE429" s="243"/>
      <c r="ZF429" s="243"/>
      <c r="ZG429" s="243"/>
      <c r="ZH429" s="243"/>
      <c r="ZI429" s="243"/>
      <c r="ZJ429" s="243"/>
      <c r="ZK429" s="243"/>
      <c r="ZL429" s="243"/>
      <c r="ZM429" s="243"/>
      <c r="ZN429" s="243"/>
      <c r="ZO429" s="243"/>
      <c r="ZP429" s="243"/>
      <c r="ZQ429" s="243"/>
      <c r="ZR429" s="243"/>
      <c r="ZS429" s="243"/>
      <c r="ZT429" s="243"/>
      <c r="ZU429" s="243"/>
      <c r="ZV429" s="243"/>
      <c r="ZW429" s="243"/>
      <c r="ZX429" s="243"/>
      <c r="ZY429" s="243"/>
      <c r="ZZ429" s="243"/>
      <c r="AAA429" s="243"/>
      <c r="AAB429" s="243"/>
      <c r="AAC429" s="243"/>
      <c r="AAD429" s="243"/>
      <c r="AAE429" s="243"/>
      <c r="AAF429" s="243"/>
      <c r="AAG429" s="243"/>
      <c r="AAH429" s="243"/>
      <c r="AAI429" s="243"/>
      <c r="AAJ429" s="243"/>
      <c r="AAK429" s="243"/>
      <c r="AAL429" s="243"/>
      <c r="AAM429" s="243"/>
      <c r="AAN429" s="243"/>
      <c r="AAO429" s="243"/>
      <c r="AAP429" s="243"/>
      <c r="AAQ429" s="243"/>
      <c r="AAR429" s="243"/>
      <c r="AAS429" s="243"/>
      <c r="AAT429" s="243"/>
      <c r="AAU429" s="243"/>
      <c r="AAV429" s="243"/>
      <c r="AAW429" s="243"/>
      <c r="AAX429" s="243"/>
      <c r="AAY429" s="243"/>
      <c r="AAZ429" s="243"/>
      <c r="ABA429" s="243"/>
      <c r="ABB429" s="243"/>
      <c r="ABC429" s="243"/>
      <c r="ABD429" s="243"/>
      <c r="ABE429" s="243"/>
      <c r="ABF429" s="243"/>
      <c r="ABG429" s="243"/>
      <c r="ABH429" s="243"/>
      <c r="ABI429" s="243"/>
      <c r="ABJ429" s="243"/>
      <c r="ABK429" s="243"/>
      <c r="ABL429" s="243"/>
      <c r="ABM429" s="243"/>
      <c r="ABN429" s="243"/>
      <c r="ABO429" s="243"/>
      <c r="ABP429" s="243"/>
      <c r="ABQ429" s="243"/>
      <c r="ABR429" s="243"/>
      <c r="ABS429" s="243"/>
      <c r="ABT429" s="243"/>
      <c r="ABU429" s="243"/>
      <c r="ABV429" s="243"/>
      <c r="ABW429" s="243"/>
      <c r="ABX429" s="243"/>
      <c r="ABY429" s="243"/>
      <c r="ABZ429" s="243"/>
      <c r="ACA429" s="243"/>
      <c r="ACB429" s="243"/>
      <c r="ACC429" s="243"/>
      <c r="ACD429" s="243"/>
      <c r="ACE429" s="243"/>
      <c r="ACF429" s="243"/>
      <c r="ACG429" s="243"/>
      <c r="ACH429" s="243"/>
      <c r="ACI429" s="243"/>
      <c r="ACJ429" s="243"/>
      <c r="ACK429" s="243"/>
      <c r="ACL429" s="243"/>
      <c r="ACM429" s="243"/>
      <c r="ACN429" s="243"/>
      <c r="ACO429" s="243"/>
      <c r="ACP429" s="243"/>
      <c r="ACQ429" s="243"/>
      <c r="ACR429" s="243"/>
      <c r="ACS429" s="243"/>
      <c r="ACT429" s="243"/>
      <c r="ACU429" s="243"/>
      <c r="ACV429" s="243"/>
      <c r="ACW429" s="243"/>
      <c r="ACX429" s="243"/>
      <c r="ACY429" s="243"/>
      <c r="ACZ429" s="243"/>
      <c r="ADA429" s="243"/>
      <c r="ADB429" s="243"/>
      <c r="ADC429" s="243"/>
      <c r="ADD429" s="243"/>
      <c r="ADE429" s="243"/>
      <c r="ADF429" s="243"/>
      <c r="ADG429" s="243"/>
      <c r="ADH429" s="243"/>
      <c r="ADI429" s="243"/>
      <c r="ADJ429" s="243"/>
      <c r="ADK429" s="243"/>
      <c r="ADL429" s="243"/>
      <c r="ADM429" s="243"/>
      <c r="ADN429" s="243"/>
      <c r="ADO429" s="243"/>
      <c r="ADP429" s="243"/>
      <c r="ADQ429" s="243"/>
      <c r="ADR429" s="243"/>
      <c r="ADS429" s="243"/>
      <c r="ADT429" s="243"/>
      <c r="ADU429" s="243"/>
      <c r="ADV429" s="243"/>
      <c r="ADW429" s="243"/>
      <c r="ADX429" s="243"/>
      <c r="ADY429" s="243"/>
      <c r="ADZ429" s="243"/>
      <c r="AEA429" s="243"/>
      <c r="AEB429" s="243"/>
      <c r="AEC429" s="243"/>
      <c r="AED429" s="243"/>
      <c r="AEE429" s="243"/>
      <c r="AEF429" s="243"/>
      <c r="AEG429" s="243"/>
      <c r="AEH429" s="243"/>
      <c r="AEI429" s="243"/>
      <c r="AEJ429" s="243"/>
      <c r="AEK429" s="243"/>
      <c r="AEL429" s="243"/>
      <c r="AEM429" s="243"/>
      <c r="AEN429" s="243"/>
      <c r="AEO429" s="243"/>
      <c r="AEP429" s="243"/>
      <c r="AEQ429" s="243"/>
      <c r="AER429" s="243"/>
      <c r="AES429" s="243"/>
      <c r="AET429" s="243"/>
      <c r="AEU429" s="243"/>
      <c r="AEV429" s="243"/>
      <c r="AEW429" s="243"/>
      <c r="AEX429" s="243"/>
      <c r="AEY429" s="243"/>
      <c r="AEZ429" s="243"/>
      <c r="AFA429" s="243"/>
      <c r="AFB429" s="243"/>
      <c r="AFC429" s="243"/>
      <c r="AFD429" s="243"/>
      <c r="AFE429" s="243"/>
      <c r="AFF429" s="243"/>
      <c r="AFG429" s="243"/>
      <c r="AFH429" s="243"/>
      <c r="AFI429" s="243"/>
      <c r="AFJ429" s="243"/>
      <c r="AFK429" s="243"/>
      <c r="AFL429" s="243"/>
      <c r="AFM429" s="243"/>
      <c r="AFN429" s="243"/>
      <c r="AFO429" s="243"/>
      <c r="AFP429" s="243"/>
      <c r="AFQ429" s="243"/>
      <c r="AFR429" s="243"/>
      <c r="AFS429" s="243"/>
      <c r="AFT429" s="243"/>
      <c r="AFU429" s="243"/>
      <c r="AFV429" s="243"/>
      <c r="AFW429" s="243"/>
      <c r="AFX429" s="243"/>
      <c r="AFY429" s="243"/>
      <c r="AFZ429" s="243"/>
      <c r="AGA429" s="243"/>
      <c r="AGB429" s="243"/>
      <c r="AGC429" s="243"/>
      <c r="AGD429" s="243"/>
      <c r="AGE429" s="243"/>
      <c r="AGF429" s="243"/>
      <c r="AGG429" s="243"/>
      <c r="AGH429" s="243"/>
      <c r="AGI429" s="243"/>
      <c r="AGJ429" s="243"/>
      <c r="AGK429" s="243"/>
      <c r="AGL429" s="243"/>
      <c r="AGM429" s="243"/>
      <c r="AGN429" s="243"/>
      <c r="AGO429" s="243"/>
      <c r="AGP429" s="243"/>
      <c r="AGQ429" s="243"/>
      <c r="AGR429" s="243"/>
      <c r="AGS429" s="243"/>
      <c r="AGT429" s="243"/>
      <c r="AGU429" s="243"/>
      <c r="AGV429" s="243"/>
      <c r="AGW429" s="243"/>
      <c r="AGX429" s="243"/>
      <c r="AGY429" s="243"/>
      <c r="AGZ429" s="243"/>
      <c r="AHA429" s="243"/>
      <c r="AHB429" s="243"/>
      <c r="AHC429" s="243"/>
      <c r="AHD429" s="243"/>
      <c r="AHE429" s="243"/>
      <c r="AHF429" s="243"/>
      <c r="AHG429" s="243"/>
      <c r="AHH429" s="243"/>
      <c r="AHI429" s="243"/>
      <c r="AHJ429" s="243"/>
      <c r="AHK429" s="243"/>
      <c r="AHL429" s="243"/>
      <c r="AHM429" s="243"/>
      <c r="AHN429" s="243"/>
      <c r="AHO429" s="243"/>
      <c r="AHP429" s="243"/>
      <c r="AHQ429" s="243"/>
      <c r="AHR429" s="243"/>
      <c r="AHS429" s="243"/>
      <c r="AHT429" s="243"/>
      <c r="AHU429" s="243"/>
      <c r="AHV429" s="243"/>
      <c r="AHW429" s="243"/>
      <c r="AHX429" s="243"/>
      <c r="AHY429" s="243"/>
      <c r="AHZ429" s="243"/>
      <c r="AIA429" s="243"/>
      <c r="AIB429" s="243"/>
      <c r="AIC429" s="243"/>
      <c r="AID429" s="243"/>
      <c r="AIE429" s="243"/>
      <c r="AIF429" s="243"/>
      <c r="AIG429" s="243"/>
      <c r="AIH429" s="243"/>
      <c r="AII429" s="243"/>
      <c r="AIJ429" s="243"/>
      <c r="AIK429" s="243"/>
      <c r="AIL429" s="243"/>
      <c r="AIM429" s="243"/>
      <c r="AIN429" s="243"/>
      <c r="AIO429" s="243"/>
      <c r="AIP429" s="243"/>
      <c r="AIQ429" s="243"/>
      <c r="AIR429" s="243"/>
      <c r="AIS429" s="243"/>
      <c r="AIT429" s="243"/>
      <c r="AIU429" s="243"/>
      <c r="AIV429" s="243"/>
      <c r="AIW429" s="243"/>
      <c r="AIX429" s="243"/>
      <c r="AIY429" s="243"/>
      <c r="AIZ429" s="243"/>
      <c r="AJA429" s="243"/>
      <c r="AJB429" s="243"/>
      <c r="AJC429" s="243"/>
      <c r="AJD429" s="243"/>
      <c r="AJE429" s="243"/>
      <c r="AJF429" s="243"/>
      <c r="AJG429" s="243"/>
      <c r="AJH429" s="243"/>
      <c r="AJI429" s="243"/>
      <c r="AJJ429" s="243"/>
      <c r="AJK429" s="243"/>
      <c r="AJL429" s="243"/>
      <c r="AJM429" s="243"/>
      <c r="AJN429" s="243"/>
      <c r="AJO429" s="243"/>
      <c r="AJP429" s="243"/>
      <c r="AJQ429" s="243"/>
      <c r="AJR429" s="243"/>
      <c r="AJS429" s="243"/>
      <c r="AJT429" s="243"/>
      <c r="AJU429" s="243"/>
      <c r="AJV429" s="243"/>
      <c r="AJW429" s="243"/>
      <c r="AJX429" s="243"/>
      <c r="AJY429" s="243"/>
      <c r="AJZ429" s="243"/>
      <c r="AKA429" s="243"/>
      <c r="AKB429" s="243"/>
      <c r="AKC429" s="243"/>
      <c r="AKD429" s="243"/>
      <c r="AKE429" s="243"/>
      <c r="AKF429" s="243"/>
      <c r="AKG429" s="243"/>
      <c r="AKH429" s="243"/>
      <c r="AKI429" s="243"/>
      <c r="AKJ429" s="243"/>
      <c r="AKK429" s="243"/>
      <c r="AKL429" s="243"/>
      <c r="AKM429" s="243"/>
      <c r="AKN429" s="243"/>
      <c r="AKO429" s="243"/>
      <c r="AKP429" s="243"/>
      <c r="AKQ429" s="243"/>
      <c r="AKR429" s="243"/>
      <c r="AKS429" s="243"/>
      <c r="AKT429" s="243"/>
      <c r="AKU429" s="243"/>
      <c r="AKV429" s="243"/>
      <c r="AKW429" s="243"/>
      <c r="AKX429" s="243"/>
      <c r="AKY429" s="243"/>
      <c r="AKZ429" s="243"/>
      <c r="ALA429" s="243"/>
      <c r="ALB429" s="243"/>
      <c r="ALC429" s="243"/>
      <c r="ALD429" s="243"/>
      <c r="ALE429" s="243"/>
      <c r="ALF429" s="243"/>
      <c r="ALG429" s="243"/>
      <c r="ALH429" s="243"/>
      <c r="ALI429" s="243"/>
      <c r="ALJ429" s="243"/>
      <c r="ALK429" s="243"/>
      <c r="ALL429" s="243"/>
      <c r="ALM429" s="243"/>
      <c r="ALN429" s="243"/>
      <c r="ALO429" s="243"/>
      <c r="ALP429" s="243"/>
      <c r="ALQ429" s="243"/>
      <c r="ALR429" s="243"/>
      <c r="ALS429" s="243"/>
      <c r="ALT429" s="243"/>
      <c r="ALU429" s="243"/>
      <c r="ALV429" s="243"/>
      <c r="ALW429" s="243"/>
      <c r="ALX429" s="243"/>
      <c r="ALY429" s="243"/>
      <c r="ALZ429" s="243"/>
      <c r="AMA429" s="243"/>
      <c r="AMB429" s="243"/>
      <c r="AMC429" s="243"/>
      <c r="AMD429" s="243"/>
      <c r="AME429" s="243"/>
      <c r="AMF429" s="243"/>
      <c r="AMG429" s="243"/>
      <c r="AMH429" s="243"/>
      <c r="AMI429" s="244"/>
      <c r="AMJ429" s="244"/>
    </row>
    <row r="430" spans="1:1024">
      <c r="A430" s="887"/>
      <c r="B430" s="551">
        <v>14833</v>
      </c>
      <c r="C430" s="121">
        <v>0.1</v>
      </c>
      <c r="D430" s="542" t="s">
        <v>287</v>
      </c>
      <c r="E430" s="364">
        <v>2100000</v>
      </c>
      <c r="F430" s="600">
        <v>0.04</v>
      </c>
      <c r="G430" s="364">
        <f t="shared" si="18"/>
        <v>84000</v>
      </c>
      <c r="H430" s="599" t="s">
        <v>47</v>
      </c>
      <c r="I430" s="604"/>
      <c r="J430" s="604"/>
      <c r="K430" s="712"/>
      <c r="L430" s="720"/>
      <c r="M430" s="721"/>
      <c r="N430" s="733"/>
      <c r="O430" s="714"/>
      <c r="P430" s="649"/>
      <c r="Q430" s="716"/>
      <c r="R430" s="243"/>
      <c r="S430" s="243"/>
      <c r="T430" s="243"/>
      <c r="U430" s="243"/>
      <c r="V430" s="243"/>
      <c r="W430" s="243"/>
      <c r="X430" s="243"/>
      <c r="Y430" s="243"/>
      <c r="Z430" s="243"/>
      <c r="AA430" s="243"/>
      <c r="AB430" s="243"/>
      <c r="AC430" s="243"/>
      <c r="AD430" s="243"/>
      <c r="AE430" s="243"/>
      <c r="AF430" s="243"/>
      <c r="AG430" s="243"/>
      <c r="AH430" s="243"/>
      <c r="AI430" s="243"/>
      <c r="AJ430" s="243"/>
      <c r="AK430" s="243"/>
      <c r="AL430" s="243"/>
      <c r="AM430" s="243"/>
      <c r="AN430" s="243"/>
      <c r="AO430" s="243"/>
      <c r="AP430" s="243"/>
      <c r="AQ430" s="243"/>
      <c r="AR430" s="243"/>
      <c r="AS430" s="243"/>
      <c r="AT430" s="243"/>
      <c r="AU430" s="243"/>
      <c r="AV430" s="243"/>
      <c r="AW430" s="243"/>
      <c r="AX430" s="243"/>
      <c r="AY430" s="243"/>
      <c r="AZ430" s="243"/>
      <c r="BA430" s="243"/>
      <c r="BB430" s="243"/>
      <c r="BC430" s="243"/>
      <c r="BD430" s="243"/>
      <c r="BE430" s="243"/>
      <c r="BF430" s="243"/>
      <c r="BG430" s="243"/>
      <c r="BH430" s="243"/>
      <c r="BI430" s="243"/>
      <c r="BJ430" s="243"/>
      <c r="BK430" s="243"/>
      <c r="BL430" s="243"/>
      <c r="BM430" s="243"/>
      <c r="BN430" s="243"/>
      <c r="BO430" s="243"/>
      <c r="BP430" s="243"/>
      <c r="BQ430" s="243"/>
      <c r="BR430" s="243"/>
      <c r="BS430" s="243"/>
      <c r="BT430" s="243"/>
      <c r="BU430" s="243"/>
      <c r="BV430" s="243"/>
      <c r="BW430" s="243"/>
      <c r="BX430" s="243"/>
      <c r="BY430" s="243"/>
      <c r="BZ430" s="243"/>
      <c r="CA430" s="243"/>
      <c r="CB430" s="243"/>
      <c r="CC430" s="243"/>
      <c r="CD430" s="243"/>
      <c r="CE430" s="243"/>
      <c r="CF430" s="243"/>
      <c r="CG430" s="243"/>
      <c r="CH430" s="243"/>
      <c r="CI430" s="243"/>
      <c r="CJ430" s="243"/>
      <c r="CK430" s="243"/>
      <c r="CL430" s="243"/>
      <c r="CM430" s="243"/>
      <c r="CN430" s="243"/>
      <c r="CO430" s="243"/>
      <c r="CP430" s="243"/>
      <c r="CQ430" s="243"/>
      <c r="CR430" s="243"/>
      <c r="CS430" s="243"/>
      <c r="CT430" s="243"/>
      <c r="CU430" s="243"/>
      <c r="CV430" s="243"/>
      <c r="CW430" s="243"/>
      <c r="CX430" s="243"/>
      <c r="CY430" s="243"/>
      <c r="CZ430" s="243"/>
      <c r="DA430" s="243"/>
      <c r="DB430" s="243"/>
      <c r="DC430" s="243"/>
      <c r="DD430" s="243"/>
      <c r="DE430" s="243"/>
      <c r="DF430" s="243"/>
      <c r="DG430" s="243"/>
      <c r="DH430" s="243"/>
      <c r="DI430" s="243"/>
      <c r="DJ430" s="243"/>
      <c r="DK430" s="243"/>
      <c r="DL430" s="243"/>
      <c r="DM430" s="243"/>
      <c r="DN430" s="243"/>
      <c r="DO430" s="243"/>
      <c r="DP430" s="243"/>
      <c r="DQ430" s="243"/>
      <c r="DR430" s="243"/>
      <c r="DS430" s="243"/>
      <c r="DT430" s="243"/>
      <c r="DU430" s="243"/>
      <c r="DV430" s="243"/>
      <c r="DW430" s="243"/>
      <c r="DX430" s="243"/>
      <c r="DY430" s="243"/>
      <c r="DZ430" s="243"/>
      <c r="EA430" s="243"/>
      <c r="EB430" s="243"/>
      <c r="EC430" s="243"/>
      <c r="ED430" s="243"/>
      <c r="EE430" s="243"/>
      <c r="EF430" s="243"/>
      <c r="EG430" s="243"/>
      <c r="EH430" s="243"/>
      <c r="EI430" s="243"/>
      <c r="EJ430" s="243"/>
      <c r="EK430" s="243"/>
      <c r="EL430" s="243"/>
      <c r="EM430" s="243"/>
      <c r="EN430" s="243"/>
      <c r="EO430" s="243"/>
      <c r="EP430" s="243"/>
      <c r="EQ430" s="243"/>
      <c r="ER430" s="243"/>
      <c r="ES430" s="243"/>
      <c r="ET430" s="243"/>
      <c r="EU430" s="243"/>
      <c r="EV430" s="243"/>
      <c r="EW430" s="243"/>
      <c r="EX430" s="243"/>
      <c r="EY430" s="243"/>
      <c r="EZ430" s="243"/>
      <c r="FA430" s="243"/>
      <c r="FB430" s="243"/>
      <c r="FC430" s="243"/>
      <c r="FD430" s="243"/>
      <c r="FE430" s="243"/>
      <c r="FF430" s="243"/>
      <c r="FG430" s="243"/>
      <c r="FH430" s="243"/>
      <c r="FI430" s="243"/>
      <c r="FJ430" s="243"/>
      <c r="FK430" s="243"/>
      <c r="FL430" s="243"/>
      <c r="FM430" s="243"/>
      <c r="FN430" s="243"/>
      <c r="FO430" s="243"/>
      <c r="FP430" s="243"/>
      <c r="FQ430" s="243"/>
      <c r="FR430" s="243"/>
      <c r="FS430" s="243"/>
      <c r="FT430" s="243"/>
      <c r="FU430" s="243"/>
      <c r="FV430" s="243"/>
      <c r="FW430" s="243"/>
      <c r="FX430" s="243"/>
      <c r="FY430" s="243"/>
      <c r="FZ430" s="243"/>
      <c r="GA430" s="243"/>
      <c r="GB430" s="243"/>
      <c r="GC430" s="243"/>
      <c r="GD430" s="243"/>
      <c r="GE430" s="243"/>
      <c r="GF430" s="243"/>
      <c r="GG430" s="243"/>
      <c r="GH430" s="243"/>
      <c r="GI430" s="243"/>
      <c r="GJ430" s="243"/>
      <c r="GK430" s="243"/>
      <c r="GL430" s="243"/>
      <c r="GM430" s="243"/>
      <c r="GN430" s="243"/>
      <c r="GO430" s="243"/>
      <c r="GP430" s="243"/>
      <c r="GQ430" s="243"/>
      <c r="GR430" s="243"/>
      <c r="GS430" s="243"/>
      <c r="GT430" s="243"/>
      <c r="GU430" s="243"/>
      <c r="GV430" s="243"/>
      <c r="GW430" s="243"/>
      <c r="GX430" s="243"/>
      <c r="GY430" s="243"/>
      <c r="GZ430" s="243"/>
      <c r="HA430" s="243"/>
      <c r="HB430" s="243"/>
      <c r="HC430" s="243"/>
      <c r="HD430" s="243"/>
      <c r="HE430" s="243"/>
      <c r="HF430" s="243"/>
      <c r="HG430" s="243"/>
      <c r="HH430" s="243"/>
      <c r="HI430" s="243"/>
      <c r="HJ430" s="243"/>
      <c r="HK430" s="243"/>
      <c r="HL430" s="243"/>
      <c r="HM430" s="243"/>
      <c r="HN430" s="243"/>
      <c r="HO430" s="243"/>
      <c r="HP430" s="243"/>
      <c r="HQ430" s="243"/>
      <c r="HR430" s="243"/>
      <c r="HS430" s="243"/>
      <c r="HT430" s="243"/>
      <c r="HU430" s="243"/>
      <c r="HV430" s="243"/>
      <c r="HW430" s="243"/>
      <c r="HX430" s="243"/>
      <c r="HY430" s="243"/>
      <c r="HZ430" s="243"/>
      <c r="IA430" s="243"/>
      <c r="IB430" s="243"/>
      <c r="IC430" s="243"/>
      <c r="ID430" s="243"/>
      <c r="IE430" s="243"/>
      <c r="IF430" s="243"/>
      <c r="IG430" s="243"/>
      <c r="IH430" s="243"/>
      <c r="II430" s="243"/>
      <c r="IJ430" s="243"/>
      <c r="IK430" s="243"/>
      <c r="IL430" s="243"/>
      <c r="IM430" s="243"/>
      <c r="IN430" s="243"/>
      <c r="IO430" s="243"/>
      <c r="IP430" s="243"/>
      <c r="IQ430" s="243"/>
      <c r="IR430" s="243"/>
      <c r="IS430" s="243"/>
      <c r="IT430" s="243"/>
      <c r="IU430" s="243"/>
      <c r="IV430" s="243"/>
      <c r="IW430" s="243"/>
      <c r="IX430" s="243"/>
      <c r="IY430" s="243"/>
      <c r="IZ430" s="243"/>
      <c r="JA430" s="243"/>
      <c r="JB430" s="243"/>
      <c r="JC430" s="243"/>
      <c r="JD430" s="243"/>
      <c r="JE430" s="243"/>
      <c r="JF430" s="243"/>
      <c r="JG430" s="243"/>
      <c r="JH430" s="243"/>
      <c r="JI430" s="243"/>
      <c r="JJ430" s="243"/>
      <c r="JK430" s="243"/>
      <c r="JL430" s="243"/>
      <c r="JM430" s="243"/>
      <c r="JN430" s="243"/>
      <c r="JO430" s="243"/>
      <c r="JP430" s="243"/>
      <c r="JQ430" s="243"/>
      <c r="JR430" s="243"/>
      <c r="JS430" s="243"/>
      <c r="JT430" s="243"/>
      <c r="JU430" s="243"/>
      <c r="JV430" s="243"/>
      <c r="JW430" s="243"/>
      <c r="JX430" s="243"/>
      <c r="JY430" s="243"/>
      <c r="JZ430" s="243"/>
      <c r="KA430" s="243"/>
      <c r="KB430" s="243"/>
      <c r="KC430" s="243"/>
      <c r="KD430" s="243"/>
      <c r="KE430" s="243"/>
      <c r="KF430" s="243"/>
      <c r="KG430" s="243"/>
      <c r="KH430" s="243"/>
      <c r="KI430" s="243"/>
      <c r="KJ430" s="243"/>
      <c r="KK430" s="243"/>
      <c r="KL430" s="243"/>
      <c r="KM430" s="243"/>
      <c r="KN430" s="243"/>
      <c r="KO430" s="243"/>
      <c r="KP430" s="243"/>
      <c r="KQ430" s="243"/>
      <c r="KR430" s="243"/>
      <c r="KS430" s="243"/>
      <c r="KT430" s="243"/>
      <c r="KU430" s="243"/>
      <c r="KV430" s="243"/>
      <c r="KW430" s="243"/>
      <c r="KX430" s="243"/>
      <c r="KY430" s="243"/>
      <c r="KZ430" s="243"/>
      <c r="LA430" s="243"/>
      <c r="LB430" s="243"/>
      <c r="LC430" s="243"/>
      <c r="LD430" s="243"/>
      <c r="LE430" s="243"/>
      <c r="LF430" s="243"/>
      <c r="LG430" s="243"/>
      <c r="LH430" s="243"/>
      <c r="LI430" s="243"/>
      <c r="LJ430" s="243"/>
      <c r="LK430" s="243"/>
      <c r="LL430" s="243"/>
      <c r="LM430" s="243"/>
      <c r="LN430" s="243"/>
      <c r="LO430" s="243"/>
      <c r="LP430" s="243"/>
      <c r="LQ430" s="243"/>
      <c r="LR430" s="243"/>
      <c r="LS430" s="243"/>
      <c r="LT430" s="243"/>
      <c r="LU430" s="243"/>
      <c r="LV430" s="243"/>
      <c r="LW430" s="243"/>
      <c r="LX430" s="243"/>
      <c r="LY430" s="243"/>
      <c r="LZ430" s="243"/>
      <c r="MA430" s="243"/>
      <c r="MB430" s="243"/>
      <c r="MC430" s="243"/>
      <c r="MD430" s="243"/>
      <c r="ME430" s="243"/>
      <c r="MF430" s="243"/>
      <c r="MG430" s="243"/>
      <c r="MH430" s="243"/>
      <c r="MI430" s="243"/>
      <c r="MJ430" s="243"/>
      <c r="MK430" s="243"/>
      <c r="ML430" s="243"/>
      <c r="MM430" s="243"/>
      <c r="MN430" s="243"/>
      <c r="MO430" s="243"/>
      <c r="MP430" s="243"/>
      <c r="MQ430" s="243"/>
      <c r="MR430" s="243"/>
      <c r="MS430" s="243"/>
      <c r="MT430" s="243"/>
      <c r="MU430" s="243"/>
      <c r="MV430" s="243"/>
      <c r="MW430" s="243"/>
      <c r="MX430" s="243"/>
      <c r="MY430" s="243"/>
      <c r="MZ430" s="243"/>
      <c r="NA430" s="243"/>
      <c r="NB430" s="243"/>
      <c r="NC430" s="243"/>
      <c r="ND430" s="243"/>
      <c r="NE430" s="243"/>
      <c r="NF430" s="243"/>
      <c r="NG430" s="243"/>
      <c r="NH430" s="243"/>
      <c r="NI430" s="243"/>
      <c r="NJ430" s="243"/>
      <c r="NK430" s="243"/>
      <c r="NL430" s="243"/>
      <c r="NM430" s="243"/>
      <c r="NN430" s="243"/>
      <c r="NO430" s="243"/>
      <c r="NP430" s="243"/>
      <c r="NQ430" s="243"/>
      <c r="NR430" s="243"/>
      <c r="NS430" s="243"/>
      <c r="NT430" s="243"/>
      <c r="NU430" s="243"/>
      <c r="NV430" s="243"/>
      <c r="NW430" s="243"/>
      <c r="NX430" s="243"/>
      <c r="NY430" s="243"/>
      <c r="NZ430" s="243"/>
      <c r="OA430" s="243"/>
      <c r="OB430" s="243"/>
      <c r="OC430" s="243"/>
      <c r="OD430" s="243"/>
      <c r="OE430" s="243"/>
      <c r="OF430" s="243"/>
      <c r="OG430" s="243"/>
      <c r="OH430" s="243"/>
      <c r="OI430" s="243"/>
      <c r="OJ430" s="243"/>
      <c r="OK430" s="243"/>
      <c r="OL430" s="243"/>
      <c r="OM430" s="243"/>
      <c r="ON430" s="243"/>
      <c r="OO430" s="243"/>
      <c r="OP430" s="243"/>
      <c r="OQ430" s="243"/>
      <c r="OR430" s="243"/>
      <c r="OS430" s="243"/>
      <c r="OT430" s="243"/>
      <c r="OU430" s="243"/>
      <c r="OV430" s="243"/>
      <c r="OW430" s="243"/>
      <c r="OX430" s="243"/>
      <c r="OY430" s="243"/>
      <c r="OZ430" s="243"/>
      <c r="PA430" s="243"/>
      <c r="PB430" s="243"/>
      <c r="PC430" s="243"/>
      <c r="PD430" s="243"/>
      <c r="PE430" s="243"/>
      <c r="PF430" s="243"/>
      <c r="PG430" s="243"/>
      <c r="PH430" s="243"/>
      <c r="PI430" s="243"/>
      <c r="PJ430" s="243"/>
      <c r="PK430" s="243"/>
      <c r="PL430" s="243"/>
      <c r="PM430" s="243"/>
      <c r="PN430" s="243"/>
      <c r="PO430" s="243"/>
      <c r="PP430" s="243"/>
      <c r="PQ430" s="243"/>
      <c r="PR430" s="243"/>
      <c r="PS430" s="243"/>
      <c r="PT430" s="243"/>
      <c r="PU430" s="243"/>
      <c r="PV430" s="243"/>
      <c r="PW430" s="243"/>
      <c r="PX430" s="243"/>
      <c r="PY430" s="243"/>
      <c r="PZ430" s="243"/>
      <c r="QA430" s="243"/>
      <c r="QB430" s="243"/>
      <c r="QC430" s="243"/>
      <c r="QD430" s="243"/>
      <c r="QE430" s="243"/>
      <c r="QF430" s="243"/>
      <c r="QG430" s="243"/>
      <c r="QH430" s="243"/>
      <c r="QI430" s="243"/>
      <c r="QJ430" s="243"/>
      <c r="QK430" s="243"/>
      <c r="QL430" s="243"/>
      <c r="QM430" s="243"/>
      <c r="QN430" s="243"/>
      <c r="QO430" s="243"/>
      <c r="QP430" s="243"/>
      <c r="QQ430" s="243"/>
      <c r="QR430" s="243"/>
      <c r="QS430" s="243"/>
      <c r="QT430" s="243"/>
      <c r="QU430" s="243"/>
      <c r="QV430" s="243"/>
      <c r="QW430" s="243"/>
      <c r="QX430" s="243"/>
      <c r="QY430" s="243"/>
      <c r="QZ430" s="243"/>
      <c r="RA430" s="243"/>
      <c r="RB430" s="243"/>
      <c r="RC430" s="243"/>
      <c r="RD430" s="243"/>
      <c r="RE430" s="243"/>
      <c r="RF430" s="243"/>
      <c r="RG430" s="243"/>
      <c r="RH430" s="243"/>
      <c r="RI430" s="243"/>
      <c r="RJ430" s="243"/>
      <c r="RK430" s="243"/>
      <c r="RL430" s="243"/>
      <c r="RM430" s="243"/>
      <c r="RN430" s="243"/>
      <c r="RO430" s="243"/>
      <c r="RP430" s="243"/>
      <c r="RQ430" s="243"/>
      <c r="RR430" s="243"/>
      <c r="RS430" s="243"/>
      <c r="RT430" s="243"/>
      <c r="RU430" s="243"/>
      <c r="RV430" s="243"/>
      <c r="RW430" s="243"/>
      <c r="RX430" s="243"/>
      <c r="RY430" s="243"/>
      <c r="RZ430" s="243"/>
      <c r="SA430" s="243"/>
      <c r="SB430" s="243"/>
      <c r="SC430" s="243"/>
      <c r="SD430" s="243"/>
      <c r="SE430" s="243"/>
      <c r="SF430" s="243"/>
      <c r="SG430" s="243"/>
      <c r="SH430" s="243"/>
      <c r="SI430" s="243"/>
      <c r="SJ430" s="243"/>
      <c r="SK430" s="243"/>
      <c r="SL430" s="243"/>
      <c r="SM430" s="243"/>
      <c r="SN430" s="243"/>
      <c r="SO430" s="243"/>
      <c r="SP430" s="243"/>
      <c r="SQ430" s="243"/>
      <c r="SR430" s="243"/>
      <c r="SS430" s="243"/>
      <c r="ST430" s="243"/>
      <c r="SU430" s="243"/>
      <c r="SV430" s="243"/>
      <c r="SW430" s="243"/>
      <c r="SX430" s="243"/>
      <c r="SY430" s="243"/>
      <c r="SZ430" s="243"/>
      <c r="TA430" s="243"/>
      <c r="TB430" s="243"/>
      <c r="TC430" s="243"/>
      <c r="TD430" s="243"/>
      <c r="TE430" s="243"/>
      <c r="TF430" s="243"/>
      <c r="TG430" s="243"/>
      <c r="TH430" s="243"/>
      <c r="TI430" s="243"/>
      <c r="TJ430" s="243"/>
      <c r="TK430" s="243"/>
      <c r="TL430" s="243"/>
      <c r="TM430" s="243"/>
      <c r="TN430" s="243"/>
      <c r="TO430" s="243"/>
      <c r="TP430" s="243"/>
      <c r="TQ430" s="243"/>
      <c r="TR430" s="243"/>
      <c r="TS430" s="243"/>
      <c r="TT430" s="243"/>
      <c r="TU430" s="243"/>
      <c r="TV430" s="243"/>
      <c r="TW430" s="243"/>
      <c r="TX430" s="243"/>
      <c r="TY430" s="243"/>
      <c r="TZ430" s="243"/>
      <c r="UA430" s="243"/>
      <c r="UB430" s="243"/>
      <c r="UC430" s="243"/>
      <c r="UD430" s="243"/>
      <c r="UE430" s="243"/>
      <c r="UF430" s="243"/>
      <c r="UG430" s="243"/>
      <c r="UH430" s="243"/>
      <c r="UI430" s="243"/>
      <c r="UJ430" s="243"/>
      <c r="UK430" s="243"/>
      <c r="UL430" s="243"/>
      <c r="UM430" s="243"/>
      <c r="UN430" s="243"/>
      <c r="UO430" s="243"/>
      <c r="UP430" s="243"/>
      <c r="UQ430" s="243"/>
      <c r="UR430" s="243"/>
      <c r="US430" s="243"/>
      <c r="UT430" s="243"/>
      <c r="UU430" s="243"/>
      <c r="UV430" s="243"/>
      <c r="UW430" s="243"/>
      <c r="UX430" s="243"/>
      <c r="UY430" s="243"/>
      <c r="UZ430" s="243"/>
      <c r="VA430" s="243"/>
      <c r="VB430" s="243"/>
      <c r="VC430" s="243"/>
      <c r="VD430" s="243"/>
      <c r="VE430" s="243"/>
      <c r="VF430" s="243"/>
      <c r="VG430" s="243"/>
      <c r="VH430" s="243"/>
      <c r="VI430" s="243"/>
      <c r="VJ430" s="243"/>
      <c r="VK430" s="243"/>
      <c r="VL430" s="243"/>
      <c r="VM430" s="243"/>
      <c r="VN430" s="243"/>
      <c r="VO430" s="243"/>
      <c r="VP430" s="243"/>
      <c r="VQ430" s="243"/>
      <c r="VR430" s="243"/>
      <c r="VS430" s="243"/>
      <c r="VT430" s="243"/>
      <c r="VU430" s="243"/>
      <c r="VV430" s="243"/>
      <c r="VW430" s="243"/>
      <c r="VX430" s="243"/>
      <c r="VY430" s="243"/>
      <c r="VZ430" s="243"/>
      <c r="WA430" s="243"/>
      <c r="WB430" s="243"/>
      <c r="WC430" s="243"/>
      <c r="WD430" s="243"/>
      <c r="WE430" s="243"/>
      <c r="WF430" s="243"/>
      <c r="WG430" s="243"/>
      <c r="WH430" s="243"/>
      <c r="WI430" s="243"/>
      <c r="WJ430" s="243"/>
      <c r="WK430" s="243"/>
      <c r="WL430" s="243"/>
      <c r="WM430" s="243"/>
      <c r="WN430" s="243"/>
      <c r="WO430" s="243"/>
      <c r="WP430" s="243"/>
      <c r="WQ430" s="243"/>
      <c r="WR430" s="243"/>
      <c r="WS430" s="243"/>
      <c r="WT430" s="243"/>
      <c r="WU430" s="243"/>
      <c r="WV430" s="243"/>
      <c r="WW430" s="243"/>
      <c r="WX430" s="243"/>
      <c r="WY430" s="243"/>
      <c r="WZ430" s="243"/>
      <c r="XA430" s="243"/>
      <c r="XB430" s="243"/>
      <c r="XC430" s="243"/>
      <c r="XD430" s="243"/>
      <c r="XE430" s="243"/>
      <c r="XF430" s="243"/>
      <c r="XG430" s="243"/>
      <c r="XH430" s="243"/>
      <c r="XI430" s="243"/>
      <c r="XJ430" s="243"/>
      <c r="XK430" s="243"/>
      <c r="XL430" s="243"/>
      <c r="XM430" s="243"/>
      <c r="XN430" s="243"/>
      <c r="XO430" s="243"/>
      <c r="XP430" s="243"/>
      <c r="XQ430" s="243"/>
      <c r="XR430" s="243"/>
      <c r="XS430" s="243"/>
      <c r="XT430" s="243"/>
      <c r="XU430" s="243"/>
      <c r="XV430" s="243"/>
      <c r="XW430" s="243"/>
      <c r="XX430" s="243"/>
      <c r="XY430" s="243"/>
      <c r="XZ430" s="243"/>
      <c r="YA430" s="243"/>
      <c r="YB430" s="243"/>
      <c r="YC430" s="243"/>
      <c r="YD430" s="243"/>
      <c r="YE430" s="243"/>
      <c r="YF430" s="243"/>
      <c r="YG430" s="243"/>
      <c r="YH430" s="243"/>
      <c r="YI430" s="243"/>
      <c r="YJ430" s="243"/>
      <c r="YK430" s="243"/>
      <c r="YL430" s="243"/>
      <c r="YM430" s="243"/>
      <c r="YN430" s="243"/>
      <c r="YO430" s="243"/>
      <c r="YP430" s="243"/>
      <c r="YQ430" s="243"/>
      <c r="YR430" s="243"/>
      <c r="YS430" s="243"/>
      <c r="YT430" s="243"/>
      <c r="YU430" s="243"/>
      <c r="YV430" s="243"/>
      <c r="YW430" s="243"/>
      <c r="YX430" s="243"/>
      <c r="YY430" s="243"/>
      <c r="YZ430" s="243"/>
      <c r="ZA430" s="243"/>
      <c r="ZB430" s="243"/>
      <c r="ZC430" s="243"/>
      <c r="ZD430" s="243"/>
      <c r="ZE430" s="243"/>
      <c r="ZF430" s="243"/>
      <c r="ZG430" s="243"/>
      <c r="ZH430" s="243"/>
      <c r="ZI430" s="243"/>
      <c r="ZJ430" s="243"/>
      <c r="ZK430" s="243"/>
      <c r="ZL430" s="243"/>
      <c r="ZM430" s="243"/>
      <c r="ZN430" s="243"/>
      <c r="ZO430" s="243"/>
      <c r="ZP430" s="243"/>
      <c r="ZQ430" s="243"/>
      <c r="ZR430" s="243"/>
      <c r="ZS430" s="243"/>
      <c r="ZT430" s="243"/>
      <c r="ZU430" s="243"/>
      <c r="ZV430" s="243"/>
      <c r="ZW430" s="243"/>
      <c r="ZX430" s="243"/>
      <c r="ZY430" s="243"/>
      <c r="ZZ430" s="243"/>
      <c r="AAA430" s="243"/>
      <c r="AAB430" s="243"/>
      <c r="AAC430" s="243"/>
      <c r="AAD430" s="243"/>
      <c r="AAE430" s="243"/>
      <c r="AAF430" s="243"/>
      <c r="AAG430" s="243"/>
      <c r="AAH430" s="243"/>
      <c r="AAI430" s="243"/>
      <c r="AAJ430" s="243"/>
      <c r="AAK430" s="243"/>
      <c r="AAL430" s="243"/>
      <c r="AAM430" s="243"/>
      <c r="AAN430" s="243"/>
      <c r="AAO430" s="243"/>
      <c r="AAP430" s="243"/>
      <c r="AAQ430" s="243"/>
      <c r="AAR430" s="243"/>
      <c r="AAS430" s="243"/>
      <c r="AAT430" s="243"/>
      <c r="AAU430" s="243"/>
      <c r="AAV430" s="243"/>
      <c r="AAW430" s="243"/>
      <c r="AAX430" s="243"/>
      <c r="AAY430" s="243"/>
      <c r="AAZ430" s="243"/>
      <c r="ABA430" s="243"/>
      <c r="ABB430" s="243"/>
      <c r="ABC430" s="243"/>
      <c r="ABD430" s="243"/>
      <c r="ABE430" s="243"/>
      <c r="ABF430" s="243"/>
      <c r="ABG430" s="243"/>
      <c r="ABH430" s="243"/>
      <c r="ABI430" s="243"/>
      <c r="ABJ430" s="243"/>
      <c r="ABK430" s="243"/>
      <c r="ABL430" s="243"/>
      <c r="ABM430" s="243"/>
      <c r="ABN430" s="243"/>
      <c r="ABO430" s="243"/>
      <c r="ABP430" s="243"/>
      <c r="ABQ430" s="243"/>
      <c r="ABR430" s="243"/>
      <c r="ABS430" s="243"/>
      <c r="ABT430" s="243"/>
      <c r="ABU430" s="243"/>
      <c r="ABV430" s="243"/>
      <c r="ABW430" s="243"/>
      <c r="ABX430" s="243"/>
      <c r="ABY430" s="243"/>
      <c r="ABZ430" s="243"/>
      <c r="ACA430" s="243"/>
      <c r="ACB430" s="243"/>
      <c r="ACC430" s="243"/>
      <c r="ACD430" s="243"/>
      <c r="ACE430" s="243"/>
      <c r="ACF430" s="243"/>
      <c r="ACG430" s="243"/>
      <c r="ACH430" s="243"/>
      <c r="ACI430" s="243"/>
      <c r="ACJ430" s="243"/>
      <c r="ACK430" s="243"/>
      <c r="ACL430" s="243"/>
      <c r="ACM430" s="243"/>
      <c r="ACN430" s="243"/>
      <c r="ACO430" s="243"/>
      <c r="ACP430" s="243"/>
      <c r="ACQ430" s="243"/>
      <c r="ACR430" s="243"/>
      <c r="ACS430" s="243"/>
      <c r="ACT430" s="243"/>
      <c r="ACU430" s="243"/>
      <c r="ACV430" s="243"/>
      <c r="ACW430" s="243"/>
      <c r="ACX430" s="243"/>
      <c r="ACY430" s="243"/>
      <c r="ACZ430" s="243"/>
      <c r="ADA430" s="243"/>
      <c r="ADB430" s="243"/>
      <c r="ADC430" s="243"/>
      <c r="ADD430" s="243"/>
      <c r="ADE430" s="243"/>
      <c r="ADF430" s="243"/>
      <c r="ADG430" s="243"/>
      <c r="ADH430" s="243"/>
      <c r="ADI430" s="243"/>
      <c r="ADJ430" s="243"/>
      <c r="ADK430" s="243"/>
      <c r="ADL430" s="243"/>
      <c r="ADM430" s="243"/>
      <c r="ADN430" s="243"/>
      <c r="ADO430" s="243"/>
      <c r="ADP430" s="243"/>
      <c r="ADQ430" s="243"/>
      <c r="ADR430" s="243"/>
      <c r="ADS430" s="243"/>
      <c r="ADT430" s="243"/>
      <c r="ADU430" s="243"/>
      <c r="ADV430" s="243"/>
      <c r="ADW430" s="243"/>
      <c r="ADX430" s="243"/>
      <c r="ADY430" s="243"/>
      <c r="ADZ430" s="243"/>
      <c r="AEA430" s="243"/>
      <c r="AEB430" s="243"/>
      <c r="AEC430" s="243"/>
      <c r="AED430" s="243"/>
      <c r="AEE430" s="243"/>
      <c r="AEF430" s="243"/>
      <c r="AEG430" s="243"/>
      <c r="AEH430" s="243"/>
      <c r="AEI430" s="243"/>
      <c r="AEJ430" s="243"/>
      <c r="AEK430" s="243"/>
      <c r="AEL430" s="243"/>
      <c r="AEM430" s="243"/>
      <c r="AEN430" s="243"/>
      <c r="AEO430" s="243"/>
      <c r="AEP430" s="243"/>
      <c r="AEQ430" s="243"/>
      <c r="AER430" s="243"/>
      <c r="AES430" s="243"/>
      <c r="AET430" s="243"/>
      <c r="AEU430" s="243"/>
      <c r="AEV430" s="243"/>
      <c r="AEW430" s="243"/>
      <c r="AEX430" s="243"/>
      <c r="AEY430" s="243"/>
      <c r="AEZ430" s="243"/>
      <c r="AFA430" s="243"/>
      <c r="AFB430" s="243"/>
      <c r="AFC430" s="243"/>
      <c r="AFD430" s="243"/>
      <c r="AFE430" s="243"/>
      <c r="AFF430" s="243"/>
      <c r="AFG430" s="243"/>
      <c r="AFH430" s="243"/>
      <c r="AFI430" s="243"/>
      <c r="AFJ430" s="243"/>
      <c r="AFK430" s="243"/>
      <c r="AFL430" s="243"/>
      <c r="AFM430" s="243"/>
      <c r="AFN430" s="243"/>
      <c r="AFO430" s="243"/>
      <c r="AFP430" s="243"/>
      <c r="AFQ430" s="243"/>
      <c r="AFR430" s="243"/>
      <c r="AFS430" s="243"/>
      <c r="AFT430" s="243"/>
      <c r="AFU430" s="243"/>
      <c r="AFV430" s="243"/>
      <c r="AFW430" s="243"/>
      <c r="AFX430" s="243"/>
      <c r="AFY430" s="243"/>
      <c r="AFZ430" s="243"/>
      <c r="AGA430" s="243"/>
      <c r="AGB430" s="243"/>
      <c r="AGC430" s="243"/>
      <c r="AGD430" s="243"/>
      <c r="AGE430" s="243"/>
      <c r="AGF430" s="243"/>
      <c r="AGG430" s="243"/>
      <c r="AGH430" s="243"/>
      <c r="AGI430" s="243"/>
      <c r="AGJ430" s="243"/>
      <c r="AGK430" s="243"/>
      <c r="AGL430" s="243"/>
      <c r="AGM430" s="243"/>
      <c r="AGN430" s="243"/>
      <c r="AGO430" s="243"/>
      <c r="AGP430" s="243"/>
      <c r="AGQ430" s="243"/>
      <c r="AGR430" s="243"/>
      <c r="AGS430" s="243"/>
      <c r="AGT430" s="243"/>
      <c r="AGU430" s="243"/>
      <c r="AGV430" s="243"/>
      <c r="AGW430" s="243"/>
      <c r="AGX430" s="243"/>
      <c r="AGY430" s="243"/>
      <c r="AGZ430" s="243"/>
      <c r="AHA430" s="243"/>
      <c r="AHB430" s="243"/>
      <c r="AHC430" s="243"/>
      <c r="AHD430" s="243"/>
      <c r="AHE430" s="243"/>
      <c r="AHF430" s="243"/>
      <c r="AHG430" s="243"/>
      <c r="AHH430" s="243"/>
      <c r="AHI430" s="243"/>
      <c r="AHJ430" s="243"/>
      <c r="AHK430" s="243"/>
      <c r="AHL430" s="243"/>
      <c r="AHM430" s="243"/>
      <c r="AHN430" s="243"/>
      <c r="AHO430" s="243"/>
      <c r="AHP430" s="243"/>
      <c r="AHQ430" s="243"/>
      <c r="AHR430" s="243"/>
      <c r="AHS430" s="243"/>
      <c r="AHT430" s="243"/>
      <c r="AHU430" s="243"/>
      <c r="AHV430" s="243"/>
      <c r="AHW430" s="243"/>
      <c r="AHX430" s="243"/>
      <c r="AHY430" s="243"/>
      <c r="AHZ430" s="243"/>
      <c r="AIA430" s="243"/>
      <c r="AIB430" s="243"/>
      <c r="AIC430" s="243"/>
      <c r="AID430" s="243"/>
      <c r="AIE430" s="243"/>
      <c r="AIF430" s="243"/>
      <c r="AIG430" s="243"/>
      <c r="AIH430" s="243"/>
      <c r="AII430" s="243"/>
      <c r="AIJ430" s="243"/>
      <c r="AIK430" s="243"/>
      <c r="AIL430" s="243"/>
      <c r="AIM430" s="243"/>
      <c r="AIN430" s="243"/>
      <c r="AIO430" s="243"/>
      <c r="AIP430" s="243"/>
      <c r="AIQ430" s="243"/>
      <c r="AIR430" s="243"/>
      <c r="AIS430" s="243"/>
      <c r="AIT430" s="243"/>
      <c r="AIU430" s="243"/>
      <c r="AIV430" s="243"/>
      <c r="AIW430" s="243"/>
      <c r="AIX430" s="243"/>
      <c r="AIY430" s="243"/>
      <c r="AIZ430" s="243"/>
      <c r="AJA430" s="243"/>
      <c r="AJB430" s="243"/>
      <c r="AJC430" s="243"/>
      <c r="AJD430" s="243"/>
      <c r="AJE430" s="243"/>
      <c r="AJF430" s="243"/>
      <c r="AJG430" s="243"/>
      <c r="AJH430" s="243"/>
      <c r="AJI430" s="243"/>
      <c r="AJJ430" s="243"/>
      <c r="AJK430" s="243"/>
      <c r="AJL430" s="243"/>
      <c r="AJM430" s="243"/>
      <c r="AJN430" s="243"/>
      <c r="AJO430" s="243"/>
      <c r="AJP430" s="243"/>
      <c r="AJQ430" s="243"/>
      <c r="AJR430" s="243"/>
      <c r="AJS430" s="243"/>
      <c r="AJT430" s="243"/>
      <c r="AJU430" s="243"/>
      <c r="AJV430" s="243"/>
      <c r="AJW430" s="243"/>
      <c r="AJX430" s="243"/>
      <c r="AJY430" s="243"/>
      <c r="AJZ430" s="243"/>
      <c r="AKA430" s="243"/>
      <c r="AKB430" s="243"/>
      <c r="AKC430" s="243"/>
      <c r="AKD430" s="243"/>
      <c r="AKE430" s="243"/>
      <c r="AKF430" s="243"/>
      <c r="AKG430" s="243"/>
      <c r="AKH430" s="243"/>
      <c r="AKI430" s="243"/>
      <c r="AKJ430" s="243"/>
      <c r="AKK430" s="243"/>
      <c r="AKL430" s="243"/>
      <c r="AKM430" s="243"/>
      <c r="AKN430" s="243"/>
      <c r="AKO430" s="243"/>
      <c r="AKP430" s="243"/>
      <c r="AKQ430" s="243"/>
      <c r="AKR430" s="243"/>
      <c r="AKS430" s="243"/>
      <c r="AKT430" s="243"/>
      <c r="AKU430" s="243"/>
      <c r="AKV430" s="243"/>
      <c r="AKW430" s="243"/>
      <c r="AKX430" s="243"/>
      <c r="AKY430" s="243"/>
      <c r="AKZ430" s="243"/>
      <c r="ALA430" s="243"/>
      <c r="ALB430" s="243"/>
      <c r="ALC430" s="243"/>
      <c r="ALD430" s="243"/>
      <c r="ALE430" s="243"/>
      <c r="ALF430" s="243"/>
      <c r="ALG430" s="243"/>
      <c r="ALH430" s="243"/>
      <c r="ALI430" s="243"/>
      <c r="ALJ430" s="243"/>
      <c r="ALK430" s="243"/>
      <c r="ALL430" s="243"/>
      <c r="ALM430" s="243"/>
      <c r="ALN430" s="243"/>
      <c r="ALO430" s="243"/>
      <c r="ALP430" s="243"/>
      <c r="ALQ430" s="243"/>
      <c r="ALR430" s="243"/>
      <c r="ALS430" s="243"/>
      <c r="ALT430" s="243"/>
      <c r="ALU430" s="243"/>
      <c r="ALV430" s="243"/>
      <c r="ALW430" s="243"/>
      <c r="ALX430" s="243"/>
      <c r="ALY430" s="243"/>
      <c r="ALZ430" s="243"/>
      <c r="AMA430" s="243"/>
      <c r="AMB430" s="243"/>
      <c r="AMC430" s="243"/>
      <c r="AMD430" s="243"/>
      <c r="AME430" s="243"/>
      <c r="AMF430" s="243"/>
      <c r="AMG430" s="243"/>
      <c r="AMH430" s="243"/>
      <c r="AMI430" s="244"/>
      <c r="AMJ430" s="244"/>
    </row>
    <row r="431" spans="1:1024">
      <c r="A431" s="887"/>
      <c r="B431" s="551">
        <v>14861</v>
      </c>
      <c r="C431" s="121">
        <v>0.1</v>
      </c>
      <c r="D431" s="542" t="s">
        <v>288</v>
      </c>
      <c r="E431" s="364">
        <v>2200000</v>
      </c>
      <c r="F431" s="600">
        <v>0.08</v>
      </c>
      <c r="G431" s="364">
        <f t="shared" si="18"/>
        <v>176000</v>
      </c>
      <c r="H431" s="599" t="s">
        <v>149</v>
      </c>
      <c r="I431" s="604"/>
      <c r="J431" s="604"/>
      <c r="K431" s="712"/>
      <c r="L431" s="720"/>
      <c r="M431" s="721"/>
      <c r="N431" s="733"/>
      <c r="O431" s="714"/>
      <c r="P431" s="649"/>
      <c r="Q431" s="716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  <c r="AH431" s="243"/>
      <c r="AI431" s="243"/>
      <c r="AJ431" s="243"/>
      <c r="AK431" s="243"/>
      <c r="AL431" s="243"/>
      <c r="AM431" s="243"/>
      <c r="AN431" s="243"/>
      <c r="AO431" s="243"/>
      <c r="AP431" s="243"/>
      <c r="AQ431" s="243"/>
      <c r="AR431" s="243"/>
      <c r="AS431" s="243"/>
      <c r="AT431" s="243"/>
      <c r="AU431" s="243"/>
      <c r="AV431" s="243"/>
      <c r="AW431" s="243"/>
      <c r="AX431" s="243"/>
      <c r="AY431" s="243"/>
      <c r="AZ431" s="243"/>
      <c r="BA431" s="243"/>
      <c r="BB431" s="243"/>
      <c r="BC431" s="243"/>
      <c r="BD431" s="243"/>
      <c r="BE431" s="243"/>
      <c r="BF431" s="243"/>
      <c r="BG431" s="243"/>
      <c r="BH431" s="243"/>
      <c r="BI431" s="243"/>
      <c r="BJ431" s="243"/>
      <c r="BK431" s="243"/>
      <c r="BL431" s="243"/>
      <c r="BM431" s="243"/>
      <c r="BN431" s="243"/>
      <c r="BO431" s="243"/>
      <c r="BP431" s="243"/>
      <c r="BQ431" s="243"/>
      <c r="BR431" s="243"/>
      <c r="BS431" s="243"/>
      <c r="BT431" s="243"/>
      <c r="BU431" s="243"/>
      <c r="BV431" s="243"/>
      <c r="BW431" s="243"/>
      <c r="BX431" s="243"/>
      <c r="BY431" s="243"/>
      <c r="BZ431" s="243"/>
      <c r="CA431" s="243"/>
      <c r="CB431" s="243"/>
      <c r="CC431" s="243"/>
      <c r="CD431" s="243"/>
      <c r="CE431" s="243"/>
      <c r="CF431" s="243"/>
      <c r="CG431" s="243"/>
      <c r="CH431" s="243"/>
      <c r="CI431" s="243"/>
      <c r="CJ431" s="243"/>
      <c r="CK431" s="243"/>
      <c r="CL431" s="243"/>
      <c r="CM431" s="243"/>
      <c r="CN431" s="243"/>
      <c r="CO431" s="243"/>
      <c r="CP431" s="243"/>
      <c r="CQ431" s="243"/>
      <c r="CR431" s="243"/>
      <c r="CS431" s="243"/>
      <c r="CT431" s="243"/>
      <c r="CU431" s="243"/>
      <c r="CV431" s="243"/>
      <c r="CW431" s="243"/>
      <c r="CX431" s="243"/>
      <c r="CY431" s="243"/>
      <c r="CZ431" s="243"/>
      <c r="DA431" s="243"/>
      <c r="DB431" s="243"/>
      <c r="DC431" s="243"/>
      <c r="DD431" s="243"/>
      <c r="DE431" s="243"/>
      <c r="DF431" s="243"/>
      <c r="DG431" s="243"/>
      <c r="DH431" s="243"/>
      <c r="DI431" s="243"/>
      <c r="DJ431" s="243"/>
      <c r="DK431" s="243"/>
      <c r="DL431" s="243"/>
      <c r="DM431" s="243"/>
      <c r="DN431" s="243"/>
      <c r="DO431" s="243"/>
      <c r="DP431" s="243"/>
      <c r="DQ431" s="243"/>
      <c r="DR431" s="243"/>
      <c r="DS431" s="243"/>
      <c r="DT431" s="243"/>
      <c r="DU431" s="243"/>
      <c r="DV431" s="243"/>
      <c r="DW431" s="243"/>
      <c r="DX431" s="243"/>
      <c r="DY431" s="243"/>
      <c r="DZ431" s="243"/>
      <c r="EA431" s="243"/>
      <c r="EB431" s="243"/>
      <c r="EC431" s="243"/>
      <c r="ED431" s="243"/>
      <c r="EE431" s="243"/>
      <c r="EF431" s="243"/>
      <c r="EG431" s="243"/>
      <c r="EH431" s="243"/>
      <c r="EI431" s="243"/>
      <c r="EJ431" s="243"/>
      <c r="EK431" s="243"/>
      <c r="EL431" s="243"/>
      <c r="EM431" s="243"/>
      <c r="EN431" s="243"/>
      <c r="EO431" s="243"/>
      <c r="EP431" s="243"/>
      <c r="EQ431" s="243"/>
      <c r="ER431" s="243"/>
      <c r="ES431" s="243"/>
      <c r="ET431" s="243"/>
      <c r="EU431" s="243"/>
      <c r="EV431" s="243"/>
      <c r="EW431" s="243"/>
      <c r="EX431" s="243"/>
      <c r="EY431" s="243"/>
      <c r="EZ431" s="243"/>
      <c r="FA431" s="243"/>
      <c r="FB431" s="243"/>
      <c r="FC431" s="243"/>
      <c r="FD431" s="243"/>
      <c r="FE431" s="243"/>
      <c r="FF431" s="243"/>
      <c r="FG431" s="243"/>
      <c r="FH431" s="243"/>
      <c r="FI431" s="243"/>
      <c r="FJ431" s="243"/>
      <c r="FK431" s="243"/>
      <c r="FL431" s="243"/>
      <c r="FM431" s="243"/>
      <c r="FN431" s="243"/>
      <c r="FO431" s="243"/>
      <c r="FP431" s="243"/>
      <c r="FQ431" s="243"/>
      <c r="FR431" s="243"/>
      <c r="FS431" s="243"/>
      <c r="FT431" s="243"/>
      <c r="FU431" s="243"/>
      <c r="FV431" s="243"/>
      <c r="FW431" s="243"/>
      <c r="FX431" s="243"/>
      <c r="FY431" s="243"/>
      <c r="FZ431" s="243"/>
      <c r="GA431" s="243"/>
      <c r="GB431" s="243"/>
      <c r="GC431" s="243"/>
      <c r="GD431" s="243"/>
      <c r="GE431" s="243"/>
      <c r="GF431" s="243"/>
      <c r="GG431" s="243"/>
      <c r="GH431" s="243"/>
      <c r="GI431" s="243"/>
      <c r="GJ431" s="243"/>
      <c r="GK431" s="243"/>
      <c r="GL431" s="243"/>
      <c r="GM431" s="243"/>
      <c r="GN431" s="243"/>
      <c r="GO431" s="243"/>
      <c r="GP431" s="243"/>
      <c r="GQ431" s="243"/>
      <c r="GR431" s="243"/>
      <c r="GS431" s="243"/>
      <c r="GT431" s="243"/>
      <c r="GU431" s="243"/>
      <c r="GV431" s="243"/>
      <c r="GW431" s="243"/>
      <c r="GX431" s="243"/>
      <c r="GY431" s="243"/>
      <c r="GZ431" s="243"/>
      <c r="HA431" s="243"/>
      <c r="HB431" s="243"/>
      <c r="HC431" s="243"/>
      <c r="HD431" s="243"/>
      <c r="HE431" s="243"/>
      <c r="HF431" s="243"/>
      <c r="HG431" s="243"/>
      <c r="HH431" s="243"/>
      <c r="HI431" s="243"/>
      <c r="HJ431" s="243"/>
      <c r="HK431" s="243"/>
      <c r="HL431" s="243"/>
      <c r="HM431" s="243"/>
      <c r="HN431" s="243"/>
      <c r="HO431" s="243"/>
      <c r="HP431" s="243"/>
      <c r="HQ431" s="243"/>
      <c r="HR431" s="243"/>
      <c r="HS431" s="243"/>
      <c r="HT431" s="243"/>
      <c r="HU431" s="243"/>
      <c r="HV431" s="243"/>
      <c r="HW431" s="243"/>
      <c r="HX431" s="243"/>
      <c r="HY431" s="243"/>
      <c r="HZ431" s="243"/>
      <c r="IA431" s="243"/>
      <c r="IB431" s="243"/>
      <c r="IC431" s="243"/>
      <c r="ID431" s="243"/>
      <c r="IE431" s="243"/>
      <c r="IF431" s="243"/>
      <c r="IG431" s="243"/>
      <c r="IH431" s="243"/>
      <c r="II431" s="243"/>
      <c r="IJ431" s="243"/>
      <c r="IK431" s="243"/>
      <c r="IL431" s="243"/>
      <c r="IM431" s="243"/>
      <c r="IN431" s="243"/>
      <c r="IO431" s="243"/>
      <c r="IP431" s="243"/>
      <c r="IQ431" s="243"/>
      <c r="IR431" s="243"/>
      <c r="IS431" s="243"/>
      <c r="IT431" s="243"/>
      <c r="IU431" s="243"/>
      <c r="IV431" s="243"/>
      <c r="IW431" s="243"/>
      <c r="IX431" s="243"/>
      <c r="IY431" s="243"/>
      <c r="IZ431" s="243"/>
      <c r="JA431" s="243"/>
      <c r="JB431" s="243"/>
      <c r="JC431" s="243"/>
      <c r="JD431" s="243"/>
      <c r="JE431" s="243"/>
      <c r="JF431" s="243"/>
      <c r="JG431" s="243"/>
      <c r="JH431" s="243"/>
      <c r="JI431" s="243"/>
      <c r="JJ431" s="243"/>
      <c r="JK431" s="243"/>
      <c r="JL431" s="243"/>
      <c r="JM431" s="243"/>
      <c r="JN431" s="243"/>
      <c r="JO431" s="243"/>
      <c r="JP431" s="243"/>
      <c r="JQ431" s="243"/>
      <c r="JR431" s="243"/>
      <c r="JS431" s="243"/>
      <c r="JT431" s="243"/>
      <c r="JU431" s="243"/>
      <c r="JV431" s="243"/>
      <c r="JW431" s="243"/>
      <c r="JX431" s="243"/>
      <c r="JY431" s="243"/>
      <c r="JZ431" s="243"/>
      <c r="KA431" s="243"/>
      <c r="KB431" s="243"/>
      <c r="KC431" s="243"/>
      <c r="KD431" s="243"/>
      <c r="KE431" s="243"/>
      <c r="KF431" s="243"/>
      <c r="KG431" s="243"/>
      <c r="KH431" s="243"/>
      <c r="KI431" s="243"/>
      <c r="KJ431" s="243"/>
      <c r="KK431" s="243"/>
      <c r="KL431" s="243"/>
      <c r="KM431" s="243"/>
      <c r="KN431" s="243"/>
      <c r="KO431" s="243"/>
      <c r="KP431" s="243"/>
      <c r="KQ431" s="243"/>
      <c r="KR431" s="243"/>
      <c r="KS431" s="243"/>
      <c r="KT431" s="243"/>
      <c r="KU431" s="243"/>
      <c r="KV431" s="243"/>
      <c r="KW431" s="243"/>
      <c r="KX431" s="243"/>
      <c r="KY431" s="243"/>
      <c r="KZ431" s="243"/>
      <c r="LA431" s="243"/>
      <c r="LB431" s="243"/>
      <c r="LC431" s="243"/>
      <c r="LD431" s="243"/>
      <c r="LE431" s="243"/>
      <c r="LF431" s="243"/>
      <c r="LG431" s="243"/>
      <c r="LH431" s="243"/>
      <c r="LI431" s="243"/>
      <c r="LJ431" s="243"/>
      <c r="LK431" s="243"/>
      <c r="LL431" s="243"/>
      <c r="LM431" s="243"/>
      <c r="LN431" s="243"/>
      <c r="LO431" s="243"/>
      <c r="LP431" s="243"/>
      <c r="LQ431" s="243"/>
      <c r="LR431" s="243"/>
      <c r="LS431" s="243"/>
      <c r="LT431" s="243"/>
      <c r="LU431" s="243"/>
      <c r="LV431" s="243"/>
      <c r="LW431" s="243"/>
      <c r="LX431" s="243"/>
      <c r="LY431" s="243"/>
      <c r="LZ431" s="243"/>
      <c r="MA431" s="243"/>
      <c r="MB431" s="243"/>
      <c r="MC431" s="243"/>
      <c r="MD431" s="243"/>
      <c r="ME431" s="243"/>
      <c r="MF431" s="243"/>
      <c r="MG431" s="243"/>
      <c r="MH431" s="243"/>
      <c r="MI431" s="243"/>
      <c r="MJ431" s="243"/>
      <c r="MK431" s="243"/>
      <c r="ML431" s="243"/>
      <c r="MM431" s="243"/>
      <c r="MN431" s="243"/>
      <c r="MO431" s="243"/>
      <c r="MP431" s="243"/>
      <c r="MQ431" s="243"/>
      <c r="MR431" s="243"/>
      <c r="MS431" s="243"/>
      <c r="MT431" s="243"/>
      <c r="MU431" s="243"/>
      <c r="MV431" s="243"/>
      <c r="MW431" s="243"/>
      <c r="MX431" s="243"/>
      <c r="MY431" s="243"/>
      <c r="MZ431" s="243"/>
      <c r="NA431" s="243"/>
      <c r="NB431" s="243"/>
      <c r="NC431" s="243"/>
      <c r="ND431" s="243"/>
      <c r="NE431" s="243"/>
      <c r="NF431" s="243"/>
      <c r="NG431" s="243"/>
      <c r="NH431" s="243"/>
      <c r="NI431" s="243"/>
      <c r="NJ431" s="243"/>
      <c r="NK431" s="243"/>
      <c r="NL431" s="243"/>
      <c r="NM431" s="243"/>
      <c r="NN431" s="243"/>
      <c r="NO431" s="243"/>
      <c r="NP431" s="243"/>
      <c r="NQ431" s="243"/>
      <c r="NR431" s="243"/>
      <c r="NS431" s="243"/>
      <c r="NT431" s="243"/>
      <c r="NU431" s="243"/>
      <c r="NV431" s="243"/>
      <c r="NW431" s="243"/>
      <c r="NX431" s="243"/>
      <c r="NY431" s="243"/>
      <c r="NZ431" s="243"/>
      <c r="OA431" s="243"/>
      <c r="OB431" s="243"/>
      <c r="OC431" s="243"/>
      <c r="OD431" s="243"/>
      <c r="OE431" s="243"/>
      <c r="OF431" s="243"/>
      <c r="OG431" s="243"/>
      <c r="OH431" s="243"/>
      <c r="OI431" s="243"/>
      <c r="OJ431" s="243"/>
      <c r="OK431" s="243"/>
      <c r="OL431" s="243"/>
      <c r="OM431" s="243"/>
      <c r="ON431" s="243"/>
      <c r="OO431" s="243"/>
      <c r="OP431" s="243"/>
      <c r="OQ431" s="243"/>
      <c r="OR431" s="243"/>
      <c r="OS431" s="243"/>
      <c r="OT431" s="243"/>
      <c r="OU431" s="243"/>
      <c r="OV431" s="243"/>
      <c r="OW431" s="243"/>
      <c r="OX431" s="243"/>
      <c r="OY431" s="243"/>
      <c r="OZ431" s="243"/>
      <c r="PA431" s="243"/>
      <c r="PB431" s="243"/>
      <c r="PC431" s="243"/>
      <c r="PD431" s="243"/>
      <c r="PE431" s="243"/>
      <c r="PF431" s="243"/>
      <c r="PG431" s="243"/>
      <c r="PH431" s="243"/>
      <c r="PI431" s="243"/>
      <c r="PJ431" s="243"/>
      <c r="PK431" s="243"/>
      <c r="PL431" s="243"/>
      <c r="PM431" s="243"/>
      <c r="PN431" s="243"/>
      <c r="PO431" s="243"/>
      <c r="PP431" s="243"/>
      <c r="PQ431" s="243"/>
      <c r="PR431" s="243"/>
      <c r="PS431" s="243"/>
      <c r="PT431" s="243"/>
      <c r="PU431" s="243"/>
      <c r="PV431" s="243"/>
      <c r="PW431" s="243"/>
      <c r="PX431" s="243"/>
      <c r="PY431" s="243"/>
      <c r="PZ431" s="243"/>
      <c r="QA431" s="243"/>
      <c r="QB431" s="243"/>
      <c r="QC431" s="243"/>
      <c r="QD431" s="243"/>
      <c r="QE431" s="243"/>
      <c r="QF431" s="243"/>
      <c r="QG431" s="243"/>
      <c r="QH431" s="243"/>
      <c r="QI431" s="243"/>
      <c r="QJ431" s="243"/>
      <c r="QK431" s="243"/>
      <c r="QL431" s="243"/>
      <c r="QM431" s="243"/>
      <c r="QN431" s="243"/>
      <c r="QO431" s="243"/>
      <c r="QP431" s="243"/>
      <c r="QQ431" s="243"/>
      <c r="QR431" s="243"/>
      <c r="QS431" s="243"/>
      <c r="QT431" s="243"/>
      <c r="QU431" s="243"/>
      <c r="QV431" s="243"/>
      <c r="QW431" s="243"/>
      <c r="QX431" s="243"/>
      <c r="QY431" s="243"/>
      <c r="QZ431" s="243"/>
      <c r="RA431" s="243"/>
      <c r="RB431" s="243"/>
      <c r="RC431" s="243"/>
      <c r="RD431" s="243"/>
      <c r="RE431" s="243"/>
      <c r="RF431" s="243"/>
      <c r="RG431" s="243"/>
      <c r="RH431" s="243"/>
      <c r="RI431" s="243"/>
      <c r="RJ431" s="243"/>
      <c r="RK431" s="243"/>
      <c r="RL431" s="243"/>
      <c r="RM431" s="243"/>
      <c r="RN431" s="243"/>
      <c r="RO431" s="243"/>
      <c r="RP431" s="243"/>
      <c r="RQ431" s="243"/>
      <c r="RR431" s="243"/>
      <c r="RS431" s="243"/>
      <c r="RT431" s="243"/>
      <c r="RU431" s="243"/>
      <c r="RV431" s="243"/>
      <c r="RW431" s="243"/>
      <c r="RX431" s="243"/>
      <c r="RY431" s="243"/>
      <c r="RZ431" s="243"/>
      <c r="SA431" s="243"/>
      <c r="SB431" s="243"/>
      <c r="SC431" s="243"/>
      <c r="SD431" s="243"/>
      <c r="SE431" s="243"/>
      <c r="SF431" s="243"/>
      <c r="SG431" s="243"/>
      <c r="SH431" s="243"/>
      <c r="SI431" s="243"/>
      <c r="SJ431" s="243"/>
      <c r="SK431" s="243"/>
      <c r="SL431" s="243"/>
      <c r="SM431" s="243"/>
      <c r="SN431" s="243"/>
      <c r="SO431" s="243"/>
      <c r="SP431" s="243"/>
      <c r="SQ431" s="243"/>
      <c r="SR431" s="243"/>
      <c r="SS431" s="243"/>
      <c r="ST431" s="243"/>
      <c r="SU431" s="243"/>
      <c r="SV431" s="243"/>
      <c r="SW431" s="243"/>
      <c r="SX431" s="243"/>
      <c r="SY431" s="243"/>
      <c r="SZ431" s="243"/>
      <c r="TA431" s="243"/>
      <c r="TB431" s="243"/>
      <c r="TC431" s="243"/>
      <c r="TD431" s="243"/>
      <c r="TE431" s="243"/>
      <c r="TF431" s="243"/>
      <c r="TG431" s="243"/>
      <c r="TH431" s="243"/>
      <c r="TI431" s="243"/>
      <c r="TJ431" s="243"/>
      <c r="TK431" s="243"/>
      <c r="TL431" s="243"/>
      <c r="TM431" s="243"/>
      <c r="TN431" s="243"/>
      <c r="TO431" s="243"/>
      <c r="TP431" s="243"/>
      <c r="TQ431" s="243"/>
      <c r="TR431" s="243"/>
      <c r="TS431" s="243"/>
      <c r="TT431" s="243"/>
      <c r="TU431" s="243"/>
      <c r="TV431" s="243"/>
      <c r="TW431" s="243"/>
      <c r="TX431" s="243"/>
      <c r="TY431" s="243"/>
      <c r="TZ431" s="243"/>
      <c r="UA431" s="243"/>
      <c r="UB431" s="243"/>
      <c r="UC431" s="243"/>
      <c r="UD431" s="243"/>
      <c r="UE431" s="243"/>
      <c r="UF431" s="243"/>
      <c r="UG431" s="243"/>
      <c r="UH431" s="243"/>
      <c r="UI431" s="243"/>
      <c r="UJ431" s="243"/>
      <c r="UK431" s="243"/>
      <c r="UL431" s="243"/>
      <c r="UM431" s="243"/>
      <c r="UN431" s="243"/>
      <c r="UO431" s="243"/>
      <c r="UP431" s="243"/>
      <c r="UQ431" s="243"/>
      <c r="UR431" s="243"/>
      <c r="US431" s="243"/>
      <c r="UT431" s="243"/>
      <c r="UU431" s="243"/>
      <c r="UV431" s="243"/>
      <c r="UW431" s="243"/>
      <c r="UX431" s="243"/>
      <c r="UY431" s="243"/>
      <c r="UZ431" s="243"/>
      <c r="VA431" s="243"/>
      <c r="VB431" s="243"/>
      <c r="VC431" s="243"/>
      <c r="VD431" s="243"/>
      <c r="VE431" s="243"/>
      <c r="VF431" s="243"/>
      <c r="VG431" s="243"/>
      <c r="VH431" s="243"/>
      <c r="VI431" s="243"/>
      <c r="VJ431" s="243"/>
      <c r="VK431" s="243"/>
      <c r="VL431" s="243"/>
      <c r="VM431" s="243"/>
      <c r="VN431" s="243"/>
      <c r="VO431" s="243"/>
      <c r="VP431" s="243"/>
      <c r="VQ431" s="243"/>
      <c r="VR431" s="243"/>
      <c r="VS431" s="243"/>
      <c r="VT431" s="243"/>
      <c r="VU431" s="243"/>
      <c r="VV431" s="243"/>
      <c r="VW431" s="243"/>
      <c r="VX431" s="243"/>
      <c r="VY431" s="243"/>
      <c r="VZ431" s="243"/>
      <c r="WA431" s="243"/>
      <c r="WB431" s="243"/>
      <c r="WC431" s="243"/>
      <c r="WD431" s="243"/>
      <c r="WE431" s="243"/>
      <c r="WF431" s="243"/>
      <c r="WG431" s="243"/>
      <c r="WH431" s="243"/>
      <c r="WI431" s="243"/>
      <c r="WJ431" s="243"/>
      <c r="WK431" s="243"/>
      <c r="WL431" s="243"/>
      <c r="WM431" s="243"/>
      <c r="WN431" s="243"/>
      <c r="WO431" s="243"/>
      <c r="WP431" s="243"/>
      <c r="WQ431" s="243"/>
      <c r="WR431" s="243"/>
      <c r="WS431" s="243"/>
      <c r="WT431" s="243"/>
      <c r="WU431" s="243"/>
      <c r="WV431" s="243"/>
      <c r="WW431" s="243"/>
      <c r="WX431" s="243"/>
      <c r="WY431" s="243"/>
      <c r="WZ431" s="243"/>
      <c r="XA431" s="243"/>
      <c r="XB431" s="243"/>
      <c r="XC431" s="243"/>
      <c r="XD431" s="243"/>
      <c r="XE431" s="243"/>
      <c r="XF431" s="243"/>
      <c r="XG431" s="243"/>
      <c r="XH431" s="243"/>
      <c r="XI431" s="243"/>
      <c r="XJ431" s="243"/>
      <c r="XK431" s="243"/>
      <c r="XL431" s="243"/>
      <c r="XM431" s="243"/>
      <c r="XN431" s="243"/>
      <c r="XO431" s="243"/>
      <c r="XP431" s="243"/>
      <c r="XQ431" s="243"/>
      <c r="XR431" s="243"/>
      <c r="XS431" s="243"/>
      <c r="XT431" s="243"/>
      <c r="XU431" s="243"/>
      <c r="XV431" s="243"/>
      <c r="XW431" s="243"/>
      <c r="XX431" s="243"/>
      <c r="XY431" s="243"/>
      <c r="XZ431" s="243"/>
      <c r="YA431" s="243"/>
      <c r="YB431" s="243"/>
      <c r="YC431" s="243"/>
      <c r="YD431" s="243"/>
      <c r="YE431" s="243"/>
      <c r="YF431" s="243"/>
      <c r="YG431" s="243"/>
      <c r="YH431" s="243"/>
      <c r="YI431" s="243"/>
      <c r="YJ431" s="243"/>
      <c r="YK431" s="243"/>
      <c r="YL431" s="243"/>
      <c r="YM431" s="243"/>
      <c r="YN431" s="243"/>
      <c r="YO431" s="243"/>
      <c r="YP431" s="243"/>
      <c r="YQ431" s="243"/>
      <c r="YR431" s="243"/>
      <c r="YS431" s="243"/>
      <c r="YT431" s="243"/>
      <c r="YU431" s="243"/>
      <c r="YV431" s="243"/>
      <c r="YW431" s="243"/>
      <c r="YX431" s="243"/>
      <c r="YY431" s="243"/>
      <c r="YZ431" s="243"/>
      <c r="ZA431" s="243"/>
      <c r="ZB431" s="243"/>
      <c r="ZC431" s="243"/>
      <c r="ZD431" s="243"/>
      <c r="ZE431" s="243"/>
      <c r="ZF431" s="243"/>
      <c r="ZG431" s="243"/>
      <c r="ZH431" s="243"/>
      <c r="ZI431" s="243"/>
      <c r="ZJ431" s="243"/>
      <c r="ZK431" s="243"/>
      <c r="ZL431" s="243"/>
      <c r="ZM431" s="243"/>
      <c r="ZN431" s="243"/>
      <c r="ZO431" s="243"/>
      <c r="ZP431" s="243"/>
      <c r="ZQ431" s="243"/>
      <c r="ZR431" s="243"/>
      <c r="ZS431" s="243"/>
      <c r="ZT431" s="243"/>
      <c r="ZU431" s="243"/>
      <c r="ZV431" s="243"/>
      <c r="ZW431" s="243"/>
      <c r="ZX431" s="243"/>
      <c r="ZY431" s="243"/>
      <c r="ZZ431" s="243"/>
      <c r="AAA431" s="243"/>
      <c r="AAB431" s="243"/>
      <c r="AAC431" s="243"/>
      <c r="AAD431" s="243"/>
      <c r="AAE431" s="243"/>
      <c r="AAF431" s="243"/>
      <c r="AAG431" s="243"/>
      <c r="AAH431" s="243"/>
      <c r="AAI431" s="243"/>
      <c r="AAJ431" s="243"/>
      <c r="AAK431" s="243"/>
      <c r="AAL431" s="243"/>
      <c r="AAM431" s="243"/>
      <c r="AAN431" s="243"/>
      <c r="AAO431" s="243"/>
      <c r="AAP431" s="243"/>
      <c r="AAQ431" s="243"/>
      <c r="AAR431" s="243"/>
      <c r="AAS431" s="243"/>
      <c r="AAT431" s="243"/>
      <c r="AAU431" s="243"/>
      <c r="AAV431" s="243"/>
      <c r="AAW431" s="243"/>
      <c r="AAX431" s="243"/>
      <c r="AAY431" s="243"/>
      <c r="AAZ431" s="243"/>
      <c r="ABA431" s="243"/>
      <c r="ABB431" s="243"/>
      <c r="ABC431" s="243"/>
      <c r="ABD431" s="243"/>
      <c r="ABE431" s="243"/>
      <c r="ABF431" s="243"/>
      <c r="ABG431" s="243"/>
      <c r="ABH431" s="243"/>
      <c r="ABI431" s="243"/>
      <c r="ABJ431" s="243"/>
      <c r="ABK431" s="243"/>
      <c r="ABL431" s="243"/>
      <c r="ABM431" s="243"/>
      <c r="ABN431" s="243"/>
      <c r="ABO431" s="243"/>
      <c r="ABP431" s="243"/>
      <c r="ABQ431" s="243"/>
      <c r="ABR431" s="243"/>
      <c r="ABS431" s="243"/>
      <c r="ABT431" s="243"/>
      <c r="ABU431" s="243"/>
      <c r="ABV431" s="243"/>
      <c r="ABW431" s="243"/>
      <c r="ABX431" s="243"/>
      <c r="ABY431" s="243"/>
      <c r="ABZ431" s="243"/>
      <c r="ACA431" s="243"/>
      <c r="ACB431" s="243"/>
      <c r="ACC431" s="243"/>
      <c r="ACD431" s="243"/>
      <c r="ACE431" s="243"/>
      <c r="ACF431" s="243"/>
      <c r="ACG431" s="243"/>
      <c r="ACH431" s="243"/>
      <c r="ACI431" s="243"/>
      <c r="ACJ431" s="243"/>
      <c r="ACK431" s="243"/>
      <c r="ACL431" s="243"/>
      <c r="ACM431" s="243"/>
      <c r="ACN431" s="243"/>
      <c r="ACO431" s="243"/>
      <c r="ACP431" s="243"/>
      <c r="ACQ431" s="243"/>
      <c r="ACR431" s="243"/>
      <c r="ACS431" s="243"/>
      <c r="ACT431" s="243"/>
      <c r="ACU431" s="243"/>
      <c r="ACV431" s="243"/>
      <c r="ACW431" s="243"/>
      <c r="ACX431" s="243"/>
      <c r="ACY431" s="243"/>
      <c r="ACZ431" s="243"/>
      <c r="ADA431" s="243"/>
      <c r="ADB431" s="243"/>
      <c r="ADC431" s="243"/>
      <c r="ADD431" s="243"/>
      <c r="ADE431" s="243"/>
      <c r="ADF431" s="243"/>
      <c r="ADG431" s="243"/>
      <c r="ADH431" s="243"/>
      <c r="ADI431" s="243"/>
      <c r="ADJ431" s="243"/>
      <c r="ADK431" s="243"/>
      <c r="ADL431" s="243"/>
      <c r="ADM431" s="243"/>
      <c r="ADN431" s="243"/>
      <c r="ADO431" s="243"/>
      <c r="ADP431" s="243"/>
      <c r="ADQ431" s="243"/>
      <c r="ADR431" s="243"/>
      <c r="ADS431" s="243"/>
      <c r="ADT431" s="243"/>
      <c r="ADU431" s="243"/>
      <c r="ADV431" s="243"/>
      <c r="ADW431" s="243"/>
      <c r="ADX431" s="243"/>
      <c r="ADY431" s="243"/>
      <c r="ADZ431" s="243"/>
      <c r="AEA431" s="243"/>
      <c r="AEB431" s="243"/>
      <c r="AEC431" s="243"/>
      <c r="AED431" s="243"/>
      <c r="AEE431" s="243"/>
      <c r="AEF431" s="243"/>
      <c r="AEG431" s="243"/>
      <c r="AEH431" s="243"/>
      <c r="AEI431" s="243"/>
      <c r="AEJ431" s="243"/>
      <c r="AEK431" s="243"/>
      <c r="AEL431" s="243"/>
      <c r="AEM431" s="243"/>
      <c r="AEN431" s="243"/>
      <c r="AEO431" s="243"/>
      <c r="AEP431" s="243"/>
      <c r="AEQ431" s="243"/>
      <c r="AER431" s="243"/>
      <c r="AES431" s="243"/>
      <c r="AET431" s="243"/>
      <c r="AEU431" s="243"/>
      <c r="AEV431" s="243"/>
      <c r="AEW431" s="243"/>
      <c r="AEX431" s="243"/>
      <c r="AEY431" s="243"/>
      <c r="AEZ431" s="243"/>
      <c r="AFA431" s="243"/>
      <c r="AFB431" s="243"/>
      <c r="AFC431" s="243"/>
      <c r="AFD431" s="243"/>
      <c r="AFE431" s="243"/>
      <c r="AFF431" s="243"/>
      <c r="AFG431" s="243"/>
      <c r="AFH431" s="243"/>
      <c r="AFI431" s="243"/>
      <c r="AFJ431" s="243"/>
      <c r="AFK431" s="243"/>
      <c r="AFL431" s="243"/>
      <c r="AFM431" s="243"/>
      <c r="AFN431" s="243"/>
      <c r="AFO431" s="243"/>
      <c r="AFP431" s="243"/>
      <c r="AFQ431" s="243"/>
      <c r="AFR431" s="243"/>
      <c r="AFS431" s="243"/>
      <c r="AFT431" s="243"/>
      <c r="AFU431" s="243"/>
      <c r="AFV431" s="243"/>
      <c r="AFW431" s="243"/>
      <c r="AFX431" s="243"/>
      <c r="AFY431" s="243"/>
      <c r="AFZ431" s="243"/>
      <c r="AGA431" s="243"/>
      <c r="AGB431" s="243"/>
      <c r="AGC431" s="243"/>
      <c r="AGD431" s="243"/>
      <c r="AGE431" s="243"/>
      <c r="AGF431" s="243"/>
      <c r="AGG431" s="243"/>
      <c r="AGH431" s="243"/>
      <c r="AGI431" s="243"/>
      <c r="AGJ431" s="243"/>
      <c r="AGK431" s="243"/>
      <c r="AGL431" s="243"/>
      <c r="AGM431" s="243"/>
      <c r="AGN431" s="243"/>
      <c r="AGO431" s="243"/>
      <c r="AGP431" s="243"/>
      <c r="AGQ431" s="243"/>
      <c r="AGR431" s="243"/>
      <c r="AGS431" s="243"/>
      <c r="AGT431" s="243"/>
      <c r="AGU431" s="243"/>
      <c r="AGV431" s="243"/>
      <c r="AGW431" s="243"/>
      <c r="AGX431" s="243"/>
      <c r="AGY431" s="243"/>
      <c r="AGZ431" s="243"/>
      <c r="AHA431" s="243"/>
      <c r="AHB431" s="243"/>
      <c r="AHC431" s="243"/>
      <c r="AHD431" s="243"/>
      <c r="AHE431" s="243"/>
      <c r="AHF431" s="243"/>
      <c r="AHG431" s="243"/>
      <c r="AHH431" s="243"/>
      <c r="AHI431" s="243"/>
      <c r="AHJ431" s="243"/>
      <c r="AHK431" s="243"/>
      <c r="AHL431" s="243"/>
      <c r="AHM431" s="243"/>
      <c r="AHN431" s="243"/>
      <c r="AHO431" s="243"/>
      <c r="AHP431" s="243"/>
      <c r="AHQ431" s="243"/>
      <c r="AHR431" s="243"/>
      <c r="AHS431" s="243"/>
      <c r="AHT431" s="243"/>
      <c r="AHU431" s="243"/>
      <c r="AHV431" s="243"/>
      <c r="AHW431" s="243"/>
      <c r="AHX431" s="243"/>
      <c r="AHY431" s="243"/>
      <c r="AHZ431" s="243"/>
      <c r="AIA431" s="243"/>
      <c r="AIB431" s="243"/>
      <c r="AIC431" s="243"/>
      <c r="AID431" s="243"/>
      <c r="AIE431" s="243"/>
      <c r="AIF431" s="243"/>
      <c r="AIG431" s="243"/>
      <c r="AIH431" s="243"/>
      <c r="AII431" s="243"/>
      <c r="AIJ431" s="243"/>
      <c r="AIK431" s="243"/>
      <c r="AIL431" s="243"/>
      <c r="AIM431" s="243"/>
      <c r="AIN431" s="243"/>
      <c r="AIO431" s="243"/>
      <c r="AIP431" s="243"/>
      <c r="AIQ431" s="243"/>
      <c r="AIR431" s="243"/>
      <c r="AIS431" s="243"/>
      <c r="AIT431" s="243"/>
      <c r="AIU431" s="243"/>
      <c r="AIV431" s="243"/>
      <c r="AIW431" s="243"/>
      <c r="AIX431" s="243"/>
      <c r="AIY431" s="243"/>
      <c r="AIZ431" s="243"/>
      <c r="AJA431" s="243"/>
      <c r="AJB431" s="243"/>
      <c r="AJC431" s="243"/>
      <c r="AJD431" s="243"/>
      <c r="AJE431" s="243"/>
      <c r="AJF431" s="243"/>
      <c r="AJG431" s="243"/>
      <c r="AJH431" s="243"/>
      <c r="AJI431" s="243"/>
      <c r="AJJ431" s="243"/>
      <c r="AJK431" s="243"/>
      <c r="AJL431" s="243"/>
      <c r="AJM431" s="243"/>
      <c r="AJN431" s="243"/>
      <c r="AJO431" s="243"/>
      <c r="AJP431" s="243"/>
      <c r="AJQ431" s="243"/>
      <c r="AJR431" s="243"/>
      <c r="AJS431" s="243"/>
      <c r="AJT431" s="243"/>
      <c r="AJU431" s="243"/>
      <c r="AJV431" s="243"/>
      <c r="AJW431" s="243"/>
      <c r="AJX431" s="243"/>
      <c r="AJY431" s="243"/>
      <c r="AJZ431" s="243"/>
      <c r="AKA431" s="243"/>
      <c r="AKB431" s="243"/>
      <c r="AKC431" s="243"/>
      <c r="AKD431" s="243"/>
      <c r="AKE431" s="243"/>
      <c r="AKF431" s="243"/>
      <c r="AKG431" s="243"/>
      <c r="AKH431" s="243"/>
      <c r="AKI431" s="243"/>
      <c r="AKJ431" s="243"/>
      <c r="AKK431" s="243"/>
      <c r="AKL431" s="243"/>
      <c r="AKM431" s="243"/>
      <c r="AKN431" s="243"/>
      <c r="AKO431" s="243"/>
      <c r="AKP431" s="243"/>
      <c r="AKQ431" s="243"/>
      <c r="AKR431" s="243"/>
      <c r="AKS431" s="243"/>
      <c r="AKT431" s="243"/>
      <c r="AKU431" s="243"/>
      <c r="AKV431" s="243"/>
      <c r="AKW431" s="243"/>
      <c r="AKX431" s="243"/>
      <c r="AKY431" s="243"/>
      <c r="AKZ431" s="243"/>
      <c r="ALA431" s="243"/>
      <c r="ALB431" s="243"/>
      <c r="ALC431" s="243"/>
      <c r="ALD431" s="243"/>
      <c r="ALE431" s="243"/>
      <c r="ALF431" s="243"/>
      <c r="ALG431" s="243"/>
      <c r="ALH431" s="243"/>
      <c r="ALI431" s="243"/>
      <c r="ALJ431" s="243"/>
      <c r="ALK431" s="243"/>
      <c r="ALL431" s="243"/>
      <c r="ALM431" s="243"/>
      <c r="ALN431" s="243"/>
      <c r="ALO431" s="243"/>
      <c r="ALP431" s="243"/>
      <c r="ALQ431" s="243"/>
      <c r="ALR431" s="243"/>
      <c r="ALS431" s="243"/>
      <c r="ALT431" s="243"/>
      <c r="ALU431" s="243"/>
      <c r="ALV431" s="243"/>
      <c r="ALW431" s="243"/>
      <c r="ALX431" s="243"/>
      <c r="ALY431" s="243"/>
      <c r="ALZ431" s="243"/>
      <c r="AMA431" s="243"/>
      <c r="AMB431" s="243"/>
      <c r="AMC431" s="243"/>
      <c r="AMD431" s="243"/>
      <c r="AME431" s="243"/>
      <c r="AMF431" s="243"/>
      <c r="AMG431" s="243"/>
      <c r="AMH431" s="243"/>
      <c r="AMI431" s="244"/>
      <c r="AMJ431" s="244"/>
    </row>
    <row r="432" spans="1:1024">
      <c r="A432" s="887"/>
      <c r="B432" s="677" t="s">
        <v>289</v>
      </c>
      <c r="C432" s="678"/>
      <c r="D432" s="556" t="s">
        <v>290</v>
      </c>
      <c r="E432" s="321"/>
      <c r="F432" s="327"/>
      <c r="G432" s="318"/>
      <c r="H432" s="604"/>
      <c r="I432" s="604"/>
      <c r="J432" s="604"/>
      <c r="K432" s="712"/>
      <c r="L432" s="720"/>
      <c r="M432" s="721"/>
      <c r="N432" s="733"/>
      <c r="O432" s="714"/>
      <c r="P432" s="649"/>
      <c r="Q432" s="716"/>
      <c r="R432" s="243"/>
      <c r="S432" s="243"/>
      <c r="T432" s="243"/>
      <c r="U432" s="243"/>
      <c r="V432" s="243"/>
      <c r="W432" s="243"/>
      <c r="X432" s="243"/>
      <c r="Y432" s="243"/>
      <c r="Z432" s="243"/>
      <c r="AA432" s="243"/>
      <c r="AB432" s="243"/>
      <c r="AC432" s="243"/>
      <c r="AD432" s="243"/>
      <c r="AE432" s="243"/>
      <c r="AF432" s="243"/>
      <c r="AG432" s="243"/>
      <c r="AH432" s="243"/>
      <c r="AI432" s="243"/>
      <c r="AJ432" s="243"/>
      <c r="AK432" s="243"/>
      <c r="AL432" s="243"/>
      <c r="AM432" s="243"/>
      <c r="AN432" s="243"/>
      <c r="AO432" s="243"/>
      <c r="AP432" s="243"/>
      <c r="AQ432" s="243"/>
      <c r="AR432" s="243"/>
      <c r="AS432" s="243"/>
      <c r="AT432" s="243"/>
      <c r="AU432" s="243"/>
      <c r="AV432" s="243"/>
      <c r="AW432" s="243"/>
      <c r="AX432" s="243"/>
      <c r="AY432" s="243"/>
      <c r="AZ432" s="243"/>
      <c r="BA432" s="243"/>
      <c r="BB432" s="243"/>
      <c r="BC432" s="243"/>
      <c r="BD432" s="243"/>
      <c r="BE432" s="243"/>
      <c r="BF432" s="243"/>
      <c r="BG432" s="243"/>
      <c r="BH432" s="243"/>
      <c r="BI432" s="243"/>
      <c r="BJ432" s="243"/>
      <c r="BK432" s="243"/>
      <c r="BL432" s="243"/>
      <c r="BM432" s="243"/>
      <c r="BN432" s="243"/>
      <c r="BO432" s="243"/>
      <c r="BP432" s="243"/>
      <c r="BQ432" s="243"/>
      <c r="BR432" s="243"/>
      <c r="BS432" s="243"/>
      <c r="BT432" s="243"/>
      <c r="BU432" s="243"/>
      <c r="BV432" s="243"/>
      <c r="BW432" s="243"/>
      <c r="BX432" s="243"/>
      <c r="BY432" s="243"/>
      <c r="BZ432" s="243"/>
      <c r="CA432" s="243"/>
      <c r="CB432" s="243"/>
      <c r="CC432" s="243"/>
      <c r="CD432" s="243"/>
      <c r="CE432" s="243"/>
      <c r="CF432" s="243"/>
      <c r="CG432" s="243"/>
      <c r="CH432" s="243"/>
      <c r="CI432" s="243"/>
      <c r="CJ432" s="243"/>
      <c r="CK432" s="243"/>
      <c r="CL432" s="243"/>
      <c r="CM432" s="243"/>
      <c r="CN432" s="243"/>
      <c r="CO432" s="243"/>
      <c r="CP432" s="243"/>
      <c r="CQ432" s="243"/>
      <c r="CR432" s="243"/>
      <c r="CS432" s="243"/>
      <c r="CT432" s="243"/>
      <c r="CU432" s="243"/>
      <c r="CV432" s="243"/>
      <c r="CW432" s="243"/>
      <c r="CX432" s="243"/>
      <c r="CY432" s="243"/>
      <c r="CZ432" s="243"/>
      <c r="DA432" s="243"/>
      <c r="DB432" s="243"/>
      <c r="DC432" s="243"/>
      <c r="DD432" s="243"/>
      <c r="DE432" s="243"/>
      <c r="DF432" s="243"/>
      <c r="DG432" s="243"/>
      <c r="DH432" s="243"/>
      <c r="DI432" s="243"/>
      <c r="DJ432" s="243"/>
      <c r="DK432" s="243"/>
      <c r="DL432" s="243"/>
      <c r="DM432" s="243"/>
      <c r="DN432" s="243"/>
      <c r="DO432" s="243"/>
      <c r="DP432" s="243"/>
      <c r="DQ432" s="243"/>
      <c r="DR432" s="243"/>
      <c r="DS432" s="243"/>
      <c r="DT432" s="243"/>
      <c r="DU432" s="243"/>
      <c r="DV432" s="243"/>
      <c r="DW432" s="243"/>
      <c r="DX432" s="243"/>
      <c r="DY432" s="243"/>
      <c r="DZ432" s="243"/>
      <c r="EA432" s="243"/>
      <c r="EB432" s="243"/>
      <c r="EC432" s="243"/>
      <c r="ED432" s="243"/>
      <c r="EE432" s="243"/>
      <c r="EF432" s="243"/>
      <c r="EG432" s="243"/>
      <c r="EH432" s="243"/>
      <c r="EI432" s="243"/>
      <c r="EJ432" s="243"/>
      <c r="EK432" s="243"/>
      <c r="EL432" s="243"/>
      <c r="EM432" s="243"/>
      <c r="EN432" s="243"/>
      <c r="EO432" s="243"/>
      <c r="EP432" s="243"/>
      <c r="EQ432" s="243"/>
      <c r="ER432" s="243"/>
      <c r="ES432" s="243"/>
      <c r="ET432" s="243"/>
      <c r="EU432" s="243"/>
      <c r="EV432" s="243"/>
      <c r="EW432" s="243"/>
      <c r="EX432" s="243"/>
      <c r="EY432" s="243"/>
      <c r="EZ432" s="243"/>
      <c r="FA432" s="243"/>
      <c r="FB432" s="243"/>
      <c r="FC432" s="243"/>
      <c r="FD432" s="243"/>
      <c r="FE432" s="243"/>
      <c r="FF432" s="243"/>
      <c r="FG432" s="243"/>
      <c r="FH432" s="243"/>
      <c r="FI432" s="243"/>
      <c r="FJ432" s="243"/>
      <c r="FK432" s="243"/>
      <c r="FL432" s="243"/>
      <c r="FM432" s="243"/>
      <c r="FN432" s="243"/>
      <c r="FO432" s="243"/>
      <c r="FP432" s="243"/>
      <c r="FQ432" s="243"/>
      <c r="FR432" s="243"/>
      <c r="FS432" s="243"/>
      <c r="FT432" s="243"/>
      <c r="FU432" s="243"/>
      <c r="FV432" s="243"/>
      <c r="FW432" s="243"/>
      <c r="FX432" s="243"/>
      <c r="FY432" s="243"/>
      <c r="FZ432" s="243"/>
      <c r="GA432" s="243"/>
      <c r="GB432" s="243"/>
      <c r="GC432" s="243"/>
      <c r="GD432" s="243"/>
      <c r="GE432" s="243"/>
      <c r="GF432" s="243"/>
      <c r="GG432" s="243"/>
      <c r="GH432" s="243"/>
      <c r="GI432" s="243"/>
      <c r="GJ432" s="243"/>
      <c r="GK432" s="243"/>
      <c r="GL432" s="243"/>
      <c r="GM432" s="243"/>
      <c r="GN432" s="243"/>
      <c r="GO432" s="243"/>
      <c r="GP432" s="243"/>
      <c r="GQ432" s="243"/>
      <c r="GR432" s="243"/>
      <c r="GS432" s="243"/>
      <c r="GT432" s="243"/>
      <c r="GU432" s="243"/>
      <c r="GV432" s="243"/>
      <c r="GW432" s="243"/>
      <c r="GX432" s="243"/>
      <c r="GY432" s="243"/>
      <c r="GZ432" s="243"/>
      <c r="HA432" s="243"/>
      <c r="HB432" s="243"/>
      <c r="HC432" s="243"/>
      <c r="HD432" s="243"/>
      <c r="HE432" s="243"/>
      <c r="HF432" s="243"/>
      <c r="HG432" s="243"/>
      <c r="HH432" s="243"/>
      <c r="HI432" s="243"/>
      <c r="HJ432" s="243"/>
      <c r="HK432" s="243"/>
      <c r="HL432" s="243"/>
      <c r="HM432" s="243"/>
      <c r="HN432" s="243"/>
      <c r="HO432" s="243"/>
      <c r="HP432" s="243"/>
      <c r="HQ432" s="243"/>
      <c r="HR432" s="243"/>
      <c r="HS432" s="243"/>
      <c r="HT432" s="243"/>
      <c r="HU432" s="243"/>
      <c r="HV432" s="243"/>
      <c r="HW432" s="243"/>
      <c r="HX432" s="243"/>
      <c r="HY432" s="243"/>
      <c r="HZ432" s="243"/>
      <c r="IA432" s="243"/>
      <c r="IB432" s="243"/>
      <c r="IC432" s="243"/>
      <c r="ID432" s="243"/>
      <c r="IE432" s="243"/>
      <c r="IF432" s="243"/>
      <c r="IG432" s="243"/>
      <c r="IH432" s="243"/>
      <c r="II432" s="243"/>
      <c r="IJ432" s="243"/>
      <c r="IK432" s="243"/>
      <c r="IL432" s="243"/>
      <c r="IM432" s="243"/>
      <c r="IN432" s="243"/>
      <c r="IO432" s="243"/>
      <c r="IP432" s="243"/>
      <c r="IQ432" s="243"/>
      <c r="IR432" s="243"/>
      <c r="IS432" s="243"/>
      <c r="IT432" s="243"/>
      <c r="IU432" s="243"/>
      <c r="IV432" s="243"/>
      <c r="IW432" s="243"/>
      <c r="IX432" s="243"/>
      <c r="IY432" s="243"/>
      <c r="IZ432" s="243"/>
      <c r="JA432" s="243"/>
      <c r="JB432" s="243"/>
      <c r="JC432" s="243"/>
      <c r="JD432" s="243"/>
      <c r="JE432" s="243"/>
      <c r="JF432" s="243"/>
      <c r="JG432" s="243"/>
      <c r="JH432" s="243"/>
      <c r="JI432" s="243"/>
      <c r="JJ432" s="243"/>
      <c r="JK432" s="243"/>
      <c r="JL432" s="243"/>
      <c r="JM432" s="243"/>
      <c r="JN432" s="243"/>
      <c r="JO432" s="243"/>
      <c r="JP432" s="243"/>
      <c r="JQ432" s="243"/>
      <c r="JR432" s="243"/>
      <c r="JS432" s="243"/>
      <c r="JT432" s="243"/>
      <c r="JU432" s="243"/>
      <c r="JV432" s="243"/>
      <c r="JW432" s="243"/>
      <c r="JX432" s="243"/>
      <c r="JY432" s="243"/>
      <c r="JZ432" s="243"/>
      <c r="KA432" s="243"/>
      <c r="KB432" s="243"/>
      <c r="KC432" s="243"/>
      <c r="KD432" s="243"/>
      <c r="KE432" s="243"/>
      <c r="KF432" s="243"/>
      <c r="KG432" s="243"/>
      <c r="KH432" s="243"/>
      <c r="KI432" s="243"/>
      <c r="KJ432" s="243"/>
      <c r="KK432" s="243"/>
      <c r="KL432" s="243"/>
      <c r="KM432" s="243"/>
      <c r="KN432" s="243"/>
      <c r="KO432" s="243"/>
      <c r="KP432" s="243"/>
      <c r="KQ432" s="243"/>
      <c r="KR432" s="243"/>
      <c r="KS432" s="243"/>
      <c r="KT432" s="243"/>
      <c r="KU432" s="243"/>
      <c r="KV432" s="243"/>
      <c r="KW432" s="243"/>
      <c r="KX432" s="243"/>
      <c r="KY432" s="243"/>
      <c r="KZ432" s="243"/>
      <c r="LA432" s="243"/>
      <c r="LB432" s="243"/>
      <c r="LC432" s="243"/>
      <c r="LD432" s="243"/>
      <c r="LE432" s="243"/>
      <c r="LF432" s="243"/>
      <c r="LG432" s="243"/>
      <c r="LH432" s="243"/>
      <c r="LI432" s="243"/>
      <c r="LJ432" s="243"/>
      <c r="LK432" s="243"/>
      <c r="LL432" s="243"/>
      <c r="LM432" s="243"/>
      <c r="LN432" s="243"/>
      <c r="LO432" s="243"/>
      <c r="LP432" s="243"/>
      <c r="LQ432" s="243"/>
      <c r="LR432" s="243"/>
      <c r="LS432" s="243"/>
      <c r="LT432" s="243"/>
      <c r="LU432" s="243"/>
      <c r="LV432" s="243"/>
      <c r="LW432" s="243"/>
      <c r="LX432" s="243"/>
      <c r="LY432" s="243"/>
      <c r="LZ432" s="243"/>
      <c r="MA432" s="243"/>
      <c r="MB432" s="243"/>
      <c r="MC432" s="243"/>
      <c r="MD432" s="243"/>
      <c r="ME432" s="243"/>
      <c r="MF432" s="243"/>
      <c r="MG432" s="243"/>
      <c r="MH432" s="243"/>
      <c r="MI432" s="243"/>
      <c r="MJ432" s="243"/>
      <c r="MK432" s="243"/>
      <c r="ML432" s="243"/>
      <c r="MM432" s="243"/>
      <c r="MN432" s="243"/>
      <c r="MO432" s="243"/>
      <c r="MP432" s="243"/>
      <c r="MQ432" s="243"/>
      <c r="MR432" s="243"/>
      <c r="MS432" s="243"/>
      <c r="MT432" s="243"/>
      <c r="MU432" s="243"/>
      <c r="MV432" s="243"/>
      <c r="MW432" s="243"/>
      <c r="MX432" s="243"/>
      <c r="MY432" s="243"/>
      <c r="MZ432" s="243"/>
      <c r="NA432" s="243"/>
      <c r="NB432" s="243"/>
      <c r="NC432" s="243"/>
      <c r="ND432" s="243"/>
      <c r="NE432" s="243"/>
      <c r="NF432" s="243"/>
      <c r="NG432" s="243"/>
      <c r="NH432" s="243"/>
      <c r="NI432" s="243"/>
      <c r="NJ432" s="243"/>
      <c r="NK432" s="243"/>
      <c r="NL432" s="243"/>
      <c r="NM432" s="243"/>
      <c r="NN432" s="243"/>
      <c r="NO432" s="243"/>
      <c r="NP432" s="243"/>
      <c r="NQ432" s="243"/>
      <c r="NR432" s="243"/>
      <c r="NS432" s="243"/>
      <c r="NT432" s="243"/>
      <c r="NU432" s="243"/>
      <c r="NV432" s="243"/>
      <c r="NW432" s="243"/>
      <c r="NX432" s="243"/>
      <c r="NY432" s="243"/>
      <c r="NZ432" s="243"/>
      <c r="OA432" s="243"/>
      <c r="OB432" s="243"/>
      <c r="OC432" s="243"/>
      <c r="OD432" s="243"/>
      <c r="OE432" s="243"/>
      <c r="OF432" s="243"/>
      <c r="OG432" s="243"/>
      <c r="OH432" s="243"/>
      <c r="OI432" s="243"/>
      <c r="OJ432" s="243"/>
      <c r="OK432" s="243"/>
      <c r="OL432" s="243"/>
      <c r="OM432" s="243"/>
      <c r="ON432" s="243"/>
      <c r="OO432" s="243"/>
      <c r="OP432" s="243"/>
      <c r="OQ432" s="243"/>
      <c r="OR432" s="243"/>
      <c r="OS432" s="243"/>
      <c r="OT432" s="243"/>
      <c r="OU432" s="243"/>
      <c r="OV432" s="243"/>
      <c r="OW432" s="243"/>
      <c r="OX432" s="243"/>
      <c r="OY432" s="243"/>
      <c r="OZ432" s="243"/>
      <c r="PA432" s="243"/>
      <c r="PB432" s="243"/>
      <c r="PC432" s="243"/>
      <c r="PD432" s="243"/>
      <c r="PE432" s="243"/>
      <c r="PF432" s="243"/>
      <c r="PG432" s="243"/>
      <c r="PH432" s="243"/>
      <c r="PI432" s="243"/>
      <c r="PJ432" s="243"/>
      <c r="PK432" s="243"/>
      <c r="PL432" s="243"/>
      <c r="PM432" s="243"/>
      <c r="PN432" s="243"/>
      <c r="PO432" s="243"/>
      <c r="PP432" s="243"/>
      <c r="PQ432" s="243"/>
      <c r="PR432" s="243"/>
      <c r="PS432" s="243"/>
      <c r="PT432" s="243"/>
      <c r="PU432" s="243"/>
      <c r="PV432" s="243"/>
      <c r="PW432" s="243"/>
      <c r="PX432" s="243"/>
      <c r="PY432" s="243"/>
      <c r="PZ432" s="243"/>
      <c r="QA432" s="243"/>
      <c r="QB432" s="243"/>
      <c r="QC432" s="243"/>
      <c r="QD432" s="243"/>
      <c r="QE432" s="243"/>
      <c r="QF432" s="243"/>
      <c r="QG432" s="243"/>
      <c r="QH432" s="243"/>
      <c r="QI432" s="243"/>
      <c r="QJ432" s="243"/>
      <c r="QK432" s="243"/>
      <c r="QL432" s="243"/>
      <c r="QM432" s="243"/>
      <c r="QN432" s="243"/>
      <c r="QO432" s="243"/>
      <c r="QP432" s="243"/>
      <c r="QQ432" s="243"/>
      <c r="QR432" s="243"/>
      <c r="QS432" s="243"/>
      <c r="QT432" s="243"/>
      <c r="QU432" s="243"/>
      <c r="QV432" s="243"/>
      <c r="QW432" s="243"/>
      <c r="QX432" s="243"/>
      <c r="QY432" s="243"/>
      <c r="QZ432" s="243"/>
      <c r="RA432" s="243"/>
      <c r="RB432" s="243"/>
      <c r="RC432" s="243"/>
      <c r="RD432" s="243"/>
      <c r="RE432" s="243"/>
      <c r="RF432" s="243"/>
      <c r="RG432" s="243"/>
      <c r="RH432" s="243"/>
      <c r="RI432" s="243"/>
      <c r="RJ432" s="243"/>
      <c r="RK432" s="243"/>
      <c r="RL432" s="243"/>
      <c r="RM432" s="243"/>
      <c r="RN432" s="243"/>
      <c r="RO432" s="243"/>
      <c r="RP432" s="243"/>
      <c r="RQ432" s="243"/>
      <c r="RR432" s="243"/>
      <c r="RS432" s="243"/>
      <c r="RT432" s="243"/>
      <c r="RU432" s="243"/>
      <c r="RV432" s="243"/>
      <c r="RW432" s="243"/>
      <c r="RX432" s="243"/>
      <c r="RY432" s="243"/>
      <c r="RZ432" s="243"/>
      <c r="SA432" s="243"/>
      <c r="SB432" s="243"/>
      <c r="SC432" s="243"/>
      <c r="SD432" s="243"/>
      <c r="SE432" s="243"/>
      <c r="SF432" s="243"/>
      <c r="SG432" s="243"/>
      <c r="SH432" s="243"/>
      <c r="SI432" s="243"/>
      <c r="SJ432" s="243"/>
      <c r="SK432" s="243"/>
      <c r="SL432" s="243"/>
      <c r="SM432" s="243"/>
      <c r="SN432" s="243"/>
      <c r="SO432" s="243"/>
      <c r="SP432" s="243"/>
      <c r="SQ432" s="243"/>
      <c r="SR432" s="243"/>
      <c r="SS432" s="243"/>
      <c r="ST432" s="243"/>
      <c r="SU432" s="243"/>
      <c r="SV432" s="243"/>
      <c r="SW432" s="243"/>
      <c r="SX432" s="243"/>
      <c r="SY432" s="243"/>
      <c r="SZ432" s="243"/>
      <c r="TA432" s="243"/>
      <c r="TB432" s="243"/>
      <c r="TC432" s="243"/>
      <c r="TD432" s="243"/>
      <c r="TE432" s="243"/>
      <c r="TF432" s="243"/>
      <c r="TG432" s="243"/>
      <c r="TH432" s="243"/>
      <c r="TI432" s="243"/>
      <c r="TJ432" s="243"/>
      <c r="TK432" s="243"/>
      <c r="TL432" s="243"/>
      <c r="TM432" s="243"/>
      <c r="TN432" s="243"/>
      <c r="TO432" s="243"/>
      <c r="TP432" s="243"/>
      <c r="TQ432" s="243"/>
      <c r="TR432" s="243"/>
      <c r="TS432" s="243"/>
      <c r="TT432" s="243"/>
      <c r="TU432" s="243"/>
      <c r="TV432" s="243"/>
      <c r="TW432" s="243"/>
      <c r="TX432" s="243"/>
      <c r="TY432" s="243"/>
      <c r="TZ432" s="243"/>
      <c r="UA432" s="243"/>
      <c r="UB432" s="243"/>
      <c r="UC432" s="243"/>
      <c r="UD432" s="243"/>
      <c r="UE432" s="243"/>
      <c r="UF432" s="243"/>
      <c r="UG432" s="243"/>
      <c r="UH432" s="243"/>
      <c r="UI432" s="243"/>
      <c r="UJ432" s="243"/>
      <c r="UK432" s="243"/>
      <c r="UL432" s="243"/>
      <c r="UM432" s="243"/>
      <c r="UN432" s="243"/>
      <c r="UO432" s="243"/>
      <c r="UP432" s="243"/>
      <c r="UQ432" s="243"/>
      <c r="UR432" s="243"/>
      <c r="US432" s="243"/>
      <c r="UT432" s="243"/>
      <c r="UU432" s="243"/>
      <c r="UV432" s="243"/>
      <c r="UW432" s="243"/>
      <c r="UX432" s="243"/>
      <c r="UY432" s="243"/>
      <c r="UZ432" s="243"/>
      <c r="VA432" s="243"/>
      <c r="VB432" s="243"/>
      <c r="VC432" s="243"/>
      <c r="VD432" s="243"/>
      <c r="VE432" s="243"/>
      <c r="VF432" s="243"/>
      <c r="VG432" s="243"/>
      <c r="VH432" s="243"/>
      <c r="VI432" s="243"/>
      <c r="VJ432" s="243"/>
      <c r="VK432" s="243"/>
      <c r="VL432" s="243"/>
      <c r="VM432" s="243"/>
      <c r="VN432" s="243"/>
      <c r="VO432" s="243"/>
      <c r="VP432" s="243"/>
      <c r="VQ432" s="243"/>
      <c r="VR432" s="243"/>
      <c r="VS432" s="243"/>
      <c r="VT432" s="243"/>
      <c r="VU432" s="243"/>
      <c r="VV432" s="243"/>
      <c r="VW432" s="243"/>
      <c r="VX432" s="243"/>
      <c r="VY432" s="243"/>
      <c r="VZ432" s="243"/>
      <c r="WA432" s="243"/>
      <c r="WB432" s="243"/>
      <c r="WC432" s="243"/>
      <c r="WD432" s="243"/>
      <c r="WE432" s="243"/>
      <c r="WF432" s="243"/>
      <c r="WG432" s="243"/>
      <c r="WH432" s="243"/>
      <c r="WI432" s="243"/>
      <c r="WJ432" s="243"/>
      <c r="WK432" s="243"/>
      <c r="WL432" s="243"/>
      <c r="WM432" s="243"/>
      <c r="WN432" s="243"/>
      <c r="WO432" s="243"/>
      <c r="WP432" s="243"/>
      <c r="WQ432" s="243"/>
      <c r="WR432" s="243"/>
      <c r="WS432" s="243"/>
      <c r="WT432" s="243"/>
      <c r="WU432" s="243"/>
      <c r="WV432" s="243"/>
      <c r="WW432" s="243"/>
      <c r="WX432" s="243"/>
      <c r="WY432" s="243"/>
      <c r="WZ432" s="243"/>
      <c r="XA432" s="243"/>
      <c r="XB432" s="243"/>
      <c r="XC432" s="243"/>
      <c r="XD432" s="243"/>
      <c r="XE432" s="243"/>
      <c r="XF432" s="243"/>
      <c r="XG432" s="243"/>
      <c r="XH432" s="243"/>
      <c r="XI432" s="243"/>
      <c r="XJ432" s="243"/>
      <c r="XK432" s="243"/>
      <c r="XL432" s="243"/>
      <c r="XM432" s="243"/>
      <c r="XN432" s="243"/>
      <c r="XO432" s="243"/>
      <c r="XP432" s="243"/>
      <c r="XQ432" s="243"/>
      <c r="XR432" s="243"/>
      <c r="XS432" s="243"/>
      <c r="XT432" s="243"/>
      <c r="XU432" s="243"/>
      <c r="XV432" s="243"/>
      <c r="XW432" s="243"/>
      <c r="XX432" s="243"/>
      <c r="XY432" s="243"/>
      <c r="XZ432" s="243"/>
      <c r="YA432" s="243"/>
      <c r="YB432" s="243"/>
      <c r="YC432" s="243"/>
      <c r="YD432" s="243"/>
      <c r="YE432" s="243"/>
      <c r="YF432" s="243"/>
      <c r="YG432" s="243"/>
      <c r="YH432" s="243"/>
      <c r="YI432" s="243"/>
      <c r="YJ432" s="243"/>
      <c r="YK432" s="243"/>
      <c r="YL432" s="243"/>
      <c r="YM432" s="243"/>
      <c r="YN432" s="243"/>
      <c r="YO432" s="243"/>
      <c r="YP432" s="243"/>
      <c r="YQ432" s="243"/>
      <c r="YR432" s="243"/>
      <c r="YS432" s="243"/>
      <c r="YT432" s="243"/>
      <c r="YU432" s="243"/>
      <c r="YV432" s="243"/>
      <c r="YW432" s="243"/>
      <c r="YX432" s="243"/>
      <c r="YY432" s="243"/>
      <c r="YZ432" s="243"/>
      <c r="ZA432" s="243"/>
      <c r="ZB432" s="243"/>
      <c r="ZC432" s="243"/>
      <c r="ZD432" s="243"/>
      <c r="ZE432" s="243"/>
      <c r="ZF432" s="243"/>
      <c r="ZG432" s="243"/>
      <c r="ZH432" s="243"/>
      <c r="ZI432" s="243"/>
      <c r="ZJ432" s="243"/>
      <c r="ZK432" s="243"/>
      <c r="ZL432" s="243"/>
      <c r="ZM432" s="243"/>
      <c r="ZN432" s="243"/>
      <c r="ZO432" s="243"/>
      <c r="ZP432" s="243"/>
      <c r="ZQ432" s="243"/>
      <c r="ZR432" s="243"/>
      <c r="ZS432" s="243"/>
      <c r="ZT432" s="243"/>
      <c r="ZU432" s="243"/>
      <c r="ZV432" s="243"/>
      <c r="ZW432" s="243"/>
      <c r="ZX432" s="243"/>
      <c r="ZY432" s="243"/>
      <c r="ZZ432" s="243"/>
      <c r="AAA432" s="243"/>
      <c r="AAB432" s="243"/>
      <c r="AAC432" s="243"/>
      <c r="AAD432" s="243"/>
      <c r="AAE432" s="243"/>
      <c r="AAF432" s="243"/>
      <c r="AAG432" s="243"/>
      <c r="AAH432" s="243"/>
      <c r="AAI432" s="243"/>
      <c r="AAJ432" s="243"/>
      <c r="AAK432" s="243"/>
      <c r="AAL432" s="243"/>
      <c r="AAM432" s="243"/>
      <c r="AAN432" s="243"/>
      <c r="AAO432" s="243"/>
      <c r="AAP432" s="243"/>
      <c r="AAQ432" s="243"/>
      <c r="AAR432" s="243"/>
      <c r="AAS432" s="243"/>
      <c r="AAT432" s="243"/>
      <c r="AAU432" s="243"/>
      <c r="AAV432" s="243"/>
      <c r="AAW432" s="243"/>
      <c r="AAX432" s="243"/>
      <c r="AAY432" s="243"/>
      <c r="AAZ432" s="243"/>
      <c r="ABA432" s="243"/>
      <c r="ABB432" s="243"/>
      <c r="ABC432" s="243"/>
      <c r="ABD432" s="243"/>
      <c r="ABE432" s="243"/>
      <c r="ABF432" s="243"/>
      <c r="ABG432" s="243"/>
      <c r="ABH432" s="243"/>
      <c r="ABI432" s="243"/>
      <c r="ABJ432" s="243"/>
      <c r="ABK432" s="243"/>
      <c r="ABL432" s="243"/>
      <c r="ABM432" s="243"/>
      <c r="ABN432" s="243"/>
      <c r="ABO432" s="243"/>
      <c r="ABP432" s="243"/>
      <c r="ABQ432" s="243"/>
      <c r="ABR432" s="243"/>
      <c r="ABS432" s="243"/>
      <c r="ABT432" s="243"/>
      <c r="ABU432" s="243"/>
      <c r="ABV432" s="243"/>
      <c r="ABW432" s="243"/>
      <c r="ABX432" s="243"/>
      <c r="ABY432" s="243"/>
      <c r="ABZ432" s="243"/>
      <c r="ACA432" s="243"/>
      <c r="ACB432" s="243"/>
      <c r="ACC432" s="243"/>
      <c r="ACD432" s="243"/>
      <c r="ACE432" s="243"/>
      <c r="ACF432" s="243"/>
      <c r="ACG432" s="243"/>
      <c r="ACH432" s="243"/>
      <c r="ACI432" s="243"/>
      <c r="ACJ432" s="243"/>
      <c r="ACK432" s="243"/>
      <c r="ACL432" s="243"/>
      <c r="ACM432" s="243"/>
      <c r="ACN432" s="243"/>
      <c r="ACO432" s="243"/>
      <c r="ACP432" s="243"/>
      <c r="ACQ432" s="243"/>
      <c r="ACR432" s="243"/>
      <c r="ACS432" s="243"/>
      <c r="ACT432" s="243"/>
      <c r="ACU432" s="243"/>
      <c r="ACV432" s="243"/>
      <c r="ACW432" s="243"/>
      <c r="ACX432" s="243"/>
      <c r="ACY432" s="243"/>
      <c r="ACZ432" s="243"/>
      <c r="ADA432" s="243"/>
      <c r="ADB432" s="243"/>
      <c r="ADC432" s="243"/>
      <c r="ADD432" s="243"/>
      <c r="ADE432" s="243"/>
      <c r="ADF432" s="243"/>
      <c r="ADG432" s="243"/>
      <c r="ADH432" s="243"/>
      <c r="ADI432" s="243"/>
      <c r="ADJ432" s="243"/>
      <c r="ADK432" s="243"/>
      <c r="ADL432" s="243"/>
      <c r="ADM432" s="243"/>
      <c r="ADN432" s="243"/>
      <c r="ADO432" s="243"/>
      <c r="ADP432" s="243"/>
      <c r="ADQ432" s="243"/>
      <c r="ADR432" s="243"/>
      <c r="ADS432" s="243"/>
      <c r="ADT432" s="243"/>
      <c r="ADU432" s="243"/>
      <c r="ADV432" s="243"/>
      <c r="ADW432" s="243"/>
      <c r="ADX432" s="243"/>
      <c r="ADY432" s="243"/>
      <c r="ADZ432" s="243"/>
      <c r="AEA432" s="243"/>
      <c r="AEB432" s="243"/>
      <c r="AEC432" s="243"/>
      <c r="AED432" s="243"/>
      <c r="AEE432" s="243"/>
      <c r="AEF432" s="243"/>
      <c r="AEG432" s="243"/>
      <c r="AEH432" s="243"/>
      <c r="AEI432" s="243"/>
      <c r="AEJ432" s="243"/>
      <c r="AEK432" s="243"/>
      <c r="AEL432" s="243"/>
      <c r="AEM432" s="243"/>
      <c r="AEN432" s="243"/>
      <c r="AEO432" s="243"/>
      <c r="AEP432" s="243"/>
      <c r="AEQ432" s="243"/>
      <c r="AER432" s="243"/>
      <c r="AES432" s="243"/>
      <c r="AET432" s="243"/>
      <c r="AEU432" s="243"/>
      <c r="AEV432" s="243"/>
      <c r="AEW432" s="243"/>
      <c r="AEX432" s="243"/>
      <c r="AEY432" s="243"/>
      <c r="AEZ432" s="243"/>
      <c r="AFA432" s="243"/>
      <c r="AFB432" s="243"/>
      <c r="AFC432" s="243"/>
      <c r="AFD432" s="243"/>
      <c r="AFE432" s="243"/>
      <c r="AFF432" s="243"/>
      <c r="AFG432" s="243"/>
      <c r="AFH432" s="243"/>
      <c r="AFI432" s="243"/>
      <c r="AFJ432" s="243"/>
      <c r="AFK432" s="243"/>
      <c r="AFL432" s="243"/>
      <c r="AFM432" s="243"/>
      <c r="AFN432" s="243"/>
      <c r="AFO432" s="243"/>
      <c r="AFP432" s="243"/>
      <c r="AFQ432" s="243"/>
      <c r="AFR432" s="243"/>
      <c r="AFS432" s="243"/>
      <c r="AFT432" s="243"/>
      <c r="AFU432" s="243"/>
      <c r="AFV432" s="243"/>
      <c r="AFW432" s="243"/>
      <c r="AFX432" s="243"/>
      <c r="AFY432" s="243"/>
      <c r="AFZ432" s="243"/>
      <c r="AGA432" s="243"/>
      <c r="AGB432" s="243"/>
      <c r="AGC432" s="243"/>
      <c r="AGD432" s="243"/>
      <c r="AGE432" s="243"/>
      <c r="AGF432" s="243"/>
      <c r="AGG432" s="243"/>
      <c r="AGH432" s="243"/>
      <c r="AGI432" s="243"/>
      <c r="AGJ432" s="243"/>
      <c r="AGK432" s="243"/>
      <c r="AGL432" s="243"/>
      <c r="AGM432" s="243"/>
      <c r="AGN432" s="243"/>
      <c r="AGO432" s="243"/>
      <c r="AGP432" s="243"/>
      <c r="AGQ432" s="243"/>
      <c r="AGR432" s="243"/>
      <c r="AGS432" s="243"/>
      <c r="AGT432" s="243"/>
      <c r="AGU432" s="243"/>
      <c r="AGV432" s="243"/>
      <c r="AGW432" s="243"/>
      <c r="AGX432" s="243"/>
      <c r="AGY432" s="243"/>
      <c r="AGZ432" s="243"/>
      <c r="AHA432" s="243"/>
      <c r="AHB432" s="243"/>
      <c r="AHC432" s="243"/>
      <c r="AHD432" s="243"/>
      <c r="AHE432" s="243"/>
      <c r="AHF432" s="243"/>
      <c r="AHG432" s="243"/>
      <c r="AHH432" s="243"/>
      <c r="AHI432" s="243"/>
      <c r="AHJ432" s="243"/>
      <c r="AHK432" s="243"/>
      <c r="AHL432" s="243"/>
      <c r="AHM432" s="243"/>
      <c r="AHN432" s="243"/>
      <c r="AHO432" s="243"/>
      <c r="AHP432" s="243"/>
      <c r="AHQ432" s="243"/>
      <c r="AHR432" s="243"/>
      <c r="AHS432" s="243"/>
      <c r="AHT432" s="243"/>
      <c r="AHU432" s="243"/>
      <c r="AHV432" s="243"/>
      <c r="AHW432" s="243"/>
      <c r="AHX432" s="243"/>
      <c r="AHY432" s="243"/>
      <c r="AHZ432" s="243"/>
      <c r="AIA432" s="243"/>
      <c r="AIB432" s="243"/>
      <c r="AIC432" s="243"/>
      <c r="AID432" s="243"/>
      <c r="AIE432" s="243"/>
      <c r="AIF432" s="243"/>
      <c r="AIG432" s="243"/>
      <c r="AIH432" s="243"/>
      <c r="AII432" s="243"/>
      <c r="AIJ432" s="243"/>
      <c r="AIK432" s="243"/>
      <c r="AIL432" s="243"/>
      <c r="AIM432" s="243"/>
      <c r="AIN432" s="243"/>
      <c r="AIO432" s="243"/>
      <c r="AIP432" s="243"/>
      <c r="AIQ432" s="243"/>
      <c r="AIR432" s="243"/>
      <c r="AIS432" s="243"/>
      <c r="AIT432" s="243"/>
      <c r="AIU432" s="243"/>
      <c r="AIV432" s="243"/>
      <c r="AIW432" s="243"/>
      <c r="AIX432" s="243"/>
      <c r="AIY432" s="243"/>
      <c r="AIZ432" s="243"/>
      <c r="AJA432" s="243"/>
      <c r="AJB432" s="243"/>
      <c r="AJC432" s="243"/>
      <c r="AJD432" s="243"/>
      <c r="AJE432" s="243"/>
      <c r="AJF432" s="243"/>
      <c r="AJG432" s="243"/>
      <c r="AJH432" s="243"/>
      <c r="AJI432" s="243"/>
      <c r="AJJ432" s="243"/>
      <c r="AJK432" s="243"/>
      <c r="AJL432" s="243"/>
      <c r="AJM432" s="243"/>
      <c r="AJN432" s="243"/>
      <c r="AJO432" s="243"/>
      <c r="AJP432" s="243"/>
      <c r="AJQ432" s="243"/>
      <c r="AJR432" s="243"/>
      <c r="AJS432" s="243"/>
      <c r="AJT432" s="243"/>
      <c r="AJU432" s="243"/>
      <c r="AJV432" s="243"/>
      <c r="AJW432" s="243"/>
      <c r="AJX432" s="243"/>
      <c r="AJY432" s="243"/>
      <c r="AJZ432" s="243"/>
      <c r="AKA432" s="243"/>
      <c r="AKB432" s="243"/>
      <c r="AKC432" s="243"/>
      <c r="AKD432" s="243"/>
      <c r="AKE432" s="243"/>
      <c r="AKF432" s="243"/>
      <c r="AKG432" s="243"/>
      <c r="AKH432" s="243"/>
      <c r="AKI432" s="243"/>
      <c r="AKJ432" s="243"/>
      <c r="AKK432" s="243"/>
      <c r="AKL432" s="243"/>
      <c r="AKM432" s="243"/>
      <c r="AKN432" s="243"/>
      <c r="AKO432" s="243"/>
      <c r="AKP432" s="243"/>
      <c r="AKQ432" s="243"/>
      <c r="AKR432" s="243"/>
      <c r="AKS432" s="243"/>
      <c r="AKT432" s="243"/>
      <c r="AKU432" s="243"/>
      <c r="AKV432" s="243"/>
      <c r="AKW432" s="243"/>
      <c r="AKX432" s="243"/>
      <c r="AKY432" s="243"/>
      <c r="AKZ432" s="243"/>
      <c r="ALA432" s="243"/>
      <c r="ALB432" s="243"/>
      <c r="ALC432" s="243"/>
      <c r="ALD432" s="243"/>
      <c r="ALE432" s="243"/>
      <c r="ALF432" s="243"/>
      <c r="ALG432" s="243"/>
      <c r="ALH432" s="243"/>
      <c r="ALI432" s="243"/>
      <c r="ALJ432" s="243"/>
      <c r="ALK432" s="243"/>
      <c r="ALL432" s="243"/>
      <c r="ALM432" s="243"/>
      <c r="ALN432" s="243"/>
      <c r="ALO432" s="243"/>
      <c r="ALP432" s="243"/>
      <c r="ALQ432" s="243"/>
      <c r="ALR432" s="243"/>
      <c r="ALS432" s="243"/>
      <c r="ALT432" s="243"/>
      <c r="ALU432" s="243"/>
      <c r="ALV432" s="243"/>
      <c r="ALW432" s="243"/>
      <c r="ALX432" s="243"/>
      <c r="ALY432" s="243"/>
      <c r="ALZ432" s="243"/>
      <c r="AMA432" s="243"/>
      <c r="AMB432" s="243"/>
      <c r="AMC432" s="243"/>
      <c r="AMD432" s="243"/>
      <c r="AME432" s="243"/>
      <c r="AMF432" s="243"/>
      <c r="AMG432" s="243"/>
      <c r="AMH432" s="243"/>
      <c r="AMI432" s="244"/>
      <c r="AMJ432" s="244"/>
    </row>
    <row r="433" spans="1:17">
      <c r="A433" s="887"/>
      <c r="B433" s="595"/>
      <c r="C433" s="596"/>
      <c r="D433" s="318"/>
      <c r="E433" s="321"/>
      <c r="F433" s="586"/>
      <c r="G433" s="321"/>
      <c r="H433" s="615"/>
      <c r="I433" s="318"/>
      <c r="J433" s="318"/>
      <c r="K433" s="606"/>
      <c r="L433" s="717"/>
      <c r="M433" s="318" t="s">
        <v>26</v>
      </c>
      <c r="N433" s="563">
        <f>SUM(N428:N432)</f>
        <v>4200000</v>
      </c>
      <c r="O433" s="589" t="s">
        <v>26</v>
      </c>
      <c r="P433" s="563">
        <f>SUM(P428:P432)</f>
        <v>168000</v>
      </c>
      <c r="Q433" s="624"/>
    </row>
    <row r="434" spans="1:17">
      <c r="A434" s="888"/>
      <c r="B434" s="331"/>
      <c r="C434" s="332"/>
      <c r="D434" s="626" t="s">
        <v>26</v>
      </c>
      <c r="E434" s="563">
        <f>SUM(E428:E433)</f>
        <v>8700000</v>
      </c>
      <c r="F434" s="318" t="s">
        <v>26</v>
      </c>
      <c r="G434" s="618">
        <f>SUM(G428:G433)</f>
        <v>612000</v>
      </c>
      <c r="H434" s="140"/>
      <c r="I434" s="140"/>
      <c r="J434" s="140"/>
      <c r="K434" s="626" t="s">
        <v>27</v>
      </c>
      <c r="L434" s="627"/>
      <c r="M434" s="627"/>
      <c r="N434" s="628"/>
      <c r="O434" s="629" t="s">
        <v>28</v>
      </c>
      <c r="P434" s="640">
        <f>G434+P433</f>
        <v>780000</v>
      </c>
      <c r="Q434" s="624"/>
    </row>
    <row r="435" spans="1:17">
      <c r="A435" s="722"/>
      <c r="B435" s="723"/>
      <c r="C435" s="724"/>
      <c r="D435" s="641"/>
      <c r="E435" s="579"/>
      <c r="F435" s="641"/>
      <c r="G435" s="579"/>
      <c r="H435" s="641"/>
      <c r="I435" s="641"/>
      <c r="J435" s="641"/>
      <c r="K435" s="641"/>
      <c r="L435" s="641"/>
      <c r="M435" s="641"/>
      <c r="N435" s="641"/>
      <c r="O435" s="642"/>
      <c r="P435" s="579"/>
      <c r="Q435" s="624"/>
    </row>
    <row r="436" spans="1:17">
      <c r="A436" s="904" t="s">
        <v>247</v>
      </c>
      <c r="B436" s="949"/>
      <c r="C436" s="949"/>
      <c r="D436" s="949"/>
      <c r="E436" s="949"/>
      <c r="F436" s="949"/>
      <c r="G436" s="949"/>
      <c r="H436" s="949"/>
      <c r="I436" s="949"/>
      <c r="J436" s="950"/>
      <c r="K436" s="948" t="s">
        <v>2</v>
      </c>
      <c r="L436" s="948"/>
      <c r="M436" s="1047"/>
      <c r="N436" s="1047"/>
      <c r="O436" s="1047"/>
      <c r="P436" s="1047"/>
      <c r="Q436" s="624"/>
    </row>
    <row r="437" spans="1:17" ht="30.75">
      <c r="A437" s="327" t="s">
        <v>3</v>
      </c>
      <c r="B437" s="327" t="s">
        <v>4</v>
      </c>
      <c r="C437" s="327" t="s">
        <v>5</v>
      </c>
      <c r="D437" s="327" t="s">
        <v>6</v>
      </c>
      <c r="E437" s="327" t="s">
        <v>7</v>
      </c>
      <c r="F437" s="327" t="s">
        <v>8</v>
      </c>
      <c r="G437" s="327" t="s">
        <v>9</v>
      </c>
      <c r="H437" s="707" t="s">
        <v>10</v>
      </c>
      <c r="I437" s="327" t="s">
        <v>11</v>
      </c>
      <c r="J437" s="327" t="s">
        <v>12</v>
      </c>
      <c r="K437" s="732" t="s">
        <v>4</v>
      </c>
      <c r="L437" s="327" t="s">
        <v>5</v>
      </c>
      <c r="M437" s="732" t="s">
        <v>6</v>
      </c>
      <c r="N437" s="732" t="s">
        <v>13</v>
      </c>
      <c r="O437" s="732" t="s">
        <v>8</v>
      </c>
      <c r="P437" s="711" t="s">
        <v>14</v>
      </c>
      <c r="Q437" s="624"/>
    </row>
    <row r="438" spans="1:17" ht="12.75" customHeight="1">
      <c r="A438" s="887">
        <v>16</v>
      </c>
      <c r="B438" s="573">
        <v>14681</v>
      </c>
      <c r="C438" s="558">
        <v>0.08</v>
      </c>
      <c r="D438" s="575" t="s">
        <v>291</v>
      </c>
      <c r="E438" s="364">
        <v>4000000</v>
      </c>
      <c r="F438" s="550">
        <v>0.08</v>
      </c>
      <c r="G438" s="364">
        <f>E438*F438</f>
        <v>320000</v>
      </c>
      <c r="H438" s="599" t="s">
        <v>292</v>
      </c>
      <c r="I438" s="318"/>
      <c r="J438" s="604"/>
      <c r="K438" s="625"/>
      <c r="L438" s="322"/>
      <c r="M438" s="322"/>
      <c r="N438" s="607"/>
      <c r="O438" s="608"/>
      <c r="P438" s="607"/>
      <c r="Q438" s="624"/>
    </row>
    <row r="439" spans="1:17">
      <c r="A439" s="887"/>
      <c r="B439" s="580">
        <v>14677</v>
      </c>
      <c r="C439" s="577">
        <v>0.1</v>
      </c>
      <c r="D439" s="542" t="s">
        <v>293</v>
      </c>
      <c r="E439" s="364">
        <v>2000000</v>
      </c>
      <c r="F439" s="543">
        <v>0.08</v>
      </c>
      <c r="G439" s="364">
        <f t="shared" ref="G439:G440" si="19">E439*F439</f>
        <v>160000</v>
      </c>
      <c r="H439" s="599" t="s">
        <v>292</v>
      </c>
      <c r="I439" s="318"/>
      <c r="J439" s="318"/>
      <c r="K439" s="625"/>
      <c r="L439" s="625"/>
      <c r="M439" s="625"/>
      <c r="N439" s="625"/>
      <c r="O439" s="717"/>
      <c r="P439" s="719"/>
      <c r="Q439" s="624"/>
    </row>
    <row r="440" spans="1:17" ht="15" customHeight="1">
      <c r="A440" s="887"/>
      <c r="B440" s="580">
        <v>14808</v>
      </c>
      <c r="C440" s="577">
        <v>0.1</v>
      </c>
      <c r="D440" s="542" t="s">
        <v>294</v>
      </c>
      <c r="E440" s="364">
        <v>3100000</v>
      </c>
      <c r="F440" s="543">
        <v>0.08</v>
      </c>
      <c r="G440" s="364">
        <f t="shared" si="19"/>
        <v>248000</v>
      </c>
      <c r="H440" s="599" t="s">
        <v>292</v>
      </c>
      <c r="I440" s="318"/>
      <c r="J440" s="318"/>
      <c r="K440" s="606"/>
      <c r="L440" s="606"/>
      <c r="M440" s="625"/>
      <c r="N440" s="607"/>
      <c r="O440" s="639"/>
      <c r="P440" s="321"/>
      <c r="Q440" s="708"/>
    </row>
    <row r="441" spans="1:17" ht="15" customHeight="1">
      <c r="A441" s="887"/>
      <c r="B441" s="327"/>
      <c r="C441" s="328"/>
      <c r="D441" s="625"/>
      <c r="E441" s="321"/>
      <c r="F441" s="587"/>
      <c r="G441" s="321"/>
      <c r="H441" s="604"/>
      <c r="I441" s="318"/>
      <c r="J441" s="318"/>
      <c r="K441" s="606"/>
      <c r="L441" s="606"/>
      <c r="M441" s="625"/>
      <c r="N441" s="607"/>
      <c r="O441" s="639"/>
      <c r="P441" s="321"/>
      <c r="Q441" s="708"/>
    </row>
    <row r="442" spans="1:17" ht="18" customHeight="1">
      <c r="A442" s="887"/>
      <c r="B442" s="327"/>
      <c r="C442" s="328"/>
      <c r="D442" s="318"/>
      <c r="E442" s="321"/>
      <c r="F442" s="587"/>
      <c r="G442" s="321"/>
      <c r="H442" s="604"/>
      <c r="I442" s="318"/>
      <c r="J442" s="318"/>
      <c r="K442" s="606"/>
      <c r="L442" s="606"/>
      <c r="M442" s="625"/>
      <c r="N442" s="607"/>
      <c r="O442" s="639"/>
      <c r="P442" s="321"/>
      <c r="Q442" s="708"/>
    </row>
    <row r="443" spans="1:17">
      <c r="A443" s="887"/>
      <c r="B443" s="568" t="s">
        <v>43</v>
      </c>
      <c r="C443" s="569">
        <v>0.1</v>
      </c>
      <c r="D443" s="556" t="s">
        <v>295</v>
      </c>
      <c r="E443" s="321"/>
      <c r="F443" s="119"/>
      <c r="G443" s="318"/>
      <c r="H443" s="604"/>
      <c r="I443" s="318"/>
      <c r="J443" s="318"/>
      <c r="K443" s="625"/>
      <c r="L443" s="625"/>
      <c r="M443" s="318" t="s">
        <v>26</v>
      </c>
      <c r="N443" s="563"/>
      <c r="O443" s="589" t="s">
        <v>26</v>
      </c>
      <c r="P443" s="563"/>
      <c r="Q443" s="624"/>
    </row>
    <row r="444" spans="1:17" ht="15" customHeight="1">
      <c r="A444" s="888"/>
      <c r="B444" s="331"/>
      <c r="C444" s="332"/>
      <c r="D444" s="626" t="s">
        <v>26</v>
      </c>
      <c r="E444" s="563">
        <f>SUM(E438:E443)</f>
        <v>9100000</v>
      </c>
      <c r="F444" s="318" t="s">
        <v>26</v>
      </c>
      <c r="G444" s="563">
        <f>SUM(G438:G443)</f>
        <v>728000</v>
      </c>
      <c r="H444" s="140"/>
      <c r="I444" s="140"/>
      <c r="J444" s="140"/>
      <c r="K444" s="626" t="s">
        <v>27</v>
      </c>
      <c r="L444" s="627"/>
      <c r="M444" s="627"/>
      <c r="N444" s="628"/>
      <c r="O444" s="629" t="s">
        <v>28</v>
      </c>
      <c r="P444" s="640">
        <f>G444+P443</f>
        <v>728000</v>
      </c>
      <c r="Q444" s="624"/>
    </row>
    <row r="445" spans="1:17">
      <c r="A445" s="725"/>
      <c r="B445" s="726"/>
      <c r="C445" s="727"/>
      <c r="D445" s="641"/>
      <c r="E445" s="579"/>
      <c r="F445" s="641"/>
      <c r="G445" s="579"/>
      <c r="H445" s="641"/>
      <c r="I445" s="641"/>
      <c r="J445" s="641"/>
      <c r="K445" s="641"/>
      <c r="L445" s="641"/>
      <c r="M445" s="641"/>
      <c r="N445" s="641"/>
      <c r="O445" s="642"/>
      <c r="P445" s="579"/>
      <c r="Q445" s="624"/>
    </row>
    <row r="446" spans="1:17">
      <c r="A446" s="904" t="s">
        <v>40</v>
      </c>
      <c r="B446" s="949"/>
      <c r="C446" s="949"/>
      <c r="D446" s="949"/>
      <c r="E446" s="949"/>
      <c r="F446" s="949"/>
      <c r="G446" s="949"/>
      <c r="H446" s="949"/>
      <c r="I446" s="949"/>
      <c r="J446" s="950"/>
      <c r="K446" s="948" t="s">
        <v>2</v>
      </c>
      <c r="L446" s="948"/>
      <c r="M446" s="1047"/>
      <c r="N446" s="1047"/>
      <c r="O446" s="1047"/>
      <c r="P446" s="1047"/>
      <c r="Q446" s="624"/>
    </row>
    <row r="447" spans="1:17" ht="30.75">
      <c r="A447" s="327" t="s">
        <v>3</v>
      </c>
      <c r="B447" s="327" t="s">
        <v>4</v>
      </c>
      <c r="C447" s="327" t="s">
        <v>5</v>
      </c>
      <c r="D447" s="327" t="s">
        <v>6</v>
      </c>
      <c r="E447" s="327" t="s">
        <v>7</v>
      </c>
      <c r="F447" s="327" t="s">
        <v>8</v>
      </c>
      <c r="G447" s="327" t="s">
        <v>9</v>
      </c>
      <c r="H447" s="707" t="s">
        <v>10</v>
      </c>
      <c r="I447" s="327" t="s">
        <v>11</v>
      </c>
      <c r="J447" s="327" t="s">
        <v>12</v>
      </c>
      <c r="K447" s="732" t="s">
        <v>4</v>
      </c>
      <c r="L447" s="327" t="s">
        <v>5</v>
      </c>
      <c r="M447" s="732" t="s">
        <v>6</v>
      </c>
      <c r="N447" s="732" t="s">
        <v>13</v>
      </c>
      <c r="O447" s="732" t="s">
        <v>8</v>
      </c>
      <c r="P447" s="732" t="s">
        <v>14</v>
      </c>
      <c r="Q447" s="624"/>
    </row>
    <row r="448" spans="1:17" ht="15" customHeight="1">
      <c r="A448" s="900">
        <v>0</v>
      </c>
      <c r="B448" s="580">
        <v>14682</v>
      </c>
      <c r="C448" s="577">
        <v>0.1</v>
      </c>
      <c r="D448" s="542" t="s">
        <v>296</v>
      </c>
      <c r="E448" s="364">
        <v>2300000</v>
      </c>
      <c r="F448" s="586"/>
      <c r="G448" s="321"/>
      <c r="H448" s="604"/>
      <c r="I448" s="318"/>
      <c r="J448" s="318"/>
      <c r="K448" s="606"/>
      <c r="L448" s="606"/>
      <c r="M448" s="625"/>
      <c r="N448" s="607"/>
      <c r="O448" s="728"/>
      <c r="P448" s="607"/>
      <c r="Q448" s="624"/>
    </row>
    <row r="449" spans="1:17" ht="15" customHeight="1">
      <c r="A449" s="901"/>
      <c r="B449" s="327"/>
      <c r="C449" s="328"/>
      <c r="D449" s="318"/>
      <c r="E449" s="321"/>
      <c r="F449" s="586"/>
      <c r="G449" s="321"/>
      <c r="H449" s="604"/>
      <c r="I449" s="318"/>
      <c r="J449" s="318"/>
      <c r="K449" s="606"/>
      <c r="L449" s="606"/>
      <c r="M449" s="625"/>
      <c r="N449" s="607"/>
      <c r="O449" s="728"/>
      <c r="P449" s="607"/>
      <c r="Q449" s="624"/>
    </row>
    <row r="450" spans="1:17" ht="15" customHeight="1">
      <c r="A450" s="901"/>
      <c r="B450" s="546"/>
      <c r="C450" s="547"/>
      <c r="D450" s="548"/>
      <c r="E450" s="549"/>
      <c r="F450" s="636"/>
      <c r="G450" s="636"/>
      <c r="H450" s="636"/>
      <c r="I450" s="636"/>
      <c r="J450" s="636"/>
      <c r="K450" s="318"/>
      <c r="L450" s="318"/>
      <c r="M450" s="318" t="s">
        <v>26</v>
      </c>
      <c r="N450" s="563">
        <f>SUM(N449:N449)</f>
        <v>0</v>
      </c>
      <c r="O450" s="318" t="s">
        <v>26</v>
      </c>
      <c r="P450" s="563"/>
      <c r="Q450" s="624"/>
    </row>
    <row r="451" spans="1:17" ht="15" customHeight="1">
      <c r="A451" s="902"/>
      <c r="B451" s="331"/>
      <c r="C451" s="332"/>
      <c r="D451" s="626" t="s">
        <v>26</v>
      </c>
      <c r="E451" s="563">
        <f>SUM(E448:E450)</f>
        <v>2300000</v>
      </c>
      <c r="F451" s="318" t="s">
        <v>26</v>
      </c>
      <c r="G451" s="563">
        <f>SUM(G449:G450)</f>
        <v>0</v>
      </c>
      <c r="H451" s="140"/>
      <c r="I451" s="140"/>
      <c r="J451" s="140"/>
      <c r="K451" s="626" t="s">
        <v>27</v>
      </c>
      <c r="L451" s="627"/>
      <c r="M451" s="627"/>
      <c r="N451" s="628"/>
      <c r="O451" s="630" t="s">
        <v>28</v>
      </c>
      <c r="P451" s="631">
        <f>SUM(P449:P450)</f>
        <v>0</v>
      </c>
      <c r="Q451" s="624"/>
    </row>
    <row r="452" spans="1:17">
      <c r="A452" s="624"/>
      <c r="B452" s="709"/>
      <c r="C452" s="710"/>
      <c r="D452" s="624"/>
      <c r="E452" s="624"/>
      <c r="F452" s="624"/>
      <c r="G452" s="624"/>
      <c r="H452" s="624"/>
      <c r="I452" s="624"/>
      <c r="J452" s="624"/>
      <c r="K452" s="624"/>
      <c r="L452" s="624"/>
      <c r="M452" s="624"/>
      <c r="N452" s="624"/>
      <c r="O452" s="624"/>
      <c r="P452" s="624"/>
      <c r="Q452" s="624"/>
    </row>
    <row r="453" spans="1:17">
      <c r="A453" s="951">
        <f>A401+A417+A428+A438+A448</f>
        <v>76</v>
      </c>
      <c r="B453" s="952" t="s">
        <v>42</v>
      </c>
      <c r="C453" s="952"/>
      <c r="D453" s="952"/>
      <c r="E453" s="729">
        <f>E412+E424+E434+E444+E451</f>
        <v>56350000</v>
      </c>
      <c r="F453" s="624"/>
      <c r="G453" s="624"/>
      <c r="H453" s="624"/>
      <c r="I453" s="624"/>
      <c r="J453" s="624"/>
      <c r="K453" s="624"/>
      <c r="L453" s="624"/>
      <c r="M453" s="624"/>
      <c r="N453" s="624"/>
      <c r="O453" s="624"/>
      <c r="P453" s="624"/>
      <c r="Q453" s="624"/>
    </row>
    <row r="454" spans="1:17">
      <c r="A454" s="951"/>
      <c r="B454" s="953" t="s">
        <v>43</v>
      </c>
      <c r="C454" s="953"/>
      <c r="D454" s="954"/>
      <c r="E454" s="730"/>
      <c r="F454" s="624"/>
      <c r="G454" s="624"/>
      <c r="H454" s="624"/>
      <c r="I454" s="624"/>
      <c r="J454" s="624"/>
      <c r="K454" s="624"/>
      <c r="L454" s="624"/>
      <c r="M454" s="624"/>
      <c r="N454" s="624"/>
      <c r="O454" s="624"/>
      <c r="P454" s="624"/>
      <c r="Q454" s="624"/>
    </row>
    <row r="455" spans="1:17">
      <c r="A455" s="951"/>
      <c r="B455" s="955" t="s">
        <v>44</v>
      </c>
      <c r="C455" s="955"/>
      <c r="D455" s="956"/>
      <c r="E455" s="731"/>
      <c r="F455" s="624"/>
      <c r="G455" s="624"/>
      <c r="H455" s="624"/>
      <c r="I455" s="624"/>
      <c r="J455" s="624"/>
      <c r="K455" s="624"/>
      <c r="L455" s="624"/>
      <c r="M455" s="624"/>
      <c r="N455" s="624"/>
      <c r="O455" s="624"/>
      <c r="P455" s="624"/>
      <c r="Q455" s="624"/>
    </row>
    <row r="456" spans="1:17">
      <c r="A456" s="624"/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</row>
    <row r="457" spans="1:17">
      <c r="A457" s="624"/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</row>
    <row r="458" spans="1:17">
      <c r="E458" s="104"/>
    </row>
    <row r="462" spans="1:17" ht="31.5">
      <c r="A462" s="903" t="s">
        <v>297</v>
      </c>
      <c r="B462" s="903"/>
      <c r="C462" s="903"/>
      <c r="D462" s="903"/>
      <c r="E462" s="903"/>
      <c r="F462" s="903"/>
      <c r="G462" s="903"/>
      <c r="H462" s="903"/>
      <c r="I462" s="903"/>
      <c r="J462" s="903"/>
      <c r="K462" s="903"/>
      <c r="L462" s="903"/>
      <c r="M462" s="903"/>
      <c r="N462" s="903"/>
      <c r="O462" s="903"/>
      <c r="P462" s="903"/>
    </row>
    <row r="463" spans="1:17">
      <c r="A463" s="904" t="s">
        <v>1</v>
      </c>
      <c r="B463" s="904"/>
      <c r="C463" s="904"/>
      <c r="D463" s="904"/>
      <c r="E463" s="904"/>
      <c r="F463" s="904"/>
      <c r="G463" s="904"/>
      <c r="H463" s="904"/>
      <c r="I463" s="904"/>
      <c r="J463" s="904"/>
      <c r="K463" s="892" t="s">
        <v>2</v>
      </c>
      <c r="L463" s="892"/>
      <c r="M463" s="892"/>
      <c r="N463" s="892"/>
      <c r="O463" s="892"/>
      <c r="P463" s="892"/>
    </row>
    <row r="464" spans="1:17" ht="30.75">
      <c r="A464" s="131" t="s">
        <v>3</v>
      </c>
      <c r="B464" s="595" t="s">
        <v>4</v>
      </c>
      <c r="C464" s="327" t="s">
        <v>5</v>
      </c>
      <c r="D464" s="327" t="s">
        <v>6</v>
      </c>
      <c r="E464" s="327" t="s">
        <v>7</v>
      </c>
      <c r="F464" s="327" t="s">
        <v>8</v>
      </c>
      <c r="G464" s="327" t="s">
        <v>9</v>
      </c>
      <c r="H464" s="707" t="s">
        <v>10</v>
      </c>
      <c r="I464" s="327" t="s">
        <v>11</v>
      </c>
      <c r="J464" s="327" t="s">
        <v>12</v>
      </c>
      <c r="K464" s="758" t="s">
        <v>4</v>
      </c>
      <c r="L464" s="595" t="s">
        <v>5</v>
      </c>
      <c r="M464" s="758" t="s">
        <v>6</v>
      </c>
      <c r="N464" s="758" t="s">
        <v>13</v>
      </c>
      <c r="O464" s="758" t="s">
        <v>8</v>
      </c>
      <c r="P464" s="758" t="s">
        <v>14</v>
      </c>
    </row>
    <row r="465" spans="1:17" ht="12.75" customHeight="1">
      <c r="A465" s="906" t="s">
        <v>298</v>
      </c>
      <c r="B465" s="572">
        <v>14869</v>
      </c>
      <c r="C465" s="121">
        <v>0.1</v>
      </c>
      <c r="D465" s="567" t="s">
        <v>299</v>
      </c>
      <c r="E465" s="364">
        <v>2400000</v>
      </c>
      <c r="F465" s="602">
        <v>0.12</v>
      </c>
      <c r="G465" s="364">
        <f>E465*F465</f>
        <v>288000</v>
      </c>
      <c r="H465" s="599" t="s">
        <v>47</v>
      </c>
      <c r="I465" s="604"/>
      <c r="J465" s="735"/>
      <c r="K465" s="580">
        <v>15030</v>
      </c>
      <c r="L465" s="755">
        <v>0.08</v>
      </c>
      <c r="M465" s="542" t="s">
        <v>300</v>
      </c>
      <c r="N465" s="756">
        <v>3300000</v>
      </c>
      <c r="O465" s="757">
        <v>0.04</v>
      </c>
      <c r="P465" s="756">
        <f>N465*O465</f>
        <v>132000</v>
      </c>
    </row>
    <row r="466" spans="1:17" ht="12.75" customHeight="1">
      <c r="A466" s="906"/>
      <c r="B466" s="572">
        <v>14882</v>
      </c>
      <c r="C466" s="121">
        <v>0.1</v>
      </c>
      <c r="D466" s="561" t="s">
        <v>301</v>
      </c>
      <c r="E466" s="364">
        <v>2800000</v>
      </c>
      <c r="F466" s="602">
        <v>0.12</v>
      </c>
      <c r="G466" s="364">
        <f t="shared" ref="G466:G473" si="20">E466*F466</f>
        <v>336000</v>
      </c>
      <c r="H466" s="599" t="s">
        <v>47</v>
      </c>
      <c r="I466" s="604"/>
      <c r="J466" s="604"/>
      <c r="K466" s="737">
        <v>14960</v>
      </c>
      <c r="L466" s="760">
        <v>0.1</v>
      </c>
      <c r="M466" s="610" t="s">
        <v>302</v>
      </c>
      <c r="N466" s="398">
        <v>900000</v>
      </c>
      <c r="O466" s="397">
        <v>0.05</v>
      </c>
      <c r="P466" s="756">
        <f>N466*O466</f>
        <v>45000</v>
      </c>
    </row>
    <row r="467" spans="1:17" ht="12.75" customHeight="1">
      <c r="A467" s="906"/>
      <c r="B467" s="572">
        <v>14906</v>
      </c>
      <c r="C467" s="550">
        <v>0.09</v>
      </c>
      <c r="D467" s="561" t="s">
        <v>303</v>
      </c>
      <c r="E467" s="364">
        <v>3600000</v>
      </c>
      <c r="F467" s="603">
        <v>0.1</v>
      </c>
      <c r="G467" s="364">
        <f t="shared" si="20"/>
        <v>360000</v>
      </c>
      <c r="H467" s="599" t="s">
        <v>47</v>
      </c>
      <c r="I467" s="604"/>
      <c r="J467" s="604"/>
      <c r="K467" s="706"/>
      <c r="L467" s="697"/>
      <c r="M467" s="322"/>
      <c r="N467" s="323"/>
      <c r="O467" s="324"/>
      <c r="P467" s="323"/>
    </row>
    <row r="468" spans="1:17" ht="12.75" customHeight="1">
      <c r="A468" s="906"/>
      <c r="B468" s="573">
        <v>14907</v>
      </c>
      <c r="C468" s="558">
        <v>0.08</v>
      </c>
      <c r="D468" s="748" t="s">
        <v>304</v>
      </c>
      <c r="E468" s="364">
        <v>2700000</v>
      </c>
      <c r="F468" s="603">
        <v>0.05</v>
      </c>
      <c r="G468" s="364">
        <f t="shared" si="20"/>
        <v>135000</v>
      </c>
      <c r="H468" s="599" t="s">
        <v>51</v>
      </c>
      <c r="I468" s="318"/>
      <c r="J468" s="604"/>
      <c r="K468" s="319"/>
      <c r="L468" s="697"/>
      <c r="M468" s="322"/>
      <c r="N468" s="323"/>
      <c r="O468" s="324"/>
      <c r="P468" s="323"/>
    </row>
    <row r="469" spans="1:17" ht="12.75" customHeight="1">
      <c r="A469" s="906"/>
      <c r="B469" s="573">
        <v>14932</v>
      </c>
      <c r="C469" s="558">
        <v>0.08</v>
      </c>
      <c r="D469" s="575" t="s">
        <v>305</v>
      </c>
      <c r="E469" s="364">
        <v>2500000</v>
      </c>
      <c r="F469" s="603">
        <v>0.1</v>
      </c>
      <c r="G469" s="364">
        <f t="shared" si="20"/>
        <v>250000</v>
      </c>
      <c r="H469" s="599" t="s">
        <v>47</v>
      </c>
      <c r="I469" s="622"/>
      <c r="J469" s="604"/>
      <c r="K469" s="319"/>
      <c r="L469" s="697"/>
      <c r="M469" s="322"/>
      <c r="N469" s="323"/>
      <c r="O469" s="324"/>
      <c r="P469" s="323"/>
    </row>
    <row r="470" spans="1:17" ht="12.75" customHeight="1">
      <c r="A470" s="906"/>
      <c r="B470" s="572">
        <v>14973</v>
      </c>
      <c r="C470" s="121">
        <v>0.1</v>
      </c>
      <c r="D470" s="561" t="s">
        <v>306</v>
      </c>
      <c r="E470" s="364">
        <v>2200000</v>
      </c>
      <c r="F470" s="602">
        <v>0.05</v>
      </c>
      <c r="G470" s="364">
        <f t="shared" si="20"/>
        <v>110000</v>
      </c>
      <c r="H470" s="599" t="s">
        <v>149</v>
      </c>
      <c r="I470" s="604"/>
      <c r="J470" s="604"/>
      <c r="K470" s="319"/>
      <c r="L470" s="697"/>
      <c r="M470" s="322"/>
      <c r="N470" s="323"/>
      <c r="O470" s="324"/>
      <c r="P470" s="323"/>
    </row>
    <row r="471" spans="1:17" ht="12.75" customHeight="1">
      <c r="A471" s="906"/>
      <c r="B471" s="572">
        <v>15119</v>
      </c>
      <c r="C471" s="121">
        <v>0.1</v>
      </c>
      <c r="D471" s="561" t="s">
        <v>307</v>
      </c>
      <c r="E471" s="364">
        <v>1550000</v>
      </c>
      <c r="F471" s="602">
        <v>0.06</v>
      </c>
      <c r="G471" s="364">
        <f t="shared" si="20"/>
        <v>93000</v>
      </c>
      <c r="H471" s="599" t="s">
        <v>87</v>
      </c>
      <c r="I471" s="604"/>
      <c r="J471" s="604"/>
      <c r="K471" s="319"/>
      <c r="L471" s="697"/>
      <c r="M471" s="322"/>
      <c r="N471" s="323"/>
      <c r="O471" s="324"/>
      <c r="P471" s="323"/>
    </row>
    <row r="472" spans="1:17" ht="12.75" customHeight="1">
      <c r="A472" s="906"/>
      <c r="B472" s="572">
        <v>15103</v>
      </c>
      <c r="C472" s="550">
        <v>0.08</v>
      </c>
      <c r="D472" s="561" t="s">
        <v>308</v>
      </c>
      <c r="E472" s="364">
        <v>2750000</v>
      </c>
      <c r="F472" s="603">
        <v>0.1</v>
      </c>
      <c r="G472" s="364">
        <f t="shared" si="20"/>
        <v>275000</v>
      </c>
      <c r="H472" s="599" t="s">
        <v>47</v>
      </c>
      <c r="I472" s="604"/>
      <c r="J472" s="604"/>
      <c r="K472" s="319"/>
      <c r="L472" s="697"/>
      <c r="M472" s="322"/>
      <c r="N472" s="323"/>
      <c r="O472" s="324"/>
      <c r="P472" s="323"/>
    </row>
    <row r="473" spans="1:17" ht="12.75" customHeight="1">
      <c r="A473" s="906"/>
      <c r="B473" s="572">
        <v>15078</v>
      </c>
      <c r="C473" s="121">
        <v>0.1</v>
      </c>
      <c r="D473" s="561" t="s">
        <v>309</v>
      </c>
      <c r="E473" s="364">
        <v>3340000</v>
      </c>
      <c r="F473" s="602">
        <v>0.06</v>
      </c>
      <c r="G473" s="364">
        <f t="shared" si="20"/>
        <v>200400</v>
      </c>
      <c r="H473" s="599" t="s">
        <v>51</v>
      </c>
      <c r="I473" s="604"/>
      <c r="J473" s="604"/>
      <c r="K473" s="319"/>
      <c r="L473" s="697"/>
      <c r="M473" s="322"/>
      <c r="N473" s="323"/>
      <c r="O473" s="324"/>
      <c r="P473" s="323"/>
    </row>
    <row r="474" spans="1:17" ht="12.75" customHeight="1">
      <c r="A474" s="906"/>
      <c r="B474" s="590"/>
      <c r="C474" s="591"/>
      <c r="D474" s="589"/>
      <c r="E474" s="321"/>
      <c r="F474" s="592"/>
      <c r="G474" s="318"/>
      <c r="H474" s="604"/>
      <c r="I474" s="604"/>
      <c r="J474" s="604"/>
      <c r="K474" s="319"/>
      <c r="L474" s="697"/>
      <c r="M474" s="322"/>
      <c r="N474" s="323"/>
      <c r="O474" s="324"/>
      <c r="P474" s="323"/>
    </row>
    <row r="475" spans="1:17" ht="12.75" customHeight="1">
      <c r="A475" s="906"/>
      <c r="B475" s="746" t="s">
        <v>43</v>
      </c>
      <c r="C475" s="678"/>
      <c r="D475" s="747" t="s">
        <v>310</v>
      </c>
      <c r="E475" s="321"/>
      <c r="F475" s="679"/>
      <c r="G475" s="318"/>
      <c r="H475" s="604"/>
      <c r="I475" s="604"/>
      <c r="J475" s="604"/>
      <c r="K475" s="319"/>
      <c r="L475" s="697"/>
      <c r="M475" s="322"/>
      <c r="N475" s="323"/>
      <c r="O475" s="324"/>
      <c r="P475" s="323"/>
    </row>
    <row r="476" spans="1:17">
      <c r="A476" s="906"/>
      <c r="B476" s="704" t="s">
        <v>43</v>
      </c>
      <c r="C476" s="676"/>
      <c r="D476" s="556" t="s">
        <v>311</v>
      </c>
      <c r="E476" s="321"/>
      <c r="F476" s="693"/>
      <c r="G476" s="692"/>
      <c r="H476" s="604"/>
      <c r="I476" s="604"/>
      <c r="J476" s="604"/>
      <c r="K476" s="320"/>
      <c r="L476" s="696"/>
      <c r="M476" s="318" t="s">
        <v>26</v>
      </c>
      <c r="N476" s="563">
        <f>SUM(N465:N475)</f>
        <v>4200000</v>
      </c>
      <c r="O476" s="589" t="s">
        <v>26</v>
      </c>
      <c r="P476" s="563">
        <f>SUM(P465:P475)</f>
        <v>177000</v>
      </c>
    </row>
    <row r="477" spans="1:17" ht="12.75" customHeight="1">
      <c r="A477" s="906"/>
      <c r="B477" s="694"/>
      <c r="C477" s="332"/>
      <c r="D477" s="626" t="s">
        <v>26</v>
      </c>
      <c r="E477" s="563">
        <f>SUM(E465:E476)</f>
        <v>23840000</v>
      </c>
      <c r="F477" s="318" t="s">
        <v>26</v>
      </c>
      <c r="G477" s="321">
        <f>SUM(G465:G475)</f>
        <v>2047400</v>
      </c>
      <c r="H477" s="140"/>
      <c r="I477" s="140"/>
      <c r="J477" s="140"/>
      <c r="K477" s="698" t="s">
        <v>27</v>
      </c>
      <c r="L477" s="699"/>
      <c r="M477" s="699"/>
      <c r="N477" s="700"/>
      <c r="O477" s="701" t="s">
        <v>28</v>
      </c>
      <c r="P477" s="702">
        <f>P476+G477</f>
        <v>2224400</v>
      </c>
    </row>
    <row r="478" spans="1:17">
      <c r="A478" s="41"/>
      <c r="B478" s="42"/>
      <c r="C478" s="43"/>
      <c r="D478" s="41"/>
      <c r="E478" s="41"/>
      <c r="F478" s="41"/>
      <c r="G478" s="41"/>
      <c r="H478" s="41"/>
      <c r="I478" s="41"/>
      <c r="J478" s="41"/>
    </row>
    <row r="479" spans="1:17">
      <c r="A479" s="41"/>
      <c r="B479" s="42"/>
      <c r="C479" s="43"/>
      <c r="D479" s="41"/>
      <c r="E479" s="41"/>
      <c r="F479" s="41"/>
      <c r="G479" s="41"/>
      <c r="H479" s="41"/>
      <c r="I479" s="41"/>
      <c r="J479" s="41"/>
    </row>
    <row r="480" spans="1:17">
      <c r="A480" s="904" t="s">
        <v>199</v>
      </c>
      <c r="B480" s="904"/>
      <c r="C480" s="904"/>
      <c r="D480" s="904"/>
      <c r="E480" s="904"/>
      <c r="F480" s="904"/>
      <c r="G480" s="904"/>
      <c r="H480" s="904"/>
      <c r="I480" s="904"/>
      <c r="J480" s="904"/>
      <c r="K480" s="948" t="s">
        <v>2</v>
      </c>
      <c r="L480" s="948"/>
      <c r="M480" s="948"/>
      <c r="N480" s="948"/>
      <c r="O480" s="948"/>
      <c r="P480" s="948"/>
      <c r="Q480" s="624"/>
    </row>
    <row r="481" spans="1:1024" ht="30.75">
      <c r="A481" s="327" t="s">
        <v>3</v>
      </c>
      <c r="B481" s="327" t="s">
        <v>4</v>
      </c>
      <c r="C481" s="327" t="s">
        <v>5</v>
      </c>
      <c r="D481" s="327" t="s">
        <v>6</v>
      </c>
      <c r="E481" s="327" t="s">
        <v>29</v>
      </c>
      <c r="F481" s="327" t="s">
        <v>8</v>
      </c>
      <c r="G481" s="327" t="s">
        <v>9</v>
      </c>
      <c r="H481" s="707" t="s">
        <v>10</v>
      </c>
      <c r="I481" s="327" t="s">
        <v>11</v>
      </c>
      <c r="J481" s="327" t="s">
        <v>12</v>
      </c>
      <c r="K481" s="732" t="s">
        <v>4</v>
      </c>
      <c r="L481" s="327" t="s">
        <v>5</v>
      </c>
      <c r="M481" s="732" t="s">
        <v>6</v>
      </c>
      <c r="N481" s="732" t="s">
        <v>13</v>
      </c>
      <c r="O481" s="732" t="s">
        <v>8</v>
      </c>
      <c r="P481" s="732" t="s">
        <v>14</v>
      </c>
      <c r="Q481" s="624"/>
    </row>
    <row r="482" spans="1:1024">
      <c r="A482" s="901" t="s">
        <v>121</v>
      </c>
      <c r="B482" s="551">
        <v>14877</v>
      </c>
      <c r="C482" s="619">
        <v>0.08</v>
      </c>
      <c r="D482" s="542" t="s">
        <v>312</v>
      </c>
      <c r="E482" s="620">
        <v>3121000</v>
      </c>
      <c r="F482" s="600">
        <v>0.08</v>
      </c>
      <c r="G482" s="364">
        <f>E482*F482</f>
        <v>249680</v>
      </c>
      <c r="H482" s="599" t="s">
        <v>202</v>
      </c>
      <c r="I482" s="604"/>
      <c r="J482" s="604"/>
      <c r="K482" s="551">
        <v>14867</v>
      </c>
      <c r="L482" s="550">
        <v>0.08</v>
      </c>
      <c r="M482" s="542" t="s">
        <v>313</v>
      </c>
      <c r="N482" s="364">
        <v>2700000</v>
      </c>
      <c r="O482" s="600">
        <v>0.04</v>
      </c>
      <c r="P482" s="611">
        <f>N482*O482</f>
        <v>108000</v>
      </c>
      <c r="Q482" s="716"/>
      <c r="R482" s="243"/>
      <c r="S482" s="243"/>
      <c r="T482" s="243"/>
      <c r="U482" s="243"/>
      <c r="V482" s="243"/>
      <c r="W482" s="243"/>
      <c r="X482" s="243"/>
      <c r="Y482" s="243"/>
      <c r="Z482" s="243"/>
      <c r="AA482" s="243"/>
      <c r="AB482" s="243"/>
      <c r="AC482" s="243"/>
      <c r="AD482" s="243"/>
      <c r="AE482" s="243"/>
      <c r="AF482" s="243"/>
      <c r="AG482" s="243"/>
      <c r="AH482" s="243"/>
      <c r="AI482" s="243"/>
      <c r="AJ482" s="243"/>
      <c r="AK482" s="243"/>
      <c r="AL482" s="243"/>
      <c r="AM482" s="243"/>
      <c r="AN482" s="243"/>
      <c r="AO482" s="243"/>
      <c r="AP482" s="243"/>
      <c r="AQ482" s="243"/>
      <c r="AR482" s="243"/>
      <c r="AS482" s="243"/>
      <c r="AT482" s="243"/>
      <c r="AU482" s="243"/>
      <c r="AV482" s="243"/>
      <c r="AW482" s="243"/>
      <c r="AX482" s="243"/>
      <c r="AY482" s="243"/>
      <c r="AZ482" s="243"/>
      <c r="BA482" s="243"/>
      <c r="BB482" s="243"/>
      <c r="BC482" s="243"/>
      <c r="BD482" s="243"/>
      <c r="BE482" s="243"/>
      <c r="BF482" s="243"/>
      <c r="BG482" s="243"/>
      <c r="BH482" s="243"/>
      <c r="BI482" s="243"/>
      <c r="BJ482" s="243"/>
      <c r="BK482" s="243"/>
      <c r="BL482" s="243"/>
      <c r="BM482" s="243"/>
      <c r="BN482" s="243"/>
      <c r="BO482" s="243"/>
      <c r="BP482" s="243"/>
      <c r="BQ482" s="243"/>
      <c r="BR482" s="243"/>
      <c r="BS482" s="243"/>
      <c r="BT482" s="243"/>
      <c r="BU482" s="243"/>
      <c r="BV482" s="243"/>
      <c r="BW482" s="243"/>
      <c r="BX482" s="243"/>
      <c r="BY482" s="243"/>
      <c r="BZ482" s="243"/>
      <c r="CA482" s="243"/>
      <c r="CB482" s="243"/>
      <c r="CC482" s="243"/>
      <c r="CD482" s="243"/>
      <c r="CE482" s="243"/>
      <c r="CF482" s="243"/>
      <c r="CG482" s="243"/>
      <c r="CH482" s="243"/>
      <c r="CI482" s="243"/>
      <c r="CJ482" s="243"/>
      <c r="CK482" s="243"/>
      <c r="CL482" s="243"/>
      <c r="CM482" s="243"/>
      <c r="CN482" s="243"/>
      <c r="CO482" s="243"/>
      <c r="CP482" s="243"/>
      <c r="CQ482" s="243"/>
      <c r="CR482" s="243"/>
      <c r="CS482" s="243"/>
      <c r="CT482" s="243"/>
      <c r="CU482" s="243"/>
      <c r="CV482" s="243"/>
      <c r="CW482" s="243"/>
      <c r="CX482" s="243"/>
      <c r="CY482" s="243"/>
      <c r="CZ482" s="243"/>
      <c r="DA482" s="243"/>
      <c r="DB482" s="243"/>
      <c r="DC482" s="243"/>
      <c r="DD482" s="243"/>
      <c r="DE482" s="243"/>
      <c r="DF482" s="243"/>
      <c r="DG482" s="243"/>
      <c r="DH482" s="243"/>
      <c r="DI482" s="243"/>
      <c r="DJ482" s="243"/>
      <c r="DK482" s="243"/>
      <c r="DL482" s="243"/>
      <c r="DM482" s="243"/>
      <c r="DN482" s="243"/>
      <c r="DO482" s="243"/>
      <c r="DP482" s="243"/>
      <c r="DQ482" s="243"/>
      <c r="DR482" s="243"/>
      <c r="DS482" s="243"/>
      <c r="DT482" s="243"/>
      <c r="DU482" s="243"/>
      <c r="DV482" s="243"/>
      <c r="DW482" s="243"/>
      <c r="DX482" s="243"/>
      <c r="DY482" s="243"/>
      <c r="DZ482" s="243"/>
      <c r="EA482" s="243"/>
      <c r="EB482" s="243"/>
      <c r="EC482" s="243"/>
      <c r="ED482" s="243"/>
      <c r="EE482" s="243"/>
      <c r="EF482" s="243"/>
      <c r="EG482" s="243"/>
      <c r="EH482" s="243"/>
      <c r="EI482" s="243"/>
      <c r="EJ482" s="243"/>
      <c r="EK482" s="243"/>
      <c r="EL482" s="243"/>
      <c r="EM482" s="243"/>
      <c r="EN482" s="243"/>
      <c r="EO482" s="243"/>
      <c r="EP482" s="243"/>
      <c r="EQ482" s="243"/>
      <c r="ER482" s="243"/>
      <c r="ES482" s="243"/>
      <c r="ET482" s="243"/>
      <c r="EU482" s="243"/>
      <c r="EV482" s="243"/>
      <c r="EW482" s="243"/>
      <c r="EX482" s="243"/>
      <c r="EY482" s="243"/>
      <c r="EZ482" s="243"/>
      <c r="FA482" s="243"/>
      <c r="FB482" s="243"/>
      <c r="FC482" s="243"/>
      <c r="FD482" s="243"/>
      <c r="FE482" s="243"/>
      <c r="FF482" s="243"/>
      <c r="FG482" s="243"/>
      <c r="FH482" s="243"/>
      <c r="FI482" s="243"/>
      <c r="FJ482" s="243"/>
      <c r="FK482" s="243"/>
      <c r="FL482" s="243"/>
      <c r="FM482" s="243"/>
      <c r="FN482" s="243"/>
      <c r="FO482" s="243"/>
      <c r="FP482" s="243"/>
      <c r="FQ482" s="243"/>
      <c r="FR482" s="243"/>
      <c r="FS482" s="243"/>
      <c r="FT482" s="243"/>
      <c r="FU482" s="243"/>
      <c r="FV482" s="243"/>
      <c r="FW482" s="243"/>
      <c r="FX482" s="243"/>
      <c r="FY482" s="243"/>
      <c r="FZ482" s="243"/>
      <c r="GA482" s="243"/>
      <c r="GB482" s="243"/>
      <c r="GC482" s="243"/>
      <c r="GD482" s="243"/>
      <c r="GE482" s="243"/>
      <c r="GF482" s="243"/>
      <c r="GG482" s="243"/>
      <c r="GH482" s="243"/>
      <c r="GI482" s="243"/>
      <c r="GJ482" s="243"/>
      <c r="GK482" s="243"/>
      <c r="GL482" s="243"/>
      <c r="GM482" s="243"/>
      <c r="GN482" s="243"/>
      <c r="GO482" s="243"/>
      <c r="GP482" s="243"/>
      <c r="GQ482" s="243"/>
      <c r="GR482" s="243"/>
      <c r="GS482" s="243"/>
      <c r="GT482" s="243"/>
      <c r="GU482" s="243"/>
      <c r="GV482" s="243"/>
      <c r="GW482" s="243"/>
      <c r="GX482" s="243"/>
      <c r="GY482" s="243"/>
      <c r="GZ482" s="243"/>
      <c r="HA482" s="243"/>
      <c r="HB482" s="243"/>
      <c r="HC482" s="243"/>
      <c r="HD482" s="243"/>
      <c r="HE482" s="243"/>
      <c r="HF482" s="243"/>
      <c r="HG482" s="243"/>
      <c r="HH482" s="243"/>
      <c r="HI482" s="243"/>
      <c r="HJ482" s="243"/>
      <c r="HK482" s="243"/>
      <c r="HL482" s="243"/>
      <c r="HM482" s="243"/>
      <c r="HN482" s="243"/>
      <c r="HO482" s="243"/>
      <c r="HP482" s="243"/>
      <c r="HQ482" s="243"/>
      <c r="HR482" s="243"/>
      <c r="HS482" s="243"/>
      <c r="HT482" s="243"/>
      <c r="HU482" s="243"/>
      <c r="HV482" s="243"/>
      <c r="HW482" s="243"/>
      <c r="HX482" s="243"/>
      <c r="HY482" s="243"/>
      <c r="HZ482" s="243"/>
      <c r="IA482" s="243"/>
      <c r="IB482" s="243"/>
      <c r="IC482" s="243"/>
      <c r="ID482" s="243"/>
      <c r="IE482" s="243"/>
      <c r="IF482" s="243"/>
      <c r="IG482" s="243"/>
      <c r="IH482" s="243"/>
      <c r="II482" s="243"/>
      <c r="IJ482" s="243"/>
      <c r="IK482" s="243"/>
      <c r="IL482" s="243"/>
      <c r="IM482" s="243"/>
      <c r="IN482" s="243"/>
      <c r="IO482" s="243"/>
      <c r="IP482" s="243"/>
      <c r="IQ482" s="243"/>
      <c r="IR482" s="243"/>
      <c r="IS482" s="243"/>
      <c r="IT482" s="243"/>
      <c r="IU482" s="243"/>
      <c r="IV482" s="243"/>
      <c r="IW482" s="243"/>
      <c r="IX482" s="243"/>
      <c r="IY482" s="243"/>
      <c r="IZ482" s="243"/>
      <c r="JA482" s="243"/>
      <c r="JB482" s="243"/>
      <c r="JC482" s="243"/>
      <c r="JD482" s="243"/>
      <c r="JE482" s="243"/>
      <c r="JF482" s="243"/>
      <c r="JG482" s="243"/>
      <c r="JH482" s="243"/>
      <c r="JI482" s="243"/>
      <c r="JJ482" s="243"/>
      <c r="JK482" s="243"/>
      <c r="JL482" s="243"/>
      <c r="JM482" s="243"/>
      <c r="JN482" s="243"/>
      <c r="JO482" s="243"/>
      <c r="JP482" s="243"/>
      <c r="JQ482" s="243"/>
      <c r="JR482" s="243"/>
      <c r="JS482" s="243"/>
      <c r="JT482" s="243"/>
      <c r="JU482" s="243"/>
      <c r="JV482" s="243"/>
      <c r="JW482" s="243"/>
      <c r="JX482" s="243"/>
      <c r="JY482" s="243"/>
      <c r="JZ482" s="243"/>
      <c r="KA482" s="243"/>
      <c r="KB482" s="243"/>
      <c r="KC482" s="243"/>
      <c r="KD482" s="243"/>
      <c r="KE482" s="243"/>
      <c r="KF482" s="243"/>
      <c r="KG482" s="243"/>
      <c r="KH482" s="243"/>
      <c r="KI482" s="243"/>
      <c r="KJ482" s="243"/>
      <c r="KK482" s="243"/>
      <c r="KL482" s="243"/>
      <c r="KM482" s="243"/>
      <c r="KN482" s="243"/>
      <c r="KO482" s="243"/>
      <c r="KP482" s="243"/>
      <c r="KQ482" s="243"/>
      <c r="KR482" s="243"/>
      <c r="KS482" s="243"/>
      <c r="KT482" s="243"/>
      <c r="KU482" s="243"/>
      <c r="KV482" s="243"/>
      <c r="KW482" s="243"/>
      <c r="KX482" s="243"/>
      <c r="KY482" s="243"/>
      <c r="KZ482" s="243"/>
      <c r="LA482" s="243"/>
      <c r="LB482" s="243"/>
      <c r="LC482" s="243"/>
      <c r="LD482" s="243"/>
      <c r="LE482" s="243"/>
      <c r="LF482" s="243"/>
      <c r="LG482" s="243"/>
      <c r="LH482" s="243"/>
      <c r="LI482" s="243"/>
      <c r="LJ482" s="243"/>
      <c r="LK482" s="243"/>
      <c r="LL482" s="243"/>
      <c r="LM482" s="243"/>
      <c r="LN482" s="243"/>
      <c r="LO482" s="243"/>
      <c r="LP482" s="243"/>
      <c r="LQ482" s="243"/>
      <c r="LR482" s="243"/>
      <c r="LS482" s="243"/>
      <c r="LT482" s="243"/>
      <c r="LU482" s="243"/>
      <c r="LV482" s="243"/>
      <c r="LW482" s="243"/>
      <c r="LX482" s="243"/>
      <c r="LY482" s="243"/>
      <c r="LZ482" s="243"/>
      <c r="MA482" s="243"/>
      <c r="MB482" s="243"/>
      <c r="MC482" s="243"/>
      <c r="MD482" s="243"/>
      <c r="ME482" s="243"/>
      <c r="MF482" s="243"/>
      <c r="MG482" s="243"/>
      <c r="MH482" s="243"/>
      <c r="MI482" s="243"/>
      <c r="MJ482" s="243"/>
      <c r="MK482" s="243"/>
      <c r="ML482" s="243"/>
      <c r="MM482" s="243"/>
      <c r="MN482" s="243"/>
      <c r="MO482" s="243"/>
      <c r="MP482" s="243"/>
      <c r="MQ482" s="243"/>
      <c r="MR482" s="243"/>
      <c r="MS482" s="243"/>
      <c r="MT482" s="243"/>
      <c r="MU482" s="243"/>
      <c r="MV482" s="243"/>
      <c r="MW482" s="243"/>
      <c r="MX482" s="243"/>
      <c r="MY482" s="243"/>
      <c r="MZ482" s="243"/>
      <c r="NA482" s="243"/>
      <c r="NB482" s="243"/>
      <c r="NC482" s="243"/>
      <c r="ND482" s="243"/>
      <c r="NE482" s="243"/>
      <c r="NF482" s="243"/>
      <c r="NG482" s="243"/>
      <c r="NH482" s="243"/>
      <c r="NI482" s="243"/>
      <c r="NJ482" s="243"/>
      <c r="NK482" s="243"/>
      <c r="NL482" s="243"/>
      <c r="NM482" s="243"/>
      <c r="NN482" s="243"/>
      <c r="NO482" s="243"/>
      <c r="NP482" s="243"/>
      <c r="NQ482" s="243"/>
      <c r="NR482" s="243"/>
      <c r="NS482" s="243"/>
      <c r="NT482" s="243"/>
      <c r="NU482" s="243"/>
      <c r="NV482" s="243"/>
      <c r="NW482" s="243"/>
      <c r="NX482" s="243"/>
      <c r="NY482" s="243"/>
      <c r="NZ482" s="243"/>
      <c r="OA482" s="243"/>
      <c r="OB482" s="243"/>
      <c r="OC482" s="243"/>
      <c r="OD482" s="243"/>
      <c r="OE482" s="243"/>
      <c r="OF482" s="243"/>
      <c r="OG482" s="243"/>
      <c r="OH482" s="243"/>
      <c r="OI482" s="243"/>
      <c r="OJ482" s="243"/>
      <c r="OK482" s="243"/>
      <c r="OL482" s="243"/>
      <c r="OM482" s="243"/>
      <c r="ON482" s="243"/>
      <c r="OO482" s="243"/>
      <c r="OP482" s="243"/>
      <c r="OQ482" s="243"/>
      <c r="OR482" s="243"/>
      <c r="OS482" s="243"/>
      <c r="OT482" s="243"/>
      <c r="OU482" s="243"/>
      <c r="OV482" s="243"/>
      <c r="OW482" s="243"/>
      <c r="OX482" s="243"/>
      <c r="OY482" s="243"/>
      <c r="OZ482" s="243"/>
      <c r="PA482" s="243"/>
      <c r="PB482" s="243"/>
      <c r="PC482" s="243"/>
      <c r="PD482" s="243"/>
      <c r="PE482" s="243"/>
      <c r="PF482" s="243"/>
      <c r="PG482" s="243"/>
      <c r="PH482" s="243"/>
      <c r="PI482" s="243"/>
      <c r="PJ482" s="243"/>
      <c r="PK482" s="243"/>
      <c r="PL482" s="243"/>
      <c r="PM482" s="243"/>
      <c r="PN482" s="243"/>
      <c r="PO482" s="243"/>
      <c r="PP482" s="243"/>
      <c r="PQ482" s="243"/>
      <c r="PR482" s="243"/>
      <c r="PS482" s="243"/>
      <c r="PT482" s="243"/>
      <c r="PU482" s="243"/>
      <c r="PV482" s="243"/>
      <c r="PW482" s="243"/>
      <c r="PX482" s="243"/>
      <c r="PY482" s="243"/>
      <c r="PZ482" s="243"/>
      <c r="QA482" s="243"/>
      <c r="QB482" s="243"/>
      <c r="QC482" s="243"/>
      <c r="QD482" s="243"/>
      <c r="QE482" s="243"/>
      <c r="QF482" s="243"/>
      <c r="QG482" s="243"/>
      <c r="QH482" s="243"/>
      <c r="QI482" s="243"/>
      <c r="QJ482" s="243"/>
      <c r="QK482" s="243"/>
      <c r="QL482" s="243"/>
      <c r="QM482" s="243"/>
      <c r="QN482" s="243"/>
      <c r="QO482" s="243"/>
      <c r="QP482" s="243"/>
      <c r="QQ482" s="243"/>
      <c r="QR482" s="243"/>
      <c r="QS482" s="243"/>
      <c r="QT482" s="243"/>
      <c r="QU482" s="243"/>
      <c r="QV482" s="243"/>
      <c r="QW482" s="243"/>
      <c r="QX482" s="243"/>
      <c r="QY482" s="243"/>
      <c r="QZ482" s="243"/>
      <c r="RA482" s="243"/>
      <c r="RB482" s="243"/>
      <c r="RC482" s="243"/>
      <c r="RD482" s="243"/>
      <c r="RE482" s="243"/>
      <c r="RF482" s="243"/>
      <c r="RG482" s="243"/>
      <c r="RH482" s="243"/>
      <c r="RI482" s="243"/>
      <c r="RJ482" s="243"/>
      <c r="RK482" s="243"/>
      <c r="RL482" s="243"/>
      <c r="RM482" s="243"/>
      <c r="RN482" s="243"/>
      <c r="RO482" s="243"/>
      <c r="RP482" s="243"/>
      <c r="RQ482" s="243"/>
      <c r="RR482" s="243"/>
      <c r="RS482" s="243"/>
      <c r="RT482" s="243"/>
      <c r="RU482" s="243"/>
      <c r="RV482" s="243"/>
      <c r="RW482" s="243"/>
      <c r="RX482" s="243"/>
      <c r="RY482" s="243"/>
      <c r="RZ482" s="243"/>
      <c r="SA482" s="243"/>
      <c r="SB482" s="243"/>
      <c r="SC482" s="243"/>
      <c r="SD482" s="243"/>
      <c r="SE482" s="243"/>
      <c r="SF482" s="243"/>
      <c r="SG482" s="243"/>
      <c r="SH482" s="243"/>
      <c r="SI482" s="243"/>
      <c r="SJ482" s="243"/>
      <c r="SK482" s="243"/>
      <c r="SL482" s="243"/>
      <c r="SM482" s="243"/>
      <c r="SN482" s="243"/>
      <c r="SO482" s="243"/>
      <c r="SP482" s="243"/>
      <c r="SQ482" s="243"/>
      <c r="SR482" s="243"/>
      <c r="SS482" s="243"/>
      <c r="ST482" s="243"/>
      <c r="SU482" s="243"/>
      <c r="SV482" s="243"/>
      <c r="SW482" s="243"/>
      <c r="SX482" s="243"/>
      <c r="SY482" s="243"/>
      <c r="SZ482" s="243"/>
      <c r="TA482" s="243"/>
      <c r="TB482" s="243"/>
      <c r="TC482" s="243"/>
      <c r="TD482" s="243"/>
      <c r="TE482" s="243"/>
      <c r="TF482" s="243"/>
      <c r="TG482" s="243"/>
      <c r="TH482" s="243"/>
      <c r="TI482" s="243"/>
      <c r="TJ482" s="243"/>
      <c r="TK482" s="243"/>
      <c r="TL482" s="243"/>
      <c r="TM482" s="243"/>
      <c r="TN482" s="243"/>
      <c r="TO482" s="243"/>
      <c r="TP482" s="243"/>
      <c r="TQ482" s="243"/>
      <c r="TR482" s="243"/>
      <c r="TS482" s="243"/>
      <c r="TT482" s="243"/>
      <c r="TU482" s="243"/>
      <c r="TV482" s="243"/>
      <c r="TW482" s="243"/>
      <c r="TX482" s="243"/>
      <c r="TY482" s="243"/>
      <c r="TZ482" s="243"/>
      <c r="UA482" s="243"/>
      <c r="UB482" s="243"/>
      <c r="UC482" s="243"/>
      <c r="UD482" s="243"/>
      <c r="UE482" s="243"/>
      <c r="UF482" s="243"/>
      <c r="UG482" s="243"/>
      <c r="UH482" s="243"/>
      <c r="UI482" s="243"/>
      <c r="UJ482" s="243"/>
      <c r="UK482" s="243"/>
      <c r="UL482" s="243"/>
      <c r="UM482" s="243"/>
      <c r="UN482" s="243"/>
      <c r="UO482" s="243"/>
      <c r="UP482" s="243"/>
      <c r="UQ482" s="243"/>
      <c r="UR482" s="243"/>
      <c r="US482" s="243"/>
      <c r="UT482" s="243"/>
      <c r="UU482" s="243"/>
      <c r="UV482" s="243"/>
      <c r="UW482" s="243"/>
      <c r="UX482" s="243"/>
      <c r="UY482" s="243"/>
      <c r="UZ482" s="243"/>
      <c r="VA482" s="243"/>
      <c r="VB482" s="243"/>
      <c r="VC482" s="243"/>
      <c r="VD482" s="243"/>
      <c r="VE482" s="243"/>
      <c r="VF482" s="243"/>
      <c r="VG482" s="243"/>
      <c r="VH482" s="243"/>
      <c r="VI482" s="243"/>
      <c r="VJ482" s="243"/>
      <c r="VK482" s="243"/>
      <c r="VL482" s="243"/>
      <c r="VM482" s="243"/>
      <c r="VN482" s="243"/>
      <c r="VO482" s="243"/>
      <c r="VP482" s="243"/>
      <c r="VQ482" s="243"/>
      <c r="VR482" s="243"/>
      <c r="VS482" s="243"/>
      <c r="VT482" s="243"/>
      <c r="VU482" s="243"/>
      <c r="VV482" s="243"/>
      <c r="VW482" s="243"/>
      <c r="VX482" s="243"/>
      <c r="VY482" s="243"/>
      <c r="VZ482" s="243"/>
      <c r="WA482" s="243"/>
      <c r="WB482" s="243"/>
      <c r="WC482" s="243"/>
      <c r="WD482" s="243"/>
      <c r="WE482" s="243"/>
      <c r="WF482" s="243"/>
      <c r="WG482" s="243"/>
      <c r="WH482" s="243"/>
      <c r="WI482" s="243"/>
      <c r="WJ482" s="243"/>
      <c r="WK482" s="243"/>
      <c r="WL482" s="243"/>
      <c r="WM482" s="243"/>
      <c r="WN482" s="243"/>
      <c r="WO482" s="243"/>
      <c r="WP482" s="243"/>
      <c r="WQ482" s="243"/>
      <c r="WR482" s="243"/>
      <c r="WS482" s="243"/>
      <c r="WT482" s="243"/>
      <c r="WU482" s="243"/>
      <c r="WV482" s="243"/>
      <c r="WW482" s="243"/>
      <c r="WX482" s="243"/>
      <c r="WY482" s="243"/>
      <c r="WZ482" s="243"/>
      <c r="XA482" s="243"/>
      <c r="XB482" s="243"/>
      <c r="XC482" s="243"/>
      <c r="XD482" s="243"/>
      <c r="XE482" s="243"/>
      <c r="XF482" s="243"/>
      <c r="XG482" s="243"/>
      <c r="XH482" s="243"/>
      <c r="XI482" s="243"/>
      <c r="XJ482" s="243"/>
      <c r="XK482" s="243"/>
      <c r="XL482" s="243"/>
      <c r="XM482" s="243"/>
      <c r="XN482" s="243"/>
      <c r="XO482" s="243"/>
      <c r="XP482" s="243"/>
      <c r="XQ482" s="243"/>
      <c r="XR482" s="243"/>
      <c r="XS482" s="243"/>
      <c r="XT482" s="243"/>
      <c r="XU482" s="243"/>
      <c r="XV482" s="243"/>
      <c r="XW482" s="243"/>
      <c r="XX482" s="243"/>
      <c r="XY482" s="243"/>
      <c r="XZ482" s="243"/>
      <c r="YA482" s="243"/>
      <c r="YB482" s="243"/>
      <c r="YC482" s="243"/>
      <c r="YD482" s="243"/>
      <c r="YE482" s="243"/>
      <c r="YF482" s="243"/>
      <c r="YG482" s="243"/>
      <c r="YH482" s="243"/>
      <c r="YI482" s="243"/>
      <c r="YJ482" s="243"/>
      <c r="YK482" s="243"/>
      <c r="YL482" s="243"/>
      <c r="YM482" s="243"/>
      <c r="YN482" s="243"/>
      <c r="YO482" s="243"/>
      <c r="YP482" s="243"/>
      <c r="YQ482" s="243"/>
      <c r="YR482" s="243"/>
      <c r="YS482" s="243"/>
      <c r="YT482" s="243"/>
      <c r="YU482" s="243"/>
      <c r="YV482" s="243"/>
      <c r="YW482" s="243"/>
      <c r="YX482" s="243"/>
      <c r="YY482" s="243"/>
      <c r="YZ482" s="243"/>
      <c r="ZA482" s="243"/>
      <c r="ZB482" s="243"/>
      <c r="ZC482" s="243"/>
      <c r="ZD482" s="243"/>
      <c r="ZE482" s="243"/>
      <c r="ZF482" s="243"/>
      <c r="ZG482" s="243"/>
      <c r="ZH482" s="243"/>
      <c r="ZI482" s="243"/>
      <c r="ZJ482" s="243"/>
      <c r="ZK482" s="243"/>
      <c r="ZL482" s="243"/>
      <c r="ZM482" s="243"/>
      <c r="ZN482" s="243"/>
      <c r="ZO482" s="243"/>
      <c r="ZP482" s="243"/>
      <c r="ZQ482" s="243"/>
      <c r="ZR482" s="243"/>
      <c r="ZS482" s="243"/>
      <c r="ZT482" s="243"/>
      <c r="ZU482" s="243"/>
      <c r="ZV482" s="243"/>
      <c r="ZW482" s="243"/>
      <c r="ZX482" s="243"/>
      <c r="ZY482" s="243"/>
      <c r="ZZ482" s="243"/>
      <c r="AAA482" s="243"/>
      <c r="AAB482" s="243"/>
      <c r="AAC482" s="243"/>
      <c r="AAD482" s="243"/>
      <c r="AAE482" s="243"/>
      <c r="AAF482" s="243"/>
      <c r="AAG482" s="243"/>
      <c r="AAH482" s="243"/>
      <c r="AAI482" s="243"/>
      <c r="AAJ482" s="243"/>
      <c r="AAK482" s="243"/>
      <c r="AAL482" s="243"/>
      <c r="AAM482" s="243"/>
      <c r="AAN482" s="243"/>
      <c r="AAO482" s="243"/>
      <c r="AAP482" s="243"/>
      <c r="AAQ482" s="243"/>
      <c r="AAR482" s="243"/>
      <c r="AAS482" s="243"/>
      <c r="AAT482" s="243"/>
      <c r="AAU482" s="243"/>
      <c r="AAV482" s="243"/>
      <c r="AAW482" s="243"/>
      <c r="AAX482" s="243"/>
      <c r="AAY482" s="243"/>
      <c r="AAZ482" s="243"/>
      <c r="ABA482" s="243"/>
      <c r="ABB482" s="243"/>
      <c r="ABC482" s="243"/>
      <c r="ABD482" s="243"/>
      <c r="ABE482" s="243"/>
      <c r="ABF482" s="243"/>
      <c r="ABG482" s="243"/>
      <c r="ABH482" s="243"/>
      <c r="ABI482" s="243"/>
      <c r="ABJ482" s="243"/>
      <c r="ABK482" s="243"/>
      <c r="ABL482" s="243"/>
      <c r="ABM482" s="243"/>
      <c r="ABN482" s="243"/>
      <c r="ABO482" s="243"/>
      <c r="ABP482" s="243"/>
      <c r="ABQ482" s="243"/>
      <c r="ABR482" s="243"/>
      <c r="ABS482" s="243"/>
      <c r="ABT482" s="243"/>
      <c r="ABU482" s="243"/>
      <c r="ABV482" s="243"/>
      <c r="ABW482" s="243"/>
      <c r="ABX482" s="243"/>
      <c r="ABY482" s="243"/>
      <c r="ABZ482" s="243"/>
      <c r="ACA482" s="243"/>
      <c r="ACB482" s="243"/>
      <c r="ACC482" s="243"/>
      <c r="ACD482" s="243"/>
      <c r="ACE482" s="243"/>
      <c r="ACF482" s="243"/>
      <c r="ACG482" s="243"/>
      <c r="ACH482" s="243"/>
      <c r="ACI482" s="243"/>
      <c r="ACJ482" s="243"/>
      <c r="ACK482" s="243"/>
      <c r="ACL482" s="243"/>
      <c r="ACM482" s="243"/>
      <c r="ACN482" s="243"/>
      <c r="ACO482" s="243"/>
      <c r="ACP482" s="243"/>
      <c r="ACQ482" s="243"/>
      <c r="ACR482" s="243"/>
      <c r="ACS482" s="243"/>
      <c r="ACT482" s="243"/>
      <c r="ACU482" s="243"/>
      <c r="ACV482" s="243"/>
      <c r="ACW482" s="243"/>
      <c r="ACX482" s="243"/>
      <c r="ACY482" s="243"/>
      <c r="ACZ482" s="243"/>
      <c r="ADA482" s="243"/>
      <c r="ADB482" s="243"/>
      <c r="ADC482" s="243"/>
      <c r="ADD482" s="243"/>
      <c r="ADE482" s="243"/>
      <c r="ADF482" s="243"/>
      <c r="ADG482" s="243"/>
      <c r="ADH482" s="243"/>
      <c r="ADI482" s="243"/>
      <c r="ADJ482" s="243"/>
      <c r="ADK482" s="243"/>
      <c r="ADL482" s="243"/>
      <c r="ADM482" s="243"/>
      <c r="ADN482" s="243"/>
      <c r="ADO482" s="243"/>
      <c r="ADP482" s="243"/>
      <c r="ADQ482" s="243"/>
      <c r="ADR482" s="243"/>
      <c r="ADS482" s="243"/>
      <c r="ADT482" s="243"/>
      <c r="ADU482" s="243"/>
      <c r="ADV482" s="243"/>
      <c r="ADW482" s="243"/>
      <c r="ADX482" s="243"/>
      <c r="ADY482" s="243"/>
      <c r="ADZ482" s="243"/>
      <c r="AEA482" s="243"/>
      <c r="AEB482" s="243"/>
      <c r="AEC482" s="243"/>
      <c r="AED482" s="243"/>
      <c r="AEE482" s="243"/>
      <c r="AEF482" s="243"/>
      <c r="AEG482" s="243"/>
      <c r="AEH482" s="243"/>
      <c r="AEI482" s="243"/>
      <c r="AEJ482" s="243"/>
      <c r="AEK482" s="243"/>
      <c r="AEL482" s="243"/>
      <c r="AEM482" s="243"/>
      <c r="AEN482" s="243"/>
      <c r="AEO482" s="243"/>
      <c r="AEP482" s="243"/>
      <c r="AEQ482" s="243"/>
      <c r="AER482" s="243"/>
      <c r="AES482" s="243"/>
      <c r="AET482" s="243"/>
      <c r="AEU482" s="243"/>
      <c r="AEV482" s="243"/>
      <c r="AEW482" s="243"/>
      <c r="AEX482" s="243"/>
      <c r="AEY482" s="243"/>
      <c r="AEZ482" s="243"/>
      <c r="AFA482" s="243"/>
      <c r="AFB482" s="243"/>
      <c r="AFC482" s="243"/>
      <c r="AFD482" s="243"/>
      <c r="AFE482" s="243"/>
      <c r="AFF482" s="243"/>
      <c r="AFG482" s="243"/>
      <c r="AFH482" s="243"/>
      <c r="AFI482" s="243"/>
      <c r="AFJ482" s="243"/>
      <c r="AFK482" s="243"/>
      <c r="AFL482" s="243"/>
      <c r="AFM482" s="243"/>
      <c r="AFN482" s="243"/>
      <c r="AFO482" s="243"/>
      <c r="AFP482" s="243"/>
      <c r="AFQ482" s="243"/>
      <c r="AFR482" s="243"/>
      <c r="AFS482" s="243"/>
      <c r="AFT482" s="243"/>
      <c r="AFU482" s="243"/>
      <c r="AFV482" s="243"/>
      <c r="AFW482" s="243"/>
      <c r="AFX482" s="243"/>
      <c r="AFY482" s="243"/>
      <c r="AFZ482" s="243"/>
      <c r="AGA482" s="243"/>
      <c r="AGB482" s="243"/>
      <c r="AGC482" s="243"/>
      <c r="AGD482" s="243"/>
      <c r="AGE482" s="243"/>
      <c r="AGF482" s="243"/>
      <c r="AGG482" s="243"/>
      <c r="AGH482" s="243"/>
      <c r="AGI482" s="243"/>
      <c r="AGJ482" s="243"/>
      <c r="AGK482" s="243"/>
      <c r="AGL482" s="243"/>
      <c r="AGM482" s="243"/>
      <c r="AGN482" s="243"/>
      <c r="AGO482" s="243"/>
      <c r="AGP482" s="243"/>
      <c r="AGQ482" s="243"/>
      <c r="AGR482" s="243"/>
      <c r="AGS482" s="243"/>
      <c r="AGT482" s="243"/>
      <c r="AGU482" s="243"/>
      <c r="AGV482" s="243"/>
      <c r="AGW482" s="243"/>
      <c r="AGX482" s="243"/>
      <c r="AGY482" s="243"/>
      <c r="AGZ482" s="243"/>
      <c r="AHA482" s="243"/>
      <c r="AHB482" s="243"/>
      <c r="AHC482" s="243"/>
      <c r="AHD482" s="243"/>
      <c r="AHE482" s="243"/>
      <c r="AHF482" s="243"/>
      <c r="AHG482" s="243"/>
      <c r="AHH482" s="243"/>
      <c r="AHI482" s="243"/>
      <c r="AHJ482" s="243"/>
      <c r="AHK482" s="243"/>
      <c r="AHL482" s="243"/>
      <c r="AHM482" s="243"/>
      <c r="AHN482" s="243"/>
      <c r="AHO482" s="243"/>
      <c r="AHP482" s="243"/>
      <c r="AHQ482" s="243"/>
      <c r="AHR482" s="243"/>
      <c r="AHS482" s="243"/>
      <c r="AHT482" s="243"/>
      <c r="AHU482" s="243"/>
      <c r="AHV482" s="243"/>
      <c r="AHW482" s="243"/>
      <c r="AHX482" s="243"/>
      <c r="AHY482" s="243"/>
      <c r="AHZ482" s="243"/>
      <c r="AIA482" s="243"/>
      <c r="AIB482" s="243"/>
      <c r="AIC482" s="243"/>
      <c r="AID482" s="243"/>
      <c r="AIE482" s="243"/>
      <c r="AIF482" s="243"/>
      <c r="AIG482" s="243"/>
      <c r="AIH482" s="243"/>
      <c r="AII482" s="243"/>
      <c r="AIJ482" s="243"/>
      <c r="AIK482" s="243"/>
      <c r="AIL482" s="243"/>
      <c r="AIM482" s="243"/>
      <c r="AIN482" s="243"/>
      <c r="AIO482" s="243"/>
      <c r="AIP482" s="243"/>
      <c r="AIQ482" s="243"/>
      <c r="AIR482" s="243"/>
      <c r="AIS482" s="243"/>
      <c r="AIT482" s="243"/>
      <c r="AIU482" s="243"/>
      <c r="AIV482" s="243"/>
      <c r="AIW482" s="243"/>
      <c r="AIX482" s="243"/>
      <c r="AIY482" s="243"/>
      <c r="AIZ482" s="243"/>
      <c r="AJA482" s="243"/>
      <c r="AJB482" s="243"/>
      <c r="AJC482" s="243"/>
      <c r="AJD482" s="243"/>
      <c r="AJE482" s="243"/>
      <c r="AJF482" s="243"/>
      <c r="AJG482" s="243"/>
      <c r="AJH482" s="243"/>
      <c r="AJI482" s="243"/>
      <c r="AJJ482" s="243"/>
      <c r="AJK482" s="243"/>
      <c r="AJL482" s="243"/>
      <c r="AJM482" s="243"/>
      <c r="AJN482" s="243"/>
      <c r="AJO482" s="243"/>
      <c r="AJP482" s="243"/>
      <c r="AJQ482" s="243"/>
      <c r="AJR482" s="243"/>
      <c r="AJS482" s="243"/>
      <c r="AJT482" s="243"/>
      <c r="AJU482" s="243"/>
      <c r="AJV482" s="243"/>
      <c r="AJW482" s="243"/>
      <c r="AJX482" s="243"/>
      <c r="AJY482" s="243"/>
      <c r="AJZ482" s="243"/>
      <c r="AKA482" s="243"/>
      <c r="AKB482" s="243"/>
      <c r="AKC482" s="243"/>
      <c r="AKD482" s="243"/>
      <c r="AKE482" s="243"/>
      <c r="AKF482" s="243"/>
      <c r="AKG482" s="243"/>
      <c r="AKH482" s="243"/>
      <c r="AKI482" s="243"/>
      <c r="AKJ482" s="243"/>
      <c r="AKK482" s="243"/>
      <c r="AKL482" s="243"/>
      <c r="AKM482" s="243"/>
      <c r="AKN482" s="243"/>
      <c r="AKO482" s="243"/>
      <c r="AKP482" s="243"/>
      <c r="AKQ482" s="243"/>
      <c r="AKR482" s="243"/>
      <c r="AKS482" s="243"/>
      <c r="AKT482" s="243"/>
      <c r="AKU482" s="243"/>
      <c r="AKV482" s="243"/>
      <c r="AKW482" s="243"/>
      <c r="AKX482" s="243"/>
      <c r="AKY482" s="243"/>
      <c r="AKZ482" s="243"/>
      <c r="ALA482" s="243"/>
      <c r="ALB482" s="243"/>
      <c r="ALC482" s="243"/>
      <c r="ALD482" s="243"/>
      <c r="ALE482" s="243"/>
      <c r="ALF482" s="243"/>
      <c r="ALG482" s="243"/>
      <c r="ALH482" s="243"/>
      <c r="ALI482" s="243"/>
      <c r="ALJ482" s="243"/>
      <c r="ALK482" s="243"/>
      <c r="ALL482" s="243"/>
      <c r="ALM482" s="243"/>
      <c r="ALN482" s="243"/>
      <c r="ALO482" s="243"/>
      <c r="ALP482" s="243"/>
      <c r="ALQ482" s="243"/>
      <c r="ALR482" s="243"/>
      <c r="ALS482" s="243"/>
      <c r="ALT482" s="243"/>
      <c r="ALU482" s="243"/>
      <c r="ALV482" s="243"/>
      <c r="ALW482" s="243"/>
      <c r="ALX482" s="243"/>
      <c r="ALY482" s="243"/>
      <c r="ALZ482" s="243"/>
      <c r="AMA482" s="243"/>
      <c r="AMB482" s="243"/>
      <c r="AMC482" s="243"/>
      <c r="AMD482" s="243"/>
      <c r="AME482" s="243"/>
      <c r="AMF482" s="243"/>
      <c r="AMG482" s="243"/>
      <c r="AMH482" s="243"/>
      <c r="AMI482" s="244"/>
      <c r="AMJ482" s="244"/>
    </row>
    <row r="483" spans="1:1024">
      <c r="A483" s="901"/>
      <c r="B483" s="551">
        <v>14924</v>
      </c>
      <c r="C483" s="690">
        <v>0.1</v>
      </c>
      <c r="D483" s="691" t="s">
        <v>314</v>
      </c>
      <c r="E483" s="620">
        <v>1200000</v>
      </c>
      <c r="F483" s="601">
        <v>0.06</v>
      </c>
      <c r="G483" s="364">
        <f t="shared" ref="G483:G493" si="21">E483*F483</f>
        <v>72000</v>
      </c>
      <c r="H483" s="599" t="s">
        <v>87</v>
      </c>
      <c r="I483" s="604"/>
      <c r="J483" s="604"/>
      <c r="K483" s="580">
        <v>15040</v>
      </c>
      <c r="L483" s="581">
        <v>0.08</v>
      </c>
      <c r="M483" s="670" t="s">
        <v>315</v>
      </c>
      <c r="N483" s="364">
        <v>3000000</v>
      </c>
      <c r="O483" s="543">
        <v>0.04</v>
      </c>
      <c r="P483" s="611">
        <f>N483*O483</f>
        <v>120000</v>
      </c>
      <c r="Q483" s="716"/>
      <c r="R483" s="243"/>
      <c r="S483" s="243"/>
      <c r="T483" s="243"/>
      <c r="U483" s="243"/>
      <c r="V483" s="243"/>
      <c r="W483" s="243"/>
      <c r="X483" s="243"/>
      <c r="Y483" s="243"/>
      <c r="Z483" s="243"/>
      <c r="AA483" s="243"/>
      <c r="AB483" s="243"/>
      <c r="AC483" s="243"/>
      <c r="AD483" s="243"/>
      <c r="AE483" s="243"/>
      <c r="AF483" s="243"/>
      <c r="AG483" s="243"/>
      <c r="AH483" s="243"/>
      <c r="AI483" s="243"/>
      <c r="AJ483" s="243"/>
      <c r="AK483" s="243"/>
      <c r="AL483" s="243"/>
      <c r="AM483" s="243"/>
      <c r="AN483" s="243"/>
      <c r="AO483" s="243"/>
      <c r="AP483" s="243"/>
      <c r="AQ483" s="243"/>
      <c r="AR483" s="243"/>
      <c r="AS483" s="243"/>
      <c r="AT483" s="243"/>
      <c r="AU483" s="243"/>
      <c r="AV483" s="243"/>
      <c r="AW483" s="243"/>
      <c r="AX483" s="243"/>
      <c r="AY483" s="243"/>
      <c r="AZ483" s="243"/>
      <c r="BA483" s="243"/>
      <c r="BB483" s="243"/>
      <c r="BC483" s="243"/>
      <c r="BD483" s="243"/>
      <c r="BE483" s="243"/>
      <c r="BF483" s="243"/>
      <c r="BG483" s="243"/>
      <c r="BH483" s="243"/>
      <c r="BI483" s="243"/>
      <c r="BJ483" s="243"/>
      <c r="BK483" s="243"/>
      <c r="BL483" s="243"/>
      <c r="BM483" s="243"/>
      <c r="BN483" s="243"/>
      <c r="BO483" s="243"/>
      <c r="BP483" s="243"/>
      <c r="BQ483" s="243"/>
      <c r="BR483" s="243"/>
      <c r="BS483" s="243"/>
      <c r="BT483" s="243"/>
      <c r="BU483" s="243"/>
      <c r="BV483" s="243"/>
      <c r="BW483" s="243"/>
      <c r="BX483" s="243"/>
      <c r="BY483" s="243"/>
      <c r="BZ483" s="243"/>
      <c r="CA483" s="243"/>
      <c r="CB483" s="243"/>
      <c r="CC483" s="243"/>
      <c r="CD483" s="243"/>
      <c r="CE483" s="243"/>
      <c r="CF483" s="243"/>
      <c r="CG483" s="243"/>
      <c r="CH483" s="243"/>
      <c r="CI483" s="243"/>
      <c r="CJ483" s="243"/>
      <c r="CK483" s="243"/>
      <c r="CL483" s="243"/>
      <c r="CM483" s="243"/>
      <c r="CN483" s="243"/>
      <c r="CO483" s="243"/>
      <c r="CP483" s="243"/>
      <c r="CQ483" s="243"/>
      <c r="CR483" s="243"/>
      <c r="CS483" s="243"/>
      <c r="CT483" s="243"/>
      <c r="CU483" s="243"/>
      <c r="CV483" s="243"/>
      <c r="CW483" s="243"/>
      <c r="CX483" s="243"/>
      <c r="CY483" s="243"/>
      <c r="CZ483" s="243"/>
      <c r="DA483" s="243"/>
      <c r="DB483" s="243"/>
      <c r="DC483" s="243"/>
      <c r="DD483" s="243"/>
      <c r="DE483" s="243"/>
      <c r="DF483" s="243"/>
      <c r="DG483" s="243"/>
      <c r="DH483" s="243"/>
      <c r="DI483" s="243"/>
      <c r="DJ483" s="243"/>
      <c r="DK483" s="243"/>
      <c r="DL483" s="243"/>
      <c r="DM483" s="243"/>
      <c r="DN483" s="243"/>
      <c r="DO483" s="243"/>
      <c r="DP483" s="243"/>
      <c r="DQ483" s="243"/>
      <c r="DR483" s="243"/>
      <c r="DS483" s="243"/>
      <c r="DT483" s="243"/>
      <c r="DU483" s="243"/>
      <c r="DV483" s="243"/>
      <c r="DW483" s="243"/>
      <c r="DX483" s="243"/>
      <c r="DY483" s="243"/>
      <c r="DZ483" s="243"/>
      <c r="EA483" s="243"/>
      <c r="EB483" s="243"/>
      <c r="EC483" s="243"/>
      <c r="ED483" s="243"/>
      <c r="EE483" s="243"/>
      <c r="EF483" s="243"/>
      <c r="EG483" s="243"/>
      <c r="EH483" s="243"/>
      <c r="EI483" s="243"/>
      <c r="EJ483" s="243"/>
      <c r="EK483" s="243"/>
      <c r="EL483" s="243"/>
      <c r="EM483" s="243"/>
      <c r="EN483" s="243"/>
      <c r="EO483" s="243"/>
      <c r="EP483" s="243"/>
      <c r="EQ483" s="243"/>
      <c r="ER483" s="243"/>
      <c r="ES483" s="243"/>
      <c r="ET483" s="243"/>
      <c r="EU483" s="243"/>
      <c r="EV483" s="243"/>
      <c r="EW483" s="243"/>
      <c r="EX483" s="243"/>
      <c r="EY483" s="243"/>
      <c r="EZ483" s="243"/>
      <c r="FA483" s="243"/>
      <c r="FB483" s="243"/>
      <c r="FC483" s="243"/>
      <c r="FD483" s="243"/>
      <c r="FE483" s="243"/>
      <c r="FF483" s="243"/>
      <c r="FG483" s="243"/>
      <c r="FH483" s="243"/>
      <c r="FI483" s="243"/>
      <c r="FJ483" s="243"/>
      <c r="FK483" s="243"/>
      <c r="FL483" s="243"/>
      <c r="FM483" s="243"/>
      <c r="FN483" s="243"/>
      <c r="FO483" s="243"/>
      <c r="FP483" s="243"/>
      <c r="FQ483" s="243"/>
      <c r="FR483" s="243"/>
      <c r="FS483" s="243"/>
      <c r="FT483" s="243"/>
      <c r="FU483" s="243"/>
      <c r="FV483" s="243"/>
      <c r="FW483" s="243"/>
      <c r="FX483" s="243"/>
      <c r="FY483" s="243"/>
      <c r="FZ483" s="243"/>
      <c r="GA483" s="243"/>
      <c r="GB483" s="243"/>
      <c r="GC483" s="243"/>
      <c r="GD483" s="243"/>
      <c r="GE483" s="243"/>
      <c r="GF483" s="243"/>
      <c r="GG483" s="243"/>
      <c r="GH483" s="243"/>
      <c r="GI483" s="243"/>
      <c r="GJ483" s="243"/>
      <c r="GK483" s="243"/>
      <c r="GL483" s="243"/>
      <c r="GM483" s="243"/>
      <c r="GN483" s="243"/>
      <c r="GO483" s="243"/>
      <c r="GP483" s="243"/>
      <c r="GQ483" s="243"/>
      <c r="GR483" s="243"/>
      <c r="GS483" s="243"/>
      <c r="GT483" s="243"/>
      <c r="GU483" s="243"/>
      <c r="GV483" s="243"/>
      <c r="GW483" s="243"/>
      <c r="GX483" s="243"/>
      <c r="GY483" s="243"/>
      <c r="GZ483" s="243"/>
      <c r="HA483" s="243"/>
      <c r="HB483" s="243"/>
      <c r="HC483" s="243"/>
      <c r="HD483" s="243"/>
      <c r="HE483" s="243"/>
      <c r="HF483" s="243"/>
      <c r="HG483" s="243"/>
      <c r="HH483" s="243"/>
      <c r="HI483" s="243"/>
      <c r="HJ483" s="243"/>
      <c r="HK483" s="243"/>
      <c r="HL483" s="243"/>
      <c r="HM483" s="243"/>
      <c r="HN483" s="243"/>
      <c r="HO483" s="243"/>
      <c r="HP483" s="243"/>
      <c r="HQ483" s="243"/>
      <c r="HR483" s="243"/>
      <c r="HS483" s="243"/>
      <c r="HT483" s="243"/>
      <c r="HU483" s="243"/>
      <c r="HV483" s="243"/>
      <c r="HW483" s="243"/>
      <c r="HX483" s="243"/>
      <c r="HY483" s="243"/>
      <c r="HZ483" s="243"/>
      <c r="IA483" s="243"/>
      <c r="IB483" s="243"/>
      <c r="IC483" s="243"/>
      <c r="ID483" s="243"/>
      <c r="IE483" s="243"/>
      <c r="IF483" s="243"/>
      <c r="IG483" s="243"/>
      <c r="IH483" s="243"/>
      <c r="II483" s="243"/>
      <c r="IJ483" s="243"/>
      <c r="IK483" s="243"/>
      <c r="IL483" s="243"/>
      <c r="IM483" s="243"/>
      <c r="IN483" s="243"/>
      <c r="IO483" s="243"/>
      <c r="IP483" s="243"/>
      <c r="IQ483" s="243"/>
      <c r="IR483" s="243"/>
      <c r="IS483" s="243"/>
      <c r="IT483" s="243"/>
      <c r="IU483" s="243"/>
      <c r="IV483" s="243"/>
      <c r="IW483" s="243"/>
      <c r="IX483" s="243"/>
      <c r="IY483" s="243"/>
      <c r="IZ483" s="243"/>
      <c r="JA483" s="243"/>
      <c r="JB483" s="243"/>
      <c r="JC483" s="243"/>
      <c r="JD483" s="243"/>
      <c r="JE483" s="243"/>
      <c r="JF483" s="243"/>
      <c r="JG483" s="243"/>
      <c r="JH483" s="243"/>
      <c r="JI483" s="243"/>
      <c r="JJ483" s="243"/>
      <c r="JK483" s="243"/>
      <c r="JL483" s="243"/>
      <c r="JM483" s="243"/>
      <c r="JN483" s="243"/>
      <c r="JO483" s="243"/>
      <c r="JP483" s="243"/>
      <c r="JQ483" s="243"/>
      <c r="JR483" s="243"/>
      <c r="JS483" s="243"/>
      <c r="JT483" s="243"/>
      <c r="JU483" s="243"/>
      <c r="JV483" s="243"/>
      <c r="JW483" s="243"/>
      <c r="JX483" s="243"/>
      <c r="JY483" s="243"/>
      <c r="JZ483" s="243"/>
      <c r="KA483" s="243"/>
      <c r="KB483" s="243"/>
      <c r="KC483" s="243"/>
      <c r="KD483" s="243"/>
      <c r="KE483" s="243"/>
      <c r="KF483" s="243"/>
      <c r="KG483" s="243"/>
      <c r="KH483" s="243"/>
      <c r="KI483" s="243"/>
      <c r="KJ483" s="243"/>
      <c r="KK483" s="243"/>
      <c r="KL483" s="243"/>
      <c r="KM483" s="243"/>
      <c r="KN483" s="243"/>
      <c r="KO483" s="243"/>
      <c r="KP483" s="243"/>
      <c r="KQ483" s="243"/>
      <c r="KR483" s="243"/>
      <c r="KS483" s="243"/>
      <c r="KT483" s="243"/>
      <c r="KU483" s="243"/>
      <c r="KV483" s="243"/>
      <c r="KW483" s="243"/>
      <c r="KX483" s="243"/>
      <c r="KY483" s="243"/>
      <c r="KZ483" s="243"/>
      <c r="LA483" s="243"/>
      <c r="LB483" s="243"/>
      <c r="LC483" s="243"/>
      <c r="LD483" s="243"/>
      <c r="LE483" s="243"/>
      <c r="LF483" s="243"/>
      <c r="LG483" s="243"/>
      <c r="LH483" s="243"/>
      <c r="LI483" s="243"/>
      <c r="LJ483" s="243"/>
      <c r="LK483" s="243"/>
      <c r="LL483" s="243"/>
      <c r="LM483" s="243"/>
      <c r="LN483" s="243"/>
      <c r="LO483" s="243"/>
      <c r="LP483" s="243"/>
      <c r="LQ483" s="243"/>
      <c r="LR483" s="243"/>
      <c r="LS483" s="243"/>
      <c r="LT483" s="243"/>
      <c r="LU483" s="243"/>
      <c r="LV483" s="243"/>
      <c r="LW483" s="243"/>
      <c r="LX483" s="243"/>
      <c r="LY483" s="243"/>
      <c r="LZ483" s="243"/>
      <c r="MA483" s="243"/>
      <c r="MB483" s="243"/>
      <c r="MC483" s="243"/>
      <c r="MD483" s="243"/>
      <c r="ME483" s="243"/>
      <c r="MF483" s="243"/>
      <c r="MG483" s="243"/>
      <c r="MH483" s="243"/>
      <c r="MI483" s="243"/>
      <c r="MJ483" s="243"/>
      <c r="MK483" s="243"/>
      <c r="ML483" s="243"/>
      <c r="MM483" s="243"/>
      <c r="MN483" s="243"/>
      <c r="MO483" s="243"/>
      <c r="MP483" s="243"/>
      <c r="MQ483" s="243"/>
      <c r="MR483" s="243"/>
      <c r="MS483" s="243"/>
      <c r="MT483" s="243"/>
      <c r="MU483" s="243"/>
      <c r="MV483" s="243"/>
      <c r="MW483" s="243"/>
      <c r="MX483" s="243"/>
      <c r="MY483" s="243"/>
      <c r="MZ483" s="243"/>
      <c r="NA483" s="243"/>
      <c r="NB483" s="243"/>
      <c r="NC483" s="243"/>
      <c r="ND483" s="243"/>
      <c r="NE483" s="243"/>
      <c r="NF483" s="243"/>
      <c r="NG483" s="243"/>
      <c r="NH483" s="243"/>
      <c r="NI483" s="243"/>
      <c r="NJ483" s="243"/>
      <c r="NK483" s="243"/>
      <c r="NL483" s="243"/>
      <c r="NM483" s="243"/>
      <c r="NN483" s="243"/>
      <c r="NO483" s="243"/>
      <c r="NP483" s="243"/>
      <c r="NQ483" s="243"/>
      <c r="NR483" s="243"/>
      <c r="NS483" s="243"/>
      <c r="NT483" s="243"/>
      <c r="NU483" s="243"/>
      <c r="NV483" s="243"/>
      <c r="NW483" s="243"/>
      <c r="NX483" s="243"/>
      <c r="NY483" s="243"/>
      <c r="NZ483" s="243"/>
      <c r="OA483" s="243"/>
      <c r="OB483" s="243"/>
      <c r="OC483" s="243"/>
      <c r="OD483" s="243"/>
      <c r="OE483" s="243"/>
      <c r="OF483" s="243"/>
      <c r="OG483" s="243"/>
      <c r="OH483" s="243"/>
      <c r="OI483" s="243"/>
      <c r="OJ483" s="243"/>
      <c r="OK483" s="243"/>
      <c r="OL483" s="243"/>
      <c r="OM483" s="243"/>
      <c r="ON483" s="243"/>
      <c r="OO483" s="243"/>
      <c r="OP483" s="243"/>
      <c r="OQ483" s="243"/>
      <c r="OR483" s="243"/>
      <c r="OS483" s="243"/>
      <c r="OT483" s="243"/>
      <c r="OU483" s="243"/>
      <c r="OV483" s="243"/>
      <c r="OW483" s="243"/>
      <c r="OX483" s="243"/>
      <c r="OY483" s="243"/>
      <c r="OZ483" s="243"/>
      <c r="PA483" s="243"/>
      <c r="PB483" s="243"/>
      <c r="PC483" s="243"/>
      <c r="PD483" s="243"/>
      <c r="PE483" s="243"/>
      <c r="PF483" s="243"/>
      <c r="PG483" s="243"/>
      <c r="PH483" s="243"/>
      <c r="PI483" s="243"/>
      <c r="PJ483" s="243"/>
      <c r="PK483" s="243"/>
      <c r="PL483" s="243"/>
      <c r="PM483" s="243"/>
      <c r="PN483" s="243"/>
      <c r="PO483" s="243"/>
      <c r="PP483" s="243"/>
      <c r="PQ483" s="243"/>
      <c r="PR483" s="243"/>
      <c r="PS483" s="243"/>
      <c r="PT483" s="243"/>
      <c r="PU483" s="243"/>
      <c r="PV483" s="243"/>
      <c r="PW483" s="243"/>
      <c r="PX483" s="243"/>
      <c r="PY483" s="243"/>
      <c r="PZ483" s="243"/>
      <c r="QA483" s="243"/>
      <c r="QB483" s="243"/>
      <c r="QC483" s="243"/>
      <c r="QD483" s="243"/>
      <c r="QE483" s="243"/>
      <c r="QF483" s="243"/>
      <c r="QG483" s="243"/>
      <c r="QH483" s="243"/>
      <c r="QI483" s="243"/>
      <c r="QJ483" s="243"/>
      <c r="QK483" s="243"/>
      <c r="QL483" s="243"/>
      <c r="QM483" s="243"/>
      <c r="QN483" s="243"/>
      <c r="QO483" s="243"/>
      <c r="QP483" s="243"/>
      <c r="QQ483" s="243"/>
      <c r="QR483" s="243"/>
      <c r="QS483" s="243"/>
      <c r="QT483" s="243"/>
      <c r="QU483" s="243"/>
      <c r="QV483" s="243"/>
      <c r="QW483" s="243"/>
      <c r="QX483" s="243"/>
      <c r="QY483" s="243"/>
      <c r="QZ483" s="243"/>
      <c r="RA483" s="243"/>
      <c r="RB483" s="243"/>
      <c r="RC483" s="243"/>
      <c r="RD483" s="243"/>
      <c r="RE483" s="243"/>
      <c r="RF483" s="243"/>
      <c r="RG483" s="243"/>
      <c r="RH483" s="243"/>
      <c r="RI483" s="243"/>
      <c r="RJ483" s="243"/>
      <c r="RK483" s="243"/>
      <c r="RL483" s="243"/>
      <c r="RM483" s="243"/>
      <c r="RN483" s="243"/>
      <c r="RO483" s="243"/>
      <c r="RP483" s="243"/>
      <c r="RQ483" s="243"/>
      <c r="RR483" s="243"/>
      <c r="RS483" s="243"/>
      <c r="RT483" s="243"/>
      <c r="RU483" s="243"/>
      <c r="RV483" s="243"/>
      <c r="RW483" s="243"/>
      <c r="RX483" s="243"/>
      <c r="RY483" s="243"/>
      <c r="RZ483" s="243"/>
      <c r="SA483" s="243"/>
      <c r="SB483" s="243"/>
      <c r="SC483" s="243"/>
      <c r="SD483" s="243"/>
      <c r="SE483" s="243"/>
      <c r="SF483" s="243"/>
      <c r="SG483" s="243"/>
      <c r="SH483" s="243"/>
      <c r="SI483" s="243"/>
      <c r="SJ483" s="243"/>
      <c r="SK483" s="243"/>
      <c r="SL483" s="243"/>
      <c r="SM483" s="243"/>
      <c r="SN483" s="243"/>
      <c r="SO483" s="243"/>
      <c r="SP483" s="243"/>
      <c r="SQ483" s="243"/>
      <c r="SR483" s="243"/>
      <c r="SS483" s="243"/>
      <c r="ST483" s="243"/>
      <c r="SU483" s="243"/>
      <c r="SV483" s="243"/>
      <c r="SW483" s="243"/>
      <c r="SX483" s="243"/>
      <c r="SY483" s="243"/>
      <c r="SZ483" s="243"/>
      <c r="TA483" s="243"/>
      <c r="TB483" s="243"/>
      <c r="TC483" s="243"/>
      <c r="TD483" s="243"/>
      <c r="TE483" s="243"/>
      <c r="TF483" s="243"/>
      <c r="TG483" s="243"/>
      <c r="TH483" s="243"/>
      <c r="TI483" s="243"/>
      <c r="TJ483" s="243"/>
      <c r="TK483" s="243"/>
      <c r="TL483" s="243"/>
      <c r="TM483" s="243"/>
      <c r="TN483" s="243"/>
      <c r="TO483" s="243"/>
      <c r="TP483" s="243"/>
      <c r="TQ483" s="243"/>
      <c r="TR483" s="243"/>
      <c r="TS483" s="243"/>
      <c r="TT483" s="243"/>
      <c r="TU483" s="243"/>
      <c r="TV483" s="243"/>
      <c r="TW483" s="243"/>
      <c r="TX483" s="243"/>
      <c r="TY483" s="243"/>
      <c r="TZ483" s="243"/>
      <c r="UA483" s="243"/>
      <c r="UB483" s="243"/>
      <c r="UC483" s="243"/>
      <c r="UD483" s="243"/>
      <c r="UE483" s="243"/>
      <c r="UF483" s="243"/>
      <c r="UG483" s="243"/>
      <c r="UH483" s="243"/>
      <c r="UI483" s="243"/>
      <c r="UJ483" s="243"/>
      <c r="UK483" s="243"/>
      <c r="UL483" s="243"/>
      <c r="UM483" s="243"/>
      <c r="UN483" s="243"/>
      <c r="UO483" s="243"/>
      <c r="UP483" s="243"/>
      <c r="UQ483" s="243"/>
      <c r="UR483" s="243"/>
      <c r="US483" s="243"/>
      <c r="UT483" s="243"/>
      <c r="UU483" s="243"/>
      <c r="UV483" s="243"/>
      <c r="UW483" s="243"/>
      <c r="UX483" s="243"/>
      <c r="UY483" s="243"/>
      <c r="UZ483" s="243"/>
      <c r="VA483" s="243"/>
      <c r="VB483" s="243"/>
      <c r="VC483" s="243"/>
      <c r="VD483" s="243"/>
      <c r="VE483" s="243"/>
      <c r="VF483" s="243"/>
      <c r="VG483" s="243"/>
      <c r="VH483" s="243"/>
      <c r="VI483" s="243"/>
      <c r="VJ483" s="243"/>
      <c r="VK483" s="243"/>
      <c r="VL483" s="243"/>
      <c r="VM483" s="243"/>
      <c r="VN483" s="243"/>
      <c r="VO483" s="243"/>
      <c r="VP483" s="243"/>
      <c r="VQ483" s="243"/>
      <c r="VR483" s="243"/>
      <c r="VS483" s="243"/>
      <c r="VT483" s="243"/>
      <c r="VU483" s="243"/>
      <c r="VV483" s="243"/>
      <c r="VW483" s="243"/>
      <c r="VX483" s="243"/>
      <c r="VY483" s="243"/>
      <c r="VZ483" s="243"/>
      <c r="WA483" s="243"/>
      <c r="WB483" s="243"/>
      <c r="WC483" s="243"/>
      <c r="WD483" s="243"/>
      <c r="WE483" s="243"/>
      <c r="WF483" s="243"/>
      <c r="WG483" s="243"/>
      <c r="WH483" s="243"/>
      <c r="WI483" s="243"/>
      <c r="WJ483" s="243"/>
      <c r="WK483" s="243"/>
      <c r="WL483" s="243"/>
      <c r="WM483" s="243"/>
      <c r="WN483" s="243"/>
      <c r="WO483" s="243"/>
      <c r="WP483" s="243"/>
      <c r="WQ483" s="243"/>
      <c r="WR483" s="243"/>
      <c r="WS483" s="243"/>
      <c r="WT483" s="243"/>
      <c r="WU483" s="243"/>
      <c r="WV483" s="243"/>
      <c r="WW483" s="243"/>
      <c r="WX483" s="243"/>
      <c r="WY483" s="243"/>
      <c r="WZ483" s="243"/>
      <c r="XA483" s="243"/>
      <c r="XB483" s="243"/>
      <c r="XC483" s="243"/>
      <c r="XD483" s="243"/>
      <c r="XE483" s="243"/>
      <c r="XF483" s="243"/>
      <c r="XG483" s="243"/>
      <c r="XH483" s="243"/>
      <c r="XI483" s="243"/>
      <c r="XJ483" s="243"/>
      <c r="XK483" s="243"/>
      <c r="XL483" s="243"/>
      <c r="XM483" s="243"/>
      <c r="XN483" s="243"/>
      <c r="XO483" s="243"/>
      <c r="XP483" s="243"/>
      <c r="XQ483" s="243"/>
      <c r="XR483" s="243"/>
      <c r="XS483" s="243"/>
      <c r="XT483" s="243"/>
      <c r="XU483" s="243"/>
      <c r="XV483" s="243"/>
      <c r="XW483" s="243"/>
      <c r="XX483" s="243"/>
      <c r="XY483" s="243"/>
      <c r="XZ483" s="243"/>
      <c r="YA483" s="243"/>
      <c r="YB483" s="243"/>
      <c r="YC483" s="243"/>
      <c r="YD483" s="243"/>
      <c r="YE483" s="243"/>
      <c r="YF483" s="243"/>
      <c r="YG483" s="243"/>
      <c r="YH483" s="243"/>
      <c r="YI483" s="243"/>
      <c r="YJ483" s="243"/>
      <c r="YK483" s="243"/>
      <c r="YL483" s="243"/>
      <c r="YM483" s="243"/>
      <c r="YN483" s="243"/>
      <c r="YO483" s="243"/>
      <c r="YP483" s="243"/>
      <c r="YQ483" s="243"/>
      <c r="YR483" s="243"/>
      <c r="YS483" s="243"/>
      <c r="YT483" s="243"/>
      <c r="YU483" s="243"/>
      <c r="YV483" s="243"/>
      <c r="YW483" s="243"/>
      <c r="YX483" s="243"/>
      <c r="YY483" s="243"/>
      <c r="YZ483" s="243"/>
      <c r="ZA483" s="243"/>
      <c r="ZB483" s="243"/>
      <c r="ZC483" s="243"/>
      <c r="ZD483" s="243"/>
      <c r="ZE483" s="243"/>
      <c r="ZF483" s="243"/>
      <c r="ZG483" s="243"/>
      <c r="ZH483" s="243"/>
      <c r="ZI483" s="243"/>
      <c r="ZJ483" s="243"/>
      <c r="ZK483" s="243"/>
      <c r="ZL483" s="243"/>
      <c r="ZM483" s="243"/>
      <c r="ZN483" s="243"/>
      <c r="ZO483" s="243"/>
      <c r="ZP483" s="243"/>
      <c r="ZQ483" s="243"/>
      <c r="ZR483" s="243"/>
      <c r="ZS483" s="243"/>
      <c r="ZT483" s="243"/>
      <c r="ZU483" s="243"/>
      <c r="ZV483" s="243"/>
      <c r="ZW483" s="243"/>
      <c r="ZX483" s="243"/>
      <c r="ZY483" s="243"/>
      <c r="ZZ483" s="243"/>
      <c r="AAA483" s="243"/>
      <c r="AAB483" s="243"/>
      <c r="AAC483" s="243"/>
      <c r="AAD483" s="243"/>
      <c r="AAE483" s="243"/>
      <c r="AAF483" s="243"/>
      <c r="AAG483" s="243"/>
      <c r="AAH483" s="243"/>
      <c r="AAI483" s="243"/>
      <c r="AAJ483" s="243"/>
      <c r="AAK483" s="243"/>
      <c r="AAL483" s="243"/>
      <c r="AAM483" s="243"/>
      <c r="AAN483" s="243"/>
      <c r="AAO483" s="243"/>
      <c r="AAP483" s="243"/>
      <c r="AAQ483" s="243"/>
      <c r="AAR483" s="243"/>
      <c r="AAS483" s="243"/>
      <c r="AAT483" s="243"/>
      <c r="AAU483" s="243"/>
      <c r="AAV483" s="243"/>
      <c r="AAW483" s="243"/>
      <c r="AAX483" s="243"/>
      <c r="AAY483" s="243"/>
      <c r="AAZ483" s="243"/>
      <c r="ABA483" s="243"/>
      <c r="ABB483" s="243"/>
      <c r="ABC483" s="243"/>
      <c r="ABD483" s="243"/>
      <c r="ABE483" s="243"/>
      <c r="ABF483" s="243"/>
      <c r="ABG483" s="243"/>
      <c r="ABH483" s="243"/>
      <c r="ABI483" s="243"/>
      <c r="ABJ483" s="243"/>
      <c r="ABK483" s="243"/>
      <c r="ABL483" s="243"/>
      <c r="ABM483" s="243"/>
      <c r="ABN483" s="243"/>
      <c r="ABO483" s="243"/>
      <c r="ABP483" s="243"/>
      <c r="ABQ483" s="243"/>
      <c r="ABR483" s="243"/>
      <c r="ABS483" s="243"/>
      <c r="ABT483" s="243"/>
      <c r="ABU483" s="243"/>
      <c r="ABV483" s="243"/>
      <c r="ABW483" s="243"/>
      <c r="ABX483" s="243"/>
      <c r="ABY483" s="243"/>
      <c r="ABZ483" s="243"/>
      <c r="ACA483" s="243"/>
      <c r="ACB483" s="243"/>
      <c r="ACC483" s="243"/>
      <c r="ACD483" s="243"/>
      <c r="ACE483" s="243"/>
      <c r="ACF483" s="243"/>
      <c r="ACG483" s="243"/>
      <c r="ACH483" s="243"/>
      <c r="ACI483" s="243"/>
      <c r="ACJ483" s="243"/>
      <c r="ACK483" s="243"/>
      <c r="ACL483" s="243"/>
      <c r="ACM483" s="243"/>
      <c r="ACN483" s="243"/>
      <c r="ACO483" s="243"/>
      <c r="ACP483" s="243"/>
      <c r="ACQ483" s="243"/>
      <c r="ACR483" s="243"/>
      <c r="ACS483" s="243"/>
      <c r="ACT483" s="243"/>
      <c r="ACU483" s="243"/>
      <c r="ACV483" s="243"/>
      <c r="ACW483" s="243"/>
      <c r="ACX483" s="243"/>
      <c r="ACY483" s="243"/>
      <c r="ACZ483" s="243"/>
      <c r="ADA483" s="243"/>
      <c r="ADB483" s="243"/>
      <c r="ADC483" s="243"/>
      <c r="ADD483" s="243"/>
      <c r="ADE483" s="243"/>
      <c r="ADF483" s="243"/>
      <c r="ADG483" s="243"/>
      <c r="ADH483" s="243"/>
      <c r="ADI483" s="243"/>
      <c r="ADJ483" s="243"/>
      <c r="ADK483" s="243"/>
      <c r="ADL483" s="243"/>
      <c r="ADM483" s="243"/>
      <c r="ADN483" s="243"/>
      <c r="ADO483" s="243"/>
      <c r="ADP483" s="243"/>
      <c r="ADQ483" s="243"/>
      <c r="ADR483" s="243"/>
      <c r="ADS483" s="243"/>
      <c r="ADT483" s="243"/>
      <c r="ADU483" s="243"/>
      <c r="ADV483" s="243"/>
      <c r="ADW483" s="243"/>
      <c r="ADX483" s="243"/>
      <c r="ADY483" s="243"/>
      <c r="ADZ483" s="243"/>
      <c r="AEA483" s="243"/>
      <c r="AEB483" s="243"/>
      <c r="AEC483" s="243"/>
      <c r="AED483" s="243"/>
      <c r="AEE483" s="243"/>
      <c r="AEF483" s="243"/>
      <c r="AEG483" s="243"/>
      <c r="AEH483" s="243"/>
      <c r="AEI483" s="243"/>
      <c r="AEJ483" s="243"/>
      <c r="AEK483" s="243"/>
      <c r="AEL483" s="243"/>
      <c r="AEM483" s="243"/>
      <c r="AEN483" s="243"/>
      <c r="AEO483" s="243"/>
      <c r="AEP483" s="243"/>
      <c r="AEQ483" s="243"/>
      <c r="AER483" s="243"/>
      <c r="AES483" s="243"/>
      <c r="AET483" s="243"/>
      <c r="AEU483" s="243"/>
      <c r="AEV483" s="243"/>
      <c r="AEW483" s="243"/>
      <c r="AEX483" s="243"/>
      <c r="AEY483" s="243"/>
      <c r="AEZ483" s="243"/>
      <c r="AFA483" s="243"/>
      <c r="AFB483" s="243"/>
      <c r="AFC483" s="243"/>
      <c r="AFD483" s="243"/>
      <c r="AFE483" s="243"/>
      <c r="AFF483" s="243"/>
      <c r="AFG483" s="243"/>
      <c r="AFH483" s="243"/>
      <c r="AFI483" s="243"/>
      <c r="AFJ483" s="243"/>
      <c r="AFK483" s="243"/>
      <c r="AFL483" s="243"/>
      <c r="AFM483" s="243"/>
      <c r="AFN483" s="243"/>
      <c r="AFO483" s="243"/>
      <c r="AFP483" s="243"/>
      <c r="AFQ483" s="243"/>
      <c r="AFR483" s="243"/>
      <c r="AFS483" s="243"/>
      <c r="AFT483" s="243"/>
      <c r="AFU483" s="243"/>
      <c r="AFV483" s="243"/>
      <c r="AFW483" s="243"/>
      <c r="AFX483" s="243"/>
      <c r="AFY483" s="243"/>
      <c r="AFZ483" s="243"/>
      <c r="AGA483" s="243"/>
      <c r="AGB483" s="243"/>
      <c r="AGC483" s="243"/>
      <c r="AGD483" s="243"/>
      <c r="AGE483" s="243"/>
      <c r="AGF483" s="243"/>
      <c r="AGG483" s="243"/>
      <c r="AGH483" s="243"/>
      <c r="AGI483" s="243"/>
      <c r="AGJ483" s="243"/>
      <c r="AGK483" s="243"/>
      <c r="AGL483" s="243"/>
      <c r="AGM483" s="243"/>
      <c r="AGN483" s="243"/>
      <c r="AGO483" s="243"/>
      <c r="AGP483" s="243"/>
      <c r="AGQ483" s="243"/>
      <c r="AGR483" s="243"/>
      <c r="AGS483" s="243"/>
      <c r="AGT483" s="243"/>
      <c r="AGU483" s="243"/>
      <c r="AGV483" s="243"/>
      <c r="AGW483" s="243"/>
      <c r="AGX483" s="243"/>
      <c r="AGY483" s="243"/>
      <c r="AGZ483" s="243"/>
      <c r="AHA483" s="243"/>
      <c r="AHB483" s="243"/>
      <c r="AHC483" s="243"/>
      <c r="AHD483" s="243"/>
      <c r="AHE483" s="243"/>
      <c r="AHF483" s="243"/>
      <c r="AHG483" s="243"/>
      <c r="AHH483" s="243"/>
      <c r="AHI483" s="243"/>
      <c r="AHJ483" s="243"/>
      <c r="AHK483" s="243"/>
      <c r="AHL483" s="243"/>
      <c r="AHM483" s="243"/>
      <c r="AHN483" s="243"/>
      <c r="AHO483" s="243"/>
      <c r="AHP483" s="243"/>
      <c r="AHQ483" s="243"/>
      <c r="AHR483" s="243"/>
      <c r="AHS483" s="243"/>
      <c r="AHT483" s="243"/>
      <c r="AHU483" s="243"/>
      <c r="AHV483" s="243"/>
      <c r="AHW483" s="243"/>
      <c r="AHX483" s="243"/>
      <c r="AHY483" s="243"/>
      <c r="AHZ483" s="243"/>
      <c r="AIA483" s="243"/>
      <c r="AIB483" s="243"/>
      <c r="AIC483" s="243"/>
      <c r="AID483" s="243"/>
      <c r="AIE483" s="243"/>
      <c r="AIF483" s="243"/>
      <c r="AIG483" s="243"/>
      <c r="AIH483" s="243"/>
      <c r="AII483" s="243"/>
      <c r="AIJ483" s="243"/>
      <c r="AIK483" s="243"/>
      <c r="AIL483" s="243"/>
      <c r="AIM483" s="243"/>
      <c r="AIN483" s="243"/>
      <c r="AIO483" s="243"/>
      <c r="AIP483" s="243"/>
      <c r="AIQ483" s="243"/>
      <c r="AIR483" s="243"/>
      <c r="AIS483" s="243"/>
      <c r="AIT483" s="243"/>
      <c r="AIU483" s="243"/>
      <c r="AIV483" s="243"/>
      <c r="AIW483" s="243"/>
      <c r="AIX483" s="243"/>
      <c r="AIY483" s="243"/>
      <c r="AIZ483" s="243"/>
      <c r="AJA483" s="243"/>
      <c r="AJB483" s="243"/>
      <c r="AJC483" s="243"/>
      <c r="AJD483" s="243"/>
      <c r="AJE483" s="243"/>
      <c r="AJF483" s="243"/>
      <c r="AJG483" s="243"/>
      <c r="AJH483" s="243"/>
      <c r="AJI483" s="243"/>
      <c r="AJJ483" s="243"/>
      <c r="AJK483" s="243"/>
      <c r="AJL483" s="243"/>
      <c r="AJM483" s="243"/>
      <c r="AJN483" s="243"/>
      <c r="AJO483" s="243"/>
      <c r="AJP483" s="243"/>
      <c r="AJQ483" s="243"/>
      <c r="AJR483" s="243"/>
      <c r="AJS483" s="243"/>
      <c r="AJT483" s="243"/>
      <c r="AJU483" s="243"/>
      <c r="AJV483" s="243"/>
      <c r="AJW483" s="243"/>
      <c r="AJX483" s="243"/>
      <c r="AJY483" s="243"/>
      <c r="AJZ483" s="243"/>
      <c r="AKA483" s="243"/>
      <c r="AKB483" s="243"/>
      <c r="AKC483" s="243"/>
      <c r="AKD483" s="243"/>
      <c r="AKE483" s="243"/>
      <c r="AKF483" s="243"/>
      <c r="AKG483" s="243"/>
      <c r="AKH483" s="243"/>
      <c r="AKI483" s="243"/>
      <c r="AKJ483" s="243"/>
      <c r="AKK483" s="243"/>
      <c r="AKL483" s="243"/>
      <c r="AKM483" s="243"/>
      <c r="AKN483" s="243"/>
      <c r="AKO483" s="243"/>
      <c r="AKP483" s="243"/>
      <c r="AKQ483" s="243"/>
      <c r="AKR483" s="243"/>
      <c r="AKS483" s="243"/>
      <c r="AKT483" s="243"/>
      <c r="AKU483" s="243"/>
      <c r="AKV483" s="243"/>
      <c r="AKW483" s="243"/>
      <c r="AKX483" s="243"/>
      <c r="AKY483" s="243"/>
      <c r="AKZ483" s="243"/>
      <c r="ALA483" s="243"/>
      <c r="ALB483" s="243"/>
      <c r="ALC483" s="243"/>
      <c r="ALD483" s="243"/>
      <c r="ALE483" s="243"/>
      <c r="ALF483" s="243"/>
      <c r="ALG483" s="243"/>
      <c r="ALH483" s="243"/>
      <c r="ALI483" s="243"/>
      <c r="ALJ483" s="243"/>
      <c r="ALK483" s="243"/>
      <c r="ALL483" s="243"/>
      <c r="ALM483" s="243"/>
      <c r="ALN483" s="243"/>
      <c r="ALO483" s="243"/>
      <c r="ALP483" s="243"/>
      <c r="ALQ483" s="243"/>
      <c r="ALR483" s="243"/>
      <c r="ALS483" s="243"/>
      <c r="ALT483" s="243"/>
      <c r="ALU483" s="243"/>
      <c r="ALV483" s="243"/>
      <c r="ALW483" s="243"/>
      <c r="ALX483" s="243"/>
      <c r="ALY483" s="243"/>
      <c r="ALZ483" s="243"/>
      <c r="AMA483" s="243"/>
      <c r="AMB483" s="243"/>
      <c r="AMC483" s="243"/>
      <c r="AMD483" s="243"/>
      <c r="AME483" s="243"/>
      <c r="AMF483" s="243"/>
      <c r="AMG483" s="243"/>
      <c r="AMH483" s="243"/>
      <c r="AMI483" s="244"/>
      <c r="AMJ483" s="244"/>
    </row>
    <row r="484" spans="1:1024">
      <c r="A484" s="901"/>
      <c r="B484" s="551">
        <v>14911</v>
      </c>
      <c r="C484" s="690">
        <v>0.1</v>
      </c>
      <c r="D484" s="542" t="s">
        <v>316</v>
      </c>
      <c r="E484" s="620">
        <v>2000000</v>
      </c>
      <c r="F484" s="601">
        <v>0.06</v>
      </c>
      <c r="G484" s="364">
        <f t="shared" si="21"/>
        <v>120000</v>
      </c>
      <c r="H484" s="599" t="s">
        <v>51</v>
      </c>
      <c r="I484" s="604"/>
      <c r="J484" s="604"/>
      <c r="K484" s="761">
        <v>14895</v>
      </c>
      <c r="L484" s="762">
        <v>0.1</v>
      </c>
      <c r="M484" s="670" t="s">
        <v>317</v>
      </c>
      <c r="N484" s="763">
        <v>900000</v>
      </c>
      <c r="O484" s="764">
        <v>0.05</v>
      </c>
      <c r="P484" s="611">
        <f>N484*O484</f>
        <v>45000</v>
      </c>
      <c r="Q484" s="716"/>
      <c r="R484" s="243"/>
      <c r="S484" s="243"/>
      <c r="T484" s="243"/>
      <c r="U484" s="243"/>
      <c r="V484" s="243"/>
      <c r="W484" s="243"/>
      <c r="X484" s="243"/>
      <c r="Y484" s="243"/>
      <c r="Z484" s="243"/>
      <c r="AA484" s="243"/>
      <c r="AB484" s="243"/>
      <c r="AC484" s="243"/>
      <c r="AD484" s="243"/>
      <c r="AE484" s="243"/>
      <c r="AF484" s="243"/>
      <c r="AG484" s="243"/>
      <c r="AH484" s="243"/>
      <c r="AI484" s="243"/>
      <c r="AJ484" s="243"/>
      <c r="AK484" s="243"/>
      <c r="AL484" s="243"/>
      <c r="AM484" s="243"/>
      <c r="AN484" s="243"/>
      <c r="AO484" s="243"/>
      <c r="AP484" s="243"/>
      <c r="AQ484" s="243"/>
      <c r="AR484" s="243"/>
      <c r="AS484" s="243"/>
      <c r="AT484" s="243"/>
      <c r="AU484" s="243"/>
      <c r="AV484" s="243"/>
      <c r="AW484" s="243"/>
      <c r="AX484" s="243"/>
      <c r="AY484" s="243"/>
      <c r="AZ484" s="243"/>
      <c r="BA484" s="243"/>
      <c r="BB484" s="243"/>
      <c r="BC484" s="243"/>
      <c r="BD484" s="243"/>
      <c r="BE484" s="243"/>
      <c r="BF484" s="243"/>
      <c r="BG484" s="243"/>
      <c r="BH484" s="243"/>
      <c r="BI484" s="243"/>
      <c r="BJ484" s="243"/>
      <c r="BK484" s="243"/>
      <c r="BL484" s="243"/>
      <c r="BM484" s="243"/>
      <c r="BN484" s="243"/>
      <c r="BO484" s="243"/>
      <c r="BP484" s="243"/>
      <c r="BQ484" s="243"/>
      <c r="BR484" s="243"/>
      <c r="BS484" s="243"/>
      <c r="BT484" s="243"/>
      <c r="BU484" s="243"/>
      <c r="BV484" s="243"/>
      <c r="BW484" s="243"/>
      <c r="BX484" s="243"/>
      <c r="BY484" s="243"/>
      <c r="BZ484" s="243"/>
      <c r="CA484" s="243"/>
      <c r="CB484" s="243"/>
      <c r="CC484" s="243"/>
      <c r="CD484" s="243"/>
      <c r="CE484" s="243"/>
      <c r="CF484" s="243"/>
      <c r="CG484" s="243"/>
      <c r="CH484" s="243"/>
      <c r="CI484" s="243"/>
      <c r="CJ484" s="243"/>
      <c r="CK484" s="243"/>
      <c r="CL484" s="243"/>
      <c r="CM484" s="243"/>
      <c r="CN484" s="243"/>
      <c r="CO484" s="243"/>
      <c r="CP484" s="243"/>
      <c r="CQ484" s="243"/>
      <c r="CR484" s="243"/>
      <c r="CS484" s="243"/>
      <c r="CT484" s="243"/>
      <c r="CU484" s="243"/>
      <c r="CV484" s="243"/>
      <c r="CW484" s="243"/>
      <c r="CX484" s="243"/>
      <c r="CY484" s="243"/>
      <c r="CZ484" s="243"/>
      <c r="DA484" s="243"/>
      <c r="DB484" s="243"/>
      <c r="DC484" s="243"/>
      <c r="DD484" s="243"/>
      <c r="DE484" s="243"/>
      <c r="DF484" s="243"/>
      <c r="DG484" s="243"/>
      <c r="DH484" s="243"/>
      <c r="DI484" s="243"/>
      <c r="DJ484" s="243"/>
      <c r="DK484" s="243"/>
      <c r="DL484" s="243"/>
      <c r="DM484" s="243"/>
      <c r="DN484" s="243"/>
      <c r="DO484" s="243"/>
      <c r="DP484" s="243"/>
      <c r="DQ484" s="243"/>
      <c r="DR484" s="243"/>
      <c r="DS484" s="243"/>
      <c r="DT484" s="243"/>
      <c r="DU484" s="243"/>
      <c r="DV484" s="243"/>
      <c r="DW484" s="243"/>
      <c r="DX484" s="243"/>
      <c r="DY484" s="243"/>
      <c r="DZ484" s="243"/>
      <c r="EA484" s="243"/>
      <c r="EB484" s="243"/>
      <c r="EC484" s="243"/>
      <c r="ED484" s="243"/>
      <c r="EE484" s="243"/>
      <c r="EF484" s="243"/>
      <c r="EG484" s="243"/>
      <c r="EH484" s="243"/>
      <c r="EI484" s="243"/>
      <c r="EJ484" s="243"/>
      <c r="EK484" s="243"/>
      <c r="EL484" s="243"/>
      <c r="EM484" s="243"/>
      <c r="EN484" s="243"/>
      <c r="EO484" s="243"/>
      <c r="EP484" s="243"/>
      <c r="EQ484" s="243"/>
      <c r="ER484" s="243"/>
      <c r="ES484" s="243"/>
      <c r="ET484" s="243"/>
      <c r="EU484" s="243"/>
      <c r="EV484" s="243"/>
      <c r="EW484" s="243"/>
      <c r="EX484" s="243"/>
      <c r="EY484" s="243"/>
      <c r="EZ484" s="243"/>
      <c r="FA484" s="243"/>
      <c r="FB484" s="243"/>
      <c r="FC484" s="243"/>
      <c r="FD484" s="243"/>
      <c r="FE484" s="243"/>
      <c r="FF484" s="243"/>
      <c r="FG484" s="243"/>
      <c r="FH484" s="243"/>
      <c r="FI484" s="243"/>
      <c r="FJ484" s="243"/>
      <c r="FK484" s="243"/>
      <c r="FL484" s="243"/>
      <c r="FM484" s="243"/>
      <c r="FN484" s="243"/>
      <c r="FO484" s="243"/>
      <c r="FP484" s="243"/>
      <c r="FQ484" s="243"/>
      <c r="FR484" s="243"/>
      <c r="FS484" s="243"/>
      <c r="FT484" s="243"/>
      <c r="FU484" s="243"/>
      <c r="FV484" s="243"/>
      <c r="FW484" s="243"/>
      <c r="FX484" s="243"/>
      <c r="FY484" s="243"/>
      <c r="FZ484" s="243"/>
      <c r="GA484" s="243"/>
      <c r="GB484" s="243"/>
      <c r="GC484" s="243"/>
      <c r="GD484" s="243"/>
      <c r="GE484" s="243"/>
      <c r="GF484" s="243"/>
      <c r="GG484" s="243"/>
      <c r="GH484" s="243"/>
      <c r="GI484" s="243"/>
      <c r="GJ484" s="243"/>
      <c r="GK484" s="243"/>
      <c r="GL484" s="243"/>
      <c r="GM484" s="243"/>
      <c r="GN484" s="243"/>
      <c r="GO484" s="243"/>
      <c r="GP484" s="243"/>
      <c r="GQ484" s="243"/>
      <c r="GR484" s="243"/>
      <c r="GS484" s="243"/>
      <c r="GT484" s="243"/>
      <c r="GU484" s="243"/>
      <c r="GV484" s="243"/>
      <c r="GW484" s="243"/>
      <c r="GX484" s="243"/>
      <c r="GY484" s="243"/>
      <c r="GZ484" s="243"/>
      <c r="HA484" s="243"/>
      <c r="HB484" s="243"/>
      <c r="HC484" s="243"/>
      <c r="HD484" s="243"/>
      <c r="HE484" s="243"/>
      <c r="HF484" s="243"/>
      <c r="HG484" s="243"/>
      <c r="HH484" s="243"/>
      <c r="HI484" s="243"/>
      <c r="HJ484" s="243"/>
      <c r="HK484" s="243"/>
      <c r="HL484" s="243"/>
      <c r="HM484" s="243"/>
      <c r="HN484" s="243"/>
      <c r="HO484" s="243"/>
      <c r="HP484" s="243"/>
      <c r="HQ484" s="243"/>
      <c r="HR484" s="243"/>
      <c r="HS484" s="243"/>
      <c r="HT484" s="243"/>
      <c r="HU484" s="243"/>
      <c r="HV484" s="243"/>
      <c r="HW484" s="243"/>
      <c r="HX484" s="243"/>
      <c r="HY484" s="243"/>
      <c r="HZ484" s="243"/>
      <c r="IA484" s="243"/>
      <c r="IB484" s="243"/>
      <c r="IC484" s="243"/>
      <c r="ID484" s="243"/>
      <c r="IE484" s="243"/>
      <c r="IF484" s="243"/>
      <c r="IG484" s="243"/>
      <c r="IH484" s="243"/>
      <c r="II484" s="243"/>
      <c r="IJ484" s="243"/>
      <c r="IK484" s="243"/>
      <c r="IL484" s="243"/>
      <c r="IM484" s="243"/>
      <c r="IN484" s="243"/>
      <c r="IO484" s="243"/>
      <c r="IP484" s="243"/>
      <c r="IQ484" s="243"/>
      <c r="IR484" s="243"/>
      <c r="IS484" s="243"/>
      <c r="IT484" s="243"/>
      <c r="IU484" s="243"/>
      <c r="IV484" s="243"/>
      <c r="IW484" s="243"/>
      <c r="IX484" s="243"/>
      <c r="IY484" s="243"/>
      <c r="IZ484" s="243"/>
      <c r="JA484" s="243"/>
      <c r="JB484" s="243"/>
      <c r="JC484" s="243"/>
      <c r="JD484" s="243"/>
      <c r="JE484" s="243"/>
      <c r="JF484" s="243"/>
      <c r="JG484" s="243"/>
      <c r="JH484" s="243"/>
      <c r="JI484" s="243"/>
      <c r="JJ484" s="243"/>
      <c r="JK484" s="243"/>
      <c r="JL484" s="243"/>
      <c r="JM484" s="243"/>
      <c r="JN484" s="243"/>
      <c r="JO484" s="243"/>
      <c r="JP484" s="243"/>
      <c r="JQ484" s="243"/>
      <c r="JR484" s="243"/>
      <c r="JS484" s="243"/>
      <c r="JT484" s="243"/>
      <c r="JU484" s="243"/>
      <c r="JV484" s="243"/>
      <c r="JW484" s="243"/>
      <c r="JX484" s="243"/>
      <c r="JY484" s="243"/>
      <c r="JZ484" s="243"/>
      <c r="KA484" s="243"/>
      <c r="KB484" s="243"/>
      <c r="KC484" s="243"/>
      <c r="KD484" s="243"/>
      <c r="KE484" s="243"/>
      <c r="KF484" s="243"/>
      <c r="KG484" s="243"/>
      <c r="KH484" s="243"/>
      <c r="KI484" s="243"/>
      <c r="KJ484" s="243"/>
      <c r="KK484" s="243"/>
      <c r="KL484" s="243"/>
      <c r="KM484" s="243"/>
      <c r="KN484" s="243"/>
      <c r="KO484" s="243"/>
      <c r="KP484" s="243"/>
      <c r="KQ484" s="243"/>
      <c r="KR484" s="243"/>
      <c r="KS484" s="243"/>
      <c r="KT484" s="243"/>
      <c r="KU484" s="243"/>
      <c r="KV484" s="243"/>
      <c r="KW484" s="243"/>
      <c r="KX484" s="243"/>
      <c r="KY484" s="243"/>
      <c r="KZ484" s="243"/>
      <c r="LA484" s="243"/>
      <c r="LB484" s="243"/>
      <c r="LC484" s="243"/>
      <c r="LD484" s="243"/>
      <c r="LE484" s="243"/>
      <c r="LF484" s="243"/>
      <c r="LG484" s="243"/>
      <c r="LH484" s="243"/>
      <c r="LI484" s="243"/>
      <c r="LJ484" s="243"/>
      <c r="LK484" s="243"/>
      <c r="LL484" s="243"/>
      <c r="LM484" s="243"/>
      <c r="LN484" s="243"/>
      <c r="LO484" s="243"/>
      <c r="LP484" s="243"/>
      <c r="LQ484" s="243"/>
      <c r="LR484" s="243"/>
      <c r="LS484" s="243"/>
      <c r="LT484" s="243"/>
      <c r="LU484" s="243"/>
      <c r="LV484" s="243"/>
      <c r="LW484" s="243"/>
      <c r="LX484" s="243"/>
      <c r="LY484" s="243"/>
      <c r="LZ484" s="243"/>
      <c r="MA484" s="243"/>
      <c r="MB484" s="243"/>
      <c r="MC484" s="243"/>
      <c r="MD484" s="243"/>
      <c r="ME484" s="243"/>
      <c r="MF484" s="243"/>
      <c r="MG484" s="243"/>
      <c r="MH484" s="243"/>
      <c r="MI484" s="243"/>
      <c r="MJ484" s="243"/>
      <c r="MK484" s="243"/>
      <c r="ML484" s="243"/>
      <c r="MM484" s="243"/>
      <c r="MN484" s="243"/>
      <c r="MO484" s="243"/>
      <c r="MP484" s="243"/>
      <c r="MQ484" s="243"/>
      <c r="MR484" s="243"/>
      <c r="MS484" s="243"/>
      <c r="MT484" s="243"/>
      <c r="MU484" s="243"/>
      <c r="MV484" s="243"/>
      <c r="MW484" s="243"/>
      <c r="MX484" s="243"/>
      <c r="MY484" s="243"/>
      <c r="MZ484" s="243"/>
      <c r="NA484" s="243"/>
      <c r="NB484" s="243"/>
      <c r="NC484" s="243"/>
      <c r="ND484" s="243"/>
      <c r="NE484" s="243"/>
      <c r="NF484" s="243"/>
      <c r="NG484" s="243"/>
      <c r="NH484" s="243"/>
      <c r="NI484" s="243"/>
      <c r="NJ484" s="243"/>
      <c r="NK484" s="243"/>
      <c r="NL484" s="243"/>
      <c r="NM484" s="243"/>
      <c r="NN484" s="243"/>
      <c r="NO484" s="243"/>
      <c r="NP484" s="243"/>
      <c r="NQ484" s="243"/>
      <c r="NR484" s="243"/>
      <c r="NS484" s="243"/>
      <c r="NT484" s="243"/>
      <c r="NU484" s="243"/>
      <c r="NV484" s="243"/>
      <c r="NW484" s="243"/>
      <c r="NX484" s="243"/>
      <c r="NY484" s="243"/>
      <c r="NZ484" s="243"/>
      <c r="OA484" s="243"/>
      <c r="OB484" s="243"/>
      <c r="OC484" s="243"/>
      <c r="OD484" s="243"/>
      <c r="OE484" s="243"/>
      <c r="OF484" s="243"/>
      <c r="OG484" s="243"/>
      <c r="OH484" s="243"/>
      <c r="OI484" s="243"/>
      <c r="OJ484" s="243"/>
      <c r="OK484" s="243"/>
      <c r="OL484" s="243"/>
      <c r="OM484" s="243"/>
      <c r="ON484" s="243"/>
      <c r="OO484" s="243"/>
      <c r="OP484" s="243"/>
      <c r="OQ484" s="243"/>
      <c r="OR484" s="243"/>
      <c r="OS484" s="243"/>
      <c r="OT484" s="243"/>
      <c r="OU484" s="243"/>
      <c r="OV484" s="243"/>
      <c r="OW484" s="243"/>
      <c r="OX484" s="243"/>
      <c r="OY484" s="243"/>
      <c r="OZ484" s="243"/>
      <c r="PA484" s="243"/>
      <c r="PB484" s="243"/>
      <c r="PC484" s="243"/>
      <c r="PD484" s="243"/>
      <c r="PE484" s="243"/>
      <c r="PF484" s="243"/>
      <c r="PG484" s="243"/>
      <c r="PH484" s="243"/>
      <c r="PI484" s="243"/>
      <c r="PJ484" s="243"/>
      <c r="PK484" s="243"/>
      <c r="PL484" s="243"/>
      <c r="PM484" s="243"/>
      <c r="PN484" s="243"/>
      <c r="PO484" s="243"/>
      <c r="PP484" s="243"/>
      <c r="PQ484" s="243"/>
      <c r="PR484" s="243"/>
      <c r="PS484" s="243"/>
      <c r="PT484" s="243"/>
      <c r="PU484" s="243"/>
      <c r="PV484" s="243"/>
      <c r="PW484" s="243"/>
      <c r="PX484" s="243"/>
      <c r="PY484" s="243"/>
      <c r="PZ484" s="243"/>
      <c r="QA484" s="243"/>
      <c r="QB484" s="243"/>
      <c r="QC484" s="243"/>
      <c r="QD484" s="243"/>
      <c r="QE484" s="243"/>
      <c r="QF484" s="243"/>
      <c r="QG484" s="243"/>
      <c r="QH484" s="243"/>
      <c r="QI484" s="243"/>
      <c r="QJ484" s="243"/>
      <c r="QK484" s="243"/>
      <c r="QL484" s="243"/>
      <c r="QM484" s="243"/>
      <c r="QN484" s="243"/>
      <c r="QO484" s="243"/>
      <c r="QP484" s="243"/>
      <c r="QQ484" s="243"/>
      <c r="QR484" s="243"/>
      <c r="QS484" s="243"/>
      <c r="QT484" s="243"/>
      <c r="QU484" s="243"/>
      <c r="QV484" s="243"/>
      <c r="QW484" s="243"/>
      <c r="QX484" s="243"/>
      <c r="QY484" s="243"/>
      <c r="QZ484" s="243"/>
      <c r="RA484" s="243"/>
      <c r="RB484" s="243"/>
      <c r="RC484" s="243"/>
      <c r="RD484" s="243"/>
      <c r="RE484" s="243"/>
      <c r="RF484" s="243"/>
      <c r="RG484" s="243"/>
      <c r="RH484" s="243"/>
      <c r="RI484" s="243"/>
      <c r="RJ484" s="243"/>
      <c r="RK484" s="243"/>
      <c r="RL484" s="243"/>
      <c r="RM484" s="243"/>
      <c r="RN484" s="243"/>
      <c r="RO484" s="243"/>
      <c r="RP484" s="243"/>
      <c r="RQ484" s="243"/>
      <c r="RR484" s="243"/>
      <c r="RS484" s="243"/>
      <c r="RT484" s="243"/>
      <c r="RU484" s="243"/>
      <c r="RV484" s="243"/>
      <c r="RW484" s="243"/>
      <c r="RX484" s="243"/>
      <c r="RY484" s="243"/>
      <c r="RZ484" s="243"/>
      <c r="SA484" s="243"/>
      <c r="SB484" s="243"/>
      <c r="SC484" s="243"/>
      <c r="SD484" s="243"/>
      <c r="SE484" s="243"/>
      <c r="SF484" s="243"/>
      <c r="SG484" s="243"/>
      <c r="SH484" s="243"/>
      <c r="SI484" s="243"/>
      <c r="SJ484" s="243"/>
      <c r="SK484" s="243"/>
      <c r="SL484" s="243"/>
      <c r="SM484" s="243"/>
      <c r="SN484" s="243"/>
      <c r="SO484" s="243"/>
      <c r="SP484" s="243"/>
      <c r="SQ484" s="243"/>
      <c r="SR484" s="243"/>
      <c r="SS484" s="243"/>
      <c r="ST484" s="243"/>
      <c r="SU484" s="243"/>
      <c r="SV484" s="243"/>
      <c r="SW484" s="243"/>
      <c r="SX484" s="243"/>
      <c r="SY484" s="243"/>
      <c r="SZ484" s="243"/>
      <c r="TA484" s="243"/>
      <c r="TB484" s="243"/>
      <c r="TC484" s="243"/>
      <c r="TD484" s="243"/>
      <c r="TE484" s="243"/>
      <c r="TF484" s="243"/>
      <c r="TG484" s="243"/>
      <c r="TH484" s="243"/>
      <c r="TI484" s="243"/>
      <c r="TJ484" s="243"/>
      <c r="TK484" s="243"/>
      <c r="TL484" s="243"/>
      <c r="TM484" s="243"/>
      <c r="TN484" s="243"/>
      <c r="TO484" s="243"/>
      <c r="TP484" s="243"/>
      <c r="TQ484" s="243"/>
      <c r="TR484" s="243"/>
      <c r="TS484" s="243"/>
      <c r="TT484" s="243"/>
      <c r="TU484" s="243"/>
      <c r="TV484" s="243"/>
      <c r="TW484" s="243"/>
      <c r="TX484" s="243"/>
      <c r="TY484" s="243"/>
      <c r="TZ484" s="243"/>
      <c r="UA484" s="243"/>
      <c r="UB484" s="243"/>
      <c r="UC484" s="243"/>
      <c r="UD484" s="243"/>
      <c r="UE484" s="243"/>
      <c r="UF484" s="243"/>
      <c r="UG484" s="243"/>
      <c r="UH484" s="243"/>
      <c r="UI484" s="243"/>
      <c r="UJ484" s="243"/>
      <c r="UK484" s="243"/>
      <c r="UL484" s="243"/>
      <c r="UM484" s="243"/>
      <c r="UN484" s="243"/>
      <c r="UO484" s="243"/>
      <c r="UP484" s="243"/>
      <c r="UQ484" s="243"/>
      <c r="UR484" s="243"/>
      <c r="US484" s="243"/>
      <c r="UT484" s="243"/>
      <c r="UU484" s="243"/>
      <c r="UV484" s="243"/>
      <c r="UW484" s="243"/>
      <c r="UX484" s="243"/>
      <c r="UY484" s="243"/>
      <c r="UZ484" s="243"/>
      <c r="VA484" s="243"/>
      <c r="VB484" s="243"/>
      <c r="VC484" s="243"/>
      <c r="VD484" s="243"/>
      <c r="VE484" s="243"/>
      <c r="VF484" s="243"/>
      <c r="VG484" s="243"/>
      <c r="VH484" s="243"/>
      <c r="VI484" s="243"/>
      <c r="VJ484" s="243"/>
      <c r="VK484" s="243"/>
      <c r="VL484" s="243"/>
      <c r="VM484" s="243"/>
      <c r="VN484" s="243"/>
      <c r="VO484" s="243"/>
      <c r="VP484" s="243"/>
      <c r="VQ484" s="243"/>
      <c r="VR484" s="243"/>
      <c r="VS484" s="243"/>
      <c r="VT484" s="243"/>
      <c r="VU484" s="243"/>
      <c r="VV484" s="243"/>
      <c r="VW484" s="243"/>
      <c r="VX484" s="243"/>
      <c r="VY484" s="243"/>
      <c r="VZ484" s="243"/>
      <c r="WA484" s="243"/>
      <c r="WB484" s="243"/>
      <c r="WC484" s="243"/>
      <c r="WD484" s="243"/>
      <c r="WE484" s="243"/>
      <c r="WF484" s="243"/>
      <c r="WG484" s="243"/>
      <c r="WH484" s="243"/>
      <c r="WI484" s="243"/>
      <c r="WJ484" s="243"/>
      <c r="WK484" s="243"/>
      <c r="WL484" s="243"/>
      <c r="WM484" s="243"/>
      <c r="WN484" s="243"/>
      <c r="WO484" s="243"/>
      <c r="WP484" s="243"/>
      <c r="WQ484" s="243"/>
      <c r="WR484" s="243"/>
      <c r="WS484" s="243"/>
      <c r="WT484" s="243"/>
      <c r="WU484" s="243"/>
      <c r="WV484" s="243"/>
      <c r="WW484" s="243"/>
      <c r="WX484" s="243"/>
      <c r="WY484" s="243"/>
      <c r="WZ484" s="243"/>
      <c r="XA484" s="243"/>
      <c r="XB484" s="243"/>
      <c r="XC484" s="243"/>
      <c r="XD484" s="243"/>
      <c r="XE484" s="243"/>
      <c r="XF484" s="243"/>
      <c r="XG484" s="243"/>
      <c r="XH484" s="243"/>
      <c r="XI484" s="243"/>
      <c r="XJ484" s="243"/>
      <c r="XK484" s="243"/>
      <c r="XL484" s="243"/>
      <c r="XM484" s="243"/>
      <c r="XN484" s="243"/>
      <c r="XO484" s="243"/>
      <c r="XP484" s="243"/>
      <c r="XQ484" s="243"/>
      <c r="XR484" s="243"/>
      <c r="XS484" s="243"/>
      <c r="XT484" s="243"/>
      <c r="XU484" s="243"/>
      <c r="XV484" s="243"/>
      <c r="XW484" s="243"/>
      <c r="XX484" s="243"/>
      <c r="XY484" s="243"/>
      <c r="XZ484" s="243"/>
      <c r="YA484" s="243"/>
      <c r="YB484" s="243"/>
      <c r="YC484" s="243"/>
      <c r="YD484" s="243"/>
      <c r="YE484" s="243"/>
      <c r="YF484" s="243"/>
      <c r="YG484" s="243"/>
      <c r="YH484" s="243"/>
      <c r="YI484" s="243"/>
      <c r="YJ484" s="243"/>
      <c r="YK484" s="243"/>
      <c r="YL484" s="243"/>
      <c r="YM484" s="243"/>
      <c r="YN484" s="243"/>
      <c r="YO484" s="243"/>
      <c r="YP484" s="243"/>
      <c r="YQ484" s="243"/>
      <c r="YR484" s="243"/>
      <c r="YS484" s="243"/>
      <c r="YT484" s="243"/>
      <c r="YU484" s="243"/>
      <c r="YV484" s="243"/>
      <c r="YW484" s="243"/>
      <c r="YX484" s="243"/>
      <c r="YY484" s="243"/>
      <c r="YZ484" s="243"/>
      <c r="ZA484" s="243"/>
      <c r="ZB484" s="243"/>
      <c r="ZC484" s="243"/>
      <c r="ZD484" s="243"/>
      <c r="ZE484" s="243"/>
      <c r="ZF484" s="243"/>
      <c r="ZG484" s="243"/>
      <c r="ZH484" s="243"/>
      <c r="ZI484" s="243"/>
      <c r="ZJ484" s="243"/>
      <c r="ZK484" s="243"/>
      <c r="ZL484" s="243"/>
      <c r="ZM484" s="243"/>
      <c r="ZN484" s="243"/>
      <c r="ZO484" s="243"/>
      <c r="ZP484" s="243"/>
      <c r="ZQ484" s="243"/>
      <c r="ZR484" s="243"/>
      <c r="ZS484" s="243"/>
      <c r="ZT484" s="243"/>
      <c r="ZU484" s="243"/>
      <c r="ZV484" s="243"/>
      <c r="ZW484" s="243"/>
      <c r="ZX484" s="243"/>
      <c r="ZY484" s="243"/>
      <c r="ZZ484" s="243"/>
      <c r="AAA484" s="243"/>
      <c r="AAB484" s="243"/>
      <c r="AAC484" s="243"/>
      <c r="AAD484" s="243"/>
      <c r="AAE484" s="243"/>
      <c r="AAF484" s="243"/>
      <c r="AAG484" s="243"/>
      <c r="AAH484" s="243"/>
      <c r="AAI484" s="243"/>
      <c r="AAJ484" s="243"/>
      <c r="AAK484" s="243"/>
      <c r="AAL484" s="243"/>
      <c r="AAM484" s="243"/>
      <c r="AAN484" s="243"/>
      <c r="AAO484" s="243"/>
      <c r="AAP484" s="243"/>
      <c r="AAQ484" s="243"/>
      <c r="AAR484" s="243"/>
      <c r="AAS484" s="243"/>
      <c r="AAT484" s="243"/>
      <c r="AAU484" s="243"/>
      <c r="AAV484" s="243"/>
      <c r="AAW484" s="243"/>
      <c r="AAX484" s="243"/>
      <c r="AAY484" s="243"/>
      <c r="AAZ484" s="243"/>
      <c r="ABA484" s="243"/>
      <c r="ABB484" s="243"/>
      <c r="ABC484" s="243"/>
      <c r="ABD484" s="243"/>
      <c r="ABE484" s="243"/>
      <c r="ABF484" s="243"/>
      <c r="ABG484" s="243"/>
      <c r="ABH484" s="243"/>
      <c r="ABI484" s="243"/>
      <c r="ABJ484" s="243"/>
      <c r="ABK484" s="243"/>
      <c r="ABL484" s="243"/>
      <c r="ABM484" s="243"/>
      <c r="ABN484" s="243"/>
      <c r="ABO484" s="243"/>
      <c r="ABP484" s="243"/>
      <c r="ABQ484" s="243"/>
      <c r="ABR484" s="243"/>
      <c r="ABS484" s="243"/>
      <c r="ABT484" s="243"/>
      <c r="ABU484" s="243"/>
      <c r="ABV484" s="243"/>
      <c r="ABW484" s="243"/>
      <c r="ABX484" s="243"/>
      <c r="ABY484" s="243"/>
      <c r="ABZ484" s="243"/>
      <c r="ACA484" s="243"/>
      <c r="ACB484" s="243"/>
      <c r="ACC484" s="243"/>
      <c r="ACD484" s="243"/>
      <c r="ACE484" s="243"/>
      <c r="ACF484" s="243"/>
      <c r="ACG484" s="243"/>
      <c r="ACH484" s="243"/>
      <c r="ACI484" s="243"/>
      <c r="ACJ484" s="243"/>
      <c r="ACK484" s="243"/>
      <c r="ACL484" s="243"/>
      <c r="ACM484" s="243"/>
      <c r="ACN484" s="243"/>
      <c r="ACO484" s="243"/>
      <c r="ACP484" s="243"/>
      <c r="ACQ484" s="243"/>
      <c r="ACR484" s="243"/>
      <c r="ACS484" s="243"/>
      <c r="ACT484" s="243"/>
      <c r="ACU484" s="243"/>
      <c r="ACV484" s="243"/>
      <c r="ACW484" s="243"/>
      <c r="ACX484" s="243"/>
      <c r="ACY484" s="243"/>
      <c r="ACZ484" s="243"/>
      <c r="ADA484" s="243"/>
      <c r="ADB484" s="243"/>
      <c r="ADC484" s="243"/>
      <c r="ADD484" s="243"/>
      <c r="ADE484" s="243"/>
      <c r="ADF484" s="243"/>
      <c r="ADG484" s="243"/>
      <c r="ADH484" s="243"/>
      <c r="ADI484" s="243"/>
      <c r="ADJ484" s="243"/>
      <c r="ADK484" s="243"/>
      <c r="ADL484" s="243"/>
      <c r="ADM484" s="243"/>
      <c r="ADN484" s="243"/>
      <c r="ADO484" s="243"/>
      <c r="ADP484" s="243"/>
      <c r="ADQ484" s="243"/>
      <c r="ADR484" s="243"/>
      <c r="ADS484" s="243"/>
      <c r="ADT484" s="243"/>
      <c r="ADU484" s="243"/>
      <c r="ADV484" s="243"/>
      <c r="ADW484" s="243"/>
      <c r="ADX484" s="243"/>
      <c r="ADY484" s="243"/>
      <c r="ADZ484" s="243"/>
      <c r="AEA484" s="243"/>
      <c r="AEB484" s="243"/>
      <c r="AEC484" s="243"/>
      <c r="AED484" s="243"/>
      <c r="AEE484" s="243"/>
      <c r="AEF484" s="243"/>
      <c r="AEG484" s="243"/>
      <c r="AEH484" s="243"/>
      <c r="AEI484" s="243"/>
      <c r="AEJ484" s="243"/>
      <c r="AEK484" s="243"/>
      <c r="AEL484" s="243"/>
      <c r="AEM484" s="243"/>
      <c r="AEN484" s="243"/>
      <c r="AEO484" s="243"/>
      <c r="AEP484" s="243"/>
      <c r="AEQ484" s="243"/>
      <c r="AER484" s="243"/>
      <c r="AES484" s="243"/>
      <c r="AET484" s="243"/>
      <c r="AEU484" s="243"/>
      <c r="AEV484" s="243"/>
      <c r="AEW484" s="243"/>
      <c r="AEX484" s="243"/>
      <c r="AEY484" s="243"/>
      <c r="AEZ484" s="243"/>
      <c r="AFA484" s="243"/>
      <c r="AFB484" s="243"/>
      <c r="AFC484" s="243"/>
      <c r="AFD484" s="243"/>
      <c r="AFE484" s="243"/>
      <c r="AFF484" s="243"/>
      <c r="AFG484" s="243"/>
      <c r="AFH484" s="243"/>
      <c r="AFI484" s="243"/>
      <c r="AFJ484" s="243"/>
      <c r="AFK484" s="243"/>
      <c r="AFL484" s="243"/>
      <c r="AFM484" s="243"/>
      <c r="AFN484" s="243"/>
      <c r="AFO484" s="243"/>
      <c r="AFP484" s="243"/>
      <c r="AFQ484" s="243"/>
      <c r="AFR484" s="243"/>
      <c r="AFS484" s="243"/>
      <c r="AFT484" s="243"/>
      <c r="AFU484" s="243"/>
      <c r="AFV484" s="243"/>
      <c r="AFW484" s="243"/>
      <c r="AFX484" s="243"/>
      <c r="AFY484" s="243"/>
      <c r="AFZ484" s="243"/>
      <c r="AGA484" s="243"/>
      <c r="AGB484" s="243"/>
      <c r="AGC484" s="243"/>
      <c r="AGD484" s="243"/>
      <c r="AGE484" s="243"/>
      <c r="AGF484" s="243"/>
      <c r="AGG484" s="243"/>
      <c r="AGH484" s="243"/>
      <c r="AGI484" s="243"/>
      <c r="AGJ484" s="243"/>
      <c r="AGK484" s="243"/>
      <c r="AGL484" s="243"/>
      <c r="AGM484" s="243"/>
      <c r="AGN484" s="243"/>
      <c r="AGO484" s="243"/>
      <c r="AGP484" s="243"/>
      <c r="AGQ484" s="243"/>
      <c r="AGR484" s="243"/>
      <c r="AGS484" s="243"/>
      <c r="AGT484" s="243"/>
      <c r="AGU484" s="243"/>
      <c r="AGV484" s="243"/>
      <c r="AGW484" s="243"/>
      <c r="AGX484" s="243"/>
      <c r="AGY484" s="243"/>
      <c r="AGZ484" s="243"/>
      <c r="AHA484" s="243"/>
      <c r="AHB484" s="243"/>
      <c r="AHC484" s="243"/>
      <c r="AHD484" s="243"/>
      <c r="AHE484" s="243"/>
      <c r="AHF484" s="243"/>
      <c r="AHG484" s="243"/>
      <c r="AHH484" s="243"/>
      <c r="AHI484" s="243"/>
      <c r="AHJ484" s="243"/>
      <c r="AHK484" s="243"/>
      <c r="AHL484" s="243"/>
      <c r="AHM484" s="243"/>
      <c r="AHN484" s="243"/>
      <c r="AHO484" s="243"/>
      <c r="AHP484" s="243"/>
      <c r="AHQ484" s="243"/>
      <c r="AHR484" s="243"/>
      <c r="AHS484" s="243"/>
      <c r="AHT484" s="243"/>
      <c r="AHU484" s="243"/>
      <c r="AHV484" s="243"/>
      <c r="AHW484" s="243"/>
      <c r="AHX484" s="243"/>
      <c r="AHY484" s="243"/>
      <c r="AHZ484" s="243"/>
      <c r="AIA484" s="243"/>
      <c r="AIB484" s="243"/>
      <c r="AIC484" s="243"/>
      <c r="AID484" s="243"/>
      <c r="AIE484" s="243"/>
      <c r="AIF484" s="243"/>
      <c r="AIG484" s="243"/>
      <c r="AIH484" s="243"/>
      <c r="AII484" s="243"/>
      <c r="AIJ484" s="243"/>
      <c r="AIK484" s="243"/>
      <c r="AIL484" s="243"/>
      <c r="AIM484" s="243"/>
      <c r="AIN484" s="243"/>
      <c r="AIO484" s="243"/>
      <c r="AIP484" s="243"/>
      <c r="AIQ484" s="243"/>
      <c r="AIR484" s="243"/>
      <c r="AIS484" s="243"/>
      <c r="AIT484" s="243"/>
      <c r="AIU484" s="243"/>
      <c r="AIV484" s="243"/>
      <c r="AIW484" s="243"/>
      <c r="AIX484" s="243"/>
      <c r="AIY484" s="243"/>
      <c r="AIZ484" s="243"/>
      <c r="AJA484" s="243"/>
      <c r="AJB484" s="243"/>
      <c r="AJC484" s="243"/>
      <c r="AJD484" s="243"/>
      <c r="AJE484" s="243"/>
      <c r="AJF484" s="243"/>
      <c r="AJG484" s="243"/>
      <c r="AJH484" s="243"/>
      <c r="AJI484" s="243"/>
      <c r="AJJ484" s="243"/>
      <c r="AJK484" s="243"/>
      <c r="AJL484" s="243"/>
      <c r="AJM484" s="243"/>
      <c r="AJN484" s="243"/>
      <c r="AJO484" s="243"/>
      <c r="AJP484" s="243"/>
      <c r="AJQ484" s="243"/>
      <c r="AJR484" s="243"/>
      <c r="AJS484" s="243"/>
      <c r="AJT484" s="243"/>
      <c r="AJU484" s="243"/>
      <c r="AJV484" s="243"/>
      <c r="AJW484" s="243"/>
      <c r="AJX484" s="243"/>
      <c r="AJY484" s="243"/>
      <c r="AJZ484" s="243"/>
      <c r="AKA484" s="243"/>
      <c r="AKB484" s="243"/>
      <c r="AKC484" s="243"/>
      <c r="AKD484" s="243"/>
      <c r="AKE484" s="243"/>
      <c r="AKF484" s="243"/>
      <c r="AKG484" s="243"/>
      <c r="AKH484" s="243"/>
      <c r="AKI484" s="243"/>
      <c r="AKJ484" s="243"/>
      <c r="AKK484" s="243"/>
      <c r="AKL484" s="243"/>
      <c r="AKM484" s="243"/>
      <c r="AKN484" s="243"/>
      <c r="AKO484" s="243"/>
      <c r="AKP484" s="243"/>
      <c r="AKQ484" s="243"/>
      <c r="AKR484" s="243"/>
      <c r="AKS484" s="243"/>
      <c r="AKT484" s="243"/>
      <c r="AKU484" s="243"/>
      <c r="AKV484" s="243"/>
      <c r="AKW484" s="243"/>
      <c r="AKX484" s="243"/>
      <c r="AKY484" s="243"/>
      <c r="AKZ484" s="243"/>
      <c r="ALA484" s="243"/>
      <c r="ALB484" s="243"/>
      <c r="ALC484" s="243"/>
      <c r="ALD484" s="243"/>
      <c r="ALE484" s="243"/>
      <c r="ALF484" s="243"/>
      <c r="ALG484" s="243"/>
      <c r="ALH484" s="243"/>
      <c r="ALI484" s="243"/>
      <c r="ALJ484" s="243"/>
      <c r="ALK484" s="243"/>
      <c r="ALL484" s="243"/>
      <c r="ALM484" s="243"/>
      <c r="ALN484" s="243"/>
      <c r="ALO484" s="243"/>
      <c r="ALP484" s="243"/>
      <c r="ALQ484" s="243"/>
      <c r="ALR484" s="243"/>
      <c r="ALS484" s="243"/>
      <c r="ALT484" s="243"/>
      <c r="ALU484" s="243"/>
      <c r="ALV484" s="243"/>
      <c r="ALW484" s="243"/>
      <c r="ALX484" s="243"/>
      <c r="ALY484" s="243"/>
      <c r="ALZ484" s="243"/>
      <c r="AMA484" s="243"/>
      <c r="AMB484" s="243"/>
      <c r="AMC484" s="243"/>
      <c r="AMD484" s="243"/>
      <c r="AME484" s="243"/>
      <c r="AMF484" s="243"/>
      <c r="AMG484" s="243"/>
      <c r="AMH484" s="243"/>
      <c r="AMI484" s="244"/>
      <c r="AMJ484" s="244"/>
    </row>
    <row r="485" spans="1:1024">
      <c r="A485" s="901"/>
      <c r="B485" s="551">
        <v>15005</v>
      </c>
      <c r="C485" s="690">
        <v>0.1</v>
      </c>
      <c r="D485" s="542" t="s">
        <v>318</v>
      </c>
      <c r="E485" s="620">
        <v>1600000</v>
      </c>
      <c r="F485" s="601">
        <v>0.06</v>
      </c>
      <c r="G485" s="364">
        <f t="shared" si="21"/>
        <v>96000</v>
      </c>
      <c r="H485" s="599" t="s">
        <v>87</v>
      </c>
      <c r="I485" s="604"/>
      <c r="J485" s="604"/>
      <c r="K485" s="712"/>
      <c r="L485" s="712"/>
      <c r="M485" s="713"/>
      <c r="N485" s="733"/>
      <c r="O485" s="714"/>
      <c r="P485" s="734"/>
      <c r="Q485" s="716"/>
      <c r="R485" s="243"/>
      <c r="S485" s="243"/>
      <c r="T485" s="243"/>
      <c r="U485" s="243"/>
      <c r="V485" s="243"/>
      <c r="W485" s="243"/>
      <c r="X485" s="243"/>
      <c r="Y485" s="243"/>
      <c r="Z485" s="243"/>
      <c r="AA485" s="243"/>
      <c r="AB485" s="243"/>
      <c r="AC485" s="243"/>
      <c r="AD485" s="243"/>
      <c r="AE485" s="243"/>
      <c r="AF485" s="243"/>
      <c r="AG485" s="243"/>
      <c r="AH485" s="243"/>
      <c r="AI485" s="243"/>
      <c r="AJ485" s="243"/>
      <c r="AK485" s="243"/>
      <c r="AL485" s="243"/>
      <c r="AM485" s="243"/>
      <c r="AN485" s="243"/>
      <c r="AO485" s="243"/>
      <c r="AP485" s="243"/>
      <c r="AQ485" s="243"/>
      <c r="AR485" s="243"/>
      <c r="AS485" s="243"/>
      <c r="AT485" s="243"/>
      <c r="AU485" s="243"/>
      <c r="AV485" s="243"/>
      <c r="AW485" s="243"/>
      <c r="AX485" s="243"/>
      <c r="AY485" s="243"/>
      <c r="AZ485" s="243"/>
      <c r="BA485" s="243"/>
      <c r="BB485" s="243"/>
      <c r="BC485" s="243"/>
      <c r="BD485" s="243"/>
      <c r="BE485" s="243"/>
      <c r="BF485" s="243"/>
      <c r="BG485" s="243"/>
      <c r="BH485" s="243"/>
      <c r="BI485" s="243"/>
      <c r="BJ485" s="243"/>
      <c r="BK485" s="243"/>
      <c r="BL485" s="243"/>
      <c r="BM485" s="243"/>
      <c r="BN485" s="243"/>
      <c r="BO485" s="243"/>
      <c r="BP485" s="243"/>
      <c r="BQ485" s="243"/>
      <c r="BR485" s="243"/>
      <c r="BS485" s="243"/>
      <c r="BT485" s="243"/>
      <c r="BU485" s="243"/>
      <c r="BV485" s="243"/>
      <c r="BW485" s="243"/>
      <c r="BX485" s="243"/>
      <c r="BY485" s="243"/>
      <c r="BZ485" s="243"/>
      <c r="CA485" s="243"/>
      <c r="CB485" s="243"/>
      <c r="CC485" s="243"/>
      <c r="CD485" s="243"/>
      <c r="CE485" s="243"/>
      <c r="CF485" s="243"/>
      <c r="CG485" s="243"/>
      <c r="CH485" s="243"/>
      <c r="CI485" s="243"/>
      <c r="CJ485" s="243"/>
      <c r="CK485" s="243"/>
      <c r="CL485" s="243"/>
      <c r="CM485" s="243"/>
      <c r="CN485" s="243"/>
      <c r="CO485" s="243"/>
      <c r="CP485" s="243"/>
      <c r="CQ485" s="243"/>
      <c r="CR485" s="243"/>
      <c r="CS485" s="243"/>
      <c r="CT485" s="243"/>
      <c r="CU485" s="243"/>
      <c r="CV485" s="243"/>
      <c r="CW485" s="243"/>
      <c r="CX485" s="243"/>
      <c r="CY485" s="243"/>
      <c r="CZ485" s="243"/>
      <c r="DA485" s="243"/>
      <c r="DB485" s="243"/>
      <c r="DC485" s="243"/>
      <c r="DD485" s="243"/>
      <c r="DE485" s="243"/>
      <c r="DF485" s="243"/>
      <c r="DG485" s="243"/>
      <c r="DH485" s="243"/>
      <c r="DI485" s="243"/>
      <c r="DJ485" s="243"/>
      <c r="DK485" s="243"/>
      <c r="DL485" s="243"/>
      <c r="DM485" s="243"/>
      <c r="DN485" s="243"/>
      <c r="DO485" s="243"/>
      <c r="DP485" s="243"/>
      <c r="DQ485" s="243"/>
      <c r="DR485" s="243"/>
      <c r="DS485" s="243"/>
      <c r="DT485" s="243"/>
      <c r="DU485" s="243"/>
      <c r="DV485" s="243"/>
      <c r="DW485" s="243"/>
      <c r="DX485" s="243"/>
      <c r="DY485" s="243"/>
      <c r="DZ485" s="243"/>
      <c r="EA485" s="243"/>
      <c r="EB485" s="243"/>
      <c r="EC485" s="243"/>
      <c r="ED485" s="243"/>
      <c r="EE485" s="243"/>
      <c r="EF485" s="243"/>
      <c r="EG485" s="243"/>
      <c r="EH485" s="243"/>
      <c r="EI485" s="243"/>
      <c r="EJ485" s="243"/>
      <c r="EK485" s="243"/>
      <c r="EL485" s="243"/>
      <c r="EM485" s="243"/>
      <c r="EN485" s="243"/>
      <c r="EO485" s="243"/>
      <c r="EP485" s="243"/>
      <c r="EQ485" s="243"/>
      <c r="ER485" s="243"/>
      <c r="ES485" s="243"/>
      <c r="ET485" s="243"/>
      <c r="EU485" s="243"/>
      <c r="EV485" s="243"/>
      <c r="EW485" s="243"/>
      <c r="EX485" s="243"/>
      <c r="EY485" s="243"/>
      <c r="EZ485" s="243"/>
      <c r="FA485" s="243"/>
      <c r="FB485" s="243"/>
      <c r="FC485" s="243"/>
      <c r="FD485" s="243"/>
      <c r="FE485" s="243"/>
      <c r="FF485" s="243"/>
      <c r="FG485" s="243"/>
      <c r="FH485" s="243"/>
      <c r="FI485" s="243"/>
      <c r="FJ485" s="243"/>
      <c r="FK485" s="243"/>
      <c r="FL485" s="243"/>
      <c r="FM485" s="243"/>
      <c r="FN485" s="243"/>
      <c r="FO485" s="243"/>
      <c r="FP485" s="243"/>
      <c r="FQ485" s="243"/>
      <c r="FR485" s="243"/>
      <c r="FS485" s="243"/>
      <c r="FT485" s="243"/>
      <c r="FU485" s="243"/>
      <c r="FV485" s="243"/>
      <c r="FW485" s="243"/>
      <c r="FX485" s="243"/>
      <c r="FY485" s="243"/>
      <c r="FZ485" s="243"/>
      <c r="GA485" s="243"/>
      <c r="GB485" s="243"/>
      <c r="GC485" s="243"/>
      <c r="GD485" s="243"/>
      <c r="GE485" s="243"/>
      <c r="GF485" s="243"/>
      <c r="GG485" s="243"/>
      <c r="GH485" s="243"/>
      <c r="GI485" s="243"/>
      <c r="GJ485" s="243"/>
      <c r="GK485" s="243"/>
      <c r="GL485" s="243"/>
      <c r="GM485" s="243"/>
      <c r="GN485" s="243"/>
      <c r="GO485" s="243"/>
      <c r="GP485" s="243"/>
      <c r="GQ485" s="243"/>
      <c r="GR485" s="243"/>
      <c r="GS485" s="243"/>
      <c r="GT485" s="243"/>
      <c r="GU485" s="243"/>
      <c r="GV485" s="243"/>
      <c r="GW485" s="243"/>
      <c r="GX485" s="243"/>
      <c r="GY485" s="243"/>
      <c r="GZ485" s="243"/>
      <c r="HA485" s="243"/>
      <c r="HB485" s="243"/>
      <c r="HC485" s="243"/>
      <c r="HD485" s="243"/>
      <c r="HE485" s="243"/>
      <c r="HF485" s="243"/>
      <c r="HG485" s="243"/>
      <c r="HH485" s="243"/>
      <c r="HI485" s="243"/>
      <c r="HJ485" s="243"/>
      <c r="HK485" s="243"/>
      <c r="HL485" s="243"/>
      <c r="HM485" s="243"/>
      <c r="HN485" s="243"/>
      <c r="HO485" s="243"/>
      <c r="HP485" s="243"/>
      <c r="HQ485" s="243"/>
      <c r="HR485" s="243"/>
      <c r="HS485" s="243"/>
      <c r="HT485" s="243"/>
      <c r="HU485" s="243"/>
      <c r="HV485" s="243"/>
      <c r="HW485" s="243"/>
      <c r="HX485" s="243"/>
      <c r="HY485" s="243"/>
      <c r="HZ485" s="243"/>
      <c r="IA485" s="243"/>
      <c r="IB485" s="243"/>
      <c r="IC485" s="243"/>
      <c r="ID485" s="243"/>
      <c r="IE485" s="243"/>
      <c r="IF485" s="243"/>
      <c r="IG485" s="243"/>
      <c r="IH485" s="243"/>
      <c r="II485" s="243"/>
      <c r="IJ485" s="243"/>
      <c r="IK485" s="243"/>
      <c r="IL485" s="243"/>
      <c r="IM485" s="243"/>
      <c r="IN485" s="243"/>
      <c r="IO485" s="243"/>
      <c r="IP485" s="243"/>
      <c r="IQ485" s="243"/>
      <c r="IR485" s="243"/>
      <c r="IS485" s="243"/>
      <c r="IT485" s="243"/>
      <c r="IU485" s="243"/>
      <c r="IV485" s="243"/>
      <c r="IW485" s="243"/>
      <c r="IX485" s="243"/>
      <c r="IY485" s="243"/>
      <c r="IZ485" s="243"/>
      <c r="JA485" s="243"/>
      <c r="JB485" s="243"/>
      <c r="JC485" s="243"/>
      <c r="JD485" s="243"/>
      <c r="JE485" s="243"/>
      <c r="JF485" s="243"/>
      <c r="JG485" s="243"/>
      <c r="JH485" s="243"/>
      <c r="JI485" s="243"/>
      <c r="JJ485" s="243"/>
      <c r="JK485" s="243"/>
      <c r="JL485" s="243"/>
      <c r="JM485" s="243"/>
      <c r="JN485" s="243"/>
      <c r="JO485" s="243"/>
      <c r="JP485" s="243"/>
      <c r="JQ485" s="243"/>
      <c r="JR485" s="243"/>
      <c r="JS485" s="243"/>
      <c r="JT485" s="243"/>
      <c r="JU485" s="243"/>
      <c r="JV485" s="243"/>
      <c r="JW485" s="243"/>
      <c r="JX485" s="243"/>
      <c r="JY485" s="243"/>
      <c r="JZ485" s="243"/>
      <c r="KA485" s="243"/>
      <c r="KB485" s="243"/>
      <c r="KC485" s="243"/>
      <c r="KD485" s="243"/>
      <c r="KE485" s="243"/>
      <c r="KF485" s="243"/>
      <c r="KG485" s="243"/>
      <c r="KH485" s="243"/>
      <c r="KI485" s="243"/>
      <c r="KJ485" s="243"/>
      <c r="KK485" s="243"/>
      <c r="KL485" s="243"/>
      <c r="KM485" s="243"/>
      <c r="KN485" s="243"/>
      <c r="KO485" s="243"/>
      <c r="KP485" s="243"/>
      <c r="KQ485" s="243"/>
      <c r="KR485" s="243"/>
      <c r="KS485" s="243"/>
      <c r="KT485" s="243"/>
      <c r="KU485" s="243"/>
      <c r="KV485" s="243"/>
      <c r="KW485" s="243"/>
      <c r="KX485" s="243"/>
      <c r="KY485" s="243"/>
      <c r="KZ485" s="243"/>
      <c r="LA485" s="243"/>
      <c r="LB485" s="243"/>
      <c r="LC485" s="243"/>
      <c r="LD485" s="243"/>
      <c r="LE485" s="243"/>
      <c r="LF485" s="243"/>
      <c r="LG485" s="243"/>
      <c r="LH485" s="243"/>
      <c r="LI485" s="243"/>
      <c r="LJ485" s="243"/>
      <c r="LK485" s="243"/>
      <c r="LL485" s="243"/>
      <c r="LM485" s="243"/>
      <c r="LN485" s="243"/>
      <c r="LO485" s="243"/>
      <c r="LP485" s="243"/>
      <c r="LQ485" s="243"/>
      <c r="LR485" s="243"/>
      <c r="LS485" s="243"/>
      <c r="LT485" s="243"/>
      <c r="LU485" s="243"/>
      <c r="LV485" s="243"/>
      <c r="LW485" s="243"/>
      <c r="LX485" s="243"/>
      <c r="LY485" s="243"/>
      <c r="LZ485" s="243"/>
      <c r="MA485" s="243"/>
      <c r="MB485" s="243"/>
      <c r="MC485" s="243"/>
      <c r="MD485" s="243"/>
      <c r="ME485" s="243"/>
      <c r="MF485" s="243"/>
      <c r="MG485" s="243"/>
      <c r="MH485" s="243"/>
      <c r="MI485" s="243"/>
      <c r="MJ485" s="243"/>
      <c r="MK485" s="243"/>
      <c r="ML485" s="243"/>
      <c r="MM485" s="243"/>
      <c r="MN485" s="243"/>
      <c r="MO485" s="243"/>
      <c r="MP485" s="243"/>
      <c r="MQ485" s="243"/>
      <c r="MR485" s="243"/>
      <c r="MS485" s="243"/>
      <c r="MT485" s="243"/>
      <c r="MU485" s="243"/>
      <c r="MV485" s="243"/>
      <c r="MW485" s="243"/>
      <c r="MX485" s="243"/>
      <c r="MY485" s="243"/>
      <c r="MZ485" s="243"/>
      <c r="NA485" s="243"/>
      <c r="NB485" s="243"/>
      <c r="NC485" s="243"/>
      <c r="ND485" s="243"/>
      <c r="NE485" s="243"/>
      <c r="NF485" s="243"/>
      <c r="NG485" s="243"/>
      <c r="NH485" s="243"/>
      <c r="NI485" s="243"/>
      <c r="NJ485" s="243"/>
      <c r="NK485" s="243"/>
      <c r="NL485" s="243"/>
      <c r="NM485" s="243"/>
      <c r="NN485" s="243"/>
      <c r="NO485" s="243"/>
      <c r="NP485" s="243"/>
      <c r="NQ485" s="243"/>
      <c r="NR485" s="243"/>
      <c r="NS485" s="243"/>
      <c r="NT485" s="243"/>
      <c r="NU485" s="243"/>
      <c r="NV485" s="243"/>
      <c r="NW485" s="243"/>
      <c r="NX485" s="243"/>
      <c r="NY485" s="243"/>
      <c r="NZ485" s="243"/>
      <c r="OA485" s="243"/>
      <c r="OB485" s="243"/>
      <c r="OC485" s="243"/>
      <c r="OD485" s="243"/>
      <c r="OE485" s="243"/>
      <c r="OF485" s="243"/>
      <c r="OG485" s="243"/>
      <c r="OH485" s="243"/>
      <c r="OI485" s="243"/>
      <c r="OJ485" s="243"/>
      <c r="OK485" s="243"/>
      <c r="OL485" s="243"/>
      <c r="OM485" s="243"/>
      <c r="ON485" s="243"/>
      <c r="OO485" s="243"/>
      <c r="OP485" s="243"/>
      <c r="OQ485" s="243"/>
      <c r="OR485" s="243"/>
      <c r="OS485" s="243"/>
      <c r="OT485" s="243"/>
      <c r="OU485" s="243"/>
      <c r="OV485" s="243"/>
      <c r="OW485" s="243"/>
      <c r="OX485" s="243"/>
      <c r="OY485" s="243"/>
      <c r="OZ485" s="243"/>
      <c r="PA485" s="243"/>
      <c r="PB485" s="243"/>
      <c r="PC485" s="243"/>
      <c r="PD485" s="243"/>
      <c r="PE485" s="243"/>
      <c r="PF485" s="243"/>
      <c r="PG485" s="243"/>
      <c r="PH485" s="243"/>
      <c r="PI485" s="243"/>
      <c r="PJ485" s="243"/>
      <c r="PK485" s="243"/>
      <c r="PL485" s="243"/>
      <c r="PM485" s="243"/>
      <c r="PN485" s="243"/>
      <c r="PO485" s="243"/>
      <c r="PP485" s="243"/>
      <c r="PQ485" s="243"/>
      <c r="PR485" s="243"/>
      <c r="PS485" s="243"/>
      <c r="PT485" s="243"/>
      <c r="PU485" s="243"/>
      <c r="PV485" s="243"/>
      <c r="PW485" s="243"/>
      <c r="PX485" s="243"/>
      <c r="PY485" s="243"/>
      <c r="PZ485" s="243"/>
      <c r="QA485" s="243"/>
      <c r="QB485" s="243"/>
      <c r="QC485" s="243"/>
      <c r="QD485" s="243"/>
      <c r="QE485" s="243"/>
      <c r="QF485" s="243"/>
      <c r="QG485" s="243"/>
      <c r="QH485" s="243"/>
      <c r="QI485" s="243"/>
      <c r="QJ485" s="243"/>
      <c r="QK485" s="243"/>
      <c r="QL485" s="243"/>
      <c r="QM485" s="243"/>
      <c r="QN485" s="243"/>
      <c r="QO485" s="243"/>
      <c r="QP485" s="243"/>
      <c r="QQ485" s="243"/>
      <c r="QR485" s="243"/>
      <c r="QS485" s="243"/>
      <c r="QT485" s="243"/>
      <c r="QU485" s="243"/>
      <c r="QV485" s="243"/>
      <c r="QW485" s="243"/>
      <c r="QX485" s="243"/>
      <c r="QY485" s="243"/>
      <c r="QZ485" s="243"/>
      <c r="RA485" s="243"/>
      <c r="RB485" s="243"/>
      <c r="RC485" s="243"/>
      <c r="RD485" s="243"/>
      <c r="RE485" s="243"/>
      <c r="RF485" s="243"/>
      <c r="RG485" s="243"/>
      <c r="RH485" s="243"/>
      <c r="RI485" s="243"/>
      <c r="RJ485" s="243"/>
      <c r="RK485" s="243"/>
      <c r="RL485" s="243"/>
      <c r="RM485" s="243"/>
      <c r="RN485" s="243"/>
      <c r="RO485" s="243"/>
      <c r="RP485" s="243"/>
      <c r="RQ485" s="243"/>
      <c r="RR485" s="243"/>
      <c r="RS485" s="243"/>
      <c r="RT485" s="243"/>
      <c r="RU485" s="243"/>
      <c r="RV485" s="243"/>
      <c r="RW485" s="243"/>
      <c r="RX485" s="243"/>
      <c r="RY485" s="243"/>
      <c r="RZ485" s="243"/>
      <c r="SA485" s="243"/>
      <c r="SB485" s="243"/>
      <c r="SC485" s="243"/>
      <c r="SD485" s="243"/>
      <c r="SE485" s="243"/>
      <c r="SF485" s="243"/>
      <c r="SG485" s="243"/>
      <c r="SH485" s="243"/>
      <c r="SI485" s="243"/>
      <c r="SJ485" s="243"/>
      <c r="SK485" s="243"/>
      <c r="SL485" s="243"/>
      <c r="SM485" s="243"/>
      <c r="SN485" s="243"/>
      <c r="SO485" s="243"/>
      <c r="SP485" s="243"/>
      <c r="SQ485" s="243"/>
      <c r="SR485" s="243"/>
      <c r="SS485" s="243"/>
      <c r="ST485" s="243"/>
      <c r="SU485" s="243"/>
      <c r="SV485" s="243"/>
      <c r="SW485" s="243"/>
      <c r="SX485" s="243"/>
      <c r="SY485" s="243"/>
      <c r="SZ485" s="243"/>
      <c r="TA485" s="243"/>
      <c r="TB485" s="243"/>
      <c r="TC485" s="243"/>
      <c r="TD485" s="243"/>
      <c r="TE485" s="243"/>
      <c r="TF485" s="243"/>
      <c r="TG485" s="243"/>
      <c r="TH485" s="243"/>
      <c r="TI485" s="243"/>
      <c r="TJ485" s="243"/>
      <c r="TK485" s="243"/>
      <c r="TL485" s="243"/>
      <c r="TM485" s="243"/>
      <c r="TN485" s="243"/>
      <c r="TO485" s="243"/>
      <c r="TP485" s="243"/>
      <c r="TQ485" s="243"/>
      <c r="TR485" s="243"/>
      <c r="TS485" s="243"/>
      <c r="TT485" s="243"/>
      <c r="TU485" s="243"/>
      <c r="TV485" s="243"/>
      <c r="TW485" s="243"/>
      <c r="TX485" s="243"/>
      <c r="TY485" s="243"/>
      <c r="TZ485" s="243"/>
      <c r="UA485" s="243"/>
      <c r="UB485" s="243"/>
      <c r="UC485" s="243"/>
      <c r="UD485" s="243"/>
      <c r="UE485" s="243"/>
      <c r="UF485" s="243"/>
      <c r="UG485" s="243"/>
      <c r="UH485" s="243"/>
      <c r="UI485" s="243"/>
      <c r="UJ485" s="243"/>
      <c r="UK485" s="243"/>
      <c r="UL485" s="243"/>
      <c r="UM485" s="243"/>
      <c r="UN485" s="243"/>
      <c r="UO485" s="243"/>
      <c r="UP485" s="243"/>
      <c r="UQ485" s="243"/>
      <c r="UR485" s="243"/>
      <c r="US485" s="243"/>
      <c r="UT485" s="243"/>
      <c r="UU485" s="243"/>
      <c r="UV485" s="243"/>
      <c r="UW485" s="243"/>
      <c r="UX485" s="243"/>
      <c r="UY485" s="243"/>
      <c r="UZ485" s="243"/>
      <c r="VA485" s="243"/>
      <c r="VB485" s="243"/>
      <c r="VC485" s="243"/>
      <c r="VD485" s="243"/>
      <c r="VE485" s="243"/>
      <c r="VF485" s="243"/>
      <c r="VG485" s="243"/>
      <c r="VH485" s="243"/>
      <c r="VI485" s="243"/>
      <c r="VJ485" s="243"/>
      <c r="VK485" s="243"/>
      <c r="VL485" s="243"/>
      <c r="VM485" s="243"/>
      <c r="VN485" s="243"/>
      <c r="VO485" s="243"/>
      <c r="VP485" s="243"/>
      <c r="VQ485" s="243"/>
      <c r="VR485" s="243"/>
      <c r="VS485" s="243"/>
      <c r="VT485" s="243"/>
      <c r="VU485" s="243"/>
      <c r="VV485" s="243"/>
      <c r="VW485" s="243"/>
      <c r="VX485" s="243"/>
      <c r="VY485" s="243"/>
      <c r="VZ485" s="243"/>
      <c r="WA485" s="243"/>
      <c r="WB485" s="243"/>
      <c r="WC485" s="243"/>
      <c r="WD485" s="243"/>
      <c r="WE485" s="243"/>
      <c r="WF485" s="243"/>
      <c r="WG485" s="243"/>
      <c r="WH485" s="243"/>
      <c r="WI485" s="243"/>
      <c r="WJ485" s="243"/>
      <c r="WK485" s="243"/>
      <c r="WL485" s="243"/>
      <c r="WM485" s="243"/>
      <c r="WN485" s="243"/>
      <c r="WO485" s="243"/>
      <c r="WP485" s="243"/>
      <c r="WQ485" s="243"/>
      <c r="WR485" s="243"/>
      <c r="WS485" s="243"/>
      <c r="WT485" s="243"/>
      <c r="WU485" s="243"/>
      <c r="WV485" s="243"/>
      <c r="WW485" s="243"/>
      <c r="WX485" s="243"/>
      <c r="WY485" s="243"/>
      <c r="WZ485" s="243"/>
      <c r="XA485" s="243"/>
      <c r="XB485" s="243"/>
      <c r="XC485" s="243"/>
      <c r="XD485" s="243"/>
      <c r="XE485" s="243"/>
      <c r="XF485" s="243"/>
      <c r="XG485" s="243"/>
      <c r="XH485" s="243"/>
      <c r="XI485" s="243"/>
      <c r="XJ485" s="243"/>
      <c r="XK485" s="243"/>
      <c r="XL485" s="243"/>
      <c r="XM485" s="243"/>
      <c r="XN485" s="243"/>
      <c r="XO485" s="243"/>
      <c r="XP485" s="243"/>
      <c r="XQ485" s="243"/>
      <c r="XR485" s="243"/>
      <c r="XS485" s="243"/>
      <c r="XT485" s="243"/>
      <c r="XU485" s="243"/>
      <c r="XV485" s="243"/>
      <c r="XW485" s="243"/>
      <c r="XX485" s="243"/>
      <c r="XY485" s="243"/>
      <c r="XZ485" s="243"/>
      <c r="YA485" s="243"/>
      <c r="YB485" s="243"/>
      <c r="YC485" s="243"/>
      <c r="YD485" s="243"/>
      <c r="YE485" s="243"/>
      <c r="YF485" s="243"/>
      <c r="YG485" s="243"/>
      <c r="YH485" s="243"/>
      <c r="YI485" s="243"/>
      <c r="YJ485" s="243"/>
      <c r="YK485" s="243"/>
      <c r="YL485" s="243"/>
      <c r="YM485" s="243"/>
      <c r="YN485" s="243"/>
      <c r="YO485" s="243"/>
      <c r="YP485" s="243"/>
      <c r="YQ485" s="243"/>
      <c r="YR485" s="243"/>
      <c r="YS485" s="243"/>
      <c r="YT485" s="243"/>
      <c r="YU485" s="243"/>
      <c r="YV485" s="243"/>
      <c r="YW485" s="243"/>
      <c r="YX485" s="243"/>
      <c r="YY485" s="243"/>
      <c r="YZ485" s="243"/>
      <c r="ZA485" s="243"/>
      <c r="ZB485" s="243"/>
      <c r="ZC485" s="243"/>
      <c r="ZD485" s="243"/>
      <c r="ZE485" s="243"/>
      <c r="ZF485" s="243"/>
      <c r="ZG485" s="243"/>
      <c r="ZH485" s="243"/>
      <c r="ZI485" s="243"/>
      <c r="ZJ485" s="243"/>
      <c r="ZK485" s="243"/>
      <c r="ZL485" s="243"/>
      <c r="ZM485" s="243"/>
      <c r="ZN485" s="243"/>
      <c r="ZO485" s="243"/>
      <c r="ZP485" s="243"/>
      <c r="ZQ485" s="243"/>
      <c r="ZR485" s="243"/>
      <c r="ZS485" s="243"/>
      <c r="ZT485" s="243"/>
      <c r="ZU485" s="243"/>
      <c r="ZV485" s="243"/>
      <c r="ZW485" s="243"/>
      <c r="ZX485" s="243"/>
      <c r="ZY485" s="243"/>
      <c r="ZZ485" s="243"/>
      <c r="AAA485" s="243"/>
      <c r="AAB485" s="243"/>
      <c r="AAC485" s="243"/>
      <c r="AAD485" s="243"/>
      <c r="AAE485" s="243"/>
      <c r="AAF485" s="243"/>
      <c r="AAG485" s="243"/>
      <c r="AAH485" s="243"/>
      <c r="AAI485" s="243"/>
      <c r="AAJ485" s="243"/>
      <c r="AAK485" s="243"/>
      <c r="AAL485" s="243"/>
      <c r="AAM485" s="243"/>
      <c r="AAN485" s="243"/>
      <c r="AAO485" s="243"/>
      <c r="AAP485" s="243"/>
      <c r="AAQ485" s="243"/>
      <c r="AAR485" s="243"/>
      <c r="AAS485" s="243"/>
      <c r="AAT485" s="243"/>
      <c r="AAU485" s="243"/>
      <c r="AAV485" s="243"/>
      <c r="AAW485" s="243"/>
      <c r="AAX485" s="243"/>
      <c r="AAY485" s="243"/>
      <c r="AAZ485" s="243"/>
      <c r="ABA485" s="243"/>
      <c r="ABB485" s="243"/>
      <c r="ABC485" s="243"/>
      <c r="ABD485" s="243"/>
      <c r="ABE485" s="243"/>
      <c r="ABF485" s="243"/>
      <c r="ABG485" s="243"/>
      <c r="ABH485" s="243"/>
      <c r="ABI485" s="243"/>
      <c r="ABJ485" s="243"/>
      <c r="ABK485" s="243"/>
      <c r="ABL485" s="243"/>
      <c r="ABM485" s="243"/>
      <c r="ABN485" s="243"/>
      <c r="ABO485" s="243"/>
      <c r="ABP485" s="243"/>
      <c r="ABQ485" s="243"/>
      <c r="ABR485" s="243"/>
      <c r="ABS485" s="243"/>
      <c r="ABT485" s="243"/>
      <c r="ABU485" s="243"/>
      <c r="ABV485" s="243"/>
      <c r="ABW485" s="243"/>
      <c r="ABX485" s="243"/>
      <c r="ABY485" s="243"/>
      <c r="ABZ485" s="243"/>
      <c r="ACA485" s="243"/>
      <c r="ACB485" s="243"/>
      <c r="ACC485" s="243"/>
      <c r="ACD485" s="243"/>
      <c r="ACE485" s="243"/>
      <c r="ACF485" s="243"/>
      <c r="ACG485" s="243"/>
      <c r="ACH485" s="243"/>
      <c r="ACI485" s="243"/>
      <c r="ACJ485" s="243"/>
      <c r="ACK485" s="243"/>
      <c r="ACL485" s="243"/>
      <c r="ACM485" s="243"/>
      <c r="ACN485" s="243"/>
      <c r="ACO485" s="243"/>
      <c r="ACP485" s="243"/>
      <c r="ACQ485" s="243"/>
      <c r="ACR485" s="243"/>
      <c r="ACS485" s="243"/>
      <c r="ACT485" s="243"/>
      <c r="ACU485" s="243"/>
      <c r="ACV485" s="243"/>
      <c r="ACW485" s="243"/>
      <c r="ACX485" s="243"/>
      <c r="ACY485" s="243"/>
      <c r="ACZ485" s="243"/>
      <c r="ADA485" s="243"/>
      <c r="ADB485" s="243"/>
      <c r="ADC485" s="243"/>
      <c r="ADD485" s="243"/>
      <c r="ADE485" s="243"/>
      <c r="ADF485" s="243"/>
      <c r="ADG485" s="243"/>
      <c r="ADH485" s="243"/>
      <c r="ADI485" s="243"/>
      <c r="ADJ485" s="243"/>
      <c r="ADK485" s="243"/>
      <c r="ADL485" s="243"/>
      <c r="ADM485" s="243"/>
      <c r="ADN485" s="243"/>
      <c r="ADO485" s="243"/>
      <c r="ADP485" s="243"/>
      <c r="ADQ485" s="243"/>
      <c r="ADR485" s="243"/>
      <c r="ADS485" s="243"/>
      <c r="ADT485" s="243"/>
      <c r="ADU485" s="243"/>
      <c r="ADV485" s="243"/>
      <c r="ADW485" s="243"/>
      <c r="ADX485" s="243"/>
      <c r="ADY485" s="243"/>
      <c r="ADZ485" s="243"/>
      <c r="AEA485" s="243"/>
      <c r="AEB485" s="243"/>
      <c r="AEC485" s="243"/>
      <c r="AED485" s="243"/>
      <c r="AEE485" s="243"/>
      <c r="AEF485" s="243"/>
      <c r="AEG485" s="243"/>
      <c r="AEH485" s="243"/>
      <c r="AEI485" s="243"/>
      <c r="AEJ485" s="243"/>
      <c r="AEK485" s="243"/>
      <c r="AEL485" s="243"/>
      <c r="AEM485" s="243"/>
      <c r="AEN485" s="243"/>
      <c r="AEO485" s="243"/>
      <c r="AEP485" s="243"/>
      <c r="AEQ485" s="243"/>
      <c r="AER485" s="243"/>
      <c r="AES485" s="243"/>
      <c r="AET485" s="243"/>
      <c r="AEU485" s="243"/>
      <c r="AEV485" s="243"/>
      <c r="AEW485" s="243"/>
      <c r="AEX485" s="243"/>
      <c r="AEY485" s="243"/>
      <c r="AEZ485" s="243"/>
      <c r="AFA485" s="243"/>
      <c r="AFB485" s="243"/>
      <c r="AFC485" s="243"/>
      <c r="AFD485" s="243"/>
      <c r="AFE485" s="243"/>
      <c r="AFF485" s="243"/>
      <c r="AFG485" s="243"/>
      <c r="AFH485" s="243"/>
      <c r="AFI485" s="243"/>
      <c r="AFJ485" s="243"/>
      <c r="AFK485" s="243"/>
      <c r="AFL485" s="243"/>
      <c r="AFM485" s="243"/>
      <c r="AFN485" s="243"/>
      <c r="AFO485" s="243"/>
      <c r="AFP485" s="243"/>
      <c r="AFQ485" s="243"/>
      <c r="AFR485" s="243"/>
      <c r="AFS485" s="243"/>
      <c r="AFT485" s="243"/>
      <c r="AFU485" s="243"/>
      <c r="AFV485" s="243"/>
      <c r="AFW485" s="243"/>
      <c r="AFX485" s="243"/>
      <c r="AFY485" s="243"/>
      <c r="AFZ485" s="243"/>
      <c r="AGA485" s="243"/>
      <c r="AGB485" s="243"/>
      <c r="AGC485" s="243"/>
      <c r="AGD485" s="243"/>
      <c r="AGE485" s="243"/>
      <c r="AGF485" s="243"/>
      <c r="AGG485" s="243"/>
      <c r="AGH485" s="243"/>
      <c r="AGI485" s="243"/>
      <c r="AGJ485" s="243"/>
      <c r="AGK485" s="243"/>
      <c r="AGL485" s="243"/>
      <c r="AGM485" s="243"/>
      <c r="AGN485" s="243"/>
      <c r="AGO485" s="243"/>
      <c r="AGP485" s="243"/>
      <c r="AGQ485" s="243"/>
      <c r="AGR485" s="243"/>
      <c r="AGS485" s="243"/>
      <c r="AGT485" s="243"/>
      <c r="AGU485" s="243"/>
      <c r="AGV485" s="243"/>
      <c r="AGW485" s="243"/>
      <c r="AGX485" s="243"/>
      <c r="AGY485" s="243"/>
      <c r="AGZ485" s="243"/>
      <c r="AHA485" s="243"/>
      <c r="AHB485" s="243"/>
      <c r="AHC485" s="243"/>
      <c r="AHD485" s="243"/>
      <c r="AHE485" s="243"/>
      <c r="AHF485" s="243"/>
      <c r="AHG485" s="243"/>
      <c r="AHH485" s="243"/>
      <c r="AHI485" s="243"/>
      <c r="AHJ485" s="243"/>
      <c r="AHK485" s="243"/>
      <c r="AHL485" s="243"/>
      <c r="AHM485" s="243"/>
      <c r="AHN485" s="243"/>
      <c r="AHO485" s="243"/>
      <c r="AHP485" s="243"/>
      <c r="AHQ485" s="243"/>
      <c r="AHR485" s="243"/>
      <c r="AHS485" s="243"/>
      <c r="AHT485" s="243"/>
      <c r="AHU485" s="243"/>
      <c r="AHV485" s="243"/>
      <c r="AHW485" s="243"/>
      <c r="AHX485" s="243"/>
      <c r="AHY485" s="243"/>
      <c r="AHZ485" s="243"/>
      <c r="AIA485" s="243"/>
      <c r="AIB485" s="243"/>
      <c r="AIC485" s="243"/>
      <c r="AID485" s="243"/>
      <c r="AIE485" s="243"/>
      <c r="AIF485" s="243"/>
      <c r="AIG485" s="243"/>
      <c r="AIH485" s="243"/>
      <c r="AII485" s="243"/>
      <c r="AIJ485" s="243"/>
      <c r="AIK485" s="243"/>
      <c r="AIL485" s="243"/>
      <c r="AIM485" s="243"/>
      <c r="AIN485" s="243"/>
      <c r="AIO485" s="243"/>
      <c r="AIP485" s="243"/>
      <c r="AIQ485" s="243"/>
      <c r="AIR485" s="243"/>
      <c r="AIS485" s="243"/>
      <c r="AIT485" s="243"/>
      <c r="AIU485" s="243"/>
      <c r="AIV485" s="243"/>
      <c r="AIW485" s="243"/>
      <c r="AIX485" s="243"/>
      <c r="AIY485" s="243"/>
      <c r="AIZ485" s="243"/>
      <c r="AJA485" s="243"/>
      <c r="AJB485" s="243"/>
      <c r="AJC485" s="243"/>
      <c r="AJD485" s="243"/>
      <c r="AJE485" s="243"/>
      <c r="AJF485" s="243"/>
      <c r="AJG485" s="243"/>
      <c r="AJH485" s="243"/>
      <c r="AJI485" s="243"/>
      <c r="AJJ485" s="243"/>
      <c r="AJK485" s="243"/>
      <c r="AJL485" s="243"/>
      <c r="AJM485" s="243"/>
      <c r="AJN485" s="243"/>
      <c r="AJO485" s="243"/>
      <c r="AJP485" s="243"/>
      <c r="AJQ485" s="243"/>
      <c r="AJR485" s="243"/>
      <c r="AJS485" s="243"/>
      <c r="AJT485" s="243"/>
      <c r="AJU485" s="243"/>
      <c r="AJV485" s="243"/>
      <c r="AJW485" s="243"/>
      <c r="AJX485" s="243"/>
      <c r="AJY485" s="243"/>
      <c r="AJZ485" s="243"/>
      <c r="AKA485" s="243"/>
      <c r="AKB485" s="243"/>
      <c r="AKC485" s="243"/>
      <c r="AKD485" s="243"/>
      <c r="AKE485" s="243"/>
      <c r="AKF485" s="243"/>
      <c r="AKG485" s="243"/>
      <c r="AKH485" s="243"/>
      <c r="AKI485" s="243"/>
      <c r="AKJ485" s="243"/>
      <c r="AKK485" s="243"/>
      <c r="AKL485" s="243"/>
      <c r="AKM485" s="243"/>
      <c r="AKN485" s="243"/>
      <c r="AKO485" s="243"/>
      <c r="AKP485" s="243"/>
      <c r="AKQ485" s="243"/>
      <c r="AKR485" s="243"/>
      <c r="AKS485" s="243"/>
      <c r="AKT485" s="243"/>
      <c r="AKU485" s="243"/>
      <c r="AKV485" s="243"/>
      <c r="AKW485" s="243"/>
      <c r="AKX485" s="243"/>
      <c r="AKY485" s="243"/>
      <c r="AKZ485" s="243"/>
      <c r="ALA485" s="243"/>
      <c r="ALB485" s="243"/>
      <c r="ALC485" s="243"/>
      <c r="ALD485" s="243"/>
      <c r="ALE485" s="243"/>
      <c r="ALF485" s="243"/>
      <c r="ALG485" s="243"/>
      <c r="ALH485" s="243"/>
      <c r="ALI485" s="243"/>
      <c r="ALJ485" s="243"/>
      <c r="ALK485" s="243"/>
      <c r="ALL485" s="243"/>
      <c r="ALM485" s="243"/>
      <c r="ALN485" s="243"/>
      <c r="ALO485" s="243"/>
      <c r="ALP485" s="243"/>
      <c r="ALQ485" s="243"/>
      <c r="ALR485" s="243"/>
      <c r="ALS485" s="243"/>
      <c r="ALT485" s="243"/>
      <c r="ALU485" s="243"/>
      <c r="ALV485" s="243"/>
      <c r="ALW485" s="243"/>
      <c r="ALX485" s="243"/>
      <c r="ALY485" s="243"/>
      <c r="ALZ485" s="243"/>
      <c r="AMA485" s="243"/>
      <c r="AMB485" s="243"/>
      <c r="AMC485" s="243"/>
      <c r="AMD485" s="243"/>
      <c r="AME485" s="243"/>
      <c r="AMF485" s="243"/>
      <c r="AMG485" s="243"/>
      <c r="AMH485" s="243"/>
      <c r="AMI485" s="244"/>
      <c r="AMJ485" s="244"/>
    </row>
    <row r="486" spans="1:1024">
      <c r="A486" s="901"/>
      <c r="B486" s="551">
        <v>14942</v>
      </c>
      <c r="C486" s="619">
        <v>0.08</v>
      </c>
      <c r="D486" s="542" t="s">
        <v>319</v>
      </c>
      <c r="E486" s="620">
        <v>3100000</v>
      </c>
      <c r="F486" s="600">
        <v>0.08</v>
      </c>
      <c r="G486" s="364">
        <f t="shared" si="21"/>
        <v>248000</v>
      </c>
      <c r="H486" s="599" t="s">
        <v>202</v>
      </c>
      <c r="I486" s="604"/>
      <c r="J486" s="604"/>
      <c r="K486" s="712"/>
      <c r="L486" s="712"/>
      <c r="M486" s="713"/>
      <c r="N486" s="733"/>
      <c r="O486" s="714"/>
      <c r="P486" s="715"/>
      <c r="Q486" s="716"/>
      <c r="R486" s="243"/>
      <c r="S486" s="243"/>
      <c r="T486" s="243"/>
      <c r="U486" s="243"/>
      <c r="V486" s="243"/>
      <c r="W486" s="243"/>
      <c r="X486" s="243"/>
      <c r="Y486" s="243"/>
      <c r="Z486" s="243"/>
      <c r="AA486" s="243"/>
      <c r="AB486" s="243"/>
      <c r="AC486" s="243"/>
      <c r="AD486" s="243"/>
      <c r="AE486" s="243"/>
      <c r="AF486" s="243"/>
      <c r="AG486" s="243"/>
      <c r="AH486" s="243"/>
      <c r="AI486" s="243"/>
      <c r="AJ486" s="243"/>
      <c r="AK486" s="243"/>
      <c r="AL486" s="243"/>
      <c r="AM486" s="243"/>
      <c r="AN486" s="243"/>
      <c r="AO486" s="243"/>
      <c r="AP486" s="243"/>
      <c r="AQ486" s="243"/>
      <c r="AR486" s="243"/>
      <c r="AS486" s="243"/>
      <c r="AT486" s="243"/>
      <c r="AU486" s="243"/>
      <c r="AV486" s="243"/>
      <c r="AW486" s="243"/>
      <c r="AX486" s="243"/>
      <c r="AY486" s="243"/>
      <c r="AZ486" s="243"/>
      <c r="BA486" s="243"/>
      <c r="BB486" s="243"/>
      <c r="BC486" s="243"/>
      <c r="BD486" s="243"/>
      <c r="BE486" s="243"/>
      <c r="BF486" s="243"/>
      <c r="BG486" s="243"/>
      <c r="BH486" s="243"/>
      <c r="BI486" s="243"/>
      <c r="BJ486" s="243"/>
      <c r="BK486" s="243"/>
      <c r="BL486" s="243"/>
      <c r="BM486" s="243"/>
      <c r="BN486" s="243"/>
      <c r="BO486" s="243"/>
      <c r="BP486" s="243"/>
      <c r="BQ486" s="243"/>
      <c r="BR486" s="243"/>
      <c r="BS486" s="243"/>
      <c r="BT486" s="243"/>
      <c r="BU486" s="243"/>
      <c r="BV486" s="243"/>
      <c r="BW486" s="243"/>
      <c r="BX486" s="243"/>
      <c r="BY486" s="243"/>
      <c r="BZ486" s="243"/>
      <c r="CA486" s="243"/>
      <c r="CB486" s="243"/>
      <c r="CC486" s="243"/>
      <c r="CD486" s="243"/>
      <c r="CE486" s="243"/>
      <c r="CF486" s="243"/>
      <c r="CG486" s="243"/>
      <c r="CH486" s="243"/>
      <c r="CI486" s="243"/>
      <c r="CJ486" s="243"/>
      <c r="CK486" s="243"/>
      <c r="CL486" s="243"/>
      <c r="CM486" s="243"/>
      <c r="CN486" s="243"/>
      <c r="CO486" s="243"/>
      <c r="CP486" s="243"/>
      <c r="CQ486" s="243"/>
      <c r="CR486" s="243"/>
      <c r="CS486" s="243"/>
      <c r="CT486" s="243"/>
      <c r="CU486" s="243"/>
      <c r="CV486" s="243"/>
      <c r="CW486" s="243"/>
      <c r="CX486" s="243"/>
      <c r="CY486" s="243"/>
      <c r="CZ486" s="243"/>
      <c r="DA486" s="243"/>
      <c r="DB486" s="243"/>
      <c r="DC486" s="243"/>
      <c r="DD486" s="243"/>
      <c r="DE486" s="243"/>
      <c r="DF486" s="243"/>
      <c r="DG486" s="243"/>
      <c r="DH486" s="243"/>
      <c r="DI486" s="243"/>
      <c r="DJ486" s="243"/>
      <c r="DK486" s="243"/>
      <c r="DL486" s="243"/>
      <c r="DM486" s="243"/>
      <c r="DN486" s="243"/>
      <c r="DO486" s="243"/>
      <c r="DP486" s="243"/>
      <c r="DQ486" s="243"/>
      <c r="DR486" s="243"/>
      <c r="DS486" s="243"/>
      <c r="DT486" s="243"/>
      <c r="DU486" s="243"/>
      <c r="DV486" s="243"/>
      <c r="DW486" s="243"/>
      <c r="DX486" s="243"/>
      <c r="DY486" s="243"/>
      <c r="DZ486" s="243"/>
      <c r="EA486" s="243"/>
      <c r="EB486" s="243"/>
      <c r="EC486" s="243"/>
      <c r="ED486" s="243"/>
      <c r="EE486" s="243"/>
      <c r="EF486" s="243"/>
      <c r="EG486" s="243"/>
      <c r="EH486" s="243"/>
      <c r="EI486" s="243"/>
      <c r="EJ486" s="243"/>
      <c r="EK486" s="243"/>
      <c r="EL486" s="243"/>
      <c r="EM486" s="243"/>
      <c r="EN486" s="243"/>
      <c r="EO486" s="243"/>
      <c r="EP486" s="243"/>
      <c r="EQ486" s="243"/>
      <c r="ER486" s="243"/>
      <c r="ES486" s="243"/>
      <c r="ET486" s="243"/>
      <c r="EU486" s="243"/>
      <c r="EV486" s="243"/>
      <c r="EW486" s="243"/>
      <c r="EX486" s="243"/>
      <c r="EY486" s="243"/>
      <c r="EZ486" s="243"/>
      <c r="FA486" s="243"/>
      <c r="FB486" s="243"/>
      <c r="FC486" s="243"/>
      <c r="FD486" s="243"/>
      <c r="FE486" s="243"/>
      <c r="FF486" s="243"/>
      <c r="FG486" s="243"/>
      <c r="FH486" s="243"/>
      <c r="FI486" s="243"/>
      <c r="FJ486" s="243"/>
      <c r="FK486" s="243"/>
      <c r="FL486" s="243"/>
      <c r="FM486" s="243"/>
      <c r="FN486" s="243"/>
      <c r="FO486" s="243"/>
      <c r="FP486" s="243"/>
      <c r="FQ486" s="243"/>
      <c r="FR486" s="243"/>
      <c r="FS486" s="243"/>
      <c r="FT486" s="243"/>
      <c r="FU486" s="243"/>
      <c r="FV486" s="243"/>
      <c r="FW486" s="243"/>
      <c r="FX486" s="243"/>
      <c r="FY486" s="243"/>
      <c r="FZ486" s="243"/>
      <c r="GA486" s="243"/>
      <c r="GB486" s="243"/>
      <c r="GC486" s="243"/>
      <c r="GD486" s="243"/>
      <c r="GE486" s="243"/>
      <c r="GF486" s="243"/>
      <c r="GG486" s="243"/>
      <c r="GH486" s="243"/>
      <c r="GI486" s="243"/>
      <c r="GJ486" s="243"/>
      <c r="GK486" s="243"/>
      <c r="GL486" s="243"/>
      <c r="GM486" s="243"/>
      <c r="GN486" s="243"/>
      <c r="GO486" s="243"/>
      <c r="GP486" s="243"/>
      <c r="GQ486" s="243"/>
      <c r="GR486" s="243"/>
      <c r="GS486" s="243"/>
      <c r="GT486" s="243"/>
      <c r="GU486" s="243"/>
      <c r="GV486" s="243"/>
      <c r="GW486" s="243"/>
      <c r="GX486" s="243"/>
      <c r="GY486" s="243"/>
      <c r="GZ486" s="243"/>
      <c r="HA486" s="243"/>
      <c r="HB486" s="243"/>
      <c r="HC486" s="243"/>
      <c r="HD486" s="243"/>
      <c r="HE486" s="243"/>
      <c r="HF486" s="243"/>
      <c r="HG486" s="243"/>
      <c r="HH486" s="243"/>
      <c r="HI486" s="243"/>
      <c r="HJ486" s="243"/>
      <c r="HK486" s="243"/>
      <c r="HL486" s="243"/>
      <c r="HM486" s="243"/>
      <c r="HN486" s="243"/>
      <c r="HO486" s="243"/>
      <c r="HP486" s="243"/>
      <c r="HQ486" s="243"/>
      <c r="HR486" s="243"/>
      <c r="HS486" s="243"/>
      <c r="HT486" s="243"/>
      <c r="HU486" s="243"/>
      <c r="HV486" s="243"/>
      <c r="HW486" s="243"/>
      <c r="HX486" s="243"/>
      <c r="HY486" s="243"/>
      <c r="HZ486" s="243"/>
      <c r="IA486" s="243"/>
      <c r="IB486" s="243"/>
      <c r="IC486" s="243"/>
      <c r="ID486" s="243"/>
      <c r="IE486" s="243"/>
      <c r="IF486" s="243"/>
      <c r="IG486" s="243"/>
      <c r="IH486" s="243"/>
      <c r="II486" s="243"/>
      <c r="IJ486" s="243"/>
      <c r="IK486" s="243"/>
      <c r="IL486" s="243"/>
      <c r="IM486" s="243"/>
      <c r="IN486" s="243"/>
      <c r="IO486" s="243"/>
      <c r="IP486" s="243"/>
      <c r="IQ486" s="243"/>
      <c r="IR486" s="243"/>
      <c r="IS486" s="243"/>
      <c r="IT486" s="243"/>
      <c r="IU486" s="243"/>
      <c r="IV486" s="243"/>
      <c r="IW486" s="243"/>
      <c r="IX486" s="243"/>
      <c r="IY486" s="243"/>
      <c r="IZ486" s="243"/>
      <c r="JA486" s="243"/>
      <c r="JB486" s="243"/>
      <c r="JC486" s="243"/>
      <c r="JD486" s="243"/>
      <c r="JE486" s="243"/>
      <c r="JF486" s="243"/>
      <c r="JG486" s="243"/>
      <c r="JH486" s="243"/>
      <c r="JI486" s="243"/>
      <c r="JJ486" s="243"/>
      <c r="JK486" s="243"/>
      <c r="JL486" s="243"/>
      <c r="JM486" s="243"/>
      <c r="JN486" s="243"/>
      <c r="JO486" s="243"/>
      <c r="JP486" s="243"/>
      <c r="JQ486" s="243"/>
      <c r="JR486" s="243"/>
      <c r="JS486" s="243"/>
      <c r="JT486" s="243"/>
      <c r="JU486" s="243"/>
      <c r="JV486" s="243"/>
      <c r="JW486" s="243"/>
      <c r="JX486" s="243"/>
      <c r="JY486" s="243"/>
      <c r="JZ486" s="243"/>
      <c r="KA486" s="243"/>
      <c r="KB486" s="243"/>
      <c r="KC486" s="243"/>
      <c r="KD486" s="243"/>
      <c r="KE486" s="243"/>
      <c r="KF486" s="243"/>
      <c r="KG486" s="243"/>
      <c r="KH486" s="243"/>
      <c r="KI486" s="243"/>
      <c r="KJ486" s="243"/>
      <c r="KK486" s="243"/>
      <c r="KL486" s="243"/>
      <c r="KM486" s="243"/>
      <c r="KN486" s="243"/>
      <c r="KO486" s="243"/>
      <c r="KP486" s="243"/>
      <c r="KQ486" s="243"/>
      <c r="KR486" s="243"/>
      <c r="KS486" s="243"/>
      <c r="KT486" s="243"/>
      <c r="KU486" s="243"/>
      <c r="KV486" s="243"/>
      <c r="KW486" s="243"/>
      <c r="KX486" s="243"/>
      <c r="KY486" s="243"/>
      <c r="KZ486" s="243"/>
      <c r="LA486" s="243"/>
      <c r="LB486" s="243"/>
      <c r="LC486" s="243"/>
      <c r="LD486" s="243"/>
      <c r="LE486" s="243"/>
      <c r="LF486" s="243"/>
      <c r="LG486" s="243"/>
      <c r="LH486" s="243"/>
      <c r="LI486" s="243"/>
      <c r="LJ486" s="243"/>
      <c r="LK486" s="243"/>
      <c r="LL486" s="243"/>
      <c r="LM486" s="243"/>
      <c r="LN486" s="243"/>
      <c r="LO486" s="243"/>
      <c r="LP486" s="243"/>
      <c r="LQ486" s="243"/>
      <c r="LR486" s="243"/>
      <c r="LS486" s="243"/>
      <c r="LT486" s="243"/>
      <c r="LU486" s="243"/>
      <c r="LV486" s="243"/>
      <c r="LW486" s="243"/>
      <c r="LX486" s="243"/>
      <c r="LY486" s="243"/>
      <c r="LZ486" s="243"/>
      <c r="MA486" s="243"/>
      <c r="MB486" s="243"/>
      <c r="MC486" s="243"/>
      <c r="MD486" s="243"/>
      <c r="ME486" s="243"/>
      <c r="MF486" s="243"/>
      <c r="MG486" s="243"/>
      <c r="MH486" s="243"/>
      <c r="MI486" s="243"/>
      <c r="MJ486" s="243"/>
      <c r="MK486" s="243"/>
      <c r="ML486" s="243"/>
      <c r="MM486" s="243"/>
      <c r="MN486" s="243"/>
      <c r="MO486" s="243"/>
      <c r="MP486" s="243"/>
      <c r="MQ486" s="243"/>
      <c r="MR486" s="243"/>
      <c r="MS486" s="243"/>
      <c r="MT486" s="243"/>
      <c r="MU486" s="243"/>
      <c r="MV486" s="243"/>
      <c r="MW486" s="243"/>
      <c r="MX486" s="243"/>
      <c r="MY486" s="243"/>
      <c r="MZ486" s="243"/>
      <c r="NA486" s="243"/>
      <c r="NB486" s="243"/>
      <c r="NC486" s="243"/>
      <c r="ND486" s="243"/>
      <c r="NE486" s="243"/>
      <c r="NF486" s="243"/>
      <c r="NG486" s="243"/>
      <c r="NH486" s="243"/>
      <c r="NI486" s="243"/>
      <c r="NJ486" s="243"/>
      <c r="NK486" s="243"/>
      <c r="NL486" s="243"/>
      <c r="NM486" s="243"/>
      <c r="NN486" s="243"/>
      <c r="NO486" s="243"/>
      <c r="NP486" s="243"/>
      <c r="NQ486" s="243"/>
      <c r="NR486" s="243"/>
      <c r="NS486" s="243"/>
      <c r="NT486" s="243"/>
      <c r="NU486" s="243"/>
      <c r="NV486" s="243"/>
      <c r="NW486" s="243"/>
      <c r="NX486" s="243"/>
      <c r="NY486" s="243"/>
      <c r="NZ486" s="243"/>
      <c r="OA486" s="243"/>
      <c r="OB486" s="243"/>
      <c r="OC486" s="243"/>
      <c r="OD486" s="243"/>
      <c r="OE486" s="243"/>
      <c r="OF486" s="243"/>
      <c r="OG486" s="243"/>
      <c r="OH486" s="243"/>
      <c r="OI486" s="243"/>
      <c r="OJ486" s="243"/>
      <c r="OK486" s="243"/>
      <c r="OL486" s="243"/>
      <c r="OM486" s="243"/>
      <c r="ON486" s="243"/>
      <c r="OO486" s="243"/>
      <c r="OP486" s="243"/>
      <c r="OQ486" s="243"/>
      <c r="OR486" s="243"/>
      <c r="OS486" s="243"/>
      <c r="OT486" s="243"/>
      <c r="OU486" s="243"/>
      <c r="OV486" s="243"/>
      <c r="OW486" s="243"/>
      <c r="OX486" s="243"/>
      <c r="OY486" s="243"/>
      <c r="OZ486" s="243"/>
      <c r="PA486" s="243"/>
      <c r="PB486" s="243"/>
      <c r="PC486" s="243"/>
      <c r="PD486" s="243"/>
      <c r="PE486" s="243"/>
      <c r="PF486" s="243"/>
      <c r="PG486" s="243"/>
      <c r="PH486" s="243"/>
      <c r="PI486" s="243"/>
      <c r="PJ486" s="243"/>
      <c r="PK486" s="243"/>
      <c r="PL486" s="243"/>
      <c r="PM486" s="243"/>
      <c r="PN486" s="243"/>
      <c r="PO486" s="243"/>
      <c r="PP486" s="243"/>
      <c r="PQ486" s="243"/>
      <c r="PR486" s="243"/>
      <c r="PS486" s="243"/>
      <c r="PT486" s="243"/>
      <c r="PU486" s="243"/>
      <c r="PV486" s="243"/>
      <c r="PW486" s="243"/>
      <c r="PX486" s="243"/>
      <c r="PY486" s="243"/>
      <c r="PZ486" s="243"/>
      <c r="QA486" s="243"/>
      <c r="QB486" s="243"/>
      <c r="QC486" s="243"/>
      <c r="QD486" s="243"/>
      <c r="QE486" s="243"/>
      <c r="QF486" s="243"/>
      <c r="QG486" s="243"/>
      <c r="QH486" s="243"/>
      <c r="QI486" s="243"/>
      <c r="QJ486" s="243"/>
      <c r="QK486" s="243"/>
      <c r="QL486" s="243"/>
      <c r="QM486" s="243"/>
      <c r="QN486" s="243"/>
      <c r="QO486" s="243"/>
      <c r="QP486" s="243"/>
      <c r="QQ486" s="243"/>
      <c r="QR486" s="243"/>
      <c r="QS486" s="243"/>
      <c r="QT486" s="243"/>
      <c r="QU486" s="243"/>
      <c r="QV486" s="243"/>
      <c r="QW486" s="243"/>
      <c r="QX486" s="243"/>
      <c r="QY486" s="243"/>
      <c r="QZ486" s="243"/>
      <c r="RA486" s="243"/>
      <c r="RB486" s="243"/>
      <c r="RC486" s="243"/>
      <c r="RD486" s="243"/>
      <c r="RE486" s="243"/>
      <c r="RF486" s="243"/>
      <c r="RG486" s="243"/>
      <c r="RH486" s="243"/>
      <c r="RI486" s="243"/>
      <c r="RJ486" s="243"/>
      <c r="RK486" s="243"/>
      <c r="RL486" s="243"/>
      <c r="RM486" s="243"/>
      <c r="RN486" s="243"/>
      <c r="RO486" s="243"/>
      <c r="RP486" s="243"/>
      <c r="RQ486" s="243"/>
      <c r="RR486" s="243"/>
      <c r="RS486" s="243"/>
      <c r="RT486" s="243"/>
      <c r="RU486" s="243"/>
      <c r="RV486" s="243"/>
      <c r="RW486" s="243"/>
      <c r="RX486" s="243"/>
      <c r="RY486" s="243"/>
      <c r="RZ486" s="243"/>
      <c r="SA486" s="243"/>
      <c r="SB486" s="243"/>
      <c r="SC486" s="243"/>
      <c r="SD486" s="243"/>
      <c r="SE486" s="243"/>
      <c r="SF486" s="243"/>
      <c r="SG486" s="243"/>
      <c r="SH486" s="243"/>
      <c r="SI486" s="243"/>
      <c r="SJ486" s="243"/>
      <c r="SK486" s="243"/>
      <c r="SL486" s="243"/>
      <c r="SM486" s="243"/>
      <c r="SN486" s="243"/>
      <c r="SO486" s="243"/>
      <c r="SP486" s="243"/>
      <c r="SQ486" s="243"/>
      <c r="SR486" s="243"/>
      <c r="SS486" s="243"/>
      <c r="ST486" s="243"/>
      <c r="SU486" s="243"/>
      <c r="SV486" s="243"/>
      <c r="SW486" s="243"/>
      <c r="SX486" s="243"/>
      <c r="SY486" s="243"/>
      <c r="SZ486" s="243"/>
      <c r="TA486" s="243"/>
      <c r="TB486" s="243"/>
      <c r="TC486" s="243"/>
      <c r="TD486" s="243"/>
      <c r="TE486" s="243"/>
      <c r="TF486" s="243"/>
      <c r="TG486" s="243"/>
      <c r="TH486" s="243"/>
      <c r="TI486" s="243"/>
      <c r="TJ486" s="243"/>
      <c r="TK486" s="243"/>
      <c r="TL486" s="243"/>
      <c r="TM486" s="243"/>
      <c r="TN486" s="243"/>
      <c r="TO486" s="243"/>
      <c r="TP486" s="243"/>
      <c r="TQ486" s="243"/>
      <c r="TR486" s="243"/>
      <c r="TS486" s="243"/>
      <c r="TT486" s="243"/>
      <c r="TU486" s="243"/>
      <c r="TV486" s="243"/>
      <c r="TW486" s="243"/>
      <c r="TX486" s="243"/>
      <c r="TY486" s="243"/>
      <c r="TZ486" s="243"/>
      <c r="UA486" s="243"/>
      <c r="UB486" s="243"/>
      <c r="UC486" s="243"/>
      <c r="UD486" s="243"/>
      <c r="UE486" s="243"/>
      <c r="UF486" s="243"/>
      <c r="UG486" s="243"/>
      <c r="UH486" s="243"/>
      <c r="UI486" s="243"/>
      <c r="UJ486" s="243"/>
      <c r="UK486" s="243"/>
      <c r="UL486" s="243"/>
      <c r="UM486" s="243"/>
      <c r="UN486" s="243"/>
      <c r="UO486" s="243"/>
      <c r="UP486" s="243"/>
      <c r="UQ486" s="243"/>
      <c r="UR486" s="243"/>
      <c r="US486" s="243"/>
      <c r="UT486" s="243"/>
      <c r="UU486" s="243"/>
      <c r="UV486" s="243"/>
      <c r="UW486" s="243"/>
      <c r="UX486" s="243"/>
      <c r="UY486" s="243"/>
      <c r="UZ486" s="243"/>
      <c r="VA486" s="243"/>
      <c r="VB486" s="243"/>
      <c r="VC486" s="243"/>
      <c r="VD486" s="243"/>
      <c r="VE486" s="243"/>
      <c r="VF486" s="243"/>
      <c r="VG486" s="243"/>
      <c r="VH486" s="243"/>
      <c r="VI486" s="243"/>
      <c r="VJ486" s="243"/>
      <c r="VK486" s="243"/>
      <c r="VL486" s="243"/>
      <c r="VM486" s="243"/>
      <c r="VN486" s="243"/>
      <c r="VO486" s="243"/>
      <c r="VP486" s="243"/>
      <c r="VQ486" s="243"/>
      <c r="VR486" s="243"/>
      <c r="VS486" s="243"/>
      <c r="VT486" s="243"/>
      <c r="VU486" s="243"/>
      <c r="VV486" s="243"/>
      <c r="VW486" s="243"/>
      <c r="VX486" s="243"/>
      <c r="VY486" s="243"/>
      <c r="VZ486" s="243"/>
      <c r="WA486" s="243"/>
      <c r="WB486" s="243"/>
      <c r="WC486" s="243"/>
      <c r="WD486" s="243"/>
      <c r="WE486" s="243"/>
      <c r="WF486" s="243"/>
      <c r="WG486" s="243"/>
      <c r="WH486" s="243"/>
      <c r="WI486" s="243"/>
      <c r="WJ486" s="243"/>
      <c r="WK486" s="243"/>
      <c r="WL486" s="243"/>
      <c r="WM486" s="243"/>
      <c r="WN486" s="243"/>
      <c r="WO486" s="243"/>
      <c r="WP486" s="243"/>
      <c r="WQ486" s="243"/>
      <c r="WR486" s="243"/>
      <c r="WS486" s="243"/>
      <c r="WT486" s="243"/>
      <c r="WU486" s="243"/>
      <c r="WV486" s="243"/>
      <c r="WW486" s="243"/>
      <c r="WX486" s="243"/>
      <c r="WY486" s="243"/>
      <c r="WZ486" s="243"/>
      <c r="XA486" s="243"/>
      <c r="XB486" s="243"/>
      <c r="XC486" s="243"/>
      <c r="XD486" s="243"/>
      <c r="XE486" s="243"/>
      <c r="XF486" s="243"/>
      <c r="XG486" s="243"/>
      <c r="XH486" s="243"/>
      <c r="XI486" s="243"/>
      <c r="XJ486" s="243"/>
      <c r="XK486" s="243"/>
      <c r="XL486" s="243"/>
      <c r="XM486" s="243"/>
      <c r="XN486" s="243"/>
      <c r="XO486" s="243"/>
      <c r="XP486" s="243"/>
      <c r="XQ486" s="243"/>
      <c r="XR486" s="243"/>
      <c r="XS486" s="243"/>
      <c r="XT486" s="243"/>
      <c r="XU486" s="243"/>
      <c r="XV486" s="243"/>
      <c r="XW486" s="243"/>
      <c r="XX486" s="243"/>
      <c r="XY486" s="243"/>
      <c r="XZ486" s="243"/>
      <c r="YA486" s="243"/>
      <c r="YB486" s="243"/>
      <c r="YC486" s="243"/>
      <c r="YD486" s="243"/>
      <c r="YE486" s="243"/>
      <c r="YF486" s="243"/>
      <c r="YG486" s="243"/>
      <c r="YH486" s="243"/>
      <c r="YI486" s="243"/>
      <c r="YJ486" s="243"/>
      <c r="YK486" s="243"/>
      <c r="YL486" s="243"/>
      <c r="YM486" s="243"/>
      <c r="YN486" s="243"/>
      <c r="YO486" s="243"/>
      <c r="YP486" s="243"/>
      <c r="YQ486" s="243"/>
      <c r="YR486" s="243"/>
      <c r="YS486" s="243"/>
      <c r="YT486" s="243"/>
      <c r="YU486" s="243"/>
      <c r="YV486" s="243"/>
      <c r="YW486" s="243"/>
      <c r="YX486" s="243"/>
      <c r="YY486" s="243"/>
      <c r="YZ486" s="243"/>
      <c r="ZA486" s="243"/>
      <c r="ZB486" s="243"/>
      <c r="ZC486" s="243"/>
      <c r="ZD486" s="243"/>
      <c r="ZE486" s="243"/>
      <c r="ZF486" s="243"/>
      <c r="ZG486" s="243"/>
      <c r="ZH486" s="243"/>
      <c r="ZI486" s="243"/>
      <c r="ZJ486" s="243"/>
      <c r="ZK486" s="243"/>
      <c r="ZL486" s="243"/>
      <c r="ZM486" s="243"/>
      <c r="ZN486" s="243"/>
      <c r="ZO486" s="243"/>
      <c r="ZP486" s="243"/>
      <c r="ZQ486" s="243"/>
      <c r="ZR486" s="243"/>
      <c r="ZS486" s="243"/>
      <c r="ZT486" s="243"/>
      <c r="ZU486" s="243"/>
      <c r="ZV486" s="243"/>
      <c r="ZW486" s="243"/>
      <c r="ZX486" s="243"/>
      <c r="ZY486" s="243"/>
      <c r="ZZ486" s="243"/>
      <c r="AAA486" s="243"/>
      <c r="AAB486" s="243"/>
      <c r="AAC486" s="243"/>
      <c r="AAD486" s="243"/>
      <c r="AAE486" s="243"/>
      <c r="AAF486" s="243"/>
      <c r="AAG486" s="243"/>
      <c r="AAH486" s="243"/>
      <c r="AAI486" s="243"/>
      <c r="AAJ486" s="243"/>
      <c r="AAK486" s="243"/>
      <c r="AAL486" s="243"/>
      <c r="AAM486" s="243"/>
      <c r="AAN486" s="243"/>
      <c r="AAO486" s="243"/>
      <c r="AAP486" s="243"/>
      <c r="AAQ486" s="243"/>
      <c r="AAR486" s="243"/>
      <c r="AAS486" s="243"/>
      <c r="AAT486" s="243"/>
      <c r="AAU486" s="243"/>
      <c r="AAV486" s="243"/>
      <c r="AAW486" s="243"/>
      <c r="AAX486" s="243"/>
      <c r="AAY486" s="243"/>
      <c r="AAZ486" s="243"/>
      <c r="ABA486" s="243"/>
      <c r="ABB486" s="243"/>
      <c r="ABC486" s="243"/>
      <c r="ABD486" s="243"/>
      <c r="ABE486" s="243"/>
      <c r="ABF486" s="243"/>
      <c r="ABG486" s="243"/>
      <c r="ABH486" s="243"/>
      <c r="ABI486" s="243"/>
      <c r="ABJ486" s="243"/>
      <c r="ABK486" s="243"/>
      <c r="ABL486" s="243"/>
      <c r="ABM486" s="243"/>
      <c r="ABN486" s="243"/>
      <c r="ABO486" s="243"/>
      <c r="ABP486" s="243"/>
      <c r="ABQ486" s="243"/>
      <c r="ABR486" s="243"/>
      <c r="ABS486" s="243"/>
      <c r="ABT486" s="243"/>
      <c r="ABU486" s="243"/>
      <c r="ABV486" s="243"/>
      <c r="ABW486" s="243"/>
      <c r="ABX486" s="243"/>
      <c r="ABY486" s="243"/>
      <c r="ABZ486" s="243"/>
      <c r="ACA486" s="243"/>
      <c r="ACB486" s="243"/>
      <c r="ACC486" s="243"/>
      <c r="ACD486" s="243"/>
      <c r="ACE486" s="243"/>
      <c r="ACF486" s="243"/>
      <c r="ACG486" s="243"/>
      <c r="ACH486" s="243"/>
      <c r="ACI486" s="243"/>
      <c r="ACJ486" s="243"/>
      <c r="ACK486" s="243"/>
      <c r="ACL486" s="243"/>
      <c r="ACM486" s="243"/>
      <c r="ACN486" s="243"/>
      <c r="ACO486" s="243"/>
      <c r="ACP486" s="243"/>
      <c r="ACQ486" s="243"/>
      <c r="ACR486" s="243"/>
      <c r="ACS486" s="243"/>
      <c r="ACT486" s="243"/>
      <c r="ACU486" s="243"/>
      <c r="ACV486" s="243"/>
      <c r="ACW486" s="243"/>
      <c r="ACX486" s="243"/>
      <c r="ACY486" s="243"/>
      <c r="ACZ486" s="243"/>
      <c r="ADA486" s="243"/>
      <c r="ADB486" s="243"/>
      <c r="ADC486" s="243"/>
      <c r="ADD486" s="243"/>
      <c r="ADE486" s="243"/>
      <c r="ADF486" s="243"/>
      <c r="ADG486" s="243"/>
      <c r="ADH486" s="243"/>
      <c r="ADI486" s="243"/>
      <c r="ADJ486" s="243"/>
      <c r="ADK486" s="243"/>
      <c r="ADL486" s="243"/>
      <c r="ADM486" s="243"/>
      <c r="ADN486" s="243"/>
      <c r="ADO486" s="243"/>
      <c r="ADP486" s="243"/>
      <c r="ADQ486" s="243"/>
      <c r="ADR486" s="243"/>
      <c r="ADS486" s="243"/>
      <c r="ADT486" s="243"/>
      <c r="ADU486" s="243"/>
      <c r="ADV486" s="243"/>
      <c r="ADW486" s="243"/>
      <c r="ADX486" s="243"/>
      <c r="ADY486" s="243"/>
      <c r="ADZ486" s="243"/>
      <c r="AEA486" s="243"/>
      <c r="AEB486" s="243"/>
      <c r="AEC486" s="243"/>
      <c r="AED486" s="243"/>
      <c r="AEE486" s="243"/>
      <c r="AEF486" s="243"/>
      <c r="AEG486" s="243"/>
      <c r="AEH486" s="243"/>
      <c r="AEI486" s="243"/>
      <c r="AEJ486" s="243"/>
      <c r="AEK486" s="243"/>
      <c r="AEL486" s="243"/>
      <c r="AEM486" s="243"/>
      <c r="AEN486" s="243"/>
      <c r="AEO486" s="243"/>
      <c r="AEP486" s="243"/>
      <c r="AEQ486" s="243"/>
      <c r="AER486" s="243"/>
      <c r="AES486" s="243"/>
      <c r="AET486" s="243"/>
      <c r="AEU486" s="243"/>
      <c r="AEV486" s="243"/>
      <c r="AEW486" s="243"/>
      <c r="AEX486" s="243"/>
      <c r="AEY486" s="243"/>
      <c r="AEZ486" s="243"/>
      <c r="AFA486" s="243"/>
      <c r="AFB486" s="243"/>
      <c r="AFC486" s="243"/>
      <c r="AFD486" s="243"/>
      <c r="AFE486" s="243"/>
      <c r="AFF486" s="243"/>
      <c r="AFG486" s="243"/>
      <c r="AFH486" s="243"/>
      <c r="AFI486" s="243"/>
      <c r="AFJ486" s="243"/>
      <c r="AFK486" s="243"/>
      <c r="AFL486" s="243"/>
      <c r="AFM486" s="243"/>
      <c r="AFN486" s="243"/>
      <c r="AFO486" s="243"/>
      <c r="AFP486" s="243"/>
      <c r="AFQ486" s="243"/>
      <c r="AFR486" s="243"/>
      <c r="AFS486" s="243"/>
      <c r="AFT486" s="243"/>
      <c r="AFU486" s="243"/>
      <c r="AFV486" s="243"/>
      <c r="AFW486" s="243"/>
      <c r="AFX486" s="243"/>
      <c r="AFY486" s="243"/>
      <c r="AFZ486" s="243"/>
      <c r="AGA486" s="243"/>
      <c r="AGB486" s="243"/>
      <c r="AGC486" s="243"/>
      <c r="AGD486" s="243"/>
      <c r="AGE486" s="243"/>
      <c r="AGF486" s="243"/>
      <c r="AGG486" s="243"/>
      <c r="AGH486" s="243"/>
      <c r="AGI486" s="243"/>
      <c r="AGJ486" s="243"/>
      <c r="AGK486" s="243"/>
      <c r="AGL486" s="243"/>
      <c r="AGM486" s="243"/>
      <c r="AGN486" s="243"/>
      <c r="AGO486" s="243"/>
      <c r="AGP486" s="243"/>
      <c r="AGQ486" s="243"/>
      <c r="AGR486" s="243"/>
      <c r="AGS486" s="243"/>
      <c r="AGT486" s="243"/>
      <c r="AGU486" s="243"/>
      <c r="AGV486" s="243"/>
      <c r="AGW486" s="243"/>
      <c r="AGX486" s="243"/>
      <c r="AGY486" s="243"/>
      <c r="AGZ486" s="243"/>
      <c r="AHA486" s="243"/>
      <c r="AHB486" s="243"/>
      <c r="AHC486" s="243"/>
      <c r="AHD486" s="243"/>
      <c r="AHE486" s="243"/>
      <c r="AHF486" s="243"/>
      <c r="AHG486" s="243"/>
      <c r="AHH486" s="243"/>
      <c r="AHI486" s="243"/>
      <c r="AHJ486" s="243"/>
      <c r="AHK486" s="243"/>
      <c r="AHL486" s="243"/>
      <c r="AHM486" s="243"/>
      <c r="AHN486" s="243"/>
      <c r="AHO486" s="243"/>
      <c r="AHP486" s="243"/>
      <c r="AHQ486" s="243"/>
      <c r="AHR486" s="243"/>
      <c r="AHS486" s="243"/>
      <c r="AHT486" s="243"/>
      <c r="AHU486" s="243"/>
      <c r="AHV486" s="243"/>
      <c r="AHW486" s="243"/>
      <c r="AHX486" s="243"/>
      <c r="AHY486" s="243"/>
      <c r="AHZ486" s="243"/>
      <c r="AIA486" s="243"/>
      <c r="AIB486" s="243"/>
      <c r="AIC486" s="243"/>
      <c r="AID486" s="243"/>
      <c r="AIE486" s="243"/>
      <c r="AIF486" s="243"/>
      <c r="AIG486" s="243"/>
      <c r="AIH486" s="243"/>
      <c r="AII486" s="243"/>
      <c r="AIJ486" s="243"/>
      <c r="AIK486" s="243"/>
      <c r="AIL486" s="243"/>
      <c r="AIM486" s="243"/>
      <c r="AIN486" s="243"/>
      <c r="AIO486" s="243"/>
      <c r="AIP486" s="243"/>
      <c r="AIQ486" s="243"/>
      <c r="AIR486" s="243"/>
      <c r="AIS486" s="243"/>
      <c r="AIT486" s="243"/>
      <c r="AIU486" s="243"/>
      <c r="AIV486" s="243"/>
      <c r="AIW486" s="243"/>
      <c r="AIX486" s="243"/>
      <c r="AIY486" s="243"/>
      <c r="AIZ486" s="243"/>
      <c r="AJA486" s="243"/>
      <c r="AJB486" s="243"/>
      <c r="AJC486" s="243"/>
      <c r="AJD486" s="243"/>
      <c r="AJE486" s="243"/>
      <c r="AJF486" s="243"/>
      <c r="AJG486" s="243"/>
      <c r="AJH486" s="243"/>
      <c r="AJI486" s="243"/>
      <c r="AJJ486" s="243"/>
      <c r="AJK486" s="243"/>
      <c r="AJL486" s="243"/>
      <c r="AJM486" s="243"/>
      <c r="AJN486" s="243"/>
      <c r="AJO486" s="243"/>
      <c r="AJP486" s="243"/>
      <c r="AJQ486" s="243"/>
      <c r="AJR486" s="243"/>
      <c r="AJS486" s="243"/>
      <c r="AJT486" s="243"/>
      <c r="AJU486" s="243"/>
      <c r="AJV486" s="243"/>
      <c r="AJW486" s="243"/>
      <c r="AJX486" s="243"/>
      <c r="AJY486" s="243"/>
      <c r="AJZ486" s="243"/>
      <c r="AKA486" s="243"/>
      <c r="AKB486" s="243"/>
      <c r="AKC486" s="243"/>
      <c r="AKD486" s="243"/>
      <c r="AKE486" s="243"/>
      <c r="AKF486" s="243"/>
      <c r="AKG486" s="243"/>
      <c r="AKH486" s="243"/>
      <c r="AKI486" s="243"/>
      <c r="AKJ486" s="243"/>
      <c r="AKK486" s="243"/>
      <c r="AKL486" s="243"/>
      <c r="AKM486" s="243"/>
      <c r="AKN486" s="243"/>
      <c r="AKO486" s="243"/>
      <c r="AKP486" s="243"/>
      <c r="AKQ486" s="243"/>
      <c r="AKR486" s="243"/>
      <c r="AKS486" s="243"/>
      <c r="AKT486" s="243"/>
      <c r="AKU486" s="243"/>
      <c r="AKV486" s="243"/>
      <c r="AKW486" s="243"/>
      <c r="AKX486" s="243"/>
      <c r="AKY486" s="243"/>
      <c r="AKZ486" s="243"/>
      <c r="ALA486" s="243"/>
      <c r="ALB486" s="243"/>
      <c r="ALC486" s="243"/>
      <c r="ALD486" s="243"/>
      <c r="ALE486" s="243"/>
      <c r="ALF486" s="243"/>
      <c r="ALG486" s="243"/>
      <c r="ALH486" s="243"/>
      <c r="ALI486" s="243"/>
      <c r="ALJ486" s="243"/>
      <c r="ALK486" s="243"/>
      <c r="ALL486" s="243"/>
      <c r="ALM486" s="243"/>
      <c r="ALN486" s="243"/>
      <c r="ALO486" s="243"/>
      <c r="ALP486" s="243"/>
      <c r="ALQ486" s="243"/>
      <c r="ALR486" s="243"/>
      <c r="ALS486" s="243"/>
      <c r="ALT486" s="243"/>
      <c r="ALU486" s="243"/>
      <c r="ALV486" s="243"/>
      <c r="ALW486" s="243"/>
      <c r="ALX486" s="243"/>
      <c r="ALY486" s="243"/>
      <c r="ALZ486" s="243"/>
      <c r="AMA486" s="243"/>
      <c r="AMB486" s="243"/>
      <c r="AMC486" s="243"/>
      <c r="AMD486" s="243"/>
      <c r="AME486" s="243"/>
      <c r="AMF486" s="243"/>
      <c r="AMG486" s="243"/>
      <c r="AMH486" s="243"/>
      <c r="AMI486" s="244"/>
      <c r="AMJ486" s="244"/>
    </row>
    <row r="487" spans="1:1024">
      <c r="A487" s="901"/>
      <c r="B487" s="551">
        <v>14992</v>
      </c>
      <c r="C487" s="121">
        <v>0.1</v>
      </c>
      <c r="D487" s="670" t="s">
        <v>320</v>
      </c>
      <c r="E487" s="364">
        <v>1500000</v>
      </c>
      <c r="F487" s="601">
        <v>0.06</v>
      </c>
      <c r="G487" s="364">
        <f t="shared" si="21"/>
        <v>90000</v>
      </c>
      <c r="H487" s="599" t="s">
        <v>51</v>
      </c>
      <c r="I487" s="604"/>
      <c r="J487" s="604"/>
      <c r="K487" s="712"/>
      <c r="L487" s="712"/>
      <c r="M487" s="713"/>
      <c r="N487" s="733"/>
      <c r="O487" s="714"/>
      <c r="P487" s="715"/>
      <c r="Q487" s="716"/>
      <c r="R487" s="243"/>
      <c r="S487" s="243"/>
      <c r="T487" s="243"/>
      <c r="U487" s="243"/>
      <c r="V487" s="243"/>
      <c r="W487" s="243"/>
      <c r="X487" s="243"/>
      <c r="Y487" s="243"/>
      <c r="Z487" s="243"/>
      <c r="AA487" s="243"/>
      <c r="AB487" s="243"/>
      <c r="AC487" s="243"/>
      <c r="AD487" s="243"/>
      <c r="AE487" s="243"/>
      <c r="AF487" s="243"/>
      <c r="AG487" s="243"/>
      <c r="AH487" s="243"/>
      <c r="AI487" s="243"/>
      <c r="AJ487" s="243"/>
      <c r="AK487" s="243"/>
      <c r="AL487" s="243"/>
      <c r="AM487" s="243"/>
      <c r="AN487" s="243"/>
      <c r="AO487" s="243"/>
      <c r="AP487" s="243"/>
      <c r="AQ487" s="243"/>
      <c r="AR487" s="243"/>
      <c r="AS487" s="243"/>
      <c r="AT487" s="243"/>
      <c r="AU487" s="243"/>
      <c r="AV487" s="243"/>
      <c r="AW487" s="243"/>
      <c r="AX487" s="243"/>
      <c r="AY487" s="243"/>
      <c r="AZ487" s="243"/>
      <c r="BA487" s="243"/>
      <c r="BB487" s="243"/>
      <c r="BC487" s="243"/>
      <c r="BD487" s="243"/>
      <c r="BE487" s="243"/>
      <c r="BF487" s="243"/>
      <c r="BG487" s="243"/>
      <c r="BH487" s="243"/>
      <c r="BI487" s="243"/>
      <c r="BJ487" s="243"/>
      <c r="BK487" s="243"/>
      <c r="BL487" s="243"/>
      <c r="BM487" s="243"/>
      <c r="BN487" s="243"/>
      <c r="BO487" s="243"/>
      <c r="BP487" s="243"/>
      <c r="BQ487" s="243"/>
      <c r="BR487" s="243"/>
      <c r="BS487" s="243"/>
      <c r="BT487" s="243"/>
      <c r="BU487" s="243"/>
      <c r="BV487" s="243"/>
      <c r="BW487" s="243"/>
      <c r="BX487" s="243"/>
      <c r="BY487" s="243"/>
      <c r="BZ487" s="243"/>
      <c r="CA487" s="243"/>
      <c r="CB487" s="243"/>
      <c r="CC487" s="243"/>
      <c r="CD487" s="243"/>
      <c r="CE487" s="243"/>
      <c r="CF487" s="243"/>
      <c r="CG487" s="243"/>
      <c r="CH487" s="243"/>
      <c r="CI487" s="243"/>
      <c r="CJ487" s="243"/>
      <c r="CK487" s="243"/>
      <c r="CL487" s="243"/>
      <c r="CM487" s="243"/>
      <c r="CN487" s="243"/>
      <c r="CO487" s="243"/>
      <c r="CP487" s="243"/>
      <c r="CQ487" s="243"/>
      <c r="CR487" s="243"/>
      <c r="CS487" s="243"/>
      <c r="CT487" s="243"/>
      <c r="CU487" s="243"/>
      <c r="CV487" s="243"/>
      <c r="CW487" s="243"/>
      <c r="CX487" s="243"/>
      <c r="CY487" s="243"/>
      <c r="CZ487" s="243"/>
      <c r="DA487" s="243"/>
      <c r="DB487" s="243"/>
      <c r="DC487" s="243"/>
      <c r="DD487" s="243"/>
      <c r="DE487" s="243"/>
      <c r="DF487" s="243"/>
      <c r="DG487" s="243"/>
      <c r="DH487" s="243"/>
      <c r="DI487" s="243"/>
      <c r="DJ487" s="243"/>
      <c r="DK487" s="243"/>
      <c r="DL487" s="243"/>
      <c r="DM487" s="243"/>
      <c r="DN487" s="243"/>
      <c r="DO487" s="243"/>
      <c r="DP487" s="243"/>
      <c r="DQ487" s="243"/>
      <c r="DR487" s="243"/>
      <c r="DS487" s="243"/>
      <c r="DT487" s="243"/>
      <c r="DU487" s="243"/>
      <c r="DV487" s="243"/>
      <c r="DW487" s="243"/>
      <c r="DX487" s="243"/>
      <c r="DY487" s="243"/>
      <c r="DZ487" s="243"/>
      <c r="EA487" s="243"/>
      <c r="EB487" s="243"/>
      <c r="EC487" s="243"/>
      <c r="ED487" s="243"/>
      <c r="EE487" s="243"/>
      <c r="EF487" s="243"/>
      <c r="EG487" s="243"/>
      <c r="EH487" s="243"/>
      <c r="EI487" s="243"/>
      <c r="EJ487" s="243"/>
      <c r="EK487" s="243"/>
      <c r="EL487" s="243"/>
      <c r="EM487" s="243"/>
      <c r="EN487" s="243"/>
      <c r="EO487" s="243"/>
      <c r="EP487" s="243"/>
      <c r="EQ487" s="243"/>
      <c r="ER487" s="243"/>
      <c r="ES487" s="243"/>
      <c r="ET487" s="243"/>
      <c r="EU487" s="243"/>
      <c r="EV487" s="243"/>
      <c r="EW487" s="243"/>
      <c r="EX487" s="243"/>
      <c r="EY487" s="243"/>
      <c r="EZ487" s="243"/>
      <c r="FA487" s="243"/>
      <c r="FB487" s="243"/>
      <c r="FC487" s="243"/>
      <c r="FD487" s="243"/>
      <c r="FE487" s="243"/>
      <c r="FF487" s="243"/>
      <c r="FG487" s="243"/>
      <c r="FH487" s="243"/>
      <c r="FI487" s="243"/>
      <c r="FJ487" s="243"/>
      <c r="FK487" s="243"/>
      <c r="FL487" s="243"/>
      <c r="FM487" s="243"/>
      <c r="FN487" s="243"/>
      <c r="FO487" s="243"/>
      <c r="FP487" s="243"/>
      <c r="FQ487" s="243"/>
      <c r="FR487" s="243"/>
      <c r="FS487" s="243"/>
      <c r="FT487" s="243"/>
      <c r="FU487" s="243"/>
      <c r="FV487" s="243"/>
      <c r="FW487" s="243"/>
      <c r="FX487" s="243"/>
      <c r="FY487" s="243"/>
      <c r="FZ487" s="243"/>
      <c r="GA487" s="243"/>
      <c r="GB487" s="243"/>
      <c r="GC487" s="243"/>
      <c r="GD487" s="243"/>
      <c r="GE487" s="243"/>
      <c r="GF487" s="243"/>
      <c r="GG487" s="243"/>
      <c r="GH487" s="243"/>
      <c r="GI487" s="243"/>
      <c r="GJ487" s="243"/>
      <c r="GK487" s="243"/>
      <c r="GL487" s="243"/>
      <c r="GM487" s="243"/>
      <c r="GN487" s="243"/>
      <c r="GO487" s="243"/>
      <c r="GP487" s="243"/>
      <c r="GQ487" s="243"/>
      <c r="GR487" s="243"/>
      <c r="GS487" s="243"/>
      <c r="GT487" s="243"/>
      <c r="GU487" s="243"/>
      <c r="GV487" s="243"/>
      <c r="GW487" s="243"/>
      <c r="GX487" s="243"/>
      <c r="GY487" s="243"/>
      <c r="GZ487" s="243"/>
      <c r="HA487" s="243"/>
      <c r="HB487" s="243"/>
      <c r="HC487" s="243"/>
      <c r="HD487" s="243"/>
      <c r="HE487" s="243"/>
      <c r="HF487" s="243"/>
      <c r="HG487" s="243"/>
      <c r="HH487" s="243"/>
      <c r="HI487" s="243"/>
      <c r="HJ487" s="243"/>
      <c r="HK487" s="243"/>
      <c r="HL487" s="243"/>
      <c r="HM487" s="243"/>
      <c r="HN487" s="243"/>
      <c r="HO487" s="243"/>
      <c r="HP487" s="243"/>
      <c r="HQ487" s="243"/>
      <c r="HR487" s="243"/>
      <c r="HS487" s="243"/>
      <c r="HT487" s="243"/>
      <c r="HU487" s="243"/>
      <c r="HV487" s="243"/>
      <c r="HW487" s="243"/>
      <c r="HX487" s="243"/>
      <c r="HY487" s="243"/>
      <c r="HZ487" s="243"/>
      <c r="IA487" s="243"/>
      <c r="IB487" s="243"/>
      <c r="IC487" s="243"/>
      <c r="ID487" s="243"/>
      <c r="IE487" s="243"/>
      <c r="IF487" s="243"/>
      <c r="IG487" s="243"/>
      <c r="IH487" s="243"/>
      <c r="II487" s="243"/>
      <c r="IJ487" s="243"/>
      <c r="IK487" s="243"/>
      <c r="IL487" s="243"/>
      <c r="IM487" s="243"/>
      <c r="IN487" s="243"/>
      <c r="IO487" s="243"/>
      <c r="IP487" s="243"/>
      <c r="IQ487" s="243"/>
      <c r="IR487" s="243"/>
      <c r="IS487" s="243"/>
      <c r="IT487" s="243"/>
      <c r="IU487" s="243"/>
      <c r="IV487" s="243"/>
      <c r="IW487" s="243"/>
      <c r="IX487" s="243"/>
      <c r="IY487" s="243"/>
      <c r="IZ487" s="243"/>
      <c r="JA487" s="243"/>
      <c r="JB487" s="243"/>
      <c r="JC487" s="243"/>
      <c r="JD487" s="243"/>
      <c r="JE487" s="243"/>
      <c r="JF487" s="243"/>
      <c r="JG487" s="243"/>
      <c r="JH487" s="243"/>
      <c r="JI487" s="243"/>
      <c r="JJ487" s="243"/>
      <c r="JK487" s="243"/>
      <c r="JL487" s="243"/>
      <c r="JM487" s="243"/>
      <c r="JN487" s="243"/>
      <c r="JO487" s="243"/>
      <c r="JP487" s="243"/>
      <c r="JQ487" s="243"/>
      <c r="JR487" s="243"/>
      <c r="JS487" s="243"/>
      <c r="JT487" s="243"/>
      <c r="JU487" s="243"/>
      <c r="JV487" s="243"/>
      <c r="JW487" s="243"/>
      <c r="JX487" s="243"/>
      <c r="JY487" s="243"/>
      <c r="JZ487" s="243"/>
      <c r="KA487" s="243"/>
      <c r="KB487" s="243"/>
      <c r="KC487" s="243"/>
      <c r="KD487" s="243"/>
      <c r="KE487" s="243"/>
      <c r="KF487" s="243"/>
      <c r="KG487" s="243"/>
      <c r="KH487" s="243"/>
      <c r="KI487" s="243"/>
      <c r="KJ487" s="243"/>
      <c r="KK487" s="243"/>
      <c r="KL487" s="243"/>
      <c r="KM487" s="243"/>
      <c r="KN487" s="243"/>
      <c r="KO487" s="243"/>
      <c r="KP487" s="243"/>
      <c r="KQ487" s="243"/>
      <c r="KR487" s="243"/>
      <c r="KS487" s="243"/>
      <c r="KT487" s="243"/>
      <c r="KU487" s="243"/>
      <c r="KV487" s="243"/>
      <c r="KW487" s="243"/>
      <c r="KX487" s="243"/>
      <c r="KY487" s="243"/>
      <c r="KZ487" s="243"/>
      <c r="LA487" s="243"/>
      <c r="LB487" s="243"/>
      <c r="LC487" s="243"/>
      <c r="LD487" s="243"/>
      <c r="LE487" s="243"/>
      <c r="LF487" s="243"/>
      <c r="LG487" s="243"/>
      <c r="LH487" s="243"/>
      <c r="LI487" s="243"/>
      <c r="LJ487" s="243"/>
      <c r="LK487" s="243"/>
      <c r="LL487" s="243"/>
      <c r="LM487" s="243"/>
      <c r="LN487" s="243"/>
      <c r="LO487" s="243"/>
      <c r="LP487" s="243"/>
      <c r="LQ487" s="243"/>
      <c r="LR487" s="243"/>
      <c r="LS487" s="243"/>
      <c r="LT487" s="243"/>
      <c r="LU487" s="243"/>
      <c r="LV487" s="243"/>
      <c r="LW487" s="243"/>
      <c r="LX487" s="243"/>
      <c r="LY487" s="243"/>
      <c r="LZ487" s="243"/>
      <c r="MA487" s="243"/>
      <c r="MB487" s="243"/>
      <c r="MC487" s="243"/>
      <c r="MD487" s="243"/>
      <c r="ME487" s="243"/>
      <c r="MF487" s="243"/>
      <c r="MG487" s="243"/>
      <c r="MH487" s="243"/>
      <c r="MI487" s="243"/>
      <c r="MJ487" s="243"/>
      <c r="MK487" s="243"/>
      <c r="ML487" s="243"/>
      <c r="MM487" s="243"/>
      <c r="MN487" s="243"/>
      <c r="MO487" s="243"/>
      <c r="MP487" s="243"/>
      <c r="MQ487" s="243"/>
      <c r="MR487" s="243"/>
      <c r="MS487" s="243"/>
      <c r="MT487" s="243"/>
      <c r="MU487" s="243"/>
      <c r="MV487" s="243"/>
      <c r="MW487" s="243"/>
      <c r="MX487" s="243"/>
      <c r="MY487" s="243"/>
      <c r="MZ487" s="243"/>
      <c r="NA487" s="243"/>
      <c r="NB487" s="243"/>
      <c r="NC487" s="243"/>
      <c r="ND487" s="243"/>
      <c r="NE487" s="243"/>
      <c r="NF487" s="243"/>
      <c r="NG487" s="243"/>
      <c r="NH487" s="243"/>
      <c r="NI487" s="243"/>
      <c r="NJ487" s="243"/>
      <c r="NK487" s="243"/>
      <c r="NL487" s="243"/>
      <c r="NM487" s="243"/>
      <c r="NN487" s="243"/>
      <c r="NO487" s="243"/>
      <c r="NP487" s="243"/>
      <c r="NQ487" s="243"/>
      <c r="NR487" s="243"/>
      <c r="NS487" s="243"/>
      <c r="NT487" s="243"/>
      <c r="NU487" s="243"/>
      <c r="NV487" s="243"/>
      <c r="NW487" s="243"/>
      <c r="NX487" s="243"/>
      <c r="NY487" s="243"/>
      <c r="NZ487" s="243"/>
      <c r="OA487" s="243"/>
      <c r="OB487" s="243"/>
      <c r="OC487" s="243"/>
      <c r="OD487" s="243"/>
      <c r="OE487" s="243"/>
      <c r="OF487" s="243"/>
      <c r="OG487" s="243"/>
      <c r="OH487" s="243"/>
      <c r="OI487" s="243"/>
      <c r="OJ487" s="243"/>
      <c r="OK487" s="243"/>
      <c r="OL487" s="243"/>
      <c r="OM487" s="243"/>
      <c r="ON487" s="243"/>
      <c r="OO487" s="243"/>
      <c r="OP487" s="243"/>
      <c r="OQ487" s="243"/>
      <c r="OR487" s="243"/>
      <c r="OS487" s="243"/>
      <c r="OT487" s="243"/>
      <c r="OU487" s="243"/>
      <c r="OV487" s="243"/>
      <c r="OW487" s="243"/>
      <c r="OX487" s="243"/>
      <c r="OY487" s="243"/>
      <c r="OZ487" s="243"/>
      <c r="PA487" s="243"/>
      <c r="PB487" s="243"/>
      <c r="PC487" s="243"/>
      <c r="PD487" s="243"/>
      <c r="PE487" s="243"/>
      <c r="PF487" s="243"/>
      <c r="PG487" s="243"/>
      <c r="PH487" s="243"/>
      <c r="PI487" s="243"/>
      <c r="PJ487" s="243"/>
      <c r="PK487" s="243"/>
      <c r="PL487" s="243"/>
      <c r="PM487" s="243"/>
      <c r="PN487" s="243"/>
      <c r="PO487" s="243"/>
      <c r="PP487" s="243"/>
      <c r="PQ487" s="243"/>
      <c r="PR487" s="243"/>
      <c r="PS487" s="243"/>
      <c r="PT487" s="243"/>
      <c r="PU487" s="243"/>
      <c r="PV487" s="243"/>
      <c r="PW487" s="243"/>
      <c r="PX487" s="243"/>
      <c r="PY487" s="243"/>
      <c r="PZ487" s="243"/>
      <c r="QA487" s="243"/>
      <c r="QB487" s="243"/>
      <c r="QC487" s="243"/>
      <c r="QD487" s="243"/>
      <c r="QE487" s="243"/>
      <c r="QF487" s="243"/>
      <c r="QG487" s="243"/>
      <c r="QH487" s="243"/>
      <c r="QI487" s="243"/>
      <c r="QJ487" s="243"/>
      <c r="QK487" s="243"/>
      <c r="QL487" s="243"/>
      <c r="QM487" s="243"/>
      <c r="QN487" s="243"/>
      <c r="QO487" s="243"/>
      <c r="QP487" s="243"/>
      <c r="QQ487" s="243"/>
      <c r="QR487" s="243"/>
      <c r="QS487" s="243"/>
      <c r="QT487" s="243"/>
      <c r="QU487" s="243"/>
      <c r="QV487" s="243"/>
      <c r="QW487" s="243"/>
      <c r="QX487" s="243"/>
      <c r="QY487" s="243"/>
      <c r="QZ487" s="243"/>
      <c r="RA487" s="243"/>
      <c r="RB487" s="243"/>
      <c r="RC487" s="243"/>
      <c r="RD487" s="243"/>
      <c r="RE487" s="243"/>
      <c r="RF487" s="243"/>
      <c r="RG487" s="243"/>
      <c r="RH487" s="243"/>
      <c r="RI487" s="243"/>
      <c r="RJ487" s="243"/>
      <c r="RK487" s="243"/>
      <c r="RL487" s="243"/>
      <c r="RM487" s="243"/>
      <c r="RN487" s="243"/>
      <c r="RO487" s="243"/>
      <c r="RP487" s="243"/>
      <c r="RQ487" s="243"/>
      <c r="RR487" s="243"/>
      <c r="RS487" s="243"/>
      <c r="RT487" s="243"/>
      <c r="RU487" s="243"/>
      <c r="RV487" s="243"/>
      <c r="RW487" s="243"/>
      <c r="RX487" s="243"/>
      <c r="RY487" s="243"/>
      <c r="RZ487" s="243"/>
      <c r="SA487" s="243"/>
      <c r="SB487" s="243"/>
      <c r="SC487" s="243"/>
      <c r="SD487" s="243"/>
      <c r="SE487" s="243"/>
      <c r="SF487" s="243"/>
      <c r="SG487" s="243"/>
      <c r="SH487" s="243"/>
      <c r="SI487" s="243"/>
      <c r="SJ487" s="243"/>
      <c r="SK487" s="243"/>
      <c r="SL487" s="243"/>
      <c r="SM487" s="243"/>
      <c r="SN487" s="243"/>
      <c r="SO487" s="243"/>
      <c r="SP487" s="243"/>
      <c r="SQ487" s="243"/>
      <c r="SR487" s="243"/>
      <c r="SS487" s="243"/>
      <c r="ST487" s="243"/>
      <c r="SU487" s="243"/>
      <c r="SV487" s="243"/>
      <c r="SW487" s="243"/>
      <c r="SX487" s="243"/>
      <c r="SY487" s="243"/>
      <c r="SZ487" s="243"/>
      <c r="TA487" s="243"/>
      <c r="TB487" s="243"/>
      <c r="TC487" s="243"/>
      <c r="TD487" s="243"/>
      <c r="TE487" s="243"/>
      <c r="TF487" s="243"/>
      <c r="TG487" s="243"/>
      <c r="TH487" s="243"/>
      <c r="TI487" s="243"/>
      <c r="TJ487" s="243"/>
      <c r="TK487" s="243"/>
      <c r="TL487" s="243"/>
      <c r="TM487" s="243"/>
      <c r="TN487" s="243"/>
      <c r="TO487" s="243"/>
      <c r="TP487" s="243"/>
      <c r="TQ487" s="243"/>
      <c r="TR487" s="243"/>
      <c r="TS487" s="243"/>
      <c r="TT487" s="243"/>
      <c r="TU487" s="243"/>
      <c r="TV487" s="243"/>
      <c r="TW487" s="243"/>
      <c r="TX487" s="243"/>
      <c r="TY487" s="243"/>
      <c r="TZ487" s="243"/>
      <c r="UA487" s="243"/>
      <c r="UB487" s="243"/>
      <c r="UC487" s="243"/>
      <c r="UD487" s="243"/>
      <c r="UE487" s="243"/>
      <c r="UF487" s="243"/>
      <c r="UG487" s="243"/>
      <c r="UH487" s="243"/>
      <c r="UI487" s="243"/>
      <c r="UJ487" s="243"/>
      <c r="UK487" s="243"/>
      <c r="UL487" s="243"/>
      <c r="UM487" s="243"/>
      <c r="UN487" s="243"/>
      <c r="UO487" s="243"/>
      <c r="UP487" s="243"/>
      <c r="UQ487" s="243"/>
      <c r="UR487" s="243"/>
      <c r="US487" s="243"/>
      <c r="UT487" s="243"/>
      <c r="UU487" s="243"/>
      <c r="UV487" s="243"/>
      <c r="UW487" s="243"/>
      <c r="UX487" s="243"/>
      <c r="UY487" s="243"/>
      <c r="UZ487" s="243"/>
      <c r="VA487" s="243"/>
      <c r="VB487" s="243"/>
      <c r="VC487" s="243"/>
      <c r="VD487" s="243"/>
      <c r="VE487" s="243"/>
      <c r="VF487" s="243"/>
      <c r="VG487" s="243"/>
      <c r="VH487" s="243"/>
      <c r="VI487" s="243"/>
      <c r="VJ487" s="243"/>
      <c r="VK487" s="243"/>
      <c r="VL487" s="243"/>
      <c r="VM487" s="243"/>
      <c r="VN487" s="243"/>
      <c r="VO487" s="243"/>
      <c r="VP487" s="243"/>
      <c r="VQ487" s="243"/>
      <c r="VR487" s="243"/>
      <c r="VS487" s="243"/>
      <c r="VT487" s="243"/>
      <c r="VU487" s="243"/>
      <c r="VV487" s="243"/>
      <c r="VW487" s="243"/>
      <c r="VX487" s="243"/>
      <c r="VY487" s="243"/>
      <c r="VZ487" s="243"/>
      <c r="WA487" s="243"/>
      <c r="WB487" s="243"/>
      <c r="WC487" s="243"/>
      <c r="WD487" s="243"/>
      <c r="WE487" s="243"/>
      <c r="WF487" s="243"/>
      <c r="WG487" s="243"/>
      <c r="WH487" s="243"/>
      <c r="WI487" s="243"/>
      <c r="WJ487" s="243"/>
      <c r="WK487" s="243"/>
      <c r="WL487" s="243"/>
      <c r="WM487" s="243"/>
      <c r="WN487" s="243"/>
      <c r="WO487" s="243"/>
      <c r="WP487" s="243"/>
      <c r="WQ487" s="243"/>
      <c r="WR487" s="243"/>
      <c r="WS487" s="243"/>
      <c r="WT487" s="243"/>
      <c r="WU487" s="243"/>
      <c r="WV487" s="243"/>
      <c r="WW487" s="243"/>
      <c r="WX487" s="243"/>
      <c r="WY487" s="243"/>
      <c r="WZ487" s="243"/>
      <c r="XA487" s="243"/>
      <c r="XB487" s="243"/>
      <c r="XC487" s="243"/>
      <c r="XD487" s="243"/>
      <c r="XE487" s="243"/>
      <c r="XF487" s="243"/>
      <c r="XG487" s="243"/>
      <c r="XH487" s="243"/>
      <c r="XI487" s="243"/>
      <c r="XJ487" s="243"/>
      <c r="XK487" s="243"/>
      <c r="XL487" s="243"/>
      <c r="XM487" s="243"/>
      <c r="XN487" s="243"/>
      <c r="XO487" s="243"/>
      <c r="XP487" s="243"/>
      <c r="XQ487" s="243"/>
      <c r="XR487" s="243"/>
      <c r="XS487" s="243"/>
      <c r="XT487" s="243"/>
      <c r="XU487" s="243"/>
      <c r="XV487" s="243"/>
      <c r="XW487" s="243"/>
      <c r="XX487" s="243"/>
      <c r="XY487" s="243"/>
      <c r="XZ487" s="243"/>
      <c r="YA487" s="243"/>
      <c r="YB487" s="243"/>
      <c r="YC487" s="243"/>
      <c r="YD487" s="243"/>
      <c r="YE487" s="243"/>
      <c r="YF487" s="243"/>
      <c r="YG487" s="243"/>
      <c r="YH487" s="243"/>
      <c r="YI487" s="243"/>
      <c r="YJ487" s="243"/>
      <c r="YK487" s="243"/>
      <c r="YL487" s="243"/>
      <c r="YM487" s="243"/>
      <c r="YN487" s="243"/>
      <c r="YO487" s="243"/>
      <c r="YP487" s="243"/>
      <c r="YQ487" s="243"/>
      <c r="YR487" s="243"/>
      <c r="YS487" s="243"/>
      <c r="YT487" s="243"/>
      <c r="YU487" s="243"/>
      <c r="YV487" s="243"/>
      <c r="YW487" s="243"/>
      <c r="YX487" s="243"/>
      <c r="YY487" s="243"/>
      <c r="YZ487" s="243"/>
      <c r="ZA487" s="243"/>
      <c r="ZB487" s="243"/>
      <c r="ZC487" s="243"/>
      <c r="ZD487" s="243"/>
      <c r="ZE487" s="243"/>
      <c r="ZF487" s="243"/>
      <c r="ZG487" s="243"/>
      <c r="ZH487" s="243"/>
      <c r="ZI487" s="243"/>
      <c r="ZJ487" s="243"/>
      <c r="ZK487" s="243"/>
      <c r="ZL487" s="243"/>
      <c r="ZM487" s="243"/>
      <c r="ZN487" s="243"/>
      <c r="ZO487" s="243"/>
      <c r="ZP487" s="243"/>
      <c r="ZQ487" s="243"/>
      <c r="ZR487" s="243"/>
      <c r="ZS487" s="243"/>
      <c r="ZT487" s="243"/>
      <c r="ZU487" s="243"/>
      <c r="ZV487" s="243"/>
      <c r="ZW487" s="243"/>
      <c r="ZX487" s="243"/>
      <c r="ZY487" s="243"/>
      <c r="ZZ487" s="243"/>
      <c r="AAA487" s="243"/>
      <c r="AAB487" s="243"/>
      <c r="AAC487" s="243"/>
      <c r="AAD487" s="243"/>
      <c r="AAE487" s="243"/>
      <c r="AAF487" s="243"/>
      <c r="AAG487" s="243"/>
      <c r="AAH487" s="243"/>
      <c r="AAI487" s="243"/>
      <c r="AAJ487" s="243"/>
      <c r="AAK487" s="243"/>
      <c r="AAL487" s="243"/>
      <c r="AAM487" s="243"/>
      <c r="AAN487" s="243"/>
      <c r="AAO487" s="243"/>
      <c r="AAP487" s="243"/>
      <c r="AAQ487" s="243"/>
      <c r="AAR487" s="243"/>
      <c r="AAS487" s="243"/>
      <c r="AAT487" s="243"/>
      <c r="AAU487" s="243"/>
      <c r="AAV487" s="243"/>
      <c r="AAW487" s="243"/>
      <c r="AAX487" s="243"/>
      <c r="AAY487" s="243"/>
      <c r="AAZ487" s="243"/>
      <c r="ABA487" s="243"/>
      <c r="ABB487" s="243"/>
      <c r="ABC487" s="243"/>
      <c r="ABD487" s="243"/>
      <c r="ABE487" s="243"/>
      <c r="ABF487" s="243"/>
      <c r="ABG487" s="243"/>
      <c r="ABH487" s="243"/>
      <c r="ABI487" s="243"/>
      <c r="ABJ487" s="243"/>
      <c r="ABK487" s="243"/>
      <c r="ABL487" s="243"/>
      <c r="ABM487" s="243"/>
      <c r="ABN487" s="243"/>
      <c r="ABO487" s="243"/>
      <c r="ABP487" s="243"/>
      <c r="ABQ487" s="243"/>
      <c r="ABR487" s="243"/>
      <c r="ABS487" s="243"/>
      <c r="ABT487" s="243"/>
      <c r="ABU487" s="243"/>
      <c r="ABV487" s="243"/>
      <c r="ABW487" s="243"/>
      <c r="ABX487" s="243"/>
      <c r="ABY487" s="243"/>
      <c r="ABZ487" s="243"/>
      <c r="ACA487" s="243"/>
      <c r="ACB487" s="243"/>
      <c r="ACC487" s="243"/>
      <c r="ACD487" s="243"/>
      <c r="ACE487" s="243"/>
      <c r="ACF487" s="243"/>
      <c r="ACG487" s="243"/>
      <c r="ACH487" s="243"/>
      <c r="ACI487" s="243"/>
      <c r="ACJ487" s="243"/>
      <c r="ACK487" s="243"/>
      <c r="ACL487" s="243"/>
      <c r="ACM487" s="243"/>
      <c r="ACN487" s="243"/>
      <c r="ACO487" s="243"/>
      <c r="ACP487" s="243"/>
      <c r="ACQ487" s="243"/>
      <c r="ACR487" s="243"/>
      <c r="ACS487" s="243"/>
      <c r="ACT487" s="243"/>
      <c r="ACU487" s="243"/>
      <c r="ACV487" s="243"/>
      <c r="ACW487" s="243"/>
      <c r="ACX487" s="243"/>
      <c r="ACY487" s="243"/>
      <c r="ACZ487" s="243"/>
      <c r="ADA487" s="243"/>
      <c r="ADB487" s="243"/>
      <c r="ADC487" s="243"/>
      <c r="ADD487" s="243"/>
      <c r="ADE487" s="243"/>
      <c r="ADF487" s="243"/>
      <c r="ADG487" s="243"/>
      <c r="ADH487" s="243"/>
      <c r="ADI487" s="243"/>
      <c r="ADJ487" s="243"/>
      <c r="ADK487" s="243"/>
      <c r="ADL487" s="243"/>
      <c r="ADM487" s="243"/>
      <c r="ADN487" s="243"/>
      <c r="ADO487" s="243"/>
      <c r="ADP487" s="243"/>
      <c r="ADQ487" s="243"/>
      <c r="ADR487" s="243"/>
      <c r="ADS487" s="243"/>
      <c r="ADT487" s="243"/>
      <c r="ADU487" s="243"/>
      <c r="ADV487" s="243"/>
      <c r="ADW487" s="243"/>
      <c r="ADX487" s="243"/>
      <c r="ADY487" s="243"/>
      <c r="ADZ487" s="243"/>
      <c r="AEA487" s="243"/>
      <c r="AEB487" s="243"/>
      <c r="AEC487" s="243"/>
      <c r="AED487" s="243"/>
      <c r="AEE487" s="243"/>
      <c r="AEF487" s="243"/>
      <c r="AEG487" s="243"/>
      <c r="AEH487" s="243"/>
      <c r="AEI487" s="243"/>
      <c r="AEJ487" s="243"/>
      <c r="AEK487" s="243"/>
      <c r="AEL487" s="243"/>
      <c r="AEM487" s="243"/>
      <c r="AEN487" s="243"/>
      <c r="AEO487" s="243"/>
      <c r="AEP487" s="243"/>
      <c r="AEQ487" s="243"/>
      <c r="AER487" s="243"/>
      <c r="AES487" s="243"/>
      <c r="AET487" s="243"/>
      <c r="AEU487" s="243"/>
      <c r="AEV487" s="243"/>
      <c r="AEW487" s="243"/>
      <c r="AEX487" s="243"/>
      <c r="AEY487" s="243"/>
      <c r="AEZ487" s="243"/>
      <c r="AFA487" s="243"/>
      <c r="AFB487" s="243"/>
      <c r="AFC487" s="243"/>
      <c r="AFD487" s="243"/>
      <c r="AFE487" s="243"/>
      <c r="AFF487" s="243"/>
      <c r="AFG487" s="243"/>
      <c r="AFH487" s="243"/>
      <c r="AFI487" s="243"/>
      <c r="AFJ487" s="243"/>
      <c r="AFK487" s="243"/>
      <c r="AFL487" s="243"/>
      <c r="AFM487" s="243"/>
      <c r="AFN487" s="243"/>
      <c r="AFO487" s="243"/>
      <c r="AFP487" s="243"/>
      <c r="AFQ487" s="243"/>
      <c r="AFR487" s="243"/>
      <c r="AFS487" s="243"/>
      <c r="AFT487" s="243"/>
      <c r="AFU487" s="243"/>
      <c r="AFV487" s="243"/>
      <c r="AFW487" s="243"/>
      <c r="AFX487" s="243"/>
      <c r="AFY487" s="243"/>
      <c r="AFZ487" s="243"/>
      <c r="AGA487" s="243"/>
      <c r="AGB487" s="243"/>
      <c r="AGC487" s="243"/>
      <c r="AGD487" s="243"/>
      <c r="AGE487" s="243"/>
      <c r="AGF487" s="243"/>
      <c r="AGG487" s="243"/>
      <c r="AGH487" s="243"/>
      <c r="AGI487" s="243"/>
      <c r="AGJ487" s="243"/>
      <c r="AGK487" s="243"/>
      <c r="AGL487" s="243"/>
      <c r="AGM487" s="243"/>
      <c r="AGN487" s="243"/>
      <c r="AGO487" s="243"/>
      <c r="AGP487" s="243"/>
      <c r="AGQ487" s="243"/>
      <c r="AGR487" s="243"/>
      <c r="AGS487" s="243"/>
      <c r="AGT487" s="243"/>
      <c r="AGU487" s="243"/>
      <c r="AGV487" s="243"/>
      <c r="AGW487" s="243"/>
      <c r="AGX487" s="243"/>
      <c r="AGY487" s="243"/>
      <c r="AGZ487" s="243"/>
      <c r="AHA487" s="243"/>
      <c r="AHB487" s="243"/>
      <c r="AHC487" s="243"/>
      <c r="AHD487" s="243"/>
      <c r="AHE487" s="243"/>
      <c r="AHF487" s="243"/>
      <c r="AHG487" s="243"/>
      <c r="AHH487" s="243"/>
      <c r="AHI487" s="243"/>
      <c r="AHJ487" s="243"/>
      <c r="AHK487" s="243"/>
      <c r="AHL487" s="243"/>
      <c r="AHM487" s="243"/>
      <c r="AHN487" s="243"/>
      <c r="AHO487" s="243"/>
      <c r="AHP487" s="243"/>
      <c r="AHQ487" s="243"/>
      <c r="AHR487" s="243"/>
      <c r="AHS487" s="243"/>
      <c r="AHT487" s="243"/>
      <c r="AHU487" s="243"/>
      <c r="AHV487" s="243"/>
      <c r="AHW487" s="243"/>
      <c r="AHX487" s="243"/>
      <c r="AHY487" s="243"/>
      <c r="AHZ487" s="243"/>
      <c r="AIA487" s="243"/>
      <c r="AIB487" s="243"/>
      <c r="AIC487" s="243"/>
      <c r="AID487" s="243"/>
      <c r="AIE487" s="243"/>
      <c r="AIF487" s="243"/>
      <c r="AIG487" s="243"/>
      <c r="AIH487" s="243"/>
      <c r="AII487" s="243"/>
      <c r="AIJ487" s="243"/>
      <c r="AIK487" s="243"/>
      <c r="AIL487" s="243"/>
      <c r="AIM487" s="243"/>
      <c r="AIN487" s="243"/>
      <c r="AIO487" s="243"/>
      <c r="AIP487" s="243"/>
      <c r="AIQ487" s="243"/>
      <c r="AIR487" s="243"/>
      <c r="AIS487" s="243"/>
      <c r="AIT487" s="243"/>
      <c r="AIU487" s="243"/>
      <c r="AIV487" s="243"/>
      <c r="AIW487" s="243"/>
      <c r="AIX487" s="243"/>
      <c r="AIY487" s="243"/>
      <c r="AIZ487" s="243"/>
      <c r="AJA487" s="243"/>
      <c r="AJB487" s="243"/>
      <c r="AJC487" s="243"/>
      <c r="AJD487" s="243"/>
      <c r="AJE487" s="243"/>
      <c r="AJF487" s="243"/>
      <c r="AJG487" s="243"/>
      <c r="AJH487" s="243"/>
      <c r="AJI487" s="243"/>
      <c r="AJJ487" s="243"/>
      <c r="AJK487" s="243"/>
      <c r="AJL487" s="243"/>
      <c r="AJM487" s="243"/>
      <c r="AJN487" s="243"/>
      <c r="AJO487" s="243"/>
      <c r="AJP487" s="243"/>
      <c r="AJQ487" s="243"/>
      <c r="AJR487" s="243"/>
      <c r="AJS487" s="243"/>
      <c r="AJT487" s="243"/>
      <c r="AJU487" s="243"/>
      <c r="AJV487" s="243"/>
      <c r="AJW487" s="243"/>
      <c r="AJX487" s="243"/>
      <c r="AJY487" s="243"/>
      <c r="AJZ487" s="243"/>
      <c r="AKA487" s="243"/>
      <c r="AKB487" s="243"/>
      <c r="AKC487" s="243"/>
      <c r="AKD487" s="243"/>
      <c r="AKE487" s="243"/>
      <c r="AKF487" s="243"/>
      <c r="AKG487" s="243"/>
      <c r="AKH487" s="243"/>
      <c r="AKI487" s="243"/>
      <c r="AKJ487" s="243"/>
      <c r="AKK487" s="243"/>
      <c r="AKL487" s="243"/>
      <c r="AKM487" s="243"/>
      <c r="AKN487" s="243"/>
      <c r="AKO487" s="243"/>
      <c r="AKP487" s="243"/>
      <c r="AKQ487" s="243"/>
      <c r="AKR487" s="243"/>
      <c r="AKS487" s="243"/>
      <c r="AKT487" s="243"/>
      <c r="AKU487" s="243"/>
      <c r="AKV487" s="243"/>
      <c r="AKW487" s="243"/>
      <c r="AKX487" s="243"/>
      <c r="AKY487" s="243"/>
      <c r="AKZ487" s="243"/>
      <c r="ALA487" s="243"/>
      <c r="ALB487" s="243"/>
      <c r="ALC487" s="243"/>
      <c r="ALD487" s="243"/>
      <c r="ALE487" s="243"/>
      <c r="ALF487" s="243"/>
      <c r="ALG487" s="243"/>
      <c r="ALH487" s="243"/>
      <c r="ALI487" s="243"/>
      <c r="ALJ487" s="243"/>
      <c r="ALK487" s="243"/>
      <c r="ALL487" s="243"/>
      <c r="ALM487" s="243"/>
      <c r="ALN487" s="243"/>
      <c r="ALO487" s="243"/>
      <c r="ALP487" s="243"/>
      <c r="ALQ487" s="243"/>
      <c r="ALR487" s="243"/>
      <c r="ALS487" s="243"/>
      <c r="ALT487" s="243"/>
      <c r="ALU487" s="243"/>
      <c r="ALV487" s="243"/>
      <c r="ALW487" s="243"/>
      <c r="ALX487" s="243"/>
      <c r="ALY487" s="243"/>
      <c r="ALZ487" s="243"/>
      <c r="AMA487" s="243"/>
      <c r="AMB487" s="243"/>
      <c r="AMC487" s="243"/>
      <c r="AMD487" s="243"/>
      <c r="AME487" s="243"/>
      <c r="AMF487" s="243"/>
      <c r="AMG487" s="243"/>
      <c r="AMH487" s="243"/>
      <c r="AMI487" s="244"/>
      <c r="AMJ487" s="244"/>
    </row>
    <row r="488" spans="1:1024">
      <c r="A488" s="901"/>
      <c r="B488" s="551">
        <v>15000</v>
      </c>
      <c r="C488" s="550">
        <v>0.08</v>
      </c>
      <c r="D488" s="670" t="s">
        <v>321</v>
      </c>
      <c r="E488" s="364">
        <v>3200000</v>
      </c>
      <c r="F488" s="600">
        <v>0.08</v>
      </c>
      <c r="G488" s="364">
        <f t="shared" si="21"/>
        <v>256000</v>
      </c>
      <c r="H488" s="753" t="s">
        <v>202</v>
      </c>
      <c r="I488" s="604"/>
      <c r="J488" s="604"/>
      <c r="K488" s="712"/>
      <c r="L488" s="712"/>
      <c r="M488" s="713"/>
      <c r="N488" s="733"/>
      <c r="O488" s="714"/>
      <c r="P488" s="715"/>
      <c r="Q488" s="716"/>
      <c r="R488" s="243"/>
      <c r="S488" s="243"/>
      <c r="T488" s="243"/>
      <c r="U488" s="243"/>
      <c r="V488" s="243"/>
      <c r="W488" s="243"/>
      <c r="X488" s="243"/>
      <c r="Y488" s="243"/>
      <c r="Z488" s="243"/>
      <c r="AA488" s="243"/>
      <c r="AB488" s="243"/>
      <c r="AC488" s="243"/>
      <c r="AD488" s="243"/>
      <c r="AE488" s="243"/>
      <c r="AF488" s="243"/>
      <c r="AG488" s="243"/>
      <c r="AH488" s="243"/>
      <c r="AI488" s="243"/>
      <c r="AJ488" s="243"/>
      <c r="AK488" s="243"/>
      <c r="AL488" s="243"/>
      <c r="AM488" s="243"/>
      <c r="AN488" s="243"/>
      <c r="AO488" s="243"/>
      <c r="AP488" s="243"/>
      <c r="AQ488" s="243"/>
      <c r="AR488" s="243"/>
      <c r="AS488" s="243"/>
      <c r="AT488" s="243"/>
      <c r="AU488" s="243"/>
      <c r="AV488" s="243"/>
      <c r="AW488" s="243"/>
      <c r="AX488" s="243"/>
      <c r="AY488" s="243"/>
      <c r="AZ488" s="243"/>
      <c r="BA488" s="243"/>
      <c r="BB488" s="243"/>
      <c r="BC488" s="243"/>
      <c r="BD488" s="243"/>
      <c r="BE488" s="243"/>
      <c r="BF488" s="243"/>
      <c r="BG488" s="243"/>
      <c r="BH488" s="243"/>
      <c r="BI488" s="243"/>
      <c r="BJ488" s="243"/>
      <c r="BK488" s="243"/>
      <c r="BL488" s="243"/>
      <c r="BM488" s="243"/>
      <c r="BN488" s="243"/>
      <c r="BO488" s="243"/>
      <c r="BP488" s="243"/>
      <c r="BQ488" s="243"/>
      <c r="BR488" s="243"/>
      <c r="BS488" s="243"/>
      <c r="BT488" s="243"/>
      <c r="BU488" s="243"/>
      <c r="BV488" s="243"/>
      <c r="BW488" s="243"/>
      <c r="BX488" s="243"/>
      <c r="BY488" s="243"/>
      <c r="BZ488" s="243"/>
      <c r="CA488" s="243"/>
      <c r="CB488" s="243"/>
      <c r="CC488" s="243"/>
      <c r="CD488" s="243"/>
      <c r="CE488" s="243"/>
      <c r="CF488" s="243"/>
      <c r="CG488" s="243"/>
      <c r="CH488" s="243"/>
      <c r="CI488" s="243"/>
      <c r="CJ488" s="243"/>
      <c r="CK488" s="243"/>
      <c r="CL488" s="243"/>
      <c r="CM488" s="243"/>
      <c r="CN488" s="243"/>
      <c r="CO488" s="243"/>
      <c r="CP488" s="243"/>
      <c r="CQ488" s="243"/>
      <c r="CR488" s="243"/>
      <c r="CS488" s="243"/>
      <c r="CT488" s="243"/>
      <c r="CU488" s="243"/>
      <c r="CV488" s="243"/>
      <c r="CW488" s="243"/>
      <c r="CX488" s="243"/>
      <c r="CY488" s="243"/>
      <c r="CZ488" s="243"/>
      <c r="DA488" s="243"/>
      <c r="DB488" s="243"/>
      <c r="DC488" s="243"/>
      <c r="DD488" s="243"/>
      <c r="DE488" s="243"/>
      <c r="DF488" s="243"/>
      <c r="DG488" s="243"/>
      <c r="DH488" s="243"/>
      <c r="DI488" s="243"/>
      <c r="DJ488" s="243"/>
      <c r="DK488" s="243"/>
      <c r="DL488" s="243"/>
      <c r="DM488" s="243"/>
      <c r="DN488" s="243"/>
      <c r="DO488" s="243"/>
      <c r="DP488" s="243"/>
      <c r="DQ488" s="243"/>
      <c r="DR488" s="243"/>
      <c r="DS488" s="243"/>
      <c r="DT488" s="243"/>
      <c r="DU488" s="243"/>
      <c r="DV488" s="243"/>
      <c r="DW488" s="243"/>
      <c r="DX488" s="243"/>
      <c r="DY488" s="243"/>
      <c r="DZ488" s="243"/>
      <c r="EA488" s="243"/>
      <c r="EB488" s="243"/>
      <c r="EC488" s="243"/>
      <c r="ED488" s="243"/>
      <c r="EE488" s="243"/>
      <c r="EF488" s="243"/>
      <c r="EG488" s="243"/>
      <c r="EH488" s="243"/>
      <c r="EI488" s="243"/>
      <c r="EJ488" s="243"/>
      <c r="EK488" s="243"/>
      <c r="EL488" s="243"/>
      <c r="EM488" s="243"/>
      <c r="EN488" s="243"/>
      <c r="EO488" s="243"/>
      <c r="EP488" s="243"/>
      <c r="EQ488" s="243"/>
      <c r="ER488" s="243"/>
      <c r="ES488" s="243"/>
      <c r="ET488" s="243"/>
      <c r="EU488" s="243"/>
      <c r="EV488" s="243"/>
      <c r="EW488" s="243"/>
      <c r="EX488" s="243"/>
      <c r="EY488" s="243"/>
      <c r="EZ488" s="243"/>
      <c r="FA488" s="243"/>
      <c r="FB488" s="243"/>
      <c r="FC488" s="243"/>
      <c r="FD488" s="243"/>
      <c r="FE488" s="243"/>
      <c r="FF488" s="243"/>
      <c r="FG488" s="243"/>
      <c r="FH488" s="243"/>
      <c r="FI488" s="243"/>
      <c r="FJ488" s="243"/>
      <c r="FK488" s="243"/>
      <c r="FL488" s="243"/>
      <c r="FM488" s="243"/>
      <c r="FN488" s="243"/>
      <c r="FO488" s="243"/>
      <c r="FP488" s="243"/>
      <c r="FQ488" s="243"/>
      <c r="FR488" s="243"/>
      <c r="FS488" s="243"/>
      <c r="FT488" s="243"/>
      <c r="FU488" s="243"/>
      <c r="FV488" s="243"/>
      <c r="FW488" s="243"/>
      <c r="FX488" s="243"/>
      <c r="FY488" s="243"/>
      <c r="FZ488" s="243"/>
      <c r="GA488" s="243"/>
      <c r="GB488" s="243"/>
      <c r="GC488" s="243"/>
      <c r="GD488" s="243"/>
      <c r="GE488" s="243"/>
      <c r="GF488" s="243"/>
      <c r="GG488" s="243"/>
      <c r="GH488" s="243"/>
      <c r="GI488" s="243"/>
      <c r="GJ488" s="243"/>
      <c r="GK488" s="243"/>
      <c r="GL488" s="243"/>
      <c r="GM488" s="243"/>
      <c r="GN488" s="243"/>
      <c r="GO488" s="243"/>
      <c r="GP488" s="243"/>
      <c r="GQ488" s="243"/>
      <c r="GR488" s="243"/>
      <c r="GS488" s="243"/>
      <c r="GT488" s="243"/>
      <c r="GU488" s="243"/>
      <c r="GV488" s="243"/>
      <c r="GW488" s="243"/>
      <c r="GX488" s="243"/>
      <c r="GY488" s="243"/>
      <c r="GZ488" s="243"/>
      <c r="HA488" s="243"/>
      <c r="HB488" s="243"/>
      <c r="HC488" s="243"/>
      <c r="HD488" s="243"/>
      <c r="HE488" s="243"/>
      <c r="HF488" s="243"/>
      <c r="HG488" s="243"/>
      <c r="HH488" s="243"/>
      <c r="HI488" s="243"/>
      <c r="HJ488" s="243"/>
      <c r="HK488" s="243"/>
      <c r="HL488" s="243"/>
      <c r="HM488" s="243"/>
      <c r="HN488" s="243"/>
      <c r="HO488" s="243"/>
      <c r="HP488" s="243"/>
      <c r="HQ488" s="243"/>
      <c r="HR488" s="243"/>
      <c r="HS488" s="243"/>
      <c r="HT488" s="243"/>
      <c r="HU488" s="243"/>
      <c r="HV488" s="243"/>
      <c r="HW488" s="243"/>
      <c r="HX488" s="243"/>
      <c r="HY488" s="243"/>
      <c r="HZ488" s="243"/>
      <c r="IA488" s="243"/>
      <c r="IB488" s="243"/>
      <c r="IC488" s="243"/>
      <c r="ID488" s="243"/>
      <c r="IE488" s="243"/>
      <c r="IF488" s="243"/>
      <c r="IG488" s="243"/>
      <c r="IH488" s="243"/>
      <c r="II488" s="243"/>
      <c r="IJ488" s="243"/>
      <c r="IK488" s="243"/>
      <c r="IL488" s="243"/>
      <c r="IM488" s="243"/>
      <c r="IN488" s="243"/>
      <c r="IO488" s="243"/>
      <c r="IP488" s="243"/>
      <c r="IQ488" s="243"/>
      <c r="IR488" s="243"/>
      <c r="IS488" s="243"/>
      <c r="IT488" s="243"/>
      <c r="IU488" s="243"/>
      <c r="IV488" s="243"/>
      <c r="IW488" s="243"/>
      <c r="IX488" s="243"/>
      <c r="IY488" s="243"/>
      <c r="IZ488" s="243"/>
      <c r="JA488" s="243"/>
      <c r="JB488" s="243"/>
      <c r="JC488" s="243"/>
      <c r="JD488" s="243"/>
      <c r="JE488" s="243"/>
      <c r="JF488" s="243"/>
      <c r="JG488" s="243"/>
      <c r="JH488" s="243"/>
      <c r="JI488" s="243"/>
      <c r="JJ488" s="243"/>
      <c r="JK488" s="243"/>
      <c r="JL488" s="243"/>
      <c r="JM488" s="243"/>
      <c r="JN488" s="243"/>
      <c r="JO488" s="243"/>
      <c r="JP488" s="243"/>
      <c r="JQ488" s="243"/>
      <c r="JR488" s="243"/>
      <c r="JS488" s="243"/>
      <c r="JT488" s="243"/>
      <c r="JU488" s="243"/>
      <c r="JV488" s="243"/>
      <c r="JW488" s="243"/>
      <c r="JX488" s="243"/>
      <c r="JY488" s="243"/>
      <c r="JZ488" s="243"/>
      <c r="KA488" s="243"/>
      <c r="KB488" s="243"/>
      <c r="KC488" s="243"/>
      <c r="KD488" s="243"/>
      <c r="KE488" s="243"/>
      <c r="KF488" s="243"/>
      <c r="KG488" s="243"/>
      <c r="KH488" s="243"/>
      <c r="KI488" s="243"/>
      <c r="KJ488" s="243"/>
      <c r="KK488" s="243"/>
      <c r="KL488" s="243"/>
      <c r="KM488" s="243"/>
      <c r="KN488" s="243"/>
      <c r="KO488" s="243"/>
      <c r="KP488" s="243"/>
      <c r="KQ488" s="243"/>
      <c r="KR488" s="243"/>
      <c r="KS488" s="243"/>
      <c r="KT488" s="243"/>
      <c r="KU488" s="243"/>
      <c r="KV488" s="243"/>
      <c r="KW488" s="243"/>
      <c r="KX488" s="243"/>
      <c r="KY488" s="243"/>
      <c r="KZ488" s="243"/>
      <c r="LA488" s="243"/>
      <c r="LB488" s="243"/>
      <c r="LC488" s="243"/>
      <c r="LD488" s="243"/>
      <c r="LE488" s="243"/>
      <c r="LF488" s="243"/>
      <c r="LG488" s="243"/>
      <c r="LH488" s="243"/>
      <c r="LI488" s="243"/>
      <c r="LJ488" s="243"/>
      <c r="LK488" s="243"/>
      <c r="LL488" s="243"/>
      <c r="LM488" s="243"/>
      <c r="LN488" s="243"/>
      <c r="LO488" s="243"/>
      <c r="LP488" s="243"/>
      <c r="LQ488" s="243"/>
      <c r="LR488" s="243"/>
      <c r="LS488" s="243"/>
      <c r="LT488" s="243"/>
      <c r="LU488" s="243"/>
      <c r="LV488" s="243"/>
      <c r="LW488" s="243"/>
      <c r="LX488" s="243"/>
      <c r="LY488" s="243"/>
      <c r="LZ488" s="243"/>
      <c r="MA488" s="243"/>
      <c r="MB488" s="243"/>
      <c r="MC488" s="243"/>
      <c r="MD488" s="243"/>
      <c r="ME488" s="243"/>
      <c r="MF488" s="243"/>
      <c r="MG488" s="243"/>
      <c r="MH488" s="243"/>
      <c r="MI488" s="243"/>
      <c r="MJ488" s="243"/>
      <c r="MK488" s="243"/>
      <c r="ML488" s="243"/>
      <c r="MM488" s="243"/>
      <c r="MN488" s="243"/>
      <c r="MO488" s="243"/>
      <c r="MP488" s="243"/>
      <c r="MQ488" s="243"/>
      <c r="MR488" s="243"/>
      <c r="MS488" s="243"/>
      <c r="MT488" s="243"/>
      <c r="MU488" s="243"/>
      <c r="MV488" s="243"/>
      <c r="MW488" s="243"/>
      <c r="MX488" s="243"/>
      <c r="MY488" s="243"/>
      <c r="MZ488" s="243"/>
      <c r="NA488" s="243"/>
      <c r="NB488" s="243"/>
      <c r="NC488" s="243"/>
      <c r="ND488" s="243"/>
      <c r="NE488" s="243"/>
      <c r="NF488" s="243"/>
      <c r="NG488" s="243"/>
      <c r="NH488" s="243"/>
      <c r="NI488" s="243"/>
      <c r="NJ488" s="243"/>
      <c r="NK488" s="243"/>
      <c r="NL488" s="243"/>
      <c r="NM488" s="243"/>
      <c r="NN488" s="243"/>
      <c r="NO488" s="243"/>
      <c r="NP488" s="243"/>
      <c r="NQ488" s="243"/>
      <c r="NR488" s="243"/>
      <c r="NS488" s="243"/>
      <c r="NT488" s="243"/>
      <c r="NU488" s="243"/>
      <c r="NV488" s="243"/>
      <c r="NW488" s="243"/>
      <c r="NX488" s="243"/>
      <c r="NY488" s="243"/>
      <c r="NZ488" s="243"/>
      <c r="OA488" s="243"/>
      <c r="OB488" s="243"/>
      <c r="OC488" s="243"/>
      <c r="OD488" s="243"/>
      <c r="OE488" s="243"/>
      <c r="OF488" s="243"/>
      <c r="OG488" s="243"/>
      <c r="OH488" s="243"/>
      <c r="OI488" s="243"/>
      <c r="OJ488" s="243"/>
      <c r="OK488" s="243"/>
      <c r="OL488" s="243"/>
      <c r="OM488" s="243"/>
      <c r="ON488" s="243"/>
      <c r="OO488" s="243"/>
      <c r="OP488" s="243"/>
      <c r="OQ488" s="243"/>
      <c r="OR488" s="243"/>
      <c r="OS488" s="243"/>
      <c r="OT488" s="243"/>
      <c r="OU488" s="243"/>
      <c r="OV488" s="243"/>
      <c r="OW488" s="243"/>
      <c r="OX488" s="243"/>
      <c r="OY488" s="243"/>
      <c r="OZ488" s="243"/>
      <c r="PA488" s="243"/>
      <c r="PB488" s="243"/>
      <c r="PC488" s="243"/>
      <c r="PD488" s="243"/>
      <c r="PE488" s="243"/>
      <c r="PF488" s="243"/>
      <c r="PG488" s="243"/>
      <c r="PH488" s="243"/>
      <c r="PI488" s="243"/>
      <c r="PJ488" s="243"/>
      <c r="PK488" s="243"/>
      <c r="PL488" s="243"/>
      <c r="PM488" s="243"/>
      <c r="PN488" s="243"/>
      <c r="PO488" s="243"/>
      <c r="PP488" s="243"/>
      <c r="PQ488" s="243"/>
      <c r="PR488" s="243"/>
      <c r="PS488" s="243"/>
      <c r="PT488" s="243"/>
      <c r="PU488" s="243"/>
      <c r="PV488" s="243"/>
      <c r="PW488" s="243"/>
      <c r="PX488" s="243"/>
      <c r="PY488" s="243"/>
      <c r="PZ488" s="243"/>
      <c r="QA488" s="243"/>
      <c r="QB488" s="243"/>
      <c r="QC488" s="243"/>
      <c r="QD488" s="243"/>
      <c r="QE488" s="243"/>
      <c r="QF488" s="243"/>
      <c r="QG488" s="243"/>
      <c r="QH488" s="243"/>
      <c r="QI488" s="243"/>
      <c r="QJ488" s="243"/>
      <c r="QK488" s="243"/>
      <c r="QL488" s="243"/>
      <c r="QM488" s="243"/>
      <c r="QN488" s="243"/>
      <c r="QO488" s="243"/>
      <c r="QP488" s="243"/>
      <c r="QQ488" s="243"/>
      <c r="QR488" s="243"/>
      <c r="QS488" s="243"/>
      <c r="QT488" s="243"/>
      <c r="QU488" s="243"/>
      <c r="QV488" s="243"/>
      <c r="QW488" s="243"/>
      <c r="QX488" s="243"/>
      <c r="QY488" s="243"/>
      <c r="QZ488" s="243"/>
      <c r="RA488" s="243"/>
      <c r="RB488" s="243"/>
      <c r="RC488" s="243"/>
      <c r="RD488" s="243"/>
      <c r="RE488" s="243"/>
      <c r="RF488" s="243"/>
      <c r="RG488" s="243"/>
      <c r="RH488" s="243"/>
      <c r="RI488" s="243"/>
      <c r="RJ488" s="243"/>
      <c r="RK488" s="243"/>
      <c r="RL488" s="243"/>
      <c r="RM488" s="243"/>
      <c r="RN488" s="243"/>
      <c r="RO488" s="243"/>
      <c r="RP488" s="243"/>
      <c r="RQ488" s="243"/>
      <c r="RR488" s="243"/>
      <c r="RS488" s="243"/>
      <c r="RT488" s="243"/>
      <c r="RU488" s="243"/>
      <c r="RV488" s="243"/>
      <c r="RW488" s="243"/>
      <c r="RX488" s="243"/>
      <c r="RY488" s="243"/>
      <c r="RZ488" s="243"/>
      <c r="SA488" s="243"/>
      <c r="SB488" s="243"/>
      <c r="SC488" s="243"/>
      <c r="SD488" s="243"/>
      <c r="SE488" s="243"/>
      <c r="SF488" s="243"/>
      <c r="SG488" s="243"/>
      <c r="SH488" s="243"/>
      <c r="SI488" s="243"/>
      <c r="SJ488" s="243"/>
      <c r="SK488" s="243"/>
      <c r="SL488" s="243"/>
      <c r="SM488" s="243"/>
      <c r="SN488" s="243"/>
      <c r="SO488" s="243"/>
      <c r="SP488" s="243"/>
      <c r="SQ488" s="243"/>
      <c r="SR488" s="243"/>
      <c r="SS488" s="243"/>
      <c r="ST488" s="243"/>
      <c r="SU488" s="243"/>
      <c r="SV488" s="243"/>
      <c r="SW488" s="243"/>
      <c r="SX488" s="243"/>
      <c r="SY488" s="243"/>
      <c r="SZ488" s="243"/>
      <c r="TA488" s="243"/>
      <c r="TB488" s="243"/>
      <c r="TC488" s="243"/>
      <c r="TD488" s="243"/>
      <c r="TE488" s="243"/>
      <c r="TF488" s="243"/>
      <c r="TG488" s="243"/>
      <c r="TH488" s="243"/>
      <c r="TI488" s="243"/>
      <c r="TJ488" s="243"/>
      <c r="TK488" s="243"/>
      <c r="TL488" s="243"/>
      <c r="TM488" s="243"/>
      <c r="TN488" s="243"/>
      <c r="TO488" s="243"/>
      <c r="TP488" s="243"/>
      <c r="TQ488" s="243"/>
      <c r="TR488" s="243"/>
      <c r="TS488" s="243"/>
      <c r="TT488" s="243"/>
      <c r="TU488" s="243"/>
      <c r="TV488" s="243"/>
      <c r="TW488" s="243"/>
      <c r="TX488" s="243"/>
      <c r="TY488" s="243"/>
      <c r="TZ488" s="243"/>
      <c r="UA488" s="243"/>
      <c r="UB488" s="243"/>
      <c r="UC488" s="243"/>
      <c r="UD488" s="243"/>
      <c r="UE488" s="243"/>
      <c r="UF488" s="243"/>
      <c r="UG488" s="243"/>
      <c r="UH488" s="243"/>
      <c r="UI488" s="243"/>
      <c r="UJ488" s="243"/>
      <c r="UK488" s="243"/>
      <c r="UL488" s="243"/>
      <c r="UM488" s="243"/>
      <c r="UN488" s="243"/>
      <c r="UO488" s="243"/>
      <c r="UP488" s="243"/>
      <c r="UQ488" s="243"/>
      <c r="UR488" s="243"/>
      <c r="US488" s="243"/>
      <c r="UT488" s="243"/>
      <c r="UU488" s="243"/>
      <c r="UV488" s="243"/>
      <c r="UW488" s="243"/>
      <c r="UX488" s="243"/>
      <c r="UY488" s="243"/>
      <c r="UZ488" s="243"/>
      <c r="VA488" s="243"/>
      <c r="VB488" s="243"/>
      <c r="VC488" s="243"/>
      <c r="VD488" s="243"/>
      <c r="VE488" s="243"/>
      <c r="VF488" s="243"/>
      <c r="VG488" s="243"/>
      <c r="VH488" s="243"/>
      <c r="VI488" s="243"/>
      <c r="VJ488" s="243"/>
      <c r="VK488" s="243"/>
      <c r="VL488" s="243"/>
      <c r="VM488" s="243"/>
      <c r="VN488" s="243"/>
      <c r="VO488" s="243"/>
      <c r="VP488" s="243"/>
      <c r="VQ488" s="243"/>
      <c r="VR488" s="243"/>
      <c r="VS488" s="243"/>
      <c r="VT488" s="243"/>
      <c r="VU488" s="243"/>
      <c r="VV488" s="243"/>
      <c r="VW488" s="243"/>
      <c r="VX488" s="243"/>
      <c r="VY488" s="243"/>
      <c r="VZ488" s="243"/>
      <c r="WA488" s="243"/>
      <c r="WB488" s="243"/>
      <c r="WC488" s="243"/>
      <c r="WD488" s="243"/>
      <c r="WE488" s="243"/>
      <c r="WF488" s="243"/>
      <c r="WG488" s="243"/>
      <c r="WH488" s="243"/>
      <c r="WI488" s="243"/>
      <c r="WJ488" s="243"/>
      <c r="WK488" s="243"/>
      <c r="WL488" s="243"/>
      <c r="WM488" s="243"/>
      <c r="WN488" s="243"/>
      <c r="WO488" s="243"/>
      <c r="WP488" s="243"/>
      <c r="WQ488" s="243"/>
      <c r="WR488" s="243"/>
      <c r="WS488" s="243"/>
      <c r="WT488" s="243"/>
      <c r="WU488" s="243"/>
      <c r="WV488" s="243"/>
      <c r="WW488" s="243"/>
      <c r="WX488" s="243"/>
      <c r="WY488" s="243"/>
      <c r="WZ488" s="243"/>
      <c r="XA488" s="243"/>
      <c r="XB488" s="243"/>
      <c r="XC488" s="243"/>
      <c r="XD488" s="243"/>
      <c r="XE488" s="243"/>
      <c r="XF488" s="243"/>
      <c r="XG488" s="243"/>
      <c r="XH488" s="243"/>
      <c r="XI488" s="243"/>
      <c r="XJ488" s="243"/>
      <c r="XK488" s="243"/>
      <c r="XL488" s="243"/>
      <c r="XM488" s="243"/>
      <c r="XN488" s="243"/>
      <c r="XO488" s="243"/>
      <c r="XP488" s="243"/>
      <c r="XQ488" s="243"/>
      <c r="XR488" s="243"/>
      <c r="XS488" s="243"/>
      <c r="XT488" s="243"/>
      <c r="XU488" s="243"/>
      <c r="XV488" s="243"/>
      <c r="XW488" s="243"/>
      <c r="XX488" s="243"/>
      <c r="XY488" s="243"/>
      <c r="XZ488" s="243"/>
      <c r="YA488" s="243"/>
      <c r="YB488" s="243"/>
      <c r="YC488" s="243"/>
      <c r="YD488" s="243"/>
      <c r="YE488" s="243"/>
      <c r="YF488" s="243"/>
      <c r="YG488" s="243"/>
      <c r="YH488" s="243"/>
      <c r="YI488" s="243"/>
      <c r="YJ488" s="243"/>
      <c r="YK488" s="243"/>
      <c r="YL488" s="243"/>
      <c r="YM488" s="243"/>
      <c r="YN488" s="243"/>
      <c r="YO488" s="243"/>
      <c r="YP488" s="243"/>
      <c r="YQ488" s="243"/>
      <c r="YR488" s="243"/>
      <c r="YS488" s="243"/>
      <c r="YT488" s="243"/>
      <c r="YU488" s="243"/>
      <c r="YV488" s="243"/>
      <c r="YW488" s="243"/>
      <c r="YX488" s="243"/>
      <c r="YY488" s="243"/>
      <c r="YZ488" s="243"/>
      <c r="ZA488" s="243"/>
      <c r="ZB488" s="243"/>
      <c r="ZC488" s="243"/>
      <c r="ZD488" s="243"/>
      <c r="ZE488" s="243"/>
      <c r="ZF488" s="243"/>
      <c r="ZG488" s="243"/>
      <c r="ZH488" s="243"/>
      <c r="ZI488" s="243"/>
      <c r="ZJ488" s="243"/>
      <c r="ZK488" s="243"/>
      <c r="ZL488" s="243"/>
      <c r="ZM488" s="243"/>
      <c r="ZN488" s="243"/>
      <c r="ZO488" s="243"/>
      <c r="ZP488" s="243"/>
      <c r="ZQ488" s="243"/>
      <c r="ZR488" s="243"/>
      <c r="ZS488" s="243"/>
      <c r="ZT488" s="243"/>
      <c r="ZU488" s="243"/>
      <c r="ZV488" s="243"/>
      <c r="ZW488" s="243"/>
      <c r="ZX488" s="243"/>
      <c r="ZY488" s="243"/>
      <c r="ZZ488" s="243"/>
      <c r="AAA488" s="243"/>
      <c r="AAB488" s="243"/>
      <c r="AAC488" s="243"/>
      <c r="AAD488" s="243"/>
      <c r="AAE488" s="243"/>
      <c r="AAF488" s="243"/>
      <c r="AAG488" s="243"/>
      <c r="AAH488" s="243"/>
      <c r="AAI488" s="243"/>
      <c r="AAJ488" s="243"/>
      <c r="AAK488" s="243"/>
      <c r="AAL488" s="243"/>
      <c r="AAM488" s="243"/>
      <c r="AAN488" s="243"/>
      <c r="AAO488" s="243"/>
      <c r="AAP488" s="243"/>
      <c r="AAQ488" s="243"/>
      <c r="AAR488" s="243"/>
      <c r="AAS488" s="243"/>
      <c r="AAT488" s="243"/>
      <c r="AAU488" s="243"/>
      <c r="AAV488" s="243"/>
      <c r="AAW488" s="243"/>
      <c r="AAX488" s="243"/>
      <c r="AAY488" s="243"/>
      <c r="AAZ488" s="243"/>
      <c r="ABA488" s="243"/>
      <c r="ABB488" s="243"/>
      <c r="ABC488" s="243"/>
      <c r="ABD488" s="243"/>
      <c r="ABE488" s="243"/>
      <c r="ABF488" s="243"/>
      <c r="ABG488" s="243"/>
      <c r="ABH488" s="243"/>
      <c r="ABI488" s="243"/>
      <c r="ABJ488" s="243"/>
      <c r="ABK488" s="243"/>
      <c r="ABL488" s="243"/>
      <c r="ABM488" s="243"/>
      <c r="ABN488" s="243"/>
      <c r="ABO488" s="243"/>
      <c r="ABP488" s="243"/>
      <c r="ABQ488" s="243"/>
      <c r="ABR488" s="243"/>
      <c r="ABS488" s="243"/>
      <c r="ABT488" s="243"/>
      <c r="ABU488" s="243"/>
      <c r="ABV488" s="243"/>
      <c r="ABW488" s="243"/>
      <c r="ABX488" s="243"/>
      <c r="ABY488" s="243"/>
      <c r="ABZ488" s="243"/>
      <c r="ACA488" s="243"/>
      <c r="ACB488" s="243"/>
      <c r="ACC488" s="243"/>
      <c r="ACD488" s="243"/>
      <c r="ACE488" s="243"/>
      <c r="ACF488" s="243"/>
      <c r="ACG488" s="243"/>
      <c r="ACH488" s="243"/>
      <c r="ACI488" s="243"/>
      <c r="ACJ488" s="243"/>
      <c r="ACK488" s="243"/>
      <c r="ACL488" s="243"/>
      <c r="ACM488" s="243"/>
      <c r="ACN488" s="243"/>
      <c r="ACO488" s="243"/>
      <c r="ACP488" s="243"/>
      <c r="ACQ488" s="243"/>
      <c r="ACR488" s="243"/>
      <c r="ACS488" s="243"/>
      <c r="ACT488" s="243"/>
      <c r="ACU488" s="243"/>
      <c r="ACV488" s="243"/>
      <c r="ACW488" s="243"/>
      <c r="ACX488" s="243"/>
      <c r="ACY488" s="243"/>
      <c r="ACZ488" s="243"/>
      <c r="ADA488" s="243"/>
      <c r="ADB488" s="243"/>
      <c r="ADC488" s="243"/>
      <c r="ADD488" s="243"/>
      <c r="ADE488" s="243"/>
      <c r="ADF488" s="243"/>
      <c r="ADG488" s="243"/>
      <c r="ADH488" s="243"/>
      <c r="ADI488" s="243"/>
      <c r="ADJ488" s="243"/>
      <c r="ADK488" s="243"/>
      <c r="ADL488" s="243"/>
      <c r="ADM488" s="243"/>
      <c r="ADN488" s="243"/>
      <c r="ADO488" s="243"/>
      <c r="ADP488" s="243"/>
      <c r="ADQ488" s="243"/>
      <c r="ADR488" s="243"/>
      <c r="ADS488" s="243"/>
      <c r="ADT488" s="243"/>
      <c r="ADU488" s="243"/>
      <c r="ADV488" s="243"/>
      <c r="ADW488" s="243"/>
      <c r="ADX488" s="243"/>
      <c r="ADY488" s="243"/>
      <c r="ADZ488" s="243"/>
      <c r="AEA488" s="243"/>
      <c r="AEB488" s="243"/>
      <c r="AEC488" s="243"/>
      <c r="AED488" s="243"/>
      <c r="AEE488" s="243"/>
      <c r="AEF488" s="243"/>
      <c r="AEG488" s="243"/>
      <c r="AEH488" s="243"/>
      <c r="AEI488" s="243"/>
      <c r="AEJ488" s="243"/>
      <c r="AEK488" s="243"/>
      <c r="AEL488" s="243"/>
      <c r="AEM488" s="243"/>
      <c r="AEN488" s="243"/>
      <c r="AEO488" s="243"/>
      <c r="AEP488" s="243"/>
      <c r="AEQ488" s="243"/>
      <c r="AER488" s="243"/>
      <c r="AES488" s="243"/>
      <c r="AET488" s="243"/>
      <c r="AEU488" s="243"/>
      <c r="AEV488" s="243"/>
      <c r="AEW488" s="243"/>
      <c r="AEX488" s="243"/>
      <c r="AEY488" s="243"/>
      <c r="AEZ488" s="243"/>
      <c r="AFA488" s="243"/>
      <c r="AFB488" s="243"/>
      <c r="AFC488" s="243"/>
      <c r="AFD488" s="243"/>
      <c r="AFE488" s="243"/>
      <c r="AFF488" s="243"/>
      <c r="AFG488" s="243"/>
      <c r="AFH488" s="243"/>
      <c r="AFI488" s="243"/>
      <c r="AFJ488" s="243"/>
      <c r="AFK488" s="243"/>
      <c r="AFL488" s="243"/>
      <c r="AFM488" s="243"/>
      <c r="AFN488" s="243"/>
      <c r="AFO488" s="243"/>
      <c r="AFP488" s="243"/>
      <c r="AFQ488" s="243"/>
      <c r="AFR488" s="243"/>
      <c r="AFS488" s="243"/>
      <c r="AFT488" s="243"/>
      <c r="AFU488" s="243"/>
      <c r="AFV488" s="243"/>
      <c r="AFW488" s="243"/>
      <c r="AFX488" s="243"/>
      <c r="AFY488" s="243"/>
      <c r="AFZ488" s="243"/>
      <c r="AGA488" s="243"/>
      <c r="AGB488" s="243"/>
      <c r="AGC488" s="243"/>
      <c r="AGD488" s="243"/>
      <c r="AGE488" s="243"/>
      <c r="AGF488" s="243"/>
      <c r="AGG488" s="243"/>
      <c r="AGH488" s="243"/>
      <c r="AGI488" s="243"/>
      <c r="AGJ488" s="243"/>
      <c r="AGK488" s="243"/>
      <c r="AGL488" s="243"/>
      <c r="AGM488" s="243"/>
      <c r="AGN488" s="243"/>
      <c r="AGO488" s="243"/>
      <c r="AGP488" s="243"/>
      <c r="AGQ488" s="243"/>
      <c r="AGR488" s="243"/>
      <c r="AGS488" s="243"/>
      <c r="AGT488" s="243"/>
      <c r="AGU488" s="243"/>
      <c r="AGV488" s="243"/>
      <c r="AGW488" s="243"/>
      <c r="AGX488" s="243"/>
      <c r="AGY488" s="243"/>
      <c r="AGZ488" s="243"/>
      <c r="AHA488" s="243"/>
      <c r="AHB488" s="243"/>
      <c r="AHC488" s="243"/>
      <c r="AHD488" s="243"/>
      <c r="AHE488" s="243"/>
      <c r="AHF488" s="243"/>
      <c r="AHG488" s="243"/>
      <c r="AHH488" s="243"/>
      <c r="AHI488" s="243"/>
      <c r="AHJ488" s="243"/>
      <c r="AHK488" s="243"/>
      <c r="AHL488" s="243"/>
      <c r="AHM488" s="243"/>
      <c r="AHN488" s="243"/>
      <c r="AHO488" s="243"/>
      <c r="AHP488" s="243"/>
      <c r="AHQ488" s="243"/>
      <c r="AHR488" s="243"/>
      <c r="AHS488" s="243"/>
      <c r="AHT488" s="243"/>
      <c r="AHU488" s="243"/>
      <c r="AHV488" s="243"/>
      <c r="AHW488" s="243"/>
      <c r="AHX488" s="243"/>
      <c r="AHY488" s="243"/>
      <c r="AHZ488" s="243"/>
      <c r="AIA488" s="243"/>
      <c r="AIB488" s="243"/>
      <c r="AIC488" s="243"/>
      <c r="AID488" s="243"/>
      <c r="AIE488" s="243"/>
      <c r="AIF488" s="243"/>
      <c r="AIG488" s="243"/>
      <c r="AIH488" s="243"/>
      <c r="AII488" s="243"/>
      <c r="AIJ488" s="243"/>
      <c r="AIK488" s="243"/>
      <c r="AIL488" s="243"/>
      <c r="AIM488" s="243"/>
      <c r="AIN488" s="243"/>
      <c r="AIO488" s="243"/>
      <c r="AIP488" s="243"/>
      <c r="AIQ488" s="243"/>
      <c r="AIR488" s="243"/>
      <c r="AIS488" s="243"/>
      <c r="AIT488" s="243"/>
      <c r="AIU488" s="243"/>
      <c r="AIV488" s="243"/>
      <c r="AIW488" s="243"/>
      <c r="AIX488" s="243"/>
      <c r="AIY488" s="243"/>
      <c r="AIZ488" s="243"/>
      <c r="AJA488" s="243"/>
      <c r="AJB488" s="243"/>
      <c r="AJC488" s="243"/>
      <c r="AJD488" s="243"/>
      <c r="AJE488" s="243"/>
      <c r="AJF488" s="243"/>
      <c r="AJG488" s="243"/>
      <c r="AJH488" s="243"/>
      <c r="AJI488" s="243"/>
      <c r="AJJ488" s="243"/>
      <c r="AJK488" s="243"/>
      <c r="AJL488" s="243"/>
      <c r="AJM488" s="243"/>
      <c r="AJN488" s="243"/>
      <c r="AJO488" s="243"/>
      <c r="AJP488" s="243"/>
      <c r="AJQ488" s="243"/>
      <c r="AJR488" s="243"/>
      <c r="AJS488" s="243"/>
      <c r="AJT488" s="243"/>
      <c r="AJU488" s="243"/>
      <c r="AJV488" s="243"/>
      <c r="AJW488" s="243"/>
      <c r="AJX488" s="243"/>
      <c r="AJY488" s="243"/>
      <c r="AJZ488" s="243"/>
      <c r="AKA488" s="243"/>
      <c r="AKB488" s="243"/>
      <c r="AKC488" s="243"/>
      <c r="AKD488" s="243"/>
      <c r="AKE488" s="243"/>
      <c r="AKF488" s="243"/>
      <c r="AKG488" s="243"/>
      <c r="AKH488" s="243"/>
      <c r="AKI488" s="243"/>
      <c r="AKJ488" s="243"/>
      <c r="AKK488" s="243"/>
      <c r="AKL488" s="243"/>
      <c r="AKM488" s="243"/>
      <c r="AKN488" s="243"/>
      <c r="AKO488" s="243"/>
      <c r="AKP488" s="243"/>
      <c r="AKQ488" s="243"/>
      <c r="AKR488" s="243"/>
      <c r="AKS488" s="243"/>
      <c r="AKT488" s="243"/>
      <c r="AKU488" s="243"/>
      <c r="AKV488" s="243"/>
      <c r="AKW488" s="243"/>
      <c r="AKX488" s="243"/>
      <c r="AKY488" s="243"/>
      <c r="AKZ488" s="243"/>
      <c r="ALA488" s="243"/>
      <c r="ALB488" s="243"/>
      <c r="ALC488" s="243"/>
      <c r="ALD488" s="243"/>
      <c r="ALE488" s="243"/>
      <c r="ALF488" s="243"/>
      <c r="ALG488" s="243"/>
      <c r="ALH488" s="243"/>
      <c r="ALI488" s="243"/>
      <c r="ALJ488" s="243"/>
      <c r="ALK488" s="243"/>
      <c r="ALL488" s="243"/>
      <c r="ALM488" s="243"/>
      <c r="ALN488" s="243"/>
      <c r="ALO488" s="243"/>
      <c r="ALP488" s="243"/>
      <c r="ALQ488" s="243"/>
      <c r="ALR488" s="243"/>
      <c r="ALS488" s="243"/>
      <c r="ALT488" s="243"/>
      <c r="ALU488" s="243"/>
      <c r="ALV488" s="243"/>
      <c r="ALW488" s="243"/>
      <c r="ALX488" s="243"/>
      <c r="ALY488" s="243"/>
      <c r="ALZ488" s="243"/>
      <c r="AMA488" s="243"/>
      <c r="AMB488" s="243"/>
      <c r="AMC488" s="243"/>
      <c r="AMD488" s="243"/>
      <c r="AME488" s="243"/>
      <c r="AMF488" s="243"/>
      <c r="AMG488" s="243"/>
      <c r="AMH488" s="243"/>
      <c r="AMI488" s="244"/>
      <c r="AMJ488" s="244"/>
    </row>
    <row r="489" spans="1:1024">
      <c r="A489" s="901"/>
      <c r="B489" s="557">
        <v>14957</v>
      </c>
      <c r="C489" s="558">
        <v>0.08</v>
      </c>
      <c r="D489" s="542" t="s">
        <v>322</v>
      </c>
      <c r="E489" s="364">
        <v>3000000</v>
      </c>
      <c r="F489" s="600">
        <v>0.04</v>
      </c>
      <c r="G489" s="364">
        <f t="shared" si="21"/>
        <v>120000</v>
      </c>
      <c r="H489" s="754" t="s">
        <v>323</v>
      </c>
      <c r="I489" s="318"/>
      <c r="J489" s="604"/>
      <c r="K489" s="625"/>
      <c r="L489" s="625"/>
      <c r="M489" s="625"/>
      <c r="N489" s="607"/>
      <c r="O489" s="717"/>
      <c r="P489" s="607"/>
      <c r="Q489" s="624"/>
    </row>
    <row r="490" spans="1:1024">
      <c r="A490" s="901"/>
      <c r="B490" s="557">
        <v>14999</v>
      </c>
      <c r="C490" s="558">
        <v>0.08</v>
      </c>
      <c r="D490" s="542" t="s">
        <v>324</v>
      </c>
      <c r="E490" s="364">
        <v>2700000</v>
      </c>
      <c r="F490" s="600">
        <v>0.04</v>
      </c>
      <c r="G490" s="364">
        <f t="shared" si="21"/>
        <v>108000</v>
      </c>
      <c r="H490" s="754" t="s">
        <v>292</v>
      </c>
      <c r="I490" s="318"/>
      <c r="J490" s="604"/>
      <c r="K490" s="625"/>
      <c r="L490" s="625"/>
      <c r="M490" s="625"/>
      <c r="N490" s="607"/>
      <c r="O490" s="717"/>
      <c r="P490" s="607"/>
      <c r="Q490" s="624"/>
    </row>
    <row r="491" spans="1:1024">
      <c r="A491" s="901"/>
      <c r="B491" s="557">
        <v>14974</v>
      </c>
      <c r="C491" s="558">
        <v>0.08</v>
      </c>
      <c r="D491" s="542" t="s">
        <v>325</v>
      </c>
      <c r="E491" s="364">
        <v>2800000</v>
      </c>
      <c r="F491" s="600">
        <v>0.08</v>
      </c>
      <c r="G491" s="364">
        <f t="shared" si="21"/>
        <v>224000</v>
      </c>
      <c r="H491" s="754" t="s">
        <v>202</v>
      </c>
      <c r="I491" s="318"/>
      <c r="J491" s="604"/>
      <c r="K491" s="625"/>
      <c r="L491" s="625"/>
      <c r="M491" s="625"/>
      <c r="N491" s="607"/>
      <c r="O491" s="717"/>
      <c r="P491" s="607"/>
      <c r="Q491" s="624"/>
    </row>
    <row r="492" spans="1:1024">
      <c r="A492" s="901"/>
      <c r="B492" s="557">
        <v>15030</v>
      </c>
      <c r="C492" s="558">
        <v>0.08</v>
      </c>
      <c r="D492" s="542" t="s">
        <v>300</v>
      </c>
      <c r="E492" s="364">
        <v>3300000</v>
      </c>
      <c r="F492" s="600">
        <v>0.04</v>
      </c>
      <c r="G492" s="364">
        <f t="shared" si="21"/>
        <v>132000</v>
      </c>
      <c r="H492" s="754" t="s">
        <v>47</v>
      </c>
      <c r="I492" s="318"/>
      <c r="J492" s="604"/>
      <c r="K492" s="625"/>
      <c r="L492" s="625"/>
      <c r="M492" s="625"/>
      <c r="N492" s="607"/>
      <c r="O492" s="717"/>
      <c r="P492" s="607"/>
      <c r="Q492" s="624"/>
    </row>
    <row r="493" spans="1:1024">
      <c r="A493" s="901"/>
      <c r="B493" s="557">
        <v>15107</v>
      </c>
      <c r="C493" s="558">
        <v>0.08</v>
      </c>
      <c r="D493" s="542" t="s">
        <v>326</v>
      </c>
      <c r="E493" s="364">
        <v>3400000</v>
      </c>
      <c r="F493" s="600">
        <v>0.08</v>
      </c>
      <c r="G493" s="364">
        <f t="shared" si="21"/>
        <v>272000</v>
      </c>
      <c r="H493" s="754" t="s">
        <v>202</v>
      </c>
      <c r="I493" s="318"/>
      <c r="J493" s="604"/>
      <c r="K493" s="625"/>
      <c r="L493" s="625"/>
      <c r="M493" s="625"/>
      <c r="N493" s="607"/>
      <c r="O493" s="717"/>
      <c r="P493" s="607"/>
      <c r="Q493" s="624"/>
    </row>
    <row r="494" spans="1:1024">
      <c r="A494" s="901"/>
      <c r="B494" s="595"/>
      <c r="C494" s="593"/>
      <c r="D494" s="318"/>
      <c r="E494" s="321"/>
      <c r="F494" s="586"/>
      <c r="G494" s="321"/>
      <c r="H494" s="615"/>
      <c r="I494" s="318"/>
      <c r="J494" s="604"/>
      <c r="K494" s="625"/>
      <c r="L494" s="625"/>
      <c r="M494" s="625"/>
      <c r="N494" s="607"/>
      <c r="O494" s="717"/>
      <c r="P494" s="607"/>
      <c r="Q494" s="624"/>
    </row>
    <row r="495" spans="1:1024">
      <c r="A495" s="901"/>
      <c r="B495" s="120"/>
      <c r="C495" s="594"/>
      <c r="D495" s="318"/>
      <c r="E495" s="321"/>
      <c r="F495" s="318"/>
      <c r="G495" s="318"/>
      <c r="H495" s="604"/>
      <c r="I495" s="604"/>
      <c r="J495" s="604"/>
      <c r="K495" s="712"/>
      <c r="L495" s="712"/>
      <c r="M495" s="318" t="s">
        <v>26</v>
      </c>
      <c r="N495" s="563">
        <f>SUM(N482:N489)</f>
        <v>6600000</v>
      </c>
      <c r="O495" s="589" t="s">
        <v>26</v>
      </c>
      <c r="P495" s="563">
        <f>SUM(P482:P489)</f>
        <v>273000</v>
      </c>
      <c r="Q495" s="716"/>
      <c r="R495" s="243"/>
      <c r="S495" s="243"/>
      <c r="T495" s="243"/>
      <c r="U495" s="243"/>
      <c r="V495" s="243"/>
      <c r="W495" s="243"/>
      <c r="X495" s="243"/>
      <c r="Y495" s="243"/>
      <c r="Z495" s="243"/>
      <c r="AA495" s="243"/>
      <c r="AB495" s="243"/>
      <c r="AC495" s="243"/>
      <c r="AD495" s="243"/>
      <c r="AE495" s="243"/>
      <c r="AF495" s="243"/>
      <c r="AG495" s="243"/>
      <c r="AH495" s="243"/>
      <c r="AI495" s="243"/>
      <c r="AJ495" s="243"/>
      <c r="AK495" s="243"/>
      <c r="AL495" s="243"/>
      <c r="AM495" s="243"/>
      <c r="AN495" s="243"/>
      <c r="AO495" s="243"/>
      <c r="AP495" s="243"/>
      <c r="AQ495" s="243"/>
      <c r="AR495" s="243"/>
      <c r="AS495" s="243"/>
      <c r="AT495" s="243"/>
      <c r="AU495" s="243"/>
      <c r="AV495" s="243"/>
      <c r="AW495" s="243"/>
      <c r="AX495" s="243"/>
      <c r="AY495" s="243"/>
      <c r="AZ495" s="243"/>
      <c r="BA495" s="243"/>
      <c r="BB495" s="243"/>
      <c r="BC495" s="243"/>
      <c r="BD495" s="243"/>
      <c r="BE495" s="243"/>
      <c r="BF495" s="243"/>
      <c r="BG495" s="243"/>
      <c r="BH495" s="243"/>
      <c r="BI495" s="243"/>
      <c r="BJ495" s="243"/>
      <c r="BK495" s="243"/>
      <c r="BL495" s="243"/>
      <c r="BM495" s="243"/>
      <c r="BN495" s="243"/>
      <c r="BO495" s="243"/>
      <c r="BP495" s="243"/>
      <c r="BQ495" s="243"/>
      <c r="BR495" s="243"/>
      <c r="BS495" s="243"/>
      <c r="BT495" s="243"/>
      <c r="BU495" s="243"/>
      <c r="BV495" s="243"/>
      <c r="BW495" s="243"/>
      <c r="BX495" s="243"/>
      <c r="BY495" s="243"/>
      <c r="BZ495" s="243"/>
      <c r="CA495" s="243"/>
      <c r="CB495" s="243"/>
      <c r="CC495" s="243"/>
      <c r="CD495" s="243"/>
      <c r="CE495" s="243"/>
      <c r="CF495" s="243"/>
      <c r="CG495" s="243"/>
      <c r="CH495" s="243"/>
      <c r="CI495" s="243"/>
      <c r="CJ495" s="243"/>
      <c r="CK495" s="243"/>
      <c r="CL495" s="243"/>
      <c r="CM495" s="243"/>
      <c r="CN495" s="243"/>
      <c r="CO495" s="243"/>
      <c r="CP495" s="243"/>
      <c r="CQ495" s="243"/>
      <c r="CR495" s="243"/>
      <c r="CS495" s="243"/>
      <c r="CT495" s="243"/>
      <c r="CU495" s="243"/>
      <c r="CV495" s="243"/>
      <c r="CW495" s="243"/>
      <c r="CX495" s="243"/>
      <c r="CY495" s="243"/>
      <c r="CZ495" s="243"/>
      <c r="DA495" s="243"/>
      <c r="DB495" s="243"/>
      <c r="DC495" s="243"/>
      <c r="DD495" s="243"/>
      <c r="DE495" s="243"/>
      <c r="DF495" s="243"/>
      <c r="DG495" s="243"/>
      <c r="DH495" s="243"/>
      <c r="DI495" s="243"/>
      <c r="DJ495" s="243"/>
      <c r="DK495" s="243"/>
      <c r="DL495" s="243"/>
      <c r="DM495" s="243"/>
      <c r="DN495" s="243"/>
      <c r="DO495" s="243"/>
      <c r="DP495" s="243"/>
      <c r="DQ495" s="243"/>
      <c r="DR495" s="243"/>
      <c r="DS495" s="243"/>
      <c r="DT495" s="243"/>
      <c r="DU495" s="243"/>
      <c r="DV495" s="243"/>
      <c r="DW495" s="243"/>
      <c r="DX495" s="243"/>
      <c r="DY495" s="243"/>
      <c r="DZ495" s="243"/>
      <c r="EA495" s="243"/>
      <c r="EB495" s="243"/>
      <c r="EC495" s="243"/>
      <c r="ED495" s="243"/>
      <c r="EE495" s="243"/>
      <c r="EF495" s="243"/>
      <c r="EG495" s="243"/>
      <c r="EH495" s="243"/>
      <c r="EI495" s="243"/>
      <c r="EJ495" s="243"/>
      <c r="EK495" s="243"/>
      <c r="EL495" s="243"/>
      <c r="EM495" s="243"/>
      <c r="EN495" s="243"/>
      <c r="EO495" s="243"/>
      <c r="EP495" s="243"/>
      <c r="EQ495" s="243"/>
      <c r="ER495" s="243"/>
      <c r="ES495" s="243"/>
      <c r="ET495" s="243"/>
      <c r="EU495" s="243"/>
      <c r="EV495" s="243"/>
      <c r="EW495" s="243"/>
      <c r="EX495" s="243"/>
      <c r="EY495" s="243"/>
      <c r="EZ495" s="243"/>
      <c r="FA495" s="243"/>
      <c r="FB495" s="243"/>
      <c r="FC495" s="243"/>
      <c r="FD495" s="243"/>
      <c r="FE495" s="243"/>
      <c r="FF495" s="243"/>
      <c r="FG495" s="243"/>
      <c r="FH495" s="243"/>
      <c r="FI495" s="243"/>
      <c r="FJ495" s="243"/>
      <c r="FK495" s="243"/>
      <c r="FL495" s="243"/>
      <c r="FM495" s="243"/>
      <c r="FN495" s="243"/>
      <c r="FO495" s="243"/>
      <c r="FP495" s="243"/>
      <c r="FQ495" s="243"/>
      <c r="FR495" s="243"/>
      <c r="FS495" s="243"/>
      <c r="FT495" s="243"/>
      <c r="FU495" s="243"/>
      <c r="FV495" s="243"/>
      <c r="FW495" s="243"/>
      <c r="FX495" s="243"/>
      <c r="FY495" s="243"/>
      <c r="FZ495" s="243"/>
      <c r="GA495" s="243"/>
      <c r="GB495" s="243"/>
      <c r="GC495" s="243"/>
      <c r="GD495" s="243"/>
      <c r="GE495" s="243"/>
      <c r="GF495" s="243"/>
      <c r="GG495" s="243"/>
      <c r="GH495" s="243"/>
      <c r="GI495" s="243"/>
      <c r="GJ495" s="243"/>
      <c r="GK495" s="243"/>
      <c r="GL495" s="243"/>
      <c r="GM495" s="243"/>
      <c r="GN495" s="243"/>
      <c r="GO495" s="243"/>
      <c r="GP495" s="243"/>
      <c r="GQ495" s="243"/>
      <c r="GR495" s="243"/>
      <c r="GS495" s="243"/>
      <c r="GT495" s="243"/>
      <c r="GU495" s="243"/>
      <c r="GV495" s="243"/>
      <c r="GW495" s="243"/>
      <c r="GX495" s="243"/>
      <c r="GY495" s="243"/>
      <c r="GZ495" s="243"/>
      <c r="HA495" s="243"/>
      <c r="HB495" s="243"/>
      <c r="HC495" s="243"/>
      <c r="HD495" s="243"/>
      <c r="HE495" s="243"/>
      <c r="HF495" s="243"/>
      <c r="HG495" s="243"/>
      <c r="HH495" s="243"/>
      <c r="HI495" s="243"/>
      <c r="HJ495" s="243"/>
      <c r="HK495" s="243"/>
      <c r="HL495" s="243"/>
      <c r="HM495" s="243"/>
      <c r="HN495" s="243"/>
      <c r="HO495" s="243"/>
      <c r="HP495" s="243"/>
      <c r="HQ495" s="243"/>
      <c r="HR495" s="243"/>
      <c r="HS495" s="243"/>
      <c r="HT495" s="243"/>
      <c r="HU495" s="243"/>
      <c r="HV495" s="243"/>
      <c r="HW495" s="243"/>
      <c r="HX495" s="243"/>
      <c r="HY495" s="243"/>
      <c r="HZ495" s="243"/>
      <c r="IA495" s="243"/>
      <c r="IB495" s="243"/>
      <c r="IC495" s="243"/>
      <c r="ID495" s="243"/>
      <c r="IE495" s="243"/>
      <c r="IF495" s="243"/>
      <c r="IG495" s="243"/>
      <c r="IH495" s="243"/>
      <c r="II495" s="243"/>
      <c r="IJ495" s="243"/>
      <c r="IK495" s="243"/>
      <c r="IL495" s="243"/>
      <c r="IM495" s="243"/>
      <c r="IN495" s="243"/>
      <c r="IO495" s="243"/>
      <c r="IP495" s="243"/>
      <c r="IQ495" s="243"/>
      <c r="IR495" s="243"/>
      <c r="IS495" s="243"/>
      <c r="IT495" s="243"/>
      <c r="IU495" s="243"/>
      <c r="IV495" s="243"/>
      <c r="IW495" s="243"/>
      <c r="IX495" s="243"/>
      <c r="IY495" s="243"/>
      <c r="IZ495" s="243"/>
      <c r="JA495" s="243"/>
      <c r="JB495" s="243"/>
      <c r="JC495" s="243"/>
      <c r="JD495" s="243"/>
      <c r="JE495" s="243"/>
      <c r="JF495" s="243"/>
      <c r="JG495" s="243"/>
      <c r="JH495" s="243"/>
      <c r="JI495" s="243"/>
      <c r="JJ495" s="243"/>
      <c r="JK495" s="243"/>
      <c r="JL495" s="243"/>
      <c r="JM495" s="243"/>
      <c r="JN495" s="243"/>
      <c r="JO495" s="243"/>
      <c r="JP495" s="243"/>
      <c r="JQ495" s="243"/>
      <c r="JR495" s="243"/>
      <c r="JS495" s="243"/>
      <c r="JT495" s="243"/>
      <c r="JU495" s="243"/>
      <c r="JV495" s="243"/>
      <c r="JW495" s="243"/>
      <c r="JX495" s="243"/>
      <c r="JY495" s="243"/>
      <c r="JZ495" s="243"/>
      <c r="KA495" s="243"/>
      <c r="KB495" s="243"/>
      <c r="KC495" s="243"/>
      <c r="KD495" s="243"/>
      <c r="KE495" s="243"/>
      <c r="KF495" s="243"/>
      <c r="KG495" s="243"/>
      <c r="KH495" s="243"/>
      <c r="KI495" s="243"/>
      <c r="KJ495" s="243"/>
      <c r="KK495" s="243"/>
      <c r="KL495" s="243"/>
      <c r="KM495" s="243"/>
      <c r="KN495" s="243"/>
      <c r="KO495" s="243"/>
      <c r="KP495" s="243"/>
      <c r="KQ495" s="243"/>
      <c r="KR495" s="243"/>
      <c r="KS495" s="243"/>
      <c r="KT495" s="243"/>
      <c r="KU495" s="243"/>
      <c r="KV495" s="243"/>
      <c r="KW495" s="243"/>
      <c r="KX495" s="243"/>
      <c r="KY495" s="243"/>
      <c r="KZ495" s="243"/>
      <c r="LA495" s="243"/>
      <c r="LB495" s="243"/>
      <c r="LC495" s="243"/>
      <c r="LD495" s="243"/>
      <c r="LE495" s="243"/>
      <c r="LF495" s="243"/>
      <c r="LG495" s="243"/>
      <c r="LH495" s="243"/>
      <c r="LI495" s="243"/>
      <c r="LJ495" s="243"/>
      <c r="LK495" s="243"/>
      <c r="LL495" s="243"/>
      <c r="LM495" s="243"/>
      <c r="LN495" s="243"/>
      <c r="LO495" s="243"/>
      <c r="LP495" s="243"/>
      <c r="LQ495" s="243"/>
      <c r="LR495" s="243"/>
      <c r="LS495" s="243"/>
      <c r="LT495" s="243"/>
      <c r="LU495" s="243"/>
      <c r="LV495" s="243"/>
      <c r="LW495" s="243"/>
      <c r="LX495" s="243"/>
      <c r="LY495" s="243"/>
      <c r="LZ495" s="243"/>
      <c r="MA495" s="243"/>
      <c r="MB495" s="243"/>
      <c r="MC495" s="243"/>
      <c r="MD495" s="243"/>
      <c r="ME495" s="243"/>
      <c r="MF495" s="243"/>
      <c r="MG495" s="243"/>
      <c r="MH495" s="243"/>
      <c r="MI495" s="243"/>
      <c r="MJ495" s="243"/>
      <c r="MK495" s="243"/>
      <c r="ML495" s="243"/>
      <c r="MM495" s="243"/>
      <c r="MN495" s="243"/>
      <c r="MO495" s="243"/>
      <c r="MP495" s="243"/>
      <c r="MQ495" s="243"/>
      <c r="MR495" s="243"/>
      <c r="MS495" s="243"/>
      <c r="MT495" s="243"/>
      <c r="MU495" s="243"/>
      <c r="MV495" s="243"/>
      <c r="MW495" s="243"/>
      <c r="MX495" s="243"/>
      <c r="MY495" s="243"/>
      <c r="MZ495" s="243"/>
      <c r="NA495" s="243"/>
      <c r="NB495" s="243"/>
      <c r="NC495" s="243"/>
      <c r="ND495" s="243"/>
      <c r="NE495" s="243"/>
      <c r="NF495" s="243"/>
      <c r="NG495" s="243"/>
      <c r="NH495" s="243"/>
      <c r="NI495" s="243"/>
      <c r="NJ495" s="243"/>
      <c r="NK495" s="243"/>
      <c r="NL495" s="243"/>
      <c r="NM495" s="243"/>
      <c r="NN495" s="243"/>
      <c r="NO495" s="243"/>
      <c r="NP495" s="243"/>
      <c r="NQ495" s="243"/>
      <c r="NR495" s="243"/>
      <c r="NS495" s="243"/>
      <c r="NT495" s="243"/>
      <c r="NU495" s="243"/>
      <c r="NV495" s="243"/>
      <c r="NW495" s="243"/>
      <c r="NX495" s="243"/>
      <c r="NY495" s="243"/>
      <c r="NZ495" s="243"/>
      <c r="OA495" s="243"/>
      <c r="OB495" s="243"/>
      <c r="OC495" s="243"/>
      <c r="OD495" s="243"/>
      <c r="OE495" s="243"/>
      <c r="OF495" s="243"/>
      <c r="OG495" s="243"/>
      <c r="OH495" s="243"/>
      <c r="OI495" s="243"/>
      <c r="OJ495" s="243"/>
      <c r="OK495" s="243"/>
      <c r="OL495" s="243"/>
      <c r="OM495" s="243"/>
      <c r="ON495" s="243"/>
      <c r="OO495" s="243"/>
      <c r="OP495" s="243"/>
      <c r="OQ495" s="243"/>
      <c r="OR495" s="243"/>
      <c r="OS495" s="243"/>
      <c r="OT495" s="243"/>
      <c r="OU495" s="243"/>
      <c r="OV495" s="243"/>
      <c r="OW495" s="243"/>
      <c r="OX495" s="243"/>
      <c r="OY495" s="243"/>
      <c r="OZ495" s="243"/>
      <c r="PA495" s="243"/>
      <c r="PB495" s="243"/>
      <c r="PC495" s="243"/>
      <c r="PD495" s="243"/>
      <c r="PE495" s="243"/>
      <c r="PF495" s="243"/>
      <c r="PG495" s="243"/>
      <c r="PH495" s="243"/>
      <c r="PI495" s="243"/>
      <c r="PJ495" s="243"/>
      <c r="PK495" s="243"/>
      <c r="PL495" s="243"/>
      <c r="PM495" s="243"/>
      <c r="PN495" s="243"/>
      <c r="PO495" s="243"/>
      <c r="PP495" s="243"/>
      <c r="PQ495" s="243"/>
      <c r="PR495" s="243"/>
      <c r="PS495" s="243"/>
      <c r="PT495" s="243"/>
      <c r="PU495" s="243"/>
      <c r="PV495" s="243"/>
      <c r="PW495" s="243"/>
      <c r="PX495" s="243"/>
      <c r="PY495" s="243"/>
      <c r="PZ495" s="243"/>
      <c r="QA495" s="243"/>
      <c r="QB495" s="243"/>
      <c r="QC495" s="243"/>
      <c r="QD495" s="243"/>
      <c r="QE495" s="243"/>
      <c r="QF495" s="243"/>
      <c r="QG495" s="243"/>
      <c r="QH495" s="243"/>
      <c r="QI495" s="243"/>
      <c r="QJ495" s="243"/>
      <c r="QK495" s="243"/>
      <c r="QL495" s="243"/>
      <c r="QM495" s="243"/>
      <c r="QN495" s="243"/>
      <c r="QO495" s="243"/>
      <c r="QP495" s="243"/>
      <c r="QQ495" s="243"/>
      <c r="QR495" s="243"/>
      <c r="QS495" s="243"/>
      <c r="QT495" s="243"/>
      <c r="QU495" s="243"/>
      <c r="QV495" s="243"/>
      <c r="QW495" s="243"/>
      <c r="QX495" s="243"/>
      <c r="QY495" s="243"/>
      <c r="QZ495" s="243"/>
      <c r="RA495" s="243"/>
      <c r="RB495" s="243"/>
      <c r="RC495" s="243"/>
      <c r="RD495" s="243"/>
      <c r="RE495" s="243"/>
      <c r="RF495" s="243"/>
      <c r="RG495" s="243"/>
      <c r="RH495" s="243"/>
      <c r="RI495" s="243"/>
      <c r="RJ495" s="243"/>
      <c r="RK495" s="243"/>
      <c r="RL495" s="243"/>
      <c r="RM495" s="243"/>
      <c r="RN495" s="243"/>
      <c r="RO495" s="243"/>
      <c r="RP495" s="243"/>
      <c r="RQ495" s="243"/>
      <c r="RR495" s="243"/>
      <c r="RS495" s="243"/>
      <c r="RT495" s="243"/>
      <c r="RU495" s="243"/>
      <c r="RV495" s="243"/>
      <c r="RW495" s="243"/>
      <c r="RX495" s="243"/>
      <c r="RY495" s="243"/>
      <c r="RZ495" s="243"/>
      <c r="SA495" s="243"/>
      <c r="SB495" s="243"/>
      <c r="SC495" s="243"/>
      <c r="SD495" s="243"/>
      <c r="SE495" s="243"/>
      <c r="SF495" s="243"/>
      <c r="SG495" s="243"/>
      <c r="SH495" s="243"/>
      <c r="SI495" s="243"/>
      <c r="SJ495" s="243"/>
      <c r="SK495" s="243"/>
      <c r="SL495" s="243"/>
      <c r="SM495" s="243"/>
      <c r="SN495" s="243"/>
      <c r="SO495" s="243"/>
      <c r="SP495" s="243"/>
      <c r="SQ495" s="243"/>
      <c r="SR495" s="243"/>
      <c r="SS495" s="243"/>
      <c r="ST495" s="243"/>
      <c r="SU495" s="243"/>
      <c r="SV495" s="243"/>
      <c r="SW495" s="243"/>
      <c r="SX495" s="243"/>
      <c r="SY495" s="243"/>
      <c r="SZ495" s="243"/>
      <c r="TA495" s="243"/>
      <c r="TB495" s="243"/>
      <c r="TC495" s="243"/>
      <c r="TD495" s="243"/>
      <c r="TE495" s="243"/>
      <c r="TF495" s="243"/>
      <c r="TG495" s="243"/>
      <c r="TH495" s="243"/>
      <c r="TI495" s="243"/>
      <c r="TJ495" s="243"/>
      <c r="TK495" s="243"/>
      <c r="TL495" s="243"/>
      <c r="TM495" s="243"/>
      <c r="TN495" s="243"/>
      <c r="TO495" s="243"/>
      <c r="TP495" s="243"/>
      <c r="TQ495" s="243"/>
      <c r="TR495" s="243"/>
      <c r="TS495" s="243"/>
      <c r="TT495" s="243"/>
      <c r="TU495" s="243"/>
      <c r="TV495" s="243"/>
      <c r="TW495" s="243"/>
      <c r="TX495" s="243"/>
      <c r="TY495" s="243"/>
      <c r="TZ495" s="243"/>
      <c r="UA495" s="243"/>
      <c r="UB495" s="243"/>
      <c r="UC495" s="243"/>
      <c r="UD495" s="243"/>
      <c r="UE495" s="243"/>
      <c r="UF495" s="243"/>
      <c r="UG495" s="243"/>
      <c r="UH495" s="243"/>
      <c r="UI495" s="243"/>
      <c r="UJ495" s="243"/>
      <c r="UK495" s="243"/>
      <c r="UL495" s="243"/>
      <c r="UM495" s="243"/>
      <c r="UN495" s="243"/>
      <c r="UO495" s="243"/>
      <c r="UP495" s="243"/>
      <c r="UQ495" s="243"/>
      <c r="UR495" s="243"/>
      <c r="US495" s="243"/>
      <c r="UT495" s="243"/>
      <c r="UU495" s="243"/>
      <c r="UV495" s="243"/>
      <c r="UW495" s="243"/>
      <c r="UX495" s="243"/>
      <c r="UY495" s="243"/>
      <c r="UZ495" s="243"/>
      <c r="VA495" s="243"/>
      <c r="VB495" s="243"/>
      <c r="VC495" s="243"/>
      <c r="VD495" s="243"/>
      <c r="VE495" s="243"/>
      <c r="VF495" s="243"/>
      <c r="VG495" s="243"/>
      <c r="VH495" s="243"/>
      <c r="VI495" s="243"/>
      <c r="VJ495" s="243"/>
      <c r="VK495" s="243"/>
      <c r="VL495" s="243"/>
      <c r="VM495" s="243"/>
      <c r="VN495" s="243"/>
      <c r="VO495" s="243"/>
      <c r="VP495" s="243"/>
      <c r="VQ495" s="243"/>
      <c r="VR495" s="243"/>
      <c r="VS495" s="243"/>
      <c r="VT495" s="243"/>
      <c r="VU495" s="243"/>
      <c r="VV495" s="243"/>
      <c r="VW495" s="243"/>
      <c r="VX495" s="243"/>
      <c r="VY495" s="243"/>
      <c r="VZ495" s="243"/>
      <c r="WA495" s="243"/>
      <c r="WB495" s="243"/>
      <c r="WC495" s="243"/>
      <c r="WD495" s="243"/>
      <c r="WE495" s="243"/>
      <c r="WF495" s="243"/>
      <c r="WG495" s="243"/>
      <c r="WH495" s="243"/>
      <c r="WI495" s="243"/>
      <c r="WJ495" s="243"/>
      <c r="WK495" s="243"/>
      <c r="WL495" s="243"/>
      <c r="WM495" s="243"/>
      <c r="WN495" s="243"/>
      <c r="WO495" s="243"/>
      <c r="WP495" s="243"/>
      <c r="WQ495" s="243"/>
      <c r="WR495" s="243"/>
      <c r="WS495" s="243"/>
      <c r="WT495" s="243"/>
      <c r="WU495" s="243"/>
      <c r="WV495" s="243"/>
      <c r="WW495" s="243"/>
      <c r="WX495" s="243"/>
      <c r="WY495" s="243"/>
      <c r="WZ495" s="243"/>
      <c r="XA495" s="243"/>
      <c r="XB495" s="243"/>
      <c r="XC495" s="243"/>
      <c r="XD495" s="243"/>
      <c r="XE495" s="243"/>
      <c r="XF495" s="243"/>
      <c r="XG495" s="243"/>
      <c r="XH495" s="243"/>
      <c r="XI495" s="243"/>
      <c r="XJ495" s="243"/>
      <c r="XK495" s="243"/>
      <c r="XL495" s="243"/>
      <c r="XM495" s="243"/>
      <c r="XN495" s="243"/>
      <c r="XO495" s="243"/>
      <c r="XP495" s="243"/>
      <c r="XQ495" s="243"/>
      <c r="XR495" s="243"/>
      <c r="XS495" s="243"/>
      <c r="XT495" s="243"/>
      <c r="XU495" s="243"/>
      <c r="XV495" s="243"/>
      <c r="XW495" s="243"/>
      <c r="XX495" s="243"/>
      <c r="XY495" s="243"/>
      <c r="XZ495" s="243"/>
      <c r="YA495" s="243"/>
      <c r="YB495" s="243"/>
      <c r="YC495" s="243"/>
      <c r="YD495" s="243"/>
      <c r="YE495" s="243"/>
      <c r="YF495" s="243"/>
      <c r="YG495" s="243"/>
      <c r="YH495" s="243"/>
      <c r="YI495" s="243"/>
      <c r="YJ495" s="243"/>
      <c r="YK495" s="243"/>
      <c r="YL495" s="243"/>
      <c r="YM495" s="243"/>
      <c r="YN495" s="243"/>
      <c r="YO495" s="243"/>
      <c r="YP495" s="243"/>
      <c r="YQ495" s="243"/>
      <c r="YR495" s="243"/>
      <c r="YS495" s="243"/>
      <c r="YT495" s="243"/>
      <c r="YU495" s="243"/>
      <c r="YV495" s="243"/>
      <c r="YW495" s="243"/>
      <c r="YX495" s="243"/>
      <c r="YY495" s="243"/>
      <c r="YZ495" s="243"/>
      <c r="ZA495" s="243"/>
      <c r="ZB495" s="243"/>
      <c r="ZC495" s="243"/>
      <c r="ZD495" s="243"/>
      <c r="ZE495" s="243"/>
      <c r="ZF495" s="243"/>
      <c r="ZG495" s="243"/>
      <c r="ZH495" s="243"/>
      <c r="ZI495" s="243"/>
      <c r="ZJ495" s="243"/>
      <c r="ZK495" s="243"/>
      <c r="ZL495" s="243"/>
      <c r="ZM495" s="243"/>
      <c r="ZN495" s="243"/>
      <c r="ZO495" s="243"/>
      <c r="ZP495" s="243"/>
      <c r="ZQ495" s="243"/>
      <c r="ZR495" s="243"/>
      <c r="ZS495" s="243"/>
      <c r="ZT495" s="243"/>
      <c r="ZU495" s="243"/>
      <c r="ZV495" s="243"/>
      <c r="ZW495" s="243"/>
      <c r="ZX495" s="243"/>
      <c r="ZY495" s="243"/>
      <c r="ZZ495" s="243"/>
      <c r="AAA495" s="243"/>
      <c r="AAB495" s="243"/>
      <c r="AAC495" s="243"/>
      <c r="AAD495" s="243"/>
      <c r="AAE495" s="243"/>
      <c r="AAF495" s="243"/>
      <c r="AAG495" s="243"/>
      <c r="AAH495" s="243"/>
      <c r="AAI495" s="243"/>
      <c r="AAJ495" s="243"/>
      <c r="AAK495" s="243"/>
      <c r="AAL495" s="243"/>
      <c r="AAM495" s="243"/>
      <c r="AAN495" s="243"/>
      <c r="AAO495" s="243"/>
      <c r="AAP495" s="243"/>
      <c r="AAQ495" s="243"/>
      <c r="AAR495" s="243"/>
      <c r="AAS495" s="243"/>
      <c r="AAT495" s="243"/>
      <c r="AAU495" s="243"/>
      <c r="AAV495" s="243"/>
      <c r="AAW495" s="243"/>
      <c r="AAX495" s="243"/>
      <c r="AAY495" s="243"/>
      <c r="AAZ495" s="243"/>
      <c r="ABA495" s="243"/>
      <c r="ABB495" s="243"/>
      <c r="ABC495" s="243"/>
      <c r="ABD495" s="243"/>
      <c r="ABE495" s="243"/>
      <c r="ABF495" s="243"/>
      <c r="ABG495" s="243"/>
      <c r="ABH495" s="243"/>
      <c r="ABI495" s="243"/>
      <c r="ABJ495" s="243"/>
      <c r="ABK495" s="243"/>
      <c r="ABL495" s="243"/>
      <c r="ABM495" s="243"/>
      <c r="ABN495" s="243"/>
      <c r="ABO495" s="243"/>
      <c r="ABP495" s="243"/>
      <c r="ABQ495" s="243"/>
      <c r="ABR495" s="243"/>
      <c r="ABS495" s="243"/>
      <c r="ABT495" s="243"/>
      <c r="ABU495" s="243"/>
      <c r="ABV495" s="243"/>
      <c r="ABW495" s="243"/>
      <c r="ABX495" s="243"/>
      <c r="ABY495" s="243"/>
      <c r="ABZ495" s="243"/>
      <c r="ACA495" s="243"/>
      <c r="ACB495" s="243"/>
      <c r="ACC495" s="243"/>
      <c r="ACD495" s="243"/>
      <c r="ACE495" s="243"/>
      <c r="ACF495" s="243"/>
      <c r="ACG495" s="243"/>
      <c r="ACH495" s="243"/>
      <c r="ACI495" s="243"/>
      <c r="ACJ495" s="243"/>
      <c r="ACK495" s="243"/>
      <c r="ACL495" s="243"/>
      <c r="ACM495" s="243"/>
      <c r="ACN495" s="243"/>
      <c r="ACO495" s="243"/>
      <c r="ACP495" s="243"/>
      <c r="ACQ495" s="243"/>
      <c r="ACR495" s="243"/>
      <c r="ACS495" s="243"/>
      <c r="ACT495" s="243"/>
      <c r="ACU495" s="243"/>
      <c r="ACV495" s="243"/>
      <c r="ACW495" s="243"/>
      <c r="ACX495" s="243"/>
      <c r="ACY495" s="243"/>
      <c r="ACZ495" s="243"/>
      <c r="ADA495" s="243"/>
      <c r="ADB495" s="243"/>
      <c r="ADC495" s="243"/>
      <c r="ADD495" s="243"/>
      <c r="ADE495" s="243"/>
      <c r="ADF495" s="243"/>
      <c r="ADG495" s="243"/>
      <c r="ADH495" s="243"/>
      <c r="ADI495" s="243"/>
      <c r="ADJ495" s="243"/>
      <c r="ADK495" s="243"/>
      <c r="ADL495" s="243"/>
      <c r="ADM495" s="243"/>
      <c r="ADN495" s="243"/>
      <c r="ADO495" s="243"/>
      <c r="ADP495" s="243"/>
      <c r="ADQ495" s="243"/>
      <c r="ADR495" s="243"/>
      <c r="ADS495" s="243"/>
      <c r="ADT495" s="243"/>
      <c r="ADU495" s="243"/>
      <c r="ADV495" s="243"/>
      <c r="ADW495" s="243"/>
      <c r="ADX495" s="243"/>
      <c r="ADY495" s="243"/>
      <c r="ADZ495" s="243"/>
      <c r="AEA495" s="243"/>
      <c r="AEB495" s="243"/>
      <c r="AEC495" s="243"/>
      <c r="AED495" s="243"/>
      <c r="AEE495" s="243"/>
      <c r="AEF495" s="243"/>
      <c r="AEG495" s="243"/>
      <c r="AEH495" s="243"/>
      <c r="AEI495" s="243"/>
      <c r="AEJ495" s="243"/>
      <c r="AEK495" s="243"/>
      <c r="AEL495" s="243"/>
      <c r="AEM495" s="243"/>
      <c r="AEN495" s="243"/>
      <c r="AEO495" s="243"/>
      <c r="AEP495" s="243"/>
      <c r="AEQ495" s="243"/>
      <c r="AER495" s="243"/>
      <c r="AES495" s="243"/>
      <c r="AET495" s="243"/>
      <c r="AEU495" s="243"/>
      <c r="AEV495" s="243"/>
      <c r="AEW495" s="243"/>
      <c r="AEX495" s="243"/>
      <c r="AEY495" s="243"/>
      <c r="AEZ495" s="243"/>
      <c r="AFA495" s="243"/>
      <c r="AFB495" s="243"/>
      <c r="AFC495" s="243"/>
      <c r="AFD495" s="243"/>
      <c r="AFE495" s="243"/>
      <c r="AFF495" s="243"/>
      <c r="AFG495" s="243"/>
      <c r="AFH495" s="243"/>
      <c r="AFI495" s="243"/>
      <c r="AFJ495" s="243"/>
      <c r="AFK495" s="243"/>
      <c r="AFL495" s="243"/>
      <c r="AFM495" s="243"/>
      <c r="AFN495" s="243"/>
      <c r="AFO495" s="243"/>
      <c r="AFP495" s="243"/>
      <c r="AFQ495" s="243"/>
      <c r="AFR495" s="243"/>
      <c r="AFS495" s="243"/>
      <c r="AFT495" s="243"/>
      <c r="AFU495" s="243"/>
      <c r="AFV495" s="243"/>
      <c r="AFW495" s="243"/>
      <c r="AFX495" s="243"/>
      <c r="AFY495" s="243"/>
      <c r="AFZ495" s="243"/>
      <c r="AGA495" s="243"/>
      <c r="AGB495" s="243"/>
      <c r="AGC495" s="243"/>
      <c r="AGD495" s="243"/>
      <c r="AGE495" s="243"/>
      <c r="AGF495" s="243"/>
      <c r="AGG495" s="243"/>
      <c r="AGH495" s="243"/>
      <c r="AGI495" s="243"/>
      <c r="AGJ495" s="243"/>
      <c r="AGK495" s="243"/>
      <c r="AGL495" s="243"/>
      <c r="AGM495" s="243"/>
      <c r="AGN495" s="243"/>
      <c r="AGO495" s="243"/>
      <c r="AGP495" s="243"/>
      <c r="AGQ495" s="243"/>
      <c r="AGR495" s="243"/>
      <c r="AGS495" s="243"/>
      <c r="AGT495" s="243"/>
      <c r="AGU495" s="243"/>
      <c r="AGV495" s="243"/>
      <c r="AGW495" s="243"/>
      <c r="AGX495" s="243"/>
      <c r="AGY495" s="243"/>
      <c r="AGZ495" s="243"/>
      <c r="AHA495" s="243"/>
      <c r="AHB495" s="243"/>
      <c r="AHC495" s="243"/>
      <c r="AHD495" s="243"/>
      <c r="AHE495" s="243"/>
      <c r="AHF495" s="243"/>
      <c r="AHG495" s="243"/>
      <c r="AHH495" s="243"/>
      <c r="AHI495" s="243"/>
      <c r="AHJ495" s="243"/>
      <c r="AHK495" s="243"/>
      <c r="AHL495" s="243"/>
      <c r="AHM495" s="243"/>
      <c r="AHN495" s="243"/>
      <c r="AHO495" s="243"/>
      <c r="AHP495" s="243"/>
      <c r="AHQ495" s="243"/>
      <c r="AHR495" s="243"/>
      <c r="AHS495" s="243"/>
      <c r="AHT495" s="243"/>
      <c r="AHU495" s="243"/>
      <c r="AHV495" s="243"/>
      <c r="AHW495" s="243"/>
      <c r="AHX495" s="243"/>
      <c r="AHY495" s="243"/>
      <c r="AHZ495" s="243"/>
      <c r="AIA495" s="243"/>
      <c r="AIB495" s="243"/>
      <c r="AIC495" s="243"/>
      <c r="AID495" s="243"/>
      <c r="AIE495" s="243"/>
      <c r="AIF495" s="243"/>
      <c r="AIG495" s="243"/>
      <c r="AIH495" s="243"/>
      <c r="AII495" s="243"/>
      <c r="AIJ495" s="243"/>
      <c r="AIK495" s="243"/>
      <c r="AIL495" s="243"/>
      <c r="AIM495" s="243"/>
      <c r="AIN495" s="243"/>
      <c r="AIO495" s="243"/>
      <c r="AIP495" s="243"/>
      <c r="AIQ495" s="243"/>
      <c r="AIR495" s="243"/>
      <c r="AIS495" s="243"/>
      <c r="AIT495" s="243"/>
      <c r="AIU495" s="243"/>
      <c r="AIV495" s="243"/>
      <c r="AIW495" s="243"/>
      <c r="AIX495" s="243"/>
      <c r="AIY495" s="243"/>
      <c r="AIZ495" s="243"/>
      <c r="AJA495" s="243"/>
      <c r="AJB495" s="243"/>
      <c r="AJC495" s="243"/>
      <c r="AJD495" s="243"/>
      <c r="AJE495" s="243"/>
      <c r="AJF495" s="243"/>
      <c r="AJG495" s="243"/>
      <c r="AJH495" s="243"/>
      <c r="AJI495" s="243"/>
      <c r="AJJ495" s="243"/>
      <c r="AJK495" s="243"/>
      <c r="AJL495" s="243"/>
      <c r="AJM495" s="243"/>
      <c r="AJN495" s="243"/>
      <c r="AJO495" s="243"/>
      <c r="AJP495" s="243"/>
      <c r="AJQ495" s="243"/>
      <c r="AJR495" s="243"/>
      <c r="AJS495" s="243"/>
      <c r="AJT495" s="243"/>
      <c r="AJU495" s="243"/>
      <c r="AJV495" s="243"/>
      <c r="AJW495" s="243"/>
      <c r="AJX495" s="243"/>
      <c r="AJY495" s="243"/>
      <c r="AJZ495" s="243"/>
      <c r="AKA495" s="243"/>
      <c r="AKB495" s="243"/>
      <c r="AKC495" s="243"/>
      <c r="AKD495" s="243"/>
      <c r="AKE495" s="243"/>
      <c r="AKF495" s="243"/>
      <c r="AKG495" s="243"/>
      <c r="AKH495" s="243"/>
      <c r="AKI495" s="243"/>
      <c r="AKJ495" s="243"/>
      <c r="AKK495" s="243"/>
      <c r="AKL495" s="243"/>
      <c r="AKM495" s="243"/>
      <c r="AKN495" s="243"/>
      <c r="AKO495" s="243"/>
      <c r="AKP495" s="243"/>
      <c r="AKQ495" s="243"/>
      <c r="AKR495" s="243"/>
      <c r="AKS495" s="243"/>
      <c r="AKT495" s="243"/>
      <c r="AKU495" s="243"/>
      <c r="AKV495" s="243"/>
      <c r="AKW495" s="243"/>
      <c r="AKX495" s="243"/>
      <c r="AKY495" s="243"/>
      <c r="AKZ495" s="243"/>
      <c r="ALA495" s="243"/>
      <c r="ALB495" s="243"/>
      <c r="ALC495" s="243"/>
      <c r="ALD495" s="243"/>
      <c r="ALE495" s="243"/>
      <c r="ALF495" s="243"/>
      <c r="ALG495" s="243"/>
      <c r="ALH495" s="243"/>
      <c r="ALI495" s="243"/>
      <c r="ALJ495" s="243"/>
      <c r="ALK495" s="243"/>
      <c r="ALL495" s="243"/>
      <c r="ALM495" s="243"/>
      <c r="ALN495" s="243"/>
      <c r="ALO495" s="243"/>
      <c r="ALP495" s="243"/>
      <c r="ALQ495" s="243"/>
      <c r="ALR495" s="243"/>
      <c r="ALS495" s="243"/>
      <c r="ALT495" s="243"/>
      <c r="ALU495" s="243"/>
      <c r="ALV495" s="243"/>
      <c r="ALW495" s="243"/>
      <c r="ALX495" s="243"/>
      <c r="ALY495" s="243"/>
      <c r="ALZ495" s="243"/>
      <c r="AMA495" s="243"/>
      <c r="AMB495" s="243"/>
      <c r="AMC495" s="243"/>
      <c r="AMD495" s="243"/>
      <c r="AME495" s="243"/>
      <c r="AMF495" s="243"/>
      <c r="AMG495" s="243"/>
      <c r="AMH495" s="243"/>
      <c r="AMI495" s="244"/>
      <c r="AMJ495" s="244"/>
    </row>
    <row r="496" spans="1:1024" ht="12.75" customHeight="1">
      <c r="A496" s="902"/>
      <c r="B496" s="686"/>
      <c r="C496" s="332"/>
      <c r="D496" s="626" t="s">
        <v>26</v>
      </c>
      <c r="E496" s="563">
        <f>SUM(E482:E495)</f>
        <v>30921000</v>
      </c>
      <c r="F496" s="318" t="s">
        <v>26</v>
      </c>
      <c r="G496" s="618">
        <f>SUM(G482:G495)</f>
        <v>1987680</v>
      </c>
      <c r="H496" s="140"/>
      <c r="I496" s="140"/>
      <c r="J496" s="140"/>
      <c r="K496" s="626" t="s">
        <v>27</v>
      </c>
      <c r="L496" s="627"/>
      <c r="M496" s="627"/>
      <c r="N496" s="628"/>
      <c r="O496" s="629" t="s">
        <v>28</v>
      </c>
      <c r="P496" s="718">
        <f>G496+P495</f>
        <v>2260680</v>
      </c>
      <c r="Q496" s="624"/>
    </row>
    <row r="497" spans="1:1024">
      <c r="A497" s="722"/>
      <c r="B497" s="723"/>
      <c r="C497" s="724"/>
      <c r="D497" s="641"/>
      <c r="E497" s="579"/>
      <c r="F497" s="641"/>
      <c r="G497" s="579"/>
      <c r="H497" s="641"/>
      <c r="I497" s="641"/>
      <c r="J497" s="641"/>
      <c r="K497" s="641"/>
      <c r="L497" s="641"/>
      <c r="M497" s="641"/>
      <c r="N497" s="641"/>
      <c r="O497" s="642"/>
      <c r="P497" s="579"/>
      <c r="Q497" s="624"/>
    </row>
    <row r="498" spans="1:1024">
      <c r="A498" s="904" t="s">
        <v>247</v>
      </c>
      <c r="B498" s="949"/>
      <c r="C498" s="949"/>
      <c r="D498" s="949"/>
      <c r="E498" s="949"/>
      <c r="F498" s="949"/>
      <c r="G498" s="949"/>
      <c r="H498" s="949"/>
      <c r="I498" s="949"/>
      <c r="J498" s="950"/>
      <c r="K498" s="948" t="s">
        <v>2</v>
      </c>
      <c r="L498" s="948"/>
      <c r="M498" s="1047"/>
      <c r="N498" s="1047"/>
      <c r="O498" s="1047"/>
      <c r="P498" s="1047"/>
      <c r="Q498" s="624"/>
    </row>
    <row r="499" spans="1:1024" ht="30.75">
      <c r="A499" s="327" t="s">
        <v>3</v>
      </c>
      <c r="B499" s="327" t="s">
        <v>4</v>
      </c>
      <c r="C499" s="327" t="s">
        <v>5</v>
      </c>
      <c r="D499" s="327" t="s">
        <v>6</v>
      </c>
      <c r="E499" s="327" t="s">
        <v>7</v>
      </c>
      <c r="F499" s="327" t="s">
        <v>8</v>
      </c>
      <c r="G499" s="327" t="s">
        <v>9</v>
      </c>
      <c r="H499" s="707" t="s">
        <v>10</v>
      </c>
      <c r="I499" s="327" t="s">
        <v>11</v>
      </c>
      <c r="J499" s="327" t="s">
        <v>12</v>
      </c>
      <c r="K499" s="711" t="s">
        <v>4</v>
      </c>
      <c r="L499" s="595" t="s">
        <v>5</v>
      </c>
      <c r="M499" s="711" t="s">
        <v>6</v>
      </c>
      <c r="N499" s="711" t="s">
        <v>13</v>
      </c>
      <c r="O499" s="711" t="s">
        <v>8</v>
      </c>
      <c r="P499" s="711" t="s">
        <v>14</v>
      </c>
      <c r="Q499" s="624"/>
    </row>
    <row r="500" spans="1:1024">
      <c r="A500" s="887" t="s">
        <v>327</v>
      </c>
      <c r="B500" s="551">
        <v>14867</v>
      </c>
      <c r="C500" s="550">
        <v>0.08</v>
      </c>
      <c r="D500" s="542" t="s">
        <v>313</v>
      </c>
      <c r="E500" s="364">
        <v>2700000</v>
      </c>
      <c r="F500" s="600">
        <v>0.04</v>
      </c>
      <c r="G500" s="364">
        <f>E500*F500</f>
        <v>108000</v>
      </c>
      <c r="H500" s="599" t="s">
        <v>202</v>
      </c>
      <c r="I500" s="604"/>
      <c r="J500" s="735"/>
      <c r="K500" s="580">
        <v>14999</v>
      </c>
      <c r="L500" s="759">
        <v>0.08</v>
      </c>
      <c r="M500" s="542" t="s">
        <v>324</v>
      </c>
      <c r="N500" s="364">
        <v>2700000</v>
      </c>
      <c r="O500" s="600">
        <v>0.04</v>
      </c>
      <c r="P500" s="364">
        <f>N500*O500</f>
        <v>108000</v>
      </c>
      <c r="Q500" s="716"/>
      <c r="R500" s="243"/>
      <c r="S500" s="243"/>
      <c r="T500" s="243"/>
      <c r="U500" s="243"/>
      <c r="V500" s="243"/>
      <c r="W500" s="243"/>
      <c r="X500" s="243"/>
      <c r="Y500" s="243"/>
      <c r="Z500" s="243"/>
      <c r="AA500" s="243"/>
      <c r="AB500" s="243"/>
      <c r="AC500" s="243"/>
      <c r="AD500" s="243"/>
      <c r="AE500" s="243"/>
      <c r="AF500" s="243"/>
      <c r="AG500" s="243"/>
      <c r="AH500" s="243"/>
      <c r="AI500" s="243"/>
      <c r="AJ500" s="243"/>
      <c r="AK500" s="243"/>
      <c r="AL500" s="243"/>
      <c r="AM500" s="243"/>
      <c r="AN500" s="243"/>
      <c r="AO500" s="243"/>
      <c r="AP500" s="243"/>
      <c r="AQ500" s="243"/>
      <c r="AR500" s="243"/>
      <c r="AS500" s="243"/>
      <c r="AT500" s="243"/>
      <c r="AU500" s="243"/>
      <c r="AV500" s="243"/>
      <c r="AW500" s="243"/>
      <c r="AX500" s="243"/>
      <c r="AY500" s="243"/>
      <c r="AZ500" s="243"/>
      <c r="BA500" s="243"/>
      <c r="BB500" s="243"/>
      <c r="BC500" s="243"/>
      <c r="BD500" s="243"/>
      <c r="BE500" s="243"/>
      <c r="BF500" s="243"/>
      <c r="BG500" s="243"/>
      <c r="BH500" s="243"/>
      <c r="BI500" s="243"/>
      <c r="BJ500" s="243"/>
      <c r="BK500" s="243"/>
      <c r="BL500" s="243"/>
      <c r="BM500" s="243"/>
      <c r="BN500" s="243"/>
      <c r="BO500" s="243"/>
      <c r="BP500" s="243"/>
      <c r="BQ500" s="243"/>
      <c r="BR500" s="243"/>
      <c r="BS500" s="243"/>
      <c r="BT500" s="243"/>
      <c r="BU500" s="243"/>
      <c r="BV500" s="243"/>
      <c r="BW500" s="243"/>
      <c r="BX500" s="243"/>
      <c r="BY500" s="243"/>
      <c r="BZ500" s="243"/>
      <c r="CA500" s="243"/>
      <c r="CB500" s="243"/>
      <c r="CC500" s="243"/>
      <c r="CD500" s="243"/>
      <c r="CE500" s="243"/>
      <c r="CF500" s="243"/>
      <c r="CG500" s="243"/>
      <c r="CH500" s="243"/>
      <c r="CI500" s="243"/>
      <c r="CJ500" s="243"/>
      <c r="CK500" s="243"/>
      <c r="CL500" s="243"/>
      <c r="CM500" s="243"/>
      <c r="CN500" s="243"/>
      <c r="CO500" s="243"/>
      <c r="CP500" s="243"/>
      <c r="CQ500" s="243"/>
      <c r="CR500" s="243"/>
      <c r="CS500" s="243"/>
      <c r="CT500" s="243"/>
      <c r="CU500" s="243"/>
      <c r="CV500" s="243"/>
      <c r="CW500" s="243"/>
      <c r="CX500" s="243"/>
      <c r="CY500" s="243"/>
      <c r="CZ500" s="243"/>
      <c r="DA500" s="243"/>
      <c r="DB500" s="243"/>
      <c r="DC500" s="243"/>
      <c r="DD500" s="243"/>
      <c r="DE500" s="243"/>
      <c r="DF500" s="243"/>
      <c r="DG500" s="243"/>
      <c r="DH500" s="243"/>
      <c r="DI500" s="243"/>
      <c r="DJ500" s="243"/>
      <c r="DK500" s="243"/>
      <c r="DL500" s="243"/>
      <c r="DM500" s="243"/>
      <c r="DN500" s="243"/>
      <c r="DO500" s="243"/>
      <c r="DP500" s="243"/>
      <c r="DQ500" s="243"/>
      <c r="DR500" s="243"/>
      <c r="DS500" s="243"/>
      <c r="DT500" s="243"/>
      <c r="DU500" s="243"/>
      <c r="DV500" s="243"/>
      <c r="DW500" s="243"/>
      <c r="DX500" s="243"/>
      <c r="DY500" s="243"/>
      <c r="DZ500" s="243"/>
      <c r="EA500" s="243"/>
      <c r="EB500" s="243"/>
      <c r="EC500" s="243"/>
      <c r="ED500" s="243"/>
      <c r="EE500" s="243"/>
      <c r="EF500" s="243"/>
      <c r="EG500" s="243"/>
      <c r="EH500" s="243"/>
      <c r="EI500" s="243"/>
      <c r="EJ500" s="243"/>
      <c r="EK500" s="243"/>
      <c r="EL500" s="243"/>
      <c r="EM500" s="243"/>
      <c r="EN500" s="243"/>
      <c r="EO500" s="243"/>
      <c r="EP500" s="243"/>
      <c r="EQ500" s="243"/>
      <c r="ER500" s="243"/>
      <c r="ES500" s="243"/>
      <c r="ET500" s="243"/>
      <c r="EU500" s="243"/>
      <c r="EV500" s="243"/>
      <c r="EW500" s="243"/>
      <c r="EX500" s="243"/>
      <c r="EY500" s="243"/>
      <c r="EZ500" s="243"/>
      <c r="FA500" s="243"/>
      <c r="FB500" s="243"/>
      <c r="FC500" s="243"/>
      <c r="FD500" s="243"/>
      <c r="FE500" s="243"/>
      <c r="FF500" s="243"/>
      <c r="FG500" s="243"/>
      <c r="FH500" s="243"/>
      <c r="FI500" s="243"/>
      <c r="FJ500" s="243"/>
      <c r="FK500" s="243"/>
      <c r="FL500" s="243"/>
      <c r="FM500" s="243"/>
      <c r="FN500" s="243"/>
      <c r="FO500" s="243"/>
      <c r="FP500" s="243"/>
      <c r="FQ500" s="243"/>
      <c r="FR500" s="243"/>
      <c r="FS500" s="243"/>
      <c r="FT500" s="243"/>
      <c r="FU500" s="243"/>
      <c r="FV500" s="243"/>
      <c r="FW500" s="243"/>
      <c r="FX500" s="243"/>
      <c r="FY500" s="243"/>
      <c r="FZ500" s="243"/>
      <c r="GA500" s="243"/>
      <c r="GB500" s="243"/>
      <c r="GC500" s="243"/>
      <c r="GD500" s="243"/>
      <c r="GE500" s="243"/>
      <c r="GF500" s="243"/>
      <c r="GG500" s="243"/>
      <c r="GH500" s="243"/>
      <c r="GI500" s="243"/>
      <c r="GJ500" s="243"/>
      <c r="GK500" s="243"/>
      <c r="GL500" s="243"/>
      <c r="GM500" s="243"/>
      <c r="GN500" s="243"/>
      <c r="GO500" s="243"/>
      <c r="GP500" s="243"/>
      <c r="GQ500" s="243"/>
      <c r="GR500" s="243"/>
      <c r="GS500" s="243"/>
      <c r="GT500" s="243"/>
      <c r="GU500" s="243"/>
      <c r="GV500" s="243"/>
      <c r="GW500" s="243"/>
      <c r="GX500" s="243"/>
      <c r="GY500" s="243"/>
      <c r="GZ500" s="243"/>
      <c r="HA500" s="243"/>
      <c r="HB500" s="243"/>
      <c r="HC500" s="243"/>
      <c r="HD500" s="243"/>
      <c r="HE500" s="243"/>
      <c r="HF500" s="243"/>
      <c r="HG500" s="243"/>
      <c r="HH500" s="243"/>
      <c r="HI500" s="243"/>
      <c r="HJ500" s="243"/>
      <c r="HK500" s="243"/>
      <c r="HL500" s="243"/>
      <c r="HM500" s="243"/>
      <c r="HN500" s="243"/>
      <c r="HO500" s="243"/>
      <c r="HP500" s="243"/>
      <c r="HQ500" s="243"/>
      <c r="HR500" s="243"/>
      <c r="HS500" s="243"/>
      <c r="HT500" s="243"/>
      <c r="HU500" s="243"/>
      <c r="HV500" s="243"/>
      <c r="HW500" s="243"/>
      <c r="HX500" s="243"/>
      <c r="HY500" s="243"/>
      <c r="HZ500" s="243"/>
      <c r="IA500" s="243"/>
      <c r="IB500" s="243"/>
      <c r="IC500" s="243"/>
      <c r="ID500" s="243"/>
      <c r="IE500" s="243"/>
      <c r="IF500" s="243"/>
      <c r="IG500" s="243"/>
      <c r="IH500" s="243"/>
      <c r="II500" s="243"/>
      <c r="IJ500" s="243"/>
      <c r="IK500" s="243"/>
      <c r="IL500" s="243"/>
      <c r="IM500" s="243"/>
      <c r="IN500" s="243"/>
      <c r="IO500" s="243"/>
      <c r="IP500" s="243"/>
      <c r="IQ500" s="243"/>
      <c r="IR500" s="243"/>
      <c r="IS500" s="243"/>
      <c r="IT500" s="243"/>
      <c r="IU500" s="243"/>
      <c r="IV500" s="243"/>
      <c r="IW500" s="243"/>
      <c r="IX500" s="243"/>
      <c r="IY500" s="243"/>
      <c r="IZ500" s="243"/>
      <c r="JA500" s="243"/>
      <c r="JB500" s="243"/>
      <c r="JC500" s="243"/>
      <c r="JD500" s="243"/>
      <c r="JE500" s="243"/>
      <c r="JF500" s="243"/>
      <c r="JG500" s="243"/>
      <c r="JH500" s="243"/>
      <c r="JI500" s="243"/>
      <c r="JJ500" s="243"/>
      <c r="JK500" s="243"/>
      <c r="JL500" s="243"/>
      <c r="JM500" s="243"/>
      <c r="JN500" s="243"/>
      <c r="JO500" s="243"/>
      <c r="JP500" s="243"/>
      <c r="JQ500" s="243"/>
      <c r="JR500" s="243"/>
      <c r="JS500" s="243"/>
      <c r="JT500" s="243"/>
      <c r="JU500" s="243"/>
      <c r="JV500" s="243"/>
      <c r="JW500" s="243"/>
      <c r="JX500" s="243"/>
      <c r="JY500" s="243"/>
      <c r="JZ500" s="243"/>
      <c r="KA500" s="243"/>
      <c r="KB500" s="243"/>
      <c r="KC500" s="243"/>
      <c r="KD500" s="243"/>
      <c r="KE500" s="243"/>
      <c r="KF500" s="243"/>
      <c r="KG500" s="243"/>
      <c r="KH500" s="243"/>
      <c r="KI500" s="243"/>
      <c r="KJ500" s="243"/>
      <c r="KK500" s="243"/>
      <c r="KL500" s="243"/>
      <c r="KM500" s="243"/>
      <c r="KN500" s="243"/>
      <c r="KO500" s="243"/>
      <c r="KP500" s="243"/>
      <c r="KQ500" s="243"/>
      <c r="KR500" s="243"/>
      <c r="KS500" s="243"/>
      <c r="KT500" s="243"/>
      <c r="KU500" s="243"/>
      <c r="KV500" s="243"/>
      <c r="KW500" s="243"/>
      <c r="KX500" s="243"/>
      <c r="KY500" s="243"/>
      <c r="KZ500" s="243"/>
      <c r="LA500" s="243"/>
      <c r="LB500" s="243"/>
      <c r="LC500" s="243"/>
      <c r="LD500" s="243"/>
      <c r="LE500" s="243"/>
      <c r="LF500" s="243"/>
      <c r="LG500" s="243"/>
      <c r="LH500" s="243"/>
      <c r="LI500" s="243"/>
      <c r="LJ500" s="243"/>
      <c r="LK500" s="243"/>
      <c r="LL500" s="243"/>
      <c r="LM500" s="243"/>
      <c r="LN500" s="243"/>
      <c r="LO500" s="243"/>
      <c r="LP500" s="243"/>
      <c r="LQ500" s="243"/>
      <c r="LR500" s="243"/>
      <c r="LS500" s="243"/>
      <c r="LT500" s="243"/>
      <c r="LU500" s="243"/>
      <c r="LV500" s="243"/>
      <c r="LW500" s="243"/>
      <c r="LX500" s="243"/>
      <c r="LY500" s="243"/>
      <c r="LZ500" s="243"/>
      <c r="MA500" s="243"/>
      <c r="MB500" s="243"/>
      <c r="MC500" s="243"/>
      <c r="MD500" s="243"/>
      <c r="ME500" s="243"/>
      <c r="MF500" s="243"/>
      <c r="MG500" s="243"/>
      <c r="MH500" s="243"/>
      <c r="MI500" s="243"/>
      <c r="MJ500" s="243"/>
      <c r="MK500" s="243"/>
      <c r="ML500" s="243"/>
      <c r="MM500" s="243"/>
      <c r="MN500" s="243"/>
      <c r="MO500" s="243"/>
      <c r="MP500" s="243"/>
      <c r="MQ500" s="243"/>
      <c r="MR500" s="243"/>
      <c r="MS500" s="243"/>
      <c r="MT500" s="243"/>
      <c r="MU500" s="243"/>
      <c r="MV500" s="243"/>
      <c r="MW500" s="243"/>
      <c r="MX500" s="243"/>
      <c r="MY500" s="243"/>
      <c r="MZ500" s="243"/>
      <c r="NA500" s="243"/>
      <c r="NB500" s="243"/>
      <c r="NC500" s="243"/>
      <c r="ND500" s="243"/>
      <c r="NE500" s="243"/>
      <c r="NF500" s="243"/>
      <c r="NG500" s="243"/>
      <c r="NH500" s="243"/>
      <c r="NI500" s="243"/>
      <c r="NJ500" s="243"/>
      <c r="NK500" s="243"/>
      <c r="NL500" s="243"/>
      <c r="NM500" s="243"/>
      <c r="NN500" s="243"/>
      <c r="NO500" s="243"/>
      <c r="NP500" s="243"/>
      <c r="NQ500" s="243"/>
      <c r="NR500" s="243"/>
      <c r="NS500" s="243"/>
      <c r="NT500" s="243"/>
      <c r="NU500" s="243"/>
      <c r="NV500" s="243"/>
      <c r="NW500" s="243"/>
      <c r="NX500" s="243"/>
      <c r="NY500" s="243"/>
      <c r="NZ500" s="243"/>
      <c r="OA500" s="243"/>
      <c r="OB500" s="243"/>
      <c r="OC500" s="243"/>
      <c r="OD500" s="243"/>
      <c r="OE500" s="243"/>
      <c r="OF500" s="243"/>
      <c r="OG500" s="243"/>
      <c r="OH500" s="243"/>
      <c r="OI500" s="243"/>
      <c r="OJ500" s="243"/>
      <c r="OK500" s="243"/>
      <c r="OL500" s="243"/>
      <c r="OM500" s="243"/>
      <c r="ON500" s="243"/>
      <c r="OO500" s="243"/>
      <c r="OP500" s="243"/>
      <c r="OQ500" s="243"/>
      <c r="OR500" s="243"/>
      <c r="OS500" s="243"/>
      <c r="OT500" s="243"/>
      <c r="OU500" s="243"/>
      <c r="OV500" s="243"/>
      <c r="OW500" s="243"/>
      <c r="OX500" s="243"/>
      <c r="OY500" s="243"/>
      <c r="OZ500" s="243"/>
      <c r="PA500" s="243"/>
      <c r="PB500" s="243"/>
      <c r="PC500" s="243"/>
      <c r="PD500" s="243"/>
      <c r="PE500" s="243"/>
      <c r="PF500" s="243"/>
      <c r="PG500" s="243"/>
      <c r="PH500" s="243"/>
      <c r="PI500" s="243"/>
      <c r="PJ500" s="243"/>
      <c r="PK500" s="243"/>
      <c r="PL500" s="243"/>
      <c r="PM500" s="243"/>
      <c r="PN500" s="243"/>
      <c r="PO500" s="243"/>
      <c r="PP500" s="243"/>
      <c r="PQ500" s="243"/>
      <c r="PR500" s="243"/>
      <c r="PS500" s="243"/>
      <c r="PT500" s="243"/>
      <c r="PU500" s="243"/>
      <c r="PV500" s="243"/>
      <c r="PW500" s="243"/>
      <c r="PX500" s="243"/>
      <c r="PY500" s="243"/>
      <c r="PZ500" s="243"/>
      <c r="QA500" s="243"/>
      <c r="QB500" s="243"/>
      <c r="QC500" s="243"/>
      <c r="QD500" s="243"/>
      <c r="QE500" s="243"/>
      <c r="QF500" s="243"/>
      <c r="QG500" s="243"/>
      <c r="QH500" s="243"/>
      <c r="QI500" s="243"/>
      <c r="QJ500" s="243"/>
      <c r="QK500" s="243"/>
      <c r="QL500" s="243"/>
      <c r="QM500" s="243"/>
      <c r="QN500" s="243"/>
      <c r="QO500" s="243"/>
      <c r="QP500" s="243"/>
      <c r="QQ500" s="243"/>
      <c r="QR500" s="243"/>
      <c r="QS500" s="243"/>
      <c r="QT500" s="243"/>
      <c r="QU500" s="243"/>
      <c r="QV500" s="243"/>
      <c r="QW500" s="243"/>
      <c r="QX500" s="243"/>
      <c r="QY500" s="243"/>
      <c r="QZ500" s="243"/>
      <c r="RA500" s="243"/>
      <c r="RB500" s="243"/>
      <c r="RC500" s="243"/>
      <c r="RD500" s="243"/>
      <c r="RE500" s="243"/>
      <c r="RF500" s="243"/>
      <c r="RG500" s="243"/>
      <c r="RH500" s="243"/>
      <c r="RI500" s="243"/>
      <c r="RJ500" s="243"/>
      <c r="RK500" s="243"/>
      <c r="RL500" s="243"/>
      <c r="RM500" s="243"/>
      <c r="RN500" s="243"/>
      <c r="RO500" s="243"/>
      <c r="RP500" s="243"/>
      <c r="RQ500" s="243"/>
      <c r="RR500" s="243"/>
      <c r="RS500" s="243"/>
      <c r="RT500" s="243"/>
      <c r="RU500" s="243"/>
      <c r="RV500" s="243"/>
      <c r="RW500" s="243"/>
      <c r="RX500" s="243"/>
      <c r="RY500" s="243"/>
      <c r="RZ500" s="243"/>
      <c r="SA500" s="243"/>
      <c r="SB500" s="243"/>
      <c r="SC500" s="243"/>
      <c r="SD500" s="243"/>
      <c r="SE500" s="243"/>
      <c r="SF500" s="243"/>
      <c r="SG500" s="243"/>
      <c r="SH500" s="243"/>
      <c r="SI500" s="243"/>
      <c r="SJ500" s="243"/>
      <c r="SK500" s="243"/>
      <c r="SL500" s="243"/>
      <c r="SM500" s="243"/>
      <c r="SN500" s="243"/>
      <c r="SO500" s="243"/>
      <c r="SP500" s="243"/>
      <c r="SQ500" s="243"/>
      <c r="SR500" s="243"/>
      <c r="SS500" s="243"/>
      <c r="ST500" s="243"/>
      <c r="SU500" s="243"/>
      <c r="SV500" s="243"/>
      <c r="SW500" s="243"/>
      <c r="SX500" s="243"/>
      <c r="SY500" s="243"/>
      <c r="SZ500" s="243"/>
      <c r="TA500" s="243"/>
      <c r="TB500" s="243"/>
      <c r="TC500" s="243"/>
      <c r="TD500" s="243"/>
      <c r="TE500" s="243"/>
      <c r="TF500" s="243"/>
      <c r="TG500" s="243"/>
      <c r="TH500" s="243"/>
      <c r="TI500" s="243"/>
      <c r="TJ500" s="243"/>
      <c r="TK500" s="243"/>
      <c r="TL500" s="243"/>
      <c r="TM500" s="243"/>
      <c r="TN500" s="243"/>
      <c r="TO500" s="243"/>
      <c r="TP500" s="243"/>
      <c r="TQ500" s="243"/>
      <c r="TR500" s="243"/>
      <c r="TS500" s="243"/>
      <c r="TT500" s="243"/>
      <c r="TU500" s="243"/>
      <c r="TV500" s="243"/>
      <c r="TW500" s="243"/>
      <c r="TX500" s="243"/>
      <c r="TY500" s="243"/>
      <c r="TZ500" s="243"/>
      <c r="UA500" s="243"/>
      <c r="UB500" s="243"/>
      <c r="UC500" s="243"/>
      <c r="UD500" s="243"/>
      <c r="UE500" s="243"/>
      <c r="UF500" s="243"/>
      <c r="UG500" s="243"/>
      <c r="UH500" s="243"/>
      <c r="UI500" s="243"/>
      <c r="UJ500" s="243"/>
      <c r="UK500" s="243"/>
      <c r="UL500" s="243"/>
      <c r="UM500" s="243"/>
      <c r="UN500" s="243"/>
      <c r="UO500" s="243"/>
      <c r="UP500" s="243"/>
      <c r="UQ500" s="243"/>
      <c r="UR500" s="243"/>
      <c r="US500" s="243"/>
      <c r="UT500" s="243"/>
      <c r="UU500" s="243"/>
      <c r="UV500" s="243"/>
      <c r="UW500" s="243"/>
      <c r="UX500" s="243"/>
      <c r="UY500" s="243"/>
      <c r="UZ500" s="243"/>
      <c r="VA500" s="243"/>
      <c r="VB500" s="243"/>
      <c r="VC500" s="243"/>
      <c r="VD500" s="243"/>
      <c r="VE500" s="243"/>
      <c r="VF500" s="243"/>
      <c r="VG500" s="243"/>
      <c r="VH500" s="243"/>
      <c r="VI500" s="243"/>
      <c r="VJ500" s="243"/>
      <c r="VK500" s="243"/>
      <c r="VL500" s="243"/>
      <c r="VM500" s="243"/>
      <c r="VN500" s="243"/>
      <c r="VO500" s="243"/>
      <c r="VP500" s="243"/>
      <c r="VQ500" s="243"/>
      <c r="VR500" s="243"/>
      <c r="VS500" s="243"/>
      <c r="VT500" s="243"/>
      <c r="VU500" s="243"/>
      <c r="VV500" s="243"/>
      <c r="VW500" s="243"/>
      <c r="VX500" s="243"/>
      <c r="VY500" s="243"/>
      <c r="VZ500" s="243"/>
      <c r="WA500" s="243"/>
      <c r="WB500" s="243"/>
      <c r="WC500" s="243"/>
      <c r="WD500" s="243"/>
      <c r="WE500" s="243"/>
      <c r="WF500" s="243"/>
      <c r="WG500" s="243"/>
      <c r="WH500" s="243"/>
      <c r="WI500" s="243"/>
      <c r="WJ500" s="243"/>
      <c r="WK500" s="243"/>
      <c r="WL500" s="243"/>
      <c r="WM500" s="243"/>
      <c r="WN500" s="243"/>
      <c r="WO500" s="243"/>
      <c r="WP500" s="243"/>
      <c r="WQ500" s="243"/>
      <c r="WR500" s="243"/>
      <c r="WS500" s="243"/>
      <c r="WT500" s="243"/>
      <c r="WU500" s="243"/>
      <c r="WV500" s="243"/>
      <c r="WW500" s="243"/>
      <c r="WX500" s="243"/>
      <c r="WY500" s="243"/>
      <c r="WZ500" s="243"/>
      <c r="XA500" s="243"/>
      <c r="XB500" s="243"/>
      <c r="XC500" s="243"/>
      <c r="XD500" s="243"/>
      <c r="XE500" s="243"/>
      <c r="XF500" s="243"/>
      <c r="XG500" s="243"/>
      <c r="XH500" s="243"/>
      <c r="XI500" s="243"/>
      <c r="XJ500" s="243"/>
      <c r="XK500" s="243"/>
      <c r="XL500" s="243"/>
      <c r="XM500" s="243"/>
      <c r="XN500" s="243"/>
      <c r="XO500" s="243"/>
      <c r="XP500" s="243"/>
      <c r="XQ500" s="243"/>
      <c r="XR500" s="243"/>
      <c r="XS500" s="243"/>
      <c r="XT500" s="243"/>
      <c r="XU500" s="243"/>
      <c r="XV500" s="243"/>
      <c r="XW500" s="243"/>
      <c r="XX500" s="243"/>
      <c r="XY500" s="243"/>
      <c r="XZ500" s="243"/>
      <c r="YA500" s="243"/>
      <c r="YB500" s="243"/>
      <c r="YC500" s="243"/>
      <c r="YD500" s="243"/>
      <c r="YE500" s="243"/>
      <c r="YF500" s="243"/>
      <c r="YG500" s="243"/>
      <c r="YH500" s="243"/>
      <c r="YI500" s="243"/>
      <c r="YJ500" s="243"/>
      <c r="YK500" s="243"/>
      <c r="YL500" s="243"/>
      <c r="YM500" s="243"/>
      <c r="YN500" s="243"/>
      <c r="YO500" s="243"/>
      <c r="YP500" s="243"/>
      <c r="YQ500" s="243"/>
      <c r="YR500" s="243"/>
      <c r="YS500" s="243"/>
      <c r="YT500" s="243"/>
      <c r="YU500" s="243"/>
      <c r="YV500" s="243"/>
      <c r="YW500" s="243"/>
      <c r="YX500" s="243"/>
      <c r="YY500" s="243"/>
      <c r="YZ500" s="243"/>
      <c r="ZA500" s="243"/>
      <c r="ZB500" s="243"/>
      <c r="ZC500" s="243"/>
      <c r="ZD500" s="243"/>
      <c r="ZE500" s="243"/>
      <c r="ZF500" s="243"/>
      <c r="ZG500" s="243"/>
      <c r="ZH500" s="243"/>
      <c r="ZI500" s="243"/>
      <c r="ZJ500" s="243"/>
      <c r="ZK500" s="243"/>
      <c r="ZL500" s="243"/>
      <c r="ZM500" s="243"/>
      <c r="ZN500" s="243"/>
      <c r="ZO500" s="243"/>
      <c r="ZP500" s="243"/>
      <c r="ZQ500" s="243"/>
      <c r="ZR500" s="243"/>
      <c r="ZS500" s="243"/>
      <c r="ZT500" s="243"/>
      <c r="ZU500" s="243"/>
      <c r="ZV500" s="243"/>
      <c r="ZW500" s="243"/>
      <c r="ZX500" s="243"/>
      <c r="ZY500" s="243"/>
      <c r="ZZ500" s="243"/>
      <c r="AAA500" s="243"/>
      <c r="AAB500" s="243"/>
      <c r="AAC500" s="243"/>
      <c r="AAD500" s="243"/>
      <c r="AAE500" s="243"/>
      <c r="AAF500" s="243"/>
      <c r="AAG500" s="243"/>
      <c r="AAH500" s="243"/>
      <c r="AAI500" s="243"/>
      <c r="AAJ500" s="243"/>
      <c r="AAK500" s="243"/>
      <c r="AAL500" s="243"/>
      <c r="AAM500" s="243"/>
      <c r="AAN500" s="243"/>
      <c r="AAO500" s="243"/>
      <c r="AAP500" s="243"/>
      <c r="AAQ500" s="243"/>
      <c r="AAR500" s="243"/>
      <c r="AAS500" s="243"/>
      <c r="AAT500" s="243"/>
      <c r="AAU500" s="243"/>
      <c r="AAV500" s="243"/>
      <c r="AAW500" s="243"/>
      <c r="AAX500" s="243"/>
      <c r="AAY500" s="243"/>
      <c r="AAZ500" s="243"/>
      <c r="ABA500" s="243"/>
      <c r="ABB500" s="243"/>
      <c r="ABC500" s="243"/>
      <c r="ABD500" s="243"/>
      <c r="ABE500" s="243"/>
      <c r="ABF500" s="243"/>
      <c r="ABG500" s="243"/>
      <c r="ABH500" s="243"/>
      <c r="ABI500" s="243"/>
      <c r="ABJ500" s="243"/>
      <c r="ABK500" s="243"/>
      <c r="ABL500" s="243"/>
      <c r="ABM500" s="243"/>
      <c r="ABN500" s="243"/>
      <c r="ABO500" s="243"/>
      <c r="ABP500" s="243"/>
      <c r="ABQ500" s="243"/>
      <c r="ABR500" s="243"/>
      <c r="ABS500" s="243"/>
      <c r="ABT500" s="243"/>
      <c r="ABU500" s="243"/>
      <c r="ABV500" s="243"/>
      <c r="ABW500" s="243"/>
      <c r="ABX500" s="243"/>
      <c r="ABY500" s="243"/>
      <c r="ABZ500" s="243"/>
      <c r="ACA500" s="243"/>
      <c r="ACB500" s="243"/>
      <c r="ACC500" s="243"/>
      <c r="ACD500" s="243"/>
      <c r="ACE500" s="243"/>
      <c r="ACF500" s="243"/>
      <c r="ACG500" s="243"/>
      <c r="ACH500" s="243"/>
      <c r="ACI500" s="243"/>
      <c r="ACJ500" s="243"/>
      <c r="ACK500" s="243"/>
      <c r="ACL500" s="243"/>
      <c r="ACM500" s="243"/>
      <c r="ACN500" s="243"/>
      <c r="ACO500" s="243"/>
      <c r="ACP500" s="243"/>
      <c r="ACQ500" s="243"/>
      <c r="ACR500" s="243"/>
      <c r="ACS500" s="243"/>
      <c r="ACT500" s="243"/>
      <c r="ACU500" s="243"/>
      <c r="ACV500" s="243"/>
      <c r="ACW500" s="243"/>
      <c r="ACX500" s="243"/>
      <c r="ACY500" s="243"/>
      <c r="ACZ500" s="243"/>
      <c r="ADA500" s="243"/>
      <c r="ADB500" s="243"/>
      <c r="ADC500" s="243"/>
      <c r="ADD500" s="243"/>
      <c r="ADE500" s="243"/>
      <c r="ADF500" s="243"/>
      <c r="ADG500" s="243"/>
      <c r="ADH500" s="243"/>
      <c r="ADI500" s="243"/>
      <c r="ADJ500" s="243"/>
      <c r="ADK500" s="243"/>
      <c r="ADL500" s="243"/>
      <c r="ADM500" s="243"/>
      <c r="ADN500" s="243"/>
      <c r="ADO500" s="243"/>
      <c r="ADP500" s="243"/>
      <c r="ADQ500" s="243"/>
      <c r="ADR500" s="243"/>
      <c r="ADS500" s="243"/>
      <c r="ADT500" s="243"/>
      <c r="ADU500" s="243"/>
      <c r="ADV500" s="243"/>
      <c r="ADW500" s="243"/>
      <c r="ADX500" s="243"/>
      <c r="ADY500" s="243"/>
      <c r="ADZ500" s="243"/>
      <c r="AEA500" s="243"/>
      <c r="AEB500" s="243"/>
      <c r="AEC500" s="243"/>
      <c r="AED500" s="243"/>
      <c r="AEE500" s="243"/>
      <c r="AEF500" s="243"/>
      <c r="AEG500" s="243"/>
      <c r="AEH500" s="243"/>
      <c r="AEI500" s="243"/>
      <c r="AEJ500" s="243"/>
      <c r="AEK500" s="243"/>
      <c r="AEL500" s="243"/>
      <c r="AEM500" s="243"/>
      <c r="AEN500" s="243"/>
      <c r="AEO500" s="243"/>
      <c r="AEP500" s="243"/>
      <c r="AEQ500" s="243"/>
      <c r="AER500" s="243"/>
      <c r="AES500" s="243"/>
      <c r="AET500" s="243"/>
      <c r="AEU500" s="243"/>
      <c r="AEV500" s="243"/>
      <c r="AEW500" s="243"/>
      <c r="AEX500" s="243"/>
      <c r="AEY500" s="243"/>
      <c r="AEZ500" s="243"/>
      <c r="AFA500" s="243"/>
      <c r="AFB500" s="243"/>
      <c r="AFC500" s="243"/>
      <c r="AFD500" s="243"/>
      <c r="AFE500" s="243"/>
      <c r="AFF500" s="243"/>
      <c r="AFG500" s="243"/>
      <c r="AFH500" s="243"/>
      <c r="AFI500" s="243"/>
      <c r="AFJ500" s="243"/>
      <c r="AFK500" s="243"/>
      <c r="AFL500" s="243"/>
      <c r="AFM500" s="243"/>
      <c r="AFN500" s="243"/>
      <c r="AFO500" s="243"/>
      <c r="AFP500" s="243"/>
      <c r="AFQ500" s="243"/>
      <c r="AFR500" s="243"/>
      <c r="AFS500" s="243"/>
      <c r="AFT500" s="243"/>
      <c r="AFU500" s="243"/>
      <c r="AFV500" s="243"/>
      <c r="AFW500" s="243"/>
      <c r="AFX500" s="243"/>
      <c r="AFY500" s="243"/>
      <c r="AFZ500" s="243"/>
      <c r="AGA500" s="243"/>
      <c r="AGB500" s="243"/>
      <c r="AGC500" s="243"/>
      <c r="AGD500" s="243"/>
      <c r="AGE500" s="243"/>
      <c r="AGF500" s="243"/>
      <c r="AGG500" s="243"/>
      <c r="AGH500" s="243"/>
      <c r="AGI500" s="243"/>
      <c r="AGJ500" s="243"/>
      <c r="AGK500" s="243"/>
      <c r="AGL500" s="243"/>
      <c r="AGM500" s="243"/>
      <c r="AGN500" s="243"/>
      <c r="AGO500" s="243"/>
      <c r="AGP500" s="243"/>
      <c r="AGQ500" s="243"/>
      <c r="AGR500" s="243"/>
      <c r="AGS500" s="243"/>
      <c r="AGT500" s="243"/>
      <c r="AGU500" s="243"/>
      <c r="AGV500" s="243"/>
      <c r="AGW500" s="243"/>
      <c r="AGX500" s="243"/>
      <c r="AGY500" s="243"/>
      <c r="AGZ500" s="243"/>
      <c r="AHA500" s="243"/>
      <c r="AHB500" s="243"/>
      <c r="AHC500" s="243"/>
      <c r="AHD500" s="243"/>
      <c r="AHE500" s="243"/>
      <c r="AHF500" s="243"/>
      <c r="AHG500" s="243"/>
      <c r="AHH500" s="243"/>
      <c r="AHI500" s="243"/>
      <c r="AHJ500" s="243"/>
      <c r="AHK500" s="243"/>
      <c r="AHL500" s="243"/>
      <c r="AHM500" s="243"/>
      <c r="AHN500" s="243"/>
      <c r="AHO500" s="243"/>
      <c r="AHP500" s="243"/>
      <c r="AHQ500" s="243"/>
      <c r="AHR500" s="243"/>
      <c r="AHS500" s="243"/>
      <c r="AHT500" s="243"/>
      <c r="AHU500" s="243"/>
      <c r="AHV500" s="243"/>
      <c r="AHW500" s="243"/>
      <c r="AHX500" s="243"/>
      <c r="AHY500" s="243"/>
      <c r="AHZ500" s="243"/>
      <c r="AIA500" s="243"/>
      <c r="AIB500" s="243"/>
      <c r="AIC500" s="243"/>
      <c r="AID500" s="243"/>
      <c r="AIE500" s="243"/>
      <c r="AIF500" s="243"/>
      <c r="AIG500" s="243"/>
      <c r="AIH500" s="243"/>
      <c r="AII500" s="243"/>
      <c r="AIJ500" s="243"/>
      <c r="AIK500" s="243"/>
      <c r="AIL500" s="243"/>
      <c r="AIM500" s="243"/>
      <c r="AIN500" s="243"/>
      <c r="AIO500" s="243"/>
      <c r="AIP500" s="243"/>
      <c r="AIQ500" s="243"/>
      <c r="AIR500" s="243"/>
      <c r="AIS500" s="243"/>
      <c r="AIT500" s="243"/>
      <c r="AIU500" s="243"/>
      <c r="AIV500" s="243"/>
      <c r="AIW500" s="243"/>
      <c r="AIX500" s="243"/>
      <c r="AIY500" s="243"/>
      <c r="AIZ500" s="243"/>
      <c r="AJA500" s="243"/>
      <c r="AJB500" s="243"/>
      <c r="AJC500" s="243"/>
      <c r="AJD500" s="243"/>
      <c r="AJE500" s="243"/>
      <c r="AJF500" s="243"/>
      <c r="AJG500" s="243"/>
      <c r="AJH500" s="243"/>
      <c r="AJI500" s="243"/>
      <c r="AJJ500" s="243"/>
      <c r="AJK500" s="243"/>
      <c r="AJL500" s="243"/>
      <c r="AJM500" s="243"/>
      <c r="AJN500" s="243"/>
      <c r="AJO500" s="243"/>
      <c r="AJP500" s="243"/>
      <c r="AJQ500" s="243"/>
      <c r="AJR500" s="243"/>
      <c r="AJS500" s="243"/>
      <c r="AJT500" s="243"/>
      <c r="AJU500" s="243"/>
      <c r="AJV500" s="243"/>
      <c r="AJW500" s="243"/>
      <c r="AJX500" s="243"/>
      <c r="AJY500" s="243"/>
      <c r="AJZ500" s="243"/>
      <c r="AKA500" s="243"/>
      <c r="AKB500" s="243"/>
      <c r="AKC500" s="243"/>
      <c r="AKD500" s="243"/>
      <c r="AKE500" s="243"/>
      <c r="AKF500" s="243"/>
      <c r="AKG500" s="243"/>
      <c r="AKH500" s="243"/>
      <c r="AKI500" s="243"/>
      <c r="AKJ500" s="243"/>
      <c r="AKK500" s="243"/>
      <c r="AKL500" s="243"/>
      <c r="AKM500" s="243"/>
      <c r="AKN500" s="243"/>
      <c r="AKO500" s="243"/>
      <c r="AKP500" s="243"/>
      <c r="AKQ500" s="243"/>
      <c r="AKR500" s="243"/>
      <c r="AKS500" s="243"/>
      <c r="AKT500" s="243"/>
      <c r="AKU500" s="243"/>
      <c r="AKV500" s="243"/>
      <c r="AKW500" s="243"/>
      <c r="AKX500" s="243"/>
      <c r="AKY500" s="243"/>
      <c r="AKZ500" s="243"/>
      <c r="ALA500" s="243"/>
      <c r="ALB500" s="243"/>
      <c r="ALC500" s="243"/>
      <c r="ALD500" s="243"/>
      <c r="ALE500" s="243"/>
      <c r="ALF500" s="243"/>
      <c r="ALG500" s="243"/>
      <c r="ALH500" s="243"/>
      <c r="ALI500" s="243"/>
      <c r="ALJ500" s="243"/>
      <c r="ALK500" s="243"/>
      <c r="ALL500" s="243"/>
      <c r="ALM500" s="243"/>
      <c r="ALN500" s="243"/>
      <c r="ALO500" s="243"/>
      <c r="ALP500" s="243"/>
      <c r="ALQ500" s="243"/>
      <c r="ALR500" s="243"/>
      <c r="ALS500" s="243"/>
      <c r="ALT500" s="243"/>
      <c r="ALU500" s="243"/>
      <c r="ALV500" s="243"/>
      <c r="ALW500" s="243"/>
      <c r="ALX500" s="243"/>
      <c r="ALY500" s="243"/>
      <c r="ALZ500" s="243"/>
      <c r="AMA500" s="243"/>
      <c r="AMB500" s="243"/>
      <c r="AMC500" s="243"/>
      <c r="AMD500" s="243"/>
      <c r="AME500" s="243"/>
      <c r="AMF500" s="243"/>
      <c r="AMG500" s="243"/>
      <c r="AMH500" s="243"/>
      <c r="AMI500" s="244"/>
      <c r="AMJ500" s="244"/>
    </row>
    <row r="501" spans="1:1024" ht="15" customHeight="1">
      <c r="A501" s="887"/>
      <c r="B501" s="580">
        <v>15121</v>
      </c>
      <c r="C501" s="550">
        <v>0.08</v>
      </c>
      <c r="D501" s="670" t="s">
        <v>328</v>
      </c>
      <c r="E501" s="364">
        <v>2500000</v>
      </c>
      <c r="F501" s="543">
        <v>0.04</v>
      </c>
      <c r="G501" s="364">
        <f t="shared" ref="G501:G503" si="22">E501*F501</f>
        <v>100000</v>
      </c>
      <c r="H501" s="599" t="s">
        <v>87</v>
      </c>
      <c r="I501" s="318"/>
      <c r="J501" s="318"/>
      <c r="K501" s="606"/>
      <c r="L501" s="606"/>
      <c r="M501" s="625"/>
      <c r="N501" s="607"/>
      <c r="O501" s="639"/>
      <c r="P501" s="607"/>
      <c r="Q501" s="708"/>
    </row>
    <row r="502" spans="1:1024" ht="15" customHeight="1">
      <c r="A502" s="887"/>
      <c r="B502" s="580">
        <v>15043</v>
      </c>
      <c r="C502" s="577">
        <v>0.1</v>
      </c>
      <c r="D502" s="542" t="s">
        <v>329</v>
      </c>
      <c r="E502" s="364">
        <v>2600000</v>
      </c>
      <c r="F502" s="543">
        <v>0.05</v>
      </c>
      <c r="G502" s="364">
        <f t="shared" si="22"/>
        <v>130000</v>
      </c>
      <c r="H502" s="599" t="s">
        <v>51</v>
      </c>
      <c r="I502" s="318"/>
      <c r="J502" s="318"/>
      <c r="K502" s="606"/>
      <c r="L502" s="606"/>
      <c r="M502" s="625"/>
      <c r="N502" s="607"/>
      <c r="O502" s="639"/>
      <c r="P502" s="321"/>
      <c r="Q502" s="708"/>
    </row>
    <row r="503" spans="1:1024" ht="15" customHeight="1">
      <c r="A503" s="887"/>
      <c r="B503" s="580">
        <v>15040</v>
      </c>
      <c r="C503" s="581">
        <v>0.08</v>
      </c>
      <c r="D503" s="670" t="s">
        <v>315</v>
      </c>
      <c r="E503" s="364">
        <v>3000000</v>
      </c>
      <c r="F503" s="543">
        <v>0.04</v>
      </c>
      <c r="G503" s="364">
        <f t="shared" si="22"/>
        <v>120000</v>
      </c>
      <c r="H503" s="599" t="s">
        <v>202</v>
      </c>
      <c r="I503" s="318"/>
      <c r="J503" s="318"/>
      <c r="K503" s="606"/>
      <c r="L503" s="606"/>
      <c r="M503" s="625"/>
      <c r="N503" s="607"/>
      <c r="O503" s="639"/>
      <c r="P503" s="321"/>
      <c r="Q503" s="708"/>
    </row>
    <row r="504" spans="1:1024" ht="15" customHeight="1">
      <c r="A504" s="887"/>
      <c r="B504" s="327"/>
      <c r="C504" s="328"/>
      <c r="D504" s="625"/>
      <c r="E504" s="321"/>
      <c r="F504" s="587"/>
      <c r="G504" s="321"/>
      <c r="H504" s="604"/>
      <c r="I504" s="318"/>
      <c r="J504" s="318"/>
      <c r="K504" s="606"/>
      <c r="L504" s="606"/>
      <c r="M504" s="625"/>
      <c r="N504" s="607"/>
      <c r="O504" s="639"/>
      <c r="P504" s="321"/>
      <c r="Q504" s="708"/>
    </row>
    <row r="505" spans="1:1024" ht="18" customHeight="1">
      <c r="A505" s="887"/>
      <c r="B505" s="327"/>
      <c r="C505" s="328"/>
      <c r="D505" s="318"/>
      <c r="E505" s="321"/>
      <c r="F505" s="587"/>
      <c r="G505" s="321"/>
      <c r="H505" s="604"/>
      <c r="I505" s="318"/>
      <c r="J505" s="318"/>
      <c r="K505" s="606"/>
      <c r="L505" s="606"/>
      <c r="M505" s="625"/>
      <c r="N505" s="607"/>
      <c r="O505" s="639"/>
      <c r="P505" s="321"/>
      <c r="Q505" s="708"/>
    </row>
    <row r="506" spans="1:1024">
      <c r="A506" s="887"/>
      <c r="B506" s="568" t="s">
        <v>43</v>
      </c>
      <c r="C506" s="569"/>
      <c r="D506" s="556" t="s">
        <v>330</v>
      </c>
      <c r="E506" s="321"/>
      <c r="F506" s="119"/>
      <c r="G506" s="318"/>
      <c r="H506" s="604"/>
      <c r="I506" s="318"/>
      <c r="J506" s="318"/>
      <c r="K506" s="625"/>
      <c r="L506" s="625"/>
      <c r="M506" s="318" t="s">
        <v>26</v>
      </c>
      <c r="N506" s="563">
        <f>SUM(N500:N505)</f>
        <v>2700000</v>
      </c>
      <c r="O506" s="589" t="s">
        <v>26</v>
      </c>
      <c r="P506" s="563">
        <f>SUM(P500:P505)</f>
        <v>108000</v>
      </c>
      <c r="Q506" s="624"/>
    </row>
    <row r="507" spans="1:1024" ht="15" customHeight="1">
      <c r="A507" s="888"/>
      <c r="B507" s="331"/>
      <c r="C507" s="332"/>
      <c r="D507" s="626" t="s">
        <v>26</v>
      </c>
      <c r="E507" s="563">
        <f>SUM(E500:E506)</f>
        <v>10800000</v>
      </c>
      <c r="F507" s="318" t="s">
        <v>26</v>
      </c>
      <c r="G507" s="563">
        <f>SUM(G500:G506)</f>
        <v>458000</v>
      </c>
      <c r="H507" s="140"/>
      <c r="I507" s="140"/>
      <c r="J507" s="140"/>
      <c r="K507" s="626" t="s">
        <v>27</v>
      </c>
      <c r="L507" s="627"/>
      <c r="M507" s="627"/>
      <c r="N507" s="628"/>
      <c r="O507" s="629" t="s">
        <v>28</v>
      </c>
      <c r="P507" s="640">
        <f>G507+P506</f>
        <v>566000</v>
      </c>
      <c r="Q507" s="624"/>
    </row>
    <row r="508" spans="1:1024">
      <c r="A508" s="725"/>
      <c r="B508" s="726"/>
      <c r="C508" s="727"/>
      <c r="D508" s="641"/>
      <c r="E508" s="579"/>
      <c r="F508" s="641"/>
      <c r="G508" s="579"/>
      <c r="H508" s="641"/>
      <c r="I508" s="641"/>
      <c r="J508" s="641"/>
      <c r="K508" s="641"/>
      <c r="L508" s="641"/>
      <c r="M508" s="641"/>
      <c r="N508" s="641"/>
      <c r="O508" s="642"/>
      <c r="P508" s="579"/>
      <c r="Q508" s="624"/>
    </row>
    <row r="509" spans="1:1024">
      <c r="A509" s="904" t="s">
        <v>40</v>
      </c>
      <c r="B509" s="949"/>
      <c r="C509" s="949"/>
      <c r="D509" s="949"/>
      <c r="E509" s="949"/>
      <c r="F509" s="949"/>
      <c r="G509" s="949"/>
      <c r="H509" s="949"/>
      <c r="I509" s="949"/>
      <c r="J509" s="950"/>
      <c r="K509" s="948" t="s">
        <v>2</v>
      </c>
      <c r="L509" s="948"/>
      <c r="M509" s="1047"/>
      <c r="N509" s="1047"/>
      <c r="O509" s="1047"/>
      <c r="P509" s="1047"/>
      <c r="Q509" s="624"/>
    </row>
    <row r="510" spans="1:1024" ht="30.75">
      <c r="A510" s="318" t="s">
        <v>3</v>
      </c>
      <c r="B510" s="705" t="s">
        <v>4</v>
      </c>
      <c r="C510" s="695" t="s">
        <v>5</v>
      </c>
      <c r="D510" s="318" t="s">
        <v>6</v>
      </c>
      <c r="E510" s="318" t="s">
        <v>7</v>
      </c>
      <c r="F510" s="119" t="s">
        <v>8</v>
      </c>
      <c r="G510" s="318" t="s">
        <v>9</v>
      </c>
      <c r="H510" s="604" t="s">
        <v>10</v>
      </c>
      <c r="I510" s="318" t="s">
        <v>11</v>
      </c>
      <c r="J510" s="318" t="s">
        <v>12</v>
      </c>
      <c r="K510" s="625" t="s">
        <v>4</v>
      </c>
      <c r="L510" s="318" t="s">
        <v>5</v>
      </c>
      <c r="M510" s="625" t="s">
        <v>6</v>
      </c>
      <c r="N510" s="625" t="s">
        <v>13</v>
      </c>
      <c r="O510" s="606" t="s">
        <v>8</v>
      </c>
      <c r="P510" s="625" t="s">
        <v>14</v>
      </c>
      <c r="Q510" s="624"/>
    </row>
    <row r="511" spans="1:1024" ht="15" customHeight="1">
      <c r="A511" s="900">
        <v>0</v>
      </c>
      <c r="B511" s="327"/>
      <c r="C511" s="328"/>
      <c r="D511" s="318"/>
      <c r="E511" s="321"/>
      <c r="F511" s="586"/>
      <c r="G511" s="321"/>
      <c r="H511" s="604"/>
      <c r="I511" s="318"/>
      <c r="J511" s="318"/>
      <c r="K511" s="606"/>
      <c r="L511" s="606"/>
      <c r="M511" s="625"/>
      <c r="N511" s="607"/>
      <c r="O511" s="728"/>
      <c r="P511" s="607"/>
      <c r="Q511" s="624"/>
    </row>
    <row r="512" spans="1:1024" ht="15" customHeight="1">
      <c r="A512" s="901"/>
      <c r="B512" s="327"/>
      <c r="C512" s="328"/>
      <c r="D512" s="318"/>
      <c r="E512" s="321"/>
      <c r="F512" s="586"/>
      <c r="G512" s="321"/>
      <c r="H512" s="604"/>
      <c r="I512" s="318"/>
      <c r="J512" s="318"/>
      <c r="K512" s="606"/>
      <c r="L512" s="606"/>
      <c r="M512" s="625"/>
      <c r="N512" s="607"/>
      <c r="O512" s="728"/>
      <c r="P512" s="607"/>
      <c r="Q512" s="624"/>
    </row>
    <row r="513" spans="1:17" ht="15" customHeight="1">
      <c r="A513" s="901"/>
      <c r="B513" s="546"/>
      <c r="C513" s="547"/>
      <c r="D513" s="548"/>
      <c r="E513" s="549"/>
      <c r="F513" s="636"/>
      <c r="G513" s="636"/>
      <c r="H513" s="636"/>
      <c r="I513" s="636"/>
      <c r="J513" s="636"/>
      <c r="K513" s="318"/>
      <c r="L513" s="318"/>
      <c r="M513" s="318" t="s">
        <v>26</v>
      </c>
      <c r="N513" s="563">
        <f>SUM(N512:N512)</f>
        <v>0</v>
      </c>
      <c r="O513" s="318" t="s">
        <v>26</v>
      </c>
      <c r="P513" s="563"/>
      <c r="Q513" s="624"/>
    </row>
    <row r="514" spans="1:17" ht="15" customHeight="1">
      <c r="A514" s="902"/>
      <c r="B514" s="331"/>
      <c r="C514" s="332"/>
      <c r="D514" s="626" t="s">
        <v>26</v>
      </c>
      <c r="E514" s="563">
        <f>SUM(E511:E513)</f>
        <v>0</v>
      </c>
      <c r="F514" s="318" t="s">
        <v>26</v>
      </c>
      <c r="G514" s="563">
        <f>SUM(G512:G513)</f>
        <v>0</v>
      </c>
      <c r="H514" s="140"/>
      <c r="I514" s="140"/>
      <c r="J514" s="140"/>
      <c r="K514" s="626" t="s">
        <v>27</v>
      </c>
      <c r="L514" s="627"/>
      <c r="M514" s="627"/>
      <c r="N514" s="628"/>
      <c r="O514" s="630" t="s">
        <v>28</v>
      </c>
      <c r="P514" s="631">
        <f>SUM(P512:P513)</f>
        <v>0</v>
      </c>
      <c r="Q514" s="624"/>
    </row>
    <row r="515" spans="1:17">
      <c r="A515" s="624"/>
      <c r="B515" s="709"/>
      <c r="C515" s="710"/>
      <c r="D515" s="624"/>
      <c r="E515" s="624"/>
      <c r="F515" s="624"/>
      <c r="G515" s="624"/>
      <c r="H515" s="624"/>
      <c r="I515" s="624"/>
      <c r="J515" s="624"/>
      <c r="K515" s="624"/>
      <c r="L515" s="624"/>
      <c r="M515" s="624"/>
      <c r="N515" s="624"/>
      <c r="O515" s="624"/>
      <c r="P515" s="624"/>
      <c r="Q515" s="624"/>
    </row>
    <row r="516" spans="1:17">
      <c r="A516" s="957">
        <v>48</v>
      </c>
      <c r="B516" s="952" t="s">
        <v>42</v>
      </c>
      <c r="C516" s="952"/>
      <c r="D516" s="952"/>
      <c r="E516" s="729">
        <f>E477+E496+E507+E514</f>
        <v>65561000</v>
      </c>
      <c r="F516" s="624"/>
      <c r="G516" s="624"/>
      <c r="H516" s="624"/>
      <c r="I516" s="624"/>
      <c r="J516" s="624"/>
      <c r="K516" s="624"/>
      <c r="L516" s="624"/>
      <c r="M516" s="624"/>
      <c r="N516" s="624"/>
      <c r="O516" s="624"/>
      <c r="P516" s="624"/>
      <c r="Q516" s="624"/>
    </row>
    <row r="517" spans="1:17">
      <c r="A517" s="957"/>
      <c r="B517" s="953" t="s">
        <v>43</v>
      </c>
      <c r="C517" s="953"/>
      <c r="D517" s="954"/>
      <c r="E517" s="730"/>
      <c r="F517" s="624"/>
      <c r="G517" s="624"/>
      <c r="H517" s="624"/>
      <c r="I517" s="624"/>
      <c r="J517" s="624"/>
      <c r="K517" s="624"/>
      <c r="L517" s="624"/>
      <c r="M517" s="624"/>
      <c r="N517" s="624"/>
      <c r="O517" s="624"/>
      <c r="P517" s="624"/>
      <c r="Q517" s="624"/>
    </row>
    <row r="518" spans="1:17">
      <c r="A518" s="957"/>
      <c r="B518" s="955" t="s">
        <v>44</v>
      </c>
      <c r="C518" s="955"/>
      <c r="D518" s="956"/>
      <c r="E518" s="731"/>
      <c r="F518" s="624"/>
      <c r="G518" s="624"/>
      <c r="I518" s="624"/>
      <c r="J518" s="624"/>
      <c r="K518" s="624"/>
      <c r="L518" s="624"/>
      <c r="M518" s="624"/>
      <c r="N518" s="624"/>
      <c r="O518" s="624"/>
      <c r="P518" s="624"/>
      <c r="Q518" s="624"/>
    </row>
    <row r="519" spans="1:17">
      <c r="H519" s="624"/>
    </row>
    <row r="524" spans="1:17" ht="31.5">
      <c r="A524" s="903" t="s">
        <v>331</v>
      </c>
      <c r="B524" s="903"/>
      <c r="C524" s="903"/>
      <c r="D524" s="903"/>
      <c r="E524" s="903"/>
      <c r="F524" s="903"/>
      <c r="G524" s="903"/>
      <c r="H524" s="903"/>
      <c r="I524" s="903"/>
      <c r="J524" s="903"/>
      <c r="K524" s="903"/>
      <c r="L524" s="903"/>
      <c r="M524" s="903"/>
      <c r="N524" s="903"/>
      <c r="O524" s="903"/>
      <c r="P524" s="903"/>
    </row>
    <row r="525" spans="1:17">
      <c r="A525" s="904" t="s">
        <v>1</v>
      </c>
      <c r="B525" s="904"/>
      <c r="C525" s="904"/>
      <c r="D525" s="904"/>
      <c r="E525" s="904"/>
      <c r="F525" s="904"/>
      <c r="G525" s="904"/>
      <c r="H525" s="904"/>
      <c r="I525" s="904"/>
      <c r="J525" s="904"/>
      <c r="K525" s="892" t="s">
        <v>2</v>
      </c>
      <c r="L525" s="892"/>
      <c r="M525" s="892"/>
      <c r="N525" s="892"/>
      <c r="O525" s="892"/>
      <c r="P525" s="892"/>
    </row>
    <row r="526" spans="1:17" ht="30.75">
      <c r="A526" s="131" t="s">
        <v>3</v>
      </c>
      <c r="B526" s="595" t="s">
        <v>4</v>
      </c>
      <c r="C526" s="327" t="s">
        <v>5</v>
      </c>
      <c r="D526" s="327" t="s">
        <v>6</v>
      </c>
      <c r="E526" s="327" t="s">
        <v>7</v>
      </c>
      <c r="F526" s="327" t="s">
        <v>8</v>
      </c>
      <c r="G526" s="327" t="s">
        <v>9</v>
      </c>
      <c r="H526" s="707" t="s">
        <v>10</v>
      </c>
      <c r="I526" s="327" t="s">
        <v>11</v>
      </c>
      <c r="J526" s="327" t="s">
        <v>12</v>
      </c>
      <c r="K526" s="758" t="s">
        <v>4</v>
      </c>
      <c r="L526" s="595" t="s">
        <v>5</v>
      </c>
      <c r="M526" s="758" t="s">
        <v>6</v>
      </c>
      <c r="N526" s="758" t="s">
        <v>13</v>
      </c>
      <c r="O526" s="758" t="s">
        <v>8</v>
      </c>
      <c r="P526" s="758" t="s">
        <v>14</v>
      </c>
    </row>
    <row r="527" spans="1:17" ht="12.75" customHeight="1">
      <c r="A527" s="906">
        <v>15</v>
      </c>
      <c r="B527" s="572">
        <v>15171</v>
      </c>
      <c r="C527" s="121">
        <v>0.1</v>
      </c>
      <c r="D527" s="567" t="s">
        <v>332</v>
      </c>
      <c r="E527" s="364">
        <v>2100000</v>
      </c>
      <c r="F527" s="602">
        <v>0.12</v>
      </c>
      <c r="G527" s="364">
        <f>E527*F527</f>
        <v>252000</v>
      </c>
      <c r="H527" s="599" t="s">
        <v>47</v>
      </c>
      <c r="I527" s="604"/>
      <c r="J527" s="735"/>
      <c r="K527" s="327"/>
      <c r="L527" s="766"/>
      <c r="M527" s="318"/>
      <c r="N527" s="326"/>
      <c r="O527" s="767"/>
      <c r="P527" s="326"/>
    </row>
    <row r="528" spans="1:17" ht="12.75" customHeight="1">
      <c r="A528" s="906"/>
      <c r="B528" s="573">
        <v>15145</v>
      </c>
      <c r="C528" s="558">
        <v>0.08</v>
      </c>
      <c r="D528" s="748" t="s">
        <v>333</v>
      </c>
      <c r="E528" s="364">
        <v>2400000</v>
      </c>
      <c r="F528" s="603">
        <v>0.1</v>
      </c>
      <c r="G528" s="364">
        <f t="shared" ref="G528:G532" si="23">E528*F528</f>
        <v>240000</v>
      </c>
      <c r="H528" s="599" t="s">
        <v>47</v>
      </c>
      <c r="I528" s="318"/>
      <c r="J528" s="604"/>
      <c r="K528" s="319"/>
      <c r="L528" s="697"/>
      <c r="M528" s="322"/>
      <c r="N528" s="323"/>
      <c r="O528" s="324"/>
      <c r="P528" s="323"/>
    </row>
    <row r="529" spans="1:1024" ht="12.75" customHeight="1">
      <c r="A529" s="906"/>
      <c r="B529" s="573">
        <v>15159</v>
      </c>
      <c r="C529" s="574">
        <v>0.1</v>
      </c>
      <c r="D529" s="575" t="s">
        <v>334</v>
      </c>
      <c r="E529" s="364">
        <v>4300000</v>
      </c>
      <c r="F529" s="602">
        <v>0.12</v>
      </c>
      <c r="G529" s="364">
        <f t="shared" si="23"/>
        <v>516000</v>
      </c>
      <c r="H529" s="599" t="s">
        <v>47</v>
      </c>
      <c r="I529" s="622"/>
      <c r="J529" s="604"/>
      <c r="K529" s="319"/>
      <c r="L529" s="697"/>
      <c r="M529" s="322"/>
      <c r="N529" s="323"/>
      <c r="O529" s="324"/>
      <c r="P529" s="323"/>
    </row>
    <row r="530" spans="1:1024" ht="12.75" customHeight="1">
      <c r="A530" s="906"/>
      <c r="B530" s="572">
        <v>15153</v>
      </c>
      <c r="C530" s="550">
        <v>0.08</v>
      </c>
      <c r="D530" s="561" t="s">
        <v>335</v>
      </c>
      <c r="E530" s="364">
        <v>2800000</v>
      </c>
      <c r="F530" s="603">
        <v>0.06</v>
      </c>
      <c r="G530" s="364">
        <f t="shared" si="23"/>
        <v>168000</v>
      </c>
      <c r="H530" s="599" t="s">
        <v>202</v>
      </c>
      <c r="I530" s="604"/>
      <c r="J530" s="604"/>
      <c r="K530" s="320"/>
      <c r="L530" s="768"/>
      <c r="M530" s="322"/>
      <c r="N530" s="323"/>
      <c r="O530" s="324"/>
      <c r="P530" s="326"/>
    </row>
    <row r="531" spans="1:1024" ht="12.75" customHeight="1">
      <c r="A531" s="906"/>
      <c r="B531" s="572">
        <v>15265</v>
      </c>
      <c r="C531" s="121">
        <v>0.1</v>
      </c>
      <c r="D531" s="561" t="s">
        <v>336</v>
      </c>
      <c r="E531" s="364">
        <v>1200000</v>
      </c>
      <c r="F531" s="602">
        <v>0.06</v>
      </c>
      <c r="G531" s="364">
        <f t="shared" si="23"/>
        <v>72000</v>
      </c>
      <c r="H531" s="599" t="s">
        <v>123</v>
      </c>
      <c r="I531" s="604"/>
      <c r="J531" s="604"/>
      <c r="K531" s="319"/>
      <c r="L531" s="697"/>
      <c r="M531" s="322"/>
      <c r="N531" s="323"/>
      <c r="O531" s="324"/>
      <c r="P531" s="323"/>
    </row>
    <row r="532" spans="1:1024" ht="12.75" customHeight="1">
      <c r="A532" s="906"/>
      <c r="B532" s="572">
        <v>15241</v>
      </c>
      <c r="C532" s="550">
        <v>0.08</v>
      </c>
      <c r="D532" s="561" t="s">
        <v>337</v>
      </c>
      <c r="E532" s="364">
        <v>2600000</v>
      </c>
      <c r="F532" s="603">
        <v>0.1</v>
      </c>
      <c r="G532" s="364">
        <f t="shared" si="23"/>
        <v>260000</v>
      </c>
      <c r="H532" s="599" t="s">
        <v>47</v>
      </c>
      <c r="I532" s="604"/>
      <c r="J532" s="604"/>
      <c r="K532" s="319"/>
      <c r="L532" s="697"/>
      <c r="M532" s="322"/>
      <c r="N532" s="323"/>
      <c r="O532" s="324"/>
      <c r="P532" s="323"/>
    </row>
    <row r="533" spans="1:1024">
      <c r="A533" s="906"/>
      <c r="B533" s="551">
        <v>15176</v>
      </c>
      <c r="C533" s="690">
        <v>0.1</v>
      </c>
      <c r="D533" s="542" t="s">
        <v>338</v>
      </c>
      <c r="E533" s="620">
        <v>3150000</v>
      </c>
      <c r="F533" s="601">
        <v>0.05</v>
      </c>
      <c r="G533" s="364">
        <f>E533*F533</f>
        <v>157500</v>
      </c>
      <c r="H533" s="599" t="s">
        <v>149</v>
      </c>
      <c r="I533" s="604"/>
      <c r="J533" s="604"/>
      <c r="K533" s="590"/>
      <c r="L533" s="591"/>
      <c r="M533" s="783"/>
      <c r="N533" s="321"/>
      <c r="O533" s="770"/>
      <c r="P533" s="607"/>
      <c r="Q533" s="716"/>
      <c r="R533" s="243"/>
      <c r="S533" s="243"/>
      <c r="T533" s="243"/>
      <c r="U533" s="243"/>
      <c r="V533" s="243"/>
      <c r="W533" s="243"/>
      <c r="X533" s="243"/>
      <c r="Y533" s="243"/>
      <c r="Z533" s="243"/>
      <c r="AA533" s="243"/>
      <c r="AB533" s="243"/>
      <c r="AC533" s="243"/>
      <c r="AD533" s="243"/>
      <c r="AE533" s="243"/>
      <c r="AF533" s="243"/>
      <c r="AG533" s="243"/>
      <c r="AH533" s="243"/>
      <c r="AI533" s="243"/>
      <c r="AJ533" s="243"/>
      <c r="AK533" s="243"/>
      <c r="AL533" s="243"/>
      <c r="AM533" s="243"/>
      <c r="AN533" s="243"/>
      <c r="AO533" s="243"/>
      <c r="AP533" s="243"/>
      <c r="AQ533" s="243"/>
      <c r="AR533" s="243"/>
      <c r="AS533" s="243"/>
      <c r="AT533" s="243"/>
      <c r="AU533" s="243"/>
      <c r="AV533" s="243"/>
      <c r="AW533" s="243"/>
      <c r="AX533" s="243"/>
      <c r="AY533" s="243"/>
      <c r="AZ533" s="243"/>
      <c r="BA533" s="243"/>
      <c r="BB533" s="243"/>
      <c r="BC533" s="243"/>
      <c r="BD533" s="243"/>
      <c r="BE533" s="243"/>
      <c r="BF533" s="243"/>
      <c r="BG533" s="243"/>
      <c r="BH533" s="243"/>
      <c r="BI533" s="243"/>
      <c r="BJ533" s="243"/>
      <c r="BK533" s="243"/>
      <c r="BL533" s="243"/>
      <c r="BM533" s="243"/>
      <c r="BN533" s="243"/>
      <c r="BO533" s="243"/>
      <c r="BP533" s="243"/>
      <c r="BQ533" s="243"/>
      <c r="BR533" s="243"/>
      <c r="BS533" s="243"/>
      <c r="BT533" s="243"/>
      <c r="BU533" s="243"/>
      <c r="BV533" s="243"/>
      <c r="BW533" s="243"/>
      <c r="BX533" s="243"/>
      <c r="BY533" s="243"/>
      <c r="BZ533" s="243"/>
      <c r="CA533" s="243"/>
      <c r="CB533" s="243"/>
      <c r="CC533" s="243"/>
      <c r="CD533" s="243"/>
      <c r="CE533" s="243"/>
      <c r="CF533" s="243"/>
      <c r="CG533" s="243"/>
      <c r="CH533" s="243"/>
      <c r="CI533" s="243"/>
      <c r="CJ533" s="243"/>
      <c r="CK533" s="243"/>
      <c r="CL533" s="243"/>
      <c r="CM533" s="243"/>
      <c r="CN533" s="243"/>
      <c r="CO533" s="243"/>
      <c r="CP533" s="243"/>
      <c r="CQ533" s="243"/>
      <c r="CR533" s="243"/>
      <c r="CS533" s="243"/>
      <c r="CT533" s="243"/>
      <c r="CU533" s="243"/>
      <c r="CV533" s="243"/>
      <c r="CW533" s="243"/>
      <c r="CX533" s="243"/>
      <c r="CY533" s="243"/>
      <c r="CZ533" s="243"/>
      <c r="DA533" s="243"/>
      <c r="DB533" s="243"/>
      <c r="DC533" s="243"/>
      <c r="DD533" s="243"/>
      <c r="DE533" s="243"/>
      <c r="DF533" s="243"/>
      <c r="DG533" s="243"/>
      <c r="DH533" s="243"/>
      <c r="DI533" s="243"/>
      <c r="DJ533" s="243"/>
      <c r="DK533" s="243"/>
      <c r="DL533" s="243"/>
      <c r="DM533" s="243"/>
      <c r="DN533" s="243"/>
      <c r="DO533" s="243"/>
      <c r="DP533" s="243"/>
      <c r="DQ533" s="243"/>
      <c r="DR533" s="243"/>
      <c r="DS533" s="243"/>
      <c r="DT533" s="243"/>
      <c r="DU533" s="243"/>
      <c r="DV533" s="243"/>
      <c r="DW533" s="243"/>
      <c r="DX533" s="243"/>
      <c r="DY533" s="243"/>
      <c r="DZ533" s="243"/>
      <c r="EA533" s="243"/>
      <c r="EB533" s="243"/>
      <c r="EC533" s="243"/>
      <c r="ED533" s="243"/>
      <c r="EE533" s="243"/>
      <c r="EF533" s="243"/>
      <c r="EG533" s="243"/>
      <c r="EH533" s="243"/>
      <c r="EI533" s="243"/>
      <c r="EJ533" s="243"/>
      <c r="EK533" s="243"/>
      <c r="EL533" s="243"/>
      <c r="EM533" s="243"/>
      <c r="EN533" s="243"/>
      <c r="EO533" s="243"/>
      <c r="EP533" s="243"/>
      <c r="EQ533" s="243"/>
      <c r="ER533" s="243"/>
      <c r="ES533" s="243"/>
      <c r="ET533" s="243"/>
      <c r="EU533" s="243"/>
      <c r="EV533" s="243"/>
      <c r="EW533" s="243"/>
      <c r="EX533" s="243"/>
      <c r="EY533" s="243"/>
      <c r="EZ533" s="243"/>
      <c r="FA533" s="243"/>
      <c r="FB533" s="243"/>
      <c r="FC533" s="243"/>
      <c r="FD533" s="243"/>
      <c r="FE533" s="243"/>
      <c r="FF533" s="243"/>
      <c r="FG533" s="243"/>
      <c r="FH533" s="243"/>
      <c r="FI533" s="243"/>
      <c r="FJ533" s="243"/>
      <c r="FK533" s="243"/>
      <c r="FL533" s="243"/>
      <c r="FM533" s="243"/>
      <c r="FN533" s="243"/>
      <c r="FO533" s="243"/>
      <c r="FP533" s="243"/>
      <c r="FQ533" s="243"/>
      <c r="FR533" s="243"/>
      <c r="FS533" s="243"/>
      <c r="FT533" s="243"/>
      <c r="FU533" s="243"/>
      <c r="FV533" s="243"/>
      <c r="FW533" s="243"/>
      <c r="FX533" s="243"/>
      <c r="FY533" s="243"/>
      <c r="FZ533" s="243"/>
      <c r="GA533" s="243"/>
      <c r="GB533" s="243"/>
      <c r="GC533" s="243"/>
      <c r="GD533" s="243"/>
      <c r="GE533" s="243"/>
      <c r="GF533" s="243"/>
      <c r="GG533" s="243"/>
      <c r="GH533" s="243"/>
      <c r="GI533" s="243"/>
      <c r="GJ533" s="243"/>
      <c r="GK533" s="243"/>
      <c r="GL533" s="243"/>
      <c r="GM533" s="243"/>
      <c r="GN533" s="243"/>
      <c r="GO533" s="243"/>
      <c r="GP533" s="243"/>
      <c r="GQ533" s="243"/>
      <c r="GR533" s="243"/>
      <c r="GS533" s="243"/>
      <c r="GT533" s="243"/>
      <c r="GU533" s="243"/>
      <c r="GV533" s="243"/>
      <c r="GW533" s="243"/>
      <c r="GX533" s="243"/>
      <c r="GY533" s="243"/>
      <c r="GZ533" s="243"/>
      <c r="HA533" s="243"/>
      <c r="HB533" s="243"/>
      <c r="HC533" s="243"/>
      <c r="HD533" s="243"/>
      <c r="HE533" s="243"/>
      <c r="HF533" s="243"/>
      <c r="HG533" s="243"/>
      <c r="HH533" s="243"/>
      <c r="HI533" s="243"/>
      <c r="HJ533" s="243"/>
      <c r="HK533" s="243"/>
      <c r="HL533" s="243"/>
      <c r="HM533" s="243"/>
      <c r="HN533" s="243"/>
      <c r="HO533" s="243"/>
      <c r="HP533" s="243"/>
      <c r="HQ533" s="243"/>
      <c r="HR533" s="243"/>
      <c r="HS533" s="243"/>
      <c r="HT533" s="243"/>
      <c r="HU533" s="243"/>
      <c r="HV533" s="243"/>
      <c r="HW533" s="243"/>
      <c r="HX533" s="243"/>
      <c r="HY533" s="243"/>
      <c r="HZ533" s="243"/>
      <c r="IA533" s="243"/>
      <c r="IB533" s="243"/>
      <c r="IC533" s="243"/>
      <c r="ID533" s="243"/>
      <c r="IE533" s="243"/>
      <c r="IF533" s="243"/>
      <c r="IG533" s="243"/>
      <c r="IH533" s="243"/>
      <c r="II533" s="243"/>
      <c r="IJ533" s="243"/>
      <c r="IK533" s="243"/>
      <c r="IL533" s="243"/>
      <c r="IM533" s="243"/>
      <c r="IN533" s="243"/>
      <c r="IO533" s="243"/>
      <c r="IP533" s="243"/>
      <c r="IQ533" s="243"/>
      <c r="IR533" s="243"/>
      <c r="IS533" s="243"/>
      <c r="IT533" s="243"/>
      <c r="IU533" s="243"/>
      <c r="IV533" s="243"/>
      <c r="IW533" s="243"/>
      <c r="IX533" s="243"/>
      <c r="IY533" s="243"/>
      <c r="IZ533" s="243"/>
      <c r="JA533" s="243"/>
      <c r="JB533" s="243"/>
      <c r="JC533" s="243"/>
      <c r="JD533" s="243"/>
      <c r="JE533" s="243"/>
      <c r="JF533" s="243"/>
      <c r="JG533" s="243"/>
      <c r="JH533" s="243"/>
      <c r="JI533" s="243"/>
      <c r="JJ533" s="243"/>
      <c r="JK533" s="243"/>
      <c r="JL533" s="243"/>
      <c r="JM533" s="243"/>
      <c r="JN533" s="243"/>
      <c r="JO533" s="243"/>
      <c r="JP533" s="243"/>
      <c r="JQ533" s="243"/>
      <c r="JR533" s="243"/>
      <c r="JS533" s="243"/>
      <c r="JT533" s="243"/>
      <c r="JU533" s="243"/>
      <c r="JV533" s="243"/>
      <c r="JW533" s="243"/>
      <c r="JX533" s="243"/>
      <c r="JY533" s="243"/>
      <c r="JZ533" s="243"/>
      <c r="KA533" s="243"/>
      <c r="KB533" s="243"/>
      <c r="KC533" s="243"/>
      <c r="KD533" s="243"/>
      <c r="KE533" s="243"/>
      <c r="KF533" s="243"/>
      <c r="KG533" s="243"/>
      <c r="KH533" s="243"/>
      <c r="KI533" s="243"/>
      <c r="KJ533" s="243"/>
      <c r="KK533" s="243"/>
      <c r="KL533" s="243"/>
      <c r="KM533" s="243"/>
      <c r="KN533" s="243"/>
      <c r="KO533" s="243"/>
      <c r="KP533" s="243"/>
      <c r="KQ533" s="243"/>
      <c r="KR533" s="243"/>
      <c r="KS533" s="243"/>
      <c r="KT533" s="243"/>
      <c r="KU533" s="243"/>
      <c r="KV533" s="243"/>
      <c r="KW533" s="243"/>
      <c r="KX533" s="243"/>
      <c r="KY533" s="243"/>
      <c r="KZ533" s="243"/>
      <c r="LA533" s="243"/>
      <c r="LB533" s="243"/>
      <c r="LC533" s="243"/>
      <c r="LD533" s="243"/>
      <c r="LE533" s="243"/>
      <c r="LF533" s="243"/>
      <c r="LG533" s="243"/>
      <c r="LH533" s="243"/>
      <c r="LI533" s="243"/>
      <c r="LJ533" s="243"/>
      <c r="LK533" s="243"/>
      <c r="LL533" s="243"/>
      <c r="LM533" s="243"/>
      <c r="LN533" s="243"/>
      <c r="LO533" s="243"/>
      <c r="LP533" s="243"/>
      <c r="LQ533" s="243"/>
      <c r="LR533" s="243"/>
      <c r="LS533" s="243"/>
      <c r="LT533" s="243"/>
      <c r="LU533" s="243"/>
      <c r="LV533" s="243"/>
      <c r="LW533" s="243"/>
      <c r="LX533" s="243"/>
      <c r="LY533" s="243"/>
      <c r="LZ533" s="243"/>
      <c r="MA533" s="243"/>
      <c r="MB533" s="243"/>
      <c r="MC533" s="243"/>
      <c r="MD533" s="243"/>
      <c r="ME533" s="243"/>
      <c r="MF533" s="243"/>
      <c r="MG533" s="243"/>
      <c r="MH533" s="243"/>
      <c r="MI533" s="243"/>
      <c r="MJ533" s="243"/>
      <c r="MK533" s="243"/>
      <c r="ML533" s="243"/>
      <c r="MM533" s="243"/>
      <c r="MN533" s="243"/>
      <c r="MO533" s="243"/>
      <c r="MP533" s="243"/>
      <c r="MQ533" s="243"/>
      <c r="MR533" s="243"/>
      <c r="MS533" s="243"/>
      <c r="MT533" s="243"/>
      <c r="MU533" s="243"/>
      <c r="MV533" s="243"/>
      <c r="MW533" s="243"/>
      <c r="MX533" s="243"/>
      <c r="MY533" s="243"/>
      <c r="MZ533" s="243"/>
      <c r="NA533" s="243"/>
      <c r="NB533" s="243"/>
      <c r="NC533" s="243"/>
      <c r="ND533" s="243"/>
      <c r="NE533" s="243"/>
      <c r="NF533" s="243"/>
      <c r="NG533" s="243"/>
      <c r="NH533" s="243"/>
      <c r="NI533" s="243"/>
      <c r="NJ533" s="243"/>
      <c r="NK533" s="243"/>
      <c r="NL533" s="243"/>
      <c r="NM533" s="243"/>
      <c r="NN533" s="243"/>
      <c r="NO533" s="243"/>
      <c r="NP533" s="243"/>
      <c r="NQ533" s="243"/>
      <c r="NR533" s="243"/>
      <c r="NS533" s="243"/>
      <c r="NT533" s="243"/>
      <c r="NU533" s="243"/>
      <c r="NV533" s="243"/>
      <c r="NW533" s="243"/>
      <c r="NX533" s="243"/>
      <c r="NY533" s="243"/>
      <c r="NZ533" s="243"/>
      <c r="OA533" s="243"/>
      <c r="OB533" s="243"/>
      <c r="OC533" s="243"/>
      <c r="OD533" s="243"/>
      <c r="OE533" s="243"/>
      <c r="OF533" s="243"/>
      <c r="OG533" s="243"/>
      <c r="OH533" s="243"/>
      <c r="OI533" s="243"/>
      <c r="OJ533" s="243"/>
      <c r="OK533" s="243"/>
      <c r="OL533" s="243"/>
      <c r="OM533" s="243"/>
      <c r="ON533" s="243"/>
      <c r="OO533" s="243"/>
      <c r="OP533" s="243"/>
      <c r="OQ533" s="243"/>
      <c r="OR533" s="243"/>
      <c r="OS533" s="243"/>
      <c r="OT533" s="243"/>
      <c r="OU533" s="243"/>
      <c r="OV533" s="243"/>
      <c r="OW533" s="243"/>
      <c r="OX533" s="243"/>
      <c r="OY533" s="243"/>
      <c r="OZ533" s="243"/>
      <c r="PA533" s="243"/>
      <c r="PB533" s="243"/>
      <c r="PC533" s="243"/>
      <c r="PD533" s="243"/>
      <c r="PE533" s="243"/>
      <c r="PF533" s="243"/>
      <c r="PG533" s="243"/>
      <c r="PH533" s="243"/>
      <c r="PI533" s="243"/>
      <c r="PJ533" s="243"/>
      <c r="PK533" s="243"/>
      <c r="PL533" s="243"/>
      <c r="PM533" s="243"/>
      <c r="PN533" s="243"/>
      <c r="PO533" s="243"/>
      <c r="PP533" s="243"/>
      <c r="PQ533" s="243"/>
      <c r="PR533" s="243"/>
      <c r="PS533" s="243"/>
      <c r="PT533" s="243"/>
      <c r="PU533" s="243"/>
      <c r="PV533" s="243"/>
      <c r="PW533" s="243"/>
      <c r="PX533" s="243"/>
      <c r="PY533" s="243"/>
      <c r="PZ533" s="243"/>
      <c r="QA533" s="243"/>
      <c r="QB533" s="243"/>
      <c r="QC533" s="243"/>
      <c r="QD533" s="243"/>
      <c r="QE533" s="243"/>
      <c r="QF533" s="243"/>
      <c r="QG533" s="243"/>
      <c r="QH533" s="243"/>
      <c r="QI533" s="243"/>
      <c r="QJ533" s="243"/>
      <c r="QK533" s="243"/>
      <c r="QL533" s="243"/>
      <c r="QM533" s="243"/>
      <c r="QN533" s="243"/>
      <c r="QO533" s="243"/>
      <c r="QP533" s="243"/>
      <c r="QQ533" s="243"/>
      <c r="QR533" s="243"/>
      <c r="QS533" s="243"/>
      <c r="QT533" s="243"/>
      <c r="QU533" s="243"/>
      <c r="QV533" s="243"/>
      <c r="QW533" s="243"/>
      <c r="QX533" s="243"/>
      <c r="QY533" s="243"/>
      <c r="QZ533" s="243"/>
      <c r="RA533" s="243"/>
      <c r="RB533" s="243"/>
      <c r="RC533" s="243"/>
      <c r="RD533" s="243"/>
      <c r="RE533" s="243"/>
      <c r="RF533" s="243"/>
      <c r="RG533" s="243"/>
      <c r="RH533" s="243"/>
      <c r="RI533" s="243"/>
      <c r="RJ533" s="243"/>
      <c r="RK533" s="243"/>
      <c r="RL533" s="243"/>
      <c r="RM533" s="243"/>
      <c r="RN533" s="243"/>
      <c r="RO533" s="243"/>
      <c r="RP533" s="243"/>
      <c r="RQ533" s="243"/>
      <c r="RR533" s="243"/>
      <c r="RS533" s="243"/>
      <c r="RT533" s="243"/>
      <c r="RU533" s="243"/>
      <c r="RV533" s="243"/>
      <c r="RW533" s="243"/>
      <c r="RX533" s="243"/>
      <c r="RY533" s="243"/>
      <c r="RZ533" s="243"/>
      <c r="SA533" s="243"/>
      <c r="SB533" s="243"/>
      <c r="SC533" s="243"/>
      <c r="SD533" s="243"/>
      <c r="SE533" s="243"/>
      <c r="SF533" s="243"/>
      <c r="SG533" s="243"/>
      <c r="SH533" s="243"/>
      <c r="SI533" s="243"/>
      <c r="SJ533" s="243"/>
      <c r="SK533" s="243"/>
      <c r="SL533" s="243"/>
      <c r="SM533" s="243"/>
      <c r="SN533" s="243"/>
      <c r="SO533" s="243"/>
      <c r="SP533" s="243"/>
      <c r="SQ533" s="243"/>
      <c r="SR533" s="243"/>
      <c r="SS533" s="243"/>
      <c r="ST533" s="243"/>
      <c r="SU533" s="243"/>
      <c r="SV533" s="243"/>
      <c r="SW533" s="243"/>
      <c r="SX533" s="243"/>
      <c r="SY533" s="243"/>
      <c r="SZ533" s="243"/>
      <c r="TA533" s="243"/>
      <c r="TB533" s="243"/>
      <c r="TC533" s="243"/>
      <c r="TD533" s="243"/>
      <c r="TE533" s="243"/>
      <c r="TF533" s="243"/>
      <c r="TG533" s="243"/>
      <c r="TH533" s="243"/>
      <c r="TI533" s="243"/>
      <c r="TJ533" s="243"/>
      <c r="TK533" s="243"/>
      <c r="TL533" s="243"/>
      <c r="TM533" s="243"/>
      <c r="TN533" s="243"/>
      <c r="TO533" s="243"/>
      <c r="TP533" s="243"/>
      <c r="TQ533" s="243"/>
      <c r="TR533" s="243"/>
      <c r="TS533" s="243"/>
      <c r="TT533" s="243"/>
      <c r="TU533" s="243"/>
      <c r="TV533" s="243"/>
      <c r="TW533" s="243"/>
      <c r="TX533" s="243"/>
      <c r="TY533" s="243"/>
      <c r="TZ533" s="243"/>
      <c r="UA533" s="243"/>
      <c r="UB533" s="243"/>
      <c r="UC533" s="243"/>
      <c r="UD533" s="243"/>
      <c r="UE533" s="243"/>
      <c r="UF533" s="243"/>
      <c r="UG533" s="243"/>
      <c r="UH533" s="243"/>
      <c r="UI533" s="243"/>
      <c r="UJ533" s="243"/>
      <c r="UK533" s="243"/>
      <c r="UL533" s="243"/>
      <c r="UM533" s="243"/>
      <c r="UN533" s="243"/>
      <c r="UO533" s="243"/>
      <c r="UP533" s="243"/>
      <c r="UQ533" s="243"/>
      <c r="UR533" s="243"/>
      <c r="US533" s="243"/>
      <c r="UT533" s="243"/>
      <c r="UU533" s="243"/>
      <c r="UV533" s="243"/>
      <c r="UW533" s="243"/>
      <c r="UX533" s="243"/>
      <c r="UY533" s="243"/>
      <c r="UZ533" s="243"/>
      <c r="VA533" s="243"/>
      <c r="VB533" s="243"/>
      <c r="VC533" s="243"/>
      <c r="VD533" s="243"/>
      <c r="VE533" s="243"/>
      <c r="VF533" s="243"/>
      <c r="VG533" s="243"/>
      <c r="VH533" s="243"/>
      <c r="VI533" s="243"/>
      <c r="VJ533" s="243"/>
      <c r="VK533" s="243"/>
      <c r="VL533" s="243"/>
      <c r="VM533" s="243"/>
      <c r="VN533" s="243"/>
      <c r="VO533" s="243"/>
      <c r="VP533" s="243"/>
      <c r="VQ533" s="243"/>
      <c r="VR533" s="243"/>
      <c r="VS533" s="243"/>
      <c r="VT533" s="243"/>
      <c r="VU533" s="243"/>
      <c r="VV533" s="243"/>
      <c r="VW533" s="243"/>
      <c r="VX533" s="243"/>
      <c r="VY533" s="243"/>
      <c r="VZ533" s="243"/>
      <c r="WA533" s="243"/>
      <c r="WB533" s="243"/>
      <c r="WC533" s="243"/>
      <c r="WD533" s="243"/>
      <c r="WE533" s="243"/>
      <c r="WF533" s="243"/>
      <c r="WG533" s="243"/>
      <c r="WH533" s="243"/>
      <c r="WI533" s="243"/>
      <c r="WJ533" s="243"/>
      <c r="WK533" s="243"/>
      <c r="WL533" s="243"/>
      <c r="WM533" s="243"/>
      <c r="WN533" s="243"/>
      <c r="WO533" s="243"/>
      <c r="WP533" s="243"/>
      <c r="WQ533" s="243"/>
      <c r="WR533" s="243"/>
      <c r="WS533" s="243"/>
      <c r="WT533" s="243"/>
      <c r="WU533" s="243"/>
      <c r="WV533" s="243"/>
      <c r="WW533" s="243"/>
      <c r="WX533" s="243"/>
      <c r="WY533" s="243"/>
      <c r="WZ533" s="243"/>
      <c r="XA533" s="243"/>
      <c r="XB533" s="243"/>
      <c r="XC533" s="243"/>
      <c r="XD533" s="243"/>
      <c r="XE533" s="243"/>
      <c r="XF533" s="243"/>
      <c r="XG533" s="243"/>
      <c r="XH533" s="243"/>
      <c r="XI533" s="243"/>
      <c r="XJ533" s="243"/>
      <c r="XK533" s="243"/>
      <c r="XL533" s="243"/>
      <c r="XM533" s="243"/>
      <c r="XN533" s="243"/>
      <c r="XO533" s="243"/>
      <c r="XP533" s="243"/>
      <c r="XQ533" s="243"/>
      <c r="XR533" s="243"/>
      <c r="XS533" s="243"/>
      <c r="XT533" s="243"/>
      <c r="XU533" s="243"/>
      <c r="XV533" s="243"/>
      <c r="XW533" s="243"/>
      <c r="XX533" s="243"/>
      <c r="XY533" s="243"/>
      <c r="XZ533" s="243"/>
      <c r="YA533" s="243"/>
      <c r="YB533" s="243"/>
      <c r="YC533" s="243"/>
      <c r="YD533" s="243"/>
      <c r="YE533" s="243"/>
      <c r="YF533" s="243"/>
      <c r="YG533" s="243"/>
      <c r="YH533" s="243"/>
      <c r="YI533" s="243"/>
      <c r="YJ533" s="243"/>
      <c r="YK533" s="243"/>
      <c r="YL533" s="243"/>
      <c r="YM533" s="243"/>
      <c r="YN533" s="243"/>
      <c r="YO533" s="243"/>
      <c r="YP533" s="243"/>
      <c r="YQ533" s="243"/>
      <c r="YR533" s="243"/>
      <c r="YS533" s="243"/>
      <c r="YT533" s="243"/>
      <c r="YU533" s="243"/>
      <c r="YV533" s="243"/>
      <c r="YW533" s="243"/>
      <c r="YX533" s="243"/>
      <c r="YY533" s="243"/>
      <c r="YZ533" s="243"/>
      <c r="ZA533" s="243"/>
      <c r="ZB533" s="243"/>
      <c r="ZC533" s="243"/>
      <c r="ZD533" s="243"/>
      <c r="ZE533" s="243"/>
      <c r="ZF533" s="243"/>
      <c r="ZG533" s="243"/>
      <c r="ZH533" s="243"/>
      <c r="ZI533" s="243"/>
      <c r="ZJ533" s="243"/>
      <c r="ZK533" s="243"/>
      <c r="ZL533" s="243"/>
      <c r="ZM533" s="243"/>
      <c r="ZN533" s="243"/>
      <c r="ZO533" s="243"/>
      <c r="ZP533" s="243"/>
      <c r="ZQ533" s="243"/>
      <c r="ZR533" s="243"/>
      <c r="ZS533" s="243"/>
      <c r="ZT533" s="243"/>
      <c r="ZU533" s="243"/>
      <c r="ZV533" s="243"/>
      <c r="ZW533" s="243"/>
      <c r="ZX533" s="243"/>
      <c r="ZY533" s="243"/>
      <c r="ZZ533" s="243"/>
      <c r="AAA533" s="243"/>
      <c r="AAB533" s="243"/>
      <c r="AAC533" s="243"/>
      <c r="AAD533" s="243"/>
      <c r="AAE533" s="243"/>
      <c r="AAF533" s="243"/>
      <c r="AAG533" s="243"/>
      <c r="AAH533" s="243"/>
      <c r="AAI533" s="243"/>
      <c r="AAJ533" s="243"/>
      <c r="AAK533" s="243"/>
      <c r="AAL533" s="243"/>
      <c r="AAM533" s="243"/>
      <c r="AAN533" s="243"/>
      <c r="AAO533" s="243"/>
      <c r="AAP533" s="243"/>
      <c r="AAQ533" s="243"/>
      <c r="AAR533" s="243"/>
      <c r="AAS533" s="243"/>
      <c r="AAT533" s="243"/>
      <c r="AAU533" s="243"/>
      <c r="AAV533" s="243"/>
      <c r="AAW533" s="243"/>
      <c r="AAX533" s="243"/>
      <c r="AAY533" s="243"/>
      <c r="AAZ533" s="243"/>
      <c r="ABA533" s="243"/>
      <c r="ABB533" s="243"/>
      <c r="ABC533" s="243"/>
      <c r="ABD533" s="243"/>
      <c r="ABE533" s="243"/>
      <c r="ABF533" s="243"/>
      <c r="ABG533" s="243"/>
      <c r="ABH533" s="243"/>
      <c r="ABI533" s="243"/>
      <c r="ABJ533" s="243"/>
      <c r="ABK533" s="243"/>
      <c r="ABL533" s="243"/>
      <c r="ABM533" s="243"/>
      <c r="ABN533" s="243"/>
      <c r="ABO533" s="243"/>
      <c r="ABP533" s="243"/>
      <c r="ABQ533" s="243"/>
      <c r="ABR533" s="243"/>
      <c r="ABS533" s="243"/>
      <c r="ABT533" s="243"/>
      <c r="ABU533" s="243"/>
      <c r="ABV533" s="243"/>
      <c r="ABW533" s="243"/>
      <c r="ABX533" s="243"/>
      <c r="ABY533" s="243"/>
      <c r="ABZ533" s="243"/>
      <c r="ACA533" s="243"/>
      <c r="ACB533" s="243"/>
      <c r="ACC533" s="243"/>
      <c r="ACD533" s="243"/>
      <c r="ACE533" s="243"/>
      <c r="ACF533" s="243"/>
      <c r="ACG533" s="243"/>
      <c r="ACH533" s="243"/>
      <c r="ACI533" s="243"/>
      <c r="ACJ533" s="243"/>
      <c r="ACK533" s="243"/>
      <c r="ACL533" s="243"/>
      <c r="ACM533" s="243"/>
      <c r="ACN533" s="243"/>
      <c r="ACO533" s="243"/>
      <c r="ACP533" s="243"/>
      <c r="ACQ533" s="243"/>
      <c r="ACR533" s="243"/>
      <c r="ACS533" s="243"/>
      <c r="ACT533" s="243"/>
      <c r="ACU533" s="243"/>
      <c r="ACV533" s="243"/>
      <c r="ACW533" s="243"/>
      <c r="ACX533" s="243"/>
      <c r="ACY533" s="243"/>
      <c r="ACZ533" s="243"/>
      <c r="ADA533" s="243"/>
      <c r="ADB533" s="243"/>
      <c r="ADC533" s="243"/>
      <c r="ADD533" s="243"/>
      <c r="ADE533" s="243"/>
      <c r="ADF533" s="243"/>
      <c r="ADG533" s="243"/>
      <c r="ADH533" s="243"/>
      <c r="ADI533" s="243"/>
      <c r="ADJ533" s="243"/>
      <c r="ADK533" s="243"/>
      <c r="ADL533" s="243"/>
      <c r="ADM533" s="243"/>
      <c r="ADN533" s="243"/>
      <c r="ADO533" s="243"/>
      <c r="ADP533" s="243"/>
      <c r="ADQ533" s="243"/>
      <c r="ADR533" s="243"/>
      <c r="ADS533" s="243"/>
      <c r="ADT533" s="243"/>
      <c r="ADU533" s="243"/>
      <c r="ADV533" s="243"/>
      <c r="ADW533" s="243"/>
      <c r="ADX533" s="243"/>
      <c r="ADY533" s="243"/>
      <c r="ADZ533" s="243"/>
      <c r="AEA533" s="243"/>
      <c r="AEB533" s="243"/>
      <c r="AEC533" s="243"/>
      <c r="AED533" s="243"/>
      <c r="AEE533" s="243"/>
      <c r="AEF533" s="243"/>
      <c r="AEG533" s="243"/>
      <c r="AEH533" s="243"/>
      <c r="AEI533" s="243"/>
      <c r="AEJ533" s="243"/>
      <c r="AEK533" s="243"/>
      <c r="AEL533" s="243"/>
      <c r="AEM533" s="243"/>
      <c r="AEN533" s="243"/>
      <c r="AEO533" s="243"/>
      <c r="AEP533" s="243"/>
      <c r="AEQ533" s="243"/>
      <c r="AER533" s="243"/>
      <c r="AES533" s="243"/>
      <c r="AET533" s="243"/>
      <c r="AEU533" s="243"/>
      <c r="AEV533" s="243"/>
      <c r="AEW533" s="243"/>
      <c r="AEX533" s="243"/>
      <c r="AEY533" s="243"/>
      <c r="AEZ533" s="243"/>
      <c r="AFA533" s="243"/>
      <c r="AFB533" s="243"/>
      <c r="AFC533" s="243"/>
      <c r="AFD533" s="243"/>
      <c r="AFE533" s="243"/>
      <c r="AFF533" s="243"/>
      <c r="AFG533" s="243"/>
      <c r="AFH533" s="243"/>
      <c r="AFI533" s="243"/>
      <c r="AFJ533" s="243"/>
      <c r="AFK533" s="243"/>
      <c r="AFL533" s="243"/>
      <c r="AFM533" s="243"/>
      <c r="AFN533" s="243"/>
      <c r="AFO533" s="243"/>
      <c r="AFP533" s="243"/>
      <c r="AFQ533" s="243"/>
      <c r="AFR533" s="243"/>
      <c r="AFS533" s="243"/>
      <c r="AFT533" s="243"/>
      <c r="AFU533" s="243"/>
      <c r="AFV533" s="243"/>
      <c r="AFW533" s="243"/>
      <c r="AFX533" s="243"/>
      <c r="AFY533" s="243"/>
      <c r="AFZ533" s="243"/>
      <c r="AGA533" s="243"/>
      <c r="AGB533" s="243"/>
      <c r="AGC533" s="243"/>
      <c r="AGD533" s="243"/>
      <c r="AGE533" s="243"/>
      <c r="AGF533" s="243"/>
      <c r="AGG533" s="243"/>
      <c r="AGH533" s="243"/>
      <c r="AGI533" s="243"/>
      <c r="AGJ533" s="243"/>
      <c r="AGK533" s="243"/>
      <c r="AGL533" s="243"/>
      <c r="AGM533" s="243"/>
      <c r="AGN533" s="243"/>
      <c r="AGO533" s="243"/>
      <c r="AGP533" s="243"/>
      <c r="AGQ533" s="243"/>
      <c r="AGR533" s="243"/>
      <c r="AGS533" s="243"/>
      <c r="AGT533" s="243"/>
      <c r="AGU533" s="243"/>
      <c r="AGV533" s="243"/>
      <c r="AGW533" s="243"/>
      <c r="AGX533" s="243"/>
      <c r="AGY533" s="243"/>
      <c r="AGZ533" s="243"/>
      <c r="AHA533" s="243"/>
      <c r="AHB533" s="243"/>
      <c r="AHC533" s="243"/>
      <c r="AHD533" s="243"/>
      <c r="AHE533" s="243"/>
      <c r="AHF533" s="243"/>
      <c r="AHG533" s="243"/>
      <c r="AHH533" s="243"/>
      <c r="AHI533" s="243"/>
      <c r="AHJ533" s="243"/>
      <c r="AHK533" s="243"/>
      <c r="AHL533" s="243"/>
      <c r="AHM533" s="243"/>
      <c r="AHN533" s="243"/>
      <c r="AHO533" s="243"/>
      <c r="AHP533" s="243"/>
      <c r="AHQ533" s="243"/>
      <c r="AHR533" s="243"/>
      <c r="AHS533" s="243"/>
      <c r="AHT533" s="243"/>
      <c r="AHU533" s="243"/>
      <c r="AHV533" s="243"/>
      <c r="AHW533" s="243"/>
      <c r="AHX533" s="243"/>
      <c r="AHY533" s="243"/>
      <c r="AHZ533" s="243"/>
      <c r="AIA533" s="243"/>
      <c r="AIB533" s="243"/>
      <c r="AIC533" s="243"/>
      <c r="AID533" s="243"/>
      <c r="AIE533" s="243"/>
      <c r="AIF533" s="243"/>
      <c r="AIG533" s="243"/>
      <c r="AIH533" s="243"/>
      <c r="AII533" s="243"/>
      <c r="AIJ533" s="243"/>
      <c r="AIK533" s="243"/>
      <c r="AIL533" s="243"/>
      <c r="AIM533" s="243"/>
      <c r="AIN533" s="243"/>
      <c r="AIO533" s="243"/>
      <c r="AIP533" s="243"/>
      <c r="AIQ533" s="243"/>
      <c r="AIR533" s="243"/>
      <c r="AIS533" s="243"/>
      <c r="AIT533" s="243"/>
      <c r="AIU533" s="243"/>
      <c r="AIV533" s="243"/>
      <c r="AIW533" s="243"/>
      <c r="AIX533" s="243"/>
      <c r="AIY533" s="243"/>
      <c r="AIZ533" s="243"/>
      <c r="AJA533" s="243"/>
      <c r="AJB533" s="243"/>
      <c r="AJC533" s="243"/>
      <c r="AJD533" s="243"/>
      <c r="AJE533" s="243"/>
      <c r="AJF533" s="243"/>
      <c r="AJG533" s="243"/>
      <c r="AJH533" s="243"/>
      <c r="AJI533" s="243"/>
      <c r="AJJ533" s="243"/>
      <c r="AJK533" s="243"/>
      <c r="AJL533" s="243"/>
      <c r="AJM533" s="243"/>
      <c r="AJN533" s="243"/>
      <c r="AJO533" s="243"/>
      <c r="AJP533" s="243"/>
      <c r="AJQ533" s="243"/>
      <c r="AJR533" s="243"/>
      <c r="AJS533" s="243"/>
      <c r="AJT533" s="243"/>
      <c r="AJU533" s="243"/>
      <c r="AJV533" s="243"/>
      <c r="AJW533" s="243"/>
      <c r="AJX533" s="243"/>
      <c r="AJY533" s="243"/>
      <c r="AJZ533" s="243"/>
      <c r="AKA533" s="243"/>
      <c r="AKB533" s="243"/>
      <c r="AKC533" s="243"/>
      <c r="AKD533" s="243"/>
      <c r="AKE533" s="243"/>
      <c r="AKF533" s="243"/>
      <c r="AKG533" s="243"/>
      <c r="AKH533" s="243"/>
      <c r="AKI533" s="243"/>
      <c r="AKJ533" s="243"/>
      <c r="AKK533" s="243"/>
      <c r="AKL533" s="243"/>
      <c r="AKM533" s="243"/>
      <c r="AKN533" s="243"/>
      <c r="AKO533" s="243"/>
      <c r="AKP533" s="243"/>
      <c r="AKQ533" s="243"/>
      <c r="AKR533" s="243"/>
      <c r="AKS533" s="243"/>
      <c r="AKT533" s="243"/>
      <c r="AKU533" s="243"/>
      <c r="AKV533" s="243"/>
      <c r="AKW533" s="243"/>
      <c r="AKX533" s="243"/>
      <c r="AKY533" s="243"/>
      <c r="AKZ533" s="243"/>
      <c r="ALA533" s="243"/>
      <c r="ALB533" s="243"/>
      <c r="ALC533" s="243"/>
      <c r="ALD533" s="243"/>
      <c r="ALE533" s="243"/>
      <c r="ALF533" s="243"/>
      <c r="ALG533" s="243"/>
      <c r="ALH533" s="243"/>
      <c r="ALI533" s="243"/>
      <c r="ALJ533" s="243"/>
      <c r="ALK533" s="243"/>
      <c r="ALL533" s="243"/>
      <c r="ALM533" s="243"/>
      <c r="ALN533" s="243"/>
      <c r="ALO533" s="243"/>
      <c r="ALP533" s="243"/>
      <c r="ALQ533" s="243"/>
      <c r="ALR533" s="243"/>
      <c r="ALS533" s="243"/>
      <c r="ALT533" s="243"/>
      <c r="ALU533" s="243"/>
      <c r="ALV533" s="243"/>
      <c r="ALW533" s="243"/>
      <c r="ALX533" s="243"/>
      <c r="ALY533" s="243"/>
      <c r="ALZ533" s="243"/>
      <c r="AMA533" s="243"/>
      <c r="AMB533" s="243"/>
      <c r="AMC533" s="243"/>
      <c r="AMD533" s="243"/>
      <c r="AME533" s="243"/>
      <c r="AMF533" s="243"/>
      <c r="AMG533" s="243"/>
      <c r="AMH533" s="243"/>
      <c r="AMI533" s="244"/>
      <c r="AMJ533" s="244"/>
    </row>
    <row r="534" spans="1:1024" ht="12.75" customHeight="1">
      <c r="A534" s="906"/>
      <c r="B534" s="590"/>
      <c r="C534" s="594"/>
      <c r="D534" s="589"/>
      <c r="E534" s="321"/>
      <c r="F534" s="679"/>
      <c r="G534" s="318"/>
      <c r="H534" s="604"/>
      <c r="I534" s="604"/>
      <c r="J534" s="604"/>
      <c r="K534" s="319"/>
      <c r="L534" s="697"/>
      <c r="M534" s="322"/>
      <c r="N534" s="323"/>
      <c r="O534" s="324"/>
      <c r="P534" s="323"/>
    </row>
    <row r="535" spans="1:1024">
      <c r="A535" s="906"/>
      <c r="B535" s="588"/>
      <c r="C535" s="586"/>
      <c r="D535" s="318"/>
      <c r="E535" s="321"/>
      <c r="F535" s="693"/>
      <c r="G535" s="692"/>
      <c r="H535" s="604"/>
      <c r="I535" s="604"/>
      <c r="J535" s="604"/>
      <c r="K535" s="320"/>
      <c r="L535" s="696"/>
      <c r="M535" s="318"/>
      <c r="N535" s="321"/>
      <c r="O535" s="589"/>
      <c r="P535" s="321"/>
    </row>
    <row r="536" spans="1:1024" ht="12.75" customHeight="1">
      <c r="A536" s="906"/>
      <c r="B536" s="694"/>
      <c r="C536" s="332"/>
      <c r="D536" s="626" t="s">
        <v>26</v>
      </c>
      <c r="E536" s="563">
        <f>SUM(E527:E535)</f>
        <v>18550000</v>
      </c>
      <c r="F536" s="318" t="s">
        <v>26</v>
      </c>
      <c r="G536" s="618">
        <f>SUM(G527:G534)</f>
        <v>1665500</v>
      </c>
      <c r="H536" s="140"/>
      <c r="I536" s="140"/>
      <c r="J536" s="140"/>
      <c r="K536" s="698" t="s">
        <v>27</v>
      </c>
      <c r="L536" s="699"/>
      <c r="M536" s="699"/>
      <c r="N536" s="700"/>
      <c r="O536" s="701" t="s">
        <v>28</v>
      </c>
      <c r="P536" s="702">
        <f>P535+G536</f>
        <v>1665500</v>
      </c>
    </row>
    <row r="537" spans="1:1024">
      <c r="A537" s="41"/>
      <c r="B537" s="42"/>
      <c r="C537" s="43"/>
      <c r="D537" s="41"/>
      <c r="E537" s="41"/>
      <c r="F537" s="41"/>
      <c r="G537" s="41"/>
      <c r="H537" s="41"/>
      <c r="I537" s="41"/>
      <c r="J537" s="41"/>
    </row>
    <row r="538" spans="1:1024">
      <c r="A538" s="41"/>
      <c r="B538" s="42"/>
      <c r="C538" s="43"/>
      <c r="D538" s="41"/>
      <c r="E538" s="41"/>
      <c r="F538" s="41"/>
      <c r="G538" s="41"/>
      <c r="H538" s="41"/>
      <c r="I538" s="41"/>
      <c r="J538" s="41"/>
    </row>
    <row r="539" spans="1:1024">
      <c r="A539" s="904" t="s">
        <v>199</v>
      </c>
      <c r="B539" s="904"/>
      <c r="C539" s="904"/>
      <c r="D539" s="904"/>
      <c r="E539" s="904"/>
      <c r="F539" s="904"/>
      <c r="G539" s="904"/>
      <c r="H539" s="904"/>
      <c r="I539" s="904"/>
      <c r="J539" s="904"/>
      <c r="K539" s="948" t="s">
        <v>2</v>
      </c>
      <c r="L539" s="948"/>
      <c r="M539" s="948"/>
      <c r="N539" s="948"/>
      <c r="O539" s="948"/>
      <c r="P539" s="948"/>
      <c r="Q539" s="624"/>
    </row>
    <row r="540" spans="1:1024" ht="30.75">
      <c r="A540" s="327" t="s">
        <v>3</v>
      </c>
      <c r="B540" s="327" t="s">
        <v>4</v>
      </c>
      <c r="C540" s="327" t="s">
        <v>5</v>
      </c>
      <c r="D540" s="327" t="s">
        <v>6</v>
      </c>
      <c r="E540" s="327" t="s">
        <v>29</v>
      </c>
      <c r="F540" s="327" t="s">
        <v>8</v>
      </c>
      <c r="G540" s="327" t="s">
        <v>9</v>
      </c>
      <c r="H540" s="707" t="s">
        <v>10</v>
      </c>
      <c r="I540" s="327" t="s">
        <v>11</v>
      </c>
      <c r="J540" s="327" t="s">
        <v>12</v>
      </c>
      <c r="K540" s="732" t="s">
        <v>4</v>
      </c>
      <c r="L540" s="327" t="s">
        <v>5</v>
      </c>
      <c r="M540" s="732" t="s">
        <v>6</v>
      </c>
      <c r="N540" s="732" t="s">
        <v>13</v>
      </c>
      <c r="O540" s="732" t="s">
        <v>8</v>
      </c>
      <c r="P540" s="732" t="s">
        <v>14</v>
      </c>
      <c r="Q540" s="624"/>
    </row>
    <row r="541" spans="1:1024">
      <c r="A541" s="901">
        <v>21</v>
      </c>
      <c r="B541" s="551">
        <v>15188</v>
      </c>
      <c r="C541" s="690">
        <v>0.1</v>
      </c>
      <c r="D541" s="691" t="s">
        <v>339</v>
      </c>
      <c r="E541" s="620">
        <v>3000000</v>
      </c>
      <c r="F541" s="601">
        <v>0.1</v>
      </c>
      <c r="G541" s="364">
        <f t="shared" ref="G541:G545" si="24">E541*F541</f>
        <v>300000</v>
      </c>
      <c r="H541" s="599" t="s">
        <v>202</v>
      </c>
      <c r="I541" s="604"/>
      <c r="J541" s="604"/>
      <c r="K541" s="572">
        <v>15153</v>
      </c>
      <c r="L541" s="550">
        <v>0.08</v>
      </c>
      <c r="M541" s="561" t="s">
        <v>335</v>
      </c>
      <c r="N541" s="364">
        <v>2800000</v>
      </c>
      <c r="O541" s="600">
        <v>0.04</v>
      </c>
      <c r="P541" s="611">
        <f>N541*O541</f>
        <v>112000</v>
      </c>
      <c r="Q541" s="716"/>
      <c r="R541" s="243"/>
      <c r="S541" s="243"/>
      <c r="T541" s="243"/>
      <c r="U541" s="243"/>
      <c r="V541" s="243"/>
      <c r="W541" s="243"/>
      <c r="X541" s="243"/>
      <c r="Y541" s="243"/>
      <c r="Z541" s="243"/>
      <c r="AA541" s="243"/>
      <c r="AB541" s="243"/>
      <c r="AC541" s="243"/>
      <c r="AD541" s="243"/>
      <c r="AE541" s="243"/>
      <c r="AF541" s="243"/>
      <c r="AG541" s="243"/>
      <c r="AH541" s="243"/>
      <c r="AI541" s="243"/>
      <c r="AJ541" s="243"/>
      <c r="AK541" s="243"/>
      <c r="AL541" s="243"/>
      <c r="AM541" s="243"/>
      <c r="AN541" s="243"/>
      <c r="AO541" s="243"/>
      <c r="AP541" s="243"/>
      <c r="AQ541" s="243"/>
      <c r="AR541" s="243"/>
      <c r="AS541" s="243"/>
      <c r="AT541" s="243"/>
      <c r="AU541" s="243"/>
      <c r="AV541" s="243"/>
      <c r="AW541" s="243"/>
      <c r="AX541" s="243"/>
      <c r="AY541" s="243"/>
      <c r="AZ541" s="243"/>
      <c r="BA541" s="243"/>
      <c r="BB541" s="243"/>
      <c r="BC541" s="243"/>
      <c r="BD541" s="243"/>
      <c r="BE541" s="243"/>
      <c r="BF541" s="243"/>
      <c r="BG541" s="243"/>
      <c r="BH541" s="243"/>
      <c r="BI541" s="243"/>
      <c r="BJ541" s="243"/>
      <c r="BK541" s="243"/>
      <c r="BL541" s="243"/>
      <c r="BM541" s="243"/>
      <c r="BN541" s="243"/>
      <c r="BO541" s="243"/>
      <c r="BP541" s="243"/>
      <c r="BQ541" s="243"/>
      <c r="BR541" s="243"/>
      <c r="BS541" s="243"/>
      <c r="BT541" s="243"/>
      <c r="BU541" s="243"/>
      <c r="BV541" s="243"/>
      <c r="BW541" s="243"/>
      <c r="BX541" s="243"/>
      <c r="BY541" s="243"/>
      <c r="BZ541" s="243"/>
      <c r="CA541" s="243"/>
      <c r="CB541" s="243"/>
      <c r="CC541" s="243"/>
      <c r="CD541" s="243"/>
      <c r="CE541" s="243"/>
      <c r="CF541" s="243"/>
      <c r="CG541" s="243"/>
      <c r="CH541" s="243"/>
      <c r="CI541" s="243"/>
      <c r="CJ541" s="243"/>
      <c r="CK541" s="243"/>
      <c r="CL541" s="243"/>
      <c r="CM541" s="243"/>
      <c r="CN541" s="243"/>
      <c r="CO541" s="243"/>
      <c r="CP541" s="243"/>
      <c r="CQ541" s="243"/>
      <c r="CR541" s="243"/>
      <c r="CS541" s="243"/>
      <c r="CT541" s="243"/>
      <c r="CU541" s="243"/>
      <c r="CV541" s="243"/>
      <c r="CW541" s="243"/>
      <c r="CX541" s="243"/>
      <c r="CY541" s="243"/>
      <c r="CZ541" s="243"/>
      <c r="DA541" s="243"/>
      <c r="DB541" s="243"/>
      <c r="DC541" s="243"/>
      <c r="DD541" s="243"/>
      <c r="DE541" s="243"/>
      <c r="DF541" s="243"/>
      <c r="DG541" s="243"/>
      <c r="DH541" s="243"/>
      <c r="DI541" s="243"/>
      <c r="DJ541" s="243"/>
      <c r="DK541" s="243"/>
      <c r="DL541" s="243"/>
      <c r="DM541" s="243"/>
      <c r="DN541" s="243"/>
      <c r="DO541" s="243"/>
      <c r="DP541" s="243"/>
      <c r="DQ541" s="243"/>
      <c r="DR541" s="243"/>
      <c r="DS541" s="243"/>
      <c r="DT541" s="243"/>
      <c r="DU541" s="243"/>
      <c r="DV541" s="243"/>
      <c r="DW541" s="243"/>
      <c r="DX541" s="243"/>
      <c r="DY541" s="243"/>
      <c r="DZ541" s="243"/>
      <c r="EA541" s="243"/>
      <c r="EB541" s="243"/>
      <c r="EC541" s="243"/>
      <c r="ED541" s="243"/>
      <c r="EE541" s="243"/>
      <c r="EF541" s="243"/>
      <c r="EG541" s="243"/>
      <c r="EH541" s="243"/>
      <c r="EI541" s="243"/>
      <c r="EJ541" s="243"/>
      <c r="EK541" s="243"/>
      <c r="EL541" s="243"/>
      <c r="EM541" s="243"/>
      <c r="EN541" s="243"/>
      <c r="EO541" s="243"/>
      <c r="EP541" s="243"/>
      <c r="EQ541" s="243"/>
      <c r="ER541" s="243"/>
      <c r="ES541" s="243"/>
      <c r="ET541" s="243"/>
      <c r="EU541" s="243"/>
      <c r="EV541" s="243"/>
      <c r="EW541" s="243"/>
      <c r="EX541" s="243"/>
      <c r="EY541" s="243"/>
      <c r="EZ541" s="243"/>
      <c r="FA541" s="243"/>
      <c r="FB541" s="243"/>
      <c r="FC541" s="243"/>
      <c r="FD541" s="243"/>
      <c r="FE541" s="243"/>
      <c r="FF541" s="243"/>
      <c r="FG541" s="243"/>
      <c r="FH541" s="243"/>
      <c r="FI541" s="243"/>
      <c r="FJ541" s="243"/>
      <c r="FK541" s="243"/>
      <c r="FL541" s="243"/>
      <c r="FM541" s="243"/>
      <c r="FN541" s="243"/>
      <c r="FO541" s="243"/>
      <c r="FP541" s="243"/>
      <c r="FQ541" s="243"/>
      <c r="FR541" s="243"/>
      <c r="FS541" s="243"/>
      <c r="FT541" s="243"/>
      <c r="FU541" s="243"/>
      <c r="FV541" s="243"/>
      <c r="FW541" s="243"/>
      <c r="FX541" s="243"/>
      <c r="FY541" s="243"/>
      <c r="FZ541" s="243"/>
      <c r="GA541" s="243"/>
      <c r="GB541" s="243"/>
      <c r="GC541" s="243"/>
      <c r="GD541" s="243"/>
      <c r="GE541" s="243"/>
      <c r="GF541" s="243"/>
      <c r="GG541" s="243"/>
      <c r="GH541" s="243"/>
      <c r="GI541" s="243"/>
      <c r="GJ541" s="243"/>
      <c r="GK541" s="243"/>
      <c r="GL541" s="243"/>
      <c r="GM541" s="243"/>
      <c r="GN541" s="243"/>
      <c r="GO541" s="243"/>
      <c r="GP541" s="243"/>
      <c r="GQ541" s="243"/>
      <c r="GR541" s="243"/>
      <c r="GS541" s="243"/>
      <c r="GT541" s="243"/>
      <c r="GU541" s="243"/>
      <c r="GV541" s="243"/>
      <c r="GW541" s="243"/>
      <c r="GX541" s="243"/>
      <c r="GY541" s="243"/>
      <c r="GZ541" s="243"/>
      <c r="HA541" s="243"/>
      <c r="HB541" s="243"/>
      <c r="HC541" s="243"/>
      <c r="HD541" s="243"/>
      <c r="HE541" s="243"/>
      <c r="HF541" s="243"/>
      <c r="HG541" s="243"/>
      <c r="HH541" s="243"/>
      <c r="HI541" s="243"/>
      <c r="HJ541" s="243"/>
      <c r="HK541" s="243"/>
      <c r="HL541" s="243"/>
      <c r="HM541" s="243"/>
      <c r="HN541" s="243"/>
      <c r="HO541" s="243"/>
      <c r="HP541" s="243"/>
      <c r="HQ541" s="243"/>
      <c r="HR541" s="243"/>
      <c r="HS541" s="243"/>
      <c r="HT541" s="243"/>
      <c r="HU541" s="243"/>
      <c r="HV541" s="243"/>
      <c r="HW541" s="243"/>
      <c r="HX541" s="243"/>
      <c r="HY541" s="243"/>
      <c r="HZ541" s="243"/>
      <c r="IA541" s="243"/>
      <c r="IB541" s="243"/>
      <c r="IC541" s="243"/>
      <c r="ID541" s="243"/>
      <c r="IE541" s="243"/>
      <c r="IF541" s="243"/>
      <c r="IG541" s="243"/>
      <c r="IH541" s="243"/>
      <c r="II541" s="243"/>
      <c r="IJ541" s="243"/>
      <c r="IK541" s="243"/>
      <c r="IL541" s="243"/>
      <c r="IM541" s="243"/>
      <c r="IN541" s="243"/>
      <c r="IO541" s="243"/>
      <c r="IP541" s="243"/>
      <c r="IQ541" s="243"/>
      <c r="IR541" s="243"/>
      <c r="IS541" s="243"/>
      <c r="IT541" s="243"/>
      <c r="IU541" s="243"/>
      <c r="IV541" s="243"/>
      <c r="IW541" s="243"/>
      <c r="IX541" s="243"/>
      <c r="IY541" s="243"/>
      <c r="IZ541" s="243"/>
      <c r="JA541" s="243"/>
      <c r="JB541" s="243"/>
      <c r="JC541" s="243"/>
      <c r="JD541" s="243"/>
      <c r="JE541" s="243"/>
      <c r="JF541" s="243"/>
      <c r="JG541" s="243"/>
      <c r="JH541" s="243"/>
      <c r="JI541" s="243"/>
      <c r="JJ541" s="243"/>
      <c r="JK541" s="243"/>
      <c r="JL541" s="243"/>
      <c r="JM541" s="243"/>
      <c r="JN541" s="243"/>
      <c r="JO541" s="243"/>
      <c r="JP541" s="243"/>
      <c r="JQ541" s="243"/>
      <c r="JR541" s="243"/>
      <c r="JS541" s="243"/>
      <c r="JT541" s="243"/>
      <c r="JU541" s="243"/>
      <c r="JV541" s="243"/>
      <c r="JW541" s="243"/>
      <c r="JX541" s="243"/>
      <c r="JY541" s="243"/>
      <c r="JZ541" s="243"/>
      <c r="KA541" s="243"/>
      <c r="KB541" s="243"/>
      <c r="KC541" s="243"/>
      <c r="KD541" s="243"/>
      <c r="KE541" s="243"/>
      <c r="KF541" s="243"/>
      <c r="KG541" s="243"/>
      <c r="KH541" s="243"/>
      <c r="KI541" s="243"/>
      <c r="KJ541" s="243"/>
      <c r="KK541" s="243"/>
      <c r="KL541" s="243"/>
      <c r="KM541" s="243"/>
      <c r="KN541" s="243"/>
      <c r="KO541" s="243"/>
      <c r="KP541" s="243"/>
      <c r="KQ541" s="243"/>
      <c r="KR541" s="243"/>
      <c r="KS541" s="243"/>
      <c r="KT541" s="243"/>
      <c r="KU541" s="243"/>
      <c r="KV541" s="243"/>
      <c r="KW541" s="243"/>
      <c r="KX541" s="243"/>
      <c r="KY541" s="243"/>
      <c r="KZ541" s="243"/>
      <c r="LA541" s="243"/>
      <c r="LB541" s="243"/>
      <c r="LC541" s="243"/>
      <c r="LD541" s="243"/>
      <c r="LE541" s="243"/>
      <c r="LF541" s="243"/>
      <c r="LG541" s="243"/>
      <c r="LH541" s="243"/>
      <c r="LI541" s="243"/>
      <c r="LJ541" s="243"/>
      <c r="LK541" s="243"/>
      <c r="LL541" s="243"/>
      <c r="LM541" s="243"/>
      <c r="LN541" s="243"/>
      <c r="LO541" s="243"/>
      <c r="LP541" s="243"/>
      <c r="LQ541" s="243"/>
      <c r="LR541" s="243"/>
      <c r="LS541" s="243"/>
      <c r="LT541" s="243"/>
      <c r="LU541" s="243"/>
      <c r="LV541" s="243"/>
      <c r="LW541" s="243"/>
      <c r="LX541" s="243"/>
      <c r="LY541" s="243"/>
      <c r="LZ541" s="243"/>
      <c r="MA541" s="243"/>
      <c r="MB541" s="243"/>
      <c r="MC541" s="243"/>
      <c r="MD541" s="243"/>
      <c r="ME541" s="243"/>
      <c r="MF541" s="243"/>
      <c r="MG541" s="243"/>
      <c r="MH541" s="243"/>
      <c r="MI541" s="243"/>
      <c r="MJ541" s="243"/>
      <c r="MK541" s="243"/>
      <c r="ML541" s="243"/>
      <c r="MM541" s="243"/>
      <c r="MN541" s="243"/>
      <c r="MO541" s="243"/>
      <c r="MP541" s="243"/>
      <c r="MQ541" s="243"/>
      <c r="MR541" s="243"/>
      <c r="MS541" s="243"/>
      <c r="MT541" s="243"/>
      <c r="MU541" s="243"/>
      <c r="MV541" s="243"/>
      <c r="MW541" s="243"/>
      <c r="MX541" s="243"/>
      <c r="MY541" s="243"/>
      <c r="MZ541" s="243"/>
      <c r="NA541" s="243"/>
      <c r="NB541" s="243"/>
      <c r="NC541" s="243"/>
      <c r="ND541" s="243"/>
      <c r="NE541" s="243"/>
      <c r="NF541" s="243"/>
      <c r="NG541" s="243"/>
      <c r="NH541" s="243"/>
      <c r="NI541" s="243"/>
      <c r="NJ541" s="243"/>
      <c r="NK541" s="243"/>
      <c r="NL541" s="243"/>
      <c r="NM541" s="243"/>
      <c r="NN541" s="243"/>
      <c r="NO541" s="243"/>
      <c r="NP541" s="243"/>
      <c r="NQ541" s="243"/>
      <c r="NR541" s="243"/>
      <c r="NS541" s="243"/>
      <c r="NT541" s="243"/>
      <c r="NU541" s="243"/>
      <c r="NV541" s="243"/>
      <c r="NW541" s="243"/>
      <c r="NX541" s="243"/>
      <c r="NY541" s="243"/>
      <c r="NZ541" s="243"/>
      <c r="OA541" s="243"/>
      <c r="OB541" s="243"/>
      <c r="OC541" s="243"/>
      <c r="OD541" s="243"/>
      <c r="OE541" s="243"/>
      <c r="OF541" s="243"/>
      <c r="OG541" s="243"/>
      <c r="OH541" s="243"/>
      <c r="OI541" s="243"/>
      <c r="OJ541" s="243"/>
      <c r="OK541" s="243"/>
      <c r="OL541" s="243"/>
      <c r="OM541" s="243"/>
      <c r="ON541" s="243"/>
      <c r="OO541" s="243"/>
      <c r="OP541" s="243"/>
      <c r="OQ541" s="243"/>
      <c r="OR541" s="243"/>
      <c r="OS541" s="243"/>
      <c r="OT541" s="243"/>
      <c r="OU541" s="243"/>
      <c r="OV541" s="243"/>
      <c r="OW541" s="243"/>
      <c r="OX541" s="243"/>
      <c r="OY541" s="243"/>
      <c r="OZ541" s="243"/>
      <c r="PA541" s="243"/>
      <c r="PB541" s="243"/>
      <c r="PC541" s="243"/>
      <c r="PD541" s="243"/>
      <c r="PE541" s="243"/>
      <c r="PF541" s="243"/>
      <c r="PG541" s="243"/>
      <c r="PH541" s="243"/>
      <c r="PI541" s="243"/>
      <c r="PJ541" s="243"/>
      <c r="PK541" s="243"/>
      <c r="PL541" s="243"/>
      <c r="PM541" s="243"/>
      <c r="PN541" s="243"/>
      <c r="PO541" s="243"/>
      <c r="PP541" s="243"/>
      <c r="PQ541" s="243"/>
      <c r="PR541" s="243"/>
      <c r="PS541" s="243"/>
      <c r="PT541" s="243"/>
      <c r="PU541" s="243"/>
      <c r="PV541" s="243"/>
      <c r="PW541" s="243"/>
      <c r="PX541" s="243"/>
      <c r="PY541" s="243"/>
      <c r="PZ541" s="243"/>
      <c r="QA541" s="243"/>
      <c r="QB541" s="243"/>
      <c r="QC541" s="243"/>
      <c r="QD541" s="243"/>
      <c r="QE541" s="243"/>
      <c r="QF541" s="243"/>
      <c r="QG541" s="243"/>
      <c r="QH541" s="243"/>
      <c r="QI541" s="243"/>
      <c r="QJ541" s="243"/>
      <c r="QK541" s="243"/>
      <c r="QL541" s="243"/>
      <c r="QM541" s="243"/>
      <c r="QN541" s="243"/>
      <c r="QO541" s="243"/>
      <c r="QP541" s="243"/>
      <c r="QQ541" s="243"/>
      <c r="QR541" s="243"/>
      <c r="QS541" s="243"/>
      <c r="QT541" s="243"/>
      <c r="QU541" s="243"/>
      <c r="QV541" s="243"/>
      <c r="QW541" s="243"/>
      <c r="QX541" s="243"/>
      <c r="QY541" s="243"/>
      <c r="QZ541" s="243"/>
      <c r="RA541" s="243"/>
      <c r="RB541" s="243"/>
      <c r="RC541" s="243"/>
      <c r="RD541" s="243"/>
      <c r="RE541" s="243"/>
      <c r="RF541" s="243"/>
      <c r="RG541" s="243"/>
      <c r="RH541" s="243"/>
      <c r="RI541" s="243"/>
      <c r="RJ541" s="243"/>
      <c r="RK541" s="243"/>
      <c r="RL541" s="243"/>
      <c r="RM541" s="243"/>
      <c r="RN541" s="243"/>
      <c r="RO541" s="243"/>
      <c r="RP541" s="243"/>
      <c r="RQ541" s="243"/>
      <c r="RR541" s="243"/>
      <c r="RS541" s="243"/>
      <c r="RT541" s="243"/>
      <c r="RU541" s="243"/>
      <c r="RV541" s="243"/>
      <c r="RW541" s="243"/>
      <c r="RX541" s="243"/>
      <c r="RY541" s="243"/>
      <c r="RZ541" s="243"/>
      <c r="SA541" s="243"/>
      <c r="SB541" s="243"/>
      <c r="SC541" s="243"/>
      <c r="SD541" s="243"/>
      <c r="SE541" s="243"/>
      <c r="SF541" s="243"/>
      <c r="SG541" s="243"/>
      <c r="SH541" s="243"/>
      <c r="SI541" s="243"/>
      <c r="SJ541" s="243"/>
      <c r="SK541" s="243"/>
      <c r="SL541" s="243"/>
      <c r="SM541" s="243"/>
      <c r="SN541" s="243"/>
      <c r="SO541" s="243"/>
      <c r="SP541" s="243"/>
      <c r="SQ541" s="243"/>
      <c r="SR541" s="243"/>
      <c r="SS541" s="243"/>
      <c r="ST541" s="243"/>
      <c r="SU541" s="243"/>
      <c r="SV541" s="243"/>
      <c r="SW541" s="243"/>
      <c r="SX541" s="243"/>
      <c r="SY541" s="243"/>
      <c r="SZ541" s="243"/>
      <c r="TA541" s="243"/>
      <c r="TB541" s="243"/>
      <c r="TC541" s="243"/>
      <c r="TD541" s="243"/>
      <c r="TE541" s="243"/>
      <c r="TF541" s="243"/>
      <c r="TG541" s="243"/>
      <c r="TH541" s="243"/>
      <c r="TI541" s="243"/>
      <c r="TJ541" s="243"/>
      <c r="TK541" s="243"/>
      <c r="TL541" s="243"/>
      <c r="TM541" s="243"/>
      <c r="TN541" s="243"/>
      <c r="TO541" s="243"/>
      <c r="TP541" s="243"/>
      <c r="TQ541" s="243"/>
      <c r="TR541" s="243"/>
      <c r="TS541" s="243"/>
      <c r="TT541" s="243"/>
      <c r="TU541" s="243"/>
      <c r="TV541" s="243"/>
      <c r="TW541" s="243"/>
      <c r="TX541" s="243"/>
      <c r="TY541" s="243"/>
      <c r="TZ541" s="243"/>
      <c r="UA541" s="243"/>
      <c r="UB541" s="243"/>
      <c r="UC541" s="243"/>
      <c r="UD541" s="243"/>
      <c r="UE541" s="243"/>
      <c r="UF541" s="243"/>
      <c r="UG541" s="243"/>
      <c r="UH541" s="243"/>
      <c r="UI541" s="243"/>
      <c r="UJ541" s="243"/>
      <c r="UK541" s="243"/>
      <c r="UL541" s="243"/>
      <c r="UM541" s="243"/>
      <c r="UN541" s="243"/>
      <c r="UO541" s="243"/>
      <c r="UP541" s="243"/>
      <c r="UQ541" s="243"/>
      <c r="UR541" s="243"/>
      <c r="US541" s="243"/>
      <c r="UT541" s="243"/>
      <c r="UU541" s="243"/>
      <c r="UV541" s="243"/>
      <c r="UW541" s="243"/>
      <c r="UX541" s="243"/>
      <c r="UY541" s="243"/>
      <c r="UZ541" s="243"/>
      <c r="VA541" s="243"/>
      <c r="VB541" s="243"/>
      <c r="VC541" s="243"/>
      <c r="VD541" s="243"/>
      <c r="VE541" s="243"/>
      <c r="VF541" s="243"/>
      <c r="VG541" s="243"/>
      <c r="VH541" s="243"/>
      <c r="VI541" s="243"/>
      <c r="VJ541" s="243"/>
      <c r="VK541" s="243"/>
      <c r="VL541" s="243"/>
      <c r="VM541" s="243"/>
      <c r="VN541" s="243"/>
      <c r="VO541" s="243"/>
      <c r="VP541" s="243"/>
      <c r="VQ541" s="243"/>
      <c r="VR541" s="243"/>
      <c r="VS541" s="243"/>
      <c r="VT541" s="243"/>
      <c r="VU541" s="243"/>
      <c r="VV541" s="243"/>
      <c r="VW541" s="243"/>
      <c r="VX541" s="243"/>
      <c r="VY541" s="243"/>
      <c r="VZ541" s="243"/>
      <c r="WA541" s="243"/>
      <c r="WB541" s="243"/>
      <c r="WC541" s="243"/>
      <c r="WD541" s="243"/>
      <c r="WE541" s="243"/>
      <c r="WF541" s="243"/>
      <c r="WG541" s="243"/>
      <c r="WH541" s="243"/>
      <c r="WI541" s="243"/>
      <c r="WJ541" s="243"/>
      <c r="WK541" s="243"/>
      <c r="WL541" s="243"/>
      <c r="WM541" s="243"/>
      <c r="WN541" s="243"/>
      <c r="WO541" s="243"/>
      <c r="WP541" s="243"/>
      <c r="WQ541" s="243"/>
      <c r="WR541" s="243"/>
      <c r="WS541" s="243"/>
      <c r="WT541" s="243"/>
      <c r="WU541" s="243"/>
      <c r="WV541" s="243"/>
      <c r="WW541" s="243"/>
      <c r="WX541" s="243"/>
      <c r="WY541" s="243"/>
      <c r="WZ541" s="243"/>
      <c r="XA541" s="243"/>
      <c r="XB541" s="243"/>
      <c r="XC541" s="243"/>
      <c r="XD541" s="243"/>
      <c r="XE541" s="243"/>
      <c r="XF541" s="243"/>
      <c r="XG541" s="243"/>
      <c r="XH541" s="243"/>
      <c r="XI541" s="243"/>
      <c r="XJ541" s="243"/>
      <c r="XK541" s="243"/>
      <c r="XL541" s="243"/>
      <c r="XM541" s="243"/>
      <c r="XN541" s="243"/>
      <c r="XO541" s="243"/>
      <c r="XP541" s="243"/>
      <c r="XQ541" s="243"/>
      <c r="XR541" s="243"/>
      <c r="XS541" s="243"/>
      <c r="XT541" s="243"/>
      <c r="XU541" s="243"/>
      <c r="XV541" s="243"/>
      <c r="XW541" s="243"/>
      <c r="XX541" s="243"/>
      <c r="XY541" s="243"/>
      <c r="XZ541" s="243"/>
      <c r="YA541" s="243"/>
      <c r="YB541" s="243"/>
      <c r="YC541" s="243"/>
      <c r="YD541" s="243"/>
      <c r="YE541" s="243"/>
      <c r="YF541" s="243"/>
      <c r="YG541" s="243"/>
      <c r="YH541" s="243"/>
      <c r="YI541" s="243"/>
      <c r="YJ541" s="243"/>
      <c r="YK541" s="243"/>
      <c r="YL541" s="243"/>
      <c r="YM541" s="243"/>
      <c r="YN541" s="243"/>
      <c r="YO541" s="243"/>
      <c r="YP541" s="243"/>
      <c r="YQ541" s="243"/>
      <c r="YR541" s="243"/>
      <c r="YS541" s="243"/>
      <c r="YT541" s="243"/>
      <c r="YU541" s="243"/>
      <c r="YV541" s="243"/>
      <c r="YW541" s="243"/>
      <c r="YX541" s="243"/>
      <c r="YY541" s="243"/>
      <c r="YZ541" s="243"/>
      <c r="ZA541" s="243"/>
      <c r="ZB541" s="243"/>
      <c r="ZC541" s="243"/>
      <c r="ZD541" s="243"/>
      <c r="ZE541" s="243"/>
      <c r="ZF541" s="243"/>
      <c r="ZG541" s="243"/>
      <c r="ZH541" s="243"/>
      <c r="ZI541" s="243"/>
      <c r="ZJ541" s="243"/>
      <c r="ZK541" s="243"/>
      <c r="ZL541" s="243"/>
      <c r="ZM541" s="243"/>
      <c r="ZN541" s="243"/>
      <c r="ZO541" s="243"/>
      <c r="ZP541" s="243"/>
      <c r="ZQ541" s="243"/>
      <c r="ZR541" s="243"/>
      <c r="ZS541" s="243"/>
      <c r="ZT541" s="243"/>
      <c r="ZU541" s="243"/>
      <c r="ZV541" s="243"/>
      <c r="ZW541" s="243"/>
      <c r="ZX541" s="243"/>
      <c r="ZY541" s="243"/>
      <c r="ZZ541" s="243"/>
      <c r="AAA541" s="243"/>
      <c r="AAB541" s="243"/>
      <c r="AAC541" s="243"/>
      <c r="AAD541" s="243"/>
      <c r="AAE541" s="243"/>
      <c r="AAF541" s="243"/>
      <c r="AAG541" s="243"/>
      <c r="AAH541" s="243"/>
      <c r="AAI541" s="243"/>
      <c r="AAJ541" s="243"/>
      <c r="AAK541" s="243"/>
      <c r="AAL541" s="243"/>
      <c r="AAM541" s="243"/>
      <c r="AAN541" s="243"/>
      <c r="AAO541" s="243"/>
      <c r="AAP541" s="243"/>
      <c r="AAQ541" s="243"/>
      <c r="AAR541" s="243"/>
      <c r="AAS541" s="243"/>
      <c r="AAT541" s="243"/>
      <c r="AAU541" s="243"/>
      <c r="AAV541" s="243"/>
      <c r="AAW541" s="243"/>
      <c r="AAX541" s="243"/>
      <c r="AAY541" s="243"/>
      <c r="AAZ541" s="243"/>
      <c r="ABA541" s="243"/>
      <c r="ABB541" s="243"/>
      <c r="ABC541" s="243"/>
      <c r="ABD541" s="243"/>
      <c r="ABE541" s="243"/>
      <c r="ABF541" s="243"/>
      <c r="ABG541" s="243"/>
      <c r="ABH541" s="243"/>
      <c r="ABI541" s="243"/>
      <c r="ABJ541" s="243"/>
      <c r="ABK541" s="243"/>
      <c r="ABL541" s="243"/>
      <c r="ABM541" s="243"/>
      <c r="ABN541" s="243"/>
      <c r="ABO541" s="243"/>
      <c r="ABP541" s="243"/>
      <c r="ABQ541" s="243"/>
      <c r="ABR541" s="243"/>
      <c r="ABS541" s="243"/>
      <c r="ABT541" s="243"/>
      <c r="ABU541" s="243"/>
      <c r="ABV541" s="243"/>
      <c r="ABW541" s="243"/>
      <c r="ABX541" s="243"/>
      <c r="ABY541" s="243"/>
      <c r="ABZ541" s="243"/>
      <c r="ACA541" s="243"/>
      <c r="ACB541" s="243"/>
      <c r="ACC541" s="243"/>
      <c r="ACD541" s="243"/>
      <c r="ACE541" s="243"/>
      <c r="ACF541" s="243"/>
      <c r="ACG541" s="243"/>
      <c r="ACH541" s="243"/>
      <c r="ACI541" s="243"/>
      <c r="ACJ541" s="243"/>
      <c r="ACK541" s="243"/>
      <c r="ACL541" s="243"/>
      <c r="ACM541" s="243"/>
      <c r="ACN541" s="243"/>
      <c r="ACO541" s="243"/>
      <c r="ACP541" s="243"/>
      <c r="ACQ541" s="243"/>
      <c r="ACR541" s="243"/>
      <c r="ACS541" s="243"/>
      <c r="ACT541" s="243"/>
      <c r="ACU541" s="243"/>
      <c r="ACV541" s="243"/>
      <c r="ACW541" s="243"/>
      <c r="ACX541" s="243"/>
      <c r="ACY541" s="243"/>
      <c r="ACZ541" s="243"/>
      <c r="ADA541" s="243"/>
      <c r="ADB541" s="243"/>
      <c r="ADC541" s="243"/>
      <c r="ADD541" s="243"/>
      <c r="ADE541" s="243"/>
      <c r="ADF541" s="243"/>
      <c r="ADG541" s="243"/>
      <c r="ADH541" s="243"/>
      <c r="ADI541" s="243"/>
      <c r="ADJ541" s="243"/>
      <c r="ADK541" s="243"/>
      <c r="ADL541" s="243"/>
      <c r="ADM541" s="243"/>
      <c r="ADN541" s="243"/>
      <c r="ADO541" s="243"/>
      <c r="ADP541" s="243"/>
      <c r="ADQ541" s="243"/>
      <c r="ADR541" s="243"/>
      <c r="ADS541" s="243"/>
      <c r="ADT541" s="243"/>
      <c r="ADU541" s="243"/>
      <c r="ADV541" s="243"/>
      <c r="ADW541" s="243"/>
      <c r="ADX541" s="243"/>
      <c r="ADY541" s="243"/>
      <c r="ADZ541" s="243"/>
      <c r="AEA541" s="243"/>
      <c r="AEB541" s="243"/>
      <c r="AEC541" s="243"/>
      <c r="AED541" s="243"/>
      <c r="AEE541" s="243"/>
      <c r="AEF541" s="243"/>
      <c r="AEG541" s="243"/>
      <c r="AEH541" s="243"/>
      <c r="AEI541" s="243"/>
      <c r="AEJ541" s="243"/>
      <c r="AEK541" s="243"/>
      <c r="AEL541" s="243"/>
      <c r="AEM541" s="243"/>
      <c r="AEN541" s="243"/>
      <c r="AEO541" s="243"/>
      <c r="AEP541" s="243"/>
      <c r="AEQ541" s="243"/>
      <c r="AER541" s="243"/>
      <c r="AES541" s="243"/>
      <c r="AET541" s="243"/>
      <c r="AEU541" s="243"/>
      <c r="AEV541" s="243"/>
      <c r="AEW541" s="243"/>
      <c r="AEX541" s="243"/>
      <c r="AEY541" s="243"/>
      <c r="AEZ541" s="243"/>
      <c r="AFA541" s="243"/>
      <c r="AFB541" s="243"/>
      <c r="AFC541" s="243"/>
      <c r="AFD541" s="243"/>
      <c r="AFE541" s="243"/>
      <c r="AFF541" s="243"/>
      <c r="AFG541" s="243"/>
      <c r="AFH541" s="243"/>
      <c r="AFI541" s="243"/>
      <c r="AFJ541" s="243"/>
      <c r="AFK541" s="243"/>
      <c r="AFL541" s="243"/>
      <c r="AFM541" s="243"/>
      <c r="AFN541" s="243"/>
      <c r="AFO541" s="243"/>
      <c r="AFP541" s="243"/>
      <c r="AFQ541" s="243"/>
      <c r="AFR541" s="243"/>
      <c r="AFS541" s="243"/>
      <c r="AFT541" s="243"/>
      <c r="AFU541" s="243"/>
      <c r="AFV541" s="243"/>
      <c r="AFW541" s="243"/>
      <c r="AFX541" s="243"/>
      <c r="AFY541" s="243"/>
      <c r="AFZ541" s="243"/>
      <c r="AGA541" s="243"/>
      <c r="AGB541" s="243"/>
      <c r="AGC541" s="243"/>
      <c r="AGD541" s="243"/>
      <c r="AGE541" s="243"/>
      <c r="AGF541" s="243"/>
      <c r="AGG541" s="243"/>
      <c r="AGH541" s="243"/>
      <c r="AGI541" s="243"/>
      <c r="AGJ541" s="243"/>
      <c r="AGK541" s="243"/>
      <c r="AGL541" s="243"/>
      <c r="AGM541" s="243"/>
      <c r="AGN541" s="243"/>
      <c r="AGO541" s="243"/>
      <c r="AGP541" s="243"/>
      <c r="AGQ541" s="243"/>
      <c r="AGR541" s="243"/>
      <c r="AGS541" s="243"/>
      <c r="AGT541" s="243"/>
      <c r="AGU541" s="243"/>
      <c r="AGV541" s="243"/>
      <c r="AGW541" s="243"/>
      <c r="AGX541" s="243"/>
      <c r="AGY541" s="243"/>
      <c r="AGZ541" s="243"/>
      <c r="AHA541" s="243"/>
      <c r="AHB541" s="243"/>
      <c r="AHC541" s="243"/>
      <c r="AHD541" s="243"/>
      <c r="AHE541" s="243"/>
      <c r="AHF541" s="243"/>
      <c r="AHG541" s="243"/>
      <c r="AHH541" s="243"/>
      <c r="AHI541" s="243"/>
      <c r="AHJ541" s="243"/>
      <c r="AHK541" s="243"/>
      <c r="AHL541" s="243"/>
      <c r="AHM541" s="243"/>
      <c r="AHN541" s="243"/>
      <c r="AHO541" s="243"/>
      <c r="AHP541" s="243"/>
      <c r="AHQ541" s="243"/>
      <c r="AHR541" s="243"/>
      <c r="AHS541" s="243"/>
      <c r="AHT541" s="243"/>
      <c r="AHU541" s="243"/>
      <c r="AHV541" s="243"/>
      <c r="AHW541" s="243"/>
      <c r="AHX541" s="243"/>
      <c r="AHY541" s="243"/>
      <c r="AHZ541" s="243"/>
      <c r="AIA541" s="243"/>
      <c r="AIB541" s="243"/>
      <c r="AIC541" s="243"/>
      <c r="AID541" s="243"/>
      <c r="AIE541" s="243"/>
      <c r="AIF541" s="243"/>
      <c r="AIG541" s="243"/>
      <c r="AIH541" s="243"/>
      <c r="AII541" s="243"/>
      <c r="AIJ541" s="243"/>
      <c r="AIK541" s="243"/>
      <c r="AIL541" s="243"/>
      <c r="AIM541" s="243"/>
      <c r="AIN541" s="243"/>
      <c r="AIO541" s="243"/>
      <c r="AIP541" s="243"/>
      <c r="AIQ541" s="243"/>
      <c r="AIR541" s="243"/>
      <c r="AIS541" s="243"/>
      <c r="AIT541" s="243"/>
      <c r="AIU541" s="243"/>
      <c r="AIV541" s="243"/>
      <c r="AIW541" s="243"/>
      <c r="AIX541" s="243"/>
      <c r="AIY541" s="243"/>
      <c r="AIZ541" s="243"/>
      <c r="AJA541" s="243"/>
      <c r="AJB541" s="243"/>
      <c r="AJC541" s="243"/>
      <c r="AJD541" s="243"/>
      <c r="AJE541" s="243"/>
      <c r="AJF541" s="243"/>
      <c r="AJG541" s="243"/>
      <c r="AJH541" s="243"/>
      <c r="AJI541" s="243"/>
      <c r="AJJ541" s="243"/>
      <c r="AJK541" s="243"/>
      <c r="AJL541" s="243"/>
      <c r="AJM541" s="243"/>
      <c r="AJN541" s="243"/>
      <c r="AJO541" s="243"/>
      <c r="AJP541" s="243"/>
      <c r="AJQ541" s="243"/>
      <c r="AJR541" s="243"/>
      <c r="AJS541" s="243"/>
      <c r="AJT541" s="243"/>
      <c r="AJU541" s="243"/>
      <c r="AJV541" s="243"/>
      <c r="AJW541" s="243"/>
      <c r="AJX541" s="243"/>
      <c r="AJY541" s="243"/>
      <c r="AJZ541" s="243"/>
      <c r="AKA541" s="243"/>
      <c r="AKB541" s="243"/>
      <c r="AKC541" s="243"/>
      <c r="AKD541" s="243"/>
      <c r="AKE541" s="243"/>
      <c r="AKF541" s="243"/>
      <c r="AKG541" s="243"/>
      <c r="AKH541" s="243"/>
      <c r="AKI541" s="243"/>
      <c r="AKJ541" s="243"/>
      <c r="AKK541" s="243"/>
      <c r="AKL541" s="243"/>
      <c r="AKM541" s="243"/>
      <c r="AKN541" s="243"/>
      <c r="AKO541" s="243"/>
      <c r="AKP541" s="243"/>
      <c r="AKQ541" s="243"/>
      <c r="AKR541" s="243"/>
      <c r="AKS541" s="243"/>
      <c r="AKT541" s="243"/>
      <c r="AKU541" s="243"/>
      <c r="AKV541" s="243"/>
      <c r="AKW541" s="243"/>
      <c r="AKX541" s="243"/>
      <c r="AKY541" s="243"/>
      <c r="AKZ541" s="243"/>
      <c r="ALA541" s="243"/>
      <c r="ALB541" s="243"/>
      <c r="ALC541" s="243"/>
      <c r="ALD541" s="243"/>
      <c r="ALE541" s="243"/>
      <c r="ALF541" s="243"/>
      <c r="ALG541" s="243"/>
      <c r="ALH541" s="243"/>
      <c r="ALI541" s="243"/>
      <c r="ALJ541" s="243"/>
      <c r="ALK541" s="243"/>
      <c r="ALL541" s="243"/>
      <c r="ALM541" s="243"/>
      <c r="ALN541" s="243"/>
      <c r="ALO541" s="243"/>
      <c r="ALP541" s="243"/>
      <c r="ALQ541" s="243"/>
      <c r="ALR541" s="243"/>
      <c r="ALS541" s="243"/>
      <c r="ALT541" s="243"/>
      <c r="ALU541" s="243"/>
      <c r="ALV541" s="243"/>
      <c r="ALW541" s="243"/>
      <c r="ALX541" s="243"/>
      <c r="ALY541" s="243"/>
      <c r="ALZ541" s="243"/>
      <c r="AMA541" s="243"/>
      <c r="AMB541" s="243"/>
      <c r="AMC541" s="243"/>
      <c r="AMD541" s="243"/>
      <c r="AME541" s="243"/>
      <c r="AMF541" s="243"/>
      <c r="AMG541" s="243"/>
      <c r="AMH541" s="243"/>
      <c r="AMI541" s="244"/>
      <c r="AMJ541" s="244"/>
    </row>
    <row r="542" spans="1:1024">
      <c r="A542" s="901"/>
      <c r="B542" s="551">
        <v>15301</v>
      </c>
      <c r="C542" s="690">
        <v>0.1</v>
      </c>
      <c r="D542" s="691" t="s">
        <v>340</v>
      </c>
      <c r="E542" s="620">
        <v>2300000</v>
      </c>
      <c r="F542" s="601">
        <v>0.06</v>
      </c>
      <c r="G542" s="364">
        <f t="shared" si="24"/>
        <v>138000</v>
      </c>
      <c r="H542" s="599" t="s">
        <v>123</v>
      </c>
      <c r="I542" s="604"/>
      <c r="J542" s="604"/>
      <c r="K542" s="732"/>
      <c r="L542" s="777"/>
      <c r="M542" s="625"/>
      <c r="N542" s="607"/>
      <c r="O542" s="778"/>
      <c r="P542" s="607"/>
      <c r="Q542" s="716"/>
      <c r="R542" s="243"/>
      <c r="S542" s="243"/>
      <c r="T542" s="243"/>
      <c r="U542" s="243"/>
      <c r="V542" s="243"/>
      <c r="W542" s="243"/>
      <c r="X542" s="243"/>
      <c r="Y542" s="243"/>
      <c r="Z542" s="243"/>
      <c r="AA542" s="243"/>
      <c r="AB542" s="243"/>
      <c r="AC542" s="243"/>
      <c r="AD542" s="243"/>
      <c r="AE542" s="243"/>
      <c r="AF542" s="243"/>
      <c r="AG542" s="243"/>
      <c r="AH542" s="243"/>
      <c r="AI542" s="243"/>
      <c r="AJ542" s="243"/>
      <c r="AK542" s="243"/>
      <c r="AL542" s="243"/>
      <c r="AM542" s="243"/>
      <c r="AN542" s="243"/>
      <c r="AO542" s="243"/>
      <c r="AP542" s="243"/>
      <c r="AQ542" s="243"/>
      <c r="AR542" s="243"/>
      <c r="AS542" s="243"/>
      <c r="AT542" s="243"/>
      <c r="AU542" s="243"/>
      <c r="AV542" s="243"/>
      <c r="AW542" s="243"/>
      <c r="AX542" s="243"/>
      <c r="AY542" s="243"/>
      <c r="AZ542" s="243"/>
      <c r="BA542" s="243"/>
      <c r="BB542" s="243"/>
      <c r="BC542" s="243"/>
      <c r="BD542" s="243"/>
      <c r="BE542" s="243"/>
      <c r="BF542" s="243"/>
      <c r="BG542" s="243"/>
      <c r="BH542" s="243"/>
      <c r="BI542" s="243"/>
      <c r="BJ542" s="243"/>
      <c r="BK542" s="243"/>
      <c r="BL542" s="243"/>
      <c r="BM542" s="243"/>
      <c r="BN542" s="243"/>
      <c r="BO542" s="243"/>
      <c r="BP542" s="243"/>
      <c r="BQ542" s="243"/>
      <c r="BR542" s="243"/>
      <c r="BS542" s="243"/>
      <c r="BT542" s="243"/>
      <c r="BU542" s="243"/>
      <c r="BV542" s="243"/>
      <c r="BW542" s="243"/>
      <c r="BX542" s="243"/>
      <c r="BY542" s="243"/>
      <c r="BZ542" s="243"/>
      <c r="CA542" s="243"/>
      <c r="CB542" s="243"/>
      <c r="CC542" s="243"/>
      <c r="CD542" s="243"/>
      <c r="CE542" s="243"/>
      <c r="CF542" s="243"/>
      <c r="CG542" s="243"/>
      <c r="CH542" s="243"/>
      <c r="CI542" s="243"/>
      <c r="CJ542" s="243"/>
      <c r="CK542" s="243"/>
      <c r="CL542" s="243"/>
      <c r="CM542" s="243"/>
      <c r="CN542" s="243"/>
      <c r="CO542" s="243"/>
      <c r="CP542" s="243"/>
      <c r="CQ542" s="243"/>
      <c r="CR542" s="243"/>
      <c r="CS542" s="243"/>
      <c r="CT542" s="243"/>
      <c r="CU542" s="243"/>
      <c r="CV542" s="243"/>
      <c r="CW542" s="243"/>
      <c r="CX542" s="243"/>
      <c r="CY542" s="243"/>
      <c r="CZ542" s="243"/>
      <c r="DA542" s="243"/>
      <c r="DB542" s="243"/>
      <c r="DC542" s="243"/>
      <c r="DD542" s="243"/>
      <c r="DE542" s="243"/>
      <c r="DF542" s="243"/>
      <c r="DG542" s="243"/>
      <c r="DH542" s="243"/>
      <c r="DI542" s="243"/>
      <c r="DJ542" s="243"/>
      <c r="DK542" s="243"/>
      <c r="DL542" s="243"/>
      <c r="DM542" s="243"/>
      <c r="DN542" s="243"/>
      <c r="DO542" s="243"/>
      <c r="DP542" s="243"/>
      <c r="DQ542" s="243"/>
      <c r="DR542" s="243"/>
      <c r="DS542" s="243"/>
      <c r="DT542" s="243"/>
      <c r="DU542" s="243"/>
      <c r="DV542" s="243"/>
      <c r="DW542" s="243"/>
      <c r="DX542" s="243"/>
      <c r="DY542" s="243"/>
      <c r="DZ542" s="243"/>
      <c r="EA542" s="243"/>
      <c r="EB542" s="243"/>
      <c r="EC542" s="243"/>
      <c r="ED542" s="243"/>
      <c r="EE542" s="243"/>
      <c r="EF542" s="243"/>
      <c r="EG542" s="243"/>
      <c r="EH542" s="243"/>
      <c r="EI542" s="243"/>
      <c r="EJ542" s="243"/>
      <c r="EK542" s="243"/>
      <c r="EL542" s="243"/>
      <c r="EM542" s="243"/>
      <c r="EN542" s="243"/>
      <c r="EO542" s="243"/>
      <c r="EP542" s="243"/>
      <c r="EQ542" s="243"/>
      <c r="ER542" s="243"/>
      <c r="ES542" s="243"/>
      <c r="ET542" s="243"/>
      <c r="EU542" s="243"/>
      <c r="EV542" s="243"/>
      <c r="EW542" s="243"/>
      <c r="EX542" s="243"/>
      <c r="EY542" s="243"/>
      <c r="EZ542" s="243"/>
      <c r="FA542" s="243"/>
      <c r="FB542" s="243"/>
      <c r="FC542" s="243"/>
      <c r="FD542" s="243"/>
      <c r="FE542" s="243"/>
      <c r="FF542" s="243"/>
      <c r="FG542" s="243"/>
      <c r="FH542" s="243"/>
      <c r="FI542" s="243"/>
      <c r="FJ542" s="243"/>
      <c r="FK542" s="243"/>
      <c r="FL542" s="243"/>
      <c r="FM542" s="243"/>
      <c r="FN542" s="243"/>
      <c r="FO542" s="243"/>
      <c r="FP542" s="243"/>
      <c r="FQ542" s="243"/>
      <c r="FR542" s="243"/>
      <c r="FS542" s="243"/>
      <c r="FT542" s="243"/>
      <c r="FU542" s="243"/>
      <c r="FV542" s="243"/>
      <c r="FW542" s="243"/>
      <c r="FX542" s="243"/>
      <c r="FY542" s="243"/>
      <c r="FZ542" s="243"/>
      <c r="GA542" s="243"/>
      <c r="GB542" s="243"/>
      <c r="GC542" s="243"/>
      <c r="GD542" s="243"/>
      <c r="GE542" s="243"/>
      <c r="GF542" s="243"/>
      <c r="GG542" s="243"/>
      <c r="GH542" s="243"/>
      <c r="GI542" s="243"/>
      <c r="GJ542" s="243"/>
      <c r="GK542" s="243"/>
      <c r="GL542" s="243"/>
      <c r="GM542" s="243"/>
      <c r="GN542" s="243"/>
      <c r="GO542" s="243"/>
      <c r="GP542" s="243"/>
      <c r="GQ542" s="243"/>
      <c r="GR542" s="243"/>
      <c r="GS542" s="243"/>
      <c r="GT542" s="243"/>
      <c r="GU542" s="243"/>
      <c r="GV542" s="243"/>
      <c r="GW542" s="243"/>
      <c r="GX542" s="243"/>
      <c r="GY542" s="243"/>
      <c r="GZ542" s="243"/>
      <c r="HA542" s="243"/>
      <c r="HB542" s="243"/>
      <c r="HC542" s="243"/>
      <c r="HD542" s="243"/>
      <c r="HE542" s="243"/>
      <c r="HF542" s="243"/>
      <c r="HG542" s="243"/>
      <c r="HH542" s="243"/>
      <c r="HI542" s="243"/>
      <c r="HJ542" s="243"/>
      <c r="HK542" s="243"/>
      <c r="HL542" s="243"/>
      <c r="HM542" s="243"/>
      <c r="HN542" s="243"/>
      <c r="HO542" s="243"/>
      <c r="HP542" s="243"/>
      <c r="HQ542" s="243"/>
      <c r="HR542" s="243"/>
      <c r="HS542" s="243"/>
      <c r="HT542" s="243"/>
      <c r="HU542" s="243"/>
      <c r="HV542" s="243"/>
      <c r="HW542" s="243"/>
      <c r="HX542" s="243"/>
      <c r="HY542" s="243"/>
      <c r="HZ542" s="243"/>
      <c r="IA542" s="243"/>
      <c r="IB542" s="243"/>
      <c r="IC542" s="243"/>
      <c r="ID542" s="243"/>
      <c r="IE542" s="243"/>
      <c r="IF542" s="243"/>
      <c r="IG542" s="243"/>
      <c r="IH542" s="243"/>
      <c r="II542" s="243"/>
      <c r="IJ542" s="243"/>
      <c r="IK542" s="243"/>
      <c r="IL542" s="243"/>
      <c r="IM542" s="243"/>
      <c r="IN542" s="243"/>
      <c r="IO542" s="243"/>
      <c r="IP542" s="243"/>
      <c r="IQ542" s="243"/>
      <c r="IR542" s="243"/>
      <c r="IS542" s="243"/>
      <c r="IT542" s="243"/>
      <c r="IU542" s="243"/>
      <c r="IV542" s="243"/>
      <c r="IW542" s="243"/>
      <c r="IX542" s="243"/>
      <c r="IY542" s="243"/>
      <c r="IZ542" s="243"/>
      <c r="JA542" s="243"/>
      <c r="JB542" s="243"/>
      <c r="JC542" s="243"/>
      <c r="JD542" s="243"/>
      <c r="JE542" s="243"/>
      <c r="JF542" s="243"/>
      <c r="JG542" s="243"/>
      <c r="JH542" s="243"/>
      <c r="JI542" s="243"/>
      <c r="JJ542" s="243"/>
      <c r="JK542" s="243"/>
      <c r="JL542" s="243"/>
      <c r="JM542" s="243"/>
      <c r="JN542" s="243"/>
      <c r="JO542" s="243"/>
      <c r="JP542" s="243"/>
      <c r="JQ542" s="243"/>
      <c r="JR542" s="243"/>
      <c r="JS542" s="243"/>
      <c r="JT542" s="243"/>
      <c r="JU542" s="243"/>
      <c r="JV542" s="243"/>
      <c r="JW542" s="243"/>
      <c r="JX542" s="243"/>
      <c r="JY542" s="243"/>
      <c r="JZ542" s="243"/>
      <c r="KA542" s="243"/>
      <c r="KB542" s="243"/>
      <c r="KC542" s="243"/>
      <c r="KD542" s="243"/>
      <c r="KE542" s="243"/>
      <c r="KF542" s="243"/>
      <c r="KG542" s="243"/>
      <c r="KH542" s="243"/>
      <c r="KI542" s="243"/>
      <c r="KJ542" s="243"/>
      <c r="KK542" s="243"/>
      <c r="KL542" s="243"/>
      <c r="KM542" s="243"/>
      <c r="KN542" s="243"/>
      <c r="KO542" s="243"/>
      <c r="KP542" s="243"/>
      <c r="KQ542" s="243"/>
      <c r="KR542" s="243"/>
      <c r="KS542" s="243"/>
      <c r="KT542" s="243"/>
      <c r="KU542" s="243"/>
      <c r="KV542" s="243"/>
      <c r="KW542" s="243"/>
      <c r="KX542" s="243"/>
      <c r="KY542" s="243"/>
      <c r="KZ542" s="243"/>
      <c r="LA542" s="243"/>
      <c r="LB542" s="243"/>
      <c r="LC542" s="243"/>
      <c r="LD542" s="243"/>
      <c r="LE542" s="243"/>
      <c r="LF542" s="243"/>
      <c r="LG542" s="243"/>
      <c r="LH542" s="243"/>
      <c r="LI542" s="243"/>
      <c r="LJ542" s="243"/>
      <c r="LK542" s="243"/>
      <c r="LL542" s="243"/>
      <c r="LM542" s="243"/>
      <c r="LN542" s="243"/>
      <c r="LO542" s="243"/>
      <c r="LP542" s="243"/>
      <c r="LQ542" s="243"/>
      <c r="LR542" s="243"/>
      <c r="LS542" s="243"/>
      <c r="LT542" s="243"/>
      <c r="LU542" s="243"/>
      <c r="LV542" s="243"/>
      <c r="LW542" s="243"/>
      <c r="LX542" s="243"/>
      <c r="LY542" s="243"/>
      <c r="LZ542" s="243"/>
      <c r="MA542" s="243"/>
      <c r="MB542" s="243"/>
      <c r="MC542" s="243"/>
      <c r="MD542" s="243"/>
      <c r="ME542" s="243"/>
      <c r="MF542" s="243"/>
      <c r="MG542" s="243"/>
      <c r="MH542" s="243"/>
      <c r="MI542" s="243"/>
      <c r="MJ542" s="243"/>
      <c r="MK542" s="243"/>
      <c r="ML542" s="243"/>
      <c r="MM542" s="243"/>
      <c r="MN542" s="243"/>
      <c r="MO542" s="243"/>
      <c r="MP542" s="243"/>
      <c r="MQ542" s="243"/>
      <c r="MR542" s="243"/>
      <c r="MS542" s="243"/>
      <c r="MT542" s="243"/>
      <c r="MU542" s="243"/>
      <c r="MV542" s="243"/>
      <c r="MW542" s="243"/>
      <c r="MX542" s="243"/>
      <c r="MY542" s="243"/>
      <c r="MZ542" s="243"/>
      <c r="NA542" s="243"/>
      <c r="NB542" s="243"/>
      <c r="NC542" s="243"/>
      <c r="ND542" s="243"/>
      <c r="NE542" s="243"/>
      <c r="NF542" s="243"/>
      <c r="NG542" s="243"/>
      <c r="NH542" s="243"/>
      <c r="NI542" s="243"/>
      <c r="NJ542" s="243"/>
      <c r="NK542" s="243"/>
      <c r="NL542" s="243"/>
      <c r="NM542" s="243"/>
      <c r="NN542" s="243"/>
      <c r="NO542" s="243"/>
      <c r="NP542" s="243"/>
      <c r="NQ542" s="243"/>
      <c r="NR542" s="243"/>
      <c r="NS542" s="243"/>
      <c r="NT542" s="243"/>
      <c r="NU542" s="243"/>
      <c r="NV542" s="243"/>
      <c r="NW542" s="243"/>
      <c r="NX542" s="243"/>
      <c r="NY542" s="243"/>
      <c r="NZ542" s="243"/>
      <c r="OA542" s="243"/>
      <c r="OB542" s="243"/>
      <c r="OC542" s="243"/>
      <c r="OD542" s="243"/>
      <c r="OE542" s="243"/>
      <c r="OF542" s="243"/>
      <c r="OG542" s="243"/>
      <c r="OH542" s="243"/>
      <c r="OI542" s="243"/>
      <c r="OJ542" s="243"/>
      <c r="OK542" s="243"/>
      <c r="OL542" s="243"/>
      <c r="OM542" s="243"/>
      <c r="ON542" s="243"/>
      <c r="OO542" s="243"/>
      <c r="OP542" s="243"/>
      <c r="OQ542" s="243"/>
      <c r="OR542" s="243"/>
      <c r="OS542" s="243"/>
      <c r="OT542" s="243"/>
      <c r="OU542" s="243"/>
      <c r="OV542" s="243"/>
      <c r="OW542" s="243"/>
      <c r="OX542" s="243"/>
      <c r="OY542" s="243"/>
      <c r="OZ542" s="243"/>
      <c r="PA542" s="243"/>
      <c r="PB542" s="243"/>
      <c r="PC542" s="243"/>
      <c r="PD542" s="243"/>
      <c r="PE542" s="243"/>
      <c r="PF542" s="243"/>
      <c r="PG542" s="243"/>
      <c r="PH542" s="243"/>
      <c r="PI542" s="243"/>
      <c r="PJ542" s="243"/>
      <c r="PK542" s="243"/>
      <c r="PL542" s="243"/>
      <c r="PM542" s="243"/>
      <c r="PN542" s="243"/>
      <c r="PO542" s="243"/>
      <c r="PP542" s="243"/>
      <c r="PQ542" s="243"/>
      <c r="PR542" s="243"/>
      <c r="PS542" s="243"/>
      <c r="PT542" s="243"/>
      <c r="PU542" s="243"/>
      <c r="PV542" s="243"/>
      <c r="PW542" s="243"/>
      <c r="PX542" s="243"/>
      <c r="PY542" s="243"/>
      <c r="PZ542" s="243"/>
      <c r="QA542" s="243"/>
      <c r="QB542" s="243"/>
      <c r="QC542" s="243"/>
      <c r="QD542" s="243"/>
      <c r="QE542" s="243"/>
      <c r="QF542" s="243"/>
      <c r="QG542" s="243"/>
      <c r="QH542" s="243"/>
      <c r="QI542" s="243"/>
      <c r="QJ542" s="243"/>
      <c r="QK542" s="243"/>
      <c r="QL542" s="243"/>
      <c r="QM542" s="243"/>
      <c r="QN542" s="243"/>
      <c r="QO542" s="243"/>
      <c r="QP542" s="243"/>
      <c r="QQ542" s="243"/>
      <c r="QR542" s="243"/>
      <c r="QS542" s="243"/>
      <c r="QT542" s="243"/>
      <c r="QU542" s="243"/>
      <c r="QV542" s="243"/>
      <c r="QW542" s="243"/>
      <c r="QX542" s="243"/>
      <c r="QY542" s="243"/>
      <c r="QZ542" s="243"/>
      <c r="RA542" s="243"/>
      <c r="RB542" s="243"/>
      <c r="RC542" s="243"/>
      <c r="RD542" s="243"/>
      <c r="RE542" s="243"/>
      <c r="RF542" s="243"/>
      <c r="RG542" s="243"/>
      <c r="RH542" s="243"/>
      <c r="RI542" s="243"/>
      <c r="RJ542" s="243"/>
      <c r="RK542" s="243"/>
      <c r="RL542" s="243"/>
      <c r="RM542" s="243"/>
      <c r="RN542" s="243"/>
      <c r="RO542" s="243"/>
      <c r="RP542" s="243"/>
      <c r="RQ542" s="243"/>
      <c r="RR542" s="243"/>
      <c r="RS542" s="243"/>
      <c r="RT542" s="243"/>
      <c r="RU542" s="243"/>
      <c r="RV542" s="243"/>
      <c r="RW542" s="243"/>
      <c r="RX542" s="243"/>
      <c r="RY542" s="243"/>
      <c r="RZ542" s="243"/>
      <c r="SA542" s="243"/>
      <c r="SB542" s="243"/>
      <c r="SC542" s="243"/>
      <c r="SD542" s="243"/>
      <c r="SE542" s="243"/>
      <c r="SF542" s="243"/>
      <c r="SG542" s="243"/>
      <c r="SH542" s="243"/>
      <c r="SI542" s="243"/>
      <c r="SJ542" s="243"/>
      <c r="SK542" s="243"/>
      <c r="SL542" s="243"/>
      <c r="SM542" s="243"/>
      <c r="SN542" s="243"/>
      <c r="SO542" s="243"/>
      <c r="SP542" s="243"/>
      <c r="SQ542" s="243"/>
      <c r="SR542" s="243"/>
      <c r="SS542" s="243"/>
      <c r="ST542" s="243"/>
      <c r="SU542" s="243"/>
      <c r="SV542" s="243"/>
      <c r="SW542" s="243"/>
      <c r="SX542" s="243"/>
      <c r="SY542" s="243"/>
      <c r="SZ542" s="243"/>
      <c r="TA542" s="243"/>
      <c r="TB542" s="243"/>
      <c r="TC542" s="243"/>
      <c r="TD542" s="243"/>
      <c r="TE542" s="243"/>
      <c r="TF542" s="243"/>
      <c r="TG542" s="243"/>
      <c r="TH542" s="243"/>
      <c r="TI542" s="243"/>
      <c r="TJ542" s="243"/>
      <c r="TK542" s="243"/>
      <c r="TL542" s="243"/>
      <c r="TM542" s="243"/>
      <c r="TN542" s="243"/>
      <c r="TO542" s="243"/>
      <c r="TP542" s="243"/>
      <c r="TQ542" s="243"/>
      <c r="TR542" s="243"/>
      <c r="TS542" s="243"/>
      <c r="TT542" s="243"/>
      <c r="TU542" s="243"/>
      <c r="TV542" s="243"/>
      <c r="TW542" s="243"/>
      <c r="TX542" s="243"/>
      <c r="TY542" s="243"/>
      <c r="TZ542" s="243"/>
      <c r="UA542" s="243"/>
      <c r="UB542" s="243"/>
      <c r="UC542" s="243"/>
      <c r="UD542" s="243"/>
      <c r="UE542" s="243"/>
      <c r="UF542" s="243"/>
      <c r="UG542" s="243"/>
      <c r="UH542" s="243"/>
      <c r="UI542" s="243"/>
      <c r="UJ542" s="243"/>
      <c r="UK542" s="243"/>
      <c r="UL542" s="243"/>
      <c r="UM542" s="243"/>
      <c r="UN542" s="243"/>
      <c r="UO542" s="243"/>
      <c r="UP542" s="243"/>
      <c r="UQ542" s="243"/>
      <c r="UR542" s="243"/>
      <c r="US542" s="243"/>
      <c r="UT542" s="243"/>
      <c r="UU542" s="243"/>
      <c r="UV542" s="243"/>
      <c r="UW542" s="243"/>
      <c r="UX542" s="243"/>
      <c r="UY542" s="243"/>
      <c r="UZ542" s="243"/>
      <c r="VA542" s="243"/>
      <c r="VB542" s="243"/>
      <c r="VC542" s="243"/>
      <c r="VD542" s="243"/>
      <c r="VE542" s="243"/>
      <c r="VF542" s="243"/>
      <c r="VG542" s="243"/>
      <c r="VH542" s="243"/>
      <c r="VI542" s="243"/>
      <c r="VJ542" s="243"/>
      <c r="VK542" s="243"/>
      <c r="VL542" s="243"/>
      <c r="VM542" s="243"/>
      <c r="VN542" s="243"/>
      <c r="VO542" s="243"/>
      <c r="VP542" s="243"/>
      <c r="VQ542" s="243"/>
      <c r="VR542" s="243"/>
      <c r="VS542" s="243"/>
      <c r="VT542" s="243"/>
      <c r="VU542" s="243"/>
      <c r="VV542" s="243"/>
      <c r="VW542" s="243"/>
      <c r="VX542" s="243"/>
      <c r="VY542" s="243"/>
      <c r="VZ542" s="243"/>
      <c r="WA542" s="243"/>
      <c r="WB542" s="243"/>
      <c r="WC542" s="243"/>
      <c r="WD542" s="243"/>
      <c r="WE542" s="243"/>
      <c r="WF542" s="243"/>
      <c r="WG542" s="243"/>
      <c r="WH542" s="243"/>
      <c r="WI542" s="243"/>
      <c r="WJ542" s="243"/>
      <c r="WK542" s="243"/>
      <c r="WL542" s="243"/>
      <c r="WM542" s="243"/>
      <c r="WN542" s="243"/>
      <c r="WO542" s="243"/>
      <c r="WP542" s="243"/>
      <c r="WQ542" s="243"/>
      <c r="WR542" s="243"/>
      <c r="WS542" s="243"/>
      <c r="WT542" s="243"/>
      <c r="WU542" s="243"/>
      <c r="WV542" s="243"/>
      <c r="WW542" s="243"/>
      <c r="WX542" s="243"/>
      <c r="WY542" s="243"/>
      <c r="WZ542" s="243"/>
      <c r="XA542" s="243"/>
      <c r="XB542" s="243"/>
      <c r="XC542" s="243"/>
      <c r="XD542" s="243"/>
      <c r="XE542" s="243"/>
      <c r="XF542" s="243"/>
      <c r="XG542" s="243"/>
      <c r="XH542" s="243"/>
      <c r="XI542" s="243"/>
      <c r="XJ542" s="243"/>
      <c r="XK542" s="243"/>
      <c r="XL542" s="243"/>
      <c r="XM542" s="243"/>
      <c r="XN542" s="243"/>
      <c r="XO542" s="243"/>
      <c r="XP542" s="243"/>
      <c r="XQ542" s="243"/>
      <c r="XR542" s="243"/>
      <c r="XS542" s="243"/>
      <c r="XT542" s="243"/>
      <c r="XU542" s="243"/>
      <c r="XV542" s="243"/>
      <c r="XW542" s="243"/>
      <c r="XX542" s="243"/>
      <c r="XY542" s="243"/>
      <c r="XZ542" s="243"/>
      <c r="YA542" s="243"/>
      <c r="YB542" s="243"/>
      <c r="YC542" s="243"/>
      <c r="YD542" s="243"/>
      <c r="YE542" s="243"/>
      <c r="YF542" s="243"/>
      <c r="YG542" s="243"/>
      <c r="YH542" s="243"/>
      <c r="YI542" s="243"/>
      <c r="YJ542" s="243"/>
      <c r="YK542" s="243"/>
      <c r="YL542" s="243"/>
      <c r="YM542" s="243"/>
      <c r="YN542" s="243"/>
      <c r="YO542" s="243"/>
      <c r="YP542" s="243"/>
      <c r="YQ542" s="243"/>
      <c r="YR542" s="243"/>
      <c r="YS542" s="243"/>
      <c r="YT542" s="243"/>
      <c r="YU542" s="243"/>
      <c r="YV542" s="243"/>
      <c r="YW542" s="243"/>
      <c r="YX542" s="243"/>
      <c r="YY542" s="243"/>
      <c r="YZ542" s="243"/>
      <c r="ZA542" s="243"/>
      <c r="ZB542" s="243"/>
      <c r="ZC542" s="243"/>
      <c r="ZD542" s="243"/>
      <c r="ZE542" s="243"/>
      <c r="ZF542" s="243"/>
      <c r="ZG542" s="243"/>
      <c r="ZH542" s="243"/>
      <c r="ZI542" s="243"/>
      <c r="ZJ542" s="243"/>
      <c r="ZK542" s="243"/>
      <c r="ZL542" s="243"/>
      <c r="ZM542" s="243"/>
      <c r="ZN542" s="243"/>
      <c r="ZO542" s="243"/>
      <c r="ZP542" s="243"/>
      <c r="ZQ542" s="243"/>
      <c r="ZR542" s="243"/>
      <c r="ZS542" s="243"/>
      <c r="ZT542" s="243"/>
      <c r="ZU542" s="243"/>
      <c r="ZV542" s="243"/>
      <c r="ZW542" s="243"/>
      <c r="ZX542" s="243"/>
      <c r="ZY542" s="243"/>
      <c r="ZZ542" s="243"/>
      <c r="AAA542" s="243"/>
      <c r="AAB542" s="243"/>
      <c r="AAC542" s="243"/>
      <c r="AAD542" s="243"/>
      <c r="AAE542" s="243"/>
      <c r="AAF542" s="243"/>
      <c r="AAG542" s="243"/>
      <c r="AAH542" s="243"/>
      <c r="AAI542" s="243"/>
      <c r="AAJ542" s="243"/>
      <c r="AAK542" s="243"/>
      <c r="AAL542" s="243"/>
      <c r="AAM542" s="243"/>
      <c r="AAN542" s="243"/>
      <c r="AAO542" s="243"/>
      <c r="AAP542" s="243"/>
      <c r="AAQ542" s="243"/>
      <c r="AAR542" s="243"/>
      <c r="AAS542" s="243"/>
      <c r="AAT542" s="243"/>
      <c r="AAU542" s="243"/>
      <c r="AAV542" s="243"/>
      <c r="AAW542" s="243"/>
      <c r="AAX542" s="243"/>
      <c r="AAY542" s="243"/>
      <c r="AAZ542" s="243"/>
      <c r="ABA542" s="243"/>
      <c r="ABB542" s="243"/>
      <c r="ABC542" s="243"/>
      <c r="ABD542" s="243"/>
      <c r="ABE542" s="243"/>
      <c r="ABF542" s="243"/>
      <c r="ABG542" s="243"/>
      <c r="ABH542" s="243"/>
      <c r="ABI542" s="243"/>
      <c r="ABJ542" s="243"/>
      <c r="ABK542" s="243"/>
      <c r="ABL542" s="243"/>
      <c r="ABM542" s="243"/>
      <c r="ABN542" s="243"/>
      <c r="ABO542" s="243"/>
      <c r="ABP542" s="243"/>
      <c r="ABQ542" s="243"/>
      <c r="ABR542" s="243"/>
      <c r="ABS542" s="243"/>
      <c r="ABT542" s="243"/>
      <c r="ABU542" s="243"/>
      <c r="ABV542" s="243"/>
      <c r="ABW542" s="243"/>
      <c r="ABX542" s="243"/>
      <c r="ABY542" s="243"/>
      <c r="ABZ542" s="243"/>
      <c r="ACA542" s="243"/>
      <c r="ACB542" s="243"/>
      <c r="ACC542" s="243"/>
      <c r="ACD542" s="243"/>
      <c r="ACE542" s="243"/>
      <c r="ACF542" s="243"/>
      <c r="ACG542" s="243"/>
      <c r="ACH542" s="243"/>
      <c r="ACI542" s="243"/>
      <c r="ACJ542" s="243"/>
      <c r="ACK542" s="243"/>
      <c r="ACL542" s="243"/>
      <c r="ACM542" s="243"/>
      <c r="ACN542" s="243"/>
      <c r="ACO542" s="243"/>
      <c r="ACP542" s="243"/>
      <c r="ACQ542" s="243"/>
      <c r="ACR542" s="243"/>
      <c r="ACS542" s="243"/>
      <c r="ACT542" s="243"/>
      <c r="ACU542" s="243"/>
      <c r="ACV542" s="243"/>
      <c r="ACW542" s="243"/>
      <c r="ACX542" s="243"/>
      <c r="ACY542" s="243"/>
      <c r="ACZ542" s="243"/>
      <c r="ADA542" s="243"/>
      <c r="ADB542" s="243"/>
      <c r="ADC542" s="243"/>
      <c r="ADD542" s="243"/>
      <c r="ADE542" s="243"/>
      <c r="ADF542" s="243"/>
      <c r="ADG542" s="243"/>
      <c r="ADH542" s="243"/>
      <c r="ADI542" s="243"/>
      <c r="ADJ542" s="243"/>
      <c r="ADK542" s="243"/>
      <c r="ADL542" s="243"/>
      <c r="ADM542" s="243"/>
      <c r="ADN542" s="243"/>
      <c r="ADO542" s="243"/>
      <c r="ADP542" s="243"/>
      <c r="ADQ542" s="243"/>
      <c r="ADR542" s="243"/>
      <c r="ADS542" s="243"/>
      <c r="ADT542" s="243"/>
      <c r="ADU542" s="243"/>
      <c r="ADV542" s="243"/>
      <c r="ADW542" s="243"/>
      <c r="ADX542" s="243"/>
      <c r="ADY542" s="243"/>
      <c r="ADZ542" s="243"/>
      <c r="AEA542" s="243"/>
      <c r="AEB542" s="243"/>
      <c r="AEC542" s="243"/>
      <c r="AED542" s="243"/>
      <c r="AEE542" s="243"/>
      <c r="AEF542" s="243"/>
      <c r="AEG542" s="243"/>
      <c r="AEH542" s="243"/>
      <c r="AEI542" s="243"/>
      <c r="AEJ542" s="243"/>
      <c r="AEK542" s="243"/>
      <c r="AEL542" s="243"/>
      <c r="AEM542" s="243"/>
      <c r="AEN542" s="243"/>
      <c r="AEO542" s="243"/>
      <c r="AEP542" s="243"/>
      <c r="AEQ542" s="243"/>
      <c r="AER542" s="243"/>
      <c r="AES542" s="243"/>
      <c r="AET542" s="243"/>
      <c r="AEU542" s="243"/>
      <c r="AEV542" s="243"/>
      <c r="AEW542" s="243"/>
      <c r="AEX542" s="243"/>
      <c r="AEY542" s="243"/>
      <c r="AEZ542" s="243"/>
      <c r="AFA542" s="243"/>
      <c r="AFB542" s="243"/>
      <c r="AFC542" s="243"/>
      <c r="AFD542" s="243"/>
      <c r="AFE542" s="243"/>
      <c r="AFF542" s="243"/>
      <c r="AFG542" s="243"/>
      <c r="AFH542" s="243"/>
      <c r="AFI542" s="243"/>
      <c r="AFJ542" s="243"/>
      <c r="AFK542" s="243"/>
      <c r="AFL542" s="243"/>
      <c r="AFM542" s="243"/>
      <c r="AFN542" s="243"/>
      <c r="AFO542" s="243"/>
      <c r="AFP542" s="243"/>
      <c r="AFQ542" s="243"/>
      <c r="AFR542" s="243"/>
      <c r="AFS542" s="243"/>
      <c r="AFT542" s="243"/>
      <c r="AFU542" s="243"/>
      <c r="AFV542" s="243"/>
      <c r="AFW542" s="243"/>
      <c r="AFX542" s="243"/>
      <c r="AFY542" s="243"/>
      <c r="AFZ542" s="243"/>
      <c r="AGA542" s="243"/>
      <c r="AGB542" s="243"/>
      <c r="AGC542" s="243"/>
      <c r="AGD542" s="243"/>
      <c r="AGE542" s="243"/>
      <c r="AGF542" s="243"/>
      <c r="AGG542" s="243"/>
      <c r="AGH542" s="243"/>
      <c r="AGI542" s="243"/>
      <c r="AGJ542" s="243"/>
      <c r="AGK542" s="243"/>
      <c r="AGL542" s="243"/>
      <c r="AGM542" s="243"/>
      <c r="AGN542" s="243"/>
      <c r="AGO542" s="243"/>
      <c r="AGP542" s="243"/>
      <c r="AGQ542" s="243"/>
      <c r="AGR542" s="243"/>
      <c r="AGS542" s="243"/>
      <c r="AGT542" s="243"/>
      <c r="AGU542" s="243"/>
      <c r="AGV542" s="243"/>
      <c r="AGW542" s="243"/>
      <c r="AGX542" s="243"/>
      <c r="AGY542" s="243"/>
      <c r="AGZ542" s="243"/>
      <c r="AHA542" s="243"/>
      <c r="AHB542" s="243"/>
      <c r="AHC542" s="243"/>
      <c r="AHD542" s="243"/>
      <c r="AHE542" s="243"/>
      <c r="AHF542" s="243"/>
      <c r="AHG542" s="243"/>
      <c r="AHH542" s="243"/>
      <c r="AHI542" s="243"/>
      <c r="AHJ542" s="243"/>
      <c r="AHK542" s="243"/>
      <c r="AHL542" s="243"/>
      <c r="AHM542" s="243"/>
      <c r="AHN542" s="243"/>
      <c r="AHO542" s="243"/>
      <c r="AHP542" s="243"/>
      <c r="AHQ542" s="243"/>
      <c r="AHR542" s="243"/>
      <c r="AHS542" s="243"/>
      <c r="AHT542" s="243"/>
      <c r="AHU542" s="243"/>
      <c r="AHV542" s="243"/>
      <c r="AHW542" s="243"/>
      <c r="AHX542" s="243"/>
      <c r="AHY542" s="243"/>
      <c r="AHZ542" s="243"/>
      <c r="AIA542" s="243"/>
      <c r="AIB542" s="243"/>
      <c r="AIC542" s="243"/>
      <c r="AID542" s="243"/>
      <c r="AIE542" s="243"/>
      <c r="AIF542" s="243"/>
      <c r="AIG542" s="243"/>
      <c r="AIH542" s="243"/>
      <c r="AII542" s="243"/>
      <c r="AIJ542" s="243"/>
      <c r="AIK542" s="243"/>
      <c r="AIL542" s="243"/>
      <c r="AIM542" s="243"/>
      <c r="AIN542" s="243"/>
      <c r="AIO542" s="243"/>
      <c r="AIP542" s="243"/>
      <c r="AIQ542" s="243"/>
      <c r="AIR542" s="243"/>
      <c r="AIS542" s="243"/>
      <c r="AIT542" s="243"/>
      <c r="AIU542" s="243"/>
      <c r="AIV542" s="243"/>
      <c r="AIW542" s="243"/>
      <c r="AIX542" s="243"/>
      <c r="AIY542" s="243"/>
      <c r="AIZ542" s="243"/>
      <c r="AJA542" s="243"/>
      <c r="AJB542" s="243"/>
      <c r="AJC542" s="243"/>
      <c r="AJD542" s="243"/>
      <c r="AJE542" s="243"/>
      <c r="AJF542" s="243"/>
      <c r="AJG542" s="243"/>
      <c r="AJH542" s="243"/>
      <c r="AJI542" s="243"/>
      <c r="AJJ542" s="243"/>
      <c r="AJK542" s="243"/>
      <c r="AJL542" s="243"/>
      <c r="AJM542" s="243"/>
      <c r="AJN542" s="243"/>
      <c r="AJO542" s="243"/>
      <c r="AJP542" s="243"/>
      <c r="AJQ542" s="243"/>
      <c r="AJR542" s="243"/>
      <c r="AJS542" s="243"/>
      <c r="AJT542" s="243"/>
      <c r="AJU542" s="243"/>
      <c r="AJV542" s="243"/>
      <c r="AJW542" s="243"/>
      <c r="AJX542" s="243"/>
      <c r="AJY542" s="243"/>
      <c r="AJZ542" s="243"/>
      <c r="AKA542" s="243"/>
      <c r="AKB542" s="243"/>
      <c r="AKC542" s="243"/>
      <c r="AKD542" s="243"/>
      <c r="AKE542" s="243"/>
      <c r="AKF542" s="243"/>
      <c r="AKG542" s="243"/>
      <c r="AKH542" s="243"/>
      <c r="AKI542" s="243"/>
      <c r="AKJ542" s="243"/>
      <c r="AKK542" s="243"/>
      <c r="AKL542" s="243"/>
      <c r="AKM542" s="243"/>
      <c r="AKN542" s="243"/>
      <c r="AKO542" s="243"/>
      <c r="AKP542" s="243"/>
      <c r="AKQ542" s="243"/>
      <c r="AKR542" s="243"/>
      <c r="AKS542" s="243"/>
      <c r="AKT542" s="243"/>
      <c r="AKU542" s="243"/>
      <c r="AKV542" s="243"/>
      <c r="AKW542" s="243"/>
      <c r="AKX542" s="243"/>
      <c r="AKY542" s="243"/>
      <c r="AKZ542" s="243"/>
      <c r="ALA542" s="243"/>
      <c r="ALB542" s="243"/>
      <c r="ALC542" s="243"/>
      <c r="ALD542" s="243"/>
      <c r="ALE542" s="243"/>
      <c r="ALF542" s="243"/>
      <c r="ALG542" s="243"/>
      <c r="ALH542" s="243"/>
      <c r="ALI542" s="243"/>
      <c r="ALJ542" s="243"/>
      <c r="ALK542" s="243"/>
      <c r="ALL542" s="243"/>
      <c r="ALM542" s="243"/>
      <c r="ALN542" s="243"/>
      <c r="ALO542" s="243"/>
      <c r="ALP542" s="243"/>
      <c r="ALQ542" s="243"/>
      <c r="ALR542" s="243"/>
      <c r="ALS542" s="243"/>
      <c r="ALT542" s="243"/>
      <c r="ALU542" s="243"/>
      <c r="ALV542" s="243"/>
      <c r="ALW542" s="243"/>
      <c r="ALX542" s="243"/>
      <c r="ALY542" s="243"/>
      <c r="ALZ542" s="243"/>
      <c r="AMA542" s="243"/>
      <c r="AMB542" s="243"/>
      <c r="AMC542" s="243"/>
      <c r="AMD542" s="243"/>
      <c r="AME542" s="243"/>
      <c r="AMF542" s="243"/>
      <c r="AMG542" s="243"/>
      <c r="AMH542" s="243"/>
      <c r="AMI542" s="244"/>
      <c r="AMJ542" s="244"/>
    </row>
    <row r="543" spans="1:1024">
      <c r="A543" s="901"/>
      <c r="B543" s="551">
        <v>15367</v>
      </c>
      <c r="C543" s="690">
        <v>0.1</v>
      </c>
      <c r="D543" s="691" t="s">
        <v>341</v>
      </c>
      <c r="E543" s="620">
        <v>6500000</v>
      </c>
      <c r="F543" s="601">
        <v>0.05</v>
      </c>
      <c r="G543" s="364">
        <f t="shared" si="24"/>
        <v>325000</v>
      </c>
      <c r="H543" s="599" t="s">
        <v>292</v>
      </c>
      <c r="I543" s="604"/>
      <c r="J543" s="604"/>
      <c r="K543" s="732"/>
      <c r="L543" s="777"/>
      <c r="M543" s="625"/>
      <c r="N543" s="607"/>
      <c r="O543" s="778"/>
      <c r="P543" s="607"/>
      <c r="Q543" s="716"/>
      <c r="R543" s="243"/>
      <c r="S543" s="243"/>
      <c r="T543" s="243"/>
      <c r="U543" s="243"/>
      <c r="V543" s="243"/>
      <c r="W543" s="243"/>
      <c r="X543" s="243"/>
      <c r="Y543" s="243"/>
      <c r="Z543" s="243"/>
      <c r="AA543" s="243"/>
      <c r="AB543" s="243"/>
      <c r="AC543" s="243"/>
      <c r="AD543" s="243"/>
      <c r="AE543" s="243"/>
      <c r="AF543" s="243"/>
      <c r="AG543" s="243"/>
      <c r="AH543" s="243"/>
      <c r="AI543" s="243"/>
      <c r="AJ543" s="243"/>
      <c r="AK543" s="243"/>
      <c r="AL543" s="243"/>
      <c r="AM543" s="243"/>
      <c r="AN543" s="243"/>
      <c r="AO543" s="243"/>
      <c r="AP543" s="243"/>
      <c r="AQ543" s="243"/>
      <c r="AR543" s="243"/>
      <c r="AS543" s="243"/>
      <c r="AT543" s="243"/>
      <c r="AU543" s="243"/>
      <c r="AV543" s="243"/>
      <c r="AW543" s="243"/>
      <c r="AX543" s="243"/>
      <c r="AY543" s="243"/>
      <c r="AZ543" s="243"/>
      <c r="BA543" s="243"/>
      <c r="BB543" s="243"/>
      <c r="BC543" s="243"/>
      <c r="BD543" s="243"/>
      <c r="BE543" s="243"/>
      <c r="BF543" s="243"/>
      <c r="BG543" s="243"/>
      <c r="BH543" s="243"/>
      <c r="BI543" s="243"/>
      <c r="BJ543" s="243"/>
      <c r="BK543" s="243"/>
      <c r="BL543" s="243"/>
      <c r="BM543" s="243"/>
      <c r="BN543" s="243"/>
      <c r="BO543" s="243"/>
      <c r="BP543" s="243"/>
      <c r="BQ543" s="243"/>
      <c r="BR543" s="243"/>
      <c r="BS543" s="243"/>
      <c r="BT543" s="243"/>
      <c r="BU543" s="243"/>
      <c r="BV543" s="243"/>
      <c r="BW543" s="243"/>
      <c r="BX543" s="243"/>
      <c r="BY543" s="243"/>
      <c r="BZ543" s="243"/>
      <c r="CA543" s="243"/>
      <c r="CB543" s="243"/>
      <c r="CC543" s="243"/>
      <c r="CD543" s="243"/>
      <c r="CE543" s="243"/>
      <c r="CF543" s="243"/>
      <c r="CG543" s="243"/>
      <c r="CH543" s="243"/>
      <c r="CI543" s="243"/>
      <c r="CJ543" s="243"/>
      <c r="CK543" s="243"/>
      <c r="CL543" s="243"/>
      <c r="CM543" s="243"/>
      <c r="CN543" s="243"/>
      <c r="CO543" s="243"/>
      <c r="CP543" s="243"/>
      <c r="CQ543" s="243"/>
      <c r="CR543" s="243"/>
      <c r="CS543" s="243"/>
      <c r="CT543" s="243"/>
      <c r="CU543" s="243"/>
      <c r="CV543" s="243"/>
      <c r="CW543" s="243"/>
      <c r="CX543" s="243"/>
      <c r="CY543" s="243"/>
      <c r="CZ543" s="243"/>
      <c r="DA543" s="243"/>
      <c r="DB543" s="243"/>
      <c r="DC543" s="243"/>
      <c r="DD543" s="243"/>
      <c r="DE543" s="243"/>
      <c r="DF543" s="243"/>
      <c r="DG543" s="243"/>
      <c r="DH543" s="243"/>
      <c r="DI543" s="243"/>
      <c r="DJ543" s="243"/>
      <c r="DK543" s="243"/>
      <c r="DL543" s="243"/>
      <c r="DM543" s="243"/>
      <c r="DN543" s="243"/>
      <c r="DO543" s="243"/>
      <c r="DP543" s="243"/>
      <c r="DQ543" s="243"/>
      <c r="DR543" s="243"/>
      <c r="DS543" s="243"/>
      <c r="DT543" s="243"/>
      <c r="DU543" s="243"/>
      <c r="DV543" s="243"/>
      <c r="DW543" s="243"/>
      <c r="DX543" s="243"/>
      <c r="DY543" s="243"/>
      <c r="DZ543" s="243"/>
      <c r="EA543" s="243"/>
      <c r="EB543" s="243"/>
      <c r="EC543" s="243"/>
      <c r="ED543" s="243"/>
      <c r="EE543" s="243"/>
      <c r="EF543" s="243"/>
      <c r="EG543" s="243"/>
      <c r="EH543" s="243"/>
      <c r="EI543" s="243"/>
      <c r="EJ543" s="243"/>
      <c r="EK543" s="243"/>
      <c r="EL543" s="243"/>
      <c r="EM543" s="243"/>
      <c r="EN543" s="243"/>
      <c r="EO543" s="243"/>
      <c r="EP543" s="243"/>
      <c r="EQ543" s="243"/>
      <c r="ER543" s="243"/>
      <c r="ES543" s="243"/>
      <c r="ET543" s="243"/>
      <c r="EU543" s="243"/>
      <c r="EV543" s="243"/>
      <c r="EW543" s="243"/>
      <c r="EX543" s="243"/>
      <c r="EY543" s="243"/>
      <c r="EZ543" s="243"/>
      <c r="FA543" s="243"/>
      <c r="FB543" s="243"/>
      <c r="FC543" s="243"/>
      <c r="FD543" s="243"/>
      <c r="FE543" s="243"/>
      <c r="FF543" s="243"/>
      <c r="FG543" s="243"/>
      <c r="FH543" s="243"/>
      <c r="FI543" s="243"/>
      <c r="FJ543" s="243"/>
      <c r="FK543" s="243"/>
      <c r="FL543" s="243"/>
      <c r="FM543" s="243"/>
      <c r="FN543" s="243"/>
      <c r="FO543" s="243"/>
      <c r="FP543" s="243"/>
      <c r="FQ543" s="243"/>
      <c r="FR543" s="243"/>
      <c r="FS543" s="243"/>
      <c r="FT543" s="243"/>
      <c r="FU543" s="243"/>
      <c r="FV543" s="243"/>
      <c r="FW543" s="243"/>
      <c r="FX543" s="243"/>
      <c r="FY543" s="243"/>
      <c r="FZ543" s="243"/>
      <c r="GA543" s="243"/>
      <c r="GB543" s="243"/>
      <c r="GC543" s="243"/>
      <c r="GD543" s="243"/>
      <c r="GE543" s="243"/>
      <c r="GF543" s="243"/>
      <c r="GG543" s="243"/>
      <c r="GH543" s="243"/>
      <c r="GI543" s="243"/>
      <c r="GJ543" s="243"/>
      <c r="GK543" s="243"/>
      <c r="GL543" s="243"/>
      <c r="GM543" s="243"/>
      <c r="GN543" s="243"/>
      <c r="GO543" s="243"/>
      <c r="GP543" s="243"/>
      <c r="GQ543" s="243"/>
      <c r="GR543" s="243"/>
      <c r="GS543" s="243"/>
      <c r="GT543" s="243"/>
      <c r="GU543" s="243"/>
      <c r="GV543" s="243"/>
      <c r="GW543" s="243"/>
      <c r="GX543" s="243"/>
      <c r="GY543" s="243"/>
      <c r="GZ543" s="243"/>
      <c r="HA543" s="243"/>
      <c r="HB543" s="243"/>
      <c r="HC543" s="243"/>
      <c r="HD543" s="243"/>
      <c r="HE543" s="243"/>
      <c r="HF543" s="243"/>
      <c r="HG543" s="243"/>
      <c r="HH543" s="243"/>
      <c r="HI543" s="243"/>
      <c r="HJ543" s="243"/>
      <c r="HK543" s="243"/>
      <c r="HL543" s="243"/>
      <c r="HM543" s="243"/>
      <c r="HN543" s="243"/>
      <c r="HO543" s="243"/>
      <c r="HP543" s="243"/>
      <c r="HQ543" s="243"/>
      <c r="HR543" s="243"/>
      <c r="HS543" s="243"/>
      <c r="HT543" s="243"/>
      <c r="HU543" s="243"/>
      <c r="HV543" s="243"/>
      <c r="HW543" s="243"/>
      <c r="HX543" s="243"/>
      <c r="HY543" s="243"/>
      <c r="HZ543" s="243"/>
      <c r="IA543" s="243"/>
      <c r="IB543" s="243"/>
      <c r="IC543" s="243"/>
      <c r="ID543" s="243"/>
      <c r="IE543" s="243"/>
      <c r="IF543" s="243"/>
      <c r="IG543" s="243"/>
      <c r="IH543" s="243"/>
      <c r="II543" s="243"/>
      <c r="IJ543" s="243"/>
      <c r="IK543" s="243"/>
      <c r="IL543" s="243"/>
      <c r="IM543" s="243"/>
      <c r="IN543" s="243"/>
      <c r="IO543" s="243"/>
      <c r="IP543" s="243"/>
      <c r="IQ543" s="243"/>
      <c r="IR543" s="243"/>
      <c r="IS543" s="243"/>
      <c r="IT543" s="243"/>
      <c r="IU543" s="243"/>
      <c r="IV543" s="243"/>
      <c r="IW543" s="243"/>
      <c r="IX543" s="243"/>
      <c r="IY543" s="243"/>
      <c r="IZ543" s="243"/>
      <c r="JA543" s="243"/>
      <c r="JB543" s="243"/>
      <c r="JC543" s="243"/>
      <c r="JD543" s="243"/>
      <c r="JE543" s="243"/>
      <c r="JF543" s="243"/>
      <c r="JG543" s="243"/>
      <c r="JH543" s="243"/>
      <c r="JI543" s="243"/>
      <c r="JJ543" s="243"/>
      <c r="JK543" s="243"/>
      <c r="JL543" s="243"/>
      <c r="JM543" s="243"/>
      <c r="JN543" s="243"/>
      <c r="JO543" s="243"/>
      <c r="JP543" s="243"/>
      <c r="JQ543" s="243"/>
      <c r="JR543" s="243"/>
      <c r="JS543" s="243"/>
      <c r="JT543" s="243"/>
      <c r="JU543" s="243"/>
      <c r="JV543" s="243"/>
      <c r="JW543" s="243"/>
      <c r="JX543" s="243"/>
      <c r="JY543" s="243"/>
      <c r="JZ543" s="243"/>
      <c r="KA543" s="243"/>
      <c r="KB543" s="243"/>
      <c r="KC543" s="243"/>
      <c r="KD543" s="243"/>
      <c r="KE543" s="243"/>
      <c r="KF543" s="243"/>
      <c r="KG543" s="243"/>
      <c r="KH543" s="243"/>
      <c r="KI543" s="243"/>
      <c r="KJ543" s="243"/>
      <c r="KK543" s="243"/>
      <c r="KL543" s="243"/>
      <c r="KM543" s="243"/>
      <c r="KN543" s="243"/>
      <c r="KO543" s="243"/>
      <c r="KP543" s="243"/>
      <c r="KQ543" s="243"/>
      <c r="KR543" s="243"/>
      <c r="KS543" s="243"/>
      <c r="KT543" s="243"/>
      <c r="KU543" s="243"/>
      <c r="KV543" s="243"/>
      <c r="KW543" s="243"/>
      <c r="KX543" s="243"/>
      <c r="KY543" s="243"/>
      <c r="KZ543" s="243"/>
      <c r="LA543" s="243"/>
      <c r="LB543" s="243"/>
      <c r="LC543" s="243"/>
      <c r="LD543" s="243"/>
      <c r="LE543" s="243"/>
      <c r="LF543" s="243"/>
      <c r="LG543" s="243"/>
      <c r="LH543" s="243"/>
      <c r="LI543" s="243"/>
      <c r="LJ543" s="243"/>
      <c r="LK543" s="243"/>
      <c r="LL543" s="243"/>
      <c r="LM543" s="243"/>
      <c r="LN543" s="243"/>
      <c r="LO543" s="243"/>
      <c r="LP543" s="243"/>
      <c r="LQ543" s="243"/>
      <c r="LR543" s="243"/>
      <c r="LS543" s="243"/>
      <c r="LT543" s="243"/>
      <c r="LU543" s="243"/>
      <c r="LV543" s="243"/>
      <c r="LW543" s="243"/>
      <c r="LX543" s="243"/>
      <c r="LY543" s="243"/>
      <c r="LZ543" s="243"/>
      <c r="MA543" s="243"/>
      <c r="MB543" s="243"/>
      <c r="MC543" s="243"/>
      <c r="MD543" s="243"/>
      <c r="ME543" s="243"/>
      <c r="MF543" s="243"/>
      <c r="MG543" s="243"/>
      <c r="MH543" s="243"/>
      <c r="MI543" s="243"/>
      <c r="MJ543" s="243"/>
      <c r="MK543" s="243"/>
      <c r="ML543" s="243"/>
      <c r="MM543" s="243"/>
      <c r="MN543" s="243"/>
      <c r="MO543" s="243"/>
      <c r="MP543" s="243"/>
      <c r="MQ543" s="243"/>
      <c r="MR543" s="243"/>
      <c r="MS543" s="243"/>
      <c r="MT543" s="243"/>
      <c r="MU543" s="243"/>
      <c r="MV543" s="243"/>
      <c r="MW543" s="243"/>
      <c r="MX543" s="243"/>
      <c r="MY543" s="243"/>
      <c r="MZ543" s="243"/>
      <c r="NA543" s="243"/>
      <c r="NB543" s="243"/>
      <c r="NC543" s="243"/>
      <c r="ND543" s="243"/>
      <c r="NE543" s="243"/>
      <c r="NF543" s="243"/>
      <c r="NG543" s="243"/>
      <c r="NH543" s="243"/>
      <c r="NI543" s="243"/>
      <c r="NJ543" s="243"/>
      <c r="NK543" s="243"/>
      <c r="NL543" s="243"/>
      <c r="NM543" s="243"/>
      <c r="NN543" s="243"/>
      <c r="NO543" s="243"/>
      <c r="NP543" s="243"/>
      <c r="NQ543" s="243"/>
      <c r="NR543" s="243"/>
      <c r="NS543" s="243"/>
      <c r="NT543" s="243"/>
      <c r="NU543" s="243"/>
      <c r="NV543" s="243"/>
      <c r="NW543" s="243"/>
      <c r="NX543" s="243"/>
      <c r="NY543" s="243"/>
      <c r="NZ543" s="243"/>
      <c r="OA543" s="243"/>
      <c r="OB543" s="243"/>
      <c r="OC543" s="243"/>
      <c r="OD543" s="243"/>
      <c r="OE543" s="243"/>
      <c r="OF543" s="243"/>
      <c r="OG543" s="243"/>
      <c r="OH543" s="243"/>
      <c r="OI543" s="243"/>
      <c r="OJ543" s="243"/>
      <c r="OK543" s="243"/>
      <c r="OL543" s="243"/>
      <c r="OM543" s="243"/>
      <c r="ON543" s="243"/>
      <c r="OO543" s="243"/>
      <c r="OP543" s="243"/>
      <c r="OQ543" s="243"/>
      <c r="OR543" s="243"/>
      <c r="OS543" s="243"/>
      <c r="OT543" s="243"/>
      <c r="OU543" s="243"/>
      <c r="OV543" s="243"/>
      <c r="OW543" s="243"/>
      <c r="OX543" s="243"/>
      <c r="OY543" s="243"/>
      <c r="OZ543" s="243"/>
      <c r="PA543" s="243"/>
      <c r="PB543" s="243"/>
      <c r="PC543" s="243"/>
      <c r="PD543" s="243"/>
      <c r="PE543" s="243"/>
      <c r="PF543" s="243"/>
      <c r="PG543" s="243"/>
      <c r="PH543" s="243"/>
      <c r="PI543" s="243"/>
      <c r="PJ543" s="243"/>
      <c r="PK543" s="243"/>
      <c r="PL543" s="243"/>
      <c r="PM543" s="243"/>
      <c r="PN543" s="243"/>
      <c r="PO543" s="243"/>
      <c r="PP543" s="243"/>
      <c r="PQ543" s="243"/>
      <c r="PR543" s="243"/>
      <c r="PS543" s="243"/>
      <c r="PT543" s="243"/>
      <c r="PU543" s="243"/>
      <c r="PV543" s="243"/>
      <c r="PW543" s="243"/>
      <c r="PX543" s="243"/>
      <c r="PY543" s="243"/>
      <c r="PZ543" s="243"/>
      <c r="QA543" s="243"/>
      <c r="QB543" s="243"/>
      <c r="QC543" s="243"/>
      <c r="QD543" s="243"/>
      <c r="QE543" s="243"/>
      <c r="QF543" s="243"/>
      <c r="QG543" s="243"/>
      <c r="QH543" s="243"/>
      <c r="QI543" s="243"/>
      <c r="QJ543" s="243"/>
      <c r="QK543" s="243"/>
      <c r="QL543" s="243"/>
      <c r="QM543" s="243"/>
      <c r="QN543" s="243"/>
      <c r="QO543" s="243"/>
      <c r="QP543" s="243"/>
      <c r="QQ543" s="243"/>
      <c r="QR543" s="243"/>
      <c r="QS543" s="243"/>
      <c r="QT543" s="243"/>
      <c r="QU543" s="243"/>
      <c r="QV543" s="243"/>
      <c r="QW543" s="243"/>
      <c r="QX543" s="243"/>
      <c r="QY543" s="243"/>
      <c r="QZ543" s="243"/>
      <c r="RA543" s="243"/>
      <c r="RB543" s="243"/>
      <c r="RC543" s="243"/>
      <c r="RD543" s="243"/>
      <c r="RE543" s="243"/>
      <c r="RF543" s="243"/>
      <c r="RG543" s="243"/>
      <c r="RH543" s="243"/>
      <c r="RI543" s="243"/>
      <c r="RJ543" s="243"/>
      <c r="RK543" s="243"/>
      <c r="RL543" s="243"/>
      <c r="RM543" s="243"/>
      <c r="RN543" s="243"/>
      <c r="RO543" s="243"/>
      <c r="RP543" s="243"/>
      <c r="RQ543" s="243"/>
      <c r="RR543" s="243"/>
      <c r="RS543" s="243"/>
      <c r="RT543" s="243"/>
      <c r="RU543" s="243"/>
      <c r="RV543" s="243"/>
      <c r="RW543" s="243"/>
      <c r="RX543" s="243"/>
      <c r="RY543" s="243"/>
      <c r="RZ543" s="243"/>
      <c r="SA543" s="243"/>
      <c r="SB543" s="243"/>
      <c r="SC543" s="243"/>
      <c r="SD543" s="243"/>
      <c r="SE543" s="243"/>
      <c r="SF543" s="243"/>
      <c r="SG543" s="243"/>
      <c r="SH543" s="243"/>
      <c r="SI543" s="243"/>
      <c r="SJ543" s="243"/>
      <c r="SK543" s="243"/>
      <c r="SL543" s="243"/>
      <c r="SM543" s="243"/>
      <c r="SN543" s="243"/>
      <c r="SO543" s="243"/>
      <c r="SP543" s="243"/>
      <c r="SQ543" s="243"/>
      <c r="SR543" s="243"/>
      <c r="SS543" s="243"/>
      <c r="ST543" s="243"/>
      <c r="SU543" s="243"/>
      <c r="SV543" s="243"/>
      <c r="SW543" s="243"/>
      <c r="SX543" s="243"/>
      <c r="SY543" s="243"/>
      <c r="SZ543" s="243"/>
      <c r="TA543" s="243"/>
      <c r="TB543" s="243"/>
      <c r="TC543" s="243"/>
      <c r="TD543" s="243"/>
      <c r="TE543" s="243"/>
      <c r="TF543" s="243"/>
      <c r="TG543" s="243"/>
      <c r="TH543" s="243"/>
      <c r="TI543" s="243"/>
      <c r="TJ543" s="243"/>
      <c r="TK543" s="243"/>
      <c r="TL543" s="243"/>
      <c r="TM543" s="243"/>
      <c r="TN543" s="243"/>
      <c r="TO543" s="243"/>
      <c r="TP543" s="243"/>
      <c r="TQ543" s="243"/>
      <c r="TR543" s="243"/>
      <c r="TS543" s="243"/>
      <c r="TT543" s="243"/>
      <c r="TU543" s="243"/>
      <c r="TV543" s="243"/>
      <c r="TW543" s="243"/>
      <c r="TX543" s="243"/>
      <c r="TY543" s="243"/>
      <c r="TZ543" s="243"/>
      <c r="UA543" s="243"/>
      <c r="UB543" s="243"/>
      <c r="UC543" s="243"/>
      <c r="UD543" s="243"/>
      <c r="UE543" s="243"/>
      <c r="UF543" s="243"/>
      <c r="UG543" s="243"/>
      <c r="UH543" s="243"/>
      <c r="UI543" s="243"/>
      <c r="UJ543" s="243"/>
      <c r="UK543" s="243"/>
      <c r="UL543" s="243"/>
      <c r="UM543" s="243"/>
      <c r="UN543" s="243"/>
      <c r="UO543" s="243"/>
      <c r="UP543" s="243"/>
      <c r="UQ543" s="243"/>
      <c r="UR543" s="243"/>
      <c r="US543" s="243"/>
      <c r="UT543" s="243"/>
      <c r="UU543" s="243"/>
      <c r="UV543" s="243"/>
      <c r="UW543" s="243"/>
      <c r="UX543" s="243"/>
      <c r="UY543" s="243"/>
      <c r="UZ543" s="243"/>
      <c r="VA543" s="243"/>
      <c r="VB543" s="243"/>
      <c r="VC543" s="243"/>
      <c r="VD543" s="243"/>
      <c r="VE543" s="243"/>
      <c r="VF543" s="243"/>
      <c r="VG543" s="243"/>
      <c r="VH543" s="243"/>
      <c r="VI543" s="243"/>
      <c r="VJ543" s="243"/>
      <c r="VK543" s="243"/>
      <c r="VL543" s="243"/>
      <c r="VM543" s="243"/>
      <c r="VN543" s="243"/>
      <c r="VO543" s="243"/>
      <c r="VP543" s="243"/>
      <c r="VQ543" s="243"/>
      <c r="VR543" s="243"/>
      <c r="VS543" s="243"/>
      <c r="VT543" s="243"/>
      <c r="VU543" s="243"/>
      <c r="VV543" s="243"/>
      <c r="VW543" s="243"/>
      <c r="VX543" s="243"/>
      <c r="VY543" s="243"/>
      <c r="VZ543" s="243"/>
      <c r="WA543" s="243"/>
      <c r="WB543" s="243"/>
      <c r="WC543" s="243"/>
      <c r="WD543" s="243"/>
      <c r="WE543" s="243"/>
      <c r="WF543" s="243"/>
      <c r="WG543" s="243"/>
      <c r="WH543" s="243"/>
      <c r="WI543" s="243"/>
      <c r="WJ543" s="243"/>
      <c r="WK543" s="243"/>
      <c r="WL543" s="243"/>
      <c r="WM543" s="243"/>
      <c r="WN543" s="243"/>
      <c r="WO543" s="243"/>
      <c r="WP543" s="243"/>
      <c r="WQ543" s="243"/>
      <c r="WR543" s="243"/>
      <c r="WS543" s="243"/>
      <c r="WT543" s="243"/>
      <c r="WU543" s="243"/>
      <c r="WV543" s="243"/>
      <c r="WW543" s="243"/>
      <c r="WX543" s="243"/>
      <c r="WY543" s="243"/>
      <c r="WZ543" s="243"/>
      <c r="XA543" s="243"/>
      <c r="XB543" s="243"/>
      <c r="XC543" s="243"/>
      <c r="XD543" s="243"/>
      <c r="XE543" s="243"/>
      <c r="XF543" s="243"/>
      <c r="XG543" s="243"/>
      <c r="XH543" s="243"/>
      <c r="XI543" s="243"/>
      <c r="XJ543" s="243"/>
      <c r="XK543" s="243"/>
      <c r="XL543" s="243"/>
      <c r="XM543" s="243"/>
      <c r="XN543" s="243"/>
      <c r="XO543" s="243"/>
      <c r="XP543" s="243"/>
      <c r="XQ543" s="243"/>
      <c r="XR543" s="243"/>
      <c r="XS543" s="243"/>
      <c r="XT543" s="243"/>
      <c r="XU543" s="243"/>
      <c r="XV543" s="243"/>
      <c r="XW543" s="243"/>
      <c r="XX543" s="243"/>
      <c r="XY543" s="243"/>
      <c r="XZ543" s="243"/>
      <c r="YA543" s="243"/>
      <c r="YB543" s="243"/>
      <c r="YC543" s="243"/>
      <c r="YD543" s="243"/>
      <c r="YE543" s="243"/>
      <c r="YF543" s="243"/>
      <c r="YG543" s="243"/>
      <c r="YH543" s="243"/>
      <c r="YI543" s="243"/>
      <c r="YJ543" s="243"/>
      <c r="YK543" s="243"/>
      <c r="YL543" s="243"/>
      <c r="YM543" s="243"/>
      <c r="YN543" s="243"/>
      <c r="YO543" s="243"/>
      <c r="YP543" s="243"/>
      <c r="YQ543" s="243"/>
      <c r="YR543" s="243"/>
      <c r="YS543" s="243"/>
      <c r="YT543" s="243"/>
      <c r="YU543" s="243"/>
      <c r="YV543" s="243"/>
      <c r="YW543" s="243"/>
      <c r="YX543" s="243"/>
      <c r="YY543" s="243"/>
      <c r="YZ543" s="243"/>
      <c r="ZA543" s="243"/>
      <c r="ZB543" s="243"/>
      <c r="ZC543" s="243"/>
      <c r="ZD543" s="243"/>
      <c r="ZE543" s="243"/>
      <c r="ZF543" s="243"/>
      <c r="ZG543" s="243"/>
      <c r="ZH543" s="243"/>
      <c r="ZI543" s="243"/>
      <c r="ZJ543" s="243"/>
      <c r="ZK543" s="243"/>
      <c r="ZL543" s="243"/>
      <c r="ZM543" s="243"/>
      <c r="ZN543" s="243"/>
      <c r="ZO543" s="243"/>
      <c r="ZP543" s="243"/>
      <c r="ZQ543" s="243"/>
      <c r="ZR543" s="243"/>
      <c r="ZS543" s="243"/>
      <c r="ZT543" s="243"/>
      <c r="ZU543" s="243"/>
      <c r="ZV543" s="243"/>
      <c r="ZW543" s="243"/>
      <c r="ZX543" s="243"/>
      <c r="ZY543" s="243"/>
      <c r="ZZ543" s="243"/>
      <c r="AAA543" s="243"/>
      <c r="AAB543" s="243"/>
      <c r="AAC543" s="243"/>
      <c r="AAD543" s="243"/>
      <c r="AAE543" s="243"/>
      <c r="AAF543" s="243"/>
      <c r="AAG543" s="243"/>
      <c r="AAH543" s="243"/>
      <c r="AAI543" s="243"/>
      <c r="AAJ543" s="243"/>
      <c r="AAK543" s="243"/>
      <c r="AAL543" s="243"/>
      <c r="AAM543" s="243"/>
      <c r="AAN543" s="243"/>
      <c r="AAO543" s="243"/>
      <c r="AAP543" s="243"/>
      <c r="AAQ543" s="243"/>
      <c r="AAR543" s="243"/>
      <c r="AAS543" s="243"/>
      <c r="AAT543" s="243"/>
      <c r="AAU543" s="243"/>
      <c r="AAV543" s="243"/>
      <c r="AAW543" s="243"/>
      <c r="AAX543" s="243"/>
      <c r="AAY543" s="243"/>
      <c r="AAZ543" s="243"/>
      <c r="ABA543" s="243"/>
      <c r="ABB543" s="243"/>
      <c r="ABC543" s="243"/>
      <c r="ABD543" s="243"/>
      <c r="ABE543" s="243"/>
      <c r="ABF543" s="243"/>
      <c r="ABG543" s="243"/>
      <c r="ABH543" s="243"/>
      <c r="ABI543" s="243"/>
      <c r="ABJ543" s="243"/>
      <c r="ABK543" s="243"/>
      <c r="ABL543" s="243"/>
      <c r="ABM543" s="243"/>
      <c r="ABN543" s="243"/>
      <c r="ABO543" s="243"/>
      <c r="ABP543" s="243"/>
      <c r="ABQ543" s="243"/>
      <c r="ABR543" s="243"/>
      <c r="ABS543" s="243"/>
      <c r="ABT543" s="243"/>
      <c r="ABU543" s="243"/>
      <c r="ABV543" s="243"/>
      <c r="ABW543" s="243"/>
      <c r="ABX543" s="243"/>
      <c r="ABY543" s="243"/>
      <c r="ABZ543" s="243"/>
      <c r="ACA543" s="243"/>
      <c r="ACB543" s="243"/>
      <c r="ACC543" s="243"/>
      <c r="ACD543" s="243"/>
      <c r="ACE543" s="243"/>
      <c r="ACF543" s="243"/>
      <c r="ACG543" s="243"/>
      <c r="ACH543" s="243"/>
      <c r="ACI543" s="243"/>
      <c r="ACJ543" s="243"/>
      <c r="ACK543" s="243"/>
      <c r="ACL543" s="243"/>
      <c r="ACM543" s="243"/>
      <c r="ACN543" s="243"/>
      <c r="ACO543" s="243"/>
      <c r="ACP543" s="243"/>
      <c r="ACQ543" s="243"/>
      <c r="ACR543" s="243"/>
      <c r="ACS543" s="243"/>
      <c r="ACT543" s="243"/>
      <c r="ACU543" s="243"/>
      <c r="ACV543" s="243"/>
      <c r="ACW543" s="243"/>
      <c r="ACX543" s="243"/>
      <c r="ACY543" s="243"/>
      <c r="ACZ543" s="243"/>
      <c r="ADA543" s="243"/>
      <c r="ADB543" s="243"/>
      <c r="ADC543" s="243"/>
      <c r="ADD543" s="243"/>
      <c r="ADE543" s="243"/>
      <c r="ADF543" s="243"/>
      <c r="ADG543" s="243"/>
      <c r="ADH543" s="243"/>
      <c r="ADI543" s="243"/>
      <c r="ADJ543" s="243"/>
      <c r="ADK543" s="243"/>
      <c r="ADL543" s="243"/>
      <c r="ADM543" s="243"/>
      <c r="ADN543" s="243"/>
      <c r="ADO543" s="243"/>
      <c r="ADP543" s="243"/>
      <c r="ADQ543" s="243"/>
      <c r="ADR543" s="243"/>
      <c r="ADS543" s="243"/>
      <c r="ADT543" s="243"/>
      <c r="ADU543" s="243"/>
      <c r="ADV543" s="243"/>
      <c r="ADW543" s="243"/>
      <c r="ADX543" s="243"/>
      <c r="ADY543" s="243"/>
      <c r="ADZ543" s="243"/>
      <c r="AEA543" s="243"/>
      <c r="AEB543" s="243"/>
      <c r="AEC543" s="243"/>
      <c r="AED543" s="243"/>
      <c r="AEE543" s="243"/>
      <c r="AEF543" s="243"/>
      <c r="AEG543" s="243"/>
      <c r="AEH543" s="243"/>
      <c r="AEI543" s="243"/>
      <c r="AEJ543" s="243"/>
      <c r="AEK543" s="243"/>
      <c r="AEL543" s="243"/>
      <c r="AEM543" s="243"/>
      <c r="AEN543" s="243"/>
      <c r="AEO543" s="243"/>
      <c r="AEP543" s="243"/>
      <c r="AEQ543" s="243"/>
      <c r="AER543" s="243"/>
      <c r="AES543" s="243"/>
      <c r="AET543" s="243"/>
      <c r="AEU543" s="243"/>
      <c r="AEV543" s="243"/>
      <c r="AEW543" s="243"/>
      <c r="AEX543" s="243"/>
      <c r="AEY543" s="243"/>
      <c r="AEZ543" s="243"/>
      <c r="AFA543" s="243"/>
      <c r="AFB543" s="243"/>
      <c r="AFC543" s="243"/>
      <c r="AFD543" s="243"/>
      <c r="AFE543" s="243"/>
      <c r="AFF543" s="243"/>
      <c r="AFG543" s="243"/>
      <c r="AFH543" s="243"/>
      <c r="AFI543" s="243"/>
      <c r="AFJ543" s="243"/>
      <c r="AFK543" s="243"/>
      <c r="AFL543" s="243"/>
      <c r="AFM543" s="243"/>
      <c r="AFN543" s="243"/>
      <c r="AFO543" s="243"/>
      <c r="AFP543" s="243"/>
      <c r="AFQ543" s="243"/>
      <c r="AFR543" s="243"/>
      <c r="AFS543" s="243"/>
      <c r="AFT543" s="243"/>
      <c r="AFU543" s="243"/>
      <c r="AFV543" s="243"/>
      <c r="AFW543" s="243"/>
      <c r="AFX543" s="243"/>
      <c r="AFY543" s="243"/>
      <c r="AFZ543" s="243"/>
      <c r="AGA543" s="243"/>
      <c r="AGB543" s="243"/>
      <c r="AGC543" s="243"/>
      <c r="AGD543" s="243"/>
      <c r="AGE543" s="243"/>
      <c r="AGF543" s="243"/>
      <c r="AGG543" s="243"/>
      <c r="AGH543" s="243"/>
      <c r="AGI543" s="243"/>
      <c r="AGJ543" s="243"/>
      <c r="AGK543" s="243"/>
      <c r="AGL543" s="243"/>
      <c r="AGM543" s="243"/>
      <c r="AGN543" s="243"/>
      <c r="AGO543" s="243"/>
      <c r="AGP543" s="243"/>
      <c r="AGQ543" s="243"/>
      <c r="AGR543" s="243"/>
      <c r="AGS543" s="243"/>
      <c r="AGT543" s="243"/>
      <c r="AGU543" s="243"/>
      <c r="AGV543" s="243"/>
      <c r="AGW543" s="243"/>
      <c r="AGX543" s="243"/>
      <c r="AGY543" s="243"/>
      <c r="AGZ543" s="243"/>
      <c r="AHA543" s="243"/>
      <c r="AHB543" s="243"/>
      <c r="AHC543" s="243"/>
      <c r="AHD543" s="243"/>
      <c r="AHE543" s="243"/>
      <c r="AHF543" s="243"/>
      <c r="AHG543" s="243"/>
      <c r="AHH543" s="243"/>
      <c r="AHI543" s="243"/>
      <c r="AHJ543" s="243"/>
      <c r="AHK543" s="243"/>
      <c r="AHL543" s="243"/>
      <c r="AHM543" s="243"/>
      <c r="AHN543" s="243"/>
      <c r="AHO543" s="243"/>
      <c r="AHP543" s="243"/>
      <c r="AHQ543" s="243"/>
      <c r="AHR543" s="243"/>
      <c r="AHS543" s="243"/>
      <c r="AHT543" s="243"/>
      <c r="AHU543" s="243"/>
      <c r="AHV543" s="243"/>
      <c r="AHW543" s="243"/>
      <c r="AHX543" s="243"/>
      <c r="AHY543" s="243"/>
      <c r="AHZ543" s="243"/>
      <c r="AIA543" s="243"/>
      <c r="AIB543" s="243"/>
      <c r="AIC543" s="243"/>
      <c r="AID543" s="243"/>
      <c r="AIE543" s="243"/>
      <c r="AIF543" s="243"/>
      <c r="AIG543" s="243"/>
      <c r="AIH543" s="243"/>
      <c r="AII543" s="243"/>
      <c r="AIJ543" s="243"/>
      <c r="AIK543" s="243"/>
      <c r="AIL543" s="243"/>
      <c r="AIM543" s="243"/>
      <c r="AIN543" s="243"/>
      <c r="AIO543" s="243"/>
      <c r="AIP543" s="243"/>
      <c r="AIQ543" s="243"/>
      <c r="AIR543" s="243"/>
      <c r="AIS543" s="243"/>
      <c r="AIT543" s="243"/>
      <c r="AIU543" s="243"/>
      <c r="AIV543" s="243"/>
      <c r="AIW543" s="243"/>
      <c r="AIX543" s="243"/>
      <c r="AIY543" s="243"/>
      <c r="AIZ543" s="243"/>
      <c r="AJA543" s="243"/>
      <c r="AJB543" s="243"/>
      <c r="AJC543" s="243"/>
      <c r="AJD543" s="243"/>
      <c r="AJE543" s="243"/>
      <c r="AJF543" s="243"/>
      <c r="AJG543" s="243"/>
      <c r="AJH543" s="243"/>
      <c r="AJI543" s="243"/>
      <c r="AJJ543" s="243"/>
      <c r="AJK543" s="243"/>
      <c r="AJL543" s="243"/>
      <c r="AJM543" s="243"/>
      <c r="AJN543" s="243"/>
      <c r="AJO543" s="243"/>
      <c r="AJP543" s="243"/>
      <c r="AJQ543" s="243"/>
      <c r="AJR543" s="243"/>
      <c r="AJS543" s="243"/>
      <c r="AJT543" s="243"/>
      <c r="AJU543" s="243"/>
      <c r="AJV543" s="243"/>
      <c r="AJW543" s="243"/>
      <c r="AJX543" s="243"/>
      <c r="AJY543" s="243"/>
      <c r="AJZ543" s="243"/>
      <c r="AKA543" s="243"/>
      <c r="AKB543" s="243"/>
      <c r="AKC543" s="243"/>
      <c r="AKD543" s="243"/>
      <c r="AKE543" s="243"/>
      <c r="AKF543" s="243"/>
      <c r="AKG543" s="243"/>
      <c r="AKH543" s="243"/>
      <c r="AKI543" s="243"/>
      <c r="AKJ543" s="243"/>
      <c r="AKK543" s="243"/>
      <c r="AKL543" s="243"/>
      <c r="AKM543" s="243"/>
      <c r="AKN543" s="243"/>
      <c r="AKO543" s="243"/>
      <c r="AKP543" s="243"/>
      <c r="AKQ543" s="243"/>
      <c r="AKR543" s="243"/>
      <c r="AKS543" s="243"/>
      <c r="AKT543" s="243"/>
      <c r="AKU543" s="243"/>
      <c r="AKV543" s="243"/>
      <c r="AKW543" s="243"/>
      <c r="AKX543" s="243"/>
      <c r="AKY543" s="243"/>
      <c r="AKZ543" s="243"/>
      <c r="ALA543" s="243"/>
      <c r="ALB543" s="243"/>
      <c r="ALC543" s="243"/>
      <c r="ALD543" s="243"/>
      <c r="ALE543" s="243"/>
      <c r="ALF543" s="243"/>
      <c r="ALG543" s="243"/>
      <c r="ALH543" s="243"/>
      <c r="ALI543" s="243"/>
      <c r="ALJ543" s="243"/>
      <c r="ALK543" s="243"/>
      <c r="ALL543" s="243"/>
      <c r="ALM543" s="243"/>
      <c r="ALN543" s="243"/>
      <c r="ALO543" s="243"/>
      <c r="ALP543" s="243"/>
      <c r="ALQ543" s="243"/>
      <c r="ALR543" s="243"/>
      <c r="ALS543" s="243"/>
      <c r="ALT543" s="243"/>
      <c r="ALU543" s="243"/>
      <c r="ALV543" s="243"/>
      <c r="ALW543" s="243"/>
      <c r="ALX543" s="243"/>
      <c r="ALY543" s="243"/>
      <c r="ALZ543" s="243"/>
      <c r="AMA543" s="243"/>
      <c r="AMB543" s="243"/>
      <c r="AMC543" s="243"/>
      <c r="AMD543" s="243"/>
      <c r="AME543" s="243"/>
      <c r="AMF543" s="243"/>
      <c r="AMG543" s="243"/>
      <c r="AMH543" s="243"/>
      <c r="AMI543" s="244"/>
      <c r="AMJ543" s="244"/>
    </row>
    <row r="544" spans="1:1024">
      <c r="A544" s="901"/>
      <c r="B544" s="551">
        <v>15366</v>
      </c>
      <c r="C544" s="690">
        <v>0.1</v>
      </c>
      <c r="D544" s="691" t="s">
        <v>342</v>
      </c>
      <c r="E544" s="620">
        <v>2500000</v>
      </c>
      <c r="F544" s="601">
        <v>0.1</v>
      </c>
      <c r="G544" s="364">
        <f t="shared" si="24"/>
        <v>250000</v>
      </c>
      <c r="H544" s="599" t="s">
        <v>202</v>
      </c>
      <c r="I544" s="604"/>
      <c r="J544" s="604"/>
      <c r="K544" s="732"/>
      <c r="L544" s="777"/>
      <c r="M544" s="625"/>
      <c r="N544" s="607"/>
      <c r="O544" s="778"/>
      <c r="P544" s="607"/>
      <c r="Q544" s="716"/>
      <c r="R544" s="243"/>
      <c r="S544" s="243"/>
      <c r="T544" s="243"/>
      <c r="U544" s="243"/>
      <c r="V544" s="243"/>
      <c r="W544" s="243"/>
      <c r="X544" s="243"/>
      <c r="Y544" s="243"/>
      <c r="Z544" s="243"/>
      <c r="AA544" s="243"/>
      <c r="AB544" s="243"/>
      <c r="AC544" s="243"/>
      <c r="AD544" s="243"/>
      <c r="AE544" s="243"/>
      <c r="AF544" s="243"/>
      <c r="AG544" s="243"/>
      <c r="AH544" s="243"/>
      <c r="AI544" s="243"/>
      <c r="AJ544" s="243"/>
      <c r="AK544" s="243"/>
      <c r="AL544" s="243"/>
      <c r="AM544" s="243"/>
      <c r="AN544" s="243"/>
      <c r="AO544" s="243"/>
      <c r="AP544" s="243"/>
      <c r="AQ544" s="243"/>
      <c r="AR544" s="243"/>
      <c r="AS544" s="243"/>
      <c r="AT544" s="243"/>
      <c r="AU544" s="243"/>
      <c r="AV544" s="243"/>
      <c r="AW544" s="243"/>
      <c r="AX544" s="243"/>
      <c r="AY544" s="243"/>
      <c r="AZ544" s="243"/>
      <c r="BA544" s="243"/>
      <c r="BB544" s="243"/>
      <c r="BC544" s="243"/>
      <c r="BD544" s="243"/>
      <c r="BE544" s="243"/>
      <c r="BF544" s="243"/>
      <c r="BG544" s="243"/>
      <c r="BH544" s="243"/>
      <c r="BI544" s="243"/>
      <c r="BJ544" s="243"/>
      <c r="BK544" s="243"/>
      <c r="BL544" s="243"/>
      <c r="BM544" s="243"/>
      <c r="BN544" s="243"/>
      <c r="BO544" s="243"/>
      <c r="BP544" s="243"/>
      <c r="BQ544" s="243"/>
      <c r="BR544" s="243"/>
      <c r="BS544" s="243"/>
      <c r="BT544" s="243"/>
      <c r="BU544" s="243"/>
      <c r="BV544" s="243"/>
      <c r="BW544" s="243"/>
      <c r="BX544" s="243"/>
      <c r="BY544" s="243"/>
      <c r="BZ544" s="243"/>
      <c r="CA544" s="243"/>
      <c r="CB544" s="243"/>
      <c r="CC544" s="243"/>
      <c r="CD544" s="243"/>
      <c r="CE544" s="243"/>
      <c r="CF544" s="243"/>
      <c r="CG544" s="243"/>
      <c r="CH544" s="243"/>
      <c r="CI544" s="243"/>
      <c r="CJ544" s="243"/>
      <c r="CK544" s="243"/>
      <c r="CL544" s="243"/>
      <c r="CM544" s="243"/>
      <c r="CN544" s="243"/>
      <c r="CO544" s="243"/>
      <c r="CP544" s="243"/>
      <c r="CQ544" s="243"/>
      <c r="CR544" s="243"/>
      <c r="CS544" s="243"/>
      <c r="CT544" s="243"/>
      <c r="CU544" s="243"/>
      <c r="CV544" s="243"/>
      <c r="CW544" s="243"/>
      <c r="CX544" s="243"/>
      <c r="CY544" s="243"/>
      <c r="CZ544" s="243"/>
      <c r="DA544" s="243"/>
      <c r="DB544" s="243"/>
      <c r="DC544" s="243"/>
      <c r="DD544" s="243"/>
      <c r="DE544" s="243"/>
      <c r="DF544" s="243"/>
      <c r="DG544" s="243"/>
      <c r="DH544" s="243"/>
      <c r="DI544" s="243"/>
      <c r="DJ544" s="243"/>
      <c r="DK544" s="243"/>
      <c r="DL544" s="243"/>
      <c r="DM544" s="243"/>
      <c r="DN544" s="243"/>
      <c r="DO544" s="243"/>
      <c r="DP544" s="243"/>
      <c r="DQ544" s="243"/>
      <c r="DR544" s="243"/>
      <c r="DS544" s="243"/>
      <c r="DT544" s="243"/>
      <c r="DU544" s="243"/>
      <c r="DV544" s="243"/>
      <c r="DW544" s="243"/>
      <c r="DX544" s="243"/>
      <c r="DY544" s="243"/>
      <c r="DZ544" s="243"/>
      <c r="EA544" s="243"/>
      <c r="EB544" s="243"/>
      <c r="EC544" s="243"/>
      <c r="ED544" s="243"/>
      <c r="EE544" s="243"/>
      <c r="EF544" s="243"/>
      <c r="EG544" s="243"/>
      <c r="EH544" s="243"/>
      <c r="EI544" s="243"/>
      <c r="EJ544" s="243"/>
      <c r="EK544" s="243"/>
      <c r="EL544" s="243"/>
      <c r="EM544" s="243"/>
      <c r="EN544" s="243"/>
      <c r="EO544" s="243"/>
      <c r="EP544" s="243"/>
      <c r="EQ544" s="243"/>
      <c r="ER544" s="243"/>
      <c r="ES544" s="243"/>
      <c r="ET544" s="243"/>
      <c r="EU544" s="243"/>
      <c r="EV544" s="243"/>
      <c r="EW544" s="243"/>
      <c r="EX544" s="243"/>
      <c r="EY544" s="243"/>
      <c r="EZ544" s="243"/>
      <c r="FA544" s="243"/>
      <c r="FB544" s="243"/>
      <c r="FC544" s="243"/>
      <c r="FD544" s="243"/>
      <c r="FE544" s="243"/>
      <c r="FF544" s="243"/>
      <c r="FG544" s="243"/>
      <c r="FH544" s="243"/>
      <c r="FI544" s="243"/>
      <c r="FJ544" s="243"/>
      <c r="FK544" s="243"/>
      <c r="FL544" s="243"/>
      <c r="FM544" s="243"/>
      <c r="FN544" s="243"/>
      <c r="FO544" s="243"/>
      <c r="FP544" s="243"/>
      <c r="FQ544" s="243"/>
      <c r="FR544" s="243"/>
      <c r="FS544" s="243"/>
      <c r="FT544" s="243"/>
      <c r="FU544" s="243"/>
      <c r="FV544" s="243"/>
      <c r="FW544" s="243"/>
      <c r="FX544" s="243"/>
      <c r="FY544" s="243"/>
      <c r="FZ544" s="243"/>
      <c r="GA544" s="243"/>
      <c r="GB544" s="243"/>
      <c r="GC544" s="243"/>
      <c r="GD544" s="243"/>
      <c r="GE544" s="243"/>
      <c r="GF544" s="243"/>
      <c r="GG544" s="243"/>
      <c r="GH544" s="243"/>
      <c r="GI544" s="243"/>
      <c r="GJ544" s="243"/>
      <c r="GK544" s="243"/>
      <c r="GL544" s="243"/>
      <c r="GM544" s="243"/>
      <c r="GN544" s="243"/>
      <c r="GO544" s="243"/>
      <c r="GP544" s="243"/>
      <c r="GQ544" s="243"/>
      <c r="GR544" s="243"/>
      <c r="GS544" s="243"/>
      <c r="GT544" s="243"/>
      <c r="GU544" s="243"/>
      <c r="GV544" s="243"/>
      <c r="GW544" s="243"/>
      <c r="GX544" s="243"/>
      <c r="GY544" s="243"/>
      <c r="GZ544" s="243"/>
      <c r="HA544" s="243"/>
      <c r="HB544" s="243"/>
      <c r="HC544" s="243"/>
      <c r="HD544" s="243"/>
      <c r="HE544" s="243"/>
      <c r="HF544" s="243"/>
      <c r="HG544" s="243"/>
      <c r="HH544" s="243"/>
      <c r="HI544" s="243"/>
      <c r="HJ544" s="243"/>
      <c r="HK544" s="243"/>
      <c r="HL544" s="243"/>
      <c r="HM544" s="243"/>
      <c r="HN544" s="243"/>
      <c r="HO544" s="243"/>
      <c r="HP544" s="243"/>
      <c r="HQ544" s="243"/>
      <c r="HR544" s="243"/>
      <c r="HS544" s="243"/>
      <c r="HT544" s="243"/>
      <c r="HU544" s="243"/>
      <c r="HV544" s="243"/>
      <c r="HW544" s="243"/>
      <c r="HX544" s="243"/>
      <c r="HY544" s="243"/>
      <c r="HZ544" s="243"/>
      <c r="IA544" s="243"/>
      <c r="IB544" s="243"/>
      <c r="IC544" s="243"/>
      <c r="ID544" s="243"/>
      <c r="IE544" s="243"/>
      <c r="IF544" s="243"/>
      <c r="IG544" s="243"/>
      <c r="IH544" s="243"/>
      <c r="II544" s="243"/>
      <c r="IJ544" s="243"/>
      <c r="IK544" s="243"/>
      <c r="IL544" s="243"/>
      <c r="IM544" s="243"/>
      <c r="IN544" s="243"/>
      <c r="IO544" s="243"/>
      <c r="IP544" s="243"/>
      <c r="IQ544" s="243"/>
      <c r="IR544" s="243"/>
      <c r="IS544" s="243"/>
      <c r="IT544" s="243"/>
      <c r="IU544" s="243"/>
      <c r="IV544" s="243"/>
      <c r="IW544" s="243"/>
      <c r="IX544" s="243"/>
      <c r="IY544" s="243"/>
      <c r="IZ544" s="243"/>
      <c r="JA544" s="243"/>
      <c r="JB544" s="243"/>
      <c r="JC544" s="243"/>
      <c r="JD544" s="243"/>
      <c r="JE544" s="243"/>
      <c r="JF544" s="243"/>
      <c r="JG544" s="243"/>
      <c r="JH544" s="243"/>
      <c r="JI544" s="243"/>
      <c r="JJ544" s="243"/>
      <c r="JK544" s="243"/>
      <c r="JL544" s="243"/>
      <c r="JM544" s="243"/>
      <c r="JN544" s="243"/>
      <c r="JO544" s="243"/>
      <c r="JP544" s="243"/>
      <c r="JQ544" s="243"/>
      <c r="JR544" s="243"/>
      <c r="JS544" s="243"/>
      <c r="JT544" s="243"/>
      <c r="JU544" s="243"/>
      <c r="JV544" s="243"/>
      <c r="JW544" s="243"/>
      <c r="JX544" s="243"/>
      <c r="JY544" s="243"/>
      <c r="JZ544" s="243"/>
      <c r="KA544" s="243"/>
      <c r="KB544" s="243"/>
      <c r="KC544" s="243"/>
      <c r="KD544" s="243"/>
      <c r="KE544" s="243"/>
      <c r="KF544" s="243"/>
      <c r="KG544" s="243"/>
      <c r="KH544" s="243"/>
      <c r="KI544" s="243"/>
      <c r="KJ544" s="243"/>
      <c r="KK544" s="243"/>
      <c r="KL544" s="243"/>
      <c r="KM544" s="243"/>
      <c r="KN544" s="243"/>
      <c r="KO544" s="243"/>
      <c r="KP544" s="243"/>
      <c r="KQ544" s="243"/>
      <c r="KR544" s="243"/>
      <c r="KS544" s="243"/>
      <c r="KT544" s="243"/>
      <c r="KU544" s="243"/>
      <c r="KV544" s="243"/>
      <c r="KW544" s="243"/>
      <c r="KX544" s="243"/>
      <c r="KY544" s="243"/>
      <c r="KZ544" s="243"/>
      <c r="LA544" s="243"/>
      <c r="LB544" s="243"/>
      <c r="LC544" s="243"/>
      <c r="LD544" s="243"/>
      <c r="LE544" s="243"/>
      <c r="LF544" s="243"/>
      <c r="LG544" s="243"/>
      <c r="LH544" s="243"/>
      <c r="LI544" s="243"/>
      <c r="LJ544" s="243"/>
      <c r="LK544" s="243"/>
      <c r="LL544" s="243"/>
      <c r="LM544" s="243"/>
      <c r="LN544" s="243"/>
      <c r="LO544" s="243"/>
      <c r="LP544" s="243"/>
      <c r="LQ544" s="243"/>
      <c r="LR544" s="243"/>
      <c r="LS544" s="243"/>
      <c r="LT544" s="243"/>
      <c r="LU544" s="243"/>
      <c r="LV544" s="243"/>
      <c r="LW544" s="243"/>
      <c r="LX544" s="243"/>
      <c r="LY544" s="243"/>
      <c r="LZ544" s="243"/>
      <c r="MA544" s="243"/>
      <c r="MB544" s="243"/>
      <c r="MC544" s="243"/>
      <c r="MD544" s="243"/>
      <c r="ME544" s="243"/>
      <c r="MF544" s="243"/>
      <c r="MG544" s="243"/>
      <c r="MH544" s="243"/>
      <c r="MI544" s="243"/>
      <c r="MJ544" s="243"/>
      <c r="MK544" s="243"/>
      <c r="ML544" s="243"/>
      <c r="MM544" s="243"/>
      <c r="MN544" s="243"/>
      <c r="MO544" s="243"/>
      <c r="MP544" s="243"/>
      <c r="MQ544" s="243"/>
      <c r="MR544" s="243"/>
      <c r="MS544" s="243"/>
      <c r="MT544" s="243"/>
      <c r="MU544" s="243"/>
      <c r="MV544" s="243"/>
      <c r="MW544" s="243"/>
      <c r="MX544" s="243"/>
      <c r="MY544" s="243"/>
      <c r="MZ544" s="243"/>
      <c r="NA544" s="243"/>
      <c r="NB544" s="243"/>
      <c r="NC544" s="243"/>
      <c r="ND544" s="243"/>
      <c r="NE544" s="243"/>
      <c r="NF544" s="243"/>
      <c r="NG544" s="243"/>
      <c r="NH544" s="243"/>
      <c r="NI544" s="243"/>
      <c r="NJ544" s="243"/>
      <c r="NK544" s="243"/>
      <c r="NL544" s="243"/>
      <c r="NM544" s="243"/>
      <c r="NN544" s="243"/>
      <c r="NO544" s="243"/>
      <c r="NP544" s="243"/>
      <c r="NQ544" s="243"/>
      <c r="NR544" s="243"/>
      <c r="NS544" s="243"/>
      <c r="NT544" s="243"/>
      <c r="NU544" s="243"/>
      <c r="NV544" s="243"/>
      <c r="NW544" s="243"/>
      <c r="NX544" s="243"/>
      <c r="NY544" s="243"/>
      <c r="NZ544" s="243"/>
      <c r="OA544" s="243"/>
      <c r="OB544" s="243"/>
      <c r="OC544" s="243"/>
      <c r="OD544" s="243"/>
      <c r="OE544" s="243"/>
      <c r="OF544" s="243"/>
      <c r="OG544" s="243"/>
      <c r="OH544" s="243"/>
      <c r="OI544" s="243"/>
      <c r="OJ544" s="243"/>
      <c r="OK544" s="243"/>
      <c r="OL544" s="243"/>
      <c r="OM544" s="243"/>
      <c r="ON544" s="243"/>
      <c r="OO544" s="243"/>
      <c r="OP544" s="243"/>
      <c r="OQ544" s="243"/>
      <c r="OR544" s="243"/>
      <c r="OS544" s="243"/>
      <c r="OT544" s="243"/>
      <c r="OU544" s="243"/>
      <c r="OV544" s="243"/>
      <c r="OW544" s="243"/>
      <c r="OX544" s="243"/>
      <c r="OY544" s="243"/>
      <c r="OZ544" s="243"/>
      <c r="PA544" s="243"/>
      <c r="PB544" s="243"/>
      <c r="PC544" s="243"/>
      <c r="PD544" s="243"/>
      <c r="PE544" s="243"/>
      <c r="PF544" s="243"/>
      <c r="PG544" s="243"/>
      <c r="PH544" s="243"/>
      <c r="PI544" s="243"/>
      <c r="PJ544" s="243"/>
      <c r="PK544" s="243"/>
      <c r="PL544" s="243"/>
      <c r="PM544" s="243"/>
      <c r="PN544" s="243"/>
      <c r="PO544" s="243"/>
      <c r="PP544" s="243"/>
      <c r="PQ544" s="243"/>
      <c r="PR544" s="243"/>
      <c r="PS544" s="243"/>
      <c r="PT544" s="243"/>
      <c r="PU544" s="243"/>
      <c r="PV544" s="243"/>
      <c r="PW544" s="243"/>
      <c r="PX544" s="243"/>
      <c r="PY544" s="243"/>
      <c r="PZ544" s="243"/>
      <c r="QA544" s="243"/>
      <c r="QB544" s="243"/>
      <c r="QC544" s="243"/>
      <c r="QD544" s="243"/>
      <c r="QE544" s="243"/>
      <c r="QF544" s="243"/>
      <c r="QG544" s="243"/>
      <c r="QH544" s="243"/>
      <c r="QI544" s="243"/>
      <c r="QJ544" s="243"/>
      <c r="QK544" s="243"/>
      <c r="QL544" s="243"/>
      <c r="QM544" s="243"/>
      <c r="QN544" s="243"/>
      <c r="QO544" s="243"/>
      <c r="QP544" s="243"/>
      <c r="QQ544" s="243"/>
      <c r="QR544" s="243"/>
      <c r="QS544" s="243"/>
      <c r="QT544" s="243"/>
      <c r="QU544" s="243"/>
      <c r="QV544" s="243"/>
      <c r="QW544" s="243"/>
      <c r="QX544" s="243"/>
      <c r="QY544" s="243"/>
      <c r="QZ544" s="243"/>
      <c r="RA544" s="243"/>
      <c r="RB544" s="243"/>
      <c r="RC544" s="243"/>
      <c r="RD544" s="243"/>
      <c r="RE544" s="243"/>
      <c r="RF544" s="243"/>
      <c r="RG544" s="243"/>
      <c r="RH544" s="243"/>
      <c r="RI544" s="243"/>
      <c r="RJ544" s="243"/>
      <c r="RK544" s="243"/>
      <c r="RL544" s="243"/>
      <c r="RM544" s="243"/>
      <c r="RN544" s="243"/>
      <c r="RO544" s="243"/>
      <c r="RP544" s="243"/>
      <c r="RQ544" s="243"/>
      <c r="RR544" s="243"/>
      <c r="RS544" s="243"/>
      <c r="RT544" s="243"/>
      <c r="RU544" s="243"/>
      <c r="RV544" s="243"/>
      <c r="RW544" s="243"/>
      <c r="RX544" s="243"/>
      <c r="RY544" s="243"/>
      <c r="RZ544" s="243"/>
      <c r="SA544" s="243"/>
      <c r="SB544" s="243"/>
      <c r="SC544" s="243"/>
      <c r="SD544" s="243"/>
      <c r="SE544" s="243"/>
      <c r="SF544" s="243"/>
      <c r="SG544" s="243"/>
      <c r="SH544" s="243"/>
      <c r="SI544" s="243"/>
      <c r="SJ544" s="243"/>
      <c r="SK544" s="243"/>
      <c r="SL544" s="243"/>
      <c r="SM544" s="243"/>
      <c r="SN544" s="243"/>
      <c r="SO544" s="243"/>
      <c r="SP544" s="243"/>
      <c r="SQ544" s="243"/>
      <c r="SR544" s="243"/>
      <c r="SS544" s="243"/>
      <c r="ST544" s="243"/>
      <c r="SU544" s="243"/>
      <c r="SV544" s="243"/>
      <c r="SW544" s="243"/>
      <c r="SX544" s="243"/>
      <c r="SY544" s="243"/>
      <c r="SZ544" s="243"/>
      <c r="TA544" s="243"/>
      <c r="TB544" s="243"/>
      <c r="TC544" s="243"/>
      <c r="TD544" s="243"/>
      <c r="TE544" s="243"/>
      <c r="TF544" s="243"/>
      <c r="TG544" s="243"/>
      <c r="TH544" s="243"/>
      <c r="TI544" s="243"/>
      <c r="TJ544" s="243"/>
      <c r="TK544" s="243"/>
      <c r="TL544" s="243"/>
      <c r="TM544" s="243"/>
      <c r="TN544" s="243"/>
      <c r="TO544" s="243"/>
      <c r="TP544" s="243"/>
      <c r="TQ544" s="243"/>
      <c r="TR544" s="243"/>
      <c r="TS544" s="243"/>
      <c r="TT544" s="243"/>
      <c r="TU544" s="243"/>
      <c r="TV544" s="243"/>
      <c r="TW544" s="243"/>
      <c r="TX544" s="243"/>
      <c r="TY544" s="243"/>
      <c r="TZ544" s="243"/>
      <c r="UA544" s="243"/>
      <c r="UB544" s="243"/>
      <c r="UC544" s="243"/>
      <c r="UD544" s="243"/>
      <c r="UE544" s="243"/>
      <c r="UF544" s="243"/>
      <c r="UG544" s="243"/>
      <c r="UH544" s="243"/>
      <c r="UI544" s="243"/>
      <c r="UJ544" s="243"/>
      <c r="UK544" s="243"/>
      <c r="UL544" s="243"/>
      <c r="UM544" s="243"/>
      <c r="UN544" s="243"/>
      <c r="UO544" s="243"/>
      <c r="UP544" s="243"/>
      <c r="UQ544" s="243"/>
      <c r="UR544" s="243"/>
      <c r="US544" s="243"/>
      <c r="UT544" s="243"/>
      <c r="UU544" s="243"/>
      <c r="UV544" s="243"/>
      <c r="UW544" s="243"/>
      <c r="UX544" s="243"/>
      <c r="UY544" s="243"/>
      <c r="UZ544" s="243"/>
      <c r="VA544" s="243"/>
      <c r="VB544" s="243"/>
      <c r="VC544" s="243"/>
      <c r="VD544" s="243"/>
      <c r="VE544" s="243"/>
      <c r="VF544" s="243"/>
      <c r="VG544" s="243"/>
      <c r="VH544" s="243"/>
      <c r="VI544" s="243"/>
      <c r="VJ544" s="243"/>
      <c r="VK544" s="243"/>
      <c r="VL544" s="243"/>
      <c r="VM544" s="243"/>
      <c r="VN544" s="243"/>
      <c r="VO544" s="243"/>
      <c r="VP544" s="243"/>
      <c r="VQ544" s="243"/>
      <c r="VR544" s="243"/>
      <c r="VS544" s="243"/>
      <c r="VT544" s="243"/>
      <c r="VU544" s="243"/>
      <c r="VV544" s="243"/>
      <c r="VW544" s="243"/>
      <c r="VX544" s="243"/>
      <c r="VY544" s="243"/>
      <c r="VZ544" s="243"/>
      <c r="WA544" s="243"/>
      <c r="WB544" s="243"/>
      <c r="WC544" s="243"/>
      <c r="WD544" s="243"/>
      <c r="WE544" s="243"/>
      <c r="WF544" s="243"/>
      <c r="WG544" s="243"/>
      <c r="WH544" s="243"/>
      <c r="WI544" s="243"/>
      <c r="WJ544" s="243"/>
      <c r="WK544" s="243"/>
      <c r="WL544" s="243"/>
      <c r="WM544" s="243"/>
      <c r="WN544" s="243"/>
      <c r="WO544" s="243"/>
      <c r="WP544" s="243"/>
      <c r="WQ544" s="243"/>
      <c r="WR544" s="243"/>
      <c r="WS544" s="243"/>
      <c r="WT544" s="243"/>
      <c r="WU544" s="243"/>
      <c r="WV544" s="243"/>
      <c r="WW544" s="243"/>
      <c r="WX544" s="243"/>
      <c r="WY544" s="243"/>
      <c r="WZ544" s="243"/>
      <c r="XA544" s="243"/>
      <c r="XB544" s="243"/>
      <c r="XC544" s="243"/>
      <c r="XD544" s="243"/>
      <c r="XE544" s="243"/>
      <c r="XF544" s="243"/>
      <c r="XG544" s="243"/>
      <c r="XH544" s="243"/>
      <c r="XI544" s="243"/>
      <c r="XJ544" s="243"/>
      <c r="XK544" s="243"/>
      <c r="XL544" s="243"/>
      <c r="XM544" s="243"/>
      <c r="XN544" s="243"/>
      <c r="XO544" s="243"/>
      <c r="XP544" s="243"/>
      <c r="XQ544" s="243"/>
      <c r="XR544" s="243"/>
      <c r="XS544" s="243"/>
      <c r="XT544" s="243"/>
      <c r="XU544" s="243"/>
      <c r="XV544" s="243"/>
      <c r="XW544" s="243"/>
      <c r="XX544" s="243"/>
      <c r="XY544" s="243"/>
      <c r="XZ544" s="243"/>
      <c r="YA544" s="243"/>
      <c r="YB544" s="243"/>
      <c r="YC544" s="243"/>
      <c r="YD544" s="243"/>
      <c r="YE544" s="243"/>
      <c r="YF544" s="243"/>
      <c r="YG544" s="243"/>
      <c r="YH544" s="243"/>
      <c r="YI544" s="243"/>
      <c r="YJ544" s="243"/>
      <c r="YK544" s="243"/>
      <c r="YL544" s="243"/>
      <c r="YM544" s="243"/>
      <c r="YN544" s="243"/>
      <c r="YO544" s="243"/>
      <c r="YP544" s="243"/>
      <c r="YQ544" s="243"/>
      <c r="YR544" s="243"/>
      <c r="YS544" s="243"/>
      <c r="YT544" s="243"/>
      <c r="YU544" s="243"/>
      <c r="YV544" s="243"/>
      <c r="YW544" s="243"/>
      <c r="YX544" s="243"/>
      <c r="YY544" s="243"/>
      <c r="YZ544" s="243"/>
      <c r="ZA544" s="243"/>
      <c r="ZB544" s="243"/>
      <c r="ZC544" s="243"/>
      <c r="ZD544" s="243"/>
      <c r="ZE544" s="243"/>
      <c r="ZF544" s="243"/>
      <c r="ZG544" s="243"/>
      <c r="ZH544" s="243"/>
      <c r="ZI544" s="243"/>
      <c r="ZJ544" s="243"/>
      <c r="ZK544" s="243"/>
      <c r="ZL544" s="243"/>
      <c r="ZM544" s="243"/>
      <c r="ZN544" s="243"/>
      <c r="ZO544" s="243"/>
      <c r="ZP544" s="243"/>
      <c r="ZQ544" s="243"/>
      <c r="ZR544" s="243"/>
      <c r="ZS544" s="243"/>
      <c r="ZT544" s="243"/>
      <c r="ZU544" s="243"/>
      <c r="ZV544" s="243"/>
      <c r="ZW544" s="243"/>
      <c r="ZX544" s="243"/>
      <c r="ZY544" s="243"/>
      <c r="ZZ544" s="243"/>
      <c r="AAA544" s="243"/>
      <c r="AAB544" s="243"/>
      <c r="AAC544" s="243"/>
      <c r="AAD544" s="243"/>
      <c r="AAE544" s="243"/>
      <c r="AAF544" s="243"/>
      <c r="AAG544" s="243"/>
      <c r="AAH544" s="243"/>
      <c r="AAI544" s="243"/>
      <c r="AAJ544" s="243"/>
      <c r="AAK544" s="243"/>
      <c r="AAL544" s="243"/>
      <c r="AAM544" s="243"/>
      <c r="AAN544" s="243"/>
      <c r="AAO544" s="243"/>
      <c r="AAP544" s="243"/>
      <c r="AAQ544" s="243"/>
      <c r="AAR544" s="243"/>
      <c r="AAS544" s="243"/>
      <c r="AAT544" s="243"/>
      <c r="AAU544" s="243"/>
      <c r="AAV544" s="243"/>
      <c r="AAW544" s="243"/>
      <c r="AAX544" s="243"/>
      <c r="AAY544" s="243"/>
      <c r="AAZ544" s="243"/>
      <c r="ABA544" s="243"/>
      <c r="ABB544" s="243"/>
      <c r="ABC544" s="243"/>
      <c r="ABD544" s="243"/>
      <c r="ABE544" s="243"/>
      <c r="ABF544" s="243"/>
      <c r="ABG544" s="243"/>
      <c r="ABH544" s="243"/>
      <c r="ABI544" s="243"/>
      <c r="ABJ544" s="243"/>
      <c r="ABK544" s="243"/>
      <c r="ABL544" s="243"/>
      <c r="ABM544" s="243"/>
      <c r="ABN544" s="243"/>
      <c r="ABO544" s="243"/>
      <c r="ABP544" s="243"/>
      <c r="ABQ544" s="243"/>
      <c r="ABR544" s="243"/>
      <c r="ABS544" s="243"/>
      <c r="ABT544" s="243"/>
      <c r="ABU544" s="243"/>
      <c r="ABV544" s="243"/>
      <c r="ABW544" s="243"/>
      <c r="ABX544" s="243"/>
      <c r="ABY544" s="243"/>
      <c r="ABZ544" s="243"/>
      <c r="ACA544" s="243"/>
      <c r="ACB544" s="243"/>
      <c r="ACC544" s="243"/>
      <c r="ACD544" s="243"/>
      <c r="ACE544" s="243"/>
      <c r="ACF544" s="243"/>
      <c r="ACG544" s="243"/>
      <c r="ACH544" s="243"/>
      <c r="ACI544" s="243"/>
      <c r="ACJ544" s="243"/>
      <c r="ACK544" s="243"/>
      <c r="ACL544" s="243"/>
      <c r="ACM544" s="243"/>
      <c r="ACN544" s="243"/>
      <c r="ACO544" s="243"/>
      <c r="ACP544" s="243"/>
      <c r="ACQ544" s="243"/>
      <c r="ACR544" s="243"/>
      <c r="ACS544" s="243"/>
      <c r="ACT544" s="243"/>
      <c r="ACU544" s="243"/>
      <c r="ACV544" s="243"/>
      <c r="ACW544" s="243"/>
      <c r="ACX544" s="243"/>
      <c r="ACY544" s="243"/>
      <c r="ACZ544" s="243"/>
      <c r="ADA544" s="243"/>
      <c r="ADB544" s="243"/>
      <c r="ADC544" s="243"/>
      <c r="ADD544" s="243"/>
      <c r="ADE544" s="243"/>
      <c r="ADF544" s="243"/>
      <c r="ADG544" s="243"/>
      <c r="ADH544" s="243"/>
      <c r="ADI544" s="243"/>
      <c r="ADJ544" s="243"/>
      <c r="ADK544" s="243"/>
      <c r="ADL544" s="243"/>
      <c r="ADM544" s="243"/>
      <c r="ADN544" s="243"/>
      <c r="ADO544" s="243"/>
      <c r="ADP544" s="243"/>
      <c r="ADQ544" s="243"/>
      <c r="ADR544" s="243"/>
      <c r="ADS544" s="243"/>
      <c r="ADT544" s="243"/>
      <c r="ADU544" s="243"/>
      <c r="ADV544" s="243"/>
      <c r="ADW544" s="243"/>
      <c r="ADX544" s="243"/>
      <c r="ADY544" s="243"/>
      <c r="ADZ544" s="243"/>
      <c r="AEA544" s="243"/>
      <c r="AEB544" s="243"/>
      <c r="AEC544" s="243"/>
      <c r="AED544" s="243"/>
      <c r="AEE544" s="243"/>
      <c r="AEF544" s="243"/>
      <c r="AEG544" s="243"/>
      <c r="AEH544" s="243"/>
      <c r="AEI544" s="243"/>
      <c r="AEJ544" s="243"/>
      <c r="AEK544" s="243"/>
      <c r="AEL544" s="243"/>
      <c r="AEM544" s="243"/>
      <c r="AEN544" s="243"/>
      <c r="AEO544" s="243"/>
      <c r="AEP544" s="243"/>
      <c r="AEQ544" s="243"/>
      <c r="AER544" s="243"/>
      <c r="AES544" s="243"/>
      <c r="AET544" s="243"/>
      <c r="AEU544" s="243"/>
      <c r="AEV544" s="243"/>
      <c r="AEW544" s="243"/>
      <c r="AEX544" s="243"/>
      <c r="AEY544" s="243"/>
      <c r="AEZ544" s="243"/>
      <c r="AFA544" s="243"/>
      <c r="AFB544" s="243"/>
      <c r="AFC544" s="243"/>
      <c r="AFD544" s="243"/>
      <c r="AFE544" s="243"/>
      <c r="AFF544" s="243"/>
      <c r="AFG544" s="243"/>
      <c r="AFH544" s="243"/>
      <c r="AFI544" s="243"/>
      <c r="AFJ544" s="243"/>
      <c r="AFK544" s="243"/>
      <c r="AFL544" s="243"/>
      <c r="AFM544" s="243"/>
      <c r="AFN544" s="243"/>
      <c r="AFO544" s="243"/>
      <c r="AFP544" s="243"/>
      <c r="AFQ544" s="243"/>
      <c r="AFR544" s="243"/>
      <c r="AFS544" s="243"/>
      <c r="AFT544" s="243"/>
      <c r="AFU544" s="243"/>
      <c r="AFV544" s="243"/>
      <c r="AFW544" s="243"/>
      <c r="AFX544" s="243"/>
      <c r="AFY544" s="243"/>
      <c r="AFZ544" s="243"/>
      <c r="AGA544" s="243"/>
      <c r="AGB544" s="243"/>
      <c r="AGC544" s="243"/>
      <c r="AGD544" s="243"/>
      <c r="AGE544" s="243"/>
      <c r="AGF544" s="243"/>
      <c r="AGG544" s="243"/>
      <c r="AGH544" s="243"/>
      <c r="AGI544" s="243"/>
      <c r="AGJ544" s="243"/>
      <c r="AGK544" s="243"/>
      <c r="AGL544" s="243"/>
      <c r="AGM544" s="243"/>
      <c r="AGN544" s="243"/>
      <c r="AGO544" s="243"/>
      <c r="AGP544" s="243"/>
      <c r="AGQ544" s="243"/>
      <c r="AGR544" s="243"/>
      <c r="AGS544" s="243"/>
      <c r="AGT544" s="243"/>
      <c r="AGU544" s="243"/>
      <c r="AGV544" s="243"/>
      <c r="AGW544" s="243"/>
      <c r="AGX544" s="243"/>
      <c r="AGY544" s="243"/>
      <c r="AGZ544" s="243"/>
      <c r="AHA544" s="243"/>
      <c r="AHB544" s="243"/>
      <c r="AHC544" s="243"/>
      <c r="AHD544" s="243"/>
      <c r="AHE544" s="243"/>
      <c r="AHF544" s="243"/>
      <c r="AHG544" s="243"/>
      <c r="AHH544" s="243"/>
      <c r="AHI544" s="243"/>
      <c r="AHJ544" s="243"/>
      <c r="AHK544" s="243"/>
      <c r="AHL544" s="243"/>
      <c r="AHM544" s="243"/>
      <c r="AHN544" s="243"/>
      <c r="AHO544" s="243"/>
      <c r="AHP544" s="243"/>
      <c r="AHQ544" s="243"/>
      <c r="AHR544" s="243"/>
      <c r="AHS544" s="243"/>
      <c r="AHT544" s="243"/>
      <c r="AHU544" s="243"/>
      <c r="AHV544" s="243"/>
      <c r="AHW544" s="243"/>
      <c r="AHX544" s="243"/>
      <c r="AHY544" s="243"/>
      <c r="AHZ544" s="243"/>
      <c r="AIA544" s="243"/>
      <c r="AIB544" s="243"/>
      <c r="AIC544" s="243"/>
      <c r="AID544" s="243"/>
      <c r="AIE544" s="243"/>
      <c r="AIF544" s="243"/>
      <c r="AIG544" s="243"/>
      <c r="AIH544" s="243"/>
      <c r="AII544" s="243"/>
      <c r="AIJ544" s="243"/>
      <c r="AIK544" s="243"/>
      <c r="AIL544" s="243"/>
      <c r="AIM544" s="243"/>
      <c r="AIN544" s="243"/>
      <c r="AIO544" s="243"/>
      <c r="AIP544" s="243"/>
      <c r="AIQ544" s="243"/>
      <c r="AIR544" s="243"/>
      <c r="AIS544" s="243"/>
      <c r="AIT544" s="243"/>
      <c r="AIU544" s="243"/>
      <c r="AIV544" s="243"/>
      <c r="AIW544" s="243"/>
      <c r="AIX544" s="243"/>
      <c r="AIY544" s="243"/>
      <c r="AIZ544" s="243"/>
      <c r="AJA544" s="243"/>
      <c r="AJB544" s="243"/>
      <c r="AJC544" s="243"/>
      <c r="AJD544" s="243"/>
      <c r="AJE544" s="243"/>
      <c r="AJF544" s="243"/>
      <c r="AJG544" s="243"/>
      <c r="AJH544" s="243"/>
      <c r="AJI544" s="243"/>
      <c r="AJJ544" s="243"/>
      <c r="AJK544" s="243"/>
      <c r="AJL544" s="243"/>
      <c r="AJM544" s="243"/>
      <c r="AJN544" s="243"/>
      <c r="AJO544" s="243"/>
      <c r="AJP544" s="243"/>
      <c r="AJQ544" s="243"/>
      <c r="AJR544" s="243"/>
      <c r="AJS544" s="243"/>
      <c r="AJT544" s="243"/>
      <c r="AJU544" s="243"/>
      <c r="AJV544" s="243"/>
      <c r="AJW544" s="243"/>
      <c r="AJX544" s="243"/>
      <c r="AJY544" s="243"/>
      <c r="AJZ544" s="243"/>
      <c r="AKA544" s="243"/>
      <c r="AKB544" s="243"/>
      <c r="AKC544" s="243"/>
      <c r="AKD544" s="243"/>
      <c r="AKE544" s="243"/>
      <c r="AKF544" s="243"/>
      <c r="AKG544" s="243"/>
      <c r="AKH544" s="243"/>
      <c r="AKI544" s="243"/>
      <c r="AKJ544" s="243"/>
      <c r="AKK544" s="243"/>
      <c r="AKL544" s="243"/>
      <c r="AKM544" s="243"/>
      <c r="AKN544" s="243"/>
      <c r="AKO544" s="243"/>
      <c r="AKP544" s="243"/>
      <c r="AKQ544" s="243"/>
      <c r="AKR544" s="243"/>
      <c r="AKS544" s="243"/>
      <c r="AKT544" s="243"/>
      <c r="AKU544" s="243"/>
      <c r="AKV544" s="243"/>
      <c r="AKW544" s="243"/>
      <c r="AKX544" s="243"/>
      <c r="AKY544" s="243"/>
      <c r="AKZ544" s="243"/>
      <c r="ALA544" s="243"/>
      <c r="ALB544" s="243"/>
      <c r="ALC544" s="243"/>
      <c r="ALD544" s="243"/>
      <c r="ALE544" s="243"/>
      <c r="ALF544" s="243"/>
      <c r="ALG544" s="243"/>
      <c r="ALH544" s="243"/>
      <c r="ALI544" s="243"/>
      <c r="ALJ544" s="243"/>
      <c r="ALK544" s="243"/>
      <c r="ALL544" s="243"/>
      <c r="ALM544" s="243"/>
      <c r="ALN544" s="243"/>
      <c r="ALO544" s="243"/>
      <c r="ALP544" s="243"/>
      <c r="ALQ544" s="243"/>
      <c r="ALR544" s="243"/>
      <c r="ALS544" s="243"/>
      <c r="ALT544" s="243"/>
      <c r="ALU544" s="243"/>
      <c r="ALV544" s="243"/>
      <c r="ALW544" s="243"/>
      <c r="ALX544" s="243"/>
      <c r="ALY544" s="243"/>
      <c r="ALZ544" s="243"/>
      <c r="AMA544" s="243"/>
      <c r="AMB544" s="243"/>
      <c r="AMC544" s="243"/>
      <c r="AMD544" s="243"/>
      <c r="AME544" s="243"/>
      <c r="AMF544" s="243"/>
      <c r="AMG544" s="243"/>
      <c r="AMH544" s="243"/>
      <c r="AMI544" s="244"/>
      <c r="AMJ544" s="244"/>
    </row>
    <row r="545" spans="1:1024">
      <c r="A545" s="901"/>
      <c r="B545" s="557">
        <v>15395</v>
      </c>
      <c r="C545" s="574">
        <v>0.1</v>
      </c>
      <c r="D545" s="542" t="s">
        <v>343</v>
      </c>
      <c r="E545" s="364">
        <v>3200000</v>
      </c>
      <c r="F545" s="541">
        <v>0.1</v>
      </c>
      <c r="G545" s="364">
        <f t="shared" si="24"/>
        <v>320000</v>
      </c>
      <c r="H545" s="637" t="s">
        <v>202</v>
      </c>
      <c r="I545" s="318"/>
      <c r="J545" s="604"/>
      <c r="K545" s="625"/>
      <c r="L545" s="625"/>
      <c r="M545" s="625"/>
      <c r="N545" s="607"/>
      <c r="O545" s="717"/>
      <c r="P545" s="607"/>
      <c r="Q545" s="624"/>
    </row>
    <row r="546" spans="1:1024">
      <c r="A546" s="905"/>
      <c r="B546" s="119"/>
      <c r="C546" s="594"/>
      <c r="D546" s="318"/>
      <c r="E546" s="321"/>
      <c r="F546" s="318"/>
      <c r="G546" s="318"/>
      <c r="H546" s="604"/>
      <c r="I546" s="604"/>
      <c r="J546" s="604"/>
      <c r="K546" s="712"/>
      <c r="L546" s="712"/>
      <c r="M546" s="318" t="s">
        <v>26</v>
      </c>
      <c r="N546" s="563">
        <f>SUM(N541:N544)</f>
        <v>2800000</v>
      </c>
      <c r="O546" s="589" t="s">
        <v>26</v>
      </c>
      <c r="P546" s="563">
        <f>SUM(P541:P544)</f>
        <v>112000</v>
      </c>
      <c r="Q546" s="716"/>
      <c r="R546" s="243"/>
      <c r="S546" s="243"/>
      <c r="T546" s="243"/>
      <c r="U546" s="243"/>
      <c r="V546" s="243"/>
      <c r="W546" s="243"/>
      <c r="X546" s="243"/>
      <c r="Y546" s="243"/>
      <c r="Z546" s="243"/>
      <c r="AA546" s="243"/>
      <c r="AB546" s="243"/>
      <c r="AC546" s="243"/>
      <c r="AD546" s="243"/>
      <c r="AE546" s="243"/>
      <c r="AF546" s="243"/>
      <c r="AG546" s="243"/>
      <c r="AH546" s="243"/>
      <c r="AI546" s="243"/>
      <c r="AJ546" s="243"/>
      <c r="AK546" s="243"/>
      <c r="AL546" s="243"/>
      <c r="AM546" s="243"/>
      <c r="AN546" s="243"/>
      <c r="AO546" s="243"/>
      <c r="AP546" s="243"/>
      <c r="AQ546" s="243"/>
      <c r="AR546" s="243"/>
      <c r="AS546" s="243"/>
      <c r="AT546" s="243"/>
      <c r="AU546" s="243"/>
      <c r="AV546" s="243"/>
      <c r="AW546" s="243"/>
      <c r="AX546" s="243"/>
      <c r="AY546" s="243"/>
      <c r="AZ546" s="243"/>
      <c r="BA546" s="243"/>
      <c r="BB546" s="243"/>
      <c r="BC546" s="243"/>
      <c r="BD546" s="243"/>
      <c r="BE546" s="243"/>
      <c r="BF546" s="243"/>
      <c r="BG546" s="243"/>
      <c r="BH546" s="243"/>
      <c r="BI546" s="243"/>
      <c r="BJ546" s="243"/>
      <c r="BK546" s="243"/>
      <c r="BL546" s="243"/>
      <c r="BM546" s="243"/>
      <c r="BN546" s="243"/>
      <c r="BO546" s="243"/>
      <c r="BP546" s="243"/>
      <c r="BQ546" s="243"/>
      <c r="BR546" s="243"/>
      <c r="BS546" s="243"/>
      <c r="BT546" s="243"/>
      <c r="BU546" s="243"/>
      <c r="BV546" s="243"/>
      <c r="BW546" s="243"/>
      <c r="BX546" s="243"/>
      <c r="BY546" s="243"/>
      <c r="BZ546" s="243"/>
      <c r="CA546" s="243"/>
      <c r="CB546" s="243"/>
      <c r="CC546" s="243"/>
      <c r="CD546" s="243"/>
      <c r="CE546" s="243"/>
      <c r="CF546" s="243"/>
      <c r="CG546" s="243"/>
      <c r="CH546" s="243"/>
      <c r="CI546" s="243"/>
      <c r="CJ546" s="243"/>
      <c r="CK546" s="243"/>
      <c r="CL546" s="243"/>
      <c r="CM546" s="243"/>
      <c r="CN546" s="243"/>
      <c r="CO546" s="243"/>
      <c r="CP546" s="243"/>
      <c r="CQ546" s="243"/>
      <c r="CR546" s="243"/>
      <c r="CS546" s="243"/>
      <c r="CT546" s="243"/>
      <c r="CU546" s="243"/>
      <c r="CV546" s="243"/>
      <c r="CW546" s="243"/>
      <c r="CX546" s="243"/>
      <c r="CY546" s="243"/>
      <c r="CZ546" s="243"/>
      <c r="DA546" s="243"/>
      <c r="DB546" s="243"/>
      <c r="DC546" s="243"/>
      <c r="DD546" s="243"/>
      <c r="DE546" s="243"/>
      <c r="DF546" s="243"/>
      <c r="DG546" s="243"/>
      <c r="DH546" s="243"/>
      <c r="DI546" s="243"/>
      <c r="DJ546" s="243"/>
      <c r="DK546" s="243"/>
      <c r="DL546" s="243"/>
      <c r="DM546" s="243"/>
      <c r="DN546" s="243"/>
      <c r="DO546" s="243"/>
      <c r="DP546" s="243"/>
      <c r="DQ546" s="243"/>
      <c r="DR546" s="243"/>
      <c r="DS546" s="243"/>
      <c r="DT546" s="243"/>
      <c r="DU546" s="243"/>
      <c r="DV546" s="243"/>
      <c r="DW546" s="243"/>
      <c r="DX546" s="243"/>
      <c r="DY546" s="243"/>
      <c r="DZ546" s="243"/>
      <c r="EA546" s="243"/>
      <c r="EB546" s="243"/>
      <c r="EC546" s="243"/>
      <c r="ED546" s="243"/>
      <c r="EE546" s="243"/>
      <c r="EF546" s="243"/>
      <c r="EG546" s="243"/>
      <c r="EH546" s="243"/>
      <c r="EI546" s="243"/>
      <c r="EJ546" s="243"/>
      <c r="EK546" s="243"/>
      <c r="EL546" s="243"/>
      <c r="EM546" s="243"/>
      <c r="EN546" s="243"/>
      <c r="EO546" s="243"/>
      <c r="EP546" s="243"/>
      <c r="EQ546" s="243"/>
      <c r="ER546" s="243"/>
      <c r="ES546" s="243"/>
      <c r="ET546" s="243"/>
      <c r="EU546" s="243"/>
      <c r="EV546" s="243"/>
      <c r="EW546" s="243"/>
      <c r="EX546" s="243"/>
      <c r="EY546" s="243"/>
      <c r="EZ546" s="243"/>
      <c r="FA546" s="243"/>
      <c r="FB546" s="243"/>
      <c r="FC546" s="243"/>
      <c r="FD546" s="243"/>
      <c r="FE546" s="243"/>
      <c r="FF546" s="243"/>
      <c r="FG546" s="243"/>
      <c r="FH546" s="243"/>
      <c r="FI546" s="243"/>
      <c r="FJ546" s="243"/>
      <c r="FK546" s="243"/>
      <c r="FL546" s="243"/>
      <c r="FM546" s="243"/>
      <c r="FN546" s="243"/>
      <c r="FO546" s="243"/>
      <c r="FP546" s="243"/>
      <c r="FQ546" s="243"/>
      <c r="FR546" s="243"/>
      <c r="FS546" s="243"/>
      <c r="FT546" s="243"/>
      <c r="FU546" s="243"/>
      <c r="FV546" s="243"/>
      <c r="FW546" s="243"/>
      <c r="FX546" s="243"/>
      <c r="FY546" s="243"/>
      <c r="FZ546" s="243"/>
      <c r="GA546" s="243"/>
      <c r="GB546" s="243"/>
      <c r="GC546" s="243"/>
      <c r="GD546" s="243"/>
      <c r="GE546" s="243"/>
      <c r="GF546" s="243"/>
      <c r="GG546" s="243"/>
      <c r="GH546" s="243"/>
      <c r="GI546" s="243"/>
      <c r="GJ546" s="243"/>
      <c r="GK546" s="243"/>
      <c r="GL546" s="243"/>
      <c r="GM546" s="243"/>
      <c r="GN546" s="243"/>
      <c r="GO546" s="243"/>
      <c r="GP546" s="243"/>
      <c r="GQ546" s="243"/>
      <c r="GR546" s="243"/>
      <c r="GS546" s="243"/>
      <c r="GT546" s="243"/>
      <c r="GU546" s="243"/>
      <c r="GV546" s="243"/>
      <c r="GW546" s="243"/>
      <c r="GX546" s="243"/>
      <c r="GY546" s="243"/>
      <c r="GZ546" s="243"/>
      <c r="HA546" s="243"/>
      <c r="HB546" s="243"/>
      <c r="HC546" s="243"/>
      <c r="HD546" s="243"/>
      <c r="HE546" s="243"/>
      <c r="HF546" s="243"/>
      <c r="HG546" s="243"/>
      <c r="HH546" s="243"/>
      <c r="HI546" s="243"/>
      <c r="HJ546" s="243"/>
      <c r="HK546" s="243"/>
      <c r="HL546" s="243"/>
      <c r="HM546" s="243"/>
      <c r="HN546" s="243"/>
      <c r="HO546" s="243"/>
      <c r="HP546" s="243"/>
      <c r="HQ546" s="243"/>
      <c r="HR546" s="243"/>
      <c r="HS546" s="243"/>
      <c r="HT546" s="243"/>
      <c r="HU546" s="243"/>
      <c r="HV546" s="243"/>
      <c r="HW546" s="243"/>
      <c r="HX546" s="243"/>
      <c r="HY546" s="243"/>
      <c r="HZ546" s="243"/>
      <c r="IA546" s="243"/>
      <c r="IB546" s="243"/>
      <c r="IC546" s="243"/>
      <c r="ID546" s="243"/>
      <c r="IE546" s="243"/>
      <c r="IF546" s="243"/>
      <c r="IG546" s="243"/>
      <c r="IH546" s="243"/>
      <c r="II546" s="243"/>
      <c r="IJ546" s="243"/>
      <c r="IK546" s="243"/>
      <c r="IL546" s="243"/>
      <c r="IM546" s="243"/>
      <c r="IN546" s="243"/>
      <c r="IO546" s="243"/>
      <c r="IP546" s="243"/>
      <c r="IQ546" s="243"/>
      <c r="IR546" s="243"/>
      <c r="IS546" s="243"/>
      <c r="IT546" s="243"/>
      <c r="IU546" s="243"/>
      <c r="IV546" s="243"/>
      <c r="IW546" s="243"/>
      <c r="IX546" s="243"/>
      <c r="IY546" s="243"/>
      <c r="IZ546" s="243"/>
      <c r="JA546" s="243"/>
      <c r="JB546" s="243"/>
      <c r="JC546" s="243"/>
      <c r="JD546" s="243"/>
      <c r="JE546" s="243"/>
      <c r="JF546" s="243"/>
      <c r="JG546" s="243"/>
      <c r="JH546" s="243"/>
      <c r="JI546" s="243"/>
      <c r="JJ546" s="243"/>
      <c r="JK546" s="243"/>
      <c r="JL546" s="243"/>
      <c r="JM546" s="243"/>
      <c r="JN546" s="243"/>
      <c r="JO546" s="243"/>
      <c r="JP546" s="243"/>
      <c r="JQ546" s="243"/>
      <c r="JR546" s="243"/>
      <c r="JS546" s="243"/>
      <c r="JT546" s="243"/>
      <c r="JU546" s="243"/>
      <c r="JV546" s="243"/>
      <c r="JW546" s="243"/>
      <c r="JX546" s="243"/>
      <c r="JY546" s="243"/>
      <c r="JZ546" s="243"/>
      <c r="KA546" s="243"/>
      <c r="KB546" s="243"/>
      <c r="KC546" s="243"/>
      <c r="KD546" s="243"/>
      <c r="KE546" s="243"/>
      <c r="KF546" s="243"/>
      <c r="KG546" s="243"/>
      <c r="KH546" s="243"/>
      <c r="KI546" s="243"/>
      <c r="KJ546" s="243"/>
      <c r="KK546" s="243"/>
      <c r="KL546" s="243"/>
      <c r="KM546" s="243"/>
      <c r="KN546" s="243"/>
      <c r="KO546" s="243"/>
      <c r="KP546" s="243"/>
      <c r="KQ546" s="243"/>
      <c r="KR546" s="243"/>
      <c r="KS546" s="243"/>
      <c r="KT546" s="243"/>
      <c r="KU546" s="243"/>
      <c r="KV546" s="243"/>
      <c r="KW546" s="243"/>
      <c r="KX546" s="243"/>
      <c r="KY546" s="243"/>
      <c r="KZ546" s="243"/>
      <c r="LA546" s="243"/>
      <c r="LB546" s="243"/>
      <c r="LC546" s="243"/>
      <c r="LD546" s="243"/>
      <c r="LE546" s="243"/>
      <c r="LF546" s="243"/>
      <c r="LG546" s="243"/>
      <c r="LH546" s="243"/>
      <c r="LI546" s="243"/>
      <c r="LJ546" s="243"/>
      <c r="LK546" s="243"/>
      <c r="LL546" s="243"/>
      <c r="LM546" s="243"/>
      <c r="LN546" s="243"/>
      <c r="LO546" s="243"/>
      <c r="LP546" s="243"/>
      <c r="LQ546" s="243"/>
      <c r="LR546" s="243"/>
      <c r="LS546" s="243"/>
      <c r="LT546" s="243"/>
      <c r="LU546" s="243"/>
      <c r="LV546" s="243"/>
      <c r="LW546" s="243"/>
      <c r="LX546" s="243"/>
      <c r="LY546" s="243"/>
      <c r="LZ546" s="243"/>
      <c r="MA546" s="243"/>
      <c r="MB546" s="243"/>
      <c r="MC546" s="243"/>
      <c r="MD546" s="243"/>
      <c r="ME546" s="243"/>
      <c r="MF546" s="243"/>
      <c r="MG546" s="243"/>
      <c r="MH546" s="243"/>
      <c r="MI546" s="243"/>
      <c r="MJ546" s="243"/>
      <c r="MK546" s="243"/>
      <c r="ML546" s="243"/>
      <c r="MM546" s="243"/>
      <c r="MN546" s="243"/>
      <c r="MO546" s="243"/>
      <c r="MP546" s="243"/>
      <c r="MQ546" s="243"/>
      <c r="MR546" s="243"/>
      <c r="MS546" s="243"/>
      <c r="MT546" s="243"/>
      <c r="MU546" s="243"/>
      <c r="MV546" s="243"/>
      <c r="MW546" s="243"/>
      <c r="MX546" s="243"/>
      <c r="MY546" s="243"/>
      <c r="MZ546" s="243"/>
      <c r="NA546" s="243"/>
      <c r="NB546" s="243"/>
      <c r="NC546" s="243"/>
      <c r="ND546" s="243"/>
      <c r="NE546" s="243"/>
      <c r="NF546" s="243"/>
      <c r="NG546" s="243"/>
      <c r="NH546" s="243"/>
      <c r="NI546" s="243"/>
      <c r="NJ546" s="243"/>
      <c r="NK546" s="243"/>
      <c r="NL546" s="243"/>
      <c r="NM546" s="243"/>
      <c r="NN546" s="243"/>
      <c r="NO546" s="243"/>
      <c r="NP546" s="243"/>
      <c r="NQ546" s="243"/>
      <c r="NR546" s="243"/>
      <c r="NS546" s="243"/>
      <c r="NT546" s="243"/>
      <c r="NU546" s="243"/>
      <c r="NV546" s="243"/>
      <c r="NW546" s="243"/>
      <c r="NX546" s="243"/>
      <c r="NY546" s="243"/>
      <c r="NZ546" s="243"/>
      <c r="OA546" s="243"/>
      <c r="OB546" s="243"/>
      <c r="OC546" s="243"/>
      <c r="OD546" s="243"/>
      <c r="OE546" s="243"/>
      <c r="OF546" s="243"/>
      <c r="OG546" s="243"/>
      <c r="OH546" s="243"/>
      <c r="OI546" s="243"/>
      <c r="OJ546" s="243"/>
      <c r="OK546" s="243"/>
      <c r="OL546" s="243"/>
      <c r="OM546" s="243"/>
      <c r="ON546" s="243"/>
      <c r="OO546" s="243"/>
      <c r="OP546" s="243"/>
      <c r="OQ546" s="243"/>
      <c r="OR546" s="243"/>
      <c r="OS546" s="243"/>
      <c r="OT546" s="243"/>
      <c r="OU546" s="243"/>
      <c r="OV546" s="243"/>
      <c r="OW546" s="243"/>
      <c r="OX546" s="243"/>
      <c r="OY546" s="243"/>
      <c r="OZ546" s="243"/>
      <c r="PA546" s="243"/>
      <c r="PB546" s="243"/>
      <c r="PC546" s="243"/>
      <c r="PD546" s="243"/>
      <c r="PE546" s="243"/>
      <c r="PF546" s="243"/>
      <c r="PG546" s="243"/>
      <c r="PH546" s="243"/>
      <c r="PI546" s="243"/>
      <c r="PJ546" s="243"/>
      <c r="PK546" s="243"/>
      <c r="PL546" s="243"/>
      <c r="PM546" s="243"/>
      <c r="PN546" s="243"/>
      <c r="PO546" s="243"/>
      <c r="PP546" s="243"/>
      <c r="PQ546" s="243"/>
      <c r="PR546" s="243"/>
      <c r="PS546" s="243"/>
      <c r="PT546" s="243"/>
      <c r="PU546" s="243"/>
      <c r="PV546" s="243"/>
      <c r="PW546" s="243"/>
      <c r="PX546" s="243"/>
      <c r="PY546" s="243"/>
      <c r="PZ546" s="243"/>
      <c r="QA546" s="243"/>
      <c r="QB546" s="243"/>
      <c r="QC546" s="243"/>
      <c r="QD546" s="243"/>
      <c r="QE546" s="243"/>
      <c r="QF546" s="243"/>
      <c r="QG546" s="243"/>
      <c r="QH546" s="243"/>
      <c r="QI546" s="243"/>
      <c r="QJ546" s="243"/>
      <c r="QK546" s="243"/>
      <c r="QL546" s="243"/>
      <c r="QM546" s="243"/>
      <c r="QN546" s="243"/>
      <c r="QO546" s="243"/>
      <c r="QP546" s="243"/>
      <c r="QQ546" s="243"/>
      <c r="QR546" s="243"/>
      <c r="QS546" s="243"/>
      <c r="QT546" s="243"/>
      <c r="QU546" s="243"/>
      <c r="QV546" s="243"/>
      <c r="QW546" s="243"/>
      <c r="QX546" s="243"/>
      <c r="QY546" s="243"/>
      <c r="QZ546" s="243"/>
      <c r="RA546" s="243"/>
      <c r="RB546" s="243"/>
      <c r="RC546" s="243"/>
      <c r="RD546" s="243"/>
      <c r="RE546" s="243"/>
      <c r="RF546" s="243"/>
      <c r="RG546" s="243"/>
      <c r="RH546" s="243"/>
      <c r="RI546" s="243"/>
      <c r="RJ546" s="243"/>
      <c r="RK546" s="243"/>
      <c r="RL546" s="243"/>
      <c r="RM546" s="243"/>
      <c r="RN546" s="243"/>
      <c r="RO546" s="243"/>
      <c r="RP546" s="243"/>
      <c r="RQ546" s="243"/>
      <c r="RR546" s="243"/>
      <c r="RS546" s="243"/>
      <c r="RT546" s="243"/>
      <c r="RU546" s="243"/>
      <c r="RV546" s="243"/>
      <c r="RW546" s="243"/>
      <c r="RX546" s="243"/>
      <c r="RY546" s="243"/>
      <c r="RZ546" s="243"/>
      <c r="SA546" s="243"/>
      <c r="SB546" s="243"/>
      <c r="SC546" s="243"/>
      <c r="SD546" s="243"/>
      <c r="SE546" s="243"/>
      <c r="SF546" s="243"/>
      <c r="SG546" s="243"/>
      <c r="SH546" s="243"/>
      <c r="SI546" s="243"/>
      <c r="SJ546" s="243"/>
      <c r="SK546" s="243"/>
      <c r="SL546" s="243"/>
      <c r="SM546" s="243"/>
      <c r="SN546" s="243"/>
      <c r="SO546" s="243"/>
      <c r="SP546" s="243"/>
      <c r="SQ546" s="243"/>
      <c r="SR546" s="243"/>
      <c r="SS546" s="243"/>
      <c r="ST546" s="243"/>
      <c r="SU546" s="243"/>
      <c r="SV546" s="243"/>
      <c r="SW546" s="243"/>
      <c r="SX546" s="243"/>
      <c r="SY546" s="243"/>
      <c r="SZ546" s="243"/>
      <c r="TA546" s="243"/>
      <c r="TB546" s="243"/>
      <c r="TC546" s="243"/>
      <c r="TD546" s="243"/>
      <c r="TE546" s="243"/>
      <c r="TF546" s="243"/>
      <c r="TG546" s="243"/>
      <c r="TH546" s="243"/>
      <c r="TI546" s="243"/>
      <c r="TJ546" s="243"/>
      <c r="TK546" s="243"/>
      <c r="TL546" s="243"/>
      <c r="TM546" s="243"/>
      <c r="TN546" s="243"/>
      <c r="TO546" s="243"/>
      <c r="TP546" s="243"/>
      <c r="TQ546" s="243"/>
      <c r="TR546" s="243"/>
      <c r="TS546" s="243"/>
      <c r="TT546" s="243"/>
      <c r="TU546" s="243"/>
      <c r="TV546" s="243"/>
      <c r="TW546" s="243"/>
      <c r="TX546" s="243"/>
      <c r="TY546" s="243"/>
      <c r="TZ546" s="243"/>
      <c r="UA546" s="243"/>
      <c r="UB546" s="243"/>
      <c r="UC546" s="243"/>
      <c r="UD546" s="243"/>
      <c r="UE546" s="243"/>
      <c r="UF546" s="243"/>
      <c r="UG546" s="243"/>
      <c r="UH546" s="243"/>
      <c r="UI546" s="243"/>
      <c r="UJ546" s="243"/>
      <c r="UK546" s="243"/>
      <c r="UL546" s="243"/>
      <c r="UM546" s="243"/>
      <c r="UN546" s="243"/>
      <c r="UO546" s="243"/>
      <c r="UP546" s="243"/>
      <c r="UQ546" s="243"/>
      <c r="UR546" s="243"/>
      <c r="US546" s="243"/>
      <c r="UT546" s="243"/>
      <c r="UU546" s="243"/>
      <c r="UV546" s="243"/>
      <c r="UW546" s="243"/>
      <c r="UX546" s="243"/>
      <c r="UY546" s="243"/>
      <c r="UZ546" s="243"/>
      <c r="VA546" s="243"/>
      <c r="VB546" s="243"/>
      <c r="VC546" s="243"/>
      <c r="VD546" s="243"/>
      <c r="VE546" s="243"/>
      <c r="VF546" s="243"/>
      <c r="VG546" s="243"/>
      <c r="VH546" s="243"/>
      <c r="VI546" s="243"/>
      <c r="VJ546" s="243"/>
      <c r="VK546" s="243"/>
      <c r="VL546" s="243"/>
      <c r="VM546" s="243"/>
      <c r="VN546" s="243"/>
      <c r="VO546" s="243"/>
      <c r="VP546" s="243"/>
      <c r="VQ546" s="243"/>
      <c r="VR546" s="243"/>
      <c r="VS546" s="243"/>
      <c r="VT546" s="243"/>
      <c r="VU546" s="243"/>
      <c r="VV546" s="243"/>
      <c r="VW546" s="243"/>
      <c r="VX546" s="243"/>
      <c r="VY546" s="243"/>
      <c r="VZ546" s="243"/>
      <c r="WA546" s="243"/>
      <c r="WB546" s="243"/>
      <c r="WC546" s="243"/>
      <c r="WD546" s="243"/>
      <c r="WE546" s="243"/>
      <c r="WF546" s="243"/>
      <c r="WG546" s="243"/>
      <c r="WH546" s="243"/>
      <c r="WI546" s="243"/>
      <c r="WJ546" s="243"/>
      <c r="WK546" s="243"/>
      <c r="WL546" s="243"/>
      <c r="WM546" s="243"/>
      <c r="WN546" s="243"/>
      <c r="WO546" s="243"/>
      <c r="WP546" s="243"/>
      <c r="WQ546" s="243"/>
      <c r="WR546" s="243"/>
      <c r="WS546" s="243"/>
      <c r="WT546" s="243"/>
      <c r="WU546" s="243"/>
      <c r="WV546" s="243"/>
      <c r="WW546" s="243"/>
      <c r="WX546" s="243"/>
      <c r="WY546" s="243"/>
      <c r="WZ546" s="243"/>
      <c r="XA546" s="243"/>
      <c r="XB546" s="243"/>
      <c r="XC546" s="243"/>
      <c r="XD546" s="243"/>
      <c r="XE546" s="243"/>
      <c r="XF546" s="243"/>
      <c r="XG546" s="243"/>
      <c r="XH546" s="243"/>
      <c r="XI546" s="243"/>
      <c r="XJ546" s="243"/>
      <c r="XK546" s="243"/>
      <c r="XL546" s="243"/>
      <c r="XM546" s="243"/>
      <c r="XN546" s="243"/>
      <c r="XO546" s="243"/>
      <c r="XP546" s="243"/>
      <c r="XQ546" s="243"/>
      <c r="XR546" s="243"/>
      <c r="XS546" s="243"/>
      <c r="XT546" s="243"/>
      <c r="XU546" s="243"/>
      <c r="XV546" s="243"/>
      <c r="XW546" s="243"/>
      <c r="XX546" s="243"/>
      <c r="XY546" s="243"/>
      <c r="XZ546" s="243"/>
      <c r="YA546" s="243"/>
      <c r="YB546" s="243"/>
      <c r="YC546" s="243"/>
      <c r="YD546" s="243"/>
      <c r="YE546" s="243"/>
      <c r="YF546" s="243"/>
      <c r="YG546" s="243"/>
      <c r="YH546" s="243"/>
      <c r="YI546" s="243"/>
      <c r="YJ546" s="243"/>
      <c r="YK546" s="243"/>
      <c r="YL546" s="243"/>
      <c r="YM546" s="243"/>
      <c r="YN546" s="243"/>
      <c r="YO546" s="243"/>
      <c r="YP546" s="243"/>
      <c r="YQ546" s="243"/>
      <c r="YR546" s="243"/>
      <c r="YS546" s="243"/>
      <c r="YT546" s="243"/>
      <c r="YU546" s="243"/>
      <c r="YV546" s="243"/>
      <c r="YW546" s="243"/>
      <c r="YX546" s="243"/>
      <c r="YY546" s="243"/>
      <c r="YZ546" s="243"/>
      <c r="ZA546" s="243"/>
      <c r="ZB546" s="243"/>
      <c r="ZC546" s="243"/>
      <c r="ZD546" s="243"/>
      <c r="ZE546" s="243"/>
      <c r="ZF546" s="243"/>
      <c r="ZG546" s="243"/>
      <c r="ZH546" s="243"/>
      <c r="ZI546" s="243"/>
      <c r="ZJ546" s="243"/>
      <c r="ZK546" s="243"/>
      <c r="ZL546" s="243"/>
      <c r="ZM546" s="243"/>
      <c r="ZN546" s="243"/>
      <c r="ZO546" s="243"/>
      <c r="ZP546" s="243"/>
      <c r="ZQ546" s="243"/>
      <c r="ZR546" s="243"/>
      <c r="ZS546" s="243"/>
      <c r="ZT546" s="243"/>
      <c r="ZU546" s="243"/>
      <c r="ZV546" s="243"/>
      <c r="ZW546" s="243"/>
      <c r="ZX546" s="243"/>
      <c r="ZY546" s="243"/>
      <c r="ZZ546" s="243"/>
      <c r="AAA546" s="243"/>
      <c r="AAB546" s="243"/>
      <c r="AAC546" s="243"/>
      <c r="AAD546" s="243"/>
      <c r="AAE546" s="243"/>
      <c r="AAF546" s="243"/>
      <c r="AAG546" s="243"/>
      <c r="AAH546" s="243"/>
      <c r="AAI546" s="243"/>
      <c r="AAJ546" s="243"/>
      <c r="AAK546" s="243"/>
      <c r="AAL546" s="243"/>
      <c r="AAM546" s="243"/>
      <c r="AAN546" s="243"/>
      <c r="AAO546" s="243"/>
      <c r="AAP546" s="243"/>
      <c r="AAQ546" s="243"/>
      <c r="AAR546" s="243"/>
      <c r="AAS546" s="243"/>
      <c r="AAT546" s="243"/>
      <c r="AAU546" s="243"/>
      <c r="AAV546" s="243"/>
      <c r="AAW546" s="243"/>
      <c r="AAX546" s="243"/>
      <c r="AAY546" s="243"/>
      <c r="AAZ546" s="243"/>
      <c r="ABA546" s="243"/>
      <c r="ABB546" s="243"/>
      <c r="ABC546" s="243"/>
      <c r="ABD546" s="243"/>
      <c r="ABE546" s="243"/>
      <c r="ABF546" s="243"/>
      <c r="ABG546" s="243"/>
      <c r="ABH546" s="243"/>
      <c r="ABI546" s="243"/>
      <c r="ABJ546" s="243"/>
      <c r="ABK546" s="243"/>
      <c r="ABL546" s="243"/>
      <c r="ABM546" s="243"/>
      <c r="ABN546" s="243"/>
      <c r="ABO546" s="243"/>
      <c r="ABP546" s="243"/>
      <c r="ABQ546" s="243"/>
      <c r="ABR546" s="243"/>
      <c r="ABS546" s="243"/>
      <c r="ABT546" s="243"/>
      <c r="ABU546" s="243"/>
      <c r="ABV546" s="243"/>
      <c r="ABW546" s="243"/>
      <c r="ABX546" s="243"/>
      <c r="ABY546" s="243"/>
      <c r="ABZ546" s="243"/>
      <c r="ACA546" s="243"/>
      <c r="ACB546" s="243"/>
      <c r="ACC546" s="243"/>
      <c r="ACD546" s="243"/>
      <c r="ACE546" s="243"/>
      <c r="ACF546" s="243"/>
      <c r="ACG546" s="243"/>
      <c r="ACH546" s="243"/>
      <c r="ACI546" s="243"/>
      <c r="ACJ546" s="243"/>
      <c r="ACK546" s="243"/>
      <c r="ACL546" s="243"/>
      <c r="ACM546" s="243"/>
      <c r="ACN546" s="243"/>
      <c r="ACO546" s="243"/>
      <c r="ACP546" s="243"/>
      <c r="ACQ546" s="243"/>
      <c r="ACR546" s="243"/>
      <c r="ACS546" s="243"/>
      <c r="ACT546" s="243"/>
      <c r="ACU546" s="243"/>
      <c r="ACV546" s="243"/>
      <c r="ACW546" s="243"/>
      <c r="ACX546" s="243"/>
      <c r="ACY546" s="243"/>
      <c r="ACZ546" s="243"/>
      <c r="ADA546" s="243"/>
      <c r="ADB546" s="243"/>
      <c r="ADC546" s="243"/>
      <c r="ADD546" s="243"/>
      <c r="ADE546" s="243"/>
      <c r="ADF546" s="243"/>
      <c r="ADG546" s="243"/>
      <c r="ADH546" s="243"/>
      <c r="ADI546" s="243"/>
      <c r="ADJ546" s="243"/>
      <c r="ADK546" s="243"/>
      <c r="ADL546" s="243"/>
      <c r="ADM546" s="243"/>
      <c r="ADN546" s="243"/>
      <c r="ADO546" s="243"/>
      <c r="ADP546" s="243"/>
      <c r="ADQ546" s="243"/>
      <c r="ADR546" s="243"/>
      <c r="ADS546" s="243"/>
      <c r="ADT546" s="243"/>
      <c r="ADU546" s="243"/>
      <c r="ADV546" s="243"/>
      <c r="ADW546" s="243"/>
      <c r="ADX546" s="243"/>
      <c r="ADY546" s="243"/>
      <c r="ADZ546" s="243"/>
      <c r="AEA546" s="243"/>
      <c r="AEB546" s="243"/>
      <c r="AEC546" s="243"/>
      <c r="AED546" s="243"/>
      <c r="AEE546" s="243"/>
      <c r="AEF546" s="243"/>
      <c r="AEG546" s="243"/>
      <c r="AEH546" s="243"/>
      <c r="AEI546" s="243"/>
      <c r="AEJ546" s="243"/>
      <c r="AEK546" s="243"/>
      <c r="AEL546" s="243"/>
      <c r="AEM546" s="243"/>
      <c r="AEN546" s="243"/>
      <c r="AEO546" s="243"/>
      <c r="AEP546" s="243"/>
      <c r="AEQ546" s="243"/>
      <c r="AER546" s="243"/>
      <c r="AES546" s="243"/>
      <c r="AET546" s="243"/>
      <c r="AEU546" s="243"/>
      <c r="AEV546" s="243"/>
      <c r="AEW546" s="243"/>
      <c r="AEX546" s="243"/>
      <c r="AEY546" s="243"/>
      <c r="AEZ546" s="243"/>
      <c r="AFA546" s="243"/>
      <c r="AFB546" s="243"/>
      <c r="AFC546" s="243"/>
      <c r="AFD546" s="243"/>
      <c r="AFE546" s="243"/>
      <c r="AFF546" s="243"/>
      <c r="AFG546" s="243"/>
      <c r="AFH546" s="243"/>
      <c r="AFI546" s="243"/>
      <c r="AFJ546" s="243"/>
      <c r="AFK546" s="243"/>
      <c r="AFL546" s="243"/>
      <c r="AFM546" s="243"/>
      <c r="AFN546" s="243"/>
      <c r="AFO546" s="243"/>
      <c r="AFP546" s="243"/>
      <c r="AFQ546" s="243"/>
      <c r="AFR546" s="243"/>
      <c r="AFS546" s="243"/>
      <c r="AFT546" s="243"/>
      <c r="AFU546" s="243"/>
      <c r="AFV546" s="243"/>
      <c r="AFW546" s="243"/>
      <c r="AFX546" s="243"/>
      <c r="AFY546" s="243"/>
      <c r="AFZ546" s="243"/>
      <c r="AGA546" s="243"/>
      <c r="AGB546" s="243"/>
      <c r="AGC546" s="243"/>
      <c r="AGD546" s="243"/>
      <c r="AGE546" s="243"/>
      <c r="AGF546" s="243"/>
      <c r="AGG546" s="243"/>
      <c r="AGH546" s="243"/>
      <c r="AGI546" s="243"/>
      <c r="AGJ546" s="243"/>
      <c r="AGK546" s="243"/>
      <c r="AGL546" s="243"/>
      <c r="AGM546" s="243"/>
      <c r="AGN546" s="243"/>
      <c r="AGO546" s="243"/>
      <c r="AGP546" s="243"/>
      <c r="AGQ546" s="243"/>
      <c r="AGR546" s="243"/>
      <c r="AGS546" s="243"/>
      <c r="AGT546" s="243"/>
      <c r="AGU546" s="243"/>
      <c r="AGV546" s="243"/>
      <c r="AGW546" s="243"/>
      <c r="AGX546" s="243"/>
      <c r="AGY546" s="243"/>
      <c r="AGZ546" s="243"/>
      <c r="AHA546" s="243"/>
      <c r="AHB546" s="243"/>
      <c r="AHC546" s="243"/>
      <c r="AHD546" s="243"/>
      <c r="AHE546" s="243"/>
      <c r="AHF546" s="243"/>
      <c r="AHG546" s="243"/>
      <c r="AHH546" s="243"/>
      <c r="AHI546" s="243"/>
      <c r="AHJ546" s="243"/>
      <c r="AHK546" s="243"/>
      <c r="AHL546" s="243"/>
      <c r="AHM546" s="243"/>
      <c r="AHN546" s="243"/>
      <c r="AHO546" s="243"/>
      <c r="AHP546" s="243"/>
      <c r="AHQ546" s="243"/>
      <c r="AHR546" s="243"/>
      <c r="AHS546" s="243"/>
      <c r="AHT546" s="243"/>
      <c r="AHU546" s="243"/>
      <c r="AHV546" s="243"/>
      <c r="AHW546" s="243"/>
      <c r="AHX546" s="243"/>
      <c r="AHY546" s="243"/>
      <c r="AHZ546" s="243"/>
      <c r="AIA546" s="243"/>
      <c r="AIB546" s="243"/>
      <c r="AIC546" s="243"/>
      <c r="AID546" s="243"/>
      <c r="AIE546" s="243"/>
      <c r="AIF546" s="243"/>
      <c r="AIG546" s="243"/>
      <c r="AIH546" s="243"/>
      <c r="AII546" s="243"/>
      <c r="AIJ546" s="243"/>
      <c r="AIK546" s="243"/>
      <c r="AIL546" s="243"/>
      <c r="AIM546" s="243"/>
      <c r="AIN546" s="243"/>
      <c r="AIO546" s="243"/>
      <c r="AIP546" s="243"/>
      <c r="AIQ546" s="243"/>
      <c r="AIR546" s="243"/>
      <c r="AIS546" s="243"/>
      <c r="AIT546" s="243"/>
      <c r="AIU546" s="243"/>
      <c r="AIV546" s="243"/>
      <c r="AIW546" s="243"/>
      <c r="AIX546" s="243"/>
      <c r="AIY546" s="243"/>
      <c r="AIZ546" s="243"/>
      <c r="AJA546" s="243"/>
      <c r="AJB546" s="243"/>
      <c r="AJC546" s="243"/>
      <c r="AJD546" s="243"/>
      <c r="AJE546" s="243"/>
      <c r="AJF546" s="243"/>
      <c r="AJG546" s="243"/>
      <c r="AJH546" s="243"/>
      <c r="AJI546" s="243"/>
      <c r="AJJ546" s="243"/>
      <c r="AJK546" s="243"/>
      <c r="AJL546" s="243"/>
      <c r="AJM546" s="243"/>
      <c r="AJN546" s="243"/>
      <c r="AJO546" s="243"/>
      <c r="AJP546" s="243"/>
      <c r="AJQ546" s="243"/>
      <c r="AJR546" s="243"/>
      <c r="AJS546" s="243"/>
      <c r="AJT546" s="243"/>
      <c r="AJU546" s="243"/>
      <c r="AJV546" s="243"/>
      <c r="AJW546" s="243"/>
      <c r="AJX546" s="243"/>
      <c r="AJY546" s="243"/>
      <c r="AJZ546" s="243"/>
      <c r="AKA546" s="243"/>
      <c r="AKB546" s="243"/>
      <c r="AKC546" s="243"/>
      <c r="AKD546" s="243"/>
      <c r="AKE546" s="243"/>
      <c r="AKF546" s="243"/>
      <c r="AKG546" s="243"/>
      <c r="AKH546" s="243"/>
      <c r="AKI546" s="243"/>
      <c r="AKJ546" s="243"/>
      <c r="AKK546" s="243"/>
      <c r="AKL546" s="243"/>
      <c r="AKM546" s="243"/>
      <c r="AKN546" s="243"/>
      <c r="AKO546" s="243"/>
      <c r="AKP546" s="243"/>
      <c r="AKQ546" s="243"/>
      <c r="AKR546" s="243"/>
      <c r="AKS546" s="243"/>
      <c r="AKT546" s="243"/>
      <c r="AKU546" s="243"/>
      <c r="AKV546" s="243"/>
      <c r="AKW546" s="243"/>
      <c r="AKX546" s="243"/>
      <c r="AKY546" s="243"/>
      <c r="AKZ546" s="243"/>
      <c r="ALA546" s="243"/>
      <c r="ALB546" s="243"/>
      <c r="ALC546" s="243"/>
      <c r="ALD546" s="243"/>
      <c r="ALE546" s="243"/>
      <c r="ALF546" s="243"/>
      <c r="ALG546" s="243"/>
      <c r="ALH546" s="243"/>
      <c r="ALI546" s="243"/>
      <c r="ALJ546" s="243"/>
      <c r="ALK546" s="243"/>
      <c r="ALL546" s="243"/>
      <c r="ALM546" s="243"/>
      <c r="ALN546" s="243"/>
      <c r="ALO546" s="243"/>
      <c r="ALP546" s="243"/>
      <c r="ALQ546" s="243"/>
      <c r="ALR546" s="243"/>
      <c r="ALS546" s="243"/>
      <c r="ALT546" s="243"/>
      <c r="ALU546" s="243"/>
      <c r="ALV546" s="243"/>
      <c r="ALW546" s="243"/>
      <c r="ALX546" s="243"/>
      <c r="ALY546" s="243"/>
      <c r="ALZ546" s="243"/>
      <c r="AMA546" s="243"/>
      <c r="AMB546" s="243"/>
      <c r="AMC546" s="243"/>
      <c r="AMD546" s="243"/>
      <c r="AME546" s="243"/>
      <c r="AMF546" s="243"/>
      <c r="AMG546" s="243"/>
      <c r="AMH546" s="243"/>
      <c r="AMI546" s="244"/>
      <c r="AMJ546" s="244"/>
    </row>
    <row r="547" spans="1:1024" ht="12.75" customHeight="1">
      <c r="A547" s="958"/>
      <c r="B547" s="331"/>
      <c r="C547" s="785"/>
      <c r="D547" s="626" t="s">
        <v>26</v>
      </c>
      <c r="E547" s="563">
        <f>SUM(E541:E546)</f>
        <v>17500000</v>
      </c>
      <c r="F547" s="318" t="s">
        <v>26</v>
      </c>
      <c r="G547" s="618">
        <f>SUM(G541:G546)</f>
        <v>1333000</v>
      </c>
      <c r="H547" s="140"/>
      <c r="I547" s="140"/>
      <c r="J547" s="140"/>
      <c r="K547" s="626" t="s">
        <v>27</v>
      </c>
      <c r="L547" s="627"/>
      <c r="M547" s="627"/>
      <c r="N547" s="628"/>
      <c r="O547" s="629" t="s">
        <v>28</v>
      </c>
      <c r="P547" s="718">
        <f>G547+P546</f>
        <v>1445000</v>
      </c>
      <c r="Q547" s="624"/>
    </row>
    <row r="548" spans="1:1024">
      <c r="A548" s="722"/>
      <c r="B548" s="723"/>
      <c r="C548" s="724"/>
      <c r="D548" s="641"/>
      <c r="E548" s="579"/>
      <c r="F548" s="641"/>
      <c r="G548" s="579"/>
      <c r="H548" s="641"/>
      <c r="I548" s="641"/>
      <c r="J548" s="641"/>
      <c r="K548" s="641"/>
      <c r="L548" s="641"/>
      <c r="M548" s="641"/>
      <c r="N548" s="641"/>
      <c r="O548" s="642"/>
      <c r="P548" s="579"/>
      <c r="Q548" s="624"/>
    </row>
    <row r="549" spans="1:1024">
      <c r="A549" s="904" t="s">
        <v>247</v>
      </c>
      <c r="B549" s="949"/>
      <c r="C549" s="949"/>
      <c r="D549" s="949"/>
      <c r="E549" s="949"/>
      <c r="F549" s="949"/>
      <c r="G549" s="949"/>
      <c r="H549" s="949"/>
      <c r="I549" s="949"/>
      <c r="J549" s="950"/>
      <c r="K549" s="948" t="s">
        <v>2</v>
      </c>
      <c r="L549" s="948"/>
      <c r="M549" s="1047"/>
      <c r="N549" s="1047"/>
      <c r="O549" s="1047"/>
      <c r="P549" s="1047"/>
      <c r="Q549" s="624"/>
    </row>
    <row r="550" spans="1:1024" ht="30.75">
      <c r="A550" s="327" t="s">
        <v>3</v>
      </c>
      <c r="B550" s="327" t="s">
        <v>4</v>
      </c>
      <c r="C550" s="327" t="s">
        <v>5</v>
      </c>
      <c r="D550" s="327" t="s">
        <v>6</v>
      </c>
      <c r="E550" s="327" t="s">
        <v>29</v>
      </c>
      <c r="F550" s="327" t="s">
        <v>8</v>
      </c>
      <c r="G550" s="327" t="s">
        <v>9</v>
      </c>
      <c r="H550" s="707" t="s">
        <v>10</v>
      </c>
      <c r="I550" s="327" t="s">
        <v>11</v>
      </c>
      <c r="J550" s="327" t="s">
        <v>12</v>
      </c>
      <c r="K550" s="711" t="s">
        <v>4</v>
      </c>
      <c r="L550" s="595" t="s">
        <v>5</v>
      </c>
      <c r="M550" s="711" t="s">
        <v>6</v>
      </c>
      <c r="N550" s="711" t="s">
        <v>13</v>
      </c>
      <c r="O550" s="711" t="s">
        <v>8</v>
      </c>
      <c r="P550" s="711" t="s">
        <v>14</v>
      </c>
      <c r="Q550" s="624"/>
    </row>
    <row r="551" spans="1:1024" ht="18" customHeight="1">
      <c r="A551" s="887">
        <v>3</v>
      </c>
      <c r="B551" s="327"/>
      <c r="C551" s="328"/>
      <c r="D551" s="318"/>
      <c r="E551" s="321"/>
      <c r="F551" s="587"/>
      <c r="G551" s="321"/>
      <c r="H551" s="604"/>
      <c r="I551" s="318"/>
      <c r="J551" s="589"/>
      <c r="K551" s="122">
        <v>15367</v>
      </c>
      <c r="L551" s="121">
        <v>0.1</v>
      </c>
      <c r="M551" s="691" t="s">
        <v>344</v>
      </c>
      <c r="N551" s="364">
        <v>6500000</v>
      </c>
      <c r="O551" s="788">
        <v>0.04</v>
      </c>
      <c r="P551" s="789">
        <f>N551*O551</f>
        <v>260000</v>
      </c>
      <c r="Q551" s="708"/>
    </row>
    <row r="552" spans="1:1024" ht="18" customHeight="1">
      <c r="A552" s="887"/>
      <c r="B552" s="327"/>
      <c r="C552" s="328"/>
      <c r="D552" s="318"/>
      <c r="E552" s="321"/>
      <c r="F552" s="587"/>
      <c r="G552" s="321"/>
      <c r="H552" s="604"/>
      <c r="I552" s="318"/>
      <c r="J552" s="589"/>
      <c r="K552" s="606"/>
      <c r="L552" s="606"/>
      <c r="M552" s="719"/>
      <c r="N552" s="787"/>
      <c r="O552" s="587"/>
      <c r="P552" s="321"/>
      <c r="Q552" s="708"/>
    </row>
    <row r="553" spans="1:1024">
      <c r="A553" s="887"/>
      <c r="B553" s="327"/>
      <c r="C553" s="328"/>
      <c r="D553" s="318"/>
      <c r="E553" s="321"/>
      <c r="F553" s="119"/>
      <c r="G553" s="318"/>
      <c r="H553" s="604"/>
      <c r="I553" s="318"/>
      <c r="J553" s="318"/>
      <c r="K553" s="625"/>
      <c r="L553" s="779"/>
      <c r="M553" s="318"/>
      <c r="N553" s="321"/>
      <c r="O553" s="625"/>
      <c r="P553" s="607"/>
      <c r="Q553" s="624"/>
    </row>
    <row r="554" spans="1:1024">
      <c r="A554" s="887"/>
      <c r="B554" s="327"/>
      <c r="C554" s="328"/>
      <c r="D554" s="318"/>
      <c r="E554" s="321"/>
      <c r="F554" s="119"/>
      <c r="G554" s="318"/>
      <c r="H554" s="604"/>
      <c r="I554" s="318"/>
      <c r="J554" s="318"/>
      <c r="K554" s="625"/>
      <c r="L554" s="779"/>
      <c r="M554" s="625" t="s">
        <v>26</v>
      </c>
      <c r="N554" s="786">
        <f>SUM(N551:N553)</f>
        <v>6500000</v>
      </c>
      <c r="O554" s="779" t="s">
        <v>26</v>
      </c>
      <c r="P554" s="786">
        <f>SUM(P551:P553)</f>
        <v>260000</v>
      </c>
      <c r="Q554" s="624"/>
    </row>
    <row r="555" spans="1:1024" ht="15" customHeight="1">
      <c r="A555" s="888"/>
      <c r="B555" s="331"/>
      <c r="C555" s="332"/>
      <c r="D555" s="626" t="s">
        <v>26</v>
      </c>
      <c r="E555" s="563">
        <f>SUM(E551:E553)</f>
        <v>0</v>
      </c>
      <c r="F555" s="318" t="s">
        <v>26</v>
      </c>
      <c r="G555" s="563">
        <f>SUM(G551:G553)</f>
        <v>0</v>
      </c>
      <c r="H555" s="140"/>
      <c r="I555" s="140"/>
      <c r="J555" s="140"/>
      <c r="K555" s="626" t="s">
        <v>27</v>
      </c>
      <c r="L555" s="627"/>
      <c r="M555" s="627"/>
      <c r="N555" s="628"/>
      <c r="O555" s="629" t="s">
        <v>28</v>
      </c>
      <c r="P555" s="640">
        <f>G555+P554</f>
        <v>260000</v>
      </c>
      <c r="Q555" s="624"/>
    </row>
    <row r="556" spans="1:1024">
      <c r="A556" s="725"/>
      <c r="B556" s="726"/>
      <c r="C556" s="727"/>
      <c r="D556" s="641"/>
      <c r="E556" s="579"/>
      <c r="F556" s="641"/>
      <c r="G556" s="579"/>
      <c r="H556" s="641"/>
      <c r="I556" s="641"/>
      <c r="J556" s="641"/>
      <c r="K556" s="641"/>
      <c r="L556" s="641"/>
      <c r="M556" s="641"/>
      <c r="N556" s="641"/>
      <c r="O556" s="642"/>
      <c r="P556" s="579"/>
      <c r="Q556" s="624"/>
    </row>
    <row r="557" spans="1:1024">
      <c r="A557" s="904" t="s">
        <v>345</v>
      </c>
      <c r="B557" s="949"/>
      <c r="C557" s="949"/>
      <c r="D557" s="949"/>
      <c r="E557" s="949"/>
      <c r="F557" s="949"/>
      <c r="G557" s="949"/>
      <c r="H557" s="949"/>
      <c r="I557" s="949"/>
      <c r="J557" s="950"/>
      <c r="K557" s="948" t="s">
        <v>2</v>
      </c>
      <c r="L557" s="948"/>
      <c r="M557" s="1047"/>
      <c r="N557" s="1047"/>
      <c r="O557" s="1047"/>
      <c r="P557" s="1047"/>
      <c r="Q557" s="624"/>
    </row>
    <row r="558" spans="1:1024" ht="30.75">
      <c r="A558" s="318" t="s">
        <v>3</v>
      </c>
      <c r="B558" s="705" t="s">
        <v>4</v>
      </c>
      <c r="C558" s="695" t="s">
        <v>5</v>
      </c>
      <c r="D558" s="318" t="s">
        <v>6</v>
      </c>
      <c r="E558" s="318" t="s">
        <v>7</v>
      </c>
      <c r="F558" s="119" t="s">
        <v>8</v>
      </c>
      <c r="G558" s="318" t="s">
        <v>9</v>
      </c>
      <c r="H558" s="604" t="s">
        <v>10</v>
      </c>
      <c r="I558" s="318" t="s">
        <v>11</v>
      </c>
      <c r="J558" s="318" t="s">
        <v>12</v>
      </c>
      <c r="K558" s="625" t="s">
        <v>4</v>
      </c>
      <c r="L558" s="318" t="s">
        <v>5</v>
      </c>
      <c r="M558" s="625" t="s">
        <v>6</v>
      </c>
      <c r="N558" s="625" t="s">
        <v>13</v>
      </c>
      <c r="O558" s="606" t="s">
        <v>8</v>
      </c>
      <c r="P558" s="625" t="s">
        <v>14</v>
      </c>
      <c r="Q558" s="624"/>
    </row>
    <row r="559" spans="1:1024" ht="15" customHeight="1">
      <c r="A559" s="900">
        <v>0</v>
      </c>
      <c r="B559" s="327"/>
      <c r="C559" s="328"/>
      <c r="D559" s="318"/>
      <c r="E559" s="321"/>
      <c r="F559" s="586"/>
      <c r="G559" s="321"/>
      <c r="H559" s="604"/>
      <c r="I559" s="318"/>
      <c r="J559" s="318"/>
      <c r="K559" s="606"/>
      <c r="L559" s="606"/>
      <c r="M559" s="625"/>
      <c r="N559" s="607"/>
      <c r="O559" s="728"/>
      <c r="P559" s="607"/>
      <c r="Q559" s="624"/>
    </row>
    <row r="560" spans="1:1024" ht="15" customHeight="1">
      <c r="A560" s="901"/>
      <c r="B560" s="327"/>
      <c r="C560" s="328"/>
      <c r="D560" s="318"/>
      <c r="E560" s="321"/>
      <c r="F560" s="586"/>
      <c r="G560" s="321"/>
      <c r="H560" s="604"/>
      <c r="I560" s="318"/>
      <c r="J560" s="318"/>
      <c r="K560" s="606"/>
      <c r="L560" s="606"/>
      <c r="M560" s="625"/>
      <c r="N560" s="607"/>
      <c r="O560" s="728"/>
      <c r="P560" s="607"/>
      <c r="Q560" s="624"/>
    </row>
    <row r="561" spans="1:17" ht="15" customHeight="1">
      <c r="A561" s="901"/>
      <c r="B561" s="546"/>
      <c r="C561" s="547"/>
      <c r="D561" s="548"/>
      <c r="E561" s="549"/>
      <c r="F561" s="636"/>
      <c r="G561" s="636"/>
      <c r="H561" s="636"/>
      <c r="I561" s="636"/>
      <c r="J561" s="636"/>
      <c r="K561" s="318"/>
      <c r="L561" s="318"/>
      <c r="M561" s="318" t="s">
        <v>26</v>
      </c>
      <c r="N561" s="563">
        <f>SUM(N560:N560)</f>
        <v>0</v>
      </c>
      <c r="O561" s="318" t="s">
        <v>26</v>
      </c>
      <c r="P561" s="563"/>
      <c r="Q561" s="624"/>
    </row>
    <row r="562" spans="1:17" ht="15" customHeight="1">
      <c r="A562" s="902"/>
      <c r="B562" s="331"/>
      <c r="C562" s="332"/>
      <c r="D562" s="626" t="s">
        <v>26</v>
      </c>
      <c r="E562" s="563">
        <f>SUM(E559:E561)</f>
        <v>0</v>
      </c>
      <c r="F562" s="318" t="s">
        <v>26</v>
      </c>
      <c r="G562" s="563">
        <f>SUM(G560:G561)</f>
        <v>0</v>
      </c>
      <c r="H562" s="140"/>
      <c r="I562" s="140"/>
      <c r="J562" s="140"/>
      <c r="K562" s="626" t="s">
        <v>27</v>
      </c>
      <c r="L562" s="627"/>
      <c r="M562" s="627"/>
      <c r="N562" s="628"/>
      <c r="O562" s="630" t="s">
        <v>28</v>
      </c>
      <c r="P562" s="631">
        <f>SUM(P560:P561)</f>
        <v>0</v>
      </c>
      <c r="Q562" s="624"/>
    </row>
    <row r="563" spans="1:17">
      <c r="A563" s="624"/>
      <c r="B563" s="709"/>
      <c r="C563" s="710"/>
      <c r="D563" s="624"/>
      <c r="E563" s="624"/>
      <c r="F563" s="624"/>
      <c r="G563" s="624"/>
      <c r="H563" s="624"/>
      <c r="I563" s="624"/>
      <c r="J563" s="624"/>
      <c r="K563" s="624"/>
      <c r="L563" s="624"/>
      <c r="M563" s="624"/>
      <c r="N563" s="624"/>
      <c r="O563" s="624"/>
      <c r="P563" s="624"/>
      <c r="Q563" s="624"/>
    </row>
    <row r="564" spans="1:17">
      <c r="A564" s="957">
        <f>A527+A541+A551</f>
        <v>39</v>
      </c>
      <c r="B564" s="952" t="s">
        <v>42</v>
      </c>
      <c r="C564" s="952"/>
      <c r="D564" s="952"/>
      <c r="E564" s="729">
        <f>E536+E547+E555+E562</f>
        <v>36050000</v>
      </c>
      <c r="F564" s="624"/>
      <c r="G564" s="624"/>
      <c r="H564" s="624"/>
      <c r="I564" s="624"/>
      <c r="J564" s="624"/>
      <c r="K564" s="624"/>
      <c r="L564" s="624"/>
      <c r="M564" s="624"/>
      <c r="N564" s="624"/>
      <c r="O564" s="624"/>
      <c r="P564" s="624"/>
      <c r="Q564" s="624"/>
    </row>
    <row r="565" spans="1:17">
      <c r="A565" s="957"/>
      <c r="B565" s="953" t="s">
        <v>43</v>
      </c>
      <c r="C565" s="953"/>
      <c r="D565" s="954"/>
      <c r="E565" s="730"/>
      <c r="F565" s="624"/>
      <c r="G565" s="624"/>
      <c r="H565" s="624"/>
      <c r="I565" s="624"/>
      <c r="J565" s="624"/>
      <c r="K565" s="624"/>
      <c r="L565" s="624"/>
      <c r="M565" s="624"/>
      <c r="N565" s="624"/>
      <c r="O565" s="624"/>
      <c r="P565" s="624"/>
      <c r="Q565" s="624"/>
    </row>
    <row r="566" spans="1:17">
      <c r="A566" s="957"/>
      <c r="B566" s="955" t="s">
        <v>44</v>
      </c>
      <c r="C566" s="955"/>
      <c r="D566" s="956"/>
      <c r="E566" s="731"/>
      <c r="F566" s="624"/>
      <c r="G566" s="624"/>
      <c r="I566" s="624"/>
      <c r="J566" s="624"/>
      <c r="K566" s="624"/>
      <c r="L566" s="624"/>
      <c r="M566" s="624"/>
      <c r="N566" s="624"/>
      <c r="O566" s="624"/>
      <c r="P566" s="624"/>
      <c r="Q566" s="624"/>
    </row>
    <row r="570" spans="1:17" ht="31.5">
      <c r="A570" s="903" t="s">
        <v>346</v>
      </c>
      <c r="B570" s="903"/>
      <c r="C570" s="903"/>
      <c r="D570" s="903"/>
      <c r="E570" s="903"/>
      <c r="F570" s="903"/>
      <c r="G570" s="903"/>
      <c r="H570" s="903"/>
      <c r="I570" s="903"/>
      <c r="J570" s="903"/>
      <c r="K570" s="903"/>
      <c r="L570" s="903"/>
      <c r="M570" s="903"/>
      <c r="N570" s="903"/>
      <c r="O570" s="903"/>
      <c r="P570" s="903"/>
    </row>
    <row r="571" spans="1:17">
      <c r="A571" s="904" t="s">
        <v>1</v>
      </c>
      <c r="B571" s="904"/>
      <c r="C571" s="904"/>
      <c r="D571" s="904"/>
      <c r="E571" s="904"/>
      <c r="F571" s="904"/>
      <c r="G571" s="904"/>
      <c r="H571" s="904"/>
      <c r="I571" s="904"/>
      <c r="J571" s="904"/>
      <c r="K571" s="892" t="s">
        <v>2</v>
      </c>
      <c r="L571" s="892"/>
      <c r="M571" s="892"/>
      <c r="N571" s="892"/>
      <c r="O571" s="892"/>
      <c r="P571" s="892"/>
    </row>
    <row r="572" spans="1:17" ht="30.75">
      <c r="A572" s="131" t="s">
        <v>3</v>
      </c>
      <c r="B572" s="595" t="s">
        <v>4</v>
      </c>
      <c r="C572" s="327" t="s">
        <v>5</v>
      </c>
      <c r="D572" s="327" t="s">
        <v>6</v>
      </c>
      <c r="E572" s="327" t="s">
        <v>7</v>
      </c>
      <c r="F572" s="327" t="s">
        <v>8</v>
      </c>
      <c r="G572" s="327" t="s">
        <v>9</v>
      </c>
      <c r="H572" s="707" t="s">
        <v>10</v>
      </c>
      <c r="I572" s="327" t="s">
        <v>11</v>
      </c>
      <c r="J572" s="595" t="s">
        <v>12</v>
      </c>
      <c r="K572" s="758" t="s">
        <v>4</v>
      </c>
      <c r="L572" s="595" t="s">
        <v>5</v>
      </c>
      <c r="M572" s="758" t="s">
        <v>6</v>
      </c>
      <c r="N572" s="758" t="s">
        <v>13</v>
      </c>
      <c r="O572" s="758" t="s">
        <v>8</v>
      </c>
      <c r="P572" s="758" t="s">
        <v>14</v>
      </c>
    </row>
    <row r="573" spans="1:17" ht="12.75" customHeight="1">
      <c r="A573" s="906">
        <v>9</v>
      </c>
      <c r="B573" s="122">
        <v>15486</v>
      </c>
      <c r="C573" s="499">
        <v>0.1</v>
      </c>
      <c r="D573" s="542" t="s">
        <v>347</v>
      </c>
      <c r="E573" s="321">
        <v>2400000</v>
      </c>
      <c r="F573" s="765">
        <v>0.05</v>
      </c>
      <c r="G573" s="321">
        <f>E573*F573</f>
        <v>120000</v>
      </c>
      <c r="H573" s="604" t="s">
        <v>123</v>
      </c>
      <c r="I573" s="735"/>
      <c r="J573" s="604" t="s">
        <v>138</v>
      </c>
      <c r="K573" s="15">
        <v>15647</v>
      </c>
      <c r="L573" s="543">
        <v>0.08</v>
      </c>
      <c r="M573" s="542" t="s">
        <v>348</v>
      </c>
      <c r="N573" s="321">
        <v>1900000</v>
      </c>
      <c r="O573" s="876">
        <v>0.04</v>
      </c>
      <c r="P573" s="326">
        <f>N573*O573</f>
        <v>76000</v>
      </c>
    </row>
    <row r="574" spans="1:17" ht="12.75" customHeight="1">
      <c r="A574" s="906"/>
      <c r="B574" s="580">
        <v>15483</v>
      </c>
      <c r="C574" s="577">
        <v>0.1</v>
      </c>
      <c r="D574" s="833" t="s">
        <v>349</v>
      </c>
      <c r="E574" s="321">
        <v>4000000</v>
      </c>
      <c r="F574" s="765">
        <v>0.05</v>
      </c>
      <c r="G574" s="321">
        <f t="shared" ref="G574:G578" si="25">E574*F574</f>
        <v>200000</v>
      </c>
      <c r="H574" s="604" t="s">
        <v>123</v>
      </c>
      <c r="I574" s="875"/>
      <c r="J574" s="604" t="s">
        <v>138</v>
      </c>
      <c r="K574" s="330"/>
      <c r="L574" s="330"/>
      <c r="M574" s="318"/>
      <c r="N574" s="326"/>
      <c r="O574" s="877"/>
      <c r="P574" s="323"/>
    </row>
    <row r="575" spans="1:17" ht="12.75" customHeight="1">
      <c r="A575" s="906"/>
      <c r="B575" s="122">
        <v>15662</v>
      </c>
      <c r="C575" s="863">
        <v>0.1</v>
      </c>
      <c r="D575" s="839" t="s">
        <v>350</v>
      </c>
      <c r="E575" s="321">
        <v>1750000</v>
      </c>
      <c r="F575" s="765">
        <v>0.06</v>
      </c>
      <c r="G575" s="321">
        <f t="shared" si="25"/>
        <v>105000</v>
      </c>
      <c r="H575" s="604" t="s">
        <v>138</v>
      </c>
      <c r="I575" s="604"/>
      <c r="J575" s="712" t="s">
        <v>138</v>
      </c>
      <c r="K575" s="320"/>
      <c r="L575" s="768"/>
      <c r="M575" s="322"/>
      <c r="N575" s="323"/>
      <c r="O575" s="324"/>
      <c r="P575" s="326"/>
    </row>
    <row r="576" spans="1:17" ht="12.75" customHeight="1">
      <c r="A576" s="906"/>
      <c r="B576" s="15">
        <v>15506</v>
      </c>
      <c r="C576" s="541">
        <v>0.1</v>
      </c>
      <c r="D576" s="567" t="s">
        <v>351</v>
      </c>
      <c r="E576" s="321">
        <v>2200000</v>
      </c>
      <c r="F576" s="765">
        <v>0.05</v>
      </c>
      <c r="G576" s="321">
        <f t="shared" si="25"/>
        <v>110000</v>
      </c>
      <c r="H576" s="604" t="s">
        <v>123</v>
      </c>
      <c r="I576" s="604"/>
      <c r="J576" s="604" t="s">
        <v>352</v>
      </c>
      <c r="K576" s="319"/>
      <c r="L576" s="697"/>
      <c r="M576" s="322"/>
      <c r="N576" s="323"/>
      <c r="O576" s="324"/>
      <c r="P576" s="323"/>
    </row>
    <row r="577" spans="1:1024" ht="12.75" customHeight="1">
      <c r="A577" s="906"/>
      <c r="B577" s="580">
        <v>15522</v>
      </c>
      <c r="C577" s="541">
        <v>0.1</v>
      </c>
      <c r="D577" s="542" t="s">
        <v>353</v>
      </c>
      <c r="E577" s="321">
        <v>3600000</v>
      </c>
      <c r="F577" s="765">
        <v>0.06</v>
      </c>
      <c r="G577" s="321">
        <f t="shared" si="25"/>
        <v>216000</v>
      </c>
      <c r="H577" s="604" t="s">
        <v>202</v>
      </c>
      <c r="I577" s="604"/>
      <c r="J577" s="604" t="s">
        <v>124</v>
      </c>
      <c r="K577" s="319"/>
      <c r="L577" s="697"/>
      <c r="M577" s="322"/>
      <c r="N577" s="323"/>
      <c r="O577" s="324"/>
      <c r="P577" s="323"/>
    </row>
    <row r="578" spans="1:1024" ht="12.75" customHeight="1">
      <c r="A578" s="906"/>
      <c r="B578" s="551">
        <v>15525</v>
      </c>
      <c r="C578" s="690">
        <v>0.1</v>
      </c>
      <c r="D578" s="691" t="s">
        <v>354</v>
      </c>
      <c r="E578" s="321">
        <v>2300000</v>
      </c>
      <c r="F578" s="765">
        <v>0.05</v>
      </c>
      <c r="G578" s="321">
        <f t="shared" si="25"/>
        <v>115000</v>
      </c>
      <c r="H578" s="604" t="s">
        <v>123</v>
      </c>
      <c r="I578" s="604"/>
      <c r="J578" s="604" t="s">
        <v>138</v>
      </c>
      <c r="K578" s="319"/>
      <c r="L578" s="697"/>
      <c r="M578" s="322"/>
      <c r="N578" s="323"/>
      <c r="O578" s="324"/>
      <c r="P578" s="323"/>
    </row>
    <row r="579" spans="1:1024" ht="12.75" customHeight="1">
      <c r="A579" s="906"/>
      <c r="B579" s="590"/>
      <c r="C579" s="594"/>
      <c r="D579" s="783"/>
      <c r="E579" s="321"/>
      <c r="F579" s="765"/>
      <c r="G579" s="321"/>
      <c r="H579" s="604"/>
      <c r="I579" s="604"/>
      <c r="J579" s="604"/>
      <c r="K579" s="319"/>
      <c r="L579" s="697"/>
      <c r="M579" s="322"/>
      <c r="N579" s="323"/>
      <c r="O579" s="324"/>
      <c r="P579" s="323"/>
    </row>
    <row r="580" spans="1:1024" ht="12.75" customHeight="1">
      <c r="A580" s="906"/>
      <c r="B580" s="590"/>
      <c r="C580" s="591"/>
      <c r="D580" s="783"/>
      <c r="E580" s="321"/>
      <c r="F580" s="769"/>
      <c r="G580" s="321"/>
      <c r="H580" s="604"/>
      <c r="I580" s="604"/>
      <c r="J580" s="604"/>
      <c r="K580" s="319"/>
      <c r="L580" s="697"/>
      <c r="M580" s="322"/>
      <c r="N580" s="323"/>
      <c r="O580" s="324"/>
      <c r="P580" s="323"/>
    </row>
    <row r="581" spans="1:1024" ht="12.75" customHeight="1">
      <c r="A581" s="906"/>
      <c r="B581" s="590"/>
      <c r="C581" s="594"/>
      <c r="D581" s="589"/>
      <c r="E581" s="321"/>
      <c r="F581" s="679"/>
      <c r="G581" s="318"/>
      <c r="H581" s="604"/>
      <c r="I581" s="604"/>
      <c r="J581" s="604"/>
      <c r="K581" s="319"/>
      <c r="L581" s="697"/>
      <c r="M581" s="322"/>
      <c r="N581" s="323"/>
      <c r="O581" s="324"/>
      <c r="P581" s="323"/>
    </row>
    <row r="582" spans="1:1024">
      <c r="A582" s="906"/>
      <c r="B582" s="588"/>
      <c r="C582" s="586"/>
      <c r="D582" s="318"/>
      <c r="E582" s="321"/>
      <c r="F582" s="693"/>
      <c r="G582" s="692"/>
      <c r="H582" s="604"/>
      <c r="I582" s="604"/>
      <c r="J582" s="604"/>
      <c r="K582" s="320"/>
      <c r="L582" s="696"/>
      <c r="M582" s="318"/>
      <c r="N582" s="321"/>
      <c r="O582" s="589"/>
      <c r="P582" s="321">
        <f>P573</f>
        <v>76000</v>
      </c>
    </row>
    <row r="583" spans="1:1024" ht="12.75" customHeight="1">
      <c r="A583" s="906"/>
      <c r="B583" s="694"/>
      <c r="C583" s="332"/>
      <c r="D583" s="626" t="s">
        <v>26</v>
      </c>
      <c r="E583" s="563">
        <f>SUM(E573:E582)</f>
        <v>16250000</v>
      </c>
      <c r="F583" s="318" t="s">
        <v>26</v>
      </c>
      <c r="G583" s="321">
        <f>SUM(G573:G581)</f>
        <v>866000</v>
      </c>
      <c r="H583" s="140"/>
      <c r="I583" s="140"/>
      <c r="J583" s="140"/>
      <c r="K583" s="698" t="s">
        <v>27</v>
      </c>
      <c r="L583" s="699"/>
      <c r="M583" s="699"/>
      <c r="N583" s="700"/>
      <c r="O583" s="701" t="s">
        <v>28</v>
      </c>
      <c r="P583" s="702">
        <f>P582+G583</f>
        <v>942000</v>
      </c>
    </row>
    <row r="584" spans="1:1024">
      <c r="A584" s="41"/>
      <c r="B584" s="42"/>
      <c r="C584" s="43"/>
      <c r="D584" s="41"/>
      <c r="E584" s="41"/>
      <c r="F584" s="41"/>
      <c r="G584" s="41"/>
      <c r="H584" s="41"/>
      <c r="I584" s="41"/>
      <c r="J584" s="41"/>
    </row>
    <row r="585" spans="1:1024">
      <c r="A585" s="41"/>
      <c r="B585" s="42"/>
      <c r="C585" s="43"/>
      <c r="D585" s="41"/>
      <c r="E585" s="41"/>
      <c r="F585" s="41"/>
      <c r="G585" s="41"/>
      <c r="H585" s="41"/>
      <c r="I585" s="41"/>
      <c r="J585" s="41"/>
    </row>
    <row r="586" spans="1:1024">
      <c r="A586" s="904" t="s">
        <v>199</v>
      </c>
      <c r="B586" s="904"/>
      <c r="C586" s="904"/>
      <c r="D586" s="904"/>
      <c r="E586" s="904"/>
      <c r="F586" s="904"/>
      <c r="G586" s="904"/>
      <c r="H586" s="904"/>
      <c r="I586" s="904"/>
      <c r="J586" s="904"/>
      <c r="K586" s="948" t="s">
        <v>2</v>
      </c>
      <c r="L586" s="948"/>
      <c r="M586" s="948"/>
      <c r="N586" s="948"/>
      <c r="O586" s="948"/>
      <c r="P586" s="948"/>
      <c r="Q586" s="624"/>
    </row>
    <row r="587" spans="1:1024" ht="30.75">
      <c r="A587" s="327" t="s">
        <v>3</v>
      </c>
      <c r="B587" s="327" t="s">
        <v>4</v>
      </c>
      <c r="C587" s="327" t="s">
        <v>5</v>
      </c>
      <c r="D587" s="595" t="s">
        <v>6</v>
      </c>
      <c r="E587" s="595" t="s">
        <v>29</v>
      </c>
      <c r="F587" s="327" t="s">
        <v>8</v>
      </c>
      <c r="G587" s="327" t="s">
        <v>9</v>
      </c>
      <c r="H587" s="707" t="s">
        <v>10</v>
      </c>
      <c r="I587" s="327" t="s">
        <v>11</v>
      </c>
      <c r="J587" s="327" t="s">
        <v>12</v>
      </c>
      <c r="K587" s="732" t="s">
        <v>4</v>
      </c>
      <c r="L587" s="327" t="s">
        <v>5</v>
      </c>
      <c r="M587" s="732" t="s">
        <v>6</v>
      </c>
      <c r="N587" s="732" t="s">
        <v>13</v>
      </c>
      <c r="O587" s="732" t="s">
        <v>8</v>
      </c>
      <c r="P587" s="732" t="s">
        <v>14</v>
      </c>
      <c r="Q587" s="624"/>
    </row>
    <row r="588" spans="1:1024">
      <c r="A588" s="901">
        <v>20</v>
      </c>
      <c r="B588" s="580">
        <v>15426</v>
      </c>
      <c r="C588" s="873">
        <v>0.08</v>
      </c>
      <c r="D588" s="839" t="s">
        <v>355</v>
      </c>
      <c r="E588" s="321">
        <v>2600000</v>
      </c>
      <c r="F588" s="765">
        <v>0.08</v>
      </c>
      <c r="G588" s="321">
        <f>E588*F588</f>
        <v>208000</v>
      </c>
      <c r="H588" s="604" t="s">
        <v>202</v>
      </c>
      <c r="I588" s="604"/>
      <c r="J588" s="604" t="s">
        <v>138</v>
      </c>
      <c r="K588" s="580">
        <v>15522</v>
      </c>
      <c r="L588" s="541">
        <v>0.1</v>
      </c>
      <c r="M588" s="542" t="s">
        <v>356</v>
      </c>
      <c r="N588" s="321">
        <v>3700000</v>
      </c>
      <c r="O588" s="774">
        <v>0.05</v>
      </c>
      <c r="P588" s="607">
        <f>N588*O588</f>
        <v>185000</v>
      </c>
      <c r="Q588" s="716"/>
      <c r="R588" s="243"/>
      <c r="S588" s="243"/>
      <c r="T588" s="243"/>
      <c r="U588" s="243"/>
      <c r="V588" s="243"/>
      <c r="W588" s="243"/>
      <c r="X588" s="243"/>
      <c r="Y588" s="243"/>
      <c r="Z588" s="243"/>
      <c r="AA588" s="243"/>
      <c r="AB588" s="243"/>
      <c r="AC588" s="243"/>
      <c r="AD588" s="243"/>
      <c r="AE588" s="243"/>
      <c r="AF588" s="243"/>
      <c r="AG588" s="243"/>
      <c r="AH588" s="243"/>
      <c r="AI588" s="243"/>
      <c r="AJ588" s="243"/>
      <c r="AK588" s="243"/>
      <c r="AL588" s="243"/>
      <c r="AM588" s="243"/>
      <c r="AN588" s="243"/>
      <c r="AO588" s="243"/>
      <c r="AP588" s="243"/>
      <c r="AQ588" s="243"/>
      <c r="AR588" s="243"/>
      <c r="AS588" s="243"/>
      <c r="AT588" s="243"/>
      <c r="AU588" s="243"/>
      <c r="AV588" s="243"/>
      <c r="AW588" s="243"/>
      <c r="AX588" s="243"/>
      <c r="AY588" s="243"/>
      <c r="AZ588" s="243"/>
      <c r="BA588" s="243"/>
      <c r="BB588" s="243"/>
      <c r="BC588" s="243"/>
      <c r="BD588" s="243"/>
      <c r="BE588" s="243"/>
      <c r="BF588" s="243"/>
      <c r="BG588" s="243"/>
      <c r="BH588" s="243"/>
      <c r="BI588" s="243"/>
      <c r="BJ588" s="243"/>
      <c r="BK588" s="243"/>
      <c r="BL588" s="243"/>
      <c r="BM588" s="243"/>
      <c r="BN588" s="243"/>
      <c r="BO588" s="243"/>
      <c r="BP588" s="243"/>
      <c r="BQ588" s="243"/>
      <c r="BR588" s="243"/>
      <c r="BS588" s="243"/>
      <c r="BT588" s="243"/>
      <c r="BU588" s="243"/>
      <c r="BV588" s="243"/>
      <c r="BW588" s="243"/>
      <c r="BX588" s="243"/>
      <c r="BY588" s="243"/>
      <c r="BZ588" s="243"/>
      <c r="CA588" s="243"/>
      <c r="CB588" s="243"/>
      <c r="CC588" s="243"/>
      <c r="CD588" s="243"/>
      <c r="CE588" s="243"/>
      <c r="CF588" s="243"/>
      <c r="CG588" s="243"/>
      <c r="CH588" s="243"/>
      <c r="CI588" s="243"/>
      <c r="CJ588" s="243"/>
      <c r="CK588" s="243"/>
      <c r="CL588" s="243"/>
      <c r="CM588" s="243"/>
      <c r="CN588" s="243"/>
      <c r="CO588" s="243"/>
      <c r="CP588" s="243"/>
      <c r="CQ588" s="243"/>
      <c r="CR588" s="243"/>
      <c r="CS588" s="243"/>
      <c r="CT588" s="243"/>
      <c r="CU588" s="243"/>
      <c r="CV588" s="243"/>
      <c r="CW588" s="243"/>
      <c r="CX588" s="243"/>
      <c r="CY588" s="243"/>
      <c r="CZ588" s="243"/>
      <c r="DA588" s="243"/>
      <c r="DB588" s="243"/>
      <c r="DC588" s="243"/>
      <c r="DD588" s="243"/>
      <c r="DE588" s="243"/>
      <c r="DF588" s="243"/>
      <c r="DG588" s="243"/>
      <c r="DH588" s="243"/>
      <c r="DI588" s="243"/>
      <c r="DJ588" s="243"/>
      <c r="DK588" s="243"/>
      <c r="DL588" s="243"/>
      <c r="DM588" s="243"/>
      <c r="DN588" s="243"/>
      <c r="DO588" s="243"/>
      <c r="DP588" s="243"/>
      <c r="DQ588" s="243"/>
      <c r="DR588" s="243"/>
      <c r="DS588" s="243"/>
      <c r="DT588" s="243"/>
      <c r="DU588" s="243"/>
      <c r="DV588" s="243"/>
      <c r="DW588" s="243"/>
      <c r="DX588" s="243"/>
      <c r="DY588" s="243"/>
      <c r="DZ588" s="243"/>
      <c r="EA588" s="243"/>
      <c r="EB588" s="243"/>
      <c r="EC588" s="243"/>
      <c r="ED588" s="243"/>
      <c r="EE588" s="243"/>
      <c r="EF588" s="243"/>
      <c r="EG588" s="243"/>
      <c r="EH588" s="243"/>
      <c r="EI588" s="243"/>
      <c r="EJ588" s="243"/>
      <c r="EK588" s="243"/>
      <c r="EL588" s="243"/>
      <c r="EM588" s="243"/>
      <c r="EN588" s="243"/>
      <c r="EO588" s="243"/>
      <c r="EP588" s="243"/>
      <c r="EQ588" s="243"/>
      <c r="ER588" s="243"/>
      <c r="ES588" s="243"/>
      <c r="ET588" s="243"/>
      <c r="EU588" s="243"/>
      <c r="EV588" s="243"/>
      <c r="EW588" s="243"/>
      <c r="EX588" s="243"/>
      <c r="EY588" s="243"/>
      <c r="EZ588" s="243"/>
      <c r="FA588" s="243"/>
      <c r="FB588" s="243"/>
      <c r="FC588" s="243"/>
      <c r="FD588" s="243"/>
      <c r="FE588" s="243"/>
      <c r="FF588" s="243"/>
      <c r="FG588" s="243"/>
      <c r="FH588" s="243"/>
      <c r="FI588" s="243"/>
      <c r="FJ588" s="243"/>
      <c r="FK588" s="243"/>
      <c r="FL588" s="243"/>
      <c r="FM588" s="243"/>
      <c r="FN588" s="243"/>
      <c r="FO588" s="243"/>
      <c r="FP588" s="243"/>
      <c r="FQ588" s="243"/>
      <c r="FR588" s="243"/>
      <c r="FS588" s="243"/>
      <c r="FT588" s="243"/>
      <c r="FU588" s="243"/>
      <c r="FV588" s="243"/>
      <c r="FW588" s="243"/>
      <c r="FX588" s="243"/>
      <c r="FY588" s="243"/>
      <c r="FZ588" s="243"/>
      <c r="GA588" s="243"/>
      <c r="GB588" s="243"/>
      <c r="GC588" s="243"/>
      <c r="GD588" s="243"/>
      <c r="GE588" s="243"/>
      <c r="GF588" s="243"/>
      <c r="GG588" s="243"/>
      <c r="GH588" s="243"/>
      <c r="GI588" s="243"/>
      <c r="GJ588" s="243"/>
      <c r="GK588" s="243"/>
      <c r="GL588" s="243"/>
      <c r="GM588" s="243"/>
      <c r="GN588" s="243"/>
      <c r="GO588" s="243"/>
      <c r="GP588" s="243"/>
      <c r="GQ588" s="243"/>
      <c r="GR588" s="243"/>
      <c r="GS588" s="243"/>
      <c r="GT588" s="243"/>
      <c r="GU588" s="243"/>
      <c r="GV588" s="243"/>
      <c r="GW588" s="243"/>
      <c r="GX588" s="243"/>
      <c r="GY588" s="243"/>
      <c r="GZ588" s="243"/>
      <c r="HA588" s="243"/>
      <c r="HB588" s="243"/>
      <c r="HC588" s="243"/>
      <c r="HD588" s="243"/>
      <c r="HE588" s="243"/>
      <c r="HF588" s="243"/>
      <c r="HG588" s="243"/>
      <c r="HH588" s="243"/>
      <c r="HI588" s="243"/>
      <c r="HJ588" s="243"/>
      <c r="HK588" s="243"/>
      <c r="HL588" s="243"/>
      <c r="HM588" s="243"/>
      <c r="HN588" s="243"/>
      <c r="HO588" s="243"/>
      <c r="HP588" s="243"/>
      <c r="HQ588" s="243"/>
      <c r="HR588" s="243"/>
      <c r="HS588" s="243"/>
      <c r="HT588" s="243"/>
      <c r="HU588" s="243"/>
      <c r="HV588" s="243"/>
      <c r="HW588" s="243"/>
      <c r="HX588" s="243"/>
      <c r="HY588" s="243"/>
      <c r="HZ588" s="243"/>
      <c r="IA588" s="243"/>
      <c r="IB588" s="243"/>
      <c r="IC588" s="243"/>
      <c r="ID588" s="243"/>
      <c r="IE588" s="243"/>
      <c r="IF588" s="243"/>
      <c r="IG588" s="243"/>
      <c r="IH588" s="243"/>
      <c r="II588" s="243"/>
      <c r="IJ588" s="243"/>
      <c r="IK588" s="243"/>
      <c r="IL588" s="243"/>
      <c r="IM588" s="243"/>
      <c r="IN588" s="243"/>
      <c r="IO588" s="243"/>
      <c r="IP588" s="243"/>
      <c r="IQ588" s="243"/>
      <c r="IR588" s="243"/>
      <c r="IS588" s="243"/>
      <c r="IT588" s="243"/>
      <c r="IU588" s="243"/>
      <c r="IV588" s="243"/>
      <c r="IW588" s="243"/>
      <c r="IX588" s="243"/>
      <c r="IY588" s="243"/>
      <c r="IZ588" s="243"/>
      <c r="JA588" s="243"/>
      <c r="JB588" s="243"/>
      <c r="JC588" s="243"/>
      <c r="JD588" s="243"/>
      <c r="JE588" s="243"/>
      <c r="JF588" s="243"/>
      <c r="JG588" s="243"/>
      <c r="JH588" s="243"/>
      <c r="JI588" s="243"/>
      <c r="JJ588" s="243"/>
      <c r="JK588" s="243"/>
      <c r="JL588" s="243"/>
      <c r="JM588" s="243"/>
      <c r="JN588" s="243"/>
      <c r="JO588" s="243"/>
      <c r="JP588" s="243"/>
      <c r="JQ588" s="243"/>
      <c r="JR588" s="243"/>
      <c r="JS588" s="243"/>
      <c r="JT588" s="243"/>
      <c r="JU588" s="243"/>
      <c r="JV588" s="243"/>
      <c r="JW588" s="243"/>
      <c r="JX588" s="243"/>
      <c r="JY588" s="243"/>
      <c r="JZ588" s="243"/>
      <c r="KA588" s="243"/>
      <c r="KB588" s="243"/>
      <c r="KC588" s="243"/>
      <c r="KD588" s="243"/>
      <c r="KE588" s="243"/>
      <c r="KF588" s="243"/>
      <c r="KG588" s="243"/>
      <c r="KH588" s="243"/>
      <c r="KI588" s="243"/>
      <c r="KJ588" s="243"/>
      <c r="KK588" s="243"/>
      <c r="KL588" s="243"/>
      <c r="KM588" s="243"/>
      <c r="KN588" s="243"/>
      <c r="KO588" s="243"/>
      <c r="KP588" s="243"/>
      <c r="KQ588" s="243"/>
      <c r="KR588" s="243"/>
      <c r="KS588" s="243"/>
      <c r="KT588" s="243"/>
      <c r="KU588" s="243"/>
      <c r="KV588" s="243"/>
      <c r="KW588" s="243"/>
      <c r="KX588" s="243"/>
      <c r="KY588" s="243"/>
      <c r="KZ588" s="243"/>
      <c r="LA588" s="243"/>
      <c r="LB588" s="243"/>
      <c r="LC588" s="243"/>
      <c r="LD588" s="243"/>
      <c r="LE588" s="243"/>
      <c r="LF588" s="243"/>
      <c r="LG588" s="243"/>
      <c r="LH588" s="243"/>
      <c r="LI588" s="243"/>
      <c r="LJ588" s="243"/>
      <c r="LK588" s="243"/>
      <c r="LL588" s="243"/>
      <c r="LM588" s="243"/>
      <c r="LN588" s="243"/>
      <c r="LO588" s="243"/>
      <c r="LP588" s="243"/>
      <c r="LQ588" s="243"/>
      <c r="LR588" s="243"/>
      <c r="LS588" s="243"/>
      <c r="LT588" s="243"/>
      <c r="LU588" s="243"/>
      <c r="LV588" s="243"/>
      <c r="LW588" s="243"/>
      <c r="LX588" s="243"/>
      <c r="LY588" s="243"/>
      <c r="LZ588" s="243"/>
      <c r="MA588" s="243"/>
      <c r="MB588" s="243"/>
      <c r="MC588" s="243"/>
      <c r="MD588" s="243"/>
      <c r="ME588" s="243"/>
      <c r="MF588" s="243"/>
      <c r="MG588" s="243"/>
      <c r="MH588" s="243"/>
      <c r="MI588" s="243"/>
      <c r="MJ588" s="243"/>
      <c r="MK588" s="243"/>
      <c r="ML588" s="243"/>
      <c r="MM588" s="243"/>
      <c r="MN588" s="243"/>
      <c r="MO588" s="243"/>
      <c r="MP588" s="243"/>
      <c r="MQ588" s="243"/>
      <c r="MR588" s="243"/>
      <c r="MS588" s="243"/>
      <c r="MT588" s="243"/>
      <c r="MU588" s="243"/>
      <c r="MV588" s="243"/>
      <c r="MW588" s="243"/>
      <c r="MX588" s="243"/>
      <c r="MY588" s="243"/>
      <c r="MZ588" s="243"/>
      <c r="NA588" s="243"/>
      <c r="NB588" s="243"/>
      <c r="NC588" s="243"/>
      <c r="ND588" s="243"/>
      <c r="NE588" s="243"/>
      <c r="NF588" s="243"/>
      <c r="NG588" s="243"/>
      <c r="NH588" s="243"/>
      <c r="NI588" s="243"/>
      <c r="NJ588" s="243"/>
      <c r="NK588" s="243"/>
      <c r="NL588" s="243"/>
      <c r="NM588" s="243"/>
      <c r="NN588" s="243"/>
      <c r="NO588" s="243"/>
      <c r="NP588" s="243"/>
      <c r="NQ588" s="243"/>
      <c r="NR588" s="243"/>
      <c r="NS588" s="243"/>
      <c r="NT588" s="243"/>
      <c r="NU588" s="243"/>
      <c r="NV588" s="243"/>
      <c r="NW588" s="243"/>
      <c r="NX588" s="243"/>
      <c r="NY588" s="243"/>
      <c r="NZ588" s="243"/>
      <c r="OA588" s="243"/>
      <c r="OB588" s="243"/>
      <c r="OC588" s="243"/>
      <c r="OD588" s="243"/>
      <c r="OE588" s="243"/>
      <c r="OF588" s="243"/>
      <c r="OG588" s="243"/>
      <c r="OH588" s="243"/>
      <c r="OI588" s="243"/>
      <c r="OJ588" s="243"/>
      <c r="OK588" s="243"/>
      <c r="OL588" s="243"/>
      <c r="OM588" s="243"/>
      <c r="ON588" s="243"/>
      <c r="OO588" s="243"/>
      <c r="OP588" s="243"/>
      <c r="OQ588" s="243"/>
      <c r="OR588" s="243"/>
      <c r="OS588" s="243"/>
      <c r="OT588" s="243"/>
      <c r="OU588" s="243"/>
      <c r="OV588" s="243"/>
      <c r="OW588" s="243"/>
      <c r="OX588" s="243"/>
      <c r="OY588" s="243"/>
      <c r="OZ588" s="243"/>
      <c r="PA588" s="243"/>
      <c r="PB588" s="243"/>
      <c r="PC588" s="243"/>
      <c r="PD588" s="243"/>
      <c r="PE588" s="243"/>
      <c r="PF588" s="243"/>
      <c r="PG588" s="243"/>
      <c r="PH588" s="243"/>
      <c r="PI588" s="243"/>
      <c r="PJ588" s="243"/>
      <c r="PK588" s="243"/>
      <c r="PL588" s="243"/>
      <c r="PM588" s="243"/>
      <c r="PN588" s="243"/>
      <c r="PO588" s="243"/>
      <c r="PP588" s="243"/>
      <c r="PQ588" s="243"/>
      <c r="PR588" s="243"/>
      <c r="PS588" s="243"/>
      <c r="PT588" s="243"/>
      <c r="PU588" s="243"/>
      <c r="PV588" s="243"/>
      <c r="PW588" s="243"/>
      <c r="PX588" s="243"/>
      <c r="PY588" s="243"/>
      <c r="PZ588" s="243"/>
      <c r="QA588" s="243"/>
      <c r="QB588" s="243"/>
      <c r="QC588" s="243"/>
      <c r="QD588" s="243"/>
      <c r="QE588" s="243"/>
      <c r="QF588" s="243"/>
      <c r="QG588" s="243"/>
      <c r="QH588" s="243"/>
      <c r="QI588" s="243"/>
      <c r="QJ588" s="243"/>
      <c r="QK588" s="243"/>
      <c r="QL588" s="243"/>
      <c r="QM588" s="243"/>
      <c r="QN588" s="243"/>
      <c r="QO588" s="243"/>
      <c r="QP588" s="243"/>
      <c r="QQ588" s="243"/>
      <c r="QR588" s="243"/>
      <c r="QS588" s="243"/>
      <c r="QT588" s="243"/>
      <c r="QU588" s="243"/>
      <c r="QV588" s="243"/>
      <c r="QW588" s="243"/>
      <c r="QX588" s="243"/>
      <c r="QY588" s="243"/>
      <c r="QZ588" s="243"/>
      <c r="RA588" s="243"/>
      <c r="RB588" s="243"/>
      <c r="RC588" s="243"/>
      <c r="RD588" s="243"/>
      <c r="RE588" s="243"/>
      <c r="RF588" s="243"/>
      <c r="RG588" s="243"/>
      <c r="RH588" s="243"/>
      <c r="RI588" s="243"/>
      <c r="RJ588" s="243"/>
      <c r="RK588" s="243"/>
      <c r="RL588" s="243"/>
      <c r="RM588" s="243"/>
      <c r="RN588" s="243"/>
      <c r="RO588" s="243"/>
      <c r="RP588" s="243"/>
      <c r="RQ588" s="243"/>
      <c r="RR588" s="243"/>
      <c r="RS588" s="243"/>
      <c r="RT588" s="243"/>
      <c r="RU588" s="243"/>
      <c r="RV588" s="243"/>
      <c r="RW588" s="243"/>
      <c r="RX588" s="243"/>
      <c r="RY588" s="243"/>
      <c r="RZ588" s="243"/>
      <c r="SA588" s="243"/>
      <c r="SB588" s="243"/>
      <c r="SC588" s="243"/>
      <c r="SD588" s="243"/>
      <c r="SE588" s="243"/>
      <c r="SF588" s="243"/>
      <c r="SG588" s="243"/>
      <c r="SH588" s="243"/>
      <c r="SI588" s="243"/>
      <c r="SJ588" s="243"/>
      <c r="SK588" s="243"/>
      <c r="SL588" s="243"/>
      <c r="SM588" s="243"/>
      <c r="SN588" s="243"/>
      <c r="SO588" s="243"/>
      <c r="SP588" s="243"/>
      <c r="SQ588" s="243"/>
      <c r="SR588" s="243"/>
      <c r="SS588" s="243"/>
      <c r="ST588" s="243"/>
      <c r="SU588" s="243"/>
      <c r="SV588" s="243"/>
      <c r="SW588" s="243"/>
      <c r="SX588" s="243"/>
      <c r="SY588" s="243"/>
      <c r="SZ588" s="243"/>
      <c r="TA588" s="243"/>
      <c r="TB588" s="243"/>
      <c r="TC588" s="243"/>
      <c r="TD588" s="243"/>
      <c r="TE588" s="243"/>
      <c r="TF588" s="243"/>
      <c r="TG588" s="243"/>
      <c r="TH588" s="243"/>
      <c r="TI588" s="243"/>
      <c r="TJ588" s="243"/>
      <c r="TK588" s="243"/>
      <c r="TL588" s="243"/>
      <c r="TM588" s="243"/>
      <c r="TN588" s="243"/>
      <c r="TO588" s="243"/>
      <c r="TP588" s="243"/>
      <c r="TQ588" s="243"/>
      <c r="TR588" s="243"/>
      <c r="TS588" s="243"/>
      <c r="TT588" s="243"/>
      <c r="TU588" s="243"/>
      <c r="TV588" s="243"/>
      <c r="TW588" s="243"/>
      <c r="TX588" s="243"/>
      <c r="TY588" s="243"/>
      <c r="TZ588" s="243"/>
      <c r="UA588" s="243"/>
      <c r="UB588" s="243"/>
      <c r="UC588" s="243"/>
      <c r="UD588" s="243"/>
      <c r="UE588" s="243"/>
      <c r="UF588" s="243"/>
      <c r="UG588" s="243"/>
      <c r="UH588" s="243"/>
      <c r="UI588" s="243"/>
      <c r="UJ588" s="243"/>
      <c r="UK588" s="243"/>
      <c r="UL588" s="243"/>
      <c r="UM588" s="243"/>
      <c r="UN588" s="243"/>
      <c r="UO588" s="243"/>
      <c r="UP588" s="243"/>
      <c r="UQ588" s="243"/>
      <c r="UR588" s="243"/>
      <c r="US588" s="243"/>
      <c r="UT588" s="243"/>
      <c r="UU588" s="243"/>
      <c r="UV588" s="243"/>
      <c r="UW588" s="243"/>
      <c r="UX588" s="243"/>
      <c r="UY588" s="243"/>
      <c r="UZ588" s="243"/>
      <c r="VA588" s="243"/>
      <c r="VB588" s="243"/>
      <c r="VC588" s="243"/>
      <c r="VD588" s="243"/>
      <c r="VE588" s="243"/>
      <c r="VF588" s="243"/>
      <c r="VG588" s="243"/>
      <c r="VH588" s="243"/>
      <c r="VI588" s="243"/>
      <c r="VJ588" s="243"/>
      <c r="VK588" s="243"/>
      <c r="VL588" s="243"/>
      <c r="VM588" s="243"/>
      <c r="VN588" s="243"/>
      <c r="VO588" s="243"/>
      <c r="VP588" s="243"/>
      <c r="VQ588" s="243"/>
      <c r="VR588" s="243"/>
      <c r="VS588" s="243"/>
      <c r="VT588" s="243"/>
      <c r="VU588" s="243"/>
      <c r="VV588" s="243"/>
      <c r="VW588" s="243"/>
      <c r="VX588" s="243"/>
      <c r="VY588" s="243"/>
      <c r="VZ588" s="243"/>
      <c r="WA588" s="243"/>
      <c r="WB588" s="243"/>
      <c r="WC588" s="243"/>
      <c r="WD588" s="243"/>
      <c r="WE588" s="243"/>
      <c r="WF588" s="243"/>
      <c r="WG588" s="243"/>
      <c r="WH588" s="243"/>
      <c r="WI588" s="243"/>
      <c r="WJ588" s="243"/>
      <c r="WK588" s="243"/>
      <c r="WL588" s="243"/>
      <c r="WM588" s="243"/>
      <c r="WN588" s="243"/>
      <c r="WO588" s="243"/>
      <c r="WP588" s="243"/>
      <c r="WQ588" s="243"/>
      <c r="WR588" s="243"/>
      <c r="WS588" s="243"/>
      <c r="WT588" s="243"/>
      <c r="WU588" s="243"/>
      <c r="WV588" s="243"/>
      <c r="WW588" s="243"/>
      <c r="WX588" s="243"/>
      <c r="WY588" s="243"/>
      <c r="WZ588" s="243"/>
      <c r="XA588" s="243"/>
      <c r="XB588" s="243"/>
      <c r="XC588" s="243"/>
      <c r="XD588" s="243"/>
      <c r="XE588" s="243"/>
      <c r="XF588" s="243"/>
      <c r="XG588" s="243"/>
      <c r="XH588" s="243"/>
      <c r="XI588" s="243"/>
      <c r="XJ588" s="243"/>
      <c r="XK588" s="243"/>
      <c r="XL588" s="243"/>
      <c r="XM588" s="243"/>
      <c r="XN588" s="243"/>
      <c r="XO588" s="243"/>
      <c r="XP588" s="243"/>
      <c r="XQ588" s="243"/>
      <c r="XR588" s="243"/>
      <c r="XS588" s="243"/>
      <c r="XT588" s="243"/>
      <c r="XU588" s="243"/>
      <c r="XV588" s="243"/>
      <c r="XW588" s="243"/>
      <c r="XX588" s="243"/>
      <c r="XY588" s="243"/>
      <c r="XZ588" s="243"/>
      <c r="YA588" s="243"/>
      <c r="YB588" s="243"/>
      <c r="YC588" s="243"/>
      <c r="YD588" s="243"/>
      <c r="YE588" s="243"/>
      <c r="YF588" s="243"/>
      <c r="YG588" s="243"/>
      <c r="YH588" s="243"/>
      <c r="YI588" s="243"/>
      <c r="YJ588" s="243"/>
      <c r="YK588" s="243"/>
      <c r="YL588" s="243"/>
      <c r="YM588" s="243"/>
      <c r="YN588" s="243"/>
      <c r="YO588" s="243"/>
      <c r="YP588" s="243"/>
      <c r="YQ588" s="243"/>
      <c r="YR588" s="243"/>
      <c r="YS588" s="243"/>
      <c r="YT588" s="243"/>
      <c r="YU588" s="243"/>
      <c r="YV588" s="243"/>
      <c r="YW588" s="243"/>
      <c r="YX588" s="243"/>
      <c r="YY588" s="243"/>
      <c r="YZ588" s="243"/>
      <c r="ZA588" s="243"/>
      <c r="ZB588" s="243"/>
      <c r="ZC588" s="243"/>
      <c r="ZD588" s="243"/>
      <c r="ZE588" s="243"/>
      <c r="ZF588" s="243"/>
      <c r="ZG588" s="243"/>
      <c r="ZH588" s="243"/>
      <c r="ZI588" s="243"/>
      <c r="ZJ588" s="243"/>
      <c r="ZK588" s="243"/>
      <c r="ZL588" s="243"/>
      <c r="ZM588" s="243"/>
      <c r="ZN588" s="243"/>
      <c r="ZO588" s="243"/>
      <c r="ZP588" s="243"/>
      <c r="ZQ588" s="243"/>
      <c r="ZR588" s="243"/>
      <c r="ZS588" s="243"/>
      <c r="ZT588" s="243"/>
      <c r="ZU588" s="243"/>
      <c r="ZV588" s="243"/>
      <c r="ZW588" s="243"/>
      <c r="ZX588" s="243"/>
      <c r="ZY588" s="243"/>
      <c r="ZZ588" s="243"/>
      <c r="AAA588" s="243"/>
      <c r="AAB588" s="243"/>
      <c r="AAC588" s="243"/>
      <c r="AAD588" s="243"/>
      <c r="AAE588" s="243"/>
      <c r="AAF588" s="243"/>
      <c r="AAG588" s="243"/>
      <c r="AAH588" s="243"/>
      <c r="AAI588" s="243"/>
      <c r="AAJ588" s="243"/>
      <c r="AAK588" s="243"/>
      <c r="AAL588" s="243"/>
      <c r="AAM588" s="243"/>
      <c r="AAN588" s="243"/>
      <c r="AAO588" s="243"/>
      <c r="AAP588" s="243"/>
      <c r="AAQ588" s="243"/>
      <c r="AAR588" s="243"/>
      <c r="AAS588" s="243"/>
      <c r="AAT588" s="243"/>
      <c r="AAU588" s="243"/>
      <c r="AAV588" s="243"/>
      <c r="AAW588" s="243"/>
      <c r="AAX588" s="243"/>
      <c r="AAY588" s="243"/>
      <c r="AAZ588" s="243"/>
      <c r="ABA588" s="243"/>
      <c r="ABB588" s="243"/>
      <c r="ABC588" s="243"/>
      <c r="ABD588" s="243"/>
      <c r="ABE588" s="243"/>
      <c r="ABF588" s="243"/>
      <c r="ABG588" s="243"/>
      <c r="ABH588" s="243"/>
      <c r="ABI588" s="243"/>
      <c r="ABJ588" s="243"/>
      <c r="ABK588" s="243"/>
      <c r="ABL588" s="243"/>
      <c r="ABM588" s="243"/>
      <c r="ABN588" s="243"/>
      <c r="ABO588" s="243"/>
      <c r="ABP588" s="243"/>
      <c r="ABQ588" s="243"/>
      <c r="ABR588" s="243"/>
      <c r="ABS588" s="243"/>
      <c r="ABT588" s="243"/>
      <c r="ABU588" s="243"/>
      <c r="ABV588" s="243"/>
      <c r="ABW588" s="243"/>
      <c r="ABX588" s="243"/>
      <c r="ABY588" s="243"/>
      <c r="ABZ588" s="243"/>
      <c r="ACA588" s="243"/>
      <c r="ACB588" s="243"/>
      <c r="ACC588" s="243"/>
      <c r="ACD588" s="243"/>
      <c r="ACE588" s="243"/>
      <c r="ACF588" s="243"/>
      <c r="ACG588" s="243"/>
      <c r="ACH588" s="243"/>
      <c r="ACI588" s="243"/>
      <c r="ACJ588" s="243"/>
      <c r="ACK588" s="243"/>
      <c r="ACL588" s="243"/>
      <c r="ACM588" s="243"/>
      <c r="ACN588" s="243"/>
      <c r="ACO588" s="243"/>
      <c r="ACP588" s="243"/>
      <c r="ACQ588" s="243"/>
      <c r="ACR588" s="243"/>
      <c r="ACS588" s="243"/>
      <c r="ACT588" s="243"/>
      <c r="ACU588" s="243"/>
      <c r="ACV588" s="243"/>
      <c r="ACW588" s="243"/>
      <c r="ACX588" s="243"/>
      <c r="ACY588" s="243"/>
      <c r="ACZ588" s="243"/>
      <c r="ADA588" s="243"/>
      <c r="ADB588" s="243"/>
      <c r="ADC588" s="243"/>
      <c r="ADD588" s="243"/>
      <c r="ADE588" s="243"/>
      <c r="ADF588" s="243"/>
      <c r="ADG588" s="243"/>
      <c r="ADH588" s="243"/>
      <c r="ADI588" s="243"/>
      <c r="ADJ588" s="243"/>
      <c r="ADK588" s="243"/>
      <c r="ADL588" s="243"/>
      <c r="ADM588" s="243"/>
      <c r="ADN588" s="243"/>
      <c r="ADO588" s="243"/>
      <c r="ADP588" s="243"/>
      <c r="ADQ588" s="243"/>
      <c r="ADR588" s="243"/>
      <c r="ADS588" s="243"/>
      <c r="ADT588" s="243"/>
      <c r="ADU588" s="243"/>
      <c r="ADV588" s="243"/>
      <c r="ADW588" s="243"/>
      <c r="ADX588" s="243"/>
      <c r="ADY588" s="243"/>
      <c r="ADZ588" s="243"/>
      <c r="AEA588" s="243"/>
      <c r="AEB588" s="243"/>
      <c r="AEC588" s="243"/>
      <c r="AED588" s="243"/>
      <c r="AEE588" s="243"/>
      <c r="AEF588" s="243"/>
      <c r="AEG588" s="243"/>
      <c r="AEH588" s="243"/>
      <c r="AEI588" s="243"/>
      <c r="AEJ588" s="243"/>
      <c r="AEK588" s="243"/>
      <c r="AEL588" s="243"/>
      <c r="AEM588" s="243"/>
      <c r="AEN588" s="243"/>
      <c r="AEO588" s="243"/>
      <c r="AEP588" s="243"/>
      <c r="AEQ588" s="243"/>
      <c r="AER588" s="243"/>
      <c r="AES588" s="243"/>
      <c r="AET588" s="243"/>
      <c r="AEU588" s="243"/>
      <c r="AEV588" s="243"/>
      <c r="AEW588" s="243"/>
      <c r="AEX588" s="243"/>
      <c r="AEY588" s="243"/>
      <c r="AEZ588" s="243"/>
      <c r="AFA588" s="243"/>
      <c r="AFB588" s="243"/>
      <c r="AFC588" s="243"/>
      <c r="AFD588" s="243"/>
      <c r="AFE588" s="243"/>
      <c r="AFF588" s="243"/>
      <c r="AFG588" s="243"/>
      <c r="AFH588" s="243"/>
      <c r="AFI588" s="243"/>
      <c r="AFJ588" s="243"/>
      <c r="AFK588" s="243"/>
      <c r="AFL588" s="243"/>
      <c r="AFM588" s="243"/>
      <c r="AFN588" s="243"/>
      <c r="AFO588" s="243"/>
      <c r="AFP588" s="243"/>
      <c r="AFQ588" s="243"/>
      <c r="AFR588" s="243"/>
      <c r="AFS588" s="243"/>
      <c r="AFT588" s="243"/>
      <c r="AFU588" s="243"/>
      <c r="AFV588" s="243"/>
      <c r="AFW588" s="243"/>
      <c r="AFX588" s="243"/>
      <c r="AFY588" s="243"/>
      <c r="AFZ588" s="243"/>
      <c r="AGA588" s="243"/>
      <c r="AGB588" s="243"/>
      <c r="AGC588" s="243"/>
      <c r="AGD588" s="243"/>
      <c r="AGE588" s="243"/>
      <c r="AGF588" s="243"/>
      <c r="AGG588" s="243"/>
      <c r="AGH588" s="243"/>
      <c r="AGI588" s="243"/>
      <c r="AGJ588" s="243"/>
      <c r="AGK588" s="243"/>
      <c r="AGL588" s="243"/>
      <c r="AGM588" s="243"/>
      <c r="AGN588" s="243"/>
      <c r="AGO588" s="243"/>
      <c r="AGP588" s="243"/>
      <c r="AGQ588" s="243"/>
      <c r="AGR588" s="243"/>
      <c r="AGS588" s="243"/>
      <c r="AGT588" s="243"/>
      <c r="AGU588" s="243"/>
      <c r="AGV588" s="243"/>
      <c r="AGW588" s="243"/>
      <c r="AGX588" s="243"/>
      <c r="AGY588" s="243"/>
      <c r="AGZ588" s="243"/>
      <c r="AHA588" s="243"/>
      <c r="AHB588" s="243"/>
      <c r="AHC588" s="243"/>
      <c r="AHD588" s="243"/>
      <c r="AHE588" s="243"/>
      <c r="AHF588" s="243"/>
      <c r="AHG588" s="243"/>
      <c r="AHH588" s="243"/>
      <c r="AHI588" s="243"/>
      <c r="AHJ588" s="243"/>
      <c r="AHK588" s="243"/>
      <c r="AHL588" s="243"/>
      <c r="AHM588" s="243"/>
      <c r="AHN588" s="243"/>
      <c r="AHO588" s="243"/>
      <c r="AHP588" s="243"/>
      <c r="AHQ588" s="243"/>
      <c r="AHR588" s="243"/>
      <c r="AHS588" s="243"/>
      <c r="AHT588" s="243"/>
      <c r="AHU588" s="243"/>
      <c r="AHV588" s="243"/>
      <c r="AHW588" s="243"/>
      <c r="AHX588" s="243"/>
      <c r="AHY588" s="243"/>
      <c r="AHZ588" s="243"/>
      <c r="AIA588" s="243"/>
      <c r="AIB588" s="243"/>
      <c r="AIC588" s="243"/>
      <c r="AID588" s="243"/>
      <c r="AIE588" s="243"/>
      <c r="AIF588" s="243"/>
      <c r="AIG588" s="243"/>
      <c r="AIH588" s="243"/>
      <c r="AII588" s="243"/>
      <c r="AIJ588" s="243"/>
      <c r="AIK588" s="243"/>
      <c r="AIL588" s="243"/>
      <c r="AIM588" s="243"/>
      <c r="AIN588" s="243"/>
      <c r="AIO588" s="243"/>
      <c r="AIP588" s="243"/>
      <c r="AIQ588" s="243"/>
      <c r="AIR588" s="243"/>
      <c r="AIS588" s="243"/>
      <c r="AIT588" s="243"/>
      <c r="AIU588" s="243"/>
      <c r="AIV588" s="243"/>
      <c r="AIW588" s="243"/>
      <c r="AIX588" s="243"/>
      <c r="AIY588" s="243"/>
      <c r="AIZ588" s="243"/>
      <c r="AJA588" s="243"/>
      <c r="AJB588" s="243"/>
      <c r="AJC588" s="243"/>
      <c r="AJD588" s="243"/>
      <c r="AJE588" s="243"/>
      <c r="AJF588" s="243"/>
      <c r="AJG588" s="243"/>
      <c r="AJH588" s="243"/>
      <c r="AJI588" s="243"/>
      <c r="AJJ588" s="243"/>
      <c r="AJK588" s="243"/>
      <c r="AJL588" s="243"/>
      <c r="AJM588" s="243"/>
      <c r="AJN588" s="243"/>
      <c r="AJO588" s="243"/>
      <c r="AJP588" s="243"/>
      <c r="AJQ588" s="243"/>
      <c r="AJR588" s="243"/>
      <c r="AJS588" s="243"/>
      <c r="AJT588" s="243"/>
      <c r="AJU588" s="243"/>
      <c r="AJV588" s="243"/>
      <c r="AJW588" s="243"/>
      <c r="AJX588" s="243"/>
      <c r="AJY588" s="243"/>
      <c r="AJZ588" s="243"/>
      <c r="AKA588" s="243"/>
      <c r="AKB588" s="243"/>
      <c r="AKC588" s="243"/>
      <c r="AKD588" s="243"/>
      <c r="AKE588" s="243"/>
      <c r="AKF588" s="243"/>
      <c r="AKG588" s="243"/>
      <c r="AKH588" s="243"/>
      <c r="AKI588" s="243"/>
      <c r="AKJ588" s="243"/>
      <c r="AKK588" s="243"/>
      <c r="AKL588" s="243"/>
      <c r="AKM588" s="243"/>
      <c r="AKN588" s="243"/>
      <c r="AKO588" s="243"/>
      <c r="AKP588" s="243"/>
      <c r="AKQ588" s="243"/>
      <c r="AKR588" s="243"/>
      <c r="AKS588" s="243"/>
      <c r="AKT588" s="243"/>
      <c r="AKU588" s="243"/>
      <c r="AKV588" s="243"/>
      <c r="AKW588" s="243"/>
      <c r="AKX588" s="243"/>
      <c r="AKY588" s="243"/>
      <c r="AKZ588" s="243"/>
      <c r="ALA588" s="243"/>
      <c r="ALB588" s="243"/>
      <c r="ALC588" s="243"/>
      <c r="ALD588" s="243"/>
      <c r="ALE588" s="243"/>
      <c r="ALF588" s="243"/>
      <c r="ALG588" s="243"/>
      <c r="ALH588" s="243"/>
      <c r="ALI588" s="243"/>
      <c r="ALJ588" s="243"/>
      <c r="ALK588" s="243"/>
      <c r="ALL588" s="243"/>
      <c r="ALM588" s="243"/>
      <c r="ALN588" s="243"/>
      <c r="ALO588" s="243"/>
      <c r="ALP588" s="243"/>
      <c r="ALQ588" s="243"/>
      <c r="ALR588" s="243"/>
      <c r="ALS588" s="243"/>
      <c r="ALT588" s="243"/>
      <c r="ALU588" s="243"/>
      <c r="ALV588" s="243"/>
      <c r="ALW588" s="243"/>
      <c r="ALX588" s="243"/>
      <c r="ALY588" s="243"/>
      <c r="ALZ588" s="243"/>
      <c r="AMA588" s="243"/>
      <c r="AMB588" s="243"/>
      <c r="AMC588" s="243"/>
      <c r="AMD588" s="243"/>
      <c r="AME588" s="243"/>
      <c r="AMF588" s="243"/>
      <c r="AMG588" s="243"/>
      <c r="AMH588" s="243"/>
      <c r="AMI588" s="244"/>
      <c r="AMJ588" s="244"/>
    </row>
    <row r="589" spans="1:1024">
      <c r="A589" s="901"/>
      <c r="B589" s="580">
        <v>15473</v>
      </c>
      <c r="C589" s="873">
        <v>0.08</v>
      </c>
      <c r="D589" s="839" t="s">
        <v>357</v>
      </c>
      <c r="E589" s="321">
        <v>3300000</v>
      </c>
      <c r="F589" s="765">
        <v>0.08</v>
      </c>
      <c r="G589" s="321">
        <f t="shared" ref="G589:G592" si="26">E589*F589</f>
        <v>264000</v>
      </c>
      <c r="H589" s="604" t="s">
        <v>202</v>
      </c>
      <c r="I589" s="604"/>
      <c r="J589" s="604" t="s">
        <v>138</v>
      </c>
      <c r="K589" s="732"/>
      <c r="L589" s="777"/>
      <c r="M589" s="625"/>
      <c r="N589" s="607"/>
      <c r="O589" s="778"/>
      <c r="P589" s="607"/>
      <c r="Q589" s="716"/>
      <c r="R589" s="243"/>
      <c r="S589" s="243"/>
      <c r="T589" s="243"/>
      <c r="U589" s="243"/>
      <c r="V589" s="243"/>
      <c r="W589" s="243"/>
      <c r="X589" s="243"/>
      <c r="Y589" s="243"/>
      <c r="Z589" s="243"/>
      <c r="AA589" s="243"/>
      <c r="AB589" s="243"/>
      <c r="AC589" s="243"/>
      <c r="AD589" s="243"/>
      <c r="AE589" s="243"/>
      <c r="AF589" s="243"/>
      <c r="AG589" s="243"/>
      <c r="AH589" s="243"/>
      <c r="AI589" s="243"/>
      <c r="AJ589" s="243"/>
      <c r="AK589" s="243"/>
      <c r="AL589" s="243"/>
      <c r="AM589" s="243"/>
      <c r="AN589" s="243"/>
      <c r="AO589" s="243"/>
      <c r="AP589" s="243"/>
      <c r="AQ589" s="243"/>
      <c r="AR589" s="243"/>
      <c r="AS589" s="243"/>
      <c r="AT589" s="243"/>
      <c r="AU589" s="243"/>
      <c r="AV589" s="243"/>
      <c r="AW589" s="243"/>
      <c r="AX589" s="243"/>
      <c r="AY589" s="243"/>
      <c r="AZ589" s="243"/>
      <c r="BA589" s="243"/>
      <c r="BB589" s="243"/>
      <c r="BC589" s="243"/>
      <c r="BD589" s="243"/>
      <c r="BE589" s="243"/>
      <c r="BF589" s="243"/>
      <c r="BG589" s="243"/>
      <c r="BH589" s="243"/>
      <c r="BI589" s="243"/>
      <c r="BJ589" s="243"/>
      <c r="BK589" s="243"/>
      <c r="BL589" s="243"/>
      <c r="BM589" s="243"/>
      <c r="BN589" s="243"/>
      <c r="BO589" s="243"/>
      <c r="BP589" s="243"/>
      <c r="BQ589" s="243"/>
      <c r="BR589" s="243"/>
      <c r="BS589" s="243"/>
      <c r="BT589" s="243"/>
      <c r="BU589" s="243"/>
      <c r="BV589" s="243"/>
      <c r="BW589" s="243"/>
      <c r="BX589" s="243"/>
      <c r="BY589" s="243"/>
      <c r="BZ589" s="243"/>
      <c r="CA589" s="243"/>
      <c r="CB589" s="243"/>
      <c r="CC589" s="243"/>
      <c r="CD589" s="243"/>
      <c r="CE589" s="243"/>
      <c r="CF589" s="243"/>
      <c r="CG589" s="243"/>
      <c r="CH589" s="243"/>
      <c r="CI589" s="243"/>
      <c r="CJ589" s="243"/>
      <c r="CK589" s="243"/>
      <c r="CL589" s="243"/>
      <c r="CM589" s="243"/>
      <c r="CN589" s="243"/>
      <c r="CO589" s="243"/>
      <c r="CP589" s="243"/>
      <c r="CQ589" s="243"/>
      <c r="CR589" s="243"/>
      <c r="CS589" s="243"/>
      <c r="CT589" s="243"/>
      <c r="CU589" s="243"/>
      <c r="CV589" s="243"/>
      <c r="CW589" s="243"/>
      <c r="CX589" s="243"/>
      <c r="CY589" s="243"/>
      <c r="CZ589" s="243"/>
      <c r="DA589" s="243"/>
      <c r="DB589" s="243"/>
      <c r="DC589" s="243"/>
      <c r="DD589" s="243"/>
      <c r="DE589" s="243"/>
      <c r="DF589" s="243"/>
      <c r="DG589" s="243"/>
      <c r="DH589" s="243"/>
      <c r="DI589" s="243"/>
      <c r="DJ589" s="243"/>
      <c r="DK589" s="243"/>
      <c r="DL589" s="243"/>
      <c r="DM589" s="243"/>
      <c r="DN589" s="243"/>
      <c r="DO589" s="243"/>
      <c r="DP589" s="243"/>
      <c r="DQ589" s="243"/>
      <c r="DR589" s="243"/>
      <c r="DS589" s="243"/>
      <c r="DT589" s="243"/>
      <c r="DU589" s="243"/>
      <c r="DV589" s="243"/>
      <c r="DW589" s="243"/>
      <c r="DX589" s="243"/>
      <c r="DY589" s="243"/>
      <c r="DZ589" s="243"/>
      <c r="EA589" s="243"/>
      <c r="EB589" s="243"/>
      <c r="EC589" s="243"/>
      <c r="ED589" s="243"/>
      <c r="EE589" s="243"/>
      <c r="EF589" s="243"/>
      <c r="EG589" s="243"/>
      <c r="EH589" s="243"/>
      <c r="EI589" s="243"/>
      <c r="EJ589" s="243"/>
      <c r="EK589" s="243"/>
      <c r="EL589" s="243"/>
      <c r="EM589" s="243"/>
      <c r="EN589" s="243"/>
      <c r="EO589" s="243"/>
      <c r="EP589" s="243"/>
      <c r="EQ589" s="243"/>
      <c r="ER589" s="243"/>
      <c r="ES589" s="243"/>
      <c r="ET589" s="243"/>
      <c r="EU589" s="243"/>
      <c r="EV589" s="243"/>
      <c r="EW589" s="243"/>
      <c r="EX589" s="243"/>
      <c r="EY589" s="243"/>
      <c r="EZ589" s="243"/>
      <c r="FA589" s="243"/>
      <c r="FB589" s="243"/>
      <c r="FC589" s="243"/>
      <c r="FD589" s="243"/>
      <c r="FE589" s="243"/>
      <c r="FF589" s="243"/>
      <c r="FG589" s="243"/>
      <c r="FH589" s="243"/>
      <c r="FI589" s="243"/>
      <c r="FJ589" s="243"/>
      <c r="FK589" s="243"/>
      <c r="FL589" s="243"/>
      <c r="FM589" s="243"/>
      <c r="FN589" s="243"/>
      <c r="FO589" s="243"/>
      <c r="FP589" s="243"/>
      <c r="FQ589" s="243"/>
      <c r="FR589" s="243"/>
      <c r="FS589" s="243"/>
      <c r="FT589" s="243"/>
      <c r="FU589" s="243"/>
      <c r="FV589" s="243"/>
      <c r="FW589" s="243"/>
      <c r="FX589" s="243"/>
      <c r="FY589" s="243"/>
      <c r="FZ589" s="243"/>
      <c r="GA589" s="243"/>
      <c r="GB589" s="243"/>
      <c r="GC589" s="243"/>
      <c r="GD589" s="243"/>
      <c r="GE589" s="243"/>
      <c r="GF589" s="243"/>
      <c r="GG589" s="243"/>
      <c r="GH589" s="243"/>
      <c r="GI589" s="243"/>
      <c r="GJ589" s="243"/>
      <c r="GK589" s="243"/>
      <c r="GL589" s="243"/>
      <c r="GM589" s="243"/>
      <c r="GN589" s="243"/>
      <c r="GO589" s="243"/>
      <c r="GP589" s="243"/>
      <c r="GQ589" s="243"/>
      <c r="GR589" s="243"/>
      <c r="GS589" s="243"/>
      <c r="GT589" s="243"/>
      <c r="GU589" s="243"/>
      <c r="GV589" s="243"/>
      <c r="GW589" s="243"/>
      <c r="GX589" s="243"/>
      <c r="GY589" s="243"/>
      <c r="GZ589" s="243"/>
      <c r="HA589" s="243"/>
      <c r="HB589" s="243"/>
      <c r="HC589" s="243"/>
      <c r="HD589" s="243"/>
      <c r="HE589" s="243"/>
      <c r="HF589" s="243"/>
      <c r="HG589" s="243"/>
      <c r="HH589" s="243"/>
      <c r="HI589" s="243"/>
      <c r="HJ589" s="243"/>
      <c r="HK589" s="243"/>
      <c r="HL589" s="243"/>
      <c r="HM589" s="243"/>
      <c r="HN589" s="243"/>
      <c r="HO589" s="243"/>
      <c r="HP589" s="243"/>
      <c r="HQ589" s="243"/>
      <c r="HR589" s="243"/>
      <c r="HS589" s="243"/>
      <c r="HT589" s="243"/>
      <c r="HU589" s="243"/>
      <c r="HV589" s="243"/>
      <c r="HW589" s="243"/>
      <c r="HX589" s="243"/>
      <c r="HY589" s="243"/>
      <c r="HZ589" s="243"/>
      <c r="IA589" s="243"/>
      <c r="IB589" s="243"/>
      <c r="IC589" s="243"/>
      <c r="ID589" s="243"/>
      <c r="IE589" s="243"/>
      <c r="IF589" s="243"/>
      <c r="IG589" s="243"/>
      <c r="IH589" s="243"/>
      <c r="II589" s="243"/>
      <c r="IJ589" s="243"/>
      <c r="IK589" s="243"/>
      <c r="IL589" s="243"/>
      <c r="IM589" s="243"/>
      <c r="IN589" s="243"/>
      <c r="IO589" s="243"/>
      <c r="IP589" s="243"/>
      <c r="IQ589" s="243"/>
      <c r="IR589" s="243"/>
      <c r="IS589" s="243"/>
      <c r="IT589" s="243"/>
      <c r="IU589" s="243"/>
      <c r="IV589" s="243"/>
      <c r="IW589" s="243"/>
      <c r="IX589" s="243"/>
      <c r="IY589" s="243"/>
      <c r="IZ589" s="243"/>
      <c r="JA589" s="243"/>
      <c r="JB589" s="243"/>
      <c r="JC589" s="243"/>
      <c r="JD589" s="243"/>
      <c r="JE589" s="243"/>
      <c r="JF589" s="243"/>
      <c r="JG589" s="243"/>
      <c r="JH589" s="243"/>
      <c r="JI589" s="243"/>
      <c r="JJ589" s="243"/>
      <c r="JK589" s="243"/>
      <c r="JL589" s="243"/>
      <c r="JM589" s="243"/>
      <c r="JN589" s="243"/>
      <c r="JO589" s="243"/>
      <c r="JP589" s="243"/>
      <c r="JQ589" s="243"/>
      <c r="JR589" s="243"/>
      <c r="JS589" s="243"/>
      <c r="JT589" s="243"/>
      <c r="JU589" s="243"/>
      <c r="JV589" s="243"/>
      <c r="JW589" s="243"/>
      <c r="JX589" s="243"/>
      <c r="JY589" s="243"/>
      <c r="JZ589" s="243"/>
      <c r="KA589" s="243"/>
      <c r="KB589" s="243"/>
      <c r="KC589" s="243"/>
      <c r="KD589" s="243"/>
      <c r="KE589" s="243"/>
      <c r="KF589" s="243"/>
      <c r="KG589" s="243"/>
      <c r="KH589" s="243"/>
      <c r="KI589" s="243"/>
      <c r="KJ589" s="243"/>
      <c r="KK589" s="243"/>
      <c r="KL589" s="243"/>
      <c r="KM589" s="243"/>
      <c r="KN589" s="243"/>
      <c r="KO589" s="243"/>
      <c r="KP589" s="243"/>
      <c r="KQ589" s="243"/>
      <c r="KR589" s="243"/>
      <c r="KS589" s="243"/>
      <c r="KT589" s="243"/>
      <c r="KU589" s="243"/>
      <c r="KV589" s="243"/>
      <c r="KW589" s="243"/>
      <c r="KX589" s="243"/>
      <c r="KY589" s="243"/>
      <c r="KZ589" s="243"/>
      <c r="LA589" s="243"/>
      <c r="LB589" s="243"/>
      <c r="LC589" s="243"/>
      <c r="LD589" s="243"/>
      <c r="LE589" s="243"/>
      <c r="LF589" s="243"/>
      <c r="LG589" s="243"/>
      <c r="LH589" s="243"/>
      <c r="LI589" s="243"/>
      <c r="LJ589" s="243"/>
      <c r="LK589" s="243"/>
      <c r="LL589" s="243"/>
      <c r="LM589" s="243"/>
      <c r="LN589" s="243"/>
      <c r="LO589" s="243"/>
      <c r="LP589" s="243"/>
      <c r="LQ589" s="243"/>
      <c r="LR589" s="243"/>
      <c r="LS589" s="243"/>
      <c r="LT589" s="243"/>
      <c r="LU589" s="243"/>
      <c r="LV589" s="243"/>
      <c r="LW589" s="243"/>
      <c r="LX589" s="243"/>
      <c r="LY589" s="243"/>
      <c r="LZ589" s="243"/>
      <c r="MA589" s="243"/>
      <c r="MB589" s="243"/>
      <c r="MC589" s="243"/>
      <c r="MD589" s="243"/>
      <c r="ME589" s="243"/>
      <c r="MF589" s="243"/>
      <c r="MG589" s="243"/>
      <c r="MH589" s="243"/>
      <c r="MI589" s="243"/>
      <c r="MJ589" s="243"/>
      <c r="MK589" s="243"/>
      <c r="ML589" s="243"/>
      <c r="MM589" s="243"/>
      <c r="MN589" s="243"/>
      <c r="MO589" s="243"/>
      <c r="MP589" s="243"/>
      <c r="MQ589" s="243"/>
      <c r="MR589" s="243"/>
      <c r="MS589" s="243"/>
      <c r="MT589" s="243"/>
      <c r="MU589" s="243"/>
      <c r="MV589" s="243"/>
      <c r="MW589" s="243"/>
      <c r="MX589" s="243"/>
      <c r="MY589" s="243"/>
      <c r="MZ589" s="243"/>
      <c r="NA589" s="243"/>
      <c r="NB589" s="243"/>
      <c r="NC589" s="243"/>
      <c r="ND589" s="243"/>
      <c r="NE589" s="243"/>
      <c r="NF589" s="243"/>
      <c r="NG589" s="243"/>
      <c r="NH589" s="243"/>
      <c r="NI589" s="243"/>
      <c r="NJ589" s="243"/>
      <c r="NK589" s="243"/>
      <c r="NL589" s="243"/>
      <c r="NM589" s="243"/>
      <c r="NN589" s="243"/>
      <c r="NO589" s="243"/>
      <c r="NP589" s="243"/>
      <c r="NQ589" s="243"/>
      <c r="NR589" s="243"/>
      <c r="NS589" s="243"/>
      <c r="NT589" s="243"/>
      <c r="NU589" s="243"/>
      <c r="NV589" s="243"/>
      <c r="NW589" s="243"/>
      <c r="NX589" s="243"/>
      <c r="NY589" s="243"/>
      <c r="NZ589" s="243"/>
      <c r="OA589" s="243"/>
      <c r="OB589" s="243"/>
      <c r="OC589" s="243"/>
      <c r="OD589" s="243"/>
      <c r="OE589" s="243"/>
      <c r="OF589" s="243"/>
      <c r="OG589" s="243"/>
      <c r="OH589" s="243"/>
      <c r="OI589" s="243"/>
      <c r="OJ589" s="243"/>
      <c r="OK589" s="243"/>
      <c r="OL589" s="243"/>
      <c r="OM589" s="243"/>
      <c r="ON589" s="243"/>
      <c r="OO589" s="243"/>
      <c r="OP589" s="243"/>
      <c r="OQ589" s="243"/>
      <c r="OR589" s="243"/>
      <c r="OS589" s="243"/>
      <c r="OT589" s="243"/>
      <c r="OU589" s="243"/>
      <c r="OV589" s="243"/>
      <c r="OW589" s="243"/>
      <c r="OX589" s="243"/>
      <c r="OY589" s="243"/>
      <c r="OZ589" s="243"/>
      <c r="PA589" s="243"/>
      <c r="PB589" s="243"/>
      <c r="PC589" s="243"/>
      <c r="PD589" s="243"/>
      <c r="PE589" s="243"/>
      <c r="PF589" s="243"/>
      <c r="PG589" s="243"/>
      <c r="PH589" s="243"/>
      <c r="PI589" s="243"/>
      <c r="PJ589" s="243"/>
      <c r="PK589" s="243"/>
      <c r="PL589" s="243"/>
      <c r="PM589" s="243"/>
      <c r="PN589" s="243"/>
      <c r="PO589" s="243"/>
      <c r="PP589" s="243"/>
      <c r="PQ589" s="243"/>
      <c r="PR589" s="243"/>
      <c r="PS589" s="243"/>
      <c r="PT589" s="243"/>
      <c r="PU589" s="243"/>
      <c r="PV589" s="243"/>
      <c r="PW589" s="243"/>
      <c r="PX589" s="243"/>
      <c r="PY589" s="243"/>
      <c r="PZ589" s="243"/>
      <c r="QA589" s="243"/>
      <c r="QB589" s="243"/>
      <c r="QC589" s="243"/>
      <c r="QD589" s="243"/>
      <c r="QE589" s="243"/>
      <c r="QF589" s="243"/>
      <c r="QG589" s="243"/>
      <c r="QH589" s="243"/>
      <c r="QI589" s="243"/>
      <c r="QJ589" s="243"/>
      <c r="QK589" s="243"/>
      <c r="QL589" s="243"/>
      <c r="QM589" s="243"/>
      <c r="QN589" s="243"/>
      <c r="QO589" s="243"/>
      <c r="QP589" s="243"/>
      <c r="QQ589" s="243"/>
      <c r="QR589" s="243"/>
      <c r="QS589" s="243"/>
      <c r="QT589" s="243"/>
      <c r="QU589" s="243"/>
      <c r="QV589" s="243"/>
      <c r="QW589" s="243"/>
      <c r="QX589" s="243"/>
      <c r="QY589" s="243"/>
      <c r="QZ589" s="243"/>
      <c r="RA589" s="243"/>
      <c r="RB589" s="243"/>
      <c r="RC589" s="243"/>
      <c r="RD589" s="243"/>
      <c r="RE589" s="243"/>
      <c r="RF589" s="243"/>
      <c r="RG589" s="243"/>
      <c r="RH589" s="243"/>
      <c r="RI589" s="243"/>
      <c r="RJ589" s="243"/>
      <c r="RK589" s="243"/>
      <c r="RL589" s="243"/>
      <c r="RM589" s="243"/>
      <c r="RN589" s="243"/>
      <c r="RO589" s="243"/>
      <c r="RP589" s="243"/>
      <c r="RQ589" s="243"/>
      <c r="RR589" s="243"/>
      <c r="RS589" s="243"/>
      <c r="RT589" s="243"/>
      <c r="RU589" s="243"/>
      <c r="RV589" s="243"/>
      <c r="RW589" s="243"/>
      <c r="RX589" s="243"/>
      <c r="RY589" s="243"/>
      <c r="RZ589" s="243"/>
      <c r="SA589" s="243"/>
      <c r="SB589" s="243"/>
      <c r="SC589" s="243"/>
      <c r="SD589" s="243"/>
      <c r="SE589" s="243"/>
      <c r="SF589" s="243"/>
      <c r="SG589" s="243"/>
      <c r="SH589" s="243"/>
      <c r="SI589" s="243"/>
      <c r="SJ589" s="243"/>
      <c r="SK589" s="243"/>
      <c r="SL589" s="243"/>
      <c r="SM589" s="243"/>
      <c r="SN589" s="243"/>
      <c r="SO589" s="243"/>
      <c r="SP589" s="243"/>
      <c r="SQ589" s="243"/>
      <c r="SR589" s="243"/>
      <c r="SS589" s="243"/>
      <c r="ST589" s="243"/>
      <c r="SU589" s="243"/>
      <c r="SV589" s="243"/>
      <c r="SW589" s="243"/>
      <c r="SX589" s="243"/>
      <c r="SY589" s="243"/>
      <c r="SZ589" s="243"/>
      <c r="TA589" s="243"/>
      <c r="TB589" s="243"/>
      <c r="TC589" s="243"/>
      <c r="TD589" s="243"/>
      <c r="TE589" s="243"/>
      <c r="TF589" s="243"/>
      <c r="TG589" s="243"/>
      <c r="TH589" s="243"/>
      <c r="TI589" s="243"/>
      <c r="TJ589" s="243"/>
      <c r="TK589" s="243"/>
      <c r="TL589" s="243"/>
      <c r="TM589" s="243"/>
      <c r="TN589" s="243"/>
      <c r="TO589" s="243"/>
      <c r="TP589" s="243"/>
      <c r="TQ589" s="243"/>
      <c r="TR589" s="243"/>
      <c r="TS589" s="243"/>
      <c r="TT589" s="243"/>
      <c r="TU589" s="243"/>
      <c r="TV589" s="243"/>
      <c r="TW589" s="243"/>
      <c r="TX589" s="243"/>
      <c r="TY589" s="243"/>
      <c r="TZ589" s="243"/>
      <c r="UA589" s="243"/>
      <c r="UB589" s="243"/>
      <c r="UC589" s="243"/>
      <c r="UD589" s="243"/>
      <c r="UE589" s="243"/>
      <c r="UF589" s="243"/>
      <c r="UG589" s="243"/>
      <c r="UH589" s="243"/>
      <c r="UI589" s="243"/>
      <c r="UJ589" s="243"/>
      <c r="UK589" s="243"/>
      <c r="UL589" s="243"/>
      <c r="UM589" s="243"/>
      <c r="UN589" s="243"/>
      <c r="UO589" s="243"/>
      <c r="UP589" s="243"/>
      <c r="UQ589" s="243"/>
      <c r="UR589" s="243"/>
      <c r="US589" s="243"/>
      <c r="UT589" s="243"/>
      <c r="UU589" s="243"/>
      <c r="UV589" s="243"/>
      <c r="UW589" s="243"/>
      <c r="UX589" s="243"/>
      <c r="UY589" s="243"/>
      <c r="UZ589" s="243"/>
      <c r="VA589" s="243"/>
      <c r="VB589" s="243"/>
      <c r="VC589" s="243"/>
      <c r="VD589" s="243"/>
      <c r="VE589" s="243"/>
      <c r="VF589" s="243"/>
      <c r="VG589" s="243"/>
      <c r="VH589" s="243"/>
      <c r="VI589" s="243"/>
      <c r="VJ589" s="243"/>
      <c r="VK589" s="243"/>
      <c r="VL589" s="243"/>
      <c r="VM589" s="243"/>
      <c r="VN589" s="243"/>
      <c r="VO589" s="243"/>
      <c r="VP589" s="243"/>
      <c r="VQ589" s="243"/>
      <c r="VR589" s="243"/>
      <c r="VS589" s="243"/>
      <c r="VT589" s="243"/>
      <c r="VU589" s="243"/>
      <c r="VV589" s="243"/>
      <c r="VW589" s="243"/>
      <c r="VX589" s="243"/>
      <c r="VY589" s="243"/>
      <c r="VZ589" s="243"/>
      <c r="WA589" s="243"/>
      <c r="WB589" s="243"/>
      <c r="WC589" s="243"/>
      <c r="WD589" s="243"/>
      <c r="WE589" s="243"/>
      <c r="WF589" s="243"/>
      <c r="WG589" s="243"/>
      <c r="WH589" s="243"/>
      <c r="WI589" s="243"/>
      <c r="WJ589" s="243"/>
      <c r="WK589" s="243"/>
      <c r="WL589" s="243"/>
      <c r="WM589" s="243"/>
      <c r="WN589" s="243"/>
      <c r="WO589" s="243"/>
      <c r="WP589" s="243"/>
      <c r="WQ589" s="243"/>
      <c r="WR589" s="243"/>
      <c r="WS589" s="243"/>
      <c r="WT589" s="243"/>
      <c r="WU589" s="243"/>
      <c r="WV589" s="243"/>
      <c r="WW589" s="243"/>
      <c r="WX589" s="243"/>
      <c r="WY589" s="243"/>
      <c r="WZ589" s="243"/>
      <c r="XA589" s="243"/>
      <c r="XB589" s="243"/>
      <c r="XC589" s="243"/>
      <c r="XD589" s="243"/>
      <c r="XE589" s="243"/>
      <c r="XF589" s="243"/>
      <c r="XG589" s="243"/>
      <c r="XH589" s="243"/>
      <c r="XI589" s="243"/>
      <c r="XJ589" s="243"/>
      <c r="XK589" s="243"/>
      <c r="XL589" s="243"/>
      <c r="XM589" s="243"/>
      <c r="XN589" s="243"/>
      <c r="XO589" s="243"/>
      <c r="XP589" s="243"/>
      <c r="XQ589" s="243"/>
      <c r="XR589" s="243"/>
      <c r="XS589" s="243"/>
      <c r="XT589" s="243"/>
      <c r="XU589" s="243"/>
      <c r="XV589" s="243"/>
      <c r="XW589" s="243"/>
      <c r="XX589" s="243"/>
      <c r="XY589" s="243"/>
      <c r="XZ589" s="243"/>
      <c r="YA589" s="243"/>
      <c r="YB589" s="243"/>
      <c r="YC589" s="243"/>
      <c r="YD589" s="243"/>
      <c r="YE589" s="243"/>
      <c r="YF589" s="243"/>
      <c r="YG589" s="243"/>
      <c r="YH589" s="243"/>
      <c r="YI589" s="243"/>
      <c r="YJ589" s="243"/>
      <c r="YK589" s="243"/>
      <c r="YL589" s="243"/>
      <c r="YM589" s="243"/>
      <c r="YN589" s="243"/>
      <c r="YO589" s="243"/>
      <c r="YP589" s="243"/>
      <c r="YQ589" s="243"/>
      <c r="YR589" s="243"/>
      <c r="YS589" s="243"/>
      <c r="YT589" s="243"/>
      <c r="YU589" s="243"/>
      <c r="YV589" s="243"/>
      <c r="YW589" s="243"/>
      <c r="YX589" s="243"/>
      <c r="YY589" s="243"/>
      <c r="YZ589" s="243"/>
      <c r="ZA589" s="243"/>
      <c r="ZB589" s="243"/>
      <c r="ZC589" s="243"/>
      <c r="ZD589" s="243"/>
      <c r="ZE589" s="243"/>
      <c r="ZF589" s="243"/>
      <c r="ZG589" s="243"/>
      <c r="ZH589" s="243"/>
      <c r="ZI589" s="243"/>
      <c r="ZJ589" s="243"/>
      <c r="ZK589" s="243"/>
      <c r="ZL589" s="243"/>
      <c r="ZM589" s="243"/>
      <c r="ZN589" s="243"/>
      <c r="ZO589" s="243"/>
      <c r="ZP589" s="243"/>
      <c r="ZQ589" s="243"/>
      <c r="ZR589" s="243"/>
      <c r="ZS589" s="243"/>
      <c r="ZT589" s="243"/>
      <c r="ZU589" s="243"/>
      <c r="ZV589" s="243"/>
      <c r="ZW589" s="243"/>
      <c r="ZX589" s="243"/>
      <c r="ZY589" s="243"/>
      <c r="ZZ589" s="243"/>
      <c r="AAA589" s="243"/>
      <c r="AAB589" s="243"/>
      <c r="AAC589" s="243"/>
      <c r="AAD589" s="243"/>
      <c r="AAE589" s="243"/>
      <c r="AAF589" s="243"/>
      <c r="AAG589" s="243"/>
      <c r="AAH589" s="243"/>
      <c r="AAI589" s="243"/>
      <c r="AAJ589" s="243"/>
      <c r="AAK589" s="243"/>
      <c r="AAL589" s="243"/>
      <c r="AAM589" s="243"/>
      <c r="AAN589" s="243"/>
      <c r="AAO589" s="243"/>
      <c r="AAP589" s="243"/>
      <c r="AAQ589" s="243"/>
      <c r="AAR589" s="243"/>
      <c r="AAS589" s="243"/>
      <c r="AAT589" s="243"/>
      <c r="AAU589" s="243"/>
      <c r="AAV589" s="243"/>
      <c r="AAW589" s="243"/>
      <c r="AAX589" s="243"/>
      <c r="AAY589" s="243"/>
      <c r="AAZ589" s="243"/>
      <c r="ABA589" s="243"/>
      <c r="ABB589" s="243"/>
      <c r="ABC589" s="243"/>
      <c r="ABD589" s="243"/>
      <c r="ABE589" s="243"/>
      <c r="ABF589" s="243"/>
      <c r="ABG589" s="243"/>
      <c r="ABH589" s="243"/>
      <c r="ABI589" s="243"/>
      <c r="ABJ589" s="243"/>
      <c r="ABK589" s="243"/>
      <c r="ABL589" s="243"/>
      <c r="ABM589" s="243"/>
      <c r="ABN589" s="243"/>
      <c r="ABO589" s="243"/>
      <c r="ABP589" s="243"/>
      <c r="ABQ589" s="243"/>
      <c r="ABR589" s="243"/>
      <c r="ABS589" s="243"/>
      <c r="ABT589" s="243"/>
      <c r="ABU589" s="243"/>
      <c r="ABV589" s="243"/>
      <c r="ABW589" s="243"/>
      <c r="ABX589" s="243"/>
      <c r="ABY589" s="243"/>
      <c r="ABZ589" s="243"/>
      <c r="ACA589" s="243"/>
      <c r="ACB589" s="243"/>
      <c r="ACC589" s="243"/>
      <c r="ACD589" s="243"/>
      <c r="ACE589" s="243"/>
      <c r="ACF589" s="243"/>
      <c r="ACG589" s="243"/>
      <c r="ACH589" s="243"/>
      <c r="ACI589" s="243"/>
      <c r="ACJ589" s="243"/>
      <c r="ACK589" s="243"/>
      <c r="ACL589" s="243"/>
      <c r="ACM589" s="243"/>
      <c r="ACN589" s="243"/>
      <c r="ACO589" s="243"/>
      <c r="ACP589" s="243"/>
      <c r="ACQ589" s="243"/>
      <c r="ACR589" s="243"/>
      <c r="ACS589" s="243"/>
      <c r="ACT589" s="243"/>
      <c r="ACU589" s="243"/>
      <c r="ACV589" s="243"/>
      <c r="ACW589" s="243"/>
      <c r="ACX589" s="243"/>
      <c r="ACY589" s="243"/>
      <c r="ACZ589" s="243"/>
      <c r="ADA589" s="243"/>
      <c r="ADB589" s="243"/>
      <c r="ADC589" s="243"/>
      <c r="ADD589" s="243"/>
      <c r="ADE589" s="243"/>
      <c r="ADF589" s="243"/>
      <c r="ADG589" s="243"/>
      <c r="ADH589" s="243"/>
      <c r="ADI589" s="243"/>
      <c r="ADJ589" s="243"/>
      <c r="ADK589" s="243"/>
      <c r="ADL589" s="243"/>
      <c r="ADM589" s="243"/>
      <c r="ADN589" s="243"/>
      <c r="ADO589" s="243"/>
      <c r="ADP589" s="243"/>
      <c r="ADQ589" s="243"/>
      <c r="ADR589" s="243"/>
      <c r="ADS589" s="243"/>
      <c r="ADT589" s="243"/>
      <c r="ADU589" s="243"/>
      <c r="ADV589" s="243"/>
      <c r="ADW589" s="243"/>
      <c r="ADX589" s="243"/>
      <c r="ADY589" s="243"/>
      <c r="ADZ589" s="243"/>
      <c r="AEA589" s="243"/>
      <c r="AEB589" s="243"/>
      <c r="AEC589" s="243"/>
      <c r="AED589" s="243"/>
      <c r="AEE589" s="243"/>
      <c r="AEF589" s="243"/>
      <c r="AEG589" s="243"/>
      <c r="AEH589" s="243"/>
      <c r="AEI589" s="243"/>
      <c r="AEJ589" s="243"/>
      <c r="AEK589" s="243"/>
      <c r="AEL589" s="243"/>
      <c r="AEM589" s="243"/>
      <c r="AEN589" s="243"/>
      <c r="AEO589" s="243"/>
      <c r="AEP589" s="243"/>
      <c r="AEQ589" s="243"/>
      <c r="AER589" s="243"/>
      <c r="AES589" s="243"/>
      <c r="AET589" s="243"/>
      <c r="AEU589" s="243"/>
      <c r="AEV589" s="243"/>
      <c r="AEW589" s="243"/>
      <c r="AEX589" s="243"/>
      <c r="AEY589" s="243"/>
      <c r="AEZ589" s="243"/>
      <c r="AFA589" s="243"/>
      <c r="AFB589" s="243"/>
      <c r="AFC589" s="243"/>
      <c r="AFD589" s="243"/>
      <c r="AFE589" s="243"/>
      <c r="AFF589" s="243"/>
      <c r="AFG589" s="243"/>
      <c r="AFH589" s="243"/>
      <c r="AFI589" s="243"/>
      <c r="AFJ589" s="243"/>
      <c r="AFK589" s="243"/>
      <c r="AFL589" s="243"/>
      <c r="AFM589" s="243"/>
      <c r="AFN589" s="243"/>
      <c r="AFO589" s="243"/>
      <c r="AFP589" s="243"/>
      <c r="AFQ589" s="243"/>
      <c r="AFR589" s="243"/>
      <c r="AFS589" s="243"/>
      <c r="AFT589" s="243"/>
      <c r="AFU589" s="243"/>
      <c r="AFV589" s="243"/>
      <c r="AFW589" s="243"/>
      <c r="AFX589" s="243"/>
      <c r="AFY589" s="243"/>
      <c r="AFZ589" s="243"/>
      <c r="AGA589" s="243"/>
      <c r="AGB589" s="243"/>
      <c r="AGC589" s="243"/>
      <c r="AGD589" s="243"/>
      <c r="AGE589" s="243"/>
      <c r="AGF589" s="243"/>
      <c r="AGG589" s="243"/>
      <c r="AGH589" s="243"/>
      <c r="AGI589" s="243"/>
      <c r="AGJ589" s="243"/>
      <c r="AGK589" s="243"/>
      <c r="AGL589" s="243"/>
      <c r="AGM589" s="243"/>
      <c r="AGN589" s="243"/>
      <c r="AGO589" s="243"/>
      <c r="AGP589" s="243"/>
      <c r="AGQ589" s="243"/>
      <c r="AGR589" s="243"/>
      <c r="AGS589" s="243"/>
      <c r="AGT589" s="243"/>
      <c r="AGU589" s="243"/>
      <c r="AGV589" s="243"/>
      <c r="AGW589" s="243"/>
      <c r="AGX589" s="243"/>
      <c r="AGY589" s="243"/>
      <c r="AGZ589" s="243"/>
      <c r="AHA589" s="243"/>
      <c r="AHB589" s="243"/>
      <c r="AHC589" s="243"/>
      <c r="AHD589" s="243"/>
      <c r="AHE589" s="243"/>
      <c r="AHF589" s="243"/>
      <c r="AHG589" s="243"/>
      <c r="AHH589" s="243"/>
      <c r="AHI589" s="243"/>
      <c r="AHJ589" s="243"/>
      <c r="AHK589" s="243"/>
      <c r="AHL589" s="243"/>
      <c r="AHM589" s="243"/>
      <c r="AHN589" s="243"/>
      <c r="AHO589" s="243"/>
      <c r="AHP589" s="243"/>
      <c r="AHQ589" s="243"/>
      <c r="AHR589" s="243"/>
      <c r="AHS589" s="243"/>
      <c r="AHT589" s="243"/>
      <c r="AHU589" s="243"/>
      <c r="AHV589" s="243"/>
      <c r="AHW589" s="243"/>
      <c r="AHX589" s="243"/>
      <c r="AHY589" s="243"/>
      <c r="AHZ589" s="243"/>
      <c r="AIA589" s="243"/>
      <c r="AIB589" s="243"/>
      <c r="AIC589" s="243"/>
      <c r="AID589" s="243"/>
      <c r="AIE589" s="243"/>
      <c r="AIF589" s="243"/>
      <c r="AIG589" s="243"/>
      <c r="AIH589" s="243"/>
      <c r="AII589" s="243"/>
      <c r="AIJ589" s="243"/>
      <c r="AIK589" s="243"/>
      <c r="AIL589" s="243"/>
      <c r="AIM589" s="243"/>
      <c r="AIN589" s="243"/>
      <c r="AIO589" s="243"/>
      <c r="AIP589" s="243"/>
      <c r="AIQ589" s="243"/>
      <c r="AIR589" s="243"/>
      <c r="AIS589" s="243"/>
      <c r="AIT589" s="243"/>
      <c r="AIU589" s="243"/>
      <c r="AIV589" s="243"/>
      <c r="AIW589" s="243"/>
      <c r="AIX589" s="243"/>
      <c r="AIY589" s="243"/>
      <c r="AIZ589" s="243"/>
      <c r="AJA589" s="243"/>
      <c r="AJB589" s="243"/>
      <c r="AJC589" s="243"/>
      <c r="AJD589" s="243"/>
      <c r="AJE589" s="243"/>
      <c r="AJF589" s="243"/>
      <c r="AJG589" s="243"/>
      <c r="AJH589" s="243"/>
      <c r="AJI589" s="243"/>
      <c r="AJJ589" s="243"/>
      <c r="AJK589" s="243"/>
      <c r="AJL589" s="243"/>
      <c r="AJM589" s="243"/>
      <c r="AJN589" s="243"/>
      <c r="AJO589" s="243"/>
      <c r="AJP589" s="243"/>
      <c r="AJQ589" s="243"/>
      <c r="AJR589" s="243"/>
      <c r="AJS589" s="243"/>
      <c r="AJT589" s="243"/>
      <c r="AJU589" s="243"/>
      <c r="AJV589" s="243"/>
      <c r="AJW589" s="243"/>
      <c r="AJX589" s="243"/>
      <c r="AJY589" s="243"/>
      <c r="AJZ589" s="243"/>
      <c r="AKA589" s="243"/>
      <c r="AKB589" s="243"/>
      <c r="AKC589" s="243"/>
      <c r="AKD589" s="243"/>
      <c r="AKE589" s="243"/>
      <c r="AKF589" s="243"/>
      <c r="AKG589" s="243"/>
      <c r="AKH589" s="243"/>
      <c r="AKI589" s="243"/>
      <c r="AKJ589" s="243"/>
      <c r="AKK589" s="243"/>
      <c r="AKL589" s="243"/>
      <c r="AKM589" s="243"/>
      <c r="AKN589" s="243"/>
      <c r="AKO589" s="243"/>
      <c r="AKP589" s="243"/>
      <c r="AKQ589" s="243"/>
      <c r="AKR589" s="243"/>
      <c r="AKS589" s="243"/>
      <c r="AKT589" s="243"/>
      <c r="AKU589" s="243"/>
      <c r="AKV589" s="243"/>
      <c r="AKW589" s="243"/>
      <c r="AKX589" s="243"/>
      <c r="AKY589" s="243"/>
      <c r="AKZ589" s="243"/>
      <c r="ALA589" s="243"/>
      <c r="ALB589" s="243"/>
      <c r="ALC589" s="243"/>
      <c r="ALD589" s="243"/>
      <c r="ALE589" s="243"/>
      <c r="ALF589" s="243"/>
      <c r="ALG589" s="243"/>
      <c r="ALH589" s="243"/>
      <c r="ALI589" s="243"/>
      <c r="ALJ589" s="243"/>
      <c r="ALK589" s="243"/>
      <c r="ALL589" s="243"/>
      <c r="ALM589" s="243"/>
      <c r="ALN589" s="243"/>
      <c r="ALO589" s="243"/>
      <c r="ALP589" s="243"/>
      <c r="ALQ589" s="243"/>
      <c r="ALR589" s="243"/>
      <c r="ALS589" s="243"/>
      <c r="ALT589" s="243"/>
      <c r="ALU589" s="243"/>
      <c r="ALV589" s="243"/>
      <c r="ALW589" s="243"/>
      <c r="ALX589" s="243"/>
      <c r="ALY589" s="243"/>
      <c r="ALZ589" s="243"/>
      <c r="AMA589" s="243"/>
      <c r="AMB589" s="243"/>
      <c r="AMC589" s="243"/>
      <c r="AMD589" s="243"/>
      <c r="AME589" s="243"/>
      <c r="AMF589" s="243"/>
      <c r="AMG589" s="243"/>
      <c r="AMH589" s="243"/>
      <c r="AMI589" s="244"/>
      <c r="AMJ589" s="244"/>
    </row>
    <row r="590" spans="1:1024">
      <c r="A590" s="901"/>
      <c r="B590" s="551">
        <v>15546</v>
      </c>
      <c r="C590" s="619">
        <v>0.08</v>
      </c>
      <c r="D590" s="691" t="s">
        <v>358</v>
      </c>
      <c r="E590" s="321">
        <v>2500000</v>
      </c>
      <c r="F590" s="765">
        <v>0.08</v>
      </c>
      <c r="G590" s="321">
        <f t="shared" si="26"/>
        <v>200000</v>
      </c>
      <c r="H590" s="604" t="s">
        <v>202</v>
      </c>
      <c r="I590" s="604"/>
      <c r="J590" s="604" t="s">
        <v>138</v>
      </c>
      <c r="K590" s="732"/>
      <c r="L590" s="777"/>
      <c r="M590" s="625"/>
      <c r="N590" s="607"/>
      <c r="O590" s="778"/>
      <c r="P590" s="607"/>
      <c r="Q590" s="716"/>
      <c r="R590" s="243"/>
      <c r="S590" s="243"/>
      <c r="T590" s="243"/>
      <c r="U590" s="243"/>
      <c r="V590" s="243"/>
      <c r="W590" s="243"/>
      <c r="X590" s="243"/>
      <c r="Y590" s="243"/>
      <c r="Z590" s="243"/>
      <c r="AA590" s="243"/>
      <c r="AB590" s="243"/>
      <c r="AC590" s="243"/>
      <c r="AD590" s="243"/>
      <c r="AE590" s="243"/>
      <c r="AF590" s="243"/>
      <c r="AG590" s="243"/>
      <c r="AH590" s="243"/>
      <c r="AI590" s="243"/>
      <c r="AJ590" s="243"/>
      <c r="AK590" s="243"/>
      <c r="AL590" s="243"/>
      <c r="AM590" s="243"/>
      <c r="AN590" s="243"/>
      <c r="AO590" s="243"/>
      <c r="AP590" s="243"/>
      <c r="AQ590" s="243"/>
      <c r="AR590" s="243"/>
      <c r="AS590" s="243"/>
      <c r="AT590" s="243"/>
      <c r="AU590" s="243"/>
      <c r="AV590" s="243"/>
      <c r="AW590" s="243"/>
      <c r="AX590" s="243"/>
      <c r="AY590" s="243"/>
      <c r="AZ590" s="243"/>
      <c r="BA590" s="243"/>
      <c r="BB590" s="243"/>
      <c r="BC590" s="243"/>
      <c r="BD590" s="243"/>
      <c r="BE590" s="243"/>
      <c r="BF590" s="243"/>
      <c r="BG590" s="243"/>
      <c r="BH590" s="243"/>
      <c r="BI590" s="243"/>
      <c r="BJ590" s="243"/>
      <c r="BK590" s="243"/>
      <c r="BL590" s="243"/>
      <c r="BM590" s="243"/>
      <c r="BN590" s="243"/>
      <c r="BO590" s="243"/>
      <c r="BP590" s="243"/>
      <c r="BQ590" s="243"/>
      <c r="BR590" s="243"/>
      <c r="BS590" s="243"/>
      <c r="BT590" s="243"/>
      <c r="BU590" s="243"/>
      <c r="BV590" s="243"/>
      <c r="BW590" s="243"/>
      <c r="BX590" s="243"/>
      <c r="BY590" s="243"/>
      <c r="BZ590" s="243"/>
      <c r="CA590" s="243"/>
      <c r="CB590" s="243"/>
      <c r="CC590" s="243"/>
      <c r="CD590" s="243"/>
      <c r="CE590" s="243"/>
      <c r="CF590" s="243"/>
      <c r="CG590" s="243"/>
      <c r="CH590" s="243"/>
      <c r="CI590" s="243"/>
      <c r="CJ590" s="243"/>
      <c r="CK590" s="243"/>
      <c r="CL590" s="243"/>
      <c r="CM590" s="243"/>
      <c r="CN590" s="243"/>
      <c r="CO590" s="243"/>
      <c r="CP590" s="243"/>
      <c r="CQ590" s="243"/>
      <c r="CR590" s="243"/>
      <c r="CS590" s="243"/>
      <c r="CT590" s="243"/>
      <c r="CU590" s="243"/>
      <c r="CV590" s="243"/>
      <c r="CW590" s="243"/>
      <c r="CX590" s="243"/>
      <c r="CY590" s="243"/>
      <c r="CZ590" s="243"/>
      <c r="DA590" s="243"/>
      <c r="DB590" s="243"/>
      <c r="DC590" s="243"/>
      <c r="DD590" s="243"/>
      <c r="DE590" s="243"/>
      <c r="DF590" s="243"/>
      <c r="DG590" s="243"/>
      <c r="DH590" s="243"/>
      <c r="DI590" s="243"/>
      <c r="DJ590" s="243"/>
      <c r="DK590" s="243"/>
      <c r="DL590" s="243"/>
      <c r="DM590" s="243"/>
      <c r="DN590" s="243"/>
      <c r="DO590" s="243"/>
      <c r="DP590" s="243"/>
      <c r="DQ590" s="243"/>
      <c r="DR590" s="243"/>
      <c r="DS590" s="243"/>
      <c r="DT590" s="243"/>
      <c r="DU590" s="243"/>
      <c r="DV590" s="243"/>
      <c r="DW590" s="243"/>
      <c r="DX590" s="243"/>
      <c r="DY590" s="243"/>
      <c r="DZ590" s="243"/>
      <c r="EA590" s="243"/>
      <c r="EB590" s="243"/>
      <c r="EC590" s="243"/>
      <c r="ED590" s="243"/>
      <c r="EE590" s="243"/>
      <c r="EF590" s="243"/>
      <c r="EG590" s="243"/>
      <c r="EH590" s="243"/>
      <c r="EI590" s="243"/>
      <c r="EJ590" s="243"/>
      <c r="EK590" s="243"/>
      <c r="EL590" s="243"/>
      <c r="EM590" s="243"/>
      <c r="EN590" s="243"/>
      <c r="EO590" s="243"/>
      <c r="EP590" s="243"/>
      <c r="EQ590" s="243"/>
      <c r="ER590" s="243"/>
      <c r="ES590" s="243"/>
      <c r="ET590" s="243"/>
      <c r="EU590" s="243"/>
      <c r="EV590" s="243"/>
      <c r="EW590" s="243"/>
      <c r="EX590" s="243"/>
      <c r="EY590" s="243"/>
      <c r="EZ590" s="243"/>
      <c r="FA590" s="243"/>
      <c r="FB590" s="243"/>
      <c r="FC590" s="243"/>
      <c r="FD590" s="243"/>
      <c r="FE590" s="243"/>
      <c r="FF590" s="243"/>
      <c r="FG590" s="243"/>
      <c r="FH590" s="243"/>
      <c r="FI590" s="243"/>
      <c r="FJ590" s="243"/>
      <c r="FK590" s="243"/>
      <c r="FL590" s="243"/>
      <c r="FM590" s="243"/>
      <c r="FN590" s="243"/>
      <c r="FO590" s="243"/>
      <c r="FP590" s="243"/>
      <c r="FQ590" s="243"/>
      <c r="FR590" s="243"/>
      <c r="FS590" s="243"/>
      <c r="FT590" s="243"/>
      <c r="FU590" s="243"/>
      <c r="FV590" s="243"/>
      <c r="FW590" s="243"/>
      <c r="FX590" s="243"/>
      <c r="FY590" s="243"/>
      <c r="FZ590" s="243"/>
      <c r="GA590" s="243"/>
      <c r="GB590" s="243"/>
      <c r="GC590" s="243"/>
      <c r="GD590" s="243"/>
      <c r="GE590" s="243"/>
      <c r="GF590" s="243"/>
      <c r="GG590" s="243"/>
      <c r="GH590" s="243"/>
      <c r="GI590" s="243"/>
      <c r="GJ590" s="243"/>
      <c r="GK590" s="243"/>
      <c r="GL590" s="243"/>
      <c r="GM590" s="243"/>
      <c r="GN590" s="243"/>
      <c r="GO590" s="243"/>
      <c r="GP590" s="243"/>
      <c r="GQ590" s="243"/>
      <c r="GR590" s="243"/>
      <c r="GS590" s="243"/>
      <c r="GT590" s="243"/>
      <c r="GU590" s="243"/>
      <c r="GV590" s="243"/>
      <c r="GW590" s="243"/>
      <c r="GX590" s="243"/>
      <c r="GY590" s="243"/>
      <c r="GZ590" s="243"/>
      <c r="HA590" s="243"/>
      <c r="HB590" s="243"/>
      <c r="HC590" s="243"/>
      <c r="HD590" s="243"/>
      <c r="HE590" s="243"/>
      <c r="HF590" s="243"/>
      <c r="HG590" s="243"/>
      <c r="HH590" s="243"/>
      <c r="HI590" s="243"/>
      <c r="HJ590" s="243"/>
      <c r="HK590" s="243"/>
      <c r="HL590" s="243"/>
      <c r="HM590" s="243"/>
      <c r="HN590" s="243"/>
      <c r="HO590" s="243"/>
      <c r="HP590" s="243"/>
      <c r="HQ590" s="243"/>
      <c r="HR590" s="243"/>
      <c r="HS590" s="243"/>
      <c r="HT590" s="243"/>
      <c r="HU590" s="243"/>
      <c r="HV590" s="243"/>
      <c r="HW590" s="243"/>
      <c r="HX590" s="243"/>
      <c r="HY590" s="243"/>
      <c r="HZ590" s="243"/>
      <c r="IA590" s="243"/>
      <c r="IB590" s="243"/>
      <c r="IC590" s="243"/>
      <c r="ID590" s="243"/>
      <c r="IE590" s="243"/>
      <c r="IF590" s="243"/>
      <c r="IG590" s="243"/>
      <c r="IH590" s="243"/>
      <c r="II590" s="243"/>
      <c r="IJ590" s="243"/>
      <c r="IK590" s="243"/>
      <c r="IL590" s="243"/>
      <c r="IM590" s="243"/>
      <c r="IN590" s="243"/>
      <c r="IO590" s="243"/>
      <c r="IP590" s="243"/>
      <c r="IQ590" s="243"/>
      <c r="IR590" s="243"/>
      <c r="IS590" s="243"/>
      <c r="IT590" s="243"/>
      <c r="IU590" s="243"/>
      <c r="IV590" s="243"/>
      <c r="IW590" s="243"/>
      <c r="IX590" s="243"/>
      <c r="IY590" s="243"/>
      <c r="IZ590" s="243"/>
      <c r="JA590" s="243"/>
      <c r="JB590" s="243"/>
      <c r="JC590" s="243"/>
      <c r="JD590" s="243"/>
      <c r="JE590" s="243"/>
      <c r="JF590" s="243"/>
      <c r="JG590" s="243"/>
      <c r="JH590" s="243"/>
      <c r="JI590" s="243"/>
      <c r="JJ590" s="243"/>
      <c r="JK590" s="243"/>
      <c r="JL590" s="243"/>
      <c r="JM590" s="243"/>
      <c r="JN590" s="243"/>
      <c r="JO590" s="243"/>
      <c r="JP590" s="243"/>
      <c r="JQ590" s="243"/>
      <c r="JR590" s="243"/>
      <c r="JS590" s="243"/>
      <c r="JT590" s="243"/>
      <c r="JU590" s="243"/>
      <c r="JV590" s="243"/>
      <c r="JW590" s="243"/>
      <c r="JX590" s="243"/>
      <c r="JY590" s="243"/>
      <c r="JZ590" s="243"/>
      <c r="KA590" s="243"/>
      <c r="KB590" s="243"/>
      <c r="KC590" s="243"/>
      <c r="KD590" s="243"/>
      <c r="KE590" s="243"/>
      <c r="KF590" s="243"/>
      <c r="KG590" s="243"/>
      <c r="KH590" s="243"/>
      <c r="KI590" s="243"/>
      <c r="KJ590" s="243"/>
      <c r="KK590" s="243"/>
      <c r="KL590" s="243"/>
      <c r="KM590" s="243"/>
      <c r="KN590" s="243"/>
      <c r="KO590" s="243"/>
      <c r="KP590" s="243"/>
      <c r="KQ590" s="243"/>
      <c r="KR590" s="243"/>
      <c r="KS590" s="243"/>
      <c r="KT590" s="243"/>
      <c r="KU590" s="243"/>
      <c r="KV590" s="243"/>
      <c r="KW590" s="243"/>
      <c r="KX590" s="243"/>
      <c r="KY590" s="243"/>
      <c r="KZ590" s="243"/>
      <c r="LA590" s="243"/>
      <c r="LB590" s="243"/>
      <c r="LC590" s="243"/>
      <c r="LD590" s="243"/>
      <c r="LE590" s="243"/>
      <c r="LF590" s="243"/>
      <c r="LG590" s="243"/>
      <c r="LH590" s="243"/>
      <c r="LI590" s="243"/>
      <c r="LJ590" s="243"/>
      <c r="LK590" s="243"/>
      <c r="LL590" s="243"/>
      <c r="LM590" s="243"/>
      <c r="LN590" s="243"/>
      <c r="LO590" s="243"/>
      <c r="LP590" s="243"/>
      <c r="LQ590" s="243"/>
      <c r="LR590" s="243"/>
      <c r="LS590" s="243"/>
      <c r="LT590" s="243"/>
      <c r="LU590" s="243"/>
      <c r="LV590" s="243"/>
      <c r="LW590" s="243"/>
      <c r="LX590" s="243"/>
      <c r="LY590" s="243"/>
      <c r="LZ590" s="243"/>
      <c r="MA590" s="243"/>
      <c r="MB590" s="243"/>
      <c r="MC590" s="243"/>
      <c r="MD590" s="243"/>
      <c r="ME590" s="243"/>
      <c r="MF590" s="243"/>
      <c r="MG590" s="243"/>
      <c r="MH590" s="243"/>
      <c r="MI590" s="243"/>
      <c r="MJ590" s="243"/>
      <c r="MK590" s="243"/>
      <c r="ML590" s="243"/>
      <c r="MM590" s="243"/>
      <c r="MN590" s="243"/>
      <c r="MO590" s="243"/>
      <c r="MP590" s="243"/>
      <c r="MQ590" s="243"/>
      <c r="MR590" s="243"/>
      <c r="MS590" s="243"/>
      <c r="MT590" s="243"/>
      <c r="MU590" s="243"/>
      <c r="MV590" s="243"/>
      <c r="MW590" s="243"/>
      <c r="MX590" s="243"/>
      <c r="MY590" s="243"/>
      <c r="MZ590" s="243"/>
      <c r="NA590" s="243"/>
      <c r="NB590" s="243"/>
      <c r="NC590" s="243"/>
      <c r="ND590" s="243"/>
      <c r="NE590" s="243"/>
      <c r="NF590" s="243"/>
      <c r="NG590" s="243"/>
      <c r="NH590" s="243"/>
      <c r="NI590" s="243"/>
      <c r="NJ590" s="243"/>
      <c r="NK590" s="243"/>
      <c r="NL590" s="243"/>
      <c r="NM590" s="243"/>
      <c r="NN590" s="243"/>
      <c r="NO590" s="243"/>
      <c r="NP590" s="243"/>
      <c r="NQ590" s="243"/>
      <c r="NR590" s="243"/>
      <c r="NS590" s="243"/>
      <c r="NT590" s="243"/>
      <c r="NU590" s="243"/>
      <c r="NV590" s="243"/>
      <c r="NW590" s="243"/>
      <c r="NX590" s="243"/>
      <c r="NY590" s="243"/>
      <c r="NZ590" s="243"/>
      <c r="OA590" s="243"/>
      <c r="OB590" s="243"/>
      <c r="OC590" s="243"/>
      <c r="OD590" s="243"/>
      <c r="OE590" s="243"/>
      <c r="OF590" s="243"/>
      <c r="OG590" s="243"/>
      <c r="OH590" s="243"/>
      <c r="OI590" s="243"/>
      <c r="OJ590" s="243"/>
      <c r="OK590" s="243"/>
      <c r="OL590" s="243"/>
      <c r="OM590" s="243"/>
      <c r="ON590" s="243"/>
      <c r="OO590" s="243"/>
      <c r="OP590" s="243"/>
      <c r="OQ590" s="243"/>
      <c r="OR590" s="243"/>
      <c r="OS590" s="243"/>
      <c r="OT590" s="243"/>
      <c r="OU590" s="243"/>
      <c r="OV590" s="243"/>
      <c r="OW590" s="243"/>
      <c r="OX590" s="243"/>
      <c r="OY590" s="243"/>
      <c r="OZ590" s="243"/>
      <c r="PA590" s="243"/>
      <c r="PB590" s="243"/>
      <c r="PC590" s="243"/>
      <c r="PD590" s="243"/>
      <c r="PE590" s="243"/>
      <c r="PF590" s="243"/>
      <c r="PG590" s="243"/>
      <c r="PH590" s="243"/>
      <c r="PI590" s="243"/>
      <c r="PJ590" s="243"/>
      <c r="PK590" s="243"/>
      <c r="PL590" s="243"/>
      <c r="PM590" s="243"/>
      <c r="PN590" s="243"/>
      <c r="PO590" s="243"/>
      <c r="PP590" s="243"/>
      <c r="PQ590" s="243"/>
      <c r="PR590" s="243"/>
      <c r="PS590" s="243"/>
      <c r="PT590" s="243"/>
      <c r="PU590" s="243"/>
      <c r="PV590" s="243"/>
      <c r="PW590" s="243"/>
      <c r="PX590" s="243"/>
      <c r="PY590" s="243"/>
      <c r="PZ590" s="243"/>
      <c r="QA590" s="243"/>
      <c r="QB590" s="243"/>
      <c r="QC590" s="243"/>
      <c r="QD590" s="243"/>
      <c r="QE590" s="243"/>
      <c r="QF590" s="243"/>
      <c r="QG590" s="243"/>
      <c r="QH590" s="243"/>
      <c r="QI590" s="243"/>
      <c r="QJ590" s="243"/>
      <c r="QK590" s="243"/>
      <c r="QL590" s="243"/>
      <c r="QM590" s="243"/>
      <c r="QN590" s="243"/>
      <c r="QO590" s="243"/>
      <c r="QP590" s="243"/>
      <c r="QQ590" s="243"/>
      <c r="QR590" s="243"/>
      <c r="QS590" s="243"/>
      <c r="QT590" s="243"/>
      <c r="QU590" s="243"/>
      <c r="QV590" s="243"/>
      <c r="QW590" s="243"/>
      <c r="QX590" s="243"/>
      <c r="QY590" s="243"/>
      <c r="QZ590" s="243"/>
      <c r="RA590" s="243"/>
      <c r="RB590" s="243"/>
      <c r="RC590" s="243"/>
      <c r="RD590" s="243"/>
      <c r="RE590" s="243"/>
      <c r="RF590" s="243"/>
      <c r="RG590" s="243"/>
      <c r="RH590" s="243"/>
      <c r="RI590" s="243"/>
      <c r="RJ590" s="243"/>
      <c r="RK590" s="243"/>
      <c r="RL590" s="243"/>
      <c r="RM590" s="243"/>
      <c r="RN590" s="243"/>
      <c r="RO590" s="243"/>
      <c r="RP590" s="243"/>
      <c r="RQ590" s="243"/>
      <c r="RR590" s="243"/>
      <c r="RS590" s="243"/>
      <c r="RT590" s="243"/>
      <c r="RU590" s="243"/>
      <c r="RV590" s="243"/>
      <c r="RW590" s="243"/>
      <c r="RX590" s="243"/>
      <c r="RY590" s="243"/>
      <c r="RZ590" s="243"/>
      <c r="SA590" s="243"/>
      <c r="SB590" s="243"/>
      <c r="SC590" s="243"/>
      <c r="SD590" s="243"/>
      <c r="SE590" s="243"/>
      <c r="SF590" s="243"/>
      <c r="SG590" s="243"/>
      <c r="SH590" s="243"/>
      <c r="SI590" s="243"/>
      <c r="SJ590" s="243"/>
      <c r="SK590" s="243"/>
      <c r="SL590" s="243"/>
      <c r="SM590" s="243"/>
      <c r="SN590" s="243"/>
      <c r="SO590" s="243"/>
      <c r="SP590" s="243"/>
      <c r="SQ590" s="243"/>
      <c r="SR590" s="243"/>
      <c r="SS590" s="243"/>
      <c r="ST590" s="243"/>
      <c r="SU590" s="243"/>
      <c r="SV590" s="243"/>
      <c r="SW590" s="243"/>
      <c r="SX590" s="243"/>
      <c r="SY590" s="243"/>
      <c r="SZ590" s="243"/>
      <c r="TA590" s="243"/>
      <c r="TB590" s="243"/>
      <c r="TC590" s="243"/>
      <c r="TD590" s="243"/>
      <c r="TE590" s="243"/>
      <c r="TF590" s="243"/>
      <c r="TG590" s="243"/>
      <c r="TH590" s="243"/>
      <c r="TI590" s="243"/>
      <c r="TJ590" s="243"/>
      <c r="TK590" s="243"/>
      <c r="TL590" s="243"/>
      <c r="TM590" s="243"/>
      <c r="TN590" s="243"/>
      <c r="TO590" s="243"/>
      <c r="TP590" s="243"/>
      <c r="TQ590" s="243"/>
      <c r="TR590" s="243"/>
      <c r="TS590" s="243"/>
      <c r="TT590" s="243"/>
      <c r="TU590" s="243"/>
      <c r="TV590" s="243"/>
      <c r="TW590" s="243"/>
      <c r="TX590" s="243"/>
      <c r="TY590" s="243"/>
      <c r="TZ590" s="243"/>
      <c r="UA590" s="243"/>
      <c r="UB590" s="243"/>
      <c r="UC590" s="243"/>
      <c r="UD590" s="243"/>
      <c r="UE590" s="243"/>
      <c r="UF590" s="243"/>
      <c r="UG590" s="243"/>
      <c r="UH590" s="243"/>
      <c r="UI590" s="243"/>
      <c r="UJ590" s="243"/>
      <c r="UK590" s="243"/>
      <c r="UL590" s="243"/>
      <c r="UM590" s="243"/>
      <c r="UN590" s="243"/>
      <c r="UO590" s="243"/>
      <c r="UP590" s="243"/>
      <c r="UQ590" s="243"/>
      <c r="UR590" s="243"/>
      <c r="US590" s="243"/>
      <c r="UT590" s="243"/>
      <c r="UU590" s="243"/>
      <c r="UV590" s="243"/>
      <c r="UW590" s="243"/>
      <c r="UX590" s="243"/>
      <c r="UY590" s="243"/>
      <c r="UZ590" s="243"/>
      <c r="VA590" s="243"/>
      <c r="VB590" s="243"/>
      <c r="VC590" s="243"/>
      <c r="VD590" s="243"/>
      <c r="VE590" s="243"/>
      <c r="VF590" s="243"/>
      <c r="VG590" s="243"/>
      <c r="VH590" s="243"/>
      <c r="VI590" s="243"/>
      <c r="VJ590" s="243"/>
      <c r="VK590" s="243"/>
      <c r="VL590" s="243"/>
      <c r="VM590" s="243"/>
      <c r="VN590" s="243"/>
      <c r="VO590" s="243"/>
      <c r="VP590" s="243"/>
      <c r="VQ590" s="243"/>
      <c r="VR590" s="243"/>
      <c r="VS590" s="243"/>
      <c r="VT590" s="243"/>
      <c r="VU590" s="243"/>
      <c r="VV590" s="243"/>
      <c r="VW590" s="243"/>
      <c r="VX590" s="243"/>
      <c r="VY590" s="243"/>
      <c r="VZ590" s="243"/>
      <c r="WA590" s="243"/>
      <c r="WB590" s="243"/>
      <c r="WC590" s="243"/>
      <c r="WD590" s="243"/>
      <c r="WE590" s="243"/>
      <c r="WF590" s="243"/>
      <c r="WG590" s="243"/>
      <c r="WH590" s="243"/>
      <c r="WI590" s="243"/>
      <c r="WJ590" s="243"/>
      <c r="WK590" s="243"/>
      <c r="WL590" s="243"/>
      <c r="WM590" s="243"/>
      <c r="WN590" s="243"/>
      <c r="WO590" s="243"/>
      <c r="WP590" s="243"/>
      <c r="WQ590" s="243"/>
      <c r="WR590" s="243"/>
      <c r="WS590" s="243"/>
      <c r="WT590" s="243"/>
      <c r="WU590" s="243"/>
      <c r="WV590" s="243"/>
      <c r="WW590" s="243"/>
      <c r="WX590" s="243"/>
      <c r="WY590" s="243"/>
      <c r="WZ590" s="243"/>
      <c r="XA590" s="243"/>
      <c r="XB590" s="243"/>
      <c r="XC590" s="243"/>
      <c r="XD590" s="243"/>
      <c r="XE590" s="243"/>
      <c r="XF590" s="243"/>
      <c r="XG590" s="243"/>
      <c r="XH590" s="243"/>
      <c r="XI590" s="243"/>
      <c r="XJ590" s="243"/>
      <c r="XK590" s="243"/>
      <c r="XL590" s="243"/>
      <c r="XM590" s="243"/>
      <c r="XN590" s="243"/>
      <c r="XO590" s="243"/>
      <c r="XP590" s="243"/>
      <c r="XQ590" s="243"/>
      <c r="XR590" s="243"/>
      <c r="XS590" s="243"/>
      <c r="XT590" s="243"/>
      <c r="XU590" s="243"/>
      <c r="XV590" s="243"/>
      <c r="XW590" s="243"/>
      <c r="XX590" s="243"/>
      <c r="XY590" s="243"/>
      <c r="XZ590" s="243"/>
      <c r="YA590" s="243"/>
      <c r="YB590" s="243"/>
      <c r="YC590" s="243"/>
      <c r="YD590" s="243"/>
      <c r="YE590" s="243"/>
      <c r="YF590" s="243"/>
      <c r="YG590" s="243"/>
      <c r="YH590" s="243"/>
      <c r="YI590" s="243"/>
      <c r="YJ590" s="243"/>
      <c r="YK590" s="243"/>
      <c r="YL590" s="243"/>
      <c r="YM590" s="243"/>
      <c r="YN590" s="243"/>
      <c r="YO590" s="243"/>
      <c r="YP590" s="243"/>
      <c r="YQ590" s="243"/>
      <c r="YR590" s="243"/>
      <c r="YS590" s="243"/>
      <c r="YT590" s="243"/>
      <c r="YU590" s="243"/>
      <c r="YV590" s="243"/>
      <c r="YW590" s="243"/>
      <c r="YX590" s="243"/>
      <c r="YY590" s="243"/>
      <c r="YZ590" s="243"/>
      <c r="ZA590" s="243"/>
      <c r="ZB590" s="243"/>
      <c r="ZC590" s="243"/>
      <c r="ZD590" s="243"/>
      <c r="ZE590" s="243"/>
      <c r="ZF590" s="243"/>
      <c r="ZG590" s="243"/>
      <c r="ZH590" s="243"/>
      <c r="ZI590" s="243"/>
      <c r="ZJ590" s="243"/>
      <c r="ZK590" s="243"/>
      <c r="ZL590" s="243"/>
      <c r="ZM590" s="243"/>
      <c r="ZN590" s="243"/>
      <c r="ZO590" s="243"/>
      <c r="ZP590" s="243"/>
      <c r="ZQ590" s="243"/>
      <c r="ZR590" s="243"/>
      <c r="ZS590" s="243"/>
      <c r="ZT590" s="243"/>
      <c r="ZU590" s="243"/>
      <c r="ZV590" s="243"/>
      <c r="ZW590" s="243"/>
      <c r="ZX590" s="243"/>
      <c r="ZY590" s="243"/>
      <c r="ZZ590" s="243"/>
      <c r="AAA590" s="243"/>
      <c r="AAB590" s="243"/>
      <c r="AAC590" s="243"/>
      <c r="AAD590" s="243"/>
      <c r="AAE590" s="243"/>
      <c r="AAF590" s="243"/>
      <c r="AAG590" s="243"/>
      <c r="AAH590" s="243"/>
      <c r="AAI590" s="243"/>
      <c r="AAJ590" s="243"/>
      <c r="AAK590" s="243"/>
      <c r="AAL590" s="243"/>
      <c r="AAM590" s="243"/>
      <c r="AAN590" s="243"/>
      <c r="AAO590" s="243"/>
      <c r="AAP590" s="243"/>
      <c r="AAQ590" s="243"/>
      <c r="AAR590" s="243"/>
      <c r="AAS590" s="243"/>
      <c r="AAT590" s="243"/>
      <c r="AAU590" s="243"/>
      <c r="AAV590" s="243"/>
      <c r="AAW590" s="243"/>
      <c r="AAX590" s="243"/>
      <c r="AAY590" s="243"/>
      <c r="AAZ590" s="243"/>
      <c r="ABA590" s="243"/>
      <c r="ABB590" s="243"/>
      <c r="ABC590" s="243"/>
      <c r="ABD590" s="243"/>
      <c r="ABE590" s="243"/>
      <c r="ABF590" s="243"/>
      <c r="ABG590" s="243"/>
      <c r="ABH590" s="243"/>
      <c r="ABI590" s="243"/>
      <c r="ABJ590" s="243"/>
      <c r="ABK590" s="243"/>
      <c r="ABL590" s="243"/>
      <c r="ABM590" s="243"/>
      <c r="ABN590" s="243"/>
      <c r="ABO590" s="243"/>
      <c r="ABP590" s="243"/>
      <c r="ABQ590" s="243"/>
      <c r="ABR590" s="243"/>
      <c r="ABS590" s="243"/>
      <c r="ABT590" s="243"/>
      <c r="ABU590" s="243"/>
      <c r="ABV590" s="243"/>
      <c r="ABW590" s="243"/>
      <c r="ABX590" s="243"/>
      <c r="ABY590" s="243"/>
      <c r="ABZ590" s="243"/>
      <c r="ACA590" s="243"/>
      <c r="ACB590" s="243"/>
      <c r="ACC590" s="243"/>
      <c r="ACD590" s="243"/>
      <c r="ACE590" s="243"/>
      <c r="ACF590" s="243"/>
      <c r="ACG590" s="243"/>
      <c r="ACH590" s="243"/>
      <c r="ACI590" s="243"/>
      <c r="ACJ590" s="243"/>
      <c r="ACK590" s="243"/>
      <c r="ACL590" s="243"/>
      <c r="ACM590" s="243"/>
      <c r="ACN590" s="243"/>
      <c r="ACO590" s="243"/>
      <c r="ACP590" s="243"/>
      <c r="ACQ590" s="243"/>
      <c r="ACR590" s="243"/>
      <c r="ACS590" s="243"/>
      <c r="ACT590" s="243"/>
      <c r="ACU590" s="243"/>
      <c r="ACV590" s="243"/>
      <c r="ACW590" s="243"/>
      <c r="ACX590" s="243"/>
      <c r="ACY590" s="243"/>
      <c r="ACZ590" s="243"/>
      <c r="ADA590" s="243"/>
      <c r="ADB590" s="243"/>
      <c r="ADC590" s="243"/>
      <c r="ADD590" s="243"/>
      <c r="ADE590" s="243"/>
      <c r="ADF590" s="243"/>
      <c r="ADG590" s="243"/>
      <c r="ADH590" s="243"/>
      <c r="ADI590" s="243"/>
      <c r="ADJ590" s="243"/>
      <c r="ADK590" s="243"/>
      <c r="ADL590" s="243"/>
      <c r="ADM590" s="243"/>
      <c r="ADN590" s="243"/>
      <c r="ADO590" s="243"/>
      <c r="ADP590" s="243"/>
      <c r="ADQ590" s="243"/>
      <c r="ADR590" s="243"/>
      <c r="ADS590" s="243"/>
      <c r="ADT590" s="243"/>
      <c r="ADU590" s="243"/>
      <c r="ADV590" s="243"/>
      <c r="ADW590" s="243"/>
      <c r="ADX590" s="243"/>
      <c r="ADY590" s="243"/>
      <c r="ADZ590" s="243"/>
      <c r="AEA590" s="243"/>
      <c r="AEB590" s="243"/>
      <c r="AEC590" s="243"/>
      <c r="AED590" s="243"/>
      <c r="AEE590" s="243"/>
      <c r="AEF590" s="243"/>
      <c r="AEG590" s="243"/>
      <c r="AEH590" s="243"/>
      <c r="AEI590" s="243"/>
      <c r="AEJ590" s="243"/>
      <c r="AEK590" s="243"/>
      <c r="AEL590" s="243"/>
      <c r="AEM590" s="243"/>
      <c r="AEN590" s="243"/>
      <c r="AEO590" s="243"/>
      <c r="AEP590" s="243"/>
      <c r="AEQ590" s="243"/>
      <c r="AER590" s="243"/>
      <c r="AES590" s="243"/>
      <c r="AET590" s="243"/>
      <c r="AEU590" s="243"/>
      <c r="AEV590" s="243"/>
      <c r="AEW590" s="243"/>
      <c r="AEX590" s="243"/>
      <c r="AEY590" s="243"/>
      <c r="AEZ590" s="243"/>
      <c r="AFA590" s="243"/>
      <c r="AFB590" s="243"/>
      <c r="AFC590" s="243"/>
      <c r="AFD590" s="243"/>
      <c r="AFE590" s="243"/>
      <c r="AFF590" s="243"/>
      <c r="AFG590" s="243"/>
      <c r="AFH590" s="243"/>
      <c r="AFI590" s="243"/>
      <c r="AFJ590" s="243"/>
      <c r="AFK590" s="243"/>
      <c r="AFL590" s="243"/>
      <c r="AFM590" s="243"/>
      <c r="AFN590" s="243"/>
      <c r="AFO590" s="243"/>
      <c r="AFP590" s="243"/>
      <c r="AFQ590" s="243"/>
      <c r="AFR590" s="243"/>
      <c r="AFS590" s="243"/>
      <c r="AFT590" s="243"/>
      <c r="AFU590" s="243"/>
      <c r="AFV590" s="243"/>
      <c r="AFW590" s="243"/>
      <c r="AFX590" s="243"/>
      <c r="AFY590" s="243"/>
      <c r="AFZ590" s="243"/>
      <c r="AGA590" s="243"/>
      <c r="AGB590" s="243"/>
      <c r="AGC590" s="243"/>
      <c r="AGD590" s="243"/>
      <c r="AGE590" s="243"/>
      <c r="AGF590" s="243"/>
      <c r="AGG590" s="243"/>
      <c r="AGH590" s="243"/>
      <c r="AGI590" s="243"/>
      <c r="AGJ590" s="243"/>
      <c r="AGK590" s="243"/>
      <c r="AGL590" s="243"/>
      <c r="AGM590" s="243"/>
      <c r="AGN590" s="243"/>
      <c r="AGO590" s="243"/>
      <c r="AGP590" s="243"/>
      <c r="AGQ590" s="243"/>
      <c r="AGR590" s="243"/>
      <c r="AGS590" s="243"/>
      <c r="AGT590" s="243"/>
      <c r="AGU590" s="243"/>
      <c r="AGV590" s="243"/>
      <c r="AGW590" s="243"/>
      <c r="AGX590" s="243"/>
      <c r="AGY590" s="243"/>
      <c r="AGZ590" s="243"/>
      <c r="AHA590" s="243"/>
      <c r="AHB590" s="243"/>
      <c r="AHC590" s="243"/>
      <c r="AHD590" s="243"/>
      <c r="AHE590" s="243"/>
      <c r="AHF590" s="243"/>
      <c r="AHG590" s="243"/>
      <c r="AHH590" s="243"/>
      <c r="AHI590" s="243"/>
      <c r="AHJ590" s="243"/>
      <c r="AHK590" s="243"/>
      <c r="AHL590" s="243"/>
      <c r="AHM590" s="243"/>
      <c r="AHN590" s="243"/>
      <c r="AHO590" s="243"/>
      <c r="AHP590" s="243"/>
      <c r="AHQ590" s="243"/>
      <c r="AHR590" s="243"/>
      <c r="AHS590" s="243"/>
      <c r="AHT590" s="243"/>
      <c r="AHU590" s="243"/>
      <c r="AHV590" s="243"/>
      <c r="AHW590" s="243"/>
      <c r="AHX590" s="243"/>
      <c r="AHY590" s="243"/>
      <c r="AHZ590" s="243"/>
      <c r="AIA590" s="243"/>
      <c r="AIB590" s="243"/>
      <c r="AIC590" s="243"/>
      <c r="AID590" s="243"/>
      <c r="AIE590" s="243"/>
      <c r="AIF590" s="243"/>
      <c r="AIG590" s="243"/>
      <c r="AIH590" s="243"/>
      <c r="AII590" s="243"/>
      <c r="AIJ590" s="243"/>
      <c r="AIK590" s="243"/>
      <c r="AIL590" s="243"/>
      <c r="AIM590" s="243"/>
      <c r="AIN590" s="243"/>
      <c r="AIO590" s="243"/>
      <c r="AIP590" s="243"/>
      <c r="AIQ590" s="243"/>
      <c r="AIR590" s="243"/>
      <c r="AIS590" s="243"/>
      <c r="AIT590" s="243"/>
      <c r="AIU590" s="243"/>
      <c r="AIV590" s="243"/>
      <c r="AIW590" s="243"/>
      <c r="AIX590" s="243"/>
      <c r="AIY590" s="243"/>
      <c r="AIZ590" s="243"/>
      <c r="AJA590" s="243"/>
      <c r="AJB590" s="243"/>
      <c r="AJC590" s="243"/>
      <c r="AJD590" s="243"/>
      <c r="AJE590" s="243"/>
      <c r="AJF590" s="243"/>
      <c r="AJG590" s="243"/>
      <c r="AJH590" s="243"/>
      <c r="AJI590" s="243"/>
      <c r="AJJ590" s="243"/>
      <c r="AJK590" s="243"/>
      <c r="AJL590" s="243"/>
      <c r="AJM590" s="243"/>
      <c r="AJN590" s="243"/>
      <c r="AJO590" s="243"/>
      <c r="AJP590" s="243"/>
      <c r="AJQ590" s="243"/>
      <c r="AJR590" s="243"/>
      <c r="AJS590" s="243"/>
      <c r="AJT590" s="243"/>
      <c r="AJU590" s="243"/>
      <c r="AJV590" s="243"/>
      <c r="AJW590" s="243"/>
      <c r="AJX590" s="243"/>
      <c r="AJY590" s="243"/>
      <c r="AJZ590" s="243"/>
      <c r="AKA590" s="243"/>
      <c r="AKB590" s="243"/>
      <c r="AKC590" s="243"/>
      <c r="AKD590" s="243"/>
      <c r="AKE590" s="243"/>
      <c r="AKF590" s="243"/>
      <c r="AKG590" s="243"/>
      <c r="AKH590" s="243"/>
      <c r="AKI590" s="243"/>
      <c r="AKJ590" s="243"/>
      <c r="AKK590" s="243"/>
      <c r="AKL590" s="243"/>
      <c r="AKM590" s="243"/>
      <c r="AKN590" s="243"/>
      <c r="AKO590" s="243"/>
      <c r="AKP590" s="243"/>
      <c r="AKQ590" s="243"/>
      <c r="AKR590" s="243"/>
      <c r="AKS590" s="243"/>
      <c r="AKT590" s="243"/>
      <c r="AKU590" s="243"/>
      <c r="AKV590" s="243"/>
      <c r="AKW590" s="243"/>
      <c r="AKX590" s="243"/>
      <c r="AKY590" s="243"/>
      <c r="AKZ590" s="243"/>
      <c r="ALA590" s="243"/>
      <c r="ALB590" s="243"/>
      <c r="ALC590" s="243"/>
      <c r="ALD590" s="243"/>
      <c r="ALE590" s="243"/>
      <c r="ALF590" s="243"/>
      <c r="ALG590" s="243"/>
      <c r="ALH590" s="243"/>
      <c r="ALI590" s="243"/>
      <c r="ALJ590" s="243"/>
      <c r="ALK590" s="243"/>
      <c r="ALL590" s="243"/>
      <c r="ALM590" s="243"/>
      <c r="ALN590" s="243"/>
      <c r="ALO590" s="243"/>
      <c r="ALP590" s="243"/>
      <c r="ALQ590" s="243"/>
      <c r="ALR590" s="243"/>
      <c r="ALS590" s="243"/>
      <c r="ALT590" s="243"/>
      <c r="ALU590" s="243"/>
      <c r="ALV590" s="243"/>
      <c r="ALW590" s="243"/>
      <c r="ALX590" s="243"/>
      <c r="ALY590" s="243"/>
      <c r="ALZ590" s="243"/>
      <c r="AMA590" s="243"/>
      <c r="AMB590" s="243"/>
      <c r="AMC590" s="243"/>
      <c r="AMD590" s="243"/>
      <c r="AME590" s="243"/>
      <c r="AMF590" s="243"/>
      <c r="AMG590" s="243"/>
      <c r="AMH590" s="243"/>
      <c r="AMI590" s="244"/>
      <c r="AMJ590" s="244"/>
    </row>
    <row r="591" spans="1:1024">
      <c r="A591" s="901"/>
      <c r="B591" s="838">
        <v>15598</v>
      </c>
      <c r="C591" s="840">
        <v>0.08</v>
      </c>
      <c r="D591" s="839" t="s">
        <v>359</v>
      </c>
      <c r="E591" s="321">
        <v>3200000</v>
      </c>
      <c r="F591" s="765">
        <v>0.08</v>
      </c>
      <c r="G591" s="321">
        <f t="shared" si="26"/>
        <v>256000</v>
      </c>
      <c r="H591" s="604" t="s">
        <v>202</v>
      </c>
      <c r="I591" s="604"/>
      <c r="J591" s="604" t="s">
        <v>138</v>
      </c>
      <c r="K591" s="771"/>
      <c r="L591" s="772"/>
      <c r="M591" s="625"/>
      <c r="N591" s="773"/>
      <c r="O591" s="774"/>
      <c r="P591" s="607"/>
      <c r="Q591" s="716"/>
      <c r="R591" s="243"/>
      <c r="S591" s="243"/>
      <c r="T591" s="243"/>
      <c r="U591" s="243"/>
      <c r="V591" s="243"/>
      <c r="W591" s="243"/>
      <c r="X591" s="243"/>
      <c r="Y591" s="243"/>
      <c r="Z591" s="243"/>
      <c r="AA591" s="243"/>
      <c r="AB591" s="243"/>
      <c r="AC591" s="243"/>
      <c r="AD591" s="243"/>
      <c r="AE591" s="243"/>
      <c r="AF591" s="243"/>
      <c r="AG591" s="243"/>
      <c r="AH591" s="243"/>
      <c r="AI591" s="243"/>
      <c r="AJ591" s="243"/>
      <c r="AK591" s="243"/>
      <c r="AL591" s="243"/>
      <c r="AM591" s="243"/>
      <c r="AN591" s="243"/>
      <c r="AO591" s="243"/>
      <c r="AP591" s="243"/>
      <c r="AQ591" s="243"/>
      <c r="AR591" s="243"/>
      <c r="AS591" s="243"/>
      <c r="AT591" s="243"/>
      <c r="AU591" s="243"/>
      <c r="AV591" s="243"/>
      <c r="AW591" s="243"/>
      <c r="AX591" s="243"/>
      <c r="AY591" s="243"/>
      <c r="AZ591" s="243"/>
      <c r="BA591" s="243"/>
      <c r="BB591" s="243"/>
      <c r="BC591" s="243"/>
      <c r="BD591" s="243"/>
      <c r="BE591" s="243"/>
      <c r="BF591" s="243"/>
      <c r="BG591" s="243"/>
      <c r="BH591" s="243"/>
      <c r="BI591" s="243"/>
      <c r="BJ591" s="243"/>
      <c r="BK591" s="243"/>
      <c r="BL591" s="243"/>
      <c r="BM591" s="243"/>
      <c r="BN591" s="243"/>
      <c r="BO591" s="243"/>
      <c r="BP591" s="243"/>
      <c r="BQ591" s="243"/>
      <c r="BR591" s="243"/>
      <c r="BS591" s="243"/>
      <c r="BT591" s="243"/>
      <c r="BU591" s="243"/>
      <c r="BV591" s="243"/>
      <c r="BW591" s="243"/>
      <c r="BX591" s="243"/>
      <c r="BY591" s="243"/>
      <c r="BZ591" s="243"/>
      <c r="CA591" s="243"/>
      <c r="CB591" s="243"/>
      <c r="CC591" s="243"/>
      <c r="CD591" s="243"/>
      <c r="CE591" s="243"/>
      <c r="CF591" s="243"/>
      <c r="CG591" s="243"/>
      <c r="CH591" s="243"/>
      <c r="CI591" s="243"/>
      <c r="CJ591" s="243"/>
      <c r="CK591" s="243"/>
      <c r="CL591" s="243"/>
      <c r="CM591" s="243"/>
      <c r="CN591" s="243"/>
      <c r="CO591" s="243"/>
      <c r="CP591" s="243"/>
      <c r="CQ591" s="243"/>
      <c r="CR591" s="243"/>
      <c r="CS591" s="243"/>
      <c r="CT591" s="243"/>
      <c r="CU591" s="243"/>
      <c r="CV591" s="243"/>
      <c r="CW591" s="243"/>
      <c r="CX591" s="243"/>
      <c r="CY591" s="243"/>
      <c r="CZ591" s="243"/>
      <c r="DA591" s="243"/>
      <c r="DB591" s="243"/>
      <c r="DC591" s="243"/>
      <c r="DD591" s="243"/>
      <c r="DE591" s="243"/>
      <c r="DF591" s="243"/>
      <c r="DG591" s="243"/>
      <c r="DH591" s="243"/>
      <c r="DI591" s="243"/>
      <c r="DJ591" s="243"/>
      <c r="DK591" s="243"/>
      <c r="DL591" s="243"/>
      <c r="DM591" s="243"/>
      <c r="DN591" s="243"/>
      <c r="DO591" s="243"/>
      <c r="DP591" s="243"/>
      <c r="DQ591" s="243"/>
      <c r="DR591" s="243"/>
      <c r="DS591" s="243"/>
      <c r="DT591" s="243"/>
      <c r="DU591" s="243"/>
      <c r="DV591" s="243"/>
      <c r="DW591" s="243"/>
      <c r="DX591" s="243"/>
      <c r="DY591" s="243"/>
      <c r="DZ591" s="243"/>
      <c r="EA591" s="243"/>
      <c r="EB591" s="243"/>
      <c r="EC591" s="243"/>
      <c r="ED591" s="243"/>
      <c r="EE591" s="243"/>
      <c r="EF591" s="243"/>
      <c r="EG591" s="243"/>
      <c r="EH591" s="243"/>
      <c r="EI591" s="243"/>
      <c r="EJ591" s="243"/>
      <c r="EK591" s="243"/>
      <c r="EL591" s="243"/>
      <c r="EM591" s="243"/>
      <c r="EN591" s="243"/>
      <c r="EO591" s="243"/>
      <c r="EP591" s="243"/>
      <c r="EQ591" s="243"/>
      <c r="ER591" s="243"/>
      <c r="ES591" s="243"/>
      <c r="ET591" s="243"/>
      <c r="EU591" s="243"/>
      <c r="EV591" s="243"/>
      <c r="EW591" s="243"/>
      <c r="EX591" s="243"/>
      <c r="EY591" s="243"/>
      <c r="EZ591" s="243"/>
      <c r="FA591" s="243"/>
      <c r="FB591" s="243"/>
      <c r="FC591" s="243"/>
      <c r="FD591" s="243"/>
      <c r="FE591" s="243"/>
      <c r="FF591" s="243"/>
      <c r="FG591" s="243"/>
      <c r="FH591" s="243"/>
      <c r="FI591" s="243"/>
      <c r="FJ591" s="243"/>
      <c r="FK591" s="243"/>
      <c r="FL591" s="243"/>
      <c r="FM591" s="243"/>
      <c r="FN591" s="243"/>
      <c r="FO591" s="243"/>
      <c r="FP591" s="243"/>
      <c r="FQ591" s="243"/>
      <c r="FR591" s="243"/>
      <c r="FS591" s="243"/>
      <c r="FT591" s="243"/>
      <c r="FU591" s="243"/>
      <c r="FV591" s="243"/>
      <c r="FW591" s="243"/>
      <c r="FX591" s="243"/>
      <c r="FY591" s="243"/>
      <c r="FZ591" s="243"/>
      <c r="GA591" s="243"/>
      <c r="GB591" s="243"/>
      <c r="GC591" s="243"/>
      <c r="GD591" s="243"/>
      <c r="GE591" s="243"/>
      <c r="GF591" s="243"/>
      <c r="GG591" s="243"/>
      <c r="GH591" s="243"/>
      <c r="GI591" s="243"/>
      <c r="GJ591" s="243"/>
      <c r="GK591" s="243"/>
      <c r="GL591" s="243"/>
      <c r="GM591" s="243"/>
      <c r="GN591" s="243"/>
      <c r="GO591" s="243"/>
      <c r="GP591" s="243"/>
      <c r="GQ591" s="243"/>
      <c r="GR591" s="243"/>
      <c r="GS591" s="243"/>
      <c r="GT591" s="243"/>
      <c r="GU591" s="243"/>
      <c r="GV591" s="243"/>
      <c r="GW591" s="243"/>
      <c r="GX591" s="243"/>
      <c r="GY591" s="243"/>
      <c r="GZ591" s="243"/>
      <c r="HA591" s="243"/>
      <c r="HB591" s="243"/>
      <c r="HC591" s="243"/>
      <c r="HD591" s="243"/>
      <c r="HE591" s="243"/>
      <c r="HF591" s="243"/>
      <c r="HG591" s="243"/>
      <c r="HH591" s="243"/>
      <c r="HI591" s="243"/>
      <c r="HJ591" s="243"/>
      <c r="HK591" s="243"/>
      <c r="HL591" s="243"/>
      <c r="HM591" s="243"/>
      <c r="HN591" s="243"/>
      <c r="HO591" s="243"/>
      <c r="HP591" s="243"/>
      <c r="HQ591" s="243"/>
      <c r="HR591" s="243"/>
      <c r="HS591" s="243"/>
      <c r="HT591" s="243"/>
      <c r="HU591" s="243"/>
      <c r="HV591" s="243"/>
      <c r="HW591" s="243"/>
      <c r="HX591" s="243"/>
      <c r="HY591" s="243"/>
      <c r="HZ591" s="243"/>
      <c r="IA591" s="243"/>
      <c r="IB591" s="243"/>
      <c r="IC591" s="243"/>
      <c r="ID591" s="243"/>
      <c r="IE591" s="243"/>
      <c r="IF591" s="243"/>
      <c r="IG591" s="243"/>
      <c r="IH591" s="243"/>
      <c r="II591" s="243"/>
      <c r="IJ591" s="243"/>
      <c r="IK591" s="243"/>
      <c r="IL591" s="243"/>
      <c r="IM591" s="243"/>
      <c r="IN591" s="243"/>
      <c r="IO591" s="243"/>
      <c r="IP591" s="243"/>
      <c r="IQ591" s="243"/>
      <c r="IR591" s="243"/>
      <c r="IS591" s="243"/>
      <c r="IT591" s="243"/>
      <c r="IU591" s="243"/>
      <c r="IV591" s="243"/>
      <c r="IW591" s="243"/>
      <c r="IX591" s="243"/>
      <c r="IY591" s="243"/>
      <c r="IZ591" s="243"/>
      <c r="JA591" s="243"/>
      <c r="JB591" s="243"/>
      <c r="JC591" s="243"/>
      <c r="JD591" s="243"/>
      <c r="JE591" s="243"/>
      <c r="JF591" s="243"/>
      <c r="JG591" s="243"/>
      <c r="JH591" s="243"/>
      <c r="JI591" s="243"/>
      <c r="JJ591" s="243"/>
      <c r="JK591" s="243"/>
      <c r="JL591" s="243"/>
      <c r="JM591" s="243"/>
      <c r="JN591" s="243"/>
      <c r="JO591" s="243"/>
      <c r="JP591" s="243"/>
      <c r="JQ591" s="243"/>
      <c r="JR591" s="243"/>
      <c r="JS591" s="243"/>
      <c r="JT591" s="243"/>
      <c r="JU591" s="243"/>
      <c r="JV591" s="243"/>
      <c r="JW591" s="243"/>
      <c r="JX591" s="243"/>
      <c r="JY591" s="243"/>
      <c r="JZ591" s="243"/>
      <c r="KA591" s="243"/>
      <c r="KB591" s="243"/>
      <c r="KC591" s="243"/>
      <c r="KD591" s="243"/>
      <c r="KE591" s="243"/>
      <c r="KF591" s="243"/>
      <c r="KG591" s="243"/>
      <c r="KH591" s="243"/>
      <c r="KI591" s="243"/>
      <c r="KJ591" s="243"/>
      <c r="KK591" s="243"/>
      <c r="KL591" s="243"/>
      <c r="KM591" s="243"/>
      <c r="KN591" s="243"/>
      <c r="KO591" s="243"/>
      <c r="KP591" s="243"/>
      <c r="KQ591" s="243"/>
      <c r="KR591" s="243"/>
      <c r="KS591" s="243"/>
      <c r="KT591" s="243"/>
      <c r="KU591" s="243"/>
      <c r="KV591" s="243"/>
      <c r="KW591" s="243"/>
      <c r="KX591" s="243"/>
      <c r="KY591" s="243"/>
      <c r="KZ591" s="243"/>
      <c r="LA591" s="243"/>
      <c r="LB591" s="243"/>
      <c r="LC591" s="243"/>
      <c r="LD591" s="243"/>
      <c r="LE591" s="243"/>
      <c r="LF591" s="243"/>
      <c r="LG591" s="243"/>
      <c r="LH591" s="243"/>
      <c r="LI591" s="243"/>
      <c r="LJ591" s="243"/>
      <c r="LK591" s="243"/>
      <c r="LL591" s="243"/>
      <c r="LM591" s="243"/>
      <c r="LN591" s="243"/>
      <c r="LO591" s="243"/>
      <c r="LP591" s="243"/>
      <c r="LQ591" s="243"/>
      <c r="LR591" s="243"/>
      <c r="LS591" s="243"/>
      <c r="LT591" s="243"/>
      <c r="LU591" s="243"/>
      <c r="LV591" s="243"/>
      <c r="LW591" s="243"/>
      <c r="LX591" s="243"/>
      <c r="LY591" s="243"/>
      <c r="LZ591" s="243"/>
      <c r="MA591" s="243"/>
      <c r="MB591" s="243"/>
      <c r="MC591" s="243"/>
      <c r="MD591" s="243"/>
      <c r="ME591" s="243"/>
      <c r="MF591" s="243"/>
      <c r="MG591" s="243"/>
      <c r="MH591" s="243"/>
      <c r="MI591" s="243"/>
      <c r="MJ591" s="243"/>
      <c r="MK591" s="243"/>
      <c r="ML591" s="243"/>
      <c r="MM591" s="243"/>
      <c r="MN591" s="243"/>
      <c r="MO591" s="243"/>
      <c r="MP591" s="243"/>
      <c r="MQ591" s="243"/>
      <c r="MR591" s="243"/>
      <c r="MS591" s="243"/>
      <c r="MT591" s="243"/>
      <c r="MU591" s="243"/>
      <c r="MV591" s="243"/>
      <c r="MW591" s="243"/>
      <c r="MX591" s="243"/>
      <c r="MY591" s="243"/>
      <c r="MZ591" s="243"/>
      <c r="NA591" s="243"/>
      <c r="NB591" s="243"/>
      <c r="NC591" s="243"/>
      <c r="ND591" s="243"/>
      <c r="NE591" s="243"/>
      <c r="NF591" s="243"/>
      <c r="NG591" s="243"/>
      <c r="NH591" s="243"/>
      <c r="NI591" s="243"/>
      <c r="NJ591" s="243"/>
      <c r="NK591" s="243"/>
      <c r="NL591" s="243"/>
      <c r="NM591" s="243"/>
      <c r="NN591" s="243"/>
      <c r="NO591" s="243"/>
      <c r="NP591" s="243"/>
      <c r="NQ591" s="243"/>
      <c r="NR591" s="243"/>
      <c r="NS591" s="243"/>
      <c r="NT591" s="243"/>
      <c r="NU591" s="243"/>
      <c r="NV591" s="243"/>
      <c r="NW591" s="243"/>
      <c r="NX591" s="243"/>
      <c r="NY591" s="243"/>
      <c r="NZ591" s="243"/>
      <c r="OA591" s="243"/>
      <c r="OB591" s="243"/>
      <c r="OC591" s="243"/>
      <c r="OD591" s="243"/>
      <c r="OE591" s="243"/>
      <c r="OF591" s="243"/>
      <c r="OG591" s="243"/>
      <c r="OH591" s="243"/>
      <c r="OI591" s="243"/>
      <c r="OJ591" s="243"/>
      <c r="OK591" s="243"/>
      <c r="OL591" s="243"/>
      <c r="OM591" s="243"/>
      <c r="ON591" s="243"/>
      <c r="OO591" s="243"/>
      <c r="OP591" s="243"/>
      <c r="OQ591" s="243"/>
      <c r="OR591" s="243"/>
      <c r="OS591" s="243"/>
      <c r="OT591" s="243"/>
      <c r="OU591" s="243"/>
      <c r="OV591" s="243"/>
      <c r="OW591" s="243"/>
      <c r="OX591" s="243"/>
      <c r="OY591" s="243"/>
      <c r="OZ591" s="243"/>
      <c r="PA591" s="243"/>
      <c r="PB591" s="243"/>
      <c r="PC591" s="243"/>
      <c r="PD591" s="243"/>
      <c r="PE591" s="243"/>
      <c r="PF591" s="243"/>
      <c r="PG591" s="243"/>
      <c r="PH591" s="243"/>
      <c r="PI591" s="243"/>
      <c r="PJ591" s="243"/>
      <c r="PK591" s="243"/>
      <c r="PL591" s="243"/>
      <c r="PM591" s="243"/>
      <c r="PN591" s="243"/>
      <c r="PO591" s="243"/>
      <c r="PP591" s="243"/>
      <c r="PQ591" s="243"/>
      <c r="PR591" s="243"/>
      <c r="PS591" s="243"/>
      <c r="PT591" s="243"/>
      <c r="PU591" s="243"/>
      <c r="PV591" s="243"/>
      <c r="PW591" s="243"/>
      <c r="PX591" s="243"/>
      <c r="PY591" s="243"/>
      <c r="PZ591" s="243"/>
      <c r="QA591" s="243"/>
      <c r="QB591" s="243"/>
      <c r="QC591" s="243"/>
      <c r="QD591" s="243"/>
      <c r="QE591" s="243"/>
      <c r="QF591" s="243"/>
      <c r="QG591" s="243"/>
      <c r="QH591" s="243"/>
      <c r="QI591" s="243"/>
      <c r="QJ591" s="243"/>
      <c r="QK591" s="243"/>
      <c r="QL591" s="243"/>
      <c r="QM591" s="243"/>
      <c r="QN591" s="243"/>
      <c r="QO591" s="243"/>
      <c r="QP591" s="243"/>
      <c r="QQ591" s="243"/>
      <c r="QR591" s="243"/>
      <c r="QS591" s="243"/>
      <c r="QT591" s="243"/>
      <c r="QU591" s="243"/>
      <c r="QV591" s="243"/>
      <c r="QW591" s="243"/>
      <c r="QX591" s="243"/>
      <c r="QY591" s="243"/>
      <c r="QZ591" s="243"/>
      <c r="RA591" s="243"/>
      <c r="RB591" s="243"/>
      <c r="RC591" s="243"/>
      <c r="RD591" s="243"/>
      <c r="RE591" s="243"/>
      <c r="RF591" s="243"/>
      <c r="RG591" s="243"/>
      <c r="RH591" s="243"/>
      <c r="RI591" s="243"/>
      <c r="RJ591" s="243"/>
      <c r="RK591" s="243"/>
      <c r="RL591" s="243"/>
      <c r="RM591" s="243"/>
      <c r="RN591" s="243"/>
      <c r="RO591" s="243"/>
      <c r="RP591" s="243"/>
      <c r="RQ591" s="243"/>
      <c r="RR591" s="243"/>
      <c r="RS591" s="243"/>
      <c r="RT591" s="243"/>
      <c r="RU591" s="243"/>
      <c r="RV591" s="243"/>
      <c r="RW591" s="243"/>
      <c r="RX591" s="243"/>
      <c r="RY591" s="243"/>
      <c r="RZ591" s="243"/>
      <c r="SA591" s="243"/>
      <c r="SB591" s="243"/>
      <c r="SC591" s="243"/>
      <c r="SD591" s="243"/>
      <c r="SE591" s="243"/>
      <c r="SF591" s="243"/>
      <c r="SG591" s="243"/>
      <c r="SH591" s="243"/>
      <c r="SI591" s="243"/>
      <c r="SJ591" s="243"/>
      <c r="SK591" s="243"/>
      <c r="SL591" s="243"/>
      <c r="SM591" s="243"/>
      <c r="SN591" s="243"/>
      <c r="SO591" s="243"/>
      <c r="SP591" s="243"/>
      <c r="SQ591" s="243"/>
      <c r="SR591" s="243"/>
      <c r="SS591" s="243"/>
      <c r="ST591" s="243"/>
      <c r="SU591" s="243"/>
      <c r="SV591" s="243"/>
      <c r="SW591" s="243"/>
      <c r="SX591" s="243"/>
      <c r="SY591" s="243"/>
      <c r="SZ591" s="243"/>
      <c r="TA591" s="243"/>
      <c r="TB591" s="243"/>
      <c r="TC591" s="243"/>
      <c r="TD591" s="243"/>
      <c r="TE591" s="243"/>
      <c r="TF591" s="243"/>
      <c r="TG591" s="243"/>
      <c r="TH591" s="243"/>
      <c r="TI591" s="243"/>
      <c r="TJ591" s="243"/>
      <c r="TK591" s="243"/>
      <c r="TL591" s="243"/>
      <c r="TM591" s="243"/>
      <c r="TN591" s="243"/>
      <c r="TO591" s="243"/>
      <c r="TP591" s="243"/>
      <c r="TQ591" s="243"/>
      <c r="TR591" s="243"/>
      <c r="TS591" s="243"/>
      <c r="TT591" s="243"/>
      <c r="TU591" s="243"/>
      <c r="TV591" s="243"/>
      <c r="TW591" s="243"/>
      <c r="TX591" s="243"/>
      <c r="TY591" s="243"/>
      <c r="TZ591" s="243"/>
      <c r="UA591" s="243"/>
      <c r="UB591" s="243"/>
      <c r="UC591" s="243"/>
      <c r="UD591" s="243"/>
      <c r="UE591" s="243"/>
      <c r="UF591" s="243"/>
      <c r="UG591" s="243"/>
      <c r="UH591" s="243"/>
      <c r="UI591" s="243"/>
      <c r="UJ591" s="243"/>
      <c r="UK591" s="243"/>
      <c r="UL591" s="243"/>
      <c r="UM591" s="243"/>
      <c r="UN591" s="243"/>
      <c r="UO591" s="243"/>
      <c r="UP591" s="243"/>
      <c r="UQ591" s="243"/>
      <c r="UR591" s="243"/>
      <c r="US591" s="243"/>
      <c r="UT591" s="243"/>
      <c r="UU591" s="243"/>
      <c r="UV591" s="243"/>
      <c r="UW591" s="243"/>
      <c r="UX591" s="243"/>
      <c r="UY591" s="243"/>
      <c r="UZ591" s="243"/>
      <c r="VA591" s="243"/>
      <c r="VB591" s="243"/>
      <c r="VC591" s="243"/>
      <c r="VD591" s="243"/>
      <c r="VE591" s="243"/>
      <c r="VF591" s="243"/>
      <c r="VG591" s="243"/>
      <c r="VH591" s="243"/>
      <c r="VI591" s="243"/>
      <c r="VJ591" s="243"/>
      <c r="VK591" s="243"/>
      <c r="VL591" s="243"/>
      <c r="VM591" s="243"/>
      <c r="VN591" s="243"/>
      <c r="VO591" s="243"/>
      <c r="VP591" s="243"/>
      <c r="VQ591" s="243"/>
      <c r="VR591" s="243"/>
      <c r="VS591" s="243"/>
      <c r="VT591" s="243"/>
      <c r="VU591" s="243"/>
      <c r="VV591" s="243"/>
      <c r="VW591" s="243"/>
      <c r="VX591" s="243"/>
      <c r="VY591" s="243"/>
      <c r="VZ591" s="243"/>
      <c r="WA591" s="243"/>
      <c r="WB591" s="243"/>
      <c r="WC591" s="243"/>
      <c r="WD591" s="243"/>
      <c r="WE591" s="243"/>
      <c r="WF591" s="243"/>
      <c r="WG591" s="243"/>
      <c r="WH591" s="243"/>
      <c r="WI591" s="243"/>
      <c r="WJ591" s="243"/>
      <c r="WK591" s="243"/>
      <c r="WL591" s="243"/>
      <c r="WM591" s="243"/>
      <c r="WN591" s="243"/>
      <c r="WO591" s="243"/>
      <c r="WP591" s="243"/>
      <c r="WQ591" s="243"/>
      <c r="WR591" s="243"/>
      <c r="WS591" s="243"/>
      <c r="WT591" s="243"/>
      <c r="WU591" s="243"/>
      <c r="WV591" s="243"/>
      <c r="WW591" s="243"/>
      <c r="WX591" s="243"/>
      <c r="WY591" s="243"/>
      <c r="WZ591" s="243"/>
      <c r="XA591" s="243"/>
      <c r="XB591" s="243"/>
      <c r="XC591" s="243"/>
      <c r="XD591" s="243"/>
      <c r="XE591" s="243"/>
      <c r="XF591" s="243"/>
      <c r="XG591" s="243"/>
      <c r="XH591" s="243"/>
      <c r="XI591" s="243"/>
      <c r="XJ591" s="243"/>
      <c r="XK591" s="243"/>
      <c r="XL591" s="243"/>
      <c r="XM591" s="243"/>
      <c r="XN591" s="243"/>
      <c r="XO591" s="243"/>
      <c r="XP591" s="243"/>
      <c r="XQ591" s="243"/>
      <c r="XR591" s="243"/>
      <c r="XS591" s="243"/>
      <c r="XT591" s="243"/>
      <c r="XU591" s="243"/>
      <c r="XV591" s="243"/>
      <c r="XW591" s="243"/>
      <c r="XX591" s="243"/>
      <c r="XY591" s="243"/>
      <c r="XZ591" s="243"/>
      <c r="YA591" s="243"/>
      <c r="YB591" s="243"/>
      <c r="YC591" s="243"/>
      <c r="YD591" s="243"/>
      <c r="YE591" s="243"/>
      <c r="YF591" s="243"/>
      <c r="YG591" s="243"/>
      <c r="YH591" s="243"/>
      <c r="YI591" s="243"/>
      <c r="YJ591" s="243"/>
      <c r="YK591" s="243"/>
      <c r="YL591" s="243"/>
      <c r="YM591" s="243"/>
      <c r="YN591" s="243"/>
      <c r="YO591" s="243"/>
      <c r="YP591" s="243"/>
      <c r="YQ591" s="243"/>
      <c r="YR591" s="243"/>
      <c r="YS591" s="243"/>
      <c r="YT591" s="243"/>
      <c r="YU591" s="243"/>
      <c r="YV591" s="243"/>
      <c r="YW591" s="243"/>
      <c r="YX591" s="243"/>
      <c r="YY591" s="243"/>
      <c r="YZ591" s="243"/>
      <c r="ZA591" s="243"/>
      <c r="ZB591" s="243"/>
      <c r="ZC591" s="243"/>
      <c r="ZD591" s="243"/>
      <c r="ZE591" s="243"/>
      <c r="ZF591" s="243"/>
      <c r="ZG591" s="243"/>
      <c r="ZH591" s="243"/>
      <c r="ZI591" s="243"/>
      <c r="ZJ591" s="243"/>
      <c r="ZK591" s="243"/>
      <c r="ZL591" s="243"/>
      <c r="ZM591" s="243"/>
      <c r="ZN591" s="243"/>
      <c r="ZO591" s="243"/>
      <c r="ZP591" s="243"/>
      <c r="ZQ591" s="243"/>
      <c r="ZR591" s="243"/>
      <c r="ZS591" s="243"/>
      <c r="ZT591" s="243"/>
      <c r="ZU591" s="243"/>
      <c r="ZV591" s="243"/>
      <c r="ZW591" s="243"/>
      <c r="ZX591" s="243"/>
      <c r="ZY591" s="243"/>
      <c r="ZZ591" s="243"/>
      <c r="AAA591" s="243"/>
      <c r="AAB591" s="243"/>
      <c r="AAC591" s="243"/>
      <c r="AAD591" s="243"/>
      <c r="AAE591" s="243"/>
      <c r="AAF591" s="243"/>
      <c r="AAG591" s="243"/>
      <c r="AAH591" s="243"/>
      <c r="AAI591" s="243"/>
      <c r="AAJ591" s="243"/>
      <c r="AAK591" s="243"/>
      <c r="AAL591" s="243"/>
      <c r="AAM591" s="243"/>
      <c r="AAN591" s="243"/>
      <c r="AAO591" s="243"/>
      <c r="AAP591" s="243"/>
      <c r="AAQ591" s="243"/>
      <c r="AAR591" s="243"/>
      <c r="AAS591" s="243"/>
      <c r="AAT591" s="243"/>
      <c r="AAU591" s="243"/>
      <c r="AAV591" s="243"/>
      <c r="AAW591" s="243"/>
      <c r="AAX591" s="243"/>
      <c r="AAY591" s="243"/>
      <c r="AAZ591" s="243"/>
      <c r="ABA591" s="243"/>
      <c r="ABB591" s="243"/>
      <c r="ABC591" s="243"/>
      <c r="ABD591" s="243"/>
      <c r="ABE591" s="243"/>
      <c r="ABF591" s="243"/>
      <c r="ABG591" s="243"/>
      <c r="ABH591" s="243"/>
      <c r="ABI591" s="243"/>
      <c r="ABJ591" s="243"/>
      <c r="ABK591" s="243"/>
      <c r="ABL591" s="243"/>
      <c r="ABM591" s="243"/>
      <c r="ABN591" s="243"/>
      <c r="ABO591" s="243"/>
      <c r="ABP591" s="243"/>
      <c r="ABQ591" s="243"/>
      <c r="ABR591" s="243"/>
      <c r="ABS591" s="243"/>
      <c r="ABT591" s="243"/>
      <c r="ABU591" s="243"/>
      <c r="ABV591" s="243"/>
      <c r="ABW591" s="243"/>
      <c r="ABX591" s="243"/>
      <c r="ABY591" s="243"/>
      <c r="ABZ591" s="243"/>
      <c r="ACA591" s="243"/>
      <c r="ACB591" s="243"/>
      <c r="ACC591" s="243"/>
      <c r="ACD591" s="243"/>
      <c r="ACE591" s="243"/>
      <c r="ACF591" s="243"/>
      <c r="ACG591" s="243"/>
      <c r="ACH591" s="243"/>
      <c r="ACI591" s="243"/>
      <c r="ACJ591" s="243"/>
      <c r="ACK591" s="243"/>
      <c r="ACL591" s="243"/>
      <c r="ACM591" s="243"/>
      <c r="ACN591" s="243"/>
      <c r="ACO591" s="243"/>
      <c r="ACP591" s="243"/>
      <c r="ACQ591" s="243"/>
      <c r="ACR591" s="243"/>
      <c r="ACS591" s="243"/>
      <c r="ACT591" s="243"/>
      <c r="ACU591" s="243"/>
      <c r="ACV591" s="243"/>
      <c r="ACW591" s="243"/>
      <c r="ACX591" s="243"/>
      <c r="ACY591" s="243"/>
      <c r="ACZ591" s="243"/>
      <c r="ADA591" s="243"/>
      <c r="ADB591" s="243"/>
      <c r="ADC591" s="243"/>
      <c r="ADD591" s="243"/>
      <c r="ADE591" s="243"/>
      <c r="ADF591" s="243"/>
      <c r="ADG591" s="243"/>
      <c r="ADH591" s="243"/>
      <c r="ADI591" s="243"/>
      <c r="ADJ591" s="243"/>
      <c r="ADK591" s="243"/>
      <c r="ADL591" s="243"/>
      <c r="ADM591" s="243"/>
      <c r="ADN591" s="243"/>
      <c r="ADO591" s="243"/>
      <c r="ADP591" s="243"/>
      <c r="ADQ591" s="243"/>
      <c r="ADR591" s="243"/>
      <c r="ADS591" s="243"/>
      <c r="ADT591" s="243"/>
      <c r="ADU591" s="243"/>
      <c r="ADV591" s="243"/>
      <c r="ADW591" s="243"/>
      <c r="ADX591" s="243"/>
      <c r="ADY591" s="243"/>
      <c r="ADZ591" s="243"/>
      <c r="AEA591" s="243"/>
      <c r="AEB591" s="243"/>
      <c r="AEC591" s="243"/>
      <c r="AED591" s="243"/>
      <c r="AEE591" s="243"/>
      <c r="AEF591" s="243"/>
      <c r="AEG591" s="243"/>
      <c r="AEH591" s="243"/>
      <c r="AEI591" s="243"/>
      <c r="AEJ591" s="243"/>
      <c r="AEK591" s="243"/>
      <c r="AEL591" s="243"/>
      <c r="AEM591" s="243"/>
      <c r="AEN591" s="243"/>
      <c r="AEO591" s="243"/>
      <c r="AEP591" s="243"/>
      <c r="AEQ591" s="243"/>
      <c r="AER591" s="243"/>
      <c r="AES591" s="243"/>
      <c r="AET591" s="243"/>
      <c r="AEU591" s="243"/>
      <c r="AEV591" s="243"/>
      <c r="AEW591" s="243"/>
      <c r="AEX591" s="243"/>
      <c r="AEY591" s="243"/>
      <c r="AEZ591" s="243"/>
      <c r="AFA591" s="243"/>
      <c r="AFB591" s="243"/>
      <c r="AFC591" s="243"/>
      <c r="AFD591" s="243"/>
      <c r="AFE591" s="243"/>
      <c r="AFF591" s="243"/>
      <c r="AFG591" s="243"/>
      <c r="AFH591" s="243"/>
      <c r="AFI591" s="243"/>
      <c r="AFJ591" s="243"/>
      <c r="AFK591" s="243"/>
      <c r="AFL591" s="243"/>
      <c r="AFM591" s="243"/>
      <c r="AFN591" s="243"/>
      <c r="AFO591" s="243"/>
      <c r="AFP591" s="243"/>
      <c r="AFQ591" s="243"/>
      <c r="AFR591" s="243"/>
      <c r="AFS591" s="243"/>
      <c r="AFT591" s="243"/>
      <c r="AFU591" s="243"/>
      <c r="AFV591" s="243"/>
      <c r="AFW591" s="243"/>
      <c r="AFX591" s="243"/>
      <c r="AFY591" s="243"/>
      <c r="AFZ591" s="243"/>
      <c r="AGA591" s="243"/>
      <c r="AGB591" s="243"/>
      <c r="AGC591" s="243"/>
      <c r="AGD591" s="243"/>
      <c r="AGE591" s="243"/>
      <c r="AGF591" s="243"/>
      <c r="AGG591" s="243"/>
      <c r="AGH591" s="243"/>
      <c r="AGI591" s="243"/>
      <c r="AGJ591" s="243"/>
      <c r="AGK591" s="243"/>
      <c r="AGL591" s="243"/>
      <c r="AGM591" s="243"/>
      <c r="AGN591" s="243"/>
      <c r="AGO591" s="243"/>
      <c r="AGP591" s="243"/>
      <c r="AGQ591" s="243"/>
      <c r="AGR591" s="243"/>
      <c r="AGS591" s="243"/>
      <c r="AGT591" s="243"/>
      <c r="AGU591" s="243"/>
      <c r="AGV591" s="243"/>
      <c r="AGW591" s="243"/>
      <c r="AGX591" s="243"/>
      <c r="AGY591" s="243"/>
      <c r="AGZ591" s="243"/>
      <c r="AHA591" s="243"/>
      <c r="AHB591" s="243"/>
      <c r="AHC591" s="243"/>
      <c r="AHD591" s="243"/>
      <c r="AHE591" s="243"/>
      <c r="AHF591" s="243"/>
      <c r="AHG591" s="243"/>
      <c r="AHH591" s="243"/>
      <c r="AHI591" s="243"/>
      <c r="AHJ591" s="243"/>
      <c r="AHK591" s="243"/>
      <c r="AHL591" s="243"/>
      <c r="AHM591" s="243"/>
      <c r="AHN591" s="243"/>
      <c r="AHO591" s="243"/>
      <c r="AHP591" s="243"/>
      <c r="AHQ591" s="243"/>
      <c r="AHR591" s="243"/>
      <c r="AHS591" s="243"/>
      <c r="AHT591" s="243"/>
      <c r="AHU591" s="243"/>
      <c r="AHV591" s="243"/>
      <c r="AHW591" s="243"/>
      <c r="AHX591" s="243"/>
      <c r="AHY591" s="243"/>
      <c r="AHZ591" s="243"/>
      <c r="AIA591" s="243"/>
      <c r="AIB591" s="243"/>
      <c r="AIC591" s="243"/>
      <c r="AID591" s="243"/>
      <c r="AIE591" s="243"/>
      <c r="AIF591" s="243"/>
      <c r="AIG591" s="243"/>
      <c r="AIH591" s="243"/>
      <c r="AII591" s="243"/>
      <c r="AIJ591" s="243"/>
      <c r="AIK591" s="243"/>
      <c r="AIL591" s="243"/>
      <c r="AIM591" s="243"/>
      <c r="AIN591" s="243"/>
      <c r="AIO591" s="243"/>
      <c r="AIP591" s="243"/>
      <c r="AIQ591" s="243"/>
      <c r="AIR591" s="243"/>
      <c r="AIS591" s="243"/>
      <c r="AIT591" s="243"/>
      <c r="AIU591" s="243"/>
      <c r="AIV591" s="243"/>
      <c r="AIW591" s="243"/>
      <c r="AIX591" s="243"/>
      <c r="AIY591" s="243"/>
      <c r="AIZ591" s="243"/>
      <c r="AJA591" s="243"/>
      <c r="AJB591" s="243"/>
      <c r="AJC591" s="243"/>
      <c r="AJD591" s="243"/>
      <c r="AJE591" s="243"/>
      <c r="AJF591" s="243"/>
      <c r="AJG591" s="243"/>
      <c r="AJH591" s="243"/>
      <c r="AJI591" s="243"/>
      <c r="AJJ591" s="243"/>
      <c r="AJK591" s="243"/>
      <c r="AJL591" s="243"/>
      <c r="AJM591" s="243"/>
      <c r="AJN591" s="243"/>
      <c r="AJO591" s="243"/>
      <c r="AJP591" s="243"/>
      <c r="AJQ591" s="243"/>
      <c r="AJR591" s="243"/>
      <c r="AJS591" s="243"/>
      <c r="AJT591" s="243"/>
      <c r="AJU591" s="243"/>
      <c r="AJV591" s="243"/>
      <c r="AJW591" s="243"/>
      <c r="AJX591" s="243"/>
      <c r="AJY591" s="243"/>
      <c r="AJZ591" s="243"/>
      <c r="AKA591" s="243"/>
      <c r="AKB591" s="243"/>
      <c r="AKC591" s="243"/>
      <c r="AKD591" s="243"/>
      <c r="AKE591" s="243"/>
      <c r="AKF591" s="243"/>
      <c r="AKG591" s="243"/>
      <c r="AKH591" s="243"/>
      <c r="AKI591" s="243"/>
      <c r="AKJ591" s="243"/>
      <c r="AKK591" s="243"/>
      <c r="AKL591" s="243"/>
      <c r="AKM591" s="243"/>
      <c r="AKN591" s="243"/>
      <c r="AKO591" s="243"/>
      <c r="AKP591" s="243"/>
      <c r="AKQ591" s="243"/>
      <c r="AKR591" s="243"/>
      <c r="AKS591" s="243"/>
      <c r="AKT591" s="243"/>
      <c r="AKU591" s="243"/>
      <c r="AKV591" s="243"/>
      <c r="AKW591" s="243"/>
      <c r="AKX591" s="243"/>
      <c r="AKY591" s="243"/>
      <c r="AKZ591" s="243"/>
      <c r="ALA591" s="243"/>
      <c r="ALB591" s="243"/>
      <c r="ALC591" s="243"/>
      <c r="ALD591" s="243"/>
      <c r="ALE591" s="243"/>
      <c r="ALF591" s="243"/>
      <c r="ALG591" s="243"/>
      <c r="ALH591" s="243"/>
      <c r="ALI591" s="243"/>
      <c r="ALJ591" s="243"/>
      <c r="ALK591" s="243"/>
      <c r="ALL591" s="243"/>
      <c r="ALM591" s="243"/>
      <c r="ALN591" s="243"/>
      <c r="ALO591" s="243"/>
      <c r="ALP591" s="243"/>
      <c r="ALQ591" s="243"/>
      <c r="ALR591" s="243"/>
      <c r="ALS591" s="243"/>
      <c r="ALT591" s="243"/>
      <c r="ALU591" s="243"/>
      <c r="ALV591" s="243"/>
      <c r="ALW591" s="243"/>
      <c r="ALX591" s="243"/>
      <c r="ALY591" s="243"/>
      <c r="ALZ591" s="243"/>
      <c r="AMA591" s="243"/>
      <c r="AMB591" s="243"/>
      <c r="AMC591" s="243"/>
      <c r="AMD591" s="243"/>
      <c r="AME591" s="243"/>
      <c r="AMF591" s="243"/>
      <c r="AMG591" s="243"/>
      <c r="AMH591" s="243"/>
      <c r="AMI591" s="244"/>
      <c r="AMJ591" s="244"/>
    </row>
    <row r="592" spans="1:1024">
      <c r="A592" s="901"/>
      <c r="B592" s="44">
        <v>15647</v>
      </c>
      <c r="C592" s="874">
        <v>0.08</v>
      </c>
      <c r="D592" s="542" t="s">
        <v>348</v>
      </c>
      <c r="E592" s="321">
        <v>1900000</v>
      </c>
      <c r="F592" s="765">
        <v>0.04</v>
      </c>
      <c r="G592" s="321">
        <f t="shared" si="26"/>
        <v>76000</v>
      </c>
      <c r="H592" s="604" t="s">
        <v>47</v>
      </c>
      <c r="I592" s="604"/>
      <c r="J592" s="604" t="s">
        <v>352</v>
      </c>
      <c r="K592" s="712"/>
      <c r="L592" s="712"/>
      <c r="M592" s="713"/>
      <c r="N592" s="733"/>
      <c r="O592" s="775"/>
      <c r="P592" s="733"/>
      <c r="Q592" s="716"/>
      <c r="R592" s="243"/>
      <c r="S592" s="243"/>
      <c r="T592" s="243"/>
      <c r="U592" s="243"/>
      <c r="V592" s="243"/>
      <c r="W592" s="243"/>
      <c r="X592" s="243"/>
      <c r="Y592" s="243"/>
      <c r="Z592" s="243"/>
      <c r="AA592" s="243"/>
      <c r="AB592" s="243"/>
      <c r="AC592" s="243"/>
      <c r="AD592" s="243"/>
      <c r="AE592" s="243"/>
      <c r="AF592" s="243"/>
      <c r="AG592" s="243"/>
      <c r="AH592" s="243"/>
      <c r="AI592" s="243"/>
      <c r="AJ592" s="243"/>
      <c r="AK592" s="243"/>
      <c r="AL592" s="243"/>
      <c r="AM592" s="243"/>
      <c r="AN592" s="243"/>
      <c r="AO592" s="243"/>
      <c r="AP592" s="243"/>
      <c r="AQ592" s="243"/>
      <c r="AR592" s="243"/>
      <c r="AS592" s="243"/>
      <c r="AT592" s="243"/>
      <c r="AU592" s="243"/>
      <c r="AV592" s="243"/>
      <c r="AW592" s="243"/>
      <c r="AX592" s="243"/>
      <c r="AY592" s="243"/>
      <c r="AZ592" s="243"/>
      <c r="BA592" s="243"/>
      <c r="BB592" s="243"/>
      <c r="BC592" s="243"/>
      <c r="BD592" s="243"/>
      <c r="BE592" s="243"/>
      <c r="BF592" s="243"/>
      <c r="BG592" s="243"/>
      <c r="BH592" s="243"/>
      <c r="BI592" s="243"/>
      <c r="BJ592" s="243"/>
      <c r="BK592" s="243"/>
      <c r="BL592" s="243"/>
      <c r="BM592" s="243"/>
      <c r="BN592" s="243"/>
      <c r="BO592" s="243"/>
      <c r="BP592" s="243"/>
      <c r="BQ592" s="243"/>
      <c r="BR592" s="243"/>
      <c r="BS592" s="243"/>
      <c r="BT592" s="243"/>
      <c r="BU592" s="243"/>
      <c r="BV592" s="243"/>
      <c r="BW592" s="243"/>
      <c r="BX592" s="243"/>
      <c r="BY592" s="243"/>
      <c r="BZ592" s="243"/>
      <c r="CA592" s="243"/>
      <c r="CB592" s="243"/>
      <c r="CC592" s="243"/>
      <c r="CD592" s="243"/>
      <c r="CE592" s="243"/>
      <c r="CF592" s="243"/>
      <c r="CG592" s="243"/>
      <c r="CH592" s="243"/>
      <c r="CI592" s="243"/>
      <c r="CJ592" s="243"/>
      <c r="CK592" s="243"/>
      <c r="CL592" s="243"/>
      <c r="CM592" s="243"/>
      <c r="CN592" s="243"/>
      <c r="CO592" s="243"/>
      <c r="CP592" s="243"/>
      <c r="CQ592" s="243"/>
      <c r="CR592" s="243"/>
      <c r="CS592" s="243"/>
      <c r="CT592" s="243"/>
      <c r="CU592" s="243"/>
      <c r="CV592" s="243"/>
      <c r="CW592" s="243"/>
      <c r="CX592" s="243"/>
      <c r="CY592" s="243"/>
      <c r="CZ592" s="243"/>
      <c r="DA592" s="243"/>
      <c r="DB592" s="243"/>
      <c r="DC592" s="243"/>
      <c r="DD592" s="243"/>
      <c r="DE592" s="243"/>
      <c r="DF592" s="243"/>
      <c r="DG592" s="243"/>
      <c r="DH592" s="243"/>
      <c r="DI592" s="243"/>
      <c r="DJ592" s="243"/>
      <c r="DK592" s="243"/>
      <c r="DL592" s="243"/>
      <c r="DM592" s="243"/>
      <c r="DN592" s="243"/>
      <c r="DO592" s="243"/>
      <c r="DP592" s="243"/>
      <c r="DQ592" s="243"/>
      <c r="DR592" s="243"/>
      <c r="DS592" s="243"/>
      <c r="DT592" s="243"/>
      <c r="DU592" s="243"/>
      <c r="DV592" s="243"/>
      <c r="DW592" s="243"/>
      <c r="DX592" s="243"/>
      <c r="DY592" s="243"/>
      <c r="DZ592" s="243"/>
      <c r="EA592" s="243"/>
      <c r="EB592" s="243"/>
      <c r="EC592" s="243"/>
      <c r="ED592" s="243"/>
      <c r="EE592" s="243"/>
      <c r="EF592" s="243"/>
      <c r="EG592" s="243"/>
      <c r="EH592" s="243"/>
      <c r="EI592" s="243"/>
      <c r="EJ592" s="243"/>
      <c r="EK592" s="243"/>
      <c r="EL592" s="243"/>
      <c r="EM592" s="243"/>
      <c r="EN592" s="243"/>
      <c r="EO592" s="243"/>
      <c r="EP592" s="243"/>
      <c r="EQ592" s="243"/>
      <c r="ER592" s="243"/>
      <c r="ES592" s="243"/>
      <c r="ET592" s="243"/>
      <c r="EU592" s="243"/>
      <c r="EV592" s="243"/>
      <c r="EW592" s="243"/>
      <c r="EX592" s="243"/>
      <c r="EY592" s="243"/>
      <c r="EZ592" s="243"/>
      <c r="FA592" s="243"/>
      <c r="FB592" s="243"/>
      <c r="FC592" s="243"/>
      <c r="FD592" s="243"/>
      <c r="FE592" s="243"/>
      <c r="FF592" s="243"/>
      <c r="FG592" s="243"/>
      <c r="FH592" s="243"/>
      <c r="FI592" s="243"/>
      <c r="FJ592" s="243"/>
      <c r="FK592" s="243"/>
      <c r="FL592" s="243"/>
      <c r="FM592" s="243"/>
      <c r="FN592" s="243"/>
      <c r="FO592" s="243"/>
      <c r="FP592" s="243"/>
      <c r="FQ592" s="243"/>
      <c r="FR592" s="243"/>
      <c r="FS592" s="243"/>
      <c r="FT592" s="243"/>
      <c r="FU592" s="243"/>
      <c r="FV592" s="243"/>
      <c r="FW592" s="243"/>
      <c r="FX592" s="243"/>
      <c r="FY592" s="243"/>
      <c r="FZ592" s="243"/>
      <c r="GA592" s="243"/>
      <c r="GB592" s="243"/>
      <c r="GC592" s="243"/>
      <c r="GD592" s="243"/>
      <c r="GE592" s="243"/>
      <c r="GF592" s="243"/>
      <c r="GG592" s="243"/>
      <c r="GH592" s="243"/>
      <c r="GI592" s="243"/>
      <c r="GJ592" s="243"/>
      <c r="GK592" s="243"/>
      <c r="GL592" s="243"/>
      <c r="GM592" s="243"/>
      <c r="GN592" s="243"/>
      <c r="GO592" s="243"/>
      <c r="GP592" s="243"/>
      <c r="GQ592" s="243"/>
      <c r="GR592" s="243"/>
      <c r="GS592" s="243"/>
      <c r="GT592" s="243"/>
      <c r="GU592" s="243"/>
      <c r="GV592" s="243"/>
      <c r="GW592" s="243"/>
      <c r="GX592" s="243"/>
      <c r="GY592" s="243"/>
      <c r="GZ592" s="243"/>
      <c r="HA592" s="243"/>
      <c r="HB592" s="243"/>
      <c r="HC592" s="243"/>
      <c r="HD592" s="243"/>
      <c r="HE592" s="243"/>
      <c r="HF592" s="243"/>
      <c r="HG592" s="243"/>
      <c r="HH592" s="243"/>
      <c r="HI592" s="243"/>
      <c r="HJ592" s="243"/>
      <c r="HK592" s="243"/>
      <c r="HL592" s="243"/>
      <c r="HM592" s="243"/>
      <c r="HN592" s="243"/>
      <c r="HO592" s="243"/>
      <c r="HP592" s="243"/>
      <c r="HQ592" s="243"/>
      <c r="HR592" s="243"/>
      <c r="HS592" s="243"/>
      <c r="HT592" s="243"/>
      <c r="HU592" s="243"/>
      <c r="HV592" s="243"/>
      <c r="HW592" s="243"/>
      <c r="HX592" s="243"/>
      <c r="HY592" s="243"/>
      <c r="HZ592" s="243"/>
      <c r="IA592" s="243"/>
      <c r="IB592" s="243"/>
      <c r="IC592" s="243"/>
      <c r="ID592" s="243"/>
      <c r="IE592" s="243"/>
      <c r="IF592" s="243"/>
      <c r="IG592" s="243"/>
      <c r="IH592" s="243"/>
      <c r="II592" s="243"/>
      <c r="IJ592" s="243"/>
      <c r="IK592" s="243"/>
      <c r="IL592" s="243"/>
      <c r="IM592" s="243"/>
      <c r="IN592" s="243"/>
      <c r="IO592" s="243"/>
      <c r="IP592" s="243"/>
      <c r="IQ592" s="243"/>
      <c r="IR592" s="243"/>
      <c r="IS592" s="243"/>
      <c r="IT592" s="243"/>
      <c r="IU592" s="243"/>
      <c r="IV592" s="243"/>
      <c r="IW592" s="243"/>
      <c r="IX592" s="243"/>
      <c r="IY592" s="243"/>
      <c r="IZ592" s="243"/>
      <c r="JA592" s="243"/>
      <c r="JB592" s="243"/>
      <c r="JC592" s="243"/>
      <c r="JD592" s="243"/>
      <c r="JE592" s="243"/>
      <c r="JF592" s="243"/>
      <c r="JG592" s="243"/>
      <c r="JH592" s="243"/>
      <c r="JI592" s="243"/>
      <c r="JJ592" s="243"/>
      <c r="JK592" s="243"/>
      <c r="JL592" s="243"/>
      <c r="JM592" s="243"/>
      <c r="JN592" s="243"/>
      <c r="JO592" s="243"/>
      <c r="JP592" s="243"/>
      <c r="JQ592" s="243"/>
      <c r="JR592" s="243"/>
      <c r="JS592" s="243"/>
      <c r="JT592" s="243"/>
      <c r="JU592" s="243"/>
      <c r="JV592" s="243"/>
      <c r="JW592" s="243"/>
      <c r="JX592" s="243"/>
      <c r="JY592" s="243"/>
      <c r="JZ592" s="243"/>
      <c r="KA592" s="243"/>
      <c r="KB592" s="243"/>
      <c r="KC592" s="243"/>
      <c r="KD592" s="243"/>
      <c r="KE592" s="243"/>
      <c r="KF592" s="243"/>
      <c r="KG592" s="243"/>
      <c r="KH592" s="243"/>
      <c r="KI592" s="243"/>
      <c r="KJ592" s="243"/>
      <c r="KK592" s="243"/>
      <c r="KL592" s="243"/>
      <c r="KM592" s="243"/>
      <c r="KN592" s="243"/>
      <c r="KO592" s="243"/>
      <c r="KP592" s="243"/>
      <c r="KQ592" s="243"/>
      <c r="KR592" s="243"/>
      <c r="KS592" s="243"/>
      <c r="KT592" s="243"/>
      <c r="KU592" s="243"/>
      <c r="KV592" s="243"/>
      <c r="KW592" s="243"/>
      <c r="KX592" s="243"/>
      <c r="KY592" s="243"/>
      <c r="KZ592" s="243"/>
      <c r="LA592" s="243"/>
      <c r="LB592" s="243"/>
      <c r="LC592" s="243"/>
      <c r="LD592" s="243"/>
      <c r="LE592" s="243"/>
      <c r="LF592" s="243"/>
      <c r="LG592" s="243"/>
      <c r="LH592" s="243"/>
      <c r="LI592" s="243"/>
      <c r="LJ592" s="243"/>
      <c r="LK592" s="243"/>
      <c r="LL592" s="243"/>
      <c r="LM592" s="243"/>
      <c r="LN592" s="243"/>
      <c r="LO592" s="243"/>
      <c r="LP592" s="243"/>
      <c r="LQ592" s="243"/>
      <c r="LR592" s="243"/>
      <c r="LS592" s="243"/>
      <c r="LT592" s="243"/>
      <c r="LU592" s="243"/>
      <c r="LV592" s="243"/>
      <c r="LW592" s="243"/>
      <c r="LX592" s="243"/>
      <c r="LY592" s="243"/>
      <c r="LZ592" s="243"/>
      <c r="MA592" s="243"/>
      <c r="MB592" s="243"/>
      <c r="MC592" s="243"/>
      <c r="MD592" s="243"/>
      <c r="ME592" s="243"/>
      <c r="MF592" s="243"/>
      <c r="MG592" s="243"/>
      <c r="MH592" s="243"/>
      <c r="MI592" s="243"/>
      <c r="MJ592" s="243"/>
      <c r="MK592" s="243"/>
      <c r="ML592" s="243"/>
      <c r="MM592" s="243"/>
      <c r="MN592" s="243"/>
      <c r="MO592" s="243"/>
      <c r="MP592" s="243"/>
      <c r="MQ592" s="243"/>
      <c r="MR592" s="243"/>
      <c r="MS592" s="243"/>
      <c r="MT592" s="243"/>
      <c r="MU592" s="243"/>
      <c r="MV592" s="243"/>
      <c r="MW592" s="243"/>
      <c r="MX592" s="243"/>
      <c r="MY592" s="243"/>
      <c r="MZ592" s="243"/>
      <c r="NA592" s="243"/>
      <c r="NB592" s="243"/>
      <c r="NC592" s="243"/>
      <c r="ND592" s="243"/>
      <c r="NE592" s="243"/>
      <c r="NF592" s="243"/>
      <c r="NG592" s="243"/>
      <c r="NH592" s="243"/>
      <c r="NI592" s="243"/>
      <c r="NJ592" s="243"/>
      <c r="NK592" s="243"/>
      <c r="NL592" s="243"/>
      <c r="NM592" s="243"/>
      <c r="NN592" s="243"/>
      <c r="NO592" s="243"/>
      <c r="NP592" s="243"/>
      <c r="NQ592" s="243"/>
      <c r="NR592" s="243"/>
      <c r="NS592" s="243"/>
      <c r="NT592" s="243"/>
      <c r="NU592" s="243"/>
      <c r="NV592" s="243"/>
      <c r="NW592" s="243"/>
      <c r="NX592" s="243"/>
      <c r="NY592" s="243"/>
      <c r="NZ592" s="243"/>
      <c r="OA592" s="243"/>
      <c r="OB592" s="243"/>
      <c r="OC592" s="243"/>
      <c r="OD592" s="243"/>
      <c r="OE592" s="243"/>
      <c r="OF592" s="243"/>
      <c r="OG592" s="243"/>
      <c r="OH592" s="243"/>
      <c r="OI592" s="243"/>
      <c r="OJ592" s="243"/>
      <c r="OK592" s="243"/>
      <c r="OL592" s="243"/>
      <c r="OM592" s="243"/>
      <c r="ON592" s="243"/>
      <c r="OO592" s="243"/>
      <c r="OP592" s="243"/>
      <c r="OQ592" s="243"/>
      <c r="OR592" s="243"/>
      <c r="OS592" s="243"/>
      <c r="OT592" s="243"/>
      <c r="OU592" s="243"/>
      <c r="OV592" s="243"/>
      <c r="OW592" s="243"/>
      <c r="OX592" s="243"/>
      <c r="OY592" s="243"/>
      <c r="OZ592" s="243"/>
      <c r="PA592" s="243"/>
      <c r="PB592" s="243"/>
      <c r="PC592" s="243"/>
      <c r="PD592" s="243"/>
      <c r="PE592" s="243"/>
      <c r="PF592" s="243"/>
      <c r="PG592" s="243"/>
      <c r="PH592" s="243"/>
      <c r="PI592" s="243"/>
      <c r="PJ592" s="243"/>
      <c r="PK592" s="243"/>
      <c r="PL592" s="243"/>
      <c r="PM592" s="243"/>
      <c r="PN592" s="243"/>
      <c r="PO592" s="243"/>
      <c r="PP592" s="243"/>
      <c r="PQ592" s="243"/>
      <c r="PR592" s="243"/>
      <c r="PS592" s="243"/>
      <c r="PT592" s="243"/>
      <c r="PU592" s="243"/>
      <c r="PV592" s="243"/>
      <c r="PW592" s="243"/>
      <c r="PX592" s="243"/>
      <c r="PY592" s="243"/>
      <c r="PZ592" s="243"/>
      <c r="QA592" s="243"/>
      <c r="QB592" s="243"/>
      <c r="QC592" s="243"/>
      <c r="QD592" s="243"/>
      <c r="QE592" s="243"/>
      <c r="QF592" s="243"/>
      <c r="QG592" s="243"/>
      <c r="QH592" s="243"/>
      <c r="QI592" s="243"/>
      <c r="QJ592" s="243"/>
      <c r="QK592" s="243"/>
      <c r="QL592" s="243"/>
      <c r="QM592" s="243"/>
      <c r="QN592" s="243"/>
      <c r="QO592" s="243"/>
      <c r="QP592" s="243"/>
      <c r="QQ592" s="243"/>
      <c r="QR592" s="243"/>
      <c r="QS592" s="243"/>
      <c r="QT592" s="243"/>
      <c r="QU592" s="243"/>
      <c r="QV592" s="243"/>
      <c r="QW592" s="243"/>
      <c r="QX592" s="243"/>
      <c r="QY592" s="243"/>
      <c r="QZ592" s="243"/>
      <c r="RA592" s="243"/>
      <c r="RB592" s="243"/>
      <c r="RC592" s="243"/>
      <c r="RD592" s="243"/>
      <c r="RE592" s="243"/>
      <c r="RF592" s="243"/>
      <c r="RG592" s="243"/>
      <c r="RH592" s="243"/>
      <c r="RI592" s="243"/>
      <c r="RJ592" s="243"/>
      <c r="RK592" s="243"/>
      <c r="RL592" s="243"/>
      <c r="RM592" s="243"/>
      <c r="RN592" s="243"/>
      <c r="RO592" s="243"/>
      <c r="RP592" s="243"/>
      <c r="RQ592" s="243"/>
      <c r="RR592" s="243"/>
      <c r="RS592" s="243"/>
      <c r="RT592" s="243"/>
      <c r="RU592" s="243"/>
      <c r="RV592" s="243"/>
      <c r="RW592" s="243"/>
      <c r="RX592" s="243"/>
      <c r="RY592" s="243"/>
      <c r="RZ592" s="243"/>
      <c r="SA592" s="243"/>
      <c r="SB592" s="243"/>
      <c r="SC592" s="243"/>
      <c r="SD592" s="243"/>
      <c r="SE592" s="243"/>
      <c r="SF592" s="243"/>
      <c r="SG592" s="243"/>
      <c r="SH592" s="243"/>
      <c r="SI592" s="243"/>
      <c r="SJ592" s="243"/>
      <c r="SK592" s="243"/>
      <c r="SL592" s="243"/>
      <c r="SM592" s="243"/>
      <c r="SN592" s="243"/>
      <c r="SO592" s="243"/>
      <c r="SP592" s="243"/>
      <c r="SQ592" s="243"/>
      <c r="SR592" s="243"/>
      <c r="SS592" s="243"/>
      <c r="ST592" s="243"/>
      <c r="SU592" s="243"/>
      <c r="SV592" s="243"/>
      <c r="SW592" s="243"/>
      <c r="SX592" s="243"/>
      <c r="SY592" s="243"/>
      <c r="SZ592" s="243"/>
      <c r="TA592" s="243"/>
      <c r="TB592" s="243"/>
      <c r="TC592" s="243"/>
      <c r="TD592" s="243"/>
      <c r="TE592" s="243"/>
      <c r="TF592" s="243"/>
      <c r="TG592" s="243"/>
      <c r="TH592" s="243"/>
      <c r="TI592" s="243"/>
      <c r="TJ592" s="243"/>
      <c r="TK592" s="243"/>
      <c r="TL592" s="243"/>
      <c r="TM592" s="243"/>
      <c r="TN592" s="243"/>
      <c r="TO592" s="243"/>
      <c r="TP592" s="243"/>
      <c r="TQ592" s="243"/>
      <c r="TR592" s="243"/>
      <c r="TS592" s="243"/>
      <c r="TT592" s="243"/>
      <c r="TU592" s="243"/>
      <c r="TV592" s="243"/>
      <c r="TW592" s="243"/>
      <c r="TX592" s="243"/>
      <c r="TY592" s="243"/>
      <c r="TZ592" s="243"/>
      <c r="UA592" s="243"/>
      <c r="UB592" s="243"/>
      <c r="UC592" s="243"/>
      <c r="UD592" s="243"/>
      <c r="UE592" s="243"/>
      <c r="UF592" s="243"/>
      <c r="UG592" s="243"/>
      <c r="UH592" s="243"/>
      <c r="UI592" s="243"/>
      <c r="UJ592" s="243"/>
      <c r="UK592" s="243"/>
      <c r="UL592" s="243"/>
      <c r="UM592" s="243"/>
      <c r="UN592" s="243"/>
      <c r="UO592" s="243"/>
      <c r="UP592" s="243"/>
      <c r="UQ592" s="243"/>
      <c r="UR592" s="243"/>
      <c r="US592" s="243"/>
      <c r="UT592" s="243"/>
      <c r="UU592" s="243"/>
      <c r="UV592" s="243"/>
      <c r="UW592" s="243"/>
      <c r="UX592" s="243"/>
      <c r="UY592" s="243"/>
      <c r="UZ592" s="243"/>
      <c r="VA592" s="243"/>
      <c r="VB592" s="243"/>
      <c r="VC592" s="243"/>
      <c r="VD592" s="243"/>
      <c r="VE592" s="243"/>
      <c r="VF592" s="243"/>
      <c r="VG592" s="243"/>
      <c r="VH592" s="243"/>
      <c r="VI592" s="243"/>
      <c r="VJ592" s="243"/>
      <c r="VK592" s="243"/>
      <c r="VL592" s="243"/>
      <c r="VM592" s="243"/>
      <c r="VN592" s="243"/>
      <c r="VO592" s="243"/>
      <c r="VP592" s="243"/>
      <c r="VQ592" s="243"/>
      <c r="VR592" s="243"/>
      <c r="VS592" s="243"/>
      <c r="VT592" s="243"/>
      <c r="VU592" s="243"/>
      <c r="VV592" s="243"/>
      <c r="VW592" s="243"/>
      <c r="VX592" s="243"/>
      <c r="VY592" s="243"/>
      <c r="VZ592" s="243"/>
      <c r="WA592" s="243"/>
      <c r="WB592" s="243"/>
      <c r="WC592" s="243"/>
      <c r="WD592" s="243"/>
      <c r="WE592" s="243"/>
      <c r="WF592" s="243"/>
      <c r="WG592" s="243"/>
      <c r="WH592" s="243"/>
      <c r="WI592" s="243"/>
      <c r="WJ592" s="243"/>
      <c r="WK592" s="243"/>
      <c r="WL592" s="243"/>
      <c r="WM592" s="243"/>
      <c r="WN592" s="243"/>
      <c r="WO592" s="243"/>
      <c r="WP592" s="243"/>
      <c r="WQ592" s="243"/>
      <c r="WR592" s="243"/>
      <c r="WS592" s="243"/>
      <c r="WT592" s="243"/>
      <c r="WU592" s="243"/>
      <c r="WV592" s="243"/>
      <c r="WW592" s="243"/>
      <c r="WX592" s="243"/>
      <c r="WY592" s="243"/>
      <c r="WZ592" s="243"/>
      <c r="XA592" s="243"/>
      <c r="XB592" s="243"/>
      <c r="XC592" s="243"/>
      <c r="XD592" s="243"/>
      <c r="XE592" s="243"/>
      <c r="XF592" s="243"/>
      <c r="XG592" s="243"/>
      <c r="XH592" s="243"/>
      <c r="XI592" s="243"/>
      <c r="XJ592" s="243"/>
      <c r="XK592" s="243"/>
      <c r="XL592" s="243"/>
      <c r="XM592" s="243"/>
      <c r="XN592" s="243"/>
      <c r="XO592" s="243"/>
      <c r="XP592" s="243"/>
      <c r="XQ592" s="243"/>
      <c r="XR592" s="243"/>
      <c r="XS592" s="243"/>
      <c r="XT592" s="243"/>
      <c r="XU592" s="243"/>
      <c r="XV592" s="243"/>
      <c r="XW592" s="243"/>
      <c r="XX592" s="243"/>
      <c r="XY592" s="243"/>
      <c r="XZ592" s="243"/>
      <c r="YA592" s="243"/>
      <c r="YB592" s="243"/>
      <c r="YC592" s="243"/>
      <c r="YD592" s="243"/>
      <c r="YE592" s="243"/>
      <c r="YF592" s="243"/>
      <c r="YG592" s="243"/>
      <c r="YH592" s="243"/>
      <c r="YI592" s="243"/>
      <c r="YJ592" s="243"/>
      <c r="YK592" s="243"/>
      <c r="YL592" s="243"/>
      <c r="YM592" s="243"/>
      <c r="YN592" s="243"/>
      <c r="YO592" s="243"/>
      <c r="YP592" s="243"/>
      <c r="YQ592" s="243"/>
      <c r="YR592" s="243"/>
      <c r="YS592" s="243"/>
      <c r="YT592" s="243"/>
      <c r="YU592" s="243"/>
      <c r="YV592" s="243"/>
      <c r="YW592" s="243"/>
      <c r="YX592" s="243"/>
      <c r="YY592" s="243"/>
      <c r="YZ592" s="243"/>
      <c r="ZA592" s="243"/>
      <c r="ZB592" s="243"/>
      <c r="ZC592" s="243"/>
      <c r="ZD592" s="243"/>
      <c r="ZE592" s="243"/>
      <c r="ZF592" s="243"/>
      <c r="ZG592" s="243"/>
      <c r="ZH592" s="243"/>
      <c r="ZI592" s="243"/>
      <c r="ZJ592" s="243"/>
      <c r="ZK592" s="243"/>
      <c r="ZL592" s="243"/>
      <c r="ZM592" s="243"/>
      <c r="ZN592" s="243"/>
      <c r="ZO592" s="243"/>
      <c r="ZP592" s="243"/>
      <c r="ZQ592" s="243"/>
      <c r="ZR592" s="243"/>
      <c r="ZS592" s="243"/>
      <c r="ZT592" s="243"/>
      <c r="ZU592" s="243"/>
      <c r="ZV592" s="243"/>
      <c r="ZW592" s="243"/>
      <c r="ZX592" s="243"/>
      <c r="ZY592" s="243"/>
      <c r="ZZ592" s="243"/>
      <c r="AAA592" s="243"/>
      <c r="AAB592" s="243"/>
      <c r="AAC592" s="243"/>
      <c r="AAD592" s="243"/>
      <c r="AAE592" s="243"/>
      <c r="AAF592" s="243"/>
      <c r="AAG592" s="243"/>
      <c r="AAH592" s="243"/>
      <c r="AAI592" s="243"/>
      <c r="AAJ592" s="243"/>
      <c r="AAK592" s="243"/>
      <c r="AAL592" s="243"/>
      <c r="AAM592" s="243"/>
      <c r="AAN592" s="243"/>
      <c r="AAO592" s="243"/>
      <c r="AAP592" s="243"/>
      <c r="AAQ592" s="243"/>
      <c r="AAR592" s="243"/>
      <c r="AAS592" s="243"/>
      <c r="AAT592" s="243"/>
      <c r="AAU592" s="243"/>
      <c r="AAV592" s="243"/>
      <c r="AAW592" s="243"/>
      <c r="AAX592" s="243"/>
      <c r="AAY592" s="243"/>
      <c r="AAZ592" s="243"/>
      <c r="ABA592" s="243"/>
      <c r="ABB592" s="243"/>
      <c r="ABC592" s="243"/>
      <c r="ABD592" s="243"/>
      <c r="ABE592" s="243"/>
      <c r="ABF592" s="243"/>
      <c r="ABG592" s="243"/>
      <c r="ABH592" s="243"/>
      <c r="ABI592" s="243"/>
      <c r="ABJ592" s="243"/>
      <c r="ABK592" s="243"/>
      <c r="ABL592" s="243"/>
      <c r="ABM592" s="243"/>
      <c r="ABN592" s="243"/>
      <c r="ABO592" s="243"/>
      <c r="ABP592" s="243"/>
      <c r="ABQ592" s="243"/>
      <c r="ABR592" s="243"/>
      <c r="ABS592" s="243"/>
      <c r="ABT592" s="243"/>
      <c r="ABU592" s="243"/>
      <c r="ABV592" s="243"/>
      <c r="ABW592" s="243"/>
      <c r="ABX592" s="243"/>
      <c r="ABY592" s="243"/>
      <c r="ABZ592" s="243"/>
      <c r="ACA592" s="243"/>
      <c r="ACB592" s="243"/>
      <c r="ACC592" s="243"/>
      <c r="ACD592" s="243"/>
      <c r="ACE592" s="243"/>
      <c r="ACF592" s="243"/>
      <c r="ACG592" s="243"/>
      <c r="ACH592" s="243"/>
      <c r="ACI592" s="243"/>
      <c r="ACJ592" s="243"/>
      <c r="ACK592" s="243"/>
      <c r="ACL592" s="243"/>
      <c r="ACM592" s="243"/>
      <c r="ACN592" s="243"/>
      <c r="ACO592" s="243"/>
      <c r="ACP592" s="243"/>
      <c r="ACQ592" s="243"/>
      <c r="ACR592" s="243"/>
      <c r="ACS592" s="243"/>
      <c r="ACT592" s="243"/>
      <c r="ACU592" s="243"/>
      <c r="ACV592" s="243"/>
      <c r="ACW592" s="243"/>
      <c r="ACX592" s="243"/>
      <c r="ACY592" s="243"/>
      <c r="ACZ592" s="243"/>
      <c r="ADA592" s="243"/>
      <c r="ADB592" s="243"/>
      <c r="ADC592" s="243"/>
      <c r="ADD592" s="243"/>
      <c r="ADE592" s="243"/>
      <c r="ADF592" s="243"/>
      <c r="ADG592" s="243"/>
      <c r="ADH592" s="243"/>
      <c r="ADI592" s="243"/>
      <c r="ADJ592" s="243"/>
      <c r="ADK592" s="243"/>
      <c r="ADL592" s="243"/>
      <c r="ADM592" s="243"/>
      <c r="ADN592" s="243"/>
      <c r="ADO592" s="243"/>
      <c r="ADP592" s="243"/>
      <c r="ADQ592" s="243"/>
      <c r="ADR592" s="243"/>
      <c r="ADS592" s="243"/>
      <c r="ADT592" s="243"/>
      <c r="ADU592" s="243"/>
      <c r="ADV592" s="243"/>
      <c r="ADW592" s="243"/>
      <c r="ADX592" s="243"/>
      <c r="ADY592" s="243"/>
      <c r="ADZ592" s="243"/>
      <c r="AEA592" s="243"/>
      <c r="AEB592" s="243"/>
      <c r="AEC592" s="243"/>
      <c r="AED592" s="243"/>
      <c r="AEE592" s="243"/>
      <c r="AEF592" s="243"/>
      <c r="AEG592" s="243"/>
      <c r="AEH592" s="243"/>
      <c r="AEI592" s="243"/>
      <c r="AEJ592" s="243"/>
      <c r="AEK592" s="243"/>
      <c r="AEL592" s="243"/>
      <c r="AEM592" s="243"/>
      <c r="AEN592" s="243"/>
      <c r="AEO592" s="243"/>
      <c r="AEP592" s="243"/>
      <c r="AEQ592" s="243"/>
      <c r="AER592" s="243"/>
      <c r="AES592" s="243"/>
      <c r="AET592" s="243"/>
      <c r="AEU592" s="243"/>
      <c r="AEV592" s="243"/>
      <c r="AEW592" s="243"/>
      <c r="AEX592" s="243"/>
      <c r="AEY592" s="243"/>
      <c r="AEZ592" s="243"/>
      <c r="AFA592" s="243"/>
      <c r="AFB592" s="243"/>
      <c r="AFC592" s="243"/>
      <c r="AFD592" s="243"/>
      <c r="AFE592" s="243"/>
      <c r="AFF592" s="243"/>
      <c r="AFG592" s="243"/>
      <c r="AFH592" s="243"/>
      <c r="AFI592" s="243"/>
      <c r="AFJ592" s="243"/>
      <c r="AFK592" s="243"/>
      <c r="AFL592" s="243"/>
      <c r="AFM592" s="243"/>
      <c r="AFN592" s="243"/>
      <c r="AFO592" s="243"/>
      <c r="AFP592" s="243"/>
      <c r="AFQ592" s="243"/>
      <c r="AFR592" s="243"/>
      <c r="AFS592" s="243"/>
      <c r="AFT592" s="243"/>
      <c r="AFU592" s="243"/>
      <c r="AFV592" s="243"/>
      <c r="AFW592" s="243"/>
      <c r="AFX592" s="243"/>
      <c r="AFY592" s="243"/>
      <c r="AFZ592" s="243"/>
      <c r="AGA592" s="243"/>
      <c r="AGB592" s="243"/>
      <c r="AGC592" s="243"/>
      <c r="AGD592" s="243"/>
      <c r="AGE592" s="243"/>
      <c r="AGF592" s="243"/>
      <c r="AGG592" s="243"/>
      <c r="AGH592" s="243"/>
      <c r="AGI592" s="243"/>
      <c r="AGJ592" s="243"/>
      <c r="AGK592" s="243"/>
      <c r="AGL592" s="243"/>
      <c r="AGM592" s="243"/>
      <c r="AGN592" s="243"/>
      <c r="AGO592" s="243"/>
      <c r="AGP592" s="243"/>
      <c r="AGQ592" s="243"/>
      <c r="AGR592" s="243"/>
      <c r="AGS592" s="243"/>
      <c r="AGT592" s="243"/>
      <c r="AGU592" s="243"/>
      <c r="AGV592" s="243"/>
      <c r="AGW592" s="243"/>
      <c r="AGX592" s="243"/>
      <c r="AGY592" s="243"/>
      <c r="AGZ592" s="243"/>
      <c r="AHA592" s="243"/>
      <c r="AHB592" s="243"/>
      <c r="AHC592" s="243"/>
      <c r="AHD592" s="243"/>
      <c r="AHE592" s="243"/>
      <c r="AHF592" s="243"/>
      <c r="AHG592" s="243"/>
      <c r="AHH592" s="243"/>
      <c r="AHI592" s="243"/>
      <c r="AHJ592" s="243"/>
      <c r="AHK592" s="243"/>
      <c r="AHL592" s="243"/>
      <c r="AHM592" s="243"/>
      <c r="AHN592" s="243"/>
      <c r="AHO592" s="243"/>
      <c r="AHP592" s="243"/>
      <c r="AHQ592" s="243"/>
      <c r="AHR592" s="243"/>
      <c r="AHS592" s="243"/>
      <c r="AHT592" s="243"/>
      <c r="AHU592" s="243"/>
      <c r="AHV592" s="243"/>
      <c r="AHW592" s="243"/>
      <c r="AHX592" s="243"/>
      <c r="AHY592" s="243"/>
      <c r="AHZ592" s="243"/>
      <c r="AIA592" s="243"/>
      <c r="AIB592" s="243"/>
      <c r="AIC592" s="243"/>
      <c r="AID592" s="243"/>
      <c r="AIE592" s="243"/>
      <c r="AIF592" s="243"/>
      <c r="AIG592" s="243"/>
      <c r="AIH592" s="243"/>
      <c r="AII592" s="243"/>
      <c r="AIJ592" s="243"/>
      <c r="AIK592" s="243"/>
      <c r="AIL592" s="243"/>
      <c r="AIM592" s="243"/>
      <c r="AIN592" s="243"/>
      <c r="AIO592" s="243"/>
      <c r="AIP592" s="243"/>
      <c r="AIQ592" s="243"/>
      <c r="AIR592" s="243"/>
      <c r="AIS592" s="243"/>
      <c r="AIT592" s="243"/>
      <c r="AIU592" s="243"/>
      <c r="AIV592" s="243"/>
      <c r="AIW592" s="243"/>
      <c r="AIX592" s="243"/>
      <c r="AIY592" s="243"/>
      <c r="AIZ592" s="243"/>
      <c r="AJA592" s="243"/>
      <c r="AJB592" s="243"/>
      <c r="AJC592" s="243"/>
      <c r="AJD592" s="243"/>
      <c r="AJE592" s="243"/>
      <c r="AJF592" s="243"/>
      <c r="AJG592" s="243"/>
      <c r="AJH592" s="243"/>
      <c r="AJI592" s="243"/>
      <c r="AJJ592" s="243"/>
      <c r="AJK592" s="243"/>
      <c r="AJL592" s="243"/>
      <c r="AJM592" s="243"/>
      <c r="AJN592" s="243"/>
      <c r="AJO592" s="243"/>
      <c r="AJP592" s="243"/>
      <c r="AJQ592" s="243"/>
      <c r="AJR592" s="243"/>
      <c r="AJS592" s="243"/>
      <c r="AJT592" s="243"/>
      <c r="AJU592" s="243"/>
      <c r="AJV592" s="243"/>
      <c r="AJW592" s="243"/>
      <c r="AJX592" s="243"/>
      <c r="AJY592" s="243"/>
      <c r="AJZ592" s="243"/>
      <c r="AKA592" s="243"/>
      <c r="AKB592" s="243"/>
      <c r="AKC592" s="243"/>
      <c r="AKD592" s="243"/>
      <c r="AKE592" s="243"/>
      <c r="AKF592" s="243"/>
      <c r="AKG592" s="243"/>
      <c r="AKH592" s="243"/>
      <c r="AKI592" s="243"/>
      <c r="AKJ592" s="243"/>
      <c r="AKK592" s="243"/>
      <c r="AKL592" s="243"/>
      <c r="AKM592" s="243"/>
      <c r="AKN592" s="243"/>
      <c r="AKO592" s="243"/>
      <c r="AKP592" s="243"/>
      <c r="AKQ592" s="243"/>
      <c r="AKR592" s="243"/>
      <c r="AKS592" s="243"/>
      <c r="AKT592" s="243"/>
      <c r="AKU592" s="243"/>
      <c r="AKV592" s="243"/>
      <c r="AKW592" s="243"/>
      <c r="AKX592" s="243"/>
      <c r="AKY592" s="243"/>
      <c r="AKZ592" s="243"/>
      <c r="ALA592" s="243"/>
      <c r="ALB592" s="243"/>
      <c r="ALC592" s="243"/>
      <c r="ALD592" s="243"/>
      <c r="ALE592" s="243"/>
      <c r="ALF592" s="243"/>
      <c r="ALG592" s="243"/>
      <c r="ALH592" s="243"/>
      <c r="ALI592" s="243"/>
      <c r="ALJ592" s="243"/>
      <c r="ALK592" s="243"/>
      <c r="ALL592" s="243"/>
      <c r="ALM592" s="243"/>
      <c r="ALN592" s="243"/>
      <c r="ALO592" s="243"/>
      <c r="ALP592" s="243"/>
      <c r="ALQ592" s="243"/>
      <c r="ALR592" s="243"/>
      <c r="ALS592" s="243"/>
      <c r="ALT592" s="243"/>
      <c r="ALU592" s="243"/>
      <c r="ALV592" s="243"/>
      <c r="ALW592" s="243"/>
      <c r="ALX592" s="243"/>
      <c r="ALY592" s="243"/>
      <c r="ALZ592" s="243"/>
      <c r="AMA592" s="243"/>
      <c r="AMB592" s="243"/>
      <c r="AMC592" s="243"/>
      <c r="AMD592" s="243"/>
      <c r="AME592" s="243"/>
      <c r="AMF592" s="243"/>
      <c r="AMG592" s="243"/>
      <c r="AMH592" s="243"/>
      <c r="AMI592" s="244"/>
      <c r="AMJ592" s="244"/>
    </row>
    <row r="593" spans="1:1024">
      <c r="A593" s="901"/>
      <c r="B593" s="595"/>
      <c r="C593" s="596"/>
      <c r="D593" s="625"/>
      <c r="E593" s="607"/>
      <c r="F593" s="770"/>
      <c r="G593" s="321"/>
      <c r="H593" s="776"/>
      <c r="I593" s="318"/>
      <c r="J593" s="604"/>
      <c r="K593" s="625"/>
      <c r="L593" s="625"/>
      <c r="M593" s="625"/>
      <c r="N593" s="607"/>
      <c r="O593" s="717"/>
      <c r="P593" s="607"/>
      <c r="Q593" s="624"/>
    </row>
    <row r="594" spans="1:1024">
      <c r="A594" s="901"/>
      <c r="B594" s="595"/>
      <c r="C594" s="593"/>
      <c r="D594" s="318"/>
      <c r="E594" s="321"/>
      <c r="F594" s="586"/>
      <c r="G594" s="321"/>
      <c r="H594" s="615"/>
      <c r="I594" s="318"/>
      <c r="J594" s="604"/>
      <c r="K594" s="625"/>
      <c r="L594" s="625"/>
      <c r="M594" s="625"/>
      <c r="N594" s="607"/>
      <c r="O594" s="717"/>
      <c r="P594" s="607"/>
      <c r="Q594" s="624"/>
    </row>
    <row r="595" spans="1:1024">
      <c r="A595" s="901"/>
      <c r="B595" s="120"/>
      <c r="C595" s="594"/>
      <c r="D595" s="318"/>
      <c r="E595" s="321"/>
      <c r="F595" s="318"/>
      <c r="G595" s="318"/>
      <c r="H595" s="604"/>
      <c r="I595" s="604"/>
      <c r="J595" s="604"/>
      <c r="K595" s="712"/>
      <c r="L595" s="712"/>
      <c r="M595" s="318" t="s">
        <v>26</v>
      </c>
      <c r="N595" s="563">
        <f>SUM(N588:N593)</f>
        <v>3700000</v>
      </c>
      <c r="O595" s="589" t="s">
        <v>26</v>
      </c>
      <c r="P595" s="563">
        <f>SUM(P588:P593)</f>
        <v>185000</v>
      </c>
      <c r="Q595" s="716"/>
      <c r="R595" s="243"/>
      <c r="S595" s="243"/>
      <c r="T595" s="243"/>
      <c r="U595" s="243"/>
      <c r="V595" s="243"/>
      <c r="W595" s="243"/>
      <c r="X595" s="243"/>
      <c r="Y595" s="243"/>
      <c r="Z595" s="243"/>
      <c r="AA595" s="243"/>
      <c r="AB595" s="243"/>
      <c r="AC595" s="243"/>
      <c r="AD595" s="243"/>
      <c r="AE595" s="243"/>
      <c r="AF595" s="243"/>
      <c r="AG595" s="243"/>
      <c r="AH595" s="243"/>
      <c r="AI595" s="243"/>
      <c r="AJ595" s="243"/>
      <c r="AK595" s="243"/>
      <c r="AL595" s="243"/>
      <c r="AM595" s="243"/>
      <c r="AN595" s="243"/>
      <c r="AO595" s="243"/>
      <c r="AP595" s="243"/>
      <c r="AQ595" s="243"/>
      <c r="AR595" s="243"/>
      <c r="AS595" s="243"/>
      <c r="AT595" s="243"/>
      <c r="AU595" s="243"/>
      <c r="AV595" s="243"/>
      <c r="AW595" s="243"/>
      <c r="AX595" s="243"/>
      <c r="AY595" s="243"/>
      <c r="AZ595" s="243"/>
      <c r="BA595" s="243"/>
      <c r="BB595" s="243"/>
      <c r="BC595" s="243"/>
      <c r="BD595" s="243"/>
      <c r="BE595" s="243"/>
      <c r="BF595" s="243"/>
      <c r="BG595" s="243"/>
      <c r="BH595" s="243"/>
      <c r="BI595" s="243"/>
      <c r="BJ595" s="243"/>
      <c r="BK595" s="243"/>
      <c r="BL595" s="243"/>
      <c r="BM595" s="243"/>
      <c r="BN595" s="243"/>
      <c r="BO595" s="243"/>
      <c r="BP595" s="243"/>
      <c r="BQ595" s="243"/>
      <c r="BR595" s="243"/>
      <c r="BS595" s="243"/>
      <c r="BT595" s="243"/>
      <c r="BU595" s="243"/>
      <c r="BV595" s="243"/>
      <c r="BW595" s="243"/>
      <c r="BX595" s="243"/>
      <c r="BY595" s="243"/>
      <c r="BZ595" s="243"/>
      <c r="CA595" s="243"/>
      <c r="CB595" s="243"/>
      <c r="CC595" s="243"/>
      <c r="CD595" s="243"/>
      <c r="CE595" s="243"/>
      <c r="CF595" s="243"/>
      <c r="CG595" s="243"/>
      <c r="CH595" s="243"/>
      <c r="CI595" s="243"/>
      <c r="CJ595" s="243"/>
      <c r="CK595" s="243"/>
      <c r="CL595" s="243"/>
      <c r="CM595" s="243"/>
      <c r="CN595" s="243"/>
      <c r="CO595" s="243"/>
      <c r="CP595" s="243"/>
      <c r="CQ595" s="243"/>
      <c r="CR595" s="243"/>
      <c r="CS595" s="243"/>
      <c r="CT595" s="243"/>
      <c r="CU595" s="243"/>
      <c r="CV595" s="243"/>
      <c r="CW595" s="243"/>
      <c r="CX595" s="243"/>
      <c r="CY595" s="243"/>
      <c r="CZ595" s="243"/>
      <c r="DA595" s="243"/>
      <c r="DB595" s="243"/>
      <c r="DC595" s="243"/>
      <c r="DD595" s="243"/>
      <c r="DE595" s="243"/>
      <c r="DF595" s="243"/>
      <c r="DG595" s="243"/>
      <c r="DH595" s="243"/>
      <c r="DI595" s="243"/>
      <c r="DJ595" s="243"/>
      <c r="DK595" s="243"/>
      <c r="DL595" s="243"/>
      <c r="DM595" s="243"/>
      <c r="DN595" s="243"/>
      <c r="DO595" s="243"/>
      <c r="DP595" s="243"/>
      <c r="DQ595" s="243"/>
      <c r="DR595" s="243"/>
      <c r="DS595" s="243"/>
      <c r="DT595" s="243"/>
      <c r="DU595" s="243"/>
      <c r="DV595" s="243"/>
      <c r="DW595" s="243"/>
      <c r="DX595" s="243"/>
      <c r="DY595" s="243"/>
      <c r="DZ595" s="243"/>
      <c r="EA595" s="243"/>
      <c r="EB595" s="243"/>
      <c r="EC595" s="243"/>
      <c r="ED595" s="243"/>
      <c r="EE595" s="243"/>
      <c r="EF595" s="243"/>
      <c r="EG595" s="243"/>
      <c r="EH595" s="243"/>
      <c r="EI595" s="243"/>
      <c r="EJ595" s="243"/>
      <c r="EK595" s="243"/>
      <c r="EL595" s="243"/>
      <c r="EM595" s="243"/>
      <c r="EN595" s="243"/>
      <c r="EO595" s="243"/>
      <c r="EP595" s="243"/>
      <c r="EQ595" s="243"/>
      <c r="ER595" s="243"/>
      <c r="ES595" s="243"/>
      <c r="ET595" s="243"/>
      <c r="EU595" s="243"/>
      <c r="EV595" s="243"/>
      <c r="EW595" s="243"/>
      <c r="EX595" s="243"/>
      <c r="EY595" s="243"/>
      <c r="EZ595" s="243"/>
      <c r="FA595" s="243"/>
      <c r="FB595" s="243"/>
      <c r="FC595" s="243"/>
      <c r="FD595" s="243"/>
      <c r="FE595" s="243"/>
      <c r="FF595" s="243"/>
      <c r="FG595" s="243"/>
      <c r="FH595" s="243"/>
      <c r="FI595" s="243"/>
      <c r="FJ595" s="243"/>
      <c r="FK595" s="243"/>
      <c r="FL595" s="243"/>
      <c r="FM595" s="243"/>
      <c r="FN595" s="243"/>
      <c r="FO595" s="243"/>
      <c r="FP595" s="243"/>
      <c r="FQ595" s="243"/>
      <c r="FR595" s="243"/>
      <c r="FS595" s="243"/>
      <c r="FT595" s="243"/>
      <c r="FU595" s="243"/>
      <c r="FV595" s="243"/>
      <c r="FW595" s="243"/>
      <c r="FX595" s="243"/>
      <c r="FY595" s="243"/>
      <c r="FZ595" s="243"/>
      <c r="GA595" s="243"/>
      <c r="GB595" s="243"/>
      <c r="GC595" s="243"/>
      <c r="GD595" s="243"/>
      <c r="GE595" s="243"/>
      <c r="GF595" s="243"/>
      <c r="GG595" s="243"/>
      <c r="GH595" s="243"/>
      <c r="GI595" s="243"/>
      <c r="GJ595" s="243"/>
      <c r="GK595" s="243"/>
      <c r="GL595" s="243"/>
      <c r="GM595" s="243"/>
      <c r="GN595" s="243"/>
      <c r="GO595" s="243"/>
      <c r="GP595" s="243"/>
      <c r="GQ595" s="243"/>
      <c r="GR595" s="243"/>
      <c r="GS595" s="243"/>
      <c r="GT595" s="243"/>
      <c r="GU595" s="243"/>
      <c r="GV595" s="243"/>
      <c r="GW595" s="243"/>
      <c r="GX595" s="243"/>
      <c r="GY595" s="243"/>
      <c r="GZ595" s="243"/>
      <c r="HA595" s="243"/>
      <c r="HB595" s="243"/>
      <c r="HC595" s="243"/>
      <c r="HD595" s="243"/>
      <c r="HE595" s="243"/>
      <c r="HF595" s="243"/>
      <c r="HG595" s="243"/>
      <c r="HH595" s="243"/>
      <c r="HI595" s="243"/>
      <c r="HJ595" s="243"/>
      <c r="HK595" s="243"/>
      <c r="HL595" s="243"/>
      <c r="HM595" s="243"/>
      <c r="HN595" s="243"/>
      <c r="HO595" s="243"/>
      <c r="HP595" s="243"/>
      <c r="HQ595" s="243"/>
      <c r="HR595" s="243"/>
      <c r="HS595" s="243"/>
      <c r="HT595" s="243"/>
      <c r="HU595" s="243"/>
      <c r="HV595" s="243"/>
      <c r="HW595" s="243"/>
      <c r="HX595" s="243"/>
      <c r="HY595" s="243"/>
      <c r="HZ595" s="243"/>
      <c r="IA595" s="243"/>
      <c r="IB595" s="243"/>
      <c r="IC595" s="243"/>
      <c r="ID595" s="243"/>
      <c r="IE595" s="243"/>
      <c r="IF595" s="243"/>
      <c r="IG595" s="243"/>
      <c r="IH595" s="243"/>
      <c r="II595" s="243"/>
      <c r="IJ595" s="243"/>
      <c r="IK595" s="243"/>
      <c r="IL595" s="243"/>
      <c r="IM595" s="243"/>
      <c r="IN595" s="243"/>
      <c r="IO595" s="243"/>
      <c r="IP595" s="243"/>
      <c r="IQ595" s="243"/>
      <c r="IR595" s="243"/>
      <c r="IS595" s="243"/>
      <c r="IT595" s="243"/>
      <c r="IU595" s="243"/>
      <c r="IV595" s="243"/>
      <c r="IW595" s="243"/>
      <c r="IX595" s="243"/>
      <c r="IY595" s="243"/>
      <c r="IZ595" s="243"/>
      <c r="JA595" s="243"/>
      <c r="JB595" s="243"/>
      <c r="JC595" s="243"/>
      <c r="JD595" s="243"/>
      <c r="JE595" s="243"/>
      <c r="JF595" s="243"/>
      <c r="JG595" s="243"/>
      <c r="JH595" s="243"/>
      <c r="JI595" s="243"/>
      <c r="JJ595" s="243"/>
      <c r="JK595" s="243"/>
      <c r="JL595" s="243"/>
      <c r="JM595" s="243"/>
      <c r="JN595" s="243"/>
      <c r="JO595" s="243"/>
      <c r="JP595" s="243"/>
      <c r="JQ595" s="243"/>
      <c r="JR595" s="243"/>
      <c r="JS595" s="243"/>
      <c r="JT595" s="243"/>
      <c r="JU595" s="243"/>
      <c r="JV595" s="243"/>
      <c r="JW595" s="243"/>
      <c r="JX595" s="243"/>
      <c r="JY595" s="243"/>
      <c r="JZ595" s="243"/>
      <c r="KA595" s="243"/>
      <c r="KB595" s="243"/>
      <c r="KC595" s="243"/>
      <c r="KD595" s="243"/>
      <c r="KE595" s="243"/>
      <c r="KF595" s="243"/>
      <c r="KG595" s="243"/>
      <c r="KH595" s="243"/>
      <c r="KI595" s="243"/>
      <c r="KJ595" s="243"/>
      <c r="KK595" s="243"/>
      <c r="KL595" s="243"/>
      <c r="KM595" s="243"/>
      <c r="KN595" s="243"/>
      <c r="KO595" s="243"/>
      <c r="KP595" s="243"/>
      <c r="KQ595" s="243"/>
      <c r="KR595" s="243"/>
      <c r="KS595" s="243"/>
      <c r="KT595" s="243"/>
      <c r="KU595" s="243"/>
      <c r="KV595" s="243"/>
      <c r="KW595" s="243"/>
      <c r="KX595" s="243"/>
      <c r="KY595" s="243"/>
      <c r="KZ595" s="243"/>
      <c r="LA595" s="243"/>
      <c r="LB595" s="243"/>
      <c r="LC595" s="243"/>
      <c r="LD595" s="243"/>
      <c r="LE595" s="243"/>
      <c r="LF595" s="243"/>
      <c r="LG595" s="243"/>
      <c r="LH595" s="243"/>
      <c r="LI595" s="243"/>
      <c r="LJ595" s="243"/>
      <c r="LK595" s="243"/>
      <c r="LL595" s="243"/>
      <c r="LM595" s="243"/>
      <c r="LN595" s="243"/>
      <c r="LO595" s="243"/>
      <c r="LP595" s="243"/>
      <c r="LQ595" s="243"/>
      <c r="LR595" s="243"/>
      <c r="LS595" s="243"/>
      <c r="LT595" s="243"/>
      <c r="LU595" s="243"/>
      <c r="LV595" s="243"/>
      <c r="LW595" s="243"/>
      <c r="LX595" s="243"/>
      <c r="LY595" s="243"/>
      <c r="LZ595" s="243"/>
      <c r="MA595" s="243"/>
      <c r="MB595" s="243"/>
      <c r="MC595" s="243"/>
      <c r="MD595" s="243"/>
      <c r="ME595" s="243"/>
      <c r="MF595" s="243"/>
      <c r="MG595" s="243"/>
      <c r="MH595" s="243"/>
      <c r="MI595" s="243"/>
      <c r="MJ595" s="243"/>
      <c r="MK595" s="243"/>
      <c r="ML595" s="243"/>
      <c r="MM595" s="243"/>
      <c r="MN595" s="243"/>
      <c r="MO595" s="243"/>
      <c r="MP595" s="243"/>
      <c r="MQ595" s="243"/>
      <c r="MR595" s="243"/>
      <c r="MS595" s="243"/>
      <c r="MT595" s="243"/>
      <c r="MU595" s="243"/>
      <c r="MV595" s="243"/>
      <c r="MW595" s="243"/>
      <c r="MX595" s="243"/>
      <c r="MY595" s="243"/>
      <c r="MZ595" s="243"/>
      <c r="NA595" s="243"/>
      <c r="NB595" s="243"/>
      <c r="NC595" s="243"/>
      <c r="ND595" s="243"/>
      <c r="NE595" s="243"/>
      <c r="NF595" s="243"/>
      <c r="NG595" s="243"/>
      <c r="NH595" s="243"/>
      <c r="NI595" s="243"/>
      <c r="NJ595" s="243"/>
      <c r="NK595" s="243"/>
      <c r="NL595" s="243"/>
      <c r="NM595" s="243"/>
      <c r="NN595" s="243"/>
      <c r="NO595" s="243"/>
      <c r="NP595" s="243"/>
      <c r="NQ595" s="243"/>
      <c r="NR595" s="243"/>
      <c r="NS595" s="243"/>
      <c r="NT595" s="243"/>
      <c r="NU595" s="243"/>
      <c r="NV595" s="243"/>
      <c r="NW595" s="243"/>
      <c r="NX595" s="243"/>
      <c r="NY595" s="243"/>
      <c r="NZ595" s="243"/>
      <c r="OA595" s="243"/>
      <c r="OB595" s="243"/>
      <c r="OC595" s="243"/>
      <c r="OD595" s="243"/>
      <c r="OE595" s="243"/>
      <c r="OF595" s="243"/>
      <c r="OG595" s="243"/>
      <c r="OH595" s="243"/>
      <c r="OI595" s="243"/>
      <c r="OJ595" s="243"/>
      <c r="OK595" s="243"/>
      <c r="OL595" s="243"/>
      <c r="OM595" s="243"/>
      <c r="ON595" s="243"/>
      <c r="OO595" s="243"/>
      <c r="OP595" s="243"/>
      <c r="OQ595" s="243"/>
      <c r="OR595" s="243"/>
      <c r="OS595" s="243"/>
      <c r="OT595" s="243"/>
      <c r="OU595" s="243"/>
      <c r="OV595" s="243"/>
      <c r="OW595" s="243"/>
      <c r="OX595" s="243"/>
      <c r="OY595" s="243"/>
      <c r="OZ595" s="243"/>
      <c r="PA595" s="243"/>
      <c r="PB595" s="243"/>
      <c r="PC595" s="243"/>
      <c r="PD595" s="243"/>
      <c r="PE595" s="243"/>
      <c r="PF595" s="243"/>
      <c r="PG595" s="243"/>
      <c r="PH595" s="243"/>
      <c r="PI595" s="243"/>
      <c r="PJ595" s="243"/>
      <c r="PK595" s="243"/>
      <c r="PL595" s="243"/>
      <c r="PM595" s="243"/>
      <c r="PN595" s="243"/>
      <c r="PO595" s="243"/>
      <c r="PP595" s="243"/>
      <c r="PQ595" s="243"/>
      <c r="PR595" s="243"/>
      <c r="PS595" s="243"/>
      <c r="PT595" s="243"/>
      <c r="PU595" s="243"/>
      <c r="PV595" s="243"/>
      <c r="PW595" s="243"/>
      <c r="PX595" s="243"/>
      <c r="PY595" s="243"/>
      <c r="PZ595" s="243"/>
      <c r="QA595" s="243"/>
      <c r="QB595" s="243"/>
      <c r="QC595" s="243"/>
      <c r="QD595" s="243"/>
      <c r="QE595" s="243"/>
      <c r="QF595" s="243"/>
      <c r="QG595" s="243"/>
      <c r="QH595" s="243"/>
      <c r="QI595" s="243"/>
      <c r="QJ595" s="243"/>
      <c r="QK595" s="243"/>
      <c r="QL595" s="243"/>
      <c r="QM595" s="243"/>
      <c r="QN595" s="243"/>
      <c r="QO595" s="243"/>
      <c r="QP595" s="243"/>
      <c r="QQ595" s="243"/>
      <c r="QR595" s="243"/>
      <c r="QS595" s="243"/>
      <c r="QT595" s="243"/>
      <c r="QU595" s="243"/>
      <c r="QV595" s="243"/>
      <c r="QW595" s="243"/>
      <c r="QX595" s="243"/>
      <c r="QY595" s="243"/>
      <c r="QZ595" s="243"/>
      <c r="RA595" s="243"/>
      <c r="RB595" s="243"/>
      <c r="RC595" s="243"/>
      <c r="RD595" s="243"/>
      <c r="RE595" s="243"/>
      <c r="RF595" s="243"/>
      <c r="RG595" s="243"/>
      <c r="RH595" s="243"/>
      <c r="RI595" s="243"/>
      <c r="RJ595" s="243"/>
      <c r="RK595" s="243"/>
      <c r="RL595" s="243"/>
      <c r="RM595" s="243"/>
      <c r="RN595" s="243"/>
      <c r="RO595" s="243"/>
      <c r="RP595" s="243"/>
      <c r="RQ595" s="243"/>
      <c r="RR595" s="243"/>
      <c r="RS595" s="243"/>
      <c r="RT595" s="243"/>
      <c r="RU595" s="243"/>
      <c r="RV595" s="243"/>
      <c r="RW595" s="243"/>
      <c r="RX595" s="243"/>
      <c r="RY595" s="243"/>
      <c r="RZ595" s="243"/>
      <c r="SA595" s="243"/>
      <c r="SB595" s="243"/>
      <c r="SC595" s="243"/>
      <c r="SD595" s="243"/>
      <c r="SE595" s="243"/>
      <c r="SF595" s="243"/>
      <c r="SG595" s="243"/>
      <c r="SH595" s="243"/>
      <c r="SI595" s="243"/>
      <c r="SJ595" s="243"/>
      <c r="SK595" s="243"/>
      <c r="SL595" s="243"/>
      <c r="SM595" s="243"/>
      <c r="SN595" s="243"/>
      <c r="SO595" s="243"/>
      <c r="SP595" s="243"/>
      <c r="SQ595" s="243"/>
      <c r="SR595" s="243"/>
      <c r="SS595" s="243"/>
      <c r="ST595" s="243"/>
      <c r="SU595" s="243"/>
      <c r="SV595" s="243"/>
      <c r="SW595" s="243"/>
      <c r="SX595" s="243"/>
      <c r="SY595" s="243"/>
      <c r="SZ595" s="243"/>
      <c r="TA595" s="243"/>
      <c r="TB595" s="243"/>
      <c r="TC595" s="243"/>
      <c r="TD595" s="243"/>
      <c r="TE595" s="243"/>
      <c r="TF595" s="243"/>
      <c r="TG595" s="243"/>
      <c r="TH595" s="243"/>
      <c r="TI595" s="243"/>
      <c r="TJ595" s="243"/>
      <c r="TK595" s="243"/>
      <c r="TL595" s="243"/>
      <c r="TM595" s="243"/>
      <c r="TN595" s="243"/>
      <c r="TO595" s="243"/>
      <c r="TP595" s="243"/>
      <c r="TQ595" s="243"/>
      <c r="TR595" s="243"/>
      <c r="TS595" s="243"/>
      <c r="TT595" s="243"/>
      <c r="TU595" s="243"/>
      <c r="TV595" s="243"/>
      <c r="TW595" s="243"/>
      <c r="TX595" s="243"/>
      <c r="TY595" s="243"/>
      <c r="TZ595" s="243"/>
      <c r="UA595" s="243"/>
      <c r="UB595" s="243"/>
      <c r="UC595" s="243"/>
      <c r="UD595" s="243"/>
      <c r="UE595" s="243"/>
      <c r="UF595" s="243"/>
      <c r="UG595" s="243"/>
      <c r="UH595" s="243"/>
      <c r="UI595" s="243"/>
      <c r="UJ595" s="243"/>
      <c r="UK595" s="243"/>
      <c r="UL595" s="243"/>
      <c r="UM595" s="243"/>
      <c r="UN595" s="243"/>
      <c r="UO595" s="243"/>
      <c r="UP595" s="243"/>
      <c r="UQ595" s="243"/>
      <c r="UR595" s="243"/>
      <c r="US595" s="243"/>
      <c r="UT595" s="243"/>
      <c r="UU595" s="243"/>
      <c r="UV595" s="243"/>
      <c r="UW595" s="243"/>
      <c r="UX595" s="243"/>
      <c r="UY595" s="243"/>
      <c r="UZ595" s="243"/>
      <c r="VA595" s="243"/>
      <c r="VB595" s="243"/>
      <c r="VC595" s="243"/>
      <c r="VD595" s="243"/>
      <c r="VE595" s="243"/>
      <c r="VF595" s="243"/>
      <c r="VG595" s="243"/>
      <c r="VH595" s="243"/>
      <c r="VI595" s="243"/>
      <c r="VJ595" s="243"/>
      <c r="VK595" s="243"/>
      <c r="VL595" s="243"/>
      <c r="VM595" s="243"/>
      <c r="VN595" s="243"/>
      <c r="VO595" s="243"/>
      <c r="VP595" s="243"/>
      <c r="VQ595" s="243"/>
      <c r="VR595" s="243"/>
      <c r="VS595" s="243"/>
      <c r="VT595" s="243"/>
      <c r="VU595" s="243"/>
      <c r="VV595" s="243"/>
      <c r="VW595" s="243"/>
      <c r="VX595" s="243"/>
      <c r="VY595" s="243"/>
      <c r="VZ595" s="243"/>
      <c r="WA595" s="243"/>
      <c r="WB595" s="243"/>
      <c r="WC595" s="243"/>
      <c r="WD595" s="243"/>
      <c r="WE595" s="243"/>
      <c r="WF595" s="243"/>
      <c r="WG595" s="243"/>
      <c r="WH595" s="243"/>
      <c r="WI595" s="243"/>
      <c r="WJ595" s="243"/>
      <c r="WK595" s="243"/>
      <c r="WL595" s="243"/>
      <c r="WM595" s="243"/>
      <c r="WN595" s="243"/>
      <c r="WO595" s="243"/>
      <c r="WP595" s="243"/>
      <c r="WQ595" s="243"/>
      <c r="WR595" s="243"/>
      <c r="WS595" s="243"/>
      <c r="WT595" s="243"/>
      <c r="WU595" s="243"/>
      <c r="WV595" s="243"/>
      <c r="WW595" s="243"/>
      <c r="WX595" s="243"/>
      <c r="WY595" s="243"/>
      <c r="WZ595" s="243"/>
      <c r="XA595" s="243"/>
      <c r="XB595" s="243"/>
      <c r="XC595" s="243"/>
      <c r="XD595" s="243"/>
      <c r="XE595" s="243"/>
      <c r="XF595" s="243"/>
      <c r="XG595" s="243"/>
      <c r="XH595" s="243"/>
      <c r="XI595" s="243"/>
      <c r="XJ595" s="243"/>
      <c r="XK595" s="243"/>
      <c r="XL595" s="243"/>
      <c r="XM595" s="243"/>
      <c r="XN595" s="243"/>
      <c r="XO595" s="243"/>
      <c r="XP595" s="243"/>
      <c r="XQ595" s="243"/>
      <c r="XR595" s="243"/>
      <c r="XS595" s="243"/>
      <c r="XT595" s="243"/>
      <c r="XU595" s="243"/>
      <c r="XV595" s="243"/>
      <c r="XW595" s="243"/>
      <c r="XX595" s="243"/>
      <c r="XY595" s="243"/>
      <c r="XZ595" s="243"/>
      <c r="YA595" s="243"/>
      <c r="YB595" s="243"/>
      <c r="YC595" s="243"/>
      <c r="YD595" s="243"/>
      <c r="YE595" s="243"/>
      <c r="YF595" s="243"/>
      <c r="YG595" s="243"/>
      <c r="YH595" s="243"/>
      <c r="YI595" s="243"/>
      <c r="YJ595" s="243"/>
      <c r="YK595" s="243"/>
      <c r="YL595" s="243"/>
      <c r="YM595" s="243"/>
      <c r="YN595" s="243"/>
      <c r="YO595" s="243"/>
      <c r="YP595" s="243"/>
      <c r="YQ595" s="243"/>
      <c r="YR595" s="243"/>
      <c r="YS595" s="243"/>
      <c r="YT595" s="243"/>
      <c r="YU595" s="243"/>
      <c r="YV595" s="243"/>
      <c r="YW595" s="243"/>
      <c r="YX595" s="243"/>
      <c r="YY595" s="243"/>
      <c r="YZ595" s="243"/>
      <c r="ZA595" s="243"/>
      <c r="ZB595" s="243"/>
      <c r="ZC595" s="243"/>
      <c r="ZD595" s="243"/>
      <c r="ZE595" s="243"/>
      <c r="ZF595" s="243"/>
      <c r="ZG595" s="243"/>
      <c r="ZH595" s="243"/>
      <c r="ZI595" s="243"/>
      <c r="ZJ595" s="243"/>
      <c r="ZK595" s="243"/>
      <c r="ZL595" s="243"/>
      <c r="ZM595" s="243"/>
      <c r="ZN595" s="243"/>
      <c r="ZO595" s="243"/>
      <c r="ZP595" s="243"/>
      <c r="ZQ595" s="243"/>
      <c r="ZR595" s="243"/>
      <c r="ZS595" s="243"/>
      <c r="ZT595" s="243"/>
      <c r="ZU595" s="243"/>
      <c r="ZV595" s="243"/>
      <c r="ZW595" s="243"/>
      <c r="ZX595" s="243"/>
      <c r="ZY595" s="243"/>
      <c r="ZZ595" s="243"/>
      <c r="AAA595" s="243"/>
      <c r="AAB595" s="243"/>
      <c r="AAC595" s="243"/>
      <c r="AAD595" s="243"/>
      <c r="AAE595" s="243"/>
      <c r="AAF595" s="243"/>
      <c r="AAG595" s="243"/>
      <c r="AAH595" s="243"/>
      <c r="AAI595" s="243"/>
      <c r="AAJ595" s="243"/>
      <c r="AAK595" s="243"/>
      <c r="AAL595" s="243"/>
      <c r="AAM595" s="243"/>
      <c r="AAN595" s="243"/>
      <c r="AAO595" s="243"/>
      <c r="AAP595" s="243"/>
      <c r="AAQ595" s="243"/>
      <c r="AAR595" s="243"/>
      <c r="AAS595" s="243"/>
      <c r="AAT595" s="243"/>
      <c r="AAU595" s="243"/>
      <c r="AAV595" s="243"/>
      <c r="AAW595" s="243"/>
      <c r="AAX595" s="243"/>
      <c r="AAY595" s="243"/>
      <c r="AAZ595" s="243"/>
      <c r="ABA595" s="243"/>
      <c r="ABB595" s="243"/>
      <c r="ABC595" s="243"/>
      <c r="ABD595" s="243"/>
      <c r="ABE595" s="243"/>
      <c r="ABF595" s="243"/>
      <c r="ABG595" s="243"/>
      <c r="ABH595" s="243"/>
      <c r="ABI595" s="243"/>
      <c r="ABJ595" s="243"/>
      <c r="ABK595" s="243"/>
      <c r="ABL595" s="243"/>
      <c r="ABM595" s="243"/>
      <c r="ABN595" s="243"/>
      <c r="ABO595" s="243"/>
      <c r="ABP595" s="243"/>
      <c r="ABQ595" s="243"/>
      <c r="ABR595" s="243"/>
      <c r="ABS595" s="243"/>
      <c r="ABT595" s="243"/>
      <c r="ABU595" s="243"/>
      <c r="ABV595" s="243"/>
      <c r="ABW595" s="243"/>
      <c r="ABX595" s="243"/>
      <c r="ABY595" s="243"/>
      <c r="ABZ595" s="243"/>
      <c r="ACA595" s="243"/>
      <c r="ACB595" s="243"/>
      <c r="ACC595" s="243"/>
      <c r="ACD595" s="243"/>
      <c r="ACE595" s="243"/>
      <c r="ACF595" s="243"/>
      <c r="ACG595" s="243"/>
      <c r="ACH595" s="243"/>
      <c r="ACI595" s="243"/>
      <c r="ACJ595" s="243"/>
      <c r="ACK595" s="243"/>
      <c r="ACL595" s="243"/>
      <c r="ACM595" s="243"/>
      <c r="ACN595" s="243"/>
      <c r="ACO595" s="243"/>
      <c r="ACP595" s="243"/>
      <c r="ACQ595" s="243"/>
      <c r="ACR595" s="243"/>
      <c r="ACS595" s="243"/>
      <c r="ACT595" s="243"/>
      <c r="ACU595" s="243"/>
      <c r="ACV595" s="243"/>
      <c r="ACW595" s="243"/>
      <c r="ACX595" s="243"/>
      <c r="ACY595" s="243"/>
      <c r="ACZ595" s="243"/>
      <c r="ADA595" s="243"/>
      <c r="ADB595" s="243"/>
      <c r="ADC595" s="243"/>
      <c r="ADD595" s="243"/>
      <c r="ADE595" s="243"/>
      <c r="ADF595" s="243"/>
      <c r="ADG595" s="243"/>
      <c r="ADH595" s="243"/>
      <c r="ADI595" s="243"/>
      <c r="ADJ595" s="243"/>
      <c r="ADK595" s="243"/>
      <c r="ADL595" s="243"/>
      <c r="ADM595" s="243"/>
      <c r="ADN595" s="243"/>
      <c r="ADO595" s="243"/>
      <c r="ADP595" s="243"/>
      <c r="ADQ595" s="243"/>
      <c r="ADR595" s="243"/>
      <c r="ADS595" s="243"/>
      <c r="ADT595" s="243"/>
      <c r="ADU595" s="243"/>
      <c r="ADV595" s="243"/>
      <c r="ADW595" s="243"/>
      <c r="ADX595" s="243"/>
      <c r="ADY595" s="243"/>
      <c r="ADZ595" s="243"/>
      <c r="AEA595" s="243"/>
      <c r="AEB595" s="243"/>
      <c r="AEC595" s="243"/>
      <c r="AED595" s="243"/>
      <c r="AEE595" s="243"/>
      <c r="AEF595" s="243"/>
      <c r="AEG595" s="243"/>
      <c r="AEH595" s="243"/>
      <c r="AEI595" s="243"/>
      <c r="AEJ595" s="243"/>
      <c r="AEK595" s="243"/>
      <c r="AEL595" s="243"/>
      <c r="AEM595" s="243"/>
      <c r="AEN595" s="243"/>
      <c r="AEO595" s="243"/>
      <c r="AEP595" s="243"/>
      <c r="AEQ595" s="243"/>
      <c r="AER595" s="243"/>
      <c r="AES595" s="243"/>
      <c r="AET595" s="243"/>
      <c r="AEU595" s="243"/>
      <c r="AEV595" s="243"/>
      <c r="AEW595" s="243"/>
      <c r="AEX595" s="243"/>
      <c r="AEY595" s="243"/>
      <c r="AEZ595" s="243"/>
      <c r="AFA595" s="243"/>
      <c r="AFB595" s="243"/>
      <c r="AFC595" s="243"/>
      <c r="AFD595" s="243"/>
      <c r="AFE595" s="243"/>
      <c r="AFF595" s="243"/>
      <c r="AFG595" s="243"/>
      <c r="AFH595" s="243"/>
      <c r="AFI595" s="243"/>
      <c r="AFJ595" s="243"/>
      <c r="AFK595" s="243"/>
      <c r="AFL595" s="243"/>
      <c r="AFM595" s="243"/>
      <c r="AFN595" s="243"/>
      <c r="AFO595" s="243"/>
      <c r="AFP595" s="243"/>
      <c r="AFQ595" s="243"/>
      <c r="AFR595" s="243"/>
      <c r="AFS595" s="243"/>
      <c r="AFT595" s="243"/>
      <c r="AFU595" s="243"/>
      <c r="AFV595" s="243"/>
      <c r="AFW595" s="243"/>
      <c r="AFX595" s="243"/>
      <c r="AFY595" s="243"/>
      <c r="AFZ595" s="243"/>
      <c r="AGA595" s="243"/>
      <c r="AGB595" s="243"/>
      <c r="AGC595" s="243"/>
      <c r="AGD595" s="243"/>
      <c r="AGE595" s="243"/>
      <c r="AGF595" s="243"/>
      <c r="AGG595" s="243"/>
      <c r="AGH595" s="243"/>
      <c r="AGI595" s="243"/>
      <c r="AGJ595" s="243"/>
      <c r="AGK595" s="243"/>
      <c r="AGL595" s="243"/>
      <c r="AGM595" s="243"/>
      <c r="AGN595" s="243"/>
      <c r="AGO595" s="243"/>
      <c r="AGP595" s="243"/>
      <c r="AGQ595" s="243"/>
      <c r="AGR595" s="243"/>
      <c r="AGS595" s="243"/>
      <c r="AGT595" s="243"/>
      <c r="AGU595" s="243"/>
      <c r="AGV595" s="243"/>
      <c r="AGW595" s="243"/>
      <c r="AGX595" s="243"/>
      <c r="AGY595" s="243"/>
      <c r="AGZ595" s="243"/>
      <c r="AHA595" s="243"/>
      <c r="AHB595" s="243"/>
      <c r="AHC595" s="243"/>
      <c r="AHD595" s="243"/>
      <c r="AHE595" s="243"/>
      <c r="AHF595" s="243"/>
      <c r="AHG595" s="243"/>
      <c r="AHH595" s="243"/>
      <c r="AHI595" s="243"/>
      <c r="AHJ595" s="243"/>
      <c r="AHK595" s="243"/>
      <c r="AHL595" s="243"/>
      <c r="AHM595" s="243"/>
      <c r="AHN595" s="243"/>
      <c r="AHO595" s="243"/>
      <c r="AHP595" s="243"/>
      <c r="AHQ595" s="243"/>
      <c r="AHR595" s="243"/>
      <c r="AHS595" s="243"/>
      <c r="AHT595" s="243"/>
      <c r="AHU595" s="243"/>
      <c r="AHV595" s="243"/>
      <c r="AHW595" s="243"/>
      <c r="AHX595" s="243"/>
      <c r="AHY595" s="243"/>
      <c r="AHZ595" s="243"/>
      <c r="AIA595" s="243"/>
      <c r="AIB595" s="243"/>
      <c r="AIC595" s="243"/>
      <c r="AID595" s="243"/>
      <c r="AIE595" s="243"/>
      <c r="AIF595" s="243"/>
      <c r="AIG595" s="243"/>
      <c r="AIH595" s="243"/>
      <c r="AII595" s="243"/>
      <c r="AIJ595" s="243"/>
      <c r="AIK595" s="243"/>
      <c r="AIL595" s="243"/>
      <c r="AIM595" s="243"/>
      <c r="AIN595" s="243"/>
      <c r="AIO595" s="243"/>
      <c r="AIP595" s="243"/>
      <c r="AIQ595" s="243"/>
      <c r="AIR595" s="243"/>
      <c r="AIS595" s="243"/>
      <c r="AIT595" s="243"/>
      <c r="AIU595" s="243"/>
      <c r="AIV595" s="243"/>
      <c r="AIW595" s="243"/>
      <c r="AIX595" s="243"/>
      <c r="AIY595" s="243"/>
      <c r="AIZ595" s="243"/>
      <c r="AJA595" s="243"/>
      <c r="AJB595" s="243"/>
      <c r="AJC595" s="243"/>
      <c r="AJD595" s="243"/>
      <c r="AJE595" s="243"/>
      <c r="AJF595" s="243"/>
      <c r="AJG595" s="243"/>
      <c r="AJH595" s="243"/>
      <c r="AJI595" s="243"/>
      <c r="AJJ595" s="243"/>
      <c r="AJK595" s="243"/>
      <c r="AJL595" s="243"/>
      <c r="AJM595" s="243"/>
      <c r="AJN595" s="243"/>
      <c r="AJO595" s="243"/>
      <c r="AJP595" s="243"/>
      <c r="AJQ595" s="243"/>
      <c r="AJR595" s="243"/>
      <c r="AJS595" s="243"/>
      <c r="AJT595" s="243"/>
      <c r="AJU595" s="243"/>
      <c r="AJV595" s="243"/>
      <c r="AJW595" s="243"/>
      <c r="AJX595" s="243"/>
      <c r="AJY595" s="243"/>
      <c r="AJZ595" s="243"/>
      <c r="AKA595" s="243"/>
      <c r="AKB595" s="243"/>
      <c r="AKC595" s="243"/>
      <c r="AKD595" s="243"/>
      <c r="AKE595" s="243"/>
      <c r="AKF595" s="243"/>
      <c r="AKG595" s="243"/>
      <c r="AKH595" s="243"/>
      <c r="AKI595" s="243"/>
      <c r="AKJ595" s="243"/>
      <c r="AKK595" s="243"/>
      <c r="AKL595" s="243"/>
      <c r="AKM595" s="243"/>
      <c r="AKN595" s="243"/>
      <c r="AKO595" s="243"/>
      <c r="AKP595" s="243"/>
      <c r="AKQ595" s="243"/>
      <c r="AKR595" s="243"/>
      <c r="AKS595" s="243"/>
      <c r="AKT595" s="243"/>
      <c r="AKU595" s="243"/>
      <c r="AKV595" s="243"/>
      <c r="AKW595" s="243"/>
      <c r="AKX595" s="243"/>
      <c r="AKY595" s="243"/>
      <c r="AKZ595" s="243"/>
      <c r="ALA595" s="243"/>
      <c r="ALB595" s="243"/>
      <c r="ALC595" s="243"/>
      <c r="ALD595" s="243"/>
      <c r="ALE595" s="243"/>
      <c r="ALF595" s="243"/>
      <c r="ALG595" s="243"/>
      <c r="ALH595" s="243"/>
      <c r="ALI595" s="243"/>
      <c r="ALJ595" s="243"/>
      <c r="ALK595" s="243"/>
      <c r="ALL595" s="243"/>
      <c r="ALM595" s="243"/>
      <c r="ALN595" s="243"/>
      <c r="ALO595" s="243"/>
      <c r="ALP595" s="243"/>
      <c r="ALQ595" s="243"/>
      <c r="ALR595" s="243"/>
      <c r="ALS595" s="243"/>
      <c r="ALT595" s="243"/>
      <c r="ALU595" s="243"/>
      <c r="ALV595" s="243"/>
      <c r="ALW595" s="243"/>
      <c r="ALX595" s="243"/>
      <c r="ALY595" s="243"/>
      <c r="ALZ595" s="243"/>
      <c r="AMA595" s="243"/>
      <c r="AMB595" s="243"/>
      <c r="AMC595" s="243"/>
      <c r="AMD595" s="243"/>
      <c r="AME595" s="243"/>
      <c r="AMF595" s="243"/>
      <c r="AMG595" s="243"/>
      <c r="AMH595" s="243"/>
      <c r="AMI595" s="244"/>
      <c r="AMJ595" s="244"/>
    </row>
    <row r="596" spans="1:1024" ht="12.75" customHeight="1">
      <c r="A596" s="902"/>
      <c r="B596" s="686"/>
      <c r="C596" s="332"/>
      <c r="D596" s="626" t="s">
        <v>26</v>
      </c>
      <c r="E596" s="563">
        <f>SUM(E588:E595)</f>
        <v>13500000</v>
      </c>
      <c r="F596" s="318" t="s">
        <v>26</v>
      </c>
      <c r="G596" s="618">
        <f>SUM(G588:G595)</f>
        <v>1004000</v>
      </c>
      <c r="H596" s="140"/>
      <c r="I596" s="140"/>
      <c r="J596" s="140"/>
      <c r="K596" s="626" t="s">
        <v>27</v>
      </c>
      <c r="L596" s="627"/>
      <c r="M596" s="627"/>
      <c r="N596" s="628"/>
      <c r="O596" s="629" t="s">
        <v>28</v>
      </c>
      <c r="P596" s="718">
        <f>G596+P595</f>
        <v>1189000</v>
      </c>
      <c r="Q596" s="624"/>
    </row>
    <row r="597" spans="1:1024">
      <c r="A597" s="722"/>
      <c r="B597" s="723"/>
      <c r="C597" s="724"/>
      <c r="D597" s="641"/>
      <c r="E597" s="579"/>
      <c r="F597" s="641"/>
      <c r="G597" s="579"/>
      <c r="H597" s="641"/>
      <c r="I597" s="641"/>
      <c r="J597" s="641"/>
      <c r="K597" s="641"/>
      <c r="L597" s="641"/>
      <c r="M597" s="641"/>
      <c r="N597" s="641"/>
      <c r="O597" s="642"/>
      <c r="P597" s="579"/>
      <c r="Q597" s="624"/>
    </row>
    <row r="598" spans="1:1024">
      <c r="A598" s="904" t="s">
        <v>360</v>
      </c>
      <c r="B598" s="949"/>
      <c r="C598" s="949"/>
      <c r="D598" s="949"/>
      <c r="E598" s="949"/>
      <c r="F598" s="949"/>
      <c r="G598" s="949"/>
      <c r="H598" s="949"/>
      <c r="I598" s="949"/>
      <c r="J598" s="950"/>
      <c r="K598" s="948" t="s">
        <v>2</v>
      </c>
      <c r="L598" s="948"/>
      <c r="M598" s="1047"/>
      <c r="N598" s="1047"/>
      <c r="O598" s="1047"/>
      <c r="P598" s="1047"/>
      <c r="Q598" s="624"/>
    </row>
    <row r="599" spans="1:1024" ht="30.75">
      <c r="A599" s="327" t="s">
        <v>3</v>
      </c>
      <c r="B599" s="327" t="s">
        <v>4</v>
      </c>
      <c r="C599" s="327" t="s">
        <v>5</v>
      </c>
      <c r="D599" s="327" t="s">
        <v>6</v>
      </c>
      <c r="E599" s="327" t="s">
        <v>7</v>
      </c>
      <c r="F599" s="327" t="s">
        <v>8</v>
      </c>
      <c r="G599" s="327" t="s">
        <v>9</v>
      </c>
      <c r="H599" s="707" t="s">
        <v>10</v>
      </c>
      <c r="I599" s="327" t="s">
        <v>11</v>
      </c>
      <c r="J599" s="327" t="s">
        <v>12</v>
      </c>
      <c r="K599" s="711" t="s">
        <v>4</v>
      </c>
      <c r="L599" s="595" t="s">
        <v>5</v>
      </c>
      <c r="M599" s="711" t="s">
        <v>6</v>
      </c>
      <c r="N599" s="711" t="s">
        <v>13</v>
      </c>
      <c r="O599" s="711" t="s">
        <v>8</v>
      </c>
      <c r="P599" s="711" t="s">
        <v>14</v>
      </c>
      <c r="Q599" s="624"/>
    </row>
    <row r="600" spans="1:1024" ht="18" customHeight="1">
      <c r="A600" s="887">
        <v>2</v>
      </c>
      <c r="B600" s="327"/>
      <c r="C600" s="328"/>
      <c r="D600" s="318"/>
      <c r="E600" s="321"/>
      <c r="F600" s="587"/>
      <c r="G600" s="321"/>
      <c r="H600" s="604"/>
      <c r="I600" s="318"/>
      <c r="J600" s="318"/>
      <c r="K600" s="606"/>
      <c r="L600" s="606"/>
      <c r="M600" s="625"/>
      <c r="N600" s="607"/>
      <c r="O600" s="639"/>
      <c r="P600" s="321"/>
      <c r="Q600" s="708"/>
    </row>
    <row r="601" spans="1:1024">
      <c r="A601" s="887"/>
      <c r="B601" s="327"/>
      <c r="C601" s="328"/>
      <c r="D601" s="318"/>
      <c r="E601" s="321"/>
      <c r="F601" s="119"/>
      <c r="G601" s="318"/>
      <c r="H601" s="604"/>
      <c r="I601" s="318"/>
      <c r="J601" s="318"/>
      <c r="K601" s="625"/>
      <c r="L601" s="625"/>
      <c r="M601" s="318" t="s">
        <v>26</v>
      </c>
      <c r="N601" s="563">
        <f>SUM(N600:N600)</f>
        <v>0</v>
      </c>
      <c r="O601" s="589" t="s">
        <v>26</v>
      </c>
      <c r="P601" s="563">
        <f>SUM(P600:P600)</f>
        <v>0</v>
      </c>
      <c r="Q601" s="624"/>
    </row>
    <row r="602" spans="1:1024">
      <c r="A602" s="887"/>
      <c r="B602" s="327"/>
      <c r="C602" s="328"/>
      <c r="D602" s="318"/>
      <c r="E602" s="321"/>
      <c r="F602" s="119"/>
      <c r="G602" s="318"/>
      <c r="H602" s="604"/>
      <c r="I602" s="318"/>
      <c r="J602" s="318"/>
      <c r="K602" s="625"/>
      <c r="L602" s="779"/>
      <c r="M602" s="589"/>
      <c r="N602" s="780"/>
      <c r="O602" s="589"/>
      <c r="P602" s="563"/>
      <c r="Q602" s="624"/>
    </row>
    <row r="603" spans="1:1024" ht="15" customHeight="1">
      <c r="A603" s="888"/>
      <c r="B603" s="331"/>
      <c r="C603" s="332"/>
      <c r="D603" s="626" t="s">
        <v>26</v>
      </c>
      <c r="E603" s="563">
        <f>SUM(E600:E601)</f>
        <v>0</v>
      </c>
      <c r="F603" s="318" t="s">
        <v>26</v>
      </c>
      <c r="G603" s="563">
        <f>SUM(G600:G601)</f>
        <v>0</v>
      </c>
      <c r="H603" s="140"/>
      <c r="I603" s="140"/>
      <c r="J603" s="140"/>
      <c r="K603" s="626" t="s">
        <v>27</v>
      </c>
      <c r="L603" s="627"/>
      <c r="M603" s="627"/>
      <c r="N603" s="628"/>
      <c r="O603" s="629" t="s">
        <v>28</v>
      </c>
      <c r="P603" s="640">
        <f>G603+P601</f>
        <v>0</v>
      </c>
      <c r="Q603" s="624"/>
    </row>
    <row r="604" spans="1:1024">
      <c r="A604" s="725"/>
      <c r="B604" s="726"/>
      <c r="C604" s="727"/>
      <c r="D604" s="641"/>
      <c r="E604" s="579"/>
      <c r="F604" s="641"/>
      <c r="G604" s="579"/>
      <c r="H604" s="641"/>
      <c r="I604" s="641"/>
      <c r="J604" s="641"/>
      <c r="K604" s="641"/>
      <c r="L604" s="641"/>
      <c r="M604" s="641"/>
      <c r="N604" s="641"/>
      <c r="O604" s="642"/>
      <c r="P604" s="579"/>
      <c r="Q604" s="624"/>
    </row>
    <row r="605" spans="1:1024">
      <c r="A605" s="904" t="s">
        <v>361</v>
      </c>
      <c r="B605" s="949"/>
      <c r="C605" s="949"/>
      <c r="D605" s="949"/>
      <c r="E605" s="949"/>
      <c r="F605" s="949"/>
      <c r="G605" s="949"/>
      <c r="H605" s="949"/>
      <c r="I605" s="949"/>
      <c r="J605" s="950"/>
      <c r="K605" s="948" t="s">
        <v>2</v>
      </c>
      <c r="L605" s="948"/>
      <c r="M605" s="1047"/>
      <c r="N605" s="1047"/>
      <c r="O605" s="1047"/>
      <c r="P605" s="1047"/>
      <c r="Q605" s="624"/>
    </row>
    <row r="606" spans="1:1024" ht="30.75">
      <c r="A606" s="318" t="s">
        <v>3</v>
      </c>
      <c r="B606" s="705" t="s">
        <v>4</v>
      </c>
      <c r="C606" s="695" t="s">
        <v>5</v>
      </c>
      <c r="D606" s="318" t="s">
        <v>6</v>
      </c>
      <c r="E606" s="318" t="s">
        <v>7</v>
      </c>
      <c r="F606" s="119" t="s">
        <v>8</v>
      </c>
      <c r="G606" s="318" t="s">
        <v>9</v>
      </c>
      <c r="H606" s="604" t="s">
        <v>10</v>
      </c>
      <c r="I606" s="318" t="s">
        <v>11</v>
      </c>
      <c r="J606" s="318" t="s">
        <v>12</v>
      </c>
      <c r="K606" s="625" t="s">
        <v>4</v>
      </c>
      <c r="L606" s="318" t="s">
        <v>5</v>
      </c>
      <c r="M606" s="625" t="s">
        <v>6</v>
      </c>
      <c r="N606" s="625" t="s">
        <v>13</v>
      </c>
      <c r="O606" s="606" t="s">
        <v>8</v>
      </c>
      <c r="P606" s="625" t="s">
        <v>14</v>
      </c>
      <c r="Q606" s="624"/>
    </row>
    <row r="607" spans="1:1024" ht="15" customHeight="1">
      <c r="A607" s="900" t="s">
        <v>362</v>
      </c>
      <c r="B607" s="122">
        <v>15591</v>
      </c>
      <c r="C607" s="690">
        <v>0.1</v>
      </c>
      <c r="D607" s="835" t="s">
        <v>363</v>
      </c>
      <c r="E607" s="321">
        <v>1700000</v>
      </c>
      <c r="F607" s="586">
        <v>0.04</v>
      </c>
      <c r="G607" s="321">
        <f>E607*F607</f>
        <v>68000</v>
      </c>
      <c r="H607" s="604" t="s">
        <v>123</v>
      </c>
      <c r="I607" s="318"/>
      <c r="J607" s="318" t="s">
        <v>138</v>
      </c>
      <c r="K607" s="606"/>
      <c r="L607" s="606"/>
      <c r="M607" s="625"/>
      <c r="N607" s="607"/>
      <c r="O607" s="728"/>
      <c r="P607" s="607"/>
      <c r="Q607" s="624"/>
    </row>
    <row r="608" spans="1:1024" ht="15" customHeight="1">
      <c r="A608" s="901"/>
      <c r="B608" s="551">
        <v>15531</v>
      </c>
      <c r="C608" s="829">
        <v>0.1</v>
      </c>
      <c r="D608" s="845" t="s">
        <v>364</v>
      </c>
      <c r="E608" s="321">
        <v>1430000</v>
      </c>
      <c r="F608" s="586">
        <v>0.04</v>
      </c>
      <c r="G608" s="321">
        <f>E608*F608</f>
        <v>57200</v>
      </c>
      <c r="H608" s="604" t="s">
        <v>123</v>
      </c>
      <c r="I608" s="318"/>
      <c r="J608" s="318" t="s">
        <v>352</v>
      </c>
      <c r="K608" s="606"/>
      <c r="L608" s="606"/>
      <c r="M608" s="625"/>
      <c r="N608" s="607"/>
      <c r="O608" s="728"/>
      <c r="P608" s="607"/>
      <c r="Q608" s="624"/>
    </row>
    <row r="609" spans="1:17" ht="15" customHeight="1">
      <c r="A609" s="901"/>
      <c r="B609" s="327"/>
      <c r="C609" s="328"/>
      <c r="D609" s="318"/>
      <c r="E609" s="321"/>
      <c r="F609" s="586"/>
      <c r="G609" s="321"/>
      <c r="H609" s="604"/>
      <c r="I609" s="318"/>
      <c r="J609" s="318"/>
      <c r="K609" s="606"/>
      <c r="L609" s="606"/>
      <c r="M609" s="625"/>
      <c r="N609" s="607"/>
      <c r="O609" s="728"/>
      <c r="P609" s="607"/>
      <c r="Q609" s="624"/>
    </row>
    <row r="610" spans="1:17" ht="15" customHeight="1">
      <c r="A610" s="901"/>
      <c r="B610" s="546"/>
      <c r="C610" s="547"/>
      <c r="D610" s="548"/>
      <c r="E610" s="549"/>
      <c r="F610" s="636"/>
      <c r="G610" s="636"/>
      <c r="H610" s="636"/>
      <c r="I610" s="636"/>
      <c r="J610" s="636"/>
      <c r="K610" s="318"/>
      <c r="L610" s="318"/>
      <c r="M610" s="318" t="s">
        <v>26</v>
      </c>
      <c r="N610" s="563">
        <f>SUM(N609:N609)</f>
        <v>0</v>
      </c>
      <c r="O610" s="318" t="s">
        <v>26</v>
      </c>
      <c r="P610" s="563"/>
      <c r="Q610" s="624"/>
    </row>
    <row r="611" spans="1:17" ht="15" customHeight="1">
      <c r="A611" s="902"/>
      <c r="B611" s="331"/>
      <c r="C611" s="332"/>
      <c r="D611" s="626" t="s">
        <v>26</v>
      </c>
      <c r="E611" s="563">
        <f>SUM(E607:E610)</f>
        <v>3130000</v>
      </c>
      <c r="F611" s="318" t="s">
        <v>26</v>
      </c>
      <c r="G611" s="563">
        <f>SUM(G607:G610)</f>
        <v>125200</v>
      </c>
      <c r="H611" s="140"/>
      <c r="I611" s="140"/>
      <c r="J611" s="140"/>
      <c r="K611" s="626" t="s">
        <v>27</v>
      </c>
      <c r="L611" s="627"/>
      <c r="M611" s="627"/>
      <c r="N611" s="628"/>
      <c r="O611" s="630" t="s">
        <v>28</v>
      </c>
      <c r="P611" s="631">
        <f>SUM(P609:P610)</f>
        <v>0</v>
      </c>
      <c r="Q611" s="624"/>
    </row>
    <row r="612" spans="1:17" s="169" customFormat="1" ht="15" customHeight="1">
      <c r="A612" s="93"/>
      <c r="B612" s="723"/>
      <c r="C612" s="724"/>
      <c r="D612" s="641"/>
      <c r="E612" s="579"/>
      <c r="F612" s="641"/>
      <c r="G612" s="579"/>
      <c r="H612" s="641"/>
      <c r="I612" s="641"/>
      <c r="J612" s="641"/>
      <c r="K612" s="641"/>
      <c r="L612" s="641"/>
      <c r="M612" s="641"/>
      <c r="N612" s="641"/>
      <c r="O612" s="642"/>
      <c r="P612" s="579"/>
      <c r="Q612" s="708"/>
    </row>
    <row r="613" spans="1:17">
      <c r="A613" s="904" t="s">
        <v>123</v>
      </c>
      <c r="B613" s="949"/>
      <c r="C613" s="949"/>
      <c r="D613" s="949"/>
      <c r="E613" s="949"/>
      <c r="F613" s="949"/>
      <c r="G613" s="949"/>
      <c r="H613" s="949"/>
      <c r="I613" s="949"/>
      <c r="J613" s="950"/>
      <c r="K613" s="948" t="s">
        <v>2</v>
      </c>
      <c r="L613" s="948"/>
      <c r="M613" s="1047"/>
      <c r="N613" s="1047"/>
      <c r="O613" s="1047"/>
      <c r="P613" s="1047"/>
      <c r="Q613" s="624"/>
    </row>
    <row r="614" spans="1:17" ht="30.75">
      <c r="A614" s="327" t="s">
        <v>3</v>
      </c>
      <c r="B614" s="327" t="s">
        <v>4</v>
      </c>
      <c r="C614" s="327" t="s">
        <v>5</v>
      </c>
      <c r="D614" s="327" t="s">
        <v>6</v>
      </c>
      <c r="E614" s="327" t="s">
        <v>7</v>
      </c>
      <c r="F614" s="327" t="s">
        <v>8</v>
      </c>
      <c r="G614" s="327" t="s">
        <v>9</v>
      </c>
      <c r="H614" s="707" t="s">
        <v>10</v>
      </c>
      <c r="I614" s="327" t="s">
        <v>11</v>
      </c>
      <c r="J614" s="327" t="s">
        <v>12</v>
      </c>
      <c r="K614" s="711" t="s">
        <v>4</v>
      </c>
      <c r="L614" s="595" t="s">
        <v>5</v>
      </c>
      <c r="M614" s="711" t="s">
        <v>6</v>
      </c>
      <c r="N614" s="711" t="s">
        <v>13</v>
      </c>
      <c r="O614" s="711" t="s">
        <v>8</v>
      </c>
      <c r="P614" s="711" t="s">
        <v>14</v>
      </c>
      <c r="Q614" s="624"/>
    </row>
    <row r="615" spans="1:17" ht="18" customHeight="1">
      <c r="A615" s="887"/>
      <c r="B615" s="565" t="s">
        <v>365</v>
      </c>
      <c r="C615" s="566">
        <v>0.1</v>
      </c>
      <c r="D615" s="859" t="s">
        <v>366</v>
      </c>
      <c r="E615" s="784">
        <v>3000000</v>
      </c>
      <c r="G615" s="321"/>
      <c r="H615" s="604"/>
      <c r="I615" s="318"/>
      <c r="J615" s="318"/>
      <c r="K615" s="606"/>
      <c r="L615" s="606"/>
      <c r="M615" s="625"/>
      <c r="N615" s="607"/>
      <c r="O615" s="639"/>
      <c r="P615" s="321"/>
      <c r="Q615" s="708"/>
    </row>
    <row r="616" spans="1:17">
      <c r="A616" s="887"/>
      <c r="B616" s="327"/>
      <c r="C616" s="328"/>
      <c r="D616" s="318"/>
      <c r="E616" s="321"/>
      <c r="F616" s="119"/>
      <c r="G616" s="318"/>
      <c r="H616" s="604"/>
      <c r="I616" s="318"/>
      <c r="J616" s="318"/>
      <c r="K616" s="625"/>
      <c r="L616" s="625"/>
      <c r="M616" s="318" t="s">
        <v>26</v>
      </c>
      <c r="N616" s="563">
        <f>SUM(N615:N615)</f>
        <v>0</v>
      </c>
      <c r="O616" s="589" t="s">
        <v>26</v>
      </c>
      <c r="P616" s="563">
        <f>SUM(P615:P615)</f>
        <v>0</v>
      </c>
      <c r="Q616" s="624"/>
    </row>
    <row r="617" spans="1:17">
      <c r="A617" s="887"/>
      <c r="B617" s="327"/>
      <c r="C617" s="328"/>
      <c r="D617" s="318"/>
      <c r="E617" s="321"/>
      <c r="F617" s="119"/>
      <c r="G617" s="318"/>
      <c r="H617" s="604"/>
      <c r="I617" s="318"/>
      <c r="J617" s="318"/>
      <c r="K617" s="625"/>
      <c r="L617" s="779"/>
      <c r="M617" s="589"/>
      <c r="N617" s="780"/>
      <c r="O617" s="589"/>
      <c r="P617" s="563"/>
      <c r="Q617" s="624"/>
    </row>
    <row r="618" spans="1:17" ht="15" customHeight="1">
      <c r="A618" s="888"/>
      <c r="B618" s="331"/>
      <c r="C618" s="332"/>
      <c r="D618" s="626" t="s">
        <v>26</v>
      </c>
      <c r="E618" s="563">
        <f>SUM(E615:E616)</f>
        <v>3000000</v>
      </c>
      <c r="F618" s="318" t="s">
        <v>26</v>
      </c>
      <c r="G618" s="563">
        <f>SUM(G615:G616)</f>
        <v>0</v>
      </c>
      <c r="H618" s="140"/>
      <c r="I618" s="140"/>
      <c r="J618" s="140"/>
      <c r="K618" s="626" t="s">
        <v>27</v>
      </c>
      <c r="L618" s="627"/>
      <c r="M618" s="627"/>
      <c r="N618" s="628"/>
      <c r="O618" s="629" t="s">
        <v>28</v>
      </c>
      <c r="P618" s="640">
        <f>G618+P616</f>
        <v>0</v>
      </c>
      <c r="Q618" s="624"/>
    </row>
    <row r="619" spans="1:17">
      <c r="A619" s="624"/>
      <c r="B619" s="709"/>
      <c r="C619" s="710"/>
      <c r="D619" s="624"/>
      <c r="E619" s="624"/>
      <c r="F619" s="624"/>
      <c r="G619" s="624"/>
      <c r="H619" s="624"/>
      <c r="I619" s="624"/>
      <c r="J619" s="624"/>
      <c r="K619" s="624"/>
      <c r="L619" s="624"/>
      <c r="M619" s="624"/>
      <c r="N619" s="624"/>
      <c r="O619" s="624"/>
      <c r="P619" s="624"/>
      <c r="Q619" s="624"/>
    </row>
    <row r="620" spans="1:17">
      <c r="A620" s="957"/>
      <c r="B620" s="959" t="s">
        <v>42</v>
      </c>
      <c r="C620" s="952"/>
      <c r="D620" s="960"/>
      <c r="E620" s="883">
        <f>E583+E596+E603+E611+E618</f>
        <v>35880000</v>
      </c>
      <c r="F620" s="624"/>
      <c r="G620" s="624"/>
      <c r="H620" s="624"/>
      <c r="I620" s="624"/>
      <c r="J620" s="624"/>
      <c r="K620" s="624"/>
      <c r="L620" s="624"/>
      <c r="M620" s="624"/>
      <c r="N620" s="624"/>
      <c r="O620" s="624"/>
      <c r="P620" s="624"/>
      <c r="Q620" s="624"/>
    </row>
    <row r="621" spans="1:17">
      <c r="A621" s="957"/>
      <c r="B621" s="826">
        <v>15515</v>
      </c>
      <c r="C621" s="827">
        <v>0.1</v>
      </c>
      <c r="D621" s="828" t="s">
        <v>367</v>
      </c>
      <c r="E621" s="729">
        <v>4300000</v>
      </c>
      <c r="F621" s="624"/>
      <c r="G621" s="624"/>
      <c r="H621" s="624"/>
      <c r="I621" s="624"/>
      <c r="J621" s="624"/>
      <c r="K621" s="624"/>
      <c r="L621" s="624"/>
      <c r="M621" s="624"/>
      <c r="N621" s="624"/>
      <c r="O621" s="624"/>
      <c r="P621" s="624"/>
      <c r="Q621" s="624"/>
    </row>
    <row r="622" spans="1:17">
      <c r="A622" s="957"/>
      <c r="B622" s="609">
        <v>15607</v>
      </c>
      <c r="C622" s="614">
        <v>0.08</v>
      </c>
      <c r="D622" s="828" t="s">
        <v>368</v>
      </c>
      <c r="E622" s="729">
        <v>3100000</v>
      </c>
      <c r="F622" s="624"/>
      <c r="G622" s="624"/>
      <c r="H622" s="624"/>
      <c r="I622" s="624"/>
      <c r="J622" s="624"/>
      <c r="K622" s="624"/>
      <c r="L622" s="624"/>
      <c r="M622" s="624"/>
      <c r="N622" s="624"/>
      <c r="O622" s="624"/>
      <c r="P622" s="624"/>
      <c r="Q622" s="624"/>
    </row>
    <row r="623" spans="1:17" ht="26.25">
      <c r="A623" s="957"/>
      <c r="B623" s="961" t="s">
        <v>369</v>
      </c>
      <c r="C623" s="961"/>
      <c r="D623" s="962"/>
      <c r="E623" s="884">
        <f>SUM(E620:E622)</f>
        <v>43280000</v>
      </c>
      <c r="F623" s="624"/>
      <c r="G623" s="624"/>
      <c r="H623" s="624"/>
      <c r="I623" s="624"/>
      <c r="J623" s="624"/>
      <c r="K623" s="624"/>
      <c r="L623" s="624"/>
      <c r="M623" s="624"/>
      <c r="N623" s="624"/>
      <c r="O623" s="624"/>
      <c r="P623" s="624"/>
      <c r="Q623" s="624"/>
    </row>
    <row r="624" spans="1:17">
      <c r="A624" s="957"/>
      <c r="B624" s="963"/>
      <c r="C624" s="963"/>
      <c r="D624" s="964"/>
      <c r="E624" s="806"/>
      <c r="F624" s="624"/>
      <c r="G624" s="624"/>
      <c r="I624" s="624"/>
      <c r="J624" s="624"/>
      <c r="K624" s="624"/>
      <c r="L624" s="624"/>
      <c r="M624" s="624"/>
      <c r="N624" s="624"/>
      <c r="O624" s="624"/>
      <c r="P624" s="624"/>
      <c r="Q624" s="624"/>
    </row>
  </sheetData>
  <mergeCells count="262">
    <mergeCell ref="A600:A603"/>
    <mergeCell ref="A605:J605"/>
    <mergeCell ref="K605:P605"/>
    <mergeCell ref="A607:A611"/>
    <mergeCell ref="A620:A624"/>
    <mergeCell ref="B620:D620"/>
    <mergeCell ref="B623:D623"/>
    <mergeCell ref="B624:D624"/>
    <mergeCell ref="A570:P570"/>
    <mergeCell ref="A571:J571"/>
    <mergeCell ref="K571:P571"/>
    <mergeCell ref="A573:A583"/>
    <mergeCell ref="A586:J586"/>
    <mergeCell ref="K586:P586"/>
    <mergeCell ref="A588:A596"/>
    <mergeCell ref="A598:J598"/>
    <mergeCell ref="K598:P598"/>
    <mergeCell ref="A613:J613"/>
    <mergeCell ref="K613:P613"/>
    <mergeCell ref="A615:A618"/>
    <mergeCell ref="A551:A555"/>
    <mergeCell ref="A557:J557"/>
    <mergeCell ref="K557:P557"/>
    <mergeCell ref="A559:A562"/>
    <mergeCell ref="A564:A566"/>
    <mergeCell ref="B564:D564"/>
    <mergeCell ref="B565:D565"/>
    <mergeCell ref="B566:D566"/>
    <mergeCell ref="A524:P524"/>
    <mergeCell ref="A525:J525"/>
    <mergeCell ref="K525:P525"/>
    <mergeCell ref="A527:A536"/>
    <mergeCell ref="A539:J539"/>
    <mergeCell ref="K539:P539"/>
    <mergeCell ref="A541:A547"/>
    <mergeCell ref="A549:J549"/>
    <mergeCell ref="K549:P549"/>
    <mergeCell ref="A498:J498"/>
    <mergeCell ref="K498:P498"/>
    <mergeCell ref="A500:A507"/>
    <mergeCell ref="A509:J509"/>
    <mergeCell ref="K509:P509"/>
    <mergeCell ref="A511:A514"/>
    <mergeCell ref="A516:A518"/>
    <mergeCell ref="B516:D516"/>
    <mergeCell ref="B517:D517"/>
    <mergeCell ref="B518:D518"/>
    <mergeCell ref="A462:P462"/>
    <mergeCell ref="A463:J463"/>
    <mergeCell ref="K463:P463"/>
    <mergeCell ref="A465:A477"/>
    <mergeCell ref="A480:J480"/>
    <mergeCell ref="K480:P480"/>
    <mergeCell ref="A482:A496"/>
    <mergeCell ref="A428:A434"/>
    <mergeCell ref="A436:J436"/>
    <mergeCell ref="K436:P436"/>
    <mergeCell ref="A446:J446"/>
    <mergeCell ref="K446:P446"/>
    <mergeCell ref="A453:A455"/>
    <mergeCell ref="B453:D453"/>
    <mergeCell ref="B454:D454"/>
    <mergeCell ref="B455:D455"/>
    <mergeCell ref="A438:A444"/>
    <mergeCell ref="A448:A451"/>
    <mergeCell ref="A398:P398"/>
    <mergeCell ref="A399:J399"/>
    <mergeCell ref="K399:P399"/>
    <mergeCell ref="A401:A412"/>
    <mergeCell ref="A415:J415"/>
    <mergeCell ref="K415:P415"/>
    <mergeCell ref="A417:A424"/>
    <mergeCell ref="A426:J426"/>
    <mergeCell ref="K426:P426"/>
    <mergeCell ref="A293:A299"/>
    <mergeCell ref="A306:A310"/>
    <mergeCell ref="A326:A327"/>
    <mergeCell ref="B326:B327"/>
    <mergeCell ref="C326:C327"/>
    <mergeCell ref="D326:D327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14:H314"/>
    <mergeCell ref="I314:Q314"/>
    <mergeCell ref="A318:D318"/>
    <mergeCell ref="H318:M318"/>
    <mergeCell ref="N318:P318"/>
    <mergeCell ref="A321:A323"/>
    <mergeCell ref="B321:D321"/>
    <mergeCell ref="B322:D322"/>
    <mergeCell ref="B323:D323"/>
    <mergeCell ref="A16:A20"/>
    <mergeCell ref="A22:J22"/>
    <mergeCell ref="K22:P22"/>
    <mergeCell ref="A24:A28"/>
    <mergeCell ref="A30:J30"/>
    <mergeCell ref="K30:P30"/>
    <mergeCell ref="A304:H304"/>
    <mergeCell ref="I304:Q304"/>
    <mergeCell ref="A311:D311"/>
    <mergeCell ref="H311:M311"/>
    <mergeCell ref="N311:P311"/>
    <mergeCell ref="A273:Q273"/>
    <mergeCell ref="A275:H275"/>
    <mergeCell ref="I275:Q275"/>
    <mergeCell ref="A288:D288"/>
    <mergeCell ref="H288:M288"/>
    <mergeCell ref="N288:P288"/>
    <mergeCell ref="A291:H291"/>
    <mergeCell ref="I291:Q291"/>
    <mergeCell ref="A300:D300"/>
    <mergeCell ref="H300:M300"/>
    <mergeCell ref="N300:P300"/>
    <mergeCell ref="N170:R170"/>
    <mergeCell ref="A164:A167"/>
    <mergeCell ref="A151:A159"/>
    <mergeCell ref="A148:R148"/>
    <mergeCell ref="A32:A36"/>
    <mergeCell ref="A38:J38"/>
    <mergeCell ref="K38:P38"/>
    <mergeCell ref="A40:A43"/>
    <mergeCell ref="A45:A47"/>
    <mergeCell ref="B45:D45"/>
    <mergeCell ref="B46:D46"/>
    <mergeCell ref="B47:D47"/>
    <mergeCell ref="A108:A115"/>
    <mergeCell ref="A118:M118"/>
    <mergeCell ref="N118:R118"/>
    <mergeCell ref="A120:A126"/>
    <mergeCell ref="A129:M129"/>
    <mergeCell ref="N129:R129"/>
    <mergeCell ref="N106:R106"/>
    <mergeCell ref="A149:M149"/>
    <mergeCell ref="N149:R149"/>
    <mergeCell ref="A131:A133"/>
    <mergeCell ref="A135:M135"/>
    <mergeCell ref="N135:R135"/>
    <mergeCell ref="A137:A139"/>
    <mergeCell ref="A141:A143"/>
    <mergeCell ref="I200:Q200"/>
    <mergeCell ref="A213:D213"/>
    <mergeCell ref="H213:M213"/>
    <mergeCell ref="N213:P213"/>
    <mergeCell ref="A1:P1"/>
    <mergeCell ref="A2:J2"/>
    <mergeCell ref="K2:P2"/>
    <mergeCell ref="A4:A11"/>
    <mergeCell ref="A14:J14"/>
    <mergeCell ref="K14:P14"/>
    <mergeCell ref="A189:A191"/>
    <mergeCell ref="A194:A196"/>
    <mergeCell ref="B194:D194"/>
    <mergeCell ref="B195:D195"/>
    <mergeCell ref="B196:D196"/>
    <mergeCell ref="A172:A174"/>
    <mergeCell ref="A177:M177"/>
    <mergeCell ref="N177:R177"/>
    <mergeCell ref="A187:M187"/>
    <mergeCell ref="N187:R187"/>
    <mergeCell ref="A179:A185"/>
    <mergeCell ref="A162:M162"/>
    <mergeCell ref="N162:R162"/>
    <mergeCell ref="A170:M170"/>
    <mergeCell ref="B141:D141"/>
    <mergeCell ref="B142:D142"/>
    <mergeCell ref="B143:D143"/>
    <mergeCell ref="A87:A90"/>
    <mergeCell ref="A92:M92"/>
    <mergeCell ref="N92:R92"/>
    <mergeCell ref="A94:A97"/>
    <mergeCell ref="A99:A101"/>
    <mergeCell ref="B99:D99"/>
    <mergeCell ref="B100:D100"/>
    <mergeCell ref="B101:D101"/>
    <mergeCell ref="D266:D267"/>
    <mergeCell ref="N254:P254"/>
    <mergeCell ref="A240:H240"/>
    <mergeCell ref="I240:Q240"/>
    <mergeCell ref="A264:A265"/>
    <mergeCell ref="B264:B265"/>
    <mergeCell ref="C264:C265"/>
    <mergeCell ref="D264:D265"/>
    <mergeCell ref="D262:D263"/>
    <mergeCell ref="C262:C263"/>
    <mergeCell ref="B262:B263"/>
    <mergeCell ref="A262:A263"/>
    <mergeCell ref="A257:A259"/>
    <mergeCell ref="N247:P247"/>
    <mergeCell ref="D268:D269"/>
    <mergeCell ref="A50:R50"/>
    <mergeCell ref="A51:M51"/>
    <mergeCell ref="N51:R51"/>
    <mergeCell ref="A53:A64"/>
    <mergeCell ref="A67:M67"/>
    <mergeCell ref="N67:R67"/>
    <mergeCell ref="A69:A75"/>
    <mergeCell ref="A77:M77"/>
    <mergeCell ref="N77:R77"/>
    <mergeCell ref="A79:A83"/>
    <mergeCell ref="A85:M85"/>
    <mergeCell ref="N85:R85"/>
    <mergeCell ref="A105:R105"/>
    <mergeCell ref="A106:M106"/>
    <mergeCell ref="A198:Q198"/>
    <mergeCell ref="A200:H200"/>
    <mergeCell ref="I250:Q250"/>
    <mergeCell ref="A252:A253"/>
    <mergeCell ref="A254:D254"/>
    <mergeCell ref="H254:M254"/>
    <mergeCell ref="A266:A267"/>
    <mergeCell ref="B266:B267"/>
    <mergeCell ref="C266:C267"/>
    <mergeCell ref="A277:A287"/>
    <mergeCell ref="A202:A212"/>
    <mergeCell ref="A230:A236"/>
    <mergeCell ref="A242:A246"/>
    <mergeCell ref="B257:D257"/>
    <mergeCell ref="B258:D258"/>
    <mergeCell ref="B259:D259"/>
    <mergeCell ref="A250:H250"/>
    <mergeCell ref="A247:D247"/>
    <mergeCell ref="H247:M247"/>
    <mergeCell ref="A216:H216"/>
    <mergeCell ref="I216:Q216"/>
    <mergeCell ref="A224:D224"/>
    <mergeCell ref="H224:M224"/>
    <mergeCell ref="N224:P224"/>
    <mergeCell ref="A228:H228"/>
    <mergeCell ref="I228:Q228"/>
    <mergeCell ref="A237:D237"/>
    <mergeCell ref="H237:M237"/>
    <mergeCell ref="N237:P237"/>
    <mergeCell ref="A218:A223"/>
    <mergeCell ref="A268:A269"/>
    <mergeCell ref="B268:B269"/>
    <mergeCell ref="C268:C269"/>
    <mergeCell ref="A335:P335"/>
    <mergeCell ref="A336:J336"/>
    <mergeCell ref="K336:P336"/>
    <mergeCell ref="A338:A349"/>
    <mergeCell ref="A352:J352"/>
    <mergeCell ref="K352:P352"/>
    <mergeCell ref="A354:A365"/>
    <mergeCell ref="A367:J367"/>
    <mergeCell ref="K367:P367"/>
    <mergeCell ref="A369:A374"/>
    <mergeCell ref="A376:J376"/>
    <mergeCell ref="K376:P376"/>
    <mergeCell ref="A386:J386"/>
    <mergeCell ref="K386:P386"/>
    <mergeCell ref="A392:A394"/>
    <mergeCell ref="B392:D392"/>
    <mergeCell ref="B393:D393"/>
    <mergeCell ref="B394:D394"/>
    <mergeCell ref="A378:A384"/>
    <mergeCell ref="A388:A39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874E-B5FD-48E2-9C5F-7CABCA61469E}">
  <dimension ref="A1:AMI709"/>
  <sheetViews>
    <sheetView tabSelected="1" topLeftCell="A601" workbookViewId="0">
      <selection activeCell="A661" sqref="A661"/>
    </sheetView>
  </sheetViews>
  <sheetFormatPr defaultRowHeight="15"/>
  <cols>
    <col min="1" max="1" width="15.85546875" customWidth="1"/>
    <col min="2" max="2" width="16.7109375" customWidth="1"/>
    <col min="3" max="3" width="77.28515625" customWidth="1"/>
    <col min="4" max="4" width="48.5703125" customWidth="1"/>
    <col min="5" max="5" width="16.7109375" customWidth="1"/>
    <col min="6" max="6" width="10.42578125" customWidth="1"/>
    <col min="7" max="7" width="18.140625" customWidth="1"/>
  </cols>
  <sheetData>
    <row r="1" spans="1:8" ht="22.5">
      <c r="A1" s="965" t="s">
        <v>370</v>
      </c>
      <c r="B1" s="965"/>
      <c r="C1" s="965"/>
      <c r="D1" s="965"/>
      <c r="E1" s="965"/>
      <c r="F1" s="965"/>
      <c r="G1" s="965"/>
    </row>
    <row r="2" spans="1:8" hidden="1">
      <c r="A2" s="118"/>
      <c r="B2" s="118"/>
      <c r="C2" s="118"/>
      <c r="D2" s="118"/>
      <c r="E2" s="118"/>
      <c r="F2" s="118"/>
      <c r="G2" s="118"/>
    </row>
    <row r="3" spans="1:8" hidden="1">
      <c r="A3" s="948" t="s">
        <v>371</v>
      </c>
      <c r="B3" s="948"/>
      <c r="C3" s="948"/>
      <c r="D3" s="948"/>
      <c r="E3" s="948"/>
      <c r="F3" s="948"/>
      <c r="G3" s="948"/>
    </row>
    <row r="4" spans="1:8" hidden="1">
      <c r="A4" s="107" t="s">
        <v>372</v>
      </c>
      <c r="B4" s="119" t="s">
        <v>373</v>
      </c>
      <c r="C4" s="119" t="s">
        <v>11</v>
      </c>
      <c r="D4" s="119" t="s">
        <v>6</v>
      </c>
      <c r="E4" s="119" t="s">
        <v>29</v>
      </c>
      <c r="F4" s="119" t="s">
        <v>8</v>
      </c>
      <c r="G4" s="120" t="s">
        <v>41</v>
      </c>
    </row>
    <row r="5" spans="1:8" hidden="1">
      <c r="A5" s="15">
        <v>13016</v>
      </c>
      <c r="B5" s="121">
        <v>0.1</v>
      </c>
      <c r="C5" s="122"/>
      <c r="D5" s="11" t="s">
        <v>22</v>
      </c>
      <c r="E5" s="123">
        <v>1800000</v>
      </c>
      <c r="F5" s="124">
        <v>0.02</v>
      </c>
      <c r="G5" s="125">
        <f>E5*F5</f>
        <v>36000</v>
      </c>
    </row>
    <row r="6" spans="1:8" hidden="1">
      <c r="A6" s="15">
        <v>13100</v>
      </c>
      <c r="B6" s="121">
        <v>0.1</v>
      </c>
      <c r="C6" s="122"/>
      <c r="D6" s="11" t="s">
        <v>25</v>
      </c>
      <c r="E6" s="123">
        <v>2050000</v>
      </c>
      <c r="F6" s="124">
        <v>0.02</v>
      </c>
      <c r="G6" s="125">
        <f t="shared" ref="G6:G11" si="0">E6*F6</f>
        <v>41000</v>
      </c>
    </row>
    <row r="7" spans="1:8" hidden="1">
      <c r="A7" s="65" t="s">
        <v>34</v>
      </c>
      <c r="B7" s="121">
        <v>0.1</v>
      </c>
      <c r="C7" s="122"/>
      <c r="D7" s="11" t="s">
        <v>35</v>
      </c>
      <c r="E7" s="123">
        <v>1550000</v>
      </c>
      <c r="F7" s="124">
        <v>0.02</v>
      </c>
      <c r="G7" s="125">
        <f t="shared" si="0"/>
        <v>31000</v>
      </c>
    </row>
    <row r="8" spans="1:8" hidden="1">
      <c r="A8" s="65">
        <v>13020</v>
      </c>
      <c r="B8" s="121">
        <v>0.1</v>
      </c>
      <c r="C8" s="122"/>
      <c r="D8" s="16" t="s">
        <v>32</v>
      </c>
      <c r="E8" s="123">
        <v>1950000</v>
      </c>
      <c r="F8" s="124">
        <v>0.02</v>
      </c>
      <c r="G8" s="125">
        <f t="shared" si="0"/>
        <v>39000</v>
      </c>
    </row>
    <row r="9" spans="1:8" ht="15" hidden="1" customHeight="1">
      <c r="A9" s="15">
        <v>12924</v>
      </c>
      <c r="B9" s="121">
        <v>0.1</v>
      </c>
      <c r="C9" s="122"/>
      <c r="D9" s="16" t="s">
        <v>374</v>
      </c>
      <c r="E9" s="123">
        <v>1600000</v>
      </c>
      <c r="F9" s="124">
        <v>0.02</v>
      </c>
      <c r="G9" s="125">
        <f t="shared" si="0"/>
        <v>32000</v>
      </c>
      <c r="H9" s="971" t="s">
        <v>375</v>
      </c>
    </row>
    <row r="10" spans="1:8" hidden="1">
      <c r="A10" s="15">
        <v>12963</v>
      </c>
      <c r="B10" s="121">
        <v>0.1</v>
      </c>
      <c r="C10" s="122"/>
      <c r="D10" s="16" t="s">
        <v>376</v>
      </c>
      <c r="E10" s="123">
        <v>1850000</v>
      </c>
      <c r="F10" s="124">
        <v>0.02</v>
      </c>
      <c r="G10" s="125">
        <f t="shared" si="0"/>
        <v>37000</v>
      </c>
      <c r="H10" s="971"/>
    </row>
    <row r="11" spans="1:8" hidden="1">
      <c r="A11" s="15">
        <v>13033</v>
      </c>
      <c r="B11" s="121">
        <v>0.1</v>
      </c>
      <c r="C11" s="122"/>
      <c r="D11" s="16" t="s">
        <v>377</v>
      </c>
      <c r="E11" s="123">
        <v>1200000</v>
      </c>
      <c r="F11" s="124">
        <v>0.02</v>
      </c>
      <c r="G11" s="125">
        <f t="shared" si="0"/>
        <v>24000</v>
      </c>
      <c r="H11" s="971"/>
    </row>
    <row r="12" spans="1:8" hidden="1">
      <c r="A12" s="107"/>
      <c r="B12" s="126"/>
      <c r="C12" s="127"/>
      <c r="D12" s="128"/>
      <c r="E12" s="26"/>
      <c r="F12" s="129"/>
      <c r="G12" s="130"/>
      <c r="H12" s="971"/>
    </row>
    <row r="13" spans="1:8" hidden="1">
      <c r="A13" s="131"/>
      <c r="B13" s="126"/>
      <c r="C13" s="128"/>
      <c r="D13" s="4"/>
      <c r="E13" s="26"/>
      <c r="F13" s="129"/>
      <c r="G13" s="130"/>
    </row>
    <row r="14" spans="1:8" hidden="1">
      <c r="A14" s="35"/>
      <c r="B14" s="35"/>
      <c r="C14" s="35"/>
      <c r="D14" s="35" t="s">
        <v>378</v>
      </c>
      <c r="E14" s="132">
        <f>SUM(E5:E13)</f>
        <v>12000000</v>
      </c>
      <c r="F14" s="133"/>
      <c r="G14" s="134">
        <f>SUM(G5:G13)</f>
        <v>240000</v>
      </c>
    </row>
    <row r="15" spans="1:8" hidden="1"/>
    <row r="16" spans="1:8" hidden="1"/>
    <row r="17" spans="1:7" hidden="1">
      <c r="A17" s="948" t="s">
        <v>379</v>
      </c>
      <c r="B17" s="948"/>
      <c r="C17" s="948"/>
      <c r="D17" s="948"/>
      <c r="E17" s="948"/>
      <c r="F17" s="948"/>
      <c r="G17" s="948"/>
    </row>
    <row r="18" spans="1:7" hidden="1">
      <c r="A18" s="107" t="s">
        <v>372</v>
      </c>
      <c r="B18" s="119" t="s">
        <v>373</v>
      </c>
      <c r="C18" s="119" t="s">
        <v>11</v>
      </c>
      <c r="D18" s="119" t="s">
        <v>6</v>
      </c>
      <c r="E18" s="119" t="s">
        <v>29</v>
      </c>
      <c r="F18" s="119" t="s">
        <v>8</v>
      </c>
      <c r="G18" s="119" t="s">
        <v>124</v>
      </c>
    </row>
    <row r="19" spans="1:7" hidden="1">
      <c r="A19" s="15">
        <v>12912</v>
      </c>
      <c r="B19" s="22">
        <v>0.08</v>
      </c>
      <c r="C19" s="135"/>
      <c r="D19" s="112" t="s">
        <v>15</v>
      </c>
      <c r="E19" s="12">
        <v>1780000</v>
      </c>
      <c r="F19" s="66">
        <v>0.01</v>
      </c>
      <c r="G19" s="136">
        <f>E19*F19</f>
        <v>17800</v>
      </c>
    </row>
    <row r="20" spans="1:7" hidden="1">
      <c r="A20" s="15">
        <v>12962</v>
      </c>
      <c r="B20" s="10">
        <v>0.1</v>
      </c>
      <c r="C20" s="135"/>
      <c r="D20" s="11" t="s">
        <v>18</v>
      </c>
      <c r="E20" s="12">
        <v>2500000</v>
      </c>
      <c r="F20" s="45">
        <v>0.02</v>
      </c>
      <c r="G20" s="136">
        <f t="shared" ref="G20:G24" si="1">E20*F20</f>
        <v>50000</v>
      </c>
    </row>
    <row r="21" spans="1:7" hidden="1">
      <c r="A21" s="15">
        <v>12986</v>
      </c>
      <c r="B21" s="10">
        <v>0.1</v>
      </c>
      <c r="C21" s="135"/>
      <c r="D21" s="11" t="s">
        <v>21</v>
      </c>
      <c r="E21" s="12">
        <v>2200000</v>
      </c>
      <c r="F21" s="45">
        <v>0.02</v>
      </c>
      <c r="G21" s="136">
        <f t="shared" si="1"/>
        <v>44000</v>
      </c>
    </row>
    <row r="22" spans="1:7" hidden="1">
      <c r="A22" s="15">
        <v>13090</v>
      </c>
      <c r="B22" s="10">
        <v>0.1</v>
      </c>
      <c r="C22" s="135"/>
      <c r="D22" s="11" t="s">
        <v>23</v>
      </c>
      <c r="E22" s="12">
        <v>1800000</v>
      </c>
      <c r="F22" s="45">
        <v>0.02</v>
      </c>
      <c r="G22" s="136">
        <f t="shared" si="1"/>
        <v>36000</v>
      </c>
    </row>
    <row r="23" spans="1:7" hidden="1">
      <c r="A23" s="65">
        <v>12980</v>
      </c>
      <c r="B23" s="10">
        <v>0.1</v>
      </c>
      <c r="C23" s="135"/>
      <c r="D23" s="16" t="s">
        <v>30</v>
      </c>
      <c r="E23" s="12">
        <v>1100000</v>
      </c>
      <c r="F23" s="45">
        <v>0.02</v>
      </c>
      <c r="G23" s="136">
        <f t="shared" si="1"/>
        <v>22000</v>
      </c>
    </row>
    <row r="24" spans="1:7" hidden="1">
      <c r="A24" s="65">
        <v>13092</v>
      </c>
      <c r="B24" s="10">
        <v>0.1</v>
      </c>
      <c r="C24" s="137"/>
      <c r="D24" s="16" t="s">
        <v>36</v>
      </c>
      <c r="E24" s="12">
        <v>2000000</v>
      </c>
      <c r="F24" s="45">
        <v>0.02</v>
      </c>
      <c r="G24" s="136">
        <f t="shared" si="1"/>
        <v>40000</v>
      </c>
    </row>
    <row r="25" spans="1:7" hidden="1">
      <c r="A25" s="131"/>
      <c r="B25" s="126"/>
      <c r="C25" s="138"/>
      <c r="D25" s="4"/>
      <c r="E25" s="26"/>
      <c r="F25" s="70"/>
      <c r="G25" s="139"/>
    </row>
    <row r="26" spans="1:7" hidden="1">
      <c r="A26" s="140"/>
      <c r="B26" s="140"/>
      <c r="C26" s="35"/>
      <c r="D26" s="35" t="s">
        <v>378</v>
      </c>
      <c r="E26" s="132">
        <f>SUM(E19:E25)</f>
        <v>11380000</v>
      </c>
      <c r="F26" s="133"/>
      <c r="G26" s="134">
        <f>SUM(G19:G25)</f>
        <v>209800</v>
      </c>
    </row>
    <row r="27" spans="1:7" hidden="1">
      <c r="A27" s="141"/>
      <c r="B27" s="141"/>
      <c r="C27" s="141"/>
      <c r="D27" s="141"/>
      <c r="E27" s="141"/>
      <c r="F27" s="141"/>
      <c r="G27" s="141"/>
    </row>
    <row r="28" spans="1:7" hidden="1"/>
    <row r="29" spans="1:7" hidden="1">
      <c r="A29" s="904" t="s">
        <v>380</v>
      </c>
      <c r="B29" s="904"/>
      <c r="C29" s="904"/>
      <c r="D29" s="904"/>
      <c r="E29" s="904"/>
      <c r="F29" s="904"/>
      <c r="G29" s="904"/>
    </row>
    <row r="30" spans="1:7" hidden="1">
      <c r="A30" s="120" t="s">
        <v>372</v>
      </c>
      <c r="B30" s="120" t="s">
        <v>373</v>
      </c>
      <c r="C30" s="120" t="s">
        <v>11</v>
      </c>
      <c r="D30" s="120" t="s">
        <v>6</v>
      </c>
      <c r="E30" s="120" t="s">
        <v>29</v>
      </c>
      <c r="F30" s="120" t="s">
        <v>8</v>
      </c>
      <c r="G30" s="120" t="s">
        <v>381</v>
      </c>
    </row>
    <row r="31" spans="1:7" hidden="1">
      <c r="A31" s="15">
        <v>13016</v>
      </c>
      <c r="B31" s="121">
        <v>0.1</v>
      </c>
      <c r="C31" s="122"/>
      <c r="D31" s="11" t="s">
        <v>22</v>
      </c>
      <c r="E31" s="136">
        <v>1800000</v>
      </c>
      <c r="F31" s="124">
        <v>0.02</v>
      </c>
      <c r="G31" s="142">
        <f>E31*F31</f>
        <v>36000</v>
      </c>
    </row>
    <row r="32" spans="1:7" hidden="1">
      <c r="A32" s="15">
        <v>13100</v>
      </c>
      <c r="B32" s="121">
        <v>0.1</v>
      </c>
      <c r="C32" s="122"/>
      <c r="D32" s="11" t="s">
        <v>25</v>
      </c>
      <c r="E32" s="136">
        <v>2050000</v>
      </c>
      <c r="F32" s="124">
        <v>0.02</v>
      </c>
      <c r="G32" s="142">
        <f t="shared" ref="G32:G34" si="2">E32*F32</f>
        <v>41000</v>
      </c>
    </row>
    <row r="33" spans="1:7" hidden="1">
      <c r="A33" s="65" t="s">
        <v>34</v>
      </c>
      <c r="B33" s="121">
        <v>0.1</v>
      </c>
      <c r="C33" s="122"/>
      <c r="D33" s="11" t="s">
        <v>35</v>
      </c>
      <c r="E33" s="136">
        <v>1550000</v>
      </c>
      <c r="F33" s="124">
        <v>0.02</v>
      </c>
      <c r="G33" s="142">
        <f t="shared" si="2"/>
        <v>31000</v>
      </c>
    </row>
    <row r="34" spans="1:7" hidden="1">
      <c r="A34" s="65">
        <v>13020</v>
      </c>
      <c r="B34" s="121">
        <v>0.1</v>
      </c>
      <c r="C34" s="122"/>
      <c r="D34" s="16" t="s">
        <v>32</v>
      </c>
      <c r="E34" s="136">
        <v>1950000</v>
      </c>
      <c r="F34" s="124">
        <v>0.02</v>
      </c>
      <c r="G34" s="142">
        <f t="shared" si="2"/>
        <v>39000</v>
      </c>
    </row>
    <row r="35" spans="1:7" hidden="1">
      <c r="A35" s="15">
        <v>12912</v>
      </c>
      <c r="B35" s="22">
        <v>0.08</v>
      </c>
      <c r="C35" s="135"/>
      <c r="D35" s="112" t="s">
        <v>15</v>
      </c>
      <c r="E35" s="136">
        <v>1780000</v>
      </c>
      <c r="F35" s="66">
        <v>0.01</v>
      </c>
      <c r="G35" s="136">
        <f>E35*F35</f>
        <v>17800</v>
      </c>
    </row>
    <row r="36" spans="1:7" hidden="1">
      <c r="A36" s="15">
        <v>12962</v>
      </c>
      <c r="B36" s="10">
        <v>0.1</v>
      </c>
      <c r="C36" s="135"/>
      <c r="D36" s="11" t="s">
        <v>18</v>
      </c>
      <c r="E36" s="136">
        <v>2500000</v>
      </c>
      <c r="F36" s="45">
        <v>0.02</v>
      </c>
      <c r="G36" s="136">
        <f t="shared" ref="G36:G40" si="3">E36*F36</f>
        <v>50000</v>
      </c>
    </row>
    <row r="37" spans="1:7" hidden="1">
      <c r="A37" s="15">
        <v>12986</v>
      </c>
      <c r="B37" s="10">
        <v>0.1</v>
      </c>
      <c r="C37" s="135"/>
      <c r="D37" s="11" t="s">
        <v>21</v>
      </c>
      <c r="E37" s="136">
        <v>2200000</v>
      </c>
      <c r="F37" s="45">
        <v>0.02</v>
      </c>
      <c r="G37" s="136">
        <f t="shared" si="3"/>
        <v>44000</v>
      </c>
    </row>
    <row r="38" spans="1:7" hidden="1">
      <c r="A38" s="15">
        <v>13090</v>
      </c>
      <c r="B38" s="10">
        <v>0.1</v>
      </c>
      <c r="C38" s="135"/>
      <c r="D38" s="11" t="s">
        <v>23</v>
      </c>
      <c r="E38" s="136">
        <v>1800000</v>
      </c>
      <c r="F38" s="45">
        <v>0.02</v>
      </c>
      <c r="G38" s="136">
        <f t="shared" si="3"/>
        <v>36000</v>
      </c>
    </row>
    <row r="39" spans="1:7" hidden="1">
      <c r="A39" s="65">
        <v>12980</v>
      </c>
      <c r="B39" s="10">
        <v>0.1</v>
      </c>
      <c r="C39" s="135"/>
      <c r="D39" s="16" t="s">
        <v>30</v>
      </c>
      <c r="E39" s="136">
        <v>1100000</v>
      </c>
      <c r="F39" s="45">
        <v>0.02</v>
      </c>
      <c r="G39" s="136">
        <f t="shared" si="3"/>
        <v>22000</v>
      </c>
    </row>
    <row r="40" spans="1:7" hidden="1">
      <c r="A40" s="65">
        <v>13092</v>
      </c>
      <c r="B40" s="10">
        <v>0.1</v>
      </c>
      <c r="C40" s="137"/>
      <c r="D40" s="16" t="s">
        <v>36</v>
      </c>
      <c r="E40" s="136">
        <v>2000000</v>
      </c>
      <c r="F40" s="45">
        <v>0.02</v>
      </c>
      <c r="G40" s="136">
        <f t="shared" si="3"/>
        <v>40000</v>
      </c>
    </row>
    <row r="41" spans="1:7" hidden="1">
      <c r="A41" s="143"/>
      <c r="B41" s="144"/>
      <c r="C41" s="138"/>
      <c r="D41" s="145"/>
      <c r="E41" s="26"/>
      <c r="F41" s="146"/>
      <c r="G41" s="139"/>
    </row>
    <row r="42" spans="1:7" hidden="1">
      <c r="A42" s="147"/>
      <c r="B42" s="133"/>
      <c r="C42" s="133"/>
      <c r="D42" s="148" t="s">
        <v>378</v>
      </c>
      <c r="E42" s="132">
        <f>SUM(E31:E40)</f>
        <v>18730000</v>
      </c>
      <c r="F42" s="35"/>
      <c r="G42" s="149">
        <f>SUM(G31:G40)</f>
        <v>356800</v>
      </c>
    </row>
    <row r="44" spans="1:7" ht="22.5">
      <c r="A44" s="965" t="s">
        <v>382</v>
      </c>
      <c r="B44" s="965"/>
      <c r="C44" s="965"/>
      <c r="D44" s="965"/>
      <c r="E44" s="965"/>
      <c r="F44" s="965"/>
      <c r="G44" s="965"/>
    </row>
    <row r="45" spans="1:7" hidden="1">
      <c r="A45" s="118"/>
      <c r="B45" s="118"/>
      <c r="C45" s="118"/>
      <c r="D45" s="118"/>
      <c r="E45" s="118"/>
      <c r="F45" s="118"/>
      <c r="G45" s="118"/>
    </row>
    <row r="46" spans="1:7" hidden="1">
      <c r="A46" s="948" t="s">
        <v>383</v>
      </c>
      <c r="B46" s="948"/>
      <c r="C46" s="948"/>
      <c r="D46" s="948"/>
      <c r="E46" s="948"/>
      <c r="F46" s="948"/>
      <c r="G46" s="948"/>
    </row>
    <row r="47" spans="1:7" hidden="1">
      <c r="A47" s="107" t="s">
        <v>372</v>
      </c>
      <c r="B47" s="119" t="s">
        <v>373</v>
      </c>
      <c r="C47" s="119" t="s">
        <v>11</v>
      </c>
      <c r="D47" s="119" t="s">
        <v>6</v>
      </c>
      <c r="E47" s="119" t="s">
        <v>29</v>
      </c>
      <c r="F47" s="119" t="s">
        <v>8</v>
      </c>
      <c r="G47" s="120" t="s">
        <v>41</v>
      </c>
    </row>
    <row r="48" spans="1:7" hidden="1">
      <c r="A48" s="15">
        <v>13211</v>
      </c>
      <c r="B48" s="10" t="s">
        <v>49</v>
      </c>
      <c r="C48" s="135" t="s">
        <v>384</v>
      </c>
      <c r="D48" s="150" t="s">
        <v>385</v>
      </c>
      <c r="E48" s="123">
        <v>2200000</v>
      </c>
      <c r="F48" s="151">
        <v>0.02</v>
      </c>
      <c r="G48" s="125">
        <f>E48*F48</f>
        <v>44000</v>
      </c>
    </row>
    <row r="49" spans="1:8" hidden="1">
      <c r="A49" s="15">
        <v>13263</v>
      </c>
      <c r="B49" s="10">
        <v>0.1</v>
      </c>
      <c r="C49" s="137"/>
      <c r="D49" s="11" t="s">
        <v>53</v>
      </c>
      <c r="E49" s="123">
        <v>1500000</v>
      </c>
      <c r="F49" s="124">
        <v>0.03</v>
      </c>
      <c r="G49" s="125">
        <f t="shared" ref="G49:G54" si="4">E49*F49</f>
        <v>45000</v>
      </c>
    </row>
    <row r="50" spans="1:8" hidden="1">
      <c r="A50" s="15">
        <v>13330</v>
      </c>
      <c r="B50" s="10">
        <v>0.1</v>
      </c>
      <c r="C50" s="137"/>
      <c r="D50" s="11" t="s">
        <v>58</v>
      </c>
      <c r="E50" s="123">
        <v>2100000</v>
      </c>
      <c r="F50" s="124">
        <v>0.03</v>
      </c>
      <c r="G50" s="125">
        <f t="shared" si="4"/>
        <v>63000</v>
      </c>
    </row>
    <row r="51" spans="1:8" hidden="1">
      <c r="A51" s="15">
        <v>13335</v>
      </c>
      <c r="B51" s="10">
        <v>0.1</v>
      </c>
      <c r="C51" s="137"/>
      <c r="D51" s="11" t="s">
        <v>59</v>
      </c>
      <c r="E51" s="123">
        <v>1400000</v>
      </c>
      <c r="F51" s="124">
        <v>0.03</v>
      </c>
      <c r="G51" s="125">
        <f t="shared" si="4"/>
        <v>42000</v>
      </c>
    </row>
    <row r="52" spans="1:8" ht="15" hidden="1" customHeight="1">
      <c r="A52" s="65">
        <v>13229</v>
      </c>
      <c r="B52" s="22">
        <v>0.08</v>
      </c>
      <c r="C52" s="137"/>
      <c r="D52" s="16" t="s">
        <v>68</v>
      </c>
      <c r="E52" s="123">
        <v>3300000</v>
      </c>
      <c r="F52" s="151">
        <v>0.02</v>
      </c>
      <c r="G52" s="125">
        <f t="shared" si="4"/>
        <v>66000</v>
      </c>
      <c r="H52" s="972"/>
    </row>
    <row r="53" spans="1:8" hidden="1">
      <c r="A53" s="15">
        <v>13180</v>
      </c>
      <c r="B53" s="87">
        <v>0.08</v>
      </c>
      <c r="C53" s="137"/>
      <c r="D53" s="16" t="s">
        <v>70</v>
      </c>
      <c r="E53" s="123">
        <v>2600000</v>
      </c>
      <c r="F53" s="151">
        <v>0.02</v>
      </c>
      <c r="G53" s="125">
        <f t="shared" si="4"/>
        <v>52000</v>
      </c>
      <c r="H53" s="972"/>
    </row>
    <row r="54" spans="1:8" hidden="1">
      <c r="A54" s="15" t="s">
        <v>34</v>
      </c>
      <c r="B54" s="23">
        <v>0.09</v>
      </c>
      <c r="C54" s="137"/>
      <c r="D54" s="16" t="s">
        <v>386</v>
      </c>
      <c r="E54" s="123">
        <v>4000000</v>
      </c>
      <c r="F54" s="151">
        <v>0.02</v>
      </c>
      <c r="G54" s="125">
        <f t="shared" si="4"/>
        <v>80000</v>
      </c>
      <c r="H54" s="972"/>
    </row>
    <row r="55" spans="1:8" hidden="1">
      <c r="A55" s="131"/>
      <c r="B55" s="126"/>
      <c r="C55" s="128"/>
      <c r="D55" s="4"/>
      <c r="E55" s="26"/>
      <c r="F55" s="129"/>
      <c r="G55" s="153"/>
    </row>
    <row r="56" spans="1:8" hidden="1">
      <c r="A56" s="35"/>
      <c r="B56" s="35"/>
      <c r="C56" s="35"/>
      <c r="D56" s="35" t="s">
        <v>378</v>
      </c>
      <c r="E56" s="132">
        <f>SUM(E48:E55)</f>
        <v>17100000</v>
      </c>
      <c r="F56" s="133"/>
      <c r="G56" s="134">
        <f>SUM(G48:G55)</f>
        <v>392000</v>
      </c>
    </row>
    <row r="57" spans="1:8" hidden="1"/>
    <row r="58" spans="1:8" hidden="1"/>
    <row r="59" spans="1:8" hidden="1">
      <c r="A59" s="948" t="s">
        <v>387</v>
      </c>
      <c r="B59" s="948"/>
      <c r="C59" s="948"/>
      <c r="D59" s="948"/>
      <c r="E59" s="948"/>
      <c r="F59" s="948"/>
      <c r="G59" s="948"/>
    </row>
    <row r="60" spans="1:8" hidden="1">
      <c r="A60" s="131" t="s">
        <v>372</v>
      </c>
      <c r="B60" s="120" t="s">
        <v>373</v>
      </c>
      <c r="C60" s="120" t="s">
        <v>11</v>
      </c>
      <c r="D60" s="120" t="s">
        <v>6</v>
      </c>
      <c r="E60" s="120" t="s">
        <v>29</v>
      </c>
      <c r="F60" s="120" t="s">
        <v>8</v>
      </c>
      <c r="G60" s="120" t="s">
        <v>124</v>
      </c>
    </row>
    <row r="61" spans="1:8" hidden="1">
      <c r="A61" s="15">
        <v>13154</v>
      </c>
      <c r="B61" s="113">
        <v>0.1</v>
      </c>
      <c r="C61" s="135"/>
      <c r="D61" s="154" t="s">
        <v>388</v>
      </c>
      <c r="E61" s="12">
        <v>2400000</v>
      </c>
      <c r="F61" s="45">
        <v>0.05</v>
      </c>
      <c r="G61" s="136">
        <f>E61*F61</f>
        <v>120000</v>
      </c>
    </row>
    <row r="62" spans="1:8" hidden="1">
      <c r="A62" s="15">
        <v>13239</v>
      </c>
      <c r="B62" s="113">
        <v>0.1</v>
      </c>
      <c r="C62" s="135"/>
      <c r="D62" s="154" t="s">
        <v>389</v>
      </c>
      <c r="E62" s="12">
        <v>1900000</v>
      </c>
      <c r="F62" s="45">
        <v>0.05</v>
      </c>
      <c r="G62" s="136">
        <f t="shared" ref="G62:G71" si="5">E62*F62</f>
        <v>95000</v>
      </c>
    </row>
    <row r="63" spans="1:8" hidden="1">
      <c r="A63" s="15">
        <v>13265</v>
      </c>
      <c r="B63" s="87">
        <v>0.08</v>
      </c>
      <c r="C63" s="135" t="s">
        <v>384</v>
      </c>
      <c r="D63" s="155" t="s">
        <v>55</v>
      </c>
      <c r="E63" s="12">
        <v>1850000</v>
      </c>
      <c r="F63" s="66">
        <v>0.02</v>
      </c>
      <c r="G63" s="136">
        <f t="shared" si="5"/>
        <v>37000</v>
      </c>
    </row>
    <row r="64" spans="1:8" hidden="1">
      <c r="A64" s="15">
        <v>13311</v>
      </c>
      <c r="B64" s="87">
        <v>0.08</v>
      </c>
      <c r="C64" s="135"/>
      <c r="D64" s="155" t="s">
        <v>56</v>
      </c>
      <c r="E64" s="12">
        <v>3700000</v>
      </c>
      <c r="F64" s="66">
        <v>0.04</v>
      </c>
      <c r="G64" s="136">
        <f t="shared" si="5"/>
        <v>148000</v>
      </c>
    </row>
    <row r="65" spans="1:7" hidden="1">
      <c r="A65" s="15">
        <v>13324</v>
      </c>
      <c r="B65" s="113">
        <v>0.1</v>
      </c>
      <c r="C65" s="135"/>
      <c r="D65" s="155" t="s">
        <v>57</v>
      </c>
      <c r="E65" s="12">
        <v>2400000</v>
      </c>
      <c r="F65" s="45">
        <v>0.05</v>
      </c>
      <c r="G65" s="136">
        <f t="shared" si="5"/>
        <v>120000</v>
      </c>
    </row>
    <row r="66" spans="1:7" hidden="1">
      <c r="A66" s="15">
        <v>13247</v>
      </c>
      <c r="B66" s="113">
        <v>0.1</v>
      </c>
      <c r="C66" s="135" t="s">
        <v>384</v>
      </c>
      <c r="D66" s="16" t="s">
        <v>66</v>
      </c>
      <c r="E66" s="12">
        <v>2100000</v>
      </c>
      <c r="F66" s="66">
        <v>0.02</v>
      </c>
      <c r="G66" s="136">
        <f t="shared" si="5"/>
        <v>42000</v>
      </c>
    </row>
    <row r="67" spans="1:7" hidden="1">
      <c r="A67" s="15">
        <v>13135</v>
      </c>
      <c r="B67" s="113">
        <v>0.1</v>
      </c>
      <c r="C67" s="135"/>
      <c r="D67" s="16" t="s">
        <v>61</v>
      </c>
      <c r="E67" s="12">
        <v>1100000</v>
      </c>
      <c r="F67" s="45">
        <v>0.05</v>
      </c>
      <c r="G67" s="136">
        <f t="shared" si="5"/>
        <v>55000</v>
      </c>
    </row>
    <row r="68" spans="1:7" hidden="1">
      <c r="A68" s="15">
        <v>13169</v>
      </c>
      <c r="B68" s="113">
        <v>0.1</v>
      </c>
      <c r="C68" s="135"/>
      <c r="D68" s="16" t="s">
        <v>63</v>
      </c>
      <c r="E68" s="12">
        <v>1650000</v>
      </c>
      <c r="F68" s="45">
        <v>0.05</v>
      </c>
      <c r="G68" s="136">
        <f t="shared" si="5"/>
        <v>82500</v>
      </c>
    </row>
    <row r="69" spans="1:7" hidden="1">
      <c r="A69" s="15">
        <v>13208</v>
      </c>
      <c r="B69" s="156" t="s">
        <v>49</v>
      </c>
      <c r="C69" s="135" t="s">
        <v>384</v>
      </c>
      <c r="D69" s="16" t="s">
        <v>65</v>
      </c>
      <c r="E69" s="12">
        <v>2100000</v>
      </c>
      <c r="F69" s="66">
        <v>0.02</v>
      </c>
      <c r="G69" s="136">
        <f t="shared" si="5"/>
        <v>42000</v>
      </c>
    </row>
    <row r="70" spans="1:7" hidden="1">
      <c r="A70" s="15">
        <v>13246</v>
      </c>
      <c r="B70" s="113">
        <v>0.1</v>
      </c>
      <c r="C70" s="135"/>
      <c r="D70" s="16" t="s">
        <v>48</v>
      </c>
      <c r="E70" s="12">
        <v>2100000</v>
      </c>
      <c r="F70" s="45">
        <v>0.05</v>
      </c>
      <c r="G70" s="136">
        <f t="shared" si="5"/>
        <v>105000</v>
      </c>
    </row>
    <row r="71" spans="1:7" hidden="1">
      <c r="A71" s="15">
        <v>13363</v>
      </c>
      <c r="B71" s="87">
        <v>0.08</v>
      </c>
      <c r="C71" s="135"/>
      <c r="D71" s="16" t="s">
        <v>390</v>
      </c>
      <c r="E71" s="12">
        <v>1500000</v>
      </c>
      <c r="F71" s="66">
        <v>0.04</v>
      </c>
      <c r="G71" s="136">
        <f>E71*F71</f>
        <v>60000</v>
      </c>
    </row>
    <row r="72" spans="1:7" hidden="1">
      <c r="A72" s="131"/>
      <c r="B72" s="126"/>
      <c r="C72" s="138"/>
      <c r="D72" s="4"/>
      <c r="E72" s="26"/>
      <c r="F72" s="70"/>
      <c r="G72" s="139"/>
    </row>
    <row r="73" spans="1:7" hidden="1">
      <c r="A73" s="140"/>
      <c r="B73" s="140"/>
      <c r="C73" s="35"/>
      <c r="D73" s="35" t="s">
        <v>378</v>
      </c>
      <c r="E73" s="132">
        <f>SUM(E61:E72)</f>
        <v>22800000</v>
      </c>
      <c r="F73" s="133"/>
      <c r="G73" s="134">
        <f>SUM(G61:G72)</f>
        <v>906500</v>
      </c>
    </row>
    <row r="74" spans="1:7" hidden="1">
      <c r="A74" s="141"/>
      <c r="B74" s="141"/>
      <c r="C74" s="141"/>
      <c r="D74" s="141"/>
      <c r="E74" s="141"/>
      <c r="F74" s="141"/>
      <c r="G74" s="141"/>
    </row>
    <row r="75" spans="1:7" hidden="1">
      <c r="A75" s="948" t="s">
        <v>391</v>
      </c>
      <c r="B75" s="948"/>
      <c r="C75" s="948"/>
      <c r="D75" s="948"/>
      <c r="E75" s="948"/>
      <c r="F75" s="948"/>
      <c r="G75" s="948"/>
    </row>
    <row r="76" spans="1:7" hidden="1">
      <c r="A76" s="107" t="s">
        <v>372</v>
      </c>
      <c r="B76" s="119" t="s">
        <v>373</v>
      </c>
      <c r="C76" s="119" t="s">
        <v>11</v>
      </c>
      <c r="D76" s="119" t="s">
        <v>6</v>
      </c>
      <c r="E76" s="119" t="s">
        <v>29</v>
      </c>
      <c r="F76" s="157" t="s">
        <v>8</v>
      </c>
      <c r="G76" s="119" t="s">
        <v>381</v>
      </c>
    </row>
    <row r="77" spans="1:7" hidden="1">
      <c r="A77" s="15">
        <v>13378</v>
      </c>
      <c r="B77" s="87">
        <v>0.08</v>
      </c>
      <c r="C77" s="158"/>
      <c r="D77" s="16" t="s">
        <v>74</v>
      </c>
      <c r="E77" s="12">
        <v>3600000</v>
      </c>
      <c r="F77" s="159" t="s">
        <v>38</v>
      </c>
      <c r="G77" s="136" t="s">
        <v>38</v>
      </c>
    </row>
    <row r="78" spans="1:7" hidden="1">
      <c r="A78" s="68"/>
      <c r="B78" s="25"/>
      <c r="C78" s="69"/>
      <c r="D78" s="69"/>
      <c r="E78" s="26"/>
      <c r="F78" s="129"/>
      <c r="G78" s="130"/>
    </row>
    <row r="79" spans="1:7" hidden="1">
      <c r="A79" s="35"/>
      <c r="B79" s="35"/>
      <c r="C79" s="35"/>
      <c r="D79" s="35" t="s">
        <v>378</v>
      </c>
      <c r="E79" s="132">
        <f>SUM(E77:E78)</f>
        <v>3600000</v>
      </c>
      <c r="F79" s="133"/>
      <c r="G79" s="134">
        <f>SUM(G77:G78)</f>
        <v>0</v>
      </c>
    </row>
    <row r="80" spans="1:7" hidden="1"/>
    <row r="81" spans="1:7" hidden="1"/>
    <row r="82" spans="1:7" hidden="1">
      <c r="A82" s="904" t="s">
        <v>380</v>
      </c>
      <c r="B82" s="904"/>
      <c r="C82" s="904"/>
      <c r="D82" s="904"/>
      <c r="E82" s="904"/>
      <c r="F82" s="904"/>
      <c r="G82" s="904"/>
    </row>
    <row r="83" spans="1:7" hidden="1">
      <c r="A83" s="120" t="s">
        <v>372</v>
      </c>
      <c r="B83" s="120" t="s">
        <v>373</v>
      </c>
      <c r="C83" s="120" t="s">
        <v>11</v>
      </c>
      <c r="D83" s="120" t="s">
        <v>6</v>
      </c>
      <c r="E83" s="120" t="s">
        <v>29</v>
      </c>
      <c r="F83" s="120" t="s">
        <v>8</v>
      </c>
      <c r="G83" s="120" t="s">
        <v>381</v>
      </c>
    </row>
    <row r="84" spans="1:7" hidden="1">
      <c r="A84" s="15">
        <v>13378</v>
      </c>
      <c r="B84" s="160">
        <v>0.08</v>
      </c>
      <c r="C84" s="137"/>
      <c r="D84" s="161" t="s">
        <v>74</v>
      </c>
      <c r="E84" s="136">
        <v>3600000</v>
      </c>
      <c r="F84" s="162">
        <v>0.02</v>
      </c>
      <c r="G84" s="136">
        <f>E84*F84</f>
        <v>72000</v>
      </c>
    </row>
    <row r="85" spans="1:7" hidden="1">
      <c r="A85" s="15">
        <v>13211</v>
      </c>
      <c r="B85" s="10" t="s">
        <v>49</v>
      </c>
      <c r="C85" s="135"/>
      <c r="D85" s="150" t="s">
        <v>385</v>
      </c>
      <c r="E85" s="136">
        <v>2200000</v>
      </c>
      <c r="F85" s="159">
        <v>0.03</v>
      </c>
      <c r="G85" s="136">
        <f t="shared" ref="G85:G102" si="6">E85*F85</f>
        <v>66000</v>
      </c>
    </row>
    <row r="86" spans="1:7" hidden="1">
      <c r="A86" s="15">
        <v>13263</v>
      </c>
      <c r="B86" s="10">
        <v>0.1</v>
      </c>
      <c r="C86" s="137"/>
      <c r="D86" s="11" t="s">
        <v>53</v>
      </c>
      <c r="E86" s="136">
        <v>1500000</v>
      </c>
      <c r="F86" s="159">
        <v>0.03</v>
      </c>
      <c r="G86" s="136">
        <f t="shared" si="6"/>
        <v>45000</v>
      </c>
    </row>
    <row r="87" spans="1:7" hidden="1">
      <c r="A87" s="15">
        <v>13330</v>
      </c>
      <c r="B87" s="10">
        <v>0.1</v>
      </c>
      <c r="C87" s="137"/>
      <c r="D87" s="11" t="s">
        <v>58</v>
      </c>
      <c r="E87" s="136">
        <v>2100000</v>
      </c>
      <c r="F87" s="159">
        <v>0.03</v>
      </c>
      <c r="G87" s="136">
        <f t="shared" si="6"/>
        <v>63000</v>
      </c>
    </row>
    <row r="88" spans="1:7" hidden="1">
      <c r="A88" s="15">
        <v>13335</v>
      </c>
      <c r="B88" s="10">
        <v>0.1</v>
      </c>
      <c r="C88" s="137"/>
      <c r="D88" s="11" t="s">
        <v>59</v>
      </c>
      <c r="E88" s="136">
        <v>1400000</v>
      </c>
      <c r="F88" s="159">
        <v>0.03</v>
      </c>
      <c r="G88" s="136">
        <f t="shared" si="6"/>
        <v>42000</v>
      </c>
    </row>
    <row r="89" spans="1:7" ht="15" hidden="1" customHeight="1">
      <c r="A89" s="65">
        <v>13229</v>
      </c>
      <c r="B89" s="22">
        <v>0.08</v>
      </c>
      <c r="C89" s="137"/>
      <c r="D89" s="16" t="s">
        <v>68</v>
      </c>
      <c r="E89" s="136">
        <v>3300000</v>
      </c>
      <c r="F89" s="162">
        <v>0.02</v>
      </c>
      <c r="G89" s="136">
        <f t="shared" si="6"/>
        <v>66000</v>
      </c>
    </row>
    <row r="90" spans="1:7" hidden="1">
      <c r="A90" s="15">
        <v>13180</v>
      </c>
      <c r="B90" s="87">
        <v>0.08</v>
      </c>
      <c r="C90" s="137"/>
      <c r="D90" s="16" t="s">
        <v>70</v>
      </c>
      <c r="E90" s="136">
        <v>2600000</v>
      </c>
      <c r="F90" s="162">
        <v>0.02</v>
      </c>
      <c r="G90" s="136">
        <f t="shared" si="6"/>
        <v>52000</v>
      </c>
    </row>
    <row r="91" spans="1:7" hidden="1">
      <c r="A91" s="15">
        <v>13154</v>
      </c>
      <c r="B91" s="113">
        <v>0.1</v>
      </c>
      <c r="C91" s="135"/>
      <c r="D91" s="154" t="s">
        <v>388</v>
      </c>
      <c r="E91" s="136">
        <v>2400000</v>
      </c>
      <c r="F91" s="159">
        <v>0.03</v>
      </c>
      <c r="G91" s="136">
        <f t="shared" si="6"/>
        <v>72000</v>
      </c>
    </row>
    <row r="92" spans="1:7" hidden="1">
      <c r="A92" s="15">
        <v>13239</v>
      </c>
      <c r="B92" s="113">
        <v>0.1</v>
      </c>
      <c r="C92" s="135"/>
      <c r="D92" s="154" t="s">
        <v>389</v>
      </c>
      <c r="E92" s="136">
        <v>1900000</v>
      </c>
      <c r="F92" s="159">
        <v>0.03</v>
      </c>
      <c r="G92" s="136">
        <f t="shared" si="6"/>
        <v>57000</v>
      </c>
    </row>
    <row r="93" spans="1:7" hidden="1">
      <c r="A93" s="15">
        <v>13265</v>
      </c>
      <c r="B93" s="87">
        <v>0.08</v>
      </c>
      <c r="C93" s="135"/>
      <c r="D93" s="155" t="s">
        <v>55</v>
      </c>
      <c r="E93" s="136">
        <v>1850000</v>
      </c>
      <c r="F93" s="162">
        <v>0.02</v>
      </c>
      <c r="G93" s="136">
        <f t="shared" si="6"/>
        <v>37000</v>
      </c>
    </row>
    <row r="94" spans="1:7" hidden="1">
      <c r="A94" s="15">
        <v>13311</v>
      </c>
      <c r="B94" s="87">
        <v>0.08</v>
      </c>
      <c r="C94" s="135"/>
      <c r="D94" s="155" t="s">
        <v>56</v>
      </c>
      <c r="E94" s="136">
        <v>3700000</v>
      </c>
      <c r="F94" s="162">
        <v>0.02</v>
      </c>
      <c r="G94" s="136">
        <f t="shared" si="6"/>
        <v>74000</v>
      </c>
    </row>
    <row r="95" spans="1:7" hidden="1">
      <c r="A95" s="15">
        <v>13324</v>
      </c>
      <c r="B95" s="113">
        <v>0.1</v>
      </c>
      <c r="C95" s="135"/>
      <c r="D95" s="155" t="s">
        <v>57</v>
      </c>
      <c r="E95" s="136">
        <v>2400000</v>
      </c>
      <c r="F95" s="159">
        <v>0.03</v>
      </c>
      <c r="G95" s="136">
        <f t="shared" si="6"/>
        <v>72000</v>
      </c>
    </row>
    <row r="96" spans="1:7" hidden="1">
      <c r="A96" s="15">
        <v>13247</v>
      </c>
      <c r="B96" s="113">
        <v>0.1</v>
      </c>
      <c r="C96" s="135"/>
      <c r="D96" s="16" t="s">
        <v>66</v>
      </c>
      <c r="E96" s="136">
        <v>2100000</v>
      </c>
      <c r="F96" s="159">
        <v>0.03</v>
      </c>
      <c r="G96" s="136">
        <f t="shared" si="6"/>
        <v>63000</v>
      </c>
    </row>
    <row r="97" spans="1:7" hidden="1">
      <c r="A97" s="15">
        <v>13135</v>
      </c>
      <c r="B97" s="113">
        <v>0.1</v>
      </c>
      <c r="C97" s="135"/>
      <c r="D97" s="16" t="s">
        <v>61</v>
      </c>
      <c r="E97" s="136">
        <v>1100000</v>
      </c>
      <c r="F97" s="159">
        <v>0.03</v>
      </c>
      <c r="G97" s="136">
        <f t="shared" si="6"/>
        <v>33000</v>
      </c>
    </row>
    <row r="98" spans="1:7" hidden="1">
      <c r="A98" s="15">
        <v>13169</v>
      </c>
      <c r="B98" s="113">
        <v>0.1</v>
      </c>
      <c r="C98" s="135"/>
      <c r="D98" s="16" t="s">
        <v>63</v>
      </c>
      <c r="E98" s="136">
        <v>1650000</v>
      </c>
      <c r="F98" s="159">
        <v>0.03</v>
      </c>
      <c r="G98" s="136">
        <f t="shared" si="6"/>
        <v>49500</v>
      </c>
    </row>
    <row r="99" spans="1:7" hidden="1">
      <c r="A99" s="15">
        <v>13208</v>
      </c>
      <c r="B99" s="156" t="s">
        <v>49</v>
      </c>
      <c r="C99" s="135"/>
      <c r="D99" s="16" t="s">
        <v>65</v>
      </c>
      <c r="E99" s="136">
        <v>2100000</v>
      </c>
      <c r="F99" s="159">
        <v>0.03</v>
      </c>
      <c r="G99" s="136">
        <f t="shared" si="6"/>
        <v>63000</v>
      </c>
    </row>
    <row r="100" spans="1:7" hidden="1">
      <c r="A100" s="15">
        <v>13246</v>
      </c>
      <c r="B100" s="113">
        <v>0.1</v>
      </c>
      <c r="C100" s="135"/>
      <c r="D100" s="16" t="s">
        <v>48</v>
      </c>
      <c r="E100" s="136">
        <v>2100000</v>
      </c>
      <c r="F100" s="159">
        <v>0.03</v>
      </c>
      <c r="G100" s="136">
        <f t="shared" si="6"/>
        <v>63000</v>
      </c>
    </row>
    <row r="101" spans="1:7" hidden="1">
      <c r="A101" s="65">
        <v>13363</v>
      </c>
      <c r="B101" s="87">
        <v>0.08</v>
      </c>
      <c r="C101" s="135"/>
      <c r="D101" s="16" t="s">
        <v>390</v>
      </c>
      <c r="E101" s="136">
        <v>1500000</v>
      </c>
      <c r="F101" s="162">
        <v>0.02</v>
      </c>
      <c r="G101" s="136">
        <f t="shared" si="6"/>
        <v>30000</v>
      </c>
    </row>
    <row r="102" spans="1:7" hidden="1">
      <c r="A102" s="15" t="s">
        <v>34</v>
      </c>
      <c r="B102" s="22">
        <v>0.09</v>
      </c>
      <c r="C102" s="137"/>
      <c r="D102" s="16" t="s">
        <v>386</v>
      </c>
      <c r="E102" s="136">
        <v>4000000</v>
      </c>
      <c r="F102" s="162">
        <v>0.02</v>
      </c>
      <c r="G102" s="136">
        <f t="shared" si="6"/>
        <v>80000</v>
      </c>
    </row>
    <row r="103" spans="1:7" hidden="1">
      <c r="A103" s="107"/>
      <c r="B103" s="163"/>
      <c r="C103" s="138"/>
      <c r="D103" s="145"/>
      <c r="E103" s="26"/>
      <c r="F103" s="146"/>
      <c r="G103" s="139"/>
    </row>
    <row r="104" spans="1:7" hidden="1">
      <c r="A104" s="147"/>
      <c r="B104" s="133"/>
      <c r="C104" s="133"/>
      <c r="D104" s="148" t="s">
        <v>378</v>
      </c>
      <c r="E104" s="132">
        <f>SUM(E84:E102)</f>
        <v>43500000</v>
      </c>
      <c r="F104" s="35"/>
      <c r="G104" s="149">
        <f>SUM(G84:G102)</f>
        <v>1099500</v>
      </c>
    </row>
    <row r="106" spans="1:7" ht="22.5">
      <c r="A106" s="965" t="s">
        <v>392</v>
      </c>
      <c r="B106" s="965"/>
      <c r="C106" s="965"/>
      <c r="D106" s="965"/>
      <c r="E106" s="965"/>
      <c r="F106" s="965"/>
      <c r="G106" s="965"/>
    </row>
    <row r="107" spans="1:7">
      <c r="A107" s="118"/>
      <c r="B107" s="118"/>
      <c r="C107" s="118"/>
      <c r="D107" s="118"/>
      <c r="E107" s="118"/>
      <c r="F107" s="118"/>
      <c r="G107" s="118"/>
    </row>
    <row r="108" spans="1:7" hidden="1">
      <c r="A108" s="904" t="s">
        <v>393</v>
      </c>
      <c r="B108" s="949"/>
      <c r="C108" s="949"/>
      <c r="D108" s="949"/>
      <c r="E108" s="949"/>
      <c r="F108" s="949"/>
      <c r="G108" s="949"/>
    </row>
    <row r="109" spans="1:7" hidden="1">
      <c r="A109" s="107" t="s">
        <v>372</v>
      </c>
      <c r="B109" s="119" t="s">
        <v>373</v>
      </c>
      <c r="C109" s="119" t="s">
        <v>11</v>
      </c>
      <c r="D109" s="119" t="s">
        <v>6</v>
      </c>
      <c r="E109" s="119" t="s">
        <v>29</v>
      </c>
      <c r="F109" s="119" t="s">
        <v>8</v>
      </c>
      <c r="G109" s="120" t="s">
        <v>41</v>
      </c>
    </row>
    <row r="110" spans="1:7" hidden="1">
      <c r="A110" s="15">
        <v>13489</v>
      </c>
      <c r="B110" s="10">
        <v>0.1</v>
      </c>
      <c r="C110" s="135"/>
      <c r="D110" s="11" t="s">
        <v>76</v>
      </c>
      <c r="E110" s="12">
        <v>2800000</v>
      </c>
      <c r="F110" s="124">
        <v>0.02</v>
      </c>
      <c r="G110" s="125">
        <f>E110*F110</f>
        <v>56000</v>
      </c>
    </row>
    <row r="111" spans="1:7" hidden="1">
      <c r="A111" s="15">
        <v>13540</v>
      </c>
      <c r="B111" s="10">
        <v>0.1</v>
      </c>
      <c r="C111" s="137"/>
      <c r="D111" s="11" t="s">
        <v>78</v>
      </c>
      <c r="E111" s="12">
        <v>2000000</v>
      </c>
      <c r="F111" s="124">
        <v>0.02</v>
      </c>
      <c r="G111" s="125">
        <f t="shared" ref="G111:G115" si="7">E111*F111</f>
        <v>40000</v>
      </c>
    </row>
    <row r="112" spans="1:7" hidden="1">
      <c r="A112" s="15">
        <v>13591</v>
      </c>
      <c r="B112" s="10">
        <v>0.1</v>
      </c>
      <c r="C112" s="137"/>
      <c r="D112" s="11" t="s">
        <v>80</v>
      </c>
      <c r="E112" s="12">
        <v>1100000</v>
      </c>
      <c r="F112" s="124">
        <v>0.02</v>
      </c>
      <c r="G112" s="125">
        <f t="shared" si="7"/>
        <v>22000</v>
      </c>
    </row>
    <row r="113" spans="1:8" hidden="1">
      <c r="A113" s="15">
        <v>13604</v>
      </c>
      <c r="B113" s="10">
        <v>0.1</v>
      </c>
      <c r="C113" s="137"/>
      <c r="D113" s="11" t="s">
        <v>81</v>
      </c>
      <c r="E113" s="12">
        <v>2350000</v>
      </c>
      <c r="F113" s="124">
        <v>0.02</v>
      </c>
      <c r="G113" s="125">
        <f t="shared" si="7"/>
        <v>47000</v>
      </c>
    </row>
    <row r="114" spans="1:8" ht="11.25" hidden="1" customHeight="1">
      <c r="A114" s="65">
        <v>13522</v>
      </c>
      <c r="B114" s="10">
        <v>0.1</v>
      </c>
      <c r="C114" s="137"/>
      <c r="D114" s="16" t="s">
        <v>85</v>
      </c>
      <c r="E114" s="12">
        <v>1300000</v>
      </c>
      <c r="F114" s="124">
        <v>0.02</v>
      </c>
      <c r="G114" s="125">
        <f t="shared" si="7"/>
        <v>26000</v>
      </c>
      <c r="H114" s="152"/>
    </row>
    <row r="115" spans="1:8" hidden="1">
      <c r="A115" s="65" t="s">
        <v>34</v>
      </c>
      <c r="B115" s="164">
        <v>0.1</v>
      </c>
      <c r="C115" s="165"/>
      <c r="D115" s="11" t="s">
        <v>82</v>
      </c>
      <c r="E115" s="12">
        <v>2000000</v>
      </c>
      <c r="F115" s="45">
        <v>0.02</v>
      </c>
      <c r="G115" s="136">
        <f t="shared" si="7"/>
        <v>40000</v>
      </c>
    </row>
    <row r="116" spans="1:8" hidden="1">
      <c r="A116" s="131"/>
      <c r="B116" s="126"/>
      <c r="C116" s="128"/>
      <c r="D116" s="4"/>
      <c r="E116" s="26"/>
      <c r="F116" s="129"/>
      <c r="G116" s="153"/>
    </row>
    <row r="117" spans="1:8" hidden="1">
      <c r="A117" s="35"/>
      <c r="B117" s="35"/>
      <c r="C117" s="35"/>
      <c r="D117" s="35" t="s">
        <v>378</v>
      </c>
      <c r="E117" s="132">
        <f>SUM(E110:E116)</f>
        <v>11550000</v>
      </c>
      <c r="F117" s="133"/>
      <c r="G117" s="134">
        <f>SUM(G110:G116)</f>
        <v>231000</v>
      </c>
    </row>
    <row r="118" spans="1:8" hidden="1"/>
    <row r="119" spans="1:8" hidden="1"/>
    <row r="120" spans="1:8" hidden="1">
      <c r="A120" s="904" t="s">
        <v>394</v>
      </c>
      <c r="B120" s="949"/>
      <c r="C120" s="949"/>
      <c r="D120" s="949"/>
      <c r="E120" s="949"/>
      <c r="F120" s="949"/>
      <c r="G120" s="949"/>
    </row>
    <row r="121" spans="1:8" hidden="1">
      <c r="A121" s="131" t="s">
        <v>372</v>
      </c>
      <c r="B121" s="120" t="s">
        <v>373</v>
      </c>
      <c r="C121" s="120" t="s">
        <v>11</v>
      </c>
      <c r="D121" s="120" t="s">
        <v>6</v>
      </c>
      <c r="E121" s="120" t="s">
        <v>29</v>
      </c>
      <c r="F121" s="120" t="s">
        <v>8</v>
      </c>
      <c r="G121" s="120" t="s">
        <v>124</v>
      </c>
    </row>
    <row r="122" spans="1:8" hidden="1">
      <c r="A122" s="15">
        <v>13562</v>
      </c>
      <c r="B122" s="113">
        <v>0.1</v>
      </c>
      <c r="C122" s="135"/>
      <c r="D122" s="11" t="s">
        <v>79</v>
      </c>
      <c r="E122" s="12">
        <v>2200000</v>
      </c>
      <c r="F122" s="45">
        <v>0.02</v>
      </c>
      <c r="G122" s="136">
        <f>E122*F122</f>
        <v>44000</v>
      </c>
    </row>
    <row r="123" spans="1:8" hidden="1">
      <c r="A123" s="65">
        <v>13434</v>
      </c>
      <c r="B123" s="10">
        <v>0.1</v>
      </c>
      <c r="C123" s="135"/>
      <c r="D123" s="16" t="s">
        <v>84</v>
      </c>
      <c r="E123" s="12">
        <v>2100000</v>
      </c>
      <c r="F123" s="45">
        <v>0.02</v>
      </c>
      <c r="G123" s="136">
        <f t="shared" ref="G123:G126" si="8">E123*F123</f>
        <v>42000</v>
      </c>
    </row>
    <row r="124" spans="1:8" hidden="1">
      <c r="A124" s="65">
        <v>13567</v>
      </c>
      <c r="B124" s="10">
        <v>0.1</v>
      </c>
      <c r="C124" s="135"/>
      <c r="D124" s="16" t="s">
        <v>86</v>
      </c>
      <c r="E124" s="12">
        <v>1700000</v>
      </c>
      <c r="F124" s="45">
        <v>0.02</v>
      </c>
      <c r="G124" s="136">
        <f t="shared" si="8"/>
        <v>34000</v>
      </c>
    </row>
    <row r="125" spans="1:8" hidden="1">
      <c r="A125" s="65">
        <v>13551</v>
      </c>
      <c r="B125" s="10">
        <v>0.1</v>
      </c>
      <c r="C125" s="135"/>
      <c r="D125" s="16" t="s">
        <v>88</v>
      </c>
      <c r="E125" s="12">
        <v>2325000</v>
      </c>
      <c r="F125" s="45">
        <v>0.02</v>
      </c>
      <c r="G125" s="136">
        <f t="shared" si="8"/>
        <v>46500</v>
      </c>
    </row>
    <row r="126" spans="1:8" hidden="1">
      <c r="A126" s="65">
        <v>13557</v>
      </c>
      <c r="B126" s="10">
        <v>0.1</v>
      </c>
      <c r="C126" s="135"/>
      <c r="D126" s="16" t="s">
        <v>89</v>
      </c>
      <c r="E126" s="12">
        <v>1350000</v>
      </c>
      <c r="F126" s="45">
        <v>0.02</v>
      </c>
      <c r="G126" s="136">
        <f t="shared" si="8"/>
        <v>27000</v>
      </c>
    </row>
    <row r="127" spans="1:8" hidden="1">
      <c r="A127" s="131"/>
      <c r="B127" s="126"/>
      <c r="C127" s="138"/>
      <c r="D127" s="4"/>
      <c r="E127" s="26"/>
      <c r="F127" s="70"/>
      <c r="G127" s="139"/>
    </row>
    <row r="128" spans="1:8" hidden="1">
      <c r="A128" s="140"/>
      <c r="B128" s="140"/>
      <c r="C128" s="35"/>
      <c r="D128" s="35" t="s">
        <v>378</v>
      </c>
      <c r="E128" s="132">
        <f>SUM(E122:E127)</f>
        <v>9675000</v>
      </c>
      <c r="F128" s="133"/>
      <c r="G128" s="134">
        <f>SUM(G122:G127)</f>
        <v>193500</v>
      </c>
    </row>
    <row r="129" spans="1:8" hidden="1">
      <c r="A129" s="141"/>
      <c r="B129" s="141"/>
      <c r="C129" s="141"/>
      <c r="D129" s="141"/>
      <c r="E129" s="141"/>
      <c r="F129" s="141"/>
      <c r="G129" s="141"/>
    </row>
    <row r="130" spans="1:8" hidden="1">
      <c r="A130" s="904" t="s">
        <v>395</v>
      </c>
      <c r="B130" s="949"/>
      <c r="C130" s="949"/>
      <c r="D130" s="949"/>
      <c r="E130" s="949"/>
      <c r="F130" s="949"/>
      <c r="G130" s="949"/>
    </row>
    <row r="131" spans="1:8" hidden="1">
      <c r="A131" s="107" t="s">
        <v>372</v>
      </c>
      <c r="B131" s="119" t="s">
        <v>373</v>
      </c>
      <c r="C131" s="119" t="s">
        <v>11</v>
      </c>
      <c r="D131" s="119" t="s">
        <v>6</v>
      </c>
      <c r="E131" s="119" t="s">
        <v>29</v>
      </c>
      <c r="F131" s="157" t="s">
        <v>8</v>
      </c>
      <c r="G131" s="119" t="s">
        <v>381</v>
      </c>
    </row>
    <row r="132" spans="1:8" hidden="1">
      <c r="A132" s="107"/>
      <c r="B132" s="111"/>
      <c r="C132" s="138"/>
      <c r="D132" s="4"/>
      <c r="E132" s="26"/>
      <c r="F132" s="166"/>
      <c r="G132" s="139"/>
    </row>
    <row r="133" spans="1:8" hidden="1">
      <c r="A133" s="68"/>
      <c r="B133" s="25"/>
      <c r="C133" s="69"/>
      <c r="D133" s="69"/>
      <c r="E133" s="26"/>
      <c r="F133" s="129"/>
      <c r="G133" s="130"/>
    </row>
    <row r="134" spans="1:8" hidden="1">
      <c r="A134" s="35"/>
      <c r="B134" s="35"/>
      <c r="C134" s="35"/>
      <c r="D134" s="35" t="s">
        <v>378</v>
      </c>
      <c r="E134" s="132">
        <f>SUM(E132:E133)</f>
        <v>0</v>
      </c>
      <c r="F134" s="133"/>
      <c r="G134" s="134">
        <f>SUM(G132:G133)</f>
        <v>0</v>
      </c>
    </row>
    <row r="135" spans="1:8" hidden="1"/>
    <row r="136" spans="1:8" hidden="1"/>
    <row r="137" spans="1:8" hidden="1">
      <c r="A137" s="904" t="s">
        <v>396</v>
      </c>
      <c r="B137" s="949"/>
      <c r="C137" s="949"/>
      <c r="D137" s="949"/>
      <c r="E137" s="949"/>
      <c r="F137" s="949"/>
      <c r="G137" s="949"/>
    </row>
    <row r="138" spans="1:8" hidden="1">
      <c r="A138" s="120" t="s">
        <v>372</v>
      </c>
      <c r="B138" s="120" t="s">
        <v>373</v>
      </c>
      <c r="C138" s="120" t="s">
        <v>11</v>
      </c>
      <c r="D138" s="120" t="s">
        <v>6</v>
      </c>
      <c r="E138" s="120" t="s">
        <v>29</v>
      </c>
      <c r="F138" s="120" t="s">
        <v>8</v>
      </c>
      <c r="G138" s="120" t="s">
        <v>381</v>
      </c>
    </row>
    <row r="139" spans="1:8" hidden="1">
      <c r="A139" s="15">
        <v>13489</v>
      </c>
      <c r="B139" s="10">
        <v>0.1</v>
      </c>
      <c r="C139" s="135"/>
      <c r="D139" s="11" t="s">
        <v>76</v>
      </c>
      <c r="E139" s="12">
        <v>2800000</v>
      </c>
      <c r="F139" s="124">
        <v>0.02</v>
      </c>
      <c r="G139" s="142">
        <f>E139*F139</f>
        <v>56000</v>
      </c>
    </row>
    <row r="140" spans="1:8" hidden="1">
      <c r="A140" s="15">
        <v>13540</v>
      </c>
      <c r="B140" s="10">
        <v>0.1</v>
      </c>
      <c r="C140" s="137"/>
      <c r="D140" s="11" t="s">
        <v>78</v>
      </c>
      <c r="E140" s="12">
        <v>2000000</v>
      </c>
      <c r="F140" s="124">
        <v>0.02</v>
      </c>
      <c r="G140" s="142">
        <f t="shared" ref="G140:G143" si="9">E140*F140</f>
        <v>40000</v>
      </c>
    </row>
    <row r="141" spans="1:8" hidden="1">
      <c r="A141" s="15">
        <v>13591</v>
      </c>
      <c r="B141" s="10">
        <v>0.1</v>
      </c>
      <c r="C141" s="137"/>
      <c r="D141" s="11" t="s">
        <v>80</v>
      </c>
      <c r="E141" s="12">
        <v>1100000</v>
      </c>
      <c r="F141" s="124">
        <v>0.02</v>
      </c>
      <c r="G141" s="142">
        <f t="shared" si="9"/>
        <v>22000</v>
      </c>
    </row>
    <row r="142" spans="1:8" hidden="1">
      <c r="A142" s="15">
        <v>13604</v>
      </c>
      <c r="B142" s="10">
        <v>0.1</v>
      </c>
      <c r="C142" s="137"/>
      <c r="D142" s="11" t="s">
        <v>81</v>
      </c>
      <c r="E142" s="12">
        <v>2350000</v>
      </c>
      <c r="F142" s="124">
        <v>0.02</v>
      </c>
      <c r="G142" s="142">
        <f t="shared" si="9"/>
        <v>47000</v>
      </c>
    </row>
    <row r="143" spans="1:8" ht="11.25" hidden="1" customHeight="1">
      <c r="A143" s="65">
        <v>13522</v>
      </c>
      <c r="B143" s="10">
        <v>0.1</v>
      </c>
      <c r="C143" s="137"/>
      <c r="D143" s="16" t="s">
        <v>85</v>
      </c>
      <c r="E143" s="12">
        <v>1300000</v>
      </c>
      <c r="F143" s="124">
        <v>0.02</v>
      </c>
      <c r="G143" s="142">
        <f t="shared" si="9"/>
        <v>26000</v>
      </c>
      <c r="H143" s="152"/>
    </row>
    <row r="144" spans="1:8" hidden="1">
      <c r="A144" s="15">
        <v>13562</v>
      </c>
      <c r="B144" s="113">
        <v>0.1</v>
      </c>
      <c r="C144" s="135"/>
      <c r="D144" s="11" t="s">
        <v>79</v>
      </c>
      <c r="E144" s="12">
        <v>2200000</v>
      </c>
      <c r="F144" s="45">
        <v>0.02</v>
      </c>
      <c r="G144" s="136">
        <f>E144*F144</f>
        <v>44000</v>
      </c>
    </row>
    <row r="145" spans="1:1023" hidden="1">
      <c r="A145" s="65">
        <v>13434</v>
      </c>
      <c r="B145" s="10">
        <v>0.1</v>
      </c>
      <c r="C145" s="135"/>
      <c r="D145" s="16" t="s">
        <v>84</v>
      </c>
      <c r="E145" s="12">
        <v>2100000</v>
      </c>
      <c r="F145" s="45">
        <v>0.02</v>
      </c>
      <c r="G145" s="136">
        <f t="shared" ref="G145:G149" si="10">E145*F145</f>
        <v>42000</v>
      </c>
    </row>
    <row r="146" spans="1:1023" hidden="1">
      <c r="A146" s="65">
        <v>13567</v>
      </c>
      <c r="B146" s="10">
        <v>0.1</v>
      </c>
      <c r="C146" s="135"/>
      <c r="D146" s="16" t="s">
        <v>86</v>
      </c>
      <c r="E146" s="12">
        <v>1700000</v>
      </c>
      <c r="F146" s="45">
        <v>0.02</v>
      </c>
      <c r="G146" s="136">
        <f t="shared" si="10"/>
        <v>34000</v>
      </c>
    </row>
    <row r="147" spans="1:1023" hidden="1">
      <c r="A147" s="65">
        <v>13551</v>
      </c>
      <c r="B147" s="10">
        <v>0.1</v>
      </c>
      <c r="C147" s="135"/>
      <c r="D147" s="16" t="s">
        <v>88</v>
      </c>
      <c r="E147" s="12">
        <v>2325000</v>
      </c>
      <c r="F147" s="45">
        <v>0.02</v>
      </c>
      <c r="G147" s="136">
        <f t="shared" si="10"/>
        <v>46500</v>
      </c>
    </row>
    <row r="148" spans="1:1023" hidden="1">
      <c r="A148" s="65">
        <v>13557</v>
      </c>
      <c r="B148" s="10">
        <v>0.1</v>
      </c>
      <c r="C148" s="135"/>
      <c r="D148" s="16" t="s">
        <v>89</v>
      </c>
      <c r="E148" s="12">
        <v>1350000</v>
      </c>
      <c r="F148" s="45">
        <v>0.02</v>
      </c>
      <c r="G148" s="136">
        <f t="shared" si="10"/>
        <v>27000</v>
      </c>
    </row>
    <row r="149" spans="1:1023" hidden="1">
      <c r="A149" s="65" t="s">
        <v>34</v>
      </c>
      <c r="B149" s="164">
        <v>0.1</v>
      </c>
      <c r="C149" s="165"/>
      <c r="D149" s="11" t="s">
        <v>82</v>
      </c>
      <c r="E149" s="12">
        <v>2000000</v>
      </c>
      <c r="F149" s="45">
        <v>0.02</v>
      </c>
      <c r="G149" s="136">
        <f t="shared" si="10"/>
        <v>40000</v>
      </c>
    </row>
    <row r="150" spans="1:1023" hidden="1">
      <c r="A150" s="107"/>
      <c r="B150" s="163"/>
      <c r="C150" s="138"/>
      <c r="D150" s="145"/>
      <c r="E150" s="26"/>
      <c r="F150" s="146"/>
      <c r="G150" s="139"/>
    </row>
    <row r="151" spans="1:1023" hidden="1">
      <c r="A151" s="147"/>
      <c r="B151" s="133"/>
      <c r="C151" s="133"/>
      <c r="D151" s="148" t="s">
        <v>378</v>
      </c>
      <c r="E151" s="132">
        <f>SUM(E139:E149)</f>
        <v>21225000</v>
      </c>
      <c r="F151" s="35"/>
      <c r="G151" s="167">
        <f>SUM(G139:G149)</f>
        <v>424500</v>
      </c>
    </row>
    <row r="152" spans="1:1023" hidden="1"/>
    <row r="153" spans="1:1023" ht="22.5">
      <c r="A153" s="965" t="s">
        <v>397</v>
      </c>
      <c r="B153" s="965"/>
      <c r="C153" s="965"/>
      <c r="D153" s="965"/>
      <c r="E153" s="965"/>
      <c r="F153" s="965"/>
      <c r="G153" s="965"/>
    </row>
    <row r="154" spans="1:1023" hidden="1"/>
    <row r="155" spans="1:1023" ht="18" hidden="1">
      <c r="A155" s="302"/>
      <c r="B155" s="969" t="s">
        <v>398</v>
      </c>
      <c r="C155" s="969"/>
      <c r="D155" s="969"/>
      <c r="E155" s="969"/>
      <c r="F155" s="969"/>
      <c r="G155" s="969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302"/>
      <c r="AH155" s="302"/>
      <c r="AI155" s="302"/>
      <c r="AJ155" s="302"/>
      <c r="AK155" s="302"/>
      <c r="AL155" s="302"/>
      <c r="AM155" s="302"/>
      <c r="AN155" s="302"/>
      <c r="AO155" s="302"/>
      <c r="AP155" s="302"/>
      <c r="AQ155" s="302"/>
      <c r="AR155" s="302"/>
      <c r="AS155" s="302"/>
      <c r="AT155" s="302"/>
      <c r="AU155" s="302"/>
      <c r="AV155" s="302"/>
      <c r="AW155" s="302"/>
      <c r="AX155" s="302"/>
      <c r="AY155" s="302"/>
      <c r="AZ155" s="302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K155" s="302"/>
      <c r="BL155" s="302"/>
      <c r="BM155" s="302"/>
      <c r="BN155" s="302"/>
      <c r="BO155" s="302"/>
      <c r="BP155" s="302"/>
      <c r="BQ155" s="302"/>
      <c r="BR155" s="302"/>
      <c r="BS155" s="302"/>
      <c r="BT155" s="302"/>
      <c r="BU155" s="302"/>
      <c r="BV155" s="302"/>
      <c r="BW155" s="302"/>
      <c r="BX155" s="302"/>
      <c r="BY155" s="302"/>
      <c r="BZ155" s="302"/>
      <c r="CA155" s="302"/>
      <c r="CB155" s="302"/>
      <c r="CC155" s="302"/>
      <c r="CD155" s="302"/>
      <c r="CE155" s="302"/>
      <c r="CF155" s="302"/>
      <c r="CG155" s="302"/>
      <c r="CH155" s="302"/>
      <c r="CI155" s="302"/>
      <c r="CJ155" s="302"/>
      <c r="CK155" s="302"/>
      <c r="CL155" s="302"/>
      <c r="CM155" s="302"/>
      <c r="CN155" s="302"/>
      <c r="CO155" s="302"/>
      <c r="CP155" s="302"/>
      <c r="CQ155" s="302"/>
      <c r="CR155" s="302"/>
      <c r="CS155" s="302"/>
      <c r="CT155" s="302"/>
      <c r="CU155" s="302"/>
      <c r="CV155" s="302"/>
      <c r="CW155" s="302"/>
      <c r="CX155" s="302"/>
      <c r="CY155" s="302"/>
      <c r="CZ155" s="302"/>
      <c r="DA155" s="302"/>
      <c r="DB155" s="302"/>
      <c r="DC155" s="302"/>
      <c r="DD155" s="302"/>
      <c r="DE155" s="302"/>
      <c r="DF155" s="302"/>
      <c r="DG155" s="302"/>
      <c r="DH155" s="302"/>
      <c r="DI155" s="302"/>
      <c r="DJ155" s="302"/>
      <c r="DK155" s="302"/>
      <c r="DL155" s="302"/>
      <c r="DM155" s="302"/>
      <c r="DN155" s="302"/>
      <c r="DO155" s="302"/>
      <c r="DP155" s="302"/>
      <c r="DQ155" s="302"/>
      <c r="DR155" s="302"/>
      <c r="DS155" s="302"/>
      <c r="DT155" s="302"/>
      <c r="DU155" s="302"/>
      <c r="DV155" s="302"/>
      <c r="DW155" s="302"/>
      <c r="DX155" s="302"/>
      <c r="DY155" s="302"/>
      <c r="DZ155" s="302"/>
      <c r="EA155" s="302"/>
      <c r="EB155" s="302"/>
      <c r="EC155" s="302"/>
      <c r="ED155" s="302"/>
      <c r="EE155" s="302"/>
      <c r="EF155" s="302"/>
      <c r="EG155" s="302"/>
      <c r="EH155" s="302"/>
      <c r="EI155" s="302"/>
      <c r="EJ155" s="302"/>
      <c r="EK155" s="302"/>
      <c r="EL155" s="302"/>
      <c r="EM155" s="302"/>
      <c r="EN155" s="302"/>
      <c r="EO155" s="302"/>
      <c r="EP155" s="302"/>
      <c r="EQ155" s="302"/>
      <c r="ER155" s="302"/>
      <c r="ES155" s="302"/>
      <c r="ET155" s="302"/>
      <c r="EU155" s="302"/>
      <c r="EV155" s="302"/>
      <c r="EW155" s="302"/>
      <c r="EX155" s="302"/>
      <c r="EY155" s="302"/>
      <c r="EZ155" s="302"/>
      <c r="FA155" s="302"/>
      <c r="FB155" s="302"/>
      <c r="FC155" s="302"/>
      <c r="FD155" s="302"/>
      <c r="FE155" s="302"/>
      <c r="FF155" s="302"/>
      <c r="FG155" s="302"/>
      <c r="FH155" s="302"/>
      <c r="FI155" s="302"/>
      <c r="FJ155" s="302"/>
      <c r="FK155" s="302"/>
      <c r="FL155" s="302"/>
      <c r="FM155" s="302"/>
      <c r="FN155" s="302"/>
      <c r="FO155" s="302"/>
      <c r="FP155" s="302"/>
      <c r="FQ155" s="302"/>
      <c r="FR155" s="302"/>
      <c r="FS155" s="302"/>
      <c r="FT155" s="302"/>
      <c r="FU155" s="302"/>
      <c r="FV155" s="302"/>
      <c r="FW155" s="302"/>
      <c r="FX155" s="302"/>
      <c r="FY155" s="302"/>
      <c r="FZ155" s="302"/>
      <c r="GA155" s="302"/>
      <c r="GB155" s="302"/>
      <c r="GC155" s="302"/>
      <c r="GD155" s="302"/>
      <c r="GE155" s="302"/>
      <c r="GF155" s="302"/>
      <c r="GG155" s="302"/>
      <c r="GH155" s="302"/>
      <c r="GI155" s="302"/>
      <c r="GJ155" s="302"/>
      <c r="GK155" s="302"/>
      <c r="GL155" s="302"/>
      <c r="GM155" s="302"/>
      <c r="GN155" s="302"/>
      <c r="GO155" s="302"/>
      <c r="GP155" s="302"/>
      <c r="GQ155" s="302"/>
      <c r="GR155" s="302"/>
      <c r="GS155" s="302"/>
      <c r="GT155" s="302"/>
      <c r="GU155" s="302"/>
      <c r="GV155" s="302"/>
      <c r="GW155" s="302"/>
      <c r="GX155" s="302"/>
      <c r="GY155" s="302"/>
      <c r="GZ155" s="302"/>
      <c r="HA155" s="302"/>
      <c r="HB155" s="302"/>
      <c r="HC155" s="302"/>
      <c r="HD155" s="302"/>
      <c r="HE155" s="302"/>
      <c r="HF155" s="302"/>
      <c r="HG155" s="302"/>
      <c r="HH155" s="302"/>
      <c r="HI155" s="302"/>
      <c r="HJ155" s="302"/>
      <c r="HK155" s="302"/>
      <c r="HL155" s="302"/>
      <c r="HM155" s="302"/>
      <c r="HN155" s="302"/>
      <c r="HO155" s="302"/>
      <c r="HP155" s="302"/>
      <c r="HQ155" s="302"/>
      <c r="HR155" s="302"/>
      <c r="HS155" s="302"/>
      <c r="HT155" s="302"/>
      <c r="HU155" s="302"/>
      <c r="HV155" s="302"/>
      <c r="HW155" s="302"/>
      <c r="HX155" s="302"/>
      <c r="HY155" s="302"/>
      <c r="HZ155" s="302"/>
      <c r="IA155" s="302"/>
      <c r="IB155" s="302"/>
      <c r="IC155" s="302"/>
      <c r="ID155" s="302"/>
      <c r="IE155" s="302"/>
      <c r="IF155" s="302"/>
      <c r="IG155" s="302"/>
      <c r="IH155" s="302"/>
      <c r="II155" s="302"/>
      <c r="IJ155" s="302"/>
      <c r="IK155" s="302"/>
      <c r="IL155" s="302"/>
      <c r="IM155" s="302"/>
      <c r="IN155" s="302"/>
      <c r="IO155" s="302"/>
      <c r="IP155" s="302"/>
      <c r="IQ155" s="302"/>
      <c r="IR155" s="302"/>
      <c r="IS155" s="302"/>
      <c r="IT155" s="302"/>
      <c r="IU155" s="302"/>
      <c r="IV155" s="302"/>
      <c r="IW155" s="302"/>
      <c r="IX155" s="302"/>
      <c r="IY155" s="302"/>
      <c r="IZ155" s="302"/>
      <c r="JA155" s="302"/>
      <c r="JB155" s="302"/>
      <c r="JC155" s="302"/>
      <c r="JD155" s="302"/>
      <c r="JE155" s="302"/>
      <c r="JF155" s="302"/>
      <c r="JG155" s="302"/>
      <c r="JH155" s="302"/>
      <c r="JI155" s="302"/>
      <c r="JJ155" s="302"/>
      <c r="JK155" s="302"/>
      <c r="JL155" s="302"/>
      <c r="JM155" s="302"/>
      <c r="JN155" s="302"/>
      <c r="JO155" s="302"/>
      <c r="JP155" s="302"/>
      <c r="JQ155" s="302"/>
      <c r="JR155" s="302"/>
      <c r="JS155" s="302"/>
      <c r="JT155" s="302"/>
      <c r="JU155" s="302"/>
      <c r="JV155" s="302"/>
      <c r="JW155" s="302"/>
      <c r="JX155" s="302"/>
      <c r="JY155" s="302"/>
      <c r="JZ155" s="302"/>
      <c r="KA155" s="302"/>
      <c r="KB155" s="302"/>
      <c r="KC155" s="302"/>
      <c r="KD155" s="302"/>
      <c r="KE155" s="302"/>
      <c r="KF155" s="302"/>
      <c r="KG155" s="302"/>
      <c r="KH155" s="302"/>
      <c r="KI155" s="302"/>
      <c r="KJ155" s="302"/>
      <c r="KK155" s="302"/>
      <c r="KL155" s="302"/>
      <c r="KM155" s="302"/>
      <c r="KN155" s="302"/>
      <c r="KO155" s="302"/>
      <c r="KP155" s="302"/>
      <c r="KQ155" s="302"/>
      <c r="KR155" s="302"/>
      <c r="KS155" s="302"/>
      <c r="KT155" s="302"/>
      <c r="KU155" s="302"/>
      <c r="KV155" s="302"/>
      <c r="KW155" s="302"/>
      <c r="KX155" s="302"/>
      <c r="KY155" s="302"/>
      <c r="KZ155" s="302"/>
      <c r="LA155" s="302"/>
      <c r="LB155" s="302"/>
      <c r="LC155" s="302"/>
      <c r="LD155" s="302"/>
      <c r="LE155" s="302"/>
      <c r="LF155" s="302"/>
      <c r="LG155" s="302"/>
      <c r="LH155" s="302"/>
      <c r="LI155" s="302"/>
      <c r="LJ155" s="302"/>
      <c r="LK155" s="302"/>
      <c r="LL155" s="302"/>
      <c r="LM155" s="302"/>
      <c r="LN155" s="302"/>
      <c r="LO155" s="302"/>
      <c r="LP155" s="302"/>
      <c r="LQ155" s="302"/>
      <c r="LR155" s="302"/>
      <c r="LS155" s="302"/>
      <c r="LT155" s="302"/>
      <c r="LU155" s="302"/>
      <c r="LV155" s="302"/>
      <c r="LW155" s="302"/>
      <c r="LX155" s="302"/>
      <c r="LY155" s="302"/>
      <c r="LZ155" s="302"/>
      <c r="MA155" s="302"/>
      <c r="MB155" s="302"/>
      <c r="MC155" s="302"/>
      <c r="MD155" s="302"/>
      <c r="ME155" s="302"/>
      <c r="MF155" s="302"/>
      <c r="MG155" s="302"/>
      <c r="MH155" s="302"/>
      <c r="MI155" s="302"/>
      <c r="MJ155" s="302"/>
      <c r="MK155" s="302"/>
      <c r="ML155" s="302"/>
      <c r="MM155" s="302"/>
      <c r="MN155" s="302"/>
      <c r="MO155" s="302"/>
      <c r="MP155" s="302"/>
      <c r="MQ155" s="302"/>
      <c r="MR155" s="302"/>
      <c r="MS155" s="302"/>
      <c r="MT155" s="302"/>
      <c r="MU155" s="302"/>
      <c r="MV155" s="302"/>
      <c r="MW155" s="302"/>
      <c r="MX155" s="302"/>
      <c r="MY155" s="302"/>
      <c r="MZ155" s="302"/>
      <c r="NA155" s="302"/>
      <c r="NB155" s="302"/>
      <c r="NC155" s="302"/>
      <c r="ND155" s="302"/>
      <c r="NE155" s="302"/>
      <c r="NF155" s="302"/>
      <c r="NG155" s="302"/>
      <c r="NH155" s="302"/>
      <c r="NI155" s="302"/>
      <c r="NJ155" s="302"/>
      <c r="NK155" s="302"/>
      <c r="NL155" s="302"/>
      <c r="NM155" s="302"/>
      <c r="NN155" s="302"/>
      <c r="NO155" s="302"/>
      <c r="NP155" s="302"/>
      <c r="NQ155" s="302"/>
      <c r="NR155" s="302"/>
      <c r="NS155" s="302"/>
      <c r="NT155" s="302"/>
      <c r="NU155" s="302"/>
      <c r="NV155" s="302"/>
      <c r="NW155" s="302"/>
      <c r="NX155" s="302"/>
      <c r="NY155" s="302"/>
      <c r="NZ155" s="302"/>
      <c r="OA155" s="302"/>
      <c r="OB155" s="302"/>
      <c r="OC155" s="302"/>
      <c r="OD155" s="302"/>
      <c r="OE155" s="302"/>
      <c r="OF155" s="302"/>
      <c r="OG155" s="302"/>
      <c r="OH155" s="302"/>
      <c r="OI155" s="302"/>
      <c r="OJ155" s="302"/>
      <c r="OK155" s="302"/>
      <c r="OL155" s="302"/>
      <c r="OM155" s="302"/>
      <c r="ON155" s="302"/>
      <c r="OO155" s="302"/>
      <c r="OP155" s="302"/>
      <c r="OQ155" s="302"/>
      <c r="OR155" s="302"/>
      <c r="OS155" s="302"/>
      <c r="OT155" s="302"/>
      <c r="OU155" s="302"/>
      <c r="OV155" s="302"/>
      <c r="OW155" s="302"/>
      <c r="OX155" s="302"/>
      <c r="OY155" s="302"/>
      <c r="OZ155" s="302"/>
      <c r="PA155" s="302"/>
      <c r="PB155" s="302"/>
      <c r="PC155" s="302"/>
      <c r="PD155" s="302"/>
      <c r="PE155" s="302"/>
      <c r="PF155" s="302"/>
      <c r="PG155" s="302"/>
      <c r="PH155" s="302"/>
      <c r="PI155" s="302"/>
      <c r="PJ155" s="302"/>
      <c r="PK155" s="302"/>
      <c r="PL155" s="302"/>
      <c r="PM155" s="302"/>
      <c r="PN155" s="302"/>
      <c r="PO155" s="302"/>
      <c r="PP155" s="302"/>
      <c r="PQ155" s="302"/>
      <c r="PR155" s="302"/>
      <c r="PS155" s="302"/>
      <c r="PT155" s="302"/>
      <c r="PU155" s="302"/>
      <c r="PV155" s="302"/>
      <c r="PW155" s="302"/>
      <c r="PX155" s="302"/>
      <c r="PY155" s="302"/>
      <c r="PZ155" s="302"/>
      <c r="QA155" s="302"/>
      <c r="QB155" s="302"/>
      <c r="QC155" s="302"/>
      <c r="QD155" s="302"/>
      <c r="QE155" s="302"/>
      <c r="QF155" s="302"/>
      <c r="QG155" s="302"/>
      <c r="QH155" s="302"/>
      <c r="QI155" s="302"/>
      <c r="QJ155" s="302"/>
      <c r="QK155" s="302"/>
      <c r="QL155" s="302"/>
      <c r="QM155" s="302"/>
      <c r="QN155" s="302"/>
      <c r="QO155" s="302"/>
      <c r="QP155" s="302"/>
      <c r="QQ155" s="302"/>
      <c r="QR155" s="302"/>
      <c r="QS155" s="302"/>
      <c r="QT155" s="302"/>
      <c r="QU155" s="302"/>
      <c r="QV155" s="302"/>
      <c r="QW155" s="302"/>
      <c r="QX155" s="302"/>
      <c r="QY155" s="302"/>
      <c r="QZ155" s="302"/>
      <c r="RA155" s="302"/>
      <c r="RB155" s="302"/>
      <c r="RC155" s="302"/>
      <c r="RD155" s="302"/>
      <c r="RE155" s="302"/>
      <c r="RF155" s="302"/>
      <c r="RG155" s="302"/>
      <c r="RH155" s="302"/>
      <c r="RI155" s="302"/>
      <c r="RJ155" s="302"/>
      <c r="RK155" s="302"/>
      <c r="RL155" s="302"/>
      <c r="RM155" s="302"/>
      <c r="RN155" s="302"/>
      <c r="RO155" s="302"/>
      <c r="RP155" s="302"/>
      <c r="RQ155" s="302"/>
      <c r="RR155" s="302"/>
      <c r="RS155" s="302"/>
      <c r="RT155" s="302"/>
      <c r="RU155" s="302"/>
      <c r="RV155" s="302"/>
      <c r="RW155" s="302"/>
      <c r="RX155" s="302"/>
      <c r="RY155" s="302"/>
      <c r="RZ155" s="302"/>
      <c r="SA155" s="302"/>
      <c r="SB155" s="302"/>
      <c r="SC155" s="302"/>
      <c r="SD155" s="302"/>
      <c r="SE155" s="302"/>
      <c r="SF155" s="302"/>
      <c r="SG155" s="302"/>
      <c r="SH155" s="302"/>
      <c r="SI155" s="302"/>
      <c r="SJ155" s="302"/>
      <c r="SK155" s="302"/>
      <c r="SL155" s="302"/>
      <c r="SM155" s="302"/>
      <c r="SN155" s="302"/>
      <c r="SO155" s="302"/>
      <c r="SP155" s="302"/>
      <c r="SQ155" s="302"/>
      <c r="SR155" s="302"/>
      <c r="SS155" s="302"/>
      <c r="ST155" s="302"/>
      <c r="SU155" s="302"/>
      <c r="SV155" s="302"/>
      <c r="SW155" s="302"/>
      <c r="SX155" s="302"/>
      <c r="SY155" s="302"/>
      <c r="SZ155" s="302"/>
      <c r="TA155" s="302"/>
      <c r="TB155" s="302"/>
      <c r="TC155" s="302"/>
      <c r="TD155" s="302"/>
      <c r="TE155" s="302"/>
      <c r="TF155" s="302"/>
      <c r="TG155" s="302"/>
      <c r="TH155" s="302"/>
      <c r="TI155" s="302"/>
      <c r="TJ155" s="302"/>
      <c r="TK155" s="302"/>
      <c r="TL155" s="302"/>
      <c r="TM155" s="302"/>
      <c r="TN155" s="302"/>
      <c r="TO155" s="302"/>
      <c r="TP155" s="302"/>
      <c r="TQ155" s="302"/>
      <c r="TR155" s="302"/>
      <c r="TS155" s="302"/>
      <c r="TT155" s="302"/>
      <c r="TU155" s="302"/>
      <c r="TV155" s="302"/>
      <c r="TW155" s="302"/>
      <c r="TX155" s="302"/>
      <c r="TY155" s="302"/>
      <c r="TZ155" s="302"/>
      <c r="UA155" s="302"/>
      <c r="UB155" s="302"/>
      <c r="UC155" s="302"/>
      <c r="UD155" s="302"/>
      <c r="UE155" s="302"/>
      <c r="UF155" s="302"/>
      <c r="UG155" s="302"/>
      <c r="UH155" s="302"/>
      <c r="UI155" s="302"/>
      <c r="UJ155" s="302"/>
      <c r="UK155" s="302"/>
      <c r="UL155" s="302"/>
      <c r="UM155" s="302"/>
      <c r="UN155" s="302"/>
      <c r="UO155" s="302"/>
      <c r="UP155" s="302"/>
      <c r="UQ155" s="302"/>
      <c r="UR155" s="302"/>
      <c r="US155" s="302"/>
      <c r="UT155" s="302"/>
      <c r="UU155" s="302"/>
      <c r="UV155" s="302"/>
      <c r="UW155" s="302"/>
      <c r="UX155" s="302"/>
      <c r="UY155" s="302"/>
      <c r="UZ155" s="302"/>
      <c r="VA155" s="302"/>
      <c r="VB155" s="302"/>
      <c r="VC155" s="302"/>
      <c r="VD155" s="302"/>
      <c r="VE155" s="302"/>
      <c r="VF155" s="302"/>
      <c r="VG155" s="302"/>
      <c r="VH155" s="302"/>
      <c r="VI155" s="302"/>
      <c r="VJ155" s="302"/>
      <c r="VK155" s="302"/>
      <c r="VL155" s="302"/>
      <c r="VM155" s="302"/>
      <c r="VN155" s="302"/>
      <c r="VO155" s="302"/>
      <c r="VP155" s="302"/>
      <c r="VQ155" s="302"/>
      <c r="VR155" s="302"/>
      <c r="VS155" s="302"/>
      <c r="VT155" s="302"/>
      <c r="VU155" s="302"/>
      <c r="VV155" s="302"/>
      <c r="VW155" s="302"/>
      <c r="VX155" s="302"/>
      <c r="VY155" s="302"/>
      <c r="VZ155" s="302"/>
      <c r="WA155" s="302"/>
      <c r="WB155" s="302"/>
      <c r="WC155" s="302"/>
      <c r="WD155" s="302"/>
      <c r="WE155" s="302"/>
      <c r="WF155" s="302"/>
      <c r="WG155" s="302"/>
      <c r="WH155" s="302"/>
      <c r="WI155" s="302"/>
      <c r="WJ155" s="302"/>
      <c r="WK155" s="302"/>
      <c r="WL155" s="302"/>
      <c r="WM155" s="302"/>
      <c r="WN155" s="302"/>
      <c r="WO155" s="302"/>
      <c r="WP155" s="302"/>
      <c r="WQ155" s="302"/>
      <c r="WR155" s="302"/>
      <c r="WS155" s="302"/>
      <c r="WT155" s="302"/>
      <c r="WU155" s="302"/>
      <c r="WV155" s="302"/>
      <c r="WW155" s="302"/>
      <c r="WX155" s="302"/>
      <c r="WY155" s="302"/>
      <c r="WZ155" s="302"/>
      <c r="XA155" s="302"/>
      <c r="XB155" s="302"/>
      <c r="XC155" s="302"/>
      <c r="XD155" s="302"/>
      <c r="XE155" s="302"/>
      <c r="XF155" s="302"/>
      <c r="XG155" s="302"/>
      <c r="XH155" s="302"/>
      <c r="XI155" s="302"/>
      <c r="XJ155" s="302"/>
      <c r="XK155" s="302"/>
      <c r="XL155" s="302"/>
      <c r="XM155" s="302"/>
      <c r="XN155" s="302"/>
      <c r="XO155" s="302"/>
      <c r="XP155" s="302"/>
      <c r="XQ155" s="302"/>
      <c r="XR155" s="302"/>
      <c r="XS155" s="302"/>
      <c r="XT155" s="302"/>
      <c r="XU155" s="302"/>
      <c r="XV155" s="302"/>
      <c r="XW155" s="302"/>
      <c r="XX155" s="302"/>
      <c r="XY155" s="302"/>
      <c r="XZ155" s="302"/>
      <c r="YA155" s="302"/>
      <c r="YB155" s="302"/>
      <c r="YC155" s="302"/>
      <c r="YD155" s="302"/>
      <c r="YE155" s="302"/>
      <c r="YF155" s="302"/>
      <c r="YG155" s="302"/>
      <c r="YH155" s="302"/>
      <c r="YI155" s="302"/>
      <c r="YJ155" s="302"/>
      <c r="YK155" s="302"/>
      <c r="YL155" s="302"/>
      <c r="YM155" s="302"/>
      <c r="YN155" s="302"/>
      <c r="YO155" s="302"/>
      <c r="YP155" s="302"/>
      <c r="YQ155" s="302"/>
      <c r="YR155" s="302"/>
      <c r="YS155" s="302"/>
      <c r="YT155" s="302"/>
      <c r="YU155" s="302"/>
      <c r="YV155" s="302"/>
      <c r="YW155" s="302"/>
      <c r="YX155" s="302"/>
      <c r="YY155" s="302"/>
      <c r="YZ155" s="302"/>
      <c r="ZA155" s="302"/>
      <c r="ZB155" s="302"/>
      <c r="ZC155" s="302"/>
      <c r="ZD155" s="302"/>
      <c r="ZE155" s="302"/>
      <c r="ZF155" s="302"/>
      <c r="ZG155" s="302"/>
      <c r="ZH155" s="302"/>
      <c r="ZI155" s="302"/>
      <c r="ZJ155" s="302"/>
      <c r="ZK155" s="302"/>
      <c r="ZL155" s="302"/>
      <c r="ZM155" s="302"/>
      <c r="ZN155" s="302"/>
      <c r="ZO155" s="302"/>
      <c r="ZP155" s="302"/>
      <c r="ZQ155" s="302"/>
      <c r="ZR155" s="302"/>
      <c r="ZS155" s="302"/>
      <c r="ZT155" s="302"/>
      <c r="ZU155" s="302"/>
      <c r="ZV155" s="302"/>
      <c r="ZW155" s="302"/>
      <c r="ZX155" s="302"/>
      <c r="ZY155" s="302"/>
      <c r="ZZ155" s="302"/>
      <c r="AAA155" s="302"/>
      <c r="AAB155" s="302"/>
      <c r="AAC155" s="302"/>
      <c r="AAD155" s="302"/>
      <c r="AAE155" s="302"/>
      <c r="AAF155" s="302"/>
      <c r="AAG155" s="302"/>
      <c r="AAH155" s="302"/>
      <c r="AAI155" s="302"/>
      <c r="AAJ155" s="302"/>
      <c r="AAK155" s="302"/>
      <c r="AAL155" s="302"/>
      <c r="AAM155" s="302"/>
      <c r="AAN155" s="302"/>
      <c r="AAO155" s="302"/>
      <c r="AAP155" s="302"/>
      <c r="AAQ155" s="302"/>
      <c r="AAR155" s="302"/>
      <c r="AAS155" s="302"/>
      <c r="AAT155" s="302"/>
      <c r="AAU155" s="302"/>
      <c r="AAV155" s="302"/>
      <c r="AAW155" s="302"/>
      <c r="AAX155" s="302"/>
      <c r="AAY155" s="302"/>
      <c r="AAZ155" s="302"/>
      <c r="ABA155" s="302"/>
      <c r="ABB155" s="302"/>
      <c r="ABC155" s="302"/>
      <c r="ABD155" s="302"/>
      <c r="ABE155" s="302"/>
      <c r="ABF155" s="302"/>
      <c r="ABG155" s="302"/>
      <c r="ABH155" s="302"/>
      <c r="ABI155" s="302"/>
      <c r="ABJ155" s="302"/>
      <c r="ABK155" s="302"/>
      <c r="ABL155" s="302"/>
      <c r="ABM155" s="302"/>
      <c r="ABN155" s="302"/>
      <c r="ABO155" s="302"/>
      <c r="ABP155" s="302"/>
      <c r="ABQ155" s="302"/>
      <c r="ABR155" s="302"/>
      <c r="ABS155" s="302"/>
      <c r="ABT155" s="302"/>
      <c r="ABU155" s="302"/>
      <c r="ABV155" s="302"/>
      <c r="ABW155" s="302"/>
      <c r="ABX155" s="302"/>
      <c r="ABY155" s="302"/>
      <c r="ABZ155" s="302"/>
      <c r="ACA155" s="302"/>
      <c r="ACB155" s="302"/>
      <c r="ACC155" s="302"/>
      <c r="ACD155" s="302"/>
      <c r="ACE155" s="302"/>
      <c r="ACF155" s="302"/>
      <c r="ACG155" s="302"/>
      <c r="ACH155" s="302"/>
      <c r="ACI155" s="302"/>
      <c r="ACJ155" s="302"/>
      <c r="ACK155" s="302"/>
      <c r="ACL155" s="302"/>
      <c r="ACM155" s="302"/>
      <c r="ACN155" s="302"/>
      <c r="ACO155" s="302"/>
      <c r="ACP155" s="302"/>
      <c r="ACQ155" s="302"/>
      <c r="ACR155" s="302"/>
      <c r="ACS155" s="302"/>
      <c r="ACT155" s="302"/>
      <c r="ACU155" s="302"/>
      <c r="ACV155" s="302"/>
      <c r="ACW155" s="302"/>
      <c r="ACX155" s="302"/>
      <c r="ACY155" s="302"/>
      <c r="ACZ155" s="302"/>
      <c r="ADA155" s="302"/>
      <c r="ADB155" s="302"/>
      <c r="ADC155" s="302"/>
      <c r="ADD155" s="302"/>
      <c r="ADE155" s="302"/>
      <c r="ADF155" s="302"/>
      <c r="ADG155" s="302"/>
      <c r="ADH155" s="302"/>
      <c r="ADI155" s="302"/>
      <c r="ADJ155" s="302"/>
      <c r="ADK155" s="302"/>
      <c r="ADL155" s="302"/>
      <c r="ADM155" s="302"/>
      <c r="ADN155" s="302"/>
      <c r="ADO155" s="302"/>
      <c r="ADP155" s="302"/>
      <c r="ADQ155" s="302"/>
      <c r="ADR155" s="302"/>
      <c r="ADS155" s="302"/>
      <c r="ADT155" s="302"/>
      <c r="ADU155" s="302"/>
      <c r="ADV155" s="302"/>
      <c r="ADW155" s="302"/>
      <c r="ADX155" s="302"/>
      <c r="ADY155" s="302"/>
      <c r="ADZ155" s="302"/>
      <c r="AEA155" s="302"/>
      <c r="AEB155" s="302"/>
      <c r="AEC155" s="302"/>
      <c r="AED155" s="302"/>
      <c r="AEE155" s="302"/>
      <c r="AEF155" s="302"/>
      <c r="AEG155" s="302"/>
      <c r="AEH155" s="302"/>
      <c r="AEI155" s="302"/>
      <c r="AEJ155" s="302"/>
      <c r="AEK155" s="302"/>
      <c r="AEL155" s="302"/>
      <c r="AEM155" s="302"/>
      <c r="AEN155" s="302"/>
      <c r="AEO155" s="302"/>
      <c r="AEP155" s="302"/>
      <c r="AEQ155" s="302"/>
      <c r="AER155" s="302"/>
      <c r="AES155" s="302"/>
      <c r="AET155" s="302"/>
      <c r="AEU155" s="302"/>
      <c r="AEV155" s="302"/>
      <c r="AEW155" s="302"/>
      <c r="AEX155" s="302"/>
      <c r="AEY155" s="302"/>
      <c r="AEZ155" s="302"/>
      <c r="AFA155" s="302"/>
      <c r="AFB155" s="302"/>
      <c r="AFC155" s="302"/>
      <c r="AFD155" s="302"/>
      <c r="AFE155" s="302"/>
      <c r="AFF155" s="302"/>
      <c r="AFG155" s="302"/>
      <c r="AFH155" s="302"/>
      <c r="AFI155" s="302"/>
      <c r="AFJ155" s="302"/>
      <c r="AFK155" s="302"/>
      <c r="AFL155" s="302"/>
      <c r="AFM155" s="302"/>
      <c r="AFN155" s="302"/>
      <c r="AFO155" s="302"/>
      <c r="AFP155" s="302"/>
      <c r="AFQ155" s="302"/>
      <c r="AFR155" s="302"/>
      <c r="AFS155" s="302"/>
      <c r="AFT155" s="302"/>
      <c r="AFU155" s="302"/>
      <c r="AFV155" s="302"/>
      <c r="AFW155" s="302"/>
      <c r="AFX155" s="302"/>
      <c r="AFY155" s="302"/>
      <c r="AFZ155" s="302"/>
      <c r="AGA155" s="302"/>
      <c r="AGB155" s="302"/>
      <c r="AGC155" s="302"/>
      <c r="AGD155" s="302"/>
      <c r="AGE155" s="302"/>
      <c r="AGF155" s="302"/>
      <c r="AGG155" s="302"/>
      <c r="AGH155" s="302"/>
      <c r="AGI155" s="302"/>
      <c r="AGJ155" s="302"/>
      <c r="AGK155" s="302"/>
      <c r="AGL155" s="302"/>
      <c r="AGM155" s="302"/>
      <c r="AGN155" s="302"/>
      <c r="AGO155" s="302"/>
      <c r="AGP155" s="302"/>
      <c r="AGQ155" s="302"/>
      <c r="AGR155" s="302"/>
      <c r="AGS155" s="302"/>
      <c r="AGT155" s="302"/>
      <c r="AGU155" s="302"/>
      <c r="AGV155" s="302"/>
      <c r="AGW155" s="302"/>
      <c r="AGX155" s="302"/>
      <c r="AGY155" s="302"/>
      <c r="AGZ155" s="302"/>
      <c r="AHA155" s="302"/>
      <c r="AHB155" s="302"/>
      <c r="AHC155" s="302"/>
      <c r="AHD155" s="302"/>
      <c r="AHE155" s="302"/>
      <c r="AHF155" s="302"/>
      <c r="AHG155" s="302"/>
      <c r="AHH155" s="302"/>
      <c r="AHI155" s="302"/>
      <c r="AHJ155" s="302"/>
      <c r="AHK155" s="302"/>
      <c r="AHL155" s="302"/>
      <c r="AHM155" s="302"/>
      <c r="AHN155" s="302"/>
      <c r="AHO155" s="302"/>
      <c r="AHP155" s="302"/>
      <c r="AHQ155" s="302"/>
      <c r="AHR155" s="302"/>
      <c r="AHS155" s="302"/>
      <c r="AHT155" s="302"/>
      <c r="AHU155" s="302"/>
      <c r="AHV155" s="302"/>
      <c r="AHW155" s="302"/>
      <c r="AHX155" s="302"/>
      <c r="AHY155" s="302"/>
      <c r="AHZ155" s="302"/>
      <c r="AIA155" s="302"/>
      <c r="AIB155" s="302"/>
      <c r="AIC155" s="302"/>
      <c r="AID155" s="302"/>
      <c r="AIE155" s="302"/>
      <c r="AIF155" s="302"/>
      <c r="AIG155" s="302"/>
      <c r="AIH155" s="302"/>
      <c r="AII155" s="302"/>
      <c r="AIJ155" s="302"/>
      <c r="AIK155" s="302"/>
      <c r="AIL155" s="302"/>
      <c r="AIM155" s="302"/>
      <c r="AIN155" s="302"/>
      <c r="AIO155" s="302"/>
      <c r="AIP155" s="302"/>
      <c r="AIQ155" s="302"/>
      <c r="AIR155" s="302"/>
      <c r="AIS155" s="302"/>
      <c r="AIT155" s="302"/>
      <c r="AIU155" s="302"/>
      <c r="AIV155" s="302"/>
      <c r="AIW155" s="302"/>
      <c r="AIX155" s="302"/>
      <c r="AIY155" s="302"/>
      <c r="AIZ155" s="302"/>
      <c r="AJA155" s="302"/>
      <c r="AJB155" s="302"/>
      <c r="AJC155" s="302"/>
      <c r="AJD155" s="302"/>
      <c r="AJE155" s="302"/>
      <c r="AJF155" s="302"/>
      <c r="AJG155" s="302"/>
      <c r="AJH155" s="302"/>
      <c r="AJI155" s="302"/>
      <c r="AJJ155" s="302"/>
      <c r="AJK155" s="302"/>
      <c r="AJL155" s="302"/>
      <c r="AJM155" s="302"/>
      <c r="AJN155" s="302"/>
      <c r="AJO155" s="302"/>
      <c r="AJP155" s="302"/>
      <c r="AJQ155" s="302"/>
      <c r="AJR155" s="302"/>
      <c r="AJS155" s="302"/>
      <c r="AJT155" s="302"/>
      <c r="AJU155" s="302"/>
      <c r="AJV155" s="302"/>
      <c r="AJW155" s="302"/>
      <c r="AJX155" s="302"/>
      <c r="AJY155" s="302"/>
      <c r="AJZ155" s="302"/>
      <c r="AKA155" s="302"/>
      <c r="AKB155" s="302"/>
      <c r="AKC155" s="302"/>
      <c r="AKD155" s="302"/>
      <c r="AKE155" s="302"/>
      <c r="AKF155" s="302"/>
      <c r="AKG155" s="302"/>
      <c r="AKH155" s="302"/>
      <c r="AKI155" s="302"/>
      <c r="AKJ155" s="302"/>
      <c r="AKK155" s="302"/>
      <c r="AKL155" s="302"/>
      <c r="AKM155" s="302"/>
      <c r="AKN155" s="302"/>
      <c r="AKO155" s="302"/>
      <c r="AKP155" s="302"/>
      <c r="AKQ155" s="302"/>
      <c r="AKR155" s="302"/>
      <c r="AKS155" s="302"/>
      <c r="AKT155" s="302"/>
      <c r="AKU155" s="302"/>
      <c r="AKV155" s="302"/>
      <c r="AKW155" s="302"/>
      <c r="AKX155" s="302"/>
      <c r="AKY155" s="302"/>
      <c r="AKZ155" s="302"/>
      <c r="ALA155" s="302"/>
      <c r="ALB155" s="302"/>
      <c r="ALC155" s="302"/>
      <c r="ALD155" s="302"/>
      <c r="ALE155" s="302"/>
      <c r="ALF155" s="302"/>
      <c r="ALG155" s="302"/>
      <c r="ALH155" s="302"/>
      <c r="ALI155" s="302"/>
      <c r="ALJ155" s="302"/>
      <c r="ALK155" s="302"/>
      <c r="ALL155" s="302"/>
      <c r="ALM155" s="302"/>
      <c r="ALN155" s="302"/>
      <c r="ALO155" s="302"/>
      <c r="ALP155" s="302"/>
      <c r="ALQ155" s="302"/>
      <c r="ALR155" s="302"/>
      <c r="ALS155" s="302"/>
      <c r="ALT155" s="302"/>
      <c r="ALU155" s="302"/>
      <c r="ALV155" s="302"/>
      <c r="ALW155" s="302"/>
      <c r="ALX155" s="302"/>
      <c r="ALY155" s="302"/>
      <c r="ALZ155" s="302"/>
      <c r="AMA155" s="302"/>
      <c r="AMB155" s="302"/>
      <c r="AMC155" s="302"/>
      <c r="AMD155" s="302"/>
      <c r="AME155" s="302"/>
      <c r="AMF155" s="302"/>
      <c r="AMG155" s="302"/>
      <c r="AMH155" s="302"/>
      <c r="AMI155" s="302"/>
    </row>
    <row r="156" spans="1:1023" ht="18" hidden="1">
      <c r="A156" s="302"/>
      <c r="B156" s="308" t="s">
        <v>4</v>
      </c>
      <c r="C156" s="308" t="s">
        <v>373</v>
      </c>
      <c r="D156" s="308" t="s">
        <v>6</v>
      </c>
      <c r="E156" s="308" t="s">
        <v>29</v>
      </c>
      <c r="F156" s="309" t="s">
        <v>8</v>
      </c>
      <c r="G156" s="308" t="s">
        <v>124</v>
      </c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2"/>
      <c r="AE156" s="302"/>
      <c r="AF156" s="302"/>
      <c r="AG156" s="302"/>
      <c r="AH156" s="302"/>
      <c r="AI156" s="302"/>
      <c r="AJ156" s="302"/>
      <c r="AK156" s="302"/>
      <c r="AL156" s="302"/>
      <c r="AM156" s="302"/>
      <c r="AN156" s="302"/>
      <c r="AO156" s="302"/>
      <c r="AP156" s="302"/>
      <c r="AQ156" s="302"/>
      <c r="AR156" s="302"/>
      <c r="AS156" s="302"/>
      <c r="AT156" s="302"/>
      <c r="AU156" s="302"/>
      <c r="AV156" s="302"/>
      <c r="AW156" s="302"/>
      <c r="AX156" s="302"/>
      <c r="AY156" s="302"/>
      <c r="AZ156" s="302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K156" s="302"/>
      <c r="BL156" s="302"/>
      <c r="BM156" s="302"/>
      <c r="BN156" s="302"/>
      <c r="BO156" s="302"/>
      <c r="BP156" s="302"/>
      <c r="BQ156" s="302"/>
      <c r="BR156" s="302"/>
      <c r="BS156" s="302"/>
      <c r="BT156" s="302"/>
      <c r="BU156" s="302"/>
      <c r="BV156" s="302"/>
      <c r="BW156" s="302"/>
      <c r="BX156" s="302"/>
      <c r="BY156" s="302"/>
      <c r="BZ156" s="302"/>
      <c r="CA156" s="302"/>
      <c r="CB156" s="302"/>
      <c r="CC156" s="302"/>
      <c r="CD156" s="302"/>
      <c r="CE156" s="302"/>
      <c r="CF156" s="302"/>
      <c r="CG156" s="302"/>
      <c r="CH156" s="302"/>
      <c r="CI156" s="302"/>
      <c r="CJ156" s="302"/>
      <c r="CK156" s="302"/>
      <c r="CL156" s="302"/>
      <c r="CM156" s="302"/>
      <c r="CN156" s="302"/>
      <c r="CO156" s="302"/>
      <c r="CP156" s="302"/>
      <c r="CQ156" s="302"/>
      <c r="CR156" s="302"/>
      <c r="CS156" s="302"/>
      <c r="CT156" s="302"/>
      <c r="CU156" s="302"/>
      <c r="CV156" s="302"/>
      <c r="CW156" s="302"/>
      <c r="CX156" s="302"/>
      <c r="CY156" s="302"/>
      <c r="CZ156" s="302"/>
      <c r="DA156" s="302"/>
      <c r="DB156" s="302"/>
      <c r="DC156" s="302"/>
      <c r="DD156" s="302"/>
      <c r="DE156" s="302"/>
      <c r="DF156" s="302"/>
      <c r="DG156" s="302"/>
      <c r="DH156" s="302"/>
      <c r="DI156" s="302"/>
      <c r="DJ156" s="302"/>
      <c r="DK156" s="302"/>
      <c r="DL156" s="302"/>
      <c r="DM156" s="302"/>
      <c r="DN156" s="302"/>
      <c r="DO156" s="302"/>
      <c r="DP156" s="302"/>
      <c r="DQ156" s="302"/>
      <c r="DR156" s="302"/>
      <c r="DS156" s="302"/>
      <c r="DT156" s="302"/>
      <c r="DU156" s="302"/>
      <c r="DV156" s="302"/>
      <c r="DW156" s="302"/>
      <c r="DX156" s="302"/>
      <c r="DY156" s="302"/>
      <c r="DZ156" s="302"/>
      <c r="EA156" s="302"/>
      <c r="EB156" s="302"/>
      <c r="EC156" s="302"/>
      <c r="ED156" s="302"/>
      <c r="EE156" s="302"/>
      <c r="EF156" s="302"/>
      <c r="EG156" s="302"/>
      <c r="EH156" s="302"/>
      <c r="EI156" s="302"/>
      <c r="EJ156" s="302"/>
      <c r="EK156" s="302"/>
      <c r="EL156" s="302"/>
      <c r="EM156" s="302"/>
      <c r="EN156" s="302"/>
      <c r="EO156" s="302"/>
      <c r="EP156" s="302"/>
      <c r="EQ156" s="302"/>
      <c r="ER156" s="302"/>
      <c r="ES156" s="302"/>
      <c r="ET156" s="302"/>
      <c r="EU156" s="302"/>
      <c r="EV156" s="302"/>
      <c r="EW156" s="302"/>
      <c r="EX156" s="302"/>
      <c r="EY156" s="302"/>
      <c r="EZ156" s="302"/>
      <c r="FA156" s="302"/>
      <c r="FB156" s="302"/>
      <c r="FC156" s="302"/>
      <c r="FD156" s="302"/>
      <c r="FE156" s="302"/>
      <c r="FF156" s="302"/>
      <c r="FG156" s="302"/>
      <c r="FH156" s="302"/>
      <c r="FI156" s="302"/>
      <c r="FJ156" s="302"/>
      <c r="FK156" s="302"/>
      <c r="FL156" s="302"/>
      <c r="FM156" s="302"/>
      <c r="FN156" s="302"/>
      <c r="FO156" s="302"/>
      <c r="FP156" s="302"/>
      <c r="FQ156" s="302"/>
      <c r="FR156" s="302"/>
      <c r="FS156" s="302"/>
      <c r="FT156" s="302"/>
      <c r="FU156" s="302"/>
      <c r="FV156" s="302"/>
      <c r="FW156" s="302"/>
      <c r="FX156" s="302"/>
      <c r="FY156" s="302"/>
      <c r="FZ156" s="302"/>
      <c r="GA156" s="302"/>
      <c r="GB156" s="302"/>
      <c r="GC156" s="302"/>
      <c r="GD156" s="302"/>
      <c r="GE156" s="302"/>
      <c r="GF156" s="302"/>
      <c r="GG156" s="302"/>
      <c r="GH156" s="302"/>
      <c r="GI156" s="302"/>
      <c r="GJ156" s="302"/>
      <c r="GK156" s="302"/>
      <c r="GL156" s="302"/>
      <c r="GM156" s="302"/>
      <c r="GN156" s="302"/>
      <c r="GO156" s="302"/>
      <c r="GP156" s="302"/>
      <c r="GQ156" s="302"/>
      <c r="GR156" s="302"/>
      <c r="GS156" s="302"/>
      <c r="GT156" s="302"/>
      <c r="GU156" s="302"/>
      <c r="GV156" s="302"/>
      <c r="GW156" s="302"/>
      <c r="GX156" s="302"/>
      <c r="GY156" s="302"/>
      <c r="GZ156" s="302"/>
      <c r="HA156" s="302"/>
      <c r="HB156" s="302"/>
      <c r="HC156" s="302"/>
      <c r="HD156" s="302"/>
      <c r="HE156" s="302"/>
      <c r="HF156" s="302"/>
      <c r="HG156" s="302"/>
      <c r="HH156" s="302"/>
      <c r="HI156" s="302"/>
      <c r="HJ156" s="302"/>
      <c r="HK156" s="302"/>
      <c r="HL156" s="302"/>
      <c r="HM156" s="302"/>
      <c r="HN156" s="302"/>
      <c r="HO156" s="302"/>
      <c r="HP156" s="302"/>
      <c r="HQ156" s="302"/>
      <c r="HR156" s="302"/>
      <c r="HS156" s="302"/>
      <c r="HT156" s="302"/>
      <c r="HU156" s="302"/>
      <c r="HV156" s="302"/>
      <c r="HW156" s="302"/>
      <c r="HX156" s="302"/>
      <c r="HY156" s="302"/>
      <c r="HZ156" s="302"/>
      <c r="IA156" s="302"/>
      <c r="IB156" s="302"/>
      <c r="IC156" s="302"/>
      <c r="ID156" s="302"/>
      <c r="IE156" s="302"/>
      <c r="IF156" s="302"/>
      <c r="IG156" s="302"/>
      <c r="IH156" s="302"/>
      <c r="II156" s="302"/>
      <c r="IJ156" s="302"/>
      <c r="IK156" s="302"/>
      <c r="IL156" s="302"/>
      <c r="IM156" s="302"/>
      <c r="IN156" s="302"/>
      <c r="IO156" s="302"/>
      <c r="IP156" s="302"/>
      <c r="IQ156" s="302"/>
      <c r="IR156" s="302"/>
      <c r="IS156" s="302"/>
      <c r="IT156" s="302"/>
      <c r="IU156" s="302"/>
      <c r="IV156" s="302"/>
      <c r="IW156" s="302"/>
      <c r="IX156" s="302"/>
      <c r="IY156" s="302"/>
      <c r="IZ156" s="302"/>
      <c r="JA156" s="302"/>
      <c r="JB156" s="302"/>
      <c r="JC156" s="302"/>
      <c r="JD156" s="302"/>
      <c r="JE156" s="302"/>
      <c r="JF156" s="302"/>
      <c r="JG156" s="302"/>
      <c r="JH156" s="302"/>
      <c r="JI156" s="302"/>
      <c r="JJ156" s="302"/>
      <c r="JK156" s="302"/>
      <c r="JL156" s="302"/>
      <c r="JM156" s="302"/>
      <c r="JN156" s="302"/>
      <c r="JO156" s="302"/>
      <c r="JP156" s="302"/>
      <c r="JQ156" s="302"/>
      <c r="JR156" s="302"/>
      <c r="JS156" s="302"/>
      <c r="JT156" s="302"/>
      <c r="JU156" s="302"/>
      <c r="JV156" s="302"/>
      <c r="JW156" s="302"/>
      <c r="JX156" s="302"/>
      <c r="JY156" s="302"/>
      <c r="JZ156" s="302"/>
      <c r="KA156" s="302"/>
      <c r="KB156" s="302"/>
      <c r="KC156" s="302"/>
      <c r="KD156" s="302"/>
      <c r="KE156" s="302"/>
      <c r="KF156" s="302"/>
      <c r="KG156" s="302"/>
      <c r="KH156" s="302"/>
      <c r="KI156" s="302"/>
      <c r="KJ156" s="302"/>
      <c r="KK156" s="302"/>
      <c r="KL156" s="302"/>
      <c r="KM156" s="302"/>
      <c r="KN156" s="302"/>
      <c r="KO156" s="302"/>
      <c r="KP156" s="302"/>
      <c r="KQ156" s="302"/>
      <c r="KR156" s="302"/>
      <c r="KS156" s="302"/>
      <c r="KT156" s="302"/>
      <c r="KU156" s="302"/>
      <c r="KV156" s="302"/>
      <c r="KW156" s="302"/>
      <c r="KX156" s="302"/>
      <c r="KY156" s="302"/>
      <c r="KZ156" s="302"/>
      <c r="LA156" s="302"/>
      <c r="LB156" s="302"/>
      <c r="LC156" s="302"/>
      <c r="LD156" s="302"/>
      <c r="LE156" s="302"/>
      <c r="LF156" s="302"/>
      <c r="LG156" s="302"/>
      <c r="LH156" s="302"/>
      <c r="LI156" s="302"/>
      <c r="LJ156" s="302"/>
      <c r="LK156" s="302"/>
      <c r="LL156" s="302"/>
      <c r="LM156" s="302"/>
      <c r="LN156" s="302"/>
      <c r="LO156" s="302"/>
      <c r="LP156" s="302"/>
      <c r="LQ156" s="302"/>
      <c r="LR156" s="302"/>
      <c r="LS156" s="302"/>
      <c r="LT156" s="302"/>
      <c r="LU156" s="302"/>
      <c r="LV156" s="302"/>
      <c r="LW156" s="302"/>
      <c r="LX156" s="302"/>
      <c r="LY156" s="302"/>
      <c r="LZ156" s="302"/>
      <c r="MA156" s="302"/>
      <c r="MB156" s="302"/>
      <c r="MC156" s="302"/>
      <c r="MD156" s="302"/>
      <c r="ME156" s="302"/>
      <c r="MF156" s="302"/>
      <c r="MG156" s="302"/>
      <c r="MH156" s="302"/>
      <c r="MI156" s="302"/>
      <c r="MJ156" s="302"/>
      <c r="MK156" s="302"/>
      <c r="ML156" s="302"/>
      <c r="MM156" s="302"/>
      <c r="MN156" s="302"/>
      <c r="MO156" s="302"/>
      <c r="MP156" s="302"/>
      <c r="MQ156" s="302"/>
      <c r="MR156" s="302"/>
      <c r="MS156" s="302"/>
      <c r="MT156" s="302"/>
      <c r="MU156" s="302"/>
      <c r="MV156" s="302"/>
      <c r="MW156" s="302"/>
      <c r="MX156" s="302"/>
      <c r="MY156" s="302"/>
      <c r="MZ156" s="302"/>
      <c r="NA156" s="302"/>
      <c r="NB156" s="302"/>
      <c r="NC156" s="302"/>
      <c r="ND156" s="302"/>
      <c r="NE156" s="302"/>
      <c r="NF156" s="302"/>
      <c r="NG156" s="302"/>
      <c r="NH156" s="302"/>
      <c r="NI156" s="302"/>
      <c r="NJ156" s="302"/>
      <c r="NK156" s="302"/>
      <c r="NL156" s="302"/>
      <c r="NM156" s="302"/>
      <c r="NN156" s="302"/>
      <c r="NO156" s="302"/>
      <c r="NP156" s="302"/>
      <c r="NQ156" s="302"/>
      <c r="NR156" s="302"/>
      <c r="NS156" s="302"/>
      <c r="NT156" s="302"/>
      <c r="NU156" s="302"/>
      <c r="NV156" s="302"/>
      <c r="NW156" s="302"/>
      <c r="NX156" s="302"/>
      <c r="NY156" s="302"/>
      <c r="NZ156" s="302"/>
      <c r="OA156" s="302"/>
      <c r="OB156" s="302"/>
      <c r="OC156" s="302"/>
      <c r="OD156" s="302"/>
      <c r="OE156" s="302"/>
      <c r="OF156" s="302"/>
      <c r="OG156" s="302"/>
      <c r="OH156" s="302"/>
      <c r="OI156" s="302"/>
      <c r="OJ156" s="302"/>
      <c r="OK156" s="302"/>
      <c r="OL156" s="302"/>
      <c r="OM156" s="302"/>
      <c r="ON156" s="302"/>
      <c r="OO156" s="302"/>
      <c r="OP156" s="302"/>
      <c r="OQ156" s="302"/>
      <c r="OR156" s="302"/>
      <c r="OS156" s="302"/>
      <c r="OT156" s="302"/>
      <c r="OU156" s="302"/>
      <c r="OV156" s="302"/>
      <c r="OW156" s="302"/>
      <c r="OX156" s="302"/>
      <c r="OY156" s="302"/>
      <c r="OZ156" s="302"/>
      <c r="PA156" s="302"/>
      <c r="PB156" s="302"/>
      <c r="PC156" s="302"/>
      <c r="PD156" s="302"/>
      <c r="PE156" s="302"/>
      <c r="PF156" s="302"/>
      <c r="PG156" s="302"/>
      <c r="PH156" s="302"/>
      <c r="PI156" s="302"/>
      <c r="PJ156" s="302"/>
      <c r="PK156" s="302"/>
      <c r="PL156" s="302"/>
      <c r="PM156" s="302"/>
      <c r="PN156" s="302"/>
      <c r="PO156" s="302"/>
      <c r="PP156" s="302"/>
      <c r="PQ156" s="302"/>
      <c r="PR156" s="302"/>
      <c r="PS156" s="302"/>
      <c r="PT156" s="302"/>
      <c r="PU156" s="302"/>
      <c r="PV156" s="302"/>
      <c r="PW156" s="302"/>
      <c r="PX156" s="302"/>
      <c r="PY156" s="302"/>
      <c r="PZ156" s="302"/>
      <c r="QA156" s="302"/>
      <c r="QB156" s="302"/>
      <c r="QC156" s="302"/>
      <c r="QD156" s="302"/>
      <c r="QE156" s="302"/>
      <c r="QF156" s="302"/>
      <c r="QG156" s="302"/>
      <c r="QH156" s="302"/>
      <c r="QI156" s="302"/>
      <c r="QJ156" s="302"/>
      <c r="QK156" s="302"/>
      <c r="QL156" s="302"/>
      <c r="QM156" s="302"/>
      <c r="QN156" s="302"/>
      <c r="QO156" s="302"/>
      <c r="QP156" s="302"/>
      <c r="QQ156" s="302"/>
      <c r="QR156" s="302"/>
      <c r="QS156" s="302"/>
      <c r="QT156" s="302"/>
      <c r="QU156" s="302"/>
      <c r="QV156" s="302"/>
      <c r="QW156" s="302"/>
      <c r="QX156" s="302"/>
      <c r="QY156" s="302"/>
      <c r="QZ156" s="302"/>
      <c r="RA156" s="302"/>
      <c r="RB156" s="302"/>
      <c r="RC156" s="302"/>
      <c r="RD156" s="302"/>
      <c r="RE156" s="302"/>
      <c r="RF156" s="302"/>
      <c r="RG156" s="302"/>
      <c r="RH156" s="302"/>
      <c r="RI156" s="302"/>
      <c r="RJ156" s="302"/>
      <c r="RK156" s="302"/>
      <c r="RL156" s="302"/>
      <c r="RM156" s="302"/>
      <c r="RN156" s="302"/>
      <c r="RO156" s="302"/>
      <c r="RP156" s="302"/>
      <c r="RQ156" s="302"/>
      <c r="RR156" s="302"/>
      <c r="RS156" s="302"/>
      <c r="RT156" s="302"/>
      <c r="RU156" s="302"/>
      <c r="RV156" s="302"/>
      <c r="RW156" s="302"/>
      <c r="RX156" s="302"/>
      <c r="RY156" s="302"/>
      <c r="RZ156" s="302"/>
      <c r="SA156" s="302"/>
      <c r="SB156" s="302"/>
      <c r="SC156" s="302"/>
      <c r="SD156" s="302"/>
      <c r="SE156" s="302"/>
      <c r="SF156" s="302"/>
      <c r="SG156" s="302"/>
      <c r="SH156" s="302"/>
      <c r="SI156" s="302"/>
      <c r="SJ156" s="302"/>
      <c r="SK156" s="302"/>
      <c r="SL156" s="302"/>
      <c r="SM156" s="302"/>
      <c r="SN156" s="302"/>
      <c r="SO156" s="302"/>
      <c r="SP156" s="302"/>
      <c r="SQ156" s="302"/>
      <c r="SR156" s="302"/>
      <c r="SS156" s="302"/>
      <c r="ST156" s="302"/>
      <c r="SU156" s="302"/>
      <c r="SV156" s="302"/>
      <c r="SW156" s="302"/>
      <c r="SX156" s="302"/>
      <c r="SY156" s="302"/>
      <c r="SZ156" s="302"/>
      <c r="TA156" s="302"/>
      <c r="TB156" s="302"/>
      <c r="TC156" s="302"/>
      <c r="TD156" s="302"/>
      <c r="TE156" s="302"/>
      <c r="TF156" s="302"/>
      <c r="TG156" s="302"/>
      <c r="TH156" s="302"/>
      <c r="TI156" s="302"/>
      <c r="TJ156" s="302"/>
      <c r="TK156" s="302"/>
      <c r="TL156" s="302"/>
      <c r="TM156" s="302"/>
      <c r="TN156" s="302"/>
      <c r="TO156" s="302"/>
      <c r="TP156" s="302"/>
      <c r="TQ156" s="302"/>
      <c r="TR156" s="302"/>
      <c r="TS156" s="302"/>
      <c r="TT156" s="302"/>
      <c r="TU156" s="302"/>
      <c r="TV156" s="302"/>
      <c r="TW156" s="302"/>
      <c r="TX156" s="302"/>
      <c r="TY156" s="302"/>
      <c r="TZ156" s="302"/>
      <c r="UA156" s="302"/>
      <c r="UB156" s="302"/>
      <c r="UC156" s="302"/>
      <c r="UD156" s="302"/>
      <c r="UE156" s="302"/>
      <c r="UF156" s="302"/>
      <c r="UG156" s="302"/>
      <c r="UH156" s="302"/>
      <c r="UI156" s="302"/>
      <c r="UJ156" s="302"/>
      <c r="UK156" s="302"/>
      <c r="UL156" s="302"/>
      <c r="UM156" s="302"/>
      <c r="UN156" s="302"/>
      <c r="UO156" s="302"/>
      <c r="UP156" s="302"/>
      <c r="UQ156" s="302"/>
      <c r="UR156" s="302"/>
      <c r="US156" s="302"/>
      <c r="UT156" s="302"/>
      <c r="UU156" s="302"/>
      <c r="UV156" s="302"/>
      <c r="UW156" s="302"/>
      <c r="UX156" s="302"/>
      <c r="UY156" s="302"/>
      <c r="UZ156" s="302"/>
      <c r="VA156" s="302"/>
      <c r="VB156" s="302"/>
      <c r="VC156" s="302"/>
      <c r="VD156" s="302"/>
      <c r="VE156" s="302"/>
      <c r="VF156" s="302"/>
      <c r="VG156" s="302"/>
      <c r="VH156" s="302"/>
      <c r="VI156" s="302"/>
      <c r="VJ156" s="302"/>
      <c r="VK156" s="302"/>
      <c r="VL156" s="302"/>
      <c r="VM156" s="302"/>
      <c r="VN156" s="302"/>
      <c r="VO156" s="302"/>
      <c r="VP156" s="302"/>
      <c r="VQ156" s="302"/>
      <c r="VR156" s="302"/>
      <c r="VS156" s="302"/>
      <c r="VT156" s="302"/>
      <c r="VU156" s="302"/>
      <c r="VV156" s="302"/>
      <c r="VW156" s="302"/>
      <c r="VX156" s="302"/>
      <c r="VY156" s="302"/>
      <c r="VZ156" s="302"/>
      <c r="WA156" s="302"/>
      <c r="WB156" s="302"/>
      <c r="WC156" s="302"/>
      <c r="WD156" s="302"/>
      <c r="WE156" s="302"/>
      <c r="WF156" s="302"/>
      <c r="WG156" s="302"/>
      <c r="WH156" s="302"/>
      <c r="WI156" s="302"/>
      <c r="WJ156" s="302"/>
      <c r="WK156" s="302"/>
      <c r="WL156" s="302"/>
      <c r="WM156" s="302"/>
      <c r="WN156" s="302"/>
      <c r="WO156" s="302"/>
      <c r="WP156" s="302"/>
      <c r="WQ156" s="302"/>
      <c r="WR156" s="302"/>
      <c r="WS156" s="302"/>
      <c r="WT156" s="302"/>
      <c r="WU156" s="302"/>
      <c r="WV156" s="302"/>
      <c r="WW156" s="302"/>
      <c r="WX156" s="302"/>
      <c r="WY156" s="302"/>
      <c r="WZ156" s="302"/>
      <c r="XA156" s="302"/>
      <c r="XB156" s="302"/>
      <c r="XC156" s="302"/>
      <c r="XD156" s="302"/>
      <c r="XE156" s="302"/>
      <c r="XF156" s="302"/>
      <c r="XG156" s="302"/>
      <c r="XH156" s="302"/>
      <c r="XI156" s="302"/>
      <c r="XJ156" s="302"/>
      <c r="XK156" s="302"/>
      <c r="XL156" s="302"/>
      <c r="XM156" s="302"/>
      <c r="XN156" s="302"/>
      <c r="XO156" s="302"/>
      <c r="XP156" s="302"/>
      <c r="XQ156" s="302"/>
      <c r="XR156" s="302"/>
      <c r="XS156" s="302"/>
      <c r="XT156" s="302"/>
      <c r="XU156" s="302"/>
      <c r="XV156" s="302"/>
      <c r="XW156" s="302"/>
      <c r="XX156" s="302"/>
      <c r="XY156" s="302"/>
      <c r="XZ156" s="302"/>
      <c r="YA156" s="302"/>
      <c r="YB156" s="302"/>
      <c r="YC156" s="302"/>
      <c r="YD156" s="302"/>
      <c r="YE156" s="302"/>
      <c r="YF156" s="302"/>
      <c r="YG156" s="302"/>
      <c r="YH156" s="302"/>
      <c r="YI156" s="302"/>
      <c r="YJ156" s="302"/>
      <c r="YK156" s="302"/>
      <c r="YL156" s="302"/>
      <c r="YM156" s="302"/>
      <c r="YN156" s="302"/>
      <c r="YO156" s="302"/>
      <c r="YP156" s="302"/>
      <c r="YQ156" s="302"/>
      <c r="YR156" s="302"/>
      <c r="YS156" s="302"/>
      <c r="YT156" s="302"/>
      <c r="YU156" s="302"/>
      <c r="YV156" s="302"/>
      <c r="YW156" s="302"/>
      <c r="YX156" s="302"/>
      <c r="YY156" s="302"/>
      <c r="YZ156" s="302"/>
      <c r="ZA156" s="302"/>
      <c r="ZB156" s="302"/>
      <c r="ZC156" s="302"/>
      <c r="ZD156" s="302"/>
      <c r="ZE156" s="302"/>
      <c r="ZF156" s="302"/>
      <c r="ZG156" s="302"/>
      <c r="ZH156" s="302"/>
      <c r="ZI156" s="302"/>
      <c r="ZJ156" s="302"/>
      <c r="ZK156" s="302"/>
      <c r="ZL156" s="302"/>
      <c r="ZM156" s="302"/>
      <c r="ZN156" s="302"/>
      <c r="ZO156" s="302"/>
      <c r="ZP156" s="302"/>
      <c r="ZQ156" s="302"/>
      <c r="ZR156" s="302"/>
      <c r="ZS156" s="302"/>
      <c r="ZT156" s="302"/>
      <c r="ZU156" s="302"/>
      <c r="ZV156" s="302"/>
      <c r="ZW156" s="302"/>
      <c r="ZX156" s="302"/>
      <c r="ZY156" s="302"/>
      <c r="ZZ156" s="302"/>
      <c r="AAA156" s="302"/>
      <c r="AAB156" s="302"/>
      <c r="AAC156" s="302"/>
      <c r="AAD156" s="302"/>
      <c r="AAE156" s="302"/>
      <c r="AAF156" s="302"/>
      <c r="AAG156" s="302"/>
      <c r="AAH156" s="302"/>
      <c r="AAI156" s="302"/>
      <c r="AAJ156" s="302"/>
      <c r="AAK156" s="302"/>
      <c r="AAL156" s="302"/>
      <c r="AAM156" s="302"/>
      <c r="AAN156" s="302"/>
      <c r="AAO156" s="302"/>
      <c r="AAP156" s="302"/>
      <c r="AAQ156" s="302"/>
      <c r="AAR156" s="302"/>
      <c r="AAS156" s="302"/>
      <c r="AAT156" s="302"/>
      <c r="AAU156" s="302"/>
      <c r="AAV156" s="302"/>
      <c r="AAW156" s="302"/>
      <c r="AAX156" s="302"/>
      <c r="AAY156" s="302"/>
      <c r="AAZ156" s="302"/>
      <c r="ABA156" s="302"/>
      <c r="ABB156" s="302"/>
      <c r="ABC156" s="302"/>
      <c r="ABD156" s="302"/>
      <c r="ABE156" s="302"/>
      <c r="ABF156" s="302"/>
      <c r="ABG156" s="302"/>
      <c r="ABH156" s="302"/>
      <c r="ABI156" s="302"/>
      <c r="ABJ156" s="302"/>
      <c r="ABK156" s="302"/>
      <c r="ABL156" s="302"/>
      <c r="ABM156" s="302"/>
      <c r="ABN156" s="302"/>
      <c r="ABO156" s="302"/>
      <c r="ABP156" s="302"/>
      <c r="ABQ156" s="302"/>
      <c r="ABR156" s="302"/>
      <c r="ABS156" s="302"/>
      <c r="ABT156" s="302"/>
      <c r="ABU156" s="302"/>
      <c r="ABV156" s="302"/>
      <c r="ABW156" s="302"/>
      <c r="ABX156" s="302"/>
      <c r="ABY156" s="302"/>
      <c r="ABZ156" s="302"/>
      <c r="ACA156" s="302"/>
      <c r="ACB156" s="302"/>
      <c r="ACC156" s="302"/>
      <c r="ACD156" s="302"/>
      <c r="ACE156" s="302"/>
      <c r="ACF156" s="302"/>
      <c r="ACG156" s="302"/>
      <c r="ACH156" s="302"/>
      <c r="ACI156" s="302"/>
      <c r="ACJ156" s="302"/>
      <c r="ACK156" s="302"/>
      <c r="ACL156" s="302"/>
      <c r="ACM156" s="302"/>
      <c r="ACN156" s="302"/>
      <c r="ACO156" s="302"/>
      <c r="ACP156" s="302"/>
      <c r="ACQ156" s="302"/>
      <c r="ACR156" s="302"/>
      <c r="ACS156" s="302"/>
      <c r="ACT156" s="302"/>
      <c r="ACU156" s="302"/>
      <c r="ACV156" s="302"/>
      <c r="ACW156" s="302"/>
      <c r="ACX156" s="302"/>
      <c r="ACY156" s="302"/>
      <c r="ACZ156" s="302"/>
      <c r="ADA156" s="302"/>
      <c r="ADB156" s="302"/>
      <c r="ADC156" s="302"/>
      <c r="ADD156" s="302"/>
      <c r="ADE156" s="302"/>
      <c r="ADF156" s="302"/>
      <c r="ADG156" s="302"/>
      <c r="ADH156" s="302"/>
      <c r="ADI156" s="302"/>
      <c r="ADJ156" s="302"/>
      <c r="ADK156" s="302"/>
      <c r="ADL156" s="302"/>
      <c r="ADM156" s="302"/>
      <c r="ADN156" s="302"/>
      <c r="ADO156" s="302"/>
      <c r="ADP156" s="302"/>
      <c r="ADQ156" s="302"/>
      <c r="ADR156" s="302"/>
      <c r="ADS156" s="302"/>
      <c r="ADT156" s="302"/>
      <c r="ADU156" s="302"/>
      <c r="ADV156" s="302"/>
      <c r="ADW156" s="302"/>
      <c r="ADX156" s="302"/>
      <c r="ADY156" s="302"/>
      <c r="ADZ156" s="302"/>
      <c r="AEA156" s="302"/>
      <c r="AEB156" s="302"/>
      <c r="AEC156" s="302"/>
      <c r="AED156" s="302"/>
      <c r="AEE156" s="302"/>
      <c r="AEF156" s="302"/>
      <c r="AEG156" s="302"/>
      <c r="AEH156" s="302"/>
      <c r="AEI156" s="302"/>
      <c r="AEJ156" s="302"/>
      <c r="AEK156" s="302"/>
      <c r="AEL156" s="302"/>
      <c r="AEM156" s="302"/>
      <c r="AEN156" s="302"/>
      <c r="AEO156" s="302"/>
      <c r="AEP156" s="302"/>
      <c r="AEQ156" s="302"/>
      <c r="AER156" s="302"/>
      <c r="AES156" s="302"/>
      <c r="AET156" s="302"/>
      <c r="AEU156" s="302"/>
      <c r="AEV156" s="302"/>
      <c r="AEW156" s="302"/>
      <c r="AEX156" s="302"/>
      <c r="AEY156" s="302"/>
      <c r="AEZ156" s="302"/>
      <c r="AFA156" s="302"/>
      <c r="AFB156" s="302"/>
      <c r="AFC156" s="302"/>
      <c r="AFD156" s="302"/>
      <c r="AFE156" s="302"/>
      <c r="AFF156" s="302"/>
      <c r="AFG156" s="302"/>
      <c r="AFH156" s="302"/>
      <c r="AFI156" s="302"/>
      <c r="AFJ156" s="302"/>
      <c r="AFK156" s="302"/>
      <c r="AFL156" s="302"/>
      <c r="AFM156" s="302"/>
      <c r="AFN156" s="302"/>
      <c r="AFO156" s="302"/>
      <c r="AFP156" s="302"/>
      <c r="AFQ156" s="302"/>
      <c r="AFR156" s="302"/>
      <c r="AFS156" s="302"/>
      <c r="AFT156" s="302"/>
      <c r="AFU156" s="302"/>
      <c r="AFV156" s="302"/>
      <c r="AFW156" s="302"/>
      <c r="AFX156" s="302"/>
      <c r="AFY156" s="302"/>
      <c r="AFZ156" s="302"/>
      <c r="AGA156" s="302"/>
      <c r="AGB156" s="302"/>
      <c r="AGC156" s="302"/>
      <c r="AGD156" s="302"/>
      <c r="AGE156" s="302"/>
      <c r="AGF156" s="302"/>
      <c r="AGG156" s="302"/>
      <c r="AGH156" s="302"/>
      <c r="AGI156" s="302"/>
      <c r="AGJ156" s="302"/>
      <c r="AGK156" s="302"/>
      <c r="AGL156" s="302"/>
      <c r="AGM156" s="302"/>
      <c r="AGN156" s="302"/>
      <c r="AGO156" s="302"/>
      <c r="AGP156" s="302"/>
      <c r="AGQ156" s="302"/>
      <c r="AGR156" s="302"/>
      <c r="AGS156" s="302"/>
      <c r="AGT156" s="302"/>
      <c r="AGU156" s="302"/>
      <c r="AGV156" s="302"/>
      <c r="AGW156" s="302"/>
      <c r="AGX156" s="302"/>
      <c r="AGY156" s="302"/>
      <c r="AGZ156" s="302"/>
      <c r="AHA156" s="302"/>
      <c r="AHB156" s="302"/>
      <c r="AHC156" s="302"/>
      <c r="AHD156" s="302"/>
      <c r="AHE156" s="302"/>
      <c r="AHF156" s="302"/>
      <c r="AHG156" s="302"/>
      <c r="AHH156" s="302"/>
      <c r="AHI156" s="302"/>
      <c r="AHJ156" s="302"/>
      <c r="AHK156" s="302"/>
      <c r="AHL156" s="302"/>
      <c r="AHM156" s="302"/>
      <c r="AHN156" s="302"/>
      <c r="AHO156" s="302"/>
      <c r="AHP156" s="302"/>
      <c r="AHQ156" s="302"/>
      <c r="AHR156" s="302"/>
      <c r="AHS156" s="302"/>
      <c r="AHT156" s="302"/>
      <c r="AHU156" s="302"/>
      <c r="AHV156" s="302"/>
      <c r="AHW156" s="302"/>
      <c r="AHX156" s="302"/>
      <c r="AHY156" s="302"/>
      <c r="AHZ156" s="302"/>
      <c r="AIA156" s="302"/>
      <c r="AIB156" s="302"/>
      <c r="AIC156" s="302"/>
      <c r="AID156" s="302"/>
      <c r="AIE156" s="302"/>
      <c r="AIF156" s="302"/>
      <c r="AIG156" s="302"/>
      <c r="AIH156" s="302"/>
      <c r="AII156" s="302"/>
      <c r="AIJ156" s="302"/>
      <c r="AIK156" s="302"/>
      <c r="AIL156" s="302"/>
      <c r="AIM156" s="302"/>
      <c r="AIN156" s="302"/>
      <c r="AIO156" s="302"/>
      <c r="AIP156" s="302"/>
      <c r="AIQ156" s="302"/>
      <c r="AIR156" s="302"/>
      <c r="AIS156" s="302"/>
      <c r="AIT156" s="302"/>
      <c r="AIU156" s="302"/>
      <c r="AIV156" s="302"/>
      <c r="AIW156" s="302"/>
      <c r="AIX156" s="302"/>
      <c r="AIY156" s="302"/>
      <c r="AIZ156" s="302"/>
      <c r="AJA156" s="302"/>
      <c r="AJB156" s="302"/>
      <c r="AJC156" s="302"/>
      <c r="AJD156" s="302"/>
      <c r="AJE156" s="302"/>
      <c r="AJF156" s="302"/>
      <c r="AJG156" s="302"/>
      <c r="AJH156" s="302"/>
      <c r="AJI156" s="302"/>
      <c r="AJJ156" s="302"/>
      <c r="AJK156" s="302"/>
      <c r="AJL156" s="302"/>
      <c r="AJM156" s="302"/>
      <c r="AJN156" s="302"/>
      <c r="AJO156" s="302"/>
      <c r="AJP156" s="302"/>
      <c r="AJQ156" s="302"/>
      <c r="AJR156" s="302"/>
      <c r="AJS156" s="302"/>
      <c r="AJT156" s="302"/>
      <c r="AJU156" s="302"/>
      <c r="AJV156" s="302"/>
      <c r="AJW156" s="302"/>
      <c r="AJX156" s="302"/>
      <c r="AJY156" s="302"/>
      <c r="AJZ156" s="302"/>
      <c r="AKA156" s="302"/>
      <c r="AKB156" s="302"/>
      <c r="AKC156" s="302"/>
      <c r="AKD156" s="302"/>
      <c r="AKE156" s="302"/>
      <c r="AKF156" s="302"/>
      <c r="AKG156" s="302"/>
      <c r="AKH156" s="302"/>
      <c r="AKI156" s="302"/>
      <c r="AKJ156" s="302"/>
      <c r="AKK156" s="302"/>
      <c r="AKL156" s="302"/>
      <c r="AKM156" s="302"/>
      <c r="AKN156" s="302"/>
      <c r="AKO156" s="302"/>
      <c r="AKP156" s="302"/>
      <c r="AKQ156" s="302"/>
      <c r="AKR156" s="302"/>
      <c r="AKS156" s="302"/>
      <c r="AKT156" s="302"/>
      <c r="AKU156" s="302"/>
      <c r="AKV156" s="302"/>
      <c r="AKW156" s="302"/>
      <c r="AKX156" s="302"/>
      <c r="AKY156" s="302"/>
      <c r="AKZ156" s="302"/>
      <c r="ALA156" s="302"/>
      <c r="ALB156" s="302"/>
      <c r="ALC156" s="302"/>
      <c r="ALD156" s="302"/>
      <c r="ALE156" s="302"/>
      <c r="ALF156" s="302"/>
      <c r="ALG156" s="302"/>
      <c r="ALH156" s="302"/>
      <c r="ALI156" s="302"/>
      <c r="ALJ156" s="302"/>
      <c r="ALK156" s="302"/>
      <c r="ALL156" s="302"/>
      <c r="ALM156" s="302"/>
      <c r="ALN156" s="302"/>
      <c r="ALO156" s="302"/>
      <c r="ALP156" s="302"/>
      <c r="ALQ156" s="302"/>
      <c r="ALR156" s="302"/>
      <c r="ALS156" s="302"/>
      <c r="ALT156" s="302"/>
      <c r="ALU156" s="302"/>
      <c r="ALV156" s="302"/>
      <c r="ALW156" s="302"/>
      <c r="ALX156" s="302"/>
      <c r="ALY156" s="302"/>
      <c r="ALZ156" s="302"/>
      <c r="AMA156" s="302"/>
      <c r="AMB156" s="302"/>
      <c r="AMC156" s="302"/>
      <c r="AMD156" s="302"/>
      <c r="AME156" s="302"/>
      <c r="AMF156" s="302"/>
      <c r="AMG156" s="302"/>
      <c r="AMH156" s="302"/>
      <c r="AMI156" s="302"/>
    </row>
    <row r="157" spans="1:1023" hidden="1">
      <c r="A157" s="302"/>
      <c r="B157" s="15">
        <v>13702</v>
      </c>
      <c r="C157" s="10">
        <v>0.1</v>
      </c>
      <c r="D157" s="112" t="s">
        <v>399</v>
      </c>
      <c r="E157" s="12">
        <v>2200000</v>
      </c>
      <c r="F157" s="363">
        <v>0.03</v>
      </c>
      <c r="G157" s="364">
        <f>E157*F157</f>
        <v>66000</v>
      </c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2"/>
      <c r="AE157" s="302"/>
      <c r="AF157" s="302"/>
      <c r="AG157" s="302"/>
      <c r="AH157" s="302"/>
      <c r="AI157" s="302"/>
      <c r="AJ157" s="302"/>
      <c r="AK157" s="302"/>
      <c r="AL157" s="302"/>
      <c r="AM157" s="302"/>
      <c r="AN157" s="302"/>
      <c r="AO157" s="302"/>
      <c r="AP157" s="302"/>
      <c r="AQ157" s="302"/>
      <c r="AR157" s="302"/>
      <c r="AS157" s="302"/>
      <c r="AT157" s="302"/>
      <c r="AU157" s="302"/>
      <c r="AV157" s="302"/>
      <c r="AW157" s="302"/>
      <c r="AX157" s="302"/>
      <c r="AY157" s="302"/>
      <c r="AZ157" s="302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K157" s="302"/>
      <c r="BL157" s="302"/>
      <c r="BM157" s="302"/>
      <c r="BN157" s="302"/>
      <c r="BO157" s="302"/>
      <c r="BP157" s="302"/>
      <c r="BQ157" s="302"/>
      <c r="BR157" s="302"/>
      <c r="BS157" s="302"/>
      <c r="BT157" s="302"/>
      <c r="BU157" s="302"/>
      <c r="BV157" s="302"/>
      <c r="BW157" s="302"/>
      <c r="BX157" s="302"/>
      <c r="BY157" s="302"/>
      <c r="BZ157" s="302"/>
      <c r="CA157" s="302"/>
      <c r="CB157" s="302"/>
      <c r="CC157" s="302"/>
      <c r="CD157" s="302"/>
      <c r="CE157" s="302"/>
      <c r="CF157" s="302"/>
      <c r="CG157" s="302"/>
      <c r="CH157" s="302"/>
      <c r="CI157" s="302"/>
      <c r="CJ157" s="302"/>
      <c r="CK157" s="302"/>
      <c r="CL157" s="302"/>
      <c r="CM157" s="302"/>
      <c r="CN157" s="302"/>
      <c r="CO157" s="302"/>
      <c r="CP157" s="302"/>
      <c r="CQ157" s="302"/>
      <c r="CR157" s="302"/>
      <c r="CS157" s="302"/>
      <c r="CT157" s="302"/>
      <c r="CU157" s="302"/>
      <c r="CV157" s="302"/>
      <c r="CW157" s="302"/>
      <c r="CX157" s="302"/>
      <c r="CY157" s="302"/>
      <c r="CZ157" s="302"/>
      <c r="DA157" s="302"/>
      <c r="DB157" s="302"/>
      <c r="DC157" s="302"/>
      <c r="DD157" s="302"/>
      <c r="DE157" s="302"/>
      <c r="DF157" s="302"/>
      <c r="DG157" s="302"/>
      <c r="DH157" s="302"/>
      <c r="DI157" s="302"/>
      <c r="DJ157" s="302"/>
      <c r="DK157" s="302"/>
      <c r="DL157" s="302"/>
      <c r="DM157" s="302"/>
      <c r="DN157" s="302"/>
      <c r="DO157" s="302"/>
      <c r="DP157" s="302"/>
      <c r="DQ157" s="302"/>
      <c r="DR157" s="302"/>
      <c r="DS157" s="302"/>
      <c r="DT157" s="302"/>
      <c r="DU157" s="302"/>
      <c r="DV157" s="302"/>
      <c r="DW157" s="302"/>
      <c r="DX157" s="302"/>
      <c r="DY157" s="302"/>
      <c r="DZ157" s="302"/>
      <c r="EA157" s="302"/>
      <c r="EB157" s="302"/>
      <c r="EC157" s="302"/>
      <c r="ED157" s="302"/>
      <c r="EE157" s="302"/>
      <c r="EF157" s="302"/>
      <c r="EG157" s="302"/>
      <c r="EH157" s="302"/>
      <c r="EI157" s="302"/>
      <c r="EJ157" s="302"/>
      <c r="EK157" s="302"/>
      <c r="EL157" s="302"/>
      <c r="EM157" s="302"/>
      <c r="EN157" s="302"/>
      <c r="EO157" s="302"/>
      <c r="EP157" s="302"/>
      <c r="EQ157" s="302"/>
      <c r="ER157" s="302"/>
      <c r="ES157" s="302"/>
      <c r="ET157" s="302"/>
      <c r="EU157" s="302"/>
      <c r="EV157" s="302"/>
      <c r="EW157" s="302"/>
      <c r="EX157" s="302"/>
      <c r="EY157" s="302"/>
      <c r="EZ157" s="302"/>
      <c r="FA157" s="302"/>
      <c r="FB157" s="302"/>
      <c r="FC157" s="302"/>
      <c r="FD157" s="302"/>
      <c r="FE157" s="302"/>
      <c r="FF157" s="302"/>
      <c r="FG157" s="302"/>
      <c r="FH157" s="302"/>
      <c r="FI157" s="302"/>
      <c r="FJ157" s="302"/>
      <c r="FK157" s="302"/>
      <c r="FL157" s="302"/>
      <c r="FM157" s="302"/>
      <c r="FN157" s="302"/>
      <c r="FO157" s="302"/>
      <c r="FP157" s="302"/>
      <c r="FQ157" s="302"/>
      <c r="FR157" s="302"/>
      <c r="FS157" s="302"/>
      <c r="FT157" s="302"/>
      <c r="FU157" s="302"/>
      <c r="FV157" s="302"/>
      <c r="FW157" s="302"/>
      <c r="FX157" s="302"/>
      <c r="FY157" s="302"/>
      <c r="FZ157" s="302"/>
      <c r="GA157" s="302"/>
      <c r="GB157" s="302"/>
      <c r="GC157" s="302"/>
      <c r="GD157" s="302"/>
      <c r="GE157" s="302"/>
      <c r="GF157" s="302"/>
      <c r="GG157" s="302"/>
      <c r="GH157" s="302"/>
      <c r="GI157" s="302"/>
      <c r="GJ157" s="302"/>
      <c r="GK157" s="302"/>
      <c r="GL157" s="302"/>
      <c r="GM157" s="302"/>
      <c r="GN157" s="302"/>
      <c r="GO157" s="302"/>
      <c r="GP157" s="302"/>
      <c r="GQ157" s="302"/>
      <c r="GR157" s="302"/>
      <c r="GS157" s="302"/>
      <c r="GT157" s="302"/>
      <c r="GU157" s="302"/>
      <c r="GV157" s="302"/>
      <c r="GW157" s="302"/>
      <c r="GX157" s="302"/>
      <c r="GY157" s="302"/>
      <c r="GZ157" s="302"/>
      <c r="HA157" s="302"/>
      <c r="HB157" s="302"/>
      <c r="HC157" s="302"/>
      <c r="HD157" s="302"/>
      <c r="HE157" s="302"/>
      <c r="HF157" s="302"/>
      <c r="HG157" s="302"/>
      <c r="HH157" s="302"/>
      <c r="HI157" s="302"/>
      <c r="HJ157" s="302"/>
      <c r="HK157" s="302"/>
      <c r="HL157" s="302"/>
      <c r="HM157" s="302"/>
      <c r="HN157" s="302"/>
      <c r="HO157" s="302"/>
      <c r="HP157" s="302"/>
      <c r="HQ157" s="302"/>
      <c r="HR157" s="302"/>
      <c r="HS157" s="302"/>
      <c r="HT157" s="302"/>
      <c r="HU157" s="302"/>
      <c r="HV157" s="302"/>
      <c r="HW157" s="302"/>
      <c r="HX157" s="302"/>
      <c r="HY157" s="302"/>
      <c r="HZ157" s="302"/>
      <c r="IA157" s="302"/>
      <c r="IB157" s="302"/>
      <c r="IC157" s="302"/>
      <c r="ID157" s="302"/>
      <c r="IE157" s="302"/>
      <c r="IF157" s="302"/>
      <c r="IG157" s="302"/>
      <c r="IH157" s="302"/>
      <c r="II157" s="302"/>
      <c r="IJ157" s="302"/>
      <c r="IK157" s="302"/>
      <c r="IL157" s="302"/>
      <c r="IM157" s="302"/>
      <c r="IN157" s="302"/>
      <c r="IO157" s="302"/>
      <c r="IP157" s="302"/>
      <c r="IQ157" s="302"/>
      <c r="IR157" s="302"/>
      <c r="IS157" s="302"/>
      <c r="IT157" s="302"/>
      <c r="IU157" s="302"/>
      <c r="IV157" s="302"/>
      <c r="IW157" s="302"/>
      <c r="IX157" s="302"/>
      <c r="IY157" s="302"/>
      <c r="IZ157" s="302"/>
      <c r="JA157" s="302"/>
      <c r="JB157" s="302"/>
      <c r="JC157" s="302"/>
      <c r="JD157" s="302"/>
      <c r="JE157" s="302"/>
      <c r="JF157" s="302"/>
      <c r="JG157" s="302"/>
      <c r="JH157" s="302"/>
      <c r="JI157" s="302"/>
      <c r="JJ157" s="302"/>
      <c r="JK157" s="302"/>
      <c r="JL157" s="302"/>
      <c r="JM157" s="302"/>
      <c r="JN157" s="302"/>
      <c r="JO157" s="302"/>
      <c r="JP157" s="302"/>
      <c r="JQ157" s="302"/>
      <c r="JR157" s="302"/>
      <c r="JS157" s="302"/>
      <c r="JT157" s="302"/>
      <c r="JU157" s="302"/>
      <c r="JV157" s="302"/>
      <c r="JW157" s="302"/>
      <c r="JX157" s="302"/>
      <c r="JY157" s="302"/>
      <c r="JZ157" s="302"/>
      <c r="KA157" s="302"/>
      <c r="KB157" s="302"/>
      <c r="KC157" s="302"/>
      <c r="KD157" s="302"/>
      <c r="KE157" s="302"/>
      <c r="KF157" s="302"/>
      <c r="KG157" s="302"/>
      <c r="KH157" s="302"/>
      <c r="KI157" s="302"/>
      <c r="KJ157" s="302"/>
      <c r="KK157" s="302"/>
      <c r="KL157" s="302"/>
      <c r="KM157" s="302"/>
      <c r="KN157" s="302"/>
      <c r="KO157" s="302"/>
      <c r="KP157" s="302"/>
      <c r="KQ157" s="302"/>
      <c r="KR157" s="302"/>
      <c r="KS157" s="302"/>
      <c r="KT157" s="302"/>
      <c r="KU157" s="302"/>
      <c r="KV157" s="302"/>
      <c r="KW157" s="302"/>
      <c r="KX157" s="302"/>
      <c r="KY157" s="302"/>
      <c r="KZ157" s="302"/>
      <c r="LA157" s="302"/>
      <c r="LB157" s="302"/>
      <c r="LC157" s="302"/>
      <c r="LD157" s="302"/>
      <c r="LE157" s="302"/>
      <c r="LF157" s="302"/>
      <c r="LG157" s="302"/>
      <c r="LH157" s="302"/>
      <c r="LI157" s="302"/>
      <c r="LJ157" s="302"/>
      <c r="LK157" s="302"/>
      <c r="LL157" s="302"/>
      <c r="LM157" s="302"/>
      <c r="LN157" s="302"/>
      <c r="LO157" s="302"/>
      <c r="LP157" s="302"/>
      <c r="LQ157" s="302"/>
      <c r="LR157" s="302"/>
      <c r="LS157" s="302"/>
      <c r="LT157" s="302"/>
      <c r="LU157" s="302"/>
      <c r="LV157" s="302"/>
      <c r="LW157" s="302"/>
      <c r="LX157" s="302"/>
      <c r="LY157" s="302"/>
      <c r="LZ157" s="302"/>
      <c r="MA157" s="302"/>
      <c r="MB157" s="302"/>
      <c r="MC157" s="302"/>
      <c r="MD157" s="302"/>
      <c r="ME157" s="302"/>
      <c r="MF157" s="302"/>
      <c r="MG157" s="302"/>
      <c r="MH157" s="302"/>
      <c r="MI157" s="302"/>
      <c r="MJ157" s="302"/>
      <c r="MK157" s="302"/>
      <c r="ML157" s="302"/>
      <c r="MM157" s="302"/>
      <c r="MN157" s="302"/>
      <c r="MO157" s="302"/>
      <c r="MP157" s="302"/>
      <c r="MQ157" s="302"/>
      <c r="MR157" s="302"/>
      <c r="MS157" s="302"/>
      <c r="MT157" s="302"/>
      <c r="MU157" s="302"/>
      <c r="MV157" s="302"/>
      <c r="MW157" s="302"/>
      <c r="MX157" s="302"/>
      <c r="MY157" s="302"/>
      <c r="MZ157" s="302"/>
      <c r="NA157" s="302"/>
      <c r="NB157" s="302"/>
      <c r="NC157" s="302"/>
      <c r="ND157" s="302"/>
      <c r="NE157" s="302"/>
      <c r="NF157" s="302"/>
      <c r="NG157" s="302"/>
      <c r="NH157" s="302"/>
      <c r="NI157" s="302"/>
      <c r="NJ157" s="302"/>
      <c r="NK157" s="302"/>
      <c r="NL157" s="302"/>
      <c r="NM157" s="302"/>
      <c r="NN157" s="302"/>
      <c r="NO157" s="302"/>
      <c r="NP157" s="302"/>
      <c r="NQ157" s="302"/>
      <c r="NR157" s="302"/>
      <c r="NS157" s="302"/>
      <c r="NT157" s="302"/>
      <c r="NU157" s="302"/>
      <c r="NV157" s="302"/>
      <c r="NW157" s="302"/>
      <c r="NX157" s="302"/>
      <c r="NY157" s="302"/>
      <c r="NZ157" s="302"/>
      <c r="OA157" s="302"/>
      <c r="OB157" s="302"/>
      <c r="OC157" s="302"/>
      <c r="OD157" s="302"/>
      <c r="OE157" s="302"/>
      <c r="OF157" s="302"/>
      <c r="OG157" s="302"/>
      <c r="OH157" s="302"/>
      <c r="OI157" s="302"/>
      <c r="OJ157" s="302"/>
      <c r="OK157" s="302"/>
      <c r="OL157" s="302"/>
      <c r="OM157" s="302"/>
      <c r="ON157" s="302"/>
      <c r="OO157" s="302"/>
      <c r="OP157" s="302"/>
      <c r="OQ157" s="302"/>
      <c r="OR157" s="302"/>
      <c r="OS157" s="302"/>
      <c r="OT157" s="302"/>
      <c r="OU157" s="302"/>
      <c r="OV157" s="302"/>
      <c r="OW157" s="302"/>
      <c r="OX157" s="302"/>
      <c r="OY157" s="302"/>
      <c r="OZ157" s="302"/>
      <c r="PA157" s="302"/>
      <c r="PB157" s="302"/>
      <c r="PC157" s="302"/>
      <c r="PD157" s="302"/>
      <c r="PE157" s="302"/>
      <c r="PF157" s="302"/>
      <c r="PG157" s="302"/>
      <c r="PH157" s="302"/>
      <c r="PI157" s="302"/>
      <c r="PJ157" s="302"/>
      <c r="PK157" s="302"/>
      <c r="PL157" s="302"/>
      <c r="PM157" s="302"/>
      <c r="PN157" s="302"/>
      <c r="PO157" s="302"/>
      <c r="PP157" s="302"/>
      <c r="PQ157" s="302"/>
      <c r="PR157" s="302"/>
      <c r="PS157" s="302"/>
      <c r="PT157" s="302"/>
      <c r="PU157" s="302"/>
      <c r="PV157" s="302"/>
      <c r="PW157" s="302"/>
      <c r="PX157" s="302"/>
      <c r="PY157" s="302"/>
      <c r="PZ157" s="302"/>
      <c r="QA157" s="302"/>
      <c r="QB157" s="302"/>
      <c r="QC157" s="302"/>
      <c r="QD157" s="302"/>
      <c r="QE157" s="302"/>
      <c r="QF157" s="302"/>
      <c r="QG157" s="302"/>
      <c r="QH157" s="302"/>
      <c r="QI157" s="302"/>
      <c r="QJ157" s="302"/>
      <c r="QK157" s="302"/>
      <c r="QL157" s="302"/>
      <c r="QM157" s="302"/>
      <c r="QN157" s="302"/>
      <c r="QO157" s="302"/>
      <c r="QP157" s="302"/>
      <c r="QQ157" s="302"/>
      <c r="QR157" s="302"/>
      <c r="QS157" s="302"/>
      <c r="QT157" s="302"/>
      <c r="QU157" s="302"/>
      <c r="QV157" s="302"/>
      <c r="QW157" s="302"/>
      <c r="QX157" s="302"/>
      <c r="QY157" s="302"/>
      <c r="QZ157" s="302"/>
      <c r="RA157" s="302"/>
      <c r="RB157" s="302"/>
      <c r="RC157" s="302"/>
      <c r="RD157" s="302"/>
      <c r="RE157" s="302"/>
      <c r="RF157" s="302"/>
      <c r="RG157" s="302"/>
      <c r="RH157" s="302"/>
      <c r="RI157" s="302"/>
      <c r="RJ157" s="302"/>
      <c r="RK157" s="302"/>
      <c r="RL157" s="302"/>
      <c r="RM157" s="302"/>
      <c r="RN157" s="302"/>
      <c r="RO157" s="302"/>
      <c r="RP157" s="302"/>
      <c r="RQ157" s="302"/>
      <c r="RR157" s="302"/>
      <c r="RS157" s="302"/>
      <c r="RT157" s="302"/>
      <c r="RU157" s="302"/>
      <c r="RV157" s="302"/>
      <c r="RW157" s="302"/>
      <c r="RX157" s="302"/>
      <c r="RY157" s="302"/>
      <c r="RZ157" s="302"/>
      <c r="SA157" s="302"/>
      <c r="SB157" s="302"/>
      <c r="SC157" s="302"/>
      <c r="SD157" s="302"/>
      <c r="SE157" s="302"/>
      <c r="SF157" s="302"/>
      <c r="SG157" s="302"/>
      <c r="SH157" s="302"/>
      <c r="SI157" s="302"/>
      <c r="SJ157" s="302"/>
      <c r="SK157" s="302"/>
      <c r="SL157" s="302"/>
      <c r="SM157" s="302"/>
      <c r="SN157" s="302"/>
      <c r="SO157" s="302"/>
      <c r="SP157" s="302"/>
      <c r="SQ157" s="302"/>
      <c r="SR157" s="302"/>
      <c r="SS157" s="302"/>
      <c r="ST157" s="302"/>
      <c r="SU157" s="302"/>
      <c r="SV157" s="302"/>
      <c r="SW157" s="302"/>
      <c r="SX157" s="302"/>
      <c r="SY157" s="302"/>
      <c r="SZ157" s="302"/>
      <c r="TA157" s="302"/>
      <c r="TB157" s="302"/>
      <c r="TC157" s="302"/>
      <c r="TD157" s="302"/>
      <c r="TE157" s="302"/>
      <c r="TF157" s="302"/>
      <c r="TG157" s="302"/>
      <c r="TH157" s="302"/>
      <c r="TI157" s="302"/>
      <c r="TJ157" s="302"/>
      <c r="TK157" s="302"/>
      <c r="TL157" s="302"/>
      <c r="TM157" s="302"/>
      <c r="TN157" s="302"/>
      <c r="TO157" s="302"/>
      <c r="TP157" s="302"/>
      <c r="TQ157" s="302"/>
      <c r="TR157" s="302"/>
      <c r="TS157" s="302"/>
      <c r="TT157" s="302"/>
      <c r="TU157" s="302"/>
      <c r="TV157" s="302"/>
      <c r="TW157" s="302"/>
      <c r="TX157" s="302"/>
      <c r="TY157" s="302"/>
      <c r="TZ157" s="302"/>
      <c r="UA157" s="302"/>
      <c r="UB157" s="302"/>
      <c r="UC157" s="302"/>
      <c r="UD157" s="302"/>
      <c r="UE157" s="302"/>
      <c r="UF157" s="302"/>
      <c r="UG157" s="302"/>
      <c r="UH157" s="302"/>
      <c r="UI157" s="302"/>
      <c r="UJ157" s="302"/>
      <c r="UK157" s="302"/>
      <c r="UL157" s="302"/>
      <c r="UM157" s="302"/>
      <c r="UN157" s="302"/>
      <c r="UO157" s="302"/>
      <c r="UP157" s="302"/>
      <c r="UQ157" s="302"/>
      <c r="UR157" s="302"/>
      <c r="US157" s="302"/>
      <c r="UT157" s="302"/>
      <c r="UU157" s="302"/>
      <c r="UV157" s="302"/>
      <c r="UW157" s="302"/>
      <c r="UX157" s="302"/>
      <c r="UY157" s="302"/>
      <c r="UZ157" s="302"/>
      <c r="VA157" s="302"/>
      <c r="VB157" s="302"/>
      <c r="VC157" s="302"/>
      <c r="VD157" s="302"/>
      <c r="VE157" s="302"/>
      <c r="VF157" s="302"/>
      <c r="VG157" s="302"/>
      <c r="VH157" s="302"/>
      <c r="VI157" s="302"/>
      <c r="VJ157" s="302"/>
      <c r="VK157" s="302"/>
      <c r="VL157" s="302"/>
      <c r="VM157" s="302"/>
      <c r="VN157" s="302"/>
      <c r="VO157" s="302"/>
      <c r="VP157" s="302"/>
      <c r="VQ157" s="302"/>
      <c r="VR157" s="302"/>
      <c r="VS157" s="302"/>
      <c r="VT157" s="302"/>
      <c r="VU157" s="302"/>
      <c r="VV157" s="302"/>
      <c r="VW157" s="302"/>
      <c r="VX157" s="302"/>
      <c r="VY157" s="302"/>
      <c r="VZ157" s="302"/>
      <c r="WA157" s="302"/>
      <c r="WB157" s="302"/>
      <c r="WC157" s="302"/>
      <c r="WD157" s="302"/>
      <c r="WE157" s="302"/>
      <c r="WF157" s="302"/>
      <c r="WG157" s="302"/>
      <c r="WH157" s="302"/>
      <c r="WI157" s="302"/>
      <c r="WJ157" s="302"/>
      <c r="WK157" s="302"/>
      <c r="WL157" s="302"/>
      <c r="WM157" s="302"/>
      <c r="WN157" s="302"/>
      <c r="WO157" s="302"/>
      <c r="WP157" s="302"/>
      <c r="WQ157" s="302"/>
      <c r="WR157" s="302"/>
      <c r="WS157" s="302"/>
      <c r="WT157" s="302"/>
      <c r="WU157" s="302"/>
      <c r="WV157" s="302"/>
      <c r="WW157" s="302"/>
      <c r="WX157" s="302"/>
      <c r="WY157" s="302"/>
      <c r="WZ157" s="302"/>
      <c r="XA157" s="302"/>
      <c r="XB157" s="302"/>
      <c r="XC157" s="302"/>
      <c r="XD157" s="302"/>
      <c r="XE157" s="302"/>
      <c r="XF157" s="302"/>
      <c r="XG157" s="302"/>
      <c r="XH157" s="302"/>
      <c r="XI157" s="302"/>
      <c r="XJ157" s="302"/>
      <c r="XK157" s="302"/>
      <c r="XL157" s="302"/>
      <c r="XM157" s="302"/>
      <c r="XN157" s="302"/>
      <c r="XO157" s="302"/>
      <c r="XP157" s="302"/>
      <c r="XQ157" s="302"/>
      <c r="XR157" s="302"/>
      <c r="XS157" s="302"/>
      <c r="XT157" s="302"/>
      <c r="XU157" s="302"/>
      <c r="XV157" s="302"/>
      <c r="XW157" s="302"/>
      <c r="XX157" s="302"/>
      <c r="XY157" s="302"/>
      <c r="XZ157" s="302"/>
      <c r="YA157" s="302"/>
      <c r="YB157" s="302"/>
      <c r="YC157" s="302"/>
      <c r="YD157" s="302"/>
      <c r="YE157" s="302"/>
      <c r="YF157" s="302"/>
      <c r="YG157" s="302"/>
      <c r="YH157" s="302"/>
      <c r="YI157" s="302"/>
      <c r="YJ157" s="302"/>
      <c r="YK157" s="302"/>
      <c r="YL157" s="302"/>
      <c r="YM157" s="302"/>
      <c r="YN157" s="302"/>
      <c r="YO157" s="302"/>
      <c r="YP157" s="302"/>
      <c r="YQ157" s="302"/>
      <c r="YR157" s="302"/>
      <c r="YS157" s="302"/>
      <c r="YT157" s="302"/>
      <c r="YU157" s="302"/>
      <c r="YV157" s="302"/>
      <c r="YW157" s="302"/>
      <c r="YX157" s="302"/>
      <c r="YY157" s="302"/>
      <c r="YZ157" s="302"/>
      <c r="ZA157" s="302"/>
      <c r="ZB157" s="302"/>
      <c r="ZC157" s="302"/>
      <c r="ZD157" s="302"/>
      <c r="ZE157" s="302"/>
      <c r="ZF157" s="302"/>
      <c r="ZG157" s="302"/>
      <c r="ZH157" s="302"/>
      <c r="ZI157" s="302"/>
      <c r="ZJ157" s="302"/>
      <c r="ZK157" s="302"/>
      <c r="ZL157" s="302"/>
      <c r="ZM157" s="302"/>
      <c r="ZN157" s="302"/>
      <c r="ZO157" s="302"/>
      <c r="ZP157" s="302"/>
      <c r="ZQ157" s="302"/>
      <c r="ZR157" s="302"/>
      <c r="ZS157" s="302"/>
      <c r="ZT157" s="302"/>
      <c r="ZU157" s="302"/>
      <c r="ZV157" s="302"/>
      <c r="ZW157" s="302"/>
      <c r="ZX157" s="302"/>
      <c r="ZY157" s="302"/>
      <c r="ZZ157" s="302"/>
      <c r="AAA157" s="302"/>
      <c r="AAB157" s="302"/>
      <c r="AAC157" s="302"/>
      <c r="AAD157" s="302"/>
      <c r="AAE157" s="302"/>
      <c r="AAF157" s="302"/>
      <c r="AAG157" s="302"/>
      <c r="AAH157" s="302"/>
      <c r="AAI157" s="302"/>
      <c r="AAJ157" s="302"/>
      <c r="AAK157" s="302"/>
      <c r="AAL157" s="302"/>
      <c r="AAM157" s="302"/>
      <c r="AAN157" s="302"/>
      <c r="AAO157" s="302"/>
      <c r="AAP157" s="302"/>
      <c r="AAQ157" s="302"/>
      <c r="AAR157" s="302"/>
      <c r="AAS157" s="302"/>
      <c r="AAT157" s="302"/>
      <c r="AAU157" s="302"/>
      <c r="AAV157" s="302"/>
      <c r="AAW157" s="302"/>
      <c r="AAX157" s="302"/>
      <c r="AAY157" s="302"/>
      <c r="AAZ157" s="302"/>
      <c r="ABA157" s="302"/>
      <c r="ABB157" s="302"/>
      <c r="ABC157" s="302"/>
      <c r="ABD157" s="302"/>
      <c r="ABE157" s="302"/>
      <c r="ABF157" s="302"/>
      <c r="ABG157" s="302"/>
      <c r="ABH157" s="302"/>
      <c r="ABI157" s="302"/>
      <c r="ABJ157" s="302"/>
      <c r="ABK157" s="302"/>
      <c r="ABL157" s="302"/>
      <c r="ABM157" s="302"/>
      <c r="ABN157" s="302"/>
      <c r="ABO157" s="302"/>
      <c r="ABP157" s="302"/>
      <c r="ABQ157" s="302"/>
      <c r="ABR157" s="302"/>
      <c r="ABS157" s="302"/>
      <c r="ABT157" s="302"/>
      <c r="ABU157" s="302"/>
      <c r="ABV157" s="302"/>
      <c r="ABW157" s="302"/>
      <c r="ABX157" s="302"/>
      <c r="ABY157" s="302"/>
      <c r="ABZ157" s="302"/>
      <c r="ACA157" s="302"/>
      <c r="ACB157" s="302"/>
      <c r="ACC157" s="302"/>
      <c r="ACD157" s="302"/>
      <c r="ACE157" s="302"/>
      <c r="ACF157" s="302"/>
      <c r="ACG157" s="302"/>
      <c r="ACH157" s="302"/>
      <c r="ACI157" s="302"/>
      <c r="ACJ157" s="302"/>
      <c r="ACK157" s="302"/>
      <c r="ACL157" s="302"/>
      <c r="ACM157" s="302"/>
      <c r="ACN157" s="302"/>
      <c r="ACO157" s="302"/>
      <c r="ACP157" s="302"/>
      <c r="ACQ157" s="302"/>
      <c r="ACR157" s="302"/>
      <c r="ACS157" s="302"/>
      <c r="ACT157" s="302"/>
      <c r="ACU157" s="302"/>
      <c r="ACV157" s="302"/>
      <c r="ACW157" s="302"/>
      <c r="ACX157" s="302"/>
      <c r="ACY157" s="302"/>
      <c r="ACZ157" s="302"/>
      <c r="ADA157" s="302"/>
      <c r="ADB157" s="302"/>
      <c r="ADC157" s="302"/>
      <c r="ADD157" s="302"/>
      <c r="ADE157" s="302"/>
      <c r="ADF157" s="302"/>
      <c r="ADG157" s="302"/>
      <c r="ADH157" s="302"/>
      <c r="ADI157" s="302"/>
      <c r="ADJ157" s="302"/>
      <c r="ADK157" s="302"/>
      <c r="ADL157" s="302"/>
      <c r="ADM157" s="302"/>
      <c r="ADN157" s="302"/>
      <c r="ADO157" s="302"/>
      <c r="ADP157" s="302"/>
      <c r="ADQ157" s="302"/>
      <c r="ADR157" s="302"/>
      <c r="ADS157" s="302"/>
      <c r="ADT157" s="302"/>
      <c r="ADU157" s="302"/>
      <c r="ADV157" s="302"/>
      <c r="ADW157" s="302"/>
      <c r="ADX157" s="302"/>
      <c r="ADY157" s="302"/>
      <c r="ADZ157" s="302"/>
      <c r="AEA157" s="302"/>
      <c r="AEB157" s="302"/>
      <c r="AEC157" s="302"/>
      <c r="AED157" s="302"/>
      <c r="AEE157" s="302"/>
      <c r="AEF157" s="302"/>
      <c r="AEG157" s="302"/>
      <c r="AEH157" s="302"/>
      <c r="AEI157" s="302"/>
      <c r="AEJ157" s="302"/>
      <c r="AEK157" s="302"/>
      <c r="AEL157" s="302"/>
      <c r="AEM157" s="302"/>
      <c r="AEN157" s="302"/>
      <c r="AEO157" s="302"/>
      <c r="AEP157" s="302"/>
      <c r="AEQ157" s="302"/>
      <c r="AER157" s="302"/>
      <c r="AES157" s="302"/>
      <c r="AET157" s="302"/>
      <c r="AEU157" s="302"/>
      <c r="AEV157" s="302"/>
      <c r="AEW157" s="302"/>
      <c r="AEX157" s="302"/>
      <c r="AEY157" s="302"/>
      <c r="AEZ157" s="302"/>
      <c r="AFA157" s="302"/>
      <c r="AFB157" s="302"/>
      <c r="AFC157" s="302"/>
      <c r="AFD157" s="302"/>
      <c r="AFE157" s="302"/>
      <c r="AFF157" s="302"/>
      <c r="AFG157" s="302"/>
      <c r="AFH157" s="302"/>
      <c r="AFI157" s="302"/>
      <c r="AFJ157" s="302"/>
      <c r="AFK157" s="302"/>
      <c r="AFL157" s="302"/>
      <c r="AFM157" s="302"/>
      <c r="AFN157" s="302"/>
      <c r="AFO157" s="302"/>
      <c r="AFP157" s="302"/>
      <c r="AFQ157" s="302"/>
      <c r="AFR157" s="302"/>
      <c r="AFS157" s="302"/>
      <c r="AFT157" s="302"/>
      <c r="AFU157" s="302"/>
      <c r="AFV157" s="302"/>
      <c r="AFW157" s="302"/>
      <c r="AFX157" s="302"/>
      <c r="AFY157" s="302"/>
      <c r="AFZ157" s="302"/>
      <c r="AGA157" s="302"/>
      <c r="AGB157" s="302"/>
      <c r="AGC157" s="302"/>
      <c r="AGD157" s="302"/>
      <c r="AGE157" s="302"/>
      <c r="AGF157" s="302"/>
      <c r="AGG157" s="302"/>
      <c r="AGH157" s="302"/>
      <c r="AGI157" s="302"/>
      <c r="AGJ157" s="302"/>
      <c r="AGK157" s="302"/>
      <c r="AGL157" s="302"/>
      <c r="AGM157" s="302"/>
      <c r="AGN157" s="302"/>
      <c r="AGO157" s="302"/>
      <c r="AGP157" s="302"/>
      <c r="AGQ157" s="302"/>
      <c r="AGR157" s="302"/>
      <c r="AGS157" s="302"/>
      <c r="AGT157" s="302"/>
      <c r="AGU157" s="302"/>
      <c r="AGV157" s="302"/>
      <c r="AGW157" s="302"/>
      <c r="AGX157" s="302"/>
      <c r="AGY157" s="302"/>
      <c r="AGZ157" s="302"/>
      <c r="AHA157" s="302"/>
      <c r="AHB157" s="302"/>
      <c r="AHC157" s="302"/>
      <c r="AHD157" s="302"/>
      <c r="AHE157" s="302"/>
      <c r="AHF157" s="302"/>
      <c r="AHG157" s="302"/>
      <c r="AHH157" s="302"/>
      <c r="AHI157" s="302"/>
      <c r="AHJ157" s="302"/>
      <c r="AHK157" s="302"/>
      <c r="AHL157" s="302"/>
      <c r="AHM157" s="302"/>
      <c r="AHN157" s="302"/>
      <c r="AHO157" s="302"/>
      <c r="AHP157" s="302"/>
      <c r="AHQ157" s="302"/>
      <c r="AHR157" s="302"/>
      <c r="AHS157" s="302"/>
      <c r="AHT157" s="302"/>
      <c r="AHU157" s="302"/>
      <c r="AHV157" s="302"/>
      <c r="AHW157" s="302"/>
      <c r="AHX157" s="302"/>
      <c r="AHY157" s="302"/>
      <c r="AHZ157" s="302"/>
      <c r="AIA157" s="302"/>
      <c r="AIB157" s="302"/>
      <c r="AIC157" s="302"/>
      <c r="AID157" s="302"/>
      <c r="AIE157" s="302"/>
      <c r="AIF157" s="302"/>
      <c r="AIG157" s="302"/>
      <c r="AIH157" s="302"/>
      <c r="AII157" s="302"/>
      <c r="AIJ157" s="302"/>
      <c r="AIK157" s="302"/>
      <c r="AIL157" s="302"/>
      <c r="AIM157" s="302"/>
      <c r="AIN157" s="302"/>
      <c r="AIO157" s="302"/>
      <c r="AIP157" s="302"/>
      <c r="AIQ157" s="302"/>
      <c r="AIR157" s="302"/>
      <c r="AIS157" s="302"/>
      <c r="AIT157" s="302"/>
      <c r="AIU157" s="302"/>
      <c r="AIV157" s="302"/>
      <c r="AIW157" s="302"/>
      <c r="AIX157" s="302"/>
      <c r="AIY157" s="302"/>
      <c r="AIZ157" s="302"/>
      <c r="AJA157" s="302"/>
      <c r="AJB157" s="302"/>
      <c r="AJC157" s="302"/>
      <c r="AJD157" s="302"/>
      <c r="AJE157" s="302"/>
      <c r="AJF157" s="302"/>
      <c r="AJG157" s="302"/>
      <c r="AJH157" s="302"/>
      <c r="AJI157" s="302"/>
      <c r="AJJ157" s="302"/>
      <c r="AJK157" s="302"/>
      <c r="AJL157" s="302"/>
      <c r="AJM157" s="302"/>
      <c r="AJN157" s="302"/>
      <c r="AJO157" s="302"/>
      <c r="AJP157" s="302"/>
      <c r="AJQ157" s="302"/>
      <c r="AJR157" s="302"/>
      <c r="AJS157" s="302"/>
      <c r="AJT157" s="302"/>
      <c r="AJU157" s="302"/>
      <c r="AJV157" s="302"/>
      <c r="AJW157" s="302"/>
      <c r="AJX157" s="302"/>
      <c r="AJY157" s="302"/>
      <c r="AJZ157" s="302"/>
      <c r="AKA157" s="302"/>
      <c r="AKB157" s="302"/>
      <c r="AKC157" s="302"/>
      <c r="AKD157" s="302"/>
      <c r="AKE157" s="302"/>
      <c r="AKF157" s="302"/>
      <c r="AKG157" s="302"/>
      <c r="AKH157" s="302"/>
      <c r="AKI157" s="302"/>
      <c r="AKJ157" s="302"/>
      <c r="AKK157" s="302"/>
      <c r="AKL157" s="302"/>
      <c r="AKM157" s="302"/>
      <c r="AKN157" s="302"/>
      <c r="AKO157" s="302"/>
      <c r="AKP157" s="302"/>
      <c r="AKQ157" s="302"/>
      <c r="AKR157" s="302"/>
      <c r="AKS157" s="302"/>
      <c r="AKT157" s="302"/>
      <c r="AKU157" s="302"/>
      <c r="AKV157" s="302"/>
      <c r="AKW157" s="302"/>
      <c r="AKX157" s="302"/>
      <c r="AKY157" s="302"/>
      <c r="AKZ157" s="302"/>
      <c r="ALA157" s="302"/>
      <c r="ALB157" s="302"/>
      <c r="ALC157" s="302"/>
      <c r="ALD157" s="302"/>
      <c r="ALE157" s="302"/>
      <c r="ALF157" s="302"/>
      <c r="ALG157" s="302"/>
      <c r="ALH157" s="302"/>
      <c r="ALI157" s="302"/>
      <c r="ALJ157" s="302"/>
      <c r="ALK157" s="302"/>
      <c r="ALL157" s="302"/>
      <c r="ALM157" s="302"/>
      <c r="ALN157" s="302"/>
      <c r="ALO157" s="302"/>
      <c r="ALP157" s="302"/>
      <c r="ALQ157" s="302"/>
      <c r="ALR157" s="302"/>
      <c r="ALS157" s="302"/>
      <c r="ALT157" s="302"/>
      <c r="ALU157" s="302"/>
      <c r="ALV157" s="302"/>
      <c r="ALW157" s="302"/>
      <c r="ALX157" s="302"/>
      <c r="ALY157" s="302"/>
      <c r="ALZ157" s="302"/>
      <c r="AMA157" s="302"/>
      <c r="AMB157" s="302"/>
      <c r="AMC157" s="302"/>
      <c r="AMD157" s="302"/>
      <c r="AME157" s="302"/>
      <c r="AMF157" s="302"/>
      <c r="AMG157" s="302"/>
      <c r="AMH157" s="302"/>
      <c r="AMI157" s="302"/>
    </row>
    <row r="158" spans="1:1023" hidden="1">
      <c r="A158" s="302"/>
      <c r="B158" s="15">
        <v>13716</v>
      </c>
      <c r="C158" s="22">
        <v>0.08</v>
      </c>
      <c r="D158" s="11" t="s">
        <v>400</v>
      </c>
      <c r="E158" s="12">
        <v>3600000</v>
      </c>
      <c r="F158" s="365">
        <v>0.02</v>
      </c>
      <c r="G158" s="364">
        <f>E158*F158</f>
        <v>72000</v>
      </c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2"/>
      <c r="AE158" s="302"/>
      <c r="AF158" s="302"/>
      <c r="AG158" s="302"/>
      <c r="AH158" s="302"/>
      <c r="AI158" s="302"/>
      <c r="AJ158" s="302"/>
      <c r="AK158" s="302"/>
      <c r="AL158" s="302"/>
      <c r="AM158" s="302"/>
      <c r="AN158" s="302"/>
      <c r="AO158" s="302"/>
      <c r="AP158" s="302"/>
      <c r="AQ158" s="302"/>
      <c r="AR158" s="302"/>
      <c r="AS158" s="302"/>
      <c r="AT158" s="302"/>
      <c r="AU158" s="302"/>
      <c r="AV158" s="302"/>
      <c r="AW158" s="302"/>
      <c r="AX158" s="302"/>
      <c r="AY158" s="302"/>
      <c r="AZ158" s="302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K158" s="302"/>
      <c r="BL158" s="302"/>
      <c r="BM158" s="302"/>
      <c r="BN158" s="302"/>
      <c r="BO158" s="302"/>
      <c r="BP158" s="302"/>
      <c r="BQ158" s="302"/>
      <c r="BR158" s="302"/>
      <c r="BS158" s="302"/>
      <c r="BT158" s="302"/>
      <c r="BU158" s="302"/>
      <c r="BV158" s="302"/>
      <c r="BW158" s="302"/>
      <c r="BX158" s="302"/>
      <c r="BY158" s="302"/>
      <c r="BZ158" s="302"/>
      <c r="CA158" s="302"/>
      <c r="CB158" s="302"/>
      <c r="CC158" s="302"/>
      <c r="CD158" s="302"/>
      <c r="CE158" s="302"/>
      <c r="CF158" s="302"/>
      <c r="CG158" s="302"/>
      <c r="CH158" s="302"/>
      <c r="CI158" s="302"/>
      <c r="CJ158" s="302"/>
      <c r="CK158" s="302"/>
      <c r="CL158" s="302"/>
      <c r="CM158" s="302"/>
      <c r="CN158" s="302"/>
      <c r="CO158" s="302"/>
      <c r="CP158" s="302"/>
      <c r="CQ158" s="302"/>
      <c r="CR158" s="302"/>
      <c r="CS158" s="302"/>
      <c r="CT158" s="302"/>
      <c r="CU158" s="302"/>
      <c r="CV158" s="302"/>
      <c r="CW158" s="302"/>
      <c r="CX158" s="302"/>
      <c r="CY158" s="302"/>
      <c r="CZ158" s="302"/>
      <c r="DA158" s="302"/>
      <c r="DB158" s="302"/>
      <c r="DC158" s="302"/>
      <c r="DD158" s="302"/>
      <c r="DE158" s="302"/>
      <c r="DF158" s="302"/>
      <c r="DG158" s="302"/>
      <c r="DH158" s="302"/>
      <c r="DI158" s="302"/>
      <c r="DJ158" s="302"/>
      <c r="DK158" s="302"/>
      <c r="DL158" s="302"/>
      <c r="DM158" s="302"/>
      <c r="DN158" s="302"/>
      <c r="DO158" s="302"/>
      <c r="DP158" s="302"/>
      <c r="DQ158" s="302"/>
      <c r="DR158" s="302"/>
      <c r="DS158" s="302"/>
      <c r="DT158" s="302"/>
      <c r="DU158" s="302"/>
      <c r="DV158" s="302"/>
      <c r="DW158" s="302"/>
      <c r="DX158" s="302"/>
      <c r="DY158" s="302"/>
      <c r="DZ158" s="302"/>
      <c r="EA158" s="302"/>
      <c r="EB158" s="302"/>
      <c r="EC158" s="302"/>
      <c r="ED158" s="302"/>
      <c r="EE158" s="302"/>
      <c r="EF158" s="302"/>
      <c r="EG158" s="302"/>
      <c r="EH158" s="302"/>
      <c r="EI158" s="302"/>
      <c r="EJ158" s="302"/>
      <c r="EK158" s="302"/>
      <c r="EL158" s="302"/>
      <c r="EM158" s="302"/>
      <c r="EN158" s="302"/>
      <c r="EO158" s="302"/>
      <c r="EP158" s="302"/>
      <c r="EQ158" s="302"/>
      <c r="ER158" s="302"/>
      <c r="ES158" s="302"/>
      <c r="ET158" s="302"/>
      <c r="EU158" s="302"/>
      <c r="EV158" s="302"/>
      <c r="EW158" s="302"/>
      <c r="EX158" s="302"/>
      <c r="EY158" s="302"/>
      <c r="EZ158" s="302"/>
      <c r="FA158" s="302"/>
      <c r="FB158" s="302"/>
      <c r="FC158" s="302"/>
      <c r="FD158" s="302"/>
      <c r="FE158" s="302"/>
      <c r="FF158" s="302"/>
      <c r="FG158" s="302"/>
      <c r="FH158" s="302"/>
      <c r="FI158" s="302"/>
      <c r="FJ158" s="302"/>
      <c r="FK158" s="302"/>
      <c r="FL158" s="302"/>
      <c r="FM158" s="302"/>
      <c r="FN158" s="302"/>
      <c r="FO158" s="302"/>
      <c r="FP158" s="302"/>
      <c r="FQ158" s="302"/>
      <c r="FR158" s="302"/>
      <c r="FS158" s="302"/>
      <c r="FT158" s="302"/>
      <c r="FU158" s="302"/>
      <c r="FV158" s="302"/>
      <c r="FW158" s="302"/>
      <c r="FX158" s="302"/>
      <c r="FY158" s="302"/>
      <c r="FZ158" s="302"/>
      <c r="GA158" s="302"/>
      <c r="GB158" s="302"/>
      <c r="GC158" s="302"/>
      <c r="GD158" s="302"/>
      <c r="GE158" s="302"/>
      <c r="GF158" s="302"/>
      <c r="GG158" s="302"/>
      <c r="GH158" s="302"/>
      <c r="GI158" s="302"/>
      <c r="GJ158" s="302"/>
      <c r="GK158" s="302"/>
      <c r="GL158" s="302"/>
      <c r="GM158" s="302"/>
      <c r="GN158" s="302"/>
      <c r="GO158" s="302"/>
      <c r="GP158" s="302"/>
      <c r="GQ158" s="302"/>
      <c r="GR158" s="302"/>
      <c r="GS158" s="302"/>
      <c r="GT158" s="302"/>
      <c r="GU158" s="302"/>
      <c r="GV158" s="302"/>
      <c r="GW158" s="302"/>
      <c r="GX158" s="302"/>
      <c r="GY158" s="302"/>
      <c r="GZ158" s="302"/>
      <c r="HA158" s="302"/>
      <c r="HB158" s="302"/>
      <c r="HC158" s="302"/>
      <c r="HD158" s="302"/>
      <c r="HE158" s="302"/>
      <c r="HF158" s="302"/>
      <c r="HG158" s="302"/>
      <c r="HH158" s="302"/>
      <c r="HI158" s="302"/>
      <c r="HJ158" s="302"/>
      <c r="HK158" s="302"/>
      <c r="HL158" s="302"/>
      <c r="HM158" s="302"/>
      <c r="HN158" s="302"/>
      <c r="HO158" s="302"/>
      <c r="HP158" s="302"/>
      <c r="HQ158" s="302"/>
      <c r="HR158" s="302"/>
      <c r="HS158" s="302"/>
      <c r="HT158" s="302"/>
      <c r="HU158" s="302"/>
      <c r="HV158" s="302"/>
      <c r="HW158" s="302"/>
      <c r="HX158" s="302"/>
      <c r="HY158" s="302"/>
      <c r="HZ158" s="302"/>
      <c r="IA158" s="302"/>
      <c r="IB158" s="302"/>
      <c r="IC158" s="302"/>
      <c r="ID158" s="302"/>
      <c r="IE158" s="302"/>
      <c r="IF158" s="302"/>
      <c r="IG158" s="302"/>
      <c r="IH158" s="302"/>
      <c r="II158" s="302"/>
      <c r="IJ158" s="302"/>
      <c r="IK158" s="302"/>
      <c r="IL158" s="302"/>
      <c r="IM158" s="302"/>
      <c r="IN158" s="302"/>
      <c r="IO158" s="302"/>
      <c r="IP158" s="302"/>
      <c r="IQ158" s="302"/>
      <c r="IR158" s="302"/>
      <c r="IS158" s="302"/>
      <c r="IT158" s="302"/>
      <c r="IU158" s="302"/>
      <c r="IV158" s="302"/>
      <c r="IW158" s="302"/>
      <c r="IX158" s="302"/>
      <c r="IY158" s="302"/>
      <c r="IZ158" s="302"/>
      <c r="JA158" s="302"/>
      <c r="JB158" s="302"/>
      <c r="JC158" s="302"/>
      <c r="JD158" s="302"/>
      <c r="JE158" s="302"/>
      <c r="JF158" s="302"/>
      <c r="JG158" s="302"/>
      <c r="JH158" s="302"/>
      <c r="JI158" s="302"/>
      <c r="JJ158" s="302"/>
      <c r="JK158" s="302"/>
      <c r="JL158" s="302"/>
      <c r="JM158" s="302"/>
      <c r="JN158" s="302"/>
      <c r="JO158" s="302"/>
      <c r="JP158" s="302"/>
      <c r="JQ158" s="302"/>
      <c r="JR158" s="302"/>
      <c r="JS158" s="302"/>
      <c r="JT158" s="302"/>
      <c r="JU158" s="302"/>
      <c r="JV158" s="302"/>
      <c r="JW158" s="302"/>
      <c r="JX158" s="302"/>
      <c r="JY158" s="302"/>
      <c r="JZ158" s="302"/>
      <c r="KA158" s="302"/>
      <c r="KB158" s="302"/>
      <c r="KC158" s="302"/>
      <c r="KD158" s="302"/>
      <c r="KE158" s="302"/>
      <c r="KF158" s="302"/>
      <c r="KG158" s="302"/>
      <c r="KH158" s="302"/>
      <c r="KI158" s="302"/>
      <c r="KJ158" s="302"/>
      <c r="KK158" s="302"/>
      <c r="KL158" s="302"/>
      <c r="KM158" s="302"/>
      <c r="KN158" s="302"/>
      <c r="KO158" s="302"/>
      <c r="KP158" s="302"/>
      <c r="KQ158" s="302"/>
      <c r="KR158" s="302"/>
      <c r="KS158" s="302"/>
      <c r="KT158" s="302"/>
      <c r="KU158" s="302"/>
      <c r="KV158" s="302"/>
      <c r="KW158" s="302"/>
      <c r="KX158" s="302"/>
      <c r="KY158" s="302"/>
      <c r="KZ158" s="302"/>
      <c r="LA158" s="302"/>
      <c r="LB158" s="302"/>
      <c r="LC158" s="302"/>
      <c r="LD158" s="302"/>
      <c r="LE158" s="302"/>
      <c r="LF158" s="302"/>
      <c r="LG158" s="302"/>
      <c r="LH158" s="302"/>
      <c r="LI158" s="302"/>
      <c r="LJ158" s="302"/>
      <c r="LK158" s="302"/>
      <c r="LL158" s="302"/>
      <c r="LM158" s="302"/>
      <c r="LN158" s="302"/>
      <c r="LO158" s="302"/>
      <c r="LP158" s="302"/>
      <c r="LQ158" s="302"/>
      <c r="LR158" s="302"/>
      <c r="LS158" s="302"/>
      <c r="LT158" s="302"/>
      <c r="LU158" s="302"/>
      <c r="LV158" s="302"/>
      <c r="LW158" s="302"/>
      <c r="LX158" s="302"/>
      <c r="LY158" s="302"/>
      <c r="LZ158" s="302"/>
      <c r="MA158" s="302"/>
      <c r="MB158" s="302"/>
      <c r="MC158" s="302"/>
      <c r="MD158" s="302"/>
      <c r="ME158" s="302"/>
      <c r="MF158" s="302"/>
      <c r="MG158" s="302"/>
      <c r="MH158" s="302"/>
      <c r="MI158" s="302"/>
      <c r="MJ158" s="302"/>
      <c r="MK158" s="302"/>
      <c r="ML158" s="302"/>
      <c r="MM158" s="302"/>
      <c r="MN158" s="302"/>
      <c r="MO158" s="302"/>
      <c r="MP158" s="302"/>
      <c r="MQ158" s="302"/>
      <c r="MR158" s="302"/>
      <c r="MS158" s="302"/>
      <c r="MT158" s="302"/>
      <c r="MU158" s="302"/>
      <c r="MV158" s="302"/>
      <c r="MW158" s="302"/>
      <c r="MX158" s="302"/>
      <c r="MY158" s="302"/>
      <c r="MZ158" s="302"/>
      <c r="NA158" s="302"/>
      <c r="NB158" s="302"/>
      <c r="NC158" s="302"/>
      <c r="ND158" s="302"/>
      <c r="NE158" s="302"/>
      <c r="NF158" s="302"/>
      <c r="NG158" s="302"/>
      <c r="NH158" s="302"/>
      <c r="NI158" s="302"/>
      <c r="NJ158" s="302"/>
      <c r="NK158" s="302"/>
      <c r="NL158" s="302"/>
      <c r="NM158" s="302"/>
      <c r="NN158" s="302"/>
      <c r="NO158" s="302"/>
      <c r="NP158" s="302"/>
      <c r="NQ158" s="302"/>
      <c r="NR158" s="302"/>
      <c r="NS158" s="302"/>
      <c r="NT158" s="302"/>
      <c r="NU158" s="302"/>
      <c r="NV158" s="302"/>
      <c r="NW158" s="302"/>
      <c r="NX158" s="302"/>
      <c r="NY158" s="302"/>
      <c r="NZ158" s="302"/>
      <c r="OA158" s="302"/>
      <c r="OB158" s="302"/>
      <c r="OC158" s="302"/>
      <c r="OD158" s="302"/>
      <c r="OE158" s="302"/>
      <c r="OF158" s="302"/>
      <c r="OG158" s="302"/>
      <c r="OH158" s="302"/>
      <c r="OI158" s="302"/>
      <c r="OJ158" s="302"/>
      <c r="OK158" s="302"/>
      <c r="OL158" s="302"/>
      <c r="OM158" s="302"/>
      <c r="ON158" s="302"/>
      <c r="OO158" s="302"/>
      <c r="OP158" s="302"/>
      <c r="OQ158" s="302"/>
      <c r="OR158" s="302"/>
      <c r="OS158" s="302"/>
      <c r="OT158" s="302"/>
      <c r="OU158" s="302"/>
      <c r="OV158" s="302"/>
      <c r="OW158" s="302"/>
      <c r="OX158" s="302"/>
      <c r="OY158" s="302"/>
      <c r="OZ158" s="302"/>
      <c r="PA158" s="302"/>
      <c r="PB158" s="302"/>
      <c r="PC158" s="302"/>
      <c r="PD158" s="302"/>
      <c r="PE158" s="302"/>
      <c r="PF158" s="302"/>
      <c r="PG158" s="302"/>
      <c r="PH158" s="302"/>
      <c r="PI158" s="302"/>
      <c r="PJ158" s="302"/>
      <c r="PK158" s="302"/>
      <c r="PL158" s="302"/>
      <c r="PM158" s="302"/>
      <c r="PN158" s="302"/>
      <c r="PO158" s="302"/>
      <c r="PP158" s="302"/>
      <c r="PQ158" s="302"/>
      <c r="PR158" s="302"/>
      <c r="PS158" s="302"/>
      <c r="PT158" s="302"/>
      <c r="PU158" s="302"/>
      <c r="PV158" s="302"/>
      <c r="PW158" s="302"/>
      <c r="PX158" s="302"/>
      <c r="PY158" s="302"/>
      <c r="PZ158" s="302"/>
      <c r="QA158" s="302"/>
      <c r="QB158" s="302"/>
      <c r="QC158" s="302"/>
      <c r="QD158" s="302"/>
      <c r="QE158" s="302"/>
      <c r="QF158" s="302"/>
      <c r="QG158" s="302"/>
      <c r="QH158" s="302"/>
      <c r="QI158" s="302"/>
      <c r="QJ158" s="302"/>
      <c r="QK158" s="302"/>
      <c r="QL158" s="302"/>
      <c r="QM158" s="302"/>
      <c r="QN158" s="302"/>
      <c r="QO158" s="302"/>
      <c r="QP158" s="302"/>
      <c r="QQ158" s="302"/>
      <c r="QR158" s="302"/>
      <c r="QS158" s="302"/>
      <c r="QT158" s="302"/>
      <c r="QU158" s="302"/>
      <c r="QV158" s="302"/>
      <c r="QW158" s="302"/>
      <c r="QX158" s="302"/>
      <c r="QY158" s="302"/>
      <c r="QZ158" s="302"/>
      <c r="RA158" s="302"/>
      <c r="RB158" s="302"/>
      <c r="RC158" s="302"/>
      <c r="RD158" s="302"/>
      <c r="RE158" s="302"/>
      <c r="RF158" s="302"/>
      <c r="RG158" s="302"/>
      <c r="RH158" s="302"/>
      <c r="RI158" s="302"/>
      <c r="RJ158" s="302"/>
      <c r="RK158" s="302"/>
      <c r="RL158" s="302"/>
      <c r="RM158" s="302"/>
      <c r="RN158" s="302"/>
      <c r="RO158" s="302"/>
      <c r="RP158" s="302"/>
      <c r="RQ158" s="302"/>
      <c r="RR158" s="302"/>
      <c r="RS158" s="302"/>
      <c r="RT158" s="302"/>
      <c r="RU158" s="302"/>
      <c r="RV158" s="302"/>
      <c r="RW158" s="302"/>
      <c r="RX158" s="302"/>
      <c r="RY158" s="302"/>
      <c r="RZ158" s="302"/>
      <c r="SA158" s="302"/>
      <c r="SB158" s="302"/>
      <c r="SC158" s="302"/>
      <c r="SD158" s="302"/>
      <c r="SE158" s="302"/>
      <c r="SF158" s="302"/>
      <c r="SG158" s="302"/>
      <c r="SH158" s="302"/>
      <c r="SI158" s="302"/>
      <c r="SJ158" s="302"/>
      <c r="SK158" s="302"/>
      <c r="SL158" s="302"/>
      <c r="SM158" s="302"/>
      <c r="SN158" s="302"/>
      <c r="SO158" s="302"/>
      <c r="SP158" s="302"/>
      <c r="SQ158" s="302"/>
      <c r="SR158" s="302"/>
      <c r="SS158" s="302"/>
      <c r="ST158" s="302"/>
      <c r="SU158" s="302"/>
      <c r="SV158" s="302"/>
      <c r="SW158" s="302"/>
      <c r="SX158" s="302"/>
      <c r="SY158" s="302"/>
      <c r="SZ158" s="302"/>
      <c r="TA158" s="302"/>
      <c r="TB158" s="302"/>
      <c r="TC158" s="302"/>
      <c r="TD158" s="302"/>
      <c r="TE158" s="302"/>
      <c r="TF158" s="302"/>
      <c r="TG158" s="302"/>
      <c r="TH158" s="302"/>
      <c r="TI158" s="302"/>
      <c r="TJ158" s="302"/>
      <c r="TK158" s="302"/>
      <c r="TL158" s="302"/>
      <c r="TM158" s="302"/>
      <c r="TN158" s="302"/>
      <c r="TO158" s="302"/>
      <c r="TP158" s="302"/>
      <c r="TQ158" s="302"/>
      <c r="TR158" s="302"/>
      <c r="TS158" s="302"/>
      <c r="TT158" s="302"/>
      <c r="TU158" s="302"/>
      <c r="TV158" s="302"/>
      <c r="TW158" s="302"/>
      <c r="TX158" s="302"/>
      <c r="TY158" s="302"/>
      <c r="TZ158" s="302"/>
      <c r="UA158" s="302"/>
      <c r="UB158" s="302"/>
      <c r="UC158" s="302"/>
      <c r="UD158" s="302"/>
      <c r="UE158" s="302"/>
      <c r="UF158" s="302"/>
      <c r="UG158" s="302"/>
      <c r="UH158" s="302"/>
      <c r="UI158" s="302"/>
      <c r="UJ158" s="302"/>
      <c r="UK158" s="302"/>
      <c r="UL158" s="302"/>
      <c r="UM158" s="302"/>
      <c r="UN158" s="302"/>
      <c r="UO158" s="302"/>
      <c r="UP158" s="302"/>
      <c r="UQ158" s="302"/>
      <c r="UR158" s="302"/>
      <c r="US158" s="302"/>
      <c r="UT158" s="302"/>
      <c r="UU158" s="302"/>
      <c r="UV158" s="302"/>
      <c r="UW158" s="302"/>
      <c r="UX158" s="302"/>
      <c r="UY158" s="302"/>
      <c r="UZ158" s="302"/>
      <c r="VA158" s="302"/>
      <c r="VB158" s="302"/>
      <c r="VC158" s="302"/>
      <c r="VD158" s="302"/>
      <c r="VE158" s="302"/>
      <c r="VF158" s="302"/>
      <c r="VG158" s="302"/>
      <c r="VH158" s="302"/>
      <c r="VI158" s="302"/>
      <c r="VJ158" s="302"/>
      <c r="VK158" s="302"/>
      <c r="VL158" s="302"/>
      <c r="VM158" s="302"/>
      <c r="VN158" s="302"/>
      <c r="VO158" s="302"/>
      <c r="VP158" s="302"/>
      <c r="VQ158" s="302"/>
      <c r="VR158" s="302"/>
      <c r="VS158" s="302"/>
      <c r="VT158" s="302"/>
      <c r="VU158" s="302"/>
      <c r="VV158" s="302"/>
      <c r="VW158" s="302"/>
      <c r="VX158" s="302"/>
      <c r="VY158" s="302"/>
      <c r="VZ158" s="302"/>
      <c r="WA158" s="302"/>
      <c r="WB158" s="302"/>
      <c r="WC158" s="302"/>
      <c r="WD158" s="302"/>
      <c r="WE158" s="302"/>
      <c r="WF158" s="302"/>
      <c r="WG158" s="302"/>
      <c r="WH158" s="302"/>
      <c r="WI158" s="302"/>
      <c r="WJ158" s="302"/>
      <c r="WK158" s="302"/>
      <c r="WL158" s="302"/>
      <c r="WM158" s="302"/>
      <c r="WN158" s="302"/>
      <c r="WO158" s="302"/>
      <c r="WP158" s="302"/>
      <c r="WQ158" s="302"/>
      <c r="WR158" s="302"/>
      <c r="WS158" s="302"/>
      <c r="WT158" s="302"/>
      <c r="WU158" s="302"/>
      <c r="WV158" s="302"/>
      <c r="WW158" s="302"/>
      <c r="WX158" s="302"/>
      <c r="WY158" s="302"/>
      <c r="WZ158" s="302"/>
      <c r="XA158" s="302"/>
      <c r="XB158" s="302"/>
      <c r="XC158" s="302"/>
      <c r="XD158" s="302"/>
      <c r="XE158" s="302"/>
      <c r="XF158" s="302"/>
      <c r="XG158" s="302"/>
      <c r="XH158" s="302"/>
      <c r="XI158" s="302"/>
      <c r="XJ158" s="302"/>
      <c r="XK158" s="302"/>
      <c r="XL158" s="302"/>
      <c r="XM158" s="302"/>
      <c r="XN158" s="302"/>
      <c r="XO158" s="302"/>
      <c r="XP158" s="302"/>
      <c r="XQ158" s="302"/>
      <c r="XR158" s="302"/>
      <c r="XS158" s="302"/>
      <c r="XT158" s="302"/>
      <c r="XU158" s="302"/>
      <c r="XV158" s="302"/>
      <c r="XW158" s="302"/>
      <c r="XX158" s="302"/>
      <c r="XY158" s="302"/>
      <c r="XZ158" s="302"/>
      <c r="YA158" s="302"/>
      <c r="YB158" s="302"/>
      <c r="YC158" s="302"/>
      <c r="YD158" s="302"/>
      <c r="YE158" s="302"/>
      <c r="YF158" s="302"/>
      <c r="YG158" s="302"/>
      <c r="YH158" s="302"/>
      <c r="YI158" s="302"/>
      <c r="YJ158" s="302"/>
      <c r="YK158" s="302"/>
      <c r="YL158" s="302"/>
      <c r="YM158" s="302"/>
      <c r="YN158" s="302"/>
      <c r="YO158" s="302"/>
      <c r="YP158" s="302"/>
      <c r="YQ158" s="302"/>
      <c r="YR158" s="302"/>
      <c r="YS158" s="302"/>
      <c r="YT158" s="302"/>
      <c r="YU158" s="302"/>
      <c r="YV158" s="302"/>
      <c r="YW158" s="302"/>
      <c r="YX158" s="302"/>
      <c r="YY158" s="302"/>
      <c r="YZ158" s="302"/>
      <c r="ZA158" s="302"/>
      <c r="ZB158" s="302"/>
      <c r="ZC158" s="302"/>
      <c r="ZD158" s="302"/>
      <c r="ZE158" s="302"/>
      <c r="ZF158" s="302"/>
      <c r="ZG158" s="302"/>
      <c r="ZH158" s="302"/>
      <c r="ZI158" s="302"/>
      <c r="ZJ158" s="302"/>
      <c r="ZK158" s="302"/>
      <c r="ZL158" s="302"/>
      <c r="ZM158" s="302"/>
      <c r="ZN158" s="302"/>
      <c r="ZO158" s="302"/>
      <c r="ZP158" s="302"/>
      <c r="ZQ158" s="302"/>
      <c r="ZR158" s="302"/>
      <c r="ZS158" s="302"/>
      <c r="ZT158" s="302"/>
      <c r="ZU158" s="302"/>
      <c r="ZV158" s="302"/>
      <c r="ZW158" s="302"/>
      <c r="ZX158" s="302"/>
      <c r="ZY158" s="302"/>
      <c r="ZZ158" s="302"/>
      <c r="AAA158" s="302"/>
      <c r="AAB158" s="302"/>
      <c r="AAC158" s="302"/>
      <c r="AAD158" s="302"/>
      <c r="AAE158" s="302"/>
      <c r="AAF158" s="302"/>
      <c r="AAG158" s="302"/>
      <c r="AAH158" s="302"/>
      <c r="AAI158" s="302"/>
      <c r="AAJ158" s="302"/>
      <c r="AAK158" s="302"/>
      <c r="AAL158" s="302"/>
      <c r="AAM158" s="302"/>
      <c r="AAN158" s="302"/>
      <c r="AAO158" s="302"/>
      <c r="AAP158" s="302"/>
      <c r="AAQ158" s="302"/>
      <c r="AAR158" s="302"/>
      <c r="AAS158" s="302"/>
      <c r="AAT158" s="302"/>
      <c r="AAU158" s="302"/>
      <c r="AAV158" s="302"/>
      <c r="AAW158" s="302"/>
      <c r="AAX158" s="302"/>
      <c r="AAY158" s="302"/>
      <c r="AAZ158" s="302"/>
      <c r="ABA158" s="302"/>
      <c r="ABB158" s="302"/>
      <c r="ABC158" s="302"/>
      <c r="ABD158" s="302"/>
      <c r="ABE158" s="302"/>
      <c r="ABF158" s="302"/>
      <c r="ABG158" s="302"/>
      <c r="ABH158" s="302"/>
      <c r="ABI158" s="302"/>
      <c r="ABJ158" s="302"/>
      <c r="ABK158" s="302"/>
      <c r="ABL158" s="302"/>
      <c r="ABM158" s="302"/>
      <c r="ABN158" s="302"/>
      <c r="ABO158" s="302"/>
      <c r="ABP158" s="302"/>
      <c r="ABQ158" s="302"/>
      <c r="ABR158" s="302"/>
      <c r="ABS158" s="302"/>
      <c r="ABT158" s="302"/>
      <c r="ABU158" s="302"/>
      <c r="ABV158" s="302"/>
      <c r="ABW158" s="302"/>
      <c r="ABX158" s="302"/>
      <c r="ABY158" s="302"/>
      <c r="ABZ158" s="302"/>
      <c r="ACA158" s="302"/>
      <c r="ACB158" s="302"/>
      <c r="ACC158" s="302"/>
      <c r="ACD158" s="302"/>
      <c r="ACE158" s="302"/>
      <c r="ACF158" s="302"/>
      <c r="ACG158" s="302"/>
      <c r="ACH158" s="302"/>
      <c r="ACI158" s="302"/>
      <c r="ACJ158" s="302"/>
      <c r="ACK158" s="302"/>
      <c r="ACL158" s="302"/>
      <c r="ACM158" s="302"/>
      <c r="ACN158" s="302"/>
      <c r="ACO158" s="302"/>
      <c r="ACP158" s="302"/>
      <c r="ACQ158" s="302"/>
      <c r="ACR158" s="302"/>
      <c r="ACS158" s="302"/>
      <c r="ACT158" s="302"/>
      <c r="ACU158" s="302"/>
      <c r="ACV158" s="302"/>
      <c r="ACW158" s="302"/>
      <c r="ACX158" s="302"/>
      <c r="ACY158" s="302"/>
      <c r="ACZ158" s="302"/>
      <c r="ADA158" s="302"/>
      <c r="ADB158" s="302"/>
      <c r="ADC158" s="302"/>
      <c r="ADD158" s="302"/>
      <c r="ADE158" s="302"/>
      <c r="ADF158" s="302"/>
      <c r="ADG158" s="302"/>
      <c r="ADH158" s="302"/>
      <c r="ADI158" s="302"/>
      <c r="ADJ158" s="302"/>
      <c r="ADK158" s="302"/>
      <c r="ADL158" s="302"/>
      <c r="ADM158" s="302"/>
      <c r="ADN158" s="302"/>
      <c r="ADO158" s="302"/>
      <c r="ADP158" s="302"/>
      <c r="ADQ158" s="302"/>
      <c r="ADR158" s="302"/>
      <c r="ADS158" s="302"/>
      <c r="ADT158" s="302"/>
      <c r="ADU158" s="302"/>
      <c r="ADV158" s="302"/>
      <c r="ADW158" s="302"/>
      <c r="ADX158" s="302"/>
      <c r="ADY158" s="302"/>
      <c r="ADZ158" s="302"/>
      <c r="AEA158" s="302"/>
      <c r="AEB158" s="302"/>
      <c r="AEC158" s="302"/>
      <c r="AED158" s="302"/>
      <c r="AEE158" s="302"/>
      <c r="AEF158" s="302"/>
      <c r="AEG158" s="302"/>
      <c r="AEH158" s="302"/>
      <c r="AEI158" s="302"/>
      <c r="AEJ158" s="302"/>
      <c r="AEK158" s="302"/>
      <c r="AEL158" s="302"/>
      <c r="AEM158" s="302"/>
      <c r="AEN158" s="302"/>
      <c r="AEO158" s="302"/>
      <c r="AEP158" s="302"/>
      <c r="AEQ158" s="302"/>
      <c r="AER158" s="302"/>
      <c r="AES158" s="302"/>
      <c r="AET158" s="302"/>
      <c r="AEU158" s="302"/>
      <c r="AEV158" s="302"/>
      <c r="AEW158" s="302"/>
      <c r="AEX158" s="302"/>
      <c r="AEY158" s="302"/>
      <c r="AEZ158" s="302"/>
      <c r="AFA158" s="302"/>
      <c r="AFB158" s="302"/>
      <c r="AFC158" s="302"/>
      <c r="AFD158" s="302"/>
      <c r="AFE158" s="302"/>
      <c r="AFF158" s="302"/>
      <c r="AFG158" s="302"/>
      <c r="AFH158" s="302"/>
      <c r="AFI158" s="302"/>
      <c r="AFJ158" s="302"/>
      <c r="AFK158" s="302"/>
      <c r="AFL158" s="302"/>
      <c r="AFM158" s="302"/>
      <c r="AFN158" s="302"/>
      <c r="AFO158" s="302"/>
      <c r="AFP158" s="302"/>
      <c r="AFQ158" s="302"/>
      <c r="AFR158" s="302"/>
      <c r="AFS158" s="302"/>
      <c r="AFT158" s="302"/>
      <c r="AFU158" s="302"/>
      <c r="AFV158" s="302"/>
      <c r="AFW158" s="302"/>
      <c r="AFX158" s="302"/>
      <c r="AFY158" s="302"/>
      <c r="AFZ158" s="302"/>
      <c r="AGA158" s="302"/>
      <c r="AGB158" s="302"/>
      <c r="AGC158" s="302"/>
      <c r="AGD158" s="302"/>
      <c r="AGE158" s="302"/>
      <c r="AGF158" s="302"/>
      <c r="AGG158" s="302"/>
      <c r="AGH158" s="302"/>
      <c r="AGI158" s="302"/>
      <c r="AGJ158" s="302"/>
      <c r="AGK158" s="302"/>
      <c r="AGL158" s="302"/>
      <c r="AGM158" s="302"/>
      <c r="AGN158" s="302"/>
      <c r="AGO158" s="302"/>
      <c r="AGP158" s="302"/>
      <c r="AGQ158" s="302"/>
      <c r="AGR158" s="302"/>
      <c r="AGS158" s="302"/>
      <c r="AGT158" s="302"/>
      <c r="AGU158" s="302"/>
      <c r="AGV158" s="302"/>
      <c r="AGW158" s="302"/>
      <c r="AGX158" s="302"/>
      <c r="AGY158" s="302"/>
      <c r="AGZ158" s="302"/>
      <c r="AHA158" s="302"/>
      <c r="AHB158" s="302"/>
      <c r="AHC158" s="302"/>
      <c r="AHD158" s="302"/>
      <c r="AHE158" s="302"/>
      <c r="AHF158" s="302"/>
      <c r="AHG158" s="302"/>
      <c r="AHH158" s="302"/>
      <c r="AHI158" s="302"/>
      <c r="AHJ158" s="302"/>
      <c r="AHK158" s="302"/>
      <c r="AHL158" s="302"/>
      <c r="AHM158" s="302"/>
      <c r="AHN158" s="302"/>
      <c r="AHO158" s="302"/>
      <c r="AHP158" s="302"/>
      <c r="AHQ158" s="302"/>
      <c r="AHR158" s="302"/>
      <c r="AHS158" s="302"/>
      <c r="AHT158" s="302"/>
      <c r="AHU158" s="302"/>
      <c r="AHV158" s="302"/>
      <c r="AHW158" s="302"/>
      <c r="AHX158" s="302"/>
      <c r="AHY158" s="302"/>
      <c r="AHZ158" s="302"/>
      <c r="AIA158" s="302"/>
      <c r="AIB158" s="302"/>
      <c r="AIC158" s="302"/>
      <c r="AID158" s="302"/>
      <c r="AIE158" s="302"/>
      <c r="AIF158" s="302"/>
      <c r="AIG158" s="302"/>
      <c r="AIH158" s="302"/>
      <c r="AII158" s="302"/>
      <c r="AIJ158" s="302"/>
      <c r="AIK158" s="302"/>
      <c r="AIL158" s="302"/>
      <c r="AIM158" s="302"/>
      <c r="AIN158" s="302"/>
      <c r="AIO158" s="302"/>
      <c r="AIP158" s="302"/>
      <c r="AIQ158" s="302"/>
      <c r="AIR158" s="302"/>
      <c r="AIS158" s="302"/>
      <c r="AIT158" s="302"/>
      <c r="AIU158" s="302"/>
      <c r="AIV158" s="302"/>
      <c r="AIW158" s="302"/>
      <c r="AIX158" s="302"/>
      <c r="AIY158" s="302"/>
      <c r="AIZ158" s="302"/>
      <c r="AJA158" s="302"/>
      <c r="AJB158" s="302"/>
      <c r="AJC158" s="302"/>
      <c r="AJD158" s="302"/>
      <c r="AJE158" s="302"/>
      <c r="AJF158" s="302"/>
      <c r="AJG158" s="302"/>
      <c r="AJH158" s="302"/>
      <c r="AJI158" s="302"/>
      <c r="AJJ158" s="302"/>
      <c r="AJK158" s="302"/>
      <c r="AJL158" s="302"/>
      <c r="AJM158" s="302"/>
      <c r="AJN158" s="302"/>
      <c r="AJO158" s="302"/>
      <c r="AJP158" s="302"/>
      <c r="AJQ158" s="302"/>
      <c r="AJR158" s="302"/>
      <c r="AJS158" s="302"/>
      <c r="AJT158" s="302"/>
      <c r="AJU158" s="302"/>
      <c r="AJV158" s="302"/>
      <c r="AJW158" s="302"/>
      <c r="AJX158" s="302"/>
      <c r="AJY158" s="302"/>
      <c r="AJZ158" s="302"/>
      <c r="AKA158" s="302"/>
      <c r="AKB158" s="302"/>
      <c r="AKC158" s="302"/>
      <c r="AKD158" s="302"/>
      <c r="AKE158" s="302"/>
      <c r="AKF158" s="302"/>
      <c r="AKG158" s="302"/>
      <c r="AKH158" s="302"/>
      <c r="AKI158" s="302"/>
      <c r="AKJ158" s="302"/>
      <c r="AKK158" s="302"/>
      <c r="AKL158" s="302"/>
      <c r="AKM158" s="302"/>
      <c r="AKN158" s="302"/>
      <c r="AKO158" s="302"/>
      <c r="AKP158" s="302"/>
      <c r="AKQ158" s="302"/>
      <c r="AKR158" s="302"/>
      <c r="AKS158" s="302"/>
      <c r="AKT158" s="302"/>
      <c r="AKU158" s="302"/>
      <c r="AKV158" s="302"/>
      <c r="AKW158" s="302"/>
      <c r="AKX158" s="302"/>
      <c r="AKY158" s="302"/>
      <c r="AKZ158" s="302"/>
      <c r="ALA158" s="302"/>
      <c r="ALB158" s="302"/>
      <c r="ALC158" s="302"/>
      <c r="ALD158" s="302"/>
      <c r="ALE158" s="302"/>
      <c r="ALF158" s="302"/>
      <c r="ALG158" s="302"/>
      <c r="ALH158" s="302"/>
      <c r="ALI158" s="302"/>
      <c r="ALJ158" s="302"/>
      <c r="ALK158" s="302"/>
      <c r="ALL158" s="302"/>
      <c r="ALM158" s="302"/>
      <c r="ALN158" s="302"/>
      <c r="ALO158" s="302"/>
      <c r="ALP158" s="302"/>
      <c r="ALQ158" s="302"/>
      <c r="ALR158" s="302"/>
      <c r="ALS158" s="302"/>
      <c r="ALT158" s="302"/>
      <c r="ALU158" s="302"/>
      <c r="ALV158" s="302"/>
      <c r="ALW158" s="302"/>
      <c r="ALX158" s="302"/>
      <c r="ALY158" s="302"/>
      <c r="ALZ158" s="302"/>
      <c r="AMA158" s="302"/>
      <c r="AMB158" s="302"/>
      <c r="AMC158" s="302"/>
      <c r="AMD158" s="302"/>
      <c r="AME158" s="302"/>
      <c r="AMF158" s="302"/>
      <c r="AMG158" s="302"/>
      <c r="AMH158" s="302"/>
      <c r="AMI158" s="302"/>
    </row>
    <row r="159" spans="1:1023" hidden="1">
      <c r="A159" s="302"/>
      <c r="B159" s="15">
        <v>13829</v>
      </c>
      <c r="C159" s="113">
        <v>0.1</v>
      </c>
      <c r="D159" s="16" t="s">
        <v>401</v>
      </c>
      <c r="E159" s="12">
        <v>1700000</v>
      </c>
      <c r="F159" s="363">
        <v>0.03</v>
      </c>
      <c r="G159" s="364">
        <f>E159*F159</f>
        <v>51000</v>
      </c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2"/>
      <c r="AE159" s="302"/>
      <c r="AF159" s="302"/>
      <c r="AG159" s="302"/>
      <c r="AH159" s="302"/>
      <c r="AI159" s="302"/>
      <c r="AJ159" s="302"/>
      <c r="AK159" s="302"/>
      <c r="AL159" s="302"/>
      <c r="AM159" s="302"/>
      <c r="AN159" s="302"/>
      <c r="AO159" s="302"/>
      <c r="AP159" s="302"/>
      <c r="AQ159" s="302"/>
      <c r="AR159" s="302"/>
      <c r="AS159" s="302"/>
      <c r="AT159" s="302"/>
      <c r="AU159" s="302"/>
      <c r="AV159" s="302"/>
      <c r="AW159" s="302"/>
      <c r="AX159" s="302"/>
      <c r="AY159" s="302"/>
      <c r="AZ159" s="302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K159" s="302"/>
      <c r="BL159" s="302"/>
      <c r="BM159" s="302"/>
      <c r="BN159" s="302"/>
      <c r="BO159" s="302"/>
      <c r="BP159" s="302"/>
      <c r="BQ159" s="302"/>
      <c r="BR159" s="302"/>
      <c r="BS159" s="302"/>
      <c r="BT159" s="302"/>
      <c r="BU159" s="302"/>
      <c r="BV159" s="302"/>
      <c r="BW159" s="302"/>
      <c r="BX159" s="302"/>
      <c r="BY159" s="302"/>
      <c r="BZ159" s="302"/>
      <c r="CA159" s="302"/>
      <c r="CB159" s="302"/>
      <c r="CC159" s="302"/>
      <c r="CD159" s="302"/>
      <c r="CE159" s="302"/>
      <c r="CF159" s="302"/>
      <c r="CG159" s="302"/>
      <c r="CH159" s="302"/>
      <c r="CI159" s="302"/>
      <c r="CJ159" s="302"/>
      <c r="CK159" s="302"/>
      <c r="CL159" s="302"/>
      <c r="CM159" s="302"/>
      <c r="CN159" s="302"/>
      <c r="CO159" s="302"/>
      <c r="CP159" s="302"/>
      <c r="CQ159" s="302"/>
      <c r="CR159" s="302"/>
      <c r="CS159" s="302"/>
      <c r="CT159" s="302"/>
      <c r="CU159" s="302"/>
      <c r="CV159" s="302"/>
      <c r="CW159" s="302"/>
      <c r="CX159" s="302"/>
      <c r="CY159" s="302"/>
      <c r="CZ159" s="302"/>
      <c r="DA159" s="302"/>
      <c r="DB159" s="302"/>
      <c r="DC159" s="302"/>
      <c r="DD159" s="302"/>
      <c r="DE159" s="302"/>
      <c r="DF159" s="302"/>
      <c r="DG159" s="302"/>
      <c r="DH159" s="302"/>
      <c r="DI159" s="302"/>
      <c r="DJ159" s="302"/>
      <c r="DK159" s="302"/>
      <c r="DL159" s="302"/>
      <c r="DM159" s="302"/>
      <c r="DN159" s="302"/>
      <c r="DO159" s="302"/>
      <c r="DP159" s="302"/>
      <c r="DQ159" s="302"/>
      <c r="DR159" s="302"/>
      <c r="DS159" s="302"/>
      <c r="DT159" s="302"/>
      <c r="DU159" s="302"/>
      <c r="DV159" s="302"/>
      <c r="DW159" s="302"/>
      <c r="DX159" s="302"/>
      <c r="DY159" s="302"/>
      <c r="DZ159" s="302"/>
      <c r="EA159" s="302"/>
      <c r="EB159" s="302"/>
      <c r="EC159" s="302"/>
      <c r="ED159" s="302"/>
      <c r="EE159" s="302"/>
      <c r="EF159" s="302"/>
      <c r="EG159" s="302"/>
      <c r="EH159" s="302"/>
      <c r="EI159" s="302"/>
      <c r="EJ159" s="302"/>
      <c r="EK159" s="302"/>
      <c r="EL159" s="302"/>
      <c r="EM159" s="302"/>
      <c r="EN159" s="302"/>
      <c r="EO159" s="302"/>
      <c r="EP159" s="302"/>
      <c r="EQ159" s="302"/>
      <c r="ER159" s="302"/>
      <c r="ES159" s="302"/>
      <c r="ET159" s="302"/>
      <c r="EU159" s="302"/>
      <c r="EV159" s="302"/>
      <c r="EW159" s="302"/>
      <c r="EX159" s="302"/>
      <c r="EY159" s="302"/>
      <c r="EZ159" s="302"/>
      <c r="FA159" s="302"/>
      <c r="FB159" s="302"/>
      <c r="FC159" s="302"/>
      <c r="FD159" s="302"/>
      <c r="FE159" s="302"/>
      <c r="FF159" s="302"/>
      <c r="FG159" s="302"/>
      <c r="FH159" s="302"/>
      <c r="FI159" s="302"/>
      <c r="FJ159" s="302"/>
      <c r="FK159" s="302"/>
      <c r="FL159" s="302"/>
      <c r="FM159" s="302"/>
      <c r="FN159" s="302"/>
      <c r="FO159" s="302"/>
      <c r="FP159" s="302"/>
      <c r="FQ159" s="302"/>
      <c r="FR159" s="302"/>
      <c r="FS159" s="302"/>
      <c r="FT159" s="302"/>
      <c r="FU159" s="302"/>
      <c r="FV159" s="302"/>
      <c r="FW159" s="302"/>
      <c r="FX159" s="302"/>
      <c r="FY159" s="302"/>
      <c r="FZ159" s="302"/>
      <c r="GA159" s="302"/>
      <c r="GB159" s="302"/>
      <c r="GC159" s="302"/>
      <c r="GD159" s="302"/>
      <c r="GE159" s="302"/>
      <c r="GF159" s="302"/>
      <c r="GG159" s="302"/>
      <c r="GH159" s="302"/>
      <c r="GI159" s="302"/>
      <c r="GJ159" s="302"/>
      <c r="GK159" s="302"/>
      <c r="GL159" s="302"/>
      <c r="GM159" s="302"/>
      <c r="GN159" s="302"/>
      <c r="GO159" s="302"/>
      <c r="GP159" s="302"/>
      <c r="GQ159" s="302"/>
      <c r="GR159" s="302"/>
      <c r="GS159" s="302"/>
      <c r="GT159" s="302"/>
      <c r="GU159" s="302"/>
      <c r="GV159" s="302"/>
      <c r="GW159" s="302"/>
      <c r="GX159" s="302"/>
      <c r="GY159" s="302"/>
      <c r="GZ159" s="302"/>
      <c r="HA159" s="302"/>
      <c r="HB159" s="302"/>
      <c r="HC159" s="302"/>
      <c r="HD159" s="302"/>
      <c r="HE159" s="302"/>
      <c r="HF159" s="302"/>
      <c r="HG159" s="302"/>
      <c r="HH159" s="302"/>
      <c r="HI159" s="302"/>
      <c r="HJ159" s="302"/>
      <c r="HK159" s="302"/>
      <c r="HL159" s="302"/>
      <c r="HM159" s="302"/>
      <c r="HN159" s="302"/>
      <c r="HO159" s="302"/>
      <c r="HP159" s="302"/>
      <c r="HQ159" s="302"/>
      <c r="HR159" s="302"/>
      <c r="HS159" s="302"/>
      <c r="HT159" s="302"/>
      <c r="HU159" s="302"/>
      <c r="HV159" s="302"/>
      <c r="HW159" s="302"/>
      <c r="HX159" s="302"/>
      <c r="HY159" s="302"/>
      <c r="HZ159" s="302"/>
      <c r="IA159" s="302"/>
      <c r="IB159" s="302"/>
      <c r="IC159" s="302"/>
      <c r="ID159" s="302"/>
      <c r="IE159" s="302"/>
      <c r="IF159" s="302"/>
      <c r="IG159" s="302"/>
      <c r="IH159" s="302"/>
      <c r="II159" s="302"/>
      <c r="IJ159" s="302"/>
      <c r="IK159" s="302"/>
      <c r="IL159" s="302"/>
      <c r="IM159" s="302"/>
      <c r="IN159" s="302"/>
      <c r="IO159" s="302"/>
      <c r="IP159" s="302"/>
      <c r="IQ159" s="302"/>
      <c r="IR159" s="302"/>
      <c r="IS159" s="302"/>
      <c r="IT159" s="302"/>
      <c r="IU159" s="302"/>
      <c r="IV159" s="302"/>
      <c r="IW159" s="302"/>
      <c r="IX159" s="302"/>
      <c r="IY159" s="302"/>
      <c r="IZ159" s="302"/>
      <c r="JA159" s="302"/>
      <c r="JB159" s="302"/>
      <c r="JC159" s="302"/>
      <c r="JD159" s="302"/>
      <c r="JE159" s="302"/>
      <c r="JF159" s="302"/>
      <c r="JG159" s="302"/>
      <c r="JH159" s="302"/>
      <c r="JI159" s="302"/>
      <c r="JJ159" s="302"/>
      <c r="JK159" s="302"/>
      <c r="JL159" s="302"/>
      <c r="JM159" s="302"/>
      <c r="JN159" s="302"/>
      <c r="JO159" s="302"/>
      <c r="JP159" s="302"/>
      <c r="JQ159" s="302"/>
      <c r="JR159" s="302"/>
      <c r="JS159" s="302"/>
      <c r="JT159" s="302"/>
      <c r="JU159" s="302"/>
      <c r="JV159" s="302"/>
      <c r="JW159" s="302"/>
      <c r="JX159" s="302"/>
      <c r="JY159" s="302"/>
      <c r="JZ159" s="302"/>
      <c r="KA159" s="302"/>
      <c r="KB159" s="302"/>
      <c r="KC159" s="302"/>
      <c r="KD159" s="302"/>
      <c r="KE159" s="302"/>
      <c r="KF159" s="302"/>
      <c r="KG159" s="302"/>
      <c r="KH159" s="302"/>
      <c r="KI159" s="302"/>
      <c r="KJ159" s="302"/>
      <c r="KK159" s="302"/>
      <c r="KL159" s="302"/>
      <c r="KM159" s="302"/>
      <c r="KN159" s="302"/>
      <c r="KO159" s="302"/>
      <c r="KP159" s="302"/>
      <c r="KQ159" s="302"/>
      <c r="KR159" s="302"/>
      <c r="KS159" s="302"/>
      <c r="KT159" s="302"/>
      <c r="KU159" s="302"/>
      <c r="KV159" s="302"/>
      <c r="KW159" s="302"/>
      <c r="KX159" s="302"/>
      <c r="KY159" s="302"/>
      <c r="KZ159" s="302"/>
      <c r="LA159" s="302"/>
      <c r="LB159" s="302"/>
      <c r="LC159" s="302"/>
      <c r="LD159" s="302"/>
      <c r="LE159" s="302"/>
      <c r="LF159" s="302"/>
      <c r="LG159" s="302"/>
      <c r="LH159" s="302"/>
      <c r="LI159" s="302"/>
      <c r="LJ159" s="302"/>
      <c r="LK159" s="302"/>
      <c r="LL159" s="302"/>
      <c r="LM159" s="302"/>
      <c r="LN159" s="302"/>
      <c r="LO159" s="302"/>
      <c r="LP159" s="302"/>
      <c r="LQ159" s="302"/>
      <c r="LR159" s="302"/>
      <c r="LS159" s="302"/>
      <c r="LT159" s="302"/>
      <c r="LU159" s="302"/>
      <c r="LV159" s="302"/>
      <c r="LW159" s="302"/>
      <c r="LX159" s="302"/>
      <c r="LY159" s="302"/>
      <c r="LZ159" s="302"/>
      <c r="MA159" s="302"/>
      <c r="MB159" s="302"/>
      <c r="MC159" s="302"/>
      <c r="MD159" s="302"/>
      <c r="ME159" s="302"/>
      <c r="MF159" s="302"/>
      <c r="MG159" s="302"/>
      <c r="MH159" s="302"/>
      <c r="MI159" s="302"/>
      <c r="MJ159" s="302"/>
      <c r="MK159" s="302"/>
      <c r="ML159" s="302"/>
      <c r="MM159" s="302"/>
      <c r="MN159" s="302"/>
      <c r="MO159" s="302"/>
      <c r="MP159" s="302"/>
      <c r="MQ159" s="302"/>
      <c r="MR159" s="302"/>
      <c r="MS159" s="302"/>
      <c r="MT159" s="302"/>
      <c r="MU159" s="302"/>
      <c r="MV159" s="302"/>
      <c r="MW159" s="302"/>
      <c r="MX159" s="302"/>
      <c r="MY159" s="302"/>
      <c r="MZ159" s="302"/>
      <c r="NA159" s="302"/>
      <c r="NB159" s="302"/>
      <c r="NC159" s="302"/>
      <c r="ND159" s="302"/>
      <c r="NE159" s="302"/>
      <c r="NF159" s="302"/>
      <c r="NG159" s="302"/>
      <c r="NH159" s="302"/>
      <c r="NI159" s="302"/>
      <c r="NJ159" s="302"/>
      <c r="NK159" s="302"/>
      <c r="NL159" s="302"/>
      <c r="NM159" s="302"/>
      <c r="NN159" s="302"/>
      <c r="NO159" s="302"/>
      <c r="NP159" s="302"/>
      <c r="NQ159" s="302"/>
      <c r="NR159" s="302"/>
      <c r="NS159" s="302"/>
      <c r="NT159" s="302"/>
      <c r="NU159" s="302"/>
      <c r="NV159" s="302"/>
      <c r="NW159" s="302"/>
      <c r="NX159" s="302"/>
      <c r="NY159" s="302"/>
      <c r="NZ159" s="302"/>
      <c r="OA159" s="302"/>
      <c r="OB159" s="302"/>
      <c r="OC159" s="302"/>
      <c r="OD159" s="302"/>
      <c r="OE159" s="302"/>
      <c r="OF159" s="302"/>
      <c r="OG159" s="302"/>
      <c r="OH159" s="302"/>
      <c r="OI159" s="302"/>
      <c r="OJ159" s="302"/>
      <c r="OK159" s="302"/>
      <c r="OL159" s="302"/>
      <c r="OM159" s="302"/>
      <c r="ON159" s="302"/>
      <c r="OO159" s="302"/>
      <c r="OP159" s="302"/>
      <c r="OQ159" s="302"/>
      <c r="OR159" s="302"/>
      <c r="OS159" s="302"/>
      <c r="OT159" s="302"/>
      <c r="OU159" s="302"/>
      <c r="OV159" s="302"/>
      <c r="OW159" s="302"/>
      <c r="OX159" s="302"/>
      <c r="OY159" s="302"/>
      <c r="OZ159" s="302"/>
      <c r="PA159" s="302"/>
      <c r="PB159" s="302"/>
      <c r="PC159" s="302"/>
      <c r="PD159" s="302"/>
      <c r="PE159" s="302"/>
      <c r="PF159" s="302"/>
      <c r="PG159" s="302"/>
      <c r="PH159" s="302"/>
      <c r="PI159" s="302"/>
      <c r="PJ159" s="302"/>
      <c r="PK159" s="302"/>
      <c r="PL159" s="302"/>
      <c r="PM159" s="302"/>
      <c r="PN159" s="302"/>
      <c r="PO159" s="302"/>
      <c r="PP159" s="302"/>
      <c r="PQ159" s="302"/>
      <c r="PR159" s="302"/>
      <c r="PS159" s="302"/>
      <c r="PT159" s="302"/>
      <c r="PU159" s="302"/>
      <c r="PV159" s="302"/>
      <c r="PW159" s="302"/>
      <c r="PX159" s="302"/>
      <c r="PY159" s="302"/>
      <c r="PZ159" s="302"/>
      <c r="QA159" s="302"/>
      <c r="QB159" s="302"/>
      <c r="QC159" s="302"/>
      <c r="QD159" s="302"/>
      <c r="QE159" s="302"/>
      <c r="QF159" s="302"/>
      <c r="QG159" s="302"/>
      <c r="QH159" s="302"/>
      <c r="QI159" s="302"/>
      <c r="QJ159" s="302"/>
      <c r="QK159" s="302"/>
      <c r="QL159" s="302"/>
      <c r="QM159" s="302"/>
      <c r="QN159" s="302"/>
      <c r="QO159" s="302"/>
      <c r="QP159" s="302"/>
      <c r="QQ159" s="302"/>
      <c r="QR159" s="302"/>
      <c r="QS159" s="302"/>
      <c r="QT159" s="302"/>
      <c r="QU159" s="302"/>
      <c r="QV159" s="302"/>
      <c r="QW159" s="302"/>
      <c r="QX159" s="302"/>
      <c r="QY159" s="302"/>
      <c r="QZ159" s="302"/>
      <c r="RA159" s="302"/>
      <c r="RB159" s="302"/>
      <c r="RC159" s="302"/>
      <c r="RD159" s="302"/>
      <c r="RE159" s="302"/>
      <c r="RF159" s="302"/>
      <c r="RG159" s="302"/>
      <c r="RH159" s="302"/>
      <c r="RI159" s="302"/>
      <c r="RJ159" s="302"/>
      <c r="RK159" s="302"/>
      <c r="RL159" s="302"/>
      <c r="RM159" s="302"/>
      <c r="RN159" s="302"/>
      <c r="RO159" s="302"/>
      <c r="RP159" s="302"/>
      <c r="RQ159" s="302"/>
      <c r="RR159" s="302"/>
      <c r="RS159" s="302"/>
      <c r="RT159" s="302"/>
      <c r="RU159" s="302"/>
      <c r="RV159" s="302"/>
      <c r="RW159" s="302"/>
      <c r="RX159" s="302"/>
      <c r="RY159" s="302"/>
      <c r="RZ159" s="302"/>
      <c r="SA159" s="302"/>
      <c r="SB159" s="302"/>
      <c r="SC159" s="302"/>
      <c r="SD159" s="302"/>
      <c r="SE159" s="302"/>
      <c r="SF159" s="302"/>
      <c r="SG159" s="302"/>
      <c r="SH159" s="302"/>
      <c r="SI159" s="302"/>
      <c r="SJ159" s="302"/>
      <c r="SK159" s="302"/>
      <c r="SL159" s="302"/>
      <c r="SM159" s="302"/>
      <c r="SN159" s="302"/>
      <c r="SO159" s="302"/>
      <c r="SP159" s="302"/>
      <c r="SQ159" s="302"/>
      <c r="SR159" s="302"/>
      <c r="SS159" s="302"/>
      <c r="ST159" s="302"/>
      <c r="SU159" s="302"/>
      <c r="SV159" s="302"/>
      <c r="SW159" s="302"/>
      <c r="SX159" s="302"/>
      <c r="SY159" s="302"/>
      <c r="SZ159" s="302"/>
      <c r="TA159" s="302"/>
      <c r="TB159" s="302"/>
      <c r="TC159" s="302"/>
      <c r="TD159" s="302"/>
      <c r="TE159" s="302"/>
      <c r="TF159" s="302"/>
      <c r="TG159" s="302"/>
      <c r="TH159" s="302"/>
      <c r="TI159" s="302"/>
      <c r="TJ159" s="302"/>
      <c r="TK159" s="302"/>
      <c r="TL159" s="302"/>
      <c r="TM159" s="302"/>
      <c r="TN159" s="302"/>
      <c r="TO159" s="302"/>
      <c r="TP159" s="302"/>
      <c r="TQ159" s="302"/>
      <c r="TR159" s="302"/>
      <c r="TS159" s="302"/>
      <c r="TT159" s="302"/>
      <c r="TU159" s="302"/>
      <c r="TV159" s="302"/>
      <c r="TW159" s="302"/>
      <c r="TX159" s="302"/>
      <c r="TY159" s="302"/>
      <c r="TZ159" s="302"/>
      <c r="UA159" s="302"/>
      <c r="UB159" s="302"/>
      <c r="UC159" s="302"/>
      <c r="UD159" s="302"/>
      <c r="UE159" s="302"/>
      <c r="UF159" s="302"/>
      <c r="UG159" s="302"/>
      <c r="UH159" s="302"/>
      <c r="UI159" s="302"/>
      <c r="UJ159" s="302"/>
      <c r="UK159" s="302"/>
      <c r="UL159" s="302"/>
      <c r="UM159" s="302"/>
      <c r="UN159" s="302"/>
      <c r="UO159" s="302"/>
      <c r="UP159" s="302"/>
      <c r="UQ159" s="302"/>
      <c r="UR159" s="302"/>
      <c r="US159" s="302"/>
      <c r="UT159" s="302"/>
      <c r="UU159" s="302"/>
      <c r="UV159" s="302"/>
      <c r="UW159" s="302"/>
      <c r="UX159" s="302"/>
      <c r="UY159" s="302"/>
      <c r="UZ159" s="302"/>
      <c r="VA159" s="302"/>
      <c r="VB159" s="302"/>
      <c r="VC159" s="302"/>
      <c r="VD159" s="302"/>
      <c r="VE159" s="302"/>
      <c r="VF159" s="302"/>
      <c r="VG159" s="302"/>
      <c r="VH159" s="302"/>
      <c r="VI159" s="302"/>
      <c r="VJ159" s="302"/>
      <c r="VK159" s="302"/>
      <c r="VL159" s="302"/>
      <c r="VM159" s="302"/>
      <c r="VN159" s="302"/>
      <c r="VO159" s="302"/>
      <c r="VP159" s="302"/>
      <c r="VQ159" s="302"/>
      <c r="VR159" s="302"/>
      <c r="VS159" s="302"/>
      <c r="VT159" s="302"/>
      <c r="VU159" s="302"/>
      <c r="VV159" s="302"/>
      <c r="VW159" s="302"/>
      <c r="VX159" s="302"/>
      <c r="VY159" s="302"/>
      <c r="VZ159" s="302"/>
      <c r="WA159" s="302"/>
      <c r="WB159" s="302"/>
      <c r="WC159" s="302"/>
      <c r="WD159" s="302"/>
      <c r="WE159" s="302"/>
      <c r="WF159" s="302"/>
      <c r="WG159" s="302"/>
      <c r="WH159" s="302"/>
      <c r="WI159" s="302"/>
      <c r="WJ159" s="302"/>
      <c r="WK159" s="302"/>
      <c r="WL159" s="302"/>
      <c r="WM159" s="302"/>
      <c r="WN159" s="302"/>
      <c r="WO159" s="302"/>
      <c r="WP159" s="302"/>
      <c r="WQ159" s="302"/>
      <c r="WR159" s="302"/>
      <c r="WS159" s="302"/>
      <c r="WT159" s="302"/>
      <c r="WU159" s="302"/>
      <c r="WV159" s="302"/>
      <c r="WW159" s="302"/>
      <c r="WX159" s="302"/>
      <c r="WY159" s="302"/>
      <c r="WZ159" s="302"/>
      <c r="XA159" s="302"/>
      <c r="XB159" s="302"/>
      <c r="XC159" s="302"/>
      <c r="XD159" s="302"/>
      <c r="XE159" s="302"/>
      <c r="XF159" s="302"/>
      <c r="XG159" s="302"/>
      <c r="XH159" s="302"/>
      <c r="XI159" s="302"/>
      <c r="XJ159" s="302"/>
      <c r="XK159" s="302"/>
      <c r="XL159" s="302"/>
      <c r="XM159" s="302"/>
      <c r="XN159" s="302"/>
      <c r="XO159" s="302"/>
      <c r="XP159" s="302"/>
      <c r="XQ159" s="302"/>
      <c r="XR159" s="302"/>
      <c r="XS159" s="302"/>
      <c r="XT159" s="302"/>
      <c r="XU159" s="302"/>
      <c r="XV159" s="302"/>
      <c r="XW159" s="302"/>
      <c r="XX159" s="302"/>
      <c r="XY159" s="302"/>
      <c r="XZ159" s="302"/>
      <c r="YA159" s="302"/>
      <c r="YB159" s="302"/>
      <c r="YC159" s="302"/>
      <c r="YD159" s="302"/>
      <c r="YE159" s="302"/>
      <c r="YF159" s="302"/>
      <c r="YG159" s="302"/>
      <c r="YH159" s="302"/>
      <c r="YI159" s="302"/>
      <c r="YJ159" s="302"/>
      <c r="YK159" s="302"/>
      <c r="YL159" s="302"/>
      <c r="YM159" s="302"/>
      <c r="YN159" s="302"/>
      <c r="YO159" s="302"/>
      <c r="YP159" s="302"/>
      <c r="YQ159" s="302"/>
      <c r="YR159" s="302"/>
      <c r="YS159" s="302"/>
      <c r="YT159" s="302"/>
      <c r="YU159" s="302"/>
      <c r="YV159" s="302"/>
      <c r="YW159" s="302"/>
      <c r="YX159" s="302"/>
      <c r="YY159" s="302"/>
      <c r="YZ159" s="302"/>
      <c r="ZA159" s="302"/>
      <c r="ZB159" s="302"/>
      <c r="ZC159" s="302"/>
      <c r="ZD159" s="302"/>
      <c r="ZE159" s="302"/>
      <c r="ZF159" s="302"/>
      <c r="ZG159" s="302"/>
      <c r="ZH159" s="302"/>
      <c r="ZI159" s="302"/>
      <c r="ZJ159" s="302"/>
      <c r="ZK159" s="302"/>
      <c r="ZL159" s="302"/>
      <c r="ZM159" s="302"/>
      <c r="ZN159" s="302"/>
      <c r="ZO159" s="302"/>
      <c r="ZP159" s="302"/>
      <c r="ZQ159" s="302"/>
      <c r="ZR159" s="302"/>
      <c r="ZS159" s="302"/>
      <c r="ZT159" s="302"/>
      <c r="ZU159" s="302"/>
      <c r="ZV159" s="302"/>
      <c r="ZW159" s="302"/>
      <c r="ZX159" s="302"/>
      <c r="ZY159" s="302"/>
      <c r="ZZ159" s="302"/>
      <c r="AAA159" s="302"/>
      <c r="AAB159" s="302"/>
      <c r="AAC159" s="302"/>
      <c r="AAD159" s="302"/>
      <c r="AAE159" s="302"/>
      <c r="AAF159" s="302"/>
      <c r="AAG159" s="302"/>
      <c r="AAH159" s="302"/>
      <c r="AAI159" s="302"/>
      <c r="AAJ159" s="302"/>
      <c r="AAK159" s="302"/>
      <c r="AAL159" s="302"/>
      <c r="AAM159" s="302"/>
      <c r="AAN159" s="302"/>
      <c r="AAO159" s="302"/>
      <c r="AAP159" s="302"/>
      <c r="AAQ159" s="302"/>
      <c r="AAR159" s="302"/>
      <c r="AAS159" s="302"/>
      <c r="AAT159" s="302"/>
      <c r="AAU159" s="302"/>
      <c r="AAV159" s="302"/>
      <c r="AAW159" s="302"/>
      <c r="AAX159" s="302"/>
      <c r="AAY159" s="302"/>
      <c r="AAZ159" s="302"/>
      <c r="ABA159" s="302"/>
      <c r="ABB159" s="302"/>
      <c r="ABC159" s="302"/>
      <c r="ABD159" s="302"/>
      <c r="ABE159" s="302"/>
      <c r="ABF159" s="302"/>
      <c r="ABG159" s="302"/>
      <c r="ABH159" s="302"/>
      <c r="ABI159" s="302"/>
      <c r="ABJ159" s="302"/>
      <c r="ABK159" s="302"/>
      <c r="ABL159" s="302"/>
      <c r="ABM159" s="302"/>
      <c r="ABN159" s="302"/>
      <c r="ABO159" s="302"/>
      <c r="ABP159" s="302"/>
      <c r="ABQ159" s="302"/>
      <c r="ABR159" s="302"/>
      <c r="ABS159" s="302"/>
      <c r="ABT159" s="302"/>
      <c r="ABU159" s="302"/>
      <c r="ABV159" s="302"/>
      <c r="ABW159" s="302"/>
      <c r="ABX159" s="302"/>
      <c r="ABY159" s="302"/>
      <c r="ABZ159" s="302"/>
      <c r="ACA159" s="302"/>
      <c r="ACB159" s="302"/>
      <c r="ACC159" s="302"/>
      <c r="ACD159" s="302"/>
      <c r="ACE159" s="302"/>
      <c r="ACF159" s="302"/>
      <c r="ACG159" s="302"/>
      <c r="ACH159" s="302"/>
      <c r="ACI159" s="302"/>
      <c r="ACJ159" s="302"/>
      <c r="ACK159" s="302"/>
      <c r="ACL159" s="302"/>
      <c r="ACM159" s="302"/>
      <c r="ACN159" s="302"/>
      <c r="ACO159" s="302"/>
      <c r="ACP159" s="302"/>
      <c r="ACQ159" s="302"/>
      <c r="ACR159" s="302"/>
      <c r="ACS159" s="302"/>
      <c r="ACT159" s="302"/>
      <c r="ACU159" s="302"/>
      <c r="ACV159" s="302"/>
      <c r="ACW159" s="302"/>
      <c r="ACX159" s="302"/>
      <c r="ACY159" s="302"/>
      <c r="ACZ159" s="302"/>
      <c r="ADA159" s="302"/>
      <c r="ADB159" s="302"/>
      <c r="ADC159" s="302"/>
      <c r="ADD159" s="302"/>
      <c r="ADE159" s="302"/>
      <c r="ADF159" s="302"/>
      <c r="ADG159" s="302"/>
      <c r="ADH159" s="302"/>
      <c r="ADI159" s="302"/>
      <c r="ADJ159" s="302"/>
      <c r="ADK159" s="302"/>
      <c r="ADL159" s="302"/>
      <c r="ADM159" s="302"/>
      <c r="ADN159" s="302"/>
      <c r="ADO159" s="302"/>
      <c r="ADP159" s="302"/>
      <c r="ADQ159" s="302"/>
      <c r="ADR159" s="302"/>
      <c r="ADS159" s="302"/>
      <c r="ADT159" s="302"/>
      <c r="ADU159" s="302"/>
      <c r="ADV159" s="302"/>
      <c r="ADW159" s="302"/>
      <c r="ADX159" s="302"/>
      <c r="ADY159" s="302"/>
      <c r="ADZ159" s="302"/>
      <c r="AEA159" s="302"/>
      <c r="AEB159" s="302"/>
      <c r="AEC159" s="302"/>
      <c r="AED159" s="302"/>
      <c r="AEE159" s="302"/>
      <c r="AEF159" s="302"/>
      <c r="AEG159" s="302"/>
      <c r="AEH159" s="302"/>
      <c r="AEI159" s="302"/>
      <c r="AEJ159" s="302"/>
      <c r="AEK159" s="302"/>
      <c r="AEL159" s="302"/>
      <c r="AEM159" s="302"/>
      <c r="AEN159" s="302"/>
      <c r="AEO159" s="302"/>
      <c r="AEP159" s="302"/>
      <c r="AEQ159" s="302"/>
      <c r="AER159" s="302"/>
      <c r="AES159" s="302"/>
      <c r="AET159" s="302"/>
      <c r="AEU159" s="302"/>
      <c r="AEV159" s="302"/>
      <c r="AEW159" s="302"/>
      <c r="AEX159" s="302"/>
      <c r="AEY159" s="302"/>
      <c r="AEZ159" s="302"/>
      <c r="AFA159" s="302"/>
      <c r="AFB159" s="302"/>
      <c r="AFC159" s="302"/>
      <c r="AFD159" s="302"/>
      <c r="AFE159" s="302"/>
      <c r="AFF159" s="302"/>
      <c r="AFG159" s="302"/>
      <c r="AFH159" s="302"/>
      <c r="AFI159" s="302"/>
      <c r="AFJ159" s="302"/>
      <c r="AFK159" s="302"/>
      <c r="AFL159" s="302"/>
      <c r="AFM159" s="302"/>
      <c r="AFN159" s="302"/>
      <c r="AFO159" s="302"/>
      <c r="AFP159" s="302"/>
      <c r="AFQ159" s="302"/>
      <c r="AFR159" s="302"/>
      <c r="AFS159" s="302"/>
      <c r="AFT159" s="302"/>
      <c r="AFU159" s="302"/>
      <c r="AFV159" s="302"/>
      <c r="AFW159" s="302"/>
      <c r="AFX159" s="302"/>
      <c r="AFY159" s="302"/>
      <c r="AFZ159" s="302"/>
      <c r="AGA159" s="302"/>
      <c r="AGB159" s="302"/>
      <c r="AGC159" s="302"/>
      <c r="AGD159" s="302"/>
      <c r="AGE159" s="302"/>
      <c r="AGF159" s="302"/>
      <c r="AGG159" s="302"/>
      <c r="AGH159" s="302"/>
      <c r="AGI159" s="302"/>
      <c r="AGJ159" s="302"/>
      <c r="AGK159" s="302"/>
      <c r="AGL159" s="302"/>
      <c r="AGM159" s="302"/>
      <c r="AGN159" s="302"/>
      <c r="AGO159" s="302"/>
      <c r="AGP159" s="302"/>
      <c r="AGQ159" s="302"/>
      <c r="AGR159" s="302"/>
      <c r="AGS159" s="302"/>
      <c r="AGT159" s="302"/>
      <c r="AGU159" s="302"/>
      <c r="AGV159" s="302"/>
      <c r="AGW159" s="302"/>
      <c r="AGX159" s="302"/>
      <c r="AGY159" s="302"/>
      <c r="AGZ159" s="302"/>
      <c r="AHA159" s="302"/>
      <c r="AHB159" s="302"/>
      <c r="AHC159" s="302"/>
      <c r="AHD159" s="302"/>
      <c r="AHE159" s="302"/>
      <c r="AHF159" s="302"/>
      <c r="AHG159" s="302"/>
      <c r="AHH159" s="302"/>
      <c r="AHI159" s="302"/>
      <c r="AHJ159" s="302"/>
      <c r="AHK159" s="302"/>
      <c r="AHL159" s="302"/>
      <c r="AHM159" s="302"/>
      <c r="AHN159" s="302"/>
      <c r="AHO159" s="302"/>
      <c r="AHP159" s="302"/>
      <c r="AHQ159" s="302"/>
      <c r="AHR159" s="302"/>
      <c r="AHS159" s="302"/>
      <c r="AHT159" s="302"/>
      <c r="AHU159" s="302"/>
      <c r="AHV159" s="302"/>
      <c r="AHW159" s="302"/>
      <c r="AHX159" s="302"/>
      <c r="AHY159" s="302"/>
      <c r="AHZ159" s="302"/>
      <c r="AIA159" s="302"/>
      <c r="AIB159" s="302"/>
      <c r="AIC159" s="302"/>
      <c r="AID159" s="302"/>
      <c r="AIE159" s="302"/>
      <c r="AIF159" s="302"/>
      <c r="AIG159" s="302"/>
      <c r="AIH159" s="302"/>
      <c r="AII159" s="302"/>
      <c r="AIJ159" s="302"/>
      <c r="AIK159" s="302"/>
      <c r="AIL159" s="302"/>
      <c r="AIM159" s="302"/>
      <c r="AIN159" s="302"/>
      <c r="AIO159" s="302"/>
      <c r="AIP159" s="302"/>
      <c r="AIQ159" s="302"/>
      <c r="AIR159" s="302"/>
      <c r="AIS159" s="302"/>
      <c r="AIT159" s="302"/>
      <c r="AIU159" s="302"/>
      <c r="AIV159" s="302"/>
      <c r="AIW159" s="302"/>
      <c r="AIX159" s="302"/>
      <c r="AIY159" s="302"/>
      <c r="AIZ159" s="302"/>
      <c r="AJA159" s="302"/>
      <c r="AJB159" s="302"/>
      <c r="AJC159" s="302"/>
      <c r="AJD159" s="302"/>
      <c r="AJE159" s="302"/>
      <c r="AJF159" s="302"/>
      <c r="AJG159" s="302"/>
      <c r="AJH159" s="302"/>
      <c r="AJI159" s="302"/>
      <c r="AJJ159" s="302"/>
      <c r="AJK159" s="302"/>
      <c r="AJL159" s="302"/>
      <c r="AJM159" s="302"/>
      <c r="AJN159" s="302"/>
      <c r="AJO159" s="302"/>
      <c r="AJP159" s="302"/>
      <c r="AJQ159" s="302"/>
      <c r="AJR159" s="302"/>
      <c r="AJS159" s="302"/>
      <c r="AJT159" s="302"/>
      <c r="AJU159" s="302"/>
      <c r="AJV159" s="302"/>
      <c r="AJW159" s="302"/>
      <c r="AJX159" s="302"/>
      <c r="AJY159" s="302"/>
      <c r="AJZ159" s="302"/>
      <c r="AKA159" s="302"/>
      <c r="AKB159" s="302"/>
      <c r="AKC159" s="302"/>
      <c r="AKD159" s="302"/>
      <c r="AKE159" s="302"/>
      <c r="AKF159" s="302"/>
      <c r="AKG159" s="302"/>
      <c r="AKH159" s="302"/>
      <c r="AKI159" s="302"/>
      <c r="AKJ159" s="302"/>
      <c r="AKK159" s="302"/>
      <c r="AKL159" s="302"/>
      <c r="AKM159" s="302"/>
      <c r="AKN159" s="302"/>
      <c r="AKO159" s="302"/>
      <c r="AKP159" s="302"/>
      <c r="AKQ159" s="302"/>
      <c r="AKR159" s="302"/>
      <c r="AKS159" s="302"/>
      <c r="AKT159" s="302"/>
      <c r="AKU159" s="302"/>
      <c r="AKV159" s="302"/>
      <c r="AKW159" s="302"/>
      <c r="AKX159" s="302"/>
      <c r="AKY159" s="302"/>
      <c r="AKZ159" s="302"/>
      <c r="ALA159" s="302"/>
      <c r="ALB159" s="302"/>
      <c r="ALC159" s="302"/>
      <c r="ALD159" s="302"/>
      <c r="ALE159" s="302"/>
      <c r="ALF159" s="302"/>
      <c r="ALG159" s="302"/>
      <c r="ALH159" s="302"/>
      <c r="ALI159" s="302"/>
      <c r="ALJ159" s="302"/>
      <c r="ALK159" s="302"/>
      <c r="ALL159" s="302"/>
      <c r="ALM159" s="302"/>
      <c r="ALN159" s="302"/>
      <c r="ALO159" s="302"/>
      <c r="ALP159" s="302"/>
      <c r="ALQ159" s="302"/>
      <c r="ALR159" s="302"/>
      <c r="ALS159" s="302"/>
      <c r="ALT159" s="302"/>
      <c r="ALU159" s="302"/>
      <c r="ALV159" s="302"/>
      <c r="ALW159" s="302"/>
      <c r="ALX159" s="302"/>
      <c r="ALY159" s="302"/>
      <c r="ALZ159" s="302"/>
      <c r="AMA159" s="302"/>
      <c r="AMB159" s="302"/>
      <c r="AMC159" s="302"/>
      <c r="AMD159" s="302"/>
      <c r="AME159" s="302"/>
      <c r="AMF159" s="302"/>
      <c r="AMG159" s="302"/>
      <c r="AMH159" s="302"/>
      <c r="AMI159" s="302"/>
    </row>
    <row r="160" spans="1:1023" hidden="1">
      <c r="A160" s="302"/>
      <c r="B160" s="65">
        <v>13709</v>
      </c>
      <c r="C160" s="22">
        <v>0.08</v>
      </c>
      <c r="D160" s="16" t="s">
        <v>402</v>
      </c>
      <c r="E160" s="12">
        <v>3100000</v>
      </c>
      <c r="F160" s="365">
        <v>0.02</v>
      </c>
      <c r="G160" s="364">
        <f>E160*F160</f>
        <v>62000</v>
      </c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2"/>
      <c r="AE160" s="302"/>
      <c r="AF160" s="302"/>
      <c r="AG160" s="302"/>
      <c r="AH160" s="302"/>
      <c r="AI160" s="302"/>
      <c r="AJ160" s="302"/>
      <c r="AK160" s="302"/>
      <c r="AL160" s="302"/>
      <c r="AM160" s="302"/>
      <c r="AN160" s="302"/>
      <c r="AO160" s="302"/>
      <c r="AP160" s="302"/>
      <c r="AQ160" s="302"/>
      <c r="AR160" s="302"/>
      <c r="AS160" s="302"/>
      <c r="AT160" s="302"/>
      <c r="AU160" s="302"/>
      <c r="AV160" s="302"/>
      <c r="AW160" s="302"/>
      <c r="AX160" s="302"/>
      <c r="AY160" s="302"/>
      <c r="AZ160" s="302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K160" s="302"/>
      <c r="BL160" s="302"/>
      <c r="BM160" s="302"/>
      <c r="BN160" s="302"/>
      <c r="BO160" s="302"/>
      <c r="BP160" s="302"/>
      <c r="BQ160" s="302"/>
      <c r="BR160" s="302"/>
      <c r="BS160" s="302"/>
      <c r="BT160" s="302"/>
      <c r="BU160" s="302"/>
      <c r="BV160" s="302"/>
      <c r="BW160" s="302"/>
      <c r="BX160" s="302"/>
      <c r="BY160" s="302"/>
      <c r="BZ160" s="302"/>
      <c r="CA160" s="302"/>
      <c r="CB160" s="302"/>
      <c r="CC160" s="302"/>
      <c r="CD160" s="302"/>
      <c r="CE160" s="302"/>
      <c r="CF160" s="302"/>
      <c r="CG160" s="302"/>
      <c r="CH160" s="302"/>
      <c r="CI160" s="302"/>
      <c r="CJ160" s="302"/>
      <c r="CK160" s="302"/>
      <c r="CL160" s="302"/>
      <c r="CM160" s="302"/>
      <c r="CN160" s="302"/>
      <c r="CO160" s="302"/>
      <c r="CP160" s="302"/>
      <c r="CQ160" s="302"/>
      <c r="CR160" s="302"/>
      <c r="CS160" s="302"/>
      <c r="CT160" s="302"/>
      <c r="CU160" s="302"/>
      <c r="CV160" s="302"/>
      <c r="CW160" s="302"/>
      <c r="CX160" s="302"/>
      <c r="CY160" s="302"/>
      <c r="CZ160" s="302"/>
      <c r="DA160" s="302"/>
      <c r="DB160" s="302"/>
      <c r="DC160" s="302"/>
      <c r="DD160" s="302"/>
      <c r="DE160" s="302"/>
      <c r="DF160" s="302"/>
      <c r="DG160" s="302"/>
      <c r="DH160" s="302"/>
      <c r="DI160" s="302"/>
      <c r="DJ160" s="302"/>
      <c r="DK160" s="302"/>
      <c r="DL160" s="302"/>
      <c r="DM160" s="302"/>
      <c r="DN160" s="302"/>
      <c r="DO160" s="302"/>
      <c r="DP160" s="302"/>
      <c r="DQ160" s="302"/>
      <c r="DR160" s="302"/>
      <c r="DS160" s="302"/>
      <c r="DT160" s="302"/>
      <c r="DU160" s="302"/>
      <c r="DV160" s="302"/>
      <c r="DW160" s="302"/>
      <c r="DX160" s="302"/>
      <c r="DY160" s="302"/>
      <c r="DZ160" s="302"/>
      <c r="EA160" s="302"/>
      <c r="EB160" s="302"/>
      <c r="EC160" s="302"/>
      <c r="ED160" s="302"/>
      <c r="EE160" s="302"/>
      <c r="EF160" s="302"/>
      <c r="EG160" s="302"/>
      <c r="EH160" s="302"/>
      <c r="EI160" s="302"/>
      <c r="EJ160" s="302"/>
      <c r="EK160" s="302"/>
      <c r="EL160" s="302"/>
      <c r="EM160" s="302"/>
      <c r="EN160" s="302"/>
      <c r="EO160" s="302"/>
      <c r="EP160" s="302"/>
      <c r="EQ160" s="302"/>
      <c r="ER160" s="302"/>
      <c r="ES160" s="302"/>
      <c r="ET160" s="302"/>
      <c r="EU160" s="302"/>
      <c r="EV160" s="302"/>
      <c r="EW160" s="302"/>
      <c r="EX160" s="302"/>
      <c r="EY160" s="302"/>
      <c r="EZ160" s="302"/>
      <c r="FA160" s="302"/>
      <c r="FB160" s="302"/>
      <c r="FC160" s="302"/>
      <c r="FD160" s="302"/>
      <c r="FE160" s="302"/>
      <c r="FF160" s="302"/>
      <c r="FG160" s="302"/>
      <c r="FH160" s="302"/>
      <c r="FI160" s="302"/>
      <c r="FJ160" s="302"/>
      <c r="FK160" s="302"/>
      <c r="FL160" s="302"/>
      <c r="FM160" s="302"/>
      <c r="FN160" s="302"/>
      <c r="FO160" s="302"/>
      <c r="FP160" s="302"/>
      <c r="FQ160" s="302"/>
      <c r="FR160" s="302"/>
      <c r="FS160" s="302"/>
      <c r="FT160" s="302"/>
      <c r="FU160" s="302"/>
      <c r="FV160" s="302"/>
      <c r="FW160" s="302"/>
      <c r="FX160" s="302"/>
      <c r="FY160" s="302"/>
      <c r="FZ160" s="302"/>
      <c r="GA160" s="302"/>
      <c r="GB160" s="302"/>
      <c r="GC160" s="302"/>
      <c r="GD160" s="302"/>
      <c r="GE160" s="302"/>
      <c r="GF160" s="302"/>
      <c r="GG160" s="302"/>
      <c r="GH160" s="302"/>
      <c r="GI160" s="302"/>
      <c r="GJ160" s="302"/>
      <c r="GK160" s="302"/>
      <c r="GL160" s="302"/>
      <c r="GM160" s="302"/>
      <c r="GN160" s="302"/>
      <c r="GO160" s="302"/>
      <c r="GP160" s="302"/>
      <c r="GQ160" s="302"/>
      <c r="GR160" s="302"/>
      <c r="GS160" s="302"/>
      <c r="GT160" s="302"/>
      <c r="GU160" s="302"/>
      <c r="GV160" s="302"/>
      <c r="GW160" s="302"/>
      <c r="GX160" s="302"/>
      <c r="GY160" s="302"/>
      <c r="GZ160" s="302"/>
      <c r="HA160" s="302"/>
      <c r="HB160" s="302"/>
      <c r="HC160" s="302"/>
      <c r="HD160" s="302"/>
      <c r="HE160" s="302"/>
      <c r="HF160" s="302"/>
      <c r="HG160" s="302"/>
      <c r="HH160" s="302"/>
      <c r="HI160" s="302"/>
      <c r="HJ160" s="302"/>
      <c r="HK160" s="302"/>
      <c r="HL160" s="302"/>
      <c r="HM160" s="302"/>
      <c r="HN160" s="302"/>
      <c r="HO160" s="302"/>
      <c r="HP160" s="302"/>
      <c r="HQ160" s="302"/>
      <c r="HR160" s="302"/>
      <c r="HS160" s="302"/>
      <c r="HT160" s="302"/>
      <c r="HU160" s="302"/>
      <c r="HV160" s="302"/>
      <c r="HW160" s="302"/>
      <c r="HX160" s="302"/>
      <c r="HY160" s="302"/>
      <c r="HZ160" s="302"/>
      <c r="IA160" s="302"/>
      <c r="IB160" s="302"/>
      <c r="IC160" s="302"/>
      <c r="ID160" s="302"/>
      <c r="IE160" s="302"/>
      <c r="IF160" s="302"/>
      <c r="IG160" s="302"/>
      <c r="IH160" s="302"/>
      <c r="II160" s="302"/>
      <c r="IJ160" s="302"/>
      <c r="IK160" s="302"/>
      <c r="IL160" s="302"/>
      <c r="IM160" s="302"/>
      <c r="IN160" s="302"/>
      <c r="IO160" s="302"/>
      <c r="IP160" s="302"/>
      <c r="IQ160" s="302"/>
      <c r="IR160" s="302"/>
      <c r="IS160" s="302"/>
      <c r="IT160" s="302"/>
      <c r="IU160" s="302"/>
      <c r="IV160" s="302"/>
      <c r="IW160" s="302"/>
      <c r="IX160" s="302"/>
      <c r="IY160" s="302"/>
      <c r="IZ160" s="302"/>
      <c r="JA160" s="302"/>
      <c r="JB160" s="302"/>
      <c r="JC160" s="302"/>
      <c r="JD160" s="302"/>
      <c r="JE160" s="302"/>
      <c r="JF160" s="302"/>
      <c r="JG160" s="302"/>
      <c r="JH160" s="302"/>
      <c r="JI160" s="302"/>
      <c r="JJ160" s="302"/>
      <c r="JK160" s="302"/>
      <c r="JL160" s="302"/>
      <c r="JM160" s="302"/>
      <c r="JN160" s="302"/>
      <c r="JO160" s="302"/>
      <c r="JP160" s="302"/>
      <c r="JQ160" s="302"/>
      <c r="JR160" s="302"/>
      <c r="JS160" s="302"/>
      <c r="JT160" s="302"/>
      <c r="JU160" s="302"/>
      <c r="JV160" s="302"/>
      <c r="JW160" s="302"/>
      <c r="JX160" s="302"/>
      <c r="JY160" s="302"/>
      <c r="JZ160" s="302"/>
      <c r="KA160" s="302"/>
      <c r="KB160" s="302"/>
      <c r="KC160" s="302"/>
      <c r="KD160" s="302"/>
      <c r="KE160" s="302"/>
      <c r="KF160" s="302"/>
      <c r="KG160" s="302"/>
      <c r="KH160" s="302"/>
      <c r="KI160" s="302"/>
      <c r="KJ160" s="302"/>
      <c r="KK160" s="302"/>
      <c r="KL160" s="302"/>
      <c r="KM160" s="302"/>
      <c r="KN160" s="302"/>
      <c r="KO160" s="302"/>
      <c r="KP160" s="302"/>
      <c r="KQ160" s="302"/>
      <c r="KR160" s="302"/>
      <c r="KS160" s="302"/>
      <c r="KT160" s="302"/>
      <c r="KU160" s="302"/>
      <c r="KV160" s="302"/>
      <c r="KW160" s="302"/>
      <c r="KX160" s="302"/>
      <c r="KY160" s="302"/>
      <c r="KZ160" s="302"/>
      <c r="LA160" s="302"/>
      <c r="LB160" s="302"/>
      <c r="LC160" s="302"/>
      <c r="LD160" s="302"/>
      <c r="LE160" s="302"/>
      <c r="LF160" s="302"/>
      <c r="LG160" s="302"/>
      <c r="LH160" s="302"/>
      <c r="LI160" s="302"/>
      <c r="LJ160" s="302"/>
      <c r="LK160" s="302"/>
      <c r="LL160" s="302"/>
      <c r="LM160" s="302"/>
      <c r="LN160" s="302"/>
      <c r="LO160" s="302"/>
      <c r="LP160" s="302"/>
      <c r="LQ160" s="302"/>
      <c r="LR160" s="302"/>
      <c r="LS160" s="302"/>
      <c r="LT160" s="302"/>
      <c r="LU160" s="302"/>
      <c r="LV160" s="302"/>
      <c r="LW160" s="302"/>
      <c r="LX160" s="302"/>
      <c r="LY160" s="302"/>
      <c r="LZ160" s="302"/>
      <c r="MA160" s="302"/>
      <c r="MB160" s="302"/>
      <c r="MC160" s="302"/>
      <c r="MD160" s="302"/>
      <c r="ME160" s="302"/>
      <c r="MF160" s="302"/>
      <c r="MG160" s="302"/>
      <c r="MH160" s="302"/>
      <c r="MI160" s="302"/>
      <c r="MJ160" s="302"/>
      <c r="MK160" s="302"/>
      <c r="ML160" s="302"/>
      <c r="MM160" s="302"/>
      <c r="MN160" s="302"/>
      <c r="MO160" s="302"/>
      <c r="MP160" s="302"/>
      <c r="MQ160" s="302"/>
      <c r="MR160" s="302"/>
      <c r="MS160" s="302"/>
      <c r="MT160" s="302"/>
      <c r="MU160" s="302"/>
      <c r="MV160" s="302"/>
      <c r="MW160" s="302"/>
      <c r="MX160" s="302"/>
      <c r="MY160" s="302"/>
      <c r="MZ160" s="302"/>
      <c r="NA160" s="302"/>
      <c r="NB160" s="302"/>
      <c r="NC160" s="302"/>
      <c r="ND160" s="302"/>
      <c r="NE160" s="302"/>
      <c r="NF160" s="302"/>
      <c r="NG160" s="302"/>
      <c r="NH160" s="302"/>
      <c r="NI160" s="302"/>
      <c r="NJ160" s="302"/>
      <c r="NK160" s="302"/>
      <c r="NL160" s="302"/>
      <c r="NM160" s="302"/>
      <c r="NN160" s="302"/>
      <c r="NO160" s="302"/>
      <c r="NP160" s="302"/>
      <c r="NQ160" s="302"/>
      <c r="NR160" s="302"/>
      <c r="NS160" s="302"/>
      <c r="NT160" s="302"/>
      <c r="NU160" s="302"/>
      <c r="NV160" s="302"/>
      <c r="NW160" s="302"/>
      <c r="NX160" s="302"/>
      <c r="NY160" s="302"/>
      <c r="NZ160" s="302"/>
      <c r="OA160" s="302"/>
      <c r="OB160" s="302"/>
      <c r="OC160" s="302"/>
      <c r="OD160" s="302"/>
      <c r="OE160" s="302"/>
      <c r="OF160" s="302"/>
      <c r="OG160" s="302"/>
      <c r="OH160" s="302"/>
      <c r="OI160" s="302"/>
      <c r="OJ160" s="302"/>
      <c r="OK160" s="302"/>
      <c r="OL160" s="302"/>
      <c r="OM160" s="302"/>
      <c r="ON160" s="302"/>
      <c r="OO160" s="302"/>
      <c r="OP160" s="302"/>
      <c r="OQ160" s="302"/>
      <c r="OR160" s="302"/>
      <c r="OS160" s="302"/>
      <c r="OT160" s="302"/>
      <c r="OU160" s="302"/>
      <c r="OV160" s="302"/>
      <c r="OW160" s="302"/>
      <c r="OX160" s="302"/>
      <c r="OY160" s="302"/>
      <c r="OZ160" s="302"/>
      <c r="PA160" s="302"/>
      <c r="PB160" s="302"/>
      <c r="PC160" s="302"/>
      <c r="PD160" s="302"/>
      <c r="PE160" s="302"/>
      <c r="PF160" s="302"/>
      <c r="PG160" s="302"/>
      <c r="PH160" s="302"/>
      <c r="PI160" s="302"/>
      <c r="PJ160" s="302"/>
      <c r="PK160" s="302"/>
      <c r="PL160" s="302"/>
      <c r="PM160" s="302"/>
      <c r="PN160" s="302"/>
      <c r="PO160" s="302"/>
      <c r="PP160" s="302"/>
      <c r="PQ160" s="302"/>
      <c r="PR160" s="302"/>
      <c r="PS160" s="302"/>
      <c r="PT160" s="302"/>
      <c r="PU160" s="302"/>
      <c r="PV160" s="302"/>
      <c r="PW160" s="302"/>
      <c r="PX160" s="302"/>
      <c r="PY160" s="302"/>
      <c r="PZ160" s="302"/>
      <c r="QA160" s="302"/>
      <c r="QB160" s="302"/>
      <c r="QC160" s="302"/>
      <c r="QD160" s="302"/>
      <c r="QE160" s="302"/>
      <c r="QF160" s="302"/>
      <c r="QG160" s="302"/>
      <c r="QH160" s="302"/>
      <c r="QI160" s="302"/>
      <c r="QJ160" s="302"/>
      <c r="QK160" s="302"/>
      <c r="QL160" s="302"/>
      <c r="QM160" s="302"/>
      <c r="QN160" s="302"/>
      <c r="QO160" s="302"/>
      <c r="QP160" s="302"/>
      <c r="QQ160" s="302"/>
      <c r="QR160" s="302"/>
      <c r="QS160" s="302"/>
      <c r="QT160" s="302"/>
      <c r="QU160" s="302"/>
      <c r="QV160" s="302"/>
      <c r="QW160" s="302"/>
      <c r="QX160" s="302"/>
      <c r="QY160" s="302"/>
      <c r="QZ160" s="302"/>
      <c r="RA160" s="302"/>
      <c r="RB160" s="302"/>
      <c r="RC160" s="302"/>
      <c r="RD160" s="302"/>
      <c r="RE160" s="302"/>
      <c r="RF160" s="302"/>
      <c r="RG160" s="302"/>
      <c r="RH160" s="302"/>
      <c r="RI160" s="302"/>
      <c r="RJ160" s="302"/>
      <c r="RK160" s="302"/>
      <c r="RL160" s="302"/>
      <c r="RM160" s="302"/>
      <c r="RN160" s="302"/>
      <c r="RO160" s="302"/>
      <c r="RP160" s="302"/>
      <c r="RQ160" s="302"/>
      <c r="RR160" s="302"/>
      <c r="RS160" s="302"/>
      <c r="RT160" s="302"/>
      <c r="RU160" s="302"/>
      <c r="RV160" s="302"/>
      <c r="RW160" s="302"/>
      <c r="RX160" s="302"/>
      <c r="RY160" s="302"/>
      <c r="RZ160" s="302"/>
      <c r="SA160" s="302"/>
      <c r="SB160" s="302"/>
      <c r="SC160" s="302"/>
      <c r="SD160" s="302"/>
      <c r="SE160" s="302"/>
      <c r="SF160" s="302"/>
      <c r="SG160" s="302"/>
      <c r="SH160" s="302"/>
      <c r="SI160" s="302"/>
      <c r="SJ160" s="302"/>
      <c r="SK160" s="302"/>
      <c r="SL160" s="302"/>
      <c r="SM160" s="302"/>
      <c r="SN160" s="302"/>
      <c r="SO160" s="302"/>
      <c r="SP160" s="302"/>
      <c r="SQ160" s="302"/>
      <c r="SR160" s="302"/>
      <c r="SS160" s="302"/>
      <c r="ST160" s="302"/>
      <c r="SU160" s="302"/>
      <c r="SV160" s="302"/>
      <c r="SW160" s="302"/>
      <c r="SX160" s="302"/>
      <c r="SY160" s="302"/>
      <c r="SZ160" s="302"/>
      <c r="TA160" s="302"/>
      <c r="TB160" s="302"/>
      <c r="TC160" s="302"/>
      <c r="TD160" s="302"/>
      <c r="TE160" s="302"/>
      <c r="TF160" s="302"/>
      <c r="TG160" s="302"/>
      <c r="TH160" s="302"/>
      <c r="TI160" s="302"/>
      <c r="TJ160" s="302"/>
      <c r="TK160" s="302"/>
      <c r="TL160" s="302"/>
      <c r="TM160" s="302"/>
      <c r="TN160" s="302"/>
      <c r="TO160" s="302"/>
      <c r="TP160" s="302"/>
      <c r="TQ160" s="302"/>
      <c r="TR160" s="302"/>
      <c r="TS160" s="302"/>
      <c r="TT160" s="302"/>
      <c r="TU160" s="302"/>
      <c r="TV160" s="302"/>
      <c r="TW160" s="302"/>
      <c r="TX160" s="302"/>
      <c r="TY160" s="302"/>
      <c r="TZ160" s="302"/>
      <c r="UA160" s="302"/>
      <c r="UB160" s="302"/>
      <c r="UC160" s="302"/>
      <c r="UD160" s="302"/>
      <c r="UE160" s="302"/>
      <c r="UF160" s="302"/>
      <c r="UG160" s="302"/>
      <c r="UH160" s="302"/>
      <c r="UI160" s="302"/>
      <c r="UJ160" s="302"/>
      <c r="UK160" s="302"/>
      <c r="UL160" s="302"/>
      <c r="UM160" s="302"/>
      <c r="UN160" s="302"/>
      <c r="UO160" s="302"/>
      <c r="UP160" s="302"/>
      <c r="UQ160" s="302"/>
      <c r="UR160" s="302"/>
      <c r="US160" s="302"/>
      <c r="UT160" s="302"/>
      <c r="UU160" s="302"/>
      <c r="UV160" s="302"/>
      <c r="UW160" s="302"/>
      <c r="UX160" s="302"/>
      <c r="UY160" s="302"/>
      <c r="UZ160" s="302"/>
      <c r="VA160" s="302"/>
      <c r="VB160" s="302"/>
      <c r="VC160" s="302"/>
      <c r="VD160" s="302"/>
      <c r="VE160" s="302"/>
      <c r="VF160" s="302"/>
      <c r="VG160" s="302"/>
      <c r="VH160" s="302"/>
      <c r="VI160" s="302"/>
      <c r="VJ160" s="302"/>
      <c r="VK160" s="302"/>
      <c r="VL160" s="302"/>
      <c r="VM160" s="302"/>
      <c r="VN160" s="302"/>
      <c r="VO160" s="302"/>
      <c r="VP160" s="302"/>
      <c r="VQ160" s="302"/>
      <c r="VR160" s="302"/>
      <c r="VS160" s="302"/>
      <c r="VT160" s="302"/>
      <c r="VU160" s="302"/>
      <c r="VV160" s="302"/>
      <c r="VW160" s="302"/>
      <c r="VX160" s="302"/>
      <c r="VY160" s="302"/>
      <c r="VZ160" s="302"/>
      <c r="WA160" s="302"/>
      <c r="WB160" s="302"/>
      <c r="WC160" s="302"/>
      <c r="WD160" s="302"/>
      <c r="WE160" s="302"/>
      <c r="WF160" s="302"/>
      <c r="WG160" s="302"/>
      <c r="WH160" s="302"/>
      <c r="WI160" s="302"/>
      <c r="WJ160" s="302"/>
      <c r="WK160" s="302"/>
      <c r="WL160" s="302"/>
      <c r="WM160" s="302"/>
      <c r="WN160" s="302"/>
      <c r="WO160" s="302"/>
      <c r="WP160" s="302"/>
      <c r="WQ160" s="302"/>
      <c r="WR160" s="302"/>
      <c r="WS160" s="302"/>
      <c r="WT160" s="302"/>
      <c r="WU160" s="302"/>
      <c r="WV160" s="302"/>
      <c r="WW160" s="302"/>
      <c r="WX160" s="302"/>
      <c r="WY160" s="302"/>
      <c r="WZ160" s="302"/>
      <c r="XA160" s="302"/>
      <c r="XB160" s="302"/>
      <c r="XC160" s="302"/>
      <c r="XD160" s="302"/>
      <c r="XE160" s="302"/>
      <c r="XF160" s="302"/>
      <c r="XG160" s="302"/>
      <c r="XH160" s="302"/>
      <c r="XI160" s="302"/>
      <c r="XJ160" s="302"/>
      <c r="XK160" s="302"/>
      <c r="XL160" s="302"/>
      <c r="XM160" s="302"/>
      <c r="XN160" s="302"/>
      <c r="XO160" s="302"/>
      <c r="XP160" s="302"/>
      <c r="XQ160" s="302"/>
      <c r="XR160" s="302"/>
      <c r="XS160" s="302"/>
      <c r="XT160" s="302"/>
      <c r="XU160" s="302"/>
      <c r="XV160" s="302"/>
      <c r="XW160" s="302"/>
      <c r="XX160" s="302"/>
      <c r="XY160" s="302"/>
      <c r="XZ160" s="302"/>
      <c r="YA160" s="302"/>
      <c r="YB160" s="302"/>
      <c r="YC160" s="302"/>
      <c r="YD160" s="302"/>
      <c r="YE160" s="302"/>
      <c r="YF160" s="302"/>
      <c r="YG160" s="302"/>
      <c r="YH160" s="302"/>
      <c r="YI160" s="302"/>
      <c r="YJ160" s="302"/>
      <c r="YK160" s="302"/>
      <c r="YL160" s="302"/>
      <c r="YM160" s="302"/>
      <c r="YN160" s="302"/>
      <c r="YO160" s="302"/>
      <c r="YP160" s="302"/>
      <c r="YQ160" s="302"/>
      <c r="YR160" s="302"/>
      <c r="YS160" s="302"/>
      <c r="YT160" s="302"/>
      <c r="YU160" s="302"/>
      <c r="YV160" s="302"/>
      <c r="YW160" s="302"/>
      <c r="YX160" s="302"/>
      <c r="YY160" s="302"/>
      <c r="YZ160" s="302"/>
      <c r="ZA160" s="302"/>
      <c r="ZB160" s="302"/>
      <c r="ZC160" s="302"/>
      <c r="ZD160" s="302"/>
      <c r="ZE160" s="302"/>
      <c r="ZF160" s="302"/>
      <c r="ZG160" s="302"/>
      <c r="ZH160" s="302"/>
      <c r="ZI160" s="302"/>
      <c r="ZJ160" s="302"/>
      <c r="ZK160" s="302"/>
      <c r="ZL160" s="302"/>
      <c r="ZM160" s="302"/>
      <c r="ZN160" s="302"/>
      <c r="ZO160" s="302"/>
      <c r="ZP160" s="302"/>
      <c r="ZQ160" s="302"/>
      <c r="ZR160" s="302"/>
      <c r="ZS160" s="302"/>
      <c r="ZT160" s="302"/>
      <c r="ZU160" s="302"/>
      <c r="ZV160" s="302"/>
      <c r="ZW160" s="302"/>
      <c r="ZX160" s="302"/>
      <c r="ZY160" s="302"/>
      <c r="ZZ160" s="302"/>
      <c r="AAA160" s="302"/>
      <c r="AAB160" s="302"/>
      <c r="AAC160" s="302"/>
      <c r="AAD160" s="302"/>
      <c r="AAE160" s="302"/>
      <c r="AAF160" s="302"/>
      <c r="AAG160" s="302"/>
      <c r="AAH160" s="302"/>
      <c r="AAI160" s="302"/>
      <c r="AAJ160" s="302"/>
      <c r="AAK160" s="302"/>
      <c r="AAL160" s="302"/>
      <c r="AAM160" s="302"/>
      <c r="AAN160" s="302"/>
      <c r="AAO160" s="302"/>
      <c r="AAP160" s="302"/>
      <c r="AAQ160" s="302"/>
      <c r="AAR160" s="302"/>
      <c r="AAS160" s="302"/>
      <c r="AAT160" s="302"/>
      <c r="AAU160" s="302"/>
      <c r="AAV160" s="302"/>
      <c r="AAW160" s="302"/>
      <c r="AAX160" s="302"/>
      <c r="AAY160" s="302"/>
      <c r="AAZ160" s="302"/>
      <c r="ABA160" s="302"/>
      <c r="ABB160" s="302"/>
      <c r="ABC160" s="302"/>
      <c r="ABD160" s="302"/>
      <c r="ABE160" s="302"/>
      <c r="ABF160" s="302"/>
      <c r="ABG160" s="302"/>
      <c r="ABH160" s="302"/>
      <c r="ABI160" s="302"/>
      <c r="ABJ160" s="302"/>
      <c r="ABK160" s="302"/>
      <c r="ABL160" s="302"/>
      <c r="ABM160" s="302"/>
      <c r="ABN160" s="302"/>
      <c r="ABO160" s="302"/>
      <c r="ABP160" s="302"/>
      <c r="ABQ160" s="302"/>
      <c r="ABR160" s="302"/>
      <c r="ABS160" s="302"/>
      <c r="ABT160" s="302"/>
      <c r="ABU160" s="302"/>
      <c r="ABV160" s="302"/>
      <c r="ABW160" s="302"/>
      <c r="ABX160" s="302"/>
      <c r="ABY160" s="302"/>
      <c r="ABZ160" s="302"/>
      <c r="ACA160" s="302"/>
      <c r="ACB160" s="302"/>
      <c r="ACC160" s="302"/>
      <c r="ACD160" s="302"/>
      <c r="ACE160" s="302"/>
      <c r="ACF160" s="302"/>
      <c r="ACG160" s="302"/>
      <c r="ACH160" s="302"/>
      <c r="ACI160" s="302"/>
      <c r="ACJ160" s="302"/>
      <c r="ACK160" s="302"/>
      <c r="ACL160" s="302"/>
      <c r="ACM160" s="302"/>
      <c r="ACN160" s="302"/>
      <c r="ACO160" s="302"/>
      <c r="ACP160" s="302"/>
      <c r="ACQ160" s="302"/>
      <c r="ACR160" s="302"/>
      <c r="ACS160" s="302"/>
      <c r="ACT160" s="302"/>
      <c r="ACU160" s="302"/>
      <c r="ACV160" s="302"/>
      <c r="ACW160" s="302"/>
      <c r="ACX160" s="302"/>
      <c r="ACY160" s="302"/>
      <c r="ACZ160" s="302"/>
      <c r="ADA160" s="302"/>
      <c r="ADB160" s="302"/>
      <c r="ADC160" s="302"/>
      <c r="ADD160" s="302"/>
      <c r="ADE160" s="302"/>
      <c r="ADF160" s="302"/>
      <c r="ADG160" s="302"/>
      <c r="ADH160" s="302"/>
      <c r="ADI160" s="302"/>
      <c r="ADJ160" s="302"/>
      <c r="ADK160" s="302"/>
      <c r="ADL160" s="302"/>
      <c r="ADM160" s="302"/>
      <c r="ADN160" s="302"/>
      <c r="ADO160" s="302"/>
      <c r="ADP160" s="302"/>
      <c r="ADQ160" s="302"/>
      <c r="ADR160" s="302"/>
      <c r="ADS160" s="302"/>
      <c r="ADT160" s="302"/>
      <c r="ADU160" s="302"/>
      <c r="ADV160" s="302"/>
      <c r="ADW160" s="302"/>
      <c r="ADX160" s="302"/>
      <c r="ADY160" s="302"/>
      <c r="ADZ160" s="302"/>
      <c r="AEA160" s="302"/>
      <c r="AEB160" s="302"/>
      <c r="AEC160" s="302"/>
      <c r="AED160" s="302"/>
      <c r="AEE160" s="302"/>
      <c r="AEF160" s="302"/>
      <c r="AEG160" s="302"/>
      <c r="AEH160" s="302"/>
      <c r="AEI160" s="302"/>
      <c r="AEJ160" s="302"/>
      <c r="AEK160" s="302"/>
      <c r="AEL160" s="302"/>
      <c r="AEM160" s="302"/>
      <c r="AEN160" s="302"/>
      <c r="AEO160" s="302"/>
      <c r="AEP160" s="302"/>
      <c r="AEQ160" s="302"/>
      <c r="AER160" s="302"/>
      <c r="AES160" s="302"/>
      <c r="AET160" s="302"/>
      <c r="AEU160" s="302"/>
      <c r="AEV160" s="302"/>
      <c r="AEW160" s="302"/>
      <c r="AEX160" s="302"/>
      <c r="AEY160" s="302"/>
      <c r="AEZ160" s="302"/>
      <c r="AFA160" s="302"/>
      <c r="AFB160" s="302"/>
      <c r="AFC160" s="302"/>
      <c r="AFD160" s="302"/>
      <c r="AFE160" s="302"/>
      <c r="AFF160" s="302"/>
      <c r="AFG160" s="302"/>
      <c r="AFH160" s="302"/>
      <c r="AFI160" s="302"/>
      <c r="AFJ160" s="302"/>
      <c r="AFK160" s="302"/>
      <c r="AFL160" s="302"/>
      <c r="AFM160" s="302"/>
      <c r="AFN160" s="302"/>
      <c r="AFO160" s="302"/>
      <c r="AFP160" s="302"/>
      <c r="AFQ160" s="302"/>
      <c r="AFR160" s="302"/>
      <c r="AFS160" s="302"/>
      <c r="AFT160" s="302"/>
      <c r="AFU160" s="302"/>
      <c r="AFV160" s="302"/>
      <c r="AFW160" s="302"/>
      <c r="AFX160" s="302"/>
      <c r="AFY160" s="302"/>
      <c r="AFZ160" s="302"/>
      <c r="AGA160" s="302"/>
      <c r="AGB160" s="302"/>
      <c r="AGC160" s="302"/>
      <c r="AGD160" s="302"/>
      <c r="AGE160" s="302"/>
      <c r="AGF160" s="302"/>
      <c r="AGG160" s="302"/>
      <c r="AGH160" s="302"/>
      <c r="AGI160" s="302"/>
      <c r="AGJ160" s="302"/>
      <c r="AGK160" s="302"/>
      <c r="AGL160" s="302"/>
      <c r="AGM160" s="302"/>
      <c r="AGN160" s="302"/>
      <c r="AGO160" s="302"/>
      <c r="AGP160" s="302"/>
      <c r="AGQ160" s="302"/>
      <c r="AGR160" s="302"/>
      <c r="AGS160" s="302"/>
      <c r="AGT160" s="302"/>
      <c r="AGU160" s="302"/>
      <c r="AGV160" s="302"/>
      <c r="AGW160" s="302"/>
      <c r="AGX160" s="302"/>
      <c r="AGY160" s="302"/>
      <c r="AGZ160" s="302"/>
      <c r="AHA160" s="302"/>
      <c r="AHB160" s="302"/>
      <c r="AHC160" s="302"/>
      <c r="AHD160" s="302"/>
      <c r="AHE160" s="302"/>
      <c r="AHF160" s="302"/>
      <c r="AHG160" s="302"/>
      <c r="AHH160" s="302"/>
      <c r="AHI160" s="302"/>
      <c r="AHJ160" s="302"/>
      <c r="AHK160" s="302"/>
      <c r="AHL160" s="302"/>
      <c r="AHM160" s="302"/>
      <c r="AHN160" s="302"/>
      <c r="AHO160" s="302"/>
      <c r="AHP160" s="302"/>
      <c r="AHQ160" s="302"/>
      <c r="AHR160" s="302"/>
      <c r="AHS160" s="302"/>
      <c r="AHT160" s="302"/>
      <c r="AHU160" s="302"/>
      <c r="AHV160" s="302"/>
      <c r="AHW160" s="302"/>
      <c r="AHX160" s="302"/>
      <c r="AHY160" s="302"/>
      <c r="AHZ160" s="302"/>
      <c r="AIA160" s="302"/>
      <c r="AIB160" s="302"/>
      <c r="AIC160" s="302"/>
      <c r="AID160" s="302"/>
      <c r="AIE160" s="302"/>
      <c r="AIF160" s="302"/>
      <c r="AIG160" s="302"/>
      <c r="AIH160" s="302"/>
      <c r="AII160" s="302"/>
      <c r="AIJ160" s="302"/>
      <c r="AIK160" s="302"/>
      <c r="AIL160" s="302"/>
      <c r="AIM160" s="302"/>
      <c r="AIN160" s="302"/>
      <c r="AIO160" s="302"/>
      <c r="AIP160" s="302"/>
      <c r="AIQ160" s="302"/>
      <c r="AIR160" s="302"/>
      <c r="AIS160" s="302"/>
      <c r="AIT160" s="302"/>
      <c r="AIU160" s="302"/>
      <c r="AIV160" s="302"/>
      <c r="AIW160" s="302"/>
      <c r="AIX160" s="302"/>
      <c r="AIY160" s="302"/>
      <c r="AIZ160" s="302"/>
      <c r="AJA160" s="302"/>
      <c r="AJB160" s="302"/>
      <c r="AJC160" s="302"/>
      <c r="AJD160" s="302"/>
      <c r="AJE160" s="302"/>
      <c r="AJF160" s="302"/>
      <c r="AJG160" s="302"/>
      <c r="AJH160" s="302"/>
      <c r="AJI160" s="302"/>
      <c r="AJJ160" s="302"/>
      <c r="AJK160" s="302"/>
      <c r="AJL160" s="302"/>
      <c r="AJM160" s="302"/>
      <c r="AJN160" s="302"/>
      <c r="AJO160" s="302"/>
      <c r="AJP160" s="302"/>
      <c r="AJQ160" s="302"/>
      <c r="AJR160" s="302"/>
      <c r="AJS160" s="302"/>
      <c r="AJT160" s="302"/>
      <c r="AJU160" s="302"/>
      <c r="AJV160" s="302"/>
      <c r="AJW160" s="302"/>
      <c r="AJX160" s="302"/>
      <c r="AJY160" s="302"/>
      <c r="AJZ160" s="302"/>
      <c r="AKA160" s="302"/>
      <c r="AKB160" s="302"/>
      <c r="AKC160" s="302"/>
      <c r="AKD160" s="302"/>
      <c r="AKE160" s="302"/>
      <c r="AKF160" s="302"/>
      <c r="AKG160" s="302"/>
      <c r="AKH160" s="302"/>
      <c r="AKI160" s="302"/>
      <c r="AKJ160" s="302"/>
      <c r="AKK160" s="302"/>
      <c r="AKL160" s="302"/>
      <c r="AKM160" s="302"/>
      <c r="AKN160" s="302"/>
      <c r="AKO160" s="302"/>
      <c r="AKP160" s="302"/>
      <c r="AKQ160" s="302"/>
      <c r="AKR160" s="302"/>
      <c r="AKS160" s="302"/>
      <c r="AKT160" s="302"/>
      <c r="AKU160" s="302"/>
      <c r="AKV160" s="302"/>
      <c r="AKW160" s="302"/>
      <c r="AKX160" s="302"/>
      <c r="AKY160" s="302"/>
      <c r="AKZ160" s="302"/>
      <c r="ALA160" s="302"/>
      <c r="ALB160" s="302"/>
      <c r="ALC160" s="302"/>
      <c r="ALD160" s="302"/>
      <c r="ALE160" s="302"/>
      <c r="ALF160" s="302"/>
      <c r="ALG160" s="302"/>
      <c r="ALH160" s="302"/>
      <c r="ALI160" s="302"/>
      <c r="ALJ160" s="302"/>
      <c r="ALK160" s="302"/>
      <c r="ALL160" s="302"/>
      <c r="ALM160" s="302"/>
      <c r="ALN160" s="302"/>
      <c r="ALO160" s="302"/>
      <c r="ALP160" s="302"/>
      <c r="ALQ160" s="302"/>
      <c r="ALR160" s="302"/>
      <c r="ALS160" s="302"/>
      <c r="ALT160" s="302"/>
      <c r="ALU160" s="302"/>
      <c r="ALV160" s="302"/>
      <c r="ALW160" s="302"/>
      <c r="ALX160" s="302"/>
      <c r="ALY160" s="302"/>
      <c r="ALZ160" s="302"/>
      <c r="AMA160" s="302"/>
      <c r="AMB160" s="302"/>
      <c r="AMC160" s="302"/>
      <c r="AMD160" s="302"/>
      <c r="AME160" s="302"/>
      <c r="AMF160" s="302"/>
      <c r="AMG160" s="302"/>
      <c r="AMH160" s="302"/>
      <c r="AMI160" s="302"/>
    </row>
    <row r="161" spans="1:1023" hidden="1">
      <c r="A161" s="302"/>
      <c r="B161" s="15">
        <v>13786</v>
      </c>
      <c r="C161" s="113">
        <v>0.1</v>
      </c>
      <c r="D161" s="16" t="s">
        <v>403</v>
      </c>
      <c r="E161" s="12">
        <v>3000000</v>
      </c>
      <c r="F161" s="363">
        <v>0.03</v>
      </c>
      <c r="G161" s="364">
        <f>E161*F161</f>
        <v>90000</v>
      </c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2"/>
      <c r="AE161" s="302"/>
      <c r="AF161" s="302"/>
      <c r="AG161" s="302"/>
      <c r="AH161" s="302"/>
      <c r="AI161" s="302"/>
      <c r="AJ161" s="302"/>
      <c r="AK161" s="302"/>
      <c r="AL161" s="302"/>
      <c r="AM161" s="302"/>
      <c r="AN161" s="302"/>
      <c r="AO161" s="302"/>
      <c r="AP161" s="302"/>
      <c r="AQ161" s="302"/>
      <c r="AR161" s="302"/>
      <c r="AS161" s="302"/>
      <c r="AT161" s="302"/>
      <c r="AU161" s="302"/>
      <c r="AV161" s="302"/>
      <c r="AW161" s="302"/>
      <c r="AX161" s="302"/>
      <c r="AY161" s="302"/>
      <c r="AZ161" s="302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K161" s="302"/>
      <c r="BL161" s="302"/>
      <c r="BM161" s="302"/>
      <c r="BN161" s="302"/>
      <c r="BO161" s="302"/>
      <c r="BP161" s="302"/>
      <c r="BQ161" s="302"/>
      <c r="BR161" s="302"/>
      <c r="BS161" s="302"/>
      <c r="BT161" s="302"/>
      <c r="BU161" s="302"/>
      <c r="BV161" s="302"/>
      <c r="BW161" s="302"/>
      <c r="BX161" s="302"/>
      <c r="BY161" s="302"/>
      <c r="BZ161" s="302"/>
      <c r="CA161" s="302"/>
      <c r="CB161" s="302"/>
      <c r="CC161" s="302"/>
      <c r="CD161" s="302"/>
      <c r="CE161" s="302"/>
      <c r="CF161" s="302"/>
      <c r="CG161" s="302"/>
      <c r="CH161" s="302"/>
      <c r="CI161" s="302"/>
      <c r="CJ161" s="302"/>
      <c r="CK161" s="302"/>
      <c r="CL161" s="302"/>
      <c r="CM161" s="302"/>
      <c r="CN161" s="302"/>
      <c r="CO161" s="302"/>
      <c r="CP161" s="302"/>
      <c r="CQ161" s="302"/>
      <c r="CR161" s="302"/>
      <c r="CS161" s="302"/>
      <c r="CT161" s="302"/>
      <c r="CU161" s="302"/>
      <c r="CV161" s="302"/>
      <c r="CW161" s="302"/>
      <c r="CX161" s="302"/>
      <c r="CY161" s="302"/>
      <c r="CZ161" s="302"/>
      <c r="DA161" s="302"/>
      <c r="DB161" s="302"/>
      <c r="DC161" s="302"/>
      <c r="DD161" s="302"/>
      <c r="DE161" s="302"/>
      <c r="DF161" s="302"/>
      <c r="DG161" s="302"/>
      <c r="DH161" s="302"/>
      <c r="DI161" s="302"/>
      <c r="DJ161" s="302"/>
      <c r="DK161" s="302"/>
      <c r="DL161" s="302"/>
      <c r="DM161" s="302"/>
      <c r="DN161" s="302"/>
      <c r="DO161" s="302"/>
      <c r="DP161" s="302"/>
      <c r="DQ161" s="302"/>
      <c r="DR161" s="302"/>
      <c r="DS161" s="302"/>
      <c r="DT161" s="302"/>
      <c r="DU161" s="302"/>
      <c r="DV161" s="302"/>
      <c r="DW161" s="302"/>
      <c r="DX161" s="302"/>
      <c r="DY161" s="302"/>
      <c r="DZ161" s="302"/>
      <c r="EA161" s="302"/>
      <c r="EB161" s="302"/>
      <c r="EC161" s="302"/>
      <c r="ED161" s="302"/>
      <c r="EE161" s="302"/>
      <c r="EF161" s="302"/>
      <c r="EG161" s="302"/>
      <c r="EH161" s="302"/>
      <c r="EI161" s="302"/>
      <c r="EJ161" s="302"/>
      <c r="EK161" s="302"/>
      <c r="EL161" s="302"/>
      <c r="EM161" s="302"/>
      <c r="EN161" s="302"/>
      <c r="EO161" s="302"/>
      <c r="EP161" s="302"/>
      <c r="EQ161" s="302"/>
      <c r="ER161" s="302"/>
      <c r="ES161" s="302"/>
      <c r="ET161" s="302"/>
      <c r="EU161" s="302"/>
      <c r="EV161" s="302"/>
      <c r="EW161" s="302"/>
      <c r="EX161" s="302"/>
      <c r="EY161" s="302"/>
      <c r="EZ161" s="302"/>
      <c r="FA161" s="302"/>
      <c r="FB161" s="302"/>
      <c r="FC161" s="302"/>
      <c r="FD161" s="302"/>
      <c r="FE161" s="302"/>
      <c r="FF161" s="302"/>
      <c r="FG161" s="302"/>
      <c r="FH161" s="302"/>
      <c r="FI161" s="302"/>
      <c r="FJ161" s="302"/>
      <c r="FK161" s="302"/>
      <c r="FL161" s="302"/>
      <c r="FM161" s="302"/>
      <c r="FN161" s="302"/>
      <c r="FO161" s="302"/>
      <c r="FP161" s="302"/>
      <c r="FQ161" s="302"/>
      <c r="FR161" s="302"/>
      <c r="FS161" s="302"/>
      <c r="FT161" s="302"/>
      <c r="FU161" s="302"/>
      <c r="FV161" s="302"/>
      <c r="FW161" s="302"/>
      <c r="FX161" s="302"/>
      <c r="FY161" s="302"/>
      <c r="FZ161" s="302"/>
      <c r="GA161" s="302"/>
      <c r="GB161" s="302"/>
      <c r="GC161" s="302"/>
      <c r="GD161" s="302"/>
      <c r="GE161" s="302"/>
      <c r="GF161" s="302"/>
      <c r="GG161" s="302"/>
      <c r="GH161" s="302"/>
      <c r="GI161" s="302"/>
      <c r="GJ161" s="302"/>
      <c r="GK161" s="302"/>
      <c r="GL161" s="302"/>
      <c r="GM161" s="302"/>
      <c r="GN161" s="302"/>
      <c r="GO161" s="302"/>
      <c r="GP161" s="302"/>
      <c r="GQ161" s="302"/>
      <c r="GR161" s="302"/>
      <c r="GS161" s="302"/>
      <c r="GT161" s="302"/>
      <c r="GU161" s="302"/>
      <c r="GV161" s="302"/>
      <c r="GW161" s="302"/>
      <c r="GX161" s="302"/>
      <c r="GY161" s="302"/>
      <c r="GZ161" s="302"/>
      <c r="HA161" s="302"/>
      <c r="HB161" s="302"/>
      <c r="HC161" s="302"/>
      <c r="HD161" s="302"/>
      <c r="HE161" s="302"/>
      <c r="HF161" s="302"/>
      <c r="HG161" s="302"/>
      <c r="HH161" s="302"/>
      <c r="HI161" s="302"/>
      <c r="HJ161" s="302"/>
      <c r="HK161" s="302"/>
      <c r="HL161" s="302"/>
      <c r="HM161" s="302"/>
      <c r="HN161" s="302"/>
      <c r="HO161" s="302"/>
      <c r="HP161" s="302"/>
      <c r="HQ161" s="302"/>
      <c r="HR161" s="302"/>
      <c r="HS161" s="302"/>
      <c r="HT161" s="302"/>
      <c r="HU161" s="302"/>
      <c r="HV161" s="302"/>
      <c r="HW161" s="302"/>
      <c r="HX161" s="302"/>
      <c r="HY161" s="302"/>
      <c r="HZ161" s="302"/>
      <c r="IA161" s="302"/>
      <c r="IB161" s="302"/>
      <c r="IC161" s="302"/>
      <c r="ID161" s="302"/>
      <c r="IE161" s="302"/>
      <c r="IF161" s="302"/>
      <c r="IG161" s="302"/>
      <c r="IH161" s="302"/>
      <c r="II161" s="302"/>
      <c r="IJ161" s="302"/>
      <c r="IK161" s="302"/>
      <c r="IL161" s="302"/>
      <c r="IM161" s="302"/>
      <c r="IN161" s="302"/>
      <c r="IO161" s="302"/>
      <c r="IP161" s="302"/>
      <c r="IQ161" s="302"/>
      <c r="IR161" s="302"/>
      <c r="IS161" s="302"/>
      <c r="IT161" s="302"/>
      <c r="IU161" s="302"/>
      <c r="IV161" s="302"/>
      <c r="IW161" s="302"/>
      <c r="IX161" s="302"/>
      <c r="IY161" s="302"/>
      <c r="IZ161" s="302"/>
      <c r="JA161" s="302"/>
      <c r="JB161" s="302"/>
      <c r="JC161" s="302"/>
      <c r="JD161" s="302"/>
      <c r="JE161" s="302"/>
      <c r="JF161" s="302"/>
      <c r="JG161" s="302"/>
      <c r="JH161" s="302"/>
      <c r="JI161" s="302"/>
      <c r="JJ161" s="302"/>
      <c r="JK161" s="302"/>
      <c r="JL161" s="302"/>
      <c r="JM161" s="302"/>
      <c r="JN161" s="302"/>
      <c r="JO161" s="302"/>
      <c r="JP161" s="302"/>
      <c r="JQ161" s="302"/>
      <c r="JR161" s="302"/>
      <c r="JS161" s="302"/>
      <c r="JT161" s="302"/>
      <c r="JU161" s="302"/>
      <c r="JV161" s="302"/>
      <c r="JW161" s="302"/>
      <c r="JX161" s="302"/>
      <c r="JY161" s="302"/>
      <c r="JZ161" s="302"/>
      <c r="KA161" s="302"/>
      <c r="KB161" s="302"/>
      <c r="KC161" s="302"/>
      <c r="KD161" s="302"/>
      <c r="KE161" s="302"/>
      <c r="KF161" s="302"/>
      <c r="KG161" s="302"/>
      <c r="KH161" s="302"/>
      <c r="KI161" s="302"/>
      <c r="KJ161" s="302"/>
      <c r="KK161" s="302"/>
      <c r="KL161" s="302"/>
      <c r="KM161" s="302"/>
      <c r="KN161" s="302"/>
      <c r="KO161" s="302"/>
      <c r="KP161" s="302"/>
      <c r="KQ161" s="302"/>
      <c r="KR161" s="302"/>
      <c r="KS161" s="302"/>
      <c r="KT161" s="302"/>
      <c r="KU161" s="302"/>
      <c r="KV161" s="302"/>
      <c r="KW161" s="302"/>
      <c r="KX161" s="302"/>
      <c r="KY161" s="302"/>
      <c r="KZ161" s="302"/>
      <c r="LA161" s="302"/>
      <c r="LB161" s="302"/>
      <c r="LC161" s="302"/>
      <c r="LD161" s="302"/>
      <c r="LE161" s="302"/>
      <c r="LF161" s="302"/>
      <c r="LG161" s="302"/>
      <c r="LH161" s="302"/>
      <c r="LI161" s="302"/>
      <c r="LJ161" s="302"/>
      <c r="LK161" s="302"/>
      <c r="LL161" s="302"/>
      <c r="LM161" s="302"/>
      <c r="LN161" s="302"/>
      <c r="LO161" s="302"/>
      <c r="LP161" s="302"/>
      <c r="LQ161" s="302"/>
      <c r="LR161" s="302"/>
      <c r="LS161" s="302"/>
      <c r="LT161" s="302"/>
      <c r="LU161" s="302"/>
      <c r="LV161" s="302"/>
      <c r="LW161" s="302"/>
      <c r="LX161" s="302"/>
      <c r="LY161" s="302"/>
      <c r="LZ161" s="302"/>
      <c r="MA161" s="302"/>
      <c r="MB161" s="302"/>
      <c r="MC161" s="302"/>
      <c r="MD161" s="302"/>
      <c r="ME161" s="302"/>
      <c r="MF161" s="302"/>
      <c r="MG161" s="302"/>
      <c r="MH161" s="302"/>
      <c r="MI161" s="302"/>
      <c r="MJ161" s="302"/>
      <c r="MK161" s="302"/>
      <c r="ML161" s="302"/>
      <c r="MM161" s="302"/>
      <c r="MN161" s="302"/>
      <c r="MO161" s="302"/>
      <c r="MP161" s="302"/>
      <c r="MQ161" s="302"/>
      <c r="MR161" s="302"/>
      <c r="MS161" s="302"/>
      <c r="MT161" s="302"/>
      <c r="MU161" s="302"/>
      <c r="MV161" s="302"/>
      <c r="MW161" s="302"/>
      <c r="MX161" s="302"/>
      <c r="MY161" s="302"/>
      <c r="MZ161" s="302"/>
      <c r="NA161" s="302"/>
      <c r="NB161" s="302"/>
      <c r="NC161" s="302"/>
      <c r="ND161" s="302"/>
      <c r="NE161" s="302"/>
      <c r="NF161" s="302"/>
      <c r="NG161" s="302"/>
      <c r="NH161" s="302"/>
      <c r="NI161" s="302"/>
      <c r="NJ161" s="302"/>
      <c r="NK161" s="302"/>
      <c r="NL161" s="302"/>
      <c r="NM161" s="302"/>
      <c r="NN161" s="302"/>
      <c r="NO161" s="302"/>
      <c r="NP161" s="302"/>
      <c r="NQ161" s="302"/>
      <c r="NR161" s="302"/>
      <c r="NS161" s="302"/>
      <c r="NT161" s="302"/>
      <c r="NU161" s="302"/>
      <c r="NV161" s="302"/>
      <c r="NW161" s="302"/>
      <c r="NX161" s="302"/>
      <c r="NY161" s="302"/>
      <c r="NZ161" s="302"/>
      <c r="OA161" s="302"/>
      <c r="OB161" s="302"/>
      <c r="OC161" s="302"/>
      <c r="OD161" s="302"/>
      <c r="OE161" s="302"/>
      <c r="OF161" s="302"/>
      <c r="OG161" s="302"/>
      <c r="OH161" s="302"/>
      <c r="OI161" s="302"/>
      <c r="OJ161" s="302"/>
      <c r="OK161" s="302"/>
      <c r="OL161" s="302"/>
      <c r="OM161" s="302"/>
      <c r="ON161" s="302"/>
      <c r="OO161" s="302"/>
      <c r="OP161" s="302"/>
      <c r="OQ161" s="302"/>
      <c r="OR161" s="302"/>
      <c r="OS161" s="302"/>
      <c r="OT161" s="302"/>
      <c r="OU161" s="302"/>
      <c r="OV161" s="302"/>
      <c r="OW161" s="302"/>
      <c r="OX161" s="302"/>
      <c r="OY161" s="302"/>
      <c r="OZ161" s="302"/>
      <c r="PA161" s="302"/>
      <c r="PB161" s="302"/>
      <c r="PC161" s="302"/>
      <c r="PD161" s="302"/>
      <c r="PE161" s="302"/>
      <c r="PF161" s="302"/>
      <c r="PG161" s="302"/>
      <c r="PH161" s="302"/>
      <c r="PI161" s="302"/>
      <c r="PJ161" s="302"/>
      <c r="PK161" s="302"/>
      <c r="PL161" s="302"/>
      <c r="PM161" s="302"/>
      <c r="PN161" s="302"/>
      <c r="PO161" s="302"/>
      <c r="PP161" s="302"/>
      <c r="PQ161" s="302"/>
      <c r="PR161" s="302"/>
      <c r="PS161" s="302"/>
      <c r="PT161" s="302"/>
      <c r="PU161" s="302"/>
      <c r="PV161" s="302"/>
      <c r="PW161" s="302"/>
      <c r="PX161" s="302"/>
      <c r="PY161" s="302"/>
      <c r="PZ161" s="302"/>
      <c r="QA161" s="302"/>
      <c r="QB161" s="302"/>
      <c r="QC161" s="302"/>
      <c r="QD161" s="302"/>
      <c r="QE161" s="302"/>
      <c r="QF161" s="302"/>
      <c r="QG161" s="302"/>
      <c r="QH161" s="302"/>
      <c r="QI161" s="302"/>
      <c r="QJ161" s="302"/>
      <c r="QK161" s="302"/>
      <c r="QL161" s="302"/>
      <c r="QM161" s="302"/>
      <c r="QN161" s="302"/>
      <c r="QO161" s="302"/>
      <c r="QP161" s="302"/>
      <c r="QQ161" s="302"/>
      <c r="QR161" s="302"/>
      <c r="QS161" s="302"/>
      <c r="QT161" s="302"/>
      <c r="QU161" s="302"/>
      <c r="QV161" s="302"/>
      <c r="QW161" s="302"/>
      <c r="QX161" s="302"/>
      <c r="QY161" s="302"/>
      <c r="QZ161" s="302"/>
      <c r="RA161" s="302"/>
      <c r="RB161" s="302"/>
      <c r="RC161" s="302"/>
      <c r="RD161" s="302"/>
      <c r="RE161" s="302"/>
      <c r="RF161" s="302"/>
      <c r="RG161" s="302"/>
      <c r="RH161" s="302"/>
      <c r="RI161" s="302"/>
      <c r="RJ161" s="302"/>
      <c r="RK161" s="302"/>
      <c r="RL161" s="302"/>
      <c r="RM161" s="302"/>
      <c r="RN161" s="302"/>
      <c r="RO161" s="302"/>
      <c r="RP161" s="302"/>
      <c r="RQ161" s="302"/>
      <c r="RR161" s="302"/>
      <c r="RS161" s="302"/>
      <c r="RT161" s="302"/>
      <c r="RU161" s="302"/>
      <c r="RV161" s="302"/>
      <c r="RW161" s="302"/>
      <c r="RX161" s="302"/>
      <c r="RY161" s="302"/>
      <c r="RZ161" s="302"/>
      <c r="SA161" s="302"/>
      <c r="SB161" s="302"/>
      <c r="SC161" s="302"/>
      <c r="SD161" s="302"/>
      <c r="SE161" s="302"/>
      <c r="SF161" s="302"/>
      <c r="SG161" s="302"/>
      <c r="SH161" s="302"/>
      <c r="SI161" s="302"/>
      <c r="SJ161" s="302"/>
      <c r="SK161" s="302"/>
      <c r="SL161" s="302"/>
      <c r="SM161" s="302"/>
      <c r="SN161" s="302"/>
      <c r="SO161" s="302"/>
      <c r="SP161" s="302"/>
      <c r="SQ161" s="302"/>
      <c r="SR161" s="302"/>
      <c r="SS161" s="302"/>
      <c r="ST161" s="302"/>
      <c r="SU161" s="302"/>
      <c r="SV161" s="302"/>
      <c r="SW161" s="302"/>
      <c r="SX161" s="302"/>
      <c r="SY161" s="302"/>
      <c r="SZ161" s="302"/>
      <c r="TA161" s="302"/>
      <c r="TB161" s="302"/>
      <c r="TC161" s="302"/>
      <c r="TD161" s="302"/>
      <c r="TE161" s="302"/>
      <c r="TF161" s="302"/>
      <c r="TG161" s="302"/>
      <c r="TH161" s="302"/>
      <c r="TI161" s="302"/>
      <c r="TJ161" s="302"/>
      <c r="TK161" s="302"/>
      <c r="TL161" s="302"/>
      <c r="TM161" s="302"/>
      <c r="TN161" s="302"/>
      <c r="TO161" s="302"/>
      <c r="TP161" s="302"/>
      <c r="TQ161" s="302"/>
      <c r="TR161" s="302"/>
      <c r="TS161" s="302"/>
      <c r="TT161" s="302"/>
      <c r="TU161" s="302"/>
      <c r="TV161" s="302"/>
      <c r="TW161" s="302"/>
      <c r="TX161" s="302"/>
      <c r="TY161" s="302"/>
      <c r="TZ161" s="302"/>
      <c r="UA161" s="302"/>
      <c r="UB161" s="302"/>
      <c r="UC161" s="302"/>
      <c r="UD161" s="302"/>
      <c r="UE161" s="302"/>
      <c r="UF161" s="302"/>
      <c r="UG161" s="302"/>
      <c r="UH161" s="302"/>
      <c r="UI161" s="302"/>
      <c r="UJ161" s="302"/>
      <c r="UK161" s="302"/>
      <c r="UL161" s="302"/>
      <c r="UM161" s="302"/>
      <c r="UN161" s="302"/>
      <c r="UO161" s="302"/>
      <c r="UP161" s="302"/>
      <c r="UQ161" s="302"/>
      <c r="UR161" s="302"/>
      <c r="US161" s="302"/>
      <c r="UT161" s="302"/>
      <c r="UU161" s="302"/>
      <c r="UV161" s="302"/>
      <c r="UW161" s="302"/>
      <c r="UX161" s="302"/>
      <c r="UY161" s="302"/>
      <c r="UZ161" s="302"/>
      <c r="VA161" s="302"/>
      <c r="VB161" s="302"/>
      <c r="VC161" s="302"/>
      <c r="VD161" s="302"/>
      <c r="VE161" s="302"/>
      <c r="VF161" s="302"/>
      <c r="VG161" s="302"/>
      <c r="VH161" s="302"/>
      <c r="VI161" s="302"/>
      <c r="VJ161" s="302"/>
      <c r="VK161" s="302"/>
      <c r="VL161" s="302"/>
      <c r="VM161" s="302"/>
      <c r="VN161" s="302"/>
      <c r="VO161" s="302"/>
      <c r="VP161" s="302"/>
      <c r="VQ161" s="302"/>
      <c r="VR161" s="302"/>
      <c r="VS161" s="302"/>
      <c r="VT161" s="302"/>
      <c r="VU161" s="302"/>
      <c r="VV161" s="302"/>
      <c r="VW161" s="302"/>
      <c r="VX161" s="302"/>
      <c r="VY161" s="302"/>
      <c r="VZ161" s="302"/>
      <c r="WA161" s="302"/>
      <c r="WB161" s="302"/>
      <c r="WC161" s="302"/>
      <c r="WD161" s="302"/>
      <c r="WE161" s="302"/>
      <c r="WF161" s="302"/>
      <c r="WG161" s="302"/>
      <c r="WH161" s="302"/>
      <c r="WI161" s="302"/>
      <c r="WJ161" s="302"/>
      <c r="WK161" s="302"/>
      <c r="WL161" s="302"/>
      <c r="WM161" s="302"/>
      <c r="WN161" s="302"/>
      <c r="WO161" s="302"/>
      <c r="WP161" s="302"/>
      <c r="WQ161" s="302"/>
      <c r="WR161" s="302"/>
      <c r="WS161" s="302"/>
      <c r="WT161" s="302"/>
      <c r="WU161" s="302"/>
      <c r="WV161" s="302"/>
      <c r="WW161" s="302"/>
      <c r="WX161" s="302"/>
      <c r="WY161" s="302"/>
      <c r="WZ161" s="302"/>
      <c r="XA161" s="302"/>
      <c r="XB161" s="302"/>
      <c r="XC161" s="302"/>
      <c r="XD161" s="302"/>
      <c r="XE161" s="302"/>
      <c r="XF161" s="302"/>
      <c r="XG161" s="302"/>
      <c r="XH161" s="302"/>
      <c r="XI161" s="302"/>
      <c r="XJ161" s="302"/>
      <c r="XK161" s="302"/>
      <c r="XL161" s="302"/>
      <c r="XM161" s="302"/>
      <c r="XN161" s="302"/>
      <c r="XO161" s="302"/>
      <c r="XP161" s="302"/>
      <c r="XQ161" s="302"/>
      <c r="XR161" s="302"/>
      <c r="XS161" s="302"/>
      <c r="XT161" s="302"/>
      <c r="XU161" s="302"/>
      <c r="XV161" s="302"/>
      <c r="XW161" s="302"/>
      <c r="XX161" s="302"/>
      <c r="XY161" s="302"/>
      <c r="XZ161" s="302"/>
      <c r="YA161" s="302"/>
      <c r="YB161" s="302"/>
      <c r="YC161" s="302"/>
      <c r="YD161" s="302"/>
      <c r="YE161" s="302"/>
      <c r="YF161" s="302"/>
      <c r="YG161" s="302"/>
      <c r="YH161" s="302"/>
      <c r="YI161" s="302"/>
      <c r="YJ161" s="302"/>
      <c r="YK161" s="302"/>
      <c r="YL161" s="302"/>
      <c r="YM161" s="302"/>
      <c r="YN161" s="302"/>
      <c r="YO161" s="302"/>
      <c r="YP161" s="302"/>
      <c r="YQ161" s="302"/>
      <c r="YR161" s="302"/>
      <c r="YS161" s="302"/>
      <c r="YT161" s="302"/>
      <c r="YU161" s="302"/>
      <c r="YV161" s="302"/>
      <c r="YW161" s="302"/>
      <c r="YX161" s="302"/>
      <c r="YY161" s="302"/>
      <c r="YZ161" s="302"/>
      <c r="ZA161" s="302"/>
      <c r="ZB161" s="302"/>
      <c r="ZC161" s="302"/>
      <c r="ZD161" s="302"/>
      <c r="ZE161" s="302"/>
      <c r="ZF161" s="302"/>
      <c r="ZG161" s="302"/>
      <c r="ZH161" s="302"/>
      <c r="ZI161" s="302"/>
      <c r="ZJ161" s="302"/>
      <c r="ZK161" s="302"/>
      <c r="ZL161" s="302"/>
      <c r="ZM161" s="302"/>
      <c r="ZN161" s="302"/>
      <c r="ZO161" s="302"/>
      <c r="ZP161" s="302"/>
      <c r="ZQ161" s="302"/>
      <c r="ZR161" s="302"/>
      <c r="ZS161" s="302"/>
      <c r="ZT161" s="302"/>
      <c r="ZU161" s="302"/>
      <c r="ZV161" s="302"/>
      <c r="ZW161" s="302"/>
      <c r="ZX161" s="302"/>
      <c r="ZY161" s="302"/>
      <c r="ZZ161" s="302"/>
      <c r="AAA161" s="302"/>
      <c r="AAB161" s="302"/>
      <c r="AAC161" s="302"/>
      <c r="AAD161" s="302"/>
      <c r="AAE161" s="302"/>
      <c r="AAF161" s="302"/>
      <c r="AAG161" s="302"/>
      <c r="AAH161" s="302"/>
      <c r="AAI161" s="302"/>
      <c r="AAJ161" s="302"/>
      <c r="AAK161" s="302"/>
      <c r="AAL161" s="302"/>
      <c r="AAM161" s="302"/>
      <c r="AAN161" s="302"/>
      <c r="AAO161" s="302"/>
      <c r="AAP161" s="302"/>
      <c r="AAQ161" s="302"/>
      <c r="AAR161" s="302"/>
      <c r="AAS161" s="302"/>
      <c r="AAT161" s="302"/>
      <c r="AAU161" s="302"/>
      <c r="AAV161" s="302"/>
      <c r="AAW161" s="302"/>
      <c r="AAX161" s="302"/>
      <c r="AAY161" s="302"/>
      <c r="AAZ161" s="302"/>
      <c r="ABA161" s="302"/>
      <c r="ABB161" s="302"/>
      <c r="ABC161" s="302"/>
      <c r="ABD161" s="302"/>
      <c r="ABE161" s="302"/>
      <c r="ABF161" s="302"/>
      <c r="ABG161" s="302"/>
      <c r="ABH161" s="302"/>
      <c r="ABI161" s="302"/>
      <c r="ABJ161" s="302"/>
      <c r="ABK161" s="302"/>
      <c r="ABL161" s="302"/>
      <c r="ABM161" s="302"/>
      <c r="ABN161" s="302"/>
      <c r="ABO161" s="302"/>
      <c r="ABP161" s="302"/>
      <c r="ABQ161" s="302"/>
      <c r="ABR161" s="302"/>
      <c r="ABS161" s="302"/>
      <c r="ABT161" s="302"/>
      <c r="ABU161" s="302"/>
      <c r="ABV161" s="302"/>
      <c r="ABW161" s="302"/>
      <c r="ABX161" s="302"/>
      <c r="ABY161" s="302"/>
      <c r="ABZ161" s="302"/>
      <c r="ACA161" s="302"/>
      <c r="ACB161" s="302"/>
      <c r="ACC161" s="302"/>
      <c r="ACD161" s="302"/>
      <c r="ACE161" s="302"/>
      <c r="ACF161" s="302"/>
      <c r="ACG161" s="302"/>
      <c r="ACH161" s="302"/>
      <c r="ACI161" s="302"/>
      <c r="ACJ161" s="302"/>
      <c r="ACK161" s="302"/>
      <c r="ACL161" s="302"/>
      <c r="ACM161" s="302"/>
      <c r="ACN161" s="302"/>
      <c r="ACO161" s="302"/>
      <c r="ACP161" s="302"/>
      <c r="ACQ161" s="302"/>
      <c r="ACR161" s="302"/>
      <c r="ACS161" s="302"/>
      <c r="ACT161" s="302"/>
      <c r="ACU161" s="302"/>
      <c r="ACV161" s="302"/>
      <c r="ACW161" s="302"/>
      <c r="ACX161" s="302"/>
      <c r="ACY161" s="302"/>
      <c r="ACZ161" s="302"/>
      <c r="ADA161" s="302"/>
      <c r="ADB161" s="302"/>
      <c r="ADC161" s="302"/>
      <c r="ADD161" s="302"/>
      <c r="ADE161" s="302"/>
      <c r="ADF161" s="302"/>
      <c r="ADG161" s="302"/>
      <c r="ADH161" s="302"/>
      <c r="ADI161" s="302"/>
      <c r="ADJ161" s="302"/>
      <c r="ADK161" s="302"/>
      <c r="ADL161" s="302"/>
      <c r="ADM161" s="302"/>
      <c r="ADN161" s="302"/>
      <c r="ADO161" s="302"/>
      <c r="ADP161" s="302"/>
      <c r="ADQ161" s="302"/>
      <c r="ADR161" s="302"/>
      <c r="ADS161" s="302"/>
      <c r="ADT161" s="302"/>
      <c r="ADU161" s="302"/>
      <c r="ADV161" s="302"/>
      <c r="ADW161" s="302"/>
      <c r="ADX161" s="302"/>
      <c r="ADY161" s="302"/>
      <c r="ADZ161" s="302"/>
      <c r="AEA161" s="302"/>
      <c r="AEB161" s="302"/>
      <c r="AEC161" s="302"/>
      <c r="AED161" s="302"/>
      <c r="AEE161" s="302"/>
      <c r="AEF161" s="302"/>
      <c r="AEG161" s="302"/>
      <c r="AEH161" s="302"/>
      <c r="AEI161" s="302"/>
      <c r="AEJ161" s="302"/>
      <c r="AEK161" s="302"/>
      <c r="AEL161" s="302"/>
      <c r="AEM161" s="302"/>
      <c r="AEN161" s="302"/>
      <c r="AEO161" s="302"/>
      <c r="AEP161" s="302"/>
      <c r="AEQ161" s="302"/>
      <c r="AER161" s="302"/>
      <c r="AES161" s="302"/>
      <c r="AET161" s="302"/>
      <c r="AEU161" s="302"/>
      <c r="AEV161" s="302"/>
      <c r="AEW161" s="302"/>
      <c r="AEX161" s="302"/>
      <c r="AEY161" s="302"/>
      <c r="AEZ161" s="302"/>
      <c r="AFA161" s="302"/>
      <c r="AFB161" s="302"/>
      <c r="AFC161" s="302"/>
      <c r="AFD161" s="302"/>
      <c r="AFE161" s="302"/>
      <c r="AFF161" s="302"/>
      <c r="AFG161" s="302"/>
      <c r="AFH161" s="302"/>
      <c r="AFI161" s="302"/>
      <c r="AFJ161" s="302"/>
      <c r="AFK161" s="302"/>
      <c r="AFL161" s="302"/>
      <c r="AFM161" s="302"/>
      <c r="AFN161" s="302"/>
      <c r="AFO161" s="302"/>
      <c r="AFP161" s="302"/>
      <c r="AFQ161" s="302"/>
      <c r="AFR161" s="302"/>
      <c r="AFS161" s="302"/>
      <c r="AFT161" s="302"/>
      <c r="AFU161" s="302"/>
      <c r="AFV161" s="302"/>
      <c r="AFW161" s="302"/>
      <c r="AFX161" s="302"/>
      <c r="AFY161" s="302"/>
      <c r="AFZ161" s="302"/>
      <c r="AGA161" s="302"/>
      <c r="AGB161" s="302"/>
      <c r="AGC161" s="302"/>
      <c r="AGD161" s="302"/>
      <c r="AGE161" s="302"/>
      <c r="AGF161" s="302"/>
      <c r="AGG161" s="302"/>
      <c r="AGH161" s="302"/>
      <c r="AGI161" s="302"/>
      <c r="AGJ161" s="302"/>
      <c r="AGK161" s="302"/>
      <c r="AGL161" s="302"/>
      <c r="AGM161" s="302"/>
      <c r="AGN161" s="302"/>
      <c r="AGO161" s="302"/>
      <c r="AGP161" s="302"/>
      <c r="AGQ161" s="302"/>
      <c r="AGR161" s="302"/>
      <c r="AGS161" s="302"/>
      <c r="AGT161" s="302"/>
      <c r="AGU161" s="302"/>
      <c r="AGV161" s="302"/>
      <c r="AGW161" s="302"/>
      <c r="AGX161" s="302"/>
      <c r="AGY161" s="302"/>
      <c r="AGZ161" s="302"/>
      <c r="AHA161" s="302"/>
      <c r="AHB161" s="302"/>
      <c r="AHC161" s="302"/>
      <c r="AHD161" s="302"/>
      <c r="AHE161" s="302"/>
      <c r="AHF161" s="302"/>
      <c r="AHG161" s="302"/>
      <c r="AHH161" s="302"/>
      <c r="AHI161" s="302"/>
      <c r="AHJ161" s="302"/>
      <c r="AHK161" s="302"/>
      <c r="AHL161" s="302"/>
      <c r="AHM161" s="302"/>
      <c r="AHN161" s="302"/>
      <c r="AHO161" s="302"/>
      <c r="AHP161" s="302"/>
      <c r="AHQ161" s="302"/>
      <c r="AHR161" s="302"/>
      <c r="AHS161" s="302"/>
      <c r="AHT161" s="302"/>
      <c r="AHU161" s="302"/>
      <c r="AHV161" s="302"/>
      <c r="AHW161" s="302"/>
      <c r="AHX161" s="302"/>
      <c r="AHY161" s="302"/>
      <c r="AHZ161" s="302"/>
      <c r="AIA161" s="302"/>
      <c r="AIB161" s="302"/>
      <c r="AIC161" s="302"/>
      <c r="AID161" s="302"/>
      <c r="AIE161" s="302"/>
      <c r="AIF161" s="302"/>
      <c r="AIG161" s="302"/>
      <c r="AIH161" s="302"/>
      <c r="AII161" s="302"/>
      <c r="AIJ161" s="302"/>
      <c r="AIK161" s="302"/>
      <c r="AIL161" s="302"/>
      <c r="AIM161" s="302"/>
      <c r="AIN161" s="302"/>
      <c r="AIO161" s="302"/>
      <c r="AIP161" s="302"/>
      <c r="AIQ161" s="302"/>
      <c r="AIR161" s="302"/>
      <c r="AIS161" s="302"/>
      <c r="AIT161" s="302"/>
      <c r="AIU161" s="302"/>
      <c r="AIV161" s="302"/>
      <c r="AIW161" s="302"/>
      <c r="AIX161" s="302"/>
      <c r="AIY161" s="302"/>
      <c r="AIZ161" s="302"/>
      <c r="AJA161" s="302"/>
      <c r="AJB161" s="302"/>
      <c r="AJC161" s="302"/>
      <c r="AJD161" s="302"/>
      <c r="AJE161" s="302"/>
      <c r="AJF161" s="302"/>
      <c r="AJG161" s="302"/>
      <c r="AJH161" s="302"/>
      <c r="AJI161" s="302"/>
      <c r="AJJ161" s="302"/>
      <c r="AJK161" s="302"/>
      <c r="AJL161" s="302"/>
      <c r="AJM161" s="302"/>
      <c r="AJN161" s="302"/>
      <c r="AJO161" s="302"/>
      <c r="AJP161" s="302"/>
      <c r="AJQ161" s="302"/>
      <c r="AJR161" s="302"/>
      <c r="AJS161" s="302"/>
      <c r="AJT161" s="302"/>
      <c r="AJU161" s="302"/>
      <c r="AJV161" s="302"/>
      <c r="AJW161" s="302"/>
      <c r="AJX161" s="302"/>
      <c r="AJY161" s="302"/>
      <c r="AJZ161" s="302"/>
      <c r="AKA161" s="302"/>
      <c r="AKB161" s="302"/>
      <c r="AKC161" s="302"/>
      <c r="AKD161" s="302"/>
      <c r="AKE161" s="302"/>
      <c r="AKF161" s="302"/>
      <c r="AKG161" s="302"/>
      <c r="AKH161" s="302"/>
      <c r="AKI161" s="302"/>
      <c r="AKJ161" s="302"/>
      <c r="AKK161" s="302"/>
      <c r="AKL161" s="302"/>
      <c r="AKM161" s="302"/>
      <c r="AKN161" s="302"/>
      <c r="AKO161" s="302"/>
      <c r="AKP161" s="302"/>
      <c r="AKQ161" s="302"/>
      <c r="AKR161" s="302"/>
      <c r="AKS161" s="302"/>
      <c r="AKT161" s="302"/>
      <c r="AKU161" s="302"/>
      <c r="AKV161" s="302"/>
      <c r="AKW161" s="302"/>
      <c r="AKX161" s="302"/>
      <c r="AKY161" s="302"/>
      <c r="AKZ161" s="302"/>
      <c r="ALA161" s="302"/>
      <c r="ALB161" s="302"/>
      <c r="ALC161" s="302"/>
      <c r="ALD161" s="302"/>
      <c r="ALE161" s="302"/>
      <c r="ALF161" s="302"/>
      <c r="ALG161" s="302"/>
      <c r="ALH161" s="302"/>
      <c r="ALI161" s="302"/>
      <c r="ALJ161" s="302"/>
      <c r="ALK161" s="302"/>
      <c r="ALL161" s="302"/>
      <c r="ALM161" s="302"/>
      <c r="ALN161" s="302"/>
      <c r="ALO161" s="302"/>
      <c r="ALP161" s="302"/>
      <c r="ALQ161" s="302"/>
      <c r="ALR161" s="302"/>
      <c r="ALS161" s="302"/>
      <c r="ALT161" s="302"/>
      <c r="ALU161" s="302"/>
      <c r="ALV161" s="302"/>
      <c r="ALW161" s="302"/>
      <c r="ALX161" s="302"/>
      <c r="ALY161" s="302"/>
      <c r="ALZ161" s="302"/>
      <c r="AMA161" s="302"/>
      <c r="AMB161" s="302"/>
      <c r="AMC161" s="302"/>
      <c r="AMD161" s="302"/>
      <c r="AME161" s="302"/>
      <c r="AMF161" s="302"/>
      <c r="AMG161" s="302"/>
      <c r="AMH161" s="302"/>
      <c r="AMI161" s="302"/>
    </row>
    <row r="162" spans="1:1023" hidden="1">
      <c r="A162" s="302"/>
      <c r="B162" s="116">
        <v>13696</v>
      </c>
      <c r="C162" s="113">
        <v>0.1</v>
      </c>
      <c r="D162" s="117" t="s">
        <v>113</v>
      </c>
      <c r="E162" s="12">
        <v>1848350</v>
      </c>
      <c r="F162" s="363">
        <v>0.03</v>
      </c>
      <c r="G162" s="364">
        <f>E162*F162</f>
        <v>55450.5</v>
      </c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2"/>
      <c r="AE162" s="302"/>
      <c r="AF162" s="302"/>
      <c r="AG162" s="302"/>
      <c r="AH162" s="302"/>
      <c r="AI162" s="302"/>
      <c r="AJ162" s="302"/>
      <c r="AK162" s="302"/>
      <c r="AL162" s="302"/>
      <c r="AM162" s="302"/>
      <c r="AN162" s="302"/>
      <c r="AO162" s="302"/>
      <c r="AP162" s="302"/>
      <c r="AQ162" s="302"/>
      <c r="AR162" s="302"/>
      <c r="AS162" s="302"/>
      <c r="AT162" s="302"/>
      <c r="AU162" s="302"/>
      <c r="AV162" s="302"/>
      <c r="AW162" s="302"/>
      <c r="AX162" s="302"/>
      <c r="AY162" s="302"/>
      <c r="AZ162" s="302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K162" s="302"/>
      <c r="BL162" s="302"/>
      <c r="BM162" s="302"/>
      <c r="BN162" s="302"/>
      <c r="BO162" s="302"/>
      <c r="BP162" s="302"/>
      <c r="BQ162" s="302"/>
      <c r="BR162" s="302"/>
      <c r="BS162" s="302"/>
      <c r="BT162" s="302"/>
      <c r="BU162" s="302"/>
      <c r="BV162" s="302"/>
      <c r="BW162" s="302"/>
      <c r="BX162" s="302"/>
      <c r="BY162" s="302"/>
      <c r="BZ162" s="302"/>
      <c r="CA162" s="302"/>
      <c r="CB162" s="302"/>
      <c r="CC162" s="302"/>
      <c r="CD162" s="302"/>
      <c r="CE162" s="302"/>
      <c r="CF162" s="302"/>
      <c r="CG162" s="302"/>
      <c r="CH162" s="302"/>
      <c r="CI162" s="302"/>
      <c r="CJ162" s="302"/>
      <c r="CK162" s="302"/>
      <c r="CL162" s="302"/>
      <c r="CM162" s="302"/>
      <c r="CN162" s="302"/>
      <c r="CO162" s="302"/>
      <c r="CP162" s="302"/>
      <c r="CQ162" s="302"/>
      <c r="CR162" s="302"/>
      <c r="CS162" s="302"/>
      <c r="CT162" s="302"/>
      <c r="CU162" s="302"/>
      <c r="CV162" s="302"/>
      <c r="CW162" s="302"/>
      <c r="CX162" s="302"/>
      <c r="CY162" s="302"/>
      <c r="CZ162" s="302"/>
      <c r="DA162" s="302"/>
      <c r="DB162" s="302"/>
      <c r="DC162" s="302"/>
      <c r="DD162" s="302"/>
      <c r="DE162" s="302"/>
      <c r="DF162" s="302"/>
      <c r="DG162" s="302"/>
      <c r="DH162" s="302"/>
      <c r="DI162" s="302"/>
      <c r="DJ162" s="302"/>
      <c r="DK162" s="302"/>
      <c r="DL162" s="302"/>
      <c r="DM162" s="302"/>
      <c r="DN162" s="302"/>
      <c r="DO162" s="302"/>
      <c r="DP162" s="302"/>
      <c r="DQ162" s="302"/>
      <c r="DR162" s="302"/>
      <c r="DS162" s="302"/>
      <c r="DT162" s="302"/>
      <c r="DU162" s="302"/>
      <c r="DV162" s="302"/>
      <c r="DW162" s="302"/>
      <c r="DX162" s="302"/>
      <c r="DY162" s="302"/>
      <c r="DZ162" s="302"/>
      <c r="EA162" s="302"/>
      <c r="EB162" s="302"/>
      <c r="EC162" s="302"/>
      <c r="ED162" s="302"/>
      <c r="EE162" s="302"/>
      <c r="EF162" s="302"/>
      <c r="EG162" s="302"/>
      <c r="EH162" s="302"/>
      <c r="EI162" s="302"/>
      <c r="EJ162" s="302"/>
      <c r="EK162" s="302"/>
      <c r="EL162" s="302"/>
      <c r="EM162" s="302"/>
      <c r="EN162" s="302"/>
      <c r="EO162" s="302"/>
      <c r="EP162" s="302"/>
      <c r="EQ162" s="302"/>
      <c r="ER162" s="302"/>
      <c r="ES162" s="302"/>
      <c r="ET162" s="302"/>
      <c r="EU162" s="302"/>
      <c r="EV162" s="302"/>
      <c r="EW162" s="302"/>
      <c r="EX162" s="302"/>
      <c r="EY162" s="302"/>
      <c r="EZ162" s="302"/>
      <c r="FA162" s="302"/>
      <c r="FB162" s="302"/>
      <c r="FC162" s="302"/>
      <c r="FD162" s="302"/>
      <c r="FE162" s="302"/>
      <c r="FF162" s="302"/>
      <c r="FG162" s="302"/>
      <c r="FH162" s="302"/>
      <c r="FI162" s="302"/>
      <c r="FJ162" s="302"/>
      <c r="FK162" s="302"/>
      <c r="FL162" s="302"/>
      <c r="FM162" s="302"/>
      <c r="FN162" s="302"/>
      <c r="FO162" s="302"/>
      <c r="FP162" s="302"/>
      <c r="FQ162" s="302"/>
      <c r="FR162" s="302"/>
      <c r="FS162" s="302"/>
      <c r="FT162" s="302"/>
      <c r="FU162" s="302"/>
      <c r="FV162" s="302"/>
      <c r="FW162" s="302"/>
      <c r="FX162" s="302"/>
      <c r="FY162" s="302"/>
      <c r="FZ162" s="302"/>
      <c r="GA162" s="302"/>
      <c r="GB162" s="302"/>
      <c r="GC162" s="302"/>
      <c r="GD162" s="302"/>
      <c r="GE162" s="302"/>
      <c r="GF162" s="302"/>
      <c r="GG162" s="302"/>
      <c r="GH162" s="302"/>
      <c r="GI162" s="302"/>
      <c r="GJ162" s="302"/>
      <c r="GK162" s="302"/>
      <c r="GL162" s="302"/>
      <c r="GM162" s="302"/>
      <c r="GN162" s="302"/>
      <c r="GO162" s="302"/>
      <c r="GP162" s="302"/>
      <c r="GQ162" s="302"/>
      <c r="GR162" s="302"/>
      <c r="GS162" s="302"/>
      <c r="GT162" s="302"/>
      <c r="GU162" s="302"/>
      <c r="GV162" s="302"/>
      <c r="GW162" s="302"/>
      <c r="GX162" s="302"/>
      <c r="GY162" s="302"/>
      <c r="GZ162" s="302"/>
      <c r="HA162" s="302"/>
      <c r="HB162" s="302"/>
      <c r="HC162" s="302"/>
      <c r="HD162" s="302"/>
      <c r="HE162" s="302"/>
      <c r="HF162" s="302"/>
      <c r="HG162" s="302"/>
      <c r="HH162" s="302"/>
      <c r="HI162" s="302"/>
      <c r="HJ162" s="302"/>
      <c r="HK162" s="302"/>
      <c r="HL162" s="302"/>
      <c r="HM162" s="302"/>
      <c r="HN162" s="302"/>
      <c r="HO162" s="302"/>
      <c r="HP162" s="302"/>
      <c r="HQ162" s="302"/>
      <c r="HR162" s="302"/>
      <c r="HS162" s="302"/>
      <c r="HT162" s="302"/>
      <c r="HU162" s="302"/>
      <c r="HV162" s="302"/>
      <c r="HW162" s="302"/>
      <c r="HX162" s="302"/>
      <c r="HY162" s="302"/>
      <c r="HZ162" s="302"/>
      <c r="IA162" s="302"/>
      <c r="IB162" s="302"/>
      <c r="IC162" s="302"/>
      <c r="ID162" s="302"/>
      <c r="IE162" s="302"/>
      <c r="IF162" s="302"/>
      <c r="IG162" s="302"/>
      <c r="IH162" s="302"/>
      <c r="II162" s="302"/>
      <c r="IJ162" s="302"/>
      <c r="IK162" s="302"/>
      <c r="IL162" s="302"/>
      <c r="IM162" s="302"/>
      <c r="IN162" s="302"/>
      <c r="IO162" s="302"/>
      <c r="IP162" s="302"/>
      <c r="IQ162" s="302"/>
      <c r="IR162" s="302"/>
      <c r="IS162" s="302"/>
      <c r="IT162" s="302"/>
      <c r="IU162" s="302"/>
      <c r="IV162" s="302"/>
      <c r="IW162" s="302"/>
      <c r="IX162" s="302"/>
      <c r="IY162" s="302"/>
      <c r="IZ162" s="302"/>
      <c r="JA162" s="302"/>
      <c r="JB162" s="302"/>
      <c r="JC162" s="302"/>
      <c r="JD162" s="302"/>
      <c r="JE162" s="302"/>
      <c r="JF162" s="302"/>
      <c r="JG162" s="302"/>
      <c r="JH162" s="302"/>
      <c r="JI162" s="302"/>
      <c r="JJ162" s="302"/>
      <c r="JK162" s="302"/>
      <c r="JL162" s="302"/>
      <c r="JM162" s="302"/>
      <c r="JN162" s="302"/>
      <c r="JO162" s="302"/>
      <c r="JP162" s="302"/>
      <c r="JQ162" s="302"/>
      <c r="JR162" s="302"/>
      <c r="JS162" s="302"/>
      <c r="JT162" s="302"/>
      <c r="JU162" s="302"/>
      <c r="JV162" s="302"/>
      <c r="JW162" s="302"/>
      <c r="JX162" s="302"/>
      <c r="JY162" s="302"/>
      <c r="JZ162" s="302"/>
      <c r="KA162" s="302"/>
      <c r="KB162" s="302"/>
      <c r="KC162" s="302"/>
      <c r="KD162" s="302"/>
      <c r="KE162" s="302"/>
      <c r="KF162" s="302"/>
      <c r="KG162" s="302"/>
      <c r="KH162" s="302"/>
      <c r="KI162" s="302"/>
      <c r="KJ162" s="302"/>
      <c r="KK162" s="302"/>
      <c r="KL162" s="302"/>
      <c r="KM162" s="302"/>
      <c r="KN162" s="302"/>
      <c r="KO162" s="302"/>
      <c r="KP162" s="302"/>
      <c r="KQ162" s="302"/>
      <c r="KR162" s="302"/>
      <c r="KS162" s="302"/>
      <c r="KT162" s="302"/>
      <c r="KU162" s="302"/>
      <c r="KV162" s="302"/>
      <c r="KW162" s="302"/>
      <c r="KX162" s="302"/>
      <c r="KY162" s="302"/>
      <c r="KZ162" s="302"/>
      <c r="LA162" s="302"/>
      <c r="LB162" s="302"/>
      <c r="LC162" s="302"/>
      <c r="LD162" s="302"/>
      <c r="LE162" s="302"/>
      <c r="LF162" s="302"/>
      <c r="LG162" s="302"/>
      <c r="LH162" s="302"/>
      <c r="LI162" s="302"/>
      <c r="LJ162" s="302"/>
      <c r="LK162" s="302"/>
      <c r="LL162" s="302"/>
      <c r="LM162" s="302"/>
      <c r="LN162" s="302"/>
      <c r="LO162" s="302"/>
      <c r="LP162" s="302"/>
      <c r="LQ162" s="302"/>
      <c r="LR162" s="302"/>
      <c r="LS162" s="302"/>
      <c r="LT162" s="302"/>
      <c r="LU162" s="302"/>
      <c r="LV162" s="302"/>
      <c r="LW162" s="302"/>
      <c r="LX162" s="302"/>
      <c r="LY162" s="302"/>
      <c r="LZ162" s="302"/>
      <c r="MA162" s="302"/>
      <c r="MB162" s="302"/>
      <c r="MC162" s="302"/>
      <c r="MD162" s="302"/>
      <c r="ME162" s="302"/>
      <c r="MF162" s="302"/>
      <c r="MG162" s="302"/>
      <c r="MH162" s="302"/>
      <c r="MI162" s="302"/>
      <c r="MJ162" s="302"/>
      <c r="MK162" s="302"/>
      <c r="ML162" s="302"/>
      <c r="MM162" s="302"/>
      <c r="MN162" s="302"/>
      <c r="MO162" s="302"/>
      <c r="MP162" s="302"/>
      <c r="MQ162" s="302"/>
      <c r="MR162" s="302"/>
      <c r="MS162" s="302"/>
      <c r="MT162" s="302"/>
      <c r="MU162" s="302"/>
      <c r="MV162" s="302"/>
      <c r="MW162" s="302"/>
      <c r="MX162" s="302"/>
      <c r="MY162" s="302"/>
      <c r="MZ162" s="302"/>
      <c r="NA162" s="302"/>
      <c r="NB162" s="302"/>
      <c r="NC162" s="302"/>
      <c r="ND162" s="302"/>
      <c r="NE162" s="302"/>
      <c r="NF162" s="302"/>
      <c r="NG162" s="302"/>
      <c r="NH162" s="302"/>
      <c r="NI162" s="302"/>
      <c r="NJ162" s="302"/>
      <c r="NK162" s="302"/>
      <c r="NL162" s="302"/>
      <c r="NM162" s="302"/>
      <c r="NN162" s="302"/>
      <c r="NO162" s="302"/>
      <c r="NP162" s="302"/>
      <c r="NQ162" s="302"/>
      <c r="NR162" s="302"/>
      <c r="NS162" s="302"/>
      <c r="NT162" s="302"/>
      <c r="NU162" s="302"/>
      <c r="NV162" s="302"/>
      <c r="NW162" s="302"/>
      <c r="NX162" s="302"/>
      <c r="NY162" s="302"/>
      <c r="NZ162" s="302"/>
      <c r="OA162" s="302"/>
      <c r="OB162" s="302"/>
      <c r="OC162" s="302"/>
      <c r="OD162" s="302"/>
      <c r="OE162" s="302"/>
      <c r="OF162" s="302"/>
      <c r="OG162" s="302"/>
      <c r="OH162" s="302"/>
      <c r="OI162" s="302"/>
      <c r="OJ162" s="302"/>
      <c r="OK162" s="302"/>
      <c r="OL162" s="302"/>
      <c r="OM162" s="302"/>
      <c r="ON162" s="302"/>
      <c r="OO162" s="302"/>
      <c r="OP162" s="302"/>
      <c r="OQ162" s="302"/>
      <c r="OR162" s="302"/>
      <c r="OS162" s="302"/>
      <c r="OT162" s="302"/>
      <c r="OU162" s="302"/>
      <c r="OV162" s="302"/>
      <c r="OW162" s="302"/>
      <c r="OX162" s="302"/>
      <c r="OY162" s="302"/>
      <c r="OZ162" s="302"/>
      <c r="PA162" s="302"/>
      <c r="PB162" s="302"/>
      <c r="PC162" s="302"/>
      <c r="PD162" s="302"/>
      <c r="PE162" s="302"/>
      <c r="PF162" s="302"/>
      <c r="PG162" s="302"/>
      <c r="PH162" s="302"/>
      <c r="PI162" s="302"/>
      <c r="PJ162" s="302"/>
      <c r="PK162" s="302"/>
      <c r="PL162" s="302"/>
      <c r="PM162" s="302"/>
      <c r="PN162" s="302"/>
      <c r="PO162" s="302"/>
      <c r="PP162" s="302"/>
      <c r="PQ162" s="302"/>
      <c r="PR162" s="302"/>
      <c r="PS162" s="302"/>
      <c r="PT162" s="302"/>
      <c r="PU162" s="302"/>
      <c r="PV162" s="302"/>
      <c r="PW162" s="302"/>
      <c r="PX162" s="302"/>
      <c r="PY162" s="302"/>
      <c r="PZ162" s="302"/>
      <c r="QA162" s="302"/>
      <c r="QB162" s="302"/>
      <c r="QC162" s="302"/>
      <c r="QD162" s="302"/>
      <c r="QE162" s="302"/>
      <c r="QF162" s="302"/>
      <c r="QG162" s="302"/>
      <c r="QH162" s="302"/>
      <c r="QI162" s="302"/>
      <c r="QJ162" s="302"/>
      <c r="QK162" s="302"/>
      <c r="QL162" s="302"/>
      <c r="QM162" s="302"/>
      <c r="QN162" s="302"/>
      <c r="QO162" s="302"/>
      <c r="QP162" s="302"/>
      <c r="QQ162" s="302"/>
      <c r="QR162" s="302"/>
      <c r="QS162" s="302"/>
      <c r="QT162" s="302"/>
      <c r="QU162" s="302"/>
      <c r="QV162" s="302"/>
      <c r="QW162" s="302"/>
      <c r="QX162" s="302"/>
      <c r="QY162" s="302"/>
      <c r="QZ162" s="302"/>
      <c r="RA162" s="302"/>
      <c r="RB162" s="302"/>
      <c r="RC162" s="302"/>
      <c r="RD162" s="302"/>
      <c r="RE162" s="302"/>
      <c r="RF162" s="302"/>
      <c r="RG162" s="302"/>
      <c r="RH162" s="302"/>
      <c r="RI162" s="302"/>
      <c r="RJ162" s="302"/>
      <c r="RK162" s="302"/>
      <c r="RL162" s="302"/>
      <c r="RM162" s="302"/>
      <c r="RN162" s="302"/>
      <c r="RO162" s="302"/>
      <c r="RP162" s="302"/>
      <c r="RQ162" s="302"/>
      <c r="RR162" s="302"/>
      <c r="RS162" s="302"/>
      <c r="RT162" s="302"/>
      <c r="RU162" s="302"/>
      <c r="RV162" s="302"/>
      <c r="RW162" s="302"/>
      <c r="RX162" s="302"/>
      <c r="RY162" s="302"/>
      <c r="RZ162" s="302"/>
      <c r="SA162" s="302"/>
      <c r="SB162" s="302"/>
      <c r="SC162" s="302"/>
      <c r="SD162" s="302"/>
      <c r="SE162" s="302"/>
      <c r="SF162" s="302"/>
      <c r="SG162" s="302"/>
      <c r="SH162" s="302"/>
      <c r="SI162" s="302"/>
      <c r="SJ162" s="302"/>
      <c r="SK162" s="302"/>
      <c r="SL162" s="302"/>
      <c r="SM162" s="302"/>
      <c r="SN162" s="302"/>
      <c r="SO162" s="302"/>
      <c r="SP162" s="302"/>
      <c r="SQ162" s="302"/>
      <c r="SR162" s="302"/>
      <c r="SS162" s="302"/>
      <c r="ST162" s="302"/>
      <c r="SU162" s="302"/>
      <c r="SV162" s="302"/>
      <c r="SW162" s="302"/>
      <c r="SX162" s="302"/>
      <c r="SY162" s="302"/>
      <c r="SZ162" s="302"/>
      <c r="TA162" s="302"/>
      <c r="TB162" s="302"/>
      <c r="TC162" s="302"/>
      <c r="TD162" s="302"/>
      <c r="TE162" s="302"/>
      <c r="TF162" s="302"/>
      <c r="TG162" s="302"/>
      <c r="TH162" s="302"/>
      <c r="TI162" s="302"/>
      <c r="TJ162" s="302"/>
      <c r="TK162" s="302"/>
      <c r="TL162" s="302"/>
      <c r="TM162" s="302"/>
      <c r="TN162" s="302"/>
      <c r="TO162" s="302"/>
      <c r="TP162" s="302"/>
      <c r="TQ162" s="302"/>
      <c r="TR162" s="302"/>
      <c r="TS162" s="302"/>
      <c r="TT162" s="302"/>
      <c r="TU162" s="302"/>
      <c r="TV162" s="302"/>
      <c r="TW162" s="302"/>
      <c r="TX162" s="302"/>
      <c r="TY162" s="302"/>
      <c r="TZ162" s="302"/>
      <c r="UA162" s="302"/>
      <c r="UB162" s="302"/>
      <c r="UC162" s="302"/>
      <c r="UD162" s="302"/>
      <c r="UE162" s="302"/>
      <c r="UF162" s="302"/>
      <c r="UG162" s="302"/>
      <c r="UH162" s="302"/>
      <c r="UI162" s="302"/>
      <c r="UJ162" s="302"/>
      <c r="UK162" s="302"/>
      <c r="UL162" s="302"/>
      <c r="UM162" s="302"/>
      <c r="UN162" s="302"/>
      <c r="UO162" s="302"/>
      <c r="UP162" s="302"/>
      <c r="UQ162" s="302"/>
      <c r="UR162" s="302"/>
      <c r="US162" s="302"/>
      <c r="UT162" s="302"/>
      <c r="UU162" s="302"/>
      <c r="UV162" s="302"/>
      <c r="UW162" s="302"/>
      <c r="UX162" s="302"/>
      <c r="UY162" s="302"/>
      <c r="UZ162" s="302"/>
      <c r="VA162" s="302"/>
      <c r="VB162" s="302"/>
      <c r="VC162" s="302"/>
      <c r="VD162" s="302"/>
      <c r="VE162" s="302"/>
      <c r="VF162" s="302"/>
      <c r="VG162" s="302"/>
      <c r="VH162" s="302"/>
      <c r="VI162" s="302"/>
      <c r="VJ162" s="302"/>
      <c r="VK162" s="302"/>
      <c r="VL162" s="302"/>
      <c r="VM162" s="302"/>
      <c r="VN162" s="302"/>
      <c r="VO162" s="302"/>
      <c r="VP162" s="302"/>
      <c r="VQ162" s="302"/>
      <c r="VR162" s="302"/>
      <c r="VS162" s="302"/>
      <c r="VT162" s="302"/>
      <c r="VU162" s="302"/>
      <c r="VV162" s="302"/>
      <c r="VW162" s="302"/>
      <c r="VX162" s="302"/>
      <c r="VY162" s="302"/>
      <c r="VZ162" s="302"/>
      <c r="WA162" s="302"/>
      <c r="WB162" s="302"/>
      <c r="WC162" s="302"/>
      <c r="WD162" s="302"/>
      <c r="WE162" s="302"/>
      <c r="WF162" s="302"/>
      <c r="WG162" s="302"/>
      <c r="WH162" s="302"/>
      <c r="WI162" s="302"/>
      <c r="WJ162" s="302"/>
      <c r="WK162" s="302"/>
      <c r="WL162" s="302"/>
      <c r="WM162" s="302"/>
      <c r="WN162" s="302"/>
      <c r="WO162" s="302"/>
      <c r="WP162" s="302"/>
      <c r="WQ162" s="302"/>
      <c r="WR162" s="302"/>
      <c r="WS162" s="302"/>
      <c r="WT162" s="302"/>
      <c r="WU162" s="302"/>
      <c r="WV162" s="302"/>
      <c r="WW162" s="302"/>
      <c r="WX162" s="302"/>
      <c r="WY162" s="302"/>
      <c r="WZ162" s="302"/>
      <c r="XA162" s="302"/>
      <c r="XB162" s="302"/>
      <c r="XC162" s="302"/>
      <c r="XD162" s="302"/>
      <c r="XE162" s="302"/>
      <c r="XF162" s="302"/>
      <c r="XG162" s="302"/>
      <c r="XH162" s="302"/>
      <c r="XI162" s="302"/>
      <c r="XJ162" s="302"/>
      <c r="XK162" s="302"/>
      <c r="XL162" s="302"/>
      <c r="XM162" s="302"/>
      <c r="XN162" s="302"/>
      <c r="XO162" s="302"/>
      <c r="XP162" s="302"/>
      <c r="XQ162" s="302"/>
      <c r="XR162" s="302"/>
      <c r="XS162" s="302"/>
      <c r="XT162" s="302"/>
      <c r="XU162" s="302"/>
      <c r="XV162" s="302"/>
      <c r="XW162" s="302"/>
      <c r="XX162" s="302"/>
      <c r="XY162" s="302"/>
      <c r="XZ162" s="302"/>
      <c r="YA162" s="302"/>
      <c r="YB162" s="302"/>
      <c r="YC162" s="302"/>
      <c r="YD162" s="302"/>
      <c r="YE162" s="302"/>
      <c r="YF162" s="302"/>
      <c r="YG162" s="302"/>
      <c r="YH162" s="302"/>
      <c r="YI162" s="302"/>
      <c r="YJ162" s="302"/>
      <c r="YK162" s="302"/>
      <c r="YL162" s="302"/>
      <c r="YM162" s="302"/>
      <c r="YN162" s="302"/>
      <c r="YO162" s="302"/>
      <c r="YP162" s="302"/>
      <c r="YQ162" s="302"/>
      <c r="YR162" s="302"/>
      <c r="YS162" s="302"/>
      <c r="YT162" s="302"/>
      <c r="YU162" s="302"/>
      <c r="YV162" s="302"/>
      <c r="YW162" s="302"/>
      <c r="YX162" s="302"/>
      <c r="YY162" s="302"/>
      <c r="YZ162" s="302"/>
      <c r="ZA162" s="302"/>
      <c r="ZB162" s="302"/>
      <c r="ZC162" s="302"/>
      <c r="ZD162" s="302"/>
      <c r="ZE162" s="302"/>
      <c r="ZF162" s="302"/>
      <c r="ZG162" s="302"/>
      <c r="ZH162" s="302"/>
      <c r="ZI162" s="302"/>
      <c r="ZJ162" s="302"/>
      <c r="ZK162" s="302"/>
      <c r="ZL162" s="302"/>
      <c r="ZM162" s="302"/>
      <c r="ZN162" s="302"/>
      <c r="ZO162" s="302"/>
      <c r="ZP162" s="302"/>
      <c r="ZQ162" s="302"/>
      <c r="ZR162" s="302"/>
      <c r="ZS162" s="302"/>
      <c r="ZT162" s="302"/>
      <c r="ZU162" s="302"/>
      <c r="ZV162" s="302"/>
      <c r="ZW162" s="302"/>
      <c r="ZX162" s="302"/>
      <c r="ZY162" s="302"/>
      <c r="ZZ162" s="302"/>
      <c r="AAA162" s="302"/>
      <c r="AAB162" s="302"/>
      <c r="AAC162" s="302"/>
      <c r="AAD162" s="302"/>
      <c r="AAE162" s="302"/>
      <c r="AAF162" s="302"/>
      <c r="AAG162" s="302"/>
      <c r="AAH162" s="302"/>
      <c r="AAI162" s="302"/>
      <c r="AAJ162" s="302"/>
      <c r="AAK162" s="302"/>
      <c r="AAL162" s="302"/>
      <c r="AAM162" s="302"/>
      <c r="AAN162" s="302"/>
      <c r="AAO162" s="302"/>
      <c r="AAP162" s="302"/>
      <c r="AAQ162" s="302"/>
      <c r="AAR162" s="302"/>
      <c r="AAS162" s="302"/>
      <c r="AAT162" s="302"/>
      <c r="AAU162" s="302"/>
      <c r="AAV162" s="302"/>
      <c r="AAW162" s="302"/>
      <c r="AAX162" s="302"/>
      <c r="AAY162" s="302"/>
      <c r="AAZ162" s="302"/>
      <c r="ABA162" s="302"/>
      <c r="ABB162" s="302"/>
      <c r="ABC162" s="302"/>
      <c r="ABD162" s="302"/>
      <c r="ABE162" s="302"/>
      <c r="ABF162" s="302"/>
      <c r="ABG162" s="302"/>
      <c r="ABH162" s="302"/>
      <c r="ABI162" s="302"/>
      <c r="ABJ162" s="302"/>
      <c r="ABK162" s="302"/>
      <c r="ABL162" s="302"/>
      <c r="ABM162" s="302"/>
      <c r="ABN162" s="302"/>
      <c r="ABO162" s="302"/>
      <c r="ABP162" s="302"/>
      <c r="ABQ162" s="302"/>
      <c r="ABR162" s="302"/>
      <c r="ABS162" s="302"/>
      <c r="ABT162" s="302"/>
      <c r="ABU162" s="302"/>
      <c r="ABV162" s="302"/>
      <c r="ABW162" s="302"/>
      <c r="ABX162" s="302"/>
      <c r="ABY162" s="302"/>
      <c r="ABZ162" s="302"/>
      <c r="ACA162" s="302"/>
      <c r="ACB162" s="302"/>
      <c r="ACC162" s="302"/>
      <c r="ACD162" s="302"/>
      <c r="ACE162" s="302"/>
      <c r="ACF162" s="302"/>
      <c r="ACG162" s="302"/>
      <c r="ACH162" s="302"/>
      <c r="ACI162" s="302"/>
      <c r="ACJ162" s="302"/>
      <c r="ACK162" s="302"/>
      <c r="ACL162" s="302"/>
      <c r="ACM162" s="302"/>
      <c r="ACN162" s="302"/>
      <c r="ACO162" s="302"/>
      <c r="ACP162" s="302"/>
      <c r="ACQ162" s="302"/>
      <c r="ACR162" s="302"/>
      <c r="ACS162" s="302"/>
      <c r="ACT162" s="302"/>
      <c r="ACU162" s="302"/>
      <c r="ACV162" s="302"/>
      <c r="ACW162" s="302"/>
      <c r="ACX162" s="302"/>
      <c r="ACY162" s="302"/>
      <c r="ACZ162" s="302"/>
      <c r="ADA162" s="302"/>
      <c r="ADB162" s="302"/>
      <c r="ADC162" s="302"/>
      <c r="ADD162" s="302"/>
      <c r="ADE162" s="302"/>
      <c r="ADF162" s="302"/>
      <c r="ADG162" s="302"/>
      <c r="ADH162" s="302"/>
      <c r="ADI162" s="302"/>
      <c r="ADJ162" s="302"/>
      <c r="ADK162" s="302"/>
      <c r="ADL162" s="302"/>
      <c r="ADM162" s="302"/>
      <c r="ADN162" s="302"/>
      <c r="ADO162" s="302"/>
      <c r="ADP162" s="302"/>
      <c r="ADQ162" s="302"/>
      <c r="ADR162" s="302"/>
      <c r="ADS162" s="302"/>
      <c r="ADT162" s="302"/>
      <c r="ADU162" s="302"/>
      <c r="ADV162" s="302"/>
      <c r="ADW162" s="302"/>
      <c r="ADX162" s="302"/>
      <c r="ADY162" s="302"/>
      <c r="ADZ162" s="302"/>
      <c r="AEA162" s="302"/>
      <c r="AEB162" s="302"/>
      <c r="AEC162" s="302"/>
      <c r="AED162" s="302"/>
      <c r="AEE162" s="302"/>
      <c r="AEF162" s="302"/>
      <c r="AEG162" s="302"/>
      <c r="AEH162" s="302"/>
      <c r="AEI162" s="302"/>
      <c r="AEJ162" s="302"/>
      <c r="AEK162" s="302"/>
      <c r="AEL162" s="302"/>
      <c r="AEM162" s="302"/>
      <c r="AEN162" s="302"/>
      <c r="AEO162" s="302"/>
      <c r="AEP162" s="302"/>
      <c r="AEQ162" s="302"/>
      <c r="AER162" s="302"/>
      <c r="AES162" s="302"/>
      <c r="AET162" s="302"/>
      <c r="AEU162" s="302"/>
      <c r="AEV162" s="302"/>
      <c r="AEW162" s="302"/>
      <c r="AEX162" s="302"/>
      <c r="AEY162" s="302"/>
      <c r="AEZ162" s="302"/>
      <c r="AFA162" s="302"/>
      <c r="AFB162" s="302"/>
      <c r="AFC162" s="302"/>
      <c r="AFD162" s="302"/>
      <c r="AFE162" s="302"/>
      <c r="AFF162" s="302"/>
      <c r="AFG162" s="302"/>
      <c r="AFH162" s="302"/>
      <c r="AFI162" s="302"/>
      <c r="AFJ162" s="302"/>
      <c r="AFK162" s="302"/>
      <c r="AFL162" s="302"/>
      <c r="AFM162" s="302"/>
      <c r="AFN162" s="302"/>
      <c r="AFO162" s="302"/>
      <c r="AFP162" s="302"/>
      <c r="AFQ162" s="302"/>
      <c r="AFR162" s="302"/>
      <c r="AFS162" s="302"/>
      <c r="AFT162" s="302"/>
      <c r="AFU162" s="302"/>
      <c r="AFV162" s="302"/>
      <c r="AFW162" s="302"/>
      <c r="AFX162" s="302"/>
      <c r="AFY162" s="302"/>
      <c r="AFZ162" s="302"/>
      <c r="AGA162" s="302"/>
      <c r="AGB162" s="302"/>
      <c r="AGC162" s="302"/>
      <c r="AGD162" s="302"/>
      <c r="AGE162" s="302"/>
      <c r="AGF162" s="302"/>
      <c r="AGG162" s="302"/>
      <c r="AGH162" s="302"/>
      <c r="AGI162" s="302"/>
      <c r="AGJ162" s="302"/>
      <c r="AGK162" s="302"/>
      <c r="AGL162" s="302"/>
      <c r="AGM162" s="302"/>
      <c r="AGN162" s="302"/>
      <c r="AGO162" s="302"/>
      <c r="AGP162" s="302"/>
      <c r="AGQ162" s="302"/>
      <c r="AGR162" s="302"/>
      <c r="AGS162" s="302"/>
      <c r="AGT162" s="302"/>
      <c r="AGU162" s="302"/>
      <c r="AGV162" s="302"/>
      <c r="AGW162" s="302"/>
      <c r="AGX162" s="302"/>
      <c r="AGY162" s="302"/>
      <c r="AGZ162" s="302"/>
      <c r="AHA162" s="302"/>
      <c r="AHB162" s="302"/>
      <c r="AHC162" s="302"/>
      <c r="AHD162" s="302"/>
      <c r="AHE162" s="302"/>
      <c r="AHF162" s="302"/>
      <c r="AHG162" s="302"/>
      <c r="AHH162" s="302"/>
      <c r="AHI162" s="302"/>
      <c r="AHJ162" s="302"/>
      <c r="AHK162" s="302"/>
      <c r="AHL162" s="302"/>
      <c r="AHM162" s="302"/>
      <c r="AHN162" s="302"/>
      <c r="AHO162" s="302"/>
      <c r="AHP162" s="302"/>
      <c r="AHQ162" s="302"/>
      <c r="AHR162" s="302"/>
      <c r="AHS162" s="302"/>
      <c r="AHT162" s="302"/>
      <c r="AHU162" s="302"/>
      <c r="AHV162" s="302"/>
      <c r="AHW162" s="302"/>
      <c r="AHX162" s="302"/>
      <c r="AHY162" s="302"/>
      <c r="AHZ162" s="302"/>
      <c r="AIA162" s="302"/>
      <c r="AIB162" s="302"/>
      <c r="AIC162" s="302"/>
      <c r="AID162" s="302"/>
      <c r="AIE162" s="302"/>
      <c r="AIF162" s="302"/>
      <c r="AIG162" s="302"/>
      <c r="AIH162" s="302"/>
      <c r="AII162" s="302"/>
      <c r="AIJ162" s="302"/>
      <c r="AIK162" s="302"/>
      <c r="AIL162" s="302"/>
      <c r="AIM162" s="302"/>
      <c r="AIN162" s="302"/>
      <c r="AIO162" s="302"/>
      <c r="AIP162" s="302"/>
      <c r="AIQ162" s="302"/>
      <c r="AIR162" s="302"/>
      <c r="AIS162" s="302"/>
      <c r="AIT162" s="302"/>
      <c r="AIU162" s="302"/>
      <c r="AIV162" s="302"/>
      <c r="AIW162" s="302"/>
      <c r="AIX162" s="302"/>
      <c r="AIY162" s="302"/>
      <c r="AIZ162" s="302"/>
      <c r="AJA162" s="302"/>
      <c r="AJB162" s="302"/>
      <c r="AJC162" s="302"/>
      <c r="AJD162" s="302"/>
      <c r="AJE162" s="302"/>
      <c r="AJF162" s="302"/>
      <c r="AJG162" s="302"/>
      <c r="AJH162" s="302"/>
      <c r="AJI162" s="302"/>
      <c r="AJJ162" s="302"/>
      <c r="AJK162" s="302"/>
      <c r="AJL162" s="302"/>
      <c r="AJM162" s="302"/>
      <c r="AJN162" s="302"/>
      <c r="AJO162" s="302"/>
      <c r="AJP162" s="302"/>
      <c r="AJQ162" s="302"/>
      <c r="AJR162" s="302"/>
      <c r="AJS162" s="302"/>
      <c r="AJT162" s="302"/>
      <c r="AJU162" s="302"/>
      <c r="AJV162" s="302"/>
      <c r="AJW162" s="302"/>
      <c r="AJX162" s="302"/>
      <c r="AJY162" s="302"/>
      <c r="AJZ162" s="302"/>
      <c r="AKA162" s="302"/>
      <c r="AKB162" s="302"/>
      <c r="AKC162" s="302"/>
      <c r="AKD162" s="302"/>
      <c r="AKE162" s="302"/>
      <c r="AKF162" s="302"/>
      <c r="AKG162" s="302"/>
      <c r="AKH162" s="302"/>
      <c r="AKI162" s="302"/>
      <c r="AKJ162" s="302"/>
      <c r="AKK162" s="302"/>
      <c r="AKL162" s="302"/>
      <c r="AKM162" s="302"/>
      <c r="AKN162" s="302"/>
      <c r="AKO162" s="302"/>
      <c r="AKP162" s="302"/>
      <c r="AKQ162" s="302"/>
      <c r="AKR162" s="302"/>
      <c r="AKS162" s="302"/>
      <c r="AKT162" s="302"/>
      <c r="AKU162" s="302"/>
      <c r="AKV162" s="302"/>
      <c r="AKW162" s="302"/>
      <c r="AKX162" s="302"/>
      <c r="AKY162" s="302"/>
      <c r="AKZ162" s="302"/>
      <c r="ALA162" s="302"/>
      <c r="ALB162" s="302"/>
      <c r="ALC162" s="302"/>
      <c r="ALD162" s="302"/>
      <c r="ALE162" s="302"/>
      <c r="ALF162" s="302"/>
      <c r="ALG162" s="302"/>
      <c r="ALH162" s="302"/>
      <c r="ALI162" s="302"/>
      <c r="ALJ162" s="302"/>
      <c r="ALK162" s="302"/>
      <c r="ALL162" s="302"/>
      <c r="ALM162" s="302"/>
      <c r="ALN162" s="302"/>
      <c r="ALO162" s="302"/>
      <c r="ALP162" s="302"/>
      <c r="ALQ162" s="302"/>
      <c r="ALR162" s="302"/>
      <c r="ALS162" s="302"/>
      <c r="ALT162" s="302"/>
      <c r="ALU162" s="302"/>
      <c r="ALV162" s="302"/>
      <c r="ALW162" s="302"/>
      <c r="ALX162" s="302"/>
      <c r="ALY162" s="302"/>
      <c r="ALZ162" s="302"/>
      <c r="AMA162" s="302"/>
      <c r="AMB162" s="302"/>
      <c r="AMC162" s="302"/>
      <c r="AMD162" s="302"/>
      <c r="AME162" s="302"/>
      <c r="AMF162" s="302"/>
      <c r="AMG162" s="302"/>
      <c r="AMH162" s="302"/>
      <c r="AMI162" s="302"/>
    </row>
    <row r="163" spans="1:1023" hidden="1">
      <c r="A163" s="302"/>
      <c r="B163" s="312"/>
      <c r="C163" s="311"/>
      <c r="D163" s="312"/>
      <c r="E163" s="313"/>
      <c r="F163" s="303"/>
      <c r="G163" s="279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2"/>
      <c r="AE163" s="302"/>
      <c r="AF163" s="302"/>
      <c r="AG163" s="302"/>
      <c r="AH163" s="302"/>
      <c r="AI163" s="302"/>
      <c r="AJ163" s="302"/>
      <c r="AK163" s="302"/>
      <c r="AL163" s="302"/>
      <c r="AM163" s="302"/>
      <c r="AN163" s="302"/>
      <c r="AO163" s="302"/>
      <c r="AP163" s="302"/>
      <c r="AQ163" s="302"/>
      <c r="AR163" s="302"/>
      <c r="AS163" s="302"/>
      <c r="AT163" s="302"/>
      <c r="AU163" s="302"/>
      <c r="AV163" s="302"/>
      <c r="AW163" s="302"/>
      <c r="AX163" s="302"/>
      <c r="AY163" s="302"/>
      <c r="AZ163" s="302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K163" s="302"/>
      <c r="BL163" s="302"/>
      <c r="BM163" s="302"/>
      <c r="BN163" s="302"/>
      <c r="BO163" s="302"/>
      <c r="BP163" s="302"/>
      <c r="BQ163" s="302"/>
      <c r="BR163" s="302"/>
      <c r="BS163" s="302"/>
      <c r="BT163" s="302"/>
      <c r="BU163" s="302"/>
      <c r="BV163" s="302"/>
      <c r="BW163" s="302"/>
      <c r="BX163" s="302"/>
      <c r="BY163" s="302"/>
      <c r="BZ163" s="302"/>
      <c r="CA163" s="302"/>
      <c r="CB163" s="302"/>
      <c r="CC163" s="302"/>
      <c r="CD163" s="302"/>
      <c r="CE163" s="302"/>
      <c r="CF163" s="302"/>
      <c r="CG163" s="302"/>
      <c r="CH163" s="302"/>
      <c r="CI163" s="302"/>
      <c r="CJ163" s="302"/>
      <c r="CK163" s="302"/>
      <c r="CL163" s="302"/>
      <c r="CM163" s="302"/>
      <c r="CN163" s="302"/>
      <c r="CO163" s="302"/>
      <c r="CP163" s="302"/>
      <c r="CQ163" s="302"/>
      <c r="CR163" s="302"/>
      <c r="CS163" s="302"/>
      <c r="CT163" s="302"/>
      <c r="CU163" s="302"/>
      <c r="CV163" s="302"/>
      <c r="CW163" s="302"/>
      <c r="CX163" s="302"/>
      <c r="CY163" s="302"/>
      <c r="CZ163" s="302"/>
      <c r="DA163" s="302"/>
      <c r="DB163" s="302"/>
      <c r="DC163" s="302"/>
      <c r="DD163" s="302"/>
      <c r="DE163" s="302"/>
      <c r="DF163" s="302"/>
      <c r="DG163" s="302"/>
      <c r="DH163" s="302"/>
      <c r="DI163" s="302"/>
      <c r="DJ163" s="302"/>
      <c r="DK163" s="302"/>
      <c r="DL163" s="302"/>
      <c r="DM163" s="302"/>
      <c r="DN163" s="302"/>
      <c r="DO163" s="302"/>
      <c r="DP163" s="302"/>
      <c r="DQ163" s="302"/>
      <c r="DR163" s="302"/>
      <c r="DS163" s="302"/>
      <c r="DT163" s="302"/>
      <c r="DU163" s="302"/>
      <c r="DV163" s="302"/>
      <c r="DW163" s="302"/>
      <c r="DX163" s="302"/>
      <c r="DY163" s="302"/>
      <c r="DZ163" s="302"/>
      <c r="EA163" s="302"/>
      <c r="EB163" s="302"/>
      <c r="EC163" s="302"/>
      <c r="ED163" s="302"/>
      <c r="EE163" s="302"/>
      <c r="EF163" s="302"/>
      <c r="EG163" s="302"/>
      <c r="EH163" s="302"/>
      <c r="EI163" s="302"/>
      <c r="EJ163" s="302"/>
      <c r="EK163" s="302"/>
      <c r="EL163" s="302"/>
      <c r="EM163" s="302"/>
      <c r="EN163" s="302"/>
      <c r="EO163" s="302"/>
      <c r="EP163" s="302"/>
      <c r="EQ163" s="302"/>
      <c r="ER163" s="302"/>
      <c r="ES163" s="302"/>
      <c r="ET163" s="302"/>
      <c r="EU163" s="302"/>
      <c r="EV163" s="302"/>
      <c r="EW163" s="302"/>
      <c r="EX163" s="302"/>
      <c r="EY163" s="302"/>
      <c r="EZ163" s="302"/>
      <c r="FA163" s="302"/>
      <c r="FB163" s="302"/>
      <c r="FC163" s="302"/>
      <c r="FD163" s="302"/>
      <c r="FE163" s="302"/>
      <c r="FF163" s="302"/>
      <c r="FG163" s="302"/>
      <c r="FH163" s="302"/>
      <c r="FI163" s="302"/>
      <c r="FJ163" s="302"/>
      <c r="FK163" s="302"/>
      <c r="FL163" s="302"/>
      <c r="FM163" s="302"/>
      <c r="FN163" s="302"/>
      <c r="FO163" s="302"/>
      <c r="FP163" s="302"/>
      <c r="FQ163" s="302"/>
      <c r="FR163" s="302"/>
      <c r="FS163" s="302"/>
      <c r="FT163" s="302"/>
      <c r="FU163" s="302"/>
      <c r="FV163" s="302"/>
      <c r="FW163" s="302"/>
      <c r="FX163" s="302"/>
      <c r="FY163" s="302"/>
      <c r="FZ163" s="302"/>
      <c r="GA163" s="302"/>
      <c r="GB163" s="302"/>
      <c r="GC163" s="302"/>
      <c r="GD163" s="302"/>
      <c r="GE163" s="302"/>
      <c r="GF163" s="302"/>
      <c r="GG163" s="302"/>
      <c r="GH163" s="302"/>
      <c r="GI163" s="302"/>
      <c r="GJ163" s="302"/>
      <c r="GK163" s="302"/>
      <c r="GL163" s="302"/>
      <c r="GM163" s="302"/>
      <c r="GN163" s="302"/>
      <c r="GO163" s="302"/>
      <c r="GP163" s="302"/>
      <c r="GQ163" s="302"/>
      <c r="GR163" s="302"/>
      <c r="GS163" s="302"/>
      <c r="GT163" s="302"/>
      <c r="GU163" s="302"/>
      <c r="GV163" s="302"/>
      <c r="GW163" s="302"/>
      <c r="GX163" s="302"/>
      <c r="GY163" s="302"/>
      <c r="GZ163" s="302"/>
      <c r="HA163" s="302"/>
      <c r="HB163" s="302"/>
      <c r="HC163" s="302"/>
      <c r="HD163" s="302"/>
      <c r="HE163" s="302"/>
      <c r="HF163" s="302"/>
      <c r="HG163" s="302"/>
      <c r="HH163" s="302"/>
      <c r="HI163" s="302"/>
      <c r="HJ163" s="302"/>
      <c r="HK163" s="302"/>
      <c r="HL163" s="302"/>
      <c r="HM163" s="302"/>
      <c r="HN163" s="302"/>
      <c r="HO163" s="302"/>
      <c r="HP163" s="302"/>
      <c r="HQ163" s="302"/>
      <c r="HR163" s="302"/>
      <c r="HS163" s="302"/>
      <c r="HT163" s="302"/>
      <c r="HU163" s="302"/>
      <c r="HV163" s="302"/>
      <c r="HW163" s="302"/>
      <c r="HX163" s="302"/>
      <c r="HY163" s="302"/>
      <c r="HZ163" s="302"/>
      <c r="IA163" s="302"/>
      <c r="IB163" s="302"/>
      <c r="IC163" s="302"/>
      <c r="ID163" s="302"/>
      <c r="IE163" s="302"/>
      <c r="IF163" s="302"/>
      <c r="IG163" s="302"/>
      <c r="IH163" s="302"/>
      <c r="II163" s="302"/>
      <c r="IJ163" s="302"/>
      <c r="IK163" s="302"/>
      <c r="IL163" s="302"/>
      <c r="IM163" s="302"/>
      <c r="IN163" s="302"/>
      <c r="IO163" s="302"/>
      <c r="IP163" s="302"/>
      <c r="IQ163" s="302"/>
      <c r="IR163" s="302"/>
      <c r="IS163" s="302"/>
      <c r="IT163" s="302"/>
      <c r="IU163" s="302"/>
      <c r="IV163" s="302"/>
      <c r="IW163" s="302"/>
      <c r="IX163" s="302"/>
      <c r="IY163" s="302"/>
      <c r="IZ163" s="302"/>
      <c r="JA163" s="302"/>
      <c r="JB163" s="302"/>
      <c r="JC163" s="302"/>
      <c r="JD163" s="302"/>
      <c r="JE163" s="302"/>
      <c r="JF163" s="302"/>
      <c r="JG163" s="302"/>
      <c r="JH163" s="302"/>
      <c r="JI163" s="302"/>
      <c r="JJ163" s="302"/>
      <c r="JK163" s="302"/>
      <c r="JL163" s="302"/>
      <c r="JM163" s="302"/>
      <c r="JN163" s="302"/>
      <c r="JO163" s="302"/>
      <c r="JP163" s="302"/>
      <c r="JQ163" s="302"/>
      <c r="JR163" s="302"/>
      <c r="JS163" s="302"/>
      <c r="JT163" s="302"/>
      <c r="JU163" s="302"/>
      <c r="JV163" s="302"/>
      <c r="JW163" s="302"/>
      <c r="JX163" s="302"/>
      <c r="JY163" s="302"/>
      <c r="JZ163" s="302"/>
      <c r="KA163" s="302"/>
      <c r="KB163" s="302"/>
      <c r="KC163" s="302"/>
      <c r="KD163" s="302"/>
      <c r="KE163" s="302"/>
      <c r="KF163" s="302"/>
      <c r="KG163" s="302"/>
      <c r="KH163" s="302"/>
      <c r="KI163" s="302"/>
      <c r="KJ163" s="302"/>
      <c r="KK163" s="302"/>
      <c r="KL163" s="302"/>
      <c r="KM163" s="302"/>
      <c r="KN163" s="302"/>
      <c r="KO163" s="302"/>
      <c r="KP163" s="302"/>
      <c r="KQ163" s="302"/>
      <c r="KR163" s="302"/>
      <c r="KS163" s="302"/>
      <c r="KT163" s="302"/>
      <c r="KU163" s="302"/>
      <c r="KV163" s="302"/>
      <c r="KW163" s="302"/>
      <c r="KX163" s="302"/>
      <c r="KY163" s="302"/>
      <c r="KZ163" s="302"/>
      <c r="LA163" s="302"/>
      <c r="LB163" s="302"/>
      <c r="LC163" s="302"/>
      <c r="LD163" s="302"/>
      <c r="LE163" s="302"/>
      <c r="LF163" s="302"/>
      <c r="LG163" s="302"/>
      <c r="LH163" s="302"/>
      <c r="LI163" s="302"/>
      <c r="LJ163" s="302"/>
      <c r="LK163" s="302"/>
      <c r="LL163" s="302"/>
      <c r="LM163" s="302"/>
      <c r="LN163" s="302"/>
      <c r="LO163" s="302"/>
      <c r="LP163" s="302"/>
      <c r="LQ163" s="302"/>
      <c r="LR163" s="302"/>
      <c r="LS163" s="302"/>
      <c r="LT163" s="302"/>
      <c r="LU163" s="302"/>
      <c r="LV163" s="302"/>
      <c r="LW163" s="302"/>
      <c r="LX163" s="302"/>
      <c r="LY163" s="302"/>
      <c r="LZ163" s="302"/>
      <c r="MA163" s="302"/>
      <c r="MB163" s="302"/>
      <c r="MC163" s="302"/>
      <c r="MD163" s="302"/>
      <c r="ME163" s="302"/>
      <c r="MF163" s="302"/>
      <c r="MG163" s="302"/>
      <c r="MH163" s="302"/>
      <c r="MI163" s="302"/>
      <c r="MJ163" s="302"/>
      <c r="MK163" s="302"/>
      <c r="ML163" s="302"/>
      <c r="MM163" s="302"/>
      <c r="MN163" s="302"/>
      <c r="MO163" s="302"/>
      <c r="MP163" s="302"/>
      <c r="MQ163" s="302"/>
      <c r="MR163" s="302"/>
      <c r="MS163" s="302"/>
      <c r="MT163" s="302"/>
      <c r="MU163" s="302"/>
      <c r="MV163" s="302"/>
      <c r="MW163" s="302"/>
      <c r="MX163" s="302"/>
      <c r="MY163" s="302"/>
      <c r="MZ163" s="302"/>
      <c r="NA163" s="302"/>
      <c r="NB163" s="302"/>
      <c r="NC163" s="302"/>
      <c r="ND163" s="302"/>
      <c r="NE163" s="302"/>
      <c r="NF163" s="302"/>
      <c r="NG163" s="302"/>
      <c r="NH163" s="302"/>
      <c r="NI163" s="302"/>
      <c r="NJ163" s="302"/>
      <c r="NK163" s="302"/>
      <c r="NL163" s="302"/>
      <c r="NM163" s="302"/>
      <c r="NN163" s="302"/>
      <c r="NO163" s="302"/>
      <c r="NP163" s="302"/>
      <c r="NQ163" s="302"/>
      <c r="NR163" s="302"/>
      <c r="NS163" s="302"/>
      <c r="NT163" s="302"/>
      <c r="NU163" s="302"/>
      <c r="NV163" s="302"/>
      <c r="NW163" s="302"/>
      <c r="NX163" s="302"/>
      <c r="NY163" s="302"/>
      <c r="NZ163" s="302"/>
      <c r="OA163" s="302"/>
      <c r="OB163" s="302"/>
      <c r="OC163" s="302"/>
      <c r="OD163" s="302"/>
      <c r="OE163" s="302"/>
      <c r="OF163" s="302"/>
      <c r="OG163" s="302"/>
      <c r="OH163" s="302"/>
      <c r="OI163" s="302"/>
      <c r="OJ163" s="302"/>
      <c r="OK163" s="302"/>
      <c r="OL163" s="302"/>
      <c r="OM163" s="302"/>
      <c r="ON163" s="302"/>
      <c r="OO163" s="302"/>
      <c r="OP163" s="302"/>
      <c r="OQ163" s="302"/>
      <c r="OR163" s="302"/>
      <c r="OS163" s="302"/>
      <c r="OT163" s="302"/>
      <c r="OU163" s="302"/>
      <c r="OV163" s="302"/>
      <c r="OW163" s="302"/>
      <c r="OX163" s="302"/>
      <c r="OY163" s="302"/>
      <c r="OZ163" s="302"/>
      <c r="PA163" s="302"/>
      <c r="PB163" s="302"/>
      <c r="PC163" s="302"/>
      <c r="PD163" s="302"/>
      <c r="PE163" s="302"/>
      <c r="PF163" s="302"/>
      <c r="PG163" s="302"/>
      <c r="PH163" s="302"/>
      <c r="PI163" s="302"/>
      <c r="PJ163" s="302"/>
      <c r="PK163" s="302"/>
      <c r="PL163" s="302"/>
      <c r="PM163" s="302"/>
      <c r="PN163" s="302"/>
      <c r="PO163" s="302"/>
      <c r="PP163" s="302"/>
      <c r="PQ163" s="302"/>
      <c r="PR163" s="302"/>
      <c r="PS163" s="302"/>
      <c r="PT163" s="302"/>
      <c r="PU163" s="302"/>
      <c r="PV163" s="302"/>
      <c r="PW163" s="302"/>
      <c r="PX163" s="302"/>
      <c r="PY163" s="302"/>
      <c r="PZ163" s="302"/>
      <c r="QA163" s="302"/>
      <c r="QB163" s="302"/>
      <c r="QC163" s="302"/>
      <c r="QD163" s="302"/>
      <c r="QE163" s="302"/>
      <c r="QF163" s="302"/>
      <c r="QG163" s="302"/>
      <c r="QH163" s="302"/>
      <c r="QI163" s="302"/>
      <c r="QJ163" s="302"/>
      <c r="QK163" s="302"/>
      <c r="QL163" s="302"/>
      <c r="QM163" s="302"/>
      <c r="QN163" s="302"/>
      <c r="QO163" s="302"/>
      <c r="QP163" s="302"/>
      <c r="QQ163" s="302"/>
      <c r="QR163" s="302"/>
      <c r="QS163" s="302"/>
      <c r="QT163" s="302"/>
      <c r="QU163" s="302"/>
      <c r="QV163" s="302"/>
      <c r="QW163" s="302"/>
      <c r="QX163" s="302"/>
      <c r="QY163" s="302"/>
      <c r="QZ163" s="302"/>
      <c r="RA163" s="302"/>
      <c r="RB163" s="302"/>
      <c r="RC163" s="302"/>
      <c r="RD163" s="302"/>
      <c r="RE163" s="302"/>
      <c r="RF163" s="302"/>
      <c r="RG163" s="302"/>
      <c r="RH163" s="302"/>
      <c r="RI163" s="302"/>
      <c r="RJ163" s="302"/>
      <c r="RK163" s="302"/>
      <c r="RL163" s="302"/>
      <c r="RM163" s="302"/>
      <c r="RN163" s="302"/>
      <c r="RO163" s="302"/>
      <c r="RP163" s="302"/>
      <c r="RQ163" s="302"/>
      <c r="RR163" s="302"/>
      <c r="RS163" s="302"/>
      <c r="RT163" s="302"/>
      <c r="RU163" s="302"/>
      <c r="RV163" s="302"/>
      <c r="RW163" s="302"/>
      <c r="RX163" s="302"/>
      <c r="RY163" s="302"/>
      <c r="RZ163" s="302"/>
      <c r="SA163" s="302"/>
      <c r="SB163" s="302"/>
      <c r="SC163" s="302"/>
      <c r="SD163" s="302"/>
      <c r="SE163" s="302"/>
      <c r="SF163" s="302"/>
      <c r="SG163" s="302"/>
      <c r="SH163" s="302"/>
      <c r="SI163" s="302"/>
      <c r="SJ163" s="302"/>
      <c r="SK163" s="302"/>
      <c r="SL163" s="302"/>
      <c r="SM163" s="302"/>
      <c r="SN163" s="302"/>
      <c r="SO163" s="302"/>
      <c r="SP163" s="302"/>
      <c r="SQ163" s="302"/>
      <c r="SR163" s="302"/>
      <c r="SS163" s="302"/>
      <c r="ST163" s="302"/>
      <c r="SU163" s="302"/>
      <c r="SV163" s="302"/>
      <c r="SW163" s="302"/>
      <c r="SX163" s="302"/>
      <c r="SY163" s="302"/>
      <c r="SZ163" s="302"/>
      <c r="TA163" s="302"/>
      <c r="TB163" s="302"/>
      <c r="TC163" s="302"/>
      <c r="TD163" s="302"/>
      <c r="TE163" s="302"/>
      <c r="TF163" s="302"/>
      <c r="TG163" s="302"/>
      <c r="TH163" s="302"/>
      <c r="TI163" s="302"/>
      <c r="TJ163" s="302"/>
      <c r="TK163" s="302"/>
      <c r="TL163" s="302"/>
      <c r="TM163" s="302"/>
      <c r="TN163" s="302"/>
      <c r="TO163" s="302"/>
      <c r="TP163" s="302"/>
      <c r="TQ163" s="302"/>
      <c r="TR163" s="302"/>
      <c r="TS163" s="302"/>
      <c r="TT163" s="302"/>
      <c r="TU163" s="302"/>
      <c r="TV163" s="302"/>
      <c r="TW163" s="302"/>
      <c r="TX163" s="302"/>
      <c r="TY163" s="302"/>
      <c r="TZ163" s="302"/>
      <c r="UA163" s="302"/>
      <c r="UB163" s="302"/>
      <c r="UC163" s="302"/>
      <c r="UD163" s="302"/>
      <c r="UE163" s="302"/>
      <c r="UF163" s="302"/>
      <c r="UG163" s="302"/>
      <c r="UH163" s="302"/>
      <c r="UI163" s="302"/>
      <c r="UJ163" s="302"/>
      <c r="UK163" s="302"/>
      <c r="UL163" s="302"/>
      <c r="UM163" s="302"/>
      <c r="UN163" s="302"/>
      <c r="UO163" s="302"/>
      <c r="UP163" s="302"/>
      <c r="UQ163" s="302"/>
      <c r="UR163" s="302"/>
      <c r="US163" s="302"/>
      <c r="UT163" s="302"/>
      <c r="UU163" s="302"/>
      <c r="UV163" s="302"/>
      <c r="UW163" s="302"/>
      <c r="UX163" s="302"/>
      <c r="UY163" s="302"/>
      <c r="UZ163" s="302"/>
      <c r="VA163" s="302"/>
      <c r="VB163" s="302"/>
      <c r="VC163" s="302"/>
      <c r="VD163" s="302"/>
      <c r="VE163" s="302"/>
      <c r="VF163" s="302"/>
      <c r="VG163" s="302"/>
      <c r="VH163" s="302"/>
      <c r="VI163" s="302"/>
      <c r="VJ163" s="302"/>
      <c r="VK163" s="302"/>
      <c r="VL163" s="302"/>
      <c r="VM163" s="302"/>
      <c r="VN163" s="302"/>
      <c r="VO163" s="302"/>
      <c r="VP163" s="302"/>
      <c r="VQ163" s="302"/>
      <c r="VR163" s="302"/>
      <c r="VS163" s="302"/>
      <c r="VT163" s="302"/>
      <c r="VU163" s="302"/>
      <c r="VV163" s="302"/>
      <c r="VW163" s="302"/>
      <c r="VX163" s="302"/>
      <c r="VY163" s="302"/>
      <c r="VZ163" s="302"/>
      <c r="WA163" s="302"/>
      <c r="WB163" s="302"/>
      <c r="WC163" s="302"/>
      <c r="WD163" s="302"/>
      <c r="WE163" s="302"/>
      <c r="WF163" s="302"/>
      <c r="WG163" s="302"/>
      <c r="WH163" s="302"/>
      <c r="WI163" s="302"/>
      <c r="WJ163" s="302"/>
      <c r="WK163" s="302"/>
      <c r="WL163" s="302"/>
      <c r="WM163" s="302"/>
      <c r="WN163" s="302"/>
      <c r="WO163" s="302"/>
      <c r="WP163" s="302"/>
      <c r="WQ163" s="302"/>
      <c r="WR163" s="302"/>
      <c r="WS163" s="302"/>
      <c r="WT163" s="302"/>
      <c r="WU163" s="302"/>
      <c r="WV163" s="302"/>
      <c r="WW163" s="302"/>
      <c r="WX163" s="302"/>
      <c r="WY163" s="302"/>
      <c r="WZ163" s="302"/>
      <c r="XA163" s="302"/>
      <c r="XB163" s="302"/>
      <c r="XC163" s="302"/>
      <c r="XD163" s="302"/>
      <c r="XE163" s="302"/>
      <c r="XF163" s="302"/>
      <c r="XG163" s="302"/>
      <c r="XH163" s="302"/>
      <c r="XI163" s="302"/>
      <c r="XJ163" s="302"/>
      <c r="XK163" s="302"/>
      <c r="XL163" s="302"/>
      <c r="XM163" s="302"/>
      <c r="XN163" s="302"/>
      <c r="XO163" s="302"/>
      <c r="XP163" s="302"/>
      <c r="XQ163" s="302"/>
      <c r="XR163" s="302"/>
      <c r="XS163" s="302"/>
      <c r="XT163" s="302"/>
      <c r="XU163" s="302"/>
      <c r="XV163" s="302"/>
      <c r="XW163" s="302"/>
      <c r="XX163" s="302"/>
      <c r="XY163" s="302"/>
      <c r="XZ163" s="302"/>
      <c r="YA163" s="302"/>
      <c r="YB163" s="302"/>
      <c r="YC163" s="302"/>
      <c r="YD163" s="302"/>
      <c r="YE163" s="302"/>
      <c r="YF163" s="302"/>
      <c r="YG163" s="302"/>
      <c r="YH163" s="302"/>
      <c r="YI163" s="302"/>
      <c r="YJ163" s="302"/>
      <c r="YK163" s="302"/>
      <c r="YL163" s="302"/>
      <c r="YM163" s="302"/>
      <c r="YN163" s="302"/>
      <c r="YO163" s="302"/>
      <c r="YP163" s="302"/>
      <c r="YQ163" s="302"/>
      <c r="YR163" s="302"/>
      <c r="YS163" s="302"/>
      <c r="YT163" s="302"/>
      <c r="YU163" s="302"/>
      <c r="YV163" s="302"/>
      <c r="YW163" s="302"/>
      <c r="YX163" s="302"/>
      <c r="YY163" s="302"/>
      <c r="YZ163" s="302"/>
      <c r="ZA163" s="302"/>
      <c r="ZB163" s="302"/>
      <c r="ZC163" s="302"/>
      <c r="ZD163" s="302"/>
      <c r="ZE163" s="302"/>
      <c r="ZF163" s="302"/>
      <c r="ZG163" s="302"/>
      <c r="ZH163" s="302"/>
      <c r="ZI163" s="302"/>
      <c r="ZJ163" s="302"/>
      <c r="ZK163" s="302"/>
      <c r="ZL163" s="302"/>
      <c r="ZM163" s="302"/>
      <c r="ZN163" s="302"/>
      <c r="ZO163" s="302"/>
      <c r="ZP163" s="302"/>
      <c r="ZQ163" s="302"/>
      <c r="ZR163" s="302"/>
      <c r="ZS163" s="302"/>
      <c r="ZT163" s="302"/>
      <c r="ZU163" s="302"/>
      <c r="ZV163" s="302"/>
      <c r="ZW163" s="302"/>
      <c r="ZX163" s="302"/>
      <c r="ZY163" s="302"/>
      <c r="ZZ163" s="302"/>
      <c r="AAA163" s="302"/>
      <c r="AAB163" s="302"/>
      <c r="AAC163" s="302"/>
      <c r="AAD163" s="302"/>
      <c r="AAE163" s="302"/>
      <c r="AAF163" s="302"/>
      <c r="AAG163" s="302"/>
      <c r="AAH163" s="302"/>
      <c r="AAI163" s="302"/>
      <c r="AAJ163" s="302"/>
      <c r="AAK163" s="302"/>
      <c r="AAL163" s="302"/>
      <c r="AAM163" s="302"/>
      <c r="AAN163" s="302"/>
      <c r="AAO163" s="302"/>
      <c r="AAP163" s="302"/>
      <c r="AAQ163" s="302"/>
      <c r="AAR163" s="302"/>
      <c r="AAS163" s="302"/>
      <c r="AAT163" s="302"/>
      <c r="AAU163" s="302"/>
      <c r="AAV163" s="302"/>
      <c r="AAW163" s="302"/>
      <c r="AAX163" s="302"/>
      <c r="AAY163" s="302"/>
      <c r="AAZ163" s="302"/>
      <c r="ABA163" s="302"/>
      <c r="ABB163" s="302"/>
      <c r="ABC163" s="302"/>
      <c r="ABD163" s="302"/>
      <c r="ABE163" s="302"/>
      <c r="ABF163" s="302"/>
      <c r="ABG163" s="302"/>
      <c r="ABH163" s="302"/>
      <c r="ABI163" s="302"/>
      <c r="ABJ163" s="302"/>
      <c r="ABK163" s="302"/>
      <c r="ABL163" s="302"/>
      <c r="ABM163" s="302"/>
      <c r="ABN163" s="302"/>
      <c r="ABO163" s="302"/>
      <c r="ABP163" s="302"/>
      <c r="ABQ163" s="302"/>
      <c r="ABR163" s="302"/>
      <c r="ABS163" s="302"/>
      <c r="ABT163" s="302"/>
      <c r="ABU163" s="302"/>
      <c r="ABV163" s="302"/>
      <c r="ABW163" s="302"/>
      <c r="ABX163" s="302"/>
      <c r="ABY163" s="302"/>
      <c r="ABZ163" s="302"/>
      <c r="ACA163" s="302"/>
      <c r="ACB163" s="302"/>
      <c r="ACC163" s="302"/>
      <c r="ACD163" s="302"/>
      <c r="ACE163" s="302"/>
      <c r="ACF163" s="302"/>
      <c r="ACG163" s="302"/>
      <c r="ACH163" s="302"/>
      <c r="ACI163" s="302"/>
      <c r="ACJ163" s="302"/>
      <c r="ACK163" s="302"/>
      <c r="ACL163" s="302"/>
      <c r="ACM163" s="302"/>
      <c r="ACN163" s="302"/>
      <c r="ACO163" s="302"/>
      <c r="ACP163" s="302"/>
      <c r="ACQ163" s="302"/>
      <c r="ACR163" s="302"/>
      <c r="ACS163" s="302"/>
      <c r="ACT163" s="302"/>
      <c r="ACU163" s="302"/>
      <c r="ACV163" s="302"/>
      <c r="ACW163" s="302"/>
      <c r="ACX163" s="302"/>
      <c r="ACY163" s="302"/>
      <c r="ACZ163" s="302"/>
      <c r="ADA163" s="302"/>
      <c r="ADB163" s="302"/>
      <c r="ADC163" s="302"/>
      <c r="ADD163" s="302"/>
      <c r="ADE163" s="302"/>
      <c r="ADF163" s="302"/>
      <c r="ADG163" s="302"/>
      <c r="ADH163" s="302"/>
      <c r="ADI163" s="302"/>
      <c r="ADJ163" s="302"/>
      <c r="ADK163" s="302"/>
      <c r="ADL163" s="302"/>
      <c r="ADM163" s="302"/>
      <c r="ADN163" s="302"/>
      <c r="ADO163" s="302"/>
      <c r="ADP163" s="302"/>
      <c r="ADQ163" s="302"/>
      <c r="ADR163" s="302"/>
      <c r="ADS163" s="302"/>
      <c r="ADT163" s="302"/>
      <c r="ADU163" s="302"/>
      <c r="ADV163" s="302"/>
      <c r="ADW163" s="302"/>
      <c r="ADX163" s="302"/>
      <c r="ADY163" s="302"/>
      <c r="ADZ163" s="302"/>
      <c r="AEA163" s="302"/>
      <c r="AEB163" s="302"/>
      <c r="AEC163" s="302"/>
      <c r="AED163" s="302"/>
      <c r="AEE163" s="302"/>
      <c r="AEF163" s="302"/>
      <c r="AEG163" s="302"/>
      <c r="AEH163" s="302"/>
      <c r="AEI163" s="302"/>
      <c r="AEJ163" s="302"/>
      <c r="AEK163" s="302"/>
      <c r="AEL163" s="302"/>
      <c r="AEM163" s="302"/>
      <c r="AEN163" s="302"/>
      <c r="AEO163" s="302"/>
      <c r="AEP163" s="302"/>
      <c r="AEQ163" s="302"/>
      <c r="AER163" s="302"/>
      <c r="AES163" s="302"/>
      <c r="AET163" s="302"/>
      <c r="AEU163" s="302"/>
      <c r="AEV163" s="302"/>
      <c r="AEW163" s="302"/>
      <c r="AEX163" s="302"/>
      <c r="AEY163" s="302"/>
      <c r="AEZ163" s="302"/>
      <c r="AFA163" s="302"/>
      <c r="AFB163" s="302"/>
      <c r="AFC163" s="302"/>
      <c r="AFD163" s="302"/>
      <c r="AFE163" s="302"/>
      <c r="AFF163" s="302"/>
      <c r="AFG163" s="302"/>
      <c r="AFH163" s="302"/>
      <c r="AFI163" s="302"/>
      <c r="AFJ163" s="302"/>
      <c r="AFK163" s="302"/>
      <c r="AFL163" s="302"/>
      <c r="AFM163" s="302"/>
      <c r="AFN163" s="302"/>
      <c r="AFO163" s="302"/>
      <c r="AFP163" s="302"/>
      <c r="AFQ163" s="302"/>
      <c r="AFR163" s="302"/>
      <c r="AFS163" s="302"/>
      <c r="AFT163" s="302"/>
      <c r="AFU163" s="302"/>
      <c r="AFV163" s="302"/>
      <c r="AFW163" s="302"/>
      <c r="AFX163" s="302"/>
      <c r="AFY163" s="302"/>
      <c r="AFZ163" s="302"/>
      <c r="AGA163" s="302"/>
      <c r="AGB163" s="302"/>
      <c r="AGC163" s="302"/>
      <c r="AGD163" s="302"/>
      <c r="AGE163" s="302"/>
      <c r="AGF163" s="302"/>
      <c r="AGG163" s="302"/>
      <c r="AGH163" s="302"/>
      <c r="AGI163" s="302"/>
      <c r="AGJ163" s="302"/>
      <c r="AGK163" s="302"/>
      <c r="AGL163" s="302"/>
      <c r="AGM163" s="302"/>
      <c r="AGN163" s="302"/>
      <c r="AGO163" s="302"/>
      <c r="AGP163" s="302"/>
      <c r="AGQ163" s="302"/>
      <c r="AGR163" s="302"/>
      <c r="AGS163" s="302"/>
      <c r="AGT163" s="302"/>
      <c r="AGU163" s="302"/>
      <c r="AGV163" s="302"/>
      <c r="AGW163" s="302"/>
      <c r="AGX163" s="302"/>
      <c r="AGY163" s="302"/>
      <c r="AGZ163" s="302"/>
      <c r="AHA163" s="302"/>
      <c r="AHB163" s="302"/>
      <c r="AHC163" s="302"/>
      <c r="AHD163" s="302"/>
      <c r="AHE163" s="302"/>
      <c r="AHF163" s="302"/>
      <c r="AHG163" s="302"/>
      <c r="AHH163" s="302"/>
      <c r="AHI163" s="302"/>
      <c r="AHJ163" s="302"/>
      <c r="AHK163" s="302"/>
      <c r="AHL163" s="302"/>
      <c r="AHM163" s="302"/>
      <c r="AHN163" s="302"/>
      <c r="AHO163" s="302"/>
      <c r="AHP163" s="302"/>
      <c r="AHQ163" s="302"/>
      <c r="AHR163" s="302"/>
      <c r="AHS163" s="302"/>
      <c r="AHT163" s="302"/>
      <c r="AHU163" s="302"/>
      <c r="AHV163" s="302"/>
      <c r="AHW163" s="302"/>
      <c r="AHX163" s="302"/>
      <c r="AHY163" s="302"/>
      <c r="AHZ163" s="302"/>
      <c r="AIA163" s="302"/>
      <c r="AIB163" s="302"/>
      <c r="AIC163" s="302"/>
      <c r="AID163" s="302"/>
      <c r="AIE163" s="302"/>
      <c r="AIF163" s="302"/>
      <c r="AIG163" s="302"/>
      <c r="AIH163" s="302"/>
      <c r="AII163" s="302"/>
      <c r="AIJ163" s="302"/>
      <c r="AIK163" s="302"/>
      <c r="AIL163" s="302"/>
      <c r="AIM163" s="302"/>
      <c r="AIN163" s="302"/>
      <c r="AIO163" s="302"/>
      <c r="AIP163" s="302"/>
      <c r="AIQ163" s="302"/>
      <c r="AIR163" s="302"/>
      <c r="AIS163" s="302"/>
      <c r="AIT163" s="302"/>
      <c r="AIU163" s="302"/>
      <c r="AIV163" s="302"/>
      <c r="AIW163" s="302"/>
      <c r="AIX163" s="302"/>
      <c r="AIY163" s="302"/>
      <c r="AIZ163" s="302"/>
      <c r="AJA163" s="302"/>
      <c r="AJB163" s="302"/>
      <c r="AJC163" s="302"/>
      <c r="AJD163" s="302"/>
      <c r="AJE163" s="302"/>
      <c r="AJF163" s="302"/>
      <c r="AJG163" s="302"/>
      <c r="AJH163" s="302"/>
      <c r="AJI163" s="302"/>
      <c r="AJJ163" s="302"/>
      <c r="AJK163" s="302"/>
      <c r="AJL163" s="302"/>
      <c r="AJM163" s="302"/>
      <c r="AJN163" s="302"/>
      <c r="AJO163" s="302"/>
      <c r="AJP163" s="302"/>
      <c r="AJQ163" s="302"/>
      <c r="AJR163" s="302"/>
      <c r="AJS163" s="302"/>
      <c r="AJT163" s="302"/>
      <c r="AJU163" s="302"/>
      <c r="AJV163" s="302"/>
      <c r="AJW163" s="302"/>
      <c r="AJX163" s="302"/>
      <c r="AJY163" s="302"/>
      <c r="AJZ163" s="302"/>
      <c r="AKA163" s="302"/>
      <c r="AKB163" s="302"/>
      <c r="AKC163" s="302"/>
      <c r="AKD163" s="302"/>
      <c r="AKE163" s="302"/>
      <c r="AKF163" s="302"/>
      <c r="AKG163" s="302"/>
      <c r="AKH163" s="302"/>
      <c r="AKI163" s="302"/>
      <c r="AKJ163" s="302"/>
      <c r="AKK163" s="302"/>
      <c r="AKL163" s="302"/>
      <c r="AKM163" s="302"/>
      <c r="AKN163" s="302"/>
      <c r="AKO163" s="302"/>
      <c r="AKP163" s="302"/>
      <c r="AKQ163" s="302"/>
      <c r="AKR163" s="302"/>
      <c r="AKS163" s="302"/>
      <c r="AKT163" s="302"/>
      <c r="AKU163" s="302"/>
      <c r="AKV163" s="302"/>
      <c r="AKW163" s="302"/>
      <c r="AKX163" s="302"/>
      <c r="AKY163" s="302"/>
      <c r="AKZ163" s="302"/>
      <c r="ALA163" s="302"/>
      <c r="ALB163" s="302"/>
      <c r="ALC163" s="302"/>
      <c r="ALD163" s="302"/>
      <c r="ALE163" s="302"/>
      <c r="ALF163" s="302"/>
      <c r="ALG163" s="302"/>
      <c r="ALH163" s="302"/>
      <c r="ALI163" s="302"/>
      <c r="ALJ163" s="302"/>
      <c r="ALK163" s="302"/>
      <c r="ALL163" s="302"/>
      <c r="ALM163" s="302"/>
      <c r="ALN163" s="302"/>
      <c r="ALO163" s="302"/>
      <c r="ALP163" s="302"/>
      <c r="ALQ163" s="302"/>
      <c r="ALR163" s="302"/>
      <c r="ALS163" s="302"/>
      <c r="ALT163" s="302"/>
      <c r="ALU163" s="302"/>
      <c r="ALV163" s="302"/>
      <c r="ALW163" s="302"/>
      <c r="ALX163" s="302"/>
      <c r="ALY163" s="302"/>
      <c r="ALZ163" s="302"/>
      <c r="AMA163" s="302"/>
      <c r="AMB163" s="302"/>
      <c r="AMC163" s="302"/>
      <c r="AMD163" s="302"/>
      <c r="AME163" s="302"/>
      <c r="AMF163" s="302"/>
      <c r="AMG163" s="302"/>
      <c r="AMH163" s="302"/>
      <c r="AMI163" s="302"/>
    </row>
    <row r="164" spans="1:1023" ht="18.75" hidden="1">
      <c r="A164" s="302"/>
      <c r="B164" s="304"/>
      <c r="C164" s="304"/>
      <c r="D164" s="305" t="s">
        <v>378</v>
      </c>
      <c r="E164" s="306">
        <f>SUM(E157:E163)</f>
        <v>15448350</v>
      </c>
      <c r="F164" s="307"/>
      <c r="G164" s="366">
        <f>SUM(G157:G163)</f>
        <v>396450.5</v>
      </c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2"/>
      <c r="AE164" s="302"/>
      <c r="AF164" s="302"/>
      <c r="AG164" s="302"/>
      <c r="AH164" s="302"/>
      <c r="AI164" s="302"/>
      <c r="AJ164" s="302"/>
      <c r="AK164" s="302"/>
      <c r="AL164" s="302"/>
      <c r="AM164" s="302"/>
      <c r="AN164" s="302"/>
      <c r="AO164" s="302"/>
      <c r="AP164" s="302"/>
      <c r="AQ164" s="302"/>
      <c r="AR164" s="302"/>
      <c r="AS164" s="302"/>
      <c r="AT164" s="302"/>
      <c r="AU164" s="302"/>
      <c r="AV164" s="302"/>
      <c r="AW164" s="302"/>
      <c r="AX164" s="302"/>
      <c r="AY164" s="302"/>
      <c r="AZ164" s="302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K164" s="302"/>
      <c r="BL164" s="302"/>
      <c r="BM164" s="302"/>
      <c r="BN164" s="302"/>
      <c r="BO164" s="302"/>
      <c r="BP164" s="302"/>
      <c r="BQ164" s="302"/>
      <c r="BR164" s="302"/>
      <c r="BS164" s="302"/>
      <c r="BT164" s="302"/>
      <c r="BU164" s="302"/>
      <c r="BV164" s="302"/>
      <c r="BW164" s="302"/>
      <c r="BX164" s="302"/>
      <c r="BY164" s="302"/>
      <c r="BZ164" s="302"/>
      <c r="CA164" s="302"/>
      <c r="CB164" s="302"/>
      <c r="CC164" s="302"/>
      <c r="CD164" s="302"/>
      <c r="CE164" s="302"/>
      <c r="CF164" s="302"/>
      <c r="CG164" s="302"/>
      <c r="CH164" s="302"/>
      <c r="CI164" s="302"/>
      <c r="CJ164" s="302"/>
      <c r="CK164" s="302"/>
      <c r="CL164" s="302"/>
      <c r="CM164" s="302"/>
      <c r="CN164" s="302"/>
      <c r="CO164" s="302"/>
      <c r="CP164" s="302"/>
      <c r="CQ164" s="302"/>
      <c r="CR164" s="302"/>
      <c r="CS164" s="302"/>
      <c r="CT164" s="302"/>
      <c r="CU164" s="302"/>
      <c r="CV164" s="302"/>
      <c r="CW164" s="302"/>
      <c r="CX164" s="302"/>
      <c r="CY164" s="302"/>
      <c r="CZ164" s="302"/>
      <c r="DA164" s="302"/>
      <c r="DB164" s="302"/>
      <c r="DC164" s="302"/>
      <c r="DD164" s="302"/>
      <c r="DE164" s="302"/>
      <c r="DF164" s="302"/>
      <c r="DG164" s="302"/>
      <c r="DH164" s="302"/>
      <c r="DI164" s="302"/>
      <c r="DJ164" s="302"/>
      <c r="DK164" s="302"/>
      <c r="DL164" s="302"/>
      <c r="DM164" s="302"/>
      <c r="DN164" s="302"/>
      <c r="DO164" s="302"/>
      <c r="DP164" s="302"/>
      <c r="DQ164" s="302"/>
      <c r="DR164" s="302"/>
      <c r="DS164" s="302"/>
      <c r="DT164" s="302"/>
      <c r="DU164" s="302"/>
      <c r="DV164" s="302"/>
      <c r="DW164" s="302"/>
      <c r="DX164" s="302"/>
      <c r="DY164" s="302"/>
      <c r="DZ164" s="302"/>
      <c r="EA164" s="302"/>
      <c r="EB164" s="302"/>
      <c r="EC164" s="302"/>
      <c r="ED164" s="302"/>
      <c r="EE164" s="302"/>
      <c r="EF164" s="302"/>
      <c r="EG164" s="302"/>
      <c r="EH164" s="302"/>
      <c r="EI164" s="302"/>
      <c r="EJ164" s="302"/>
      <c r="EK164" s="302"/>
      <c r="EL164" s="302"/>
      <c r="EM164" s="302"/>
      <c r="EN164" s="302"/>
      <c r="EO164" s="302"/>
      <c r="EP164" s="302"/>
      <c r="EQ164" s="302"/>
      <c r="ER164" s="302"/>
      <c r="ES164" s="302"/>
      <c r="ET164" s="302"/>
      <c r="EU164" s="302"/>
      <c r="EV164" s="302"/>
      <c r="EW164" s="302"/>
      <c r="EX164" s="302"/>
      <c r="EY164" s="302"/>
      <c r="EZ164" s="302"/>
      <c r="FA164" s="302"/>
      <c r="FB164" s="302"/>
      <c r="FC164" s="302"/>
      <c r="FD164" s="302"/>
      <c r="FE164" s="302"/>
      <c r="FF164" s="302"/>
      <c r="FG164" s="302"/>
      <c r="FH164" s="302"/>
      <c r="FI164" s="302"/>
      <c r="FJ164" s="302"/>
      <c r="FK164" s="302"/>
      <c r="FL164" s="302"/>
      <c r="FM164" s="302"/>
      <c r="FN164" s="302"/>
      <c r="FO164" s="302"/>
      <c r="FP164" s="302"/>
      <c r="FQ164" s="302"/>
      <c r="FR164" s="302"/>
      <c r="FS164" s="302"/>
      <c r="FT164" s="302"/>
      <c r="FU164" s="302"/>
      <c r="FV164" s="302"/>
      <c r="FW164" s="302"/>
      <c r="FX164" s="302"/>
      <c r="FY164" s="302"/>
      <c r="FZ164" s="302"/>
      <c r="GA164" s="302"/>
      <c r="GB164" s="302"/>
      <c r="GC164" s="302"/>
      <c r="GD164" s="302"/>
      <c r="GE164" s="302"/>
      <c r="GF164" s="302"/>
      <c r="GG164" s="302"/>
      <c r="GH164" s="302"/>
      <c r="GI164" s="302"/>
      <c r="GJ164" s="302"/>
      <c r="GK164" s="302"/>
      <c r="GL164" s="302"/>
      <c r="GM164" s="302"/>
      <c r="GN164" s="302"/>
      <c r="GO164" s="302"/>
      <c r="GP164" s="302"/>
      <c r="GQ164" s="302"/>
      <c r="GR164" s="302"/>
      <c r="GS164" s="302"/>
      <c r="GT164" s="302"/>
      <c r="GU164" s="302"/>
      <c r="GV164" s="302"/>
      <c r="GW164" s="302"/>
      <c r="GX164" s="302"/>
      <c r="GY164" s="302"/>
      <c r="GZ164" s="302"/>
      <c r="HA164" s="302"/>
      <c r="HB164" s="302"/>
      <c r="HC164" s="302"/>
      <c r="HD164" s="302"/>
      <c r="HE164" s="302"/>
      <c r="HF164" s="302"/>
      <c r="HG164" s="302"/>
      <c r="HH164" s="302"/>
      <c r="HI164" s="302"/>
      <c r="HJ164" s="302"/>
      <c r="HK164" s="302"/>
      <c r="HL164" s="302"/>
      <c r="HM164" s="302"/>
      <c r="HN164" s="302"/>
      <c r="HO164" s="302"/>
      <c r="HP164" s="302"/>
      <c r="HQ164" s="302"/>
      <c r="HR164" s="302"/>
      <c r="HS164" s="302"/>
      <c r="HT164" s="302"/>
      <c r="HU164" s="302"/>
      <c r="HV164" s="302"/>
      <c r="HW164" s="302"/>
      <c r="HX164" s="302"/>
      <c r="HY164" s="302"/>
      <c r="HZ164" s="302"/>
      <c r="IA164" s="302"/>
      <c r="IB164" s="302"/>
      <c r="IC164" s="302"/>
      <c r="ID164" s="302"/>
      <c r="IE164" s="302"/>
      <c r="IF164" s="302"/>
      <c r="IG164" s="302"/>
      <c r="IH164" s="302"/>
      <c r="II164" s="302"/>
      <c r="IJ164" s="302"/>
      <c r="IK164" s="302"/>
      <c r="IL164" s="302"/>
      <c r="IM164" s="302"/>
      <c r="IN164" s="302"/>
      <c r="IO164" s="302"/>
      <c r="IP164" s="302"/>
      <c r="IQ164" s="302"/>
      <c r="IR164" s="302"/>
      <c r="IS164" s="302"/>
      <c r="IT164" s="302"/>
      <c r="IU164" s="302"/>
      <c r="IV164" s="302"/>
      <c r="IW164" s="302"/>
      <c r="IX164" s="302"/>
      <c r="IY164" s="302"/>
      <c r="IZ164" s="302"/>
      <c r="JA164" s="302"/>
      <c r="JB164" s="302"/>
      <c r="JC164" s="302"/>
      <c r="JD164" s="302"/>
      <c r="JE164" s="302"/>
      <c r="JF164" s="302"/>
      <c r="JG164" s="302"/>
      <c r="JH164" s="302"/>
      <c r="JI164" s="302"/>
      <c r="JJ164" s="302"/>
      <c r="JK164" s="302"/>
      <c r="JL164" s="302"/>
      <c r="JM164" s="302"/>
      <c r="JN164" s="302"/>
      <c r="JO164" s="302"/>
      <c r="JP164" s="302"/>
      <c r="JQ164" s="302"/>
      <c r="JR164" s="302"/>
      <c r="JS164" s="302"/>
      <c r="JT164" s="302"/>
      <c r="JU164" s="302"/>
      <c r="JV164" s="302"/>
      <c r="JW164" s="302"/>
      <c r="JX164" s="302"/>
      <c r="JY164" s="302"/>
      <c r="JZ164" s="302"/>
      <c r="KA164" s="302"/>
      <c r="KB164" s="302"/>
      <c r="KC164" s="302"/>
      <c r="KD164" s="302"/>
      <c r="KE164" s="302"/>
      <c r="KF164" s="302"/>
      <c r="KG164" s="302"/>
      <c r="KH164" s="302"/>
      <c r="KI164" s="302"/>
      <c r="KJ164" s="302"/>
      <c r="KK164" s="302"/>
      <c r="KL164" s="302"/>
      <c r="KM164" s="302"/>
      <c r="KN164" s="302"/>
      <c r="KO164" s="302"/>
      <c r="KP164" s="302"/>
      <c r="KQ164" s="302"/>
      <c r="KR164" s="302"/>
      <c r="KS164" s="302"/>
      <c r="KT164" s="302"/>
      <c r="KU164" s="302"/>
      <c r="KV164" s="302"/>
      <c r="KW164" s="302"/>
      <c r="KX164" s="302"/>
      <c r="KY164" s="302"/>
      <c r="KZ164" s="302"/>
      <c r="LA164" s="302"/>
      <c r="LB164" s="302"/>
      <c r="LC164" s="302"/>
      <c r="LD164" s="302"/>
      <c r="LE164" s="302"/>
      <c r="LF164" s="302"/>
      <c r="LG164" s="302"/>
      <c r="LH164" s="302"/>
      <c r="LI164" s="302"/>
      <c r="LJ164" s="302"/>
      <c r="LK164" s="302"/>
      <c r="LL164" s="302"/>
      <c r="LM164" s="302"/>
      <c r="LN164" s="302"/>
      <c r="LO164" s="302"/>
      <c r="LP164" s="302"/>
      <c r="LQ164" s="302"/>
      <c r="LR164" s="302"/>
      <c r="LS164" s="302"/>
      <c r="LT164" s="302"/>
      <c r="LU164" s="302"/>
      <c r="LV164" s="302"/>
      <c r="LW164" s="302"/>
      <c r="LX164" s="302"/>
      <c r="LY164" s="302"/>
      <c r="LZ164" s="302"/>
      <c r="MA164" s="302"/>
      <c r="MB164" s="302"/>
      <c r="MC164" s="302"/>
      <c r="MD164" s="302"/>
      <c r="ME164" s="302"/>
      <c r="MF164" s="302"/>
      <c r="MG164" s="302"/>
      <c r="MH164" s="302"/>
      <c r="MI164" s="302"/>
      <c r="MJ164" s="302"/>
      <c r="MK164" s="302"/>
      <c r="ML164" s="302"/>
      <c r="MM164" s="302"/>
      <c r="MN164" s="302"/>
      <c r="MO164" s="302"/>
      <c r="MP164" s="302"/>
      <c r="MQ164" s="302"/>
      <c r="MR164" s="302"/>
      <c r="MS164" s="302"/>
      <c r="MT164" s="302"/>
      <c r="MU164" s="302"/>
      <c r="MV164" s="302"/>
      <c r="MW164" s="302"/>
      <c r="MX164" s="302"/>
      <c r="MY164" s="302"/>
      <c r="MZ164" s="302"/>
      <c r="NA164" s="302"/>
      <c r="NB164" s="302"/>
      <c r="NC164" s="302"/>
      <c r="ND164" s="302"/>
      <c r="NE164" s="302"/>
      <c r="NF164" s="302"/>
      <c r="NG164" s="302"/>
      <c r="NH164" s="302"/>
      <c r="NI164" s="302"/>
      <c r="NJ164" s="302"/>
      <c r="NK164" s="302"/>
      <c r="NL164" s="302"/>
      <c r="NM164" s="302"/>
      <c r="NN164" s="302"/>
      <c r="NO164" s="302"/>
      <c r="NP164" s="302"/>
      <c r="NQ164" s="302"/>
      <c r="NR164" s="302"/>
      <c r="NS164" s="302"/>
      <c r="NT164" s="302"/>
      <c r="NU164" s="302"/>
      <c r="NV164" s="302"/>
      <c r="NW164" s="302"/>
      <c r="NX164" s="302"/>
      <c r="NY164" s="302"/>
      <c r="NZ164" s="302"/>
      <c r="OA164" s="302"/>
      <c r="OB164" s="302"/>
      <c r="OC164" s="302"/>
      <c r="OD164" s="302"/>
      <c r="OE164" s="302"/>
      <c r="OF164" s="302"/>
      <c r="OG164" s="302"/>
      <c r="OH164" s="302"/>
      <c r="OI164" s="302"/>
      <c r="OJ164" s="302"/>
      <c r="OK164" s="302"/>
      <c r="OL164" s="302"/>
      <c r="OM164" s="302"/>
      <c r="ON164" s="302"/>
      <c r="OO164" s="302"/>
      <c r="OP164" s="302"/>
      <c r="OQ164" s="302"/>
      <c r="OR164" s="302"/>
      <c r="OS164" s="302"/>
      <c r="OT164" s="302"/>
      <c r="OU164" s="302"/>
      <c r="OV164" s="302"/>
      <c r="OW164" s="302"/>
      <c r="OX164" s="302"/>
      <c r="OY164" s="302"/>
      <c r="OZ164" s="302"/>
      <c r="PA164" s="302"/>
      <c r="PB164" s="302"/>
      <c r="PC164" s="302"/>
      <c r="PD164" s="302"/>
      <c r="PE164" s="302"/>
      <c r="PF164" s="302"/>
      <c r="PG164" s="302"/>
      <c r="PH164" s="302"/>
      <c r="PI164" s="302"/>
      <c r="PJ164" s="302"/>
      <c r="PK164" s="302"/>
      <c r="PL164" s="302"/>
      <c r="PM164" s="302"/>
      <c r="PN164" s="302"/>
      <c r="PO164" s="302"/>
      <c r="PP164" s="302"/>
      <c r="PQ164" s="302"/>
      <c r="PR164" s="302"/>
      <c r="PS164" s="302"/>
      <c r="PT164" s="302"/>
      <c r="PU164" s="302"/>
      <c r="PV164" s="302"/>
      <c r="PW164" s="302"/>
      <c r="PX164" s="302"/>
      <c r="PY164" s="302"/>
      <c r="PZ164" s="302"/>
      <c r="QA164" s="302"/>
      <c r="QB164" s="302"/>
      <c r="QC164" s="302"/>
      <c r="QD164" s="302"/>
      <c r="QE164" s="302"/>
      <c r="QF164" s="302"/>
      <c r="QG164" s="302"/>
      <c r="QH164" s="302"/>
      <c r="QI164" s="302"/>
      <c r="QJ164" s="302"/>
      <c r="QK164" s="302"/>
      <c r="QL164" s="302"/>
      <c r="QM164" s="302"/>
      <c r="QN164" s="302"/>
      <c r="QO164" s="302"/>
      <c r="QP164" s="302"/>
      <c r="QQ164" s="302"/>
      <c r="QR164" s="302"/>
      <c r="QS164" s="302"/>
      <c r="QT164" s="302"/>
      <c r="QU164" s="302"/>
      <c r="QV164" s="302"/>
      <c r="QW164" s="302"/>
      <c r="QX164" s="302"/>
      <c r="QY164" s="302"/>
      <c r="QZ164" s="302"/>
      <c r="RA164" s="302"/>
      <c r="RB164" s="302"/>
      <c r="RC164" s="302"/>
      <c r="RD164" s="302"/>
      <c r="RE164" s="302"/>
      <c r="RF164" s="302"/>
      <c r="RG164" s="302"/>
      <c r="RH164" s="302"/>
      <c r="RI164" s="302"/>
      <c r="RJ164" s="302"/>
      <c r="RK164" s="302"/>
      <c r="RL164" s="302"/>
      <c r="RM164" s="302"/>
      <c r="RN164" s="302"/>
      <c r="RO164" s="302"/>
      <c r="RP164" s="302"/>
      <c r="RQ164" s="302"/>
      <c r="RR164" s="302"/>
      <c r="RS164" s="302"/>
      <c r="RT164" s="302"/>
      <c r="RU164" s="302"/>
      <c r="RV164" s="302"/>
      <c r="RW164" s="302"/>
      <c r="RX164" s="302"/>
      <c r="RY164" s="302"/>
      <c r="RZ164" s="302"/>
      <c r="SA164" s="302"/>
      <c r="SB164" s="302"/>
      <c r="SC164" s="302"/>
      <c r="SD164" s="302"/>
      <c r="SE164" s="302"/>
      <c r="SF164" s="302"/>
      <c r="SG164" s="302"/>
      <c r="SH164" s="302"/>
      <c r="SI164" s="302"/>
      <c r="SJ164" s="302"/>
      <c r="SK164" s="302"/>
      <c r="SL164" s="302"/>
      <c r="SM164" s="302"/>
      <c r="SN164" s="302"/>
      <c r="SO164" s="302"/>
      <c r="SP164" s="302"/>
      <c r="SQ164" s="302"/>
      <c r="SR164" s="302"/>
      <c r="SS164" s="302"/>
      <c r="ST164" s="302"/>
      <c r="SU164" s="302"/>
      <c r="SV164" s="302"/>
      <c r="SW164" s="302"/>
      <c r="SX164" s="302"/>
      <c r="SY164" s="302"/>
      <c r="SZ164" s="302"/>
      <c r="TA164" s="302"/>
      <c r="TB164" s="302"/>
      <c r="TC164" s="302"/>
      <c r="TD164" s="302"/>
      <c r="TE164" s="302"/>
      <c r="TF164" s="302"/>
      <c r="TG164" s="302"/>
      <c r="TH164" s="302"/>
      <c r="TI164" s="302"/>
      <c r="TJ164" s="302"/>
      <c r="TK164" s="302"/>
      <c r="TL164" s="302"/>
      <c r="TM164" s="302"/>
      <c r="TN164" s="302"/>
      <c r="TO164" s="302"/>
      <c r="TP164" s="302"/>
      <c r="TQ164" s="302"/>
      <c r="TR164" s="302"/>
      <c r="TS164" s="302"/>
      <c r="TT164" s="302"/>
      <c r="TU164" s="302"/>
      <c r="TV164" s="302"/>
      <c r="TW164" s="302"/>
      <c r="TX164" s="302"/>
      <c r="TY164" s="302"/>
      <c r="TZ164" s="302"/>
      <c r="UA164" s="302"/>
      <c r="UB164" s="302"/>
      <c r="UC164" s="302"/>
      <c r="UD164" s="302"/>
      <c r="UE164" s="302"/>
      <c r="UF164" s="302"/>
      <c r="UG164" s="302"/>
      <c r="UH164" s="302"/>
      <c r="UI164" s="302"/>
      <c r="UJ164" s="302"/>
      <c r="UK164" s="302"/>
      <c r="UL164" s="302"/>
      <c r="UM164" s="302"/>
      <c r="UN164" s="302"/>
      <c r="UO164" s="302"/>
      <c r="UP164" s="302"/>
      <c r="UQ164" s="302"/>
      <c r="UR164" s="302"/>
      <c r="US164" s="302"/>
      <c r="UT164" s="302"/>
      <c r="UU164" s="302"/>
      <c r="UV164" s="302"/>
      <c r="UW164" s="302"/>
      <c r="UX164" s="302"/>
      <c r="UY164" s="302"/>
      <c r="UZ164" s="302"/>
      <c r="VA164" s="302"/>
      <c r="VB164" s="302"/>
      <c r="VC164" s="302"/>
      <c r="VD164" s="302"/>
      <c r="VE164" s="302"/>
      <c r="VF164" s="302"/>
      <c r="VG164" s="302"/>
      <c r="VH164" s="302"/>
      <c r="VI164" s="302"/>
      <c r="VJ164" s="302"/>
      <c r="VK164" s="302"/>
      <c r="VL164" s="302"/>
      <c r="VM164" s="302"/>
      <c r="VN164" s="302"/>
      <c r="VO164" s="302"/>
      <c r="VP164" s="302"/>
      <c r="VQ164" s="302"/>
      <c r="VR164" s="302"/>
      <c r="VS164" s="302"/>
      <c r="VT164" s="302"/>
      <c r="VU164" s="302"/>
      <c r="VV164" s="302"/>
      <c r="VW164" s="302"/>
      <c r="VX164" s="302"/>
      <c r="VY164" s="302"/>
      <c r="VZ164" s="302"/>
      <c r="WA164" s="302"/>
      <c r="WB164" s="302"/>
      <c r="WC164" s="302"/>
      <c r="WD164" s="302"/>
      <c r="WE164" s="302"/>
      <c r="WF164" s="302"/>
      <c r="WG164" s="302"/>
      <c r="WH164" s="302"/>
      <c r="WI164" s="302"/>
      <c r="WJ164" s="302"/>
      <c r="WK164" s="302"/>
      <c r="WL164" s="302"/>
      <c r="WM164" s="302"/>
      <c r="WN164" s="302"/>
      <c r="WO164" s="302"/>
      <c r="WP164" s="302"/>
      <c r="WQ164" s="302"/>
      <c r="WR164" s="302"/>
      <c r="WS164" s="302"/>
      <c r="WT164" s="302"/>
      <c r="WU164" s="302"/>
      <c r="WV164" s="302"/>
      <c r="WW164" s="302"/>
      <c r="WX164" s="302"/>
      <c r="WY164" s="302"/>
      <c r="WZ164" s="302"/>
      <c r="XA164" s="302"/>
      <c r="XB164" s="302"/>
      <c r="XC164" s="302"/>
      <c r="XD164" s="302"/>
      <c r="XE164" s="302"/>
      <c r="XF164" s="302"/>
      <c r="XG164" s="302"/>
      <c r="XH164" s="302"/>
      <c r="XI164" s="302"/>
      <c r="XJ164" s="302"/>
      <c r="XK164" s="302"/>
      <c r="XL164" s="302"/>
      <c r="XM164" s="302"/>
      <c r="XN164" s="302"/>
      <c r="XO164" s="302"/>
      <c r="XP164" s="302"/>
      <c r="XQ164" s="302"/>
      <c r="XR164" s="302"/>
      <c r="XS164" s="302"/>
      <c r="XT164" s="302"/>
      <c r="XU164" s="302"/>
      <c r="XV164" s="302"/>
      <c r="XW164" s="302"/>
      <c r="XX164" s="302"/>
      <c r="XY164" s="302"/>
      <c r="XZ164" s="302"/>
      <c r="YA164" s="302"/>
      <c r="YB164" s="302"/>
      <c r="YC164" s="302"/>
      <c r="YD164" s="302"/>
      <c r="YE164" s="302"/>
      <c r="YF164" s="302"/>
      <c r="YG164" s="302"/>
      <c r="YH164" s="302"/>
      <c r="YI164" s="302"/>
      <c r="YJ164" s="302"/>
      <c r="YK164" s="302"/>
      <c r="YL164" s="302"/>
      <c r="YM164" s="302"/>
      <c r="YN164" s="302"/>
      <c r="YO164" s="302"/>
      <c r="YP164" s="302"/>
      <c r="YQ164" s="302"/>
      <c r="YR164" s="302"/>
      <c r="YS164" s="302"/>
      <c r="YT164" s="302"/>
      <c r="YU164" s="302"/>
      <c r="YV164" s="302"/>
      <c r="YW164" s="302"/>
      <c r="YX164" s="302"/>
      <c r="YY164" s="302"/>
      <c r="YZ164" s="302"/>
      <c r="ZA164" s="302"/>
      <c r="ZB164" s="302"/>
      <c r="ZC164" s="302"/>
      <c r="ZD164" s="302"/>
      <c r="ZE164" s="302"/>
      <c r="ZF164" s="302"/>
      <c r="ZG164" s="302"/>
      <c r="ZH164" s="302"/>
      <c r="ZI164" s="302"/>
      <c r="ZJ164" s="302"/>
      <c r="ZK164" s="302"/>
      <c r="ZL164" s="302"/>
      <c r="ZM164" s="302"/>
      <c r="ZN164" s="302"/>
      <c r="ZO164" s="302"/>
      <c r="ZP164" s="302"/>
      <c r="ZQ164" s="302"/>
      <c r="ZR164" s="302"/>
      <c r="ZS164" s="302"/>
      <c r="ZT164" s="302"/>
      <c r="ZU164" s="302"/>
      <c r="ZV164" s="302"/>
      <c r="ZW164" s="302"/>
      <c r="ZX164" s="302"/>
      <c r="ZY164" s="302"/>
      <c r="ZZ164" s="302"/>
      <c r="AAA164" s="302"/>
      <c r="AAB164" s="302"/>
      <c r="AAC164" s="302"/>
      <c r="AAD164" s="302"/>
      <c r="AAE164" s="302"/>
      <c r="AAF164" s="302"/>
      <c r="AAG164" s="302"/>
      <c r="AAH164" s="302"/>
      <c r="AAI164" s="302"/>
      <c r="AAJ164" s="302"/>
      <c r="AAK164" s="302"/>
      <c r="AAL164" s="302"/>
      <c r="AAM164" s="302"/>
      <c r="AAN164" s="302"/>
      <c r="AAO164" s="302"/>
      <c r="AAP164" s="302"/>
      <c r="AAQ164" s="302"/>
      <c r="AAR164" s="302"/>
      <c r="AAS164" s="302"/>
      <c r="AAT164" s="302"/>
      <c r="AAU164" s="302"/>
      <c r="AAV164" s="302"/>
      <c r="AAW164" s="302"/>
      <c r="AAX164" s="302"/>
      <c r="AAY164" s="302"/>
      <c r="AAZ164" s="302"/>
      <c r="ABA164" s="302"/>
      <c r="ABB164" s="302"/>
      <c r="ABC164" s="302"/>
      <c r="ABD164" s="302"/>
      <c r="ABE164" s="302"/>
      <c r="ABF164" s="302"/>
      <c r="ABG164" s="302"/>
      <c r="ABH164" s="302"/>
      <c r="ABI164" s="302"/>
      <c r="ABJ164" s="302"/>
      <c r="ABK164" s="302"/>
      <c r="ABL164" s="302"/>
      <c r="ABM164" s="302"/>
      <c r="ABN164" s="302"/>
      <c r="ABO164" s="302"/>
      <c r="ABP164" s="302"/>
      <c r="ABQ164" s="302"/>
      <c r="ABR164" s="302"/>
      <c r="ABS164" s="302"/>
      <c r="ABT164" s="302"/>
      <c r="ABU164" s="302"/>
      <c r="ABV164" s="302"/>
      <c r="ABW164" s="302"/>
      <c r="ABX164" s="302"/>
      <c r="ABY164" s="302"/>
      <c r="ABZ164" s="302"/>
      <c r="ACA164" s="302"/>
      <c r="ACB164" s="302"/>
      <c r="ACC164" s="302"/>
      <c r="ACD164" s="302"/>
      <c r="ACE164" s="302"/>
      <c r="ACF164" s="302"/>
      <c r="ACG164" s="302"/>
      <c r="ACH164" s="302"/>
      <c r="ACI164" s="302"/>
      <c r="ACJ164" s="302"/>
      <c r="ACK164" s="302"/>
      <c r="ACL164" s="302"/>
      <c r="ACM164" s="302"/>
      <c r="ACN164" s="302"/>
      <c r="ACO164" s="302"/>
      <c r="ACP164" s="302"/>
      <c r="ACQ164" s="302"/>
      <c r="ACR164" s="302"/>
      <c r="ACS164" s="302"/>
      <c r="ACT164" s="302"/>
      <c r="ACU164" s="302"/>
      <c r="ACV164" s="302"/>
      <c r="ACW164" s="302"/>
      <c r="ACX164" s="302"/>
      <c r="ACY164" s="302"/>
      <c r="ACZ164" s="302"/>
      <c r="ADA164" s="302"/>
      <c r="ADB164" s="302"/>
      <c r="ADC164" s="302"/>
      <c r="ADD164" s="302"/>
      <c r="ADE164" s="302"/>
      <c r="ADF164" s="302"/>
      <c r="ADG164" s="302"/>
      <c r="ADH164" s="302"/>
      <c r="ADI164" s="302"/>
      <c r="ADJ164" s="302"/>
      <c r="ADK164" s="302"/>
      <c r="ADL164" s="302"/>
      <c r="ADM164" s="302"/>
      <c r="ADN164" s="302"/>
      <c r="ADO164" s="302"/>
      <c r="ADP164" s="302"/>
      <c r="ADQ164" s="302"/>
      <c r="ADR164" s="302"/>
      <c r="ADS164" s="302"/>
      <c r="ADT164" s="302"/>
      <c r="ADU164" s="302"/>
      <c r="ADV164" s="302"/>
      <c r="ADW164" s="302"/>
      <c r="ADX164" s="302"/>
      <c r="ADY164" s="302"/>
      <c r="ADZ164" s="302"/>
      <c r="AEA164" s="302"/>
      <c r="AEB164" s="302"/>
      <c r="AEC164" s="302"/>
      <c r="AED164" s="302"/>
      <c r="AEE164" s="302"/>
      <c r="AEF164" s="302"/>
      <c r="AEG164" s="302"/>
      <c r="AEH164" s="302"/>
      <c r="AEI164" s="302"/>
      <c r="AEJ164" s="302"/>
      <c r="AEK164" s="302"/>
      <c r="AEL164" s="302"/>
      <c r="AEM164" s="302"/>
      <c r="AEN164" s="302"/>
      <c r="AEO164" s="302"/>
      <c r="AEP164" s="302"/>
      <c r="AEQ164" s="302"/>
      <c r="AER164" s="302"/>
      <c r="AES164" s="302"/>
      <c r="AET164" s="302"/>
      <c r="AEU164" s="302"/>
      <c r="AEV164" s="302"/>
      <c r="AEW164" s="302"/>
      <c r="AEX164" s="302"/>
      <c r="AEY164" s="302"/>
      <c r="AEZ164" s="302"/>
      <c r="AFA164" s="302"/>
      <c r="AFB164" s="302"/>
      <c r="AFC164" s="302"/>
      <c r="AFD164" s="302"/>
      <c r="AFE164" s="302"/>
      <c r="AFF164" s="302"/>
      <c r="AFG164" s="302"/>
      <c r="AFH164" s="302"/>
      <c r="AFI164" s="302"/>
      <c r="AFJ164" s="302"/>
      <c r="AFK164" s="302"/>
      <c r="AFL164" s="302"/>
      <c r="AFM164" s="302"/>
      <c r="AFN164" s="302"/>
      <c r="AFO164" s="302"/>
      <c r="AFP164" s="302"/>
      <c r="AFQ164" s="302"/>
      <c r="AFR164" s="302"/>
      <c r="AFS164" s="302"/>
      <c r="AFT164" s="302"/>
      <c r="AFU164" s="302"/>
      <c r="AFV164" s="302"/>
      <c r="AFW164" s="302"/>
      <c r="AFX164" s="302"/>
      <c r="AFY164" s="302"/>
      <c r="AFZ164" s="302"/>
      <c r="AGA164" s="302"/>
      <c r="AGB164" s="302"/>
      <c r="AGC164" s="302"/>
      <c r="AGD164" s="302"/>
      <c r="AGE164" s="302"/>
      <c r="AGF164" s="302"/>
      <c r="AGG164" s="302"/>
      <c r="AGH164" s="302"/>
      <c r="AGI164" s="302"/>
      <c r="AGJ164" s="302"/>
      <c r="AGK164" s="302"/>
      <c r="AGL164" s="302"/>
      <c r="AGM164" s="302"/>
      <c r="AGN164" s="302"/>
      <c r="AGO164" s="302"/>
      <c r="AGP164" s="302"/>
      <c r="AGQ164" s="302"/>
      <c r="AGR164" s="302"/>
      <c r="AGS164" s="302"/>
      <c r="AGT164" s="302"/>
      <c r="AGU164" s="302"/>
      <c r="AGV164" s="302"/>
      <c r="AGW164" s="302"/>
      <c r="AGX164" s="302"/>
      <c r="AGY164" s="302"/>
      <c r="AGZ164" s="302"/>
      <c r="AHA164" s="302"/>
      <c r="AHB164" s="302"/>
      <c r="AHC164" s="302"/>
      <c r="AHD164" s="302"/>
      <c r="AHE164" s="302"/>
      <c r="AHF164" s="302"/>
      <c r="AHG164" s="302"/>
      <c r="AHH164" s="302"/>
      <c r="AHI164" s="302"/>
      <c r="AHJ164" s="302"/>
      <c r="AHK164" s="302"/>
      <c r="AHL164" s="302"/>
      <c r="AHM164" s="302"/>
      <c r="AHN164" s="302"/>
      <c r="AHO164" s="302"/>
      <c r="AHP164" s="302"/>
      <c r="AHQ164" s="302"/>
      <c r="AHR164" s="302"/>
      <c r="AHS164" s="302"/>
      <c r="AHT164" s="302"/>
      <c r="AHU164" s="302"/>
      <c r="AHV164" s="302"/>
      <c r="AHW164" s="302"/>
      <c r="AHX164" s="302"/>
      <c r="AHY164" s="302"/>
      <c r="AHZ164" s="302"/>
      <c r="AIA164" s="302"/>
      <c r="AIB164" s="302"/>
      <c r="AIC164" s="302"/>
      <c r="AID164" s="302"/>
      <c r="AIE164" s="302"/>
      <c r="AIF164" s="302"/>
      <c r="AIG164" s="302"/>
      <c r="AIH164" s="302"/>
      <c r="AII164" s="302"/>
      <c r="AIJ164" s="302"/>
      <c r="AIK164" s="302"/>
      <c r="AIL164" s="302"/>
      <c r="AIM164" s="302"/>
      <c r="AIN164" s="302"/>
      <c r="AIO164" s="302"/>
      <c r="AIP164" s="302"/>
      <c r="AIQ164" s="302"/>
      <c r="AIR164" s="302"/>
      <c r="AIS164" s="302"/>
      <c r="AIT164" s="302"/>
      <c r="AIU164" s="302"/>
      <c r="AIV164" s="302"/>
      <c r="AIW164" s="302"/>
      <c r="AIX164" s="302"/>
      <c r="AIY164" s="302"/>
      <c r="AIZ164" s="302"/>
      <c r="AJA164" s="302"/>
      <c r="AJB164" s="302"/>
      <c r="AJC164" s="302"/>
      <c r="AJD164" s="302"/>
      <c r="AJE164" s="302"/>
      <c r="AJF164" s="302"/>
      <c r="AJG164" s="302"/>
      <c r="AJH164" s="302"/>
      <c r="AJI164" s="302"/>
      <c r="AJJ164" s="302"/>
      <c r="AJK164" s="302"/>
      <c r="AJL164" s="302"/>
      <c r="AJM164" s="302"/>
      <c r="AJN164" s="302"/>
      <c r="AJO164" s="302"/>
      <c r="AJP164" s="302"/>
      <c r="AJQ164" s="302"/>
      <c r="AJR164" s="302"/>
      <c r="AJS164" s="302"/>
      <c r="AJT164" s="302"/>
      <c r="AJU164" s="302"/>
      <c r="AJV164" s="302"/>
      <c r="AJW164" s="302"/>
      <c r="AJX164" s="302"/>
      <c r="AJY164" s="302"/>
      <c r="AJZ164" s="302"/>
      <c r="AKA164" s="302"/>
      <c r="AKB164" s="302"/>
      <c r="AKC164" s="302"/>
      <c r="AKD164" s="302"/>
      <c r="AKE164" s="302"/>
      <c r="AKF164" s="302"/>
      <c r="AKG164" s="302"/>
      <c r="AKH164" s="302"/>
      <c r="AKI164" s="302"/>
      <c r="AKJ164" s="302"/>
      <c r="AKK164" s="302"/>
      <c r="AKL164" s="302"/>
      <c r="AKM164" s="302"/>
      <c r="AKN164" s="302"/>
      <c r="AKO164" s="302"/>
      <c r="AKP164" s="302"/>
      <c r="AKQ164" s="302"/>
      <c r="AKR164" s="302"/>
      <c r="AKS164" s="302"/>
      <c r="AKT164" s="302"/>
      <c r="AKU164" s="302"/>
      <c r="AKV164" s="302"/>
      <c r="AKW164" s="302"/>
      <c r="AKX164" s="302"/>
      <c r="AKY164" s="302"/>
      <c r="AKZ164" s="302"/>
      <c r="ALA164" s="302"/>
      <c r="ALB164" s="302"/>
      <c r="ALC164" s="302"/>
      <c r="ALD164" s="302"/>
      <c r="ALE164" s="302"/>
      <c r="ALF164" s="302"/>
      <c r="ALG164" s="302"/>
      <c r="ALH164" s="302"/>
      <c r="ALI164" s="302"/>
      <c r="ALJ164" s="302"/>
      <c r="ALK164" s="302"/>
      <c r="ALL164" s="302"/>
      <c r="ALM164" s="302"/>
      <c r="ALN164" s="302"/>
      <c r="ALO164" s="302"/>
      <c r="ALP164" s="302"/>
      <c r="ALQ164" s="302"/>
      <c r="ALR164" s="302"/>
      <c r="ALS164" s="302"/>
      <c r="ALT164" s="302"/>
      <c r="ALU164" s="302"/>
      <c r="ALV164" s="302"/>
      <c r="ALW164" s="302"/>
      <c r="ALX164" s="302"/>
      <c r="ALY164" s="302"/>
      <c r="ALZ164" s="302"/>
      <c r="AMA164" s="302"/>
      <c r="AMB164" s="302"/>
      <c r="AMC164" s="302"/>
      <c r="AMD164" s="302"/>
      <c r="AME164" s="302"/>
      <c r="AMF164" s="302"/>
      <c r="AMG164" s="302"/>
      <c r="AMH164" s="302"/>
      <c r="AMI164" s="302"/>
    </row>
    <row r="165" spans="1:1023" hidden="1"/>
    <row r="166" spans="1:1023" hidden="1"/>
    <row r="167" spans="1:1023" ht="18" hidden="1">
      <c r="A167" s="302"/>
      <c r="B167" s="969" t="s">
        <v>404</v>
      </c>
      <c r="C167" s="969"/>
      <c r="D167" s="969"/>
      <c r="E167" s="969"/>
      <c r="F167" s="969"/>
      <c r="G167" s="969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2"/>
      <c r="AE167" s="302"/>
      <c r="AF167" s="302"/>
      <c r="AG167" s="302"/>
      <c r="AH167" s="302"/>
      <c r="AI167" s="302"/>
      <c r="AJ167" s="302"/>
      <c r="AK167" s="302"/>
      <c r="AL167" s="302"/>
      <c r="AM167" s="302"/>
      <c r="AN167" s="302"/>
      <c r="AO167" s="302"/>
      <c r="AP167" s="302"/>
      <c r="AQ167" s="302"/>
      <c r="AR167" s="302"/>
      <c r="AS167" s="302"/>
      <c r="AT167" s="302"/>
      <c r="AU167" s="302"/>
      <c r="AV167" s="302"/>
      <c r="AW167" s="302"/>
      <c r="AX167" s="302"/>
      <c r="AY167" s="302"/>
      <c r="AZ167" s="302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K167" s="302"/>
      <c r="BL167" s="302"/>
      <c r="BM167" s="302"/>
      <c r="BN167" s="302"/>
      <c r="BO167" s="302"/>
      <c r="BP167" s="302"/>
      <c r="BQ167" s="302"/>
      <c r="BR167" s="302"/>
      <c r="BS167" s="302"/>
      <c r="BT167" s="302"/>
      <c r="BU167" s="302"/>
      <c r="BV167" s="302"/>
      <c r="BW167" s="302"/>
      <c r="BX167" s="302"/>
      <c r="BY167" s="302"/>
      <c r="BZ167" s="302"/>
      <c r="CA167" s="302"/>
      <c r="CB167" s="302"/>
      <c r="CC167" s="302"/>
      <c r="CD167" s="302"/>
      <c r="CE167" s="302"/>
      <c r="CF167" s="302"/>
      <c r="CG167" s="302"/>
      <c r="CH167" s="302"/>
      <c r="CI167" s="302"/>
      <c r="CJ167" s="302"/>
      <c r="CK167" s="302"/>
      <c r="CL167" s="302"/>
      <c r="CM167" s="302"/>
      <c r="CN167" s="302"/>
      <c r="CO167" s="302"/>
      <c r="CP167" s="302"/>
      <c r="CQ167" s="302"/>
      <c r="CR167" s="302"/>
      <c r="CS167" s="302"/>
      <c r="CT167" s="302"/>
      <c r="CU167" s="302"/>
      <c r="CV167" s="302"/>
      <c r="CW167" s="302"/>
      <c r="CX167" s="302"/>
      <c r="CY167" s="302"/>
      <c r="CZ167" s="302"/>
      <c r="DA167" s="302"/>
      <c r="DB167" s="302"/>
      <c r="DC167" s="302"/>
      <c r="DD167" s="302"/>
      <c r="DE167" s="302"/>
      <c r="DF167" s="302"/>
      <c r="DG167" s="302"/>
      <c r="DH167" s="302"/>
      <c r="DI167" s="302"/>
      <c r="DJ167" s="302"/>
      <c r="DK167" s="302"/>
      <c r="DL167" s="302"/>
      <c r="DM167" s="302"/>
      <c r="DN167" s="302"/>
      <c r="DO167" s="302"/>
      <c r="DP167" s="302"/>
      <c r="DQ167" s="302"/>
      <c r="DR167" s="302"/>
      <c r="DS167" s="302"/>
      <c r="DT167" s="302"/>
      <c r="DU167" s="302"/>
      <c r="DV167" s="302"/>
      <c r="DW167" s="302"/>
      <c r="DX167" s="302"/>
      <c r="DY167" s="302"/>
      <c r="DZ167" s="302"/>
      <c r="EA167" s="302"/>
      <c r="EB167" s="302"/>
      <c r="EC167" s="302"/>
      <c r="ED167" s="302"/>
      <c r="EE167" s="302"/>
      <c r="EF167" s="302"/>
      <c r="EG167" s="302"/>
      <c r="EH167" s="302"/>
      <c r="EI167" s="302"/>
      <c r="EJ167" s="302"/>
      <c r="EK167" s="302"/>
      <c r="EL167" s="302"/>
      <c r="EM167" s="302"/>
      <c r="EN167" s="302"/>
      <c r="EO167" s="302"/>
      <c r="EP167" s="302"/>
      <c r="EQ167" s="302"/>
      <c r="ER167" s="302"/>
      <c r="ES167" s="302"/>
      <c r="ET167" s="302"/>
      <c r="EU167" s="302"/>
      <c r="EV167" s="302"/>
      <c r="EW167" s="302"/>
      <c r="EX167" s="302"/>
      <c r="EY167" s="302"/>
      <c r="EZ167" s="302"/>
      <c r="FA167" s="302"/>
      <c r="FB167" s="302"/>
      <c r="FC167" s="302"/>
      <c r="FD167" s="302"/>
      <c r="FE167" s="302"/>
      <c r="FF167" s="302"/>
      <c r="FG167" s="302"/>
      <c r="FH167" s="302"/>
      <c r="FI167" s="302"/>
      <c r="FJ167" s="302"/>
      <c r="FK167" s="302"/>
      <c r="FL167" s="302"/>
      <c r="FM167" s="302"/>
      <c r="FN167" s="302"/>
      <c r="FO167" s="302"/>
      <c r="FP167" s="302"/>
      <c r="FQ167" s="302"/>
      <c r="FR167" s="302"/>
      <c r="FS167" s="302"/>
      <c r="FT167" s="302"/>
      <c r="FU167" s="302"/>
      <c r="FV167" s="302"/>
      <c r="FW167" s="302"/>
      <c r="FX167" s="302"/>
      <c r="FY167" s="302"/>
      <c r="FZ167" s="302"/>
      <c r="GA167" s="302"/>
      <c r="GB167" s="302"/>
      <c r="GC167" s="302"/>
      <c r="GD167" s="302"/>
      <c r="GE167" s="302"/>
      <c r="GF167" s="302"/>
      <c r="GG167" s="302"/>
      <c r="GH167" s="302"/>
      <c r="GI167" s="302"/>
      <c r="GJ167" s="302"/>
      <c r="GK167" s="302"/>
      <c r="GL167" s="302"/>
      <c r="GM167" s="302"/>
      <c r="GN167" s="302"/>
      <c r="GO167" s="302"/>
      <c r="GP167" s="302"/>
      <c r="GQ167" s="302"/>
      <c r="GR167" s="302"/>
      <c r="GS167" s="302"/>
      <c r="GT167" s="302"/>
      <c r="GU167" s="302"/>
      <c r="GV167" s="302"/>
      <c r="GW167" s="302"/>
      <c r="GX167" s="302"/>
      <c r="GY167" s="302"/>
      <c r="GZ167" s="302"/>
      <c r="HA167" s="302"/>
      <c r="HB167" s="302"/>
      <c r="HC167" s="302"/>
      <c r="HD167" s="302"/>
      <c r="HE167" s="302"/>
      <c r="HF167" s="302"/>
      <c r="HG167" s="302"/>
      <c r="HH167" s="302"/>
      <c r="HI167" s="302"/>
      <c r="HJ167" s="302"/>
      <c r="HK167" s="302"/>
      <c r="HL167" s="302"/>
      <c r="HM167" s="302"/>
      <c r="HN167" s="302"/>
      <c r="HO167" s="302"/>
      <c r="HP167" s="302"/>
      <c r="HQ167" s="302"/>
      <c r="HR167" s="302"/>
      <c r="HS167" s="302"/>
      <c r="HT167" s="302"/>
      <c r="HU167" s="302"/>
      <c r="HV167" s="302"/>
      <c r="HW167" s="302"/>
      <c r="HX167" s="302"/>
      <c r="HY167" s="302"/>
      <c r="HZ167" s="302"/>
      <c r="IA167" s="302"/>
      <c r="IB167" s="302"/>
      <c r="IC167" s="302"/>
      <c r="ID167" s="302"/>
      <c r="IE167" s="302"/>
      <c r="IF167" s="302"/>
      <c r="IG167" s="302"/>
      <c r="IH167" s="302"/>
      <c r="II167" s="302"/>
      <c r="IJ167" s="302"/>
      <c r="IK167" s="302"/>
      <c r="IL167" s="302"/>
      <c r="IM167" s="302"/>
      <c r="IN167" s="302"/>
      <c r="IO167" s="302"/>
      <c r="IP167" s="302"/>
      <c r="IQ167" s="302"/>
      <c r="IR167" s="302"/>
      <c r="IS167" s="302"/>
      <c r="IT167" s="302"/>
      <c r="IU167" s="302"/>
      <c r="IV167" s="302"/>
      <c r="IW167" s="302"/>
      <c r="IX167" s="302"/>
      <c r="IY167" s="302"/>
      <c r="IZ167" s="302"/>
      <c r="JA167" s="302"/>
      <c r="JB167" s="302"/>
      <c r="JC167" s="302"/>
      <c r="JD167" s="302"/>
      <c r="JE167" s="302"/>
      <c r="JF167" s="302"/>
      <c r="JG167" s="302"/>
      <c r="JH167" s="302"/>
      <c r="JI167" s="302"/>
      <c r="JJ167" s="302"/>
      <c r="JK167" s="302"/>
      <c r="JL167" s="302"/>
      <c r="JM167" s="302"/>
      <c r="JN167" s="302"/>
      <c r="JO167" s="302"/>
      <c r="JP167" s="302"/>
      <c r="JQ167" s="302"/>
      <c r="JR167" s="302"/>
      <c r="JS167" s="302"/>
      <c r="JT167" s="302"/>
      <c r="JU167" s="302"/>
      <c r="JV167" s="302"/>
      <c r="JW167" s="302"/>
      <c r="JX167" s="302"/>
      <c r="JY167" s="302"/>
      <c r="JZ167" s="302"/>
      <c r="KA167" s="302"/>
      <c r="KB167" s="302"/>
      <c r="KC167" s="302"/>
      <c r="KD167" s="302"/>
      <c r="KE167" s="302"/>
      <c r="KF167" s="302"/>
      <c r="KG167" s="302"/>
      <c r="KH167" s="302"/>
      <c r="KI167" s="302"/>
      <c r="KJ167" s="302"/>
      <c r="KK167" s="302"/>
      <c r="KL167" s="302"/>
      <c r="KM167" s="302"/>
      <c r="KN167" s="302"/>
      <c r="KO167" s="302"/>
      <c r="KP167" s="302"/>
      <c r="KQ167" s="302"/>
      <c r="KR167" s="302"/>
      <c r="KS167" s="302"/>
      <c r="KT167" s="302"/>
      <c r="KU167" s="302"/>
      <c r="KV167" s="302"/>
      <c r="KW167" s="302"/>
      <c r="KX167" s="302"/>
      <c r="KY167" s="302"/>
      <c r="KZ167" s="302"/>
      <c r="LA167" s="302"/>
      <c r="LB167" s="302"/>
      <c r="LC167" s="302"/>
      <c r="LD167" s="302"/>
      <c r="LE167" s="302"/>
      <c r="LF167" s="302"/>
      <c r="LG167" s="302"/>
      <c r="LH167" s="302"/>
      <c r="LI167" s="302"/>
      <c r="LJ167" s="302"/>
      <c r="LK167" s="302"/>
      <c r="LL167" s="302"/>
      <c r="LM167" s="302"/>
      <c r="LN167" s="302"/>
      <c r="LO167" s="302"/>
      <c r="LP167" s="302"/>
      <c r="LQ167" s="302"/>
      <c r="LR167" s="302"/>
      <c r="LS167" s="302"/>
      <c r="LT167" s="302"/>
      <c r="LU167" s="302"/>
      <c r="LV167" s="302"/>
      <c r="LW167" s="302"/>
      <c r="LX167" s="302"/>
      <c r="LY167" s="302"/>
      <c r="LZ167" s="302"/>
      <c r="MA167" s="302"/>
      <c r="MB167" s="302"/>
      <c r="MC167" s="302"/>
      <c r="MD167" s="302"/>
      <c r="ME167" s="302"/>
      <c r="MF167" s="302"/>
      <c r="MG167" s="302"/>
      <c r="MH167" s="302"/>
      <c r="MI167" s="302"/>
      <c r="MJ167" s="302"/>
      <c r="MK167" s="302"/>
      <c r="ML167" s="302"/>
      <c r="MM167" s="302"/>
      <c r="MN167" s="302"/>
      <c r="MO167" s="302"/>
      <c r="MP167" s="302"/>
      <c r="MQ167" s="302"/>
      <c r="MR167" s="302"/>
      <c r="MS167" s="302"/>
      <c r="MT167" s="302"/>
      <c r="MU167" s="302"/>
      <c r="MV167" s="302"/>
      <c r="MW167" s="302"/>
      <c r="MX167" s="302"/>
      <c r="MY167" s="302"/>
      <c r="MZ167" s="302"/>
      <c r="NA167" s="302"/>
      <c r="NB167" s="302"/>
      <c r="NC167" s="302"/>
      <c r="ND167" s="302"/>
      <c r="NE167" s="302"/>
      <c r="NF167" s="302"/>
      <c r="NG167" s="302"/>
      <c r="NH167" s="302"/>
      <c r="NI167" s="302"/>
      <c r="NJ167" s="302"/>
      <c r="NK167" s="302"/>
      <c r="NL167" s="302"/>
      <c r="NM167" s="302"/>
      <c r="NN167" s="302"/>
      <c r="NO167" s="302"/>
      <c r="NP167" s="302"/>
      <c r="NQ167" s="302"/>
      <c r="NR167" s="302"/>
      <c r="NS167" s="302"/>
      <c r="NT167" s="302"/>
      <c r="NU167" s="302"/>
      <c r="NV167" s="302"/>
      <c r="NW167" s="302"/>
      <c r="NX167" s="302"/>
      <c r="NY167" s="302"/>
      <c r="NZ167" s="302"/>
      <c r="OA167" s="302"/>
      <c r="OB167" s="302"/>
      <c r="OC167" s="302"/>
      <c r="OD167" s="302"/>
      <c r="OE167" s="302"/>
      <c r="OF167" s="302"/>
      <c r="OG167" s="302"/>
      <c r="OH167" s="302"/>
      <c r="OI167" s="302"/>
      <c r="OJ167" s="302"/>
      <c r="OK167" s="302"/>
      <c r="OL167" s="302"/>
      <c r="OM167" s="302"/>
      <c r="ON167" s="302"/>
      <c r="OO167" s="302"/>
      <c r="OP167" s="302"/>
      <c r="OQ167" s="302"/>
      <c r="OR167" s="302"/>
      <c r="OS167" s="302"/>
      <c r="OT167" s="302"/>
      <c r="OU167" s="302"/>
      <c r="OV167" s="302"/>
      <c r="OW167" s="302"/>
      <c r="OX167" s="302"/>
      <c r="OY167" s="302"/>
      <c r="OZ167" s="302"/>
      <c r="PA167" s="302"/>
      <c r="PB167" s="302"/>
      <c r="PC167" s="302"/>
      <c r="PD167" s="302"/>
      <c r="PE167" s="302"/>
      <c r="PF167" s="302"/>
      <c r="PG167" s="302"/>
      <c r="PH167" s="302"/>
      <c r="PI167" s="302"/>
      <c r="PJ167" s="302"/>
      <c r="PK167" s="302"/>
      <c r="PL167" s="302"/>
      <c r="PM167" s="302"/>
      <c r="PN167" s="302"/>
      <c r="PO167" s="302"/>
      <c r="PP167" s="302"/>
      <c r="PQ167" s="302"/>
      <c r="PR167" s="302"/>
      <c r="PS167" s="302"/>
      <c r="PT167" s="302"/>
      <c r="PU167" s="302"/>
      <c r="PV167" s="302"/>
      <c r="PW167" s="302"/>
      <c r="PX167" s="302"/>
      <c r="PY167" s="302"/>
      <c r="PZ167" s="302"/>
      <c r="QA167" s="302"/>
      <c r="QB167" s="302"/>
      <c r="QC167" s="302"/>
      <c r="QD167" s="302"/>
      <c r="QE167" s="302"/>
      <c r="QF167" s="302"/>
      <c r="QG167" s="302"/>
      <c r="QH167" s="302"/>
      <c r="QI167" s="302"/>
      <c r="QJ167" s="302"/>
      <c r="QK167" s="302"/>
      <c r="QL167" s="302"/>
      <c r="QM167" s="302"/>
      <c r="QN167" s="302"/>
      <c r="QO167" s="302"/>
      <c r="QP167" s="302"/>
      <c r="QQ167" s="302"/>
      <c r="QR167" s="302"/>
      <c r="QS167" s="302"/>
      <c r="QT167" s="302"/>
      <c r="QU167" s="302"/>
      <c r="QV167" s="302"/>
      <c r="QW167" s="302"/>
      <c r="QX167" s="302"/>
      <c r="QY167" s="302"/>
      <c r="QZ167" s="302"/>
      <c r="RA167" s="302"/>
      <c r="RB167" s="302"/>
      <c r="RC167" s="302"/>
      <c r="RD167" s="302"/>
      <c r="RE167" s="302"/>
      <c r="RF167" s="302"/>
      <c r="RG167" s="302"/>
      <c r="RH167" s="302"/>
      <c r="RI167" s="302"/>
      <c r="RJ167" s="302"/>
      <c r="RK167" s="302"/>
      <c r="RL167" s="302"/>
      <c r="RM167" s="302"/>
      <c r="RN167" s="302"/>
      <c r="RO167" s="302"/>
      <c r="RP167" s="302"/>
      <c r="RQ167" s="302"/>
      <c r="RR167" s="302"/>
      <c r="RS167" s="302"/>
      <c r="RT167" s="302"/>
      <c r="RU167" s="302"/>
      <c r="RV167" s="302"/>
      <c r="RW167" s="302"/>
      <c r="RX167" s="302"/>
      <c r="RY167" s="302"/>
      <c r="RZ167" s="302"/>
      <c r="SA167" s="302"/>
      <c r="SB167" s="302"/>
      <c r="SC167" s="302"/>
      <c r="SD167" s="302"/>
      <c r="SE167" s="302"/>
      <c r="SF167" s="302"/>
      <c r="SG167" s="302"/>
      <c r="SH167" s="302"/>
      <c r="SI167" s="302"/>
      <c r="SJ167" s="302"/>
      <c r="SK167" s="302"/>
      <c r="SL167" s="302"/>
      <c r="SM167" s="302"/>
      <c r="SN167" s="302"/>
      <c r="SO167" s="302"/>
      <c r="SP167" s="302"/>
      <c r="SQ167" s="302"/>
      <c r="SR167" s="302"/>
      <c r="SS167" s="302"/>
      <c r="ST167" s="302"/>
      <c r="SU167" s="302"/>
      <c r="SV167" s="302"/>
      <c r="SW167" s="302"/>
      <c r="SX167" s="302"/>
      <c r="SY167" s="302"/>
      <c r="SZ167" s="302"/>
      <c r="TA167" s="302"/>
      <c r="TB167" s="302"/>
      <c r="TC167" s="302"/>
      <c r="TD167" s="302"/>
      <c r="TE167" s="302"/>
      <c r="TF167" s="302"/>
      <c r="TG167" s="302"/>
      <c r="TH167" s="302"/>
      <c r="TI167" s="302"/>
      <c r="TJ167" s="302"/>
      <c r="TK167" s="302"/>
      <c r="TL167" s="302"/>
      <c r="TM167" s="302"/>
      <c r="TN167" s="302"/>
      <c r="TO167" s="302"/>
      <c r="TP167" s="302"/>
      <c r="TQ167" s="302"/>
      <c r="TR167" s="302"/>
      <c r="TS167" s="302"/>
      <c r="TT167" s="302"/>
      <c r="TU167" s="302"/>
      <c r="TV167" s="302"/>
      <c r="TW167" s="302"/>
      <c r="TX167" s="302"/>
      <c r="TY167" s="302"/>
      <c r="TZ167" s="302"/>
      <c r="UA167" s="302"/>
      <c r="UB167" s="302"/>
      <c r="UC167" s="302"/>
      <c r="UD167" s="302"/>
      <c r="UE167" s="302"/>
      <c r="UF167" s="302"/>
      <c r="UG167" s="302"/>
      <c r="UH167" s="302"/>
      <c r="UI167" s="302"/>
      <c r="UJ167" s="302"/>
      <c r="UK167" s="302"/>
      <c r="UL167" s="302"/>
      <c r="UM167" s="302"/>
      <c r="UN167" s="302"/>
      <c r="UO167" s="302"/>
      <c r="UP167" s="302"/>
      <c r="UQ167" s="302"/>
      <c r="UR167" s="302"/>
      <c r="US167" s="302"/>
      <c r="UT167" s="302"/>
      <c r="UU167" s="302"/>
      <c r="UV167" s="302"/>
      <c r="UW167" s="302"/>
      <c r="UX167" s="302"/>
      <c r="UY167" s="302"/>
      <c r="UZ167" s="302"/>
      <c r="VA167" s="302"/>
      <c r="VB167" s="302"/>
      <c r="VC167" s="302"/>
      <c r="VD167" s="302"/>
      <c r="VE167" s="302"/>
      <c r="VF167" s="302"/>
      <c r="VG167" s="302"/>
      <c r="VH167" s="302"/>
      <c r="VI167" s="302"/>
      <c r="VJ167" s="302"/>
      <c r="VK167" s="302"/>
      <c r="VL167" s="302"/>
      <c r="VM167" s="302"/>
      <c r="VN167" s="302"/>
      <c r="VO167" s="302"/>
      <c r="VP167" s="302"/>
      <c r="VQ167" s="302"/>
      <c r="VR167" s="302"/>
      <c r="VS167" s="302"/>
      <c r="VT167" s="302"/>
      <c r="VU167" s="302"/>
      <c r="VV167" s="302"/>
      <c r="VW167" s="302"/>
      <c r="VX167" s="302"/>
      <c r="VY167" s="302"/>
      <c r="VZ167" s="302"/>
      <c r="WA167" s="302"/>
      <c r="WB167" s="302"/>
      <c r="WC167" s="302"/>
      <c r="WD167" s="302"/>
      <c r="WE167" s="302"/>
      <c r="WF167" s="302"/>
      <c r="WG167" s="302"/>
      <c r="WH167" s="302"/>
      <c r="WI167" s="302"/>
      <c r="WJ167" s="302"/>
      <c r="WK167" s="302"/>
      <c r="WL167" s="302"/>
      <c r="WM167" s="302"/>
      <c r="WN167" s="302"/>
      <c r="WO167" s="302"/>
      <c r="WP167" s="302"/>
      <c r="WQ167" s="302"/>
      <c r="WR167" s="302"/>
      <c r="WS167" s="302"/>
      <c r="WT167" s="302"/>
      <c r="WU167" s="302"/>
      <c r="WV167" s="302"/>
      <c r="WW167" s="302"/>
      <c r="WX167" s="302"/>
      <c r="WY167" s="302"/>
      <c r="WZ167" s="302"/>
      <c r="XA167" s="302"/>
      <c r="XB167" s="302"/>
      <c r="XC167" s="302"/>
      <c r="XD167" s="302"/>
      <c r="XE167" s="302"/>
      <c r="XF167" s="302"/>
      <c r="XG167" s="302"/>
      <c r="XH167" s="302"/>
      <c r="XI167" s="302"/>
      <c r="XJ167" s="302"/>
      <c r="XK167" s="302"/>
      <c r="XL167" s="302"/>
      <c r="XM167" s="302"/>
      <c r="XN167" s="302"/>
      <c r="XO167" s="302"/>
      <c r="XP167" s="302"/>
      <c r="XQ167" s="302"/>
      <c r="XR167" s="302"/>
      <c r="XS167" s="302"/>
      <c r="XT167" s="302"/>
      <c r="XU167" s="302"/>
      <c r="XV167" s="302"/>
      <c r="XW167" s="302"/>
      <c r="XX167" s="302"/>
      <c r="XY167" s="302"/>
      <c r="XZ167" s="302"/>
      <c r="YA167" s="302"/>
      <c r="YB167" s="302"/>
      <c r="YC167" s="302"/>
      <c r="YD167" s="302"/>
      <c r="YE167" s="302"/>
      <c r="YF167" s="302"/>
      <c r="YG167" s="302"/>
      <c r="YH167" s="302"/>
      <c r="YI167" s="302"/>
      <c r="YJ167" s="302"/>
      <c r="YK167" s="302"/>
      <c r="YL167" s="302"/>
      <c r="YM167" s="302"/>
      <c r="YN167" s="302"/>
      <c r="YO167" s="302"/>
      <c r="YP167" s="302"/>
      <c r="YQ167" s="302"/>
      <c r="YR167" s="302"/>
      <c r="YS167" s="302"/>
      <c r="YT167" s="302"/>
      <c r="YU167" s="302"/>
      <c r="YV167" s="302"/>
      <c r="YW167" s="302"/>
      <c r="YX167" s="302"/>
      <c r="YY167" s="302"/>
      <c r="YZ167" s="302"/>
      <c r="ZA167" s="302"/>
      <c r="ZB167" s="302"/>
      <c r="ZC167" s="302"/>
      <c r="ZD167" s="302"/>
      <c r="ZE167" s="302"/>
      <c r="ZF167" s="302"/>
      <c r="ZG167" s="302"/>
      <c r="ZH167" s="302"/>
      <c r="ZI167" s="302"/>
      <c r="ZJ167" s="302"/>
      <c r="ZK167" s="302"/>
      <c r="ZL167" s="302"/>
      <c r="ZM167" s="302"/>
      <c r="ZN167" s="302"/>
      <c r="ZO167" s="302"/>
      <c r="ZP167" s="302"/>
      <c r="ZQ167" s="302"/>
      <c r="ZR167" s="302"/>
      <c r="ZS167" s="302"/>
      <c r="ZT167" s="302"/>
      <c r="ZU167" s="302"/>
      <c r="ZV167" s="302"/>
      <c r="ZW167" s="302"/>
      <c r="ZX167" s="302"/>
      <c r="ZY167" s="302"/>
      <c r="ZZ167" s="302"/>
      <c r="AAA167" s="302"/>
      <c r="AAB167" s="302"/>
      <c r="AAC167" s="302"/>
      <c r="AAD167" s="302"/>
      <c r="AAE167" s="302"/>
      <c r="AAF167" s="302"/>
      <c r="AAG167" s="302"/>
      <c r="AAH167" s="302"/>
      <c r="AAI167" s="302"/>
      <c r="AAJ167" s="302"/>
      <c r="AAK167" s="302"/>
      <c r="AAL167" s="302"/>
      <c r="AAM167" s="302"/>
      <c r="AAN167" s="302"/>
      <c r="AAO167" s="302"/>
      <c r="AAP167" s="302"/>
      <c r="AAQ167" s="302"/>
      <c r="AAR167" s="302"/>
      <c r="AAS167" s="302"/>
      <c r="AAT167" s="302"/>
      <c r="AAU167" s="302"/>
      <c r="AAV167" s="302"/>
      <c r="AAW167" s="302"/>
      <c r="AAX167" s="302"/>
      <c r="AAY167" s="302"/>
      <c r="AAZ167" s="302"/>
      <c r="ABA167" s="302"/>
      <c r="ABB167" s="302"/>
      <c r="ABC167" s="302"/>
      <c r="ABD167" s="302"/>
      <c r="ABE167" s="302"/>
      <c r="ABF167" s="302"/>
      <c r="ABG167" s="302"/>
      <c r="ABH167" s="302"/>
      <c r="ABI167" s="302"/>
      <c r="ABJ167" s="302"/>
      <c r="ABK167" s="302"/>
      <c r="ABL167" s="302"/>
      <c r="ABM167" s="302"/>
      <c r="ABN167" s="302"/>
      <c r="ABO167" s="302"/>
      <c r="ABP167" s="302"/>
      <c r="ABQ167" s="302"/>
      <c r="ABR167" s="302"/>
      <c r="ABS167" s="302"/>
      <c r="ABT167" s="302"/>
      <c r="ABU167" s="302"/>
      <c r="ABV167" s="302"/>
      <c r="ABW167" s="302"/>
      <c r="ABX167" s="302"/>
      <c r="ABY167" s="302"/>
      <c r="ABZ167" s="302"/>
      <c r="ACA167" s="302"/>
      <c r="ACB167" s="302"/>
      <c r="ACC167" s="302"/>
      <c r="ACD167" s="302"/>
      <c r="ACE167" s="302"/>
      <c r="ACF167" s="302"/>
      <c r="ACG167" s="302"/>
      <c r="ACH167" s="302"/>
      <c r="ACI167" s="302"/>
      <c r="ACJ167" s="302"/>
      <c r="ACK167" s="302"/>
      <c r="ACL167" s="302"/>
      <c r="ACM167" s="302"/>
      <c r="ACN167" s="302"/>
      <c r="ACO167" s="302"/>
      <c r="ACP167" s="302"/>
      <c r="ACQ167" s="302"/>
      <c r="ACR167" s="302"/>
      <c r="ACS167" s="302"/>
      <c r="ACT167" s="302"/>
      <c r="ACU167" s="302"/>
      <c r="ACV167" s="302"/>
      <c r="ACW167" s="302"/>
      <c r="ACX167" s="302"/>
      <c r="ACY167" s="302"/>
      <c r="ACZ167" s="302"/>
      <c r="ADA167" s="302"/>
      <c r="ADB167" s="302"/>
      <c r="ADC167" s="302"/>
      <c r="ADD167" s="302"/>
      <c r="ADE167" s="302"/>
      <c r="ADF167" s="302"/>
      <c r="ADG167" s="302"/>
      <c r="ADH167" s="302"/>
      <c r="ADI167" s="302"/>
      <c r="ADJ167" s="302"/>
      <c r="ADK167" s="302"/>
      <c r="ADL167" s="302"/>
      <c r="ADM167" s="302"/>
      <c r="ADN167" s="302"/>
      <c r="ADO167" s="302"/>
      <c r="ADP167" s="302"/>
      <c r="ADQ167" s="302"/>
      <c r="ADR167" s="302"/>
      <c r="ADS167" s="302"/>
      <c r="ADT167" s="302"/>
      <c r="ADU167" s="302"/>
      <c r="ADV167" s="302"/>
      <c r="ADW167" s="302"/>
      <c r="ADX167" s="302"/>
      <c r="ADY167" s="302"/>
      <c r="ADZ167" s="302"/>
      <c r="AEA167" s="302"/>
      <c r="AEB167" s="302"/>
      <c r="AEC167" s="302"/>
      <c r="AED167" s="302"/>
      <c r="AEE167" s="302"/>
      <c r="AEF167" s="302"/>
      <c r="AEG167" s="302"/>
      <c r="AEH167" s="302"/>
      <c r="AEI167" s="302"/>
      <c r="AEJ167" s="302"/>
      <c r="AEK167" s="302"/>
      <c r="AEL167" s="302"/>
      <c r="AEM167" s="302"/>
      <c r="AEN167" s="302"/>
      <c r="AEO167" s="302"/>
      <c r="AEP167" s="302"/>
      <c r="AEQ167" s="302"/>
      <c r="AER167" s="302"/>
      <c r="AES167" s="302"/>
      <c r="AET167" s="302"/>
      <c r="AEU167" s="302"/>
      <c r="AEV167" s="302"/>
      <c r="AEW167" s="302"/>
      <c r="AEX167" s="302"/>
      <c r="AEY167" s="302"/>
      <c r="AEZ167" s="302"/>
      <c r="AFA167" s="302"/>
      <c r="AFB167" s="302"/>
      <c r="AFC167" s="302"/>
      <c r="AFD167" s="302"/>
      <c r="AFE167" s="302"/>
      <c r="AFF167" s="302"/>
      <c r="AFG167" s="302"/>
      <c r="AFH167" s="302"/>
      <c r="AFI167" s="302"/>
      <c r="AFJ167" s="302"/>
      <c r="AFK167" s="302"/>
      <c r="AFL167" s="302"/>
      <c r="AFM167" s="302"/>
      <c r="AFN167" s="302"/>
      <c r="AFO167" s="302"/>
      <c r="AFP167" s="302"/>
      <c r="AFQ167" s="302"/>
      <c r="AFR167" s="302"/>
      <c r="AFS167" s="302"/>
      <c r="AFT167" s="302"/>
      <c r="AFU167" s="302"/>
      <c r="AFV167" s="302"/>
      <c r="AFW167" s="302"/>
      <c r="AFX167" s="302"/>
      <c r="AFY167" s="302"/>
      <c r="AFZ167" s="302"/>
      <c r="AGA167" s="302"/>
      <c r="AGB167" s="302"/>
      <c r="AGC167" s="302"/>
      <c r="AGD167" s="302"/>
      <c r="AGE167" s="302"/>
      <c r="AGF167" s="302"/>
      <c r="AGG167" s="302"/>
      <c r="AGH167" s="302"/>
      <c r="AGI167" s="302"/>
      <c r="AGJ167" s="302"/>
      <c r="AGK167" s="302"/>
      <c r="AGL167" s="302"/>
      <c r="AGM167" s="302"/>
      <c r="AGN167" s="302"/>
      <c r="AGO167" s="302"/>
      <c r="AGP167" s="302"/>
      <c r="AGQ167" s="302"/>
      <c r="AGR167" s="302"/>
      <c r="AGS167" s="302"/>
      <c r="AGT167" s="302"/>
      <c r="AGU167" s="302"/>
      <c r="AGV167" s="302"/>
      <c r="AGW167" s="302"/>
      <c r="AGX167" s="302"/>
      <c r="AGY167" s="302"/>
      <c r="AGZ167" s="302"/>
      <c r="AHA167" s="302"/>
      <c r="AHB167" s="302"/>
      <c r="AHC167" s="302"/>
      <c r="AHD167" s="302"/>
      <c r="AHE167" s="302"/>
      <c r="AHF167" s="302"/>
      <c r="AHG167" s="302"/>
      <c r="AHH167" s="302"/>
      <c r="AHI167" s="302"/>
      <c r="AHJ167" s="302"/>
      <c r="AHK167" s="302"/>
      <c r="AHL167" s="302"/>
      <c r="AHM167" s="302"/>
      <c r="AHN167" s="302"/>
      <c r="AHO167" s="302"/>
      <c r="AHP167" s="302"/>
      <c r="AHQ167" s="302"/>
      <c r="AHR167" s="302"/>
      <c r="AHS167" s="302"/>
      <c r="AHT167" s="302"/>
      <c r="AHU167" s="302"/>
      <c r="AHV167" s="302"/>
      <c r="AHW167" s="302"/>
      <c r="AHX167" s="302"/>
      <c r="AHY167" s="302"/>
      <c r="AHZ167" s="302"/>
      <c r="AIA167" s="302"/>
      <c r="AIB167" s="302"/>
      <c r="AIC167" s="302"/>
      <c r="AID167" s="302"/>
      <c r="AIE167" s="302"/>
      <c r="AIF167" s="302"/>
      <c r="AIG167" s="302"/>
      <c r="AIH167" s="302"/>
      <c r="AII167" s="302"/>
      <c r="AIJ167" s="302"/>
      <c r="AIK167" s="302"/>
      <c r="AIL167" s="302"/>
      <c r="AIM167" s="302"/>
      <c r="AIN167" s="302"/>
      <c r="AIO167" s="302"/>
      <c r="AIP167" s="302"/>
      <c r="AIQ167" s="302"/>
      <c r="AIR167" s="302"/>
      <c r="AIS167" s="302"/>
      <c r="AIT167" s="302"/>
      <c r="AIU167" s="302"/>
      <c r="AIV167" s="302"/>
      <c r="AIW167" s="302"/>
      <c r="AIX167" s="302"/>
      <c r="AIY167" s="302"/>
      <c r="AIZ167" s="302"/>
      <c r="AJA167" s="302"/>
      <c r="AJB167" s="302"/>
      <c r="AJC167" s="302"/>
      <c r="AJD167" s="302"/>
      <c r="AJE167" s="302"/>
      <c r="AJF167" s="302"/>
      <c r="AJG167" s="302"/>
      <c r="AJH167" s="302"/>
      <c r="AJI167" s="302"/>
      <c r="AJJ167" s="302"/>
      <c r="AJK167" s="302"/>
      <c r="AJL167" s="302"/>
      <c r="AJM167" s="302"/>
      <c r="AJN167" s="302"/>
      <c r="AJO167" s="302"/>
      <c r="AJP167" s="302"/>
      <c r="AJQ167" s="302"/>
      <c r="AJR167" s="302"/>
      <c r="AJS167" s="302"/>
      <c r="AJT167" s="302"/>
      <c r="AJU167" s="302"/>
      <c r="AJV167" s="302"/>
      <c r="AJW167" s="302"/>
      <c r="AJX167" s="302"/>
      <c r="AJY167" s="302"/>
      <c r="AJZ167" s="302"/>
      <c r="AKA167" s="302"/>
      <c r="AKB167" s="302"/>
      <c r="AKC167" s="302"/>
      <c r="AKD167" s="302"/>
      <c r="AKE167" s="302"/>
      <c r="AKF167" s="302"/>
      <c r="AKG167" s="302"/>
      <c r="AKH167" s="302"/>
      <c r="AKI167" s="302"/>
      <c r="AKJ167" s="302"/>
      <c r="AKK167" s="302"/>
      <c r="AKL167" s="302"/>
      <c r="AKM167" s="302"/>
      <c r="AKN167" s="302"/>
      <c r="AKO167" s="302"/>
      <c r="AKP167" s="302"/>
      <c r="AKQ167" s="302"/>
      <c r="AKR167" s="302"/>
      <c r="AKS167" s="302"/>
      <c r="AKT167" s="302"/>
      <c r="AKU167" s="302"/>
      <c r="AKV167" s="302"/>
      <c r="AKW167" s="302"/>
      <c r="AKX167" s="302"/>
      <c r="AKY167" s="302"/>
      <c r="AKZ167" s="302"/>
      <c r="ALA167" s="302"/>
      <c r="ALB167" s="302"/>
      <c r="ALC167" s="302"/>
      <c r="ALD167" s="302"/>
      <c r="ALE167" s="302"/>
      <c r="ALF167" s="302"/>
      <c r="ALG167" s="302"/>
      <c r="ALH167" s="302"/>
      <c r="ALI167" s="302"/>
      <c r="ALJ167" s="302"/>
      <c r="ALK167" s="302"/>
      <c r="ALL167" s="302"/>
      <c r="ALM167" s="302"/>
      <c r="ALN167" s="302"/>
      <c r="ALO167" s="302"/>
      <c r="ALP167" s="302"/>
      <c r="ALQ167" s="302"/>
      <c r="ALR167" s="302"/>
      <c r="ALS167" s="302"/>
      <c r="ALT167" s="302"/>
      <c r="ALU167" s="302"/>
      <c r="ALV167" s="302"/>
      <c r="ALW167" s="302"/>
      <c r="ALX167" s="302"/>
      <c r="ALY167" s="302"/>
      <c r="ALZ167" s="302"/>
      <c r="AMA167" s="302"/>
      <c r="AMB167" s="302"/>
      <c r="AMC167" s="302"/>
      <c r="AMD167" s="302"/>
      <c r="AME167" s="302"/>
      <c r="AMF167" s="302"/>
      <c r="AMG167" s="302"/>
      <c r="AMH167" s="302"/>
      <c r="AMI167" s="302"/>
    </row>
    <row r="168" spans="1:1023" ht="18" hidden="1">
      <c r="A168" s="302"/>
      <c r="B168" s="308" t="s">
        <v>4</v>
      </c>
      <c r="C168" s="308" t="s">
        <v>373</v>
      </c>
      <c r="D168" s="308" t="s">
        <v>6</v>
      </c>
      <c r="E168" s="308" t="s">
        <v>29</v>
      </c>
      <c r="F168" s="309" t="s">
        <v>8</v>
      </c>
      <c r="G168" s="308" t="s">
        <v>41</v>
      </c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2"/>
      <c r="AE168" s="302"/>
      <c r="AF168" s="302"/>
      <c r="AG168" s="302"/>
      <c r="AH168" s="302"/>
      <c r="AI168" s="302"/>
      <c r="AJ168" s="302"/>
      <c r="AK168" s="302"/>
      <c r="AL168" s="302"/>
      <c r="AM168" s="302"/>
      <c r="AN168" s="302"/>
      <c r="AO168" s="302"/>
      <c r="AP168" s="302"/>
      <c r="AQ168" s="302"/>
      <c r="AR168" s="302"/>
      <c r="AS168" s="302"/>
      <c r="AT168" s="302"/>
      <c r="AU168" s="302"/>
      <c r="AV168" s="302"/>
      <c r="AW168" s="302"/>
      <c r="AX168" s="302"/>
      <c r="AY168" s="302"/>
      <c r="AZ168" s="302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K168" s="302"/>
      <c r="BL168" s="302"/>
      <c r="BM168" s="302"/>
      <c r="BN168" s="302"/>
      <c r="BO168" s="302"/>
      <c r="BP168" s="302"/>
      <c r="BQ168" s="302"/>
      <c r="BR168" s="302"/>
      <c r="BS168" s="302"/>
      <c r="BT168" s="302"/>
      <c r="BU168" s="302"/>
      <c r="BV168" s="302"/>
      <c r="BW168" s="302"/>
      <c r="BX168" s="302"/>
      <c r="BY168" s="302"/>
      <c r="BZ168" s="302"/>
      <c r="CA168" s="302"/>
      <c r="CB168" s="302"/>
      <c r="CC168" s="302"/>
      <c r="CD168" s="302"/>
      <c r="CE168" s="302"/>
      <c r="CF168" s="302"/>
      <c r="CG168" s="302"/>
      <c r="CH168" s="302"/>
      <c r="CI168" s="302"/>
      <c r="CJ168" s="302"/>
      <c r="CK168" s="302"/>
      <c r="CL168" s="302"/>
      <c r="CM168" s="302"/>
      <c r="CN168" s="302"/>
      <c r="CO168" s="302"/>
      <c r="CP168" s="302"/>
      <c r="CQ168" s="302"/>
      <c r="CR168" s="302"/>
      <c r="CS168" s="302"/>
      <c r="CT168" s="302"/>
      <c r="CU168" s="302"/>
      <c r="CV168" s="302"/>
      <c r="CW168" s="302"/>
      <c r="CX168" s="302"/>
      <c r="CY168" s="302"/>
      <c r="CZ168" s="302"/>
      <c r="DA168" s="302"/>
      <c r="DB168" s="302"/>
      <c r="DC168" s="302"/>
      <c r="DD168" s="302"/>
      <c r="DE168" s="302"/>
      <c r="DF168" s="302"/>
      <c r="DG168" s="302"/>
      <c r="DH168" s="302"/>
      <c r="DI168" s="302"/>
      <c r="DJ168" s="302"/>
      <c r="DK168" s="302"/>
      <c r="DL168" s="302"/>
      <c r="DM168" s="302"/>
      <c r="DN168" s="302"/>
      <c r="DO168" s="302"/>
      <c r="DP168" s="302"/>
      <c r="DQ168" s="302"/>
      <c r="DR168" s="302"/>
      <c r="DS168" s="302"/>
      <c r="DT168" s="302"/>
      <c r="DU168" s="302"/>
      <c r="DV168" s="302"/>
      <c r="DW168" s="302"/>
      <c r="DX168" s="302"/>
      <c r="DY168" s="302"/>
      <c r="DZ168" s="302"/>
      <c r="EA168" s="302"/>
      <c r="EB168" s="302"/>
      <c r="EC168" s="302"/>
      <c r="ED168" s="302"/>
      <c r="EE168" s="302"/>
      <c r="EF168" s="302"/>
      <c r="EG168" s="302"/>
      <c r="EH168" s="302"/>
      <c r="EI168" s="302"/>
      <c r="EJ168" s="302"/>
      <c r="EK168" s="302"/>
      <c r="EL168" s="302"/>
      <c r="EM168" s="302"/>
      <c r="EN168" s="302"/>
      <c r="EO168" s="302"/>
      <c r="EP168" s="302"/>
      <c r="EQ168" s="302"/>
      <c r="ER168" s="302"/>
      <c r="ES168" s="302"/>
      <c r="ET168" s="302"/>
      <c r="EU168" s="302"/>
      <c r="EV168" s="302"/>
      <c r="EW168" s="302"/>
      <c r="EX168" s="302"/>
      <c r="EY168" s="302"/>
      <c r="EZ168" s="302"/>
      <c r="FA168" s="302"/>
      <c r="FB168" s="302"/>
      <c r="FC168" s="302"/>
      <c r="FD168" s="302"/>
      <c r="FE168" s="302"/>
      <c r="FF168" s="302"/>
      <c r="FG168" s="302"/>
      <c r="FH168" s="302"/>
      <c r="FI168" s="302"/>
      <c r="FJ168" s="302"/>
      <c r="FK168" s="302"/>
      <c r="FL168" s="302"/>
      <c r="FM168" s="302"/>
      <c r="FN168" s="302"/>
      <c r="FO168" s="302"/>
      <c r="FP168" s="302"/>
      <c r="FQ168" s="302"/>
      <c r="FR168" s="302"/>
      <c r="FS168" s="302"/>
      <c r="FT168" s="302"/>
      <c r="FU168" s="302"/>
      <c r="FV168" s="302"/>
      <c r="FW168" s="302"/>
      <c r="FX168" s="302"/>
      <c r="FY168" s="302"/>
      <c r="FZ168" s="302"/>
      <c r="GA168" s="302"/>
      <c r="GB168" s="302"/>
      <c r="GC168" s="302"/>
      <c r="GD168" s="302"/>
      <c r="GE168" s="302"/>
      <c r="GF168" s="302"/>
      <c r="GG168" s="302"/>
      <c r="GH168" s="302"/>
      <c r="GI168" s="302"/>
      <c r="GJ168" s="302"/>
      <c r="GK168" s="302"/>
      <c r="GL168" s="302"/>
      <c r="GM168" s="302"/>
      <c r="GN168" s="302"/>
      <c r="GO168" s="302"/>
      <c r="GP168" s="302"/>
      <c r="GQ168" s="302"/>
      <c r="GR168" s="302"/>
      <c r="GS168" s="302"/>
      <c r="GT168" s="302"/>
      <c r="GU168" s="302"/>
      <c r="GV168" s="302"/>
      <c r="GW168" s="302"/>
      <c r="GX168" s="302"/>
      <c r="GY168" s="302"/>
      <c r="GZ168" s="302"/>
      <c r="HA168" s="302"/>
      <c r="HB168" s="302"/>
      <c r="HC168" s="302"/>
      <c r="HD168" s="302"/>
      <c r="HE168" s="302"/>
      <c r="HF168" s="302"/>
      <c r="HG168" s="302"/>
      <c r="HH168" s="302"/>
      <c r="HI168" s="302"/>
      <c r="HJ168" s="302"/>
      <c r="HK168" s="302"/>
      <c r="HL168" s="302"/>
      <c r="HM168" s="302"/>
      <c r="HN168" s="302"/>
      <c r="HO168" s="302"/>
      <c r="HP168" s="302"/>
      <c r="HQ168" s="302"/>
      <c r="HR168" s="302"/>
      <c r="HS168" s="302"/>
      <c r="HT168" s="302"/>
      <c r="HU168" s="302"/>
      <c r="HV168" s="302"/>
      <c r="HW168" s="302"/>
      <c r="HX168" s="302"/>
      <c r="HY168" s="302"/>
      <c r="HZ168" s="302"/>
      <c r="IA168" s="302"/>
      <c r="IB168" s="302"/>
      <c r="IC168" s="302"/>
      <c r="ID168" s="302"/>
      <c r="IE168" s="302"/>
      <c r="IF168" s="302"/>
      <c r="IG168" s="302"/>
      <c r="IH168" s="302"/>
      <c r="II168" s="302"/>
      <c r="IJ168" s="302"/>
      <c r="IK168" s="302"/>
      <c r="IL168" s="302"/>
      <c r="IM168" s="302"/>
      <c r="IN168" s="302"/>
      <c r="IO168" s="302"/>
      <c r="IP168" s="302"/>
      <c r="IQ168" s="302"/>
      <c r="IR168" s="302"/>
      <c r="IS168" s="302"/>
      <c r="IT168" s="302"/>
      <c r="IU168" s="302"/>
      <c r="IV168" s="302"/>
      <c r="IW168" s="302"/>
      <c r="IX168" s="302"/>
      <c r="IY168" s="302"/>
      <c r="IZ168" s="302"/>
      <c r="JA168" s="302"/>
      <c r="JB168" s="302"/>
      <c r="JC168" s="302"/>
      <c r="JD168" s="302"/>
      <c r="JE168" s="302"/>
      <c r="JF168" s="302"/>
      <c r="JG168" s="302"/>
      <c r="JH168" s="302"/>
      <c r="JI168" s="302"/>
      <c r="JJ168" s="302"/>
      <c r="JK168" s="302"/>
      <c r="JL168" s="302"/>
      <c r="JM168" s="302"/>
      <c r="JN168" s="302"/>
      <c r="JO168" s="302"/>
      <c r="JP168" s="302"/>
      <c r="JQ168" s="302"/>
      <c r="JR168" s="302"/>
      <c r="JS168" s="302"/>
      <c r="JT168" s="302"/>
      <c r="JU168" s="302"/>
      <c r="JV168" s="302"/>
      <c r="JW168" s="302"/>
      <c r="JX168" s="302"/>
      <c r="JY168" s="302"/>
      <c r="JZ168" s="302"/>
      <c r="KA168" s="302"/>
      <c r="KB168" s="302"/>
      <c r="KC168" s="302"/>
      <c r="KD168" s="302"/>
      <c r="KE168" s="302"/>
      <c r="KF168" s="302"/>
      <c r="KG168" s="302"/>
      <c r="KH168" s="302"/>
      <c r="KI168" s="302"/>
      <c r="KJ168" s="302"/>
      <c r="KK168" s="302"/>
      <c r="KL168" s="302"/>
      <c r="KM168" s="302"/>
      <c r="KN168" s="302"/>
      <c r="KO168" s="302"/>
      <c r="KP168" s="302"/>
      <c r="KQ168" s="302"/>
      <c r="KR168" s="302"/>
      <c r="KS168" s="302"/>
      <c r="KT168" s="302"/>
      <c r="KU168" s="302"/>
      <c r="KV168" s="302"/>
      <c r="KW168" s="302"/>
      <c r="KX168" s="302"/>
      <c r="KY168" s="302"/>
      <c r="KZ168" s="302"/>
      <c r="LA168" s="302"/>
      <c r="LB168" s="302"/>
      <c r="LC168" s="302"/>
      <c r="LD168" s="302"/>
      <c r="LE168" s="302"/>
      <c r="LF168" s="302"/>
      <c r="LG168" s="302"/>
      <c r="LH168" s="302"/>
      <c r="LI168" s="302"/>
      <c r="LJ168" s="302"/>
      <c r="LK168" s="302"/>
      <c r="LL168" s="302"/>
      <c r="LM168" s="302"/>
      <c r="LN168" s="302"/>
      <c r="LO168" s="302"/>
      <c r="LP168" s="302"/>
      <c r="LQ168" s="302"/>
      <c r="LR168" s="302"/>
      <c r="LS168" s="302"/>
      <c r="LT168" s="302"/>
      <c r="LU168" s="302"/>
      <c r="LV168" s="302"/>
      <c r="LW168" s="302"/>
      <c r="LX168" s="302"/>
      <c r="LY168" s="302"/>
      <c r="LZ168" s="302"/>
      <c r="MA168" s="302"/>
      <c r="MB168" s="302"/>
      <c r="MC168" s="302"/>
      <c r="MD168" s="302"/>
      <c r="ME168" s="302"/>
      <c r="MF168" s="302"/>
      <c r="MG168" s="302"/>
      <c r="MH168" s="302"/>
      <c r="MI168" s="302"/>
      <c r="MJ168" s="302"/>
      <c r="MK168" s="302"/>
      <c r="ML168" s="302"/>
      <c r="MM168" s="302"/>
      <c r="MN168" s="302"/>
      <c r="MO168" s="302"/>
      <c r="MP168" s="302"/>
      <c r="MQ168" s="302"/>
      <c r="MR168" s="302"/>
      <c r="MS168" s="302"/>
      <c r="MT168" s="302"/>
      <c r="MU168" s="302"/>
      <c r="MV168" s="302"/>
      <c r="MW168" s="302"/>
      <c r="MX168" s="302"/>
      <c r="MY168" s="302"/>
      <c r="MZ168" s="302"/>
      <c r="NA168" s="302"/>
      <c r="NB168" s="302"/>
      <c r="NC168" s="302"/>
      <c r="ND168" s="302"/>
      <c r="NE168" s="302"/>
      <c r="NF168" s="302"/>
      <c r="NG168" s="302"/>
      <c r="NH168" s="302"/>
      <c r="NI168" s="302"/>
      <c r="NJ168" s="302"/>
      <c r="NK168" s="302"/>
      <c r="NL168" s="302"/>
      <c r="NM168" s="302"/>
      <c r="NN168" s="302"/>
      <c r="NO168" s="302"/>
      <c r="NP168" s="302"/>
      <c r="NQ168" s="302"/>
      <c r="NR168" s="302"/>
      <c r="NS168" s="302"/>
      <c r="NT168" s="302"/>
      <c r="NU168" s="302"/>
      <c r="NV168" s="302"/>
      <c r="NW168" s="302"/>
      <c r="NX168" s="302"/>
      <c r="NY168" s="302"/>
      <c r="NZ168" s="302"/>
      <c r="OA168" s="302"/>
      <c r="OB168" s="302"/>
      <c r="OC168" s="302"/>
      <c r="OD168" s="302"/>
      <c r="OE168" s="302"/>
      <c r="OF168" s="302"/>
      <c r="OG168" s="302"/>
      <c r="OH168" s="302"/>
      <c r="OI168" s="302"/>
      <c r="OJ168" s="302"/>
      <c r="OK168" s="302"/>
      <c r="OL168" s="302"/>
      <c r="OM168" s="302"/>
      <c r="ON168" s="302"/>
      <c r="OO168" s="302"/>
      <c r="OP168" s="302"/>
      <c r="OQ168" s="302"/>
      <c r="OR168" s="302"/>
      <c r="OS168" s="302"/>
      <c r="OT168" s="302"/>
      <c r="OU168" s="302"/>
      <c r="OV168" s="302"/>
      <c r="OW168" s="302"/>
      <c r="OX168" s="302"/>
      <c r="OY168" s="302"/>
      <c r="OZ168" s="302"/>
      <c r="PA168" s="302"/>
      <c r="PB168" s="302"/>
      <c r="PC168" s="302"/>
      <c r="PD168" s="302"/>
      <c r="PE168" s="302"/>
      <c r="PF168" s="302"/>
      <c r="PG168" s="302"/>
      <c r="PH168" s="302"/>
      <c r="PI168" s="302"/>
      <c r="PJ168" s="302"/>
      <c r="PK168" s="302"/>
      <c r="PL168" s="302"/>
      <c r="PM168" s="302"/>
      <c r="PN168" s="302"/>
      <c r="PO168" s="302"/>
      <c r="PP168" s="302"/>
      <c r="PQ168" s="302"/>
      <c r="PR168" s="302"/>
      <c r="PS168" s="302"/>
      <c r="PT168" s="302"/>
      <c r="PU168" s="302"/>
      <c r="PV168" s="302"/>
      <c r="PW168" s="302"/>
      <c r="PX168" s="302"/>
      <c r="PY168" s="302"/>
      <c r="PZ168" s="302"/>
      <c r="QA168" s="302"/>
      <c r="QB168" s="302"/>
      <c r="QC168" s="302"/>
      <c r="QD168" s="302"/>
      <c r="QE168" s="302"/>
      <c r="QF168" s="302"/>
      <c r="QG168" s="302"/>
      <c r="QH168" s="302"/>
      <c r="QI168" s="302"/>
      <c r="QJ168" s="302"/>
      <c r="QK168" s="302"/>
      <c r="QL168" s="302"/>
      <c r="QM168" s="302"/>
      <c r="QN168" s="302"/>
      <c r="QO168" s="302"/>
      <c r="QP168" s="302"/>
      <c r="QQ168" s="302"/>
      <c r="QR168" s="302"/>
      <c r="QS168" s="302"/>
      <c r="QT168" s="302"/>
      <c r="QU168" s="302"/>
      <c r="QV168" s="302"/>
      <c r="QW168" s="302"/>
      <c r="QX168" s="302"/>
      <c r="QY168" s="302"/>
      <c r="QZ168" s="302"/>
      <c r="RA168" s="302"/>
      <c r="RB168" s="302"/>
      <c r="RC168" s="302"/>
      <c r="RD168" s="302"/>
      <c r="RE168" s="302"/>
      <c r="RF168" s="302"/>
      <c r="RG168" s="302"/>
      <c r="RH168" s="302"/>
      <c r="RI168" s="302"/>
      <c r="RJ168" s="302"/>
      <c r="RK168" s="302"/>
      <c r="RL168" s="302"/>
      <c r="RM168" s="302"/>
      <c r="RN168" s="302"/>
      <c r="RO168" s="302"/>
      <c r="RP168" s="302"/>
      <c r="RQ168" s="302"/>
      <c r="RR168" s="302"/>
      <c r="RS168" s="302"/>
      <c r="RT168" s="302"/>
      <c r="RU168" s="302"/>
      <c r="RV168" s="302"/>
      <c r="RW168" s="302"/>
      <c r="RX168" s="302"/>
      <c r="RY168" s="302"/>
      <c r="RZ168" s="302"/>
      <c r="SA168" s="302"/>
      <c r="SB168" s="302"/>
      <c r="SC168" s="302"/>
      <c r="SD168" s="302"/>
      <c r="SE168" s="302"/>
      <c r="SF168" s="302"/>
      <c r="SG168" s="302"/>
      <c r="SH168" s="302"/>
      <c r="SI168" s="302"/>
      <c r="SJ168" s="302"/>
      <c r="SK168" s="302"/>
      <c r="SL168" s="302"/>
      <c r="SM168" s="302"/>
      <c r="SN168" s="302"/>
      <c r="SO168" s="302"/>
      <c r="SP168" s="302"/>
      <c r="SQ168" s="302"/>
      <c r="SR168" s="302"/>
      <c r="SS168" s="302"/>
      <c r="ST168" s="302"/>
      <c r="SU168" s="302"/>
      <c r="SV168" s="302"/>
      <c r="SW168" s="302"/>
      <c r="SX168" s="302"/>
      <c r="SY168" s="302"/>
      <c r="SZ168" s="302"/>
      <c r="TA168" s="302"/>
      <c r="TB168" s="302"/>
      <c r="TC168" s="302"/>
      <c r="TD168" s="302"/>
      <c r="TE168" s="302"/>
      <c r="TF168" s="302"/>
      <c r="TG168" s="302"/>
      <c r="TH168" s="302"/>
      <c r="TI168" s="302"/>
      <c r="TJ168" s="302"/>
      <c r="TK168" s="302"/>
      <c r="TL168" s="302"/>
      <c r="TM168" s="302"/>
      <c r="TN168" s="302"/>
      <c r="TO168" s="302"/>
      <c r="TP168" s="302"/>
      <c r="TQ168" s="302"/>
      <c r="TR168" s="302"/>
      <c r="TS168" s="302"/>
      <c r="TT168" s="302"/>
      <c r="TU168" s="302"/>
      <c r="TV168" s="302"/>
      <c r="TW168" s="302"/>
      <c r="TX168" s="302"/>
      <c r="TY168" s="302"/>
      <c r="TZ168" s="302"/>
      <c r="UA168" s="302"/>
      <c r="UB168" s="302"/>
      <c r="UC168" s="302"/>
      <c r="UD168" s="302"/>
      <c r="UE168" s="302"/>
      <c r="UF168" s="302"/>
      <c r="UG168" s="302"/>
      <c r="UH168" s="302"/>
      <c r="UI168" s="302"/>
      <c r="UJ168" s="302"/>
      <c r="UK168" s="302"/>
      <c r="UL168" s="302"/>
      <c r="UM168" s="302"/>
      <c r="UN168" s="302"/>
      <c r="UO168" s="302"/>
      <c r="UP168" s="302"/>
      <c r="UQ168" s="302"/>
      <c r="UR168" s="302"/>
      <c r="US168" s="302"/>
      <c r="UT168" s="302"/>
      <c r="UU168" s="302"/>
      <c r="UV168" s="302"/>
      <c r="UW168" s="302"/>
      <c r="UX168" s="302"/>
      <c r="UY168" s="302"/>
      <c r="UZ168" s="302"/>
      <c r="VA168" s="302"/>
      <c r="VB168" s="302"/>
      <c r="VC168" s="302"/>
      <c r="VD168" s="302"/>
      <c r="VE168" s="302"/>
      <c r="VF168" s="302"/>
      <c r="VG168" s="302"/>
      <c r="VH168" s="302"/>
      <c r="VI168" s="302"/>
      <c r="VJ168" s="302"/>
      <c r="VK168" s="302"/>
      <c r="VL168" s="302"/>
      <c r="VM168" s="302"/>
      <c r="VN168" s="302"/>
      <c r="VO168" s="302"/>
      <c r="VP168" s="302"/>
      <c r="VQ168" s="302"/>
      <c r="VR168" s="302"/>
      <c r="VS168" s="302"/>
      <c r="VT168" s="302"/>
      <c r="VU168" s="302"/>
      <c r="VV168" s="302"/>
      <c r="VW168" s="302"/>
      <c r="VX168" s="302"/>
      <c r="VY168" s="302"/>
      <c r="VZ168" s="302"/>
      <c r="WA168" s="302"/>
      <c r="WB168" s="302"/>
      <c r="WC168" s="302"/>
      <c r="WD168" s="302"/>
      <c r="WE168" s="302"/>
      <c r="WF168" s="302"/>
      <c r="WG168" s="302"/>
      <c r="WH168" s="302"/>
      <c r="WI168" s="302"/>
      <c r="WJ168" s="302"/>
      <c r="WK168" s="302"/>
      <c r="WL168" s="302"/>
      <c r="WM168" s="302"/>
      <c r="WN168" s="302"/>
      <c r="WO168" s="302"/>
      <c r="WP168" s="302"/>
      <c r="WQ168" s="302"/>
      <c r="WR168" s="302"/>
      <c r="WS168" s="302"/>
      <c r="WT168" s="302"/>
      <c r="WU168" s="302"/>
      <c r="WV168" s="302"/>
      <c r="WW168" s="302"/>
      <c r="WX168" s="302"/>
      <c r="WY168" s="302"/>
      <c r="WZ168" s="302"/>
      <c r="XA168" s="302"/>
      <c r="XB168" s="302"/>
      <c r="XC168" s="302"/>
      <c r="XD168" s="302"/>
      <c r="XE168" s="302"/>
      <c r="XF168" s="302"/>
      <c r="XG168" s="302"/>
      <c r="XH168" s="302"/>
      <c r="XI168" s="302"/>
      <c r="XJ168" s="302"/>
      <c r="XK168" s="302"/>
      <c r="XL168" s="302"/>
      <c r="XM168" s="302"/>
      <c r="XN168" s="302"/>
      <c r="XO168" s="302"/>
      <c r="XP168" s="302"/>
      <c r="XQ168" s="302"/>
      <c r="XR168" s="302"/>
      <c r="XS168" s="302"/>
      <c r="XT168" s="302"/>
      <c r="XU168" s="302"/>
      <c r="XV168" s="302"/>
      <c r="XW168" s="302"/>
      <c r="XX168" s="302"/>
      <c r="XY168" s="302"/>
      <c r="XZ168" s="302"/>
      <c r="YA168" s="302"/>
      <c r="YB168" s="302"/>
      <c r="YC168" s="302"/>
      <c r="YD168" s="302"/>
      <c r="YE168" s="302"/>
      <c r="YF168" s="302"/>
      <c r="YG168" s="302"/>
      <c r="YH168" s="302"/>
      <c r="YI168" s="302"/>
      <c r="YJ168" s="302"/>
      <c r="YK168" s="302"/>
      <c r="YL168" s="302"/>
      <c r="YM168" s="302"/>
      <c r="YN168" s="302"/>
      <c r="YO168" s="302"/>
      <c r="YP168" s="302"/>
      <c r="YQ168" s="302"/>
      <c r="YR168" s="302"/>
      <c r="YS168" s="302"/>
      <c r="YT168" s="302"/>
      <c r="YU168" s="302"/>
      <c r="YV168" s="302"/>
      <c r="YW168" s="302"/>
      <c r="YX168" s="302"/>
      <c r="YY168" s="302"/>
      <c r="YZ168" s="302"/>
      <c r="ZA168" s="302"/>
      <c r="ZB168" s="302"/>
      <c r="ZC168" s="302"/>
      <c r="ZD168" s="302"/>
      <c r="ZE168" s="302"/>
      <c r="ZF168" s="302"/>
      <c r="ZG168" s="302"/>
      <c r="ZH168" s="302"/>
      <c r="ZI168" s="302"/>
      <c r="ZJ168" s="302"/>
      <c r="ZK168" s="302"/>
      <c r="ZL168" s="302"/>
      <c r="ZM168" s="302"/>
      <c r="ZN168" s="302"/>
      <c r="ZO168" s="302"/>
      <c r="ZP168" s="302"/>
      <c r="ZQ168" s="302"/>
      <c r="ZR168" s="302"/>
      <c r="ZS168" s="302"/>
      <c r="ZT168" s="302"/>
      <c r="ZU168" s="302"/>
      <c r="ZV168" s="302"/>
      <c r="ZW168" s="302"/>
      <c r="ZX168" s="302"/>
      <c r="ZY168" s="302"/>
      <c r="ZZ168" s="302"/>
      <c r="AAA168" s="302"/>
      <c r="AAB168" s="302"/>
      <c r="AAC168" s="302"/>
      <c r="AAD168" s="302"/>
      <c r="AAE168" s="302"/>
      <c r="AAF168" s="302"/>
      <c r="AAG168" s="302"/>
      <c r="AAH168" s="302"/>
      <c r="AAI168" s="302"/>
      <c r="AAJ168" s="302"/>
      <c r="AAK168" s="302"/>
      <c r="AAL168" s="302"/>
      <c r="AAM168" s="302"/>
      <c r="AAN168" s="302"/>
      <c r="AAO168" s="302"/>
      <c r="AAP168" s="302"/>
      <c r="AAQ168" s="302"/>
      <c r="AAR168" s="302"/>
      <c r="AAS168" s="302"/>
      <c r="AAT168" s="302"/>
      <c r="AAU168" s="302"/>
      <c r="AAV168" s="302"/>
      <c r="AAW168" s="302"/>
      <c r="AAX168" s="302"/>
      <c r="AAY168" s="302"/>
      <c r="AAZ168" s="302"/>
      <c r="ABA168" s="302"/>
      <c r="ABB168" s="302"/>
      <c r="ABC168" s="302"/>
      <c r="ABD168" s="302"/>
      <c r="ABE168" s="302"/>
      <c r="ABF168" s="302"/>
      <c r="ABG168" s="302"/>
      <c r="ABH168" s="302"/>
      <c r="ABI168" s="302"/>
      <c r="ABJ168" s="302"/>
      <c r="ABK168" s="302"/>
      <c r="ABL168" s="302"/>
      <c r="ABM168" s="302"/>
      <c r="ABN168" s="302"/>
      <c r="ABO168" s="302"/>
      <c r="ABP168" s="302"/>
      <c r="ABQ168" s="302"/>
      <c r="ABR168" s="302"/>
      <c r="ABS168" s="302"/>
      <c r="ABT168" s="302"/>
      <c r="ABU168" s="302"/>
      <c r="ABV168" s="302"/>
      <c r="ABW168" s="302"/>
      <c r="ABX168" s="302"/>
      <c r="ABY168" s="302"/>
      <c r="ABZ168" s="302"/>
      <c r="ACA168" s="302"/>
      <c r="ACB168" s="302"/>
      <c r="ACC168" s="302"/>
      <c r="ACD168" s="302"/>
      <c r="ACE168" s="302"/>
      <c r="ACF168" s="302"/>
      <c r="ACG168" s="302"/>
      <c r="ACH168" s="302"/>
      <c r="ACI168" s="302"/>
      <c r="ACJ168" s="302"/>
      <c r="ACK168" s="302"/>
      <c r="ACL168" s="302"/>
      <c r="ACM168" s="302"/>
      <c r="ACN168" s="302"/>
      <c r="ACO168" s="302"/>
      <c r="ACP168" s="302"/>
      <c r="ACQ168" s="302"/>
      <c r="ACR168" s="302"/>
      <c r="ACS168" s="302"/>
      <c r="ACT168" s="302"/>
      <c r="ACU168" s="302"/>
      <c r="ACV168" s="302"/>
      <c r="ACW168" s="302"/>
      <c r="ACX168" s="302"/>
      <c r="ACY168" s="302"/>
      <c r="ACZ168" s="302"/>
      <c r="ADA168" s="302"/>
      <c r="ADB168" s="302"/>
      <c r="ADC168" s="302"/>
      <c r="ADD168" s="302"/>
      <c r="ADE168" s="302"/>
      <c r="ADF168" s="302"/>
      <c r="ADG168" s="302"/>
      <c r="ADH168" s="302"/>
      <c r="ADI168" s="302"/>
      <c r="ADJ168" s="302"/>
      <c r="ADK168" s="302"/>
      <c r="ADL168" s="302"/>
      <c r="ADM168" s="302"/>
      <c r="ADN168" s="302"/>
      <c r="ADO168" s="302"/>
      <c r="ADP168" s="302"/>
      <c r="ADQ168" s="302"/>
      <c r="ADR168" s="302"/>
      <c r="ADS168" s="302"/>
      <c r="ADT168" s="302"/>
      <c r="ADU168" s="302"/>
      <c r="ADV168" s="302"/>
      <c r="ADW168" s="302"/>
      <c r="ADX168" s="302"/>
      <c r="ADY168" s="302"/>
      <c r="ADZ168" s="302"/>
      <c r="AEA168" s="302"/>
      <c r="AEB168" s="302"/>
      <c r="AEC168" s="302"/>
      <c r="AED168" s="302"/>
      <c r="AEE168" s="302"/>
      <c r="AEF168" s="302"/>
      <c r="AEG168" s="302"/>
      <c r="AEH168" s="302"/>
      <c r="AEI168" s="302"/>
      <c r="AEJ168" s="302"/>
      <c r="AEK168" s="302"/>
      <c r="AEL168" s="302"/>
      <c r="AEM168" s="302"/>
      <c r="AEN168" s="302"/>
      <c r="AEO168" s="302"/>
      <c r="AEP168" s="302"/>
      <c r="AEQ168" s="302"/>
      <c r="AER168" s="302"/>
      <c r="AES168" s="302"/>
      <c r="AET168" s="302"/>
      <c r="AEU168" s="302"/>
      <c r="AEV168" s="302"/>
      <c r="AEW168" s="302"/>
      <c r="AEX168" s="302"/>
      <c r="AEY168" s="302"/>
      <c r="AEZ168" s="302"/>
      <c r="AFA168" s="302"/>
      <c r="AFB168" s="302"/>
      <c r="AFC168" s="302"/>
      <c r="AFD168" s="302"/>
      <c r="AFE168" s="302"/>
      <c r="AFF168" s="302"/>
      <c r="AFG168" s="302"/>
      <c r="AFH168" s="302"/>
      <c r="AFI168" s="302"/>
      <c r="AFJ168" s="302"/>
      <c r="AFK168" s="302"/>
      <c r="AFL168" s="302"/>
      <c r="AFM168" s="302"/>
      <c r="AFN168" s="302"/>
      <c r="AFO168" s="302"/>
      <c r="AFP168" s="302"/>
      <c r="AFQ168" s="302"/>
      <c r="AFR168" s="302"/>
      <c r="AFS168" s="302"/>
      <c r="AFT168" s="302"/>
      <c r="AFU168" s="302"/>
      <c r="AFV168" s="302"/>
      <c r="AFW168" s="302"/>
      <c r="AFX168" s="302"/>
      <c r="AFY168" s="302"/>
      <c r="AFZ168" s="302"/>
      <c r="AGA168" s="302"/>
      <c r="AGB168" s="302"/>
      <c r="AGC168" s="302"/>
      <c r="AGD168" s="302"/>
      <c r="AGE168" s="302"/>
      <c r="AGF168" s="302"/>
      <c r="AGG168" s="302"/>
      <c r="AGH168" s="302"/>
      <c r="AGI168" s="302"/>
      <c r="AGJ168" s="302"/>
      <c r="AGK168" s="302"/>
      <c r="AGL168" s="302"/>
      <c r="AGM168" s="302"/>
      <c r="AGN168" s="302"/>
      <c r="AGO168" s="302"/>
      <c r="AGP168" s="302"/>
      <c r="AGQ168" s="302"/>
      <c r="AGR168" s="302"/>
      <c r="AGS168" s="302"/>
      <c r="AGT168" s="302"/>
      <c r="AGU168" s="302"/>
      <c r="AGV168" s="302"/>
      <c r="AGW168" s="302"/>
      <c r="AGX168" s="302"/>
      <c r="AGY168" s="302"/>
      <c r="AGZ168" s="302"/>
      <c r="AHA168" s="302"/>
      <c r="AHB168" s="302"/>
      <c r="AHC168" s="302"/>
      <c r="AHD168" s="302"/>
      <c r="AHE168" s="302"/>
      <c r="AHF168" s="302"/>
      <c r="AHG168" s="302"/>
      <c r="AHH168" s="302"/>
      <c r="AHI168" s="302"/>
      <c r="AHJ168" s="302"/>
      <c r="AHK168" s="302"/>
      <c r="AHL168" s="302"/>
      <c r="AHM168" s="302"/>
      <c r="AHN168" s="302"/>
      <c r="AHO168" s="302"/>
      <c r="AHP168" s="302"/>
      <c r="AHQ168" s="302"/>
      <c r="AHR168" s="302"/>
      <c r="AHS168" s="302"/>
      <c r="AHT168" s="302"/>
      <c r="AHU168" s="302"/>
      <c r="AHV168" s="302"/>
      <c r="AHW168" s="302"/>
      <c r="AHX168" s="302"/>
      <c r="AHY168" s="302"/>
      <c r="AHZ168" s="302"/>
      <c r="AIA168" s="302"/>
      <c r="AIB168" s="302"/>
      <c r="AIC168" s="302"/>
      <c r="AID168" s="302"/>
      <c r="AIE168" s="302"/>
      <c r="AIF168" s="302"/>
      <c r="AIG168" s="302"/>
      <c r="AIH168" s="302"/>
      <c r="AII168" s="302"/>
      <c r="AIJ168" s="302"/>
      <c r="AIK168" s="302"/>
      <c r="AIL168" s="302"/>
      <c r="AIM168" s="302"/>
      <c r="AIN168" s="302"/>
      <c r="AIO168" s="302"/>
      <c r="AIP168" s="302"/>
      <c r="AIQ168" s="302"/>
      <c r="AIR168" s="302"/>
      <c r="AIS168" s="302"/>
      <c r="AIT168" s="302"/>
      <c r="AIU168" s="302"/>
      <c r="AIV168" s="302"/>
      <c r="AIW168" s="302"/>
      <c r="AIX168" s="302"/>
      <c r="AIY168" s="302"/>
      <c r="AIZ168" s="302"/>
      <c r="AJA168" s="302"/>
      <c r="AJB168" s="302"/>
      <c r="AJC168" s="302"/>
      <c r="AJD168" s="302"/>
      <c r="AJE168" s="302"/>
      <c r="AJF168" s="302"/>
      <c r="AJG168" s="302"/>
      <c r="AJH168" s="302"/>
      <c r="AJI168" s="302"/>
      <c r="AJJ168" s="302"/>
      <c r="AJK168" s="302"/>
      <c r="AJL168" s="302"/>
      <c r="AJM168" s="302"/>
      <c r="AJN168" s="302"/>
      <c r="AJO168" s="302"/>
      <c r="AJP168" s="302"/>
      <c r="AJQ168" s="302"/>
      <c r="AJR168" s="302"/>
      <c r="AJS168" s="302"/>
      <c r="AJT168" s="302"/>
      <c r="AJU168" s="302"/>
      <c r="AJV168" s="302"/>
      <c r="AJW168" s="302"/>
      <c r="AJX168" s="302"/>
      <c r="AJY168" s="302"/>
      <c r="AJZ168" s="302"/>
      <c r="AKA168" s="302"/>
      <c r="AKB168" s="302"/>
      <c r="AKC168" s="302"/>
      <c r="AKD168" s="302"/>
      <c r="AKE168" s="302"/>
      <c r="AKF168" s="302"/>
      <c r="AKG168" s="302"/>
      <c r="AKH168" s="302"/>
      <c r="AKI168" s="302"/>
      <c r="AKJ168" s="302"/>
      <c r="AKK168" s="302"/>
      <c r="AKL168" s="302"/>
      <c r="AKM168" s="302"/>
      <c r="AKN168" s="302"/>
      <c r="AKO168" s="302"/>
      <c r="AKP168" s="302"/>
      <c r="AKQ168" s="302"/>
      <c r="AKR168" s="302"/>
      <c r="AKS168" s="302"/>
      <c r="AKT168" s="302"/>
      <c r="AKU168" s="302"/>
      <c r="AKV168" s="302"/>
      <c r="AKW168" s="302"/>
      <c r="AKX168" s="302"/>
      <c r="AKY168" s="302"/>
      <c r="AKZ168" s="302"/>
      <c r="ALA168" s="302"/>
      <c r="ALB168" s="302"/>
      <c r="ALC168" s="302"/>
      <c r="ALD168" s="302"/>
      <c r="ALE168" s="302"/>
      <c r="ALF168" s="302"/>
      <c r="ALG168" s="302"/>
      <c r="ALH168" s="302"/>
      <c r="ALI168" s="302"/>
      <c r="ALJ168" s="302"/>
      <c r="ALK168" s="302"/>
      <c r="ALL168" s="302"/>
      <c r="ALM168" s="302"/>
      <c r="ALN168" s="302"/>
      <c r="ALO168" s="302"/>
      <c r="ALP168" s="302"/>
      <c r="ALQ168" s="302"/>
      <c r="ALR168" s="302"/>
      <c r="ALS168" s="302"/>
      <c r="ALT168" s="302"/>
      <c r="ALU168" s="302"/>
      <c r="ALV168" s="302"/>
      <c r="ALW168" s="302"/>
      <c r="ALX168" s="302"/>
      <c r="ALY168" s="302"/>
      <c r="ALZ168" s="302"/>
      <c r="AMA168" s="302"/>
      <c r="AMB168" s="302"/>
      <c r="AMC168" s="302"/>
      <c r="AMD168" s="302"/>
      <c r="AME168" s="302"/>
      <c r="AMF168" s="302"/>
      <c r="AMG168" s="302"/>
      <c r="AMH168" s="302"/>
      <c r="AMI168" s="302"/>
    </row>
    <row r="169" spans="1:1023" hidden="1">
      <c r="A169" s="302"/>
      <c r="B169" s="15">
        <v>13738</v>
      </c>
      <c r="C169" s="10">
        <v>0.1</v>
      </c>
      <c r="D169" s="11" t="s">
        <v>405</v>
      </c>
      <c r="E169" s="12">
        <v>2000000</v>
      </c>
      <c r="F169" s="363">
        <v>0.02</v>
      </c>
      <c r="G169" s="364">
        <f>E169*F169</f>
        <v>40000</v>
      </c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2"/>
      <c r="AG169" s="302"/>
      <c r="AH169" s="302"/>
      <c r="AI169" s="302"/>
      <c r="AJ169" s="302"/>
      <c r="AK169" s="302"/>
      <c r="AL169" s="302"/>
      <c r="AM169" s="302"/>
      <c r="AN169" s="302"/>
      <c r="AO169" s="302"/>
      <c r="AP169" s="302"/>
      <c r="AQ169" s="302"/>
      <c r="AR169" s="302"/>
      <c r="AS169" s="302"/>
      <c r="AT169" s="302"/>
      <c r="AU169" s="302"/>
      <c r="AV169" s="302"/>
      <c r="AW169" s="302"/>
      <c r="AX169" s="302"/>
      <c r="AY169" s="302"/>
      <c r="AZ169" s="302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K169" s="302"/>
      <c r="BL169" s="302"/>
      <c r="BM169" s="302"/>
      <c r="BN169" s="302"/>
      <c r="BO169" s="302"/>
      <c r="BP169" s="302"/>
      <c r="BQ169" s="302"/>
      <c r="BR169" s="302"/>
      <c r="BS169" s="302"/>
      <c r="BT169" s="302"/>
      <c r="BU169" s="302"/>
      <c r="BV169" s="302"/>
      <c r="BW169" s="302"/>
      <c r="BX169" s="302"/>
      <c r="BY169" s="302"/>
      <c r="BZ169" s="302"/>
      <c r="CA169" s="302"/>
      <c r="CB169" s="302"/>
      <c r="CC169" s="302"/>
      <c r="CD169" s="302"/>
      <c r="CE169" s="302"/>
      <c r="CF169" s="302"/>
      <c r="CG169" s="302"/>
      <c r="CH169" s="302"/>
      <c r="CI169" s="302"/>
      <c r="CJ169" s="302"/>
      <c r="CK169" s="302"/>
      <c r="CL169" s="302"/>
      <c r="CM169" s="302"/>
      <c r="CN169" s="302"/>
      <c r="CO169" s="302"/>
      <c r="CP169" s="302"/>
      <c r="CQ169" s="302"/>
      <c r="CR169" s="302"/>
      <c r="CS169" s="302"/>
      <c r="CT169" s="302"/>
      <c r="CU169" s="302"/>
      <c r="CV169" s="302"/>
      <c r="CW169" s="302"/>
      <c r="CX169" s="302"/>
      <c r="CY169" s="302"/>
      <c r="CZ169" s="302"/>
      <c r="DA169" s="302"/>
      <c r="DB169" s="302"/>
      <c r="DC169" s="302"/>
      <c r="DD169" s="302"/>
      <c r="DE169" s="302"/>
      <c r="DF169" s="302"/>
      <c r="DG169" s="302"/>
      <c r="DH169" s="302"/>
      <c r="DI169" s="302"/>
      <c r="DJ169" s="302"/>
      <c r="DK169" s="302"/>
      <c r="DL169" s="302"/>
      <c r="DM169" s="302"/>
      <c r="DN169" s="302"/>
      <c r="DO169" s="302"/>
      <c r="DP169" s="302"/>
      <c r="DQ169" s="302"/>
      <c r="DR169" s="302"/>
      <c r="DS169" s="302"/>
      <c r="DT169" s="302"/>
      <c r="DU169" s="302"/>
      <c r="DV169" s="302"/>
      <c r="DW169" s="302"/>
      <c r="DX169" s="302"/>
      <c r="DY169" s="302"/>
      <c r="DZ169" s="302"/>
      <c r="EA169" s="302"/>
      <c r="EB169" s="302"/>
      <c r="EC169" s="302"/>
      <c r="ED169" s="302"/>
      <c r="EE169" s="302"/>
      <c r="EF169" s="302"/>
      <c r="EG169" s="302"/>
      <c r="EH169" s="302"/>
      <c r="EI169" s="302"/>
      <c r="EJ169" s="302"/>
      <c r="EK169" s="302"/>
      <c r="EL169" s="302"/>
      <c r="EM169" s="302"/>
      <c r="EN169" s="302"/>
      <c r="EO169" s="302"/>
      <c r="EP169" s="302"/>
      <c r="EQ169" s="302"/>
      <c r="ER169" s="302"/>
      <c r="ES169" s="302"/>
      <c r="ET169" s="302"/>
      <c r="EU169" s="302"/>
      <c r="EV169" s="302"/>
      <c r="EW169" s="302"/>
      <c r="EX169" s="302"/>
      <c r="EY169" s="302"/>
      <c r="EZ169" s="302"/>
      <c r="FA169" s="302"/>
      <c r="FB169" s="302"/>
      <c r="FC169" s="302"/>
      <c r="FD169" s="302"/>
      <c r="FE169" s="302"/>
      <c r="FF169" s="302"/>
      <c r="FG169" s="302"/>
      <c r="FH169" s="302"/>
      <c r="FI169" s="302"/>
      <c r="FJ169" s="302"/>
      <c r="FK169" s="302"/>
      <c r="FL169" s="302"/>
      <c r="FM169" s="302"/>
      <c r="FN169" s="302"/>
      <c r="FO169" s="302"/>
      <c r="FP169" s="302"/>
      <c r="FQ169" s="302"/>
      <c r="FR169" s="302"/>
      <c r="FS169" s="302"/>
      <c r="FT169" s="302"/>
      <c r="FU169" s="302"/>
      <c r="FV169" s="302"/>
      <c r="FW169" s="302"/>
      <c r="FX169" s="302"/>
      <c r="FY169" s="302"/>
      <c r="FZ169" s="302"/>
      <c r="GA169" s="302"/>
      <c r="GB169" s="302"/>
      <c r="GC169" s="302"/>
      <c r="GD169" s="302"/>
      <c r="GE169" s="302"/>
      <c r="GF169" s="302"/>
      <c r="GG169" s="302"/>
      <c r="GH169" s="302"/>
      <c r="GI169" s="302"/>
      <c r="GJ169" s="302"/>
      <c r="GK169" s="302"/>
      <c r="GL169" s="302"/>
      <c r="GM169" s="302"/>
      <c r="GN169" s="302"/>
      <c r="GO169" s="302"/>
      <c r="GP169" s="302"/>
      <c r="GQ169" s="302"/>
      <c r="GR169" s="302"/>
      <c r="GS169" s="302"/>
      <c r="GT169" s="302"/>
      <c r="GU169" s="302"/>
      <c r="GV169" s="302"/>
      <c r="GW169" s="302"/>
      <c r="GX169" s="302"/>
      <c r="GY169" s="302"/>
      <c r="GZ169" s="302"/>
      <c r="HA169" s="302"/>
      <c r="HB169" s="302"/>
      <c r="HC169" s="302"/>
      <c r="HD169" s="302"/>
      <c r="HE169" s="302"/>
      <c r="HF169" s="302"/>
      <c r="HG169" s="302"/>
      <c r="HH169" s="302"/>
      <c r="HI169" s="302"/>
      <c r="HJ169" s="302"/>
      <c r="HK169" s="302"/>
      <c r="HL169" s="302"/>
      <c r="HM169" s="302"/>
      <c r="HN169" s="302"/>
      <c r="HO169" s="302"/>
      <c r="HP169" s="302"/>
      <c r="HQ169" s="302"/>
      <c r="HR169" s="302"/>
      <c r="HS169" s="302"/>
      <c r="HT169" s="302"/>
      <c r="HU169" s="302"/>
      <c r="HV169" s="302"/>
      <c r="HW169" s="302"/>
      <c r="HX169" s="302"/>
      <c r="HY169" s="302"/>
      <c r="HZ169" s="302"/>
      <c r="IA169" s="302"/>
      <c r="IB169" s="302"/>
      <c r="IC169" s="302"/>
      <c r="ID169" s="302"/>
      <c r="IE169" s="302"/>
      <c r="IF169" s="302"/>
      <c r="IG169" s="302"/>
      <c r="IH169" s="302"/>
      <c r="II169" s="302"/>
      <c r="IJ169" s="302"/>
      <c r="IK169" s="302"/>
      <c r="IL169" s="302"/>
      <c r="IM169" s="302"/>
      <c r="IN169" s="302"/>
      <c r="IO169" s="302"/>
      <c r="IP169" s="302"/>
      <c r="IQ169" s="302"/>
      <c r="IR169" s="302"/>
      <c r="IS169" s="302"/>
      <c r="IT169" s="302"/>
      <c r="IU169" s="302"/>
      <c r="IV169" s="302"/>
      <c r="IW169" s="302"/>
      <c r="IX169" s="302"/>
      <c r="IY169" s="302"/>
      <c r="IZ169" s="302"/>
      <c r="JA169" s="302"/>
      <c r="JB169" s="302"/>
      <c r="JC169" s="302"/>
      <c r="JD169" s="302"/>
      <c r="JE169" s="302"/>
      <c r="JF169" s="302"/>
      <c r="JG169" s="302"/>
      <c r="JH169" s="302"/>
      <c r="JI169" s="302"/>
      <c r="JJ169" s="302"/>
      <c r="JK169" s="302"/>
      <c r="JL169" s="302"/>
      <c r="JM169" s="302"/>
      <c r="JN169" s="302"/>
      <c r="JO169" s="302"/>
      <c r="JP169" s="302"/>
      <c r="JQ169" s="302"/>
      <c r="JR169" s="302"/>
      <c r="JS169" s="302"/>
      <c r="JT169" s="302"/>
      <c r="JU169" s="302"/>
      <c r="JV169" s="302"/>
      <c r="JW169" s="302"/>
      <c r="JX169" s="302"/>
      <c r="JY169" s="302"/>
      <c r="JZ169" s="302"/>
      <c r="KA169" s="302"/>
      <c r="KB169" s="302"/>
      <c r="KC169" s="302"/>
      <c r="KD169" s="302"/>
      <c r="KE169" s="302"/>
      <c r="KF169" s="302"/>
      <c r="KG169" s="302"/>
      <c r="KH169" s="302"/>
      <c r="KI169" s="302"/>
      <c r="KJ169" s="302"/>
      <c r="KK169" s="302"/>
      <c r="KL169" s="302"/>
      <c r="KM169" s="302"/>
      <c r="KN169" s="302"/>
      <c r="KO169" s="302"/>
      <c r="KP169" s="302"/>
      <c r="KQ169" s="302"/>
      <c r="KR169" s="302"/>
      <c r="KS169" s="302"/>
      <c r="KT169" s="302"/>
      <c r="KU169" s="302"/>
      <c r="KV169" s="302"/>
      <c r="KW169" s="302"/>
      <c r="KX169" s="302"/>
      <c r="KY169" s="302"/>
      <c r="KZ169" s="302"/>
      <c r="LA169" s="302"/>
      <c r="LB169" s="302"/>
      <c r="LC169" s="302"/>
      <c r="LD169" s="302"/>
      <c r="LE169" s="302"/>
      <c r="LF169" s="302"/>
      <c r="LG169" s="302"/>
      <c r="LH169" s="302"/>
      <c r="LI169" s="302"/>
      <c r="LJ169" s="302"/>
      <c r="LK169" s="302"/>
      <c r="LL169" s="302"/>
      <c r="LM169" s="302"/>
      <c r="LN169" s="302"/>
      <c r="LO169" s="302"/>
      <c r="LP169" s="302"/>
      <c r="LQ169" s="302"/>
      <c r="LR169" s="302"/>
      <c r="LS169" s="302"/>
      <c r="LT169" s="302"/>
      <c r="LU169" s="302"/>
      <c r="LV169" s="302"/>
      <c r="LW169" s="302"/>
      <c r="LX169" s="302"/>
      <c r="LY169" s="302"/>
      <c r="LZ169" s="302"/>
      <c r="MA169" s="302"/>
      <c r="MB169" s="302"/>
      <c r="MC169" s="302"/>
      <c r="MD169" s="302"/>
      <c r="ME169" s="302"/>
      <c r="MF169" s="302"/>
      <c r="MG169" s="302"/>
      <c r="MH169" s="302"/>
      <c r="MI169" s="302"/>
      <c r="MJ169" s="302"/>
      <c r="MK169" s="302"/>
      <c r="ML169" s="302"/>
      <c r="MM169" s="302"/>
      <c r="MN169" s="302"/>
      <c r="MO169" s="302"/>
      <c r="MP169" s="302"/>
      <c r="MQ169" s="302"/>
      <c r="MR169" s="302"/>
      <c r="MS169" s="302"/>
      <c r="MT169" s="302"/>
      <c r="MU169" s="302"/>
      <c r="MV169" s="302"/>
      <c r="MW169" s="302"/>
      <c r="MX169" s="302"/>
      <c r="MY169" s="302"/>
      <c r="MZ169" s="302"/>
      <c r="NA169" s="302"/>
      <c r="NB169" s="302"/>
      <c r="NC169" s="302"/>
      <c r="ND169" s="302"/>
      <c r="NE169" s="302"/>
      <c r="NF169" s="302"/>
      <c r="NG169" s="302"/>
      <c r="NH169" s="302"/>
      <c r="NI169" s="302"/>
      <c r="NJ169" s="302"/>
      <c r="NK169" s="302"/>
      <c r="NL169" s="302"/>
      <c r="NM169" s="302"/>
      <c r="NN169" s="302"/>
      <c r="NO169" s="302"/>
      <c r="NP169" s="302"/>
      <c r="NQ169" s="302"/>
      <c r="NR169" s="302"/>
      <c r="NS169" s="302"/>
      <c r="NT169" s="302"/>
      <c r="NU169" s="302"/>
      <c r="NV169" s="302"/>
      <c r="NW169" s="302"/>
      <c r="NX169" s="302"/>
      <c r="NY169" s="302"/>
      <c r="NZ169" s="302"/>
      <c r="OA169" s="302"/>
      <c r="OB169" s="302"/>
      <c r="OC169" s="302"/>
      <c r="OD169" s="302"/>
      <c r="OE169" s="302"/>
      <c r="OF169" s="302"/>
      <c r="OG169" s="302"/>
      <c r="OH169" s="302"/>
      <c r="OI169" s="302"/>
      <c r="OJ169" s="302"/>
      <c r="OK169" s="302"/>
      <c r="OL169" s="302"/>
      <c r="OM169" s="302"/>
      <c r="ON169" s="302"/>
      <c r="OO169" s="302"/>
      <c r="OP169" s="302"/>
      <c r="OQ169" s="302"/>
      <c r="OR169" s="302"/>
      <c r="OS169" s="302"/>
      <c r="OT169" s="302"/>
      <c r="OU169" s="302"/>
      <c r="OV169" s="302"/>
      <c r="OW169" s="302"/>
      <c r="OX169" s="302"/>
      <c r="OY169" s="302"/>
      <c r="OZ169" s="302"/>
      <c r="PA169" s="302"/>
      <c r="PB169" s="302"/>
      <c r="PC169" s="302"/>
      <c r="PD169" s="302"/>
      <c r="PE169" s="302"/>
      <c r="PF169" s="302"/>
      <c r="PG169" s="302"/>
      <c r="PH169" s="302"/>
      <c r="PI169" s="302"/>
      <c r="PJ169" s="302"/>
      <c r="PK169" s="302"/>
      <c r="PL169" s="302"/>
      <c r="PM169" s="302"/>
      <c r="PN169" s="302"/>
      <c r="PO169" s="302"/>
      <c r="PP169" s="302"/>
      <c r="PQ169" s="302"/>
      <c r="PR169" s="302"/>
      <c r="PS169" s="302"/>
      <c r="PT169" s="302"/>
      <c r="PU169" s="302"/>
      <c r="PV169" s="302"/>
      <c r="PW169" s="302"/>
      <c r="PX169" s="302"/>
      <c r="PY169" s="302"/>
      <c r="PZ169" s="302"/>
      <c r="QA169" s="302"/>
      <c r="QB169" s="302"/>
      <c r="QC169" s="302"/>
      <c r="QD169" s="302"/>
      <c r="QE169" s="302"/>
      <c r="QF169" s="302"/>
      <c r="QG169" s="302"/>
      <c r="QH169" s="302"/>
      <c r="QI169" s="302"/>
      <c r="QJ169" s="302"/>
      <c r="QK169" s="302"/>
      <c r="QL169" s="302"/>
      <c r="QM169" s="302"/>
      <c r="QN169" s="302"/>
      <c r="QO169" s="302"/>
      <c r="QP169" s="302"/>
      <c r="QQ169" s="302"/>
      <c r="QR169" s="302"/>
      <c r="QS169" s="302"/>
      <c r="QT169" s="302"/>
      <c r="QU169" s="302"/>
      <c r="QV169" s="302"/>
      <c r="QW169" s="302"/>
      <c r="QX169" s="302"/>
      <c r="QY169" s="302"/>
      <c r="QZ169" s="302"/>
      <c r="RA169" s="302"/>
      <c r="RB169" s="302"/>
      <c r="RC169" s="302"/>
      <c r="RD169" s="302"/>
      <c r="RE169" s="302"/>
      <c r="RF169" s="302"/>
      <c r="RG169" s="302"/>
      <c r="RH169" s="302"/>
      <c r="RI169" s="302"/>
      <c r="RJ169" s="302"/>
      <c r="RK169" s="302"/>
      <c r="RL169" s="302"/>
      <c r="RM169" s="302"/>
      <c r="RN169" s="302"/>
      <c r="RO169" s="302"/>
      <c r="RP169" s="302"/>
      <c r="RQ169" s="302"/>
      <c r="RR169" s="302"/>
      <c r="RS169" s="302"/>
      <c r="RT169" s="302"/>
      <c r="RU169" s="302"/>
      <c r="RV169" s="302"/>
      <c r="RW169" s="302"/>
      <c r="RX169" s="302"/>
      <c r="RY169" s="302"/>
      <c r="RZ169" s="302"/>
      <c r="SA169" s="302"/>
      <c r="SB169" s="302"/>
      <c r="SC169" s="302"/>
      <c r="SD169" s="302"/>
      <c r="SE169" s="302"/>
      <c r="SF169" s="302"/>
      <c r="SG169" s="302"/>
      <c r="SH169" s="302"/>
      <c r="SI169" s="302"/>
      <c r="SJ169" s="302"/>
      <c r="SK169" s="302"/>
      <c r="SL169" s="302"/>
      <c r="SM169" s="302"/>
      <c r="SN169" s="302"/>
      <c r="SO169" s="302"/>
      <c r="SP169" s="302"/>
      <c r="SQ169" s="302"/>
      <c r="SR169" s="302"/>
      <c r="SS169" s="302"/>
      <c r="ST169" s="302"/>
      <c r="SU169" s="302"/>
      <c r="SV169" s="302"/>
      <c r="SW169" s="302"/>
      <c r="SX169" s="302"/>
      <c r="SY169" s="302"/>
      <c r="SZ169" s="302"/>
      <c r="TA169" s="302"/>
      <c r="TB169" s="302"/>
      <c r="TC169" s="302"/>
      <c r="TD169" s="302"/>
      <c r="TE169" s="302"/>
      <c r="TF169" s="302"/>
      <c r="TG169" s="302"/>
      <c r="TH169" s="302"/>
      <c r="TI169" s="302"/>
      <c r="TJ169" s="302"/>
      <c r="TK169" s="302"/>
      <c r="TL169" s="302"/>
      <c r="TM169" s="302"/>
      <c r="TN169" s="302"/>
      <c r="TO169" s="302"/>
      <c r="TP169" s="302"/>
      <c r="TQ169" s="302"/>
      <c r="TR169" s="302"/>
      <c r="TS169" s="302"/>
      <c r="TT169" s="302"/>
      <c r="TU169" s="302"/>
      <c r="TV169" s="302"/>
      <c r="TW169" s="302"/>
      <c r="TX169" s="302"/>
      <c r="TY169" s="302"/>
      <c r="TZ169" s="302"/>
      <c r="UA169" s="302"/>
      <c r="UB169" s="302"/>
      <c r="UC169" s="302"/>
      <c r="UD169" s="302"/>
      <c r="UE169" s="302"/>
      <c r="UF169" s="302"/>
      <c r="UG169" s="302"/>
      <c r="UH169" s="302"/>
      <c r="UI169" s="302"/>
      <c r="UJ169" s="302"/>
      <c r="UK169" s="302"/>
      <c r="UL169" s="302"/>
      <c r="UM169" s="302"/>
      <c r="UN169" s="302"/>
      <c r="UO169" s="302"/>
      <c r="UP169" s="302"/>
      <c r="UQ169" s="302"/>
      <c r="UR169" s="302"/>
      <c r="US169" s="302"/>
      <c r="UT169" s="302"/>
      <c r="UU169" s="302"/>
      <c r="UV169" s="302"/>
      <c r="UW169" s="302"/>
      <c r="UX169" s="302"/>
      <c r="UY169" s="302"/>
      <c r="UZ169" s="302"/>
      <c r="VA169" s="302"/>
      <c r="VB169" s="302"/>
      <c r="VC169" s="302"/>
      <c r="VD169" s="302"/>
      <c r="VE169" s="302"/>
      <c r="VF169" s="302"/>
      <c r="VG169" s="302"/>
      <c r="VH169" s="302"/>
      <c r="VI169" s="302"/>
      <c r="VJ169" s="302"/>
      <c r="VK169" s="302"/>
      <c r="VL169" s="302"/>
      <c r="VM169" s="302"/>
      <c r="VN169" s="302"/>
      <c r="VO169" s="302"/>
      <c r="VP169" s="302"/>
      <c r="VQ169" s="302"/>
      <c r="VR169" s="302"/>
      <c r="VS169" s="302"/>
      <c r="VT169" s="302"/>
      <c r="VU169" s="302"/>
      <c r="VV169" s="302"/>
      <c r="VW169" s="302"/>
      <c r="VX169" s="302"/>
      <c r="VY169" s="302"/>
      <c r="VZ169" s="302"/>
      <c r="WA169" s="302"/>
      <c r="WB169" s="302"/>
      <c r="WC169" s="302"/>
      <c r="WD169" s="302"/>
      <c r="WE169" s="302"/>
      <c r="WF169" s="302"/>
      <c r="WG169" s="302"/>
      <c r="WH169" s="302"/>
      <c r="WI169" s="302"/>
      <c r="WJ169" s="302"/>
      <c r="WK169" s="302"/>
      <c r="WL169" s="302"/>
      <c r="WM169" s="302"/>
      <c r="WN169" s="302"/>
      <c r="WO169" s="302"/>
      <c r="WP169" s="302"/>
      <c r="WQ169" s="302"/>
      <c r="WR169" s="302"/>
      <c r="WS169" s="302"/>
      <c r="WT169" s="302"/>
      <c r="WU169" s="302"/>
      <c r="WV169" s="302"/>
      <c r="WW169" s="302"/>
      <c r="WX169" s="302"/>
      <c r="WY169" s="302"/>
      <c r="WZ169" s="302"/>
      <c r="XA169" s="302"/>
      <c r="XB169" s="302"/>
      <c r="XC169" s="302"/>
      <c r="XD169" s="302"/>
      <c r="XE169" s="302"/>
      <c r="XF169" s="302"/>
      <c r="XG169" s="302"/>
      <c r="XH169" s="302"/>
      <c r="XI169" s="302"/>
      <c r="XJ169" s="302"/>
      <c r="XK169" s="302"/>
      <c r="XL169" s="302"/>
      <c r="XM169" s="302"/>
      <c r="XN169" s="302"/>
      <c r="XO169" s="302"/>
      <c r="XP169" s="302"/>
      <c r="XQ169" s="302"/>
      <c r="XR169" s="302"/>
      <c r="XS169" s="302"/>
      <c r="XT169" s="302"/>
      <c r="XU169" s="302"/>
      <c r="XV169" s="302"/>
      <c r="XW169" s="302"/>
      <c r="XX169" s="302"/>
      <c r="XY169" s="302"/>
      <c r="XZ169" s="302"/>
      <c r="YA169" s="302"/>
      <c r="YB169" s="302"/>
      <c r="YC169" s="302"/>
      <c r="YD169" s="302"/>
      <c r="YE169" s="302"/>
      <c r="YF169" s="302"/>
      <c r="YG169" s="302"/>
      <c r="YH169" s="302"/>
      <c r="YI169" s="302"/>
      <c r="YJ169" s="302"/>
      <c r="YK169" s="302"/>
      <c r="YL169" s="302"/>
      <c r="YM169" s="302"/>
      <c r="YN169" s="302"/>
      <c r="YO169" s="302"/>
      <c r="YP169" s="302"/>
      <c r="YQ169" s="302"/>
      <c r="YR169" s="302"/>
      <c r="YS169" s="302"/>
      <c r="YT169" s="302"/>
      <c r="YU169" s="302"/>
      <c r="YV169" s="302"/>
      <c r="YW169" s="302"/>
      <c r="YX169" s="302"/>
      <c r="YY169" s="302"/>
      <c r="YZ169" s="302"/>
      <c r="ZA169" s="302"/>
      <c r="ZB169" s="302"/>
      <c r="ZC169" s="302"/>
      <c r="ZD169" s="302"/>
      <c r="ZE169" s="302"/>
      <c r="ZF169" s="302"/>
      <c r="ZG169" s="302"/>
      <c r="ZH169" s="302"/>
      <c r="ZI169" s="302"/>
      <c r="ZJ169" s="302"/>
      <c r="ZK169" s="302"/>
      <c r="ZL169" s="302"/>
      <c r="ZM169" s="302"/>
      <c r="ZN169" s="302"/>
      <c r="ZO169" s="302"/>
      <c r="ZP169" s="302"/>
      <c r="ZQ169" s="302"/>
      <c r="ZR169" s="302"/>
      <c r="ZS169" s="302"/>
      <c r="ZT169" s="302"/>
      <c r="ZU169" s="302"/>
      <c r="ZV169" s="302"/>
      <c r="ZW169" s="302"/>
      <c r="ZX169" s="302"/>
      <c r="ZY169" s="302"/>
      <c r="ZZ169" s="302"/>
      <c r="AAA169" s="302"/>
      <c r="AAB169" s="302"/>
      <c r="AAC169" s="302"/>
      <c r="AAD169" s="302"/>
      <c r="AAE169" s="302"/>
      <c r="AAF169" s="302"/>
      <c r="AAG169" s="302"/>
      <c r="AAH169" s="302"/>
      <c r="AAI169" s="302"/>
      <c r="AAJ169" s="302"/>
      <c r="AAK169" s="302"/>
      <c r="AAL169" s="302"/>
      <c r="AAM169" s="302"/>
      <c r="AAN169" s="302"/>
      <c r="AAO169" s="302"/>
      <c r="AAP169" s="302"/>
      <c r="AAQ169" s="302"/>
      <c r="AAR169" s="302"/>
      <c r="AAS169" s="302"/>
      <c r="AAT169" s="302"/>
      <c r="AAU169" s="302"/>
      <c r="AAV169" s="302"/>
      <c r="AAW169" s="302"/>
      <c r="AAX169" s="302"/>
      <c r="AAY169" s="302"/>
      <c r="AAZ169" s="302"/>
      <c r="ABA169" s="302"/>
      <c r="ABB169" s="302"/>
      <c r="ABC169" s="302"/>
      <c r="ABD169" s="302"/>
      <c r="ABE169" s="302"/>
      <c r="ABF169" s="302"/>
      <c r="ABG169" s="302"/>
      <c r="ABH169" s="302"/>
      <c r="ABI169" s="302"/>
      <c r="ABJ169" s="302"/>
      <c r="ABK169" s="302"/>
      <c r="ABL169" s="302"/>
      <c r="ABM169" s="302"/>
      <c r="ABN169" s="302"/>
      <c r="ABO169" s="302"/>
      <c r="ABP169" s="302"/>
      <c r="ABQ169" s="302"/>
      <c r="ABR169" s="302"/>
      <c r="ABS169" s="302"/>
      <c r="ABT169" s="302"/>
      <c r="ABU169" s="302"/>
      <c r="ABV169" s="302"/>
      <c r="ABW169" s="302"/>
      <c r="ABX169" s="302"/>
      <c r="ABY169" s="302"/>
      <c r="ABZ169" s="302"/>
      <c r="ACA169" s="302"/>
      <c r="ACB169" s="302"/>
      <c r="ACC169" s="302"/>
      <c r="ACD169" s="302"/>
      <c r="ACE169" s="302"/>
      <c r="ACF169" s="302"/>
      <c r="ACG169" s="302"/>
      <c r="ACH169" s="302"/>
      <c r="ACI169" s="302"/>
      <c r="ACJ169" s="302"/>
      <c r="ACK169" s="302"/>
      <c r="ACL169" s="302"/>
      <c r="ACM169" s="302"/>
      <c r="ACN169" s="302"/>
      <c r="ACO169" s="302"/>
      <c r="ACP169" s="302"/>
      <c r="ACQ169" s="302"/>
      <c r="ACR169" s="302"/>
      <c r="ACS169" s="302"/>
      <c r="ACT169" s="302"/>
      <c r="ACU169" s="302"/>
      <c r="ACV169" s="302"/>
      <c r="ACW169" s="302"/>
      <c r="ACX169" s="302"/>
      <c r="ACY169" s="302"/>
      <c r="ACZ169" s="302"/>
      <c r="ADA169" s="302"/>
      <c r="ADB169" s="302"/>
      <c r="ADC169" s="302"/>
      <c r="ADD169" s="302"/>
      <c r="ADE169" s="302"/>
      <c r="ADF169" s="302"/>
      <c r="ADG169" s="302"/>
      <c r="ADH169" s="302"/>
      <c r="ADI169" s="302"/>
      <c r="ADJ169" s="302"/>
      <c r="ADK169" s="302"/>
      <c r="ADL169" s="302"/>
      <c r="ADM169" s="302"/>
      <c r="ADN169" s="302"/>
      <c r="ADO169" s="302"/>
      <c r="ADP169" s="302"/>
      <c r="ADQ169" s="302"/>
      <c r="ADR169" s="302"/>
      <c r="ADS169" s="302"/>
      <c r="ADT169" s="302"/>
      <c r="ADU169" s="302"/>
      <c r="ADV169" s="302"/>
      <c r="ADW169" s="302"/>
      <c r="ADX169" s="302"/>
      <c r="ADY169" s="302"/>
      <c r="ADZ169" s="302"/>
      <c r="AEA169" s="302"/>
      <c r="AEB169" s="302"/>
      <c r="AEC169" s="302"/>
      <c r="AED169" s="302"/>
      <c r="AEE169" s="302"/>
      <c r="AEF169" s="302"/>
      <c r="AEG169" s="302"/>
      <c r="AEH169" s="302"/>
      <c r="AEI169" s="302"/>
      <c r="AEJ169" s="302"/>
      <c r="AEK169" s="302"/>
      <c r="AEL169" s="302"/>
      <c r="AEM169" s="302"/>
      <c r="AEN169" s="302"/>
      <c r="AEO169" s="302"/>
      <c r="AEP169" s="302"/>
      <c r="AEQ169" s="302"/>
      <c r="AER169" s="302"/>
      <c r="AES169" s="302"/>
      <c r="AET169" s="302"/>
      <c r="AEU169" s="302"/>
      <c r="AEV169" s="302"/>
      <c r="AEW169" s="302"/>
      <c r="AEX169" s="302"/>
      <c r="AEY169" s="302"/>
      <c r="AEZ169" s="302"/>
      <c r="AFA169" s="302"/>
      <c r="AFB169" s="302"/>
      <c r="AFC169" s="302"/>
      <c r="AFD169" s="302"/>
      <c r="AFE169" s="302"/>
      <c r="AFF169" s="302"/>
      <c r="AFG169" s="302"/>
      <c r="AFH169" s="302"/>
      <c r="AFI169" s="302"/>
      <c r="AFJ169" s="302"/>
      <c r="AFK169" s="302"/>
      <c r="AFL169" s="302"/>
      <c r="AFM169" s="302"/>
      <c r="AFN169" s="302"/>
      <c r="AFO169" s="302"/>
      <c r="AFP169" s="302"/>
      <c r="AFQ169" s="302"/>
      <c r="AFR169" s="302"/>
      <c r="AFS169" s="302"/>
      <c r="AFT169" s="302"/>
      <c r="AFU169" s="302"/>
      <c r="AFV169" s="302"/>
      <c r="AFW169" s="302"/>
      <c r="AFX169" s="302"/>
      <c r="AFY169" s="302"/>
      <c r="AFZ169" s="302"/>
      <c r="AGA169" s="302"/>
      <c r="AGB169" s="302"/>
      <c r="AGC169" s="302"/>
      <c r="AGD169" s="302"/>
      <c r="AGE169" s="302"/>
      <c r="AGF169" s="302"/>
      <c r="AGG169" s="302"/>
      <c r="AGH169" s="302"/>
      <c r="AGI169" s="302"/>
      <c r="AGJ169" s="302"/>
      <c r="AGK169" s="302"/>
      <c r="AGL169" s="302"/>
      <c r="AGM169" s="302"/>
      <c r="AGN169" s="302"/>
      <c r="AGO169" s="302"/>
      <c r="AGP169" s="302"/>
      <c r="AGQ169" s="302"/>
      <c r="AGR169" s="302"/>
      <c r="AGS169" s="302"/>
      <c r="AGT169" s="302"/>
      <c r="AGU169" s="302"/>
      <c r="AGV169" s="302"/>
      <c r="AGW169" s="302"/>
      <c r="AGX169" s="302"/>
      <c r="AGY169" s="302"/>
      <c r="AGZ169" s="302"/>
      <c r="AHA169" s="302"/>
      <c r="AHB169" s="302"/>
      <c r="AHC169" s="302"/>
      <c r="AHD169" s="302"/>
      <c r="AHE169" s="302"/>
      <c r="AHF169" s="302"/>
      <c r="AHG169" s="302"/>
      <c r="AHH169" s="302"/>
      <c r="AHI169" s="302"/>
      <c r="AHJ169" s="302"/>
      <c r="AHK169" s="302"/>
      <c r="AHL169" s="302"/>
      <c r="AHM169" s="302"/>
      <c r="AHN169" s="302"/>
      <c r="AHO169" s="302"/>
      <c r="AHP169" s="302"/>
      <c r="AHQ169" s="302"/>
      <c r="AHR169" s="302"/>
      <c r="AHS169" s="302"/>
      <c r="AHT169" s="302"/>
      <c r="AHU169" s="302"/>
      <c r="AHV169" s="302"/>
      <c r="AHW169" s="302"/>
      <c r="AHX169" s="302"/>
      <c r="AHY169" s="302"/>
      <c r="AHZ169" s="302"/>
      <c r="AIA169" s="302"/>
      <c r="AIB169" s="302"/>
      <c r="AIC169" s="302"/>
      <c r="AID169" s="302"/>
      <c r="AIE169" s="302"/>
      <c r="AIF169" s="302"/>
      <c r="AIG169" s="302"/>
      <c r="AIH169" s="302"/>
      <c r="AII169" s="302"/>
      <c r="AIJ169" s="302"/>
      <c r="AIK169" s="302"/>
      <c r="AIL169" s="302"/>
      <c r="AIM169" s="302"/>
      <c r="AIN169" s="302"/>
      <c r="AIO169" s="302"/>
      <c r="AIP169" s="302"/>
      <c r="AIQ169" s="302"/>
      <c r="AIR169" s="302"/>
      <c r="AIS169" s="302"/>
      <c r="AIT169" s="302"/>
      <c r="AIU169" s="302"/>
      <c r="AIV169" s="302"/>
      <c r="AIW169" s="302"/>
      <c r="AIX169" s="302"/>
      <c r="AIY169" s="302"/>
      <c r="AIZ169" s="302"/>
      <c r="AJA169" s="302"/>
      <c r="AJB169" s="302"/>
      <c r="AJC169" s="302"/>
      <c r="AJD169" s="302"/>
      <c r="AJE169" s="302"/>
      <c r="AJF169" s="302"/>
      <c r="AJG169" s="302"/>
      <c r="AJH169" s="302"/>
      <c r="AJI169" s="302"/>
      <c r="AJJ169" s="302"/>
      <c r="AJK169" s="302"/>
      <c r="AJL169" s="302"/>
      <c r="AJM169" s="302"/>
      <c r="AJN169" s="302"/>
      <c r="AJO169" s="302"/>
      <c r="AJP169" s="302"/>
      <c r="AJQ169" s="302"/>
      <c r="AJR169" s="302"/>
      <c r="AJS169" s="302"/>
      <c r="AJT169" s="302"/>
      <c r="AJU169" s="302"/>
      <c r="AJV169" s="302"/>
      <c r="AJW169" s="302"/>
      <c r="AJX169" s="302"/>
      <c r="AJY169" s="302"/>
      <c r="AJZ169" s="302"/>
      <c r="AKA169" s="302"/>
      <c r="AKB169" s="302"/>
      <c r="AKC169" s="302"/>
      <c r="AKD169" s="302"/>
      <c r="AKE169" s="302"/>
      <c r="AKF169" s="302"/>
      <c r="AKG169" s="302"/>
      <c r="AKH169" s="302"/>
      <c r="AKI169" s="302"/>
      <c r="AKJ169" s="302"/>
      <c r="AKK169" s="302"/>
      <c r="AKL169" s="302"/>
      <c r="AKM169" s="302"/>
      <c r="AKN169" s="302"/>
      <c r="AKO169" s="302"/>
      <c r="AKP169" s="302"/>
      <c r="AKQ169" s="302"/>
      <c r="AKR169" s="302"/>
      <c r="AKS169" s="302"/>
      <c r="AKT169" s="302"/>
      <c r="AKU169" s="302"/>
      <c r="AKV169" s="302"/>
      <c r="AKW169" s="302"/>
      <c r="AKX169" s="302"/>
      <c r="AKY169" s="302"/>
      <c r="AKZ169" s="302"/>
      <c r="ALA169" s="302"/>
      <c r="ALB169" s="302"/>
      <c r="ALC169" s="302"/>
      <c r="ALD169" s="302"/>
      <c r="ALE169" s="302"/>
      <c r="ALF169" s="302"/>
      <c r="ALG169" s="302"/>
      <c r="ALH169" s="302"/>
      <c r="ALI169" s="302"/>
      <c r="ALJ169" s="302"/>
      <c r="ALK169" s="302"/>
      <c r="ALL169" s="302"/>
      <c r="ALM169" s="302"/>
      <c r="ALN169" s="302"/>
      <c r="ALO169" s="302"/>
      <c r="ALP169" s="302"/>
      <c r="ALQ169" s="302"/>
      <c r="ALR169" s="302"/>
      <c r="ALS169" s="302"/>
      <c r="ALT169" s="302"/>
      <c r="ALU169" s="302"/>
      <c r="ALV169" s="302"/>
      <c r="ALW169" s="302"/>
      <c r="ALX169" s="302"/>
      <c r="ALY169" s="302"/>
      <c r="ALZ169" s="302"/>
      <c r="AMA169" s="302"/>
      <c r="AMB169" s="302"/>
      <c r="AMC169" s="302"/>
      <c r="AMD169" s="302"/>
      <c r="AME169" s="302"/>
      <c r="AMF169" s="302"/>
      <c r="AMG169" s="302"/>
      <c r="AMH169" s="302"/>
      <c r="AMI169" s="302"/>
    </row>
    <row r="170" spans="1:1023" hidden="1">
      <c r="A170" s="302"/>
      <c r="B170" s="15">
        <v>13743</v>
      </c>
      <c r="C170" s="10">
        <v>0.1</v>
      </c>
      <c r="D170" s="11" t="s">
        <v>406</v>
      </c>
      <c r="E170" s="12">
        <v>1700000</v>
      </c>
      <c r="F170" s="363">
        <v>0.02</v>
      </c>
      <c r="G170" s="364">
        <f>E170*F170</f>
        <v>34000</v>
      </c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  <c r="AE170" s="302"/>
      <c r="AF170" s="302"/>
      <c r="AG170" s="302"/>
      <c r="AH170" s="302"/>
      <c r="AI170" s="302"/>
      <c r="AJ170" s="302"/>
      <c r="AK170" s="302"/>
      <c r="AL170" s="302"/>
      <c r="AM170" s="302"/>
      <c r="AN170" s="302"/>
      <c r="AO170" s="302"/>
      <c r="AP170" s="302"/>
      <c r="AQ170" s="302"/>
      <c r="AR170" s="302"/>
      <c r="AS170" s="302"/>
      <c r="AT170" s="302"/>
      <c r="AU170" s="302"/>
      <c r="AV170" s="302"/>
      <c r="AW170" s="302"/>
      <c r="AX170" s="302"/>
      <c r="AY170" s="302"/>
      <c r="AZ170" s="302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K170" s="302"/>
      <c r="BL170" s="302"/>
      <c r="BM170" s="302"/>
      <c r="BN170" s="302"/>
      <c r="BO170" s="302"/>
      <c r="BP170" s="302"/>
      <c r="BQ170" s="302"/>
      <c r="BR170" s="302"/>
      <c r="BS170" s="302"/>
      <c r="BT170" s="302"/>
      <c r="BU170" s="302"/>
      <c r="BV170" s="302"/>
      <c r="BW170" s="302"/>
      <c r="BX170" s="302"/>
      <c r="BY170" s="302"/>
      <c r="BZ170" s="302"/>
      <c r="CA170" s="302"/>
      <c r="CB170" s="302"/>
      <c r="CC170" s="302"/>
      <c r="CD170" s="302"/>
      <c r="CE170" s="302"/>
      <c r="CF170" s="302"/>
      <c r="CG170" s="302"/>
      <c r="CH170" s="302"/>
      <c r="CI170" s="302"/>
      <c r="CJ170" s="302"/>
      <c r="CK170" s="302"/>
      <c r="CL170" s="302"/>
      <c r="CM170" s="302"/>
      <c r="CN170" s="302"/>
      <c r="CO170" s="302"/>
      <c r="CP170" s="302"/>
      <c r="CQ170" s="302"/>
      <c r="CR170" s="302"/>
      <c r="CS170" s="302"/>
      <c r="CT170" s="302"/>
      <c r="CU170" s="302"/>
      <c r="CV170" s="302"/>
      <c r="CW170" s="302"/>
      <c r="CX170" s="302"/>
      <c r="CY170" s="302"/>
      <c r="CZ170" s="302"/>
      <c r="DA170" s="302"/>
      <c r="DB170" s="302"/>
      <c r="DC170" s="302"/>
      <c r="DD170" s="302"/>
      <c r="DE170" s="302"/>
      <c r="DF170" s="302"/>
      <c r="DG170" s="302"/>
      <c r="DH170" s="302"/>
      <c r="DI170" s="302"/>
      <c r="DJ170" s="302"/>
      <c r="DK170" s="302"/>
      <c r="DL170" s="302"/>
      <c r="DM170" s="302"/>
      <c r="DN170" s="302"/>
      <c r="DO170" s="302"/>
      <c r="DP170" s="302"/>
      <c r="DQ170" s="302"/>
      <c r="DR170" s="302"/>
      <c r="DS170" s="302"/>
      <c r="DT170" s="302"/>
      <c r="DU170" s="302"/>
      <c r="DV170" s="302"/>
      <c r="DW170" s="302"/>
      <c r="DX170" s="302"/>
      <c r="DY170" s="302"/>
      <c r="DZ170" s="302"/>
      <c r="EA170" s="302"/>
      <c r="EB170" s="302"/>
      <c r="EC170" s="302"/>
      <c r="ED170" s="302"/>
      <c r="EE170" s="302"/>
      <c r="EF170" s="302"/>
      <c r="EG170" s="302"/>
      <c r="EH170" s="302"/>
      <c r="EI170" s="302"/>
      <c r="EJ170" s="302"/>
      <c r="EK170" s="302"/>
      <c r="EL170" s="302"/>
      <c r="EM170" s="302"/>
      <c r="EN170" s="302"/>
      <c r="EO170" s="302"/>
      <c r="EP170" s="302"/>
      <c r="EQ170" s="302"/>
      <c r="ER170" s="302"/>
      <c r="ES170" s="302"/>
      <c r="ET170" s="302"/>
      <c r="EU170" s="302"/>
      <c r="EV170" s="302"/>
      <c r="EW170" s="302"/>
      <c r="EX170" s="302"/>
      <c r="EY170" s="302"/>
      <c r="EZ170" s="302"/>
      <c r="FA170" s="302"/>
      <c r="FB170" s="302"/>
      <c r="FC170" s="302"/>
      <c r="FD170" s="302"/>
      <c r="FE170" s="302"/>
      <c r="FF170" s="302"/>
      <c r="FG170" s="302"/>
      <c r="FH170" s="302"/>
      <c r="FI170" s="302"/>
      <c r="FJ170" s="302"/>
      <c r="FK170" s="302"/>
      <c r="FL170" s="302"/>
      <c r="FM170" s="302"/>
      <c r="FN170" s="302"/>
      <c r="FO170" s="302"/>
      <c r="FP170" s="302"/>
      <c r="FQ170" s="302"/>
      <c r="FR170" s="302"/>
      <c r="FS170" s="302"/>
      <c r="FT170" s="302"/>
      <c r="FU170" s="302"/>
      <c r="FV170" s="302"/>
      <c r="FW170" s="302"/>
      <c r="FX170" s="302"/>
      <c r="FY170" s="302"/>
      <c r="FZ170" s="302"/>
      <c r="GA170" s="302"/>
      <c r="GB170" s="302"/>
      <c r="GC170" s="302"/>
      <c r="GD170" s="302"/>
      <c r="GE170" s="302"/>
      <c r="GF170" s="302"/>
      <c r="GG170" s="302"/>
      <c r="GH170" s="302"/>
      <c r="GI170" s="302"/>
      <c r="GJ170" s="302"/>
      <c r="GK170" s="302"/>
      <c r="GL170" s="302"/>
      <c r="GM170" s="302"/>
      <c r="GN170" s="302"/>
      <c r="GO170" s="302"/>
      <c r="GP170" s="302"/>
      <c r="GQ170" s="302"/>
      <c r="GR170" s="302"/>
      <c r="GS170" s="302"/>
      <c r="GT170" s="302"/>
      <c r="GU170" s="302"/>
      <c r="GV170" s="302"/>
      <c r="GW170" s="302"/>
      <c r="GX170" s="302"/>
      <c r="GY170" s="302"/>
      <c r="GZ170" s="302"/>
      <c r="HA170" s="302"/>
      <c r="HB170" s="302"/>
      <c r="HC170" s="302"/>
      <c r="HD170" s="302"/>
      <c r="HE170" s="302"/>
      <c r="HF170" s="302"/>
      <c r="HG170" s="302"/>
      <c r="HH170" s="302"/>
      <c r="HI170" s="302"/>
      <c r="HJ170" s="302"/>
      <c r="HK170" s="302"/>
      <c r="HL170" s="302"/>
      <c r="HM170" s="302"/>
      <c r="HN170" s="302"/>
      <c r="HO170" s="302"/>
      <c r="HP170" s="302"/>
      <c r="HQ170" s="302"/>
      <c r="HR170" s="302"/>
      <c r="HS170" s="302"/>
      <c r="HT170" s="302"/>
      <c r="HU170" s="302"/>
      <c r="HV170" s="302"/>
      <c r="HW170" s="302"/>
      <c r="HX170" s="302"/>
      <c r="HY170" s="302"/>
      <c r="HZ170" s="302"/>
      <c r="IA170" s="302"/>
      <c r="IB170" s="302"/>
      <c r="IC170" s="302"/>
      <c r="ID170" s="302"/>
      <c r="IE170" s="302"/>
      <c r="IF170" s="302"/>
      <c r="IG170" s="302"/>
      <c r="IH170" s="302"/>
      <c r="II170" s="302"/>
      <c r="IJ170" s="302"/>
      <c r="IK170" s="302"/>
      <c r="IL170" s="302"/>
      <c r="IM170" s="302"/>
      <c r="IN170" s="302"/>
      <c r="IO170" s="302"/>
      <c r="IP170" s="302"/>
      <c r="IQ170" s="302"/>
      <c r="IR170" s="302"/>
      <c r="IS170" s="302"/>
      <c r="IT170" s="302"/>
      <c r="IU170" s="302"/>
      <c r="IV170" s="302"/>
      <c r="IW170" s="302"/>
      <c r="IX170" s="302"/>
      <c r="IY170" s="302"/>
      <c r="IZ170" s="302"/>
      <c r="JA170" s="302"/>
      <c r="JB170" s="302"/>
      <c r="JC170" s="302"/>
      <c r="JD170" s="302"/>
      <c r="JE170" s="302"/>
      <c r="JF170" s="302"/>
      <c r="JG170" s="302"/>
      <c r="JH170" s="302"/>
      <c r="JI170" s="302"/>
      <c r="JJ170" s="302"/>
      <c r="JK170" s="302"/>
      <c r="JL170" s="302"/>
      <c r="JM170" s="302"/>
      <c r="JN170" s="302"/>
      <c r="JO170" s="302"/>
      <c r="JP170" s="302"/>
      <c r="JQ170" s="302"/>
      <c r="JR170" s="302"/>
      <c r="JS170" s="302"/>
      <c r="JT170" s="302"/>
      <c r="JU170" s="302"/>
      <c r="JV170" s="302"/>
      <c r="JW170" s="302"/>
      <c r="JX170" s="302"/>
      <c r="JY170" s="302"/>
      <c r="JZ170" s="302"/>
      <c r="KA170" s="302"/>
      <c r="KB170" s="302"/>
      <c r="KC170" s="302"/>
      <c r="KD170" s="302"/>
      <c r="KE170" s="302"/>
      <c r="KF170" s="302"/>
      <c r="KG170" s="302"/>
      <c r="KH170" s="302"/>
      <c r="KI170" s="302"/>
      <c r="KJ170" s="302"/>
      <c r="KK170" s="302"/>
      <c r="KL170" s="302"/>
      <c r="KM170" s="302"/>
      <c r="KN170" s="302"/>
      <c r="KO170" s="302"/>
      <c r="KP170" s="302"/>
      <c r="KQ170" s="302"/>
      <c r="KR170" s="302"/>
      <c r="KS170" s="302"/>
      <c r="KT170" s="302"/>
      <c r="KU170" s="302"/>
      <c r="KV170" s="302"/>
      <c r="KW170" s="302"/>
      <c r="KX170" s="302"/>
      <c r="KY170" s="302"/>
      <c r="KZ170" s="302"/>
      <c r="LA170" s="302"/>
      <c r="LB170" s="302"/>
      <c r="LC170" s="302"/>
      <c r="LD170" s="302"/>
      <c r="LE170" s="302"/>
      <c r="LF170" s="302"/>
      <c r="LG170" s="302"/>
      <c r="LH170" s="302"/>
      <c r="LI170" s="302"/>
      <c r="LJ170" s="302"/>
      <c r="LK170" s="302"/>
      <c r="LL170" s="302"/>
      <c r="LM170" s="302"/>
      <c r="LN170" s="302"/>
      <c r="LO170" s="302"/>
      <c r="LP170" s="302"/>
      <c r="LQ170" s="302"/>
      <c r="LR170" s="302"/>
      <c r="LS170" s="302"/>
      <c r="LT170" s="302"/>
      <c r="LU170" s="302"/>
      <c r="LV170" s="302"/>
      <c r="LW170" s="302"/>
      <c r="LX170" s="302"/>
      <c r="LY170" s="302"/>
      <c r="LZ170" s="302"/>
      <c r="MA170" s="302"/>
      <c r="MB170" s="302"/>
      <c r="MC170" s="302"/>
      <c r="MD170" s="302"/>
      <c r="ME170" s="302"/>
      <c r="MF170" s="302"/>
      <c r="MG170" s="302"/>
      <c r="MH170" s="302"/>
      <c r="MI170" s="302"/>
      <c r="MJ170" s="302"/>
      <c r="MK170" s="302"/>
      <c r="ML170" s="302"/>
      <c r="MM170" s="302"/>
      <c r="MN170" s="302"/>
      <c r="MO170" s="302"/>
      <c r="MP170" s="302"/>
      <c r="MQ170" s="302"/>
      <c r="MR170" s="302"/>
      <c r="MS170" s="302"/>
      <c r="MT170" s="302"/>
      <c r="MU170" s="302"/>
      <c r="MV170" s="302"/>
      <c r="MW170" s="302"/>
      <c r="MX170" s="302"/>
      <c r="MY170" s="302"/>
      <c r="MZ170" s="302"/>
      <c r="NA170" s="302"/>
      <c r="NB170" s="302"/>
      <c r="NC170" s="302"/>
      <c r="ND170" s="302"/>
      <c r="NE170" s="302"/>
      <c r="NF170" s="302"/>
      <c r="NG170" s="302"/>
      <c r="NH170" s="302"/>
      <c r="NI170" s="302"/>
      <c r="NJ170" s="302"/>
      <c r="NK170" s="302"/>
      <c r="NL170" s="302"/>
      <c r="NM170" s="302"/>
      <c r="NN170" s="302"/>
      <c r="NO170" s="302"/>
      <c r="NP170" s="302"/>
      <c r="NQ170" s="302"/>
      <c r="NR170" s="302"/>
      <c r="NS170" s="302"/>
      <c r="NT170" s="302"/>
      <c r="NU170" s="302"/>
      <c r="NV170" s="302"/>
      <c r="NW170" s="302"/>
      <c r="NX170" s="302"/>
      <c r="NY170" s="302"/>
      <c r="NZ170" s="302"/>
      <c r="OA170" s="302"/>
      <c r="OB170" s="302"/>
      <c r="OC170" s="302"/>
      <c r="OD170" s="302"/>
      <c r="OE170" s="302"/>
      <c r="OF170" s="302"/>
      <c r="OG170" s="302"/>
      <c r="OH170" s="302"/>
      <c r="OI170" s="302"/>
      <c r="OJ170" s="302"/>
      <c r="OK170" s="302"/>
      <c r="OL170" s="302"/>
      <c r="OM170" s="302"/>
      <c r="ON170" s="302"/>
      <c r="OO170" s="302"/>
      <c r="OP170" s="302"/>
      <c r="OQ170" s="302"/>
      <c r="OR170" s="302"/>
      <c r="OS170" s="302"/>
      <c r="OT170" s="302"/>
      <c r="OU170" s="302"/>
      <c r="OV170" s="302"/>
      <c r="OW170" s="302"/>
      <c r="OX170" s="302"/>
      <c r="OY170" s="302"/>
      <c r="OZ170" s="302"/>
      <c r="PA170" s="302"/>
      <c r="PB170" s="302"/>
      <c r="PC170" s="302"/>
      <c r="PD170" s="302"/>
      <c r="PE170" s="302"/>
      <c r="PF170" s="302"/>
      <c r="PG170" s="302"/>
      <c r="PH170" s="302"/>
      <c r="PI170" s="302"/>
      <c r="PJ170" s="302"/>
      <c r="PK170" s="302"/>
      <c r="PL170" s="302"/>
      <c r="PM170" s="302"/>
      <c r="PN170" s="302"/>
      <c r="PO170" s="302"/>
      <c r="PP170" s="302"/>
      <c r="PQ170" s="302"/>
      <c r="PR170" s="302"/>
      <c r="PS170" s="302"/>
      <c r="PT170" s="302"/>
      <c r="PU170" s="302"/>
      <c r="PV170" s="302"/>
      <c r="PW170" s="302"/>
      <c r="PX170" s="302"/>
      <c r="PY170" s="302"/>
      <c r="PZ170" s="302"/>
      <c r="QA170" s="302"/>
      <c r="QB170" s="302"/>
      <c r="QC170" s="302"/>
      <c r="QD170" s="302"/>
      <c r="QE170" s="302"/>
      <c r="QF170" s="302"/>
      <c r="QG170" s="302"/>
      <c r="QH170" s="302"/>
      <c r="QI170" s="302"/>
      <c r="QJ170" s="302"/>
      <c r="QK170" s="302"/>
      <c r="QL170" s="302"/>
      <c r="QM170" s="302"/>
      <c r="QN170" s="302"/>
      <c r="QO170" s="302"/>
      <c r="QP170" s="302"/>
      <c r="QQ170" s="302"/>
      <c r="QR170" s="302"/>
      <c r="QS170" s="302"/>
      <c r="QT170" s="302"/>
      <c r="QU170" s="302"/>
      <c r="QV170" s="302"/>
      <c r="QW170" s="302"/>
      <c r="QX170" s="302"/>
      <c r="QY170" s="302"/>
      <c r="QZ170" s="302"/>
      <c r="RA170" s="302"/>
      <c r="RB170" s="302"/>
      <c r="RC170" s="302"/>
      <c r="RD170" s="302"/>
      <c r="RE170" s="302"/>
      <c r="RF170" s="302"/>
      <c r="RG170" s="302"/>
      <c r="RH170" s="302"/>
      <c r="RI170" s="302"/>
      <c r="RJ170" s="302"/>
      <c r="RK170" s="302"/>
      <c r="RL170" s="302"/>
      <c r="RM170" s="302"/>
      <c r="RN170" s="302"/>
      <c r="RO170" s="302"/>
      <c r="RP170" s="302"/>
      <c r="RQ170" s="302"/>
      <c r="RR170" s="302"/>
      <c r="RS170" s="302"/>
      <c r="RT170" s="302"/>
      <c r="RU170" s="302"/>
      <c r="RV170" s="302"/>
      <c r="RW170" s="302"/>
      <c r="RX170" s="302"/>
      <c r="RY170" s="302"/>
      <c r="RZ170" s="302"/>
      <c r="SA170" s="302"/>
      <c r="SB170" s="302"/>
      <c r="SC170" s="302"/>
      <c r="SD170" s="302"/>
      <c r="SE170" s="302"/>
      <c r="SF170" s="302"/>
      <c r="SG170" s="302"/>
      <c r="SH170" s="302"/>
      <c r="SI170" s="302"/>
      <c r="SJ170" s="302"/>
      <c r="SK170" s="302"/>
      <c r="SL170" s="302"/>
      <c r="SM170" s="302"/>
      <c r="SN170" s="302"/>
      <c r="SO170" s="302"/>
      <c r="SP170" s="302"/>
      <c r="SQ170" s="302"/>
      <c r="SR170" s="302"/>
      <c r="SS170" s="302"/>
      <c r="ST170" s="302"/>
      <c r="SU170" s="302"/>
      <c r="SV170" s="302"/>
      <c r="SW170" s="302"/>
      <c r="SX170" s="302"/>
      <c r="SY170" s="302"/>
      <c r="SZ170" s="302"/>
      <c r="TA170" s="302"/>
      <c r="TB170" s="302"/>
      <c r="TC170" s="302"/>
      <c r="TD170" s="302"/>
      <c r="TE170" s="302"/>
      <c r="TF170" s="302"/>
      <c r="TG170" s="302"/>
      <c r="TH170" s="302"/>
      <c r="TI170" s="302"/>
      <c r="TJ170" s="302"/>
      <c r="TK170" s="302"/>
      <c r="TL170" s="302"/>
      <c r="TM170" s="302"/>
      <c r="TN170" s="302"/>
      <c r="TO170" s="302"/>
      <c r="TP170" s="302"/>
      <c r="TQ170" s="302"/>
      <c r="TR170" s="302"/>
      <c r="TS170" s="302"/>
      <c r="TT170" s="302"/>
      <c r="TU170" s="302"/>
      <c r="TV170" s="302"/>
      <c r="TW170" s="302"/>
      <c r="TX170" s="302"/>
      <c r="TY170" s="302"/>
      <c r="TZ170" s="302"/>
      <c r="UA170" s="302"/>
      <c r="UB170" s="302"/>
      <c r="UC170" s="302"/>
      <c r="UD170" s="302"/>
      <c r="UE170" s="302"/>
      <c r="UF170" s="302"/>
      <c r="UG170" s="302"/>
      <c r="UH170" s="302"/>
      <c r="UI170" s="302"/>
      <c r="UJ170" s="302"/>
      <c r="UK170" s="302"/>
      <c r="UL170" s="302"/>
      <c r="UM170" s="302"/>
      <c r="UN170" s="302"/>
      <c r="UO170" s="302"/>
      <c r="UP170" s="302"/>
      <c r="UQ170" s="302"/>
      <c r="UR170" s="302"/>
      <c r="US170" s="302"/>
      <c r="UT170" s="302"/>
      <c r="UU170" s="302"/>
      <c r="UV170" s="302"/>
      <c r="UW170" s="302"/>
      <c r="UX170" s="302"/>
      <c r="UY170" s="302"/>
      <c r="UZ170" s="302"/>
      <c r="VA170" s="302"/>
      <c r="VB170" s="302"/>
      <c r="VC170" s="302"/>
      <c r="VD170" s="302"/>
      <c r="VE170" s="302"/>
      <c r="VF170" s="302"/>
      <c r="VG170" s="302"/>
      <c r="VH170" s="302"/>
      <c r="VI170" s="302"/>
      <c r="VJ170" s="302"/>
      <c r="VK170" s="302"/>
      <c r="VL170" s="302"/>
      <c r="VM170" s="302"/>
      <c r="VN170" s="302"/>
      <c r="VO170" s="302"/>
      <c r="VP170" s="302"/>
      <c r="VQ170" s="302"/>
      <c r="VR170" s="302"/>
      <c r="VS170" s="302"/>
      <c r="VT170" s="302"/>
      <c r="VU170" s="302"/>
      <c r="VV170" s="302"/>
      <c r="VW170" s="302"/>
      <c r="VX170" s="302"/>
      <c r="VY170" s="302"/>
      <c r="VZ170" s="302"/>
      <c r="WA170" s="302"/>
      <c r="WB170" s="302"/>
      <c r="WC170" s="302"/>
      <c r="WD170" s="302"/>
      <c r="WE170" s="302"/>
      <c r="WF170" s="302"/>
      <c r="WG170" s="302"/>
      <c r="WH170" s="302"/>
      <c r="WI170" s="302"/>
      <c r="WJ170" s="302"/>
      <c r="WK170" s="302"/>
      <c r="WL170" s="302"/>
      <c r="WM170" s="302"/>
      <c r="WN170" s="302"/>
      <c r="WO170" s="302"/>
      <c r="WP170" s="302"/>
      <c r="WQ170" s="302"/>
      <c r="WR170" s="302"/>
      <c r="WS170" s="302"/>
      <c r="WT170" s="302"/>
      <c r="WU170" s="302"/>
      <c r="WV170" s="302"/>
      <c r="WW170" s="302"/>
      <c r="WX170" s="302"/>
      <c r="WY170" s="302"/>
      <c r="WZ170" s="302"/>
      <c r="XA170" s="302"/>
      <c r="XB170" s="302"/>
      <c r="XC170" s="302"/>
      <c r="XD170" s="302"/>
      <c r="XE170" s="302"/>
      <c r="XF170" s="302"/>
      <c r="XG170" s="302"/>
      <c r="XH170" s="302"/>
      <c r="XI170" s="302"/>
      <c r="XJ170" s="302"/>
      <c r="XK170" s="302"/>
      <c r="XL170" s="302"/>
      <c r="XM170" s="302"/>
      <c r="XN170" s="302"/>
      <c r="XO170" s="302"/>
      <c r="XP170" s="302"/>
      <c r="XQ170" s="302"/>
      <c r="XR170" s="302"/>
      <c r="XS170" s="302"/>
      <c r="XT170" s="302"/>
      <c r="XU170" s="302"/>
      <c r="XV170" s="302"/>
      <c r="XW170" s="302"/>
      <c r="XX170" s="302"/>
      <c r="XY170" s="302"/>
      <c r="XZ170" s="302"/>
      <c r="YA170" s="302"/>
      <c r="YB170" s="302"/>
      <c r="YC170" s="302"/>
      <c r="YD170" s="302"/>
      <c r="YE170" s="302"/>
      <c r="YF170" s="302"/>
      <c r="YG170" s="302"/>
      <c r="YH170" s="302"/>
      <c r="YI170" s="302"/>
      <c r="YJ170" s="302"/>
      <c r="YK170" s="302"/>
      <c r="YL170" s="302"/>
      <c r="YM170" s="302"/>
      <c r="YN170" s="302"/>
      <c r="YO170" s="302"/>
      <c r="YP170" s="302"/>
      <c r="YQ170" s="302"/>
      <c r="YR170" s="302"/>
      <c r="YS170" s="302"/>
      <c r="YT170" s="302"/>
      <c r="YU170" s="302"/>
      <c r="YV170" s="302"/>
      <c r="YW170" s="302"/>
      <c r="YX170" s="302"/>
      <c r="YY170" s="302"/>
      <c r="YZ170" s="302"/>
      <c r="ZA170" s="302"/>
      <c r="ZB170" s="302"/>
      <c r="ZC170" s="302"/>
      <c r="ZD170" s="302"/>
      <c r="ZE170" s="302"/>
      <c r="ZF170" s="302"/>
      <c r="ZG170" s="302"/>
      <c r="ZH170" s="302"/>
      <c r="ZI170" s="302"/>
      <c r="ZJ170" s="302"/>
      <c r="ZK170" s="302"/>
      <c r="ZL170" s="302"/>
      <c r="ZM170" s="302"/>
      <c r="ZN170" s="302"/>
      <c r="ZO170" s="302"/>
      <c r="ZP170" s="302"/>
      <c r="ZQ170" s="302"/>
      <c r="ZR170" s="302"/>
      <c r="ZS170" s="302"/>
      <c r="ZT170" s="302"/>
      <c r="ZU170" s="302"/>
      <c r="ZV170" s="302"/>
      <c r="ZW170" s="302"/>
      <c r="ZX170" s="302"/>
      <c r="ZY170" s="302"/>
      <c r="ZZ170" s="302"/>
      <c r="AAA170" s="302"/>
      <c r="AAB170" s="302"/>
      <c r="AAC170" s="302"/>
      <c r="AAD170" s="302"/>
      <c r="AAE170" s="302"/>
      <c r="AAF170" s="302"/>
      <c r="AAG170" s="302"/>
      <c r="AAH170" s="302"/>
      <c r="AAI170" s="302"/>
      <c r="AAJ170" s="302"/>
      <c r="AAK170" s="302"/>
      <c r="AAL170" s="302"/>
      <c r="AAM170" s="302"/>
      <c r="AAN170" s="302"/>
      <c r="AAO170" s="302"/>
      <c r="AAP170" s="302"/>
      <c r="AAQ170" s="302"/>
      <c r="AAR170" s="302"/>
      <c r="AAS170" s="302"/>
      <c r="AAT170" s="302"/>
      <c r="AAU170" s="302"/>
      <c r="AAV170" s="302"/>
      <c r="AAW170" s="302"/>
      <c r="AAX170" s="302"/>
      <c r="AAY170" s="302"/>
      <c r="AAZ170" s="302"/>
      <c r="ABA170" s="302"/>
      <c r="ABB170" s="302"/>
      <c r="ABC170" s="302"/>
      <c r="ABD170" s="302"/>
      <c r="ABE170" s="302"/>
      <c r="ABF170" s="302"/>
      <c r="ABG170" s="302"/>
      <c r="ABH170" s="302"/>
      <c r="ABI170" s="302"/>
      <c r="ABJ170" s="302"/>
      <c r="ABK170" s="302"/>
      <c r="ABL170" s="302"/>
      <c r="ABM170" s="302"/>
      <c r="ABN170" s="302"/>
      <c r="ABO170" s="302"/>
      <c r="ABP170" s="302"/>
      <c r="ABQ170" s="302"/>
      <c r="ABR170" s="302"/>
      <c r="ABS170" s="302"/>
      <c r="ABT170" s="302"/>
      <c r="ABU170" s="302"/>
      <c r="ABV170" s="302"/>
      <c r="ABW170" s="302"/>
      <c r="ABX170" s="302"/>
      <c r="ABY170" s="302"/>
      <c r="ABZ170" s="302"/>
      <c r="ACA170" s="302"/>
      <c r="ACB170" s="302"/>
      <c r="ACC170" s="302"/>
      <c r="ACD170" s="302"/>
      <c r="ACE170" s="302"/>
      <c r="ACF170" s="302"/>
      <c r="ACG170" s="302"/>
      <c r="ACH170" s="302"/>
      <c r="ACI170" s="302"/>
      <c r="ACJ170" s="302"/>
      <c r="ACK170" s="302"/>
      <c r="ACL170" s="302"/>
      <c r="ACM170" s="302"/>
      <c r="ACN170" s="302"/>
      <c r="ACO170" s="302"/>
      <c r="ACP170" s="302"/>
      <c r="ACQ170" s="302"/>
      <c r="ACR170" s="302"/>
      <c r="ACS170" s="302"/>
      <c r="ACT170" s="302"/>
      <c r="ACU170" s="302"/>
      <c r="ACV170" s="302"/>
      <c r="ACW170" s="302"/>
      <c r="ACX170" s="302"/>
      <c r="ACY170" s="302"/>
      <c r="ACZ170" s="302"/>
      <c r="ADA170" s="302"/>
      <c r="ADB170" s="302"/>
      <c r="ADC170" s="302"/>
      <c r="ADD170" s="302"/>
      <c r="ADE170" s="302"/>
      <c r="ADF170" s="302"/>
      <c r="ADG170" s="302"/>
      <c r="ADH170" s="302"/>
      <c r="ADI170" s="302"/>
      <c r="ADJ170" s="302"/>
      <c r="ADK170" s="302"/>
      <c r="ADL170" s="302"/>
      <c r="ADM170" s="302"/>
      <c r="ADN170" s="302"/>
      <c r="ADO170" s="302"/>
      <c r="ADP170" s="302"/>
      <c r="ADQ170" s="302"/>
      <c r="ADR170" s="302"/>
      <c r="ADS170" s="302"/>
      <c r="ADT170" s="302"/>
      <c r="ADU170" s="302"/>
      <c r="ADV170" s="302"/>
      <c r="ADW170" s="302"/>
      <c r="ADX170" s="302"/>
      <c r="ADY170" s="302"/>
      <c r="ADZ170" s="302"/>
      <c r="AEA170" s="302"/>
      <c r="AEB170" s="302"/>
      <c r="AEC170" s="302"/>
      <c r="AED170" s="302"/>
      <c r="AEE170" s="302"/>
      <c r="AEF170" s="302"/>
      <c r="AEG170" s="302"/>
      <c r="AEH170" s="302"/>
      <c r="AEI170" s="302"/>
      <c r="AEJ170" s="302"/>
      <c r="AEK170" s="302"/>
      <c r="AEL170" s="302"/>
      <c r="AEM170" s="302"/>
      <c r="AEN170" s="302"/>
      <c r="AEO170" s="302"/>
      <c r="AEP170" s="302"/>
      <c r="AEQ170" s="302"/>
      <c r="AER170" s="302"/>
      <c r="AES170" s="302"/>
      <c r="AET170" s="302"/>
      <c r="AEU170" s="302"/>
      <c r="AEV170" s="302"/>
      <c r="AEW170" s="302"/>
      <c r="AEX170" s="302"/>
      <c r="AEY170" s="302"/>
      <c r="AEZ170" s="302"/>
      <c r="AFA170" s="302"/>
      <c r="AFB170" s="302"/>
      <c r="AFC170" s="302"/>
      <c r="AFD170" s="302"/>
      <c r="AFE170" s="302"/>
      <c r="AFF170" s="302"/>
      <c r="AFG170" s="302"/>
      <c r="AFH170" s="302"/>
      <c r="AFI170" s="302"/>
      <c r="AFJ170" s="302"/>
      <c r="AFK170" s="302"/>
      <c r="AFL170" s="302"/>
      <c r="AFM170" s="302"/>
      <c r="AFN170" s="302"/>
      <c r="AFO170" s="302"/>
      <c r="AFP170" s="302"/>
      <c r="AFQ170" s="302"/>
      <c r="AFR170" s="302"/>
      <c r="AFS170" s="302"/>
      <c r="AFT170" s="302"/>
      <c r="AFU170" s="302"/>
      <c r="AFV170" s="302"/>
      <c r="AFW170" s="302"/>
      <c r="AFX170" s="302"/>
      <c r="AFY170" s="302"/>
      <c r="AFZ170" s="302"/>
      <c r="AGA170" s="302"/>
      <c r="AGB170" s="302"/>
      <c r="AGC170" s="302"/>
      <c r="AGD170" s="302"/>
      <c r="AGE170" s="302"/>
      <c r="AGF170" s="302"/>
      <c r="AGG170" s="302"/>
      <c r="AGH170" s="302"/>
      <c r="AGI170" s="302"/>
      <c r="AGJ170" s="302"/>
      <c r="AGK170" s="302"/>
      <c r="AGL170" s="302"/>
      <c r="AGM170" s="302"/>
      <c r="AGN170" s="302"/>
      <c r="AGO170" s="302"/>
      <c r="AGP170" s="302"/>
      <c r="AGQ170" s="302"/>
      <c r="AGR170" s="302"/>
      <c r="AGS170" s="302"/>
      <c r="AGT170" s="302"/>
      <c r="AGU170" s="302"/>
      <c r="AGV170" s="302"/>
      <c r="AGW170" s="302"/>
      <c r="AGX170" s="302"/>
      <c r="AGY170" s="302"/>
      <c r="AGZ170" s="302"/>
      <c r="AHA170" s="302"/>
      <c r="AHB170" s="302"/>
      <c r="AHC170" s="302"/>
      <c r="AHD170" s="302"/>
      <c r="AHE170" s="302"/>
      <c r="AHF170" s="302"/>
      <c r="AHG170" s="302"/>
      <c r="AHH170" s="302"/>
      <c r="AHI170" s="302"/>
      <c r="AHJ170" s="302"/>
      <c r="AHK170" s="302"/>
      <c r="AHL170" s="302"/>
      <c r="AHM170" s="302"/>
      <c r="AHN170" s="302"/>
      <c r="AHO170" s="302"/>
      <c r="AHP170" s="302"/>
      <c r="AHQ170" s="302"/>
      <c r="AHR170" s="302"/>
      <c r="AHS170" s="302"/>
      <c r="AHT170" s="302"/>
      <c r="AHU170" s="302"/>
      <c r="AHV170" s="302"/>
      <c r="AHW170" s="302"/>
      <c r="AHX170" s="302"/>
      <c r="AHY170" s="302"/>
      <c r="AHZ170" s="302"/>
      <c r="AIA170" s="302"/>
      <c r="AIB170" s="302"/>
      <c r="AIC170" s="302"/>
      <c r="AID170" s="302"/>
      <c r="AIE170" s="302"/>
      <c r="AIF170" s="302"/>
      <c r="AIG170" s="302"/>
      <c r="AIH170" s="302"/>
      <c r="AII170" s="302"/>
      <c r="AIJ170" s="302"/>
      <c r="AIK170" s="302"/>
      <c r="AIL170" s="302"/>
      <c r="AIM170" s="302"/>
      <c r="AIN170" s="302"/>
      <c r="AIO170" s="302"/>
      <c r="AIP170" s="302"/>
      <c r="AIQ170" s="302"/>
      <c r="AIR170" s="302"/>
      <c r="AIS170" s="302"/>
      <c r="AIT170" s="302"/>
      <c r="AIU170" s="302"/>
      <c r="AIV170" s="302"/>
      <c r="AIW170" s="302"/>
      <c r="AIX170" s="302"/>
      <c r="AIY170" s="302"/>
      <c r="AIZ170" s="302"/>
      <c r="AJA170" s="302"/>
      <c r="AJB170" s="302"/>
      <c r="AJC170" s="302"/>
      <c r="AJD170" s="302"/>
      <c r="AJE170" s="302"/>
      <c r="AJF170" s="302"/>
      <c r="AJG170" s="302"/>
      <c r="AJH170" s="302"/>
      <c r="AJI170" s="302"/>
      <c r="AJJ170" s="302"/>
      <c r="AJK170" s="302"/>
      <c r="AJL170" s="302"/>
      <c r="AJM170" s="302"/>
      <c r="AJN170" s="302"/>
      <c r="AJO170" s="302"/>
      <c r="AJP170" s="302"/>
      <c r="AJQ170" s="302"/>
      <c r="AJR170" s="302"/>
      <c r="AJS170" s="302"/>
      <c r="AJT170" s="302"/>
      <c r="AJU170" s="302"/>
      <c r="AJV170" s="302"/>
      <c r="AJW170" s="302"/>
      <c r="AJX170" s="302"/>
      <c r="AJY170" s="302"/>
      <c r="AJZ170" s="302"/>
      <c r="AKA170" s="302"/>
      <c r="AKB170" s="302"/>
      <c r="AKC170" s="302"/>
      <c r="AKD170" s="302"/>
      <c r="AKE170" s="302"/>
      <c r="AKF170" s="302"/>
      <c r="AKG170" s="302"/>
      <c r="AKH170" s="302"/>
      <c r="AKI170" s="302"/>
      <c r="AKJ170" s="302"/>
      <c r="AKK170" s="302"/>
      <c r="AKL170" s="302"/>
      <c r="AKM170" s="302"/>
      <c r="AKN170" s="302"/>
      <c r="AKO170" s="302"/>
      <c r="AKP170" s="302"/>
      <c r="AKQ170" s="302"/>
      <c r="AKR170" s="302"/>
      <c r="AKS170" s="302"/>
      <c r="AKT170" s="302"/>
      <c r="AKU170" s="302"/>
      <c r="AKV170" s="302"/>
      <c r="AKW170" s="302"/>
      <c r="AKX170" s="302"/>
      <c r="AKY170" s="302"/>
      <c r="AKZ170" s="302"/>
      <c r="ALA170" s="302"/>
      <c r="ALB170" s="302"/>
      <c r="ALC170" s="302"/>
      <c r="ALD170" s="302"/>
      <c r="ALE170" s="302"/>
      <c r="ALF170" s="302"/>
      <c r="ALG170" s="302"/>
      <c r="ALH170" s="302"/>
      <c r="ALI170" s="302"/>
      <c r="ALJ170" s="302"/>
      <c r="ALK170" s="302"/>
      <c r="ALL170" s="302"/>
      <c r="ALM170" s="302"/>
      <c r="ALN170" s="302"/>
      <c r="ALO170" s="302"/>
      <c r="ALP170" s="302"/>
      <c r="ALQ170" s="302"/>
      <c r="ALR170" s="302"/>
      <c r="ALS170" s="302"/>
      <c r="ALT170" s="302"/>
      <c r="ALU170" s="302"/>
      <c r="ALV170" s="302"/>
      <c r="ALW170" s="302"/>
      <c r="ALX170" s="302"/>
      <c r="ALY170" s="302"/>
      <c r="ALZ170" s="302"/>
      <c r="AMA170" s="302"/>
      <c r="AMB170" s="302"/>
      <c r="AMC170" s="302"/>
      <c r="AMD170" s="302"/>
      <c r="AME170" s="302"/>
      <c r="AMF170" s="302"/>
      <c r="AMG170" s="302"/>
      <c r="AMH170" s="302"/>
      <c r="AMI170" s="302"/>
    </row>
    <row r="171" spans="1:1023" hidden="1">
      <c r="A171" s="302"/>
      <c r="B171" s="15">
        <v>13821</v>
      </c>
      <c r="C171" s="113">
        <v>0.1</v>
      </c>
      <c r="D171" s="16" t="s">
        <v>407</v>
      </c>
      <c r="E171" s="12">
        <v>1900000</v>
      </c>
      <c r="F171" s="363">
        <v>0.02</v>
      </c>
      <c r="G171" s="364">
        <f>E171*F171</f>
        <v>38000</v>
      </c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2"/>
      <c r="AG171" s="302"/>
      <c r="AH171" s="302"/>
      <c r="AI171" s="302"/>
      <c r="AJ171" s="302"/>
      <c r="AK171" s="302"/>
      <c r="AL171" s="302"/>
      <c r="AM171" s="302"/>
      <c r="AN171" s="302"/>
      <c r="AO171" s="302"/>
      <c r="AP171" s="302"/>
      <c r="AQ171" s="302"/>
      <c r="AR171" s="302"/>
      <c r="AS171" s="302"/>
      <c r="AT171" s="302"/>
      <c r="AU171" s="302"/>
      <c r="AV171" s="302"/>
      <c r="AW171" s="302"/>
      <c r="AX171" s="302"/>
      <c r="AY171" s="302"/>
      <c r="AZ171" s="302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K171" s="302"/>
      <c r="BL171" s="302"/>
      <c r="BM171" s="302"/>
      <c r="BN171" s="302"/>
      <c r="BO171" s="302"/>
      <c r="BP171" s="302"/>
      <c r="BQ171" s="302"/>
      <c r="BR171" s="302"/>
      <c r="BS171" s="302"/>
      <c r="BT171" s="302"/>
      <c r="BU171" s="302"/>
      <c r="BV171" s="302"/>
      <c r="BW171" s="302"/>
      <c r="BX171" s="302"/>
      <c r="BY171" s="302"/>
      <c r="BZ171" s="302"/>
      <c r="CA171" s="302"/>
      <c r="CB171" s="302"/>
      <c r="CC171" s="302"/>
      <c r="CD171" s="302"/>
      <c r="CE171" s="302"/>
      <c r="CF171" s="302"/>
      <c r="CG171" s="302"/>
      <c r="CH171" s="302"/>
      <c r="CI171" s="302"/>
      <c r="CJ171" s="302"/>
      <c r="CK171" s="302"/>
      <c r="CL171" s="302"/>
      <c r="CM171" s="302"/>
      <c r="CN171" s="302"/>
      <c r="CO171" s="302"/>
      <c r="CP171" s="302"/>
      <c r="CQ171" s="302"/>
      <c r="CR171" s="302"/>
      <c r="CS171" s="302"/>
      <c r="CT171" s="302"/>
      <c r="CU171" s="302"/>
      <c r="CV171" s="302"/>
      <c r="CW171" s="302"/>
      <c r="CX171" s="302"/>
      <c r="CY171" s="302"/>
      <c r="CZ171" s="302"/>
      <c r="DA171" s="302"/>
      <c r="DB171" s="302"/>
      <c r="DC171" s="302"/>
      <c r="DD171" s="302"/>
      <c r="DE171" s="302"/>
      <c r="DF171" s="302"/>
      <c r="DG171" s="302"/>
      <c r="DH171" s="302"/>
      <c r="DI171" s="302"/>
      <c r="DJ171" s="302"/>
      <c r="DK171" s="302"/>
      <c r="DL171" s="302"/>
      <c r="DM171" s="302"/>
      <c r="DN171" s="302"/>
      <c r="DO171" s="302"/>
      <c r="DP171" s="302"/>
      <c r="DQ171" s="302"/>
      <c r="DR171" s="302"/>
      <c r="DS171" s="302"/>
      <c r="DT171" s="302"/>
      <c r="DU171" s="302"/>
      <c r="DV171" s="302"/>
      <c r="DW171" s="302"/>
      <c r="DX171" s="302"/>
      <c r="DY171" s="302"/>
      <c r="DZ171" s="302"/>
      <c r="EA171" s="302"/>
      <c r="EB171" s="302"/>
      <c r="EC171" s="302"/>
      <c r="ED171" s="302"/>
      <c r="EE171" s="302"/>
      <c r="EF171" s="302"/>
      <c r="EG171" s="302"/>
      <c r="EH171" s="302"/>
      <c r="EI171" s="302"/>
      <c r="EJ171" s="302"/>
      <c r="EK171" s="302"/>
      <c r="EL171" s="302"/>
      <c r="EM171" s="302"/>
      <c r="EN171" s="302"/>
      <c r="EO171" s="302"/>
      <c r="EP171" s="302"/>
      <c r="EQ171" s="302"/>
      <c r="ER171" s="302"/>
      <c r="ES171" s="302"/>
      <c r="ET171" s="302"/>
      <c r="EU171" s="302"/>
      <c r="EV171" s="302"/>
      <c r="EW171" s="302"/>
      <c r="EX171" s="302"/>
      <c r="EY171" s="302"/>
      <c r="EZ171" s="302"/>
      <c r="FA171" s="302"/>
      <c r="FB171" s="302"/>
      <c r="FC171" s="302"/>
      <c r="FD171" s="302"/>
      <c r="FE171" s="302"/>
      <c r="FF171" s="302"/>
      <c r="FG171" s="302"/>
      <c r="FH171" s="302"/>
      <c r="FI171" s="302"/>
      <c r="FJ171" s="302"/>
      <c r="FK171" s="302"/>
      <c r="FL171" s="302"/>
      <c r="FM171" s="302"/>
      <c r="FN171" s="302"/>
      <c r="FO171" s="302"/>
      <c r="FP171" s="302"/>
      <c r="FQ171" s="302"/>
      <c r="FR171" s="302"/>
      <c r="FS171" s="302"/>
      <c r="FT171" s="302"/>
      <c r="FU171" s="302"/>
      <c r="FV171" s="302"/>
      <c r="FW171" s="302"/>
      <c r="FX171" s="302"/>
      <c r="FY171" s="302"/>
      <c r="FZ171" s="302"/>
      <c r="GA171" s="302"/>
      <c r="GB171" s="302"/>
      <c r="GC171" s="302"/>
      <c r="GD171" s="302"/>
      <c r="GE171" s="302"/>
      <c r="GF171" s="302"/>
      <c r="GG171" s="302"/>
      <c r="GH171" s="302"/>
      <c r="GI171" s="302"/>
      <c r="GJ171" s="302"/>
      <c r="GK171" s="302"/>
      <c r="GL171" s="302"/>
      <c r="GM171" s="302"/>
      <c r="GN171" s="302"/>
      <c r="GO171" s="302"/>
      <c r="GP171" s="302"/>
      <c r="GQ171" s="302"/>
      <c r="GR171" s="302"/>
      <c r="GS171" s="302"/>
      <c r="GT171" s="302"/>
      <c r="GU171" s="302"/>
      <c r="GV171" s="302"/>
      <c r="GW171" s="302"/>
      <c r="GX171" s="302"/>
      <c r="GY171" s="302"/>
      <c r="GZ171" s="302"/>
      <c r="HA171" s="302"/>
      <c r="HB171" s="302"/>
      <c r="HC171" s="302"/>
      <c r="HD171" s="302"/>
      <c r="HE171" s="302"/>
      <c r="HF171" s="302"/>
      <c r="HG171" s="302"/>
      <c r="HH171" s="302"/>
      <c r="HI171" s="302"/>
      <c r="HJ171" s="302"/>
      <c r="HK171" s="302"/>
      <c r="HL171" s="302"/>
      <c r="HM171" s="302"/>
      <c r="HN171" s="302"/>
      <c r="HO171" s="302"/>
      <c r="HP171" s="302"/>
      <c r="HQ171" s="302"/>
      <c r="HR171" s="302"/>
      <c r="HS171" s="302"/>
      <c r="HT171" s="302"/>
      <c r="HU171" s="302"/>
      <c r="HV171" s="302"/>
      <c r="HW171" s="302"/>
      <c r="HX171" s="302"/>
      <c r="HY171" s="302"/>
      <c r="HZ171" s="302"/>
      <c r="IA171" s="302"/>
      <c r="IB171" s="302"/>
      <c r="IC171" s="302"/>
      <c r="ID171" s="302"/>
      <c r="IE171" s="302"/>
      <c r="IF171" s="302"/>
      <c r="IG171" s="302"/>
      <c r="IH171" s="302"/>
      <c r="II171" s="302"/>
      <c r="IJ171" s="302"/>
      <c r="IK171" s="302"/>
      <c r="IL171" s="302"/>
      <c r="IM171" s="302"/>
      <c r="IN171" s="302"/>
      <c r="IO171" s="302"/>
      <c r="IP171" s="302"/>
      <c r="IQ171" s="302"/>
      <c r="IR171" s="302"/>
      <c r="IS171" s="302"/>
      <c r="IT171" s="302"/>
      <c r="IU171" s="302"/>
      <c r="IV171" s="302"/>
      <c r="IW171" s="302"/>
      <c r="IX171" s="302"/>
      <c r="IY171" s="302"/>
      <c r="IZ171" s="302"/>
      <c r="JA171" s="302"/>
      <c r="JB171" s="302"/>
      <c r="JC171" s="302"/>
      <c r="JD171" s="302"/>
      <c r="JE171" s="302"/>
      <c r="JF171" s="302"/>
      <c r="JG171" s="302"/>
      <c r="JH171" s="302"/>
      <c r="JI171" s="302"/>
      <c r="JJ171" s="302"/>
      <c r="JK171" s="302"/>
      <c r="JL171" s="302"/>
      <c r="JM171" s="302"/>
      <c r="JN171" s="302"/>
      <c r="JO171" s="302"/>
      <c r="JP171" s="302"/>
      <c r="JQ171" s="302"/>
      <c r="JR171" s="302"/>
      <c r="JS171" s="302"/>
      <c r="JT171" s="302"/>
      <c r="JU171" s="302"/>
      <c r="JV171" s="302"/>
      <c r="JW171" s="302"/>
      <c r="JX171" s="302"/>
      <c r="JY171" s="302"/>
      <c r="JZ171" s="302"/>
      <c r="KA171" s="302"/>
      <c r="KB171" s="302"/>
      <c r="KC171" s="302"/>
      <c r="KD171" s="302"/>
      <c r="KE171" s="302"/>
      <c r="KF171" s="302"/>
      <c r="KG171" s="302"/>
      <c r="KH171" s="302"/>
      <c r="KI171" s="302"/>
      <c r="KJ171" s="302"/>
      <c r="KK171" s="302"/>
      <c r="KL171" s="302"/>
      <c r="KM171" s="302"/>
      <c r="KN171" s="302"/>
      <c r="KO171" s="302"/>
      <c r="KP171" s="302"/>
      <c r="KQ171" s="302"/>
      <c r="KR171" s="302"/>
      <c r="KS171" s="302"/>
      <c r="KT171" s="302"/>
      <c r="KU171" s="302"/>
      <c r="KV171" s="302"/>
      <c r="KW171" s="302"/>
      <c r="KX171" s="302"/>
      <c r="KY171" s="302"/>
      <c r="KZ171" s="302"/>
      <c r="LA171" s="302"/>
      <c r="LB171" s="302"/>
      <c r="LC171" s="302"/>
      <c r="LD171" s="302"/>
      <c r="LE171" s="302"/>
      <c r="LF171" s="302"/>
      <c r="LG171" s="302"/>
      <c r="LH171" s="302"/>
      <c r="LI171" s="302"/>
      <c r="LJ171" s="302"/>
      <c r="LK171" s="302"/>
      <c r="LL171" s="302"/>
      <c r="LM171" s="302"/>
      <c r="LN171" s="302"/>
      <c r="LO171" s="302"/>
      <c r="LP171" s="302"/>
      <c r="LQ171" s="302"/>
      <c r="LR171" s="302"/>
      <c r="LS171" s="302"/>
      <c r="LT171" s="302"/>
      <c r="LU171" s="302"/>
      <c r="LV171" s="302"/>
      <c r="LW171" s="302"/>
      <c r="LX171" s="302"/>
      <c r="LY171" s="302"/>
      <c r="LZ171" s="302"/>
      <c r="MA171" s="302"/>
      <c r="MB171" s="302"/>
      <c r="MC171" s="302"/>
      <c r="MD171" s="302"/>
      <c r="ME171" s="302"/>
      <c r="MF171" s="302"/>
      <c r="MG171" s="302"/>
      <c r="MH171" s="302"/>
      <c r="MI171" s="302"/>
      <c r="MJ171" s="302"/>
      <c r="MK171" s="302"/>
      <c r="ML171" s="302"/>
      <c r="MM171" s="302"/>
      <c r="MN171" s="302"/>
      <c r="MO171" s="302"/>
      <c r="MP171" s="302"/>
      <c r="MQ171" s="302"/>
      <c r="MR171" s="302"/>
      <c r="MS171" s="302"/>
      <c r="MT171" s="302"/>
      <c r="MU171" s="302"/>
      <c r="MV171" s="302"/>
      <c r="MW171" s="302"/>
      <c r="MX171" s="302"/>
      <c r="MY171" s="302"/>
      <c r="MZ171" s="302"/>
      <c r="NA171" s="302"/>
      <c r="NB171" s="302"/>
      <c r="NC171" s="302"/>
      <c r="ND171" s="302"/>
      <c r="NE171" s="302"/>
      <c r="NF171" s="302"/>
      <c r="NG171" s="302"/>
      <c r="NH171" s="302"/>
      <c r="NI171" s="302"/>
      <c r="NJ171" s="302"/>
      <c r="NK171" s="302"/>
      <c r="NL171" s="302"/>
      <c r="NM171" s="302"/>
      <c r="NN171" s="302"/>
      <c r="NO171" s="302"/>
      <c r="NP171" s="302"/>
      <c r="NQ171" s="302"/>
      <c r="NR171" s="302"/>
      <c r="NS171" s="302"/>
      <c r="NT171" s="302"/>
      <c r="NU171" s="302"/>
      <c r="NV171" s="302"/>
      <c r="NW171" s="302"/>
      <c r="NX171" s="302"/>
      <c r="NY171" s="302"/>
      <c r="NZ171" s="302"/>
      <c r="OA171" s="302"/>
      <c r="OB171" s="302"/>
      <c r="OC171" s="302"/>
      <c r="OD171" s="302"/>
      <c r="OE171" s="302"/>
      <c r="OF171" s="302"/>
      <c r="OG171" s="302"/>
      <c r="OH171" s="302"/>
      <c r="OI171" s="302"/>
      <c r="OJ171" s="302"/>
      <c r="OK171" s="302"/>
      <c r="OL171" s="302"/>
      <c r="OM171" s="302"/>
      <c r="ON171" s="302"/>
      <c r="OO171" s="302"/>
      <c r="OP171" s="302"/>
      <c r="OQ171" s="302"/>
      <c r="OR171" s="302"/>
      <c r="OS171" s="302"/>
      <c r="OT171" s="302"/>
      <c r="OU171" s="302"/>
      <c r="OV171" s="302"/>
      <c r="OW171" s="302"/>
      <c r="OX171" s="302"/>
      <c r="OY171" s="302"/>
      <c r="OZ171" s="302"/>
      <c r="PA171" s="302"/>
      <c r="PB171" s="302"/>
      <c r="PC171" s="302"/>
      <c r="PD171" s="302"/>
      <c r="PE171" s="302"/>
      <c r="PF171" s="302"/>
      <c r="PG171" s="302"/>
      <c r="PH171" s="302"/>
      <c r="PI171" s="302"/>
      <c r="PJ171" s="302"/>
      <c r="PK171" s="302"/>
      <c r="PL171" s="302"/>
      <c r="PM171" s="302"/>
      <c r="PN171" s="302"/>
      <c r="PO171" s="302"/>
      <c r="PP171" s="302"/>
      <c r="PQ171" s="302"/>
      <c r="PR171" s="302"/>
      <c r="PS171" s="302"/>
      <c r="PT171" s="302"/>
      <c r="PU171" s="302"/>
      <c r="PV171" s="302"/>
      <c r="PW171" s="302"/>
      <c r="PX171" s="302"/>
      <c r="PY171" s="302"/>
      <c r="PZ171" s="302"/>
      <c r="QA171" s="302"/>
      <c r="QB171" s="302"/>
      <c r="QC171" s="302"/>
      <c r="QD171" s="302"/>
      <c r="QE171" s="302"/>
      <c r="QF171" s="302"/>
      <c r="QG171" s="302"/>
      <c r="QH171" s="302"/>
      <c r="QI171" s="302"/>
      <c r="QJ171" s="302"/>
      <c r="QK171" s="302"/>
      <c r="QL171" s="302"/>
      <c r="QM171" s="302"/>
      <c r="QN171" s="302"/>
      <c r="QO171" s="302"/>
      <c r="QP171" s="302"/>
      <c r="QQ171" s="302"/>
      <c r="QR171" s="302"/>
      <c r="QS171" s="302"/>
      <c r="QT171" s="302"/>
      <c r="QU171" s="302"/>
      <c r="QV171" s="302"/>
      <c r="QW171" s="302"/>
      <c r="QX171" s="302"/>
      <c r="QY171" s="302"/>
      <c r="QZ171" s="302"/>
      <c r="RA171" s="302"/>
      <c r="RB171" s="302"/>
      <c r="RC171" s="302"/>
      <c r="RD171" s="302"/>
      <c r="RE171" s="302"/>
      <c r="RF171" s="302"/>
      <c r="RG171" s="302"/>
      <c r="RH171" s="302"/>
      <c r="RI171" s="302"/>
      <c r="RJ171" s="302"/>
      <c r="RK171" s="302"/>
      <c r="RL171" s="302"/>
      <c r="RM171" s="302"/>
      <c r="RN171" s="302"/>
      <c r="RO171" s="302"/>
      <c r="RP171" s="302"/>
      <c r="RQ171" s="302"/>
      <c r="RR171" s="302"/>
      <c r="RS171" s="302"/>
      <c r="RT171" s="302"/>
      <c r="RU171" s="302"/>
      <c r="RV171" s="302"/>
      <c r="RW171" s="302"/>
      <c r="RX171" s="302"/>
      <c r="RY171" s="302"/>
      <c r="RZ171" s="302"/>
      <c r="SA171" s="302"/>
      <c r="SB171" s="302"/>
      <c r="SC171" s="302"/>
      <c r="SD171" s="302"/>
      <c r="SE171" s="302"/>
      <c r="SF171" s="302"/>
      <c r="SG171" s="302"/>
      <c r="SH171" s="302"/>
      <c r="SI171" s="302"/>
      <c r="SJ171" s="302"/>
      <c r="SK171" s="302"/>
      <c r="SL171" s="302"/>
      <c r="SM171" s="302"/>
      <c r="SN171" s="302"/>
      <c r="SO171" s="302"/>
      <c r="SP171" s="302"/>
      <c r="SQ171" s="302"/>
      <c r="SR171" s="302"/>
      <c r="SS171" s="302"/>
      <c r="ST171" s="302"/>
      <c r="SU171" s="302"/>
      <c r="SV171" s="302"/>
      <c r="SW171" s="302"/>
      <c r="SX171" s="302"/>
      <c r="SY171" s="302"/>
      <c r="SZ171" s="302"/>
      <c r="TA171" s="302"/>
      <c r="TB171" s="302"/>
      <c r="TC171" s="302"/>
      <c r="TD171" s="302"/>
      <c r="TE171" s="302"/>
      <c r="TF171" s="302"/>
      <c r="TG171" s="302"/>
      <c r="TH171" s="302"/>
      <c r="TI171" s="302"/>
      <c r="TJ171" s="302"/>
      <c r="TK171" s="302"/>
      <c r="TL171" s="302"/>
      <c r="TM171" s="302"/>
      <c r="TN171" s="302"/>
      <c r="TO171" s="302"/>
      <c r="TP171" s="302"/>
      <c r="TQ171" s="302"/>
      <c r="TR171" s="302"/>
      <c r="TS171" s="302"/>
      <c r="TT171" s="302"/>
      <c r="TU171" s="302"/>
      <c r="TV171" s="302"/>
      <c r="TW171" s="302"/>
      <c r="TX171" s="302"/>
      <c r="TY171" s="302"/>
      <c r="TZ171" s="302"/>
      <c r="UA171" s="302"/>
      <c r="UB171" s="302"/>
      <c r="UC171" s="302"/>
      <c r="UD171" s="302"/>
      <c r="UE171" s="302"/>
      <c r="UF171" s="302"/>
      <c r="UG171" s="302"/>
      <c r="UH171" s="302"/>
      <c r="UI171" s="302"/>
      <c r="UJ171" s="302"/>
      <c r="UK171" s="302"/>
      <c r="UL171" s="302"/>
      <c r="UM171" s="302"/>
      <c r="UN171" s="302"/>
      <c r="UO171" s="302"/>
      <c r="UP171" s="302"/>
      <c r="UQ171" s="302"/>
      <c r="UR171" s="302"/>
      <c r="US171" s="302"/>
      <c r="UT171" s="302"/>
      <c r="UU171" s="302"/>
      <c r="UV171" s="302"/>
      <c r="UW171" s="302"/>
      <c r="UX171" s="302"/>
      <c r="UY171" s="302"/>
      <c r="UZ171" s="302"/>
      <c r="VA171" s="302"/>
      <c r="VB171" s="302"/>
      <c r="VC171" s="302"/>
      <c r="VD171" s="302"/>
      <c r="VE171" s="302"/>
      <c r="VF171" s="302"/>
      <c r="VG171" s="302"/>
      <c r="VH171" s="302"/>
      <c r="VI171" s="302"/>
      <c r="VJ171" s="302"/>
      <c r="VK171" s="302"/>
      <c r="VL171" s="302"/>
      <c r="VM171" s="302"/>
      <c r="VN171" s="302"/>
      <c r="VO171" s="302"/>
      <c r="VP171" s="302"/>
      <c r="VQ171" s="302"/>
      <c r="VR171" s="302"/>
      <c r="VS171" s="302"/>
      <c r="VT171" s="302"/>
      <c r="VU171" s="302"/>
      <c r="VV171" s="302"/>
      <c r="VW171" s="302"/>
      <c r="VX171" s="302"/>
      <c r="VY171" s="302"/>
      <c r="VZ171" s="302"/>
      <c r="WA171" s="302"/>
      <c r="WB171" s="302"/>
      <c r="WC171" s="302"/>
      <c r="WD171" s="302"/>
      <c r="WE171" s="302"/>
      <c r="WF171" s="302"/>
      <c r="WG171" s="302"/>
      <c r="WH171" s="302"/>
      <c r="WI171" s="302"/>
      <c r="WJ171" s="302"/>
      <c r="WK171" s="302"/>
      <c r="WL171" s="302"/>
      <c r="WM171" s="302"/>
      <c r="WN171" s="302"/>
      <c r="WO171" s="302"/>
      <c r="WP171" s="302"/>
      <c r="WQ171" s="302"/>
      <c r="WR171" s="302"/>
      <c r="WS171" s="302"/>
      <c r="WT171" s="302"/>
      <c r="WU171" s="302"/>
      <c r="WV171" s="302"/>
      <c r="WW171" s="302"/>
      <c r="WX171" s="302"/>
      <c r="WY171" s="302"/>
      <c r="WZ171" s="302"/>
      <c r="XA171" s="302"/>
      <c r="XB171" s="302"/>
      <c r="XC171" s="302"/>
      <c r="XD171" s="302"/>
      <c r="XE171" s="302"/>
      <c r="XF171" s="302"/>
      <c r="XG171" s="302"/>
      <c r="XH171" s="302"/>
      <c r="XI171" s="302"/>
      <c r="XJ171" s="302"/>
      <c r="XK171" s="302"/>
      <c r="XL171" s="302"/>
      <c r="XM171" s="302"/>
      <c r="XN171" s="302"/>
      <c r="XO171" s="302"/>
      <c r="XP171" s="302"/>
      <c r="XQ171" s="302"/>
      <c r="XR171" s="302"/>
      <c r="XS171" s="302"/>
      <c r="XT171" s="302"/>
      <c r="XU171" s="302"/>
      <c r="XV171" s="302"/>
      <c r="XW171" s="302"/>
      <c r="XX171" s="302"/>
      <c r="XY171" s="302"/>
      <c r="XZ171" s="302"/>
      <c r="YA171" s="302"/>
      <c r="YB171" s="302"/>
      <c r="YC171" s="302"/>
      <c r="YD171" s="302"/>
      <c r="YE171" s="302"/>
      <c r="YF171" s="302"/>
      <c r="YG171" s="302"/>
      <c r="YH171" s="302"/>
      <c r="YI171" s="302"/>
      <c r="YJ171" s="302"/>
      <c r="YK171" s="302"/>
      <c r="YL171" s="302"/>
      <c r="YM171" s="302"/>
      <c r="YN171" s="302"/>
      <c r="YO171" s="302"/>
      <c r="YP171" s="302"/>
      <c r="YQ171" s="302"/>
      <c r="YR171" s="302"/>
      <c r="YS171" s="302"/>
      <c r="YT171" s="302"/>
      <c r="YU171" s="302"/>
      <c r="YV171" s="302"/>
      <c r="YW171" s="302"/>
      <c r="YX171" s="302"/>
      <c r="YY171" s="302"/>
      <c r="YZ171" s="302"/>
      <c r="ZA171" s="302"/>
      <c r="ZB171" s="302"/>
      <c r="ZC171" s="302"/>
      <c r="ZD171" s="302"/>
      <c r="ZE171" s="302"/>
      <c r="ZF171" s="302"/>
      <c r="ZG171" s="302"/>
      <c r="ZH171" s="302"/>
      <c r="ZI171" s="302"/>
      <c r="ZJ171" s="302"/>
      <c r="ZK171" s="302"/>
      <c r="ZL171" s="302"/>
      <c r="ZM171" s="302"/>
      <c r="ZN171" s="302"/>
      <c r="ZO171" s="302"/>
      <c r="ZP171" s="302"/>
      <c r="ZQ171" s="302"/>
      <c r="ZR171" s="302"/>
      <c r="ZS171" s="302"/>
      <c r="ZT171" s="302"/>
      <c r="ZU171" s="302"/>
      <c r="ZV171" s="302"/>
      <c r="ZW171" s="302"/>
      <c r="ZX171" s="302"/>
      <c r="ZY171" s="302"/>
      <c r="ZZ171" s="302"/>
      <c r="AAA171" s="302"/>
      <c r="AAB171" s="302"/>
      <c r="AAC171" s="302"/>
      <c r="AAD171" s="302"/>
      <c r="AAE171" s="302"/>
      <c r="AAF171" s="302"/>
      <c r="AAG171" s="302"/>
      <c r="AAH171" s="302"/>
      <c r="AAI171" s="302"/>
      <c r="AAJ171" s="302"/>
      <c r="AAK171" s="302"/>
      <c r="AAL171" s="302"/>
      <c r="AAM171" s="302"/>
      <c r="AAN171" s="302"/>
      <c r="AAO171" s="302"/>
      <c r="AAP171" s="302"/>
      <c r="AAQ171" s="302"/>
      <c r="AAR171" s="302"/>
      <c r="AAS171" s="302"/>
      <c r="AAT171" s="302"/>
      <c r="AAU171" s="302"/>
      <c r="AAV171" s="302"/>
      <c r="AAW171" s="302"/>
      <c r="AAX171" s="302"/>
      <c r="AAY171" s="302"/>
      <c r="AAZ171" s="302"/>
      <c r="ABA171" s="302"/>
      <c r="ABB171" s="302"/>
      <c r="ABC171" s="302"/>
      <c r="ABD171" s="302"/>
      <c r="ABE171" s="302"/>
      <c r="ABF171" s="302"/>
      <c r="ABG171" s="302"/>
      <c r="ABH171" s="302"/>
      <c r="ABI171" s="302"/>
      <c r="ABJ171" s="302"/>
      <c r="ABK171" s="302"/>
      <c r="ABL171" s="302"/>
      <c r="ABM171" s="302"/>
      <c r="ABN171" s="302"/>
      <c r="ABO171" s="302"/>
      <c r="ABP171" s="302"/>
      <c r="ABQ171" s="302"/>
      <c r="ABR171" s="302"/>
      <c r="ABS171" s="302"/>
      <c r="ABT171" s="302"/>
      <c r="ABU171" s="302"/>
      <c r="ABV171" s="302"/>
      <c r="ABW171" s="302"/>
      <c r="ABX171" s="302"/>
      <c r="ABY171" s="302"/>
      <c r="ABZ171" s="302"/>
      <c r="ACA171" s="302"/>
      <c r="ACB171" s="302"/>
      <c r="ACC171" s="302"/>
      <c r="ACD171" s="302"/>
      <c r="ACE171" s="302"/>
      <c r="ACF171" s="302"/>
      <c r="ACG171" s="302"/>
      <c r="ACH171" s="302"/>
      <c r="ACI171" s="302"/>
      <c r="ACJ171" s="302"/>
      <c r="ACK171" s="302"/>
      <c r="ACL171" s="302"/>
      <c r="ACM171" s="302"/>
      <c r="ACN171" s="302"/>
      <c r="ACO171" s="302"/>
      <c r="ACP171" s="302"/>
      <c r="ACQ171" s="302"/>
      <c r="ACR171" s="302"/>
      <c r="ACS171" s="302"/>
      <c r="ACT171" s="302"/>
      <c r="ACU171" s="302"/>
      <c r="ACV171" s="302"/>
      <c r="ACW171" s="302"/>
      <c r="ACX171" s="302"/>
      <c r="ACY171" s="302"/>
      <c r="ACZ171" s="302"/>
      <c r="ADA171" s="302"/>
      <c r="ADB171" s="302"/>
      <c r="ADC171" s="302"/>
      <c r="ADD171" s="302"/>
      <c r="ADE171" s="302"/>
      <c r="ADF171" s="302"/>
      <c r="ADG171" s="302"/>
      <c r="ADH171" s="302"/>
      <c r="ADI171" s="302"/>
      <c r="ADJ171" s="302"/>
      <c r="ADK171" s="302"/>
      <c r="ADL171" s="302"/>
      <c r="ADM171" s="302"/>
      <c r="ADN171" s="302"/>
      <c r="ADO171" s="302"/>
      <c r="ADP171" s="302"/>
      <c r="ADQ171" s="302"/>
      <c r="ADR171" s="302"/>
      <c r="ADS171" s="302"/>
      <c r="ADT171" s="302"/>
      <c r="ADU171" s="302"/>
      <c r="ADV171" s="302"/>
      <c r="ADW171" s="302"/>
      <c r="ADX171" s="302"/>
      <c r="ADY171" s="302"/>
      <c r="ADZ171" s="302"/>
      <c r="AEA171" s="302"/>
      <c r="AEB171" s="302"/>
      <c r="AEC171" s="302"/>
      <c r="AED171" s="302"/>
      <c r="AEE171" s="302"/>
      <c r="AEF171" s="302"/>
      <c r="AEG171" s="302"/>
      <c r="AEH171" s="302"/>
      <c r="AEI171" s="302"/>
      <c r="AEJ171" s="302"/>
      <c r="AEK171" s="302"/>
      <c r="AEL171" s="302"/>
      <c r="AEM171" s="302"/>
      <c r="AEN171" s="302"/>
      <c r="AEO171" s="302"/>
      <c r="AEP171" s="302"/>
      <c r="AEQ171" s="302"/>
      <c r="AER171" s="302"/>
      <c r="AES171" s="302"/>
      <c r="AET171" s="302"/>
      <c r="AEU171" s="302"/>
      <c r="AEV171" s="302"/>
      <c r="AEW171" s="302"/>
      <c r="AEX171" s="302"/>
      <c r="AEY171" s="302"/>
      <c r="AEZ171" s="302"/>
      <c r="AFA171" s="302"/>
      <c r="AFB171" s="302"/>
      <c r="AFC171" s="302"/>
      <c r="AFD171" s="302"/>
      <c r="AFE171" s="302"/>
      <c r="AFF171" s="302"/>
      <c r="AFG171" s="302"/>
      <c r="AFH171" s="302"/>
      <c r="AFI171" s="302"/>
      <c r="AFJ171" s="302"/>
      <c r="AFK171" s="302"/>
      <c r="AFL171" s="302"/>
      <c r="AFM171" s="302"/>
      <c r="AFN171" s="302"/>
      <c r="AFO171" s="302"/>
      <c r="AFP171" s="302"/>
      <c r="AFQ171" s="302"/>
      <c r="AFR171" s="302"/>
      <c r="AFS171" s="302"/>
      <c r="AFT171" s="302"/>
      <c r="AFU171" s="302"/>
      <c r="AFV171" s="302"/>
      <c r="AFW171" s="302"/>
      <c r="AFX171" s="302"/>
      <c r="AFY171" s="302"/>
      <c r="AFZ171" s="302"/>
      <c r="AGA171" s="302"/>
      <c r="AGB171" s="302"/>
      <c r="AGC171" s="302"/>
      <c r="AGD171" s="302"/>
      <c r="AGE171" s="302"/>
      <c r="AGF171" s="302"/>
      <c r="AGG171" s="302"/>
      <c r="AGH171" s="302"/>
      <c r="AGI171" s="302"/>
      <c r="AGJ171" s="302"/>
      <c r="AGK171" s="302"/>
      <c r="AGL171" s="302"/>
      <c r="AGM171" s="302"/>
      <c r="AGN171" s="302"/>
      <c r="AGO171" s="302"/>
      <c r="AGP171" s="302"/>
      <c r="AGQ171" s="302"/>
      <c r="AGR171" s="302"/>
      <c r="AGS171" s="302"/>
      <c r="AGT171" s="302"/>
      <c r="AGU171" s="302"/>
      <c r="AGV171" s="302"/>
      <c r="AGW171" s="302"/>
      <c r="AGX171" s="302"/>
      <c r="AGY171" s="302"/>
      <c r="AGZ171" s="302"/>
      <c r="AHA171" s="302"/>
      <c r="AHB171" s="302"/>
      <c r="AHC171" s="302"/>
      <c r="AHD171" s="302"/>
      <c r="AHE171" s="302"/>
      <c r="AHF171" s="302"/>
      <c r="AHG171" s="302"/>
      <c r="AHH171" s="302"/>
      <c r="AHI171" s="302"/>
      <c r="AHJ171" s="302"/>
      <c r="AHK171" s="302"/>
      <c r="AHL171" s="302"/>
      <c r="AHM171" s="302"/>
      <c r="AHN171" s="302"/>
      <c r="AHO171" s="302"/>
      <c r="AHP171" s="302"/>
      <c r="AHQ171" s="302"/>
      <c r="AHR171" s="302"/>
      <c r="AHS171" s="302"/>
      <c r="AHT171" s="302"/>
      <c r="AHU171" s="302"/>
      <c r="AHV171" s="302"/>
      <c r="AHW171" s="302"/>
      <c r="AHX171" s="302"/>
      <c r="AHY171" s="302"/>
      <c r="AHZ171" s="302"/>
      <c r="AIA171" s="302"/>
      <c r="AIB171" s="302"/>
      <c r="AIC171" s="302"/>
      <c r="AID171" s="302"/>
      <c r="AIE171" s="302"/>
      <c r="AIF171" s="302"/>
      <c r="AIG171" s="302"/>
      <c r="AIH171" s="302"/>
      <c r="AII171" s="302"/>
      <c r="AIJ171" s="302"/>
      <c r="AIK171" s="302"/>
      <c r="AIL171" s="302"/>
      <c r="AIM171" s="302"/>
      <c r="AIN171" s="302"/>
      <c r="AIO171" s="302"/>
      <c r="AIP171" s="302"/>
      <c r="AIQ171" s="302"/>
      <c r="AIR171" s="302"/>
      <c r="AIS171" s="302"/>
      <c r="AIT171" s="302"/>
      <c r="AIU171" s="302"/>
      <c r="AIV171" s="302"/>
      <c r="AIW171" s="302"/>
      <c r="AIX171" s="302"/>
      <c r="AIY171" s="302"/>
      <c r="AIZ171" s="302"/>
      <c r="AJA171" s="302"/>
      <c r="AJB171" s="302"/>
      <c r="AJC171" s="302"/>
      <c r="AJD171" s="302"/>
      <c r="AJE171" s="302"/>
      <c r="AJF171" s="302"/>
      <c r="AJG171" s="302"/>
      <c r="AJH171" s="302"/>
      <c r="AJI171" s="302"/>
      <c r="AJJ171" s="302"/>
      <c r="AJK171" s="302"/>
      <c r="AJL171" s="302"/>
      <c r="AJM171" s="302"/>
      <c r="AJN171" s="302"/>
      <c r="AJO171" s="302"/>
      <c r="AJP171" s="302"/>
      <c r="AJQ171" s="302"/>
      <c r="AJR171" s="302"/>
      <c r="AJS171" s="302"/>
      <c r="AJT171" s="302"/>
      <c r="AJU171" s="302"/>
      <c r="AJV171" s="302"/>
      <c r="AJW171" s="302"/>
      <c r="AJX171" s="302"/>
      <c r="AJY171" s="302"/>
      <c r="AJZ171" s="302"/>
      <c r="AKA171" s="302"/>
      <c r="AKB171" s="302"/>
      <c r="AKC171" s="302"/>
      <c r="AKD171" s="302"/>
      <c r="AKE171" s="302"/>
      <c r="AKF171" s="302"/>
      <c r="AKG171" s="302"/>
      <c r="AKH171" s="302"/>
      <c r="AKI171" s="302"/>
      <c r="AKJ171" s="302"/>
      <c r="AKK171" s="302"/>
      <c r="AKL171" s="302"/>
      <c r="AKM171" s="302"/>
      <c r="AKN171" s="302"/>
      <c r="AKO171" s="302"/>
      <c r="AKP171" s="302"/>
      <c r="AKQ171" s="302"/>
      <c r="AKR171" s="302"/>
      <c r="AKS171" s="302"/>
      <c r="AKT171" s="302"/>
      <c r="AKU171" s="302"/>
      <c r="AKV171" s="302"/>
      <c r="AKW171" s="302"/>
      <c r="AKX171" s="302"/>
      <c r="AKY171" s="302"/>
      <c r="AKZ171" s="302"/>
      <c r="ALA171" s="302"/>
      <c r="ALB171" s="302"/>
      <c r="ALC171" s="302"/>
      <c r="ALD171" s="302"/>
      <c r="ALE171" s="302"/>
      <c r="ALF171" s="302"/>
      <c r="ALG171" s="302"/>
      <c r="ALH171" s="302"/>
      <c r="ALI171" s="302"/>
      <c r="ALJ171" s="302"/>
      <c r="ALK171" s="302"/>
      <c r="ALL171" s="302"/>
      <c r="ALM171" s="302"/>
      <c r="ALN171" s="302"/>
      <c r="ALO171" s="302"/>
      <c r="ALP171" s="302"/>
      <c r="ALQ171" s="302"/>
      <c r="ALR171" s="302"/>
      <c r="ALS171" s="302"/>
      <c r="ALT171" s="302"/>
      <c r="ALU171" s="302"/>
      <c r="ALV171" s="302"/>
      <c r="ALW171" s="302"/>
      <c r="ALX171" s="302"/>
      <c r="ALY171" s="302"/>
      <c r="ALZ171" s="302"/>
      <c r="AMA171" s="302"/>
      <c r="AMB171" s="302"/>
      <c r="AMC171" s="302"/>
      <c r="AMD171" s="302"/>
      <c r="AME171" s="302"/>
      <c r="AMF171" s="302"/>
      <c r="AMG171" s="302"/>
      <c r="AMH171" s="302"/>
      <c r="AMI171" s="302"/>
    </row>
    <row r="172" spans="1:1023" hidden="1">
      <c r="A172" s="302"/>
      <c r="B172" s="15">
        <v>13767</v>
      </c>
      <c r="C172" s="87">
        <v>0.08</v>
      </c>
      <c r="D172" s="16" t="s">
        <v>408</v>
      </c>
      <c r="E172" s="12">
        <v>2000000</v>
      </c>
      <c r="F172" s="365">
        <v>0.01</v>
      </c>
      <c r="G172" s="364">
        <f>E172*F172</f>
        <v>20000</v>
      </c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2"/>
      <c r="AE172" s="302"/>
      <c r="AF172" s="302"/>
      <c r="AG172" s="302"/>
      <c r="AH172" s="302"/>
      <c r="AI172" s="302"/>
      <c r="AJ172" s="302"/>
      <c r="AK172" s="302"/>
      <c r="AL172" s="302"/>
      <c r="AM172" s="302"/>
      <c r="AN172" s="302"/>
      <c r="AO172" s="302"/>
      <c r="AP172" s="302"/>
      <c r="AQ172" s="302"/>
      <c r="AR172" s="302"/>
      <c r="AS172" s="302"/>
      <c r="AT172" s="302"/>
      <c r="AU172" s="302"/>
      <c r="AV172" s="302"/>
      <c r="AW172" s="302"/>
      <c r="AX172" s="302"/>
      <c r="AY172" s="302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K172" s="302"/>
      <c r="BL172" s="302"/>
      <c r="BM172" s="302"/>
      <c r="BN172" s="302"/>
      <c r="BO172" s="302"/>
      <c r="BP172" s="302"/>
      <c r="BQ172" s="302"/>
      <c r="BR172" s="302"/>
      <c r="BS172" s="302"/>
      <c r="BT172" s="302"/>
      <c r="BU172" s="302"/>
      <c r="BV172" s="302"/>
      <c r="BW172" s="302"/>
      <c r="BX172" s="302"/>
      <c r="BY172" s="302"/>
      <c r="BZ172" s="302"/>
      <c r="CA172" s="302"/>
      <c r="CB172" s="302"/>
      <c r="CC172" s="302"/>
      <c r="CD172" s="302"/>
      <c r="CE172" s="302"/>
      <c r="CF172" s="302"/>
      <c r="CG172" s="302"/>
      <c r="CH172" s="302"/>
      <c r="CI172" s="302"/>
      <c r="CJ172" s="302"/>
      <c r="CK172" s="302"/>
      <c r="CL172" s="302"/>
      <c r="CM172" s="302"/>
      <c r="CN172" s="302"/>
      <c r="CO172" s="302"/>
      <c r="CP172" s="302"/>
      <c r="CQ172" s="302"/>
      <c r="CR172" s="302"/>
      <c r="CS172" s="302"/>
      <c r="CT172" s="302"/>
      <c r="CU172" s="302"/>
      <c r="CV172" s="302"/>
      <c r="CW172" s="302"/>
      <c r="CX172" s="302"/>
      <c r="CY172" s="302"/>
      <c r="CZ172" s="302"/>
      <c r="DA172" s="302"/>
      <c r="DB172" s="302"/>
      <c r="DC172" s="302"/>
      <c r="DD172" s="302"/>
      <c r="DE172" s="302"/>
      <c r="DF172" s="302"/>
      <c r="DG172" s="302"/>
      <c r="DH172" s="302"/>
      <c r="DI172" s="302"/>
      <c r="DJ172" s="302"/>
      <c r="DK172" s="302"/>
      <c r="DL172" s="302"/>
      <c r="DM172" s="302"/>
      <c r="DN172" s="302"/>
      <c r="DO172" s="302"/>
      <c r="DP172" s="302"/>
      <c r="DQ172" s="302"/>
      <c r="DR172" s="302"/>
      <c r="DS172" s="302"/>
      <c r="DT172" s="302"/>
      <c r="DU172" s="302"/>
      <c r="DV172" s="302"/>
      <c r="DW172" s="302"/>
      <c r="DX172" s="302"/>
      <c r="DY172" s="302"/>
      <c r="DZ172" s="302"/>
      <c r="EA172" s="302"/>
      <c r="EB172" s="302"/>
      <c r="EC172" s="302"/>
      <c r="ED172" s="302"/>
      <c r="EE172" s="302"/>
      <c r="EF172" s="302"/>
      <c r="EG172" s="302"/>
      <c r="EH172" s="302"/>
      <c r="EI172" s="302"/>
      <c r="EJ172" s="302"/>
      <c r="EK172" s="302"/>
      <c r="EL172" s="302"/>
      <c r="EM172" s="302"/>
      <c r="EN172" s="302"/>
      <c r="EO172" s="302"/>
      <c r="EP172" s="302"/>
      <c r="EQ172" s="302"/>
      <c r="ER172" s="302"/>
      <c r="ES172" s="302"/>
      <c r="ET172" s="302"/>
      <c r="EU172" s="302"/>
      <c r="EV172" s="302"/>
      <c r="EW172" s="302"/>
      <c r="EX172" s="302"/>
      <c r="EY172" s="302"/>
      <c r="EZ172" s="302"/>
      <c r="FA172" s="302"/>
      <c r="FB172" s="302"/>
      <c r="FC172" s="302"/>
      <c r="FD172" s="302"/>
      <c r="FE172" s="302"/>
      <c r="FF172" s="302"/>
      <c r="FG172" s="302"/>
      <c r="FH172" s="302"/>
      <c r="FI172" s="302"/>
      <c r="FJ172" s="302"/>
      <c r="FK172" s="302"/>
      <c r="FL172" s="302"/>
      <c r="FM172" s="302"/>
      <c r="FN172" s="302"/>
      <c r="FO172" s="302"/>
      <c r="FP172" s="302"/>
      <c r="FQ172" s="302"/>
      <c r="FR172" s="302"/>
      <c r="FS172" s="302"/>
      <c r="FT172" s="302"/>
      <c r="FU172" s="302"/>
      <c r="FV172" s="302"/>
      <c r="FW172" s="302"/>
      <c r="FX172" s="302"/>
      <c r="FY172" s="302"/>
      <c r="FZ172" s="302"/>
      <c r="GA172" s="302"/>
      <c r="GB172" s="302"/>
      <c r="GC172" s="302"/>
      <c r="GD172" s="302"/>
      <c r="GE172" s="302"/>
      <c r="GF172" s="302"/>
      <c r="GG172" s="302"/>
      <c r="GH172" s="302"/>
      <c r="GI172" s="302"/>
      <c r="GJ172" s="302"/>
      <c r="GK172" s="302"/>
      <c r="GL172" s="302"/>
      <c r="GM172" s="302"/>
      <c r="GN172" s="302"/>
      <c r="GO172" s="302"/>
      <c r="GP172" s="302"/>
      <c r="GQ172" s="302"/>
      <c r="GR172" s="302"/>
      <c r="GS172" s="302"/>
      <c r="GT172" s="302"/>
      <c r="GU172" s="302"/>
      <c r="GV172" s="302"/>
      <c r="GW172" s="302"/>
      <c r="GX172" s="302"/>
      <c r="GY172" s="302"/>
      <c r="GZ172" s="302"/>
      <c r="HA172" s="302"/>
      <c r="HB172" s="302"/>
      <c r="HC172" s="302"/>
      <c r="HD172" s="302"/>
      <c r="HE172" s="302"/>
      <c r="HF172" s="302"/>
      <c r="HG172" s="302"/>
      <c r="HH172" s="302"/>
      <c r="HI172" s="302"/>
      <c r="HJ172" s="302"/>
      <c r="HK172" s="302"/>
      <c r="HL172" s="302"/>
      <c r="HM172" s="302"/>
      <c r="HN172" s="302"/>
      <c r="HO172" s="302"/>
      <c r="HP172" s="302"/>
      <c r="HQ172" s="302"/>
      <c r="HR172" s="302"/>
      <c r="HS172" s="302"/>
      <c r="HT172" s="302"/>
      <c r="HU172" s="302"/>
      <c r="HV172" s="302"/>
      <c r="HW172" s="302"/>
      <c r="HX172" s="302"/>
      <c r="HY172" s="302"/>
      <c r="HZ172" s="302"/>
      <c r="IA172" s="302"/>
      <c r="IB172" s="302"/>
      <c r="IC172" s="302"/>
      <c r="ID172" s="302"/>
      <c r="IE172" s="302"/>
      <c r="IF172" s="302"/>
      <c r="IG172" s="302"/>
      <c r="IH172" s="302"/>
      <c r="II172" s="302"/>
      <c r="IJ172" s="302"/>
      <c r="IK172" s="302"/>
      <c r="IL172" s="302"/>
      <c r="IM172" s="302"/>
      <c r="IN172" s="302"/>
      <c r="IO172" s="302"/>
      <c r="IP172" s="302"/>
      <c r="IQ172" s="302"/>
      <c r="IR172" s="302"/>
      <c r="IS172" s="302"/>
      <c r="IT172" s="302"/>
      <c r="IU172" s="302"/>
      <c r="IV172" s="302"/>
      <c r="IW172" s="302"/>
      <c r="IX172" s="302"/>
      <c r="IY172" s="302"/>
      <c r="IZ172" s="302"/>
      <c r="JA172" s="302"/>
      <c r="JB172" s="302"/>
      <c r="JC172" s="302"/>
      <c r="JD172" s="302"/>
      <c r="JE172" s="302"/>
      <c r="JF172" s="302"/>
      <c r="JG172" s="302"/>
      <c r="JH172" s="302"/>
      <c r="JI172" s="302"/>
      <c r="JJ172" s="302"/>
      <c r="JK172" s="302"/>
      <c r="JL172" s="302"/>
      <c r="JM172" s="302"/>
      <c r="JN172" s="302"/>
      <c r="JO172" s="302"/>
      <c r="JP172" s="302"/>
      <c r="JQ172" s="302"/>
      <c r="JR172" s="302"/>
      <c r="JS172" s="302"/>
      <c r="JT172" s="302"/>
      <c r="JU172" s="302"/>
      <c r="JV172" s="302"/>
      <c r="JW172" s="302"/>
      <c r="JX172" s="302"/>
      <c r="JY172" s="302"/>
      <c r="JZ172" s="302"/>
      <c r="KA172" s="302"/>
      <c r="KB172" s="302"/>
      <c r="KC172" s="302"/>
      <c r="KD172" s="302"/>
      <c r="KE172" s="302"/>
      <c r="KF172" s="302"/>
      <c r="KG172" s="302"/>
      <c r="KH172" s="302"/>
      <c r="KI172" s="302"/>
      <c r="KJ172" s="302"/>
      <c r="KK172" s="302"/>
      <c r="KL172" s="302"/>
      <c r="KM172" s="302"/>
      <c r="KN172" s="302"/>
      <c r="KO172" s="302"/>
      <c r="KP172" s="302"/>
      <c r="KQ172" s="302"/>
      <c r="KR172" s="302"/>
      <c r="KS172" s="302"/>
      <c r="KT172" s="302"/>
      <c r="KU172" s="302"/>
      <c r="KV172" s="302"/>
      <c r="KW172" s="302"/>
      <c r="KX172" s="302"/>
      <c r="KY172" s="302"/>
      <c r="KZ172" s="302"/>
      <c r="LA172" s="302"/>
      <c r="LB172" s="302"/>
      <c r="LC172" s="302"/>
      <c r="LD172" s="302"/>
      <c r="LE172" s="302"/>
      <c r="LF172" s="302"/>
      <c r="LG172" s="302"/>
      <c r="LH172" s="302"/>
      <c r="LI172" s="302"/>
      <c r="LJ172" s="302"/>
      <c r="LK172" s="302"/>
      <c r="LL172" s="302"/>
      <c r="LM172" s="302"/>
      <c r="LN172" s="302"/>
      <c r="LO172" s="302"/>
      <c r="LP172" s="302"/>
      <c r="LQ172" s="302"/>
      <c r="LR172" s="302"/>
      <c r="LS172" s="302"/>
      <c r="LT172" s="302"/>
      <c r="LU172" s="302"/>
      <c r="LV172" s="302"/>
      <c r="LW172" s="302"/>
      <c r="LX172" s="302"/>
      <c r="LY172" s="302"/>
      <c r="LZ172" s="302"/>
      <c r="MA172" s="302"/>
      <c r="MB172" s="302"/>
      <c r="MC172" s="302"/>
      <c r="MD172" s="302"/>
      <c r="ME172" s="302"/>
      <c r="MF172" s="302"/>
      <c r="MG172" s="302"/>
      <c r="MH172" s="302"/>
      <c r="MI172" s="302"/>
      <c r="MJ172" s="302"/>
      <c r="MK172" s="302"/>
      <c r="ML172" s="302"/>
      <c r="MM172" s="302"/>
      <c r="MN172" s="302"/>
      <c r="MO172" s="302"/>
      <c r="MP172" s="302"/>
      <c r="MQ172" s="302"/>
      <c r="MR172" s="302"/>
      <c r="MS172" s="302"/>
      <c r="MT172" s="302"/>
      <c r="MU172" s="302"/>
      <c r="MV172" s="302"/>
      <c r="MW172" s="302"/>
      <c r="MX172" s="302"/>
      <c r="MY172" s="302"/>
      <c r="MZ172" s="302"/>
      <c r="NA172" s="302"/>
      <c r="NB172" s="302"/>
      <c r="NC172" s="302"/>
      <c r="ND172" s="302"/>
      <c r="NE172" s="302"/>
      <c r="NF172" s="302"/>
      <c r="NG172" s="302"/>
      <c r="NH172" s="302"/>
      <c r="NI172" s="302"/>
      <c r="NJ172" s="302"/>
      <c r="NK172" s="302"/>
      <c r="NL172" s="302"/>
      <c r="NM172" s="302"/>
      <c r="NN172" s="302"/>
      <c r="NO172" s="302"/>
      <c r="NP172" s="302"/>
      <c r="NQ172" s="302"/>
      <c r="NR172" s="302"/>
      <c r="NS172" s="302"/>
      <c r="NT172" s="302"/>
      <c r="NU172" s="302"/>
      <c r="NV172" s="302"/>
      <c r="NW172" s="302"/>
      <c r="NX172" s="302"/>
      <c r="NY172" s="302"/>
      <c r="NZ172" s="302"/>
      <c r="OA172" s="302"/>
      <c r="OB172" s="302"/>
      <c r="OC172" s="302"/>
      <c r="OD172" s="302"/>
      <c r="OE172" s="302"/>
      <c r="OF172" s="302"/>
      <c r="OG172" s="302"/>
      <c r="OH172" s="302"/>
      <c r="OI172" s="302"/>
      <c r="OJ172" s="302"/>
      <c r="OK172" s="302"/>
      <c r="OL172" s="302"/>
      <c r="OM172" s="302"/>
      <c r="ON172" s="302"/>
      <c r="OO172" s="302"/>
      <c r="OP172" s="302"/>
      <c r="OQ172" s="302"/>
      <c r="OR172" s="302"/>
      <c r="OS172" s="302"/>
      <c r="OT172" s="302"/>
      <c r="OU172" s="302"/>
      <c r="OV172" s="302"/>
      <c r="OW172" s="302"/>
      <c r="OX172" s="302"/>
      <c r="OY172" s="302"/>
      <c r="OZ172" s="302"/>
      <c r="PA172" s="302"/>
      <c r="PB172" s="302"/>
      <c r="PC172" s="302"/>
      <c r="PD172" s="302"/>
      <c r="PE172" s="302"/>
      <c r="PF172" s="302"/>
      <c r="PG172" s="302"/>
      <c r="PH172" s="302"/>
      <c r="PI172" s="302"/>
      <c r="PJ172" s="302"/>
      <c r="PK172" s="302"/>
      <c r="PL172" s="302"/>
      <c r="PM172" s="302"/>
      <c r="PN172" s="302"/>
      <c r="PO172" s="302"/>
      <c r="PP172" s="302"/>
      <c r="PQ172" s="302"/>
      <c r="PR172" s="302"/>
      <c r="PS172" s="302"/>
      <c r="PT172" s="302"/>
      <c r="PU172" s="302"/>
      <c r="PV172" s="302"/>
      <c r="PW172" s="302"/>
      <c r="PX172" s="302"/>
      <c r="PY172" s="302"/>
      <c r="PZ172" s="302"/>
      <c r="QA172" s="302"/>
      <c r="QB172" s="302"/>
      <c r="QC172" s="302"/>
      <c r="QD172" s="302"/>
      <c r="QE172" s="302"/>
      <c r="QF172" s="302"/>
      <c r="QG172" s="302"/>
      <c r="QH172" s="302"/>
      <c r="QI172" s="302"/>
      <c r="QJ172" s="302"/>
      <c r="QK172" s="302"/>
      <c r="QL172" s="302"/>
      <c r="QM172" s="302"/>
      <c r="QN172" s="302"/>
      <c r="QO172" s="302"/>
      <c r="QP172" s="302"/>
      <c r="QQ172" s="302"/>
      <c r="QR172" s="302"/>
      <c r="QS172" s="302"/>
      <c r="QT172" s="302"/>
      <c r="QU172" s="302"/>
      <c r="QV172" s="302"/>
      <c r="QW172" s="302"/>
      <c r="QX172" s="302"/>
      <c r="QY172" s="302"/>
      <c r="QZ172" s="302"/>
      <c r="RA172" s="302"/>
      <c r="RB172" s="302"/>
      <c r="RC172" s="302"/>
      <c r="RD172" s="302"/>
      <c r="RE172" s="302"/>
      <c r="RF172" s="302"/>
      <c r="RG172" s="302"/>
      <c r="RH172" s="302"/>
      <c r="RI172" s="302"/>
      <c r="RJ172" s="302"/>
      <c r="RK172" s="302"/>
      <c r="RL172" s="302"/>
      <c r="RM172" s="302"/>
      <c r="RN172" s="302"/>
      <c r="RO172" s="302"/>
      <c r="RP172" s="302"/>
      <c r="RQ172" s="302"/>
      <c r="RR172" s="302"/>
      <c r="RS172" s="302"/>
      <c r="RT172" s="302"/>
      <c r="RU172" s="302"/>
      <c r="RV172" s="302"/>
      <c r="RW172" s="302"/>
      <c r="RX172" s="302"/>
      <c r="RY172" s="302"/>
      <c r="RZ172" s="302"/>
      <c r="SA172" s="302"/>
      <c r="SB172" s="302"/>
      <c r="SC172" s="302"/>
      <c r="SD172" s="302"/>
      <c r="SE172" s="302"/>
      <c r="SF172" s="302"/>
      <c r="SG172" s="302"/>
      <c r="SH172" s="302"/>
      <c r="SI172" s="302"/>
      <c r="SJ172" s="302"/>
      <c r="SK172" s="302"/>
      <c r="SL172" s="302"/>
      <c r="SM172" s="302"/>
      <c r="SN172" s="302"/>
      <c r="SO172" s="302"/>
      <c r="SP172" s="302"/>
      <c r="SQ172" s="302"/>
      <c r="SR172" s="302"/>
      <c r="SS172" s="302"/>
      <c r="ST172" s="302"/>
      <c r="SU172" s="302"/>
      <c r="SV172" s="302"/>
      <c r="SW172" s="302"/>
      <c r="SX172" s="302"/>
      <c r="SY172" s="302"/>
      <c r="SZ172" s="302"/>
      <c r="TA172" s="302"/>
      <c r="TB172" s="302"/>
      <c r="TC172" s="302"/>
      <c r="TD172" s="302"/>
      <c r="TE172" s="302"/>
      <c r="TF172" s="302"/>
      <c r="TG172" s="302"/>
      <c r="TH172" s="302"/>
      <c r="TI172" s="302"/>
      <c r="TJ172" s="302"/>
      <c r="TK172" s="302"/>
      <c r="TL172" s="302"/>
      <c r="TM172" s="302"/>
      <c r="TN172" s="302"/>
      <c r="TO172" s="302"/>
      <c r="TP172" s="302"/>
      <c r="TQ172" s="302"/>
      <c r="TR172" s="302"/>
      <c r="TS172" s="302"/>
      <c r="TT172" s="302"/>
      <c r="TU172" s="302"/>
      <c r="TV172" s="302"/>
      <c r="TW172" s="302"/>
      <c r="TX172" s="302"/>
      <c r="TY172" s="302"/>
      <c r="TZ172" s="302"/>
      <c r="UA172" s="302"/>
      <c r="UB172" s="302"/>
      <c r="UC172" s="302"/>
      <c r="UD172" s="302"/>
      <c r="UE172" s="302"/>
      <c r="UF172" s="302"/>
      <c r="UG172" s="302"/>
      <c r="UH172" s="302"/>
      <c r="UI172" s="302"/>
      <c r="UJ172" s="302"/>
      <c r="UK172" s="302"/>
      <c r="UL172" s="302"/>
      <c r="UM172" s="302"/>
      <c r="UN172" s="302"/>
      <c r="UO172" s="302"/>
      <c r="UP172" s="302"/>
      <c r="UQ172" s="302"/>
      <c r="UR172" s="302"/>
      <c r="US172" s="302"/>
      <c r="UT172" s="302"/>
      <c r="UU172" s="302"/>
      <c r="UV172" s="302"/>
      <c r="UW172" s="302"/>
      <c r="UX172" s="302"/>
      <c r="UY172" s="302"/>
      <c r="UZ172" s="302"/>
      <c r="VA172" s="302"/>
      <c r="VB172" s="302"/>
      <c r="VC172" s="302"/>
      <c r="VD172" s="302"/>
      <c r="VE172" s="302"/>
      <c r="VF172" s="302"/>
      <c r="VG172" s="302"/>
      <c r="VH172" s="302"/>
      <c r="VI172" s="302"/>
      <c r="VJ172" s="302"/>
      <c r="VK172" s="302"/>
      <c r="VL172" s="302"/>
      <c r="VM172" s="302"/>
      <c r="VN172" s="302"/>
      <c r="VO172" s="302"/>
      <c r="VP172" s="302"/>
      <c r="VQ172" s="302"/>
      <c r="VR172" s="302"/>
      <c r="VS172" s="302"/>
      <c r="VT172" s="302"/>
      <c r="VU172" s="302"/>
      <c r="VV172" s="302"/>
      <c r="VW172" s="302"/>
      <c r="VX172" s="302"/>
      <c r="VY172" s="302"/>
      <c r="VZ172" s="302"/>
      <c r="WA172" s="302"/>
      <c r="WB172" s="302"/>
      <c r="WC172" s="302"/>
      <c r="WD172" s="302"/>
      <c r="WE172" s="302"/>
      <c r="WF172" s="302"/>
      <c r="WG172" s="302"/>
      <c r="WH172" s="302"/>
      <c r="WI172" s="302"/>
      <c r="WJ172" s="302"/>
      <c r="WK172" s="302"/>
      <c r="WL172" s="302"/>
      <c r="WM172" s="302"/>
      <c r="WN172" s="302"/>
      <c r="WO172" s="302"/>
      <c r="WP172" s="302"/>
      <c r="WQ172" s="302"/>
      <c r="WR172" s="302"/>
      <c r="WS172" s="302"/>
      <c r="WT172" s="302"/>
      <c r="WU172" s="302"/>
      <c r="WV172" s="302"/>
      <c r="WW172" s="302"/>
      <c r="WX172" s="302"/>
      <c r="WY172" s="302"/>
      <c r="WZ172" s="302"/>
      <c r="XA172" s="302"/>
      <c r="XB172" s="302"/>
      <c r="XC172" s="302"/>
      <c r="XD172" s="302"/>
      <c r="XE172" s="302"/>
      <c r="XF172" s="302"/>
      <c r="XG172" s="302"/>
      <c r="XH172" s="302"/>
      <c r="XI172" s="302"/>
      <c r="XJ172" s="302"/>
      <c r="XK172" s="302"/>
      <c r="XL172" s="302"/>
      <c r="XM172" s="302"/>
      <c r="XN172" s="302"/>
      <c r="XO172" s="302"/>
      <c r="XP172" s="302"/>
      <c r="XQ172" s="302"/>
      <c r="XR172" s="302"/>
      <c r="XS172" s="302"/>
      <c r="XT172" s="302"/>
      <c r="XU172" s="302"/>
      <c r="XV172" s="302"/>
      <c r="XW172" s="302"/>
      <c r="XX172" s="302"/>
      <c r="XY172" s="302"/>
      <c r="XZ172" s="302"/>
      <c r="YA172" s="302"/>
      <c r="YB172" s="302"/>
      <c r="YC172" s="302"/>
      <c r="YD172" s="302"/>
      <c r="YE172" s="302"/>
      <c r="YF172" s="302"/>
      <c r="YG172" s="302"/>
      <c r="YH172" s="302"/>
      <c r="YI172" s="302"/>
      <c r="YJ172" s="302"/>
      <c r="YK172" s="302"/>
      <c r="YL172" s="302"/>
      <c r="YM172" s="302"/>
      <c r="YN172" s="302"/>
      <c r="YO172" s="302"/>
      <c r="YP172" s="302"/>
      <c r="YQ172" s="302"/>
      <c r="YR172" s="302"/>
      <c r="YS172" s="302"/>
      <c r="YT172" s="302"/>
      <c r="YU172" s="302"/>
      <c r="YV172" s="302"/>
      <c r="YW172" s="302"/>
      <c r="YX172" s="302"/>
      <c r="YY172" s="302"/>
      <c r="YZ172" s="302"/>
      <c r="ZA172" s="302"/>
      <c r="ZB172" s="302"/>
      <c r="ZC172" s="302"/>
      <c r="ZD172" s="302"/>
      <c r="ZE172" s="302"/>
      <c r="ZF172" s="302"/>
      <c r="ZG172" s="302"/>
      <c r="ZH172" s="302"/>
      <c r="ZI172" s="302"/>
      <c r="ZJ172" s="302"/>
      <c r="ZK172" s="302"/>
      <c r="ZL172" s="302"/>
      <c r="ZM172" s="302"/>
      <c r="ZN172" s="302"/>
      <c r="ZO172" s="302"/>
      <c r="ZP172" s="302"/>
      <c r="ZQ172" s="302"/>
      <c r="ZR172" s="302"/>
      <c r="ZS172" s="302"/>
      <c r="ZT172" s="302"/>
      <c r="ZU172" s="302"/>
      <c r="ZV172" s="302"/>
      <c r="ZW172" s="302"/>
      <c r="ZX172" s="302"/>
      <c r="ZY172" s="302"/>
      <c r="ZZ172" s="302"/>
      <c r="AAA172" s="302"/>
      <c r="AAB172" s="302"/>
      <c r="AAC172" s="302"/>
      <c r="AAD172" s="302"/>
      <c r="AAE172" s="302"/>
      <c r="AAF172" s="302"/>
      <c r="AAG172" s="302"/>
      <c r="AAH172" s="302"/>
      <c r="AAI172" s="302"/>
      <c r="AAJ172" s="302"/>
      <c r="AAK172" s="302"/>
      <c r="AAL172" s="302"/>
      <c r="AAM172" s="302"/>
      <c r="AAN172" s="302"/>
      <c r="AAO172" s="302"/>
      <c r="AAP172" s="302"/>
      <c r="AAQ172" s="302"/>
      <c r="AAR172" s="302"/>
      <c r="AAS172" s="302"/>
      <c r="AAT172" s="302"/>
      <c r="AAU172" s="302"/>
      <c r="AAV172" s="302"/>
      <c r="AAW172" s="302"/>
      <c r="AAX172" s="302"/>
      <c r="AAY172" s="302"/>
      <c r="AAZ172" s="302"/>
      <c r="ABA172" s="302"/>
      <c r="ABB172" s="302"/>
      <c r="ABC172" s="302"/>
      <c r="ABD172" s="302"/>
      <c r="ABE172" s="302"/>
      <c r="ABF172" s="302"/>
      <c r="ABG172" s="302"/>
      <c r="ABH172" s="302"/>
      <c r="ABI172" s="302"/>
      <c r="ABJ172" s="302"/>
      <c r="ABK172" s="302"/>
      <c r="ABL172" s="302"/>
      <c r="ABM172" s="302"/>
      <c r="ABN172" s="302"/>
      <c r="ABO172" s="302"/>
      <c r="ABP172" s="302"/>
      <c r="ABQ172" s="302"/>
      <c r="ABR172" s="302"/>
      <c r="ABS172" s="302"/>
      <c r="ABT172" s="302"/>
      <c r="ABU172" s="302"/>
      <c r="ABV172" s="302"/>
      <c r="ABW172" s="302"/>
      <c r="ABX172" s="302"/>
      <c r="ABY172" s="302"/>
      <c r="ABZ172" s="302"/>
      <c r="ACA172" s="302"/>
      <c r="ACB172" s="302"/>
      <c r="ACC172" s="302"/>
      <c r="ACD172" s="302"/>
      <c r="ACE172" s="302"/>
      <c r="ACF172" s="302"/>
      <c r="ACG172" s="302"/>
      <c r="ACH172" s="302"/>
      <c r="ACI172" s="302"/>
      <c r="ACJ172" s="302"/>
      <c r="ACK172" s="302"/>
      <c r="ACL172" s="302"/>
      <c r="ACM172" s="302"/>
      <c r="ACN172" s="302"/>
      <c r="ACO172" s="302"/>
      <c r="ACP172" s="302"/>
      <c r="ACQ172" s="302"/>
      <c r="ACR172" s="302"/>
      <c r="ACS172" s="302"/>
      <c r="ACT172" s="302"/>
      <c r="ACU172" s="302"/>
      <c r="ACV172" s="302"/>
      <c r="ACW172" s="302"/>
      <c r="ACX172" s="302"/>
      <c r="ACY172" s="302"/>
      <c r="ACZ172" s="302"/>
      <c r="ADA172" s="302"/>
      <c r="ADB172" s="302"/>
      <c r="ADC172" s="302"/>
      <c r="ADD172" s="302"/>
      <c r="ADE172" s="302"/>
      <c r="ADF172" s="302"/>
      <c r="ADG172" s="302"/>
      <c r="ADH172" s="302"/>
      <c r="ADI172" s="302"/>
      <c r="ADJ172" s="302"/>
      <c r="ADK172" s="302"/>
      <c r="ADL172" s="302"/>
      <c r="ADM172" s="302"/>
      <c r="ADN172" s="302"/>
      <c r="ADO172" s="302"/>
      <c r="ADP172" s="302"/>
      <c r="ADQ172" s="302"/>
      <c r="ADR172" s="302"/>
      <c r="ADS172" s="302"/>
      <c r="ADT172" s="302"/>
      <c r="ADU172" s="302"/>
      <c r="ADV172" s="302"/>
      <c r="ADW172" s="302"/>
      <c r="ADX172" s="302"/>
      <c r="ADY172" s="302"/>
      <c r="ADZ172" s="302"/>
      <c r="AEA172" s="302"/>
      <c r="AEB172" s="302"/>
      <c r="AEC172" s="302"/>
      <c r="AED172" s="302"/>
      <c r="AEE172" s="302"/>
      <c r="AEF172" s="302"/>
      <c r="AEG172" s="302"/>
      <c r="AEH172" s="302"/>
      <c r="AEI172" s="302"/>
      <c r="AEJ172" s="302"/>
      <c r="AEK172" s="302"/>
      <c r="AEL172" s="302"/>
      <c r="AEM172" s="302"/>
      <c r="AEN172" s="302"/>
      <c r="AEO172" s="302"/>
      <c r="AEP172" s="302"/>
      <c r="AEQ172" s="302"/>
      <c r="AER172" s="302"/>
      <c r="AES172" s="302"/>
      <c r="AET172" s="302"/>
      <c r="AEU172" s="302"/>
      <c r="AEV172" s="302"/>
      <c r="AEW172" s="302"/>
      <c r="AEX172" s="302"/>
      <c r="AEY172" s="302"/>
      <c r="AEZ172" s="302"/>
      <c r="AFA172" s="302"/>
      <c r="AFB172" s="302"/>
      <c r="AFC172" s="302"/>
      <c r="AFD172" s="302"/>
      <c r="AFE172" s="302"/>
      <c r="AFF172" s="302"/>
      <c r="AFG172" s="302"/>
      <c r="AFH172" s="302"/>
      <c r="AFI172" s="302"/>
      <c r="AFJ172" s="302"/>
      <c r="AFK172" s="302"/>
      <c r="AFL172" s="302"/>
      <c r="AFM172" s="302"/>
      <c r="AFN172" s="302"/>
      <c r="AFO172" s="302"/>
      <c r="AFP172" s="302"/>
      <c r="AFQ172" s="302"/>
      <c r="AFR172" s="302"/>
      <c r="AFS172" s="302"/>
      <c r="AFT172" s="302"/>
      <c r="AFU172" s="302"/>
      <c r="AFV172" s="302"/>
      <c r="AFW172" s="302"/>
      <c r="AFX172" s="302"/>
      <c r="AFY172" s="302"/>
      <c r="AFZ172" s="302"/>
      <c r="AGA172" s="302"/>
      <c r="AGB172" s="302"/>
      <c r="AGC172" s="302"/>
      <c r="AGD172" s="302"/>
      <c r="AGE172" s="302"/>
      <c r="AGF172" s="302"/>
      <c r="AGG172" s="302"/>
      <c r="AGH172" s="302"/>
      <c r="AGI172" s="302"/>
      <c r="AGJ172" s="302"/>
      <c r="AGK172" s="302"/>
      <c r="AGL172" s="302"/>
      <c r="AGM172" s="302"/>
      <c r="AGN172" s="302"/>
      <c r="AGO172" s="302"/>
      <c r="AGP172" s="302"/>
      <c r="AGQ172" s="302"/>
      <c r="AGR172" s="302"/>
      <c r="AGS172" s="302"/>
      <c r="AGT172" s="302"/>
      <c r="AGU172" s="302"/>
      <c r="AGV172" s="302"/>
      <c r="AGW172" s="302"/>
      <c r="AGX172" s="302"/>
      <c r="AGY172" s="302"/>
      <c r="AGZ172" s="302"/>
      <c r="AHA172" s="302"/>
      <c r="AHB172" s="302"/>
      <c r="AHC172" s="302"/>
      <c r="AHD172" s="302"/>
      <c r="AHE172" s="302"/>
      <c r="AHF172" s="302"/>
      <c r="AHG172" s="302"/>
      <c r="AHH172" s="302"/>
      <c r="AHI172" s="302"/>
      <c r="AHJ172" s="302"/>
      <c r="AHK172" s="302"/>
      <c r="AHL172" s="302"/>
      <c r="AHM172" s="302"/>
      <c r="AHN172" s="302"/>
      <c r="AHO172" s="302"/>
      <c r="AHP172" s="302"/>
      <c r="AHQ172" s="302"/>
      <c r="AHR172" s="302"/>
      <c r="AHS172" s="302"/>
      <c r="AHT172" s="302"/>
      <c r="AHU172" s="302"/>
      <c r="AHV172" s="302"/>
      <c r="AHW172" s="302"/>
      <c r="AHX172" s="302"/>
      <c r="AHY172" s="302"/>
      <c r="AHZ172" s="302"/>
      <c r="AIA172" s="302"/>
      <c r="AIB172" s="302"/>
      <c r="AIC172" s="302"/>
      <c r="AID172" s="302"/>
      <c r="AIE172" s="302"/>
      <c r="AIF172" s="302"/>
      <c r="AIG172" s="302"/>
      <c r="AIH172" s="302"/>
      <c r="AII172" s="302"/>
      <c r="AIJ172" s="302"/>
      <c r="AIK172" s="302"/>
      <c r="AIL172" s="302"/>
      <c r="AIM172" s="302"/>
      <c r="AIN172" s="302"/>
      <c r="AIO172" s="302"/>
      <c r="AIP172" s="302"/>
      <c r="AIQ172" s="302"/>
      <c r="AIR172" s="302"/>
      <c r="AIS172" s="302"/>
      <c r="AIT172" s="302"/>
      <c r="AIU172" s="302"/>
      <c r="AIV172" s="302"/>
      <c r="AIW172" s="302"/>
      <c r="AIX172" s="302"/>
      <c r="AIY172" s="302"/>
      <c r="AIZ172" s="302"/>
      <c r="AJA172" s="302"/>
      <c r="AJB172" s="302"/>
      <c r="AJC172" s="302"/>
      <c r="AJD172" s="302"/>
      <c r="AJE172" s="302"/>
      <c r="AJF172" s="302"/>
      <c r="AJG172" s="302"/>
      <c r="AJH172" s="302"/>
      <c r="AJI172" s="302"/>
      <c r="AJJ172" s="302"/>
      <c r="AJK172" s="302"/>
      <c r="AJL172" s="302"/>
      <c r="AJM172" s="302"/>
      <c r="AJN172" s="302"/>
      <c r="AJO172" s="302"/>
      <c r="AJP172" s="302"/>
      <c r="AJQ172" s="302"/>
      <c r="AJR172" s="302"/>
      <c r="AJS172" s="302"/>
      <c r="AJT172" s="302"/>
      <c r="AJU172" s="302"/>
      <c r="AJV172" s="302"/>
      <c r="AJW172" s="302"/>
      <c r="AJX172" s="302"/>
      <c r="AJY172" s="302"/>
      <c r="AJZ172" s="302"/>
      <c r="AKA172" s="302"/>
      <c r="AKB172" s="302"/>
      <c r="AKC172" s="302"/>
      <c r="AKD172" s="302"/>
      <c r="AKE172" s="302"/>
      <c r="AKF172" s="302"/>
      <c r="AKG172" s="302"/>
      <c r="AKH172" s="302"/>
      <c r="AKI172" s="302"/>
      <c r="AKJ172" s="302"/>
      <c r="AKK172" s="302"/>
      <c r="AKL172" s="302"/>
      <c r="AKM172" s="302"/>
      <c r="AKN172" s="302"/>
      <c r="AKO172" s="302"/>
      <c r="AKP172" s="302"/>
      <c r="AKQ172" s="302"/>
      <c r="AKR172" s="302"/>
      <c r="AKS172" s="302"/>
      <c r="AKT172" s="302"/>
      <c r="AKU172" s="302"/>
      <c r="AKV172" s="302"/>
      <c r="AKW172" s="302"/>
      <c r="AKX172" s="302"/>
      <c r="AKY172" s="302"/>
      <c r="AKZ172" s="302"/>
      <c r="ALA172" s="302"/>
      <c r="ALB172" s="302"/>
      <c r="ALC172" s="302"/>
      <c r="ALD172" s="302"/>
      <c r="ALE172" s="302"/>
      <c r="ALF172" s="302"/>
      <c r="ALG172" s="302"/>
      <c r="ALH172" s="302"/>
      <c r="ALI172" s="302"/>
      <c r="ALJ172" s="302"/>
      <c r="ALK172" s="302"/>
      <c r="ALL172" s="302"/>
      <c r="ALM172" s="302"/>
      <c r="ALN172" s="302"/>
      <c r="ALO172" s="302"/>
      <c r="ALP172" s="302"/>
      <c r="ALQ172" s="302"/>
      <c r="ALR172" s="302"/>
      <c r="ALS172" s="302"/>
      <c r="ALT172" s="302"/>
      <c r="ALU172" s="302"/>
      <c r="ALV172" s="302"/>
      <c r="ALW172" s="302"/>
      <c r="ALX172" s="302"/>
      <c r="ALY172" s="302"/>
      <c r="ALZ172" s="302"/>
      <c r="AMA172" s="302"/>
      <c r="AMB172" s="302"/>
      <c r="AMC172" s="302"/>
      <c r="AMD172" s="302"/>
      <c r="AME172" s="302"/>
      <c r="AMF172" s="302"/>
      <c r="AMG172" s="302"/>
      <c r="AMH172" s="302"/>
      <c r="AMI172" s="302"/>
    </row>
    <row r="173" spans="1:1023" hidden="1">
      <c r="A173" s="302"/>
      <c r="B173" s="15">
        <v>13720</v>
      </c>
      <c r="C173" s="113">
        <v>0.1</v>
      </c>
      <c r="D173" s="16" t="s">
        <v>105</v>
      </c>
      <c r="E173" s="12">
        <v>1650000</v>
      </c>
      <c r="F173" s="363">
        <v>0.02</v>
      </c>
      <c r="G173" s="364">
        <f>E173*F173</f>
        <v>33000</v>
      </c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2"/>
      <c r="AG173" s="302"/>
      <c r="AH173" s="302"/>
      <c r="AI173" s="302"/>
      <c r="AJ173" s="302"/>
      <c r="AK173" s="302"/>
      <c r="AL173" s="302"/>
      <c r="AM173" s="302"/>
      <c r="AN173" s="302"/>
      <c r="AO173" s="302"/>
      <c r="AP173" s="302"/>
      <c r="AQ173" s="302"/>
      <c r="AR173" s="302"/>
      <c r="AS173" s="302"/>
      <c r="AT173" s="302"/>
      <c r="AU173" s="302"/>
      <c r="AV173" s="302"/>
      <c r="AW173" s="302"/>
      <c r="AX173" s="302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302"/>
      <c r="BN173" s="302"/>
      <c r="BO173" s="302"/>
      <c r="BP173" s="302"/>
      <c r="BQ173" s="302"/>
      <c r="BR173" s="302"/>
      <c r="BS173" s="302"/>
      <c r="BT173" s="302"/>
      <c r="BU173" s="302"/>
      <c r="BV173" s="302"/>
      <c r="BW173" s="302"/>
      <c r="BX173" s="302"/>
      <c r="BY173" s="302"/>
      <c r="BZ173" s="302"/>
      <c r="CA173" s="302"/>
      <c r="CB173" s="302"/>
      <c r="CC173" s="302"/>
      <c r="CD173" s="302"/>
      <c r="CE173" s="302"/>
      <c r="CF173" s="302"/>
      <c r="CG173" s="302"/>
      <c r="CH173" s="302"/>
      <c r="CI173" s="302"/>
      <c r="CJ173" s="302"/>
      <c r="CK173" s="302"/>
      <c r="CL173" s="302"/>
      <c r="CM173" s="302"/>
      <c r="CN173" s="302"/>
      <c r="CO173" s="302"/>
      <c r="CP173" s="302"/>
      <c r="CQ173" s="302"/>
      <c r="CR173" s="302"/>
      <c r="CS173" s="302"/>
      <c r="CT173" s="302"/>
      <c r="CU173" s="302"/>
      <c r="CV173" s="302"/>
      <c r="CW173" s="302"/>
      <c r="CX173" s="302"/>
      <c r="CY173" s="302"/>
      <c r="CZ173" s="302"/>
      <c r="DA173" s="302"/>
      <c r="DB173" s="302"/>
      <c r="DC173" s="302"/>
      <c r="DD173" s="302"/>
      <c r="DE173" s="302"/>
      <c r="DF173" s="302"/>
      <c r="DG173" s="302"/>
      <c r="DH173" s="302"/>
      <c r="DI173" s="302"/>
      <c r="DJ173" s="302"/>
      <c r="DK173" s="302"/>
      <c r="DL173" s="302"/>
      <c r="DM173" s="302"/>
      <c r="DN173" s="302"/>
      <c r="DO173" s="302"/>
      <c r="DP173" s="302"/>
      <c r="DQ173" s="302"/>
      <c r="DR173" s="302"/>
      <c r="DS173" s="302"/>
      <c r="DT173" s="302"/>
      <c r="DU173" s="302"/>
      <c r="DV173" s="302"/>
      <c r="DW173" s="302"/>
      <c r="DX173" s="302"/>
      <c r="DY173" s="302"/>
      <c r="DZ173" s="302"/>
      <c r="EA173" s="302"/>
      <c r="EB173" s="302"/>
      <c r="EC173" s="302"/>
      <c r="ED173" s="302"/>
      <c r="EE173" s="302"/>
      <c r="EF173" s="302"/>
      <c r="EG173" s="302"/>
      <c r="EH173" s="302"/>
      <c r="EI173" s="302"/>
      <c r="EJ173" s="302"/>
      <c r="EK173" s="302"/>
      <c r="EL173" s="302"/>
      <c r="EM173" s="302"/>
      <c r="EN173" s="302"/>
      <c r="EO173" s="302"/>
      <c r="EP173" s="302"/>
      <c r="EQ173" s="302"/>
      <c r="ER173" s="302"/>
      <c r="ES173" s="302"/>
      <c r="ET173" s="302"/>
      <c r="EU173" s="302"/>
      <c r="EV173" s="302"/>
      <c r="EW173" s="302"/>
      <c r="EX173" s="302"/>
      <c r="EY173" s="302"/>
      <c r="EZ173" s="302"/>
      <c r="FA173" s="302"/>
      <c r="FB173" s="302"/>
      <c r="FC173" s="302"/>
      <c r="FD173" s="302"/>
      <c r="FE173" s="302"/>
      <c r="FF173" s="302"/>
      <c r="FG173" s="302"/>
      <c r="FH173" s="302"/>
      <c r="FI173" s="302"/>
      <c r="FJ173" s="302"/>
      <c r="FK173" s="302"/>
      <c r="FL173" s="302"/>
      <c r="FM173" s="302"/>
      <c r="FN173" s="302"/>
      <c r="FO173" s="302"/>
      <c r="FP173" s="302"/>
      <c r="FQ173" s="302"/>
      <c r="FR173" s="302"/>
      <c r="FS173" s="302"/>
      <c r="FT173" s="302"/>
      <c r="FU173" s="302"/>
      <c r="FV173" s="302"/>
      <c r="FW173" s="302"/>
      <c r="FX173" s="302"/>
      <c r="FY173" s="302"/>
      <c r="FZ173" s="302"/>
      <c r="GA173" s="302"/>
      <c r="GB173" s="302"/>
      <c r="GC173" s="302"/>
      <c r="GD173" s="302"/>
      <c r="GE173" s="302"/>
      <c r="GF173" s="302"/>
      <c r="GG173" s="302"/>
      <c r="GH173" s="302"/>
      <c r="GI173" s="302"/>
      <c r="GJ173" s="302"/>
      <c r="GK173" s="302"/>
      <c r="GL173" s="302"/>
      <c r="GM173" s="302"/>
      <c r="GN173" s="302"/>
      <c r="GO173" s="302"/>
      <c r="GP173" s="302"/>
      <c r="GQ173" s="302"/>
      <c r="GR173" s="302"/>
      <c r="GS173" s="302"/>
      <c r="GT173" s="302"/>
      <c r="GU173" s="302"/>
      <c r="GV173" s="302"/>
      <c r="GW173" s="302"/>
      <c r="GX173" s="302"/>
      <c r="GY173" s="302"/>
      <c r="GZ173" s="302"/>
      <c r="HA173" s="302"/>
      <c r="HB173" s="302"/>
      <c r="HC173" s="302"/>
      <c r="HD173" s="302"/>
      <c r="HE173" s="302"/>
      <c r="HF173" s="302"/>
      <c r="HG173" s="302"/>
      <c r="HH173" s="302"/>
      <c r="HI173" s="302"/>
      <c r="HJ173" s="302"/>
      <c r="HK173" s="302"/>
      <c r="HL173" s="302"/>
      <c r="HM173" s="302"/>
      <c r="HN173" s="302"/>
      <c r="HO173" s="302"/>
      <c r="HP173" s="302"/>
      <c r="HQ173" s="302"/>
      <c r="HR173" s="302"/>
      <c r="HS173" s="302"/>
      <c r="HT173" s="302"/>
      <c r="HU173" s="302"/>
      <c r="HV173" s="302"/>
      <c r="HW173" s="302"/>
      <c r="HX173" s="302"/>
      <c r="HY173" s="302"/>
      <c r="HZ173" s="302"/>
      <c r="IA173" s="302"/>
      <c r="IB173" s="302"/>
      <c r="IC173" s="302"/>
      <c r="ID173" s="302"/>
      <c r="IE173" s="302"/>
      <c r="IF173" s="302"/>
      <c r="IG173" s="302"/>
      <c r="IH173" s="302"/>
      <c r="II173" s="302"/>
      <c r="IJ173" s="302"/>
      <c r="IK173" s="302"/>
      <c r="IL173" s="302"/>
      <c r="IM173" s="302"/>
      <c r="IN173" s="302"/>
      <c r="IO173" s="302"/>
      <c r="IP173" s="302"/>
      <c r="IQ173" s="302"/>
      <c r="IR173" s="302"/>
      <c r="IS173" s="302"/>
      <c r="IT173" s="302"/>
      <c r="IU173" s="302"/>
      <c r="IV173" s="302"/>
      <c r="IW173" s="302"/>
      <c r="IX173" s="302"/>
      <c r="IY173" s="302"/>
      <c r="IZ173" s="302"/>
      <c r="JA173" s="302"/>
      <c r="JB173" s="302"/>
      <c r="JC173" s="302"/>
      <c r="JD173" s="302"/>
      <c r="JE173" s="302"/>
      <c r="JF173" s="302"/>
      <c r="JG173" s="302"/>
      <c r="JH173" s="302"/>
      <c r="JI173" s="302"/>
      <c r="JJ173" s="302"/>
      <c r="JK173" s="302"/>
      <c r="JL173" s="302"/>
      <c r="JM173" s="302"/>
      <c r="JN173" s="302"/>
      <c r="JO173" s="302"/>
      <c r="JP173" s="302"/>
      <c r="JQ173" s="302"/>
      <c r="JR173" s="302"/>
      <c r="JS173" s="302"/>
      <c r="JT173" s="302"/>
      <c r="JU173" s="302"/>
      <c r="JV173" s="302"/>
      <c r="JW173" s="302"/>
      <c r="JX173" s="302"/>
      <c r="JY173" s="302"/>
      <c r="JZ173" s="302"/>
      <c r="KA173" s="302"/>
      <c r="KB173" s="302"/>
      <c r="KC173" s="302"/>
      <c r="KD173" s="302"/>
      <c r="KE173" s="302"/>
      <c r="KF173" s="302"/>
      <c r="KG173" s="302"/>
      <c r="KH173" s="302"/>
      <c r="KI173" s="302"/>
      <c r="KJ173" s="302"/>
      <c r="KK173" s="302"/>
      <c r="KL173" s="302"/>
      <c r="KM173" s="302"/>
      <c r="KN173" s="302"/>
      <c r="KO173" s="302"/>
      <c r="KP173" s="302"/>
      <c r="KQ173" s="302"/>
      <c r="KR173" s="302"/>
      <c r="KS173" s="302"/>
      <c r="KT173" s="302"/>
      <c r="KU173" s="302"/>
      <c r="KV173" s="302"/>
      <c r="KW173" s="302"/>
      <c r="KX173" s="302"/>
      <c r="KY173" s="302"/>
      <c r="KZ173" s="302"/>
      <c r="LA173" s="302"/>
      <c r="LB173" s="302"/>
      <c r="LC173" s="302"/>
      <c r="LD173" s="302"/>
      <c r="LE173" s="302"/>
      <c r="LF173" s="302"/>
      <c r="LG173" s="302"/>
      <c r="LH173" s="302"/>
      <c r="LI173" s="302"/>
      <c r="LJ173" s="302"/>
      <c r="LK173" s="302"/>
      <c r="LL173" s="302"/>
      <c r="LM173" s="302"/>
      <c r="LN173" s="302"/>
      <c r="LO173" s="302"/>
      <c r="LP173" s="302"/>
      <c r="LQ173" s="302"/>
      <c r="LR173" s="302"/>
      <c r="LS173" s="302"/>
      <c r="LT173" s="302"/>
      <c r="LU173" s="302"/>
      <c r="LV173" s="302"/>
      <c r="LW173" s="302"/>
      <c r="LX173" s="302"/>
      <c r="LY173" s="302"/>
      <c r="LZ173" s="302"/>
      <c r="MA173" s="302"/>
      <c r="MB173" s="302"/>
      <c r="MC173" s="302"/>
      <c r="MD173" s="302"/>
      <c r="ME173" s="302"/>
      <c r="MF173" s="302"/>
      <c r="MG173" s="302"/>
      <c r="MH173" s="302"/>
      <c r="MI173" s="302"/>
      <c r="MJ173" s="302"/>
      <c r="MK173" s="302"/>
      <c r="ML173" s="302"/>
      <c r="MM173" s="302"/>
      <c r="MN173" s="302"/>
      <c r="MO173" s="302"/>
      <c r="MP173" s="302"/>
      <c r="MQ173" s="302"/>
      <c r="MR173" s="302"/>
      <c r="MS173" s="302"/>
      <c r="MT173" s="302"/>
      <c r="MU173" s="302"/>
      <c r="MV173" s="302"/>
      <c r="MW173" s="302"/>
      <c r="MX173" s="302"/>
      <c r="MY173" s="302"/>
      <c r="MZ173" s="302"/>
      <c r="NA173" s="302"/>
      <c r="NB173" s="302"/>
      <c r="NC173" s="302"/>
      <c r="ND173" s="302"/>
      <c r="NE173" s="302"/>
      <c r="NF173" s="302"/>
      <c r="NG173" s="302"/>
      <c r="NH173" s="302"/>
      <c r="NI173" s="302"/>
      <c r="NJ173" s="302"/>
      <c r="NK173" s="302"/>
      <c r="NL173" s="302"/>
      <c r="NM173" s="302"/>
      <c r="NN173" s="302"/>
      <c r="NO173" s="302"/>
      <c r="NP173" s="302"/>
      <c r="NQ173" s="302"/>
      <c r="NR173" s="302"/>
      <c r="NS173" s="302"/>
      <c r="NT173" s="302"/>
      <c r="NU173" s="302"/>
      <c r="NV173" s="302"/>
      <c r="NW173" s="302"/>
      <c r="NX173" s="302"/>
      <c r="NY173" s="302"/>
      <c r="NZ173" s="302"/>
      <c r="OA173" s="302"/>
      <c r="OB173" s="302"/>
      <c r="OC173" s="302"/>
      <c r="OD173" s="302"/>
      <c r="OE173" s="302"/>
      <c r="OF173" s="302"/>
      <c r="OG173" s="302"/>
      <c r="OH173" s="302"/>
      <c r="OI173" s="302"/>
      <c r="OJ173" s="302"/>
      <c r="OK173" s="302"/>
      <c r="OL173" s="302"/>
      <c r="OM173" s="302"/>
      <c r="ON173" s="302"/>
      <c r="OO173" s="302"/>
      <c r="OP173" s="302"/>
      <c r="OQ173" s="302"/>
      <c r="OR173" s="302"/>
      <c r="OS173" s="302"/>
      <c r="OT173" s="302"/>
      <c r="OU173" s="302"/>
      <c r="OV173" s="302"/>
      <c r="OW173" s="302"/>
      <c r="OX173" s="302"/>
      <c r="OY173" s="302"/>
      <c r="OZ173" s="302"/>
      <c r="PA173" s="302"/>
      <c r="PB173" s="302"/>
      <c r="PC173" s="302"/>
      <c r="PD173" s="302"/>
      <c r="PE173" s="302"/>
      <c r="PF173" s="302"/>
      <c r="PG173" s="302"/>
      <c r="PH173" s="302"/>
      <c r="PI173" s="302"/>
      <c r="PJ173" s="302"/>
      <c r="PK173" s="302"/>
      <c r="PL173" s="302"/>
      <c r="PM173" s="302"/>
      <c r="PN173" s="302"/>
      <c r="PO173" s="302"/>
      <c r="PP173" s="302"/>
      <c r="PQ173" s="302"/>
      <c r="PR173" s="302"/>
      <c r="PS173" s="302"/>
      <c r="PT173" s="302"/>
      <c r="PU173" s="302"/>
      <c r="PV173" s="302"/>
      <c r="PW173" s="302"/>
      <c r="PX173" s="302"/>
      <c r="PY173" s="302"/>
      <c r="PZ173" s="302"/>
      <c r="QA173" s="302"/>
      <c r="QB173" s="302"/>
      <c r="QC173" s="302"/>
      <c r="QD173" s="302"/>
      <c r="QE173" s="302"/>
      <c r="QF173" s="302"/>
      <c r="QG173" s="302"/>
      <c r="QH173" s="302"/>
      <c r="QI173" s="302"/>
      <c r="QJ173" s="302"/>
      <c r="QK173" s="302"/>
      <c r="QL173" s="302"/>
      <c r="QM173" s="302"/>
      <c r="QN173" s="302"/>
      <c r="QO173" s="302"/>
      <c r="QP173" s="302"/>
      <c r="QQ173" s="302"/>
      <c r="QR173" s="302"/>
      <c r="QS173" s="302"/>
      <c r="QT173" s="302"/>
      <c r="QU173" s="302"/>
      <c r="QV173" s="302"/>
      <c r="QW173" s="302"/>
      <c r="QX173" s="302"/>
      <c r="QY173" s="302"/>
      <c r="QZ173" s="302"/>
      <c r="RA173" s="302"/>
      <c r="RB173" s="302"/>
      <c r="RC173" s="302"/>
      <c r="RD173" s="302"/>
      <c r="RE173" s="302"/>
      <c r="RF173" s="302"/>
      <c r="RG173" s="302"/>
      <c r="RH173" s="302"/>
      <c r="RI173" s="302"/>
      <c r="RJ173" s="302"/>
      <c r="RK173" s="302"/>
      <c r="RL173" s="302"/>
      <c r="RM173" s="302"/>
      <c r="RN173" s="302"/>
      <c r="RO173" s="302"/>
      <c r="RP173" s="302"/>
      <c r="RQ173" s="302"/>
      <c r="RR173" s="302"/>
      <c r="RS173" s="302"/>
      <c r="RT173" s="302"/>
      <c r="RU173" s="302"/>
      <c r="RV173" s="302"/>
      <c r="RW173" s="302"/>
      <c r="RX173" s="302"/>
      <c r="RY173" s="302"/>
      <c r="RZ173" s="302"/>
      <c r="SA173" s="302"/>
      <c r="SB173" s="302"/>
      <c r="SC173" s="302"/>
      <c r="SD173" s="302"/>
      <c r="SE173" s="302"/>
      <c r="SF173" s="302"/>
      <c r="SG173" s="302"/>
      <c r="SH173" s="302"/>
      <c r="SI173" s="302"/>
      <c r="SJ173" s="302"/>
      <c r="SK173" s="302"/>
      <c r="SL173" s="302"/>
      <c r="SM173" s="302"/>
      <c r="SN173" s="302"/>
      <c r="SO173" s="302"/>
      <c r="SP173" s="302"/>
      <c r="SQ173" s="302"/>
      <c r="SR173" s="302"/>
      <c r="SS173" s="302"/>
      <c r="ST173" s="302"/>
      <c r="SU173" s="302"/>
      <c r="SV173" s="302"/>
      <c r="SW173" s="302"/>
      <c r="SX173" s="302"/>
      <c r="SY173" s="302"/>
      <c r="SZ173" s="302"/>
      <c r="TA173" s="302"/>
      <c r="TB173" s="302"/>
      <c r="TC173" s="302"/>
      <c r="TD173" s="302"/>
      <c r="TE173" s="302"/>
      <c r="TF173" s="302"/>
      <c r="TG173" s="302"/>
      <c r="TH173" s="302"/>
      <c r="TI173" s="302"/>
      <c r="TJ173" s="302"/>
      <c r="TK173" s="302"/>
      <c r="TL173" s="302"/>
      <c r="TM173" s="302"/>
      <c r="TN173" s="302"/>
      <c r="TO173" s="302"/>
      <c r="TP173" s="302"/>
      <c r="TQ173" s="302"/>
      <c r="TR173" s="302"/>
      <c r="TS173" s="302"/>
      <c r="TT173" s="302"/>
      <c r="TU173" s="302"/>
      <c r="TV173" s="302"/>
      <c r="TW173" s="302"/>
      <c r="TX173" s="302"/>
      <c r="TY173" s="302"/>
      <c r="TZ173" s="302"/>
      <c r="UA173" s="302"/>
      <c r="UB173" s="302"/>
      <c r="UC173" s="302"/>
      <c r="UD173" s="302"/>
      <c r="UE173" s="302"/>
      <c r="UF173" s="302"/>
      <c r="UG173" s="302"/>
      <c r="UH173" s="302"/>
      <c r="UI173" s="302"/>
      <c r="UJ173" s="302"/>
      <c r="UK173" s="302"/>
      <c r="UL173" s="302"/>
      <c r="UM173" s="302"/>
      <c r="UN173" s="302"/>
      <c r="UO173" s="302"/>
      <c r="UP173" s="302"/>
      <c r="UQ173" s="302"/>
      <c r="UR173" s="302"/>
      <c r="US173" s="302"/>
      <c r="UT173" s="302"/>
      <c r="UU173" s="302"/>
      <c r="UV173" s="302"/>
      <c r="UW173" s="302"/>
      <c r="UX173" s="302"/>
      <c r="UY173" s="302"/>
      <c r="UZ173" s="302"/>
      <c r="VA173" s="302"/>
      <c r="VB173" s="302"/>
      <c r="VC173" s="302"/>
      <c r="VD173" s="302"/>
      <c r="VE173" s="302"/>
      <c r="VF173" s="302"/>
      <c r="VG173" s="302"/>
      <c r="VH173" s="302"/>
      <c r="VI173" s="302"/>
      <c r="VJ173" s="302"/>
      <c r="VK173" s="302"/>
      <c r="VL173" s="302"/>
      <c r="VM173" s="302"/>
      <c r="VN173" s="302"/>
      <c r="VO173" s="302"/>
      <c r="VP173" s="302"/>
      <c r="VQ173" s="302"/>
      <c r="VR173" s="302"/>
      <c r="VS173" s="302"/>
      <c r="VT173" s="302"/>
      <c r="VU173" s="302"/>
      <c r="VV173" s="302"/>
      <c r="VW173" s="302"/>
      <c r="VX173" s="302"/>
      <c r="VY173" s="302"/>
      <c r="VZ173" s="302"/>
      <c r="WA173" s="302"/>
      <c r="WB173" s="302"/>
      <c r="WC173" s="302"/>
      <c r="WD173" s="302"/>
      <c r="WE173" s="302"/>
      <c r="WF173" s="302"/>
      <c r="WG173" s="302"/>
      <c r="WH173" s="302"/>
      <c r="WI173" s="302"/>
      <c r="WJ173" s="302"/>
      <c r="WK173" s="302"/>
      <c r="WL173" s="302"/>
      <c r="WM173" s="302"/>
      <c r="WN173" s="302"/>
      <c r="WO173" s="302"/>
      <c r="WP173" s="302"/>
      <c r="WQ173" s="302"/>
      <c r="WR173" s="302"/>
      <c r="WS173" s="302"/>
      <c r="WT173" s="302"/>
      <c r="WU173" s="302"/>
      <c r="WV173" s="302"/>
      <c r="WW173" s="302"/>
      <c r="WX173" s="302"/>
      <c r="WY173" s="302"/>
      <c r="WZ173" s="302"/>
      <c r="XA173" s="302"/>
      <c r="XB173" s="302"/>
      <c r="XC173" s="302"/>
      <c r="XD173" s="302"/>
      <c r="XE173" s="302"/>
      <c r="XF173" s="302"/>
      <c r="XG173" s="302"/>
      <c r="XH173" s="302"/>
      <c r="XI173" s="302"/>
      <c r="XJ173" s="302"/>
      <c r="XK173" s="302"/>
      <c r="XL173" s="302"/>
      <c r="XM173" s="302"/>
      <c r="XN173" s="302"/>
      <c r="XO173" s="302"/>
      <c r="XP173" s="302"/>
      <c r="XQ173" s="302"/>
      <c r="XR173" s="302"/>
      <c r="XS173" s="302"/>
      <c r="XT173" s="302"/>
      <c r="XU173" s="302"/>
      <c r="XV173" s="302"/>
      <c r="XW173" s="302"/>
      <c r="XX173" s="302"/>
      <c r="XY173" s="302"/>
      <c r="XZ173" s="302"/>
      <c r="YA173" s="302"/>
      <c r="YB173" s="302"/>
      <c r="YC173" s="302"/>
      <c r="YD173" s="302"/>
      <c r="YE173" s="302"/>
      <c r="YF173" s="302"/>
      <c r="YG173" s="302"/>
      <c r="YH173" s="302"/>
      <c r="YI173" s="302"/>
      <c r="YJ173" s="302"/>
      <c r="YK173" s="302"/>
      <c r="YL173" s="302"/>
      <c r="YM173" s="302"/>
      <c r="YN173" s="302"/>
      <c r="YO173" s="302"/>
      <c r="YP173" s="302"/>
      <c r="YQ173" s="302"/>
      <c r="YR173" s="302"/>
      <c r="YS173" s="302"/>
      <c r="YT173" s="302"/>
      <c r="YU173" s="302"/>
      <c r="YV173" s="302"/>
      <c r="YW173" s="302"/>
      <c r="YX173" s="302"/>
      <c r="YY173" s="302"/>
      <c r="YZ173" s="302"/>
      <c r="ZA173" s="302"/>
      <c r="ZB173" s="302"/>
      <c r="ZC173" s="302"/>
      <c r="ZD173" s="302"/>
      <c r="ZE173" s="302"/>
      <c r="ZF173" s="302"/>
      <c r="ZG173" s="302"/>
      <c r="ZH173" s="302"/>
      <c r="ZI173" s="302"/>
      <c r="ZJ173" s="302"/>
      <c r="ZK173" s="302"/>
      <c r="ZL173" s="302"/>
      <c r="ZM173" s="302"/>
      <c r="ZN173" s="302"/>
      <c r="ZO173" s="302"/>
      <c r="ZP173" s="302"/>
      <c r="ZQ173" s="302"/>
      <c r="ZR173" s="302"/>
      <c r="ZS173" s="302"/>
      <c r="ZT173" s="302"/>
      <c r="ZU173" s="302"/>
      <c r="ZV173" s="302"/>
      <c r="ZW173" s="302"/>
      <c r="ZX173" s="302"/>
      <c r="ZY173" s="302"/>
      <c r="ZZ173" s="302"/>
      <c r="AAA173" s="302"/>
      <c r="AAB173" s="302"/>
      <c r="AAC173" s="302"/>
      <c r="AAD173" s="302"/>
      <c r="AAE173" s="302"/>
      <c r="AAF173" s="302"/>
      <c r="AAG173" s="302"/>
      <c r="AAH173" s="302"/>
      <c r="AAI173" s="302"/>
      <c r="AAJ173" s="302"/>
      <c r="AAK173" s="302"/>
      <c r="AAL173" s="302"/>
      <c r="AAM173" s="302"/>
      <c r="AAN173" s="302"/>
      <c r="AAO173" s="302"/>
      <c r="AAP173" s="302"/>
      <c r="AAQ173" s="302"/>
      <c r="AAR173" s="302"/>
      <c r="AAS173" s="302"/>
      <c r="AAT173" s="302"/>
      <c r="AAU173" s="302"/>
      <c r="AAV173" s="302"/>
      <c r="AAW173" s="302"/>
      <c r="AAX173" s="302"/>
      <c r="AAY173" s="302"/>
      <c r="AAZ173" s="302"/>
      <c r="ABA173" s="302"/>
      <c r="ABB173" s="302"/>
      <c r="ABC173" s="302"/>
      <c r="ABD173" s="302"/>
      <c r="ABE173" s="302"/>
      <c r="ABF173" s="302"/>
      <c r="ABG173" s="302"/>
      <c r="ABH173" s="302"/>
      <c r="ABI173" s="302"/>
      <c r="ABJ173" s="302"/>
      <c r="ABK173" s="302"/>
      <c r="ABL173" s="302"/>
      <c r="ABM173" s="302"/>
      <c r="ABN173" s="302"/>
      <c r="ABO173" s="302"/>
      <c r="ABP173" s="302"/>
      <c r="ABQ173" s="302"/>
      <c r="ABR173" s="302"/>
      <c r="ABS173" s="302"/>
      <c r="ABT173" s="302"/>
      <c r="ABU173" s="302"/>
      <c r="ABV173" s="302"/>
      <c r="ABW173" s="302"/>
      <c r="ABX173" s="302"/>
      <c r="ABY173" s="302"/>
      <c r="ABZ173" s="302"/>
      <c r="ACA173" s="302"/>
      <c r="ACB173" s="302"/>
      <c r="ACC173" s="302"/>
      <c r="ACD173" s="302"/>
      <c r="ACE173" s="302"/>
      <c r="ACF173" s="302"/>
      <c r="ACG173" s="302"/>
      <c r="ACH173" s="302"/>
      <c r="ACI173" s="302"/>
      <c r="ACJ173" s="302"/>
      <c r="ACK173" s="302"/>
      <c r="ACL173" s="302"/>
      <c r="ACM173" s="302"/>
      <c r="ACN173" s="302"/>
      <c r="ACO173" s="302"/>
      <c r="ACP173" s="302"/>
      <c r="ACQ173" s="302"/>
      <c r="ACR173" s="302"/>
      <c r="ACS173" s="302"/>
      <c r="ACT173" s="302"/>
      <c r="ACU173" s="302"/>
      <c r="ACV173" s="302"/>
      <c r="ACW173" s="302"/>
      <c r="ACX173" s="302"/>
      <c r="ACY173" s="302"/>
      <c r="ACZ173" s="302"/>
      <c r="ADA173" s="302"/>
      <c r="ADB173" s="302"/>
      <c r="ADC173" s="302"/>
      <c r="ADD173" s="302"/>
      <c r="ADE173" s="302"/>
      <c r="ADF173" s="302"/>
      <c r="ADG173" s="302"/>
      <c r="ADH173" s="302"/>
      <c r="ADI173" s="302"/>
      <c r="ADJ173" s="302"/>
      <c r="ADK173" s="302"/>
      <c r="ADL173" s="302"/>
      <c r="ADM173" s="302"/>
      <c r="ADN173" s="302"/>
      <c r="ADO173" s="302"/>
      <c r="ADP173" s="302"/>
      <c r="ADQ173" s="302"/>
      <c r="ADR173" s="302"/>
      <c r="ADS173" s="302"/>
      <c r="ADT173" s="302"/>
      <c r="ADU173" s="302"/>
      <c r="ADV173" s="302"/>
      <c r="ADW173" s="302"/>
      <c r="ADX173" s="302"/>
      <c r="ADY173" s="302"/>
      <c r="ADZ173" s="302"/>
      <c r="AEA173" s="302"/>
      <c r="AEB173" s="302"/>
      <c r="AEC173" s="302"/>
      <c r="AED173" s="302"/>
      <c r="AEE173" s="302"/>
      <c r="AEF173" s="302"/>
      <c r="AEG173" s="302"/>
      <c r="AEH173" s="302"/>
      <c r="AEI173" s="302"/>
      <c r="AEJ173" s="302"/>
      <c r="AEK173" s="302"/>
      <c r="AEL173" s="302"/>
      <c r="AEM173" s="302"/>
      <c r="AEN173" s="302"/>
      <c r="AEO173" s="302"/>
      <c r="AEP173" s="302"/>
      <c r="AEQ173" s="302"/>
      <c r="AER173" s="302"/>
      <c r="AES173" s="302"/>
      <c r="AET173" s="302"/>
      <c r="AEU173" s="302"/>
      <c r="AEV173" s="302"/>
      <c r="AEW173" s="302"/>
      <c r="AEX173" s="302"/>
      <c r="AEY173" s="302"/>
      <c r="AEZ173" s="302"/>
      <c r="AFA173" s="302"/>
      <c r="AFB173" s="302"/>
      <c r="AFC173" s="302"/>
      <c r="AFD173" s="302"/>
      <c r="AFE173" s="302"/>
      <c r="AFF173" s="302"/>
      <c r="AFG173" s="302"/>
      <c r="AFH173" s="302"/>
      <c r="AFI173" s="302"/>
      <c r="AFJ173" s="302"/>
      <c r="AFK173" s="302"/>
      <c r="AFL173" s="302"/>
      <c r="AFM173" s="302"/>
      <c r="AFN173" s="302"/>
      <c r="AFO173" s="302"/>
      <c r="AFP173" s="302"/>
      <c r="AFQ173" s="302"/>
      <c r="AFR173" s="302"/>
      <c r="AFS173" s="302"/>
      <c r="AFT173" s="302"/>
      <c r="AFU173" s="302"/>
      <c r="AFV173" s="302"/>
      <c r="AFW173" s="302"/>
      <c r="AFX173" s="302"/>
      <c r="AFY173" s="302"/>
      <c r="AFZ173" s="302"/>
      <c r="AGA173" s="302"/>
      <c r="AGB173" s="302"/>
      <c r="AGC173" s="302"/>
      <c r="AGD173" s="302"/>
      <c r="AGE173" s="302"/>
      <c r="AGF173" s="302"/>
      <c r="AGG173" s="302"/>
      <c r="AGH173" s="302"/>
      <c r="AGI173" s="302"/>
      <c r="AGJ173" s="302"/>
      <c r="AGK173" s="302"/>
      <c r="AGL173" s="302"/>
      <c r="AGM173" s="302"/>
      <c r="AGN173" s="302"/>
      <c r="AGO173" s="302"/>
      <c r="AGP173" s="302"/>
      <c r="AGQ173" s="302"/>
      <c r="AGR173" s="302"/>
      <c r="AGS173" s="302"/>
      <c r="AGT173" s="302"/>
      <c r="AGU173" s="302"/>
      <c r="AGV173" s="302"/>
      <c r="AGW173" s="302"/>
      <c r="AGX173" s="302"/>
      <c r="AGY173" s="302"/>
      <c r="AGZ173" s="302"/>
      <c r="AHA173" s="302"/>
      <c r="AHB173" s="302"/>
      <c r="AHC173" s="302"/>
      <c r="AHD173" s="302"/>
      <c r="AHE173" s="302"/>
      <c r="AHF173" s="302"/>
      <c r="AHG173" s="302"/>
      <c r="AHH173" s="302"/>
      <c r="AHI173" s="302"/>
      <c r="AHJ173" s="302"/>
      <c r="AHK173" s="302"/>
      <c r="AHL173" s="302"/>
      <c r="AHM173" s="302"/>
      <c r="AHN173" s="302"/>
      <c r="AHO173" s="302"/>
      <c r="AHP173" s="302"/>
      <c r="AHQ173" s="302"/>
      <c r="AHR173" s="302"/>
      <c r="AHS173" s="302"/>
      <c r="AHT173" s="302"/>
      <c r="AHU173" s="302"/>
      <c r="AHV173" s="302"/>
      <c r="AHW173" s="302"/>
      <c r="AHX173" s="302"/>
      <c r="AHY173" s="302"/>
      <c r="AHZ173" s="302"/>
      <c r="AIA173" s="302"/>
      <c r="AIB173" s="302"/>
      <c r="AIC173" s="302"/>
      <c r="AID173" s="302"/>
      <c r="AIE173" s="302"/>
      <c r="AIF173" s="302"/>
      <c r="AIG173" s="302"/>
      <c r="AIH173" s="302"/>
      <c r="AII173" s="302"/>
      <c r="AIJ173" s="302"/>
      <c r="AIK173" s="302"/>
      <c r="AIL173" s="302"/>
      <c r="AIM173" s="302"/>
      <c r="AIN173" s="302"/>
      <c r="AIO173" s="302"/>
      <c r="AIP173" s="302"/>
      <c r="AIQ173" s="302"/>
      <c r="AIR173" s="302"/>
      <c r="AIS173" s="302"/>
      <c r="AIT173" s="302"/>
      <c r="AIU173" s="302"/>
      <c r="AIV173" s="302"/>
      <c r="AIW173" s="302"/>
      <c r="AIX173" s="302"/>
      <c r="AIY173" s="302"/>
      <c r="AIZ173" s="302"/>
      <c r="AJA173" s="302"/>
      <c r="AJB173" s="302"/>
      <c r="AJC173" s="302"/>
      <c r="AJD173" s="302"/>
      <c r="AJE173" s="302"/>
      <c r="AJF173" s="302"/>
      <c r="AJG173" s="302"/>
      <c r="AJH173" s="302"/>
      <c r="AJI173" s="302"/>
      <c r="AJJ173" s="302"/>
      <c r="AJK173" s="302"/>
      <c r="AJL173" s="302"/>
      <c r="AJM173" s="302"/>
      <c r="AJN173" s="302"/>
      <c r="AJO173" s="302"/>
      <c r="AJP173" s="302"/>
      <c r="AJQ173" s="302"/>
      <c r="AJR173" s="302"/>
      <c r="AJS173" s="302"/>
      <c r="AJT173" s="302"/>
      <c r="AJU173" s="302"/>
      <c r="AJV173" s="302"/>
      <c r="AJW173" s="302"/>
      <c r="AJX173" s="302"/>
      <c r="AJY173" s="302"/>
      <c r="AJZ173" s="302"/>
      <c r="AKA173" s="302"/>
      <c r="AKB173" s="302"/>
      <c r="AKC173" s="302"/>
      <c r="AKD173" s="302"/>
      <c r="AKE173" s="302"/>
      <c r="AKF173" s="302"/>
      <c r="AKG173" s="302"/>
      <c r="AKH173" s="302"/>
      <c r="AKI173" s="302"/>
      <c r="AKJ173" s="302"/>
      <c r="AKK173" s="302"/>
      <c r="AKL173" s="302"/>
      <c r="AKM173" s="302"/>
      <c r="AKN173" s="302"/>
      <c r="AKO173" s="302"/>
      <c r="AKP173" s="302"/>
      <c r="AKQ173" s="302"/>
      <c r="AKR173" s="302"/>
      <c r="AKS173" s="302"/>
      <c r="AKT173" s="302"/>
      <c r="AKU173" s="302"/>
      <c r="AKV173" s="302"/>
      <c r="AKW173" s="302"/>
      <c r="AKX173" s="302"/>
      <c r="AKY173" s="302"/>
      <c r="AKZ173" s="302"/>
      <c r="ALA173" s="302"/>
      <c r="ALB173" s="302"/>
      <c r="ALC173" s="302"/>
      <c r="ALD173" s="302"/>
      <c r="ALE173" s="302"/>
      <c r="ALF173" s="302"/>
      <c r="ALG173" s="302"/>
      <c r="ALH173" s="302"/>
      <c r="ALI173" s="302"/>
      <c r="ALJ173" s="302"/>
      <c r="ALK173" s="302"/>
      <c r="ALL173" s="302"/>
      <c r="ALM173" s="302"/>
      <c r="ALN173" s="302"/>
      <c r="ALO173" s="302"/>
      <c r="ALP173" s="302"/>
      <c r="ALQ173" s="302"/>
      <c r="ALR173" s="302"/>
      <c r="ALS173" s="302"/>
      <c r="ALT173" s="302"/>
      <c r="ALU173" s="302"/>
      <c r="ALV173" s="302"/>
      <c r="ALW173" s="302"/>
      <c r="ALX173" s="302"/>
      <c r="ALY173" s="302"/>
      <c r="ALZ173" s="302"/>
      <c r="AMA173" s="302"/>
      <c r="AMB173" s="302"/>
      <c r="AMC173" s="302"/>
      <c r="AMD173" s="302"/>
      <c r="AME173" s="302"/>
      <c r="AMF173" s="302"/>
      <c r="AMG173" s="302"/>
      <c r="AMH173" s="302"/>
      <c r="AMI173" s="302"/>
    </row>
    <row r="174" spans="1:1023" hidden="1">
      <c r="A174" s="302"/>
      <c r="B174" s="15">
        <v>13807</v>
      </c>
      <c r="C174" s="113">
        <v>0.1</v>
      </c>
      <c r="D174" s="16" t="s">
        <v>94</v>
      </c>
      <c r="E174" s="12">
        <v>1700000</v>
      </c>
      <c r="F174" s="363">
        <v>0.02</v>
      </c>
      <c r="G174" s="364">
        <f>E174*F174</f>
        <v>34000</v>
      </c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2"/>
      <c r="AX174" s="302"/>
      <c r="AY174" s="302"/>
      <c r="AZ174" s="302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K174" s="302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2"/>
      <c r="CH174" s="302"/>
      <c r="CI174" s="302"/>
      <c r="CJ174" s="302"/>
      <c r="CK174" s="302"/>
      <c r="CL174" s="302"/>
      <c r="CM174" s="302"/>
      <c r="CN174" s="302"/>
      <c r="CO174" s="302"/>
      <c r="CP174" s="302"/>
      <c r="CQ174" s="302"/>
      <c r="CR174" s="302"/>
      <c r="CS174" s="302"/>
      <c r="CT174" s="302"/>
      <c r="CU174" s="302"/>
      <c r="CV174" s="302"/>
      <c r="CW174" s="302"/>
      <c r="CX174" s="302"/>
      <c r="CY174" s="302"/>
      <c r="CZ174" s="302"/>
      <c r="DA174" s="302"/>
      <c r="DB174" s="302"/>
      <c r="DC174" s="302"/>
      <c r="DD174" s="302"/>
      <c r="DE174" s="302"/>
      <c r="DF174" s="302"/>
      <c r="DG174" s="302"/>
      <c r="DH174" s="302"/>
      <c r="DI174" s="302"/>
      <c r="DJ174" s="302"/>
      <c r="DK174" s="302"/>
      <c r="DL174" s="302"/>
      <c r="DM174" s="302"/>
      <c r="DN174" s="302"/>
      <c r="DO174" s="302"/>
      <c r="DP174" s="302"/>
      <c r="DQ174" s="302"/>
      <c r="DR174" s="302"/>
      <c r="DS174" s="302"/>
      <c r="DT174" s="302"/>
      <c r="DU174" s="302"/>
      <c r="DV174" s="302"/>
      <c r="DW174" s="302"/>
      <c r="DX174" s="302"/>
      <c r="DY174" s="302"/>
      <c r="DZ174" s="302"/>
      <c r="EA174" s="302"/>
      <c r="EB174" s="302"/>
      <c r="EC174" s="302"/>
      <c r="ED174" s="302"/>
      <c r="EE174" s="302"/>
      <c r="EF174" s="302"/>
      <c r="EG174" s="302"/>
      <c r="EH174" s="302"/>
      <c r="EI174" s="302"/>
      <c r="EJ174" s="302"/>
      <c r="EK174" s="302"/>
      <c r="EL174" s="302"/>
      <c r="EM174" s="302"/>
      <c r="EN174" s="302"/>
      <c r="EO174" s="302"/>
      <c r="EP174" s="302"/>
      <c r="EQ174" s="302"/>
      <c r="ER174" s="302"/>
      <c r="ES174" s="302"/>
      <c r="ET174" s="302"/>
      <c r="EU174" s="302"/>
      <c r="EV174" s="302"/>
      <c r="EW174" s="302"/>
      <c r="EX174" s="302"/>
      <c r="EY174" s="302"/>
      <c r="EZ174" s="302"/>
      <c r="FA174" s="302"/>
      <c r="FB174" s="302"/>
      <c r="FC174" s="302"/>
      <c r="FD174" s="302"/>
      <c r="FE174" s="302"/>
      <c r="FF174" s="302"/>
      <c r="FG174" s="302"/>
      <c r="FH174" s="302"/>
      <c r="FI174" s="302"/>
      <c r="FJ174" s="302"/>
      <c r="FK174" s="302"/>
      <c r="FL174" s="302"/>
      <c r="FM174" s="302"/>
      <c r="FN174" s="302"/>
      <c r="FO174" s="302"/>
      <c r="FP174" s="302"/>
      <c r="FQ174" s="302"/>
      <c r="FR174" s="302"/>
      <c r="FS174" s="302"/>
      <c r="FT174" s="302"/>
      <c r="FU174" s="302"/>
      <c r="FV174" s="302"/>
      <c r="FW174" s="302"/>
      <c r="FX174" s="302"/>
      <c r="FY174" s="302"/>
      <c r="FZ174" s="302"/>
      <c r="GA174" s="302"/>
      <c r="GB174" s="302"/>
      <c r="GC174" s="302"/>
      <c r="GD174" s="302"/>
      <c r="GE174" s="302"/>
      <c r="GF174" s="302"/>
      <c r="GG174" s="302"/>
      <c r="GH174" s="302"/>
      <c r="GI174" s="302"/>
      <c r="GJ174" s="302"/>
      <c r="GK174" s="302"/>
      <c r="GL174" s="302"/>
      <c r="GM174" s="302"/>
      <c r="GN174" s="302"/>
      <c r="GO174" s="302"/>
      <c r="GP174" s="302"/>
      <c r="GQ174" s="302"/>
      <c r="GR174" s="302"/>
      <c r="GS174" s="302"/>
      <c r="GT174" s="302"/>
      <c r="GU174" s="302"/>
      <c r="GV174" s="302"/>
      <c r="GW174" s="302"/>
      <c r="GX174" s="302"/>
      <c r="GY174" s="302"/>
      <c r="GZ174" s="302"/>
      <c r="HA174" s="302"/>
      <c r="HB174" s="302"/>
      <c r="HC174" s="302"/>
      <c r="HD174" s="302"/>
      <c r="HE174" s="302"/>
      <c r="HF174" s="302"/>
      <c r="HG174" s="302"/>
      <c r="HH174" s="302"/>
      <c r="HI174" s="302"/>
      <c r="HJ174" s="302"/>
      <c r="HK174" s="302"/>
      <c r="HL174" s="302"/>
      <c r="HM174" s="302"/>
      <c r="HN174" s="302"/>
      <c r="HO174" s="302"/>
      <c r="HP174" s="302"/>
      <c r="HQ174" s="302"/>
      <c r="HR174" s="302"/>
      <c r="HS174" s="302"/>
      <c r="HT174" s="302"/>
      <c r="HU174" s="302"/>
      <c r="HV174" s="302"/>
      <c r="HW174" s="302"/>
      <c r="HX174" s="302"/>
      <c r="HY174" s="302"/>
      <c r="HZ174" s="302"/>
      <c r="IA174" s="302"/>
      <c r="IB174" s="302"/>
      <c r="IC174" s="302"/>
      <c r="ID174" s="302"/>
      <c r="IE174" s="302"/>
      <c r="IF174" s="302"/>
      <c r="IG174" s="302"/>
      <c r="IH174" s="302"/>
      <c r="II174" s="302"/>
      <c r="IJ174" s="302"/>
      <c r="IK174" s="302"/>
      <c r="IL174" s="302"/>
      <c r="IM174" s="302"/>
      <c r="IN174" s="302"/>
      <c r="IO174" s="302"/>
      <c r="IP174" s="302"/>
      <c r="IQ174" s="302"/>
      <c r="IR174" s="302"/>
      <c r="IS174" s="302"/>
      <c r="IT174" s="302"/>
      <c r="IU174" s="302"/>
      <c r="IV174" s="302"/>
      <c r="IW174" s="302"/>
      <c r="IX174" s="302"/>
      <c r="IY174" s="302"/>
      <c r="IZ174" s="302"/>
      <c r="JA174" s="302"/>
      <c r="JB174" s="302"/>
      <c r="JC174" s="302"/>
      <c r="JD174" s="302"/>
      <c r="JE174" s="302"/>
      <c r="JF174" s="302"/>
      <c r="JG174" s="302"/>
      <c r="JH174" s="302"/>
      <c r="JI174" s="302"/>
      <c r="JJ174" s="302"/>
      <c r="JK174" s="302"/>
      <c r="JL174" s="302"/>
      <c r="JM174" s="302"/>
      <c r="JN174" s="302"/>
      <c r="JO174" s="302"/>
      <c r="JP174" s="302"/>
      <c r="JQ174" s="302"/>
      <c r="JR174" s="302"/>
      <c r="JS174" s="302"/>
      <c r="JT174" s="302"/>
      <c r="JU174" s="302"/>
      <c r="JV174" s="302"/>
      <c r="JW174" s="302"/>
      <c r="JX174" s="302"/>
      <c r="JY174" s="302"/>
      <c r="JZ174" s="302"/>
      <c r="KA174" s="302"/>
      <c r="KB174" s="302"/>
      <c r="KC174" s="302"/>
      <c r="KD174" s="302"/>
      <c r="KE174" s="302"/>
      <c r="KF174" s="302"/>
      <c r="KG174" s="302"/>
      <c r="KH174" s="302"/>
      <c r="KI174" s="302"/>
      <c r="KJ174" s="302"/>
      <c r="KK174" s="302"/>
      <c r="KL174" s="302"/>
      <c r="KM174" s="302"/>
      <c r="KN174" s="302"/>
      <c r="KO174" s="302"/>
      <c r="KP174" s="302"/>
      <c r="KQ174" s="302"/>
      <c r="KR174" s="302"/>
      <c r="KS174" s="302"/>
      <c r="KT174" s="302"/>
      <c r="KU174" s="302"/>
      <c r="KV174" s="302"/>
      <c r="KW174" s="302"/>
      <c r="KX174" s="302"/>
      <c r="KY174" s="302"/>
      <c r="KZ174" s="302"/>
      <c r="LA174" s="302"/>
      <c r="LB174" s="302"/>
      <c r="LC174" s="302"/>
      <c r="LD174" s="302"/>
      <c r="LE174" s="302"/>
      <c r="LF174" s="302"/>
      <c r="LG174" s="302"/>
      <c r="LH174" s="302"/>
      <c r="LI174" s="302"/>
      <c r="LJ174" s="302"/>
      <c r="LK174" s="302"/>
      <c r="LL174" s="302"/>
      <c r="LM174" s="302"/>
      <c r="LN174" s="302"/>
      <c r="LO174" s="302"/>
      <c r="LP174" s="302"/>
      <c r="LQ174" s="302"/>
      <c r="LR174" s="302"/>
      <c r="LS174" s="302"/>
      <c r="LT174" s="302"/>
      <c r="LU174" s="302"/>
      <c r="LV174" s="302"/>
      <c r="LW174" s="302"/>
      <c r="LX174" s="302"/>
      <c r="LY174" s="302"/>
      <c r="LZ174" s="302"/>
      <c r="MA174" s="302"/>
      <c r="MB174" s="302"/>
      <c r="MC174" s="302"/>
      <c r="MD174" s="302"/>
      <c r="ME174" s="302"/>
      <c r="MF174" s="302"/>
      <c r="MG174" s="302"/>
      <c r="MH174" s="302"/>
      <c r="MI174" s="302"/>
      <c r="MJ174" s="302"/>
      <c r="MK174" s="302"/>
      <c r="ML174" s="302"/>
      <c r="MM174" s="302"/>
      <c r="MN174" s="302"/>
      <c r="MO174" s="302"/>
      <c r="MP174" s="302"/>
      <c r="MQ174" s="302"/>
      <c r="MR174" s="302"/>
      <c r="MS174" s="302"/>
      <c r="MT174" s="302"/>
      <c r="MU174" s="302"/>
      <c r="MV174" s="302"/>
      <c r="MW174" s="302"/>
      <c r="MX174" s="302"/>
      <c r="MY174" s="302"/>
      <c r="MZ174" s="302"/>
      <c r="NA174" s="302"/>
      <c r="NB174" s="302"/>
      <c r="NC174" s="302"/>
      <c r="ND174" s="302"/>
      <c r="NE174" s="302"/>
      <c r="NF174" s="302"/>
      <c r="NG174" s="302"/>
      <c r="NH174" s="302"/>
      <c r="NI174" s="302"/>
      <c r="NJ174" s="302"/>
      <c r="NK174" s="302"/>
      <c r="NL174" s="302"/>
      <c r="NM174" s="302"/>
      <c r="NN174" s="302"/>
      <c r="NO174" s="302"/>
      <c r="NP174" s="302"/>
      <c r="NQ174" s="302"/>
      <c r="NR174" s="302"/>
      <c r="NS174" s="302"/>
      <c r="NT174" s="302"/>
      <c r="NU174" s="302"/>
      <c r="NV174" s="302"/>
      <c r="NW174" s="302"/>
      <c r="NX174" s="302"/>
      <c r="NY174" s="302"/>
      <c r="NZ174" s="302"/>
      <c r="OA174" s="302"/>
      <c r="OB174" s="302"/>
      <c r="OC174" s="302"/>
      <c r="OD174" s="302"/>
      <c r="OE174" s="302"/>
      <c r="OF174" s="302"/>
      <c r="OG174" s="302"/>
      <c r="OH174" s="302"/>
      <c r="OI174" s="302"/>
      <c r="OJ174" s="302"/>
      <c r="OK174" s="302"/>
      <c r="OL174" s="302"/>
      <c r="OM174" s="302"/>
      <c r="ON174" s="302"/>
      <c r="OO174" s="302"/>
      <c r="OP174" s="302"/>
      <c r="OQ174" s="302"/>
      <c r="OR174" s="302"/>
      <c r="OS174" s="302"/>
      <c r="OT174" s="302"/>
      <c r="OU174" s="302"/>
      <c r="OV174" s="302"/>
      <c r="OW174" s="302"/>
      <c r="OX174" s="302"/>
      <c r="OY174" s="302"/>
      <c r="OZ174" s="302"/>
      <c r="PA174" s="302"/>
      <c r="PB174" s="302"/>
      <c r="PC174" s="302"/>
      <c r="PD174" s="302"/>
      <c r="PE174" s="302"/>
      <c r="PF174" s="302"/>
      <c r="PG174" s="302"/>
      <c r="PH174" s="302"/>
      <c r="PI174" s="302"/>
      <c r="PJ174" s="302"/>
      <c r="PK174" s="302"/>
      <c r="PL174" s="302"/>
      <c r="PM174" s="302"/>
      <c r="PN174" s="302"/>
      <c r="PO174" s="302"/>
      <c r="PP174" s="302"/>
      <c r="PQ174" s="302"/>
      <c r="PR174" s="302"/>
      <c r="PS174" s="302"/>
      <c r="PT174" s="302"/>
      <c r="PU174" s="302"/>
      <c r="PV174" s="302"/>
      <c r="PW174" s="302"/>
      <c r="PX174" s="302"/>
      <c r="PY174" s="302"/>
      <c r="PZ174" s="302"/>
      <c r="QA174" s="302"/>
      <c r="QB174" s="302"/>
      <c r="QC174" s="302"/>
      <c r="QD174" s="302"/>
      <c r="QE174" s="302"/>
      <c r="QF174" s="302"/>
      <c r="QG174" s="302"/>
      <c r="QH174" s="302"/>
      <c r="QI174" s="302"/>
      <c r="QJ174" s="302"/>
      <c r="QK174" s="302"/>
      <c r="QL174" s="302"/>
      <c r="QM174" s="302"/>
      <c r="QN174" s="302"/>
      <c r="QO174" s="302"/>
      <c r="QP174" s="302"/>
      <c r="QQ174" s="302"/>
      <c r="QR174" s="302"/>
      <c r="QS174" s="302"/>
      <c r="QT174" s="302"/>
      <c r="QU174" s="302"/>
      <c r="QV174" s="302"/>
      <c r="QW174" s="302"/>
      <c r="QX174" s="302"/>
      <c r="QY174" s="302"/>
      <c r="QZ174" s="302"/>
      <c r="RA174" s="302"/>
      <c r="RB174" s="302"/>
      <c r="RC174" s="302"/>
      <c r="RD174" s="302"/>
      <c r="RE174" s="302"/>
      <c r="RF174" s="302"/>
      <c r="RG174" s="302"/>
      <c r="RH174" s="302"/>
      <c r="RI174" s="302"/>
      <c r="RJ174" s="302"/>
      <c r="RK174" s="302"/>
      <c r="RL174" s="302"/>
      <c r="RM174" s="302"/>
      <c r="RN174" s="302"/>
      <c r="RO174" s="302"/>
      <c r="RP174" s="302"/>
      <c r="RQ174" s="302"/>
      <c r="RR174" s="302"/>
      <c r="RS174" s="302"/>
      <c r="RT174" s="302"/>
      <c r="RU174" s="302"/>
      <c r="RV174" s="302"/>
      <c r="RW174" s="302"/>
      <c r="RX174" s="302"/>
      <c r="RY174" s="302"/>
      <c r="RZ174" s="302"/>
      <c r="SA174" s="302"/>
      <c r="SB174" s="302"/>
      <c r="SC174" s="302"/>
      <c r="SD174" s="302"/>
      <c r="SE174" s="302"/>
      <c r="SF174" s="302"/>
      <c r="SG174" s="302"/>
      <c r="SH174" s="302"/>
      <c r="SI174" s="302"/>
      <c r="SJ174" s="302"/>
      <c r="SK174" s="302"/>
      <c r="SL174" s="302"/>
      <c r="SM174" s="302"/>
      <c r="SN174" s="302"/>
      <c r="SO174" s="302"/>
      <c r="SP174" s="302"/>
      <c r="SQ174" s="302"/>
      <c r="SR174" s="302"/>
      <c r="SS174" s="302"/>
      <c r="ST174" s="302"/>
      <c r="SU174" s="302"/>
      <c r="SV174" s="302"/>
      <c r="SW174" s="302"/>
      <c r="SX174" s="302"/>
      <c r="SY174" s="302"/>
      <c r="SZ174" s="302"/>
      <c r="TA174" s="302"/>
      <c r="TB174" s="302"/>
      <c r="TC174" s="302"/>
      <c r="TD174" s="302"/>
      <c r="TE174" s="302"/>
      <c r="TF174" s="302"/>
      <c r="TG174" s="302"/>
      <c r="TH174" s="302"/>
      <c r="TI174" s="302"/>
      <c r="TJ174" s="302"/>
      <c r="TK174" s="302"/>
      <c r="TL174" s="302"/>
      <c r="TM174" s="302"/>
      <c r="TN174" s="302"/>
      <c r="TO174" s="302"/>
      <c r="TP174" s="302"/>
      <c r="TQ174" s="302"/>
      <c r="TR174" s="302"/>
      <c r="TS174" s="302"/>
      <c r="TT174" s="302"/>
      <c r="TU174" s="302"/>
      <c r="TV174" s="302"/>
      <c r="TW174" s="302"/>
      <c r="TX174" s="302"/>
      <c r="TY174" s="302"/>
      <c r="TZ174" s="302"/>
      <c r="UA174" s="302"/>
      <c r="UB174" s="302"/>
      <c r="UC174" s="302"/>
      <c r="UD174" s="302"/>
      <c r="UE174" s="302"/>
      <c r="UF174" s="302"/>
      <c r="UG174" s="302"/>
      <c r="UH174" s="302"/>
      <c r="UI174" s="302"/>
      <c r="UJ174" s="302"/>
      <c r="UK174" s="302"/>
      <c r="UL174" s="302"/>
      <c r="UM174" s="302"/>
      <c r="UN174" s="302"/>
      <c r="UO174" s="302"/>
      <c r="UP174" s="302"/>
      <c r="UQ174" s="302"/>
      <c r="UR174" s="302"/>
      <c r="US174" s="302"/>
      <c r="UT174" s="302"/>
      <c r="UU174" s="302"/>
      <c r="UV174" s="302"/>
      <c r="UW174" s="302"/>
      <c r="UX174" s="302"/>
      <c r="UY174" s="302"/>
      <c r="UZ174" s="302"/>
      <c r="VA174" s="302"/>
      <c r="VB174" s="302"/>
      <c r="VC174" s="302"/>
      <c r="VD174" s="302"/>
      <c r="VE174" s="302"/>
      <c r="VF174" s="302"/>
      <c r="VG174" s="302"/>
      <c r="VH174" s="302"/>
      <c r="VI174" s="302"/>
      <c r="VJ174" s="302"/>
      <c r="VK174" s="302"/>
      <c r="VL174" s="302"/>
      <c r="VM174" s="302"/>
      <c r="VN174" s="302"/>
      <c r="VO174" s="302"/>
      <c r="VP174" s="302"/>
      <c r="VQ174" s="302"/>
      <c r="VR174" s="302"/>
      <c r="VS174" s="302"/>
      <c r="VT174" s="302"/>
      <c r="VU174" s="302"/>
      <c r="VV174" s="302"/>
      <c r="VW174" s="302"/>
      <c r="VX174" s="302"/>
      <c r="VY174" s="302"/>
      <c r="VZ174" s="302"/>
      <c r="WA174" s="302"/>
      <c r="WB174" s="302"/>
      <c r="WC174" s="302"/>
      <c r="WD174" s="302"/>
      <c r="WE174" s="302"/>
      <c r="WF174" s="302"/>
      <c r="WG174" s="302"/>
      <c r="WH174" s="302"/>
      <c r="WI174" s="302"/>
      <c r="WJ174" s="302"/>
      <c r="WK174" s="302"/>
      <c r="WL174" s="302"/>
      <c r="WM174" s="302"/>
      <c r="WN174" s="302"/>
      <c r="WO174" s="302"/>
      <c r="WP174" s="302"/>
      <c r="WQ174" s="302"/>
      <c r="WR174" s="302"/>
      <c r="WS174" s="302"/>
      <c r="WT174" s="302"/>
      <c r="WU174" s="302"/>
      <c r="WV174" s="302"/>
      <c r="WW174" s="302"/>
      <c r="WX174" s="302"/>
      <c r="WY174" s="302"/>
      <c r="WZ174" s="302"/>
      <c r="XA174" s="302"/>
      <c r="XB174" s="302"/>
      <c r="XC174" s="302"/>
      <c r="XD174" s="302"/>
      <c r="XE174" s="302"/>
      <c r="XF174" s="302"/>
      <c r="XG174" s="302"/>
      <c r="XH174" s="302"/>
      <c r="XI174" s="302"/>
      <c r="XJ174" s="302"/>
      <c r="XK174" s="302"/>
      <c r="XL174" s="302"/>
      <c r="XM174" s="302"/>
      <c r="XN174" s="302"/>
      <c r="XO174" s="302"/>
      <c r="XP174" s="302"/>
      <c r="XQ174" s="302"/>
      <c r="XR174" s="302"/>
      <c r="XS174" s="302"/>
      <c r="XT174" s="302"/>
      <c r="XU174" s="302"/>
      <c r="XV174" s="302"/>
      <c r="XW174" s="302"/>
      <c r="XX174" s="302"/>
      <c r="XY174" s="302"/>
      <c r="XZ174" s="302"/>
      <c r="YA174" s="302"/>
      <c r="YB174" s="302"/>
      <c r="YC174" s="302"/>
      <c r="YD174" s="302"/>
      <c r="YE174" s="302"/>
      <c r="YF174" s="302"/>
      <c r="YG174" s="302"/>
      <c r="YH174" s="302"/>
      <c r="YI174" s="302"/>
      <c r="YJ174" s="302"/>
      <c r="YK174" s="302"/>
      <c r="YL174" s="302"/>
      <c r="YM174" s="302"/>
      <c r="YN174" s="302"/>
      <c r="YO174" s="302"/>
      <c r="YP174" s="302"/>
      <c r="YQ174" s="302"/>
      <c r="YR174" s="302"/>
      <c r="YS174" s="302"/>
      <c r="YT174" s="302"/>
      <c r="YU174" s="302"/>
      <c r="YV174" s="302"/>
      <c r="YW174" s="302"/>
      <c r="YX174" s="302"/>
      <c r="YY174" s="302"/>
      <c r="YZ174" s="302"/>
      <c r="ZA174" s="302"/>
      <c r="ZB174" s="302"/>
      <c r="ZC174" s="302"/>
      <c r="ZD174" s="302"/>
      <c r="ZE174" s="302"/>
      <c r="ZF174" s="302"/>
      <c r="ZG174" s="302"/>
      <c r="ZH174" s="302"/>
      <c r="ZI174" s="302"/>
      <c r="ZJ174" s="302"/>
      <c r="ZK174" s="302"/>
      <c r="ZL174" s="302"/>
      <c r="ZM174" s="302"/>
      <c r="ZN174" s="302"/>
      <c r="ZO174" s="302"/>
      <c r="ZP174" s="302"/>
      <c r="ZQ174" s="302"/>
      <c r="ZR174" s="302"/>
      <c r="ZS174" s="302"/>
      <c r="ZT174" s="302"/>
      <c r="ZU174" s="302"/>
      <c r="ZV174" s="302"/>
      <c r="ZW174" s="302"/>
      <c r="ZX174" s="302"/>
      <c r="ZY174" s="302"/>
      <c r="ZZ174" s="302"/>
      <c r="AAA174" s="302"/>
      <c r="AAB174" s="302"/>
      <c r="AAC174" s="302"/>
      <c r="AAD174" s="302"/>
      <c r="AAE174" s="302"/>
      <c r="AAF174" s="302"/>
      <c r="AAG174" s="302"/>
      <c r="AAH174" s="302"/>
      <c r="AAI174" s="302"/>
      <c r="AAJ174" s="302"/>
      <c r="AAK174" s="302"/>
      <c r="AAL174" s="302"/>
      <c r="AAM174" s="302"/>
      <c r="AAN174" s="302"/>
      <c r="AAO174" s="302"/>
      <c r="AAP174" s="302"/>
      <c r="AAQ174" s="302"/>
      <c r="AAR174" s="302"/>
      <c r="AAS174" s="302"/>
      <c r="AAT174" s="302"/>
      <c r="AAU174" s="302"/>
      <c r="AAV174" s="302"/>
      <c r="AAW174" s="302"/>
      <c r="AAX174" s="302"/>
      <c r="AAY174" s="302"/>
      <c r="AAZ174" s="302"/>
      <c r="ABA174" s="302"/>
      <c r="ABB174" s="302"/>
      <c r="ABC174" s="302"/>
      <c r="ABD174" s="302"/>
      <c r="ABE174" s="302"/>
      <c r="ABF174" s="302"/>
      <c r="ABG174" s="302"/>
      <c r="ABH174" s="302"/>
      <c r="ABI174" s="302"/>
      <c r="ABJ174" s="302"/>
      <c r="ABK174" s="302"/>
      <c r="ABL174" s="302"/>
      <c r="ABM174" s="302"/>
      <c r="ABN174" s="302"/>
      <c r="ABO174" s="302"/>
      <c r="ABP174" s="302"/>
      <c r="ABQ174" s="302"/>
      <c r="ABR174" s="302"/>
      <c r="ABS174" s="302"/>
      <c r="ABT174" s="302"/>
      <c r="ABU174" s="302"/>
      <c r="ABV174" s="302"/>
      <c r="ABW174" s="302"/>
      <c r="ABX174" s="302"/>
      <c r="ABY174" s="302"/>
      <c r="ABZ174" s="302"/>
      <c r="ACA174" s="302"/>
      <c r="ACB174" s="302"/>
      <c r="ACC174" s="302"/>
      <c r="ACD174" s="302"/>
      <c r="ACE174" s="302"/>
      <c r="ACF174" s="302"/>
      <c r="ACG174" s="302"/>
      <c r="ACH174" s="302"/>
      <c r="ACI174" s="302"/>
      <c r="ACJ174" s="302"/>
      <c r="ACK174" s="302"/>
      <c r="ACL174" s="302"/>
      <c r="ACM174" s="302"/>
      <c r="ACN174" s="302"/>
      <c r="ACO174" s="302"/>
      <c r="ACP174" s="302"/>
      <c r="ACQ174" s="302"/>
      <c r="ACR174" s="302"/>
      <c r="ACS174" s="302"/>
      <c r="ACT174" s="302"/>
      <c r="ACU174" s="302"/>
      <c r="ACV174" s="302"/>
      <c r="ACW174" s="302"/>
      <c r="ACX174" s="302"/>
      <c r="ACY174" s="302"/>
      <c r="ACZ174" s="302"/>
      <c r="ADA174" s="302"/>
      <c r="ADB174" s="302"/>
      <c r="ADC174" s="302"/>
      <c r="ADD174" s="302"/>
      <c r="ADE174" s="302"/>
      <c r="ADF174" s="302"/>
      <c r="ADG174" s="302"/>
      <c r="ADH174" s="302"/>
      <c r="ADI174" s="302"/>
      <c r="ADJ174" s="302"/>
      <c r="ADK174" s="302"/>
      <c r="ADL174" s="302"/>
      <c r="ADM174" s="302"/>
      <c r="ADN174" s="302"/>
      <c r="ADO174" s="302"/>
      <c r="ADP174" s="302"/>
      <c r="ADQ174" s="302"/>
      <c r="ADR174" s="302"/>
      <c r="ADS174" s="302"/>
      <c r="ADT174" s="302"/>
      <c r="ADU174" s="302"/>
      <c r="ADV174" s="302"/>
      <c r="ADW174" s="302"/>
      <c r="ADX174" s="302"/>
      <c r="ADY174" s="302"/>
      <c r="ADZ174" s="302"/>
      <c r="AEA174" s="302"/>
      <c r="AEB174" s="302"/>
      <c r="AEC174" s="302"/>
      <c r="AED174" s="302"/>
      <c r="AEE174" s="302"/>
      <c r="AEF174" s="302"/>
      <c r="AEG174" s="302"/>
      <c r="AEH174" s="302"/>
      <c r="AEI174" s="302"/>
      <c r="AEJ174" s="302"/>
      <c r="AEK174" s="302"/>
      <c r="AEL174" s="302"/>
      <c r="AEM174" s="302"/>
      <c r="AEN174" s="302"/>
      <c r="AEO174" s="302"/>
      <c r="AEP174" s="302"/>
      <c r="AEQ174" s="302"/>
      <c r="AER174" s="302"/>
      <c r="AES174" s="302"/>
      <c r="AET174" s="302"/>
      <c r="AEU174" s="302"/>
      <c r="AEV174" s="302"/>
      <c r="AEW174" s="302"/>
      <c r="AEX174" s="302"/>
      <c r="AEY174" s="302"/>
      <c r="AEZ174" s="302"/>
      <c r="AFA174" s="302"/>
      <c r="AFB174" s="302"/>
      <c r="AFC174" s="302"/>
      <c r="AFD174" s="302"/>
      <c r="AFE174" s="302"/>
      <c r="AFF174" s="302"/>
      <c r="AFG174" s="302"/>
      <c r="AFH174" s="302"/>
      <c r="AFI174" s="302"/>
      <c r="AFJ174" s="302"/>
      <c r="AFK174" s="302"/>
      <c r="AFL174" s="302"/>
      <c r="AFM174" s="302"/>
      <c r="AFN174" s="302"/>
      <c r="AFO174" s="302"/>
      <c r="AFP174" s="302"/>
      <c r="AFQ174" s="302"/>
      <c r="AFR174" s="302"/>
      <c r="AFS174" s="302"/>
      <c r="AFT174" s="302"/>
      <c r="AFU174" s="302"/>
      <c r="AFV174" s="302"/>
      <c r="AFW174" s="302"/>
      <c r="AFX174" s="302"/>
      <c r="AFY174" s="302"/>
      <c r="AFZ174" s="302"/>
      <c r="AGA174" s="302"/>
      <c r="AGB174" s="302"/>
      <c r="AGC174" s="302"/>
      <c r="AGD174" s="302"/>
      <c r="AGE174" s="302"/>
      <c r="AGF174" s="302"/>
      <c r="AGG174" s="302"/>
      <c r="AGH174" s="302"/>
      <c r="AGI174" s="302"/>
      <c r="AGJ174" s="302"/>
      <c r="AGK174" s="302"/>
      <c r="AGL174" s="302"/>
      <c r="AGM174" s="302"/>
      <c r="AGN174" s="302"/>
      <c r="AGO174" s="302"/>
      <c r="AGP174" s="302"/>
      <c r="AGQ174" s="302"/>
      <c r="AGR174" s="302"/>
      <c r="AGS174" s="302"/>
      <c r="AGT174" s="302"/>
      <c r="AGU174" s="302"/>
      <c r="AGV174" s="302"/>
      <c r="AGW174" s="302"/>
      <c r="AGX174" s="302"/>
      <c r="AGY174" s="302"/>
      <c r="AGZ174" s="302"/>
      <c r="AHA174" s="302"/>
      <c r="AHB174" s="302"/>
      <c r="AHC174" s="302"/>
      <c r="AHD174" s="302"/>
      <c r="AHE174" s="302"/>
      <c r="AHF174" s="302"/>
      <c r="AHG174" s="302"/>
      <c r="AHH174" s="302"/>
      <c r="AHI174" s="302"/>
      <c r="AHJ174" s="302"/>
      <c r="AHK174" s="302"/>
      <c r="AHL174" s="302"/>
      <c r="AHM174" s="302"/>
      <c r="AHN174" s="302"/>
      <c r="AHO174" s="302"/>
      <c r="AHP174" s="302"/>
      <c r="AHQ174" s="302"/>
      <c r="AHR174" s="302"/>
      <c r="AHS174" s="302"/>
      <c r="AHT174" s="302"/>
      <c r="AHU174" s="302"/>
      <c r="AHV174" s="302"/>
      <c r="AHW174" s="302"/>
      <c r="AHX174" s="302"/>
      <c r="AHY174" s="302"/>
      <c r="AHZ174" s="302"/>
      <c r="AIA174" s="302"/>
      <c r="AIB174" s="302"/>
      <c r="AIC174" s="302"/>
      <c r="AID174" s="302"/>
      <c r="AIE174" s="302"/>
      <c r="AIF174" s="302"/>
      <c r="AIG174" s="302"/>
      <c r="AIH174" s="302"/>
      <c r="AII174" s="302"/>
      <c r="AIJ174" s="302"/>
      <c r="AIK174" s="302"/>
      <c r="AIL174" s="302"/>
      <c r="AIM174" s="302"/>
      <c r="AIN174" s="302"/>
      <c r="AIO174" s="302"/>
      <c r="AIP174" s="302"/>
      <c r="AIQ174" s="302"/>
      <c r="AIR174" s="302"/>
      <c r="AIS174" s="302"/>
      <c r="AIT174" s="302"/>
      <c r="AIU174" s="302"/>
      <c r="AIV174" s="302"/>
      <c r="AIW174" s="302"/>
      <c r="AIX174" s="302"/>
      <c r="AIY174" s="302"/>
      <c r="AIZ174" s="302"/>
      <c r="AJA174" s="302"/>
      <c r="AJB174" s="302"/>
      <c r="AJC174" s="302"/>
      <c r="AJD174" s="302"/>
      <c r="AJE174" s="302"/>
      <c r="AJF174" s="302"/>
      <c r="AJG174" s="302"/>
      <c r="AJH174" s="302"/>
      <c r="AJI174" s="302"/>
      <c r="AJJ174" s="302"/>
      <c r="AJK174" s="302"/>
      <c r="AJL174" s="302"/>
      <c r="AJM174" s="302"/>
      <c r="AJN174" s="302"/>
      <c r="AJO174" s="302"/>
      <c r="AJP174" s="302"/>
      <c r="AJQ174" s="302"/>
      <c r="AJR174" s="302"/>
      <c r="AJS174" s="302"/>
      <c r="AJT174" s="302"/>
      <c r="AJU174" s="302"/>
      <c r="AJV174" s="302"/>
      <c r="AJW174" s="302"/>
      <c r="AJX174" s="302"/>
      <c r="AJY174" s="302"/>
      <c r="AJZ174" s="302"/>
      <c r="AKA174" s="302"/>
      <c r="AKB174" s="302"/>
      <c r="AKC174" s="302"/>
      <c r="AKD174" s="302"/>
      <c r="AKE174" s="302"/>
      <c r="AKF174" s="302"/>
      <c r="AKG174" s="302"/>
      <c r="AKH174" s="302"/>
      <c r="AKI174" s="302"/>
      <c r="AKJ174" s="302"/>
      <c r="AKK174" s="302"/>
      <c r="AKL174" s="302"/>
      <c r="AKM174" s="302"/>
      <c r="AKN174" s="302"/>
      <c r="AKO174" s="302"/>
      <c r="AKP174" s="302"/>
      <c r="AKQ174" s="302"/>
      <c r="AKR174" s="302"/>
      <c r="AKS174" s="302"/>
      <c r="AKT174" s="302"/>
      <c r="AKU174" s="302"/>
      <c r="AKV174" s="302"/>
      <c r="AKW174" s="302"/>
      <c r="AKX174" s="302"/>
      <c r="AKY174" s="302"/>
      <c r="AKZ174" s="302"/>
      <c r="ALA174" s="302"/>
      <c r="ALB174" s="302"/>
      <c r="ALC174" s="302"/>
      <c r="ALD174" s="302"/>
      <c r="ALE174" s="302"/>
      <c r="ALF174" s="302"/>
      <c r="ALG174" s="302"/>
      <c r="ALH174" s="302"/>
      <c r="ALI174" s="302"/>
      <c r="ALJ174" s="302"/>
      <c r="ALK174" s="302"/>
      <c r="ALL174" s="302"/>
      <c r="ALM174" s="302"/>
      <c r="ALN174" s="302"/>
      <c r="ALO174" s="302"/>
      <c r="ALP174" s="302"/>
      <c r="ALQ174" s="302"/>
      <c r="ALR174" s="302"/>
      <c r="ALS174" s="302"/>
      <c r="ALT174" s="302"/>
      <c r="ALU174" s="302"/>
      <c r="ALV174" s="302"/>
      <c r="ALW174" s="302"/>
      <c r="ALX174" s="302"/>
      <c r="ALY174" s="302"/>
      <c r="ALZ174" s="302"/>
      <c r="AMA174" s="302"/>
      <c r="AMB174" s="302"/>
      <c r="AMC174" s="302"/>
      <c r="AMD174" s="302"/>
      <c r="AME174" s="302"/>
      <c r="AMF174" s="302"/>
      <c r="AMG174" s="302"/>
      <c r="AMH174" s="302"/>
      <c r="AMI174" s="302"/>
    </row>
    <row r="175" spans="1:1023" hidden="1">
      <c r="A175" s="302"/>
      <c r="B175" s="15">
        <v>13828</v>
      </c>
      <c r="C175" s="113">
        <v>0.1</v>
      </c>
      <c r="D175" s="16" t="s">
        <v>110</v>
      </c>
      <c r="E175" s="12">
        <v>2400000</v>
      </c>
      <c r="F175" s="363">
        <v>0.02</v>
      </c>
      <c r="G175" s="364">
        <f>E175*F175</f>
        <v>48000</v>
      </c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2"/>
      <c r="AE175" s="302"/>
      <c r="AF175" s="302"/>
      <c r="AG175" s="302"/>
      <c r="AH175" s="302"/>
      <c r="AI175" s="302"/>
      <c r="AJ175" s="302"/>
      <c r="AK175" s="302"/>
      <c r="AL175" s="302"/>
      <c r="AM175" s="302"/>
      <c r="AN175" s="302"/>
      <c r="AO175" s="302"/>
      <c r="AP175" s="302"/>
      <c r="AQ175" s="302"/>
      <c r="AR175" s="302"/>
      <c r="AS175" s="302"/>
      <c r="AT175" s="302"/>
      <c r="AU175" s="302"/>
      <c r="AV175" s="302"/>
      <c r="AW175" s="302"/>
      <c r="AX175" s="302"/>
      <c r="AY175" s="302"/>
      <c r="AZ175" s="302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K175" s="302"/>
      <c r="BL175" s="302"/>
      <c r="BM175" s="302"/>
      <c r="BN175" s="302"/>
      <c r="BO175" s="302"/>
      <c r="BP175" s="302"/>
      <c r="BQ175" s="302"/>
      <c r="BR175" s="302"/>
      <c r="BS175" s="302"/>
      <c r="BT175" s="302"/>
      <c r="BU175" s="302"/>
      <c r="BV175" s="302"/>
      <c r="BW175" s="302"/>
      <c r="BX175" s="302"/>
      <c r="BY175" s="302"/>
      <c r="BZ175" s="302"/>
      <c r="CA175" s="302"/>
      <c r="CB175" s="302"/>
      <c r="CC175" s="302"/>
      <c r="CD175" s="302"/>
      <c r="CE175" s="302"/>
      <c r="CF175" s="302"/>
      <c r="CG175" s="302"/>
      <c r="CH175" s="302"/>
      <c r="CI175" s="302"/>
      <c r="CJ175" s="302"/>
      <c r="CK175" s="302"/>
      <c r="CL175" s="302"/>
      <c r="CM175" s="302"/>
      <c r="CN175" s="302"/>
      <c r="CO175" s="302"/>
      <c r="CP175" s="302"/>
      <c r="CQ175" s="302"/>
      <c r="CR175" s="302"/>
      <c r="CS175" s="302"/>
      <c r="CT175" s="302"/>
      <c r="CU175" s="302"/>
      <c r="CV175" s="302"/>
      <c r="CW175" s="302"/>
      <c r="CX175" s="302"/>
      <c r="CY175" s="302"/>
      <c r="CZ175" s="302"/>
      <c r="DA175" s="302"/>
      <c r="DB175" s="302"/>
      <c r="DC175" s="302"/>
      <c r="DD175" s="302"/>
      <c r="DE175" s="302"/>
      <c r="DF175" s="302"/>
      <c r="DG175" s="302"/>
      <c r="DH175" s="302"/>
      <c r="DI175" s="302"/>
      <c r="DJ175" s="302"/>
      <c r="DK175" s="302"/>
      <c r="DL175" s="302"/>
      <c r="DM175" s="302"/>
      <c r="DN175" s="302"/>
      <c r="DO175" s="302"/>
      <c r="DP175" s="302"/>
      <c r="DQ175" s="302"/>
      <c r="DR175" s="302"/>
      <c r="DS175" s="302"/>
      <c r="DT175" s="302"/>
      <c r="DU175" s="302"/>
      <c r="DV175" s="302"/>
      <c r="DW175" s="302"/>
      <c r="DX175" s="302"/>
      <c r="DY175" s="302"/>
      <c r="DZ175" s="302"/>
      <c r="EA175" s="302"/>
      <c r="EB175" s="302"/>
      <c r="EC175" s="302"/>
      <c r="ED175" s="302"/>
      <c r="EE175" s="302"/>
      <c r="EF175" s="302"/>
      <c r="EG175" s="302"/>
      <c r="EH175" s="302"/>
      <c r="EI175" s="302"/>
      <c r="EJ175" s="302"/>
      <c r="EK175" s="302"/>
      <c r="EL175" s="302"/>
      <c r="EM175" s="302"/>
      <c r="EN175" s="302"/>
      <c r="EO175" s="302"/>
      <c r="EP175" s="302"/>
      <c r="EQ175" s="302"/>
      <c r="ER175" s="302"/>
      <c r="ES175" s="302"/>
      <c r="ET175" s="302"/>
      <c r="EU175" s="302"/>
      <c r="EV175" s="302"/>
      <c r="EW175" s="302"/>
      <c r="EX175" s="302"/>
      <c r="EY175" s="302"/>
      <c r="EZ175" s="302"/>
      <c r="FA175" s="302"/>
      <c r="FB175" s="302"/>
      <c r="FC175" s="302"/>
      <c r="FD175" s="302"/>
      <c r="FE175" s="302"/>
      <c r="FF175" s="302"/>
      <c r="FG175" s="302"/>
      <c r="FH175" s="302"/>
      <c r="FI175" s="302"/>
      <c r="FJ175" s="302"/>
      <c r="FK175" s="302"/>
      <c r="FL175" s="302"/>
      <c r="FM175" s="302"/>
      <c r="FN175" s="302"/>
      <c r="FO175" s="302"/>
      <c r="FP175" s="302"/>
      <c r="FQ175" s="302"/>
      <c r="FR175" s="302"/>
      <c r="FS175" s="302"/>
      <c r="FT175" s="302"/>
      <c r="FU175" s="302"/>
      <c r="FV175" s="302"/>
      <c r="FW175" s="302"/>
      <c r="FX175" s="302"/>
      <c r="FY175" s="302"/>
      <c r="FZ175" s="302"/>
      <c r="GA175" s="302"/>
      <c r="GB175" s="302"/>
      <c r="GC175" s="302"/>
      <c r="GD175" s="302"/>
      <c r="GE175" s="302"/>
      <c r="GF175" s="302"/>
      <c r="GG175" s="302"/>
      <c r="GH175" s="302"/>
      <c r="GI175" s="302"/>
      <c r="GJ175" s="302"/>
      <c r="GK175" s="302"/>
      <c r="GL175" s="302"/>
      <c r="GM175" s="302"/>
      <c r="GN175" s="302"/>
      <c r="GO175" s="302"/>
      <c r="GP175" s="302"/>
      <c r="GQ175" s="302"/>
      <c r="GR175" s="302"/>
      <c r="GS175" s="302"/>
      <c r="GT175" s="302"/>
      <c r="GU175" s="302"/>
      <c r="GV175" s="302"/>
      <c r="GW175" s="302"/>
      <c r="GX175" s="302"/>
      <c r="GY175" s="302"/>
      <c r="GZ175" s="302"/>
      <c r="HA175" s="302"/>
      <c r="HB175" s="302"/>
      <c r="HC175" s="302"/>
      <c r="HD175" s="302"/>
      <c r="HE175" s="302"/>
      <c r="HF175" s="302"/>
      <c r="HG175" s="302"/>
      <c r="HH175" s="302"/>
      <c r="HI175" s="302"/>
      <c r="HJ175" s="302"/>
      <c r="HK175" s="302"/>
      <c r="HL175" s="302"/>
      <c r="HM175" s="302"/>
      <c r="HN175" s="302"/>
      <c r="HO175" s="302"/>
      <c r="HP175" s="302"/>
      <c r="HQ175" s="302"/>
      <c r="HR175" s="302"/>
      <c r="HS175" s="302"/>
      <c r="HT175" s="302"/>
      <c r="HU175" s="302"/>
      <c r="HV175" s="302"/>
      <c r="HW175" s="302"/>
      <c r="HX175" s="302"/>
      <c r="HY175" s="302"/>
      <c r="HZ175" s="302"/>
      <c r="IA175" s="302"/>
      <c r="IB175" s="302"/>
      <c r="IC175" s="302"/>
      <c r="ID175" s="302"/>
      <c r="IE175" s="302"/>
      <c r="IF175" s="302"/>
      <c r="IG175" s="302"/>
      <c r="IH175" s="302"/>
      <c r="II175" s="302"/>
      <c r="IJ175" s="302"/>
      <c r="IK175" s="302"/>
      <c r="IL175" s="302"/>
      <c r="IM175" s="302"/>
      <c r="IN175" s="302"/>
      <c r="IO175" s="302"/>
      <c r="IP175" s="302"/>
      <c r="IQ175" s="302"/>
      <c r="IR175" s="302"/>
      <c r="IS175" s="302"/>
      <c r="IT175" s="302"/>
      <c r="IU175" s="302"/>
      <c r="IV175" s="302"/>
      <c r="IW175" s="302"/>
      <c r="IX175" s="302"/>
      <c r="IY175" s="302"/>
      <c r="IZ175" s="302"/>
      <c r="JA175" s="302"/>
      <c r="JB175" s="302"/>
      <c r="JC175" s="302"/>
      <c r="JD175" s="302"/>
      <c r="JE175" s="302"/>
      <c r="JF175" s="302"/>
      <c r="JG175" s="302"/>
      <c r="JH175" s="302"/>
      <c r="JI175" s="302"/>
      <c r="JJ175" s="302"/>
      <c r="JK175" s="302"/>
      <c r="JL175" s="302"/>
      <c r="JM175" s="302"/>
      <c r="JN175" s="302"/>
      <c r="JO175" s="302"/>
      <c r="JP175" s="302"/>
      <c r="JQ175" s="302"/>
      <c r="JR175" s="302"/>
      <c r="JS175" s="302"/>
      <c r="JT175" s="302"/>
      <c r="JU175" s="302"/>
      <c r="JV175" s="302"/>
      <c r="JW175" s="302"/>
      <c r="JX175" s="302"/>
      <c r="JY175" s="302"/>
      <c r="JZ175" s="302"/>
      <c r="KA175" s="302"/>
      <c r="KB175" s="302"/>
      <c r="KC175" s="302"/>
      <c r="KD175" s="302"/>
      <c r="KE175" s="302"/>
      <c r="KF175" s="302"/>
      <c r="KG175" s="302"/>
      <c r="KH175" s="302"/>
      <c r="KI175" s="302"/>
      <c r="KJ175" s="302"/>
      <c r="KK175" s="302"/>
      <c r="KL175" s="302"/>
      <c r="KM175" s="302"/>
      <c r="KN175" s="302"/>
      <c r="KO175" s="302"/>
      <c r="KP175" s="302"/>
      <c r="KQ175" s="302"/>
      <c r="KR175" s="302"/>
      <c r="KS175" s="302"/>
      <c r="KT175" s="302"/>
      <c r="KU175" s="302"/>
      <c r="KV175" s="302"/>
      <c r="KW175" s="302"/>
      <c r="KX175" s="302"/>
      <c r="KY175" s="302"/>
      <c r="KZ175" s="302"/>
      <c r="LA175" s="302"/>
      <c r="LB175" s="302"/>
      <c r="LC175" s="302"/>
      <c r="LD175" s="302"/>
      <c r="LE175" s="302"/>
      <c r="LF175" s="302"/>
      <c r="LG175" s="302"/>
      <c r="LH175" s="302"/>
      <c r="LI175" s="302"/>
      <c r="LJ175" s="302"/>
      <c r="LK175" s="302"/>
      <c r="LL175" s="302"/>
      <c r="LM175" s="302"/>
      <c r="LN175" s="302"/>
      <c r="LO175" s="302"/>
      <c r="LP175" s="302"/>
      <c r="LQ175" s="302"/>
      <c r="LR175" s="302"/>
      <c r="LS175" s="302"/>
      <c r="LT175" s="302"/>
      <c r="LU175" s="302"/>
      <c r="LV175" s="302"/>
      <c r="LW175" s="302"/>
      <c r="LX175" s="302"/>
      <c r="LY175" s="302"/>
      <c r="LZ175" s="302"/>
      <c r="MA175" s="302"/>
      <c r="MB175" s="302"/>
      <c r="MC175" s="302"/>
      <c r="MD175" s="302"/>
      <c r="ME175" s="302"/>
      <c r="MF175" s="302"/>
      <c r="MG175" s="302"/>
      <c r="MH175" s="302"/>
      <c r="MI175" s="302"/>
      <c r="MJ175" s="302"/>
      <c r="MK175" s="302"/>
      <c r="ML175" s="302"/>
      <c r="MM175" s="302"/>
      <c r="MN175" s="302"/>
      <c r="MO175" s="302"/>
      <c r="MP175" s="302"/>
      <c r="MQ175" s="302"/>
      <c r="MR175" s="302"/>
      <c r="MS175" s="302"/>
      <c r="MT175" s="302"/>
      <c r="MU175" s="302"/>
      <c r="MV175" s="302"/>
      <c r="MW175" s="302"/>
      <c r="MX175" s="302"/>
      <c r="MY175" s="302"/>
      <c r="MZ175" s="302"/>
      <c r="NA175" s="302"/>
      <c r="NB175" s="302"/>
      <c r="NC175" s="302"/>
      <c r="ND175" s="302"/>
      <c r="NE175" s="302"/>
      <c r="NF175" s="302"/>
      <c r="NG175" s="302"/>
      <c r="NH175" s="302"/>
      <c r="NI175" s="302"/>
      <c r="NJ175" s="302"/>
      <c r="NK175" s="302"/>
      <c r="NL175" s="302"/>
      <c r="NM175" s="302"/>
      <c r="NN175" s="302"/>
      <c r="NO175" s="302"/>
      <c r="NP175" s="302"/>
      <c r="NQ175" s="302"/>
      <c r="NR175" s="302"/>
      <c r="NS175" s="302"/>
      <c r="NT175" s="302"/>
      <c r="NU175" s="302"/>
      <c r="NV175" s="302"/>
      <c r="NW175" s="302"/>
      <c r="NX175" s="302"/>
      <c r="NY175" s="302"/>
      <c r="NZ175" s="302"/>
      <c r="OA175" s="302"/>
      <c r="OB175" s="302"/>
      <c r="OC175" s="302"/>
      <c r="OD175" s="302"/>
      <c r="OE175" s="302"/>
      <c r="OF175" s="302"/>
      <c r="OG175" s="302"/>
      <c r="OH175" s="302"/>
      <c r="OI175" s="302"/>
      <c r="OJ175" s="302"/>
      <c r="OK175" s="302"/>
      <c r="OL175" s="302"/>
      <c r="OM175" s="302"/>
      <c r="ON175" s="302"/>
      <c r="OO175" s="302"/>
      <c r="OP175" s="302"/>
      <c r="OQ175" s="302"/>
      <c r="OR175" s="302"/>
      <c r="OS175" s="302"/>
      <c r="OT175" s="302"/>
      <c r="OU175" s="302"/>
      <c r="OV175" s="302"/>
      <c r="OW175" s="302"/>
      <c r="OX175" s="302"/>
      <c r="OY175" s="302"/>
      <c r="OZ175" s="302"/>
      <c r="PA175" s="302"/>
      <c r="PB175" s="302"/>
      <c r="PC175" s="302"/>
      <c r="PD175" s="302"/>
      <c r="PE175" s="302"/>
      <c r="PF175" s="302"/>
      <c r="PG175" s="302"/>
      <c r="PH175" s="302"/>
      <c r="PI175" s="302"/>
      <c r="PJ175" s="302"/>
      <c r="PK175" s="302"/>
      <c r="PL175" s="302"/>
      <c r="PM175" s="302"/>
      <c r="PN175" s="302"/>
      <c r="PO175" s="302"/>
      <c r="PP175" s="302"/>
      <c r="PQ175" s="302"/>
      <c r="PR175" s="302"/>
      <c r="PS175" s="302"/>
      <c r="PT175" s="302"/>
      <c r="PU175" s="302"/>
      <c r="PV175" s="302"/>
      <c r="PW175" s="302"/>
      <c r="PX175" s="302"/>
      <c r="PY175" s="302"/>
      <c r="PZ175" s="302"/>
      <c r="QA175" s="302"/>
      <c r="QB175" s="302"/>
      <c r="QC175" s="302"/>
      <c r="QD175" s="302"/>
      <c r="QE175" s="302"/>
      <c r="QF175" s="302"/>
      <c r="QG175" s="302"/>
      <c r="QH175" s="302"/>
      <c r="QI175" s="302"/>
      <c r="QJ175" s="302"/>
      <c r="QK175" s="302"/>
      <c r="QL175" s="302"/>
      <c r="QM175" s="302"/>
      <c r="QN175" s="302"/>
      <c r="QO175" s="302"/>
      <c r="QP175" s="302"/>
      <c r="QQ175" s="302"/>
      <c r="QR175" s="302"/>
      <c r="QS175" s="302"/>
      <c r="QT175" s="302"/>
      <c r="QU175" s="302"/>
      <c r="QV175" s="302"/>
      <c r="QW175" s="302"/>
      <c r="QX175" s="302"/>
      <c r="QY175" s="302"/>
      <c r="QZ175" s="302"/>
      <c r="RA175" s="302"/>
      <c r="RB175" s="302"/>
      <c r="RC175" s="302"/>
      <c r="RD175" s="302"/>
      <c r="RE175" s="302"/>
      <c r="RF175" s="302"/>
      <c r="RG175" s="302"/>
      <c r="RH175" s="302"/>
      <c r="RI175" s="302"/>
      <c r="RJ175" s="302"/>
      <c r="RK175" s="302"/>
      <c r="RL175" s="302"/>
      <c r="RM175" s="302"/>
      <c r="RN175" s="302"/>
      <c r="RO175" s="302"/>
      <c r="RP175" s="302"/>
      <c r="RQ175" s="302"/>
      <c r="RR175" s="302"/>
      <c r="RS175" s="302"/>
      <c r="RT175" s="302"/>
      <c r="RU175" s="302"/>
      <c r="RV175" s="302"/>
      <c r="RW175" s="302"/>
      <c r="RX175" s="302"/>
      <c r="RY175" s="302"/>
      <c r="RZ175" s="302"/>
      <c r="SA175" s="302"/>
      <c r="SB175" s="302"/>
      <c r="SC175" s="302"/>
      <c r="SD175" s="302"/>
      <c r="SE175" s="302"/>
      <c r="SF175" s="302"/>
      <c r="SG175" s="302"/>
      <c r="SH175" s="302"/>
      <c r="SI175" s="302"/>
      <c r="SJ175" s="302"/>
      <c r="SK175" s="302"/>
      <c r="SL175" s="302"/>
      <c r="SM175" s="302"/>
      <c r="SN175" s="302"/>
      <c r="SO175" s="302"/>
      <c r="SP175" s="302"/>
      <c r="SQ175" s="302"/>
      <c r="SR175" s="302"/>
      <c r="SS175" s="302"/>
      <c r="ST175" s="302"/>
      <c r="SU175" s="302"/>
      <c r="SV175" s="302"/>
      <c r="SW175" s="302"/>
      <c r="SX175" s="302"/>
      <c r="SY175" s="302"/>
      <c r="SZ175" s="302"/>
      <c r="TA175" s="302"/>
      <c r="TB175" s="302"/>
      <c r="TC175" s="302"/>
      <c r="TD175" s="302"/>
      <c r="TE175" s="302"/>
      <c r="TF175" s="302"/>
      <c r="TG175" s="302"/>
      <c r="TH175" s="302"/>
      <c r="TI175" s="302"/>
      <c r="TJ175" s="302"/>
      <c r="TK175" s="302"/>
      <c r="TL175" s="302"/>
      <c r="TM175" s="302"/>
      <c r="TN175" s="302"/>
      <c r="TO175" s="302"/>
      <c r="TP175" s="302"/>
      <c r="TQ175" s="302"/>
      <c r="TR175" s="302"/>
      <c r="TS175" s="302"/>
      <c r="TT175" s="302"/>
      <c r="TU175" s="302"/>
      <c r="TV175" s="302"/>
      <c r="TW175" s="302"/>
      <c r="TX175" s="302"/>
      <c r="TY175" s="302"/>
      <c r="TZ175" s="302"/>
      <c r="UA175" s="302"/>
      <c r="UB175" s="302"/>
      <c r="UC175" s="302"/>
      <c r="UD175" s="302"/>
      <c r="UE175" s="302"/>
      <c r="UF175" s="302"/>
      <c r="UG175" s="302"/>
      <c r="UH175" s="302"/>
      <c r="UI175" s="302"/>
      <c r="UJ175" s="302"/>
      <c r="UK175" s="302"/>
      <c r="UL175" s="302"/>
      <c r="UM175" s="302"/>
      <c r="UN175" s="302"/>
      <c r="UO175" s="302"/>
      <c r="UP175" s="302"/>
      <c r="UQ175" s="302"/>
      <c r="UR175" s="302"/>
      <c r="US175" s="302"/>
      <c r="UT175" s="302"/>
      <c r="UU175" s="302"/>
      <c r="UV175" s="302"/>
      <c r="UW175" s="302"/>
      <c r="UX175" s="302"/>
      <c r="UY175" s="302"/>
      <c r="UZ175" s="302"/>
      <c r="VA175" s="302"/>
      <c r="VB175" s="302"/>
      <c r="VC175" s="302"/>
      <c r="VD175" s="302"/>
      <c r="VE175" s="302"/>
      <c r="VF175" s="302"/>
      <c r="VG175" s="302"/>
      <c r="VH175" s="302"/>
      <c r="VI175" s="302"/>
      <c r="VJ175" s="302"/>
      <c r="VK175" s="302"/>
      <c r="VL175" s="302"/>
      <c r="VM175" s="302"/>
      <c r="VN175" s="302"/>
      <c r="VO175" s="302"/>
      <c r="VP175" s="302"/>
      <c r="VQ175" s="302"/>
      <c r="VR175" s="302"/>
      <c r="VS175" s="302"/>
      <c r="VT175" s="302"/>
      <c r="VU175" s="302"/>
      <c r="VV175" s="302"/>
      <c r="VW175" s="302"/>
      <c r="VX175" s="302"/>
      <c r="VY175" s="302"/>
      <c r="VZ175" s="302"/>
      <c r="WA175" s="302"/>
      <c r="WB175" s="302"/>
      <c r="WC175" s="302"/>
      <c r="WD175" s="302"/>
      <c r="WE175" s="302"/>
      <c r="WF175" s="302"/>
      <c r="WG175" s="302"/>
      <c r="WH175" s="302"/>
      <c r="WI175" s="302"/>
      <c r="WJ175" s="302"/>
      <c r="WK175" s="302"/>
      <c r="WL175" s="302"/>
      <c r="WM175" s="302"/>
      <c r="WN175" s="302"/>
      <c r="WO175" s="302"/>
      <c r="WP175" s="302"/>
      <c r="WQ175" s="302"/>
      <c r="WR175" s="302"/>
      <c r="WS175" s="302"/>
      <c r="WT175" s="302"/>
      <c r="WU175" s="302"/>
      <c r="WV175" s="302"/>
      <c r="WW175" s="302"/>
      <c r="WX175" s="302"/>
      <c r="WY175" s="302"/>
      <c r="WZ175" s="302"/>
      <c r="XA175" s="302"/>
      <c r="XB175" s="302"/>
      <c r="XC175" s="302"/>
      <c r="XD175" s="302"/>
      <c r="XE175" s="302"/>
      <c r="XF175" s="302"/>
      <c r="XG175" s="302"/>
      <c r="XH175" s="302"/>
      <c r="XI175" s="302"/>
      <c r="XJ175" s="302"/>
      <c r="XK175" s="302"/>
      <c r="XL175" s="302"/>
      <c r="XM175" s="302"/>
      <c r="XN175" s="302"/>
      <c r="XO175" s="302"/>
      <c r="XP175" s="302"/>
      <c r="XQ175" s="302"/>
      <c r="XR175" s="302"/>
      <c r="XS175" s="302"/>
      <c r="XT175" s="302"/>
      <c r="XU175" s="302"/>
      <c r="XV175" s="302"/>
      <c r="XW175" s="302"/>
      <c r="XX175" s="302"/>
      <c r="XY175" s="302"/>
      <c r="XZ175" s="302"/>
      <c r="YA175" s="302"/>
      <c r="YB175" s="302"/>
      <c r="YC175" s="302"/>
      <c r="YD175" s="302"/>
      <c r="YE175" s="302"/>
      <c r="YF175" s="302"/>
      <c r="YG175" s="302"/>
      <c r="YH175" s="302"/>
      <c r="YI175" s="302"/>
      <c r="YJ175" s="302"/>
      <c r="YK175" s="302"/>
      <c r="YL175" s="302"/>
      <c r="YM175" s="302"/>
      <c r="YN175" s="302"/>
      <c r="YO175" s="302"/>
      <c r="YP175" s="302"/>
      <c r="YQ175" s="302"/>
      <c r="YR175" s="302"/>
      <c r="YS175" s="302"/>
      <c r="YT175" s="302"/>
      <c r="YU175" s="302"/>
      <c r="YV175" s="302"/>
      <c r="YW175" s="302"/>
      <c r="YX175" s="302"/>
      <c r="YY175" s="302"/>
      <c r="YZ175" s="302"/>
      <c r="ZA175" s="302"/>
      <c r="ZB175" s="302"/>
      <c r="ZC175" s="302"/>
      <c r="ZD175" s="302"/>
      <c r="ZE175" s="302"/>
      <c r="ZF175" s="302"/>
      <c r="ZG175" s="302"/>
      <c r="ZH175" s="302"/>
      <c r="ZI175" s="302"/>
      <c r="ZJ175" s="302"/>
      <c r="ZK175" s="302"/>
      <c r="ZL175" s="302"/>
      <c r="ZM175" s="302"/>
      <c r="ZN175" s="302"/>
      <c r="ZO175" s="302"/>
      <c r="ZP175" s="302"/>
      <c r="ZQ175" s="302"/>
      <c r="ZR175" s="302"/>
      <c r="ZS175" s="302"/>
      <c r="ZT175" s="302"/>
      <c r="ZU175" s="302"/>
      <c r="ZV175" s="302"/>
      <c r="ZW175" s="302"/>
      <c r="ZX175" s="302"/>
      <c r="ZY175" s="302"/>
      <c r="ZZ175" s="302"/>
      <c r="AAA175" s="302"/>
      <c r="AAB175" s="302"/>
      <c r="AAC175" s="302"/>
      <c r="AAD175" s="302"/>
      <c r="AAE175" s="302"/>
      <c r="AAF175" s="302"/>
      <c r="AAG175" s="302"/>
      <c r="AAH175" s="302"/>
      <c r="AAI175" s="302"/>
      <c r="AAJ175" s="302"/>
      <c r="AAK175" s="302"/>
      <c r="AAL175" s="302"/>
      <c r="AAM175" s="302"/>
      <c r="AAN175" s="302"/>
      <c r="AAO175" s="302"/>
      <c r="AAP175" s="302"/>
      <c r="AAQ175" s="302"/>
      <c r="AAR175" s="302"/>
      <c r="AAS175" s="302"/>
      <c r="AAT175" s="302"/>
      <c r="AAU175" s="302"/>
      <c r="AAV175" s="302"/>
      <c r="AAW175" s="302"/>
      <c r="AAX175" s="302"/>
      <c r="AAY175" s="302"/>
      <c r="AAZ175" s="302"/>
      <c r="ABA175" s="302"/>
      <c r="ABB175" s="302"/>
      <c r="ABC175" s="302"/>
      <c r="ABD175" s="302"/>
      <c r="ABE175" s="302"/>
      <c r="ABF175" s="302"/>
      <c r="ABG175" s="302"/>
      <c r="ABH175" s="302"/>
      <c r="ABI175" s="302"/>
      <c r="ABJ175" s="302"/>
      <c r="ABK175" s="302"/>
      <c r="ABL175" s="302"/>
      <c r="ABM175" s="302"/>
      <c r="ABN175" s="302"/>
      <c r="ABO175" s="302"/>
      <c r="ABP175" s="302"/>
      <c r="ABQ175" s="302"/>
      <c r="ABR175" s="302"/>
      <c r="ABS175" s="302"/>
      <c r="ABT175" s="302"/>
      <c r="ABU175" s="302"/>
      <c r="ABV175" s="302"/>
      <c r="ABW175" s="302"/>
      <c r="ABX175" s="302"/>
      <c r="ABY175" s="302"/>
      <c r="ABZ175" s="302"/>
      <c r="ACA175" s="302"/>
      <c r="ACB175" s="302"/>
      <c r="ACC175" s="302"/>
      <c r="ACD175" s="302"/>
      <c r="ACE175" s="302"/>
      <c r="ACF175" s="302"/>
      <c r="ACG175" s="302"/>
      <c r="ACH175" s="302"/>
      <c r="ACI175" s="302"/>
      <c r="ACJ175" s="302"/>
      <c r="ACK175" s="302"/>
      <c r="ACL175" s="302"/>
      <c r="ACM175" s="302"/>
      <c r="ACN175" s="302"/>
      <c r="ACO175" s="302"/>
      <c r="ACP175" s="302"/>
      <c r="ACQ175" s="302"/>
      <c r="ACR175" s="302"/>
      <c r="ACS175" s="302"/>
      <c r="ACT175" s="302"/>
      <c r="ACU175" s="302"/>
      <c r="ACV175" s="302"/>
      <c r="ACW175" s="302"/>
      <c r="ACX175" s="302"/>
      <c r="ACY175" s="302"/>
      <c r="ACZ175" s="302"/>
      <c r="ADA175" s="302"/>
      <c r="ADB175" s="302"/>
      <c r="ADC175" s="302"/>
      <c r="ADD175" s="302"/>
      <c r="ADE175" s="302"/>
      <c r="ADF175" s="302"/>
      <c r="ADG175" s="302"/>
      <c r="ADH175" s="302"/>
      <c r="ADI175" s="302"/>
      <c r="ADJ175" s="302"/>
      <c r="ADK175" s="302"/>
      <c r="ADL175" s="302"/>
      <c r="ADM175" s="302"/>
      <c r="ADN175" s="302"/>
      <c r="ADO175" s="302"/>
      <c r="ADP175" s="302"/>
      <c r="ADQ175" s="302"/>
      <c r="ADR175" s="302"/>
      <c r="ADS175" s="302"/>
      <c r="ADT175" s="302"/>
      <c r="ADU175" s="302"/>
      <c r="ADV175" s="302"/>
      <c r="ADW175" s="302"/>
      <c r="ADX175" s="302"/>
      <c r="ADY175" s="302"/>
      <c r="ADZ175" s="302"/>
      <c r="AEA175" s="302"/>
      <c r="AEB175" s="302"/>
      <c r="AEC175" s="302"/>
      <c r="AED175" s="302"/>
      <c r="AEE175" s="302"/>
      <c r="AEF175" s="302"/>
      <c r="AEG175" s="302"/>
      <c r="AEH175" s="302"/>
      <c r="AEI175" s="302"/>
      <c r="AEJ175" s="302"/>
      <c r="AEK175" s="302"/>
      <c r="AEL175" s="302"/>
      <c r="AEM175" s="302"/>
      <c r="AEN175" s="302"/>
      <c r="AEO175" s="302"/>
      <c r="AEP175" s="302"/>
      <c r="AEQ175" s="302"/>
      <c r="AER175" s="302"/>
      <c r="AES175" s="302"/>
      <c r="AET175" s="302"/>
      <c r="AEU175" s="302"/>
      <c r="AEV175" s="302"/>
      <c r="AEW175" s="302"/>
      <c r="AEX175" s="302"/>
      <c r="AEY175" s="302"/>
      <c r="AEZ175" s="302"/>
      <c r="AFA175" s="302"/>
      <c r="AFB175" s="302"/>
      <c r="AFC175" s="302"/>
      <c r="AFD175" s="302"/>
      <c r="AFE175" s="302"/>
      <c r="AFF175" s="302"/>
      <c r="AFG175" s="302"/>
      <c r="AFH175" s="302"/>
      <c r="AFI175" s="302"/>
      <c r="AFJ175" s="302"/>
      <c r="AFK175" s="302"/>
      <c r="AFL175" s="302"/>
      <c r="AFM175" s="302"/>
      <c r="AFN175" s="302"/>
      <c r="AFO175" s="302"/>
      <c r="AFP175" s="302"/>
      <c r="AFQ175" s="302"/>
      <c r="AFR175" s="302"/>
      <c r="AFS175" s="302"/>
      <c r="AFT175" s="302"/>
      <c r="AFU175" s="302"/>
      <c r="AFV175" s="302"/>
      <c r="AFW175" s="302"/>
      <c r="AFX175" s="302"/>
      <c r="AFY175" s="302"/>
      <c r="AFZ175" s="302"/>
      <c r="AGA175" s="302"/>
      <c r="AGB175" s="302"/>
      <c r="AGC175" s="302"/>
      <c r="AGD175" s="302"/>
      <c r="AGE175" s="302"/>
      <c r="AGF175" s="302"/>
      <c r="AGG175" s="302"/>
      <c r="AGH175" s="302"/>
      <c r="AGI175" s="302"/>
      <c r="AGJ175" s="302"/>
      <c r="AGK175" s="302"/>
      <c r="AGL175" s="302"/>
      <c r="AGM175" s="302"/>
      <c r="AGN175" s="302"/>
      <c r="AGO175" s="302"/>
      <c r="AGP175" s="302"/>
      <c r="AGQ175" s="302"/>
      <c r="AGR175" s="302"/>
      <c r="AGS175" s="302"/>
      <c r="AGT175" s="302"/>
      <c r="AGU175" s="302"/>
      <c r="AGV175" s="302"/>
      <c r="AGW175" s="302"/>
      <c r="AGX175" s="302"/>
      <c r="AGY175" s="302"/>
      <c r="AGZ175" s="302"/>
      <c r="AHA175" s="302"/>
      <c r="AHB175" s="302"/>
      <c r="AHC175" s="302"/>
      <c r="AHD175" s="302"/>
      <c r="AHE175" s="302"/>
      <c r="AHF175" s="302"/>
      <c r="AHG175" s="302"/>
      <c r="AHH175" s="302"/>
      <c r="AHI175" s="302"/>
      <c r="AHJ175" s="302"/>
      <c r="AHK175" s="302"/>
      <c r="AHL175" s="302"/>
      <c r="AHM175" s="302"/>
      <c r="AHN175" s="302"/>
      <c r="AHO175" s="302"/>
      <c r="AHP175" s="302"/>
      <c r="AHQ175" s="302"/>
      <c r="AHR175" s="302"/>
      <c r="AHS175" s="302"/>
      <c r="AHT175" s="302"/>
      <c r="AHU175" s="302"/>
      <c r="AHV175" s="302"/>
      <c r="AHW175" s="302"/>
      <c r="AHX175" s="302"/>
      <c r="AHY175" s="302"/>
      <c r="AHZ175" s="302"/>
      <c r="AIA175" s="302"/>
      <c r="AIB175" s="302"/>
      <c r="AIC175" s="302"/>
      <c r="AID175" s="302"/>
      <c r="AIE175" s="302"/>
      <c r="AIF175" s="302"/>
      <c r="AIG175" s="302"/>
      <c r="AIH175" s="302"/>
      <c r="AII175" s="302"/>
      <c r="AIJ175" s="302"/>
      <c r="AIK175" s="302"/>
      <c r="AIL175" s="302"/>
      <c r="AIM175" s="302"/>
      <c r="AIN175" s="302"/>
      <c r="AIO175" s="302"/>
      <c r="AIP175" s="302"/>
      <c r="AIQ175" s="302"/>
      <c r="AIR175" s="302"/>
      <c r="AIS175" s="302"/>
      <c r="AIT175" s="302"/>
      <c r="AIU175" s="302"/>
      <c r="AIV175" s="302"/>
      <c r="AIW175" s="302"/>
      <c r="AIX175" s="302"/>
      <c r="AIY175" s="302"/>
      <c r="AIZ175" s="302"/>
      <c r="AJA175" s="302"/>
      <c r="AJB175" s="302"/>
      <c r="AJC175" s="302"/>
      <c r="AJD175" s="302"/>
      <c r="AJE175" s="302"/>
      <c r="AJF175" s="302"/>
      <c r="AJG175" s="302"/>
      <c r="AJH175" s="302"/>
      <c r="AJI175" s="302"/>
      <c r="AJJ175" s="302"/>
      <c r="AJK175" s="302"/>
      <c r="AJL175" s="302"/>
      <c r="AJM175" s="302"/>
      <c r="AJN175" s="302"/>
      <c r="AJO175" s="302"/>
      <c r="AJP175" s="302"/>
      <c r="AJQ175" s="302"/>
      <c r="AJR175" s="302"/>
      <c r="AJS175" s="302"/>
      <c r="AJT175" s="302"/>
      <c r="AJU175" s="302"/>
      <c r="AJV175" s="302"/>
      <c r="AJW175" s="302"/>
      <c r="AJX175" s="302"/>
      <c r="AJY175" s="302"/>
      <c r="AJZ175" s="302"/>
      <c r="AKA175" s="302"/>
      <c r="AKB175" s="302"/>
      <c r="AKC175" s="302"/>
      <c r="AKD175" s="302"/>
      <c r="AKE175" s="302"/>
      <c r="AKF175" s="302"/>
      <c r="AKG175" s="302"/>
      <c r="AKH175" s="302"/>
      <c r="AKI175" s="302"/>
      <c r="AKJ175" s="302"/>
      <c r="AKK175" s="302"/>
      <c r="AKL175" s="302"/>
      <c r="AKM175" s="302"/>
      <c r="AKN175" s="302"/>
      <c r="AKO175" s="302"/>
      <c r="AKP175" s="302"/>
      <c r="AKQ175" s="302"/>
      <c r="AKR175" s="302"/>
      <c r="AKS175" s="302"/>
      <c r="AKT175" s="302"/>
      <c r="AKU175" s="302"/>
      <c r="AKV175" s="302"/>
      <c r="AKW175" s="302"/>
      <c r="AKX175" s="302"/>
      <c r="AKY175" s="302"/>
      <c r="AKZ175" s="302"/>
      <c r="ALA175" s="302"/>
      <c r="ALB175" s="302"/>
      <c r="ALC175" s="302"/>
      <c r="ALD175" s="302"/>
      <c r="ALE175" s="302"/>
      <c r="ALF175" s="302"/>
      <c r="ALG175" s="302"/>
      <c r="ALH175" s="302"/>
      <c r="ALI175" s="302"/>
      <c r="ALJ175" s="302"/>
      <c r="ALK175" s="302"/>
      <c r="ALL175" s="302"/>
      <c r="ALM175" s="302"/>
      <c r="ALN175" s="302"/>
      <c r="ALO175" s="302"/>
      <c r="ALP175" s="302"/>
      <c r="ALQ175" s="302"/>
      <c r="ALR175" s="302"/>
      <c r="ALS175" s="302"/>
      <c r="ALT175" s="302"/>
      <c r="ALU175" s="302"/>
      <c r="ALV175" s="302"/>
      <c r="ALW175" s="302"/>
      <c r="ALX175" s="302"/>
      <c r="ALY175" s="302"/>
      <c r="ALZ175" s="302"/>
      <c r="AMA175" s="302"/>
      <c r="AMB175" s="302"/>
      <c r="AMC175" s="302"/>
      <c r="AMD175" s="302"/>
      <c r="AME175" s="302"/>
      <c r="AMF175" s="302"/>
      <c r="AMG175" s="302"/>
      <c r="AMH175" s="302"/>
      <c r="AMI175" s="302"/>
    </row>
    <row r="176" spans="1:1023" hidden="1">
      <c r="A176" s="302"/>
      <c r="B176" s="312"/>
      <c r="C176" s="311"/>
      <c r="D176" s="310"/>
      <c r="E176" s="313"/>
      <c r="F176" s="303"/>
      <c r="G176" s="279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2"/>
      <c r="AE176" s="302"/>
      <c r="AF176" s="302"/>
      <c r="AG176" s="302"/>
      <c r="AH176" s="302"/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/>
      <c r="AV176" s="302"/>
      <c r="AW176" s="302"/>
      <c r="AX176" s="302"/>
      <c r="AY176" s="302"/>
      <c r="AZ176" s="302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K176" s="302"/>
      <c r="BL176" s="302"/>
      <c r="BM176" s="302"/>
      <c r="BN176" s="302"/>
      <c r="BO176" s="302"/>
      <c r="BP176" s="302"/>
      <c r="BQ176" s="302"/>
      <c r="BR176" s="302"/>
      <c r="BS176" s="302"/>
      <c r="BT176" s="302"/>
      <c r="BU176" s="302"/>
      <c r="BV176" s="302"/>
      <c r="BW176" s="302"/>
      <c r="BX176" s="302"/>
      <c r="BY176" s="302"/>
      <c r="BZ176" s="302"/>
      <c r="CA176" s="302"/>
      <c r="CB176" s="302"/>
      <c r="CC176" s="302"/>
      <c r="CD176" s="302"/>
      <c r="CE176" s="302"/>
      <c r="CF176" s="302"/>
      <c r="CG176" s="302"/>
      <c r="CH176" s="302"/>
      <c r="CI176" s="302"/>
      <c r="CJ176" s="302"/>
      <c r="CK176" s="302"/>
      <c r="CL176" s="302"/>
      <c r="CM176" s="302"/>
      <c r="CN176" s="302"/>
      <c r="CO176" s="302"/>
      <c r="CP176" s="302"/>
      <c r="CQ176" s="302"/>
      <c r="CR176" s="302"/>
      <c r="CS176" s="302"/>
      <c r="CT176" s="302"/>
      <c r="CU176" s="302"/>
      <c r="CV176" s="302"/>
      <c r="CW176" s="302"/>
      <c r="CX176" s="302"/>
      <c r="CY176" s="302"/>
      <c r="CZ176" s="302"/>
      <c r="DA176" s="302"/>
      <c r="DB176" s="302"/>
      <c r="DC176" s="302"/>
      <c r="DD176" s="302"/>
      <c r="DE176" s="302"/>
      <c r="DF176" s="302"/>
      <c r="DG176" s="302"/>
      <c r="DH176" s="302"/>
      <c r="DI176" s="302"/>
      <c r="DJ176" s="302"/>
      <c r="DK176" s="302"/>
      <c r="DL176" s="302"/>
      <c r="DM176" s="302"/>
      <c r="DN176" s="302"/>
      <c r="DO176" s="302"/>
      <c r="DP176" s="302"/>
      <c r="DQ176" s="302"/>
      <c r="DR176" s="302"/>
      <c r="DS176" s="302"/>
      <c r="DT176" s="302"/>
      <c r="DU176" s="302"/>
      <c r="DV176" s="302"/>
      <c r="DW176" s="302"/>
      <c r="DX176" s="302"/>
      <c r="DY176" s="302"/>
      <c r="DZ176" s="302"/>
      <c r="EA176" s="302"/>
      <c r="EB176" s="302"/>
      <c r="EC176" s="302"/>
      <c r="ED176" s="302"/>
      <c r="EE176" s="302"/>
      <c r="EF176" s="302"/>
      <c r="EG176" s="302"/>
      <c r="EH176" s="302"/>
      <c r="EI176" s="302"/>
      <c r="EJ176" s="302"/>
      <c r="EK176" s="302"/>
      <c r="EL176" s="302"/>
      <c r="EM176" s="302"/>
      <c r="EN176" s="302"/>
      <c r="EO176" s="302"/>
      <c r="EP176" s="302"/>
      <c r="EQ176" s="302"/>
      <c r="ER176" s="302"/>
      <c r="ES176" s="302"/>
      <c r="ET176" s="302"/>
      <c r="EU176" s="302"/>
      <c r="EV176" s="302"/>
      <c r="EW176" s="302"/>
      <c r="EX176" s="302"/>
      <c r="EY176" s="302"/>
      <c r="EZ176" s="302"/>
      <c r="FA176" s="302"/>
      <c r="FB176" s="302"/>
      <c r="FC176" s="302"/>
      <c r="FD176" s="302"/>
      <c r="FE176" s="302"/>
      <c r="FF176" s="302"/>
      <c r="FG176" s="302"/>
      <c r="FH176" s="302"/>
      <c r="FI176" s="302"/>
      <c r="FJ176" s="302"/>
      <c r="FK176" s="302"/>
      <c r="FL176" s="302"/>
      <c r="FM176" s="302"/>
      <c r="FN176" s="302"/>
      <c r="FO176" s="302"/>
      <c r="FP176" s="302"/>
      <c r="FQ176" s="302"/>
      <c r="FR176" s="302"/>
      <c r="FS176" s="302"/>
      <c r="FT176" s="302"/>
      <c r="FU176" s="302"/>
      <c r="FV176" s="302"/>
      <c r="FW176" s="302"/>
      <c r="FX176" s="302"/>
      <c r="FY176" s="302"/>
      <c r="FZ176" s="302"/>
      <c r="GA176" s="302"/>
      <c r="GB176" s="302"/>
      <c r="GC176" s="302"/>
      <c r="GD176" s="302"/>
      <c r="GE176" s="302"/>
      <c r="GF176" s="302"/>
      <c r="GG176" s="302"/>
      <c r="GH176" s="302"/>
      <c r="GI176" s="302"/>
      <c r="GJ176" s="302"/>
      <c r="GK176" s="302"/>
      <c r="GL176" s="302"/>
      <c r="GM176" s="302"/>
      <c r="GN176" s="302"/>
      <c r="GO176" s="302"/>
      <c r="GP176" s="302"/>
      <c r="GQ176" s="302"/>
      <c r="GR176" s="302"/>
      <c r="GS176" s="302"/>
      <c r="GT176" s="302"/>
      <c r="GU176" s="302"/>
      <c r="GV176" s="302"/>
      <c r="GW176" s="302"/>
      <c r="GX176" s="302"/>
      <c r="GY176" s="302"/>
      <c r="GZ176" s="302"/>
      <c r="HA176" s="302"/>
      <c r="HB176" s="302"/>
      <c r="HC176" s="302"/>
      <c r="HD176" s="302"/>
      <c r="HE176" s="302"/>
      <c r="HF176" s="302"/>
      <c r="HG176" s="302"/>
      <c r="HH176" s="302"/>
      <c r="HI176" s="302"/>
      <c r="HJ176" s="302"/>
      <c r="HK176" s="302"/>
      <c r="HL176" s="302"/>
      <c r="HM176" s="302"/>
      <c r="HN176" s="302"/>
      <c r="HO176" s="302"/>
      <c r="HP176" s="302"/>
      <c r="HQ176" s="302"/>
      <c r="HR176" s="302"/>
      <c r="HS176" s="302"/>
      <c r="HT176" s="302"/>
      <c r="HU176" s="302"/>
      <c r="HV176" s="302"/>
      <c r="HW176" s="302"/>
      <c r="HX176" s="302"/>
      <c r="HY176" s="302"/>
      <c r="HZ176" s="302"/>
      <c r="IA176" s="302"/>
      <c r="IB176" s="302"/>
      <c r="IC176" s="302"/>
      <c r="ID176" s="302"/>
      <c r="IE176" s="302"/>
      <c r="IF176" s="302"/>
      <c r="IG176" s="302"/>
      <c r="IH176" s="302"/>
      <c r="II176" s="302"/>
      <c r="IJ176" s="302"/>
      <c r="IK176" s="302"/>
      <c r="IL176" s="302"/>
      <c r="IM176" s="302"/>
      <c r="IN176" s="302"/>
      <c r="IO176" s="302"/>
      <c r="IP176" s="302"/>
      <c r="IQ176" s="302"/>
      <c r="IR176" s="302"/>
      <c r="IS176" s="302"/>
      <c r="IT176" s="302"/>
      <c r="IU176" s="302"/>
      <c r="IV176" s="302"/>
      <c r="IW176" s="302"/>
      <c r="IX176" s="302"/>
      <c r="IY176" s="302"/>
      <c r="IZ176" s="302"/>
      <c r="JA176" s="302"/>
      <c r="JB176" s="302"/>
      <c r="JC176" s="302"/>
      <c r="JD176" s="302"/>
      <c r="JE176" s="302"/>
      <c r="JF176" s="302"/>
      <c r="JG176" s="302"/>
      <c r="JH176" s="302"/>
      <c r="JI176" s="302"/>
      <c r="JJ176" s="302"/>
      <c r="JK176" s="302"/>
      <c r="JL176" s="302"/>
      <c r="JM176" s="302"/>
      <c r="JN176" s="302"/>
      <c r="JO176" s="302"/>
      <c r="JP176" s="302"/>
      <c r="JQ176" s="302"/>
      <c r="JR176" s="302"/>
      <c r="JS176" s="302"/>
      <c r="JT176" s="302"/>
      <c r="JU176" s="302"/>
      <c r="JV176" s="302"/>
      <c r="JW176" s="302"/>
      <c r="JX176" s="302"/>
      <c r="JY176" s="302"/>
      <c r="JZ176" s="302"/>
      <c r="KA176" s="302"/>
      <c r="KB176" s="302"/>
      <c r="KC176" s="302"/>
      <c r="KD176" s="302"/>
      <c r="KE176" s="302"/>
      <c r="KF176" s="302"/>
      <c r="KG176" s="302"/>
      <c r="KH176" s="302"/>
      <c r="KI176" s="302"/>
      <c r="KJ176" s="302"/>
      <c r="KK176" s="302"/>
      <c r="KL176" s="302"/>
      <c r="KM176" s="302"/>
      <c r="KN176" s="302"/>
      <c r="KO176" s="302"/>
      <c r="KP176" s="302"/>
      <c r="KQ176" s="302"/>
      <c r="KR176" s="302"/>
      <c r="KS176" s="302"/>
      <c r="KT176" s="302"/>
      <c r="KU176" s="302"/>
      <c r="KV176" s="302"/>
      <c r="KW176" s="302"/>
      <c r="KX176" s="302"/>
      <c r="KY176" s="302"/>
      <c r="KZ176" s="302"/>
      <c r="LA176" s="302"/>
      <c r="LB176" s="302"/>
      <c r="LC176" s="302"/>
      <c r="LD176" s="302"/>
      <c r="LE176" s="302"/>
      <c r="LF176" s="302"/>
      <c r="LG176" s="302"/>
      <c r="LH176" s="302"/>
      <c r="LI176" s="302"/>
      <c r="LJ176" s="302"/>
      <c r="LK176" s="302"/>
      <c r="LL176" s="302"/>
      <c r="LM176" s="302"/>
      <c r="LN176" s="302"/>
      <c r="LO176" s="302"/>
      <c r="LP176" s="302"/>
      <c r="LQ176" s="302"/>
      <c r="LR176" s="302"/>
      <c r="LS176" s="302"/>
      <c r="LT176" s="302"/>
      <c r="LU176" s="302"/>
      <c r="LV176" s="302"/>
      <c r="LW176" s="302"/>
      <c r="LX176" s="302"/>
      <c r="LY176" s="302"/>
      <c r="LZ176" s="302"/>
      <c r="MA176" s="302"/>
      <c r="MB176" s="302"/>
      <c r="MC176" s="302"/>
      <c r="MD176" s="302"/>
      <c r="ME176" s="302"/>
      <c r="MF176" s="302"/>
      <c r="MG176" s="302"/>
      <c r="MH176" s="302"/>
      <c r="MI176" s="302"/>
      <c r="MJ176" s="302"/>
      <c r="MK176" s="302"/>
      <c r="ML176" s="302"/>
      <c r="MM176" s="302"/>
      <c r="MN176" s="302"/>
      <c r="MO176" s="302"/>
      <c r="MP176" s="302"/>
      <c r="MQ176" s="302"/>
      <c r="MR176" s="302"/>
      <c r="MS176" s="302"/>
      <c r="MT176" s="302"/>
      <c r="MU176" s="302"/>
      <c r="MV176" s="302"/>
      <c r="MW176" s="302"/>
      <c r="MX176" s="302"/>
      <c r="MY176" s="302"/>
      <c r="MZ176" s="302"/>
      <c r="NA176" s="302"/>
      <c r="NB176" s="302"/>
      <c r="NC176" s="302"/>
      <c r="ND176" s="302"/>
      <c r="NE176" s="302"/>
      <c r="NF176" s="302"/>
      <c r="NG176" s="302"/>
      <c r="NH176" s="302"/>
      <c r="NI176" s="302"/>
      <c r="NJ176" s="302"/>
      <c r="NK176" s="302"/>
      <c r="NL176" s="302"/>
      <c r="NM176" s="302"/>
      <c r="NN176" s="302"/>
      <c r="NO176" s="302"/>
      <c r="NP176" s="302"/>
      <c r="NQ176" s="302"/>
      <c r="NR176" s="302"/>
      <c r="NS176" s="302"/>
      <c r="NT176" s="302"/>
      <c r="NU176" s="302"/>
      <c r="NV176" s="302"/>
      <c r="NW176" s="302"/>
      <c r="NX176" s="302"/>
      <c r="NY176" s="302"/>
      <c r="NZ176" s="302"/>
      <c r="OA176" s="302"/>
      <c r="OB176" s="302"/>
      <c r="OC176" s="302"/>
      <c r="OD176" s="302"/>
      <c r="OE176" s="302"/>
      <c r="OF176" s="302"/>
      <c r="OG176" s="302"/>
      <c r="OH176" s="302"/>
      <c r="OI176" s="302"/>
      <c r="OJ176" s="302"/>
      <c r="OK176" s="302"/>
      <c r="OL176" s="302"/>
      <c r="OM176" s="302"/>
      <c r="ON176" s="302"/>
      <c r="OO176" s="302"/>
      <c r="OP176" s="302"/>
      <c r="OQ176" s="302"/>
      <c r="OR176" s="302"/>
      <c r="OS176" s="302"/>
      <c r="OT176" s="302"/>
      <c r="OU176" s="302"/>
      <c r="OV176" s="302"/>
      <c r="OW176" s="302"/>
      <c r="OX176" s="302"/>
      <c r="OY176" s="302"/>
      <c r="OZ176" s="302"/>
      <c r="PA176" s="302"/>
      <c r="PB176" s="302"/>
      <c r="PC176" s="302"/>
      <c r="PD176" s="302"/>
      <c r="PE176" s="302"/>
      <c r="PF176" s="302"/>
      <c r="PG176" s="302"/>
      <c r="PH176" s="302"/>
      <c r="PI176" s="302"/>
      <c r="PJ176" s="302"/>
      <c r="PK176" s="302"/>
      <c r="PL176" s="302"/>
      <c r="PM176" s="302"/>
      <c r="PN176" s="302"/>
      <c r="PO176" s="302"/>
      <c r="PP176" s="302"/>
      <c r="PQ176" s="302"/>
      <c r="PR176" s="302"/>
      <c r="PS176" s="302"/>
      <c r="PT176" s="302"/>
      <c r="PU176" s="302"/>
      <c r="PV176" s="302"/>
      <c r="PW176" s="302"/>
      <c r="PX176" s="302"/>
      <c r="PY176" s="302"/>
      <c r="PZ176" s="302"/>
      <c r="QA176" s="302"/>
      <c r="QB176" s="302"/>
      <c r="QC176" s="302"/>
      <c r="QD176" s="302"/>
      <c r="QE176" s="302"/>
      <c r="QF176" s="302"/>
      <c r="QG176" s="302"/>
      <c r="QH176" s="302"/>
      <c r="QI176" s="302"/>
      <c r="QJ176" s="302"/>
      <c r="QK176" s="302"/>
      <c r="QL176" s="302"/>
      <c r="QM176" s="302"/>
      <c r="QN176" s="302"/>
      <c r="QO176" s="302"/>
      <c r="QP176" s="302"/>
      <c r="QQ176" s="302"/>
      <c r="QR176" s="302"/>
      <c r="QS176" s="302"/>
      <c r="QT176" s="302"/>
      <c r="QU176" s="302"/>
      <c r="QV176" s="302"/>
      <c r="QW176" s="302"/>
      <c r="QX176" s="302"/>
      <c r="QY176" s="302"/>
      <c r="QZ176" s="302"/>
      <c r="RA176" s="302"/>
      <c r="RB176" s="302"/>
      <c r="RC176" s="302"/>
      <c r="RD176" s="302"/>
      <c r="RE176" s="302"/>
      <c r="RF176" s="302"/>
      <c r="RG176" s="302"/>
      <c r="RH176" s="302"/>
      <c r="RI176" s="302"/>
      <c r="RJ176" s="302"/>
      <c r="RK176" s="302"/>
      <c r="RL176" s="302"/>
      <c r="RM176" s="302"/>
      <c r="RN176" s="302"/>
      <c r="RO176" s="302"/>
      <c r="RP176" s="302"/>
      <c r="RQ176" s="302"/>
      <c r="RR176" s="302"/>
      <c r="RS176" s="302"/>
      <c r="RT176" s="302"/>
      <c r="RU176" s="302"/>
      <c r="RV176" s="302"/>
      <c r="RW176" s="302"/>
      <c r="RX176" s="302"/>
      <c r="RY176" s="302"/>
      <c r="RZ176" s="302"/>
      <c r="SA176" s="302"/>
      <c r="SB176" s="302"/>
      <c r="SC176" s="302"/>
      <c r="SD176" s="302"/>
      <c r="SE176" s="302"/>
      <c r="SF176" s="302"/>
      <c r="SG176" s="302"/>
      <c r="SH176" s="302"/>
      <c r="SI176" s="302"/>
      <c r="SJ176" s="302"/>
      <c r="SK176" s="302"/>
      <c r="SL176" s="302"/>
      <c r="SM176" s="302"/>
      <c r="SN176" s="302"/>
      <c r="SO176" s="302"/>
      <c r="SP176" s="302"/>
      <c r="SQ176" s="302"/>
      <c r="SR176" s="302"/>
      <c r="SS176" s="302"/>
      <c r="ST176" s="302"/>
      <c r="SU176" s="302"/>
      <c r="SV176" s="302"/>
      <c r="SW176" s="302"/>
      <c r="SX176" s="302"/>
      <c r="SY176" s="302"/>
      <c r="SZ176" s="302"/>
      <c r="TA176" s="302"/>
      <c r="TB176" s="302"/>
      <c r="TC176" s="302"/>
      <c r="TD176" s="302"/>
      <c r="TE176" s="302"/>
      <c r="TF176" s="302"/>
      <c r="TG176" s="302"/>
      <c r="TH176" s="302"/>
      <c r="TI176" s="302"/>
      <c r="TJ176" s="302"/>
      <c r="TK176" s="302"/>
      <c r="TL176" s="302"/>
      <c r="TM176" s="302"/>
      <c r="TN176" s="302"/>
      <c r="TO176" s="302"/>
      <c r="TP176" s="302"/>
      <c r="TQ176" s="302"/>
      <c r="TR176" s="302"/>
      <c r="TS176" s="302"/>
      <c r="TT176" s="302"/>
      <c r="TU176" s="302"/>
      <c r="TV176" s="302"/>
      <c r="TW176" s="302"/>
      <c r="TX176" s="302"/>
      <c r="TY176" s="302"/>
      <c r="TZ176" s="302"/>
      <c r="UA176" s="302"/>
      <c r="UB176" s="302"/>
      <c r="UC176" s="302"/>
      <c r="UD176" s="302"/>
      <c r="UE176" s="302"/>
      <c r="UF176" s="302"/>
      <c r="UG176" s="302"/>
      <c r="UH176" s="302"/>
      <c r="UI176" s="302"/>
      <c r="UJ176" s="302"/>
      <c r="UK176" s="302"/>
      <c r="UL176" s="302"/>
      <c r="UM176" s="302"/>
      <c r="UN176" s="302"/>
      <c r="UO176" s="302"/>
      <c r="UP176" s="302"/>
      <c r="UQ176" s="302"/>
      <c r="UR176" s="302"/>
      <c r="US176" s="302"/>
      <c r="UT176" s="302"/>
      <c r="UU176" s="302"/>
      <c r="UV176" s="302"/>
      <c r="UW176" s="302"/>
      <c r="UX176" s="302"/>
      <c r="UY176" s="302"/>
      <c r="UZ176" s="302"/>
      <c r="VA176" s="302"/>
      <c r="VB176" s="302"/>
      <c r="VC176" s="302"/>
      <c r="VD176" s="302"/>
      <c r="VE176" s="302"/>
      <c r="VF176" s="302"/>
      <c r="VG176" s="302"/>
      <c r="VH176" s="302"/>
      <c r="VI176" s="302"/>
      <c r="VJ176" s="302"/>
      <c r="VK176" s="302"/>
      <c r="VL176" s="302"/>
      <c r="VM176" s="302"/>
      <c r="VN176" s="302"/>
      <c r="VO176" s="302"/>
      <c r="VP176" s="302"/>
      <c r="VQ176" s="302"/>
      <c r="VR176" s="302"/>
      <c r="VS176" s="302"/>
      <c r="VT176" s="302"/>
      <c r="VU176" s="302"/>
      <c r="VV176" s="302"/>
      <c r="VW176" s="302"/>
      <c r="VX176" s="302"/>
      <c r="VY176" s="302"/>
      <c r="VZ176" s="302"/>
      <c r="WA176" s="302"/>
      <c r="WB176" s="302"/>
      <c r="WC176" s="302"/>
      <c r="WD176" s="302"/>
      <c r="WE176" s="302"/>
      <c r="WF176" s="302"/>
      <c r="WG176" s="302"/>
      <c r="WH176" s="302"/>
      <c r="WI176" s="302"/>
      <c r="WJ176" s="302"/>
      <c r="WK176" s="302"/>
      <c r="WL176" s="302"/>
      <c r="WM176" s="302"/>
      <c r="WN176" s="302"/>
      <c r="WO176" s="302"/>
      <c r="WP176" s="302"/>
      <c r="WQ176" s="302"/>
      <c r="WR176" s="302"/>
      <c r="WS176" s="302"/>
      <c r="WT176" s="302"/>
      <c r="WU176" s="302"/>
      <c r="WV176" s="302"/>
      <c r="WW176" s="302"/>
      <c r="WX176" s="302"/>
      <c r="WY176" s="302"/>
      <c r="WZ176" s="302"/>
      <c r="XA176" s="302"/>
      <c r="XB176" s="302"/>
      <c r="XC176" s="302"/>
      <c r="XD176" s="302"/>
      <c r="XE176" s="302"/>
      <c r="XF176" s="302"/>
      <c r="XG176" s="302"/>
      <c r="XH176" s="302"/>
      <c r="XI176" s="302"/>
      <c r="XJ176" s="302"/>
      <c r="XK176" s="302"/>
      <c r="XL176" s="302"/>
      <c r="XM176" s="302"/>
      <c r="XN176" s="302"/>
      <c r="XO176" s="302"/>
      <c r="XP176" s="302"/>
      <c r="XQ176" s="302"/>
      <c r="XR176" s="302"/>
      <c r="XS176" s="302"/>
      <c r="XT176" s="302"/>
      <c r="XU176" s="302"/>
      <c r="XV176" s="302"/>
      <c r="XW176" s="302"/>
      <c r="XX176" s="302"/>
      <c r="XY176" s="302"/>
      <c r="XZ176" s="302"/>
      <c r="YA176" s="302"/>
      <c r="YB176" s="302"/>
      <c r="YC176" s="302"/>
      <c r="YD176" s="302"/>
      <c r="YE176" s="302"/>
      <c r="YF176" s="302"/>
      <c r="YG176" s="302"/>
      <c r="YH176" s="302"/>
      <c r="YI176" s="302"/>
      <c r="YJ176" s="302"/>
      <c r="YK176" s="302"/>
      <c r="YL176" s="302"/>
      <c r="YM176" s="302"/>
      <c r="YN176" s="302"/>
      <c r="YO176" s="302"/>
      <c r="YP176" s="302"/>
      <c r="YQ176" s="302"/>
      <c r="YR176" s="302"/>
      <c r="YS176" s="302"/>
      <c r="YT176" s="302"/>
      <c r="YU176" s="302"/>
      <c r="YV176" s="302"/>
      <c r="YW176" s="302"/>
      <c r="YX176" s="302"/>
      <c r="YY176" s="302"/>
      <c r="YZ176" s="302"/>
      <c r="ZA176" s="302"/>
      <c r="ZB176" s="302"/>
      <c r="ZC176" s="302"/>
      <c r="ZD176" s="302"/>
      <c r="ZE176" s="302"/>
      <c r="ZF176" s="302"/>
      <c r="ZG176" s="302"/>
      <c r="ZH176" s="302"/>
      <c r="ZI176" s="302"/>
      <c r="ZJ176" s="302"/>
      <c r="ZK176" s="302"/>
      <c r="ZL176" s="302"/>
      <c r="ZM176" s="302"/>
      <c r="ZN176" s="302"/>
      <c r="ZO176" s="302"/>
      <c r="ZP176" s="302"/>
      <c r="ZQ176" s="302"/>
      <c r="ZR176" s="302"/>
      <c r="ZS176" s="302"/>
      <c r="ZT176" s="302"/>
      <c r="ZU176" s="302"/>
      <c r="ZV176" s="302"/>
      <c r="ZW176" s="302"/>
      <c r="ZX176" s="302"/>
      <c r="ZY176" s="302"/>
      <c r="ZZ176" s="302"/>
      <c r="AAA176" s="302"/>
      <c r="AAB176" s="302"/>
      <c r="AAC176" s="302"/>
      <c r="AAD176" s="302"/>
      <c r="AAE176" s="302"/>
      <c r="AAF176" s="302"/>
      <c r="AAG176" s="302"/>
      <c r="AAH176" s="302"/>
      <c r="AAI176" s="302"/>
      <c r="AAJ176" s="302"/>
      <c r="AAK176" s="302"/>
      <c r="AAL176" s="302"/>
      <c r="AAM176" s="302"/>
      <c r="AAN176" s="302"/>
      <c r="AAO176" s="302"/>
      <c r="AAP176" s="302"/>
      <c r="AAQ176" s="302"/>
      <c r="AAR176" s="302"/>
      <c r="AAS176" s="302"/>
      <c r="AAT176" s="302"/>
      <c r="AAU176" s="302"/>
      <c r="AAV176" s="302"/>
      <c r="AAW176" s="302"/>
      <c r="AAX176" s="302"/>
      <c r="AAY176" s="302"/>
      <c r="AAZ176" s="302"/>
      <c r="ABA176" s="302"/>
      <c r="ABB176" s="302"/>
      <c r="ABC176" s="302"/>
      <c r="ABD176" s="302"/>
      <c r="ABE176" s="302"/>
      <c r="ABF176" s="302"/>
      <c r="ABG176" s="302"/>
      <c r="ABH176" s="302"/>
      <c r="ABI176" s="302"/>
      <c r="ABJ176" s="302"/>
      <c r="ABK176" s="302"/>
      <c r="ABL176" s="302"/>
      <c r="ABM176" s="302"/>
      <c r="ABN176" s="302"/>
      <c r="ABO176" s="302"/>
      <c r="ABP176" s="302"/>
      <c r="ABQ176" s="302"/>
      <c r="ABR176" s="302"/>
      <c r="ABS176" s="302"/>
      <c r="ABT176" s="302"/>
      <c r="ABU176" s="302"/>
      <c r="ABV176" s="302"/>
      <c r="ABW176" s="302"/>
      <c r="ABX176" s="302"/>
      <c r="ABY176" s="302"/>
      <c r="ABZ176" s="302"/>
      <c r="ACA176" s="302"/>
      <c r="ACB176" s="302"/>
      <c r="ACC176" s="302"/>
      <c r="ACD176" s="302"/>
      <c r="ACE176" s="302"/>
      <c r="ACF176" s="302"/>
      <c r="ACG176" s="302"/>
      <c r="ACH176" s="302"/>
      <c r="ACI176" s="302"/>
      <c r="ACJ176" s="302"/>
      <c r="ACK176" s="302"/>
      <c r="ACL176" s="302"/>
      <c r="ACM176" s="302"/>
      <c r="ACN176" s="302"/>
      <c r="ACO176" s="302"/>
      <c r="ACP176" s="302"/>
      <c r="ACQ176" s="302"/>
      <c r="ACR176" s="302"/>
      <c r="ACS176" s="302"/>
      <c r="ACT176" s="302"/>
      <c r="ACU176" s="302"/>
      <c r="ACV176" s="302"/>
      <c r="ACW176" s="302"/>
      <c r="ACX176" s="302"/>
      <c r="ACY176" s="302"/>
      <c r="ACZ176" s="302"/>
      <c r="ADA176" s="302"/>
      <c r="ADB176" s="302"/>
      <c r="ADC176" s="302"/>
      <c r="ADD176" s="302"/>
      <c r="ADE176" s="302"/>
      <c r="ADF176" s="302"/>
      <c r="ADG176" s="302"/>
      <c r="ADH176" s="302"/>
      <c r="ADI176" s="302"/>
      <c r="ADJ176" s="302"/>
      <c r="ADK176" s="302"/>
      <c r="ADL176" s="302"/>
      <c r="ADM176" s="302"/>
      <c r="ADN176" s="302"/>
      <c r="ADO176" s="302"/>
      <c r="ADP176" s="302"/>
      <c r="ADQ176" s="302"/>
      <c r="ADR176" s="302"/>
      <c r="ADS176" s="302"/>
      <c r="ADT176" s="302"/>
      <c r="ADU176" s="302"/>
      <c r="ADV176" s="302"/>
      <c r="ADW176" s="302"/>
      <c r="ADX176" s="302"/>
      <c r="ADY176" s="302"/>
      <c r="ADZ176" s="302"/>
      <c r="AEA176" s="302"/>
      <c r="AEB176" s="302"/>
      <c r="AEC176" s="302"/>
      <c r="AED176" s="302"/>
      <c r="AEE176" s="302"/>
      <c r="AEF176" s="302"/>
      <c r="AEG176" s="302"/>
      <c r="AEH176" s="302"/>
      <c r="AEI176" s="302"/>
      <c r="AEJ176" s="302"/>
      <c r="AEK176" s="302"/>
      <c r="AEL176" s="302"/>
      <c r="AEM176" s="302"/>
      <c r="AEN176" s="302"/>
      <c r="AEO176" s="302"/>
      <c r="AEP176" s="302"/>
      <c r="AEQ176" s="302"/>
      <c r="AER176" s="302"/>
      <c r="AES176" s="302"/>
      <c r="AET176" s="302"/>
      <c r="AEU176" s="302"/>
      <c r="AEV176" s="302"/>
      <c r="AEW176" s="302"/>
      <c r="AEX176" s="302"/>
      <c r="AEY176" s="302"/>
      <c r="AEZ176" s="302"/>
      <c r="AFA176" s="302"/>
      <c r="AFB176" s="302"/>
      <c r="AFC176" s="302"/>
      <c r="AFD176" s="302"/>
      <c r="AFE176" s="302"/>
      <c r="AFF176" s="302"/>
      <c r="AFG176" s="302"/>
      <c r="AFH176" s="302"/>
      <c r="AFI176" s="302"/>
      <c r="AFJ176" s="302"/>
      <c r="AFK176" s="302"/>
      <c r="AFL176" s="302"/>
      <c r="AFM176" s="302"/>
      <c r="AFN176" s="302"/>
      <c r="AFO176" s="302"/>
      <c r="AFP176" s="302"/>
      <c r="AFQ176" s="302"/>
      <c r="AFR176" s="302"/>
      <c r="AFS176" s="302"/>
      <c r="AFT176" s="302"/>
      <c r="AFU176" s="302"/>
      <c r="AFV176" s="302"/>
      <c r="AFW176" s="302"/>
      <c r="AFX176" s="302"/>
      <c r="AFY176" s="302"/>
      <c r="AFZ176" s="302"/>
      <c r="AGA176" s="302"/>
      <c r="AGB176" s="302"/>
      <c r="AGC176" s="302"/>
      <c r="AGD176" s="302"/>
      <c r="AGE176" s="302"/>
      <c r="AGF176" s="302"/>
      <c r="AGG176" s="302"/>
      <c r="AGH176" s="302"/>
      <c r="AGI176" s="302"/>
      <c r="AGJ176" s="302"/>
      <c r="AGK176" s="302"/>
      <c r="AGL176" s="302"/>
      <c r="AGM176" s="302"/>
      <c r="AGN176" s="302"/>
      <c r="AGO176" s="302"/>
      <c r="AGP176" s="302"/>
      <c r="AGQ176" s="302"/>
      <c r="AGR176" s="302"/>
      <c r="AGS176" s="302"/>
      <c r="AGT176" s="302"/>
      <c r="AGU176" s="302"/>
      <c r="AGV176" s="302"/>
      <c r="AGW176" s="302"/>
      <c r="AGX176" s="302"/>
      <c r="AGY176" s="302"/>
      <c r="AGZ176" s="302"/>
      <c r="AHA176" s="302"/>
      <c r="AHB176" s="302"/>
      <c r="AHC176" s="302"/>
      <c r="AHD176" s="302"/>
      <c r="AHE176" s="302"/>
      <c r="AHF176" s="302"/>
      <c r="AHG176" s="302"/>
      <c r="AHH176" s="302"/>
      <c r="AHI176" s="302"/>
      <c r="AHJ176" s="302"/>
      <c r="AHK176" s="302"/>
      <c r="AHL176" s="302"/>
      <c r="AHM176" s="302"/>
      <c r="AHN176" s="302"/>
      <c r="AHO176" s="302"/>
      <c r="AHP176" s="302"/>
      <c r="AHQ176" s="302"/>
      <c r="AHR176" s="302"/>
      <c r="AHS176" s="302"/>
      <c r="AHT176" s="302"/>
      <c r="AHU176" s="302"/>
      <c r="AHV176" s="302"/>
      <c r="AHW176" s="302"/>
      <c r="AHX176" s="302"/>
      <c r="AHY176" s="302"/>
      <c r="AHZ176" s="302"/>
      <c r="AIA176" s="302"/>
      <c r="AIB176" s="302"/>
      <c r="AIC176" s="302"/>
      <c r="AID176" s="302"/>
      <c r="AIE176" s="302"/>
      <c r="AIF176" s="302"/>
      <c r="AIG176" s="302"/>
      <c r="AIH176" s="302"/>
      <c r="AII176" s="302"/>
      <c r="AIJ176" s="302"/>
      <c r="AIK176" s="302"/>
      <c r="AIL176" s="302"/>
      <c r="AIM176" s="302"/>
      <c r="AIN176" s="302"/>
      <c r="AIO176" s="302"/>
      <c r="AIP176" s="302"/>
      <c r="AIQ176" s="302"/>
      <c r="AIR176" s="302"/>
      <c r="AIS176" s="302"/>
      <c r="AIT176" s="302"/>
      <c r="AIU176" s="302"/>
      <c r="AIV176" s="302"/>
      <c r="AIW176" s="302"/>
      <c r="AIX176" s="302"/>
      <c r="AIY176" s="302"/>
      <c r="AIZ176" s="302"/>
      <c r="AJA176" s="302"/>
      <c r="AJB176" s="302"/>
      <c r="AJC176" s="302"/>
      <c r="AJD176" s="302"/>
      <c r="AJE176" s="302"/>
      <c r="AJF176" s="302"/>
      <c r="AJG176" s="302"/>
      <c r="AJH176" s="302"/>
      <c r="AJI176" s="302"/>
      <c r="AJJ176" s="302"/>
      <c r="AJK176" s="302"/>
      <c r="AJL176" s="302"/>
      <c r="AJM176" s="302"/>
      <c r="AJN176" s="302"/>
      <c r="AJO176" s="302"/>
      <c r="AJP176" s="302"/>
      <c r="AJQ176" s="302"/>
      <c r="AJR176" s="302"/>
      <c r="AJS176" s="302"/>
      <c r="AJT176" s="302"/>
      <c r="AJU176" s="302"/>
      <c r="AJV176" s="302"/>
      <c r="AJW176" s="302"/>
      <c r="AJX176" s="302"/>
      <c r="AJY176" s="302"/>
      <c r="AJZ176" s="302"/>
      <c r="AKA176" s="302"/>
      <c r="AKB176" s="302"/>
      <c r="AKC176" s="302"/>
      <c r="AKD176" s="302"/>
      <c r="AKE176" s="302"/>
      <c r="AKF176" s="302"/>
      <c r="AKG176" s="302"/>
      <c r="AKH176" s="302"/>
      <c r="AKI176" s="302"/>
      <c r="AKJ176" s="302"/>
      <c r="AKK176" s="302"/>
      <c r="AKL176" s="302"/>
      <c r="AKM176" s="302"/>
      <c r="AKN176" s="302"/>
      <c r="AKO176" s="302"/>
      <c r="AKP176" s="302"/>
      <c r="AKQ176" s="302"/>
      <c r="AKR176" s="302"/>
      <c r="AKS176" s="302"/>
      <c r="AKT176" s="302"/>
      <c r="AKU176" s="302"/>
      <c r="AKV176" s="302"/>
      <c r="AKW176" s="302"/>
      <c r="AKX176" s="302"/>
      <c r="AKY176" s="302"/>
      <c r="AKZ176" s="302"/>
      <c r="ALA176" s="302"/>
      <c r="ALB176" s="302"/>
      <c r="ALC176" s="302"/>
      <c r="ALD176" s="302"/>
      <c r="ALE176" s="302"/>
      <c r="ALF176" s="302"/>
      <c r="ALG176" s="302"/>
      <c r="ALH176" s="302"/>
      <c r="ALI176" s="302"/>
      <c r="ALJ176" s="302"/>
      <c r="ALK176" s="302"/>
      <c r="ALL176" s="302"/>
      <c r="ALM176" s="302"/>
      <c r="ALN176" s="302"/>
      <c r="ALO176" s="302"/>
      <c r="ALP176" s="302"/>
      <c r="ALQ176" s="302"/>
      <c r="ALR176" s="302"/>
      <c r="ALS176" s="302"/>
      <c r="ALT176" s="302"/>
      <c r="ALU176" s="302"/>
      <c r="ALV176" s="302"/>
      <c r="ALW176" s="302"/>
      <c r="ALX176" s="302"/>
      <c r="ALY176" s="302"/>
      <c r="ALZ176" s="302"/>
      <c r="AMA176" s="302"/>
      <c r="AMB176" s="302"/>
      <c r="AMC176" s="302"/>
      <c r="AMD176" s="302"/>
      <c r="AME176" s="302"/>
      <c r="AMF176" s="302"/>
      <c r="AMG176" s="302"/>
      <c r="AMH176" s="302"/>
      <c r="AMI176" s="302"/>
    </row>
    <row r="177" spans="1:1023" ht="18.75" hidden="1">
      <c r="A177" s="302"/>
      <c r="B177" s="304"/>
      <c r="C177" s="304"/>
      <c r="D177" s="305" t="s">
        <v>378</v>
      </c>
      <c r="E177" s="306">
        <f>SUM(E169:E176)</f>
        <v>13350000</v>
      </c>
      <c r="F177" s="307"/>
      <c r="G177" s="366">
        <f>SUM(G169:G176)</f>
        <v>247000</v>
      </c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2"/>
      <c r="AG177" s="302"/>
      <c r="AH177" s="302"/>
      <c r="AI177" s="302"/>
      <c r="AJ177" s="302"/>
      <c r="AK177" s="302"/>
      <c r="AL177" s="302"/>
      <c r="AM177" s="302"/>
      <c r="AN177" s="302"/>
      <c r="AO177" s="302"/>
      <c r="AP177" s="302"/>
      <c r="AQ177" s="302"/>
      <c r="AR177" s="302"/>
      <c r="AS177" s="302"/>
      <c r="AT177" s="302"/>
      <c r="AU177" s="302"/>
      <c r="AV177" s="302"/>
      <c r="AW177" s="302"/>
      <c r="AX177" s="302"/>
      <c r="AY177" s="302"/>
      <c r="AZ177" s="302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K177" s="302"/>
      <c r="BL177" s="302"/>
      <c r="BM177" s="302"/>
      <c r="BN177" s="302"/>
      <c r="BO177" s="302"/>
      <c r="BP177" s="302"/>
      <c r="BQ177" s="302"/>
      <c r="BR177" s="302"/>
      <c r="BS177" s="302"/>
      <c r="BT177" s="302"/>
      <c r="BU177" s="302"/>
      <c r="BV177" s="302"/>
      <c r="BW177" s="302"/>
      <c r="BX177" s="302"/>
      <c r="BY177" s="302"/>
      <c r="BZ177" s="302"/>
      <c r="CA177" s="302"/>
      <c r="CB177" s="302"/>
      <c r="CC177" s="302"/>
      <c r="CD177" s="302"/>
      <c r="CE177" s="302"/>
      <c r="CF177" s="302"/>
      <c r="CG177" s="302"/>
      <c r="CH177" s="302"/>
      <c r="CI177" s="302"/>
      <c r="CJ177" s="302"/>
      <c r="CK177" s="302"/>
      <c r="CL177" s="302"/>
      <c r="CM177" s="302"/>
      <c r="CN177" s="302"/>
      <c r="CO177" s="302"/>
      <c r="CP177" s="302"/>
      <c r="CQ177" s="302"/>
      <c r="CR177" s="302"/>
      <c r="CS177" s="302"/>
      <c r="CT177" s="302"/>
      <c r="CU177" s="302"/>
      <c r="CV177" s="302"/>
      <c r="CW177" s="302"/>
      <c r="CX177" s="302"/>
      <c r="CY177" s="302"/>
      <c r="CZ177" s="302"/>
      <c r="DA177" s="302"/>
      <c r="DB177" s="302"/>
      <c r="DC177" s="302"/>
      <c r="DD177" s="302"/>
      <c r="DE177" s="302"/>
      <c r="DF177" s="302"/>
      <c r="DG177" s="302"/>
      <c r="DH177" s="302"/>
      <c r="DI177" s="302"/>
      <c r="DJ177" s="302"/>
      <c r="DK177" s="302"/>
      <c r="DL177" s="302"/>
      <c r="DM177" s="302"/>
      <c r="DN177" s="302"/>
      <c r="DO177" s="302"/>
      <c r="DP177" s="302"/>
      <c r="DQ177" s="302"/>
      <c r="DR177" s="302"/>
      <c r="DS177" s="302"/>
      <c r="DT177" s="302"/>
      <c r="DU177" s="302"/>
      <c r="DV177" s="302"/>
      <c r="DW177" s="302"/>
      <c r="DX177" s="302"/>
      <c r="DY177" s="302"/>
      <c r="DZ177" s="302"/>
      <c r="EA177" s="302"/>
      <c r="EB177" s="302"/>
      <c r="EC177" s="302"/>
      <c r="ED177" s="302"/>
      <c r="EE177" s="302"/>
      <c r="EF177" s="302"/>
      <c r="EG177" s="302"/>
      <c r="EH177" s="302"/>
      <c r="EI177" s="302"/>
      <c r="EJ177" s="302"/>
      <c r="EK177" s="302"/>
      <c r="EL177" s="302"/>
      <c r="EM177" s="302"/>
      <c r="EN177" s="302"/>
      <c r="EO177" s="302"/>
      <c r="EP177" s="302"/>
      <c r="EQ177" s="302"/>
      <c r="ER177" s="302"/>
      <c r="ES177" s="302"/>
      <c r="ET177" s="302"/>
      <c r="EU177" s="302"/>
      <c r="EV177" s="302"/>
      <c r="EW177" s="302"/>
      <c r="EX177" s="302"/>
      <c r="EY177" s="302"/>
      <c r="EZ177" s="302"/>
      <c r="FA177" s="302"/>
      <c r="FB177" s="302"/>
      <c r="FC177" s="302"/>
      <c r="FD177" s="302"/>
      <c r="FE177" s="302"/>
      <c r="FF177" s="302"/>
      <c r="FG177" s="302"/>
      <c r="FH177" s="302"/>
      <c r="FI177" s="302"/>
      <c r="FJ177" s="302"/>
      <c r="FK177" s="302"/>
      <c r="FL177" s="302"/>
      <c r="FM177" s="302"/>
      <c r="FN177" s="302"/>
      <c r="FO177" s="302"/>
      <c r="FP177" s="302"/>
      <c r="FQ177" s="302"/>
      <c r="FR177" s="302"/>
      <c r="FS177" s="302"/>
      <c r="FT177" s="302"/>
      <c r="FU177" s="302"/>
      <c r="FV177" s="302"/>
      <c r="FW177" s="302"/>
      <c r="FX177" s="302"/>
      <c r="FY177" s="302"/>
      <c r="FZ177" s="302"/>
      <c r="GA177" s="302"/>
      <c r="GB177" s="302"/>
      <c r="GC177" s="302"/>
      <c r="GD177" s="302"/>
      <c r="GE177" s="302"/>
      <c r="GF177" s="302"/>
      <c r="GG177" s="302"/>
      <c r="GH177" s="302"/>
      <c r="GI177" s="302"/>
      <c r="GJ177" s="302"/>
      <c r="GK177" s="302"/>
      <c r="GL177" s="302"/>
      <c r="GM177" s="302"/>
      <c r="GN177" s="302"/>
      <c r="GO177" s="302"/>
      <c r="GP177" s="302"/>
      <c r="GQ177" s="302"/>
      <c r="GR177" s="302"/>
      <c r="GS177" s="302"/>
      <c r="GT177" s="302"/>
      <c r="GU177" s="302"/>
      <c r="GV177" s="302"/>
      <c r="GW177" s="302"/>
      <c r="GX177" s="302"/>
      <c r="GY177" s="302"/>
      <c r="GZ177" s="302"/>
      <c r="HA177" s="302"/>
      <c r="HB177" s="302"/>
      <c r="HC177" s="302"/>
      <c r="HD177" s="302"/>
      <c r="HE177" s="302"/>
      <c r="HF177" s="302"/>
      <c r="HG177" s="302"/>
      <c r="HH177" s="302"/>
      <c r="HI177" s="302"/>
      <c r="HJ177" s="302"/>
      <c r="HK177" s="302"/>
      <c r="HL177" s="302"/>
      <c r="HM177" s="302"/>
      <c r="HN177" s="302"/>
      <c r="HO177" s="302"/>
      <c r="HP177" s="302"/>
      <c r="HQ177" s="302"/>
      <c r="HR177" s="302"/>
      <c r="HS177" s="302"/>
      <c r="HT177" s="302"/>
      <c r="HU177" s="302"/>
      <c r="HV177" s="302"/>
      <c r="HW177" s="302"/>
      <c r="HX177" s="302"/>
      <c r="HY177" s="302"/>
      <c r="HZ177" s="302"/>
      <c r="IA177" s="302"/>
      <c r="IB177" s="302"/>
      <c r="IC177" s="302"/>
      <c r="ID177" s="302"/>
      <c r="IE177" s="302"/>
      <c r="IF177" s="302"/>
      <c r="IG177" s="302"/>
      <c r="IH177" s="302"/>
      <c r="II177" s="302"/>
      <c r="IJ177" s="302"/>
      <c r="IK177" s="302"/>
      <c r="IL177" s="302"/>
      <c r="IM177" s="302"/>
      <c r="IN177" s="302"/>
      <c r="IO177" s="302"/>
      <c r="IP177" s="302"/>
      <c r="IQ177" s="302"/>
      <c r="IR177" s="302"/>
      <c r="IS177" s="302"/>
      <c r="IT177" s="302"/>
      <c r="IU177" s="302"/>
      <c r="IV177" s="302"/>
      <c r="IW177" s="302"/>
      <c r="IX177" s="302"/>
      <c r="IY177" s="302"/>
      <c r="IZ177" s="302"/>
      <c r="JA177" s="302"/>
      <c r="JB177" s="302"/>
      <c r="JC177" s="302"/>
      <c r="JD177" s="302"/>
      <c r="JE177" s="302"/>
      <c r="JF177" s="302"/>
      <c r="JG177" s="302"/>
      <c r="JH177" s="302"/>
      <c r="JI177" s="302"/>
      <c r="JJ177" s="302"/>
      <c r="JK177" s="302"/>
      <c r="JL177" s="302"/>
      <c r="JM177" s="302"/>
      <c r="JN177" s="302"/>
      <c r="JO177" s="302"/>
      <c r="JP177" s="302"/>
      <c r="JQ177" s="302"/>
      <c r="JR177" s="302"/>
      <c r="JS177" s="302"/>
      <c r="JT177" s="302"/>
      <c r="JU177" s="302"/>
      <c r="JV177" s="302"/>
      <c r="JW177" s="302"/>
      <c r="JX177" s="302"/>
      <c r="JY177" s="302"/>
      <c r="JZ177" s="302"/>
      <c r="KA177" s="302"/>
      <c r="KB177" s="302"/>
      <c r="KC177" s="302"/>
      <c r="KD177" s="302"/>
      <c r="KE177" s="302"/>
      <c r="KF177" s="302"/>
      <c r="KG177" s="302"/>
      <c r="KH177" s="302"/>
      <c r="KI177" s="302"/>
      <c r="KJ177" s="302"/>
      <c r="KK177" s="302"/>
      <c r="KL177" s="302"/>
      <c r="KM177" s="302"/>
      <c r="KN177" s="302"/>
      <c r="KO177" s="302"/>
      <c r="KP177" s="302"/>
      <c r="KQ177" s="302"/>
      <c r="KR177" s="302"/>
      <c r="KS177" s="302"/>
      <c r="KT177" s="302"/>
      <c r="KU177" s="302"/>
      <c r="KV177" s="302"/>
      <c r="KW177" s="302"/>
      <c r="KX177" s="302"/>
      <c r="KY177" s="302"/>
      <c r="KZ177" s="302"/>
      <c r="LA177" s="302"/>
      <c r="LB177" s="302"/>
      <c r="LC177" s="302"/>
      <c r="LD177" s="302"/>
      <c r="LE177" s="302"/>
      <c r="LF177" s="302"/>
      <c r="LG177" s="302"/>
      <c r="LH177" s="302"/>
      <c r="LI177" s="302"/>
      <c r="LJ177" s="302"/>
      <c r="LK177" s="302"/>
      <c r="LL177" s="302"/>
      <c r="LM177" s="302"/>
      <c r="LN177" s="302"/>
      <c r="LO177" s="302"/>
      <c r="LP177" s="302"/>
      <c r="LQ177" s="302"/>
      <c r="LR177" s="302"/>
      <c r="LS177" s="302"/>
      <c r="LT177" s="302"/>
      <c r="LU177" s="302"/>
      <c r="LV177" s="302"/>
      <c r="LW177" s="302"/>
      <c r="LX177" s="302"/>
      <c r="LY177" s="302"/>
      <c r="LZ177" s="302"/>
      <c r="MA177" s="302"/>
      <c r="MB177" s="302"/>
      <c r="MC177" s="302"/>
      <c r="MD177" s="302"/>
      <c r="ME177" s="302"/>
      <c r="MF177" s="302"/>
      <c r="MG177" s="302"/>
      <c r="MH177" s="302"/>
      <c r="MI177" s="302"/>
      <c r="MJ177" s="302"/>
      <c r="MK177" s="302"/>
      <c r="ML177" s="302"/>
      <c r="MM177" s="302"/>
      <c r="MN177" s="302"/>
      <c r="MO177" s="302"/>
      <c r="MP177" s="302"/>
      <c r="MQ177" s="302"/>
      <c r="MR177" s="302"/>
      <c r="MS177" s="302"/>
      <c r="MT177" s="302"/>
      <c r="MU177" s="302"/>
      <c r="MV177" s="302"/>
      <c r="MW177" s="302"/>
      <c r="MX177" s="302"/>
      <c r="MY177" s="302"/>
      <c r="MZ177" s="302"/>
      <c r="NA177" s="302"/>
      <c r="NB177" s="302"/>
      <c r="NC177" s="302"/>
      <c r="ND177" s="302"/>
      <c r="NE177" s="302"/>
      <c r="NF177" s="302"/>
      <c r="NG177" s="302"/>
      <c r="NH177" s="302"/>
      <c r="NI177" s="302"/>
      <c r="NJ177" s="302"/>
      <c r="NK177" s="302"/>
      <c r="NL177" s="302"/>
      <c r="NM177" s="302"/>
      <c r="NN177" s="302"/>
      <c r="NO177" s="302"/>
      <c r="NP177" s="302"/>
      <c r="NQ177" s="302"/>
      <c r="NR177" s="302"/>
      <c r="NS177" s="302"/>
      <c r="NT177" s="302"/>
      <c r="NU177" s="302"/>
      <c r="NV177" s="302"/>
      <c r="NW177" s="302"/>
      <c r="NX177" s="302"/>
      <c r="NY177" s="302"/>
      <c r="NZ177" s="302"/>
      <c r="OA177" s="302"/>
      <c r="OB177" s="302"/>
      <c r="OC177" s="302"/>
      <c r="OD177" s="302"/>
      <c r="OE177" s="302"/>
      <c r="OF177" s="302"/>
      <c r="OG177" s="302"/>
      <c r="OH177" s="302"/>
      <c r="OI177" s="302"/>
      <c r="OJ177" s="302"/>
      <c r="OK177" s="302"/>
      <c r="OL177" s="302"/>
      <c r="OM177" s="302"/>
      <c r="ON177" s="302"/>
      <c r="OO177" s="302"/>
      <c r="OP177" s="302"/>
      <c r="OQ177" s="302"/>
      <c r="OR177" s="302"/>
      <c r="OS177" s="302"/>
      <c r="OT177" s="302"/>
      <c r="OU177" s="302"/>
      <c r="OV177" s="302"/>
      <c r="OW177" s="302"/>
      <c r="OX177" s="302"/>
      <c r="OY177" s="302"/>
      <c r="OZ177" s="302"/>
      <c r="PA177" s="302"/>
      <c r="PB177" s="302"/>
      <c r="PC177" s="302"/>
      <c r="PD177" s="302"/>
      <c r="PE177" s="302"/>
      <c r="PF177" s="302"/>
      <c r="PG177" s="302"/>
      <c r="PH177" s="302"/>
      <c r="PI177" s="302"/>
      <c r="PJ177" s="302"/>
      <c r="PK177" s="302"/>
      <c r="PL177" s="302"/>
      <c r="PM177" s="302"/>
      <c r="PN177" s="302"/>
      <c r="PO177" s="302"/>
      <c r="PP177" s="302"/>
      <c r="PQ177" s="302"/>
      <c r="PR177" s="302"/>
      <c r="PS177" s="302"/>
      <c r="PT177" s="302"/>
      <c r="PU177" s="302"/>
      <c r="PV177" s="302"/>
      <c r="PW177" s="302"/>
      <c r="PX177" s="302"/>
      <c r="PY177" s="302"/>
      <c r="PZ177" s="302"/>
      <c r="QA177" s="302"/>
      <c r="QB177" s="302"/>
      <c r="QC177" s="302"/>
      <c r="QD177" s="302"/>
      <c r="QE177" s="302"/>
      <c r="QF177" s="302"/>
      <c r="QG177" s="302"/>
      <c r="QH177" s="302"/>
      <c r="QI177" s="302"/>
      <c r="QJ177" s="302"/>
      <c r="QK177" s="302"/>
      <c r="QL177" s="302"/>
      <c r="QM177" s="302"/>
      <c r="QN177" s="302"/>
      <c r="QO177" s="302"/>
      <c r="QP177" s="302"/>
      <c r="QQ177" s="302"/>
      <c r="QR177" s="302"/>
      <c r="QS177" s="302"/>
      <c r="QT177" s="302"/>
      <c r="QU177" s="302"/>
      <c r="QV177" s="302"/>
      <c r="QW177" s="302"/>
      <c r="QX177" s="302"/>
      <c r="QY177" s="302"/>
      <c r="QZ177" s="302"/>
      <c r="RA177" s="302"/>
      <c r="RB177" s="302"/>
      <c r="RC177" s="302"/>
      <c r="RD177" s="302"/>
      <c r="RE177" s="302"/>
      <c r="RF177" s="302"/>
      <c r="RG177" s="302"/>
      <c r="RH177" s="302"/>
      <c r="RI177" s="302"/>
      <c r="RJ177" s="302"/>
      <c r="RK177" s="302"/>
      <c r="RL177" s="302"/>
      <c r="RM177" s="302"/>
      <c r="RN177" s="302"/>
      <c r="RO177" s="302"/>
      <c r="RP177" s="302"/>
      <c r="RQ177" s="302"/>
      <c r="RR177" s="302"/>
      <c r="RS177" s="302"/>
      <c r="RT177" s="302"/>
      <c r="RU177" s="302"/>
      <c r="RV177" s="302"/>
      <c r="RW177" s="302"/>
      <c r="RX177" s="302"/>
      <c r="RY177" s="302"/>
      <c r="RZ177" s="302"/>
      <c r="SA177" s="302"/>
      <c r="SB177" s="302"/>
      <c r="SC177" s="302"/>
      <c r="SD177" s="302"/>
      <c r="SE177" s="302"/>
      <c r="SF177" s="302"/>
      <c r="SG177" s="302"/>
      <c r="SH177" s="302"/>
      <c r="SI177" s="302"/>
      <c r="SJ177" s="302"/>
      <c r="SK177" s="302"/>
      <c r="SL177" s="302"/>
      <c r="SM177" s="302"/>
      <c r="SN177" s="302"/>
      <c r="SO177" s="302"/>
      <c r="SP177" s="302"/>
      <c r="SQ177" s="302"/>
      <c r="SR177" s="302"/>
      <c r="SS177" s="302"/>
      <c r="ST177" s="302"/>
      <c r="SU177" s="302"/>
      <c r="SV177" s="302"/>
      <c r="SW177" s="302"/>
      <c r="SX177" s="302"/>
      <c r="SY177" s="302"/>
      <c r="SZ177" s="302"/>
      <c r="TA177" s="302"/>
      <c r="TB177" s="302"/>
      <c r="TC177" s="302"/>
      <c r="TD177" s="302"/>
      <c r="TE177" s="302"/>
      <c r="TF177" s="302"/>
      <c r="TG177" s="302"/>
      <c r="TH177" s="302"/>
      <c r="TI177" s="302"/>
      <c r="TJ177" s="302"/>
      <c r="TK177" s="302"/>
      <c r="TL177" s="302"/>
      <c r="TM177" s="302"/>
      <c r="TN177" s="302"/>
      <c r="TO177" s="302"/>
      <c r="TP177" s="302"/>
      <c r="TQ177" s="302"/>
      <c r="TR177" s="302"/>
      <c r="TS177" s="302"/>
      <c r="TT177" s="302"/>
      <c r="TU177" s="302"/>
      <c r="TV177" s="302"/>
      <c r="TW177" s="302"/>
      <c r="TX177" s="302"/>
      <c r="TY177" s="302"/>
      <c r="TZ177" s="302"/>
      <c r="UA177" s="302"/>
      <c r="UB177" s="302"/>
      <c r="UC177" s="302"/>
      <c r="UD177" s="302"/>
      <c r="UE177" s="302"/>
      <c r="UF177" s="302"/>
      <c r="UG177" s="302"/>
      <c r="UH177" s="302"/>
      <c r="UI177" s="302"/>
      <c r="UJ177" s="302"/>
      <c r="UK177" s="302"/>
      <c r="UL177" s="302"/>
      <c r="UM177" s="302"/>
      <c r="UN177" s="302"/>
      <c r="UO177" s="302"/>
      <c r="UP177" s="302"/>
      <c r="UQ177" s="302"/>
      <c r="UR177" s="302"/>
      <c r="US177" s="302"/>
      <c r="UT177" s="302"/>
      <c r="UU177" s="302"/>
      <c r="UV177" s="302"/>
      <c r="UW177" s="302"/>
      <c r="UX177" s="302"/>
      <c r="UY177" s="302"/>
      <c r="UZ177" s="302"/>
      <c r="VA177" s="302"/>
      <c r="VB177" s="302"/>
      <c r="VC177" s="302"/>
      <c r="VD177" s="302"/>
      <c r="VE177" s="302"/>
      <c r="VF177" s="302"/>
      <c r="VG177" s="302"/>
      <c r="VH177" s="302"/>
      <c r="VI177" s="302"/>
      <c r="VJ177" s="302"/>
      <c r="VK177" s="302"/>
      <c r="VL177" s="302"/>
      <c r="VM177" s="302"/>
      <c r="VN177" s="302"/>
      <c r="VO177" s="302"/>
      <c r="VP177" s="302"/>
      <c r="VQ177" s="302"/>
      <c r="VR177" s="302"/>
      <c r="VS177" s="302"/>
      <c r="VT177" s="302"/>
      <c r="VU177" s="302"/>
      <c r="VV177" s="302"/>
      <c r="VW177" s="302"/>
      <c r="VX177" s="302"/>
      <c r="VY177" s="302"/>
      <c r="VZ177" s="302"/>
      <c r="WA177" s="302"/>
      <c r="WB177" s="302"/>
      <c r="WC177" s="302"/>
      <c r="WD177" s="302"/>
      <c r="WE177" s="302"/>
      <c r="WF177" s="302"/>
      <c r="WG177" s="302"/>
      <c r="WH177" s="302"/>
      <c r="WI177" s="302"/>
      <c r="WJ177" s="302"/>
      <c r="WK177" s="302"/>
      <c r="WL177" s="302"/>
      <c r="WM177" s="302"/>
      <c r="WN177" s="302"/>
      <c r="WO177" s="302"/>
      <c r="WP177" s="302"/>
      <c r="WQ177" s="302"/>
      <c r="WR177" s="302"/>
      <c r="WS177" s="302"/>
      <c r="WT177" s="302"/>
      <c r="WU177" s="302"/>
      <c r="WV177" s="302"/>
      <c r="WW177" s="302"/>
      <c r="WX177" s="302"/>
      <c r="WY177" s="302"/>
      <c r="WZ177" s="302"/>
      <c r="XA177" s="302"/>
      <c r="XB177" s="302"/>
      <c r="XC177" s="302"/>
      <c r="XD177" s="302"/>
      <c r="XE177" s="302"/>
      <c r="XF177" s="302"/>
      <c r="XG177" s="302"/>
      <c r="XH177" s="302"/>
      <c r="XI177" s="302"/>
      <c r="XJ177" s="302"/>
      <c r="XK177" s="302"/>
      <c r="XL177" s="302"/>
      <c r="XM177" s="302"/>
      <c r="XN177" s="302"/>
      <c r="XO177" s="302"/>
      <c r="XP177" s="302"/>
      <c r="XQ177" s="302"/>
      <c r="XR177" s="302"/>
      <c r="XS177" s="302"/>
      <c r="XT177" s="302"/>
      <c r="XU177" s="302"/>
      <c r="XV177" s="302"/>
      <c r="XW177" s="302"/>
      <c r="XX177" s="302"/>
      <c r="XY177" s="302"/>
      <c r="XZ177" s="302"/>
      <c r="YA177" s="302"/>
      <c r="YB177" s="302"/>
      <c r="YC177" s="302"/>
      <c r="YD177" s="302"/>
      <c r="YE177" s="302"/>
      <c r="YF177" s="302"/>
      <c r="YG177" s="302"/>
      <c r="YH177" s="302"/>
      <c r="YI177" s="302"/>
      <c r="YJ177" s="302"/>
      <c r="YK177" s="302"/>
      <c r="YL177" s="302"/>
      <c r="YM177" s="302"/>
      <c r="YN177" s="302"/>
      <c r="YO177" s="302"/>
      <c r="YP177" s="302"/>
      <c r="YQ177" s="302"/>
      <c r="YR177" s="302"/>
      <c r="YS177" s="302"/>
      <c r="YT177" s="302"/>
      <c r="YU177" s="302"/>
      <c r="YV177" s="302"/>
      <c r="YW177" s="302"/>
      <c r="YX177" s="302"/>
      <c r="YY177" s="302"/>
      <c r="YZ177" s="302"/>
      <c r="ZA177" s="302"/>
      <c r="ZB177" s="302"/>
      <c r="ZC177" s="302"/>
      <c r="ZD177" s="302"/>
      <c r="ZE177" s="302"/>
      <c r="ZF177" s="302"/>
      <c r="ZG177" s="302"/>
      <c r="ZH177" s="302"/>
      <c r="ZI177" s="302"/>
      <c r="ZJ177" s="302"/>
      <c r="ZK177" s="302"/>
      <c r="ZL177" s="302"/>
      <c r="ZM177" s="302"/>
      <c r="ZN177" s="302"/>
      <c r="ZO177" s="302"/>
      <c r="ZP177" s="302"/>
      <c r="ZQ177" s="302"/>
      <c r="ZR177" s="302"/>
      <c r="ZS177" s="302"/>
      <c r="ZT177" s="302"/>
      <c r="ZU177" s="302"/>
      <c r="ZV177" s="302"/>
      <c r="ZW177" s="302"/>
      <c r="ZX177" s="302"/>
      <c r="ZY177" s="302"/>
      <c r="ZZ177" s="302"/>
      <c r="AAA177" s="302"/>
      <c r="AAB177" s="302"/>
      <c r="AAC177" s="302"/>
      <c r="AAD177" s="302"/>
      <c r="AAE177" s="302"/>
      <c r="AAF177" s="302"/>
      <c r="AAG177" s="302"/>
      <c r="AAH177" s="302"/>
      <c r="AAI177" s="302"/>
      <c r="AAJ177" s="302"/>
      <c r="AAK177" s="302"/>
      <c r="AAL177" s="302"/>
      <c r="AAM177" s="302"/>
      <c r="AAN177" s="302"/>
      <c r="AAO177" s="302"/>
      <c r="AAP177" s="302"/>
      <c r="AAQ177" s="302"/>
      <c r="AAR177" s="302"/>
      <c r="AAS177" s="302"/>
      <c r="AAT177" s="302"/>
      <c r="AAU177" s="302"/>
      <c r="AAV177" s="302"/>
      <c r="AAW177" s="302"/>
      <c r="AAX177" s="302"/>
      <c r="AAY177" s="302"/>
      <c r="AAZ177" s="302"/>
      <c r="ABA177" s="302"/>
      <c r="ABB177" s="302"/>
      <c r="ABC177" s="302"/>
      <c r="ABD177" s="302"/>
      <c r="ABE177" s="302"/>
      <c r="ABF177" s="302"/>
      <c r="ABG177" s="302"/>
      <c r="ABH177" s="302"/>
      <c r="ABI177" s="302"/>
      <c r="ABJ177" s="302"/>
      <c r="ABK177" s="302"/>
      <c r="ABL177" s="302"/>
      <c r="ABM177" s="302"/>
      <c r="ABN177" s="302"/>
      <c r="ABO177" s="302"/>
      <c r="ABP177" s="302"/>
      <c r="ABQ177" s="302"/>
      <c r="ABR177" s="302"/>
      <c r="ABS177" s="302"/>
      <c r="ABT177" s="302"/>
      <c r="ABU177" s="302"/>
      <c r="ABV177" s="302"/>
      <c r="ABW177" s="302"/>
      <c r="ABX177" s="302"/>
      <c r="ABY177" s="302"/>
      <c r="ABZ177" s="302"/>
      <c r="ACA177" s="302"/>
      <c r="ACB177" s="302"/>
      <c r="ACC177" s="302"/>
      <c r="ACD177" s="302"/>
      <c r="ACE177" s="302"/>
      <c r="ACF177" s="302"/>
      <c r="ACG177" s="302"/>
      <c r="ACH177" s="302"/>
      <c r="ACI177" s="302"/>
      <c r="ACJ177" s="302"/>
      <c r="ACK177" s="302"/>
      <c r="ACL177" s="302"/>
      <c r="ACM177" s="302"/>
      <c r="ACN177" s="302"/>
      <c r="ACO177" s="302"/>
      <c r="ACP177" s="302"/>
      <c r="ACQ177" s="302"/>
      <c r="ACR177" s="302"/>
      <c r="ACS177" s="302"/>
      <c r="ACT177" s="302"/>
      <c r="ACU177" s="302"/>
      <c r="ACV177" s="302"/>
      <c r="ACW177" s="302"/>
      <c r="ACX177" s="302"/>
      <c r="ACY177" s="302"/>
      <c r="ACZ177" s="302"/>
      <c r="ADA177" s="302"/>
      <c r="ADB177" s="302"/>
      <c r="ADC177" s="302"/>
      <c r="ADD177" s="302"/>
      <c r="ADE177" s="302"/>
      <c r="ADF177" s="302"/>
      <c r="ADG177" s="302"/>
      <c r="ADH177" s="302"/>
      <c r="ADI177" s="302"/>
      <c r="ADJ177" s="302"/>
      <c r="ADK177" s="302"/>
      <c r="ADL177" s="302"/>
      <c r="ADM177" s="302"/>
      <c r="ADN177" s="302"/>
      <c r="ADO177" s="302"/>
      <c r="ADP177" s="302"/>
      <c r="ADQ177" s="302"/>
      <c r="ADR177" s="302"/>
      <c r="ADS177" s="302"/>
      <c r="ADT177" s="302"/>
      <c r="ADU177" s="302"/>
      <c r="ADV177" s="302"/>
      <c r="ADW177" s="302"/>
      <c r="ADX177" s="302"/>
      <c r="ADY177" s="302"/>
      <c r="ADZ177" s="302"/>
      <c r="AEA177" s="302"/>
      <c r="AEB177" s="302"/>
      <c r="AEC177" s="302"/>
      <c r="AED177" s="302"/>
      <c r="AEE177" s="302"/>
      <c r="AEF177" s="302"/>
      <c r="AEG177" s="302"/>
      <c r="AEH177" s="302"/>
      <c r="AEI177" s="302"/>
      <c r="AEJ177" s="302"/>
      <c r="AEK177" s="302"/>
      <c r="AEL177" s="302"/>
      <c r="AEM177" s="302"/>
      <c r="AEN177" s="302"/>
      <c r="AEO177" s="302"/>
      <c r="AEP177" s="302"/>
      <c r="AEQ177" s="302"/>
      <c r="AER177" s="302"/>
      <c r="AES177" s="302"/>
      <c r="AET177" s="302"/>
      <c r="AEU177" s="302"/>
      <c r="AEV177" s="302"/>
      <c r="AEW177" s="302"/>
      <c r="AEX177" s="302"/>
      <c r="AEY177" s="302"/>
      <c r="AEZ177" s="302"/>
      <c r="AFA177" s="302"/>
      <c r="AFB177" s="302"/>
      <c r="AFC177" s="302"/>
      <c r="AFD177" s="302"/>
      <c r="AFE177" s="302"/>
      <c r="AFF177" s="302"/>
      <c r="AFG177" s="302"/>
      <c r="AFH177" s="302"/>
      <c r="AFI177" s="302"/>
      <c r="AFJ177" s="302"/>
      <c r="AFK177" s="302"/>
      <c r="AFL177" s="302"/>
      <c r="AFM177" s="302"/>
      <c r="AFN177" s="302"/>
      <c r="AFO177" s="302"/>
      <c r="AFP177" s="302"/>
      <c r="AFQ177" s="302"/>
      <c r="AFR177" s="302"/>
      <c r="AFS177" s="302"/>
      <c r="AFT177" s="302"/>
      <c r="AFU177" s="302"/>
      <c r="AFV177" s="302"/>
      <c r="AFW177" s="302"/>
      <c r="AFX177" s="302"/>
      <c r="AFY177" s="302"/>
      <c r="AFZ177" s="302"/>
      <c r="AGA177" s="302"/>
      <c r="AGB177" s="302"/>
      <c r="AGC177" s="302"/>
      <c r="AGD177" s="302"/>
      <c r="AGE177" s="302"/>
      <c r="AGF177" s="302"/>
      <c r="AGG177" s="302"/>
      <c r="AGH177" s="302"/>
      <c r="AGI177" s="302"/>
      <c r="AGJ177" s="302"/>
      <c r="AGK177" s="302"/>
      <c r="AGL177" s="302"/>
      <c r="AGM177" s="302"/>
      <c r="AGN177" s="302"/>
      <c r="AGO177" s="302"/>
      <c r="AGP177" s="302"/>
      <c r="AGQ177" s="302"/>
      <c r="AGR177" s="302"/>
      <c r="AGS177" s="302"/>
      <c r="AGT177" s="302"/>
      <c r="AGU177" s="302"/>
      <c r="AGV177" s="302"/>
      <c r="AGW177" s="302"/>
      <c r="AGX177" s="302"/>
      <c r="AGY177" s="302"/>
      <c r="AGZ177" s="302"/>
      <c r="AHA177" s="302"/>
      <c r="AHB177" s="302"/>
      <c r="AHC177" s="302"/>
      <c r="AHD177" s="302"/>
      <c r="AHE177" s="302"/>
      <c r="AHF177" s="302"/>
      <c r="AHG177" s="302"/>
      <c r="AHH177" s="302"/>
      <c r="AHI177" s="302"/>
      <c r="AHJ177" s="302"/>
      <c r="AHK177" s="302"/>
      <c r="AHL177" s="302"/>
      <c r="AHM177" s="302"/>
      <c r="AHN177" s="302"/>
      <c r="AHO177" s="302"/>
      <c r="AHP177" s="302"/>
      <c r="AHQ177" s="302"/>
      <c r="AHR177" s="302"/>
      <c r="AHS177" s="302"/>
      <c r="AHT177" s="302"/>
      <c r="AHU177" s="302"/>
      <c r="AHV177" s="302"/>
      <c r="AHW177" s="302"/>
      <c r="AHX177" s="302"/>
      <c r="AHY177" s="302"/>
      <c r="AHZ177" s="302"/>
      <c r="AIA177" s="302"/>
      <c r="AIB177" s="302"/>
      <c r="AIC177" s="302"/>
      <c r="AID177" s="302"/>
      <c r="AIE177" s="302"/>
      <c r="AIF177" s="302"/>
      <c r="AIG177" s="302"/>
      <c r="AIH177" s="302"/>
      <c r="AII177" s="302"/>
      <c r="AIJ177" s="302"/>
      <c r="AIK177" s="302"/>
      <c r="AIL177" s="302"/>
      <c r="AIM177" s="302"/>
      <c r="AIN177" s="302"/>
      <c r="AIO177" s="302"/>
      <c r="AIP177" s="302"/>
      <c r="AIQ177" s="302"/>
      <c r="AIR177" s="302"/>
      <c r="AIS177" s="302"/>
      <c r="AIT177" s="302"/>
      <c r="AIU177" s="302"/>
      <c r="AIV177" s="302"/>
      <c r="AIW177" s="302"/>
      <c r="AIX177" s="302"/>
      <c r="AIY177" s="302"/>
      <c r="AIZ177" s="302"/>
      <c r="AJA177" s="302"/>
      <c r="AJB177" s="302"/>
      <c r="AJC177" s="302"/>
      <c r="AJD177" s="302"/>
      <c r="AJE177" s="302"/>
      <c r="AJF177" s="302"/>
      <c r="AJG177" s="302"/>
      <c r="AJH177" s="302"/>
      <c r="AJI177" s="302"/>
      <c r="AJJ177" s="302"/>
      <c r="AJK177" s="302"/>
      <c r="AJL177" s="302"/>
      <c r="AJM177" s="302"/>
      <c r="AJN177" s="302"/>
      <c r="AJO177" s="302"/>
      <c r="AJP177" s="302"/>
      <c r="AJQ177" s="302"/>
      <c r="AJR177" s="302"/>
      <c r="AJS177" s="302"/>
      <c r="AJT177" s="302"/>
      <c r="AJU177" s="302"/>
      <c r="AJV177" s="302"/>
      <c r="AJW177" s="302"/>
      <c r="AJX177" s="302"/>
      <c r="AJY177" s="302"/>
      <c r="AJZ177" s="302"/>
      <c r="AKA177" s="302"/>
      <c r="AKB177" s="302"/>
      <c r="AKC177" s="302"/>
      <c r="AKD177" s="302"/>
      <c r="AKE177" s="302"/>
      <c r="AKF177" s="302"/>
      <c r="AKG177" s="302"/>
      <c r="AKH177" s="302"/>
      <c r="AKI177" s="302"/>
      <c r="AKJ177" s="302"/>
      <c r="AKK177" s="302"/>
      <c r="AKL177" s="302"/>
      <c r="AKM177" s="302"/>
      <c r="AKN177" s="302"/>
      <c r="AKO177" s="302"/>
      <c r="AKP177" s="302"/>
      <c r="AKQ177" s="302"/>
      <c r="AKR177" s="302"/>
      <c r="AKS177" s="302"/>
      <c r="AKT177" s="302"/>
      <c r="AKU177" s="302"/>
      <c r="AKV177" s="302"/>
      <c r="AKW177" s="302"/>
      <c r="AKX177" s="302"/>
      <c r="AKY177" s="302"/>
      <c r="AKZ177" s="302"/>
      <c r="ALA177" s="302"/>
      <c r="ALB177" s="302"/>
      <c r="ALC177" s="302"/>
      <c r="ALD177" s="302"/>
      <c r="ALE177" s="302"/>
      <c r="ALF177" s="302"/>
      <c r="ALG177" s="302"/>
      <c r="ALH177" s="302"/>
      <c r="ALI177" s="302"/>
      <c r="ALJ177" s="302"/>
      <c r="ALK177" s="302"/>
      <c r="ALL177" s="302"/>
      <c r="ALM177" s="302"/>
      <c r="ALN177" s="302"/>
      <c r="ALO177" s="302"/>
      <c r="ALP177" s="302"/>
      <c r="ALQ177" s="302"/>
      <c r="ALR177" s="302"/>
      <c r="ALS177" s="302"/>
      <c r="ALT177" s="302"/>
      <c r="ALU177" s="302"/>
      <c r="ALV177" s="302"/>
      <c r="ALW177" s="302"/>
      <c r="ALX177" s="302"/>
      <c r="ALY177" s="302"/>
      <c r="ALZ177" s="302"/>
      <c r="AMA177" s="302"/>
      <c r="AMB177" s="302"/>
      <c r="AMC177" s="302"/>
      <c r="AMD177" s="302"/>
      <c r="AME177" s="302"/>
      <c r="AMF177" s="302"/>
      <c r="AMG177" s="302"/>
      <c r="AMH177" s="302"/>
      <c r="AMI177" s="302"/>
    </row>
    <row r="178" spans="1:1023" hidden="1"/>
    <row r="179" spans="1:1023" hidden="1"/>
    <row r="180" spans="1:1023" hidden="1"/>
    <row r="181" spans="1:1023" ht="18" hidden="1">
      <c r="A181" s="302"/>
      <c r="B181" s="969" t="s">
        <v>409</v>
      </c>
      <c r="C181" s="970"/>
      <c r="D181" s="970"/>
      <c r="E181" s="970"/>
      <c r="F181" s="970"/>
      <c r="G181" s="970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2"/>
      <c r="AE181" s="302"/>
      <c r="AF181" s="302"/>
      <c r="AG181" s="302"/>
      <c r="AH181" s="302"/>
      <c r="AI181" s="302"/>
      <c r="AJ181" s="302"/>
      <c r="AK181" s="302"/>
      <c r="AL181" s="302"/>
      <c r="AM181" s="302"/>
      <c r="AN181" s="302"/>
      <c r="AO181" s="302"/>
      <c r="AP181" s="302"/>
      <c r="AQ181" s="302"/>
      <c r="AR181" s="302"/>
      <c r="AS181" s="302"/>
      <c r="AT181" s="302"/>
      <c r="AU181" s="302"/>
      <c r="AV181" s="302"/>
      <c r="AW181" s="302"/>
      <c r="AX181" s="302"/>
      <c r="AY181" s="302"/>
      <c r="AZ181" s="302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K181" s="302"/>
      <c r="BL181" s="302"/>
      <c r="BM181" s="302"/>
      <c r="BN181" s="302"/>
      <c r="BO181" s="302"/>
      <c r="BP181" s="302"/>
      <c r="BQ181" s="302"/>
      <c r="BR181" s="302"/>
      <c r="BS181" s="302"/>
      <c r="BT181" s="302"/>
      <c r="BU181" s="302"/>
      <c r="BV181" s="302"/>
      <c r="BW181" s="302"/>
      <c r="BX181" s="302"/>
      <c r="BY181" s="302"/>
      <c r="BZ181" s="302"/>
      <c r="CA181" s="302"/>
      <c r="CB181" s="302"/>
      <c r="CC181" s="302"/>
      <c r="CD181" s="302"/>
      <c r="CE181" s="302"/>
      <c r="CF181" s="302"/>
      <c r="CG181" s="302"/>
      <c r="CH181" s="302"/>
      <c r="CI181" s="302"/>
      <c r="CJ181" s="302"/>
      <c r="CK181" s="302"/>
      <c r="CL181" s="302"/>
      <c r="CM181" s="302"/>
      <c r="CN181" s="302"/>
      <c r="CO181" s="302"/>
      <c r="CP181" s="302"/>
      <c r="CQ181" s="302"/>
      <c r="CR181" s="302"/>
      <c r="CS181" s="302"/>
      <c r="CT181" s="302"/>
      <c r="CU181" s="302"/>
      <c r="CV181" s="302"/>
      <c r="CW181" s="302"/>
      <c r="CX181" s="302"/>
      <c r="CY181" s="302"/>
      <c r="CZ181" s="302"/>
      <c r="DA181" s="302"/>
      <c r="DB181" s="302"/>
      <c r="DC181" s="302"/>
      <c r="DD181" s="302"/>
      <c r="DE181" s="302"/>
      <c r="DF181" s="302"/>
      <c r="DG181" s="302"/>
      <c r="DH181" s="302"/>
      <c r="DI181" s="302"/>
      <c r="DJ181" s="302"/>
      <c r="DK181" s="302"/>
      <c r="DL181" s="302"/>
      <c r="DM181" s="302"/>
      <c r="DN181" s="302"/>
      <c r="DO181" s="302"/>
      <c r="DP181" s="302"/>
      <c r="DQ181" s="302"/>
      <c r="DR181" s="302"/>
      <c r="DS181" s="302"/>
      <c r="DT181" s="302"/>
      <c r="DU181" s="302"/>
      <c r="DV181" s="302"/>
      <c r="DW181" s="302"/>
      <c r="DX181" s="302"/>
      <c r="DY181" s="302"/>
      <c r="DZ181" s="302"/>
      <c r="EA181" s="302"/>
      <c r="EB181" s="302"/>
      <c r="EC181" s="302"/>
      <c r="ED181" s="302"/>
      <c r="EE181" s="302"/>
      <c r="EF181" s="302"/>
      <c r="EG181" s="302"/>
      <c r="EH181" s="302"/>
      <c r="EI181" s="302"/>
      <c r="EJ181" s="302"/>
      <c r="EK181" s="302"/>
      <c r="EL181" s="302"/>
      <c r="EM181" s="302"/>
      <c r="EN181" s="302"/>
      <c r="EO181" s="302"/>
      <c r="EP181" s="302"/>
      <c r="EQ181" s="302"/>
      <c r="ER181" s="302"/>
      <c r="ES181" s="302"/>
      <c r="ET181" s="302"/>
      <c r="EU181" s="302"/>
      <c r="EV181" s="302"/>
      <c r="EW181" s="302"/>
      <c r="EX181" s="302"/>
      <c r="EY181" s="302"/>
      <c r="EZ181" s="302"/>
      <c r="FA181" s="302"/>
      <c r="FB181" s="302"/>
      <c r="FC181" s="302"/>
      <c r="FD181" s="302"/>
      <c r="FE181" s="302"/>
      <c r="FF181" s="302"/>
      <c r="FG181" s="302"/>
      <c r="FH181" s="302"/>
      <c r="FI181" s="302"/>
      <c r="FJ181" s="302"/>
      <c r="FK181" s="302"/>
      <c r="FL181" s="302"/>
      <c r="FM181" s="302"/>
      <c r="FN181" s="302"/>
      <c r="FO181" s="302"/>
      <c r="FP181" s="302"/>
      <c r="FQ181" s="302"/>
      <c r="FR181" s="302"/>
      <c r="FS181" s="302"/>
      <c r="FT181" s="302"/>
      <c r="FU181" s="302"/>
      <c r="FV181" s="302"/>
      <c r="FW181" s="302"/>
      <c r="FX181" s="302"/>
      <c r="FY181" s="302"/>
      <c r="FZ181" s="302"/>
      <c r="GA181" s="302"/>
      <c r="GB181" s="302"/>
      <c r="GC181" s="302"/>
      <c r="GD181" s="302"/>
      <c r="GE181" s="302"/>
      <c r="GF181" s="302"/>
      <c r="GG181" s="302"/>
      <c r="GH181" s="302"/>
      <c r="GI181" s="302"/>
      <c r="GJ181" s="302"/>
      <c r="GK181" s="302"/>
      <c r="GL181" s="302"/>
      <c r="GM181" s="302"/>
      <c r="GN181" s="302"/>
      <c r="GO181" s="302"/>
      <c r="GP181" s="302"/>
      <c r="GQ181" s="302"/>
      <c r="GR181" s="302"/>
      <c r="GS181" s="302"/>
      <c r="GT181" s="302"/>
      <c r="GU181" s="302"/>
      <c r="GV181" s="302"/>
      <c r="GW181" s="302"/>
      <c r="GX181" s="302"/>
      <c r="GY181" s="302"/>
      <c r="GZ181" s="302"/>
      <c r="HA181" s="302"/>
      <c r="HB181" s="302"/>
      <c r="HC181" s="302"/>
      <c r="HD181" s="302"/>
      <c r="HE181" s="302"/>
      <c r="HF181" s="302"/>
      <c r="HG181" s="302"/>
      <c r="HH181" s="302"/>
      <c r="HI181" s="302"/>
      <c r="HJ181" s="302"/>
      <c r="HK181" s="302"/>
      <c r="HL181" s="302"/>
      <c r="HM181" s="302"/>
      <c r="HN181" s="302"/>
      <c r="HO181" s="302"/>
      <c r="HP181" s="302"/>
      <c r="HQ181" s="302"/>
      <c r="HR181" s="302"/>
      <c r="HS181" s="302"/>
      <c r="HT181" s="302"/>
      <c r="HU181" s="302"/>
      <c r="HV181" s="302"/>
      <c r="HW181" s="302"/>
      <c r="HX181" s="302"/>
      <c r="HY181" s="302"/>
      <c r="HZ181" s="302"/>
      <c r="IA181" s="302"/>
      <c r="IB181" s="302"/>
      <c r="IC181" s="302"/>
      <c r="ID181" s="302"/>
      <c r="IE181" s="302"/>
      <c r="IF181" s="302"/>
      <c r="IG181" s="302"/>
      <c r="IH181" s="302"/>
      <c r="II181" s="302"/>
      <c r="IJ181" s="302"/>
      <c r="IK181" s="302"/>
      <c r="IL181" s="302"/>
      <c r="IM181" s="302"/>
      <c r="IN181" s="302"/>
      <c r="IO181" s="302"/>
      <c r="IP181" s="302"/>
      <c r="IQ181" s="302"/>
      <c r="IR181" s="302"/>
      <c r="IS181" s="302"/>
      <c r="IT181" s="302"/>
      <c r="IU181" s="302"/>
      <c r="IV181" s="302"/>
      <c r="IW181" s="302"/>
      <c r="IX181" s="302"/>
      <c r="IY181" s="302"/>
      <c r="IZ181" s="302"/>
      <c r="JA181" s="302"/>
      <c r="JB181" s="302"/>
      <c r="JC181" s="302"/>
      <c r="JD181" s="302"/>
      <c r="JE181" s="302"/>
      <c r="JF181" s="302"/>
      <c r="JG181" s="302"/>
      <c r="JH181" s="302"/>
      <c r="JI181" s="302"/>
      <c r="JJ181" s="302"/>
      <c r="JK181" s="302"/>
      <c r="JL181" s="302"/>
      <c r="JM181" s="302"/>
      <c r="JN181" s="302"/>
      <c r="JO181" s="302"/>
      <c r="JP181" s="302"/>
      <c r="JQ181" s="302"/>
      <c r="JR181" s="302"/>
      <c r="JS181" s="302"/>
      <c r="JT181" s="302"/>
      <c r="JU181" s="302"/>
      <c r="JV181" s="302"/>
      <c r="JW181" s="302"/>
      <c r="JX181" s="302"/>
      <c r="JY181" s="302"/>
      <c r="JZ181" s="302"/>
      <c r="KA181" s="302"/>
      <c r="KB181" s="302"/>
      <c r="KC181" s="302"/>
      <c r="KD181" s="302"/>
      <c r="KE181" s="302"/>
      <c r="KF181" s="302"/>
      <c r="KG181" s="302"/>
      <c r="KH181" s="302"/>
      <c r="KI181" s="302"/>
      <c r="KJ181" s="302"/>
      <c r="KK181" s="302"/>
      <c r="KL181" s="302"/>
      <c r="KM181" s="302"/>
      <c r="KN181" s="302"/>
      <c r="KO181" s="302"/>
      <c r="KP181" s="302"/>
      <c r="KQ181" s="302"/>
      <c r="KR181" s="302"/>
      <c r="KS181" s="302"/>
      <c r="KT181" s="302"/>
      <c r="KU181" s="302"/>
      <c r="KV181" s="302"/>
      <c r="KW181" s="302"/>
      <c r="KX181" s="302"/>
      <c r="KY181" s="302"/>
      <c r="KZ181" s="302"/>
      <c r="LA181" s="302"/>
      <c r="LB181" s="302"/>
      <c r="LC181" s="302"/>
      <c r="LD181" s="302"/>
      <c r="LE181" s="302"/>
      <c r="LF181" s="302"/>
      <c r="LG181" s="302"/>
      <c r="LH181" s="302"/>
      <c r="LI181" s="302"/>
      <c r="LJ181" s="302"/>
      <c r="LK181" s="302"/>
      <c r="LL181" s="302"/>
      <c r="LM181" s="302"/>
      <c r="LN181" s="302"/>
      <c r="LO181" s="302"/>
      <c r="LP181" s="302"/>
      <c r="LQ181" s="302"/>
      <c r="LR181" s="302"/>
      <c r="LS181" s="302"/>
      <c r="LT181" s="302"/>
      <c r="LU181" s="302"/>
      <c r="LV181" s="302"/>
      <c r="LW181" s="302"/>
      <c r="LX181" s="302"/>
      <c r="LY181" s="302"/>
      <c r="LZ181" s="302"/>
      <c r="MA181" s="302"/>
      <c r="MB181" s="302"/>
      <c r="MC181" s="302"/>
      <c r="MD181" s="302"/>
      <c r="ME181" s="302"/>
      <c r="MF181" s="302"/>
      <c r="MG181" s="302"/>
      <c r="MH181" s="302"/>
      <c r="MI181" s="302"/>
      <c r="MJ181" s="302"/>
      <c r="MK181" s="302"/>
      <c r="ML181" s="302"/>
      <c r="MM181" s="302"/>
      <c r="MN181" s="302"/>
      <c r="MO181" s="302"/>
      <c r="MP181" s="302"/>
      <c r="MQ181" s="302"/>
      <c r="MR181" s="302"/>
      <c r="MS181" s="302"/>
      <c r="MT181" s="302"/>
      <c r="MU181" s="302"/>
      <c r="MV181" s="302"/>
      <c r="MW181" s="302"/>
      <c r="MX181" s="302"/>
      <c r="MY181" s="302"/>
      <c r="MZ181" s="302"/>
      <c r="NA181" s="302"/>
      <c r="NB181" s="302"/>
      <c r="NC181" s="302"/>
      <c r="ND181" s="302"/>
      <c r="NE181" s="302"/>
      <c r="NF181" s="302"/>
      <c r="NG181" s="302"/>
      <c r="NH181" s="302"/>
      <c r="NI181" s="302"/>
      <c r="NJ181" s="302"/>
      <c r="NK181" s="302"/>
      <c r="NL181" s="302"/>
      <c r="NM181" s="302"/>
      <c r="NN181" s="302"/>
      <c r="NO181" s="302"/>
      <c r="NP181" s="302"/>
      <c r="NQ181" s="302"/>
      <c r="NR181" s="302"/>
      <c r="NS181" s="302"/>
      <c r="NT181" s="302"/>
      <c r="NU181" s="302"/>
      <c r="NV181" s="302"/>
      <c r="NW181" s="302"/>
      <c r="NX181" s="302"/>
      <c r="NY181" s="302"/>
      <c r="NZ181" s="302"/>
      <c r="OA181" s="302"/>
      <c r="OB181" s="302"/>
      <c r="OC181" s="302"/>
      <c r="OD181" s="302"/>
      <c r="OE181" s="302"/>
      <c r="OF181" s="302"/>
      <c r="OG181" s="302"/>
      <c r="OH181" s="302"/>
      <c r="OI181" s="302"/>
      <c r="OJ181" s="302"/>
      <c r="OK181" s="302"/>
      <c r="OL181" s="302"/>
      <c r="OM181" s="302"/>
      <c r="ON181" s="302"/>
      <c r="OO181" s="302"/>
      <c r="OP181" s="302"/>
      <c r="OQ181" s="302"/>
      <c r="OR181" s="302"/>
      <c r="OS181" s="302"/>
      <c r="OT181" s="302"/>
      <c r="OU181" s="302"/>
      <c r="OV181" s="302"/>
      <c r="OW181" s="302"/>
      <c r="OX181" s="302"/>
      <c r="OY181" s="302"/>
      <c r="OZ181" s="302"/>
      <c r="PA181" s="302"/>
      <c r="PB181" s="302"/>
      <c r="PC181" s="302"/>
      <c r="PD181" s="302"/>
      <c r="PE181" s="302"/>
      <c r="PF181" s="302"/>
      <c r="PG181" s="302"/>
      <c r="PH181" s="302"/>
      <c r="PI181" s="302"/>
      <c r="PJ181" s="302"/>
      <c r="PK181" s="302"/>
      <c r="PL181" s="302"/>
      <c r="PM181" s="302"/>
      <c r="PN181" s="302"/>
      <c r="PO181" s="302"/>
      <c r="PP181" s="302"/>
      <c r="PQ181" s="302"/>
      <c r="PR181" s="302"/>
      <c r="PS181" s="302"/>
      <c r="PT181" s="302"/>
      <c r="PU181" s="302"/>
      <c r="PV181" s="302"/>
      <c r="PW181" s="302"/>
      <c r="PX181" s="302"/>
      <c r="PY181" s="302"/>
      <c r="PZ181" s="302"/>
      <c r="QA181" s="302"/>
      <c r="QB181" s="302"/>
      <c r="QC181" s="302"/>
      <c r="QD181" s="302"/>
      <c r="QE181" s="302"/>
      <c r="QF181" s="302"/>
      <c r="QG181" s="302"/>
      <c r="QH181" s="302"/>
      <c r="QI181" s="302"/>
      <c r="QJ181" s="302"/>
      <c r="QK181" s="302"/>
      <c r="QL181" s="302"/>
      <c r="QM181" s="302"/>
      <c r="QN181" s="302"/>
      <c r="QO181" s="302"/>
      <c r="QP181" s="302"/>
      <c r="QQ181" s="302"/>
      <c r="QR181" s="302"/>
      <c r="QS181" s="302"/>
      <c r="QT181" s="302"/>
      <c r="QU181" s="302"/>
      <c r="QV181" s="302"/>
      <c r="QW181" s="302"/>
      <c r="QX181" s="302"/>
      <c r="QY181" s="302"/>
      <c r="QZ181" s="302"/>
      <c r="RA181" s="302"/>
      <c r="RB181" s="302"/>
      <c r="RC181" s="302"/>
      <c r="RD181" s="302"/>
      <c r="RE181" s="302"/>
      <c r="RF181" s="302"/>
      <c r="RG181" s="302"/>
      <c r="RH181" s="302"/>
      <c r="RI181" s="302"/>
      <c r="RJ181" s="302"/>
      <c r="RK181" s="302"/>
      <c r="RL181" s="302"/>
      <c r="RM181" s="302"/>
      <c r="RN181" s="302"/>
      <c r="RO181" s="302"/>
      <c r="RP181" s="302"/>
      <c r="RQ181" s="302"/>
      <c r="RR181" s="302"/>
      <c r="RS181" s="302"/>
      <c r="RT181" s="302"/>
      <c r="RU181" s="302"/>
      <c r="RV181" s="302"/>
      <c r="RW181" s="302"/>
      <c r="RX181" s="302"/>
      <c r="RY181" s="302"/>
      <c r="RZ181" s="302"/>
      <c r="SA181" s="302"/>
      <c r="SB181" s="302"/>
      <c r="SC181" s="302"/>
      <c r="SD181" s="302"/>
      <c r="SE181" s="302"/>
      <c r="SF181" s="302"/>
      <c r="SG181" s="302"/>
      <c r="SH181" s="302"/>
      <c r="SI181" s="302"/>
      <c r="SJ181" s="302"/>
      <c r="SK181" s="302"/>
      <c r="SL181" s="302"/>
      <c r="SM181" s="302"/>
      <c r="SN181" s="302"/>
      <c r="SO181" s="302"/>
      <c r="SP181" s="302"/>
      <c r="SQ181" s="302"/>
      <c r="SR181" s="302"/>
      <c r="SS181" s="302"/>
      <c r="ST181" s="302"/>
      <c r="SU181" s="302"/>
      <c r="SV181" s="302"/>
      <c r="SW181" s="302"/>
      <c r="SX181" s="302"/>
      <c r="SY181" s="302"/>
      <c r="SZ181" s="302"/>
      <c r="TA181" s="302"/>
      <c r="TB181" s="302"/>
      <c r="TC181" s="302"/>
      <c r="TD181" s="302"/>
      <c r="TE181" s="302"/>
      <c r="TF181" s="302"/>
      <c r="TG181" s="302"/>
      <c r="TH181" s="302"/>
      <c r="TI181" s="302"/>
      <c r="TJ181" s="302"/>
      <c r="TK181" s="302"/>
      <c r="TL181" s="302"/>
      <c r="TM181" s="302"/>
      <c r="TN181" s="302"/>
      <c r="TO181" s="302"/>
      <c r="TP181" s="302"/>
      <c r="TQ181" s="302"/>
      <c r="TR181" s="302"/>
      <c r="TS181" s="302"/>
      <c r="TT181" s="302"/>
      <c r="TU181" s="302"/>
      <c r="TV181" s="302"/>
      <c r="TW181" s="302"/>
      <c r="TX181" s="302"/>
      <c r="TY181" s="302"/>
      <c r="TZ181" s="302"/>
      <c r="UA181" s="302"/>
      <c r="UB181" s="302"/>
      <c r="UC181" s="302"/>
      <c r="UD181" s="302"/>
      <c r="UE181" s="302"/>
      <c r="UF181" s="302"/>
      <c r="UG181" s="302"/>
      <c r="UH181" s="302"/>
      <c r="UI181" s="302"/>
      <c r="UJ181" s="302"/>
      <c r="UK181" s="302"/>
      <c r="UL181" s="302"/>
      <c r="UM181" s="302"/>
      <c r="UN181" s="302"/>
      <c r="UO181" s="302"/>
      <c r="UP181" s="302"/>
      <c r="UQ181" s="302"/>
      <c r="UR181" s="302"/>
      <c r="US181" s="302"/>
      <c r="UT181" s="302"/>
      <c r="UU181" s="302"/>
      <c r="UV181" s="302"/>
      <c r="UW181" s="302"/>
      <c r="UX181" s="302"/>
      <c r="UY181" s="302"/>
      <c r="UZ181" s="302"/>
      <c r="VA181" s="302"/>
      <c r="VB181" s="302"/>
      <c r="VC181" s="302"/>
      <c r="VD181" s="302"/>
      <c r="VE181" s="302"/>
      <c r="VF181" s="302"/>
      <c r="VG181" s="302"/>
      <c r="VH181" s="302"/>
      <c r="VI181" s="302"/>
      <c r="VJ181" s="302"/>
      <c r="VK181" s="302"/>
      <c r="VL181" s="302"/>
      <c r="VM181" s="302"/>
      <c r="VN181" s="302"/>
      <c r="VO181" s="302"/>
      <c r="VP181" s="302"/>
      <c r="VQ181" s="302"/>
      <c r="VR181" s="302"/>
      <c r="VS181" s="302"/>
      <c r="VT181" s="302"/>
      <c r="VU181" s="302"/>
      <c r="VV181" s="302"/>
      <c r="VW181" s="302"/>
      <c r="VX181" s="302"/>
      <c r="VY181" s="302"/>
      <c r="VZ181" s="302"/>
      <c r="WA181" s="302"/>
      <c r="WB181" s="302"/>
      <c r="WC181" s="302"/>
      <c r="WD181" s="302"/>
      <c r="WE181" s="302"/>
      <c r="WF181" s="302"/>
      <c r="WG181" s="302"/>
      <c r="WH181" s="302"/>
      <c r="WI181" s="302"/>
      <c r="WJ181" s="302"/>
      <c r="WK181" s="302"/>
      <c r="WL181" s="302"/>
      <c r="WM181" s="302"/>
      <c r="WN181" s="302"/>
      <c r="WO181" s="302"/>
      <c r="WP181" s="302"/>
      <c r="WQ181" s="302"/>
      <c r="WR181" s="302"/>
      <c r="WS181" s="302"/>
      <c r="WT181" s="302"/>
      <c r="WU181" s="302"/>
      <c r="WV181" s="302"/>
      <c r="WW181" s="302"/>
      <c r="WX181" s="302"/>
      <c r="WY181" s="302"/>
      <c r="WZ181" s="302"/>
      <c r="XA181" s="302"/>
      <c r="XB181" s="302"/>
      <c r="XC181" s="302"/>
      <c r="XD181" s="302"/>
      <c r="XE181" s="302"/>
      <c r="XF181" s="302"/>
      <c r="XG181" s="302"/>
      <c r="XH181" s="302"/>
      <c r="XI181" s="302"/>
      <c r="XJ181" s="302"/>
      <c r="XK181" s="302"/>
      <c r="XL181" s="302"/>
      <c r="XM181" s="302"/>
      <c r="XN181" s="302"/>
      <c r="XO181" s="302"/>
      <c r="XP181" s="302"/>
      <c r="XQ181" s="302"/>
      <c r="XR181" s="302"/>
      <c r="XS181" s="302"/>
      <c r="XT181" s="302"/>
      <c r="XU181" s="302"/>
      <c r="XV181" s="302"/>
      <c r="XW181" s="302"/>
      <c r="XX181" s="302"/>
      <c r="XY181" s="302"/>
      <c r="XZ181" s="302"/>
      <c r="YA181" s="302"/>
      <c r="YB181" s="302"/>
      <c r="YC181" s="302"/>
      <c r="YD181" s="302"/>
      <c r="YE181" s="302"/>
      <c r="YF181" s="302"/>
      <c r="YG181" s="302"/>
      <c r="YH181" s="302"/>
      <c r="YI181" s="302"/>
      <c r="YJ181" s="302"/>
      <c r="YK181" s="302"/>
      <c r="YL181" s="302"/>
      <c r="YM181" s="302"/>
      <c r="YN181" s="302"/>
      <c r="YO181" s="302"/>
      <c r="YP181" s="302"/>
      <c r="YQ181" s="302"/>
      <c r="YR181" s="302"/>
      <c r="YS181" s="302"/>
      <c r="YT181" s="302"/>
      <c r="YU181" s="302"/>
      <c r="YV181" s="302"/>
      <c r="YW181" s="302"/>
      <c r="YX181" s="302"/>
      <c r="YY181" s="302"/>
      <c r="YZ181" s="302"/>
      <c r="ZA181" s="302"/>
      <c r="ZB181" s="302"/>
      <c r="ZC181" s="302"/>
      <c r="ZD181" s="302"/>
      <c r="ZE181" s="302"/>
      <c r="ZF181" s="302"/>
      <c r="ZG181" s="302"/>
      <c r="ZH181" s="302"/>
      <c r="ZI181" s="302"/>
      <c r="ZJ181" s="302"/>
      <c r="ZK181" s="302"/>
      <c r="ZL181" s="302"/>
      <c r="ZM181" s="302"/>
      <c r="ZN181" s="302"/>
      <c r="ZO181" s="302"/>
      <c r="ZP181" s="302"/>
      <c r="ZQ181" s="302"/>
      <c r="ZR181" s="302"/>
      <c r="ZS181" s="302"/>
      <c r="ZT181" s="302"/>
      <c r="ZU181" s="302"/>
      <c r="ZV181" s="302"/>
      <c r="ZW181" s="302"/>
      <c r="ZX181" s="302"/>
      <c r="ZY181" s="302"/>
      <c r="ZZ181" s="302"/>
      <c r="AAA181" s="302"/>
      <c r="AAB181" s="302"/>
      <c r="AAC181" s="302"/>
      <c r="AAD181" s="302"/>
      <c r="AAE181" s="302"/>
      <c r="AAF181" s="302"/>
      <c r="AAG181" s="302"/>
      <c r="AAH181" s="302"/>
      <c r="AAI181" s="302"/>
      <c r="AAJ181" s="302"/>
      <c r="AAK181" s="302"/>
      <c r="AAL181" s="302"/>
      <c r="AAM181" s="302"/>
      <c r="AAN181" s="302"/>
      <c r="AAO181" s="302"/>
      <c r="AAP181" s="302"/>
      <c r="AAQ181" s="302"/>
      <c r="AAR181" s="302"/>
      <c r="AAS181" s="302"/>
      <c r="AAT181" s="302"/>
      <c r="AAU181" s="302"/>
      <c r="AAV181" s="302"/>
      <c r="AAW181" s="302"/>
      <c r="AAX181" s="302"/>
      <c r="AAY181" s="302"/>
      <c r="AAZ181" s="302"/>
      <c r="ABA181" s="302"/>
      <c r="ABB181" s="302"/>
      <c r="ABC181" s="302"/>
      <c r="ABD181" s="302"/>
      <c r="ABE181" s="302"/>
      <c r="ABF181" s="302"/>
      <c r="ABG181" s="302"/>
      <c r="ABH181" s="302"/>
      <c r="ABI181" s="302"/>
      <c r="ABJ181" s="302"/>
      <c r="ABK181" s="302"/>
      <c r="ABL181" s="302"/>
      <c r="ABM181" s="302"/>
      <c r="ABN181" s="302"/>
      <c r="ABO181" s="302"/>
      <c r="ABP181" s="302"/>
      <c r="ABQ181" s="302"/>
      <c r="ABR181" s="302"/>
      <c r="ABS181" s="302"/>
      <c r="ABT181" s="302"/>
      <c r="ABU181" s="302"/>
      <c r="ABV181" s="302"/>
      <c r="ABW181" s="302"/>
      <c r="ABX181" s="302"/>
      <c r="ABY181" s="302"/>
      <c r="ABZ181" s="302"/>
      <c r="ACA181" s="302"/>
      <c r="ACB181" s="302"/>
      <c r="ACC181" s="302"/>
      <c r="ACD181" s="302"/>
      <c r="ACE181" s="302"/>
      <c r="ACF181" s="302"/>
      <c r="ACG181" s="302"/>
      <c r="ACH181" s="302"/>
      <c r="ACI181" s="302"/>
      <c r="ACJ181" s="302"/>
      <c r="ACK181" s="302"/>
      <c r="ACL181" s="302"/>
      <c r="ACM181" s="302"/>
      <c r="ACN181" s="302"/>
      <c r="ACO181" s="302"/>
      <c r="ACP181" s="302"/>
      <c r="ACQ181" s="302"/>
      <c r="ACR181" s="302"/>
      <c r="ACS181" s="302"/>
      <c r="ACT181" s="302"/>
      <c r="ACU181" s="302"/>
      <c r="ACV181" s="302"/>
      <c r="ACW181" s="302"/>
      <c r="ACX181" s="302"/>
      <c r="ACY181" s="302"/>
      <c r="ACZ181" s="302"/>
      <c r="ADA181" s="302"/>
      <c r="ADB181" s="302"/>
      <c r="ADC181" s="302"/>
      <c r="ADD181" s="302"/>
      <c r="ADE181" s="302"/>
      <c r="ADF181" s="302"/>
      <c r="ADG181" s="302"/>
      <c r="ADH181" s="302"/>
      <c r="ADI181" s="302"/>
      <c r="ADJ181" s="302"/>
      <c r="ADK181" s="302"/>
      <c r="ADL181" s="302"/>
      <c r="ADM181" s="302"/>
      <c r="ADN181" s="302"/>
      <c r="ADO181" s="302"/>
      <c r="ADP181" s="302"/>
      <c r="ADQ181" s="302"/>
      <c r="ADR181" s="302"/>
      <c r="ADS181" s="302"/>
      <c r="ADT181" s="302"/>
      <c r="ADU181" s="302"/>
      <c r="ADV181" s="302"/>
      <c r="ADW181" s="302"/>
      <c r="ADX181" s="302"/>
      <c r="ADY181" s="302"/>
      <c r="ADZ181" s="302"/>
      <c r="AEA181" s="302"/>
      <c r="AEB181" s="302"/>
      <c r="AEC181" s="302"/>
      <c r="AED181" s="302"/>
      <c r="AEE181" s="302"/>
      <c r="AEF181" s="302"/>
      <c r="AEG181" s="302"/>
      <c r="AEH181" s="302"/>
      <c r="AEI181" s="302"/>
      <c r="AEJ181" s="302"/>
      <c r="AEK181" s="302"/>
      <c r="AEL181" s="302"/>
      <c r="AEM181" s="302"/>
      <c r="AEN181" s="302"/>
      <c r="AEO181" s="302"/>
      <c r="AEP181" s="302"/>
      <c r="AEQ181" s="302"/>
      <c r="AER181" s="302"/>
      <c r="AES181" s="302"/>
      <c r="AET181" s="302"/>
      <c r="AEU181" s="302"/>
      <c r="AEV181" s="302"/>
      <c r="AEW181" s="302"/>
      <c r="AEX181" s="302"/>
      <c r="AEY181" s="302"/>
      <c r="AEZ181" s="302"/>
      <c r="AFA181" s="302"/>
      <c r="AFB181" s="302"/>
      <c r="AFC181" s="302"/>
      <c r="AFD181" s="302"/>
      <c r="AFE181" s="302"/>
      <c r="AFF181" s="302"/>
      <c r="AFG181" s="302"/>
      <c r="AFH181" s="302"/>
      <c r="AFI181" s="302"/>
      <c r="AFJ181" s="302"/>
      <c r="AFK181" s="302"/>
      <c r="AFL181" s="302"/>
      <c r="AFM181" s="302"/>
      <c r="AFN181" s="302"/>
      <c r="AFO181" s="302"/>
      <c r="AFP181" s="302"/>
      <c r="AFQ181" s="302"/>
      <c r="AFR181" s="302"/>
      <c r="AFS181" s="302"/>
      <c r="AFT181" s="302"/>
      <c r="AFU181" s="302"/>
      <c r="AFV181" s="302"/>
      <c r="AFW181" s="302"/>
      <c r="AFX181" s="302"/>
      <c r="AFY181" s="302"/>
      <c r="AFZ181" s="302"/>
      <c r="AGA181" s="302"/>
      <c r="AGB181" s="302"/>
      <c r="AGC181" s="302"/>
      <c r="AGD181" s="302"/>
      <c r="AGE181" s="302"/>
      <c r="AGF181" s="302"/>
      <c r="AGG181" s="302"/>
      <c r="AGH181" s="302"/>
      <c r="AGI181" s="302"/>
      <c r="AGJ181" s="302"/>
      <c r="AGK181" s="302"/>
      <c r="AGL181" s="302"/>
      <c r="AGM181" s="302"/>
      <c r="AGN181" s="302"/>
      <c r="AGO181" s="302"/>
      <c r="AGP181" s="302"/>
      <c r="AGQ181" s="302"/>
      <c r="AGR181" s="302"/>
      <c r="AGS181" s="302"/>
      <c r="AGT181" s="302"/>
      <c r="AGU181" s="302"/>
      <c r="AGV181" s="302"/>
      <c r="AGW181" s="302"/>
      <c r="AGX181" s="302"/>
      <c r="AGY181" s="302"/>
      <c r="AGZ181" s="302"/>
      <c r="AHA181" s="302"/>
      <c r="AHB181" s="302"/>
      <c r="AHC181" s="302"/>
      <c r="AHD181" s="302"/>
      <c r="AHE181" s="302"/>
      <c r="AHF181" s="302"/>
      <c r="AHG181" s="302"/>
      <c r="AHH181" s="302"/>
      <c r="AHI181" s="302"/>
      <c r="AHJ181" s="302"/>
      <c r="AHK181" s="302"/>
      <c r="AHL181" s="302"/>
      <c r="AHM181" s="302"/>
      <c r="AHN181" s="302"/>
      <c r="AHO181" s="302"/>
      <c r="AHP181" s="302"/>
      <c r="AHQ181" s="302"/>
      <c r="AHR181" s="302"/>
      <c r="AHS181" s="302"/>
      <c r="AHT181" s="302"/>
      <c r="AHU181" s="302"/>
      <c r="AHV181" s="302"/>
      <c r="AHW181" s="302"/>
      <c r="AHX181" s="302"/>
      <c r="AHY181" s="302"/>
      <c r="AHZ181" s="302"/>
      <c r="AIA181" s="302"/>
      <c r="AIB181" s="302"/>
      <c r="AIC181" s="302"/>
      <c r="AID181" s="302"/>
      <c r="AIE181" s="302"/>
      <c r="AIF181" s="302"/>
      <c r="AIG181" s="302"/>
      <c r="AIH181" s="302"/>
      <c r="AII181" s="302"/>
      <c r="AIJ181" s="302"/>
      <c r="AIK181" s="302"/>
      <c r="AIL181" s="302"/>
      <c r="AIM181" s="302"/>
      <c r="AIN181" s="302"/>
      <c r="AIO181" s="302"/>
      <c r="AIP181" s="302"/>
      <c r="AIQ181" s="302"/>
      <c r="AIR181" s="302"/>
      <c r="AIS181" s="302"/>
      <c r="AIT181" s="302"/>
      <c r="AIU181" s="302"/>
      <c r="AIV181" s="302"/>
      <c r="AIW181" s="302"/>
      <c r="AIX181" s="302"/>
      <c r="AIY181" s="302"/>
      <c r="AIZ181" s="302"/>
      <c r="AJA181" s="302"/>
      <c r="AJB181" s="302"/>
      <c r="AJC181" s="302"/>
      <c r="AJD181" s="302"/>
      <c r="AJE181" s="302"/>
      <c r="AJF181" s="302"/>
      <c r="AJG181" s="302"/>
      <c r="AJH181" s="302"/>
      <c r="AJI181" s="302"/>
      <c r="AJJ181" s="302"/>
      <c r="AJK181" s="302"/>
      <c r="AJL181" s="302"/>
      <c r="AJM181" s="302"/>
      <c r="AJN181" s="302"/>
      <c r="AJO181" s="302"/>
      <c r="AJP181" s="302"/>
      <c r="AJQ181" s="302"/>
      <c r="AJR181" s="302"/>
      <c r="AJS181" s="302"/>
      <c r="AJT181" s="302"/>
      <c r="AJU181" s="302"/>
      <c r="AJV181" s="302"/>
      <c r="AJW181" s="302"/>
      <c r="AJX181" s="302"/>
      <c r="AJY181" s="302"/>
      <c r="AJZ181" s="302"/>
      <c r="AKA181" s="302"/>
      <c r="AKB181" s="302"/>
      <c r="AKC181" s="302"/>
      <c r="AKD181" s="302"/>
      <c r="AKE181" s="302"/>
      <c r="AKF181" s="302"/>
      <c r="AKG181" s="302"/>
      <c r="AKH181" s="302"/>
      <c r="AKI181" s="302"/>
      <c r="AKJ181" s="302"/>
      <c r="AKK181" s="302"/>
      <c r="AKL181" s="302"/>
      <c r="AKM181" s="302"/>
      <c r="AKN181" s="302"/>
      <c r="AKO181" s="302"/>
      <c r="AKP181" s="302"/>
      <c r="AKQ181" s="302"/>
      <c r="AKR181" s="302"/>
      <c r="AKS181" s="302"/>
      <c r="AKT181" s="302"/>
      <c r="AKU181" s="302"/>
      <c r="AKV181" s="302"/>
      <c r="AKW181" s="302"/>
      <c r="AKX181" s="302"/>
      <c r="AKY181" s="302"/>
      <c r="AKZ181" s="302"/>
      <c r="ALA181" s="302"/>
      <c r="ALB181" s="302"/>
      <c r="ALC181" s="302"/>
      <c r="ALD181" s="302"/>
      <c r="ALE181" s="302"/>
      <c r="ALF181" s="302"/>
      <c r="ALG181" s="302"/>
      <c r="ALH181" s="302"/>
      <c r="ALI181" s="302"/>
      <c r="ALJ181" s="302"/>
      <c r="ALK181" s="302"/>
      <c r="ALL181" s="302"/>
      <c r="ALM181" s="302"/>
      <c r="ALN181" s="302"/>
      <c r="ALO181" s="302"/>
      <c r="ALP181" s="302"/>
      <c r="ALQ181" s="302"/>
      <c r="ALR181" s="302"/>
      <c r="ALS181" s="302"/>
      <c r="ALT181" s="302"/>
      <c r="ALU181" s="302"/>
      <c r="ALV181" s="302"/>
      <c r="ALW181" s="302"/>
      <c r="ALX181" s="302"/>
      <c r="ALY181" s="302"/>
      <c r="ALZ181" s="302"/>
      <c r="AMA181" s="302"/>
      <c r="AMB181" s="302"/>
      <c r="AMC181" s="302"/>
      <c r="AMD181" s="302"/>
      <c r="AME181" s="302"/>
      <c r="AMF181" s="302"/>
      <c r="AMG181" s="302"/>
      <c r="AMH181" s="302"/>
      <c r="AMI181" s="302"/>
    </row>
    <row r="182" spans="1:1023" ht="18" hidden="1">
      <c r="A182" s="302"/>
      <c r="B182" s="359" t="s">
        <v>4</v>
      </c>
      <c r="C182" s="359" t="s">
        <v>373</v>
      </c>
      <c r="D182" s="360" t="s">
        <v>6</v>
      </c>
      <c r="E182" s="359" t="s">
        <v>29</v>
      </c>
      <c r="F182" s="359" t="s">
        <v>8</v>
      </c>
      <c r="G182" s="359" t="s">
        <v>381</v>
      </c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2"/>
      <c r="AE182" s="302"/>
      <c r="AF182" s="302"/>
      <c r="AG182" s="302"/>
      <c r="AH182" s="302"/>
      <c r="AI182" s="302"/>
      <c r="AJ182" s="302"/>
      <c r="AK182" s="302"/>
      <c r="AL182" s="302"/>
      <c r="AM182" s="302"/>
      <c r="AN182" s="302"/>
      <c r="AO182" s="302"/>
      <c r="AP182" s="302"/>
      <c r="AQ182" s="302"/>
      <c r="AR182" s="302"/>
      <c r="AS182" s="302"/>
      <c r="AT182" s="302"/>
      <c r="AU182" s="302"/>
      <c r="AV182" s="302"/>
      <c r="AW182" s="302"/>
      <c r="AX182" s="302"/>
      <c r="AY182" s="302"/>
      <c r="AZ182" s="302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K182" s="302"/>
      <c r="BL182" s="302"/>
      <c r="BM182" s="302"/>
      <c r="BN182" s="302"/>
      <c r="BO182" s="302"/>
      <c r="BP182" s="302"/>
      <c r="BQ182" s="302"/>
      <c r="BR182" s="302"/>
      <c r="BS182" s="302"/>
      <c r="BT182" s="302"/>
      <c r="BU182" s="302"/>
      <c r="BV182" s="302"/>
      <c r="BW182" s="302"/>
      <c r="BX182" s="302"/>
      <c r="BY182" s="302"/>
      <c r="BZ182" s="302"/>
      <c r="CA182" s="302"/>
      <c r="CB182" s="302"/>
      <c r="CC182" s="302"/>
      <c r="CD182" s="302"/>
      <c r="CE182" s="302"/>
      <c r="CF182" s="302"/>
      <c r="CG182" s="302"/>
      <c r="CH182" s="302"/>
      <c r="CI182" s="302"/>
      <c r="CJ182" s="302"/>
      <c r="CK182" s="302"/>
      <c r="CL182" s="302"/>
      <c r="CM182" s="302"/>
      <c r="CN182" s="302"/>
      <c r="CO182" s="302"/>
      <c r="CP182" s="302"/>
      <c r="CQ182" s="302"/>
      <c r="CR182" s="302"/>
      <c r="CS182" s="302"/>
      <c r="CT182" s="302"/>
      <c r="CU182" s="302"/>
      <c r="CV182" s="302"/>
      <c r="CW182" s="302"/>
      <c r="CX182" s="302"/>
      <c r="CY182" s="302"/>
      <c r="CZ182" s="302"/>
      <c r="DA182" s="302"/>
      <c r="DB182" s="302"/>
      <c r="DC182" s="302"/>
      <c r="DD182" s="302"/>
      <c r="DE182" s="302"/>
      <c r="DF182" s="302"/>
      <c r="DG182" s="302"/>
      <c r="DH182" s="302"/>
      <c r="DI182" s="302"/>
      <c r="DJ182" s="302"/>
      <c r="DK182" s="302"/>
      <c r="DL182" s="302"/>
      <c r="DM182" s="302"/>
      <c r="DN182" s="302"/>
      <c r="DO182" s="302"/>
      <c r="DP182" s="302"/>
      <c r="DQ182" s="302"/>
      <c r="DR182" s="302"/>
      <c r="DS182" s="302"/>
      <c r="DT182" s="302"/>
      <c r="DU182" s="302"/>
      <c r="DV182" s="302"/>
      <c r="DW182" s="302"/>
      <c r="DX182" s="302"/>
      <c r="DY182" s="302"/>
      <c r="DZ182" s="302"/>
      <c r="EA182" s="302"/>
      <c r="EB182" s="302"/>
      <c r="EC182" s="302"/>
      <c r="ED182" s="302"/>
      <c r="EE182" s="302"/>
      <c r="EF182" s="302"/>
      <c r="EG182" s="302"/>
      <c r="EH182" s="302"/>
      <c r="EI182" s="302"/>
      <c r="EJ182" s="302"/>
      <c r="EK182" s="302"/>
      <c r="EL182" s="302"/>
      <c r="EM182" s="302"/>
      <c r="EN182" s="302"/>
      <c r="EO182" s="302"/>
      <c r="EP182" s="302"/>
      <c r="EQ182" s="302"/>
      <c r="ER182" s="302"/>
      <c r="ES182" s="302"/>
      <c r="ET182" s="302"/>
      <c r="EU182" s="302"/>
      <c r="EV182" s="302"/>
      <c r="EW182" s="302"/>
      <c r="EX182" s="302"/>
      <c r="EY182" s="302"/>
      <c r="EZ182" s="302"/>
      <c r="FA182" s="302"/>
      <c r="FB182" s="302"/>
      <c r="FC182" s="302"/>
      <c r="FD182" s="302"/>
      <c r="FE182" s="302"/>
      <c r="FF182" s="302"/>
      <c r="FG182" s="302"/>
      <c r="FH182" s="302"/>
      <c r="FI182" s="302"/>
      <c r="FJ182" s="302"/>
      <c r="FK182" s="302"/>
      <c r="FL182" s="302"/>
      <c r="FM182" s="302"/>
      <c r="FN182" s="302"/>
      <c r="FO182" s="302"/>
      <c r="FP182" s="302"/>
      <c r="FQ182" s="302"/>
      <c r="FR182" s="302"/>
      <c r="FS182" s="302"/>
      <c r="FT182" s="302"/>
      <c r="FU182" s="302"/>
      <c r="FV182" s="302"/>
      <c r="FW182" s="302"/>
      <c r="FX182" s="302"/>
      <c r="FY182" s="302"/>
      <c r="FZ182" s="302"/>
      <c r="GA182" s="302"/>
      <c r="GB182" s="302"/>
      <c r="GC182" s="302"/>
      <c r="GD182" s="302"/>
      <c r="GE182" s="302"/>
      <c r="GF182" s="302"/>
      <c r="GG182" s="302"/>
      <c r="GH182" s="302"/>
      <c r="GI182" s="302"/>
      <c r="GJ182" s="302"/>
      <c r="GK182" s="302"/>
      <c r="GL182" s="302"/>
      <c r="GM182" s="302"/>
      <c r="GN182" s="302"/>
      <c r="GO182" s="302"/>
      <c r="GP182" s="302"/>
      <c r="GQ182" s="302"/>
      <c r="GR182" s="302"/>
      <c r="GS182" s="302"/>
      <c r="GT182" s="302"/>
      <c r="GU182" s="302"/>
      <c r="GV182" s="302"/>
      <c r="GW182" s="302"/>
      <c r="GX182" s="302"/>
      <c r="GY182" s="302"/>
      <c r="GZ182" s="302"/>
      <c r="HA182" s="302"/>
      <c r="HB182" s="302"/>
      <c r="HC182" s="302"/>
      <c r="HD182" s="302"/>
      <c r="HE182" s="302"/>
      <c r="HF182" s="302"/>
      <c r="HG182" s="302"/>
      <c r="HH182" s="302"/>
      <c r="HI182" s="302"/>
      <c r="HJ182" s="302"/>
      <c r="HK182" s="302"/>
      <c r="HL182" s="302"/>
      <c r="HM182" s="302"/>
      <c r="HN182" s="302"/>
      <c r="HO182" s="302"/>
      <c r="HP182" s="302"/>
      <c r="HQ182" s="302"/>
      <c r="HR182" s="302"/>
      <c r="HS182" s="302"/>
      <c r="HT182" s="302"/>
      <c r="HU182" s="302"/>
      <c r="HV182" s="302"/>
      <c r="HW182" s="302"/>
      <c r="HX182" s="302"/>
      <c r="HY182" s="302"/>
      <c r="HZ182" s="302"/>
      <c r="IA182" s="302"/>
      <c r="IB182" s="302"/>
      <c r="IC182" s="302"/>
      <c r="ID182" s="302"/>
      <c r="IE182" s="302"/>
      <c r="IF182" s="302"/>
      <c r="IG182" s="302"/>
      <c r="IH182" s="302"/>
      <c r="II182" s="302"/>
      <c r="IJ182" s="302"/>
      <c r="IK182" s="302"/>
      <c r="IL182" s="302"/>
      <c r="IM182" s="302"/>
      <c r="IN182" s="302"/>
      <c r="IO182" s="302"/>
      <c r="IP182" s="302"/>
      <c r="IQ182" s="302"/>
      <c r="IR182" s="302"/>
      <c r="IS182" s="302"/>
      <c r="IT182" s="302"/>
      <c r="IU182" s="302"/>
      <c r="IV182" s="302"/>
      <c r="IW182" s="302"/>
      <c r="IX182" s="302"/>
      <c r="IY182" s="302"/>
      <c r="IZ182" s="302"/>
      <c r="JA182" s="302"/>
      <c r="JB182" s="302"/>
      <c r="JC182" s="302"/>
      <c r="JD182" s="302"/>
      <c r="JE182" s="302"/>
      <c r="JF182" s="302"/>
      <c r="JG182" s="302"/>
      <c r="JH182" s="302"/>
      <c r="JI182" s="302"/>
      <c r="JJ182" s="302"/>
      <c r="JK182" s="302"/>
      <c r="JL182" s="302"/>
      <c r="JM182" s="302"/>
      <c r="JN182" s="302"/>
      <c r="JO182" s="302"/>
      <c r="JP182" s="302"/>
      <c r="JQ182" s="302"/>
      <c r="JR182" s="302"/>
      <c r="JS182" s="302"/>
      <c r="JT182" s="302"/>
      <c r="JU182" s="302"/>
      <c r="JV182" s="302"/>
      <c r="JW182" s="302"/>
      <c r="JX182" s="302"/>
      <c r="JY182" s="302"/>
      <c r="JZ182" s="302"/>
      <c r="KA182" s="302"/>
      <c r="KB182" s="302"/>
      <c r="KC182" s="302"/>
      <c r="KD182" s="302"/>
      <c r="KE182" s="302"/>
      <c r="KF182" s="302"/>
      <c r="KG182" s="302"/>
      <c r="KH182" s="302"/>
      <c r="KI182" s="302"/>
      <c r="KJ182" s="302"/>
      <c r="KK182" s="302"/>
      <c r="KL182" s="302"/>
      <c r="KM182" s="302"/>
      <c r="KN182" s="302"/>
      <c r="KO182" s="302"/>
      <c r="KP182" s="302"/>
      <c r="KQ182" s="302"/>
      <c r="KR182" s="302"/>
      <c r="KS182" s="302"/>
      <c r="KT182" s="302"/>
      <c r="KU182" s="302"/>
      <c r="KV182" s="302"/>
      <c r="KW182" s="302"/>
      <c r="KX182" s="302"/>
      <c r="KY182" s="302"/>
      <c r="KZ182" s="302"/>
      <c r="LA182" s="302"/>
      <c r="LB182" s="302"/>
      <c r="LC182" s="302"/>
      <c r="LD182" s="302"/>
      <c r="LE182" s="302"/>
      <c r="LF182" s="302"/>
      <c r="LG182" s="302"/>
      <c r="LH182" s="302"/>
      <c r="LI182" s="302"/>
      <c r="LJ182" s="302"/>
      <c r="LK182" s="302"/>
      <c r="LL182" s="302"/>
      <c r="LM182" s="302"/>
      <c r="LN182" s="302"/>
      <c r="LO182" s="302"/>
      <c r="LP182" s="302"/>
      <c r="LQ182" s="302"/>
      <c r="LR182" s="302"/>
      <c r="LS182" s="302"/>
      <c r="LT182" s="302"/>
      <c r="LU182" s="302"/>
      <c r="LV182" s="302"/>
      <c r="LW182" s="302"/>
      <c r="LX182" s="302"/>
      <c r="LY182" s="302"/>
      <c r="LZ182" s="302"/>
      <c r="MA182" s="302"/>
      <c r="MB182" s="302"/>
      <c r="MC182" s="302"/>
      <c r="MD182" s="302"/>
      <c r="ME182" s="302"/>
      <c r="MF182" s="302"/>
      <c r="MG182" s="302"/>
      <c r="MH182" s="302"/>
      <c r="MI182" s="302"/>
      <c r="MJ182" s="302"/>
      <c r="MK182" s="302"/>
      <c r="ML182" s="302"/>
      <c r="MM182" s="302"/>
      <c r="MN182" s="302"/>
      <c r="MO182" s="302"/>
      <c r="MP182" s="302"/>
      <c r="MQ182" s="302"/>
      <c r="MR182" s="302"/>
      <c r="MS182" s="302"/>
      <c r="MT182" s="302"/>
      <c r="MU182" s="302"/>
      <c r="MV182" s="302"/>
      <c r="MW182" s="302"/>
      <c r="MX182" s="302"/>
      <c r="MY182" s="302"/>
      <c r="MZ182" s="302"/>
      <c r="NA182" s="302"/>
      <c r="NB182" s="302"/>
      <c r="NC182" s="302"/>
      <c r="ND182" s="302"/>
      <c r="NE182" s="302"/>
      <c r="NF182" s="302"/>
      <c r="NG182" s="302"/>
      <c r="NH182" s="302"/>
      <c r="NI182" s="302"/>
      <c r="NJ182" s="302"/>
      <c r="NK182" s="302"/>
      <c r="NL182" s="302"/>
      <c r="NM182" s="302"/>
      <c r="NN182" s="302"/>
      <c r="NO182" s="302"/>
      <c r="NP182" s="302"/>
      <c r="NQ182" s="302"/>
      <c r="NR182" s="302"/>
      <c r="NS182" s="302"/>
      <c r="NT182" s="302"/>
      <c r="NU182" s="302"/>
      <c r="NV182" s="302"/>
      <c r="NW182" s="302"/>
      <c r="NX182" s="302"/>
      <c r="NY182" s="302"/>
      <c r="NZ182" s="302"/>
      <c r="OA182" s="302"/>
      <c r="OB182" s="302"/>
      <c r="OC182" s="302"/>
      <c r="OD182" s="302"/>
      <c r="OE182" s="302"/>
      <c r="OF182" s="302"/>
      <c r="OG182" s="302"/>
      <c r="OH182" s="302"/>
      <c r="OI182" s="302"/>
      <c r="OJ182" s="302"/>
      <c r="OK182" s="302"/>
      <c r="OL182" s="302"/>
      <c r="OM182" s="302"/>
      <c r="ON182" s="302"/>
      <c r="OO182" s="302"/>
      <c r="OP182" s="302"/>
      <c r="OQ182" s="302"/>
      <c r="OR182" s="302"/>
      <c r="OS182" s="302"/>
      <c r="OT182" s="302"/>
      <c r="OU182" s="302"/>
      <c r="OV182" s="302"/>
      <c r="OW182" s="302"/>
      <c r="OX182" s="302"/>
      <c r="OY182" s="302"/>
      <c r="OZ182" s="302"/>
      <c r="PA182" s="302"/>
      <c r="PB182" s="302"/>
      <c r="PC182" s="302"/>
      <c r="PD182" s="302"/>
      <c r="PE182" s="302"/>
      <c r="PF182" s="302"/>
      <c r="PG182" s="302"/>
      <c r="PH182" s="302"/>
      <c r="PI182" s="302"/>
      <c r="PJ182" s="302"/>
      <c r="PK182" s="302"/>
      <c r="PL182" s="302"/>
      <c r="PM182" s="302"/>
      <c r="PN182" s="302"/>
      <c r="PO182" s="302"/>
      <c r="PP182" s="302"/>
      <c r="PQ182" s="302"/>
      <c r="PR182" s="302"/>
      <c r="PS182" s="302"/>
      <c r="PT182" s="302"/>
      <c r="PU182" s="302"/>
      <c r="PV182" s="302"/>
      <c r="PW182" s="302"/>
      <c r="PX182" s="302"/>
      <c r="PY182" s="302"/>
      <c r="PZ182" s="302"/>
      <c r="QA182" s="302"/>
      <c r="QB182" s="302"/>
      <c r="QC182" s="302"/>
      <c r="QD182" s="302"/>
      <c r="QE182" s="302"/>
      <c r="QF182" s="302"/>
      <c r="QG182" s="302"/>
      <c r="QH182" s="302"/>
      <c r="QI182" s="302"/>
      <c r="QJ182" s="302"/>
      <c r="QK182" s="302"/>
      <c r="QL182" s="302"/>
      <c r="QM182" s="302"/>
      <c r="QN182" s="302"/>
      <c r="QO182" s="302"/>
      <c r="QP182" s="302"/>
      <c r="QQ182" s="302"/>
      <c r="QR182" s="302"/>
      <c r="QS182" s="302"/>
      <c r="QT182" s="302"/>
      <c r="QU182" s="302"/>
      <c r="QV182" s="302"/>
      <c r="QW182" s="302"/>
      <c r="QX182" s="302"/>
      <c r="QY182" s="302"/>
      <c r="QZ182" s="302"/>
      <c r="RA182" s="302"/>
      <c r="RB182" s="302"/>
      <c r="RC182" s="302"/>
      <c r="RD182" s="302"/>
      <c r="RE182" s="302"/>
      <c r="RF182" s="302"/>
      <c r="RG182" s="302"/>
      <c r="RH182" s="302"/>
      <c r="RI182" s="302"/>
      <c r="RJ182" s="302"/>
      <c r="RK182" s="302"/>
      <c r="RL182" s="302"/>
      <c r="RM182" s="302"/>
      <c r="RN182" s="302"/>
      <c r="RO182" s="302"/>
      <c r="RP182" s="302"/>
      <c r="RQ182" s="302"/>
      <c r="RR182" s="302"/>
      <c r="RS182" s="302"/>
      <c r="RT182" s="302"/>
      <c r="RU182" s="302"/>
      <c r="RV182" s="302"/>
      <c r="RW182" s="302"/>
      <c r="RX182" s="302"/>
      <c r="RY182" s="302"/>
      <c r="RZ182" s="302"/>
      <c r="SA182" s="302"/>
      <c r="SB182" s="302"/>
      <c r="SC182" s="302"/>
      <c r="SD182" s="302"/>
      <c r="SE182" s="302"/>
      <c r="SF182" s="302"/>
      <c r="SG182" s="302"/>
      <c r="SH182" s="302"/>
      <c r="SI182" s="302"/>
      <c r="SJ182" s="302"/>
      <c r="SK182" s="302"/>
      <c r="SL182" s="302"/>
      <c r="SM182" s="302"/>
      <c r="SN182" s="302"/>
      <c r="SO182" s="302"/>
      <c r="SP182" s="302"/>
      <c r="SQ182" s="302"/>
      <c r="SR182" s="302"/>
      <c r="SS182" s="302"/>
      <c r="ST182" s="302"/>
      <c r="SU182" s="302"/>
      <c r="SV182" s="302"/>
      <c r="SW182" s="302"/>
      <c r="SX182" s="302"/>
      <c r="SY182" s="302"/>
      <c r="SZ182" s="302"/>
      <c r="TA182" s="302"/>
      <c r="TB182" s="302"/>
      <c r="TC182" s="302"/>
      <c r="TD182" s="302"/>
      <c r="TE182" s="302"/>
      <c r="TF182" s="302"/>
      <c r="TG182" s="302"/>
      <c r="TH182" s="302"/>
      <c r="TI182" s="302"/>
      <c r="TJ182" s="302"/>
      <c r="TK182" s="302"/>
      <c r="TL182" s="302"/>
      <c r="TM182" s="302"/>
      <c r="TN182" s="302"/>
      <c r="TO182" s="302"/>
      <c r="TP182" s="302"/>
      <c r="TQ182" s="302"/>
      <c r="TR182" s="302"/>
      <c r="TS182" s="302"/>
      <c r="TT182" s="302"/>
      <c r="TU182" s="302"/>
      <c r="TV182" s="302"/>
      <c r="TW182" s="302"/>
      <c r="TX182" s="302"/>
      <c r="TY182" s="302"/>
      <c r="TZ182" s="302"/>
      <c r="UA182" s="302"/>
      <c r="UB182" s="302"/>
      <c r="UC182" s="302"/>
      <c r="UD182" s="302"/>
      <c r="UE182" s="302"/>
      <c r="UF182" s="302"/>
      <c r="UG182" s="302"/>
      <c r="UH182" s="302"/>
      <c r="UI182" s="302"/>
      <c r="UJ182" s="302"/>
      <c r="UK182" s="302"/>
      <c r="UL182" s="302"/>
      <c r="UM182" s="302"/>
      <c r="UN182" s="302"/>
      <c r="UO182" s="302"/>
      <c r="UP182" s="302"/>
      <c r="UQ182" s="302"/>
      <c r="UR182" s="302"/>
      <c r="US182" s="302"/>
      <c r="UT182" s="302"/>
      <c r="UU182" s="302"/>
      <c r="UV182" s="302"/>
      <c r="UW182" s="302"/>
      <c r="UX182" s="302"/>
      <c r="UY182" s="302"/>
      <c r="UZ182" s="302"/>
      <c r="VA182" s="302"/>
      <c r="VB182" s="302"/>
      <c r="VC182" s="302"/>
      <c r="VD182" s="302"/>
      <c r="VE182" s="302"/>
      <c r="VF182" s="302"/>
      <c r="VG182" s="302"/>
      <c r="VH182" s="302"/>
      <c r="VI182" s="302"/>
      <c r="VJ182" s="302"/>
      <c r="VK182" s="302"/>
      <c r="VL182" s="302"/>
      <c r="VM182" s="302"/>
      <c r="VN182" s="302"/>
      <c r="VO182" s="302"/>
      <c r="VP182" s="302"/>
      <c r="VQ182" s="302"/>
      <c r="VR182" s="302"/>
      <c r="VS182" s="302"/>
      <c r="VT182" s="302"/>
      <c r="VU182" s="302"/>
      <c r="VV182" s="302"/>
      <c r="VW182" s="302"/>
      <c r="VX182" s="302"/>
      <c r="VY182" s="302"/>
      <c r="VZ182" s="302"/>
      <c r="WA182" s="302"/>
      <c r="WB182" s="302"/>
      <c r="WC182" s="302"/>
      <c r="WD182" s="302"/>
      <c r="WE182" s="302"/>
      <c r="WF182" s="302"/>
      <c r="WG182" s="302"/>
      <c r="WH182" s="302"/>
      <c r="WI182" s="302"/>
      <c r="WJ182" s="302"/>
      <c r="WK182" s="302"/>
      <c r="WL182" s="302"/>
      <c r="WM182" s="302"/>
      <c r="WN182" s="302"/>
      <c r="WO182" s="302"/>
      <c r="WP182" s="302"/>
      <c r="WQ182" s="302"/>
      <c r="WR182" s="302"/>
      <c r="WS182" s="302"/>
      <c r="WT182" s="302"/>
      <c r="WU182" s="302"/>
      <c r="WV182" s="302"/>
      <c r="WW182" s="302"/>
      <c r="WX182" s="302"/>
      <c r="WY182" s="302"/>
      <c r="WZ182" s="302"/>
      <c r="XA182" s="302"/>
      <c r="XB182" s="302"/>
      <c r="XC182" s="302"/>
      <c r="XD182" s="302"/>
      <c r="XE182" s="302"/>
      <c r="XF182" s="302"/>
      <c r="XG182" s="302"/>
      <c r="XH182" s="302"/>
      <c r="XI182" s="302"/>
      <c r="XJ182" s="302"/>
      <c r="XK182" s="302"/>
      <c r="XL182" s="302"/>
      <c r="XM182" s="302"/>
      <c r="XN182" s="302"/>
      <c r="XO182" s="302"/>
      <c r="XP182" s="302"/>
      <c r="XQ182" s="302"/>
      <c r="XR182" s="302"/>
      <c r="XS182" s="302"/>
      <c r="XT182" s="302"/>
      <c r="XU182" s="302"/>
      <c r="XV182" s="302"/>
      <c r="XW182" s="302"/>
      <c r="XX182" s="302"/>
      <c r="XY182" s="302"/>
      <c r="XZ182" s="302"/>
      <c r="YA182" s="302"/>
      <c r="YB182" s="302"/>
      <c r="YC182" s="302"/>
      <c r="YD182" s="302"/>
      <c r="YE182" s="302"/>
      <c r="YF182" s="302"/>
      <c r="YG182" s="302"/>
      <c r="YH182" s="302"/>
      <c r="YI182" s="302"/>
      <c r="YJ182" s="302"/>
      <c r="YK182" s="302"/>
      <c r="YL182" s="302"/>
      <c r="YM182" s="302"/>
      <c r="YN182" s="302"/>
      <c r="YO182" s="302"/>
      <c r="YP182" s="302"/>
      <c r="YQ182" s="302"/>
      <c r="YR182" s="302"/>
      <c r="YS182" s="302"/>
      <c r="YT182" s="302"/>
      <c r="YU182" s="302"/>
      <c r="YV182" s="302"/>
      <c r="YW182" s="302"/>
      <c r="YX182" s="302"/>
      <c r="YY182" s="302"/>
      <c r="YZ182" s="302"/>
      <c r="ZA182" s="302"/>
      <c r="ZB182" s="302"/>
      <c r="ZC182" s="302"/>
      <c r="ZD182" s="302"/>
      <c r="ZE182" s="302"/>
      <c r="ZF182" s="302"/>
      <c r="ZG182" s="302"/>
      <c r="ZH182" s="302"/>
      <c r="ZI182" s="302"/>
      <c r="ZJ182" s="302"/>
      <c r="ZK182" s="302"/>
      <c r="ZL182" s="302"/>
      <c r="ZM182" s="302"/>
      <c r="ZN182" s="302"/>
      <c r="ZO182" s="302"/>
      <c r="ZP182" s="302"/>
      <c r="ZQ182" s="302"/>
      <c r="ZR182" s="302"/>
      <c r="ZS182" s="302"/>
      <c r="ZT182" s="302"/>
      <c r="ZU182" s="302"/>
      <c r="ZV182" s="302"/>
      <c r="ZW182" s="302"/>
      <c r="ZX182" s="302"/>
      <c r="ZY182" s="302"/>
      <c r="ZZ182" s="302"/>
      <c r="AAA182" s="302"/>
      <c r="AAB182" s="302"/>
      <c r="AAC182" s="302"/>
      <c r="AAD182" s="302"/>
      <c r="AAE182" s="302"/>
      <c r="AAF182" s="302"/>
      <c r="AAG182" s="302"/>
      <c r="AAH182" s="302"/>
      <c r="AAI182" s="302"/>
      <c r="AAJ182" s="302"/>
      <c r="AAK182" s="302"/>
      <c r="AAL182" s="302"/>
      <c r="AAM182" s="302"/>
      <c r="AAN182" s="302"/>
      <c r="AAO182" s="302"/>
      <c r="AAP182" s="302"/>
      <c r="AAQ182" s="302"/>
      <c r="AAR182" s="302"/>
      <c r="AAS182" s="302"/>
      <c r="AAT182" s="302"/>
      <c r="AAU182" s="302"/>
      <c r="AAV182" s="302"/>
      <c r="AAW182" s="302"/>
      <c r="AAX182" s="302"/>
      <c r="AAY182" s="302"/>
      <c r="AAZ182" s="302"/>
      <c r="ABA182" s="302"/>
      <c r="ABB182" s="302"/>
      <c r="ABC182" s="302"/>
      <c r="ABD182" s="302"/>
      <c r="ABE182" s="302"/>
      <c r="ABF182" s="302"/>
      <c r="ABG182" s="302"/>
      <c r="ABH182" s="302"/>
      <c r="ABI182" s="302"/>
      <c r="ABJ182" s="302"/>
      <c r="ABK182" s="302"/>
      <c r="ABL182" s="302"/>
      <c r="ABM182" s="302"/>
      <c r="ABN182" s="302"/>
      <c r="ABO182" s="302"/>
      <c r="ABP182" s="302"/>
      <c r="ABQ182" s="302"/>
      <c r="ABR182" s="302"/>
      <c r="ABS182" s="302"/>
      <c r="ABT182" s="302"/>
      <c r="ABU182" s="302"/>
      <c r="ABV182" s="302"/>
      <c r="ABW182" s="302"/>
      <c r="ABX182" s="302"/>
      <c r="ABY182" s="302"/>
      <c r="ABZ182" s="302"/>
      <c r="ACA182" s="302"/>
      <c r="ACB182" s="302"/>
      <c r="ACC182" s="302"/>
      <c r="ACD182" s="302"/>
      <c r="ACE182" s="302"/>
      <c r="ACF182" s="302"/>
      <c r="ACG182" s="302"/>
      <c r="ACH182" s="302"/>
      <c r="ACI182" s="302"/>
      <c r="ACJ182" s="302"/>
      <c r="ACK182" s="302"/>
      <c r="ACL182" s="302"/>
      <c r="ACM182" s="302"/>
      <c r="ACN182" s="302"/>
      <c r="ACO182" s="302"/>
      <c r="ACP182" s="302"/>
      <c r="ACQ182" s="302"/>
      <c r="ACR182" s="302"/>
      <c r="ACS182" s="302"/>
      <c r="ACT182" s="302"/>
      <c r="ACU182" s="302"/>
      <c r="ACV182" s="302"/>
      <c r="ACW182" s="302"/>
      <c r="ACX182" s="302"/>
      <c r="ACY182" s="302"/>
      <c r="ACZ182" s="302"/>
      <c r="ADA182" s="302"/>
      <c r="ADB182" s="302"/>
      <c r="ADC182" s="302"/>
      <c r="ADD182" s="302"/>
      <c r="ADE182" s="302"/>
      <c r="ADF182" s="302"/>
      <c r="ADG182" s="302"/>
      <c r="ADH182" s="302"/>
      <c r="ADI182" s="302"/>
      <c r="ADJ182" s="302"/>
      <c r="ADK182" s="302"/>
      <c r="ADL182" s="302"/>
      <c r="ADM182" s="302"/>
      <c r="ADN182" s="302"/>
      <c r="ADO182" s="302"/>
      <c r="ADP182" s="302"/>
      <c r="ADQ182" s="302"/>
      <c r="ADR182" s="302"/>
      <c r="ADS182" s="302"/>
      <c r="ADT182" s="302"/>
      <c r="ADU182" s="302"/>
      <c r="ADV182" s="302"/>
      <c r="ADW182" s="302"/>
      <c r="ADX182" s="302"/>
      <c r="ADY182" s="302"/>
      <c r="ADZ182" s="302"/>
      <c r="AEA182" s="302"/>
      <c r="AEB182" s="302"/>
      <c r="AEC182" s="302"/>
      <c r="AED182" s="302"/>
      <c r="AEE182" s="302"/>
      <c r="AEF182" s="302"/>
      <c r="AEG182" s="302"/>
      <c r="AEH182" s="302"/>
      <c r="AEI182" s="302"/>
      <c r="AEJ182" s="302"/>
      <c r="AEK182" s="302"/>
      <c r="AEL182" s="302"/>
      <c r="AEM182" s="302"/>
      <c r="AEN182" s="302"/>
      <c r="AEO182" s="302"/>
      <c r="AEP182" s="302"/>
      <c r="AEQ182" s="302"/>
      <c r="AER182" s="302"/>
      <c r="AES182" s="302"/>
      <c r="AET182" s="302"/>
      <c r="AEU182" s="302"/>
      <c r="AEV182" s="302"/>
      <c r="AEW182" s="302"/>
      <c r="AEX182" s="302"/>
      <c r="AEY182" s="302"/>
      <c r="AEZ182" s="302"/>
      <c r="AFA182" s="302"/>
      <c r="AFB182" s="302"/>
      <c r="AFC182" s="302"/>
      <c r="AFD182" s="302"/>
      <c r="AFE182" s="302"/>
      <c r="AFF182" s="302"/>
      <c r="AFG182" s="302"/>
      <c r="AFH182" s="302"/>
      <c r="AFI182" s="302"/>
      <c r="AFJ182" s="302"/>
      <c r="AFK182" s="302"/>
      <c r="AFL182" s="302"/>
      <c r="AFM182" s="302"/>
      <c r="AFN182" s="302"/>
      <c r="AFO182" s="302"/>
      <c r="AFP182" s="302"/>
      <c r="AFQ182" s="302"/>
      <c r="AFR182" s="302"/>
      <c r="AFS182" s="302"/>
      <c r="AFT182" s="302"/>
      <c r="AFU182" s="302"/>
      <c r="AFV182" s="302"/>
      <c r="AFW182" s="302"/>
      <c r="AFX182" s="302"/>
      <c r="AFY182" s="302"/>
      <c r="AFZ182" s="302"/>
      <c r="AGA182" s="302"/>
      <c r="AGB182" s="302"/>
      <c r="AGC182" s="302"/>
      <c r="AGD182" s="302"/>
      <c r="AGE182" s="302"/>
      <c r="AGF182" s="302"/>
      <c r="AGG182" s="302"/>
      <c r="AGH182" s="302"/>
      <c r="AGI182" s="302"/>
      <c r="AGJ182" s="302"/>
      <c r="AGK182" s="302"/>
      <c r="AGL182" s="302"/>
      <c r="AGM182" s="302"/>
      <c r="AGN182" s="302"/>
      <c r="AGO182" s="302"/>
      <c r="AGP182" s="302"/>
      <c r="AGQ182" s="302"/>
      <c r="AGR182" s="302"/>
      <c r="AGS182" s="302"/>
      <c r="AGT182" s="302"/>
      <c r="AGU182" s="302"/>
      <c r="AGV182" s="302"/>
      <c r="AGW182" s="302"/>
      <c r="AGX182" s="302"/>
      <c r="AGY182" s="302"/>
      <c r="AGZ182" s="302"/>
      <c r="AHA182" s="302"/>
      <c r="AHB182" s="302"/>
      <c r="AHC182" s="302"/>
      <c r="AHD182" s="302"/>
      <c r="AHE182" s="302"/>
      <c r="AHF182" s="302"/>
      <c r="AHG182" s="302"/>
      <c r="AHH182" s="302"/>
      <c r="AHI182" s="302"/>
      <c r="AHJ182" s="302"/>
      <c r="AHK182" s="302"/>
      <c r="AHL182" s="302"/>
      <c r="AHM182" s="302"/>
      <c r="AHN182" s="302"/>
      <c r="AHO182" s="302"/>
      <c r="AHP182" s="302"/>
      <c r="AHQ182" s="302"/>
      <c r="AHR182" s="302"/>
      <c r="AHS182" s="302"/>
      <c r="AHT182" s="302"/>
      <c r="AHU182" s="302"/>
      <c r="AHV182" s="302"/>
      <c r="AHW182" s="302"/>
      <c r="AHX182" s="302"/>
      <c r="AHY182" s="302"/>
      <c r="AHZ182" s="302"/>
      <c r="AIA182" s="302"/>
      <c r="AIB182" s="302"/>
      <c r="AIC182" s="302"/>
      <c r="AID182" s="302"/>
      <c r="AIE182" s="302"/>
      <c r="AIF182" s="302"/>
      <c r="AIG182" s="302"/>
      <c r="AIH182" s="302"/>
      <c r="AII182" s="302"/>
      <c r="AIJ182" s="302"/>
      <c r="AIK182" s="302"/>
      <c r="AIL182" s="302"/>
      <c r="AIM182" s="302"/>
      <c r="AIN182" s="302"/>
      <c r="AIO182" s="302"/>
      <c r="AIP182" s="302"/>
      <c r="AIQ182" s="302"/>
      <c r="AIR182" s="302"/>
      <c r="AIS182" s="302"/>
      <c r="AIT182" s="302"/>
      <c r="AIU182" s="302"/>
      <c r="AIV182" s="302"/>
      <c r="AIW182" s="302"/>
      <c r="AIX182" s="302"/>
      <c r="AIY182" s="302"/>
      <c r="AIZ182" s="302"/>
      <c r="AJA182" s="302"/>
      <c r="AJB182" s="302"/>
      <c r="AJC182" s="302"/>
      <c r="AJD182" s="302"/>
      <c r="AJE182" s="302"/>
      <c r="AJF182" s="302"/>
      <c r="AJG182" s="302"/>
      <c r="AJH182" s="302"/>
      <c r="AJI182" s="302"/>
      <c r="AJJ182" s="302"/>
      <c r="AJK182" s="302"/>
      <c r="AJL182" s="302"/>
      <c r="AJM182" s="302"/>
      <c r="AJN182" s="302"/>
      <c r="AJO182" s="302"/>
      <c r="AJP182" s="302"/>
      <c r="AJQ182" s="302"/>
      <c r="AJR182" s="302"/>
      <c r="AJS182" s="302"/>
      <c r="AJT182" s="302"/>
      <c r="AJU182" s="302"/>
      <c r="AJV182" s="302"/>
      <c r="AJW182" s="302"/>
      <c r="AJX182" s="302"/>
      <c r="AJY182" s="302"/>
      <c r="AJZ182" s="302"/>
      <c r="AKA182" s="302"/>
      <c r="AKB182" s="302"/>
      <c r="AKC182" s="302"/>
      <c r="AKD182" s="302"/>
      <c r="AKE182" s="302"/>
      <c r="AKF182" s="302"/>
      <c r="AKG182" s="302"/>
      <c r="AKH182" s="302"/>
      <c r="AKI182" s="302"/>
      <c r="AKJ182" s="302"/>
      <c r="AKK182" s="302"/>
      <c r="AKL182" s="302"/>
      <c r="AKM182" s="302"/>
      <c r="AKN182" s="302"/>
      <c r="AKO182" s="302"/>
      <c r="AKP182" s="302"/>
      <c r="AKQ182" s="302"/>
      <c r="AKR182" s="302"/>
      <c r="AKS182" s="302"/>
      <c r="AKT182" s="302"/>
      <c r="AKU182" s="302"/>
      <c r="AKV182" s="302"/>
      <c r="AKW182" s="302"/>
      <c r="AKX182" s="302"/>
      <c r="AKY182" s="302"/>
      <c r="AKZ182" s="302"/>
      <c r="ALA182" s="302"/>
      <c r="ALB182" s="302"/>
      <c r="ALC182" s="302"/>
      <c r="ALD182" s="302"/>
      <c r="ALE182" s="302"/>
      <c r="ALF182" s="302"/>
      <c r="ALG182" s="302"/>
      <c r="ALH182" s="302"/>
      <c r="ALI182" s="302"/>
      <c r="ALJ182" s="302"/>
      <c r="ALK182" s="302"/>
      <c r="ALL182" s="302"/>
      <c r="ALM182" s="302"/>
      <c r="ALN182" s="302"/>
      <c r="ALO182" s="302"/>
      <c r="ALP182" s="302"/>
      <c r="ALQ182" s="302"/>
      <c r="ALR182" s="302"/>
      <c r="ALS182" s="302"/>
      <c r="ALT182" s="302"/>
      <c r="ALU182" s="302"/>
      <c r="ALV182" s="302"/>
      <c r="ALW182" s="302"/>
      <c r="ALX182" s="302"/>
      <c r="ALY182" s="302"/>
      <c r="ALZ182" s="302"/>
      <c r="AMA182" s="302"/>
      <c r="AMB182" s="302"/>
      <c r="AMC182" s="302"/>
      <c r="AMD182" s="302"/>
      <c r="AME182" s="302"/>
      <c r="AMF182" s="302"/>
      <c r="AMG182" s="302"/>
      <c r="AMH182" s="302"/>
      <c r="AMI182" s="302"/>
    </row>
    <row r="183" spans="1:1023" hidden="1">
      <c r="A183" s="302"/>
      <c r="B183" s="15">
        <v>13702</v>
      </c>
      <c r="C183" s="10">
        <v>0.1</v>
      </c>
      <c r="D183" s="112" t="s">
        <v>410</v>
      </c>
      <c r="E183" s="12">
        <v>2200000</v>
      </c>
      <c r="F183" s="363">
        <v>0.02</v>
      </c>
      <c r="G183" s="369">
        <f>E183*F183</f>
        <v>44000</v>
      </c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2"/>
      <c r="AE183" s="302"/>
      <c r="AF183" s="302"/>
      <c r="AG183" s="302"/>
      <c r="AH183" s="302"/>
      <c r="AI183" s="302"/>
      <c r="AJ183" s="302"/>
      <c r="AK183" s="302"/>
      <c r="AL183" s="302"/>
      <c r="AM183" s="302"/>
      <c r="AN183" s="302"/>
      <c r="AO183" s="302"/>
      <c r="AP183" s="302"/>
      <c r="AQ183" s="302"/>
      <c r="AR183" s="302"/>
      <c r="AS183" s="302"/>
      <c r="AT183" s="302"/>
      <c r="AU183" s="302"/>
      <c r="AV183" s="302"/>
      <c r="AW183" s="302"/>
      <c r="AX183" s="302"/>
      <c r="AY183" s="302"/>
      <c r="AZ183" s="302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K183" s="302"/>
      <c r="BL183" s="302"/>
      <c r="BM183" s="302"/>
      <c r="BN183" s="302"/>
      <c r="BO183" s="302"/>
      <c r="BP183" s="302"/>
      <c r="BQ183" s="302"/>
      <c r="BR183" s="302"/>
      <c r="BS183" s="302"/>
      <c r="BT183" s="302"/>
      <c r="BU183" s="302"/>
      <c r="BV183" s="302"/>
      <c r="BW183" s="302"/>
      <c r="BX183" s="302"/>
      <c r="BY183" s="302"/>
      <c r="BZ183" s="302"/>
      <c r="CA183" s="302"/>
      <c r="CB183" s="302"/>
      <c r="CC183" s="302"/>
      <c r="CD183" s="302"/>
      <c r="CE183" s="302"/>
      <c r="CF183" s="302"/>
      <c r="CG183" s="302"/>
      <c r="CH183" s="302"/>
      <c r="CI183" s="302"/>
      <c r="CJ183" s="302"/>
      <c r="CK183" s="302"/>
      <c r="CL183" s="302"/>
      <c r="CM183" s="302"/>
      <c r="CN183" s="302"/>
      <c r="CO183" s="302"/>
      <c r="CP183" s="302"/>
      <c r="CQ183" s="302"/>
      <c r="CR183" s="302"/>
      <c r="CS183" s="302"/>
      <c r="CT183" s="302"/>
      <c r="CU183" s="302"/>
      <c r="CV183" s="302"/>
      <c r="CW183" s="302"/>
      <c r="CX183" s="302"/>
      <c r="CY183" s="302"/>
      <c r="CZ183" s="302"/>
      <c r="DA183" s="302"/>
      <c r="DB183" s="302"/>
      <c r="DC183" s="302"/>
      <c r="DD183" s="302"/>
      <c r="DE183" s="302"/>
      <c r="DF183" s="302"/>
      <c r="DG183" s="302"/>
      <c r="DH183" s="302"/>
      <c r="DI183" s="302"/>
      <c r="DJ183" s="302"/>
      <c r="DK183" s="302"/>
      <c r="DL183" s="302"/>
      <c r="DM183" s="302"/>
      <c r="DN183" s="302"/>
      <c r="DO183" s="302"/>
      <c r="DP183" s="302"/>
      <c r="DQ183" s="302"/>
      <c r="DR183" s="302"/>
      <c r="DS183" s="302"/>
      <c r="DT183" s="302"/>
      <c r="DU183" s="302"/>
      <c r="DV183" s="302"/>
      <c r="DW183" s="302"/>
      <c r="DX183" s="302"/>
      <c r="DY183" s="302"/>
      <c r="DZ183" s="302"/>
      <c r="EA183" s="302"/>
      <c r="EB183" s="302"/>
      <c r="EC183" s="302"/>
      <c r="ED183" s="302"/>
      <c r="EE183" s="302"/>
      <c r="EF183" s="302"/>
      <c r="EG183" s="302"/>
      <c r="EH183" s="302"/>
      <c r="EI183" s="302"/>
      <c r="EJ183" s="302"/>
      <c r="EK183" s="302"/>
      <c r="EL183" s="302"/>
      <c r="EM183" s="302"/>
      <c r="EN183" s="302"/>
      <c r="EO183" s="302"/>
      <c r="EP183" s="302"/>
      <c r="EQ183" s="302"/>
      <c r="ER183" s="302"/>
      <c r="ES183" s="302"/>
      <c r="ET183" s="302"/>
      <c r="EU183" s="302"/>
      <c r="EV183" s="302"/>
      <c r="EW183" s="302"/>
      <c r="EX183" s="302"/>
      <c r="EY183" s="302"/>
      <c r="EZ183" s="302"/>
      <c r="FA183" s="302"/>
      <c r="FB183" s="302"/>
      <c r="FC183" s="302"/>
      <c r="FD183" s="302"/>
      <c r="FE183" s="302"/>
      <c r="FF183" s="302"/>
      <c r="FG183" s="302"/>
      <c r="FH183" s="302"/>
      <c r="FI183" s="302"/>
      <c r="FJ183" s="302"/>
      <c r="FK183" s="302"/>
      <c r="FL183" s="302"/>
      <c r="FM183" s="302"/>
      <c r="FN183" s="302"/>
      <c r="FO183" s="302"/>
      <c r="FP183" s="302"/>
      <c r="FQ183" s="302"/>
      <c r="FR183" s="302"/>
      <c r="FS183" s="302"/>
      <c r="FT183" s="302"/>
      <c r="FU183" s="302"/>
      <c r="FV183" s="302"/>
      <c r="FW183" s="302"/>
      <c r="FX183" s="302"/>
      <c r="FY183" s="302"/>
      <c r="FZ183" s="302"/>
      <c r="GA183" s="302"/>
      <c r="GB183" s="302"/>
      <c r="GC183" s="302"/>
      <c r="GD183" s="302"/>
      <c r="GE183" s="302"/>
      <c r="GF183" s="302"/>
      <c r="GG183" s="302"/>
      <c r="GH183" s="302"/>
      <c r="GI183" s="302"/>
      <c r="GJ183" s="302"/>
      <c r="GK183" s="302"/>
      <c r="GL183" s="302"/>
      <c r="GM183" s="302"/>
      <c r="GN183" s="302"/>
      <c r="GO183" s="302"/>
      <c r="GP183" s="302"/>
      <c r="GQ183" s="302"/>
      <c r="GR183" s="302"/>
      <c r="GS183" s="302"/>
      <c r="GT183" s="302"/>
      <c r="GU183" s="302"/>
      <c r="GV183" s="302"/>
      <c r="GW183" s="302"/>
      <c r="GX183" s="302"/>
      <c r="GY183" s="302"/>
      <c r="GZ183" s="302"/>
      <c r="HA183" s="302"/>
      <c r="HB183" s="302"/>
      <c r="HC183" s="302"/>
      <c r="HD183" s="302"/>
      <c r="HE183" s="302"/>
      <c r="HF183" s="302"/>
      <c r="HG183" s="302"/>
      <c r="HH183" s="302"/>
      <c r="HI183" s="302"/>
      <c r="HJ183" s="302"/>
      <c r="HK183" s="302"/>
      <c r="HL183" s="302"/>
      <c r="HM183" s="302"/>
      <c r="HN183" s="302"/>
      <c r="HO183" s="302"/>
      <c r="HP183" s="302"/>
      <c r="HQ183" s="302"/>
      <c r="HR183" s="302"/>
      <c r="HS183" s="302"/>
      <c r="HT183" s="302"/>
      <c r="HU183" s="302"/>
      <c r="HV183" s="302"/>
      <c r="HW183" s="302"/>
      <c r="HX183" s="302"/>
      <c r="HY183" s="302"/>
      <c r="HZ183" s="302"/>
      <c r="IA183" s="302"/>
      <c r="IB183" s="302"/>
      <c r="IC183" s="302"/>
      <c r="ID183" s="302"/>
      <c r="IE183" s="302"/>
      <c r="IF183" s="302"/>
      <c r="IG183" s="302"/>
      <c r="IH183" s="302"/>
      <c r="II183" s="302"/>
      <c r="IJ183" s="302"/>
      <c r="IK183" s="302"/>
      <c r="IL183" s="302"/>
      <c r="IM183" s="302"/>
      <c r="IN183" s="302"/>
      <c r="IO183" s="302"/>
      <c r="IP183" s="302"/>
      <c r="IQ183" s="302"/>
      <c r="IR183" s="302"/>
      <c r="IS183" s="302"/>
      <c r="IT183" s="302"/>
      <c r="IU183" s="302"/>
      <c r="IV183" s="302"/>
      <c r="IW183" s="302"/>
      <c r="IX183" s="302"/>
      <c r="IY183" s="302"/>
      <c r="IZ183" s="302"/>
      <c r="JA183" s="302"/>
      <c r="JB183" s="302"/>
      <c r="JC183" s="302"/>
      <c r="JD183" s="302"/>
      <c r="JE183" s="302"/>
      <c r="JF183" s="302"/>
      <c r="JG183" s="302"/>
      <c r="JH183" s="302"/>
      <c r="JI183" s="302"/>
      <c r="JJ183" s="302"/>
      <c r="JK183" s="302"/>
      <c r="JL183" s="302"/>
      <c r="JM183" s="302"/>
      <c r="JN183" s="302"/>
      <c r="JO183" s="302"/>
      <c r="JP183" s="302"/>
      <c r="JQ183" s="302"/>
      <c r="JR183" s="302"/>
      <c r="JS183" s="302"/>
      <c r="JT183" s="302"/>
      <c r="JU183" s="302"/>
      <c r="JV183" s="302"/>
      <c r="JW183" s="302"/>
      <c r="JX183" s="302"/>
      <c r="JY183" s="302"/>
      <c r="JZ183" s="302"/>
      <c r="KA183" s="302"/>
      <c r="KB183" s="302"/>
      <c r="KC183" s="302"/>
      <c r="KD183" s="302"/>
      <c r="KE183" s="302"/>
      <c r="KF183" s="302"/>
      <c r="KG183" s="302"/>
      <c r="KH183" s="302"/>
      <c r="KI183" s="302"/>
      <c r="KJ183" s="302"/>
      <c r="KK183" s="302"/>
      <c r="KL183" s="302"/>
      <c r="KM183" s="302"/>
      <c r="KN183" s="302"/>
      <c r="KO183" s="302"/>
      <c r="KP183" s="302"/>
      <c r="KQ183" s="302"/>
      <c r="KR183" s="302"/>
      <c r="KS183" s="302"/>
      <c r="KT183" s="302"/>
      <c r="KU183" s="302"/>
      <c r="KV183" s="302"/>
      <c r="KW183" s="302"/>
      <c r="KX183" s="302"/>
      <c r="KY183" s="302"/>
      <c r="KZ183" s="302"/>
      <c r="LA183" s="302"/>
      <c r="LB183" s="302"/>
      <c r="LC183" s="302"/>
      <c r="LD183" s="302"/>
      <c r="LE183" s="302"/>
      <c r="LF183" s="302"/>
      <c r="LG183" s="302"/>
      <c r="LH183" s="302"/>
      <c r="LI183" s="302"/>
      <c r="LJ183" s="302"/>
      <c r="LK183" s="302"/>
      <c r="LL183" s="302"/>
      <c r="LM183" s="302"/>
      <c r="LN183" s="302"/>
      <c r="LO183" s="302"/>
      <c r="LP183" s="302"/>
      <c r="LQ183" s="302"/>
      <c r="LR183" s="302"/>
      <c r="LS183" s="302"/>
      <c r="LT183" s="302"/>
      <c r="LU183" s="302"/>
      <c r="LV183" s="302"/>
      <c r="LW183" s="302"/>
      <c r="LX183" s="302"/>
      <c r="LY183" s="302"/>
      <c r="LZ183" s="302"/>
      <c r="MA183" s="302"/>
      <c r="MB183" s="302"/>
      <c r="MC183" s="302"/>
      <c r="MD183" s="302"/>
      <c r="ME183" s="302"/>
      <c r="MF183" s="302"/>
      <c r="MG183" s="302"/>
      <c r="MH183" s="302"/>
      <c r="MI183" s="302"/>
      <c r="MJ183" s="302"/>
      <c r="MK183" s="302"/>
      <c r="ML183" s="302"/>
      <c r="MM183" s="302"/>
      <c r="MN183" s="302"/>
      <c r="MO183" s="302"/>
      <c r="MP183" s="302"/>
      <c r="MQ183" s="302"/>
      <c r="MR183" s="302"/>
      <c r="MS183" s="302"/>
      <c r="MT183" s="302"/>
      <c r="MU183" s="302"/>
      <c r="MV183" s="302"/>
      <c r="MW183" s="302"/>
      <c r="MX183" s="302"/>
      <c r="MY183" s="302"/>
      <c r="MZ183" s="302"/>
      <c r="NA183" s="302"/>
      <c r="NB183" s="302"/>
      <c r="NC183" s="302"/>
      <c r="ND183" s="302"/>
      <c r="NE183" s="302"/>
      <c r="NF183" s="302"/>
      <c r="NG183" s="302"/>
      <c r="NH183" s="302"/>
      <c r="NI183" s="302"/>
      <c r="NJ183" s="302"/>
      <c r="NK183" s="302"/>
      <c r="NL183" s="302"/>
      <c r="NM183" s="302"/>
      <c r="NN183" s="302"/>
      <c r="NO183" s="302"/>
      <c r="NP183" s="302"/>
      <c r="NQ183" s="302"/>
      <c r="NR183" s="302"/>
      <c r="NS183" s="302"/>
      <c r="NT183" s="302"/>
      <c r="NU183" s="302"/>
      <c r="NV183" s="302"/>
      <c r="NW183" s="302"/>
      <c r="NX183" s="302"/>
      <c r="NY183" s="302"/>
      <c r="NZ183" s="302"/>
      <c r="OA183" s="302"/>
      <c r="OB183" s="302"/>
      <c r="OC183" s="302"/>
      <c r="OD183" s="302"/>
      <c r="OE183" s="302"/>
      <c r="OF183" s="302"/>
      <c r="OG183" s="302"/>
      <c r="OH183" s="302"/>
      <c r="OI183" s="302"/>
      <c r="OJ183" s="302"/>
      <c r="OK183" s="302"/>
      <c r="OL183" s="302"/>
      <c r="OM183" s="302"/>
      <c r="ON183" s="302"/>
      <c r="OO183" s="302"/>
      <c r="OP183" s="302"/>
      <c r="OQ183" s="302"/>
      <c r="OR183" s="302"/>
      <c r="OS183" s="302"/>
      <c r="OT183" s="302"/>
      <c r="OU183" s="302"/>
      <c r="OV183" s="302"/>
      <c r="OW183" s="302"/>
      <c r="OX183" s="302"/>
      <c r="OY183" s="302"/>
      <c r="OZ183" s="302"/>
      <c r="PA183" s="302"/>
      <c r="PB183" s="302"/>
      <c r="PC183" s="302"/>
      <c r="PD183" s="302"/>
      <c r="PE183" s="302"/>
      <c r="PF183" s="302"/>
      <c r="PG183" s="302"/>
      <c r="PH183" s="302"/>
      <c r="PI183" s="302"/>
      <c r="PJ183" s="302"/>
      <c r="PK183" s="302"/>
      <c r="PL183" s="302"/>
      <c r="PM183" s="302"/>
      <c r="PN183" s="302"/>
      <c r="PO183" s="302"/>
      <c r="PP183" s="302"/>
      <c r="PQ183" s="302"/>
      <c r="PR183" s="302"/>
      <c r="PS183" s="302"/>
      <c r="PT183" s="302"/>
      <c r="PU183" s="302"/>
      <c r="PV183" s="302"/>
      <c r="PW183" s="302"/>
      <c r="PX183" s="302"/>
      <c r="PY183" s="302"/>
      <c r="PZ183" s="302"/>
      <c r="QA183" s="302"/>
      <c r="QB183" s="302"/>
      <c r="QC183" s="302"/>
      <c r="QD183" s="302"/>
      <c r="QE183" s="302"/>
      <c r="QF183" s="302"/>
      <c r="QG183" s="302"/>
      <c r="QH183" s="302"/>
      <c r="QI183" s="302"/>
      <c r="QJ183" s="302"/>
      <c r="QK183" s="302"/>
      <c r="QL183" s="302"/>
      <c r="QM183" s="302"/>
      <c r="QN183" s="302"/>
      <c r="QO183" s="302"/>
      <c r="QP183" s="302"/>
      <c r="QQ183" s="302"/>
      <c r="QR183" s="302"/>
      <c r="QS183" s="302"/>
      <c r="QT183" s="302"/>
      <c r="QU183" s="302"/>
      <c r="QV183" s="302"/>
      <c r="QW183" s="302"/>
      <c r="QX183" s="302"/>
      <c r="QY183" s="302"/>
      <c r="QZ183" s="302"/>
      <c r="RA183" s="302"/>
      <c r="RB183" s="302"/>
      <c r="RC183" s="302"/>
      <c r="RD183" s="302"/>
      <c r="RE183" s="302"/>
      <c r="RF183" s="302"/>
      <c r="RG183" s="302"/>
      <c r="RH183" s="302"/>
      <c r="RI183" s="302"/>
      <c r="RJ183" s="302"/>
      <c r="RK183" s="302"/>
      <c r="RL183" s="302"/>
      <c r="RM183" s="302"/>
      <c r="RN183" s="302"/>
      <c r="RO183" s="302"/>
      <c r="RP183" s="302"/>
      <c r="RQ183" s="302"/>
      <c r="RR183" s="302"/>
      <c r="RS183" s="302"/>
      <c r="RT183" s="302"/>
      <c r="RU183" s="302"/>
      <c r="RV183" s="302"/>
      <c r="RW183" s="302"/>
      <c r="RX183" s="302"/>
      <c r="RY183" s="302"/>
      <c r="RZ183" s="302"/>
      <c r="SA183" s="302"/>
      <c r="SB183" s="302"/>
      <c r="SC183" s="302"/>
      <c r="SD183" s="302"/>
      <c r="SE183" s="302"/>
      <c r="SF183" s="302"/>
      <c r="SG183" s="302"/>
      <c r="SH183" s="302"/>
      <c r="SI183" s="302"/>
      <c r="SJ183" s="302"/>
      <c r="SK183" s="302"/>
      <c r="SL183" s="302"/>
      <c r="SM183" s="302"/>
      <c r="SN183" s="302"/>
      <c r="SO183" s="302"/>
      <c r="SP183" s="302"/>
      <c r="SQ183" s="302"/>
      <c r="SR183" s="302"/>
      <c r="SS183" s="302"/>
      <c r="ST183" s="302"/>
      <c r="SU183" s="302"/>
      <c r="SV183" s="302"/>
      <c r="SW183" s="302"/>
      <c r="SX183" s="302"/>
      <c r="SY183" s="302"/>
      <c r="SZ183" s="302"/>
      <c r="TA183" s="302"/>
      <c r="TB183" s="302"/>
      <c r="TC183" s="302"/>
      <c r="TD183" s="302"/>
      <c r="TE183" s="302"/>
      <c r="TF183" s="302"/>
      <c r="TG183" s="302"/>
      <c r="TH183" s="302"/>
      <c r="TI183" s="302"/>
      <c r="TJ183" s="302"/>
      <c r="TK183" s="302"/>
      <c r="TL183" s="302"/>
      <c r="TM183" s="302"/>
      <c r="TN183" s="302"/>
      <c r="TO183" s="302"/>
      <c r="TP183" s="302"/>
      <c r="TQ183" s="302"/>
      <c r="TR183" s="302"/>
      <c r="TS183" s="302"/>
      <c r="TT183" s="302"/>
      <c r="TU183" s="302"/>
      <c r="TV183" s="302"/>
      <c r="TW183" s="302"/>
      <c r="TX183" s="302"/>
      <c r="TY183" s="302"/>
      <c r="TZ183" s="302"/>
      <c r="UA183" s="302"/>
      <c r="UB183" s="302"/>
      <c r="UC183" s="302"/>
      <c r="UD183" s="302"/>
      <c r="UE183" s="302"/>
      <c r="UF183" s="302"/>
      <c r="UG183" s="302"/>
      <c r="UH183" s="302"/>
      <c r="UI183" s="302"/>
      <c r="UJ183" s="302"/>
      <c r="UK183" s="302"/>
      <c r="UL183" s="302"/>
      <c r="UM183" s="302"/>
      <c r="UN183" s="302"/>
      <c r="UO183" s="302"/>
      <c r="UP183" s="302"/>
      <c r="UQ183" s="302"/>
      <c r="UR183" s="302"/>
      <c r="US183" s="302"/>
      <c r="UT183" s="302"/>
      <c r="UU183" s="302"/>
      <c r="UV183" s="302"/>
      <c r="UW183" s="302"/>
      <c r="UX183" s="302"/>
      <c r="UY183" s="302"/>
      <c r="UZ183" s="302"/>
      <c r="VA183" s="302"/>
      <c r="VB183" s="302"/>
      <c r="VC183" s="302"/>
      <c r="VD183" s="302"/>
      <c r="VE183" s="302"/>
      <c r="VF183" s="302"/>
      <c r="VG183" s="302"/>
      <c r="VH183" s="302"/>
      <c r="VI183" s="302"/>
      <c r="VJ183" s="302"/>
      <c r="VK183" s="302"/>
      <c r="VL183" s="302"/>
      <c r="VM183" s="302"/>
      <c r="VN183" s="302"/>
      <c r="VO183" s="302"/>
      <c r="VP183" s="302"/>
      <c r="VQ183" s="302"/>
      <c r="VR183" s="302"/>
      <c r="VS183" s="302"/>
      <c r="VT183" s="302"/>
      <c r="VU183" s="302"/>
      <c r="VV183" s="302"/>
      <c r="VW183" s="302"/>
      <c r="VX183" s="302"/>
      <c r="VY183" s="302"/>
      <c r="VZ183" s="302"/>
      <c r="WA183" s="302"/>
      <c r="WB183" s="302"/>
      <c r="WC183" s="302"/>
      <c r="WD183" s="302"/>
      <c r="WE183" s="302"/>
      <c r="WF183" s="302"/>
      <c r="WG183" s="302"/>
      <c r="WH183" s="302"/>
      <c r="WI183" s="302"/>
      <c r="WJ183" s="302"/>
      <c r="WK183" s="302"/>
      <c r="WL183" s="302"/>
      <c r="WM183" s="302"/>
      <c r="WN183" s="302"/>
      <c r="WO183" s="302"/>
      <c r="WP183" s="302"/>
      <c r="WQ183" s="302"/>
      <c r="WR183" s="302"/>
      <c r="WS183" s="302"/>
      <c r="WT183" s="302"/>
      <c r="WU183" s="302"/>
      <c r="WV183" s="302"/>
      <c r="WW183" s="302"/>
      <c r="WX183" s="302"/>
      <c r="WY183" s="302"/>
      <c r="WZ183" s="302"/>
      <c r="XA183" s="302"/>
      <c r="XB183" s="302"/>
      <c r="XC183" s="302"/>
      <c r="XD183" s="302"/>
      <c r="XE183" s="302"/>
      <c r="XF183" s="302"/>
      <c r="XG183" s="302"/>
      <c r="XH183" s="302"/>
      <c r="XI183" s="302"/>
      <c r="XJ183" s="302"/>
      <c r="XK183" s="302"/>
      <c r="XL183" s="302"/>
      <c r="XM183" s="302"/>
      <c r="XN183" s="302"/>
      <c r="XO183" s="302"/>
      <c r="XP183" s="302"/>
      <c r="XQ183" s="302"/>
      <c r="XR183" s="302"/>
      <c r="XS183" s="302"/>
      <c r="XT183" s="302"/>
      <c r="XU183" s="302"/>
      <c r="XV183" s="302"/>
      <c r="XW183" s="302"/>
      <c r="XX183" s="302"/>
      <c r="XY183" s="302"/>
      <c r="XZ183" s="302"/>
      <c r="YA183" s="302"/>
      <c r="YB183" s="302"/>
      <c r="YC183" s="302"/>
      <c r="YD183" s="302"/>
      <c r="YE183" s="302"/>
      <c r="YF183" s="302"/>
      <c r="YG183" s="302"/>
      <c r="YH183" s="302"/>
      <c r="YI183" s="302"/>
      <c r="YJ183" s="302"/>
      <c r="YK183" s="302"/>
      <c r="YL183" s="302"/>
      <c r="YM183" s="302"/>
      <c r="YN183" s="302"/>
      <c r="YO183" s="302"/>
      <c r="YP183" s="302"/>
      <c r="YQ183" s="302"/>
      <c r="YR183" s="302"/>
      <c r="YS183" s="302"/>
      <c r="YT183" s="302"/>
      <c r="YU183" s="302"/>
      <c r="YV183" s="302"/>
      <c r="YW183" s="302"/>
      <c r="YX183" s="302"/>
      <c r="YY183" s="302"/>
      <c r="YZ183" s="302"/>
      <c r="ZA183" s="302"/>
      <c r="ZB183" s="302"/>
      <c r="ZC183" s="302"/>
      <c r="ZD183" s="302"/>
      <c r="ZE183" s="302"/>
      <c r="ZF183" s="302"/>
      <c r="ZG183" s="302"/>
      <c r="ZH183" s="302"/>
      <c r="ZI183" s="302"/>
      <c r="ZJ183" s="302"/>
      <c r="ZK183" s="302"/>
      <c r="ZL183" s="302"/>
      <c r="ZM183" s="302"/>
      <c r="ZN183" s="302"/>
      <c r="ZO183" s="302"/>
      <c r="ZP183" s="302"/>
      <c r="ZQ183" s="302"/>
      <c r="ZR183" s="302"/>
      <c r="ZS183" s="302"/>
      <c r="ZT183" s="302"/>
      <c r="ZU183" s="302"/>
      <c r="ZV183" s="302"/>
      <c r="ZW183" s="302"/>
      <c r="ZX183" s="302"/>
      <c r="ZY183" s="302"/>
      <c r="ZZ183" s="302"/>
      <c r="AAA183" s="302"/>
      <c r="AAB183" s="302"/>
      <c r="AAC183" s="302"/>
      <c r="AAD183" s="302"/>
      <c r="AAE183" s="302"/>
      <c r="AAF183" s="302"/>
      <c r="AAG183" s="302"/>
      <c r="AAH183" s="302"/>
      <c r="AAI183" s="302"/>
      <c r="AAJ183" s="302"/>
      <c r="AAK183" s="302"/>
      <c r="AAL183" s="302"/>
      <c r="AAM183" s="302"/>
      <c r="AAN183" s="302"/>
      <c r="AAO183" s="302"/>
      <c r="AAP183" s="302"/>
      <c r="AAQ183" s="302"/>
      <c r="AAR183" s="302"/>
      <c r="AAS183" s="302"/>
      <c r="AAT183" s="302"/>
      <c r="AAU183" s="302"/>
      <c r="AAV183" s="302"/>
      <c r="AAW183" s="302"/>
      <c r="AAX183" s="302"/>
      <c r="AAY183" s="302"/>
      <c r="AAZ183" s="302"/>
      <c r="ABA183" s="302"/>
      <c r="ABB183" s="302"/>
      <c r="ABC183" s="302"/>
      <c r="ABD183" s="302"/>
      <c r="ABE183" s="302"/>
      <c r="ABF183" s="302"/>
      <c r="ABG183" s="302"/>
      <c r="ABH183" s="302"/>
      <c r="ABI183" s="302"/>
      <c r="ABJ183" s="302"/>
      <c r="ABK183" s="302"/>
      <c r="ABL183" s="302"/>
      <c r="ABM183" s="302"/>
      <c r="ABN183" s="302"/>
      <c r="ABO183" s="302"/>
      <c r="ABP183" s="302"/>
      <c r="ABQ183" s="302"/>
      <c r="ABR183" s="302"/>
      <c r="ABS183" s="302"/>
      <c r="ABT183" s="302"/>
      <c r="ABU183" s="302"/>
      <c r="ABV183" s="302"/>
      <c r="ABW183" s="302"/>
      <c r="ABX183" s="302"/>
      <c r="ABY183" s="302"/>
      <c r="ABZ183" s="302"/>
      <c r="ACA183" s="302"/>
      <c r="ACB183" s="302"/>
      <c r="ACC183" s="302"/>
      <c r="ACD183" s="302"/>
      <c r="ACE183" s="302"/>
      <c r="ACF183" s="302"/>
      <c r="ACG183" s="302"/>
      <c r="ACH183" s="302"/>
      <c r="ACI183" s="302"/>
      <c r="ACJ183" s="302"/>
      <c r="ACK183" s="302"/>
      <c r="ACL183" s="302"/>
      <c r="ACM183" s="302"/>
      <c r="ACN183" s="302"/>
      <c r="ACO183" s="302"/>
      <c r="ACP183" s="302"/>
      <c r="ACQ183" s="302"/>
      <c r="ACR183" s="302"/>
      <c r="ACS183" s="302"/>
      <c r="ACT183" s="302"/>
      <c r="ACU183" s="302"/>
      <c r="ACV183" s="302"/>
      <c r="ACW183" s="302"/>
      <c r="ACX183" s="302"/>
      <c r="ACY183" s="302"/>
      <c r="ACZ183" s="302"/>
      <c r="ADA183" s="302"/>
      <c r="ADB183" s="302"/>
      <c r="ADC183" s="302"/>
      <c r="ADD183" s="302"/>
      <c r="ADE183" s="302"/>
      <c r="ADF183" s="302"/>
      <c r="ADG183" s="302"/>
      <c r="ADH183" s="302"/>
      <c r="ADI183" s="302"/>
      <c r="ADJ183" s="302"/>
      <c r="ADK183" s="302"/>
      <c r="ADL183" s="302"/>
      <c r="ADM183" s="302"/>
      <c r="ADN183" s="302"/>
      <c r="ADO183" s="302"/>
      <c r="ADP183" s="302"/>
      <c r="ADQ183" s="302"/>
      <c r="ADR183" s="302"/>
      <c r="ADS183" s="302"/>
      <c r="ADT183" s="302"/>
      <c r="ADU183" s="302"/>
      <c r="ADV183" s="302"/>
      <c r="ADW183" s="302"/>
      <c r="ADX183" s="302"/>
      <c r="ADY183" s="302"/>
      <c r="ADZ183" s="302"/>
      <c r="AEA183" s="302"/>
      <c r="AEB183" s="302"/>
      <c r="AEC183" s="302"/>
      <c r="AED183" s="302"/>
      <c r="AEE183" s="302"/>
      <c r="AEF183" s="302"/>
      <c r="AEG183" s="302"/>
      <c r="AEH183" s="302"/>
      <c r="AEI183" s="302"/>
      <c r="AEJ183" s="302"/>
      <c r="AEK183" s="302"/>
      <c r="AEL183" s="302"/>
      <c r="AEM183" s="302"/>
      <c r="AEN183" s="302"/>
      <c r="AEO183" s="302"/>
      <c r="AEP183" s="302"/>
      <c r="AEQ183" s="302"/>
      <c r="AER183" s="302"/>
      <c r="AES183" s="302"/>
      <c r="AET183" s="302"/>
      <c r="AEU183" s="302"/>
      <c r="AEV183" s="302"/>
      <c r="AEW183" s="302"/>
      <c r="AEX183" s="302"/>
      <c r="AEY183" s="302"/>
      <c r="AEZ183" s="302"/>
      <c r="AFA183" s="302"/>
      <c r="AFB183" s="302"/>
      <c r="AFC183" s="302"/>
      <c r="AFD183" s="302"/>
      <c r="AFE183" s="302"/>
      <c r="AFF183" s="302"/>
      <c r="AFG183" s="302"/>
      <c r="AFH183" s="302"/>
      <c r="AFI183" s="302"/>
      <c r="AFJ183" s="302"/>
      <c r="AFK183" s="302"/>
      <c r="AFL183" s="302"/>
      <c r="AFM183" s="302"/>
      <c r="AFN183" s="302"/>
      <c r="AFO183" s="302"/>
      <c r="AFP183" s="302"/>
      <c r="AFQ183" s="302"/>
      <c r="AFR183" s="302"/>
      <c r="AFS183" s="302"/>
      <c r="AFT183" s="302"/>
      <c r="AFU183" s="302"/>
      <c r="AFV183" s="302"/>
      <c r="AFW183" s="302"/>
      <c r="AFX183" s="302"/>
      <c r="AFY183" s="302"/>
      <c r="AFZ183" s="302"/>
      <c r="AGA183" s="302"/>
      <c r="AGB183" s="302"/>
      <c r="AGC183" s="302"/>
      <c r="AGD183" s="302"/>
      <c r="AGE183" s="302"/>
      <c r="AGF183" s="302"/>
      <c r="AGG183" s="302"/>
      <c r="AGH183" s="302"/>
      <c r="AGI183" s="302"/>
      <c r="AGJ183" s="302"/>
      <c r="AGK183" s="302"/>
      <c r="AGL183" s="302"/>
      <c r="AGM183" s="302"/>
      <c r="AGN183" s="302"/>
      <c r="AGO183" s="302"/>
      <c r="AGP183" s="302"/>
      <c r="AGQ183" s="302"/>
      <c r="AGR183" s="302"/>
      <c r="AGS183" s="302"/>
      <c r="AGT183" s="302"/>
      <c r="AGU183" s="302"/>
      <c r="AGV183" s="302"/>
      <c r="AGW183" s="302"/>
      <c r="AGX183" s="302"/>
      <c r="AGY183" s="302"/>
      <c r="AGZ183" s="302"/>
      <c r="AHA183" s="302"/>
      <c r="AHB183" s="302"/>
      <c r="AHC183" s="302"/>
      <c r="AHD183" s="302"/>
      <c r="AHE183" s="302"/>
      <c r="AHF183" s="302"/>
      <c r="AHG183" s="302"/>
      <c r="AHH183" s="302"/>
      <c r="AHI183" s="302"/>
      <c r="AHJ183" s="302"/>
      <c r="AHK183" s="302"/>
      <c r="AHL183" s="302"/>
      <c r="AHM183" s="302"/>
      <c r="AHN183" s="302"/>
      <c r="AHO183" s="302"/>
      <c r="AHP183" s="302"/>
      <c r="AHQ183" s="302"/>
      <c r="AHR183" s="302"/>
      <c r="AHS183" s="302"/>
      <c r="AHT183" s="302"/>
      <c r="AHU183" s="302"/>
      <c r="AHV183" s="302"/>
      <c r="AHW183" s="302"/>
      <c r="AHX183" s="302"/>
      <c r="AHY183" s="302"/>
      <c r="AHZ183" s="302"/>
      <c r="AIA183" s="302"/>
      <c r="AIB183" s="302"/>
      <c r="AIC183" s="302"/>
      <c r="AID183" s="302"/>
      <c r="AIE183" s="302"/>
      <c r="AIF183" s="302"/>
      <c r="AIG183" s="302"/>
      <c r="AIH183" s="302"/>
      <c r="AII183" s="302"/>
      <c r="AIJ183" s="302"/>
      <c r="AIK183" s="302"/>
      <c r="AIL183" s="302"/>
      <c r="AIM183" s="302"/>
      <c r="AIN183" s="302"/>
      <c r="AIO183" s="302"/>
      <c r="AIP183" s="302"/>
      <c r="AIQ183" s="302"/>
      <c r="AIR183" s="302"/>
      <c r="AIS183" s="302"/>
      <c r="AIT183" s="302"/>
      <c r="AIU183" s="302"/>
      <c r="AIV183" s="302"/>
      <c r="AIW183" s="302"/>
      <c r="AIX183" s="302"/>
      <c r="AIY183" s="302"/>
      <c r="AIZ183" s="302"/>
      <c r="AJA183" s="302"/>
      <c r="AJB183" s="302"/>
      <c r="AJC183" s="302"/>
      <c r="AJD183" s="302"/>
      <c r="AJE183" s="302"/>
      <c r="AJF183" s="302"/>
      <c r="AJG183" s="302"/>
      <c r="AJH183" s="302"/>
      <c r="AJI183" s="302"/>
      <c r="AJJ183" s="302"/>
      <c r="AJK183" s="302"/>
      <c r="AJL183" s="302"/>
      <c r="AJM183" s="302"/>
      <c r="AJN183" s="302"/>
      <c r="AJO183" s="302"/>
      <c r="AJP183" s="302"/>
      <c r="AJQ183" s="302"/>
      <c r="AJR183" s="302"/>
      <c r="AJS183" s="302"/>
      <c r="AJT183" s="302"/>
      <c r="AJU183" s="302"/>
      <c r="AJV183" s="302"/>
      <c r="AJW183" s="302"/>
      <c r="AJX183" s="302"/>
      <c r="AJY183" s="302"/>
      <c r="AJZ183" s="302"/>
      <c r="AKA183" s="302"/>
      <c r="AKB183" s="302"/>
      <c r="AKC183" s="302"/>
      <c r="AKD183" s="302"/>
      <c r="AKE183" s="302"/>
      <c r="AKF183" s="302"/>
      <c r="AKG183" s="302"/>
      <c r="AKH183" s="302"/>
      <c r="AKI183" s="302"/>
      <c r="AKJ183" s="302"/>
      <c r="AKK183" s="302"/>
      <c r="AKL183" s="302"/>
      <c r="AKM183" s="302"/>
      <c r="AKN183" s="302"/>
      <c r="AKO183" s="302"/>
      <c r="AKP183" s="302"/>
      <c r="AKQ183" s="302"/>
      <c r="AKR183" s="302"/>
      <c r="AKS183" s="302"/>
      <c r="AKT183" s="302"/>
      <c r="AKU183" s="302"/>
      <c r="AKV183" s="302"/>
      <c r="AKW183" s="302"/>
      <c r="AKX183" s="302"/>
      <c r="AKY183" s="302"/>
      <c r="AKZ183" s="302"/>
      <c r="ALA183" s="302"/>
      <c r="ALB183" s="302"/>
      <c r="ALC183" s="302"/>
      <c r="ALD183" s="302"/>
      <c r="ALE183" s="302"/>
      <c r="ALF183" s="302"/>
      <c r="ALG183" s="302"/>
      <c r="ALH183" s="302"/>
      <c r="ALI183" s="302"/>
      <c r="ALJ183" s="302"/>
      <c r="ALK183" s="302"/>
      <c r="ALL183" s="302"/>
      <c r="ALM183" s="302"/>
      <c r="ALN183" s="302"/>
      <c r="ALO183" s="302"/>
      <c r="ALP183" s="302"/>
      <c r="ALQ183" s="302"/>
      <c r="ALR183" s="302"/>
      <c r="ALS183" s="302"/>
      <c r="ALT183" s="302"/>
      <c r="ALU183" s="302"/>
      <c r="ALV183" s="302"/>
      <c r="ALW183" s="302"/>
      <c r="ALX183" s="302"/>
      <c r="ALY183" s="302"/>
      <c r="ALZ183" s="302"/>
      <c r="AMA183" s="302"/>
      <c r="AMB183" s="302"/>
      <c r="AMC183" s="302"/>
      <c r="AMD183" s="302"/>
      <c r="AME183" s="302"/>
      <c r="AMF183" s="302"/>
      <c r="AMG183" s="302"/>
      <c r="AMH183" s="302"/>
      <c r="AMI183" s="302"/>
    </row>
    <row r="184" spans="1:1023" hidden="1">
      <c r="A184" s="302"/>
      <c r="B184" s="15">
        <v>13716</v>
      </c>
      <c r="C184" s="22">
        <v>0.08</v>
      </c>
      <c r="D184" s="11" t="s">
        <v>411</v>
      </c>
      <c r="E184" s="12">
        <v>3600000</v>
      </c>
      <c r="F184" s="365">
        <v>0.01</v>
      </c>
      <c r="G184" s="369">
        <f>E184*F184</f>
        <v>36000</v>
      </c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2"/>
      <c r="AE184" s="302"/>
      <c r="AF184" s="302"/>
      <c r="AG184" s="302"/>
      <c r="AH184" s="302"/>
      <c r="AI184" s="302"/>
      <c r="AJ184" s="302"/>
      <c r="AK184" s="302"/>
      <c r="AL184" s="302"/>
      <c r="AM184" s="302"/>
      <c r="AN184" s="302"/>
      <c r="AO184" s="302"/>
      <c r="AP184" s="302"/>
      <c r="AQ184" s="302"/>
      <c r="AR184" s="302"/>
      <c r="AS184" s="302"/>
      <c r="AT184" s="302"/>
      <c r="AU184" s="302"/>
      <c r="AV184" s="302"/>
      <c r="AW184" s="302"/>
      <c r="AX184" s="302"/>
      <c r="AY184" s="302"/>
      <c r="AZ184" s="302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K184" s="302"/>
      <c r="BL184" s="302"/>
      <c r="BM184" s="302"/>
      <c r="BN184" s="302"/>
      <c r="BO184" s="302"/>
      <c r="BP184" s="302"/>
      <c r="BQ184" s="302"/>
      <c r="BR184" s="302"/>
      <c r="BS184" s="302"/>
      <c r="BT184" s="302"/>
      <c r="BU184" s="302"/>
      <c r="BV184" s="302"/>
      <c r="BW184" s="302"/>
      <c r="BX184" s="302"/>
      <c r="BY184" s="302"/>
      <c r="BZ184" s="302"/>
      <c r="CA184" s="302"/>
      <c r="CB184" s="302"/>
      <c r="CC184" s="302"/>
      <c r="CD184" s="302"/>
      <c r="CE184" s="302"/>
      <c r="CF184" s="302"/>
      <c r="CG184" s="302"/>
      <c r="CH184" s="302"/>
      <c r="CI184" s="302"/>
      <c r="CJ184" s="302"/>
      <c r="CK184" s="302"/>
      <c r="CL184" s="302"/>
      <c r="CM184" s="302"/>
      <c r="CN184" s="302"/>
      <c r="CO184" s="302"/>
      <c r="CP184" s="302"/>
      <c r="CQ184" s="302"/>
      <c r="CR184" s="302"/>
      <c r="CS184" s="302"/>
      <c r="CT184" s="302"/>
      <c r="CU184" s="302"/>
      <c r="CV184" s="302"/>
      <c r="CW184" s="302"/>
      <c r="CX184" s="302"/>
      <c r="CY184" s="302"/>
      <c r="CZ184" s="302"/>
      <c r="DA184" s="302"/>
      <c r="DB184" s="302"/>
      <c r="DC184" s="302"/>
      <c r="DD184" s="302"/>
      <c r="DE184" s="302"/>
      <c r="DF184" s="302"/>
      <c r="DG184" s="302"/>
      <c r="DH184" s="302"/>
      <c r="DI184" s="302"/>
      <c r="DJ184" s="302"/>
      <c r="DK184" s="302"/>
      <c r="DL184" s="302"/>
      <c r="DM184" s="302"/>
      <c r="DN184" s="302"/>
      <c r="DO184" s="302"/>
      <c r="DP184" s="302"/>
      <c r="DQ184" s="302"/>
      <c r="DR184" s="302"/>
      <c r="DS184" s="302"/>
      <c r="DT184" s="302"/>
      <c r="DU184" s="302"/>
      <c r="DV184" s="302"/>
      <c r="DW184" s="302"/>
      <c r="DX184" s="302"/>
      <c r="DY184" s="302"/>
      <c r="DZ184" s="302"/>
      <c r="EA184" s="302"/>
      <c r="EB184" s="302"/>
      <c r="EC184" s="302"/>
      <c r="ED184" s="302"/>
      <c r="EE184" s="302"/>
      <c r="EF184" s="302"/>
      <c r="EG184" s="302"/>
      <c r="EH184" s="302"/>
      <c r="EI184" s="302"/>
      <c r="EJ184" s="302"/>
      <c r="EK184" s="302"/>
      <c r="EL184" s="302"/>
      <c r="EM184" s="302"/>
      <c r="EN184" s="302"/>
      <c r="EO184" s="302"/>
      <c r="EP184" s="302"/>
      <c r="EQ184" s="302"/>
      <c r="ER184" s="302"/>
      <c r="ES184" s="302"/>
      <c r="ET184" s="302"/>
      <c r="EU184" s="302"/>
      <c r="EV184" s="302"/>
      <c r="EW184" s="302"/>
      <c r="EX184" s="302"/>
      <c r="EY184" s="302"/>
      <c r="EZ184" s="302"/>
      <c r="FA184" s="302"/>
      <c r="FB184" s="302"/>
      <c r="FC184" s="302"/>
      <c r="FD184" s="302"/>
      <c r="FE184" s="302"/>
      <c r="FF184" s="302"/>
      <c r="FG184" s="302"/>
      <c r="FH184" s="302"/>
      <c r="FI184" s="302"/>
      <c r="FJ184" s="302"/>
      <c r="FK184" s="302"/>
      <c r="FL184" s="302"/>
      <c r="FM184" s="302"/>
      <c r="FN184" s="302"/>
      <c r="FO184" s="302"/>
      <c r="FP184" s="302"/>
      <c r="FQ184" s="302"/>
      <c r="FR184" s="302"/>
      <c r="FS184" s="302"/>
      <c r="FT184" s="302"/>
      <c r="FU184" s="302"/>
      <c r="FV184" s="302"/>
      <c r="FW184" s="302"/>
      <c r="FX184" s="302"/>
      <c r="FY184" s="302"/>
      <c r="FZ184" s="302"/>
      <c r="GA184" s="302"/>
      <c r="GB184" s="302"/>
      <c r="GC184" s="302"/>
      <c r="GD184" s="302"/>
      <c r="GE184" s="302"/>
      <c r="GF184" s="302"/>
      <c r="GG184" s="302"/>
      <c r="GH184" s="302"/>
      <c r="GI184" s="302"/>
      <c r="GJ184" s="302"/>
      <c r="GK184" s="302"/>
      <c r="GL184" s="302"/>
      <c r="GM184" s="302"/>
      <c r="GN184" s="302"/>
      <c r="GO184" s="302"/>
      <c r="GP184" s="302"/>
      <c r="GQ184" s="302"/>
      <c r="GR184" s="302"/>
      <c r="GS184" s="302"/>
      <c r="GT184" s="302"/>
      <c r="GU184" s="302"/>
      <c r="GV184" s="302"/>
      <c r="GW184" s="302"/>
      <c r="GX184" s="302"/>
      <c r="GY184" s="302"/>
      <c r="GZ184" s="302"/>
      <c r="HA184" s="302"/>
      <c r="HB184" s="302"/>
      <c r="HC184" s="302"/>
      <c r="HD184" s="302"/>
      <c r="HE184" s="302"/>
      <c r="HF184" s="302"/>
      <c r="HG184" s="302"/>
      <c r="HH184" s="302"/>
      <c r="HI184" s="302"/>
      <c r="HJ184" s="302"/>
      <c r="HK184" s="302"/>
      <c r="HL184" s="302"/>
      <c r="HM184" s="302"/>
      <c r="HN184" s="302"/>
      <c r="HO184" s="302"/>
      <c r="HP184" s="302"/>
      <c r="HQ184" s="302"/>
      <c r="HR184" s="302"/>
      <c r="HS184" s="302"/>
      <c r="HT184" s="302"/>
      <c r="HU184" s="302"/>
      <c r="HV184" s="302"/>
      <c r="HW184" s="302"/>
      <c r="HX184" s="302"/>
      <c r="HY184" s="302"/>
      <c r="HZ184" s="302"/>
      <c r="IA184" s="302"/>
      <c r="IB184" s="302"/>
      <c r="IC184" s="302"/>
      <c r="ID184" s="302"/>
      <c r="IE184" s="302"/>
      <c r="IF184" s="302"/>
      <c r="IG184" s="302"/>
      <c r="IH184" s="302"/>
      <c r="II184" s="302"/>
      <c r="IJ184" s="302"/>
      <c r="IK184" s="302"/>
      <c r="IL184" s="302"/>
      <c r="IM184" s="302"/>
      <c r="IN184" s="302"/>
      <c r="IO184" s="302"/>
      <c r="IP184" s="302"/>
      <c r="IQ184" s="302"/>
      <c r="IR184" s="302"/>
      <c r="IS184" s="302"/>
      <c r="IT184" s="302"/>
      <c r="IU184" s="302"/>
      <c r="IV184" s="302"/>
      <c r="IW184" s="302"/>
      <c r="IX184" s="302"/>
      <c r="IY184" s="302"/>
      <c r="IZ184" s="302"/>
      <c r="JA184" s="302"/>
      <c r="JB184" s="302"/>
      <c r="JC184" s="302"/>
      <c r="JD184" s="302"/>
      <c r="JE184" s="302"/>
      <c r="JF184" s="302"/>
      <c r="JG184" s="302"/>
      <c r="JH184" s="302"/>
      <c r="JI184" s="302"/>
      <c r="JJ184" s="302"/>
      <c r="JK184" s="302"/>
      <c r="JL184" s="302"/>
      <c r="JM184" s="302"/>
      <c r="JN184" s="302"/>
      <c r="JO184" s="302"/>
      <c r="JP184" s="302"/>
      <c r="JQ184" s="302"/>
      <c r="JR184" s="302"/>
      <c r="JS184" s="302"/>
      <c r="JT184" s="302"/>
      <c r="JU184" s="302"/>
      <c r="JV184" s="302"/>
      <c r="JW184" s="302"/>
      <c r="JX184" s="302"/>
      <c r="JY184" s="302"/>
      <c r="JZ184" s="302"/>
      <c r="KA184" s="302"/>
      <c r="KB184" s="302"/>
      <c r="KC184" s="302"/>
      <c r="KD184" s="302"/>
      <c r="KE184" s="302"/>
      <c r="KF184" s="302"/>
      <c r="KG184" s="302"/>
      <c r="KH184" s="302"/>
      <c r="KI184" s="302"/>
      <c r="KJ184" s="302"/>
      <c r="KK184" s="302"/>
      <c r="KL184" s="302"/>
      <c r="KM184" s="302"/>
      <c r="KN184" s="302"/>
      <c r="KO184" s="302"/>
      <c r="KP184" s="302"/>
      <c r="KQ184" s="302"/>
      <c r="KR184" s="302"/>
      <c r="KS184" s="302"/>
      <c r="KT184" s="302"/>
      <c r="KU184" s="302"/>
      <c r="KV184" s="302"/>
      <c r="KW184" s="302"/>
      <c r="KX184" s="302"/>
      <c r="KY184" s="302"/>
      <c r="KZ184" s="302"/>
      <c r="LA184" s="302"/>
      <c r="LB184" s="302"/>
      <c r="LC184" s="302"/>
      <c r="LD184" s="302"/>
      <c r="LE184" s="302"/>
      <c r="LF184" s="302"/>
      <c r="LG184" s="302"/>
      <c r="LH184" s="302"/>
      <c r="LI184" s="302"/>
      <c r="LJ184" s="302"/>
      <c r="LK184" s="302"/>
      <c r="LL184" s="302"/>
      <c r="LM184" s="302"/>
      <c r="LN184" s="302"/>
      <c r="LO184" s="302"/>
      <c r="LP184" s="302"/>
      <c r="LQ184" s="302"/>
      <c r="LR184" s="302"/>
      <c r="LS184" s="302"/>
      <c r="LT184" s="302"/>
      <c r="LU184" s="302"/>
      <c r="LV184" s="302"/>
      <c r="LW184" s="302"/>
      <c r="LX184" s="302"/>
      <c r="LY184" s="302"/>
      <c r="LZ184" s="302"/>
      <c r="MA184" s="302"/>
      <c r="MB184" s="302"/>
      <c r="MC184" s="302"/>
      <c r="MD184" s="302"/>
      <c r="ME184" s="302"/>
      <c r="MF184" s="302"/>
      <c r="MG184" s="302"/>
      <c r="MH184" s="302"/>
      <c r="MI184" s="302"/>
      <c r="MJ184" s="302"/>
      <c r="MK184" s="302"/>
      <c r="ML184" s="302"/>
      <c r="MM184" s="302"/>
      <c r="MN184" s="302"/>
      <c r="MO184" s="302"/>
      <c r="MP184" s="302"/>
      <c r="MQ184" s="302"/>
      <c r="MR184" s="302"/>
      <c r="MS184" s="302"/>
      <c r="MT184" s="302"/>
      <c r="MU184" s="302"/>
      <c r="MV184" s="302"/>
      <c r="MW184" s="302"/>
      <c r="MX184" s="302"/>
      <c r="MY184" s="302"/>
      <c r="MZ184" s="302"/>
      <c r="NA184" s="302"/>
      <c r="NB184" s="302"/>
      <c r="NC184" s="302"/>
      <c r="ND184" s="302"/>
      <c r="NE184" s="302"/>
      <c r="NF184" s="302"/>
      <c r="NG184" s="302"/>
      <c r="NH184" s="302"/>
      <c r="NI184" s="302"/>
      <c r="NJ184" s="302"/>
      <c r="NK184" s="302"/>
      <c r="NL184" s="302"/>
      <c r="NM184" s="302"/>
      <c r="NN184" s="302"/>
      <c r="NO184" s="302"/>
      <c r="NP184" s="302"/>
      <c r="NQ184" s="302"/>
      <c r="NR184" s="302"/>
      <c r="NS184" s="302"/>
      <c r="NT184" s="302"/>
      <c r="NU184" s="302"/>
      <c r="NV184" s="302"/>
      <c r="NW184" s="302"/>
      <c r="NX184" s="302"/>
      <c r="NY184" s="302"/>
      <c r="NZ184" s="302"/>
      <c r="OA184" s="302"/>
      <c r="OB184" s="302"/>
      <c r="OC184" s="302"/>
      <c r="OD184" s="302"/>
      <c r="OE184" s="302"/>
      <c r="OF184" s="302"/>
      <c r="OG184" s="302"/>
      <c r="OH184" s="302"/>
      <c r="OI184" s="302"/>
      <c r="OJ184" s="302"/>
      <c r="OK184" s="302"/>
      <c r="OL184" s="302"/>
      <c r="OM184" s="302"/>
      <c r="ON184" s="302"/>
      <c r="OO184" s="302"/>
      <c r="OP184" s="302"/>
      <c r="OQ184" s="302"/>
      <c r="OR184" s="302"/>
      <c r="OS184" s="302"/>
      <c r="OT184" s="302"/>
      <c r="OU184" s="302"/>
      <c r="OV184" s="302"/>
      <c r="OW184" s="302"/>
      <c r="OX184" s="302"/>
      <c r="OY184" s="302"/>
      <c r="OZ184" s="302"/>
      <c r="PA184" s="302"/>
      <c r="PB184" s="302"/>
      <c r="PC184" s="302"/>
      <c r="PD184" s="302"/>
      <c r="PE184" s="302"/>
      <c r="PF184" s="302"/>
      <c r="PG184" s="302"/>
      <c r="PH184" s="302"/>
      <c r="PI184" s="302"/>
      <c r="PJ184" s="302"/>
      <c r="PK184" s="302"/>
      <c r="PL184" s="302"/>
      <c r="PM184" s="302"/>
      <c r="PN184" s="302"/>
      <c r="PO184" s="302"/>
      <c r="PP184" s="302"/>
      <c r="PQ184" s="302"/>
      <c r="PR184" s="302"/>
      <c r="PS184" s="302"/>
      <c r="PT184" s="302"/>
      <c r="PU184" s="302"/>
      <c r="PV184" s="302"/>
      <c r="PW184" s="302"/>
      <c r="PX184" s="302"/>
      <c r="PY184" s="302"/>
      <c r="PZ184" s="302"/>
      <c r="QA184" s="302"/>
      <c r="QB184" s="302"/>
      <c r="QC184" s="302"/>
      <c r="QD184" s="302"/>
      <c r="QE184" s="302"/>
      <c r="QF184" s="302"/>
      <c r="QG184" s="302"/>
      <c r="QH184" s="302"/>
      <c r="QI184" s="302"/>
      <c r="QJ184" s="302"/>
      <c r="QK184" s="302"/>
      <c r="QL184" s="302"/>
      <c r="QM184" s="302"/>
      <c r="QN184" s="302"/>
      <c r="QO184" s="302"/>
      <c r="QP184" s="302"/>
      <c r="QQ184" s="302"/>
      <c r="QR184" s="302"/>
      <c r="QS184" s="302"/>
      <c r="QT184" s="302"/>
      <c r="QU184" s="302"/>
      <c r="QV184" s="302"/>
      <c r="QW184" s="302"/>
      <c r="QX184" s="302"/>
      <c r="QY184" s="302"/>
      <c r="QZ184" s="302"/>
      <c r="RA184" s="302"/>
      <c r="RB184" s="302"/>
      <c r="RC184" s="302"/>
      <c r="RD184" s="302"/>
      <c r="RE184" s="302"/>
      <c r="RF184" s="302"/>
      <c r="RG184" s="302"/>
      <c r="RH184" s="302"/>
      <c r="RI184" s="302"/>
      <c r="RJ184" s="302"/>
      <c r="RK184" s="302"/>
      <c r="RL184" s="302"/>
      <c r="RM184" s="302"/>
      <c r="RN184" s="302"/>
      <c r="RO184" s="302"/>
      <c r="RP184" s="302"/>
      <c r="RQ184" s="302"/>
      <c r="RR184" s="302"/>
      <c r="RS184" s="302"/>
      <c r="RT184" s="302"/>
      <c r="RU184" s="302"/>
      <c r="RV184" s="302"/>
      <c r="RW184" s="302"/>
      <c r="RX184" s="302"/>
      <c r="RY184" s="302"/>
      <c r="RZ184" s="302"/>
      <c r="SA184" s="302"/>
      <c r="SB184" s="302"/>
      <c r="SC184" s="302"/>
      <c r="SD184" s="302"/>
      <c r="SE184" s="302"/>
      <c r="SF184" s="302"/>
      <c r="SG184" s="302"/>
      <c r="SH184" s="302"/>
      <c r="SI184" s="302"/>
      <c r="SJ184" s="302"/>
      <c r="SK184" s="302"/>
      <c r="SL184" s="302"/>
      <c r="SM184" s="302"/>
      <c r="SN184" s="302"/>
      <c r="SO184" s="302"/>
      <c r="SP184" s="302"/>
      <c r="SQ184" s="302"/>
      <c r="SR184" s="302"/>
      <c r="SS184" s="302"/>
      <c r="ST184" s="302"/>
      <c r="SU184" s="302"/>
      <c r="SV184" s="302"/>
      <c r="SW184" s="302"/>
      <c r="SX184" s="302"/>
      <c r="SY184" s="302"/>
      <c r="SZ184" s="302"/>
      <c r="TA184" s="302"/>
      <c r="TB184" s="302"/>
      <c r="TC184" s="302"/>
      <c r="TD184" s="302"/>
      <c r="TE184" s="302"/>
      <c r="TF184" s="302"/>
      <c r="TG184" s="302"/>
      <c r="TH184" s="302"/>
      <c r="TI184" s="302"/>
      <c r="TJ184" s="302"/>
      <c r="TK184" s="302"/>
      <c r="TL184" s="302"/>
      <c r="TM184" s="302"/>
      <c r="TN184" s="302"/>
      <c r="TO184" s="302"/>
      <c r="TP184" s="302"/>
      <c r="TQ184" s="302"/>
      <c r="TR184" s="302"/>
      <c r="TS184" s="302"/>
      <c r="TT184" s="302"/>
      <c r="TU184" s="302"/>
      <c r="TV184" s="302"/>
      <c r="TW184" s="302"/>
      <c r="TX184" s="302"/>
      <c r="TY184" s="302"/>
      <c r="TZ184" s="302"/>
      <c r="UA184" s="302"/>
      <c r="UB184" s="302"/>
      <c r="UC184" s="302"/>
      <c r="UD184" s="302"/>
      <c r="UE184" s="302"/>
      <c r="UF184" s="302"/>
      <c r="UG184" s="302"/>
      <c r="UH184" s="302"/>
      <c r="UI184" s="302"/>
      <c r="UJ184" s="302"/>
      <c r="UK184" s="302"/>
      <c r="UL184" s="302"/>
      <c r="UM184" s="302"/>
      <c r="UN184" s="302"/>
      <c r="UO184" s="302"/>
      <c r="UP184" s="302"/>
      <c r="UQ184" s="302"/>
      <c r="UR184" s="302"/>
      <c r="US184" s="302"/>
      <c r="UT184" s="302"/>
      <c r="UU184" s="302"/>
      <c r="UV184" s="302"/>
      <c r="UW184" s="302"/>
      <c r="UX184" s="302"/>
      <c r="UY184" s="302"/>
      <c r="UZ184" s="302"/>
      <c r="VA184" s="302"/>
      <c r="VB184" s="302"/>
      <c r="VC184" s="302"/>
      <c r="VD184" s="302"/>
      <c r="VE184" s="302"/>
      <c r="VF184" s="302"/>
      <c r="VG184" s="302"/>
      <c r="VH184" s="302"/>
      <c r="VI184" s="302"/>
      <c r="VJ184" s="302"/>
      <c r="VK184" s="302"/>
      <c r="VL184" s="302"/>
      <c r="VM184" s="302"/>
      <c r="VN184" s="302"/>
      <c r="VO184" s="302"/>
      <c r="VP184" s="302"/>
      <c r="VQ184" s="302"/>
      <c r="VR184" s="302"/>
      <c r="VS184" s="302"/>
      <c r="VT184" s="302"/>
      <c r="VU184" s="302"/>
      <c r="VV184" s="302"/>
      <c r="VW184" s="302"/>
      <c r="VX184" s="302"/>
      <c r="VY184" s="302"/>
      <c r="VZ184" s="302"/>
      <c r="WA184" s="302"/>
      <c r="WB184" s="302"/>
      <c r="WC184" s="302"/>
      <c r="WD184" s="302"/>
      <c r="WE184" s="302"/>
      <c r="WF184" s="302"/>
      <c r="WG184" s="302"/>
      <c r="WH184" s="302"/>
      <c r="WI184" s="302"/>
      <c r="WJ184" s="302"/>
      <c r="WK184" s="302"/>
      <c r="WL184" s="302"/>
      <c r="WM184" s="302"/>
      <c r="WN184" s="302"/>
      <c r="WO184" s="302"/>
      <c r="WP184" s="302"/>
      <c r="WQ184" s="302"/>
      <c r="WR184" s="302"/>
      <c r="WS184" s="302"/>
      <c r="WT184" s="302"/>
      <c r="WU184" s="302"/>
      <c r="WV184" s="302"/>
      <c r="WW184" s="302"/>
      <c r="WX184" s="302"/>
      <c r="WY184" s="302"/>
      <c r="WZ184" s="302"/>
      <c r="XA184" s="302"/>
      <c r="XB184" s="302"/>
      <c r="XC184" s="302"/>
      <c r="XD184" s="302"/>
      <c r="XE184" s="302"/>
      <c r="XF184" s="302"/>
      <c r="XG184" s="302"/>
      <c r="XH184" s="302"/>
      <c r="XI184" s="302"/>
      <c r="XJ184" s="302"/>
      <c r="XK184" s="302"/>
      <c r="XL184" s="302"/>
      <c r="XM184" s="302"/>
      <c r="XN184" s="302"/>
      <c r="XO184" s="302"/>
      <c r="XP184" s="302"/>
      <c r="XQ184" s="302"/>
      <c r="XR184" s="302"/>
      <c r="XS184" s="302"/>
      <c r="XT184" s="302"/>
      <c r="XU184" s="302"/>
      <c r="XV184" s="302"/>
      <c r="XW184" s="302"/>
      <c r="XX184" s="302"/>
      <c r="XY184" s="302"/>
      <c r="XZ184" s="302"/>
      <c r="YA184" s="302"/>
      <c r="YB184" s="302"/>
      <c r="YC184" s="302"/>
      <c r="YD184" s="302"/>
      <c r="YE184" s="302"/>
      <c r="YF184" s="302"/>
      <c r="YG184" s="302"/>
      <c r="YH184" s="302"/>
      <c r="YI184" s="302"/>
      <c r="YJ184" s="302"/>
      <c r="YK184" s="302"/>
      <c r="YL184" s="302"/>
      <c r="YM184" s="302"/>
      <c r="YN184" s="302"/>
      <c r="YO184" s="302"/>
      <c r="YP184" s="302"/>
      <c r="YQ184" s="302"/>
      <c r="YR184" s="302"/>
      <c r="YS184" s="302"/>
      <c r="YT184" s="302"/>
      <c r="YU184" s="302"/>
      <c r="YV184" s="302"/>
      <c r="YW184" s="302"/>
      <c r="YX184" s="302"/>
      <c r="YY184" s="302"/>
      <c r="YZ184" s="302"/>
      <c r="ZA184" s="302"/>
      <c r="ZB184" s="302"/>
      <c r="ZC184" s="302"/>
      <c r="ZD184" s="302"/>
      <c r="ZE184" s="302"/>
      <c r="ZF184" s="302"/>
      <c r="ZG184" s="302"/>
      <c r="ZH184" s="302"/>
      <c r="ZI184" s="302"/>
      <c r="ZJ184" s="302"/>
      <c r="ZK184" s="302"/>
      <c r="ZL184" s="302"/>
      <c r="ZM184" s="302"/>
      <c r="ZN184" s="302"/>
      <c r="ZO184" s="302"/>
      <c r="ZP184" s="302"/>
      <c r="ZQ184" s="302"/>
      <c r="ZR184" s="302"/>
      <c r="ZS184" s="302"/>
      <c r="ZT184" s="302"/>
      <c r="ZU184" s="302"/>
      <c r="ZV184" s="302"/>
      <c r="ZW184" s="302"/>
      <c r="ZX184" s="302"/>
      <c r="ZY184" s="302"/>
      <c r="ZZ184" s="302"/>
      <c r="AAA184" s="302"/>
      <c r="AAB184" s="302"/>
      <c r="AAC184" s="302"/>
      <c r="AAD184" s="302"/>
      <c r="AAE184" s="302"/>
      <c r="AAF184" s="302"/>
      <c r="AAG184" s="302"/>
      <c r="AAH184" s="302"/>
      <c r="AAI184" s="302"/>
      <c r="AAJ184" s="302"/>
      <c r="AAK184" s="302"/>
      <c r="AAL184" s="302"/>
      <c r="AAM184" s="302"/>
      <c r="AAN184" s="302"/>
      <c r="AAO184" s="302"/>
      <c r="AAP184" s="302"/>
      <c r="AAQ184" s="302"/>
      <c r="AAR184" s="302"/>
      <c r="AAS184" s="302"/>
      <c r="AAT184" s="302"/>
      <c r="AAU184" s="302"/>
      <c r="AAV184" s="302"/>
      <c r="AAW184" s="302"/>
      <c r="AAX184" s="302"/>
      <c r="AAY184" s="302"/>
      <c r="AAZ184" s="302"/>
      <c r="ABA184" s="302"/>
      <c r="ABB184" s="302"/>
      <c r="ABC184" s="302"/>
      <c r="ABD184" s="302"/>
      <c r="ABE184" s="302"/>
      <c r="ABF184" s="302"/>
      <c r="ABG184" s="302"/>
      <c r="ABH184" s="302"/>
      <c r="ABI184" s="302"/>
      <c r="ABJ184" s="302"/>
      <c r="ABK184" s="302"/>
      <c r="ABL184" s="302"/>
      <c r="ABM184" s="302"/>
      <c r="ABN184" s="302"/>
      <c r="ABO184" s="302"/>
      <c r="ABP184" s="302"/>
      <c r="ABQ184" s="302"/>
      <c r="ABR184" s="302"/>
      <c r="ABS184" s="302"/>
      <c r="ABT184" s="302"/>
      <c r="ABU184" s="302"/>
      <c r="ABV184" s="302"/>
      <c r="ABW184" s="302"/>
      <c r="ABX184" s="302"/>
      <c r="ABY184" s="302"/>
      <c r="ABZ184" s="302"/>
      <c r="ACA184" s="302"/>
      <c r="ACB184" s="302"/>
      <c r="ACC184" s="302"/>
      <c r="ACD184" s="302"/>
      <c r="ACE184" s="302"/>
      <c r="ACF184" s="302"/>
      <c r="ACG184" s="302"/>
      <c r="ACH184" s="302"/>
      <c r="ACI184" s="302"/>
      <c r="ACJ184" s="302"/>
      <c r="ACK184" s="302"/>
      <c r="ACL184" s="302"/>
      <c r="ACM184" s="302"/>
      <c r="ACN184" s="302"/>
      <c r="ACO184" s="302"/>
      <c r="ACP184" s="302"/>
      <c r="ACQ184" s="302"/>
      <c r="ACR184" s="302"/>
      <c r="ACS184" s="302"/>
      <c r="ACT184" s="302"/>
      <c r="ACU184" s="302"/>
      <c r="ACV184" s="302"/>
      <c r="ACW184" s="302"/>
      <c r="ACX184" s="302"/>
      <c r="ACY184" s="302"/>
      <c r="ACZ184" s="302"/>
      <c r="ADA184" s="302"/>
      <c r="ADB184" s="302"/>
      <c r="ADC184" s="302"/>
      <c r="ADD184" s="302"/>
      <c r="ADE184" s="302"/>
      <c r="ADF184" s="302"/>
      <c r="ADG184" s="302"/>
      <c r="ADH184" s="302"/>
      <c r="ADI184" s="302"/>
      <c r="ADJ184" s="302"/>
      <c r="ADK184" s="302"/>
      <c r="ADL184" s="302"/>
      <c r="ADM184" s="302"/>
      <c r="ADN184" s="302"/>
      <c r="ADO184" s="302"/>
      <c r="ADP184" s="302"/>
      <c r="ADQ184" s="302"/>
      <c r="ADR184" s="302"/>
      <c r="ADS184" s="302"/>
      <c r="ADT184" s="302"/>
      <c r="ADU184" s="302"/>
      <c r="ADV184" s="302"/>
      <c r="ADW184" s="302"/>
      <c r="ADX184" s="302"/>
      <c r="ADY184" s="302"/>
      <c r="ADZ184" s="302"/>
      <c r="AEA184" s="302"/>
      <c r="AEB184" s="302"/>
      <c r="AEC184" s="302"/>
      <c r="AED184" s="302"/>
      <c r="AEE184" s="302"/>
      <c r="AEF184" s="302"/>
      <c r="AEG184" s="302"/>
      <c r="AEH184" s="302"/>
      <c r="AEI184" s="302"/>
      <c r="AEJ184" s="302"/>
      <c r="AEK184" s="302"/>
      <c r="AEL184" s="302"/>
      <c r="AEM184" s="302"/>
      <c r="AEN184" s="302"/>
      <c r="AEO184" s="302"/>
      <c r="AEP184" s="302"/>
      <c r="AEQ184" s="302"/>
      <c r="AER184" s="302"/>
      <c r="AES184" s="302"/>
      <c r="AET184" s="302"/>
      <c r="AEU184" s="302"/>
      <c r="AEV184" s="302"/>
      <c r="AEW184" s="302"/>
      <c r="AEX184" s="302"/>
      <c r="AEY184" s="302"/>
      <c r="AEZ184" s="302"/>
      <c r="AFA184" s="302"/>
      <c r="AFB184" s="302"/>
      <c r="AFC184" s="302"/>
      <c r="AFD184" s="302"/>
      <c r="AFE184" s="302"/>
      <c r="AFF184" s="302"/>
      <c r="AFG184" s="302"/>
      <c r="AFH184" s="302"/>
      <c r="AFI184" s="302"/>
      <c r="AFJ184" s="302"/>
      <c r="AFK184" s="302"/>
      <c r="AFL184" s="302"/>
      <c r="AFM184" s="302"/>
      <c r="AFN184" s="302"/>
      <c r="AFO184" s="302"/>
      <c r="AFP184" s="302"/>
      <c r="AFQ184" s="302"/>
      <c r="AFR184" s="302"/>
      <c r="AFS184" s="302"/>
      <c r="AFT184" s="302"/>
      <c r="AFU184" s="302"/>
      <c r="AFV184" s="302"/>
      <c r="AFW184" s="302"/>
      <c r="AFX184" s="302"/>
      <c r="AFY184" s="302"/>
      <c r="AFZ184" s="302"/>
      <c r="AGA184" s="302"/>
      <c r="AGB184" s="302"/>
      <c r="AGC184" s="302"/>
      <c r="AGD184" s="302"/>
      <c r="AGE184" s="302"/>
      <c r="AGF184" s="302"/>
      <c r="AGG184" s="302"/>
      <c r="AGH184" s="302"/>
      <c r="AGI184" s="302"/>
      <c r="AGJ184" s="302"/>
      <c r="AGK184" s="302"/>
      <c r="AGL184" s="302"/>
      <c r="AGM184" s="302"/>
      <c r="AGN184" s="302"/>
      <c r="AGO184" s="302"/>
      <c r="AGP184" s="302"/>
      <c r="AGQ184" s="302"/>
      <c r="AGR184" s="302"/>
      <c r="AGS184" s="302"/>
      <c r="AGT184" s="302"/>
      <c r="AGU184" s="302"/>
      <c r="AGV184" s="302"/>
      <c r="AGW184" s="302"/>
      <c r="AGX184" s="302"/>
      <c r="AGY184" s="302"/>
      <c r="AGZ184" s="302"/>
      <c r="AHA184" s="302"/>
      <c r="AHB184" s="302"/>
      <c r="AHC184" s="302"/>
      <c r="AHD184" s="302"/>
      <c r="AHE184" s="302"/>
      <c r="AHF184" s="302"/>
      <c r="AHG184" s="302"/>
      <c r="AHH184" s="302"/>
      <c r="AHI184" s="302"/>
      <c r="AHJ184" s="302"/>
      <c r="AHK184" s="302"/>
      <c r="AHL184" s="302"/>
      <c r="AHM184" s="302"/>
      <c r="AHN184" s="302"/>
      <c r="AHO184" s="302"/>
      <c r="AHP184" s="302"/>
      <c r="AHQ184" s="302"/>
      <c r="AHR184" s="302"/>
      <c r="AHS184" s="302"/>
      <c r="AHT184" s="302"/>
      <c r="AHU184" s="302"/>
      <c r="AHV184" s="302"/>
      <c r="AHW184" s="302"/>
      <c r="AHX184" s="302"/>
      <c r="AHY184" s="302"/>
      <c r="AHZ184" s="302"/>
      <c r="AIA184" s="302"/>
      <c r="AIB184" s="302"/>
      <c r="AIC184" s="302"/>
      <c r="AID184" s="302"/>
      <c r="AIE184" s="302"/>
      <c r="AIF184" s="302"/>
      <c r="AIG184" s="302"/>
      <c r="AIH184" s="302"/>
      <c r="AII184" s="302"/>
      <c r="AIJ184" s="302"/>
      <c r="AIK184" s="302"/>
      <c r="AIL184" s="302"/>
      <c r="AIM184" s="302"/>
      <c r="AIN184" s="302"/>
      <c r="AIO184" s="302"/>
      <c r="AIP184" s="302"/>
      <c r="AIQ184" s="302"/>
      <c r="AIR184" s="302"/>
      <c r="AIS184" s="302"/>
      <c r="AIT184" s="302"/>
      <c r="AIU184" s="302"/>
      <c r="AIV184" s="302"/>
      <c r="AIW184" s="302"/>
      <c r="AIX184" s="302"/>
      <c r="AIY184" s="302"/>
      <c r="AIZ184" s="302"/>
      <c r="AJA184" s="302"/>
      <c r="AJB184" s="302"/>
      <c r="AJC184" s="302"/>
      <c r="AJD184" s="302"/>
      <c r="AJE184" s="302"/>
      <c r="AJF184" s="302"/>
      <c r="AJG184" s="302"/>
      <c r="AJH184" s="302"/>
      <c r="AJI184" s="302"/>
      <c r="AJJ184" s="302"/>
      <c r="AJK184" s="302"/>
      <c r="AJL184" s="302"/>
      <c r="AJM184" s="302"/>
      <c r="AJN184" s="302"/>
      <c r="AJO184" s="302"/>
      <c r="AJP184" s="302"/>
      <c r="AJQ184" s="302"/>
      <c r="AJR184" s="302"/>
      <c r="AJS184" s="302"/>
      <c r="AJT184" s="302"/>
      <c r="AJU184" s="302"/>
      <c r="AJV184" s="302"/>
      <c r="AJW184" s="302"/>
      <c r="AJX184" s="302"/>
      <c r="AJY184" s="302"/>
      <c r="AJZ184" s="302"/>
      <c r="AKA184" s="302"/>
      <c r="AKB184" s="302"/>
      <c r="AKC184" s="302"/>
      <c r="AKD184" s="302"/>
      <c r="AKE184" s="302"/>
      <c r="AKF184" s="302"/>
      <c r="AKG184" s="302"/>
      <c r="AKH184" s="302"/>
      <c r="AKI184" s="302"/>
      <c r="AKJ184" s="302"/>
      <c r="AKK184" s="302"/>
      <c r="AKL184" s="302"/>
      <c r="AKM184" s="302"/>
      <c r="AKN184" s="302"/>
      <c r="AKO184" s="302"/>
      <c r="AKP184" s="302"/>
      <c r="AKQ184" s="302"/>
      <c r="AKR184" s="302"/>
      <c r="AKS184" s="302"/>
      <c r="AKT184" s="302"/>
      <c r="AKU184" s="302"/>
      <c r="AKV184" s="302"/>
      <c r="AKW184" s="302"/>
      <c r="AKX184" s="302"/>
      <c r="AKY184" s="302"/>
      <c r="AKZ184" s="302"/>
      <c r="ALA184" s="302"/>
      <c r="ALB184" s="302"/>
      <c r="ALC184" s="302"/>
      <c r="ALD184" s="302"/>
      <c r="ALE184" s="302"/>
      <c r="ALF184" s="302"/>
      <c r="ALG184" s="302"/>
      <c r="ALH184" s="302"/>
      <c r="ALI184" s="302"/>
      <c r="ALJ184" s="302"/>
      <c r="ALK184" s="302"/>
      <c r="ALL184" s="302"/>
      <c r="ALM184" s="302"/>
      <c r="ALN184" s="302"/>
      <c r="ALO184" s="302"/>
      <c r="ALP184" s="302"/>
      <c r="ALQ184" s="302"/>
      <c r="ALR184" s="302"/>
      <c r="ALS184" s="302"/>
      <c r="ALT184" s="302"/>
      <c r="ALU184" s="302"/>
      <c r="ALV184" s="302"/>
      <c r="ALW184" s="302"/>
      <c r="ALX184" s="302"/>
      <c r="ALY184" s="302"/>
      <c r="ALZ184" s="302"/>
      <c r="AMA184" s="302"/>
      <c r="AMB184" s="302"/>
      <c r="AMC184" s="302"/>
      <c r="AMD184" s="302"/>
      <c r="AME184" s="302"/>
      <c r="AMF184" s="302"/>
      <c r="AMG184" s="302"/>
      <c r="AMH184" s="302"/>
      <c r="AMI184" s="302"/>
    </row>
    <row r="185" spans="1:1023" hidden="1">
      <c r="A185" s="302"/>
      <c r="B185" s="15">
        <v>13829</v>
      </c>
      <c r="C185" s="113">
        <v>0.1</v>
      </c>
      <c r="D185" s="16" t="s">
        <v>412</v>
      </c>
      <c r="E185" s="12">
        <v>1700000</v>
      </c>
      <c r="F185" s="363">
        <v>0.02</v>
      </c>
      <c r="G185" s="369">
        <f>E185*F185</f>
        <v>34000</v>
      </c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2"/>
      <c r="AG185" s="302"/>
      <c r="AH185" s="302"/>
      <c r="AI185" s="302"/>
      <c r="AJ185" s="302"/>
      <c r="AK185" s="302"/>
      <c r="AL185" s="302"/>
      <c r="AM185" s="302"/>
      <c r="AN185" s="302"/>
      <c r="AO185" s="302"/>
      <c r="AP185" s="302"/>
      <c r="AQ185" s="302"/>
      <c r="AR185" s="302"/>
      <c r="AS185" s="302"/>
      <c r="AT185" s="302"/>
      <c r="AU185" s="302"/>
      <c r="AV185" s="302"/>
      <c r="AW185" s="302"/>
      <c r="AX185" s="302"/>
      <c r="AY185" s="302"/>
      <c r="AZ185" s="302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K185" s="302"/>
      <c r="BL185" s="302"/>
      <c r="BM185" s="302"/>
      <c r="BN185" s="302"/>
      <c r="BO185" s="302"/>
      <c r="BP185" s="302"/>
      <c r="BQ185" s="302"/>
      <c r="BR185" s="302"/>
      <c r="BS185" s="302"/>
      <c r="BT185" s="302"/>
      <c r="BU185" s="302"/>
      <c r="BV185" s="302"/>
      <c r="BW185" s="302"/>
      <c r="BX185" s="302"/>
      <c r="BY185" s="302"/>
      <c r="BZ185" s="302"/>
      <c r="CA185" s="302"/>
      <c r="CB185" s="302"/>
      <c r="CC185" s="302"/>
      <c r="CD185" s="302"/>
      <c r="CE185" s="302"/>
      <c r="CF185" s="302"/>
      <c r="CG185" s="302"/>
      <c r="CH185" s="302"/>
      <c r="CI185" s="302"/>
      <c r="CJ185" s="302"/>
      <c r="CK185" s="302"/>
      <c r="CL185" s="302"/>
      <c r="CM185" s="302"/>
      <c r="CN185" s="302"/>
      <c r="CO185" s="302"/>
      <c r="CP185" s="302"/>
      <c r="CQ185" s="302"/>
      <c r="CR185" s="302"/>
      <c r="CS185" s="302"/>
      <c r="CT185" s="302"/>
      <c r="CU185" s="302"/>
      <c r="CV185" s="302"/>
      <c r="CW185" s="302"/>
      <c r="CX185" s="302"/>
      <c r="CY185" s="302"/>
      <c r="CZ185" s="302"/>
      <c r="DA185" s="302"/>
      <c r="DB185" s="302"/>
      <c r="DC185" s="302"/>
      <c r="DD185" s="302"/>
      <c r="DE185" s="302"/>
      <c r="DF185" s="302"/>
      <c r="DG185" s="302"/>
      <c r="DH185" s="302"/>
      <c r="DI185" s="302"/>
      <c r="DJ185" s="302"/>
      <c r="DK185" s="302"/>
      <c r="DL185" s="302"/>
      <c r="DM185" s="302"/>
      <c r="DN185" s="302"/>
      <c r="DO185" s="302"/>
      <c r="DP185" s="302"/>
      <c r="DQ185" s="302"/>
      <c r="DR185" s="302"/>
      <c r="DS185" s="302"/>
      <c r="DT185" s="302"/>
      <c r="DU185" s="302"/>
      <c r="DV185" s="302"/>
      <c r="DW185" s="302"/>
      <c r="DX185" s="302"/>
      <c r="DY185" s="302"/>
      <c r="DZ185" s="302"/>
      <c r="EA185" s="302"/>
      <c r="EB185" s="302"/>
      <c r="EC185" s="302"/>
      <c r="ED185" s="302"/>
      <c r="EE185" s="302"/>
      <c r="EF185" s="302"/>
      <c r="EG185" s="302"/>
      <c r="EH185" s="302"/>
      <c r="EI185" s="302"/>
      <c r="EJ185" s="302"/>
      <c r="EK185" s="302"/>
      <c r="EL185" s="302"/>
      <c r="EM185" s="302"/>
      <c r="EN185" s="302"/>
      <c r="EO185" s="302"/>
      <c r="EP185" s="302"/>
      <c r="EQ185" s="302"/>
      <c r="ER185" s="302"/>
      <c r="ES185" s="302"/>
      <c r="ET185" s="302"/>
      <c r="EU185" s="302"/>
      <c r="EV185" s="302"/>
      <c r="EW185" s="302"/>
      <c r="EX185" s="302"/>
      <c r="EY185" s="302"/>
      <c r="EZ185" s="302"/>
      <c r="FA185" s="302"/>
      <c r="FB185" s="302"/>
      <c r="FC185" s="302"/>
      <c r="FD185" s="302"/>
      <c r="FE185" s="302"/>
      <c r="FF185" s="302"/>
      <c r="FG185" s="302"/>
      <c r="FH185" s="302"/>
      <c r="FI185" s="302"/>
      <c r="FJ185" s="302"/>
      <c r="FK185" s="302"/>
      <c r="FL185" s="302"/>
      <c r="FM185" s="302"/>
      <c r="FN185" s="302"/>
      <c r="FO185" s="302"/>
      <c r="FP185" s="302"/>
      <c r="FQ185" s="302"/>
      <c r="FR185" s="302"/>
      <c r="FS185" s="302"/>
      <c r="FT185" s="302"/>
      <c r="FU185" s="302"/>
      <c r="FV185" s="302"/>
      <c r="FW185" s="302"/>
      <c r="FX185" s="302"/>
      <c r="FY185" s="302"/>
      <c r="FZ185" s="302"/>
      <c r="GA185" s="302"/>
      <c r="GB185" s="302"/>
      <c r="GC185" s="302"/>
      <c r="GD185" s="302"/>
      <c r="GE185" s="302"/>
      <c r="GF185" s="302"/>
      <c r="GG185" s="302"/>
      <c r="GH185" s="302"/>
      <c r="GI185" s="302"/>
      <c r="GJ185" s="302"/>
      <c r="GK185" s="302"/>
      <c r="GL185" s="302"/>
      <c r="GM185" s="302"/>
      <c r="GN185" s="302"/>
      <c r="GO185" s="302"/>
      <c r="GP185" s="302"/>
      <c r="GQ185" s="302"/>
      <c r="GR185" s="302"/>
      <c r="GS185" s="302"/>
      <c r="GT185" s="302"/>
      <c r="GU185" s="302"/>
      <c r="GV185" s="302"/>
      <c r="GW185" s="302"/>
      <c r="GX185" s="302"/>
      <c r="GY185" s="302"/>
      <c r="GZ185" s="302"/>
      <c r="HA185" s="302"/>
      <c r="HB185" s="302"/>
      <c r="HC185" s="302"/>
      <c r="HD185" s="302"/>
      <c r="HE185" s="302"/>
      <c r="HF185" s="302"/>
      <c r="HG185" s="302"/>
      <c r="HH185" s="302"/>
      <c r="HI185" s="302"/>
      <c r="HJ185" s="302"/>
      <c r="HK185" s="302"/>
      <c r="HL185" s="302"/>
      <c r="HM185" s="302"/>
      <c r="HN185" s="302"/>
      <c r="HO185" s="302"/>
      <c r="HP185" s="302"/>
      <c r="HQ185" s="302"/>
      <c r="HR185" s="302"/>
      <c r="HS185" s="302"/>
      <c r="HT185" s="302"/>
      <c r="HU185" s="302"/>
      <c r="HV185" s="302"/>
      <c r="HW185" s="302"/>
      <c r="HX185" s="302"/>
      <c r="HY185" s="302"/>
      <c r="HZ185" s="302"/>
      <c r="IA185" s="302"/>
      <c r="IB185" s="302"/>
      <c r="IC185" s="302"/>
      <c r="ID185" s="302"/>
      <c r="IE185" s="302"/>
      <c r="IF185" s="302"/>
      <c r="IG185" s="302"/>
      <c r="IH185" s="302"/>
      <c r="II185" s="302"/>
      <c r="IJ185" s="302"/>
      <c r="IK185" s="302"/>
      <c r="IL185" s="302"/>
      <c r="IM185" s="302"/>
      <c r="IN185" s="302"/>
      <c r="IO185" s="302"/>
      <c r="IP185" s="302"/>
      <c r="IQ185" s="302"/>
      <c r="IR185" s="302"/>
      <c r="IS185" s="302"/>
      <c r="IT185" s="302"/>
      <c r="IU185" s="302"/>
      <c r="IV185" s="302"/>
      <c r="IW185" s="302"/>
      <c r="IX185" s="302"/>
      <c r="IY185" s="302"/>
      <c r="IZ185" s="302"/>
      <c r="JA185" s="302"/>
      <c r="JB185" s="302"/>
      <c r="JC185" s="302"/>
      <c r="JD185" s="302"/>
      <c r="JE185" s="302"/>
      <c r="JF185" s="302"/>
      <c r="JG185" s="302"/>
      <c r="JH185" s="302"/>
      <c r="JI185" s="302"/>
      <c r="JJ185" s="302"/>
      <c r="JK185" s="302"/>
      <c r="JL185" s="302"/>
      <c r="JM185" s="302"/>
      <c r="JN185" s="302"/>
      <c r="JO185" s="302"/>
      <c r="JP185" s="302"/>
      <c r="JQ185" s="302"/>
      <c r="JR185" s="302"/>
      <c r="JS185" s="302"/>
      <c r="JT185" s="302"/>
      <c r="JU185" s="302"/>
      <c r="JV185" s="302"/>
      <c r="JW185" s="302"/>
      <c r="JX185" s="302"/>
      <c r="JY185" s="302"/>
      <c r="JZ185" s="302"/>
      <c r="KA185" s="302"/>
      <c r="KB185" s="302"/>
      <c r="KC185" s="302"/>
      <c r="KD185" s="302"/>
      <c r="KE185" s="302"/>
      <c r="KF185" s="302"/>
      <c r="KG185" s="302"/>
      <c r="KH185" s="302"/>
      <c r="KI185" s="302"/>
      <c r="KJ185" s="302"/>
      <c r="KK185" s="302"/>
      <c r="KL185" s="302"/>
      <c r="KM185" s="302"/>
      <c r="KN185" s="302"/>
      <c r="KO185" s="302"/>
      <c r="KP185" s="302"/>
      <c r="KQ185" s="302"/>
      <c r="KR185" s="302"/>
      <c r="KS185" s="302"/>
      <c r="KT185" s="302"/>
      <c r="KU185" s="302"/>
      <c r="KV185" s="302"/>
      <c r="KW185" s="302"/>
      <c r="KX185" s="302"/>
      <c r="KY185" s="302"/>
      <c r="KZ185" s="302"/>
      <c r="LA185" s="302"/>
      <c r="LB185" s="302"/>
      <c r="LC185" s="302"/>
      <c r="LD185" s="302"/>
      <c r="LE185" s="302"/>
      <c r="LF185" s="302"/>
      <c r="LG185" s="302"/>
      <c r="LH185" s="302"/>
      <c r="LI185" s="302"/>
      <c r="LJ185" s="302"/>
      <c r="LK185" s="302"/>
      <c r="LL185" s="302"/>
      <c r="LM185" s="302"/>
      <c r="LN185" s="302"/>
      <c r="LO185" s="302"/>
      <c r="LP185" s="302"/>
      <c r="LQ185" s="302"/>
      <c r="LR185" s="302"/>
      <c r="LS185" s="302"/>
      <c r="LT185" s="302"/>
      <c r="LU185" s="302"/>
      <c r="LV185" s="302"/>
      <c r="LW185" s="302"/>
      <c r="LX185" s="302"/>
      <c r="LY185" s="302"/>
      <c r="LZ185" s="302"/>
      <c r="MA185" s="302"/>
      <c r="MB185" s="302"/>
      <c r="MC185" s="302"/>
      <c r="MD185" s="302"/>
      <c r="ME185" s="302"/>
      <c r="MF185" s="302"/>
      <c r="MG185" s="302"/>
      <c r="MH185" s="302"/>
      <c r="MI185" s="302"/>
      <c r="MJ185" s="302"/>
      <c r="MK185" s="302"/>
      <c r="ML185" s="302"/>
      <c r="MM185" s="302"/>
      <c r="MN185" s="302"/>
      <c r="MO185" s="302"/>
      <c r="MP185" s="302"/>
      <c r="MQ185" s="302"/>
      <c r="MR185" s="302"/>
      <c r="MS185" s="302"/>
      <c r="MT185" s="302"/>
      <c r="MU185" s="302"/>
      <c r="MV185" s="302"/>
      <c r="MW185" s="302"/>
      <c r="MX185" s="302"/>
      <c r="MY185" s="302"/>
      <c r="MZ185" s="302"/>
      <c r="NA185" s="302"/>
      <c r="NB185" s="302"/>
      <c r="NC185" s="302"/>
      <c r="ND185" s="302"/>
      <c r="NE185" s="302"/>
      <c r="NF185" s="302"/>
      <c r="NG185" s="302"/>
      <c r="NH185" s="302"/>
      <c r="NI185" s="302"/>
      <c r="NJ185" s="302"/>
      <c r="NK185" s="302"/>
      <c r="NL185" s="302"/>
      <c r="NM185" s="302"/>
      <c r="NN185" s="302"/>
      <c r="NO185" s="302"/>
      <c r="NP185" s="302"/>
      <c r="NQ185" s="302"/>
      <c r="NR185" s="302"/>
      <c r="NS185" s="302"/>
      <c r="NT185" s="302"/>
      <c r="NU185" s="302"/>
      <c r="NV185" s="302"/>
      <c r="NW185" s="302"/>
      <c r="NX185" s="302"/>
      <c r="NY185" s="302"/>
      <c r="NZ185" s="302"/>
      <c r="OA185" s="302"/>
      <c r="OB185" s="302"/>
      <c r="OC185" s="302"/>
      <c r="OD185" s="302"/>
      <c r="OE185" s="302"/>
      <c r="OF185" s="302"/>
      <c r="OG185" s="302"/>
      <c r="OH185" s="302"/>
      <c r="OI185" s="302"/>
      <c r="OJ185" s="302"/>
      <c r="OK185" s="302"/>
      <c r="OL185" s="302"/>
      <c r="OM185" s="302"/>
      <c r="ON185" s="302"/>
      <c r="OO185" s="302"/>
      <c r="OP185" s="302"/>
      <c r="OQ185" s="302"/>
      <c r="OR185" s="302"/>
      <c r="OS185" s="302"/>
      <c r="OT185" s="302"/>
      <c r="OU185" s="302"/>
      <c r="OV185" s="302"/>
      <c r="OW185" s="302"/>
      <c r="OX185" s="302"/>
      <c r="OY185" s="302"/>
      <c r="OZ185" s="302"/>
      <c r="PA185" s="302"/>
      <c r="PB185" s="302"/>
      <c r="PC185" s="302"/>
      <c r="PD185" s="302"/>
      <c r="PE185" s="302"/>
      <c r="PF185" s="302"/>
      <c r="PG185" s="302"/>
      <c r="PH185" s="302"/>
      <c r="PI185" s="302"/>
      <c r="PJ185" s="302"/>
      <c r="PK185" s="302"/>
      <c r="PL185" s="302"/>
      <c r="PM185" s="302"/>
      <c r="PN185" s="302"/>
      <c r="PO185" s="302"/>
      <c r="PP185" s="302"/>
      <c r="PQ185" s="302"/>
      <c r="PR185" s="302"/>
      <c r="PS185" s="302"/>
      <c r="PT185" s="302"/>
      <c r="PU185" s="302"/>
      <c r="PV185" s="302"/>
      <c r="PW185" s="302"/>
      <c r="PX185" s="302"/>
      <c r="PY185" s="302"/>
      <c r="PZ185" s="302"/>
      <c r="QA185" s="302"/>
      <c r="QB185" s="302"/>
      <c r="QC185" s="302"/>
      <c r="QD185" s="302"/>
      <c r="QE185" s="302"/>
      <c r="QF185" s="302"/>
      <c r="QG185" s="302"/>
      <c r="QH185" s="302"/>
      <c r="QI185" s="302"/>
      <c r="QJ185" s="302"/>
      <c r="QK185" s="302"/>
      <c r="QL185" s="302"/>
      <c r="QM185" s="302"/>
      <c r="QN185" s="302"/>
      <c r="QO185" s="302"/>
      <c r="QP185" s="302"/>
      <c r="QQ185" s="302"/>
      <c r="QR185" s="302"/>
      <c r="QS185" s="302"/>
      <c r="QT185" s="302"/>
      <c r="QU185" s="302"/>
      <c r="QV185" s="302"/>
      <c r="QW185" s="302"/>
      <c r="QX185" s="302"/>
      <c r="QY185" s="302"/>
      <c r="QZ185" s="302"/>
      <c r="RA185" s="302"/>
      <c r="RB185" s="302"/>
      <c r="RC185" s="302"/>
      <c r="RD185" s="302"/>
      <c r="RE185" s="302"/>
      <c r="RF185" s="302"/>
      <c r="RG185" s="302"/>
      <c r="RH185" s="302"/>
      <c r="RI185" s="302"/>
      <c r="RJ185" s="302"/>
      <c r="RK185" s="302"/>
      <c r="RL185" s="302"/>
      <c r="RM185" s="302"/>
      <c r="RN185" s="302"/>
      <c r="RO185" s="302"/>
      <c r="RP185" s="302"/>
      <c r="RQ185" s="302"/>
      <c r="RR185" s="302"/>
      <c r="RS185" s="302"/>
      <c r="RT185" s="302"/>
      <c r="RU185" s="302"/>
      <c r="RV185" s="302"/>
      <c r="RW185" s="302"/>
      <c r="RX185" s="302"/>
      <c r="RY185" s="302"/>
      <c r="RZ185" s="302"/>
      <c r="SA185" s="302"/>
      <c r="SB185" s="302"/>
      <c r="SC185" s="302"/>
      <c r="SD185" s="302"/>
      <c r="SE185" s="302"/>
      <c r="SF185" s="302"/>
      <c r="SG185" s="302"/>
      <c r="SH185" s="302"/>
      <c r="SI185" s="302"/>
      <c r="SJ185" s="302"/>
      <c r="SK185" s="302"/>
      <c r="SL185" s="302"/>
      <c r="SM185" s="302"/>
      <c r="SN185" s="302"/>
      <c r="SO185" s="302"/>
      <c r="SP185" s="302"/>
      <c r="SQ185" s="302"/>
      <c r="SR185" s="302"/>
      <c r="SS185" s="302"/>
      <c r="ST185" s="302"/>
      <c r="SU185" s="302"/>
      <c r="SV185" s="302"/>
      <c r="SW185" s="302"/>
      <c r="SX185" s="302"/>
      <c r="SY185" s="302"/>
      <c r="SZ185" s="302"/>
      <c r="TA185" s="302"/>
      <c r="TB185" s="302"/>
      <c r="TC185" s="302"/>
      <c r="TD185" s="302"/>
      <c r="TE185" s="302"/>
      <c r="TF185" s="302"/>
      <c r="TG185" s="302"/>
      <c r="TH185" s="302"/>
      <c r="TI185" s="302"/>
      <c r="TJ185" s="302"/>
      <c r="TK185" s="302"/>
      <c r="TL185" s="302"/>
      <c r="TM185" s="302"/>
      <c r="TN185" s="302"/>
      <c r="TO185" s="302"/>
      <c r="TP185" s="302"/>
      <c r="TQ185" s="302"/>
      <c r="TR185" s="302"/>
      <c r="TS185" s="302"/>
      <c r="TT185" s="302"/>
      <c r="TU185" s="302"/>
      <c r="TV185" s="302"/>
      <c r="TW185" s="302"/>
      <c r="TX185" s="302"/>
      <c r="TY185" s="302"/>
      <c r="TZ185" s="302"/>
      <c r="UA185" s="302"/>
      <c r="UB185" s="302"/>
      <c r="UC185" s="302"/>
      <c r="UD185" s="302"/>
      <c r="UE185" s="302"/>
      <c r="UF185" s="302"/>
      <c r="UG185" s="302"/>
      <c r="UH185" s="302"/>
      <c r="UI185" s="302"/>
      <c r="UJ185" s="302"/>
      <c r="UK185" s="302"/>
      <c r="UL185" s="302"/>
      <c r="UM185" s="302"/>
      <c r="UN185" s="302"/>
      <c r="UO185" s="302"/>
      <c r="UP185" s="302"/>
      <c r="UQ185" s="302"/>
      <c r="UR185" s="302"/>
      <c r="US185" s="302"/>
      <c r="UT185" s="302"/>
      <c r="UU185" s="302"/>
      <c r="UV185" s="302"/>
      <c r="UW185" s="302"/>
      <c r="UX185" s="302"/>
      <c r="UY185" s="302"/>
      <c r="UZ185" s="302"/>
      <c r="VA185" s="302"/>
      <c r="VB185" s="302"/>
      <c r="VC185" s="302"/>
      <c r="VD185" s="302"/>
      <c r="VE185" s="302"/>
      <c r="VF185" s="302"/>
      <c r="VG185" s="302"/>
      <c r="VH185" s="302"/>
      <c r="VI185" s="302"/>
      <c r="VJ185" s="302"/>
      <c r="VK185" s="302"/>
      <c r="VL185" s="302"/>
      <c r="VM185" s="302"/>
      <c r="VN185" s="302"/>
      <c r="VO185" s="302"/>
      <c r="VP185" s="302"/>
      <c r="VQ185" s="302"/>
      <c r="VR185" s="302"/>
      <c r="VS185" s="302"/>
      <c r="VT185" s="302"/>
      <c r="VU185" s="302"/>
      <c r="VV185" s="302"/>
      <c r="VW185" s="302"/>
      <c r="VX185" s="302"/>
      <c r="VY185" s="302"/>
      <c r="VZ185" s="302"/>
      <c r="WA185" s="302"/>
      <c r="WB185" s="302"/>
      <c r="WC185" s="302"/>
      <c r="WD185" s="302"/>
      <c r="WE185" s="302"/>
      <c r="WF185" s="302"/>
      <c r="WG185" s="302"/>
      <c r="WH185" s="302"/>
      <c r="WI185" s="302"/>
      <c r="WJ185" s="302"/>
      <c r="WK185" s="302"/>
      <c r="WL185" s="302"/>
      <c r="WM185" s="302"/>
      <c r="WN185" s="302"/>
      <c r="WO185" s="302"/>
      <c r="WP185" s="302"/>
      <c r="WQ185" s="302"/>
      <c r="WR185" s="302"/>
      <c r="WS185" s="302"/>
      <c r="WT185" s="302"/>
      <c r="WU185" s="302"/>
      <c r="WV185" s="302"/>
      <c r="WW185" s="302"/>
      <c r="WX185" s="302"/>
      <c r="WY185" s="302"/>
      <c r="WZ185" s="302"/>
      <c r="XA185" s="302"/>
      <c r="XB185" s="302"/>
      <c r="XC185" s="302"/>
      <c r="XD185" s="302"/>
      <c r="XE185" s="302"/>
      <c r="XF185" s="302"/>
      <c r="XG185" s="302"/>
      <c r="XH185" s="302"/>
      <c r="XI185" s="302"/>
      <c r="XJ185" s="302"/>
      <c r="XK185" s="302"/>
      <c r="XL185" s="302"/>
      <c r="XM185" s="302"/>
      <c r="XN185" s="302"/>
      <c r="XO185" s="302"/>
      <c r="XP185" s="302"/>
      <c r="XQ185" s="302"/>
      <c r="XR185" s="302"/>
      <c r="XS185" s="302"/>
      <c r="XT185" s="302"/>
      <c r="XU185" s="302"/>
      <c r="XV185" s="302"/>
      <c r="XW185" s="302"/>
      <c r="XX185" s="302"/>
      <c r="XY185" s="302"/>
      <c r="XZ185" s="302"/>
      <c r="YA185" s="302"/>
      <c r="YB185" s="302"/>
      <c r="YC185" s="302"/>
      <c r="YD185" s="302"/>
      <c r="YE185" s="302"/>
      <c r="YF185" s="302"/>
      <c r="YG185" s="302"/>
      <c r="YH185" s="302"/>
      <c r="YI185" s="302"/>
      <c r="YJ185" s="302"/>
      <c r="YK185" s="302"/>
      <c r="YL185" s="302"/>
      <c r="YM185" s="302"/>
      <c r="YN185" s="302"/>
      <c r="YO185" s="302"/>
      <c r="YP185" s="302"/>
      <c r="YQ185" s="302"/>
      <c r="YR185" s="302"/>
      <c r="YS185" s="302"/>
      <c r="YT185" s="302"/>
      <c r="YU185" s="302"/>
      <c r="YV185" s="302"/>
      <c r="YW185" s="302"/>
      <c r="YX185" s="302"/>
      <c r="YY185" s="302"/>
      <c r="YZ185" s="302"/>
      <c r="ZA185" s="302"/>
      <c r="ZB185" s="302"/>
      <c r="ZC185" s="302"/>
      <c r="ZD185" s="302"/>
      <c r="ZE185" s="302"/>
      <c r="ZF185" s="302"/>
      <c r="ZG185" s="302"/>
      <c r="ZH185" s="302"/>
      <c r="ZI185" s="302"/>
      <c r="ZJ185" s="302"/>
      <c r="ZK185" s="302"/>
      <c r="ZL185" s="302"/>
      <c r="ZM185" s="302"/>
      <c r="ZN185" s="302"/>
      <c r="ZO185" s="302"/>
      <c r="ZP185" s="302"/>
      <c r="ZQ185" s="302"/>
      <c r="ZR185" s="302"/>
      <c r="ZS185" s="302"/>
      <c r="ZT185" s="302"/>
      <c r="ZU185" s="302"/>
      <c r="ZV185" s="302"/>
      <c r="ZW185" s="302"/>
      <c r="ZX185" s="302"/>
      <c r="ZY185" s="302"/>
      <c r="ZZ185" s="302"/>
      <c r="AAA185" s="302"/>
      <c r="AAB185" s="302"/>
      <c r="AAC185" s="302"/>
      <c r="AAD185" s="302"/>
      <c r="AAE185" s="302"/>
      <c r="AAF185" s="302"/>
      <c r="AAG185" s="302"/>
      <c r="AAH185" s="302"/>
      <c r="AAI185" s="302"/>
      <c r="AAJ185" s="302"/>
      <c r="AAK185" s="302"/>
      <c r="AAL185" s="302"/>
      <c r="AAM185" s="302"/>
      <c r="AAN185" s="302"/>
      <c r="AAO185" s="302"/>
      <c r="AAP185" s="302"/>
      <c r="AAQ185" s="302"/>
      <c r="AAR185" s="302"/>
      <c r="AAS185" s="302"/>
      <c r="AAT185" s="302"/>
      <c r="AAU185" s="302"/>
      <c r="AAV185" s="302"/>
      <c r="AAW185" s="302"/>
      <c r="AAX185" s="302"/>
      <c r="AAY185" s="302"/>
      <c r="AAZ185" s="302"/>
      <c r="ABA185" s="302"/>
      <c r="ABB185" s="302"/>
      <c r="ABC185" s="302"/>
      <c r="ABD185" s="302"/>
      <c r="ABE185" s="302"/>
      <c r="ABF185" s="302"/>
      <c r="ABG185" s="302"/>
      <c r="ABH185" s="302"/>
      <c r="ABI185" s="302"/>
      <c r="ABJ185" s="302"/>
      <c r="ABK185" s="302"/>
      <c r="ABL185" s="302"/>
      <c r="ABM185" s="302"/>
      <c r="ABN185" s="302"/>
      <c r="ABO185" s="302"/>
      <c r="ABP185" s="302"/>
      <c r="ABQ185" s="302"/>
      <c r="ABR185" s="302"/>
      <c r="ABS185" s="302"/>
      <c r="ABT185" s="302"/>
      <c r="ABU185" s="302"/>
      <c r="ABV185" s="302"/>
      <c r="ABW185" s="302"/>
      <c r="ABX185" s="302"/>
      <c r="ABY185" s="302"/>
      <c r="ABZ185" s="302"/>
      <c r="ACA185" s="302"/>
      <c r="ACB185" s="302"/>
      <c r="ACC185" s="302"/>
      <c r="ACD185" s="302"/>
      <c r="ACE185" s="302"/>
      <c r="ACF185" s="302"/>
      <c r="ACG185" s="302"/>
      <c r="ACH185" s="302"/>
      <c r="ACI185" s="302"/>
      <c r="ACJ185" s="302"/>
      <c r="ACK185" s="302"/>
      <c r="ACL185" s="302"/>
      <c r="ACM185" s="302"/>
      <c r="ACN185" s="302"/>
      <c r="ACO185" s="302"/>
      <c r="ACP185" s="302"/>
      <c r="ACQ185" s="302"/>
      <c r="ACR185" s="302"/>
      <c r="ACS185" s="302"/>
      <c r="ACT185" s="302"/>
      <c r="ACU185" s="302"/>
      <c r="ACV185" s="302"/>
      <c r="ACW185" s="302"/>
      <c r="ACX185" s="302"/>
      <c r="ACY185" s="302"/>
      <c r="ACZ185" s="302"/>
      <c r="ADA185" s="302"/>
      <c r="ADB185" s="302"/>
      <c r="ADC185" s="302"/>
      <c r="ADD185" s="302"/>
      <c r="ADE185" s="302"/>
      <c r="ADF185" s="302"/>
      <c r="ADG185" s="302"/>
      <c r="ADH185" s="302"/>
      <c r="ADI185" s="302"/>
      <c r="ADJ185" s="302"/>
      <c r="ADK185" s="302"/>
      <c r="ADL185" s="302"/>
      <c r="ADM185" s="302"/>
      <c r="ADN185" s="302"/>
      <c r="ADO185" s="302"/>
      <c r="ADP185" s="302"/>
      <c r="ADQ185" s="302"/>
      <c r="ADR185" s="302"/>
      <c r="ADS185" s="302"/>
      <c r="ADT185" s="302"/>
      <c r="ADU185" s="302"/>
      <c r="ADV185" s="302"/>
      <c r="ADW185" s="302"/>
      <c r="ADX185" s="302"/>
      <c r="ADY185" s="302"/>
      <c r="ADZ185" s="302"/>
      <c r="AEA185" s="302"/>
      <c r="AEB185" s="302"/>
      <c r="AEC185" s="302"/>
      <c r="AED185" s="302"/>
      <c r="AEE185" s="302"/>
      <c r="AEF185" s="302"/>
      <c r="AEG185" s="302"/>
      <c r="AEH185" s="302"/>
      <c r="AEI185" s="302"/>
      <c r="AEJ185" s="302"/>
      <c r="AEK185" s="302"/>
      <c r="AEL185" s="302"/>
      <c r="AEM185" s="302"/>
      <c r="AEN185" s="302"/>
      <c r="AEO185" s="302"/>
      <c r="AEP185" s="302"/>
      <c r="AEQ185" s="302"/>
      <c r="AER185" s="302"/>
      <c r="AES185" s="302"/>
      <c r="AET185" s="302"/>
      <c r="AEU185" s="302"/>
      <c r="AEV185" s="302"/>
      <c r="AEW185" s="302"/>
      <c r="AEX185" s="302"/>
      <c r="AEY185" s="302"/>
      <c r="AEZ185" s="302"/>
      <c r="AFA185" s="302"/>
      <c r="AFB185" s="302"/>
      <c r="AFC185" s="302"/>
      <c r="AFD185" s="302"/>
      <c r="AFE185" s="302"/>
      <c r="AFF185" s="302"/>
      <c r="AFG185" s="302"/>
      <c r="AFH185" s="302"/>
      <c r="AFI185" s="302"/>
      <c r="AFJ185" s="302"/>
      <c r="AFK185" s="302"/>
      <c r="AFL185" s="302"/>
      <c r="AFM185" s="302"/>
      <c r="AFN185" s="302"/>
      <c r="AFO185" s="302"/>
      <c r="AFP185" s="302"/>
      <c r="AFQ185" s="302"/>
      <c r="AFR185" s="302"/>
      <c r="AFS185" s="302"/>
      <c r="AFT185" s="302"/>
      <c r="AFU185" s="302"/>
      <c r="AFV185" s="302"/>
      <c r="AFW185" s="302"/>
      <c r="AFX185" s="302"/>
      <c r="AFY185" s="302"/>
      <c r="AFZ185" s="302"/>
      <c r="AGA185" s="302"/>
      <c r="AGB185" s="302"/>
      <c r="AGC185" s="302"/>
      <c r="AGD185" s="302"/>
      <c r="AGE185" s="302"/>
      <c r="AGF185" s="302"/>
      <c r="AGG185" s="302"/>
      <c r="AGH185" s="302"/>
      <c r="AGI185" s="302"/>
      <c r="AGJ185" s="302"/>
      <c r="AGK185" s="302"/>
      <c r="AGL185" s="302"/>
      <c r="AGM185" s="302"/>
      <c r="AGN185" s="302"/>
      <c r="AGO185" s="302"/>
      <c r="AGP185" s="302"/>
      <c r="AGQ185" s="302"/>
      <c r="AGR185" s="302"/>
      <c r="AGS185" s="302"/>
      <c r="AGT185" s="302"/>
      <c r="AGU185" s="302"/>
      <c r="AGV185" s="302"/>
      <c r="AGW185" s="302"/>
      <c r="AGX185" s="302"/>
      <c r="AGY185" s="302"/>
      <c r="AGZ185" s="302"/>
      <c r="AHA185" s="302"/>
      <c r="AHB185" s="302"/>
      <c r="AHC185" s="302"/>
      <c r="AHD185" s="302"/>
      <c r="AHE185" s="302"/>
      <c r="AHF185" s="302"/>
      <c r="AHG185" s="302"/>
      <c r="AHH185" s="302"/>
      <c r="AHI185" s="302"/>
      <c r="AHJ185" s="302"/>
      <c r="AHK185" s="302"/>
      <c r="AHL185" s="302"/>
      <c r="AHM185" s="302"/>
      <c r="AHN185" s="302"/>
      <c r="AHO185" s="302"/>
      <c r="AHP185" s="302"/>
      <c r="AHQ185" s="302"/>
      <c r="AHR185" s="302"/>
      <c r="AHS185" s="302"/>
      <c r="AHT185" s="302"/>
      <c r="AHU185" s="302"/>
      <c r="AHV185" s="302"/>
      <c r="AHW185" s="302"/>
      <c r="AHX185" s="302"/>
      <c r="AHY185" s="302"/>
      <c r="AHZ185" s="302"/>
      <c r="AIA185" s="302"/>
      <c r="AIB185" s="302"/>
      <c r="AIC185" s="302"/>
      <c r="AID185" s="302"/>
      <c r="AIE185" s="302"/>
      <c r="AIF185" s="302"/>
      <c r="AIG185" s="302"/>
      <c r="AIH185" s="302"/>
      <c r="AII185" s="302"/>
      <c r="AIJ185" s="302"/>
      <c r="AIK185" s="302"/>
      <c r="AIL185" s="302"/>
      <c r="AIM185" s="302"/>
      <c r="AIN185" s="302"/>
      <c r="AIO185" s="302"/>
      <c r="AIP185" s="302"/>
      <c r="AIQ185" s="302"/>
      <c r="AIR185" s="302"/>
      <c r="AIS185" s="302"/>
      <c r="AIT185" s="302"/>
      <c r="AIU185" s="302"/>
      <c r="AIV185" s="302"/>
      <c r="AIW185" s="302"/>
      <c r="AIX185" s="302"/>
      <c r="AIY185" s="302"/>
      <c r="AIZ185" s="302"/>
      <c r="AJA185" s="302"/>
      <c r="AJB185" s="302"/>
      <c r="AJC185" s="302"/>
      <c r="AJD185" s="302"/>
      <c r="AJE185" s="302"/>
      <c r="AJF185" s="302"/>
      <c r="AJG185" s="302"/>
      <c r="AJH185" s="302"/>
      <c r="AJI185" s="302"/>
      <c r="AJJ185" s="302"/>
      <c r="AJK185" s="302"/>
      <c r="AJL185" s="302"/>
      <c r="AJM185" s="302"/>
      <c r="AJN185" s="302"/>
      <c r="AJO185" s="302"/>
      <c r="AJP185" s="302"/>
      <c r="AJQ185" s="302"/>
      <c r="AJR185" s="302"/>
      <c r="AJS185" s="302"/>
      <c r="AJT185" s="302"/>
      <c r="AJU185" s="302"/>
      <c r="AJV185" s="302"/>
      <c r="AJW185" s="302"/>
      <c r="AJX185" s="302"/>
      <c r="AJY185" s="302"/>
      <c r="AJZ185" s="302"/>
      <c r="AKA185" s="302"/>
      <c r="AKB185" s="302"/>
      <c r="AKC185" s="302"/>
      <c r="AKD185" s="302"/>
      <c r="AKE185" s="302"/>
      <c r="AKF185" s="302"/>
      <c r="AKG185" s="302"/>
      <c r="AKH185" s="302"/>
      <c r="AKI185" s="302"/>
      <c r="AKJ185" s="302"/>
      <c r="AKK185" s="302"/>
      <c r="AKL185" s="302"/>
      <c r="AKM185" s="302"/>
      <c r="AKN185" s="302"/>
      <c r="AKO185" s="302"/>
      <c r="AKP185" s="302"/>
      <c r="AKQ185" s="302"/>
      <c r="AKR185" s="302"/>
      <c r="AKS185" s="302"/>
      <c r="AKT185" s="302"/>
      <c r="AKU185" s="302"/>
      <c r="AKV185" s="302"/>
      <c r="AKW185" s="302"/>
      <c r="AKX185" s="302"/>
      <c r="AKY185" s="302"/>
      <c r="AKZ185" s="302"/>
      <c r="ALA185" s="302"/>
      <c r="ALB185" s="302"/>
      <c r="ALC185" s="302"/>
      <c r="ALD185" s="302"/>
      <c r="ALE185" s="302"/>
      <c r="ALF185" s="302"/>
      <c r="ALG185" s="302"/>
      <c r="ALH185" s="302"/>
      <c r="ALI185" s="302"/>
      <c r="ALJ185" s="302"/>
      <c r="ALK185" s="302"/>
      <c r="ALL185" s="302"/>
      <c r="ALM185" s="302"/>
      <c r="ALN185" s="302"/>
      <c r="ALO185" s="302"/>
      <c r="ALP185" s="302"/>
      <c r="ALQ185" s="302"/>
      <c r="ALR185" s="302"/>
      <c r="ALS185" s="302"/>
      <c r="ALT185" s="302"/>
      <c r="ALU185" s="302"/>
      <c r="ALV185" s="302"/>
      <c r="ALW185" s="302"/>
      <c r="ALX185" s="302"/>
      <c r="ALY185" s="302"/>
      <c r="ALZ185" s="302"/>
      <c r="AMA185" s="302"/>
      <c r="AMB185" s="302"/>
      <c r="AMC185" s="302"/>
      <c r="AMD185" s="302"/>
      <c r="AME185" s="302"/>
      <c r="AMF185" s="302"/>
      <c r="AMG185" s="302"/>
      <c r="AMH185" s="302"/>
      <c r="AMI185" s="302"/>
    </row>
    <row r="186" spans="1:1023" hidden="1">
      <c r="A186" s="302"/>
      <c r="B186" s="65">
        <v>13709</v>
      </c>
      <c r="C186" s="22">
        <v>0.08</v>
      </c>
      <c r="D186" s="16" t="s">
        <v>413</v>
      </c>
      <c r="E186" s="12">
        <v>3100000</v>
      </c>
      <c r="F186" s="365">
        <v>0.01</v>
      </c>
      <c r="G186" s="369">
        <f>E186*F186</f>
        <v>31000</v>
      </c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2"/>
      <c r="AE186" s="302"/>
      <c r="AF186" s="302"/>
      <c r="AG186" s="302"/>
      <c r="AH186" s="302"/>
      <c r="AI186" s="302"/>
      <c r="AJ186" s="302"/>
      <c r="AK186" s="302"/>
      <c r="AL186" s="302"/>
      <c r="AM186" s="302"/>
      <c r="AN186" s="302"/>
      <c r="AO186" s="302"/>
      <c r="AP186" s="302"/>
      <c r="AQ186" s="302"/>
      <c r="AR186" s="302"/>
      <c r="AS186" s="302"/>
      <c r="AT186" s="302"/>
      <c r="AU186" s="302"/>
      <c r="AV186" s="302"/>
      <c r="AW186" s="302"/>
      <c r="AX186" s="302"/>
      <c r="AY186" s="302"/>
      <c r="AZ186" s="302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K186" s="302"/>
      <c r="BL186" s="302"/>
      <c r="BM186" s="302"/>
      <c r="BN186" s="302"/>
      <c r="BO186" s="302"/>
      <c r="BP186" s="302"/>
      <c r="BQ186" s="302"/>
      <c r="BR186" s="302"/>
      <c r="BS186" s="302"/>
      <c r="BT186" s="302"/>
      <c r="BU186" s="302"/>
      <c r="BV186" s="302"/>
      <c r="BW186" s="302"/>
      <c r="BX186" s="302"/>
      <c r="BY186" s="302"/>
      <c r="BZ186" s="302"/>
      <c r="CA186" s="302"/>
      <c r="CB186" s="302"/>
      <c r="CC186" s="302"/>
      <c r="CD186" s="302"/>
      <c r="CE186" s="302"/>
      <c r="CF186" s="302"/>
      <c r="CG186" s="302"/>
      <c r="CH186" s="302"/>
      <c r="CI186" s="302"/>
      <c r="CJ186" s="302"/>
      <c r="CK186" s="302"/>
      <c r="CL186" s="302"/>
      <c r="CM186" s="302"/>
      <c r="CN186" s="302"/>
      <c r="CO186" s="302"/>
      <c r="CP186" s="302"/>
      <c r="CQ186" s="302"/>
      <c r="CR186" s="302"/>
      <c r="CS186" s="302"/>
      <c r="CT186" s="302"/>
      <c r="CU186" s="302"/>
      <c r="CV186" s="302"/>
      <c r="CW186" s="302"/>
      <c r="CX186" s="302"/>
      <c r="CY186" s="302"/>
      <c r="CZ186" s="302"/>
      <c r="DA186" s="302"/>
      <c r="DB186" s="302"/>
      <c r="DC186" s="302"/>
      <c r="DD186" s="302"/>
      <c r="DE186" s="302"/>
      <c r="DF186" s="302"/>
      <c r="DG186" s="302"/>
      <c r="DH186" s="302"/>
      <c r="DI186" s="302"/>
      <c r="DJ186" s="302"/>
      <c r="DK186" s="302"/>
      <c r="DL186" s="302"/>
      <c r="DM186" s="302"/>
      <c r="DN186" s="302"/>
      <c r="DO186" s="302"/>
      <c r="DP186" s="302"/>
      <c r="DQ186" s="302"/>
      <c r="DR186" s="302"/>
      <c r="DS186" s="302"/>
      <c r="DT186" s="302"/>
      <c r="DU186" s="302"/>
      <c r="DV186" s="302"/>
      <c r="DW186" s="302"/>
      <c r="DX186" s="302"/>
      <c r="DY186" s="302"/>
      <c r="DZ186" s="302"/>
      <c r="EA186" s="302"/>
      <c r="EB186" s="302"/>
      <c r="EC186" s="302"/>
      <c r="ED186" s="302"/>
      <c r="EE186" s="302"/>
      <c r="EF186" s="302"/>
      <c r="EG186" s="302"/>
      <c r="EH186" s="302"/>
      <c r="EI186" s="302"/>
      <c r="EJ186" s="302"/>
      <c r="EK186" s="302"/>
      <c r="EL186" s="302"/>
      <c r="EM186" s="302"/>
      <c r="EN186" s="302"/>
      <c r="EO186" s="302"/>
      <c r="EP186" s="302"/>
      <c r="EQ186" s="302"/>
      <c r="ER186" s="302"/>
      <c r="ES186" s="302"/>
      <c r="ET186" s="302"/>
      <c r="EU186" s="302"/>
      <c r="EV186" s="302"/>
      <c r="EW186" s="302"/>
      <c r="EX186" s="302"/>
      <c r="EY186" s="302"/>
      <c r="EZ186" s="302"/>
      <c r="FA186" s="302"/>
      <c r="FB186" s="302"/>
      <c r="FC186" s="302"/>
      <c r="FD186" s="302"/>
      <c r="FE186" s="302"/>
      <c r="FF186" s="302"/>
      <c r="FG186" s="302"/>
      <c r="FH186" s="302"/>
      <c r="FI186" s="302"/>
      <c r="FJ186" s="302"/>
      <c r="FK186" s="302"/>
      <c r="FL186" s="302"/>
      <c r="FM186" s="302"/>
      <c r="FN186" s="302"/>
      <c r="FO186" s="302"/>
      <c r="FP186" s="302"/>
      <c r="FQ186" s="302"/>
      <c r="FR186" s="302"/>
      <c r="FS186" s="302"/>
      <c r="FT186" s="302"/>
      <c r="FU186" s="302"/>
      <c r="FV186" s="302"/>
      <c r="FW186" s="302"/>
      <c r="FX186" s="302"/>
      <c r="FY186" s="302"/>
      <c r="FZ186" s="302"/>
      <c r="GA186" s="302"/>
      <c r="GB186" s="302"/>
      <c r="GC186" s="302"/>
      <c r="GD186" s="302"/>
      <c r="GE186" s="302"/>
      <c r="GF186" s="302"/>
      <c r="GG186" s="302"/>
      <c r="GH186" s="302"/>
      <c r="GI186" s="302"/>
      <c r="GJ186" s="302"/>
      <c r="GK186" s="302"/>
      <c r="GL186" s="302"/>
      <c r="GM186" s="302"/>
      <c r="GN186" s="302"/>
      <c r="GO186" s="302"/>
      <c r="GP186" s="302"/>
      <c r="GQ186" s="302"/>
      <c r="GR186" s="302"/>
      <c r="GS186" s="302"/>
      <c r="GT186" s="302"/>
      <c r="GU186" s="302"/>
      <c r="GV186" s="302"/>
      <c r="GW186" s="302"/>
      <c r="GX186" s="302"/>
      <c r="GY186" s="302"/>
      <c r="GZ186" s="302"/>
      <c r="HA186" s="302"/>
      <c r="HB186" s="302"/>
      <c r="HC186" s="302"/>
      <c r="HD186" s="302"/>
      <c r="HE186" s="302"/>
      <c r="HF186" s="302"/>
      <c r="HG186" s="302"/>
      <c r="HH186" s="302"/>
      <c r="HI186" s="302"/>
      <c r="HJ186" s="302"/>
      <c r="HK186" s="302"/>
      <c r="HL186" s="302"/>
      <c r="HM186" s="302"/>
      <c r="HN186" s="302"/>
      <c r="HO186" s="302"/>
      <c r="HP186" s="302"/>
      <c r="HQ186" s="302"/>
      <c r="HR186" s="302"/>
      <c r="HS186" s="302"/>
      <c r="HT186" s="302"/>
      <c r="HU186" s="302"/>
      <c r="HV186" s="302"/>
      <c r="HW186" s="302"/>
      <c r="HX186" s="302"/>
      <c r="HY186" s="302"/>
      <c r="HZ186" s="302"/>
      <c r="IA186" s="302"/>
      <c r="IB186" s="302"/>
      <c r="IC186" s="302"/>
      <c r="ID186" s="302"/>
      <c r="IE186" s="302"/>
      <c r="IF186" s="302"/>
      <c r="IG186" s="302"/>
      <c r="IH186" s="302"/>
      <c r="II186" s="302"/>
      <c r="IJ186" s="302"/>
      <c r="IK186" s="302"/>
      <c r="IL186" s="302"/>
      <c r="IM186" s="302"/>
      <c r="IN186" s="302"/>
      <c r="IO186" s="302"/>
      <c r="IP186" s="302"/>
      <c r="IQ186" s="302"/>
      <c r="IR186" s="302"/>
      <c r="IS186" s="302"/>
      <c r="IT186" s="302"/>
      <c r="IU186" s="302"/>
      <c r="IV186" s="302"/>
      <c r="IW186" s="302"/>
      <c r="IX186" s="302"/>
      <c r="IY186" s="302"/>
      <c r="IZ186" s="302"/>
      <c r="JA186" s="302"/>
      <c r="JB186" s="302"/>
      <c r="JC186" s="302"/>
      <c r="JD186" s="302"/>
      <c r="JE186" s="302"/>
      <c r="JF186" s="302"/>
      <c r="JG186" s="302"/>
      <c r="JH186" s="302"/>
      <c r="JI186" s="302"/>
      <c r="JJ186" s="302"/>
      <c r="JK186" s="302"/>
      <c r="JL186" s="302"/>
      <c r="JM186" s="302"/>
      <c r="JN186" s="302"/>
      <c r="JO186" s="302"/>
      <c r="JP186" s="302"/>
      <c r="JQ186" s="302"/>
      <c r="JR186" s="302"/>
      <c r="JS186" s="302"/>
      <c r="JT186" s="302"/>
      <c r="JU186" s="302"/>
      <c r="JV186" s="302"/>
      <c r="JW186" s="302"/>
      <c r="JX186" s="302"/>
      <c r="JY186" s="302"/>
      <c r="JZ186" s="302"/>
      <c r="KA186" s="302"/>
      <c r="KB186" s="302"/>
      <c r="KC186" s="302"/>
      <c r="KD186" s="302"/>
      <c r="KE186" s="302"/>
      <c r="KF186" s="302"/>
      <c r="KG186" s="302"/>
      <c r="KH186" s="302"/>
      <c r="KI186" s="302"/>
      <c r="KJ186" s="302"/>
      <c r="KK186" s="302"/>
      <c r="KL186" s="302"/>
      <c r="KM186" s="302"/>
      <c r="KN186" s="302"/>
      <c r="KO186" s="302"/>
      <c r="KP186" s="302"/>
      <c r="KQ186" s="302"/>
      <c r="KR186" s="302"/>
      <c r="KS186" s="302"/>
      <c r="KT186" s="302"/>
      <c r="KU186" s="302"/>
      <c r="KV186" s="302"/>
      <c r="KW186" s="302"/>
      <c r="KX186" s="302"/>
      <c r="KY186" s="302"/>
      <c r="KZ186" s="302"/>
      <c r="LA186" s="302"/>
      <c r="LB186" s="302"/>
      <c r="LC186" s="302"/>
      <c r="LD186" s="302"/>
      <c r="LE186" s="302"/>
      <c r="LF186" s="302"/>
      <c r="LG186" s="302"/>
      <c r="LH186" s="302"/>
      <c r="LI186" s="302"/>
      <c r="LJ186" s="302"/>
      <c r="LK186" s="302"/>
      <c r="LL186" s="302"/>
      <c r="LM186" s="302"/>
      <c r="LN186" s="302"/>
      <c r="LO186" s="302"/>
      <c r="LP186" s="302"/>
      <c r="LQ186" s="302"/>
      <c r="LR186" s="302"/>
      <c r="LS186" s="302"/>
      <c r="LT186" s="302"/>
      <c r="LU186" s="302"/>
      <c r="LV186" s="302"/>
      <c r="LW186" s="302"/>
      <c r="LX186" s="302"/>
      <c r="LY186" s="302"/>
      <c r="LZ186" s="302"/>
      <c r="MA186" s="302"/>
      <c r="MB186" s="302"/>
      <c r="MC186" s="302"/>
      <c r="MD186" s="302"/>
      <c r="ME186" s="302"/>
      <c r="MF186" s="302"/>
      <c r="MG186" s="302"/>
      <c r="MH186" s="302"/>
      <c r="MI186" s="302"/>
      <c r="MJ186" s="302"/>
      <c r="MK186" s="302"/>
      <c r="ML186" s="302"/>
      <c r="MM186" s="302"/>
      <c r="MN186" s="302"/>
      <c r="MO186" s="302"/>
      <c r="MP186" s="302"/>
      <c r="MQ186" s="302"/>
      <c r="MR186" s="302"/>
      <c r="MS186" s="302"/>
      <c r="MT186" s="302"/>
      <c r="MU186" s="302"/>
      <c r="MV186" s="302"/>
      <c r="MW186" s="302"/>
      <c r="MX186" s="302"/>
      <c r="MY186" s="302"/>
      <c r="MZ186" s="302"/>
      <c r="NA186" s="302"/>
      <c r="NB186" s="302"/>
      <c r="NC186" s="302"/>
      <c r="ND186" s="302"/>
      <c r="NE186" s="302"/>
      <c r="NF186" s="302"/>
      <c r="NG186" s="302"/>
      <c r="NH186" s="302"/>
      <c r="NI186" s="302"/>
      <c r="NJ186" s="302"/>
      <c r="NK186" s="302"/>
      <c r="NL186" s="302"/>
      <c r="NM186" s="302"/>
      <c r="NN186" s="302"/>
      <c r="NO186" s="302"/>
      <c r="NP186" s="302"/>
      <c r="NQ186" s="302"/>
      <c r="NR186" s="302"/>
      <c r="NS186" s="302"/>
      <c r="NT186" s="302"/>
      <c r="NU186" s="302"/>
      <c r="NV186" s="302"/>
      <c r="NW186" s="302"/>
      <c r="NX186" s="302"/>
      <c r="NY186" s="302"/>
      <c r="NZ186" s="302"/>
      <c r="OA186" s="302"/>
      <c r="OB186" s="302"/>
      <c r="OC186" s="302"/>
      <c r="OD186" s="302"/>
      <c r="OE186" s="302"/>
      <c r="OF186" s="302"/>
      <c r="OG186" s="302"/>
      <c r="OH186" s="302"/>
      <c r="OI186" s="302"/>
      <c r="OJ186" s="302"/>
      <c r="OK186" s="302"/>
      <c r="OL186" s="302"/>
      <c r="OM186" s="302"/>
      <c r="ON186" s="302"/>
      <c r="OO186" s="302"/>
      <c r="OP186" s="302"/>
      <c r="OQ186" s="302"/>
      <c r="OR186" s="302"/>
      <c r="OS186" s="302"/>
      <c r="OT186" s="302"/>
      <c r="OU186" s="302"/>
      <c r="OV186" s="302"/>
      <c r="OW186" s="302"/>
      <c r="OX186" s="302"/>
      <c r="OY186" s="302"/>
      <c r="OZ186" s="302"/>
      <c r="PA186" s="302"/>
      <c r="PB186" s="302"/>
      <c r="PC186" s="302"/>
      <c r="PD186" s="302"/>
      <c r="PE186" s="302"/>
      <c r="PF186" s="302"/>
      <c r="PG186" s="302"/>
      <c r="PH186" s="302"/>
      <c r="PI186" s="302"/>
      <c r="PJ186" s="302"/>
      <c r="PK186" s="302"/>
      <c r="PL186" s="302"/>
      <c r="PM186" s="302"/>
      <c r="PN186" s="302"/>
      <c r="PO186" s="302"/>
      <c r="PP186" s="302"/>
      <c r="PQ186" s="302"/>
      <c r="PR186" s="302"/>
      <c r="PS186" s="302"/>
      <c r="PT186" s="302"/>
      <c r="PU186" s="302"/>
      <c r="PV186" s="302"/>
      <c r="PW186" s="302"/>
      <c r="PX186" s="302"/>
      <c r="PY186" s="302"/>
      <c r="PZ186" s="302"/>
      <c r="QA186" s="302"/>
      <c r="QB186" s="302"/>
      <c r="QC186" s="302"/>
      <c r="QD186" s="302"/>
      <c r="QE186" s="302"/>
      <c r="QF186" s="302"/>
      <c r="QG186" s="302"/>
      <c r="QH186" s="302"/>
      <c r="QI186" s="302"/>
      <c r="QJ186" s="302"/>
      <c r="QK186" s="302"/>
      <c r="QL186" s="302"/>
      <c r="QM186" s="302"/>
      <c r="QN186" s="302"/>
      <c r="QO186" s="302"/>
      <c r="QP186" s="302"/>
      <c r="QQ186" s="302"/>
      <c r="QR186" s="302"/>
      <c r="QS186" s="302"/>
      <c r="QT186" s="302"/>
      <c r="QU186" s="302"/>
      <c r="QV186" s="302"/>
      <c r="QW186" s="302"/>
      <c r="QX186" s="302"/>
      <c r="QY186" s="302"/>
      <c r="QZ186" s="302"/>
      <c r="RA186" s="302"/>
      <c r="RB186" s="302"/>
      <c r="RC186" s="302"/>
      <c r="RD186" s="302"/>
      <c r="RE186" s="302"/>
      <c r="RF186" s="302"/>
      <c r="RG186" s="302"/>
      <c r="RH186" s="302"/>
      <c r="RI186" s="302"/>
      <c r="RJ186" s="302"/>
      <c r="RK186" s="302"/>
      <c r="RL186" s="302"/>
      <c r="RM186" s="302"/>
      <c r="RN186" s="302"/>
      <c r="RO186" s="302"/>
      <c r="RP186" s="302"/>
      <c r="RQ186" s="302"/>
      <c r="RR186" s="302"/>
      <c r="RS186" s="302"/>
      <c r="RT186" s="302"/>
      <c r="RU186" s="302"/>
      <c r="RV186" s="302"/>
      <c r="RW186" s="302"/>
      <c r="RX186" s="302"/>
      <c r="RY186" s="302"/>
      <c r="RZ186" s="302"/>
      <c r="SA186" s="302"/>
      <c r="SB186" s="302"/>
      <c r="SC186" s="302"/>
      <c r="SD186" s="302"/>
      <c r="SE186" s="302"/>
      <c r="SF186" s="302"/>
      <c r="SG186" s="302"/>
      <c r="SH186" s="302"/>
      <c r="SI186" s="302"/>
      <c r="SJ186" s="302"/>
      <c r="SK186" s="302"/>
      <c r="SL186" s="302"/>
      <c r="SM186" s="302"/>
      <c r="SN186" s="302"/>
      <c r="SO186" s="302"/>
      <c r="SP186" s="302"/>
      <c r="SQ186" s="302"/>
      <c r="SR186" s="302"/>
      <c r="SS186" s="302"/>
      <c r="ST186" s="302"/>
      <c r="SU186" s="302"/>
      <c r="SV186" s="302"/>
      <c r="SW186" s="302"/>
      <c r="SX186" s="302"/>
      <c r="SY186" s="302"/>
      <c r="SZ186" s="302"/>
      <c r="TA186" s="302"/>
      <c r="TB186" s="302"/>
      <c r="TC186" s="302"/>
      <c r="TD186" s="302"/>
      <c r="TE186" s="302"/>
      <c r="TF186" s="302"/>
      <c r="TG186" s="302"/>
      <c r="TH186" s="302"/>
      <c r="TI186" s="302"/>
      <c r="TJ186" s="302"/>
      <c r="TK186" s="302"/>
      <c r="TL186" s="302"/>
      <c r="TM186" s="302"/>
      <c r="TN186" s="302"/>
      <c r="TO186" s="302"/>
      <c r="TP186" s="302"/>
      <c r="TQ186" s="302"/>
      <c r="TR186" s="302"/>
      <c r="TS186" s="302"/>
      <c r="TT186" s="302"/>
      <c r="TU186" s="302"/>
      <c r="TV186" s="302"/>
      <c r="TW186" s="302"/>
      <c r="TX186" s="302"/>
      <c r="TY186" s="302"/>
      <c r="TZ186" s="302"/>
      <c r="UA186" s="302"/>
      <c r="UB186" s="302"/>
      <c r="UC186" s="302"/>
      <c r="UD186" s="302"/>
      <c r="UE186" s="302"/>
      <c r="UF186" s="302"/>
      <c r="UG186" s="302"/>
      <c r="UH186" s="302"/>
      <c r="UI186" s="302"/>
      <c r="UJ186" s="302"/>
      <c r="UK186" s="302"/>
      <c r="UL186" s="302"/>
      <c r="UM186" s="302"/>
      <c r="UN186" s="302"/>
      <c r="UO186" s="302"/>
      <c r="UP186" s="302"/>
      <c r="UQ186" s="302"/>
      <c r="UR186" s="302"/>
      <c r="US186" s="302"/>
      <c r="UT186" s="302"/>
      <c r="UU186" s="302"/>
      <c r="UV186" s="302"/>
      <c r="UW186" s="302"/>
      <c r="UX186" s="302"/>
      <c r="UY186" s="302"/>
      <c r="UZ186" s="302"/>
      <c r="VA186" s="302"/>
      <c r="VB186" s="302"/>
      <c r="VC186" s="302"/>
      <c r="VD186" s="302"/>
      <c r="VE186" s="302"/>
      <c r="VF186" s="302"/>
      <c r="VG186" s="302"/>
      <c r="VH186" s="302"/>
      <c r="VI186" s="302"/>
      <c r="VJ186" s="302"/>
      <c r="VK186" s="302"/>
      <c r="VL186" s="302"/>
      <c r="VM186" s="302"/>
      <c r="VN186" s="302"/>
      <c r="VO186" s="302"/>
      <c r="VP186" s="302"/>
      <c r="VQ186" s="302"/>
      <c r="VR186" s="302"/>
      <c r="VS186" s="302"/>
      <c r="VT186" s="302"/>
      <c r="VU186" s="302"/>
      <c r="VV186" s="302"/>
      <c r="VW186" s="302"/>
      <c r="VX186" s="302"/>
      <c r="VY186" s="302"/>
      <c r="VZ186" s="302"/>
      <c r="WA186" s="302"/>
      <c r="WB186" s="302"/>
      <c r="WC186" s="302"/>
      <c r="WD186" s="302"/>
      <c r="WE186" s="302"/>
      <c r="WF186" s="302"/>
      <c r="WG186" s="302"/>
      <c r="WH186" s="302"/>
      <c r="WI186" s="302"/>
      <c r="WJ186" s="302"/>
      <c r="WK186" s="302"/>
      <c r="WL186" s="302"/>
      <c r="WM186" s="302"/>
      <c r="WN186" s="302"/>
      <c r="WO186" s="302"/>
      <c r="WP186" s="302"/>
      <c r="WQ186" s="302"/>
      <c r="WR186" s="302"/>
      <c r="WS186" s="302"/>
      <c r="WT186" s="302"/>
      <c r="WU186" s="302"/>
      <c r="WV186" s="302"/>
      <c r="WW186" s="302"/>
      <c r="WX186" s="302"/>
      <c r="WY186" s="302"/>
      <c r="WZ186" s="302"/>
      <c r="XA186" s="302"/>
      <c r="XB186" s="302"/>
      <c r="XC186" s="302"/>
      <c r="XD186" s="302"/>
      <c r="XE186" s="302"/>
      <c r="XF186" s="302"/>
      <c r="XG186" s="302"/>
      <c r="XH186" s="302"/>
      <c r="XI186" s="302"/>
      <c r="XJ186" s="302"/>
      <c r="XK186" s="302"/>
      <c r="XL186" s="302"/>
      <c r="XM186" s="302"/>
      <c r="XN186" s="302"/>
      <c r="XO186" s="302"/>
      <c r="XP186" s="302"/>
      <c r="XQ186" s="302"/>
      <c r="XR186" s="302"/>
      <c r="XS186" s="302"/>
      <c r="XT186" s="302"/>
      <c r="XU186" s="302"/>
      <c r="XV186" s="302"/>
      <c r="XW186" s="302"/>
      <c r="XX186" s="302"/>
      <c r="XY186" s="302"/>
      <c r="XZ186" s="302"/>
      <c r="YA186" s="302"/>
      <c r="YB186" s="302"/>
      <c r="YC186" s="302"/>
      <c r="YD186" s="302"/>
      <c r="YE186" s="302"/>
      <c r="YF186" s="302"/>
      <c r="YG186" s="302"/>
      <c r="YH186" s="302"/>
      <c r="YI186" s="302"/>
      <c r="YJ186" s="302"/>
      <c r="YK186" s="302"/>
      <c r="YL186" s="302"/>
      <c r="YM186" s="302"/>
      <c r="YN186" s="302"/>
      <c r="YO186" s="302"/>
      <c r="YP186" s="302"/>
      <c r="YQ186" s="302"/>
      <c r="YR186" s="302"/>
      <c r="YS186" s="302"/>
      <c r="YT186" s="302"/>
      <c r="YU186" s="302"/>
      <c r="YV186" s="302"/>
      <c r="YW186" s="302"/>
      <c r="YX186" s="302"/>
      <c r="YY186" s="302"/>
      <c r="YZ186" s="302"/>
      <c r="ZA186" s="302"/>
      <c r="ZB186" s="302"/>
      <c r="ZC186" s="302"/>
      <c r="ZD186" s="302"/>
      <c r="ZE186" s="302"/>
      <c r="ZF186" s="302"/>
      <c r="ZG186" s="302"/>
      <c r="ZH186" s="302"/>
      <c r="ZI186" s="302"/>
      <c r="ZJ186" s="302"/>
      <c r="ZK186" s="302"/>
      <c r="ZL186" s="302"/>
      <c r="ZM186" s="302"/>
      <c r="ZN186" s="302"/>
      <c r="ZO186" s="302"/>
      <c r="ZP186" s="302"/>
      <c r="ZQ186" s="302"/>
      <c r="ZR186" s="302"/>
      <c r="ZS186" s="302"/>
      <c r="ZT186" s="302"/>
      <c r="ZU186" s="302"/>
      <c r="ZV186" s="302"/>
      <c r="ZW186" s="302"/>
      <c r="ZX186" s="302"/>
      <c r="ZY186" s="302"/>
      <c r="ZZ186" s="302"/>
      <c r="AAA186" s="302"/>
      <c r="AAB186" s="302"/>
      <c r="AAC186" s="302"/>
      <c r="AAD186" s="302"/>
      <c r="AAE186" s="302"/>
      <c r="AAF186" s="302"/>
      <c r="AAG186" s="302"/>
      <c r="AAH186" s="302"/>
      <c r="AAI186" s="302"/>
      <c r="AAJ186" s="302"/>
      <c r="AAK186" s="302"/>
      <c r="AAL186" s="302"/>
      <c r="AAM186" s="302"/>
      <c r="AAN186" s="302"/>
      <c r="AAO186" s="302"/>
      <c r="AAP186" s="302"/>
      <c r="AAQ186" s="302"/>
      <c r="AAR186" s="302"/>
      <c r="AAS186" s="302"/>
      <c r="AAT186" s="302"/>
      <c r="AAU186" s="302"/>
      <c r="AAV186" s="302"/>
      <c r="AAW186" s="302"/>
      <c r="AAX186" s="302"/>
      <c r="AAY186" s="302"/>
      <c r="AAZ186" s="302"/>
      <c r="ABA186" s="302"/>
      <c r="ABB186" s="302"/>
      <c r="ABC186" s="302"/>
      <c r="ABD186" s="302"/>
      <c r="ABE186" s="302"/>
      <c r="ABF186" s="302"/>
      <c r="ABG186" s="302"/>
      <c r="ABH186" s="302"/>
      <c r="ABI186" s="302"/>
      <c r="ABJ186" s="302"/>
      <c r="ABK186" s="302"/>
      <c r="ABL186" s="302"/>
      <c r="ABM186" s="302"/>
      <c r="ABN186" s="302"/>
      <c r="ABO186" s="302"/>
      <c r="ABP186" s="302"/>
      <c r="ABQ186" s="302"/>
      <c r="ABR186" s="302"/>
      <c r="ABS186" s="302"/>
      <c r="ABT186" s="302"/>
      <c r="ABU186" s="302"/>
      <c r="ABV186" s="302"/>
      <c r="ABW186" s="302"/>
      <c r="ABX186" s="302"/>
      <c r="ABY186" s="302"/>
      <c r="ABZ186" s="302"/>
      <c r="ACA186" s="302"/>
      <c r="ACB186" s="302"/>
      <c r="ACC186" s="302"/>
      <c r="ACD186" s="302"/>
      <c r="ACE186" s="302"/>
      <c r="ACF186" s="302"/>
      <c r="ACG186" s="302"/>
      <c r="ACH186" s="302"/>
      <c r="ACI186" s="302"/>
      <c r="ACJ186" s="302"/>
      <c r="ACK186" s="302"/>
      <c r="ACL186" s="302"/>
      <c r="ACM186" s="302"/>
      <c r="ACN186" s="302"/>
      <c r="ACO186" s="302"/>
      <c r="ACP186" s="302"/>
      <c r="ACQ186" s="302"/>
      <c r="ACR186" s="302"/>
      <c r="ACS186" s="302"/>
      <c r="ACT186" s="302"/>
      <c r="ACU186" s="302"/>
      <c r="ACV186" s="302"/>
      <c r="ACW186" s="302"/>
      <c r="ACX186" s="302"/>
      <c r="ACY186" s="302"/>
      <c r="ACZ186" s="302"/>
      <c r="ADA186" s="302"/>
      <c r="ADB186" s="302"/>
      <c r="ADC186" s="302"/>
      <c r="ADD186" s="302"/>
      <c r="ADE186" s="302"/>
      <c r="ADF186" s="302"/>
      <c r="ADG186" s="302"/>
      <c r="ADH186" s="302"/>
      <c r="ADI186" s="302"/>
      <c r="ADJ186" s="302"/>
      <c r="ADK186" s="302"/>
      <c r="ADL186" s="302"/>
      <c r="ADM186" s="302"/>
      <c r="ADN186" s="302"/>
      <c r="ADO186" s="302"/>
      <c r="ADP186" s="302"/>
      <c r="ADQ186" s="302"/>
      <c r="ADR186" s="302"/>
      <c r="ADS186" s="302"/>
      <c r="ADT186" s="302"/>
      <c r="ADU186" s="302"/>
      <c r="ADV186" s="302"/>
      <c r="ADW186" s="302"/>
      <c r="ADX186" s="302"/>
      <c r="ADY186" s="302"/>
      <c r="ADZ186" s="302"/>
      <c r="AEA186" s="302"/>
      <c r="AEB186" s="302"/>
      <c r="AEC186" s="302"/>
      <c r="AED186" s="302"/>
      <c r="AEE186" s="302"/>
      <c r="AEF186" s="302"/>
      <c r="AEG186" s="302"/>
      <c r="AEH186" s="302"/>
      <c r="AEI186" s="302"/>
      <c r="AEJ186" s="302"/>
      <c r="AEK186" s="302"/>
      <c r="AEL186" s="302"/>
      <c r="AEM186" s="302"/>
      <c r="AEN186" s="302"/>
      <c r="AEO186" s="302"/>
      <c r="AEP186" s="302"/>
      <c r="AEQ186" s="302"/>
      <c r="AER186" s="302"/>
      <c r="AES186" s="302"/>
      <c r="AET186" s="302"/>
      <c r="AEU186" s="302"/>
      <c r="AEV186" s="302"/>
      <c r="AEW186" s="302"/>
      <c r="AEX186" s="302"/>
      <c r="AEY186" s="302"/>
      <c r="AEZ186" s="302"/>
      <c r="AFA186" s="302"/>
      <c r="AFB186" s="302"/>
      <c r="AFC186" s="302"/>
      <c r="AFD186" s="302"/>
      <c r="AFE186" s="302"/>
      <c r="AFF186" s="302"/>
      <c r="AFG186" s="302"/>
      <c r="AFH186" s="302"/>
      <c r="AFI186" s="302"/>
      <c r="AFJ186" s="302"/>
      <c r="AFK186" s="302"/>
      <c r="AFL186" s="302"/>
      <c r="AFM186" s="302"/>
      <c r="AFN186" s="302"/>
      <c r="AFO186" s="302"/>
      <c r="AFP186" s="302"/>
      <c r="AFQ186" s="302"/>
      <c r="AFR186" s="302"/>
      <c r="AFS186" s="302"/>
      <c r="AFT186" s="302"/>
      <c r="AFU186" s="302"/>
      <c r="AFV186" s="302"/>
      <c r="AFW186" s="302"/>
      <c r="AFX186" s="302"/>
      <c r="AFY186" s="302"/>
      <c r="AFZ186" s="302"/>
      <c r="AGA186" s="302"/>
      <c r="AGB186" s="302"/>
      <c r="AGC186" s="302"/>
      <c r="AGD186" s="302"/>
      <c r="AGE186" s="302"/>
      <c r="AGF186" s="302"/>
      <c r="AGG186" s="302"/>
      <c r="AGH186" s="302"/>
      <c r="AGI186" s="302"/>
      <c r="AGJ186" s="302"/>
      <c r="AGK186" s="302"/>
      <c r="AGL186" s="302"/>
      <c r="AGM186" s="302"/>
      <c r="AGN186" s="302"/>
      <c r="AGO186" s="302"/>
      <c r="AGP186" s="302"/>
      <c r="AGQ186" s="302"/>
      <c r="AGR186" s="302"/>
      <c r="AGS186" s="302"/>
      <c r="AGT186" s="302"/>
      <c r="AGU186" s="302"/>
      <c r="AGV186" s="302"/>
      <c r="AGW186" s="302"/>
      <c r="AGX186" s="302"/>
      <c r="AGY186" s="302"/>
      <c r="AGZ186" s="302"/>
      <c r="AHA186" s="302"/>
      <c r="AHB186" s="302"/>
      <c r="AHC186" s="302"/>
      <c r="AHD186" s="302"/>
      <c r="AHE186" s="302"/>
      <c r="AHF186" s="302"/>
      <c r="AHG186" s="302"/>
      <c r="AHH186" s="302"/>
      <c r="AHI186" s="302"/>
      <c r="AHJ186" s="302"/>
      <c r="AHK186" s="302"/>
      <c r="AHL186" s="302"/>
      <c r="AHM186" s="302"/>
      <c r="AHN186" s="302"/>
      <c r="AHO186" s="302"/>
      <c r="AHP186" s="302"/>
      <c r="AHQ186" s="302"/>
      <c r="AHR186" s="302"/>
      <c r="AHS186" s="302"/>
      <c r="AHT186" s="302"/>
      <c r="AHU186" s="302"/>
      <c r="AHV186" s="302"/>
      <c r="AHW186" s="302"/>
      <c r="AHX186" s="302"/>
      <c r="AHY186" s="302"/>
      <c r="AHZ186" s="302"/>
      <c r="AIA186" s="302"/>
      <c r="AIB186" s="302"/>
      <c r="AIC186" s="302"/>
      <c r="AID186" s="302"/>
      <c r="AIE186" s="302"/>
      <c r="AIF186" s="302"/>
      <c r="AIG186" s="302"/>
      <c r="AIH186" s="302"/>
      <c r="AII186" s="302"/>
      <c r="AIJ186" s="302"/>
      <c r="AIK186" s="302"/>
      <c r="AIL186" s="302"/>
      <c r="AIM186" s="302"/>
      <c r="AIN186" s="302"/>
      <c r="AIO186" s="302"/>
      <c r="AIP186" s="302"/>
      <c r="AIQ186" s="302"/>
      <c r="AIR186" s="302"/>
      <c r="AIS186" s="302"/>
      <c r="AIT186" s="302"/>
      <c r="AIU186" s="302"/>
      <c r="AIV186" s="302"/>
      <c r="AIW186" s="302"/>
      <c r="AIX186" s="302"/>
      <c r="AIY186" s="302"/>
      <c r="AIZ186" s="302"/>
      <c r="AJA186" s="302"/>
      <c r="AJB186" s="302"/>
      <c r="AJC186" s="302"/>
      <c r="AJD186" s="302"/>
      <c r="AJE186" s="302"/>
      <c r="AJF186" s="302"/>
      <c r="AJG186" s="302"/>
      <c r="AJH186" s="302"/>
      <c r="AJI186" s="302"/>
      <c r="AJJ186" s="302"/>
      <c r="AJK186" s="302"/>
      <c r="AJL186" s="302"/>
      <c r="AJM186" s="302"/>
      <c r="AJN186" s="302"/>
      <c r="AJO186" s="302"/>
      <c r="AJP186" s="302"/>
      <c r="AJQ186" s="302"/>
      <c r="AJR186" s="302"/>
      <c r="AJS186" s="302"/>
      <c r="AJT186" s="302"/>
      <c r="AJU186" s="302"/>
      <c r="AJV186" s="302"/>
      <c r="AJW186" s="302"/>
      <c r="AJX186" s="302"/>
      <c r="AJY186" s="302"/>
      <c r="AJZ186" s="302"/>
      <c r="AKA186" s="302"/>
      <c r="AKB186" s="302"/>
      <c r="AKC186" s="302"/>
      <c r="AKD186" s="302"/>
      <c r="AKE186" s="302"/>
      <c r="AKF186" s="302"/>
      <c r="AKG186" s="302"/>
      <c r="AKH186" s="302"/>
      <c r="AKI186" s="302"/>
      <c r="AKJ186" s="302"/>
      <c r="AKK186" s="302"/>
      <c r="AKL186" s="302"/>
      <c r="AKM186" s="302"/>
      <c r="AKN186" s="302"/>
      <c r="AKO186" s="302"/>
      <c r="AKP186" s="302"/>
      <c r="AKQ186" s="302"/>
      <c r="AKR186" s="302"/>
      <c r="AKS186" s="302"/>
      <c r="AKT186" s="302"/>
      <c r="AKU186" s="302"/>
      <c r="AKV186" s="302"/>
      <c r="AKW186" s="302"/>
      <c r="AKX186" s="302"/>
      <c r="AKY186" s="302"/>
      <c r="AKZ186" s="302"/>
      <c r="ALA186" s="302"/>
      <c r="ALB186" s="302"/>
      <c r="ALC186" s="302"/>
      <c r="ALD186" s="302"/>
      <c r="ALE186" s="302"/>
      <c r="ALF186" s="302"/>
      <c r="ALG186" s="302"/>
      <c r="ALH186" s="302"/>
      <c r="ALI186" s="302"/>
      <c r="ALJ186" s="302"/>
      <c r="ALK186" s="302"/>
      <c r="ALL186" s="302"/>
      <c r="ALM186" s="302"/>
      <c r="ALN186" s="302"/>
      <c r="ALO186" s="302"/>
      <c r="ALP186" s="302"/>
      <c r="ALQ186" s="302"/>
      <c r="ALR186" s="302"/>
      <c r="ALS186" s="302"/>
      <c r="ALT186" s="302"/>
      <c r="ALU186" s="302"/>
      <c r="ALV186" s="302"/>
      <c r="ALW186" s="302"/>
      <c r="ALX186" s="302"/>
      <c r="ALY186" s="302"/>
      <c r="ALZ186" s="302"/>
      <c r="AMA186" s="302"/>
      <c r="AMB186" s="302"/>
      <c r="AMC186" s="302"/>
      <c r="AMD186" s="302"/>
      <c r="AME186" s="302"/>
      <c r="AMF186" s="302"/>
      <c r="AMG186" s="302"/>
      <c r="AMH186" s="302"/>
      <c r="AMI186" s="302"/>
    </row>
    <row r="187" spans="1:1023" hidden="1">
      <c r="A187" s="302"/>
      <c r="B187" s="15">
        <v>13786</v>
      </c>
      <c r="C187" s="113">
        <v>0.1</v>
      </c>
      <c r="D187" s="16" t="s">
        <v>414</v>
      </c>
      <c r="E187" s="12">
        <v>3000000</v>
      </c>
      <c r="F187" s="363">
        <v>0.02</v>
      </c>
      <c r="G187" s="369">
        <f>E187*F187</f>
        <v>60000</v>
      </c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2"/>
      <c r="AE187" s="302"/>
      <c r="AF187" s="302"/>
      <c r="AG187" s="302"/>
      <c r="AH187" s="302"/>
      <c r="AI187" s="302"/>
      <c r="AJ187" s="302"/>
      <c r="AK187" s="302"/>
      <c r="AL187" s="302"/>
      <c r="AM187" s="302"/>
      <c r="AN187" s="302"/>
      <c r="AO187" s="302"/>
      <c r="AP187" s="302"/>
      <c r="AQ187" s="302"/>
      <c r="AR187" s="302"/>
      <c r="AS187" s="302"/>
      <c r="AT187" s="302"/>
      <c r="AU187" s="302"/>
      <c r="AV187" s="302"/>
      <c r="AW187" s="302"/>
      <c r="AX187" s="302"/>
      <c r="AY187" s="302"/>
      <c r="AZ187" s="302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K187" s="302"/>
      <c r="BL187" s="302"/>
      <c r="BM187" s="302"/>
      <c r="BN187" s="302"/>
      <c r="BO187" s="302"/>
      <c r="BP187" s="302"/>
      <c r="BQ187" s="302"/>
      <c r="BR187" s="302"/>
      <c r="BS187" s="302"/>
      <c r="BT187" s="302"/>
      <c r="BU187" s="302"/>
      <c r="BV187" s="302"/>
      <c r="BW187" s="302"/>
      <c r="BX187" s="302"/>
      <c r="BY187" s="302"/>
      <c r="BZ187" s="302"/>
      <c r="CA187" s="302"/>
      <c r="CB187" s="302"/>
      <c r="CC187" s="302"/>
      <c r="CD187" s="302"/>
      <c r="CE187" s="302"/>
      <c r="CF187" s="302"/>
      <c r="CG187" s="302"/>
      <c r="CH187" s="302"/>
      <c r="CI187" s="302"/>
      <c r="CJ187" s="302"/>
      <c r="CK187" s="302"/>
      <c r="CL187" s="302"/>
      <c r="CM187" s="302"/>
      <c r="CN187" s="302"/>
      <c r="CO187" s="302"/>
      <c r="CP187" s="302"/>
      <c r="CQ187" s="302"/>
      <c r="CR187" s="302"/>
      <c r="CS187" s="302"/>
      <c r="CT187" s="302"/>
      <c r="CU187" s="302"/>
      <c r="CV187" s="302"/>
      <c r="CW187" s="302"/>
      <c r="CX187" s="302"/>
      <c r="CY187" s="302"/>
      <c r="CZ187" s="302"/>
      <c r="DA187" s="302"/>
      <c r="DB187" s="302"/>
      <c r="DC187" s="302"/>
      <c r="DD187" s="302"/>
      <c r="DE187" s="302"/>
      <c r="DF187" s="302"/>
      <c r="DG187" s="302"/>
      <c r="DH187" s="302"/>
      <c r="DI187" s="302"/>
      <c r="DJ187" s="302"/>
      <c r="DK187" s="302"/>
      <c r="DL187" s="302"/>
      <c r="DM187" s="302"/>
      <c r="DN187" s="302"/>
      <c r="DO187" s="302"/>
      <c r="DP187" s="302"/>
      <c r="DQ187" s="302"/>
      <c r="DR187" s="302"/>
      <c r="DS187" s="302"/>
      <c r="DT187" s="302"/>
      <c r="DU187" s="302"/>
      <c r="DV187" s="302"/>
      <c r="DW187" s="302"/>
      <c r="DX187" s="302"/>
      <c r="DY187" s="302"/>
      <c r="DZ187" s="302"/>
      <c r="EA187" s="302"/>
      <c r="EB187" s="302"/>
      <c r="EC187" s="302"/>
      <c r="ED187" s="302"/>
      <c r="EE187" s="302"/>
      <c r="EF187" s="302"/>
      <c r="EG187" s="302"/>
      <c r="EH187" s="302"/>
      <c r="EI187" s="302"/>
      <c r="EJ187" s="302"/>
      <c r="EK187" s="302"/>
      <c r="EL187" s="302"/>
      <c r="EM187" s="302"/>
      <c r="EN187" s="302"/>
      <c r="EO187" s="302"/>
      <c r="EP187" s="302"/>
      <c r="EQ187" s="302"/>
      <c r="ER187" s="302"/>
      <c r="ES187" s="302"/>
      <c r="ET187" s="302"/>
      <c r="EU187" s="302"/>
      <c r="EV187" s="302"/>
      <c r="EW187" s="302"/>
      <c r="EX187" s="302"/>
      <c r="EY187" s="302"/>
      <c r="EZ187" s="302"/>
      <c r="FA187" s="302"/>
      <c r="FB187" s="302"/>
      <c r="FC187" s="302"/>
      <c r="FD187" s="302"/>
      <c r="FE187" s="302"/>
      <c r="FF187" s="302"/>
      <c r="FG187" s="302"/>
      <c r="FH187" s="302"/>
      <c r="FI187" s="302"/>
      <c r="FJ187" s="302"/>
      <c r="FK187" s="302"/>
      <c r="FL187" s="302"/>
      <c r="FM187" s="302"/>
      <c r="FN187" s="302"/>
      <c r="FO187" s="302"/>
      <c r="FP187" s="302"/>
      <c r="FQ187" s="302"/>
      <c r="FR187" s="302"/>
      <c r="FS187" s="302"/>
      <c r="FT187" s="302"/>
      <c r="FU187" s="302"/>
      <c r="FV187" s="302"/>
      <c r="FW187" s="302"/>
      <c r="FX187" s="302"/>
      <c r="FY187" s="302"/>
      <c r="FZ187" s="302"/>
      <c r="GA187" s="302"/>
      <c r="GB187" s="302"/>
      <c r="GC187" s="302"/>
      <c r="GD187" s="302"/>
      <c r="GE187" s="302"/>
      <c r="GF187" s="302"/>
      <c r="GG187" s="302"/>
      <c r="GH187" s="302"/>
      <c r="GI187" s="302"/>
      <c r="GJ187" s="302"/>
      <c r="GK187" s="302"/>
      <c r="GL187" s="302"/>
      <c r="GM187" s="302"/>
      <c r="GN187" s="302"/>
      <c r="GO187" s="302"/>
      <c r="GP187" s="302"/>
      <c r="GQ187" s="302"/>
      <c r="GR187" s="302"/>
      <c r="GS187" s="302"/>
      <c r="GT187" s="302"/>
      <c r="GU187" s="302"/>
      <c r="GV187" s="302"/>
      <c r="GW187" s="302"/>
      <c r="GX187" s="302"/>
      <c r="GY187" s="302"/>
      <c r="GZ187" s="302"/>
      <c r="HA187" s="302"/>
      <c r="HB187" s="302"/>
      <c r="HC187" s="302"/>
      <c r="HD187" s="302"/>
      <c r="HE187" s="302"/>
      <c r="HF187" s="302"/>
      <c r="HG187" s="302"/>
      <c r="HH187" s="302"/>
      <c r="HI187" s="302"/>
      <c r="HJ187" s="302"/>
      <c r="HK187" s="302"/>
      <c r="HL187" s="302"/>
      <c r="HM187" s="302"/>
      <c r="HN187" s="302"/>
      <c r="HO187" s="302"/>
      <c r="HP187" s="302"/>
      <c r="HQ187" s="302"/>
      <c r="HR187" s="302"/>
      <c r="HS187" s="302"/>
      <c r="HT187" s="302"/>
      <c r="HU187" s="302"/>
      <c r="HV187" s="302"/>
      <c r="HW187" s="302"/>
      <c r="HX187" s="302"/>
      <c r="HY187" s="302"/>
      <c r="HZ187" s="302"/>
      <c r="IA187" s="302"/>
      <c r="IB187" s="302"/>
      <c r="IC187" s="302"/>
      <c r="ID187" s="302"/>
      <c r="IE187" s="302"/>
      <c r="IF187" s="302"/>
      <c r="IG187" s="302"/>
      <c r="IH187" s="302"/>
      <c r="II187" s="302"/>
      <c r="IJ187" s="302"/>
      <c r="IK187" s="302"/>
      <c r="IL187" s="302"/>
      <c r="IM187" s="302"/>
      <c r="IN187" s="302"/>
      <c r="IO187" s="302"/>
      <c r="IP187" s="302"/>
      <c r="IQ187" s="302"/>
      <c r="IR187" s="302"/>
      <c r="IS187" s="302"/>
      <c r="IT187" s="302"/>
      <c r="IU187" s="302"/>
      <c r="IV187" s="302"/>
      <c r="IW187" s="302"/>
      <c r="IX187" s="302"/>
      <c r="IY187" s="302"/>
      <c r="IZ187" s="302"/>
      <c r="JA187" s="302"/>
      <c r="JB187" s="302"/>
      <c r="JC187" s="302"/>
      <c r="JD187" s="302"/>
      <c r="JE187" s="302"/>
      <c r="JF187" s="302"/>
      <c r="JG187" s="302"/>
      <c r="JH187" s="302"/>
      <c r="JI187" s="302"/>
      <c r="JJ187" s="302"/>
      <c r="JK187" s="302"/>
      <c r="JL187" s="302"/>
      <c r="JM187" s="302"/>
      <c r="JN187" s="302"/>
      <c r="JO187" s="302"/>
      <c r="JP187" s="302"/>
      <c r="JQ187" s="302"/>
      <c r="JR187" s="302"/>
      <c r="JS187" s="302"/>
      <c r="JT187" s="302"/>
      <c r="JU187" s="302"/>
      <c r="JV187" s="302"/>
      <c r="JW187" s="302"/>
      <c r="JX187" s="302"/>
      <c r="JY187" s="302"/>
      <c r="JZ187" s="302"/>
      <c r="KA187" s="302"/>
      <c r="KB187" s="302"/>
      <c r="KC187" s="302"/>
      <c r="KD187" s="302"/>
      <c r="KE187" s="302"/>
      <c r="KF187" s="302"/>
      <c r="KG187" s="302"/>
      <c r="KH187" s="302"/>
      <c r="KI187" s="302"/>
      <c r="KJ187" s="302"/>
      <c r="KK187" s="302"/>
      <c r="KL187" s="302"/>
      <c r="KM187" s="302"/>
      <c r="KN187" s="302"/>
      <c r="KO187" s="302"/>
      <c r="KP187" s="302"/>
      <c r="KQ187" s="302"/>
      <c r="KR187" s="302"/>
      <c r="KS187" s="302"/>
      <c r="KT187" s="302"/>
      <c r="KU187" s="302"/>
      <c r="KV187" s="302"/>
      <c r="KW187" s="302"/>
      <c r="KX187" s="302"/>
      <c r="KY187" s="302"/>
      <c r="KZ187" s="302"/>
      <c r="LA187" s="302"/>
      <c r="LB187" s="302"/>
      <c r="LC187" s="302"/>
      <c r="LD187" s="302"/>
      <c r="LE187" s="302"/>
      <c r="LF187" s="302"/>
      <c r="LG187" s="302"/>
      <c r="LH187" s="302"/>
      <c r="LI187" s="302"/>
      <c r="LJ187" s="302"/>
      <c r="LK187" s="302"/>
      <c r="LL187" s="302"/>
      <c r="LM187" s="302"/>
      <c r="LN187" s="302"/>
      <c r="LO187" s="302"/>
      <c r="LP187" s="302"/>
      <c r="LQ187" s="302"/>
      <c r="LR187" s="302"/>
      <c r="LS187" s="302"/>
      <c r="LT187" s="302"/>
      <c r="LU187" s="302"/>
      <c r="LV187" s="302"/>
      <c r="LW187" s="302"/>
      <c r="LX187" s="302"/>
      <c r="LY187" s="302"/>
      <c r="LZ187" s="302"/>
      <c r="MA187" s="302"/>
      <c r="MB187" s="302"/>
      <c r="MC187" s="302"/>
      <c r="MD187" s="302"/>
      <c r="ME187" s="302"/>
      <c r="MF187" s="302"/>
      <c r="MG187" s="302"/>
      <c r="MH187" s="302"/>
      <c r="MI187" s="302"/>
      <c r="MJ187" s="302"/>
      <c r="MK187" s="302"/>
      <c r="ML187" s="302"/>
      <c r="MM187" s="302"/>
      <c r="MN187" s="302"/>
      <c r="MO187" s="302"/>
      <c r="MP187" s="302"/>
      <c r="MQ187" s="302"/>
      <c r="MR187" s="302"/>
      <c r="MS187" s="302"/>
      <c r="MT187" s="302"/>
      <c r="MU187" s="302"/>
      <c r="MV187" s="302"/>
      <c r="MW187" s="302"/>
      <c r="MX187" s="302"/>
      <c r="MY187" s="302"/>
      <c r="MZ187" s="302"/>
      <c r="NA187" s="302"/>
      <c r="NB187" s="302"/>
      <c r="NC187" s="302"/>
      <c r="ND187" s="302"/>
      <c r="NE187" s="302"/>
      <c r="NF187" s="302"/>
      <c r="NG187" s="302"/>
      <c r="NH187" s="302"/>
      <c r="NI187" s="302"/>
      <c r="NJ187" s="302"/>
      <c r="NK187" s="302"/>
      <c r="NL187" s="302"/>
      <c r="NM187" s="302"/>
      <c r="NN187" s="302"/>
      <c r="NO187" s="302"/>
      <c r="NP187" s="302"/>
      <c r="NQ187" s="302"/>
      <c r="NR187" s="302"/>
      <c r="NS187" s="302"/>
      <c r="NT187" s="302"/>
      <c r="NU187" s="302"/>
      <c r="NV187" s="302"/>
      <c r="NW187" s="302"/>
      <c r="NX187" s="302"/>
      <c r="NY187" s="302"/>
      <c r="NZ187" s="302"/>
      <c r="OA187" s="302"/>
      <c r="OB187" s="302"/>
      <c r="OC187" s="302"/>
      <c r="OD187" s="302"/>
      <c r="OE187" s="302"/>
      <c r="OF187" s="302"/>
      <c r="OG187" s="302"/>
      <c r="OH187" s="302"/>
      <c r="OI187" s="302"/>
      <c r="OJ187" s="302"/>
      <c r="OK187" s="302"/>
      <c r="OL187" s="302"/>
      <c r="OM187" s="302"/>
      <c r="ON187" s="302"/>
      <c r="OO187" s="302"/>
      <c r="OP187" s="302"/>
      <c r="OQ187" s="302"/>
      <c r="OR187" s="302"/>
      <c r="OS187" s="302"/>
      <c r="OT187" s="302"/>
      <c r="OU187" s="302"/>
      <c r="OV187" s="302"/>
      <c r="OW187" s="302"/>
      <c r="OX187" s="302"/>
      <c r="OY187" s="302"/>
      <c r="OZ187" s="302"/>
      <c r="PA187" s="302"/>
      <c r="PB187" s="302"/>
      <c r="PC187" s="302"/>
      <c r="PD187" s="302"/>
      <c r="PE187" s="302"/>
      <c r="PF187" s="302"/>
      <c r="PG187" s="302"/>
      <c r="PH187" s="302"/>
      <c r="PI187" s="302"/>
      <c r="PJ187" s="302"/>
      <c r="PK187" s="302"/>
      <c r="PL187" s="302"/>
      <c r="PM187" s="302"/>
      <c r="PN187" s="302"/>
      <c r="PO187" s="302"/>
      <c r="PP187" s="302"/>
      <c r="PQ187" s="302"/>
      <c r="PR187" s="302"/>
      <c r="PS187" s="302"/>
      <c r="PT187" s="302"/>
      <c r="PU187" s="302"/>
      <c r="PV187" s="302"/>
      <c r="PW187" s="302"/>
      <c r="PX187" s="302"/>
      <c r="PY187" s="302"/>
      <c r="PZ187" s="302"/>
      <c r="QA187" s="302"/>
      <c r="QB187" s="302"/>
      <c r="QC187" s="302"/>
      <c r="QD187" s="302"/>
      <c r="QE187" s="302"/>
      <c r="QF187" s="302"/>
      <c r="QG187" s="302"/>
      <c r="QH187" s="302"/>
      <c r="QI187" s="302"/>
      <c r="QJ187" s="302"/>
      <c r="QK187" s="302"/>
      <c r="QL187" s="302"/>
      <c r="QM187" s="302"/>
      <c r="QN187" s="302"/>
      <c r="QO187" s="302"/>
      <c r="QP187" s="302"/>
      <c r="QQ187" s="302"/>
      <c r="QR187" s="302"/>
      <c r="QS187" s="302"/>
      <c r="QT187" s="302"/>
      <c r="QU187" s="302"/>
      <c r="QV187" s="302"/>
      <c r="QW187" s="302"/>
      <c r="QX187" s="302"/>
      <c r="QY187" s="302"/>
      <c r="QZ187" s="302"/>
      <c r="RA187" s="302"/>
      <c r="RB187" s="302"/>
      <c r="RC187" s="302"/>
      <c r="RD187" s="302"/>
      <c r="RE187" s="302"/>
      <c r="RF187" s="302"/>
      <c r="RG187" s="302"/>
      <c r="RH187" s="302"/>
      <c r="RI187" s="302"/>
      <c r="RJ187" s="302"/>
      <c r="RK187" s="302"/>
      <c r="RL187" s="302"/>
      <c r="RM187" s="302"/>
      <c r="RN187" s="302"/>
      <c r="RO187" s="302"/>
      <c r="RP187" s="302"/>
      <c r="RQ187" s="302"/>
      <c r="RR187" s="302"/>
      <c r="RS187" s="302"/>
      <c r="RT187" s="302"/>
      <c r="RU187" s="302"/>
      <c r="RV187" s="302"/>
      <c r="RW187" s="302"/>
      <c r="RX187" s="302"/>
      <c r="RY187" s="302"/>
      <c r="RZ187" s="302"/>
      <c r="SA187" s="302"/>
      <c r="SB187" s="302"/>
      <c r="SC187" s="302"/>
      <c r="SD187" s="302"/>
      <c r="SE187" s="302"/>
      <c r="SF187" s="302"/>
      <c r="SG187" s="302"/>
      <c r="SH187" s="302"/>
      <c r="SI187" s="302"/>
      <c r="SJ187" s="302"/>
      <c r="SK187" s="302"/>
      <c r="SL187" s="302"/>
      <c r="SM187" s="302"/>
      <c r="SN187" s="302"/>
      <c r="SO187" s="302"/>
      <c r="SP187" s="302"/>
      <c r="SQ187" s="302"/>
      <c r="SR187" s="302"/>
      <c r="SS187" s="302"/>
      <c r="ST187" s="302"/>
      <c r="SU187" s="302"/>
      <c r="SV187" s="302"/>
      <c r="SW187" s="302"/>
      <c r="SX187" s="302"/>
      <c r="SY187" s="302"/>
      <c r="SZ187" s="302"/>
      <c r="TA187" s="302"/>
      <c r="TB187" s="302"/>
      <c r="TC187" s="302"/>
      <c r="TD187" s="302"/>
      <c r="TE187" s="302"/>
      <c r="TF187" s="302"/>
      <c r="TG187" s="302"/>
      <c r="TH187" s="302"/>
      <c r="TI187" s="302"/>
      <c r="TJ187" s="302"/>
      <c r="TK187" s="302"/>
      <c r="TL187" s="302"/>
      <c r="TM187" s="302"/>
      <c r="TN187" s="302"/>
      <c r="TO187" s="302"/>
      <c r="TP187" s="302"/>
      <c r="TQ187" s="302"/>
      <c r="TR187" s="302"/>
      <c r="TS187" s="302"/>
      <c r="TT187" s="302"/>
      <c r="TU187" s="302"/>
      <c r="TV187" s="302"/>
      <c r="TW187" s="302"/>
      <c r="TX187" s="302"/>
      <c r="TY187" s="302"/>
      <c r="TZ187" s="302"/>
      <c r="UA187" s="302"/>
      <c r="UB187" s="302"/>
      <c r="UC187" s="302"/>
      <c r="UD187" s="302"/>
      <c r="UE187" s="302"/>
      <c r="UF187" s="302"/>
      <c r="UG187" s="302"/>
      <c r="UH187" s="302"/>
      <c r="UI187" s="302"/>
      <c r="UJ187" s="302"/>
      <c r="UK187" s="302"/>
      <c r="UL187" s="302"/>
      <c r="UM187" s="302"/>
      <c r="UN187" s="302"/>
      <c r="UO187" s="302"/>
      <c r="UP187" s="302"/>
      <c r="UQ187" s="302"/>
      <c r="UR187" s="302"/>
      <c r="US187" s="302"/>
      <c r="UT187" s="302"/>
      <c r="UU187" s="302"/>
      <c r="UV187" s="302"/>
      <c r="UW187" s="302"/>
      <c r="UX187" s="302"/>
      <c r="UY187" s="302"/>
      <c r="UZ187" s="302"/>
      <c r="VA187" s="302"/>
      <c r="VB187" s="302"/>
      <c r="VC187" s="302"/>
      <c r="VD187" s="302"/>
      <c r="VE187" s="302"/>
      <c r="VF187" s="302"/>
      <c r="VG187" s="302"/>
      <c r="VH187" s="302"/>
      <c r="VI187" s="302"/>
      <c r="VJ187" s="302"/>
      <c r="VK187" s="302"/>
      <c r="VL187" s="302"/>
      <c r="VM187" s="302"/>
      <c r="VN187" s="302"/>
      <c r="VO187" s="302"/>
      <c r="VP187" s="302"/>
      <c r="VQ187" s="302"/>
      <c r="VR187" s="302"/>
      <c r="VS187" s="302"/>
      <c r="VT187" s="302"/>
      <c r="VU187" s="302"/>
      <c r="VV187" s="302"/>
      <c r="VW187" s="302"/>
      <c r="VX187" s="302"/>
      <c r="VY187" s="302"/>
      <c r="VZ187" s="302"/>
      <c r="WA187" s="302"/>
      <c r="WB187" s="302"/>
      <c r="WC187" s="302"/>
      <c r="WD187" s="302"/>
      <c r="WE187" s="302"/>
      <c r="WF187" s="302"/>
      <c r="WG187" s="302"/>
      <c r="WH187" s="302"/>
      <c r="WI187" s="302"/>
      <c r="WJ187" s="302"/>
      <c r="WK187" s="302"/>
      <c r="WL187" s="302"/>
      <c r="WM187" s="302"/>
      <c r="WN187" s="302"/>
      <c r="WO187" s="302"/>
      <c r="WP187" s="302"/>
      <c r="WQ187" s="302"/>
      <c r="WR187" s="302"/>
      <c r="WS187" s="302"/>
      <c r="WT187" s="302"/>
      <c r="WU187" s="302"/>
      <c r="WV187" s="302"/>
      <c r="WW187" s="302"/>
      <c r="WX187" s="302"/>
      <c r="WY187" s="302"/>
      <c r="WZ187" s="302"/>
      <c r="XA187" s="302"/>
      <c r="XB187" s="302"/>
      <c r="XC187" s="302"/>
      <c r="XD187" s="302"/>
      <c r="XE187" s="302"/>
      <c r="XF187" s="302"/>
      <c r="XG187" s="302"/>
      <c r="XH187" s="302"/>
      <c r="XI187" s="302"/>
      <c r="XJ187" s="302"/>
      <c r="XK187" s="302"/>
      <c r="XL187" s="302"/>
      <c r="XM187" s="302"/>
      <c r="XN187" s="302"/>
      <c r="XO187" s="302"/>
      <c r="XP187" s="302"/>
      <c r="XQ187" s="302"/>
      <c r="XR187" s="302"/>
      <c r="XS187" s="302"/>
      <c r="XT187" s="302"/>
      <c r="XU187" s="302"/>
      <c r="XV187" s="302"/>
      <c r="XW187" s="302"/>
      <c r="XX187" s="302"/>
      <c r="XY187" s="302"/>
      <c r="XZ187" s="302"/>
      <c r="YA187" s="302"/>
      <c r="YB187" s="302"/>
      <c r="YC187" s="302"/>
      <c r="YD187" s="302"/>
      <c r="YE187" s="302"/>
      <c r="YF187" s="302"/>
      <c r="YG187" s="302"/>
      <c r="YH187" s="302"/>
      <c r="YI187" s="302"/>
      <c r="YJ187" s="302"/>
      <c r="YK187" s="302"/>
      <c r="YL187" s="302"/>
      <c r="YM187" s="302"/>
      <c r="YN187" s="302"/>
      <c r="YO187" s="302"/>
      <c r="YP187" s="302"/>
      <c r="YQ187" s="302"/>
      <c r="YR187" s="302"/>
      <c r="YS187" s="302"/>
      <c r="YT187" s="302"/>
      <c r="YU187" s="302"/>
      <c r="YV187" s="302"/>
      <c r="YW187" s="302"/>
      <c r="YX187" s="302"/>
      <c r="YY187" s="302"/>
      <c r="YZ187" s="302"/>
      <c r="ZA187" s="302"/>
      <c r="ZB187" s="302"/>
      <c r="ZC187" s="302"/>
      <c r="ZD187" s="302"/>
      <c r="ZE187" s="302"/>
      <c r="ZF187" s="302"/>
      <c r="ZG187" s="302"/>
      <c r="ZH187" s="302"/>
      <c r="ZI187" s="302"/>
      <c r="ZJ187" s="302"/>
      <c r="ZK187" s="302"/>
      <c r="ZL187" s="302"/>
      <c r="ZM187" s="302"/>
      <c r="ZN187" s="302"/>
      <c r="ZO187" s="302"/>
      <c r="ZP187" s="302"/>
      <c r="ZQ187" s="302"/>
      <c r="ZR187" s="302"/>
      <c r="ZS187" s="302"/>
      <c r="ZT187" s="302"/>
      <c r="ZU187" s="302"/>
      <c r="ZV187" s="302"/>
      <c r="ZW187" s="302"/>
      <c r="ZX187" s="302"/>
      <c r="ZY187" s="302"/>
      <c r="ZZ187" s="302"/>
      <c r="AAA187" s="302"/>
      <c r="AAB187" s="302"/>
      <c r="AAC187" s="302"/>
      <c r="AAD187" s="302"/>
      <c r="AAE187" s="302"/>
      <c r="AAF187" s="302"/>
      <c r="AAG187" s="302"/>
      <c r="AAH187" s="302"/>
      <c r="AAI187" s="302"/>
      <c r="AAJ187" s="302"/>
      <c r="AAK187" s="302"/>
      <c r="AAL187" s="302"/>
      <c r="AAM187" s="302"/>
      <c r="AAN187" s="302"/>
      <c r="AAO187" s="302"/>
      <c r="AAP187" s="302"/>
      <c r="AAQ187" s="302"/>
      <c r="AAR187" s="302"/>
      <c r="AAS187" s="302"/>
      <c r="AAT187" s="302"/>
      <c r="AAU187" s="302"/>
      <c r="AAV187" s="302"/>
      <c r="AAW187" s="302"/>
      <c r="AAX187" s="302"/>
      <c r="AAY187" s="302"/>
      <c r="AAZ187" s="302"/>
      <c r="ABA187" s="302"/>
      <c r="ABB187" s="302"/>
      <c r="ABC187" s="302"/>
      <c r="ABD187" s="302"/>
      <c r="ABE187" s="302"/>
      <c r="ABF187" s="302"/>
      <c r="ABG187" s="302"/>
      <c r="ABH187" s="302"/>
      <c r="ABI187" s="302"/>
      <c r="ABJ187" s="302"/>
      <c r="ABK187" s="302"/>
      <c r="ABL187" s="302"/>
      <c r="ABM187" s="302"/>
      <c r="ABN187" s="302"/>
      <c r="ABO187" s="302"/>
      <c r="ABP187" s="302"/>
      <c r="ABQ187" s="302"/>
      <c r="ABR187" s="302"/>
      <c r="ABS187" s="302"/>
      <c r="ABT187" s="302"/>
      <c r="ABU187" s="302"/>
      <c r="ABV187" s="302"/>
      <c r="ABW187" s="302"/>
      <c r="ABX187" s="302"/>
      <c r="ABY187" s="302"/>
      <c r="ABZ187" s="302"/>
      <c r="ACA187" s="302"/>
      <c r="ACB187" s="302"/>
      <c r="ACC187" s="302"/>
      <c r="ACD187" s="302"/>
      <c r="ACE187" s="302"/>
      <c r="ACF187" s="302"/>
      <c r="ACG187" s="302"/>
      <c r="ACH187" s="302"/>
      <c r="ACI187" s="302"/>
      <c r="ACJ187" s="302"/>
      <c r="ACK187" s="302"/>
      <c r="ACL187" s="302"/>
      <c r="ACM187" s="302"/>
      <c r="ACN187" s="302"/>
      <c r="ACO187" s="302"/>
      <c r="ACP187" s="302"/>
      <c r="ACQ187" s="302"/>
      <c r="ACR187" s="302"/>
      <c r="ACS187" s="302"/>
      <c r="ACT187" s="302"/>
      <c r="ACU187" s="302"/>
      <c r="ACV187" s="302"/>
      <c r="ACW187" s="302"/>
      <c r="ACX187" s="302"/>
      <c r="ACY187" s="302"/>
      <c r="ACZ187" s="302"/>
      <c r="ADA187" s="302"/>
      <c r="ADB187" s="302"/>
      <c r="ADC187" s="302"/>
      <c r="ADD187" s="302"/>
      <c r="ADE187" s="302"/>
      <c r="ADF187" s="302"/>
      <c r="ADG187" s="302"/>
      <c r="ADH187" s="302"/>
      <c r="ADI187" s="302"/>
      <c r="ADJ187" s="302"/>
      <c r="ADK187" s="302"/>
      <c r="ADL187" s="302"/>
      <c r="ADM187" s="302"/>
      <c r="ADN187" s="302"/>
      <c r="ADO187" s="302"/>
      <c r="ADP187" s="302"/>
      <c r="ADQ187" s="302"/>
      <c r="ADR187" s="302"/>
      <c r="ADS187" s="302"/>
      <c r="ADT187" s="302"/>
      <c r="ADU187" s="302"/>
      <c r="ADV187" s="302"/>
      <c r="ADW187" s="302"/>
      <c r="ADX187" s="302"/>
      <c r="ADY187" s="302"/>
      <c r="ADZ187" s="302"/>
      <c r="AEA187" s="302"/>
      <c r="AEB187" s="302"/>
      <c r="AEC187" s="302"/>
      <c r="AED187" s="302"/>
      <c r="AEE187" s="302"/>
      <c r="AEF187" s="302"/>
      <c r="AEG187" s="302"/>
      <c r="AEH187" s="302"/>
      <c r="AEI187" s="302"/>
      <c r="AEJ187" s="302"/>
      <c r="AEK187" s="302"/>
      <c r="AEL187" s="302"/>
      <c r="AEM187" s="302"/>
      <c r="AEN187" s="302"/>
      <c r="AEO187" s="302"/>
      <c r="AEP187" s="302"/>
      <c r="AEQ187" s="302"/>
      <c r="AER187" s="302"/>
      <c r="AES187" s="302"/>
      <c r="AET187" s="302"/>
      <c r="AEU187" s="302"/>
      <c r="AEV187" s="302"/>
      <c r="AEW187" s="302"/>
      <c r="AEX187" s="302"/>
      <c r="AEY187" s="302"/>
      <c r="AEZ187" s="302"/>
      <c r="AFA187" s="302"/>
      <c r="AFB187" s="302"/>
      <c r="AFC187" s="302"/>
      <c r="AFD187" s="302"/>
      <c r="AFE187" s="302"/>
      <c r="AFF187" s="302"/>
      <c r="AFG187" s="302"/>
      <c r="AFH187" s="302"/>
      <c r="AFI187" s="302"/>
      <c r="AFJ187" s="302"/>
      <c r="AFK187" s="302"/>
      <c r="AFL187" s="302"/>
      <c r="AFM187" s="302"/>
      <c r="AFN187" s="302"/>
      <c r="AFO187" s="302"/>
      <c r="AFP187" s="302"/>
      <c r="AFQ187" s="302"/>
      <c r="AFR187" s="302"/>
      <c r="AFS187" s="302"/>
      <c r="AFT187" s="302"/>
      <c r="AFU187" s="302"/>
      <c r="AFV187" s="302"/>
      <c r="AFW187" s="302"/>
      <c r="AFX187" s="302"/>
      <c r="AFY187" s="302"/>
      <c r="AFZ187" s="302"/>
      <c r="AGA187" s="302"/>
      <c r="AGB187" s="302"/>
      <c r="AGC187" s="302"/>
      <c r="AGD187" s="302"/>
      <c r="AGE187" s="302"/>
      <c r="AGF187" s="302"/>
      <c r="AGG187" s="302"/>
      <c r="AGH187" s="302"/>
      <c r="AGI187" s="302"/>
      <c r="AGJ187" s="302"/>
      <c r="AGK187" s="302"/>
      <c r="AGL187" s="302"/>
      <c r="AGM187" s="302"/>
      <c r="AGN187" s="302"/>
      <c r="AGO187" s="302"/>
      <c r="AGP187" s="302"/>
      <c r="AGQ187" s="302"/>
      <c r="AGR187" s="302"/>
      <c r="AGS187" s="302"/>
      <c r="AGT187" s="302"/>
      <c r="AGU187" s="302"/>
      <c r="AGV187" s="302"/>
      <c r="AGW187" s="302"/>
      <c r="AGX187" s="302"/>
      <c r="AGY187" s="302"/>
      <c r="AGZ187" s="302"/>
      <c r="AHA187" s="302"/>
      <c r="AHB187" s="302"/>
      <c r="AHC187" s="302"/>
      <c r="AHD187" s="302"/>
      <c r="AHE187" s="302"/>
      <c r="AHF187" s="302"/>
      <c r="AHG187" s="302"/>
      <c r="AHH187" s="302"/>
      <c r="AHI187" s="302"/>
      <c r="AHJ187" s="302"/>
      <c r="AHK187" s="302"/>
      <c r="AHL187" s="302"/>
      <c r="AHM187" s="302"/>
      <c r="AHN187" s="302"/>
      <c r="AHO187" s="302"/>
      <c r="AHP187" s="302"/>
      <c r="AHQ187" s="302"/>
      <c r="AHR187" s="302"/>
      <c r="AHS187" s="302"/>
      <c r="AHT187" s="302"/>
      <c r="AHU187" s="302"/>
      <c r="AHV187" s="302"/>
      <c r="AHW187" s="302"/>
      <c r="AHX187" s="302"/>
      <c r="AHY187" s="302"/>
      <c r="AHZ187" s="302"/>
      <c r="AIA187" s="302"/>
      <c r="AIB187" s="302"/>
      <c r="AIC187" s="302"/>
      <c r="AID187" s="302"/>
      <c r="AIE187" s="302"/>
      <c r="AIF187" s="302"/>
      <c r="AIG187" s="302"/>
      <c r="AIH187" s="302"/>
      <c r="AII187" s="302"/>
      <c r="AIJ187" s="302"/>
      <c r="AIK187" s="302"/>
      <c r="AIL187" s="302"/>
      <c r="AIM187" s="302"/>
      <c r="AIN187" s="302"/>
      <c r="AIO187" s="302"/>
      <c r="AIP187" s="302"/>
      <c r="AIQ187" s="302"/>
      <c r="AIR187" s="302"/>
      <c r="AIS187" s="302"/>
      <c r="AIT187" s="302"/>
      <c r="AIU187" s="302"/>
      <c r="AIV187" s="302"/>
      <c r="AIW187" s="302"/>
      <c r="AIX187" s="302"/>
      <c r="AIY187" s="302"/>
      <c r="AIZ187" s="302"/>
      <c r="AJA187" s="302"/>
      <c r="AJB187" s="302"/>
      <c r="AJC187" s="302"/>
      <c r="AJD187" s="302"/>
      <c r="AJE187" s="302"/>
      <c r="AJF187" s="302"/>
      <c r="AJG187" s="302"/>
      <c r="AJH187" s="302"/>
      <c r="AJI187" s="302"/>
      <c r="AJJ187" s="302"/>
      <c r="AJK187" s="302"/>
      <c r="AJL187" s="302"/>
      <c r="AJM187" s="302"/>
      <c r="AJN187" s="302"/>
      <c r="AJO187" s="302"/>
      <c r="AJP187" s="302"/>
      <c r="AJQ187" s="302"/>
      <c r="AJR187" s="302"/>
      <c r="AJS187" s="302"/>
      <c r="AJT187" s="302"/>
      <c r="AJU187" s="302"/>
      <c r="AJV187" s="302"/>
      <c r="AJW187" s="302"/>
      <c r="AJX187" s="302"/>
      <c r="AJY187" s="302"/>
      <c r="AJZ187" s="302"/>
      <c r="AKA187" s="302"/>
      <c r="AKB187" s="302"/>
      <c r="AKC187" s="302"/>
      <c r="AKD187" s="302"/>
      <c r="AKE187" s="302"/>
      <c r="AKF187" s="302"/>
      <c r="AKG187" s="302"/>
      <c r="AKH187" s="302"/>
      <c r="AKI187" s="302"/>
      <c r="AKJ187" s="302"/>
      <c r="AKK187" s="302"/>
      <c r="AKL187" s="302"/>
      <c r="AKM187" s="302"/>
      <c r="AKN187" s="302"/>
      <c r="AKO187" s="302"/>
      <c r="AKP187" s="302"/>
      <c r="AKQ187" s="302"/>
      <c r="AKR187" s="302"/>
      <c r="AKS187" s="302"/>
      <c r="AKT187" s="302"/>
      <c r="AKU187" s="302"/>
      <c r="AKV187" s="302"/>
      <c r="AKW187" s="302"/>
      <c r="AKX187" s="302"/>
      <c r="AKY187" s="302"/>
      <c r="AKZ187" s="302"/>
      <c r="ALA187" s="302"/>
      <c r="ALB187" s="302"/>
      <c r="ALC187" s="302"/>
      <c r="ALD187" s="302"/>
      <c r="ALE187" s="302"/>
      <c r="ALF187" s="302"/>
      <c r="ALG187" s="302"/>
      <c r="ALH187" s="302"/>
      <c r="ALI187" s="302"/>
      <c r="ALJ187" s="302"/>
      <c r="ALK187" s="302"/>
      <c r="ALL187" s="302"/>
      <c r="ALM187" s="302"/>
      <c r="ALN187" s="302"/>
      <c r="ALO187" s="302"/>
      <c r="ALP187" s="302"/>
      <c r="ALQ187" s="302"/>
      <c r="ALR187" s="302"/>
      <c r="ALS187" s="302"/>
      <c r="ALT187" s="302"/>
      <c r="ALU187" s="302"/>
      <c r="ALV187" s="302"/>
      <c r="ALW187" s="302"/>
      <c r="ALX187" s="302"/>
      <c r="ALY187" s="302"/>
      <c r="ALZ187" s="302"/>
      <c r="AMA187" s="302"/>
      <c r="AMB187" s="302"/>
      <c r="AMC187" s="302"/>
      <c r="AMD187" s="302"/>
      <c r="AME187" s="302"/>
      <c r="AMF187" s="302"/>
      <c r="AMG187" s="302"/>
      <c r="AMH187" s="302"/>
      <c r="AMI187" s="302"/>
    </row>
    <row r="188" spans="1:1023" hidden="1">
      <c r="A188" s="302"/>
      <c r="B188" s="116">
        <v>13696</v>
      </c>
      <c r="C188" s="113">
        <v>0.1</v>
      </c>
      <c r="D188" s="117" t="s">
        <v>415</v>
      </c>
      <c r="E188" s="12">
        <v>1848350</v>
      </c>
      <c r="F188" s="363">
        <v>0.02</v>
      </c>
      <c r="G188" s="369">
        <f>E188*F188</f>
        <v>36967</v>
      </c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2"/>
      <c r="AE188" s="302"/>
      <c r="AF188" s="302"/>
      <c r="AG188" s="302"/>
      <c r="AH188" s="302"/>
      <c r="AI188" s="302"/>
      <c r="AJ188" s="302"/>
      <c r="AK188" s="302"/>
      <c r="AL188" s="302"/>
      <c r="AM188" s="302"/>
      <c r="AN188" s="302"/>
      <c r="AO188" s="302"/>
      <c r="AP188" s="302"/>
      <c r="AQ188" s="302"/>
      <c r="AR188" s="302"/>
      <c r="AS188" s="302"/>
      <c r="AT188" s="302"/>
      <c r="AU188" s="302"/>
      <c r="AV188" s="302"/>
      <c r="AW188" s="302"/>
      <c r="AX188" s="302"/>
      <c r="AY188" s="302"/>
      <c r="AZ188" s="302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K188" s="302"/>
      <c r="BL188" s="302"/>
      <c r="BM188" s="302"/>
      <c r="BN188" s="302"/>
      <c r="BO188" s="302"/>
      <c r="BP188" s="302"/>
      <c r="BQ188" s="302"/>
      <c r="BR188" s="302"/>
      <c r="BS188" s="302"/>
      <c r="BT188" s="302"/>
      <c r="BU188" s="302"/>
      <c r="BV188" s="302"/>
      <c r="BW188" s="302"/>
      <c r="BX188" s="302"/>
      <c r="BY188" s="302"/>
      <c r="BZ188" s="302"/>
      <c r="CA188" s="302"/>
      <c r="CB188" s="302"/>
      <c r="CC188" s="302"/>
      <c r="CD188" s="302"/>
      <c r="CE188" s="302"/>
      <c r="CF188" s="302"/>
      <c r="CG188" s="302"/>
      <c r="CH188" s="302"/>
      <c r="CI188" s="302"/>
      <c r="CJ188" s="302"/>
      <c r="CK188" s="302"/>
      <c r="CL188" s="302"/>
      <c r="CM188" s="302"/>
      <c r="CN188" s="302"/>
      <c r="CO188" s="302"/>
      <c r="CP188" s="302"/>
      <c r="CQ188" s="302"/>
      <c r="CR188" s="302"/>
      <c r="CS188" s="302"/>
      <c r="CT188" s="302"/>
      <c r="CU188" s="302"/>
      <c r="CV188" s="302"/>
      <c r="CW188" s="302"/>
      <c r="CX188" s="302"/>
      <c r="CY188" s="302"/>
      <c r="CZ188" s="302"/>
      <c r="DA188" s="302"/>
      <c r="DB188" s="302"/>
      <c r="DC188" s="302"/>
      <c r="DD188" s="302"/>
      <c r="DE188" s="302"/>
      <c r="DF188" s="302"/>
      <c r="DG188" s="302"/>
      <c r="DH188" s="302"/>
      <c r="DI188" s="302"/>
      <c r="DJ188" s="302"/>
      <c r="DK188" s="302"/>
      <c r="DL188" s="302"/>
      <c r="DM188" s="302"/>
      <c r="DN188" s="302"/>
      <c r="DO188" s="302"/>
      <c r="DP188" s="302"/>
      <c r="DQ188" s="302"/>
      <c r="DR188" s="302"/>
      <c r="DS188" s="302"/>
      <c r="DT188" s="302"/>
      <c r="DU188" s="302"/>
      <c r="DV188" s="302"/>
      <c r="DW188" s="302"/>
      <c r="DX188" s="302"/>
      <c r="DY188" s="302"/>
      <c r="DZ188" s="302"/>
      <c r="EA188" s="302"/>
      <c r="EB188" s="302"/>
      <c r="EC188" s="302"/>
      <c r="ED188" s="302"/>
      <c r="EE188" s="302"/>
      <c r="EF188" s="302"/>
      <c r="EG188" s="302"/>
      <c r="EH188" s="302"/>
      <c r="EI188" s="302"/>
      <c r="EJ188" s="302"/>
      <c r="EK188" s="302"/>
      <c r="EL188" s="302"/>
      <c r="EM188" s="302"/>
      <c r="EN188" s="302"/>
      <c r="EO188" s="302"/>
      <c r="EP188" s="302"/>
      <c r="EQ188" s="302"/>
      <c r="ER188" s="302"/>
      <c r="ES188" s="302"/>
      <c r="ET188" s="302"/>
      <c r="EU188" s="302"/>
      <c r="EV188" s="302"/>
      <c r="EW188" s="302"/>
      <c r="EX188" s="302"/>
      <c r="EY188" s="302"/>
      <c r="EZ188" s="302"/>
      <c r="FA188" s="302"/>
      <c r="FB188" s="302"/>
      <c r="FC188" s="302"/>
      <c r="FD188" s="302"/>
      <c r="FE188" s="302"/>
      <c r="FF188" s="302"/>
      <c r="FG188" s="302"/>
      <c r="FH188" s="302"/>
      <c r="FI188" s="302"/>
      <c r="FJ188" s="302"/>
      <c r="FK188" s="302"/>
      <c r="FL188" s="302"/>
      <c r="FM188" s="302"/>
      <c r="FN188" s="302"/>
      <c r="FO188" s="302"/>
      <c r="FP188" s="302"/>
      <c r="FQ188" s="302"/>
      <c r="FR188" s="302"/>
      <c r="FS188" s="302"/>
      <c r="FT188" s="302"/>
      <c r="FU188" s="302"/>
      <c r="FV188" s="302"/>
      <c r="FW188" s="302"/>
      <c r="FX188" s="302"/>
      <c r="FY188" s="302"/>
      <c r="FZ188" s="302"/>
      <c r="GA188" s="302"/>
      <c r="GB188" s="302"/>
      <c r="GC188" s="302"/>
      <c r="GD188" s="302"/>
      <c r="GE188" s="302"/>
      <c r="GF188" s="302"/>
      <c r="GG188" s="302"/>
      <c r="GH188" s="302"/>
      <c r="GI188" s="302"/>
      <c r="GJ188" s="302"/>
      <c r="GK188" s="302"/>
      <c r="GL188" s="302"/>
      <c r="GM188" s="302"/>
      <c r="GN188" s="302"/>
      <c r="GO188" s="302"/>
      <c r="GP188" s="302"/>
      <c r="GQ188" s="302"/>
      <c r="GR188" s="302"/>
      <c r="GS188" s="302"/>
      <c r="GT188" s="302"/>
      <c r="GU188" s="302"/>
      <c r="GV188" s="302"/>
      <c r="GW188" s="302"/>
      <c r="GX188" s="302"/>
      <c r="GY188" s="302"/>
      <c r="GZ188" s="302"/>
      <c r="HA188" s="302"/>
      <c r="HB188" s="302"/>
      <c r="HC188" s="302"/>
      <c r="HD188" s="302"/>
      <c r="HE188" s="302"/>
      <c r="HF188" s="302"/>
      <c r="HG188" s="302"/>
      <c r="HH188" s="302"/>
      <c r="HI188" s="302"/>
      <c r="HJ188" s="302"/>
      <c r="HK188" s="302"/>
      <c r="HL188" s="302"/>
      <c r="HM188" s="302"/>
      <c r="HN188" s="302"/>
      <c r="HO188" s="302"/>
      <c r="HP188" s="302"/>
      <c r="HQ188" s="302"/>
      <c r="HR188" s="302"/>
      <c r="HS188" s="302"/>
      <c r="HT188" s="302"/>
      <c r="HU188" s="302"/>
      <c r="HV188" s="302"/>
      <c r="HW188" s="302"/>
      <c r="HX188" s="302"/>
      <c r="HY188" s="302"/>
      <c r="HZ188" s="302"/>
      <c r="IA188" s="302"/>
      <c r="IB188" s="302"/>
      <c r="IC188" s="302"/>
      <c r="ID188" s="302"/>
      <c r="IE188" s="302"/>
      <c r="IF188" s="302"/>
      <c r="IG188" s="302"/>
      <c r="IH188" s="302"/>
      <c r="II188" s="302"/>
      <c r="IJ188" s="302"/>
      <c r="IK188" s="302"/>
      <c r="IL188" s="302"/>
      <c r="IM188" s="302"/>
      <c r="IN188" s="302"/>
      <c r="IO188" s="302"/>
      <c r="IP188" s="302"/>
      <c r="IQ188" s="302"/>
      <c r="IR188" s="302"/>
      <c r="IS188" s="302"/>
      <c r="IT188" s="302"/>
      <c r="IU188" s="302"/>
      <c r="IV188" s="302"/>
      <c r="IW188" s="302"/>
      <c r="IX188" s="302"/>
      <c r="IY188" s="302"/>
      <c r="IZ188" s="302"/>
      <c r="JA188" s="302"/>
      <c r="JB188" s="302"/>
      <c r="JC188" s="302"/>
      <c r="JD188" s="302"/>
      <c r="JE188" s="302"/>
      <c r="JF188" s="302"/>
      <c r="JG188" s="302"/>
      <c r="JH188" s="302"/>
      <c r="JI188" s="302"/>
      <c r="JJ188" s="302"/>
      <c r="JK188" s="302"/>
      <c r="JL188" s="302"/>
      <c r="JM188" s="302"/>
      <c r="JN188" s="302"/>
      <c r="JO188" s="302"/>
      <c r="JP188" s="302"/>
      <c r="JQ188" s="302"/>
      <c r="JR188" s="302"/>
      <c r="JS188" s="302"/>
      <c r="JT188" s="302"/>
      <c r="JU188" s="302"/>
      <c r="JV188" s="302"/>
      <c r="JW188" s="302"/>
      <c r="JX188" s="302"/>
      <c r="JY188" s="302"/>
      <c r="JZ188" s="302"/>
      <c r="KA188" s="302"/>
      <c r="KB188" s="302"/>
      <c r="KC188" s="302"/>
      <c r="KD188" s="302"/>
      <c r="KE188" s="302"/>
      <c r="KF188" s="302"/>
      <c r="KG188" s="302"/>
      <c r="KH188" s="302"/>
      <c r="KI188" s="302"/>
      <c r="KJ188" s="302"/>
      <c r="KK188" s="302"/>
      <c r="KL188" s="302"/>
      <c r="KM188" s="302"/>
      <c r="KN188" s="302"/>
      <c r="KO188" s="302"/>
      <c r="KP188" s="302"/>
      <c r="KQ188" s="302"/>
      <c r="KR188" s="302"/>
      <c r="KS188" s="302"/>
      <c r="KT188" s="302"/>
      <c r="KU188" s="302"/>
      <c r="KV188" s="302"/>
      <c r="KW188" s="302"/>
      <c r="KX188" s="302"/>
      <c r="KY188" s="302"/>
      <c r="KZ188" s="302"/>
      <c r="LA188" s="302"/>
      <c r="LB188" s="302"/>
      <c r="LC188" s="302"/>
      <c r="LD188" s="302"/>
      <c r="LE188" s="302"/>
      <c r="LF188" s="302"/>
      <c r="LG188" s="302"/>
      <c r="LH188" s="302"/>
      <c r="LI188" s="302"/>
      <c r="LJ188" s="302"/>
      <c r="LK188" s="302"/>
      <c r="LL188" s="302"/>
      <c r="LM188" s="302"/>
      <c r="LN188" s="302"/>
      <c r="LO188" s="302"/>
      <c r="LP188" s="302"/>
      <c r="LQ188" s="302"/>
      <c r="LR188" s="302"/>
      <c r="LS188" s="302"/>
      <c r="LT188" s="302"/>
      <c r="LU188" s="302"/>
      <c r="LV188" s="302"/>
      <c r="LW188" s="302"/>
      <c r="LX188" s="302"/>
      <c r="LY188" s="302"/>
      <c r="LZ188" s="302"/>
      <c r="MA188" s="302"/>
      <c r="MB188" s="302"/>
      <c r="MC188" s="302"/>
      <c r="MD188" s="302"/>
      <c r="ME188" s="302"/>
      <c r="MF188" s="302"/>
      <c r="MG188" s="302"/>
      <c r="MH188" s="302"/>
      <c r="MI188" s="302"/>
      <c r="MJ188" s="302"/>
      <c r="MK188" s="302"/>
      <c r="ML188" s="302"/>
      <c r="MM188" s="302"/>
      <c r="MN188" s="302"/>
      <c r="MO188" s="302"/>
      <c r="MP188" s="302"/>
      <c r="MQ188" s="302"/>
      <c r="MR188" s="302"/>
      <c r="MS188" s="302"/>
      <c r="MT188" s="302"/>
      <c r="MU188" s="302"/>
      <c r="MV188" s="302"/>
      <c r="MW188" s="302"/>
      <c r="MX188" s="302"/>
      <c r="MY188" s="302"/>
      <c r="MZ188" s="302"/>
      <c r="NA188" s="302"/>
      <c r="NB188" s="302"/>
      <c r="NC188" s="302"/>
      <c r="ND188" s="302"/>
      <c r="NE188" s="302"/>
      <c r="NF188" s="302"/>
      <c r="NG188" s="302"/>
      <c r="NH188" s="302"/>
      <c r="NI188" s="302"/>
      <c r="NJ188" s="302"/>
      <c r="NK188" s="302"/>
      <c r="NL188" s="302"/>
      <c r="NM188" s="302"/>
      <c r="NN188" s="302"/>
      <c r="NO188" s="302"/>
      <c r="NP188" s="302"/>
      <c r="NQ188" s="302"/>
      <c r="NR188" s="302"/>
      <c r="NS188" s="302"/>
      <c r="NT188" s="302"/>
      <c r="NU188" s="302"/>
      <c r="NV188" s="302"/>
      <c r="NW188" s="302"/>
      <c r="NX188" s="302"/>
      <c r="NY188" s="302"/>
      <c r="NZ188" s="302"/>
      <c r="OA188" s="302"/>
      <c r="OB188" s="302"/>
      <c r="OC188" s="302"/>
      <c r="OD188" s="302"/>
      <c r="OE188" s="302"/>
      <c r="OF188" s="302"/>
      <c r="OG188" s="302"/>
      <c r="OH188" s="302"/>
      <c r="OI188" s="302"/>
      <c r="OJ188" s="302"/>
      <c r="OK188" s="302"/>
      <c r="OL188" s="302"/>
      <c r="OM188" s="302"/>
      <c r="ON188" s="302"/>
      <c r="OO188" s="302"/>
      <c r="OP188" s="302"/>
      <c r="OQ188" s="302"/>
      <c r="OR188" s="302"/>
      <c r="OS188" s="302"/>
      <c r="OT188" s="302"/>
      <c r="OU188" s="302"/>
      <c r="OV188" s="302"/>
      <c r="OW188" s="302"/>
      <c r="OX188" s="302"/>
      <c r="OY188" s="302"/>
      <c r="OZ188" s="302"/>
      <c r="PA188" s="302"/>
      <c r="PB188" s="302"/>
      <c r="PC188" s="302"/>
      <c r="PD188" s="302"/>
      <c r="PE188" s="302"/>
      <c r="PF188" s="302"/>
      <c r="PG188" s="302"/>
      <c r="PH188" s="302"/>
      <c r="PI188" s="302"/>
      <c r="PJ188" s="302"/>
      <c r="PK188" s="302"/>
      <c r="PL188" s="302"/>
      <c r="PM188" s="302"/>
      <c r="PN188" s="302"/>
      <c r="PO188" s="302"/>
      <c r="PP188" s="302"/>
      <c r="PQ188" s="302"/>
      <c r="PR188" s="302"/>
      <c r="PS188" s="302"/>
      <c r="PT188" s="302"/>
      <c r="PU188" s="302"/>
      <c r="PV188" s="302"/>
      <c r="PW188" s="302"/>
      <c r="PX188" s="302"/>
      <c r="PY188" s="302"/>
      <c r="PZ188" s="302"/>
      <c r="QA188" s="302"/>
      <c r="QB188" s="302"/>
      <c r="QC188" s="302"/>
      <c r="QD188" s="302"/>
      <c r="QE188" s="302"/>
      <c r="QF188" s="302"/>
      <c r="QG188" s="302"/>
      <c r="QH188" s="302"/>
      <c r="QI188" s="302"/>
      <c r="QJ188" s="302"/>
      <c r="QK188" s="302"/>
      <c r="QL188" s="302"/>
      <c r="QM188" s="302"/>
      <c r="QN188" s="302"/>
      <c r="QO188" s="302"/>
      <c r="QP188" s="302"/>
      <c r="QQ188" s="302"/>
      <c r="QR188" s="302"/>
      <c r="QS188" s="302"/>
      <c r="QT188" s="302"/>
      <c r="QU188" s="302"/>
      <c r="QV188" s="302"/>
      <c r="QW188" s="302"/>
      <c r="QX188" s="302"/>
      <c r="QY188" s="302"/>
      <c r="QZ188" s="302"/>
      <c r="RA188" s="302"/>
      <c r="RB188" s="302"/>
      <c r="RC188" s="302"/>
      <c r="RD188" s="302"/>
      <c r="RE188" s="302"/>
      <c r="RF188" s="302"/>
      <c r="RG188" s="302"/>
      <c r="RH188" s="302"/>
      <c r="RI188" s="302"/>
      <c r="RJ188" s="302"/>
      <c r="RK188" s="302"/>
      <c r="RL188" s="302"/>
      <c r="RM188" s="302"/>
      <c r="RN188" s="302"/>
      <c r="RO188" s="302"/>
      <c r="RP188" s="302"/>
      <c r="RQ188" s="302"/>
      <c r="RR188" s="302"/>
      <c r="RS188" s="302"/>
      <c r="RT188" s="302"/>
      <c r="RU188" s="302"/>
      <c r="RV188" s="302"/>
      <c r="RW188" s="302"/>
      <c r="RX188" s="302"/>
      <c r="RY188" s="302"/>
      <c r="RZ188" s="302"/>
      <c r="SA188" s="302"/>
      <c r="SB188" s="302"/>
      <c r="SC188" s="302"/>
      <c r="SD188" s="302"/>
      <c r="SE188" s="302"/>
      <c r="SF188" s="302"/>
      <c r="SG188" s="302"/>
      <c r="SH188" s="302"/>
      <c r="SI188" s="302"/>
      <c r="SJ188" s="302"/>
      <c r="SK188" s="302"/>
      <c r="SL188" s="302"/>
      <c r="SM188" s="302"/>
      <c r="SN188" s="302"/>
      <c r="SO188" s="302"/>
      <c r="SP188" s="302"/>
      <c r="SQ188" s="302"/>
      <c r="SR188" s="302"/>
      <c r="SS188" s="302"/>
      <c r="ST188" s="302"/>
      <c r="SU188" s="302"/>
      <c r="SV188" s="302"/>
      <c r="SW188" s="302"/>
      <c r="SX188" s="302"/>
      <c r="SY188" s="302"/>
      <c r="SZ188" s="302"/>
      <c r="TA188" s="302"/>
      <c r="TB188" s="302"/>
      <c r="TC188" s="302"/>
      <c r="TD188" s="302"/>
      <c r="TE188" s="302"/>
      <c r="TF188" s="302"/>
      <c r="TG188" s="302"/>
      <c r="TH188" s="302"/>
      <c r="TI188" s="302"/>
      <c r="TJ188" s="302"/>
      <c r="TK188" s="302"/>
      <c r="TL188" s="302"/>
      <c r="TM188" s="302"/>
      <c r="TN188" s="302"/>
      <c r="TO188" s="302"/>
      <c r="TP188" s="302"/>
      <c r="TQ188" s="302"/>
      <c r="TR188" s="302"/>
      <c r="TS188" s="302"/>
      <c r="TT188" s="302"/>
      <c r="TU188" s="302"/>
      <c r="TV188" s="302"/>
      <c r="TW188" s="302"/>
      <c r="TX188" s="302"/>
      <c r="TY188" s="302"/>
      <c r="TZ188" s="302"/>
      <c r="UA188" s="302"/>
      <c r="UB188" s="302"/>
      <c r="UC188" s="302"/>
      <c r="UD188" s="302"/>
      <c r="UE188" s="302"/>
      <c r="UF188" s="302"/>
      <c r="UG188" s="302"/>
      <c r="UH188" s="302"/>
      <c r="UI188" s="302"/>
      <c r="UJ188" s="302"/>
      <c r="UK188" s="302"/>
      <c r="UL188" s="302"/>
      <c r="UM188" s="302"/>
      <c r="UN188" s="302"/>
      <c r="UO188" s="302"/>
      <c r="UP188" s="302"/>
      <c r="UQ188" s="302"/>
      <c r="UR188" s="302"/>
      <c r="US188" s="302"/>
      <c r="UT188" s="302"/>
      <c r="UU188" s="302"/>
      <c r="UV188" s="302"/>
      <c r="UW188" s="302"/>
      <c r="UX188" s="302"/>
      <c r="UY188" s="302"/>
      <c r="UZ188" s="302"/>
      <c r="VA188" s="302"/>
      <c r="VB188" s="302"/>
      <c r="VC188" s="302"/>
      <c r="VD188" s="302"/>
      <c r="VE188" s="302"/>
      <c r="VF188" s="302"/>
      <c r="VG188" s="302"/>
      <c r="VH188" s="302"/>
      <c r="VI188" s="302"/>
      <c r="VJ188" s="302"/>
      <c r="VK188" s="302"/>
      <c r="VL188" s="302"/>
      <c r="VM188" s="302"/>
      <c r="VN188" s="302"/>
      <c r="VO188" s="302"/>
      <c r="VP188" s="302"/>
      <c r="VQ188" s="302"/>
      <c r="VR188" s="302"/>
      <c r="VS188" s="302"/>
      <c r="VT188" s="302"/>
      <c r="VU188" s="302"/>
      <c r="VV188" s="302"/>
      <c r="VW188" s="302"/>
      <c r="VX188" s="302"/>
      <c r="VY188" s="302"/>
      <c r="VZ188" s="302"/>
      <c r="WA188" s="302"/>
      <c r="WB188" s="302"/>
      <c r="WC188" s="302"/>
      <c r="WD188" s="302"/>
      <c r="WE188" s="302"/>
      <c r="WF188" s="302"/>
      <c r="WG188" s="302"/>
      <c r="WH188" s="302"/>
      <c r="WI188" s="302"/>
      <c r="WJ188" s="302"/>
      <c r="WK188" s="302"/>
      <c r="WL188" s="302"/>
      <c r="WM188" s="302"/>
      <c r="WN188" s="302"/>
      <c r="WO188" s="302"/>
      <c r="WP188" s="302"/>
      <c r="WQ188" s="302"/>
      <c r="WR188" s="302"/>
      <c r="WS188" s="302"/>
      <c r="WT188" s="302"/>
      <c r="WU188" s="302"/>
      <c r="WV188" s="302"/>
      <c r="WW188" s="302"/>
      <c r="WX188" s="302"/>
      <c r="WY188" s="302"/>
      <c r="WZ188" s="302"/>
      <c r="XA188" s="302"/>
      <c r="XB188" s="302"/>
      <c r="XC188" s="302"/>
      <c r="XD188" s="302"/>
      <c r="XE188" s="302"/>
      <c r="XF188" s="302"/>
      <c r="XG188" s="302"/>
      <c r="XH188" s="302"/>
      <c r="XI188" s="302"/>
      <c r="XJ188" s="302"/>
      <c r="XK188" s="302"/>
      <c r="XL188" s="302"/>
      <c r="XM188" s="302"/>
      <c r="XN188" s="302"/>
      <c r="XO188" s="302"/>
      <c r="XP188" s="302"/>
      <c r="XQ188" s="302"/>
      <c r="XR188" s="302"/>
      <c r="XS188" s="302"/>
      <c r="XT188" s="302"/>
      <c r="XU188" s="302"/>
      <c r="XV188" s="302"/>
      <c r="XW188" s="302"/>
      <c r="XX188" s="302"/>
      <c r="XY188" s="302"/>
      <c r="XZ188" s="302"/>
      <c r="YA188" s="302"/>
      <c r="YB188" s="302"/>
      <c r="YC188" s="302"/>
      <c r="YD188" s="302"/>
      <c r="YE188" s="302"/>
      <c r="YF188" s="302"/>
      <c r="YG188" s="302"/>
      <c r="YH188" s="302"/>
      <c r="YI188" s="302"/>
      <c r="YJ188" s="302"/>
      <c r="YK188" s="302"/>
      <c r="YL188" s="302"/>
      <c r="YM188" s="302"/>
      <c r="YN188" s="302"/>
      <c r="YO188" s="302"/>
      <c r="YP188" s="302"/>
      <c r="YQ188" s="302"/>
      <c r="YR188" s="302"/>
      <c r="YS188" s="302"/>
      <c r="YT188" s="302"/>
      <c r="YU188" s="302"/>
      <c r="YV188" s="302"/>
      <c r="YW188" s="302"/>
      <c r="YX188" s="302"/>
      <c r="YY188" s="302"/>
      <c r="YZ188" s="302"/>
      <c r="ZA188" s="302"/>
      <c r="ZB188" s="302"/>
      <c r="ZC188" s="302"/>
      <c r="ZD188" s="302"/>
      <c r="ZE188" s="302"/>
      <c r="ZF188" s="302"/>
      <c r="ZG188" s="302"/>
      <c r="ZH188" s="302"/>
      <c r="ZI188" s="302"/>
      <c r="ZJ188" s="302"/>
      <c r="ZK188" s="302"/>
      <c r="ZL188" s="302"/>
      <c r="ZM188" s="302"/>
      <c r="ZN188" s="302"/>
      <c r="ZO188" s="302"/>
      <c r="ZP188" s="302"/>
      <c r="ZQ188" s="302"/>
      <c r="ZR188" s="302"/>
      <c r="ZS188" s="302"/>
      <c r="ZT188" s="302"/>
      <c r="ZU188" s="302"/>
      <c r="ZV188" s="302"/>
      <c r="ZW188" s="302"/>
      <c r="ZX188" s="302"/>
      <c r="ZY188" s="302"/>
      <c r="ZZ188" s="302"/>
      <c r="AAA188" s="302"/>
      <c r="AAB188" s="302"/>
      <c r="AAC188" s="302"/>
      <c r="AAD188" s="302"/>
      <c r="AAE188" s="302"/>
      <c r="AAF188" s="302"/>
      <c r="AAG188" s="302"/>
      <c r="AAH188" s="302"/>
      <c r="AAI188" s="302"/>
      <c r="AAJ188" s="302"/>
      <c r="AAK188" s="302"/>
      <c r="AAL188" s="302"/>
      <c r="AAM188" s="302"/>
      <c r="AAN188" s="302"/>
      <c r="AAO188" s="302"/>
      <c r="AAP188" s="302"/>
      <c r="AAQ188" s="302"/>
      <c r="AAR188" s="302"/>
      <c r="AAS188" s="302"/>
      <c r="AAT188" s="302"/>
      <c r="AAU188" s="302"/>
      <c r="AAV188" s="302"/>
      <c r="AAW188" s="302"/>
      <c r="AAX188" s="302"/>
      <c r="AAY188" s="302"/>
      <c r="AAZ188" s="302"/>
      <c r="ABA188" s="302"/>
      <c r="ABB188" s="302"/>
      <c r="ABC188" s="302"/>
      <c r="ABD188" s="302"/>
      <c r="ABE188" s="302"/>
      <c r="ABF188" s="302"/>
      <c r="ABG188" s="302"/>
      <c r="ABH188" s="302"/>
      <c r="ABI188" s="302"/>
      <c r="ABJ188" s="302"/>
      <c r="ABK188" s="302"/>
      <c r="ABL188" s="302"/>
      <c r="ABM188" s="302"/>
      <c r="ABN188" s="302"/>
      <c r="ABO188" s="302"/>
      <c r="ABP188" s="302"/>
      <c r="ABQ188" s="302"/>
      <c r="ABR188" s="302"/>
      <c r="ABS188" s="302"/>
      <c r="ABT188" s="302"/>
      <c r="ABU188" s="302"/>
      <c r="ABV188" s="302"/>
      <c r="ABW188" s="302"/>
      <c r="ABX188" s="302"/>
      <c r="ABY188" s="302"/>
      <c r="ABZ188" s="302"/>
      <c r="ACA188" s="302"/>
      <c r="ACB188" s="302"/>
      <c r="ACC188" s="302"/>
      <c r="ACD188" s="302"/>
      <c r="ACE188" s="302"/>
      <c r="ACF188" s="302"/>
      <c r="ACG188" s="302"/>
      <c r="ACH188" s="302"/>
      <c r="ACI188" s="302"/>
      <c r="ACJ188" s="302"/>
      <c r="ACK188" s="302"/>
      <c r="ACL188" s="302"/>
      <c r="ACM188" s="302"/>
      <c r="ACN188" s="302"/>
      <c r="ACO188" s="302"/>
      <c r="ACP188" s="302"/>
      <c r="ACQ188" s="302"/>
      <c r="ACR188" s="302"/>
      <c r="ACS188" s="302"/>
      <c r="ACT188" s="302"/>
      <c r="ACU188" s="302"/>
      <c r="ACV188" s="302"/>
      <c r="ACW188" s="302"/>
      <c r="ACX188" s="302"/>
      <c r="ACY188" s="302"/>
      <c r="ACZ188" s="302"/>
      <c r="ADA188" s="302"/>
      <c r="ADB188" s="302"/>
      <c r="ADC188" s="302"/>
      <c r="ADD188" s="302"/>
      <c r="ADE188" s="302"/>
      <c r="ADF188" s="302"/>
      <c r="ADG188" s="302"/>
      <c r="ADH188" s="302"/>
      <c r="ADI188" s="302"/>
      <c r="ADJ188" s="302"/>
      <c r="ADK188" s="302"/>
      <c r="ADL188" s="302"/>
      <c r="ADM188" s="302"/>
      <c r="ADN188" s="302"/>
      <c r="ADO188" s="302"/>
      <c r="ADP188" s="302"/>
      <c r="ADQ188" s="302"/>
      <c r="ADR188" s="302"/>
      <c r="ADS188" s="302"/>
      <c r="ADT188" s="302"/>
      <c r="ADU188" s="302"/>
      <c r="ADV188" s="302"/>
      <c r="ADW188" s="302"/>
      <c r="ADX188" s="302"/>
      <c r="ADY188" s="302"/>
      <c r="ADZ188" s="302"/>
      <c r="AEA188" s="302"/>
      <c r="AEB188" s="302"/>
      <c r="AEC188" s="302"/>
      <c r="AED188" s="302"/>
      <c r="AEE188" s="302"/>
      <c r="AEF188" s="302"/>
      <c r="AEG188" s="302"/>
      <c r="AEH188" s="302"/>
      <c r="AEI188" s="302"/>
      <c r="AEJ188" s="302"/>
      <c r="AEK188" s="302"/>
      <c r="AEL188" s="302"/>
      <c r="AEM188" s="302"/>
      <c r="AEN188" s="302"/>
      <c r="AEO188" s="302"/>
      <c r="AEP188" s="302"/>
      <c r="AEQ188" s="302"/>
      <c r="AER188" s="302"/>
      <c r="AES188" s="302"/>
      <c r="AET188" s="302"/>
      <c r="AEU188" s="302"/>
      <c r="AEV188" s="302"/>
      <c r="AEW188" s="302"/>
      <c r="AEX188" s="302"/>
      <c r="AEY188" s="302"/>
      <c r="AEZ188" s="302"/>
      <c r="AFA188" s="302"/>
      <c r="AFB188" s="302"/>
      <c r="AFC188" s="302"/>
      <c r="AFD188" s="302"/>
      <c r="AFE188" s="302"/>
      <c r="AFF188" s="302"/>
      <c r="AFG188" s="302"/>
      <c r="AFH188" s="302"/>
      <c r="AFI188" s="302"/>
      <c r="AFJ188" s="302"/>
      <c r="AFK188" s="302"/>
      <c r="AFL188" s="302"/>
      <c r="AFM188" s="302"/>
      <c r="AFN188" s="302"/>
      <c r="AFO188" s="302"/>
      <c r="AFP188" s="302"/>
      <c r="AFQ188" s="302"/>
      <c r="AFR188" s="302"/>
      <c r="AFS188" s="302"/>
      <c r="AFT188" s="302"/>
      <c r="AFU188" s="302"/>
      <c r="AFV188" s="302"/>
      <c r="AFW188" s="302"/>
      <c r="AFX188" s="302"/>
      <c r="AFY188" s="302"/>
      <c r="AFZ188" s="302"/>
      <c r="AGA188" s="302"/>
      <c r="AGB188" s="302"/>
      <c r="AGC188" s="302"/>
      <c r="AGD188" s="302"/>
      <c r="AGE188" s="302"/>
      <c r="AGF188" s="302"/>
      <c r="AGG188" s="302"/>
      <c r="AGH188" s="302"/>
      <c r="AGI188" s="302"/>
      <c r="AGJ188" s="302"/>
      <c r="AGK188" s="302"/>
      <c r="AGL188" s="302"/>
      <c r="AGM188" s="302"/>
      <c r="AGN188" s="302"/>
      <c r="AGO188" s="302"/>
      <c r="AGP188" s="302"/>
      <c r="AGQ188" s="302"/>
      <c r="AGR188" s="302"/>
      <c r="AGS188" s="302"/>
      <c r="AGT188" s="302"/>
      <c r="AGU188" s="302"/>
      <c r="AGV188" s="302"/>
      <c r="AGW188" s="302"/>
      <c r="AGX188" s="302"/>
      <c r="AGY188" s="302"/>
      <c r="AGZ188" s="302"/>
      <c r="AHA188" s="302"/>
      <c r="AHB188" s="302"/>
      <c r="AHC188" s="302"/>
      <c r="AHD188" s="302"/>
      <c r="AHE188" s="302"/>
      <c r="AHF188" s="302"/>
      <c r="AHG188" s="302"/>
      <c r="AHH188" s="302"/>
      <c r="AHI188" s="302"/>
      <c r="AHJ188" s="302"/>
      <c r="AHK188" s="302"/>
      <c r="AHL188" s="302"/>
      <c r="AHM188" s="302"/>
      <c r="AHN188" s="302"/>
      <c r="AHO188" s="302"/>
      <c r="AHP188" s="302"/>
      <c r="AHQ188" s="302"/>
      <c r="AHR188" s="302"/>
      <c r="AHS188" s="302"/>
      <c r="AHT188" s="302"/>
      <c r="AHU188" s="302"/>
      <c r="AHV188" s="302"/>
      <c r="AHW188" s="302"/>
      <c r="AHX188" s="302"/>
      <c r="AHY188" s="302"/>
      <c r="AHZ188" s="302"/>
      <c r="AIA188" s="302"/>
      <c r="AIB188" s="302"/>
      <c r="AIC188" s="302"/>
      <c r="AID188" s="302"/>
      <c r="AIE188" s="302"/>
      <c r="AIF188" s="302"/>
      <c r="AIG188" s="302"/>
      <c r="AIH188" s="302"/>
      <c r="AII188" s="302"/>
      <c r="AIJ188" s="302"/>
      <c r="AIK188" s="302"/>
      <c r="AIL188" s="302"/>
      <c r="AIM188" s="302"/>
      <c r="AIN188" s="302"/>
      <c r="AIO188" s="302"/>
      <c r="AIP188" s="302"/>
      <c r="AIQ188" s="302"/>
      <c r="AIR188" s="302"/>
      <c r="AIS188" s="302"/>
      <c r="AIT188" s="302"/>
      <c r="AIU188" s="302"/>
      <c r="AIV188" s="302"/>
      <c r="AIW188" s="302"/>
      <c r="AIX188" s="302"/>
      <c r="AIY188" s="302"/>
      <c r="AIZ188" s="302"/>
      <c r="AJA188" s="302"/>
      <c r="AJB188" s="302"/>
      <c r="AJC188" s="302"/>
      <c r="AJD188" s="302"/>
      <c r="AJE188" s="302"/>
      <c r="AJF188" s="302"/>
      <c r="AJG188" s="302"/>
      <c r="AJH188" s="302"/>
      <c r="AJI188" s="302"/>
      <c r="AJJ188" s="302"/>
      <c r="AJK188" s="302"/>
      <c r="AJL188" s="302"/>
      <c r="AJM188" s="302"/>
      <c r="AJN188" s="302"/>
      <c r="AJO188" s="302"/>
      <c r="AJP188" s="302"/>
      <c r="AJQ188" s="302"/>
      <c r="AJR188" s="302"/>
      <c r="AJS188" s="302"/>
      <c r="AJT188" s="302"/>
      <c r="AJU188" s="302"/>
      <c r="AJV188" s="302"/>
      <c r="AJW188" s="302"/>
      <c r="AJX188" s="302"/>
      <c r="AJY188" s="302"/>
      <c r="AJZ188" s="302"/>
      <c r="AKA188" s="302"/>
      <c r="AKB188" s="302"/>
      <c r="AKC188" s="302"/>
      <c r="AKD188" s="302"/>
      <c r="AKE188" s="302"/>
      <c r="AKF188" s="302"/>
      <c r="AKG188" s="302"/>
      <c r="AKH188" s="302"/>
      <c r="AKI188" s="302"/>
      <c r="AKJ188" s="302"/>
      <c r="AKK188" s="302"/>
      <c r="AKL188" s="302"/>
      <c r="AKM188" s="302"/>
      <c r="AKN188" s="302"/>
      <c r="AKO188" s="302"/>
      <c r="AKP188" s="302"/>
      <c r="AKQ188" s="302"/>
      <c r="AKR188" s="302"/>
      <c r="AKS188" s="302"/>
      <c r="AKT188" s="302"/>
      <c r="AKU188" s="302"/>
      <c r="AKV188" s="302"/>
      <c r="AKW188" s="302"/>
      <c r="AKX188" s="302"/>
      <c r="AKY188" s="302"/>
      <c r="AKZ188" s="302"/>
      <c r="ALA188" s="302"/>
      <c r="ALB188" s="302"/>
      <c r="ALC188" s="302"/>
      <c r="ALD188" s="302"/>
      <c r="ALE188" s="302"/>
      <c r="ALF188" s="302"/>
      <c r="ALG188" s="302"/>
      <c r="ALH188" s="302"/>
      <c r="ALI188" s="302"/>
      <c r="ALJ188" s="302"/>
      <c r="ALK188" s="302"/>
      <c r="ALL188" s="302"/>
      <c r="ALM188" s="302"/>
      <c r="ALN188" s="302"/>
      <c r="ALO188" s="302"/>
      <c r="ALP188" s="302"/>
      <c r="ALQ188" s="302"/>
      <c r="ALR188" s="302"/>
      <c r="ALS188" s="302"/>
      <c r="ALT188" s="302"/>
      <c r="ALU188" s="302"/>
      <c r="ALV188" s="302"/>
      <c r="ALW188" s="302"/>
      <c r="ALX188" s="302"/>
      <c r="ALY188" s="302"/>
      <c r="ALZ188" s="302"/>
      <c r="AMA188" s="302"/>
      <c r="AMB188" s="302"/>
      <c r="AMC188" s="302"/>
      <c r="AMD188" s="302"/>
      <c r="AME188" s="302"/>
      <c r="AMF188" s="302"/>
      <c r="AMG188" s="302"/>
      <c r="AMH188" s="302"/>
      <c r="AMI188" s="302"/>
    </row>
    <row r="189" spans="1:1023" hidden="1">
      <c r="A189" s="302"/>
      <c r="B189" s="15">
        <v>13738</v>
      </c>
      <c r="C189" s="10">
        <v>0.1</v>
      </c>
      <c r="D189" s="11" t="s">
        <v>416</v>
      </c>
      <c r="E189" s="12">
        <v>2000000</v>
      </c>
      <c r="F189" s="363">
        <v>0.02</v>
      </c>
      <c r="G189" s="369">
        <f>E189*F189</f>
        <v>40000</v>
      </c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2"/>
      <c r="AE189" s="302"/>
      <c r="AF189" s="302"/>
      <c r="AG189" s="302"/>
      <c r="AH189" s="302"/>
      <c r="AI189" s="302"/>
      <c r="AJ189" s="302"/>
      <c r="AK189" s="302"/>
      <c r="AL189" s="302"/>
      <c r="AM189" s="302"/>
      <c r="AN189" s="302"/>
      <c r="AO189" s="302"/>
      <c r="AP189" s="302"/>
      <c r="AQ189" s="302"/>
      <c r="AR189" s="302"/>
      <c r="AS189" s="302"/>
      <c r="AT189" s="302"/>
      <c r="AU189" s="302"/>
      <c r="AV189" s="302"/>
      <c r="AW189" s="302"/>
      <c r="AX189" s="302"/>
      <c r="AY189" s="302"/>
      <c r="AZ189" s="302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K189" s="302"/>
      <c r="BL189" s="302"/>
      <c r="BM189" s="302"/>
      <c r="BN189" s="302"/>
      <c r="BO189" s="302"/>
      <c r="BP189" s="302"/>
      <c r="BQ189" s="302"/>
      <c r="BR189" s="302"/>
      <c r="BS189" s="302"/>
      <c r="BT189" s="302"/>
      <c r="BU189" s="302"/>
      <c r="BV189" s="302"/>
      <c r="BW189" s="302"/>
      <c r="BX189" s="302"/>
      <c r="BY189" s="302"/>
      <c r="BZ189" s="302"/>
      <c r="CA189" s="302"/>
      <c r="CB189" s="302"/>
      <c r="CC189" s="302"/>
      <c r="CD189" s="302"/>
      <c r="CE189" s="302"/>
      <c r="CF189" s="302"/>
      <c r="CG189" s="302"/>
      <c r="CH189" s="302"/>
      <c r="CI189" s="302"/>
      <c r="CJ189" s="302"/>
      <c r="CK189" s="302"/>
      <c r="CL189" s="302"/>
      <c r="CM189" s="302"/>
      <c r="CN189" s="302"/>
      <c r="CO189" s="302"/>
      <c r="CP189" s="302"/>
      <c r="CQ189" s="302"/>
      <c r="CR189" s="302"/>
      <c r="CS189" s="302"/>
      <c r="CT189" s="302"/>
      <c r="CU189" s="302"/>
      <c r="CV189" s="302"/>
      <c r="CW189" s="302"/>
      <c r="CX189" s="302"/>
      <c r="CY189" s="302"/>
      <c r="CZ189" s="302"/>
      <c r="DA189" s="302"/>
      <c r="DB189" s="302"/>
      <c r="DC189" s="302"/>
      <c r="DD189" s="302"/>
      <c r="DE189" s="302"/>
      <c r="DF189" s="302"/>
      <c r="DG189" s="302"/>
      <c r="DH189" s="302"/>
      <c r="DI189" s="302"/>
      <c r="DJ189" s="302"/>
      <c r="DK189" s="302"/>
      <c r="DL189" s="302"/>
      <c r="DM189" s="302"/>
      <c r="DN189" s="302"/>
      <c r="DO189" s="302"/>
      <c r="DP189" s="302"/>
      <c r="DQ189" s="302"/>
      <c r="DR189" s="302"/>
      <c r="DS189" s="302"/>
      <c r="DT189" s="302"/>
      <c r="DU189" s="302"/>
      <c r="DV189" s="302"/>
      <c r="DW189" s="302"/>
      <c r="DX189" s="302"/>
      <c r="DY189" s="302"/>
      <c r="DZ189" s="302"/>
      <c r="EA189" s="302"/>
      <c r="EB189" s="302"/>
      <c r="EC189" s="302"/>
      <c r="ED189" s="302"/>
      <c r="EE189" s="302"/>
      <c r="EF189" s="302"/>
      <c r="EG189" s="302"/>
      <c r="EH189" s="302"/>
      <c r="EI189" s="302"/>
      <c r="EJ189" s="302"/>
      <c r="EK189" s="302"/>
      <c r="EL189" s="302"/>
      <c r="EM189" s="302"/>
      <c r="EN189" s="302"/>
      <c r="EO189" s="302"/>
      <c r="EP189" s="302"/>
      <c r="EQ189" s="302"/>
      <c r="ER189" s="302"/>
      <c r="ES189" s="302"/>
      <c r="ET189" s="302"/>
      <c r="EU189" s="302"/>
      <c r="EV189" s="302"/>
      <c r="EW189" s="302"/>
      <c r="EX189" s="302"/>
      <c r="EY189" s="302"/>
      <c r="EZ189" s="302"/>
      <c r="FA189" s="302"/>
      <c r="FB189" s="302"/>
      <c r="FC189" s="302"/>
      <c r="FD189" s="302"/>
      <c r="FE189" s="302"/>
      <c r="FF189" s="302"/>
      <c r="FG189" s="302"/>
      <c r="FH189" s="302"/>
      <c r="FI189" s="302"/>
      <c r="FJ189" s="302"/>
      <c r="FK189" s="302"/>
      <c r="FL189" s="302"/>
      <c r="FM189" s="302"/>
      <c r="FN189" s="302"/>
      <c r="FO189" s="302"/>
      <c r="FP189" s="302"/>
      <c r="FQ189" s="302"/>
      <c r="FR189" s="302"/>
      <c r="FS189" s="302"/>
      <c r="FT189" s="302"/>
      <c r="FU189" s="302"/>
      <c r="FV189" s="302"/>
      <c r="FW189" s="302"/>
      <c r="FX189" s="302"/>
      <c r="FY189" s="302"/>
      <c r="FZ189" s="302"/>
      <c r="GA189" s="302"/>
      <c r="GB189" s="302"/>
      <c r="GC189" s="302"/>
      <c r="GD189" s="302"/>
      <c r="GE189" s="302"/>
      <c r="GF189" s="302"/>
      <c r="GG189" s="302"/>
      <c r="GH189" s="302"/>
      <c r="GI189" s="302"/>
      <c r="GJ189" s="302"/>
      <c r="GK189" s="302"/>
      <c r="GL189" s="302"/>
      <c r="GM189" s="302"/>
      <c r="GN189" s="302"/>
      <c r="GO189" s="302"/>
      <c r="GP189" s="302"/>
      <c r="GQ189" s="302"/>
      <c r="GR189" s="302"/>
      <c r="GS189" s="302"/>
      <c r="GT189" s="302"/>
      <c r="GU189" s="302"/>
      <c r="GV189" s="302"/>
      <c r="GW189" s="302"/>
      <c r="GX189" s="302"/>
      <c r="GY189" s="302"/>
      <c r="GZ189" s="302"/>
      <c r="HA189" s="302"/>
      <c r="HB189" s="302"/>
      <c r="HC189" s="302"/>
      <c r="HD189" s="302"/>
      <c r="HE189" s="302"/>
      <c r="HF189" s="302"/>
      <c r="HG189" s="302"/>
      <c r="HH189" s="302"/>
      <c r="HI189" s="302"/>
      <c r="HJ189" s="302"/>
      <c r="HK189" s="302"/>
      <c r="HL189" s="302"/>
      <c r="HM189" s="302"/>
      <c r="HN189" s="302"/>
      <c r="HO189" s="302"/>
      <c r="HP189" s="302"/>
      <c r="HQ189" s="302"/>
      <c r="HR189" s="302"/>
      <c r="HS189" s="302"/>
      <c r="HT189" s="302"/>
      <c r="HU189" s="302"/>
      <c r="HV189" s="302"/>
      <c r="HW189" s="302"/>
      <c r="HX189" s="302"/>
      <c r="HY189" s="302"/>
      <c r="HZ189" s="302"/>
      <c r="IA189" s="302"/>
      <c r="IB189" s="302"/>
      <c r="IC189" s="302"/>
      <c r="ID189" s="302"/>
      <c r="IE189" s="302"/>
      <c r="IF189" s="302"/>
      <c r="IG189" s="302"/>
      <c r="IH189" s="302"/>
      <c r="II189" s="302"/>
      <c r="IJ189" s="302"/>
      <c r="IK189" s="302"/>
      <c r="IL189" s="302"/>
      <c r="IM189" s="302"/>
      <c r="IN189" s="302"/>
      <c r="IO189" s="302"/>
      <c r="IP189" s="302"/>
      <c r="IQ189" s="302"/>
      <c r="IR189" s="302"/>
      <c r="IS189" s="302"/>
      <c r="IT189" s="302"/>
      <c r="IU189" s="302"/>
      <c r="IV189" s="302"/>
      <c r="IW189" s="302"/>
      <c r="IX189" s="302"/>
      <c r="IY189" s="302"/>
      <c r="IZ189" s="302"/>
      <c r="JA189" s="302"/>
      <c r="JB189" s="302"/>
      <c r="JC189" s="302"/>
      <c r="JD189" s="302"/>
      <c r="JE189" s="302"/>
      <c r="JF189" s="302"/>
      <c r="JG189" s="302"/>
      <c r="JH189" s="302"/>
      <c r="JI189" s="302"/>
      <c r="JJ189" s="302"/>
      <c r="JK189" s="302"/>
      <c r="JL189" s="302"/>
      <c r="JM189" s="302"/>
      <c r="JN189" s="302"/>
      <c r="JO189" s="302"/>
      <c r="JP189" s="302"/>
      <c r="JQ189" s="302"/>
      <c r="JR189" s="302"/>
      <c r="JS189" s="302"/>
      <c r="JT189" s="302"/>
      <c r="JU189" s="302"/>
      <c r="JV189" s="302"/>
      <c r="JW189" s="302"/>
      <c r="JX189" s="302"/>
      <c r="JY189" s="302"/>
      <c r="JZ189" s="302"/>
      <c r="KA189" s="302"/>
      <c r="KB189" s="302"/>
      <c r="KC189" s="302"/>
      <c r="KD189" s="302"/>
      <c r="KE189" s="302"/>
      <c r="KF189" s="302"/>
      <c r="KG189" s="302"/>
      <c r="KH189" s="302"/>
      <c r="KI189" s="302"/>
      <c r="KJ189" s="302"/>
      <c r="KK189" s="302"/>
      <c r="KL189" s="302"/>
      <c r="KM189" s="302"/>
      <c r="KN189" s="302"/>
      <c r="KO189" s="302"/>
      <c r="KP189" s="302"/>
      <c r="KQ189" s="302"/>
      <c r="KR189" s="302"/>
      <c r="KS189" s="302"/>
      <c r="KT189" s="302"/>
      <c r="KU189" s="302"/>
      <c r="KV189" s="302"/>
      <c r="KW189" s="302"/>
      <c r="KX189" s="302"/>
      <c r="KY189" s="302"/>
      <c r="KZ189" s="302"/>
      <c r="LA189" s="302"/>
      <c r="LB189" s="302"/>
      <c r="LC189" s="302"/>
      <c r="LD189" s="302"/>
      <c r="LE189" s="302"/>
      <c r="LF189" s="302"/>
      <c r="LG189" s="302"/>
      <c r="LH189" s="302"/>
      <c r="LI189" s="302"/>
      <c r="LJ189" s="302"/>
      <c r="LK189" s="302"/>
      <c r="LL189" s="302"/>
      <c r="LM189" s="302"/>
      <c r="LN189" s="302"/>
      <c r="LO189" s="302"/>
      <c r="LP189" s="302"/>
      <c r="LQ189" s="302"/>
      <c r="LR189" s="302"/>
      <c r="LS189" s="302"/>
      <c r="LT189" s="302"/>
      <c r="LU189" s="302"/>
      <c r="LV189" s="302"/>
      <c r="LW189" s="302"/>
      <c r="LX189" s="302"/>
      <c r="LY189" s="302"/>
      <c r="LZ189" s="302"/>
      <c r="MA189" s="302"/>
      <c r="MB189" s="302"/>
      <c r="MC189" s="302"/>
      <c r="MD189" s="302"/>
      <c r="ME189" s="302"/>
      <c r="MF189" s="302"/>
      <c r="MG189" s="302"/>
      <c r="MH189" s="302"/>
      <c r="MI189" s="302"/>
      <c r="MJ189" s="302"/>
      <c r="MK189" s="302"/>
      <c r="ML189" s="302"/>
      <c r="MM189" s="302"/>
      <c r="MN189" s="302"/>
      <c r="MO189" s="302"/>
      <c r="MP189" s="302"/>
      <c r="MQ189" s="302"/>
      <c r="MR189" s="302"/>
      <c r="MS189" s="302"/>
      <c r="MT189" s="302"/>
      <c r="MU189" s="302"/>
      <c r="MV189" s="302"/>
      <c r="MW189" s="302"/>
      <c r="MX189" s="302"/>
      <c r="MY189" s="302"/>
      <c r="MZ189" s="302"/>
      <c r="NA189" s="302"/>
      <c r="NB189" s="302"/>
      <c r="NC189" s="302"/>
      <c r="ND189" s="302"/>
      <c r="NE189" s="302"/>
      <c r="NF189" s="302"/>
      <c r="NG189" s="302"/>
      <c r="NH189" s="302"/>
      <c r="NI189" s="302"/>
      <c r="NJ189" s="302"/>
      <c r="NK189" s="302"/>
      <c r="NL189" s="302"/>
      <c r="NM189" s="302"/>
      <c r="NN189" s="302"/>
      <c r="NO189" s="302"/>
      <c r="NP189" s="302"/>
      <c r="NQ189" s="302"/>
      <c r="NR189" s="302"/>
      <c r="NS189" s="302"/>
      <c r="NT189" s="302"/>
      <c r="NU189" s="302"/>
      <c r="NV189" s="302"/>
      <c r="NW189" s="302"/>
      <c r="NX189" s="302"/>
      <c r="NY189" s="302"/>
      <c r="NZ189" s="302"/>
      <c r="OA189" s="302"/>
      <c r="OB189" s="302"/>
      <c r="OC189" s="302"/>
      <c r="OD189" s="302"/>
      <c r="OE189" s="302"/>
      <c r="OF189" s="302"/>
      <c r="OG189" s="302"/>
      <c r="OH189" s="302"/>
      <c r="OI189" s="302"/>
      <c r="OJ189" s="302"/>
      <c r="OK189" s="302"/>
      <c r="OL189" s="302"/>
      <c r="OM189" s="302"/>
      <c r="ON189" s="302"/>
      <c r="OO189" s="302"/>
      <c r="OP189" s="302"/>
      <c r="OQ189" s="302"/>
      <c r="OR189" s="302"/>
      <c r="OS189" s="302"/>
      <c r="OT189" s="302"/>
      <c r="OU189" s="302"/>
      <c r="OV189" s="302"/>
      <c r="OW189" s="302"/>
      <c r="OX189" s="302"/>
      <c r="OY189" s="302"/>
      <c r="OZ189" s="302"/>
      <c r="PA189" s="302"/>
      <c r="PB189" s="302"/>
      <c r="PC189" s="302"/>
      <c r="PD189" s="302"/>
      <c r="PE189" s="302"/>
      <c r="PF189" s="302"/>
      <c r="PG189" s="302"/>
      <c r="PH189" s="302"/>
      <c r="PI189" s="302"/>
      <c r="PJ189" s="302"/>
      <c r="PK189" s="302"/>
      <c r="PL189" s="302"/>
      <c r="PM189" s="302"/>
      <c r="PN189" s="302"/>
      <c r="PO189" s="302"/>
      <c r="PP189" s="302"/>
      <c r="PQ189" s="302"/>
      <c r="PR189" s="302"/>
      <c r="PS189" s="302"/>
      <c r="PT189" s="302"/>
      <c r="PU189" s="302"/>
      <c r="PV189" s="302"/>
      <c r="PW189" s="302"/>
      <c r="PX189" s="302"/>
      <c r="PY189" s="302"/>
      <c r="PZ189" s="302"/>
      <c r="QA189" s="302"/>
      <c r="QB189" s="302"/>
      <c r="QC189" s="302"/>
      <c r="QD189" s="302"/>
      <c r="QE189" s="302"/>
      <c r="QF189" s="302"/>
      <c r="QG189" s="302"/>
      <c r="QH189" s="302"/>
      <c r="QI189" s="302"/>
      <c r="QJ189" s="302"/>
      <c r="QK189" s="302"/>
      <c r="QL189" s="302"/>
      <c r="QM189" s="302"/>
      <c r="QN189" s="302"/>
      <c r="QO189" s="302"/>
      <c r="QP189" s="302"/>
      <c r="QQ189" s="302"/>
      <c r="QR189" s="302"/>
      <c r="QS189" s="302"/>
      <c r="QT189" s="302"/>
      <c r="QU189" s="302"/>
      <c r="QV189" s="302"/>
      <c r="QW189" s="302"/>
      <c r="QX189" s="302"/>
      <c r="QY189" s="302"/>
      <c r="QZ189" s="302"/>
      <c r="RA189" s="302"/>
      <c r="RB189" s="302"/>
      <c r="RC189" s="302"/>
      <c r="RD189" s="302"/>
      <c r="RE189" s="302"/>
      <c r="RF189" s="302"/>
      <c r="RG189" s="302"/>
      <c r="RH189" s="302"/>
      <c r="RI189" s="302"/>
      <c r="RJ189" s="302"/>
      <c r="RK189" s="302"/>
      <c r="RL189" s="302"/>
      <c r="RM189" s="302"/>
      <c r="RN189" s="302"/>
      <c r="RO189" s="302"/>
      <c r="RP189" s="302"/>
      <c r="RQ189" s="302"/>
      <c r="RR189" s="302"/>
      <c r="RS189" s="302"/>
      <c r="RT189" s="302"/>
      <c r="RU189" s="302"/>
      <c r="RV189" s="302"/>
      <c r="RW189" s="302"/>
      <c r="RX189" s="302"/>
      <c r="RY189" s="302"/>
      <c r="RZ189" s="302"/>
      <c r="SA189" s="302"/>
      <c r="SB189" s="302"/>
      <c r="SC189" s="302"/>
      <c r="SD189" s="302"/>
      <c r="SE189" s="302"/>
      <c r="SF189" s="302"/>
      <c r="SG189" s="302"/>
      <c r="SH189" s="302"/>
      <c r="SI189" s="302"/>
      <c r="SJ189" s="302"/>
      <c r="SK189" s="302"/>
      <c r="SL189" s="302"/>
      <c r="SM189" s="302"/>
      <c r="SN189" s="302"/>
      <c r="SO189" s="302"/>
      <c r="SP189" s="302"/>
      <c r="SQ189" s="302"/>
      <c r="SR189" s="302"/>
      <c r="SS189" s="302"/>
      <c r="ST189" s="302"/>
      <c r="SU189" s="302"/>
      <c r="SV189" s="302"/>
      <c r="SW189" s="302"/>
      <c r="SX189" s="302"/>
      <c r="SY189" s="302"/>
      <c r="SZ189" s="302"/>
      <c r="TA189" s="302"/>
      <c r="TB189" s="302"/>
      <c r="TC189" s="302"/>
      <c r="TD189" s="302"/>
      <c r="TE189" s="302"/>
      <c r="TF189" s="302"/>
      <c r="TG189" s="302"/>
      <c r="TH189" s="302"/>
      <c r="TI189" s="302"/>
      <c r="TJ189" s="302"/>
      <c r="TK189" s="302"/>
      <c r="TL189" s="302"/>
      <c r="TM189" s="302"/>
      <c r="TN189" s="302"/>
      <c r="TO189" s="302"/>
      <c r="TP189" s="302"/>
      <c r="TQ189" s="302"/>
      <c r="TR189" s="302"/>
      <c r="TS189" s="302"/>
      <c r="TT189" s="302"/>
      <c r="TU189" s="302"/>
      <c r="TV189" s="302"/>
      <c r="TW189" s="302"/>
      <c r="TX189" s="302"/>
      <c r="TY189" s="302"/>
      <c r="TZ189" s="302"/>
      <c r="UA189" s="302"/>
      <c r="UB189" s="302"/>
      <c r="UC189" s="302"/>
      <c r="UD189" s="302"/>
      <c r="UE189" s="302"/>
      <c r="UF189" s="302"/>
      <c r="UG189" s="302"/>
      <c r="UH189" s="302"/>
      <c r="UI189" s="302"/>
      <c r="UJ189" s="302"/>
      <c r="UK189" s="302"/>
      <c r="UL189" s="302"/>
      <c r="UM189" s="302"/>
      <c r="UN189" s="302"/>
      <c r="UO189" s="302"/>
      <c r="UP189" s="302"/>
      <c r="UQ189" s="302"/>
      <c r="UR189" s="302"/>
      <c r="US189" s="302"/>
      <c r="UT189" s="302"/>
      <c r="UU189" s="302"/>
      <c r="UV189" s="302"/>
      <c r="UW189" s="302"/>
      <c r="UX189" s="302"/>
      <c r="UY189" s="302"/>
      <c r="UZ189" s="302"/>
      <c r="VA189" s="302"/>
      <c r="VB189" s="302"/>
      <c r="VC189" s="302"/>
      <c r="VD189" s="302"/>
      <c r="VE189" s="302"/>
      <c r="VF189" s="302"/>
      <c r="VG189" s="302"/>
      <c r="VH189" s="302"/>
      <c r="VI189" s="302"/>
      <c r="VJ189" s="302"/>
      <c r="VK189" s="302"/>
      <c r="VL189" s="302"/>
      <c r="VM189" s="302"/>
      <c r="VN189" s="302"/>
      <c r="VO189" s="302"/>
      <c r="VP189" s="302"/>
      <c r="VQ189" s="302"/>
      <c r="VR189" s="302"/>
      <c r="VS189" s="302"/>
      <c r="VT189" s="302"/>
      <c r="VU189" s="302"/>
      <c r="VV189" s="302"/>
      <c r="VW189" s="302"/>
      <c r="VX189" s="302"/>
      <c r="VY189" s="302"/>
      <c r="VZ189" s="302"/>
      <c r="WA189" s="302"/>
      <c r="WB189" s="302"/>
      <c r="WC189" s="302"/>
      <c r="WD189" s="302"/>
      <c r="WE189" s="302"/>
      <c r="WF189" s="302"/>
      <c r="WG189" s="302"/>
      <c r="WH189" s="302"/>
      <c r="WI189" s="302"/>
      <c r="WJ189" s="302"/>
      <c r="WK189" s="302"/>
      <c r="WL189" s="302"/>
      <c r="WM189" s="302"/>
      <c r="WN189" s="302"/>
      <c r="WO189" s="302"/>
      <c r="WP189" s="302"/>
      <c r="WQ189" s="302"/>
      <c r="WR189" s="302"/>
      <c r="WS189" s="302"/>
      <c r="WT189" s="302"/>
      <c r="WU189" s="302"/>
      <c r="WV189" s="302"/>
      <c r="WW189" s="302"/>
      <c r="WX189" s="302"/>
      <c r="WY189" s="302"/>
      <c r="WZ189" s="302"/>
      <c r="XA189" s="302"/>
      <c r="XB189" s="302"/>
      <c r="XC189" s="302"/>
      <c r="XD189" s="302"/>
      <c r="XE189" s="302"/>
      <c r="XF189" s="302"/>
      <c r="XG189" s="302"/>
      <c r="XH189" s="302"/>
      <c r="XI189" s="302"/>
      <c r="XJ189" s="302"/>
      <c r="XK189" s="302"/>
      <c r="XL189" s="302"/>
      <c r="XM189" s="302"/>
      <c r="XN189" s="302"/>
      <c r="XO189" s="302"/>
      <c r="XP189" s="302"/>
      <c r="XQ189" s="302"/>
      <c r="XR189" s="302"/>
      <c r="XS189" s="302"/>
      <c r="XT189" s="302"/>
      <c r="XU189" s="302"/>
      <c r="XV189" s="302"/>
      <c r="XW189" s="302"/>
      <c r="XX189" s="302"/>
      <c r="XY189" s="302"/>
      <c r="XZ189" s="302"/>
      <c r="YA189" s="302"/>
      <c r="YB189" s="302"/>
      <c r="YC189" s="302"/>
      <c r="YD189" s="302"/>
      <c r="YE189" s="302"/>
      <c r="YF189" s="302"/>
      <c r="YG189" s="302"/>
      <c r="YH189" s="302"/>
      <c r="YI189" s="302"/>
      <c r="YJ189" s="302"/>
      <c r="YK189" s="302"/>
      <c r="YL189" s="302"/>
      <c r="YM189" s="302"/>
      <c r="YN189" s="302"/>
      <c r="YO189" s="302"/>
      <c r="YP189" s="302"/>
      <c r="YQ189" s="302"/>
      <c r="YR189" s="302"/>
      <c r="YS189" s="302"/>
      <c r="YT189" s="302"/>
      <c r="YU189" s="302"/>
      <c r="YV189" s="302"/>
      <c r="YW189" s="302"/>
      <c r="YX189" s="302"/>
      <c r="YY189" s="302"/>
      <c r="YZ189" s="302"/>
      <c r="ZA189" s="302"/>
      <c r="ZB189" s="302"/>
      <c r="ZC189" s="302"/>
      <c r="ZD189" s="302"/>
      <c r="ZE189" s="302"/>
      <c r="ZF189" s="302"/>
      <c r="ZG189" s="302"/>
      <c r="ZH189" s="302"/>
      <c r="ZI189" s="302"/>
      <c r="ZJ189" s="302"/>
      <c r="ZK189" s="302"/>
      <c r="ZL189" s="302"/>
      <c r="ZM189" s="302"/>
      <c r="ZN189" s="302"/>
      <c r="ZO189" s="302"/>
      <c r="ZP189" s="302"/>
      <c r="ZQ189" s="302"/>
      <c r="ZR189" s="302"/>
      <c r="ZS189" s="302"/>
      <c r="ZT189" s="302"/>
      <c r="ZU189" s="302"/>
      <c r="ZV189" s="302"/>
      <c r="ZW189" s="302"/>
      <c r="ZX189" s="302"/>
      <c r="ZY189" s="302"/>
      <c r="ZZ189" s="302"/>
      <c r="AAA189" s="302"/>
      <c r="AAB189" s="302"/>
      <c r="AAC189" s="302"/>
      <c r="AAD189" s="302"/>
      <c r="AAE189" s="302"/>
      <c r="AAF189" s="302"/>
      <c r="AAG189" s="302"/>
      <c r="AAH189" s="302"/>
      <c r="AAI189" s="302"/>
      <c r="AAJ189" s="302"/>
      <c r="AAK189" s="302"/>
      <c r="AAL189" s="302"/>
      <c r="AAM189" s="302"/>
      <c r="AAN189" s="302"/>
      <c r="AAO189" s="302"/>
      <c r="AAP189" s="302"/>
      <c r="AAQ189" s="302"/>
      <c r="AAR189" s="302"/>
      <c r="AAS189" s="302"/>
      <c r="AAT189" s="302"/>
      <c r="AAU189" s="302"/>
      <c r="AAV189" s="302"/>
      <c r="AAW189" s="302"/>
      <c r="AAX189" s="302"/>
      <c r="AAY189" s="302"/>
      <c r="AAZ189" s="302"/>
      <c r="ABA189" s="302"/>
      <c r="ABB189" s="302"/>
      <c r="ABC189" s="302"/>
      <c r="ABD189" s="302"/>
      <c r="ABE189" s="302"/>
      <c r="ABF189" s="302"/>
      <c r="ABG189" s="302"/>
      <c r="ABH189" s="302"/>
      <c r="ABI189" s="302"/>
      <c r="ABJ189" s="302"/>
      <c r="ABK189" s="302"/>
      <c r="ABL189" s="302"/>
      <c r="ABM189" s="302"/>
      <c r="ABN189" s="302"/>
      <c r="ABO189" s="302"/>
      <c r="ABP189" s="302"/>
      <c r="ABQ189" s="302"/>
      <c r="ABR189" s="302"/>
      <c r="ABS189" s="302"/>
      <c r="ABT189" s="302"/>
      <c r="ABU189" s="302"/>
      <c r="ABV189" s="302"/>
      <c r="ABW189" s="302"/>
      <c r="ABX189" s="302"/>
      <c r="ABY189" s="302"/>
      <c r="ABZ189" s="302"/>
      <c r="ACA189" s="302"/>
      <c r="ACB189" s="302"/>
      <c r="ACC189" s="302"/>
      <c r="ACD189" s="302"/>
      <c r="ACE189" s="302"/>
      <c r="ACF189" s="302"/>
      <c r="ACG189" s="302"/>
      <c r="ACH189" s="302"/>
      <c r="ACI189" s="302"/>
      <c r="ACJ189" s="302"/>
      <c r="ACK189" s="302"/>
      <c r="ACL189" s="302"/>
      <c r="ACM189" s="302"/>
      <c r="ACN189" s="302"/>
      <c r="ACO189" s="302"/>
      <c r="ACP189" s="302"/>
      <c r="ACQ189" s="302"/>
      <c r="ACR189" s="302"/>
      <c r="ACS189" s="302"/>
      <c r="ACT189" s="302"/>
      <c r="ACU189" s="302"/>
      <c r="ACV189" s="302"/>
      <c r="ACW189" s="302"/>
      <c r="ACX189" s="302"/>
      <c r="ACY189" s="302"/>
      <c r="ACZ189" s="302"/>
      <c r="ADA189" s="302"/>
      <c r="ADB189" s="302"/>
      <c r="ADC189" s="302"/>
      <c r="ADD189" s="302"/>
      <c r="ADE189" s="302"/>
      <c r="ADF189" s="302"/>
      <c r="ADG189" s="302"/>
      <c r="ADH189" s="302"/>
      <c r="ADI189" s="302"/>
      <c r="ADJ189" s="302"/>
      <c r="ADK189" s="302"/>
      <c r="ADL189" s="302"/>
      <c r="ADM189" s="302"/>
      <c r="ADN189" s="302"/>
      <c r="ADO189" s="302"/>
      <c r="ADP189" s="302"/>
      <c r="ADQ189" s="302"/>
      <c r="ADR189" s="302"/>
      <c r="ADS189" s="302"/>
      <c r="ADT189" s="302"/>
      <c r="ADU189" s="302"/>
      <c r="ADV189" s="302"/>
      <c r="ADW189" s="302"/>
      <c r="ADX189" s="302"/>
      <c r="ADY189" s="302"/>
      <c r="ADZ189" s="302"/>
      <c r="AEA189" s="302"/>
      <c r="AEB189" s="302"/>
      <c r="AEC189" s="302"/>
      <c r="AED189" s="302"/>
      <c r="AEE189" s="302"/>
      <c r="AEF189" s="302"/>
      <c r="AEG189" s="302"/>
      <c r="AEH189" s="302"/>
      <c r="AEI189" s="302"/>
      <c r="AEJ189" s="302"/>
      <c r="AEK189" s="302"/>
      <c r="AEL189" s="302"/>
      <c r="AEM189" s="302"/>
      <c r="AEN189" s="302"/>
      <c r="AEO189" s="302"/>
      <c r="AEP189" s="302"/>
      <c r="AEQ189" s="302"/>
      <c r="AER189" s="302"/>
      <c r="AES189" s="302"/>
      <c r="AET189" s="302"/>
      <c r="AEU189" s="302"/>
      <c r="AEV189" s="302"/>
      <c r="AEW189" s="302"/>
      <c r="AEX189" s="302"/>
      <c r="AEY189" s="302"/>
      <c r="AEZ189" s="302"/>
      <c r="AFA189" s="302"/>
      <c r="AFB189" s="302"/>
      <c r="AFC189" s="302"/>
      <c r="AFD189" s="302"/>
      <c r="AFE189" s="302"/>
      <c r="AFF189" s="302"/>
      <c r="AFG189" s="302"/>
      <c r="AFH189" s="302"/>
      <c r="AFI189" s="302"/>
      <c r="AFJ189" s="302"/>
      <c r="AFK189" s="302"/>
      <c r="AFL189" s="302"/>
      <c r="AFM189" s="302"/>
      <c r="AFN189" s="302"/>
      <c r="AFO189" s="302"/>
      <c r="AFP189" s="302"/>
      <c r="AFQ189" s="302"/>
      <c r="AFR189" s="302"/>
      <c r="AFS189" s="302"/>
      <c r="AFT189" s="302"/>
      <c r="AFU189" s="302"/>
      <c r="AFV189" s="302"/>
      <c r="AFW189" s="302"/>
      <c r="AFX189" s="302"/>
      <c r="AFY189" s="302"/>
      <c r="AFZ189" s="302"/>
      <c r="AGA189" s="302"/>
      <c r="AGB189" s="302"/>
      <c r="AGC189" s="302"/>
      <c r="AGD189" s="302"/>
      <c r="AGE189" s="302"/>
      <c r="AGF189" s="302"/>
      <c r="AGG189" s="302"/>
      <c r="AGH189" s="302"/>
      <c r="AGI189" s="302"/>
      <c r="AGJ189" s="302"/>
      <c r="AGK189" s="302"/>
      <c r="AGL189" s="302"/>
      <c r="AGM189" s="302"/>
      <c r="AGN189" s="302"/>
      <c r="AGO189" s="302"/>
      <c r="AGP189" s="302"/>
      <c r="AGQ189" s="302"/>
      <c r="AGR189" s="302"/>
      <c r="AGS189" s="302"/>
      <c r="AGT189" s="302"/>
      <c r="AGU189" s="302"/>
      <c r="AGV189" s="302"/>
      <c r="AGW189" s="302"/>
      <c r="AGX189" s="302"/>
      <c r="AGY189" s="302"/>
      <c r="AGZ189" s="302"/>
      <c r="AHA189" s="302"/>
      <c r="AHB189" s="302"/>
      <c r="AHC189" s="302"/>
      <c r="AHD189" s="302"/>
      <c r="AHE189" s="302"/>
      <c r="AHF189" s="302"/>
      <c r="AHG189" s="302"/>
      <c r="AHH189" s="302"/>
      <c r="AHI189" s="302"/>
      <c r="AHJ189" s="302"/>
      <c r="AHK189" s="302"/>
      <c r="AHL189" s="302"/>
      <c r="AHM189" s="302"/>
      <c r="AHN189" s="302"/>
      <c r="AHO189" s="302"/>
      <c r="AHP189" s="302"/>
      <c r="AHQ189" s="302"/>
      <c r="AHR189" s="302"/>
      <c r="AHS189" s="302"/>
      <c r="AHT189" s="302"/>
      <c r="AHU189" s="302"/>
      <c r="AHV189" s="302"/>
      <c r="AHW189" s="302"/>
      <c r="AHX189" s="302"/>
      <c r="AHY189" s="302"/>
      <c r="AHZ189" s="302"/>
      <c r="AIA189" s="302"/>
      <c r="AIB189" s="302"/>
      <c r="AIC189" s="302"/>
      <c r="AID189" s="302"/>
      <c r="AIE189" s="302"/>
      <c r="AIF189" s="302"/>
      <c r="AIG189" s="302"/>
      <c r="AIH189" s="302"/>
      <c r="AII189" s="302"/>
      <c r="AIJ189" s="302"/>
      <c r="AIK189" s="302"/>
      <c r="AIL189" s="302"/>
      <c r="AIM189" s="302"/>
      <c r="AIN189" s="302"/>
      <c r="AIO189" s="302"/>
      <c r="AIP189" s="302"/>
      <c r="AIQ189" s="302"/>
      <c r="AIR189" s="302"/>
      <c r="AIS189" s="302"/>
      <c r="AIT189" s="302"/>
      <c r="AIU189" s="302"/>
      <c r="AIV189" s="302"/>
      <c r="AIW189" s="302"/>
      <c r="AIX189" s="302"/>
      <c r="AIY189" s="302"/>
      <c r="AIZ189" s="302"/>
      <c r="AJA189" s="302"/>
      <c r="AJB189" s="302"/>
      <c r="AJC189" s="302"/>
      <c r="AJD189" s="302"/>
      <c r="AJE189" s="302"/>
      <c r="AJF189" s="302"/>
      <c r="AJG189" s="302"/>
      <c r="AJH189" s="302"/>
      <c r="AJI189" s="302"/>
      <c r="AJJ189" s="302"/>
      <c r="AJK189" s="302"/>
      <c r="AJL189" s="302"/>
      <c r="AJM189" s="302"/>
      <c r="AJN189" s="302"/>
      <c r="AJO189" s="302"/>
      <c r="AJP189" s="302"/>
      <c r="AJQ189" s="302"/>
      <c r="AJR189" s="302"/>
      <c r="AJS189" s="302"/>
      <c r="AJT189" s="302"/>
      <c r="AJU189" s="302"/>
      <c r="AJV189" s="302"/>
      <c r="AJW189" s="302"/>
      <c r="AJX189" s="302"/>
      <c r="AJY189" s="302"/>
      <c r="AJZ189" s="302"/>
      <c r="AKA189" s="302"/>
      <c r="AKB189" s="302"/>
      <c r="AKC189" s="302"/>
      <c r="AKD189" s="302"/>
      <c r="AKE189" s="302"/>
      <c r="AKF189" s="302"/>
      <c r="AKG189" s="302"/>
      <c r="AKH189" s="302"/>
      <c r="AKI189" s="302"/>
      <c r="AKJ189" s="302"/>
      <c r="AKK189" s="302"/>
      <c r="AKL189" s="302"/>
      <c r="AKM189" s="302"/>
      <c r="AKN189" s="302"/>
      <c r="AKO189" s="302"/>
      <c r="AKP189" s="302"/>
      <c r="AKQ189" s="302"/>
      <c r="AKR189" s="302"/>
      <c r="AKS189" s="302"/>
      <c r="AKT189" s="302"/>
      <c r="AKU189" s="302"/>
      <c r="AKV189" s="302"/>
      <c r="AKW189" s="302"/>
      <c r="AKX189" s="302"/>
      <c r="AKY189" s="302"/>
      <c r="AKZ189" s="302"/>
      <c r="ALA189" s="302"/>
      <c r="ALB189" s="302"/>
      <c r="ALC189" s="302"/>
      <c r="ALD189" s="302"/>
      <c r="ALE189" s="302"/>
      <c r="ALF189" s="302"/>
      <c r="ALG189" s="302"/>
      <c r="ALH189" s="302"/>
      <c r="ALI189" s="302"/>
      <c r="ALJ189" s="302"/>
      <c r="ALK189" s="302"/>
      <c r="ALL189" s="302"/>
      <c r="ALM189" s="302"/>
      <c r="ALN189" s="302"/>
      <c r="ALO189" s="302"/>
      <c r="ALP189" s="302"/>
      <c r="ALQ189" s="302"/>
      <c r="ALR189" s="302"/>
      <c r="ALS189" s="302"/>
      <c r="ALT189" s="302"/>
      <c r="ALU189" s="302"/>
      <c r="ALV189" s="302"/>
      <c r="ALW189" s="302"/>
      <c r="ALX189" s="302"/>
      <c r="ALY189" s="302"/>
      <c r="ALZ189" s="302"/>
      <c r="AMA189" s="302"/>
      <c r="AMB189" s="302"/>
      <c r="AMC189" s="302"/>
      <c r="AMD189" s="302"/>
      <c r="AME189" s="302"/>
      <c r="AMF189" s="302"/>
      <c r="AMG189" s="302"/>
      <c r="AMH189" s="302"/>
      <c r="AMI189" s="302"/>
    </row>
    <row r="190" spans="1:1023" hidden="1">
      <c r="A190" s="302"/>
      <c r="B190" s="15">
        <v>13743</v>
      </c>
      <c r="C190" s="10">
        <v>0.1</v>
      </c>
      <c r="D190" s="11" t="s">
        <v>417</v>
      </c>
      <c r="E190" s="12">
        <v>1700000</v>
      </c>
      <c r="F190" s="363">
        <v>0.02</v>
      </c>
      <c r="G190" s="369">
        <f>E190*F190</f>
        <v>34000</v>
      </c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2"/>
      <c r="AE190" s="302"/>
      <c r="AF190" s="302"/>
      <c r="AG190" s="302"/>
      <c r="AH190" s="302"/>
      <c r="AI190" s="302"/>
      <c r="AJ190" s="302"/>
      <c r="AK190" s="302"/>
      <c r="AL190" s="302"/>
      <c r="AM190" s="302"/>
      <c r="AN190" s="302"/>
      <c r="AO190" s="302"/>
      <c r="AP190" s="302"/>
      <c r="AQ190" s="302"/>
      <c r="AR190" s="302"/>
      <c r="AS190" s="302"/>
      <c r="AT190" s="302"/>
      <c r="AU190" s="302"/>
      <c r="AV190" s="302"/>
      <c r="AW190" s="302"/>
      <c r="AX190" s="302"/>
      <c r="AY190" s="302"/>
      <c r="AZ190" s="302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K190" s="302"/>
      <c r="BL190" s="302"/>
      <c r="BM190" s="302"/>
      <c r="BN190" s="302"/>
      <c r="BO190" s="302"/>
      <c r="BP190" s="302"/>
      <c r="BQ190" s="302"/>
      <c r="BR190" s="302"/>
      <c r="BS190" s="302"/>
      <c r="BT190" s="302"/>
      <c r="BU190" s="302"/>
      <c r="BV190" s="302"/>
      <c r="BW190" s="302"/>
      <c r="BX190" s="302"/>
      <c r="BY190" s="302"/>
      <c r="BZ190" s="302"/>
      <c r="CA190" s="302"/>
      <c r="CB190" s="302"/>
      <c r="CC190" s="302"/>
      <c r="CD190" s="302"/>
      <c r="CE190" s="302"/>
      <c r="CF190" s="302"/>
      <c r="CG190" s="302"/>
      <c r="CH190" s="302"/>
      <c r="CI190" s="302"/>
      <c r="CJ190" s="302"/>
      <c r="CK190" s="302"/>
      <c r="CL190" s="302"/>
      <c r="CM190" s="302"/>
      <c r="CN190" s="302"/>
      <c r="CO190" s="302"/>
      <c r="CP190" s="302"/>
      <c r="CQ190" s="302"/>
      <c r="CR190" s="302"/>
      <c r="CS190" s="302"/>
      <c r="CT190" s="302"/>
      <c r="CU190" s="302"/>
      <c r="CV190" s="302"/>
      <c r="CW190" s="302"/>
      <c r="CX190" s="302"/>
      <c r="CY190" s="302"/>
      <c r="CZ190" s="302"/>
      <c r="DA190" s="302"/>
      <c r="DB190" s="302"/>
      <c r="DC190" s="302"/>
      <c r="DD190" s="302"/>
      <c r="DE190" s="302"/>
      <c r="DF190" s="302"/>
      <c r="DG190" s="302"/>
      <c r="DH190" s="302"/>
      <c r="DI190" s="302"/>
      <c r="DJ190" s="302"/>
      <c r="DK190" s="302"/>
      <c r="DL190" s="302"/>
      <c r="DM190" s="302"/>
      <c r="DN190" s="302"/>
      <c r="DO190" s="302"/>
      <c r="DP190" s="302"/>
      <c r="DQ190" s="302"/>
      <c r="DR190" s="302"/>
      <c r="DS190" s="302"/>
      <c r="DT190" s="302"/>
      <c r="DU190" s="302"/>
      <c r="DV190" s="302"/>
      <c r="DW190" s="302"/>
      <c r="DX190" s="302"/>
      <c r="DY190" s="302"/>
      <c r="DZ190" s="302"/>
      <c r="EA190" s="302"/>
      <c r="EB190" s="302"/>
      <c r="EC190" s="302"/>
      <c r="ED190" s="302"/>
      <c r="EE190" s="302"/>
      <c r="EF190" s="302"/>
      <c r="EG190" s="302"/>
      <c r="EH190" s="302"/>
      <c r="EI190" s="302"/>
      <c r="EJ190" s="302"/>
      <c r="EK190" s="302"/>
      <c r="EL190" s="302"/>
      <c r="EM190" s="302"/>
      <c r="EN190" s="302"/>
      <c r="EO190" s="302"/>
      <c r="EP190" s="302"/>
      <c r="EQ190" s="302"/>
      <c r="ER190" s="302"/>
      <c r="ES190" s="302"/>
      <c r="ET190" s="302"/>
      <c r="EU190" s="302"/>
      <c r="EV190" s="302"/>
      <c r="EW190" s="302"/>
      <c r="EX190" s="302"/>
      <c r="EY190" s="302"/>
      <c r="EZ190" s="302"/>
      <c r="FA190" s="302"/>
      <c r="FB190" s="302"/>
      <c r="FC190" s="302"/>
      <c r="FD190" s="302"/>
      <c r="FE190" s="302"/>
      <c r="FF190" s="302"/>
      <c r="FG190" s="302"/>
      <c r="FH190" s="302"/>
      <c r="FI190" s="302"/>
      <c r="FJ190" s="302"/>
      <c r="FK190" s="302"/>
      <c r="FL190" s="302"/>
      <c r="FM190" s="302"/>
      <c r="FN190" s="302"/>
      <c r="FO190" s="302"/>
      <c r="FP190" s="302"/>
      <c r="FQ190" s="302"/>
      <c r="FR190" s="302"/>
      <c r="FS190" s="302"/>
      <c r="FT190" s="302"/>
      <c r="FU190" s="302"/>
      <c r="FV190" s="302"/>
      <c r="FW190" s="302"/>
      <c r="FX190" s="302"/>
      <c r="FY190" s="302"/>
      <c r="FZ190" s="302"/>
      <c r="GA190" s="302"/>
      <c r="GB190" s="302"/>
      <c r="GC190" s="302"/>
      <c r="GD190" s="302"/>
      <c r="GE190" s="302"/>
      <c r="GF190" s="302"/>
      <c r="GG190" s="302"/>
      <c r="GH190" s="302"/>
      <c r="GI190" s="302"/>
      <c r="GJ190" s="302"/>
      <c r="GK190" s="302"/>
      <c r="GL190" s="302"/>
      <c r="GM190" s="302"/>
      <c r="GN190" s="302"/>
      <c r="GO190" s="302"/>
      <c r="GP190" s="302"/>
      <c r="GQ190" s="302"/>
      <c r="GR190" s="302"/>
      <c r="GS190" s="302"/>
      <c r="GT190" s="302"/>
      <c r="GU190" s="302"/>
      <c r="GV190" s="302"/>
      <c r="GW190" s="302"/>
      <c r="GX190" s="302"/>
      <c r="GY190" s="302"/>
      <c r="GZ190" s="302"/>
      <c r="HA190" s="302"/>
      <c r="HB190" s="302"/>
      <c r="HC190" s="302"/>
      <c r="HD190" s="302"/>
      <c r="HE190" s="302"/>
      <c r="HF190" s="302"/>
      <c r="HG190" s="302"/>
      <c r="HH190" s="302"/>
      <c r="HI190" s="302"/>
      <c r="HJ190" s="302"/>
      <c r="HK190" s="302"/>
      <c r="HL190" s="302"/>
      <c r="HM190" s="302"/>
      <c r="HN190" s="302"/>
      <c r="HO190" s="302"/>
      <c r="HP190" s="302"/>
      <c r="HQ190" s="302"/>
      <c r="HR190" s="302"/>
      <c r="HS190" s="302"/>
      <c r="HT190" s="302"/>
      <c r="HU190" s="302"/>
      <c r="HV190" s="302"/>
      <c r="HW190" s="302"/>
      <c r="HX190" s="302"/>
      <c r="HY190" s="302"/>
      <c r="HZ190" s="302"/>
      <c r="IA190" s="302"/>
      <c r="IB190" s="302"/>
      <c r="IC190" s="302"/>
      <c r="ID190" s="302"/>
      <c r="IE190" s="302"/>
      <c r="IF190" s="302"/>
      <c r="IG190" s="302"/>
      <c r="IH190" s="302"/>
      <c r="II190" s="302"/>
      <c r="IJ190" s="302"/>
      <c r="IK190" s="302"/>
      <c r="IL190" s="302"/>
      <c r="IM190" s="302"/>
      <c r="IN190" s="302"/>
      <c r="IO190" s="302"/>
      <c r="IP190" s="302"/>
      <c r="IQ190" s="302"/>
      <c r="IR190" s="302"/>
      <c r="IS190" s="302"/>
      <c r="IT190" s="302"/>
      <c r="IU190" s="302"/>
      <c r="IV190" s="302"/>
      <c r="IW190" s="302"/>
      <c r="IX190" s="302"/>
      <c r="IY190" s="302"/>
      <c r="IZ190" s="302"/>
      <c r="JA190" s="302"/>
      <c r="JB190" s="302"/>
      <c r="JC190" s="302"/>
      <c r="JD190" s="302"/>
      <c r="JE190" s="302"/>
      <c r="JF190" s="302"/>
      <c r="JG190" s="302"/>
      <c r="JH190" s="302"/>
      <c r="JI190" s="302"/>
      <c r="JJ190" s="302"/>
      <c r="JK190" s="302"/>
      <c r="JL190" s="302"/>
      <c r="JM190" s="302"/>
      <c r="JN190" s="302"/>
      <c r="JO190" s="302"/>
      <c r="JP190" s="302"/>
      <c r="JQ190" s="302"/>
      <c r="JR190" s="302"/>
      <c r="JS190" s="302"/>
      <c r="JT190" s="302"/>
      <c r="JU190" s="302"/>
      <c r="JV190" s="302"/>
      <c r="JW190" s="302"/>
      <c r="JX190" s="302"/>
      <c r="JY190" s="302"/>
      <c r="JZ190" s="302"/>
      <c r="KA190" s="302"/>
      <c r="KB190" s="302"/>
      <c r="KC190" s="302"/>
      <c r="KD190" s="302"/>
      <c r="KE190" s="302"/>
      <c r="KF190" s="302"/>
      <c r="KG190" s="302"/>
      <c r="KH190" s="302"/>
      <c r="KI190" s="302"/>
      <c r="KJ190" s="302"/>
      <c r="KK190" s="302"/>
      <c r="KL190" s="302"/>
      <c r="KM190" s="302"/>
      <c r="KN190" s="302"/>
      <c r="KO190" s="302"/>
      <c r="KP190" s="302"/>
      <c r="KQ190" s="302"/>
      <c r="KR190" s="302"/>
      <c r="KS190" s="302"/>
      <c r="KT190" s="302"/>
      <c r="KU190" s="302"/>
      <c r="KV190" s="302"/>
      <c r="KW190" s="302"/>
      <c r="KX190" s="302"/>
      <c r="KY190" s="302"/>
      <c r="KZ190" s="302"/>
      <c r="LA190" s="302"/>
      <c r="LB190" s="302"/>
      <c r="LC190" s="302"/>
      <c r="LD190" s="302"/>
      <c r="LE190" s="302"/>
      <c r="LF190" s="302"/>
      <c r="LG190" s="302"/>
      <c r="LH190" s="302"/>
      <c r="LI190" s="302"/>
      <c r="LJ190" s="302"/>
      <c r="LK190" s="302"/>
      <c r="LL190" s="302"/>
      <c r="LM190" s="302"/>
      <c r="LN190" s="302"/>
      <c r="LO190" s="302"/>
      <c r="LP190" s="302"/>
      <c r="LQ190" s="302"/>
      <c r="LR190" s="302"/>
      <c r="LS190" s="302"/>
      <c r="LT190" s="302"/>
      <c r="LU190" s="302"/>
      <c r="LV190" s="302"/>
      <c r="LW190" s="302"/>
      <c r="LX190" s="302"/>
      <c r="LY190" s="302"/>
      <c r="LZ190" s="302"/>
      <c r="MA190" s="302"/>
      <c r="MB190" s="302"/>
      <c r="MC190" s="302"/>
      <c r="MD190" s="302"/>
      <c r="ME190" s="302"/>
      <c r="MF190" s="302"/>
      <c r="MG190" s="302"/>
      <c r="MH190" s="302"/>
      <c r="MI190" s="302"/>
      <c r="MJ190" s="302"/>
      <c r="MK190" s="302"/>
      <c r="ML190" s="302"/>
      <c r="MM190" s="302"/>
      <c r="MN190" s="302"/>
      <c r="MO190" s="302"/>
      <c r="MP190" s="302"/>
      <c r="MQ190" s="302"/>
      <c r="MR190" s="302"/>
      <c r="MS190" s="302"/>
      <c r="MT190" s="302"/>
      <c r="MU190" s="302"/>
      <c r="MV190" s="302"/>
      <c r="MW190" s="302"/>
      <c r="MX190" s="302"/>
      <c r="MY190" s="302"/>
      <c r="MZ190" s="302"/>
      <c r="NA190" s="302"/>
      <c r="NB190" s="302"/>
      <c r="NC190" s="302"/>
      <c r="ND190" s="302"/>
      <c r="NE190" s="302"/>
      <c r="NF190" s="302"/>
      <c r="NG190" s="302"/>
      <c r="NH190" s="302"/>
      <c r="NI190" s="302"/>
      <c r="NJ190" s="302"/>
      <c r="NK190" s="302"/>
      <c r="NL190" s="302"/>
      <c r="NM190" s="302"/>
      <c r="NN190" s="302"/>
      <c r="NO190" s="302"/>
      <c r="NP190" s="302"/>
      <c r="NQ190" s="302"/>
      <c r="NR190" s="302"/>
      <c r="NS190" s="302"/>
      <c r="NT190" s="302"/>
      <c r="NU190" s="302"/>
      <c r="NV190" s="302"/>
      <c r="NW190" s="302"/>
      <c r="NX190" s="302"/>
      <c r="NY190" s="302"/>
      <c r="NZ190" s="302"/>
      <c r="OA190" s="302"/>
      <c r="OB190" s="302"/>
      <c r="OC190" s="302"/>
      <c r="OD190" s="302"/>
      <c r="OE190" s="302"/>
      <c r="OF190" s="302"/>
      <c r="OG190" s="302"/>
      <c r="OH190" s="302"/>
      <c r="OI190" s="302"/>
      <c r="OJ190" s="302"/>
      <c r="OK190" s="302"/>
      <c r="OL190" s="302"/>
      <c r="OM190" s="302"/>
      <c r="ON190" s="302"/>
      <c r="OO190" s="302"/>
      <c r="OP190" s="302"/>
      <c r="OQ190" s="302"/>
      <c r="OR190" s="302"/>
      <c r="OS190" s="302"/>
      <c r="OT190" s="302"/>
      <c r="OU190" s="302"/>
      <c r="OV190" s="302"/>
      <c r="OW190" s="302"/>
      <c r="OX190" s="302"/>
      <c r="OY190" s="302"/>
      <c r="OZ190" s="302"/>
      <c r="PA190" s="302"/>
      <c r="PB190" s="302"/>
      <c r="PC190" s="302"/>
      <c r="PD190" s="302"/>
      <c r="PE190" s="302"/>
      <c r="PF190" s="302"/>
      <c r="PG190" s="302"/>
      <c r="PH190" s="302"/>
      <c r="PI190" s="302"/>
      <c r="PJ190" s="302"/>
      <c r="PK190" s="302"/>
      <c r="PL190" s="302"/>
      <c r="PM190" s="302"/>
      <c r="PN190" s="302"/>
      <c r="PO190" s="302"/>
      <c r="PP190" s="302"/>
      <c r="PQ190" s="302"/>
      <c r="PR190" s="302"/>
      <c r="PS190" s="302"/>
      <c r="PT190" s="302"/>
      <c r="PU190" s="302"/>
      <c r="PV190" s="302"/>
      <c r="PW190" s="302"/>
      <c r="PX190" s="302"/>
      <c r="PY190" s="302"/>
      <c r="PZ190" s="302"/>
      <c r="QA190" s="302"/>
      <c r="QB190" s="302"/>
      <c r="QC190" s="302"/>
      <c r="QD190" s="302"/>
      <c r="QE190" s="302"/>
      <c r="QF190" s="302"/>
      <c r="QG190" s="302"/>
      <c r="QH190" s="302"/>
      <c r="QI190" s="302"/>
      <c r="QJ190" s="302"/>
      <c r="QK190" s="302"/>
      <c r="QL190" s="302"/>
      <c r="QM190" s="302"/>
      <c r="QN190" s="302"/>
      <c r="QO190" s="302"/>
      <c r="QP190" s="302"/>
      <c r="QQ190" s="302"/>
      <c r="QR190" s="302"/>
      <c r="QS190" s="302"/>
      <c r="QT190" s="302"/>
      <c r="QU190" s="302"/>
      <c r="QV190" s="302"/>
      <c r="QW190" s="302"/>
      <c r="QX190" s="302"/>
      <c r="QY190" s="302"/>
      <c r="QZ190" s="302"/>
      <c r="RA190" s="302"/>
      <c r="RB190" s="302"/>
      <c r="RC190" s="302"/>
      <c r="RD190" s="302"/>
      <c r="RE190" s="302"/>
      <c r="RF190" s="302"/>
      <c r="RG190" s="302"/>
      <c r="RH190" s="302"/>
      <c r="RI190" s="302"/>
      <c r="RJ190" s="302"/>
      <c r="RK190" s="302"/>
      <c r="RL190" s="302"/>
      <c r="RM190" s="302"/>
      <c r="RN190" s="302"/>
      <c r="RO190" s="302"/>
      <c r="RP190" s="302"/>
      <c r="RQ190" s="302"/>
      <c r="RR190" s="302"/>
      <c r="RS190" s="302"/>
      <c r="RT190" s="302"/>
      <c r="RU190" s="302"/>
      <c r="RV190" s="302"/>
      <c r="RW190" s="302"/>
      <c r="RX190" s="302"/>
      <c r="RY190" s="302"/>
      <c r="RZ190" s="302"/>
      <c r="SA190" s="302"/>
      <c r="SB190" s="302"/>
      <c r="SC190" s="302"/>
      <c r="SD190" s="302"/>
      <c r="SE190" s="302"/>
      <c r="SF190" s="302"/>
      <c r="SG190" s="302"/>
      <c r="SH190" s="302"/>
      <c r="SI190" s="302"/>
      <c r="SJ190" s="302"/>
      <c r="SK190" s="302"/>
      <c r="SL190" s="302"/>
      <c r="SM190" s="302"/>
      <c r="SN190" s="302"/>
      <c r="SO190" s="302"/>
      <c r="SP190" s="302"/>
      <c r="SQ190" s="302"/>
      <c r="SR190" s="302"/>
      <c r="SS190" s="302"/>
      <c r="ST190" s="302"/>
      <c r="SU190" s="302"/>
      <c r="SV190" s="302"/>
      <c r="SW190" s="302"/>
      <c r="SX190" s="302"/>
      <c r="SY190" s="302"/>
      <c r="SZ190" s="302"/>
      <c r="TA190" s="302"/>
      <c r="TB190" s="302"/>
      <c r="TC190" s="302"/>
      <c r="TD190" s="302"/>
      <c r="TE190" s="302"/>
      <c r="TF190" s="302"/>
      <c r="TG190" s="302"/>
      <c r="TH190" s="302"/>
      <c r="TI190" s="302"/>
      <c r="TJ190" s="302"/>
      <c r="TK190" s="302"/>
      <c r="TL190" s="302"/>
      <c r="TM190" s="302"/>
      <c r="TN190" s="302"/>
      <c r="TO190" s="302"/>
      <c r="TP190" s="302"/>
      <c r="TQ190" s="302"/>
      <c r="TR190" s="302"/>
      <c r="TS190" s="302"/>
      <c r="TT190" s="302"/>
      <c r="TU190" s="302"/>
      <c r="TV190" s="302"/>
      <c r="TW190" s="302"/>
      <c r="TX190" s="302"/>
      <c r="TY190" s="302"/>
      <c r="TZ190" s="302"/>
      <c r="UA190" s="302"/>
      <c r="UB190" s="302"/>
      <c r="UC190" s="302"/>
      <c r="UD190" s="302"/>
      <c r="UE190" s="302"/>
      <c r="UF190" s="302"/>
      <c r="UG190" s="302"/>
      <c r="UH190" s="302"/>
      <c r="UI190" s="302"/>
      <c r="UJ190" s="302"/>
      <c r="UK190" s="302"/>
      <c r="UL190" s="302"/>
      <c r="UM190" s="302"/>
      <c r="UN190" s="302"/>
      <c r="UO190" s="302"/>
      <c r="UP190" s="302"/>
      <c r="UQ190" s="302"/>
      <c r="UR190" s="302"/>
      <c r="US190" s="302"/>
      <c r="UT190" s="302"/>
      <c r="UU190" s="302"/>
      <c r="UV190" s="302"/>
      <c r="UW190" s="302"/>
      <c r="UX190" s="302"/>
      <c r="UY190" s="302"/>
      <c r="UZ190" s="302"/>
      <c r="VA190" s="302"/>
      <c r="VB190" s="302"/>
      <c r="VC190" s="302"/>
      <c r="VD190" s="302"/>
      <c r="VE190" s="302"/>
      <c r="VF190" s="302"/>
      <c r="VG190" s="302"/>
      <c r="VH190" s="302"/>
      <c r="VI190" s="302"/>
      <c r="VJ190" s="302"/>
      <c r="VK190" s="302"/>
      <c r="VL190" s="302"/>
      <c r="VM190" s="302"/>
      <c r="VN190" s="302"/>
      <c r="VO190" s="302"/>
      <c r="VP190" s="302"/>
      <c r="VQ190" s="302"/>
      <c r="VR190" s="302"/>
      <c r="VS190" s="302"/>
      <c r="VT190" s="302"/>
      <c r="VU190" s="302"/>
      <c r="VV190" s="302"/>
      <c r="VW190" s="302"/>
      <c r="VX190" s="302"/>
      <c r="VY190" s="302"/>
      <c r="VZ190" s="302"/>
      <c r="WA190" s="302"/>
      <c r="WB190" s="302"/>
      <c r="WC190" s="302"/>
      <c r="WD190" s="302"/>
      <c r="WE190" s="302"/>
      <c r="WF190" s="302"/>
      <c r="WG190" s="302"/>
      <c r="WH190" s="302"/>
      <c r="WI190" s="302"/>
      <c r="WJ190" s="302"/>
      <c r="WK190" s="302"/>
      <c r="WL190" s="302"/>
      <c r="WM190" s="302"/>
      <c r="WN190" s="302"/>
      <c r="WO190" s="302"/>
      <c r="WP190" s="302"/>
      <c r="WQ190" s="302"/>
      <c r="WR190" s="302"/>
      <c r="WS190" s="302"/>
      <c r="WT190" s="302"/>
      <c r="WU190" s="302"/>
      <c r="WV190" s="302"/>
      <c r="WW190" s="302"/>
      <c r="WX190" s="302"/>
      <c r="WY190" s="302"/>
      <c r="WZ190" s="302"/>
      <c r="XA190" s="302"/>
      <c r="XB190" s="302"/>
      <c r="XC190" s="302"/>
      <c r="XD190" s="302"/>
      <c r="XE190" s="302"/>
      <c r="XF190" s="302"/>
      <c r="XG190" s="302"/>
      <c r="XH190" s="302"/>
      <c r="XI190" s="302"/>
      <c r="XJ190" s="302"/>
      <c r="XK190" s="302"/>
      <c r="XL190" s="302"/>
      <c r="XM190" s="302"/>
      <c r="XN190" s="302"/>
      <c r="XO190" s="302"/>
      <c r="XP190" s="302"/>
      <c r="XQ190" s="302"/>
      <c r="XR190" s="302"/>
      <c r="XS190" s="302"/>
      <c r="XT190" s="302"/>
      <c r="XU190" s="302"/>
      <c r="XV190" s="302"/>
      <c r="XW190" s="302"/>
      <c r="XX190" s="302"/>
      <c r="XY190" s="302"/>
      <c r="XZ190" s="302"/>
      <c r="YA190" s="302"/>
      <c r="YB190" s="302"/>
      <c r="YC190" s="302"/>
      <c r="YD190" s="302"/>
      <c r="YE190" s="302"/>
      <c r="YF190" s="302"/>
      <c r="YG190" s="302"/>
      <c r="YH190" s="302"/>
      <c r="YI190" s="302"/>
      <c r="YJ190" s="302"/>
      <c r="YK190" s="302"/>
      <c r="YL190" s="302"/>
      <c r="YM190" s="302"/>
      <c r="YN190" s="302"/>
      <c r="YO190" s="302"/>
      <c r="YP190" s="302"/>
      <c r="YQ190" s="302"/>
      <c r="YR190" s="302"/>
      <c r="YS190" s="302"/>
      <c r="YT190" s="302"/>
      <c r="YU190" s="302"/>
      <c r="YV190" s="302"/>
      <c r="YW190" s="302"/>
      <c r="YX190" s="302"/>
      <c r="YY190" s="302"/>
      <c r="YZ190" s="302"/>
      <c r="ZA190" s="302"/>
      <c r="ZB190" s="302"/>
      <c r="ZC190" s="302"/>
      <c r="ZD190" s="302"/>
      <c r="ZE190" s="302"/>
      <c r="ZF190" s="302"/>
      <c r="ZG190" s="302"/>
      <c r="ZH190" s="302"/>
      <c r="ZI190" s="302"/>
      <c r="ZJ190" s="302"/>
      <c r="ZK190" s="302"/>
      <c r="ZL190" s="302"/>
      <c r="ZM190" s="302"/>
      <c r="ZN190" s="302"/>
      <c r="ZO190" s="302"/>
      <c r="ZP190" s="302"/>
      <c r="ZQ190" s="302"/>
      <c r="ZR190" s="302"/>
      <c r="ZS190" s="302"/>
      <c r="ZT190" s="302"/>
      <c r="ZU190" s="302"/>
      <c r="ZV190" s="302"/>
      <c r="ZW190" s="302"/>
      <c r="ZX190" s="302"/>
      <c r="ZY190" s="302"/>
      <c r="ZZ190" s="302"/>
      <c r="AAA190" s="302"/>
      <c r="AAB190" s="302"/>
      <c r="AAC190" s="302"/>
      <c r="AAD190" s="302"/>
      <c r="AAE190" s="302"/>
      <c r="AAF190" s="302"/>
      <c r="AAG190" s="302"/>
      <c r="AAH190" s="302"/>
      <c r="AAI190" s="302"/>
      <c r="AAJ190" s="302"/>
      <c r="AAK190" s="302"/>
      <c r="AAL190" s="302"/>
      <c r="AAM190" s="302"/>
      <c r="AAN190" s="302"/>
      <c r="AAO190" s="302"/>
      <c r="AAP190" s="302"/>
      <c r="AAQ190" s="302"/>
      <c r="AAR190" s="302"/>
      <c r="AAS190" s="302"/>
      <c r="AAT190" s="302"/>
      <c r="AAU190" s="302"/>
      <c r="AAV190" s="302"/>
      <c r="AAW190" s="302"/>
      <c r="AAX190" s="302"/>
      <c r="AAY190" s="302"/>
      <c r="AAZ190" s="302"/>
      <c r="ABA190" s="302"/>
      <c r="ABB190" s="302"/>
      <c r="ABC190" s="302"/>
      <c r="ABD190" s="302"/>
      <c r="ABE190" s="302"/>
      <c r="ABF190" s="302"/>
      <c r="ABG190" s="302"/>
      <c r="ABH190" s="302"/>
      <c r="ABI190" s="302"/>
      <c r="ABJ190" s="302"/>
      <c r="ABK190" s="302"/>
      <c r="ABL190" s="302"/>
      <c r="ABM190" s="302"/>
      <c r="ABN190" s="302"/>
      <c r="ABO190" s="302"/>
      <c r="ABP190" s="302"/>
      <c r="ABQ190" s="302"/>
      <c r="ABR190" s="302"/>
      <c r="ABS190" s="302"/>
      <c r="ABT190" s="302"/>
      <c r="ABU190" s="302"/>
      <c r="ABV190" s="302"/>
      <c r="ABW190" s="302"/>
      <c r="ABX190" s="302"/>
      <c r="ABY190" s="302"/>
      <c r="ABZ190" s="302"/>
      <c r="ACA190" s="302"/>
      <c r="ACB190" s="302"/>
      <c r="ACC190" s="302"/>
      <c r="ACD190" s="302"/>
      <c r="ACE190" s="302"/>
      <c r="ACF190" s="302"/>
      <c r="ACG190" s="302"/>
      <c r="ACH190" s="302"/>
      <c r="ACI190" s="302"/>
      <c r="ACJ190" s="302"/>
      <c r="ACK190" s="302"/>
      <c r="ACL190" s="302"/>
      <c r="ACM190" s="302"/>
      <c r="ACN190" s="302"/>
      <c r="ACO190" s="302"/>
      <c r="ACP190" s="302"/>
      <c r="ACQ190" s="302"/>
      <c r="ACR190" s="302"/>
      <c r="ACS190" s="302"/>
      <c r="ACT190" s="302"/>
      <c r="ACU190" s="302"/>
      <c r="ACV190" s="302"/>
      <c r="ACW190" s="302"/>
      <c r="ACX190" s="302"/>
      <c r="ACY190" s="302"/>
      <c r="ACZ190" s="302"/>
      <c r="ADA190" s="302"/>
      <c r="ADB190" s="302"/>
      <c r="ADC190" s="302"/>
      <c r="ADD190" s="302"/>
      <c r="ADE190" s="302"/>
      <c r="ADF190" s="302"/>
      <c r="ADG190" s="302"/>
      <c r="ADH190" s="302"/>
      <c r="ADI190" s="302"/>
      <c r="ADJ190" s="302"/>
      <c r="ADK190" s="302"/>
      <c r="ADL190" s="302"/>
      <c r="ADM190" s="302"/>
      <c r="ADN190" s="302"/>
      <c r="ADO190" s="302"/>
      <c r="ADP190" s="302"/>
      <c r="ADQ190" s="302"/>
      <c r="ADR190" s="302"/>
      <c r="ADS190" s="302"/>
      <c r="ADT190" s="302"/>
      <c r="ADU190" s="302"/>
      <c r="ADV190" s="302"/>
      <c r="ADW190" s="302"/>
      <c r="ADX190" s="302"/>
      <c r="ADY190" s="302"/>
      <c r="ADZ190" s="302"/>
      <c r="AEA190" s="302"/>
      <c r="AEB190" s="302"/>
      <c r="AEC190" s="302"/>
      <c r="AED190" s="302"/>
      <c r="AEE190" s="302"/>
      <c r="AEF190" s="302"/>
      <c r="AEG190" s="302"/>
      <c r="AEH190" s="302"/>
      <c r="AEI190" s="302"/>
      <c r="AEJ190" s="302"/>
      <c r="AEK190" s="302"/>
      <c r="AEL190" s="302"/>
      <c r="AEM190" s="302"/>
      <c r="AEN190" s="302"/>
      <c r="AEO190" s="302"/>
      <c r="AEP190" s="302"/>
      <c r="AEQ190" s="302"/>
      <c r="AER190" s="302"/>
      <c r="AES190" s="302"/>
      <c r="AET190" s="302"/>
      <c r="AEU190" s="302"/>
      <c r="AEV190" s="302"/>
      <c r="AEW190" s="302"/>
      <c r="AEX190" s="302"/>
      <c r="AEY190" s="302"/>
      <c r="AEZ190" s="302"/>
      <c r="AFA190" s="302"/>
      <c r="AFB190" s="302"/>
      <c r="AFC190" s="302"/>
      <c r="AFD190" s="302"/>
      <c r="AFE190" s="302"/>
      <c r="AFF190" s="302"/>
      <c r="AFG190" s="302"/>
      <c r="AFH190" s="302"/>
      <c r="AFI190" s="302"/>
      <c r="AFJ190" s="302"/>
      <c r="AFK190" s="302"/>
      <c r="AFL190" s="302"/>
      <c r="AFM190" s="302"/>
      <c r="AFN190" s="302"/>
      <c r="AFO190" s="302"/>
      <c r="AFP190" s="302"/>
      <c r="AFQ190" s="302"/>
      <c r="AFR190" s="302"/>
      <c r="AFS190" s="302"/>
      <c r="AFT190" s="302"/>
      <c r="AFU190" s="302"/>
      <c r="AFV190" s="302"/>
      <c r="AFW190" s="302"/>
      <c r="AFX190" s="302"/>
      <c r="AFY190" s="302"/>
      <c r="AFZ190" s="302"/>
      <c r="AGA190" s="302"/>
      <c r="AGB190" s="302"/>
      <c r="AGC190" s="302"/>
      <c r="AGD190" s="302"/>
      <c r="AGE190" s="302"/>
      <c r="AGF190" s="302"/>
      <c r="AGG190" s="302"/>
      <c r="AGH190" s="302"/>
      <c r="AGI190" s="302"/>
      <c r="AGJ190" s="302"/>
      <c r="AGK190" s="302"/>
      <c r="AGL190" s="302"/>
      <c r="AGM190" s="302"/>
      <c r="AGN190" s="302"/>
      <c r="AGO190" s="302"/>
      <c r="AGP190" s="302"/>
      <c r="AGQ190" s="302"/>
      <c r="AGR190" s="302"/>
      <c r="AGS190" s="302"/>
      <c r="AGT190" s="302"/>
      <c r="AGU190" s="302"/>
      <c r="AGV190" s="302"/>
      <c r="AGW190" s="302"/>
      <c r="AGX190" s="302"/>
      <c r="AGY190" s="302"/>
      <c r="AGZ190" s="302"/>
      <c r="AHA190" s="302"/>
      <c r="AHB190" s="302"/>
      <c r="AHC190" s="302"/>
      <c r="AHD190" s="302"/>
      <c r="AHE190" s="302"/>
      <c r="AHF190" s="302"/>
      <c r="AHG190" s="302"/>
      <c r="AHH190" s="302"/>
      <c r="AHI190" s="302"/>
      <c r="AHJ190" s="302"/>
      <c r="AHK190" s="302"/>
      <c r="AHL190" s="302"/>
      <c r="AHM190" s="302"/>
      <c r="AHN190" s="302"/>
      <c r="AHO190" s="302"/>
      <c r="AHP190" s="302"/>
      <c r="AHQ190" s="302"/>
      <c r="AHR190" s="302"/>
      <c r="AHS190" s="302"/>
      <c r="AHT190" s="302"/>
      <c r="AHU190" s="302"/>
      <c r="AHV190" s="302"/>
      <c r="AHW190" s="302"/>
      <c r="AHX190" s="302"/>
      <c r="AHY190" s="302"/>
      <c r="AHZ190" s="302"/>
      <c r="AIA190" s="302"/>
      <c r="AIB190" s="302"/>
      <c r="AIC190" s="302"/>
      <c r="AID190" s="302"/>
      <c r="AIE190" s="302"/>
      <c r="AIF190" s="302"/>
      <c r="AIG190" s="302"/>
      <c r="AIH190" s="302"/>
      <c r="AII190" s="302"/>
      <c r="AIJ190" s="302"/>
      <c r="AIK190" s="302"/>
      <c r="AIL190" s="302"/>
      <c r="AIM190" s="302"/>
      <c r="AIN190" s="302"/>
      <c r="AIO190" s="302"/>
      <c r="AIP190" s="302"/>
      <c r="AIQ190" s="302"/>
      <c r="AIR190" s="302"/>
      <c r="AIS190" s="302"/>
      <c r="AIT190" s="302"/>
      <c r="AIU190" s="302"/>
      <c r="AIV190" s="302"/>
      <c r="AIW190" s="302"/>
      <c r="AIX190" s="302"/>
      <c r="AIY190" s="302"/>
      <c r="AIZ190" s="302"/>
      <c r="AJA190" s="302"/>
      <c r="AJB190" s="302"/>
      <c r="AJC190" s="302"/>
      <c r="AJD190" s="302"/>
      <c r="AJE190" s="302"/>
      <c r="AJF190" s="302"/>
      <c r="AJG190" s="302"/>
      <c r="AJH190" s="302"/>
      <c r="AJI190" s="302"/>
      <c r="AJJ190" s="302"/>
      <c r="AJK190" s="302"/>
      <c r="AJL190" s="302"/>
      <c r="AJM190" s="302"/>
      <c r="AJN190" s="302"/>
      <c r="AJO190" s="302"/>
      <c r="AJP190" s="302"/>
      <c r="AJQ190" s="302"/>
      <c r="AJR190" s="302"/>
      <c r="AJS190" s="302"/>
      <c r="AJT190" s="302"/>
      <c r="AJU190" s="302"/>
      <c r="AJV190" s="302"/>
      <c r="AJW190" s="302"/>
      <c r="AJX190" s="302"/>
      <c r="AJY190" s="302"/>
      <c r="AJZ190" s="302"/>
      <c r="AKA190" s="302"/>
      <c r="AKB190" s="302"/>
      <c r="AKC190" s="302"/>
      <c r="AKD190" s="302"/>
      <c r="AKE190" s="302"/>
      <c r="AKF190" s="302"/>
      <c r="AKG190" s="302"/>
      <c r="AKH190" s="302"/>
      <c r="AKI190" s="302"/>
      <c r="AKJ190" s="302"/>
      <c r="AKK190" s="302"/>
      <c r="AKL190" s="302"/>
      <c r="AKM190" s="302"/>
      <c r="AKN190" s="302"/>
      <c r="AKO190" s="302"/>
      <c r="AKP190" s="302"/>
      <c r="AKQ190" s="302"/>
      <c r="AKR190" s="302"/>
      <c r="AKS190" s="302"/>
      <c r="AKT190" s="302"/>
      <c r="AKU190" s="302"/>
      <c r="AKV190" s="302"/>
      <c r="AKW190" s="302"/>
      <c r="AKX190" s="302"/>
      <c r="AKY190" s="302"/>
      <c r="AKZ190" s="302"/>
      <c r="ALA190" s="302"/>
      <c r="ALB190" s="302"/>
      <c r="ALC190" s="302"/>
      <c r="ALD190" s="302"/>
      <c r="ALE190" s="302"/>
      <c r="ALF190" s="302"/>
      <c r="ALG190" s="302"/>
      <c r="ALH190" s="302"/>
      <c r="ALI190" s="302"/>
      <c r="ALJ190" s="302"/>
      <c r="ALK190" s="302"/>
      <c r="ALL190" s="302"/>
      <c r="ALM190" s="302"/>
      <c r="ALN190" s="302"/>
      <c r="ALO190" s="302"/>
      <c r="ALP190" s="302"/>
      <c r="ALQ190" s="302"/>
      <c r="ALR190" s="302"/>
      <c r="ALS190" s="302"/>
      <c r="ALT190" s="302"/>
      <c r="ALU190" s="302"/>
      <c r="ALV190" s="302"/>
      <c r="ALW190" s="302"/>
      <c r="ALX190" s="302"/>
      <c r="ALY190" s="302"/>
      <c r="ALZ190" s="302"/>
      <c r="AMA190" s="302"/>
      <c r="AMB190" s="302"/>
      <c r="AMC190" s="302"/>
      <c r="AMD190" s="302"/>
      <c r="AME190" s="302"/>
      <c r="AMF190" s="302"/>
      <c r="AMG190" s="302"/>
      <c r="AMH190" s="302"/>
      <c r="AMI190" s="302"/>
    </row>
    <row r="191" spans="1:1023" hidden="1">
      <c r="A191" s="302"/>
      <c r="B191" s="15">
        <v>13821</v>
      </c>
      <c r="C191" s="113">
        <v>0.1</v>
      </c>
      <c r="D191" s="16" t="s">
        <v>418</v>
      </c>
      <c r="E191" s="12">
        <v>1900000</v>
      </c>
      <c r="F191" s="363">
        <v>0.02</v>
      </c>
      <c r="G191" s="369">
        <f>E191*F191</f>
        <v>38000</v>
      </c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2"/>
      <c r="AE191" s="302"/>
      <c r="AF191" s="302"/>
      <c r="AG191" s="302"/>
      <c r="AH191" s="302"/>
      <c r="AI191" s="302"/>
      <c r="AJ191" s="302"/>
      <c r="AK191" s="302"/>
      <c r="AL191" s="302"/>
      <c r="AM191" s="302"/>
      <c r="AN191" s="302"/>
      <c r="AO191" s="302"/>
      <c r="AP191" s="302"/>
      <c r="AQ191" s="302"/>
      <c r="AR191" s="302"/>
      <c r="AS191" s="302"/>
      <c r="AT191" s="302"/>
      <c r="AU191" s="302"/>
      <c r="AV191" s="302"/>
      <c r="AW191" s="302"/>
      <c r="AX191" s="302"/>
      <c r="AY191" s="302"/>
      <c r="AZ191" s="302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K191" s="302"/>
      <c r="BL191" s="302"/>
      <c r="BM191" s="302"/>
      <c r="BN191" s="302"/>
      <c r="BO191" s="302"/>
      <c r="BP191" s="302"/>
      <c r="BQ191" s="302"/>
      <c r="BR191" s="302"/>
      <c r="BS191" s="302"/>
      <c r="BT191" s="302"/>
      <c r="BU191" s="302"/>
      <c r="BV191" s="302"/>
      <c r="BW191" s="302"/>
      <c r="BX191" s="302"/>
      <c r="BY191" s="302"/>
      <c r="BZ191" s="302"/>
      <c r="CA191" s="302"/>
      <c r="CB191" s="302"/>
      <c r="CC191" s="302"/>
      <c r="CD191" s="302"/>
      <c r="CE191" s="302"/>
      <c r="CF191" s="302"/>
      <c r="CG191" s="302"/>
      <c r="CH191" s="302"/>
      <c r="CI191" s="302"/>
      <c r="CJ191" s="302"/>
      <c r="CK191" s="302"/>
      <c r="CL191" s="302"/>
      <c r="CM191" s="302"/>
      <c r="CN191" s="302"/>
      <c r="CO191" s="302"/>
      <c r="CP191" s="302"/>
      <c r="CQ191" s="302"/>
      <c r="CR191" s="302"/>
      <c r="CS191" s="302"/>
      <c r="CT191" s="302"/>
      <c r="CU191" s="302"/>
      <c r="CV191" s="302"/>
      <c r="CW191" s="302"/>
      <c r="CX191" s="302"/>
      <c r="CY191" s="302"/>
      <c r="CZ191" s="302"/>
      <c r="DA191" s="302"/>
      <c r="DB191" s="302"/>
      <c r="DC191" s="302"/>
      <c r="DD191" s="302"/>
      <c r="DE191" s="302"/>
      <c r="DF191" s="302"/>
      <c r="DG191" s="302"/>
      <c r="DH191" s="302"/>
      <c r="DI191" s="302"/>
      <c r="DJ191" s="302"/>
      <c r="DK191" s="302"/>
      <c r="DL191" s="302"/>
      <c r="DM191" s="302"/>
      <c r="DN191" s="302"/>
      <c r="DO191" s="302"/>
      <c r="DP191" s="302"/>
      <c r="DQ191" s="302"/>
      <c r="DR191" s="302"/>
      <c r="DS191" s="302"/>
      <c r="DT191" s="302"/>
      <c r="DU191" s="302"/>
      <c r="DV191" s="302"/>
      <c r="DW191" s="302"/>
      <c r="DX191" s="302"/>
      <c r="DY191" s="302"/>
      <c r="DZ191" s="302"/>
      <c r="EA191" s="302"/>
      <c r="EB191" s="302"/>
      <c r="EC191" s="302"/>
      <c r="ED191" s="302"/>
      <c r="EE191" s="302"/>
      <c r="EF191" s="302"/>
      <c r="EG191" s="302"/>
      <c r="EH191" s="302"/>
      <c r="EI191" s="302"/>
      <c r="EJ191" s="302"/>
      <c r="EK191" s="302"/>
      <c r="EL191" s="302"/>
      <c r="EM191" s="302"/>
      <c r="EN191" s="302"/>
      <c r="EO191" s="302"/>
      <c r="EP191" s="302"/>
      <c r="EQ191" s="302"/>
      <c r="ER191" s="302"/>
      <c r="ES191" s="302"/>
      <c r="ET191" s="302"/>
      <c r="EU191" s="302"/>
      <c r="EV191" s="302"/>
      <c r="EW191" s="302"/>
      <c r="EX191" s="302"/>
      <c r="EY191" s="302"/>
      <c r="EZ191" s="302"/>
      <c r="FA191" s="302"/>
      <c r="FB191" s="302"/>
      <c r="FC191" s="302"/>
      <c r="FD191" s="302"/>
      <c r="FE191" s="302"/>
      <c r="FF191" s="302"/>
      <c r="FG191" s="302"/>
      <c r="FH191" s="302"/>
      <c r="FI191" s="302"/>
      <c r="FJ191" s="302"/>
      <c r="FK191" s="302"/>
      <c r="FL191" s="302"/>
      <c r="FM191" s="302"/>
      <c r="FN191" s="302"/>
      <c r="FO191" s="302"/>
      <c r="FP191" s="302"/>
      <c r="FQ191" s="302"/>
      <c r="FR191" s="302"/>
      <c r="FS191" s="302"/>
      <c r="FT191" s="302"/>
      <c r="FU191" s="302"/>
      <c r="FV191" s="302"/>
      <c r="FW191" s="302"/>
      <c r="FX191" s="302"/>
      <c r="FY191" s="302"/>
      <c r="FZ191" s="302"/>
      <c r="GA191" s="302"/>
      <c r="GB191" s="302"/>
      <c r="GC191" s="302"/>
      <c r="GD191" s="302"/>
      <c r="GE191" s="302"/>
      <c r="GF191" s="302"/>
      <c r="GG191" s="302"/>
      <c r="GH191" s="302"/>
      <c r="GI191" s="302"/>
      <c r="GJ191" s="302"/>
      <c r="GK191" s="302"/>
      <c r="GL191" s="302"/>
      <c r="GM191" s="302"/>
      <c r="GN191" s="302"/>
      <c r="GO191" s="302"/>
      <c r="GP191" s="302"/>
      <c r="GQ191" s="302"/>
      <c r="GR191" s="302"/>
      <c r="GS191" s="302"/>
      <c r="GT191" s="302"/>
      <c r="GU191" s="302"/>
      <c r="GV191" s="302"/>
      <c r="GW191" s="302"/>
      <c r="GX191" s="302"/>
      <c r="GY191" s="302"/>
      <c r="GZ191" s="302"/>
      <c r="HA191" s="302"/>
      <c r="HB191" s="302"/>
      <c r="HC191" s="302"/>
      <c r="HD191" s="302"/>
      <c r="HE191" s="302"/>
      <c r="HF191" s="302"/>
      <c r="HG191" s="302"/>
      <c r="HH191" s="302"/>
      <c r="HI191" s="302"/>
      <c r="HJ191" s="302"/>
      <c r="HK191" s="302"/>
      <c r="HL191" s="302"/>
      <c r="HM191" s="302"/>
      <c r="HN191" s="302"/>
      <c r="HO191" s="302"/>
      <c r="HP191" s="302"/>
      <c r="HQ191" s="302"/>
      <c r="HR191" s="302"/>
      <c r="HS191" s="302"/>
      <c r="HT191" s="302"/>
      <c r="HU191" s="302"/>
      <c r="HV191" s="302"/>
      <c r="HW191" s="302"/>
      <c r="HX191" s="302"/>
      <c r="HY191" s="302"/>
      <c r="HZ191" s="302"/>
      <c r="IA191" s="302"/>
      <c r="IB191" s="302"/>
      <c r="IC191" s="302"/>
      <c r="ID191" s="302"/>
      <c r="IE191" s="302"/>
      <c r="IF191" s="302"/>
      <c r="IG191" s="302"/>
      <c r="IH191" s="302"/>
      <c r="II191" s="302"/>
      <c r="IJ191" s="302"/>
      <c r="IK191" s="302"/>
      <c r="IL191" s="302"/>
      <c r="IM191" s="302"/>
      <c r="IN191" s="302"/>
      <c r="IO191" s="302"/>
      <c r="IP191" s="302"/>
      <c r="IQ191" s="302"/>
      <c r="IR191" s="302"/>
      <c r="IS191" s="302"/>
      <c r="IT191" s="302"/>
      <c r="IU191" s="302"/>
      <c r="IV191" s="302"/>
      <c r="IW191" s="302"/>
      <c r="IX191" s="302"/>
      <c r="IY191" s="302"/>
      <c r="IZ191" s="302"/>
      <c r="JA191" s="302"/>
      <c r="JB191" s="302"/>
      <c r="JC191" s="302"/>
      <c r="JD191" s="302"/>
      <c r="JE191" s="302"/>
      <c r="JF191" s="302"/>
      <c r="JG191" s="302"/>
      <c r="JH191" s="302"/>
      <c r="JI191" s="302"/>
      <c r="JJ191" s="302"/>
      <c r="JK191" s="302"/>
      <c r="JL191" s="302"/>
      <c r="JM191" s="302"/>
      <c r="JN191" s="302"/>
      <c r="JO191" s="302"/>
      <c r="JP191" s="302"/>
      <c r="JQ191" s="302"/>
      <c r="JR191" s="302"/>
      <c r="JS191" s="302"/>
      <c r="JT191" s="302"/>
      <c r="JU191" s="302"/>
      <c r="JV191" s="302"/>
      <c r="JW191" s="302"/>
      <c r="JX191" s="302"/>
      <c r="JY191" s="302"/>
      <c r="JZ191" s="302"/>
      <c r="KA191" s="302"/>
      <c r="KB191" s="302"/>
      <c r="KC191" s="302"/>
      <c r="KD191" s="302"/>
      <c r="KE191" s="302"/>
      <c r="KF191" s="302"/>
      <c r="KG191" s="302"/>
      <c r="KH191" s="302"/>
      <c r="KI191" s="302"/>
      <c r="KJ191" s="302"/>
      <c r="KK191" s="302"/>
      <c r="KL191" s="302"/>
      <c r="KM191" s="302"/>
      <c r="KN191" s="302"/>
      <c r="KO191" s="302"/>
      <c r="KP191" s="302"/>
      <c r="KQ191" s="302"/>
      <c r="KR191" s="302"/>
      <c r="KS191" s="302"/>
      <c r="KT191" s="302"/>
      <c r="KU191" s="302"/>
      <c r="KV191" s="302"/>
      <c r="KW191" s="302"/>
      <c r="KX191" s="302"/>
      <c r="KY191" s="302"/>
      <c r="KZ191" s="302"/>
      <c r="LA191" s="302"/>
      <c r="LB191" s="302"/>
      <c r="LC191" s="302"/>
      <c r="LD191" s="302"/>
      <c r="LE191" s="302"/>
      <c r="LF191" s="302"/>
      <c r="LG191" s="302"/>
      <c r="LH191" s="302"/>
      <c r="LI191" s="302"/>
      <c r="LJ191" s="302"/>
      <c r="LK191" s="302"/>
      <c r="LL191" s="302"/>
      <c r="LM191" s="302"/>
      <c r="LN191" s="302"/>
      <c r="LO191" s="302"/>
      <c r="LP191" s="302"/>
      <c r="LQ191" s="302"/>
      <c r="LR191" s="302"/>
      <c r="LS191" s="302"/>
      <c r="LT191" s="302"/>
      <c r="LU191" s="302"/>
      <c r="LV191" s="302"/>
      <c r="LW191" s="302"/>
      <c r="LX191" s="302"/>
      <c r="LY191" s="302"/>
      <c r="LZ191" s="302"/>
      <c r="MA191" s="302"/>
      <c r="MB191" s="302"/>
      <c r="MC191" s="302"/>
      <c r="MD191" s="302"/>
      <c r="ME191" s="302"/>
      <c r="MF191" s="302"/>
      <c r="MG191" s="302"/>
      <c r="MH191" s="302"/>
      <c r="MI191" s="302"/>
      <c r="MJ191" s="302"/>
      <c r="MK191" s="302"/>
      <c r="ML191" s="302"/>
      <c r="MM191" s="302"/>
      <c r="MN191" s="302"/>
      <c r="MO191" s="302"/>
      <c r="MP191" s="302"/>
      <c r="MQ191" s="302"/>
      <c r="MR191" s="302"/>
      <c r="MS191" s="302"/>
      <c r="MT191" s="302"/>
      <c r="MU191" s="302"/>
      <c r="MV191" s="302"/>
      <c r="MW191" s="302"/>
      <c r="MX191" s="302"/>
      <c r="MY191" s="302"/>
      <c r="MZ191" s="302"/>
      <c r="NA191" s="302"/>
      <c r="NB191" s="302"/>
      <c r="NC191" s="302"/>
      <c r="ND191" s="302"/>
      <c r="NE191" s="302"/>
      <c r="NF191" s="302"/>
      <c r="NG191" s="302"/>
      <c r="NH191" s="302"/>
      <c r="NI191" s="302"/>
      <c r="NJ191" s="302"/>
      <c r="NK191" s="302"/>
      <c r="NL191" s="302"/>
      <c r="NM191" s="302"/>
      <c r="NN191" s="302"/>
      <c r="NO191" s="302"/>
      <c r="NP191" s="302"/>
      <c r="NQ191" s="302"/>
      <c r="NR191" s="302"/>
      <c r="NS191" s="302"/>
      <c r="NT191" s="302"/>
      <c r="NU191" s="302"/>
      <c r="NV191" s="302"/>
      <c r="NW191" s="302"/>
      <c r="NX191" s="302"/>
      <c r="NY191" s="302"/>
      <c r="NZ191" s="302"/>
      <c r="OA191" s="302"/>
      <c r="OB191" s="302"/>
      <c r="OC191" s="302"/>
      <c r="OD191" s="302"/>
      <c r="OE191" s="302"/>
      <c r="OF191" s="302"/>
      <c r="OG191" s="302"/>
      <c r="OH191" s="302"/>
      <c r="OI191" s="302"/>
      <c r="OJ191" s="302"/>
      <c r="OK191" s="302"/>
      <c r="OL191" s="302"/>
      <c r="OM191" s="302"/>
      <c r="ON191" s="302"/>
      <c r="OO191" s="302"/>
      <c r="OP191" s="302"/>
      <c r="OQ191" s="302"/>
      <c r="OR191" s="302"/>
      <c r="OS191" s="302"/>
      <c r="OT191" s="302"/>
      <c r="OU191" s="302"/>
      <c r="OV191" s="302"/>
      <c r="OW191" s="302"/>
      <c r="OX191" s="302"/>
      <c r="OY191" s="302"/>
      <c r="OZ191" s="302"/>
      <c r="PA191" s="302"/>
      <c r="PB191" s="302"/>
      <c r="PC191" s="302"/>
      <c r="PD191" s="302"/>
      <c r="PE191" s="302"/>
      <c r="PF191" s="302"/>
      <c r="PG191" s="302"/>
      <c r="PH191" s="302"/>
      <c r="PI191" s="302"/>
      <c r="PJ191" s="302"/>
      <c r="PK191" s="302"/>
      <c r="PL191" s="302"/>
      <c r="PM191" s="302"/>
      <c r="PN191" s="302"/>
      <c r="PO191" s="302"/>
      <c r="PP191" s="302"/>
      <c r="PQ191" s="302"/>
      <c r="PR191" s="302"/>
      <c r="PS191" s="302"/>
      <c r="PT191" s="302"/>
      <c r="PU191" s="302"/>
      <c r="PV191" s="302"/>
      <c r="PW191" s="302"/>
      <c r="PX191" s="302"/>
      <c r="PY191" s="302"/>
      <c r="PZ191" s="302"/>
      <c r="QA191" s="302"/>
      <c r="QB191" s="302"/>
      <c r="QC191" s="302"/>
      <c r="QD191" s="302"/>
      <c r="QE191" s="302"/>
      <c r="QF191" s="302"/>
      <c r="QG191" s="302"/>
      <c r="QH191" s="302"/>
      <c r="QI191" s="302"/>
      <c r="QJ191" s="302"/>
      <c r="QK191" s="302"/>
      <c r="QL191" s="302"/>
      <c r="QM191" s="302"/>
      <c r="QN191" s="302"/>
      <c r="QO191" s="302"/>
      <c r="QP191" s="302"/>
      <c r="QQ191" s="302"/>
      <c r="QR191" s="302"/>
      <c r="QS191" s="302"/>
      <c r="QT191" s="302"/>
      <c r="QU191" s="302"/>
      <c r="QV191" s="302"/>
      <c r="QW191" s="302"/>
      <c r="QX191" s="302"/>
      <c r="QY191" s="302"/>
      <c r="QZ191" s="302"/>
      <c r="RA191" s="302"/>
      <c r="RB191" s="302"/>
      <c r="RC191" s="302"/>
      <c r="RD191" s="302"/>
      <c r="RE191" s="302"/>
      <c r="RF191" s="302"/>
      <c r="RG191" s="302"/>
      <c r="RH191" s="302"/>
      <c r="RI191" s="302"/>
      <c r="RJ191" s="302"/>
      <c r="RK191" s="302"/>
      <c r="RL191" s="302"/>
      <c r="RM191" s="302"/>
      <c r="RN191" s="302"/>
      <c r="RO191" s="302"/>
      <c r="RP191" s="302"/>
      <c r="RQ191" s="302"/>
      <c r="RR191" s="302"/>
      <c r="RS191" s="302"/>
      <c r="RT191" s="302"/>
      <c r="RU191" s="302"/>
      <c r="RV191" s="302"/>
      <c r="RW191" s="302"/>
      <c r="RX191" s="302"/>
      <c r="RY191" s="302"/>
      <c r="RZ191" s="302"/>
      <c r="SA191" s="302"/>
      <c r="SB191" s="302"/>
      <c r="SC191" s="302"/>
      <c r="SD191" s="302"/>
      <c r="SE191" s="302"/>
      <c r="SF191" s="302"/>
      <c r="SG191" s="302"/>
      <c r="SH191" s="302"/>
      <c r="SI191" s="302"/>
      <c r="SJ191" s="302"/>
      <c r="SK191" s="302"/>
      <c r="SL191" s="302"/>
      <c r="SM191" s="302"/>
      <c r="SN191" s="302"/>
      <c r="SO191" s="302"/>
      <c r="SP191" s="302"/>
      <c r="SQ191" s="302"/>
      <c r="SR191" s="302"/>
      <c r="SS191" s="302"/>
      <c r="ST191" s="302"/>
      <c r="SU191" s="302"/>
      <c r="SV191" s="302"/>
      <c r="SW191" s="302"/>
      <c r="SX191" s="302"/>
      <c r="SY191" s="302"/>
      <c r="SZ191" s="302"/>
      <c r="TA191" s="302"/>
      <c r="TB191" s="302"/>
      <c r="TC191" s="302"/>
      <c r="TD191" s="302"/>
      <c r="TE191" s="302"/>
      <c r="TF191" s="302"/>
      <c r="TG191" s="302"/>
      <c r="TH191" s="302"/>
      <c r="TI191" s="302"/>
      <c r="TJ191" s="302"/>
      <c r="TK191" s="302"/>
      <c r="TL191" s="302"/>
      <c r="TM191" s="302"/>
      <c r="TN191" s="302"/>
      <c r="TO191" s="302"/>
      <c r="TP191" s="302"/>
      <c r="TQ191" s="302"/>
      <c r="TR191" s="302"/>
      <c r="TS191" s="302"/>
      <c r="TT191" s="302"/>
      <c r="TU191" s="302"/>
      <c r="TV191" s="302"/>
      <c r="TW191" s="302"/>
      <c r="TX191" s="302"/>
      <c r="TY191" s="302"/>
      <c r="TZ191" s="302"/>
      <c r="UA191" s="302"/>
      <c r="UB191" s="302"/>
      <c r="UC191" s="302"/>
      <c r="UD191" s="302"/>
      <c r="UE191" s="302"/>
      <c r="UF191" s="302"/>
      <c r="UG191" s="302"/>
      <c r="UH191" s="302"/>
      <c r="UI191" s="302"/>
      <c r="UJ191" s="302"/>
      <c r="UK191" s="302"/>
      <c r="UL191" s="302"/>
      <c r="UM191" s="302"/>
      <c r="UN191" s="302"/>
      <c r="UO191" s="302"/>
      <c r="UP191" s="302"/>
      <c r="UQ191" s="302"/>
      <c r="UR191" s="302"/>
      <c r="US191" s="302"/>
      <c r="UT191" s="302"/>
      <c r="UU191" s="302"/>
      <c r="UV191" s="302"/>
      <c r="UW191" s="302"/>
      <c r="UX191" s="302"/>
      <c r="UY191" s="302"/>
      <c r="UZ191" s="302"/>
      <c r="VA191" s="302"/>
      <c r="VB191" s="302"/>
      <c r="VC191" s="302"/>
      <c r="VD191" s="302"/>
      <c r="VE191" s="302"/>
      <c r="VF191" s="302"/>
      <c r="VG191" s="302"/>
      <c r="VH191" s="302"/>
      <c r="VI191" s="302"/>
      <c r="VJ191" s="302"/>
      <c r="VK191" s="302"/>
      <c r="VL191" s="302"/>
      <c r="VM191" s="302"/>
      <c r="VN191" s="302"/>
      <c r="VO191" s="302"/>
      <c r="VP191" s="302"/>
      <c r="VQ191" s="302"/>
      <c r="VR191" s="302"/>
      <c r="VS191" s="302"/>
      <c r="VT191" s="302"/>
      <c r="VU191" s="302"/>
      <c r="VV191" s="302"/>
      <c r="VW191" s="302"/>
      <c r="VX191" s="302"/>
      <c r="VY191" s="302"/>
      <c r="VZ191" s="302"/>
      <c r="WA191" s="302"/>
      <c r="WB191" s="302"/>
      <c r="WC191" s="302"/>
      <c r="WD191" s="302"/>
      <c r="WE191" s="302"/>
      <c r="WF191" s="302"/>
      <c r="WG191" s="302"/>
      <c r="WH191" s="302"/>
      <c r="WI191" s="302"/>
      <c r="WJ191" s="302"/>
      <c r="WK191" s="302"/>
      <c r="WL191" s="302"/>
      <c r="WM191" s="302"/>
      <c r="WN191" s="302"/>
      <c r="WO191" s="302"/>
      <c r="WP191" s="302"/>
      <c r="WQ191" s="302"/>
      <c r="WR191" s="302"/>
      <c r="WS191" s="302"/>
      <c r="WT191" s="302"/>
      <c r="WU191" s="302"/>
      <c r="WV191" s="302"/>
      <c r="WW191" s="302"/>
      <c r="WX191" s="302"/>
      <c r="WY191" s="302"/>
      <c r="WZ191" s="302"/>
      <c r="XA191" s="302"/>
      <c r="XB191" s="302"/>
      <c r="XC191" s="302"/>
      <c r="XD191" s="302"/>
      <c r="XE191" s="302"/>
      <c r="XF191" s="302"/>
      <c r="XG191" s="302"/>
      <c r="XH191" s="302"/>
      <c r="XI191" s="302"/>
      <c r="XJ191" s="302"/>
      <c r="XK191" s="302"/>
      <c r="XL191" s="302"/>
      <c r="XM191" s="302"/>
      <c r="XN191" s="302"/>
      <c r="XO191" s="302"/>
      <c r="XP191" s="302"/>
      <c r="XQ191" s="302"/>
      <c r="XR191" s="302"/>
      <c r="XS191" s="302"/>
      <c r="XT191" s="302"/>
      <c r="XU191" s="302"/>
      <c r="XV191" s="302"/>
      <c r="XW191" s="302"/>
      <c r="XX191" s="302"/>
      <c r="XY191" s="302"/>
      <c r="XZ191" s="302"/>
      <c r="YA191" s="302"/>
      <c r="YB191" s="302"/>
      <c r="YC191" s="302"/>
      <c r="YD191" s="302"/>
      <c r="YE191" s="302"/>
      <c r="YF191" s="302"/>
      <c r="YG191" s="302"/>
      <c r="YH191" s="302"/>
      <c r="YI191" s="302"/>
      <c r="YJ191" s="302"/>
      <c r="YK191" s="302"/>
      <c r="YL191" s="302"/>
      <c r="YM191" s="302"/>
      <c r="YN191" s="302"/>
      <c r="YO191" s="302"/>
      <c r="YP191" s="302"/>
      <c r="YQ191" s="302"/>
      <c r="YR191" s="302"/>
      <c r="YS191" s="302"/>
      <c r="YT191" s="302"/>
      <c r="YU191" s="302"/>
      <c r="YV191" s="302"/>
      <c r="YW191" s="302"/>
      <c r="YX191" s="302"/>
      <c r="YY191" s="302"/>
      <c r="YZ191" s="302"/>
      <c r="ZA191" s="302"/>
      <c r="ZB191" s="302"/>
      <c r="ZC191" s="302"/>
      <c r="ZD191" s="302"/>
      <c r="ZE191" s="302"/>
      <c r="ZF191" s="302"/>
      <c r="ZG191" s="302"/>
      <c r="ZH191" s="302"/>
      <c r="ZI191" s="302"/>
      <c r="ZJ191" s="302"/>
      <c r="ZK191" s="302"/>
      <c r="ZL191" s="302"/>
      <c r="ZM191" s="302"/>
      <c r="ZN191" s="302"/>
      <c r="ZO191" s="302"/>
      <c r="ZP191" s="302"/>
      <c r="ZQ191" s="302"/>
      <c r="ZR191" s="302"/>
      <c r="ZS191" s="302"/>
      <c r="ZT191" s="302"/>
      <c r="ZU191" s="302"/>
      <c r="ZV191" s="302"/>
      <c r="ZW191" s="302"/>
      <c r="ZX191" s="302"/>
      <c r="ZY191" s="302"/>
      <c r="ZZ191" s="302"/>
      <c r="AAA191" s="302"/>
      <c r="AAB191" s="302"/>
      <c r="AAC191" s="302"/>
      <c r="AAD191" s="302"/>
      <c r="AAE191" s="302"/>
      <c r="AAF191" s="302"/>
      <c r="AAG191" s="302"/>
      <c r="AAH191" s="302"/>
      <c r="AAI191" s="302"/>
      <c r="AAJ191" s="302"/>
      <c r="AAK191" s="302"/>
      <c r="AAL191" s="302"/>
      <c r="AAM191" s="302"/>
      <c r="AAN191" s="302"/>
      <c r="AAO191" s="302"/>
      <c r="AAP191" s="302"/>
      <c r="AAQ191" s="302"/>
      <c r="AAR191" s="302"/>
      <c r="AAS191" s="302"/>
      <c r="AAT191" s="302"/>
      <c r="AAU191" s="302"/>
      <c r="AAV191" s="302"/>
      <c r="AAW191" s="302"/>
      <c r="AAX191" s="302"/>
      <c r="AAY191" s="302"/>
      <c r="AAZ191" s="302"/>
      <c r="ABA191" s="302"/>
      <c r="ABB191" s="302"/>
      <c r="ABC191" s="302"/>
      <c r="ABD191" s="302"/>
      <c r="ABE191" s="302"/>
      <c r="ABF191" s="302"/>
      <c r="ABG191" s="302"/>
      <c r="ABH191" s="302"/>
      <c r="ABI191" s="302"/>
      <c r="ABJ191" s="302"/>
      <c r="ABK191" s="302"/>
      <c r="ABL191" s="302"/>
      <c r="ABM191" s="302"/>
      <c r="ABN191" s="302"/>
      <c r="ABO191" s="302"/>
      <c r="ABP191" s="302"/>
      <c r="ABQ191" s="302"/>
      <c r="ABR191" s="302"/>
      <c r="ABS191" s="302"/>
      <c r="ABT191" s="302"/>
      <c r="ABU191" s="302"/>
      <c r="ABV191" s="302"/>
      <c r="ABW191" s="302"/>
      <c r="ABX191" s="302"/>
      <c r="ABY191" s="302"/>
      <c r="ABZ191" s="302"/>
      <c r="ACA191" s="302"/>
      <c r="ACB191" s="302"/>
      <c r="ACC191" s="302"/>
      <c r="ACD191" s="302"/>
      <c r="ACE191" s="302"/>
      <c r="ACF191" s="302"/>
      <c r="ACG191" s="302"/>
      <c r="ACH191" s="302"/>
      <c r="ACI191" s="302"/>
      <c r="ACJ191" s="302"/>
      <c r="ACK191" s="302"/>
      <c r="ACL191" s="302"/>
      <c r="ACM191" s="302"/>
      <c r="ACN191" s="302"/>
      <c r="ACO191" s="302"/>
      <c r="ACP191" s="302"/>
      <c r="ACQ191" s="302"/>
      <c r="ACR191" s="302"/>
      <c r="ACS191" s="302"/>
      <c r="ACT191" s="302"/>
      <c r="ACU191" s="302"/>
      <c r="ACV191" s="302"/>
      <c r="ACW191" s="302"/>
      <c r="ACX191" s="302"/>
      <c r="ACY191" s="302"/>
      <c r="ACZ191" s="302"/>
      <c r="ADA191" s="302"/>
      <c r="ADB191" s="302"/>
      <c r="ADC191" s="302"/>
      <c r="ADD191" s="302"/>
      <c r="ADE191" s="302"/>
      <c r="ADF191" s="302"/>
      <c r="ADG191" s="302"/>
      <c r="ADH191" s="302"/>
      <c r="ADI191" s="302"/>
      <c r="ADJ191" s="302"/>
      <c r="ADK191" s="302"/>
      <c r="ADL191" s="302"/>
      <c r="ADM191" s="302"/>
      <c r="ADN191" s="302"/>
      <c r="ADO191" s="302"/>
      <c r="ADP191" s="302"/>
      <c r="ADQ191" s="302"/>
      <c r="ADR191" s="302"/>
      <c r="ADS191" s="302"/>
      <c r="ADT191" s="302"/>
      <c r="ADU191" s="302"/>
      <c r="ADV191" s="302"/>
      <c r="ADW191" s="302"/>
      <c r="ADX191" s="302"/>
      <c r="ADY191" s="302"/>
      <c r="ADZ191" s="302"/>
      <c r="AEA191" s="302"/>
      <c r="AEB191" s="302"/>
      <c r="AEC191" s="302"/>
      <c r="AED191" s="302"/>
      <c r="AEE191" s="302"/>
      <c r="AEF191" s="302"/>
      <c r="AEG191" s="302"/>
      <c r="AEH191" s="302"/>
      <c r="AEI191" s="302"/>
      <c r="AEJ191" s="302"/>
      <c r="AEK191" s="302"/>
      <c r="AEL191" s="302"/>
      <c r="AEM191" s="302"/>
      <c r="AEN191" s="302"/>
      <c r="AEO191" s="302"/>
      <c r="AEP191" s="302"/>
      <c r="AEQ191" s="302"/>
      <c r="AER191" s="302"/>
      <c r="AES191" s="302"/>
      <c r="AET191" s="302"/>
      <c r="AEU191" s="302"/>
      <c r="AEV191" s="302"/>
      <c r="AEW191" s="302"/>
      <c r="AEX191" s="302"/>
      <c r="AEY191" s="302"/>
      <c r="AEZ191" s="302"/>
      <c r="AFA191" s="302"/>
      <c r="AFB191" s="302"/>
      <c r="AFC191" s="302"/>
      <c r="AFD191" s="302"/>
      <c r="AFE191" s="302"/>
      <c r="AFF191" s="302"/>
      <c r="AFG191" s="302"/>
      <c r="AFH191" s="302"/>
      <c r="AFI191" s="302"/>
      <c r="AFJ191" s="302"/>
      <c r="AFK191" s="302"/>
      <c r="AFL191" s="302"/>
      <c r="AFM191" s="302"/>
      <c r="AFN191" s="302"/>
      <c r="AFO191" s="302"/>
      <c r="AFP191" s="302"/>
      <c r="AFQ191" s="302"/>
      <c r="AFR191" s="302"/>
      <c r="AFS191" s="302"/>
      <c r="AFT191" s="302"/>
      <c r="AFU191" s="302"/>
      <c r="AFV191" s="302"/>
      <c r="AFW191" s="302"/>
      <c r="AFX191" s="302"/>
      <c r="AFY191" s="302"/>
      <c r="AFZ191" s="302"/>
      <c r="AGA191" s="302"/>
      <c r="AGB191" s="302"/>
      <c r="AGC191" s="302"/>
      <c r="AGD191" s="302"/>
      <c r="AGE191" s="302"/>
      <c r="AGF191" s="302"/>
      <c r="AGG191" s="302"/>
      <c r="AGH191" s="302"/>
      <c r="AGI191" s="302"/>
      <c r="AGJ191" s="302"/>
      <c r="AGK191" s="302"/>
      <c r="AGL191" s="302"/>
      <c r="AGM191" s="302"/>
      <c r="AGN191" s="302"/>
      <c r="AGO191" s="302"/>
      <c r="AGP191" s="302"/>
      <c r="AGQ191" s="302"/>
      <c r="AGR191" s="302"/>
      <c r="AGS191" s="302"/>
      <c r="AGT191" s="302"/>
      <c r="AGU191" s="302"/>
      <c r="AGV191" s="302"/>
      <c r="AGW191" s="302"/>
      <c r="AGX191" s="302"/>
      <c r="AGY191" s="302"/>
      <c r="AGZ191" s="302"/>
      <c r="AHA191" s="302"/>
      <c r="AHB191" s="302"/>
      <c r="AHC191" s="302"/>
      <c r="AHD191" s="302"/>
      <c r="AHE191" s="302"/>
      <c r="AHF191" s="302"/>
      <c r="AHG191" s="302"/>
      <c r="AHH191" s="302"/>
      <c r="AHI191" s="302"/>
      <c r="AHJ191" s="302"/>
      <c r="AHK191" s="302"/>
      <c r="AHL191" s="302"/>
      <c r="AHM191" s="302"/>
      <c r="AHN191" s="302"/>
      <c r="AHO191" s="302"/>
      <c r="AHP191" s="302"/>
      <c r="AHQ191" s="302"/>
      <c r="AHR191" s="302"/>
      <c r="AHS191" s="302"/>
      <c r="AHT191" s="302"/>
      <c r="AHU191" s="302"/>
      <c r="AHV191" s="302"/>
      <c r="AHW191" s="302"/>
      <c r="AHX191" s="302"/>
      <c r="AHY191" s="302"/>
      <c r="AHZ191" s="302"/>
      <c r="AIA191" s="302"/>
      <c r="AIB191" s="302"/>
      <c r="AIC191" s="302"/>
      <c r="AID191" s="302"/>
      <c r="AIE191" s="302"/>
      <c r="AIF191" s="302"/>
      <c r="AIG191" s="302"/>
      <c r="AIH191" s="302"/>
      <c r="AII191" s="302"/>
      <c r="AIJ191" s="302"/>
      <c r="AIK191" s="302"/>
      <c r="AIL191" s="302"/>
      <c r="AIM191" s="302"/>
      <c r="AIN191" s="302"/>
      <c r="AIO191" s="302"/>
      <c r="AIP191" s="302"/>
      <c r="AIQ191" s="302"/>
      <c r="AIR191" s="302"/>
      <c r="AIS191" s="302"/>
      <c r="AIT191" s="302"/>
      <c r="AIU191" s="302"/>
      <c r="AIV191" s="302"/>
      <c r="AIW191" s="302"/>
      <c r="AIX191" s="302"/>
      <c r="AIY191" s="302"/>
      <c r="AIZ191" s="302"/>
      <c r="AJA191" s="302"/>
      <c r="AJB191" s="302"/>
      <c r="AJC191" s="302"/>
      <c r="AJD191" s="302"/>
      <c r="AJE191" s="302"/>
      <c r="AJF191" s="302"/>
      <c r="AJG191" s="302"/>
      <c r="AJH191" s="302"/>
      <c r="AJI191" s="302"/>
      <c r="AJJ191" s="302"/>
      <c r="AJK191" s="302"/>
      <c r="AJL191" s="302"/>
      <c r="AJM191" s="302"/>
      <c r="AJN191" s="302"/>
      <c r="AJO191" s="302"/>
      <c r="AJP191" s="302"/>
      <c r="AJQ191" s="302"/>
      <c r="AJR191" s="302"/>
      <c r="AJS191" s="302"/>
      <c r="AJT191" s="302"/>
      <c r="AJU191" s="302"/>
      <c r="AJV191" s="302"/>
      <c r="AJW191" s="302"/>
      <c r="AJX191" s="302"/>
      <c r="AJY191" s="302"/>
      <c r="AJZ191" s="302"/>
      <c r="AKA191" s="302"/>
      <c r="AKB191" s="302"/>
      <c r="AKC191" s="302"/>
      <c r="AKD191" s="302"/>
      <c r="AKE191" s="302"/>
      <c r="AKF191" s="302"/>
      <c r="AKG191" s="302"/>
      <c r="AKH191" s="302"/>
      <c r="AKI191" s="302"/>
      <c r="AKJ191" s="302"/>
      <c r="AKK191" s="302"/>
      <c r="AKL191" s="302"/>
      <c r="AKM191" s="302"/>
      <c r="AKN191" s="302"/>
      <c r="AKO191" s="302"/>
      <c r="AKP191" s="302"/>
      <c r="AKQ191" s="302"/>
      <c r="AKR191" s="302"/>
      <c r="AKS191" s="302"/>
      <c r="AKT191" s="302"/>
      <c r="AKU191" s="302"/>
      <c r="AKV191" s="302"/>
      <c r="AKW191" s="302"/>
      <c r="AKX191" s="302"/>
      <c r="AKY191" s="302"/>
      <c r="AKZ191" s="302"/>
      <c r="ALA191" s="302"/>
      <c r="ALB191" s="302"/>
      <c r="ALC191" s="302"/>
      <c r="ALD191" s="302"/>
      <c r="ALE191" s="302"/>
      <c r="ALF191" s="302"/>
      <c r="ALG191" s="302"/>
      <c r="ALH191" s="302"/>
      <c r="ALI191" s="302"/>
      <c r="ALJ191" s="302"/>
      <c r="ALK191" s="302"/>
      <c r="ALL191" s="302"/>
      <c r="ALM191" s="302"/>
      <c r="ALN191" s="302"/>
      <c r="ALO191" s="302"/>
      <c r="ALP191" s="302"/>
      <c r="ALQ191" s="302"/>
      <c r="ALR191" s="302"/>
      <c r="ALS191" s="302"/>
      <c r="ALT191" s="302"/>
      <c r="ALU191" s="302"/>
      <c r="ALV191" s="302"/>
      <c r="ALW191" s="302"/>
      <c r="ALX191" s="302"/>
      <c r="ALY191" s="302"/>
      <c r="ALZ191" s="302"/>
      <c r="AMA191" s="302"/>
      <c r="AMB191" s="302"/>
      <c r="AMC191" s="302"/>
      <c r="AMD191" s="302"/>
      <c r="AME191" s="302"/>
      <c r="AMF191" s="302"/>
      <c r="AMG191" s="302"/>
      <c r="AMH191" s="302"/>
      <c r="AMI191" s="302"/>
    </row>
    <row r="192" spans="1:1023" hidden="1">
      <c r="A192" s="302"/>
      <c r="B192" s="15">
        <v>13767</v>
      </c>
      <c r="C192" s="87">
        <v>0.08</v>
      </c>
      <c r="D192" s="16" t="s">
        <v>419</v>
      </c>
      <c r="E192" s="12">
        <v>2000000</v>
      </c>
      <c r="F192" s="365">
        <v>0.01</v>
      </c>
      <c r="G192" s="369">
        <f>E192*F192</f>
        <v>20000</v>
      </c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2"/>
      <c r="AE192" s="302"/>
      <c r="AF192" s="302"/>
      <c r="AG192" s="302"/>
      <c r="AH192" s="302"/>
      <c r="AI192" s="302"/>
      <c r="AJ192" s="302"/>
      <c r="AK192" s="302"/>
      <c r="AL192" s="302"/>
      <c r="AM192" s="302"/>
      <c r="AN192" s="302"/>
      <c r="AO192" s="302"/>
      <c r="AP192" s="302"/>
      <c r="AQ192" s="302"/>
      <c r="AR192" s="302"/>
      <c r="AS192" s="302"/>
      <c r="AT192" s="302"/>
      <c r="AU192" s="302"/>
      <c r="AV192" s="302"/>
      <c r="AW192" s="302"/>
      <c r="AX192" s="302"/>
      <c r="AY192" s="302"/>
      <c r="AZ192" s="302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K192" s="302"/>
      <c r="BL192" s="302"/>
      <c r="BM192" s="302"/>
      <c r="BN192" s="302"/>
      <c r="BO192" s="302"/>
      <c r="BP192" s="302"/>
      <c r="BQ192" s="302"/>
      <c r="BR192" s="302"/>
      <c r="BS192" s="302"/>
      <c r="BT192" s="302"/>
      <c r="BU192" s="302"/>
      <c r="BV192" s="302"/>
      <c r="BW192" s="302"/>
      <c r="BX192" s="302"/>
      <c r="BY192" s="302"/>
      <c r="BZ192" s="302"/>
      <c r="CA192" s="302"/>
      <c r="CB192" s="302"/>
      <c r="CC192" s="302"/>
      <c r="CD192" s="302"/>
      <c r="CE192" s="302"/>
      <c r="CF192" s="302"/>
      <c r="CG192" s="302"/>
      <c r="CH192" s="302"/>
      <c r="CI192" s="302"/>
      <c r="CJ192" s="302"/>
      <c r="CK192" s="302"/>
      <c r="CL192" s="302"/>
      <c r="CM192" s="302"/>
      <c r="CN192" s="302"/>
      <c r="CO192" s="302"/>
      <c r="CP192" s="302"/>
      <c r="CQ192" s="302"/>
      <c r="CR192" s="302"/>
      <c r="CS192" s="302"/>
      <c r="CT192" s="302"/>
      <c r="CU192" s="302"/>
      <c r="CV192" s="302"/>
      <c r="CW192" s="302"/>
      <c r="CX192" s="302"/>
      <c r="CY192" s="302"/>
      <c r="CZ192" s="302"/>
      <c r="DA192" s="302"/>
      <c r="DB192" s="302"/>
      <c r="DC192" s="302"/>
      <c r="DD192" s="302"/>
      <c r="DE192" s="302"/>
      <c r="DF192" s="302"/>
      <c r="DG192" s="302"/>
      <c r="DH192" s="302"/>
      <c r="DI192" s="302"/>
      <c r="DJ192" s="302"/>
      <c r="DK192" s="302"/>
      <c r="DL192" s="302"/>
      <c r="DM192" s="302"/>
      <c r="DN192" s="302"/>
      <c r="DO192" s="302"/>
      <c r="DP192" s="302"/>
      <c r="DQ192" s="302"/>
      <c r="DR192" s="302"/>
      <c r="DS192" s="302"/>
      <c r="DT192" s="302"/>
      <c r="DU192" s="302"/>
      <c r="DV192" s="302"/>
      <c r="DW192" s="302"/>
      <c r="DX192" s="302"/>
      <c r="DY192" s="302"/>
      <c r="DZ192" s="302"/>
      <c r="EA192" s="302"/>
      <c r="EB192" s="302"/>
      <c r="EC192" s="302"/>
      <c r="ED192" s="302"/>
      <c r="EE192" s="302"/>
      <c r="EF192" s="302"/>
      <c r="EG192" s="302"/>
      <c r="EH192" s="302"/>
      <c r="EI192" s="302"/>
      <c r="EJ192" s="302"/>
      <c r="EK192" s="302"/>
      <c r="EL192" s="302"/>
      <c r="EM192" s="302"/>
      <c r="EN192" s="302"/>
      <c r="EO192" s="302"/>
      <c r="EP192" s="302"/>
      <c r="EQ192" s="302"/>
      <c r="ER192" s="302"/>
      <c r="ES192" s="302"/>
      <c r="ET192" s="302"/>
      <c r="EU192" s="302"/>
      <c r="EV192" s="302"/>
      <c r="EW192" s="302"/>
      <c r="EX192" s="302"/>
      <c r="EY192" s="302"/>
      <c r="EZ192" s="302"/>
      <c r="FA192" s="302"/>
      <c r="FB192" s="302"/>
      <c r="FC192" s="302"/>
      <c r="FD192" s="302"/>
      <c r="FE192" s="302"/>
      <c r="FF192" s="302"/>
      <c r="FG192" s="302"/>
      <c r="FH192" s="302"/>
      <c r="FI192" s="302"/>
      <c r="FJ192" s="302"/>
      <c r="FK192" s="302"/>
      <c r="FL192" s="302"/>
      <c r="FM192" s="302"/>
      <c r="FN192" s="302"/>
      <c r="FO192" s="302"/>
      <c r="FP192" s="302"/>
      <c r="FQ192" s="302"/>
      <c r="FR192" s="302"/>
      <c r="FS192" s="302"/>
      <c r="FT192" s="302"/>
      <c r="FU192" s="302"/>
      <c r="FV192" s="302"/>
      <c r="FW192" s="302"/>
      <c r="FX192" s="302"/>
      <c r="FY192" s="302"/>
      <c r="FZ192" s="302"/>
      <c r="GA192" s="302"/>
      <c r="GB192" s="302"/>
      <c r="GC192" s="302"/>
      <c r="GD192" s="302"/>
      <c r="GE192" s="302"/>
      <c r="GF192" s="302"/>
      <c r="GG192" s="302"/>
      <c r="GH192" s="302"/>
      <c r="GI192" s="302"/>
      <c r="GJ192" s="302"/>
      <c r="GK192" s="302"/>
      <c r="GL192" s="302"/>
      <c r="GM192" s="302"/>
      <c r="GN192" s="302"/>
      <c r="GO192" s="302"/>
      <c r="GP192" s="302"/>
      <c r="GQ192" s="302"/>
      <c r="GR192" s="302"/>
      <c r="GS192" s="302"/>
      <c r="GT192" s="302"/>
      <c r="GU192" s="302"/>
      <c r="GV192" s="302"/>
      <c r="GW192" s="302"/>
      <c r="GX192" s="302"/>
      <c r="GY192" s="302"/>
      <c r="GZ192" s="302"/>
      <c r="HA192" s="302"/>
      <c r="HB192" s="302"/>
      <c r="HC192" s="302"/>
      <c r="HD192" s="302"/>
      <c r="HE192" s="302"/>
      <c r="HF192" s="302"/>
      <c r="HG192" s="302"/>
      <c r="HH192" s="302"/>
      <c r="HI192" s="302"/>
      <c r="HJ192" s="302"/>
      <c r="HK192" s="302"/>
      <c r="HL192" s="302"/>
      <c r="HM192" s="302"/>
      <c r="HN192" s="302"/>
      <c r="HO192" s="302"/>
      <c r="HP192" s="302"/>
      <c r="HQ192" s="302"/>
      <c r="HR192" s="302"/>
      <c r="HS192" s="302"/>
      <c r="HT192" s="302"/>
      <c r="HU192" s="302"/>
      <c r="HV192" s="302"/>
      <c r="HW192" s="302"/>
      <c r="HX192" s="302"/>
      <c r="HY192" s="302"/>
      <c r="HZ192" s="302"/>
      <c r="IA192" s="302"/>
      <c r="IB192" s="302"/>
      <c r="IC192" s="302"/>
      <c r="ID192" s="302"/>
      <c r="IE192" s="302"/>
      <c r="IF192" s="302"/>
      <c r="IG192" s="302"/>
      <c r="IH192" s="302"/>
      <c r="II192" s="302"/>
      <c r="IJ192" s="302"/>
      <c r="IK192" s="302"/>
      <c r="IL192" s="302"/>
      <c r="IM192" s="302"/>
      <c r="IN192" s="302"/>
      <c r="IO192" s="302"/>
      <c r="IP192" s="302"/>
      <c r="IQ192" s="302"/>
      <c r="IR192" s="302"/>
      <c r="IS192" s="302"/>
      <c r="IT192" s="302"/>
      <c r="IU192" s="302"/>
      <c r="IV192" s="302"/>
      <c r="IW192" s="302"/>
      <c r="IX192" s="302"/>
      <c r="IY192" s="302"/>
      <c r="IZ192" s="302"/>
      <c r="JA192" s="302"/>
      <c r="JB192" s="302"/>
      <c r="JC192" s="302"/>
      <c r="JD192" s="302"/>
      <c r="JE192" s="302"/>
      <c r="JF192" s="302"/>
      <c r="JG192" s="302"/>
      <c r="JH192" s="302"/>
      <c r="JI192" s="302"/>
      <c r="JJ192" s="302"/>
      <c r="JK192" s="302"/>
      <c r="JL192" s="302"/>
      <c r="JM192" s="302"/>
      <c r="JN192" s="302"/>
      <c r="JO192" s="302"/>
      <c r="JP192" s="302"/>
      <c r="JQ192" s="302"/>
      <c r="JR192" s="302"/>
      <c r="JS192" s="302"/>
      <c r="JT192" s="302"/>
      <c r="JU192" s="302"/>
      <c r="JV192" s="302"/>
      <c r="JW192" s="302"/>
      <c r="JX192" s="302"/>
      <c r="JY192" s="302"/>
      <c r="JZ192" s="302"/>
      <c r="KA192" s="302"/>
      <c r="KB192" s="302"/>
      <c r="KC192" s="302"/>
      <c r="KD192" s="302"/>
      <c r="KE192" s="302"/>
      <c r="KF192" s="302"/>
      <c r="KG192" s="302"/>
      <c r="KH192" s="302"/>
      <c r="KI192" s="302"/>
      <c r="KJ192" s="302"/>
      <c r="KK192" s="302"/>
      <c r="KL192" s="302"/>
      <c r="KM192" s="302"/>
      <c r="KN192" s="302"/>
      <c r="KO192" s="302"/>
      <c r="KP192" s="302"/>
      <c r="KQ192" s="302"/>
      <c r="KR192" s="302"/>
      <c r="KS192" s="302"/>
      <c r="KT192" s="302"/>
      <c r="KU192" s="302"/>
      <c r="KV192" s="302"/>
      <c r="KW192" s="302"/>
      <c r="KX192" s="302"/>
      <c r="KY192" s="302"/>
      <c r="KZ192" s="302"/>
      <c r="LA192" s="302"/>
      <c r="LB192" s="302"/>
      <c r="LC192" s="302"/>
      <c r="LD192" s="302"/>
      <c r="LE192" s="302"/>
      <c r="LF192" s="302"/>
      <c r="LG192" s="302"/>
      <c r="LH192" s="302"/>
      <c r="LI192" s="302"/>
      <c r="LJ192" s="302"/>
      <c r="LK192" s="302"/>
      <c r="LL192" s="302"/>
      <c r="LM192" s="302"/>
      <c r="LN192" s="302"/>
      <c r="LO192" s="302"/>
      <c r="LP192" s="302"/>
      <c r="LQ192" s="302"/>
      <c r="LR192" s="302"/>
      <c r="LS192" s="302"/>
      <c r="LT192" s="302"/>
      <c r="LU192" s="302"/>
      <c r="LV192" s="302"/>
      <c r="LW192" s="302"/>
      <c r="LX192" s="302"/>
      <c r="LY192" s="302"/>
      <c r="LZ192" s="302"/>
      <c r="MA192" s="302"/>
      <c r="MB192" s="302"/>
      <c r="MC192" s="302"/>
      <c r="MD192" s="302"/>
      <c r="ME192" s="302"/>
      <c r="MF192" s="302"/>
      <c r="MG192" s="302"/>
      <c r="MH192" s="302"/>
      <c r="MI192" s="302"/>
      <c r="MJ192" s="302"/>
      <c r="MK192" s="302"/>
      <c r="ML192" s="302"/>
      <c r="MM192" s="302"/>
      <c r="MN192" s="302"/>
      <c r="MO192" s="302"/>
      <c r="MP192" s="302"/>
      <c r="MQ192" s="302"/>
      <c r="MR192" s="302"/>
      <c r="MS192" s="302"/>
      <c r="MT192" s="302"/>
      <c r="MU192" s="302"/>
      <c r="MV192" s="302"/>
      <c r="MW192" s="302"/>
      <c r="MX192" s="302"/>
      <c r="MY192" s="302"/>
      <c r="MZ192" s="302"/>
      <c r="NA192" s="302"/>
      <c r="NB192" s="302"/>
      <c r="NC192" s="302"/>
      <c r="ND192" s="302"/>
      <c r="NE192" s="302"/>
      <c r="NF192" s="302"/>
      <c r="NG192" s="302"/>
      <c r="NH192" s="302"/>
      <c r="NI192" s="302"/>
      <c r="NJ192" s="302"/>
      <c r="NK192" s="302"/>
      <c r="NL192" s="302"/>
      <c r="NM192" s="302"/>
      <c r="NN192" s="302"/>
      <c r="NO192" s="302"/>
      <c r="NP192" s="302"/>
      <c r="NQ192" s="302"/>
      <c r="NR192" s="302"/>
      <c r="NS192" s="302"/>
      <c r="NT192" s="302"/>
      <c r="NU192" s="302"/>
      <c r="NV192" s="302"/>
      <c r="NW192" s="302"/>
      <c r="NX192" s="302"/>
      <c r="NY192" s="302"/>
      <c r="NZ192" s="302"/>
      <c r="OA192" s="302"/>
      <c r="OB192" s="302"/>
      <c r="OC192" s="302"/>
      <c r="OD192" s="302"/>
      <c r="OE192" s="302"/>
      <c r="OF192" s="302"/>
      <c r="OG192" s="302"/>
      <c r="OH192" s="302"/>
      <c r="OI192" s="302"/>
      <c r="OJ192" s="302"/>
      <c r="OK192" s="302"/>
      <c r="OL192" s="302"/>
      <c r="OM192" s="302"/>
      <c r="ON192" s="302"/>
      <c r="OO192" s="302"/>
      <c r="OP192" s="302"/>
      <c r="OQ192" s="302"/>
      <c r="OR192" s="302"/>
      <c r="OS192" s="302"/>
      <c r="OT192" s="302"/>
      <c r="OU192" s="302"/>
      <c r="OV192" s="302"/>
      <c r="OW192" s="302"/>
      <c r="OX192" s="302"/>
      <c r="OY192" s="302"/>
      <c r="OZ192" s="302"/>
      <c r="PA192" s="302"/>
      <c r="PB192" s="302"/>
      <c r="PC192" s="302"/>
      <c r="PD192" s="302"/>
      <c r="PE192" s="302"/>
      <c r="PF192" s="302"/>
      <c r="PG192" s="302"/>
      <c r="PH192" s="302"/>
      <c r="PI192" s="302"/>
      <c r="PJ192" s="302"/>
      <c r="PK192" s="302"/>
      <c r="PL192" s="302"/>
      <c r="PM192" s="302"/>
      <c r="PN192" s="302"/>
      <c r="PO192" s="302"/>
      <c r="PP192" s="302"/>
      <c r="PQ192" s="302"/>
      <c r="PR192" s="302"/>
      <c r="PS192" s="302"/>
      <c r="PT192" s="302"/>
      <c r="PU192" s="302"/>
      <c r="PV192" s="302"/>
      <c r="PW192" s="302"/>
      <c r="PX192" s="302"/>
      <c r="PY192" s="302"/>
      <c r="PZ192" s="302"/>
      <c r="QA192" s="302"/>
      <c r="QB192" s="302"/>
      <c r="QC192" s="302"/>
      <c r="QD192" s="302"/>
      <c r="QE192" s="302"/>
      <c r="QF192" s="302"/>
      <c r="QG192" s="302"/>
      <c r="QH192" s="302"/>
      <c r="QI192" s="302"/>
      <c r="QJ192" s="302"/>
      <c r="QK192" s="302"/>
      <c r="QL192" s="302"/>
      <c r="QM192" s="302"/>
      <c r="QN192" s="302"/>
      <c r="QO192" s="302"/>
      <c r="QP192" s="302"/>
      <c r="QQ192" s="302"/>
      <c r="QR192" s="302"/>
      <c r="QS192" s="302"/>
      <c r="QT192" s="302"/>
      <c r="QU192" s="302"/>
      <c r="QV192" s="302"/>
      <c r="QW192" s="302"/>
      <c r="QX192" s="302"/>
      <c r="QY192" s="302"/>
      <c r="QZ192" s="302"/>
      <c r="RA192" s="302"/>
      <c r="RB192" s="302"/>
      <c r="RC192" s="302"/>
      <c r="RD192" s="302"/>
      <c r="RE192" s="302"/>
      <c r="RF192" s="302"/>
      <c r="RG192" s="302"/>
      <c r="RH192" s="302"/>
      <c r="RI192" s="302"/>
      <c r="RJ192" s="302"/>
      <c r="RK192" s="302"/>
      <c r="RL192" s="302"/>
      <c r="RM192" s="302"/>
      <c r="RN192" s="302"/>
      <c r="RO192" s="302"/>
      <c r="RP192" s="302"/>
      <c r="RQ192" s="302"/>
      <c r="RR192" s="302"/>
      <c r="RS192" s="302"/>
      <c r="RT192" s="302"/>
      <c r="RU192" s="302"/>
      <c r="RV192" s="302"/>
      <c r="RW192" s="302"/>
      <c r="RX192" s="302"/>
      <c r="RY192" s="302"/>
      <c r="RZ192" s="302"/>
      <c r="SA192" s="302"/>
      <c r="SB192" s="302"/>
      <c r="SC192" s="302"/>
      <c r="SD192" s="302"/>
      <c r="SE192" s="302"/>
      <c r="SF192" s="302"/>
      <c r="SG192" s="302"/>
      <c r="SH192" s="302"/>
      <c r="SI192" s="302"/>
      <c r="SJ192" s="302"/>
      <c r="SK192" s="302"/>
      <c r="SL192" s="302"/>
      <c r="SM192" s="302"/>
      <c r="SN192" s="302"/>
      <c r="SO192" s="302"/>
      <c r="SP192" s="302"/>
      <c r="SQ192" s="302"/>
      <c r="SR192" s="302"/>
      <c r="SS192" s="302"/>
      <c r="ST192" s="302"/>
      <c r="SU192" s="302"/>
      <c r="SV192" s="302"/>
      <c r="SW192" s="302"/>
      <c r="SX192" s="302"/>
      <c r="SY192" s="302"/>
      <c r="SZ192" s="302"/>
      <c r="TA192" s="302"/>
      <c r="TB192" s="302"/>
      <c r="TC192" s="302"/>
      <c r="TD192" s="302"/>
      <c r="TE192" s="302"/>
      <c r="TF192" s="302"/>
      <c r="TG192" s="302"/>
      <c r="TH192" s="302"/>
      <c r="TI192" s="302"/>
      <c r="TJ192" s="302"/>
      <c r="TK192" s="302"/>
      <c r="TL192" s="302"/>
      <c r="TM192" s="302"/>
      <c r="TN192" s="302"/>
      <c r="TO192" s="302"/>
      <c r="TP192" s="302"/>
      <c r="TQ192" s="302"/>
      <c r="TR192" s="302"/>
      <c r="TS192" s="302"/>
      <c r="TT192" s="302"/>
      <c r="TU192" s="302"/>
      <c r="TV192" s="302"/>
      <c r="TW192" s="302"/>
      <c r="TX192" s="302"/>
      <c r="TY192" s="302"/>
      <c r="TZ192" s="302"/>
      <c r="UA192" s="302"/>
      <c r="UB192" s="302"/>
      <c r="UC192" s="302"/>
      <c r="UD192" s="302"/>
      <c r="UE192" s="302"/>
      <c r="UF192" s="302"/>
      <c r="UG192" s="302"/>
      <c r="UH192" s="302"/>
      <c r="UI192" s="302"/>
      <c r="UJ192" s="302"/>
      <c r="UK192" s="302"/>
      <c r="UL192" s="302"/>
      <c r="UM192" s="302"/>
      <c r="UN192" s="302"/>
      <c r="UO192" s="302"/>
      <c r="UP192" s="302"/>
      <c r="UQ192" s="302"/>
      <c r="UR192" s="302"/>
      <c r="US192" s="302"/>
      <c r="UT192" s="302"/>
      <c r="UU192" s="302"/>
      <c r="UV192" s="302"/>
      <c r="UW192" s="302"/>
      <c r="UX192" s="302"/>
      <c r="UY192" s="302"/>
      <c r="UZ192" s="302"/>
      <c r="VA192" s="302"/>
      <c r="VB192" s="302"/>
      <c r="VC192" s="302"/>
      <c r="VD192" s="302"/>
      <c r="VE192" s="302"/>
      <c r="VF192" s="302"/>
      <c r="VG192" s="302"/>
      <c r="VH192" s="302"/>
      <c r="VI192" s="302"/>
      <c r="VJ192" s="302"/>
      <c r="VK192" s="302"/>
      <c r="VL192" s="302"/>
      <c r="VM192" s="302"/>
      <c r="VN192" s="302"/>
      <c r="VO192" s="302"/>
      <c r="VP192" s="302"/>
      <c r="VQ192" s="302"/>
      <c r="VR192" s="302"/>
      <c r="VS192" s="302"/>
      <c r="VT192" s="302"/>
      <c r="VU192" s="302"/>
      <c r="VV192" s="302"/>
      <c r="VW192" s="302"/>
      <c r="VX192" s="302"/>
      <c r="VY192" s="302"/>
      <c r="VZ192" s="302"/>
      <c r="WA192" s="302"/>
      <c r="WB192" s="302"/>
      <c r="WC192" s="302"/>
      <c r="WD192" s="302"/>
      <c r="WE192" s="302"/>
      <c r="WF192" s="302"/>
      <c r="WG192" s="302"/>
      <c r="WH192" s="302"/>
      <c r="WI192" s="302"/>
      <c r="WJ192" s="302"/>
      <c r="WK192" s="302"/>
      <c r="WL192" s="302"/>
      <c r="WM192" s="302"/>
      <c r="WN192" s="302"/>
      <c r="WO192" s="302"/>
      <c r="WP192" s="302"/>
      <c r="WQ192" s="302"/>
      <c r="WR192" s="302"/>
      <c r="WS192" s="302"/>
      <c r="WT192" s="302"/>
      <c r="WU192" s="302"/>
      <c r="WV192" s="302"/>
      <c r="WW192" s="302"/>
      <c r="WX192" s="302"/>
      <c r="WY192" s="302"/>
      <c r="WZ192" s="302"/>
      <c r="XA192" s="302"/>
      <c r="XB192" s="302"/>
      <c r="XC192" s="302"/>
      <c r="XD192" s="302"/>
      <c r="XE192" s="302"/>
      <c r="XF192" s="302"/>
      <c r="XG192" s="302"/>
      <c r="XH192" s="302"/>
      <c r="XI192" s="302"/>
      <c r="XJ192" s="302"/>
      <c r="XK192" s="302"/>
      <c r="XL192" s="302"/>
      <c r="XM192" s="302"/>
      <c r="XN192" s="302"/>
      <c r="XO192" s="302"/>
      <c r="XP192" s="302"/>
      <c r="XQ192" s="302"/>
      <c r="XR192" s="302"/>
      <c r="XS192" s="302"/>
      <c r="XT192" s="302"/>
      <c r="XU192" s="302"/>
      <c r="XV192" s="302"/>
      <c r="XW192" s="302"/>
      <c r="XX192" s="302"/>
      <c r="XY192" s="302"/>
      <c r="XZ192" s="302"/>
      <c r="YA192" s="302"/>
      <c r="YB192" s="302"/>
      <c r="YC192" s="302"/>
      <c r="YD192" s="302"/>
      <c r="YE192" s="302"/>
      <c r="YF192" s="302"/>
      <c r="YG192" s="302"/>
      <c r="YH192" s="302"/>
      <c r="YI192" s="302"/>
      <c r="YJ192" s="302"/>
      <c r="YK192" s="302"/>
      <c r="YL192" s="302"/>
      <c r="YM192" s="302"/>
      <c r="YN192" s="302"/>
      <c r="YO192" s="302"/>
      <c r="YP192" s="302"/>
      <c r="YQ192" s="302"/>
      <c r="YR192" s="302"/>
      <c r="YS192" s="302"/>
      <c r="YT192" s="302"/>
      <c r="YU192" s="302"/>
      <c r="YV192" s="302"/>
      <c r="YW192" s="302"/>
      <c r="YX192" s="302"/>
      <c r="YY192" s="302"/>
      <c r="YZ192" s="302"/>
      <c r="ZA192" s="302"/>
      <c r="ZB192" s="302"/>
      <c r="ZC192" s="302"/>
      <c r="ZD192" s="302"/>
      <c r="ZE192" s="302"/>
      <c r="ZF192" s="302"/>
      <c r="ZG192" s="302"/>
      <c r="ZH192" s="302"/>
      <c r="ZI192" s="302"/>
      <c r="ZJ192" s="302"/>
      <c r="ZK192" s="302"/>
      <c r="ZL192" s="302"/>
      <c r="ZM192" s="302"/>
      <c r="ZN192" s="302"/>
      <c r="ZO192" s="302"/>
      <c r="ZP192" s="302"/>
      <c r="ZQ192" s="302"/>
      <c r="ZR192" s="302"/>
      <c r="ZS192" s="302"/>
      <c r="ZT192" s="302"/>
      <c r="ZU192" s="302"/>
      <c r="ZV192" s="302"/>
      <c r="ZW192" s="302"/>
      <c r="ZX192" s="302"/>
      <c r="ZY192" s="302"/>
      <c r="ZZ192" s="302"/>
      <c r="AAA192" s="302"/>
      <c r="AAB192" s="302"/>
      <c r="AAC192" s="302"/>
      <c r="AAD192" s="302"/>
      <c r="AAE192" s="302"/>
      <c r="AAF192" s="302"/>
      <c r="AAG192" s="302"/>
      <c r="AAH192" s="302"/>
      <c r="AAI192" s="302"/>
      <c r="AAJ192" s="302"/>
      <c r="AAK192" s="302"/>
      <c r="AAL192" s="302"/>
      <c r="AAM192" s="302"/>
      <c r="AAN192" s="302"/>
      <c r="AAO192" s="302"/>
      <c r="AAP192" s="302"/>
      <c r="AAQ192" s="302"/>
      <c r="AAR192" s="302"/>
      <c r="AAS192" s="302"/>
      <c r="AAT192" s="302"/>
      <c r="AAU192" s="302"/>
      <c r="AAV192" s="302"/>
      <c r="AAW192" s="302"/>
      <c r="AAX192" s="302"/>
      <c r="AAY192" s="302"/>
      <c r="AAZ192" s="302"/>
      <c r="ABA192" s="302"/>
      <c r="ABB192" s="302"/>
      <c r="ABC192" s="302"/>
      <c r="ABD192" s="302"/>
      <c r="ABE192" s="302"/>
      <c r="ABF192" s="302"/>
      <c r="ABG192" s="302"/>
      <c r="ABH192" s="302"/>
      <c r="ABI192" s="302"/>
      <c r="ABJ192" s="302"/>
      <c r="ABK192" s="302"/>
      <c r="ABL192" s="302"/>
      <c r="ABM192" s="302"/>
      <c r="ABN192" s="302"/>
      <c r="ABO192" s="302"/>
      <c r="ABP192" s="302"/>
      <c r="ABQ192" s="302"/>
      <c r="ABR192" s="302"/>
      <c r="ABS192" s="302"/>
      <c r="ABT192" s="302"/>
      <c r="ABU192" s="302"/>
      <c r="ABV192" s="302"/>
      <c r="ABW192" s="302"/>
      <c r="ABX192" s="302"/>
      <c r="ABY192" s="302"/>
      <c r="ABZ192" s="302"/>
      <c r="ACA192" s="302"/>
      <c r="ACB192" s="302"/>
      <c r="ACC192" s="302"/>
      <c r="ACD192" s="302"/>
      <c r="ACE192" s="302"/>
      <c r="ACF192" s="302"/>
      <c r="ACG192" s="302"/>
      <c r="ACH192" s="302"/>
      <c r="ACI192" s="302"/>
      <c r="ACJ192" s="302"/>
      <c r="ACK192" s="302"/>
      <c r="ACL192" s="302"/>
      <c r="ACM192" s="302"/>
      <c r="ACN192" s="302"/>
      <c r="ACO192" s="302"/>
      <c r="ACP192" s="302"/>
      <c r="ACQ192" s="302"/>
      <c r="ACR192" s="302"/>
      <c r="ACS192" s="302"/>
      <c r="ACT192" s="302"/>
      <c r="ACU192" s="302"/>
      <c r="ACV192" s="302"/>
      <c r="ACW192" s="302"/>
      <c r="ACX192" s="302"/>
      <c r="ACY192" s="302"/>
      <c r="ACZ192" s="302"/>
      <c r="ADA192" s="302"/>
      <c r="ADB192" s="302"/>
      <c r="ADC192" s="302"/>
      <c r="ADD192" s="302"/>
      <c r="ADE192" s="302"/>
      <c r="ADF192" s="302"/>
      <c r="ADG192" s="302"/>
      <c r="ADH192" s="302"/>
      <c r="ADI192" s="302"/>
      <c r="ADJ192" s="302"/>
      <c r="ADK192" s="302"/>
      <c r="ADL192" s="302"/>
      <c r="ADM192" s="302"/>
      <c r="ADN192" s="302"/>
      <c r="ADO192" s="302"/>
      <c r="ADP192" s="302"/>
      <c r="ADQ192" s="302"/>
      <c r="ADR192" s="302"/>
      <c r="ADS192" s="302"/>
      <c r="ADT192" s="302"/>
      <c r="ADU192" s="302"/>
      <c r="ADV192" s="302"/>
      <c r="ADW192" s="302"/>
      <c r="ADX192" s="302"/>
      <c r="ADY192" s="302"/>
      <c r="ADZ192" s="302"/>
      <c r="AEA192" s="302"/>
      <c r="AEB192" s="302"/>
      <c r="AEC192" s="302"/>
      <c r="AED192" s="302"/>
      <c r="AEE192" s="302"/>
      <c r="AEF192" s="302"/>
      <c r="AEG192" s="302"/>
      <c r="AEH192" s="302"/>
      <c r="AEI192" s="302"/>
      <c r="AEJ192" s="302"/>
      <c r="AEK192" s="302"/>
      <c r="AEL192" s="302"/>
      <c r="AEM192" s="302"/>
      <c r="AEN192" s="302"/>
      <c r="AEO192" s="302"/>
      <c r="AEP192" s="302"/>
      <c r="AEQ192" s="302"/>
      <c r="AER192" s="302"/>
      <c r="AES192" s="302"/>
      <c r="AET192" s="302"/>
      <c r="AEU192" s="302"/>
      <c r="AEV192" s="302"/>
      <c r="AEW192" s="302"/>
      <c r="AEX192" s="302"/>
      <c r="AEY192" s="302"/>
      <c r="AEZ192" s="302"/>
      <c r="AFA192" s="302"/>
      <c r="AFB192" s="302"/>
      <c r="AFC192" s="302"/>
      <c r="AFD192" s="302"/>
      <c r="AFE192" s="302"/>
      <c r="AFF192" s="302"/>
      <c r="AFG192" s="302"/>
      <c r="AFH192" s="302"/>
      <c r="AFI192" s="302"/>
      <c r="AFJ192" s="302"/>
      <c r="AFK192" s="302"/>
      <c r="AFL192" s="302"/>
      <c r="AFM192" s="302"/>
      <c r="AFN192" s="302"/>
      <c r="AFO192" s="302"/>
      <c r="AFP192" s="302"/>
      <c r="AFQ192" s="302"/>
      <c r="AFR192" s="302"/>
      <c r="AFS192" s="302"/>
      <c r="AFT192" s="302"/>
      <c r="AFU192" s="302"/>
      <c r="AFV192" s="302"/>
      <c r="AFW192" s="302"/>
      <c r="AFX192" s="302"/>
      <c r="AFY192" s="302"/>
      <c r="AFZ192" s="302"/>
      <c r="AGA192" s="302"/>
      <c r="AGB192" s="302"/>
      <c r="AGC192" s="302"/>
      <c r="AGD192" s="302"/>
      <c r="AGE192" s="302"/>
      <c r="AGF192" s="302"/>
      <c r="AGG192" s="302"/>
      <c r="AGH192" s="302"/>
      <c r="AGI192" s="302"/>
      <c r="AGJ192" s="302"/>
      <c r="AGK192" s="302"/>
      <c r="AGL192" s="302"/>
      <c r="AGM192" s="302"/>
      <c r="AGN192" s="302"/>
      <c r="AGO192" s="302"/>
      <c r="AGP192" s="302"/>
      <c r="AGQ192" s="302"/>
      <c r="AGR192" s="302"/>
      <c r="AGS192" s="302"/>
      <c r="AGT192" s="302"/>
      <c r="AGU192" s="302"/>
      <c r="AGV192" s="302"/>
      <c r="AGW192" s="302"/>
      <c r="AGX192" s="302"/>
      <c r="AGY192" s="302"/>
      <c r="AGZ192" s="302"/>
      <c r="AHA192" s="302"/>
      <c r="AHB192" s="302"/>
      <c r="AHC192" s="302"/>
      <c r="AHD192" s="302"/>
      <c r="AHE192" s="302"/>
      <c r="AHF192" s="302"/>
      <c r="AHG192" s="302"/>
      <c r="AHH192" s="302"/>
      <c r="AHI192" s="302"/>
      <c r="AHJ192" s="302"/>
      <c r="AHK192" s="302"/>
      <c r="AHL192" s="302"/>
      <c r="AHM192" s="302"/>
      <c r="AHN192" s="302"/>
      <c r="AHO192" s="302"/>
      <c r="AHP192" s="302"/>
      <c r="AHQ192" s="302"/>
      <c r="AHR192" s="302"/>
      <c r="AHS192" s="302"/>
      <c r="AHT192" s="302"/>
      <c r="AHU192" s="302"/>
      <c r="AHV192" s="302"/>
      <c r="AHW192" s="302"/>
      <c r="AHX192" s="302"/>
      <c r="AHY192" s="302"/>
      <c r="AHZ192" s="302"/>
      <c r="AIA192" s="302"/>
      <c r="AIB192" s="302"/>
      <c r="AIC192" s="302"/>
      <c r="AID192" s="302"/>
      <c r="AIE192" s="302"/>
      <c r="AIF192" s="302"/>
      <c r="AIG192" s="302"/>
      <c r="AIH192" s="302"/>
      <c r="AII192" s="302"/>
      <c r="AIJ192" s="302"/>
      <c r="AIK192" s="302"/>
      <c r="AIL192" s="302"/>
      <c r="AIM192" s="302"/>
      <c r="AIN192" s="302"/>
      <c r="AIO192" s="302"/>
      <c r="AIP192" s="302"/>
      <c r="AIQ192" s="302"/>
      <c r="AIR192" s="302"/>
      <c r="AIS192" s="302"/>
      <c r="AIT192" s="302"/>
      <c r="AIU192" s="302"/>
      <c r="AIV192" s="302"/>
      <c r="AIW192" s="302"/>
      <c r="AIX192" s="302"/>
      <c r="AIY192" s="302"/>
      <c r="AIZ192" s="302"/>
      <c r="AJA192" s="302"/>
      <c r="AJB192" s="302"/>
      <c r="AJC192" s="302"/>
      <c r="AJD192" s="302"/>
      <c r="AJE192" s="302"/>
      <c r="AJF192" s="302"/>
      <c r="AJG192" s="302"/>
      <c r="AJH192" s="302"/>
      <c r="AJI192" s="302"/>
      <c r="AJJ192" s="302"/>
      <c r="AJK192" s="302"/>
      <c r="AJL192" s="302"/>
      <c r="AJM192" s="302"/>
      <c r="AJN192" s="302"/>
      <c r="AJO192" s="302"/>
      <c r="AJP192" s="302"/>
      <c r="AJQ192" s="302"/>
      <c r="AJR192" s="302"/>
      <c r="AJS192" s="302"/>
      <c r="AJT192" s="302"/>
      <c r="AJU192" s="302"/>
      <c r="AJV192" s="302"/>
      <c r="AJW192" s="302"/>
      <c r="AJX192" s="302"/>
      <c r="AJY192" s="302"/>
      <c r="AJZ192" s="302"/>
      <c r="AKA192" s="302"/>
      <c r="AKB192" s="302"/>
      <c r="AKC192" s="302"/>
      <c r="AKD192" s="302"/>
      <c r="AKE192" s="302"/>
      <c r="AKF192" s="302"/>
      <c r="AKG192" s="302"/>
      <c r="AKH192" s="302"/>
      <c r="AKI192" s="302"/>
      <c r="AKJ192" s="302"/>
      <c r="AKK192" s="302"/>
      <c r="AKL192" s="302"/>
      <c r="AKM192" s="302"/>
      <c r="AKN192" s="302"/>
      <c r="AKO192" s="302"/>
      <c r="AKP192" s="302"/>
      <c r="AKQ192" s="302"/>
      <c r="AKR192" s="302"/>
      <c r="AKS192" s="302"/>
      <c r="AKT192" s="302"/>
      <c r="AKU192" s="302"/>
      <c r="AKV192" s="302"/>
      <c r="AKW192" s="302"/>
      <c r="AKX192" s="302"/>
      <c r="AKY192" s="302"/>
      <c r="AKZ192" s="302"/>
      <c r="ALA192" s="302"/>
      <c r="ALB192" s="302"/>
      <c r="ALC192" s="302"/>
      <c r="ALD192" s="302"/>
      <c r="ALE192" s="302"/>
      <c r="ALF192" s="302"/>
      <c r="ALG192" s="302"/>
      <c r="ALH192" s="302"/>
      <c r="ALI192" s="302"/>
      <c r="ALJ192" s="302"/>
      <c r="ALK192" s="302"/>
      <c r="ALL192" s="302"/>
      <c r="ALM192" s="302"/>
      <c r="ALN192" s="302"/>
      <c r="ALO192" s="302"/>
      <c r="ALP192" s="302"/>
      <c r="ALQ192" s="302"/>
      <c r="ALR192" s="302"/>
      <c r="ALS192" s="302"/>
      <c r="ALT192" s="302"/>
      <c r="ALU192" s="302"/>
      <c r="ALV192" s="302"/>
      <c r="ALW192" s="302"/>
      <c r="ALX192" s="302"/>
      <c r="ALY192" s="302"/>
      <c r="ALZ192" s="302"/>
      <c r="AMA192" s="302"/>
      <c r="AMB192" s="302"/>
      <c r="AMC192" s="302"/>
      <c r="AMD192" s="302"/>
      <c r="AME192" s="302"/>
      <c r="AMF192" s="302"/>
      <c r="AMG192" s="302"/>
      <c r="AMH192" s="302"/>
      <c r="AMI192" s="302"/>
    </row>
    <row r="193" spans="1:1023" hidden="1">
      <c r="A193" s="302"/>
      <c r="B193" s="15">
        <v>13720</v>
      </c>
      <c r="C193" s="113">
        <v>0.1</v>
      </c>
      <c r="D193" s="16" t="s">
        <v>420</v>
      </c>
      <c r="E193" s="12">
        <v>1650000</v>
      </c>
      <c r="F193" s="363">
        <v>0.02</v>
      </c>
      <c r="G193" s="369">
        <f>E193*F193</f>
        <v>33000</v>
      </c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2"/>
      <c r="AE193" s="302"/>
      <c r="AF193" s="302"/>
      <c r="AG193" s="302"/>
      <c r="AH193" s="302"/>
      <c r="AI193" s="302"/>
      <c r="AJ193" s="302"/>
      <c r="AK193" s="302"/>
      <c r="AL193" s="302"/>
      <c r="AM193" s="302"/>
      <c r="AN193" s="302"/>
      <c r="AO193" s="302"/>
      <c r="AP193" s="302"/>
      <c r="AQ193" s="302"/>
      <c r="AR193" s="302"/>
      <c r="AS193" s="302"/>
      <c r="AT193" s="302"/>
      <c r="AU193" s="302"/>
      <c r="AV193" s="302"/>
      <c r="AW193" s="302"/>
      <c r="AX193" s="302"/>
      <c r="AY193" s="302"/>
      <c r="AZ193" s="302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K193" s="302"/>
      <c r="BL193" s="302"/>
      <c r="BM193" s="302"/>
      <c r="BN193" s="302"/>
      <c r="BO193" s="302"/>
      <c r="BP193" s="302"/>
      <c r="BQ193" s="302"/>
      <c r="BR193" s="302"/>
      <c r="BS193" s="302"/>
      <c r="BT193" s="302"/>
      <c r="BU193" s="302"/>
      <c r="BV193" s="302"/>
      <c r="BW193" s="302"/>
      <c r="BX193" s="302"/>
      <c r="BY193" s="302"/>
      <c r="BZ193" s="302"/>
      <c r="CA193" s="302"/>
      <c r="CB193" s="302"/>
      <c r="CC193" s="302"/>
      <c r="CD193" s="302"/>
      <c r="CE193" s="302"/>
      <c r="CF193" s="302"/>
      <c r="CG193" s="302"/>
      <c r="CH193" s="302"/>
      <c r="CI193" s="302"/>
      <c r="CJ193" s="302"/>
      <c r="CK193" s="302"/>
      <c r="CL193" s="302"/>
      <c r="CM193" s="302"/>
      <c r="CN193" s="302"/>
      <c r="CO193" s="302"/>
      <c r="CP193" s="302"/>
      <c r="CQ193" s="302"/>
      <c r="CR193" s="302"/>
      <c r="CS193" s="302"/>
      <c r="CT193" s="302"/>
      <c r="CU193" s="302"/>
      <c r="CV193" s="302"/>
      <c r="CW193" s="302"/>
      <c r="CX193" s="302"/>
      <c r="CY193" s="302"/>
      <c r="CZ193" s="302"/>
      <c r="DA193" s="302"/>
      <c r="DB193" s="302"/>
      <c r="DC193" s="302"/>
      <c r="DD193" s="302"/>
      <c r="DE193" s="302"/>
      <c r="DF193" s="302"/>
      <c r="DG193" s="302"/>
      <c r="DH193" s="302"/>
      <c r="DI193" s="302"/>
      <c r="DJ193" s="302"/>
      <c r="DK193" s="302"/>
      <c r="DL193" s="302"/>
      <c r="DM193" s="302"/>
      <c r="DN193" s="302"/>
      <c r="DO193" s="302"/>
      <c r="DP193" s="302"/>
      <c r="DQ193" s="302"/>
      <c r="DR193" s="302"/>
      <c r="DS193" s="302"/>
      <c r="DT193" s="302"/>
      <c r="DU193" s="302"/>
      <c r="DV193" s="302"/>
      <c r="DW193" s="302"/>
      <c r="DX193" s="302"/>
      <c r="DY193" s="302"/>
      <c r="DZ193" s="302"/>
      <c r="EA193" s="302"/>
      <c r="EB193" s="302"/>
      <c r="EC193" s="302"/>
      <c r="ED193" s="302"/>
      <c r="EE193" s="302"/>
      <c r="EF193" s="302"/>
      <c r="EG193" s="302"/>
      <c r="EH193" s="302"/>
      <c r="EI193" s="302"/>
      <c r="EJ193" s="302"/>
      <c r="EK193" s="302"/>
      <c r="EL193" s="302"/>
      <c r="EM193" s="302"/>
      <c r="EN193" s="302"/>
      <c r="EO193" s="302"/>
      <c r="EP193" s="302"/>
      <c r="EQ193" s="302"/>
      <c r="ER193" s="302"/>
      <c r="ES193" s="302"/>
      <c r="ET193" s="302"/>
      <c r="EU193" s="302"/>
      <c r="EV193" s="302"/>
      <c r="EW193" s="302"/>
      <c r="EX193" s="302"/>
      <c r="EY193" s="302"/>
      <c r="EZ193" s="302"/>
      <c r="FA193" s="302"/>
      <c r="FB193" s="302"/>
      <c r="FC193" s="302"/>
      <c r="FD193" s="302"/>
      <c r="FE193" s="302"/>
      <c r="FF193" s="302"/>
      <c r="FG193" s="302"/>
      <c r="FH193" s="302"/>
      <c r="FI193" s="302"/>
      <c r="FJ193" s="302"/>
      <c r="FK193" s="302"/>
      <c r="FL193" s="302"/>
      <c r="FM193" s="302"/>
      <c r="FN193" s="302"/>
      <c r="FO193" s="302"/>
      <c r="FP193" s="302"/>
      <c r="FQ193" s="302"/>
      <c r="FR193" s="302"/>
      <c r="FS193" s="302"/>
      <c r="FT193" s="302"/>
      <c r="FU193" s="302"/>
      <c r="FV193" s="302"/>
      <c r="FW193" s="302"/>
      <c r="FX193" s="302"/>
      <c r="FY193" s="302"/>
      <c r="FZ193" s="302"/>
      <c r="GA193" s="302"/>
      <c r="GB193" s="302"/>
      <c r="GC193" s="302"/>
      <c r="GD193" s="302"/>
      <c r="GE193" s="302"/>
      <c r="GF193" s="302"/>
      <c r="GG193" s="302"/>
      <c r="GH193" s="302"/>
      <c r="GI193" s="302"/>
      <c r="GJ193" s="302"/>
      <c r="GK193" s="302"/>
      <c r="GL193" s="302"/>
      <c r="GM193" s="302"/>
      <c r="GN193" s="302"/>
      <c r="GO193" s="302"/>
      <c r="GP193" s="302"/>
      <c r="GQ193" s="302"/>
      <c r="GR193" s="302"/>
      <c r="GS193" s="302"/>
      <c r="GT193" s="302"/>
      <c r="GU193" s="302"/>
      <c r="GV193" s="302"/>
      <c r="GW193" s="302"/>
      <c r="GX193" s="302"/>
      <c r="GY193" s="302"/>
      <c r="GZ193" s="302"/>
      <c r="HA193" s="302"/>
      <c r="HB193" s="302"/>
      <c r="HC193" s="302"/>
      <c r="HD193" s="302"/>
      <c r="HE193" s="302"/>
      <c r="HF193" s="302"/>
      <c r="HG193" s="302"/>
      <c r="HH193" s="302"/>
      <c r="HI193" s="302"/>
      <c r="HJ193" s="302"/>
      <c r="HK193" s="302"/>
      <c r="HL193" s="302"/>
      <c r="HM193" s="302"/>
      <c r="HN193" s="302"/>
      <c r="HO193" s="302"/>
      <c r="HP193" s="302"/>
      <c r="HQ193" s="302"/>
      <c r="HR193" s="302"/>
      <c r="HS193" s="302"/>
      <c r="HT193" s="302"/>
      <c r="HU193" s="302"/>
      <c r="HV193" s="302"/>
      <c r="HW193" s="302"/>
      <c r="HX193" s="302"/>
      <c r="HY193" s="302"/>
      <c r="HZ193" s="302"/>
      <c r="IA193" s="302"/>
      <c r="IB193" s="302"/>
      <c r="IC193" s="302"/>
      <c r="ID193" s="302"/>
      <c r="IE193" s="302"/>
      <c r="IF193" s="302"/>
      <c r="IG193" s="302"/>
      <c r="IH193" s="302"/>
      <c r="II193" s="302"/>
      <c r="IJ193" s="302"/>
      <c r="IK193" s="302"/>
      <c r="IL193" s="302"/>
      <c r="IM193" s="302"/>
      <c r="IN193" s="302"/>
      <c r="IO193" s="302"/>
      <c r="IP193" s="302"/>
      <c r="IQ193" s="302"/>
      <c r="IR193" s="302"/>
      <c r="IS193" s="302"/>
      <c r="IT193" s="302"/>
      <c r="IU193" s="302"/>
      <c r="IV193" s="302"/>
      <c r="IW193" s="302"/>
      <c r="IX193" s="302"/>
      <c r="IY193" s="302"/>
      <c r="IZ193" s="302"/>
      <c r="JA193" s="302"/>
      <c r="JB193" s="302"/>
      <c r="JC193" s="302"/>
      <c r="JD193" s="302"/>
      <c r="JE193" s="302"/>
      <c r="JF193" s="302"/>
      <c r="JG193" s="302"/>
      <c r="JH193" s="302"/>
      <c r="JI193" s="302"/>
      <c r="JJ193" s="302"/>
      <c r="JK193" s="302"/>
      <c r="JL193" s="302"/>
      <c r="JM193" s="302"/>
      <c r="JN193" s="302"/>
      <c r="JO193" s="302"/>
      <c r="JP193" s="302"/>
      <c r="JQ193" s="302"/>
      <c r="JR193" s="302"/>
      <c r="JS193" s="302"/>
      <c r="JT193" s="302"/>
      <c r="JU193" s="302"/>
      <c r="JV193" s="302"/>
      <c r="JW193" s="302"/>
      <c r="JX193" s="302"/>
      <c r="JY193" s="302"/>
      <c r="JZ193" s="302"/>
      <c r="KA193" s="302"/>
      <c r="KB193" s="302"/>
      <c r="KC193" s="302"/>
      <c r="KD193" s="302"/>
      <c r="KE193" s="302"/>
      <c r="KF193" s="302"/>
      <c r="KG193" s="302"/>
      <c r="KH193" s="302"/>
      <c r="KI193" s="302"/>
      <c r="KJ193" s="302"/>
      <c r="KK193" s="302"/>
      <c r="KL193" s="302"/>
      <c r="KM193" s="302"/>
      <c r="KN193" s="302"/>
      <c r="KO193" s="302"/>
      <c r="KP193" s="302"/>
      <c r="KQ193" s="302"/>
      <c r="KR193" s="302"/>
      <c r="KS193" s="302"/>
      <c r="KT193" s="302"/>
      <c r="KU193" s="302"/>
      <c r="KV193" s="302"/>
      <c r="KW193" s="302"/>
      <c r="KX193" s="302"/>
      <c r="KY193" s="302"/>
      <c r="KZ193" s="302"/>
      <c r="LA193" s="302"/>
      <c r="LB193" s="302"/>
      <c r="LC193" s="302"/>
      <c r="LD193" s="302"/>
      <c r="LE193" s="302"/>
      <c r="LF193" s="302"/>
      <c r="LG193" s="302"/>
      <c r="LH193" s="302"/>
      <c r="LI193" s="302"/>
      <c r="LJ193" s="302"/>
      <c r="LK193" s="302"/>
      <c r="LL193" s="302"/>
      <c r="LM193" s="302"/>
      <c r="LN193" s="302"/>
      <c r="LO193" s="302"/>
      <c r="LP193" s="302"/>
      <c r="LQ193" s="302"/>
      <c r="LR193" s="302"/>
      <c r="LS193" s="302"/>
      <c r="LT193" s="302"/>
      <c r="LU193" s="302"/>
      <c r="LV193" s="302"/>
      <c r="LW193" s="302"/>
      <c r="LX193" s="302"/>
      <c r="LY193" s="302"/>
      <c r="LZ193" s="302"/>
      <c r="MA193" s="302"/>
      <c r="MB193" s="302"/>
      <c r="MC193" s="302"/>
      <c r="MD193" s="302"/>
      <c r="ME193" s="302"/>
      <c r="MF193" s="302"/>
      <c r="MG193" s="302"/>
      <c r="MH193" s="302"/>
      <c r="MI193" s="302"/>
      <c r="MJ193" s="302"/>
      <c r="MK193" s="302"/>
      <c r="ML193" s="302"/>
      <c r="MM193" s="302"/>
      <c r="MN193" s="302"/>
      <c r="MO193" s="302"/>
      <c r="MP193" s="302"/>
      <c r="MQ193" s="302"/>
      <c r="MR193" s="302"/>
      <c r="MS193" s="302"/>
      <c r="MT193" s="302"/>
      <c r="MU193" s="302"/>
      <c r="MV193" s="302"/>
      <c r="MW193" s="302"/>
      <c r="MX193" s="302"/>
      <c r="MY193" s="302"/>
      <c r="MZ193" s="302"/>
      <c r="NA193" s="302"/>
      <c r="NB193" s="302"/>
      <c r="NC193" s="302"/>
      <c r="ND193" s="302"/>
      <c r="NE193" s="302"/>
      <c r="NF193" s="302"/>
      <c r="NG193" s="302"/>
      <c r="NH193" s="302"/>
      <c r="NI193" s="302"/>
      <c r="NJ193" s="302"/>
      <c r="NK193" s="302"/>
      <c r="NL193" s="302"/>
      <c r="NM193" s="302"/>
      <c r="NN193" s="302"/>
      <c r="NO193" s="302"/>
      <c r="NP193" s="302"/>
      <c r="NQ193" s="302"/>
      <c r="NR193" s="302"/>
      <c r="NS193" s="302"/>
      <c r="NT193" s="302"/>
      <c r="NU193" s="302"/>
      <c r="NV193" s="302"/>
      <c r="NW193" s="302"/>
      <c r="NX193" s="302"/>
      <c r="NY193" s="302"/>
      <c r="NZ193" s="302"/>
      <c r="OA193" s="302"/>
      <c r="OB193" s="302"/>
      <c r="OC193" s="302"/>
      <c r="OD193" s="302"/>
      <c r="OE193" s="302"/>
      <c r="OF193" s="302"/>
      <c r="OG193" s="302"/>
      <c r="OH193" s="302"/>
      <c r="OI193" s="302"/>
      <c r="OJ193" s="302"/>
      <c r="OK193" s="302"/>
      <c r="OL193" s="302"/>
      <c r="OM193" s="302"/>
      <c r="ON193" s="302"/>
      <c r="OO193" s="302"/>
      <c r="OP193" s="302"/>
      <c r="OQ193" s="302"/>
      <c r="OR193" s="302"/>
      <c r="OS193" s="302"/>
      <c r="OT193" s="302"/>
      <c r="OU193" s="302"/>
      <c r="OV193" s="302"/>
      <c r="OW193" s="302"/>
      <c r="OX193" s="302"/>
      <c r="OY193" s="302"/>
      <c r="OZ193" s="302"/>
      <c r="PA193" s="302"/>
      <c r="PB193" s="302"/>
      <c r="PC193" s="302"/>
      <c r="PD193" s="302"/>
      <c r="PE193" s="302"/>
      <c r="PF193" s="302"/>
      <c r="PG193" s="302"/>
      <c r="PH193" s="302"/>
      <c r="PI193" s="302"/>
      <c r="PJ193" s="302"/>
      <c r="PK193" s="302"/>
      <c r="PL193" s="302"/>
      <c r="PM193" s="302"/>
      <c r="PN193" s="302"/>
      <c r="PO193" s="302"/>
      <c r="PP193" s="302"/>
      <c r="PQ193" s="302"/>
      <c r="PR193" s="302"/>
      <c r="PS193" s="302"/>
      <c r="PT193" s="302"/>
      <c r="PU193" s="302"/>
      <c r="PV193" s="302"/>
      <c r="PW193" s="302"/>
      <c r="PX193" s="302"/>
      <c r="PY193" s="302"/>
      <c r="PZ193" s="302"/>
      <c r="QA193" s="302"/>
      <c r="QB193" s="302"/>
      <c r="QC193" s="302"/>
      <c r="QD193" s="302"/>
      <c r="QE193" s="302"/>
      <c r="QF193" s="302"/>
      <c r="QG193" s="302"/>
      <c r="QH193" s="302"/>
      <c r="QI193" s="302"/>
      <c r="QJ193" s="302"/>
      <c r="QK193" s="302"/>
      <c r="QL193" s="302"/>
      <c r="QM193" s="302"/>
      <c r="QN193" s="302"/>
      <c r="QO193" s="302"/>
      <c r="QP193" s="302"/>
      <c r="QQ193" s="302"/>
      <c r="QR193" s="302"/>
      <c r="QS193" s="302"/>
      <c r="QT193" s="302"/>
      <c r="QU193" s="302"/>
      <c r="QV193" s="302"/>
      <c r="QW193" s="302"/>
      <c r="QX193" s="302"/>
      <c r="QY193" s="302"/>
      <c r="QZ193" s="302"/>
      <c r="RA193" s="302"/>
      <c r="RB193" s="302"/>
      <c r="RC193" s="302"/>
      <c r="RD193" s="302"/>
      <c r="RE193" s="302"/>
      <c r="RF193" s="302"/>
      <c r="RG193" s="302"/>
      <c r="RH193" s="302"/>
      <c r="RI193" s="302"/>
      <c r="RJ193" s="302"/>
      <c r="RK193" s="302"/>
      <c r="RL193" s="302"/>
      <c r="RM193" s="302"/>
      <c r="RN193" s="302"/>
      <c r="RO193" s="302"/>
      <c r="RP193" s="302"/>
      <c r="RQ193" s="302"/>
      <c r="RR193" s="302"/>
      <c r="RS193" s="302"/>
      <c r="RT193" s="302"/>
      <c r="RU193" s="302"/>
      <c r="RV193" s="302"/>
      <c r="RW193" s="302"/>
      <c r="RX193" s="302"/>
      <c r="RY193" s="302"/>
      <c r="RZ193" s="302"/>
      <c r="SA193" s="302"/>
      <c r="SB193" s="302"/>
      <c r="SC193" s="302"/>
      <c r="SD193" s="302"/>
      <c r="SE193" s="302"/>
      <c r="SF193" s="302"/>
      <c r="SG193" s="302"/>
      <c r="SH193" s="302"/>
      <c r="SI193" s="302"/>
      <c r="SJ193" s="302"/>
      <c r="SK193" s="302"/>
      <c r="SL193" s="302"/>
      <c r="SM193" s="302"/>
      <c r="SN193" s="302"/>
      <c r="SO193" s="302"/>
      <c r="SP193" s="302"/>
      <c r="SQ193" s="302"/>
      <c r="SR193" s="302"/>
      <c r="SS193" s="302"/>
      <c r="ST193" s="302"/>
      <c r="SU193" s="302"/>
      <c r="SV193" s="302"/>
      <c r="SW193" s="302"/>
      <c r="SX193" s="302"/>
      <c r="SY193" s="302"/>
      <c r="SZ193" s="302"/>
      <c r="TA193" s="302"/>
      <c r="TB193" s="302"/>
      <c r="TC193" s="302"/>
      <c r="TD193" s="302"/>
      <c r="TE193" s="302"/>
      <c r="TF193" s="302"/>
      <c r="TG193" s="302"/>
      <c r="TH193" s="302"/>
      <c r="TI193" s="302"/>
      <c r="TJ193" s="302"/>
      <c r="TK193" s="302"/>
      <c r="TL193" s="302"/>
      <c r="TM193" s="302"/>
      <c r="TN193" s="302"/>
      <c r="TO193" s="302"/>
      <c r="TP193" s="302"/>
      <c r="TQ193" s="302"/>
      <c r="TR193" s="302"/>
      <c r="TS193" s="302"/>
      <c r="TT193" s="302"/>
      <c r="TU193" s="302"/>
      <c r="TV193" s="302"/>
      <c r="TW193" s="302"/>
      <c r="TX193" s="302"/>
      <c r="TY193" s="302"/>
      <c r="TZ193" s="302"/>
      <c r="UA193" s="302"/>
      <c r="UB193" s="302"/>
      <c r="UC193" s="302"/>
      <c r="UD193" s="302"/>
      <c r="UE193" s="302"/>
      <c r="UF193" s="302"/>
      <c r="UG193" s="302"/>
      <c r="UH193" s="302"/>
      <c r="UI193" s="302"/>
      <c r="UJ193" s="302"/>
      <c r="UK193" s="302"/>
      <c r="UL193" s="302"/>
      <c r="UM193" s="302"/>
      <c r="UN193" s="302"/>
      <c r="UO193" s="302"/>
      <c r="UP193" s="302"/>
      <c r="UQ193" s="302"/>
      <c r="UR193" s="302"/>
      <c r="US193" s="302"/>
      <c r="UT193" s="302"/>
      <c r="UU193" s="302"/>
      <c r="UV193" s="302"/>
      <c r="UW193" s="302"/>
      <c r="UX193" s="302"/>
      <c r="UY193" s="302"/>
      <c r="UZ193" s="302"/>
      <c r="VA193" s="302"/>
      <c r="VB193" s="302"/>
      <c r="VC193" s="302"/>
      <c r="VD193" s="302"/>
      <c r="VE193" s="302"/>
      <c r="VF193" s="302"/>
      <c r="VG193" s="302"/>
      <c r="VH193" s="302"/>
      <c r="VI193" s="302"/>
      <c r="VJ193" s="302"/>
      <c r="VK193" s="302"/>
      <c r="VL193" s="302"/>
      <c r="VM193" s="302"/>
      <c r="VN193" s="302"/>
      <c r="VO193" s="302"/>
      <c r="VP193" s="302"/>
      <c r="VQ193" s="302"/>
      <c r="VR193" s="302"/>
      <c r="VS193" s="302"/>
      <c r="VT193" s="302"/>
      <c r="VU193" s="302"/>
      <c r="VV193" s="302"/>
      <c r="VW193" s="302"/>
      <c r="VX193" s="302"/>
      <c r="VY193" s="302"/>
      <c r="VZ193" s="302"/>
      <c r="WA193" s="302"/>
      <c r="WB193" s="302"/>
      <c r="WC193" s="302"/>
      <c r="WD193" s="302"/>
      <c r="WE193" s="302"/>
      <c r="WF193" s="302"/>
      <c r="WG193" s="302"/>
      <c r="WH193" s="302"/>
      <c r="WI193" s="302"/>
      <c r="WJ193" s="302"/>
      <c r="WK193" s="302"/>
      <c r="WL193" s="302"/>
      <c r="WM193" s="302"/>
      <c r="WN193" s="302"/>
      <c r="WO193" s="302"/>
      <c r="WP193" s="302"/>
      <c r="WQ193" s="302"/>
      <c r="WR193" s="302"/>
      <c r="WS193" s="302"/>
      <c r="WT193" s="302"/>
      <c r="WU193" s="302"/>
      <c r="WV193" s="302"/>
      <c r="WW193" s="302"/>
      <c r="WX193" s="302"/>
      <c r="WY193" s="302"/>
      <c r="WZ193" s="302"/>
      <c r="XA193" s="302"/>
      <c r="XB193" s="302"/>
      <c r="XC193" s="302"/>
      <c r="XD193" s="302"/>
      <c r="XE193" s="302"/>
      <c r="XF193" s="302"/>
      <c r="XG193" s="302"/>
      <c r="XH193" s="302"/>
      <c r="XI193" s="302"/>
      <c r="XJ193" s="302"/>
      <c r="XK193" s="302"/>
      <c r="XL193" s="302"/>
      <c r="XM193" s="302"/>
      <c r="XN193" s="302"/>
      <c r="XO193" s="302"/>
      <c r="XP193" s="302"/>
      <c r="XQ193" s="302"/>
      <c r="XR193" s="302"/>
      <c r="XS193" s="302"/>
      <c r="XT193" s="302"/>
      <c r="XU193" s="302"/>
      <c r="XV193" s="302"/>
      <c r="XW193" s="302"/>
      <c r="XX193" s="302"/>
      <c r="XY193" s="302"/>
      <c r="XZ193" s="302"/>
      <c r="YA193" s="302"/>
      <c r="YB193" s="302"/>
      <c r="YC193" s="302"/>
      <c r="YD193" s="302"/>
      <c r="YE193" s="302"/>
      <c r="YF193" s="302"/>
      <c r="YG193" s="302"/>
      <c r="YH193" s="302"/>
      <c r="YI193" s="302"/>
      <c r="YJ193" s="302"/>
      <c r="YK193" s="302"/>
      <c r="YL193" s="302"/>
      <c r="YM193" s="302"/>
      <c r="YN193" s="302"/>
      <c r="YO193" s="302"/>
      <c r="YP193" s="302"/>
      <c r="YQ193" s="302"/>
      <c r="YR193" s="302"/>
      <c r="YS193" s="302"/>
      <c r="YT193" s="302"/>
      <c r="YU193" s="302"/>
      <c r="YV193" s="302"/>
      <c r="YW193" s="302"/>
      <c r="YX193" s="302"/>
      <c r="YY193" s="302"/>
      <c r="YZ193" s="302"/>
      <c r="ZA193" s="302"/>
      <c r="ZB193" s="302"/>
      <c r="ZC193" s="302"/>
      <c r="ZD193" s="302"/>
      <c r="ZE193" s="302"/>
      <c r="ZF193" s="302"/>
      <c r="ZG193" s="302"/>
      <c r="ZH193" s="302"/>
      <c r="ZI193" s="302"/>
      <c r="ZJ193" s="302"/>
      <c r="ZK193" s="302"/>
      <c r="ZL193" s="302"/>
      <c r="ZM193" s="302"/>
      <c r="ZN193" s="302"/>
      <c r="ZO193" s="302"/>
      <c r="ZP193" s="302"/>
      <c r="ZQ193" s="302"/>
      <c r="ZR193" s="302"/>
      <c r="ZS193" s="302"/>
      <c r="ZT193" s="302"/>
      <c r="ZU193" s="302"/>
      <c r="ZV193" s="302"/>
      <c r="ZW193" s="302"/>
      <c r="ZX193" s="302"/>
      <c r="ZY193" s="302"/>
      <c r="ZZ193" s="302"/>
      <c r="AAA193" s="302"/>
      <c r="AAB193" s="302"/>
      <c r="AAC193" s="302"/>
      <c r="AAD193" s="302"/>
      <c r="AAE193" s="302"/>
      <c r="AAF193" s="302"/>
      <c r="AAG193" s="302"/>
      <c r="AAH193" s="302"/>
      <c r="AAI193" s="302"/>
      <c r="AAJ193" s="302"/>
      <c r="AAK193" s="302"/>
      <c r="AAL193" s="302"/>
      <c r="AAM193" s="302"/>
      <c r="AAN193" s="302"/>
      <c r="AAO193" s="302"/>
      <c r="AAP193" s="302"/>
      <c r="AAQ193" s="302"/>
      <c r="AAR193" s="302"/>
      <c r="AAS193" s="302"/>
      <c r="AAT193" s="302"/>
      <c r="AAU193" s="302"/>
      <c r="AAV193" s="302"/>
      <c r="AAW193" s="302"/>
      <c r="AAX193" s="302"/>
      <c r="AAY193" s="302"/>
      <c r="AAZ193" s="302"/>
      <c r="ABA193" s="302"/>
      <c r="ABB193" s="302"/>
      <c r="ABC193" s="302"/>
      <c r="ABD193" s="302"/>
      <c r="ABE193" s="302"/>
      <c r="ABF193" s="302"/>
      <c r="ABG193" s="302"/>
      <c r="ABH193" s="302"/>
      <c r="ABI193" s="302"/>
      <c r="ABJ193" s="302"/>
      <c r="ABK193" s="302"/>
      <c r="ABL193" s="302"/>
      <c r="ABM193" s="302"/>
      <c r="ABN193" s="302"/>
      <c r="ABO193" s="302"/>
      <c r="ABP193" s="302"/>
      <c r="ABQ193" s="302"/>
      <c r="ABR193" s="302"/>
      <c r="ABS193" s="302"/>
      <c r="ABT193" s="302"/>
      <c r="ABU193" s="302"/>
      <c r="ABV193" s="302"/>
      <c r="ABW193" s="302"/>
      <c r="ABX193" s="302"/>
      <c r="ABY193" s="302"/>
      <c r="ABZ193" s="302"/>
      <c r="ACA193" s="302"/>
      <c r="ACB193" s="302"/>
      <c r="ACC193" s="302"/>
      <c r="ACD193" s="302"/>
      <c r="ACE193" s="302"/>
      <c r="ACF193" s="302"/>
      <c r="ACG193" s="302"/>
      <c r="ACH193" s="302"/>
      <c r="ACI193" s="302"/>
      <c r="ACJ193" s="302"/>
      <c r="ACK193" s="302"/>
      <c r="ACL193" s="302"/>
      <c r="ACM193" s="302"/>
      <c r="ACN193" s="302"/>
      <c r="ACO193" s="302"/>
      <c r="ACP193" s="302"/>
      <c r="ACQ193" s="302"/>
      <c r="ACR193" s="302"/>
      <c r="ACS193" s="302"/>
      <c r="ACT193" s="302"/>
      <c r="ACU193" s="302"/>
      <c r="ACV193" s="302"/>
      <c r="ACW193" s="302"/>
      <c r="ACX193" s="302"/>
      <c r="ACY193" s="302"/>
      <c r="ACZ193" s="302"/>
      <c r="ADA193" s="302"/>
      <c r="ADB193" s="302"/>
      <c r="ADC193" s="302"/>
      <c r="ADD193" s="302"/>
      <c r="ADE193" s="302"/>
      <c r="ADF193" s="302"/>
      <c r="ADG193" s="302"/>
      <c r="ADH193" s="302"/>
      <c r="ADI193" s="302"/>
      <c r="ADJ193" s="302"/>
      <c r="ADK193" s="302"/>
      <c r="ADL193" s="302"/>
      <c r="ADM193" s="302"/>
      <c r="ADN193" s="302"/>
      <c r="ADO193" s="302"/>
      <c r="ADP193" s="302"/>
      <c r="ADQ193" s="302"/>
      <c r="ADR193" s="302"/>
      <c r="ADS193" s="302"/>
      <c r="ADT193" s="302"/>
      <c r="ADU193" s="302"/>
      <c r="ADV193" s="302"/>
      <c r="ADW193" s="302"/>
      <c r="ADX193" s="302"/>
      <c r="ADY193" s="302"/>
      <c r="ADZ193" s="302"/>
      <c r="AEA193" s="302"/>
      <c r="AEB193" s="302"/>
      <c r="AEC193" s="302"/>
      <c r="AED193" s="302"/>
      <c r="AEE193" s="302"/>
      <c r="AEF193" s="302"/>
      <c r="AEG193" s="302"/>
      <c r="AEH193" s="302"/>
      <c r="AEI193" s="302"/>
      <c r="AEJ193" s="302"/>
      <c r="AEK193" s="302"/>
      <c r="AEL193" s="302"/>
      <c r="AEM193" s="302"/>
      <c r="AEN193" s="302"/>
      <c r="AEO193" s="302"/>
      <c r="AEP193" s="302"/>
      <c r="AEQ193" s="302"/>
      <c r="AER193" s="302"/>
      <c r="AES193" s="302"/>
      <c r="AET193" s="302"/>
      <c r="AEU193" s="302"/>
      <c r="AEV193" s="302"/>
      <c r="AEW193" s="302"/>
      <c r="AEX193" s="302"/>
      <c r="AEY193" s="302"/>
      <c r="AEZ193" s="302"/>
      <c r="AFA193" s="302"/>
      <c r="AFB193" s="302"/>
      <c r="AFC193" s="302"/>
      <c r="AFD193" s="302"/>
      <c r="AFE193" s="302"/>
      <c r="AFF193" s="302"/>
      <c r="AFG193" s="302"/>
      <c r="AFH193" s="302"/>
      <c r="AFI193" s="302"/>
      <c r="AFJ193" s="302"/>
      <c r="AFK193" s="302"/>
      <c r="AFL193" s="302"/>
      <c r="AFM193" s="302"/>
      <c r="AFN193" s="302"/>
      <c r="AFO193" s="302"/>
      <c r="AFP193" s="302"/>
      <c r="AFQ193" s="302"/>
      <c r="AFR193" s="302"/>
      <c r="AFS193" s="302"/>
      <c r="AFT193" s="302"/>
      <c r="AFU193" s="302"/>
      <c r="AFV193" s="302"/>
      <c r="AFW193" s="302"/>
      <c r="AFX193" s="302"/>
      <c r="AFY193" s="302"/>
      <c r="AFZ193" s="302"/>
      <c r="AGA193" s="302"/>
      <c r="AGB193" s="302"/>
      <c r="AGC193" s="302"/>
      <c r="AGD193" s="302"/>
      <c r="AGE193" s="302"/>
      <c r="AGF193" s="302"/>
      <c r="AGG193" s="302"/>
      <c r="AGH193" s="302"/>
      <c r="AGI193" s="302"/>
      <c r="AGJ193" s="302"/>
      <c r="AGK193" s="302"/>
      <c r="AGL193" s="302"/>
      <c r="AGM193" s="302"/>
      <c r="AGN193" s="302"/>
      <c r="AGO193" s="302"/>
      <c r="AGP193" s="302"/>
      <c r="AGQ193" s="302"/>
      <c r="AGR193" s="302"/>
      <c r="AGS193" s="302"/>
      <c r="AGT193" s="302"/>
      <c r="AGU193" s="302"/>
      <c r="AGV193" s="302"/>
      <c r="AGW193" s="302"/>
      <c r="AGX193" s="302"/>
      <c r="AGY193" s="302"/>
      <c r="AGZ193" s="302"/>
      <c r="AHA193" s="302"/>
      <c r="AHB193" s="302"/>
      <c r="AHC193" s="302"/>
      <c r="AHD193" s="302"/>
      <c r="AHE193" s="302"/>
      <c r="AHF193" s="302"/>
      <c r="AHG193" s="302"/>
      <c r="AHH193" s="302"/>
      <c r="AHI193" s="302"/>
      <c r="AHJ193" s="302"/>
      <c r="AHK193" s="302"/>
      <c r="AHL193" s="302"/>
      <c r="AHM193" s="302"/>
      <c r="AHN193" s="302"/>
      <c r="AHO193" s="302"/>
      <c r="AHP193" s="302"/>
      <c r="AHQ193" s="302"/>
      <c r="AHR193" s="302"/>
      <c r="AHS193" s="302"/>
      <c r="AHT193" s="302"/>
      <c r="AHU193" s="302"/>
      <c r="AHV193" s="302"/>
      <c r="AHW193" s="302"/>
      <c r="AHX193" s="302"/>
      <c r="AHY193" s="302"/>
      <c r="AHZ193" s="302"/>
      <c r="AIA193" s="302"/>
      <c r="AIB193" s="302"/>
      <c r="AIC193" s="302"/>
      <c r="AID193" s="302"/>
      <c r="AIE193" s="302"/>
      <c r="AIF193" s="302"/>
      <c r="AIG193" s="302"/>
      <c r="AIH193" s="302"/>
      <c r="AII193" s="302"/>
      <c r="AIJ193" s="302"/>
      <c r="AIK193" s="302"/>
      <c r="AIL193" s="302"/>
      <c r="AIM193" s="302"/>
      <c r="AIN193" s="302"/>
      <c r="AIO193" s="302"/>
      <c r="AIP193" s="302"/>
      <c r="AIQ193" s="302"/>
      <c r="AIR193" s="302"/>
      <c r="AIS193" s="302"/>
      <c r="AIT193" s="302"/>
      <c r="AIU193" s="302"/>
      <c r="AIV193" s="302"/>
      <c r="AIW193" s="302"/>
      <c r="AIX193" s="302"/>
      <c r="AIY193" s="302"/>
      <c r="AIZ193" s="302"/>
      <c r="AJA193" s="302"/>
      <c r="AJB193" s="302"/>
      <c r="AJC193" s="302"/>
      <c r="AJD193" s="302"/>
      <c r="AJE193" s="302"/>
      <c r="AJF193" s="302"/>
      <c r="AJG193" s="302"/>
      <c r="AJH193" s="302"/>
      <c r="AJI193" s="302"/>
      <c r="AJJ193" s="302"/>
      <c r="AJK193" s="302"/>
      <c r="AJL193" s="302"/>
      <c r="AJM193" s="302"/>
      <c r="AJN193" s="302"/>
      <c r="AJO193" s="302"/>
      <c r="AJP193" s="302"/>
      <c r="AJQ193" s="302"/>
      <c r="AJR193" s="302"/>
      <c r="AJS193" s="302"/>
      <c r="AJT193" s="302"/>
      <c r="AJU193" s="302"/>
      <c r="AJV193" s="302"/>
      <c r="AJW193" s="302"/>
      <c r="AJX193" s="302"/>
      <c r="AJY193" s="302"/>
      <c r="AJZ193" s="302"/>
      <c r="AKA193" s="302"/>
      <c r="AKB193" s="302"/>
      <c r="AKC193" s="302"/>
      <c r="AKD193" s="302"/>
      <c r="AKE193" s="302"/>
      <c r="AKF193" s="302"/>
      <c r="AKG193" s="302"/>
      <c r="AKH193" s="302"/>
      <c r="AKI193" s="302"/>
      <c r="AKJ193" s="302"/>
      <c r="AKK193" s="302"/>
      <c r="AKL193" s="302"/>
      <c r="AKM193" s="302"/>
      <c r="AKN193" s="302"/>
      <c r="AKO193" s="302"/>
      <c r="AKP193" s="302"/>
      <c r="AKQ193" s="302"/>
      <c r="AKR193" s="302"/>
      <c r="AKS193" s="302"/>
      <c r="AKT193" s="302"/>
      <c r="AKU193" s="302"/>
      <c r="AKV193" s="302"/>
      <c r="AKW193" s="302"/>
      <c r="AKX193" s="302"/>
      <c r="AKY193" s="302"/>
      <c r="AKZ193" s="302"/>
      <c r="ALA193" s="302"/>
      <c r="ALB193" s="302"/>
      <c r="ALC193" s="302"/>
      <c r="ALD193" s="302"/>
      <c r="ALE193" s="302"/>
      <c r="ALF193" s="302"/>
      <c r="ALG193" s="302"/>
      <c r="ALH193" s="302"/>
      <c r="ALI193" s="302"/>
      <c r="ALJ193" s="302"/>
      <c r="ALK193" s="302"/>
      <c r="ALL193" s="302"/>
      <c r="ALM193" s="302"/>
      <c r="ALN193" s="302"/>
      <c r="ALO193" s="302"/>
      <c r="ALP193" s="302"/>
      <c r="ALQ193" s="302"/>
      <c r="ALR193" s="302"/>
      <c r="ALS193" s="302"/>
      <c r="ALT193" s="302"/>
      <c r="ALU193" s="302"/>
      <c r="ALV193" s="302"/>
      <c r="ALW193" s="302"/>
      <c r="ALX193" s="302"/>
      <c r="ALY193" s="302"/>
      <c r="ALZ193" s="302"/>
      <c r="AMA193" s="302"/>
      <c r="AMB193" s="302"/>
      <c r="AMC193" s="302"/>
      <c r="AMD193" s="302"/>
      <c r="AME193" s="302"/>
      <c r="AMF193" s="302"/>
      <c r="AMG193" s="302"/>
      <c r="AMH193" s="302"/>
      <c r="AMI193" s="302"/>
    </row>
    <row r="194" spans="1:1023" hidden="1">
      <c r="A194" s="302"/>
      <c r="B194" s="15">
        <v>13807</v>
      </c>
      <c r="C194" s="113">
        <v>0.1</v>
      </c>
      <c r="D194" s="16" t="s">
        <v>421</v>
      </c>
      <c r="E194" s="12">
        <v>1700000</v>
      </c>
      <c r="F194" s="363">
        <v>0.02</v>
      </c>
      <c r="G194" s="369">
        <f>E194*F194</f>
        <v>34000</v>
      </c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2"/>
      <c r="AE194" s="302"/>
      <c r="AF194" s="302"/>
      <c r="AG194" s="302"/>
      <c r="AH194" s="302"/>
      <c r="AI194" s="302"/>
      <c r="AJ194" s="302"/>
      <c r="AK194" s="302"/>
      <c r="AL194" s="302"/>
      <c r="AM194" s="302"/>
      <c r="AN194" s="302"/>
      <c r="AO194" s="302"/>
      <c r="AP194" s="302"/>
      <c r="AQ194" s="302"/>
      <c r="AR194" s="302"/>
      <c r="AS194" s="302"/>
      <c r="AT194" s="302"/>
      <c r="AU194" s="302"/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K194" s="302"/>
      <c r="BL194" s="302"/>
      <c r="BM194" s="302"/>
      <c r="BN194" s="302"/>
      <c r="BO194" s="302"/>
      <c r="BP194" s="302"/>
      <c r="BQ194" s="302"/>
      <c r="BR194" s="302"/>
      <c r="BS194" s="302"/>
      <c r="BT194" s="302"/>
      <c r="BU194" s="302"/>
      <c r="BV194" s="302"/>
      <c r="BW194" s="302"/>
      <c r="BX194" s="302"/>
      <c r="BY194" s="302"/>
      <c r="BZ194" s="302"/>
      <c r="CA194" s="302"/>
      <c r="CB194" s="302"/>
      <c r="CC194" s="302"/>
      <c r="CD194" s="302"/>
      <c r="CE194" s="302"/>
      <c r="CF194" s="302"/>
      <c r="CG194" s="302"/>
      <c r="CH194" s="302"/>
      <c r="CI194" s="302"/>
      <c r="CJ194" s="302"/>
      <c r="CK194" s="302"/>
      <c r="CL194" s="302"/>
      <c r="CM194" s="302"/>
      <c r="CN194" s="302"/>
      <c r="CO194" s="302"/>
      <c r="CP194" s="302"/>
      <c r="CQ194" s="302"/>
      <c r="CR194" s="302"/>
      <c r="CS194" s="302"/>
      <c r="CT194" s="302"/>
      <c r="CU194" s="302"/>
      <c r="CV194" s="302"/>
      <c r="CW194" s="302"/>
      <c r="CX194" s="302"/>
      <c r="CY194" s="302"/>
      <c r="CZ194" s="302"/>
      <c r="DA194" s="302"/>
      <c r="DB194" s="302"/>
      <c r="DC194" s="302"/>
      <c r="DD194" s="302"/>
      <c r="DE194" s="302"/>
      <c r="DF194" s="302"/>
      <c r="DG194" s="302"/>
      <c r="DH194" s="302"/>
      <c r="DI194" s="302"/>
      <c r="DJ194" s="302"/>
      <c r="DK194" s="302"/>
      <c r="DL194" s="302"/>
      <c r="DM194" s="302"/>
      <c r="DN194" s="302"/>
      <c r="DO194" s="302"/>
      <c r="DP194" s="302"/>
      <c r="DQ194" s="302"/>
      <c r="DR194" s="302"/>
      <c r="DS194" s="302"/>
      <c r="DT194" s="302"/>
      <c r="DU194" s="302"/>
      <c r="DV194" s="302"/>
      <c r="DW194" s="302"/>
      <c r="DX194" s="302"/>
      <c r="DY194" s="302"/>
      <c r="DZ194" s="302"/>
      <c r="EA194" s="302"/>
      <c r="EB194" s="302"/>
      <c r="EC194" s="302"/>
      <c r="ED194" s="302"/>
      <c r="EE194" s="302"/>
      <c r="EF194" s="302"/>
      <c r="EG194" s="302"/>
      <c r="EH194" s="302"/>
      <c r="EI194" s="302"/>
      <c r="EJ194" s="302"/>
      <c r="EK194" s="302"/>
      <c r="EL194" s="302"/>
      <c r="EM194" s="302"/>
      <c r="EN194" s="302"/>
      <c r="EO194" s="302"/>
      <c r="EP194" s="302"/>
      <c r="EQ194" s="302"/>
      <c r="ER194" s="302"/>
      <c r="ES194" s="302"/>
      <c r="ET194" s="302"/>
      <c r="EU194" s="302"/>
      <c r="EV194" s="302"/>
      <c r="EW194" s="302"/>
      <c r="EX194" s="302"/>
      <c r="EY194" s="302"/>
      <c r="EZ194" s="302"/>
      <c r="FA194" s="302"/>
      <c r="FB194" s="302"/>
      <c r="FC194" s="302"/>
      <c r="FD194" s="302"/>
      <c r="FE194" s="302"/>
      <c r="FF194" s="302"/>
      <c r="FG194" s="302"/>
      <c r="FH194" s="302"/>
      <c r="FI194" s="302"/>
      <c r="FJ194" s="302"/>
      <c r="FK194" s="302"/>
      <c r="FL194" s="302"/>
      <c r="FM194" s="302"/>
      <c r="FN194" s="302"/>
      <c r="FO194" s="302"/>
      <c r="FP194" s="302"/>
      <c r="FQ194" s="302"/>
      <c r="FR194" s="302"/>
      <c r="FS194" s="302"/>
      <c r="FT194" s="302"/>
      <c r="FU194" s="302"/>
      <c r="FV194" s="302"/>
      <c r="FW194" s="302"/>
      <c r="FX194" s="302"/>
      <c r="FY194" s="302"/>
      <c r="FZ194" s="302"/>
      <c r="GA194" s="302"/>
      <c r="GB194" s="302"/>
      <c r="GC194" s="302"/>
      <c r="GD194" s="302"/>
      <c r="GE194" s="302"/>
      <c r="GF194" s="302"/>
      <c r="GG194" s="302"/>
      <c r="GH194" s="302"/>
      <c r="GI194" s="302"/>
      <c r="GJ194" s="302"/>
      <c r="GK194" s="302"/>
      <c r="GL194" s="302"/>
      <c r="GM194" s="302"/>
      <c r="GN194" s="302"/>
      <c r="GO194" s="302"/>
      <c r="GP194" s="302"/>
      <c r="GQ194" s="302"/>
      <c r="GR194" s="302"/>
      <c r="GS194" s="302"/>
      <c r="GT194" s="302"/>
      <c r="GU194" s="302"/>
      <c r="GV194" s="302"/>
      <c r="GW194" s="302"/>
      <c r="GX194" s="302"/>
      <c r="GY194" s="302"/>
      <c r="GZ194" s="302"/>
      <c r="HA194" s="302"/>
      <c r="HB194" s="302"/>
      <c r="HC194" s="302"/>
      <c r="HD194" s="302"/>
      <c r="HE194" s="302"/>
      <c r="HF194" s="302"/>
      <c r="HG194" s="302"/>
      <c r="HH194" s="302"/>
      <c r="HI194" s="302"/>
      <c r="HJ194" s="302"/>
      <c r="HK194" s="302"/>
      <c r="HL194" s="302"/>
      <c r="HM194" s="302"/>
      <c r="HN194" s="302"/>
      <c r="HO194" s="302"/>
      <c r="HP194" s="302"/>
      <c r="HQ194" s="302"/>
      <c r="HR194" s="302"/>
      <c r="HS194" s="302"/>
      <c r="HT194" s="302"/>
      <c r="HU194" s="302"/>
      <c r="HV194" s="302"/>
      <c r="HW194" s="302"/>
      <c r="HX194" s="302"/>
      <c r="HY194" s="302"/>
      <c r="HZ194" s="302"/>
      <c r="IA194" s="302"/>
      <c r="IB194" s="302"/>
      <c r="IC194" s="302"/>
      <c r="ID194" s="302"/>
      <c r="IE194" s="302"/>
      <c r="IF194" s="302"/>
      <c r="IG194" s="302"/>
      <c r="IH194" s="302"/>
      <c r="II194" s="302"/>
      <c r="IJ194" s="302"/>
      <c r="IK194" s="302"/>
      <c r="IL194" s="302"/>
      <c r="IM194" s="302"/>
      <c r="IN194" s="302"/>
      <c r="IO194" s="302"/>
      <c r="IP194" s="302"/>
      <c r="IQ194" s="302"/>
      <c r="IR194" s="302"/>
      <c r="IS194" s="302"/>
      <c r="IT194" s="302"/>
      <c r="IU194" s="302"/>
      <c r="IV194" s="302"/>
      <c r="IW194" s="302"/>
      <c r="IX194" s="302"/>
      <c r="IY194" s="302"/>
      <c r="IZ194" s="302"/>
      <c r="JA194" s="302"/>
      <c r="JB194" s="302"/>
      <c r="JC194" s="302"/>
      <c r="JD194" s="302"/>
      <c r="JE194" s="302"/>
      <c r="JF194" s="302"/>
      <c r="JG194" s="302"/>
      <c r="JH194" s="302"/>
      <c r="JI194" s="302"/>
      <c r="JJ194" s="302"/>
      <c r="JK194" s="302"/>
      <c r="JL194" s="302"/>
      <c r="JM194" s="302"/>
      <c r="JN194" s="302"/>
      <c r="JO194" s="302"/>
      <c r="JP194" s="302"/>
      <c r="JQ194" s="302"/>
      <c r="JR194" s="302"/>
      <c r="JS194" s="302"/>
      <c r="JT194" s="302"/>
      <c r="JU194" s="302"/>
      <c r="JV194" s="302"/>
      <c r="JW194" s="302"/>
      <c r="JX194" s="302"/>
      <c r="JY194" s="302"/>
      <c r="JZ194" s="302"/>
      <c r="KA194" s="302"/>
      <c r="KB194" s="302"/>
      <c r="KC194" s="302"/>
      <c r="KD194" s="302"/>
      <c r="KE194" s="302"/>
      <c r="KF194" s="302"/>
      <c r="KG194" s="302"/>
      <c r="KH194" s="302"/>
      <c r="KI194" s="302"/>
      <c r="KJ194" s="302"/>
      <c r="KK194" s="302"/>
      <c r="KL194" s="302"/>
      <c r="KM194" s="302"/>
      <c r="KN194" s="302"/>
      <c r="KO194" s="302"/>
      <c r="KP194" s="302"/>
      <c r="KQ194" s="302"/>
      <c r="KR194" s="302"/>
      <c r="KS194" s="302"/>
      <c r="KT194" s="302"/>
      <c r="KU194" s="302"/>
      <c r="KV194" s="302"/>
      <c r="KW194" s="302"/>
      <c r="KX194" s="302"/>
      <c r="KY194" s="302"/>
      <c r="KZ194" s="302"/>
      <c r="LA194" s="302"/>
      <c r="LB194" s="302"/>
      <c r="LC194" s="302"/>
      <c r="LD194" s="302"/>
      <c r="LE194" s="302"/>
      <c r="LF194" s="302"/>
      <c r="LG194" s="302"/>
      <c r="LH194" s="302"/>
      <c r="LI194" s="302"/>
      <c r="LJ194" s="302"/>
      <c r="LK194" s="302"/>
      <c r="LL194" s="302"/>
      <c r="LM194" s="302"/>
      <c r="LN194" s="302"/>
      <c r="LO194" s="302"/>
      <c r="LP194" s="302"/>
      <c r="LQ194" s="302"/>
      <c r="LR194" s="302"/>
      <c r="LS194" s="302"/>
      <c r="LT194" s="302"/>
      <c r="LU194" s="302"/>
      <c r="LV194" s="302"/>
      <c r="LW194" s="302"/>
      <c r="LX194" s="302"/>
      <c r="LY194" s="302"/>
      <c r="LZ194" s="302"/>
      <c r="MA194" s="302"/>
      <c r="MB194" s="302"/>
      <c r="MC194" s="302"/>
      <c r="MD194" s="302"/>
      <c r="ME194" s="302"/>
      <c r="MF194" s="302"/>
      <c r="MG194" s="302"/>
      <c r="MH194" s="302"/>
      <c r="MI194" s="302"/>
      <c r="MJ194" s="302"/>
      <c r="MK194" s="302"/>
      <c r="ML194" s="302"/>
      <c r="MM194" s="302"/>
      <c r="MN194" s="302"/>
      <c r="MO194" s="302"/>
      <c r="MP194" s="302"/>
      <c r="MQ194" s="302"/>
      <c r="MR194" s="302"/>
      <c r="MS194" s="302"/>
      <c r="MT194" s="302"/>
      <c r="MU194" s="302"/>
      <c r="MV194" s="302"/>
      <c r="MW194" s="302"/>
      <c r="MX194" s="302"/>
      <c r="MY194" s="302"/>
      <c r="MZ194" s="302"/>
      <c r="NA194" s="302"/>
      <c r="NB194" s="302"/>
      <c r="NC194" s="302"/>
      <c r="ND194" s="302"/>
      <c r="NE194" s="302"/>
      <c r="NF194" s="302"/>
      <c r="NG194" s="302"/>
      <c r="NH194" s="302"/>
      <c r="NI194" s="302"/>
      <c r="NJ194" s="302"/>
      <c r="NK194" s="302"/>
      <c r="NL194" s="302"/>
      <c r="NM194" s="302"/>
      <c r="NN194" s="302"/>
      <c r="NO194" s="302"/>
      <c r="NP194" s="302"/>
      <c r="NQ194" s="302"/>
      <c r="NR194" s="302"/>
      <c r="NS194" s="302"/>
      <c r="NT194" s="302"/>
      <c r="NU194" s="302"/>
      <c r="NV194" s="302"/>
      <c r="NW194" s="302"/>
      <c r="NX194" s="302"/>
      <c r="NY194" s="302"/>
      <c r="NZ194" s="302"/>
      <c r="OA194" s="302"/>
      <c r="OB194" s="302"/>
      <c r="OC194" s="302"/>
      <c r="OD194" s="302"/>
      <c r="OE194" s="302"/>
      <c r="OF194" s="302"/>
      <c r="OG194" s="302"/>
      <c r="OH194" s="302"/>
      <c r="OI194" s="302"/>
      <c r="OJ194" s="302"/>
      <c r="OK194" s="302"/>
      <c r="OL194" s="302"/>
      <c r="OM194" s="302"/>
      <c r="ON194" s="302"/>
      <c r="OO194" s="302"/>
      <c r="OP194" s="302"/>
      <c r="OQ194" s="302"/>
      <c r="OR194" s="302"/>
      <c r="OS194" s="302"/>
      <c r="OT194" s="302"/>
      <c r="OU194" s="302"/>
      <c r="OV194" s="302"/>
      <c r="OW194" s="302"/>
      <c r="OX194" s="302"/>
      <c r="OY194" s="302"/>
      <c r="OZ194" s="302"/>
      <c r="PA194" s="302"/>
      <c r="PB194" s="302"/>
      <c r="PC194" s="302"/>
      <c r="PD194" s="302"/>
      <c r="PE194" s="302"/>
      <c r="PF194" s="302"/>
      <c r="PG194" s="302"/>
      <c r="PH194" s="302"/>
      <c r="PI194" s="302"/>
      <c r="PJ194" s="302"/>
      <c r="PK194" s="302"/>
      <c r="PL194" s="302"/>
      <c r="PM194" s="302"/>
      <c r="PN194" s="302"/>
      <c r="PO194" s="302"/>
      <c r="PP194" s="302"/>
      <c r="PQ194" s="302"/>
      <c r="PR194" s="302"/>
      <c r="PS194" s="302"/>
      <c r="PT194" s="302"/>
      <c r="PU194" s="302"/>
      <c r="PV194" s="302"/>
      <c r="PW194" s="302"/>
      <c r="PX194" s="302"/>
      <c r="PY194" s="302"/>
      <c r="PZ194" s="302"/>
      <c r="QA194" s="302"/>
      <c r="QB194" s="302"/>
      <c r="QC194" s="302"/>
      <c r="QD194" s="302"/>
      <c r="QE194" s="302"/>
      <c r="QF194" s="302"/>
      <c r="QG194" s="302"/>
      <c r="QH194" s="302"/>
      <c r="QI194" s="302"/>
      <c r="QJ194" s="302"/>
      <c r="QK194" s="302"/>
      <c r="QL194" s="302"/>
      <c r="QM194" s="302"/>
      <c r="QN194" s="302"/>
      <c r="QO194" s="302"/>
      <c r="QP194" s="302"/>
      <c r="QQ194" s="302"/>
      <c r="QR194" s="302"/>
      <c r="QS194" s="302"/>
      <c r="QT194" s="302"/>
      <c r="QU194" s="302"/>
      <c r="QV194" s="302"/>
      <c r="QW194" s="302"/>
      <c r="QX194" s="302"/>
      <c r="QY194" s="302"/>
      <c r="QZ194" s="302"/>
      <c r="RA194" s="302"/>
      <c r="RB194" s="302"/>
      <c r="RC194" s="302"/>
      <c r="RD194" s="302"/>
      <c r="RE194" s="302"/>
      <c r="RF194" s="302"/>
      <c r="RG194" s="302"/>
      <c r="RH194" s="302"/>
      <c r="RI194" s="302"/>
      <c r="RJ194" s="302"/>
      <c r="RK194" s="302"/>
      <c r="RL194" s="302"/>
      <c r="RM194" s="302"/>
      <c r="RN194" s="302"/>
      <c r="RO194" s="302"/>
      <c r="RP194" s="302"/>
      <c r="RQ194" s="302"/>
      <c r="RR194" s="302"/>
      <c r="RS194" s="302"/>
      <c r="RT194" s="302"/>
      <c r="RU194" s="302"/>
      <c r="RV194" s="302"/>
      <c r="RW194" s="302"/>
      <c r="RX194" s="302"/>
      <c r="RY194" s="302"/>
      <c r="RZ194" s="302"/>
      <c r="SA194" s="302"/>
      <c r="SB194" s="302"/>
      <c r="SC194" s="302"/>
      <c r="SD194" s="302"/>
      <c r="SE194" s="302"/>
      <c r="SF194" s="302"/>
      <c r="SG194" s="302"/>
      <c r="SH194" s="302"/>
      <c r="SI194" s="302"/>
      <c r="SJ194" s="302"/>
      <c r="SK194" s="302"/>
      <c r="SL194" s="302"/>
      <c r="SM194" s="302"/>
      <c r="SN194" s="302"/>
      <c r="SO194" s="302"/>
      <c r="SP194" s="302"/>
      <c r="SQ194" s="302"/>
      <c r="SR194" s="302"/>
      <c r="SS194" s="302"/>
      <c r="ST194" s="302"/>
      <c r="SU194" s="302"/>
      <c r="SV194" s="302"/>
      <c r="SW194" s="302"/>
      <c r="SX194" s="302"/>
      <c r="SY194" s="302"/>
      <c r="SZ194" s="302"/>
      <c r="TA194" s="302"/>
      <c r="TB194" s="302"/>
      <c r="TC194" s="302"/>
      <c r="TD194" s="302"/>
      <c r="TE194" s="302"/>
      <c r="TF194" s="302"/>
      <c r="TG194" s="302"/>
      <c r="TH194" s="302"/>
      <c r="TI194" s="302"/>
      <c r="TJ194" s="302"/>
      <c r="TK194" s="302"/>
      <c r="TL194" s="302"/>
      <c r="TM194" s="302"/>
      <c r="TN194" s="302"/>
      <c r="TO194" s="302"/>
      <c r="TP194" s="302"/>
      <c r="TQ194" s="302"/>
      <c r="TR194" s="302"/>
      <c r="TS194" s="302"/>
      <c r="TT194" s="302"/>
      <c r="TU194" s="302"/>
      <c r="TV194" s="302"/>
      <c r="TW194" s="302"/>
      <c r="TX194" s="302"/>
      <c r="TY194" s="302"/>
      <c r="TZ194" s="302"/>
      <c r="UA194" s="302"/>
      <c r="UB194" s="302"/>
      <c r="UC194" s="302"/>
      <c r="UD194" s="302"/>
      <c r="UE194" s="302"/>
      <c r="UF194" s="302"/>
      <c r="UG194" s="302"/>
      <c r="UH194" s="302"/>
      <c r="UI194" s="302"/>
      <c r="UJ194" s="302"/>
      <c r="UK194" s="302"/>
      <c r="UL194" s="302"/>
      <c r="UM194" s="302"/>
      <c r="UN194" s="302"/>
      <c r="UO194" s="302"/>
      <c r="UP194" s="302"/>
      <c r="UQ194" s="302"/>
      <c r="UR194" s="302"/>
      <c r="US194" s="302"/>
      <c r="UT194" s="302"/>
      <c r="UU194" s="302"/>
      <c r="UV194" s="302"/>
      <c r="UW194" s="302"/>
      <c r="UX194" s="302"/>
      <c r="UY194" s="302"/>
      <c r="UZ194" s="302"/>
      <c r="VA194" s="302"/>
      <c r="VB194" s="302"/>
      <c r="VC194" s="302"/>
      <c r="VD194" s="302"/>
      <c r="VE194" s="302"/>
      <c r="VF194" s="302"/>
      <c r="VG194" s="302"/>
      <c r="VH194" s="302"/>
      <c r="VI194" s="302"/>
      <c r="VJ194" s="302"/>
      <c r="VK194" s="302"/>
      <c r="VL194" s="302"/>
      <c r="VM194" s="302"/>
      <c r="VN194" s="302"/>
      <c r="VO194" s="302"/>
      <c r="VP194" s="302"/>
      <c r="VQ194" s="302"/>
      <c r="VR194" s="302"/>
      <c r="VS194" s="302"/>
      <c r="VT194" s="302"/>
      <c r="VU194" s="302"/>
      <c r="VV194" s="302"/>
      <c r="VW194" s="302"/>
      <c r="VX194" s="302"/>
      <c r="VY194" s="302"/>
      <c r="VZ194" s="302"/>
      <c r="WA194" s="302"/>
      <c r="WB194" s="302"/>
      <c r="WC194" s="302"/>
      <c r="WD194" s="302"/>
      <c r="WE194" s="302"/>
      <c r="WF194" s="302"/>
      <c r="WG194" s="302"/>
      <c r="WH194" s="302"/>
      <c r="WI194" s="302"/>
      <c r="WJ194" s="302"/>
      <c r="WK194" s="302"/>
      <c r="WL194" s="302"/>
      <c r="WM194" s="302"/>
      <c r="WN194" s="302"/>
      <c r="WO194" s="302"/>
      <c r="WP194" s="302"/>
      <c r="WQ194" s="302"/>
      <c r="WR194" s="302"/>
      <c r="WS194" s="302"/>
      <c r="WT194" s="302"/>
      <c r="WU194" s="302"/>
      <c r="WV194" s="302"/>
      <c r="WW194" s="302"/>
      <c r="WX194" s="302"/>
      <c r="WY194" s="302"/>
      <c r="WZ194" s="302"/>
      <c r="XA194" s="302"/>
      <c r="XB194" s="302"/>
      <c r="XC194" s="302"/>
      <c r="XD194" s="302"/>
      <c r="XE194" s="302"/>
      <c r="XF194" s="302"/>
      <c r="XG194" s="302"/>
      <c r="XH194" s="302"/>
      <c r="XI194" s="302"/>
      <c r="XJ194" s="302"/>
      <c r="XK194" s="302"/>
      <c r="XL194" s="302"/>
      <c r="XM194" s="302"/>
      <c r="XN194" s="302"/>
      <c r="XO194" s="302"/>
      <c r="XP194" s="302"/>
      <c r="XQ194" s="302"/>
      <c r="XR194" s="302"/>
      <c r="XS194" s="302"/>
      <c r="XT194" s="302"/>
      <c r="XU194" s="302"/>
      <c r="XV194" s="302"/>
      <c r="XW194" s="302"/>
      <c r="XX194" s="302"/>
      <c r="XY194" s="302"/>
      <c r="XZ194" s="302"/>
      <c r="YA194" s="302"/>
      <c r="YB194" s="302"/>
      <c r="YC194" s="302"/>
      <c r="YD194" s="302"/>
      <c r="YE194" s="302"/>
      <c r="YF194" s="302"/>
      <c r="YG194" s="302"/>
      <c r="YH194" s="302"/>
      <c r="YI194" s="302"/>
      <c r="YJ194" s="302"/>
      <c r="YK194" s="302"/>
      <c r="YL194" s="302"/>
      <c r="YM194" s="302"/>
      <c r="YN194" s="302"/>
      <c r="YO194" s="302"/>
      <c r="YP194" s="302"/>
      <c r="YQ194" s="302"/>
      <c r="YR194" s="302"/>
      <c r="YS194" s="302"/>
      <c r="YT194" s="302"/>
      <c r="YU194" s="302"/>
      <c r="YV194" s="302"/>
      <c r="YW194" s="302"/>
      <c r="YX194" s="302"/>
      <c r="YY194" s="302"/>
      <c r="YZ194" s="302"/>
      <c r="ZA194" s="302"/>
      <c r="ZB194" s="302"/>
      <c r="ZC194" s="302"/>
      <c r="ZD194" s="302"/>
      <c r="ZE194" s="302"/>
      <c r="ZF194" s="302"/>
      <c r="ZG194" s="302"/>
      <c r="ZH194" s="302"/>
      <c r="ZI194" s="302"/>
      <c r="ZJ194" s="302"/>
      <c r="ZK194" s="302"/>
      <c r="ZL194" s="302"/>
      <c r="ZM194" s="302"/>
      <c r="ZN194" s="302"/>
      <c r="ZO194" s="302"/>
      <c r="ZP194" s="302"/>
      <c r="ZQ194" s="302"/>
      <c r="ZR194" s="302"/>
      <c r="ZS194" s="302"/>
      <c r="ZT194" s="302"/>
      <c r="ZU194" s="302"/>
      <c r="ZV194" s="302"/>
      <c r="ZW194" s="302"/>
      <c r="ZX194" s="302"/>
      <c r="ZY194" s="302"/>
      <c r="ZZ194" s="302"/>
      <c r="AAA194" s="302"/>
      <c r="AAB194" s="302"/>
      <c r="AAC194" s="302"/>
      <c r="AAD194" s="302"/>
      <c r="AAE194" s="302"/>
      <c r="AAF194" s="302"/>
      <c r="AAG194" s="302"/>
      <c r="AAH194" s="302"/>
      <c r="AAI194" s="302"/>
      <c r="AAJ194" s="302"/>
      <c r="AAK194" s="302"/>
      <c r="AAL194" s="302"/>
      <c r="AAM194" s="302"/>
      <c r="AAN194" s="302"/>
      <c r="AAO194" s="302"/>
      <c r="AAP194" s="302"/>
      <c r="AAQ194" s="302"/>
      <c r="AAR194" s="302"/>
      <c r="AAS194" s="302"/>
      <c r="AAT194" s="302"/>
      <c r="AAU194" s="302"/>
      <c r="AAV194" s="302"/>
      <c r="AAW194" s="302"/>
      <c r="AAX194" s="302"/>
      <c r="AAY194" s="302"/>
      <c r="AAZ194" s="302"/>
      <c r="ABA194" s="302"/>
      <c r="ABB194" s="302"/>
      <c r="ABC194" s="302"/>
      <c r="ABD194" s="302"/>
      <c r="ABE194" s="302"/>
      <c r="ABF194" s="302"/>
      <c r="ABG194" s="302"/>
      <c r="ABH194" s="302"/>
      <c r="ABI194" s="302"/>
      <c r="ABJ194" s="302"/>
      <c r="ABK194" s="302"/>
      <c r="ABL194" s="302"/>
      <c r="ABM194" s="302"/>
      <c r="ABN194" s="302"/>
      <c r="ABO194" s="302"/>
      <c r="ABP194" s="302"/>
      <c r="ABQ194" s="302"/>
      <c r="ABR194" s="302"/>
      <c r="ABS194" s="302"/>
      <c r="ABT194" s="302"/>
      <c r="ABU194" s="302"/>
      <c r="ABV194" s="302"/>
      <c r="ABW194" s="302"/>
      <c r="ABX194" s="302"/>
      <c r="ABY194" s="302"/>
      <c r="ABZ194" s="302"/>
      <c r="ACA194" s="302"/>
      <c r="ACB194" s="302"/>
      <c r="ACC194" s="302"/>
      <c r="ACD194" s="302"/>
      <c r="ACE194" s="302"/>
      <c r="ACF194" s="302"/>
      <c r="ACG194" s="302"/>
      <c r="ACH194" s="302"/>
      <c r="ACI194" s="302"/>
      <c r="ACJ194" s="302"/>
      <c r="ACK194" s="302"/>
      <c r="ACL194" s="302"/>
      <c r="ACM194" s="302"/>
      <c r="ACN194" s="302"/>
      <c r="ACO194" s="302"/>
      <c r="ACP194" s="302"/>
      <c r="ACQ194" s="302"/>
      <c r="ACR194" s="302"/>
      <c r="ACS194" s="302"/>
      <c r="ACT194" s="302"/>
      <c r="ACU194" s="302"/>
      <c r="ACV194" s="302"/>
      <c r="ACW194" s="302"/>
      <c r="ACX194" s="302"/>
      <c r="ACY194" s="302"/>
      <c r="ACZ194" s="302"/>
      <c r="ADA194" s="302"/>
      <c r="ADB194" s="302"/>
      <c r="ADC194" s="302"/>
      <c r="ADD194" s="302"/>
      <c r="ADE194" s="302"/>
      <c r="ADF194" s="302"/>
      <c r="ADG194" s="302"/>
      <c r="ADH194" s="302"/>
      <c r="ADI194" s="302"/>
      <c r="ADJ194" s="302"/>
      <c r="ADK194" s="302"/>
      <c r="ADL194" s="302"/>
      <c r="ADM194" s="302"/>
      <c r="ADN194" s="302"/>
      <c r="ADO194" s="302"/>
      <c r="ADP194" s="302"/>
      <c r="ADQ194" s="302"/>
      <c r="ADR194" s="302"/>
      <c r="ADS194" s="302"/>
      <c r="ADT194" s="302"/>
      <c r="ADU194" s="302"/>
      <c r="ADV194" s="302"/>
      <c r="ADW194" s="302"/>
      <c r="ADX194" s="302"/>
      <c r="ADY194" s="302"/>
      <c r="ADZ194" s="302"/>
      <c r="AEA194" s="302"/>
      <c r="AEB194" s="302"/>
      <c r="AEC194" s="302"/>
      <c r="AED194" s="302"/>
      <c r="AEE194" s="302"/>
      <c r="AEF194" s="302"/>
      <c r="AEG194" s="302"/>
      <c r="AEH194" s="302"/>
      <c r="AEI194" s="302"/>
      <c r="AEJ194" s="302"/>
      <c r="AEK194" s="302"/>
      <c r="AEL194" s="302"/>
      <c r="AEM194" s="302"/>
      <c r="AEN194" s="302"/>
      <c r="AEO194" s="302"/>
      <c r="AEP194" s="302"/>
      <c r="AEQ194" s="302"/>
      <c r="AER194" s="302"/>
      <c r="AES194" s="302"/>
      <c r="AET194" s="302"/>
      <c r="AEU194" s="302"/>
      <c r="AEV194" s="302"/>
      <c r="AEW194" s="302"/>
      <c r="AEX194" s="302"/>
      <c r="AEY194" s="302"/>
      <c r="AEZ194" s="302"/>
      <c r="AFA194" s="302"/>
      <c r="AFB194" s="302"/>
      <c r="AFC194" s="302"/>
      <c r="AFD194" s="302"/>
      <c r="AFE194" s="302"/>
      <c r="AFF194" s="302"/>
      <c r="AFG194" s="302"/>
      <c r="AFH194" s="302"/>
      <c r="AFI194" s="302"/>
      <c r="AFJ194" s="302"/>
      <c r="AFK194" s="302"/>
      <c r="AFL194" s="302"/>
      <c r="AFM194" s="302"/>
      <c r="AFN194" s="302"/>
      <c r="AFO194" s="302"/>
      <c r="AFP194" s="302"/>
      <c r="AFQ194" s="302"/>
      <c r="AFR194" s="302"/>
      <c r="AFS194" s="302"/>
      <c r="AFT194" s="302"/>
      <c r="AFU194" s="302"/>
      <c r="AFV194" s="302"/>
      <c r="AFW194" s="302"/>
      <c r="AFX194" s="302"/>
      <c r="AFY194" s="302"/>
      <c r="AFZ194" s="302"/>
      <c r="AGA194" s="302"/>
      <c r="AGB194" s="302"/>
      <c r="AGC194" s="302"/>
      <c r="AGD194" s="302"/>
      <c r="AGE194" s="302"/>
      <c r="AGF194" s="302"/>
      <c r="AGG194" s="302"/>
      <c r="AGH194" s="302"/>
      <c r="AGI194" s="302"/>
      <c r="AGJ194" s="302"/>
      <c r="AGK194" s="302"/>
      <c r="AGL194" s="302"/>
      <c r="AGM194" s="302"/>
      <c r="AGN194" s="302"/>
      <c r="AGO194" s="302"/>
      <c r="AGP194" s="302"/>
      <c r="AGQ194" s="302"/>
      <c r="AGR194" s="302"/>
      <c r="AGS194" s="302"/>
      <c r="AGT194" s="302"/>
      <c r="AGU194" s="302"/>
      <c r="AGV194" s="302"/>
      <c r="AGW194" s="302"/>
      <c r="AGX194" s="302"/>
      <c r="AGY194" s="302"/>
      <c r="AGZ194" s="302"/>
      <c r="AHA194" s="302"/>
      <c r="AHB194" s="302"/>
      <c r="AHC194" s="302"/>
      <c r="AHD194" s="302"/>
      <c r="AHE194" s="302"/>
      <c r="AHF194" s="302"/>
      <c r="AHG194" s="302"/>
      <c r="AHH194" s="302"/>
      <c r="AHI194" s="302"/>
      <c r="AHJ194" s="302"/>
      <c r="AHK194" s="302"/>
      <c r="AHL194" s="302"/>
      <c r="AHM194" s="302"/>
      <c r="AHN194" s="302"/>
      <c r="AHO194" s="302"/>
      <c r="AHP194" s="302"/>
      <c r="AHQ194" s="302"/>
      <c r="AHR194" s="302"/>
      <c r="AHS194" s="302"/>
      <c r="AHT194" s="302"/>
      <c r="AHU194" s="302"/>
      <c r="AHV194" s="302"/>
      <c r="AHW194" s="302"/>
      <c r="AHX194" s="302"/>
      <c r="AHY194" s="302"/>
      <c r="AHZ194" s="302"/>
      <c r="AIA194" s="302"/>
      <c r="AIB194" s="302"/>
      <c r="AIC194" s="302"/>
      <c r="AID194" s="302"/>
      <c r="AIE194" s="302"/>
      <c r="AIF194" s="302"/>
      <c r="AIG194" s="302"/>
      <c r="AIH194" s="302"/>
      <c r="AII194" s="302"/>
      <c r="AIJ194" s="302"/>
      <c r="AIK194" s="302"/>
      <c r="AIL194" s="302"/>
      <c r="AIM194" s="302"/>
      <c r="AIN194" s="302"/>
      <c r="AIO194" s="302"/>
      <c r="AIP194" s="302"/>
      <c r="AIQ194" s="302"/>
      <c r="AIR194" s="302"/>
      <c r="AIS194" s="302"/>
      <c r="AIT194" s="302"/>
      <c r="AIU194" s="302"/>
      <c r="AIV194" s="302"/>
      <c r="AIW194" s="302"/>
      <c r="AIX194" s="302"/>
      <c r="AIY194" s="302"/>
      <c r="AIZ194" s="302"/>
      <c r="AJA194" s="302"/>
      <c r="AJB194" s="302"/>
      <c r="AJC194" s="302"/>
      <c r="AJD194" s="302"/>
      <c r="AJE194" s="302"/>
      <c r="AJF194" s="302"/>
      <c r="AJG194" s="302"/>
      <c r="AJH194" s="302"/>
      <c r="AJI194" s="302"/>
      <c r="AJJ194" s="302"/>
      <c r="AJK194" s="302"/>
      <c r="AJL194" s="302"/>
      <c r="AJM194" s="302"/>
      <c r="AJN194" s="302"/>
      <c r="AJO194" s="302"/>
      <c r="AJP194" s="302"/>
      <c r="AJQ194" s="302"/>
      <c r="AJR194" s="302"/>
      <c r="AJS194" s="302"/>
      <c r="AJT194" s="302"/>
      <c r="AJU194" s="302"/>
      <c r="AJV194" s="302"/>
      <c r="AJW194" s="302"/>
      <c r="AJX194" s="302"/>
      <c r="AJY194" s="302"/>
      <c r="AJZ194" s="302"/>
      <c r="AKA194" s="302"/>
      <c r="AKB194" s="302"/>
      <c r="AKC194" s="302"/>
      <c r="AKD194" s="302"/>
      <c r="AKE194" s="302"/>
      <c r="AKF194" s="302"/>
      <c r="AKG194" s="302"/>
      <c r="AKH194" s="302"/>
      <c r="AKI194" s="302"/>
      <c r="AKJ194" s="302"/>
      <c r="AKK194" s="302"/>
      <c r="AKL194" s="302"/>
      <c r="AKM194" s="302"/>
      <c r="AKN194" s="302"/>
      <c r="AKO194" s="302"/>
      <c r="AKP194" s="302"/>
      <c r="AKQ194" s="302"/>
      <c r="AKR194" s="302"/>
      <c r="AKS194" s="302"/>
      <c r="AKT194" s="302"/>
      <c r="AKU194" s="302"/>
      <c r="AKV194" s="302"/>
      <c r="AKW194" s="302"/>
      <c r="AKX194" s="302"/>
      <c r="AKY194" s="302"/>
      <c r="AKZ194" s="302"/>
      <c r="ALA194" s="302"/>
      <c r="ALB194" s="302"/>
      <c r="ALC194" s="302"/>
      <c r="ALD194" s="302"/>
      <c r="ALE194" s="302"/>
      <c r="ALF194" s="302"/>
      <c r="ALG194" s="302"/>
      <c r="ALH194" s="302"/>
      <c r="ALI194" s="302"/>
      <c r="ALJ194" s="302"/>
      <c r="ALK194" s="302"/>
      <c r="ALL194" s="302"/>
      <c r="ALM194" s="302"/>
      <c r="ALN194" s="302"/>
      <c r="ALO194" s="302"/>
      <c r="ALP194" s="302"/>
      <c r="ALQ194" s="302"/>
      <c r="ALR194" s="302"/>
      <c r="ALS194" s="302"/>
      <c r="ALT194" s="302"/>
      <c r="ALU194" s="302"/>
      <c r="ALV194" s="302"/>
      <c r="ALW194" s="302"/>
      <c r="ALX194" s="302"/>
      <c r="ALY194" s="302"/>
      <c r="ALZ194" s="302"/>
      <c r="AMA194" s="302"/>
      <c r="AMB194" s="302"/>
      <c r="AMC194" s="302"/>
      <c r="AMD194" s="302"/>
      <c r="AME194" s="302"/>
      <c r="AMF194" s="302"/>
      <c r="AMG194" s="302"/>
      <c r="AMH194" s="302"/>
      <c r="AMI194" s="302"/>
    </row>
    <row r="195" spans="1:1023" hidden="1">
      <c r="A195" s="302"/>
      <c r="B195" s="15">
        <v>13828</v>
      </c>
      <c r="C195" s="113">
        <v>0.1</v>
      </c>
      <c r="D195" s="16" t="s">
        <v>422</v>
      </c>
      <c r="E195" s="12">
        <v>2400000</v>
      </c>
      <c r="F195" s="363">
        <v>0.02</v>
      </c>
      <c r="G195" s="369">
        <f>E195*F195</f>
        <v>48000</v>
      </c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  <c r="AD195" s="302"/>
      <c r="AE195" s="302"/>
      <c r="AF195" s="302"/>
      <c r="AG195" s="302"/>
      <c r="AH195" s="302"/>
      <c r="AI195" s="302"/>
      <c r="AJ195" s="302"/>
      <c r="AK195" s="302"/>
      <c r="AL195" s="302"/>
      <c r="AM195" s="302"/>
      <c r="AN195" s="302"/>
      <c r="AO195" s="302"/>
      <c r="AP195" s="302"/>
      <c r="AQ195" s="302"/>
      <c r="AR195" s="302"/>
      <c r="AS195" s="302"/>
      <c r="AT195" s="302"/>
      <c r="AU195" s="302"/>
      <c r="AV195" s="302"/>
      <c r="AW195" s="302"/>
      <c r="AX195" s="302"/>
      <c r="AY195" s="302"/>
      <c r="AZ195" s="302"/>
      <c r="BA195" s="302"/>
      <c r="BB195" s="302"/>
      <c r="BC195" s="302"/>
      <c r="BD195" s="302"/>
      <c r="BE195" s="302"/>
      <c r="BF195" s="302"/>
      <c r="BG195" s="302"/>
      <c r="BH195" s="302"/>
      <c r="BI195" s="302"/>
      <c r="BJ195" s="302"/>
      <c r="BK195" s="302"/>
      <c r="BL195" s="302"/>
      <c r="BM195" s="302"/>
      <c r="BN195" s="302"/>
      <c r="BO195" s="302"/>
      <c r="BP195" s="302"/>
      <c r="BQ195" s="302"/>
      <c r="BR195" s="302"/>
      <c r="BS195" s="302"/>
      <c r="BT195" s="302"/>
      <c r="BU195" s="302"/>
      <c r="BV195" s="302"/>
      <c r="BW195" s="302"/>
      <c r="BX195" s="302"/>
      <c r="BY195" s="302"/>
      <c r="BZ195" s="302"/>
      <c r="CA195" s="302"/>
      <c r="CB195" s="302"/>
      <c r="CC195" s="302"/>
      <c r="CD195" s="302"/>
      <c r="CE195" s="302"/>
      <c r="CF195" s="302"/>
      <c r="CG195" s="302"/>
      <c r="CH195" s="302"/>
      <c r="CI195" s="302"/>
      <c r="CJ195" s="302"/>
      <c r="CK195" s="302"/>
      <c r="CL195" s="302"/>
      <c r="CM195" s="302"/>
      <c r="CN195" s="302"/>
      <c r="CO195" s="302"/>
      <c r="CP195" s="302"/>
      <c r="CQ195" s="302"/>
      <c r="CR195" s="302"/>
      <c r="CS195" s="302"/>
      <c r="CT195" s="302"/>
      <c r="CU195" s="302"/>
      <c r="CV195" s="302"/>
      <c r="CW195" s="302"/>
      <c r="CX195" s="302"/>
      <c r="CY195" s="302"/>
      <c r="CZ195" s="302"/>
      <c r="DA195" s="302"/>
      <c r="DB195" s="302"/>
      <c r="DC195" s="302"/>
      <c r="DD195" s="302"/>
      <c r="DE195" s="302"/>
      <c r="DF195" s="302"/>
      <c r="DG195" s="302"/>
      <c r="DH195" s="302"/>
      <c r="DI195" s="302"/>
      <c r="DJ195" s="302"/>
      <c r="DK195" s="302"/>
      <c r="DL195" s="302"/>
      <c r="DM195" s="302"/>
      <c r="DN195" s="302"/>
      <c r="DO195" s="302"/>
      <c r="DP195" s="302"/>
      <c r="DQ195" s="302"/>
      <c r="DR195" s="302"/>
      <c r="DS195" s="302"/>
      <c r="DT195" s="302"/>
      <c r="DU195" s="302"/>
      <c r="DV195" s="302"/>
      <c r="DW195" s="302"/>
      <c r="DX195" s="302"/>
      <c r="DY195" s="302"/>
      <c r="DZ195" s="302"/>
      <c r="EA195" s="302"/>
      <c r="EB195" s="302"/>
      <c r="EC195" s="302"/>
      <c r="ED195" s="302"/>
      <c r="EE195" s="302"/>
      <c r="EF195" s="302"/>
      <c r="EG195" s="302"/>
      <c r="EH195" s="302"/>
      <c r="EI195" s="302"/>
      <c r="EJ195" s="302"/>
      <c r="EK195" s="302"/>
      <c r="EL195" s="302"/>
      <c r="EM195" s="302"/>
      <c r="EN195" s="302"/>
      <c r="EO195" s="302"/>
      <c r="EP195" s="302"/>
      <c r="EQ195" s="302"/>
      <c r="ER195" s="302"/>
      <c r="ES195" s="302"/>
      <c r="ET195" s="302"/>
      <c r="EU195" s="302"/>
      <c r="EV195" s="302"/>
      <c r="EW195" s="302"/>
      <c r="EX195" s="302"/>
      <c r="EY195" s="302"/>
      <c r="EZ195" s="302"/>
      <c r="FA195" s="302"/>
      <c r="FB195" s="302"/>
      <c r="FC195" s="302"/>
      <c r="FD195" s="302"/>
      <c r="FE195" s="302"/>
      <c r="FF195" s="302"/>
      <c r="FG195" s="302"/>
      <c r="FH195" s="302"/>
      <c r="FI195" s="302"/>
      <c r="FJ195" s="302"/>
      <c r="FK195" s="302"/>
      <c r="FL195" s="302"/>
      <c r="FM195" s="302"/>
      <c r="FN195" s="302"/>
      <c r="FO195" s="302"/>
      <c r="FP195" s="302"/>
      <c r="FQ195" s="302"/>
      <c r="FR195" s="302"/>
      <c r="FS195" s="302"/>
      <c r="FT195" s="302"/>
      <c r="FU195" s="302"/>
      <c r="FV195" s="302"/>
      <c r="FW195" s="302"/>
      <c r="FX195" s="302"/>
      <c r="FY195" s="302"/>
      <c r="FZ195" s="302"/>
      <c r="GA195" s="302"/>
      <c r="GB195" s="302"/>
      <c r="GC195" s="302"/>
      <c r="GD195" s="302"/>
      <c r="GE195" s="302"/>
      <c r="GF195" s="302"/>
      <c r="GG195" s="302"/>
      <c r="GH195" s="302"/>
      <c r="GI195" s="302"/>
      <c r="GJ195" s="302"/>
      <c r="GK195" s="302"/>
      <c r="GL195" s="302"/>
      <c r="GM195" s="302"/>
      <c r="GN195" s="302"/>
      <c r="GO195" s="302"/>
      <c r="GP195" s="302"/>
      <c r="GQ195" s="302"/>
      <c r="GR195" s="302"/>
      <c r="GS195" s="302"/>
      <c r="GT195" s="302"/>
      <c r="GU195" s="302"/>
      <c r="GV195" s="302"/>
      <c r="GW195" s="302"/>
      <c r="GX195" s="302"/>
      <c r="GY195" s="302"/>
      <c r="GZ195" s="302"/>
      <c r="HA195" s="302"/>
      <c r="HB195" s="302"/>
      <c r="HC195" s="302"/>
      <c r="HD195" s="302"/>
      <c r="HE195" s="302"/>
      <c r="HF195" s="302"/>
      <c r="HG195" s="302"/>
      <c r="HH195" s="302"/>
      <c r="HI195" s="302"/>
      <c r="HJ195" s="302"/>
      <c r="HK195" s="302"/>
      <c r="HL195" s="302"/>
      <c r="HM195" s="302"/>
      <c r="HN195" s="302"/>
      <c r="HO195" s="302"/>
      <c r="HP195" s="302"/>
      <c r="HQ195" s="302"/>
      <c r="HR195" s="302"/>
      <c r="HS195" s="302"/>
      <c r="HT195" s="302"/>
      <c r="HU195" s="302"/>
      <c r="HV195" s="302"/>
      <c r="HW195" s="302"/>
      <c r="HX195" s="302"/>
      <c r="HY195" s="302"/>
      <c r="HZ195" s="302"/>
      <c r="IA195" s="302"/>
      <c r="IB195" s="302"/>
      <c r="IC195" s="302"/>
      <c r="ID195" s="302"/>
      <c r="IE195" s="302"/>
      <c r="IF195" s="302"/>
      <c r="IG195" s="302"/>
      <c r="IH195" s="302"/>
      <c r="II195" s="302"/>
      <c r="IJ195" s="302"/>
      <c r="IK195" s="302"/>
      <c r="IL195" s="302"/>
      <c r="IM195" s="302"/>
      <c r="IN195" s="302"/>
      <c r="IO195" s="302"/>
      <c r="IP195" s="302"/>
      <c r="IQ195" s="302"/>
      <c r="IR195" s="302"/>
      <c r="IS195" s="302"/>
      <c r="IT195" s="302"/>
      <c r="IU195" s="302"/>
      <c r="IV195" s="302"/>
      <c r="IW195" s="302"/>
      <c r="IX195" s="302"/>
      <c r="IY195" s="302"/>
      <c r="IZ195" s="302"/>
      <c r="JA195" s="302"/>
      <c r="JB195" s="302"/>
      <c r="JC195" s="302"/>
      <c r="JD195" s="302"/>
      <c r="JE195" s="302"/>
      <c r="JF195" s="302"/>
      <c r="JG195" s="302"/>
      <c r="JH195" s="302"/>
      <c r="JI195" s="302"/>
      <c r="JJ195" s="302"/>
      <c r="JK195" s="302"/>
      <c r="JL195" s="302"/>
      <c r="JM195" s="302"/>
      <c r="JN195" s="302"/>
      <c r="JO195" s="302"/>
      <c r="JP195" s="302"/>
      <c r="JQ195" s="302"/>
      <c r="JR195" s="302"/>
      <c r="JS195" s="302"/>
      <c r="JT195" s="302"/>
      <c r="JU195" s="302"/>
      <c r="JV195" s="302"/>
      <c r="JW195" s="302"/>
      <c r="JX195" s="302"/>
      <c r="JY195" s="302"/>
      <c r="JZ195" s="302"/>
      <c r="KA195" s="302"/>
      <c r="KB195" s="302"/>
      <c r="KC195" s="302"/>
      <c r="KD195" s="302"/>
      <c r="KE195" s="302"/>
      <c r="KF195" s="302"/>
      <c r="KG195" s="302"/>
      <c r="KH195" s="302"/>
      <c r="KI195" s="302"/>
      <c r="KJ195" s="302"/>
      <c r="KK195" s="302"/>
      <c r="KL195" s="302"/>
      <c r="KM195" s="302"/>
      <c r="KN195" s="302"/>
      <c r="KO195" s="302"/>
      <c r="KP195" s="302"/>
      <c r="KQ195" s="302"/>
      <c r="KR195" s="302"/>
      <c r="KS195" s="302"/>
      <c r="KT195" s="302"/>
      <c r="KU195" s="302"/>
      <c r="KV195" s="302"/>
      <c r="KW195" s="302"/>
      <c r="KX195" s="302"/>
      <c r="KY195" s="302"/>
      <c r="KZ195" s="302"/>
      <c r="LA195" s="302"/>
      <c r="LB195" s="302"/>
      <c r="LC195" s="302"/>
      <c r="LD195" s="302"/>
      <c r="LE195" s="302"/>
      <c r="LF195" s="302"/>
      <c r="LG195" s="302"/>
      <c r="LH195" s="302"/>
      <c r="LI195" s="302"/>
      <c r="LJ195" s="302"/>
      <c r="LK195" s="302"/>
      <c r="LL195" s="302"/>
      <c r="LM195" s="302"/>
      <c r="LN195" s="302"/>
      <c r="LO195" s="302"/>
      <c r="LP195" s="302"/>
      <c r="LQ195" s="302"/>
      <c r="LR195" s="302"/>
      <c r="LS195" s="302"/>
      <c r="LT195" s="302"/>
      <c r="LU195" s="302"/>
      <c r="LV195" s="302"/>
      <c r="LW195" s="302"/>
      <c r="LX195" s="302"/>
      <c r="LY195" s="302"/>
      <c r="LZ195" s="302"/>
      <c r="MA195" s="302"/>
      <c r="MB195" s="302"/>
      <c r="MC195" s="302"/>
      <c r="MD195" s="302"/>
      <c r="ME195" s="302"/>
      <c r="MF195" s="302"/>
      <c r="MG195" s="302"/>
      <c r="MH195" s="302"/>
      <c r="MI195" s="302"/>
      <c r="MJ195" s="302"/>
      <c r="MK195" s="302"/>
      <c r="ML195" s="302"/>
      <c r="MM195" s="302"/>
      <c r="MN195" s="302"/>
      <c r="MO195" s="302"/>
      <c r="MP195" s="302"/>
      <c r="MQ195" s="302"/>
      <c r="MR195" s="302"/>
      <c r="MS195" s="302"/>
      <c r="MT195" s="302"/>
      <c r="MU195" s="302"/>
      <c r="MV195" s="302"/>
      <c r="MW195" s="302"/>
      <c r="MX195" s="302"/>
      <c r="MY195" s="302"/>
      <c r="MZ195" s="302"/>
      <c r="NA195" s="302"/>
      <c r="NB195" s="302"/>
      <c r="NC195" s="302"/>
      <c r="ND195" s="302"/>
      <c r="NE195" s="302"/>
      <c r="NF195" s="302"/>
      <c r="NG195" s="302"/>
      <c r="NH195" s="302"/>
      <c r="NI195" s="302"/>
      <c r="NJ195" s="302"/>
      <c r="NK195" s="302"/>
      <c r="NL195" s="302"/>
      <c r="NM195" s="302"/>
      <c r="NN195" s="302"/>
      <c r="NO195" s="302"/>
      <c r="NP195" s="302"/>
      <c r="NQ195" s="302"/>
      <c r="NR195" s="302"/>
      <c r="NS195" s="302"/>
      <c r="NT195" s="302"/>
      <c r="NU195" s="302"/>
      <c r="NV195" s="302"/>
      <c r="NW195" s="302"/>
      <c r="NX195" s="302"/>
      <c r="NY195" s="302"/>
      <c r="NZ195" s="302"/>
      <c r="OA195" s="302"/>
      <c r="OB195" s="302"/>
      <c r="OC195" s="302"/>
      <c r="OD195" s="302"/>
      <c r="OE195" s="302"/>
      <c r="OF195" s="302"/>
      <c r="OG195" s="302"/>
      <c r="OH195" s="302"/>
      <c r="OI195" s="302"/>
      <c r="OJ195" s="302"/>
      <c r="OK195" s="302"/>
      <c r="OL195" s="302"/>
      <c r="OM195" s="302"/>
      <c r="ON195" s="302"/>
      <c r="OO195" s="302"/>
      <c r="OP195" s="302"/>
      <c r="OQ195" s="302"/>
      <c r="OR195" s="302"/>
      <c r="OS195" s="302"/>
      <c r="OT195" s="302"/>
      <c r="OU195" s="302"/>
      <c r="OV195" s="302"/>
      <c r="OW195" s="302"/>
      <c r="OX195" s="302"/>
      <c r="OY195" s="302"/>
      <c r="OZ195" s="302"/>
      <c r="PA195" s="302"/>
      <c r="PB195" s="302"/>
      <c r="PC195" s="302"/>
      <c r="PD195" s="302"/>
      <c r="PE195" s="302"/>
      <c r="PF195" s="302"/>
      <c r="PG195" s="302"/>
      <c r="PH195" s="302"/>
      <c r="PI195" s="302"/>
      <c r="PJ195" s="302"/>
      <c r="PK195" s="302"/>
      <c r="PL195" s="302"/>
      <c r="PM195" s="302"/>
      <c r="PN195" s="302"/>
      <c r="PO195" s="302"/>
      <c r="PP195" s="302"/>
      <c r="PQ195" s="302"/>
      <c r="PR195" s="302"/>
      <c r="PS195" s="302"/>
      <c r="PT195" s="302"/>
      <c r="PU195" s="302"/>
      <c r="PV195" s="302"/>
      <c r="PW195" s="302"/>
      <c r="PX195" s="302"/>
      <c r="PY195" s="302"/>
      <c r="PZ195" s="302"/>
      <c r="QA195" s="302"/>
      <c r="QB195" s="302"/>
      <c r="QC195" s="302"/>
      <c r="QD195" s="302"/>
      <c r="QE195" s="302"/>
      <c r="QF195" s="302"/>
      <c r="QG195" s="302"/>
      <c r="QH195" s="302"/>
      <c r="QI195" s="302"/>
      <c r="QJ195" s="302"/>
      <c r="QK195" s="302"/>
      <c r="QL195" s="302"/>
      <c r="QM195" s="302"/>
      <c r="QN195" s="302"/>
      <c r="QO195" s="302"/>
      <c r="QP195" s="302"/>
      <c r="QQ195" s="302"/>
      <c r="QR195" s="302"/>
      <c r="QS195" s="302"/>
      <c r="QT195" s="302"/>
      <c r="QU195" s="302"/>
      <c r="QV195" s="302"/>
      <c r="QW195" s="302"/>
      <c r="QX195" s="302"/>
      <c r="QY195" s="302"/>
      <c r="QZ195" s="302"/>
      <c r="RA195" s="302"/>
      <c r="RB195" s="302"/>
      <c r="RC195" s="302"/>
      <c r="RD195" s="302"/>
      <c r="RE195" s="302"/>
      <c r="RF195" s="302"/>
      <c r="RG195" s="302"/>
      <c r="RH195" s="302"/>
      <c r="RI195" s="302"/>
      <c r="RJ195" s="302"/>
      <c r="RK195" s="302"/>
      <c r="RL195" s="302"/>
      <c r="RM195" s="302"/>
      <c r="RN195" s="302"/>
      <c r="RO195" s="302"/>
      <c r="RP195" s="302"/>
      <c r="RQ195" s="302"/>
      <c r="RR195" s="302"/>
      <c r="RS195" s="302"/>
      <c r="RT195" s="302"/>
      <c r="RU195" s="302"/>
      <c r="RV195" s="302"/>
      <c r="RW195" s="302"/>
      <c r="RX195" s="302"/>
      <c r="RY195" s="302"/>
      <c r="RZ195" s="302"/>
      <c r="SA195" s="302"/>
      <c r="SB195" s="302"/>
      <c r="SC195" s="302"/>
      <c r="SD195" s="302"/>
      <c r="SE195" s="302"/>
      <c r="SF195" s="302"/>
      <c r="SG195" s="302"/>
      <c r="SH195" s="302"/>
      <c r="SI195" s="302"/>
      <c r="SJ195" s="302"/>
      <c r="SK195" s="302"/>
      <c r="SL195" s="302"/>
      <c r="SM195" s="302"/>
      <c r="SN195" s="302"/>
      <c r="SO195" s="302"/>
      <c r="SP195" s="302"/>
      <c r="SQ195" s="302"/>
      <c r="SR195" s="302"/>
      <c r="SS195" s="302"/>
      <c r="ST195" s="302"/>
      <c r="SU195" s="302"/>
      <c r="SV195" s="302"/>
      <c r="SW195" s="302"/>
      <c r="SX195" s="302"/>
      <c r="SY195" s="302"/>
      <c r="SZ195" s="302"/>
      <c r="TA195" s="302"/>
      <c r="TB195" s="302"/>
      <c r="TC195" s="302"/>
      <c r="TD195" s="302"/>
      <c r="TE195" s="302"/>
      <c r="TF195" s="302"/>
      <c r="TG195" s="302"/>
      <c r="TH195" s="302"/>
      <c r="TI195" s="302"/>
      <c r="TJ195" s="302"/>
      <c r="TK195" s="302"/>
      <c r="TL195" s="302"/>
      <c r="TM195" s="302"/>
      <c r="TN195" s="302"/>
      <c r="TO195" s="302"/>
      <c r="TP195" s="302"/>
      <c r="TQ195" s="302"/>
      <c r="TR195" s="302"/>
      <c r="TS195" s="302"/>
      <c r="TT195" s="302"/>
      <c r="TU195" s="302"/>
      <c r="TV195" s="302"/>
      <c r="TW195" s="302"/>
      <c r="TX195" s="302"/>
      <c r="TY195" s="302"/>
      <c r="TZ195" s="302"/>
      <c r="UA195" s="302"/>
      <c r="UB195" s="302"/>
      <c r="UC195" s="302"/>
      <c r="UD195" s="302"/>
      <c r="UE195" s="302"/>
      <c r="UF195" s="302"/>
      <c r="UG195" s="302"/>
      <c r="UH195" s="302"/>
      <c r="UI195" s="302"/>
      <c r="UJ195" s="302"/>
      <c r="UK195" s="302"/>
      <c r="UL195" s="302"/>
      <c r="UM195" s="302"/>
      <c r="UN195" s="302"/>
      <c r="UO195" s="302"/>
      <c r="UP195" s="302"/>
      <c r="UQ195" s="302"/>
      <c r="UR195" s="302"/>
      <c r="US195" s="302"/>
      <c r="UT195" s="302"/>
      <c r="UU195" s="302"/>
      <c r="UV195" s="302"/>
      <c r="UW195" s="302"/>
      <c r="UX195" s="302"/>
      <c r="UY195" s="302"/>
      <c r="UZ195" s="302"/>
      <c r="VA195" s="302"/>
      <c r="VB195" s="302"/>
      <c r="VC195" s="302"/>
      <c r="VD195" s="302"/>
      <c r="VE195" s="302"/>
      <c r="VF195" s="302"/>
      <c r="VG195" s="302"/>
      <c r="VH195" s="302"/>
      <c r="VI195" s="302"/>
      <c r="VJ195" s="302"/>
      <c r="VK195" s="302"/>
      <c r="VL195" s="302"/>
      <c r="VM195" s="302"/>
      <c r="VN195" s="302"/>
      <c r="VO195" s="302"/>
      <c r="VP195" s="302"/>
      <c r="VQ195" s="302"/>
      <c r="VR195" s="302"/>
      <c r="VS195" s="302"/>
      <c r="VT195" s="302"/>
      <c r="VU195" s="302"/>
      <c r="VV195" s="302"/>
      <c r="VW195" s="302"/>
      <c r="VX195" s="302"/>
      <c r="VY195" s="302"/>
      <c r="VZ195" s="302"/>
      <c r="WA195" s="302"/>
      <c r="WB195" s="302"/>
      <c r="WC195" s="302"/>
      <c r="WD195" s="302"/>
      <c r="WE195" s="302"/>
      <c r="WF195" s="302"/>
      <c r="WG195" s="302"/>
      <c r="WH195" s="302"/>
      <c r="WI195" s="302"/>
      <c r="WJ195" s="302"/>
      <c r="WK195" s="302"/>
      <c r="WL195" s="302"/>
      <c r="WM195" s="302"/>
      <c r="WN195" s="302"/>
      <c r="WO195" s="302"/>
      <c r="WP195" s="302"/>
      <c r="WQ195" s="302"/>
      <c r="WR195" s="302"/>
      <c r="WS195" s="302"/>
      <c r="WT195" s="302"/>
      <c r="WU195" s="302"/>
      <c r="WV195" s="302"/>
      <c r="WW195" s="302"/>
      <c r="WX195" s="302"/>
      <c r="WY195" s="302"/>
      <c r="WZ195" s="302"/>
      <c r="XA195" s="302"/>
      <c r="XB195" s="302"/>
      <c r="XC195" s="302"/>
      <c r="XD195" s="302"/>
      <c r="XE195" s="302"/>
      <c r="XF195" s="302"/>
      <c r="XG195" s="302"/>
      <c r="XH195" s="302"/>
      <c r="XI195" s="302"/>
      <c r="XJ195" s="302"/>
      <c r="XK195" s="302"/>
      <c r="XL195" s="302"/>
      <c r="XM195" s="302"/>
      <c r="XN195" s="302"/>
      <c r="XO195" s="302"/>
      <c r="XP195" s="302"/>
      <c r="XQ195" s="302"/>
      <c r="XR195" s="302"/>
      <c r="XS195" s="302"/>
      <c r="XT195" s="302"/>
      <c r="XU195" s="302"/>
      <c r="XV195" s="302"/>
      <c r="XW195" s="302"/>
      <c r="XX195" s="302"/>
      <c r="XY195" s="302"/>
      <c r="XZ195" s="302"/>
      <c r="YA195" s="302"/>
      <c r="YB195" s="302"/>
      <c r="YC195" s="302"/>
      <c r="YD195" s="302"/>
      <c r="YE195" s="302"/>
      <c r="YF195" s="302"/>
      <c r="YG195" s="302"/>
      <c r="YH195" s="302"/>
      <c r="YI195" s="302"/>
      <c r="YJ195" s="302"/>
      <c r="YK195" s="302"/>
      <c r="YL195" s="302"/>
      <c r="YM195" s="302"/>
      <c r="YN195" s="302"/>
      <c r="YO195" s="302"/>
      <c r="YP195" s="302"/>
      <c r="YQ195" s="302"/>
      <c r="YR195" s="302"/>
      <c r="YS195" s="302"/>
      <c r="YT195" s="302"/>
      <c r="YU195" s="302"/>
      <c r="YV195" s="302"/>
      <c r="YW195" s="302"/>
      <c r="YX195" s="302"/>
      <c r="YY195" s="302"/>
      <c r="YZ195" s="302"/>
      <c r="ZA195" s="302"/>
      <c r="ZB195" s="302"/>
      <c r="ZC195" s="302"/>
      <c r="ZD195" s="302"/>
      <c r="ZE195" s="302"/>
      <c r="ZF195" s="302"/>
      <c r="ZG195" s="302"/>
      <c r="ZH195" s="302"/>
      <c r="ZI195" s="302"/>
      <c r="ZJ195" s="302"/>
      <c r="ZK195" s="302"/>
      <c r="ZL195" s="302"/>
      <c r="ZM195" s="302"/>
      <c r="ZN195" s="302"/>
      <c r="ZO195" s="302"/>
      <c r="ZP195" s="302"/>
      <c r="ZQ195" s="302"/>
      <c r="ZR195" s="302"/>
      <c r="ZS195" s="302"/>
      <c r="ZT195" s="302"/>
      <c r="ZU195" s="302"/>
      <c r="ZV195" s="302"/>
      <c r="ZW195" s="302"/>
      <c r="ZX195" s="302"/>
      <c r="ZY195" s="302"/>
      <c r="ZZ195" s="302"/>
      <c r="AAA195" s="302"/>
      <c r="AAB195" s="302"/>
      <c r="AAC195" s="302"/>
      <c r="AAD195" s="302"/>
      <c r="AAE195" s="302"/>
      <c r="AAF195" s="302"/>
      <c r="AAG195" s="302"/>
      <c r="AAH195" s="302"/>
      <c r="AAI195" s="302"/>
      <c r="AAJ195" s="302"/>
      <c r="AAK195" s="302"/>
      <c r="AAL195" s="302"/>
      <c r="AAM195" s="302"/>
      <c r="AAN195" s="302"/>
      <c r="AAO195" s="302"/>
      <c r="AAP195" s="302"/>
      <c r="AAQ195" s="302"/>
      <c r="AAR195" s="302"/>
      <c r="AAS195" s="302"/>
      <c r="AAT195" s="302"/>
      <c r="AAU195" s="302"/>
      <c r="AAV195" s="302"/>
      <c r="AAW195" s="302"/>
      <c r="AAX195" s="302"/>
      <c r="AAY195" s="302"/>
      <c r="AAZ195" s="302"/>
      <c r="ABA195" s="302"/>
      <c r="ABB195" s="302"/>
      <c r="ABC195" s="302"/>
      <c r="ABD195" s="302"/>
      <c r="ABE195" s="302"/>
      <c r="ABF195" s="302"/>
      <c r="ABG195" s="302"/>
      <c r="ABH195" s="302"/>
      <c r="ABI195" s="302"/>
      <c r="ABJ195" s="302"/>
      <c r="ABK195" s="302"/>
      <c r="ABL195" s="302"/>
      <c r="ABM195" s="302"/>
      <c r="ABN195" s="302"/>
      <c r="ABO195" s="302"/>
      <c r="ABP195" s="302"/>
      <c r="ABQ195" s="302"/>
      <c r="ABR195" s="302"/>
      <c r="ABS195" s="302"/>
      <c r="ABT195" s="302"/>
      <c r="ABU195" s="302"/>
      <c r="ABV195" s="302"/>
      <c r="ABW195" s="302"/>
      <c r="ABX195" s="302"/>
      <c r="ABY195" s="302"/>
      <c r="ABZ195" s="302"/>
      <c r="ACA195" s="302"/>
      <c r="ACB195" s="302"/>
      <c r="ACC195" s="302"/>
      <c r="ACD195" s="302"/>
      <c r="ACE195" s="302"/>
      <c r="ACF195" s="302"/>
      <c r="ACG195" s="302"/>
      <c r="ACH195" s="302"/>
      <c r="ACI195" s="302"/>
      <c r="ACJ195" s="302"/>
      <c r="ACK195" s="302"/>
      <c r="ACL195" s="302"/>
      <c r="ACM195" s="302"/>
      <c r="ACN195" s="302"/>
      <c r="ACO195" s="302"/>
      <c r="ACP195" s="302"/>
      <c r="ACQ195" s="302"/>
      <c r="ACR195" s="302"/>
      <c r="ACS195" s="302"/>
      <c r="ACT195" s="302"/>
      <c r="ACU195" s="302"/>
      <c r="ACV195" s="302"/>
      <c r="ACW195" s="302"/>
      <c r="ACX195" s="302"/>
      <c r="ACY195" s="302"/>
      <c r="ACZ195" s="302"/>
      <c r="ADA195" s="302"/>
      <c r="ADB195" s="302"/>
      <c r="ADC195" s="302"/>
      <c r="ADD195" s="302"/>
      <c r="ADE195" s="302"/>
      <c r="ADF195" s="302"/>
      <c r="ADG195" s="302"/>
      <c r="ADH195" s="302"/>
      <c r="ADI195" s="302"/>
      <c r="ADJ195" s="302"/>
      <c r="ADK195" s="302"/>
      <c r="ADL195" s="302"/>
      <c r="ADM195" s="302"/>
      <c r="ADN195" s="302"/>
      <c r="ADO195" s="302"/>
      <c r="ADP195" s="302"/>
      <c r="ADQ195" s="302"/>
      <c r="ADR195" s="302"/>
      <c r="ADS195" s="302"/>
      <c r="ADT195" s="302"/>
      <c r="ADU195" s="302"/>
      <c r="ADV195" s="302"/>
      <c r="ADW195" s="302"/>
      <c r="ADX195" s="302"/>
      <c r="ADY195" s="302"/>
      <c r="ADZ195" s="302"/>
      <c r="AEA195" s="302"/>
      <c r="AEB195" s="302"/>
      <c r="AEC195" s="302"/>
      <c r="AED195" s="302"/>
      <c r="AEE195" s="302"/>
      <c r="AEF195" s="302"/>
      <c r="AEG195" s="302"/>
      <c r="AEH195" s="302"/>
      <c r="AEI195" s="302"/>
      <c r="AEJ195" s="302"/>
      <c r="AEK195" s="302"/>
      <c r="AEL195" s="302"/>
      <c r="AEM195" s="302"/>
      <c r="AEN195" s="302"/>
      <c r="AEO195" s="302"/>
      <c r="AEP195" s="302"/>
      <c r="AEQ195" s="302"/>
      <c r="AER195" s="302"/>
      <c r="AES195" s="302"/>
      <c r="AET195" s="302"/>
      <c r="AEU195" s="302"/>
      <c r="AEV195" s="302"/>
      <c r="AEW195" s="302"/>
      <c r="AEX195" s="302"/>
      <c r="AEY195" s="302"/>
      <c r="AEZ195" s="302"/>
      <c r="AFA195" s="302"/>
      <c r="AFB195" s="302"/>
      <c r="AFC195" s="302"/>
      <c r="AFD195" s="302"/>
      <c r="AFE195" s="302"/>
      <c r="AFF195" s="302"/>
      <c r="AFG195" s="302"/>
      <c r="AFH195" s="302"/>
      <c r="AFI195" s="302"/>
      <c r="AFJ195" s="302"/>
      <c r="AFK195" s="302"/>
      <c r="AFL195" s="302"/>
      <c r="AFM195" s="302"/>
      <c r="AFN195" s="302"/>
      <c r="AFO195" s="302"/>
      <c r="AFP195" s="302"/>
      <c r="AFQ195" s="302"/>
      <c r="AFR195" s="302"/>
      <c r="AFS195" s="302"/>
      <c r="AFT195" s="302"/>
      <c r="AFU195" s="302"/>
      <c r="AFV195" s="302"/>
      <c r="AFW195" s="302"/>
      <c r="AFX195" s="302"/>
      <c r="AFY195" s="302"/>
      <c r="AFZ195" s="302"/>
      <c r="AGA195" s="302"/>
      <c r="AGB195" s="302"/>
      <c r="AGC195" s="302"/>
      <c r="AGD195" s="302"/>
      <c r="AGE195" s="302"/>
      <c r="AGF195" s="302"/>
      <c r="AGG195" s="302"/>
      <c r="AGH195" s="302"/>
      <c r="AGI195" s="302"/>
      <c r="AGJ195" s="302"/>
      <c r="AGK195" s="302"/>
      <c r="AGL195" s="302"/>
      <c r="AGM195" s="302"/>
      <c r="AGN195" s="302"/>
      <c r="AGO195" s="302"/>
      <c r="AGP195" s="302"/>
      <c r="AGQ195" s="302"/>
      <c r="AGR195" s="302"/>
      <c r="AGS195" s="302"/>
      <c r="AGT195" s="302"/>
      <c r="AGU195" s="302"/>
      <c r="AGV195" s="302"/>
      <c r="AGW195" s="302"/>
      <c r="AGX195" s="302"/>
      <c r="AGY195" s="302"/>
      <c r="AGZ195" s="302"/>
      <c r="AHA195" s="302"/>
      <c r="AHB195" s="302"/>
      <c r="AHC195" s="302"/>
      <c r="AHD195" s="302"/>
      <c r="AHE195" s="302"/>
      <c r="AHF195" s="302"/>
      <c r="AHG195" s="302"/>
      <c r="AHH195" s="302"/>
      <c r="AHI195" s="302"/>
      <c r="AHJ195" s="302"/>
      <c r="AHK195" s="302"/>
      <c r="AHL195" s="302"/>
      <c r="AHM195" s="302"/>
      <c r="AHN195" s="302"/>
      <c r="AHO195" s="302"/>
      <c r="AHP195" s="302"/>
      <c r="AHQ195" s="302"/>
      <c r="AHR195" s="302"/>
      <c r="AHS195" s="302"/>
      <c r="AHT195" s="302"/>
      <c r="AHU195" s="302"/>
      <c r="AHV195" s="302"/>
      <c r="AHW195" s="302"/>
      <c r="AHX195" s="302"/>
      <c r="AHY195" s="302"/>
      <c r="AHZ195" s="302"/>
      <c r="AIA195" s="302"/>
      <c r="AIB195" s="302"/>
      <c r="AIC195" s="302"/>
      <c r="AID195" s="302"/>
      <c r="AIE195" s="302"/>
      <c r="AIF195" s="302"/>
      <c r="AIG195" s="302"/>
      <c r="AIH195" s="302"/>
      <c r="AII195" s="302"/>
      <c r="AIJ195" s="302"/>
      <c r="AIK195" s="302"/>
      <c r="AIL195" s="302"/>
      <c r="AIM195" s="302"/>
      <c r="AIN195" s="302"/>
      <c r="AIO195" s="302"/>
      <c r="AIP195" s="302"/>
      <c r="AIQ195" s="302"/>
      <c r="AIR195" s="302"/>
      <c r="AIS195" s="302"/>
      <c r="AIT195" s="302"/>
      <c r="AIU195" s="302"/>
      <c r="AIV195" s="302"/>
      <c r="AIW195" s="302"/>
      <c r="AIX195" s="302"/>
      <c r="AIY195" s="302"/>
      <c r="AIZ195" s="302"/>
      <c r="AJA195" s="302"/>
      <c r="AJB195" s="302"/>
      <c r="AJC195" s="302"/>
      <c r="AJD195" s="302"/>
      <c r="AJE195" s="302"/>
      <c r="AJF195" s="302"/>
      <c r="AJG195" s="302"/>
      <c r="AJH195" s="302"/>
      <c r="AJI195" s="302"/>
      <c r="AJJ195" s="302"/>
      <c r="AJK195" s="302"/>
      <c r="AJL195" s="302"/>
      <c r="AJM195" s="302"/>
      <c r="AJN195" s="302"/>
      <c r="AJO195" s="302"/>
      <c r="AJP195" s="302"/>
      <c r="AJQ195" s="302"/>
      <c r="AJR195" s="302"/>
      <c r="AJS195" s="302"/>
      <c r="AJT195" s="302"/>
      <c r="AJU195" s="302"/>
      <c r="AJV195" s="302"/>
      <c r="AJW195" s="302"/>
      <c r="AJX195" s="302"/>
      <c r="AJY195" s="302"/>
      <c r="AJZ195" s="302"/>
      <c r="AKA195" s="302"/>
      <c r="AKB195" s="302"/>
      <c r="AKC195" s="302"/>
      <c r="AKD195" s="302"/>
      <c r="AKE195" s="302"/>
      <c r="AKF195" s="302"/>
      <c r="AKG195" s="302"/>
      <c r="AKH195" s="302"/>
      <c r="AKI195" s="302"/>
      <c r="AKJ195" s="302"/>
      <c r="AKK195" s="302"/>
      <c r="AKL195" s="302"/>
      <c r="AKM195" s="302"/>
      <c r="AKN195" s="302"/>
      <c r="AKO195" s="302"/>
      <c r="AKP195" s="302"/>
      <c r="AKQ195" s="302"/>
      <c r="AKR195" s="302"/>
      <c r="AKS195" s="302"/>
      <c r="AKT195" s="302"/>
      <c r="AKU195" s="302"/>
      <c r="AKV195" s="302"/>
      <c r="AKW195" s="302"/>
      <c r="AKX195" s="302"/>
      <c r="AKY195" s="302"/>
      <c r="AKZ195" s="302"/>
      <c r="ALA195" s="302"/>
      <c r="ALB195" s="302"/>
      <c r="ALC195" s="302"/>
      <c r="ALD195" s="302"/>
      <c r="ALE195" s="302"/>
      <c r="ALF195" s="302"/>
      <c r="ALG195" s="302"/>
      <c r="ALH195" s="302"/>
      <c r="ALI195" s="302"/>
      <c r="ALJ195" s="302"/>
      <c r="ALK195" s="302"/>
      <c r="ALL195" s="302"/>
      <c r="ALM195" s="302"/>
      <c r="ALN195" s="302"/>
      <c r="ALO195" s="302"/>
      <c r="ALP195" s="302"/>
      <c r="ALQ195" s="302"/>
      <c r="ALR195" s="302"/>
      <c r="ALS195" s="302"/>
      <c r="ALT195" s="302"/>
      <c r="ALU195" s="302"/>
      <c r="ALV195" s="302"/>
      <c r="ALW195" s="302"/>
      <c r="ALX195" s="302"/>
      <c r="ALY195" s="302"/>
      <c r="ALZ195" s="302"/>
      <c r="AMA195" s="302"/>
      <c r="AMB195" s="302"/>
      <c r="AMC195" s="302"/>
      <c r="AMD195" s="302"/>
      <c r="AME195" s="302"/>
      <c r="AMF195" s="302"/>
      <c r="AMG195" s="302"/>
      <c r="AMH195" s="302"/>
      <c r="AMI195" s="302"/>
    </row>
    <row r="196" spans="1:1023" hidden="1">
      <c r="A196" s="302"/>
      <c r="B196" s="315"/>
      <c r="C196" s="316"/>
      <c r="D196" s="316"/>
      <c r="E196" s="315"/>
      <c r="F196" s="247"/>
      <c r="G196" s="247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  <c r="AD196" s="302"/>
      <c r="AE196" s="302"/>
      <c r="AF196" s="302"/>
      <c r="AG196" s="302"/>
      <c r="AH196" s="302"/>
      <c r="AI196" s="302"/>
      <c r="AJ196" s="302"/>
      <c r="AK196" s="302"/>
      <c r="AL196" s="302"/>
      <c r="AM196" s="302"/>
      <c r="AN196" s="302"/>
      <c r="AO196" s="302"/>
      <c r="AP196" s="302"/>
      <c r="AQ196" s="302"/>
      <c r="AR196" s="302"/>
      <c r="AS196" s="302"/>
      <c r="AT196" s="302"/>
      <c r="AU196" s="302"/>
      <c r="AV196" s="302"/>
      <c r="AW196" s="302"/>
      <c r="AX196" s="302"/>
      <c r="AY196" s="302"/>
      <c r="AZ196" s="302"/>
      <c r="BA196" s="302"/>
      <c r="BB196" s="302"/>
      <c r="BC196" s="302"/>
      <c r="BD196" s="302"/>
      <c r="BE196" s="302"/>
      <c r="BF196" s="302"/>
      <c r="BG196" s="302"/>
      <c r="BH196" s="302"/>
      <c r="BI196" s="302"/>
      <c r="BJ196" s="302"/>
      <c r="BK196" s="302"/>
      <c r="BL196" s="302"/>
      <c r="BM196" s="302"/>
      <c r="BN196" s="302"/>
      <c r="BO196" s="302"/>
      <c r="BP196" s="302"/>
      <c r="BQ196" s="302"/>
      <c r="BR196" s="302"/>
      <c r="BS196" s="302"/>
      <c r="BT196" s="302"/>
      <c r="BU196" s="302"/>
      <c r="BV196" s="302"/>
      <c r="BW196" s="302"/>
      <c r="BX196" s="302"/>
      <c r="BY196" s="302"/>
      <c r="BZ196" s="302"/>
      <c r="CA196" s="302"/>
      <c r="CB196" s="302"/>
      <c r="CC196" s="302"/>
      <c r="CD196" s="302"/>
      <c r="CE196" s="302"/>
      <c r="CF196" s="302"/>
      <c r="CG196" s="302"/>
      <c r="CH196" s="302"/>
      <c r="CI196" s="302"/>
      <c r="CJ196" s="302"/>
      <c r="CK196" s="302"/>
      <c r="CL196" s="302"/>
      <c r="CM196" s="302"/>
      <c r="CN196" s="302"/>
      <c r="CO196" s="302"/>
      <c r="CP196" s="302"/>
      <c r="CQ196" s="302"/>
      <c r="CR196" s="302"/>
      <c r="CS196" s="302"/>
      <c r="CT196" s="302"/>
      <c r="CU196" s="302"/>
      <c r="CV196" s="302"/>
      <c r="CW196" s="302"/>
      <c r="CX196" s="302"/>
      <c r="CY196" s="302"/>
      <c r="CZ196" s="302"/>
      <c r="DA196" s="302"/>
      <c r="DB196" s="302"/>
      <c r="DC196" s="302"/>
      <c r="DD196" s="302"/>
      <c r="DE196" s="302"/>
      <c r="DF196" s="302"/>
      <c r="DG196" s="302"/>
      <c r="DH196" s="302"/>
      <c r="DI196" s="302"/>
      <c r="DJ196" s="302"/>
      <c r="DK196" s="302"/>
      <c r="DL196" s="302"/>
      <c r="DM196" s="302"/>
      <c r="DN196" s="302"/>
      <c r="DO196" s="302"/>
      <c r="DP196" s="302"/>
      <c r="DQ196" s="302"/>
      <c r="DR196" s="302"/>
      <c r="DS196" s="302"/>
      <c r="DT196" s="302"/>
      <c r="DU196" s="302"/>
      <c r="DV196" s="302"/>
      <c r="DW196" s="302"/>
      <c r="DX196" s="302"/>
      <c r="DY196" s="302"/>
      <c r="DZ196" s="302"/>
      <c r="EA196" s="302"/>
      <c r="EB196" s="302"/>
      <c r="EC196" s="302"/>
      <c r="ED196" s="302"/>
      <c r="EE196" s="302"/>
      <c r="EF196" s="302"/>
      <c r="EG196" s="302"/>
      <c r="EH196" s="302"/>
      <c r="EI196" s="302"/>
      <c r="EJ196" s="302"/>
      <c r="EK196" s="302"/>
      <c r="EL196" s="302"/>
      <c r="EM196" s="302"/>
      <c r="EN196" s="302"/>
      <c r="EO196" s="302"/>
      <c r="EP196" s="302"/>
      <c r="EQ196" s="302"/>
      <c r="ER196" s="302"/>
      <c r="ES196" s="302"/>
      <c r="ET196" s="302"/>
      <c r="EU196" s="302"/>
      <c r="EV196" s="302"/>
      <c r="EW196" s="302"/>
      <c r="EX196" s="302"/>
      <c r="EY196" s="302"/>
      <c r="EZ196" s="302"/>
      <c r="FA196" s="302"/>
      <c r="FB196" s="302"/>
      <c r="FC196" s="302"/>
      <c r="FD196" s="302"/>
      <c r="FE196" s="302"/>
      <c r="FF196" s="302"/>
      <c r="FG196" s="302"/>
      <c r="FH196" s="302"/>
      <c r="FI196" s="302"/>
      <c r="FJ196" s="302"/>
      <c r="FK196" s="302"/>
      <c r="FL196" s="302"/>
      <c r="FM196" s="302"/>
      <c r="FN196" s="302"/>
      <c r="FO196" s="302"/>
      <c r="FP196" s="302"/>
      <c r="FQ196" s="302"/>
      <c r="FR196" s="302"/>
      <c r="FS196" s="302"/>
      <c r="FT196" s="302"/>
      <c r="FU196" s="302"/>
      <c r="FV196" s="302"/>
      <c r="FW196" s="302"/>
      <c r="FX196" s="302"/>
      <c r="FY196" s="302"/>
      <c r="FZ196" s="302"/>
      <c r="GA196" s="302"/>
      <c r="GB196" s="302"/>
      <c r="GC196" s="302"/>
      <c r="GD196" s="302"/>
      <c r="GE196" s="302"/>
      <c r="GF196" s="302"/>
      <c r="GG196" s="302"/>
      <c r="GH196" s="302"/>
      <c r="GI196" s="302"/>
      <c r="GJ196" s="302"/>
      <c r="GK196" s="302"/>
      <c r="GL196" s="302"/>
      <c r="GM196" s="302"/>
      <c r="GN196" s="302"/>
      <c r="GO196" s="302"/>
      <c r="GP196" s="302"/>
      <c r="GQ196" s="302"/>
      <c r="GR196" s="302"/>
      <c r="GS196" s="302"/>
      <c r="GT196" s="302"/>
      <c r="GU196" s="302"/>
      <c r="GV196" s="302"/>
      <c r="GW196" s="302"/>
      <c r="GX196" s="302"/>
      <c r="GY196" s="302"/>
      <c r="GZ196" s="302"/>
      <c r="HA196" s="302"/>
      <c r="HB196" s="302"/>
      <c r="HC196" s="302"/>
      <c r="HD196" s="302"/>
      <c r="HE196" s="302"/>
      <c r="HF196" s="302"/>
      <c r="HG196" s="302"/>
      <c r="HH196" s="302"/>
      <c r="HI196" s="302"/>
      <c r="HJ196" s="302"/>
      <c r="HK196" s="302"/>
      <c r="HL196" s="302"/>
      <c r="HM196" s="302"/>
      <c r="HN196" s="302"/>
      <c r="HO196" s="302"/>
      <c r="HP196" s="302"/>
      <c r="HQ196" s="302"/>
      <c r="HR196" s="302"/>
      <c r="HS196" s="302"/>
      <c r="HT196" s="302"/>
      <c r="HU196" s="302"/>
      <c r="HV196" s="302"/>
      <c r="HW196" s="302"/>
      <c r="HX196" s="302"/>
      <c r="HY196" s="302"/>
      <c r="HZ196" s="302"/>
      <c r="IA196" s="302"/>
      <c r="IB196" s="302"/>
      <c r="IC196" s="302"/>
      <c r="ID196" s="302"/>
      <c r="IE196" s="302"/>
      <c r="IF196" s="302"/>
      <c r="IG196" s="302"/>
      <c r="IH196" s="302"/>
      <c r="II196" s="302"/>
      <c r="IJ196" s="302"/>
      <c r="IK196" s="302"/>
      <c r="IL196" s="302"/>
      <c r="IM196" s="302"/>
      <c r="IN196" s="302"/>
      <c r="IO196" s="302"/>
      <c r="IP196" s="302"/>
      <c r="IQ196" s="302"/>
      <c r="IR196" s="302"/>
      <c r="IS196" s="302"/>
      <c r="IT196" s="302"/>
      <c r="IU196" s="302"/>
      <c r="IV196" s="302"/>
      <c r="IW196" s="302"/>
      <c r="IX196" s="302"/>
      <c r="IY196" s="302"/>
      <c r="IZ196" s="302"/>
      <c r="JA196" s="302"/>
      <c r="JB196" s="302"/>
      <c r="JC196" s="302"/>
      <c r="JD196" s="302"/>
      <c r="JE196" s="302"/>
      <c r="JF196" s="302"/>
      <c r="JG196" s="302"/>
      <c r="JH196" s="302"/>
      <c r="JI196" s="302"/>
      <c r="JJ196" s="302"/>
      <c r="JK196" s="302"/>
      <c r="JL196" s="302"/>
      <c r="JM196" s="302"/>
      <c r="JN196" s="302"/>
      <c r="JO196" s="302"/>
      <c r="JP196" s="302"/>
      <c r="JQ196" s="302"/>
      <c r="JR196" s="302"/>
      <c r="JS196" s="302"/>
      <c r="JT196" s="302"/>
      <c r="JU196" s="302"/>
      <c r="JV196" s="302"/>
      <c r="JW196" s="302"/>
      <c r="JX196" s="302"/>
      <c r="JY196" s="302"/>
      <c r="JZ196" s="302"/>
      <c r="KA196" s="302"/>
      <c r="KB196" s="302"/>
      <c r="KC196" s="302"/>
      <c r="KD196" s="302"/>
      <c r="KE196" s="302"/>
      <c r="KF196" s="302"/>
      <c r="KG196" s="302"/>
      <c r="KH196" s="302"/>
      <c r="KI196" s="302"/>
      <c r="KJ196" s="302"/>
      <c r="KK196" s="302"/>
      <c r="KL196" s="302"/>
      <c r="KM196" s="302"/>
      <c r="KN196" s="302"/>
      <c r="KO196" s="302"/>
      <c r="KP196" s="302"/>
      <c r="KQ196" s="302"/>
      <c r="KR196" s="302"/>
      <c r="KS196" s="302"/>
      <c r="KT196" s="302"/>
      <c r="KU196" s="302"/>
      <c r="KV196" s="302"/>
      <c r="KW196" s="302"/>
      <c r="KX196" s="302"/>
      <c r="KY196" s="302"/>
      <c r="KZ196" s="302"/>
      <c r="LA196" s="302"/>
      <c r="LB196" s="302"/>
      <c r="LC196" s="302"/>
      <c r="LD196" s="302"/>
      <c r="LE196" s="302"/>
      <c r="LF196" s="302"/>
      <c r="LG196" s="302"/>
      <c r="LH196" s="302"/>
      <c r="LI196" s="302"/>
      <c r="LJ196" s="302"/>
      <c r="LK196" s="302"/>
      <c r="LL196" s="302"/>
      <c r="LM196" s="302"/>
      <c r="LN196" s="302"/>
      <c r="LO196" s="302"/>
      <c r="LP196" s="302"/>
      <c r="LQ196" s="302"/>
      <c r="LR196" s="302"/>
      <c r="LS196" s="302"/>
      <c r="LT196" s="302"/>
      <c r="LU196" s="302"/>
      <c r="LV196" s="302"/>
      <c r="LW196" s="302"/>
      <c r="LX196" s="302"/>
      <c r="LY196" s="302"/>
      <c r="LZ196" s="302"/>
      <c r="MA196" s="302"/>
      <c r="MB196" s="302"/>
      <c r="MC196" s="302"/>
      <c r="MD196" s="302"/>
      <c r="ME196" s="302"/>
      <c r="MF196" s="302"/>
      <c r="MG196" s="302"/>
      <c r="MH196" s="302"/>
      <c r="MI196" s="302"/>
      <c r="MJ196" s="302"/>
      <c r="MK196" s="302"/>
      <c r="ML196" s="302"/>
      <c r="MM196" s="302"/>
      <c r="MN196" s="302"/>
      <c r="MO196" s="302"/>
      <c r="MP196" s="302"/>
      <c r="MQ196" s="302"/>
      <c r="MR196" s="302"/>
      <c r="MS196" s="302"/>
      <c r="MT196" s="302"/>
      <c r="MU196" s="302"/>
      <c r="MV196" s="302"/>
      <c r="MW196" s="302"/>
      <c r="MX196" s="302"/>
      <c r="MY196" s="302"/>
      <c r="MZ196" s="302"/>
      <c r="NA196" s="302"/>
      <c r="NB196" s="302"/>
      <c r="NC196" s="302"/>
      <c r="ND196" s="302"/>
      <c r="NE196" s="302"/>
      <c r="NF196" s="302"/>
      <c r="NG196" s="302"/>
      <c r="NH196" s="302"/>
      <c r="NI196" s="302"/>
      <c r="NJ196" s="302"/>
      <c r="NK196" s="302"/>
      <c r="NL196" s="302"/>
      <c r="NM196" s="302"/>
      <c r="NN196" s="302"/>
      <c r="NO196" s="302"/>
      <c r="NP196" s="302"/>
      <c r="NQ196" s="302"/>
      <c r="NR196" s="302"/>
      <c r="NS196" s="302"/>
      <c r="NT196" s="302"/>
      <c r="NU196" s="302"/>
      <c r="NV196" s="302"/>
      <c r="NW196" s="302"/>
      <c r="NX196" s="302"/>
      <c r="NY196" s="302"/>
      <c r="NZ196" s="302"/>
      <c r="OA196" s="302"/>
      <c r="OB196" s="302"/>
      <c r="OC196" s="302"/>
      <c r="OD196" s="302"/>
      <c r="OE196" s="302"/>
      <c r="OF196" s="302"/>
      <c r="OG196" s="302"/>
      <c r="OH196" s="302"/>
      <c r="OI196" s="302"/>
      <c r="OJ196" s="302"/>
      <c r="OK196" s="302"/>
      <c r="OL196" s="302"/>
      <c r="OM196" s="302"/>
      <c r="ON196" s="302"/>
      <c r="OO196" s="302"/>
      <c r="OP196" s="302"/>
      <c r="OQ196" s="302"/>
      <c r="OR196" s="302"/>
      <c r="OS196" s="302"/>
      <c r="OT196" s="302"/>
      <c r="OU196" s="302"/>
      <c r="OV196" s="302"/>
      <c r="OW196" s="302"/>
      <c r="OX196" s="302"/>
      <c r="OY196" s="302"/>
      <c r="OZ196" s="302"/>
      <c r="PA196" s="302"/>
      <c r="PB196" s="302"/>
      <c r="PC196" s="302"/>
      <c r="PD196" s="302"/>
      <c r="PE196" s="302"/>
      <c r="PF196" s="302"/>
      <c r="PG196" s="302"/>
      <c r="PH196" s="302"/>
      <c r="PI196" s="302"/>
      <c r="PJ196" s="302"/>
      <c r="PK196" s="302"/>
      <c r="PL196" s="302"/>
      <c r="PM196" s="302"/>
      <c r="PN196" s="302"/>
      <c r="PO196" s="302"/>
      <c r="PP196" s="302"/>
      <c r="PQ196" s="302"/>
      <c r="PR196" s="302"/>
      <c r="PS196" s="302"/>
      <c r="PT196" s="302"/>
      <c r="PU196" s="302"/>
      <c r="PV196" s="302"/>
      <c r="PW196" s="302"/>
      <c r="PX196" s="302"/>
      <c r="PY196" s="302"/>
      <c r="PZ196" s="302"/>
      <c r="QA196" s="302"/>
      <c r="QB196" s="302"/>
      <c r="QC196" s="302"/>
      <c r="QD196" s="302"/>
      <c r="QE196" s="302"/>
      <c r="QF196" s="302"/>
      <c r="QG196" s="302"/>
      <c r="QH196" s="302"/>
      <c r="QI196" s="302"/>
      <c r="QJ196" s="302"/>
      <c r="QK196" s="302"/>
      <c r="QL196" s="302"/>
      <c r="QM196" s="302"/>
      <c r="QN196" s="302"/>
      <c r="QO196" s="302"/>
      <c r="QP196" s="302"/>
      <c r="QQ196" s="302"/>
      <c r="QR196" s="302"/>
      <c r="QS196" s="302"/>
      <c r="QT196" s="302"/>
      <c r="QU196" s="302"/>
      <c r="QV196" s="302"/>
      <c r="QW196" s="302"/>
      <c r="QX196" s="302"/>
      <c r="QY196" s="302"/>
      <c r="QZ196" s="302"/>
      <c r="RA196" s="302"/>
      <c r="RB196" s="302"/>
      <c r="RC196" s="302"/>
      <c r="RD196" s="302"/>
      <c r="RE196" s="302"/>
      <c r="RF196" s="302"/>
      <c r="RG196" s="302"/>
      <c r="RH196" s="302"/>
      <c r="RI196" s="302"/>
      <c r="RJ196" s="302"/>
      <c r="RK196" s="302"/>
      <c r="RL196" s="302"/>
      <c r="RM196" s="302"/>
      <c r="RN196" s="302"/>
      <c r="RO196" s="302"/>
      <c r="RP196" s="302"/>
      <c r="RQ196" s="302"/>
      <c r="RR196" s="302"/>
      <c r="RS196" s="302"/>
      <c r="RT196" s="302"/>
      <c r="RU196" s="302"/>
      <c r="RV196" s="302"/>
      <c r="RW196" s="302"/>
      <c r="RX196" s="302"/>
      <c r="RY196" s="302"/>
      <c r="RZ196" s="302"/>
      <c r="SA196" s="302"/>
      <c r="SB196" s="302"/>
      <c r="SC196" s="302"/>
      <c r="SD196" s="302"/>
      <c r="SE196" s="302"/>
      <c r="SF196" s="302"/>
      <c r="SG196" s="302"/>
      <c r="SH196" s="302"/>
      <c r="SI196" s="302"/>
      <c r="SJ196" s="302"/>
      <c r="SK196" s="302"/>
      <c r="SL196" s="302"/>
      <c r="SM196" s="302"/>
      <c r="SN196" s="302"/>
      <c r="SO196" s="302"/>
      <c r="SP196" s="302"/>
      <c r="SQ196" s="302"/>
      <c r="SR196" s="302"/>
      <c r="SS196" s="302"/>
      <c r="ST196" s="302"/>
      <c r="SU196" s="302"/>
      <c r="SV196" s="302"/>
      <c r="SW196" s="302"/>
      <c r="SX196" s="302"/>
      <c r="SY196" s="302"/>
      <c r="SZ196" s="302"/>
      <c r="TA196" s="302"/>
      <c r="TB196" s="302"/>
      <c r="TC196" s="302"/>
      <c r="TD196" s="302"/>
      <c r="TE196" s="302"/>
      <c r="TF196" s="302"/>
      <c r="TG196" s="302"/>
      <c r="TH196" s="302"/>
      <c r="TI196" s="302"/>
      <c r="TJ196" s="302"/>
      <c r="TK196" s="302"/>
      <c r="TL196" s="302"/>
      <c r="TM196" s="302"/>
      <c r="TN196" s="302"/>
      <c r="TO196" s="302"/>
      <c r="TP196" s="302"/>
      <c r="TQ196" s="302"/>
      <c r="TR196" s="302"/>
      <c r="TS196" s="302"/>
      <c r="TT196" s="302"/>
      <c r="TU196" s="302"/>
      <c r="TV196" s="302"/>
      <c r="TW196" s="302"/>
      <c r="TX196" s="302"/>
      <c r="TY196" s="302"/>
      <c r="TZ196" s="302"/>
      <c r="UA196" s="302"/>
      <c r="UB196" s="302"/>
      <c r="UC196" s="302"/>
      <c r="UD196" s="302"/>
      <c r="UE196" s="302"/>
      <c r="UF196" s="302"/>
      <c r="UG196" s="302"/>
      <c r="UH196" s="302"/>
      <c r="UI196" s="302"/>
      <c r="UJ196" s="302"/>
      <c r="UK196" s="302"/>
      <c r="UL196" s="302"/>
      <c r="UM196" s="302"/>
      <c r="UN196" s="302"/>
      <c r="UO196" s="302"/>
      <c r="UP196" s="302"/>
      <c r="UQ196" s="302"/>
      <c r="UR196" s="302"/>
      <c r="US196" s="302"/>
      <c r="UT196" s="302"/>
      <c r="UU196" s="302"/>
      <c r="UV196" s="302"/>
      <c r="UW196" s="302"/>
      <c r="UX196" s="302"/>
      <c r="UY196" s="302"/>
      <c r="UZ196" s="302"/>
      <c r="VA196" s="302"/>
      <c r="VB196" s="302"/>
      <c r="VC196" s="302"/>
      <c r="VD196" s="302"/>
      <c r="VE196" s="302"/>
      <c r="VF196" s="302"/>
      <c r="VG196" s="302"/>
      <c r="VH196" s="302"/>
      <c r="VI196" s="302"/>
      <c r="VJ196" s="302"/>
      <c r="VK196" s="302"/>
      <c r="VL196" s="302"/>
      <c r="VM196" s="302"/>
      <c r="VN196" s="302"/>
      <c r="VO196" s="302"/>
      <c r="VP196" s="302"/>
      <c r="VQ196" s="302"/>
      <c r="VR196" s="302"/>
      <c r="VS196" s="302"/>
      <c r="VT196" s="302"/>
      <c r="VU196" s="302"/>
      <c r="VV196" s="302"/>
      <c r="VW196" s="302"/>
      <c r="VX196" s="302"/>
      <c r="VY196" s="302"/>
      <c r="VZ196" s="302"/>
      <c r="WA196" s="302"/>
      <c r="WB196" s="302"/>
      <c r="WC196" s="302"/>
      <c r="WD196" s="302"/>
      <c r="WE196" s="302"/>
      <c r="WF196" s="302"/>
      <c r="WG196" s="302"/>
      <c r="WH196" s="302"/>
      <c r="WI196" s="302"/>
      <c r="WJ196" s="302"/>
      <c r="WK196" s="302"/>
      <c r="WL196" s="302"/>
      <c r="WM196" s="302"/>
      <c r="WN196" s="302"/>
      <c r="WO196" s="302"/>
      <c r="WP196" s="302"/>
      <c r="WQ196" s="302"/>
      <c r="WR196" s="302"/>
      <c r="WS196" s="302"/>
      <c r="WT196" s="302"/>
      <c r="WU196" s="302"/>
      <c r="WV196" s="302"/>
      <c r="WW196" s="302"/>
      <c r="WX196" s="302"/>
      <c r="WY196" s="302"/>
      <c r="WZ196" s="302"/>
      <c r="XA196" s="302"/>
      <c r="XB196" s="302"/>
      <c r="XC196" s="302"/>
      <c r="XD196" s="302"/>
      <c r="XE196" s="302"/>
      <c r="XF196" s="302"/>
      <c r="XG196" s="302"/>
      <c r="XH196" s="302"/>
      <c r="XI196" s="302"/>
      <c r="XJ196" s="302"/>
      <c r="XK196" s="302"/>
      <c r="XL196" s="302"/>
      <c r="XM196" s="302"/>
      <c r="XN196" s="302"/>
      <c r="XO196" s="302"/>
      <c r="XP196" s="302"/>
      <c r="XQ196" s="302"/>
      <c r="XR196" s="302"/>
      <c r="XS196" s="302"/>
      <c r="XT196" s="302"/>
      <c r="XU196" s="302"/>
      <c r="XV196" s="302"/>
      <c r="XW196" s="302"/>
      <c r="XX196" s="302"/>
      <c r="XY196" s="302"/>
      <c r="XZ196" s="302"/>
      <c r="YA196" s="302"/>
      <c r="YB196" s="302"/>
      <c r="YC196" s="302"/>
      <c r="YD196" s="302"/>
      <c r="YE196" s="302"/>
      <c r="YF196" s="302"/>
      <c r="YG196" s="302"/>
      <c r="YH196" s="302"/>
      <c r="YI196" s="302"/>
      <c r="YJ196" s="302"/>
      <c r="YK196" s="302"/>
      <c r="YL196" s="302"/>
      <c r="YM196" s="302"/>
      <c r="YN196" s="302"/>
      <c r="YO196" s="302"/>
      <c r="YP196" s="302"/>
      <c r="YQ196" s="302"/>
      <c r="YR196" s="302"/>
      <c r="YS196" s="302"/>
      <c r="YT196" s="302"/>
      <c r="YU196" s="302"/>
      <c r="YV196" s="302"/>
      <c r="YW196" s="302"/>
      <c r="YX196" s="302"/>
      <c r="YY196" s="302"/>
      <c r="YZ196" s="302"/>
      <c r="ZA196" s="302"/>
      <c r="ZB196" s="302"/>
      <c r="ZC196" s="302"/>
      <c r="ZD196" s="302"/>
      <c r="ZE196" s="302"/>
      <c r="ZF196" s="302"/>
      <c r="ZG196" s="302"/>
      <c r="ZH196" s="302"/>
      <c r="ZI196" s="302"/>
      <c r="ZJ196" s="302"/>
      <c r="ZK196" s="302"/>
      <c r="ZL196" s="302"/>
      <c r="ZM196" s="302"/>
      <c r="ZN196" s="302"/>
      <c r="ZO196" s="302"/>
      <c r="ZP196" s="302"/>
      <c r="ZQ196" s="302"/>
      <c r="ZR196" s="302"/>
      <c r="ZS196" s="302"/>
      <c r="ZT196" s="302"/>
      <c r="ZU196" s="302"/>
      <c r="ZV196" s="302"/>
      <c r="ZW196" s="302"/>
      <c r="ZX196" s="302"/>
      <c r="ZY196" s="302"/>
      <c r="ZZ196" s="302"/>
      <c r="AAA196" s="302"/>
      <c r="AAB196" s="302"/>
      <c r="AAC196" s="302"/>
      <c r="AAD196" s="302"/>
      <c r="AAE196" s="302"/>
      <c r="AAF196" s="302"/>
      <c r="AAG196" s="302"/>
      <c r="AAH196" s="302"/>
      <c r="AAI196" s="302"/>
      <c r="AAJ196" s="302"/>
      <c r="AAK196" s="302"/>
      <c r="AAL196" s="302"/>
      <c r="AAM196" s="302"/>
      <c r="AAN196" s="302"/>
      <c r="AAO196" s="302"/>
      <c r="AAP196" s="302"/>
      <c r="AAQ196" s="302"/>
      <c r="AAR196" s="302"/>
      <c r="AAS196" s="302"/>
      <c r="AAT196" s="302"/>
      <c r="AAU196" s="302"/>
      <c r="AAV196" s="302"/>
      <c r="AAW196" s="302"/>
      <c r="AAX196" s="302"/>
      <c r="AAY196" s="302"/>
      <c r="AAZ196" s="302"/>
      <c r="ABA196" s="302"/>
      <c r="ABB196" s="302"/>
      <c r="ABC196" s="302"/>
      <c r="ABD196" s="302"/>
      <c r="ABE196" s="302"/>
      <c r="ABF196" s="302"/>
      <c r="ABG196" s="302"/>
      <c r="ABH196" s="302"/>
      <c r="ABI196" s="302"/>
      <c r="ABJ196" s="302"/>
      <c r="ABK196" s="302"/>
      <c r="ABL196" s="302"/>
      <c r="ABM196" s="302"/>
      <c r="ABN196" s="302"/>
      <c r="ABO196" s="302"/>
      <c r="ABP196" s="302"/>
      <c r="ABQ196" s="302"/>
      <c r="ABR196" s="302"/>
      <c r="ABS196" s="302"/>
      <c r="ABT196" s="302"/>
      <c r="ABU196" s="302"/>
      <c r="ABV196" s="302"/>
      <c r="ABW196" s="302"/>
      <c r="ABX196" s="302"/>
      <c r="ABY196" s="302"/>
      <c r="ABZ196" s="302"/>
      <c r="ACA196" s="302"/>
      <c r="ACB196" s="302"/>
      <c r="ACC196" s="302"/>
      <c r="ACD196" s="302"/>
      <c r="ACE196" s="302"/>
      <c r="ACF196" s="302"/>
      <c r="ACG196" s="302"/>
      <c r="ACH196" s="302"/>
      <c r="ACI196" s="302"/>
      <c r="ACJ196" s="302"/>
      <c r="ACK196" s="302"/>
      <c r="ACL196" s="302"/>
      <c r="ACM196" s="302"/>
      <c r="ACN196" s="302"/>
      <c r="ACO196" s="302"/>
      <c r="ACP196" s="302"/>
      <c r="ACQ196" s="302"/>
      <c r="ACR196" s="302"/>
      <c r="ACS196" s="302"/>
      <c r="ACT196" s="302"/>
      <c r="ACU196" s="302"/>
      <c r="ACV196" s="302"/>
      <c r="ACW196" s="302"/>
      <c r="ACX196" s="302"/>
      <c r="ACY196" s="302"/>
      <c r="ACZ196" s="302"/>
      <c r="ADA196" s="302"/>
      <c r="ADB196" s="302"/>
      <c r="ADC196" s="302"/>
      <c r="ADD196" s="302"/>
      <c r="ADE196" s="302"/>
      <c r="ADF196" s="302"/>
      <c r="ADG196" s="302"/>
      <c r="ADH196" s="302"/>
      <c r="ADI196" s="302"/>
      <c r="ADJ196" s="302"/>
      <c r="ADK196" s="302"/>
      <c r="ADL196" s="302"/>
      <c r="ADM196" s="302"/>
      <c r="ADN196" s="302"/>
      <c r="ADO196" s="302"/>
      <c r="ADP196" s="302"/>
      <c r="ADQ196" s="302"/>
      <c r="ADR196" s="302"/>
      <c r="ADS196" s="302"/>
      <c r="ADT196" s="302"/>
      <c r="ADU196" s="302"/>
      <c r="ADV196" s="302"/>
      <c r="ADW196" s="302"/>
      <c r="ADX196" s="302"/>
      <c r="ADY196" s="302"/>
      <c r="ADZ196" s="302"/>
      <c r="AEA196" s="302"/>
      <c r="AEB196" s="302"/>
      <c r="AEC196" s="302"/>
      <c r="AED196" s="302"/>
      <c r="AEE196" s="302"/>
      <c r="AEF196" s="302"/>
      <c r="AEG196" s="302"/>
      <c r="AEH196" s="302"/>
      <c r="AEI196" s="302"/>
      <c r="AEJ196" s="302"/>
      <c r="AEK196" s="302"/>
      <c r="AEL196" s="302"/>
      <c r="AEM196" s="302"/>
      <c r="AEN196" s="302"/>
      <c r="AEO196" s="302"/>
      <c r="AEP196" s="302"/>
      <c r="AEQ196" s="302"/>
      <c r="AER196" s="302"/>
      <c r="AES196" s="302"/>
      <c r="AET196" s="302"/>
      <c r="AEU196" s="302"/>
      <c r="AEV196" s="302"/>
      <c r="AEW196" s="302"/>
      <c r="AEX196" s="302"/>
      <c r="AEY196" s="302"/>
      <c r="AEZ196" s="302"/>
      <c r="AFA196" s="302"/>
      <c r="AFB196" s="302"/>
      <c r="AFC196" s="302"/>
      <c r="AFD196" s="302"/>
      <c r="AFE196" s="302"/>
      <c r="AFF196" s="302"/>
      <c r="AFG196" s="302"/>
      <c r="AFH196" s="302"/>
      <c r="AFI196" s="302"/>
      <c r="AFJ196" s="302"/>
      <c r="AFK196" s="302"/>
      <c r="AFL196" s="302"/>
      <c r="AFM196" s="302"/>
      <c r="AFN196" s="302"/>
      <c r="AFO196" s="302"/>
      <c r="AFP196" s="302"/>
      <c r="AFQ196" s="302"/>
      <c r="AFR196" s="302"/>
      <c r="AFS196" s="302"/>
      <c r="AFT196" s="302"/>
      <c r="AFU196" s="302"/>
      <c r="AFV196" s="302"/>
      <c r="AFW196" s="302"/>
      <c r="AFX196" s="302"/>
      <c r="AFY196" s="302"/>
      <c r="AFZ196" s="302"/>
      <c r="AGA196" s="302"/>
      <c r="AGB196" s="302"/>
      <c r="AGC196" s="302"/>
      <c r="AGD196" s="302"/>
      <c r="AGE196" s="302"/>
      <c r="AGF196" s="302"/>
      <c r="AGG196" s="302"/>
      <c r="AGH196" s="302"/>
      <c r="AGI196" s="302"/>
      <c r="AGJ196" s="302"/>
      <c r="AGK196" s="302"/>
      <c r="AGL196" s="302"/>
      <c r="AGM196" s="302"/>
      <c r="AGN196" s="302"/>
      <c r="AGO196" s="302"/>
      <c r="AGP196" s="302"/>
      <c r="AGQ196" s="302"/>
      <c r="AGR196" s="302"/>
      <c r="AGS196" s="302"/>
      <c r="AGT196" s="302"/>
      <c r="AGU196" s="302"/>
      <c r="AGV196" s="302"/>
      <c r="AGW196" s="302"/>
      <c r="AGX196" s="302"/>
      <c r="AGY196" s="302"/>
      <c r="AGZ196" s="302"/>
      <c r="AHA196" s="302"/>
      <c r="AHB196" s="302"/>
      <c r="AHC196" s="302"/>
      <c r="AHD196" s="302"/>
      <c r="AHE196" s="302"/>
      <c r="AHF196" s="302"/>
      <c r="AHG196" s="302"/>
      <c r="AHH196" s="302"/>
      <c r="AHI196" s="302"/>
      <c r="AHJ196" s="302"/>
      <c r="AHK196" s="302"/>
      <c r="AHL196" s="302"/>
      <c r="AHM196" s="302"/>
      <c r="AHN196" s="302"/>
      <c r="AHO196" s="302"/>
      <c r="AHP196" s="302"/>
      <c r="AHQ196" s="302"/>
      <c r="AHR196" s="302"/>
      <c r="AHS196" s="302"/>
      <c r="AHT196" s="302"/>
      <c r="AHU196" s="302"/>
      <c r="AHV196" s="302"/>
      <c r="AHW196" s="302"/>
      <c r="AHX196" s="302"/>
      <c r="AHY196" s="302"/>
      <c r="AHZ196" s="302"/>
      <c r="AIA196" s="302"/>
      <c r="AIB196" s="302"/>
      <c r="AIC196" s="302"/>
      <c r="AID196" s="302"/>
      <c r="AIE196" s="302"/>
      <c r="AIF196" s="302"/>
      <c r="AIG196" s="302"/>
      <c r="AIH196" s="302"/>
      <c r="AII196" s="302"/>
      <c r="AIJ196" s="302"/>
      <c r="AIK196" s="302"/>
      <c r="AIL196" s="302"/>
      <c r="AIM196" s="302"/>
      <c r="AIN196" s="302"/>
      <c r="AIO196" s="302"/>
      <c r="AIP196" s="302"/>
      <c r="AIQ196" s="302"/>
      <c r="AIR196" s="302"/>
      <c r="AIS196" s="302"/>
      <c r="AIT196" s="302"/>
      <c r="AIU196" s="302"/>
      <c r="AIV196" s="302"/>
      <c r="AIW196" s="302"/>
      <c r="AIX196" s="302"/>
      <c r="AIY196" s="302"/>
      <c r="AIZ196" s="302"/>
      <c r="AJA196" s="302"/>
      <c r="AJB196" s="302"/>
      <c r="AJC196" s="302"/>
      <c r="AJD196" s="302"/>
      <c r="AJE196" s="302"/>
      <c r="AJF196" s="302"/>
      <c r="AJG196" s="302"/>
      <c r="AJH196" s="302"/>
      <c r="AJI196" s="302"/>
      <c r="AJJ196" s="302"/>
      <c r="AJK196" s="302"/>
      <c r="AJL196" s="302"/>
      <c r="AJM196" s="302"/>
      <c r="AJN196" s="302"/>
      <c r="AJO196" s="302"/>
      <c r="AJP196" s="302"/>
      <c r="AJQ196" s="302"/>
      <c r="AJR196" s="302"/>
      <c r="AJS196" s="302"/>
      <c r="AJT196" s="302"/>
      <c r="AJU196" s="302"/>
      <c r="AJV196" s="302"/>
      <c r="AJW196" s="302"/>
      <c r="AJX196" s="302"/>
      <c r="AJY196" s="302"/>
      <c r="AJZ196" s="302"/>
      <c r="AKA196" s="302"/>
      <c r="AKB196" s="302"/>
      <c r="AKC196" s="302"/>
      <c r="AKD196" s="302"/>
      <c r="AKE196" s="302"/>
      <c r="AKF196" s="302"/>
      <c r="AKG196" s="302"/>
      <c r="AKH196" s="302"/>
      <c r="AKI196" s="302"/>
      <c r="AKJ196" s="302"/>
      <c r="AKK196" s="302"/>
      <c r="AKL196" s="302"/>
      <c r="AKM196" s="302"/>
      <c r="AKN196" s="302"/>
      <c r="AKO196" s="302"/>
      <c r="AKP196" s="302"/>
      <c r="AKQ196" s="302"/>
      <c r="AKR196" s="302"/>
      <c r="AKS196" s="302"/>
      <c r="AKT196" s="302"/>
      <c r="AKU196" s="302"/>
      <c r="AKV196" s="302"/>
      <c r="AKW196" s="302"/>
      <c r="AKX196" s="302"/>
      <c r="AKY196" s="302"/>
      <c r="AKZ196" s="302"/>
      <c r="ALA196" s="302"/>
      <c r="ALB196" s="302"/>
      <c r="ALC196" s="302"/>
      <c r="ALD196" s="302"/>
      <c r="ALE196" s="302"/>
      <c r="ALF196" s="302"/>
      <c r="ALG196" s="302"/>
      <c r="ALH196" s="302"/>
      <c r="ALI196" s="302"/>
      <c r="ALJ196" s="302"/>
      <c r="ALK196" s="302"/>
      <c r="ALL196" s="302"/>
      <c r="ALM196" s="302"/>
      <c r="ALN196" s="302"/>
      <c r="ALO196" s="302"/>
      <c r="ALP196" s="302"/>
      <c r="ALQ196" s="302"/>
      <c r="ALR196" s="302"/>
      <c r="ALS196" s="302"/>
      <c r="ALT196" s="302"/>
      <c r="ALU196" s="302"/>
      <c r="ALV196" s="302"/>
      <c r="ALW196" s="302"/>
      <c r="ALX196" s="302"/>
      <c r="ALY196" s="302"/>
      <c r="ALZ196" s="302"/>
      <c r="AMA196" s="302"/>
      <c r="AMB196" s="302"/>
      <c r="AMC196" s="302"/>
      <c r="AMD196" s="302"/>
      <c r="AME196" s="302"/>
      <c r="AMF196" s="302"/>
      <c r="AMG196" s="302"/>
      <c r="AMH196" s="302"/>
      <c r="AMI196" s="302"/>
    </row>
    <row r="197" spans="1:1023" ht="18.75" hidden="1">
      <c r="A197" s="302"/>
      <c r="B197" s="304"/>
      <c r="C197" s="304"/>
      <c r="D197" s="305" t="s">
        <v>378</v>
      </c>
      <c r="E197" s="367">
        <f>SUM(E183:E195)</f>
        <v>28798350</v>
      </c>
      <c r="F197" s="317" t="s">
        <v>423</v>
      </c>
      <c r="G197" s="368">
        <f>SUM(G183:G195)</f>
        <v>488967</v>
      </c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  <c r="AD197" s="302"/>
      <c r="AE197" s="302"/>
      <c r="AF197" s="302"/>
      <c r="AG197" s="302"/>
      <c r="AH197" s="302"/>
      <c r="AI197" s="302"/>
      <c r="AJ197" s="302"/>
      <c r="AK197" s="302"/>
      <c r="AL197" s="302"/>
      <c r="AM197" s="302"/>
      <c r="AN197" s="302"/>
      <c r="AO197" s="302"/>
      <c r="AP197" s="302"/>
      <c r="AQ197" s="302"/>
      <c r="AR197" s="302"/>
      <c r="AS197" s="302"/>
      <c r="AT197" s="302"/>
      <c r="AU197" s="302"/>
      <c r="AV197" s="302"/>
      <c r="AW197" s="302"/>
      <c r="AX197" s="302"/>
      <c r="AY197" s="302"/>
      <c r="AZ197" s="302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K197" s="302"/>
      <c r="BL197" s="302"/>
      <c r="BM197" s="302"/>
      <c r="BN197" s="302"/>
      <c r="BO197" s="302"/>
      <c r="BP197" s="302"/>
      <c r="BQ197" s="302"/>
      <c r="BR197" s="302"/>
      <c r="BS197" s="302"/>
      <c r="BT197" s="302"/>
      <c r="BU197" s="302"/>
      <c r="BV197" s="302"/>
      <c r="BW197" s="302"/>
      <c r="BX197" s="302"/>
      <c r="BY197" s="302"/>
      <c r="BZ197" s="302"/>
      <c r="CA197" s="302"/>
      <c r="CB197" s="302"/>
      <c r="CC197" s="302"/>
      <c r="CD197" s="302"/>
      <c r="CE197" s="302"/>
      <c r="CF197" s="302"/>
      <c r="CG197" s="302"/>
      <c r="CH197" s="302"/>
      <c r="CI197" s="302"/>
      <c r="CJ197" s="302"/>
      <c r="CK197" s="302"/>
      <c r="CL197" s="302"/>
      <c r="CM197" s="302"/>
      <c r="CN197" s="302"/>
      <c r="CO197" s="302"/>
      <c r="CP197" s="302"/>
      <c r="CQ197" s="302"/>
      <c r="CR197" s="302"/>
      <c r="CS197" s="302"/>
      <c r="CT197" s="302"/>
      <c r="CU197" s="302"/>
      <c r="CV197" s="302"/>
      <c r="CW197" s="302"/>
      <c r="CX197" s="302"/>
      <c r="CY197" s="302"/>
      <c r="CZ197" s="302"/>
      <c r="DA197" s="302"/>
      <c r="DB197" s="302"/>
      <c r="DC197" s="302"/>
      <c r="DD197" s="302"/>
      <c r="DE197" s="302"/>
      <c r="DF197" s="302"/>
      <c r="DG197" s="302"/>
      <c r="DH197" s="302"/>
      <c r="DI197" s="302"/>
      <c r="DJ197" s="302"/>
      <c r="DK197" s="302"/>
      <c r="DL197" s="302"/>
      <c r="DM197" s="302"/>
      <c r="DN197" s="302"/>
      <c r="DO197" s="302"/>
      <c r="DP197" s="302"/>
      <c r="DQ197" s="302"/>
      <c r="DR197" s="302"/>
      <c r="DS197" s="302"/>
      <c r="DT197" s="302"/>
      <c r="DU197" s="302"/>
      <c r="DV197" s="302"/>
      <c r="DW197" s="302"/>
      <c r="DX197" s="302"/>
      <c r="DY197" s="302"/>
      <c r="DZ197" s="302"/>
      <c r="EA197" s="302"/>
      <c r="EB197" s="302"/>
      <c r="EC197" s="302"/>
      <c r="ED197" s="302"/>
      <c r="EE197" s="302"/>
      <c r="EF197" s="302"/>
      <c r="EG197" s="302"/>
      <c r="EH197" s="302"/>
      <c r="EI197" s="302"/>
      <c r="EJ197" s="302"/>
      <c r="EK197" s="302"/>
      <c r="EL197" s="302"/>
      <c r="EM197" s="302"/>
      <c r="EN197" s="302"/>
      <c r="EO197" s="302"/>
      <c r="EP197" s="302"/>
      <c r="EQ197" s="302"/>
      <c r="ER197" s="302"/>
      <c r="ES197" s="302"/>
      <c r="ET197" s="302"/>
      <c r="EU197" s="302"/>
      <c r="EV197" s="302"/>
      <c r="EW197" s="302"/>
      <c r="EX197" s="302"/>
      <c r="EY197" s="302"/>
      <c r="EZ197" s="302"/>
      <c r="FA197" s="302"/>
      <c r="FB197" s="302"/>
      <c r="FC197" s="302"/>
      <c r="FD197" s="302"/>
      <c r="FE197" s="302"/>
      <c r="FF197" s="302"/>
      <c r="FG197" s="302"/>
      <c r="FH197" s="302"/>
      <c r="FI197" s="302"/>
      <c r="FJ197" s="302"/>
      <c r="FK197" s="302"/>
      <c r="FL197" s="302"/>
      <c r="FM197" s="302"/>
      <c r="FN197" s="302"/>
      <c r="FO197" s="302"/>
      <c r="FP197" s="302"/>
      <c r="FQ197" s="302"/>
      <c r="FR197" s="302"/>
      <c r="FS197" s="302"/>
      <c r="FT197" s="302"/>
      <c r="FU197" s="302"/>
      <c r="FV197" s="302"/>
      <c r="FW197" s="302"/>
      <c r="FX197" s="302"/>
      <c r="FY197" s="302"/>
      <c r="FZ197" s="302"/>
      <c r="GA197" s="302"/>
      <c r="GB197" s="302"/>
      <c r="GC197" s="302"/>
      <c r="GD197" s="302"/>
      <c r="GE197" s="302"/>
      <c r="GF197" s="302"/>
      <c r="GG197" s="302"/>
      <c r="GH197" s="302"/>
      <c r="GI197" s="302"/>
      <c r="GJ197" s="302"/>
      <c r="GK197" s="302"/>
      <c r="GL197" s="302"/>
      <c r="GM197" s="302"/>
      <c r="GN197" s="302"/>
      <c r="GO197" s="302"/>
      <c r="GP197" s="302"/>
      <c r="GQ197" s="302"/>
      <c r="GR197" s="302"/>
      <c r="GS197" s="302"/>
      <c r="GT197" s="302"/>
      <c r="GU197" s="302"/>
      <c r="GV197" s="302"/>
      <c r="GW197" s="302"/>
      <c r="GX197" s="302"/>
      <c r="GY197" s="302"/>
      <c r="GZ197" s="302"/>
      <c r="HA197" s="302"/>
      <c r="HB197" s="302"/>
      <c r="HC197" s="302"/>
      <c r="HD197" s="302"/>
      <c r="HE197" s="302"/>
      <c r="HF197" s="302"/>
      <c r="HG197" s="302"/>
      <c r="HH197" s="302"/>
      <c r="HI197" s="302"/>
      <c r="HJ197" s="302"/>
      <c r="HK197" s="302"/>
      <c r="HL197" s="302"/>
      <c r="HM197" s="302"/>
      <c r="HN197" s="302"/>
      <c r="HO197" s="302"/>
      <c r="HP197" s="302"/>
      <c r="HQ197" s="302"/>
      <c r="HR197" s="302"/>
      <c r="HS197" s="302"/>
      <c r="HT197" s="302"/>
      <c r="HU197" s="302"/>
      <c r="HV197" s="302"/>
      <c r="HW197" s="302"/>
      <c r="HX197" s="302"/>
      <c r="HY197" s="302"/>
      <c r="HZ197" s="302"/>
      <c r="IA197" s="302"/>
      <c r="IB197" s="302"/>
      <c r="IC197" s="302"/>
      <c r="ID197" s="302"/>
      <c r="IE197" s="302"/>
      <c r="IF197" s="302"/>
      <c r="IG197" s="302"/>
      <c r="IH197" s="302"/>
      <c r="II197" s="302"/>
      <c r="IJ197" s="302"/>
      <c r="IK197" s="302"/>
      <c r="IL197" s="302"/>
      <c r="IM197" s="302"/>
      <c r="IN197" s="302"/>
      <c r="IO197" s="302"/>
      <c r="IP197" s="302"/>
      <c r="IQ197" s="302"/>
      <c r="IR197" s="302"/>
      <c r="IS197" s="302"/>
      <c r="IT197" s="302"/>
      <c r="IU197" s="302"/>
      <c r="IV197" s="302"/>
      <c r="IW197" s="302"/>
      <c r="IX197" s="302"/>
      <c r="IY197" s="302"/>
      <c r="IZ197" s="302"/>
      <c r="JA197" s="302"/>
      <c r="JB197" s="302"/>
      <c r="JC197" s="302"/>
      <c r="JD197" s="302"/>
      <c r="JE197" s="302"/>
      <c r="JF197" s="302"/>
      <c r="JG197" s="302"/>
      <c r="JH197" s="302"/>
      <c r="JI197" s="302"/>
      <c r="JJ197" s="302"/>
      <c r="JK197" s="302"/>
      <c r="JL197" s="302"/>
      <c r="JM197" s="302"/>
      <c r="JN197" s="302"/>
      <c r="JO197" s="302"/>
      <c r="JP197" s="302"/>
      <c r="JQ197" s="302"/>
      <c r="JR197" s="302"/>
      <c r="JS197" s="302"/>
      <c r="JT197" s="302"/>
      <c r="JU197" s="302"/>
      <c r="JV197" s="302"/>
      <c r="JW197" s="302"/>
      <c r="JX197" s="302"/>
      <c r="JY197" s="302"/>
      <c r="JZ197" s="302"/>
      <c r="KA197" s="302"/>
      <c r="KB197" s="302"/>
      <c r="KC197" s="302"/>
      <c r="KD197" s="302"/>
      <c r="KE197" s="302"/>
      <c r="KF197" s="302"/>
      <c r="KG197" s="302"/>
      <c r="KH197" s="302"/>
      <c r="KI197" s="302"/>
      <c r="KJ197" s="302"/>
      <c r="KK197" s="302"/>
      <c r="KL197" s="302"/>
      <c r="KM197" s="302"/>
      <c r="KN197" s="302"/>
      <c r="KO197" s="302"/>
      <c r="KP197" s="302"/>
      <c r="KQ197" s="302"/>
      <c r="KR197" s="302"/>
      <c r="KS197" s="302"/>
      <c r="KT197" s="302"/>
      <c r="KU197" s="302"/>
      <c r="KV197" s="302"/>
      <c r="KW197" s="302"/>
      <c r="KX197" s="302"/>
      <c r="KY197" s="302"/>
      <c r="KZ197" s="302"/>
      <c r="LA197" s="302"/>
      <c r="LB197" s="302"/>
      <c r="LC197" s="302"/>
      <c r="LD197" s="302"/>
      <c r="LE197" s="302"/>
      <c r="LF197" s="302"/>
      <c r="LG197" s="302"/>
      <c r="LH197" s="302"/>
      <c r="LI197" s="302"/>
      <c r="LJ197" s="302"/>
      <c r="LK197" s="302"/>
      <c r="LL197" s="302"/>
      <c r="LM197" s="302"/>
      <c r="LN197" s="302"/>
      <c r="LO197" s="302"/>
      <c r="LP197" s="302"/>
      <c r="LQ197" s="302"/>
      <c r="LR197" s="302"/>
      <c r="LS197" s="302"/>
      <c r="LT197" s="302"/>
      <c r="LU197" s="302"/>
      <c r="LV197" s="302"/>
      <c r="LW197" s="302"/>
      <c r="LX197" s="302"/>
      <c r="LY197" s="302"/>
      <c r="LZ197" s="302"/>
      <c r="MA197" s="302"/>
      <c r="MB197" s="302"/>
      <c r="MC197" s="302"/>
      <c r="MD197" s="302"/>
      <c r="ME197" s="302"/>
      <c r="MF197" s="302"/>
      <c r="MG197" s="302"/>
      <c r="MH197" s="302"/>
      <c r="MI197" s="302"/>
      <c r="MJ197" s="302"/>
      <c r="MK197" s="302"/>
      <c r="ML197" s="302"/>
      <c r="MM197" s="302"/>
      <c r="MN197" s="302"/>
      <c r="MO197" s="302"/>
      <c r="MP197" s="302"/>
      <c r="MQ197" s="302"/>
      <c r="MR197" s="302"/>
      <c r="MS197" s="302"/>
      <c r="MT197" s="302"/>
      <c r="MU197" s="302"/>
      <c r="MV197" s="302"/>
      <c r="MW197" s="302"/>
      <c r="MX197" s="302"/>
      <c r="MY197" s="302"/>
      <c r="MZ197" s="302"/>
      <c r="NA197" s="302"/>
      <c r="NB197" s="302"/>
      <c r="NC197" s="302"/>
      <c r="ND197" s="302"/>
      <c r="NE197" s="302"/>
      <c r="NF197" s="302"/>
      <c r="NG197" s="302"/>
      <c r="NH197" s="302"/>
      <c r="NI197" s="302"/>
      <c r="NJ197" s="302"/>
      <c r="NK197" s="302"/>
      <c r="NL197" s="302"/>
      <c r="NM197" s="302"/>
      <c r="NN197" s="302"/>
      <c r="NO197" s="302"/>
      <c r="NP197" s="302"/>
      <c r="NQ197" s="302"/>
      <c r="NR197" s="302"/>
      <c r="NS197" s="302"/>
      <c r="NT197" s="302"/>
      <c r="NU197" s="302"/>
      <c r="NV197" s="302"/>
      <c r="NW197" s="302"/>
      <c r="NX197" s="302"/>
      <c r="NY197" s="302"/>
      <c r="NZ197" s="302"/>
      <c r="OA197" s="302"/>
      <c r="OB197" s="302"/>
      <c r="OC197" s="302"/>
      <c r="OD197" s="302"/>
      <c r="OE197" s="302"/>
      <c r="OF197" s="302"/>
      <c r="OG197" s="302"/>
      <c r="OH197" s="302"/>
      <c r="OI197" s="302"/>
      <c r="OJ197" s="302"/>
      <c r="OK197" s="302"/>
      <c r="OL197" s="302"/>
      <c r="OM197" s="302"/>
      <c r="ON197" s="302"/>
      <c r="OO197" s="302"/>
      <c r="OP197" s="302"/>
      <c r="OQ197" s="302"/>
      <c r="OR197" s="302"/>
      <c r="OS197" s="302"/>
      <c r="OT197" s="302"/>
      <c r="OU197" s="302"/>
      <c r="OV197" s="302"/>
      <c r="OW197" s="302"/>
      <c r="OX197" s="302"/>
      <c r="OY197" s="302"/>
      <c r="OZ197" s="302"/>
      <c r="PA197" s="302"/>
      <c r="PB197" s="302"/>
      <c r="PC197" s="302"/>
      <c r="PD197" s="302"/>
      <c r="PE197" s="302"/>
      <c r="PF197" s="302"/>
      <c r="PG197" s="302"/>
      <c r="PH197" s="302"/>
      <c r="PI197" s="302"/>
      <c r="PJ197" s="302"/>
      <c r="PK197" s="302"/>
      <c r="PL197" s="302"/>
      <c r="PM197" s="302"/>
      <c r="PN197" s="302"/>
      <c r="PO197" s="302"/>
      <c r="PP197" s="302"/>
      <c r="PQ197" s="302"/>
      <c r="PR197" s="302"/>
      <c r="PS197" s="302"/>
      <c r="PT197" s="302"/>
      <c r="PU197" s="302"/>
      <c r="PV197" s="302"/>
      <c r="PW197" s="302"/>
      <c r="PX197" s="302"/>
      <c r="PY197" s="302"/>
      <c r="PZ197" s="302"/>
      <c r="QA197" s="302"/>
      <c r="QB197" s="302"/>
      <c r="QC197" s="302"/>
      <c r="QD197" s="302"/>
      <c r="QE197" s="302"/>
      <c r="QF197" s="302"/>
      <c r="QG197" s="302"/>
      <c r="QH197" s="302"/>
      <c r="QI197" s="302"/>
      <c r="QJ197" s="302"/>
      <c r="QK197" s="302"/>
      <c r="QL197" s="302"/>
      <c r="QM197" s="302"/>
      <c r="QN197" s="302"/>
      <c r="QO197" s="302"/>
      <c r="QP197" s="302"/>
      <c r="QQ197" s="302"/>
      <c r="QR197" s="302"/>
      <c r="QS197" s="302"/>
      <c r="QT197" s="302"/>
      <c r="QU197" s="302"/>
      <c r="QV197" s="302"/>
      <c r="QW197" s="302"/>
      <c r="QX197" s="302"/>
      <c r="QY197" s="302"/>
      <c r="QZ197" s="302"/>
      <c r="RA197" s="302"/>
      <c r="RB197" s="302"/>
      <c r="RC197" s="302"/>
      <c r="RD197" s="302"/>
      <c r="RE197" s="302"/>
      <c r="RF197" s="302"/>
      <c r="RG197" s="302"/>
      <c r="RH197" s="302"/>
      <c r="RI197" s="302"/>
      <c r="RJ197" s="302"/>
      <c r="RK197" s="302"/>
      <c r="RL197" s="302"/>
      <c r="RM197" s="302"/>
      <c r="RN197" s="302"/>
      <c r="RO197" s="302"/>
      <c r="RP197" s="302"/>
      <c r="RQ197" s="302"/>
      <c r="RR197" s="302"/>
      <c r="RS197" s="302"/>
      <c r="RT197" s="302"/>
      <c r="RU197" s="302"/>
      <c r="RV197" s="302"/>
      <c r="RW197" s="302"/>
      <c r="RX197" s="302"/>
      <c r="RY197" s="302"/>
      <c r="RZ197" s="302"/>
      <c r="SA197" s="302"/>
      <c r="SB197" s="302"/>
      <c r="SC197" s="302"/>
      <c r="SD197" s="302"/>
      <c r="SE197" s="302"/>
      <c r="SF197" s="302"/>
      <c r="SG197" s="302"/>
      <c r="SH197" s="302"/>
      <c r="SI197" s="302"/>
      <c r="SJ197" s="302"/>
      <c r="SK197" s="302"/>
      <c r="SL197" s="302"/>
      <c r="SM197" s="302"/>
      <c r="SN197" s="302"/>
      <c r="SO197" s="302"/>
      <c r="SP197" s="302"/>
      <c r="SQ197" s="302"/>
      <c r="SR197" s="302"/>
      <c r="SS197" s="302"/>
      <c r="ST197" s="302"/>
      <c r="SU197" s="302"/>
      <c r="SV197" s="302"/>
      <c r="SW197" s="302"/>
      <c r="SX197" s="302"/>
      <c r="SY197" s="302"/>
      <c r="SZ197" s="302"/>
      <c r="TA197" s="302"/>
      <c r="TB197" s="302"/>
      <c r="TC197" s="302"/>
      <c r="TD197" s="302"/>
      <c r="TE197" s="302"/>
      <c r="TF197" s="302"/>
      <c r="TG197" s="302"/>
      <c r="TH197" s="302"/>
      <c r="TI197" s="302"/>
      <c r="TJ197" s="302"/>
      <c r="TK197" s="302"/>
      <c r="TL197" s="302"/>
      <c r="TM197" s="302"/>
      <c r="TN197" s="302"/>
      <c r="TO197" s="302"/>
      <c r="TP197" s="302"/>
      <c r="TQ197" s="302"/>
      <c r="TR197" s="302"/>
      <c r="TS197" s="302"/>
      <c r="TT197" s="302"/>
      <c r="TU197" s="302"/>
      <c r="TV197" s="302"/>
      <c r="TW197" s="302"/>
      <c r="TX197" s="302"/>
      <c r="TY197" s="302"/>
      <c r="TZ197" s="302"/>
      <c r="UA197" s="302"/>
      <c r="UB197" s="302"/>
      <c r="UC197" s="302"/>
      <c r="UD197" s="302"/>
      <c r="UE197" s="302"/>
      <c r="UF197" s="302"/>
      <c r="UG197" s="302"/>
      <c r="UH197" s="302"/>
      <c r="UI197" s="302"/>
      <c r="UJ197" s="302"/>
      <c r="UK197" s="302"/>
      <c r="UL197" s="302"/>
      <c r="UM197" s="302"/>
      <c r="UN197" s="302"/>
      <c r="UO197" s="302"/>
      <c r="UP197" s="302"/>
      <c r="UQ197" s="302"/>
      <c r="UR197" s="302"/>
      <c r="US197" s="302"/>
      <c r="UT197" s="302"/>
      <c r="UU197" s="302"/>
      <c r="UV197" s="302"/>
      <c r="UW197" s="302"/>
      <c r="UX197" s="302"/>
      <c r="UY197" s="302"/>
      <c r="UZ197" s="302"/>
      <c r="VA197" s="302"/>
      <c r="VB197" s="302"/>
      <c r="VC197" s="302"/>
      <c r="VD197" s="302"/>
      <c r="VE197" s="302"/>
      <c r="VF197" s="302"/>
      <c r="VG197" s="302"/>
      <c r="VH197" s="302"/>
      <c r="VI197" s="302"/>
      <c r="VJ197" s="302"/>
      <c r="VK197" s="302"/>
      <c r="VL197" s="302"/>
      <c r="VM197" s="302"/>
      <c r="VN197" s="302"/>
      <c r="VO197" s="302"/>
      <c r="VP197" s="302"/>
      <c r="VQ197" s="302"/>
      <c r="VR197" s="302"/>
      <c r="VS197" s="302"/>
      <c r="VT197" s="302"/>
      <c r="VU197" s="302"/>
      <c r="VV197" s="302"/>
      <c r="VW197" s="302"/>
      <c r="VX197" s="302"/>
      <c r="VY197" s="302"/>
      <c r="VZ197" s="302"/>
      <c r="WA197" s="302"/>
      <c r="WB197" s="302"/>
      <c r="WC197" s="302"/>
      <c r="WD197" s="302"/>
      <c r="WE197" s="302"/>
      <c r="WF197" s="302"/>
      <c r="WG197" s="302"/>
      <c r="WH197" s="302"/>
      <c r="WI197" s="302"/>
      <c r="WJ197" s="302"/>
      <c r="WK197" s="302"/>
      <c r="WL197" s="302"/>
      <c r="WM197" s="302"/>
      <c r="WN197" s="302"/>
      <c r="WO197" s="302"/>
      <c r="WP197" s="302"/>
      <c r="WQ197" s="302"/>
      <c r="WR197" s="302"/>
      <c r="WS197" s="302"/>
      <c r="WT197" s="302"/>
      <c r="WU197" s="302"/>
      <c r="WV197" s="302"/>
      <c r="WW197" s="302"/>
      <c r="WX197" s="302"/>
      <c r="WY197" s="302"/>
      <c r="WZ197" s="302"/>
      <c r="XA197" s="302"/>
      <c r="XB197" s="302"/>
      <c r="XC197" s="302"/>
      <c r="XD197" s="302"/>
      <c r="XE197" s="302"/>
      <c r="XF197" s="302"/>
      <c r="XG197" s="302"/>
      <c r="XH197" s="302"/>
      <c r="XI197" s="302"/>
      <c r="XJ197" s="302"/>
      <c r="XK197" s="302"/>
      <c r="XL197" s="302"/>
      <c r="XM197" s="302"/>
      <c r="XN197" s="302"/>
      <c r="XO197" s="302"/>
      <c r="XP197" s="302"/>
      <c r="XQ197" s="302"/>
      <c r="XR197" s="302"/>
      <c r="XS197" s="302"/>
      <c r="XT197" s="302"/>
      <c r="XU197" s="302"/>
      <c r="XV197" s="302"/>
      <c r="XW197" s="302"/>
      <c r="XX197" s="302"/>
      <c r="XY197" s="302"/>
      <c r="XZ197" s="302"/>
      <c r="YA197" s="302"/>
      <c r="YB197" s="302"/>
      <c r="YC197" s="302"/>
      <c r="YD197" s="302"/>
      <c r="YE197" s="302"/>
      <c r="YF197" s="302"/>
      <c r="YG197" s="302"/>
      <c r="YH197" s="302"/>
      <c r="YI197" s="302"/>
      <c r="YJ197" s="302"/>
      <c r="YK197" s="302"/>
      <c r="YL197" s="302"/>
      <c r="YM197" s="302"/>
      <c r="YN197" s="302"/>
      <c r="YO197" s="302"/>
      <c r="YP197" s="302"/>
      <c r="YQ197" s="302"/>
      <c r="YR197" s="302"/>
      <c r="YS197" s="302"/>
      <c r="YT197" s="302"/>
      <c r="YU197" s="302"/>
      <c r="YV197" s="302"/>
      <c r="YW197" s="302"/>
      <c r="YX197" s="302"/>
      <c r="YY197" s="302"/>
      <c r="YZ197" s="302"/>
      <c r="ZA197" s="302"/>
      <c r="ZB197" s="302"/>
      <c r="ZC197" s="302"/>
      <c r="ZD197" s="302"/>
      <c r="ZE197" s="302"/>
      <c r="ZF197" s="302"/>
      <c r="ZG197" s="302"/>
      <c r="ZH197" s="302"/>
      <c r="ZI197" s="302"/>
      <c r="ZJ197" s="302"/>
      <c r="ZK197" s="302"/>
      <c r="ZL197" s="302"/>
      <c r="ZM197" s="302"/>
      <c r="ZN197" s="302"/>
      <c r="ZO197" s="302"/>
      <c r="ZP197" s="302"/>
      <c r="ZQ197" s="302"/>
      <c r="ZR197" s="302"/>
      <c r="ZS197" s="302"/>
      <c r="ZT197" s="302"/>
      <c r="ZU197" s="302"/>
      <c r="ZV197" s="302"/>
      <c r="ZW197" s="302"/>
      <c r="ZX197" s="302"/>
      <c r="ZY197" s="302"/>
      <c r="ZZ197" s="302"/>
      <c r="AAA197" s="302"/>
      <c r="AAB197" s="302"/>
      <c r="AAC197" s="302"/>
      <c r="AAD197" s="302"/>
      <c r="AAE197" s="302"/>
      <c r="AAF197" s="302"/>
      <c r="AAG197" s="302"/>
      <c r="AAH197" s="302"/>
      <c r="AAI197" s="302"/>
      <c r="AAJ197" s="302"/>
      <c r="AAK197" s="302"/>
      <c r="AAL197" s="302"/>
      <c r="AAM197" s="302"/>
      <c r="AAN197" s="302"/>
      <c r="AAO197" s="302"/>
      <c r="AAP197" s="302"/>
      <c r="AAQ197" s="302"/>
      <c r="AAR197" s="302"/>
      <c r="AAS197" s="302"/>
      <c r="AAT197" s="302"/>
      <c r="AAU197" s="302"/>
      <c r="AAV197" s="302"/>
      <c r="AAW197" s="302"/>
      <c r="AAX197" s="302"/>
      <c r="AAY197" s="302"/>
      <c r="AAZ197" s="302"/>
      <c r="ABA197" s="302"/>
      <c r="ABB197" s="302"/>
      <c r="ABC197" s="302"/>
      <c r="ABD197" s="302"/>
      <c r="ABE197" s="302"/>
      <c r="ABF197" s="302"/>
      <c r="ABG197" s="302"/>
      <c r="ABH197" s="302"/>
      <c r="ABI197" s="302"/>
      <c r="ABJ197" s="302"/>
      <c r="ABK197" s="302"/>
      <c r="ABL197" s="302"/>
      <c r="ABM197" s="302"/>
      <c r="ABN197" s="302"/>
      <c r="ABO197" s="302"/>
      <c r="ABP197" s="302"/>
      <c r="ABQ197" s="302"/>
      <c r="ABR197" s="302"/>
      <c r="ABS197" s="302"/>
      <c r="ABT197" s="302"/>
      <c r="ABU197" s="302"/>
      <c r="ABV197" s="302"/>
      <c r="ABW197" s="302"/>
      <c r="ABX197" s="302"/>
      <c r="ABY197" s="302"/>
      <c r="ABZ197" s="302"/>
      <c r="ACA197" s="302"/>
      <c r="ACB197" s="302"/>
      <c r="ACC197" s="302"/>
      <c r="ACD197" s="302"/>
      <c r="ACE197" s="302"/>
      <c r="ACF197" s="302"/>
      <c r="ACG197" s="302"/>
      <c r="ACH197" s="302"/>
      <c r="ACI197" s="302"/>
      <c r="ACJ197" s="302"/>
      <c r="ACK197" s="302"/>
      <c r="ACL197" s="302"/>
      <c r="ACM197" s="302"/>
      <c r="ACN197" s="302"/>
      <c r="ACO197" s="302"/>
      <c r="ACP197" s="302"/>
      <c r="ACQ197" s="302"/>
      <c r="ACR197" s="302"/>
      <c r="ACS197" s="302"/>
      <c r="ACT197" s="302"/>
      <c r="ACU197" s="302"/>
      <c r="ACV197" s="302"/>
      <c r="ACW197" s="302"/>
      <c r="ACX197" s="302"/>
      <c r="ACY197" s="302"/>
      <c r="ACZ197" s="302"/>
      <c r="ADA197" s="302"/>
      <c r="ADB197" s="302"/>
      <c r="ADC197" s="302"/>
      <c r="ADD197" s="302"/>
      <c r="ADE197" s="302"/>
      <c r="ADF197" s="302"/>
      <c r="ADG197" s="302"/>
      <c r="ADH197" s="302"/>
      <c r="ADI197" s="302"/>
      <c r="ADJ197" s="302"/>
      <c r="ADK197" s="302"/>
      <c r="ADL197" s="302"/>
      <c r="ADM197" s="302"/>
      <c r="ADN197" s="302"/>
      <c r="ADO197" s="302"/>
      <c r="ADP197" s="302"/>
      <c r="ADQ197" s="302"/>
      <c r="ADR197" s="302"/>
      <c r="ADS197" s="302"/>
      <c r="ADT197" s="302"/>
      <c r="ADU197" s="302"/>
      <c r="ADV197" s="302"/>
      <c r="ADW197" s="302"/>
      <c r="ADX197" s="302"/>
      <c r="ADY197" s="302"/>
      <c r="ADZ197" s="302"/>
      <c r="AEA197" s="302"/>
      <c r="AEB197" s="302"/>
      <c r="AEC197" s="302"/>
      <c r="AED197" s="302"/>
      <c r="AEE197" s="302"/>
      <c r="AEF197" s="302"/>
      <c r="AEG197" s="302"/>
      <c r="AEH197" s="302"/>
      <c r="AEI197" s="302"/>
      <c r="AEJ197" s="302"/>
      <c r="AEK197" s="302"/>
      <c r="AEL197" s="302"/>
      <c r="AEM197" s="302"/>
      <c r="AEN197" s="302"/>
      <c r="AEO197" s="302"/>
      <c r="AEP197" s="302"/>
      <c r="AEQ197" s="302"/>
      <c r="AER197" s="302"/>
      <c r="AES197" s="302"/>
      <c r="AET197" s="302"/>
      <c r="AEU197" s="302"/>
      <c r="AEV197" s="302"/>
      <c r="AEW197" s="302"/>
      <c r="AEX197" s="302"/>
      <c r="AEY197" s="302"/>
      <c r="AEZ197" s="302"/>
      <c r="AFA197" s="302"/>
      <c r="AFB197" s="302"/>
      <c r="AFC197" s="302"/>
      <c r="AFD197" s="302"/>
      <c r="AFE197" s="302"/>
      <c r="AFF197" s="302"/>
      <c r="AFG197" s="302"/>
      <c r="AFH197" s="302"/>
      <c r="AFI197" s="302"/>
      <c r="AFJ197" s="302"/>
      <c r="AFK197" s="302"/>
      <c r="AFL197" s="302"/>
      <c r="AFM197" s="302"/>
      <c r="AFN197" s="302"/>
      <c r="AFO197" s="302"/>
      <c r="AFP197" s="302"/>
      <c r="AFQ197" s="302"/>
      <c r="AFR197" s="302"/>
      <c r="AFS197" s="302"/>
      <c r="AFT197" s="302"/>
      <c r="AFU197" s="302"/>
      <c r="AFV197" s="302"/>
      <c r="AFW197" s="302"/>
      <c r="AFX197" s="302"/>
      <c r="AFY197" s="302"/>
      <c r="AFZ197" s="302"/>
      <c r="AGA197" s="302"/>
      <c r="AGB197" s="302"/>
      <c r="AGC197" s="302"/>
      <c r="AGD197" s="302"/>
      <c r="AGE197" s="302"/>
      <c r="AGF197" s="302"/>
      <c r="AGG197" s="302"/>
      <c r="AGH197" s="302"/>
      <c r="AGI197" s="302"/>
      <c r="AGJ197" s="302"/>
      <c r="AGK197" s="302"/>
      <c r="AGL197" s="302"/>
      <c r="AGM197" s="302"/>
      <c r="AGN197" s="302"/>
      <c r="AGO197" s="302"/>
      <c r="AGP197" s="302"/>
      <c r="AGQ197" s="302"/>
      <c r="AGR197" s="302"/>
      <c r="AGS197" s="302"/>
      <c r="AGT197" s="302"/>
      <c r="AGU197" s="302"/>
      <c r="AGV197" s="302"/>
      <c r="AGW197" s="302"/>
      <c r="AGX197" s="302"/>
      <c r="AGY197" s="302"/>
      <c r="AGZ197" s="302"/>
      <c r="AHA197" s="302"/>
      <c r="AHB197" s="302"/>
      <c r="AHC197" s="302"/>
      <c r="AHD197" s="302"/>
      <c r="AHE197" s="302"/>
      <c r="AHF197" s="302"/>
      <c r="AHG197" s="302"/>
      <c r="AHH197" s="302"/>
      <c r="AHI197" s="302"/>
      <c r="AHJ197" s="302"/>
      <c r="AHK197" s="302"/>
      <c r="AHL197" s="302"/>
      <c r="AHM197" s="302"/>
      <c r="AHN197" s="302"/>
      <c r="AHO197" s="302"/>
      <c r="AHP197" s="302"/>
      <c r="AHQ197" s="302"/>
      <c r="AHR197" s="302"/>
      <c r="AHS197" s="302"/>
      <c r="AHT197" s="302"/>
      <c r="AHU197" s="302"/>
      <c r="AHV197" s="302"/>
      <c r="AHW197" s="302"/>
      <c r="AHX197" s="302"/>
      <c r="AHY197" s="302"/>
      <c r="AHZ197" s="302"/>
      <c r="AIA197" s="302"/>
      <c r="AIB197" s="302"/>
      <c r="AIC197" s="302"/>
      <c r="AID197" s="302"/>
      <c r="AIE197" s="302"/>
      <c r="AIF197" s="302"/>
      <c r="AIG197" s="302"/>
      <c r="AIH197" s="302"/>
      <c r="AII197" s="302"/>
      <c r="AIJ197" s="302"/>
      <c r="AIK197" s="302"/>
      <c r="AIL197" s="302"/>
      <c r="AIM197" s="302"/>
      <c r="AIN197" s="302"/>
      <c r="AIO197" s="302"/>
      <c r="AIP197" s="302"/>
      <c r="AIQ197" s="302"/>
      <c r="AIR197" s="302"/>
      <c r="AIS197" s="302"/>
      <c r="AIT197" s="302"/>
      <c r="AIU197" s="302"/>
      <c r="AIV197" s="302"/>
      <c r="AIW197" s="302"/>
      <c r="AIX197" s="302"/>
      <c r="AIY197" s="302"/>
      <c r="AIZ197" s="302"/>
      <c r="AJA197" s="302"/>
      <c r="AJB197" s="302"/>
      <c r="AJC197" s="302"/>
      <c r="AJD197" s="302"/>
      <c r="AJE197" s="302"/>
      <c r="AJF197" s="302"/>
      <c r="AJG197" s="302"/>
      <c r="AJH197" s="302"/>
      <c r="AJI197" s="302"/>
      <c r="AJJ197" s="302"/>
      <c r="AJK197" s="302"/>
      <c r="AJL197" s="302"/>
      <c r="AJM197" s="302"/>
      <c r="AJN197" s="302"/>
      <c r="AJO197" s="302"/>
      <c r="AJP197" s="302"/>
      <c r="AJQ197" s="302"/>
      <c r="AJR197" s="302"/>
      <c r="AJS197" s="302"/>
      <c r="AJT197" s="302"/>
      <c r="AJU197" s="302"/>
      <c r="AJV197" s="302"/>
      <c r="AJW197" s="302"/>
      <c r="AJX197" s="302"/>
      <c r="AJY197" s="302"/>
      <c r="AJZ197" s="302"/>
      <c r="AKA197" s="302"/>
      <c r="AKB197" s="302"/>
      <c r="AKC197" s="302"/>
      <c r="AKD197" s="302"/>
      <c r="AKE197" s="302"/>
      <c r="AKF197" s="302"/>
      <c r="AKG197" s="302"/>
      <c r="AKH197" s="302"/>
      <c r="AKI197" s="302"/>
      <c r="AKJ197" s="302"/>
      <c r="AKK197" s="302"/>
      <c r="AKL197" s="302"/>
      <c r="AKM197" s="302"/>
      <c r="AKN197" s="302"/>
      <c r="AKO197" s="302"/>
      <c r="AKP197" s="302"/>
      <c r="AKQ197" s="302"/>
      <c r="AKR197" s="302"/>
      <c r="AKS197" s="302"/>
      <c r="AKT197" s="302"/>
      <c r="AKU197" s="302"/>
      <c r="AKV197" s="302"/>
      <c r="AKW197" s="302"/>
      <c r="AKX197" s="302"/>
      <c r="AKY197" s="302"/>
      <c r="AKZ197" s="302"/>
      <c r="ALA197" s="302"/>
      <c r="ALB197" s="302"/>
      <c r="ALC197" s="302"/>
      <c r="ALD197" s="302"/>
      <c r="ALE197" s="302"/>
      <c r="ALF197" s="302"/>
      <c r="ALG197" s="302"/>
      <c r="ALH197" s="302"/>
      <c r="ALI197" s="302"/>
      <c r="ALJ197" s="302"/>
      <c r="ALK197" s="302"/>
      <c r="ALL197" s="302"/>
      <c r="ALM197" s="302"/>
      <c r="ALN197" s="302"/>
      <c r="ALO197" s="302"/>
      <c r="ALP197" s="302"/>
      <c r="ALQ197" s="302"/>
      <c r="ALR197" s="302"/>
      <c r="ALS197" s="302"/>
      <c r="ALT197" s="302"/>
      <c r="ALU197" s="302"/>
      <c r="ALV197" s="302"/>
      <c r="ALW197" s="302"/>
      <c r="ALX197" s="302"/>
      <c r="ALY197" s="302"/>
      <c r="ALZ197" s="302"/>
      <c r="AMA197" s="302"/>
      <c r="AMB197" s="302"/>
      <c r="AMC197" s="302"/>
      <c r="AMD197" s="302"/>
      <c r="AME197" s="302"/>
      <c r="AMF197" s="302"/>
      <c r="AMG197" s="302"/>
      <c r="AMH197" s="302"/>
      <c r="AMI197" s="302"/>
    </row>
    <row r="198" spans="1:1023" hidden="1"/>
    <row r="199" spans="1:1023" hidden="1"/>
    <row r="200" spans="1:1023" hidden="1"/>
    <row r="202" spans="1:1023" ht="22.5">
      <c r="A202" s="965" t="s">
        <v>424</v>
      </c>
      <c r="B202" s="965"/>
      <c r="C202" s="965"/>
      <c r="D202" s="965"/>
      <c r="E202" s="965"/>
      <c r="F202" s="965"/>
      <c r="G202" s="965"/>
    </row>
    <row r="203" spans="1:1023" hidden="1"/>
    <row r="204" spans="1:1023" ht="18" hidden="1">
      <c r="A204" s="302"/>
      <c r="B204" s="969" t="s">
        <v>425</v>
      </c>
      <c r="C204" s="969"/>
      <c r="D204" s="969"/>
      <c r="E204" s="969"/>
      <c r="F204" s="969"/>
      <c r="G204" s="969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2"/>
      <c r="AE204" s="302"/>
      <c r="AF204" s="302"/>
      <c r="AG204" s="302"/>
      <c r="AH204" s="302"/>
      <c r="AI204" s="302"/>
      <c r="AJ204" s="302"/>
      <c r="AK204" s="302"/>
      <c r="AL204" s="302"/>
      <c r="AM204" s="302"/>
      <c r="AN204" s="302"/>
      <c r="AO204" s="302"/>
      <c r="AP204" s="302"/>
      <c r="AQ204" s="302"/>
      <c r="AR204" s="302"/>
      <c r="AS204" s="302"/>
      <c r="AT204" s="302"/>
      <c r="AU204" s="302"/>
      <c r="AV204" s="302"/>
      <c r="AW204" s="302"/>
      <c r="AX204" s="302"/>
      <c r="AY204" s="302"/>
      <c r="AZ204" s="302"/>
      <c r="BA204" s="302"/>
      <c r="BB204" s="302"/>
      <c r="BC204" s="302"/>
      <c r="BD204" s="302"/>
      <c r="BE204" s="302"/>
      <c r="BF204" s="302"/>
      <c r="BG204" s="302"/>
      <c r="BH204" s="302"/>
      <c r="BI204" s="302"/>
      <c r="BJ204" s="302"/>
      <c r="BK204" s="302"/>
      <c r="BL204" s="302"/>
      <c r="BM204" s="302"/>
      <c r="BN204" s="302"/>
      <c r="BO204" s="302"/>
      <c r="BP204" s="302"/>
      <c r="BQ204" s="302"/>
      <c r="BR204" s="302"/>
      <c r="BS204" s="302"/>
      <c r="BT204" s="302"/>
      <c r="BU204" s="302"/>
      <c r="BV204" s="302"/>
      <c r="BW204" s="302"/>
      <c r="BX204" s="302"/>
      <c r="BY204" s="302"/>
      <c r="BZ204" s="302"/>
      <c r="CA204" s="302"/>
      <c r="CB204" s="302"/>
      <c r="CC204" s="302"/>
      <c r="CD204" s="302"/>
      <c r="CE204" s="302"/>
      <c r="CF204" s="302"/>
      <c r="CG204" s="302"/>
      <c r="CH204" s="302"/>
      <c r="CI204" s="302"/>
      <c r="CJ204" s="302"/>
      <c r="CK204" s="302"/>
      <c r="CL204" s="302"/>
      <c r="CM204" s="302"/>
      <c r="CN204" s="302"/>
      <c r="CO204" s="302"/>
      <c r="CP204" s="302"/>
      <c r="CQ204" s="302"/>
      <c r="CR204" s="302"/>
      <c r="CS204" s="302"/>
      <c r="CT204" s="302"/>
      <c r="CU204" s="302"/>
      <c r="CV204" s="302"/>
      <c r="CW204" s="302"/>
      <c r="CX204" s="302"/>
      <c r="CY204" s="302"/>
      <c r="CZ204" s="302"/>
      <c r="DA204" s="302"/>
      <c r="DB204" s="302"/>
      <c r="DC204" s="302"/>
      <c r="DD204" s="302"/>
      <c r="DE204" s="302"/>
      <c r="DF204" s="302"/>
      <c r="DG204" s="302"/>
      <c r="DH204" s="302"/>
      <c r="DI204" s="302"/>
      <c r="DJ204" s="302"/>
      <c r="DK204" s="302"/>
      <c r="DL204" s="302"/>
      <c r="DM204" s="302"/>
      <c r="DN204" s="302"/>
      <c r="DO204" s="302"/>
      <c r="DP204" s="302"/>
      <c r="DQ204" s="302"/>
      <c r="DR204" s="302"/>
      <c r="DS204" s="302"/>
      <c r="DT204" s="302"/>
      <c r="DU204" s="302"/>
      <c r="DV204" s="302"/>
      <c r="DW204" s="302"/>
      <c r="DX204" s="302"/>
      <c r="DY204" s="302"/>
      <c r="DZ204" s="302"/>
      <c r="EA204" s="302"/>
      <c r="EB204" s="302"/>
      <c r="EC204" s="302"/>
      <c r="ED204" s="302"/>
      <c r="EE204" s="302"/>
      <c r="EF204" s="302"/>
      <c r="EG204" s="302"/>
      <c r="EH204" s="302"/>
      <c r="EI204" s="302"/>
      <c r="EJ204" s="302"/>
      <c r="EK204" s="302"/>
      <c r="EL204" s="302"/>
      <c r="EM204" s="302"/>
      <c r="EN204" s="302"/>
      <c r="EO204" s="302"/>
      <c r="EP204" s="302"/>
      <c r="EQ204" s="302"/>
      <c r="ER204" s="302"/>
      <c r="ES204" s="302"/>
      <c r="ET204" s="302"/>
      <c r="EU204" s="302"/>
      <c r="EV204" s="302"/>
      <c r="EW204" s="302"/>
      <c r="EX204" s="302"/>
      <c r="EY204" s="302"/>
      <c r="EZ204" s="302"/>
      <c r="FA204" s="302"/>
      <c r="FB204" s="302"/>
      <c r="FC204" s="302"/>
      <c r="FD204" s="302"/>
      <c r="FE204" s="302"/>
      <c r="FF204" s="302"/>
      <c r="FG204" s="302"/>
      <c r="FH204" s="302"/>
      <c r="FI204" s="302"/>
      <c r="FJ204" s="302"/>
      <c r="FK204" s="302"/>
      <c r="FL204" s="302"/>
      <c r="FM204" s="302"/>
      <c r="FN204" s="302"/>
      <c r="FO204" s="302"/>
      <c r="FP204" s="302"/>
      <c r="FQ204" s="302"/>
      <c r="FR204" s="302"/>
      <c r="FS204" s="302"/>
      <c r="FT204" s="302"/>
      <c r="FU204" s="302"/>
      <c r="FV204" s="302"/>
      <c r="FW204" s="302"/>
      <c r="FX204" s="302"/>
      <c r="FY204" s="302"/>
      <c r="FZ204" s="302"/>
      <c r="GA204" s="302"/>
      <c r="GB204" s="302"/>
      <c r="GC204" s="302"/>
      <c r="GD204" s="302"/>
      <c r="GE204" s="302"/>
      <c r="GF204" s="302"/>
      <c r="GG204" s="302"/>
      <c r="GH204" s="302"/>
      <c r="GI204" s="302"/>
      <c r="GJ204" s="302"/>
      <c r="GK204" s="302"/>
      <c r="GL204" s="302"/>
      <c r="GM204" s="302"/>
      <c r="GN204" s="302"/>
      <c r="GO204" s="302"/>
      <c r="GP204" s="302"/>
      <c r="GQ204" s="302"/>
      <c r="GR204" s="302"/>
      <c r="GS204" s="302"/>
      <c r="GT204" s="302"/>
      <c r="GU204" s="302"/>
      <c r="GV204" s="302"/>
      <c r="GW204" s="302"/>
      <c r="GX204" s="302"/>
      <c r="GY204" s="302"/>
      <c r="GZ204" s="302"/>
      <c r="HA204" s="302"/>
      <c r="HB204" s="302"/>
      <c r="HC204" s="302"/>
      <c r="HD204" s="302"/>
      <c r="HE204" s="302"/>
      <c r="HF204" s="302"/>
      <c r="HG204" s="302"/>
      <c r="HH204" s="302"/>
      <c r="HI204" s="302"/>
      <c r="HJ204" s="302"/>
      <c r="HK204" s="302"/>
      <c r="HL204" s="302"/>
      <c r="HM204" s="302"/>
      <c r="HN204" s="302"/>
      <c r="HO204" s="302"/>
      <c r="HP204" s="302"/>
      <c r="HQ204" s="302"/>
      <c r="HR204" s="302"/>
      <c r="HS204" s="302"/>
      <c r="HT204" s="302"/>
      <c r="HU204" s="302"/>
      <c r="HV204" s="302"/>
      <c r="HW204" s="302"/>
      <c r="HX204" s="302"/>
      <c r="HY204" s="302"/>
      <c r="HZ204" s="302"/>
      <c r="IA204" s="302"/>
      <c r="IB204" s="302"/>
      <c r="IC204" s="302"/>
      <c r="ID204" s="302"/>
      <c r="IE204" s="302"/>
      <c r="IF204" s="302"/>
      <c r="IG204" s="302"/>
      <c r="IH204" s="302"/>
      <c r="II204" s="302"/>
      <c r="IJ204" s="302"/>
      <c r="IK204" s="302"/>
      <c r="IL204" s="302"/>
      <c r="IM204" s="302"/>
      <c r="IN204" s="302"/>
      <c r="IO204" s="302"/>
      <c r="IP204" s="302"/>
      <c r="IQ204" s="302"/>
      <c r="IR204" s="302"/>
      <c r="IS204" s="302"/>
      <c r="IT204" s="302"/>
      <c r="IU204" s="302"/>
      <c r="IV204" s="302"/>
      <c r="IW204" s="302"/>
      <c r="IX204" s="302"/>
      <c r="IY204" s="302"/>
      <c r="IZ204" s="302"/>
      <c r="JA204" s="302"/>
      <c r="JB204" s="302"/>
      <c r="JC204" s="302"/>
      <c r="JD204" s="302"/>
      <c r="JE204" s="302"/>
      <c r="JF204" s="302"/>
      <c r="JG204" s="302"/>
      <c r="JH204" s="302"/>
      <c r="JI204" s="302"/>
      <c r="JJ204" s="302"/>
      <c r="JK204" s="302"/>
      <c r="JL204" s="302"/>
      <c r="JM204" s="302"/>
      <c r="JN204" s="302"/>
      <c r="JO204" s="302"/>
      <c r="JP204" s="302"/>
      <c r="JQ204" s="302"/>
      <c r="JR204" s="302"/>
      <c r="JS204" s="302"/>
      <c r="JT204" s="302"/>
      <c r="JU204" s="302"/>
      <c r="JV204" s="302"/>
      <c r="JW204" s="302"/>
      <c r="JX204" s="302"/>
      <c r="JY204" s="302"/>
      <c r="JZ204" s="302"/>
      <c r="KA204" s="302"/>
      <c r="KB204" s="302"/>
      <c r="KC204" s="302"/>
      <c r="KD204" s="302"/>
      <c r="KE204" s="302"/>
      <c r="KF204" s="302"/>
      <c r="KG204" s="302"/>
      <c r="KH204" s="302"/>
      <c r="KI204" s="302"/>
      <c r="KJ204" s="302"/>
      <c r="KK204" s="302"/>
      <c r="KL204" s="302"/>
      <c r="KM204" s="302"/>
      <c r="KN204" s="302"/>
      <c r="KO204" s="302"/>
      <c r="KP204" s="302"/>
      <c r="KQ204" s="302"/>
      <c r="KR204" s="302"/>
      <c r="KS204" s="302"/>
      <c r="KT204" s="302"/>
      <c r="KU204" s="302"/>
      <c r="KV204" s="302"/>
      <c r="KW204" s="302"/>
      <c r="KX204" s="302"/>
      <c r="KY204" s="302"/>
      <c r="KZ204" s="302"/>
      <c r="LA204" s="302"/>
      <c r="LB204" s="302"/>
      <c r="LC204" s="302"/>
      <c r="LD204" s="302"/>
      <c r="LE204" s="302"/>
      <c r="LF204" s="302"/>
      <c r="LG204" s="302"/>
      <c r="LH204" s="302"/>
      <c r="LI204" s="302"/>
      <c r="LJ204" s="302"/>
      <c r="LK204" s="302"/>
      <c r="LL204" s="302"/>
      <c r="LM204" s="302"/>
      <c r="LN204" s="302"/>
      <c r="LO204" s="302"/>
      <c r="LP204" s="302"/>
      <c r="LQ204" s="302"/>
      <c r="LR204" s="302"/>
      <c r="LS204" s="302"/>
      <c r="LT204" s="302"/>
      <c r="LU204" s="302"/>
      <c r="LV204" s="302"/>
      <c r="LW204" s="302"/>
      <c r="LX204" s="302"/>
      <c r="LY204" s="302"/>
      <c r="LZ204" s="302"/>
      <c r="MA204" s="302"/>
      <c r="MB204" s="302"/>
      <c r="MC204" s="302"/>
      <c r="MD204" s="302"/>
      <c r="ME204" s="302"/>
      <c r="MF204" s="302"/>
      <c r="MG204" s="302"/>
      <c r="MH204" s="302"/>
      <c r="MI204" s="302"/>
      <c r="MJ204" s="302"/>
      <c r="MK204" s="302"/>
      <c r="ML204" s="302"/>
      <c r="MM204" s="302"/>
      <c r="MN204" s="302"/>
      <c r="MO204" s="302"/>
      <c r="MP204" s="302"/>
      <c r="MQ204" s="302"/>
      <c r="MR204" s="302"/>
      <c r="MS204" s="302"/>
      <c r="MT204" s="302"/>
      <c r="MU204" s="302"/>
      <c r="MV204" s="302"/>
      <c r="MW204" s="302"/>
      <c r="MX204" s="302"/>
      <c r="MY204" s="302"/>
      <c r="MZ204" s="302"/>
      <c r="NA204" s="302"/>
      <c r="NB204" s="302"/>
      <c r="NC204" s="302"/>
      <c r="ND204" s="302"/>
      <c r="NE204" s="302"/>
      <c r="NF204" s="302"/>
      <c r="NG204" s="302"/>
      <c r="NH204" s="302"/>
      <c r="NI204" s="302"/>
      <c r="NJ204" s="302"/>
      <c r="NK204" s="302"/>
      <c r="NL204" s="302"/>
      <c r="NM204" s="302"/>
      <c r="NN204" s="302"/>
      <c r="NO204" s="302"/>
      <c r="NP204" s="302"/>
      <c r="NQ204" s="302"/>
      <c r="NR204" s="302"/>
      <c r="NS204" s="302"/>
      <c r="NT204" s="302"/>
      <c r="NU204" s="302"/>
      <c r="NV204" s="302"/>
      <c r="NW204" s="302"/>
      <c r="NX204" s="302"/>
      <c r="NY204" s="302"/>
      <c r="NZ204" s="302"/>
      <c r="OA204" s="302"/>
      <c r="OB204" s="302"/>
      <c r="OC204" s="302"/>
      <c r="OD204" s="302"/>
      <c r="OE204" s="302"/>
      <c r="OF204" s="302"/>
      <c r="OG204" s="302"/>
      <c r="OH204" s="302"/>
      <c r="OI204" s="302"/>
      <c r="OJ204" s="302"/>
      <c r="OK204" s="302"/>
      <c r="OL204" s="302"/>
      <c r="OM204" s="302"/>
      <c r="ON204" s="302"/>
      <c r="OO204" s="302"/>
      <c r="OP204" s="302"/>
      <c r="OQ204" s="302"/>
      <c r="OR204" s="302"/>
      <c r="OS204" s="302"/>
      <c r="OT204" s="302"/>
      <c r="OU204" s="302"/>
      <c r="OV204" s="302"/>
      <c r="OW204" s="302"/>
      <c r="OX204" s="302"/>
      <c r="OY204" s="302"/>
      <c r="OZ204" s="302"/>
      <c r="PA204" s="302"/>
      <c r="PB204" s="302"/>
      <c r="PC204" s="302"/>
      <c r="PD204" s="302"/>
      <c r="PE204" s="302"/>
      <c r="PF204" s="302"/>
      <c r="PG204" s="302"/>
      <c r="PH204" s="302"/>
      <c r="PI204" s="302"/>
      <c r="PJ204" s="302"/>
      <c r="PK204" s="302"/>
      <c r="PL204" s="302"/>
      <c r="PM204" s="302"/>
      <c r="PN204" s="302"/>
      <c r="PO204" s="302"/>
      <c r="PP204" s="302"/>
      <c r="PQ204" s="302"/>
      <c r="PR204" s="302"/>
      <c r="PS204" s="302"/>
      <c r="PT204" s="302"/>
      <c r="PU204" s="302"/>
      <c r="PV204" s="302"/>
      <c r="PW204" s="302"/>
      <c r="PX204" s="302"/>
      <c r="PY204" s="302"/>
      <c r="PZ204" s="302"/>
      <c r="QA204" s="302"/>
      <c r="QB204" s="302"/>
      <c r="QC204" s="302"/>
      <c r="QD204" s="302"/>
      <c r="QE204" s="302"/>
      <c r="QF204" s="302"/>
      <c r="QG204" s="302"/>
      <c r="QH204" s="302"/>
      <c r="QI204" s="302"/>
      <c r="QJ204" s="302"/>
      <c r="QK204" s="302"/>
      <c r="QL204" s="302"/>
      <c r="QM204" s="302"/>
      <c r="QN204" s="302"/>
      <c r="QO204" s="302"/>
      <c r="QP204" s="302"/>
      <c r="QQ204" s="302"/>
      <c r="QR204" s="302"/>
      <c r="QS204" s="302"/>
      <c r="QT204" s="302"/>
      <c r="QU204" s="302"/>
      <c r="QV204" s="302"/>
      <c r="QW204" s="302"/>
      <c r="QX204" s="302"/>
      <c r="QY204" s="302"/>
      <c r="QZ204" s="302"/>
      <c r="RA204" s="302"/>
      <c r="RB204" s="302"/>
      <c r="RC204" s="302"/>
      <c r="RD204" s="302"/>
      <c r="RE204" s="302"/>
      <c r="RF204" s="302"/>
      <c r="RG204" s="302"/>
      <c r="RH204" s="302"/>
      <c r="RI204" s="302"/>
      <c r="RJ204" s="302"/>
      <c r="RK204" s="302"/>
      <c r="RL204" s="302"/>
      <c r="RM204" s="302"/>
      <c r="RN204" s="302"/>
      <c r="RO204" s="302"/>
      <c r="RP204" s="302"/>
      <c r="RQ204" s="302"/>
      <c r="RR204" s="302"/>
      <c r="RS204" s="302"/>
      <c r="RT204" s="302"/>
      <c r="RU204" s="302"/>
      <c r="RV204" s="302"/>
      <c r="RW204" s="302"/>
      <c r="RX204" s="302"/>
      <c r="RY204" s="302"/>
      <c r="RZ204" s="302"/>
      <c r="SA204" s="302"/>
      <c r="SB204" s="302"/>
      <c r="SC204" s="302"/>
      <c r="SD204" s="302"/>
      <c r="SE204" s="302"/>
      <c r="SF204" s="302"/>
      <c r="SG204" s="302"/>
      <c r="SH204" s="302"/>
      <c r="SI204" s="302"/>
      <c r="SJ204" s="302"/>
      <c r="SK204" s="302"/>
      <c r="SL204" s="302"/>
      <c r="SM204" s="302"/>
      <c r="SN204" s="302"/>
      <c r="SO204" s="302"/>
      <c r="SP204" s="302"/>
      <c r="SQ204" s="302"/>
      <c r="SR204" s="302"/>
      <c r="SS204" s="302"/>
      <c r="ST204" s="302"/>
      <c r="SU204" s="302"/>
      <c r="SV204" s="302"/>
      <c r="SW204" s="302"/>
      <c r="SX204" s="302"/>
      <c r="SY204" s="302"/>
      <c r="SZ204" s="302"/>
      <c r="TA204" s="302"/>
      <c r="TB204" s="302"/>
      <c r="TC204" s="302"/>
      <c r="TD204" s="302"/>
      <c r="TE204" s="302"/>
      <c r="TF204" s="302"/>
      <c r="TG204" s="302"/>
      <c r="TH204" s="302"/>
      <c r="TI204" s="302"/>
      <c r="TJ204" s="302"/>
      <c r="TK204" s="302"/>
      <c r="TL204" s="302"/>
      <c r="TM204" s="302"/>
      <c r="TN204" s="302"/>
      <c r="TO204" s="302"/>
      <c r="TP204" s="302"/>
      <c r="TQ204" s="302"/>
      <c r="TR204" s="302"/>
      <c r="TS204" s="302"/>
      <c r="TT204" s="302"/>
      <c r="TU204" s="302"/>
      <c r="TV204" s="302"/>
      <c r="TW204" s="302"/>
      <c r="TX204" s="302"/>
      <c r="TY204" s="302"/>
      <c r="TZ204" s="302"/>
      <c r="UA204" s="302"/>
      <c r="UB204" s="302"/>
      <c r="UC204" s="302"/>
      <c r="UD204" s="302"/>
      <c r="UE204" s="302"/>
      <c r="UF204" s="302"/>
      <c r="UG204" s="302"/>
      <c r="UH204" s="302"/>
      <c r="UI204" s="302"/>
      <c r="UJ204" s="302"/>
      <c r="UK204" s="302"/>
      <c r="UL204" s="302"/>
      <c r="UM204" s="302"/>
      <c r="UN204" s="302"/>
      <c r="UO204" s="302"/>
      <c r="UP204" s="302"/>
      <c r="UQ204" s="302"/>
      <c r="UR204" s="302"/>
      <c r="US204" s="302"/>
      <c r="UT204" s="302"/>
      <c r="UU204" s="302"/>
      <c r="UV204" s="302"/>
      <c r="UW204" s="302"/>
      <c r="UX204" s="302"/>
      <c r="UY204" s="302"/>
      <c r="UZ204" s="302"/>
      <c r="VA204" s="302"/>
      <c r="VB204" s="302"/>
      <c r="VC204" s="302"/>
      <c r="VD204" s="302"/>
      <c r="VE204" s="302"/>
      <c r="VF204" s="302"/>
      <c r="VG204" s="302"/>
      <c r="VH204" s="302"/>
      <c r="VI204" s="302"/>
      <c r="VJ204" s="302"/>
      <c r="VK204" s="302"/>
      <c r="VL204" s="302"/>
      <c r="VM204" s="302"/>
      <c r="VN204" s="302"/>
      <c r="VO204" s="302"/>
      <c r="VP204" s="302"/>
      <c r="VQ204" s="302"/>
      <c r="VR204" s="302"/>
      <c r="VS204" s="302"/>
      <c r="VT204" s="302"/>
      <c r="VU204" s="302"/>
      <c r="VV204" s="302"/>
      <c r="VW204" s="302"/>
      <c r="VX204" s="302"/>
      <c r="VY204" s="302"/>
      <c r="VZ204" s="302"/>
      <c r="WA204" s="302"/>
      <c r="WB204" s="302"/>
      <c r="WC204" s="302"/>
      <c r="WD204" s="302"/>
      <c r="WE204" s="302"/>
      <c r="WF204" s="302"/>
      <c r="WG204" s="302"/>
      <c r="WH204" s="302"/>
      <c r="WI204" s="302"/>
      <c r="WJ204" s="302"/>
      <c r="WK204" s="302"/>
      <c r="WL204" s="302"/>
      <c r="WM204" s="302"/>
      <c r="WN204" s="302"/>
      <c r="WO204" s="302"/>
      <c r="WP204" s="302"/>
      <c r="WQ204" s="302"/>
      <c r="WR204" s="302"/>
      <c r="WS204" s="302"/>
      <c r="WT204" s="302"/>
      <c r="WU204" s="302"/>
      <c r="WV204" s="302"/>
      <c r="WW204" s="302"/>
      <c r="WX204" s="302"/>
      <c r="WY204" s="302"/>
      <c r="WZ204" s="302"/>
      <c r="XA204" s="302"/>
      <c r="XB204" s="302"/>
      <c r="XC204" s="302"/>
      <c r="XD204" s="302"/>
      <c r="XE204" s="302"/>
      <c r="XF204" s="302"/>
      <c r="XG204" s="302"/>
      <c r="XH204" s="302"/>
      <c r="XI204" s="302"/>
      <c r="XJ204" s="302"/>
      <c r="XK204" s="302"/>
      <c r="XL204" s="302"/>
      <c r="XM204" s="302"/>
      <c r="XN204" s="302"/>
      <c r="XO204" s="302"/>
      <c r="XP204" s="302"/>
      <c r="XQ204" s="302"/>
      <c r="XR204" s="302"/>
      <c r="XS204" s="302"/>
      <c r="XT204" s="302"/>
      <c r="XU204" s="302"/>
      <c r="XV204" s="302"/>
      <c r="XW204" s="302"/>
      <c r="XX204" s="302"/>
      <c r="XY204" s="302"/>
      <c r="XZ204" s="302"/>
      <c r="YA204" s="302"/>
      <c r="YB204" s="302"/>
      <c r="YC204" s="302"/>
      <c r="YD204" s="302"/>
      <c r="YE204" s="302"/>
      <c r="YF204" s="302"/>
      <c r="YG204" s="302"/>
      <c r="YH204" s="302"/>
      <c r="YI204" s="302"/>
      <c r="YJ204" s="302"/>
      <c r="YK204" s="302"/>
      <c r="YL204" s="302"/>
      <c r="YM204" s="302"/>
      <c r="YN204" s="302"/>
      <c r="YO204" s="302"/>
      <c r="YP204" s="302"/>
      <c r="YQ204" s="302"/>
      <c r="YR204" s="302"/>
      <c r="YS204" s="302"/>
      <c r="YT204" s="302"/>
      <c r="YU204" s="302"/>
      <c r="YV204" s="302"/>
      <c r="YW204" s="302"/>
      <c r="YX204" s="302"/>
      <c r="YY204" s="302"/>
      <c r="YZ204" s="302"/>
      <c r="ZA204" s="302"/>
      <c r="ZB204" s="302"/>
      <c r="ZC204" s="302"/>
      <c r="ZD204" s="302"/>
      <c r="ZE204" s="302"/>
      <c r="ZF204" s="302"/>
      <c r="ZG204" s="302"/>
      <c r="ZH204" s="302"/>
      <c r="ZI204" s="302"/>
      <c r="ZJ204" s="302"/>
      <c r="ZK204" s="302"/>
      <c r="ZL204" s="302"/>
      <c r="ZM204" s="302"/>
      <c r="ZN204" s="302"/>
      <c r="ZO204" s="302"/>
      <c r="ZP204" s="302"/>
      <c r="ZQ204" s="302"/>
      <c r="ZR204" s="302"/>
      <c r="ZS204" s="302"/>
      <c r="ZT204" s="302"/>
      <c r="ZU204" s="302"/>
      <c r="ZV204" s="302"/>
      <c r="ZW204" s="302"/>
      <c r="ZX204" s="302"/>
      <c r="ZY204" s="302"/>
      <c r="ZZ204" s="302"/>
      <c r="AAA204" s="302"/>
      <c r="AAB204" s="302"/>
      <c r="AAC204" s="302"/>
      <c r="AAD204" s="302"/>
      <c r="AAE204" s="302"/>
      <c r="AAF204" s="302"/>
      <c r="AAG204" s="302"/>
      <c r="AAH204" s="302"/>
      <c r="AAI204" s="302"/>
      <c r="AAJ204" s="302"/>
      <c r="AAK204" s="302"/>
      <c r="AAL204" s="302"/>
      <c r="AAM204" s="302"/>
      <c r="AAN204" s="302"/>
      <c r="AAO204" s="302"/>
      <c r="AAP204" s="302"/>
      <c r="AAQ204" s="302"/>
      <c r="AAR204" s="302"/>
      <c r="AAS204" s="302"/>
      <c r="AAT204" s="302"/>
      <c r="AAU204" s="302"/>
      <c r="AAV204" s="302"/>
      <c r="AAW204" s="302"/>
      <c r="AAX204" s="302"/>
      <c r="AAY204" s="302"/>
      <c r="AAZ204" s="302"/>
      <c r="ABA204" s="302"/>
      <c r="ABB204" s="302"/>
      <c r="ABC204" s="302"/>
      <c r="ABD204" s="302"/>
      <c r="ABE204" s="302"/>
      <c r="ABF204" s="302"/>
      <c r="ABG204" s="302"/>
      <c r="ABH204" s="302"/>
      <c r="ABI204" s="302"/>
      <c r="ABJ204" s="302"/>
      <c r="ABK204" s="302"/>
      <c r="ABL204" s="302"/>
      <c r="ABM204" s="302"/>
      <c r="ABN204" s="302"/>
      <c r="ABO204" s="302"/>
      <c r="ABP204" s="302"/>
      <c r="ABQ204" s="302"/>
      <c r="ABR204" s="302"/>
      <c r="ABS204" s="302"/>
      <c r="ABT204" s="302"/>
      <c r="ABU204" s="302"/>
      <c r="ABV204" s="302"/>
      <c r="ABW204" s="302"/>
      <c r="ABX204" s="302"/>
      <c r="ABY204" s="302"/>
      <c r="ABZ204" s="302"/>
      <c r="ACA204" s="302"/>
      <c r="ACB204" s="302"/>
      <c r="ACC204" s="302"/>
      <c r="ACD204" s="302"/>
      <c r="ACE204" s="302"/>
      <c r="ACF204" s="302"/>
      <c r="ACG204" s="302"/>
      <c r="ACH204" s="302"/>
      <c r="ACI204" s="302"/>
      <c r="ACJ204" s="302"/>
      <c r="ACK204" s="302"/>
      <c r="ACL204" s="302"/>
      <c r="ACM204" s="302"/>
      <c r="ACN204" s="302"/>
      <c r="ACO204" s="302"/>
      <c r="ACP204" s="302"/>
      <c r="ACQ204" s="302"/>
      <c r="ACR204" s="302"/>
      <c r="ACS204" s="302"/>
      <c r="ACT204" s="302"/>
      <c r="ACU204" s="302"/>
      <c r="ACV204" s="302"/>
      <c r="ACW204" s="302"/>
      <c r="ACX204" s="302"/>
      <c r="ACY204" s="302"/>
      <c r="ACZ204" s="302"/>
      <c r="ADA204" s="302"/>
      <c r="ADB204" s="302"/>
      <c r="ADC204" s="302"/>
      <c r="ADD204" s="302"/>
      <c r="ADE204" s="302"/>
      <c r="ADF204" s="302"/>
      <c r="ADG204" s="302"/>
      <c r="ADH204" s="302"/>
      <c r="ADI204" s="302"/>
      <c r="ADJ204" s="302"/>
      <c r="ADK204" s="302"/>
      <c r="ADL204" s="302"/>
      <c r="ADM204" s="302"/>
      <c r="ADN204" s="302"/>
      <c r="ADO204" s="302"/>
      <c r="ADP204" s="302"/>
      <c r="ADQ204" s="302"/>
      <c r="ADR204" s="302"/>
      <c r="ADS204" s="302"/>
      <c r="ADT204" s="302"/>
      <c r="ADU204" s="302"/>
      <c r="ADV204" s="302"/>
      <c r="ADW204" s="302"/>
      <c r="ADX204" s="302"/>
      <c r="ADY204" s="302"/>
      <c r="ADZ204" s="302"/>
      <c r="AEA204" s="302"/>
      <c r="AEB204" s="302"/>
      <c r="AEC204" s="302"/>
      <c r="AED204" s="302"/>
      <c r="AEE204" s="302"/>
      <c r="AEF204" s="302"/>
      <c r="AEG204" s="302"/>
      <c r="AEH204" s="302"/>
      <c r="AEI204" s="302"/>
      <c r="AEJ204" s="302"/>
      <c r="AEK204" s="302"/>
      <c r="AEL204" s="302"/>
      <c r="AEM204" s="302"/>
      <c r="AEN204" s="302"/>
      <c r="AEO204" s="302"/>
      <c r="AEP204" s="302"/>
      <c r="AEQ204" s="302"/>
      <c r="AER204" s="302"/>
      <c r="AES204" s="302"/>
      <c r="AET204" s="302"/>
      <c r="AEU204" s="302"/>
      <c r="AEV204" s="302"/>
      <c r="AEW204" s="302"/>
      <c r="AEX204" s="302"/>
      <c r="AEY204" s="302"/>
      <c r="AEZ204" s="302"/>
      <c r="AFA204" s="302"/>
      <c r="AFB204" s="302"/>
      <c r="AFC204" s="302"/>
      <c r="AFD204" s="302"/>
      <c r="AFE204" s="302"/>
      <c r="AFF204" s="302"/>
      <c r="AFG204" s="302"/>
      <c r="AFH204" s="302"/>
      <c r="AFI204" s="302"/>
      <c r="AFJ204" s="302"/>
      <c r="AFK204" s="302"/>
      <c r="AFL204" s="302"/>
      <c r="AFM204" s="302"/>
      <c r="AFN204" s="302"/>
      <c r="AFO204" s="302"/>
      <c r="AFP204" s="302"/>
      <c r="AFQ204" s="302"/>
      <c r="AFR204" s="302"/>
      <c r="AFS204" s="302"/>
      <c r="AFT204" s="302"/>
      <c r="AFU204" s="302"/>
      <c r="AFV204" s="302"/>
      <c r="AFW204" s="302"/>
      <c r="AFX204" s="302"/>
      <c r="AFY204" s="302"/>
      <c r="AFZ204" s="302"/>
      <c r="AGA204" s="302"/>
      <c r="AGB204" s="302"/>
      <c r="AGC204" s="302"/>
      <c r="AGD204" s="302"/>
      <c r="AGE204" s="302"/>
      <c r="AGF204" s="302"/>
      <c r="AGG204" s="302"/>
      <c r="AGH204" s="302"/>
      <c r="AGI204" s="302"/>
      <c r="AGJ204" s="302"/>
      <c r="AGK204" s="302"/>
      <c r="AGL204" s="302"/>
      <c r="AGM204" s="302"/>
      <c r="AGN204" s="302"/>
      <c r="AGO204" s="302"/>
      <c r="AGP204" s="302"/>
      <c r="AGQ204" s="302"/>
      <c r="AGR204" s="302"/>
      <c r="AGS204" s="302"/>
      <c r="AGT204" s="302"/>
      <c r="AGU204" s="302"/>
      <c r="AGV204" s="302"/>
      <c r="AGW204" s="302"/>
      <c r="AGX204" s="302"/>
      <c r="AGY204" s="302"/>
      <c r="AGZ204" s="302"/>
      <c r="AHA204" s="302"/>
      <c r="AHB204" s="302"/>
      <c r="AHC204" s="302"/>
      <c r="AHD204" s="302"/>
      <c r="AHE204" s="302"/>
      <c r="AHF204" s="302"/>
      <c r="AHG204" s="302"/>
      <c r="AHH204" s="302"/>
      <c r="AHI204" s="302"/>
      <c r="AHJ204" s="302"/>
      <c r="AHK204" s="302"/>
      <c r="AHL204" s="302"/>
      <c r="AHM204" s="302"/>
      <c r="AHN204" s="302"/>
      <c r="AHO204" s="302"/>
      <c r="AHP204" s="302"/>
      <c r="AHQ204" s="302"/>
      <c r="AHR204" s="302"/>
      <c r="AHS204" s="302"/>
      <c r="AHT204" s="302"/>
      <c r="AHU204" s="302"/>
      <c r="AHV204" s="302"/>
      <c r="AHW204" s="302"/>
      <c r="AHX204" s="302"/>
      <c r="AHY204" s="302"/>
      <c r="AHZ204" s="302"/>
      <c r="AIA204" s="302"/>
      <c r="AIB204" s="302"/>
      <c r="AIC204" s="302"/>
      <c r="AID204" s="302"/>
      <c r="AIE204" s="302"/>
      <c r="AIF204" s="302"/>
      <c r="AIG204" s="302"/>
      <c r="AIH204" s="302"/>
      <c r="AII204" s="302"/>
      <c r="AIJ204" s="302"/>
      <c r="AIK204" s="302"/>
      <c r="AIL204" s="302"/>
      <c r="AIM204" s="302"/>
      <c r="AIN204" s="302"/>
      <c r="AIO204" s="302"/>
      <c r="AIP204" s="302"/>
      <c r="AIQ204" s="302"/>
      <c r="AIR204" s="302"/>
      <c r="AIS204" s="302"/>
      <c r="AIT204" s="302"/>
      <c r="AIU204" s="302"/>
      <c r="AIV204" s="302"/>
      <c r="AIW204" s="302"/>
      <c r="AIX204" s="302"/>
      <c r="AIY204" s="302"/>
      <c r="AIZ204" s="302"/>
      <c r="AJA204" s="302"/>
      <c r="AJB204" s="302"/>
      <c r="AJC204" s="302"/>
      <c r="AJD204" s="302"/>
      <c r="AJE204" s="302"/>
      <c r="AJF204" s="302"/>
      <c r="AJG204" s="302"/>
      <c r="AJH204" s="302"/>
      <c r="AJI204" s="302"/>
      <c r="AJJ204" s="302"/>
      <c r="AJK204" s="302"/>
      <c r="AJL204" s="302"/>
      <c r="AJM204" s="302"/>
      <c r="AJN204" s="302"/>
      <c r="AJO204" s="302"/>
      <c r="AJP204" s="302"/>
      <c r="AJQ204" s="302"/>
      <c r="AJR204" s="302"/>
      <c r="AJS204" s="302"/>
      <c r="AJT204" s="302"/>
      <c r="AJU204" s="302"/>
      <c r="AJV204" s="302"/>
      <c r="AJW204" s="302"/>
      <c r="AJX204" s="302"/>
      <c r="AJY204" s="302"/>
      <c r="AJZ204" s="302"/>
      <c r="AKA204" s="302"/>
      <c r="AKB204" s="302"/>
      <c r="AKC204" s="302"/>
      <c r="AKD204" s="302"/>
      <c r="AKE204" s="302"/>
      <c r="AKF204" s="302"/>
      <c r="AKG204" s="302"/>
      <c r="AKH204" s="302"/>
      <c r="AKI204" s="302"/>
      <c r="AKJ204" s="302"/>
      <c r="AKK204" s="302"/>
      <c r="AKL204" s="302"/>
      <c r="AKM204" s="302"/>
      <c r="AKN204" s="302"/>
      <c r="AKO204" s="302"/>
      <c r="AKP204" s="302"/>
      <c r="AKQ204" s="302"/>
      <c r="AKR204" s="302"/>
      <c r="AKS204" s="302"/>
      <c r="AKT204" s="302"/>
      <c r="AKU204" s="302"/>
      <c r="AKV204" s="302"/>
      <c r="AKW204" s="302"/>
      <c r="AKX204" s="302"/>
      <c r="AKY204" s="302"/>
      <c r="AKZ204" s="302"/>
      <c r="ALA204" s="302"/>
      <c r="ALB204" s="302"/>
      <c r="ALC204" s="302"/>
      <c r="ALD204" s="302"/>
      <c r="ALE204" s="302"/>
      <c r="ALF204" s="302"/>
      <c r="ALG204" s="302"/>
      <c r="ALH204" s="302"/>
      <c r="ALI204" s="302"/>
      <c r="ALJ204" s="302"/>
      <c r="ALK204" s="302"/>
      <c r="ALL204" s="302"/>
      <c r="ALM204" s="302"/>
      <c r="ALN204" s="302"/>
      <c r="ALO204" s="302"/>
      <c r="ALP204" s="302"/>
      <c r="ALQ204" s="302"/>
      <c r="ALR204" s="302"/>
      <c r="ALS204" s="302"/>
      <c r="ALT204" s="302"/>
      <c r="ALU204" s="302"/>
      <c r="ALV204" s="302"/>
      <c r="ALW204" s="302"/>
      <c r="ALX204" s="302"/>
      <c r="ALY204" s="302"/>
      <c r="ALZ204" s="302"/>
      <c r="AMA204" s="302"/>
      <c r="AMB204" s="302"/>
      <c r="AMC204" s="302"/>
      <c r="AMD204" s="302"/>
      <c r="AME204" s="302"/>
      <c r="AMF204" s="302"/>
      <c r="AMG204" s="302"/>
      <c r="AMH204" s="302"/>
      <c r="AMI204" s="302"/>
    </row>
    <row r="205" spans="1:1023" ht="18" hidden="1">
      <c r="A205" s="302"/>
      <c r="B205" s="308" t="s">
        <v>4</v>
      </c>
      <c r="C205" s="308" t="s">
        <v>373</v>
      </c>
      <c r="D205" s="308" t="s">
        <v>6</v>
      </c>
      <c r="E205" s="308" t="s">
        <v>29</v>
      </c>
      <c r="F205" s="309" t="s">
        <v>8</v>
      </c>
      <c r="G205" s="308" t="s">
        <v>124</v>
      </c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2"/>
      <c r="AE205" s="302"/>
      <c r="AF205" s="302"/>
      <c r="AG205" s="302"/>
      <c r="AH205" s="302"/>
      <c r="AI205" s="302"/>
      <c r="AJ205" s="302"/>
      <c r="AK205" s="302"/>
      <c r="AL205" s="302"/>
      <c r="AM205" s="302"/>
      <c r="AN205" s="302"/>
      <c r="AO205" s="302"/>
      <c r="AP205" s="302"/>
      <c r="AQ205" s="302"/>
      <c r="AR205" s="302"/>
      <c r="AS205" s="302"/>
      <c r="AT205" s="302"/>
      <c r="AU205" s="302"/>
      <c r="AV205" s="302"/>
      <c r="AW205" s="302"/>
      <c r="AX205" s="302"/>
      <c r="AY205" s="302"/>
      <c r="AZ205" s="302"/>
      <c r="BA205" s="302"/>
      <c r="BB205" s="302"/>
      <c r="BC205" s="302"/>
      <c r="BD205" s="302"/>
      <c r="BE205" s="302"/>
      <c r="BF205" s="302"/>
      <c r="BG205" s="302"/>
      <c r="BH205" s="302"/>
      <c r="BI205" s="302"/>
      <c r="BJ205" s="302"/>
      <c r="BK205" s="302"/>
      <c r="BL205" s="302"/>
      <c r="BM205" s="302"/>
      <c r="BN205" s="302"/>
      <c r="BO205" s="302"/>
      <c r="BP205" s="302"/>
      <c r="BQ205" s="302"/>
      <c r="BR205" s="302"/>
      <c r="BS205" s="302"/>
      <c r="BT205" s="302"/>
      <c r="BU205" s="302"/>
      <c r="BV205" s="302"/>
      <c r="BW205" s="302"/>
      <c r="BX205" s="302"/>
      <c r="BY205" s="302"/>
      <c r="BZ205" s="302"/>
      <c r="CA205" s="302"/>
      <c r="CB205" s="302"/>
      <c r="CC205" s="302"/>
      <c r="CD205" s="302"/>
      <c r="CE205" s="302"/>
      <c r="CF205" s="302"/>
      <c r="CG205" s="302"/>
      <c r="CH205" s="302"/>
      <c r="CI205" s="302"/>
      <c r="CJ205" s="302"/>
      <c r="CK205" s="302"/>
      <c r="CL205" s="302"/>
      <c r="CM205" s="302"/>
      <c r="CN205" s="302"/>
      <c r="CO205" s="302"/>
      <c r="CP205" s="302"/>
      <c r="CQ205" s="302"/>
      <c r="CR205" s="302"/>
      <c r="CS205" s="302"/>
      <c r="CT205" s="302"/>
      <c r="CU205" s="302"/>
      <c r="CV205" s="302"/>
      <c r="CW205" s="302"/>
      <c r="CX205" s="302"/>
      <c r="CY205" s="302"/>
      <c r="CZ205" s="302"/>
      <c r="DA205" s="302"/>
      <c r="DB205" s="302"/>
      <c r="DC205" s="302"/>
      <c r="DD205" s="302"/>
      <c r="DE205" s="302"/>
      <c r="DF205" s="302"/>
      <c r="DG205" s="302"/>
      <c r="DH205" s="302"/>
      <c r="DI205" s="302"/>
      <c r="DJ205" s="302"/>
      <c r="DK205" s="302"/>
      <c r="DL205" s="302"/>
      <c r="DM205" s="302"/>
      <c r="DN205" s="302"/>
      <c r="DO205" s="302"/>
      <c r="DP205" s="302"/>
      <c r="DQ205" s="302"/>
      <c r="DR205" s="302"/>
      <c r="DS205" s="302"/>
      <c r="DT205" s="302"/>
      <c r="DU205" s="302"/>
      <c r="DV205" s="302"/>
      <c r="DW205" s="302"/>
      <c r="DX205" s="302"/>
      <c r="DY205" s="302"/>
      <c r="DZ205" s="302"/>
      <c r="EA205" s="302"/>
      <c r="EB205" s="302"/>
      <c r="EC205" s="302"/>
      <c r="ED205" s="302"/>
      <c r="EE205" s="302"/>
      <c r="EF205" s="302"/>
      <c r="EG205" s="302"/>
      <c r="EH205" s="302"/>
      <c r="EI205" s="302"/>
      <c r="EJ205" s="302"/>
      <c r="EK205" s="302"/>
      <c r="EL205" s="302"/>
      <c r="EM205" s="302"/>
      <c r="EN205" s="302"/>
      <c r="EO205" s="302"/>
      <c r="EP205" s="302"/>
      <c r="EQ205" s="302"/>
      <c r="ER205" s="302"/>
      <c r="ES205" s="302"/>
      <c r="ET205" s="302"/>
      <c r="EU205" s="302"/>
      <c r="EV205" s="302"/>
      <c r="EW205" s="302"/>
      <c r="EX205" s="302"/>
      <c r="EY205" s="302"/>
      <c r="EZ205" s="302"/>
      <c r="FA205" s="302"/>
      <c r="FB205" s="302"/>
      <c r="FC205" s="302"/>
      <c r="FD205" s="302"/>
      <c r="FE205" s="302"/>
      <c r="FF205" s="302"/>
      <c r="FG205" s="302"/>
      <c r="FH205" s="302"/>
      <c r="FI205" s="302"/>
      <c r="FJ205" s="302"/>
      <c r="FK205" s="302"/>
      <c r="FL205" s="302"/>
      <c r="FM205" s="302"/>
      <c r="FN205" s="302"/>
      <c r="FO205" s="302"/>
      <c r="FP205" s="302"/>
      <c r="FQ205" s="302"/>
      <c r="FR205" s="302"/>
      <c r="FS205" s="302"/>
      <c r="FT205" s="302"/>
      <c r="FU205" s="302"/>
      <c r="FV205" s="302"/>
      <c r="FW205" s="302"/>
      <c r="FX205" s="302"/>
      <c r="FY205" s="302"/>
      <c r="FZ205" s="302"/>
      <c r="GA205" s="302"/>
      <c r="GB205" s="302"/>
      <c r="GC205" s="302"/>
      <c r="GD205" s="302"/>
      <c r="GE205" s="302"/>
      <c r="GF205" s="302"/>
      <c r="GG205" s="302"/>
      <c r="GH205" s="302"/>
      <c r="GI205" s="302"/>
      <c r="GJ205" s="302"/>
      <c r="GK205" s="302"/>
      <c r="GL205" s="302"/>
      <c r="GM205" s="302"/>
      <c r="GN205" s="302"/>
      <c r="GO205" s="302"/>
      <c r="GP205" s="302"/>
      <c r="GQ205" s="302"/>
      <c r="GR205" s="302"/>
      <c r="GS205" s="302"/>
      <c r="GT205" s="302"/>
      <c r="GU205" s="302"/>
      <c r="GV205" s="302"/>
      <c r="GW205" s="302"/>
      <c r="GX205" s="302"/>
      <c r="GY205" s="302"/>
      <c r="GZ205" s="302"/>
      <c r="HA205" s="302"/>
      <c r="HB205" s="302"/>
      <c r="HC205" s="302"/>
      <c r="HD205" s="302"/>
      <c r="HE205" s="302"/>
      <c r="HF205" s="302"/>
      <c r="HG205" s="302"/>
      <c r="HH205" s="302"/>
      <c r="HI205" s="302"/>
      <c r="HJ205" s="302"/>
      <c r="HK205" s="302"/>
      <c r="HL205" s="302"/>
      <c r="HM205" s="302"/>
      <c r="HN205" s="302"/>
      <c r="HO205" s="302"/>
      <c r="HP205" s="302"/>
      <c r="HQ205" s="302"/>
      <c r="HR205" s="302"/>
      <c r="HS205" s="302"/>
      <c r="HT205" s="302"/>
      <c r="HU205" s="302"/>
      <c r="HV205" s="302"/>
      <c r="HW205" s="302"/>
      <c r="HX205" s="302"/>
      <c r="HY205" s="302"/>
      <c r="HZ205" s="302"/>
      <c r="IA205" s="302"/>
      <c r="IB205" s="302"/>
      <c r="IC205" s="302"/>
      <c r="ID205" s="302"/>
      <c r="IE205" s="302"/>
      <c r="IF205" s="302"/>
      <c r="IG205" s="302"/>
      <c r="IH205" s="302"/>
      <c r="II205" s="302"/>
      <c r="IJ205" s="302"/>
      <c r="IK205" s="302"/>
      <c r="IL205" s="302"/>
      <c r="IM205" s="302"/>
      <c r="IN205" s="302"/>
      <c r="IO205" s="302"/>
      <c r="IP205" s="302"/>
      <c r="IQ205" s="302"/>
      <c r="IR205" s="302"/>
      <c r="IS205" s="302"/>
      <c r="IT205" s="302"/>
      <c r="IU205" s="302"/>
      <c r="IV205" s="302"/>
      <c r="IW205" s="302"/>
      <c r="IX205" s="302"/>
      <c r="IY205" s="302"/>
      <c r="IZ205" s="302"/>
      <c r="JA205" s="302"/>
      <c r="JB205" s="302"/>
      <c r="JC205" s="302"/>
      <c r="JD205" s="302"/>
      <c r="JE205" s="302"/>
      <c r="JF205" s="302"/>
      <c r="JG205" s="302"/>
      <c r="JH205" s="302"/>
      <c r="JI205" s="302"/>
      <c r="JJ205" s="302"/>
      <c r="JK205" s="302"/>
      <c r="JL205" s="302"/>
      <c r="JM205" s="302"/>
      <c r="JN205" s="302"/>
      <c r="JO205" s="302"/>
      <c r="JP205" s="302"/>
      <c r="JQ205" s="302"/>
      <c r="JR205" s="302"/>
      <c r="JS205" s="302"/>
      <c r="JT205" s="302"/>
      <c r="JU205" s="302"/>
      <c r="JV205" s="302"/>
      <c r="JW205" s="302"/>
      <c r="JX205" s="302"/>
      <c r="JY205" s="302"/>
      <c r="JZ205" s="302"/>
      <c r="KA205" s="302"/>
      <c r="KB205" s="302"/>
      <c r="KC205" s="302"/>
      <c r="KD205" s="302"/>
      <c r="KE205" s="302"/>
      <c r="KF205" s="302"/>
      <c r="KG205" s="302"/>
      <c r="KH205" s="302"/>
      <c r="KI205" s="302"/>
      <c r="KJ205" s="302"/>
      <c r="KK205" s="302"/>
      <c r="KL205" s="302"/>
      <c r="KM205" s="302"/>
      <c r="KN205" s="302"/>
      <c r="KO205" s="302"/>
      <c r="KP205" s="302"/>
      <c r="KQ205" s="302"/>
      <c r="KR205" s="302"/>
      <c r="KS205" s="302"/>
      <c r="KT205" s="302"/>
      <c r="KU205" s="302"/>
      <c r="KV205" s="302"/>
      <c r="KW205" s="302"/>
      <c r="KX205" s="302"/>
      <c r="KY205" s="302"/>
      <c r="KZ205" s="302"/>
      <c r="LA205" s="302"/>
      <c r="LB205" s="302"/>
      <c r="LC205" s="302"/>
      <c r="LD205" s="302"/>
      <c r="LE205" s="302"/>
      <c r="LF205" s="302"/>
      <c r="LG205" s="302"/>
      <c r="LH205" s="302"/>
      <c r="LI205" s="302"/>
      <c r="LJ205" s="302"/>
      <c r="LK205" s="302"/>
      <c r="LL205" s="302"/>
      <c r="LM205" s="302"/>
      <c r="LN205" s="302"/>
      <c r="LO205" s="302"/>
      <c r="LP205" s="302"/>
      <c r="LQ205" s="302"/>
      <c r="LR205" s="302"/>
      <c r="LS205" s="302"/>
      <c r="LT205" s="302"/>
      <c r="LU205" s="302"/>
      <c r="LV205" s="302"/>
      <c r="LW205" s="302"/>
      <c r="LX205" s="302"/>
      <c r="LY205" s="302"/>
      <c r="LZ205" s="302"/>
      <c r="MA205" s="302"/>
      <c r="MB205" s="302"/>
      <c r="MC205" s="302"/>
      <c r="MD205" s="302"/>
      <c r="ME205" s="302"/>
      <c r="MF205" s="302"/>
      <c r="MG205" s="302"/>
      <c r="MH205" s="302"/>
      <c r="MI205" s="302"/>
      <c r="MJ205" s="302"/>
      <c r="MK205" s="302"/>
      <c r="ML205" s="302"/>
      <c r="MM205" s="302"/>
      <c r="MN205" s="302"/>
      <c r="MO205" s="302"/>
      <c r="MP205" s="302"/>
      <c r="MQ205" s="302"/>
      <c r="MR205" s="302"/>
      <c r="MS205" s="302"/>
      <c r="MT205" s="302"/>
      <c r="MU205" s="302"/>
      <c r="MV205" s="302"/>
      <c r="MW205" s="302"/>
      <c r="MX205" s="302"/>
      <c r="MY205" s="302"/>
      <c r="MZ205" s="302"/>
      <c r="NA205" s="302"/>
      <c r="NB205" s="302"/>
      <c r="NC205" s="302"/>
      <c r="ND205" s="302"/>
      <c r="NE205" s="302"/>
      <c r="NF205" s="302"/>
      <c r="NG205" s="302"/>
      <c r="NH205" s="302"/>
      <c r="NI205" s="302"/>
      <c r="NJ205" s="302"/>
      <c r="NK205" s="302"/>
      <c r="NL205" s="302"/>
      <c r="NM205" s="302"/>
      <c r="NN205" s="302"/>
      <c r="NO205" s="302"/>
      <c r="NP205" s="302"/>
      <c r="NQ205" s="302"/>
      <c r="NR205" s="302"/>
      <c r="NS205" s="302"/>
      <c r="NT205" s="302"/>
      <c r="NU205" s="302"/>
      <c r="NV205" s="302"/>
      <c r="NW205" s="302"/>
      <c r="NX205" s="302"/>
      <c r="NY205" s="302"/>
      <c r="NZ205" s="302"/>
      <c r="OA205" s="302"/>
      <c r="OB205" s="302"/>
      <c r="OC205" s="302"/>
      <c r="OD205" s="302"/>
      <c r="OE205" s="302"/>
      <c r="OF205" s="302"/>
      <c r="OG205" s="302"/>
      <c r="OH205" s="302"/>
      <c r="OI205" s="302"/>
      <c r="OJ205" s="302"/>
      <c r="OK205" s="302"/>
      <c r="OL205" s="302"/>
      <c r="OM205" s="302"/>
      <c r="ON205" s="302"/>
      <c r="OO205" s="302"/>
      <c r="OP205" s="302"/>
      <c r="OQ205" s="302"/>
      <c r="OR205" s="302"/>
      <c r="OS205" s="302"/>
      <c r="OT205" s="302"/>
      <c r="OU205" s="302"/>
      <c r="OV205" s="302"/>
      <c r="OW205" s="302"/>
      <c r="OX205" s="302"/>
      <c r="OY205" s="302"/>
      <c r="OZ205" s="302"/>
      <c r="PA205" s="302"/>
      <c r="PB205" s="302"/>
      <c r="PC205" s="302"/>
      <c r="PD205" s="302"/>
      <c r="PE205" s="302"/>
      <c r="PF205" s="302"/>
      <c r="PG205" s="302"/>
      <c r="PH205" s="302"/>
      <c r="PI205" s="302"/>
      <c r="PJ205" s="302"/>
      <c r="PK205" s="302"/>
      <c r="PL205" s="302"/>
      <c r="PM205" s="302"/>
      <c r="PN205" s="302"/>
      <c r="PO205" s="302"/>
      <c r="PP205" s="302"/>
      <c r="PQ205" s="302"/>
      <c r="PR205" s="302"/>
      <c r="PS205" s="302"/>
      <c r="PT205" s="302"/>
      <c r="PU205" s="302"/>
      <c r="PV205" s="302"/>
      <c r="PW205" s="302"/>
      <c r="PX205" s="302"/>
      <c r="PY205" s="302"/>
      <c r="PZ205" s="302"/>
      <c r="QA205" s="302"/>
      <c r="QB205" s="302"/>
      <c r="QC205" s="302"/>
      <c r="QD205" s="302"/>
      <c r="QE205" s="302"/>
      <c r="QF205" s="302"/>
      <c r="QG205" s="302"/>
      <c r="QH205" s="302"/>
      <c r="QI205" s="302"/>
      <c r="QJ205" s="302"/>
      <c r="QK205" s="302"/>
      <c r="QL205" s="302"/>
      <c r="QM205" s="302"/>
      <c r="QN205" s="302"/>
      <c r="QO205" s="302"/>
      <c r="QP205" s="302"/>
      <c r="QQ205" s="302"/>
      <c r="QR205" s="302"/>
      <c r="QS205" s="302"/>
      <c r="QT205" s="302"/>
      <c r="QU205" s="302"/>
      <c r="QV205" s="302"/>
      <c r="QW205" s="302"/>
      <c r="QX205" s="302"/>
      <c r="QY205" s="302"/>
      <c r="QZ205" s="302"/>
      <c r="RA205" s="302"/>
      <c r="RB205" s="302"/>
      <c r="RC205" s="302"/>
      <c r="RD205" s="302"/>
      <c r="RE205" s="302"/>
      <c r="RF205" s="302"/>
      <c r="RG205" s="302"/>
      <c r="RH205" s="302"/>
      <c r="RI205" s="302"/>
      <c r="RJ205" s="302"/>
      <c r="RK205" s="302"/>
      <c r="RL205" s="302"/>
      <c r="RM205" s="302"/>
      <c r="RN205" s="302"/>
      <c r="RO205" s="302"/>
      <c r="RP205" s="302"/>
      <c r="RQ205" s="302"/>
      <c r="RR205" s="302"/>
      <c r="RS205" s="302"/>
      <c r="RT205" s="302"/>
      <c r="RU205" s="302"/>
      <c r="RV205" s="302"/>
      <c r="RW205" s="302"/>
      <c r="RX205" s="302"/>
      <c r="RY205" s="302"/>
      <c r="RZ205" s="302"/>
      <c r="SA205" s="302"/>
      <c r="SB205" s="302"/>
      <c r="SC205" s="302"/>
      <c r="SD205" s="302"/>
      <c r="SE205" s="302"/>
      <c r="SF205" s="302"/>
      <c r="SG205" s="302"/>
      <c r="SH205" s="302"/>
      <c r="SI205" s="302"/>
      <c r="SJ205" s="302"/>
      <c r="SK205" s="302"/>
      <c r="SL205" s="302"/>
      <c r="SM205" s="302"/>
      <c r="SN205" s="302"/>
      <c r="SO205" s="302"/>
      <c r="SP205" s="302"/>
      <c r="SQ205" s="302"/>
      <c r="SR205" s="302"/>
      <c r="SS205" s="302"/>
      <c r="ST205" s="302"/>
      <c r="SU205" s="302"/>
      <c r="SV205" s="302"/>
      <c r="SW205" s="302"/>
      <c r="SX205" s="302"/>
      <c r="SY205" s="302"/>
      <c r="SZ205" s="302"/>
      <c r="TA205" s="302"/>
      <c r="TB205" s="302"/>
      <c r="TC205" s="302"/>
      <c r="TD205" s="302"/>
      <c r="TE205" s="302"/>
      <c r="TF205" s="302"/>
      <c r="TG205" s="302"/>
      <c r="TH205" s="302"/>
      <c r="TI205" s="302"/>
      <c r="TJ205" s="302"/>
      <c r="TK205" s="302"/>
      <c r="TL205" s="302"/>
      <c r="TM205" s="302"/>
      <c r="TN205" s="302"/>
      <c r="TO205" s="302"/>
      <c r="TP205" s="302"/>
      <c r="TQ205" s="302"/>
      <c r="TR205" s="302"/>
      <c r="TS205" s="302"/>
      <c r="TT205" s="302"/>
      <c r="TU205" s="302"/>
      <c r="TV205" s="302"/>
      <c r="TW205" s="302"/>
      <c r="TX205" s="302"/>
      <c r="TY205" s="302"/>
      <c r="TZ205" s="302"/>
      <c r="UA205" s="302"/>
      <c r="UB205" s="302"/>
      <c r="UC205" s="302"/>
      <c r="UD205" s="302"/>
      <c r="UE205" s="302"/>
      <c r="UF205" s="302"/>
      <c r="UG205" s="302"/>
      <c r="UH205" s="302"/>
      <c r="UI205" s="302"/>
      <c r="UJ205" s="302"/>
      <c r="UK205" s="302"/>
      <c r="UL205" s="302"/>
      <c r="UM205" s="302"/>
      <c r="UN205" s="302"/>
      <c r="UO205" s="302"/>
      <c r="UP205" s="302"/>
      <c r="UQ205" s="302"/>
      <c r="UR205" s="302"/>
      <c r="US205" s="302"/>
      <c r="UT205" s="302"/>
      <c r="UU205" s="302"/>
      <c r="UV205" s="302"/>
      <c r="UW205" s="302"/>
      <c r="UX205" s="302"/>
      <c r="UY205" s="302"/>
      <c r="UZ205" s="302"/>
      <c r="VA205" s="302"/>
      <c r="VB205" s="302"/>
      <c r="VC205" s="302"/>
      <c r="VD205" s="302"/>
      <c r="VE205" s="302"/>
      <c r="VF205" s="302"/>
      <c r="VG205" s="302"/>
      <c r="VH205" s="302"/>
      <c r="VI205" s="302"/>
      <c r="VJ205" s="302"/>
      <c r="VK205" s="302"/>
      <c r="VL205" s="302"/>
      <c r="VM205" s="302"/>
      <c r="VN205" s="302"/>
      <c r="VO205" s="302"/>
      <c r="VP205" s="302"/>
      <c r="VQ205" s="302"/>
      <c r="VR205" s="302"/>
      <c r="VS205" s="302"/>
      <c r="VT205" s="302"/>
      <c r="VU205" s="302"/>
      <c r="VV205" s="302"/>
      <c r="VW205" s="302"/>
      <c r="VX205" s="302"/>
      <c r="VY205" s="302"/>
      <c r="VZ205" s="302"/>
      <c r="WA205" s="302"/>
      <c r="WB205" s="302"/>
      <c r="WC205" s="302"/>
      <c r="WD205" s="302"/>
      <c r="WE205" s="302"/>
      <c r="WF205" s="302"/>
      <c r="WG205" s="302"/>
      <c r="WH205" s="302"/>
      <c r="WI205" s="302"/>
      <c r="WJ205" s="302"/>
      <c r="WK205" s="302"/>
      <c r="WL205" s="302"/>
      <c r="WM205" s="302"/>
      <c r="WN205" s="302"/>
      <c r="WO205" s="302"/>
      <c r="WP205" s="302"/>
      <c r="WQ205" s="302"/>
      <c r="WR205" s="302"/>
      <c r="WS205" s="302"/>
      <c r="WT205" s="302"/>
      <c r="WU205" s="302"/>
      <c r="WV205" s="302"/>
      <c r="WW205" s="302"/>
      <c r="WX205" s="302"/>
      <c r="WY205" s="302"/>
      <c r="WZ205" s="302"/>
      <c r="XA205" s="302"/>
      <c r="XB205" s="302"/>
      <c r="XC205" s="302"/>
      <c r="XD205" s="302"/>
      <c r="XE205" s="302"/>
      <c r="XF205" s="302"/>
      <c r="XG205" s="302"/>
      <c r="XH205" s="302"/>
      <c r="XI205" s="302"/>
      <c r="XJ205" s="302"/>
      <c r="XK205" s="302"/>
      <c r="XL205" s="302"/>
      <c r="XM205" s="302"/>
      <c r="XN205" s="302"/>
      <c r="XO205" s="302"/>
      <c r="XP205" s="302"/>
      <c r="XQ205" s="302"/>
      <c r="XR205" s="302"/>
      <c r="XS205" s="302"/>
      <c r="XT205" s="302"/>
      <c r="XU205" s="302"/>
      <c r="XV205" s="302"/>
      <c r="XW205" s="302"/>
      <c r="XX205" s="302"/>
      <c r="XY205" s="302"/>
      <c r="XZ205" s="302"/>
      <c r="YA205" s="302"/>
      <c r="YB205" s="302"/>
      <c r="YC205" s="302"/>
      <c r="YD205" s="302"/>
      <c r="YE205" s="302"/>
      <c r="YF205" s="302"/>
      <c r="YG205" s="302"/>
      <c r="YH205" s="302"/>
      <c r="YI205" s="302"/>
      <c r="YJ205" s="302"/>
      <c r="YK205" s="302"/>
      <c r="YL205" s="302"/>
      <c r="YM205" s="302"/>
      <c r="YN205" s="302"/>
      <c r="YO205" s="302"/>
      <c r="YP205" s="302"/>
      <c r="YQ205" s="302"/>
      <c r="YR205" s="302"/>
      <c r="YS205" s="302"/>
      <c r="YT205" s="302"/>
      <c r="YU205" s="302"/>
      <c r="YV205" s="302"/>
      <c r="YW205" s="302"/>
      <c r="YX205" s="302"/>
      <c r="YY205" s="302"/>
      <c r="YZ205" s="302"/>
      <c r="ZA205" s="302"/>
      <c r="ZB205" s="302"/>
      <c r="ZC205" s="302"/>
      <c r="ZD205" s="302"/>
      <c r="ZE205" s="302"/>
      <c r="ZF205" s="302"/>
      <c r="ZG205" s="302"/>
      <c r="ZH205" s="302"/>
      <c r="ZI205" s="302"/>
      <c r="ZJ205" s="302"/>
      <c r="ZK205" s="302"/>
      <c r="ZL205" s="302"/>
      <c r="ZM205" s="302"/>
      <c r="ZN205" s="302"/>
      <c r="ZO205" s="302"/>
      <c r="ZP205" s="302"/>
      <c r="ZQ205" s="302"/>
      <c r="ZR205" s="302"/>
      <c r="ZS205" s="302"/>
      <c r="ZT205" s="302"/>
      <c r="ZU205" s="302"/>
      <c r="ZV205" s="302"/>
      <c r="ZW205" s="302"/>
      <c r="ZX205" s="302"/>
      <c r="ZY205" s="302"/>
      <c r="ZZ205" s="302"/>
      <c r="AAA205" s="302"/>
      <c r="AAB205" s="302"/>
      <c r="AAC205" s="302"/>
      <c r="AAD205" s="302"/>
      <c r="AAE205" s="302"/>
      <c r="AAF205" s="302"/>
      <c r="AAG205" s="302"/>
      <c r="AAH205" s="302"/>
      <c r="AAI205" s="302"/>
      <c r="AAJ205" s="302"/>
      <c r="AAK205" s="302"/>
      <c r="AAL205" s="302"/>
      <c r="AAM205" s="302"/>
      <c r="AAN205" s="302"/>
      <c r="AAO205" s="302"/>
      <c r="AAP205" s="302"/>
      <c r="AAQ205" s="302"/>
      <c r="AAR205" s="302"/>
      <c r="AAS205" s="302"/>
      <c r="AAT205" s="302"/>
      <c r="AAU205" s="302"/>
      <c r="AAV205" s="302"/>
      <c r="AAW205" s="302"/>
      <c r="AAX205" s="302"/>
      <c r="AAY205" s="302"/>
      <c r="AAZ205" s="302"/>
      <c r="ABA205" s="302"/>
      <c r="ABB205" s="302"/>
      <c r="ABC205" s="302"/>
      <c r="ABD205" s="302"/>
      <c r="ABE205" s="302"/>
      <c r="ABF205" s="302"/>
      <c r="ABG205" s="302"/>
      <c r="ABH205" s="302"/>
      <c r="ABI205" s="302"/>
      <c r="ABJ205" s="302"/>
      <c r="ABK205" s="302"/>
      <c r="ABL205" s="302"/>
      <c r="ABM205" s="302"/>
      <c r="ABN205" s="302"/>
      <c r="ABO205" s="302"/>
      <c r="ABP205" s="302"/>
      <c r="ABQ205" s="302"/>
      <c r="ABR205" s="302"/>
      <c r="ABS205" s="302"/>
      <c r="ABT205" s="302"/>
      <c r="ABU205" s="302"/>
      <c r="ABV205" s="302"/>
      <c r="ABW205" s="302"/>
      <c r="ABX205" s="302"/>
      <c r="ABY205" s="302"/>
      <c r="ABZ205" s="302"/>
      <c r="ACA205" s="302"/>
      <c r="ACB205" s="302"/>
      <c r="ACC205" s="302"/>
      <c r="ACD205" s="302"/>
      <c r="ACE205" s="302"/>
      <c r="ACF205" s="302"/>
      <c r="ACG205" s="302"/>
      <c r="ACH205" s="302"/>
      <c r="ACI205" s="302"/>
      <c r="ACJ205" s="302"/>
      <c r="ACK205" s="302"/>
      <c r="ACL205" s="302"/>
      <c r="ACM205" s="302"/>
      <c r="ACN205" s="302"/>
      <c r="ACO205" s="302"/>
      <c r="ACP205" s="302"/>
      <c r="ACQ205" s="302"/>
      <c r="ACR205" s="302"/>
      <c r="ACS205" s="302"/>
      <c r="ACT205" s="302"/>
      <c r="ACU205" s="302"/>
      <c r="ACV205" s="302"/>
      <c r="ACW205" s="302"/>
      <c r="ACX205" s="302"/>
      <c r="ACY205" s="302"/>
      <c r="ACZ205" s="302"/>
      <c r="ADA205" s="302"/>
      <c r="ADB205" s="302"/>
      <c r="ADC205" s="302"/>
      <c r="ADD205" s="302"/>
      <c r="ADE205" s="302"/>
      <c r="ADF205" s="302"/>
      <c r="ADG205" s="302"/>
      <c r="ADH205" s="302"/>
      <c r="ADI205" s="302"/>
      <c r="ADJ205" s="302"/>
      <c r="ADK205" s="302"/>
      <c r="ADL205" s="302"/>
      <c r="ADM205" s="302"/>
      <c r="ADN205" s="302"/>
      <c r="ADO205" s="302"/>
      <c r="ADP205" s="302"/>
      <c r="ADQ205" s="302"/>
      <c r="ADR205" s="302"/>
      <c r="ADS205" s="302"/>
      <c r="ADT205" s="302"/>
      <c r="ADU205" s="302"/>
      <c r="ADV205" s="302"/>
      <c r="ADW205" s="302"/>
      <c r="ADX205" s="302"/>
      <c r="ADY205" s="302"/>
      <c r="ADZ205" s="302"/>
      <c r="AEA205" s="302"/>
      <c r="AEB205" s="302"/>
      <c r="AEC205" s="302"/>
      <c r="AED205" s="302"/>
      <c r="AEE205" s="302"/>
      <c r="AEF205" s="302"/>
      <c r="AEG205" s="302"/>
      <c r="AEH205" s="302"/>
      <c r="AEI205" s="302"/>
      <c r="AEJ205" s="302"/>
      <c r="AEK205" s="302"/>
      <c r="AEL205" s="302"/>
      <c r="AEM205" s="302"/>
      <c r="AEN205" s="302"/>
      <c r="AEO205" s="302"/>
      <c r="AEP205" s="302"/>
      <c r="AEQ205" s="302"/>
      <c r="AER205" s="302"/>
      <c r="AES205" s="302"/>
      <c r="AET205" s="302"/>
      <c r="AEU205" s="302"/>
      <c r="AEV205" s="302"/>
      <c r="AEW205" s="302"/>
      <c r="AEX205" s="302"/>
      <c r="AEY205" s="302"/>
      <c r="AEZ205" s="302"/>
      <c r="AFA205" s="302"/>
      <c r="AFB205" s="302"/>
      <c r="AFC205" s="302"/>
      <c r="AFD205" s="302"/>
      <c r="AFE205" s="302"/>
      <c r="AFF205" s="302"/>
      <c r="AFG205" s="302"/>
      <c r="AFH205" s="302"/>
      <c r="AFI205" s="302"/>
      <c r="AFJ205" s="302"/>
      <c r="AFK205" s="302"/>
      <c r="AFL205" s="302"/>
      <c r="AFM205" s="302"/>
      <c r="AFN205" s="302"/>
      <c r="AFO205" s="302"/>
      <c r="AFP205" s="302"/>
      <c r="AFQ205" s="302"/>
      <c r="AFR205" s="302"/>
      <c r="AFS205" s="302"/>
      <c r="AFT205" s="302"/>
      <c r="AFU205" s="302"/>
      <c r="AFV205" s="302"/>
      <c r="AFW205" s="302"/>
      <c r="AFX205" s="302"/>
      <c r="AFY205" s="302"/>
      <c r="AFZ205" s="302"/>
      <c r="AGA205" s="302"/>
      <c r="AGB205" s="302"/>
      <c r="AGC205" s="302"/>
      <c r="AGD205" s="302"/>
      <c r="AGE205" s="302"/>
      <c r="AGF205" s="302"/>
      <c r="AGG205" s="302"/>
      <c r="AGH205" s="302"/>
      <c r="AGI205" s="302"/>
      <c r="AGJ205" s="302"/>
      <c r="AGK205" s="302"/>
      <c r="AGL205" s="302"/>
      <c r="AGM205" s="302"/>
      <c r="AGN205" s="302"/>
      <c r="AGO205" s="302"/>
      <c r="AGP205" s="302"/>
      <c r="AGQ205" s="302"/>
      <c r="AGR205" s="302"/>
      <c r="AGS205" s="302"/>
      <c r="AGT205" s="302"/>
      <c r="AGU205" s="302"/>
      <c r="AGV205" s="302"/>
      <c r="AGW205" s="302"/>
      <c r="AGX205" s="302"/>
      <c r="AGY205" s="302"/>
      <c r="AGZ205" s="302"/>
      <c r="AHA205" s="302"/>
      <c r="AHB205" s="302"/>
      <c r="AHC205" s="302"/>
      <c r="AHD205" s="302"/>
      <c r="AHE205" s="302"/>
      <c r="AHF205" s="302"/>
      <c r="AHG205" s="302"/>
      <c r="AHH205" s="302"/>
      <c r="AHI205" s="302"/>
      <c r="AHJ205" s="302"/>
      <c r="AHK205" s="302"/>
      <c r="AHL205" s="302"/>
      <c r="AHM205" s="302"/>
      <c r="AHN205" s="302"/>
      <c r="AHO205" s="302"/>
      <c r="AHP205" s="302"/>
      <c r="AHQ205" s="302"/>
      <c r="AHR205" s="302"/>
      <c r="AHS205" s="302"/>
      <c r="AHT205" s="302"/>
      <c r="AHU205" s="302"/>
      <c r="AHV205" s="302"/>
      <c r="AHW205" s="302"/>
      <c r="AHX205" s="302"/>
      <c r="AHY205" s="302"/>
      <c r="AHZ205" s="302"/>
      <c r="AIA205" s="302"/>
      <c r="AIB205" s="302"/>
      <c r="AIC205" s="302"/>
      <c r="AID205" s="302"/>
      <c r="AIE205" s="302"/>
      <c r="AIF205" s="302"/>
      <c r="AIG205" s="302"/>
      <c r="AIH205" s="302"/>
      <c r="AII205" s="302"/>
      <c r="AIJ205" s="302"/>
      <c r="AIK205" s="302"/>
      <c r="AIL205" s="302"/>
      <c r="AIM205" s="302"/>
      <c r="AIN205" s="302"/>
      <c r="AIO205" s="302"/>
      <c r="AIP205" s="302"/>
      <c r="AIQ205" s="302"/>
      <c r="AIR205" s="302"/>
      <c r="AIS205" s="302"/>
      <c r="AIT205" s="302"/>
      <c r="AIU205" s="302"/>
      <c r="AIV205" s="302"/>
      <c r="AIW205" s="302"/>
      <c r="AIX205" s="302"/>
      <c r="AIY205" s="302"/>
      <c r="AIZ205" s="302"/>
      <c r="AJA205" s="302"/>
      <c r="AJB205" s="302"/>
      <c r="AJC205" s="302"/>
      <c r="AJD205" s="302"/>
      <c r="AJE205" s="302"/>
      <c r="AJF205" s="302"/>
      <c r="AJG205" s="302"/>
      <c r="AJH205" s="302"/>
      <c r="AJI205" s="302"/>
      <c r="AJJ205" s="302"/>
      <c r="AJK205" s="302"/>
      <c r="AJL205" s="302"/>
      <c r="AJM205" s="302"/>
      <c r="AJN205" s="302"/>
      <c r="AJO205" s="302"/>
      <c r="AJP205" s="302"/>
      <c r="AJQ205" s="302"/>
      <c r="AJR205" s="302"/>
      <c r="AJS205" s="302"/>
      <c r="AJT205" s="302"/>
      <c r="AJU205" s="302"/>
      <c r="AJV205" s="302"/>
      <c r="AJW205" s="302"/>
      <c r="AJX205" s="302"/>
      <c r="AJY205" s="302"/>
      <c r="AJZ205" s="302"/>
      <c r="AKA205" s="302"/>
      <c r="AKB205" s="302"/>
      <c r="AKC205" s="302"/>
      <c r="AKD205" s="302"/>
      <c r="AKE205" s="302"/>
      <c r="AKF205" s="302"/>
      <c r="AKG205" s="302"/>
      <c r="AKH205" s="302"/>
      <c r="AKI205" s="302"/>
      <c r="AKJ205" s="302"/>
      <c r="AKK205" s="302"/>
      <c r="AKL205" s="302"/>
      <c r="AKM205" s="302"/>
      <c r="AKN205" s="302"/>
      <c r="AKO205" s="302"/>
      <c r="AKP205" s="302"/>
      <c r="AKQ205" s="302"/>
      <c r="AKR205" s="302"/>
      <c r="AKS205" s="302"/>
      <c r="AKT205" s="302"/>
      <c r="AKU205" s="302"/>
      <c r="AKV205" s="302"/>
      <c r="AKW205" s="302"/>
      <c r="AKX205" s="302"/>
      <c r="AKY205" s="302"/>
      <c r="AKZ205" s="302"/>
      <c r="ALA205" s="302"/>
      <c r="ALB205" s="302"/>
      <c r="ALC205" s="302"/>
      <c r="ALD205" s="302"/>
      <c r="ALE205" s="302"/>
      <c r="ALF205" s="302"/>
      <c r="ALG205" s="302"/>
      <c r="ALH205" s="302"/>
      <c r="ALI205" s="302"/>
      <c r="ALJ205" s="302"/>
      <c r="ALK205" s="302"/>
      <c r="ALL205" s="302"/>
      <c r="ALM205" s="302"/>
      <c r="ALN205" s="302"/>
      <c r="ALO205" s="302"/>
      <c r="ALP205" s="302"/>
      <c r="ALQ205" s="302"/>
      <c r="ALR205" s="302"/>
      <c r="ALS205" s="302"/>
      <c r="ALT205" s="302"/>
      <c r="ALU205" s="302"/>
      <c r="ALV205" s="302"/>
      <c r="ALW205" s="302"/>
      <c r="ALX205" s="302"/>
      <c r="ALY205" s="302"/>
      <c r="ALZ205" s="302"/>
      <c r="AMA205" s="302"/>
      <c r="AMB205" s="302"/>
      <c r="AMC205" s="302"/>
      <c r="AMD205" s="302"/>
      <c r="AME205" s="302"/>
      <c r="AMF205" s="302"/>
      <c r="AMG205" s="302"/>
      <c r="AMH205" s="302"/>
      <c r="AMI205" s="302"/>
    </row>
    <row r="206" spans="1:1023" hidden="1">
      <c r="A206" s="302"/>
      <c r="B206" s="462">
        <v>13906</v>
      </c>
      <c r="C206" s="463">
        <v>0.1</v>
      </c>
      <c r="D206" s="464" t="s">
        <v>122</v>
      </c>
      <c r="E206" s="465">
        <v>1400000</v>
      </c>
      <c r="F206" s="499">
        <v>0.05</v>
      </c>
      <c r="G206" s="364">
        <f>E206*F206</f>
        <v>70000</v>
      </c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2"/>
      <c r="AE206" s="302"/>
      <c r="AF206" s="302"/>
      <c r="AG206" s="302"/>
      <c r="AH206" s="302"/>
      <c r="AI206" s="302"/>
      <c r="AJ206" s="302"/>
      <c r="AK206" s="302"/>
      <c r="AL206" s="302"/>
      <c r="AM206" s="302"/>
      <c r="AN206" s="302"/>
      <c r="AO206" s="302"/>
      <c r="AP206" s="302"/>
      <c r="AQ206" s="302"/>
      <c r="AR206" s="302"/>
      <c r="AS206" s="302"/>
      <c r="AT206" s="302"/>
      <c r="AU206" s="302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2"/>
      <c r="BN206" s="302"/>
      <c r="BO206" s="302"/>
      <c r="BP206" s="302"/>
      <c r="BQ206" s="302"/>
      <c r="BR206" s="302"/>
      <c r="BS206" s="302"/>
      <c r="BT206" s="302"/>
      <c r="BU206" s="302"/>
      <c r="BV206" s="302"/>
      <c r="BW206" s="302"/>
      <c r="BX206" s="302"/>
      <c r="BY206" s="302"/>
      <c r="BZ206" s="302"/>
      <c r="CA206" s="302"/>
      <c r="CB206" s="302"/>
      <c r="CC206" s="302"/>
      <c r="CD206" s="302"/>
      <c r="CE206" s="302"/>
      <c r="CF206" s="302"/>
      <c r="CG206" s="302"/>
      <c r="CH206" s="302"/>
      <c r="CI206" s="302"/>
      <c r="CJ206" s="302"/>
      <c r="CK206" s="302"/>
      <c r="CL206" s="302"/>
      <c r="CM206" s="302"/>
      <c r="CN206" s="302"/>
      <c r="CO206" s="302"/>
      <c r="CP206" s="302"/>
      <c r="CQ206" s="302"/>
      <c r="CR206" s="302"/>
      <c r="CS206" s="302"/>
      <c r="CT206" s="302"/>
      <c r="CU206" s="302"/>
      <c r="CV206" s="302"/>
      <c r="CW206" s="302"/>
      <c r="CX206" s="302"/>
      <c r="CY206" s="302"/>
      <c r="CZ206" s="302"/>
      <c r="DA206" s="302"/>
      <c r="DB206" s="302"/>
      <c r="DC206" s="302"/>
      <c r="DD206" s="302"/>
      <c r="DE206" s="302"/>
      <c r="DF206" s="302"/>
      <c r="DG206" s="302"/>
      <c r="DH206" s="302"/>
      <c r="DI206" s="302"/>
      <c r="DJ206" s="302"/>
      <c r="DK206" s="302"/>
      <c r="DL206" s="302"/>
      <c r="DM206" s="302"/>
      <c r="DN206" s="302"/>
      <c r="DO206" s="302"/>
      <c r="DP206" s="302"/>
      <c r="DQ206" s="302"/>
      <c r="DR206" s="302"/>
      <c r="DS206" s="302"/>
      <c r="DT206" s="302"/>
      <c r="DU206" s="302"/>
      <c r="DV206" s="302"/>
      <c r="DW206" s="302"/>
      <c r="DX206" s="302"/>
      <c r="DY206" s="302"/>
      <c r="DZ206" s="302"/>
      <c r="EA206" s="302"/>
      <c r="EB206" s="302"/>
      <c r="EC206" s="302"/>
      <c r="ED206" s="302"/>
      <c r="EE206" s="302"/>
      <c r="EF206" s="302"/>
      <c r="EG206" s="302"/>
      <c r="EH206" s="302"/>
      <c r="EI206" s="302"/>
      <c r="EJ206" s="302"/>
      <c r="EK206" s="302"/>
      <c r="EL206" s="302"/>
      <c r="EM206" s="302"/>
      <c r="EN206" s="302"/>
      <c r="EO206" s="302"/>
      <c r="EP206" s="302"/>
      <c r="EQ206" s="302"/>
      <c r="ER206" s="302"/>
      <c r="ES206" s="302"/>
      <c r="ET206" s="302"/>
      <c r="EU206" s="302"/>
      <c r="EV206" s="302"/>
      <c r="EW206" s="302"/>
      <c r="EX206" s="302"/>
      <c r="EY206" s="302"/>
      <c r="EZ206" s="302"/>
      <c r="FA206" s="302"/>
      <c r="FB206" s="302"/>
      <c r="FC206" s="302"/>
      <c r="FD206" s="302"/>
      <c r="FE206" s="302"/>
      <c r="FF206" s="302"/>
      <c r="FG206" s="302"/>
      <c r="FH206" s="302"/>
      <c r="FI206" s="302"/>
      <c r="FJ206" s="302"/>
      <c r="FK206" s="302"/>
      <c r="FL206" s="302"/>
      <c r="FM206" s="302"/>
      <c r="FN206" s="302"/>
      <c r="FO206" s="302"/>
      <c r="FP206" s="302"/>
      <c r="FQ206" s="302"/>
      <c r="FR206" s="302"/>
      <c r="FS206" s="302"/>
      <c r="FT206" s="302"/>
      <c r="FU206" s="302"/>
      <c r="FV206" s="302"/>
      <c r="FW206" s="302"/>
      <c r="FX206" s="302"/>
      <c r="FY206" s="302"/>
      <c r="FZ206" s="302"/>
      <c r="GA206" s="302"/>
      <c r="GB206" s="302"/>
      <c r="GC206" s="302"/>
      <c r="GD206" s="302"/>
      <c r="GE206" s="302"/>
      <c r="GF206" s="302"/>
      <c r="GG206" s="302"/>
      <c r="GH206" s="302"/>
      <c r="GI206" s="302"/>
      <c r="GJ206" s="302"/>
      <c r="GK206" s="302"/>
      <c r="GL206" s="302"/>
      <c r="GM206" s="302"/>
      <c r="GN206" s="302"/>
      <c r="GO206" s="302"/>
      <c r="GP206" s="302"/>
      <c r="GQ206" s="302"/>
      <c r="GR206" s="302"/>
      <c r="GS206" s="302"/>
      <c r="GT206" s="302"/>
      <c r="GU206" s="302"/>
      <c r="GV206" s="302"/>
      <c r="GW206" s="302"/>
      <c r="GX206" s="302"/>
      <c r="GY206" s="302"/>
      <c r="GZ206" s="302"/>
      <c r="HA206" s="302"/>
      <c r="HB206" s="302"/>
      <c r="HC206" s="302"/>
      <c r="HD206" s="302"/>
      <c r="HE206" s="302"/>
      <c r="HF206" s="302"/>
      <c r="HG206" s="302"/>
      <c r="HH206" s="302"/>
      <c r="HI206" s="302"/>
      <c r="HJ206" s="302"/>
      <c r="HK206" s="302"/>
      <c r="HL206" s="302"/>
      <c r="HM206" s="302"/>
      <c r="HN206" s="302"/>
      <c r="HO206" s="302"/>
      <c r="HP206" s="302"/>
      <c r="HQ206" s="302"/>
      <c r="HR206" s="302"/>
      <c r="HS206" s="302"/>
      <c r="HT206" s="302"/>
      <c r="HU206" s="302"/>
      <c r="HV206" s="302"/>
      <c r="HW206" s="302"/>
      <c r="HX206" s="302"/>
      <c r="HY206" s="302"/>
      <c r="HZ206" s="302"/>
      <c r="IA206" s="302"/>
      <c r="IB206" s="302"/>
      <c r="IC206" s="302"/>
      <c r="ID206" s="302"/>
      <c r="IE206" s="302"/>
      <c r="IF206" s="302"/>
      <c r="IG206" s="302"/>
      <c r="IH206" s="302"/>
      <c r="II206" s="302"/>
      <c r="IJ206" s="302"/>
      <c r="IK206" s="302"/>
      <c r="IL206" s="302"/>
      <c r="IM206" s="302"/>
      <c r="IN206" s="302"/>
      <c r="IO206" s="302"/>
      <c r="IP206" s="302"/>
      <c r="IQ206" s="302"/>
      <c r="IR206" s="302"/>
      <c r="IS206" s="302"/>
      <c r="IT206" s="302"/>
      <c r="IU206" s="302"/>
      <c r="IV206" s="302"/>
      <c r="IW206" s="302"/>
      <c r="IX206" s="302"/>
      <c r="IY206" s="302"/>
      <c r="IZ206" s="302"/>
      <c r="JA206" s="302"/>
      <c r="JB206" s="302"/>
      <c r="JC206" s="302"/>
      <c r="JD206" s="302"/>
      <c r="JE206" s="302"/>
      <c r="JF206" s="302"/>
      <c r="JG206" s="302"/>
      <c r="JH206" s="302"/>
      <c r="JI206" s="302"/>
      <c r="JJ206" s="302"/>
      <c r="JK206" s="302"/>
      <c r="JL206" s="302"/>
      <c r="JM206" s="302"/>
      <c r="JN206" s="302"/>
      <c r="JO206" s="302"/>
      <c r="JP206" s="302"/>
      <c r="JQ206" s="302"/>
      <c r="JR206" s="302"/>
      <c r="JS206" s="302"/>
      <c r="JT206" s="302"/>
      <c r="JU206" s="302"/>
      <c r="JV206" s="302"/>
      <c r="JW206" s="302"/>
      <c r="JX206" s="302"/>
      <c r="JY206" s="302"/>
      <c r="JZ206" s="302"/>
      <c r="KA206" s="302"/>
      <c r="KB206" s="302"/>
      <c r="KC206" s="302"/>
      <c r="KD206" s="302"/>
      <c r="KE206" s="302"/>
      <c r="KF206" s="302"/>
      <c r="KG206" s="302"/>
      <c r="KH206" s="302"/>
      <c r="KI206" s="302"/>
      <c r="KJ206" s="302"/>
      <c r="KK206" s="302"/>
      <c r="KL206" s="302"/>
      <c r="KM206" s="302"/>
      <c r="KN206" s="302"/>
      <c r="KO206" s="302"/>
      <c r="KP206" s="302"/>
      <c r="KQ206" s="302"/>
      <c r="KR206" s="302"/>
      <c r="KS206" s="302"/>
      <c r="KT206" s="302"/>
      <c r="KU206" s="302"/>
      <c r="KV206" s="302"/>
      <c r="KW206" s="302"/>
      <c r="KX206" s="302"/>
      <c r="KY206" s="302"/>
      <c r="KZ206" s="302"/>
      <c r="LA206" s="302"/>
      <c r="LB206" s="302"/>
      <c r="LC206" s="302"/>
      <c r="LD206" s="302"/>
      <c r="LE206" s="302"/>
      <c r="LF206" s="302"/>
      <c r="LG206" s="302"/>
      <c r="LH206" s="302"/>
      <c r="LI206" s="302"/>
      <c r="LJ206" s="302"/>
      <c r="LK206" s="302"/>
      <c r="LL206" s="302"/>
      <c r="LM206" s="302"/>
      <c r="LN206" s="302"/>
      <c r="LO206" s="302"/>
      <c r="LP206" s="302"/>
      <c r="LQ206" s="302"/>
      <c r="LR206" s="302"/>
      <c r="LS206" s="302"/>
      <c r="LT206" s="302"/>
      <c r="LU206" s="302"/>
      <c r="LV206" s="302"/>
      <c r="LW206" s="302"/>
      <c r="LX206" s="302"/>
      <c r="LY206" s="302"/>
      <c r="LZ206" s="302"/>
      <c r="MA206" s="302"/>
      <c r="MB206" s="302"/>
      <c r="MC206" s="302"/>
      <c r="MD206" s="302"/>
      <c r="ME206" s="302"/>
      <c r="MF206" s="302"/>
      <c r="MG206" s="302"/>
      <c r="MH206" s="302"/>
      <c r="MI206" s="302"/>
      <c r="MJ206" s="302"/>
      <c r="MK206" s="302"/>
      <c r="ML206" s="302"/>
      <c r="MM206" s="302"/>
      <c r="MN206" s="302"/>
      <c r="MO206" s="302"/>
      <c r="MP206" s="302"/>
      <c r="MQ206" s="302"/>
      <c r="MR206" s="302"/>
      <c r="MS206" s="302"/>
      <c r="MT206" s="302"/>
      <c r="MU206" s="302"/>
      <c r="MV206" s="302"/>
      <c r="MW206" s="302"/>
      <c r="MX206" s="302"/>
      <c r="MY206" s="302"/>
      <c r="MZ206" s="302"/>
      <c r="NA206" s="302"/>
      <c r="NB206" s="302"/>
      <c r="NC206" s="302"/>
      <c r="ND206" s="302"/>
      <c r="NE206" s="302"/>
      <c r="NF206" s="302"/>
      <c r="NG206" s="302"/>
      <c r="NH206" s="302"/>
      <c r="NI206" s="302"/>
      <c r="NJ206" s="302"/>
      <c r="NK206" s="302"/>
      <c r="NL206" s="302"/>
      <c r="NM206" s="302"/>
      <c r="NN206" s="302"/>
      <c r="NO206" s="302"/>
      <c r="NP206" s="302"/>
      <c r="NQ206" s="302"/>
      <c r="NR206" s="302"/>
      <c r="NS206" s="302"/>
      <c r="NT206" s="302"/>
      <c r="NU206" s="302"/>
      <c r="NV206" s="302"/>
      <c r="NW206" s="302"/>
      <c r="NX206" s="302"/>
      <c r="NY206" s="302"/>
      <c r="NZ206" s="302"/>
      <c r="OA206" s="302"/>
      <c r="OB206" s="302"/>
      <c r="OC206" s="302"/>
      <c r="OD206" s="302"/>
      <c r="OE206" s="302"/>
      <c r="OF206" s="302"/>
      <c r="OG206" s="302"/>
      <c r="OH206" s="302"/>
      <c r="OI206" s="302"/>
      <c r="OJ206" s="302"/>
      <c r="OK206" s="302"/>
      <c r="OL206" s="302"/>
      <c r="OM206" s="302"/>
      <c r="ON206" s="302"/>
      <c r="OO206" s="302"/>
      <c r="OP206" s="302"/>
      <c r="OQ206" s="302"/>
      <c r="OR206" s="302"/>
      <c r="OS206" s="302"/>
      <c r="OT206" s="302"/>
      <c r="OU206" s="302"/>
      <c r="OV206" s="302"/>
      <c r="OW206" s="302"/>
      <c r="OX206" s="302"/>
      <c r="OY206" s="302"/>
      <c r="OZ206" s="302"/>
      <c r="PA206" s="302"/>
      <c r="PB206" s="302"/>
      <c r="PC206" s="302"/>
      <c r="PD206" s="302"/>
      <c r="PE206" s="302"/>
      <c r="PF206" s="302"/>
      <c r="PG206" s="302"/>
      <c r="PH206" s="302"/>
      <c r="PI206" s="302"/>
      <c r="PJ206" s="302"/>
      <c r="PK206" s="302"/>
      <c r="PL206" s="302"/>
      <c r="PM206" s="302"/>
      <c r="PN206" s="302"/>
      <c r="PO206" s="302"/>
      <c r="PP206" s="302"/>
      <c r="PQ206" s="302"/>
      <c r="PR206" s="302"/>
      <c r="PS206" s="302"/>
      <c r="PT206" s="302"/>
      <c r="PU206" s="302"/>
      <c r="PV206" s="302"/>
      <c r="PW206" s="302"/>
      <c r="PX206" s="302"/>
      <c r="PY206" s="302"/>
      <c r="PZ206" s="302"/>
      <c r="QA206" s="302"/>
      <c r="QB206" s="302"/>
      <c r="QC206" s="302"/>
      <c r="QD206" s="302"/>
      <c r="QE206" s="302"/>
      <c r="QF206" s="302"/>
      <c r="QG206" s="302"/>
      <c r="QH206" s="302"/>
      <c r="QI206" s="302"/>
      <c r="QJ206" s="302"/>
      <c r="QK206" s="302"/>
      <c r="QL206" s="302"/>
      <c r="QM206" s="302"/>
      <c r="QN206" s="302"/>
      <c r="QO206" s="302"/>
      <c r="QP206" s="302"/>
      <c r="QQ206" s="302"/>
      <c r="QR206" s="302"/>
      <c r="QS206" s="302"/>
      <c r="QT206" s="302"/>
      <c r="QU206" s="302"/>
      <c r="QV206" s="302"/>
      <c r="QW206" s="302"/>
      <c r="QX206" s="302"/>
      <c r="QY206" s="302"/>
      <c r="QZ206" s="302"/>
      <c r="RA206" s="302"/>
      <c r="RB206" s="302"/>
      <c r="RC206" s="302"/>
      <c r="RD206" s="302"/>
      <c r="RE206" s="302"/>
      <c r="RF206" s="302"/>
      <c r="RG206" s="302"/>
      <c r="RH206" s="302"/>
      <c r="RI206" s="302"/>
      <c r="RJ206" s="302"/>
      <c r="RK206" s="302"/>
      <c r="RL206" s="302"/>
      <c r="RM206" s="302"/>
      <c r="RN206" s="302"/>
      <c r="RO206" s="302"/>
      <c r="RP206" s="302"/>
      <c r="RQ206" s="302"/>
      <c r="RR206" s="302"/>
      <c r="RS206" s="302"/>
      <c r="RT206" s="302"/>
      <c r="RU206" s="302"/>
      <c r="RV206" s="302"/>
      <c r="RW206" s="302"/>
      <c r="RX206" s="302"/>
      <c r="RY206" s="302"/>
      <c r="RZ206" s="302"/>
      <c r="SA206" s="302"/>
      <c r="SB206" s="302"/>
      <c r="SC206" s="302"/>
      <c r="SD206" s="302"/>
      <c r="SE206" s="302"/>
      <c r="SF206" s="302"/>
      <c r="SG206" s="302"/>
      <c r="SH206" s="302"/>
      <c r="SI206" s="302"/>
      <c r="SJ206" s="302"/>
      <c r="SK206" s="302"/>
      <c r="SL206" s="302"/>
      <c r="SM206" s="302"/>
      <c r="SN206" s="302"/>
      <c r="SO206" s="302"/>
      <c r="SP206" s="302"/>
      <c r="SQ206" s="302"/>
      <c r="SR206" s="302"/>
      <c r="SS206" s="302"/>
      <c r="ST206" s="302"/>
      <c r="SU206" s="302"/>
      <c r="SV206" s="302"/>
      <c r="SW206" s="302"/>
      <c r="SX206" s="302"/>
      <c r="SY206" s="302"/>
      <c r="SZ206" s="302"/>
      <c r="TA206" s="302"/>
      <c r="TB206" s="302"/>
      <c r="TC206" s="302"/>
      <c r="TD206" s="302"/>
      <c r="TE206" s="302"/>
      <c r="TF206" s="302"/>
      <c r="TG206" s="302"/>
      <c r="TH206" s="302"/>
      <c r="TI206" s="302"/>
      <c r="TJ206" s="302"/>
      <c r="TK206" s="302"/>
      <c r="TL206" s="302"/>
      <c r="TM206" s="302"/>
      <c r="TN206" s="302"/>
      <c r="TO206" s="302"/>
      <c r="TP206" s="302"/>
      <c r="TQ206" s="302"/>
      <c r="TR206" s="302"/>
      <c r="TS206" s="302"/>
      <c r="TT206" s="302"/>
      <c r="TU206" s="302"/>
      <c r="TV206" s="302"/>
      <c r="TW206" s="302"/>
      <c r="TX206" s="302"/>
      <c r="TY206" s="302"/>
      <c r="TZ206" s="302"/>
      <c r="UA206" s="302"/>
      <c r="UB206" s="302"/>
      <c r="UC206" s="302"/>
      <c r="UD206" s="302"/>
      <c r="UE206" s="302"/>
      <c r="UF206" s="302"/>
      <c r="UG206" s="302"/>
      <c r="UH206" s="302"/>
      <c r="UI206" s="302"/>
      <c r="UJ206" s="302"/>
      <c r="UK206" s="302"/>
      <c r="UL206" s="302"/>
      <c r="UM206" s="302"/>
      <c r="UN206" s="302"/>
      <c r="UO206" s="302"/>
      <c r="UP206" s="302"/>
      <c r="UQ206" s="302"/>
      <c r="UR206" s="302"/>
      <c r="US206" s="302"/>
      <c r="UT206" s="302"/>
      <c r="UU206" s="302"/>
      <c r="UV206" s="302"/>
      <c r="UW206" s="302"/>
      <c r="UX206" s="302"/>
      <c r="UY206" s="302"/>
      <c r="UZ206" s="302"/>
      <c r="VA206" s="302"/>
      <c r="VB206" s="302"/>
      <c r="VC206" s="302"/>
      <c r="VD206" s="302"/>
      <c r="VE206" s="302"/>
      <c r="VF206" s="302"/>
      <c r="VG206" s="302"/>
      <c r="VH206" s="302"/>
      <c r="VI206" s="302"/>
      <c r="VJ206" s="302"/>
      <c r="VK206" s="302"/>
      <c r="VL206" s="302"/>
      <c r="VM206" s="302"/>
      <c r="VN206" s="302"/>
      <c r="VO206" s="302"/>
      <c r="VP206" s="302"/>
      <c r="VQ206" s="302"/>
      <c r="VR206" s="302"/>
      <c r="VS206" s="302"/>
      <c r="VT206" s="302"/>
      <c r="VU206" s="302"/>
      <c r="VV206" s="302"/>
      <c r="VW206" s="302"/>
      <c r="VX206" s="302"/>
      <c r="VY206" s="302"/>
      <c r="VZ206" s="302"/>
      <c r="WA206" s="302"/>
      <c r="WB206" s="302"/>
      <c r="WC206" s="302"/>
      <c r="WD206" s="302"/>
      <c r="WE206" s="302"/>
      <c r="WF206" s="302"/>
      <c r="WG206" s="302"/>
      <c r="WH206" s="302"/>
      <c r="WI206" s="302"/>
      <c r="WJ206" s="302"/>
      <c r="WK206" s="302"/>
      <c r="WL206" s="302"/>
      <c r="WM206" s="302"/>
      <c r="WN206" s="302"/>
      <c r="WO206" s="302"/>
      <c r="WP206" s="302"/>
      <c r="WQ206" s="302"/>
      <c r="WR206" s="302"/>
      <c r="WS206" s="302"/>
      <c r="WT206" s="302"/>
      <c r="WU206" s="302"/>
      <c r="WV206" s="302"/>
      <c r="WW206" s="302"/>
      <c r="WX206" s="302"/>
      <c r="WY206" s="302"/>
      <c r="WZ206" s="302"/>
      <c r="XA206" s="302"/>
      <c r="XB206" s="302"/>
      <c r="XC206" s="302"/>
      <c r="XD206" s="302"/>
      <c r="XE206" s="302"/>
      <c r="XF206" s="302"/>
      <c r="XG206" s="302"/>
      <c r="XH206" s="302"/>
      <c r="XI206" s="302"/>
      <c r="XJ206" s="302"/>
      <c r="XK206" s="302"/>
      <c r="XL206" s="302"/>
      <c r="XM206" s="302"/>
      <c r="XN206" s="302"/>
      <c r="XO206" s="302"/>
      <c r="XP206" s="302"/>
      <c r="XQ206" s="302"/>
      <c r="XR206" s="302"/>
      <c r="XS206" s="302"/>
      <c r="XT206" s="302"/>
      <c r="XU206" s="302"/>
      <c r="XV206" s="302"/>
      <c r="XW206" s="302"/>
      <c r="XX206" s="302"/>
      <c r="XY206" s="302"/>
      <c r="XZ206" s="302"/>
      <c r="YA206" s="302"/>
      <c r="YB206" s="302"/>
      <c r="YC206" s="302"/>
      <c r="YD206" s="302"/>
      <c r="YE206" s="302"/>
      <c r="YF206" s="302"/>
      <c r="YG206" s="302"/>
      <c r="YH206" s="302"/>
      <c r="YI206" s="302"/>
      <c r="YJ206" s="302"/>
      <c r="YK206" s="302"/>
      <c r="YL206" s="302"/>
      <c r="YM206" s="302"/>
      <c r="YN206" s="302"/>
      <c r="YO206" s="302"/>
      <c r="YP206" s="302"/>
      <c r="YQ206" s="302"/>
      <c r="YR206" s="302"/>
      <c r="YS206" s="302"/>
      <c r="YT206" s="302"/>
      <c r="YU206" s="302"/>
      <c r="YV206" s="302"/>
      <c r="YW206" s="302"/>
      <c r="YX206" s="302"/>
      <c r="YY206" s="302"/>
      <c r="YZ206" s="302"/>
      <c r="ZA206" s="302"/>
      <c r="ZB206" s="302"/>
      <c r="ZC206" s="302"/>
      <c r="ZD206" s="302"/>
      <c r="ZE206" s="302"/>
      <c r="ZF206" s="302"/>
      <c r="ZG206" s="302"/>
      <c r="ZH206" s="302"/>
      <c r="ZI206" s="302"/>
      <c r="ZJ206" s="302"/>
      <c r="ZK206" s="302"/>
      <c r="ZL206" s="302"/>
      <c r="ZM206" s="302"/>
      <c r="ZN206" s="302"/>
      <c r="ZO206" s="302"/>
      <c r="ZP206" s="302"/>
      <c r="ZQ206" s="302"/>
      <c r="ZR206" s="302"/>
      <c r="ZS206" s="302"/>
      <c r="ZT206" s="302"/>
      <c r="ZU206" s="302"/>
      <c r="ZV206" s="302"/>
      <c r="ZW206" s="302"/>
      <c r="ZX206" s="302"/>
      <c r="ZY206" s="302"/>
      <c r="ZZ206" s="302"/>
      <c r="AAA206" s="302"/>
      <c r="AAB206" s="302"/>
      <c r="AAC206" s="302"/>
      <c r="AAD206" s="302"/>
      <c r="AAE206" s="302"/>
      <c r="AAF206" s="302"/>
      <c r="AAG206" s="302"/>
      <c r="AAH206" s="302"/>
      <c r="AAI206" s="302"/>
      <c r="AAJ206" s="302"/>
      <c r="AAK206" s="302"/>
      <c r="AAL206" s="302"/>
      <c r="AAM206" s="302"/>
      <c r="AAN206" s="302"/>
      <c r="AAO206" s="302"/>
      <c r="AAP206" s="302"/>
      <c r="AAQ206" s="302"/>
      <c r="AAR206" s="302"/>
      <c r="AAS206" s="302"/>
      <c r="AAT206" s="302"/>
      <c r="AAU206" s="302"/>
      <c r="AAV206" s="302"/>
      <c r="AAW206" s="302"/>
      <c r="AAX206" s="302"/>
      <c r="AAY206" s="302"/>
      <c r="AAZ206" s="302"/>
      <c r="ABA206" s="302"/>
      <c r="ABB206" s="302"/>
      <c r="ABC206" s="302"/>
      <c r="ABD206" s="302"/>
      <c r="ABE206" s="302"/>
      <c r="ABF206" s="302"/>
      <c r="ABG206" s="302"/>
      <c r="ABH206" s="302"/>
      <c r="ABI206" s="302"/>
      <c r="ABJ206" s="302"/>
      <c r="ABK206" s="302"/>
      <c r="ABL206" s="302"/>
      <c r="ABM206" s="302"/>
      <c r="ABN206" s="302"/>
      <c r="ABO206" s="302"/>
      <c r="ABP206" s="302"/>
      <c r="ABQ206" s="302"/>
      <c r="ABR206" s="302"/>
      <c r="ABS206" s="302"/>
      <c r="ABT206" s="302"/>
      <c r="ABU206" s="302"/>
      <c r="ABV206" s="302"/>
      <c r="ABW206" s="302"/>
      <c r="ABX206" s="302"/>
      <c r="ABY206" s="302"/>
      <c r="ABZ206" s="302"/>
      <c r="ACA206" s="302"/>
      <c r="ACB206" s="302"/>
      <c r="ACC206" s="302"/>
      <c r="ACD206" s="302"/>
      <c r="ACE206" s="302"/>
      <c r="ACF206" s="302"/>
      <c r="ACG206" s="302"/>
      <c r="ACH206" s="302"/>
      <c r="ACI206" s="302"/>
      <c r="ACJ206" s="302"/>
      <c r="ACK206" s="302"/>
      <c r="ACL206" s="302"/>
      <c r="ACM206" s="302"/>
      <c r="ACN206" s="302"/>
      <c r="ACO206" s="302"/>
      <c r="ACP206" s="302"/>
      <c r="ACQ206" s="302"/>
      <c r="ACR206" s="302"/>
      <c r="ACS206" s="302"/>
      <c r="ACT206" s="302"/>
      <c r="ACU206" s="302"/>
      <c r="ACV206" s="302"/>
      <c r="ACW206" s="302"/>
      <c r="ACX206" s="302"/>
      <c r="ACY206" s="302"/>
      <c r="ACZ206" s="302"/>
      <c r="ADA206" s="302"/>
      <c r="ADB206" s="302"/>
      <c r="ADC206" s="302"/>
      <c r="ADD206" s="302"/>
      <c r="ADE206" s="302"/>
      <c r="ADF206" s="302"/>
      <c r="ADG206" s="302"/>
      <c r="ADH206" s="302"/>
      <c r="ADI206" s="302"/>
      <c r="ADJ206" s="302"/>
      <c r="ADK206" s="302"/>
      <c r="ADL206" s="302"/>
      <c r="ADM206" s="302"/>
      <c r="ADN206" s="302"/>
      <c r="ADO206" s="302"/>
      <c r="ADP206" s="302"/>
      <c r="ADQ206" s="302"/>
      <c r="ADR206" s="302"/>
      <c r="ADS206" s="302"/>
      <c r="ADT206" s="302"/>
      <c r="ADU206" s="302"/>
      <c r="ADV206" s="302"/>
      <c r="ADW206" s="302"/>
      <c r="ADX206" s="302"/>
      <c r="ADY206" s="302"/>
      <c r="ADZ206" s="302"/>
      <c r="AEA206" s="302"/>
      <c r="AEB206" s="302"/>
      <c r="AEC206" s="302"/>
      <c r="AED206" s="302"/>
      <c r="AEE206" s="302"/>
      <c r="AEF206" s="302"/>
      <c r="AEG206" s="302"/>
      <c r="AEH206" s="302"/>
      <c r="AEI206" s="302"/>
      <c r="AEJ206" s="302"/>
      <c r="AEK206" s="302"/>
      <c r="AEL206" s="302"/>
      <c r="AEM206" s="302"/>
      <c r="AEN206" s="302"/>
      <c r="AEO206" s="302"/>
      <c r="AEP206" s="302"/>
      <c r="AEQ206" s="302"/>
      <c r="AER206" s="302"/>
      <c r="AES206" s="302"/>
      <c r="AET206" s="302"/>
      <c r="AEU206" s="302"/>
      <c r="AEV206" s="302"/>
      <c r="AEW206" s="302"/>
      <c r="AEX206" s="302"/>
      <c r="AEY206" s="302"/>
      <c r="AEZ206" s="302"/>
      <c r="AFA206" s="302"/>
      <c r="AFB206" s="302"/>
      <c r="AFC206" s="302"/>
      <c r="AFD206" s="302"/>
      <c r="AFE206" s="302"/>
      <c r="AFF206" s="302"/>
      <c r="AFG206" s="302"/>
      <c r="AFH206" s="302"/>
      <c r="AFI206" s="302"/>
      <c r="AFJ206" s="302"/>
      <c r="AFK206" s="302"/>
      <c r="AFL206" s="302"/>
      <c r="AFM206" s="302"/>
      <c r="AFN206" s="302"/>
      <c r="AFO206" s="302"/>
      <c r="AFP206" s="302"/>
      <c r="AFQ206" s="302"/>
      <c r="AFR206" s="302"/>
      <c r="AFS206" s="302"/>
      <c r="AFT206" s="302"/>
      <c r="AFU206" s="302"/>
      <c r="AFV206" s="302"/>
      <c r="AFW206" s="302"/>
      <c r="AFX206" s="302"/>
      <c r="AFY206" s="302"/>
      <c r="AFZ206" s="302"/>
      <c r="AGA206" s="302"/>
      <c r="AGB206" s="302"/>
      <c r="AGC206" s="302"/>
      <c r="AGD206" s="302"/>
      <c r="AGE206" s="302"/>
      <c r="AGF206" s="302"/>
      <c r="AGG206" s="302"/>
      <c r="AGH206" s="302"/>
      <c r="AGI206" s="302"/>
      <c r="AGJ206" s="302"/>
      <c r="AGK206" s="302"/>
      <c r="AGL206" s="302"/>
      <c r="AGM206" s="302"/>
      <c r="AGN206" s="302"/>
      <c r="AGO206" s="302"/>
      <c r="AGP206" s="302"/>
      <c r="AGQ206" s="302"/>
      <c r="AGR206" s="302"/>
      <c r="AGS206" s="302"/>
      <c r="AGT206" s="302"/>
      <c r="AGU206" s="302"/>
      <c r="AGV206" s="302"/>
      <c r="AGW206" s="302"/>
      <c r="AGX206" s="302"/>
      <c r="AGY206" s="302"/>
      <c r="AGZ206" s="302"/>
      <c r="AHA206" s="302"/>
      <c r="AHB206" s="302"/>
      <c r="AHC206" s="302"/>
      <c r="AHD206" s="302"/>
      <c r="AHE206" s="302"/>
      <c r="AHF206" s="302"/>
      <c r="AHG206" s="302"/>
      <c r="AHH206" s="302"/>
      <c r="AHI206" s="302"/>
      <c r="AHJ206" s="302"/>
      <c r="AHK206" s="302"/>
      <c r="AHL206" s="302"/>
      <c r="AHM206" s="302"/>
      <c r="AHN206" s="302"/>
      <c r="AHO206" s="302"/>
      <c r="AHP206" s="302"/>
      <c r="AHQ206" s="302"/>
      <c r="AHR206" s="302"/>
      <c r="AHS206" s="302"/>
      <c r="AHT206" s="302"/>
      <c r="AHU206" s="302"/>
      <c r="AHV206" s="302"/>
      <c r="AHW206" s="302"/>
      <c r="AHX206" s="302"/>
      <c r="AHY206" s="302"/>
      <c r="AHZ206" s="302"/>
      <c r="AIA206" s="302"/>
      <c r="AIB206" s="302"/>
      <c r="AIC206" s="302"/>
      <c r="AID206" s="302"/>
      <c r="AIE206" s="302"/>
      <c r="AIF206" s="302"/>
      <c r="AIG206" s="302"/>
      <c r="AIH206" s="302"/>
      <c r="AII206" s="302"/>
      <c r="AIJ206" s="302"/>
      <c r="AIK206" s="302"/>
      <c r="AIL206" s="302"/>
      <c r="AIM206" s="302"/>
      <c r="AIN206" s="302"/>
      <c r="AIO206" s="302"/>
      <c r="AIP206" s="302"/>
      <c r="AIQ206" s="302"/>
      <c r="AIR206" s="302"/>
      <c r="AIS206" s="302"/>
      <c r="AIT206" s="302"/>
      <c r="AIU206" s="302"/>
      <c r="AIV206" s="302"/>
      <c r="AIW206" s="302"/>
      <c r="AIX206" s="302"/>
      <c r="AIY206" s="302"/>
      <c r="AIZ206" s="302"/>
      <c r="AJA206" s="302"/>
      <c r="AJB206" s="302"/>
      <c r="AJC206" s="302"/>
      <c r="AJD206" s="302"/>
      <c r="AJE206" s="302"/>
      <c r="AJF206" s="302"/>
      <c r="AJG206" s="302"/>
      <c r="AJH206" s="302"/>
      <c r="AJI206" s="302"/>
      <c r="AJJ206" s="302"/>
      <c r="AJK206" s="302"/>
      <c r="AJL206" s="302"/>
      <c r="AJM206" s="302"/>
      <c r="AJN206" s="302"/>
      <c r="AJO206" s="302"/>
      <c r="AJP206" s="302"/>
      <c r="AJQ206" s="302"/>
      <c r="AJR206" s="302"/>
      <c r="AJS206" s="302"/>
      <c r="AJT206" s="302"/>
      <c r="AJU206" s="302"/>
      <c r="AJV206" s="302"/>
      <c r="AJW206" s="302"/>
      <c r="AJX206" s="302"/>
      <c r="AJY206" s="302"/>
      <c r="AJZ206" s="302"/>
      <c r="AKA206" s="302"/>
      <c r="AKB206" s="302"/>
      <c r="AKC206" s="302"/>
      <c r="AKD206" s="302"/>
      <c r="AKE206" s="302"/>
      <c r="AKF206" s="302"/>
      <c r="AKG206" s="302"/>
      <c r="AKH206" s="302"/>
      <c r="AKI206" s="302"/>
      <c r="AKJ206" s="302"/>
      <c r="AKK206" s="302"/>
      <c r="AKL206" s="302"/>
      <c r="AKM206" s="302"/>
      <c r="AKN206" s="302"/>
      <c r="AKO206" s="302"/>
      <c r="AKP206" s="302"/>
      <c r="AKQ206" s="302"/>
      <c r="AKR206" s="302"/>
      <c r="AKS206" s="302"/>
      <c r="AKT206" s="302"/>
      <c r="AKU206" s="302"/>
      <c r="AKV206" s="302"/>
      <c r="AKW206" s="302"/>
      <c r="AKX206" s="302"/>
      <c r="AKY206" s="302"/>
      <c r="AKZ206" s="302"/>
      <c r="ALA206" s="302"/>
      <c r="ALB206" s="302"/>
      <c r="ALC206" s="302"/>
      <c r="ALD206" s="302"/>
      <c r="ALE206" s="302"/>
      <c r="ALF206" s="302"/>
      <c r="ALG206" s="302"/>
      <c r="ALH206" s="302"/>
      <c r="ALI206" s="302"/>
      <c r="ALJ206" s="302"/>
      <c r="ALK206" s="302"/>
      <c r="ALL206" s="302"/>
      <c r="ALM206" s="302"/>
      <c r="ALN206" s="302"/>
      <c r="ALO206" s="302"/>
      <c r="ALP206" s="302"/>
      <c r="ALQ206" s="302"/>
      <c r="ALR206" s="302"/>
      <c r="ALS206" s="302"/>
      <c r="ALT206" s="302"/>
      <c r="ALU206" s="302"/>
      <c r="ALV206" s="302"/>
      <c r="ALW206" s="302"/>
      <c r="ALX206" s="302"/>
      <c r="ALY206" s="302"/>
      <c r="ALZ206" s="302"/>
      <c r="AMA206" s="302"/>
      <c r="AMB206" s="302"/>
      <c r="AMC206" s="302"/>
      <c r="AMD206" s="302"/>
      <c r="AME206" s="302"/>
      <c r="AMF206" s="302"/>
      <c r="AMG206" s="302"/>
      <c r="AMH206" s="302"/>
      <c r="AMI206" s="302"/>
    </row>
    <row r="207" spans="1:1023" hidden="1">
      <c r="A207" s="302"/>
      <c r="B207" s="470">
        <v>13944</v>
      </c>
      <c r="C207" s="471">
        <v>0.1</v>
      </c>
      <c r="D207" s="472" t="s">
        <v>127</v>
      </c>
      <c r="E207" s="473">
        <v>2400000</v>
      </c>
      <c r="F207" s="499">
        <v>0.05</v>
      </c>
      <c r="G207" s="364">
        <f t="shared" ref="G207:G215" si="11">E207*F207</f>
        <v>120000</v>
      </c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2"/>
      <c r="AE207" s="302"/>
      <c r="AF207" s="302"/>
      <c r="AG207" s="302"/>
      <c r="AH207" s="302"/>
      <c r="AI207" s="302"/>
      <c r="AJ207" s="302"/>
      <c r="AK207" s="302"/>
      <c r="AL207" s="302"/>
      <c r="AM207" s="302"/>
      <c r="AN207" s="302"/>
      <c r="AO207" s="302"/>
      <c r="AP207" s="302"/>
      <c r="AQ207" s="302"/>
      <c r="AR207" s="302"/>
      <c r="AS207" s="302"/>
      <c r="AT207" s="302"/>
      <c r="AU207" s="302"/>
      <c r="AV207" s="302"/>
      <c r="AW207" s="302"/>
      <c r="AX207" s="302"/>
      <c r="AY207" s="302"/>
      <c r="AZ207" s="302"/>
      <c r="BA207" s="302"/>
      <c r="BB207" s="302"/>
      <c r="BC207" s="302"/>
      <c r="BD207" s="302"/>
      <c r="BE207" s="302"/>
      <c r="BF207" s="302"/>
      <c r="BG207" s="302"/>
      <c r="BH207" s="302"/>
      <c r="BI207" s="302"/>
      <c r="BJ207" s="302"/>
      <c r="BK207" s="302"/>
      <c r="BL207" s="302"/>
      <c r="BM207" s="302"/>
      <c r="BN207" s="302"/>
      <c r="BO207" s="302"/>
      <c r="BP207" s="302"/>
      <c r="BQ207" s="302"/>
      <c r="BR207" s="302"/>
      <c r="BS207" s="302"/>
      <c r="BT207" s="302"/>
      <c r="BU207" s="302"/>
      <c r="BV207" s="302"/>
      <c r="BW207" s="302"/>
      <c r="BX207" s="302"/>
      <c r="BY207" s="302"/>
      <c r="BZ207" s="302"/>
      <c r="CA207" s="302"/>
      <c r="CB207" s="302"/>
      <c r="CC207" s="302"/>
      <c r="CD207" s="302"/>
      <c r="CE207" s="302"/>
      <c r="CF207" s="302"/>
      <c r="CG207" s="302"/>
      <c r="CH207" s="302"/>
      <c r="CI207" s="302"/>
      <c r="CJ207" s="302"/>
      <c r="CK207" s="302"/>
      <c r="CL207" s="302"/>
      <c r="CM207" s="302"/>
      <c r="CN207" s="302"/>
      <c r="CO207" s="302"/>
      <c r="CP207" s="302"/>
      <c r="CQ207" s="302"/>
      <c r="CR207" s="302"/>
      <c r="CS207" s="302"/>
      <c r="CT207" s="302"/>
      <c r="CU207" s="302"/>
      <c r="CV207" s="302"/>
      <c r="CW207" s="302"/>
      <c r="CX207" s="302"/>
      <c r="CY207" s="302"/>
      <c r="CZ207" s="302"/>
      <c r="DA207" s="302"/>
      <c r="DB207" s="302"/>
      <c r="DC207" s="302"/>
      <c r="DD207" s="302"/>
      <c r="DE207" s="302"/>
      <c r="DF207" s="302"/>
      <c r="DG207" s="302"/>
      <c r="DH207" s="302"/>
      <c r="DI207" s="302"/>
      <c r="DJ207" s="302"/>
      <c r="DK207" s="302"/>
      <c r="DL207" s="302"/>
      <c r="DM207" s="302"/>
      <c r="DN207" s="302"/>
      <c r="DO207" s="302"/>
      <c r="DP207" s="302"/>
      <c r="DQ207" s="302"/>
      <c r="DR207" s="302"/>
      <c r="DS207" s="302"/>
      <c r="DT207" s="302"/>
      <c r="DU207" s="302"/>
      <c r="DV207" s="302"/>
      <c r="DW207" s="302"/>
      <c r="DX207" s="302"/>
      <c r="DY207" s="302"/>
      <c r="DZ207" s="302"/>
      <c r="EA207" s="302"/>
      <c r="EB207" s="302"/>
      <c r="EC207" s="302"/>
      <c r="ED207" s="302"/>
      <c r="EE207" s="302"/>
      <c r="EF207" s="302"/>
      <c r="EG207" s="302"/>
      <c r="EH207" s="302"/>
      <c r="EI207" s="302"/>
      <c r="EJ207" s="302"/>
      <c r="EK207" s="302"/>
      <c r="EL207" s="302"/>
      <c r="EM207" s="302"/>
      <c r="EN207" s="302"/>
      <c r="EO207" s="302"/>
      <c r="EP207" s="302"/>
      <c r="EQ207" s="302"/>
      <c r="ER207" s="302"/>
      <c r="ES207" s="302"/>
      <c r="ET207" s="302"/>
      <c r="EU207" s="302"/>
      <c r="EV207" s="302"/>
      <c r="EW207" s="302"/>
      <c r="EX207" s="302"/>
      <c r="EY207" s="302"/>
      <c r="EZ207" s="302"/>
      <c r="FA207" s="302"/>
      <c r="FB207" s="302"/>
      <c r="FC207" s="302"/>
      <c r="FD207" s="302"/>
      <c r="FE207" s="302"/>
      <c r="FF207" s="302"/>
      <c r="FG207" s="302"/>
      <c r="FH207" s="302"/>
      <c r="FI207" s="302"/>
      <c r="FJ207" s="302"/>
      <c r="FK207" s="302"/>
      <c r="FL207" s="302"/>
      <c r="FM207" s="302"/>
      <c r="FN207" s="302"/>
      <c r="FO207" s="302"/>
      <c r="FP207" s="302"/>
      <c r="FQ207" s="302"/>
      <c r="FR207" s="302"/>
      <c r="FS207" s="302"/>
      <c r="FT207" s="302"/>
      <c r="FU207" s="302"/>
      <c r="FV207" s="302"/>
      <c r="FW207" s="302"/>
      <c r="FX207" s="302"/>
      <c r="FY207" s="302"/>
      <c r="FZ207" s="302"/>
      <c r="GA207" s="302"/>
      <c r="GB207" s="302"/>
      <c r="GC207" s="302"/>
      <c r="GD207" s="302"/>
      <c r="GE207" s="302"/>
      <c r="GF207" s="302"/>
      <c r="GG207" s="302"/>
      <c r="GH207" s="302"/>
      <c r="GI207" s="302"/>
      <c r="GJ207" s="302"/>
      <c r="GK207" s="302"/>
      <c r="GL207" s="302"/>
      <c r="GM207" s="302"/>
      <c r="GN207" s="302"/>
      <c r="GO207" s="302"/>
      <c r="GP207" s="302"/>
      <c r="GQ207" s="302"/>
      <c r="GR207" s="302"/>
      <c r="GS207" s="302"/>
      <c r="GT207" s="302"/>
      <c r="GU207" s="302"/>
      <c r="GV207" s="302"/>
      <c r="GW207" s="302"/>
      <c r="GX207" s="302"/>
      <c r="GY207" s="302"/>
      <c r="GZ207" s="302"/>
      <c r="HA207" s="302"/>
      <c r="HB207" s="302"/>
      <c r="HC207" s="302"/>
      <c r="HD207" s="302"/>
      <c r="HE207" s="302"/>
      <c r="HF207" s="302"/>
      <c r="HG207" s="302"/>
      <c r="HH207" s="302"/>
      <c r="HI207" s="302"/>
      <c r="HJ207" s="302"/>
      <c r="HK207" s="302"/>
      <c r="HL207" s="302"/>
      <c r="HM207" s="302"/>
      <c r="HN207" s="302"/>
      <c r="HO207" s="302"/>
      <c r="HP207" s="302"/>
      <c r="HQ207" s="302"/>
      <c r="HR207" s="302"/>
      <c r="HS207" s="302"/>
      <c r="HT207" s="302"/>
      <c r="HU207" s="302"/>
      <c r="HV207" s="302"/>
      <c r="HW207" s="302"/>
      <c r="HX207" s="302"/>
      <c r="HY207" s="302"/>
      <c r="HZ207" s="302"/>
      <c r="IA207" s="302"/>
      <c r="IB207" s="302"/>
      <c r="IC207" s="302"/>
      <c r="ID207" s="302"/>
      <c r="IE207" s="302"/>
      <c r="IF207" s="302"/>
      <c r="IG207" s="302"/>
      <c r="IH207" s="302"/>
      <c r="II207" s="302"/>
      <c r="IJ207" s="302"/>
      <c r="IK207" s="302"/>
      <c r="IL207" s="302"/>
      <c r="IM207" s="302"/>
      <c r="IN207" s="302"/>
      <c r="IO207" s="302"/>
      <c r="IP207" s="302"/>
      <c r="IQ207" s="302"/>
      <c r="IR207" s="302"/>
      <c r="IS207" s="302"/>
      <c r="IT207" s="302"/>
      <c r="IU207" s="302"/>
      <c r="IV207" s="302"/>
      <c r="IW207" s="302"/>
      <c r="IX207" s="302"/>
      <c r="IY207" s="302"/>
      <c r="IZ207" s="302"/>
      <c r="JA207" s="302"/>
      <c r="JB207" s="302"/>
      <c r="JC207" s="302"/>
      <c r="JD207" s="302"/>
      <c r="JE207" s="302"/>
      <c r="JF207" s="302"/>
      <c r="JG207" s="302"/>
      <c r="JH207" s="302"/>
      <c r="JI207" s="302"/>
      <c r="JJ207" s="302"/>
      <c r="JK207" s="302"/>
      <c r="JL207" s="302"/>
      <c r="JM207" s="302"/>
      <c r="JN207" s="302"/>
      <c r="JO207" s="302"/>
      <c r="JP207" s="302"/>
      <c r="JQ207" s="302"/>
      <c r="JR207" s="302"/>
      <c r="JS207" s="302"/>
      <c r="JT207" s="302"/>
      <c r="JU207" s="302"/>
      <c r="JV207" s="302"/>
      <c r="JW207" s="302"/>
      <c r="JX207" s="302"/>
      <c r="JY207" s="302"/>
      <c r="JZ207" s="302"/>
      <c r="KA207" s="302"/>
      <c r="KB207" s="302"/>
      <c r="KC207" s="302"/>
      <c r="KD207" s="302"/>
      <c r="KE207" s="302"/>
      <c r="KF207" s="302"/>
      <c r="KG207" s="302"/>
      <c r="KH207" s="302"/>
      <c r="KI207" s="302"/>
      <c r="KJ207" s="302"/>
      <c r="KK207" s="302"/>
      <c r="KL207" s="302"/>
      <c r="KM207" s="302"/>
      <c r="KN207" s="302"/>
      <c r="KO207" s="302"/>
      <c r="KP207" s="302"/>
      <c r="KQ207" s="302"/>
      <c r="KR207" s="302"/>
      <c r="KS207" s="302"/>
      <c r="KT207" s="302"/>
      <c r="KU207" s="302"/>
      <c r="KV207" s="302"/>
      <c r="KW207" s="302"/>
      <c r="KX207" s="302"/>
      <c r="KY207" s="302"/>
      <c r="KZ207" s="302"/>
      <c r="LA207" s="302"/>
      <c r="LB207" s="302"/>
      <c r="LC207" s="302"/>
      <c r="LD207" s="302"/>
      <c r="LE207" s="302"/>
      <c r="LF207" s="302"/>
      <c r="LG207" s="302"/>
      <c r="LH207" s="302"/>
      <c r="LI207" s="302"/>
      <c r="LJ207" s="302"/>
      <c r="LK207" s="302"/>
      <c r="LL207" s="302"/>
      <c r="LM207" s="302"/>
      <c r="LN207" s="302"/>
      <c r="LO207" s="302"/>
      <c r="LP207" s="302"/>
      <c r="LQ207" s="302"/>
      <c r="LR207" s="302"/>
      <c r="LS207" s="302"/>
      <c r="LT207" s="302"/>
      <c r="LU207" s="302"/>
      <c r="LV207" s="302"/>
      <c r="LW207" s="302"/>
      <c r="LX207" s="302"/>
      <c r="LY207" s="302"/>
      <c r="LZ207" s="302"/>
      <c r="MA207" s="302"/>
      <c r="MB207" s="302"/>
      <c r="MC207" s="302"/>
      <c r="MD207" s="302"/>
      <c r="ME207" s="302"/>
      <c r="MF207" s="302"/>
      <c r="MG207" s="302"/>
      <c r="MH207" s="302"/>
      <c r="MI207" s="302"/>
      <c r="MJ207" s="302"/>
      <c r="MK207" s="302"/>
      <c r="ML207" s="302"/>
      <c r="MM207" s="302"/>
      <c r="MN207" s="302"/>
      <c r="MO207" s="302"/>
      <c r="MP207" s="302"/>
      <c r="MQ207" s="302"/>
      <c r="MR207" s="302"/>
      <c r="MS207" s="302"/>
      <c r="MT207" s="302"/>
      <c r="MU207" s="302"/>
      <c r="MV207" s="302"/>
      <c r="MW207" s="302"/>
      <c r="MX207" s="302"/>
      <c r="MY207" s="302"/>
      <c r="MZ207" s="302"/>
      <c r="NA207" s="302"/>
      <c r="NB207" s="302"/>
      <c r="NC207" s="302"/>
      <c r="ND207" s="302"/>
      <c r="NE207" s="302"/>
      <c r="NF207" s="302"/>
      <c r="NG207" s="302"/>
      <c r="NH207" s="302"/>
      <c r="NI207" s="302"/>
      <c r="NJ207" s="302"/>
      <c r="NK207" s="302"/>
      <c r="NL207" s="302"/>
      <c r="NM207" s="302"/>
      <c r="NN207" s="302"/>
      <c r="NO207" s="302"/>
      <c r="NP207" s="302"/>
      <c r="NQ207" s="302"/>
      <c r="NR207" s="302"/>
      <c r="NS207" s="302"/>
      <c r="NT207" s="302"/>
      <c r="NU207" s="302"/>
      <c r="NV207" s="302"/>
      <c r="NW207" s="302"/>
      <c r="NX207" s="302"/>
      <c r="NY207" s="302"/>
      <c r="NZ207" s="302"/>
      <c r="OA207" s="302"/>
      <c r="OB207" s="302"/>
      <c r="OC207" s="302"/>
      <c r="OD207" s="302"/>
      <c r="OE207" s="302"/>
      <c r="OF207" s="302"/>
      <c r="OG207" s="302"/>
      <c r="OH207" s="302"/>
      <c r="OI207" s="302"/>
      <c r="OJ207" s="302"/>
      <c r="OK207" s="302"/>
      <c r="OL207" s="302"/>
      <c r="OM207" s="302"/>
      <c r="ON207" s="302"/>
      <c r="OO207" s="302"/>
      <c r="OP207" s="302"/>
      <c r="OQ207" s="302"/>
      <c r="OR207" s="302"/>
      <c r="OS207" s="302"/>
      <c r="OT207" s="302"/>
      <c r="OU207" s="302"/>
      <c r="OV207" s="302"/>
      <c r="OW207" s="302"/>
      <c r="OX207" s="302"/>
      <c r="OY207" s="302"/>
      <c r="OZ207" s="302"/>
      <c r="PA207" s="302"/>
      <c r="PB207" s="302"/>
      <c r="PC207" s="302"/>
      <c r="PD207" s="302"/>
      <c r="PE207" s="302"/>
      <c r="PF207" s="302"/>
      <c r="PG207" s="302"/>
      <c r="PH207" s="302"/>
      <c r="PI207" s="302"/>
      <c r="PJ207" s="302"/>
      <c r="PK207" s="302"/>
      <c r="PL207" s="302"/>
      <c r="PM207" s="302"/>
      <c r="PN207" s="302"/>
      <c r="PO207" s="302"/>
      <c r="PP207" s="302"/>
      <c r="PQ207" s="302"/>
      <c r="PR207" s="302"/>
      <c r="PS207" s="302"/>
      <c r="PT207" s="302"/>
      <c r="PU207" s="302"/>
      <c r="PV207" s="302"/>
      <c r="PW207" s="302"/>
      <c r="PX207" s="302"/>
      <c r="PY207" s="302"/>
      <c r="PZ207" s="302"/>
      <c r="QA207" s="302"/>
      <c r="QB207" s="302"/>
      <c r="QC207" s="302"/>
      <c r="QD207" s="302"/>
      <c r="QE207" s="302"/>
      <c r="QF207" s="302"/>
      <c r="QG207" s="302"/>
      <c r="QH207" s="302"/>
      <c r="QI207" s="302"/>
      <c r="QJ207" s="302"/>
      <c r="QK207" s="302"/>
      <c r="QL207" s="302"/>
      <c r="QM207" s="302"/>
      <c r="QN207" s="302"/>
      <c r="QO207" s="302"/>
      <c r="QP207" s="302"/>
      <c r="QQ207" s="302"/>
      <c r="QR207" s="302"/>
      <c r="QS207" s="302"/>
      <c r="QT207" s="302"/>
      <c r="QU207" s="302"/>
      <c r="QV207" s="302"/>
      <c r="QW207" s="302"/>
      <c r="QX207" s="302"/>
      <c r="QY207" s="302"/>
      <c r="QZ207" s="302"/>
      <c r="RA207" s="302"/>
      <c r="RB207" s="302"/>
      <c r="RC207" s="302"/>
      <c r="RD207" s="302"/>
      <c r="RE207" s="302"/>
      <c r="RF207" s="302"/>
      <c r="RG207" s="302"/>
      <c r="RH207" s="302"/>
      <c r="RI207" s="302"/>
      <c r="RJ207" s="302"/>
      <c r="RK207" s="302"/>
      <c r="RL207" s="302"/>
      <c r="RM207" s="302"/>
      <c r="RN207" s="302"/>
      <c r="RO207" s="302"/>
      <c r="RP207" s="302"/>
      <c r="RQ207" s="302"/>
      <c r="RR207" s="302"/>
      <c r="RS207" s="302"/>
      <c r="RT207" s="302"/>
      <c r="RU207" s="302"/>
      <c r="RV207" s="302"/>
      <c r="RW207" s="302"/>
      <c r="RX207" s="302"/>
      <c r="RY207" s="302"/>
      <c r="RZ207" s="302"/>
      <c r="SA207" s="302"/>
      <c r="SB207" s="302"/>
      <c r="SC207" s="302"/>
      <c r="SD207" s="302"/>
      <c r="SE207" s="302"/>
      <c r="SF207" s="302"/>
      <c r="SG207" s="302"/>
      <c r="SH207" s="302"/>
      <c r="SI207" s="302"/>
      <c r="SJ207" s="302"/>
      <c r="SK207" s="302"/>
      <c r="SL207" s="302"/>
      <c r="SM207" s="302"/>
      <c r="SN207" s="302"/>
      <c r="SO207" s="302"/>
      <c r="SP207" s="302"/>
      <c r="SQ207" s="302"/>
      <c r="SR207" s="302"/>
      <c r="SS207" s="302"/>
      <c r="ST207" s="302"/>
      <c r="SU207" s="302"/>
      <c r="SV207" s="302"/>
      <c r="SW207" s="302"/>
      <c r="SX207" s="302"/>
      <c r="SY207" s="302"/>
      <c r="SZ207" s="302"/>
      <c r="TA207" s="302"/>
      <c r="TB207" s="302"/>
      <c r="TC207" s="302"/>
      <c r="TD207" s="302"/>
      <c r="TE207" s="302"/>
      <c r="TF207" s="302"/>
      <c r="TG207" s="302"/>
      <c r="TH207" s="302"/>
      <c r="TI207" s="302"/>
      <c r="TJ207" s="302"/>
      <c r="TK207" s="302"/>
      <c r="TL207" s="302"/>
      <c r="TM207" s="302"/>
      <c r="TN207" s="302"/>
      <c r="TO207" s="302"/>
      <c r="TP207" s="302"/>
      <c r="TQ207" s="302"/>
      <c r="TR207" s="302"/>
      <c r="TS207" s="302"/>
      <c r="TT207" s="302"/>
      <c r="TU207" s="302"/>
      <c r="TV207" s="302"/>
      <c r="TW207" s="302"/>
      <c r="TX207" s="302"/>
      <c r="TY207" s="302"/>
      <c r="TZ207" s="302"/>
      <c r="UA207" s="302"/>
      <c r="UB207" s="302"/>
      <c r="UC207" s="302"/>
      <c r="UD207" s="302"/>
      <c r="UE207" s="302"/>
      <c r="UF207" s="302"/>
      <c r="UG207" s="302"/>
      <c r="UH207" s="302"/>
      <c r="UI207" s="302"/>
      <c r="UJ207" s="302"/>
      <c r="UK207" s="302"/>
      <c r="UL207" s="302"/>
      <c r="UM207" s="302"/>
      <c r="UN207" s="302"/>
      <c r="UO207" s="302"/>
      <c r="UP207" s="302"/>
      <c r="UQ207" s="302"/>
      <c r="UR207" s="302"/>
      <c r="US207" s="302"/>
      <c r="UT207" s="302"/>
      <c r="UU207" s="302"/>
      <c r="UV207" s="302"/>
      <c r="UW207" s="302"/>
      <c r="UX207" s="302"/>
      <c r="UY207" s="302"/>
      <c r="UZ207" s="302"/>
      <c r="VA207" s="302"/>
      <c r="VB207" s="302"/>
      <c r="VC207" s="302"/>
      <c r="VD207" s="302"/>
      <c r="VE207" s="302"/>
      <c r="VF207" s="302"/>
      <c r="VG207" s="302"/>
      <c r="VH207" s="302"/>
      <c r="VI207" s="302"/>
      <c r="VJ207" s="302"/>
      <c r="VK207" s="302"/>
      <c r="VL207" s="302"/>
      <c r="VM207" s="302"/>
      <c r="VN207" s="302"/>
      <c r="VO207" s="302"/>
      <c r="VP207" s="302"/>
      <c r="VQ207" s="302"/>
      <c r="VR207" s="302"/>
      <c r="VS207" s="302"/>
      <c r="VT207" s="302"/>
      <c r="VU207" s="302"/>
      <c r="VV207" s="302"/>
      <c r="VW207" s="302"/>
      <c r="VX207" s="302"/>
      <c r="VY207" s="302"/>
      <c r="VZ207" s="302"/>
      <c r="WA207" s="302"/>
      <c r="WB207" s="302"/>
      <c r="WC207" s="302"/>
      <c r="WD207" s="302"/>
      <c r="WE207" s="302"/>
      <c r="WF207" s="302"/>
      <c r="WG207" s="302"/>
      <c r="WH207" s="302"/>
      <c r="WI207" s="302"/>
      <c r="WJ207" s="302"/>
      <c r="WK207" s="302"/>
      <c r="WL207" s="302"/>
      <c r="WM207" s="302"/>
      <c r="WN207" s="302"/>
      <c r="WO207" s="302"/>
      <c r="WP207" s="302"/>
      <c r="WQ207" s="302"/>
      <c r="WR207" s="302"/>
      <c r="WS207" s="302"/>
      <c r="WT207" s="302"/>
      <c r="WU207" s="302"/>
      <c r="WV207" s="302"/>
      <c r="WW207" s="302"/>
      <c r="WX207" s="302"/>
      <c r="WY207" s="302"/>
      <c r="WZ207" s="302"/>
      <c r="XA207" s="302"/>
      <c r="XB207" s="302"/>
      <c r="XC207" s="302"/>
      <c r="XD207" s="302"/>
      <c r="XE207" s="302"/>
      <c r="XF207" s="302"/>
      <c r="XG207" s="302"/>
      <c r="XH207" s="302"/>
      <c r="XI207" s="302"/>
      <c r="XJ207" s="302"/>
      <c r="XK207" s="302"/>
      <c r="XL207" s="302"/>
      <c r="XM207" s="302"/>
      <c r="XN207" s="302"/>
      <c r="XO207" s="302"/>
      <c r="XP207" s="302"/>
      <c r="XQ207" s="302"/>
      <c r="XR207" s="302"/>
      <c r="XS207" s="302"/>
      <c r="XT207" s="302"/>
      <c r="XU207" s="302"/>
      <c r="XV207" s="302"/>
      <c r="XW207" s="302"/>
      <c r="XX207" s="302"/>
      <c r="XY207" s="302"/>
      <c r="XZ207" s="302"/>
      <c r="YA207" s="302"/>
      <c r="YB207" s="302"/>
      <c r="YC207" s="302"/>
      <c r="YD207" s="302"/>
      <c r="YE207" s="302"/>
      <c r="YF207" s="302"/>
      <c r="YG207" s="302"/>
      <c r="YH207" s="302"/>
      <c r="YI207" s="302"/>
      <c r="YJ207" s="302"/>
      <c r="YK207" s="302"/>
      <c r="YL207" s="302"/>
      <c r="YM207" s="302"/>
      <c r="YN207" s="302"/>
      <c r="YO207" s="302"/>
      <c r="YP207" s="302"/>
      <c r="YQ207" s="302"/>
      <c r="YR207" s="302"/>
      <c r="YS207" s="302"/>
      <c r="YT207" s="302"/>
      <c r="YU207" s="302"/>
      <c r="YV207" s="302"/>
      <c r="YW207" s="302"/>
      <c r="YX207" s="302"/>
      <c r="YY207" s="302"/>
      <c r="YZ207" s="302"/>
      <c r="ZA207" s="302"/>
      <c r="ZB207" s="302"/>
      <c r="ZC207" s="302"/>
      <c r="ZD207" s="302"/>
      <c r="ZE207" s="302"/>
      <c r="ZF207" s="302"/>
      <c r="ZG207" s="302"/>
      <c r="ZH207" s="302"/>
      <c r="ZI207" s="302"/>
      <c r="ZJ207" s="302"/>
      <c r="ZK207" s="302"/>
      <c r="ZL207" s="302"/>
      <c r="ZM207" s="302"/>
      <c r="ZN207" s="302"/>
      <c r="ZO207" s="302"/>
      <c r="ZP207" s="302"/>
      <c r="ZQ207" s="302"/>
      <c r="ZR207" s="302"/>
      <c r="ZS207" s="302"/>
      <c r="ZT207" s="302"/>
      <c r="ZU207" s="302"/>
      <c r="ZV207" s="302"/>
      <c r="ZW207" s="302"/>
      <c r="ZX207" s="302"/>
      <c r="ZY207" s="302"/>
      <c r="ZZ207" s="302"/>
      <c r="AAA207" s="302"/>
      <c r="AAB207" s="302"/>
      <c r="AAC207" s="302"/>
      <c r="AAD207" s="302"/>
      <c r="AAE207" s="302"/>
      <c r="AAF207" s="302"/>
      <c r="AAG207" s="302"/>
      <c r="AAH207" s="302"/>
      <c r="AAI207" s="302"/>
      <c r="AAJ207" s="302"/>
      <c r="AAK207" s="302"/>
      <c r="AAL207" s="302"/>
      <c r="AAM207" s="302"/>
      <c r="AAN207" s="302"/>
      <c r="AAO207" s="302"/>
      <c r="AAP207" s="302"/>
      <c r="AAQ207" s="302"/>
      <c r="AAR207" s="302"/>
      <c r="AAS207" s="302"/>
      <c r="AAT207" s="302"/>
      <c r="AAU207" s="302"/>
      <c r="AAV207" s="302"/>
      <c r="AAW207" s="302"/>
      <c r="AAX207" s="302"/>
      <c r="AAY207" s="302"/>
      <c r="AAZ207" s="302"/>
      <c r="ABA207" s="302"/>
      <c r="ABB207" s="302"/>
      <c r="ABC207" s="302"/>
      <c r="ABD207" s="302"/>
      <c r="ABE207" s="302"/>
      <c r="ABF207" s="302"/>
      <c r="ABG207" s="302"/>
      <c r="ABH207" s="302"/>
      <c r="ABI207" s="302"/>
      <c r="ABJ207" s="302"/>
      <c r="ABK207" s="302"/>
      <c r="ABL207" s="302"/>
      <c r="ABM207" s="302"/>
      <c r="ABN207" s="302"/>
      <c r="ABO207" s="302"/>
      <c r="ABP207" s="302"/>
      <c r="ABQ207" s="302"/>
      <c r="ABR207" s="302"/>
      <c r="ABS207" s="302"/>
      <c r="ABT207" s="302"/>
      <c r="ABU207" s="302"/>
      <c r="ABV207" s="302"/>
      <c r="ABW207" s="302"/>
      <c r="ABX207" s="302"/>
      <c r="ABY207" s="302"/>
      <c r="ABZ207" s="302"/>
      <c r="ACA207" s="302"/>
      <c r="ACB207" s="302"/>
      <c r="ACC207" s="302"/>
      <c r="ACD207" s="302"/>
      <c r="ACE207" s="302"/>
      <c r="ACF207" s="302"/>
      <c r="ACG207" s="302"/>
      <c r="ACH207" s="302"/>
      <c r="ACI207" s="302"/>
      <c r="ACJ207" s="302"/>
      <c r="ACK207" s="302"/>
      <c r="ACL207" s="302"/>
      <c r="ACM207" s="302"/>
      <c r="ACN207" s="302"/>
      <c r="ACO207" s="302"/>
      <c r="ACP207" s="302"/>
      <c r="ACQ207" s="302"/>
      <c r="ACR207" s="302"/>
      <c r="ACS207" s="302"/>
      <c r="ACT207" s="302"/>
      <c r="ACU207" s="302"/>
      <c r="ACV207" s="302"/>
      <c r="ACW207" s="302"/>
      <c r="ACX207" s="302"/>
      <c r="ACY207" s="302"/>
      <c r="ACZ207" s="302"/>
      <c r="ADA207" s="302"/>
      <c r="ADB207" s="302"/>
      <c r="ADC207" s="302"/>
      <c r="ADD207" s="302"/>
      <c r="ADE207" s="302"/>
      <c r="ADF207" s="302"/>
      <c r="ADG207" s="302"/>
      <c r="ADH207" s="302"/>
      <c r="ADI207" s="302"/>
      <c r="ADJ207" s="302"/>
      <c r="ADK207" s="302"/>
      <c r="ADL207" s="302"/>
      <c r="ADM207" s="302"/>
      <c r="ADN207" s="302"/>
      <c r="ADO207" s="302"/>
      <c r="ADP207" s="302"/>
      <c r="ADQ207" s="302"/>
      <c r="ADR207" s="302"/>
      <c r="ADS207" s="302"/>
      <c r="ADT207" s="302"/>
      <c r="ADU207" s="302"/>
      <c r="ADV207" s="302"/>
      <c r="ADW207" s="302"/>
      <c r="ADX207" s="302"/>
      <c r="ADY207" s="302"/>
      <c r="ADZ207" s="302"/>
      <c r="AEA207" s="302"/>
      <c r="AEB207" s="302"/>
      <c r="AEC207" s="302"/>
      <c r="AED207" s="302"/>
      <c r="AEE207" s="302"/>
      <c r="AEF207" s="302"/>
      <c r="AEG207" s="302"/>
      <c r="AEH207" s="302"/>
      <c r="AEI207" s="302"/>
      <c r="AEJ207" s="302"/>
      <c r="AEK207" s="302"/>
      <c r="AEL207" s="302"/>
      <c r="AEM207" s="302"/>
      <c r="AEN207" s="302"/>
      <c r="AEO207" s="302"/>
      <c r="AEP207" s="302"/>
      <c r="AEQ207" s="302"/>
      <c r="AER207" s="302"/>
      <c r="AES207" s="302"/>
      <c r="AET207" s="302"/>
      <c r="AEU207" s="302"/>
      <c r="AEV207" s="302"/>
      <c r="AEW207" s="302"/>
      <c r="AEX207" s="302"/>
      <c r="AEY207" s="302"/>
      <c r="AEZ207" s="302"/>
      <c r="AFA207" s="302"/>
      <c r="AFB207" s="302"/>
      <c r="AFC207" s="302"/>
      <c r="AFD207" s="302"/>
      <c r="AFE207" s="302"/>
      <c r="AFF207" s="302"/>
      <c r="AFG207" s="302"/>
      <c r="AFH207" s="302"/>
      <c r="AFI207" s="302"/>
      <c r="AFJ207" s="302"/>
      <c r="AFK207" s="302"/>
      <c r="AFL207" s="302"/>
      <c r="AFM207" s="302"/>
      <c r="AFN207" s="302"/>
      <c r="AFO207" s="302"/>
      <c r="AFP207" s="302"/>
      <c r="AFQ207" s="302"/>
      <c r="AFR207" s="302"/>
      <c r="AFS207" s="302"/>
      <c r="AFT207" s="302"/>
      <c r="AFU207" s="302"/>
      <c r="AFV207" s="302"/>
      <c r="AFW207" s="302"/>
      <c r="AFX207" s="302"/>
      <c r="AFY207" s="302"/>
      <c r="AFZ207" s="302"/>
      <c r="AGA207" s="302"/>
      <c r="AGB207" s="302"/>
      <c r="AGC207" s="302"/>
      <c r="AGD207" s="302"/>
      <c r="AGE207" s="302"/>
      <c r="AGF207" s="302"/>
      <c r="AGG207" s="302"/>
      <c r="AGH207" s="302"/>
      <c r="AGI207" s="302"/>
      <c r="AGJ207" s="302"/>
      <c r="AGK207" s="302"/>
      <c r="AGL207" s="302"/>
      <c r="AGM207" s="302"/>
      <c r="AGN207" s="302"/>
      <c r="AGO207" s="302"/>
      <c r="AGP207" s="302"/>
      <c r="AGQ207" s="302"/>
      <c r="AGR207" s="302"/>
      <c r="AGS207" s="302"/>
      <c r="AGT207" s="302"/>
      <c r="AGU207" s="302"/>
      <c r="AGV207" s="302"/>
      <c r="AGW207" s="302"/>
      <c r="AGX207" s="302"/>
      <c r="AGY207" s="302"/>
      <c r="AGZ207" s="302"/>
      <c r="AHA207" s="302"/>
      <c r="AHB207" s="302"/>
      <c r="AHC207" s="302"/>
      <c r="AHD207" s="302"/>
      <c r="AHE207" s="302"/>
      <c r="AHF207" s="302"/>
      <c r="AHG207" s="302"/>
      <c r="AHH207" s="302"/>
      <c r="AHI207" s="302"/>
      <c r="AHJ207" s="302"/>
      <c r="AHK207" s="302"/>
      <c r="AHL207" s="302"/>
      <c r="AHM207" s="302"/>
      <c r="AHN207" s="302"/>
      <c r="AHO207" s="302"/>
      <c r="AHP207" s="302"/>
      <c r="AHQ207" s="302"/>
      <c r="AHR207" s="302"/>
      <c r="AHS207" s="302"/>
      <c r="AHT207" s="302"/>
      <c r="AHU207" s="302"/>
      <c r="AHV207" s="302"/>
      <c r="AHW207" s="302"/>
      <c r="AHX207" s="302"/>
      <c r="AHY207" s="302"/>
      <c r="AHZ207" s="302"/>
      <c r="AIA207" s="302"/>
      <c r="AIB207" s="302"/>
      <c r="AIC207" s="302"/>
      <c r="AID207" s="302"/>
      <c r="AIE207" s="302"/>
      <c r="AIF207" s="302"/>
      <c r="AIG207" s="302"/>
      <c r="AIH207" s="302"/>
      <c r="AII207" s="302"/>
      <c r="AIJ207" s="302"/>
      <c r="AIK207" s="302"/>
      <c r="AIL207" s="302"/>
      <c r="AIM207" s="302"/>
      <c r="AIN207" s="302"/>
      <c r="AIO207" s="302"/>
      <c r="AIP207" s="302"/>
      <c r="AIQ207" s="302"/>
      <c r="AIR207" s="302"/>
      <c r="AIS207" s="302"/>
      <c r="AIT207" s="302"/>
      <c r="AIU207" s="302"/>
      <c r="AIV207" s="302"/>
      <c r="AIW207" s="302"/>
      <c r="AIX207" s="302"/>
      <c r="AIY207" s="302"/>
      <c r="AIZ207" s="302"/>
      <c r="AJA207" s="302"/>
      <c r="AJB207" s="302"/>
      <c r="AJC207" s="302"/>
      <c r="AJD207" s="302"/>
      <c r="AJE207" s="302"/>
      <c r="AJF207" s="302"/>
      <c r="AJG207" s="302"/>
      <c r="AJH207" s="302"/>
      <c r="AJI207" s="302"/>
      <c r="AJJ207" s="302"/>
      <c r="AJK207" s="302"/>
      <c r="AJL207" s="302"/>
      <c r="AJM207" s="302"/>
      <c r="AJN207" s="302"/>
      <c r="AJO207" s="302"/>
      <c r="AJP207" s="302"/>
      <c r="AJQ207" s="302"/>
      <c r="AJR207" s="302"/>
      <c r="AJS207" s="302"/>
      <c r="AJT207" s="302"/>
      <c r="AJU207" s="302"/>
      <c r="AJV207" s="302"/>
      <c r="AJW207" s="302"/>
      <c r="AJX207" s="302"/>
      <c r="AJY207" s="302"/>
      <c r="AJZ207" s="302"/>
      <c r="AKA207" s="302"/>
      <c r="AKB207" s="302"/>
      <c r="AKC207" s="302"/>
      <c r="AKD207" s="302"/>
      <c r="AKE207" s="302"/>
      <c r="AKF207" s="302"/>
      <c r="AKG207" s="302"/>
      <c r="AKH207" s="302"/>
      <c r="AKI207" s="302"/>
      <c r="AKJ207" s="302"/>
      <c r="AKK207" s="302"/>
      <c r="AKL207" s="302"/>
      <c r="AKM207" s="302"/>
      <c r="AKN207" s="302"/>
      <c r="AKO207" s="302"/>
      <c r="AKP207" s="302"/>
      <c r="AKQ207" s="302"/>
      <c r="AKR207" s="302"/>
      <c r="AKS207" s="302"/>
      <c r="AKT207" s="302"/>
      <c r="AKU207" s="302"/>
      <c r="AKV207" s="302"/>
      <c r="AKW207" s="302"/>
      <c r="AKX207" s="302"/>
      <c r="AKY207" s="302"/>
      <c r="AKZ207" s="302"/>
      <c r="ALA207" s="302"/>
      <c r="ALB207" s="302"/>
      <c r="ALC207" s="302"/>
      <c r="ALD207" s="302"/>
      <c r="ALE207" s="302"/>
      <c r="ALF207" s="302"/>
      <c r="ALG207" s="302"/>
      <c r="ALH207" s="302"/>
      <c r="ALI207" s="302"/>
      <c r="ALJ207" s="302"/>
      <c r="ALK207" s="302"/>
      <c r="ALL207" s="302"/>
      <c r="ALM207" s="302"/>
      <c r="ALN207" s="302"/>
      <c r="ALO207" s="302"/>
      <c r="ALP207" s="302"/>
      <c r="ALQ207" s="302"/>
      <c r="ALR207" s="302"/>
      <c r="ALS207" s="302"/>
      <c r="ALT207" s="302"/>
      <c r="ALU207" s="302"/>
      <c r="ALV207" s="302"/>
      <c r="ALW207" s="302"/>
      <c r="ALX207" s="302"/>
      <c r="ALY207" s="302"/>
      <c r="ALZ207" s="302"/>
      <c r="AMA207" s="302"/>
      <c r="AMB207" s="302"/>
      <c r="AMC207" s="302"/>
      <c r="AMD207" s="302"/>
      <c r="AME207" s="302"/>
      <c r="AMF207" s="302"/>
      <c r="AMG207" s="302"/>
      <c r="AMH207" s="302"/>
      <c r="AMI207" s="302"/>
    </row>
    <row r="208" spans="1:1023" hidden="1">
      <c r="A208" s="302"/>
      <c r="B208" s="470">
        <v>13920</v>
      </c>
      <c r="C208" s="471">
        <v>0.1</v>
      </c>
      <c r="D208" s="472" t="s">
        <v>129</v>
      </c>
      <c r="E208" s="473">
        <v>2500000</v>
      </c>
      <c r="F208" s="499">
        <v>0.05</v>
      </c>
      <c r="G208" s="364">
        <f t="shared" si="11"/>
        <v>125000</v>
      </c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  <c r="AF208" s="302"/>
      <c r="AG208" s="302"/>
      <c r="AH208" s="302"/>
      <c r="AI208" s="302"/>
      <c r="AJ208" s="302"/>
      <c r="AK208" s="302"/>
      <c r="AL208" s="302"/>
      <c r="AM208" s="302"/>
      <c r="AN208" s="302"/>
      <c r="AO208" s="302"/>
      <c r="AP208" s="302"/>
      <c r="AQ208" s="302"/>
      <c r="AR208" s="302"/>
      <c r="AS208" s="302"/>
      <c r="AT208" s="302"/>
      <c r="AU208" s="302"/>
      <c r="AV208" s="302"/>
      <c r="AW208" s="302"/>
      <c r="AX208" s="302"/>
      <c r="AY208" s="302"/>
      <c r="AZ208" s="302"/>
      <c r="BA208" s="302"/>
      <c r="BB208" s="302"/>
      <c r="BC208" s="302"/>
      <c r="BD208" s="302"/>
      <c r="BE208" s="302"/>
      <c r="BF208" s="302"/>
      <c r="BG208" s="302"/>
      <c r="BH208" s="302"/>
      <c r="BI208" s="302"/>
      <c r="BJ208" s="302"/>
      <c r="BK208" s="302"/>
      <c r="BL208" s="302"/>
      <c r="BM208" s="302"/>
      <c r="BN208" s="302"/>
      <c r="BO208" s="302"/>
      <c r="BP208" s="302"/>
      <c r="BQ208" s="302"/>
      <c r="BR208" s="302"/>
      <c r="BS208" s="302"/>
      <c r="BT208" s="302"/>
      <c r="BU208" s="302"/>
      <c r="BV208" s="302"/>
      <c r="BW208" s="302"/>
      <c r="BX208" s="302"/>
      <c r="BY208" s="302"/>
      <c r="BZ208" s="302"/>
      <c r="CA208" s="302"/>
      <c r="CB208" s="302"/>
      <c r="CC208" s="302"/>
      <c r="CD208" s="302"/>
      <c r="CE208" s="302"/>
      <c r="CF208" s="302"/>
      <c r="CG208" s="302"/>
      <c r="CH208" s="302"/>
      <c r="CI208" s="302"/>
      <c r="CJ208" s="302"/>
      <c r="CK208" s="302"/>
      <c r="CL208" s="302"/>
      <c r="CM208" s="302"/>
      <c r="CN208" s="302"/>
      <c r="CO208" s="302"/>
      <c r="CP208" s="302"/>
      <c r="CQ208" s="302"/>
      <c r="CR208" s="302"/>
      <c r="CS208" s="302"/>
      <c r="CT208" s="302"/>
      <c r="CU208" s="302"/>
      <c r="CV208" s="302"/>
      <c r="CW208" s="302"/>
      <c r="CX208" s="302"/>
      <c r="CY208" s="302"/>
      <c r="CZ208" s="302"/>
      <c r="DA208" s="302"/>
      <c r="DB208" s="302"/>
      <c r="DC208" s="302"/>
      <c r="DD208" s="302"/>
      <c r="DE208" s="302"/>
      <c r="DF208" s="302"/>
      <c r="DG208" s="302"/>
      <c r="DH208" s="302"/>
      <c r="DI208" s="302"/>
      <c r="DJ208" s="302"/>
      <c r="DK208" s="302"/>
      <c r="DL208" s="302"/>
      <c r="DM208" s="302"/>
      <c r="DN208" s="302"/>
      <c r="DO208" s="302"/>
      <c r="DP208" s="302"/>
      <c r="DQ208" s="302"/>
      <c r="DR208" s="302"/>
      <c r="DS208" s="302"/>
      <c r="DT208" s="302"/>
      <c r="DU208" s="302"/>
      <c r="DV208" s="302"/>
      <c r="DW208" s="302"/>
      <c r="DX208" s="302"/>
      <c r="DY208" s="302"/>
      <c r="DZ208" s="302"/>
      <c r="EA208" s="302"/>
      <c r="EB208" s="302"/>
      <c r="EC208" s="302"/>
      <c r="ED208" s="302"/>
      <c r="EE208" s="302"/>
      <c r="EF208" s="302"/>
      <c r="EG208" s="302"/>
      <c r="EH208" s="302"/>
      <c r="EI208" s="302"/>
      <c r="EJ208" s="302"/>
      <c r="EK208" s="302"/>
      <c r="EL208" s="302"/>
      <c r="EM208" s="302"/>
      <c r="EN208" s="302"/>
      <c r="EO208" s="302"/>
      <c r="EP208" s="302"/>
      <c r="EQ208" s="302"/>
      <c r="ER208" s="302"/>
      <c r="ES208" s="302"/>
      <c r="ET208" s="302"/>
      <c r="EU208" s="302"/>
      <c r="EV208" s="302"/>
      <c r="EW208" s="302"/>
      <c r="EX208" s="302"/>
      <c r="EY208" s="302"/>
      <c r="EZ208" s="302"/>
      <c r="FA208" s="302"/>
      <c r="FB208" s="302"/>
      <c r="FC208" s="302"/>
      <c r="FD208" s="302"/>
      <c r="FE208" s="302"/>
      <c r="FF208" s="302"/>
      <c r="FG208" s="302"/>
      <c r="FH208" s="302"/>
      <c r="FI208" s="302"/>
      <c r="FJ208" s="302"/>
      <c r="FK208" s="302"/>
      <c r="FL208" s="302"/>
      <c r="FM208" s="302"/>
      <c r="FN208" s="302"/>
      <c r="FO208" s="302"/>
      <c r="FP208" s="302"/>
      <c r="FQ208" s="302"/>
      <c r="FR208" s="302"/>
      <c r="FS208" s="302"/>
      <c r="FT208" s="302"/>
      <c r="FU208" s="302"/>
      <c r="FV208" s="302"/>
      <c r="FW208" s="302"/>
      <c r="FX208" s="302"/>
      <c r="FY208" s="302"/>
      <c r="FZ208" s="302"/>
      <c r="GA208" s="302"/>
      <c r="GB208" s="302"/>
      <c r="GC208" s="302"/>
      <c r="GD208" s="302"/>
      <c r="GE208" s="302"/>
      <c r="GF208" s="302"/>
      <c r="GG208" s="302"/>
      <c r="GH208" s="302"/>
      <c r="GI208" s="302"/>
      <c r="GJ208" s="302"/>
      <c r="GK208" s="302"/>
      <c r="GL208" s="302"/>
      <c r="GM208" s="302"/>
      <c r="GN208" s="302"/>
      <c r="GO208" s="302"/>
      <c r="GP208" s="302"/>
      <c r="GQ208" s="302"/>
      <c r="GR208" s="302"/>
      <c r="GS208" s="302"/>
      <c r="GT208" s="302"/>
      <c r="GU208" s="302"/>
      <c r="GV208" s="302"/>
      <c r="GW208" s="302"/>
      <c r="GX208" s="302"/>
      <c r="GY208" s="302"/>
      <c r="GZ208" s="302"/>
      <c r="HA208" s="302"/>
      <c r="HB208" s="302"/>
      <c r="HC208" s="302"/>
      <c r="HD208" s="302"/>
      <c r="HE208" s="302"/>
      <c r="HF208" s="302"/>
      <c r="HG208" s="302"/>
      <c r="HH208" s="302"/>
      <c r="HI208" s="302"/>
      <c r="HJ208" s="302"/>
      <c r="HK208" s="302"/>
      <c r="HL208" s="302"/>
      <c r="HM208" s="302"/>
      <c r="HN208" s="302"/>
      <c r="HO208" s="302"/>
      <c r="HP208" s="302"/>
      <c r="HQ208" s="302"/>
      <c r="HR208" s="302"/>
      <c r="HS208" s="302"/>
      <c r="HT208" s="302"/>
      <c r="HU208" s="302"/>
      <c r="HV208" s="302"/>
      <c r="HW208" s="302"/>
      <c r="HX208" s="302"/>
      <c r="HY208" s="302"/>
      <c r="HZ208" s="302"/>
      <c r="IA208" s="302"/>
      <c r="IB208" s="302"/>
      <c r="IC208" s="302"/>
      <c r="ID208" s="302"/>
      <c r="IE208" s="302"/>
      <c r="IF208" s="302"/>
      <c r="IG208" s="302"/>
      <c r="IH208" s="302"/>
      <c r="II208" s="302"/>
      <c r="IJ208" s="302"/>
      <c r="IK208" s="302"/>
      <c r="IL208" s="302"/>
      <c r="IM208" s="302"/>
      <c r="IN208" s="302"/>
      <c r="IO208" s="302"/>
      <c r="IP208" s="302"/>
      <c r="IQ208" s="302"/>
      <c r="IR208" s="302"/>
      <c r="IS208" s="302"/>
      <c r="IT208" s="302"/>
      <c r="IU208" s="302"/>
      <c r="IV208" s="302"/>
      <c r="IW208" s="302"/>
      <c r="IX208" s="302"/>
      <c r="IY208" s="302"/>
      <c r="IZ208" s="302"/>
      <c r="JA208" s="302"/>
      <c r="JB208" s="302"/>
      <c r="JC208" s="302"/>
      <c r="JD208" s="302"/>
      <c r="JE208" s="302"/>
      <c r="JF208" s="302"/>
      <c r="JG208" s="302"/>
      <c r="JH208" s="302"/>
      <c r="JI208" s="302"/>
      <c r="JJ208" s="302"/>
      <c r="JK208" s="302"/>
      <c r="JL208" s="302"/>
      <c r="JM208" s="302"/>
      <c r="JN208" s="302"/>
      <c r="JO208" s="302"/>
      <c r="JP208" s="302"/>
      <c r="JQ208" s="302"/>
      <c r="JR208" s="302"/>
      <c r="JS208" s="302"/>
      <c r="JT208" s="302"/>
      <c r="JU208" s="302"/>
      <c r="JV208" s="302"/>
      <c r="JW208" s="302"/>
      <c r="JX208" s="302"/>
      <c r="JY208" s="302"/>
      <c r="JZ208" s="302"/>
      <c r="KA208" s="302"/>
      <c r="KB208" s="302"/>
      <c r="KC208" s="302"/>
      <c r="KD208" s="302"/>
      <c r="KE208" s="302"/>
      <c r="KF208" s="302"/>
      <c r="KG208" s="302"/>
      <c r="KH208" s="302"/>
      <c r="KI208" s="302"/>
      <c r="KJ208" s="302"/>
      <c r="KK208" s="302"/>
      <c r="KL208" s="302"/>
      <c r="KM208" s="302"/>
      <c r="KN208" s="302"/>
      <c r="KO208" s="302"/>
      <c r="KP208" s="302"/>
      <c r="KQ208" s="302"/>
      <c r="KR208" s="302"/>
      <c r="KS208" s="302"/>
      <c r="KT208" s="302"/>
      <c r="KU208" s="302"/>
      <c r="KV208" s="302"/>
      <c r="KW208" s="302"/>
      <c r="KX208" s="302"/>
      <c r="KY208" s="302"/>
      <c r="KZ208" s="302"/>
      <c r="LA208" s="302"/>
      <c r="LB208" s="302"/>
      <c r="LC208" s="302"/>
      <c r="LD208" s="302"/>
      <c r="LE208" s="302"/>
      <c r="LF208" s="302"/>
      <c r="LG208" s="302"/>
      <c r="LH208" s="302"/>
      <c r="LI208" s="302"/>
      <c r="LJ208" s="302"/>
      <c r="LK208" s="302"/>
      <c r="LL208" s="302"/>
      <c r="LM208" s="302"/>
      <c r="LN208" s="302"/>
      <c r="LO208" s="302"/>
      <c r="LP208" s="302"/>
      <c r="LQ208" s="302"/>
      <c r="LR208" s="302"/>
      <c r="LS208" s="302"/>
      <c r="LT208" s="302"/>
      <c r="LU208" s="302"/>
      <c r="LV208" s="302"/>
      <c r="LW208" s="302"/>
      <c r="LX208" s="302"/>
      <c r="LY208" s="302"/>
      <c r="LZ208" s="302"/>
      <c r="MA208" s="302"/>
      <c r="MB208" s="302"/>
      <c r="MC208" s="302"/>
      <c r="MD208" s="302"/>
      <c r="ME208" s="302"/>
      <c r="MF208" s="302"/>
      <c r="MG208" s="302"/>
      <c r="MH208" s="302"/>
      <c r="MI208" s="302"/>
      <c r="MJ208" s="302"/>
      <c r="MK208" s="302"/>
      <c r="ML208" s="302"/>
      <c r="MM208" s="302"/>
      <c r="MN208" s="302"/>
      <c r="MO208" s="302"/>
      <c r="MP208" s="302"/>
      <c r="MQ208" s="302"/>
      <c r="MR208" s="302"/>
      <c r="MS208" s="302"/>
      <c r="MT208" s="302"/>
      <c r="MU208" s="302"/>
      <c r="MV208" s="302"/>
      <c r="MW208" s="302"/>
      <c r="MX208" s="302"/>
      <c r="MY208" s="302"/>
      <c r="MZ208" s="302"/>
      <c r="NA208" s="302"/>
      <c r="NB208" s="302"/>
      <c r="NC208" s="302"/>
      <c r="ND208" s="302"/>
      <c r="NE208" s="302"/>
      <c r="NF208" s="302"/>
      <c r="NG208" s="302"/>
      <c r="NH208" s="302"/>
      <c r="NI208" s="302"/>
      <c r="NJ208" s="302"/>
      <c r="NK208" s="302"/>
      <c r="NL208" s="302"/>
      <c r="NM208" s="302"/>
      <c r="NN208" s="302"/>
      <c r="NO208" s="302"/>
      <c r="NP208" s="302"/>
      <c r="NQ208" s="302"/>
      <c r="NR208" s="302"/>
      <c r="NS208" s="302"/>
      <c r="NT208" s="302"/>
      <c r="NU208" s="302"/>
      <c r="NV208" s="302"/>
      <c r="NW208" s="302"/>
      <c r="NX208" s="302"/>
      <c r="NY208" s="302"/>
      <c r="NZ208" s="302"/>
      <c r="OA208" s="302"/>
      <c r="OB208" s="302"/>
      <c r="OC208" s="302"/>
      <c r="OD208" s="302"/>
      <c r="OE208" s="302"/>
      <c r="OF208" s="302"/>
      <c r="OG208" s="302"/>
      <c r="OH208" s="302"/>
      <c r="OI208" s="302"/>
      <c r="OJ208" s="302"/>
      <c r="OK208" s="302"/>
      <c r="OL208" s="302"/>
      <c r="OM208" s="302"/>
      <c r="ON208" s="302"/>
      <c r="OO208" s="302"/>
      <c r="OP208" s="302"/>
      <c r="OQ208" s="302"/>
      <c r="OR208" s="302"/>
      <c r="OS208" s="302"/>
      <c r="OT208" s="302"/>
      <c r="OU208" s="302"/>
      <c r="OV208" s="302"/>
      <c r="OW208" s="302"/>
      <c r="OX208" s="302"/>
      <c r="OY208" s="302"/>
      <c r="OZ208" s="302"/>
      <c r="PA208" s="302"/>
      <c r="PB208" s="302"/>
      <c r="PC208" s="302"/>
      <c r="PD208" s="302"/>
      <c r="PE208" s="302"/>
      <c r="PF208" s="302"/>
      <c r="PG208" s="302"/>
      <c r="PH208" s="302"/>
      <c r="PI208" s="302"/>
      <c r="PJ208" s="302"/>
      <c r="PK208" s="302"/>
      <c r="PL208" s="302"/>
      <c r="PM208" s="302"/>
      <c r="PN208" s="302"/>
      <c r="PO208" s="302"/>
      <c r="PP208" s="302"/>
      <c r="PQ208" s="302"/>
      <c r="PR208" s="302"/>
      <c r="PS208" s="302"/>
      <c r="PT208" s="302"/>
      <c r="PU208" s="302"/>
      <c r="PV208" s="302"/>
      <c r="PW208" s="302"/>
      <c r="PX208" s="302"/>
      <c r="PY208" s="302"/>
      <c r="PZ208" s="302"/>
      <c r="QA208" s="302"/>
      <c r="QB208" s="302"/>
      <c r="QC208" s="302"/>
      <c r="QD208" s="302"/>
      <c r="QE208" s="302"/>
      <c r="QF208" s="302"/>
      <c r="QG208" s="302"/>
      <c r="QH208" s="302"/>
      <c r="QI208" s="302"/>
      <c r="QJ208" s="302"/>
      <c r="QK208" s="302"/>
      <c r="QL208" s="302"/>
      <c r="QM208" s="302"/>
      <c r="QN208" s="302"/>
      <c r="QO208" s="302"/>
      <c r="QP208" s="302"/>
      <c r="QQ208" s="302"/>
      <c r="QR208" s="302"/>
      <c r="QS208" s="302"/>
      <c r="QT208" s="302"/>
      <c r="QU208" s="302"/>
      <c r="QV208" s="302"/>
      <c r="QW208" s="302"/>
      <c r="QX208" s="302"/>
      <c r="QY208" s="302"/>
      <c r="QZ208" s="302"/>
      <c r="RA208" s="302"/>
      <c r="RB208" s="302"/>
      <c r="RC208" s="302"/>
      <c r="RD208" s="302"/>
      <c r="RE208" s="302"/>
      <c r="RF208" s="302"/>
      <c r="RG208" s="302"/>
      <c r="RH208" s="302"/>
      <c r="RI208" s="302"/>
      <c r="RJ208" s="302"/>
      <c r="RK208" s="302"/>
      <c r="RL208" s="302"/>
      <c r="RM208" s="302"/>
      <c r="RN208" s="302"/>
      <c r="RO208" s="302"/>
      <c r="RP208" s="302"/>
      <c r="RQ208" s="302"/>
      <c r="RR208" s="302"/>
      <c r="RS208" s="302"/>
      <c r="RT208" s="302"/>
      <c r="RU208" s="302"/>
      <c r="RV208" s="302"/>
      <c r="RW208" s="302"/>
      <c r="RX208" s="302"/>
      <c r="RY208" s="302"/>
      <c r="RZ208" s="302"/>
      <c r="SA208" s="302"/>
      <c r="SB208" s="302"/>
      <c r="SC208" s="302"/>
      <c r="SD208" s="302"/>
      <c r="SE208" s="302"/>
      <c r="SF208" s="302"/>
      <c r="SG208" s="302"/>
      <c r="SH208" s="302"/>
      <c r="SI208" s="302"/>
      <c r="SJ208" s="302"/>
      <c r="SK208" s="302"/>
      <c r="SL208" s="302"/>
      <c r="SM208" s="302"/>
      <c r="SN208" s="302"/>
      <c r="SO208" s="302"/>
      <c r="SP208" s="302"/>
      <c r="SQ208" s="302"/>
      <c r="SR208" s="302"/>
      <c r="SS208" s="302"/>
      <c r="ST208" s="302"/>
      <c r="SU208" s="302"/>
      <c r="SV208" s="302"/>
      <c r="SW208" s="302"/>
      <c r="SX208" s="302"/>
      <c r="SY208" s="302"/>
      <c r="SZ208" s="302"/>
      <c r="TA208" s="302"/>
      <c r="TB208" s="302"/>
      <c r="TC208" s="302"/>
      <c r="TD208" s="302"/>
      <c r="TE208" s="302"/>
      <c r="TF208" s="302"/>
      <c r="TG208" s="302"/>
      <c r="TH208" s="302"/>
      <c r="TI208" s="302"/>
      <c r="TJ208" s="302"/>
      <c r="TK208" s="302"/>
      <c r="TL208" s="302"/>
      <c r="TM208" s="302"/>
      <c r="TN208" s="302"/>
      <c r="TO208" s="302"/>
      <c r="TP208" s="302"/>
      <c r="TQ208" s="302"/>
      <c r="TR208" s="302"/>
      <c r="TS208" s="302"/>
      <c r="TT208" s="302"/>
      <c r="TU208" s="302"/>
      <c r="TV208" s="302"/>
      <c r="TW208" s="302"/>
      <c r="TX208" s="302"/>
      <c r="TY208" s="302"/>
      <c r="TZ208" s="302"/>
      <c r="UA208" s="302"/>
      <c r="UB208" s="302"/>
      <c r="UC208" s="302"/>
      <c r="UD208" s="302"/>
      <c r="UE208" s="302"/>
      <c r="UF208" s="302"/>
      <c r="UG208" s="302"/>
      <c r="UH208" s="302"/>
      <c r="UI208" s="302"/>
      <c r="UJ208" s="302"/>
      <c r="UK208" s="302"/>
      <c r="UL208" s="302"/>
      <c r="UM208" s="302"/>
      <c r="UN208" s="302"/>
      <c r="UO208" s="302"/>
      <c r="UP208" s="302"/>
      <c r="UQ208" s="302"/>
      <c r="UR208" s="302"/>
      <c r="US208" s="302"/>
      <c r="UT208" s="302"/>
      <c r="UU208" s="302"/>
      <c r="UV208" s="302"/>
      <c r="UW208" s="302"/>
      <c r="UX208" s="302"/>
      <c r="UY208" s="302"/>
      <c r="UZ208" s="302"/>
      <c r="VA208" s="302"/>
      <c r="VB208" s="302"/>
      <c r="VC208" s="302"/>
      <c r="VD208" s="302"/>
      <c r="VE208" s="302"/>
      <c r="VF208" s="302"/>
      <c r="VG208" s="302"/>
      <c r="VH208" s="302"/>
      <c r="VI208" s="302"/>
      <c r="VJ208" s="302"/>
      <c r="VK208" s="302"/>
      <c r="VL208" s="302"/>
      <c r="VM208" s="302"/>
      <c r="VN208" s="302"/>
      <c r="VO208" s="302"/>
      <c r="VP208" s="302"/>
      <c r="VQ208" s="302"/>
      <c r="VR208" s="302"/>
      <c r="VS208" s="302"/>
      <c r="VT208" s="302"/>
      <c r="VU208" s="302"/>
      <c r="VV208" s="302"/>
      <c r="VW208" s="302"/>
      <c r="VX208" s="302"/>
      <c r="VY208" s="302"/>
      <c r="VZ208" s="302"/>
      <c r="WA208" s="302"/>
      <c r="WB208" s="302"/>
      <c r="WC208" s="302"/>
      <c r="WD208" s="302"/>
      <c r="WE208" s="302"/>
      <c r="WF208" s="302"/>
      <c r="WG208" s="302"/>
      <c r="WH208" s="302"/>
      <c r="WI208" s="302"/>
      <c r="WJ208" s="302"/>
      <c r="WK208" s="302"/>
      <c r="WL208" s="302"/>
      <c r="WM208" s="302"/>
      <c r="WN208" s="302"/>
      <c r="WO208" s="302"/>
      <c r="WP208" s="302"/>
      <c r="WQ208" s="302"/>
      <c r="WR208" s="302"/>
      <c r="WS208" s="302"/>
      <c r="WT208" s="302"/>
      <c r="WU208" s="302"/>
      <c r="WV208" s="302"/>
      <c r="WW208" s="302"/>
      <c r="WX208" s="302"/>
      <c r="WY208" s="302"/>
      <c r="WZ208" s="302"/>
      <c r="XA208" s="302"/>
      <c r="XB208" s="302"/>
      <c r="XC208" s="302"/>
      <c r="XD208" s="302"/>
      <c r="XE208" s="302"/>
      <c r="XF208" s="302"/>
      <c r="XG208" s="302"/>
      <c r="XH208" s="302"/>
      <c r="XI208" s="302"/>
      <c r="XJ208" s="302"/>
      <c r="XK208" s="302"/>
      <c r="XL208" s="302"/>
      <c r="XM208" s="302"/>
      <c r="XN208" s="302"/>
      <c r="XO208" s="302"/>
      <c r="XP208" s="302"/>
      <c r="XQ208" s="302"/>
      <c r="XR208" s="302"/>
      <c r="XS208" s="302"/>
      <c r="XT208" s="302"/>
      <c r="XU208" s="302"/>
      <c r="XV208" s="302"/>
      <c r="XW208" s="302"/>
      <c r="XX208" s="302"/>
      <c r="XY208" s="302"/>
      <c r="XZ208" s="302"/>
      <c r="YA208" s="302"/>
      <c r="YB208" s="302"/>
      <c r="YC208" s="302"/>
      <c r="YD208" s="302"/>
      <c r="YE208" s="302"/>
      <c r="YF208" s="302"/>
      <c r="YG208" s="302"/>
      <c r="YH208" s="302"/>
      <c r="YI208" s="302"/>
      <c r="YJ208" s="302"/>
      <c r="YK208" s="302"/>
      <c r="YL208" s="302"/>
      <c r="YM208" s="302"/>
      <c r="YN208" s="302"/>
      <c r="YO208" s="302"/>
      <c r="YP208" s="302"/>
      <c r="YQ208" s="302"/>
      <c r="YR208" s="302"/>
      <c r="YS208" s="302"/>
      <c r="YT208" s="302"/>
      <c r="YU208" s="302"/>
      <c r="YV208" s="302"/>
      <c r="YW208" s="302"/>
      <c r="YX208" s="302"/>
      <c r="YY208" s="302"/>
      <c r="YZ208" s="302"/>
      <c r="ZA208" s="302"/>
      <c r="ZB208" s="302"/>
      <c r="ZC208" s="302"/>
      <c r="ZD208" s="302"/>
      <c r="ZE208" s="302"/>
      <c r="ZF208" s="302"/>
      <c r="ZG208" s="302"/>
      <c r="ZH208" s="302"/>
      <c r="ZI208" s="302"/>
      <c r="ZJ208" s="302"/>
      <c r="ZK208" s="302"/>
      <c r="ZL208" s="302"/>
      <c r="ZM208" s="302"/>
      <c r="ZN208" s="302"/>
      <c r="ZO208" s="302"/>
      <c r="ZP208" s="302"/>
      <c r="ZQ208" s="302"/>
      <c r="ZR208" s="302"/>
      <c r="ZS208" s="302"/>
      <c r="ZT208" s="302"/>
      <c r="ZU208" s="302"/>
      <c r="ZV208" s="302"/>
      <c r="ZW208" s="302"/>
      <c r="ZX208" s="302"/>
      <c r="ZY208" s="302"/>
      <c r="ZZ208" s="302"/>
      <c r="AAA208" s="302"/>
      <c r="AAB208" s="302"/>
      <c r="AAC208" s="302"/>
      <c r="AAD208" s="302"/>
      <c r="AAE208" s="302"/>
      <c r="AAF208" s="302"/>
      <c r="AAG208" s="302"/>
      <c r="AAH208" s="302"/>
      <c r="AAI208" s="302"/>
      <c r="AAJ208" s="302"/>
      <c r="AAK208" s="302"/>
      <c r="AAL208" s="302"/>
      <c r="AAM208" s="302"/>
      <c r="AAN208" s="302"/>
      <c r="AAO208" s="302"/>
      <c r="AAP208" s="302"/>
      <c r="AAQ208" s="302"/>
      <c r="AAR208" s="302"/>
      <c r="AAS208" s="302"/>
      <c r="AAT208" s="302"/>
      <c r="AAU208" s="302"/>
      <c r="AAV208" s="302"/>
      <c r="AAW208" s="302"/>
      <c r="AAX208" s="302"/>
      <c r="AAY208" s="302"/>
      <c r="AAZ208" s="302"/>
      <c r="ABA208" s="302"/>
      <c r="ABB208" s="302"/>
      <c r="ABC208" s="302"/>
      <c r="ABD208" s="302"/>
      <c r="ABE208" s="302"/>
      <c r="ABF208" s="302"/>
      <c r="ABG208" s="302"/>
      <c r="ABH208" s="302"/>
      <c r="ABI208" s="302"/>
      <c r="ABJ208" s="302"/>
      <c r="ABK208" s="302"/>
      <c r="ABL208" s="302"/>
      <c r="ABM208" s="302"/>
      <c r="ABN208" s="302"/>
      <c r="ABO208" s="302"/>
      <c r="ABP208" s="302"/>
      <c r="ABQ208" s="302"/>
      <c r="ABR208" s="302"/>
      <c r="ABS208" s="302"/>
      <c r="ABT208" s="302"/>
      <c r="ABU208" s="302"/>
      <c r="ABV208" s="302"/>
      <c r="ABW208" s="302"/>
      <c r="ABX208" s="302"/>
      <c r="ABY208" s="302"/>
      <c r="ABZ208" s="302"/>
      <c r="ACA208" s="302"/>
      <c r="ACB208" s="302"/>
      <c r="ACC208" s="302"/>
      <c r="ACD208" s="302"/>
      <c r="ACE208" s="302"/>
      <c r="ACF208" s="302"/>
      <c r="ACG208" s="302"/>
      <c r="ACH208" s="302"/>
      <c r="ACI208" s="302"/>
      <c r="ACJ208" s="302"/>
      <c r="ACK208" s="302"/>
      <c r="ACL208" s="302"/>
      <c r="ACM208" s="302"/>
      <c r="ACN208" s="302"/>
      <c r="ACO208" s="302"/>
      <c r="ACP208" s="302"/>
      <c r="ACQ208" s="302"/>
      <c r="ACR208" s="302"/>
      <c r="ACS208" s="302"/>
      <c r="ACT208" s="302"/>
      <c r="ACU208" s="302"/>
      <c r="ACV208" s="302"/>
      <c r="ACW208" s="302"/>
      <c r="ACX208" s="302"/>
      <c r="ACY208" s="302"/>
      <c r="ACZ208" s="302"/>
      <c r="ADA208" s="302"/>
      <c r="ADB208" s="302"/>
      <c r="ADC208" s="302"/>
      <c r="ADD208" s="302"/>
      <c r="ADE208" s="302"/>
      <c r="ADF208" s="302"/>
      <c r="ADG208" s="302"/>
      <c r="ADH208" s="302"/>
      <c r="ADI208" s="302"/>
      <c r="ADJ208" s="302"/>
      <c r="ADK208" s="302"/>
      <c r="ADL208" s="302"/>
      <c r="ADM208" s="302"/>
      <c r="ADN208" s="302"/>
      <c r="ADO208" s="302"/>
      <c r="ADP208" s="302"/>
      <c r="ADQ208" s="302"/>
      <c r="ADR208" s="302"/>
      <c r="ADS208" s="302"/>
      <c r="ADT208" s="302"/>
      <c r="ADU208" s="302"/>
      <c r="ADV208" s="302"/>
      <c r="ADW208" s="302"/>
      <c r="ADX208" s="302"/>
      <c r="ADY208" s="302"/>
      <c r="ADZ208" s="302"/>
      <c r="AEA208" s="302"/>
      <c r="AEB208" s="302"/>
      <c r="AEC208" s="302"/>
      <c r="AED208" s="302"/>
      <c r="AEE208" s="302"/>
      <c r="AEF208" s="302"/>
      <c r="AEG208" s="302"/>
      <c r="AEH208" s="302"/>
      <c r="AEI208" s="302"/>
      <c r="AEJ208" s="302"/>
      <c r="AEK208" s="302"/>
      <c r="AEL208" s="302"/>
      <c r="AEM208" s="302"/>
      <c r="AEN208" s="302"/>
      <c r="AEO208" s="302"/>
      <c r="AEP208" s="302"/>
      <c r="AEQ208" s="302"/>
      <c r="AER208" s="302"/>
      <c r="AES208" s="302"/>
      <c r="AET208" s="302"/>
      <c r="AEU208" s="302"/>
      <c r="AEV208" s="302"/>
      <c r="AEW208" s="302"/>
      <c r="AEX208" s="302"/>
      <c r="AEY208" s="302"/>
      <c r="AEZ208" s="302"/>
      <c r="AFA208" s="302"/>
      <c r="AFB208" s="302"/>
      <c r="AFC208" s="302"/>
      <c r="AFD208" s="302"/>
      <c r="AFE208" s="302"/>
      <c r="AFF208" s="302"/>
      <c r="AFG208" s="302"/>
      <c r="AFH208" s="302"/>
      <c r="AFI208" s="302"/>
      <c r="AFJ208" s="302"/>
      <c r="AFK208" s="302"/>
      <c r="AFL208" s="302"/>
      <c r="AFM208" s="302"/>
      <c r="AFN208" s="302"/>
      <c r="AFO208" s="302"/>
      <c r="AFP208" s="302"/>
      <c r="AFQ208" s="302"/>
      <c r="AFR208" s="302"/>
      <c r="AFS208" s="302"/>
      <c r="AFT208" s="302"/>
      <c r="AFU208" s="302"/>
      <c r="AFV208" s="302"/>
      <c r="AFW208" s="302"/>
      <c r="AFX208" s="302"/>
      <c r="AFY208" s="302"/>
      <c r="AFZ208" s="302"/>
      <c r="AGA208" s="302"/>
      <c r="AGB208" s="302"/>
      <c r="AGC208" s="302"/>
      <c r="AGD208" s="302"/>
      <c r="AGE208" s="302"/>
      <c r="AGF208" s="302"/>
      <c r="AGG208" s="302"/>
      <c r="AGH208" s="302"/>
      <c r="AGI208" s="302"/>
      <c r="AGJ208" s="302"/>
      <c r="AGK208" s="302"/>
      <c r="AGL208" s="302"/>
      <c r="AGM208" s="302"/>
      <c r="AGN208" s="302"/>
      <c r="AGO208" s="302"/>
      <c r="AGP208" s="302"/>
      <c r="AGQ208" s="302"/>
      <c r="AGR208" s="302"/>
      <c r="AGS208" s="302"/>
      <c r="AGT208" s="302"/>
      <c r="AGU208" s="302"/>
      <c r="AGV208" s="302"/>
      <c r="AGW208" s="302"/>
      <c r="AGX208" s="302"/>
      <c r="AGY208" s="302"/>
      <c r="AGZ208" s="302"/>
      <c r="AHA208" s="302"/>
      <c r="AHB208" s="302"/>
      <c r="AHC208" s="302"/>
      <c r="AHD208" s="302"/>
      <c r="AHE208" s="302"/>
      <c r="AHF208" s="302"/>
      <c r="AHG208" s="302"/>
      <c r="AHH208" s="302"/>
      <c r="AHI208" s="302"/>
      <c r="AHJ208" s="302"/>
      <c r="AHK208" s="302"/>
      <c r="AHL208" s="302"/>
      <c r="AHM208" s="302"/>
      <c r="AHN208" s="302"/>
      <c r="AHO208" s="302"/>
      <c r="AHP208" s="302"/>
      <c r="AHQ208" s="302"/>
      <c r="AHR208" s="302"/>
      <c r="AHS208" s="302"/>
      <c r="AHT208" s="302"/>
      <c r="AHU208" s="302"/>
      <c r="AHV208" s="302"/>
      <c r="AHW208" s="302"/>
      <c r="AHX208" s="302"/>
      <c r="AHY208" s="302"/>
      <c r="AHZ208" s="302"/>
      <c r="AIA208" s="302"/>
      <c r="AIB208" s="302"/>
      <c r="AIC208" s="302"/>
      <c r="AID208" s="302"/>
      <c r="AIE208" s="302"/>
      <c r="AIF208" s="302"/>
      <c r="AIG208" s="302"/>
      <c r="AIH208" s="302"/>
      <c r="AII208" s="302"/>
      <c r="AIJ208" s="302"/>
      <c r="AIK208" s="302"/>
      <c r="AIL208" s="302"/>
      <c r="AIM208" s="302"/>
      <c r="AIN208" s="302"/>
      <c r="AIO208" s="302"/>
      <c r="AIP208" s="302"/>
      <c r="AIQ208" s="302"/>
      <c r="AIR208" s="302"/>
      <c r="AIS208" s="302"/>
      <c r="AIT208" s="302"/>
      <c r="AIU208" s="302"/>
      <c r="AIV208" s="302"/>
      <c r="AIW208" s="302"/>
      <c r="AIX208" s="302"/>
      <c r="AIY208" s="302"/>
      <c r="AIZ208" s="302"/>
      <c r="AJA208" s="302"/>
      <c r="AJB208" s="302"/>
      <c r="AJC208" s="302"/>
      <c r="AJD208" s="302"/>
      <c r="AJE208" s="302"/>
      <c r="AJF208" s="302"/>
      <c r="AJG208" s="302"/>
      <c r="AJH208" s="302"/>
      <c r="AJI208" s="302"/>
      <c r="AJJ208" s="302"/>
      <c r="AJK208" s="302"/>
      <c r="AJL208" s="302"/>
      <c r="AJM208" s="302"/>
      <c r="AJN208" s="302"/>
      <c r="AJO208" s="302"/>
      <c r="AJP208" s="302"/>
      <c r="AJQ208" s="302"/>
      <c r="AJR208" s="302"/>
      <c r="AJS208" s="302"/>
      <c r="AJT208" s="302"/>
      <c r="AJU208" s="302"/>
      <c r="AJV208" s="302"/>
      <c r="AJW208" s="302"/>
      <c r="AJX208" s="302"/>
      <c r="AJY208" s="302"/>
      <c r="AJZ208" s="302"/>
      <c r="AKA208" s="302"/>
      <c r="AKB208" s="302"/>
      <c r="AKC208" s="302"/>
      <c r="AKD208" s="302"/>
      <c r="AKE208" s="302"/>
      <c r="AKF208" s="302"/>
      <c r="AKG208" s="302"/>
      <c r="AKH208" s="302"/>
      <c r="AKI208" s="302"/>
      <c r="AKJ208" s="302"/>
      <c r="AKK208" s="302"/>
      <c r="AKL208" s="302"/>
      <c r="AKM208" s="302"/>
      <c r="AKN208" s="302"/>
      <c r="AKO208" s="302"/>
      <c r="AKP208" s="302"/>
      <c r="AKQ208" s="302"/>
      <c r="AKR208" s="302"/>
      <c r="AKS208" s="302"/>
      <c r="AKT208" s="302"/>
      <c r="AKU208" s="302"/>
      <c r="AKV208" s="302"/>
      <c r="AKW208" s="302"/>
      <c r="AKX208" s="302"/>
      <c r="AKY208" s="302"/>
      <c r="AKZ208" s="302"/>
      <c r="ALA208" s="302"/>
      <c r="ALB208" s="302"/>
      <c r="ALC208" s="302"/>
      <c r="ALD208" s="302"/>
      <c r="ALE208" s="302"/>
      <c r="ALF208" s="302"/>
      <c r="ALG208" s="302"/>
      <c r="ALH208" s="302"/>
      <c r="ALI208" s="302"/>
      <c r="ALJ208" s="302"/>
      <c r="ALK208" s="302"/>
      <c r="ALL208" s="302"/>
      <c r="ALM208" s="302"/>
      <c r="ALN208" s="302"/>
      <c r="ALO208" s="302"/>
      <c r="ALP208" s="302"/>
      <c r="ALQ208" s="302"/>
      <c r="ALR208" s="302"/>
      <c r="ALS208" s="302"/>
      <c r="ALT208" s="302"/>
      <c r="ALU208" s="302"/>
      <c r="ALV208" s="302"/>
      <c r="ALW208" s="302"/>
      <c r="ALX208" s="302"/>
      <c r="ALY208" s="302"/>
      <c r="ALZ208" s="302"/>
      <c r="AMA208" s="302"/>
      <c r="AMB208" s="302"/>
      <c r="AMC208" s="302"/>
      <c r="AMD208" s="302"/>
      <c r="AME208" s="302"/>
      <c r="AMF208" s="302"/>
      <c r="AMG208" s="302"/>
      <c r="AMH208" s="302"/>
      <c r="AMI208" s="302"/>
    </row>
    <row r="209" spans="1:1023" hidden="1">
      <c r="A209" s="302"/>
      <c r="B209" s="470">
        <v>13975</v>
      </c>
      <c r="C209" s="477">
        <v>0.08</v>
      </c>
      <c r="D209" s="472" t="s">
        <v>130</v>
      </c>
      <c r="E209" s="473">
        <v>2600000</v>
      </c>
      <c r="F209" s="500">
        <v>0.04</v>
      </c>
      <c r="G209" s="364">
        <f t="shared" si="11"/>
        <v>104000</v>
      </c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2"/>
      <c r="AE209" s="302"/>
      <c r="AF209" s="302"/>
      <c r="AG209" s="302"/>
      <c r="AH209" s="302"/>
      <c r="AI209" s="302"/>
      <c r="AJ209" s="302"/>
      <c r="AK209" s="302"/>
      <c r="AL209" s="302"/>
      <c r="AM209" s="302"/>
      <c r="AN209" s="302"/>
      <c r="AO209" s="302"/>
      <c r="AP209" s="302"/>
      <c r="AQ209" s="302"/>
      <c r="AR209" s="302"/>
      <c r="AS209" s="302"/>
      <c r="AT209" s="302"/>
      <c r="AU209" s="302"/>
      <c r="AV209" s="302"/>
      <c r="AW209" s="302"/>
      <c r="AX209" s="302"/>
      <c r="AY209" s="302"/>
      <c r="AZ209" s="302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K209" s="302"/>
      <c r="BL209" s="302"/>
      <c r="BM209" s="302"/>
      <c r="BN209" s="302"/>
      <c r="BO209" s="302"/>
      <c r="BP209" s="302"/>
      <c r="BQ209" s="302"/>
      <c r="BR209" s="302"/>
      <c r="BS209" s="302"/>
      <c r="BT209" s="302"/>
      <c r="BU209" s="302"/>
      <c r="BV209" s="302"/>
      <c r="BW209" s="302"/>
      <c r="BX209" s="302"/>
      <c r="BY209" s="302"/>
      <c r="BZ209" s="302"/>
      <c r="CA209" s="302"/>
      <c r="CB209" s="302"/>
      <c r="CC209" s="302"/>
      <c r="CD209" s="302"/>
      <c r="CE209" s="302"/>
      <c r="CF209" s="302"/>
      <c r="CG209" s="302"/>
      <c r="CH209" s="302"/>
      <c r="CI209" s="302"/>
      <c r="CJ209" s="302"/>
      <c r="CK209" s="302"/>
      <c r="CL209" s="302"/>
      <c r="CM209" s="302"/>
      <c r="CN209" s="302"/>
      <c r="CO209" s="302"/>
      <c r="CP209" s="302"/>
      <c r="CQ209" s="302"/>
      <c r="CR209" s="302"/>
      <c r="CS209" s="302"/>
      <c r="CT209" s="302"/>
      <c r="CU209" s="302"/>
      <c r="CV209" s="302"/>
      <c r="CW209" s="302"/>
      <c r="CX209" s="302"/>
      <c r="CY209" s="302"/>
      <c r="CZ209" s="302"/>
      <c r="DA209" s="302"/>
      <c r="DB209" s="302"/>
      <c r="DC209" s="302"/>
      <c r="DD209" s="302"/>
      <c r="DE209" s="302"/>
      <c r="DF209" s="302"/>
      <c r="DG209" s="302"/>
      <c r="DH209" s="302"/>
      <c r="DI209" s="302"/>
      <c r="DJ209" s="302"/>
      <c r="DK209" s="302"/>
      <c r="DL209" s="302"/>
      <c r="DM209" s="302"/>
      <c r="DN209" s="302"/>
      <c r="DO209" s="302"/>
      <c r="DP209" s="302"/>
      <c r="DQ209" s="302"/>
      <c r="DR209" s="302"/>
      <c r="DS209" s="302"/>
      <c r="DT209" s="302"/>
      <c r="DU209" s="302"/>
      <c r="DV209" s="302"/>
      <c r="DW209" s="302"/>
      <c r="DX209" s="302"/>
      <c r="DY209" s="302"/>
      <c r="DZ209" s="302"/>
      <c r="EA209" s="302"/>
      <c r="EB209" s="302"/>
      <c r="EC209" s="302"/>
      <c r="ED209" s="302"/>
      <c r="EE209" s="302"/>
      <c r="EF209" s="302"/>
      <c r="EG209" s="302"/>
      <c r="EH209" s="302"/>
      <c r="EI209" s="302"/>
      <c r="EJ209" s="302"/>
      <c r="EK209" s="302"/>
      <c r="EL209" s="302"/>
      <c r="EM209" s="302"/>
      <c r="EN209" s="302"/>
      <c r="EO209" s="302"/>
      <c r="EP209" s="302"/>
      <c r="EQ209" s="302"/>
      <c r="ER209" s="302"/>
      <c r="ES209" s="302"/>
      <c r="ET209" s="302"/>
      <c r="EU209" s="302"/>
      <c r="EV209" s="302"/>
      <c r="EW209" s="302"/>
      <c r="EX209" s="302"/>
      <c r="EY209" s="302"/>
      <c r="EZ209" s="302"/>
      <c r="FA209" s="302"/>
      <c r="FB209" s="302"/>
      <c r="FC209" s="302"/>
      <c r="FD209" s="302"/>
      <c r="FE209" s="302"/>
      <c r="FF209" s="302"/>
      <c r="FG209" s="302"/>
      <c r="FH209" s="302"/>
      <c r="FI209" s="302"/>
      <c r="FJ209" s="302"/>
      <c r="FK209" s="302"/>
      <c r="FL209" s="302"/>
      <c r="FM209" s="302"/>
      <c r="FN209" s="302"/>
      <c r="FO209" s="302"/>
      <c r="FP209" s="302"/>
      <c r="FQ209" s="302"/>
      <c r="FR209" s="302"/>
      <c r="FS209" s="302"/>
      <c r="FT209" s="302"/>
      <c r="FU209" s="302"/>
      <c r="FV209" s="302"/>
      <c r="FW209" s="302"/>
      <c r="FX209" s="302"/>
      <c r="FY209" s="302"/>
      <c r="FZ209" s="302"/>
      <c r="GA209" s="302"/>
      <c r="GB209" s="302"/>
      <c r="GC209" s="302"/>
      <c r="GD209" s="302"/>
      <c r="GE209" s="302"/>
      <c r="GF209" s="302"/>
      <c r="GG209" s="302"/>
      <c r="GH209" s="302"/>
      <c r="GI209" s="302"/>
      <c r="GJ209" s="302"/>
      <c r="GK209" s="302"/>
      <c r="GL209" s="302"/>
      <c r="GM209" s="302"/>
      <c r="GN209" s="302"/>
      <c r="GO209" s="302"/>
      <c r="GP209" s="302"/>
      <c r="GQ209" s="302"/>
      <c r="GR209" s="302"/>
      <c r="GS209" s="302"/>
      <c r="GT209" s="302"/>
      <c r="GU209" s="302"/>
      <c r="GV209" s="302"/>
      <c r="GW209" s="302"/>
      <c r="GX209" s="302"/>
      <c r="GY209" s="302"/>
      <c r="GZ209" s="302"/>
      <c r="HA209" s="302"/>
      <c r="HB209" s="302"/>
      <c r="HC209" s="302"/>
      <c r="HD209" s="302"/>
      <c r="HE209" s="302"/>
      <c r="HF209" s="302"/>
      <c r="HG209" s="302"/>
      <c r="HH209" s="302"/>
      <c r="HI209" s="302"/>
      <c r="HJ209" s="302"/>
      <c r="HK209" s="302"/>
      <c r="HL209" s="302"/>
      <c r="HM209" s="302"/>
      <c r="HN209" s="302"/>
      <c r="HO209" s="302"/>
      <c r="HP209" s="302"/>
      <c r="HQ209" s="302"/>
      <c r="HR209" s="302"/>
      <c r="HS209" s="302"/>
      <c r="HT209" s="302"/>
      <c r="HU209" s="302"/>
      <c r="HV209" s="302"/>
      <c r="HW209" s="302"/>
      <c r="HX209" s="302"/>
      <c r="HY209" s="302"/>
      <c r="HZ209" s="302"/>
      <c r="IA209" s="302"/>
      <c r="IB209" s="302"/>
      <c r="IC209" s="302"/>
      <c r="ID209" s="302"/>
      <c r="IE209" s="302"/>
      <c r="IF209" s="302"/>
      <c r="IG209" s="302"/>
      <c r="IH209" s="302"/>
      <c r="II209" s="302"/>
      <c r="IJ209" s="302"/>
      <c r="IK209" s="302"/>
      <c r="IL209" s="302"/>
      <c r="IM209" s="302"/>
      <c r="IN209" s="302"/>
      <c r="IO209" s="302"/>
      <c r="IP209" s="302"/>
      <c r="IQ209" s="302"/>
      <c r="IR209" s="302"/>
      <c r="IS209" s="302"/>
      <c r="IT209" s="302"/>
      <c r="IU209" s="302"/>
      <c r="IV209" s="302"/>
      <c r="IW209" s="302"/>
      <c r="IX209" s="302"/>
      <c r="IY209" s="302"/>
      <c r="IZ209" s="302"/>
      <c r="JA209" s="302"/>
      <c r="JB209" s="302"/>
      <c r="JC209" s="302"/>
      <c r="JD209" s="302"/>
      <c r="JE209" s="302"/>
      <c r="JF209" s="302"/>
      <c r="JG209" s="302"/>
      <c r="JH209" s="302"/>
      <c r="JI209" s="302"/>
      <c r="JJ209" s="302"/>
      <c r="JK209" s="302"/>
      <c r="JL209" s="302"/>
      <c r="JM209" s="302"/>
      <c r="JN209" s="302"/>
      <c r="JO209" s="302"/>
      <c r="JP209" s="302"/>
      <c r="JQ209" s="302"/>
      <c r="JR209" s="302"/>
      <c r="JS209" s="302"/>
      <c r="JT209" s="302"/>
      <c r="JU209" s="302"/>
      <c r="JV209" s="302"/>
      <c r="JW209" s="302"/>
      <c r="JX209" s="302"/>
      <c r="JY209" s="302"/>
      <c r="JZ209" s="302"/>
      <c r="KA209" s="302"/>
      <c r="KB209" s="302"/>
      <c r="KC209" s="302"/>
      <c r="KD209" s="302"/>
      <c r="KE209" s="302"/>
      <c r="KF209" s="302"/>
      <c r="KG209" s="302"/>
      <c r="KH209" s="302"/>
      <c r="KI209" s="302"/>
      <c r="KJ209" s="302"/>
      <c r="KK209" s="302"/>
      <c r="KL209" s="302"/>
      <c r="KM209" s="302"/>
      <c r="KN209" s="302"/>
      <c r="KO209" s="302"/>
      <c r="KP209" s="302"/>
      <c r="KQ209" s="302"/>
      <c r="KR209" s="302"/>
      <c r="KS209" s="302"/>
      <c r="KT209" s="302"/>
      <c r="KU209" s="302"/>
      <c r="KV209" s="302"/>
      <c r="KW209" s="302"/>
      <c r="KX209" s="302"/>
      <c r="KY209" s="302"/>
      <c r="KZ209" s="302"/>
      <c r="LA209" s="302"/>
      <c r="LB209" s="302"/>
      <c r="LC209" s="302"/>
      <c r="LD209" s="302"/>
      <c r="LE209" s="302"/>
      <c r="LF209" s="302"/>
      <c r="LG209" s="302"/>
      <c r="LH209" s="302"/>
      <c r="LI209" s="302"/>
      <c r="LJ209" s="302"/>
      <c r="LK209" s="302"/>
      <c r="LL209" s="302"/>
      <c r="LM209" s="302"/>
      <c r="LN209" s="302"/>
      <c r="LO209" s="302"/>
      <c r="LP209" s="302"/>
      <c r="LQ209" s="302"/>
      <c r="LR209" s="302"/>
      <c r="LS209" s="302"/>
      <c r="LT209" s="302"/>
      <c r="LU209" s="302"/>
      <c r="LV209" s="302"/>
      <c r="LW209" s="302"/>
      <c r="LX209" s="302"/>
      <c r="LY209" s="302"/>
      <c r="LZ209" s="302"/>
      <c r="MA209" s="302"/>
      <c r="MB209" s="302"/>
      <c r="MC209" s="302"/>
      <c r="MD209" s="302"/>
      <c r="ME209" s="302"/>
      <c r="MF209" s="302"/>
      <c r="MG209" s="302"/>
      <c r="MH209" s="302"/>
      <c r="MI209" s="302"/>
      <c r="MJ209" s="302"/>
      <c r="MK209" s="302"/>
      <c r="ML209" s="302"/>
      <c r="MM209" s="302"/>
      <c r="MN209" s="302"/>
      <c r="MO209" s="302"/>
      <c r="MP209" s="302"/>
      <c r="MQ209" s="302"/>
      <c r="MR209" s="302"/>
      <c r="MS209" s="302"/>
      <c r="MT209" s="302"/>
      <c r="MU209" s="302"/>
      <c r="MV209" s="302"/>
      <c r="MW209" s="302"/>
      <c r="MX209" s="302"/>
      <c r="MY209" s="302"/>
      <c r="MZ209" s="302"/>
      <c r="NA209" s="302"/>
      <c r="NB209" s="302"/>
      <c r="NC209" s="302"/>
      <c r="ND209" s="302"/>
      <c r="NE209" s="302"/>
      <c r="NF209" s="302"/>
      <c r="NG209" s="302"/>
      <c r="NH209" s="302"/>
      <c r="NI209" s="302"/>
      <c r="NJ209" s="302"/>
      <c r="NK209" s="302"/>
      <c r="NL209" s="302"/>
      <c r="NM209" s="302"/>
      <c r="NN209" s="302"/>
      <c r="NO209" s="302"/>
      <c r="NP209" s="302"/>
      <c r="NQ209" s="302"/>
      <c r="NR209" s="302"/>
      <c r="NS209" s="302"/>
      <c r="NT209" s="302"/>
      <c r="NU209" s="302"/>
      <c r="NV209" s="302"/>
      <c r="NW209" s="302"/>
      <c r="NX209" s="302"/>
      <c r="NY209" s="302"/>
      <c r="NZ209" s="302"/>
      <c r="OA209" s="302"/>
      <c r="OB209" s="302"/>
      <c r="OC209" s="302"/>
      <c r="OD209" s="302"/>
      <c r="OE209" s="302"/>
      <c r="OF209" s="302"/>
      <c r="OG209" s="302"/>
      <c r="OH209" s="302"/>
      <c r="OI209" s="302"/>
      <c r="OJ209" s="302"/>
      <c r="OK209" s="302"/>
      <c r="OL209" s="302"/>
      <c r="OM209" s="302"/>
      <c r="ON209" s="302"/>
      <c r="OO209" s="302"/>
      <c r="OP209" s="302"/>
      <c r="OQ209" s="302"/>
      <c r="OR209" s="302"/>
      <c r="OS209" s="302"/>
      <c r="OT209" s="302"/>
      <c r="OU209" s="302"/>
      <c r="OV209" s="302"/>
      <c r="OW209" s="302"/>
      <c r="OX209" s="302"/>
      <c r="OY209" s="302"/>
      <c r="OZ209" s="302"/>
      <c r="PA209" s="302"/>
      <c r="PB209" s="302"/>
      <c r="PC209" s="302"/>
      <c r="PD209" s="302"/>
      <c r="PE209" s="302"/>
      <c r="PF209" s="302"/>
      <c r="PG209" s="302"/>
      <c r="PH209" s="302"/>
      <c r="PI209" s="302"/>
      <c r="PJ209" s="302"/>
      <c r="PK209" s="302"/>
      <c r="PL209" s="302"/>
      <c r="PM209" s="302"/>
      <c r="PN209" s="302"/>
      <c r="PO209" s="302"/>
      <c r="PP209" s="302"/>
      <c r="PQ209" s="302"/>
      <c r="PR209" s="302"/>
      <c r="PS209" s="302"/>
      <c r="PT209" s="302"/>
      <c r="PU209" s="302"/>
      <c r="PV209" s="302"/>
      <c r="PW209" s="302"/>
      <c r="PX209" s="302"/>
      <c r="PY209" s="302"/>
      <c r="PZ209" s="302"/>
      <c r="QA209" s="302"/>
      <c r="QB209" s="302"/>
      <c r="QC209" s="302"/>
      <c r="QD209" s="302"/>
      <c r="QE209" s="302"/>
      <c r="QF209" s="302"/>
      <c r="QG209" s="302"/>
      <c r="QH209" s="302"/>
      <c r="QI209" s="302"/>
      <c r="QJ209" s="302"/>
      <c r="QK209" s="302"/>
      <c r="QL209" s="302"/>
      <c r="QM209" s="302"/>
      <c r="QN209" s="302"/>
      <c r="QO209" s="302"/>
      <c r="QP209" s="302"/>
      <c r="QQ209" s="302"/>
      <c r="QR209" s="302"/>
      <c r="QS209" s="302"/>
      <c r="QT209" s="302"/>
      <c r="QU209" s="302"/>
      <c r="QV209" s="302"/>
      <c r="QW209" s="302"/>
      <c r="QX209" s="302"/>
      <c r="QY209" s="302"/>
      <c r="QZ209" s="302"/>
      <c r="RA209" s="302"/>
      <c r="RB209" s="302"/>
      <c r="RC209" s="302"/>
      <c r="RD209" s="302"/>
      <c r="RE209" s="302"/>
      <c r="RF209" s="302"/>
      <c r="RG209" s="302"/>
      <c r="RH209" s="302"/>
      <c r="RI209" s="302"/>
      <c r="RJ209" s="302"/>
      <c r="RK209" s="302"/>
      <c r="RL209" s="302"/>
      <c r="RM209" s="302"/>
      <c r="RN209" s="302"/>
      <c r="RO209" s="302"/>
      <c r="RP209" s="302"/>
      <c r="RQ209" s="302"/>
      <c r="RR209" s="302"/>
      <c r="RS209" s="302"/>
      <c r="RT209" s="302"/>
      <c r="RU209" s="302"/>
      <c r="RV209" s="302"/>
      <c r="RW209" s="302"/>
      <c r="RX209" s="302"/>
      <c r="RY209" s="302"/>
      <c r="RZ209" s="302"/>
      <c r="SA209" s="302"/>
      <c r="SB209" s="302"/>
      <c r="SC209" s="302"/>
      <c r="SD209" s="302"/>
      <c r="SE209" s="302"/>
      <c r="SF209" s="302"/>
      <c r="SG209" s="302"/>
      <c r="SH209" s="302"/>
      <c r="SI209" s="302"/>
      <c r="SJ209" s="302"/>
      <c r="SK209" s="302"/>
      <c r="SL209" s="302"/>
      <c r="SM209" s="302"/>
      <c r="SN209" s="302"/>
      <c r="SO209" s="302"/>
      <c r="SP209" s="302"/>
      <c r="SQ209" s="302"/>
      <c r="SR209" s="302"/>
      <c r="SS209" s="302"/>
      <c r="ST209" s="302"/>
      <c r="SU209" s="302"/>
      <c r="SV209" s="302"/>
      <c r="SW209" s="302"/>
      <c r="SX209" s="302"/>
      <c r="SY209" s="302"/>
      <c r="SZ209" s="302"/>
      <c r="TA209" s="302"/>
      <c r="TB209" s="302"/>
      <c r="TC209" s="302"/>
      <c r="TD209" s="302"/>
      <c r="TE209" s="302"/>
      <c r="TF209" s="302"/>
      <c r="TG209" s="302"/>
      <c r="TH209" s="302"/>
      <c r="TI209" s="302"/>
      <c r="TJ209" s="302"/>
      <c r="TK209" s="302"/>
      <c r="TL209" s="302"/>
      <c r="TM209" s="302"/>
      <c r="TN209" s="302"/>
      <c r="TO209" s="302"/>
      <c r="TP209" s="302"/>
      <c r="TQ209" s="302"/>
      <c r="TR209" s="302"/>
      <c r="TS209" s="302"/>
      <c r="TT209" s="302"/>
      <c r="TU209" s="302"/>
      <c r="TV209" s="302"/>
      <c r="TW209" s="302"/>
      <c r="TX209" s="302"/>
      <c r="TY209" s="302"/>
      <c r="TZ209" s="302"/>
      <c r="UA209" s="302"/>
      <c r="UB209" s="302"/>
      <c r="UC209" s="302"/>
      <c r="UD209" s="302"/>
      <c r="UE209" s="302"/>
      <c r="UF209" s="302"/>
      <c r="UG209" s="302"/>
      <c r="UH209" s="302"/>
      <c r="UI209" s="302"/>
      <c r="UJ209" s="302"/>
      <c r="UK209" s="302"/>
      <c r="UL209" s="302"/>
      <c r="UM209" s="302"/>
      <c r="UN209" s="302"/>
      <c r="UO209" s="302"/>
      <c r="UP209" s="302"/>
      <c r="UQ209" s="302"/>
      <c r="UR209" s="302"/>
      <c r="US209" s="302"/>
      <c r="UT209" s="302"/>
      <c r="UU209" s="302"/>
      <c r="UV209" s="302"/>
      <c r="UW209" s="302"/>
      <c r="UX209" s="302"/>
      <c r="UY209" s="302"/>
      <c r="UZ209" s="302"/>
      <c r="VA209" s="302"/>
      <c r="VB209" s="302"/>
      <c r="VC209" s="302"/>
      <c r="VD209" s="302"/>
      <c r="VE209" s="302"/>
      <c r="VF209" s="302"/>
      <c r="VG209" s="302"/>
      <c r="VH209" s="302"/>
      <c r="VI209" s="302"/>
      <c r="VJ209" s="302"/>
      <c r="VK209" s="302"/>
      <c r="VL209" s="302"/>
      <c r="VM209" s="302"/>
      <c r="VN209" s="302"/>
      <c r="VO209" s="302"/>
      <c r="VP209" s="302"/>
      <c r="VQ209" s="302"/>
      <c r="VR209" s="302"/>
      <c r="VS209" s="302"/>
      <c r="VT209" s="302"/>
      <c r="VU209" s="302"/>
      <c r="VV209" s="302"/>
      <c r="VW209" s="302"/>
      <c r="VX209" s="302"/>
      <c r="VY209" s="302"/>
      <c r="VZ209" s="302"/>
      <c r="WA209" s="302"/>
      <c r="WB209" s="302"/>
      <c r="WC209" s="302"/>
      <c r="WD209" s="302"/>
      <c r="WE209" s="302"/>
      <c r="WF209" s="302"/>
      <c r="WG209" s="302"/>
      <c r="WH209" s="302"/>
      <c r="WI209" s="302"/>
      <c r="WJ209" s="302"/>
      <c r="WK209" s="302"/>
      <c r="WL209" s="302"/>
      <c r="WM209" s="302"/>
      <c r="WN209" s="302"/>
      <c r="WO209" s="302"/>
      <c r="WP209" s="302"/>
      <c r="WQ209" s="302"/>
      <c r="WR209" s="302"/>
      <c r="WS209" s="302"/>
      <c r="WT209" s="302"/>
      <c r="WU209" s="302"/>
      <c r="WV209" s="302"/>
      <c r="WW209" s="302"/>
      <c r="WX209" s="302"/>
      <c r="WY209" s="302"/>
      <c r="WZ209" s="302"/>
      <c r="XA209" s="302"/>
      <c r="XB209" s="302"/>
      <c r="XC209" s="302"/>
      <c r="XD209" s="302"/>
      <c r="XE209" s="302"/>
      <c r="XF209" s="302"/>
      <c r="XG209" s="302"/>
      <c r="XH209" s="302"/>
      <c r="XI209" s="302"/>
      <c r="XJ209" s="302"/>
      <c r="XK209" s="302"/>
      <c r="XL209" s="302"/>
      <c r="XM209" s="302"/>
      <c r="XN209" s="302"/>
      <c r="XO209" s="302"/>
      <c r="XP209" s="302"/>
      <c r="XQ209" s="302"/>
      <c r="XR209" s="302"/>
      <c r="XS209" s="302"/>
      <c r="XT209" s="302"/>
      <c r="XU209" s="302"/>
      <c r="XV209" s="302"/>
      <c r="XW209" s="302"/>
      <c r="XX209" s="302"/>
      <c r="XY209" s="302"/>
      <c r="XZ209" s="302"/>
      <c r="YA209" s="302"/>
      <c r="YB209" s="302"/>
      <c r="YC209" s="302"/>
      <c r="YD209" s="302"/>
      <c r="YE209" s="302"/>
      <c r="YF209" s="302"/>
      <c r="YG209" s="302"/>
      <c r="YH209" s="302"/>
      <c r="YI209" s="302"/>
      <c r="YJ209" s="302"/>
      <c r="YK209" s="302"/>
      <c r="YL209" s="302"/>
      <c r="YM209" s="302"/>
      <c r="YN209" s="302"/>
      <c r="YO209" s="302"/>
      <c r="YP209" s="302"/>
      <c r="YQ209" s="302"/>
      <c r="YR209" s="302"/>
      <c r="YS209" s="302"/>
      <c r="YT209" s="302"/>
      <c r="YU209" s="302"/>
      <c r="YV209" s="302"/>
      <c r="YW209" s="302"/>
      <c r="YX209" s="302"/>
      <c r="YY209" s="302"/>
      <c r="YZ209" s="302"/>
      <c r="ZA209" s="302"/>
      <c r="ZB209" s="302"/>
      <c r="ZC209" s="302"/>
      <c r="ZD209" s="302"/>
      <c r="ZE209" s="302"/>
      <c r="ZF209" s="302"/>
      <c r="ZG209" s="302"/>
      <c r="ZH209" s="302"/>
      <c r="ZI209" s="302"/>
      <c r="ZJ209" s="302"/>
      <c r="ZK209" s="302"/>
      <c r="ZL209" s="302"/>
      <c r="ZM209" s="302"/>
      <c r="ZN209" s="302"/>
      <c r="ZO209" s="302"/>
      <c r="ZP209" s="302"/>
      <c r="ZQ209" s="302"/>
      <c r="ZR209" s="302"/>
      <c r="ZS209" s="302"/>
      <c r="ZT209" s="302"/>
      <c r="ZU209" s="302"/>
      <c r="ZV209" s="302"/>
      <c r="ZW209" s="302"/>
      <c r="ZX209" s="302"/>
      <c r="ZY209" s="302"/>
      <c r="ZZ209" s="302"/>
      <c r="AAA209" s="302"/>
      <c r="AAB209" s="302"/>
      <c r="AAC209" s="302"/>
      <c r="AAD209" s="302"/>
      <c r="AAE209" s="302"/>
      <c r="AAF209" s="302"/>
      <c r="AAG209" s="302"/>
      <c r="AAH209" s="302"/>
      <c r="AAI209" s="302"/>
      <c r="AAJ209" s="302"/>
      <c r="AAK209" s="302"/>
      <c r="AAL209" s="302"/>
      <c r="AAM209" s="302"/>
      <c r="AAN209" s="302"/>
      <c r="AAO209" s="302"/>
      <c r="AAP209" s="302"/>
      <c r="AAQ209" s="302"/>
      <c r="AAR209" s="302"/>
      <c r="AAS209" s="302"/>
      <c r="AAT209" s="302"/>
      <c r="AAU209" s="302"/>
      <c r="AAV209" s="302"/>
      <c r="AAW209" s="302"/>
      <c r="AAX209" s="302"/>
      <c r="AAY209" s="302"/>
      <c r="AAZ209" s="302"/>
      <c r="ABA209" s="302"/>
      <c r="ABB209" s="302"/>
      <c r="ABC209" s="302"/>
      <c r="ABD209" s="302"/>
      <c r="ABE209" s="302"/>
      <c r="ABF209" s="302"/>
      <c r="ABG209" s="302"/>
      <c r="ABH209" s="302"/>
      <c r="ABI209" s="302"/>
      <c r="ABJ209" s="302"/>
      <c r="ABK209" s="302"/>
      <c r="ABL209" s="302"/>
      <c r="ABM209" s="302"/>
      <c r="ABN209" s="302"/>
      <c r="ABO209" s="302"/>
      <c r="ABP209" s="302"/>
      <c r="ABQ209" s="302"/>
      <c r="ABR209" s="302"/>
      <c r="ABS209" s="302"/>
      <c r="ABT209" s="302"/>
      <c r="ABU209" s="302"/>
      <c r="ABV209" s="302"/>
      <c r="ABW209" s="302"/>
      <c r="ABX209" s="302"/>
      <c r="ABY209" s="302"/>
      <c r="ABZ209" s="302"/>
      <c r="ACA209" s="302"/>
      <c r="ACB209" s="302"/>
      <c r="ACC209" s="302"/>
      <c r="ACD209" s="302"/>
      <c r="ACE209" s="302"/>
      <c r="ACF209" s="302"/>
      <c r="ACG209" s="302"/>
      <c r="ACH209" s="302"/>
      <c r="ACI209" s="302"/>
      <c r="ACJ209" s="302"/>
      <c r="ACK209" s="302"/>
      <c r="ACL209" s="302"/>
      <c r="ACM209" s="302"/>
      <c r="ACN209" s="302"/>
      <c r="ACO209" s="302"/>
      <c r="ACP209" s="302"/>
      <c r="ACQ209" s="302"/>
      <c r="ACR209" s="302"/>
      <c r="ACS209" s="302"/>
      <c r="ACT209" s="302"/>
      <c r="ACU209" s="302"/>
      <c r="ACV209" s="302"/>
      <c r="ACW209" s="302"/>
      <c r="ACX209" s="302"/>
      <c r="ACY209" s="302"/>
      <c r="ACZ209" s="302"/>
      <c r="ADA209" s="302"/>
      <c r="ADB209" s="302"/>
      <c r="ADC209" s="302"/>
      <c r="ADD209" s="302"/>
      <c r="ADE209" s="302"/>
      <c r="ADF209" s="302"/>
      <c r="ADG209" s="302"/>
      <c r="ADH209" s="302"/>
      <c r="ADI209" s="302"/>
      <c r="ADJ209" s="302"/>
      <c r="ADK209" s="302"/>
      <c r="ADL209" s="302"/>
      <c r="ADM209" s="302"/>
      <c r="ADN209" s="302"/>
      <c r="ADO209" s="302"/>
      <c r="ADP209" s="302"/>
      <c r="ADQ209" s="302"/>
      <c r="ADR209" s="302"/>
      <c r="ADS209" s="302"/>
      <c r="ADT209" s="302"/>
      <c r="ADU209" s="302"/>
      <c r="ADV209" s="302"/>
      <c r="ADW209" s="302"/>
      <c r="ADX209" s="302"/>
      <c r="ADY209" s="302"/>
      <c r="ADZ209" s="302"/>
      <c r="AEA209" s="302"/>
      <c r="AEB209" s="302"/>
      <c r="AEC209" s="302"/>
      <c r="AED209" s="302"/>
      <c r="AEE209" s="302"/>
      <c r="AEF209" s="302"/>
      <c r="AEG209" s="302"/>
      <c r="AEH209" s="302"/>
      <c r="AEI209" s="302"/>
      <c r="AEJ209" s="302"/>
      <c r="AEK209" s="302"/>
      <c r="AEL209" s="302"/>
      <c r="AEM209" s="302"/>
      <c r="AEN209" s="302"/>
      <c r="AEO209" s="302"/>
      <c r="AEP209" s="302"/>
      <c r="AEQ209" s="302"/>
      <c r="AER209" s="302"/>
      <c r="AES209" s="302"/>
      <c r="AET209" s="302"/>
      <c r="AEU209" s="302"/>
      <c r="AEV209" s="302"/>
      <c r="AEW209" s="302"/>
      <c r="AEX209" s="302"/>
      <c r="AEY209" s="302"/>
      <c r="AEZ209" s="302"/>
      <c r="AFA209" s="302"/>
      <c r="AFB209" s="302"/>
      <c r="AFC209" s="302"/>
      <c r="AFD209" s="302"/>
      <c r="AFE209" s="302"/>
      <c r="AFF209" s="302"/>
      <c r="AFG209" s="302"/>
      <c r="AFH209" s="302"/>
      <c r="AFI209" s="302"/>
      <c r="AFJ209" s="302"/>
      <c r="AFK209" s="302"/>
      <c r="AFL209" s="302"/>
      <c r="AFM209" s="302"/>
      <c r="AFN209" s="302"/>
      <c r="AFO209" s="302"/>
      <c r="AFP209" s="302"/>
      <c r="AFQ209" s="302"/>
      <c r="AFR209" s="302"/>
      <c r="AFS209" s="302"/>
      <c r="AFT209" s="302"/>
      <c r="AFU209" s="302"/>
      <c r="AFV209" s="302"/>
      <c r="AFW209" s="302"/>
      <c r="AFX209" s="302"/>
      <c r="AFY209" s="302"/>
      <c r="AFZ209" s="302"/>
      <c r="AGA209" s="302"/>
      <c r="AGB209" s="302"/>
      <c r="AGC209" s="302"/>
      <c r="AGD209" s="302"/>
      <c r="AGE209" s="302"/>
      <c r="AGF209" s="302"/>
      <c r="AGG209" s="302"/>
      <c r="AGH209" s="302"/>
      <c r="AGI209" s="302"/>
      <c r="AGJ209" s="302"/>
      <c r="AGK209" s="302"/>
      <c r="AGL209" s="302"/>
      <c r="AGM209" s="302"/>
      <c r="AGN209" s="302"/>
      <c r="AGO209" s="302"/>
      <c r="AGP209" s="302"/>
      <c r="AGQ209" s="302"/>
      <c r="AGR209" s="302"/>
      <c r="AGS209" s="302"/>
      <c r="AGT209" s="302"/>
      <c r="AGU209" s="302"/>
      <c r="AGV209" s="302"/>
      <c r="AGW209" s="302"/>
      <c r="AGX209" s="302"/>
      <c r="AGY209" s="302"/>
      <c r="AGZ209" s="302"/>
      <c r="AHA209" s="302"/>
      <c r="AHB209" s="302"/>
      <c r="AHC209" s="302"/>
      <c r="AHD209" s="302"/>
      <c r="AHE209" s="302"/>
      <c r="AHF209" s="302"/>
      <c r="AHG209" s="302"/>
      <c r="AHH209" s="302"/>
      <c r="AHI209" s="302"/>
      <c r="AHJ209" s="302"/>
      <c r="AHK209" s="302"/>
      <c r="AHL209" s="302"/>
      <c r="AHM209" s="302"/>
      <c r="AHN209" s="302"/>
      <c r="AHO209" s="302"/>
      <c r="AHP209" s="302"/>
      <c r="AHQ209" s="302"/>
      <c r="AHR209" s="302"/>
      <c r="AHS209" s="302"/>
      <c r="AHT209" s="302"/>
      <c r="AHU209" s="302"/>
      <c r="AHV209" s="302"/>
      <c r="AHW209" s="302"/>
      <c r="AHX209" s="302"/>
      <c r="AHY209" s="302"/>
      <c r="AHZ209" s="302"/>
      <c r="AIA209" s="302"/>
      <c r="AIB209" s="302"/>
      <c r="AIC209" s="302"/>
      <c r="AID209" s="302"/>
      <c r="AIE209" s="302"/>
      <c r="AIF209" s="302"/>
      <c r="AIG209" s="302"/>
      <c r="AIH209" s="302"/>
      <c r="AII209" s="302"/>
      <c r="AIJ209" s="302"/>
      <c r="AIK209" s="302"/>
      <c r="AIL209" s="302"/>
      <c r="AIM209" s="302"/>
      <c r="AIN209" s="302"/>
      <c r="AIO209" s="302"/>
      <c r="AIP209" s="302"/>
      <c r="AIQ209" s="302"/>
      <c r="AIR209" s="302"/>
      <c r="AIS209" s="302"/>
      <c r="AIT209" s="302"/>
      <c r="AIU209" s="302"/>
      <c r="AIV209" s="302"/>
      <c r="AIW209" s="302"/>
      <c r="AIX209" s="302"/>
      <c r="AIY209" s="302"/>
      <c r="AIZ209" s="302"/>
      <c r="AJA209" s="302"/>
      <c r="AJB209" s="302"/>
      <c r="AJC209" s="302"/>
      <c r="AJD209" s="302"/>
      <c r="AJE209" s="302"/>
      <c r="AJF209" s="302"/>
      <c r="AJG209" s="302"/>
      <c r="AJH209" s="302"/>
      <c r="AJI209" s="302"/>
      <c r="AJJ209" s="302"/>
      <c r="AJK209" s="302"/>
      <c r="AJL209" s="302"/>
      <c r="AJM209" s="302"/>
      <c r="AJN209" s="302"/>
      <c r="AJO209" s="302"/>
      <c r="AJP209" s="302"/>
      <c r="AJQ209" s="302"/>
      <c r="AJR209" s="302"/>
      <c r="AJS209" s="302"/>
      <c r="AJT209" s="302"/>
      <c r="AJU209" s="302"/>
      <c r="AJV209" s="302"/>
      <c r="AJW209" s="302"/>
      <c r="AJX209" s="302"/>
      <c r="AJY209" s="302"/>
      <c r="AJZ209" s="302"/>
      <c r="AKA209" s="302"/>
      <c r="AKB209" s="302"/>
      <c r="AKC209" s="302"/>
      <c r="AKD209" s="302"/>
      <c r="AKE209" s="302"/>
      <c r="AKF209" s="302"/>
      <c r="AKG209" s="302"/>
      <c r="AKH209" s="302"/>
      <c r="AKI209" s="302"/>
      <c r="AKJ209" s="302"/>
      <c r="AKK209" s="302"/>
      <c r="AKL209" s="302"/>
      <c r="AKM209" s="302"/>
      <c r="AKN209" s="302"/>
      <c r="AKO209" s="302"/>
      <c r="AKP209" s="302"/>
      <c r="AKQ209" s="302"/>
      <c r="AKR209" s="302"/>
      <c r="AKS209" s="302"/>
      <c r="AKT209" s="302"/>
      <c r="AKU209" s="302"/>
      <c r="AKV209" s="302"/>
      <c r="AKW209" s="302"/>
      <c r="AKX209" s="302"/>
      <c r="AKY209" s="302"/>
      <c r="AKZ209" s="302"/>
      <c r="ALA209" s="302"/>
      <c r="ALB209" s="302"/>
      <c r="ALC209" s="302"/>
      <c r="ALD209" s="302"/>
      <c r="ALE209" s="302"/>
      <c r="ALF209" s="302"/>
      <c r="ALG209" s="302"/>
      <c r="ALH209" s="302"/>
      <c r="ALI209" s="302"/>
      <c r="ALJ209" s="302"/>
      <c r="ALK209" s="302"/>
      <c r="ALL209" s="302"/>
      <c r="ALM209" s="302"/>
      <c r="ALN209" s="302"/>
      <c r="ALO209" s="302"/>
      <c r="ALP209" s="302"/>
      <c r="ALQ209" s="302"/>
      <c r="ALR209" s="302"/>
      <c r="ALS209" s="302"/>
      <c r="ALT209" s="302"/>
      <c r="ALU209" s="302"/>
      <c r="ALV209" s="302"/>
      <c r="ALW209" s="302"/>
      <c r="ALX209" s="302"/>
      <c r="ALY209" s="302"/>
      <c r="ALZ209" s="302"/>
      <c r="AMA209" s="302"/>
      <c r="AMB209" s="302"/>
      <c r="AMC209" s="302"/>
      <c r="AMD209" s="302"/>
      <c r="AME209" s="302"/>
      <c r="AMF209" s="302"/>
      <c r="AMG209" s="302"/>
      <c r="AMH209" s="302"/>
      <c r="AMI209" s="302"/>
    </row>
    <row r="210" spans="1:1023" hidden="1">
      <c r="A210" s="302"/>
      <c r="B210" s="470">
        <v>14046</v>
      </c>
      <c r="C210" s="477">
        <v>0.08</v>
      </c>
      <c r="D210" s="472" t="s">
        <v>133</v>
      </c>
      <c r="E210" s="473">
        <v>5615000</v>
      </c>
      <c r="F210" s="500">
        <v>0.04</v>
      </c>
      <c r="G210" s="364">
        <f t="shared" si="11"/>
        <v>224600</v>
      </c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2"/>
      <c r="AE210" s="302"/>
      <c r="AF210" s="302"/>
      <c r="AG210" s="302"/>
      <c r="AH210" s="302"/>
      <c r="AI210" s="302"/>
      <c r="AJ210" s="302"/>
      <c r="AK210" s="302"/>
      <c r="AL210" s="302"/>
      <c r="AM210" s="302"/>
      <c r="AN210" s="302"/>
      <c r="AO210" s="302"/>
      <c r="AP210" s="302"/>
      <c r="AQ210" s="302"/>
      <c r="AR210" s="302"/>
      <c r="AS210" s="302"/>
      <c r="AT210" s="302"/>
      <c r="AU210" s="302"/>
      <c r="AV210" s="302"/>
      <c r="AW210" s="302"/>
      <c r="AX210" s="302"/>
      <c r="AY210" s="302"/>
      <c r="AZ210" s="302"/>
      <c r="BA210" s="302"/>
      <c r="BB210" s="302"/>
      <c r="BC210" s="302"/>
      <c r="BD210" s="302"/>
      <c r="BE210" s="302"/>
      <c r="BF210" s="302"/>
      <c r="BG210" s="302"/>
      <c r="BH210" s="302"/>
      <c r="BI210" s="302"/>
      <c r="BJ210" s="302"/>
      <c r="BK210" s="302"/>
      <c r="BL210" s="302"/>
      <c r="BM210" s="302"/>
      <c r="BN210" s="302"/>
      <c r="BO210" s="302"/>
      <c r="BP210" s="302"/>
      <c r="BQ210" s="302"/>
      <c r="BR210" s="302"/>
      <c r="BS210" s="302"/>
      <c r="BT210" s="302"/>
      <c r="BU210" s="302"/>
      <c r="BV210" s="302"/>
      <c r="BW210" s="302"/>
      <c r="BX210" s="302"/>
      <c r="BY210" s="302"/>
      <c r="BZ210" s="302"/>
      <c r="CA210" s="302"/>
      <c r="CB210" s="302"/>
      <c r="CC210" s="302"/>
      <c r="CD210" s="302"/>
      <c r="CE210" s="302"/>
      <c r="CF210" s="302"/>
      <c r="CG210" s="302"/>
      <c r="CH210" s="302"/>
      <c r="CI210" s="302"/>
      <c r="CJ210" s="302"/>
      <c r="CK210" s="302"/>
      <c r="CL210" s="302"/>
      <c r="CM210" s="302"/>
      <c r="CN210" s="302"/>
      <c r="CO210" s="302"/>
      <c r="CP210" s="302"/>
      <c r="CQ210" s="302"/>
      <c r="CR210" s="302"/>
      <c r="CS210" s="302"/>
      <c r="CT210" s="302"/>
      <c r="CU210" s="302"/>
      <c r="CV210" s="302"/>
      <c r="CW210" s="302"/>
      <c r="CX210" s="302"/>
      <c r="CY210" s="302"/>
      <c r="CZ210" s="302"/>
      <c r="DA210" s="302"/>
      <c r="DB210" s="302"/>
      <c r="DC210" s="302"/>
      <c r="DD210" s="302"/>
      <c r="DE210" s="302"/>
      <c r="DF210" s="302"/>
      <c r="DG210" s="302"/>
      <c r="DH210" s="302"/>
      <c r="DI210" s="302"/>
      <c r="DJ210" s="302"/>
      <c r="DK210" s="302"/>
      <c r="DL210" s="302"/>
      <c r="DM210" s="302"/>
      <c r="DN210" s="302"/>
      <c r="DO210" s="302"/>
      <c r="DP210" s="302"/>
      <c r="DQ210" s="302"/>
      <c r="DR210" s="302"/>
      <c r="DS210" s="302"/>
      <c r="DT210" s="302"/>
      <c r="DU210" s="302"/>
      <c r="DV210" s="302"/>
      <c r="DW210" s="302"/>
      <c r="DX210" s="302"/>
      <c r="DY210" s="302"/>
      <c r="DZ210" s="302"/>
      <c r="EA210" s="302"/>
      <c r="EB210" s="302"/>
      <c r="EC210" s="302"/>
      <c r="ED210" s="302"/>
      <c r="EE210" s="302"/>
      <c r="EF210" s="302"/>
      <c r="EG210" s="302"/>
      <c r="EH210" s="302"/>
      <c r="EI210" s="302"/>
      <c r="EJ210" s="302"/>
      <c r="EK210" s="302"/>
      <c r="EL210" s="302"/>
      <c r="EM210" s="302"/>
      <c r="EN210" s="302"/>
      <c r="EO210" s="302"/>
      <c r="EP210" s="302"/>
      <c r="EQ210" s="302"/>
      <c r="ER210" s="302"/>
      <c r="ES210" s="302"/>
      <c r="ET210" s="302"/>
      <c r="EU210" s="302"/>
      <c r="EV210" s="302"/>
      <c r="EW210" s="302"/>
      <c r="EX210" s="302"/>
      <c r="EY210" s="302"/>
      <c r="EZ210" s="302"/>
      <c r="FA210" s="302"/>
      <c r="FB210" s="302"/>
      <c r="FC210" s="302"/>
      <c r="FD210" s="302"/>
      <c r="FE210" s="302"/>
      <c r="FF210" s="302"/>
      <c r="FG210" s="302"/>
      <c r="FH210" s="302"/>
      <c r="FI210" s="302"/>
      <c r="FJ210" s="302"/>
      <c r="FK210" s="302"/>
      <c r="FL210" s="302"/>
      <c r="FM210" s="302"/>
      <c r="FN210" s="302"/>
      <c r="FO210" s="302"/>
      <c r="FP210" s="302"/>
      <c r="FQ210" s="302"/>
      <c r="FR210" s="302"/>
      <c r="FS210" s="302"/>
      <c r="FT210" s="302"/>
      <c r="FU210" s="302"/>
      <c r="FV210" s="302"/>
      <c r="FW210" s="302"/>
      <c r="FX210" s="302"/>
      <c r="FY210" s="302"/>
      <c r="FZ210" s="302"/>
      <c r="GA210" s="302"/>
      <c r="GB210" s="302"/>
      <c r="GC210" s="302"/>
      <c r="GD210" s="302"/>
      <c r="GE210" s="302"/>
      <c r="GF210" s="302"/>
      <c r="GG210" s="302"/>
      <c r="GH210" s="302"/>
      <c r="GI210" s="302"/>
      <c r="GJ210" s="302"/>
      <c r="GK210" s="302"/>
      <c r="GL210" s="302"/>
      <c r="GM210" s="302"/>
      <c r="GN210" s="302"/>
      <c r="GO210" s="302"/>
      <c r="GP210" s="302"/>
      <c r="GQ210" s="302"/>
      <c r="GR210" s="302"/>
      <c r="GS210" s="302"/>
      <c r="GT210" s="302"/>
      <c r="GU210" s="302"/>
      <c r="GV210" s="302"/>
      <c r="GW210" s="302"/>
      <c r="GX210" s="302"/>
      <c r="GY210" s="302"/>
      <c r="GZ210" s="302"/>
      <c r="HA210" s="302"/>
      <c r="HB210" s="302"/>
      <c r="HC210" s="302"/>
      <c r="HD210" s="302"/>
      <c r="HE210" s="302"/>
      <c r="HF210" s="302"/>
      <c r="HG210" s="302"/>
      <c r="HH210" s="302"/>
      <c r="HI210" s="302"/>
      <c r="HJ210" s="302"/>
      <c r="HK210" s="302"/>
      <c r="HL210" s="302"/>
      <c r="HM210" s="302"/>
      <c r="HN210" s="302"/>
      <c r="HO210" s="302"/>
      <c r="HP210" s="302"/>
      <c r="HQ210" s="302"/>
      <c r="HR210" s="302"/>
      <c r="HS210" s="302"/>
      <c r="HT210" s="302"/>
      <c r="HU210" s="302"/>
      <c r="HV210" s="302"/>
      <c r="HW210" s="302"/>
      <c r="HX210" s="302"/>
      <c r="HY210" s="302"/>
      <c r="HZ210" s="302"/>
      <c r="IA210" s="302"/>
      <c r="IB210" s="302"/>
      <c r="IC210" s="302"/>
      <c r="ID210" s="302"/>
      <c r="IE210" s="302"/>
      <c r="IF210" s="302"/>
      <c r="IG210" s="302"/>
      <c r="IH210" s="302"/>
      <c r="II210" s="302"/>
      <c r="IJ210" s="302"/>
      <c r="IK210" s="302"/>
      <c r="IL210" s="302"/>
      <c r="IM210" s="302"/>
      <c r="IN210" s="302"/>
      <c r="IO210" s="302"/>
      <c r="IP210" s="302"/>
      <c r="IQ210" s="302"/>
      <c r="IR210" s="302"/>
      <c r="IS210" s="302"/>
      <c r="IT210" s="302"/>
      <c r="IU210" s="302"/>
      <c r="IV210" s="302"/>
      <c r="IW210" s="302"/>
      <c r="IX210" s="302"/>
      <c r="IY210" s="302"/>
      <c r="IZ210" s="302"/>
      <c r="JA210" s="302"/>
      <c r="JB210" s="302"/>
      <c r="JC210" s="302"/>
      <c r="JD210" s="302"/>
      <c r="JE210" s="302"/>
      <c r="JF210" s="302"/>
      <c r="JG210" s="302"/>
      <c r="JH210" s="302"/>
      <c r="JI210" s="302"/>
      <c r="JJ210" s="302"/>
      <c r="JK210" s="302"/>
      <c r="JL210" s="302"/>
      <c r="JM210" s="302"/>
      <c r="JN210" s="302"/>
      <c r="JO210" s="302"/>
      <c r="JP210" s="302"/>
      <c r="JQ210" s="302"/>
      <c r="JR210" s="302"/>
      <c r="JS210" s="302"/>
      <c r="JT210" s="302"/>
      <c r="JU210" s="302"/>
      <c r="JV210" s="302"/>
      <c r="JW210" s="302"/>
      <c r="JX210" s="302"/>
      <c r="JY210" s="302"/>
      <c r="JZ210" s="302"/>
      <c r="KA210" s="302"/>
      <c r="KB210" s="302"/>
      <c r="KC210" s="302"/>
      <c r="KD210" s="302"/>
      <c r="KE210" s="302"/>
      <c r="KF210" s="302"/>
      <c r="KG210" s="302"/>
      <c r="KH210" s="302"/>
      <c r="KI210" s="302"/>
      <c r="KJ210" s="302"/>
      <c r="KK210" s="302"/>
      <c r="KL210" s="302"/>
      <c r="KM210" s="302"/>
      <c r="KN210" s="302"/>
      <c r="KO210" s="302"/>
      <c r="KP210" s="302"/>
      <c r="KQ210" s="302"/>
      <c r="KR210" s="302"/>
      <c r="KS210" s="302"/>
      <c r="KT210" s="302"/>
      <c r="KU210" s="302"/>
      <c r="KV210" s="302"/>
      <c r="KW210" s="302"/>
      <c r="KX210" s="302"/>
      <c r="KY210" s="302"/>
      <c r="KZ210" s="302"/>
      <c r="LA210" s="302"/>
      <c r="LB210" s="302"/>
      <c r="LC210" s="302"/>
      <c r="LD210" s="302"/>
      <c r="LE210" s="302"/>
      <c r="LF210" s="302"/>
      <c r="LG210" s="302"/>
      <c r="LH210" s="302"/>
      <c r="LI210" s="302"/>
      <c r="LJ210" s="302"/>
      <c r="LK210" s="302"/>
      <c r="LL210" s="302"/>
      <c r="LM210" s="302"/>
      <c r="LN210" s="302"/>
      <c r="LO210" s="302"/>
      <c r="LP210" s="302"/>
      <c r="LQ210" s="302"/>
      <c r="LR210" s="302"/>
      <c r="LS210" s="302"/>
      <c r="LT210" s="302"/>
      <c r="LU210" s="302"/>
      <c r="LV210" s="302"/>
      <c r="LW210" s="302"/>
      <c r="LX210" s="302"/>
      <c r="LY210" s="302"/>
      <c r="LZ210" s="302"/>
      <c r="MA210" s="302"/>
      <c r="MB210" s="302"/>
      <c r="MC210" s="302"/>
      <c r="MD210" s="302"/>
      <c r="ME210" s="302"/>
      <c r="MF210" s="302"/>
      <c r="MG210" s="302"/>
      <c r="MH210" s="302"/>
      <c r="MI210" s="302"/>
      <c r="MJ210" s="302"/>
      <c r="MK210" s="302"/>
      <c r="ML210" s="302"/>
      <c r="MM210" s="302"/>
      <c r="MN210" s="302"/>
      <c r="MO210" s="302"/>
      <c r="MP210" s="302"/>
      <c r="MQ210" s="302"/>
      <c r="MR210" s="302"/>
      <c r="MS210" s="302"/>
      <c r="MT210" s="302"/>
      <c r="MU210" s="302"/>
      <c r="MV210" s="302"/>
      <c r="MW210" s="302"/>
      <c r="MX210" s="302"/>
      <c r="MY210" s="302"/>
      <c r="MZ210" s="302"/>
      <c r="NA210" s="302"/>
      <c r="NB210" s="302"/>
      <c r="NC210" s="302"/>
      <c r="ND210" s="302"/>
      <c r="NE210" s="302"/>
      <c r="NF210" s="302"/>
      <c r="NG210" s="302"/>
      <c r="NH210" s="302"/>
      <c r="NI210" s="302"/>
      <c r="NJ210" s="302"/>
      <c r="NK210" s="302"/>
      <c r="NL210" s="302"/>
      <c r="NM210" s="302"/>
      <c r="NN210" s="302"/>
      <c r="NO210" s="302"/>
      <c r="NP210" s="302"/>
      <c r="NQ210" s="302"/>
      <c r="NR210" s="302"/>
      <c r="NS210" s="302"/>
      <c r="NT210" s="302"/>
      <c r="NU210" s="302"/>
      <c r="NV210" s="302"/>
      <c r="NW210" s="302"/>
      <c r="NX210" s="302"/>
      <c r="NY210" s="302"/>
      <c r="NZ210" s="302"/>
      <c r="OA210" s="302"/>
      <c r="OB210" s="302"/>
      <c r="OC210" s="302"/>
      <c r="OD210" s="302"/>
      <c r="OE210" s="302"/>
      <c r="OF210" s="302"/>
      <c r="OG210" s="302"/>
      <c r="OH210" s="302"/>
      <c r="OI210" s="302"/>
      <c r="OJ210" s="302"/>
      <c r="OK210" s="302"/>
      <c r="OL210" s="302"/>
      <c r="OM210" s="302"/>
      <c r="ON210" s="302"/>
      <c r="OO210" s="302"/>
      <c r="OP210" s="302"/>
      <c r="OQ210" s="302"/>
      <c r="OR210" s="302"/>
      <c r="OS210" s="302"/>
      <c r="OT210" s="302"/>
      <c r="OU210" s="302"/>
      <c r="OV210" s="302"/>
      <c r="OW210" s="302"/>
      <c r="OX210" s="302"/>
      <c r="OY210" s="302"/>
      <c r="OZ210" s="302"/>
      <c r="PA210" s="302"/>
      <c r="PB210" s="302"/>
      <c r="PC210" s="302"/>
      <c r="PD210" s="302"/>
      <c r="PE210" s="302"/>
      <c r="PF210" s="302"/>
      <c r="PG210" s="302"/>
      <c r="PH210" s="302"/>
      <c r="PI210" s="302"/>
      <c r="PJ210" s="302"/>
      <c r="PK210" s="302"/>
      <c r="PL210" s="302"/>
      <c r="PM210" s="302"/>
      <c r="PN210" s="302"/>
      <c r="PO210" s="302"/>
      <c r="PP210" s="302"/>
      <c r="PQ210" s="302"/>
      <c r="PR210" s="302"/>
      <c r="PS210" s="302"/>
      <c r="PT210" s="302"/>
      <c r="PU210" s="302"/>
      <c r="PV210" s="302"/>
      <c r="PW210" s="302"/>
      <c r="PX210" s="302"/>
      <c r="PY210" s="302"/>
      <c r="PZ210" s="302"/>
      <c r="QA210" s="302"/>
      <c r="QB210" s="302"/>
      <c r="QC210" s="302"/>
      <c r="QD210" s="302"/>
      <c r="QE210" s="302"/>
      <c r="QF210" s="302"/>
      <c r="QG210" s="302"/>
      <c r="QH210" s="302"/>
      <c r="QI210" s="302"/>
      <c r="QJ210" s="302"/>
      <c r="QK210" s="302"/>
      <c r="QL210" s="302"/>
      <c r="QM210" s="302"/>
      <c r="QN210" s="302"/>
      <c r="QO210" s="302"/>
      <c r="QP210" s="302"/>
      <c r="QQ210" s="302"/>
      <c r="QR210" s="302"/>
      <c r="QS210" s="302"/>
      <c r="QT210" s="302"/>
      <c r="QU210" s="302"/>
      <c r="QV210" s="302"/>
      <c r="QW210" s="302"/>
      <c r="QX210" s="302"/>
      <c r="QY210" s="302"/>
      <c r="QZ210" s="302"/>
      <c r="RA210" s="302"/>
      <c r="RB210" s="302"/>
      <c r="RC210" s="302"/>
      <c r="RD210" s="302"/>
      <c r="RE210" s="302"/>
      <c r="RF210" s="302"/>
      <c r="RG210" s="302"/>
      <c r="RH210" s="302"/>
      <c r="RI210" s="302"/>
      <c r="RJ210" s="302"/>
      <c r="RK210" s="302"/>
      <c r="RL210" s="302"/>
      <c r="RM210" s="302"/>
      <c r="RN210" s="302"/>
      <c r="RO210" s="302"/>
      <c r="RP210" s="302"/>
      <c r="RQ210" s="302"/>
      <c r="RR210" s="302"/>
      <c r="RS210" s="302"/>
      <c r="RT210" s="302"/>
      <c r="RU210" s="302"/>
      <c r="RV210" s="302"/>
      <c r="RW210" s="302"/>
      <c r="RX210" s="302"/>
      <c r="RY210" s="302"/>
      <c r="RZ210" s="302"/>
      <c r="SA210" s="302"/>
      <c r="SB210" s="302"/>
      <c r="SC210" s="302"/>
      <c r="SD210" s="302"/>
      <c r="SE210" s="302"/>
      <c r="SF210" s="302"/>
      <c r="SG210" s="302"/>
      <c r="SH210" s="302"/>
      <c r="SI210" s="302"/>
      <c r="SJ210" s="302"/>
      <c r="SK210" s="302"/>
      <c r="SL210" s="302"/>
      <c r="SM210" s="302"/>
      <c r="SN210" s="302"/>
      <c r="SO210" s="302"/>
      <c r="SP210" s="302"/>
      <c r="SQ210" s="302"/>
      <c r="SR210" s="302"/>
      <c r="SS210" s="302"/>
      <c r="ST210" s="302"/>
      <c r="SU210" s="302"/>
      <c r="SV210" s="302"/>
      <c r="SW210" s="302"/>
      <c r="SX210" s="302"/>
      <c r="SY210" s="302"/>
      <c r="SZ210" s="302"/>
      <c r="TA210" s="302"/>
      <c r="TB210" s="302"/>
      <c r="TC210" s="302"/>
      <c r="TD210" s="302"/>
      <c r="TE210" s="302"/>
      <c r="TF210" s="302"/>
      <c r="TG210" s="302"/>
      <c r="TH210" s="302"/>
      <c r="TI210" s="302"/>
      <c r="TJ210" s="302"/>
      <c r="TK210" s="302"/>
      <c r="TL210" s="302"/>
      <c r="TM210" s="302"/>
      <c r="TN210" s="302"/>
      <c r="TO210" s="302"/>
      <c r="TP210" s="302"/>
      <c r="TQ210" s="302"/>
      <c r="TR210" s="302"/>
      <c r="TS210" s="302"/>
      <c r="TT210" s="302"/>
      <c r="TU210" s="302"/>
      <c r="TV210" s="302"/>
      <c r="TW210" s="302"/>
      <c r="TX210" s="302"/>
      <c r="TY210" s="302"/>
      <c r="TZ210" s="302"/>
      <c r="UA210" s="302"/>
      <c r="UB210" s="302"/>
      <c r="UC210" s="302"/>
      <c r="UD210" s="302"/>
      <c r="UE210" s="302"/>
      <c r="UF210" s="302"/>
      <c r="UG210" s="302"/>
      <c r="UH210" s="302"/>
      <c r="UI210" s="302"/>
      <c r="UJ210" s="302"/>
      <c r="UK210" s="302"/>
      <c r="UL210" s="302"/>
      <c r="UM210" s="302"/>
      <c r="UN210" s="302"/>
      <c r="UO210" s="302"/>
      <c r="UP210" s="302"/>
      <c r="UQ210" s="302"/>
      <c r="UR210" s="302"/>
      <c r="US210" s="302"/>
      <c r="UT210" s="302"/>
      <c r="UU210" s="302"/>
      <c r="UV210" s="302"/>
      <c r="UW210" s="302"/>
      <c r="UX210" s="302"/>
      <c r="UY210" s="302"/>
      <c r="UZ210" s="302"/>
      <c r="VA210" s="302"/>
      <c r="VB210" s="302"/>
      <c r="VC210" s="302"/>
      <c r="VD210" s="302"/>
      <c r="VE210" s="302"/>
      <c r="VF210" s="302"/>
      <c r="VG210" s="302"/>
      <c r="VH210" s="302"/>
      <c r="VI210" s="302"/>
      <c r="VJ210" s="302"/>
      <c r="VK210" s="302"/>
      <c r="VL210" s="302"/>
      <c r="VM210" s="302"/>
      <c r="VN210" s="302"/>
      <c r="VO210" s="302"/>
      <c r="VP210" s="302"/>
      <c r="VQ210" s="302"/>
      <c r="VR210" s="302"/>
      <c r="VS210" s="302"/>
      <c r="VT210" s="302"/>
      <c r="VU210" s="302"/>
      <c r="VV210" s="302"/>
      <c r="VW210" s="302"/>
      <c r="VX210" s="302"/>
      <c r="VY210" s="302"/>
      <c r="VZ210" s="302"/>
      <c r="WA210" s="302"/>
      <c r="WB210" s="302"/>
      <c r="WC210" s="302"/>
      <c r="WD210" s="302"/>
      <c r="WE210" s="302"/>
      <c r="WF210" s="302"/>
      <c r="WG210" s="302"/>
      <c r="WH210" s="302"/>
      <c r="WI210" s="302"/>
      <c r="WJ210" s="302"/>
      <c r="WK210" s="302"/>
      <c r="WL210" s="302"/>
      <c r="WM210" s="302"/>
      <c r="WN210" s="302"/>
      <c r="WO210" s="302"/>
      <c r="WP210" s="302"/>
      <c r="WQ210" s="302"/>
      <c r="WR210" s="302"/>
      <c r="WS210" s="302"/>
      <c r="WT210" s="302"/>
      <c r="WU210" s="302"/>
      <c r="WV210" s="302"/>
      <c r="WW210" s="302"/>
      <c r="WX210" s="302"/>
      <c r="WY210" s="302"/>
      <c r="WZ210" s="302"/>
      <c r="XA210" s="302"/>
      <c r="XB210" s="302"/>
      <c r="XC210" s="302"/>
      <c r="XD210" s="302"/>
      <c r="XE210" s="302"/>
      <c r="XF210" s="302"/>
      <c r="XG210" s="302"/>
      <c r="XH210" s="302"/>
      <c r="XI210" s="302"/>
      <c r="XJ210" s="302"/>
      <c r="XK210" s="302"/>
      <c r="XL210" s="302"/>
      <c r="XM210" s="302"/>
      <c r="XN210" s="302"/>
      <c r="XO210" s="302"/>
      <c r="XP210" s="302"/>
      <c r="XQ210" s="302"/>
      <c r="XR210" s="302"/>
      <c r="XS210" s="302"/>
      <c r="XT210" s="302"/>
      <c r="XU210" s="302"/>
      <c r="XV210" s="302"/>
      <c r="XW210" s="302"/>
      <c r="XX210" s="302"/>
      <c r="XY210" s="302"/>
      <c r="XZ210" s="302"/>
      <c r="YA210" s="302"/>
      <c r="YB210" s="302"/>
      <c r="YC210" s="302"/>
      <c r="YD210" s="302"/>
      <c r="YE210" s="302"/>
      <c r="YF210" s="302"/>
      <c r="YG210" s="302"/>
      <c r="YH210" s="302"/>
      <c r="YI210" s="302"/>
      <c r="YJ210" s="302"/>
      <c r="YK210" s="302"/>
      <c r="YL210" s="302"/>
      <c r="YM210" s="302"/>
      <c r="YN210" s="302"/>
      <c r="YO210" s="302"/>
      <c r="YP210" s="302"/>
      <c r="YQ210" s="302"/>
      <c r="YR210" s="302"/>
      <c r="YS210" s="302"/>
      <c r="YT210" s="302"/>
      <c r="YU210" s="302"/>
      <c r="YV210" s="302"/>
      <c r="YW210" s="302"/>
      <c r="YX210" s="302"/>
      <c r="YY210" s="302"/>
      <c r="YZ210" s="302"/>
      <c r="ZA210" s="302"/>
      <c r="ZB210" s="302"/>
      <c r="ZC210" s="302"/>
      <c r="ZD210" s="302"/>
      <c r="ZE210" s="302"/>
      <c r="ZF210" s="302"/>
      <c r="ZG210" s="302"/>
      <c r="ZH210" s="302"/>
      <c r="ZI210" s="302"/>
      <c r="ZJ210" s="302"/>
      <c r="ZK210" s="302"/>
      <c r="ZL210" s="302"/>
      <c r="ZM210" s="302"/>
      <c r="ZN210" s="302"/>
      <c r="ZO210" s="302"/>
      <c r="ZP210" s="302"/>
      <c r="ZQ210" s="302"/>
      <c r="ZR210" s="302"/>
      <c r="ZS210" s="302"/>
      <c r="ZT210" s="302"/>
      <c r="ZU210" s="302"/>
      <c r="ZV210" s="302"/>
      <c r="ZW210" s="302"/>
      <c r="ZX210" s="302"/>
      <c r="ZY210" s="302"/>
      <c r="ZZ210" s="302"/>
      <c r="AAA210" s="302"/>
      <c r="AAB210" s="302"/>
      <c r="AAC210" s="302"/>
      <c r="AAD210" s="302"/>
      <c r="AAE210" s="302"/>
      <c r="AAF210" s="302"/>
      <c r="AAG210" s="302"/>
      <c r="AAH210" s="302"/>
      <c r="AAI210" s="302"/>
      <c r="AAJ210" s="302"/>
      <c r="AAK210" s="302"/>
      <c r="AAL210" s="302"/>
      <c r="AAM210" s="302"/>
      <c r="AAN210" s="302"/>
      <c r="AAO210" s="302"/>
      <c r="AAP210" s="302"/>
      <c r="AAQ210" s="302"/>
      <c r="AAR210" s="302"/>
      <c r="AAS210" s="302"/>
      <c r="AAT210" s="302"/>
      <c r="AAU210" s="302"/>
      <c r="AAV210" s="302"/>
      <c r="AAW210" s="302"/>
      <c r="AAX210" s="302"/>
      <c r="AAY210" s="302"/>
      <c r="AAZ210" s="302"/>
      <c r="ABA210" s="302"/>
      <c r="ABB210" s="302"/>
      <c r="ABC210" s="302"/>
      <c r="ABD210" s="302"/>
      <c r="ABE210" s="302"/>
      <c r="ABF210" s="302"/>
      <c r="ABG210" s="302"/>
      <c r="ABH210" s="302"/>
      <c r="ABI210" s="302"/>
      <c r="ABJ210" s="302"/>
      <c r="ABK210" s="302"/>
      <c r="ABL210" s="302"/>
      <c r="ABM210" s="302"/>
      <c r="ABN210" s="302"/>
      <c r="ABO210" s="302"/>
      <c r="ABP210" s="302"/>
      <c r="ABQ210" s="302"/>
      <c r="ABR210" s="302"/>
      <c r="ABS210" s="302"/>
      <c r="ABT210" s="302"/>
      <c r="ABU210" s="302"/>
      <c r="ABV210" s="302"/>
      <c r="ABW210" s="302"/>
      <c r="ABX210" s="302"/>
      <c r="ABY210" s="302"/>
      <c r="ABZ210" s="302"/>
      <c r="ACA210" s="302"/>
      <c r="ACB210" s="302"/>
      <c r="ACC210" s="302"/>
      <c r="ACD210" s="302"/>
      <c r="ACE210" s="302"/>
      <c r="ACF210" s="302"/>
      <c r="ACG210" s="302"/>
      <c r="ACH210" s="302"/>
      <c r="ACI210" s="302"/>
      <c r="ACJ210" s="302"/>
      <c r="ACK210" s="302"/>
      <c r="ACL210" s="302"/>
      <c r="ACM210" s="302"/>
      <c r="ACN210" s="302"/>
      <c r="ACO210" s="302"/>
      <c r="ACP210" s="302"/>
      <c r="ACQ210" s="302"/>
      <c r="ACR210" s="302"/>
      <c r="ACS210" s="302"/>
      <c r="ACT210" s="302"/>
      <c r="ACU210" s="302"/>
      <c r="ACV210" s="302"/>
      <c r="ACW210" s="302"/>
      <c r="ACX210" s="302"/>
      <c r="ACY210" s="302"/>
      <c r="ACZ210" s="302"/>
      <c r="ADA210" s="302"/>
      <c r="ADB210" s="302"/>
      <c r="ADC210" s="302"/>
      <c r="ADD210" s="302"/>
      <c r="ADE210" s="302"/>
      <c r="ADF210" s="302"/>
      <c r="ADG210" s="302"/>
      <c r="ADH210" s="302"/>
      <c r="ADI210" s="302"/>
      <c r="ADJ210" s="302"/>
      <c r="ADK210" s="302"/>
      <c r="ADL210" s="302"/>
      <c r="ADM210" s="302"/>
      <c r="ADN210" s="302"/>
      <c r="ADO210" s="302"/>
      <c r="ADP210" s="302"/>
      <c r="ADQ210" s="302"/>
      <c r="ADR210" s="302"/>
      <c r="ADS210" s="302"/>
      <c r="ADT210" s="302"/>
      <c r="ADU210" s="302"/>
      <c r="ADV210" s="302"/>
      <c r="ADW210" s="302"/>
      <c r="ADX210" s="302"/>
      <c r="ADY210" s="302"/>
      <c r="ADZ210" s="302"/>
      <c r="AEA210" s="302"/>
      <c r="AEB210" s="302"/>
      <c r="AEC210" s="302"/>
      <c r="AED210" s="302"/>
      <c r="AEE210" s="302"/>
      <c r="AEF210" s="302"/>
      <c r="AEG210" s="302"/>
      <c r="AEH210" s="302"/>
      <c r="AEI210" s="302"/>
      <c r="AEJ210" s="302"/>
      <c r="AEK210" s="302"/>
      <c r="AEL210" s="302"/>
      <c r="AEM210" s="302"/>
      <c r="AEN210" s="302"/>
      <c r="AEO210" s="302"/>
      <c r="AEP210" s="302"/>
      <c r="AEQ210" s="302"/>
      <c r="AER210" s="302"/>
      <c r="AES210" s="302"/>
      <c r="AET210" s="302"/>
      <c r="AEU210" s="302"/>
      <c r="AEV210" s="302"/>
      <c r="AEW210" s="302"/>
      <c r="AEX210" s="302"/>
      <c r="AEY210" s="302"/>
      <c r="AEZ210" s="302"/>
      <c r="AFA210" s="302"/>
      <c r="AFB210" s="302"/>
      <c r="AFC210" s="302"/>
      <c r="AFD210" s="302"/>
      <c r="AFE210" s="302"/>
      <c r="AFF210" s="302"/>
      <c r="AFG210" s="302"/>
      <c r="AFH210" s="302"/>
      <c r="AFI210" s="302"/>
      <c r="AFJ210" s="302"/>
      <c r="AFK210" s="302"/>
      <c r="AFL210" s="302"/>
      <c r="AFM210" s="302"/>
      <c r="AFN210" s="302"/>
      <c r="AFO210" s="302"/>
      <c r="AFP210" s="302"/>
      <c r="AFQ210" s="302"/>
      <c r="AFR210" s="302"/>
      <c r="AFS210" s="302"/>
      <c r="AFT210" s="302"/>
      <c r="AFU210" s="302"/>
      <c r="AFV210" s="302"/>
      <c r="AFW210" s="302"/>
      <c r="AFX210" s="302"/>
      <c r="AFY210" s="302"/>
      <c r="AFZ210" s="302"/>
      <c r="AGA210" s="302"/>
      <c r="AGB210" s="302"/>
      <c r="AGC210" s="302"/>
      <c r="AGD210" s="302"/>
      <c r="AGE210" s="302"/>
      <c r="AGF210" s="302"/>
      <c r="AGG210" s="302"/>
      <c r="AGH210" s="302"/>
      <c r="AGI210" s="302"/>
      <c r="AGJ210" s="302"/>
      <c r="AGK210" s="302"/>
      <c r="AGL210" s="302"/>
      <c r="AGM210" s="302"/>
      <c r="AGN210" s="302"/>
      <c r="AGO210" s="302"/>
      <c r="AGP210" s="302"/>
      <c r="AGQ210" s="302"/>
      <c r="AGR210" s="302"/>
      <c r="AGS210" s="302"/>
      <c r="AGT210" s="302"/>
      <c r="AGU210" s="302"/>
      <c r="AGV210" s="302"/>
      <c r="AGW210" s="302"/>
      <c r="AGX210" s="302"/>
      <c r="AGY210" s="302"/>
      <c r="AGZ210" s="302"/>
      <c r="AHA210" s="302"/>
      <c r="AHB210" s="302"/>
      <c r="AHC210" s="302"/>
      <c r="AHD210" s="302"/>
      <c r="AHE210" s="302"/>
      <c r="AHF210" s="302"/>
      <c r="AHG210" s="302"/>
      <c r="AHH210" s="302"/>
      <c r="AHI210" s="302"/>
      <c r="AHJ210" s="302"/>
      <c r="AHK210" s="302"/>
      <c r="AHL210" s="302"/>
      <c r="AHM210" s="302"/>
      <c r="AHN210" s="302"/>
      <c r="AHO210" s="302"/>
      <c r="AHP210" s="302"/>
      <c r="AHQ210" s="302"/>
      <c r="AHR210" s="302"/>
      <c r="AHS210" s="302"/>
      <c r="AHT210" s="302"/>
      <c r="AHU210" s="302"/>
      <c r="AHV210" s="302"/>
      <c r="AHW210" s="302"/>
      <c r="AHX210" s="302"/>
      <c r="AHY210" s="302"/>
      <c r="AHZ210" s="302"/>
      <c r="AIA210" s="302"/>
      <c r="AIB210" s="302"/>
      <c r="AIC210" s="302"/>
      <c r="AID210" s="302"/>
      <c r="AIE210" s="302"/>
      <c r="AIF210" s="302"/>
      <c r="AIG210" s="302"/>
      <c r="AIH210" s="302"/>
      <c r="AII210" s="302"/>
      <c r="AIJ210" s="302"/>
      <c r="AIK210" s="302"/>
      <c r="AIL210" s="302"/>
      <c r="AIM210" s="302"/>
      <c r="AIN210" s="302"/>
      <c r="AIO210" s="302"/>
      <c r="AIP210" s="302"/>
      <c r="AIQ210" s="302"/>
      <c r="AIR210" s="302"/>
      <c r="AIS210" s="302"/>
      <c r="AIT210" s="302"/>
      <c r="AIU210" s="302"/>
      <c r="AIV210" s="302"/>
      <c r="AIW210" s="302"/>
      <c r="AIX210" s="302"/>
      <c r="AIY210" s="302"/>
      <c r="AIZ210" s="302"/>
      <c r="AJA210" s="302"/>
      <c r="AJB210" s="302"/>
      <c r="AJC210" s="302"/>
      <c r="AJD210" s="302"/>
      <c r="AJE210" s="302"/>
      <c r="AJF210" s="302"/>
      <c r="AJG210" s="302"/>
      <c r="AJH210" s="302"/>
      <c r="AJI210" s="302"/>
      <c r="AJJ210" s="302"/>
      <c r="AJK210" s="302"/>
      <c r="AJL210" s="302"/>
      <c r="AJM210" s="302"/>
      <c r="AJN210" s="302"/>
      <c r="AJO210" s="302"/>
      <c r="AJP210" s="302"/>
      <c r="AJQ210" s="302"/>
      <c r="AJR210" s="302"/>
      <c r="AJS210" s="302"/>
      <c r="AJT210" s="302"/>
      <c r="AJU210" s="302"/>
      <c r="AJV210" s="302"/>
      <c r="AJW210" s="302"/>
      <c r="AJX210" s="302"/>
      <c r="AJY210" s="302"/>
      <c r="AJZ210" s="302"/>
      <c r="AKA210" s="302"/>
      <c r="AKB210" s="302"/>
      <c r="AKC210" s="302"/>
      <c r="AKD210" s="302"/>
      <c r="AKE210" s="302"/>
      <c r="AKF210" s="302"/>
      <c r="AKG210" s="302"/>
      <c r="AKH210" s="302"/>
      <c r="AKI210" s="302"/>
      <c r="AKJ210" s="302"/>
      <c r="AKK210" s="302"/>
      <c r="AKL210" s="302"/>
      <c r="AKM210" s="302"/>
      <c r="AKN210" s="302"/>
      <c r="AKO210" s="302"/>
      <c r="AKP210" s="302"/>
      <c r="AKQ210" s="302"/>
      <c r="AKR210" s="302"/>
      <c r="AKS210" s="302"/>
      <c r="AKT210" s="302"/>
      <c r="AKU210" s="302"/>
      <c r="AKV210" s="302"/>
      <c r="AKW210" s="302"/>
      <c r="AKX210" s="302"/>
      <c r="AKY210" s="302"/>
      <c r="AKZ210" s="302"/>
      <c r="ALA210" s="302"/>
      <c r="ALB210" s="302"/>
      <c r="ALC210" s="302"/>
      <c r="ALD210" s="302"/>
      <c r="ALE210" s="302"/>
      <c r="ALF210" s="302"/>
      <c r="ALG210" s="302"/>
      <c r="ALH210" s="302"/>
      <c r="ALI210" s="302"/>
      <c r="ALJ210" s="302"/>
      <c r="ALK210" s="302"/>
      <c r="ALL210" s="302"/>
      <c r="ALM210" s="302"/>
      <c r="ALN210" s="302"/>
      <c r="ALO210" s="302"/>
      <c r="ALP210" s="302"/>
      <c r="ALQ210" s="302"/>
      <c r="ALR210" s="302"/>
      <c r="ALS210" s="302"/>
      <c r="ALT210" s="302"/>
      <c r="ALU210" s="302"/>
      <c r="ALV210" s="302"/>
      <c r="ALW210" s="302"/>
      <c r="ALX210" s="302"/>
      <c r="ALY210" s="302"/>
      <c r="ALZ210" s="302"/>
      <c r="AMA210" s="302"/>
      <c r="AMB210" s="302"/>
      <c r="AMC210" s="302"/>
      <c r="AMD210" s="302"/>
      <c r="AME210" s="302"/>
      <c r="AMF210" s="302"/>
      <c r="AMG210" s="302"/>
      <c r="AMH210" s="302"/>
      <c r="AMI210" s="302"/>
    </row>
    <row r="211" spans="1:1023" hidden="1">
      <c r="A211" s="302"/>
      <c r="B211" s="470">
        <v>14119</v>
      </c>
      <c r="C211" s="477">
        <v>0.08</v>
      </c>
      <c r="D211" s="472" t="s">
        <v>135</v>
      </c>
      <c r="E211" s="473">
        <v>3100000</v>
      </c>
      <c r="F211" s="500">
        <v>0.04</v>
      </c>
      <c r="G211" s="364">
        <f t="shared" si="11"/>
        <v>124000</v>
      </c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2"/>
      <c r="AE211" s="302"/>
      <c r="AF211" s="302"/>
      <c r="AG211" s="302"/>
      <c r="AH211" s="302"/>
      <c r="AI211" s="302"/>
      <c r="AJ211" s="302"/>
      <c r="AK211" s="302"/>
      <c r="AL211" s="302"/>
      <c r="AM211" s="302"/>
      <c r="AN211" s="302"/>
      <c r="AO211" s="302"/>
      <c r="AP211" s="302"/>
      <c r="AQ211" s="302"/>
      <c r="AR211" s="302"/>
      <c r="AS211" s="302"/>
      <c r="AT211" s="302"/>
      <c r="AU211" s="302"/>
      <c r="AV211" s="302"/>
      <c r="AW211" s="302"/>
      <c r="AX211" s="302"/>
      <c r="AY211" s="302"/>
      <c r="AZ211" s="302"/>
      <c r="BA211" s="302"/>
      <c r="BB211" s="302"/>
      <c r="BC211" s="302"/>
      <c r="BD211" s="302"/>
      <c r="BE211" s="302"/>
      <c r="BF211" s="302"/>
      <c r="BG211" s="302"/>
      <c r="BH211" s="302"/>
      <c r="BI211" s="302"/>
      <c r="BJ211" s="302"/>
      <c r="BK211" s="302"/>
      <c r="BL211" s="302"/>
      <c r="BM211" s="302"/>
      <c r="BN211" s="302"/>
      <c r="BO211" s="302"/>
      <c r="BP211" s="302"/>
      <c r="BQ211" s="302"/>
      <c r="BR211" s="302"/>
      <c r="BS211" s="302"/>
      <c r="BT211" s="302"/>
      <c r="BU211" s="302"/>
      <c r="BV211" s="302"/>
      <c r="BW211" s="302"/>
      <c r="BX211" s="302"/>
      <c r="BY211" s="302"/>
      <c r="BZ211" s="302"/>
      <c r="CA211" s="302"/>
      <c r="CB211" s="302"/>
      <c r="CC211" s="302"/>
      <c r="CD211" s="302"/>
      <c r="CE211" s="302"/>
      <c r="CF211" s="302"/>
      <c r="CG211" s="302"/>
      <c r="CH211" s="302"/>
      <c r="CI211" s="302"/>
      <c r="CJ211" s="302"/>
      <c r="CK211" s="302"/>
      <c r="CL211" s="302"/>
      <c r="CM211" s="302"/>
      <c r="CN211" s="302"/>
      <c r="CO211" s="302"/>
      <c r="CP211" s="302"/>
      <c r="CQ211" s="302"/>
      <c r="CR211" s="302"/>
      <c r="CS211" s="302"/>
      <c r="CT211" s="302"/>
      <c r="CU211" s="302"/>
      <c r="CV211" s="302"/>
      <c r="CW211" s="302"/>
      <c r="CX211" s="302"/>
      <c r="CY211" s="302"/>
      <c r="CZ211" s="302"/>
      <c r="DA211" s="302"/>
      <c r="DB211" s="302"/>
      <c r="DC211" s="302"/>
      <c r="DD211" s="302"/>
      <c r="DE211" s="302"/>
      <c r="DF211" s="302"/>
      <c r="DG211" s="302"/>
      <c r="DH211" s="302"/>
      <c r="DI211" s="302"/>
      <c r="DJ211" s="302"/>
      <c r="DK211" s="302"/>
      <c r="DL211" s="302"/>
      <c r="DM211" s="302"/>
      <c r="DN211" s="302"/>
      <c r="DO211" s="302"/>
      <c r="DP211" s="302"/>
      <c r="DQ211" s="302"/>
      <c r="DR211" s="302"/>
      <c r="DS211" s="302"/>
      <c r="DT211" s="302"/>
      <c r="DU211" s="302"/>
      <c r="DV211" s="302"/>
      <c r="DW211" s="302"/>
      <c r="DX211" s="302"/>
      <c r="DY211" s="302"/>
      <c r="DZ211" s="302"/>
      <c r="EA211" s="302"/>
      <c r="EB211" s="302"/>
      <c r="EC211" s="302"/>
      <c r="ED211" s="302"/>
      <c r="EE211" s="302"/>
      <c r="EF211" s="302"/>
      <c r="EG211" s="302"/>
      <c r="EH211" s="302"/>
      <c r="EI211" s="302"/>
      <c r="EJ211" s="302"/>
      <c r="EK211" s="302"/>
      <c r="EL211" s="302"/>
      <c r="EM211" s="302"/>
      <c r="EN211" s="302"/>
      <c r="EO211" s="302"/>
      <c r="EP211" s="302"/>
      <c r="EQ211" s="302"/>
      <c r="ER211" s="302"/>
      <c r="ES211" s="302"/>
      <c r="ET211" s="302"/>
      <c r="EU211" s="302"/>
      <c r="EV211" s="302"/>
      <c r="EW211" s="302"/>
      <c r="EX211" s="302"/>
      <c r="EY211" s="302"/>
      <c r="EZ211" s="302"/>
      <c r="FA211" s="302"/>
      <c r="FB211" s="302"/>
      <c r="FC211" s="302"/>
      <c r="FD211" s="302"/>
      <c r="FE211" s="302"/>
      <c r="FF211" s="302"/>
      <c r="FG211" s="302"/>
      <c r="FH211" s="302"/>
      <c r="FI211" s="302"/>
      <c r="FJ211" s="302"/>
      <c r="FK211" s="302"/>
      <c r="FL211" s="302"/>
      <c r="FM211" s="302"/>
      <c r="FN211" s="302"/>
      <c r="FO211" s="302"/>
      <c r="FP211" s="302"/>
      <c r="FQ211" s="302"/>
      <c r="FR211" s="302"/>
      <c r="FS211" s="302"/>
      <c r="FT211" s="302"/>
      <c r="FU211" s="302"/>
      <c r="FV211" s="302"/>
      <c r="FW211" s="302"/>
      <c r="FX211" s="302"/>
      <c r="FY211" s="302"/>
      <c r="FZ211" s="302"/>
      <c r="GA211" s="302"/>
      <c r="GB211" s="302"/>
      <c r="GC211" s="302"/>
      <c r="GD211" s="302"/>
      <c r="GE211" s="302"/>
      <c r="GF211" s="302"/>
      <c r="GG211" s="302"/>
      <c r="GH211" s="302"/>
      <c r="GI211" s="302"/>
      <c r="GJ211" s="302"/>
      <c r="GK211" s="302"/>
      <c r="GL211" s="302"/>
      <c r="GM211" s="302"/>
      <c r="GN211" s="302"/>
      <c r="GO211" s="302"/>
      <c r="GP211" s="302"/>
      <c r="GQ211" s="302"/>
      <c r="GR211" s="302"/>
      <c r="GS211" s="302"/>
      <c r="GT211" s="302"/>
      <c r="GU211" s="302"/>
      <c r="GV211" s="302"/>
      <c r="GW211" s="302"/>
      <c r="GX211" s="302"/>
      <c r="GY211" s="302"/>
      <c r="GZ211" s="302"/>
      <c r="HA211" s="302"/>
      <c r="HB211" s="302"/>
      <c r="HC211" s="302"/>
      <c r="HD211" s="302"/>
      <c r="HE211" s="302"/>
      <c r="HF211" s="302"/>
      <c r="HG211" s="302"/>
      <c r="HH211" s="302"/>
      <c r="HI211" s="302"/>
      <c r="HJ211" s="302"/>
      <c r="HK211" s="302"/>
      <c r="HL211" s="302"/>
      <c r="HM211" s="302"/>
      <c r="HN211" s="302"/>
      <c r="HO211" s="302"/>
      <c r="HP211" s="302"/>
      <c r="HQ211" s="302"/>
      <c r="HR211" s="302"/>
      <c r="HS211" s="302"/>
      <c r="HT211" s="302"/>
      <c r="HU211" s="302"/>
      <c r="HV211" s="302"/>
      <c r="HW211" s="302"/>
      <c r="HX211" s="302"/>
      <c r="HY211" s="302"/>
      <c r="HZ211" s="302"/>
      <c r="IA211" s="302"/>
      <c r="IB211" s="302"/>
      <c r="IC211" s="302"/>
      <c r="ID211" s="302"/>
      <c r="IE211" s="302"/>
      <c r="IF211" s="302"/>
      <c r="IG211" s="302"/>
      <c r="IH211" s="302"/>
      <c r="II211" s="302"/>
      <c r="IJ211" s="302"/>
      <c r="IK211" s="302"/>
      <c r="IL211" s="302"/>
      <c r="IM211" s="302"/>
      <c r="IN211" s="302"/>
      <c r="IO211" s="302"/>
      <c r="IP211" s="302"/>
      <c r="IQ211" s="302"/>
      <c r="IR211" s="302"/>
      <c r="IS211" s="302"/>
      <c r="IT211" s="302"/>
      <c r="IU211" s="302"/>
      <c r="IV211" s="302"/>
      <c r="IW211" s="302"/>
      <c r="IX211" s="302"/>
      <c r="IY211" s="302"/>
      <c r="IZ211" s="302"/>
      <c r="JA211" s="302"/>
      <c r="JB211" s="302"/>
      <c r="JC211" s="302"/>
      <c r="JD211" s="302"/>
      <c r="JE211" s="302"/>
      <c r="JF211" s="302"/>
      <c r="JG211" s="302"/>
      <c r="JH211" s="302"/>
      <c r="JI211" s="302"/>
      <c r="JJ211" s="302"/>
      <c r="JK211" s="302"/>
      <c r="JL211" s="302"/>
      <c r="JM211" s="302"/>
      <c r="JN211" s="302"/>
      <c r="JO211" s="302"/>
      <c r="JP211" s="302"/>
      <c r="JQ211" s="302"/>
      <c r="JR211" s="302"/>
      <c r="JS211" s="302"/>
      <c r="JT211" s="302"/>
      <c r="JU211" s="302"/>
      <c r="JV211" s="302"/>
      <c r="JW211" s="302"/>
      <c r="JX211" s="302"/>
      <c r="JY211" s="302"/>
      <c r="JZ211" s="302"/>
      <c r="KA211" s="302"/>
      <c r="KB211" s="302"/>
      <c r="KC211" s="302"/>
      <c r="KD211" s="302"/>
      <c r="KE211" s="302"/>
      <c r="KF211" s="302"/>
      <c r="KG211" s="302"/>
      <c r="KH211" s="302"/>
      <c r="KI211" s="302"/>
      <c r="KJ211" s="302"/>
      <c r="KK211" s="302"/>
      <c r="KL211" s="302"/>
      <c r="KM211" s="302"/>
      <c r="KN211" s="302"/>
      <c r="KO211" s="302"/>
      <c r="KP211" s="302"/>
      <c r="KQ211" s="302"/>
      <c r="KR211" s="302"/>
      <c r="KS211" s="302"/>
      <c r="KT211" s="302"/>
      <c r="KU211" s="302"/>
      <c r="KV211" s="302"/>
      <c r="KW211" s="302"/>
      <c r="KX211" s="302"/>
      <c r="KY211" s="302"/>
      <c r="KZ211" s="302"/>
      <c r="LA211" s="302"/>
      <c r="LB211" s="302"/>
      <c r="LC211" s="302"/>
      <c r="LD211" s="302"/>
      <c r="LE211" s="302"/>
      <c r="LF211" s="302"/>
      <c r="LG211" s="302"/>
      <c r="LH211" s="302"/>
      <c r="LI211" s="302"/>
      <c r="LJ211" s="302"/>
      <c r="LK211" s="302"/>
      <c r="LL211" s="302"/>
      <c r="LM211" s="302"/>
      <c r="LN211" s="302"/>
      <c r="LO211" s="302"/>
      <c r="LP211" s="302"/>
      <c r="LQ211" s="302"/>
      <c r="LR211" s="302"/>
      <c r="LS211" s="302"/>
      <c r="LT211" s="302"/>
      <c r="LU211" s="302"/>
      <c r="LV211" s="302"/>
      <c r="LW211" s="302"/>
      <c r="LX211" s="302"/>
      <c r="LY211" s="302"/>
      <c r="LZ211" s="302"/>
      <c r="MA211" s="302"/>
      <c r="MB211" s="302"/>
      <c r="MC211" s="302"/>
      <c r="MD211" s="302"/>
      <c r="ME211" s="302"/>
      <c r="MF211" s="302"/>
      <c r="MG211" s="302"/>
      <c r="MH211" s="302"/>
      <c r="MI211" s="302"/>
      <c r="MJ211" s="302"/>
      <c r="MK211" s="302"/>
      <c r="ML211" s="302"/>
      <c r="MM211" s="302"/>
      <c r="MN211" s="302"/>
      <c r="MO211" s="302"/>
      <c r="MP211" s="302"/>
      <c r="MQ211" s="302"/>
      <c r="MR211" s="302"/>
      <c r="MS211" s="302"/>
      <c r="MT211" s="302"/>
      <c r="MU211" s="302"/>
      <c r="MV211" s="302"/>
      <c r="MW211" s="302"/>
      <c r="MX211" s="302"/>
      <c r="MY211" s="302"/>
      <c r="MZ211" s="302"/>
      <c r="NA211" s="302"/>
      <c r="NB211" s="302"/>
      <c r="NC211" s="302"/>
      <c r="ND211" s="302"/>
      <c r="NE211" s="302"/>
      <c r="NF211" s="302"/>
      <c r="NG211" s="302"/>
      <c r="NH211" s="302"/>
      <c r="NI211" s="302"/>
      <c r="NJ211" s="302"/>
      <c r="NK211" s="302"/>
      <c r="NL211" s="302"/>
      <c r="NM211" s="302"/>
      <c r="NN211" s="302"/>
      <c r="NO211" s="302"/>
      <c r="NP211" s="302"/>
      <c r="NQ211" s="302"/>
      <c r="NR211" s="302"/>
      <c r="NS211" s="302"/>
      <c r="NT211" s="302"/>
      <c r="NU211" s="302"/>
      <c r="NV211" s="302"/>
      <c r="NW211" s="302"/>
      <c r="NX211" s="302"/>
      <c r="NY211" s="302"/>
      <c r="NZ211" s="302"/>
      <c r="OA211" s="302"/>
      <c r="OB211" s="302"/>
      <c r="OC211" s="302"/>
      <c r="OD211" s="302"/>
      <c r="OE211" s="302"/>
      <c r="OF211" s="302"/>
      <c r="OG211" s="302"/>
      <c r="OH211" s="302"/>
      <c r="OI211" s="302"/>
      <c r="OJ211" s="302"/>
      <c r="OK211" s="302"/>
      <c r="OL211" s="302"/>
      <c r="OM211" s="302"/>
      <c r="ON211" s="302"/>
      <c r="OO211" s="302"/>
      <c r="OP211" s="302"/>
      <c r="OQ211" s="302"/>
      <c r="OR211" s="302"/>
      <c r="OS211" s="302"/>
      <c r="OT211" s="302"/>
      <c r="OU211" s="302"/>
      <c r="OV211" s="302"/>
      <c r="OW211" s="302"/>
      <c r="OX211" s="302"/>
      <c r="OY211" s="302"/>
      <c r="OZ211" s="302"/>
      <c r="PA211" s="302"/>
      <c r="PB211" s="302"/>
      <c r="PC211" s="302"/>
      <c r="PD211" s="302"/>
      <c r="PE211" s="302"/>
      <c r="PF211" s="302"/>
      <c r="PG211" s="302"/>
      <c r="PH211" s="302"/>
      <c r="PI211" s="302"/>
      <c r="PJ211" s="302"/>
      <c r="PK211" s="302"/>
      <c r="PL211" s="302"/>
      <c r="PM211" s="302"/>
      <c r="PN211" s="302"/>
      <c r="PO211" s="302"/>
      <c r="PP211" s="302"/>
      <c r="PQ211" s="302"/>
      <c r="PR211" s="302"/>
      <c r="PS211" s="302"/>
      <c r="PT211" s="302"/>
      <c r="PU211" s="302"/>
      <c r="PV211" s="302"/>
      <c r="PW211" s="302"/>
      <c r="PX211" s="302"/>
      <c r="PY211" s="302"/>
      <c r="PZ211" s="302"/>
      <c r="QA211" s="302"/>
      <c r="QB211" s="302"/>
      <c r="QC211" s="302"/>
      <c r="QD211" s="302"/>
      <c r="QE211" s="302"/>
      <c r="QF211" s="302"/>
      <c r="QG211" s="302"/>
      <c r="QH211" s="302"/>
      <c r="QI211" s="302"/>
      <c r="QJ211" s="302"/>
      <c r="QK211" s="302"/>
      <c r="QL211" s="302"/>
      <c r="QM211" s="302"/>
      <c r="QN211" s="302"/>
      <c r="QO211" s="302"/>
      <c r="QP211" s="302"/>
      <c r="QQ211" s="302"/>
      <c r="QR211" s="302"/>
      <c r="QS211" s="302"/>
      <c r="QT211" s="302"/>
      <c r="QU211" s="302"/>
      <c r="QV211" s="302"/>
      <c r="QW211" s="302"/>
      <c r="QX211" s="302"/>
      <c r="QY211" s="302"/>
      <c r="QZ211" s="302"/>
      <c r="RA211" s="302"/>
      <c r="RB211" s="302"/>
      <c r="RC211" s="302"/>
      <c r="RD211" s="302"/>
      <c r="RE211" s="302"/>
      <c r="RF211" s="302"/>
      <c r="RG211" s="302"/>
      <c r="RH211" s="302"/>
      <c r="RI211" s="302"/>
      <c r="RJ211" s="302"/>
      <c r="RK211" s="302"/>
      <c r="RL211" s="302"/>
      <c r="RM211" s="302"/>
      <c r="RN211" s="302"/>
      <c r="RO211" s="302"/>
      <c r="RP211" s="302"/>
      <c r="RQ211" s="302"/>
      <c r="RR211" s="302"/>
      <c r="RS211" s="302"/>
      <c r="RT211" s="302"/>
      <c r="RU211" s="302"/>
      <c r="RV211" s="302"/>
      <c r="RW211" s="302"/>
      <c r="RX211" s="302"/>
      <c r="RY211" s="302"/>
      <c r="RZ211" s="302"/>
      <c r="SA211" s="302"/>
      <c r="SB211" s="302"/>
      <c r="SC211" s="302"/>
      <c r="SD211" s="302"/>
      <c r="SE211" s="302"/>
      <c r="SF211" s="302"/>
      <c r="SG211" s="302"/>
      <c r="SH211" s="302"/>
      <c r="SI211" s="302"/>
      <c r="SJ211" s="302"/>
      <c r="SK211" s="302"/>
      <c r="SL211" s="302"/>
      <c r="SM211" s="302"/>
      <c r="SN211" s="302"/>
      <c r="SO211" s="302"/>
      <c r="SP211" s="302"/>
      <c r="SQ211" s="302"/>
      <c r="SR211" s="302"/>
      <c r="SS211" s="302"/>
      <c r="ST211" s="302"/>
      <c r="SU211" s="302"/>
      <c r="SV211" s="302"/>
      <c r="SW211" s="302"/>
      <c r="SX211" s="302"/>
      <c r="SY211" s="302"/>
      <c r="SZ211" s="302"/>
      <c r="TA211" s="302"/>
      <c r="TB211" s="302"/>
      <c r="TC211" s="302"/>
      <c r="TD211" s="302"/>
      <c r="TE211" s="302"/>
      <c r="TF211" s="302"/>
      <c r="TG211" s="302"/>
      <c r="TH211" s="302"/>
      <c r="TI211" s="302"/>
      <c r="TJ211" s="302"/>
      <c r="TK211" s="302"/>
      <c r="TL211" s="302"/>
      <c r="TM211" s="302"/>
      <c r="TN211" s="302"/>
      <c r="TO211" s="302"/>
      <c r="TP211" s="302"/>
      <c r="TQ211" s="302"/>
      <c r="TR211" s="302"/>
      <c r="TS211" s="302"/>
      <c r="TT211" s="302"/>
      <c r="TU211" s="302"/>
      <c r="TV211" s="302"/>
      <c r="TW211" s="302"/>
      <c r="TX211" s="302"/>
      <c r="TY211" s="302"/>
      <c r="TZ211" s="302"/>
      <c r="UA211" s="302"/>
      <c r="UB211" s="302"/>
      <c r="UC211" s="302"/>
      <c r="UD211" s="302"/>
      <c r="UE211" s="302"/>
      <c r="UF211" s="302"/>
      <c r="UG211" s="302"/>
      <c r="UH211" s="302"/>
      <c r="UI211" s="302"/>
      <c r="UJ211" s="302"/>
      <c r="UK211" s="302"/>
      <c r="UL211" s="302"/>
      <c r="UM211" s="302"/>
      <c r="UN211" s="302"/>
      <c r="UO211" s="302"/>
      <c r="UP211" s="302"/>
      <c r="UQ211" s="302"/>
      <c r="UR211" s="302"/>
      <c r="US211" s="302"/>
      <c r="UT211" s="302"/>
      <c r="UU211" s="302"/>
      <c r="UV211" s="302"/>
      <c r="UW211" s="302"/>
      <c r="UX211" s="302"/>
      <c r="UY211" s="302"/>
      <c r="UZ211" s="302"/>
      <c r="VA211" s="302"/>
      <c r="VB211" s="302"/>
      <c r="VC211" s="302"/>
      <c r="VD211" s="302"/>
      <c r="VE211" s="302"/>
      <c r="VF211" s="302"/>
      <c r="VG211" s="302"/>
      <c r="VH211" s="302"/>
      <c r="VI211" s="302"/>
      <c r="VJ211" s="302"/>
      <c r="VK211" s="302"/>
      <c r="VL211" s="302"/>
      <c r="VM211" s="302"/>
      <c r="VN211" s="302"/>
      <c r="VO211" s="302"/>
      <c r="VP211" s="302"/>
      <c r="VQ211" s="302"/>
      <c r="VR211" s="302"/>
      <c r="VS211" s="302"/>
      <c r="VT211" s="302"/>
      <c r="VU211" s="302"/>
      <c r="VV211" s="302"/>
      <c r="VW211" s="302"/>
      <c r="VX211" s="302"/>
      <c r="VY211" s="302"/>
      <c r="VZ211" s="302"/>
      <c r="WA211" s="302"/>
      <c r="WB211" s="302"/>
      <c r="WC211" s="302"/>
      <c r="WD211" s="302"/>
      <c r="WE211" s="302"/>
      <c r="WF211" s="302"/>
      <c r="WG211" s="302"/>
      <c r="WH211" s="302"/>
      <c r="WI211" s="302"/>
      <c r="WJ211" s="302"/>
      <c r="WK211" s="302"/>
      <c r="WL211" s="302"/>
      <c r="WM211" s="302"/>
      <c r="WN211" s="302"/>
      <c r="WO211" s="302"/>
      <c r="WP211" s="302"/>
      <c r="WQ211" s="302"/>
      <c r="WR211" s="302"/>
      <c r="WS211" s="302"/>
      <c r="WT211" s="302"/>
      <c r="WU211" s="302"/>
      <c r="WV211" s="302"/>
      <c r="WW211" s="302"/>
      <c r="WX211" s="302"/>
      <c r="WY211" s="302"/>
      <c r="WZ211" s="302"/>
      <c r="XA211" s="302"/>
      <c r="XB211" s="302"/>
      <c r="XC211" s="302"/>
      <c r="XD211" s="302"/>
      <c r="XE211" s="302"/>
      <c r="XF211" s="302"/>
      <c r="XG211" s="302"/>
      <c r="XH211" s="302"/>
      <c r="XI211" s="302"/>
      <c r="XJ211" s="302"/>
      <c r="XK211" s="302"/>
      <c r="XL211" s="302"/>
      <c r="XM211" s="302"/>
      <c r="XN211" s="302"/>
      <c r="XO211" s="302"/>
      <c r="XP211" s="302"/>
      <c r="XQ211" s="302"/>
      <c r="XR211" s="302"/>
      <c r="XS211" s="302"/>
      <c r="XT211" s="302"/>
      <c r="XU211" s="302"/>
      <c r="XV211" s="302"/>
      <c r="XW211" s="302"/>
      <c r="XX211" s="302"/>
      <c r="XY211" s="302"/>
      <c r="XZ211" s="302"/>
      <c r="YA211" s="302"/>
      <c r="YB211" s="302"/>
      <c r="YC211" s="302"/>
      <c r="YD211" s="302"/>
      <c r="YE211" s="302"/>
      <c r="YF211" s="302"/>
      <c r="YG211" s="302"/>
      <c r="YH211" s="302"/>
      <c r="YI211" s="302"/>
      <c r="YJ211" s="302"/>
      <c r="YK211" s="302"/>
      <c r="YL211" s="302"/>
      <c r="YM211" s="302"/>
      <c r="YN211" s="302"/>
      <c r="YO211" s="302"/>
      <c r="YP211" s="302"/>
      <c r="YQ211" s="302"/>
      <c r="YR211" s="302"/>
      <c r="YS211" s="302"/>
      <c r="YT211" s="302"/>
      <c r="YU211" s="302"/>
      <c r="YV211" s="302"/>
      <c r="YW211" s="302"/>
      <c r="YX211" s="302"/>
      <c r="YY211" s="302"/>
      <c r="YZ211" s="302"/>
      <c r="ZA211" s="302"/>
      <c r="ZB211" s="302"/>
      <c r="ZC211" s="302"/>
      <c r="ZD211" s="302"/>
      <c r="ZE211" s="302"/>
      <c r="ZF211" s="302"/>
      <c r="ZG211" s="302"/>
      <c r="ZH211" s="302"/>
      <c r="ZI211" s="302"/>
      <c r="ZJ211" s="302"/>
      <c r="ZK211" s="302"/>
      <c r="ZL211" s="302"/>
      <c r="ZM211" s="302"/>
      <c r="ZN211" s="302"/>
      <c r="ZO211" s="302"/>
      <c r="ZP211" s="302"/>
      <c r="ZQ211" s="302"/>
      <c r="ZR211" s="302"/>
      <c r="ZS211" s="302"/>
      <c r="ZT211" s="302"/>
      <c r="ZU211" s="302"/>
      <c r="ZV211" s="302"/>
      <c r="ZW211" s="302"/>
      <c r="ZX211" s="302"/>
      <c r="ZY211" s="302"/>
      <c r="ZZ211" s="302"/>
      <c r="AAA211" s="302"/>
      <c r="AAB211" s="302"/>
      <c r="AAC211" s="302"/>
      <c r="AAD211" s="302"/>
      <c r="AAE211" s="302"/>
      <c r="AAF211" s="302"/>
      <c r="AAG211" s="302"/>
      <c r="AAH211" s="302"/>
      <c r="AAI211" s="302"/>
      <c r="AAJ211" s="302"/>
      <c r="AAK211" s="302"/>
      <c r="AAL211" s="302"/>
      <c r="AAM211" s="302"/>
      <c r="AAN211" s="302"/>
      <c r="AAO211" s="302"/>
      <c r="AAP211" s="302"/>
      <c r="AAQ211" s="302"/>
      <c r="AAR211" s="302"/>
      <c r="AAS211" s="302"/>
      <c r="AAT211" s="302"/>
      <c r="AAU211" s="302"/>
      <c r="AAV211" s="302"/>
      <c r="AAW211" s="302"/>
      <c r="AAX211" s="302"/>
      <c r="AAY211" s="302"/>
      <c r="AAZ211" s="302"/>
      <c r="ABA211" s="302"/>
      <c r="ABB211" s="302"/>
      <c r="ABC211" s="302"/>
      <c r="ABD211" s="302"/>
      <c r="ABE211" s="302"/>
      <c r="ABF211" s="302"/>
      <c r="ABG211" s="302"/>
      <c r="ABH211" s="302"/>
      <c r="ABI211" s="302"/>
      <c r="ABJ211" s="302"/>
      <c r="ABK211" s="302"/>
      <c r="ABL211" s="302"/>
      <c r="ABM211" s="302"/>
      <c r="ABN211" s="302"/>
      <c r="ABO211" s="302"/>
      <c r="ABP211" s="302"/>
      <c r="ABQ211" s="302"/>
      <c r="ABR211" s="302"/>
      <c r="ABS211" s="302"/>
      <c r="ABT211" s="302"/>
      <c r="ABU211" s="302"/>
      <c r="ABV211" s="302"/>
      <c r="ABW211" s="302"/>
      <c r="ABX211" s="302"/>
      <c r="ABY211" s="302"/>
      <c r="ABZ211" s="302"/>
      <c r="ACA211" s="302"/>
      <c r="ACB211" s="302"/>
      <c r="ACC211" s="302"/>
      <c r="ACD211" s="302"/>
      <c r="ACE211" s="302"/>
      <c r="ACF211" s="302"/>
      <c r="ACG211" s="302"/>
      <c r="ACH211" s="302"/>
      <c r="ACI211" s="302"/>
      <c r="ACJ211" s="302"/>
      <c r="ACK211" s="302"/>
      <c r="ACL211" s="302"/>
      <c r="ACM211" s="302"/>
      <c r="ACN211" s="302"/>
      <c r="ACO211" s="302"/>
      <c r="ACP211" s="302"/>
      <c r="ACQ211" s="302"/>
      <c r="ACR211" s="302"/>
      <c r="ACS211" s="302"/>
      <c r="ACT211" s="302"/>
      <c r="ACU211" s="302"/>
      <c r="ACV211" s="302"/>
      <c r="ACW211" s="302"/>
      <c r="ACX211" s="302"/>
      <c r="ACY211" s="302"/>
      <c r="ACZ211" s="302"/>
      <c r="ADA211" s="302"/>
      <c r="ADB211" s="302"/>
      <c r="ADC211" s="302"/>
      <c r="ADD211" s="302"/>
      <c r="ADE211" s="302"/>
      <c r="ADF211" s="302"/>
      <c r="ADG211" s="302"/>
      <c r="ADH211" s="302"/>
      <c r="ADI211" s="302"/>
      <c r="ADJ211" s="302"/>
      <c r="ADK211" s="302"/>
      <c r="ADL211" s="302"/>
      <c r="ADM211" s="302"/>
      <c r="ADN211" s="302"/>
      <c r="ADO211" s="302"/>
      <c r="ADP211" s="302"/>
      <c r="ADQ211" s="302"/>
      <c r="ADR211" s="302"/>
      <c r="ADS211" s="302"/>
      <c r="ADT211" s="302"/>
      <c r="ADU211" s="302"/>
      <c r="ADV211" s="302"/>
      <c r="ADW211" s="302"/>
      <c r="ADX211" s="302"/>
      <c r="ADY211" s="302"/>
      <c r="ADZ211" s="302"/>
      <c r="AEA211" s="302"/>
      <c r="AEB211" s="302"/>
      <c r="AEC211" s="302"/>
      <c r="AED211" s="302"/>
      <c r="AEE211" s="302"/>
      <c r="AEF211" s="302"/>
      <c r="AEG211" s="302"/>
      <c r="AEH211" s="302"/>
      <c r="AEI211" s="302"/>
      <c r="AEJ211" s="302"/>
      <c r="AEK211" s="302"/>
      <c r="AEL211" s="302"/>
      <c r="AEM211" s="302"/>
      <c r="AEN211" s="302"/>
      <c r="AEO211" s="302"/>
      <c r="AEP211" s="302"/>
      <c r="AEQ211" s="302"/>
      <c r="AER211" s="302"/>
      <c r="AES211" s="302"/>
      <c r="AET211" s="302"/>
      <c r="AEU211" s="302"/>
      <c r="AEV211" s="302"/>
      <c r="AEW211" s="302"/>
      <c r="AEX211" s="302"/>
      <c r="AEY211" s="302"/>
      <c r="AEZ211" s="302"/>
      <c r="AFA211" s="302"/>
      <c r="AFB211" s="302"/>
      <c r="AFC211" s="302"/>
      <c r="AFD211" s="302"/>
      <c r="AFE211" s="302"/>
      <c r="AFF211" s="302"/>
      <c r="AFG211" s="302"/>
      <c r="AFH211" s="302"/>
      <c r="AFI211" s="302"/>
      <c r="AFJ211" s="302"/>
      <c r="AFK211" s="302"/>
      <c r="AFL211" s="302"/>
      <c r="AFM211" s="302"/>
      <c r="AFN211" s="302"/>
      <c r="AFO211" s="302"/>
      <c r="AFP211" s="302"/>
      <c r="AFQ211" s="302"/>
      <c r="AFR211" s="302"/>
      <c r="AFS211" s="302"/>
      <c r="AFT211" s="302"/>
      <c r="AFU211" s="302"/>
      <c r="AFV211" s="302"/>
      <c r="AFW211" s="302"/>
      <c r="AFX211" s="302"/>
      <c r="AFY211" s="302"/>
      <c r="AFZ211" s="302"/>
      <c r="AGA211" s="302"/>
      <c r="AGB211" s="302"/>
      <c r="AGC211" s="302"/>
      <c r="AGD211" s="302"/>
      <c r="AGE211" s="302"/>
      <c r="AGF211" s="302"/>
      <c r="AGG211" s="302"/>
      <c r="AGH211" s="302"/>
      <c r="AGI211" s="302"/>
      <c r="AGJ211" s="302"/>
      <c r="AGK211" s="302"/>
      <c r="AGL211" s="302"/>
      <c r="AGM211" s="302"/>
      <c r="AGN211" s="302"/>
      <c r="AGO211" s="302"/>
      <c r="AGP211" s="302"/>
      <c r="AGQ211" s="302"/>
      <c r="AGR211" s="302"/>
      <c r="AGS211" s="302"/>
      <c r="AGT211" s="302"/>
      <c r="AGU211" s="302"/>
      <c r="AGV211" s="302"/>
      <c r="AGW211" s="302"/>
      <c r="AGX211" s="302"/>
      <c r="AGY211" s="302"/>
      <c r="AGZ211" s="302"/>
      <c r="AHA211" s="302"/>
      <c r="AHB211" s="302"/>
      <c r="AHC211" s="302"/>
      <c r="AHD211" s="302"/>
      <c r="AHE211" s="302"/>
      <c r="AHF211" s="302"/>
      <c r="AHG211" s="302"/>
      <c r="AHH211" s="302"/>
      <c r="AHI211" s="302"/>
      <c r="AHJ211" s="302"/>
      <c r="AHK211" s="302"/>
      <c r="AHL211" s="302"/>
      <c r="AHM211" s="302"/>
      <c r="AHN211" s="302"/>
      <c r="AHO211" s="302"/>
      <c r="AHP211" s="302"/>
      <c r="AHQ211" s="302"/>
      <c r="AHR211" s="302"/>
      <c r="AHS211" s="302"/>
      <c r="AHT211" s="302"/>
      <c r="AHU211" s="302"/>
      <c r="AHV211" s="302"/>
      <c r="AHW211" s="302"/>
      <c r="AHX211" s="302"/>
      <c r="AHY211" s="302"/>
      <c r="AHZ211" s="302"/>
      <c r="AIA211" s="302"/>
      <c r="AIB211" s="302"/>
      <c r="AIC211" s="302"/>
      <c r="AID211" s="302"/>
      <c r="AIE211" s="302"/>
      <c r="AIF211" s="302"/>
      <c r="AIG211" s="302"/>
      <c r="AIH211" s="302"/>
      <c r="AII211" s="302"/>
      <c r="AIJ211" s="302"/>
      <c r="AIK211" s="302"/>
      <c r="AIL211" s="302"/>
      <c r="AIM211" s="302"/>
      <c r="AIN211" s="302"/>
      <c r="AIO211" s="302"/>
      <c r="AIP211" s="302"/>
      <c r="AIQ211" s="302"/>
      <c r="AIR211" s="302"/>
      <c r="AIS211" s="302"/>
      <c r="AIT211" s="302"/>
      <c r="AIU211" s="302"/>
      <c r="AIV211" s="302"/>
      <c r="AIW211" s="302"/>
      <c r="AIX211" s="302"/>
      <c r="AIY211" s="302"/>
      <c r="AIZ211" s="302"/>
      <c r="AJA211" s="302"/>
      <c r="AJB211" s="302"/>
      <c r="AJC211" s="302"/>
      <c r="AJD211" s="302"/>
      <c r="AJE211" s="302"/>
      <c r="AJF211" s="302"/>
      <c r="AJG211" s="302"/>
      <c r="AJH211" s="302"/>
      <c r="AJI211" s="302"/>
      <c r="AJJ211" s="302"/>
      <c r="AJK211" s="302"/>
      <c r="AJL211" s="302"/>
      <c r="AJM211" s="302"/>
      <c r="AJN211" s="302"/>
      <c r="AJO211" s="302"/>
      <c r="AJP211" s="302"/>
      <c r="AJQ211" s="302"/>
      <c r="AJR211" s="302"/>
      <c r="AJS211" s="302"/>
      <c r="AJT211" s="302"/>
      <c r="AJU211" s="302"/>
      <c r="AJV211" s="302"/>
      <c r="AJW211" s="302"/>
      <c r="AJX211" s="302"/>
      <c r="AJY211" s="302"/>
      <c r="AJZ211" s="302"/>
      <c r="AKA211" s="302"/>
      <c r="AKB211" s="302"/>
      <c r="AKC211" s="302"/>
      <c r="AKD211" s="302"/>
      <c r="AKE211" s="302"/>
      <c r="AKF211" s="302"/>
      <c r="AKG211" s="302"/>
      <c r="AKH211" s="302"/>
      <c r="AKI211" s="302"/>
      <c r="AKJ211" s="302"/>
      <c r="AKK211" s="302"/>
      <c r="AKL211" s="302"/>
      <c r="AKM211" s="302"/>
      <c r="AKN211" s="302"/>
      <c r="AKO211" s="302"/>
      <c r="AKP211" s="302"/>
      <c r="AKQ211" s="302"/>
      <c r="AKR211" s="302"/>
      <c r="AKS211" s="302"/>
      <c r="AKT211" s="302"/>
      <c r="AKU211" s="302"/>
      <c r="AKV211" s="302"/>
      <c r="AKW211" s="302"/>
      <c r="AKX211" s="302"/>
      <c r="AKY211" s="302"/>
      <c r="AKZ211" s="302"/>
      <c r="ALA211" s="302"/>
      <c r="ALB211" s="302"/>
      <c r="ALC211" s="302"/>
      <c r="ALD211" s="302"/>
      <c r="ALE211" s="302"/>
      <c r="ALF211" s="302"/>
      <c r="ALG211" s="302"/>
      <c r="ALH211" s="302"/>
      <c r="ALI211" s="302"/>
      <c r="ALJ211" s="302"/>
      <c r="ALK211" s="302"/>
      <c r="ALL211" s="302"/>
      <c r="ALM211" s="302"/>
      <c r="ALN211" s="302"/>
      <c r="ALO211" s="302"/>
      <c r="ALP211" s="302"/>
      <c r="ALQ211" s="302"/>
      <c r="ALR211" s="302"/>
      <c r="ALS211" s="302"/>
      <c r="ALT211" s="302"/>
      <c r="ALU211" s="302"/>
      <c r="ALV211" s="302"/>
      <c r="ALW211" s="302"/>
      <c r="ALX211" s="302"/>
      <c r="ALY211" s="302"/>
      <c r="ALZ211" s="302"/>
      <c r="AMA211" s="302"/>
      <c r="AMB211" s="302"/>
      <c r="AMC211" s="302"/>
      <c r="AMD211" s="302"/>
      <c r="AME211" s="302"/>
      <c r="AMF211" s="302"/>
      <c r="AMG211" s="302"/>
      <c r="AMH211" s="302"/>
      <c r="AMI211" s="302"/>
    </row>
    <row r="212" spans="1:1023" hidden="1">
      <c r="A212" s="302"/>
      <c r="B212" s="442">
        <v>14004</v>
      </c>
      <c r="C212" s="432">
        <v>0.1</v>
      </c>
      <c r="D212" s="370" t="s">
        <v>147</v>
      </c>
      <c r="E212" s="433">
        <v>2300000</v>
      </c>
      <c r="F212" s="499">
        <v>0.05</v>
      </c>
      <c r="G212" s="364">
        <f t="shared" si="11"/>
        <v>115000</v>
      </c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2"/>
      <c r="AE212" s="302"/>
      <c r="AF212" s="302"/>
      <c r="AG212" s="302"/>
      <c r="AH212" s="302"/>
      <c r="AI212" s="302"/>
      <c r="AJ212" s="302"/>
      <c r="AK212" s="302"/>
      <c r="AL212" s="302"/>
      <c r="AM212" s="302"/>
      <c r="AN212" s="302"/>
      <c r="AO212" s="302"/>
      <c r="AP212" s="302"/>
      <c r="AQ212" s="302"/>
      <c r="AR212" s="302"/>
      <c r="AS212" s="302"/>
      <c r="AT212" s="302"/>
      <c r="AU212" s="302"/>
      <c r="AV212" s="302"/>
      <c r="AW212" s="302"/>
      <c r="AX212" s="302"/>
      <c r="AY212" s="302"/>
      <c r="AZ212" s="302"/>
      <c r="BA212" s="302"/>
      <c r="BB212" s="302"/>
      <c r="BC212" s="302"/>
      <c r="BD212" s="302"/>
      <c r="BE212" s="302"/>
      <c r="BF212" s="302"/>
      <c r="BG212" s="302"/>
      <c r="BH212" s="302"/>
      <c r="BI212" s="302"/>
      <c r="BJ212" s="302"/>
      <c r="BK212" s="302"/>
      <c r="BL212" s="302"/>
      <c r="BM212" s="302"/>
      <c r="BN212" s="302"/>
      <c r="BO212" s="302"/>
      <c r="BP212" s="302"/>
      <c r="BQ212" s="302"/>
      <c r="BR212" s="302"/>
      <c r="BS212" s="302"/>
      <c r="BT212" s="302"/>
      <c r="BU212" s="302"/>
      <c r="BV212" s="302"/>
      <c r="BW212" s="302"/>
      <c r="BX212" s="302"/>
      <c r="BY212" s="302"/>
      <c r="BZ212" s="302"/>
      <c r="CA212" s="302"/>
      <c r="CB212" s="302"/>
      <c r="CC212" s="302"/>
      <c r="CD212" s="302"/>
      <c r="CE212" s="302"/>
      <c r="CF212" s="302"/>
      <c r="CG212" s="302"/>
      <c r="CH212" s="302"/>
      <c r="CI212" s="302"/>
      <c r="CJ212" s="302"/>
      <c r="CK212" s="302"/>
      <c r="CL212" s="302"/>
      <c r="CM212" s="302"/>
      <c r="CN212" s="302"/>
      <c r="CO212" s="302"/>
      <c r="CP212" s="302"/>
      <c r="CQ212" s="302"/>
      <c r="CR212" s="302"/>
      <c r="CS212" s="302"/>
      <c r="CT212" s="302"/>
      <c r="CU212" s="302"/>
      <c r="CV212" s="302"/>
      <c r="CW212" s="302"/>
      <c r="CX212" s="302"/>
      <c r="CY212" s="302"/>
      <c r="CZ212" s="302"/>
      <c r="DA212" s="302"/>
      <c r="DB212" s="302"/>
      <c r="DC212" s="302"/>
      <c r="DD212" s="302"/>
      <c r="DE212" s="302"/>
      <c r="DF212" s="302"/>
      <c r="DG212" s="302"/>
      <c r="DH212" s="302"/>
      <c r="DI212" s="302"/>
      <c r="DJ212" s="302"/>
      <c r="DK212" s="302"/>
      <c r="DL212" s="302"/>
      <c r="DM212" s="302"/>
      <c r="DN212" s="302"/>
      <c r="DO212" s="302"/>
      <c r="DP212" s="302"/>
      <c r="DQ212" s="302"/>
      <c r="DR212" s="302"/>
      <c r="DS212" s="302"/>
      <c r="DT212" s="302"/>
      <c r="DU212" s="302"/>
      <c r="DV212" s="302"/>
      <c r="DW212" s="302"/>
      <c r="DX212" s="302"/>
      <c r="DY212" s="302"/>
      <c r="DZ212" s="302"/>
      <c r="EA212" s="302"/>
      <c r="EB212" s="302"/>
      <c r="EC212" s="302"/>
      <c r="ED212" s="302"/>
      <c r="EE212" s="302"/>
      <c r="EF212" s="302"/>
      <c r="EG212" s="302"/>
      <c r="EH212" s="302"/>
      <c r="EI212" s="302"/>
      <c r="EJ212" s="302"/>
      <c r="EK212" s="302"/>
      <c r="EL212" s="302"/>
      <c r="EM212" s="302"/>
      <c r="EN212" s="302"/>
      <c r="EO212" s="302"/>
      <c r="EP212" s="302"/>
      <c r="EQ212" s="302"/>
      <c r="ER212" s="302"/>
      <c r="ES212" s="302"/>
      <c r="ET212" s="302"/>
      <c r="EU212" s="302"/>
      <c r="EV212" s="302"/>
      <c r="EW212" s="302"/>
      <c r="EX212" s="302"/>
      <c r="EY212" s="302"/>
      <c r="EZ212" s="302"/>
      <c r="FA212" s="302"/>
      <c r="FB212" s="302"/>
      <c r="FC212" s="302"/>
      <c r="FD212" s="302"/>
      <c r="FE212" s="302"/>
      <c r="FF212" s="302"/>
      <c r="FG212" s="302"/>
      <c r="FH212" s="302"/>
      <c r="FI212" s="302"/>
      <c r="FJ212" s="302"/>
      <c r="FK212" s="302"/>
      <c r="FL212" s="302"/>
      <c r="FM212" s="302"/>
      <c r="FN212" s="302"/>
      <c r="FO212" s="302"/>
      <c r="FP212" s="302"/>
      <c r="FQ212" s="302"/>
      <c r="FR212" s="302"/>
      <c r="FS212" s="302"/>
      <c r="FT212" s="302"/>
      <c r="FU212" s="302"/>
      <c r="FV212" s="302"/>
      <c r="FW212" s="302"/>
      <c r="FX212" s="302"/>
      <c r="FY212" s="302"/>
      <c r="FZ212" s="302"/>
      <c r="GA212" s="302"/>
      <c r="GB212" s="302"/>
      <c r="GC212" s="302"/>
      <c r="GD212" s="302"/>
      <c r="GE212" s="302"/>
      <c r="GF212" s="302"/>
      <c r="GG212" s="302"/>
      <c r="GH212" s="302"/>
      <c r="GI212" s="302"/>
      <c r="GJ212" s="302"/>
      <c r="GK212" s="302"/>
      <c r="GL212" s="302"/>
      <c r="GM212" s="302"/>
      <c r="GN212" s="302"/>
      <c r="GO212" s="302"/>
      <c r="GP212" s="302"/>
      <c r="GQ212" s="302"/>
      <c r="GR212" s="302"/>
      <c r="GS212" s="302"/>
      <c r="GT212" s="302"/>
      <c r="GU212" s="302"/>
      <c r="GV212" s="302"/>
      <c r="GW212" s="302"/>
      <c r="GX212" s="302"/>
      <c r="GY212" s="302"/>
      <c r="GZ212" s="302"/>
      <c r="HA212" s="302"/>
      <c r="HB212" s="302"/>
      <c r="HC212" s="302"/>
      <c r="HD212" s="302"/>
      <c r="HE212" s="302"/>
      <c r="HF212" s="302"/>
      <c r="HG212" s="302"/>
      <c r="HH212" s="302"/>
      <c r="HI212" s="302"/>
      <c r="HJ212" s="302"/>
      <c r="HK212" s="302"/>
      <c r="HL212" s="302"/>
      <c r="HM212" s="302"/>
      <c r="HN212" s="302"/>
      <c r="HO212" s="302"/>
      <c r="HP212" s="302"/>
      <c r="HQ212" s="302"/>
      <c r="HR212" s="302"/>
      <c r="HS212" s="302"/>
      <c r="HT212" s="302"/>
      <c r="HU212" s="302"/>
      <c r="HV212" s="302"/>
      <c r="HW212" s="302"/>
      <c r="HX212" s="302"/>
      <c r="HY212" s="302"/>
      <c r="HZ212" s="302"/>
      <c r="IA212" s="302"/>
      <c r="IB212" s="302"/>
      <c r="IC212" s="302"/>
      <c r="ID212" s="302"/>
      <c r="IE212" s="302"/>
      <c r="IF212" s="302"/>
      <c r="IG212" s="302"/>
      <c r="IH212" s="302"/>
      <c r="II212" s="302"/>
      <c r="IJ212" s="302"/>
      <c r="IK212" s="302"/>
      <c r="IL212" s="302"/>
      <c r="IM212" s="302"/>
      <c r="IN212" s="302"/>
      <c r="IO212" s="302"/>
      <c r="IP212" s="302"/>
      <c r="IQ212" s="302"/>
      <c r="IR212" s="302"/>
      <c r="IS212" s="302"/>
      <c r="IT212" s="302"/>
      <c r="IU212" s="302"/>
      <c r="IV212" s="302"/>
      <c r="IW212" s="302"/>
      <c r="IX212" s="302"/>
      <c r="IY212" s="302"/>
      <c r="IZ212" s="302"/>
      <c r="JA212" s="302"/>
      <c r="JB212" s="302"/>
      <c r="JC212" s="302"/>
      <c r="JD212" s="302"/>
      <c r="JE212" s="302"/>
      <c r="JF212" s="302"/>
      <c r="JG212" s="302"/>
      <c r="JH212" s="302"/>
      <c r="JI212" s="302"/>
      <c r="JJ212" s="302"/>
      <c r="JK212" s="302"/>
      <c r="JL212" s="302"/>
      <c r="JM212" s="302"/>
      <c r="JN212" s="302"/>
      <c r="JO212" s="302"/>
      <c r="JP212" s="302"/>
      <c r="JQ212" s="302"/>
      <c r="JR212" s="302"/>
      <c r="JS212" s="302"/>
      <c r="JT212" s="302"/>
      <c r="JU212" s="302"/>
      <c r="JV212" s="302"/>
      <c r="JW212" s="302"/>
      <c r="JX212" s="302"/>
      <c r="JY212" s="302"/>
      <c r="JZ212" s="302"/>
      <c r="KA212" s="302"/>
      <c r="KB212" s="302"/>
      <c r="KC212" s="302"/>
      <c r="KD212" s="302"/>
      <c r="KE212" s="302"/>
      <c r="KF212" s="302"/>
      <c r="KG212" s="302"/>
      <c r="KH212" s="302"/>
      <c r="KI212" s="302"/>
      <c r="KJ212" s="302"/>
      <c r="KK212" s="302"/>
      <c r="KL212" s="302"/>
      <c r="KM212" s="302"/>
      <c r="KN212" s="302"/>
      <c r="KO212" s="302"/>
      <c r="KP212" s="302"/>
      <c r="KQ212" s="302"/>
      <c r="KR212" s="302"/>
      <c r="KS212" s="302"/>
      <c r="KT212" s="302"/>
      <c r="KU212" s="302"/>
      <c r="KV212" s="302"/>
      <c r="KW212" s="302"/>
      <c r="KX212" s="302"/>
      <c r="KY212" s="302"/>
      <c r="KZ212" s="302"/>
      <c r="LA212" s="302"/>
      <c r="LB212" s="302"/>
      <c r="LC212" s="302"/>
      <c r="LD212" s="302"/>
      <c r="LE212" s="302"/>
      <c r="LF212" s="302"/>
      <c r="LG212" s="302"/>
      <c r="LH212" s="302"/>
      <c r="LI212" s="302"/>
      <c r="LJ212" s="302"/>
      <c r="LK212" s="302"/>
      <c r="LL212" s="302"/>
      <c r="LM212" s="302"/>
      <c r="LN212" s="302"/>
      <c r="LO212" s="302"/>
      <c r="LP212" s="302"/>
      <c r="LQ212" s="302"/>
      <c r="LR212" s="302"/>
      <c r="LS212" s="302"/>
      <c r="LT212" s="302"/>
      <c r="LU212" s="302"/>
      <c r="LV212" s="302"/>
      <c r="LW212" s="302"/>
      <c r="LX212" s="302"/>
      <c r="LY212" s="302"/>
      <c r="LZ212" s="302"/>
      <c r="MA212" s="302"/>
      <c r="MB212" s="302"/>
      <c r="MC212" s="302"/>
      <c r="MD212" s="302"/>
      <c r="ME212" s="302"/>
      <c r="MF212" s="302"/>
      <c r="MG212" s="302"/>
      <c r="MH212" s="302"/>
      <c r="MI212" s="302"/>
      <c r="MJ212" s="302"/>
      <c r="MK212" s="302"/>
      <c r="ML212" s="302"/>
      <c r="MM212" s="302"/>
      <c r="MN212" s="302"/>
      <c r="MO212" s="302"/>
      <c r="MP212" s="302"/>
      <c r="MQ212" s="302"/>
      <c r="MR212" s="302"/>
      <c r="MS212" s="302"/>
      <c r="MT212" s="302"/>
      <c r="MU212" s="302"/>
      <c r="MV212" s="302"/>
      <c r="MW212" s="302"/>
      <c r="MX212" s="302"/>
      <c r="MY212" s="302"/>
      <c r="MZ212" s="302"/>
      <c r="NA212" s="302"/>
      <c r="NB212" s="302"/>
      <c r="NC212" s="302"/>
      <c r="ND212" s="302"/>
      <c r="NE212" s="302"/>
      <c r="NF212" s="302"/>
      <c r="NG212" s="302"/>
      <c r="NH212" s="302"/>
      <c r="NI212" s="302"/>
      <c r="NJ212" s="302"/>
      <c r="NK212" s="302"/>
      <c r="NL212" s="302"/>
      <c r="NM212" s="302"/>
      <c r="NN212" s="302"/>
      <c r="NO212" s="302"/>
      <c r="NP212" s="302"/>
      <c r="NQ212" s="302"/>
      <c r="NR212" s="302"/>
      <c r="NS212" s="302"/>
      <c r="NT212" s="302"/>
      <c r="NU212" s="302"/>
      <c r="NV212" s="302"/>
      <c r="NW212" s="302"/>
      <c r="NX212" s="302"/>
      <c r="NY212" s="302"/>
      <c r="NZ212" s="302"/>
      <c r="OA212" s="302"/>
      <c r="OB212" s="302"/>
      <c r="OC212" s="302"/>
      <c r="OD212" s="302"/>
      <c r="OE212" s="302"/>
      <c r="OF212" s="302"/>
      <c r="OG212" s="302"/>
      <c r="OH212" s="302"/>
      <c r="OI212" s="302"/>
      <c r="OJ212" s="302"/>
      <c r="OK212" s="302"/>
      <c r="OL212" s="302"/>
      <c r="OM212" s="302"/>
      <c r="ON212" s="302"/>
      <c r="OO212" s="302"/>
      <c r="OP212" s="302"/>
      <c r="OQ212" s="302"/>
      <c r="OR212" s="302"/>
      <c r="OS212" s="302"/>
      <c r="OT212" s="302"/>
      <c r="OU212" s="302"/>
      <c r="OV212" s="302"/>
      <c r="OW212" s="302"/>
      <c r="OX212" s="302"/>
      <c r="OY212" s="302"/>
      <c r="OZ212" s="302"/>
      <c r="PA212" s="302"/>
      <c r="PB212" s="302"/>
      <c r="PC212" s="302"/>
      <c r="PD212" s="302"/>
      <c r="PE212" s="302"/>
      <c r="PF212" s="302"/>
      <c r="PG212" s="302"/>
      <c r="PH212" s="302"/>
      <c r="PI212" s="302"/>
      <c r="PJ212" s="302"/>
      <c r="PK212" s="302"/>
      <c r="PL212" s="302"/>
      <c r="PM212" s="302"/>
      <c r="PN212" s="302"/>
      <c r="PO212" s="302"/>
      <c r="PP212" s="302"/>
      <c r="PQ212" s="302"/>
      <c r="PR212" s="302"/>
      <c r="PS212" s="302"/>
      <c r="PT212" s="302"/>
      <c r="PU212" s="302"/>
      <c r="PV212" s="302"/>
      <c r="PW212" s="302"/>
      <c r="PX212" s="302"/>
      <c r="PY212" s="302"/>
      <c r="PZ212" s="302"/>
      <c r="QA212" s="302"/>
      <c r="QB212" s="302"/>
      <c r="QC212" s="302"/>
      <c r="QD212" s="302"/>
      <c r="QE212" s="302"/>
      <c r="QF212" s="302"/>
      <c r="QG212" s="302"/>
      <c r="QH212" s="302"/>
      <c r="QI212" s="302"/>
      <c r="QJ212" s="302"/>
      <c r="QK212" s="302"/>
      <c r="QL212" s="302"/>
      <c r="QM212" s="302"/>
      <c r="QN212" s="302"/>
      <c r="QO212" s="302"/>
      <c r="QP212" s="302"/>
      <c r="QQ212" s="302"/>
      <c r="QR212" s="302"/>
      <c r="QS212" s="302"/>
      <c r="QT212" s="302"/>
      <c r="QU212" s="302"/>
      <c r="QV212" s="302"/>
      <c r="QW212" s="302"/>
      <c r="QX212" s="302"/>
      <c r="QY212" s="302"/>
      <c r="QZ212" s="302"/>
      <c r="RA212" s="302"/>
      <c r="RB212" s="302"/>
      <c r="RC212" s="302"/>
      <c r="RD212" s="302"/>
      <c r="RE212" s="302"/>
      <c r="RF212" s="302"/>
      <c r="RG212" s="302"/>
      <c r="RH212" s="302"/>
      <c r="RI212" s="302"/>
      <c r="RJ212" s="302"/>
      <c r="RK212" s="302"/>
      <c r="RL212" s="302"/>
      <c r="RM212" s="302"/>
      <c r="RN212" s="302"/>
      <c r="RO212" s="302"/>
      <c r="RP212" s="302"/>
      <c r="RQ212" s="302"/>
      <c r="RR212" s="302"/>
      <c r="RS212" s="302"/>
      <c r="RT212" s="302"/>
      <c r="RU212" s="302"/>
      <c r="RV212" s="302"/>
      <c r="RW212" s="302"/>
      <c r="RX212" s="302"/>
      <c r="RY212" s="302"/>
      <c r="RZ212" s="302"/>
      <c r="SA212" s="302"/>
      <c r="SB212" s="302"/>
      <c r="SC212" s="302"/>
      <c r="SD212" s="302"/>
      <c r="SE212" s="302"/>
      <c r="SF212" s="302"/>
      <c r="SG212" s="302"/>
      <c r="SH212" s="302"/>
      <c r="SI212" s="302"/>
      <c r="SJ212" s="302"/>
      <c r="SK212" s="302"/>
      <c r="SL212" s="302"/>
      <c r="SM212" s="302"/>
      <c r="SN212" s="302"/>
      <c r="SO212" s="302"/>
      <c r="SP212" s="302"/>
      <c r="SQ212" s="302"/>
      <c r="SR212" s="302"/>
      <c r="SS212" s="302"/>
      <c r="ST212" s="302"/>
      <c r="SU212" s="302"/>
      <c r="SV212" s="302"/>
      <c r="SW212" s="302"/>
      <c r="SX212" s="302"/>
      <c r="SY212" s="302"/>
      <c r="SZ212" s="302"/>
      <c r="TA212" s="302"/>
      <c r="TB212" s="302"/>
      <c r="TC212" s="302"/>
      <c r="TD212" s="302"/>
      <c r="TE212" s="302"/>
      <c r="TF212" s="302"/>
      <c r="TG212" s="302"/>
      <c r="TH212" s="302"/>
      <c r="TI212" s="302"/>
      <c r="TJ212" s="302"/>
      <c r="TK212" s="302"/>
      <c r="TL212" s="302"/>
      <c r="TM212" s="302"/>
      <c r="TN212" s="302"/>
      <c r="TO212" s="302"/>
      <c r="TP212" s="302"/>
      <c r="TQ212" s="302"/>
      <c r="TR212" s="302"/>
      <c r="TS212" s="302"/>
      <c r="TT212" s="302"/>
      <c r="TU212" s="302"/>
      <c r="TV212" s="302"/>
      <c r="TW212" s="302"/>
      <c r="TX212" s="302"/>
      <c r="TY212" s="302"/>
      <c r="TZ212" s="302"/>
      <c r="UA212" s="302"/>
      <c r="UB212" s="302"/>
      <c r="UC212" s="302"/>
      <c r="UD212" s="302"/>
      <c r="UE212" s="302"/>
      <c r="UF212" s="302"/>
      <c r="UG212" s="302"/>
      <c r="UH212" s="302"/>
      <c r="UI212" s="302"/>
      <c r="UJ212" s="302"/>
      <c r="UK212" s="302"/>
      <c r="UL212" s="302"/>
      <c r="UM212" s="302"/>
      <c r="UN212" s="302"/>
      <c r="UO212" s="302"/>
      <c r="UP212" s="302"/>
      <c r="UQ212" s="302"/>
      <c r="UR212" s="302"/>
      <c r="US212" s="302"/>
      <c r="UT212" s="302"/>
      <c r="UU212" s="302"/>
      <c r="UV212" s="302"/>
      <c r="UW212" s="302"/>
      <c r="UX212" s="302"/>
      <c r="UY212" s="302"/>
      <c r="UZ212" s="302"/>
      <c r="VA212" s="302"/>
      <c r="VB212" s="302"/>
      <c r="VC212" s="302"/>
      <c r="VD212" s="302"/>
      <c r="VE212" s="302"/>
      <c r="VF212" s="302"/>
      <c r="VG212" s="302"/>
      <c r="VH212" s="302"/>
      <c r="VI212" s="302"/>
      <c r="VJ212" s="302"/>
      <c r="VK212" s="302"/>
      <c r="VL212" s="302"/>
      <c r="VM212" s="302"/>
      <c r="VN212" s="302"/>
      <c r="VO212" s="302"/>
      <c r="VP212" s="302"/>
      <c r="VQ212" s="302"/>
      <c r="VR212" s="302"/>
      <c r="VS212" s="302"/>
      <c r="VT212" s="302"/>
      <c r="VU212" s="302"/>
      <c r="VV212" s="302"/>
      <c r="VW212" s="302"/>
      <c r="VX212" s="302"/>
      <c r="VY212" s="302"/>
      <c r="VZ212" s="302"/>
      <c r="WA212" s="302"/>
      <c r="WB212" s="302"/>
      <c r="WC212" s="302"/>
      <c r="WD212" s="302"/>
      <c r="WE212" s="302"/>
      <c r="WF212" s="302"/>
      <c r="WG212" s="302"/>
      <c r="WH212" s="302"/>
      <c r="WI212" s="302"/>
      <c r="WJ212" s="302"/>
      <c r="WK212" s="302"/>
      <c r="WL212" s="302"/>
      <c r="WM212" s="302"/>
      <c r="WN212" s="302"/>
      <c r="WO212" s="302"/>
      <c r="WP212" s="302"/>
      <c r="WQ212" s="302"/>
      <c r="WR212" s="302"/>
      <c r="WS212" s="302"/>
      <c r="WT212" s="302"/>
      <c r="WU212" s="302"/>
      <c r="WV212" s="302"/>
      <c r="WW212" s="302"/>
      <c r="WX212" s="302"/>
      <c r="WY212" s="302"/>
      <c r="WZ212" s="302"/>
      <c r="XA212" s="302"/>
      <c r="XB212" s="302"/>
      <c r="XC212" s="302"/>
      <c r="XD212" s="302"/>
      <c r="XE212" s="302"/>
      <c r="XF212" s="302"/>
      <c r="XG212" s="302"/>
      <c r="XH212" s="302"/>
      <c r="XI212" s="302"/>
      <c r="XJ212" s="302"/>
      <c r="XK212" s="302"/>
      <c r="XL212" s="302"/>
      <c r="XM212" s="302"/>
      <c r="XN212" s="302"/>
      <c r="XO212" s="302"/>
      <c r="XP212" s="302"/>
      <c r="XQ212" s="302"/>
      <c r="XR212" s="302"/>
      <c r="XS212" s="302"/>
      <c r="XT212" s="302"/>
      <c r="XU212" s="302"/>
      <c r="XV212" s="302"/>
      <c r="XW212" s="302"/>
      <c r="XX212" s="302"/>
      <c r="XY212" s="302"/>
      <c r="XZ212" s="302"/>
      <c r="YA212" s="302"/>
      <c r="YB212" s="302"/>
      <c r="YC212" s="302"/>
      <c r="YD212" s="302"/>
      <c r="YE212" s="302"/>
      <c r="YF212" s="302"/>
      <c r="YG212" s="302"/>
      <c r="YH212" s="302"/>
      <c r="YI212" s="302"/>
      <c r="YJ212" s="302"/>
      <c r="YK212" s="302"/>
      <c r="YL212" s="302"/>
      <c r="YM212" s="302"/>
      <c r="YN212" s="302"/>
      <c r="YO212" s="302"/>
      <c r="YP212" s="302"/>
      <c r="YQ212" s="302"/>
      <c r="YR212" s="302"/>
      <c r="YS212" s="302"/>
      <c r="YT212" s="302"/>
      <c r="YU212" s="302"/>
      <c r="YV212" s="302"/>
      <c r="YW212" s="302"/>
      <c r="YX212" s="302"/>
      <c r="YY212" s="302"/>
      <c r="YZ212" s="302"/>
      <c r="ZA212" s="302"/>
      <c r="ZB212" s="302"/>
      <c r="ZC212" s="302"/>
      <c r="ZD212" s="302"/>
      <c r="ZE212" s="302"/>
      <c r="ZF212" s="302"/>
      <c r="ZG212" s="302"/>
      <c r="ZH212" s="302"/>
      <c r="ZI212" s="302"/>
      <c r="ZJ212" s="302"/>
      <c r="ZK212" s="302"/>
      <c r="ZL212" s="302"/>
      <c r="ZM212" s="302"/>
      <c r="ZN212" s="302"/>
      <c r="ZO212" s="302"/>
      <c r="ZP212" s="302"/>
      <c r="ZQ212" s="302"/>
      <c r="ZR212" s="302"/>
      <c r="ZS212" s="302"/>
      <c r="ZT212" s="302"/>
      <c r="ZU212" s="302"/>
      <c r="ZV212" s="302"/>
      <c r="ZW212" s="302"/>
      <c r="ZX212" s="302"/>
      <c r="ZY212" s="302"/>
      <c r="ZZ212" s="302"/>
      <c r="AAA212" s="302"/>
      <c r="AAB212" s="302"/>
      <c r="AAC212" s="302"/>
      <c r="AAD212" s="302"/>
      <c r="AAE212" s="302"/>
      <c r="AAF212" s="302"/>
      <c r="AAG212" s="302"/>
      <c r="AAH212" s="302"/>
      <c r="AAI212" s="302"/>
      <c r="AAJ212" s="302"/>
      <c r="AAK212" s="302"/>
      <c r="AAL212" s="302"/>
      <c r="AAM212" s="302"/>
      <c r="AAN212" s="302"/>
      <c r="AAO212" s="302"/>
      <c r="AAP212" s="302"/>
      <c r="AAQ212" s="302"/>
      <c r="AAR212" s="302"/>
      <c r="AAS212" s="302"/>
      <c r="AAT212" s="302"/>
      <c r="AAU212" s="302"/>
      <c r="AAV212" s="302"/>
      <c r="AAW212" s="302"/>
      <c r="AAX212" s="302"/>
      <c r="AAY212" s="302"/>
      <c r="AAZ212" s="302"/>
      <c r="ABA212" s="302"/>
      <c r="ABB212" s="302"/>
      <c r="ABC212" s="302"/>
      <c r="ABD212" s="302"/>
      <c r="ABE212" s="302"/>
      <c r="ABF212" s="302"/>
      <c r="ABG212" s="302"/>
      <c r="ABH212" s="302"/>
      <c r="ABI212" s="302"/>
      <c r="ABJ212" s="302"/>
      <c r="ABK212" s="302"/>
      <c r="ABL212" s="302"/>
      <c r="ABM212" s="302"/>
      <c r="ABN212" s="302"/>
      <c r="ABO212" s="302"/>
      <c r="ABP212" s="302"/>
      <c r="ABQ212" s="302"/>
      <c r="ABR212" s="302"/>
      <c r="ABS212" s="302"/>
      <c r="ABT212" s="302"/>
      <c r="ABU212" s="302"/>
      <c r="ABV212" s="302"/>
      <c r="ABW212" s="302"/>
      <c r="ABX212" s="302"/>
      <c r="ABY212" s="302"/>
      <c r="ABZ212" s="302"/>
      <c r="ACA212" s="302"/>
      <c r="ACB212" s="302"/>
      <c r="ACC212" s="302"/>
      <c r="ACD212" s="302"/>
      <c r="ACE212" s="302"/>
      <c r="ACF212" s="302"/>
      <c r="ACG212" s="302"/>
      <c r="ACH212" s="302"/>
      <c r="ACI212" s="302"/>
      <c r="ACJ212" s="302"/>
      <c r="ACK212" s="302"/>
      <c r="ACL212" s="302"/>
      <c r="ACM212" s="302"/>
      <c r="ACN212" s="302"/>
      <c r="ACO212" s="302"/>
      <c r="ACP212" s="302"/>
      <c r="ACQ212" s="302"/>
      <c r="ACR212" s="302"/>
      <c r="ACS212" s="302"/>
      <c r="ACT212" s="302"/>
      <c r="ACU212" s="302"/>
      <c r="ACV212" s="302"/>
      <c r="ACW212" s="302"/>
      <c r="ACX212" s="302"/>
      <c r="ACY212" s="302"/>
      <c r="ACZ212" s="302"/>
      <c r="ADA212" s="302"/>
      <c r="ADB212" s="302"/>
      <c r="ADC212" s="302"/>
      <c r="ADD212" s="302"/>
      <c r="ADE212" s="302"/>
      <c r="ADF212" s="302"/>
      <c r="ADG212" s="302"/>
      <c r="ADH212" s="302"/>
      <c r="ADI212" s="302"/>
      <c r="ADJ212" s="302"/>
      <c r="ADK212" s="302"/>
      <c r="ADL212" s="302"/>
      <c r="ADM212" s="302"/>
      <c r="ADN212" s="302"/>
      <c r="ADO212" s="302"/>
      <c r="ADP212" s="302"/>
      <c r="ADQ212" s="302"/>
      <c r="ADR212" s="302"/>
      <c r="ADS212" s="302"/>
      <c r="ADT212" s="302"/>
      <c r="ADU212" s="302"/>
      <c r="ADV212" s="302"/>
      <c r="ADW212" s="302"/>
      <c r="ADX212" s="302"/>
      <c r="ADY212" s="302"/>
      <c r="ADZ212" s="302"/>
      <c r="AEA212" s="302"/>
      <c r="AEB212" s="302"/>
      <c r="AEC212" s="302"/>
      <c r="AED212" s="302"/>
      <c r="AEE212" s="302"/>
      <c r="AEF212" s="302"/>
      <c r="AEG212" s="302"/>
      <c r="AEH212" s="302"/>
      <c r="AEI212" s="302"/>
      <c r="AEJ212" s="302"/>
      <c r="AEK212" s="302"/>
      <c r="AEL212" s="302"/>
      <c r="AEM212" s="302"/>
      <c r="AEN212" s="302"/>
      <c r="AEO212" s="302"/>
      <c r="AEP212" s="302"/>
      <c r="AEQ212" s="302"/>
      <c r="AER212" s="302"/>
      <c r="AES212" s="302"/>
      <c r="AET212" s="302"/>
      <c r="AEU212" s="302"/>
      <c r="AEV212" s="302"/>
      <c r="AEW212" s="302"/>
      <c r="AEX212" s="302"/>
      <c r="AEY212" s="302"/>
      <c r="AEZ212" s="302"/>
      <c r="AFA212" s="302"/>
      <c r="AFB212" s="302"/>
      <c r="AFC212" s="302"/>
      <c r="AFD212" s="302"/>
      <c r="AFE212" s="302"/>
      <c r="AFF212" s="302"/>
      <c r="AFG212" s="302"/>
      <c r="AFH212" s="302"/>
      <c r="AFI212" s="302"/>
      <c r="AFJ212" s="302"/>
      <c r="AFK212" s="302"/>
      <c r="AFL212" s="302"/>
      <c r="AFM212" s="302"/>
      <c r="AFN212" s="302"/>
      <c r="AFO212" s="302"/>
      <c r="AFP212" s="302"/>
      <c r="AFQ212" s="302"/>
      <c r="AFR212" s="302"/>
      <c r="AFS212" s="302"/>
      <c r="AFT212" s="302"/>
      <c r="AFU212" s="302"/>
      <c r="AFV212" s="302"/>
      <c r="AFW212" s="302"/>
      <c r="AFX212" s="302"/>
      <c r="AFY212" s="302"/>
      <c r="AFZ212" s="302"/>
      <c r="AGA212" s="302"/>
      <c r="AGB212" s="302"/>
      <c r="AGC212" s="302"/>
      <c r="AGD212" s="302"/>
      <c r="AGE212" s="302"/>
      <c r="AGF212" s="302"/>
      <c r="AGG212" s="302"/>
      <c r="AGH212" s="302"/>
      <c r="AGI212" s="302"/>
      <c r="AGJ212" s="302"/>
      <c r="AGK212" s="302"/>
      <c r="AGL212" s="302"/>
      <c r="AGM212" s="302"/>
      <c r="AGN212" s="302"/>
      <c r="AGO212" s="302"/>
      <c r="AGP212" s="302"/>
      <c r="AGQ212" s="302"/>
      <c r="AGR212" s="302"/>
      <c r="AGS212" s="302"/>
      <c r="AGT212" s="302"/>
      <c r="AGU212" s="302"/>
      <c r="AGV212" s="302"/>
      <c r="AGW212" s="302"/>
      <c r="AGX212" s="302"/>
      <c r="AGY212" s="302"/>
      <c r="AGZ212" s="302"/>
      <c r="AHA212" s="302"/>
      <c r="AHB212" s="302"/>
      <c r="AHC212" s="302"/>
      <c r="AHD212" s="302"/>
      <c r="AHE212" s="302"/>
      <c r="AHF212" s="302"/>
      <c r="AHG212" s="302"/>
      <c r="AHH212" s="302"/>
      <c r="AHI212" s="302"/>
      <c r="AHJ212" s="302"/>
      <c r="AHK212" s="302"/>
      <c r="AHL212" s="302"/>
      <c r="AHM212" s="302"/>
      <c r="AHN212" s="302"/>
      <c r="AHO212" s="302"/>
      <c r="AHP212" s="302"/>
      <c r="AHQ212" s="302"/>
      <c r="AHR212" s="302"/>
      <c r="AHS212" s="302"/>
      <c r="AHT212" s="302"/>
      <c r="AHU212" s="302"/>
      <c r="AHV212" s="302"/>
      <c r="AHW212" s="302"/>
      <c r="AHX212" s="302"/>
      <c r="AHY212" s="302"/>
      <c r="AHZ212" s="302"/>
      <c r="AIA212" s="302"/>
      <c r="AIB212" s="302"/>
      <c r="AIC212" s="302"/>
      <c r="AID212" s="302"/>
      <c r="AIE212" s="302"/>
      <c r="AIF212" s="302"/>
      <c r="AIG212" s="302"/>
      <c r="AIH212" s="302"/>
      <c r="AII212" s="302"/>
      <c r="AIJ212" s="302"/>
      <c r="AIK212" s="302"/>
      <c r="AIL212" s="302"/>
      <c r="AIM212" s="302"/>
      <c r="AIN212" s="302"/>
      <c r="AIO212" s="302"/>
      <c r="AIP212" s="302"/>
      <c r="AIQ212" s="302"/>
      <c r="AIR212" s="302"/>
      <c r="AIS212" s="302"/>
      <c r="AIT212" s="302"/>
      <c r="AIU212" s="302"/>
      <c r="AIV212" s="302"/>
      <c r="AIW212" s="302"/>
      <c r="AIX212" s="302"/>
      <c r="AIY212" s="302"/>
      <c r="AIZ212" s="302"/>
      <c r="AJA212" s="302"/>
      <c r="AJB212" s="302"/>
      <c r="AJC212" s="302"/>
      <c r="AJD212" s="302"/>
      <c r="AJE212" s="302"/>
      <c r="AJF212" s="302"/>
      <c r="AJG212" s="302"/>
      <c r="AJH212" s="302"/>
      <c r="AJI212" s="302"/>
      <c r="AJJ212" s="302"/>
      <c r="AJK212" s="302"/>
      <c r="AJL212" s="302"/>
      <c r="AJM212" s="302"/>
      <c r="AJN212" s="302"/>
      <c r="AJO212" s="302"/>
      <c r="AJP212" s="302"/>
      <c r="AJQ212" s="302"/>
      <c r="AJR212" s="302"/>
      <c r="AJS212" s="302"/>
      <c r="AJT212" s="302"/>
      <c r="AJU212" s="302"/>
      <c r="AJV212" s="302"/>
      <c r="AJW212" s="302"/>
      <c r="AJX212" s="302"/>
      <c r="AJY212" s="302"/>
      <c r="AJZ212" s="302"/>
      <c r="AKA212" s="302"/>
      <c r="AKB212" s="302"/>
      <c r="AKC212" s="302"/>
      <c r="AKD212" s="302"/>
      <c r="AKE212" s="302"/>
      <c r="AKF212" s="302"/>
      <c r="AKG212" s="302"/>
      <c r="AKH212" s="302"/>
      <c r="AKI212" s="302"/>
      <c r="AKJ212" s="302"/>
      <c r="AKK212" s="302"/>
      <c r="AKL212" s="302"/>
      <c r="AKM212" s="302"/>
      <c r="AKN212" s="302"/>
      <c r="AKO212" s="302"/>
      <c r="AKP212" s="302"/>
      <c r="AKQ212" s="302"/>
      <c r="AKR212" s="302"/>
      <c r="AKS212" s="302"/>
      <c r="AKT212" s="302"/>
      <c r="AKU212" s="302"/>
      <c r="AKV212" s="302"/>
      <c r="AKW212" s="302"/>
      <c r="AKX212" s="302"/>
      <c r="AKY212" s="302"/>
      <c r="AKZ212" s="302"/>
      <c r="ALA212" s="302"/>
      <c r="ALB212" s="302"/>
      <c r="ALC212" s="302"/>
      <c r="ALD212" s="302"/>
      <c r="ALE212" s="302"/>
      <c r="ALF212" s="302"/>
      <c r="ALG212" s="302"/>
      <c r="ALH212" s="302"/>
      <c r="ALI212" s="302"/>
      <c r="ALJ212" s="302"/>
      <c r="ALK212" s="302"/>
      <c r="ALL212" s="302"/>
      <c r="ALM212" s="302"/>
      <c r="ALN212" s="302"/>
      <c r="ALO212" s="302"/>
      <c r="ALP212" s="302"/>
      <c r="ALQ212" s="302"/>
      <c r="ALR212" s="302"/>
      <c r="ALS212" s="302"/>
      <c r="ALT212" s="302"/>
      <c r="ALU212" s="302"/>
      <c r="ALV212" s="302"/>
      <c r="ALW212" s="302"/>
      <c r="ALX212" s="302"/>
      <c r="ALY212" s="302"/>
      <c r="ALZ212" s="302"/>
      <c r="AMA212" s="302"/>
      <c r="AMB212" s="302"/>
      <c r="AMC212" s="302"/>
      <c r="AMD212" s="302"/>
      <c r="AME212" s="302"/>
      <c r="AMF212" s="302"/>
      <c r="AMG212" s="302"/>
      <c r="AMH212" s="302"/>
      <c r="AMI212" s="302"/>
    </row>
    <row r="213" spans="1:1023" hidden="1">
      <c r="A213" s="302"/>
      <c r="B213" s="442">
        <v>14058</v>
      </c>
      <c r="C213" s="430">
        <v>0.08</v>
      </c>
      <c r="D213" s="370" t="s">
        <v>148</v>
      </c>
      <c r="E213" s="433">
        <v>2300000</v>
      </c>
      <c r="F213" s="500">
        <v>0.04</v>
      </c>
      <c r="G213" s="364">
        <f t="shared" si="11"/>
        <v>92000</v>
      </c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2"/>
      <c r="AE213" s="302"/>
      <c r="AF213" s="302"/>
      <c r="AG213" s="302"/>
      <c r="AH213" s="302"/>
      <c r="AI213" s="302"/>
      <c r="AJ213" s="302"/>
      <c r="AK213" s="302"/>
      <c r="AL213" s="302"/>
      <c r="AM213" s="302"/>
      <c r="AN213" s="302"/>
      <c r="AO213" s="302"/>
      <c r="AP213" s="302"/>
      <c r="AQ213" s="302"/>
      <c r="AR213" s="302"/>
      <c r="AS213" s="302"/>
      <c r="AT213" s="302"/>
      <c r="AU213" s="302"/>
      <c r="AV213" s="302"/>
      <c r="AW213" s="302"/>
      <c r="AX213" s="302"/>
      <c r="AY213" s="302"/>
      <c r="AZ213" s="302"/>
      <c r="BA213" s="302"/>
      <c r="BB213" s="302"/>
      <c r="BC213" s="302"/>
      <c r="BD213" s="302"/>
      <c r="BE213" s="302"/>
      <c r="BF213" s="302"/>
      <c r="BG213" s="302"/>
      <c r="BH213" s="302"/>
      <c r="BI213" s="302"/>
      <c r="BJ213" s="302"/>
      <c r="BK213" s="302"/>
      <c r="BL213" s="302"/>
      <c r="BM213" s="302"/>
      <c r="BN213" s="302"/>
      <c r="BO213" s="302"/>
      <c r="BP213" s="302"/>
      <c r="BQ213" s="302"/>
      <c r="BR213" s="302"/>
      <c r="BS213" s="302"/>
      <c r="BT213" s="302"/>
      <c r="BU213" s="302"/>
      <c r="BV213" s="302"/>
      <c r="BW213" s="302"/>
      <c r="BX213" s="302"/>
      <c r="BY213" s="302"/>
      <c r="BZ213" s="302"/>
      <c r="CA213" s="302"/>
      <c r="CB213" s="302"/>
      <c r="CC213" s="302"/>
      <c r="CD213" s="302"/>
      <c r="CE213" s="302"/>
      <c r="CF213" s="302"/>
      <c r="CG213" s="302"/>
      <c r="CH213" s="302"/>
      <c r="CI213" s="302"/>
      <c r="CJ213" s="302"/>
      <c r="CK213" s="302"/>
      <c r="CL213" s="302"/>
      <c r="CM213" s="302"/>
      <c r="CN213" s="302"/>
      <c r="CO213" s="302"/>
      <c r="CP213" s="302"/>
      <c r="CQ213" s="302"/>
      <c r="CR213" s="302"/>
      <c r="CS213" s="302"/>
      <c r="CT213" s="302"/>
      <c r="CU213" s="302"/>
      <c r="CV213" s="302"/>
      <c r="CW213" s="302"/>
      <c r="CX213" s="302"/>
      <c r="CY213" s="302"/>
      <c r="CZ213" s="302"/>
      <c r="DA213" s="302"/>
      <c r="DB213" s="302"/>
      <c r="DC213" s="302"/>
      <c r="DD213" s="302"/>
      <c r="DE213" s="302"/>
      <c r="DF213" s="302"/>
      <c r="DG213" s="302"/>
      <c r="DH213" s="302"/>
      <c r="DI213" s="302"/>
      <c r="DJ213" s="302"/>
      <c r="DK213" s="302"/>
      <c r="DL213" s="302"/>
      <c r="DM213" s="302"/>
      <c r="DN213" s="302"/>
      <c r="DO213" s="302"/>
      <c r="DP213" s="302"/>
      <c r="DQ213" s="302"/>
      <c r="DR213" s="302"/>
      <c r="DS213" s="302"/>
      <c r="DT213" s="302"/>
      <c r="DU213" s="302"/>
      <c r="DV213" s="302"/>
      <c r="DW213" s="302"/>
      <c r="DX213" s="302"/>
      <c r="DY213" s="302"/>
      <c r="DZ213" s="302"/>
      <c r="EA213" s="302"/>
      <c r="EB213" s="302"/>
      <c r="EC213" s="302"/>
      <c r="ED213" s="302"/>
      <c r="EE213" s="302"/>
      <c r="EF213" s="302"/>
      <c r="EG213" s="302"/>
      <c r="EH213" s="302"/>
      <c r="EI213" s="302"/>
      <c r="EJ213" s="302"/>
      <c r="EK213" s="302"/>
      <c r="EL213" s="302"/>
      <c r="EM213" s="302"/>
      <c r="EN213" s="302"/>
      <c r="EO213" s="302"/>
      <c r="EP213" s="302"/>
      <c r="EQ213" s="302"/>
      <c r="ER213" s="302"/>
      <c r="ES213" s="302"/>
      <c r="ET213" s="302"/>
      <c r="EU213" s="302"/>
      <c r="EV213" s="302"/>
      <c r="EW213" s="302"/>
      <c r="EX213" s="302"/>
      <c r="EY213" s="302"/>
      <c r="EZ213" s="302"/>
      <c r="FA213" s="302"/>
      <c r="FB213" s="302"/>
      <c r="FC213" s="302"/>
      <c r="FD213" s="302"/>
      <c r="FE213" s="302"/>
      <c r="FF213" s="302"/>
      <c r="FG213" s="302"/>
      <c r="FH213" s="302"/>
      <c r="FI213" s="302"/>
      <c r="FJ213" s="302"/>
      <c r="FK213" s="302"/>
      <c r="FL213" s="302"/>
      <c r="FM213" s="302"/>
      <c r="FN213" s="302"/>
      <c r="FO213" s="302"/>
      <c r="FP213" s="302"/>
      <c r="FQ213" s="302"/>
      <c r="FR213" s="302"/>
      <c r="FS213" s="302"/>
      <c r="FT213" s="302"/>
      <c r="FU213" s="302"/>
      <c r="FV213" s="302"/>
      <c r="FW213" s="302"/>
      <c r="FX213" s="302"/>
      <c r="FY213" s="302"/>
      <c r="FZ213" s="302"/>
      <c r="GA213" s="302"/>
      <c r="GB213" s="302"/>
      <c r="GC213" s="302"/>
      <c r="GD213" s="302"/>
      <c r="GE213" s="302"/>
      <c r="GF213" s="302"/>
      <c r="GG213" s="302"/>
      <c r="GH213" s="302"/>
      <c r="GI213" s="302"/>
      <c r="GJ213" s="302"/>
      <c r="GK213" s="302"/>
      <c r="GL213" s="302"/>
      <c r="GM213" s="302"/>
      <c r="GN213" s="302"/>
      <c r="GO213" s="302"/>
      <c r="GP213" s="302"/>
      <c r="GQ213" s="302"/>
      <c r="GR213" s="302"/>
      <c r="GS213" s="302"/>
      <c r="GT213" s="302"/>
      <c r="GU213" s="302"/>
      <c r="GV213" s="302"/>
      <c r="GW213" s="302"/>
      <c r="GX213" s="302"/>
      <c r="GY213" s="302"/>
      <c r="GZ213" s="302"/>
      <c r="HA213" s="302"/>
      <c r="HB213" s="302"/>
      <c r="HC213" s="302"/>
      <c r="HD213" s="302"/>
      <c r="HE213" s="302"/>
      <c r="HF213" s="302"/>
      <c r="HG213" s="302"/>
      <c r="HH213" s="302"/>
      <c r="HI213" s="302"/>
      <c r="HJ213" s="302"/>
      <c r="HK213" s="302"/>
      <c r="HL213" s="302"/>
      <c r="HM213" s="302"/>
      <c r="HN213" s="302"/>
      <c r="HO213" s="302"/>
      <c r="HP213" s="302"/>
      <c r="HQ213" s="302"/>
      <c r="HR213" s="302"/>
      <c r="HS213" s="302"/>
      <c r="HT213" s="302"/>
      <c r="HU213" s="302"/>
      <c r="HV213" s="302"/>
      <c r="HW213" s="302"/>
      <c r="HX213" s="302"/>
      <c r="HY213" s="302"/>
      <c r="HZ213" s="302"/>
      <c r="IA213" s="302"/>
      <c r="IB213" s="302"/>
      <c r="IC213" s="302"/>
      <c r="ID213" s="302"/>
      <c r="IE213" s="302"/>
      <c r="IF213" s="302"/>
      <c r="IG213" s="302"/>
      <c r="IH213" s="302"/>
      <c r="II213" s="302"/>
      <c r="IJ213" s="302"/>
      <c r="IK213" s="302"/>
      <c r="IL213" s="302"/>
      <c r="IM213" s="302"/>
      <c r="IN213" s="302"/>
      <c r="IO213" s="302"/>
      <c r="IP213" s="302"/>
      <c r="IQ213" s="302"/>
      <c r="IR213" s="302"/>
      <c r="IS213" s="302"/>
      <c r="IT213" s="302"/>
      <c r="IU213" s="302"/>
      <c r="IV213" s="302"/>
      <c r="IW213" s="302"/>
      <c r="IX213" s="302"/>
      <c r="IY213" s="302"/>
      <c r="IZ213" s="302"/>
      <c r="JA213" s="302"/>
      <c r="JB213" s="302"/>
      <c r="JC213" s="302"/>
      <c r="JD213" s="302"/>
      <c r="JE213" s="302"/>
      <c r="JF213" s="302"/>
      <c r="JG213" s="302"/>
      <c r="JH213" s="302"/>
      <c r="JI213" s="302"/>
      <c r="JJ213" s="302"/>
      <c r="JK213" s="302"/>
      <c r="JL213" s="302"/>
      <c r="JM213" s="302"/>
      <c r="JN213" s="302"/>
      <c r="JO213" s="302"/>
      <c r="JP213" s="302"/>
      <c r="JQ213" s="302"/>
      <c r="JR213" s="302"/>
      <c r="JS213" s="302"/>
      <c r="JT213" s="302"/>
      <c r="JU213" s="302"/>
      <c r="JV213" s="302"/>
      <c r="JW213" s="302"/>
      <c r="JX213" s="302"/>
      <c r="JY213" s="302"/>
      <c r="JZ213" s="302"/>
      <c r="KA213" s="302"/>
      <c r="KB213" s="302"/>
      <c r="KC213" s="302"/>
      <c r="KD213" s="302"/>
      <c r="KE213" s="302"/>
      <c r="KF213" s="302"/>
      <c r="KG213" s="302"/>
      <c r="KH213" s="302"/>
      <c r="KI213" s="302"/>
      <c r="KJ213" s="302"/>
      <c r="KK213" s="302"/>
      <c r="KL213" s="302"/>
      <c r="KM213" s="302"/>
      <c r="KN213" s="302"/>
      <c r="KO213" s="302"/>
      <c r="KP213" s="302"/>
      <c r="KQ213" s="302"/>
      <c r="KR213" s="302"/>
      <c r="KS213" s="302"/>
      <c r="KT213" s="302"/>
      <c r="KU213" s="302"/>
      <c r="KV213" s="302"/>
      <c r="KW213" s="302"/>
      <c r="KX213" s="302"/>
      <c r="KY213" s="302"/>
      <c r="KZ213" s="302"/>
      <c r="LA213" s="302"/>
      <c r="LB213" s="302"/>
      <c r="LC213" s="302"/>
      <c r="LD213" s="302"/>
      <c r="LE213" s="302"/>
      <c r="LF213" s="302"/>
      <c r="LG213" s="302"/>
      <c r="LH213" s="302"/>
      <c r="LI213" s="302"/>
      <c r="LJ213" s="302"/>
      <c r="LK213" s="302"/>
      <c r="LL213" s="302"/>
      <c r="LM213" s="302"/>
      <c r="LN213" s="302"/>
      <c r="LO213" s="302"/>
      <c r="LP213" s="302"/>
      <c r="LQ213" s="302"/>
      <c r="LR213" s="302"/>
      <c r="LS213" s="302"/>
      <c r="LT213" s="302"/>
      <c r="LU213" s="302"/>
      <c r="LV213" s="302"/>
      <c r="LW213" s="302"/>
      <c r="LX213" s="302"/>
      <c r="LY213" s="302"/>
      <c r="LZ213" s="302"/>
      <c r="MA213" s="302"/>
      <c r="MB213" s="302"/>
      <c r="MC213" s="302"/>
      <c r="MD213" s="302"/>
      <c r="ME213" s="302"/>
      <c r="MF213" s="302"/>
      <c r="MG213" s="302"/>
      <c r="MH213" s="302"/>
      <c r="MI213" s="302"/>
      <c r="MJ213" s="302"/>
      <c r="MK213" s="302"/>
      <c r="ML213" s="302"/>
      <c r="MM213" s="302"/>
      <c r="MN213" s="302"/>
      <c r="MO213" s="302"/>
      <c r="MP213" s="302"/>
      <c r="MQ213" s="302"/>
      <c r="MR213" s="302"/>
      <c r="MS213" s="302"/>
      <c r="MT213" s="302"/>
      <c r="MU213" s="302"/>
      <c r="MV213" s="302"/>
      <c r="MW213" s="302"/>
      <c r="MX213" s="302"/>
      <c r="MY213" s="302"/>
      <c r="MZ213" s="302"/>
      <c r="NA213" s="302"/>
      <c r="NB213" s="302"/>
      <c r="NC213" s="302"/>
      <c r="ND213" s="302"/>
      <c r="NE213" s="302"/>
      <c r="NF213" s="302"/>
      <c r="NG213" s="302"/>
      <c r="NH213" s="302"/>
      <c r="NI213" s="302"/>
      <c r="NJ213" s="302"/>
      <c r="NK213" s="302"/>
      <c r="NL213" s="302"/>
      <c r="NM213" s="302"/>
      <c r="NN213" s="302"/>
      <c r="NO213" s="302"/>
      <c r="NP213" s="302"/>
      <c r="NQ213" s="302"/>
      <c r="NR213" s="302"/>
      <c r="NS213" s="302"/>
      <c r="NT213" s="302"/>
      <c r="NU213" s="302"/>
      <c r="NV213" s="302"/>
      <c r="NW213" s="302"/>
      <c r="NX213" s="302"/>
      <c r="NY213" s="302"/>
      <c r="NZ213" s="302"/>
      <c r="OA213" s="302"/>
      <c r="OB213" s="302"/>
      <c r="OC213" s="302"/>
      <c r="OD213" s="302"/>
      <c r="OE213" s="302"/>
      <c r="OF213" s="302"/>
      <c r="OG213" s="302"/>
      <c r="OH213" s="302"/>
      <c r="OI213" s="302"/>
      <c r="OJ213" s="302"/>
      <c r="OK213" s="302"/>
      <c r="OL213" s="302"/>
      <c r="OM213" s="302"/>
      <c r="ON213" s="302"/>
      <c r="OO213" s="302"/>
      <c r="OP213" s="302"/>
      <c r="OQ213" s="302"/>
      <c r="OR213" s="302"/>
      <c r="OS213" s="302"/>
      <c r="OT213" s="302"/>
      <c r="OU213" s="302"/>
      <c r="OV213" s="302"/>
      <c r="OW213" s="302"/>
      <c r="OX213" s="302"/>
      <c r="OY213" s="302"/>
      <c r="OZ213" s="302"/>
      <c r="PA213" s="302"/>
      <c r="PB213" s="302"/>
      <c r="PC213" s="302"/>
      <c r="PD213" s="302"/>
      <c r="PE213" s="302"/>
      <c r="PF213" s="302"/>
      <c r="PG213" s="302"/>
      <c r="PH213" s="302"/>
      <c r="PI213" s="302"/>
      <c r="PJ213" s="302"/>
      <c r="PK213" s="302"/>
      <c r="PL213" s="302"/>
      <c r="PM213" s="302"/>
      <c r="PN213" s="302"/>
      <c r="PO213" s="302"/>
      <c r="PP213" s="302"/>
      <c r="PQ213" s="302"/>
      <c r="PR213" s="302"/>
      <c r="PS213" s="302"/>
      <c r="PT213" s="302"/>
      <c r="PU213" s="302"/>
      <c r="PV213" s="302"/>
      <c r="PW213" s="302"/>
      <c r="PX213" s="302"/>
      <c r="PY213" s="302"/>
      <c r="PZ213" s="302"/>
      <c r="QA213" s="302"/>
      <c r="QB213" s="302"/>
      <c r="QC213" s="302"/>
      <c r="QD213" s="302"/>
      <c r="QE213" s="302"/>
      <c r="QF213" s="302"/>
      <c r="QG213" s="302"/>
      <c r="QH213" s="302"/>
      <c r="QI213" s="302"/>
      <c r="QJ213" s="302"/>
      <c r="QK213" s="302"/>
      <c r="QL213" s="302"/>
      <c r="QM213" s="302"/>
      <c r="QN213" s="302"/>
      <c r="QO213" s="302"/>
      <c r="QP213" s="302"/>
      <c r="QQ213" s="302"/>
      <c r="QR213" s="302"/>
      <c r="QS213" s="302"/>
      <c r="QT213" s="302"/>
      <c r="QU213" s="302"/>
      <c r="QV213" s="302"/>
      <c r="QW213" s="302"/>
      <c r="QX213" s="302"/>
      <c r="QY213" s="302"/>
      <c r="QZ213" s="302"/>
      <c r="RA213" s="302"/>
      <c r="RB213" s="302"/>
      <c r="RC213" s="302"/>
      <c r="RD213" s="302"/>
      <c r="RE213" s="302"/>
      <c r="RF213" s="302"/>
      <c r="RG213" s="302"/>
      <c r="RH213" s="302"/>
      <c r="RI213" s="302"/>
      <c r="RJ213" s="302"/>
      <c r="RK213" s="302"/>
      <c r="RL213" s="302"/>
      <c r="RM213" s="302"/>
      <c r="RN213" s="302"/>
      <c r="RO213" s="302"/>
      <c r="RP213" s="302"/>
      <c r="RQ213" s="302"/>
      <c r="RR213" s="302"/>
      <c r="RS213" s="302"/>
      <c r="RT213" s="302"/>
      <c r="RU213" s="302"/>
      <c r="RV213" s="302"/>
      <c r="RW213" s="302"/>
      <c r="RX213" s="302"/>
      <c r="RY213" s="302"/>
      <c r="RZ213" s="302"/>
      <c r="SA213" s="302"/>
      <c r="SB213" s="302"/>
      <c r="SC213" s="302"/>
      <c r="SD213" s="302"/>
      <c r="SE213" s="302"/>
      <c r="SF213" s="302"/>
      <c r="SG213" s="302"/>
      <c r="SH213" s="302"/>
      <c r="SI213" s="302"/>
      <c r="SJ213" s="302"/>
      <c r="SK213" s="302"/>
      <c r="SL213" s="302"/>
      <c r="SM213" s="302"/>
      <c r="SN213" s="302"/>
      <c r="SO213" s="302"/>
      <c r="SP213" s="302"/>
      <c r="SQ213" s="302"/>
      <c r="SR213" s="302"/>
      <c r="SS213" s="302"/>
      <c r="ST213" s="302"/>
      <c r="SU213" s="302"/>
      <c r="SV213" s="302"/>
      <c r="SW213" s="302"/>
      <c r="SX213" s="302"/>
      <c r="SY213" s="302"/>
      <c r="SZ213" s="302"/>
      <c r="TA213" s="302"/>
      <c r="TB213" s="302"/>
      <c r="TC213" s="302"/>
      <c r="TD213" s="302"/>
      <c r="TE213" s="302"/>
      <c r="TF213" s="302"/>
      <c r="TG213" s="302"/>
      <c r="TH213" s="302"/>
      <c r="TI213" s="302"/>
      <c r="TJ213" s="302"/>
      <c r="TK213" s="302"/>
      <c r="TL213" s="302"/>
      <c r="TM213" s="302"/>
      <c r="TN213" s="302"/>
      <c r="TO213" s="302"/>
      <c r="TP213" s="302"/>
      <c r="TQ213" s="302"/>
      <c r="TR213" s="302"/>
      <c r="TS213" s="302"/>
      <c r="TT213" s="302"/>
      <c r="TU213" s="302"/>
      <c r="TV213" s="302"/>
      <c r="TW213" s="302"/>
      <c r="TX213" s="302"/>
      <c r="TY213" s="302"/>
      <c r="TZ213" s="302"/>
      <c r="UA213" s="302"/>
      <c r="UB213" s="302"/>
      <c r="UC213" s="302"/>
      <c r="UD213" s="302"/>
      <c r="UE213" s="302"/>
      <c r="UF213" s="302"/>
      <c r="UG213" s="302"/>
      <c r="UH213" s="302"/>
      <c r="UI213" s="302"/>
      <c r="UJ213" s="302"/>
      <c r="UK213" s="302"/>
      <c r="UL213" s="302"/>
      <c r="UM213" s="302"/>
      <c r="UN213" s="302"/>
      <c r="UO213" s="302"/>
      <c r="UP213" s="302"/>
      <c r="UQ213" s="302"/>
      <c r="UR213" s="302"/>
      <c r="US213" s="302"/>
      <c r="UT213" s="302"/>
      <c r="UU213" s="302"/>
      <c r="UV213" s="302"/>
      <c r="UW213" s="302"/>
      <c r="UX213" s="302"/>
      <c r="UY213" s="302"/>
      <c r="UZ213" s="302"/>
      <c r="VA213" s="302"/>
      <c r="VB213" s="302"/>
      <c r="VC213" s="302"/>
      <c r="VD213" s="302"/>
      <c r="VE213" s="302"/>
      <c r="VF213" s="302"/>
      <c r="VG213" s="302"/>
      <c r="VH213" s="302"/>
      <c r="VI213" s="302"/>
      <c r="VJ213" s="302"/>
      <c r="VK213" s="302"/>
      <c r="VL213" s="302"/>
      <c r="VM213" s="302"/>
      <c r="VN213" s="302"/>
      <c r="VO213" s="302"/>
      <c r="VP213" s="302"/>
      <c r="VQ213" s="302"/>
      <c r="VR213" s="302"/>
      <c r="VS213" s="302"/>
      <c r="VT213" s="302"/>
      <c r="VU213" s="302"/>
      <c r="VV213" s="302"/>
      <c r="VW213" s="302"/>
      <c r="VX213" s="302"/>
      <c r="VY213" s="302"/>
      <c r="VZ213" s="302"/>
      <c r="WA213" s="302"/>
      <c r="WB213" s="302"/>
      <c r="WC213" s="302"/>
      <c r="WD213" s="302"/>
      <c r="WE213" s="302"/>
      <c r="WF213" s="302"/>
      <c r="WG213" s="302"/>
      <c r="WH213" s="302"/>
      <c r="WI213" s="302"/>
      <c r="WJ213" s="302"/>
      <c r="WK213" s="302"/>
      <c r="WL213" s="302"/>
      <c r="WM213" s="302"/>
      <c r="WN213" s="302"/>
      <c r="WO213" s="302"/>
      <c r="WP213" s="302"/>
      <c r="WQ213" s="302"/>
      <c r="WR213" s="302"/>
      <c r="WS213" s="302"/>
      <c r="WT213" s="302"/>
      <c r="WU213" s="302"/>
      <c r="WV213" s="302"/>
      <c r="WW213" s="302"/>
      <c r="WX213" s="302"/>
      <c r="WY213" s="302"/>
      <c r="WZ213" s="302"/>
      <c r="XA213" s="302"/>
      <c r="XB213" s="302"/>
      <c r="XC213" s="302"/>
      <c r="XD213" s="302"/>
      <c r="XE213" s="302"/>
      <c r="XF213" s="302"/>
      <c r="XG213" s="302"/>
      <c r="XH213" s="302"/>
      <c r="XI213" s="302"/>
      <c r="XJ213" s="302"/>
      <c r="XK213" s="302"/>
      <c r="XL213" s="302"/>
      <c r="XM213" s="302"/>
      <c r="XN213" s="302"/>
      <c r="XO213" s="302"/>
      <c r="XP213" s="302"/>
      <c r="XQ213" s="302"/>
      <c r="XR213" s="302"/>
      <c r="XS213" s="302"/>
      <c r="XT213" s="302"/>
      <c r="XU213" s="302"/>
      <c r="XV213" s="302"/>
      <c r="XW213" s="302"/>
      <c r="XX213" s="302"/>
      <c r="XY213" s="302"/>
      <c r="XZ213" s="302"/>
      <c r="YA213" s="302"/>
      <c r="YB213" s="302"/>
      <c r="YC213" s="302"/>
      <c r="YD213" s="302"/>
      <c r="YE213" s="302"/>
      <c r="YF213" s="302"/>
      <c r="YG213" s="302"/>
      <c r="YH213" s="302"/>
      <c r="YI213" s="302"/>
      <c r="YJ213" s="302"/>
      <c r="YK213" s="302"/>
      <c r="YL213" s="302"/>
      <c r="YM213" s="302"/>
      <c r="YN213" s="302"/>
      <c r="YO213" s="302"/>
      <c r="YP213" s="302"/>
      <c r="YQ213" s="302"/>
      <c r="YR213" s="302"/>
      <c r="YS213" s="302"/>
      <c r="YT213" s="302"/>
      <c r="YU213" s="302"/>
      <c r="YV213" s="302"/>
      <c r="YW213" s="302"/>
      <c r="YX213" s="302"/>
      <c r="YY213" s="302"/>
      <c r="YZ213" s="302"/>
      <c r="ZA213" s="302"/>
      <c r="ZB213" s="302"/>
      <c r="ZC213" s="302"/>
      <c r="ZD213" s="302"/>
      <c r="ZE213" s="302"/>
      <c r="ZF213" s="302"/>
      <c r="ZG213" s="302"/>
      <c r="ZH213" s="302"/>
      <c r="ZI213" s="302"/>
      <c r="ZJ213" s="302"/>
      <c r="ZK213" s="302"/>
      <c r="ZL213" s="302"/>
      <c r="ZM213" s="302"/>
      <c r="ZN213" s="302"/>
      <c r="ZO213" s="302"/>
      <c r="ZP213" s="302"/>
      <c r="ZQ213" s="302"/>
      <c r="ZR213" s="302"/>
      <c r="ZS213" s="302"/>
      <c r="ZT213" s="302"/>
      <c r="ZU213" s="302"/>
      <c r="ZV213" s="302"/>
      <c r="ZW213" s="302"/>
      <c r="ZX213" s="302"/>
      <c r="ZY213" s="302"/>
      <c r="ZZ213" s="302"/>
      <c r="AAA213" s="302"/>
      <c r="AAB213" s="302"/>
      <c r="AAC213" s="302"/>
      <c r="AAD213" s="302"/>
      <c r="AAE213" s="302"/>
      <c r="AAF213" s="302"/>
      <c r="AAG213" s="302"/>
      <c r="AAH213" s="302"/>
      <c r="AAI213" s="302"/>
      <c r="AAJ213" s="302"/>
      <c r="AAK213" s="302"/>
      <c r="AAL213" s="302"/>
      <c r="AAM213" s="302"/>
      <c r="AAN213" s="302"/>
      <c r="AAO213" s="302"/>
      <c r="AAP213" s="302"/>
      <c r="AAQ213" s="302"/>
      <c r="AAR213" s="302"/>
      <c r="AAS213" s="302"/>
      <c r="AAT213" s="302"/>
      <c r="AAU213" s="302"/>
      <c r="AAV213" s="302"/>
      <c r="AAW213" s="302"/>
      <c r="AAX213" s="302"/>
      <c r="AAY213" s="302"/>
      <c r="AAZ213" s="302"/>
      <c r="ABA213" s="302"/>
      <c r="ABB213" s="302"/>
      <c r="ABC213" s="302"/>
      <c r="ABD213" s="302"/>
      <c r="ABE213" s="302"/>
      <c r="ABF213" s="302"/>
      <c r="ABG213" s="302"/>
      <c r="ABH213" s="302"/>
      <c r="ABI213" s="302"/>
      <c r="ABJ213" s="302"/>
      <c r="ABK213" s="302"/>
      <c r="ABL213" s="302"/>
      <c r="ABM213" s="302"/>
      <c r="ABN213" s="302"/>
      <c r="ABO213" s="302"/>
      <c r="ABP213" s="302"/>
      <c r="ABQ213" s="302"/>
      <c r="ABR213" s="302"/>
      <c r="ABS213" s="302"/>
      <c r="ABT213" s="302"/>
      <c r="ABU213" s="302"/>
      <c r="ABV213" s="302"/>
      <c r="ABW213" s="302"/>
      <c r="ABX213" s="302"/>
      <c r="ABY213" s="302"/>
      <c r="ABZ213" s="302"/>
      <c r="ACA213" s="302"/>
      <c r="ACB213" s="302"/>
      <c r="ACC213" s="302"/>
      <c r="ACD213" s="302"/>
      <c r="ACE213" s="302"/>
      <c r="ACF213" s="302"/>
      <c r="ACG213" s="302"/>
      <c r="ACH213" s="302"/>
      <c r="ACI213" s="302"/>
      <c r="ACJ213" s="302"/>
      <c r="ACK213" s="302"/>
      <c r="ACL213" s="302"/>
      <c r="ACM213" s="302"/>
      <c r="ACN213" s="302"/>
      <c r="ACO213" s="302"/>
      <c r="ACP213" s="302"/>
      <c r="ACQ213" s="302"/>
      <c r="ACR213" s="302"/>
      <c r="ACS213" s="302"/>
      <c r="ACT213" s="302"/>
      <c r="ACU213" s="302"/>
      <c r="ACV213" s="302"/>
      <c r="ACW213" s="302"/>
      <c r="ACX213" s="302"/>
      <c r="ACY213" s="302"/>
      <c r="ACZ213" s="302"/>
      <c r="ADA213" s="302"/>
      <c r="ADB213" s="302"/>
      <c r="ADC213" s="302"/>
      <c r="ADD213" s="302"/>
      <c r="ADE213" s="302"/>
      <c r="ADF213" s="302"/>
      <c r="ADG213" s="302"/>
      <c r="ADH213" s="302"/>
      <c r="ADI213" s="302"/>
      <c r="ADJ213" s="302"/>
      <c r="ADK213" s="302"/>
      <c r="ADL213" s="302"/>
      <c r="ADM213" s="302"/>
      <c r="ADN213" s="302"/>
      <c r="ADO213" s="302"/>
      <c r="ADP213" s="302"/>
      <c r="ADQ213" s="302"/>
      <c r="ADR213" s="302"/>
      <c r="ADS213" s="302"/>
      <c r="ADT213" s="302"/>
      <c r="ADU213" s="302"/>
      <c r="ADV213" s="302"/>
      <c r="ADW213" s="302"/>
      <c r="ADX213" s="302"/>
      <c r="ADY213" s="302"/>
      <c r="ADZ213" s="302"/>
      <c r="AEA213" s="302"/>
      <c r="AEB213" s="302"/>
      <c r="AEC213" s="302"/>
      <c r="AED213" s="302"/>
      <c r="AEE213" s="302"/>
      <c r="AEF213" s="302"/>
      <c r="AEG213" s="302"/>
      <c r="AEH213" s="302"/>
      <c r="AEI213" s="302"/>
      <c r="AEJ213" s="302"/>
      <c r="AEK213" s="302"/>
      <c r="AEL213" s="302"/>
      <c r="AEM213" s="302"/>
      <c r="AEN213" s="302"/>
      <c r="AEO213" s="302"/>
      <c r="AEP213" s="302"/>
      <c r="AEQ213" s="302"/>
      <c r="AER213" s="302"/>
      <c r="AES213" s="302"/>
      <c r="AET213" s="302"/>
      <c r="AEU213" s="302"/>
      <c r="AEV213" s="302"/>
      <c r="AEW213" s="302"/>
      <c r="AEX213" s="302"/>
      <c r="AEY213" s="302"/>
      <c r="AEZ213" s="302"/>
      <c r="AFA213" s="302"/>
      <c r="AFB213" s="302"/>
      <c r="AFC213" s="302"/>
      <c r="AFD213" s="302"/>
      <c r="AFE213" s="302"/>
      <c r="AFF213" s="302"/>
      <c r="AFG213" s="302"/>
      <c r="AFH213" s="302"/>
      <c r="AFI213" s="302"/>
      <c r="AFJ213" s="302"/>
      <c r="AFK213" s="302"/>
      <c r="AFL213" s="302"/>
      <c r="AFM213" s="302"/>
      <c r="AFN213" s="302"/>
      <c r="AFO213" s="302"/>
      <c r="AFP213" s="302"/>
      <c r="AFQ213" s="302"/>
      <c r="AFR213" s="302"/>
      <c r="AFS213" s="302"/>
      <c r="AFT213" s="302"/>
      <c r="AFU213" s="302"/>
      <c r="AFV213" s="302"/>
      <c r="AFW213" s="302"/>
      <c r="AFX213" s="302"/>
      <c r="AFY213" s="302"/>
      <c r="AFZ213" s="302"/>
      <c r="AGA213" s="302"/>
      <c r="AGB213" s="302"/>
      <c r="AGC213" s="302"/>
      <c r="AGD213" s="302"/>
      <c r="AGE213" s="302"/>
      <c r="AGF213" s="302"/>
      <c r="AGG213" s="302"/>
      <c r="AGH213" s="302"/>
      <c r="AGI213" s="302"/>
      <c r="AGJ213" s="302"/>
      <c r="AGK213" s="302"/>
      <c r="AGL213" s="302"/>
      <c r="AGM213" s="302"/>
      <c r="AGN213" s="302"/>
      <c r="AGO213" s="302"/>
      <c r="AGP213" s="302"/>
      <c r="AGQ213" s="302"/>
      <c r="AGR213" s="302"/>
      <c r="AGS213" s="302"/>
      <c r="AGT213" s="302"/>
      <c r="AGU213" s="302"/>
      <c r="AGV213" s="302"/>
      <c r="AGW213" s="302"/>
      <c r="AGX213" s="302"/>
      <c r="AGY213" s="302"/>
      <c r="AGZ213" s="302"/>
      <c r="AHA213" s="302"/>
      <c r="AHB213" s="302"/>
      <c r="AHC213" s="302"/>
      <c r="AHD213" s="302"/>
      <c r="AHE213" s="302"/>
      <c r="AHF213" s="302"/>
      <c r="AHG213" s="302"/>
      <c r="AHH213" s="302"/>
      <c r="AHI213" s="302"/>
      <c r="AHJ213" s="302"/>
      <c r="AHK213" s="302"/>
      <c r="AHL213" s="302"/>
      <c r="AHM213" s="302"/>
      <c r="AHN213" s="302"/>
      <c r="AHO213" s="302"/>
      <c r="AHP213" s="302"/>
      <c r="AHQ213" s="302"/>
      <c r="AHR213" s="302"/>
      <c r="AHS213" s="302"/>
      <c r="AHT213" s="302"/>
      <c r="AHU213" s="302"/>
      <c r="AHV213" s="302"/>
      <c r="AHW213" s="302"/>
      <c r="AHX213" s="302"/>
      <c r="AHY213" s="302"/>
      <c r="AHZ213" s="302"/>
      <c r="AIA213" s="302"/>
      <c r="AIB213" s="302"/>
      <c r="AIC213" s="302"/>
      <c r="AID213" s="302"/>
      <c r="AIE213" s="302"/>
      <c r="AIF213" s="302"/>
      <c r="AIG213" s="302"/>
      <c r="AIH213" s="302"/>
      <c r="AII213" s="302"/>
      <c r="AIJ213" s="302"/>
      <c r="AIK213" s="302"/>
      <c r="AIL213" s="302"/>
      <c r="AIM213" s="302"/>
      <c r="AIN213" s="302"/>
      <c r="AIO213" s="302"/>
      <c r="AIP213" s="302"/>
      <c r="AIQ213" s="302"/>
      <c r="AIR213" s="302"/>
      <c r="AIS213" s="302"/>
      <c r="AIT213" s="302"/>
      <c r="AIU213" s="302"/>
      <c r="AIV213" s="302"/>
      <c r="AIW213" s="302"/>
      <c r="AIX213" s="302"/>
      <c r="AIY213" s="302"/>
      <c r="AIZ213" s="302"/>
      <c r="AJA213" s="302"/>
      <c r="AJB213" s="302"/>
      <c r="AJC213" s="302"/>
      <c r="AJD213" s="302"/>
      <c r="AJE213" s="302"/>
      <c r="AJF213" s="302"/>
      <c r="AJG213" s="302"/>
      <c r="AJH213" s="302"/>
      <c r="AJI213" s="302"/>
      <c r="AJJ213" s="302"/>
      <c r="AJK213" s="302"/>
      <c r="AJL213" s="302"/>
      <c r="AJM213" s="302"/>
      <c r="AJN213" s="302"/>
      <c r="AJO213" s="302"/>
      <c r="AJP213" s="302"/>
      <c r="AJQ213" s="302"/>
      <c r="AJR213" s="302"/>
      <c r="AJS213" s="302"/>
      <c r="AJT213" s="302"/>
      <c r="AJU213" s="302"/>
      <c r="AJV213" s="302"/>
      <c r="AJW213" s="302"/>
      <c r="AJX213" s="302"/>
      <c r="AJY213" s="302"/>
      <c r="AJZ213" s="302"/>
      <c r="AKA213" s="302"/>
      <c r="AKB213" s="302"/>
      <c r="AKC213" s="302"/>
      <c r="AKD213" s="302"/>
      <c r="AKE213" s="302"/>
      <c r="AKF213" s="302"/>
      <c r="AKG213" s="302"/>
      <c r="AKH213" s="302"/>
      <c r="AKI213" s="302"/>
      <c r="AKJ213" s="302"/>
      <c r="AKK213" s="302"/>
      <c r="AKL213" s="302"/>
      <c r="AKM213" s="302"/>
      <c r="AKN213" s="302"/>
      <c r="AKO213" s="302"/>
      <c r="AKP213" s="302"/>
      <c r="AKQ213" s="302"/>
      <c r="AKR213" s="302"/>
      <c r="AKS213" s="302"/>
      <c r="AKT213" s="302"/>
      <c r="AKU213" s="302"/>
      <c r="AKV213" s="302"/>
      <c r="AKW213" s="302"/>
      <c r="AKX213" s="302"/>
      <c r="AKY213" s="302"/>
      <c r="AKZ213" s="302"/>
      <c r="ALA213" s="302"/>
      <c r="ALB213" s="302"/>
      <c r="ALC213" s="302"/>
      <c r="ALD213" s="302"/>
      <c r="ALE213" s="302"/>
      <c r="ALF213" s="302"/>
      <c r="ALG213" s="302"/>
      <c r="ALH213" s="302"/>
      <c r="ALI213" s="302"/>
      <c r="ALJ213" s="302"/>
      <c r="ALK213" s="302"/>
      <c r="ALL213" s="302"/>
      <c r="ALM213" s="302"/>
      <c r="ALN213" s="302"/>
      <c r="ALO213" s="302"/>
      <c r="ALP213" s="302"/>
      <c r="ALQ213" s="302"/>
      <c r="ALR213" s="302"/>
      <c r="ALS213" s="302"/>
      <c r="ALT213" s="302"/>
      <c r="ALU213" s="302"/>
      <c r="ALV213" s="302"/>
      <c r="ALW213" s="302"/>
      <c r="ALX213" s="302"/>
      <c r="ALY213" s="302"/>
      <c r="ALZ213" s="302"/>
      <c r="AMA213" s="302"/>
      <c r="AMB213" s="302"/>
      <c r="AMC213" s="302"/>
      <c r="AMD213" s="302"/>
      <c r="AME213" s="302"/>
      <c r="AMF213" s="302"/>
      <c r="AMG213" s="302"/>
      <c r="AMH213" s="302"/>
      <c r="AMI213" s="302"/>
    </row>
    <row r="214" spans="1:1023" hidden="1">
      <c r="A214" s="302"/>
      <c r="B214" s="442">
        <v>14111</v>
      </c>
      <c r="C214" s="498">
        <v>0.1</v>
      </c>
      <c r="D214" s="370" t="s">
        <v>162</v>
      </c>
      <c r="E214" s="433">
        <v>3400000</v>
      </c>
      <c r="F214" s="499">
        <v>0.05</v>
      </c>
      <c r="G214" s="364">
        <f t="shared" si="11"/>
        <v>170000</v>
      </c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2"/>
      <c r="AE214" s="302"/>
      <c r="AF214" s="302"/>
      <c r="AG214" s="302"/>
      <c r="AH214" s="302"/>
      <c r="AI214" s="302"/>
      <c r="AJ214" s="302"/>
      <c r="AK214" s="302"/>
      <c r="AL214" s="302"/>
      <c r="AM214" s="302"/>
      <c r="AN214" s="302"/>
      <c r="AO214" s="302"/>
      <c r="AP214" s="302"/>
      <c r="AQ214" s="302"/>
      <c r="AR214" s="302"/>
      <c r="AS214" s="302"/>
      <c r="AT214" s="302"/>
      <c r="AU214" s="302"/>
      <c r="AV214" s="302"/>
      <c r="AW214" s="302"/>
      <c r="AX214" s="302"/>
      <c r="AY214" s="302"/>
      <c r="AZ214" s="302"/>
      <c r="BA214" s="302"/>
      <c r="BB214" s="302"/>
      <c r="BC214" s="302"/>
      <c r="BD214" s="302"/>
      <c r="BE214" s="302"/>
      <c r="BF214" s="302"/>
      <c r="BG214" s="302"/>
      <c r="BH214" s="302"/>
      <c r="BI214" s="302"/>
      <c r="BJ214" s="302"/>
      <c r="BK214" s="302"/>
      <c r="BL214" s="302"/>
      <c r="BM214" s="302"/>
      <c r="BN214" s="302"/>
      <c r="BO214" s="302"/>
      <c r="BP214" s="302"/>
      <c r="BQ214" s="302"/>
      <c r="BR214" s="302"/>
      <c r="BS214" s="302"/>
      <c r="BT214" s="302"/>
      <c r="BU214" s="302"/>
      <c r="BV214" s="302"/>
      <c r="BW214" s="302"/>
      <c r="BX214" s="302"/>
      <c r="BY214" s="302"/>
      <c r="BZ214" s="302"/>
      <c r="CA214" s="302"/>
      <c r="CB214" s="302"/>
      <c r="CC214" s="302"/>
      <c r="CD214" s="302"/>
      <c r="CE214" s="302"/>
      <c r="CF214" s="302"/>
      <c r="CG214" s="302"/>
      <c r="CH214" s="302"/>
      <c r="CI214" s="302"/>
      <c r="CJ214" s="302"/>
      <c r="CK214" s="302"/>
      <c r="CL214" s="302"/>
      <c r="CM214" s="302"/>
      <c r="CN214" s="302"/>
      <c r="CO214" s="302"/>
      <c r="CP214" s="302"/>
      <c r="CQ214" s="302"/>
      <c r="CR214" s="302"/>
      <c r="CS214" s="302"/>
      <c r="CT214" s="302"/>
      <c r="CU214" s="302"/>
      <c r="CV214" s="302"/>
      <c r="CW214" s="302"/>
      <c r="CX214" s="302"/>
      <c r="CY214" s="302"/>
      <c r="CZ214" s="302"/>
      <c r="DA214" s="302"/>
      <c r="DB214" s="302"/>
      <c r="DC214" s="302"/>
      <c r="DD214" s="302"/>
      <c r="DE214" s="302"/>
      <c r="DF214" s="302"/>
      <c r="DG214" s="302"/>
      <c r="DH214" s="302"/>
      <c r="DI214" s="302"/>
      <c r="DJ214" s="302"/>
      <c r="DK214" s="302"/>
      <c r="DL214" s="302"/>
      <c r="DM214" s="302"/>
      <c r="DN214" s="302"/>
      <c r="DO214" s="302"/>
      <c r="DP214" s="302"/>
      <c r="DQ214" s="302"/>
      <c r="DR214" s="302"/>
      <c r="DS214" s="302"/>
      <c r="DT214" s="302"/>
      <c r="DU214" s="302"/>
      <c r="DV214" s="302"/>
      <c r="DW214" s="302"/>
      <c r="DX214" s="302"/>
      <c r="DY214" s="302"/>
      <c r="DZ214" s="302"/>
      <c r="EA214" s="302"/>
      <c r="EB214" s="302"/>
      <c r="EC214" s="302"/>
      <c r="ED214" s="302"/>
      <c r="EE214" s="302"/>
      <c r="EF214" s="302"/>
      <c r="EG214" s="302"/>
      <c r="EH214" s="302"/>
      <c r="EI214" s="302"/>
      <c r="EJ214" s="302"/>
      <c r="EK214" s="302"/>
      <c r="EL214" s="302"/>
      <c r="EM214" s="302"/>
      <c r="EN214" s="302"/>
      <c r="EO214" s="302"/>
      <c r="EP214" s="302"/>
      <c r="EQ214" s="302"/>
      <c r="ER214" s="302"/>
      <c r="ES214" s="302"/>
      <c r="ET214" s="302"/>
      <c r="EU214" s="302"/>
      <c r="EV214" s="302"/>
      <c r="EW214" s="302"/>
      <c r="EX214" s="302"/>
      <c r="EY214" s="302"/>
      <c r="EZ214" s="302"/>
      <c r="FA214" s="302"/>
      <c r="FB214" s="302"/>
      <c r="FC214" s="302"/>
      <c r="FD214" s="302"/>
      <c r="FE214" s="302"/>
      <c r="FF214" s="302"/>
      <c r="FG214" s="302"/>
      <c r="FH214" s="302"/>
      <c r="FI214" s="302"/>
      <c r="FJ214" s="302"/>
      <c r="FK214" s="302"/>
      <c r="FL214" s="302"/>
      <c r="FM214" s="302"/>
      <c r="FN214" s="302"/>
      <c r="FO214" s="302"/>
      <c r="FP214" s="302"/>
      <c r="FQ214" s="302"/>
      <c r="FR214" s="302"/>
      <c r="FS214" s="302"/>
      <c r="FT214" s="302"/>
      <c r="FU214" s="302"/>
      <c r="FV214" s="302"/>
      <c r="FW214" s="302"/>
      <c r="FX214" s="302"/>
      <c r="FY214" s="302"/>
      <c r="FZ214" s="302"/>
      <c r="GA214" s="302"/>
      <c r="GB214" s="302"/>
      <c r="GC214" s="302"/>
      <c r="GD214" s="302"/>
      <c r="GE214" s="302"/>
      <c r="GF214" s="302"/>
      <c r="GG214" s="302"/>
      <c r="GH214" s="302"/>
      <c r="GI214" s="302"/>
      <c r="GJ214" s="302"/>
      <c r="GK214" s="302"/>
      <c r="GL214" s="302"/>
      <c r="GM214" s="302"/>
      <c r="GN214" s="302"/>
      <c r="GO214" s="302"/>
      <c r="GP214" s="302"/>
      <c r="GQ214" s="302"/>
      <c r="GR214" s="302"/>
      <c r="GS214" s="302"/>
      <c r="GT214" s="302"/>
      <c r="GU214" s="302"/>
      <c r="GV214" s="302"/>
      <c r="GW214" s="302"/>
      <c r="GX214" s="302"/>
      <c r="GY214" s="302"/>
      <c r="GZ214" s="302"/>
      <c r="HA214" s="302"/>
      <c r="HB214" s="302"/>
      <c r="HC214" s="302"/>
      <c r="HD214" s="302"/>
      <c r="HE214" s="302"/>
      <c r="HF214" s="302"/>
      <c r="HG214" s="302"/>
      <c r="HH214" s="302"/>
      <c r="HI214" s="302"/>
      <c r="HJ214" s="302"/>
      <c r="HK214" s="302"/>
      <c r="HL214" s="302"/>
      <c r="HM214" s="302"/>
      <c r="HN214" s="302"/>
      <c r="HO214" s="302"/>
      <c r="HP214" s="302"/>
      <c r="HQ214" s="302"/>
      <c r="HR214" s="302"/>
      <c r="HS214" s="302"/>
      <c r="HT214" s="302"/>
      <c r="HU214" s="302"/>
      <c r="HV214" s="302"/>
      <c r="HW214" s="302"/>
      <c r="HX214" s="302"/>
      <c r="HY214" s="302"/>
      <c r="HZ214" s="302"/>
      <c r="IA214" s="302"/>
      <c r="IB214" s="302"/>
      <c r="IC214" s="302"/>
      <c r="ID214" s="302"/>
      <c r="IE214" s="302"/>
      <c r="IF214" s="302"/>
      <c r="IG214" s="302"/>
      <c r="IH214" s="302"/>
      <c r="II214" s="302"/>
      <c r="IJ214" s="302"/>
      <c r="IK214" s="302"/>
      <c r="IL214" s="302"/>
      <c r="IM214" s="302"/>
      <c r="IN214" s="302"/>
      <c r="IO214" s="302"/>
      <c r="IP214" s="302"/>
      <c r="IQ214" s="302"/>
      <c r="IR214" s="302"/>
      <c r="IS214" s="302"/>
      <c r="IT214" s="302"/>
      <c r="IU214" s="302"/>
      <c r="IV214" s="302"/>
      <c r="IW214" s="302"/>
      <c r="IX214" s="302"/>
      <c r="IY214" s="302"/>
      <c r="IZ214" s="302"/>
      <c r="JA214" s="302"/>
      <c r="JB214" s="302"/>
      <c r="JC214" s="302"/>
      <c r="JD214" s="302"/>
      <c r="JE214" s="302"/>
      <c r="JF214" s="302"/>
      <c r="JG214" s="302"/>
      <c r="JH214" s="302"/>
      <c r="JI214" s="302"/>
      <c r="JJ214" s="302"/>
      <c r="JK214" s="302"/>
      <c r="JL214" s="302"/>
      <c r="JM214" s="302"/>
      <c r="JN214" s="302"/>
      <c r="JO214" s="302"/>
      <c r="JP214" s="302"/>
      <c r="JQ214" s="302"/>
      <c r="JR214" s="302"/>
      <c r="JS214" s="302"/>
      <c r="JT214" s="302"/>
      <c r="JU214" s="302"/>
      <c r="JV214" s="302"/>
      <c r="JW214" s="302"/>
      <c r="JX214" s="302"/>
      <c r="JY214" s="302"/>
      <c r="JZ214" s="302"/>
      <c r="KA214" s="302"/>
      <c r="KB214" s="302"/>
      <c r="KC214" s="302"/>
      <c r="KD214" s="302"/>
      <c r="KE214" s="302"/>
      <c r="KF214" s="302"/>
      <c r="KG214" s="302"/>
      <c r="KH214" s="302"/>
      <c r="KI214" s="302"/>
      <c r="KJ214" s="302"/>
      <c r="KK214" s="302"/>
      <c r="KL214" s="302"/>
      <c r="KM214" s="302"/>
      <c r="KN214" s="302"/>
      <c r="KO214" s="302"/>
      <c r="KP214" s="302"/>
      <c r="KQ214" s="302"/>
      <c r="KR214" s="302"/>
      <c r="KS214" s="302"/>
      <c r="KT214" s="302"/>
      <c r="KU214" s="302"/>
      <c r="KV214" s="302"/>
      <c r="KW214" s="302"/>
      <c r="KX214" s="302"/>
      <c r="KY214" s="302"/>
      <c r="KZ214" s="302"/>
      <c r="LA214" s="302"/>
      <c r="LB214" s="302"/>
      <c r="LC214" s="302"/>
      <c r="LD214" s="302"/>
      <c r="LE214" s="302"/>
      <c r="LF214" s="302"/>
      <c r="LG214" s="302"/>
      <c r="LH214" s="302"/>
      <c r="LI214" s="302"/>
      <c r="LJ214" s="302"/>
      <c r="LK214" s="302"/>
      <c r="LL214" s="302"/>
      <c r="LM214" s="302"/>
      <c r="LN214" s="302"/>
      <c r="LO214" s="302"/>
      <c r="LP214" s="302"/>
      <c r="LQ214" s="302"/>
      <c r="LR214" s="302"/>
      <c r="LS214" s="302"/>
      <c r="LT214" s="302"/>
      <c r="LU214" s="302"/>
      <c r="LV214" s="302"/>
      <c r="LW214" s="302"/>
      <c r="LX214" s="302"/>
      <c r="LY214" s="302"/>
      <c r="LZ214" s="302"/>
      <c r="MA214" s="302"/>
      <c r="MB214" s="302"/>
      <c r="MC214" s="302"/>
      <c r="MD214" s="302"/>
      <c r="ME214" s="302"/>
      <c r="MF214" s="302"/>
      <c r="MG214" s="302"/>
      <c r="MH214" s="302"/>
      <c r="MI214" s="302"/>
      <c r="MJ214" s="302"/>
      <c r="MK214" s="302"/>
      <c r="ML214" s="302"/>
      <c r="MM214" s="302"/>
      <c r="MN214" s="302"/>
      <c r="MO214" s="302"/>
      <c r="MP214" s="302"/>
      <c r="MQ214" s="302"/>
      <c r="MR214" s="302"/>
      <c r="MS214" s="302"/>
      <c r="MT214" s="302"/>
      <c r="MU214" s="302"/>
      <c r="MV214" s="302"/>
      <c r="MW214" s="302"/>
      <c r="MX214" s="302"/>
      <c r="MY214" s="302"/>
      <c r="MZ214" s="302"/>
      <c r="NA214" s="302"/>
      <c r="NB214" s="302"/>
      <c r="NC214" s="302"/>
      <c r="ND214" s="302"/>
      <c r="NE214" s="302"/>
      <c r="NF214" s="302"/>
      <c r="NG214" s="302"/>
      <c r="NH214" s="302"/>
      <c r="NI214" s="302"/>
      <c r="NJ214" s="302"/>
      <c r="NK214" s="302"/>
      <c r="NL214" s="302"/>
      <c r="NM214" s="302"/>
      <c r="NN214" s="302"/>
      <c r="NO214" s="302"/>
      <c r="NP214" s="302"/>
      <c r="NQ214" s="302"/>
      <c r="NR214" s="302"/>
      <c r="NS214" s="302"/>
      <c r="NT214" s="302"/>
      <c r="NU214" s="302"/>
      <c r="NV214" s="302"/>
      <c r="NW214" s="302"/>
      <c r="NX214" s="302"/>
      <c r="NY214" s="302"/>
      <c r="NZ214" s="302"/>
      <c r="OA214" s="302"/>
      <c r="OB214" s="302"/>
      <c r="OC214" s="302"/>
      <c r="OD214" s="302"/>
      <c r="OE214" s="302"/>
      <c r="OF214" s="302"/>
      <c r="OG214" s="302"/>
      <c r="OH214" s="302"/>
      <c r="OI214" s="302"/>
      <c r="OJ214" s="302"/>
      <c r="OK214" s="302"/>
      <c r="OL214" s="302"/>
      <c r="OM214" s="302"/>
      <c r="ON214" s="302"/>
      <c r="OO214" s="302"/>
      <c r="OP214" s="302"/>
      <c r="OQ214" s="302"/>
      <c r="OR214" s="302"/>
      <c r="OS214" s="302"/>
      <c r="OT214" s="302"/>
      <c r="OU214" s="302"/>
      <c r="OV214" s="302"/>
      <c r="OW214" s="302"/>
      <c r="OX214" s="302"/>
      <c r="OY214" s="302"/>
      <c r="OZ214" s="302"/>
      <c r="PA214" s="302"/>
      <c r="PB214" s="302"/>
      <c r="PC214" s="302"/>
      <c r="PD214" s="302"/>
      <c r="PE214" s="302"/>
      <c r="PF214" s="302"/>
      <c r="PG214" s="302"/>
      <c r="PH214" s="302"/>
      <c r="PI214" s="302"/>
      <c r="PJ214" s="302"/>
      <c r="PK214" s="302"/>
      <c r="PL214" s="302"/>
      <c r="PM214" s="302"/>
      <c r="PN214" s="302"/>
      <c r="PO214" s="302"/>
      <c r="PP214" s="302"/>
      <c r="PQ214" s="302"/>
      <c r="PR214" s="302"/>
      <c r="PS214" s="302"/>
      <c r="PT214" s="302"/>
      <c r="PU214" s="302"/>
      <c r="PV214" s="302"/>
      <c r="PW214" s="302"/>
      <c r="PX214" s="302"/>
      <c r="PY214" s="302"/>
      <c r="PZ214" s="302"/>
      <c r="QA214" s="302"/>
      <c r="QB214" s="302"/>
      <c r="QC214" s="302"/>
      <c r="QD214" s="302"/>
      <c r="QE214" s="302"/>
      <c r="QF214" s="302"/>
      <c r="QG214" s="302"/>
      <c r="QH214" s="302"/>
      <c r="QI214" s="302"/>
      <c r="QJ214" s="302"/>
      <c r="QK214" s="302"/>
      <c r="QL214" s="302"/>
      <c r="QM214" s="302"/>
      <c r="QN214" s="302"/>
      <c r="QO214" s="302"/>
      <c r="QP214" s="302"/>
      <c r="QQ214" s="302"/>
      <c r="QR214" s="302"/>
      <c r="QS214" s="302"/>
      <c r="QT214" s="302"/>
      <c r="QU214" s="302"/>
      <c r="QV214" s="302"/>
      <c r="QW214" s="302"/>
      <c r="QX214" s="302"/>
      <c r="QY214" s="302"/>
      <c r="QZ214" s="302"/>
      <c r="RA214" s="302"/>
      <c r="RB214" s="302"/>
      <c r="RC214" s="302"/>
      <c r="RD214" s="302"/>
      <c r="RE214" s="302"/>
      <c r="RF214" s="302"/>
      <c r="RG214" s="302"/>
      <c r="RH214" s="302"/>
      <c r="RI214" s="302"/>
      <c r="RJ214" s="302"/>
      <c r="RK214" s="302"/>
      <c r="RL214" s="302"/>
      <c r="RM214" s="302"/>
      <c r="RN214" s="302"/>
      <c r="RO214" s="302"/>
      <c r="RP214" s="302"/>
      <c r="RQ214" s="302"/>
      <c r="RR214" s="302"/>
      <c r="RS214" s="302"/>
      <c r="RT214" s="302"/>
      <c r="RU214" s="302"/>
      <c r="RV214" s="302"/>
      <c r="RW214" s="302"/>
      <c r="RX214" s="302"/>
      <c r="RY214" s="302"/>
      <c r="RZ214" s="302"/>
      <c r="SA214" s="302"/>
      <c r="SB214" s="302"/>
      <c r="SC214" s="302"/>
      <c r="SD214" s="302"/>
      <c r="SE214" s="302"/>
      <c r="SF214" s="302"/>
      <c r="SG214" s="302"/>
      <c r="SH214" s="302"/>
      <c r="SI214" s="302"/>
      <c r="SJ214" s="302"/>
      <c r="SK214" s="302"/>
      <c r="SL214" s="302"/>
      <c r="SM214" s="302"/>
      <c r="SN214" s="302"/>
      <c r="SO214" s="302"/>
      <c r="SP214" s="302"/>
      <c r="SQ214" s="302"/>
      <c r="SR214" s="302"/>
      <c r="SS214" s="302"/>
      <c r="ST214" s="302"/>
      <c r="SU214" s="302"/>
      <c r="SV214" s="302"/>
      <c r="SW214" s="302"/>
      <c r="SX214" s="302"/>
      <c r="SY214" s="302"/>
      <c r="SZ214" s="302"/>
      <c r="TA214" s="302"/>
      <c r="TB214" s="302"/>
      <c r="TC214" s="302"/>
      <c r="TD214" s="302"/>
      <c r="TE214" s="302"/>
      <c r="TF214" s="302"/>
      <c r="TG214" s="302"/>
      <c r="TH214" s="302"/>
      <c r="TI214" s="302"/>
      <c r="TJ214" s="302"/>
      <c r="TK214" s="302"/>
      <c r="TL214" s="302"/>
      <c r="TM214" s="302"/>
      <c r="TN214" s="302"/>
      <c r="TO214" s="302"/>
      <c r="TP214" s="302"/>
      <c r="TQ214" s="302"/>
      <c r="TR214" s="302"/>
      <c r="TS214" s="302"/>
      <c r="TT214" s="302"/>
      <c r="TU214" s="302"/>
      <c r="TV214" s="302"/>
      <c r="TW214" s="302"/>
      <c r="TX214" s="302"/>
      <c r="TY214" s="302"/>
      <c r="TZ214" s="302"/>
      <c r="UA214" s="302"/>
      <c r="UB214" s="302"/>
      <c r="UC214" s="302"/>
      <c r="UD214" s="302"/>
      <c r="UE214" s="302"/>
      <c r="UF214" s="302"/>
      <c r="UG214" s="302"/>
      <c r="UH214" s="302"/>
      <c r="UI214" s="302"/>
      <c r="UJ214" s="302"/>
      <c r="UK214" s="302"/>
      <c r="UL214" s="302"/>
      <c r="UM214" s="302"/>
      <c r="UN214" s="302"/>
      <c r="UO214" s="302"/>
      <c r="UP214" s="302"/>
      <c r="UQ214" s="302"/>
      <c r="UR214" s="302"/>
      <c r="US214" s="302"/>
      <c r="UT214" s="302"/>
      <c r="UU214" s="302"/>
      <c r="UV214" s="302"/>
      <c r="UW214" s="302"/>
      <c r="UX214" s="302"/>
      <c r="UY214" s="302"/>
      <c r="UZ214" s="302"/>
      <c r="VA214" s="302"/>
      <c r="VB214" s="302"/>
      <c r="VC214" s="302"/>
      <c r="VD214" s="302"/>
      <c r="VE214" s="302"/>
      <c r="VF214" s="302"/>
      <c r="VG214" s="302"/>
      <c r="VH214" s="302"/>
      <c r="VI214" s="302"/>
      <c r="VJ214" s="302"/>
      <c r="VK214" s="302"/>
      <c r="VL214" s="302"/>
      <c r="VM214" s="302"/>
      <c r="VN214" s="302"/>
      <c r="VO214" s="302"/>
      <c r="VP214" s="302"/>
      <c r="VQ214" s="302"/>
      <c r="VR214" s="302"/>
      <c r="VS214" s="302"/>
      <c r="VT214" s="302"/>
      <c r="VU214" s="302"/>
      <c r="VV214" s="302"/>
      <c r="VW214" s="302"/>
      <c r="VX214" s="302"/>
      <c r="VY214" s="302"/>
      <c r="VZ214" s="302"/>
      <c r="WA214" s="302"/>
      <c r="WB214" s="302"/>
      <c r="WC214" s="302"/>
      <c r="WD214" s="302"/>
      <c r="WE214" s="302"/>
      <c r="WF214" s="302"/>
      <c r="WG214" s="302"/>
      <c r="WH214" s="302"/>
      <c r="WI214" s="302"/>
      <c r="WJ214" s="302"/>
      <c r="WK214" s="302"/>
      <c r="WL214" s="302"/>
      <c r="WM214" s="302"/>
      <c r="WN214" s="302"/>
      <c r="WO214" s="302"/>
      <c r="WP214" s="302"/>
      <c r="WQ214" s="302"/>
      <c r="WR214" s="302"/>
      <c r="WS214" s="302"/>
      <c r="WT214" s="302"/>
      <c r="WU214" s="302"/>
      <c r="WV214" s="302"/>
      <c r="WW214" s="302"/>
      <c r="WX214" s="302"/>
      <c r="WY214" s="302"/>
      <c r="WZ214" s="302"/>
      <c r="XA214" s="302"/>
      <c r="XB214" s="302"/>
      <c r="XC214" s="302"/>
      <c r="XD214" s="302"/>
      <c r="XE214" s="302"/>
      <c r="XF214" s="302"/>
      <c r="XG214" s="302"/>
      <c r="XH214" s="302"/>
      <c r="XI214" s="302"/>
      <c r="XJ214" s="302"/>
      <c r="XK214" s="302"/>
      <c r="XL214" s="302"/>
      <c r="XM214" s="302"/>
      <c r="XN214" s="302"/>
      <c r="XO214" s="302"/>
      <c r="XP214" s="302"/>
      <c r="XQ214" s="302"/>
      <c r="XR214" s="302"/>
      <c r="XS214" s="302"/>
      <c r="XT214" s="302"/>
      <c r="XU214" s="302"/>
      <c r="XV214" s="302"/>
      <c r="XW214" s="302"/>
      <c r="XX214" s="302"/>
      <c r="XY214" s="302"/>
      <c r="XZ214" s="302"/>
      <c r="YA214" s="302"/>
      <c r="YB214" s="302"/>
      <c r="YC214" s="302"/>
      <c r="YD214" s="302"/>
      <c r="YE214" s="302"/>
      <c r="YF214" s="302"/>
      <c r="YG214" s="302"/>
      <c r="YH214" s="302"/>
      <c r="YI214" s="302"/>
      <c r="YJ214" s="302"/>
      <c r="YK214" s="302"/>
      <c r="YL214" s="302"/>
      <c r="YM214" s="302"/>
      <c r="YN214" s="302"/>
      <c r="YO214" s="302"/>
      <c r="YP214" s="302"/>
      <c r="YQ214" s="302"/>
      <c r="YR214" s="302"/>
      <c r="YS214" s="302"/>
      <c r="YT214" s="302"/>
      <c r="YU214" s="302"/>
      <c r="YV214" s="302"/>
      <c r="YW214" s="302"/>
      <c r="YX214" s="302"/>
      <c r="YY214" s="302"/>
      <c r="YZ214" s="302"/>
      <c r="ZA214" s="302"/>
      <c r="ZB214" s="302"/>
      <c r="ZC214" s="302"/>
      <c r="ZD214" s="302"/>
      <c r="ZE214" s="302"/>
      <c r="ZF214" s="302"/>
      <c r="ZG214" s="302"/>
      <c r="ZH214" s="302"/>
      <c r="ZI214" s="302"/>
      <c r="ZJ214" s="302"/>
      <c r="ZK214" s="302"/>
      <c r="ZL214" s="302"/>
      <c r="ZM214" s="302"/>
      <c r="ZN214" s="302"/>
      <c r="ZO214" s="302"/>
      <c r="ZP214" s="302"/>
      <c r="ZQ214" s="302"/>
      <c r="ZR214" s="302"/>
      <c r="ZS214" s="302"/>
      <c r="ZT214" s="302"/>
      <c r="ZU214" s="302"/>
      <c r="ZV214" s="302"/>
      <c r="ZW214" s="302"/>
      <c r="ZX214" s="302"/>
      <c r="ZY214" s="302"/>
      <c r="ZZ214" s="302"/>
      <c r="AAA214" s="302"/>
      <c r="AAB214" s="302"/>
      <c r="AAC214" s="302"/>
      <c r="AAD214" s="302"/>
      <c r="AAE214" s="302"/>
      <c r="AAF214" s="302"/>
      <c r="AAG214" s="302"/>
      <c r="AAH214" s="302"/>
      <c r="AAI214" s="302"/>
      <c r="AAJ214" s="302"/>
      <c r="AAK214" s="302"/>
      <c r="AAL214" s="302"/>
      <c r="AAM214" s="302"/>
      <c r="AAN214" s="302"/>
      <c r="AAO214" s="302"/>
      <c r="AAP214" s="302"/>
      <c r="AAQ214" s="302"/>
      <c r="AAR214" s="302"/>
      <c r="AAS214" s="302"/>
      <c r="AAT214" s="302"/>
      <c r="AAU214" s="302"/>
      <c r="AAV214" s="302"/>
      <c r="AAW214" s="302"/>
      <c r="AAX214" s="302"/>
      <c r="AAY214" s="302"/>
      <c r="AAZ214" s="302"/>
      <c r="ABA214" s="302"/>
      <c r="ABB214" s="302"/>
      <c r="ABC214" s="302"/>
      <c r="ABD214" s="302"/>
      <c r="ABE214" s="302"/>
      <c r="ABF214" s="302"/>
      <c r="ABG214" s="302"/>
      <c r="ABH214" s="302"/>
      <c r="ABI214" s="302"/>
      <c r="ABJ214" s="302"/>
      <c r="ABK214" s="302"/>
      <c r="ABL214" s="302"/>
      <c r="ABM214" s="302"/>
      <c r="ABN214" s="302"/>
      <c r="ABO214" s="302"/>
      <c r="ABP214" s="302"/>
      <c r="ABQ214" s="302"/>
      <c r="ABR214" s="302"/>
      <c r="ABS214" s="302"/>
      <c r="ABT214" s="302"/>
      <c r="ABU214" s="302"/>
      <c r="ABV214" s="302"/>
      <c r="ABW214" s="302"/>
      <c r="ABX214" s="302"/>
      <c r="ABY214" s="302"/>
      <c r="ABZ214" s="302"/>
      <c r="ACA214" s="302"/>
      <c r="ACB214" s="302"/>
      <c r="ACC214" s="302"/>
      <c r="ACD214" s="302"/>
      <c r="ACE214" s="302"/>
      <c r="ACF214" s="302"/>
      <c r="ACG214" s="302"/>
      <c r="ACH214" s="302"/>
      <c r="ACI214" s="302"/>
      <c r="ACJ214" s="302"/>
      <c r="ACK214" s="302"/>
      <c r="ACL214" s="302"/>
      <c r="ACM214" s="302"/>
      <c r="ACN214" s="302"/>
      <c r="ACO214" s="302"/>
      <c r="ACP214" s="302"/>
      <c r="ACQ214" s="302"/>
      <c r="ACR214" s="302"/>
      <c r="ACS214" s="302"/>
      <c r="ACT214" s="302"/>
      <c r="ACU214" s="302"/>
      <c r="ACV214" s="302"/>
      <c r="ACW214" s="302"/>
      <c r="ACX214" s="302"/>
      <c r="ACY214" s="302"/>
      <c r="ACZ214" s="302"/>
      <c r="ADA214" s="302"/>
      <c r="ADB214" s="302"/>
      <c r="ADC214" s="302"/>
      <c r="ADD214" s="302"/>
      <c r="ADE214" s="302"/>
      <c r="ADF214" s="302"/>
      <c r="ADG214" s="302"/>
      <c r="ADH214" s="302"/>
      <c r="ADI214" s="302"/>
      <c r="ADJ214" s="302"/>
      <c r="ADK214" s="302"/>
      <c r="ADL214" s="302"/>
      <c r="ADM214" s="302"/>
      <c r="ADN214" s="302"/>
      <c r="ADO214" s="302"/>
      <c r="ADP214" s="302"/>
      <c r="ADQ214" s="302"/>
      <c r="ADR214" s="302"/>
      <c r="ADS214" s="302"/>
      <c r="ADT214" s="302"/>
      <c r="ADU214" s="302"/>
      <c r="ADV214" s="302"/>
      <c r="ADW214" s="302"/>
      <c r="ADX214" s="302"/>
      <c r="ADY214" s="302"/>
      <c r="ADZ214" s="302"/>
      <c r="AEA214" s="302"/>
      <c r="AEB214" s="302"/>
      <c r="AEC214" s="302"/>
      <c r="AED214" s="302"/>
      <c r="AEE214" s="302"/>
      <c r="AEF214" s="302"/>
      <c r="AEG214" s="302"/>
      <c r="AEH214" s="302"/>
      <c r="AEI214" s="302"/>
      <c r="AEJ214" s="302"/>
      <c r="AEK214" s="302"/>
      <c r="AEL214" s="302"/>
      <c r="AEM214" s="302"/>
      <c r="AEN214" s="302"/>
      <c r="AEO214" s="302"/>
      <c r="AEP214" s="302"/>
      <c r="AEQ214" s="302"/>
      <c r="AER214" s="302"/>
      <c r="AES214" s="302"/>
      <c r="AET214" s="302"/>
      <c r="AEU214" s="302"/>
      <c r="AEV214" s="302"/>
      <c r="AEW214" s="302"/>
      <c r="AEX214" s="302"/>
      <c r="AEY214" s="302"/>
      <c r="AEZ214" s="302"/>
      <c r="AFA214" s="302"/>
      <c r="AFB214" s="302"/>
      <c r="AFC214" s="302"/>
      <c r="AFD214" s="302"/>
      <c r="AFE214" s="302"/>
      <c r="AFF214" s="302"/>
      <c r="AFG214" s="302"/>
      <c r="AFH214" s="302"/>
      <c r="AFI214" s="302"/>
      <c r="AFJ214" s="302"/>
      <c r="AFK214" s="302"/>
      <c r="AFL214" s="302"/>
      <c r="AFM214" s="302"/>
      <c r="AFN214" s="302"/>
      <c r="AFO214" s="302"/>
      <c r="AFP214" s="302"/>
      <c r="AFQ214" s="302"/>
      <c r="AFR214" s="302"/>
      <c r="AFS214" s="302"/>
      <c r="AFT214" s="302"/>
      <c r="AFU214" s="302"/>
      <c r="AFV214" s="302"/>
      <c r="AFW214" s="302"/>
      <c r="AFX214" s="302"/>
      <c r="AFY214" s="302"/>
      <c r="AFZ214" s="302"/>
      <c r="AGA214" s="302"/>
      <c r="AGB214" s="302"/>
      <c r="AGC214" s="302"/>
      <c r="AGD214" s="302"/>
      <c r="AGE214" s="302"/>
      <c r="AGF214" s="302"/>
      <c r="AGG214" s="302"/>
      <c r="AGH214" s="302"/>
      <c r="AGI214" s="302"/>
      <c r="AGJ214" s="302"/>
      <c r="AGK214" s="302"/>
      <c r="AGL214" s="302"/>
      <c r="AGM214" s="302"/>
      <c r="AGN214" s="302"/>
      <c r="AGO214" s="302"/>
      <c r="AGP214" s="302"/>
      <c r="AGQ214" s="302"/>
      <c r="AGR214" s="302"/>
      <c r="AGS214" s="302"/>
      <c r="AGT214" s="302"/>
      <c r="AGU214" s="302"/>
      <c r="AGV214" s="302"/>
      <c r="AGW214" s="302"/>
      <c r="AGX214" s="302"/>
      <c r="AGY214" s="302"/>
      <c r="AGZ214" s="302"/>
      <c r="AHA214" s="302"/>
      <c r="AHB214" s="302"/>
      <c r="AHC214" s="302"/>
      <c r="AHD214" s="302"/>
      <c r="AHE214" s="302"/>
      <c r="AHF214" s="302"/>
      <c r="AHG214" s="302"/>
      <c r="AHH214" s="302"/>
      <c r="AHI214" s="302"/>
      <c r="AHJ214" s="302"/>
      <c r="AHK214" s="302"/>
      <c r="AHL214" s="302"/>
      <c r="AHM214" s="302"/>
      <c r="AHN214" s="302"/>
      <c r="AHO214" s="302"/>
      <c r="AHP214" s="302"/>
      <c r="AHQ214" s="302"/>
      <c r="AHR214" s="302"/>
      <c r="AHS214" s="302"/>
      <c r="AHT214" s="302"/>
      <c r="AHU214" s="302"/>
      <c r="AHV214" s="302"/>
      <c r="AHW214" s="302"/>
      <c r="AHX214" s="302"/>
      <c r="AHY214" s="302"/>
      <c r="AHZ214" s="302"/>
      <c r="AIA214" s="302"/>
      <c r="AIB214" s="302"/>
      <c r="AIC214" s="302"/>
      <c r="AID214" s="302"/>
      <c r="AIE214" s="302"/>
      <c r="AIF214" s="302"/>
      <c r="AIG214" s="302"/>
      <c r="AIH214" s="302"/>
      <c r="AII214" s="302"/>
      <c r="AIJ214" s="302"/>
      <c r="AIK214" s="302"/>
      <c r="AIL214" s="302"/>
      <c r="AIM214" s="302"/>
      <c r="AIN214" s="302"/>
      <c r="AIO214" s="302"/>
      <c r="AIP214" s="302"/>
      <c r="AIQ214" s="302"/>
      <c r="AIR214" s="302"/>
      <c r="AIS214" s="302"/>
      <c r="AIT214" s="302"/>
      <c r="AIU214" s="302"/>
      <c r="AIV214" s="302"/>
      <c r="AIW214" s="302"/>
      <c r="AIX214" s="302"/>
      <c r="AIY214" s="302"/>
      <c r="AIZ214" s="302"/>
      <c r="AJA214" s="302"/>
      <c r="AJB214" s="302"/>
      <c r="AJC214" s="302"/>
      <c r="AJD214" s="302"/>
      <c r="AJE214" s="302"/>
      <c r="AJF214" s="302"/>
      <c r="AJG214" s="302"/>
      <c r="AJH214" s="302"/>
      <c r="AJI214" s="302"/>
      <c r="AJJ214" s="302"/>
      <c r="AJK214" s="302"/>
      <c r="AJL214" s="302"/>
      <c r="AJM214" s="302"/>
      <c r="AJN214" s="302"/>
      <c r="AJO214" s="302"/>
      <c r="AJP214" s="302"/>
      <c r="AJQ214" s="302"/>
      <c r="AJR214" s="302"/>
      <c r="AJS214" s="302"/>
      <c r="AJT214" s="302"/>
      <c r="AJU214" s="302"/>
      <c r="AJV214" s="302"/>
      <c r="AJW214" s="302"/>
      <c r="AJX214" s="302"/>
      <c r="AJY214" s="302"/>
      <c r="AJZ214" s="302"/>
      <c r="AKA214" s="302"/>
      <c r="AKB214" s="302"/>
      <c r="AKC214" s="302"/>
      <c r="AKD214" s="302"/>
      <c r="AKE214" s="302"/>
      <c r="AKF214" s="302"/>
      <c r="AKG214" s="302"/>
      <c r="AKH214" s="302"/>
      <c r="AKI214" s="302"/>
      <c r="AKJ214" s="302"/>
      <c r="AKK214" s="302"/>
      <c r="AKL214" s="302"/>
      <c r="AKM214" s="302"/>
      <c r="AKN214" s="302"/>
      <c r="AKO214" s="302"/>
      <c r="AKP214" s="302"/>
      <c r="AKQ214" s="302"/>
      <c r="AKR214" s="302"/>
      <c r="AKS214" s="302"/>
      <c r="AKT214" s="302"/>
      <c r="AKU214" s="302"/>
      <c r="AKV214" s="302"/>
      <c r="AKW214" s="302"/>
      <c r="AKX214" s="302"/>
      <c r="AKY214" s="302"/>
      <c r="AKZ214" s="302"/>
      <c r="ALA214" s="302"/>
      <c r="ALB214" s="302"/>
      <c r="ALC214" s="302"/>
      <c r="ALD214" s="302"/>
      <c r="ALE214" s="302"/>
      <c r="ALF214" s="302"/>
      <c r="ALG214" s="302"/>
      <c r="ALH214" s="302"/>
      <c r="ALI214" s="302"/>
      <c r="ALJ214" s="302"/>
      <c r="ALK214" s="302"/>
      <c r="ALL214" s="302"/>
      <c r="ALM214" s="302"/>
      <c r="ALN214" s="302"/>
      <c r="ALO214" s="302"/>
      <c r="ALP214" s="302"/>
      <c r="ALQ214" s="302"/>
      <c r="ALR214" s="302"/>
      <c r="ALS214" s="302"/>
      <c r="ALT214" s="302"/>
      <c r="ALU214" s="302"/>
      <c r="ALV214" s="302"/>
      <c r="ALW214" s="302"/>
      <c r="ALX214" s="302"/>
      <c r="ALY214" s="302"/>
      <c r="ALZ214" s="302"/>
      <c r="AMA214" s="302"/>
      <c r="AMB214" s="302"/>
      <c r="AMC214" s="302"/>
      <c r="AMD214" s="302"/>
      <c r="AME214" s="302"/>
      <c r="AMF214" s="302"/>
      <c r="AMG214" s="302"/>
      <c r="AMH214" s="302"/>
      <c r="AMI214" s="302"/>
    </row>
    <row r="215" spans="1:1023" hidden="1">
      <c r="A215" s="302"/>
      <c r="B215" s="443">
        <v>14059</v>
      </c>
      <c r="C215" s="432">
        <v>0.1</v>
      </c>
      <c r="D215" s="444" t="s">
        <v>168</v>
      </c>
      <c r="E215" s="433">
        <v>2898000</v>
      </c>
      <c r="F215" s="499">
        <v>0.05</v>
      </c>
      <c r="G215" s="364">
        <f t="shared" si="11"/>
        <v>144900</v>
      </c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2"/>
      <c r="AE215" s="302"/>
      <c r="AF215" s="302"/>
      <c r="AG215" s="302"/>
      <c r="AH215" s="302"/>
      <c r="AI215" s="302"/>
      <c r="AJ215" s="302"/>
      <c r="AK215" s="302"/>
      <c r="AL215" s="302"/>
      <c r="AM215" s="302"/>
      <c r="AN215" s="302"/>
      <c r="AO215" s="302"/>
      <c r="AP215" s="302"/>
      <c r="AQ215" s="302"/>
      <c r="AR215" s="302"/>
      <c r="AS215" s="302"/>
      <c r="AT215" s="302"/>
      <c r="AU215" s="302"/>
      <c r="AV215" s="302"/>
      <c r="AW215" s="302"/>
      <c r="AX215" s="302"/>
      <c r="AY215" s="302"/>
      <c r="AZ215" s="302"/>
      <c r="BA215" s="302"/>
      <c r="BB215" s="302"/>
      <c r="BC215" s="302"/>
      <c r="BD215" s="302"/>
      <c r="BE215" s="302"/>
      <c r="BF215" s="302"/>
      <c r="BG215" s="302"/>
      <c r="BH215" s="302"/>
      <c r="BI215" s="302"/>
      <c r="BJ215" s="302"/>
      <c r="BK215" s="302"/>
      <c r="BL215" s="302"/>
      <c r="BM215" s="302"/>
      <c r="BN215" s="302"/>
      <c r="BO215" s="302"/>
      <c r="BP215" s="302"/>
      <c r="BQ215" s="302"/>
      <c r="BR215" s="302"/>
      <c r="BS215" s="302"/>
      <c r="BT215" s="302"/>
      <c r="BU215" s="302"/>
      <c r="BV215" s="302"/>
      <c r="BW215" s="302"/>
      <c r="BX215" s="302"/>
      <c r="BY215" s="302"/>
      <c r="BZ215" s="302"/>
      <c r="CA215" s="302"/>
      <c r="CB215" s="302"/>
      <c r="CC215" s="302"/>
      <c r="CD215" s="302"/>
      <c r="CE215" s="302"/>
      <c r="CF215" s="302"/>
      <c r="CG215" s="302"/>
      <c r="CH215" s="302"/>
      <c r="CI215" s="302"/>
      <c r="CJ215" s="302"/>
      <c r="CK215" s="302"/>
      <c r="CL215" s="302"/>
      <c r="CM215" s="302"/>
      <c r="CN215" s="302"/>
      <c r="CO215" s="302"/>
      <c r="CP215" s="302"/>
      <c r="CQ215" s="302"/>
      <c r="CR215" s="302"/>
      <c r="CS215" s="302"/>
      <c r="CT215" s="302"/>
      <c r="CU215" s="302"/>
      <c r="CV215" s="302"/>
      <c r="CW215" s="302"/>
      <c r="CX215" s="302"/>
      <c r="CY215" s="302"/>
      <c r="CZ215" s="302"/>
      <c r="DA215" s="302"/>
      <c r="DB215" s="302"/>
      <c r="DC215" s="302"/>
      <c r="DD215" s="302"/>
      <c r="DE215" s="302"/>
      <c r="DF215" s="302"/>
      <c r="DG215" s="302"/>
      <c r="DH215" s="302"/>
      <c r="DI215" s="302"/>
      <c r="DJ215" s="302"/>
      <c r="DK215" s="302"/>
      <c r="DL215" s="302"/>
      <c r="DM215" s="302"/>
      <c r="DN215" s="302"/>
      <c r="DO215" s="302"/>
      <c r="DP215" s="302"/>
      <c r="DQ215" s="302"/>
      <c r="DR215" s="302"/>
      <c r="DS215" s="302"/>
      <c r="DT215" s="302"/>
      <c r="DU215" s="302"/>
      <c r="DV215" s="302"/>
      <c r="DW215" s="302"/>
      <c r="DX215" s="302"/>
      <c r="DY215" s="302"/>
      <c r="DZ215" s="302"/>
      <c r="EA215" s="302"/>
      <c r="EB215" s="302"/>
      <c r="EC215" s="302"/>
      <c r="ED215" s="302"/>
      <c r="EE215" s="302"/>
      <c r="EF215" s="302"/>
      <c r="EG215" s="302"/>
      <c r="EH215" s="302"/>
      <c r="EI215" s="302"/>
      <c r="EJ215" s="302"/>
      <c r="EK215" s="302"/>
      <c r="EL215" s="302"/>
      <c r="EM215" s="302"/>
      <c r="EN215" s="302"/>
      <c r="EO215" s="302"/>
      <c r="EP215" s="302"/>
      <c r="EQ215" s="302"/>
      <c r="ER215" s="302"/>
      <c r="ES215" s="302"/>
      <c r="ET215" s="302"/>
      <c r="EU215" s="302"/>
      <c r="EV215" s="302"/>
      <c r="EW215" s="302"/>
      <c r="EX215" s="302"/>
      <c r="EY215" s="302"/>
      <c r="EZ215" s="302"/>
      <c r="FA215" s="302"/>
      <c r="FB215" s="302"/>
      <c r="FC215" s="302"/>
      <c r="FD215" s="302"/>
      <c r="FE215" s="302"/>
      <c r="FF215" s="302"/>
      <c r="FG215" s="302"/>
      <c r="FH215" s="302"/>
      <c r="FI215" s="302"/>
      <c r="FJ215" s="302"/>
      <c r="FK215" s="302"/>
      <c r="FL215" s="302"/>
      <c r="FM215" s="302"/>
      <c r="FN215" s="302"/>
      <c r="FO215" s="302"/>
      <c r="FP215" s="302"/>
      <c r="FQ215" s="302"/>
      <c r="FR215" s="302"/>
      <c r="FS215" s="302"/>
      <c r="FT215" s="302"/>
      <c r="FU215" s="302"/>
      <c r="FV215" s="302"/>
      <c r="FW215" s="302"/>
      <c r="FX215" s="302"/>
      <c r="FY215" s="302"/>
      <c r="FZ215" s="302"/>
      <c r="GA215" s="302"/>
      <c r="GB215" s="302"/>
      <c r="GC215" s="302"/>
      <c r="GD215" s="302"/>
      <c r="GE215" s="302"/>
      <c r="GF215" s="302"/>
      <c r="GG215" s="302"/>
      <c r="GH215" s="302"/>
      <c r="GI215" s="302"/>
      <c r="GJ215" s="302"/>
      <c r="GK215" s="302"/>
      <c r="GL215" s="302"/>
      <c r="GM215" s="302"/>
      <c r="GN215" s="302"/>
      <c r="GO215" s="302"/>
      <c r="GP215" s="302"/>
      <c r="GQ215" s="302"/>
      <c r="GR215" s="302"/>
      <c r="GS215" s="302"/>
      <c r="GT215" s="302"/>
      <c r="GU215" s="302"/>
      <c r="GV215" s="302"/>
      <c r="GW215" s="302"/>
      <c r="GX215" s="302"/>
      <c r="GY215" s="302"/>
      <c r="GZ215" s="302"/>
      <c r="HA215" s="302"/>
      <c r="HB215" s="302"/>
      <c r="HC215" s="302"/>
      <c r="HD215" s="302"/>
      <c r="HE215" s="302"/>
      <c r="HF215" s="302"/>
      <c r="HG215" s="302"/>
      <c r="HH215" s="302"/>
      <c r="HI215" s="302"/>
      <c r="HJ215" s="302"/>
      <c r="HK215" s="302"/>
      <c r="HL215" s="302"/>
      <c r="HM215" s="302"/>
      <c r="HN215" s="302"/>
      <c r="HO215" s="302"/>
      <c r="HP215" s="302"/>
      <c r="HQ215" s="302"/>
      <c r="HR215" s="302"/>
      <c r="HS215" s="302"/>
      <c r="HT215" s="302"/>
      <c r="HU215" s="302"/>
      <c r="HV215" s="302"/>
      <c r="HW215" s="302"/>
      <c r="HX215" s="302"/>
      <c r="HY215" s="302"/>
      <c r="HZ215" s="302"/>
      <c r="IA215" s="302"/>
      <c r="IB215" s="302"/>
      <c r="IC215" s="302"/>
      <c r="ID215" s="302"/>
      <c r="IE215" s="302"/>
      <c r="IF215" s="302"/>
      <c r="IG215" s="302"/>
      <c r="IH215" s="302"/>
      <c r="II215" s="302"/>
      <c r="IJ215" s="302"/>
      <c r="IK215" s="302"/>
      <c r="IL215" s="302"/>
      <c r="IM215" s="302"/>
      <c r="IN215" s="302"/>
      <c r="IO215" s="302"/>
      <c r="IP215" s="302"/>
      <c r="IQ215" s="302"/>
      <c r="IR215" s="302"/>
      <c r="IS215" s="302"/>
      <c r="IT215" s="302"/>
      <c r="IU215" s="302"/>
      <c r="IV215" s="302"/>
      <c r="IW215" s="302"/>
      <c r="IX215" s="302"/>
      <c r="IY215" s="302"/>
      <c r="IZ215" s="302"/>
      <c r="JA215" s="302"/>
      <c r="JB215" s="302"/>
      <c r="JC215" s="302"/>
      <c r="JD215" s="302"/>
      <c r="JE215" s="302"/>
      <c r="JF215" s="302"/>
      <c r="JG215" s="302"/>
      <c r="JH215" s="302"/>
      <c r="JI215" s="302"/>
      <c r="JJ215" s="302"/>
      <c r="JK215" s="302"/>
      <c r="JL215" s="302"/>
      <c r="JM215" s="302"/>
      <c r="JN215" s="302"/>
      <c r="JO215" s="302"/>
      <c r="JP215" s="302"/>
      <c r="JQ215" s="302"/>
      <c r="JR215" s="302"/>
      <c r="JS215" s="302"/>
      <c r="JT215" s="302"/>
      <c r="JU215" s="302"/>
      <c r="JV215" s="302"/>
      <c r="JW215" s="302"/>
      <c r="JX215" s="302"/>
      <c r="JY215" s="302"/>
      <c r="JZ215" s="302"/>
      <c r="KA215" s="302"/>
      <c r="KB215" s="302"/>
      <c r="KC215" s="302"/>
      <c r="KD215" s="302"/>
      <c r="KE215" s="302"/>
      <c r="KF215" s="302"/>
      <c r="KG215" s="302"/>
      <c r="KH215" s="302"/>
      <c r="KI215" s="302"/>
      <c r="KJ215" s="302"/>
      <c r="KK215" s="302"/>
      <c r="KL215" s="302"/>
      <c r="KM215" s="302"/>
      <c r="KN215" s="302"/>
      <c r="KO215" s="302"/>
      <c r="KP215" s="302"/>
      <c r="KQ215" s="302"/>
      <c r="KR215" s="302"/>
      <c r="KS215" s="302"/>
      <c r="KT215" s="302"/>
      <c r="KU215" s="302"/>
      <c r="KV215" s="302"/>
      <c r="KW215" s="302"/>
      <c r="KX215" s="302"/>
      <c r="KY215" s="302"/>
      <c r="KZ215" s="302"/>
      <c r="LA215" s="302"/>
      <c r="LB215" s="302"/>
      <c r="LC215" s="302"/>
      <c r="LD215" s="302"/>
      <c r="LE215" s="302"/>
      <c r="LF215" s="302"/>
      <c r="LG215" s="302"/>
      <c r="LH215" s="302"/>
      <c r="LI215" s="302"/>
      <c r="LJ215" s="302"/>
      <c r="LK215" s="302"/>
      <c r="LL215" s="302"/>
      <c r="LM215" s="302"/>
      <c r="LN215" s="302"/>
      <c r="LO215" s="302"/>
      <c r="LP215" s="302"/>
      <c r="LQ215" s="302"/>
      <c r="LR215" s="302"/>
      <c r="LS215" s="302"/>
      <c r="LT215" s="302"/>
      <c r="LU215" s="302"/>
      <c r="LV215" s="302"/>
      <c r="LW215" s="302"/>
      <c r="LX215" s="302"/>
      <c r="LY215" s="302"/>
      <c r="LZ215" s="302"/>
      <c r="MA215" s="302"/>
      <c r="MB215" s="302"/>
      <c r="MC215" s="302"/>
      <c r="MD215" s="302"/>
      <c r="ME215" s="302"/>
      <c r="MF215" s="302"/>
      <c r="MG215" s="302"/>
      <c r="MH215" s="302"/>
      <c r="MI215" s="302"/>
      <c r="MJ215" s="302"/>
      <c r="MK215" s="302"/>
      <c r="ML215" s="302"/>
      <c r="MM215" s="302"/>
      <c r="MN215" s="302"/>
      <c r="MO215" s="302"/>
      <c r="MP215" s="302"/>
      <c r="MQ215" s="302"/>
      <c r="MR215" s="302"/>
      <c r="MS215" s="302"/>
      <c r="MT215" s="302"/>
      <c r="MU215" s="302"/>
      <c r="MV215" s="302"/>
      <c r="MW215" s="302"/>
      <c r="MX215" s="302"/>
      <c r="MY215" s="302"/>
      <c r="MZ215" s="302"/>
      <c r="NA215" s="302"/>
      <c r="NB215" s="302"/>
      <c r="NC215" s="302"/>
      <c r="ND215" s="302"/>
      <c r="NE215" s="302"/>
      <c r="NF215" s="302"/>
      <c r="NG215" s="302"/>
      <c r="NH215" s="302"/>
      <c r="NI215" s="302"/>
      <c r="NJ215" s="302"/>
      <c r="NK215" s="302"/>
      <c r="NL215" s="302"/>
      <c r="NM215" s="302"/>
      <c r="NN215" s="302"/>
      <c r="NO215" s="302"/>
      <c r="NP215" s="302"/>
      <c r="NQ215" s="302"/>
      <c r="NR215" s="302"/>
      <c r="NS215" s="302"/>
      <c r="NT215" s="302"/>
      <c r="NU215" s="302"/>
      <c r="NV215" s="302"/>
      <c r="NW215" s="302"/>
      <c r="NX215" s="302"/>
      <c r="NY215" s="302"/>
      <c r="NZ215" s="302"/>
      <c r="OA215" s="302"/>
      <c r="OB215" s="302"/>
      <c r="OC215" s="302"/>
      <c r="OD215" s="302"/>
      <c r="OE215" s="302"/>
      <c r="OF215" s="302"/>
      <c r="OG215" s="302"/>
      <c r="OH215" s="302"/>
      <c r="OI215" s="302"/>
      <c r="OJ215" s="302"/>
      <c r="OK215" s="302"/>
      <c r="OL215" s="302"/>
      <c r="OM215" s="302"/>
      <c r="ON215" s="302"/>
      <c r="OO215" s="302"/>
      <c r="OP215" s="302"/>
      <c r="OQ215" s="302"/>
      <c r="OR215" s="302"/>
      <c r="OS215" s="302"/>
      <c r="OT215" s="302"/>
      <c r="OU215" s="302"/>
      <c r="OV215" s="302"/>
      <c r="OW215" s="302"/>
      <c r="OX215" s="302"/>
      <c r="OY215" s="302"/>
      <c r="OZ215" s="302"/>
      <c r="PA215" s="302"/>
      <c r="PB215" s="302"/>
      <c r="PC215" s="302"/>
      <c r="PD215" s="302"/>
      <c r="PE215" s="302"/>
      <c r="PF215" s="302"/>
      <c r="PG215" s="302"/>
      <c r="PH215" s="302"/>
      <c r="PI215" s="302"/>
      <c r="PJ215" s="302"/>
      <c r="PK215" s="302"/>
      <c r="PL215" s="302"/>
      <c r="PM215" s="302"/>
      <c r="PN215" s="302"/>
      <c r="PO215" s="302"/>
      <c r="PP215" s="302"/>
      <c r="PQ215" s="302"/>
      <c r="PR215" s="302"/>
      <c r="PS215" s="302"/>
      <c r="PT215" s="302"/>
      <c r="PU215" s="302"/>
      <c r="PV215" s="302"/>
      <c r="PW215" s="302"/>
      <c r="PX215" s="302"/>
      <c r="PY215" s="302"/>
      <c r="PZ215" s="302"/>
      <c r="QA215" s="302"/>
      <c r="QB215" s="302"/>
      <c r="QC215" s="302"/>
      <c r="QD215" s="302"/>
      <c r="QE215" s="302"/>
      <c r="QF215" s="302"/>
      <c r="QG215" s="302"/>
      <c r="QH215" s="302"/>
      <c r="QI215" s="302"/>
      <c r="QJ215" s="302"/>
      <c r="QK215" s="302"/>
      <c r="QL215" s="302"/>
      <c r="QM215" s="302"/>
      <c r="QN215" s="302"/>
      <c r="QO215" s="302"/>
      <c r="QP215" s="302"/>
      <c r="QQ215" s="302"/>
      <c r="QR215" s="302"/>
      <c r="QS215" s="302"/>
      <c r="QT215" s="302"/>
      <c r="QU215" s="302"/>
      <c r="QV215" s="302"/>
      <c r="QW215" s="302"/>
      <c r="QX215" s="302"/>
      <c r="QY215" s="302"/>
      <c r="QZ215" s="302"/>
      <c r="RA215" s="302"/>
      <c r="RB215" s="302"/>
      <c r="RC215" s="302"/>
      <c r="RD215" s="302"/>
      <c r="RE215" s="302"/>
      <c r="RF215" s="302"/>
      <c r="RG215" s="302"/>
      <c r="RH215" s="302"/>
      <c r="RI215" s="302"/>
      <c r="RJ215" s="302"/>
      <c r="RK215" s="302"/>
      <c r="RL215" s="302"/>
      <c r="RM215" s="302"/>
      <c r="RN215" s="302"/>
      <c r="RO215" s="302"/>
      <c r="RP215" s="302"/>
      <c r="RQ215" s="302"/>
      <c r="RR215" s="302"/>
      <c r="RS215" s="302"/>
      <c r="RT215" s="302"/>
      <c r="RU215" s="302"/>
      <c r="RV215" s="302"/>
      <c r="RW215" s="302"/>
      <c r="RX215" s="302"/>
      <c r="RY215" s="302"/>
      <c r="RZ215" s="302"/>
      <c r="SA215" s="302"/>
      <c r="SB215" s="302"/>
      <c r="SC215" s="302"/>
      <c r="SD215" s="302"/>
      <c r="SE215" s="302"/>
      <c r="SF215" s="302"/>
      <c r="SG215" s="302"/>
      <c r="SH215" s="302"/>
      <c r="SI215" s="302"/>
      <c r="SJ215" s="302"/>
      <c r="SK215" s="302"/>
      <c r="SL215" s="302"/>
      <c r="SM215" s="302"/>
      <c r="SN215" s="302"/>
      <c r="SO215" s="302"/>
      <c r="SP215" s="302"/>
      <c r="SQ215" s="302"/>
      <c r="SR215" s="302"/>
      <c r="SS215" s="302"/>
      <c r="ST215" s="302"/>
      <c r="SU215" s="302"/>
      <c r="SV215" s="302"/>
      <c r="SW215" s="302"/>
      <c r="SX215" s="302"/>
      <c r="SY215" s="302"/>
      <c r="SZ215" s="302"/>
      <c r="TA215" s="302"/>
      <c r="TB215" s="302"/>
      <c r="TC215" s="302"/>
      <c r="TD215" s="302"/>
      <c r="TE215" s="302"/>
      <c r="TF215" s="302"/>
      <c r="TG215" s="302"/>
      <c r="TH215" s="302"/>
      <c r="TI215" s="302"/>
      <c r="TJ215" s="302"/>
      <c r="TK215" s="302"/>
      <c r="TL215" s="302"/>
      <c r="TM215" s="302"/>
      <c r="TN215" s="302"/>
      <c r="TO215" s="302"/>
      <c r="TP215" s="302"/>
      <c r="TQ215" s="302"/>
      <c r="TR215" s="302"/>
      <c r="TS215" s="302"/>
      <c r="TT215" s="302"/>
      <c r="TU215" s="302"/>
      <c r="TV215" s="302"/>
      <c r="TW215" s="302"/>
      <c r="TX215" s="302"/>
      <c r="TY215" s="302"/>
      <c r="TZ215" s="302"/>
      <c r="UA215" s="302"/>
      <c r="UB215" s="302"/>
      <c r="UC215" s="302"/>
      <c r="UD215" s="302"/>
      <c r="UE215" s="302"/>
      <c r="UF215" s="302"/>
      <c r="UG215" s="302"/>
      <c r="UH215" s="302"/>
      <c r="UI215" s="302"/>
      <c r="UJ215" s="302"/>
      <c r="UK215" s="302"/>
      <c r="UL215" s="302"/>
      <c r="UM215" s="302"/>
      <c r="UN215" s="302"/>
      <c r="UO215" s="302"/>
      <c r="UP215" s="302"/>
      <c r="UQ215" s="302"/>
      <c r="UR215" s="302"/>
      <c r="US215" s="302"/>
      <c r="UT215" s="302"/>
      <c r="UU215" s="302"/>
      <c r="UV215" s="302"/>
      <c r="UW215" s="302"/>
      <c r="UX215" s="302"/>
      <c r="UY215" s="302"/>
      <c r="UZ215" s="302"/>
      <c r="VA215" s="302"/>
      <c r="VB215" s="302"/>
      <c r="VC215" s="302"/>
      <c r="VD215" s="302"/>
      <c r="VE215" s="302"/>
      <c r="VF215" s="302"/>
      <c r="VG215" s="302"/>
      <c r="VH215" s="302"/>
      <c r="VI215" s="302"/>
      <c r="VJ215" s="302"/>
      <c r="VK215" s="302"/>
      <c r="VL215" s="302"/>
      <c r="VM215" s="302"/>
      <c r="VN215" s="302"/>
      <c r="VO215" s="302"/>
      <c r="VP215" s="302"/>
      <c r="VQ215" s="302"/>
      <c r="VR215" s="302"/>
      <c r="VS215" s="302"/>
      <c r="VT215" s="302"/>
      <c r="VU215" s="302"/>
      <c r="VV215" s="302"/>
      <c r="VW215" s="302"/>
      <c r="VX215" s="302"/>
      <c r="VY215" s="302"/>
      <c r="VZ215" s="302"/>
      <c r="WA215" s="302"/>
      <c r="WB215" s="302"/>
      <c r="WC215" s="302"/>
      <c r="WD215" s="302"/>
      <c r="WE215" s="302"/>
      <c r="WF215" s="302"/>
      <c r="WG215" s="302"/>
      <c r="WH215" s="302"/>
      <c r="WI215" s="302"/>
      <c r="WJ215" s="302"/>
      <c r="WK215" s="302"/>
      <c r="WL215" s="302"/>
      <c r="WM215" s="302"/>
      <c r="WN215" s="302"/>
      <c r="WO215" s="302"/>
      <c r="WP215" s="302"/>
      <c r="WQ215" s="302"/>
      <c r="WR215" s="302"/>
      <c r="WS215" s="302"/>
      <c r="WT215" s="302"/>
      <c r="WU215" s="302"/>
      <c r="WV215" s="302"/>
      <c r="WW215" s="302"/>
      <c r="WX215" s="302"/>
      <c r="WY215" s="302"/>
      <c r="WZ215" s="302"/>
      <c r="XA215" s="302"/>
      <c r="XB215" s="302"/>
      <c r="XC215" s="302"/>
      <c r="XD215" s="302"/>
      <c r="XE215" s="302"/>
      <c r="XF215" s="302"/>
      <c r="XG215" s="302"/>
      <c r="XH215" s="302"/>
      <c r="XI215" s="302"/>
      <c r="XJ215" s="302"/>
      <c r="XK215" s="302"/>
      <c r="XL215" s="302"/>
      <c r="XM215" s="302"/>
      <c r="XN215" s="302"/>
      <c r="XO215" s="302"/>
      <c r="XP215" s="302"/>
      <c r="XQ215" s="302"/>
      <c r="XR215" s="302"/>
      <c r="XS215" s="302"/>
      <c r="XT215" s="302"/>
      <c r="XU215" s="302"/>
      <c r="XV215" s="302"/>
      <c r="XW215" s="302"/>
      <c r="XX215" s="302"/>
      <c r="XY215" s="302"/>
      <c r="XZ215" s="302"/>
      <c r="YA215" s="302"/>
      <c r="YB215" s="302"/>
      <c r="YC215" s="302"/>
      <c r="YD215" s="302"/>
      <c r="YE215" s="302"/>
      <c r="YF215" s="302"/>
      <c r="YG215" s="302"/>
      <c r="YH215" s="302"/>
      <c r="YI215" s="302"/>
      <c r="YJ215" s="302"/>
      <c r="YK215" s="302"/>
      <c r="YL215" s="302"/>
      <c r="YM215" s="302"/>
      <c r="YN215" s="302"/>
      <c r="YO215" s="302"/>
      <c r="YP215" s="302"/>
      <c r="YQ215" s="302"/>
      <c r="YR215" s="302"/>
      <c r="YS215" s="302"/>
      <c r="YT215" s="302"/>
      <c r="YU215" s="302"/>
      <c r="YV215" s="302"/>
      <c r="YW215" s="302"/>
      <c r="YX215" s="302"/>
      <c r="YY215" s="302"/>
      <c r="YZ215" s="302"/>
      <c r="ZA215" s="302"/>
      <c r="ZB215" s="302"/>
      <c r="ZC215" s="302"/>
      <c r="ZD215" s="302"/>
      <c r="ZE215" s="302"/>
      <c r="ZF215" s="302"/>
      <c r="ZG215" s="302"/>
      <c r="ZH215" s="302"/>
      <c r="ZI215" s="302"/>
      <c r="ZJ215" s="302"/>
      <c r="ZK215" s="302"/>
      <c r="ZL215" s="302"/>
      <c r="ZM215" s="302"/>
      <c r="ZN215" s="302"/>
      <c r="ZO215" s="302"/>
      <c r="ZP215" s="302"/>
      <c r="ZQ215" s="302"/>
      <c r="ZR215" s="302"/>
      <c r="ZS215" s="302"/>
      <c r="ZT215" s="302"/>
      <c r="ZU215" s="302"/>
      <c r="ZV215" s="302"/>
      <c r="ZW215" s="302"/>
      <c r="ZX215" s="302"/>
      <c r="ZY215" s="302"/>
      <c r="ZZ215" s="302"/>
      <c r="AAA215" s="302"/>
      <c r="AAB215" s="302"/>
      <c r="AAC215" s="302"/>
      <c r="AAD215" s="302"/>
      <c r="AAE215" s="302"/>
      <c r="AAF215" s="302"/>
      <c r="AAG215" s="302"/>
      <c r="AAH215" s="302"/>
      <c r="AAI215" s="302"/>
      <c r="AAJ215" s="302"/>
      <c r="AAK215" s="302"/>
      <c r="AAL215" s="302"/>
      <c r="AAM215" s="302"/>
      <c r="AAN215" s="302"/>
      <c r="AAO215" s="302"/>
      <c r="AAP215" s="302"/>
      <c r="AAQ215" s="302"/>
      <c r="AAR215" s="302"/>
      <c r="AAS215" s="302"/>
      <c r="AAT215" s="302"/>
      <c r="AAU215" s="302"/>
      <c r="AAV215" s="302"/>
      <c r="AAW215" s="302"/>
      <c r="AAX215" s="302"/>
      <c r="AAY215" s="302"/>
      <c r="AAZ215" s="302"/>
      <c r="ABA215" s="302"/>
      <c r="ABB215" s="302"/>
      <c r="ABC215" s="302"/>
      <c r="ABD215" s="302"/>
      <c r="ABE215" s="302"/>
      <c r="ABF215" s="302"/>
      <c r="ABG215" s="302"/>
      <c r="ABH215" s="302"/>
      <c r="ABI215" s="302"/>
      <c r="ABJ215" s="302"/>
      <c r="ABK215" s="302"/>
      <c r="ABL215" s="302"/>
      <c r="ABM215" s="302"/>
      <c r="ABN215" s="302"/>
      <c r="ABO215" s="302"/>
      <c r="ABP215" s="302"/>
      <c r="ABQ215" s="302"/>
      <c r="ABR215" s="302"/>
      <c r="ABS215" s="302"/>
      <c r="ABT215" s="302"/>
      <c r="ABU215" s="302"/>
      <c r="ABV215" s="302"/>
      <c r="ABW215" s="302"/>
      <c r="ABX215" s="302"/>
      <c r="ABY215" s="302"/>
      <c r="ABZ215" s="302"/>
      <c r="ACA215" s="302"/>
      <c r="ACB215" s="302"/>
      <c r="ACC215" s="302"/>
      <c r="ACD215" s="302"/>
      <c r="ACE215" s="302"/>
      <c r="ACF215" s="302"/>
      <c r="ACG215" s="302"/>
      <c r="ACH215" s="302"/>
      <c r="ACI215" s="302"/>
      <c r="ACJ215" s="302"/>
      <c r="ACK215" s="302"/>
      <c r="ACL215" s="302"/>
      <c r="ACM215" s="302"/>
      <c r="ACN215" s="302"/>
      <c r="ACO215" s="302"/>
      <c r="ACP215" s="302"/>
      <c r="ACQ215" s="302"/>
      <c r="ACR215" s="302"/>
      <c r="ACS215" s="302"/>
      <c r="ACT215" s="302"/>
      <c r="ACU215" s="302"/>
      <c r="ACV215" s="302"/>
      <c r="ACW215" s="302"/>
      <c r="ACX215" s="302"/>
      <c r="ACY215" s="302"/>
      <c r="ACZ215" s="302"/>
      <c r="ADA215" s="302"/>
      <c r="ADB215" s="302"/>
      <c r="ADC215" s="302"/>
      <c r="ADD215" s="302"/>
      <c r="ADE215" s="302"/>
      <c r="ADF215" s="302"/>
      <c r="ADG215" s="302"/>
      <c r="ADH215" s="302"/>
      <c r="ADI215" s="302"/>
      <c r="ADJ215" s="302"/>
      <c r="ADK215" s="302"/>
      <c r="ADL215" s="302"/>
      <c r="ADM215" s="302"/>
      <c r="ADN215" s="302"/>
      <c r="ADO215" s="302"/>
      <c r="ADP215" s="302"/>
      <c r="ADQ215" s="302"/>
      <c r="ADR215" s="302"/>
      <c r="ADS215" s="302"/>
      <c r="ADT215" s="302"/>
      <c r="ADU215" s="302"/>
      <c r="ADV215" s="302"/>
      <c r="ADW215" s="302"/>
      <c r="ADX215" s="302"/>
      <c r="ADY215" s="302"/>
      <c r="ADZ215" s="302"/>
      <c r="AEA215" s="302"/>
      <c r="AEB215" s="302"/>
      <c r="AEC215" s="302"/>
      <c r="AED215" s="302"/>
      <c r="AEE215" s="302"/>
      <c r="AEF215" s="302"/>
      <c r="AEG215" s="302"/>
      <c r="AEH215" s="302"/>
      <c r="AEI215" s="302"/>
      <c r="AEJ215" s="302"/>
      <c r="AEK215" s="302"/>
      <c r="AEL215" s="302"/>
      <c r="AEM215" s="302"/>
      <c r="AEN215" s="302"/>
      <c r="AEO215" s="302"/>
      <c r="AEP215" s="302"/>
      <c r="AEQ215" s="302"/>
      <c r="AER215" s="302"/>
      <c r="AES215" s="302"/>
      <c r="AET215" s="302"/>
      <c r="AEU215" s="302"/>
      <c r="AEV215" s="302"/>
      <c r="AEW215" s="302"/>
      <c r="AEX215" s="302"/>
      <c r="AEY215" s="302"/>
      <c r="AEZ215" s="302"/>
      <c r="AFA215" s="302"/>
      <c r="AFB215" s="302"/>
      <c r="AFC215" s="302"/>
      <c r="AFD215" s="302"/>
      <c r="AFE215" s="302"/>
      <c r="AFF215" s="302"/>
      <c r="AFG215" s="302"/>
      <c r="AFH215" s="302"/>
      <c r="AFI215" s="302"/>
      <c r="AFJ215" s="302"/>
      <c r="AFK215" s="302"/>
      <c r="AFL215" s="302"/>
      <c r="AFM215" s="302"/>
      <c r="AFN215" s="302"/>
      <c r="AFO215" s="302"/>
      <c r="AFP215" s="302"/>
      <c r="AFQ215" s="302"/>
      <c r="AFR215" s="302"/>
      <c r="AFS215" s="302"/>
      <c r="AFT215" s="302"/>
      <c r="AFU215" s="302"/>
      <c r="AFV215" s="302"/>
      <c r="AFW215" s="302"/>
      <c r="AFX215" s="302"/>
      <c r="AFY215" s="302"/>
      <c r="AFZ215" s="302"/>
      <c r="AGA215" s="302"/>
      <c r="AGB215" s="302"/>
      <c r="AGC215" s="302"/>
      <c r="AGD215" s="302"/>
      <c r="AGE215" s="302"/>
      <c r="AGF215" s="302"/>
      <c r="AGG215" s="302"/>
      <c r="AGH215" s="302"/>
      <c r="AGI215" s="302"/>
      <c r="AGJ215" s="302"/>
      <c r="AGK215" s="302"/>
      <c r="AGL215" s="302"/>
      <c r="AGM215" s="302"/>
      <c r="AGN215" s="302"/>
      <c r="AGO215" s="302"/>
      <c r="AGP215" s="302"/>
      <c r="AGQ215" s="302"/>
      <c r="AGR215" s="302"/>
      <c r="AGS215" s="302"/>
      <c r="AGT215" s="302"/>
      <c r="AGU215" s="302"/>
      <c r="AGV215" s="302"/>
      <c r="AGW215" s="302"/>
      <c r="AGX215" s="302"/>
      <c r="AGY215" s="302"/>
      <c r="AGZ215" s="302"/>
      <c r="AHA215" s="302"/>
      <c r="AHB215" s="302"/>
      <c r="AHC215" s="302"/>
      <c r="AHD215" s="302"/>
      <c r="AHE215" s="302"/>
      <c r="AHF215" s="302"/>
      <c r="AHG215" s="302"/>
      <c r="AHH215" s="302"/>
      <c r="AHI215" s="302"/>
      <c r="AHJ215" s="302"/>
      <c r="AHK215" s="302"/>
      <c r="AHL215" s="302"/>
      <c r="AHM215" s="302"/>
      <c r="AHN215" s="302"/>
      <c r="AHO215" s="302"/>
      <c r="AHP215" s="302"/>
      <c r="AHQ215" s="302"/>
      <c r="AHR215" s="302"/>
      <c r="AHS215" s="302"/>
      <c r="AHT215" s="302"/>
      <c r="AHU215" s="302"/>
      <c r="AHV215" s="302"/>
      <c r="AHW215" s="302"/>
      <c r="AHX215" s="302"/>
      <c r="AHY215" s="302"/>
      <c r="AHZ215" s="302"/>
      <c r="AIA215" s="302"/>
      <c r="AIB215" s="302"/>
      <c r="AIC215" s="302"/>
      <c r="AID215" s="302"/>
      <c r="AIE215" s="302"/>
      <c r="AIF215" s="302"/>
      <c r="AIG215" s="302"/>
      <c r="AIH215" s="302"/>
      <c r="AII215" s="302"/>
      <c r="AIJ215" s="302"/>
      <c r="AIK215" s="302"/>
      <c r="AIL215" s="302"/>
      <c r="AIM215" s="302"/>
      <c r="AIN215" s="302"/>
      <c r="AIO215" s="302"/>
      <c r="AIP215" s="302"/>
      <c r="AIQ215" s="302"/>
      <c r="AIR215" s="302"/>
      <c r="AIS215" s="302"/>
      <c r="AIT215" s="302"/>
      <c r="AIU215" s="302"/>
      <c r="AIV215" s="302"/>
      <c r="AIW215" s="302"/>
      <c r="AIX215" s="302"/>
      <c r="AIY215" s="302"/>
      <c r="AIZ215" s="302"/>
      <c r="AJA215" s="302"/>
      <c r="AJB215" s="302"/>
      <c r="AJC215" s="302"/>
      <c r="AJD215" s="302"/>
      <c r="AJE215" s="302"/>
      <c r="AJF215" s="302"/>
      <c r="AJG215" s="302"/>
      <c r="AJH215" s="302"/>
      <c r="AJI215" s="302"/>
      <c r="AJJ215" s="302"/>
      <c r="AJK215" s="302"/>
      <c r="AJL215" s="302"/>
      <c r="AJM215" s="302"/>
      <c r="AJN215" s="302"/>
      <c r="AJO215" s="302"/>
      <c r="AJP215" s="302"/>
      <c r="AJQ215" s="302"/>
      <c r="AJR215" s="302"/>
      <c r="AJS215" s="302"/>
      <c r="AJT215" s="302"/>
      <c r="AJU215" s="302"/>
      <c r="AJV215" s="302"/>
      <c r="AJW215" s="302"/>
      <c r="AJX215" s="302"/>
      <c r="AJY215" s="302"/>
      <c r="AJZ215" s="302"/>
      <c r="AKA215" s="302"/>
      <c r="AKB215" s="302"/>
      <c r="AKC215" s="302"/>
      <c r="AKD215" s="302"/>
      <c r="AKE215" s="302"/>
      <c r="AKF215" s="302"/>
      <c r="AKG215" s="302"/>
      <c r="AKH215" s="302"/>
      <c r="AKI215" s="302"/>
      <c r="AKJ215" s="302"/>
      <c r="AKK215" s="302"/>
      <c r="AKL215" s="302"/>
      <c r="AKM215" s="302"/>
      <c r="AKN215" s="302"/>
      <c r="AKO215" s="302"/>
      <c r="AKP215" s="302"/>
      <c r="AKQ215" s="302"/>
      <c r="AKR215" s="302"/>
      <c r="AKS215" s="302"/>
      <c r="AKT215" s="302"/>
      <c r="AKU215" s="302"/>
      <c r="AKV215" s="302"/>
      <c r="AKW215" s="302"/>
      <c r="AKX215" s="302"/>
      <c r="AKY215" s="302"/>
      <c r="AKZ215" s="302"/>
      <c r="ALA215" s="302"/>
      <c r="ALB215" s="302"/>
      <c r="ALC215" s="302"/>
      <c r="ALD215" s="302"/>
      <c r="ALE215" s="302"/>
      <c r="ALF215" s="302"/>
      <c r="ALG215" s="302"/>
      <c r="ALH215" s="302"/>
      <c r="ALI215" s="302"/>
      <c r="ALJ215" s="302"/>
      <c r="ALK215" s="302"/>
      <c r="ALL215" s="302"/>
      <c r="ALM215" s="302"/>
      <c r="ALN215" s="302"/>
      <c r="ALO215" s="302"/>
      <c r="ALP215" s="302"/>
      <c r="ALQ215" s="302"/>
      <c r="ALR215" s="302"/>
      <c r="ALS215" s="302"/>
      <c r="ALT215" s="302"/>
      <c r="ALU215" s="302"/>
      <c r="ALV215" s="302"/>
      <c r="ALW215" s="302"/>
      <c r="ALX215" s="302"/>
      <c r="ALY215" s="302"/>
      <c r="ALZ215" s="302"/>
      <c r="AMA215" s="302"/>
      <c r="AMB215" s="302"/>
      <c r="AMC215" s="302"/>
      <c r="AMD215" s="302"/>
      <c r="AME215" s="302"/>
      <c r="AMF215" s="302"/>
      <c r="AMG215" s="302"/>
      <c r="AMH215" s="302"/>
      <c r="AMI215" s="302"/>
    </row>
    <row r="216" spans="1:1023" ht="18.75" hidden="1">
      <c r="A216" s="302"/>
      <c r="B216" s="304"/>
      <c r="C216" s="304"/>
      <c r="D216" s="305" t="s">
        <v>378</v>
      </c>
      <c r="E216" s="306">
        <f>SUM(E206:E215)</f>
        <v>28513000</v>
      </c>
      <c r="F216" s="307"/>
      <c r="G216" s="306">
        <f>G206+G207+G208+G209+G210+G211+G212+G213+G214+G215</f>
        <v>1289500</v>
      </c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2"/>
      <c r="AE216" s="302"/>
      <c r="AF216" s="302"/>
      <c r="AG216" s="302"/>
      <c r="AH216" s="302"/>
      <c r="AI216" s="302"/>
      <c r="AJ216" s="302"/>
      <c r="AK216" s="302"/>
      <c r="AL216" s="302"/>
      <c r="AM216" s="302"/>
      <c r="AN216" s="302"/>
      <c r="AO216" s="302"/>
      <c r="AP216" s="302"/>
      <c r="AQ216" s="302"/>
      <c r="AR216" s="302"/>
      <c r="AS216" s="302"/>
      <c r="AT216" s="302"/>
      <c r="AU216" s="302"/>
      <c r="AV216" s="302"/>
      <c r="AW216" s="302"/>
      <c r="AX216" s="302"/>
      <c r="AY216" s="302"/>
      <c r="AZ216" s="302"/>
      <c r="BA216" s="302"/>
      <c r="BB216" s="302"/>
      <c r="BC216" s="302"/>
      <c r="BD216" s="302"/>
      <c r="BE216" s="302"/>
      <c r="BF216" s="302"/>
      <c r="BG216" s="302"/>
      <c r="BH216" s="302"/>
      <c r="BI216" s="302"/>
      <c r="BJ216" s="302"/>
      <c r="BK216" s="302"/>
      <c r="BL216" s="302"/>
      <c r="BM216" s="302"/>
      <c r="BN216" s="302"/>
      <c r="BO216" s="302"/>
      <c r="BP216" s="302"/>
      <c r="BQ216" s="302"/>
      <c r="BR216" s="302"/>
      <c r="BS216" s="302"/>
      <c r="BT216" s="302"/>
      <c r="BU216" s="302"/>
      <c r="BV216" s="302"/>
      <c r="BW216" s="302"/>
      <c r="BX216" s="302"/>
      <c r="BY216" s="302"/>
      <c r="BZ216" s="302"/>
      <c r="CA216" s="302"/>
      <c r="CB216" s="302"/>
      <c r="CC216" s="302"/>
      <c r="CD216" s="302"/>
      <c r="CE216" s="302"/>
      <c r="CF216" s="302"/>
      <c r="CG216" s="302"/>
      <c r="CH216" s="302"/>
      <c r="CI216" s="302"/>
      <c r="CJ216" s="302"/>
      <c r="CK216" s="302"/>
      <c r="CL216" s="302"/>
      <c r="CM216" s="302"/>
      <c r="CN216" s="302"/>
      <c r="CO216" s="302"/>
      <c r="CP216" s="302"/>
      <c r="CQ216" s="302"/>
      <c r="CR216" s="302"/>
      <c r="CS216" s="302"/>
      <c r="CT216" s="302"/>
      <c r="CU216" s="302"/>
      <c r="CV216" s="302"/>
      <c r="CW216" s="302"/>
      <c r="CX216" s="302"/>
      <c r="CY216" s="302"/>
      <c r="CZ216" s="302"/>
      <c r="DA216" s="302"/>
      <c r="DB216" s="302"/>
      <c r="DC216" s="302"/>
      <c r="DD216" s="302"/>
      <c r="DE216" s="302"/>
      <c r="DF216" s="302"/>
      <c r="DG216" s="302"/>
      <c r="DH216" s="302"/>
      <c r="DI216" s="302"/>
      <c r="DJ216" s="302"/>
      <c r="DK216" s="302"/>
      <c r="DL216" s="302"/>
      <c r="DM216" s="302"/>
      <c r="DN216" s="302"/>
      <c r="DO216" s="302"/>
      <c r="DP216" s="302"/>
      <c r="DQ216" s="302"/>
      <c r="DR216" s="302"/>
      <c r="DS216" s="302"/>
      <c r="DT216" s="302"/>
      <c r="DU216" s="302"/>
      <c r="DV216" s="302"/>
      <c r="DW216" s="302"/>
      <c r="DX216" s="302"/>
      <c r="DY216" s="302"/>
      <c r="DZ216" s="302"/>
      <c r="EA216" s="302"/>
      <c r="EB216" s="302"/>
      <c r="EC216" s="302"/>
      <c r="ED216" s="302"/>
      <c r="EE216" s="302"/>
      <c r="EF216" s="302"/>
      <c r="EG216" s="302"/>
      <c r="EH216" s="302"/>
      <c r="EI216" s="302"/>
      <c r="EJ216" s="302"/>
      <c r="EK216" s="302"/>
      <c r="EL216" s="302"/>
      <c r="EM216" s="302"/>
      <c r="EN216" s="302"/>
      <c r="EO216" s="302"/>
      <c r="EP216" s="302"/>
      <c r="EQ216" s="302"/>
      <c r="ER216" s="302"/>
      <c r="ES216" s="302"/>
      <c r="ET216" s="302"/>
      <c r="EU216" s="302"/>
      <c r="EV216" s="302"/>
      <c r="EW216" s="302"/>
      <c r="EX216" s="302"/>
      <c r="EY216" s="302"/>
      <c r="EZ216" s="302"/>
      <c r="FA216" s="302"/>
      <c r="FB216" s="302"/>
      <c r="FC216" s="302"/>
      <c r="FD216" s="302"/>
      <c r="FE216" s="302"/>
      <c r="FF216" s="302"/>
      <c r="FG216" s="302"/>
      <c r="FH216" s="302"/>
      <c r="FI216" s="302"/>
      <c r="FJ216" s="302"/>
      <c r="FK216" s="302"/>
      <c r="FL216" s="302"/>
      <c r="FM216" s="302"/>
      <c r="FN216" s="302"/>
      <c r="FO216" s="302"/>
      <c r="FP216" s="302"/>
      <c r="FQ216" s="302"/>
      <c r="FR216" s="302"/>
      <c r="FS216" s="302"/>
      <c r="FT216" s="302"/>
      <c r="FU216" s="302"/>
      <c r="FV216" s="302"/>
      <c r="FW216" s="302"/>
      <c r="FX216" s="302"/>
      <c r="FY216" s="302"/>
      <c r="FZ216" s="302"/>
      <c r="GA216" s="302"/>
      <c r="GB216" s="302"/>
      <c r="GC216" s="302"/>
      <c r="GD216" s="302"/>
      <c r="GE216" s="302"/>
      <c r="GF216" s="302"/>
      <c r="GG216" s="302"/>
      <c r="GH216" s="302"/>
      <c r="GI216" s="302"/>
      <c r="GJ216" s="302"/>
      <c r="GK216" s="302"/>
      <c r="GL216" s="302"/>
      <c r="GM216" s="302"/>
      <c r="GN216" s="302"/>
      <c r="GO216" s="302"/>
      <c r="GP216" s="302"/>
      <c r="GQ216" s="302"/>
      <c r="GR216" s="302"/>
      <c r="GS216" s="302"/>
      <c r="GT216" s="302"/>
      <c r="GU216" s="302"/>
      <c r="GV216" s="302"/>
      <c r="GW216" s="302"/>
      <c r="GX216" s="302"/>
      <c r="GY216" s="302"/>
      <c r="GZ216" s="302"/>
      <c r="HA216" s="302"/>
      <c r="HB216" s="302"/>
      <c r="HC216" s="302"/>
      <c r="HD216" s="302"/>
      <c r="HE216" s="302"/>
      <c r="HF216" s="302"/>
      <c r="HG216" s="302"/>
      <c r="HH216" s="302"/>
      <c r="HI216" s="302"/>
      <c r="HJ216" s="302"/>
      <c r="HK216" s="302"/>
      <c r="HL216" s="302"/>
      <c r="HM216" s="302"/>
      <c r="HN216" s="302"/>
      <c r="HO216" s="302"/>
      <c r="HP216" s="302"/>
      <c r="HQ216" s="302"/>
      <c r="HR216" s="302"/>
      <c r="HS216" s="302"/>
      <c r="HT216" s="302"/>
      <c r="HU216" s="302"/>
      <c r="HV216" s="302"/>
      <c r="HW216" s="302"/>
      <c r="HX216" s="302"/>
      <c r="HY216" s="302"/>
      <c r="HZ216" s="302"/>
      <c r="IA216" s="302"/>
      <c r="IB216" s="302"/>
      <c r="IC216" s="302"/>
      <c r="ID216" s="302"/>
      <c r="IE216" s="302"/>
      <c r="IF216" s="302"/>
      <c r="IG216" s="302"/>
      <c r="IH216" s="302"/>
      <c r="II216" s="302"/>
      <c r="IJ216" s="302"/>
      <c r="IK216" s="302"/>
      <c r="IL216" s="302"/>
      <c r="IM216" s="302"/>
      <c r="IN216" s="302"/>
      <c r="IO216" s="302"/>
      <c r="IP216" s="302"/>
      <c r="IQ216" s="302"/>
      <c r="IR216" s="302"/>
      <c r="IS216" s="302"/>
      <c r="IT216" s="302"/>
      <c r="IU216" s="302"/>
      <c r="IV216" s="302"/>
      <c r="IW216" s="302"/>
      <c r="IX216" s="302"/>
      <c r="IY216" s="302"/>
      <c r="IZ216" s="302"/>
      <c r="JA216" s="302"/>
      <c r="JB216" s="302"/>
      <c r="JC216" s="302"/>
      <c r="JD216" s="302"/>
      <c r="JE216" s="302"/>
      <c r="JF216" s="302"/>
      <c r="JG216" s="302"/>
      <c r="JH216" s="302"/>
      <c r="JI216" s="302"/>
      <c r="JJ216" s="302"/>
      <c r="JK216" s="302"/>
      <c r="JL216" s="302"/>
      <c r="JM216" s="302"/>
      <c r="JN216" s="302"/>
      <c r="JO216" s="302"/>
      <c r="JP216" s="302"/>
      <c r="JQ216" s="302"/>
      <c r="JR216" s="302"/>
      <c r="JS216" s="302"/>
      <c r="JT216" s="302"/>
      <c r="JU216" s="302"/>
      <c r="JV216" s="302"/>
      <c r="JW216" s="302"/>
      <c r="JX216" s="302"/>
      <c r="JY216" s="302"/>
      <c r="JZ216" s="302"/>
      <c r="KA216" s="302"/>
      <c r="KB216" s="302"/>
      <c r="KC216" s="302"/>
      <c r="KD216" s="302"/>
      <c r="KE216" s="302"/>
      <c r="KF216" s="302"/>
      <c r="KG216" s="302"/>
      <c r="KH216" s="302"/>
      <c r="KI216" s="302"/>
      <c r="KJ216" s="302"/>
      <c r="KK216" s="302"/>
      <c r="KL216" s="302"/>
      <c r="KM216" s="302"/>
      <c r="KN216" s="302"/>
      <c r="KO216" s="302"/>
      <c r="KP216" s="302"/>
      <c r="KQ216" s="302"/>
      <c r="KR216" s="302"/>
      <c r="KS216" s="302"/>
      <c r="KT216" s="302"/>
      <c r="KU216" s="302"/>
      <c r="KV216" s="302"/>
      <c r="KW216" s="302"/>
      <c r="KX216" s="302"/>
      <c r="KY216" s="302"/>
      <c r="KZ216" s="302"/>
      <c r="LA216" s="302"/>
      <c r="LB216" s="302"/>
      <c r="LC216" s="302"/>
      <c r="LD216" s="302"/>
      <c r="LE216" s="302"/>
      <c r="LF216" s="302"/>
      <c r="LG216" s="302"/>
      <c r="LH216" s="302"/>
      <c r="LI216" s="302"/>
      <c r="LJ216" s="302"/>
      <c r="LK216" s="302"/>
      <c r="LL216" s="302"/>
      <c r="LM216" s="302"/>
      <c r="LN216" s="302"/>
      <c r="LO216" s="302"/>
      <c r="LP216" s="302"/>
      <c r="LQ216" s="302"/>
      <c r="LR216" s="302"/>
      <c r="LS216" s="302"/>
      <c r="LT216" s="302"/>
      <c r="LU216" s="302"/>
      <c r="LV216" s="302"/>
      <c r="LW216" s="302"/>
      <c r="LX216" s="302"/>
      <c r="LY216" s="302"/>
      <c r="LZ216" s="302"/>
      <c r="MA216" s="302"/>
      <c r="MB216" s="302"/>
      <c r="MC216" s="302"/>
      <c r="MD216" s="302"/>
      <c r="ME216" s="302"/>
      <c r="MF216" s="302"/>
      <c r="MG216" s="302"/>
      <c r="MH216" s="302"/>
      <c r="MI216" s="302"/>
      <c r="MJ216" s="302"/>
      <c r="MK216" s="302"/>
      <c r="ML216" s="302"/>
      <c r="MM216" s="302"/>
      <c r="MN216" s="302"/>
      <c r="MO216" s="302"/>
      <c r="MP216" s="302"/>
      <c r="MQ216" s="302"/>
      <c r="MR216" s="302"/>
      <c r="MS216" s="302"/>
      <c r="MT216" s="302"/>
      <c r="MU216" s="302"/>
      <c r="MV216" s="302"/>
      <c r="MW216" s="302"/>
      <c r="MX216" s="302"/>
      <c r="MY216" s="302"/>
      <c r="MZ216" s="302"/>
      <c r="NA216" s="302"/>
      <c r="NB216" s="302"/>
      <c r="NC216" s="302"/>
      <c r="ND216" s="302"/>
      <c r="NE216" s="302"/>
      <c r="NF216" s="302"/>
      <c r="NG216" s="302"/>
      <c r="NH216" s="302"/>
      <c r="NI216" s="302"/>
      <c r="NJ216" s="302"/>
      <c r="NK216" s="302"/>
      <c r="NL216" s="302"/>
      <c r="NM216" s="302"/>
      <c r="NN216" s="302"/>
      <c r="NO216" s="302"/>
      <c r="NP216" s="302"/>
      <c r="NQ216" s="302"/>
      <c r="NR216" s="302"/>
      <c r="NS216" s="302"/>
      <c r="NT216" s="302"/>
      <c r="NU216" s="302"/>
      <c r="NV216" s="302"/>
      <c r="NW216" s="302"/>
      <c r="NX216" s="302"/>
      <c r="NY216" s="302"/>
      <c r="NZ216" s="302"/>
      <c r="OA216" s="302"/>
      <c r="OB216" s="302"/>
      <c r="OC216" s="302"/>
      <c r="OD216" s="302"/>
      <c r="OE216" s="302"/>
      <c r="OF216" s="302"/>
      <c r="OG216" s="302"/>
      <c r="OH216" s="302"/>
      <c r="OI216" s="302"/>
      <c r="OJ216" s="302"/>
      <c r="OK216" s="302"/>
      <c r="OL216" s="302"/>
      <c r="OM216" s="302"/>
      <c r="ON216" s="302"/>
      <c r="OO216" s="302"/>
      <c r="OP216" s="302"/>
      <c r="OQ216" s="302"/>
      <c r="OR216" s="302"/>
      <c r="OS216" s="302"/>
      <c r="OT216" s="302"/>
      <c r="OU216" s="302"/>
      <c r="OV216" s="302"/>
      <c r="OW216" s="302"/>
      <c r="OX216" s="302"/>
      <c r="OY216" s="302"/>
      <c r="OZ216" s="302"/>
      <c r="PA216" s="302"/>
      <c r="PB216" s="302"/>
      <c r="PC216" s="302"/>
      <c r="PD216" s="302"/>
      <c r="PE216" s="302"/>
      <c r="PF216" s="302"/>
      <c r="PG216" s="302"/>
      <c r="PH216" s="302"/>
      <c r="PI216" s="302"/>
      <c r="PJ216" s="302"/>
      <c r="PK216" s="302"/>
      <c r="PL216" s="302"/>
      <c r="PM216" s="302"/>
      <c r="PN216" s="302"/>
      <c r="PO216" s="302"/>
      <c r="PP216" s="302"/>
      <c r="PQ216" s="302"/>
      <c r="PR216" s="302"/>
      <c r="PS216" s="302"/>
      <c r="PT216" s="302"/>
      <c r="PU216" s="302"/>
      <c r="PV216" s="302"/>
      <c r="PW216" s="302"/>
      <c r="PX216" s="302"/>
      <c r="PY216" s="302"/>
      <c r="PZ216" s="302"/>
      <c r="QA216" s="302"/>
      <c r="QB216" s="302"/>
      <c r="QC216" s="302"/>
      <c r="QD216" s="302"/>
      <c r="QE216" s="302"/>
      <c r="QF216" s="302"/>
      <c r="QG216" s="302"/>
      <c r="QH216" s="302"/>
      <c r="QI216" s="302"/>
      <c r="QJ216" s="302"/>
      <c r="QK216" s="302"/>
      <c r="QL216" s="302"/>
      <c r="QM216" s="302"/>
      <c r="QN216" s="302"/>
      <c r="QO216" s="302"/>
      <c r="QP216" s="302"/>
      <c r="QQ216" s="302"/>
      <c r="QR216" s="302"/>
      <c r="QS216" s="302"/>
      <c r="QT216" s="302"/>
      <c r="QU216" s="302"/>
      <c r="QV216" s="302"/>
      <c r="QW216" s="302"/>
      <c r="QX216" s="302"/>
      <c r="QY216" s="302"/>
      <c r="QZ216" s="302"/>
      <c r="RA216" s="302"/>
      <c r="RB216" s="302"/>
      <c r="RC216" s="302"/>
      <c r="RD216" s="302"/>
      <c r="RE216" s="302"/>
      <c r="RF216" s="302"/>
      <c r="RG216" s="302"/>
      <c r="RH216" s="302"/>
      <c r="RI216" s="302"/>
      <c r="RJ216" s="302"/>
      <c r="RK216" s="302"/>
      <c r="RL216" s="302"/>
      <c r="RM216" s="302"/>
      <c r="RN216" s="302"/>
      <c r="RO216" s="302"/>
      <c r="RP216" s="302"/>
      <c r="RQ216" s="302"/>
      <c r="RR216" s="302"/>
      <c r="RS216" s="302"/>
      <c r="RT216" s="302"/>
      <c r="RU216" s="302"/>
      <c r="RV216" s="302"/>
      <c r="RW216" s="302"/>
      <c r="RX216" s="302"/>
      <c r="RY216" s="302"/>
      <c r="RZ216" s="302"/>
      <c r="SA216" s="302"/>
      <c r="SB216" s="302"/>
      <c r="SC216" s="302"/>
      <c r="SD216" s="302"/>
      <c r="SE216" s="302"/>
      <c r="SF216" s="302"/>
      <c r="SG216" s="302"/>
      <c r="SH216" s="302"/>
      <c r="SI216" s="302"/>
      <c r="SJ216" s="302"/>
      <c r="SK216" s="302"/>
      <c r="SL216" s="302"/>
      <c r="SM216" s="302"/>
      <c r="SN216" s="302"/>
      <c r="SO216" s="302"/>
      <c r="SP216" s="302"/>
      <c r="SQ216" s="302"/>
      <c r="SR216" s="302"/>
      <c r="SS216" s="302"/>
      <c r="ST216" s="302"/>
      <c r="SU216" s="302"/>
      <c r="SV216" s="302"/>
      <c r="SW216" s="302"/>
      <c r="SX216" s="302"/>
      <c r="SY216" s="302"/>
      <c r="SZ216" s="302"/>
      <c r="TA216" s="302"/>
      <c r="TB216" s="302"/>
      <c r="TC216" s="302"/>
      <c r="TD216" s="302"/>
      <c r="TE216" s="302"/>
      <c r="TF216" s="302"/>
      <c r="TG216" s="302"/>
      <c r="TH216" s="302"/>
      <c r="TI216" s="302"/>
      <c r="TJ216" s="302"/>
      <c r="TK216" s="302"/>
      <c r="TL216" s="302"/>
      <c r="TM216" s="302"/>
      <c r="TN216" s="302"/>
      <c r="TO216" s="302"/>
      <c r="TP216" s="302"/>
      <c r="TQ216" s="302"/>
      <c r="TR216" s="302"/>
      <c r="TS216" s="302"/>
      <c r="TT216" s="302"/>
      <c r="TU216" s="302"/>
      <c r="TV216" s="302"/>
      <c r="TW216" s="302"/>
      <c r="TX216" s="302"/>
      <c r="TY216" s="302"/>
      <c r="TZ216" s="302"/>
      <c r="UA216" s="302"/>
      <c r="UB216" s="302"/>
      <c r="UC216" s="302"/>
      <c r="UD216" s="302"/>
      <c r="UE216" s="302"/>
      <c r="UF216" s="302"/>
      <c r="UG216" s="302"/>
      <c r="UH216" s="302"/>
      <c r="UI216" s="302"/>
      <c r="UJ216" s="302"/>
      <c r="UK216" s="302"/>
      <c r="UL216" s="302"/>
      <c r="UM216" s="302"/>
      <c r="UN216" s="302"/>
      <c r="UO216" s="302"/>
      <c r="UP216" s="302"/>
      <c r="UQ216" s="302"/>
      <c r="UR216" s="302"/>
      <c r="US216" s="302"/>
      <c r="UT216" s="302"/>
      <c r="UU216" s="302"/>
      <c r="UV216" s="302"/>
      <c r="UW216" s="302"/>
      <c r="UX216" s="302"/>
      <c r="UY216" s="302"/>
      <c r="UZ216" s="302"/>
      <c r="VA216" s="302"/>
      <c r="VB216" s="302"/>
      <c r="VC216" s="302"/>
      <c r="VD216" s="302"/>
      <c r="VE216" s="302"/>
      <c r="VF216" s="302"/>
      <c r="VG216" s="302"/>
      <c r="VH216" s="302"/>
      <c r="VI216" s="302"/>
      <c r="VJ216" s="302"/>
      <c r="VK216" s="302"/>
      <c r="VL216" s="302"/>
      <c r="VM216" s="302"/>
      <c r="VN216" s="302"/>
      <c r="VO216" s="302"/>
      <c r="VP216" s="302"/>
      <c r="VQ216" s="302"/>
      <c r="VR216" s="302"/>
      <c r="VS216" s="302"/>
      <c r="VT216" s="302"/>
      <c r="VU216" s="302"/>
      <c r="VV216" s="302"/>
      <c r="VW216" s="302"/>
      <c r="VX216" s="302"/>
      <c r="VY216" s="302"/>
      <c r="VZ216" s="302"/>
      <c r="WA216" s="302"/>
      <c r="WB216" s="302"/>
      <c r="WC216" s="302"/>
      <c r="WD216" s="302"/>
      <c r="WE216" s="302"/>
      <c r="WF216" s="302"/>
      <c r="WG216" s="302"/>
      <c r="WH216" s="302"/>
      <c r="WI216" s="302"/>
      <c r="WJ216" s="302"/>
      <c r="WK216" s="302"/>
      <c r="WL216" s="302"/>
      <c r="WM216" s="302"/>
      <c r="WN216" s="302"/>
      <c r="WO216" s="302"/>
      <c r="WP216" s="302"/>
      <c r="WQ216" s="302"/>
      <c r="WR216" s="302"/>
      <c r="WS216" s="302"/>
      <c r="WT216" s="302"/>
      <c r="WU216" s="302"/>
      <c r="WV216" s="302"/>
      <c r="WW216" s="302"/>
      <c r="WX216" s="302"/>
      <c r="WY216" s="302"/>
      <c r="WZ216" s="302"/>
      <c r="XA216" s="302"/>
      <c r="XB216" s="302"/>
      <c r="XC216" s="302"/>
      <c r="XD216" s="302"/>
      <c r="XE216" s="302"/>
      <c r="XF216" s="302"/>
      <c r="XG216" s="302"/>
      <c r="XH216" s="302"/>
      <c r="XI216" s="302"/>
      <c r="XJ216" s="302"/>
      <c r="XK216" s="302"/>
      <c r="XL216" s="302"/>
      <c r="XM216" s="302"/>
      <c r="XN216" s="302"/>
      <c r="XO216" s="302"/>
      <c r="XP216" s="302"/>
      <c r="XQ216" s="302"/>
      <c r="XR216" s="302"/>
      <c r="XS216" s="302"/>
      <c r="XT216" s="302"/>
      <c r="XU216" s="302"/>
      <c r="XV216" s="302"/>
      <c r="XW216" s="302"/>
      <c r="XX216" s="302"/>
      <c r="XY216" s="302"/>
      <c r="XZ216" s="302"/>
      <c r="YA216" s="302"/>
      <c r="YB216" s="302"/>
      <c r="YC216" s="302"/>
      <c r="YD216" s="302"/>
      <c r="YE216" s="302"/>
      <c r="YF216" s="302"/>
      <c r="YG216" s="302"/>
      <c r="YH216" s="302"/>
      <c r="YI216" s="302"/>
      <c r="YJ216" s="302"/>
      <c r="YK216" s="302"/>
      <c r="YL216" s="302"/>
      <c r="YM216" s="302"/>
      <c r="YN216" s="302"/>
      <c r="YO216" s="302"/>
      <c r="YP216" s="302"/>
      <c r="YQ216" s="302"/>
      <c r="YR216" s="302"/>
      <c r="YS216" s="302"/>
      <c r="YT216" s="302"/>
      <c r="YU216" s="302"/>
      <c r="YV216" s="302"/>
      <c r="YW216" s="302"/>
      <c r="YX216" s="302"/>
      <c r="YY216" s="302"/>
      <c r="YZ216" s="302"/>
      <c r="ZA216" s="302"/>
      <c r="ZB216" s="302"/>
      <c r="ZC216" s="302"/>
      <c r="ZD216" s="302"/>
      <c r="ZE216" s="302"/>
      <c r="ZF216" s="302"/>
      <c r="ZG216" s="302"/>
      <c r="ZH216" s="302"/>
      <c r="ZI216" s="302"/>
      <c r="ZJ216" s="302"/>
      <c r="ZK216" s="302"/>
      <c r="ZL216" s="302"/>
      <c r="ZM216" s="302"/>
      <c r="ZN216" s="302"/>
      <c r="ZO216" s="302"/>
      <c r="ZP216" s="302"/>
      <c r="ZQ216" s="302"/>
      <c r="ZR216" s="302"/>
      <c r="ZS216" s="302"/>
      <c r="ZT216" s="302"/>
      <c r="ZU216" s="302"/>
      <c r="ZV216" s="302"/>
      <c r="ZW216" s="302"/>
      <c r="ZX216" s="302"/>
      <c r="ZY216" s="302"/>
      <c r="ZZ216" s="302"/>
      <c r="AAA216" s="302"/>
      <c r="AAB216" s="302"/>
      <c r="AAC216" s="302"/>
      <c r="AAD216" s="302"/>
      <c r="AAE216" s="302"/>
      <c r="AAF216" s="302"/>
      <c r="AAG216" s="302"/>
      <c r="AAH216" s="302"/>
      <c r="AAI216" s="302"/>
      <c r="AAJ216" s="302"/>
      <c r="AAK216" s="302"/>
      <c r="AAL216" s="302"/>
      <c r="AAM216" s="302"/>
      <c r="AAN216" s="302"/>
      <c r="AAO216" s="302"/>
      <c r="AAP216" s="302"/>
      <c r="AAQ216" s="302"/>
      <c r="AAR216" s="302"/>
      <c r="AAS216" s="302"/>
      <c r="AAT216" s="302"/>
      <c r="AAU216" s="302"/>
      <c r="AAV216" s="302"/>
      <c r="AAW216" s="302"/>
      <c r="AAX216" s="302"/>
      <c r="AAY216" s="302"/>
      <c r="AAZ216" s="302"/>
      <c r="ABA216" s="302"/>
      <c r="ABB216" s="302"/>
      <c r="ABC216" s="302"/>
      <c r="ABD216" s="302"/>
      <c r="ABE216" s="302"/>
      <c r="ABF216" s="302"/>
      <c r="ABG216" s="302"/>
      <c r="ABH216" s="302"/>
      <c r="ABI216" s="302"/>
      <c r="ABJ216" s="302"/>
      <c r="ABK216" s="302"/>
      <c r="ABL216" s="302"/>
      <c r="ABM216" s="302"/>
      <c r="ABN216" s="302"/>
      <c r="ABO216" s="302"/>
      <c r="ABP216" s="302"/>
      <c r="ABQ216" s="302"/>
      <c r="ABR216" s="302"/>
      <c r="ABS216" s="302"/>
      <c r="ABT216" s="302"/>
      <c r="ABU216" s="302"/>
      <c r="ABV216" s="302"/>
      <c r="ABW216" s="302"/>
      <c r="ABX216" s="302"/>
      <c r="ABY216" s="302"/>
      <c r="ABZ216" s="302"/>
      <c r="ACA216" s="302"/>
      <c r="ACB216" s="302"/>
      <c r="ACC216" s="302"/>
      <c r="ACD216" s="302"/>
      <c r="ACE216" s="302"/>
      <c r="ACF216" s="302"/>
      <c r="ACG216" s="302"/>
      <c r="ACH216" s="302"/>
      <c r="ACI216" s="302"/>
      <c r="ACJ216" s="302"/>
      <c r="ACK216" s="302"/>
      <c r="ACL216" s="302"/>
      <c r="ACM216" s="302"/>
      <c r="ACN216" s="302"/>
      <c r="ACO216" s="302"/>
      <c r="ACP216" s="302"/>
      <c r="ACQ216" s="302"/>
      <c r="ACR216" s="302"/>
      <c r="ACS216" s="302"/>
      <c r="ACT216" s="302"/>
      <c r="ACU216" s="302"/>
      <c r="ACV216" s="302"/>
      <c r="ACW216" s="302"/>
      <c r="ACX216" s="302"/>
      <c r="ACY216" s="302"/>
      <c r="ACZ216" s="302"/>
      <c r="ADA216" s="302"/>
      <c r="ADB216" s="302"/>
      <c r="ADC216" s="302"/>
      <c r="ADD216" s="302"/>
      <c r="ADE216" s="302"/>
      <c r="ADF216" s="302"/>
      <c r="ADG216" s="302"/>
      <c r="ADH216" s="302"/>
      <c r="ADI216" s="302"/>
      <c r="ADJ216" s="302"/>
      <c r="ADK216" s="302"/>
      <c r="ADL216" s="302"/>
      <c r="ADM216" s="302"/>
      <c r="ADN216" s="302"/>
      <c r="ADO216" s="302"/>
      <c r="ADP216" s="302"/>
      <c r="ADQ216" s="302"/>
      <c r="ADR216" s="302"/>
      <c r="ADS216" s="302"/>
      <c r="ADT216" s="302"/>
      <c r="ADU216" s="302"/>
      <c r="ADV216" s="302"/>
      <c r="ADW216" s="302"/>
      <c r="ADX216" s="302"/>
      <c r="ADY216" s="302"/>
      <c r="ADZ216" s="302"/>
      <c r="AEA216" s="302"/>
      <c r="AEB216" s="302"/>
      <c r="AEC216" s="302"/>
      <c r="AED216" s="302"/>
      <c r="AEE216" s="302"/>
      <c r="AEF216" s="302"/>
      <c r="AEG216" s="302"/>
      <c r="AEH216" s="302"/>
      <c r="AEI216" s="302"/>
      <c r="AEJ216" s="302"/>
      <c r="AEK216" s="302"/>
      <c r="AEL216" s="302"/>
      <c r="AEM216" s="302"/>
      <c r="AEN216" s="302"/>
      <c r="AEO216" s="302"/>
      <c r="AEP216" s="302"/>
      <c r="AEQ216" s="302"/>
      <c r="AER216" s="302"/>
      <c r="AES216" s="302"/>
      <c r="AET216" s="302"/>
      <c r="AEU216" s="302"/>
      <c r="AEV216" s="302"/>
      <c r="AEW216" s="302"/>
      <c r="AEX216" s="302"/>
      <c r="AEY216" s="302"/>
      <c r="AEZ216" s="302"/>
      <c r="AFA216" s="302"/>
      <c r="AFB216" s="302"/>
      <c r="AFC216" s="302"/>
      <c r="AFD216" s="302"/>
      <c r="AFE216" s="302"/>
      <c r="AFF216" s="302"/>
      <c r="AFG216" s="302"/>
      <c r="AFH216" s="302"/>
      <c r="AFI216" s="302"/>
      <c r="AFJ216" s="302"/>
      <c r="AFK216" s="302"/>
      <c r="AFL216" s="302"/>
      <c r="AFM216" s="302"/>
      <c r="AFN216" s="302"/>
      <c r="AFO216" s="302"/>
      <c r="AFP216" s="302"/>
      <c r="AFQ216" s="302"/>
      <c r="AFR216" s="302"/>
      <c r="AFS216" s="302"/>
      <c r="AFT216" s="302"/>
      <c r="AFU216" s="302"/>
      <c r="AFV216" s="302"/>
      <c r="AFW216" s="302"/>
      <c r="AFX216" s="302"/>
      <c r="AFY216" s="302"/>
      <c r="AFZ216" s="302"/>
      <c r="AGA216" s="302"/>
      <c r="AGB216" s="302"/>
      <c r="AGC216" s="302"/>
      <c r="AGD216" s="302"/>
      <c r="AGE216" s="302"/>
      <c r="AGF216" s="302"/>
      <c r="AGG216" s="302"/>
      <c r="AGH216" s="302"/>
      <c r="AGI216" s="302"/>
      <c r="AGJ216" s="302"/>
      <c r="AGK216" s="302"/>
      <c r="AGL216" s="302"/>
      <c r="AGM216" s="302"/>
      <c r="AGN216" s="302"/>
      <c r="AGO216" s="302"/>
      <c r="AGP216" s="302"/>
      <c r="AGQ216" s="302"/>
      <c r="AGR216" s="302"/>
      <c r="AGS216" s="302"/>
      <c r="AGT216" s="302"/>
      <c r="AGU216" s="302"/>
      <c r="AGV216" s="302"/>
      <c r="AGW216" s="302"/>
      <c r="AGX216" s="302"/>
      <c r="AGY216" s="302"/>
      <c r="AGZ216" s="302"/>
      <c r="AHA216" s="302"/>
      <c r="AHB216" s="302"/>
      <c r="AHC216" s="302"/>
      <c r="AHD216" s="302"/>
      <c r="AHE216" s="302"/>
      <c r="AHF216" s="302"/>
      <c r="AHG216" s="302"/>
      <c r="AHH216" s="302"/>
      <c r="AHI216" s="302"/>
      <c r="AHJ216" s="302"/>
      <c r="AHK216" s="302"/>
      <c r="AHL216" s="302"/>
      <c r="AHM216" s="302"/>
      <c r="AHN216" s="302"/>
      <c r="AHO216" s="302"/>
      <c r="AHP216" s="302"/>
      <c r="AHQ216" s="302"/>
      <c r="AHR216" s="302"/>
      <c r="AHS216" s="302"/>
      <c r="AHT216" s="302"/>
      <c r="AHU216" s="302"/>
      <c r="AHV216" s="302"/>
      <c r="AHW216" s="302"/>
      <c r="AHX216" s="302"/>
      <c r="AHY216" s="302"/>
      <c r="AHZ216" s="302"/>
      <c r="AIA216" s="302"/>
      <c r="AIB216" s="302"/>
      <c r="AIC216" s="302"/>
      <c r="AID216" s="302"/>
      <c r="AIE216" s="302"/>
      <c r="AIF216" s="302"/>
      <c r="AIG216" s="302"/>
      <c r="AIH216" s="302"/>
      <c r="AII216" s="302"/>
      <c r="AIJ216" s="302"/>
      <c r="AIK216" s="302"/>
      <c r="AIL216" s="302"/>
      <c r="AIM216" s="302"/>
      <c r="AIN216" s="302"/>
      <c r="AIO216" s="302"/>
      <c r="AIP216" s="302"/>
      <c r="AIQ216" s="302"/>
      <c r="AIR216" s="302"/>
      <c r="AIS216" s="302"/>
      <c r="AIT216" s="302"/>
      <c r="AIU216" s="302"/>
      <c r="AIV216" s="302"/>
      <c r="AIW216" s="302"/>
      <c r="AIX216" s="302"/>
      <c r="AIY216" s="302"/>
      <c r="AIZ216" s="302"/>
      <c r="AJA216" s="302"/>
      <c r="AJB216" s="302"/>
      <c r="AJC216" s="302"/>
      <c r="AJD216" s="302"/>
      <c r="AJE216" s="302"/>
      <c r="AJF216" s="302"/>
      <c r="AJG216" s="302"/>
      <c r="AJH216" s="302"/>
      <c r="AJI216" s="302"/>
      <c r="AJJ216" s="302"/>
      <c r="AJK216" s="302"/>
      <c r="AJL216" s="302"/>
      <c r="AJM216" s="302"/>
      <c r="AJN216" s="302"/>
      <c r="AJO216" s="302"/>
      <c r="AJP216" s="302"/>
      <c r="AJQ216" s="302"/>
      <c r="AJR216" s="302"/>
      <c r="AJS216" s="302"/>
      <c r="AJT216" s="302"/>
      <c r="AJU216" s="302"/>
      <c r="AJV216" s="302"/>
      <c r="AJW216" s="302"/>
      <c r="AJX216" s="302"/>
      <c r="AJY216" s="302"/>
      <c r="AJZ216" s="302"/>
      <c r="AKA216" s="302"/>
      <c r="AKB216" s="302"/>
      <c r="AKC216" s="302"/>
      <c r="AKD216" s="302"/>
      <c r="AKE216" s="302"/>
      <c r="AKF216" s="302"/>
      <c r="AKG216" s="302"/>
      <c r="AKH216" s="302"/>
      <c r="AKI216" s="302"/>
      <c r="AKJ216" s="302"/>
      <c r="AKK216" s="302"/>
      <c r="AKL216" s="302"/>
      <c r="AKM216" s="302"/>
      <c r="AKN216" s="302"/>
      <c r="AKO216" s="302"/>
      <c r="AKP216" s="302"/>
      <c r="AKQ216" s="302"/>
      <c r="AKR216" s="302"/>
      <c r="AKS216" s="302"/>
      <c r="AKT216" s="302"/>
      <c r="AKU216" s="302"/>
      <c r="AKV216" s="302"/>
      <c r="AKW216" s="302"/>
      <c r="AKX216" s="302"/>
      <c r="AKY216" s="302"/>
      <c r="AKZ216" s="302"/>
      <c r="ALA216" s="302"/>
      <c r="ALB216" s="302"/>
      <c r="ALC216" s="302"/>
      <c r="ALD216" s="302"/>
      <c r="ALE216" s="302"/>
      <c r="ALF216" s="302"/>
      <c r="ALG216" s="302"/>
      <c r="ALH216" s="302"/>
      <c r="ALI216" s="302"/>
      <c r="ALJ216" s="302"/>
      <c r="ALK216" s="302"/>
      <c r="ALL216" s="302"/>
      <c r="ALM216" s="302"/>
      <c r="ALN216" s="302"/>
      <c r="ALO216" s="302"/>
      <c r="ALP216" s="302"/>
      <c r="ALQ216" s="302"/>
      <c r="ALR216" s="302"/>
      <c r="ALS216" s="302"/>
      <c r="ALT216" s="302"/>
      <c r="ALU216" s="302"/>
      <c r="ALV216" s="302"/>
      <c r="ALW216" s="302"/>
      <c r="ALX216" s="302"/>
      <c r="ALY216" s="302"/>
      <c r="ALZ216" s="302"/>
      <c r="AMA216" s="302"/>
      <c r="AMB216" s="302"/>
      <c r="AMC216" s="302"/>
      <c r="AMD216" s="302"/>
      <c r="AME216" s="302"/>
      <c r="AMF216" s="302"/>
      <c r="AMG216" s="302"/>
      <c r="AMH216" s="302"/>
      <c r="AMI216" s="302"/>
    </row>
    <row r="217" spans="1:1023" hidden="1">
      <c r="G217" s="104"/>
    </row>
    <row r="218" spans="1:1023" hidden="1"/>
    <row r="219" spans="1:1023" ht="18" hidden="1">
      <c r="A219" s="302"/>
      <c r="B219" s="969" t="s">
        <v>426</v>
      </c>
      <c r="C219" s="969"/>
      <c r="D219" s="969"/>
      <c r="E219" s="969"/>
      <c r="F219" s="969"/>
      <c r="G219" s="969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2"/>
      <c r="AE219" s="302"/>
      <c r="AF219" s="302"/>
      <c r="AG219" s="302"/>
      <c r="AH219" s="302"/>
      <c r="AI219" s="302"/>
      <c r="AJ219" s="302"/>
      <c r="AK219" s="302"/>
      <c r="AL219" s="302"/>
      <c r="AM219" s="302"/>
      <c r="AN219" s="302"/>
      <c r="AO219" s="302"/>
      <c r="AP219" s="302"/>
      <c r="AQ219" s="302"/>
      <c r="AR219" s="302"/>
      <c r="AS219" s="302"/>
      <c r="AT219" s="302"/>
      <c r="AU219" s="302"/>
      <c r="AV219" s="302"/>
      <c r="AW219" s="302"/>
      <c r="AX219" s="302"/>
      <c r="AY219" s="302"/>
      <c r="AZ219" s="302"/>
      <c r="BA219" s="302"/>
      <c r="BB219" s="302"/>
      <c r="BC219" s="302"/>
      <c r="BD219" s="302"/>
      <c r="BE219" s="302"/>
      <c r="BF219" s="302"/>
      <c r="BG219" s="302"/>
      <c r="BH219" s="302"/>
      <c r="BI219" s="302"/>
      <c r="BJ219" s="302"/>
      <c r="BK219" s="302"/>
      <c r="BL219" s="302"/>
      <c r="BM219" s="302"/>
      <c r="BN219" s="302"/>
      <c r="BO219" s="302"/>
      <c r="BP219" s="302"/>
      <c r="BQ219" s="302"/>
      <c r="BR219" s="302"/>
      <c r="BS219" s="302"/>
      <c r="BT219" s="302"/>
      <c r="BU219" s="302"/>
      <c r="BV219" s="302"/>
      <c r="BW219" s="302"/>
      <c r="BX219" s="302"/>
      <c r="BY219" s="302"/>
      <c r="BZ219" s="302"/>
      <c r="CA219" s="302"/>
      <c r="CB219" s="302"/>
      <c r="CC219" s="302"/>
      <c r="CD219" s="302"/>
      <c r="CE219" s="302"/>
      <c r="CF219" s="302"/>
      <c r="CG219" s="302"/>
      <c r="CH219" s="302"/>
      <c r="CI219" s="302"/>
      <c r="CJ219" s="302"/>
      <c r="CK219" s="302"/>
      <c r="CL219" s="302"/>
      <c r="CM219" s="302"/>
      <c r="CN219" s="302"/>
      <c r="CO219" s="302"/>
      <c r="CP219" s="302"/>
      <c r="CQ219" s="302"/>
      <c r="CR219" s="302"/>
      <c r="CS219" s="302"/>
      <c r="CT219" s="302"/>
      <c r="CU219" s="302"/>
      <c r="CV219" s="302"/>
      <c r="CW219" s="302"/>
      <c r="CX219" s="302"/>
      <c r="CY219" s="302"/>
      <c r="CZ219" s="302"/>
      <c r="DA219" s="302"/>
      <c r="DB219" s="302"/>
      <c r="DC219" s="302"/>
      <c r="DD219" s="302"/>
      <c r="DE219" s="302"/>
      <c r="DF219" s="302"/>
      <c r="DG219" s="302"/>
      <c r="DH219" s="302"/>
      <c r="DI219" s="302"/>
      <c r="DJ219" s="302"/>
      <c r="DK219" s="302"/>
      <c r="DL219" s="302"/>
      <c r="DM219" s="302"/>
      <c r="DN219" s="302"/>
      <c r="DO219" s="302"/>
      <c r="DP219" s="302"/>
      <c r="DQ219" s="302"/>
      <c r="DR219" s="302"/>
      <c r="DS219" s="302"/>
      <c r="DT219" s="302"/>
      <c r="DU219" s="302"/>
      <c r="DV219" s="302"/>
      <c r="DW219" s="302"/>
      <c r="DX219" s="302"/>
      <c r="DY219" s="302"/>
      <c r="DZ219" s="302"/>
      <c r="EA219" s="302"/>
      <c r="EB219" s="302"/>
      <c r="EC219" s="302"/>
      <c r="ED219" s="302"/>
      <c r="EE219" s="302"/>
      <c r="EF219" s="302"/>
      <c r="EG219" s="302"/>
      <c r="EH219" s="302"/>
      <c r="EI219" s="302"/>
      <c r="EJ219" s="302"/>
      <c r="EK219" s="302"/>
      <c r="EL219" s="302"/>
      <c r="EM219" s="302"/>
      <c r="EN219" s="302"/>
      <c r="EO219" s="302"/>
      <c r="EP219" s="302"/>
      <c r="EQ219" s="302"/>
      <c r="ER219" s="302"/>
      <c r="ES219" s="302"/>
      <c r="ET219" s="302"/>
      <c r="EU219" s="302"/>
      <c r="EV219" s="302"/>
      <c r="EW219" s="302"/>
      <c r="EX219" s="302"/>
      <c r="EY219" s="302"/>
      <c r="EZ219" s="302"/>
      <c r="FA219" s="302"/>
      <c r="FB219" s="302"/>
      <c r="FC219" s="302"/>
      <c r="FD219" s="302"/>
      <c r="FE219" s="302"/>
      <c r="FF219" s="302"/>
      <c r="FG219" s="302"/>
      <c r="FH219" s="302"/>
      <c r="FI219" s="302"/>
      <c r="FJ219" s="302"/>
      <c r="FK219" s="302"/>
      <c r="FL219" s="302"/>
      <c r="FM219" s="302"/>
      <c r="FN219" s="302"/>
      <c r="FO219" s="302"/>
      <c r="FP219" s="302"/>
      <c r="FQ219" s="302"/>
      <c r="FR219" s="302"/>
      <c r="FS219" s="302"/>
      <c r="FT219" s="302"/>
      <c r="FU219" s="302"/>
      <c r="FV219" s="302"/>
      <c r="FW219" s="302"/>
      <c r="FX219" s="302"/>
      <c r="FY219" s="302"/>
      <c r="FZ219" s="302"/>
      <c r="GA219" s="302"/>
      <c r="GB219" s="302"/>
      <c r="GC219" s="302"/>
      <c r="GD219" s="302"/>
      <c r="GE219" s="302"/>
      <c r="GF219" s="302"/>
      <c r="GG219" s="302"/>
      <c r="GH219" s="302"/>
      <c r="GI219" s="302"/>
      <c r="GJ219" s="302"/>
      <c r="GK219" s="302"/>
      <c r="GL219" s="302"/>
      <c r="GM219" s="302"/>
      <c r="GN219" s="302"/>
      <c r="GO219" s="302"/>
      <c r="GP219" s="302"/>
      <c r="GQ219" s="302"/>
      <c r="GR219" s="302"/>
      <c r="GS219" s="302"/>
      <c r="GT219" s="302"/>
      <c r="GU219" s="302"/>
      <c r="GV219" s="302"/>
      <c r="GW219" s="302"/>
      <c r="GX219" s="302"/>
      <c r="GY219" s="302"/>
      <c r="GZ219" s="302"/>
      <c r="HA219" s="302"/>
      <c r="HB219" s="302"/>
      <c r="HC219" s="302"/>
      <c r="HD219" s="302"/>
      <c r="HE219" s="302"/>
      <c r="HF219" s="302"/>
      <c r="HG219" s="302"/>
      <c r="HH219" s="302"/>
      <c r="HI219" s="302"/>
      <c r="HJ219" s="302"/>
      <c r="HK219" s="302"/>
      <c r="HL219" s="302"/>
      <c r="HM219" s="302"/>
      <c r="HN219" s="302"/>
      <c r="HO219" s="302"/>
      <c r="HP219" s="302"/>
      <c r="HQ219" s="302"/>
      <c r="HR219" s="302"/>
      <c r="HS219" s="302"/>
      <c r="HT219" s="302"/>
      <c r="HU219" s="302"/>
      <c r="HV219" s="302"/>
      <c r="HW219" s="302"/>
      <c r="HX219" s="302"/>
      <c r="HY219" s="302"/>
      <c r="HZ219" s="302"/>
      <c r="IA219" s="302"/>
      <c r="IB219" s="302"/>
      <c r="IC219" s="302"/>
      <c r="ID219" s="302"/>
      <c r="IE219" s="302"/>
      <c r="IF219" s="302"/>
      <c r="IG219" s="302"/>
      <c r="IH219" s="302"/>
      <c r="II219" s="302"/>
      <c r="IJ219" s="302"/>
      <c r="IK219" s="302"/>
      <c r="IL219" s="302"/>
      <c r="IM219" s="302"/>
      <c r="IN219" s="302"/>
      <c r="IO219" s="302"/>
      <c r="IP219" s="302"/>
      <c r="IQ219" s="302"/>
      <c r="IR219" s="302"/>
      <c r="IS219" s="302"/>
      <c r="IT219" s="302"/>
      <c r="IU219" s="302"/>
      <c r="IV219" s="302"/>
      <c r="IW219" s="302"/>
      <c r="IX219" s="302"/>
      <c r="IY219" s="302"/>
      <c r="IZ219" s="302"/>
      <c r="JA219" s="302"/>
      <c r="JB219" s="302"/>
      <c r="JC219" s="302"/>
      <c r="JD219" s="302"/>
      <c r="JE219" s="302"/>
      <c r="JF219" s="302"/>
      <c r="JG219" s="302"/>
      <c r="JH219" s="302"/>
      <c r="JI219" s="302"/>
      <c r="JJ219" s="302"/>
      <c r="JK219" s="302"/>
      <c r="JL219" s="302"/>
      <c r="JM219" s="302"/>
      <c r="JN219" s="302"/>
      <c r="JO219" s="302"/>
      <c r="JP219" s="302"/>
      <c r="JQ219" s="302"/>
      <c r="JR219" s="302"/>
      <c r="JS219" s="302"/>
      <c r="JT219" s="302"/>
      <c r="JU219" s="302"/>
      <c r="JV219" s="302"/>
      <c r="JW219" s="302"/>
      <c r="JX219" s="302"/>
      <c r="JY219" s="302"/>
      <c r="JZ219" s="302"/>
      <c r="KA219" s="302"/>
      <c r="KB219" s="302"/>
      <c r="KC219" s="302"/>
      <c r="KD219" s="302"/>
      <c r="KE219" s="302"/>
      <c r="KF219" s="302"/>
      <c r="KG219" s="302"/>
      <c r="KH219" s="302"/>
      <c r="KI219" s="302"/>
      <c r="KJ219" s="302"/>
      <c r="KK219" s="302"/>
      <c r="KL219" s="302"/>
      <c r="KM219" s="302"/>
      <c r="KN219" s="302"/>
      <c r="KO219" s="302"/>
      <c r="KP219" s="302"/>
      <c r="KQ219" s="302"/>
      <c r="KR219" s="302"/>
      <c r="KS219" s="302"/>
      <c r="KT219" s="302"/>
      <c r="KU219" s="302"/>
      <c r="KV219" s="302"/>
      <c r="KW219" s="302"/>
      <c r="KX219" s="302"/>
      <c r="KY219" s="302"/>
      <c r="KZ219" s="302"/>
      <c r="LA219" s="302"/>
      <c r="LB219" s="302"/>
      <c r="LC219" s="302"/>
      <c r="LD219" s="302"/>
      <c r="LE219" s="302"/>
      <c r="LF219" s="302"/>
      <c r="LG219" s="302"/>
      <c r="LH219" s="302"/>
      <c r="LI219" s="302"/>
      <c r="LJ219" s="302"/>
      <c r="LK219" s="302"/>
      <c r="LL219" s="302"/>
      <c r="LM219" s="302"/>
      <c r="LN219" s="302"/>
      <c r="LO219" s="302"/>
      <c r="LP219" s="302"/>
      <c r="LQ219" s="302"/>
      <c r="LR219" s="302"/>
      <c r="LS219" s="302"/>
      <c r="LT219" s="302"/>
      <c r="LU219" s="302"/>
      <c r="LV219" s="302"/>
      <c r="LW219" s="302"/>
      <c r="LX219" s="302"/>
      <c r="LY219" s="302"/>
      <c r="LZ219" s="302"/>
      <c r="MA219" s="302"/>
      <c r="MB219" s="302"/>
      <c r="MC219" s="302"/>
      <c r="MD219" s="302"/>
      <c r="ME219" s="302"/>
      <c r="MF219" s="302"/>
      <c r="MG219" s="302"/>
      <c r="MH219" s="302"/>
      <c r="MI219" s="302"/>
      <c r="MJ219" s="302"/>
      <c r="MK219" s="302"/>
      <c r="ML219" s="302"/>
      <c r="MM219" s="302"/>
      <c r="MN219" s="302"/>
      <c r="MO219" s="302"/>
      <c r="MP219" s="302"/>
      <c r="MQ219" s="302"/>
      <c r="MR219" s="302"/>
      <c r="MS219" s="302"/>
      <c r="MT219" s="302"/>
      <c r="MU219" s="302"/>
      <c r="MV219" s="302"/>
      <c r="MW219" s="302"/>
      <c r="MX219" s="302"/>
      <c r="MY219" s="302"/>
      <c r="MZ219" s="302"/>
      <c r="NA219" s="302"/>
      <c r="NB219" s="302"/>
      <c r="NC219" s="302"/>
      <c r="ND219" s="302"/>
      <c r="NE219" s="302"/>
      <c r="NF219" s="302"/>
      <c r="NG219" s="302"/>
      <c r="NH219" s="302"/>
      <c r="NI219" s="302"/>
      <c r="NJ219" s="302"/>
      <c r="NK219" s="302"/>
      <c r="NL219" s="302"/>
      <c r="NM219" s="302"/>
      <c r="NN219" s="302"/>
      <c r="NO219" s="302"/>
      <c r="NP219" s="302"/>
      <c r="NQ219" s="302"/>
      <c r="NR219" s="302"/>
      <c r="NS219" s="302"/>
      <c r="NT219" s="302"/>
      <c r="NU219" s="302"/>
      <c r="NV219" s="302"/>
      <c r="NW219" s="302"/>
      <c r="NX219" s="302"/>
      <c r="NY219" s="302"/>
      <c r="NZ219" s="302"/>
      <c r="OA219" s="302"/>
      <c r="OB219" s="302"/>
      <c r="OC219" s="302"/>
      <c r="OD219" s="302"/>
      <c r="OE219" s="302"/>
      <c r="OF219" s="302"/>
      <c r="OG219" s="302"/>
      <c r="OH219" s="302"/>
      <c r="OI219" s="302"/>
      <c r="OJ219" s="302"/>
      <c r="OK219" s="302"/>
      <c r="OL219" s="302"/>
      <c r="OM219" s="302"/>
      <c r="ON219" s="302"/>
      <c r="OO219" s="302"/>
      <c r="OP219" s="302"/>
      <c r="OQ219" s="302"/>
      <c r="OR219" s="302"/>
      <c r="OS219" s="302"/>
      <c r="OT219" s="302"/>
      <c r="OU219" s="302"/>
      <c r="OV219" s="302"/>
      <c r="OW219" s="302"/>
      <c r="OX219" s="302"/>
      <c r="OY219" s="302"/>
      <c r="OZ219" s="302"/>
      <c r="PA219" s="302"/>
      <c r="PB219" s="302"/>
      <c r="PC219" s="302"/>
      <c r="PD219" s="302"/>
      <c r="PE219" s="302"/>
      <c r="PF219" s="302"/>
      <c r="PG219" s="302"/>
      <c r="PH219" s="302"/>
      <c r="PI219" s="302"/>
      <c r="PJ219" s="302"/>
      <c r="PK219" s="302"/>
      <c r="PL219" s="302"/>
      <c r="PM219" s="302"/>
      <c r="PN219" s="302"/>
      <c r="PO219" s="302"/>
      <c r="PP219" s="302"/>
      <c r="PQ219" s="302"/>
      <c r="PR219" s="302"/>
      <c r="PS219" s="302"/>
      <c r="PT219" s="302"/>
      <c r="PU219" s="302"/>
      <c r="PV219" s="302"/>
      <c r="PW219" s="302"/>
      <c r="PX219" s="302"/>
      <c r="PY219" s="302"/>
      <c r="PZ219" s="302"/>
      <c r="QA219" s="302"/>
      <c r="QB219" s="302"/>
      <c r="QC219" s="302"/>
      <c r="QD219" s="302"/>
      <c r="QE219" s="302"/>
      <c r="QF219" s="302"/>
      <c r="QG219" s="302"/>
      <c r="QH219" s="302"/>
      <c r="QI219" s="302"/>
      <c r="QJ219" s="302"/>
      <c r="QK219" s="302"/>
      <c r="QL219" s="302"/>
      <c r="QM219" s="302"/>
      <c r="QN219" s="302"/>
      <c r="QO219" s="302"/>
      <c r="QP219" s="302"/>
      <c r="QQ219" s="302"/>
      <c r="QR219" s="302"/>
      <c r="QS219" s="302"/>
      <c r="QT219" s="302"/>
      <c r="QU219" s="302"/>
      <c r="QV219" s="302"/>
      <c r="QW219" s="302"/>
      <c r="QX219" s="302"/>
      <c r="QY219" s="302"/>
      <c r="QZ219" s="302"/>
      <c r="RA219" s="302"/>
      <c r="RB219" s="302"/>
      <c r="RC219" s="302"/>
      <c r="RD219" s="302"/>
      <c r="RE219" s="302"/>
      <c r="RF219" s="302"/>
      <c r="RG219" s="302"/>
      <c r="RH219" s="302"/>
      <c r="RI219" s="302"/>
      <c r="RJ219" s="302"/>
      <c r="RK219" s="302"/>
      <c r="RL219" s="302"/>
      <c r="RM219" s="302"/>
      <c r="RN219" s="302"/>
      <c r="RO219" s="302"/>
      <c r="RP219" s="302"/>
      <c r="RQ219" s="302"/>
      <c r="RR219" s="302"/>
      <c r="RS219" s="302"/>
      <c r="RT219" s="302"/>
      <c r="RU219" s="302"/>
      <c r="RV219" s="302"/>
      <c r="RW219" s="302"/>
      <c r="RX219" s="302"/>
      <c r="RY219" s="302"/>
      <c r="RZ219" s="302"/>
      <c r="SA219" s="302"/>
      <c r="SB219" s="302"/>
      <c r="SC219" s="302"/>
      <c r="SD219" s="302"/>
      <c r="SE219" s="302"/>
      <c r="SF219" s="302"/>
      <c r="SG219" s="302"/>
      <c r="SH219" s="302"/>
      <c r="SI219" s="302"/>
      <c r="SJ219" s="302"/>
      <c r="SK219" s="302"/>
      <c r="SL219" s="302"/>
      <c r="SM219" s="302"/>
      <c r="SN219" s="302"/>
      <c r="SO219" s="302"/>
      <c r="SP219" s="302"/>
      <c r="SQ219" s="302"/>
      <c r="SR219" s="302"/>
      <c r="SS219" s="302"/>
      <c r="ST219" s="302"/>
      <c r="SU219" s="302"/>
      <c r="SV219" s="302"/>
      <c r="SW219" s="302"/>
      <c r="SX219" s="302"/>
      <c r="SY219" s="302"/>
      <c r="SZ219" s="302"/>
      <c r="TA219" s="302"/>
      <c r="TB219" s="302"/>
      <c r="TC219" s="302"/>
      <c r="TD219" s="302"/>
      <c r="TE219" s="302"/>
      <c r="TF219" s="302"/>
      <c r="TG219" s="302"/>
      <c r="TH219" s="302"/>
      <c r="TI219" s="302"/>
      <c r="TJ219" s="302"/>
      <c r="TK219" s="302"/>
      <c r="TL219" s="302"/>
      <c r="TM219" s="302"/>
      <c r="TN219" s="302"/>
      <c r="TO219" s="302"/>
      <c r="TP219" s="302"/>
      <c r="TQ219" s="302"/>
      <c r="TR219" s="302"/>
      <c r="TS219" s="302"/>
      <c r="TT219" s="302"/>
      <c r="TU219" s="302"/>
      <c r="TV219" s="302"/>
      <c r="TW219" s="302"/>
      <c r="TX219" s="302"/>
      <c r="TY219" s="302"/>
      <c r="TZ219" s="302"/>
      <c r="UA219" s="302"/>
      <c r="UB219" s="302"/>
      <c r="UC219" s="302"/>
      <c r="UD219" s="302"/>
      <c r="UE219" s="302"/>
      <c r="UF219" s="302"/>
      <c r="UG219" s="302"/>
      <c r="UH219" s="302"/>
      <c r="UI219" s="302"/>
      <c r="UJ219" s="302"/>
      <c r="UK219" s="302"/>
      <c r="UL219" s="302"/>
      <c r="UM219" s="302"/>
      <c r="UN219" s="302"/>
      <c r="UO219" s="302"/>
      <c r="UP219" s="302"/>
      <c r="UQ219" s="302"/>
      <c r="UR219" s="302"/>
      <c r="US219" s="302"/>
      <c r="UT219" s="302"/>
      <c r="UU219" s="302"/>
      <c r="UV219" s="302"/>
      <c r="UW219" s="302"/>
      <c r="UX219" s="302"/>
      <c r="UY219" s="302"/>
      <c r="UZ219" s="302"/>
      <c r="VA219" s="302"/>
      <c r="VB219" s="302"/>
      <c r="VC219" s="302"/>
      <c r="VD219" s="302"/>
      <c r="VE219" s="302"/>
      <c r="VF219" s="302"/>
      <c r="VG219" s="302"/>
      <c r="VH219" s="302"/>
      <c r="VI219" s="302"/>
      <c r="VJ219" s="302"/>
      <c r="VK219" s="302"/>
      <c r="VL219" s="302"/>
      <c r="VM219" s="302"/>
      <c r="VN219" s="302"/>
      <c r="VO219" s="302"/>
      <c r="VP219" s="302"/>
      <c r="VQ219" s="302"/>
      <c r="VR219" s="302"/>
      <c r="VS219" s="302"/>
      <c r="VT219" s="302"/>
      <c r="VU219" s="302"/>
      <c r="VV219" s="302"/>
      <c r="VW219" s="302"/>
      <c r="VX219" s="302"/>
      <c r="VY219" s="302"/>
      <c r="VZ219" s="302"/>
      <c r="WA219" s="302"/>
      <c r="WB219" s="302"/>
      <c r="WC219" s="302"/>
      <c r="WD219" s="302"/>
      <c r="WE219" s="302"/>
      <c r="WF219" s="302"/>
      <c r="WG219" s="302"/>
      <c r="WH219" s="302"/>
      <c r="WI219" s="302"/>
      <c r="WJ219" s="302"/>
      <c r="WK219" s="302"/>
      <c r="WL219" s="302"/>
      <c r="WM219" s="302"/>
      <c r="WN219" s="302"/>
      <c r="WO219" s="302"/>
      <c r="WP219" s="302"/>
      <c r="WQ219" s="302"/>
      <c r="WR219" s="302"/>
      <c r="WS219" s="302"/>
      <c r="WT219" s="302"/>
      <c r="WU219" s="302"/>
      <c r="WV219" s="302"/>
      <c r="WW219" s="302"/>
      <c r="WX219" s="302"/>
      <c r="WY219" s="302"/>
      <c r="WZ219" s="302"/>
      <c r="XA219" s="302"/>
      <c r="XB219" s="302"/>
      <c r="XC219" s="302"/>
      <c r="XD219" s="302"/>
      <c r="XE219" s="302"/>
      <c r="XF219" s="302"/>
      <c r="XG219" s="302"/>
      <c r="XH219" s="302"/>
      <c r="XI219" s="302"/>
      <c r="XJ219" s="302"/>
      <c r="XK219" s="302"/>
      <c r="XL219" s="302"/>
      <c r="XM219" s="302"/>
      <c r="XN219" s="302"/>
      <c r="XO219" s="302"/>
      <c r="XP219" s="302"/>
      <c r="XQ219" s="302"/>
      <c r="XR219" s="302"/>
      <c r="XS219" s="302"/>
      <c r="XT219" s="302"/>
      <c r="XU219" s="302"/>
      <c r="XV219" s="302"/>
      <c r="XW219" s="302"/>
      <c r="XX219" s="302"/>
      <c r="XY219" s="302"/>
      <c r="XZ219" s="302"/>
      <c r="YA219" s="302"/>
      <c r="YB219" s="302"/>
      <c r="YC219" s="302"/>
      <c r="YD219" s="302"/>
      <c r="YE219" s="302"/>
      <c r="YF219" s="302"/>
      <c r="YG219" s="302"/>
      <c r="YH219" s="302"/>
      <c r="YI219" s="302"/>
      <c r="YJ219" s="302"/>
      <c r="YK219" s="302"/>
      <c r="YL219" s="302"/>
      <c r="YM219" s="302"/>
      <c r="YN219" s="302"/>
      <c r="YO219" s="302"/>
      <c r="YP219" s="302"/>
      <c r="YQ219" s="302"/>
      <c r="YR219" s="302"/>
      <c r="YS219" s="302"/>
      <c r="YT219" s="302"/>
      <c r="YU219" s="302"/>
      <c r="YV219" s="302"/>
      <c r="YW219" s="302"/>
      <c r="YX219" s="302"/>
      <c r="YY219" s="302"/>
      <c r="YZ219" s="302"/>
      <c r="ZA219" s="302"/>
      <c r="ZB219" s="302"/>
      <c r="ZC219" s="302"/>
      <c r="ZD219" s="302"/>
      <c r="ZE219" s="302"/>
      <c r="ZF219" s="302"/>
      <c r="ZG219" s="302"/>
      <c r="ZH219" s="302"/>
      <c r="ZI219" s="302"/>
      <c r="ZJ219" s="302"/>
      <c r="ZK219" s="302"/>
      <c r="ZL219" s="302"/>
      <c r="ZM219" s="302"/>
      <c r="ZN219" s="302"/>
      <c r="ZO219" s="302"/>
      <c r="ZP219" s="302"/>
      <c r="ZQ219" s="302"/>
      <c r="ZR219" s="302"/>
      <c r="ZS219" s="302"/>
      <c r="ZT219" s="302"/>
      <c r="ZU219" s="302"/>
      <c r="ZV219" s="302"/>
      <c r="ZW219" s="302"/>
      <c r="ZX219" s="302"/>
      <c r="ZY219" s="302"/>
      <c r="ZZ219" s="302"/>
      <c r="AAA219" s="302"/>
      <c r="AAB219" s="302"/>
      <c r="AAC219" s="302"/>
      <c r="AAD219" s="302"/>
      <c r="AAE219" s="302"/>
      <c r="AAF219" s="302"/>
      <c r="AAG219" s="302"/>
      <c r="AAH219" s="302"/>
      <c r="AAI219" s="302"/>
      <c r="AAJ219" s="302"/>
      <c r="AAK219" s="302"/>
      <c r="AAL219" s="302"/>
      <c r="AAM219" s="302"/>
      <c r="AAN219" s="302"/>
      <c r="AAO219" s="302"/>
      <c r="AAP219" s="302"/>
      <c r="AAQ219" s="302"/>
      <c r="AAR219" s="302"/>
      <c r="AAS219" s="302"/>
      <c r="AAT219" s="302"/>
      <c r="AAU219" s="302"/>
      <c r="AAV219" s="302"/>
      <c r="AAW219" s="302"/>
      <c r="AAX219" s="302"/>
      <c r="AAY219" s="302"/>
      <c r="AAZ219" s="302"/>
      <c r="ABA219" s="302"/>
      <c r="ABB219" s="302"/>
      <c r="ABC219" s="302"/>
      <c r="ABD219" s="302"/>
      <c r="ABE219" s="302"/>
      <c r="ABF219" s="302"/>
      <c r="ABG219" s="302"/>
      <c r="ABH219" s="302"/>
      <c r="ABI219" s="302"/>
      <c r="ABJ219" s="302"/>
      <c r="ABK219" s="302"/>
      <c r="ABL219" s="302"/>
      <c r="ABM219" s="302"/>
      <c r="ABN219" s="302"/>
      <c r="ABO219" s="302"/>
      <c r="ABP219" s="302"/>
      <c r="ABQ219" s="302"/>
      <c r="ABR219" s="302"/>
      <c r="ABS219" s="302"/>
      <c r="ABT219" s="302"/>
      <c r="ABU219" s="302"/>
      <c r="ABV219" s="302"/>
      <c r="ABW219" s="302"/>
      <c r="ABX219" s="302"/>
      <c r="ABY219" s="302"/>
      <c r="ABZ219" s="302"/>
      <c r="ACA219" s="302"/>
      <c r="ACB219" s="302"/>
      <c r="ACC219" s="302"/>
      <c r="ACD219" s="302"/>
      <c r="ACE219" s="302"/>
      <c r="ACF219" s="302"/>
      <c r="ACG219" s="302"/>
      <c r="ACH219" s="302"/>
      <c r="ACI219" s="302"/>
      <c r="ACJ219" s="302"/>
      <c r="ACK219" s="302"/>
      <c r="ACL219" s="302"/>
      <c r="ACM219" s="302"/>
      <c r="ACN219" s="302"/>
      <c r="ACO219" s="302"/>
      <c r="ACP219" s="302"/>
      <c r="ACQ219" s="302"/>
      <c r="ACR219" s="302"/>
      <c r="ACS219" s="302"/>
      <c r="ACT219" s="302"/>
      <c r="ACU219" s="302"/>
      <c r="ACV219" s="302"/>
      <c r="ACW219" s="302"/>
      <c r="ACX219" s="302"/>
      <c r="ACY219" s="302"/>
      <c r="ACZ219" s="302"/>
      <c r="ADA219" s="302"/>
      <c r="ADB219" s="302"/>
      <c r="ADC219" s="302"/>
      <c r="ADD219" s="302"/>
      <c r="ADE219" s="302"/>
      <c r="ADF219" s="302"/>
      <c r="ADG219" s="302"/>
      <c r="ADH219" s="302"/>
      <c r="ADI219" s="302"/>
      <c r="ADJ219" s="302"/>
      <c r="ADK219" s="302"/>
      <c r="ADL219" s="302"/>
      <c r="ADM219" s="302"/>
      <c r="ADN219" s="302"/>
      <c r="ADO219" s="302"/>
      <c r="ADP219" s="302"/>
      <c r="ADQ219" s="302"/>
      <c r="ADR219" s="302"/>
      <c r="ADS219" s="302"/>
      <c r="ADT219" s="302"/>
      <c r="ADU219" s="302"/>
      <c r="ADV219" s="302"/>
      <c r="ADW219" s="302"/>
      <c r="ADX219" s="302"/>
      <c r="ADY219" s="302"/>
      <c r="ADZ219" s="302"/>
      <c r="AEA219" s="302"/>
      <c r="AEB219" s="302"/>
      <c r="AEC219" s="302"/>
      <c r="AED219" s="302"/>
      <c r="AEE219" s="302"/>
      <c r="AEF219" s="302"/>
      <c r="AEG219" s="302"/>
      <c r="AEH219" s="302"/>
      <c r="AEI219" s="302"/>
      <c r="AEJ219" s="302"/>
      <c r="AEK219" s="302"/>
      <c r="AEL219" s="302"/>
      <c r="AEM219" s="302"/>
      <c r="AEN219" s="302"/>
      <c r="AEO219" s="302"/>
      <c r="AEP219" s="302"/>
      <c r="AEQ219" s="302"/>
      <c r="AER219" s="302"/>
      <c r="AES219" s="302"/>
      <c r="AET219" s="302"/>
      <c r="AEU219" s="302"/>
      <c r="AEV219" s="302"/>
      <c r="AEW219" s="302"/>
      <c r="AEX219" s="302"/>
      <c r="AEY219" s="302"/>
      <c r="AEZ219" s="302"/>
      <c r="AFA219" s="302"/>
      <c r="AFB219" s="302"/>
      <c r="AFC219" s="302"/>
      <c r="AFD219" s="302"/>
      <c r="AFE219" s="302"/>
      <c r="AFF219" s="302"/>
      <c r="AFG219" s="302"/>
      <c r="AFH219" s="302"/>
      <c r="AFI219" s="302"/>
      <c r="AFJ219" s="302"/>
      <c r="AFK219" s="302"/>
      <c r="AFL219" s="302"/>
      <c r="AFM219" s="302"/>
      <c r="AFN219" s="302"/>
      <c r="AFO219" s="302"/>
      <c r="AFP219" s="302"/>
      <c r="AFQ219" s="302"/>
      <c r="AFR219" s="302"/>
      <c r="AFS219" s="302"/>
      <c r="AFT219" s="302"/>
      <c r="AFU219" s="302"/>
      <c r="AFV219" s="302"/>
      <c r="AFW219" s="302"/>
      <c r="AFX219" s="302"/>
      <c r="AFY219" s="302"/>
      <c r="AFZ219" s="302"/>
      <c r="AGA219" s="302"/>
      <c r="AGB219" s="302"/>
      <c r="AGC219" s="302"/>
      <c r="AGD219" s="302"/>
      <c r="AGE219" s="302"/>
      <c r="AGF219" s="302"/>
      <c r="AGG219" s="302"/>
      <c r="AGH219" s="302"/>
      <c r="AGI219" s="302"/>
      <c r="AGJ219" s="302"/>
      <c r="AGK219" s="302"/>
      <c r="AGL219" s="302"/>
      <c r="AGM219" s="302"/>
      <c r="AGN219" s="302"/>
      <c r="AGO219" s="302"/>
      <c r="AGP219" s="302"/>
      <c r="AGQ219" s="302"/>
      <c r="AGR219" s="302"/>
      <c r="AGS219" s="302"/>
      <c r="AGT219" s="302"/>
      <c r="AGU219" s="302"/>
      <c r="AGV219" s="302"/>
      <c r="AGW219" s="302"/>
      <c r="AGX219" s="302"/>
      <c r="AGY219" s="302"/>
      <c r="AGZ219" s="302"/>
      <c r="AHA219" s="302"/>
      <c r="AHB219" s="302"/>
      <c r="AHC219" s="302"/>
      <c r="AHD219" s="302"/>
      <c r="AHE219" s="302"/>
      <c r="AHF219" s="302"/>
      <c r="AHG219" s="302"/>
      <c r="AHH219" s="302"/>
      <c r="AHI219" s="302"/>
      <c r="AHJ219" s="302"/>
      <c r="AHK219" s="302"/>
      <c r="AHL219" s="302"/>
      <c r="AHM219" s="302"/>
      <c r="AHN219" s="302"/>
      <c r="AHO219" s="302"/>
      <c r="AHP219" s="302"/>
      <c r="AHQ219" s="302"/>
      <c r="AHR219" s="302"/>
      <c r="AHS219" s="302"/>
      <c r="AHT219" s="302"/>
      <c r="AHU219" s="302"/>
      <c r="AHV219" s="302"/>
      <c r="AHW219" s="302"/>
      <c r="AHX219" s="302"/>
      <c r="AHY219" s="302"/>
      <c r="AHZ219" s="302"/>
      <c r="AIA219" s="302"/>
      <c r="AIB219" s="302"/>
      <c r="AIC219" s="302"/>
      <c r="AID219" s="302"/>
      <c r="AIE219" s="302"/>
      <c r="AIF219" s="302"/>
      <c r="AIG219" s="302"/>
      <c r="AIH219" s="302"/>
      <c r="AII219" s="302"/>
      <c r="AIJ219" s="302"/>
      <c r="AIK219" s="302"/>
      <c r="AIL219" s="302"/>
      <c r="AIM219" s="302"/>
      <c r="AIN219" s="302"/>
      <c r="AIO219" s="302"/>
      <c r="AIP219" s="302"/>
      <c r="AIQ219" s="302"/>
      <c r="AIR219" s="302"/>
      <c r="AIS219" s="302"/>
      <c r="AIT219" s="302"/>
      <c r="AIU219" s="302"/>
      <c r="AIV219" s="302"/>
      <c r="AIW219" s="302"/>
      <c r="AIX219" s="302"/>
      <c r="AIY219" s="302"/>
      <c r="AIZ219" s="302"/>
      <c r="AJA219" s="302"/>
      <c r="AJB219" s="302"/>
      <c r="AJC219" s="302"/>
      <c r="AJD219" s="302"/>
      <c r="AJE219" s="302"/>
      <c r="AJF219" s="302"/>
      <c r="AJG219" s="302"/>
      <c r="AJH219" s="302"/>
      <c r="AJI219" s="302"/>
      <c r="AJJ219" s="302"/>
      <c r="AJK219" s="302"/>
      <c r="AJL219" s="302"/>
      <c r="AJM219" s="302"/>
      <c r="AJN219" s="302"/>
      <c r="AJO219" s="302"/>
      <c r="AJP219" s="302"/>
      <c r="AJQ219" s="302"/>
      <c r="AJR219" s="302"/>
      <c r="AJS219" s="302"/>
      <c r="AJT219" s="302"/>
      <c r="AJU219" s="302"/>
      <c r="AJV219" s="302"/>
      <c r="AJW219" s="302"/>
      <c r="AJX219" s="302"/>
      <c r="AJY219" s="302"/>
      <c r="AJZ219" s="302"/>
      <c r="AKA219" s="302"/>
      <c r="AKB219" s="302"/>
      <c r="AKC219" s="302"/>
      <c r="AKD219" s="302"/>
      <c r="AKE219" s="302"/>
      <c r="AKF219" s="302"/>
      <c r="AKG219" s="302"/>
      <c r="AKH219" s="302"/>
      <c r="AKI219" s="302"/>
      <c r="AKJ219" s="302"/>
      <c r="AKK219" s="302"/>
      <c r="AKL219" s="302"/>
      <c r="AKM219" s="302"/>
      <c r="AKN219" s="302"/>
      <c r="AKO219" s="302"/>
      <c r="AKP219" s="302"/>
      <c r="AKQ219" s="302"/>
      <c r="AKR219" s="302"/>
      <c r="AKS219" s="302"/>
      <c r="AKT219" s="302"/>
      <c r="AKU219" s="302"/>
      <c r="AKV219" s="302"/>
      <c r="AKW219" s="302"/>
      <c r="AKX219" s="302"/>
      <c r="AKY219" s="302"/>
      <c r="AKZ219" s="302"/>
      <c r="ALA219" s="302"/>
      <c r="ALB219" s="302"/>
      <c r="ALC219" s="302"/>
      <c r="ALD219" s="302"/>
      <c r="ALE219" s="302"/>
      <c r="ALF219" s="302"/>
      <c r="ALG219" s="302"/>
      <c r="ALH219" s="302"/>
      <c r="ALI219" s="302"/>
      <c r="ALJ219" s="302"/>
      <c r="ALK219" s="302"/>
      <c r="ALL219" s="302"/>
      <c r="ALM219" s="302"/>
      <c r="ALN219" s="302"/>
      <c r="ALO219" s="302"/>
      <c r="ALP219" s="302"/>
      <c r="ALQ219" s="302"/>
      <c r="ALR219" s="302"/>
      <c r="ALS219" s="302"/>
      <c r="ALT219" s="302"/>
      <c r="ALU219" s="302"/>
      <c r="ALV219" s="302"/>
      <c r="ALW219" s="302"/>
      <c r="ALX219" s="302"/>
      <c r="ALY219" s="302"/>
      <c r="ALZ219" s="302"/>
      <c r="AMA219" s="302"/>
      <c r="AMB219" s="302"/>
      <c r="AMC219" s="302"/>
      <c r="AMD219" s="302"/>
      <c r="AME219" s="302"/>
      <c r="AMF219" s="302"/>
      <c r="AMG219" s="302"/>
      <c r="AMH219" s="302"/>
      <c r="AMI219" s="302"/>
    </row>
    <row r="220" spans="1:1023" ht="18" hidden="1">
      <c r="A220" s="302"/>
      <c r="B220" s="308" t="s">
        <v>4</v>
      </c>
      <c r="C220" s="308" t="s">
        <v>373</v>
      </c>
      <c r="D220" s="308" t="s">
        <v>6</v>
      </c>
      <c r="E220" s="308" t="s">
        <v>29</v>
      </c>
      <c r="F220" s="309" t="s">
        <v>8</v>
      </c>
      <c r="G220" s="308" t="s">
        <v>138</v>
      </c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2"/>
      <c r="AE220" s="302"/>
      <c r="AF220" s="302"/>
      <c r="AG220" s="302"/>
      <c r="AH220" s="302"/>
      <c r="AI220" s="302"/>
      <c r="AJ220" s="302"/>
      <c r="AK220" s="302"/>
      <c r="AL220" s="302"/>
      <c r="AM220" s="302"/>
      <c r="AN220" s="302"/>
      <c r="AO220" s="302"/>
      <c r="AP220" s="302"/>
      <c r="AQ220" s="302"/>
      <c r="AR220" s="302"/>
      <c r="AS220" s="302"/>
      <c r="AT220" s="302"/>
      <c r="AU220" s="302"/>
      <c r="AV220" s="302"/>
      <c r="AW220" s="302"/>
      <c r="AX220" s="302"/>
      <c r="AY220" s="302"/>
      <c r="AZ220" s="302"/>
      <c r="BA220" s="302"/>
      <c r="BB220" s="302"/>
      <c r="BC220" s="302"/>
      <c r="BD220" s="302"/>
      <c r="BE220" s="302"/>
      <c r="BF220" s="302"/>
      <c r="BG220" s="302"/>
      <c r="BH220" s="302"/>
      <c r="BI220" s="302"/>
      <c r="BJ220" s="302"/>
      <c r="BK220" s="302"/>
      <c r="BL220" s="302"/>
      <c r="BM220" s="302"/>
      <c r="BN220" s="302"/>
      <c r="BO220" s="302"/>
      <c r="BP220" s="302"/>
      <c r="BQ220" s="302"/>
      <c r="BR220" s="302"/>
      <c r="BS220" s="302"/>
      <c r="BT220" s="302"/>
      <c r="BU220" s="302"/>
      <c r="BV220" s="302"/>
      <c r="BW220" s="302"/>
      <c r="BX220" s="302"/>
      <c r="BY220" s="302"/>
      <c r="BZ220" s="302"/>
      <c r="CA220" s="302"/>
      <c r="CB220" s="302"/>
      <c r="CC220" s="302"/>
      <c r="CD220" s="302"/>
      <c r="CE220" s="302"/>
      <c r="CF220" s="302"/>
      <c r="CG220" s="302"/>
      <c r="CH220" s="302"/>
      <c r="CI220" s="302"/>
      <c r="CJ220" s="302"/>
      <c r="CK220" s="302"/>
      <c r="CL220" s="302"/>
      <c r="CM220" s="302"/>
      <c r="CN220" s="302"/>
      <c r="CO220" s="302"/>
      <c r="CP220" s="302"/>
      <c r="CQ220" s="302"/>
      <c r="CR220" s="302"/>
      <c r="CS220" s="302"/>
      <c r="CT220" s="302"/>
      <c r="CU220" s="302"/>
      <c r="CV220" s="302"/>
      <c r="CW220" s="302"/>
      <c r="CX220" s="302"/>
      <c r="CY220" s="302"/>
      <c r="CZ220" s="302"/>
      <c r="DA220" s="302"/>
      <c r="DB220" s="302"/>
      <c r="DC220" s="302"/>
      <c r="DD220" s="302"/>
      <c r="DE220" s="302"/>
      <c r="DF220" s="302"/>
      <c r="DG220" s="302"/>
      <c r="DH220" s="302"/>
      <c r="DI220" s="302"/>
      <c r="DJ220" s="302"/>
      <c r="DK220" s="302"/>
      <c r="DL220" s="302"/>
      <c r="DM220" s="302"/>
      <c r="DN220" s="302"/>
      <c r="DO220" s="302"/>
      <c r="DP220" s="302"/>
      <c r="DQ220" s="302"/>
      <c r="DR220" s="302"/>
      <c r="DS220" s="302"/>
      <c r="DT220" s="302"/>
      <c r="DU220" s="302"/>
      <c r="DV220" s="302"/>
      <c r="DW220" s="302"/>
      <c r="DX220" s="302"/>
      <c r="DY220" s="302"/>
      <c r="DZ220" s="302"/>
      <c r="EA220" s="302"/>
      <c r="EB220" s="302"/>
      <c r="EC220" s="302"/>
      <c r="ED220" s="302"/>
      <c r="EE220" s="302"/>
      <c r="EF220" s="302"/>
      <c r="EG220" s="302"/>
      <c r="EH220" s="302"/>
      <c r="EI220" s="302"/>
      <c r="EJ220" s="302"/>
      <c r="EK220" s="302"/>
      <c r="EL220" s="302"/>
      <c r="EM220" s="302"/>
      <c r="EN220" s="302"/>
      <c r="EO220" s="302"/>
      <c r="EP220" s="302"/>
      <c r="EQ220" s="302"/>
      <c r="ER220" s="302"/>
      <c r="ES220" s="302"/>
      <c r="ET220" s="302"/>
      <c r="EU220" s="302"/>
      <c r="EV220" s="302"/>
      <c r="EW220" s="302"/>
      <c r="EX220" s="302"/>
      <c r="EY220" s="302"/>
      <c r="EZ220" s="302"/>
      <c r="FA220" s="302"/>
      <c r="FB220" s="302"/>
      <c r="FC220" s="302"/>
      <c r="FD220" s="302"/>
      <c r="FE220" s="302"/>
      <c r="FF220" s="302"/>
      <c r="FG220" s="302"/>
      <c r="FH220" s="302"/>
      <c r="FI220" s="302"/>
      <c r="FJ220" s="302"/>
      <c r="FK220" s="302"/>
      <c r="FL220" s="302"/>
      <c r="FM220" s="302"/>
      <c r="FN220" s="302"/>
      <c r="FO220" s="302"/>
      <c r="FP220" s="302"/>
      <c r="FQ220" s="302"/>
      <c r="FR220" s="302"/>
      <c r="FS220" s="302"/>
      <c r="FT220" s="302"/>
      <c r="FU220" s="302"/>
      <c r="FV220" s="302"/>
      <c r="FW220" s="302"/>
      <c r="FX220" s="302"/>
      <c r="FY220" s="302"/>
      <c r="FZ220" s="302"/>
      <c r="GA220" s="302"/>
      <c r="GB220" s="302"/>
      <c r="GC220" s="302"/>
      <c r="GD220" s="302"/>
      <c r="GE220" s="302"/>
      <c r="GF220" s="302"/>
      <c r="GG220" s="302"/>
      <c r="GH220" s="302"/>
      <c r="GI220" s="302"/>
      <c r="GJ220" s="302"/>
      <c r="GK220" s="302"/>
      <c r="GL220" s="302"/>
      <c r="GM220" s="302"/>
      <c r="GN220" s="302"/>
      <c r="GO220" s="302"/>
      <c r="GP220" s="302"/>
      <c r="GQ220" s="302"/>
      <c r="GR220" s="302"/>
      <c r="GS220" s="302"/>
      <c r="GT220" s="302"/>
      <c r="GU220" s="302"/>
      <c r="GV220" s="302"/>
      <c r="GW220" s="302"/>
      <c r="GX220" s="302"/>
      <c r="GY220" s="302"/>
      <c r="GZ220" s="302"/>
      <c r="HA220" s="302"/>
      <c r="HB220" s="302"/>
      <c r="HC220" s="302"/>
      <c r="HD220" s="302"/>
      <c r="HE220" s="302"/>
      <c r="HF220" s="302"/>
      <c r="HG220" s="302"/>
      <c r="HH220" s="302"/>
      <c r="HI220" s="302"/>
      <c r="HJ220" s="302"/>
      <c r="HK220" s="302"/>
      <c r="HL220" s="302"/>
      <c r="HM220" s="302"/>
      <c r="HN220" s="302"/>
      <c r="HO220" s="302"/>
      <c r="HP220" s="302"/>
      <c r="HQ220" s="302"/>
      <c r="HR220" s="302"/>
      <c r="HS220" s="302"/>
      <c r="HT220" s="302"/>
      <c r="HU220" s="302"/>
      <c r="HV220" s="302"/>
      <c r="HW220" s="302"/>
      <c r="HX220" s="302"/>
      <c r="HY220" s="302"/>
      <c r="HZ220" s="302"/>
      <c r="IA220" s="302"/>
      <c r="IB220" s="302"/>
      <c r="IC220" s="302"/>
      <c r="ID220" s="302"/>
      <c r="IE220" s="302"/>
      <c r="IF220" s="302"/>
      <c r="IG220" s="302"/>
      <c r="IH220" s="302"/>
      <c r="II220" s="302"/>
      <c r="IJ220" s="302"/>
      <c r="IK220" s="302"/>
      <c r="IL220" s="302"/>
      <c r="IM220" s="302"/>
      <c r="IN220" s="302"/>
      <c r="IO220" s="302"/>
      <c r="IP220" s="302"/>
      <c r="IQ220" s="302"/>
      <c r="IR220" s="302"/>
      <c r="IS220" s="302"/>
      <c r="IT220" s="302"/>
      <c r="IU220" s="302"/>
      <c r="IV220" s="302"/>
      <c r="IW220" s="302"/>
      <c r="IX220" s="302"/>
      <c r="IY220" s="302"/>
      <c r="IZ220" s="302"/>
      <c r="JA220" s="302"/>
      <c r="JB220" s="302"/>
      <c r="JC220" s="302"/>
      <c r="JD220" s="302"/>
      <c r="JE220" s="302"/>
      <c r="JF220" s="302"/>
      <c r="JG220" s="302"/>
      <c r="JH220" s="302"/>
      <c r="JI220" s="302"/>
      <c r="JJ220" s="302"/>
      <c r="JK220" s="302"/>
      <c r="JL220" s="302"/>
      <c r="JM220" s="302"/>
      <c r="JN220" s="302"/>
      <c r="JO220" s="302"/>
      <c r="JP220" s="302"/>
      <c r="JQ220" s="302"/>
      <c r="JR220" s="302"/>
      <c r="JS220" s="302"/>
      <c r="JT220" s="302"/>
      <c r="JU220" s="302"/>
      <c r="JV220" s="302"/>
      <c r="JW220" s="302"/>
      <c r="JX220" s="302"/>
      <c r="JY220" s="302"/>
      <c r="JZ220" s="302"/>
      <c r="KA220" s="302"/>
      <c r="KB220" s="302"/>
      <c r="KC220" s="302"/>
      <c r="KD220" s="302"/>
      <c r="KE220" s="302"/>
      <c r="KF220" s="302"/>
      <c r="KG220" s="302"/>
      <c r="KH220" s="302"/>
      <c r="KI220" s="302"/>
      <c r="KJ220" s="302"/>
      <c r="KK220" s="302"/>
      <c r="KL220" s="302"/>
      <c r="KM220" s="302"/>
      <c r="KN220" s="302"/>
      <c r="KO220" s="302"/>
      <c r="KP220" s="302"/>
      <c r="KQ220" s="302"/>
      <c r="KR220" s="302"/>
      <c r="KS220" s="302"/>
      <c r="KT220" s="302"/>
      <c r="KU220" s="302"/>
      <c r="KV220" s="302"/>
      <c r="KW220" s="302"/>
      <c r="KX220" s="302"/>
      <c r="KY220" s="302"/>
      <c r="KZ220" s="302"/>
      <c r="LA220" s="302"/>
      <c r="LB220" s="302"/>
      <c r="LC220" s="302"/>
      <c r="LD220" s="302"/>
      <c r="LE220" s="302"/>
      <c r="LF220" s="302"/>
      <c r="LG220" s="302"/>
      <c r="LH220" s="302"/>
      <c r="LI220" s="302"/>
      <c r="LJ220" s="302"/>
      <c r="LK220" s="302"/>
      <c r="LL220" s="302"/>
      <c r="LM220" s="302"/>
      <c r="LN220" s="302"/>
      <c r="LO220" s="302"/>
      <c r="LP220" s="302"/>
      <c r="LQ220" s="302"/>
      <c r="LR220" s="302"/>
      <c r="LS220" s="302"/>
      <c r="LT220" s="302"/>
      <c r="LU220" s="302"/>
      <c r="LV220" s="302"/>
      <c r="LW220" s="302"/>
      <c r="LX220" s="302"/>
      <c r="LY220" s="302"/>
      <c r="LZ220" s="302"/>
      <c r="MA220" s="302"/>
      <c r="MB220" s="302"/>
      <c r="MC220" s="302"/>
      <c r="MD220" s="302"/>
      <c r="ME220" s="302"/>
      <c r="MF220" s="302"/>
      <c r="MG220" s="302"/>
      <c r="MH220" s="302"/>
      <c r="MI220" s="302"/>
      <c r="MJ220" s="302"/>
      <c r="MK220" s="302"/>
      <c r="ML220" s="302"/>
      <c r="MM220" s="302"/>
      <c r="MN220" s="302"/>
      <c r="MO220" s="302"/>
      <c r="MP220" s="302"/>
      <c r="MQ220" s="302"/>
      <c r="MR220" s="302"/>
      <c r="MS220" s="302"/>
      <c r="MT220" s="302"/>
      <c r="MU220" s="302"/>
      <c r="MV220" s="302"/>
      <c r="MW220" s="302"/>
      <c r="MX220" s="302"/>
      <c r="MY220" s="302"/>
      <c r="MZ220" s="302"/>
      <c r="NA220" s="302"/>
      <c r="NB220" s="302"/>
      <c r="NC220" s="302"/>
      <c r="ND220" s="302"/>
      <c r="NE220" s="302"/>
      <c r="NF220" s="302"/>
      <c r="NG220" s="302"/>
      <c r="NH220" s="302"/>
      <c r="NI220" s="302"/>
      <c r="NJ220" s="302"/>
      <c r="NK220" s="302"/>
      <c r="NL220" s="302"/>
      <c r="NM220" s="302"/>
      <c r="NN220" s="302"/>
      <c r="NO220" s="302"/>
      <c r="NP220" s="302"/>
      <c r="NQ220" s="302"/>
      <c r="NR220" s="302"/>
      <c r="NS220" s="302"/>
      <c r="NT220" s="302"/>
      <c r="NU220" s="302"/>
      <c r="NV220" s="302"/>
      <c r="NW220" s="302"/>
      <c r="NX220" s="302"/>
      <c r="NY220" s="302"/>
      <c r="NZ220" s="302"/>
      <c r="OA220" s="302"/>
      <c r="OB220" s="302"/>
      <c r="OC220" s="302"/>
      <c r="OD220" s="302"/>
      <c r="OE220" s="302"/>
      <c r="OF220" s="302"/>
      <c r="OG220" s="302"/>
      <c r="OH220" s="302"/>
      <c r="OI220" s="302"/>
      <c r="OJ220" s="302"/>
      <c r="OK220" s="302"/>
      <c r="OL220" s="302"/>
      <c r="OM220" s="302"/>
      <c r="ON220" s="302"/>
      <c r="OO220" s="302"/>
      <c r="OP220" s="302"/>
      <c r="OQ220" s="302"/>
      <c r="OR220" s="302"/>
      <c r="OS220" s="302"/>
      <c r="OT220" s="302"/>
      <c r="OU220" s="302"/>
      <c r="OV220" s="302"/>
      <c r="OW220" s="302"/>
      <c r="OX220" s="302"/>
      <c r="OY220" s="302"/>
      <c r="OZ220" s="302"/>
      <c r="PA220" s="302"/>
      <c r="PB220" s="302"/>
      <c r="PC220" s="302"/>
      <c r="PD220" s="302"/>
      <c r="PE220" s="302"/>
      <c r="PF220" s="302"/>
      <c r="PG220" s="302"/>
      <c r="PH220" s="302"/>
      <c r="PI220" s="302"/>
      <c r="PJ220" s="302"/>
      <c r="PK220" s="302"/>
      <c r="PL220" s="302"/>
      <c r="PM220" s="302"/>
      <c r="PN220" s="302"/>
      <c r="PO220" s="302"/>
      <c r="PP220" s="302"/>
      <c r="PQ220" s="302"/>
      <c r="PR220" s="302"/>
      <c r="PS220" s="302"/>
      <c r="PT220" s="302"/>
      <c r="PU220" s="302"/>
      <c r="PV220" s="302"/>
      <c r="PW220" s="302"/>
      <c r="PX220" s="302"/>
      <c r="PY220" s="302"/>
      <c r="PZ220" s="302"/>
      <c r="QA220" s="302"/>
      <c r="QB220" s="302"/>
      <c r="QC220" s="302"/>
      <c r="QD220" s="302"/>
      <c r="QE220" s="302"/>
      <c r="QF220" s="302"/>
      <c r="QG220" s="302"/>
      <c r="QH220" s="302"/>
      <c r="QI220" s="302"/>
      <c r="QJ220" s="302"/>
      <c r="QK220" s="302"/>
      <c r="QL220" s="302"/>
      <c r="QM220" s="302"/>
      <c r="QN220" s="302"/>
      <c r="QO220" s="302"/>
      <c r="QP220" s="302"/>
      <c r="QQ220" s="302"/>
      <c r="QR220" s="302"/>
      <c r="QS220" s="302"/>
      <c r="QT220" s="302"/>
      <c r="QU220" s="302"/>
      <c r="QV220" s="302"/>
      <c r="QW220" s="302"/>
      <c r="QX220" s="302"/>
      <c r="QY220" s="302"/>
      <c r="QZ220" s="302"/>
      <c r="RA220" s="302"/>
      <c r="RB220" s="302"/>
      <c r="RC220" s="302"/>
      <c r="RD220" s="302"/>
      <c r="RE220" s="302"/>
      <c r="RF220" s="302"/>
      <c r="RG220" s="302"/>
      <c r="RH220" s="302"/>
      <c r="RI220" s="302"/>
      <c r="RJ220" s="302"/>
      <c r="RK220" s="302"/>
      <c r="RL220" s="302"/>
      <c r="RM220" s="302"/>
      <c r="RN220" s="302"/>
      <c r="RO220" s="302"/>
      <c r="RP220" s="302"/>
      <c r="RQ220" s="302"/>
      <c r="RR220" s="302"/>
      <c r="RS220" s="302"/>
      <c r="RT220" s="302"/>
      <c r="RU220" s="302"/>
      <c r="RV220" s="302"/>
      <c r="RW220" s="302"/>
      <c r="RX220" s="302"/>
      <c r="RY220" s="302"/>
      <c r="RZ220" s="302"/>
      <c r="SA220" s="302"/>
      <c r="SB220" s="302"/>
      <c r="SC220" s="302"/>
      <c r="SD220" s="302"/>
      <c r="SE220" s="302"/>
      <c r="SF220" s="302"/>
      <c r="SG220" s="302"/>
      <c r="SH220" s="302"/>
      <c r="SI220" s="302"/>
      <c r="SJ220" s="302"/>
      <c r="SK220" s="302"/>
      <c r="SL220" s="302"/>
      <c r="SM220" s="302"/>
      <c r="SN220" s="302"/>
      <c r="SO220" s="302"/>
      <c r="SP220" s="302"/>
      <c r="SQ220" s="302"/>
      <c r="SR220" s="302"/>
      <c r="SS220" s="302"/>
      <c r="ST220" s="302"/>
      <c r="SU220" s="302"/>
      <c r="SV220" s="302"/>
      <c r="SW220" s="302"/>
      <c r="SX220" s="302"/>
      <c r="SY220" s="302"/>
      <c r="SZ220" s="302"/>
      <c r="TA220" s="302"/>
      <c r="TB220" s="302"/>
      <c r="TC220" s="302"/>
      <c r="TD220" s="302"/>
      <c r="TE220" s="302"/>
      <c r="TF220" s="302"/>
      <c r="TG220" s="302"/>
      <c r="TH220" s="302"/>
      <c r="TI220" s="302"/>
      <c r="TJ220" s="302"/>
      <c r="TK220" s="302"/>
      <c r="TL220" s="302"/>
      <c r="TM220" s="302"/>
      <c r="TN220" s="302"/>
      <c r="TO220" s="302"/>
      <c r="TP220" s="302"/>
      <c r="TQ220" s="302"/>
      <c r="TR220" s="302"/>
      <c r="TS220" s="302"/>
      <c r="TT220" s="302"/>
      <c r="TU220" s="302"/>
      <c r="TV220" s="302"/>
      <c r="TW220" s="302"/>
      <c r="TX220" s="302"/>
      <c r="TY220" s="302"/>
      <c r="TZ220" s="302"/>
      <c r="UA220" s="302"/>
      <c r="UB220" s="302"/>
      <c r="UC220" s="302"/>
      <c r="UD220" s="302"/>
      <c r="UE220" s="302"/>
      <c r="UF220" s="302"/>
      <c r="UG220" s="302"/>
      <c r="UH220" s="302"/>
      <c r="UI220" s="302"/>
      <c r="UJ220" s="302"/>
      <c r="UK220" s="302"/>
      <c r="UL220" s="302"/>
      <c r="UM220" s="302"/>
      <c r="UN220" s="302"/>
      <c r="UO220" s="302"/>
      <c r="UP220" s="302"/>
      <c r="UQ220" s="302"/>
      <c r="UR220" s="302"/>
      <c r="US220" s="302"/>
      <c r="UT220" s="302"/>
      <c r="UU220" s="302"/>
      <c r="UV220" s="302"/>
      <c r="UW220" s="302"/>
      <c r="UX220" s="302"/>
      <c r="UY220" s="302"/>
      <c r="UZ220" s="302"/>
      <c r="VA220" s="302"/>
      <c r="VB220" s="302"/>
      <c r="VC220" s="302"/>
      <c r="VD220" s="302"/>
      <c r="VE220" s="302"/>
      <c r="VF220" s="302"/>
      <c r="VG220" s="302"/>
      <c r="VH220" s="302"/>
      <c r="VI220" s="302"/>
      <c r="VJ220" s="302"/>
      <c r="VK220" s="302"/>
      <c r="VL220" s="302"/>
      <c r="VM220" s="302"/>
      <c r="VN220" s="302"/>
      <c r="VO220" s="302"/>
      <c r="VP220" s="302"/>
      <c r="VQ220" s="302"/>
      <c r="VR220" s="302"/>
      <c r="VS220" s="302"/>
      <c r="VT220" s="302"/>
      <c r="VU220" s="302"/>
      <c r="VV220" s="302"/>
      <c r="VW220" s="302"/>
      <c r="VX220" s="302"/>
      <c r="VY220" s="302"/>
      <c r="VZ220" s="302"/>
      <c r="WA220" s="302"/>
      <c r="WB220" s="302"/>
      <c r="WC220" s="302"/>
      <c r="WD220" s="302"/>
      <c r="WE220" s="302"/>
      <c r="WF220" s="302"/>
      <c r="WG220" s="302"/>
      <c r="WH220" s="302"/>
      <c r="WI220" s="302"/>
      <c r="WJ220" s="302"/>
      <c r="WK220" s="302"/>
      <c r="WL220" s="302"/>
      <c r="WM220" s="302"/>
      <c r="WN220" s="302"/>
      <c r="WO220" s="302"/>
      <c r="WP220" s="302"/>
      <c r="WQ220" s="302"/>
      <c r="WR220" s="302"/>
      <c r="WS220" s="302"/>
      <c r="WT220" s="302"/>
      <c r="WU220" s="302"/>
      <c r="WV220" s="302"/>
      <c r="WW220" s="302"/>
      <c r="WX220" s="302"/>
      <c r="WY220" s="302"/>
      <c r="WZ220" s="302"/>
      <c r="XA220" s="302"/>
      <c r="XB220" s="302"/>
      <c r="XC220" s="302"/>
      <c r="XD220" s="302"/>
      <c r="XE220" s="302"/>
      <c r="XF220" s="302"/>
      <c r="XG220" s="302"/>
      <c r="XH220" s="302"/>
      <c r="XI220" s="302"/>
      <c r="XJ220" s="302"/>
      <c r="XK220" s="302"/>
      <c r="XL220" s="302"/>
      <c r="XM220" s="302"/>
      <c r="XN220" s="302"/>
      <c r="XO220" s="302"/>
      <c r="XP220" s="302"/>
      <c r="XQ220" s="302"/>
      <c r="XR220" s="302"/>
      <c r="XS220" s="302"/>
      <c r="XT220" s="302"/>
      <c r="XU220" s="302"/>
      <c r="XV220" s="302"/>
      <c r="XW220" s="302"/>
      <c r="XX220" s="302"/>
      <c r="XY220" s="302"/>
      <c r="XZ220" s="302"/>
      <c r="YA220" s="302"/>
      <c r="YB220" s="302"/>
      <c r="YC220" s="302"/>
      <c r="YD220" s="302"/>
      <c r="YE220" s="302"/>
      <c r="YF220" s="302"/>
      <c r="YG220" s="302"/>
      <c r="YH220" s="302"/>
      <c r="YI220" s="302"/>
      <c r="YJ220" s="302"/>
      <c r="YK220" s="302"/>
      <c r="YL220" s="302"/>
      <c r="YM220" s="302"/>
      <c r="YN220" s="302"/>
      <c r="YO220" s="302"/>
      <c r="YP220" s="302"/>
      <c r="YQ220" s="302"/>
      <c r="YR220" s="302"/>
      <c r="YS220" s="302"/>
      <c r="YT220" s="302"/>
      <c r="YU220" s="302"/>
      <c r="YV220" s="302"/>
      <c r="YW220" s="302"/>
      <c r="YX220" s="302"/>
      <c r="YY220" s="302"/>
      <c r="YZ220" s="302"/>
      <c r="ZA220" s="302"/>
      <c r="ZB220" s="302"/>
      <c r="ZC220" s="302"/>
      <c r="ZD220" s="302"/>
      <c r="ZE220" s="302"/>
      <c r="ZF220" s="302"/>
      <c r="ZG220" s="302"/>
      <c r="ZH220" s="302"/>
      <c r="ZI220" s="302"/>
      <c r="ZJ220" s="302"/>
      <c r="ZK220" s="302"/>
      <c r="ZL220" s="302"/>
      <c r="ZM220" s="302"/>
      <c r="ZN220" s="302"/>
      <c r="ZO220" s="302"/>
      <c r="ZP220" s="302"/>
      <c r="ZQ220" s="302"/>
      <c r="ZR220" s="302"/>
      <c r="ZS220" s="302"/>
      <c r="ZT220" s="302"/>
      <c r="ZU220" s="302"/>
      <c r="ZV220" s="302"/>
      <c r="ZW220" s="302"/>
      <c r="ZX220" s="302"/>
      <c r="ZY220" s="302"/>
      <c r="ZZ220" s="302"/>
      <c r="AAA220" s="302"/>
      <c r="AAB220" s="302"/>
      <c r="AAC220" s="302"/>
      <c r="AAD220" s="302"/>
      <c r="AAE220" s="302"/>
      <c r="AAF220" s="302"/>
      <c r="AAG220" s="302"/>
      <c r="AAH220" s="302"/>
      <c r="AAI220" s="302"/>
      <c r="AAJ220" s="302"/>
      <c r="AAK220" s="302"/>
      <c r="AAL220" s="302"/>
      <c r="AAM220" s="302"/>
      <c r="AAN220" s="302"/>
      <c r="AAO220" s="302"/>
      <c r="AAP220" s="302"/>
      <c r="AAQ220" s="302"/>
      <c r="AAR220" s="302"/>
      <c r="AAS220" s="302"/>
      <c r="AAT220" s="302"/>
      <c r="AAU220" s="302"/>
      <c r="AAV220" s="302"/>
      <c r="AAW220" s="302"/>
      <c r="AAX220" s="302"/>
      <c r="AAY220" s="302"/>
      <c r="AAZ220" s="302"/>
      <c r="ABA220" s="302"/>
      <c r="ABB220" s="302"/>
      <c r="ABC220" s="302"/>
      <c r="ABD220" s="302"/>
      <c r="ABE220" s="302"/>
      <c r="ABF220" s="302"/>
      <c r="ABG220" s="302"/>
      <c r="ABH220" s="302"/>
      <c r="ABI220" s="302"/>
      <c r="ABJ220" s="302"/>
      <c r="ABK220" s="302"/>
      <c r="ABL220" s="302"/>
      <c r="ABM220" s="302"/>
      <c r="ABN220" s="302"/>
      <c r="ABO220" s="302"/>
      <c r="ABP220" s="302"/>
      <c r="ABQ220" s="302"/>
      <c r="ABR220" s="302"/>
      <c r="ABS220" s="302"/>
      <c r="ABT220" s="302"/>
      <c r="ABU220" s="302"/>
      <c r="ABV220" s="302"/>
      <c r="ABW220" s="302"/>
      <c r="ABX220" s="302"/>
      <c r="ABY220" s="302"/>
      <c r="ABZ220" s="302"/>
      <c r="ACA220" s="302"/>
      <c r="ACB220" s="302"/>
      <c r="ACC220" s="302"/>
      <c r="ACD220" s="302"/>
      <c r="ACE220" s="302"/>
      <c r="ACF220" s="302"/>
      <c r="ACG220" s="302"/>
      <c r="ACH220" s="302"/>
      <c r="ACI220" s="302"/>
      <c r="ACJ220" s="302"/>
      <c r="ACK220" s="302"/>
      <c r="ACL220" s="302"/>
      <c r="ACM220" s="302"/>
      <c r="ACN220" s="302"/>
      <c r="ACO220" s="302"/>
      <c r="ACP220" s="302"/>
      <c r="ACQ220" s="302"/>
      <c r="ACR220" s="302"/>
      <c r="ACS220" s="302"/>
      <c r="ACT220" s="302"/>
      <c r="ACU220" s="302"/>
      <c r="ACV220" s="302"/>
      <c r="ACW220" s="302"/>
      <c r="ACX220" s="302"/>
      <c r="ACY220" s="302"/>
      <c r="ACZ220" s="302"/>
      <c r="ADA220" s="302"/>
      <c r="ADB220" s="302"/>
      <c r="ADC220" s="302"/>
      <c r="ADD220" s="302"/>
      <c r="ADE220" s="302"/>
      <c r="ADF220" s="302"/>
      <c r="ADG220" s="302"/>
      <c r="ADH220" s="302"/>
      <c r="ADI220" s="302"/>
      <c r="ADJ220" s="302"/>
      <c r="ADK220" s="302"/>
      <c r="ADL220" s="302"/>
      <c r="ADM220" s="302"/>
      <c r="ADN220" s="302"/>
      <c r="ADO220" s="302"/>
      <c r="ADP220" s="302"/>
      <c r="ADQ220" s="302"/>
      <c r="ADR220" s="302"/>
      <c r="ADS220" s="302"/>
      <c r="ADT220" s="302"/>
      <c r="ADU220" s="302"/>
      <c r="ADV220" s="302"/>
      <c r="ADW220" s="302"/>
      <c r="ADX220" s="302"/>
      <c r="ADY220" s="302"/>
      <c r="ADZ220" s="302"/>
      <c r="AEA220" s="302"/>
      <c r="AEB220" s="302"/>
      <c r="AEC220" s="302"/>
      <c r="AED220" s="302"/>
      <c r="AEE220" s="302"/>
      <c r="AEF220" s="302"/>
      <c r="AEG220" s="302"/>
      <c r="AEH220" s="302"/>
      <c r="AEI220" s="302"/>
      <c r="AEJ220" s="302"/>
      <c r="AEK220" s="302"/>
      <c r="AEL220" s="302"/>
      <c r="AEM220" s="302"/>
      <c r="AEN220" s="302"/>
      <c r="AEO220" s="302"/>
      <c r="AEP220" s="302"/>
      <c r="AEQ220" s="302"/>
      <c r="AER220" s="302"/>
      <c r="AES220" s="302"/>
      <c r="AET220" s="302"/>
      <c r="AEU220" s="302"/>
      <c r="AEV220" s="302"/>
      <c r="AEW220" s="302"/>
      <c r="AEX220" s="302"/>
      <c r="AEY220" s="302"/>
      <c r="AEZ220" s="302"/>
      <c r="AFA220" s="302"/>
      <c r="AFB220" s="302"/>
      <c r="AFC220" s="302"/>
      <c r="AFD220" s="302"/>
      <c r="AFE220" s="302"/>
      <c r="AFF220" s="302"/>
      <c r="AFG220" s="302"/>
      <c r="AFH220" s="302"/>
      <c r="AFI220" s="302"/>
      <c r="AFJ220" s="302"/>
      <c r="AFK220" s="302"/>
      <c r="AFL220" s="302"/>
      <c r="AFM220" s="302"/>
      <c r="AFN220" s="302"/>
      <c r="AFO220" s="302"/>
      <c r="AFP220" s="302"/>
      <c r="AFQ220" s="302"/>
      <c r="AFR220" s="302"/>
      <c r="AFS220" s="302"/>
      <c r="AFT220" s="302"/>
      <c r="AFU220" s="302"/>
      <c r="AFV220" s="302"/>
      <c r="AFW220" s="302"/>
      <c r="AFX220" s="302"/>
      <c r="AFY220" s="302"/>
      <c r="AFZ220" s="302"/>
      <c r="AGA220" s="302"/>
      <c r="AGB220" s="302"/>
      <c r="AGC220" s="302"/>
      <c r="AGD220" s="302"/>
      <c r="AGE220" s="302"/>
      <c r="AGF220" s="302"/>
      <c r="AGG220" s="302"/>
      <c r="AGH220" s="302"/>
      <c r="AGI220" s="302"/>
      <c r="AGJ220" s="302"/>
      <c r="AGK220" s="302"/>
      <c r="AGL220" s="302"/>
      <c r="AGM220" s="302"/>
      <c r="AGN220" s="302"/>
      <c r="AGO220" s="302"/>
      <c r="AGP220" s="302"/>
      <c r="AGQ220" s="302"/>
      <c r="AGR220" s="302"/>
      <c r="AGS220" s="302"/>
      <c r="AGT220" s="302"/>
      <c r="AGU220" s="302"/>
      <c r="AGV220" s="302"/>
      <c r="AGW220" s="302"/>
      <c r="AGX220" s="302"/>
      <c r="AGY220" s="302"/>
      <c r="AGZ220" s="302"/>
      <c r="AHA220" s="302"/>
      <c r="AHB220" s="302"/>
      <c r="AHC220" s="302"/>
      <c r="AHD220" s="302"/>
      <c r="AHE220" s="302"/>
      <c r="AHF220" s="302"/>
      <c r="AHG220" s="302"/>
      <c r="AHH220" s="302"/>
      <c r="AHI220" s="302"/>
      <c r="AHJ220" s="302"/>
      <c r="AHK220" s="302"/>
      <c r="AHL220" s="302"/>
      <c r="AHM220" s="302"/>
      <c r="AHN220" s="302"/>
      <c r="AHO220" s="302"/>
      <c r="AHP220" s="302"/>
      <c r="AHQ220" s="302"/>
      <c r="AHR220" s="302"/>
      <c r="AHS220" s="302"/>
      <c r="AHT220" s="302"/>
      <c r="AHU220" s="302"/>
      <c r="AHV220" s="302"/>
      <c r="AHW220" s="302"/>
      <c r="AHX220" s="302"/>
      <c r="AHY220" s="302"/>
      <c r="AHZ220" s="302"/>
      <c r="AIA220" s="302"/>
      <c r="AIB220" s="302"/>
      <c r="AIC220" s="302"/>
      <c r="AID220" s="302"/>
      <c r="AIE220" s="302"/>
      <c r="AIF220" s="302"/>
      <c r="AIG220" s="302"/>
      <c r="AIH220" s="302"/>
      <c r="AII220" s="302"/>
      <c r="AIJ220" s="302"/>
      <c r="AIK220" s="302"/>
      <c r="AIL220" s="302"/>
      <c r="AIM220" s="302"/>
      <c r="AIN220" s="302"/>
      <c r="AIO220" s="302"/>
      <c r="AIP220" s="302"/>
      <c r="AIQ220" s="302"/>
      <c r="AIR220" s="302"/>
      <c r="AIS220" s="302"/>
      <c r="AIT220" s="302"/>
      <c r="AIU220" s="302"/>
      <c r="AIV220" s="302"/>
      <c r="AIW220" s="302"/>
      <c r="AIX220" s="302"/>
      <c r="AIY220" s="302"/>
      <c r="AIZ220" s="302"/>
      <c r="AJA220" s="302"/>
      <c r="AJB220" s="302"/>
      <c r="AJC220" s="302"/>
      <c r="AJD220" s="302"/>
      <c r="AJE220" s="302"/>
      <c r="AJF220" s="302"/>
      <c r="AJG220" s="302"/>
      <c r="AJH220" s="302"/>
      <c r="AJI220" s="302"/>
      <c r="AJJ220" s="302"/>
      <c r="AJK220" s="302"/>
      <c r="AJL220" s="302"/>
      <c r="AJM220" s="302"/>
      <c r="AJN220" s="302"/>
      <c r="AJO220" s="302"/>
      <c r="AJP220" s="302"/>
      <c r="AJQ220" s="302"/>
      <c r="AJR220" s="302"/>
      <c r="AJS220" s="302"/>
      <c r="AJT220" s="302"/>
      <c r="AJU220" s="302"/>
      <c r="AJV220" s="302"/>
      <c r="AJW220" s="302"/>
      <c r="AJX220" s="302"/>
      <c r="AJY220" s="302"/>
      <c r="AJZ220" s="302"/>
      <c r="AKA220" s="302"/>
      <c r="AKB220" s="302"/>
      <c r="AKC220" s="302"/>
      <c r="AKD220" s="302"/>
      <c r="AKE220" s="302"/>
      <c r="AKF220" s="302"/>
      <c r="AKG220" s="302"/>
      <c r="AKH220" s="302"/>
      <c r="AKI220" s="302"/>
      <c r="AKJ220" s="302"/>
      <c r="AKK220" s="302"/>
      <c r="AKL220" s="302"/>
      <c r="AKM220" s="302"/>
      <c r="AKN220" s="302"/>
      <c r="AKO220" s="302"/>
      <c r="AKP220" s="302"/>
      <c r="AKQ220" s="302"/>
      <c r="AKR220" s="302"/>
      <c r="AKS220" s="302"/>
      <c r="AKT220" s="302"/>
      <c r="AKU220" s="302"/>
      <c r="AKV220" s="302"/>
      <c r="AKW220" s="302"/>
      <c r="AKX220" s="302"/>
      <c r="AKY220" s="302"/>
      <c r="AKZ220" s="302"/>
      <c r="ALA220" s="302"/>
      <c r="ALB220" s="302"/>
      <c r="ALC220" s="302"/>
      <c r="ALD220" s="302"/>
      <c r="ALE220" s="302"/>
      <c r="ALF220" s="302"/>
      <c r="ALG220" s="302"/>
      <c r="ALH220" s="302"/>
      <c r="ALI220" s="302"/>
      <c r="ALJ220" s="302"/>
      <c r="ALK220" s="302"/>
      <c r="ALL220" s="302"/>
      <c r="ALM220" s="302"/>
      <c r="ALN220" s="302"/>
      <c r="ALO220" s="302"/>
      <c r="ALP220" s="302"/>
      <c r="ALQ220" s="302"/>
      <c r="ALR220" s="302"/>
      <c r="ALS220" s="302"/>
      <c r="ALT220" s="302"/>
      <c r="ALU220" s="302"/>
      <c r="ALV220" s="302"/>
      <c r="ALW220" s="302"/>
      <c r="ALX220" s="302"/>
      <c r="ALY220" s="302"/>
      <c r="ALZ220" s="302"/>
      <c r="AMA220" s="302"/>
      <c r="AMB220" s="302"/>
      <c r="AMC220" s="302"/>
      <c r="AMD220" s="302"/>
      <c r="AME220" s="302"/>
      <c r="AMF220" s="302"/>
      <c r="AMG220" s="302"/>
      <c r="AMH220" s="302"/>
      <c r="AMI220" s="302"/>
    </row>
    <row r="221" spans="1:1023" hidden="1">
      <c r="A221" s="302"/>
      <c r="B221" s="470">
        <v>13922</v>
      </c>
      <c r="C221" s="471">
        <v>0.1</v>
      </c>
      <c r="D221" s="472" t="s">
        <v>137</v>
      </c>
      <c r="E221" s="473">
        <v>5000000</v>
      </c>
      <c r="F221" s="499">
        <v>0.05</v>
      </c>
      <c r="G221" s="364">
        <f>E221*F221</f>
        <v>250000</v>
      </c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2"/>
      <c r="AE221" s="302"/>
      <c r="AF221" s="302"/>
      <c r="AG221" s="302"/>
      <c r="AH221" s="302"/>
      <c r="AI221" s="302"/>
      <c r="AJ221" s="302"/>
      <c r="AK221" s="302"/>
      <c r="AL221" s="302"/>
      <c r="AM221" s="302"/>
      <c r="AN221" s="302"/>
      <c r="AO221" s="302"/>
      <c r="AP221" s="302"/>
      <c r="AQ221" s="302"/>
      <c r="AR221" s="302"/>
      <c r="AS221" s="302"/>
      <c r="AT221" s="302"/>
      <c r="AU221" s="302"/>
      <c r="AV221" s="302"/>
      <c r="AW221" s="302"/>
      <c r="AX221" s="302"/>
      <c r="AY221" s="302"/>
      <c r="AZ221" s="302"/>
      <c r="BA221" s="302"/>
      <c r="BB221" s="302"/>
      <c r="BC221" s="302"/>
      <c r="BD221" s="302"/>
      <c r="BE221" s="302"/>
      <c r="BF221" s="302"/>
      <c r="BG221" s="302"/>
      <c r="BH221" s="302"/>
      <c r="BI221" s="302"/>
      <c r="BJ221" s="302"/>
      <c r="BK221" s="302"/>
      <c r="BL221" s="302"/>
      <c r="BM221" s="302"/>
      <c r="BN221" s="302"/>
      <c r="BO221" s="302"/>
      <c r="BP221" s="302"/>
      <c r="BQ221" s="302"/>
      <c r="BR221" s="302"/>
      <c r="BS221" s="302"/>
      <c r="BT221" s="302"/>
      <c r="BU221" s="302"/>
      <c r="BV221" s="302"/>
      <c r="BW221" s="302"/>
      <c r="BX221" s="302"/>
      <c r="BY221" s="302"/>
      <c r="BZ221" s="302"/>
      <c r="CA221" s="302"/>
      <c r="CB221" s="302"/>
      <c r="CC221" s="302"/>
      <c r="CD221" s="302"/>
      <c r="CE221" s="302"/>
      <c r="CF221" s="302"/>
      <c r="CG221" s="302"/>
      <c r="CH221" s="302"/>
      <c r="CI221" s="302"/>
      <c r="CJ221" s="302"/>
      <c r="CK221" s="302"/>
      <c r="CL221" s="302"/>
      <c r="CM221" s="302"/>
      <c r="CN221" s="302"/>
      <c r="CO221" s="302"/>
      <c r="CP221" s="302"/>
      <c r="CQ221" s="302"/>
      <c r="CR221" s="302"/>
      <c r="CS221" s="302"/>
      <c r="CT221" s="302"/>
      <c r="CU221" s="302"/>
      <c r="CV221" s="302"/>
      <c r="CW221" s="302"/>
      <c r="CX221" s="302"/>
      <c r="CY221" s="302"/>
      <c r="CZ221" s="302"/>
      <c r="DA221" s="302"/>
      <c r="DB221" s="302"/>
      <c r="DC221" s="302"/>
      <c r="DD221" s="302"/>
      <c r="DE221" s="302"/>
      <c r="DF221" s="302"/>
      <c r="DG221" s="302"/>
      <c r="DH221" s="302"/>
      <c r="DI221" s="302"/>
      <c r="DJ221" s="302"/>
      <c r="DK221" s="302"/>
      <c r="DL221" s="302"/>
      <c r="DM221" s="302"/>
      <c r="DN221" s="302"/>
      <c r="DO221" s="302"/>
      <c r="DP221" s="302"/>
      <c r="DQ221" s="302"/>
      <c r="DR221" s="302"/>
      <c r="DS221" s="302"/>
      <c r="DT221" s="302"/>
      <c r="DU221" s="302"/>
      <c r="DV221" s="302"/>
      <c r="DW221" s="302"/>
      <c r="DX221" s="302"/>
      <c r="DY221" s="302"/>
      <c r="DZ221" s="302"/>
      <c r="EA221" s="302"/>
      <c r="EB221" s="302"/>
      <c r="EC221" s="302"/>
      <c r="ED221" s="302"/>
      <c r="EE221" s="302"/>
      <c r="EF221" s="302"/>
      <c r="EG221" s="302"/>
      <c r="EH221" s="302"/>
      <c r="EI221" s="302"/>
      <c r="EJ221" s="302"/>
      <c r="EK221" s="302"/>
      <c r="EL221" s="302"/>
      <c r="EM221" s="302"/>
      <c r="EN221" s="302"/>
      <c r="EO221" s="302"/>
      <c r="EP221" s="302"/>
      <c r="EQ221" s="302"/>
      <c r="ER221" s="302"/>
      <c r="ES221" s="302"/>
      <c r="ET221" s="302"/>
      <c r="EU221" s="302"/>
      <c r="EV221" s="302"/>
      <c r="EW221" s="302"/>
      <c r="EX221" s="302"/>
      <c r="EY221" s="302"/>
      <c r="EZ221" s="302"/>
      <c r="FA221" s="302"/>
      <c r="FB221" s="302"/>
      <c r="FC221" s="302"/>
      <c r="FD221" s="302"/>
      <c r="FE221" s="302"/>
      <c r="FF221" s="302"/>
      <c r="FG221" s="302"/>
      <c r="FH221" s="302"/>
      <c r="FI221" s="302"/>
      <c r="FJ221" s="302"/>
      <c r="FK221" s="302"/>
      <c r="FL221" s="302"/>
      <c r="FM221" s="302"/>
      <c r="FN221" s="302"/>
      <c r="FO221" s="302"/>
      <c r="FP221" s="302"/>
      <c r="FQ221" s="302"/>
      <c r="FR221" s="302"/>
      <c r="FS221" s="302"/>
      <c r="FT221" s="302"/>
      <c r="FU221" s="302"/>
      <c r="FV221" s="302"/>
      <c r="FW221" s="302"/>
      <c r="FX221" s="302"/>
      <c r="FY221" s="302"/>
      <c r="FZ221" s="302"/>
      <c r="GA221" s="302"/>
      <c r="GB221" s="302"/>
      <c r="GC221" s="302"/>
      <c r="GD221" s="302"/>
      <c r="GE221" s="302"/>
      <c r="GF221" s="302"/>
      <c r="GG221" s="302"/>
      <c r="GH221" s="302"/>
      <c r="GI221" s="302"/>
      <c r="GJ221" s="302"/>
      <c r="GK221" s="302"/>
      <c r="GL221" s="302"/>
      <c r="GM221" s="302"/>
      <c r="GN221" s="302"/>
      <c r="GO221" s="302"/>
      <c r="GP221" s="302"/>
      <c r="GQ221" s="302"/>
      <c r="GR221" s="302"/>
      <c r="GS221" s="302"/>
      <c r="GT221" s="302"/>
      <c r="GU221" s="302"/>
      <c r="GV221" s="302"/>
      <c r="GW221" s="302"/>
      <c r="GX221" s="302"/>
      <c r="GY221" s="302"/>
      <c r="GZ221" s="302"/>
      <c r="HA221" s="302"/>
      <c r="HB221" s="302"/>
      <c r="HC221" s="302"/>
      <c r="HD221" s="302"/>
      <c r="HE221" s="302"/>
      <c r="HF221" s="302"/>
      <c r="HG221" s="302"/>
      <c r="HH221" s="302"/>
      <c r="HI221" s="302"/>
      <c r="HJ221" s="302"/>
      <c r="HK221" s="302"/>
      <c r="HL221" s="302"/>
      <c r="HM221" s="302"/>
      <c r="HN221" s="302"/>
      <c r="HO221" s="302"/>
      <c r="HP221" s="302"/>
      <c r="HQ221" s="302"/>
      <c r="HR221" s="302"/>
      <c r="HS221" s="302"/>
      <c r="HT221" s="302"/>
      <c r="HU221" s="302"/>
      <c r="HV221" s="302"/>
      <c r="HW221" s="302"/>
      <c r="HX221" s="302"/>
      <c r="HY221" s="302"/>
      <c r="HZ221" s="302"/>
      <c r="IA221" s="302"/>
      <c r="IB221" s="302"/>
      <c r="IC221" s="302"/>
      <c r="ID221" s="302"/>
      <c r="IE221" s="302"/>
      <c r="IF221" s="302"/>
      <c r="IG221" s="302"/>
      <c r="IH221" s="302"/>
      <c r="II221" s="302"/>
      <c r="IJ221" s="302"/>
      <c r="IK221" s="302"/>
      <c r="IL221" s="302"/>
      <c r="IM221" s="302"/>
      <c r="IN221" s="302"/>
      <c r="IO221" s="302"/>
      <c r="IP221" s="302"/>
      <c r="IQ221" s="302"/>
      <c r="IR221" s="302"/>
      <c r="IS221" s="302"/>
      <c r="IT221" s="302"/>
      <c r="IU221" s="302"/>
      <c r="IV221" s="302"/>
      <c r="IW221" s="302"/>
      <c r="IX221" s="302"/>
      <c r="IY221" s="302"/>
      <c r="IZ221" s="302"/>
      <c r="JA221" s="302"/>
      <c r="JB221" s="302"/>
      <c r="JC221" s="302"/>
      <c r="JD221" s="302"/>
      <c r="JE221" s="302"/>
      <c r="JF221" s="302"/>
      <c r="JG221" s="302"/>
      <c r="JH221" s="302"/>
      <c r="JI221" s="302"/>
      <c r="JJ221" s="302"/>
      <c r="JK221" s="302"/>
      <c r="JL221" s="302"/>
      <c r="JM221" s="302"/>
      <c r="JN221" s="302"/>
      <c r="JO221" s="302"/>
      <c r="JP221" s="302"/>
      <c r="JQ221" s="302"/>
      <c r="JR221" s="302"/>
      <c r="JS221" s="302"/>
      <c r="JT221" s="302"/>
      <c r="JU221" s="302"/>
      <c r="JV221" s="302"/>
      <c r="JW221" s="302"/>
      <c r="JX221" s="302"/>
      <c r="JY221" s="302"/>
      <c r="JZ221" s="302"/>
      <c r="KA221" s="302"/>
      <c r="KB221" s="302"/>
      <c r="KC221" s="302"/>
      <c r="KD221" s="302"/>
      <c r="KE221" s="302"/>
      <c r="KF221" s="302"/>
      <c r="KG221" s="302"/>
      <c r="KH221" s="302"/>
      <c r="KI221" s="302"/>
      <c r="KJ221" s="302"/>
      <c r="KK221" s="302"/>
      <c r="KL221" s="302"/>
      <c r="KM221" s="302"/>
      <c r="KN221" s="302"/>
      <c r="KO221" s="302"/>
      <c r="KP221" s="302"/>
      <c r="KQ221" s="302"/>
      <c r="KR221" s="302"/>
      <c r="KS221" s="302"/>
      <c r="KT221" s="302"/>
      <c r="KU221" s="302"/>
      <c r="KV221" s="302"/>
      <c r="KW221" s="302"/>
      <c r="KX221" s="302"/>
      <c r="KY221" s="302"/>
      <c r="KZ221" s="302"/>
      <c r="LA221" s="302"/>
      <c r="LB221" s="302"/>
      <c r="LC221" s="302"/>
      <c r="LD221" s="302"/>
      <c r="LE221" s="302"/>
      <c r="LF221" s="302"/>
      <c r="LG221" s="302"/>
      <c r="LH221" s="302"/>
      <c r="LI221" s="302"/>
      <c r="LJ221" s="302"/>
      <c r="LK221" s="302"/>
      <c r="LL221" s="302"/>
      <c r="LM221" s="302"/>
      <c r="LN221" s="302"/>
      <c r="LO221" s="302"/>
      <c r="LP221" s="302"/>
      <c r="LQ221" s="302"/>
      <c r="LR221" s="302"/>
      <c r="LS221" s="302"/>
      <c r="LT221" s="302"/>
      <c r="LU221" s="302"/>
      <c r="LV221" s="302"/>
      <c r="LW221" s="302"/>
      <c r="LX221" s="302"/>
      <c r="LY221" s="302"/>
      <c r="LZ221" s="302"/>
      <c r="MA221" s="302"/>
      <c r="MB221" s="302"/>
      <c r="MC221" s="302"/>
      <c r="MD221" s="302"/>
      <c r="ME221" s="302"/>
      <c r="MF221" s="302"/>
      <c r="MG221" s="302"/>
      <c r="MH221" s="302"/>
      <c r="MI221" s="302"/>
      <c r="MJ221" s="302"/>
      <c r="MK221" s="302"/>
      <c r="ML221" s="302"/>
      <c r="MM221" s="302"/>
      <c r="MN221" s="302"/>
      <c r="MO221" s="302"/>
      <c r="MP221" s="302"/>
      <c r="MQ221" s="302"/>
      <c r="MR221" s="302"/>
      <c r="MS221" s="302"/>
      <c r="MT221" s="302"/>
      <c r="MU221" s="302"/>
      <c r="MV221" s="302"/>
      <c r="MW221" s="302"/>
      <c r="MX221" s="302"/>
      <c r="MY221" s="302"/>
      <c r="MZ221" s="302"/>
      <c r="NA221" s="302"/>
      <c r="NB221" s="302"/>
      <c r="NC221" s="302"/>
      <c r="ND221" s="302"/>
      <c r="NE221" s="302"/>
      <c r="NF221" s="302"/>
      <c r="NG221" s="302"/>
      <c r="NH221" s="302"/>
      <c r="NI221" s="302"/>
      <c r="NJ221" s="302"/>
      <c r="NK221" s="302"/>
      <c r="NL221" s="302"/>
      <c r="NM221" s="302"/>
      <c r="NN221" s="302"/>
      <c r="NO221" s="302"/>
      <c r="NP221" s="302"/>
      <c r="NQ221" s="302"/>
      <c r="NR221" s="302"/>
      <c r="NS221" s="302"/>
      <c r="NT221" s="302"/>
      <c r="NU221" s="302"/>
      <c r="NV221" s="302"/>
      <c r="NW221" s="302"/>
      <c r="NX221" s="302"/>
      <c r="NY221" s="302"/>
      <c r="NZ221" s="302"/>
      <c r="OA221" s="302"/>
      <c r="OB221" s="302"/>
      <c r="OC221" s="302"/>
      <c r="OD221" s="302"/>
      <c r="OE221" s="302"/>
      <c r="OF221" s="302"/>
      <c r="OG221" s="302"/>
      <c r="OH221" s="302"/>
      <c r="OI221" s="302"/>
      <c r="OJ221" s="302"/>
      <c r="OK221" s="302"/>
      <c r="OL221" s="302"/>
      <c r="OM221" s="302"/>
      <c r="ON221" s="302"/>
      <c r="OO221" s="302"/>
      <c r="OP221" s="302"/>
      <c r="OQ221" s="302"/>
      <c r="OR221" s="302"/>
      <c r="OS221" s="302"/>
      <c r="OT221" s="302"/>
      <c r="OU221" s="302"/>
      <c r="OV221" s="302"/>
      <c r="OW221" s="302"/>
      <c r="OX221" s="302"/>
      <c r="OY221" s="302"/>
      <c r="OZ221" s="302"/>
      <c r="PA221" s="302"/>
      <c r="PB221" s="302"/>
      <c r="PC221" s="302"/>
      <c r="PD221" s="302"/>
      <c r="PE221" s="302"/>
      <c r="PF221" s="302"/>
      <c r="PG221" s="302"/>
      <c r="PH221" s="302"/>
      <c r="PI221" s="302"/>
      <c r="PJ221" s="302"/>
      <c r="PK221" s="302"/>
      <c r="PL221" s="302"/>
      <c r="PM221" s="302"/>
      <c r="PN221" s="302"/>
      <c r="PO221" s="302"/>
      <c r="PP221" s="302"/>
      <c r="PQ221" s="302"/>
      <c r="PR221" s="302"/>
      <c r="PS221" s="302"/>
      <c r="PT221" s="302"/>
      <c r="PU221" s="302"/>
      <c r="PV221" s="302"/>
      <c r="PW221" s="302"/>
      <c r="PX221" s="302"/>
      <c r="PY221" s="302"/>
      <c r="PZ221" s="302"/>
      <c r="QA221" s="302"/>
      <c r="QB221" s="302"/>
      <c r="QC221" s="302"/>
      <c r="QD221" s="302"/>
      <c r="QE221" s="302"/>
      <c r="QF221" s="302"/>
      <c r="QG221" s="302"/>
      <c r="QH221" s="302"/>
      <c r="QI221" s="302"/>
      <c r="QJ221" s="302"/>
      <c r="QK221" s="302"/>
      <c r="QL221" s="302"/>
      <c r="QM221" s="302"/>
      <c r="QN221" s="302"/>
      <c r="QO221" s="302"/>
      <c r="QP221" s="302"/>
      <c r="QQ221" s="302"/>
      <c r="QR221" s="302"/>
      <c r="QS221" s="302"/>
      <c r="QT221" s="302"/>
      <c r="QU221" s="302"/>
      <c r="QV221" s="302"/>
      <c r="QW221" s="302"/>
      <c r="QX221" s="302"/>
      <c r="QY221" s="302"/>
      <c r="QZ221" s="302"/>
      <c r="RA221" s="302"/>
      <c r="RB221" s="302"/>
      <c r="RC221" s="302"/>
      <c r="RD221" s="302"/>
      <c r="RE221" s="302"/>
      <c r="RF221" s="302"/>
      <c r="RG221" s="302"/>
      <c r="RH221" s="302"/>
      <c r="RI221" s="302"/>
      <c r="RJ221" s="302"/>
      <c r="RK221" s="302"/>
      <c r="RL221" s="302"/>
      <c r="RM221" s="302"/>
      <c r="RN221" s="302"/>
      <c r="RO221" s="302"/>
      <c r="RP221" s="302"/>
      <c r="RQ221" s="302"/>
      <c r="RR221" s="302"/>
      <c r="RS221" s="302"/>
      <c r="RT221" s="302"/>
      <c r="RU221" s="302"/>
      <c r="RV221" s="302"/>
      <c r="RW221" s="302"/>
      <c r="RX221" s="302"/>
      <c r="RY221" s="302"/>
      <c r="RZ221" s="302"/>
      <c r="SA221" s="302"/>
      <c r="SB221" s="302"/>
      <c r="SC221" s="302"/>
      <c r="SD221" s="302"/>
      <c r="SE221" s="302"/>
      <c r="SF221" s="302"/>
      <c r="SG221" s="302"/>
      <c r="SH221" s="302"/>
      <c r="SI221" s="302"/>
      <c r="SJ221" s="302"/>
      <c r="SK221" s="302"/>
      <c r="SL221" s="302"/>
      <c r="SM221" s="302"/>
      <c r="SN221" s="302"/>
      <c r="SO221" s="302"/>
      <c r="SP221" s="302"/>
      <c r="SQ221" s="302"/>
      <c r="SR221" s="302"/>
      <c r="SS221" s="302"/>
      <c r="ST221" s="302"/>
      <c r="SU221" s="302"/>
      <c r="SV221" s="302"/>
      <c r="SW221" s="302"/>
      <c r="SX221" s="302"/>
      <c r="SY221" s="302"/>
      <c r="SZ221" s="302"/>
      <c r="TA221" s="302"/>
      <c r="TB221" s="302"/>
      <c r="TC221" s="302"/>
      <c r="TD221" s="302"/>
      <c r="TE221" s="302"/>
      <c r="TF221" s="302"/>
      <c r="TG221" s="302"/>
      <c r="TH221" s="302"/>
      <c r="TI221" s="302"/>
      <c r="TJ221" s="302"/>
      <c r="TK221" s="302"/>
      <c r="TL221" s="302"/>
      <c r="TM221" s="302"/>
      <c r="TN221" s="302"/>
      <c r="TO221" s="302"/>
      <c r="TP221" s="302"/>
      <c r="TQ221" s="302"/>
      <c r="TR221" s="302"/>
      <c r="TS221" s="302"/>
      <c r="TT221" s="302"/>
      <c r="TU221" s="302"/>
      <c r="TV221" s="302"/>
      <c r="TW221" s="302"/>
      <c r="TX221" s="302"/>
      <c r="TY221" s="302"/>
      <c r="TZ221" s="302"/>
      <c r="UA221" s="302"/>
      <c r="UB221" s="302"/>
      <c r="UC221" s="302"/>
      <c r="UD221" s="302"/>
      <c r="UE221" s="302"/>
      <c r="UF221" s="302"/>
      <c r="UG221" s="302"/>
      <c r="UH221" s="302"/>
      <c r="UI221" s="302"/>
      <c r="UJ221" s="302"/>
      <c r="UK221" s="302"/>
      <c r="UL221" s="302"/>
      <c r="UM221" s="302"/>
      <c r="UN221" s="302"/>
      <c r="UO221" s="302"/>
      <c r="UP221" s="302"/>
      <c r="UQ221" s="302"/>
      <c r="UR221" s="302"/>
      <c r="US221" s="302"/>
      <c r="UT221" s="302"/>
      <c r="UU221" s="302"/>
      <c r="UV221" s="302"/>
      <c r="UW221" s="302"/>
      <c r="UX221" s="302"/>
      <c r="UY221" s="302"/>
      <c r="UZ221" s="302"/>
      <c r="VA221" s="302"/>
      <c r="VB221" s="302"/>
      <c r="VC221" s="302"/>
      <c r="VD221" s="302"/>
      <c r="VE221" s="302"/>
      <c r="VF221" s="302"/>
      <c r="VG221" s="302"/>
      <c r="VH221" s="302"/>
      <c r="VI221" s="302"/>
      <c r="VJ221" s="302"/>
      <c r="VK221" s="302"/>
      <c r="VL221" s="302"/>
      <c r="VM221" s="302"/>
      <c r="VN221" s="302"/>
      <c r="VO221" s="302"/>
      <c r="VP221" s="302"/>
      <c r="VQ221" s="302"/>
      <c r="VR221" s="302"/>
      <c r="VS221" s="302"/>
      <c r="VT221" s="302"/>
      <c r="VU221" s="302"/>
      <c r="VV221" s="302"/>
      <c r="VW221" s="302"/>
      <c r="VX221" s="302"/>
      <c r="VY221" s="302"/>
      <c r="VZ221" s="302"/>
      <c r="WA221" s="302"/>
      <c r="WB221" s="302"/>
      <c r="WC221" s="302"/>
      <c r="WD221" s="302"/>
      <c r="WE221" s="302"/>
      <c r="WF221" s="302"/>
      <c r="WG221" s="302"/>
      <c r="WH221" s="302"/>
      <c r="WI221" s="302"/>
      <c r="WJ221" s="302"/>
      <c r="WK221" s="302"/>
      <c r="WL221" s="302"/>
      <c r="WM221" s="302"/>
      <c r="WN221" s="302"/>
      <c r="WO221" s="302"/>
      <c r="WP221" s="302"/>
      <c r="WQ221" s="302"/>
      <c r="WR221" s="302"/>
      <c r="WS221" s="302"/>
      <c r="WT221" s="302"/>
      <c r="WU221" s="302"/>
      <c r="WV221" s="302"/>
      <c r="WW221" s="302"/>
      <c r="WX221" s="302"/>
      <c r="WY221" s="302"/>
      <c r="WZ221" s="302"/>
      <c r="XA221" s="302"/>
      <c r="XB221" s="302"/>
      <c r="XC221" s="302"/>
      <c r="XD221" s="302"/>
      <c r="XE221" s="302"/>
      <c r="XF221" s="302"/>
      <c r="XG221" s="302"/>
      <c r="XH221" s="302"/>
      <c r="XI221" s="302"/>
      <c r="XJ221" s="302"/>
      <c r="XK221" s="302"/>
      <c r="XL221" s="302"/>
      <c r="XM221" s="302"/>
      <c r="XN221" s="302"/>
      <c r="XO221" s="302"/>
      <c r="XP221" s="302"/>
      <c r="XQ221" s="302"/>
      <c r="XR221" s="302"/>
      <c r="XS221" s="302"/>
      <c r="XT221" s="302"/>
      <c r="XU221" s="302"/>
      <c r="XV221" s="302"/>
      <c r="XW221" s="302"/>
      <c r="XX221" s="302"/>
      <c r="XY221" s="302"/>
      <c r="XZ221" s="302"/>
      <c r="YA221" s="302"/>
      <c r="YB221" s="302"/>
      <c r="YC221" s="302"/>
      <c r="YD221" s="302"/>
      <c r="YE221" s="302"/>
      <c r="YF221" s="302"/>
      <c r="YG221" s="302"/>
      <c r="YH221" s="302"/>
      <c r="YI221" s="302"/>
      <c r="YJ221" s="302"/>
      <c r="YK221" s="302"/>
      <c r="YL221" s="302"/>
      <c r="YM221" s="302"/>
      <c r="YN221" s="302"/>
      <c r="YO221" s="302"/>
      <c r="YP221" s="302"/>
      <c r="YQ221" s="302"/>
      <c r="YR221" s="302"/>
      <c r="YS221" s="302"/>
      <c r="YT221" s="302"/>
      <c r="YU221" s="302"/>
      <c r="YV221" s="302"/>
      <c r="YW221" s="302"/>
      <c r="YX221" s="302"/>
      <c r="YY221" s="302"/>
      <c r="YZ221" s="302"/>
      <c r="ZA221" s="302"/>
      <c r="ZB221" s="302"/>
      <c r="ZC221" s="302"/>
      <c r="ZD221" s="302"/>
      <c r="ZE221" s="302"/>
      <c r="ZF221" s="302"/>
      <c r="ZG221" s="302"/>
      <c r="ZH221" s="302"/>
      <c r="ZI221" s="302"/>
      <c r="ZJ221" s="302"/>
      <c r="ZK221" s="302"/>
      <c r="ZL221" s="302"/>
      <c r="ZM221" s="302"/>
      <c r="ZN221" s="302"/>
      <c r="ZO221" s="302"/>
      <c r="ZP221" s="302"/>
      <c r="ZQ221" s="302"/>
      <c r="ZR221" s="302"/>
      <c r="ZS221" s="302"/>
      <c r="ZT221" s="302"/>
      <c r="ZU221" s="302"/>
      <c r="ZV221" s="302"/>
      <c r="ZW221" s="302"/>
      <c r="ZX221" s="302"/>
      <c r="ZY221" s="302"/>
      <c r="ZZ221" s="302"/>
      <c r="AAA221" s="302"/>
      <c r="AAB221" s="302"/>
      <c r="AAC221" s="302"/>
      <c r="AAD221" s="302"/>
      <c r="AAE221" s="302"/>
      <c r="AAF221" s="302"/>
      <c r="AAG221" s="302"/>
      <c r="AAH221" s="302"/>
      <c r="AAI221" s="302"/>
      <c r="AAJ221" s="302"/>
      <c r="AAK221" s="302"/>
      <c r="AAL221" s="302"/>
      <c r="AAM221" s="302"/>
      <c r="AAN221" s="302"/>
      <c r="AAO221" s="302"/>
      <c r="AAP221" s="302"/>
      <c r="AAQ221" s="302"/>
      <c r="AAR221" s="302"/>
      <c r="AAS221" s="302"/>
      <c r="AAT221" s="302"/>
      <c r="AAU221" s="302"/>
      <c r="AAV221" s="302"/>
      <c r="AAW221" s="302"/>
      <c r="AAX221" s="302"/>
      <c r="AAY221" s="302"/>
      <c r="AAZ221" s="302"/>
      <c r="ABA221" s="302"/>
      <c r="ABB221" s="302"/>
      <c r="ABC221" s="302"/>
      <c r="ABD221" s="302"/>
      <c r="ABE221" s="302"/>
      <c r="ABF221" s="302"/>
      <c r="ABG221" s="302"/>
      <c r="ABH221" s="302"/>
      <c r="ABI221" s="302"/>
      <c r="ABJ221" s="302"/>
      <c r="ABK221" s="302"/>
      <c r="ABL221" s="302"/>
      <c r="ABM221" s="302"/>
      <c r="ABN221" s="302"/>
      <c r="ABO221" s="302"/>
      <c r="ABP221" s="302"/>
      <c r="ABQ221" s="302"/>
      <c r="ABR221" s="302"/>
      <c r="ABS221" s="302"/>
      <c r="ABT221" s="302"/>
      <c r="ABU221" s="302"/>
      <c r="ABV221" s="302"/>
      <c r="ABW221" s="302"/>
      <c r="ABX221" s="302"/>
      <c r="ABY221" s="302"/>
      <c r="ABZ221" s="302"/>
      <c r="ACA221" s="302"/>
      <c r="ACB221" s="302"/>
      <c r="ACC221" s="302"/>
      <c r="ACD221" s="302"/>
      <c r="ACE221" s="302"/>
      <c r="ACF221" s="302"/>
      <c r="ACG221" s="302"/>
      <c r="ACH221" s="302"/>
      <c r="ACI221" s="302"/>
      <c r="ACJ221" s="302"/>
      <c r="ACK221" s="302"/>
      <c r="ACL221" s="302"/>
      <c r="ACM221" s="302"/>
      <c r="ACN221" s="302"/>
      <c r="ACO221" s="302"/>
      <c r="ACP221" s="302"/>
      <c r="ACQ221" s="302"/>
      <c r="ACR221" s="302"/>
      <c r="ACS221" s="302"/>
      <c r="ACT221" s="302"/>
      <c r="ACU221" s="302"/>
      <c r="ACV221" s="302"/>
      <c r="ACW221" s="302"/>
      <c r="ACX221" s="302"/>
      <c r="ACY221" s="302"/>
      <c r="ACZ221" s="302"/>
      <c r="ADA221" s="302"/>
      <c r="ADB221" s="302"/>
      <c r="ADC221" s="302"/>
      <c r="ADD221" s="302"/>
      <c r="ADE221" s="302"/>
      <c r="ADF221" s="302"/>
      <c r="ADG221" s="302"/>
      <c r="ADH221" s="302"/>
      <c r="ADI221" s="302"/>
      <c r="ADJ221" s="302"/>
      <c r="ADK221" s="302"/>
      <c r="ADL221" s="302"/>
      <c r="ADM221" s="302"/>
      <c r="ADN221" s="302"/>
      <c r="ADO221" s="302"/>
      <c r="ADP221" s="302"/>
      <c r="ADQ221" s="302"/>
      <c r="ADR221" s="302"/>
      <c r="ADS221" s="302"/>
      <c r="ADT221" s="302"/>
      <c r="ADU221" s="302"/>
      <c r="ADV221" s="302"/>
      <c r="ADW221" s="302"/>
      <c r="ADX221" s="302"/>
      <c r="ADY221" s="302"/>
      <c r="ADZ221" s="302"/>
      <c r="AEA221" s="302"/>
      <c r="AEB221" s="302"/>
      <c r="AEC221" s="302"/>
      <c r="AED221" s="302"/>
      <c r="AEE221" s="302"/>
      <c r="AEF221" s="302"/>
      <c r="AEG221" s="302"/>
      <c r="AEH221" s="302"/>
      <c r="AEI221" s="302"/>
      <c r="AEJ221" s="302"/>
      <c r="AEK221" s="302"/>
      <c r="AEL221" s="302"/>
      <c r="AEM221" s="302"/>
      <c r="AEN221" s="302"/>
      <c r="AEO221" s="302"/>
      <c r="AEP221" s="302"/>
      <c r="AEQ221" s="302"/>
      <c r="AER221" s="302"/>
      <c r="AES221" s="302"/>
      <c r="AET221" s="302"/>
      <c r="AEU221" s="302"/>
      <c r="AEV221" s="302"/>
      <c r="AEW221" s="302"/>
      <c r="AEX221" s="302"/>
      <c r="AEY221" s="302"/>
      <c r="AEZ221" s="302"/>
      <c r="AFA221" s="302"/>
      <c r="AFB221" s="302"/>
      <c r="AFC221" s="302"/>
      <c r="AFD221" s="302"/>
      <c r="AFE221" s="302"/>
      <c r="AFF221" s="302"/>
      <c r="AFG221" s="302"/>
      <c r="AFH221" s="302"/>
      <c r="AFI221" s="302"/>
      <c r="AFJ221" s="302"/>
      <c r="AFK221" s="302"/>
      <c r="AFL221" s="302"/>
      <c r="AFM221" s="302"/>
      <c r="AFN221" s="302"/>
      <c r="AFO221" s="302"/>
      <c r="AFP221" s="302"/>
      <c r="AFQ221" s="302"/>
      <c r="AFR221" s="302"/>
      <c r="AFS221" s="302"/>
      <c r="AFT221" s="302"/>
      <c r="AFU221" s="302"/>
      <c r="AFV221" s="302"/>
      <c r="AFW221" s="302"/>
      <c r="AFX221" s="302"/>
      <c r="AFY221" s="302"/>
      <c r="AFZ221" s="302"/>
      <c r="AGA221" s="302"/>
      <c r="AGB221" s="302"/>
      <c r="AGC221" s="302"/>
      <c r="AGD221" s="302"/>
      <c r="AGE221" s="302"/>
      <c r="AGF221" s="302"/>
      <c r="AGG221" s="302"/>
      <c r="AGH221" s="302"/>
      <c r="AGI221" s="302"/>
      <c r="AGJ221" s="302"/>
      <c r="AGK221" s="302"/>
      <c r="AGL221" s="302"/>
      <c r="AGM221" s="302"/>
      <c r="AGN221" s="302"/>
      <c r="AGO221" s="302"/>
      <c r="AGP221" s="302"/>
      <c r="AGQ221" s="302"/>
      <c r="AGR221" s="302"/>
      <c r="AGS221" s="302"/>
      <c r="AGT221" s="302"/>
      <c r="AGU221" s="302"/>
      <c r="AGV221" s="302"/>
      <c r="AGW221" s="302"/>
      <c r="AGX221" s="302"/>
      <c r="AGY221" s="302"/>
      <c r="AGZ221" s="302"/>
      <c r="AHA221" s="302"/>
      <c r="AHB221" s="302"/>
      <c r="AHC221" s="302"/>
      <c r="AHD221" s="302"/>
      <c r="AHE221" s="302"/>
      <c r="AHF221" s="302"/>
      <c r="AHG221" s="302"/>
      <c r="AHH221" s="302"/>
      <c r="AHI221" s="302"/>
      <c r="AHJ221" s="302"/>
      <c r="AHK221" s="302"/>
      <c r="AHL221" s="302"/>
      <c r="AHM221" s="302"/>
      <c r="AHN221" s="302"/>
      <c r="AHO221" s="302"/>
      <c r="AHP221" s="302"/>
      <c r="AHQ221" s="302"/>
      <c r="AHR221" s="302"/>
      <c r="AHS221" s="302"/>
      <c r="AHT221" s="302"/>
      <c r="AHU221" s="302"/>
      <c r="AHV221" s="302"/>
      <c r="AHW221" s="302"/>
      <c r="AHX221" s="302"/>
      <c r="AHY221" s="302"/>
      <c r="AHZ221" s="302"/>
      <c r="AIA221" s="302"/>
      <c r="AIB221" s="302"/>
      <c r="AIC221" s="302"/>
      <c r="AID221" s="302"/>
      <c r="AIE221" s="302"/>
      <c r="AIF221" s="302"/>
      <c r="AIG221" s="302"/>
      <c r="AIH221" s="302"/>
      <c r="AII221" s="302"/>
      <c r="AIJ221" s="302"/>
      <c r="AIK221" s="302"/>
      <c r="AIL221" s="302"/>
      <c r="AIM221" s="302"/>
      <c r="AIN221" s="302"/>
      <c r="AIO221" s="302"/>
      <c r="AIP221" s="302"/>
      <c r="AIQ221" s="302"/>
      <c r="AIR221" s="302"/>
      <c r="AIS221" s="302"/>
      <c r="AIT221" s="302"/>
      <c r="AIU221" s="302"/>
      <c r="AIV221" s="302"/>
      <c r="AIW221" s="302"/>
      <c r="AIX221" s="302"/>
      <c r="AIY221" s="302"/>
      <c r="AIZ221" s="302"/>
      <c r="AJA221" s="302"/>
      <c r="AJB221" s="302"/>
      <c r="AJC221" s="302"/>
      <c r="AJD221" s="302"/>
      <c r="AJE221" s="302"/>
      <c r="AJF221" s="302"/>
      <c r="AJG221" s="302"/>
      <c r="AJH221" s="302"/>
      <c r="AJI221" s="302"/>
      <c r="AJJ221" s="302"/>
      <c r="AJK221" s="302"/>
      <c r="AJL221" s="302"/>
      <c r="AJM221" s="302"/>
      <c r="AJN221" s="302"/>
      <c r="AJO221" s="302"/>
      <c r="AJP221" s="302"/>
      <c r="AJQ221" s="302"/>
      <c r="AJR221" s="302"/>
      <c r="AJS221" s="302"/>
      <c r="AJT221" s="302"/>
      <c r="AJU221" s="302"/>
      <c r="AJV221" s="302"/>
      <c r="AJW221" s="302"/>
      <c r="AJX221" s="302"/>
      <c r="AJY221" s="302"/>
      <c r="AJZ221" s="302"/>
      <c r="AKA221" s="302"/>
      <c r="AKB221" s="302"/>
      <c r="AKC221" s="302"/>
      <c r="AKD221" s="302"/>
      <c r="AKE221" s="302"/>
      <c r="AKF221" s="302"/>
      <c r="AKG221" s="302"/>
      <c r="AKH221" s="302"/>
      <c r="AKI221" s="302"/>
      <c r="AKJ221" s="302"/>
      <c r="AKK221" s="302"/>
      <c r="AKL221" s="302"/>
      <c r="AKM221" s="302"/>
      <c r="AKN221" s="302"/>
      <c r="AKO221" s="302"/>
      <c r="AKP221" s="302"/>
      <c r="AKQ221" s="302"/>
      <c r="AKR221" s="302"/>
      <c r="AKS221" s="302"/>
      <c r="AKT221" s="302"/>
      <c r="AKU221" s="302"/>
      <c r="AKV221" s="302"/>
      <c r="AKW221" s="302"/>
      <c r="AKX221" s="302"/>
      <c r="AKY221" s="302"/>
      <c r="AKZ221" s="302"/>
      <c r="ALA221" s="302"/>
      <c r="ALB221" s="302"/>
      <c r="ALC221" s="302"/>
      <c r="ALD221" s="302"/>
      <c r="ALE221" s="302"/>
      <c r="ALF221" s="302"/>
      <c r="ALG221" s="302"/>
      <c r="ALH221" s="302"/>
      <c r="ALI221" s="302"/>
      <c r="ALJ221" s="302"/>
      <c r="ALK221" s="302"/>
      <c r="ALL221" s="302"/>
      <c r="ALM221" s="302"/>
      <c r="ALN221" s="302"/>
      <c r="ALO221" s="302"/>
      <c r="ALP221" s="302"/>
      <c r="ALQ221" s="302"/>
      <c r="ALR221" s="302"/>
      <c r="ALS221" s="302"/>
      <c r="ALT221" s="302"/>
      <c r="ALU221" s="302"/>
      <c r="ALV221" s="302"/>
      <c r="ALW221" s="302"/>
      <c r="ALX221" s="302"/>
      <c r="ALY221" s="302"/>
      <c r="ALZ221" s="302"/>
      <c r="AMA221" s="302"/>
      <c r="AMB221" s="302"/>
      <c r="AMC221" s="302"/>
      <c r="AMD221" s="302"/>
      <c r="AME221" s="302"/>
      <c r="AMF221" s="302"/>
      <c r="AMG221" s="302"/>
      <c r="AMH221" s="302"/>
      <c r="AMI221" s="302"/>
    </row>
    <row r="222" spans="1:1023" hidden="1">
      <c r="A222" s="302"/>
      <c r="B222" s="470">
        <v>13970</v>
      </c>
      <c r="C222" s="477">
        <v>0.08</v>
      </c>
      <c r="D222" s="472" t="s">
        <v>139</v>
      </c>
      <c r="E222" s="473">
        <v>4000000</v>
      </c>
      <c r="F222" s="500">
        <v>0.04</v>
      </c>
      <c r="G222" s="364">
        <f t="shared" ref="G222:G230" si="12">E222*F222</f>
        <v>160000</v>
      </c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2"/>
      <c r="AE222" s="302"/>
      <c r="AF222" s="302"/>
      <c r="AG222" s="302"/>
      <c r="AH222" s="302"/>
      <c r="AI222" s="302"/>
      <c r="AJ222" s="302"/>
      <c r="AK222" s="302"/>
      <c r="AL222" s="302"/>
      <c r="AM222" s="302"/>
      <c r="AN222" s="302"/>
      <c r="AO222" s="302"/>
      <c r="AP222" s="302"/>
      <c r="AQ222" s="302"/>
      <c r="AR222" s="302"/>
      <c r="AS222" s="302"/>
      <c r="AT222" s="302"/>
      <c r="AU222" s="302"/>
      <c r="AV222" s="302"/>
      <c r="AW222" s="302"/>
      <c r="AX222" s="302"/>
      <c r="AY222" s="302"/>
      <c r="AZ222" s="302"/>
      <c r="BA222" s="302"/>
      <c r="BB222" s="302"/>
      <c r="BC222" s="302"/>
      <c r="BD222" s="302"/>
      <c r="BE222" s="302"/>
      <c r="BF222" s="302"/>
      <c r="BG222" s="302"/>
      <c r="BH222" s="302"/>
      <c r="BI222" s="302"/>
      <c r="BJ222" s="302"/>
      <c r="BK222" s="302"/>
      <c r="BL222" s="302"/>
      <c r="BM222" s="302"/>
      <c r="BN222" s="302"/>
      <c r="BO222" s="302"/>
      <c r="BP222" s="302"/>
      <c r="BQ222" s="302"/>
      <c r="BR222" s="302"/>
      <c r="BS222" s="302"/>
      <c r="BT222" s="302"/>
      <c r="BU222" s="302"/>
      <c r="BV222" s="302"/>
      <c r="BW222" s="302"/>
      <c r="BX222" s="302"/>
      <c r="BY222" s="302"/>
      <c r="BZ222" s="302"/>
      <c r="CA222" s="302"/>
      <c r="CB222" s="302"/>
      <c r="CC222" s="302"/>
      <c r="CD222" s="302"/>
      <c r="CE222" s="302"/>
      <c r="CF222" s="302"/>
      <c r="CG222" s="302"/>
      <c r="CH222" s="302"/>
      <c r="CI222" s="302"/>
      <c r="CJ222" s="302"/>
      <c r="CK222" s="302"/>
      <c r="CL222" s="302"/>
      <c r="CM222" s="302"/>
      <c r="CN222" s="302"/>
      <c r="CO222" s="302"/>
      <c r="CP222" s="302"/>
      <c r="CQ222" s="302"/>
      <c r="CR222" s="302"/>
      <c r="CS222" s="302"/>
      <c r="CT222" s="302"/>
      <c r="CU222" s="302"/>
      <c r="CV222" s="302"/>
      <c r="CW222" s="302"/>
      <c r="CX222" s="302"/>
      <c r="CY222" s="302"/>
      <c r="CZ222" s="302"/>
      <c r="DA222" s="302"/>
      <c r="DB222" s="302"/>
      <c r="DC222" s="302"/>
      <c r="DD222" s="302"/>
      <c r="DE222" s="302"/>
      <c r="DF222" s="302"/>
      <c r="DG222" s="302"/>
      <c r="DH222" s="302"/>
      <c r="DI222" s="302"/>
      <c r="DJ222" s="302"/>
      <c r="DK222" s="302"/>
      <c r="DL222" s="302"/>
      <c r="DM222" s="302"/>
      <c r="DN222" s="302"/>
      <c r="DO222" s="302"/>
      <c r="DP222" s="302"/>
      <c r="DQ222" s="302"/>
      <c r="DR222" s="302"/>
      <c r="DS222" s="302"/>
      <c r="DT222" s="302"/>
      <c r="DU222" s="302"/>
      <c r="DV222" s="302"/>
      <c r="DW222" s="302"/>
      <c r="DX222" s="302"/>
      <c r="DY222" s="302"/>
      <c r="DZ222" s="302"/>
      <c r="EA222" s="302"/>
      <c r="EB222" s="302"/>
      <c r="EC222" s="302"/>
      <c r="ED222" s="302"/>
      <c r="EE222" s="302"/>
      <c r="EF222" s="302"/>
      <c r="EG222" s="302"/>
      <c r="EH222" s="302"/>
      <c r="EI222" s="302"/>
      <c r="EJ222" s="302"/>
      <c r="EK222" s="302"/>
      <c r="EL222" s="302"/>
      <c r="EM222" s="302"/>
      <c r="EN222" s="302"/>
      <c r="EO222" s="302"/>
      <c r="EP222" s="302"/>
      <c r="EQ222" s="302"/>
      <c r="ER222" s="302"/>
      <c r="ES222" s="302"/>
      <c r="ET222" s="302"/>
      <c r="EU222" s="302"/>
      <c r="EV222" s="302"/>
      <c r="EW222" s="302"/>
      <c r="EX222" s="302"/>
      <c r="EY222" s="302"/>
      <c r="EZ222" s="302"/>
      <c r="FA222" s="302"/>
      <c r="FB222" s="302"/>
      <c r="FC222" s="302"/>
      <c r="FD222" s="302"/>
      <c r="FE222" s="302"/>
      <c r="FF222" s="302"/>
      <c r="FG222" s="302"/>
      <c r="FH222" s="302"/>
      <c r="FI222" s="302"/>
      <c r="FJ222" s="302"/>
      <c r="FK222" s="302"/>
      <c r="FL222" s="302"/>
      <c r="FM222" s="302"/>
      <c r="FN222" s="302"/>
      <c r="FO222" s="302"/>
      <c r="FP222" s="302"/>
      <c r="FQ222" s="302"/>
      <c r="FR222" s="302"/>
      <c r="FS222" s="302"/>
      <c r="FT222" s="302"/>
      <c r="FU222" s="302"/>
      <c r="FV222" s="302"/>
      <c r="FW222" s="302"/>
      <c r="FX222" s="302"/>
      <c r="FY222" s="302"/>
      <c r="FZ222" s="302"/>
      <c r="GA222" s="302"/>
      <c r="GB222" s="302"/>
      <c r="GC222" s="302"/>
      <c r="GD222" s="302"/>
      <c r="GE222" s="302"/>
      <c r="GF222" s="302"/>
      <c r="GG222" s="302"/>
      <c r="GH222" s="302"/>
      <c r="GI222" s="302"/>
      <c r="GJ222" s="302"/>
      <c r="GK222" s="302"/>
      <c r="GL222" s="302"/>
      <c r="GM222" s="302"/>
      <c r="GN222" s="302"/>
      <c r="GO222" s="302"/>
      <c r="GP222" s="302"/>
      <c r="GQ222" s="302"/>
      <c r="GR222" s="302"/>
      <c r="GS222" s="302"/>
      <c r="GT222" s="302"/>
      <c r="GU222" s="302"/>
      <c r="GV222" s="302"/>
      <c r="GW222" s="302"/>
      <c r="GX222" s="302"/>
      <c r="GY222" s="302"/>
      <c r="GZ222" s="302"/>
      <c r="HA222" s="302"/>
      <c r="HB222" s="302"/>
      <c r="HC222" s="302"/>
      <c r="HD222" s="302"/>
      <c r="HE222" s="302"/>
      <c r="HF222" s="302"/>
      <c r="HG222" s="302"/>
      <c r="HH222" s="302"/>
      <c r="HI222" s="302"/>
      <c r="HJ222" s="302"/>
      <c r="HK222" s="302"/>
      <c r="HL222" s="302"/>
      <c r="HM222" s="302"/>
      <c r="HN222" s="302"/>
      <c r="HO222" s="302"/>
      <c r="HP222" s="302"/>
      <c r="HQ222" s="302"/>
      <c r="HR222" s="302"/>
      <c r="HS222" s="302"/>
      <c r="HT222" s="302"/>
      <c r="HU222" s="302"/>
      <c r="HV222" s="302"/>
      <c r="HW222" s="302"/>
      <c r="HX222" s="302"/>
      <c r="HY222" s="302"/>
      <c r="HZ222" s="302"/>
      <c r="IA222" s="302"/>
      <c r="IB222" s="302"/>
      <c r="IC222" s="302"/>
      <c r="ID222" s="302"/>
      <c r="IE222" s="302"/>
      <c r="IF222" s="302"/>
      <c r="IG222" s="302"/>
      <c r="IH222" s="302"/>
      <c r="II222" s="302"/>
      <c r="IJ222" s="302"/>
      <c r="IK222" s="302"/>
      <c r="IL222" s="302"/>
      <c r="IM222" s="302"/>
      <c r="IN222" s="302"/>
      <c r="IO222" s="302"/>
      <c r="IP222" s="302"/>
      <c r="IQ222" s="302"/>
      <c r="IR222" s="302"/>
      <c r="IS222" s="302"/>
      <c r="IT222" s="302"/>
      <c r="IU222" s="302"/>
      <c r="IV222" s="302"/>
      <c r="IW222" s="302"/>
      <c r="IX222" s="302"/>
      <c r="IY222" s="302"/>
      <c r="IZ222" s="302"/>
      <c r="JA222" s="302"/>
      <c r="JB222" s="302"/>
      <c r="JC222" s="302"/>
      <c r="JD222" s="302"/>
      <c r="JE222" s="302"/>
      <c r="JF222" s="302"/>
      <c r="JG222" s="302"/>
      <c r="JH222" s="302"/>
      <c r="JI222" s="302"/>
      <c r="JJ222" s="302"/>
      <c r="JK222" s="302"/>
      <c r="JL222" s="302"/>
      <c r="JM222" s="302"/>
      <c r="JN222" s="302"/>
      <c r="JO222" s="302"/>
      <c r="JP222" s="302"/>
      <c r="JQ222" s="302"/>
      <c r="JR222" s="302"/>
      <c r="JS222" s="302"/>
      <c r="JT222" s="302"/>
      <c r="JU222" s="302"/>
      <c r="JV222" s="302"/>
      <c r="JW222" s="302"/>
      <c r="JX222" s="302"/>
      <c r="JY222" s="302"/>
      <c r="JZ222" s="302"/>
      <c r="KA222" s="302"/>
      <c r="KB222" s="302"/>
      <c r="KC222" s="302"/>
      <c r="KD222" s="302"/>
      <c r="KE222" s="302"/>
      <c r="KF222" s="302"/>
      <c r="KG222" s="302"/>
      <c r="KH222" s="302"/>
      <c r="KI222" s="302"/>
      <c r="KJ222" s="302"/>
      <c r="KK222" s="302"/>
      <c r="KL222" s="302"/>
      <c r="KM222" s="302"/>
      <c r="KN222" s="302"/>
      <c r="KO222" s="302"/>
      <c r="KP222" s="302"/>
      <c r="KQ222" s="302"/>
      <c r="KR222" s="302"/>
      <c r="KS222" s="302"/>
      <c r="KT222" s="302"/>
      <c r="KU222" s="302"/>
      <c r="KV222" s="302"/>
      <c r="KW222" s="302"/>
      <c r="KX222" s="302"/>
      <c r="KY222" s="302"/>
      <c r="KZ222" s="302"/>
      <c r="LA222" s="302"/>
      <c r="LB222" s="302"/>
      <c r="LC222" s="302"/>
      <c r="LD222" s="302"/>
      <c r="LE222" s="302"/>
      <c r="LF222" s="302"/>
      <c r="LG222" s="302"/>
      <c r="LH222" s="302"/>
      <c r="LI222" s="302"/>
      <c r="LJ222" s="302"/>
      <c r="LK222" s="302"/>
      <c r="LL222" s="302"/>
      <c r="LM222" s="302"/>
      <c r="LN222" s="302"/>
      <c r="LO222" s="302"/>
      <c r="LP222" s="302"/>
      <c r="LQ222" s="302"/>
      <c r="LR222" s="302"/>
      <c r="LS222" s="302"/>
      <c r="LT222" s="302"/>
      <c r="LU222" s="302"/>
      <c r="LV222" s="302"/>
      <c r="LW222" s="302"/>
      <c r="LX222" s="302"/>
      <c r="LY222" s="302"/>
      <c r="LZ222" s="302"/>
      <c r="MA222" s="302"/>
      <c r="MB222" s="302"/>
      <c r="MC222" s="302"/>
      <c r="MD222" s="302"/>
      <c r="ME222" s="302"/>
      <c r="MF222" s="302"/>
      <c r="MG222" s="302"/>
      <c r="MH222" s="302"/>
      <c r="MI222" s="302"/>
      <c r="MJ222" s="302"/>
      <c r="MK222" s="302"/>
      <c r="ML222" s="302"/>
      <c r="MM222" s="302"/>
      <c r="MN222" s="302"/>
      <c r="MO222" s="302"/>
      <c r="MP222" s="302"/>
      <c r="MQ222" s="302"/>
      <c r="MR222" s="302"/>
      <c r="MS222" s="302"/>
      <c r="MT222" s="302"/>
      <c r="MU222" s="302"/>
      <c r="MV222" s="302"/>
      <c r="MW222" s="302"/>
      <c r="MX222" s="302"/>
      <c r="MY222" s="302"/>
      <c r="MZ222" s="302"/>
      <c r="NA222" s="302"/>
      <c r="NB222" s="302"/>
      <c r="NC222" s="302"/>
      <c r="ND222" s="302"/>
      <c r="NE222" s="302"/>
      <c r="NF222" s="302"/>
      <c r="NG222" s="302"/>
      <c r="NH222" s="302"/>
      <c r="NI222" s="302"/>
      <c r="NJ222" s="302"/>
      <c r="NK222" s="302"/>
      <c r="NL222" s="302"/>
      <c r="NM222" s="302"/>
      <c r="NN222" s="302"/>
      <c r="NO222" s="302"/>
      <c r="NP222" s="302"/>
      <c r="NQ222" s="302"/>
      <c r="NR222" s="302"/>
      <c r="NS222" s="302"/>
      <c r="NT222" s="302"/>
      <c r="NU222" s="302"/>
      <c r="NV222" s="302"/>
      <c r="NW222" s="302"/>
      <c r="NX222" s="302"/>
      <c r="NY222" s="302"/>
      <c r="NZ222" s="302"/>
      <c r="OA222" s="302"/>
      <c r="OB222" s="302"/>
      <c r="OC222" s="302"/>
      <c r="OD222" s="302"/>
      <c r="OE222" s="302"/>
      <c r="OF222" s="302"/>
      <c r="OG222" s="302"/>
      <c r="OH222" s="302"/>
      <c r="OI222" s="302"/>
      <c r="OJ222" s="302"/>
      <c r="OK222" s="302"/>
      <c r="OL222" s="302"/>
      <c r="OM222" s="302"/>
      <c r="ON222" s="302"/>
      <c r="OO222" s="302"/>
      <c r="OP222" s="302"/>
      <c r="OQ222" s="302"/>
      <c r="OR222" s="302"/>
      <c r="OS222" s="302"/>
      <c r="OT222" s="302"/>
      <c r="OU222" s="302"/>
      <c r="OV222" s="302"/>
      <c r="OW222" s="302"/>
      <c r="OX222" s="302"/>
      <c r="OY222" s="302"/>
      <c r="OZ222" s="302"/>
      <c r="PA222" s="302"/>
      <c r="PB222" s="302"/>
      <c r="PC222" s="302"/>
      <c r="PD222" s="302"/>
      <c r="PE222" s="302"/>
      <c r="PF222" s="302"/>
      <c r="PG222" s="302"/>
      <c r="PH222" s="302"/>
      <c r="PI222" s="302"/>
      <c r="PJ222" s="302"/>
      <c r="PK222" s="302"/>
      <c r="PL222" s="302"/>
      <c r="PM222" s="302"/>
      <c r="PN222" s="302"/>
      <c r="PO222" s="302"/>
      <c r="PP222" s="302"/>
      <c r="PQ222" s="302"/>
      <c r="PR222" s="302"/>
      <c r="PS222" s="302"/>
      <c r="PT222" s="302"/>
      <c r="PU222" s="302"/>
      <c r="PV222" s="302"/>
      <c r="PW222" s="302"/>
      <c r="PX222" s="302"/>
      <c r="PY222" s="302"/>
      <c r="PZ222" s="302"/>
      <c r="QA222" s="302"/>
      <c r="QB222" s="302"/>
      <c r="QC222" s="302"/>
      <c r="QD222" s="302"/>
      <c r="QE222" s="302"/>
      <c r="QF222" s="302"/>
      <c r="QG222" s="302"/>
      <c r="QH222" s="302"/>
      <c r="QI222" s="302"/>
      <c r="QJ222" s="302"/>
      <c r="QK222" s="302"/>
      <c r="QL222" s="302"/>
      <c r="QM222" s="302"/>
      <c r="QN222" s="302"/>
      <c r="QO222" s="302"/>
      <c r="QP222" s="302"/>
      <c r="QQ222" s="302"/>
      <c r="QR222" s="302"/>
      <c r="QS222" s="302"/>
      <c r="QT222" s="302"/>
      <c r="QU222" s="302"/>
      <c r="QV222" s="302"/>
      <c r="QW222" s="302"/>
      <c r="QX222" s="302"/>
      <c r="QY222" s="302"/>
      <c r="QZ222" s="302"/>
      <c r="RA222" s="302"/>
      <c r="RB222" s="302"/>
      <c r="RC222" s="302"/>
      <c r="RD222" s="302"/>
      <c r="RE222" s="302"/>
      <c r="RF222" s="302"/>
      <c r="RG222" s="302"/>
      <c r="RH222" s="302"/>
      <c r="RI222" s="302"/>
      <c r="RJ222" s="302"/>
      <c r="RK222" s="302"/>
      <c r="RL222" s="302"/>
      <c r="RM222" s="302"/>
      <c r="RN222" s="302"/>
      <c r="RO222" s="302"/>
      <c r="RP222" s="302"/>
      <c r="RQ222" s="302"/>
      <c r="RR222" s="302"/>
      <c r="RS222" s="302"/>
      <c r="RT222" s="302"/>
      <c r="RU222" s="302"/>
      <c r="RV222" s="302"/>
      <c r="RW222" s="302"/>
      <c r="RX222" s="302"/>
      <c r="RY222" s="302"/>
      <c r="RZ222" s="302"/>
      <c r="SA222" s="302"/>
      <c r="SB222" s="302"/>
      <c r="SC222" s="302"/>
      <c r="SD222" s="302"/>
      <c r="SE222" s="302"/>
      <c r="SF222" s="302"/>
      <c r="SG222" s="302"/>
      <c r="SH222" s="302"/>
      <c r="SI222" s="302"/>
      <c r="SJ222" s="302"/>
      <c r="SK222" s="302"/>
      <c r="SL222" s="302"/>
      <c r="SM222" s="302"/>
      <c r="SN222" s="302"/>
      <c r="SO222" s="302"/>
      <c r="SP222" s="302"/>
      <c r="SQ222" s="302"/>
      <c r="SR222" s="302"/>
      <c r="SS222" s="302"/>
      <c r="ST222" s="302"/>
      <c r="SU222" s="302"/>
      <c r="SV222" s="302"/>
      <c r="SW222" s="302"/>
      <c r="SX222" s="302"/>
      <c r="SY222" s="302"/>
      <c r="SZ222" s="302"/>
      <c r="TA222" s="302"/>
      <c r="TB222" s="302"/>
      <c r="TC222" s="302"/>
      <c r="TD222" s="302"/>
      <c r="TE222" s="302"/>
      <c r="TF222" s="302"/>
      <c r="TG222" s="302"/>
      <c r="TH222" s="302"/>
      <c r="TI222" s="302"/>
      <c r="TJ222" s="302"/>
      <c r="TK222" s="302"/>
      <c r="TL222" s="302"/>
      <c r="TM222" s="302"/>
      <c r="TN222" s="302"/>
      <c r="TO222" s="302"/>
      <c r="TP222" s="302"/>
      <c r="TQ222" s="302"/>
      <c r="TR222" s="302"/>
      <c r="TS222" s="302"/>
      <c r="TT222" s="302"/>
      <c r="TU222" s="302"/>
      <c r="TV222" s="302"/>
      <c r="TW222" s="302"/>
      <c r="TX222" s="302"/>
      <c r="TY222" s="302"/>
      <c r="TZ222" s="302"/>
      <c r="UA222" s="302"/>
      <c r="UB222" s="302"/>
      <c r="UC222" s="302"/>
      <c r="UD222" s="302"/>
      <c r="UE222" s="302"/>
      <c r="UF222" s="302"/>
      <c r="UG222" s="302"/>
      <c r="UH222" s="302"/>
      <c r="UI222" s="302"/>
      <c r="UJ222" s="302"/>
      <c r="UK222" s="302"/>
      <c r="UL222" s="302"/>
      <c r="UM222" s="302"/>
      <c r="UN222" s="302"/>
      <c r="UO222" s="302"/>
      <c r="UP222" s="302"/>
      <c r="UQ222" s="302"/>
      <c r="UR222" s="302"/>
      <c r="US222" s="302"/>
      <c r="UT222" s="302"/>
      <c r="UU222" s="302"/>
      <c r="UV222" s="302"/>
      <c r="UW222" s="302"/>
      <c r="UX222" s="302"/>
      <c r="UY222" s="302"/>
      <c r="UZ222" s="302"/>
      <c r="VA222" s="302"/>
      <c r="VB222" s="302"/>
      <c r="VC222" s="302"/>
      <c r="VD222" s="302"/>
      <c r="VE222" s="302"/>
      <c r="VF222" s="302"/>
      <c r="VG222" s="302"/>
      <c r="VH222" s="302"/>
      <c r="VI222" s="302"/>
      <c r="VJ222" s="302"/>
      <c r="VK222" s="302"/>
      <c r="VL222" s="302"/>
      <c r="VM222" s="302"/>
      <c r="VN222" s="302"/>
      <c r="VO222" s="302"/>
      <c r="VP222" s="302"/>
      <c r="VQ222" s="302"/>
      <c r="VR222" s="302"/>
      <c r="VS222" s="302"/>
      <c r="VT222" s="302"/>
      <c r="VU222" s="302"/>
      <c r="VV222" s="302"/>
      <c r="VW222" s="302"/>
      <c r="VX222" s="302"/>
      <c r="VY222" s="302"/>
      <c r="VZ222" s="302"/>
      <c r="WA222" s="302"/>
      <c r="WB222" s="302"/>
      <c r="WC222" s="302"/>
      <c r="WD222" s="302"/>
      <c r="WE222" s="302"/>
      <c r="WF222" s="302"/>
      <c r="WG222" s="302"/>
      <c r="WH222" s="302"/>
      <c r="WI222" s="302"/>
      <c r="WJ222" s="302"/>
      <c r="WK222" s="302"/>
      <c r="WL222" s="302"/>
      <c r="WM222" s="302"/>
      <c r="WN222" s="302"/>
      <c r="WO222" s="302"/>
      <c r="WP222" s="302"/>
      <c r="WQ222" s="302"/>
      <c r="WR222" s="302"/>
      <c r="WS222" s="302"/>
      <c r="WT222" s="302"/>
      <c r="WU222" s="302"/>
      <c r="WV222" s="302"/>
      <c r="WW222" s="302"/>
      <c r="WX222" s="302"/>
      <c r="WY222" s="302"/>
      <c r="WZ222" s="302"/>
      <c r="XA222" s="302"/>
      <c r="XB222" s="302"/>
      <c r="XC222" s="302"/>
      <c r="XD222" s="302"/>
      <c r="XE222" s="302"/>
      <c r="XF222" s="302"/>
      <c r="XG222" s="302"/>
      <c r="XH222" s="302"/>
      <c r="XI222" s="302"/>
      <c r="XJ222" s="302"/>
      <c r="XK222" s="302"/>
      <c r="XL222" s="302"/>
      <c r="XM222" s="302"/>
      <c r="XN222" s="302"/>
      <c r="XO222" s="302"/>
      <c r="XP222" s="302"/>
      <c r="XQ222" s="302"/>
      <c r="XR222" s="302"/>
      <c r="XS222" s="302"/>
      <c r="XT222" s="302"/>
      <c r="XU222" s="302"/>
      <c r="XV222" s="302"/>
      <c r="XW222" s="302"/>
      <c r="XX222" s="302"/>
      <c r="XY222" s="302"/>
      <c r="XZ222" s="302"/>
      <c r="YA222" s="302"/>
      <c r="YB222" s="302"/>
      <c r="YC222" s="302"/>
      <c r="YD222" s="302"/>
      <c r="YE222" s="302"/>
      <c r="YF222" s="302"/>
      <c r="YG222" s="302"/>
      <c r="YH222" s="302"/>
      <c r="YI222" s="302"/>
      <c r="YJ222" s="302"/>
      <c r="YK222" s="302"/>
      <c r="YL222" s="302"/>
      <c r="YM222" s="302"/>
      <c r="YN222" s="302"/>
      <c r="YO222" s="302"/>
      <c r="YP222" s="302"/>
      <c r="YQ222" s="302"/>
      <c r="YR222" s="302"/>
      <c r="YS222" s="302"/>
      <c r="YT222" s="302"/>
      <c r="YU222" s="302"/>
      <c r="YV222" s="302"/>
      <c r="YW222" s="302"/>
      <c r="YX222" s="302"/>
      <c r="YY222" s="302"/>
      <c r="YZ222" s="302"/>
      <c r="ZA222" s="302"/>
      <c r="ZB222" s="302"/>
      <c r="ZC222" s="302"/>
      <c r="ZD222" s="302"/>
      <c r="ZE222" s="302"/>
      <c r="ZF222" s="302"/>
      <c r="ZG222" s="302"/>
      <c r="ZH222" s="302"/>
      <c r="ZI222" s="302"/>
      <c r="ZJ222" s="302"/>
      <c r="ZK222" s="302"/>
      <c r="ZL222" s="302"/>
      <c r="ZM222" s="302"/>
      <c r="ZN222" s="302"/>
      <c r="ZO222" s="302"/>
      <c r="ZP222" s="302"/>
      <c r="ZQ222" s="302"/>
      <c r="ZR222" s="302"/>
      <c r="ZS222" s="302"/>
      <c r="ZT222" s="302"/>
      <c r="ZU222" s="302"/>
      <c r="ZV222" s="302"/>
      <c r="ZW222" s="302"/>
      <c r="ZX222" s="302"/>
      <c r="ZY222" s="302"/>
      <c r="ZZ222" s="302"/>
      <c r="AAA222" s="302"/>
      <c r="AAB222" s="302"/>
      <c r="AAC222" s="302"/>
      <c r="AAD222" s="302"/>
      <c r="AAE222" s="302"/>
      <c r="AAF222" s="302"/>
      <c r="AAG222" s="302"/>
      <c r="AAH222" s="302"/>
      <c r="AAI222" s="302"/>
      <c r="AAJ222" s="302"/>
      <c r="AAK222" s="302"/>
      <c r="AAL222" s="302"/>
      <c r="AAM222" s="302"/>
      <c r="AAN222" s="302"/>
      <c r="AAO222" s="302"/>
      <c r="AAP222" s="302"/>
      <c r="AAQ222" s="302"/>
      <c r="AAR222" s="302"/>
      <c r="AAS222" s="302"/>
      <c r="AAT222" s="302"/>
      <c r="AAU222" s="302"/>
      <c r="AAV222" s="302"/>
      <c r="AAW222" s="302"/>
      <c r="AAX222" s="302"/>
      <c r="AAY222" s="302"/>
      <c r="AAZ222" s="302"/>
      <c r="ABA222" s="302"/>
      <c r="ABB222" s="302"/>
      <c r="ABC222" s="302"/>
      <c r="ABD222" s="302"/>
      <c r="ABE222" s="302"/>
      <c r="ABF222" s="302"/>
      <c r="ABG222" s="302"/>
      <c r="ABH222" s="302"/>
      <c r="ABI222" s="302"/>
      <c r="ABJ222" s="302"/>
      <c r="ABK222" s="302"/>
      <c r="ABL222" s="302"/>
      <c r="ABM222" s="302"/>
      <c r="ABN222" s="302"/>
      <c r="ABO222" s="302"/>
      <c r="ABP222" s="302"/>
      <c r="ABQ222" s="302"/>
      <c r="ABR222" s="302"/>
      <c r="ABS222" s="302"/>
      <c r="ABT222" s="302"/>
      <c r="ABU222" s="302"/>
      <c r="ABV222" s="302"/>
      <c r="ABW222" s="302"/>
      <c r="ABX222" s="302"/>
      <c r="ABY222" s="302"/>
      <c r="ABZ222" s="302"/>
      <c r="ACA222" s="302"/>
      <c r="ACB222" s="302"/>
      <c r="ACC222" s="302"/>
      <c r="ACD222" s="302"/>
      <c r="ACE222" s="302"/>
      <c r="ACF222" s="302"/>
      <c r="ACG222" s="302"/>
      <c r="ACH222" s="302"/>
      <c r="ACI222" s="302"/>
      <c r="ACJ222" s="302"/>
      <c r="ACK222" s="302"/>
      <c r="ACL222" s="302"/>
      <c r="ACM222" s="302"/>
      <c r="ACN222" s="302"/>
      <c r="ACO222" s="302"/>
      <c r="ACP222" s="302"/>
      <c r="ACQ222" s="302"/>
      <c r="ACR222" s="302"/>
      <c r="ACS222" s="302"/>
      <c r="ACT222" s="302"/>
      <c r="ACU222" s="302"/>
      <c r="ACV222" s="302"/>
      <c r="ACW222" s="302"/>
      <c r="ACX222" s="302"/>
      <c r="ACY222" s="302"/>
      <c r="ACZ222" s="302"/>
      <c r="ADA222" s="302"/>
      <c r="ADB222" s="302"/>
      <c r="ADC222" s="302"/>
      <c r="ADD222" s="302"/>
      <c r="ADE222" s="302"/>
      <c r="ADF222" s="302"/>
      <c r="ADG222" s="302"/>
      <c r="ADH222" s="302"/>
      <c r="ADI222" s="302"/>
      <c r="ADJ222" s="302"/>
      <c r="ADK222" s="302"/>
      <c r="ADL222" s="302"/>
      <c r="ADM222" s="302"/>
      <c r="ADN222" s="302"/>
      <c r="ADO222" s="302"/>
      <c r="ADP222" s="302"/>
      <c r="ADQ222" s="302"/>
      <c r="ADR222" s="302"/>
      <c r="ADS222" s="302"/>
      <c r="ADT222" s="302"/>
      <c r="ADU222" s="302"/>
      <c r="ADV222" s="302"/>
      <c r="ADW222" s="302"/>
      <c r="ADX222" s="302"/>
      <c r="ADY222" s="302"/>
      <c r="ADZ222" s="302"/>
      <c r="AEA222" s="302"/>
      <c r="AEB222" s="302"/>
      <c r="AEC222" s="302"/>
      <c r="AED222" s="302"/>
      <c r="AEE222" s="302"/>
      <c r="AEF222" s="302"/>
      <c r="AEG222" s="302"/>
      <c r="AEH222" s="302"/>
      <c r="AEI222" s="302"/>
      <c r="AEJ222" s="302"/>
      <c r="AEK222" s="302"/>
      <c r="AEL222" s="302"/>
      <c r="AEM222" s="302"/>
      <c r="AEN222" s="302"/>
      <c r="AEO222" s="302"/>
      <c r="AEP222" s="302"/>
      <c r="AEQ222" s="302"/>
      <c r="AER222" s="302"/>
      <c r="AES222" s="302"/>
      <c r="AET222" s="302"/>
      <c r="AEU222" s="302"/>
      <c r="AEV222" s="302"/>
      <c r="AEW222" s="302"/>
      <c r="AEX222" s="302"/>
      <c r="AEY222" s="302"/>
      <c r="AEZ222" s="302"/>
      <c r="AFA222" s="302"/>
      <c r="AFB222" s="302"/>
      <c r="AFC222" s="302"/>
      <c r="AFD222" s="302"/>
      <c r="AFE222" s="302"/>
      <c r="AFF222" s="302"/>
      <c r="AFG222" s="302"/>
      <c r="AFH222" s="302"/>
      <c r="AFI222" s="302"/>
      <c r="AFJ222" s="302"/>
      <c r="AFK222" s="302"/>
      <c r="AFL222" s="302"/>
      <c r="AFM222" s="302"/>
      <c r="AFN222" s="302"/>
      <c r="AFO222" s="302"/>
      <c r="AFP222" s="302"/>
      <c r="AFQ222" s="302"/>
      <c r="AFR222" s="302"/>
      <c r="AFS222" s="302"/>
      <c r="AFT222" s="302"/>
      <c r="AFU222" s="302"/>
      <c r="AFV222" s="302"/>
      <c r="AFW222" s="302"/>
      <c r="AFX222" s="302"/>
      <c r="AFY222" s="302"/>
      <c r="AFZ222" s="302"/>
      <c r="AGA222" s="302"/>
      <c r="AGB222" s="302"/>
      <c r="AGC222" s="302"/>
      <c r="AGD222" s="302"/>
      <c r="AGE222" s="302"/>
      <c r="AGF222" s="302"/>
      <c r="AGG222" s="302"/>
      <c r="AGH222" s="302"/>
      <c r="AGI222" s="302"/>
      <c r="AGJ222" s="302"/>
      <c r="AGK222" s="302"/>
      <c r="AGL222" s="302"/>
      <c r="AGM222" s="302"/>
      <c r="AGN222" s="302"/>
      <c r="AGO222" s="302"/>
      <c r="AGP222" s="302"/>
      <c r="AGQ222" s="302"/>
      <c r="AGR222" s="302"/>
      <c r="AGS222" s="302"/>
      <c r="AGT222" s="302"/>
      <c r="AGU222" s="302"/>
      <c r="AGV222" s="302"/>
      <c r="AGW222" s="302"/>
      <c r="AGX222" s="302"/>
      <c r="AGY222" s="302"/>
      <c r="AGZ222" s="302"/>
      <c r="AHA222" s="302"/>
      <c r="AHB222" s="302"/>
      <c r="AHC222" s="302"/>
      <c r="AHD222" s="302"/>
      <c r="AHE222" s="302"/>
      <c r="AHF222" s="302"/>
      <c r="AHG222" s="302"/>
      <c r="AHH222" s="302"/>
      <c r="AHI222" s="302"/>
      <c r="AHJ222" s="302"/>
      <c r="AHK222" s="302"/>
      <c r="AHL222" s="302"/>
      <c r="AHM222" s="302"/>
      <c r="AHN222" s="302"/>
      <c r="AHO222" s="302"/>
      <c r="AHP222" s="302"/>
      <c r="AHQ222" s="302"/>
      <c r="AHR222" s="302"/>
      <c r="AHS222" s="302"/>
      <c r="AHT222" s="302"/>
      <c r="AHU222" s="302"/>
      <c r="AHV222" s="302"/>
      <c r="AHW222" s="302"/>
      <c r="AHX222" s="302"/>
      <c r="AHY222" s="302"/>
      <c r="AHZ222" s="302"/>
      <c r="AIA222" s="302"/>
      <c r="AIB222" s="302"/>
      <c r="AIC222" s="302"/>
      <c r="AID222" s="302"/>
      <c r="AIE222" s="302"/>
      <c r="AIF222" s="302"/>
      <c r="AIG222" s="302"/>
      <c r="AIH222" s="302"/>
      <c r="AII222" s="302"/>
      <c r="AIJ222" s="302"/>
      <c r="AIK222" s="302"/>
      <c r="AIL222" s="302"/>
      <c r="AIM222" s="302"/>
      <c r="AIN222" s="302"/>
      <c r="AIO222" s="302"/>
      <c r="AIP222" s="302"/>
      <c r="AIQ222" s="302"/>
      <c r="AIR222" s="302"/>
      <c r="AIS222" s="302"/>
      <c r="AIT222" s="302"/>
      <c r="AIU222" s="302"/>
      <c r="AIV222" s="302"/>
      <c r="AIW222" s="302"/>
      <c r="AIX222" s="302"/>
      <c r="AIY222" s="302"/>
      <c r="AIZ222" s="302"/>
      <c r="AJA222" s="302"/>
      <c r="AJB222" s="302"/>
      <c r="AJC222" s="302"/>
      <c r="AJD222" s="302"/>
      <c r="AJE222" s="302"/>
      <c r="AJF222" s="302"/>
      <c r="AJG222" s="302"/>
      <c r="AJH222" s="302"/>
      <c r="AJI222" s="302"/>
      <c r="AJJ222" s="302"/>
      <c r="AJK222" s="302"/>
      <c r="AJL222" s="302"/>
      <c r="AJM222" s="302"/>
      <c r="AJN222" s="302"/>
      <c r="AJO222" s="302"/>
      <c r="AJP222" s="302"/>
      <c r="AJQ222" s="302"/>
      <c r="AJR222" s="302"/>
      <c r="AJS222" s="302"/>
      <c r="AJT222" s="302"/>
      <c r="AJU222" s="302"/>
      <c r="AJV222" s="302"/>
      <c r="AJW222" s="302"/>
      <c r="AJX222" s="302"/>
      <c r="AJY222" s="302"/>
      <c r="AJZ222" s="302"/>
      <c r="AKA222" s="302"/>
      <c r="AKB222" s="302"/>
      <c r="AKC222" s="302"/>
      <c r="AKD222" s="302"/>
      <c r="AKE222" s="302"/>
      <c r="AKF222" s="302"/>
      <c r="AKG222" s="302"/>
      <c r="AKH222" s="302"/>
      <c r="AKI222" s="302"/>
      <c r="AKJ222" s="302"/>
      <c r="AKK222" s="302"/>
      <c r="AKL222" s="302"/>
      <c r="AKM222" s="302"/>
      <c r="AKN222" s="302"/>
      <c r="AKO222" s="302"/>
      <c r="AKP222" s="302"/>
      <c r="AKQ222" s="302"/>
      <c r="AKR222" s="302"/>
      <c r="AKS222" s="302"/>
      <c r="AKT222" s="302"/>
      <c r="AKU222" s="302"/>
      <c r="AKV222" s="302"/>
      <c r="AKW222" s="302"/>
      <c r="AKX222" s="302"/>
      <c r="AKY222" s="302"/>
      <c r="AKZ222" s="302"/>
      <c r="ALA222" s="302"/>
      <c r="ALB222" s="302"/>
      <c r="ALC222" s="302"/>
      <c r="ALD222" s="302"/>
      <c r="ALE222" s="302"/>
      <c r="ALF222" s="302"/>
      <c r="ALG222" s="302"/>
      <c r="ALH222" s="302"/>
      <c r="ALI222" s="302"/>
      <c r="ALJ222" s="302"/>
      <c r="ALK222" s="302"/>
      <c r="ALL222" s="302"/>
      <c r="ALM222" s="302"/>
      <c r="ALN222" s="302"/>
      <c r="ALO222" s="302"/>
      <c r="ALP222" s="302"/>
      <c r="ALQ222" s="302"/>
      <c r="ALR222" s="302"/>
      <c r="ALS222" s="302"/>
      <c r="ALT222" s="302"/>
      <c r="ALU222" s="302"/>
      <c r="ALV222" s="302"/>
      <c r="ALW222" s="302"/>
      <c r="ALX222" s="302"/>
      <c r="ALY222" s="302"/>
      <c r="ALZ222" s="302"/>
      <c r="AMA222" s="302"/>
      <c r="AMB222" s="302"/>
      <c r="AMC222" s="302"/>
      <c r="AMD222" s="302"/>
      <c r="AME222" s="302"/>
      <c r="AMF222" s="302"/>
      <c r="AMG222" s="302"/>
      <c r="AMH222" s="302"/>
      <c r="AMI222" s="302"/>
    </row>
    <row r="223" spans="1:1023" hidden="1">
      <c r="A223" s="302"/>
      <c r="B223" s="442">
        <v>14003</v>
      </c>
      <c r="C223" s="432">
        <v>0.1</v>
      </c>
      <c r="D223" s="370" t="s">
        <v>146</v>
      </c>
      <c r="E223" s="433">
        <v>2700000</v>
      </c>
      <c r="F223" s="499">
        <v>0.05</v>
      </c>
      <c r="G223" s="364">
        <f t="shared" si="12"/>
        <v>135000</v>
      </c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2"/>
      <c r="AE223" s="302"/>
      <c r="AF223" s="302"/>
      <c r="AG223" s="302"/>
      <c r="AH223" s="302"/>
      <c r="AI223" s="302"/>
      <c r="AJ223" s="302"/>
      <c r="AK223" s="302"/>
      <c r="AL223" s="302"/>
      <c r="AM223" s="302"/>
      <c r="AN223" s="302"/>
      <c r="AO223" s="302"/>
      <c r="AP223" s="302"/>
      <c r="AQ223" s="302"/>
      <c r="AR223" s="302"/>
      <c r="AS223" s="302"/>
      <c r="AT223" s="302"/>
      <c r="AU223" s="302"/>
      <c r="AV223" s="302"/>
      <c r="AW223" s="302"/>
      <c r="AX223" s="302"/>
      <c r="AY223" s="302"/>
      <c r="AZ223" s="302"/>
      <c r="BA223" s="302"/>
      <c r="BB223" s="302"/>
      <c r="BC223" s="302"/>
      <c r="BD223" s="302"/>
      <c r="BE223" s="302"/>
      <c r="BF223" s="302"/>
      <c r="BG223" s="302"/>
      <c r="BH223" s="302"/>
      <c r="BI223" s="302"/>
      <c r="BJ223" s="302"/>
      <c r="BK223" s="302"/>
      <c r="BL223" s="302"/>
      <c r="BM223" s="302"/>
      <c r="BN223" s="302"/>
      <c r="BO223" s="302"/>
      <c r="BP223" s="302"/>
      <c r="BQ223" s="302"/>
      <c r="BR223" s="302"/>
      <c r="BS223" s="302"/>
      <c r="BT223" s="302"/>
      <c r="BU223" s="302"/>
      <c r="BV223" s="302"/>
      <c r="BW223" s="302"/>
      <c r="BX223" s="302"/>
      <c r="BY223" s="302"/>
      <c r="BZ223" s="302"/>
      <c r="CA223" s="302"/>
      <c r="CB223" s="302"/>
      <c r="CC223" s="302"/>
      <c r="CD223" s="302"/>
      <c r="CE223" s="302"/>
      <c r="CF223" s="302"/>
      <c r="CG223" s="302"/>
      <c r="CH223" s="302"/>
      <c r="CI223" s="302"/>
      <c r="CJ223" s="302"/>
      <c r="CK223" s="302"/>
      <c r="CL223" s="302"/>
      <c r="CM223" s="302"/>
      <c r="CN223" s="302"/>
      <c r="CO223" s="302"/>
      <c r="CP223" s="302"/>
      <c r="CQ223" s="302"/>
      <c r="CR223" s="302"/>
      <c r="CS223" s="302"/>
      <c r="CT223" s="302"/>
      <c r="CU223" s="302"/>
      <c r="CV223" s="302"/>
      <c r="CW223" s="302"/>
      <c r="CX223" s="302"/>
      <c r="CY223" s="302"/>
      <c r="CZ223" s="302"/>
      <c r="DA223" s="302"/>
      <c r="DB223" s="302"/>
      <c r="DC223" s="302"/>
      <c r="DD223" s="302"/>
      <c r="DE223" s="302"/>
      <c r="DF223" s="302"/>
      <c r="DG223" s="302"/>
      <c r="DH223" s="302"/>
      <c r="DI223" s="302"/>
      <c r="DJ223" s="302"/>
      <c r="DK223" s="302"/>
      <c r="DL223" s="302"/>
      <c r="DM223" s="302"/>
      <c r="DN223" s="302"/>
      <c r="DO223" s="302"/>
      <c r="DP223" s="302"/>
      <c r="DQ223" s="302"/>
      <c r="DR223" s="302"/>
      <c r="DS223" s="302"/>
      <c r="DT223" s="302"/>
      <c r="DU223" s="302"/>
      <c r="DV223" s="302"/>
      <c r="DW223" s="302"/>
      <c r="DX223" s="302"/>
      <c r="DY223" s="302"/>
      <c r="DZ223" s="302"/>
      <c r="EA223" s="302"/>
      <c r="EB223" s="302"/>
      <c r="EC223" s="302"/>
      <c r="ED223" s="302"/>
      <c r="EE223" s="302"/>
      <c r="EF223" s="302"/>
      <c r="EG223" s="302"/>
      <c r="EH223" s="302"/>
      <c r="EI223" s="302"/>
      <c r="EJ223" s="302"/>
      <c r="EK223" s="302"/>
      <c r="EL223" s="302"/>
      <c r="EM223" s="302"/>
      <c r="EN223" s="302"/>
      <c r="EO223" s="302"/>
      <c r="EP223" s="302"/>
      <c r="EQ223" s="302"/>
      <c r="ER223" s="302"/>
      <c r="ES223" s="302"/>
      <c r="ET223" s="302"/>
      <c r="EU223" s="302"/>
      <c r="EV223" s="302"/>
      <c r="EW223" s="302"/>
      <c r="EX223" s="302"/>
      <c r="EY223" s="302"/>
      <c r="EZ223" s="302"/>
      <c r="FA223" s="302"/>
      <c r="FB223" s="302"/>
      <c r="FC223" s="302"/>
      <c r="FD223" s="302"/>
      <c r="FE223" s="302"/>
      <c r="FF223" s="302"/>
      <c r="FG223" s="302"/>
      <c r="FH223" s="302"/>
      <c r="FI223" s="302"/>
      <c r="FJ223" s="302"/>
      <c r="FK223" s="302"/>
      <c r="FL223" s="302"/>
      <c r="FM223" s="302"/>
      <c r="FN223" s="302"/>
      <c r="FO223" s="302"/>
      <c r="FP223" s="302"/>
      <c r="FQ223" s="302"/>
      <c r="FR223" s="302"/>
      <c r="FS223" s="302"/>
      <c r="FT223" s="302"/>
      <c r="FU223" s="302"/>
      <c r="FV223" s="302"/>
      <c r="FW223" s="302"/>
      <c r="FX223" s="302"/>
      <c r="FY223" s="302"/>
      <c r="FZ223" s="302"/>
      <c r="GA223" s="302"/>
      <c r="GB223" s="302"/>
      <c r="GC223" s="302"/>
      <c r="GD223" s="302"/>
      <c r="GE223" s="302"/>
      <c r="GF223" s="302"/>
      <c r="GG223" s="302"/>
      <c r="GH223" s="302"/>
      <c r="GI223" s="302"/>
      <c r="GJ223" s="302"/>
      <c r="GK223" s="302"/>
      <c r="GL223" s="302"/>
      <c r="GM223" s="302"/>
      <c r="GN223" s="302"/>
      <c r="GO223" s="302"/>
      <c r="GP223" s="302"/>
      <c r="GQ223" s="302"/>
      <c r="GR223" s="302"/>
      <c r="GS223" s="302"/>
      <c r="GT223" s="302"/>
      <c r="GU223" s="302"/>
      <c r="GV223" s="302"/>
      <c r="GW223" s="302"/>
      <c r="GX223" s="302"/>
      <c r="GY223" s="302"/>
      <c r="GZ223" s="302"/>
      <c r="HA223" s="302"/>
      <c r="HB223" s="302"/>
      <c r="HC223" s="302"/>
      <c r="HD223" s="302"/>
      <c r="HE223" s="302"/>
      <c r="HF223" s="302"/>
      <c r="HG223" s="302"/>
      <c r="HH223" s="302"/>
      <c r="HI223" s="302"/>
      <c r="HJ223" s="302"/>
      <c r="HK223" s="302"/>
      <c r="HL223" s="302"/>
      <c r="HM223" s="302"/>
      <c r="HN223" s="302"/>
      <c r="HO223" s="302"/>
      <c r="HP223" s="302"/>
      <c r="HQ223" s="302"/>
      <c r="HR223" s="302"/>
      <c r="HS223" s="302"/>
      <c r="HT223" s="302"/>
      <c r="HU223" s="302"/>
      <c r="HV223" s="302"/>
      <c r="HW223" s="302"/>
      <c r="HX223" s="302"/>
      <c r="HY223" s="302"/>
      <c r="HZ223" s="302"/>
      <c r="IA223" s="302"/>
      <c r="IB223" s="302"/>
      <c r="IC223" s="302"/>
      <c r="ID223" s="302"/>
      <c r="IE223" s="302"/>
      <c r="IF223" s="302"/>
      <c r="IG223" s="302"/>
      <c r="IH223" s="302"/>
      <c r="II223" s="302"/>
      <c r="IJ223" s="302"/>
      <c r="IK223" s="302"/>
      <c r="IL223" s="302"/>
      <c r="IM223" s="302"/>
      <c r="IN223" s="302"/>
      <c r="IO223" s="302"/>
      <c r="IP223" s="302"/>
      <c r="IQ223" s="302"/>
      <c r="IR223" s="302"/>
      <c r="IS223" s="302"/>
      <c r="IT223" s="302"/>
      <c r="IU223" s="302"/>
      <c r="IV223" s="302"/>
      <c r="IW223" s="302"/>
      <c r="IX223" s="302"/>
      <c r="IY223" s="302"/>
      <c r="IZ223" s="302"/>
      <c r="JA223" s="302"/>
      <c r="JB223" s="302"/>
      <c r="JC223" s="302"/>
      <c r="JD223" s="302"/>
      <c r="JE223" s="302"/>
      <c r="JF223" s="302"/>
      <c r="JG223" s="302"/>
      <c r="JH223" s="302"/>
      <c r="JI223" s="302"/>
      <c r="JJ223" s="302"/>
      <c r="JK223" s="302"/>
      <c r="JL223" s="302"/>
      <c r="JM223" s="302"/>
      <c r="JN223" s="302"/>
      <c r="JO223" s="302"/>
      <c r="JP223" s="302"/>
      <c r="JQ223" s="302"/>
      <c r="JR223" s="302"/>
      <c r="JS223" s="302"/>
      <c r="JT223" s="302"/>
      <c r="JU223" s="302"/>
      <c r="JV223" s="302"/>
      <c r="JW223" s="302"/>
      <c r="JX223" s="302"/>
      <c r="JY223" s="302"/>
      <c r="JZ223" s="302"/>
      <c r="KA223" s="302"/>
      <c r="KB223" s="302"/>
      <c r="KC223" s="302"/>
      <c r="KD223" s="302"/>
      <c r="KE223" s="302"/>
      <c r="KF223" s="302"/>
      <c r="KG223" s="302"/>
      <c r="KH223" s="302"/>
      <c r="KI223" s="302"/>
      <c r="KJ223" s="302"/>
      <c r="KK223" s="302"/>
      <c r="KL223" s="302"/>
      <c r="KM223" s="302"/>
      <c r="KN223" s="302"/>
      <c r="KO223" s="302"/>
      <c r="KP223" s="302"/>
      <c r="KQ223" s="302"/>
      <c r="KR223" s="302"/>
      <c r="KS223" s="302"/>
      <c r="KT223" s="302"/>
      <c r="KU223" s="302"/>
      <c r="KV223" s="302"/>
      <c r="KW223" s="302"/>
      <c r="KX223" s="302"/>
      <c r="KY223" s="302"/>
      <c r="KZ223" s="302"/>
      <c r="LA223" s="302"/>
      <c r="LB223" s="302"/>
      <c r="LC223" s="302"/>
      <c r="LD223" s="302"/>
      <c r="LE223" s="302"/>
      <c r="LF223" s="302"/>
      <c r="LG223" s="302"/>
      <c r="LH223" s="302"/>
      <c r="LI223" s="302"/>
      <c r="LJ223" s="302"/>
      <c r="LK223" s="302"/>
      <c r="LL223" s="302"/>
      <c r="LM223" s="302"/>
      <c r="LN223" s="302"/>
      <c r="LO223" s="302"/>
      <c r="LP223" s="302"/>
      <c r="LQ223" s="302"/>
      <c r="LR223" s="302"/>
      <c r="LS223" s="302"/>
      <c r="LT223" s="302"/>
      <c r="LU223" s="302"/>
      <c r="LV223" s="302"/>
      <c r="LW223" s="302"/>
      <c r="LX223" s="302"/>
      <c r="LY223" s="302"/>
      <c r="LZ223" s="302"/>
      <c r="MA223" s="302"/>
      <c r="MB223" s="302"/>
      <c r="MC223" s="302"/>
      <c r="MD223" s="302"/>
      <c r="ME223" s="302"/>
      <c r="MF223" s="302"/>
      <c r="MG223" s="302"/>
      <c r="MH223" s="302"/>
      <c r="MI223" s="302"/>
      <c r="MJ223" s="302"/>
      <c r="MK223" s="302"/>
      <c r="ML223" s="302"/>
      <c r="MM223" s="302"/>
      <c r="MN223" s="302"/>
      <c r="MO223" s="302"/>
      <c r="MP223" s="302"/>
      <c r="MQ223" s="302"/>
      <c r="MR223" s="302"/>
      <c r="MS223" s="302"/>
      <c r="MT223" s="302"/>
      <c r="MU223" s="302"/>
      <c r="MV223" s="302"/>
      <c r="MW223" s="302"/>
      <c r="MX223" s="302"/>
      <c r="MY223" s="302"/>
      <c r="MZ223" s="302"/>
      <c r="NA223" s="302"/>
      <c r="NB223" s="302"/>
      <c r="NC223" s="302"/>
      <c r="ND223" s="302"/>
      <c r="NE223" s="302"/>
      <c r="NF223" s="302"/>
      <c r="NG223" s="302"/>
      <c r="NH223" s="302"/>
      <c r="NI223" s="302"/>
      <c r="NJ223" s="302"/>
      <c r="NK223" s="302"/>
      <c r="NL223" s="302"/>
      <c r="NM223" s="302"/>
      <c r="NN223" s="302"/>
      <c r="NO223" s="302"/>
      <c r="NP223" s="302"/>
      <c r="NQ223" s="302"/>
      <c r="NR223" s="302"/>
      <c r="NS223" s="302"/>
      <c r="NT223" s="302"/>
      <c r="NU223" s="302"/>
      <c r="NV223" s="302"/>
      <c r="NW223" s="302"/>
      <c r="NX223" s="302"/>
      <c r="NY223" s="302"/>
      <c r="NZ223" s="302"/>
      <c r="OA223" s="302"/>
      <c r="OB223" s="302"/>
      <c r="OC223" s="302"/>
      <c r="OD223" s="302"/>
      <c r="OE223" s="302"/>
      <c r="OF223" s="302"/>
      <c r="OG223" s="302"/>
      <c r="OH223" s="302"/>
      <c r="OI223" s="302"/>
      <c r="OJ223" s="302"/>
      <c r="OK223" s="302"/>
      <c r="OL223" s="302"/>
      <c r="OM223" s="302"/>
      <c r="ON223" s="302"/>
      <c r="OO223" s="302"/>
      <c r="OP223" s="302"/>
      <c r="OQ223" s="302"/>
      <c r="OR223" s="302"/>
      <c r="OS223" s="302"/>
      <c r="OT223" s="302"/>
      <c r="OU223" s="302"/>
      <c r="OV223" s="302"/>
      <c r="OW223" s="302"/>
      <c r="OX223" s="302"/>
      <c r="OY223" s="302"/>
      <c r="OZ223" s="302"/>
      <c r="PA223" s="302"/>
      <c r="PB223" s="302"/>
      <c r="PC223" s="302"/>
      <c r="PD223" s="302"/>
      <c r="PE223" s="302"/>
      <c r="PF223" s="302"/>
      <c r="PG223" s="302"/>
      <c r="PH223" s="302"/>
      <c r="PI223" s="302"/>
      <c r="PJ223" s="302"/>
      <c r="PK223" s="302"/>
      <c r="PL223" s="302"/>
      <c r="PM223" s="302"/>
      <c r="PN223" s="302"/>
      <c r="PO223" s="302"/>
      <c r="PP223" s="302"/>
      <c r="PQ223" s="302"/>
      <c r="PR223" s="302"/>
      <c r="PS223" s="302"/>
      <c r="PT223" s="302"/>
      <c r="PU223" s="302"/>
      <c r="PV223" s="302"/>
      <c r="PW223" s="302"/>
      <c r="PX223" s="302"/>
      <c r="PY223" s="302"/>
      <c r="PZ223" s="302"/>
      <c r="QA223" s="302"/>
      <c r="QB223" s="302"/>
      <c r="QC223" s="302"/>
      <c r="QD223" s="302"/>
      <c r="QE223" s="302"/>
      <c r="QF223" s="302"/>
      <c r="QG223" s="302"/>
      <c r="QH223" s="302"/>
      <c r="QI223" s="302"/>
      <c r="QJ223" s="302"/>
      <c r="QK223" s="302"/>
      <c r="QL223" s="302"/>
      <c r="QM223" s="302"/>
      <c r="QN223" s="302"/>
      <c r="QO223" s="302"/>
      <c r="QP223" s="302"/>
      <c r="QQ223" s="302"/>
      <c r="QR223" s="302"/>
      <c r="QS223" s="302"/>
      <c r="QT223" s="302"/>
      <c r="QU223" s="302"/>
      <c r="QV223" s="302"/>
      <c r="QW223" s="302"/>
      <c r="QX223" s="302"/>
      <c r="QY223" s="302"/>
      <c r="QZ223" s="302"/>
      <c r="RA223" s="302"/>
      <c r="RB223" s="302"/>
      <c r="RC223" s="302"/>
      <c r="RD223" s="302"/>
      <c r="RE223" s="302"/>
      <c r="RF223" s="302"/>
      <c r="RG223" s="302"/>
      <c r="RH223" s="302"/>
      <c r="RI223" s="302"/>
      <c r="RJ223" s="302"/>
      <c r="RK223" s="302"/>
      <c r="RL223" s="302"/>
      <c r="RM223" s="302"/>
      <c r="RN223" s="302"/>
      <c r="RO223" s="302"/>
      <c r="RP223" s="302"/>
      <c r="RQ223" s="302"/>
      <c r="RR223" s="302"/>
      <c r="RS223" s="302"/>
      <c r="RT223" s="302"/>
      <c r="RU223" s="302"/>
      <c r="RV223" s="302"/>
      <c r="RW223" s="302"/>
      <c r="RX223" s="302"/>
      <c r="RY223" s="302"/>
      <c r="RZ223" s="302"/>
      <c r="SA223" s="302"/>
      <c r="SB223" s="302"/>
      <c r="SC223" s="302"/>
      <c r="SD223" s="302"/>
      <c r="SE223" s="302"/>
      <c r="SF223" s="302"/>
      <c r="SG223" s="302"/>
      <c r="SH223" s="302"/>
      <c r="SI223" s="302"/>
      <c r="SJ223" s="302"/>
      <c r="SK223" s="302"/>
      <c r="SL223" s="302"/>
      <c r="SM223" s="302"/>
      <c r="SN223" s="302"/>
      <c r="SO223" s="302"/>
      <c r="SP223" s="302"/>
      <c r="SQ223" s="302"/>
      <c r="SR223" s="302"/>
      <c r="SS223" s="302"/>
      <c r="ST223" s="302"/>
      <c r="SU223" s="302"/>
      <c r="SV223" s="302"/>
      <c r="SW223" s="302"/>
      <c r="SX223" s="302"/>
      <c r="SY223" s="302"/>
      <c r="SZ223" s="302"/>
      <c r="TA223" s="302"/>
      <c r="TB223" s="302"/>
      <c r="TC223" s="302"/>
      <c r="TD223" s="302"/>
      <c r="TE223" s="302"/>
      <c r="TF223" s="302"/>
      <c r="TG223" s="302"/>
      <c r="TH223" s="302"/>
      <c r="TI223" s="302"/>
      <c r="TJ223" s="302"/>
      <c r="TK223" s="302"/>
      <c r="TL223" s="302"/>
      <c r="TM223" s="302"/>
      <c r="TN223" s="302"/>
      <c r="TO223" s="302"/>
      <c r="TP223" s="302"/>
      <c r="TQ223" s="302"/>
      <c r="TR223" s="302"/>
      <c r="TS223" s="302"/>
      <c r="TT223" s="302"/>
      <c r="TU223" s="302"/>
      <c r="TV223" s="302"/>
      <c r="TW223" s="302"/>
      <c r="TX223" s="302"/>
      <c r="TY223" s="302"/>
      <c r="TZ223" s="302"/>
      <c r="UA223" s="302"/>
      <c r="UB223" s="302"/>
      <c r="UC223" s="302"/>
      <c r="UD223" s="302"/>
      <c r="UE223" s="302"/>
      <c r="UF223" s="302"/>
      <c r="UG223" s="302"/>
      <c r="UH223" s="302"/>
      <c r="UI223" s="302"/>
      <c r="UJ223" s="302"/>
      <c r="UK223" s="302"/>
      <c r="UL223" s="302"/>
      <c r="UM223" s="302"/>
      <c r="UN223" s="302"/>
      <c r="UO223" s="302"/>
      <c r="UP223" s="302"/>
      <c r="UQ223" s="302"/>
      <c r="UR223" s="302"/>
      <c r="US223" s="302"/>
      <c r="UT223" s="302"/>
      <c r="UU223" s="302"/>
      <c r="UV223" s="302"/>
      <c r="UW223" s="302"/>
      <c r="UX223" s="302"/>
      <c r="UY223" s="302"/>
      <c r="UZ223" s="302"/>
      <c r="VA223" s="302"/>
      <c r="VB223" s="302"/>
      <c r="VC223" s="302"/>
      <c r="VD223" s="302"/>
      <c r="VE223" s="302"/>
      <c r="VF223" s="302"/>
      <c r="VG223" s="302"/>
      <c r="VH223" s="302"/>
      <c r="VI223" s="302"/>
      <c r="VJ223" s="302"/>
      <c r="VK223" s="302"/>
      <c r="VL223" s="302"/>
      <c r="VM223" s="302"/>
      <c r="VN223" s="302"/>
      <c r="VO223" s="302"/>
      <c r="VP223" s="302"/>
      <c r="VQ223" s="302"/>
      <c r="VR223" s="302"/>
      <c r="VS223" s="302"/>
      <c r="VT223" s="302"/>
      <c r="VU223" s="302"/>
      <c r="VV223" s="302"/>
      <c r="VW223" s="302"/>
      <c r="VX223" s="302"/>
      <c r="VY223" s="302"/>
      <c r="VZ223" s="302"/>
      <c r="WA223" s="302"/>
      <c r="WB223" s="302"/>
      <c r="WC223" s="302"/>
      <c r="WD223" s="302"/>
      <c r="WE223" s="302"/>
      <c r="WF223" s="302"/>
      <c r="WG223" s="302"/>
      <c r="WH223" s="302"/>
      <c r="WI223" s="302"/>
      <c r="WJ223" s="302"/>
      <c r="WK223" s="302"/>
      <c r="WL223" s="302"/>
      <c r="WM223" s="302"/>
      <c r="WN223" s="302"/>
      <c r="WO223" s="302"/>
      <c r="WP223" s="302"/>
      <c r="WQ223" s="302"/>
      <c r="WR223" s="302"/>
      <c r="WS223" s="302"/>
      <c r="WT223" s="302"/>
      <c r="WU223" s="302"/>
      <c r="WV223" s="302"/>
      <c r="WW223" s="302"/>
      <c r="WX223" s="302"/>
      <c r="WY223" s="302"/>
      <c r="WZ223" s="302"/>
      <c r="XA223" s="302"/>
      <c r="XB223" s="302"/>
      <c r="XC223" s="302"/>
      <c r="XD223" s="302"/>
      <c r="XE223" s="302"/>
      <c r="XF223" s="302"/>
      <c r="XG223" s="302"/>
      <c r="XH223" s="302"/>
      <c r="XI223" s="302"/>
      <c r="XJ223" s="302"/>
      <c r="XK223" s="302"/>
      <c r="XL223" s="302"/>
      <c r="XM223" s="302"/>
      <c r="XN223" s="302"/>
      <c r="XO223" s="302"/>
      <c r="XP223" s="302"/>
      <c r="XQ223" s="302"/>
      <c r="XR223" s="302"/>
      <c r="XS223" s="302"/>
      <c r="XT223" s="302"/>
      <c r="XU223" s="302"/>
      <c r="XV223" s="302"/>
      <c r="XW223" s="302"/>
      <c r="XX223" s="302"/>
      <c r="XY223" s="302"/>
      <c r="XZ223" s="302"/>
      <c r="YA223" s="302"/>
      <c r="YB223" s="302"/>
      <c r="YC223" s="302"/>
      <c r="YD223" s="302"/>
      <c r="YE223" s="302"/>
      <c r="YF223" s="302"/>
      <c r="YG223" s="302"/>
      <c r="YH223" s="302"/>
      <c r="YI223" s="302"/>
      <c r="YJ223" s="302"/>
      <c r="YK223" s="302"/>
      <c r="YL223" s="302"/>
      <c r="YM223" s="302"/>
      <c r="YN223" s="302"/>
      <c r="YO223" s="302"/>
      <c r="YP223" s="302"/>
      <c r="YQ223" s="302"/>
      <c r="YR223" s="302"/>
      <c r="YS223" s="302"/>
      <c r="YT223" s="302"/>
      <c r="YU223" s="302"/>
      <c r="YV223" s="302"/>
      <c r="YW223" s="302"/>
      <c r="YX223" s="302"/>
      <c r="YY223" s="302"/>
      <c r="YZ223" s="302"/>
      <c r="ZA223" s="302"/>
      <c r="ZB223" s="302"/>
      <c r="ZC223" s="302"/>
      <c r="ZD223" s="302"/>
      <c r="ZE223" s="302"/>
      <c r="ZF223" s="302"/>
      <c r="ZG223" s="302"/>
      <c r="ZH223" s="302"/>
      <c r="ZI223" s="302"/>
      <c r="ZJ223" s="302"/>
      <c r="ZK223" s="302"/>
      <c r="ZL223" s="302"/>
      <c r="ZM223" s="302"/>
      <c r="ZN223" s="302"/>
      <c r="ZO223" s="302"/>
      <c r="ZP223" s="302"/>
      <c r="ZQ223" s="302"/>
      <c r="ZR223" s="302"/>
      <c r="ZS223" s="302"/>
      <c r="ZT223" s="302"/>
      <c r="ZU223" s="302"/>
      <c r="ZV223" s="302"/>
      <c r="ZW223" s="302"/>
      <c r="ZX223" s="302"/>
      <c r="ZY223" s="302"/>
      <c r="ZZ223" s="302"/>
      <c r="AAA223" s="302"/>
      <c r="AAB223" s="302"/>
      <c r="AAC223" s="302"/>
      <c r="AAD223" s="302"/>
      <c r="AAE223" s="302"/>
      <c r="AAF223" s="302"/>
      <c r="AAG223" s="302"/>
      <c r="AAH223" s="302"/>
      <c r="AAI223" s="302"/>
      <c r="AAJ223" s="302"/>
      <c r="AAK223" s="302"/>
      <c r="AAL223" s="302"/>
      <c r="AAM223" s="302"/>
      <c r="AAN223" s="302"/>
      <c r="AAO223" s="302"/>
      <c r="AAP223" s="302"/>
      <c r="AAQ223" s="302"/>
      <c r="AAR223" s="302"/>
      <c r="AAS223" s="302"/>
      <c r="AAT223" s="302"/>
      <c r="AAU223" s="302"/>
      <c r="AAV223" s="302"/>
      <c r="AAW223" s="302"/>
      <c r="AAX223" s="302"/>
      <c r="AAY223" s="302"/>
      <c r="AAZ223" s="302"/>
      <c r="ABA223" s="302"/>
      <c r="ABB223" s="302"/>
      <c r="ABC223" s="302"/>
      <c r="ABD223" s="302"/>
      <c r="ABE223" s="302"/>
      <c r="ABF223" s="302"/>
      <c r="ABG223" s="302"/>
      <c r="ABH223" s="302"/>
      <c r="ABI223" s="302"/>
      <c r="ABJ223" s="302"/>
      <c r="ABK223" s="302"/>
      <c r="ABL223" s="302"/>
      <c r="ABM223" s="302"/>
      <c r="ABN223" s="302"/>
      <c r="ABO223" s="302"/>
      <c r="ABP223" s="302"/>
      <c r="ABQ223" s="302"/>
      <c r="ABR223" s="302"/>
      <c r="ABS223" s="302"/>
      <c r="ABT223" s="302"/>
      <c r="ABU223" s="302"/>
      <c r="ABV223" s="302"/>
      <c r="ABW223" s="302"/>
      <c r="ABX223" s="302"/>
      <c r="ABY223" s="302"/>
      <c r="ABZ223" s="302"/>
      <c r="ACA223" s="302"/>
      <c r="ACB223" s="302"/>
      <c r="ACC223" s="302"/>
      <c r="ACD223" s="302"/>
      <c r="ACE223" s="302"/>
      <c r="ACF223" s="302"/>
      <c r="ACG223" s="302"/>
      <c r="ACH223" s="302"/>
      <c r="ACI223" s="302"/>
      <c r="ACJ223" s="302"/>
      <c r="ACK223" s="302"/>
      <c r="ACL223" s="302"/>
      <c r="ACM223" s="302"/>
      <c r="ACN223" s="302"/>
      <c r="ACO223" s="302"/>
      <c r="ACP223" s="302"/>
      <c r="ACQ223" s="302"/>
      <c r="ACR223" s="302"/>
      <c r="ACS223" s="302"/>
      <c r="ACT223" s="302"/>
      <c r="ACU223" s="302"/>
      <c r="ACV223" s="302"/>
      <c r="ACW223" s="302"/>
      <c r="ACX223" s="302"/>
      <c r="ACY223" s="302"/>
      <c r="ACZ223" s="302"/>
      <c r="ADA223" s="302"/>
      <c r="ADB223" s="302"/>
      <c r="ADC223" s="302"/>
      <c r="ADD223" s="302"/>
      <c r="ADE223" s="302"/>
      <c r="ADF223" s="302"/>
      <c r="ADG223" s="302"/>
      <c r="ADH223" s="302"/>
      <c r="ADI223" s="302"/>
      <c r="ADJ223" s="302"/>
      <c r="ADK223" s="302"/>
      <c r="ADL223" s="302"/>
      <c r="ADM223" s="302"/>
      <c r="ADN223" s="302"/>
      <c r="ADO223" s="302"/>
      <c r="ADP223" s="302"/>
      <c r="ADQ223" s="302"/>
      <c r="ADR223" s="302"/>
      <c r="ADS223" s="302"/>
      <c r="ADT223" s="302"/>
      <c r="ADU223" s="302"/>
      <c r="ADV223" s="302"/>
      <c r="ADW223" s="302"/>
      <c r="ADX223" s="302"/>
      <c r="ADY223" s="302"/>
      <c r="ADZ223" s="302"/>
      <c r="AEA223" s="302"/>
      <c r="AEB223" s="302"/>
      <c r="AEC223" s="302"/>
      <c r="AED223" s="302"/>
      <c r="AEE223" s="302"/>
      <c r="AEF223" s="302"/>
      <c r="AEG223" s="302"/>
      <c r="AEH223" s="302"/>
      <c r="AEI223" s="302"/>
      <c r="AEJ223" s="302"/>
      <c r="AEK223" s="302"/>
      <c r="AEL223" s="302"/>
      <c r="AEM223" s="302"/>
      <c r="AEN223" s="302"/>
      <c r="AEO223" s="302"/>
      <c r="AEP223" s="302"/>
      <c r="AEQ223" s="302"/>
      <c r="AER223" s="302"/>
      <c r="AES223" s="302"/>
      <c r="AET223" s="302"/>
      <c r="AEU223" s="302"/>
      <c r="AEV223" s="302"/>
      <c r="AEW223" s="302"/>
      <c r="AEX223" s="302"/>
      <c r="AEY223" s="302"/>
      <c r="AEZ223" s="302"/>
      <c r="AFA223" s="302"/>
      <c r="AFB223" s="302"/>
      <c r="AFC223" s="302"/>
      <c r="AFD223" s="302"/>
      <c r="AFE223" s="302"/>
      <c r="AFF223" s="302"/>
      <c r="AFG223" s="302"/>
      <c r="AFH223" s="302"/>
      <c r="AFI223" s="302"/>
      <c r="AFJ223" s="302"/>
      <c r="AFK223" s="302"/>
      <c r="AFL223" s="302"/>
      <c r="AFM223" s="302"/>
      <c r="AFN223" s="302"/>
      <c r="AFO223" s="302"/>
      <c r="AFP223" s="302"/>
      <c r="AFQ223" s="302"/>
      <c r="AFR223" s="302"/>
      <c r="AFS223" s="302"/>
      <c r="AFT223" s="302"/>
      <c r="AFU223" s="302"/>
      <c r="AFV223" s="302"/>
      <c r="AFW223" s="302"/>
      <c r="AFX223" s="302"/>
      <c r="AFY223" s="302"/>
      <c r="AFZ223" s="302"/>
      <c r="AGA223" s="302"/>
      <c r="AGB223" s="302"/>
      <c r="AGC223" s="302"/>
      <c r="AGD223" s="302"/>
      <c r="AGE223" s="302"/>
      <c r="AGF223" s="302"/>
      <c r="AGG223" s="302"/>
      <c r="AGH223" s="302"/>
      <c r="AGI223" s="302"/>
      <c r="AGJ223" s="302"/>
      <c r="AGK223" s="302"/>
      <c r="AGL223" s="302"/>
      <c r="AGM223" s="302"/>
      <c r="AGN223" s="302"/>
      <c r="AGO223" s="302"/>
      <c r="AGP223" s="302"/>
      <c r="AGQ223" s="302"/>
      <c r="AGR223" s="302"/>
      <c r="AGS223" s="302"/>
      <c r="AGT223" s="302"/>
      <c r="AGU223" s="302"/>
      <c r="AGV223" s="302"/>
      <c r="AGW223" s="302"/>
      <c r="AGX223" s="302"/>
      <c r="AGY223" s="302"/>
      <c r="AGZ223" s="302"/>
      <c r="AHA223" s="302"/>
      <c r="AHB223" s="302"/>
      <c r="AHC223" s="302"/>
      <c r="AHD223" s="302"/>
      <c r="AHE223" s="302"/>
      <c r="AHF223" s="302"/>
      <c r="AHG223" s="302"/>
      <c r="AHH223" s="302"/>
      <c r="AHI223" s="302"/>
      <c r="AHJ223" s="302"/>
      <c r="AHK223" s="302"/>
      <c r="AHL223" s="302"/>
      <c r="AHM223" s="302"/>
      <c r="AHN223" s="302"/>
      <c r="AHO223" s="302"/>
      <c r="AHP223" s="302"/>
      <c r="AHQ223" s="302"/>
      <c r="AHR223" s="302"/>
      <c r="AHS223" s="302"/>
      <c r="AHT223" s="302"/>
      <c r="AHU223" s="302"/>
      <c r="AHV223" s="302"/>
      <c r="AHW223" s="302"/>
      <c r="AHX223" s="302"/>
      <c r="AHY223" s="302"/>
      <c r="AHZ223" s="302"/>
      <c r="AIA223" s="302"/>
      <c r="AIB223" s="302"/>
      <c r="AIC223" s="302"/>
      <c r="AID223" s="302"/>
      <c r="AIE223" s="302"/>
      <c r="AIF223" s="302"/>
      <c r="AIG223" s="302"/>
      <c r="AIH223" s="302"/>
      <c r="AII223" s="302"/>
      <c r="AIJ223" s="302"/>
      <c r="AIK223" s="302"/>
      <c r="AIL223" s="302"/>
      <c r="AIM223" s="302"/>
      <c r="AIN223" s="302"/>
      <c r="AIO223" s="302"/>
      <c r="AIP223" s="302"/>
      <c r="AIQ223" s="302"/>
      <c r="AIR223" s="302"/>
      <c r="AIS223" s="302"/>
      <c r="AIT223" s="302"/>
      <c r="AIU223" s="302"/>
      <c r="AIV223" s="302"/>
      <c r="AIW223" s="302"/>
      <c r="AIX223" s="302"/>
      <c r="AIY223" s="302"/>
      <c r="AIZ223" s="302"/>
      <c r="AJA223" s="302"/>
      <c r="AJB223" s="302"/>
      <c r="AJC223" s="302"/>
      <c r="AJD223" s="302"/>
      <c r="AJE223" s="302"/>
      <c r="AJF223" s="302"/>
      <c r="AJG223" s="302"/>
      <c r="AJH223" s="302"/>
      <c r="AJI223" s="302"/>
      <c r="AJJ223" s="302"/>
      <c r="AJK223" s="302"/>
      <c r="AJL223" s="302"/>
      <c r="AJM223" s="302"/>
      <c r="AJN223" s="302"/>
      <c r="AJO223" s="302"/>
      <c r="AJP223" s="302"/>
      <c r="AJQ223" s="302"/>
      <c r="AJR223" s="302"/>
      <c r="AJS223" s="302"/>
      <c r="AJT223" s="302"/>
      <c r="AJU223" s="302"/>
      <c r="AJV223" s="302"/>
      <c r="AJW223" s="302"/>
      <c r="AJX223" s="302"/>
      <c r="AJY223" s="302"/>
      <c r="AJZ223" s="302"/>
      <c r="AKA223" s="302"/>
      <c r="AKB223" s="302"/>
      <c r="AKC223" s="302"/>
      <c r="AKD223" s="302"/>
      <c r="AKE223" s="302"/>
      <c r="AKF223" s="302"/>
      <c r="AKG223" s="302"/>
      <c r="AKH223" s="302"/>
      <c r="AKI223" s="302"/>
      <c r="AKJ223" s="302"/>
      <c r="AKK223" s="302"/>
      <c r="AKL223" s="302"/>
      <c r="AKM223" s="302"/>
      <c r="AKN223" s="302"/>
      <c r="AKO223" s="302"/>
      <c r="AKP223" s="302"/>
      <c r="AKQ223" s="302"/>
      <c r="AKR223" s="302"/>
      <c r="AKS223" s="302"/>
      <c r="AKT223" s="302"/>
      <c r="AKU223" s="302"/>
      <c r="AKV223" s="302"/>
      <c r="AKW223" s="302"/>
      <c r="AKX223" s="302"/>
      <c r="AKY223" s="302"/>
      <c r="AKZ223" s="302"/>
      <c r="ALA223" s="302"/>
      <c r="ALB223" s="302"/>
      <c r="ALC223" s="302"/>
      <c r="ALD223" s="302"/>
      <c r="ALE223" s="302"/>
      <c r="ALF223" s="302"/>
      <c r="ALG223" s="302"/>
      <c r="ALH223" s="302"/>
      <c r="ALI223" s="302"/>
      <c r="ALJ223" s="302"/>
      <c r="ALK223" s="302"/>
      <c r="ALL223" s="302"/>
      <c r="ALM223" s="302"/>
      <c r="ALN223" s="302"/>
      <c r="ALO223" s="302"/>
      <c r="ALP223" s="302"/>
      <c r="ALQ223" s="302"/>
      <c r="ALR223" s="302"/>
      <c r="ALS223" s="302"/>
      <c r="ALT223" s="302"/>
      <c r="ALU223" s="302"/>
      <c r="ALV223" s="302"/>
      <c r="ALW223" s="302"/>
      <c r="ALX223" s="302"/>
      <c r="ALY223" s="302"/>
      <c r="ALZ223" s="302"/>
      <c r="AMA223" s="302"/>
      <c r="AMB223" s="302"/>
      <c r="AMC223" s="302"/>
      <c r="AMD223" s="302"/>
      <c r="AME223" s="302"/>
      <c r="AMF223" s="302"/>
      <c r="AMG223" s="302"/>
      <c r="AMH223" s="302"/>
      <c r="AMI223" s="302"/>
    </row>
    <row r="224" spans="1:1023" hidden="1">
      <c r="A224" s="302"/>
      <c r="B224" s="449">
        <v>13885</v>
      </c>
      <c r="C224" s="430">
        <v>0.08</v>
      </c>
      <c r="D224" s="370" t="s">
        <v>126</v>
      </c>
      <c r="E224" s="401">
        <v>2600000</v>
      </c>
      <c r="F224" s="500">
        <v>0.04</v>
      </c>
      <c r="G224" s="364">
        <f t="shared" si="12"/>
        <v>104000</v>
      </c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2"/>
      <c r="AE224" s="302"/>
      <c r="AF224" s="302"/>
      <c r="AG224" s="302"/>
      <c r="AH224" s="302"/>
      <c r="AI224" s="302"/>
      <c r="AJ224" s="302"/>
      <c r="AK224" s="302"/>
      <c r="AL224" s="302"/>
      <c r="AM224" s="302"/>
      <c r="AN224" s="302"/>
      <c r="AO224" s="302"/>
      <c r="AP224" s="302"/>
      <c r="AQ224" s="302"/>
      <c r="AR224" s="302"/>
      <c r="AS224" s="302"/>
      <c r="AT224" s="302"/>
      <c r="AU224" s="302"/>
      <c r="AV224" s="302"/>
      <c r="AW224" s="302"/>
      <c r="AX224" s="302"/>
      <c r="AY224" s="302"/>
      <c r="AZ224" s="302"/>
      <c r="BA224" s="302"/>
      <c r="BB224" s="302"/>
      <c r="BC224" s="302"/>
      <c r="BD224" s="302"/>
      <c r="BE224" s="302"/>
      <c r="BF224" s="302"/>
      <c r="BG224" s="302"/>
      <c r="BH224" s="302"/>
      <c r="BI224" s="302"/>
      <c r="BJ224" s="302"/>
      <c r="BK224" s="302"/>
      <c r="BL224" s="302"/>
      <c r="BM224" s="302"/>
      <c r="BN224" s="302"/>
      <c r="BO224" s="302"/>
      <c r="BP224" s="302"/>
      <c r="BQ224" s="302"/>
      <c r="BR224" s="302"/>
      <c r="BS224" s="302"/>
      <c r="BT224" s="302"/>
      <c r="BU224" s="302"/>
      <c r="BV224" s="302"/>
      <c r="BW224" s="302"/>
      <c r="BX224" s="302"/>
      <c r="BY224" s="302"/>
      <c r="BZ224" s="302"/>
      <c r="CA224" s="302"/>
      <c r="CB224" s="302"/>
      <c r="CC224" s="302"/>
      <c r="CD224" s="302"/>
      <c r="CE224" s="302"/>
      <c r="CF224" s="302"/>
      <c r="CG224" s="302"/>
      <c r="CH224" s="302"/>
      <c r="CI224" s="302"/>
      <c r="CJ224" s="302"/>
      <c r="CK224" s="302"/>
      <c r="CL224" s="302"/>
      <c r="CM224" s="302"/>
      <c r="CN224" s="302"/>
      <c r="CO224" s="302"/>
      <c r="CP224" s="302"/>
      <c r="CQ224" s="302"/>
      <c r="CR224" s="302"/>
      <c r="CS224" s="302"/>
      <c r="CT224" s="302"/>
      <c r="CU224" s="302"/>
      <c r="CV224" s="302"/>
      <c r="CW224" s="302"/>
      <c r="CX224" s="302"/>
      <c r="CY224" s="302"/>
      <c r="CZ224" s="302"/>
      <c r="DA224" s="302"/>
      <c r="DB224" s="302"/>
      <c r="DC224" s="302"/>
      <c r="DD224" s="302"/>
      <c r="DE224" s="302"/>
      <c r="DF224" s="302"/>
      <c r="DG224" s="302"/>
      <c r="DH224" s="302"/>
      <c r="DI224" s="302"/>
      <c r="DJ224" s="302"/>
      <c r="DK224" s="302"/>
      <c r="DL224" s="302"/>
      <c r="DM224" s="302"/>
      <c r="DN224" s="302"/>
      <c r="DO224" s="302"/>
      <c r="DP224" s="302"/>
      <c r="DQ224" s="302"/>
      <c r="DR224" s="302"/>
      <c r="DS224" s="302"/>
      <c r="DT224" s="302"/>
      <c r="DU224" s="302"/>
      <c r="DV224" s="302"/>
      <c r="DW224" s="302"/>
      <c r="DX224" s="302"/>
      <c r="DY224" s="302"/>
      <c r="DZ224" s="302"/>
      <c r="EA224" s="302"/>
      <c r="EB224" s="302"/>
      <c r="EC224" s="302"/>
      <c r="ED224" s="302"/>
      <c r="EE224" s="302"/>
      <c r="EF224" s="302"/>
      <c r="EG224" s="302"/>
      <c r="EH224" s="302"/>
      <c r="EI224" s="302"/>
      <c r="EJ224" s="302"/>
      <c r="EK224" s="302"/>
      <c r="EL224" s="302"/>
      <c r="EM224" s="302"/>
      <c r="EN224" s="302"/>
      <c r="EO224" s="302"/>
      <c r="EP224" s="302"/>
      <c r="EQ224" s="302"/>
      <c r="ER224" s="302"/>
      <c r="ES224" s="302"/>
      <c r="ET224" s="302"/>
      <c r="EU224" s="302"/>
      <c r="EV224" s="302"/>
      <c r="EW224" s="302"/>
      <c r="EX224" s="302"/>
      <c r="EY224" s="302"/>
      <c r="EZ224" s="302"/>
      <c r="FA224" s="302"/>
      <c r="FB224" s="302"/>
      <c r="FC224" s="302"/>
      <c r="FD224" s="302"/>
      <c r="FE224" s="302"/>
      <c r="FF224" s="302"/>
      <c r="FG224" s="302"/>
      <c r="FH224" s="302"/>
      <c r="FI224" s="302"/>
      <c r="FJ224" s="302"/>
      <c r="FK224" s="302"/>
      <c r="FL224" s="302"/>
      <c r="FM224" s="302"/>
      <c r="FN224" s="302"/>
      <c r="FO224" s="302"/>
      <c r="FP224" s="302"/>
      <c r="FQ224" s="302"/>
      <c r="FR224" s="302"/>
      <c r="FS224" s="302"/>
      <c r="FT224" s="302"/>
      <c r="FU224" s="302"/>
      <c r="FV224" s="302"/>
      <c r="FW224" s="302"/>
      <c r="FX224" s="302"/>
      <c r="FY224" s="302"/>
      <c r="FZ224" s="302"/>
      <c r="GA224" s="302"/>
      <c r="GB224" s="302"/>
      <c r="GC224" s="302"/>
      <c r="GD224" s="302"/>
      <c r="GE224" s="302"/>
      <c r="GF224" s="302"/>
      <c r="GG224" s="302"/>
      <c r="GH224" s="302"/>
      <c r="GI224" s="302"/>
      <c r="GJ224" s="302"/>
      <c r="GK224" s="302"/>
      <c r="GL224" s="302"/>
      <c r="GM224" s="302"/>
      <c r="GN224" s="302"/>
      <c r="GO224" s="302"/>
      <c r="GP224" s="302"/>
      <c r="GQ224" s="302"/>
      <c r="GR224" s="302"/>
      <c r="GS224" s="302"/>
      <c r="GT224" s="302"/>
      <c r="GU224" s="302"/>
      <c r="GV224" s="302"/>
      <c r="GW224" s="302"/>
      <c r="GX224" s="302"/>
      <c r="GY224" s="302"/>
      <c r="GZ224" s="302"/>
      <c r="HA224" s="302"/>
      <c r="HB224" s="302"/>
      <c r="HC224" s="302"/>
      <c r="HD224" s="302"/>
      <c r="HE224" s="302"/>
      <c r="HF224" s="302"/>
      <c r="HG224" s="302"/>
      <c r="HH224" s="302"/>
      <c r="HI224" s="302"/>
      <c r="HJ224" s="302"/>
      <c r="HK224" s="302"/>
      <c r="HL224" s="302"/>
      <c r="HM224" s="302"/>
      <c r="HN224" s="302"/>
      <c r="HO224" s="302"/>
      <c r="HP224" s="302"/>
      <c r="HQ224" s="302"/>
      <c r="HR224" s="302"/>
      <c r="HS224" s="302"/>
      <c r="HT224" s="302"/>
      <c r="HU224" s="302"/>
      <c r="HV224" s="302"/>
      <c r="HW224" s="302"/>
      <c r="HX224" s="302"/>
      <c r="HY224" s="302"/>
      <c r="HZ224" s="302"/>
      <c r="IA224" s="302"/>
      <c r="IB224" s="302"/>
      <c r="IC224" s="302"/>
      <c r="ID224" s="302"/>
      <c r="IE224" s="302"/>
      <c r="IF224" s="302"/>
      <c r="IG224" s="302"/>
      <c r="IH224" s="302"/>
      <c r="II224" s="302"/>
      <c r="IJ224" s="302"/>
      <c r="IK224" s="302"/>
      <c r="IL224" s="302"/>
      <c r="IM224" s="302"/>
      <c r="IN224" s="302"/>
      <c r="IO224" s="302"/>
      <c r="IP224" s="302"/>
      <c r="IQ224" s="302"/>
      <c r="IR224" s="302"/>
      <c r="IS224" s="302"/>
      <c r="IT224" s="302"/>
      <c r="IU224" s="302"/>
      <c r="IV224" s="302"/>
      <c r="IW224" s="302"/>
      <c r="IX224" s="302"/>
      <c r="IY224" s="302"/>
      <c r="IZ224" s="302"/>
      <c r="JA224" s="302"/>
      <c r="JB224" s="302"/>
      <c r="JC224" s="302"/>
      <c r="JD224" s="302"/>
      <c r="JE224" s="302"/>
      <c r="JF224" s="302"/>
      <c r="JG224" s="302"/>
      <c r="JH224" s="302"/>
      <c r="JI224" s="302"/>
      <c r="JJ224" s="302"/>
      <c r="JK224" s="302"/>
      <c r="JL224" s="302"/>
      <c r="JM224" s="302"/>
      <c r="JN224" s="302"/>
      <c r="JO224" s="302"/>
      <c r="JP224" s="302"/>
      <c r="JQ224" s="302"/>
      <c r="JR224" s="302"/>
      <c r="JS224" s="302"/>
      <c r="JT224" s="302"/>
      <c r="JU224" s="302"/>
      <c r="JV224" s="302"/>
      <c r="JW224" s="302"/>
      <c r="JX224" s="302"/>
      <c r="JY224" s="302"/>
      <c r="JZ224" s="302"/>
      <c r="KA224" s="302"/>
      <c r="KB224" s="302"/>
      <c r="KC224" s="302"/>
      <c r="KD224" s="302"/>
      <c r="KE224" s="302"/>
      <c r="KF224" s="302"/>
      <c r="KG224" s="302"/>
      <c r="KH224" s="302"/>
      <c r="KI224" s="302"/>
      <c r="KJ224" s="302"/>
      <c r="KK224" s="302"/>
      <c r="KL224" s="302"/>
      <c r="KM224" s="302"/>
      <c r="KN224" s="302"/>
      <c r="KO224" s="302"/>
      <c r="KP224" s="302"/>
      <c r="KQ224" s="302"/>
      <c r="KR224" s="302"/>
      <c r="KS224" s="302"/>
      <c r="KT224" s="302"/>
      <c r="KU224" s="302"/>
      <c r="KV224" s="302"/>
      <c r="KW224" s="302"/>
      <c r="KX224" s="302"/>
      <c r="KY224" s="302"/>
      <c r="KZ224" s="302"/>
      <c r="LA224" s="302"/>
      <c r="LB224" s="302"/>
      <c r="LC224" s="302"/>
      <c r="LD224" s="302"/>
      <c r="LE224" s="302"/>
      <c r="LF224" s="302"/>
      <c r="LG224" s="302"/>
      <c r="LH224" s="302"/>
      <c r="LI224" s="302"/>
      <c r="LJ224" s="302"/>
      <c r="LK224" s="302"/>
      <c r="LL224" s="302"/>
      <c r="LM224" s="302"/>
      <c r="LN224" s="302"/>
      <c r="LO224" s="302"/>
      <c r="LP224" s="302"/>
      <c r="LQ224" s="302"/>
      <c r="LR224" s="302"/>
      <c r="LS224" s="302"/>
      <c r="LT224" s="302"/>
      <c r="LU224" s="302"/>
      <c r="LV224" s="302"/>
      <c r="LW224" s="302"/>
      <c r="LX224" s="302"/>
      <c r="LY224" s="302"/>
      <c r="LZ224" s="302"/>
      <c r="MA224" s="302"/>
      <c r="MB224" s="302"/>
      <c r="MC224" s="302"/>
      <c r="MD224" s="302"/>
      <c r="ME224" s="302"/>
      <c r="MF224" s="302"/>
      <c r="MG224" s="302"/>
      <c r="MH224" s="302"/>
      <c r="MI224" s="302"/>
      <c r="MJ224" s="302"/>
      <c r="MK224" s="302"/>
      <c r="ML224" s="302"/>
      <c r="MM224" s="302"/>
      <c r="MN224" s="302"/>
      <c r="MO224" s="302"/>
      <c r="MP224" s="302"/>
      <c r="MQ224" s="302"/>
      <c r="MR224" s="302"/>
      <c r="MS224" s="302"/>
      <c r="MT224" s="302"/>
      <c r="MU224" s="302"/>
      <c r="MV224" s="302"/>
      <c r="MW224" s="302"/>
      <c r="MX224" s="302"/>
      <c r="MY224" s="302"/>
      <c r="MZ224" s="302"/>
      <c r="NA224" s="302"/>
      <c r="NB224" s="302"/>
      <c r="NC224" s="302"/>
      <c r="ND224" s="302"/>
      <c r="NE224" s="302"/>
      <c r="NF224" s="302"/>
      <c r="NG224" s="302"/>
      <c r="NH224" s="302"/>
      <c r="NI224" s="302"/>
      <c r="NJ224" s="302"/>
      <c r="NK224" s="302"/>
      <c r="NL224" s="302"/>
      <c r="NM224" s="302"/>
      <c r="NN224" s="302"/>
      <c r="NO224" s="302"/>
      <c r="NP224" s="302"/>
      <c r="NQ224" s="302"/>
      <c r="NR224" s="302"/>
      <c r="NS224" s="302"/>
      <c r="NT224" s="302"/>
      <c r="NU224" s="302"/>
      <c r="NV224" s="302"/>
      <c r="NW224" s="302"/>
      <c r="NX224" s="302"/>
      <c r="NY224" s="302"/>
      <c r="NZ224" s="302"/>
      <c r="OA224" s="302"/>
      <c r="OB224" s="302"/>
      <c r="OC224" s="302"/>
      <c r="OD224" s="302"/>
      <c r="OE224" s="302"/>
      <c r="OF224" s="302"/>
      <c r="OG224" s="302"/>
      <c r="OH224" s="302"/>
      <c r="OI224" s="302"/>
      <c r="OJ224" s="302"/>
      <c r="OK224" s="302"/>
      <c r="OL224" s="302"/>
      <c r="OM224" s="302"/>
      <c r="ON224" s="302"/>
      <c r="OO224" s="302"/>
      <c r="OP224" s="302"/>
      <c r="OQ224" s="302"/>
      <c r="OR224" s="302"/>
      <c r="OS224" s="302"/>
      <c r="OT224" s="302"/>
      <c r="OU224" s="302"/>
      <c r="OV224" s="302"/>
      <c r="OW224" s="302"/>
      <c r="OX224" s="302"/>
      <c r="OY224" s="302"/>
      <c r="OZ224" s="302"/>
      <c r="PA224" s="302"/>
      <c r="PB224" s="302"/>
      <c r="PC224" s="302"/>
      <c r="PD224" s="302"/>
      <c r="PE224" s="302"/>
      <c r="PF224" s="302"/>
      <c r="PG224" s="302"/>
      <c r="PH224" s="302"/>
      <c r="PI224" s="302"/>
      <c r="PJ224" s="302"/>
      <c r="PK224" s="302"/>
      <c r="PL224" s="302"/>
      <c r="PM224" s="302"/>
      <c r="PN224" s="302"/>
      <c r="PO224" s="302"/>
      <c r="PP224" s="302"/>
      <c r="PQ224" s="302"/>
      <c r="PR224" s="302"/>
      <c r="PS224" s="302"/>
      <c r="PT224" s="302"/>
      <c r="PU224" s="302"/>
      <c r="PV224" s="302"/>
      <c r="PW224" s="302"/>
      <c r="PX224" s="302"/>
      <c r="PY224" s="302"/>
      <c r="PZ224" s="302"/>
      <c r="QA224" s="302"/>
      <c r="QB224" s="302"/>
      <c r="QC224" s="302"/>
      <c r="QD224" s="302"/>
      <c r="QE224" s="302"/>
      <c r="QF224" s="302"/>
      <c r="QG224" s="302"/>
      <c r="QH224" s="302"/>
      <c r="QI224" s="302"/>
      <c r="QJ224" s="302"/>
      <c r="QK224" s="302"/>
      <c r="QL224" s="302"/>
      <c r="QM224" s="302"/>
      <c r="QN224" s="302"/>
      <c r="QO224" s="302"/>
      <c r="QP224" s="302"/>
      <c r="QQ224" s="302"/>
      <c r="QR224" s="302"/>
      <c r="QS224" s="302"/>
      <c r="QT224" s="302"/>
      <c r="QU224" s="302"/>
      <c r="QV224" s="302"/>
      <c r="QW224" s="302"/>
      <c r="QX224" s="302"/>
      <c r="QY224" s="302"/>
      <c r="QZ224" s="302"/>
      <c r="RA224" s="302"/>
      <c r="RB224" s="302"/>
      <c r="RC224" s="302"/>
      <c r="RD224" s="302"/>
      <c r="RE224" s="302"/>
      <c r="RF224" s="302"/>
      <c r="RG224" s="302"/>
      <c r="RH224" s="302"/>
      <c r="RI224" s="302"/>
      <c r="RJ224" s="302"/>
      <c r="RK224" s="302"/>
      <c r="RL224" s="302"/>
      <c r="RM224" s="302"/>
      <c r="RN224" s="302"/>
      <c r="RO224" s="302"/>
      <c r="RP224" s="302"/>
      <c r="RQ224" s="302"/>
      <c r="RR224" s="302"/>
      <c r="RS224" s="302"/>
      <c r="RT224" s="302"/>
      <c r="RU224" s="302"/>
      <c r="RV224" s="302"/>
      <c r="RW224" s="302"/>
      <c r="RX224" s="302"/>
      <c r="RY224" s="302"/>
      <c r="RZ224" s="302"/>
      <c r="SA224" s="302"/>
      <c r="SB224" s="302"/>
      <c r="SC224" s="302"/>
      <c r="SD224" s="302"/>
      <c r="SE224" s="302"/>
      <c r="SF224" s="302"/>
      <c r="SG224" s="302"/>
      <c r="SH224" s="302"/>
      <c r="SI224" s="302"/>
      <c r="SJ224" s="302"/>
      <c r="SK224" s="302"/>
      <c r="SL224" s="302"/>
      <c r="SM224" s="302"/>
      <c r="SN224" s="302"/>
      <c r="SO224" s="302"/>
      <c r="SP224" s="302"/>
      <c r="SQ224" s="302"/>
      <c r="SR224" s="302"/>
      <c r="SS224" s="302"/>
      <c r="ST224" s="302"/>
      <c r="SU224" s="302"/>
      <c r="SV224" s="302"/>
      <c r="SW224" s="302"/>
      <c r="SX224" s="302"/>
      <c r="SY224" s="302"/>
      <c r="SZ224" s="302"/>
      <c r="TA224" s="302"/>
      <c r="TB224" s="302"/>
      <c r="TC224" s="302"/>
      <c r="TD224" s="302"/>
      <c r="TE224" s="302"/>
      <c r="TF224" s="302"/>
      <c r="TG224" s="302"/>
      <c r="TH224" s="302"/>
      <c r="TI224" s="302"/>
      <c r="TJ224" s="302"/>
      <c r="TK224" s="302"/>
      <c r="TL224" s="302"/>
      <c r="TM224" s="302"/>
      <c r="TN224" s="302"/>
      <c r="TO224" s="302"/>
      <c r="TP224" s="302"/>
      <c r="TQ224" s="302"/>
      <c r="TR224" s="302"/>
      <c r="TS224" s="302"/>
      <c r="TT224" s="302"/>
      <c r="TU224" s="302"/>
      <c r="TV224" s="302"/>
      <c r="TW224" s="302"/>
      <c r="TX224" s="302"/>
      <c r="TY224" s="302"/>
      <c r="TZ224" s="302"/>
      <c r="UA224" s="302"/>
      <c r="UB224" s="302"/>
      <c r="UC224" s="302"/>
      <c r="UD224" s="302"/>
      <c r="UE224" s="302"/>
      <c r="UF224" s="302"/>
      <c r="UG224" s="302"/>
      <c r="UH224" s="302"/>
      <c r="UI224" s="302"/>
      <c r="UJ224" s="302"/>
      <c r="UK224" s="302"/>
      <c r="UL224" s="302"/>
      <c r="UM224" s="302"/>
      <c r="UN224" s="302"/>
      <c r="UO224" s="302"/>
      <c r="UP224" s="302"/>
      <c r="UQ224" s="302"/>
      <c r="UR224" s="302"/>
      <c r="US224" s="302"/>
      <c r="UT224" s="302"/>
      <c r="UU224" s="302"/>
      <c r="UV224" s="302"/>
      <c r="UW224" s="302"/>
      <c r="UX224" s="302"/>
      <c r="UY224" s="302"/>
      <c r="UZ224" s="302"/>
      <c r="VA224" s="302"/>
      <c r="VB224" s="302"/>
      <c r="VC224" s="302"/>
      <c r="VD224" s="302"/>
      <c r="VE224" s="302"/>
      <c r="VF224" s="302"/>
      <c r="VG224" s="302"/>
      <c r="VH224" s="302"/>
      <c r="VI224" s="302"/>
      <c r="VJ224" s="302"/>
      <c r="VK224" s="302"/>
      <c r="VL224" s="302"/>
      <c r="VM224" s="302"/>
      <c r="VN224" s="302"/>
      <c r="VO224" s="302"/>
      <c r="VP224" s="302"/>
      <c r="VQ224" s="302"/>
      <c r="VR224" s="302"/>
      <c r="VS224" s="302"/>
      <c r="VT224" s="302"/>
      <c r="VU224" s="302"/>
      <c r="VV224" s="302"/>
      <c r="VW224" s="302"/>
      <c r="VX224" s="302"/>
      <c r="VY224" s="302"/>
      <c r="VZ224" s="302"/>
      <c r="WA224" s="302"/>
      <c r="WB224" s="302"/>
      <c r="WC224" s="302"/>
      <c r="WD224" s="302"/>
      <c r="WE224" s="302"/>
      <c r="WF224" s="302"/>
      <c r="WG224" s="302"/>
      <c r="WH224" s="302"/>
      <c r="WI224" s="302"/>
      <c r="WJ224" s="302"/>
      <c r="WK224" s="302"/>
      <c r="WL224" s="302"/>
      <c r="WM224" s="302"/>
      <c r="WN224" s="302"/>
      <c r="WO224" s="302"/>
      <c r="WP224" s="302"/>
      <c r="WQ224" s="302"/>
      <c r="WR224" s="302"/>
      <c r="WS224" s="302"/>
      <c r="WT224" s="302"/>
      <c r="WU224" s="302"/>
      <c r="WV224" s="302"/>
      <c r="WW224" s="302"/>
      <c r="WX224" s="302"/>
      <c r="WY224" s="302"/>
      <c r="WZ224" s="302"/>
      <c r="XA224" s="302"/>
      <c r="XB224" s="302"/>
      <c r="XC224" s="302"/>
      <c r="XD224" s="302"/>
      <c r="XE224" s="302"/>
      <c r="XF224" s="302"/>
      <c r="XG224" s="302"/>
      <c r="XH224" s="302"/>
      <c r="XI224" s="302"/>
      <c r="XJ224" s="302"/>
      <c r="XK224" s="302"/>
      <c r="XL224" s="302"/>
      <c r="XM224" s="302"/>
      <c r="XN224" s="302"/>
      <c r="XO224" s="302"/>
      <c r="XP224" s="302"/>
      <c r="XQ224" s="302"/>
      <c r="XR224" s="302"/>
      <c r="XS224" s="302"/>
      <c r="XT224" s="302"/>
      <c r="XU224" s="302"/>
      <c r="XV224" s="302"/>
      <c r="XW224" s="302"/>
      <c r="XX224" s="302"/>
      <c r="XY224" s="302"/>
      <c r="XZ224" s="302"/>
      <c r="YA224" s="302"/>
      <c r="YB224" s="302"/>
      <c r="YC224" s="302"/>
      <c r="YD224" s="302"/>
      <c r="YE224" s="302"/>
      <c r="YF224" s="302"/>
      <c r="YG224" s="302"/>
      <c r="YH224" s="302"/>
      <c r="YI224" s="302"/>
      <c r="YJ224" s="302"/>
      <c r="YK224" s="302"/>
      <c r="YL224" s="302"/>
      <c r="YM224" s="302"/>
      <c r="YN224" s="302"/>
      <c r="YO224" s="302"/>
      <c r="YP224" s="302"/>
      <c r="YQ224" s="302"/>
      <c r="YR224" s="302"/>
      <c r="YS224" s="302"/>
      <c r="YT224" s="302"/>
      <c r="YU224" s="302"/>
      <c r="YV224" s="302"/>
      <c r="YW224" s="302"/>
      <c r="YX224" s="302"/>
      <c r="YY224" s="302"/>
      <c r="YZ224" s="302"/>
      <c r="ZA224" s="302"/>
      <c r="ZB224" s="302"/>
      <c r="ZC224" s="302"/>
      <c r="ZD224" s="302"/>
      <c r="ZE224" s="302"/>
      <c r="ZF224" s="302"/>
      <c r="ZG224" s="302"/>
      <c r="ZH224" s="302"/>
      <c r="ZI224" s="302"/>
      <c r="ZJ224" s="302"/>
      <c r="ZK224" s="302"/>
      <c r="ZL224" s="302"/>
      <c r="ZM224" s="302"/>
      <c r="ZN224" s="302"/>
      <c r="ZO224" s="302"/>
      <c r="ZP224" s="302"/>
      <c r="ZQ224" s="302"/>
      <c r="ZR224" s="302"/>
      <c r="ZS224" s="302"/>
      <c r="ZT224" s="302"/>
      <c r="ZU224" s="302"/>
      <c r="ZV224" s="302"/>
      <c r="ZW224" s="302"/>
      <c r="ZX224" s="302"/>
      <c r="ZY224" s="302"/>
      <c r="ZZ224" s="302"/>
      <c r="AAA224" s="302"/>
      <c r="AAB224" s="302"/>
      <c r="AAC224" s="302"/>
      <c r="AAD224" s="302"/>
      <c r="AAE224" s="302"/>
      <c r="AAF224" s="302"/>
      <c r="AAG224" s="302"/>
      <c r="AAH224" s="302"/>
      <c r="AAI224" s="302"/>
      <c r="AAJ224" s="302"/>
      <c r="AAK224" s="302"/>
      <c r="AAL224" s="302"/>
      <c r="AAM224" s="302"/>
      <c r="AAN224" s="302"/>
      <c r="AAO224" s="302"/>
      <c r="AAP224" s="302"/>
      <c r="AAQ224" s="302"/>
      <c r="AAR224" s="302"/>
      <c r="AAS224" s="302"/>
      <c r="AAT224" s="302"/>
      <c r="AAU224" s="302"/>
      <c r="AAV224" s="302"/>
      <c r="AAW224" s="302"/>
      <c r="AAX224" s="302"/>
      <c r="AAY224" s="302"/>
      <c r="AAZ224" s="302"/>
      <c r="ABA224" s="302"/>
      <c r="ABB224" s="302"/>
      <c r="ABC224" s="302"/>
      <c r="ABD224" s="302"/>
      <c r="ABE224" s="302"/>
      <c r="ABF224" s="302"/>
      <c r="ABG224" s="302"/>
      <c r="ABH224" s="302"/>
      <c r="ABI224" s="302"/>
      <c r="ABJ224" s="302"/>
      <c r="ABK224" s="302"/>
      <c r="ABL224" s="302"/>
      <c r="ABM224" s="302"/>
      <c r="ABN224" s="302"/>
      <c r="ABO224" s="302"/>
      <c r="ABP224" s="302"/>
      <c r="ABQ224" s="302"/>
      <c r="ABR224" s="302"/>
      <c r="ABS224" s="302"/>
      <c r="ABT224" s="302"/>
      <c r="ABU224" s="302"/>
      <c r="ABV224" s="302"/>
      <c r="ABW224" s="302"/>
      <c r="ABX224" s="302"/>
      <c r="ABY224" s="302"/>
      <c r="ABZ224" s="302"/>
      <c r="ACA224" s="302"/>
      <c r="ACB224" s="302"/>
      <c r="ACC224" s="302"/>
      <c r="ACD224" s="302"/>
      <c r="ACE224" s="302"/>
      <c r="ACF224" s="302"/>
      <c r="ACG224" s="302"/>
      <c r="ACH224" s="302"/>
      <c r="ACI224" s="302"/>
      <c r="ACJ224" s="302"/>
      <c r="ACK224" s="302"/>
      <c r="ACL224" s="302"/>
      <c r="ACM224" s="302"/>
      <c r="ACN224" s="302"/>
      <c r="ACO224" s="302"/>
      <c r="ACP224" s="302"/>
      <c r="ACQ224" s="302"/>
      <c r="ACR224" s="302"/>
      <c r="ACS224" s="302"/>
      <c r="ACT224" s="302"/>
      <c r="ACU224" s="302"/>
      <c r="ACV224" s="302"/>
      <c r="ACW224" s="302"/>
      <c r="ACX224" s="302"/>
      <c r="ACY224" s="302"/>
      <c r="ACZ224" s="302"/>
      <c r="ADA224" s="302"/>
      <c r="ADB224" s="302"/>
      <c r="ADC224" s="302"/>
      <c r="ADD224" s="302"/>
      <c r="ADE224" s="302"/>
      <c r="ADF224" s="302"/>
      <c r="ADG224" s="302"/>
      <c r="ADH224" s="302"/>
      <c r="ADI224" s="302"/>
      <c r="ADJ224" s="302"/>
      <c r="ADK224" s="302"/>
      <c r="ADL224" s="302"/>
      <c r="ADM224" s="302"/>
      <c r="ADN224" s="302"/>
      <c r="ADO224" s="302"/>
      <c r="ADP224" s="302"/>
      <c r="ADQ224" s="302"/>
      <c r="ADR224" s="302"/>
      <c r="ADS224" s="302"/>
      <c r="ADT224" s="302"/>
      <c r="ADU224" s="302"/>
      <c r="ADV224" s="302"/>
      <c r="ADW224" s="302"/>
      <c r="ADX224" s="302"/>
      <c r="ADY224" s="302"/>
      <c r="ADZ224" s="302"/>
      <c r="AEA224" s="302"/>
      <c r="AEB224" s="302"/>
      <c r="AEC224" s="302"/>
      <c r="AED224" s="302"/>
      <c r="AEE224" s="302"/>
      <c r="AEF224" s="302"/>
      <c r="AEG224" s="302"/>
      <c r="AEH224" s="302"/>
      <c r="AEI224" s="302"/>
      <c r="AEJ224" s="302"/>
      <c r="AEK224" s="302"/>
      <c r="AEL224" s="302"/>
      <c r="AEM224" s="302"/>
      <c r="AEN224" s="302"/>
      <c r="AEO224" s="302"/>
      <c r="AEP224" s="302"/>
      <c r="AEQ224" s="302"/>
      <c r="AER224" s="302"/>
      <c r="AES224" s="302"/>
      <c r="AET224" s="302"/>
      <c r="AEU224" s="302"/>
      <c r="AEV224" s="302"/>
      <c r="AEW224" s="302"/>
      <c r="AEX224" s="302"/>
      <c r="AEY224" s="302"/>
      <c r="AEZ224" s="302"/>
      <c r="AFA224" s="302"/>
      <c r="AFB224" s="302"/>
      <c r="AFC224" s="302"/>
      <c r="AFD224" s="302"/>
      <c r="AFE224" s="302"/>
      <c r="AFF224" s="302"/>
      <c r="AFG224" s="302"/>
      <c r="AFH224" s="302"/>
      <c r="AFI224" s="302"/>
      <c r="AFJ224" s="302"/>
      <c r="AFK224" s="302"/>
      <c r="AFL224" s="302"/>
      <c r="AFM224" s="302"/>
      <c r="AFN224" s="302"/>
      <c r="AFO224" s="302"/>
      <c r="AFP224" s="302"/>
      <c r="AFQ224" s="302"/>
      <c r="AFR224" s="302"/>
      <c r="AFS224" s="302"/>
      <c r="AFT224" s="302"/>
      <c r="AFU224" s="302"/>
      <c r="AFV224" s="302"/>
      <c r="AFW224" s="302"/>
      <c r="AFX224" s="302"/>
      <c r="AFY224" s="302"/>
      <c r="AFZ224" s="302"/>
      <c r="AGA224" s="302"/>
      <c r="AGB224" s="302"/>
      <c r="AGC224" s="302"/>
      <c r="AGD224" s="302"/>
      <c r="AGE224" s="302"/>
      <c r="AGF224" s="302"/>
      <c r="AGG224" s="302"/>
      <c r="AGH224" s="302"/>
      <c r="AGI224" s="302"/>
      <c r="AGJ224" s="302"/>
      <c r="AGK224" s="302"/>
      <c r="AGL224" s="302"/>
      <c r="AGM224" s="302"/>
      <c r="AGN224" s="302"/>
      <c r="AGO224" s="302"/>
      <c r="AGP224" s="302"/>
      <c r="AGQ224" s="302"/>
      <c r="AGR224" s="302"/>
      <c r="AGS224" s="302"/>
      <c r="AGT224" s="302"/>
      <c r="AGU224" s="302"/>
      <c r="AGV224" s="302"/>
      <c r="AGW224" s="302"/>
      <c r="AGX224" s="302"/>
      <c r="AGY224" s="302"/>
      <c r="AGZ224" s="302"/>
      <c r="AHA224" s="302"/>
      <c r="AHB224" s="302"/>
      <c r="AHC224" s="302"/>
      <c r="AHD224" s="302"/>
      <c r="AHE224" s="302"/>
      <c r="AHF224" s="302"/>
      <c r="AHG224" s="302"/>
      <c r="AHH224" s="302"/>
      <c r="AHI224" s="302"/>
      <c r="AHJ224" s="302"/>
      <c r="AHK224" s="302"/>
      <c r="AHL224" s="302"/>
      <c r="AHM224" s="302"/>
      <c r="AHN224" s="302"/>
      <c r="AHO224" s="302"/>
      <c r="AHP224" s="302"/>
      <c r="AHQ224" s="302"/>
      <c r="AHR224" s="302"/>
      <c r="AHS224" s="302"/>
      <c r="AHT224" s="302"/>
      <c r="AHU224" s="302"/>
      <c r="AHV224" s="302"/>
      <c r="AHW224" s="302"/>
      <c r="AHX224" s="302"/>
      <c r="AHY224" s="302"/>
      <c r="AHZ224" s="302"/>
      <c r="AIA224" s="302"/>
      <c r="AIB224" s="302"/>
      <c r="AIC224" s="302"/>
      <c r="AID224" s="302"/>
      <c r="AIE224" s="302"/>
      <c r="AIF224" s="302"/>
      <c r="AIG224" s="302"/>
      <c r="AIH224" s="302"/>
      <c r="AII224" s="302"/>
      <c r="AIJ224" s="302"/>
      <c r="AIK224" s="302"/>
      <c r="AIL224" s="302"/>
      <c r="AIM224" s="302"/>
      <c r="AIN224" s="302"/>
      <c r="AIO224" s="302"/>
      <c r="AIP224" s="302"/>
      <c r="AIQ224" s="302"/>
      <c r="AIR224" s="302"/>
      <c r="AIS224" s="302"/>
      <c r="AIT224" s="302"/>
      <c r="AIU224" s="302"/>
      <c r="AIV224" s="302"/>
      <c r="AIW224" s="302"/>
      <c r="AIX224" s="302"/>
      <c r="AIY224" s="302"/>
      <c r="AIZ224" s="302"/>
      <c r="AJA224" s="302"/>
      <c r="AJB224" s="302"/>
      <c r="AJC224" s="302"/>
      <c r="AJD224" s="302"/>
      <c r="AJE224" s="302"/>
      <c r="AJF224" s="302"/>
      <c r="AJG224" s="302"/>
      <c r="AJH224" s="302"/>
      <c r="AJI224" s="302"/>
      <c r="AJJ224" s="302"/>
      <c r="AJK224" s="302"/>
      <c r="AJL224" s="302"/>
      <c r="AJM224" s="302"/>
      <c r="AJN224" s="302"/>
      <c r="AJO224" s="302"/>
      <c r="AJP224" s="302"/>
      <c r="AJQ224" s="302"/>
      <c r="AJR224" s="302"/>
      <c r="AJS224" s="302"/>
      <c r="AJT224" s="302"/>
      <c r="AJU224" s="302"/>
      <c r="AJV224" s="302"/>
      <c r="AJW224" s="302"/>
      <c r="AJX224" s="302"/>
      <c r="AJY224" s="302"/>
      <c r="AJZ224" s="302"/>
      <c r="AKA224" s="302"/>
      <c r="AKB224" s="302"/>
      <c r="AKC224" s="302"/>
      <c r="AKD224" s="302"/>
      <c r="AKE224" s="302"/>
      <c r="AKF224" s="302"/>
      <c r="AKG224" s="302"/>
      <c r="AKH224" s="302"/>
      <c r="AKI224" s="302"/>
      <c r="AKJ224" s="302"/>
      <c r="AKK224" s="302"/>
      <c r="AKL224" s="302"/>
      <c r="AKM224" s="302"/>
      <c r="AKN224" s="302"/>
      <c r="AKO224" s="302"/>
      <c r="AKP224" s="302"/>
      <c r="AKQ224" s="302"/>
      <c r="AKR224" s="302"/>
      <c r="AKS224" s="302"/>
      <c r="AKT224" s="302"/>
      <c r="AKU224" s="302"/>
      <c r="AKV224" s="302"/>
      <c r="AKW224" s="302"/>
      <c r="AKX224" s="302"/>
      <c r="AKY224" s="302"/>
      <c r="AKZ224" s="302"/>
      <c r="ALA224" s="302"/>
      <c r="ALB224" s="302"/>
      <c r="ALC224" s="302"/>
      <c r="ALD224" s="302"/>
      <c r="ALE224" s="302"/>
      <c r="ALF224" s="302"/>
      <c r="ALG224" s="302"/>
      <c r="ALH224" s="302"/>
      <c r="ALI224" s="302"/>
      <c r="ALJ224" s="302"/>
      <c r="ALK224" s="302"/>
      <c r="ALL224" s="302"/>
      <c r="ALM224" s="302"/>
      <c r="ALN224" s="302"/>
      <c r="ALO224" s="302"/>
      <c r="ALP224" s="302"/>
      <c r="ALQ224" s="302"/>
      <c r="ALR224" s="302"/>
      <c r="ALS224" s="302"/>
      <c r="ALT224" s="302"/>
      <c r="ALU224" s="302"/>
      <c r="ALV224" s="302"/>
      <c r="ALW224" s="302"/>
      <c r="ALX224" s="302"/>
      <c r="ALY224" s="302"/>
      <c r="ALZ224" s="302"/>
      <c r="AMA224" s="302"/>
      <c r="AMB224" s="302"/>
      <c r="AMC224" s="302"/>
      <c r="AMD224" s="302"/>
      <c r="AME224" s="302"/>
      <c r="AMF224" s="302"/>
      <c r="AMG224" s="302"/>
      <c r="AMH224" s="302"/>
      <c r="AMI224" s="302"/>
    </row>
    <row r="225" spans="1:1023" hidden="1">
      <c r="A225" s="302"/>
      <c r="B225" s="442">
        <v>13940</v>
      </c>
      <c r="C225" s="430">
        <v>0.08</v>
      </c>
      <c r="D225" s="370" t="s">
        <v>158</v>
      </c>
      <c r="E225" s="433">
        <v>4000000</v>
      </c>
      <c r="F225" s="500">
        <v>0.04</v>
      </c>
      <c r="G225" s="364">
        <f t="shared" si="12"/>
        <v>160000</v>
      </c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2"/>
      <c r="AE225" s="302"/>
      <c r="AF225" s="302"/>
      <c r="AG225" s="302"/>
      <c r="AH225" s="302"/>
      <c r="AI225" s="302"/>
      <c r="AJ225" s="302"/>
      <c r="AK225" s="302"/>
      <c r="AL225" s="302"/>
      <c r="AM225" s="302"/>
      <c r="AN225" s="302"/>
      <c r="AO225" s="302"/>
      <c r="AP225" s="302"/>
      <c r="AQ225" s="302"/>
      <c r="AR225" s="302"/>
      <c r="AS225" s="302"/>
      <c r="AT225" s="302"/>
      <c r="AU225" s="302"/>
      <c r="AV225" s="302"/>
      <c r="AW225" s="302"/>
      <c r="AX225" s="302"/>
      <c r="AY225" s="302"/>
      <c r="AZ225" s="302"/>
      <c r="BA225" s="302"/>
      <c r="BB225" s="302"/>
      <c r="BC225" s="302"/>
      <c r="BD225" s="302"/>
      <c r="BE225" s="302"/>
      <c r="BF225" s="302"/>
      <c r="BG225" s="302"/>
      <c r="BH225" s="302"/>
      <c r="BI225" s="302"/>
      <c r="BJ225" s="302"/>
      <c r="BK225" s="302"/>
      <c r="BL225" s="302"/>
      <c r="BM225" s="302"/>
      <c r="BN225" s="302"/>
      <c r="BO225" s="302"/>
      <c r="BP225" s="302"/>
      <c r="BQ225" s="302"/>
      <c r="BR225" s="302"/>
      <c r="BS225" s="302"/>
      <c r="BT225" s="302"/>
      <c r="BU225" s="302"/>
      <c r="BV225" s="302"/>
      <c r="BW225" s="302"/>
      <c r="BX225" s="302"/>
      <c r="BY225" s="302"/>
      <c r="BZ225" s="302"/>
      <c r="CA225" s="302"/>
      <c r="CB225" s="302"/>
      <c r="CC225" s="302"/>
      <c r="CD225" s="302"/>
      <c r="CE225" s="302"/>
      <c r="CF225" s="302"/>
      <c r="CG225" s="302"/>
      <c r="CH225" s="302"/>
      <c r="CI225" s="302"/>
      <c r="CJ225" s="302"/>
      <c r="CK225" s="302"/>
      <c r="CL225" s="302"/>
      <c r="CM225" s="302"/>
      <c r="CN225" s="302"/>
      <c r="CO225" s="302"/>
      <c r="CP225" s="302"/>
      <c r="CQ225" s="302"/>
      <c r="CR225" s="302"/>
      <c r="CS225" s="302"/>
      <c r="CT225" s="302"/>
      <c r="CU225" s="302"/>
      <c r="CV225" s="302"/>
      <c r="CW225" s="302"/>
      <c r="CX225" s="302"/>
      <c r="CY225" s="302"/>
      <c r="CZ225" s="302"/>
      <c r="DA225" s="302"/>
      <c r="DB225" s="302"/>
      <c r="DC225" s="302"/>
      <c r="DD225" s="302"/>
      <c r="DE225" s="302"/>
      <c r="DF225" s="302"/>
      <c r="DG225" s="302"/>
      <c r="DH225" s="302"/>
      <c r="DI225" s="302"/>
      <c r="DJ225" s="302"/>
      <c r="DK225" s="302"/>
      <c r="DL225" s="302"/>
      <c r="DM225" s="302"/>
      <c r="DN225" s="302"/>
      <c r="DO225" s="302"/>
      <c r="DP225" s="302"/>
      <c r="DQ225" s="302"/>
      <c r="DR225" s="302"/>
      <c r="DS225" s="302"/>
      <c r="DT225" s="302"/>
      <c r="DU225" s="302"/>
      <c r="DV225" s="302"/>
      <c r="DW225" s="302"/>
      <c r="DX225" s="302"/>
      <c r="DY225" s="302"/>
      <c r="DZ225" s="302"/>
      <c r="EA225" s="302"/>
      <c r="EB225" s="302"/>
      <c r="EC225" s="302"/>
      <c r="ED225" s="302"/>
      <c r="EE225" s="302"/>
      <c r="EF225" s="302"/>
      <c r="EG225" s="302"/>
      <c r="EH225" s="302"/>
      <c r="EI225" s="302"/>
      <c r="EJ225" s="302"/>
      <c r="EK225" s="302"/>
      <c r="EL225" s="302"/>
      <c r="EM225" s="302"/>
      <c r="EN225" s="302"/>
      <c r="EO225" s="302"/>
      <c r="EP225" s="302"/>
      <c r="EQ225" s="302"/>
      <c r="ER225" s="302"/>
      <c r="ES225" s="302"/>
      <c r="ET225" s="302"/>
      <c r="EU225" s="302"/>
      <c r="EV225" s="302"/>
      <c r="EW225" s="302"/>
      <c r="EX225" s="302"/>
      <c r="EY225" s="302"/>
      <c r="EZ225" s="302"/>
      <c r="FA225" s="302"/>
      <c r="FB225" s="302"/>
      <c r="FC225" s="302"/>
      <c r="FD225" s="302"/>
      <c r="FE225" s="302"/>
      <c r="FF225" s="302"/>
      <c r="FG225" s="302"/>
      <c r="FH225" s="302"/>
      <c r="FI225" s="302"/>
      <c r="FJ225" s="302"/>
      <c r="FK225" s="302"/>
      <c r="FL225" s="302"/>
      <c r="FM225" s="302"/>
      <c r="FN225" s="302"/>
      <c r="FO225" s="302"/>
      <c r="FP225" s="302"/>
      <c r="FQ225" s="302"/>
      <c r="FR225" s="302"/>
      <c r="FS225" s="302"/>
      <c r="FT225" s="302"/>
      <c r="FU225" s="302"/>
      <c r="FV225" s="302"/>
      <c r="FW225" s="302"/>
      <c r="FX225" s="302"/>
      <c r="FY225" s="302"/>
      <c r="FZ225" s="302"/>
      <c r="GA225" s="302"/>
      <c r="GB225" s="302"/>
      <c r="GC225" s="302"/>
      <c r="GD225" s="302"/>
      <c r="GE225" s="302"/>
      <c r="GF225" s="302"/>
      <c r="GG225" s="302"/>
      <c r="GH225" s="302"/>
      <c r="GI225" s="302"/>
      <c r="GJ225" s="302"/>
      <c r="GK225" s="302"/>
      <c r="GL225" s="302"/>
      <c r="GM225" s="302"/>
      <c r="GN225" s="302"/>
      <c r="GO225" s="302"/>
      <c r="GP225" s="302"/>
      <c r="GQ225" s="302"/>
      <c r="GR225" s="302"/>
      <c r="GS225" s="302"/>
      <c r="GT225" s="302"/>
      <c r="GU225" s="302"/>
      <c r="GV225" s="302"/>
      <c r="GW225" s="302"/>
      <c r="GX225" s="302"/>
      <c r="GY225" s="302"/>
      <c r="GZ225" s="302"/>
      <c r="HA225" s="302"/>
      <c r="HB225" s="302"/>
      <c r="HC225" s="302"/>
      <c r="HD225" s="302"/>
      <c r="HE225" s="302"/>
      <c r="HF225" s="302"/>
      <c r="HG225" s="302"/>
      <c r="HH225" s="302"/>
      <c r="HI225" s="302"/>
      <c r="HJ225" s="302"/>
      <c r="HK225" s="302"/>
      <c r="HL225" s="302"/>
      <c r="HM225" s="302"/>
      <c r="HN225" s="302"/>
      <c r="HO225" s="302"/>
      <c r="HP225" s="302"/>
      <c r="HQ225" s="302"/>
      <c r="HR225" s="302"/>
      <c r="HS225" s="302"/>
      <c r="HT225" s="302"/>
      <c r="HU225" s="302"/>
      <c r="HV225" s="302"/>
      <c r="HW225" s="302"/>
      <c r="HX225" s="302"/>
      <c r="HY225" s="302"/>
      <c r="HZ225" s="302"/>
      <c r="IA225" s="302"/>
      <c r="IB225" s="302"/>
      <c r="IC225" s="302"/>
      <c r="ID225" s="302"/>
      <c r="IE225" s="302"/>
      <c r="IF225" s="302"/>
      <c r="IG225" s="302"/>
      <c r="IH225" s="302"/>
      <c r="II225" s="302"/>
      <c r="IJ225" s="302"/>
      <c r="IK225" s="302"/>
      <c r="IL225" s="302"/>
      <c r="IM225" s="302"/>
      <c r="IN225" s="302"/>
      <c r="IO225" s="302"/>
      <c r="IP225" s="302"/>
      <c r="IQ225" s="302"/>
      <c r="IR225" s="302"/>
      <c r="IS225" s="302"/>
      <c r="IT225" s="302"/>
      <c r="IU225" s="302"/>
      <c r="IV225" s="302"/>
      <c r="IW225" s="302"/>
      <c r="IX225" s="302"/>
      <c r="IY225" s="302"/>
      <c r="IZ225" s="302"/>
      <c r="JA225" s="302"/>
      <c r="JB225" s="302"/>
      <c r="JC225" s="302"/>
      <c r="JD225" s="302"/>
      <c r="JE225" s="302"/>
      <c r="JF225" s="302"/>
      <c r="JG225" s="302"/>
      <c r="JH225" s="302"/>
      <c r="JI225" s="302"/>
      <c r="JJ225" s="302"/>
      <c r="JK225" s="302"/>
      <c r="JL225" s="302"/>
      <c r="JM225" s="302"/>
      <c r="JN225" s="302"/>
      <c r="JO225" s="302"/>
      <c r="JP225" s="302"/>
      <c r="JQ225" s="302"/>
      <c r="JR225" s="302"/>
      <c r="JS225" s="302"/>
      <c r="JT225" s="302"/>
      <c r="JU225" s="302"/>
      <c r="JV225" s="302"/>
      <c r="JW225" s="302"/>
      <c r="JX225" s="302"/>
      <c r="JY225" s="302"/>
      <c r="JZ225" s="302"/>
      <c r="KA225" s="302"/>
      <c r="KB225" s="302"/>
      <c r="KC225" s="302"/>
      <c r="KD225" s="302"/>
      <c r="KE225" s="302"/>
      <c r="KF225" s="302"/>
      <c r="KG225" s="302"/>
      <c r="KH225" s="302"/>
      <c r="KI225" s="302"/>
      <c r="KJ225" s="302"/>
      <c r="KK225" s="302"/>
      <c r="KL225" s="302"/>
      <c r="KM225" s="302"/>
      <c r="KN225" s="302"/>
      <c r="KO225" s="302"/>
      <c r="KP225" s="302"/>
      <c r="KQ225" s="302"/>
      <c r="KR225" s="302"/>
      <c r="KS225" s="302"/>
      <c r="KT225" s="302"/>
      <c r="KU225" s="302"/>
      <c r="KV225" s="302"/>
      <c r="KW225" s="302"/>
      <c r="KX225" s="302"/>
      <c r="KY225" s="302"/>
      <c r="KZ225" s="302"/>
      <c r="LA225" s="302"/>
      <c r="LB225" s="302"/>
      <c r="LC225" s="302"/>
      <c r="LD225" s="302"/>
      <c r="LE225" s="302"/>
      <c r="LF225" s="302"/>
      <c r="LG225" s="302"/>
      <c r="LH225" s="302"/>
      <c r="LI225" s="302"/>
      <c r="LJ225" s="302"/>
      <c r="LK225" s="302"/>
      <c r="LL225" s="302"/>
      <c r="LM225" s="302"/>
      <c r="LN225" s="302"/>
      <c r="LO225" s="302"/>
      <c r="LP225" s="302"/>
      <c r="LQ225" s="302"/>
      <c r="LR225" s="302"/>
      <c r="LS225" s="302"/>
      <c r="LT225" s="302"/>
      <c r="LU225" s="302"/>
      <c r="LV225" s="302"/>
      <c r="LW225" s="302"/>
      <c r="LX225" s="302"/>
      <c r="LY225" s="302"/>
      <c r="LZ225" s="302"/>
      <c r="MA225" s="302"/>
      <c r="MB225" s="302"/>
      <c r="MC225" s="302"/>
      <c r="MD225" s="302"/>
      <c r="ME225" s="302"/>
      <c r="MF225" s="302"/>
      <c r="MG225" s="302"/>
      <c r="MH225" s="302"/>
      <c r="MI225" s="302"/>
      <c r="MJ225" s="302"/>
      <c r="MK225" s="302"/>
      <c r="ML225" s="302"/>
      <c r="MM225" s="302"/>
      <c r="MN225" s="302"/>
      <c r="MO225" s="302"/>
      <c r="MP225" s="302"/>
      <c r="MQ225" s="302"/>
      <c r="MR225" s="302"/>
      <c r="MS225" s="302"/>
      <c r="MT225" s="302"/>
      <c r="MU225" s="302"/>
      <c r="MV225" s="302"/>
      <c r="MW225" s="302"/>
      <c r="MX225" s="302"/>
      <c r="MY225" s="302"/>
      <c r="MZ225" s="302"/>
      <c r="NA225" s="302"/>
      <c r="NB225" s="302"/>
      <c r="NC225" s="302"/>
      <c r="ND225" s="302"/>
      <c r="NE225" s="302"/>
      <c r="NF225" s="302"/>
      <c r="NG225" s="302"/>
      <c r="NH225" s="302"/>
      <c r="NI225" s="302"/>
      <c r="NJ225" s="302"/>
      <c r="NK225" s="302"/>
      <c r="NL225" s="302"/>
      <c r="NM225" s="302"/>
      <c r="NN225" s="302"/>
      <c r="NO225" s="302"/>
      <c r="NP225" s="302"/>
      <c r="NQ225" s="302"/>
      <c r="NR225" s="302"/>
      <c r="NS225" s="302"/>
      <c r="NT225" s="302"/>
      <c r="NU225" s="302"/>
      <c r="NV225" s="302"/>
      <c r="NW225" s="302"/>
      <c r="NX225" s="302"/>
      <c r="NY225" s="302"/>
      <c r="NZ225" s="302"/>
      <c r="OA225" s="302"/>
      <c r="OB225" s="302"/>
      <c r="OC225" s="302"/>
      <c r="OD225" s="302"/>
      <c r="OE225" s="302"/>
      <c r="OF225" s="302"/>
      <c r="OG225" s="302"/>
      <c r="OH225" s="302"/>
      <c r="OI225" s="302"/>
      <c r="OJ225" s="302"/>
      <c r="OK225" s="302"/>
      <c r="OL225" s="302"/>
      <c r="OM225" s="302"/>
      <c r="ON225" s="302"/>
      <c r="OO225" s="302"/>
      <c r="OP225" s="302"/>
      <c r="OQ225" s="302"/>
      <c r="OR225" s="302"/>
      <c r="OS225" s="302"/>
      <c r="OT225" s="302"/>
      <c r="OU225" s="302"/>
      <c r="OV225" s="302"/>
      <c r="OW225" s="302"/>
      <c r="OX225" s="302"/>
      <c r="OY225" s="302"/>
      <c r="OZ225" s="302"/>
      <c r="PA225" s="302"/>
      <c r="PB225" s="302"/>
      <c r="PC225" s="302"/>
      <c r="PD225" s="302"/>
      <c r="PE225" s="302"/>
      <c r="PF225" s="302"/>
      <c r="PG225" s="302"/>
      <c r="PH225" s="302"/>
      <c r="PI225" s="302"/>
      <c r="PJ225" s="302"/>
      <c r="PK225" s="302"/>
      <c r="PL225" s="302"/>
      <c r="PM225" s="302"/>
      <c r="PN225" s="302"/>
      <c r="PO225" s="302"/>
      <c r="PP225" s="302"/>
      <c r="PQ225" s="302"/>
      <c r="PR225" s="302"/>
      <c r="PS225" s="302"/>
      <c r="PT225" s="302"/>
      <c r="PU225" s="302"/>
      <c r="PV225" s="302"/>
      <c r="PW225" s="302"/>
      <c r="PX225" s="302"/>
      <c r="PY225" s="302"/>
      <c r="PZ225" s="302"/>
      <c r="QA225" s="302"/>
      <c r="QB225" s="302"/>
      <c r="QC225" s="302"/>
      <c r="QD225" s="302"/>
      <c r="QE225" s="302"/>
      <c r="QF225" s="302"/>
      <c r="QG225" s="302"/>
      <c r="QH225" s="302"/>
      <c r="QI225" s="302"/>
      <c r="QJ225" s="302"/>
      <c r="QK225" s="302"/>
      <c r="QL225" s="302"/>
      <c r="QM225" s="302"/>
      <c r="QN225" s="302"/>
      <c r="QO225" s="302"/>
      <c r="QP225" s="302"/>
      <c r="QQ225" s="302"/>
      <c r="QR225" s="302"/>
      <c r="QS225" s="302"/>
      <c r="QT225" s="302"/>
      <c r="QU225" s="302"/>
      <c r="QV225" s="302"/>
      <c r="QW225" s="302"/>
      <c r="QX225" s="302"/>
      <c r="QY225" s="302"/>
      <c r="QZ225" s="302"/>
      <c r="RA225" s="302"/>
      <c r="RB225" s="302"/>
      <c r="RC225" s="302"/>
      <c r="RD225" s="302"/>
      <c r="RE225" s="302"/>
      <c r="RF225" s="302"/>
      <c r="RG225" s="302"/>
      <c r="RH225" s="302"/>
      <c r="RI225" s="302"/>
      <c r="RJ225" s="302"/>
      <c r="RK225" s="302"/>
      <c r="RL225" s="302"/>
      <c r="RM225" s="302"/>
      <c r="RN225" s="302"/>
      <c r="RO225" s="302"/>
      <c r="RP225" s="302"/>
      <c r="RQ225" s="302"/>
      <c r="RR225" s="302"/>
      <c r="RS225" s="302"/>
      <c r="RT225" s="302"/>
      <c r="RU225" s="302"/>
      <c r="RV225" s="302"/>
      <c r="RW225" s="302"/>
      <c r="RX225" s="302"/>
      <c r="RY225" s="302"/>
      <c r="RZ225" s="302"/>
      <c r="SA225" s="302"/>
      <c r="SB225" s="302"/>
      <c r="SC225" s="302"/>
      <c r="SD225" s="302"/>
      <c r="SE225" s="302"/>
      <c r="SF225" s="302"/>
      <c r="SG225" s="302"/>
      <c r="SH225" s="302"/>
      <c r="SI225" s="302"/>
      <c r="SJ225" s="302"/>
      <c r="SK225" s="302"/>
      <c r="SL225" s="302"/>
      <c r="SM225" s="302"/>
      <c r="SN225" s="302"/>
      <c r="SO225" s="302"/>
      <c r="SP225" s="302"/>
      <c r="SQ225" s="302"/>
      <c r="SR225" s="302"/>
      <c r="SS225" s="302"/>
      <c r="ST225" s="302"/>
      <c r="SU225" s="302"/>
      <c r="SV225" s="302"/>
      <c r="SW225" s="302"/>
      <c r="SX225" s="302"/>
      <c r="SY225" s="302"/>
      <c r="SZ225" s="302"/>
      <c r="TA225" s="302"/>
      <c r="TB225" s="302"/>
      <c r="TC225" s="302"/>
      <c r="TD225" s="302"/>
      <c r="TE225" s="302"/>
      <c r="TF225" s="302"/>
      <c r="TG225" s="302"/>
      <c r="TH225" s="302"/>
      <c r="TI225" s="302"/>
      <c r="TJ225" s="302"/>
      <c r="TK225" s="302"/>
      <c r="TL225" s="302"/>
      <c r="TM225" s="302"/>
      <c r="TN225" s="302"/>
      <c r="TO225" s="302"/>
      <c r="TP225" s="302"/>
      <c r="TQ225" s="302"/>
      <c r="TR225" s="302"/>
      <c r="TS225" s="302"/>
      <c r="TT225" s="302"/>
      <c r="TU225" s="302"/>
      <c r="TV225" s="302"/>
      <c r="TW225" s="302"/>
      <c r="TX225" s="302"/>
      <c r="TY225" s="302"/>
      <c r="TZ225" s="302"/>
      <c r="UA225" s="302"/>
      <c r="UB225" s="302"/>
      <c r="UC225" s="302"/>
      <c r="UD225" s="302"/>
      <c r="UE225" s="302"/>
      <c r="UF225" s="302"/>
      <c r="UG225" s="302"/>
      <c r="UH225" s="302"/>
      <c r="UI225" s="302"/>
      <c r="UJ225" s="302"/>
      <c r="UK225" s="302"/>
      <c r="UL225" s="302"/>
      <c r="UM225" s="302"/>
      <c r="UN225" s="302"/>
      <c r="UO225" s="302"/>
      <c r="UP225" s="302"/>
      <c r="UQ225" s="302"/>
      <c r="UR225" s="302"/>
      <c r="US225" s="302"/>
      <c r="UT225" s="302"/>
      <c r="UU225" s="302"/>
      <c r="UV225" s="302"/>
      <c r="UW225" s="302"/>
      <c r="UX225" s="302"/>
      <c r="UY225" s="302"/>
      <c r="UZ225" s="302"/>
      <c r="VA225" s="302"/>
      <c r="VB225" s="302"/>
      <c r="VC225" s="302"/>
      <c r="VD225" s="302"/>
      <c r="VE225" s="302"/>
      <c r="VF225" s="302"/>
      <c r="VG225" s="302"/>
      <c r="VH225" s="302"/>
      <c r="VI225" s="302"/>
      <c r="VJ225" s="302"/>
      <c r="VK225" s="302"/>
      <c r="VL225" s="302"/>
      <c r="VM225" s="302"/>
      <c r="VN225" s="302"/>
      <c r="VO225" s="302"/>
      <c r="VP225" s="302"/>
      <c r="VQ225" s="302"/>
      <c r="VR225" s="302"/>
      <c r="VS225" s="302"/>
      <c r="VT225" s="302"/>
      <c r="VU225" s="302"/>
      <c r="VV225" s="302"/>
      <c r="VW225" s="302"/>
      <c r="VX225" s="302"/>
      <c r="VY225" s="302"/>
      <c r="VZ225" s="302"/>
      <c r="WA225" s="302"/>
      <c r="WB225" s="302"/>
      <c r="WC225" s="302"/>
      <c r="WD225" s="302"/>
      <c r="WE225" s="302"/>
      <c r="WF225" s="302"/>
      <c r="WG225" s="302"/>
      <c r="WH225" s="302"/>
      <c r="WI225" s="302"/>
      <c r="WJ225" s="302"/>
      <c r="WK225" s="302"/>
      <c r="WL225" s="302"/>
      <c r="WM225" s="302"/>
      <c r="WN225" s="302"/>
      <c r="WO225" s="302"/>
      <c r="WP225" s="302"/>
      <c r="WQ225" s="302"/>
      <c r="WR225" s="302"/>
      <c r="WS225" s="302"/>
      <c r="WT225" s="302"/>
      <c r="WU225" s="302"/>
      <c r="WV225" s="302"/>
      <c r="WW225" s="302"/>
      <c r="WX225" s="302"/>
      <c r="WY225" s="302"/>
      <c r="WZ225" s="302"/>
      <c r="XA225" s="302"/>
      <c r="XB225" s="302"/>
      <c r="XC225" s="302"/>
      <c r="XD225" s="302"/>
      <c r="XE225" s="302"/>
      <c r="XF225" s="302"/>
      <c r="XG225" s="302"/>
      <c r="XH225" s="302"/>
      <c r="XI225" s="302"/>
      <c r="XJ225" s="302"/>
      <c r="XK225" s="302"/>
      <c r="XL225" s="302"/>
      <c r="XM225" s="302"/>
      <c r="XN225" s="302"/>
      <c r="XO225" s="302"/>
      <c r="XP225" s="302"/>
      <c r="XQ225" s="302"/>
      <c r="XR225" s="302"/>
      <c r="XS225" s="302"/>
      <c r="XT225" s="302"/>
      <c r="XU225" s="302"/>
      <c r="XV225" s="302"/>
      <c r="XW225" s="302"/>
      <c r="XX225" s="302"/>
      <c r="XY225" s="302"/>
      <c r="XZ225" s="302"/>
      <c r="YA225" s="302"/>
      <c r="YB225" s="302"/>
      <c r="YC225" s="302"/>
      <c r="YD225" s="302"/>
      <c r="YE225" s="302"/>
      <c r="YF225" s="302"/>
      <c r="YG225" s="302"/>
      <c r="YH225" s="302"/>
      <c r="YI225" s="302"/>
      <c r="YJ225" s="302"/>
      <c r="YK225" s="302"/>
      <c r="YL225" s="302"/>
      <c r="YM225" s="302"/>
      <c r="YN225" s="302"/>
      <c r="YO225" s="302"/>
      <c r="YP225" s="302"/>
      <c r="YQ225" s="302"/>
      <c r="YR225" s="302"/>
      <c r="YS225" s="302"/>
      <c r="YT225" s="302"/>
      <c r="YU225" s="302"/>
      <c r="YV225" s="302"/>
      <c r="YW225" s="302"/>
      <c r="YX225" s="302"/>
      <c r="YY225" s="302"/>
      <c r="YZ225" s="302"/>
      <c r="ZA225" s="302"/>
      <c r="ZB225" s="302"/>
      <c r="ZC225" s="302"/>
      <c r="ZD225" s="302"/>
      <c r="ZE225" s="302"/>
      <c r="ZF225" s="302"/>
      <c r="ZG225" s="302"/>
      <c r="ZH225" s="302"/>
      <c r="ZI225" s="302"/>
      <c r="ZJ225" s="302"/>
      <c r="ZK225" s="302"/>
      <c r="ZL225" s="302"/>
      <c r="ZM225" s="302"/>
      <c r="ZN225" s="302"/>
      <c r="ZO225" s="302"/>
      <c r="ZP225" s="302"/>
      <c r="ZQ225" s="302"/>
      <c r="ZR225" s="302"/>
      <c r="ZS225" s="302"/>
      <c r="ZT225" s="302"/>
      <c r="ZU225" s="302"/>
      <c r="ZV225" s="302"/>
      <c r="ZW225" s="302"/>
      <c r="ZX225" s="302"/>
      <c r="ZY225" s="302"/>
      <c r="ZZ225" s="302"/>
      <c r="AAA225" s="302"/>
      <c r="AAB225" s="302"/>
      <c r="AAC225" s="302"/>
      <c r="AAD225" s="302"/>
      <c r="AAE225" s="302"/>
      <c r="AAF225" s="302"/>
      <c r="AAG225" s="302"/>
      <c r="AAH225" s="302"/>
      <c r="AAI225" s="302"/>
      <c r="AAJ225" s="302"/>
      <c r="AAK225" s="302"/>
      <c r="AAL225" s="302"/>
      <c r="AAM225" s="302"/>
      <c r="AAN225" s="302"/>
      <c r="AAO225" s="302"/>
      <c r="AAP225" s="302"/>
      <c r="AAQ225" s="302"/>
      <c r="AAR225" s="302"/>
      <c r="AAS225" s="302"/>
      <c r="AAT225" s="302"/>
      <c r="AAU225" s="302"/>
      <c r="AAV225" s="302"/>
      <c r="AAW225" s="302"/>
      <c r="AAX225" s="302"/>
      <c r="AAY225" s="302"/>
      <c r="AAZ225" s="302"/>
      <c r="ABA225" s="302"/>
      <c r="ABB225" s="302"/>
      <c r="ABC225" s="302"/>
      <c r="ABD225" s="302"/>
      <c r="ABE225" s="302"/>
      <c r="ABF225" s="302"/>
      <c r="ABG225" s="302"/>
      <c r="ABH225" s="302"/>
      <c r="ABI225" s="302"/>
      <c r="ABJ225" s="302"/>
      <c r="ABK225" s="302"/>
      <c r="ABL225" s="302"/>
      <c r="ABM225" s="302"/>
      <c r="ABN225" s="302"/>
      <c r="ABO225" s="302"/>
      <c r="ABP225" s="302"/>
      <c r="ABQ225" s="302"/>
      <c r="ABR225" s="302"/>
      <c r="ABS225" s="302"/>
      <c r="ABT225" s="302"/>
      <c r="ABU225" s="302"/>
      <c r="ABV225" s="302"/>
      <c r="ABW225" s="302"/>
      <c r="ABX225" s="302"/>
      <c r="ABY225" s="302"/>
      <c r="ABZ225" s="302"/>
      <c r="ACA225" s="302"/>
      <c r="ACB225" s="302"/>
      <c r="ACC225" s="302"/>
      <c r="ACD225" s="302"/>
      <c r="ACE225" s="302"/>
      <c r="ACF225" s="302"/>
      <c r="ACG225" s="302"/>
      <c r="ACH225" s="302"/>
      <c r="ACI225" s="302"/>
      <c r="ACJ225" s="302"/>
      <c r="ACK225" s="302"/>
      <c r="ACL225" s="302"/>
      <c r="ACM225" s="302"/>
      <c r="ACN225" s="302"/>
      <c r="ACO225" s="302"/>
      <c r="ACP225" s="302"/>
      <c r="ACQ225" s="302"/>
      <c r="ACR225" s="302"/>
      <c r="ACS225" s="302"/>
      <c r="ACT225" s="302"/>
      <c r="ACU225" s="302"/>
      <c r="ACV225" s="302"/>
      <c r="ACW225" s="302"/>
      <c r="ACX225" s="302"/>
      <c r="ACY225" s="302"/>
      <c r="ACZ225" s="302"/>
      <c r="ADA225" s="302"/>
      <c r="ADB225" s="302"/>
      <c r="ADC225" s="302"/>
      <c r="ADD225" s="302"/>
      <c r="ADE225" s="302"/>
      <c r="ADF225" s="302"/>
      <c r="ADG225" s="302"/>
      <c r="ADH225" s="302"/>
      <c r="ADI225" s="302"/>
      <c r="ADJ225" s="302"/>
      <c r="ADK225" s="302"/>
      <c r="ADL225" s="302"/>
      <c r="ADM225" s="302"/>
      <c r="ADN225" s="302"/>
      <c r="ADO225" s="302"/>
      <c r="ADP225" s="302"/>
      <c r="ADQ225" s="302"/>
      <c r="ADR225" s="302"/>
      <c r="ADS225" s="302"/>
      <c r="ADT225" s="302"/>
      <c r="ADU225" s="302"/>
      <c r="ADV225" s="302"/>
      <c r="ADW225" s="302"/>
      <c r="ADX225" s="302"/>
      <c r="ADY225" s="302"/>
      <c r="ADZ225" s="302"/>
      <c r="AEA225" s="302"/>
      <c r="AEB225" s="302"/>
      <c r="AEC225" s="302"/>
      <c r="AED225" s="302"/>
      <c r="AEE225" s="302"/>
      <c r="AEF225" s="302"/>
      <c r="AEG225" s="302"/>
      <c r="AEH225" s="302"/>
      <c r="AEI225" s="302"/>
      <c r="AEJ225" s="302"/>
      <c r="AEK225" s="302"/>
      <c r="AEL225" s="302"/>
      <c r="AEM225" s="302"/>
      <c r="AEN225" s="302"/>
      <c r="AEO225" s="302"/>
      <c r="AEP225" s="302"/>
      <c r="AEQ225" s="302"/>
      <c r="AER225" s="302"/>
      <c r="AES225" s="302"/>
      <c r="AET225" s="302"/>
      <c r="AEU225" s="302"/>
      <c r="AEV225" s="302"/>
      <c r="AEW225" s="302"/>
      <c r="AEX225" s="302"/>
      <c r="AEY225" s="302"/>
      <c r="AEZ225" s="302"/>
      <c r="AFA225" s="302"/>
      <c r="AFB225" s="302"/>
      <c r="AFC225" s="302"/>
      <c r="AFD225" s="302"/>
      <c r="AFE225" s="302"/>
      <c r="AFF225" s="302"/>
      <c r="AFG225" s="302"/>
      <c r="AFH225" s="302"/>
      <c r="AFI225" s="302"/>
      <c r="AFJ225" s="302"/>
      <c r="AFK225" s="302"/>
      <c r="AFL225" s="302"/>
      <c r="AFM225" s="302"/>
      <c r="AFN225" s="302"/>
      <c r="AFO225" s="302"/>
      <c r="AFP225" s="302"/>
      <c r="AFQ225" s="302"/>
      <c r="AFR225" s="302"/>
      <c r="AFS225" s="302"/>
      <c r="AFT225" s="302"/>
      <c r="AFU225" s="302"/>
      <c r="AFV225" s="302"/>
      <c r="AFW225" s="302"/>
      <c r="AFX225" s="302"/>
      <c r="AFY225" s="302"/>
      <c r="AFZ225" s="302"/>
      <c r="AGA225" s="302"/>
      <c r="AGB225" s="302"/>
      <c r="AGC225" s="302"/>
      <c r="AGD225" s="302"/>
      <c r="AGE225" s="302"/>
      <c r="AGF225" s="302"/>
      <c r="AGG225" s="302"/>
      <c r="AGH225" s="302"/>
      <c r="AGI225" s="302"/>
      <c r="AGJ225" s="302"/>
      <c r="AGK225" s="302"/>
      <c r="AGL225" s="302"/>
      <c r="AGM225" s="302"/>
      <c r="AGN225" s="302"/>
      <c r="AGO225" s="302"/>
      <c r="AGP225" s="302"/>
      <c r="AGQ225" s="302"/>
      <c r="AGR225" s="302"/>
      <c r="AGS225" s="302"/>
      <c r="AGT225" s="302"/>
      <c r="AGU225" s="302"/>
      <c r="AGV225" s="302"/>
      <c r="AGW225" s="302"/>
      <c r="AGX225" s="302"/>
      <c r="AGY225" s="302"/>
      <c r="AGZ225" s="302"/>
      <c r="AHA225" s="302"/>
      <c r="AHB225" s="302"/>
      <c r="AHC225" s="302"/>
      <c r="AHD225" s="302"/>
      <c r="AHE225" s="302"/>
      <c r="AHF225" s="302"/>
      <c r="AHG225" s="302"/>
      <c r="AHH225" s="302"/>
      <c r="AHI225" s="302"/>
      <c r="AHJ225" s="302"/>
      <c r="AHK225" s="302"/>
      <c r="AHL225" s="302"/>
      <c r="AHM225" s="302"/>
      <c r="AHN225" s="302"/>
      <c r="AHO225" s="302"/>
      <c r="AHP225" s="302"/>
      <c r="AHQ225" s="302"/>
      <c r="AHR225" s="302"/>
      <c r="AHS225" s="302"/>
      <c r="AHT225" s="302"/>
      <c r="AHU225" s="302"/>
      <c r="AHV225" s="302"/>
      <c r="AHW225" s="302"/>
      <c r="AHX225" s="302"/>
      <c r="AHY225" s="302"/>
      <c r="AHZ225" s="302"/>
      <c r="AIA225" s="302"/>
      <c r="AIB225" s="302"/>
      <c r="AIC225" s="302"/>
      <c r="AID225" s="302"/>
      <c r="AIE225" s="302"/>
      <c r="AIF225" s="302"/>
      <c r="AIG225" s="302"/>
      <c r="AIH225" s="302"/>
      <c r="AII225" s="302"/>
      <c r="AIJ225" s="302"/>
      <c r="AIK225" s="302"/>
      <c r="AIL225" s="302"/>
      <c r="AIM225" s="302"/>
      <c r="AIN225" s="302"/>
      <c r="AIO225" s="302"/>
      <c r="AIP225" s="302"/>
      <c r="AIQ225" s="302"/>
      <c r="AIR225" s="302"/>
      <c r="AIS225" s="302"/>
      <c r="AIT225" s="302"/>
      <c r="AIU225" s="302"/>
      <c r="AIV225" s="302"/>
      <c r="AIW225" s="302"/>
      <c r="AIX225" s="302"/>
      <c r="AIY225" s="302"/>
      <c r="AIZ225" s="302"/>
      <c r="AJA225" s="302"/>
      <c r="AJB225" s="302"/>
      <c r="AJC225" s="302"/>
      <c r="AJD225" s="302"/>
      <c r="AJE225" s="302"/>
      <c r="AJF225" s="302"/>
      <c r="AJG225" s="302"/>
      <c r="AJH225" s="302"/>
      <c r="AJI225" s="302"/>
      <c r="AJJ225" s="302"/>
      <c r="AJK225" s="302"/>
      <c r="AJL225" s="302"/>
      <c r="AJM225" s="302"/>
      <c r="AJN225" s="302"/>
      <c r="AJO225" s="302"/>
      <c r="AJP225" s="302"/>
      <c r="AJQ225" s="302"/>
      <c r="AJR225" s="302"/>
      <c r="AJS225" s="302"/>
      <c r="AJT225" s="302"/>
      <c r="AJU225" s="302"/>
      <c r="AJV225" s="302"/>
      <c r="AJW225" s="302"/>
      <c r="AJX225" s="302"/>
      <c r="AJY225" s="302"/>
      <c r="AJZ225" s="302"/>
      <c r="AKA225" s="302"/>
      <c r="AKB225" s="302"/>
      <c r="AKC225" s="302"/>
      <c r="AKD225" s="302"/>
      <c r="AKE225" s="302"/>
      <c r="AKF225" s="302"/>
      <c r="AKG225" s="302"/>
      <c r="AKH225" s="302"/>
      <c r="AKI225" s="302"/>
      <c r="AKJ225" s="302"/>
      <c r="AKK225" s="302"/>
      <c r="AKL225" s="302"/>
      <c r="AKM225" s="302"/>
      <c r="AKN225" s="302"/>
      <c r="AKO225" s="302"/>
      <c r="AKP225" s="302"/>
      <c r="AKQ225" s="302"/>
      <c r="AKR225" s="302"/>
      <c r="AKS225" s="302"/>
      <c r="AKT225" s="302"/>
      <c r="AKU225" s="302"/>
      <c r="AKV225" s="302"/>
      <c r="AKW225" s="302"/>
      <c r="AKX225" s="302"/>
      <c r="AKY225" s="302"/>
      <c r="AKZ225" s="302"/>
      <c r="ALA225" s="302"/>
      <c r="ALB225" s="302"/>
      <c r="ALC225" s="302"/>
      <c r="ALD225" s="302"/>
      <c r="ALE225" s="302"/>
      <c r="ALF225" s="302"/>
      <c r="ALG225" s="302"/>
      <c r="ALH225" s="302"/>
      <c r="ALI225" s="302"/>
      <c r="ALJ225" s="302"/>
      <c r="ALK225" s="302"/>
      <c r="ALL225" s="302"/>
      <c r="ALM225" s="302"/>
      <c r="ALN225" s="302"/>
      <c r="ALO225" s="302"/>
      <c r="ALP225" s="302"/>
      <c r="ALQ225" s="302"/>
      <c r="ALR225" s="302"/>
      <c r="ALS225" s="302"/>
      <c r="ALT225" s="302"/>
      <c r="ALU225" s="302"/>
      <c r="ALV225" s="302"/>
      <c r="ALW225" s="302"/>
      <c r="ALX225" s="302"/>
      <c r="ALY225" s="302"/>
      <c r="ALZ225" s="302"/>
      <c r="AMA225" s="302"/>
      <c r="AMB225" s="302"/>
      <c r="AMC225" s="302"/>
      <c r="AMD225" s="302"/>
      <c r="AME225" s="302"/>
      <c r="AMF225" s="302"/>
      <c r="AMG225" s="302"/>
      <c r="AMH225" s="302"/>
      <c r="AMI225" s="302"/>
    </row>
    <row r="226" spans="1:1023" hidden="1">
      <c r="A226" s="302"/>
      <c r="B226" s="442">
        <v>14008</v>
      </c>
      <c r="C226" s="430">
        <v>0.08</v>
      </c>
      <c r="D226" s="370" t="s">
        <v>160</v>
      </c>
      <c r="E226" s="433">
        <v>3700000</v>
      </c>
      <c r="F226" s="500">
        <v>0.04</v>
      </c>
      <c r="G226" s="364">
        <f t="shared" si="12"/>
        <v>148000</v>
      </c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2"/>
      <c r="AE226" s="302"/>
      <c r="AF226" s="302"/>
      <c r="AG226" s="302"/>
      <c r="AH226" s="302"/>
      <c r="AI226" s="302"/>
      <c r="AJ226" s="302"/>
      <c r="AK226" s="302"/>
      <c r="AL226" s="302"/>
      <c r="AM226" s="302"/>
      <c r="AN226" s="302"/>
      <c r="AO226" s="302"/>
      <c r="AP226" s="302"/>
      <c r="AQ226" s="302"/>
      <c r="AR226" s="302"/>
      <c r="AS226" s="302"/>
      <c r="AT226" s="302"/>
      <c r="AU226" s="302"/>
      <c r="AV226" s="302"/>
      <c r="AW226" s="302"/>
      <c r="AX226" s="302"/>
      <c r="AY226" s="302"/>
      <c r="AZ226" s="302"/>
      <c r="BA226" s="302"/>
      <c r="BB226" s="302"/>
      <c r="BC226" s="302"/>
      <c r="BD226" s="302"/>
      <c r="BE226" s="302"/>
      <c r="BF226" s="302"/>
      <c r="BG226" s="302"/>
      <c r="BH226" s="302"/>
      <c r="BI226" s="302"/>
      <c r="BJ226" s="302"/>
      <c r="BK226" s="302"/>
      <c r="BL226" s="302"/>
      <c r="BM226" s="302"/>
      <c r="BN226" s="302"/>
      <c r="BO226" s="302"/>
      <c r="BP226" s="302"/>
      <c r="BQ226" s="302"/>
      <c r="BR226" s="302"/>
      <c r="BS226" s="302"/>
      <c r="BT226" s="302"/>
      <c r="BU226" s="302"/>
      <c r="BV226" s="302"/>
      <c r="BW226" s="302"/>
      <c r="BX226" s="302"/>
      <c r="BY226" s="302"/>
      <c r="BZ226" s="302"/>
      <c r="CA226" s="302"/>
      <c r="CB226" s="302"/>
      <c r="CC226" s="302"/>
      <c r="CD226" s="302"/>
      <c r="CE226" s="302"/>
      <c r="CF226" s="302"/>
      <c r="CG226" s="302"/>
      <c r="CH226" s="302"/>
      <c r="CI226" s="302"/>
      <c r="CJ226" s="302"/>
      <c r="CK226" s="302"/>
      <c r="CL226" s="302"/>
      <c r="CM226" s="302"/>
      <c r="CN226" s="302"/>
      <c r="CO226" s="302"/>
      <c r="CP226" s="302"/>
      <c r="CQ226" s="302"/>
      <c r="CR226" s="302"/>
      <c r="CS226" s="302"/>
      <c r="CT226" s="302"/>
      <c r="CU226" s="302"/>
      <c r="CV226" s="302"/>
      <c r="CW226" s="302"/>
      <c r="CX226" s="302"/>
      <c r="CY226" s="302"/>
      <c r="CZ226" s="302"/>
      <c r="DA226" s="302"/>
      <c r="DB226" s="302"/>
      <c r="DC226" s="302"/>
      <c r="DD226" s="302"/>
      <c r="DE226" s="302"/>
      <c r="DF226" s="302"/>
      <c r="DG226" s="302"/>
      <c r="DH226" s="302"/>
      <c r="DI226" s="302"/>
      <c r="DJ226" s="302"/>
      <c r="DK226" s="302"/>
      <c r="DL226" s="302"/>
      <c r="DM226" s="302"/>
      <c r="DN226" s="302"/>
      <c r="DO226" s="302"/>
      <c r="DP226" s="302"/>
      <c r="DQ226" s="302"/>
      <c r="DR226" s="302"/>
      <c r="DS226" s="302"/>
      <c r="DT226" s="302"/>
      <c r="DU226" s="302"/>
      <c r="DV226" s="302"/>
      <c r="DW226" s="302"/>
      <c r="DX226" s="302"/>
      <c r="DY226" s="302"/>
      <c r="DZ226" s="302"/>
      <c r="EA226" s="302"/>
      <c r="EB226" s="302"/>
      <c r="EC226" s="302"/>
      <c r="ED226" s="302"/>
      <c r="EE226" s="302"/>
      <c r="EF226" s="302"/>
      <c r="EG226" s="302"/>
      <c r="EH226" s="302"/>
      <c r="EI226" s="302"/>
      <c r="EJ226" s="302"/>
      <c r="EK226" s="302"/>
      <c r="EL226" s="302"/>
      <c r="EM226" s="302"/>
      <c r="EN226" s="302"/>
      <c r="EO226" s="302"/>
      <c r="EP226" s="302"/>
      <c r="EQ226" s="302"/>
      <c r="ER226" s="302"/>
      <c r="ES226" s="302"/>
      <c r="ET226" s="302"/>
      <c r="EU226" s="302"/>
      <c r="EV226" s="302"/>
      <c r="EW226" s="302"/>
      <c r="EX226" s="302"/>
      <c r="EY226" s="302"/>
      <c r="EZ226" s="302"/>
      <c r="FA226" s="302"/>
      <c r="FB226" s="302"/>
      <c r="FC226" s="302"/>
      <c r="FD226" s="302"/>
      <c r="FE226" s="302"/>
      <c r="FF226" s="302"/>
      <c r="FG226" s="302"/>
      <c r="FH226" s="302"/>
      <c r="FI226" s="302"/>
      <c r="FJ226" s="302"/>
      <c r="FK226" s="302"/>
      <c r="FL226" s="302"/>
      <c r="FM226" s="302"/>
      <c r="FN226" s="302"/>
      <c r="FO226" s="302"/>
      <c r="FP226" s="302"/>
      <c r="FQ226" s="302"/>
      <c r="FR226" s="302"/>
      <c r="FS226" s="302"/>
      <c r="FT226" s="302"/>
      <c r="FU226" s="302"/>
      <c r="FV226" s="302"/>
      <c r="FW226" s="302"/>
      <c r="FX226" s="302"/>
      <c r="FY226" s="302"/>
      <c r="FZ226" s="302"/>
      <c r="GA226" s="302"/>
      <c r="GB226" s="302"/>
      <c r="GC226" s="302"/>
      <c r="GD226" s="302"/>
      <c r="GE226" s="302"/>
      <c r="GF226" s="302"/>
      <c r="GG226" s="302"/>
      <c r="GH226" s="302"/>
      <c r="GI226" s="302"/>
      <c r="GJ226" s="302"/>
      <c r="GK226" s="302"/>
      <c r="GL226" s="302"/>
      <c r="GM226" s="302"/>
      <c r="GN226" s="302"/>
      <c r="GO226" s="302"/>
      <c r="GP226" s="302"/>
      <c r="GQ226" s="302"/>
      <c r="GR226" s="302"/>
      <c r="GS226" s="302"/>
      <c r="GT226" s="302"/>
      <c r="GU226" s="302"/>
      <c r="GV226" s="302"/>
      <c r="GW226" s="302"/>
      <c r="GX226" s="302"/>
      <c r="GY226" s="302"/>
      <c r="GZ226" s="302"/>
      <c r="HA226" s="302"/>
      <c r="HB226" s="302"/>
      <c r="HC226" s="302"/>
      <c r="HD226" s="302"/>
      <c r="HE226" s="302"/>
      <c r="HF226" s="302"/>
      <c r="HG226" s="302"/>
      <c r="HH226" s="302"/>
      <c r="HI226" s="302"/>
      <c r="HJ226" s="302"/>
      <c r="HK226" s="302"/>
      <c r="HL226" s="302"/>
      <c r="HM226" s="302"/>
      <c r="HN226" s="302"/>
      <c r="HO226" s="302"/>
      <c r="HP226" s="302"/>
      <c r="HQ226" s="302"/>
      <c r="HR226" s="302"/>
      <c r="HS226" s="302"/>
      <c r="HT226" s="302"/>
      <c r="HU226" s="302"/>
      <c r="HV226" s="302"/>
      <c r="HW226" s="302"/>
      <c r="HX226" s="302"/>
      <c r="HY226" s="302"/>
      <c r="HZ226" s="302"/>
      <c r="IA226" s="302"/>
      <c r="IB226" s="302"/>
      <c r="IC226" s="302"/>
      <c r="ID226" s="302"/>
      <c r="IE226" s="302"/>
      <c r="IF226" s="302"/>
      <c r="IG226" s="302"/>
      <c r="IH226" s="302"/>
      <c r="II226" s="302"/>
      <c r="IJ226" s="302"/>
      <c r="IK226" s="302"/>
      <c r="IL226" s="302"/>
      <c r="IM226" s="302"/>
      <c r="IN226" s="302"/>
      <c r="IO226" s="302"/>
      <c r="IP226" s="302"/>
      <c r="IQ226" s="302"/>
      <c r="IR226" s="302"/>
      <c r="IS226" s="302"/>
      <c r="IT226" s="302"/>
      <c r="IU226" s="302"/>
      <c r="IV226" s="302"/>
      <c r="IW226" s="302"/>
      <c r="IX226" s="302"/>
      <c r="IY226" s="302"/>
      <c r="IZ226" s="302"/>
      <c r="JA226" s="302"/>
      <c r="JB226" s="302"/>
      <c r="JC226" s="302"/>
      <c r="JD226" s="302"/>
      <c r="JE226" s="302"/>
      <c r="JF226" s="302"/>
      <c r="JG226" s="302"/>
      <c r="JH226" s="302"/>
      <c r="JI226" s="302"/>
      <c r="JJ226" s="302"/>
      <c r="JK226" s="302"/>
      <c r="JL226" s="302"/>
      <c r="JM226" s="302"/>
      <c r="JN226" s="302"/>
      <c r="JO226" s="302"/>
      <c r="JP226" s="302"/>
      <c r="JQ226" s="302"/>
      <c r="JR226" s="302"/>
      <c r="JS226" s="302"/>
      <c r="JT226" s="302"/>
      <c r="JU226" s="302"/>
      <c r="JV226" s="302"/>
      <c r="JW226" s="302"/>
      <c r="JX226" s="302"/>
      <c r="JY226" s="302"/>
      <c r="JZ226" s="302"/>
      <c r="KA226" s="302"/>
      <c r="KB226" s="302"/>
      <c r="KC226" s="302"/>
      <c r="KD226" s="302"/>
      <c r="KE226" s="302"/>
      <c r="KF226" s="302"/>
      <c r="KG226" s="302"/>
      <c r="KH226" s="302"/>
      <c r="KI226" s="302"/>
      <c r="KJ226" s="302"/>
      <c r="KK226" s="302"/>
      <c r="KL226" s="302"/>
      <c r="KM226" s="302"/>
      <c r="KN226" s="302"/>
      <c r="KO226" s="302"/>
      <c r="KP226" s="302"/>
      <c r="KQ226" s="302"/>
      <c r="KR226" s="302"/>
      <c r="KS226" s="302"/>
      <c r="KT226" s="302"/>
      <c r="KU226" s="302"/>
      <c r="KV226" s="302"/>
      <c r="KW226" s="302"/>
      <c r="KX226" s="302"/>
      <c r="KY226" s="302"/>
      <c r="KZ226" s="302"/>
      <c r="LA226" s="302"/>
      <c r="LB226" s="302"/>
      <c r="LC226" s="302"/>
      <c r="LD226" s="302"/>
      <c r="LE226" s="302"/>
      <c r="LF226" s="302"/>
      <c r="LG226" s="302"/>
      <c r="LH226" s="302"/>
      <c r="LI226" s="302"/>
      <c r="LJ226" s="302"/>
      <c r="LK226" s="302"/>
      <c r="LL226" s="302"/>
      <c r="LM226" s="302"/>
      <c r="LN226" s="302"/>
      <c r="LO226" s="302"/>
      <c r="LP226" s="302"/>
      <c r="LQ226" s="302"/>
      <c r="LR226" s="302"/>
      <c r="LS226" s="302"/>
      <c r="LT226" s="302"/>
      <c r="LU226" s="302"/>
      <c r="LV226" s="302"/>
      <c r="LW226" s="302"/>
      <c r="LX226" s="302"/>
      <c r="LY226" s="302"/>
      <c r="LZ226" s="302"/>
      <c r="MA226" s="302"/>
      <c r="MB226" s="302"/>
      <c r="MC226" s="302"/>
      <c r="MD226" s="302"/>
      <c r="ME226" s="302"/>
      <c r="MF226" s="302"/>
      <c r="MG226" s="302"/>
      <c r="MH226" s="302"/>
      <c r="MI226" s="302"/>
      <c r="MJ226" s="302"/>
      <c r="MK226" s="302"/>
      <c r="ML226" s="302"/>
      <c r="MM226" s="302"/>
      <c r="MN226" s="302"/>
      <c r="MO226" s="302"/>
      <c r="MP226" s="302"/>
      <c r="MQ226" s="302"/>
      <c r="MR226" s="302"/>
      <c r="MS226" s="302"/>
      <c r="MT226" s="302"/>
      <c r="MU226" s="302"/>
      <c r="MV226" s="302"/>
      <c r="MW226" s="302"/>
      <c r="MX226" s="302"/>
      <c r="MY226" s="302"/>
      <c r="MZ226" s="302"/>
      <c r="NA226" s="302"/>
      <c r="NB226" s="302"/>
      <c r="NC226" s="302"/>
      <c r="ND226" s="302"/>
      <c r="NE226" s="302"/>
      <c r="NF226" s="302"/>
      <c r="NG226" s="302"/>
      <c r="NH226" s="302"/>
      <c r="NI226" s="302"/>
      <c r="NJ226" s="302"/>
      <c r="NK226" s="302"/>
      <c r="NL226" s="302"/>
      <c r="NM226" s="302"/>
      <c r="NN226" s="302"/>
      <c r="NO226" s="302"/>
      <c r="NP226" s="302"/>
      <c r="NQ226" s="302"/>
      <c r="NR226" s="302"/>
      <c r="NS226" s="302"/>
      <c r="NT226" s="302"/>
      <c r="NU226" s="302"/>
      <c r="NV226" s="302"/>
      <c r="NW226" s="302"/>
      <c r="NX226" s="302"/>
      <c r="NY226" s="302"/>
      <c r="NZ226" s="302"/>
      <c r="OA226" s="302"/>
      <c r="OB226" s="302"/>
      <c r="OC226" s="302"/>
      <c r="OD226" s="302"/>
      <c r="OE226" s="302"/>
      <c r="OF226" s="302"/>
      <c r="OG226" s="302"/>
      <c r="OH226" s="302"/>
      <c r="OI226" s="302"/>
      <c r="OJ226" s="302"/>
      <c r="OK226" s="302"/>
      <c r="OL226" s="302"/>
      <c r="OM226" s="302"/>
      <c r="ON226" s="302"/>
      <c r="OO226" s="302"/>
      <c r="OP226" s="302"/>
      <c r="OQ226" s="302"/>
      <c r="OR226" s="302"/>
      <c r="OS226" s="302"/>
      <c r="OT226" s="302"/>
      <c r="OU226" s="302"/>
      <c r="OV226" s="302"/>
      <c r="OW226" s="302"/>
      <c r="OX226" s="302"/>
      <c r="OY226" s="302"/>
      <c r="OZ226" s="302"/>
      <c r="PA226" s="302"/>
      <c r="PB226" s="302"/>
      <c r="PC226" s="302"/>
      <c r="PD226" s="302"/>
      <c r="PE226" s="302"/>
      <c r="PF226" s="302"/>
      <c r="PG226" s="302"/>
      <c r="PH226" s="302"/>
      <c r="PI226" s="302"/>
      <c r="PJ226" s="302"/>
      <c r="PK226" s="302"/>
      <c r="PL226" s="302"/>
      <c r="PM226" s="302"/>
      <c r="PN226" s="302"/>
      <c r="PO226" s="302"/>
      <c r="PP226" s="302"/>
      <c r="PQ226" s="302"/>
      <c r="PR226" s="302"/>
      <c r="PS226" s="302"/>
      <c r="PT226" s="302"/>
      <c r="PU226" s="302"/>
      <c r="PV226" s="302"/>
      <c r="PW226" s="302"/>
      <c r="PX226" s="302"/>
      <c r="PY226" s="302"/>
      <c r="PZ226" s="302"/>
      <c r="QA226" s="302"/>
      <c r="QB226" s="302"/>
      <c r="QC226" s="302"/>
      <c r="QD226" s="302"/>
      <c r="QE226" s="302"/>
      <c r="QF226" s="302"/>
      <c r="QG226" s="302"/>
      <c r="QH226" s="302"/>
      <c r="QI226" s="302"/>
      <c r="QJ226" s="302"/>
      <c r="QK226" s="302"/>
      <c r="QL226" s="302"/>
      <c r="QM226" s="302"/>
      <c r="QN226" s="302"/>
      <c r="QO226" s="302"/>
      <c r="QP226" s="302"/>
      <c r="QQ226" s="302"/>
      <c r="QR226" s="302"/>
      <c r="QS226" s="302"/>
      <c r="QT226" s="302"/>
      <c r="QU226" s="302"/>
      <c r="QV226" s="302"/>
      <c r="QW226" s="302"/>
      <c r="QX226" s="302"/>
      <c r="QY226" s="302"/>
      <c r="QZ226" s="302"/>
      <c r="RA226" s="302"/>
      <c r="RB226" s="302"/>
      <c r="RC226" s="302"/>
      <c r="RD226" s="302"/>
      <c r="RE226" s="302"/>
      <c r="RF226" s="302"/>
      <c r="RG226" s="302"/>
      <c r="RH226" s="302"/>
      <c r="RI226" s="302"/>
      <c r="RJ226" s="302"/>
      <c r="RK226" s="302"/>
      <c r="RL226" s="302"/>
      <c r="RM226" s="302"/>
      <c r="RN226" s="302"/>
      <c r="RO226" s="302"/>
      <c r="RP226" s="302"/>
      <c r="RQ226" s="302"/>
      <c r="RR226" s="302"/>
      <c r="RS226" s="302"/>
      <c r="RT226" s="302"/>
      <c r="RU226" s="302"/>
      <c r="RV226" s="302"/>
      <c r="RW226" s="302"/>
      <c r="RX226" s="302"/>
      <c r="RY226" s="302"/>
      <c r="RZ226" s="302"/>
      <c r="SA226" s="302"/>
      <c r="SB226" s="302"/>
      <c r="SC226" s="302"/>
      <c r="SD226" s="302"/>
      <c r="SE226" s="302"/>
      <c r="SF226" s="302"/>
      <c r="SG226" s="302"/>
      <c r="SH226" s="302"/>
      <c r="SI226" s="302"/>
      <c r="SJ226" s="302"/>
      <c r="SK226" s="302"/>
      <c r="SL226" s="302"/>
      <c r="SM226" s="302"/>
      <c r="SN226" s="302"/>
      <c r="SO226" s="302"/>
      <c r="SP226" s="302"/>
      <c r="SQ226" s="302"/>
      <c r="SR226" s="302"/>
      <c r="SS226" s="302"/>
      <c r="ST226" s="302"/>
      <c r="SU226" s="302"/>
      <c r="SV226" s="302"/>
      <c r="SW226" s="302"/>
      <c r="SX226" s="302"/>
      <c r="SY226" s="302"/>
      <c r="SZ226" s="302"/>
      <c r="TA226" s="302"/>
      <c r="TB226" s="302"/>
      <c r="TC226" s="302"/>
      <c r="TD226" s="302"/>
      <c r="TE226" s="302"/>
      <c r="TF226" s="302"/>
      <c r="TG226" s="302"/>
      <c r="TH226" s="302"/>
      <c r="TI226" s="302"/>
      <c r="TJ226" s="302"/>
      <c r="TK226" s="302"/>
      <c r="TL226" s="302"/>
      <c r="TM226" s="302"/>
      <c r="TN226" s="302"/>
      <c r="TO226" s="302"/>
      <c r="TP226" s="302"/>
      <c r="TQ226" s="302"/>
      <c r="TR226" s="302"/>
      <c r="TS226" s="302"/>
      <c r="TT226" s="302"/>
      <c r="TU226" s="302"/>
      <c r="TV226" s="302"/>
      <c r="TW226" s="302"/>
      <c r="TX226" s="302"/>
      <c r="TY226" s="302"/>
      <c r="TZ226" s="302"/>
      <c r="UA226" s="302"/>
      <c r="UB226" s="302"/>
      <c r="UC226" s="302"/>
      <c r="UD226" s="302"/>
      <c r="UE226" s="302"/>
      <c r="UF226" s="302"/>
      <c r="UG226" s="302"/>
      <c r="UH226" s="302"/>
      <c r="UI226" s="302"/>
      <c r="UJ226" s="302"/>
      <c r="UK226" s="302"/>
      <c r="UL226" s="302"/>
      <c r="UM226" s="302"/>
      <c r="UN226" s="302"/>
      <c r="UO226" s="302"/>
      <c r="UP226" s="302"/>
      <c r="UQ226" s="302"/>
      <c r="UR226" s="302"/>
      <c r="US226" s="302"/>
      <c r="UT226" s="302"/>
      <c r="UU226" s="302"/>
      <c r="UV226" s="302"/>
      <c r="UW226" s="302"/>
      <c r="UX226" s="302"/>
      <c r="UY226" s="302"/>
      <c r="UZ226" s="302"/>
      <c r="VA226" s="302"/>
      <c r="VB226" s="302"/>
      <c r="VC226" s="302"/>
      <c r="VD226" s="302"/>
      <c r="VE226" s="302"/>
      <c r="VF226" s="302"/>
      <c r="VG226" s="302"/>
      <c r="VH226" s="302"/>
      <c r="VI226" s="302"/>
      <c r="VJ226" s="302"/>
      <c r="VK226" s="302"/>
      <c r="VL226" s="302"/>
      <c r="VM226" s="302"/>
      <c r="VN226" s="302"/>
      <c r="VO226" s="302"/>
      <c r="VP226" s="302"/>
      <c r="VQ226" s="302"/>
      <c r="VR226" s="302"/>
      <c r="VS226" s="302"/>
      <c r="VT226" s="302"/>
      <c r="VU226" s="302"/>
      <c r="VV226" s="302"/>
      <c r="VW226" s="302"/>
      <c r="VX226" s="302"/>
      <c r="VY226" s="302"/>
      <c r="VZ226" s="302"/>
      <c r="WA226" s="302"/>
      <c r="WB226" s="302"/>
      <c r="WC226" s="302"/>
      <c r="WD226" s="302"/>
      <c r="WE226" s="302"/>
      <c r="WF226" s="302"/>
      <c r="WG226" s="302"/>
      <c r="WH226" s="302"/>
      <c r="WI226" s="302"/>
      <c r="WJ226" s="302"/>
      <c r="WK226" s="302"/>
      <c r="WL226" s="302"/>
      <c r="WM226" s="302"/>
      <c r="WN226" s="302"/>
      <c r="WO226" s="302"/>
      <c r="WP226" s="302"/>
      <c r="WQ226" s="302"/>
      <c r="WR226" s="302"/>
      <c r="WS226" s="302"/>
      <c r="WT226" s="302"/>
      <c r="WU226" s="302"/>
      <c r="WV226" s="302"/>
      <c r="WW226" s="302"/>
      <c r="WX226" s="302"/>
      <c r="WY226" s="302"/>
      <c r="WZ226" s="302"/>
      <c r="XA226" s="302"/>
      <c r="XB226" s="302"/>
      <c r="XC226" s="302"/>
      <c r="XD226" s="302"/>
      <c r="XE226" s="302"/>
      <c r="XF226" s="302"/>
      <c r="XG226" s="302"/>
      <c r="XH226" s="302"/>
      <c r="XI226" s="302"/>
      <c r="XJ226" s="302"/>
      <c r="XK226" s="302"/>
      <c r="XL226" s="302"/>
      <c r="XM226" s="302"/>
      <c r="XN226" s="302"/>
      <c r="XO226" s="302"/>
      <c r="XP226" s="302"/>
      <c r="XQ226" s="302"/>
      <c r="XR226" s="302"/>
      <c r="XS226" s="302"/>
      <c r="XT226" s="302"/>
      <c r="XU226" s="302"/>
      <c r="XV226" s="302"/>
      <c r="XW226" s="302"/>
      <c r="XX226" s="302"/>
      <c r="XY226" s="302"/>
      <c r="XZ226" s="302"/>
      <c r="YA226" s="302"/>
      <c r="YB226" s="302"/>
      <c r="YC226" s="302"/>
      <c r="YD226" s="302"/>
      <c r="YE226" s="302"/>
      <c r="YF226" s="302"/>
      <c r="YG226" s="302"/>
      <c r="YH226" s="302"/>
      <c r="YI226" s="302"/>
      <c r="YJ226" s="302"/>
      <c r="YK226" s="302"/>
      <c r="YL226" s="302"/>
      <c r="YM226" s="302"/>
      <c r="YN226" s="302"/>
      <c r="YO226" s="302"/>
      <c r="YP226" s="302"/>
      <c r="YQ226" s="302"/>
      <c r="YR226" s="302"/>
      <c r="YS226" s="302"/>
      <c r="YT226" s="302"/>
      <c r="YU226" s="302"/>
      <c r="YV226" s="302"/>
      <c r="YW226" s="302"/>
      <c r="YX226" s="302"/>
      <c r="YY226" s="302"/>
      <c r="YZ226" s="302"/>
      <c r="ZA226" s="302"/>
      <c r="ZB226" s="302"/>
      <c r="ZC226" s="302"/>
      <c r="ZD226" s="302"/>
      <c r="ZE226" s="302"/>
      <c r="ZF226" s="302"/>
      <c r="ZG226" s="302"/>
      <c r="ZH226" s="302"/>
      <c r="ZI226" s="302"/>
      <c r="ZJ226" s="302"/>
      <c r="ZK226" s="302"/>
      <c r="ZL226" s="302"/>
      <c r="ZM226" s="302"/>
      <c r="ZN226" s="302"/>
      <c r="ZO226" s="302"/>
      <c r="ZP226" s="302"/>
      <c r="ZQ226" s="302"/>
      <c r="ZR226" s="302"/>
      <c r="ZS226" s="302"/>
      <c r="ZT226" s="302"/>
      <c r="ZU226" s="302"/>
      <c r="ZV226" s="302"/>
      <c r="ZW226" s="302"/>
      <c r="ZX226" s="302"/>
      <c r="ZY226" s="302"/>
      <c r="ZZ226" s="302"/>
      <c r="AAA226" s="302"/>
      <c r="AAB226" s="302"/>
      <c r="AAC226" s="302"/>
      <c r="AAD226" s="302"/>
      <c r="AAE226" s="302"/>
      <c r="AAF226" s="302"/>
      <c r="AAG226" s="302"/>
      <c r="AAH226" s="302"/>
      <c r="AAI226" s="302"/>
      <c r="AAJ226" s="302"/>
      <c r="AAK226" s="302"/>
      <c r="AAL226" s="302"/>
      <c r="AAM226" s="302"/>
      <c r="AAN226" s="302"/>
      <c r="AAO226" s="302"/>
      <c r="AAP226" s="302"/>
      <c r="AAQ226" s="302"/>
      <c r="AAR226" s="302"/>
      <c r="AAS226" s="302"/>
      <c r="AAT226" s="302"/>
      <c r="AAU226" s="302"/>
      <c r="AAV226" s="302"/>
      <c r="AAW226" s="302"/>
      <c r="AAX226" s="302"/>
      <c r="AAY226" s="302"/>
      <c r="AAZ226" s="302"/>
      <c r="ABA226" s="302"/>
      <c r="ABB226" s="302"/>
      <c r="ABC226" s="302"/>
      <c r="ABD226" s="302"/>
      <c r="ABE226" s="302"/>
      <c r="ABF226" s="302"/>
      <c r="ABG226" s="302"/>
      <c r="ABH226" s="302"/>
      <c r="ABI226" s="302"/>
      <c r="ABJ226" s="302"/>
      <c r="ABK226" s="302"/>
      <c r="ABL226" s="302"/>
      <c r="ABM226" s="302"/>
      <c r="ABN226" s="302"/>
      <c r="ABO226" s="302"/>
      <c r="ABP226" s="302"/>
      <c r="ABQ226" s="302"/>
      <c r="ABR226" s="302"/>
      <c r="ABS226" s="302"/>
      <c r="ABT226" s="302"/>
      <c r="ABU226" s="302"/>
      <c r="ABV226" s="302"/>
      <c r="ABW226" s="302"/>
      <c r="ABX226" s="302"/>
      <c r="ABY226" s="302"/>
      <c r="ABZ226" s="302"/>
      <c r="ACA226" s="302"/>
      <c r="ACB226" s="302"/>
      <c r="ACC226" s="302"/>
      <c r="ACD226" s="302"/>
      <c r="ACE226" s="302"/>
      <c r="ACF226" s="302"/>
      <c r="ACG226" s="302"/>
      <c r="ACH226" s="302"/>
      <c r="ACI226" s="302"/>
      <c r="ACJ226" s="302"/>
      <c r="ACK226" s="302"/>
      <c r="ACL226" s="302"/>
      <c r="ACM226" s="302"/>
      <c r="ACN226" s="302"/>
      <c r="ACO226" s="302"/>
      <c r="ACP226" s="302"/>
      <c r="ACQ226" s="302"/>
      <c r="ACR226" s="302"/>
      <c r="ACS226" s="302"/>
      <c r="ACT226" s="302"/>
      <c r="ACU226" s="302"/>
      <c r="ACV226" s="302"/>
      <c r="ACW226" s="302"/>
      <c r="ACX226" s="302"/>
      <c r="ACY226" s="302"/>
      <c r="ACZ226" s="302"/>
      <c r="ADA226" s="302"/>
      <c r="ADB226" s="302"/>
      <c r="ADC226" s="302"/>
      <c r="ADD226" s="302"/>
      <c r="ADE226" s="302"/>
      <c r="ADF226" s="302"/>
      <c r="ADG226" s="302"/>
      <c r="ADH226" s="302"/>
      <c r="ADI226" s="302"/>
      <c r="ADJ226" s="302"/>
      <c r="ADK226" s="302"/>
      <c r="ADL226" s="302"/>
      <c r="ADM226" s="302"/>
      <c r="ADN226" s="302"/>
      <c r="ADO226" s="302"/>
      <c r="ADP226" s="302"/>
      <c r="ADQ226" s="302"/>
      <c r="ADR226" s="302"/>
      <c r="ADS226" s="302"/>
      <c r="ADT226" s="302"/>
      <c r="ADU226" s="302"/>
      <c r="ADV226" s="302"/>
      <c r="ADW226" s="302"/>
      <c r="ADX226" s="302"/>
      <c r="ADY226" s="302"/>
      <c r="ADZ226" s="302"/>
      <c r="AEA226" s="302"/>
      <c r="AEB226" s="302"/>
      <c r="AEC226" s="302"/>
      <c r="AED226" s="302"/>
      <c r="AEE226" s="302"/>
      <c r="AEF226" s="302"/>
      <c r="AEG226" s="302"/>
      <c r="AEH226" s="302"/>
      <c r="AEI226" s="302"/>
      <c r="AEJ226" s="302"/>
      <c r="AEK226" s="302"/>
      <c r="AEL226" s="302"/>
      <c r="AEM226" s="302"/>
      <c r="AEN226" s="302"/>
      <c r="AEO226" s="302"/>
      <c r="AEP226" s="302"/>
      <c r="AEQ226" s="302"/>
      <c r="AER226" s="302"/>
      <c r="AES226" s="302"/>
      <c r="AET226" s="302"/>
      <c r="AEU226" s="302"/>
      <c r="AEV226" s="302"/>
      <c r="AEW226" s="302"/>
      <c r="AEX226" s="302"/>
      <c r="AEY226" s="302"/>
      <c r="AEZ226" s="302"/>
      <c r="AFA226" s="302"/>
      <c r="AFB226" s="302"/>
      <c r="AFC226" s="302"/>
      <c r="AFD226" s="302"/>
      <c r="AFE226" s="302"/>
      <c r="AFF226" s="302"/>
      <c r="AFG226" s="302"/>
      <c r="AFH226" s="302"/>
      <c r="AFI226" s="302"/>
      <c r="AFJ226" s="302"/>
      <c r="AFK226" s="302"/>
      <c r="AFL226" s="302"/>
      <c r="AFM226" s="302"/>
      <c r="AFN226" s="302"/>
      <c r="AFO226" s="302"/>
      <c r="AFP226" s="302"/>
      <c r="AFQ226" s="302"/>
      <c r="AFR226" s="302"/>
      <c r="AFS226" s="302"/>
      <c r="AFT226" s="302"/>
      <c r="AFU226" s="302"/>
      <c r="AFV226" s="302"/>
      <c r="AFW226" s="302"/>
      <c r="AFX226" s="302"/>
      <c r="AFY226" s="302"/>
      <c r="AFZ226" s="302"/>
      <c r="AGA226" s="302"/>
      <c r="AGB226" s="302"/>
      <c r="AGC226" s="302"/>
      <c r="AGD226" s="302"/>
      <c r="AGE226" s="302"/>
      <c r="AGF226" s="302"/>
      <c r="AGG226" s="302"/>
      <c r="AGH226" s="302"/>
      <c r="AGI226" s="302"/>
      <c r="AGJ226" s="302"/>
      <c r="AGK226" s="302"/>
      <c r="AGL226" s="302"/>
      <c r="AGM226" s="302"/>
      <c r="AGN226" s="302"/>
      <c r="AGO226" s="302"/>
      <c r="AGP226" s="302"/>
      <c r="AGQ226" s="302"/>
      <c r="AGR226" s="302"/>
      <c r="AGS226" s="302"/>
      <c r="AGT226" s="302"/>
      <c r="AGU226" s="302"/>
      <c r="AGV226" s="302"/>
      <c r="AGW226" s="302"/>
      <c r="AGX226" s="302"/>
      <c r="AGY226" s="302"/>
      <c r="AGZ226" s="302"/>
      <c r="AHA226" s="302"/>
      <c r="AHB226" s="302"/>
      <c r="AHC226" s="302"/>
      <c r="AHD226" s="302"/>
      <c r="AHE226" s="302"/>
      <c r="AHF226" s="302"/>
      <c r="AHG226" s="302"/>
      <c r="AHH226" s="302"/>
      <c r="AHI226" s="302"/>
      <c r="AHJ226" s="302"/>
      <c r="AHK226" s="302"/>
      <c r="AHL226" s="302"/>
      <c r="AHM226" s="302"/>
      <c r="AHN226" s="302"/>
      <c r="AHO226" s="302"/>
      <c r="AHP226" s="302"/>
      <c r="AHQ226" s="302"/>
      <c r="AHR226" s="302"/>
      <c r="AHS226" s="302"/>
      <c r="AHT226" s="302"/>
      <c r="AHU226" s="302"/>
      <c r="AHV226" s="302"/>
      <c r="AHW226" s="302"/>
      <c r="AHX226" s="302"/>
      <c r="AHY226" s="302"/>
      <c r="AHZ226" s="302"/>
      <c r="AIA226" s="302"/>
      <c r="AIB226" s="302"/>
      <c r="AIC226" s="302"/>
      <c r="AID226" s="302"/>
      <c r="AIE226" s="302"/>
      <c r="AIF226" s="302"/>
      <c r="AIG226" s="302"/>
      <c r="AIH226" s="302"/>
      <c r="AII226" s="302"/>
      <c r="AIJ226" s="302"/>
      <c r="AIK226" s="302"/>
      <c r="AIL226" s="302"/>
      <c r="AIM226" s="302"/>
      <c r="AIN226" s="302"/>
      <c r="AIO226" s="302"/>
      <c r="AIP226" s="302"/>
      <c r="AIQ226" s="302"/>
      <c r="AIR226" s="302"/>
      <c r="AIS226" s="302"/>
      <c r="AIT226" s="302"/>
      <c r="AIU226" s="302"/>
      <c r="AIV226" s="302"/>
      <c r="AIW226" s="302"/>
      <c r="AIX226" s="302"/>
      <c r="AIY226" s="302"/>
      <c r="AIZ226" s="302"/>
      <c r="AJA226" s="302"/>
      <c r="AJB226" s="302"/>
      <c r="AJC226" s="302"/>
      <c r="AJD226" s="302"/>
      <c r="AJE226" s="302"/>
      <c r="AJF226" s="302"/>
      <c r="AJG226" s="302"/>
      <c r="AJH226" s="302"/>
      <c r="AJI226" s="302"/>
      <c r="AJJ226" s="302"/>
      <c r="AJK226" s="302"/>
      <c r="AJL226" s="302"/>
      <c r="AJM226" s="302"/>
      <c r="AJN226" s="302"/>
      <c r="AJO226" s="302"/>
      <c r="AJP226" s="302"/>
      <c r="AJQ226" s="302"/>
      <c r="AJR226" s="302"/>
      <c r="AJS226" s="302"/>
      <c r="AJT226" s="302"/>
      <c r="AJU226" s="302"/>
      <c r="AJV226" s="302"/>
      <c r="AJW226" s="302"/>
      <c r="AJX226" s="302"/>
      <c r="AJY226" s="302"/>
      <c r="AJZ226" s="302"/>
      <c r="AKA226" s="302"/>
      <c r="AKB226" s="302"/>
      <c r="AKC226" s="302"/>
      <c r="AKD226" s="302"/>
      <c r="AKE226" s="302"/>
      <c r="AKF226" s="302"/>
      <c r="AKG226" s="302"/>
      <c r="AKH226" s="302"/>
      <c r="AKI226" s="302"/>
      <c r="AKJ226" s="302"/>
      <c r="AKK226" s="302"/>
      <c r="AKL226" s="302"/>
      <c r="AKM226" s="302"/>
      <c r="AKN226" s="302"/>
      <c r="AKO226" s="302"/>
      <c r="AKP226" s="302"/>
      <c r="AKQ226" s="302"/>
      <c r="AKR226" s="302"/>
      <c r="AKS226" s="302"/>
      <c r="AKT226" s="302"/>
      <c r="AKU226" s="302"/>
      <c r="AKV226" s="302"/>
      <c r="AKW226" s="302"/>
      <c r="AKX226" s="302"/>
      <c r="AKY226" s="302"/>
      <c r="AKZ226" s="302"/>
      <c r="ALA226" s="302"/>
      <c r="ALB226" s="302"/>
      <c r="ALC226" s="302"/>
      <c r="ALD226" s="302"/>
      <c r="ALE226" s="302"/>
      <c r="ALF226" s="302"/>
      <c r="ALG226" s="302"/>
      <c r="ALH226" s="302"/>
      <c r="ALI226" s="302"/>
      <c r="ALJ226" s="302"/>
      <c r="ALK226" s="302"/>
      <c r="ALL226" s="302"/>
      <c r="ALM226" s="302"/>
      <c r="ALN226" s="302"/>
      <c r="ALO226" s="302"/>
      <c r="ALP226" s="302"/>
      <c r="ALQ226" s="302"/>
      <c r="ALR226" s="302"/>
      <c r="ALS226" s="302"/>
      <c r="ALT226" s="302"/>
      <c r="ALU226" s="302"/>
      <c r="ALV226" s="302"/>
      <c r="ALW226" s="302"/>
      <c r="ALX226" s="302"/>
      <c r="ALY226" s="302"/>
      <c r="ALZ226" s="302"/>
      <c r="AMA226" s="302"/>
      <c r="AMB226" s="302"/>
      <c r="AMC226" s="302"/>
      <c r="AMD226" s="302"/>
      <c r="AME226" s="302"/>
      <c r="AMF226" s="302"/>
      <c r="AMG226" s="302"/>
      <c r="AMH226" s="302"/>
      <c r="AMI226" s="302"/>
    </row>
    <row r="227" spans="1:1023" hidden="1">
      <c r="A227" s="302"/>
      <c r="B227" s="442">
        <v>14075</v>
      </c>
      <c r="C227" s="432">
        <v>0.1</v>
      </c>
      <c r="D227" s="370" t="s">
        <v>161</v>
      </c>
      <c r="E227" s="433">
        <v>3500000</v>
      </c>
      <c r="F227" s="499">
        <v>0.05</v>
      </c>
      <c r="G227" s="364">
        <f t="shared" si="12"/>
        <v>175000</v>
      </c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2"/>
      <c r="AE227" s="302"/>
      <c r="AF227" s="302"/>
      <c r="AG227" s="302"/>
      <c r="AH227" s="302"/>
      <c r="AI227" s="302"/>
      <c r="AJ227" s="302"/>
      <c r="AK227" s="302"/>
      <c r="AL227" s="302"/>
      <c r="AM227" s="302"/>
      <c r="AN227" s="302"/>
      <c r="AO227" s="302"/>
      <c r="AP227" s="302"/>
      <c r="AQ227" s="302"/>
      <c r="AR227" s="302"/>
      <c r="AS227" s="302"/>
      <c r="AT227" s="302"/>
      <c r="AU227" s="302"/>
      <c r="AV227" s="302"/>
      <c r="AW227" s="302"/>
      <c r="AX227" s="302"/>
      <c r="AY227" s="302"/>
      <c r="AZ227" s="302"/>
      <c r="BA227" s="302"/>
      <c r="BB227" s="302"/>
      <c r="BC227" s="302"/>
      <c r="BD227" s="302"/>
      <c r="BE227" s="302"/>
      <c r="BF227" s="302"/>
      <c r="BG227" s="302"/>
      <c r="BH227" s="302"/>
      <c r="BI227" s="302"/>
      <c r="BJ227" s="302"/>
      <c r="BK227" s="302"/>
      <c r="BL227" s="302"/>
      <c r="BM227" s="302"/>
      <c r="BN227" s="302"/>
      <c r="BO227" s="302"/>
      <c r="BP227" s="302"/>
      <c r="BQ227" s="302"/>
      <c r="BR227" s="302"/>
      <c r="BS227" s="302"/>
      <c r="BT227" s="302"/>
      <c r="BU227" s="302"/>
      <c r="BV227" s="302"/>
      <c r="BW227" s="302"/>
      <c r="BX227" s="302"/>
      <c r="BY227" s="302"/>
      <c r="BZ227" s="302"/>
      <c r="CA227" s="302"/>
      <c r="CB227" s="302"/>
      <c r="CC227" s="302"/>
      <c r="CD227" s="302"/>
      <c r="CE227" s="302"/>
      <c r="CF227" s="302"/>
      <c r="CG227" s="302"/>
      <c r="CH227" s="302"/>
      <c r="CI227" s="302"/>
      <c r="CJ227" s="302"/>
      <c r="CK227" s="302"/>
      <c r="CL227" s="302"/>
      <c r="CM227" s="302"/>
      <c r="CN227" s="302"/>
      <c r="CO227" s="302"/>
      <c r="CP227" s="302"/>
      <c r="CQ227" s="302"/>
      <c r="CR227" s="302"/>
      <c r="CS227" s="302"/>
      <c r="CT227" s="302"/>
      <c r="CU227" s="302"/>
      <c r="CV227" s="302"/>
      <c r="CW227" s="302"/>
      <c r="CX227" s="302"/>
      <c r="CY227" s="302"/>
      <c r="CZ227" s="302"/>
      <c r="DA227" s="302"/>
      <c r="DB227" s="302"/>
      <c r="DC227" s="302"/>
      <c r="DD227" s="302"/>
      <c r="DE227" s="302"/>
      <c r="DF227" s="302"/>
      <c r="DG227" s="302"/>
      <c r="DH227" s="302"/>
      <c r="DI227" s="302"/>
      <c r="DJ227" s="302"/>
      <c r="DK227" s="302"/>
      <c r="DL227" s="302"/>
      <c r="DM227" s="302"/>
      <c r="DN227" s="302"/>
      <c r="DO227" s="302"/>
      <c r="DP227" s="302"/>
      <c r="DQ227" s="302"/>
      <c r="DR227" s="302"/>
      <c r="DS227" s="302"/>
      <c r="DT227" s="302"/>
      <c r="DU227" s="302"/>
      <c r="DV227" s="302"/>
      <c r="DW227" s="302"/>
      <c r="DX227" s="302"/>
      <c r="DY227" s="302"/>
      <c r="DZ227" s="302"/>
      <c r="EA227" s="302"/>
      <c r="EB227" s="302"/>
      <c r="EC227" s="302"/>
      <c r="ED227" s="302"/>
      <c r="EE227" s="302"/>
      <c r="EF227" s="302"/>
      <c r="EG227" s="302"/>
      <c r="EH227" s="302"/>
      <c r="EI227" s="302"/>
      <c r="EJ227" s="302"/>
      <c r="EK227" s="302"/>
      <c r="EL227" s="302"/>
      <c r="EM227" s="302"/>
      <c r="EN227" s="302"/>
      <c r="EO227" s="302"/>
      <c r="EP227" s="302"/>
      <c r="EQ227" s="302"/>
      <c r="ER227" s="302"/>
      <c r="ES227" s="302"/>
      <c r="ET227" s="302"/>
      <c r="EU227" s="302"/>
      <c r="EV227" s="302"/>
      <c r="EW227" s="302"/>
      <c r="EX227" s="302"/>
      <c r="EY227" s="302"/>
      <c r="EZ227" s="302"/>
      <c r="FA227" s="302"/>
      <c r="FB227" s="302"/>
      <c r="FC227" s="302"/>
      <c r="FD227" s="302"/>
      <c r="FE227" s="302"/>
      <c r="FF227" s="302"/>
      <c r="FG227" s="302"/>
      <c r="FH227" s="302"/>
      <c r="FI227" s="302"/>
      <c r="FJ227" s="302"/>
      <c r="FK227" s="302"/>
      <c r="FL227" s="302"/>
      <c r="FM227" s="302"/>
      <c r="FN227" s="302"/>
      <c r="FO227" s="302"/>
      <c r="FP227" s="302"/>
      <c r="FQ227" s="302"/>
      <c r="FR227" s="302"/>
      <c r="FS227" s="302"/>
      <c r="FT227" s="302"/>
      <c r="FU227" s="302"/>
      <c r="FV227" s="302"/>
      <c r="FW227" s="302"/>
      <c r="FX227" s="302"/>
      <c r="FY227" s="302"/>
      <c r="FZ227" s="302"/>
      <c r="GA227" s="302"/>
      <c r="GB227" s="302"/>
      <c r="GC227" s="302"/>
      <c r="GD227" s="302"/>
      <c r="GE227" s="302"/>
      <c r="GF227" s="302"/>
      <c r="GG227" s="302"/>
      <c r="GH227" s="302"/>
      <c r="GI227" s="302"/>
      <c r="GJ227" s="302"/>
      <c r="GK227" s="302"/>
      <c r="GL227" s="302"/>
      <c r="GM227" s="302"/>
      <c r="GN227" s="302"/>
      <c r="GO227" s="302"/>
      <c r="GP227" s="302"/>
      <c r="GQ227" s="302"/>
      <c r="GR227" s="302"/>
      <c r="GS227" s="302"/>
      <c r="GT227" s="302"/>
      <c r="GU227" s="302"/>
      <c r="GV227" s="302"/>
      <c r="GW227" s="302"/>
      <c r="GX227" s="302"/>
      <c r="GY227" s="302"/>
      <c r="GZ227" s="302"/>
      <c r="HA227" s="302"/>
      <c r="HB227" s="302"/>
      <c r="HC227" s="302"/>
      <c r="HD227" s="302"/>
      <c r="HE227" s="302"/>
      <c r="HF227" s="302"/>
      <c r="HG227" s="302"/>
      <c r="HH227" s="302"/>
      <c r="HI227" s="302"/>
      <c r="HJ227" s="302"/>
      <c r="HK227" s="302"/>
      <c r="HL227" s="302"/>
      <c r="HM227" s="302"/>
      <c r="HN227" s="302"/>
      <c r="HO227" s="302"/>
      <c r="HP227" s="302"/>
      <c r="HQ227" s="302"/>
      <c r="HR227" s="302"/>
      <c r="HS227" s="302"/>
      <c r="HT227" s="302"/>
      <c r="HU227" s="302"/>
      <c r="HV227" s="302"/>
      <c r="HW227" s="302"/>
      <c r="HX227" s="302"/>
      <c r="HY227" s="302"/>
      <c r="HZ227" s="302"/>
      <c r="IA227" s="302"/>
      <c r="IB227" s="302"/>
      <c r="IC227" s="302"/>
      <c r="ID227" s="302"/>
      <c r="IE227" s="302"/>
      <c r="IF227" s="302"/>
      <c r="IG227" s="302"/>
      <c r="IH227" s="302"/>
      <c r="II227" s="302"/>
      <c r="IJ227" s="302"/>
      <c r="IK227" s="302"/>
      <c r="IL227" s="302"/>
      <c r="IM227" s="302"/>
      <c r="IN227" s="302"/>
      <c r="IO227" s="302"/>
      <c r="IP227" s="302"/>
      <c r="IQ227" s="302"/>
      <c r="IR227" s="302"/>
      <c r="IS227" s="302"/>
      <c r="IT227" s="302"/>
      <c r="IU227" s="302"/>
      <c r="IV227" s="302"/>
      <c r="IW227" s="302"/>
      <c r="IX227" s="302"/>
      <c r="IY227" s="302"/>
      <c r="IZ227" s="302"/>
      <c r="JA227" s="302"/>
      <c r="JB227" s="302"/>
      <c r="JC227" s="302"/>
      <c r="JD227" s="302"/>
      <c r="JE227" s="302"/>
      <c r="JF227" s="302"/>
      <c r="JG227" s="302"/>
      <c r="JH227" s="302"/>
      <c r="JI227" s="302"/>
      <c r="JJ227" s="302"/>
      <c r="JK227" s="302"/>
      <c r="JL227" s="302"/>
      <c r="JM227" s="302"/>
      <c r="JN227" s="302"/>
      <c r="JO227" s="302"/>
      <c r="JP227" s="302"/>
      <c r="JQ227" s="302"/>
      <c r="JR227" s="302"/>
      <c r="JS227" s="302"/>
      <c r="JT227" s="302"/>
      <c r="JU227" s="302"/>
      <c r="JV227" s="302"/>
      <c r="JW227" s="302"/>
      <c r="JX227" s="302"/>
      <c r="JY227" s="302"/>
      <c r="JZ227" s="302"/>
      <c r="KA227" s="302"/>
      <c r="KB227" s="302"/>
      <c r="KC227" s="302"/>
      <c r="KD227" s="302"/>
      <c r="KE227" s="302"/>
      <c r="KF227" s="302"/>
      <c r="KG227" s="302"/>
      <c r="KH227" s="302"/>
      <c r="KI227" s="302"/>
      <c r="KJ227" s="302"/>
      <c r="KK227" s="302"/>
      <c r="KL227" s="302"/>
      <c r="KM227" s="302"/>
      <c r="KN227" s="302"/>
      <c r="KO227" s="302"/>
      <c r="KP227" s="302"/>
      <c r="KQ227" s="302"/>
      <c r="KR227" s="302"/>
      <c r="KS227" s="302"/>
      <c r="KT227" s="302"/>
      <c r="KU227" s="302"/>
      <c r="KV227" s="302"/>
      <c r="KW227" s="302"/>
      <c r="KX227" s="302"/>
      <c r="KY227" s="302"/>
      <c r="KZ227" s="302"/>
      <c r="LA227" s="302"/>
      <c r="LB227" s="302"/>
      <c r="LC227" s="302"/>
      <c r="LD227" s="302"/>
      <c r="LE227" s="302"/>
      <c r="LF227" s="302"/>
      <c r="LG227" s="302"/>
      <c r="LH227" s="302"/>
      <c r="LI227" s="302"/>
      <c r="LJ227" s="302"/>
      <c r="LK227" s="302"/>
      <c r="LL227" s="302"/>
      <c r="LM227" s="302"/>
      <c r="LN227" s="302"/>
      <c r="LO227" s="302"/>
      <c r="LP227" s="302"/>
      <c r="LQ227" s="302"/>
      <c r="LR227" s="302"/>
      <c r="LS227" s="302"/>
      <c r="LT227" s="302"/>
      <c r="LU227" s="302"/>
      <c r="LV227" s="302"/>
      <c r="LW227" s="302"/>
      <c r="LX227" s="302"/>
      <c r="LY227" s="302"/>
      <c r="LZ227" s="302"/>
      <c r="MA227" s="302"/>
      <c r="MB227" s="302"/>
      <c r="MC227" s="302"/>
      <c r="MD227" s="302"/>
      <c r="ME227" s="302"/>
      <c r="MF227" s="302"/>
      <c r="MG227" s="302"/>
      <c r="MH227" s="302"/>
      <c r="MI227" s="302"/>
      <c r="MJ227" s="302"/>
      <c r="MK227" s="302"/>
      <c r="ML227" s="302"/>
      <c r="MM227" s="302"/>
      <c r="MN227" s="302"/>
      <c r="MO227" s="302"/>
      <c r="MP227" s="302"/>
      <c r="MQ227" s="302"/>
      <c r="MR227" s="302"/>
      <c r="MS227" s="302"/>
      <c r="MT227" s="302"/>
      <c r="MU227" s="302"/>
      <c r="MV227" s="302"/>
      <c r="MW227" s="302"/>
      <c r="MX227" s="302"/>
      <c r="MY227" s="302"/>
      <c r="MZ227" s="302"/>
      <c r="NA227" s="302"/>
      <c r="NB227" s="302"/>
      <c r="NC227" s="302"/>
      <c r="ND227" s="302"/>
      <c r="NE227" s="302"/>
      <c r="NF227" s="302"/>
      <c r="NG227" s="302"/>
      <c r="NH227" s="302"/>
      <c r="NI227" s="302"/>
      <c r="NJ227" s="302"/>
      <c r="NK227" s="302"/>
      <c r="NL227" s="302"/>
      <c r="NM227" s="302"/>
      <c r="NN227" s="302"/>
      <c r="NO227" s="302"/>
      <c r="NP227" s="302"/>
      <c r="NQ227" s="302"/>
      <c r="NR227" s="302"/>
      <c r="NS227" s="302"/>
      <c r="NT227" s="302"/>
      <c r="NU227" s="302"/>
      <c r="NV227" s="302"/>
      <c r="NW227" s="302"/>
      <c r="NX227" s="302"/>
      <c r="NY227" s="302"/>
      <c r="NZ227" s="302"/>
      <c r="OA227" s="302"/>
      <c r="OB227" s="302"/>
      <c r="OC227" s="302"/>
      <c r="OD227" s="302"/>
      <c r="OE227" s="302"/>
      <c r="OF227" s="302"/>
      <c r="OG227" s="302"/>
      <c r="OH227" s="302"/>
      <c r="OI227" s="302"/>
      <c r="OJ227" s="302"/>
      <c r="OK227" s="302"/>
      <c r="OL227" s="302"/>
      <c r="OM227" s="302"/>
      <c r="ON227" s="302"/>
      <c r="OO227" s="302"/>
      <c r="OP227" s="302"/>
      <c r="OQ227" s="302"/>
      <c r="OR227" s="302"/>
      <c r="OS227" s="302"/>
      <c r="OT227" s="302"/>
      <c r="OU227" s="302"/>
      <c r="OV227" s="302"/>
      <c r="OW227" s="302"/>
      <c r="OX227" s="302"/>
      <c r="OY227" s="302"/>
      <c r="OZ227" s="302"/>
      <c r="PA227" s="302"/>
      <c r="PB227" s="302"/>
      <c r="PC227" s="302"/>
      <c r="PD227" s="302"/>
      <c r="PE227" s="302"/>
      <c r="PF227" s="302"/>
      <c r="PG227" s="302"/>
      <c r="PH227" s="302"/>
      <c r="PI227" s="302"/>
      <c r="PJ227" s="302"/>
      <c r="PK227" s="302"/>
      <c r="PL227" s="302"/>
      <c r="PM227" s="302"/>
      <c r="PN227" s="302"/>
      <c r="PO227" s="302"/>
      <c r="PP227" s="302"/>
      <c r="PQ227" s="302"/>
      <c r="PR227" s="302"/>
      <c r="PS227" s="302"/>
      <c r="PT227" s="302"/>
      <c r="PU227" s="302"/>
      <c r="PV227" s="302"/>
      <c r="PW227" s="302"/>
      <c r="PX227" s="302"/>
      <c r="PY227" s="302"/>
      <c r="PZ227" s="302"/>
      <c r="QA227" s="302"/>
      <c r="QB227" s="302"/>
      <c r="QC227" s="302"/>
      <c r="QD227" s="302"/>
      <c r="QE227" s="302"/>
      <c r="QF227" s="302"/>
      <c r="QG227" s="302"/>
      <c r="QH227" s="302"/>
      <c r="QI227" s="302"/>
      <c r="QJ227" s="302"/>
      <c r="QK227" s="302"/>
      <c r="QL227" s="302"/>
      <c r="QM227" s="302"/>
      <c r="QN227" s="302"/>
      <c r="QO227" s="302"/>
      <c r="QP227" s="302"/>
      <c r="QQ227" s="302"/>
      <c r="QR227" s="302"/>
      <c r="QS227" s="302"/>
      <c r="QT227" s="302"/>
      <c r="QU227" s="302"/>
      <c r="QV227" s="302"/>
      <c r="QW227" s="302"/>
      <c r="QX227" s="302"/>
      <c r="QY227" s="302"/>
      <c r="QZ227" s="302"/>
      <c r="RA227" s="302"/>
      <c r="RB227" s="302"/>
      <c r="RC227" s="302"/>
      <c r="RD227" s="302"/>
      <c r="RE227" s="302"/>
      <c r="RF227" s="302"/>
      <c r="RG227" s="302"/>
      <c r="RH227" s="302"/>
      <c r="RI227" s="302"/>
      <c r="RJ227" s="302"/>
      <c r="RK227" s="302"/>
      <c r="RL227" s="302"/>
      <c r="RM227" s="302"/>
      <c r="RN227" s="302"/>
      <c r="RO227" s="302"/>
      <c r="RP227" s="302"/>
      <c r="RQ227" s="302"/>
      <c r="RR227" s="302"/>
      <c r="RS227" s="302"/>
      <c r="RT227" s="302"/>
      <c r="RU227" s="302"/>
      <c r="RV227" s="302"/>
      <c r="RW227" s="302"/>
      <c r="RX227" s="302"/>
      <c r="RY227" s="302"/>
      <c r="RZ227" s="302"/>
      <c r="SA227" s="302"/>
      <c r="SB227" s="302"/>
      <c r="SC227" s="302"/>
      <c r="SD227" s="302"/>
      <c r="SE227" s="302"/>
      <c r="SF227" s="302"/>
      <c r="SG227" s="302"/>
      <c r="SH227" s="302"/>
      <c r="SI227" s="302"/>
      <c r="SJ227" s="302"/>
      <c r="SK227" s="302"/>
      <c r="SL227" s="302"/>
      <c r="SM227" s="302"/>
      <c r="SN227" s="302"/>
      <c r="SO227" s="302"/>
      <c r="SP227" s="302"/>
      <c r="SQ227" s="302"/>
      <c r="SR227" s="302"/>
      <c r="SS227" s="302"/>
      <c r="ST227" s="302"/>
      <c r="SU227" s="302"/>
      <c r="SV227" s="302"/>
      <c r="SW227" s="302"/>
      <c r="SX227" s="302"/>
      <c r="SY227" s="302"/>
      <c r="SZ227" s="302"/>
      <c r="TA227" s="302"/>
      <c r="TB227" s="302"/>
      <c r="TC227" s="302"/>
      <c r="TD227" s="302"/>
      <c r="TE227" s="302"/>
      <c r="TF227" s="302"/>
      <c r="TG227" s="302"/>
      <c r="TH227" s="302"/>
      <c r="TI227" s="302"/>
      <c r="TJ227" s="302"/>
      <c r="TK227" s="302"/>
      <c r="TL227" s="302"/>
      <c r="TM227" s="302"/>
      <c r="TN227" s="302"/>
      <c r="TO227" s="302"/>
      <c r="TP227" s="302"/>
      <c r="TQ227" s="302"/>
      <c r="TR227" s="302"/>
      <c r="TS227" s="302"/>
      <c r="TT227" s="302"/>
      <c r="TU227" s="302"/>
      <c r="TV227" s="302"/>
      <c r="TW227" s="302"/>
      <c r="TX227" s="302"/>
      <c r="TY227" s="302"/>
      <c r="TZ227" s="302"/>
      <c r="UA227" s="302"/>
      <c r="UB227" s="302"/>
      <c r="UC227" s="302"/>
      <c r="UD227" s="302"/>
      <c r="UE227" s="302"/>
      <c r="UF227" s="302"/>
      <c r="UG227" s="302"/>
      <c r="UH227" s="302"/>
      <c r="UI227" s="302"/>
      <c r="UJ227" s="302"/>
      <c r="UK227" s="302"/>
      <c r="UL227" s="302"/>
      <c r="UM227" s="302"/>
      <c r="UN227" s="302"/>
      <c r="UO227" s="302"/>
      <c r="UP227" s="302"/>
      <c r="UQ227" s="302"/>
      <c r="UR227" s="302"/>
      <c r="US227" s="302"/>
      <c r="UT227" s="302"/>
      <c r="UU227" s="302"/>
      <c r="UV227" s="302"/>
      <c r="UW227" s="302"/>
      <c r="UX227" s="302"/>
      <c r="UY227" s="302"/>
      <c r="UZ227" s="302"/>
      <c r="VA227" s="302"/>
      <c r="VB227" s="302"/>
      <c r="VC227" s="302"/>
      <c r="VD227" s="302"/>
      <c r="VE227" s="302"/>
      <c r="VF227" s="302"/>
      <c r="VG227" s="302"/>
      <c r="VH227" s="302"/>
      <c r="VI227" s="302"/>
      <c r="VJ227" s="302"/>
      <c r="VK227" s="302"/>
      <c r="VL227" s="302"/>
      <c r="VM227" s="302"/>
      <c r="VN227" s="302"/>
      <c r="VO227" s="302"/>
      <c r="VP227" s="302"/>
      <c r="VQ227" s="302"/>
      <c r="VR227" s="302"/>
      <c r="VS227" s="302"/>
      <c r="VT227" s="302"/>
      <c r="VU227" s="302"/>
      <c r="VV227" s="302"/>
      <c r="VW227" s="302"/>
      <c r="VX227" s="302"/>
      <c r="VY227" s="302"/>
      <c r="VZ227" s="302"/>
      <c r="WA227" s="302"/>
      <c r="WB227" s="302"/>
      <c r="WC227" s="302"/>
      <c r="WD227" s="302"/>
      <c r="WE227" s="302"/>
      <c r="WF227" s="302"/>
      <c r="WG227" s="302"/>
      <c r="WH227" s="302"/>
      <c r="WI227" s="302"/>
      <c r="WJ227" s="302"/>
      <c r="WK227" s="302"/>
      <c r="WL227" s="302"/>
      <c r="WM227" s="302"/>
      <c r="WN227" s="302"/>
      <c r="WO227" s="302"/>
      <c r="WP227" s="302"/>
      <c r="WQ227" s="302"/>
      <c r="WR227" s="302"/>
      <c r="WS227" s="302"/>
      <c r="WT227" s="302"/>
      <c r="WU227" s="302"/>
      <c r="WV227" s="302"/>
      <c r="WW227" s="302"/>
      <c r="WX227" s="302"/>
      <c r="WY227" s="302"/>
      <c r="WZ227" s="302"/>
      <c r="XA227" s="302"/>
      <c r="XB227" s="302"/>
      <c r="XC227" s="302"/>
      <c r="XD227" s="302"/>
      <c r="XE227" s="302"/>
      <c r="XF227" s="302"/>
      <c r="XG227" s="302"/>
      <c r="XH227" s="302"/>
      <c r="XI227" s="302"/>
      <c r="XJ227" s="302"/>
      <c r="XK227" s="302"/>
      <c r="XL227" s="302"/>
      <c r="XM227" s="302"/>
      <c r="XN227" s="302"/>
      <c r="XO227" s="302"/>
      <c r="XP227" s="302"/>
      <c r="XQ227" s="302"/>
      <c r="XR227" s="302"/>
      <c r="XS227" s="302"/>
      <c r="XT227" s="302"/>
      <c r="XU227" s="302"/>
      <c r="XV227" s="302"/>
      <c r="XW227" s="302"/>
      <c r="XX227" s="302"/>
      <c r="XY227" s="302"/>
      <c r="XZ227" s="302"/>
      <c r="YA227" s="302"/>
      <c r="YB227" s="302"/>
      <c r="YC227" s="302"/>
      <c r="YD227" s="302"/>
      <c r="YE227" s="302"/>
      <c r="YF227" s="302"/>
      <c r="YG227" s="302"/>
      <c r="YH227" s="302"/>
      <c r="YI227" s="302"/>
      <c r="YJ227" s="302"/>
      <c r="YK227" s="302"/>
      <c r="YL227" s="302"/>
      <c r="YM227" s="302"/>
      <c r="YN227" s="302"/>
      <c r="YO227" s="302"/>
      <c r="YP227" s="302"/>
      <c r="YQ227" s="302"/>
      <c r="YR227" s="302"/>
      <c r="YS227" s="302"/>
      <c r="YT227" s="302"/>
      <c r="YU227" s="302"/>
      <c r="YV227" s="302"/>
      <c r="YW227" s="302"/>
      <c r="YX227" s="302"/>
      <c r="YY227" s="302"/>
      <c r="YZ227" s="302"/>
      <c r="ZA227" s="302"/>
      <c r="ZB227" s="302"/>
      <c r="ZC227" s="302"/>
      <c r="ZD227" s="302"/>
      <c r="ZE227" s="302"/>
      <c r="ZF227" s="302"/>
      <c r="ZG227" s="302"/>
      <c r="ZH227" s="302"/>
      <c r="ZI227" s="302"/>
      <c r="ZJ227" s="302"/>
      <c r="ZK227" s="302"/>
      <c r="ZL227" s="302"/>
      <c r="ZM227" s="302"/>
      <c r="ZN227" s="302"/>
      <c r="ZO227" s="302"/>
      <c r="ZP227" s="302"/>
      <c r="ZQ227" s="302"/>
      <c r="ZR227" s="302"/>
      <c r="ZS227" s="302"/>
      <c r="ZT227" s="302"/>
      <c r="ZU227" s="302"/>
      <c r="ZV227" s="302"/>
      <c r="ZW227" s="302"/>
      <c r="ZX227" s="302"/>
      <c r="ZY227" s="302"/>
      <c r="ZZ227" s="302"/>
      <c r="AAA227" s="302"/>
      <c r="AAB227" s="302"/>
      <c r="AAC227" s="302"/>
      <c r="AAD227" s="302"/>
      <c r="AAE227" s="302"/>
      <c r="AAF227" s="302"/>
      <c r="AAG227" s="302"/>
      <c r="AAH227" s="302"/>
      <c r="AAI227" s="302"/>
      <c r="AAJ227" s="302"/>
      <c r="AAK227" s="302"/>
      <c r="AAL227" s="302"/>
      <c r="AAM227" s="302"/>
      <c r="AAN227" s="302"/>
      <c r="AAO227" s="302"/>
      <c r="AAP227" s="302"/>
      <c r="AAQ227" s="302"/>
      <c r="AAR227" s="302"/>
      <c r="AAS227" s="302"/>
      <c r="AAT227" s="302"/>
      <c r="AAU227" s="302"/>
      <c r="AAV227" s="302"/>
      <c r="AAW227" s="302"/>
      <c r="AAX227" s="302"/>
      <c r="AAY227" s="302"/>
      <c r="AAZ227" s="302"/>
      <c r="ABA227" s="302"/>
      <c r="ABB227" s="302"/>
      <c r="ABC227" s="302"/>
      <c r="ABD227" s="302"/>
      <c r="ABE227" s="302"/>
      <c r="ABF227" s="302"/>
      <c r="ABG227" s="302"/>
      <c r="ABH227" s="302"/>
      <c r="ABI227" s="302"/>
      <c r="ABJ227" s="302"/>
      <c r="ABK227" s="302"/>
      <c r="ABL227" s="302"/>
      <c r="ABM227" s="302"/>
      <c r="ABN227" s="302"/>
      <c r="ABO227" s="302"/>
      <c r="ABP227" s="302"/>
      <c r="ABQ227" s="302"/>
      <c r="ABR227" s="302"/>
      <c r="ABS227" s="302"/>
      <c r="ABT227" s="302"/>
      <c r="ABU227" s="302"/>
      <c r="ABV227" s="302"/>
      <c r="ABW227" s="302"/>
      <c r="ABX227" s="302"/>
      <c r="ABY227" s="302"/>
      <c r="ABZ227" s="302"/>
      <c r="ACA227" s="302"/>
      <c r="ACB227" s="302"/>
      <c r="ACC227" s="302"/>
      <c r="ACD227" s="302"/>
      <c r="ACE227" s="302"/>
      <c r="ACF227" s="302"/>
      <c r="ACG227" s="302"/>
      <c r="ACH227" s="302"/>
      <c r="ACI227" s="302"/>
      <c r="ACJ227" s="302"/>
      <c r="ACK227" s="302"/>
      <c r="ACL227" s="302"/>
      <c r="ACM227" s="302"/>
      <c r="ACN227" s="302"/>
      <c r="ACO227" s="302"/>
      <c r="ACP227" s="302"/>
      <c r="ACQ227" s="302"/>
      <c r="ACR227" s="302"/>
      <c r="ACS227" s="302"/>
      <c r="ACT227" s="302"/>
      <c r="ACU227" s="302"/>
      <c r="ACV227" s="302"/>
      <c r="ACW227" s="302"/>
      <c r="ACX227" s="302"/>
      <c r="ACY227" s="302"/>
      <c r="ACZ227" s="302"/>
      <c r="ADA227" s="302"/>
      <c r="ADB227" s="302"/>
      <c r="ADC227" s="302"/>
      <c r="ADD227" s="302"/>
      <c r="ADE227" s="302"/>
      <c r="ADF227" s="302"/>
      <c r="ADG227" s="302"/>
      <c r="ADH227" s="302"/>
      <c r="ADI227" s="302"/>
      <c r="ADJ227" s="302"/>
      <c r="ADK227" s="302"/>
      <c r="ADL227" s="302"/>
      <c r="ADM227" s="302"/>
      <c r="ADN227" s="302"/>
      <c r="ADO227" s="302"/>
      <c r="ADP227" s="302"/>
      <c r="ADQ227" s="302"/>
      <c r="ADR227" s="302"/>
      <c r="ADS227" s="302"/>
      <c r="ADT227" s="302"/>
      <c r="ADU227" s="302"/>
      <c r="ADV227" s="302"/>
      <c r="ADW227" s="302"/>
      <c r="ADX227" s="302"/>
      <c r="ADY227" s="302"/>
      <c r="ADZ227" s="302"/>
      <c r="AEA227" s="302"/>
      <c r="AEB227" s="302"/>
      <c r="AEC227" s="302"/>
      <c r="AED227" s="302"/>
      <c r="AEE227" s="302"/>
      <c r="AEF227" s="302"/>
      <c r="AEG227" s="302"/>
      <c r="AEH227" s="302"/>
      <c r="AEI227" s="302"/>
      <c r="AEJ227" s="302"/>
      <c r="AEK227" s="302"/>
      <c r="AEL227" s="302"/>
      <c r="AEM227" s="302"/>
      <c r="AEN227" s="302"/>
      <c r="AEO227" s="302"/>
      <c r="AEP227" s="302"/>
      <c r="AEQ227" s="302"/>
      <c r="AER227" s="302"/>
      <c r="AES227" s="302"/>
      <c r="AET227" s="302"/>
      <c r="AEU227" s="302"/>
      <c r="AEV227" s="302"/>
      <c r="AEW227" s="302"/>
      <c r="AEX227" s="302"/>
      <c r="AEY227" s="302"/>
      <c r="AEZ227" s="302"/>
      <c r="AFA227" s="302"/>
      <c r="AFB227" s="302"/>
      <c r="AFC227" s="302"/>
      <c r="AFD227" s="302"/>
      <c r="AFE227" s="302"/>
      <c r="AFF227" s="302"/>
      <c r="AFG227" s="302"/>
      <c r="AFH227" s="302"/>
      <c r="AFI227" s="302"/>
      <c r="AFJ227" s="302"/>
      <c r="AFK227" s="302"/>
      <c r="AFL227" s="302"/>
      <c r="AFM227" s="302"/>
      <c r="AFN227" s="302"/>
      <c r="AFO227" s="302"/>
      <c r="AFP227" s="302"/>
      <c r="AFQ227" s="302"/>
      <c r="AFR227" s="302"/>
      <c r="AFS227" s="302"/>
      <c r="AFT227" s="302"/>
      <c r="AFU227" s="302"/>
      <c r="AFV227" s="302"/>
      <c r="AFW227" s="302"/>
      <c r="AFX227" s="302"/>
      <c r="AFY227" s="302"/>
      <c r="AFZ227" s="302"/>
      <c r="AGA227" s="302"/>
      <c r="AGB227" s="302"/>
      <c r="AGC227" s="302"/>
      <c r="AGD227" s="302"/>
      <c r="AGE227" s="302"/>
      <c r="AGF227" s="302"/>
      <c r="AGG227" s="302"/>
      <c r="AGH227" s="302"/>
      <c r="AGI227" s="302"/>
      <c r="AGJ227" s="302"/>
      <c r="AGK227" s="302"/>
      <c r="AGL227" s="302"/>
      <c r="AGM227" s="302"/>
      <c r="AGN227" s="302"/>
      <c r="AGO227" s="302"/>
      <c r="AGP227" s="302"/>
      <c r="AGQ227" s="302"/>
      <c r="AGR227" s="302"/>
      <c r="AGS227" s="302"/>
      <c r="AGT227" s="302"/>
      <c r="AGU227" s="302"/>
      <c r="AGV227" s="302"/>
      <c r="AGW227" s="302"/>
      <c r="AGX227" s="302"/>
      <c r="AGY227" s="302"/>
      <c r="AGZ227" s="302"/>
      <c r="AHA227" s="302"/>
      <c r="AHB227" s="302"/>
      <c r="AHC227" s="302"/>
      <c r="AHD227" s="302"/>
      <c r="AHE227" s="302"/>
      <c r="AHF227" s="302"/>
      <c r="AHG227" s="302"/>
      <c r="AHH227" s="302"/>
      <c r="AHI227" s="302"/>
      <c r="AHJ227" s="302"/>
      <c r="AHK227" s="302"/>
      <c r="AHL227" s="302"/>
      <c r="AHM227" s="302"/>
      <c r="AHN227" s="302"/>
      <c r="AHO227" s="302"/>
      <c r="AHP227" s="302"/>
      <c r="AHQ227" s="302"/>
      <c r="AHR227" s="302"/>
      <c r="AHS227" s="302"/>
      <c r="AHT227" s="302"/>
      <c r="AHU227" s="302"/>
      <c r="AHV227" s="302"/>
      <c r="AHW227" s="302"/>
      <c r="AHX227" s="302"/>
      <c r="AHY227" s="302"/>
      <c r="AHZ227" s="302"/>
      <c r="AIA227" s="302"/>
      <c r="AIB227" s="302"/>
      <c r="AIC227" s="302"/>
      <c r="AID227" s="302"/>
      <c r="AIE227" s="302"/>
      <c r="AIF227" s="302"/>
      <c r="AIG227" s="302"/>
      <c r="AIH227" s="302"/>
      <c r="AII227" s="302"/>
      <c r="AIJ227" s="302"/>
      <c r="AIK227" s="302"/>
      <c r="AIL227" s="302"/>
      <c r="AIM227" s="302"/>
      <c r="AIN227" s="302"/>
      <c r="AIO227" s="302"/>
      <c r="AIP227" s="302"/>
      <c r="AIQ227" s="302"/>
      <c r="AIR227" s="302"/>
      <c r="AIS227" s="302"/>
      <c r="AIT227" s="302"/>
      <c r="AIU227" s="302"/>
      <c r="AIV227" s="302"/>
      <c r="AIW227" s="302"/>
      <c r="AIX227" s="302"/>
      <c r="AIY227" s="302"/>
      <c r="AIZ227" s="302"/>
      <c r="AJA227" s="302"/>
      <c r="AJB227" s="302"/>
      <c r="AJC227" s="302"/>
      <c r="AJD227" s="302"/>
      <c r="AJE227" s="302"/>
      <c r="AJF227" s="302"/>
      <c r="AJG227" s="302"/>
      <c r="AJH227" s="302"/>
      <c r="AJI227" s="302"/>
      <c r="AJJ227" s="302"/>
      <c r="AJK227" s="302"/>
      <c r="AJL227" s="302"/>
      <c r="AJM227" s="302"/>
      <c r="AJN227" s="302"/>
      <c r="AJO227" s="302"/>
      <c r="AJP227" s="302"/>
      <c r="AJQ227" s="302"/>
      <c r="AJR227" s="302"/>
      <c r="AJS227" s="302"/>
      <c r="AJT227" s="302"/>
      <c r="AJU227" s="302"/>
      <c r="AJV227" s="302"/>
      <c r="AJW227" s="302"/>
      <c r="AJX227" s="302"/>
      <c r="AJY227" s="302"/>
      <c r="AJZ227" s="302"/>
      <c r="AKA227" s="302"/>
      <c r="AKB227" s="302"/>
      <c r="AKC227" s="302"/>
      <c r="AKD227" s="302"/>
      <c r="AKE227" s="302"/>
      <c r="AKF227" s="302"/>
      <c r="AKG227" s="302"/>
      <c r="AKH227" s="302"/>
      <c r="AKI227" s="302"/>
      <c r="AKJ227" s="302"/>
      <c r="AKK227" s="302"/>
      <c r="AKL227" s="302"/>
      <c r="AKM227" s="302"/>
      <c r="AKN227" s="302"/>
      <c r="AKO227" s="302"/>
      <c r="AKP227" s="302"/>
      <c r="AKQ227" s="302"/>
      <c r="AKR227" s="302"/>
      <c r="AKS227" s="302"/>
      <c r="AKT227" s="302"/>
      <c r="AKU227" s="302"/>
      <c r="AKV227" s="302"/>
      <c r="AKW227" s="302"/>
      <c r="AKX227" s="302"/>
      <c r="AKY227" s="302"/>
      <c r="AKZ227" s="302"/>
      <c r="ALA227" s="302"/>
      <c r="ALB227" s="302"/>
      <c r="ALC227" s="302"/>
      <c r="ALD227" s="302"/>
      <c r="ALE227" s="302"/>
      <c r="ALF227" s="302"/>
      <c r="ALG227" s="302"/>
      <c r="ALH227" s="302"/>
      <c r="ALI227" s="302"/>
      <c r="ALJ227" s="302"/>
      <c r="ALK227" s="302"/>
      <c r="ALL227" s="302"/>
      <c r="ALM227" s="302"/>
      <c r="ALN227" s="302"/>
      <c r="ALO227" s="302"/>
      <c r="ALP227" s="302"/>
      <c r="ALQ227" s="302"/>
      <c r="ALR227" s="302"/>
      <c r="ALS227" s="302"/>
      <c r="ALT227" s="302"/>
      <c r="ALU227" s="302"/>
      <c r="ALV227" s="302"/>
      <c r="ALW227" s="302"/>
      <c r="ALX227" s="302"/>
      <c r="ALY227" s="302"/>
      <c r="ALZ227" s="302"/>
      <c r="AMA227" s="302"/>
      <c r="AMB227" s="302"/>
      <c r="AMC227" s="302"/>
      <c r="AMD227" s="302"/>
      <c r="AME227" s="302"/>
      <c r="AMF227" s="302"/>
      <c r="AMG227" s="302"/>
      <c r="AMH227" s="302"/>
      <c r="AMI227" s="302"/>
    </row>
    <row r="228" spans="1:1023" hidden="1">
      <c r="A228" s="302"/>
      <c r="B228" s="442">
        <v>14032</v>
      </c>
      <c r="C228" s="432">
        <v>0.1</v>
      </c>
      <c r="D228" s="370" t="s">
        <v>152</v>
      </c>
      <c r="E228" s="401">
        <v>1800000</v>
      </c>
      <c r="F228" s="499">
        <v>0.05</v>
      </c>
      <c r="G228" s="364">
        <f t="shared" si="12"/>
        <v>90000</v>
      </c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  <c r="AF228" s="302"/>
      <c r="AG228" s="302"/>
      <c r="AH228" s="302"/>
      <c r="AI228" s="302"/>
      <c r="AJ228" s="302"/>
      <c r="AK228" s="302"/>
      <c r="AL228" s="302"/>
      <c r="AM228" s="302"/>
      <c r="AN228" s="302"/>
      <c r="AO228" s="302"/>
      <c r="AP228" s="302"/>
      <c r="AQ228" s="302"/>
      <c r="AR228" s="302"/>
      <c r="AS228" s="302"/>
      <c r="AT228" s="302"/>
      <c r="AU228" s="302"/>
      <c r="AV228" s="302"/>
      <c r="AW228" s="302"/>
      <c r="AX228" s="302"/>
      <c r="AY228" s="302"/>
      <c r="AZ228" s="302"/>
      <c r="BA228" s="302"/>
      <c r="BB228" s="302"/>
      <c r="BC228" s="302"/>
      <c r="BD228" s="302"/>
      <c r="BE228" s="302"/>
      <c r="BF228" s="302"/>
      <c r="BG228" s="302"/>
      <c r="BH228" s="302"/>
      <c r="BI228" s="302"/>
      <c r="BJ228" s="302"/>
      <c r="BK228" s="302"/>
      <c r="BL228" s="302"/>
      <c r="BM228" s="302"/>
      <c r="BN228" s="302"/>
      <c r="BO228" s="302"/>
      <c r="BP228" s="302"/>
      <c r="BQ228" s="302"/>
      <c r="BR228" s="302"/>
      <c r="BS228" s="302"/>
      <c r="BT228" s="302"/>
      <c r="BU228" s="302"/>
      <c r="BV228" s="302"/>
      <c r="BW228" s="302"/>
      <c r="BX228" s="302"/>
      <c r="BY228" s="302"/>
      <c r="BZ228" s="302"/>
      <c r="CA228" s="302"/>
      <c r="CB228" s="302"/>
      <c r="CC228" s="302"/>
      <c r="CD228" s="302"/>
      <c r="CE228" s="302"/>
      <c r="CF228" s="302"/>
      <c r="CG228" s="302"/>
      <c r="CH228" s="302"/>
      <c r="CI228" s="302"/>
      <c r="CJ228" s="302"/>
      <c r="CK228" s="302"/>
      <c r="CL228" s="302"/>
      <c r="CM228" s="302"/>
      <c r="CN228" s="302"/>
      <c r="CO228" s="302"/>
      <c r="CP228" s="302"/>
      <c r="CQ228" s="302"/>
      <c r="CR228" s="302"/>
      <c r="CS228" s="302"/>
      <c r="CT228" s="302"/>
      <c r="CU228" s="302"/>
      <c r="CV228" s="302"/>
      <c r="CW228" s="302"/>
      <c r="CX228" s="302"/>
      <c r="CY228" s="302"/>
      <c r="CZ228" s="302"/>
      <c r="DA228" s="302"/>
      <c r="DB228" s="302"/>
      <c r="DC228" s="302"/>
      <c r="DD228" s="302"/>
      <c r="DE228" s="302"/>
      <c r="DF228" s="302"/>
      <c r="DG228" s="302"/>
      <c r="DH228" s="302"/>
      <c r="DI228" s="302"/>
      <c r="DJ228" s="302"/>
      <c r="DK228" s="302"/>
      <c r="DL228" s="302"/>
      <c r="DM228" s="302"/>
      <c r="DN228" s="302"/>
      <c r="DO228" s="302"/>
      <c r="DP228" s="302"/>
      <c r="DQ228" s="302"/>
      <c r="DR228" s="302"/>
      <c r="DS228" s="302"/>
      <c r="DT228" s="302"/>
      <c r="DU228" s="302"/>
      <c r="DV228" s="302"/>
      <c r="DW228" s="302"/>
      <c r="DX228" s="302"/>
      <c r="DY228" s="302"/>
      <c r="DZ228" s="302"/>
      <c r="EA228" s="302"/>
      <c r="EB228" s="302"/>
      <c r="EC228" s="302"/>
      <c r="ED228" s="302"/>
      <c r="EE228" s="302"/>
      <c r="EF228" s="302"/>
      <c r="EG228" s="302"/>
      <c r="EH228" s="302"/>
      <c r="EI228" s="302"/>
      <c r="EJ228" s="302"/>
      <c r="EK228" s="302"/>
      <c r="EL228" s="302"/>
      <c r="EM228" s="302"/>
      <c r="EN228" s="302"/>
      <c r="EO228" s="302"/>
      <c r="EP228" s="302"/>
      <c r="EQ228" s="302"/>
      <c r="ER228" s="302"/>
      <c r="ES228" s="302"/>
      <c r="ET228" s="302"/>
      <c r="EU228" s="302"/>
      <c r="EV228" s="302"/>
      <c r="EW228" s="302"/>
      <c r="EX228" s="302"/>
      <c r="EY228" s="302"/>
      <c r="EZ228" s="302"/>
      <c r="FA228" s="302"/>
      <c r="FB228" s="302"/>
      <c r="FC228" s="302"/>
      <c r="FD228" s="302"/>
      <c r="FE228" s="302"/>
      <c r="FF228" s="302"/>
      <c r="FG228" s="302"/>
      <c r="FH228" s="302"/>
      <c r="FI228" s="302"/>
      <c r="FJ228" s="302"/>
      <c r="FK228" s="302"/>
      <c r="FL228" s="302"/>
      <c r="FM228" s="302"/>
      <c r="FN228" s="302"/>
      <c r="FO228" s="302"/>
      <c r="FP228" s="302"/>
      <c r="FQ228" s="302"/>
      <c r="FR228" s="302"/>
      <c r="FS228" s="302"/>
      <c r="FT228" s="302"/>
      <c r="FU228" s="302"/>
      <c r="FV228" s="302"/>
      <c r="FW228" s="302"/>
      <c r="FX228" s="302"/>
      <c r="FY228" s="302"/>
      <c r="FZ228" s="302"/>
      <c r="GA228" s="302"/>
      <c r="GB228" s="302"/>
      <c r="GC228" s="302"/>
      <c r="GD228" s="302"/>
      <c r="GE228" s="302"/>
      <c r="GF228" s="302"/>
      <c r="GG228" s="302"/>
      <c r="GH228" s="302"/>
      <c r="GI228" s="302"/>
      <c r="GJ228" s="302"/>
      <c r="GK228" s="302"/>
      <c r="GL228" s="302"/>
      <c r="GM228" s="302"/>
      <c r="GN228" s="302"/>
      <c r="GO228" s="302"/>
      <c r="GP228" s="302"/>
      <c r="GQ228" s="302"/>
      <c r="GR228" s="302"/>
      <c r="GS228" s="302"/>
      <c r="GT228" s="302"/>
      <c r="GU228" s="302"/>
      <c r="GV228" s="302"/>
      <c r="GW228" s="302"/>
      <c r="GX228" s="302"/>
      <c r="GY228" s="302"/>
      <c r="GZ228" s="302"/>
      <c r="HA228" s="302"/>
      <c r="HB228" s="302"/>
      <c r="HC228" s="302"/>
      <c r="HD228" s="302"/>
      <c r="HE228" s="302"/>
      <c r="HF228" s="302"/>
      <c r="HG228" s="302"/>
      <c r="HH228" s="302"/>
      <c r="HI228" s="302"/>
      <c r="HJ228" s="302"/>
      <c r="HK228" s="302"/>
      <c r="HL228" s="302"/>
      <c r="HM228" s="302"/>
      <c r="HN228" s="302"/>
      <c r="HO228" s="302"/>
      <c r="HP228" s="302"/>
      <c r="HQ228" s="302"/>
      <c r="HR228" s="302"/>
      <c r="HS228" s="302"/>
      <c r="HT228" s="302"/>
      <c r="HU228" s="302"/>
      <c r="HV228" s="302"/>
      <c r="HW228" s="302"/>
      <c r="HX228" s="302"/>
      <c r="HY228" s="302"/>
      <c r="HZ228" s="302"/>
      <c r="IA228" s="302"/>
      <c r="IB228" s="302"/>
      <c r="IC228" s="302"/>
      <c r="ID228" s="302"/>
      <c r="IE228" s="302"/>
      <c r="IF228" s="302"/>
      <c r="IG228" s="302"/>
      <c r="IH228" s="302"/>
      <c r="II228" s="302"/>
      <c r="IJ228" s="302"/>
      <c r="IK228" s="302"/>
      <c r="IL228" s="302"/>
      <c r="IM228" s="302"/>
      <c r="IN228" s="302"/>
      <c r="IO228" s="302"/>
      <c r="IP228" s="302"/>
      <c r="IQ228" s="302"/>
      <c r="IR228" s="302"/>
      <c r="IS228" s="302"/>
      <c r="IT228" s="302"/>
      <c r="IU228" s="302"/>
      <c r="IV228" s="302"/>
      <c r="IW228" s="302"/>
      <c r="IX228" s="302"/>
      <c r="IY228" s="302"/>
      <c r="IZ228" s="302"/>
      <c r="JA228" s="302"/>
      <c r="JB228" s="302"/>
      <c r="JC228" s="302"/>
      <c r="JD228" s="302"/>
      <c r="JE228" s="302"/>
      <c r="JF228" s="302"/>
      <c r="JG228" s="302"/>
      <c r="JH228" s="302"/>
      <c r="JI228" s="302"/>
      <c r="JJ228" s="302"/>
      <c r="JK228" s="302"/>
      <c r="JL228" s="302"/>
      <c r="JM228" s="302"/>
      <c r="JN228" s="302"/>
      <c r="JO228" s="302"/>
      <c r="JP228" s="302"/>
      <c r="JQ228" s="302"/>
      <c r="JR228" s="302"/>
      <c r="JS228" s="302"/>
      <c r="JT228" s="302"/>
      <c r="JU228" s="302"/>
      <c r="JV228" s="302"/>
      <c r="JW228" s="302"/>
      <c r="JX228" s="302"/>
      <c r="JY228" s="302"/>
      <c r="JZ228" s="302"/>
      <c r="KA228" s="302"/>
      <c r="KB228" s="302"/>
      <c r="KC228" s="302"/>
      <c r="KD228" s="302"/>
      <c r="KE228" s="302"/>
      <c r="KF228" s="302"/>
      <c r="KG228" s="302"/>
      <c r="KH228" s="302"/>
      <c r="KI228" s="302"/>
      <c r="KJ228" s="302"/>
      <c r="KK228" s="302"/>
      <c r="KL228" s="302"/>
      <c r="KM228" s="302"/>
      <c r="KN228" s="302"/>
      <c r="KO228" s="302"/>
      <c r="KP228" s="302"/>
      <c r="KQ228" s="302"/>
      <c r="KR228" s="302"/>
      <c r="KS228" s="302"/>
      <c r="KT228" s="302"/>
      <c r="KU228" s="302"/>
      <c r="KV228" s="302"/>
      <c r="KW228" s="302"/>
      <c r="KX228" s="302"/>
      <c r="KY228" s="302"/>
      <c r="KZ228" s="302"/>
      <c r="LA228" s="302"/>
      <c r="LB228" s="302"/>
      <c r="LC228" s="302"/>
      <c r="LD228" s="302"/>
      <c r="LE228" s="302"/>
      <c r="LF228" s="302"/>
      <c r="LG228" s="302"/>
      <c r="LH228" s="302"/>
      <c r="LI228" s="302"/>
      <c r="LJ228" s="302"/>
      <c r="LK228" s="302"/>
      <c r="LL228" s="302"/>
      <c r="LM228" s="302"/>
      <c r="LN228" s="302"/>
      <c r="LO228" s="302"/>
      <c r="LP228" s="302"/>
      <c r="LQ228" s="302"/>
      <c r="LR228" s="302"/>
      <c r="LS228" s="302"/>
      <c r="LT228" s="302"/>
      <c r="LU228" s="302"/>
      <c r="LV228" s="302"/>
      <c r="LW228" s="302"/>
      <c r="LX228" s="302"/>
      <c r="LY228" s="302"/>
      <c r="LZ228" s="302"/>
      <c r="MA228" s="302"/>
      <c r="MB228" s="302"/>
      <c r="MC228" s="302"/>
      <c r="MD228" s="302"/>
      <c r="ME228" s="302"/>
      <c r="MF228" s="302"/>
      <c r="MG228" s="302"/>
      <c r="MH228" s="302"/>
      <c r="MI228" s="302"/>
      <c r="MJ228" s="302"/>
      <c r="MK228" s="302"/>
      <c r="ML228" s="302"/>
      <c r="MM228" s="302"/>
      <c r="MN228" s="302"/>
      <c r="MO228" s="302"/>
      <c r="MP228" s="302"/>
      <c r="MQ228" s="302"/>
      <c r="MR228" s="302"/>
      <c r="MS228" s="302"/>
      <c r="MT228" s="302"/>
      <c r="MU228" s="302"/>
      <c r="MV228" s="302"/>
      <c r="MW228" s="302"/>
      <c r="MX228" s="302"/>
      <c r="MY228" s="302"/>
      <c r="MZ228" s="302"/>
      <c r="NA228" s="302"/>
      <c r="NB228" s="302"/>
      <c r="NC228" s="302"/>
      <c r="ND228" s="302"/>
      <c r="NE228" s="302"/>
      <c r="NF228" s="302"/>
      <c r="NG228" s="302"/>
      <c r="NH228" s="302"/>
      <c r="NI228" s="302"/>
      <c r="NJ228" s="302"/>
      <c r="NK228" s="302"/>
      <c r="NL228" s="302"/>
      <c r="NM228" s="302"/>
      <c r="NN228" s="302"/>
      <c r="NO228" s="302"/>
      <c r="NP228" s="302"/>
      <c r="NQ228" s="302"/>
      <c r="NR228" s="302"/>
      <c r="NS228" s="302"/>
      <c r="NT228" s="302"/>
      <c r="NU228" s="302"/>
      <c r="NV228" s="302"/>
      <c r="NW228" s="302"/>
      <c r="NX228" s="302"/>
      <c r="NY228" s="302"/>
      <c r="NZ228" s="302"/>
      <c r="OA228" s="302"/>
      <c r="OB228" s="302"/>
      <c r="OC228" s="302"/>
      <c r="OD228" s="302"/>
      <c r="OE228" s="302"/>
      <c r="OF228" s="302"/>
      <c r="OG228" s="302"/>
      <c r="OH228" s="302"/>
      <c r="OI228" s="302"/>
      <c r="OJ228" s="302"/>
      <c r="OK228" s="302"/>
      <c r="OL228" s="302"/>
      <c r="OM228" s="302"/>
      <c r="ON228" s="302"/>
      <c r="OO228" s="302"/>
      <c r="OP228" s="302"/>
      <c r="OQ228" s="302"/>
      <c r="OR228" s="302"/>
      <c r="OS228" s="302"/>
      <c r="OT228" s="302"/>
      <c r="OU228" s="302"/>
      <c r="OV228" s="302"/>
      <c r="OW228" s="302"/>
      <c r="OX228" s="302"/>
      <c r="OY228" s="302"/>
      <c r="OZ228" s="302"/>
      <c r="PA228" s="302"/>
      <c r="PB228" s="302"/>
      <c r="PC228" s="302"/>
      <c r="PD228" s="302"/>
      <c r="PE228" s="302"/>
      <c r="PF228" s="302"/>
      <c r="PG228" s="302"/>
      <c r="PH228" s="302"/>
      <c r="PI228" s="302"/>
      <c r="PJ228" s="302"/>
      <c r="PK228" s="302"/>
      <c r="PL228" s="302"/>
      <c r="PM228" s="302"/>
      <c r="PN228" s="302"/>
      <c r="PO228" s="302"/>
      <c r="PP228" s="302"/>
      <c r="PQ228" s="302"/>
      <c r="PR228" s="302"/>
      <c r="PS228" s="302"/>
      <c r="PT228" s="302"/>
      <c r="PU228" s="302"/>
      <c r="PV228" s="302"/>
      <c r="PW228" s="302"/>
      <c r="PX228" s="302"/>
      <c r="PY228" s="302"/>
      <c r="PZ228" s="302"/>
      <c r="QA228" s="302"/>
      <c r="QB228" s="302"/>
      <c r="QC228" s="302"/>
      <c r="QD228" s="302"/>
      <c r="QE228" s="302"/>
      <c r="QF228" s="302"/>
      <c r="QG228" s="302"/>
      <c r="QH228" s="302"/>
      <c r="QI228" s="302"/>
      <c r="QJ228" s="302"/>
      <c r="QK228" s="302"/>
      <c r="QL228" s="302"/>
      <c r="QM228" s="302"/>
      <c r="QN228" s="302"/>
      <c r="QO228" s="302"/>
      <c r="QP228" s="302"/>
      <c r="QQ228" s="302"/>
      <c r="QR228" s="302"/>
      <c r="QS228" s="302"/>
      <c r="QT228" s="302"/>
      <c r="QU228" s="302"/>
      <c r="QV228" s="302"/>
      <c r="QW228" s="302"/>
      <c r="QX228" s="302"/>
      <c r="QY228" s="302"/>
      <c r="QZ228" s="302"/>
      <c r="RA228" s="302"/>
      <c r="RB228" s="302"/>
      <c r="RC228" s="302"/>
      <c r="RD228" s="302"/>
      <c r="RE228" s="302"/>
      <c r="RF228" s="302"/>
      <c r="RG228" s="302"/>
      <c r="RH228" s="302"/>
      <c r="RI228" s="302"/>
      <c r="RJ228" s="302"/>
      <c r="RK228" s="302"/>
      <c r="RL228" s="302"/>
      <c r="RM228" s="302"/>
      <c r="RN228" s="302"/>
      <c r="RO228" s="302"/>
      <c r="RP228" s="302"/>
      <c r="RQ228" s="302"/>
      <c r="RR228" s="302"/>
      <c r="RS228" s="302"/>
      <c r="RT228" s="302"/>
      <c r="RU228" s="302"/>
      <c r="RV228" s="302"/>
      <c r="RW228" s="302"/>
      <c r="RX228" s="302"/>
      <c r="RY228" s="302"/>
      <c r="RZ228" s="302"/>
      <c r="SA228" s="302"/>
      <c r="SB228" s="302"/>
      <c r="SC228" s="302"/>
      <c r="SD228" s="302"/>
      <c r="SE228" s="302"/>
      <c r="SF228" s="302"/>
      <c r="SG228" s="302"/>
      <c r="SH228" s="302"/>
      <c r="SI228" s="302"/>
      <c r="SJ228" s="302"/>
      <c r="SK228" s="302"/>
      <c r="SL228" s="302"/>
      <c r="SM228" s="302"/>
      <c r="SN228" s="302"/>
      <c r="SO228" s="302"/>
      <c r="SP228" s="302"/>
      <c r="SQ228" s="302"/>
      <c r="SR228" s="302"/>
      <c r="SS228" s="302"/>
      <c r="ST228" s="302"/>
      <c r="SU228" s="302"/>
      <c r="SV228" s="302"/>
      <c r="SW228" s="302"/>
      <c r="SX228" s="302"/>
      <c r="SY228" s="302"/>
      <c r="SZ228" s="302"/>
      <c r="TA228" s="302"/>
      <c r="TB228" s="302"/>
      <c r="TC228" s="302"/>
      <c r="TD228" s="302"/>
      <c r="TE228" s="302"/>
      <c r="TF228" s="302"/>
      <c r="TG228" s="302"/>
      <c r="TH228" s="302"/>
      <c r="TI228" s="302"/>
      <c r="TJ228" s="302"/>
      <c r="TK228" s="302"/>
      <c r="TL228" s="302"/>
      <c r="TM228" s="302"/>
      <c r="TN228" s="302"/>
      <c r="TO228" s="302"/>
      <c r="TP228" s="302"/>
      <c r="TQ228" s="302"/>
      <c r="TR228" s="302"/>
      <c r="TS228" s="302"/>
      <c r="TT228" s="302"/>
      <c r="TU228" s="302"/>
      <c r="TV228" s="302"/>
      <c r="TW228" s="302"/>
      <c r="TX228" s="302"/>
      <c r="TY228" s="302"/>
      <c r="TZ228" s="302"/>
      <c r="UA228" s="302"/>
      <c r="UB228" s="302"/>
      <c r="UC228" s="302"/>
      <c r="UD228" s="302"/>
      <c r="UE228" s="302"/>
      <c r="UF228" s="302"/>
      <c r="UG228" s="302"/>
      <c r="UH228" s="302"/>
      <c r="UI228" s="302"/>
      <c r="UJ228" s="302"/>
      <c r="UK228" s="302"/>
      <c r="UL228" s="302"/>
      <c r="UM228" s="302"/>
      <c r="UN228" s="302"/>
      <c r="UO228" s="302"/>
      <c r="UP228" s="302"/>
      <c r="UQ228" s="302"/>
      <c r="UR228" s="302"/>
      <c r="US228" s="302"/>
      <c r="UT228" s="302"/>
      <c r="UU228" s="302"/>
      <c r="UV228" s="302"/>
      <c r="UW228" s="302"/>
      <c r="UX228" s="302"/>
      <c r="UY228" s="302"/>
      <c r="UZ228" s="302"/>
      <c r="VA228" s="302"/>
      <c r="VB228" s="302"/>
      <c r="VC228" s="302"/>
      <c r="VD228" s="302"/>
      <c r="VE228" s="302"/>
      <c r="VF228" s="302"/>
      <c r="VG228" s="302"/>
      <c r="VH228" s="302"/>
      <c r="VI228" s="302"/>
      <c r="VJ228" s="302"/>
      <c r="VK228" s="302"/>
      <c r="VL228" s="302"/>
      <c r="VM228" s="302"/>
      <c r="VN228" s="302"/>
      <c r="VO228" s="302"/>
      <c r="VP228" s="302"/>
      <c r="VQ228" s="302"/>
      <c r="VR228" s="302"/>
      <c r="VS228" s="302"/>
      <c r="VT228" s="302"/>
      <c r="VU228" s="302"/>
      <c r="VV228" s="302"/>
      <c r="VW228" s="302"/>
      <c r="VX228" s="302"/>
      <c r="VY228" s="302"/>
      <c r="VZ228" s="302"/>
      <c r="WA228" s="302"/>
      <c r="WB228" s="302"/>
      <c r="WC228" s="302"/>
      <c r="WD228" s="302"/>
      <c r="WE228" s="302"/>
      <c r="WF228" s="302"/>
      <c r="WG228" s="302"/>
      <c r="WH228" s="302"/>
      <c r="WI228" s="302"/>
      <c r="WJ228" s="302"/>
      <c r="WK228" s="302"/>
      <c r="WL228" s="302"/>
      <c r="WM228" s="302"/>
      <c r="WN228" s="302"/>
      <c r="WO228" s="302"/>
      <c r="WP228" s="302"/>
      <c r="WQ228" s="302"/>
      <c r="WR228" s="302"/>
      <c r="WS228" s="302"/>
      <c r="WT228" s="302"/>
      <c r="WU228" s="302"/>
      <c r="WV228" s="302"/>
      <c r="WW228" s="302"/>
      <c r="WX228" s="302"/>
      <c r="WY228" s="302"/>
      <c r="WZ228" s="302"/>
      <c r="XA228" s="302"/>
      <c r="XB228" s="302"/>
      <c r="XC228" s="302"/>
      <c r="XD228" s="302"/>
      <c r="XE228" s="302"/>
      <c r="XF228" s="302"/>
      <c r="XG228" s="302"/>
      <c r="XH228" s="302"/>
      <c r="XI228" s="302"/>
      <c r="XJ228" s="302"/>
      <c r="XK228" s="302"/>
      <c r="XL228" s="302"/>
      <c r="XM228" s="302"/>
      <c r="XN228" s="302"/>
      <c r="XO228" s="302"/>
      <c r="XP228" s="302"/>
      <c r="XQ228" s="302"/>
      <c r="XR228" s="302"/>
      <c r="XS228" s="302"/>
      <c r="XT228" s="302"/>
      <c r="XU228" s="302"/>
      <c r="XV228" s="302"/>
      <c r="XW228" s="302"/>
      <c r="XX228" s="302"/>
      <c r="XY228" s="302"/>
      <c r="XZ228" s="302"/>
      <c r="YA228" s="302"/>
      <c r="YB228" s="302"/>
      <c r="YC228" s="302"/>
      <c r="YD228" s="302"/>
      <c r="YE228" s="302"/>
      <c r="YF228" s="302"/>
      <c r="YG228" s="302"/>
      <c r="YH228" s="302"/>
      <c r="YI228" s="302"/>
      <c r="YJ228" s="302"/>
      <c r="YK228" s="302"/>
      <c r="YL228" s="302"/>
      <c r="YM228" s="302"/>
      <c r="YN228" s="302"/>
      <c r="YO228" s="302"/>
      <c r="YP228" s="302"/>
      <c r="YQ228" s="302"/>
      <c r="YR228" s="302"/>
      <c r="YS228" s="302"/>
      <c r="YT228" s="302"/>
      <c r="YU228" s="302"/>
      <c r="YV228" s="302"/>
      <c r="YW228" s="302"/>
      <c r="YX228" s="302"/>
      <c r="YY228" s="302"/>
      <c r="YZ228" s="302"/>
      <c r="ZA228" s="302"/>
      <c r="ZB228" s="302"/>
      <c r="ZC228" s="302"/>
      <c r="ZD228" s="302"/>
      <c r="ZE228" s="302"/>
      <c r="ZF228" s="302"/>
      <c r="ZG228" s="302"/>
      <c r="ZH228" s="302"/>
      <c r="ZI228" s="302"/>
      <c r="ZJ228" s="302"/>
      <c r="ZK228" s="302"/>
      <c r="ZL228" s="302"/>
      <c r="ZM228" s="302"/>
      <c r="ZN228" s="302"/>
      <c r="ZO228" s="302"/>
      <c r="ZP228" s="302"/>
      <c r="ZQ228" s="302"/>
      <c r="ZR228" s="302"/>
      <c r="ZS228" s="302"/>
      <c r="ZT228" s="302"/>
      <c r="ZU228" s="302"/>
      <c r="ZV228" s="302"/>
      <c r="ZW228" s="302"/>
      <c r="ZX228" s="302"/>
      <c r="ZY228" s="302"/>
      <c r="ZZ228" s="302"/>
      <c r="AAA228" s="302"/>
      <c r="AAB228" s="302"/>
      <c r="AAC228" s="302"/>
      <c r="AAD228" s="302"/>
      <c r="AAE228" s="302"/>
      <c r="AAF228" s="302"/>
      <c r="AAG228" s="302"/>
      <c r="AAH228" s="302"/>
      <c r="AAI228" s="302"/>
      <c r="AAJ228" s="302"/>
      <c r="AAK228" s="302"/>
      <c r="AAL228" s="302"/>
      <c r="AAM228" s="302"/>
      <c r="AAN228" s="302"/>
      <c r="AAO228" s="302"/>
      <c r="AAP228" s="302"/>
      <c r="AAQ228" s="302"/>
      <c r="AAR228" s="302"/>
      <c r="AAS228" s="302"/>
      <c r="AAT228" s="302"/>
      <c r="AAU228" s="302"/>
      <c r="AAV228" s="302"/>
      <c r="AAW228" s="302"/>
      <c r="AAX228" s="302"/>
      <c r="AAY228" s="302"/>
      <c r="AAZ228" s="302"/>
      <c r="ABA228" s="302"/>
      <c r="ABB228" s="302"/>
      <c r="ABC228" s="302"/>
      <c r="ABD228" s="302"/>
      <c r="ABE228" s="302"/>
      <c r="ABF228" s="302"/>
      <c r="ABG228" s="302"/>
      <c r="ABH228" s="302"/>
      <c r="ABI228" s="302"/>
      <c r="ABJ228" s="302"/>
      <c r="ABK228" s="302"/>
      <c r="ABL228" s="302"/>
      <c r="ABM228" s="302"/>
      <c r="ABN228" s="302"/>
      <c r="ABO228" s="302"/>
      <c r="ABP228" s="302"/>
      <c r="ABQ228" s="302"/>
      <c r="ABR228" s="302"/>
      <c r="ABS228" s="302"/>
      <c r="ABT228" s="302"/>
      <c r="ABU228" s="302"/>
      <c r="ABV228" s="302"/>
      <c r="ABW228" s="302"/>
      <c r="ABX228" s="302"/>
      <c r="ABY228" s="302"/>
      <c r="ABZ228" s="302"/>
      <c r="ACA228" s="302"/>
      <c r="ACB228" s="302"/>
      <c r="ACC228" s="302"/>
      <c r="ACD228" s="302"/>
      <c r="ACE228" s="302"/>
      <c r="ACF228" s="302"/>
      <c r="ACG228" s="302"/>
      <c r="ACH228" s="302"/>
      <c r="ACI228" s="302"/>
      <c r="ACJ228" s="302"/>
      <c r="ACK228" s="302"/>
      <c r="ACL228" s="302"/>
      <c r="ACM228" s="302"/>
      <c r="ACN228" s="302"/>
      <c r="ACO228" s="302"/>
      <c r="ACP228" s="302"/>
      <c r="ACQ228" s="302"/>
      <c r="ACR228" s="302"/>
      <c r="ACS228" s="302"/>
      <c r="ACT228" s="302"/>
      <c r="ACU228" s="302"/>
      <c r="ACV228" s="302"/>
      <c r="ACW228" s="302"/>
      <c r="ACX228" s="302"/>
      <c r="ACY228" s="302"/>
      <c r="ACZ228" s="302"/>
      <c r="ADA228" s="302"/>
      <c r="ADB228" s="302"/>
      <c r="ADC228" s="302"/>
      <c r="ADD228" s="302"/>
      <c r="ADE228" s="302"/>
      <c r="ADF228" s="302"/>
      <c r="ADG228" s="302"/>
      <c r="ADH228" s="302"/>
      <c r="ADI228" s="302"/>
      <c r="ADJ228" s="302"/>
      <c r="ADK228" s="302"/>
      <c r="ADL228" s="302"/>
      <c r="ADM228" s="302"/>
      <c r="ADN228" s="302"/>
      <c r="ADO228" s="302"/>
      <c r="ADP228" s="302"/>
      <c r="ADQ228" s="302"/>
      <c r="ADR228" s="302"/>
      <c r="ADS228" s="302"/>
      <c r="ADT228" s="302"/>
      <c r="ADU228" s="302"/>
      <c r="ADV228" s="302"/>
      <c r="ADW228" s="302"/>
      <c r="ADX228" s="302"/>
      <c r="ADY228" s="302"/>
      <c r="ADZ228" s="302"/>
      <c r="AEA228" s="302"/>
      <c r="AEB228" s="302"/>
      <c r="AEC228" s="302"/>
      <c r="AED228" s="302"/>
      <c r="AEE228" s="302"/>
      <c r="AEF228" s="302"/>
      <c r="AEG228" s="302"/>
      <c r="AEH228" s="302"/>
      <c r="AEI228" s="302"/>
      <c r="AEJ228" s="302"/>
      <c r="AEK228" s="302"/>
      <c r="AEL228" s="302"/>
      <c r="AEM228" s="302"/>
      <c r="AEN228" s="302"/>
      <c r="AEO228" s="302"/>
      <c r="AEP228" s="302"/>
      <c r="AEQ228" s="302"/>
      <c r="AER228" s="302"/>
      <c r="AES228" s="302"/>
      <c r="AET228" s="302"/>
      <c r="AEU228" s="302"/>
      <c r="AEV228" s="302"/>
      <c r="AEW228" s="302"/>
      <c r="AEX228" s="302"/>
      <c r="AEY228" s="302"/>
      <c r="AEZ228" s="302"/>
      <c r="AFA228" s="302"/>
      <c r="AFB228" s="302"/>
      <c r="AFC228" s="302"/>
      <c r="AFD228" s="302"/>
      <c r="AFE228" s="302"/>
      <c r="AFF228" s="302"/>
      <c r="AFG228" s="302"/>
      <c r="AFH228" s="302"/>
      <c r="AFI228" s="302"/>
      <c r="AFJ228" s="302"/>
      <c r="AFK228" s="302"/>
      <c r="AFL228" s="302"/>
      <c r="AFM228" s="302"/>
      <c r="AFN228" s="302"/>
      <c r="AFO228" s="302"/>
      <c r="AFP228" s="302"/>
      <c r="AFQ228" s="302"/>
      <c r="AFR228" s="302"/>
      <c r="AFS228" s="302"/>
      <c r="AFT228" s="302"/>
      <c r="AFU228" s="302"/>
      <c r="AFV228" s="302"/>
      <c r="AFW228" s="302"/>
      <c r="AFX228" s="302"/>
      <c r="AFY228" s="302"/>
      <c r="AFZ228" s="302"/>
      <c r="AGA228" s="302"/>
      <c r="AGB228" s="302"/>
      <c r="AGC228" s="302"/>
      <c r="AGD228" s="302"/>
      <c r="AGE228" s="302"/>
      <c r="AGF228" s="302"/>
      <c r="AGG228" s="302"/>
      <c r="AGH228" s="302"/>
      <c r="AGI228" s="302"/>
      <c r="AGJ228" s="302"/>
      <c r="AGK228" s="302"/>
      <c r="AGL228" s="302"/>
      <c r="AGM228" s="302"/>
      <c r="AGN228" s="302"/>
      <c r="AGO228" s="302"/>
      <c r="AGP228" s="302"/>
      <c r="AGQ228" s="302"/>
      <c r="AGR228" s="302"/>
      <c r="AGS228" s="302"/>
      <c r="AGT228" s="302"/>
      <c r="AGU228" s="302"/>
      <c r="AGV228" s="302"/>
      <c r="AGW228" s="302"/>
      <c r="AGX228" s="302"/>
      <c r="AGY228" s="302"/>
      <c r="AGZ228" s="302"/>
      <c r="AHA228" s="302"/>
      <c r="AHB228" s="302"/>
      <c r="AHC228" s="302"/>
      <c r="AHD228" s="302"/>
      <c r="AHE228" s="302"/>
      <c r="AHF228" s="302"/>
      <c r="AHG228" s="302"/>
      <c r="AHH228" s="302"/>
      <c r="AHI228" s="302"/>
      <c r="AHJ228" s="302"/>
      <c r="AHK228" s="302"/>
      <c r="AHL228" s="302"/>
      <c r="AHM228" s="302"/>
      <c r="AHN228" s="302"/>
      <c r="AHO228" s="302"/>
      <c r="AHP228" s="302"/>
      <c r="AHQ228" s="302"/>
      <c r="AHR228" s="302"/>
      <c r="AHS228" s="302"/>
      <c r="AHT228" s="302"/>
      <c r="AHU228" s="302"/>
      <c r="AHV228" s="302"/>
      <c r="AHW228" s="302"/>
      <c r="AHX228" s="302"/>
      <c r="AHY228" s="302"/>
      <c r="AHZ228" s="302"/>
      <c r="AIA228" s="302"/>
      <c r="AIB228" s="302"/>
      <c r="AIC228" s="302"/>
      <c r="AID228" s="302"/>
      <c r="AIE228" s="302"/>
      <c r="AIF228" s="302"/>
      <c r="AIG228" s="302"/>
      <c r="AIH228" s="302"/>
      <c r="AII228" s="302"/>
      <c r="AIJ228" s="302"/>
      <c r="AIK228" s="302"/>
      <c r="AIL228" s="302"/>
      <c r="AIM228" s="302"/>
      <c r="AIN228" s="302"/>
      <c r="AIO228" s="302"/>
      <c r="AIP228" s="302"/>
      <c r="AIQ228" s="302"/>
      <c r="AIR228" s="302"/>
      <c r="AIS228" s="302"/>
      <c r="AIT228" s="302"/>
      <c r="AIU228" s="302"/>
      <c r="AIV228" s="302"/>
      <c r="AIW228" s="302"/>
      <c r="AIX228" s="302"/>
      <c r="AIY228" s="302"/>
      <c r="AIZ228" s="302"/>
      <c r="AJA228" s="302"/>
      <c r="AJB228" s="302"/>
      <c r="AJC228" s="302"/>
      <c r="AJD228" s="302"/>
      <c r="AJE228" s="302"/>
      <c r="AJF228" s="302"/>
      <c r="AJG228" s="302"/>
      <c r="AJH228" s="302"/>
      <c r="AJI228" s="302"/>
      <c r="AJJ228" s="302"/>
      <c r="AJK228" s="302"/>
      <c r="AJL228" s="302"/>
      <c r="AJM228" s="302"/>
      <c r="AJN228" s="302"/>
      <c r="AJO228" s="302"/>
      <c r="AJP228" s="302"/>
      <c r="AJQ228" s="302"/>
      <c r="AJR228" s="302"/>
      <c r="AJS228" s="302"/>
      <c r="AJT228" s="302"/>
      <c r="AJU228" s="302"/>
      <c r="AJV228" s="302"/>
      <c r="AJW228" s="302"/>
      <c r="AJX228" s="302"/>
      <c r="AJY228" s="302"/>
      <c r="AJZ228" s="302"/>
      <c r="AKA228" s="302"/>
      <c r="AKB228" s="302"/>
      <c r="AKC228" s="302"/>
      <c r="AKD228" s="302"/>
      <c r="AKE228" s="302"/>
      <c r="AKF228" s="302"/>
      <c r="AKG228" s="302"/>
      <c r="AKH228" s="302"/>
      <c r="AKI228" s="302"/>
      <c r="AKJ228" s="302"/>
      <c r="AKK228" s="302"/>
      <c r="AKL228" s="302"/>
      <c r="AKM228" s="302"/>
      <c r="AKN228" s="302"/>
      <c r="AKO228" s="302"/>
      <c r="AKP228" s="302"/>
      <c r="AKQ228" s="302"/>
      <c r="AKR228" s="302"/>
      <c r="AKS228" s="302"/>
      <c r="AKT228" s="302"/>
      <c r="AKU228" s="302"/>
      <c r="AKV228" s="302"/>
      <c r="AKW228" s="302"/>
      <c r="AKX228" s="302"/>
      <c r="AKY228" s="302"/>
      <c r="AKZ228" s="302"/>
      <c r="ALA228" s="302"/>
      <c r="ALB228" s="302"/>
      <c r="ALC228" s="302"/>
      <c r="ALD228" s="302"/>
      <c r="ALE228" s="302"/>
      <c r="ALF228" s="302"/>
      <c r="ALG228" s="302"/>
      <c r="ALH228" s="302"/>
      <c r="ALI228" s="302"/>
      <c r="ALJ228" s="302"/>
      <c r="ALK228" s="302"/>
      <c r="ALL228" s="302"/>
      <c r="ALM228" s="302"/>
      <c r="ALN228" s="302"/>
      <c r="ALO228" s="302"/>
      <c r="ALP228" s="302"/>
      <c r="ALQ228" s="302"/>
      <c r="ALR228" s="302"/>
      <c r="ALS228" s="302"/>
      <c r="ALT228" s="302"/>
      <c r="ALU228" s="302"/>
      <c r="ALV228" s="302"/>
      <c r="ALW228" s="302"/>
      <c r="ALX228" s="302"/>
      <c r="ALY228" s="302"/>
      <c r="ALZ228" s="302"/>
      <c r="AMA228" s="302"/>
      <c r="AMB228" s="302"/>
      <c r="AMC228" s="302"/>
      <c r="AMD228" s="302"/>
      <c r="AME228" s="302"/>
      <c r="AMF228" s="302"/>
      <c r="AMG228" s="302"/>
      <c r="AMH228" s="302"/>
      <c r="AMI228" s="302"/>
    </row>
    <row r="229" spans="1:1023" hidden="1">
      <c r="A229" s="302"/>
      <c r="B229" s="442">
        <v>14020</v>
      </c>
      <c r="C229" s="430">
        <v>0.08</v>
      </c>
      <c r="D229" s="370" t="s">
        <v>165</v>
      </c>
      <c r="E229" s="433">
        <v>1600000</v>
      </c>
      <c r="F229" s="500">
        <v>0.04</v>
      </c>
      <c r="G229" s="364">
        <f t="shared" si="12"/>
        <v>64000</v>
      </c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2"/>
      <c r="AE229" s="302"/>
      <c r="AF229" s="302"/>
      <c r="AG229" s="302"/>
      <c r="AH229" s="302"/>
      <c r="AI229" s="302"/>
      <c r="AJ229" s="302"/>
      <c r="AK229" s="302"/>
      <c r="AL229" s="302"/>
      <c r="AM229" s="302"/>
      <c r="AN229" s="302"/>
      <c r="AO229" s="302"/>
      <c r="AP229" s="302"/>
      <c r="AQ229" s="302"/>
      <c r="AR229" s="302"/>
      <c r="AS229" s="302"/>
      <c r="AT229" s="302"/>
      <c r="AU229" s="302"/>
      <c r="AV229" s="302"/>
      <c r="AW229" s="302"/>
      <c r="AX229" s="302"/>
      <c r="AY229" s="302"/>
      <c r="AZ229" s="302"/>
      <c r="BA229" s="302"/>
      <c r="BB229" s="302"/>
      <c r="BC229" s="302"/>
      <c r="BD229" s="302"/>
      <c r="BE229" s="302"/>
      <c r="BF229" s="302"/>
      <c r="BG229" s="302"/>
      <c r="BH229" s="302"/>
      <c r="BI229" s="302"/>
      <c r="BJ229" s="302"/>
      <c r="BK229" s="302"/>
      <c r="BL229" s="302"/>
      <c r="BM229" s="302"/>
      <c r="BN229" s="302"/>
      <c r="BO229" s="302"/>
      <c r="BP229" s="302"/>
      <c r="BQ229" s="302"/>
      <c r="BR229" s="302"/>
      <c r="BS229" s="302"/>
      <c r="BT229" s="302"/>
      <c r="BU229" s="302"/>
      <c r="BV229" s="302"/>
      <c r="BW229" s="302"/>
      <c r="BX229" s="302"/>
      <c r="BY229" s="302"/>
      <c r="BZ229" s="302"/>
      <c r="CA229" s="302"/>
      <c r="CB229" s="302"/>
      <c r="CC229" s="302"/>
      <c r="CD229" s="302"/>
      <c r="CE229" s="302"/>
      <c r="CF229" s="302"/>
      <c r="CG229" s="302"/>
      <c r="CH229" s="302"/>
      <c r="CI229" s="302"/>
      <c r="CJ229" s="302"/>
      <c r="CK229" s="302"/>
      <c r="CL229" s="302"/>
      <c r="CM229" s="302"/>
      <c r="CN229" s="302"/>
      <c r="CO229" s="302"/>
      <c r="CP229" s="302"/>
      <c r="CQ229" s="302"/>
      <c r="CR229" s="302"/>
      <c r="CS229" s="302"/>
      <c r="CT229" s="302"/>
      <c r="CU229" s="302"/>
      <c r="CV229" s="302"/>
      <c r="CW229" s="302"/>
      <c r="CX229" s="302"/>
      <c r="CY229" s="302"/>
      <c r="CZ229" s="302"/>
      <c r="DA229" s="302"/>
      <c r="DB229" s="302"/>
      <c r="DC229" s="302"/>
      <c r="DD229" s="302"/>
      <c r="DE229" s="302"/>
      <c r="DF229" s="302"/>
      <c r="DG229" s="302"/>
      <c r="DH229" s="302"/>
      <c r="DI229" s="302"/>
      <c r="DJ229" s="302"/>
      <c r="DK229" s="302"/>
      <c r="DL229" s="302"/>
      <c r="DM229" s="302"/>
      <c r="DN229" s="302"/>
      <c r="DO229" s="302"/>
      <c r="DP229" s="302"/>
      <c r="DQ229" s="302"/>
      <c r="DR229" s="302"/>
      <c r="DS229" s="302"/>
      <c r="DT229" s="302"/>
      <c r="DU229" s="302"/>
      <c r="DV229" s="302"/>
      <c r="DW229" s="302"/>
      <c r="DX229" s="302"/>
      <c r="DY229" s="302"/>
      <c r="DZ229" s="302"/>
      <c r="EA229" s="302"/>
      <c r="EB229" s="302"/>
      <c r="EC229" s="302"/>
      <c r="ED229" s="302"/>
      <c r="EE229" s="302"/>
      <c r="EF229" s="302"/>
      <c r="EG229" s="302"/>
      <c r="EH229" s="302"/>
      <c r="EI229" s="302"/>
      <c r="EJ229" s="302"/>
      <c r="EK229" s="302"/>
      <c r="EL229" s="302"/>
      <c r="EM229" s="302"/>
      <c r="EN229" s="302"/>
      <c r="EO229" s="302"/>
      <c r="EP229" s="302"/>
      <c r="EQ229" s="302"/>
      <c r="ER229" s="302"/>
      <c r="ES229" s="302"/>
      <c r="ET229" s="302"/>
      <c r="EU229" s="302"/>
      <c r="EV229" s="302"/>
      <c r="EW229" s="302"/>
      <c r="EX229" s="302"/>
      <c r="EY229" s="302"/>
      <c r="EZ229" s="302"/>
      <c r="FA229" s="302"/>
      <c r="FB229" s="302"/>
      <c r="FC229" s="302"/>
      <c r="FD229" s="302"/>
      <c r="FE229" s="302"/>
      <c r="FF229" s="302"/>
      <c r="FG229" s="302"/>
      <c r="FH229" s="302"/>
      <c r="FI229" s="302"/>
      <c r="FJ229" s="302"/>
      <c r="FK229" s="302"/>
      <c r="FL229" s="302"/>
      <c r="FM229" s="302"/>
      <c r="FN229" s="302"/>
      <c r="FO229" s="302"/>
      <c r="FP229" s="302"/>
      <c r="FQ229" s="302"/>
      <c r="FR229" s="302"/>
      <c r="FS229" s="302"/>
      <c r="FT229" s="302"/>
      <c r="FU229" s="302"/>
      <c r="FV229" s="302"/>
      <c r="FW229" s="302"/>
      <c r="FX229" s="302"/>
      <c r="FY229" s="302"/>
      <c r="FZ229" s="302"/>
      <c r="GA229" s="302"/>
      <c r="GB229" s="302"/>
      <c r="GC229" s="302"/>
      <c r="GD229" s="302"/>
      <c r="GE229" s="302"/>
      <c r="GF229" s="302"/>
      <c r="GG229" s="302"/>
      <c r="GH229" s="302"/>
      <c r="GI229" s="302"/>
      <c r="GJ229" s="302"/>
      <c r="GK229" s="302"/>
      <c r="GL229" s="302"/>
      <c r="GM229" s="302"/>
      <c r="GN229" s="302"/>
      <c r="GO229" s="302"/>
      <c r="GP229" s="302"/>
      <c r="GQ229" s="302"/>
      <c r="GR229" s="302"/>
      <c r="GS229" s="302"/>
      <c r="GT229" s="302"/>
      <c r="GU229" s="302"/>
      <c r="GV229" s="302"/>
      <c r="GW229" s="302"/>
      <c r="GX229" s="302"/>
      <c r="GY229" s="302"/>
      <c r="GZ229" s="302"/>
      <c r="HA229" s="302"/>
      <c r="HB229" s="302"/>
      <c r="HC229" s="302"/>
      <c r="HD229" s="302"/>
      <c r="HE229" s="302"/>
      <c r="HF229" s="302"/>
      <c r="HG229" s="302"/>
      <c r="HH229" s="302"/>
      <c r="HI229" s="302"/>
      <c r="HJ229" s="302"/>
      <c r="HK229" s="302"/>
      <c r="HL229" s="302"/>
      <c r="HM229" s="302"/>
      <c r="HN229" s="302"/>
      <c r="HO229" s="302"/>
      <c r="HP229" s="302"/>
      <c r="HQ229" s="302"/>
      <c r="HR229" s="302"/>
      <c r="HS229" s="302"/>
      <c r="HT229" s="302"/>
      <c r="HU229" s="302"/>
      <c r="HV229" s="302"/>
      <c r="HW229" s="302"/>
      <c r="HX229" s="302"/>
      <c r="HY229" s="302"/>
      <c r="HZ229" s="302"/>
      <c r="IA229" s="302"/>
      <c r="IB229" s="302"/>
      <c r="IC229" s="302"/>
      <c r="ID229" s="302"/>
      <c r="IE229" s="302"/>
      <c r="IF229" s="302"/>
      <c r="IG229" s="302"/>
      <c r="IH229" s="302"/>
      <c r="II229" s="302"/>
      <c r="IJ229" s="302"/>
      <c r="IK229" s="302"/>
      <c r="IL229" s="302"/>
      <c r="IM229" s="302"/>
      <c r="IN229" s="302"/>
      <c r="IO229" s="302"/>
      <c r="IP229" s="302"/>
      <c r="IQ229" s="302"/>
      <c r="IR229" s="302"/>
      <c r="IS229" s="302"/>
      <c r="IT229" s="302"/>
      <c r="IU229" s="302"/>
      <c r="IV229" s="302"/>
      <c r="IW229" s="302"/>
      <c r="IX229" s="302"/>
      <c r="IY229" s="302"/>
      <c r="IZ229" s="302"/>
      <c r="JA229" s="302"/>
      <c r="JB229" s="302"/>
      <c r="JC229" s="302"/>
      <c r="JD229" s="302"/>
      <c r="JE229" s="302"/>
      <c r="JF229" s="302"/>
      <c r="JG229" s="302"/>
      <c r="JH229" s="302"/>
      <c r="JI229" s="302"/>
      <c r="JJ229" s="302"/>
      <c r="JK229" s="302"/>
      <c r="JL229" s="302"/>
      <c r="JM229" s="302"/>
      <c r="JN229" s="302"/>
      <c r="JO229" s="302"/>
      <c r="JP229" s="302"/>
      <c r="JQ229" s="302"/>
      <c r="JR229" s="302"/>
      <c r="JS229" s="302"/>
      <c r="JT229" s="302"/>
      <c r="JU229" s="302"/>
      <c r="JV229" s="302"/>
      <c r="JW229" s="302"/>
      <c r="JX229" s="302"/>
      <c r="JY229" s="302"/>
      <c r="JZ229" s="302"/>
      <c r="KA229" s="302"/>
      <c r="KB229" s="302"/>
      <c r="KC229" s="302"/>
      <c r="KD229" s="302"/>
      <c r="KE229" s="302"/>
      <c r="KF229" s="302"/>
      <c r="KG229" s="302"/>
      <c r="KH229" s="302"/>
      <c r="KI229" s="302"/>
      <c r="KJ229" s="302"/>
      <c r="KK229" s="302"/>
      <c r="KL229" s="302"/>
      <c r="KM229" s="302"/>
      <c r="KN229" s="302"/>
      <c r="KO229" s="302"/>
      <c r="KP229" s="302"/>
      <c r="KQ229" s="302"/>
      <c r="KR229" s="302"/>
      <c r="KS229" s="302"/>
      <c r="KT229" s="302"/>
      <c r="KU229" s="302"/>
      <c r="KV229" s="302"/>
      <c r="KW229" s="302"/>
      <c r="KX229" s="302"/>
      <c r="KY229" s="302"/>
      <c r="KZ229" s="302"/>
      <c r="LA229" s="302"/>
      <c r="LB229" s="302"/>
      <c r="LC229" s="302"/>
      <c r="LD229" s="302"/>
      <c r="LE229" s="302"/>
      <c r="LF229" s="302"/>
      <c r="LG229" s="302"/>
      <c r="LH229" s="302"/>
      <c r="LI229" s="302"/>
      <c r="LJ229" s="302"/>
      <c r="LK229" s="302"/>
      <c r="LL229" s="302"/>
      <c r="LM229" s="302"/>
      <c r="LN229" s="302"/>
      <c r="LO229" s="302"/>
      <c r="LP229" s="302"/>
      <c r="LQ229" s="302"/>
      <c r="LR229" s="302"/>
      <c r="LS229" s="302"/>
      <c r="LT229" s="302"/>
      <c r="LU229" s="302"/>
      <c r="LV229" s="302"/>
      <c r="LW229" s="302"/>
      <c r="LX229" s="302"/>
      <c r="LY229" s="302"/>
      <c r="LZ229" s="302"/>
      <c r="MA229" s="302"/>
      <c r="MB229" s="302"/>
      <c r="MC229" s="302"/>
      <c r="MD229" s="302"/>
      <c r="ME229" s="302"/>
      <c r="MF229" s="302"/>
      <c r="MG229" s="302"/>
      <c r="MH229" s="302"/>
      <c r="MI229" s="302"/>
      <c r="MJ229" s="302"/>
      <c r="MK229" s="302"/>
      <c r="ML229" s="302"/>
      <c r="MM229" s="302"/>
      <c r="MN229" s="302"/>
      <c r="MO229" s="302"/>
      <c r="MP229" s="302"/>
      <c r="MQ229" s="302"/>
      <c r="MR229" s="302"/>
      <c r="MS229" s="302"/>
      <c r="MT229" s="302"/>
      <c r="MU229" s="302"/>
      <c r="MV229" s="302"/>
      <c r="MW229" s="302"/>
      <c r="MX229" s="302"/>
      <c r="MY229" s="302"/>
      <c r="MZ229" s="302"/>
      <c r="NA229" s="302"/>
      <c r="NB229" s="302"/>
      <c r="NC229" s="302"/>
      <c r="ND229" s="302"/>
      <c r="NE229" s="302"/>
      <c r="NF229" s="302"/>
      <c r="NG229" s="302"/>
      <c r="NH229" s="302"/>
      <c r="NI229" s="302"/>
      <c r="NJ229" s="302"/>
      <c r="NK229" s="302"/>
      <c r="NL229" s="302"/>
      <c r="NM229" s="302"/>
      <c r="NN229" s="302"/>
      <c r="NO229" s="302"/>
      <c r="NP229" s="302"/>
      <c r="NQ229" s="302"/>
      <c r="NR229" s="302"/>
      <c r="NS229" s="302"/>
      <c r="NT229" s="302"/>
      <c r="NU229" s="302"/>
      <c r="NV229" s="302"/>
      <c r="NW229" s="302"/>
      <c r="NX229" s="302"/>
      <c r="NY229" s="302"/>
      <c r="NZ229" s="302"/>
      <c r="OA229" s="302"/>
      <c r="OB229" s="302"/>
      <c r="OC229" s="302"/>
      <c r="OD229" s="302"/>
      <c r="OE229" s="302"/>
      <c r="OF229" s="302"/>
      <c r="OG229" s="302"/>
      <c r="OH229" s="302"/>
      <c r="OI229" s="302"/>
      <c r="OJ229" s="302"/>
      <c r="OK229" s="302"/>
      <c r="OL229" s="302"/>
      <c r="OM229" s="302"/>
      <c r="ON229" s="302"/>
      <c r="OO229" s="302"/>
      <c r="OP229" s="302"/>
      <c r="OQ229" s="302"/>
      <c r="OR229" s="302"/>
      <c r="OS229" s="302"/>
      <c r="OT229" s="302"/>
      <c r="OU229" s="302"/>
      <c r="OV229" s="302"/>
      <c r="OW229" s="302"/>
      <c r="OX229" s="302"/>
      <c r="OY229" s="302"/>
      <c r="OZ229" s="302"/>
      <c r="PA229" s="302"/>
      <c r="PB229" s="302"/>
      <c r="PC229" s="302"/>
      <c r="PD229" s="302"/>
      <c r="PE229" s="302"/>
      <c r="PF229" s="302"/>
      <c r="PG229" s="302"/>
      <c r="PH229" s="302"/>
      <c r="PI229" s="302"/>
      <c r="PJ229" s="302"/>
      <c r="PK229" s="302"/>
      <c r="PL229" s="302"/>
      <c r="PM229" s="302"/>
      <c r="PN229" s="302"/>
      <c r="PO229" s="302"/>
      <c r="PP229" s="302"/>
      <c r="PQ229" s="302"/>
      <c r="PR229" s="302"/>
      <c r="PS229" s="302"/>
      <c r="PT229" s="302"/>
      <c r="PU229" s="302"/>
      <c r="PV229" s="302"/>
      <c r="PW229" s="302"/>
      <c r="PX229" s="302"/>
      <c r="PY229" s="302"/>
      <c r="PZ229" s="302"/>
      <c r="QA229" s="302"/>
      <c r="QB229" s="302"/>
      <c r="QC229" s="302"/>
      <c r="QD229" s="302"/>
      <c r="QE229" s="302"/>
      <c r="QF229" s="302"/>
      <c r="QG229" s="302"/>
      <c r="QH229" s="302"/>
      <c r="QI229" s="302"/>
      <c r="QJ229" s="302"/>
      <c r="QK229" s="302"/>
      <c r="QL229" s="302"/>
      <c r="QM229" s="302"/>
      <c r="QN229" s="302"/>
      <c r="QO229" s="302"/>
      <c r="QP229" s="302"/>
      <c r="QQ229" s="302"/>
      <c r="QR229" s="302"/>
      <c r="QS229" s="302"/>
      <c r="QT229" s="302"/>
      <c r="QU229" s="302"/>
      <c r="QV229" s="302"/>
      <c r="QW229" s="302"/>
      <c r="QX229" s="302"/>
      <c r="QY229" s="302"/>
      <c r="QZ229" s="302"/>
      <c r="RA229" s="302"/>
      <c r="RB229" s="302"/>
      <c r="RC229" s="302"/>
      <c r="RD229" s="302"/>
      <c r="RE229" s="302"/>
      <c r="RF229" s="302"/>
      <c r="RG229" s="302"/>
      <c r="RH229" s="302"/>
      <c r="RI229" s="302"/>
      <c r="RJ229" s="302"/>
      <c r="RK229" s="302"/>
      <c r="RL229" s="302"/>
      <c r="RM229" s="302"/>
      <c r="RN229" s="302"/>
      <c r="RO229" s="302"/>
      <c r="RP229" s="302"/>
      <c r="RQ229" s="302"/>
      <c r="RR229" s="302"/>
      <c r="RS229" s="302"/>
      <c r="RT229" s="302"/>
      <c r="RU229" s="302"/>
      <c r="RV229" s="302"/>
      <c r="RW229" s="302"/>
      <c r="RX229" s="302"/>
      <c r="RY229" s="302"/>
      <c r="RZ229" s="302"/>
      <c r="SA229" s="302"/>
      <c r="SB229" s="302"/>
      <c r="SC229" s="302"/>
      <c r="SD229" s="302"/>
      <c r="SE229" s="302"/>
      <c r="SF229" s="302"/>
      <c r="SG229" s="302"/>
      <c r="SH229" s="302"/>
      <c r="SI229" s="302"/>
      <c r="SJ229" s="302"/>
      <c r="SK229" s="302"/>
      <c r="SL229" s="302"/>
      <c r="SM229" s="302"/>
      <c r="SN229" s="302"/>
      <c r="SO229" s="302"/>
      <c r="SP229" s="302"/>
      <c r="SQ229" s="302"/>
      <c r="SR229" s="302"/>
      <c r="SS229" s="302"/>
      <c r="ST229" s="302"/>
      <c r="SU229" s="302"/>
      <c r="SV229" s="302"/>
      <c r="SW229" s="302"/>
      <c r="SX229" s="302"/>
      <c r="SY229" s="302"/>
      <c r="SZ229" s="302"/>
      <c r="TA229" s="302"/>
      <c r="TB229" s="302"/>
      <c r="TC229" s="302"/>
      <c r="TD229" s="302"/>
      <c r="TE229" s="302"/>
      <c r="TF229" s="302"/>
      <c r="TG229" s="302"/>
      <c r="TH229" s="302"/>
      <c r="TI229" s="302"/>
      <c r="TJ229" s="302"/>
      <c r="TK229" s="302"/>
      <c r="TL229" s="302"/>
      <c r="TM229" s="302"/>
      <c r="TN229" s="302"/>
      <c r="TO229" s="302"/>
      <c r="TP229" s="302"/>
      <c r="TQ229" s="302"/>
      <c r="TR229" s="302"/>
      <c r="TS229" s="302"/>
      <c r="TT229" s="302"/>
      <c r="TU229" s="302"/>
      <c r="TV229" s="302"/>
      <c r="TW229" s="302"/>
      <c r="TX229" s="302"/>
      <c r="TY229" s="302"/>
      <c r="TZ229" s="302"/>
      <c r="UA229" s="302"/>
      <c r="UB229" s="302"/>
      <c r="UC229" s="302"/>
      <c r="UD229" s="302"/>
      <c r="UE229" s="302"/>
      <c r="UF229" s="302"/>
      <c r="UG229" s="302"/>
      <c r="UH229" s="302"/>
      <c r="UI229" s="302"/>
      <c r="UJ229" s="302"/>
      <c r="UK229" s="302"/>
      <c r="UL229" s="302"/>
      <c r="UM229" s="302"/>
      <c r="UN229" s="302"/>
      <c r="UO229" s="302"/>
      <c r="UP229" s="302"/>
      <c r="UQ229" s="302"/>
      <c r="UR229" s="302"/>
      <c r="US229" s="302"/>
      <c r="UT229" s="302"/>
      <c r="UU229" s="302"/>
      <c r="UV229" s="302"/>
      <c r="UW229" s="302"/>
      <c r="UX229" s="302"/>
      <c r="UY229" s="302"/>
      <c r="UZ229" s="302"/>
      <c r="VA229" s="302"/>
      <c r="VB229" s="302"/>
      <c r="VC229" s="302"/>
      <c r="VD229" s="302"/>
      <c r="VE229" s="302"/>
      <c r="VF229" s="302"/>
      <c r="VG229" s="302"/>
      <c r="VH229" s="302"/>
      <c r="VI229" s="302"/>
      <c r="VJ229" s="302"/>
      <c r="VK229" s="302"/>
      <c r="VL229" s="302"/>
      <c r="VM229" s="302"/>
      <c r="VN229" s="302"/>
      <c r="VO229" s="302"/>
      <c r="VP229" s="302"/>
      <c r="VQ229" s="302"/>
      <c r="VR229" s="302"/>
      <c r="VS229" s="302"/>
      <c r="VT229" s="302"/>
      <c r="VU229" s="302"/>
      <c r="VV229" s="302"/>
      <c r="VW229" s="302"/>
      <c r="VX229" s="302"/>
      <c r="VY229" s="302"/>
      <c r="VZ229" s="302"/>
      <c r="WA229" s="302"/>
      <c r="WB229" s="302"/>
      <c r="WC229" s="302"/>
      <c r="WD229" s="302"/>
      <c r="WE229" s="302"/>
      <c r="WF229" s="302"/>
      <c r="WG229" s="302"/>
      <c r="WH229" s="302"/>
      <c r="WI229" s="302"/>
      <c r="WJ229" s="302"/>
      <c r="WK229" s="302"/>
      <c r="WL229" s="302"/>
      <c r="WM229" s="302"/>
      <c r="WN229" s="302"/>
      <c r="WO229" s="302"/>
      <c r="WP229" s="302"/>
      <c r="WQ229" s="302"/>
      <c r="WR229" s="302"/>
      <c r="WS229" s="302"/>
      <c r="WT229" s="302"/>
      <c r="WU229" s="302"/>
      <c r="WV229" s="302"/>
      <c r="WW229" s="302"/>
      <c r="WX229" s="302"/>
      <c r="WY229" s="302"/>
      <c r="WZ229" s="302"/>
      <c r="XA229" s="302"/>
      <c r="XB229" s="302"/>
      <c r="XC229" s="302"/>
      <c r="XD229" s="302"/>
      <c r="XE229" s="302"/>
      <c r="XF229" s="302"/>
      <c r="XG229" s="302"/>
      <c r="XH229" s="302"/>
      <c r="XI229" s="302"/>
      <c r="XJ229" s="302"/>
      <c r="XK229" s="302"/>
      <c r="XL229" s="302"/>
      <c r="XM229" s="302"/>
      <c r="XN229" s="302"/>
      <c r="XO229" s="302"/>
      <c r="XP229" s="302"/>
      <c r="XQ229" s="302"/>
      <c r="XR229" s="302"/>
      <c r="XS229" s="302"/>
      <c r="XT229" s="302"/>
      <c r="XU229" s="302"/>
      <c r="XV229" s="302"/>
      <c r="XW229" s="302"/>
      <c r="XX229" s="302"/>
      <c r="XY229" s="302"/>
      <c r="XZ229" s="302"/>
      <c r="YA229" s="302"/>
      <c r="YB229" s="302"/>
      <c r="YC229" s="302"/>
      <c r="YD229" s="302"/>
      <c r="YE229" s="302"/>
      <c r="YF229" s="302"/>
      <c r="YG229" s="302"/>
      <c r="YH229" s="302"/>
      <c r="YI229" s="302"/>
      <c r="YJ229" s="302"/>
      <c r="YK229" s="302"/>
      <c r="YL229" s="302"/>
      <c r="YM229" s="302"/>
      <c r="YN229" s="302"/>
      <c r="YO229" s="302"/>
      <c r="YP229" s="302"/>
      <c r="YQ229" s="302"/>
      <c r="YR229" s="302"/>
      <c r="YS229" s="302"/>
      <c r="YT229" s="302"/>
      <c r="YU229" s="302"/>
      <c r="YV229" s="302"/>
      <c r="YW229" s="302"/>
      <c r="YX229" s="302"/>
      <c r="YY229" s="302"/>
      <c r="YZ229" s="302"/>
      <c r="ZA229" s="302"/>
      <c r="ZB229" s="302"/>
      <c r="ZC229" s="302"/>
      <c r="ZD229" s="302"/>
      <c r="ZE229" s="302"/>
      <c r="ZF229" s="302"/>
      <c r="ZG229" s="302"/>
      <c r="ZH229" s="302"/>
      <c r="ZI229" s="302"/>
      <c r="ZJ229" s="302"/>
      <c r="ZK229" s="302"/>
      <c r="ZL229" s="302"/>
      <c r="ZM229" s="302"/>
      <c r="ZN229" s="302"/>
      <c r="ZO229" s="302"/>
      <c r="ZP229" s="302"/>
      <c r="ZQ229" s="302"/>
      <c r="ZR229" s="302"/>
      <c r="ZS229" s="302"/>
      <c r="ZT229" s="302"/>
      <c r="ZU229" s="302"/>
      <c r="ZV229" s="302"/>
      <c r="ZW229" s="302"/>
      <c r="ZX229" s="302"/>
      <c r="ZY229" s="302"/>
      <c r="ZZ229" s="302"/>
      <c r="AAA229" s="302"/>
      <c r="AAB229" s="302"/>
      <c r="AAC229" s="302"/>
      <c r="AAD229" s="302"/>
      <c r="AAE229" s="302"/>
      <c r="AAF229" s="302"/>
      <c r="AAG229" s="302"/>
      <c r="AAH229" s="302"/>
      <c r="AAI229" s="302"/>
      <c r="AAJ229" s="302"/>
      <c r="AAK229" s="302"/>
      <c r="AAL229" s="302"/>
      <c r="AAM229" s="302"/>
      <c r="AAN229" s="302"/>
      <c r="AAO229" s="302"/>
      <c r="AAP229" s="302"/>
      <c r="AAQ229" s="302"/>
      <c r="AAR229" s="302"/>
      <c r="AAS229" s="302"/>
      <c r="AAT229" s="302"/>
      <c r="AAU229" s="302"/>
      <c r="AAV229" s="302"/>
      <c r="AAW229" s="302"/>
      <c r="AAX229" s="302"/>
      <c r="AAY229" s="302"/>
      <c r="AAZ229" s="302"/>
      <c r="ABA229" s="302"/>
      <c r="ABB229" s="302"/>
      <c r="ABC229" s="302"/>
      <c r="ABD229" s="302"/>
      <c r="ABE229" s="302"/>
      <c r="ABF229" s="302"/>
      <c r="ABG229" s="302"/>
      <c r="ABH229" s="302"/>
      <c r="ABI229" s="302"/>
      <c r="ABJ229" s="302"/>
      <c r="ABK229" s="302"/>
      <c r="ABL229" s="302"/>
      <c r="ABM229" s="302"/>
      <c r="ABN229" s="302"/>
      <c r="ABO229" s="302"/>
      <c r="ABP229" s="302"/>
      <c r="ABQ229" s="302"/>
      <c r="ABR229" s="302"/>
      <c r="ABS229" s="302"/>
      <c r="ABT229" s="302"/>
      <c r="ABU229" s="302"/>
      <c r="ABV229" s="302"/>
      <c r="ABW229" s="302"/>
      <c r="ABX229" s="302"/>
      <c r="ABY229" s="302"/>
      <c r="ABZ229" s="302"/>
      <c r="ACA229" s="302"/>
      <c r="ACB229" s="302"/>
      <c r="ACC229" s="302"/>
      <c r="ACD229" s="302"/>
      <c r="ACE229" s="302"/>
      <c r="ACF229" s="302"/>
      <c r="ACG229" s="302"/>
      <c r="ACH229" s="302"/>
      <c r="ACI229" s="302"/>
      <c r="ACJ229" s="302"/>
      <c r="ACK229" s="302"/>
      <c r="ACL229" s="302"/>
      <c r="ACM229" s="302"/>
      <c r="ACN229" s="302"/>
      <c r="ACO229" s="302"/>
      <c r="ACP229" s="302"/>
      <c r="ACQ229" s="302"/>
      <c r="ACR229" s="302"/>
      <c r="ACS229" s="302"/>
      <c r="ACT229" s="302"/>
      <c r="ACU229" s="302"/>
      <c r="ACV229" s="302"/>
      <c r="ACW229" s="302"/>
      <c r="ACX229" s="302"/>
      <c r="ACY229" s="302"/>
      <c r="ACZ229" s="302"/>
      <c r="ADA229" s="302"/>
      <c r="ADB229" s="302"/>
      <c r="ADC229" s="302"/>
      <c r="ADD229" s="302"/>
      <c r="ADE229" s="302"/>
      <c r="ADF229" s="302"/>
      <c r="ADG229" s="302"/>
      <c r="ADH229" s="302"/>
      <c r="ADI229" s="302"/>
      <c r="ADJ229" s="302"/>
      <c r="ADK229" s="302"/>
      <c r="ADL229" s="302"/>
      <c r="ADM229" s="302"/>
      <c r="ADN229" s="302"/>
      <c r="ADO229" s="302"/>
      <c r="ADP229" s="302"/>
      <c r="ADQ229" s="302"/>
      <c r="ADR229" s="302"/>
      <c r="ADS229" s="302"/>
      <c r="ADT229" s="302"/>
      <c r="ADU229" s="302"/>
      <c r="ADV229" s="302"/>
      <c r="ADW229" s="302"/>
      <c r="ADX229" s="302"/>
      <c r="ADY229" s="302"/>
      <c r="ADZ229" s="302"/>
      <c r="AEA229" s="302"/>
      <c r="AEB229" s="302"/>
      <c r="AEC229" s="302"/>
      <c r="AED229" s="302"/>
      <c r="AEE229" s="302"/>
      <c r="AEF229" s="302"/>
      <c r="AEG229" s="302"/>
      <c r="AEH229" s="302"/>
      <c r="AEI229" s="302"/>
      <c r="AEJ229" s="302"/>
      <c r="AEK229" s="302"/>
      <c r="AEL229" s="302"/>
      <c r="AEM229" s="302"/>
      <c r="AEN229" s="302"/>
      <c r="AEO229" s="302"/>
      <c r="AEP229" s="302"/>
      <c r="AEQ229" s="302"/>
      <c r="AER229" s="302"/>
      <c r="AES229" s="302"/>
      <c r="AET229" s="302"/>
      <c r="AEU229" s="302"/>
      <c r="AEV229" s="302"/>
      <c r="AEW229" s="302"/>
      <c r="AEX229" s="302"/>
      <c r="AEY229" s="302"/>
      <c r="AEZ229" s="302"/>
      <c r="AFA229" s="302"/>
      <c r="AFB229" s="302"/>
      <c r="AFC229" s="302"/>
      <c r="AFD229" s="302"/>
      <c r="AFE229" s="302"/>
      <c r="AFF229" s="302"/>
      <c r="AFG229" s="302"/>
      <c r="AFH229" s="302"/>
      <c r="AFI229" s="302"/>
      <c r="AFJ229" s="302"/>
      <c r="AFK229" s="302"/>
      <c r="AFL229" s="302"/>
      <c r="AFM229" s="302"/>
      <c r="AFN229" s="302"/>
      <c r="AFO229" s="302"/>
      <c r="AFP229" s="302"/>
      <c r="AFQ229" s="302"/>
      <c r="AFR229" s="302"/>
      <c r="AFS229" s="302"/>
      <c r="AFT229" s="302"/>
      <c r="AFU229" s="302"/>
      <c r="AFV229" s="302"/>
      <c r="AFW229" s="302"/>
      <c r="AFX229" s="302"/>
      <c r="AFY229" s="302"/>
      <c r="AFZ229" s="302"/>
      <c r="AGA229" s="302"/>
      <c r="AGB229" s="302"/>
      <c r="AGC229" s="302"/>
      <c r="AGD229" s="302"/>
      <c r="AGE229" s="302"/>
      <c r="AGF229" s="302"/>
      <c r="AGG229" s="302"/>
      <c r="AGH229" s="302"/>
      <c r="AGI229" s="302"/>
      <c r="AGJ229" s="302"/>
      <c r="AGK229" s="302"/>
      <c r="AGL229" s="302"/>
      <c r="AGM229" s="302"/>
      <c r="AGN229" s="302"/>
      <c r="AGO229" s="302"/>
      <c r="AGP229" s="302"/>
      <c r="AGQ229" s="302"/>
      <c r="AGR229" s="302"/>
      <c r="AGS229" s="302"/>
      <c r="AGT229" s="302"/>
      <c r="AGU229" s="302"/>
      <c r="AGV229" s="302"/>
      <c r="AGW229" s="302"/>
      <c r="AGX229" s="302"/>
      <c r="AGY229" s="302"/>
      <c r="AGZ229" s="302"/>
      <c r="AHA229" s="302"/>
      <c r="AHB229" s="302"/>
      <c r="AHC229" s="302"/>
      <c r="AHD229" s="302"/>
      <c r="AHE229" s="302"/>
      <c r="AHF229" s="302"/>
      <c r="AHG229" s="302"/>
      <c r="AHH229" s="302"/>
      <c r="AHI229" s="302"/>
      <c r="AHJ229" s="302"/>
      <c r="AHK229" s="302"/>
      <c r="AHL229" s="302"/>
      <c r="AHM229" s="302"/>
      <c r="AHN229" s="302"/>
      <c r="AHO229" s="302"/>
      <c r="AHP229" s="302"/>
      <c r="AHQ229" s="302"/>
      <c r="AHR229" s="302"/>
      <c r="AHS229" s="302"/>
      <c r="AHT229" s="302"/>
      <c r="AHU229" s="302"/>
      <c r="AHV229" s="302"/>
      <c r="AHW229" s="302"/>
      <c r="AHX229" s="302"/>
      <c r="AHY229" s="302"/>
      <c r="AHZ229" s="302"/>
      <c r="AIA229" s="302"/>
      <c r="AIB229" s="302"/>
      <c r="AIC229" s="302"/>
      <c r="AID229" s="302"/>
      <c r="AIE229" s="302"/>
      <c r="AIF229" s="302"/>
      <c r="AIG229" s="302"/>
      <c r="AIH229" s="302"/>
      <c r="AII229" s="302"/>
      <c r="AIJ229" s="302"/>
      <c r="AIK229" s="302"/>
      <c r="AIL229" s="302"/>
      <c r="AIM229" s="302"/>
      <c r="AIN229" s="302"/>
      <c r="AIO229" s="302"/>
      <c r="AIP229" s="302"/>
      <c r="AIQ229" s="302"/>
      <c r="AIR229" s="302"/>
      <c r="AIS229" s="302"/>
      <c r="AIT229" s="302"/>
      <c r="AIU229" s="302"/>
      <c r="AIV229" s="302"/>
      <c r="AIW229" s="302"/>
      <c r="AIX229" s="302"/>
      <c r="AIY229" s="302"/>
      <c r="AIZ229" s="302"/>
      <c r="AJA229" s="302"/>
      <c r="AJB229" s="302"/>
      <c r="AJC229" s="302"/>
      <c r="AJD229" s="302"/>
      <c r="AJE229" s="302"/>
      <c r="AJF229" s="302"/>
      <c r="AJG229" s="302"/>
      <c r="AJH229" s="302"/>
      <c r="AJI229" s="302"/>
      <c r="AJJ229" s="302"/>
      <c r="AJK229" s="302"/>
      <c r="AJL229" s="302"/>
      <c r="AJM229" s="302"/>
      <c r="AJN229" s="302"/>
      <c r="AJO229" s="302"/>
      <c r="AJP229" s="302"/>
      <c r="AJQ229" s="302"/>
      <c r="AJR229" s="302"/>
      <c r="AJS229" s="302"/>
      <c r="AJT229" s="302"/>
      <c r="AJU229" s="302"/>
      <c r="AJV229" s="302"/>
      <c r="AJW229" s="302"/>
      <c r="AJX229" s="302"/>
      <c r="AJY229" s="302"/>
      <c r="AJZ229" s="302"/>
      <c r="AKA229" s="302"/>
      <c r="AKB229" s="302"/>
      <c r="AKC229" s="302"/>
      <c r="AKD229" s="302"/>
      <c r="AKE229" s="302"/>
      <c r="AKF229" s="302"/>
      <c r="AKG229" s="302"/>
      <c r="AKH229" s="302"/>
      <c r="AKI229" s="302"/>
      <c r="AKJ229" s="302"/>
      <c r="AKK229" s="302"/>
      <c r="AKL229" s="302"/>
      <c r="AKM229" s="302"/>
      <c r="AKN229" s="302"/>
      <c r="AKO229" s="302"/>
      <c r="AKP229" s="302"/>
      <c r="AKQ229" s="302"/>
      <c r="AKR229" s="302"/>
      <c r="AKS229" s="302"/>
      <c r="AKT229" s="302"/>
      <c r="AKU229" s="302"/>
      <c r="AKV229" s="302"/>
      <c r="AKW229" s="302"/>
      <c r="AKX229" s="302"/>
      <c r="AKY229" s="302"/>
      <c r="AKZ229" s="302"/>
      <c r="ALA229" s="302"/>
      <c r="ALB229" s="302"/>
      <c r="ALC229" s="302"/>
      <c r="ALD229" s="302"/>
      <c r="ALE229" s="302"/>
      <c r="ALF229" s="302"/>
      <c r="ALG229" s="302"/>
      <c r="ALH229" s="302"/>
      <c r="ALI229" s="302"/>
      <c r="ALJ229" s="302"/>
      <c r="ALK229" s="302"/>
      <c r="ALL229" s="302"/>
      <c r="ALM229" s="302"/>
      <c r="ALN229" s="302"/>
      <c r="ALO229" s="302"/>
      <c r="ALP229" s="302"/>
      <c r="ALQ229" s="302"/>
      <c r="ALR229" s="302"/>
      <c r="ALS229" s="302"/>
      <c r="ALT229" s="302"/>
      <c r="ALU229" s="302"/>
      <c r="ALV229" s="302"/>
      <c r="ALW229" s="302"/>
      <c r="ALX229" s="302"/>
      <c r="ALY229" s="302"/>
      <c r="ALZ229" s="302"/>
      <c r="AMA229" s="302"/>
      <c r="AMB229" s="302"/>
      <c r="AMC229" s="302"/>
      <c r="AMD229" s="302"/>
      <c r="AME229" s="302"/>
      <c r="AMF229" s="302"/>
      <c r="AMG229" s="302"/>
      <c r="AMH229" s="302"/>
      <c r="AMI229" s="302"/>
    </row>
    <row r="230" spans="1:1023" hidden="1">
      <c r="A230" s="302"/>
      <c r="B230" s="442">
        <v>14037</v>
      </c>
      <c r="C230" s="432">
        <v>0.1</v>
      </c>
      <c r="D230" s="370" t="s">
        <v>140</v>
      </c>
      <c r="E230" s="433">
        <v>1800000</v>
      </c>
      <c r="F230" s="499">
        <v>0.05</v>
      </c>
      <c r="G230" s="364">
        <f t="shared" si="12"/>
        <v>90000</v>
      </c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2"/>
      <c r="AE230" s="302"/>
      <c r="AF230" s="302"/>
      <c r="AG230" s="302"/>
      <c r="AH230" s="302"/>
      <c r="AI230" s="302"/>
      <c r="AJ230" s="302"/>
      <c r="AK230" s="302"/>
      <c r="AL230" s="302"/>
      <c r="AM230" s="302"/>
      <c r="AN230" s="302"/>
      <c r="AO230" s="302"/>
      <c r="AP230" s="302"/>
      <c r="AQ230" s="302"/>
      <c r="AR230" s="302"/>
      <c r="AS230" s="302"/>
      <c r="AT230" s="302"/>
      <c r="AU230" s="302"/>
      <c r="AV230" s="302"/>
      <c r="AW230" s="302"/>
      <c r="AX230" s="302"/>
      <c r="AY230" s="302"/>
      <c r="AZ230" s="302"/>
      <c r="BA230" s="302"/>
      <c r="BB230" s="302"/>
      <c r="BC230" s="302"/>
      <c r="BD230" s="302"/>
      <c r="BE230" s="302"/>
      <c r="BF230" s="302"/>
      <c r="BG230" s="302"/>
      <c r="BH230" s="302"/>
      <c r="BI230" s="302"/>
      <c r="BJ230" s="302"/>
      <c r="BK230" s="302"/>
      <c r="BL230" s="302"/>
      <c r="BM230" s="302"/>
      <c r="BN230" s="302"/>
      <c r="BO230" s="302"/>
      <c r="BP230" s="302"/>
      <c r="BQ230" s="302"/>
      <c r="BR230" s="302"/>
      <c r="BS230" s="302"/>
      <c r="BT230" s="302"/>
      <c r="BU230" s="302"/>
      <c r="BV230" s="302"/>
      <c r="BW230" s="302"/>
      <c r="BX230" s="302"/>
      <c r="BY230" s="302"/>
      <c r="BZ230" s="302"/>
      <c r="CA230" s="302"/>
      <c r="CB230" s="302"/>
      <c r="CC230" s="302"/>
      <c r="CD230" s="302"/>
      <c r="CE230" s="302"/>
      <c r="CF230" s="302"/>
      <c r="CG230" s="302"/>
      <c r="CH230" s="302"/>
      <c r="CI230" s="302"/>
      <c r="CJ230" s="302"/>
      <c r="CK230" s="302"/>
      <c r="CL230" s="302"/>
      <c r="CM230" s="302"/>
      <c r="CN230" s="302"/>
      <c r="CO230" s="302"/>
      <c r="CP230" s="302"/>
      <c r="CQ230" s="302"/>
      <c r="CR230" s="302"/>
      <c r="CS230" s="302"/>
      <c r="CT230" s="302"/>
      <c r="CU230" s="302"/>
      <c r="CV230" s="302"/>
      <c r="CW230" s="302"/>
      <c r="CX230" s="302"/>
      <c r="CY230" s="302"/>
      <c r="CZ230" s="302"/>
      <c r="DA230" s="302"/>
      <c r="DB230" s="302"/>
      <c r="DC230" s="302"/>
      <c r="DD230" s="302"/>
      <c r="DE230" s="302"/>
      <c r="DF230" s="302"/>
      <c r="DG230" s="302"/>
      <c r="DH230" s="302"/>
      <c r="DI230" s="302"/>
      <c r="DJ230" s="302"/>
      <c r="DK230" s="302"/>
      <c r="DL230" s="302"/>
      <c r="DM230" s="302"/>
      <c r="DN230" s="302"/>
      <c r="DO230" s="302"/>
      <c r="DP230" s="302"/>
      <c r="DQ230" s="302"/>
      <c r="DR230" s="302"/>
      <c r="DS230" s="302"/>
      <c r="DT230" s="302"/>
      <c r="DU230" s="302"/>
      <c r="DV230" s="302"/>
      <c r="DW230" s="302"/>
      <c r="DX230" s="302"/>
      <c r="DY230" s="302"/>
      <c r="DZ230" s="302"/>
      <c r="EA230" s="302"/>
      <c r="EB230" s="302"/>
      <c r="EC230" s="302"/>
      <c r="ED230" s="302"/>
      <c r="EE230" s="302"/>
      <c r="EF230" s="302"/>
      <c r="EG230" s="302"/>
      <c r="EH230" s="302"/>
      <c r="EI230" s="302"/>
      <c r="EJ230" s="302"/>
      <c r="EK230" s="302"/>
      <c r="EL230" s="302"/>
      <c r="EM230" s="302"/>
      <c r="EN230" s="302"/>
      <c r="EO230" s="302"/>
      <c r="EP230" s="302"/>
      <c r="EQ230" s="302"/>
      <c r="ER230" s="302"/>
      <c r="ES230" s="302"/>
      <c r="ET230" s="302"/>
      <c r="EU230" s="302"/>
      <c r="EV230" s="302"/>
      <c r="EW230" s="302"/>
      <c r="EX230" s="302"/>
      <c r="EY230" s="302"/>
      <c r="EZ230" s="302"/>
      <c r="FA230" s="302"/>
      <c r="FB230" s="302"/>
      <c r="FC230" s="302"/>
      <c r="FD230" s="302"/>
      <c r="FE230" s="302"/>
      <c r="FF230" s="302"/>
      <c r="FG230" s="302"/>
      <c r="FH230" s="302"/>
      <c r="FI230" s="302"/>
      <c r="FJ230" s="302"/>
      <c r="FK230" s="302"/>
      <c r="FL230" s="302"/>
      <c r="FM230" s="302"/>
      <c r="FN230" s="302"/>
      <c r="FO230" s="302"/>
      <c r="FP230" s="302"/>
      <c r="FQ230" s="302"/>
      <c r="FR230" s="302"/>
      <c r="FS230" s="302"/>
      <c r="FT230" s="302"/>
      <c r="FU230" s="302"/>
      <c r="FV230" s="302"/>
      <c r="FW230" s="302"/>
      <c r="FX230" s="302"/>
      <c r="FY230" s="302"/>
      <c r="FZ230" s="302"/>
      <c r="GA230" s="302"/>
      <c r="GB230" s="302"/>
      <c r="GC230" s="302"/>
      <c r="GD230" s="302"/>
      <c r="GE230" s="302"/>
      <c r="GF230" s="302"/>
      <c r="GG230" s="302"/>
      <c r="GH230" s="302"/>
      <c r="GI230" s="302"/>
      <c r="GJ230" s="302"/>
      <c r="GK230" s="302"/>
      <c r="GL230" s="302"/>
      <c r="GM230" s="302"/>
      <c r="GN230" s="302"/>
      <c r="GO230" s="302"/>
      <c r="GP230" s="302"/>
      <c r="GQ230" s="302"/>
      <c r="GR230" s="302"/>
      <c r="GS230" s="302"/>
      <c r="GT230" s="302"/>
      <c r="GU230" s="302"/>
      <c r="GV230" s="302"/>
      <c r="GW230" s="302"/>
      <c r="GX230" s="302"/>
      <c r="GY230" s="302"/>
      <c r="GZ230" s="302"/>
      <c r="HA230" s="302"/>
      <c r="HB230" s="302"/>
      <c r="HC230" s="302"/>
      <c r="HD230" s="302"/>
      <c r="HE230" s="302"/>
      <c r="HF230" s="302"/>
      <c r="HG230" s="302"/>
      <c r="HH230" s="302"/>
      <c r="HI230" s="302"/>
      <c r="HJ230" s="302"/>
      <c r="HK230" s="302"/>
      <c r="HL230" s="302"/>
      <c r="HM230" s="302"/>
      <c r="HN230" s="302"/>
      <c r="HO230" s="302"/>
      <c r="HP230" s="302"/>
      <c r="HQ230" s="302"/>
      <c r="HR230" s="302"/>
      <c r="HS230" s="302"/>
      <c r="HT230" s="302"/>
      <c r="HU230" s="302"/>
      <c r="HV230" s="302"/>
      <c r="HW230" s="302"/>
      <c r="HX230" s="302"/>
      <c r="HY230" s="302"/>
      <c r="HZ230" s="302"/>
      <c r="IA230" s="302"/>
      <c r="IB230" s="302"/>
      <c r="IC230" s="302"/>
      <c r="ID230" s="302"/>
      <c r="IE230" s="302"/>
      <c r="IF230" s="302"/>
      <c r="IG230" s="302"/>
      <c r="IH230" s="302"/>
      <c r="II230" s="302"/>
      <c r="IJ230" s="302"/>
      <c r="IK230" s="302"/>
      <c r="IL230" s="302"/>
      <c r="IM230" s="302"/>
      <c r="IN230" s="302"/>
      <c r="IO230" s="302"/>
      <c r="IP230" s="302"/>
      <c r="IQ230" s="302"/>
      <c r="IR230" s="302"/>
      <c r="IS230" s="302"/>
      <c r="IT230" s="302"/>
      <c r="IU230" s="302"/>
      <c r="IV230" s="302"/>
      <c r="IW230" s="302"/>
      <c r="IX230" s="302"/>
      <c r="IY230" s="302"/>
      <c r="IZ230" s="302"/>
      <c r="JA230" s="302"/>
      <c r="JB230" s="302"/>
      <c r="JC230" s="302"/>
      <c r="JD230" s="302"/>
      <c r="JE230" s="302"/>
      <c r="JF230" s="302"/>
      <c r="JG230" s="302"/>
      <c r="JH230" s="302"/>
      <c r="JI230" s="302"/>
      <c r="JJ230" s="302"/>
      <c r="JK230" s="302"/>
      <c r="JL230" s="302"/>
      <c r="JM230" s="302"/>
      <c r="JN230" s="302"/>
      <c r="JO230" s="302"/>
      <c r="JP230" s="302"/>
      <c r="JQ230" s="302"/>
      <c r="JR230" s="302"/>
      <c r="JS230" s="302"/>
      <c r="JT230" s="302"/>
      <c r="JU230" s="302"/>
      <c r="JV230" s="302"/>
      <c r="JW230" s="302"/>
      <c r="JX230" s="302"/>
      <c r="JY230" s="302"/>
      <c r="JZ230" s="302"/>
      <c r="KA230" s="302"/>
      <c r="KB230" s="302"/>
      <c r="KC230" s="302"/>
      <c r="KD230" s="302"/>
      <c r="KE230" s="302"/>
      <c r="KF230" s="302"/>
      <c r="KG230" s="302"/>
      <c r="KH230" s="302"/>
      <c r="KI230" s="302"/>
      <c r="KJ230" s="302"/>
      <c r="KK230" s="302"/>
      <c r="KL230" s="302"/>
      <c r="KM230" s="302"/>
      <c r="KN230" s="302"/>
      <c r="KO230" s="302"/>
      <c r="KP230" s="302"/>
      <c r="KQ230" s="302"/>
      <c r="KR230" s="302"/>
      <c r="KS230" s="302"/>
      <c r="KT230" s="302"/>
      <c r="KU230" s="302"/>
      <c r="KV230" s="302"/>
      <c r="KW230" s="302"/>
      <c r="KX230" s="302"/>
      <c r="KY230" s="302"/>
      <c r="KZ230" s="302"/>
      <c r="LA230" s="302"/>
      <c r="LB230" s="302"/>
      <c r="LC230" s="302"/>
      <c r="LD230" s="302"/>
      <c r="LE230" s="302"/>
      <c r="LF230" s="302"/>
      <c r="LG230" s="302"/>
      <c r="LH230" s="302"/>
      <c r="LI230" s="302"/>
      <c r="LJ230" s="302"/>
      <c r="LK230" s="302"/>
      <c r="LL230" s="302"/>
      <c r="LM230" s="302"/>
      <c r="LN230" s="302"/>
      <c r="LO230" s="302"/>
      <c r="LP230" s="302"/>
      <c r="LQ230" s="302"/>
      <c r="LR230" s="302"/>
      <c r="LS230" s="302"/>
      <c r="LT230" s="302"/>
      <c r="LU230" s="302"/>
      <c r="LV230" s="302"/>
      <c r="LW230" s="302"/>
      <c r="LX230" s="302"/>
      <c r="LY230" s="302"/>
      <c r="LZ230" s="302"/>
      <c r="MA230" s="302"/>
      <c r="MB230" s="302"/>
      <c r="MC230" s="302"/>
      <c r="MD230" s="302"/>
      <c r="ME230" s="302"/>
      <c r="MF230" s="302"/>
      <c r="MG230" s="302"/>
      <c r="MH230" s="302"/>
      <c r="MI230" s="302"/>
      <c r="MJ230" s="302"/>
      <c r="MK230" s="302"/>
      <c r="ML230" s="302"/>
      <c r="MM230" s="302"/>
      <c r="MN230" s="302"/>
      <c r="MO230" s="302"/>
      <c r="MP230" s="302"/>
      <c r="MQ230" s="302"/>
      <c r="MR230" s="302"/>
      <c r="MS230" s="302"/>
      <c r="MT230" s="302"/>
      <c r="MU230" s="302"/>
      <c r="MV230" s="302"/>
      <c r="MW230" s="302"/>
      <c r="MX230" s="302"/>
      <c r="MY230" s="302"/>
      <c r="MZ230" s="302"/>
      <c r="NA230" s="302"/>
      <c r="NB230" s="302"/>
      <c r="NC230" s="302"/>
      <c r="ND230" s="302"/>
      <c r="NE230" s="302"/>
      <c r="NF230" s="302"/>
      <c r="NG230" s="302"/>
      <c r="NH230" s="302"/>
      <c r="NI230" s="302"/>
      <c r="NJ230" s="302"/>
      <c r="NK230" s="302"/>
      <c r="NL230" s="302"/>
      <c r="NM230" s="302"/>
      <c r="NN230" s="302"/>
      <c r="NO230" s="302"/>
      <c r="NP230" s="302"/>
      <c r="NQ230" s="302"/>
      <c r="NR230" s="302"/>
      <c r="NS230" s="302"/>
      <c r="NT230" s="302"/>
      <c r="NU230" s="302"/>
      <c r="NV230" s="302"/>
      <c r="NW230" s="302"/>
      <c r="NX230" s="302"/>
      <c r="NY230" s="302"/>
      <c r="NZ230" s="302"/>
      <c r="OA230" s="302"/>
      <c r="OB230" s="302"/>
      <c r="OC230" s="302"/>
      <c r="OD230" s="302"/>
      <c r="OE230" s="302"/>
      <c r="OF230" s="302"/>
      <c r="OG230" s="302"/>
      <c r="OH230" s="302"/>
      <c r="OI230" s="302"/>
      <c r="OJ230" s="302"/>
      <c r="OK230" s="302"/>
      <c r="OL230" s="302"/>
      <c r="OM230" s="302"/>
      <c r="ON230" s="302"/>
      <c r="OO230" s="302"/>
      <c r="OP230" s="302"/>
      <c r="OQ230" s="302"/>
      <c r="OR230" s="302"/>
      <c r="OS230" s="302"/>
      <c r="OT230" s="302"/>
      <c r="OU230" s="302"/>
      <c r="OV230" s="302"/>
      <c r="OW230" s="302"/>
      <c r="OX230" s="302"/>
      <c r="OY230" s="302"/>
      <c r="OZ230" s="302"/>
      <c r="PA230" s="302"/>
      <c r="PB230" s="302"/>
      <c r="PC230" s="302"/>
      <c r="PD230" s="302"/>
      <c r="PE230" s="302"/>
      <c r="PF230" s="302"/>
      <c r="PG230" s="302"/>
      <c r="PH230" s="302"/>
      <c r="PI230" s="302"/>
      <c r="PJ230" s="302"/>
      <c r="PK230" s="302"/>
      <c r="PL230" s="302"/>
      <c r="PM230" s="302"/>
      <c r="PN230" s="302"/>
      <c r="PO230" s="302"/>
      <c r="PP230" s="302"/>
      <c r="PQ230" s="302"/>
      <c r="PR230" s="302"/>
      <c r="PS230" s="302"/>
      <c r="PT230" s="302"/>
      <c r="PU230" s="302"/>
      <c r="PV230" s="302"/>
      <c r="PW230" s="302"/>
      <c r="PX230" s="302"/>
      <c r="PY230" s="302"/>
      <c r="PZ230" s="302"/>
      <c r="QA230" s="302"/>
      <c r="QB230" s="302"/>
      <c r="QC230" s="302"/>
      <c r="QD230" s="302"/>
      <c r="QE230" s="302"/>
      <c r="QF230" s="302"/>
      <c r="QG230" s="302"/>
      <c r="QH230" s="302"/>
      <c r="QI230" s="302"/>
      <c r="QJ230" s="302"/>
      <c r="QK230" s="302"/>
      <c r="QL230" s="302"/>
      <c r="QM230" s="302"/>
      <c r="QN230" s="302"/>
      <c r="QO230" s="302"/>
      <c r="QP230" s="302"/>
      <c r="QQ230" s="302"/>
      <c r="QR230" s="302"/>
      <c r="QS230" s="302"/>
      <c r="QT230" s="302"/>
      <c r="QU230" s="302"/>
      <c r="QV230" s="302"/>
      <c r="QW230" s="302"/>
      <c r="QX230" s="302"/>
      <c r="QY230" s="302"/>
      <c r="QZ230" s="302"/>
      <c r="RA230" s="302"/>
      <c r="RB230" s="302"/>
      <c r="RC230" s="302"/>
      <c r="RD230" s="302"/>
      <c r="RE230" s="302"/>
      <c r="RF230" s="302"/>
      <c r="RG230" s="302"/>
      <c r="RH230" s="302"/>
      <c r="RI230" s="302"/>
      <c r="RJ230" s="302"/>
      <c r="RK230" s="302"/>
      <c r="RL230" s="302"/>
      <c r="RM230" s="302"/>
      <c r="RN230" s="302"/>
      <c r="RO230" s="302"/>
      <c r="RP230" s="302"/>
      <c r="RQ230" s="302"/>
      <c r="RR230" s="302"/>
      <c r="RS230" s="302"/>
      <c r="RT230" s="302"/>
      <c r="RU230" s="302"/>
      <c r="RV230" s="302"/>
      <c r="RW230" s="302"/>
      <c r="RX230" s="302"/>
      <c r="RY230" s="302"/>
      <c r="RZ230" s="302"/>
      <c r="SA230" s="302"/>
      <c r="SB230" s="302"/>
      <c r="SC230" s="302"/>
      <c r="SD230" s="302"/>
      <c r="SE230" s="302"/>
      <c r="SF230" s="302"/>
      <c r="SG230" s="302"/>
      <c r="SH230" s="302"/>
      <c r="SI230" s="302"/>
      <c r="SJ230" s="302"/>
      <c r="SK230" s="302"/>
      <c r="SL230" s="302"/>
      <c r="SM230" s="302"/>
      <c r="SN230" s="302"/>
      <c r="SO230" s="302"/>
      <c r="SP230" s="302"/>
      <c r="SQ230" s="302"/>
      <c r="SR230" s="302"/>
      <c r="SS230" s="302"/>
      <c r="ST230" s="302"/>
      <c r="SU230" s="302"/>
      <c r="SV230" s="302"/>
      <c r="SW230" s="302"/>
      <c r="SX230" s="302"/>
      <c r="SY230" s="302"/>
      <c r="SZ230" s="302"/>
      <c r="TA230" s="302"/>
      <c r="TB230" s="302"/>
      <c r="TC230" s="302"/>
      <c r="TD230" s="302"/>
      <c r="TE230" s="302"/>
      <c r="TF230" s="302"/>
      <c r="TG230" s="302"/>
      <c r="TH230" s="302"/>
      <c r="TI230" s="302"/>
      <c r="TJ230" s="302"/>
      <c r="TK230" s="302"/>
      <c r="TL230" s="302"/>
      <c r="TM230" s="302"/>
      <c r="TN230" s="302"/>
      <c r="TO230" s="302"/>
      <c r="TP230" s="302"/>
      <c r="TQ230" s="302"/>
      <c r="TR230" s="302"/>
      <c r="TS230" s="302"/>
      <c r="TT230" s="302"/>
      <c r="TU230" s="302"/>
      <c r="TV230" s="302"/>
      <c r="TW230" s="302"/>
      <c r="TX230" s="302"/>
      <c r="TY230" s="302"/>
      <c r="TZ230" s="302"/>
      <c r="UA230" s="302"/>
      <c r="UB230" s="302"/>
      <c r="UC230" s="302"/>
      <c r="UD230" s="302"/>
      <c r="UE230" s="302"/>
      <c r="UF230" s="302"/>
      <c r="UG230" s="302"/>
      <c r="UH230" s="302"/>
      <c r="UI230" s="302"/>
      <c r="UJ230" s="302"/>
      <c r="UK230" s="302"/>
      <c r="UL230" s="302"/>
      <c r="UM230" s="302"/>
      <c r="UN230" s="302"/>
      <c r="UO230" s="302"/>
      <c r="UP230" s="302"/>
      <c r="UQ230" s="302"/>
      <c r="UR230" s="302"/>
      <c r="US230" s="302"/>
      <c r="UT230" s="302"/>
      <c r="UU230" s="302"/>
      <c r="UV230" s="302"/>
      <c r="UW230" s="302"/>
      <c r="UX230" s="302"/>
      <c r="UY230" s="302"/>
      <c r="UZ230" s="302"/>
      <c r="VA230" s="302"/>
      <c r="VB230" s="302"/>
      <c r="VC230" s="302"/>
      <c r="VD230" s="302"/>
      <c r="VE230" s="302"/>
      <c r="VF230" s="302"/>
      <c r="VG230" s="302"/>
      <c r="VH230" s="302"/>
      <c r="VI230" s="302"/>
      <c r="VJ230" s="302"/>
      <c r="VK230" s="302"/>
      <c r="VL230" s="302"/>
      <c r="VM230" s="302"/>
      <c r="VN230" s="302"/>
      <c r="VO230" s="302"/>
      <c r="VP230" s="302"/>
      <c r="VQ230" s="302"/>
      <c r="VR230" s="302"/>
      <c r="VS230" s="302"/>
      <c r="VT230" s="302"/>
      <c r="VU230" s="302"/>
      <c r="VV230" s="302"/>
      <c r="VW230" s="302"/>
      <c r="VX230" s="302"/>
      <c r="VY230" s="302"/>
      <c r="VZ230" s="302"/>
      <c r="WA230" s="302"/>
      <c r="WB230" s="302"/>
      <c r="WC230" s="302"/>
      <c r="WD230" s="302"/>
      <c r="WE230" s="302"/>
      <c r="WF230" s="302"/>
      <c r="WG230" s="302"/>
      <c r="WH230" s="302"/>
      <c r="WI230" s="302"/>
      <c r="WJ230" s="302"/>
      <c r="WK230" s="302"/>
      <c r="WL230" s="302"/>
      <c r="WM230" s="302"/>
      <c r="WN230" s="302"/>
      <c r="WO230" s="302"/>
      <c r="WP230" s="302"/>
      <c r="WQ230" s="302"/>
      <c r="WR230" s="302"/>
      <c r="WS230" s="302"/>
      <c r="WT230" s="302"/>
      <c r="WU230" s="302"/>
      <c r="WV230" s="302"/>
      <c r="WW230" s="302"/>
      <c r="WX230" s="302"/>
      <c r="WY230" s="302"/>
      <c r="WZ230" s="302"/>
      <c r="XA230" s="302"/>
      <c r="XB230" s="302"/>
      <c r="XC230" s="302"/>
      <c r="XD230" s="302"/>
      <c r="XE230" s="302"/>
      <c r="XF230" s="302"/>
      <c r="XG230" s="302"/>
      <c r="XH230" s="302"/>
      <c r="XI230" s="302"/>
      <c r="XJ230" s="302"/>
      <c r="XK230" s="302"/>
      <c r="XL230" s="302"/>
      <c r="XM230" s="302"/>
      <c r="XN230" s="302"/>
      <c r="XO230" s="302"/>
      <c r="XP230" s="302"/>
      <c r="XQ230" s="302"/>
      <c r="XR230" s="302"/>
      <c r="XS230" s="302"/>
      <c r="XT230" s="302"/>
      <c r="XU230" s="302"/>
      <c r="XV230" s="302"/>
      <c r="XW230" s="302"/>
      <c r="XX230" s="302"/>
      <c r="XY230" s="302"/>
      <c r="XZ230" s="302"/>
      <c r="YA230" s="302"/>
      <c r="YB230" s="302"/>
      <c r="YC230" s="302"/>
      <c r="YD230" s="302"/>
      <c r="YE230" s="302"/>
      <c r="YF230" s="302"/>
      <c r="YG230" s="302"/>
      <c r="YH230" s="302"/>
      <c r="YI230" s="302"/>
      <c r="YJ230" s="302"/>
      <c r="YK230" s="302"/>
      <c r="YL230" s="302"/>
      <c r="YM230" s="302"/>
      <c r="YN230" s="302"/>
      <c r="YO230" s="302"/>
      <c r="YP230" s="302"/>
      <c r="YQ230" s="302"/>
      <c r="YR230" s="302"/>
      <c r="YS230" s="302"/>
      <c r="YT230" s="302"/>
      <c r="YU230" s="302"/>
      <c r="YV230" s="302"/>
      <c r="YW230" s="302"/>
      <c r="YX230" s="302"/>
      <c r="YY230" s="302"/>
      <c r="YZ230" s="302"/>
      <c r="ZA230" s="302"/>
      <c r="ZB230" s="302"/>
      <c r="ZC230" s="302"/>
      <c r="ZD230" s="302"/>
      <c r="ZE230" s="302"/>
      <c r="ZF230" s="302"/>
      <c r="ZG230" s="302"/>
      <c r="ZH230" s="302"/>
      <c r="ZI230" s="302"/>
      <c r="ZJ230" s="302"/>
      <c r="ZK230" s="302"/>
      <c r="ZL230" s="302"/>
      <c r="ZM230" s="302"/>
      <c r="ZN230" s="302"/>
      <c r="ZO230" s="302"/>
      <c r="ZP230" s="302"/>
      <c r="ZQ230" s="302"/>
      <c r="ZR230" s="302"/>
      <c r="ZS230" s="302"/>
      <c r="ZT230" s="302"/>
      <c r="ZU230" s="302"/>
      <c r="ZV230" s="302"/>
      <c r="ZW230" s="302"/>
      <c r="ZX230" s="302"/>
      <c r="ZY230" s="302"/>
      <c r="ZZ230" s="302"/>
      <c r="AAA230" s="302"/>
      <c r="AAB230" s="302"/>
      <c r="AAC230" s="302"/>
      <c r="AAD230" s="302"/>
      <c r="AAE230" s="302"/>
      <c r="AAF230" s="302"/>
      <c r="AAG230" s="302"/>
      <c r="AAH230" s="302"/>
      <c r="AAI230" s="302"/>
      <c r="AAJ230" s="302"/>
      <c r="AAK230" s="302"/>
      <c r="AAL230" s="302"/>
      <c r="AAM230" s="302"/>
      <c r="AAN230" s="302"/>
      <c r="AAO230" s="302"/>
      <c r="AAP230" s="302"/>
      <c r="AAQ230" s="302"/>
      <c r="AAR230" s="302"/>
      <c r="AAS230" s="302"/>
      <c r="AAT230" s="302"/>
      <c r="AAU230" s="302"/>
      <c r="AAV230" s="302"/>
      <c r="AAW230" s="302"/>
      <c r="AAX230" s="302"/>
      <c r="AAY230" s="302"/>
      <c r="AAZ230" s="302"/>
      <c r="ABA230" s="302"/>
      <c r="ABB230" s="302"/>
      <c r="ABC230" s="302"/>
      <c r="ABD230" s="302"/>
      <c r="ABE230" s="302"/>
      <c r="ABF230" s="302"/>
      <c r="ABG230" s="302"/>
      <c r="ABH230" s="302"/>
      <c r="ABI230" s="302"/>
      <c r="ABJ230" s="302"/>
      <c r="ABK230" s="302"/>
      <c r="ABL230" s="302"/>
      <c r="ABM230" s="302"/>
      <c r="ABN230" s="302"/>
      <c r="ABO230" s="302"/>
      <c r="ABP230" s="302"/>
      <c r="ABQ230" s="302"/>
      <c r="ABR230" s="302"/>
      <c r="ABS230" s="302"/>
      <c r="ABT230" s="302"/>
      <c r="ABU230" s="302"/>
      <c r="ABV230" s="302"/>
      <c r="ABW230" s="302"/>
      <c r="ABX230" s="302"/>
      <c r="ABY230" s="302"/>
      <c r="ABZ230" s="302"/>
      <c r="ACA230" s="302"/>
      <c r="ACB230" s="302"/>
      <c r="ACC230" s="302"/>
      <c r="ACD230" s="302"/>
      <c r="ACE230" s="302"/>
      <c r="ACF230" s="302"/>
      <c r="ACG230" s="302"/>
      <c r="ACH230" s="302"/>
      <c r="ACI230" s="302"/>
      <c r="ACJ230" s="302"/>
      <c r="ACK230" s="302"/>
      <c r="ACL230" s="302"/>
      <c r="ACM230" s="302"/>
      <c r="ACN230" s="302"/>
      <c r="ACO230" s="302"/>
      <c r="ACP230" s="302"/>
      <c r="ACQ230" s="302"/>
      <c r="ACR230" s="302"/>
      <c r="ACS230" s="302"/>
      <c r="ACT230" s="302"/>
      <c r="ACU230" s="302"/>
      <c r="ACV230" s="302"/>
      <c r="ACW230" s="302"/>
      <c r="ACX230" s="302"/>
      <c r="ACY230" s="302"/>
      <c r="ACZ230" s="302"/>
      <c r="ADA230" s="302"/>
      <c r="ADB230" s="302"/>
      <c r="ADC230" s="302"/>
      <c r="ADD230" s="302"/>
      <c r="ADE230" s="302"/>
      <c r="ADF230" s="302"/>
      <c r="ADG230" s="302"/>
      <c r="ADH230" s="302"/>
      <c r="ADI230" s="302"/>
      <c r="ADJ230" s="302"/>
      <c r="ADK230" s="302"/>
      <c r="ADL230" s="302"/>
      <c r="ADM230" s="302"/>
      <c r="ADN230" s="302"/>
      <c r="ADO230" s="302"/>
      <c r="ADP230" s="302"/>
      <c r="ADQ230" s="302"/>
      <c r="ADR230" s="302"/>
      <c r="ADS230" s="302"/>
      <c r="ADT230" s="302"/>
      <c r="ADU230" s="302"/>
      <c r="ADV230" s="302"/>
      <c r="ADW230" s="302"/>
      <c r="ADX230" s="302"/>
      <c r="ADY230" s="302"/>
      <c r="ADZ230" s="302"/>
      <c r="AEA230" s="302"/>
      <c r="AEB230" s="302"/>
      <c r="AEC230" s="302"/>
      <c r="AED230" s="302"/>
      <c r="AEE230" s="302"/>
      <c r="AEF230" s="302"/>
      <c r="AEG230" s="302"/>
      <c r="AEH230" s="302"/>
      <c r="AEI230" s="302"/>
      <c r="AEJ230" s="302"/>
      <c r="AEK230" s="302"/>
      <c r="AEL230" s="302"/>
      <c r="AEM230" s="302"/>
      <c r="AEN230" s="302"/>
      <c r="AEO230" s="302"/>
      <c r="AEP230" s="302"/>
      <c r="AEQ230" s="302"/>
      <c r="AER230" s="302"/>
      <c r="AES230" s="302"/>
      <c r="AET230" s="302"/>
      <c r="AEU230" s="302"/>
      <c r="AEV230" s="302"/>
      <c r="AEW230" s="302"/>
      <c r="AEX230" s="302"/>
      <c r="AEY230" s="302"/>
      <c r="AEZ230" s="302"/>
      <c r="AFA230" s="302"/>
      <c r="AFB230" s="302"/>
      <c r="AFC230" s="302"/>
      <c r="AFD230" s="302"/>
      <c r="AFE230" s="302"/>
      <c r="AFF230" s="302"/>
      <c r="AFG230" s="302"/>
      <c r="AFH230" s="302"/>
      <c r="AFI230" s="302"/>
      <c r="AFJ230" s="302"/>
      <c r="AFK230" s="302"/>
      <c r="AFL230" s="302"/>
      <c r="AFM230" s="302"/>
      <c r="AFN230" s="302"/>
      <c r="AFO230" s="302"/>
      <c r="AFP230" s="302"/>
      <c r="AFQ230" s="302"/>
      <c r="AFR230" s="302"/>
      <c r="AFS230" s="302"/>
      <c r="AFT230" s="302"/>
      <c r="AFU230" s="302"/>
      <c r="AFV230" s="302"/>
      <c r="AFW230" s="302"/>
      <c r="AFX230" s="302"/>
      <c r="AFY230" s="302"/>
      <c r="AFZ230" s="302"/>
      <c r="AGA230" s="302"/>
      <c r="AGB230" s="302"/>
      <c r="AGC230" s="302"/>
      <c r="AGD230" s="302"/>
      <c r="AGE230" s="302"/>
      <c r="AGF230" s="302"/>
      <c r="AGG230" s="302"/>
      <c r="AGH230" s="302"/>
      <c r="AGI230" s="302"/>
      <c r="AGJ230" s="302"/>
      <c r="AGK230" s="302"/>
      <c r="AGL230" s="302"/>
      <c r="AGM230" s="302"/>
      <c r="AGN230" s="302"/>
      <c r="AGO230" s="302"/>
      <c r="AGP230" s="302"/>
      <c r="AGQ230" s="302"/>
      <c r="AGR230" s="302"/>
      <c r="AGS230" s="302"/>
      <c r="AGT230" s="302"/>
      <c r="AGU230" s="302"/>
      <c r="AGV230" s="302"/>
      <c r="AGW230" s="302"/>
      <c r="AGX230" s="302"/>
      <c r="AGY230" s="302"/>
      <c r="AGZ230" s="302"/>
      <c r="AHA230" s="302"/>
      <c r="AHB230" s="302"/>
      <c r="AHC230" s="302"/>
      <c r="AHD230" s="302"/>
      <c r="AHE230" s="302"/>
      <c r="AHF230" s="302"/>
      <c r="AHG230" s="302"/>
      <c r="AHH230" s="302"/>
      <c r="AHI230" s="302"/>
      <c r="AHJ230" s="302"/>
      <c r="AHK230" s="302"/>
      <c r="AHL230" s="302"/>
      <c r="AHM230" s="302"/>
      <c r="AHN230" s="302"/>
      <c r="AHO230" s="302"/>
      <c r="AHP230" s="302"/>
      <c r="AHQ230" s="302"/>
      <c r="AHR230" s="302"/>
      <c r="AHS230" s="302"/>
      <c r="AHT230" s="302"/>
      <c r="AHU230" s="302"/>
      <c r="AHV230" s="302"/>
      <c r="AHW230" s="302"/>
      <c r="AHX230" s="302"/>
      <c r="AHY230" s="302"/>
      <c r="AHZ230" s="302"/>
      <c r="AIA230" s="302"/>
      <c r="AIB230" s="302"/>
      <c r="AIC230" s="302"/>
      <c r="AID230" s="302"/>
      <c r="AIE230" s="302"/>
      <c r="AIF230" s="302"/>
      <c r="AIG230" s="302"/>
      <c r="AIH230" s="302"/>
      <c r="AII230" s="302"/>
      <c r="AIJ230" s="302"/>
      <c r="AIK230" s="302"/>
      <c r="AIL230" s="302"/>
      <c r="AIM230" s="302"/>
      <c r="AIN230" s="302"/>
      <c r="AIO230" s="302"/>
      <c r="AIP230" s="302"/>
      <c r="AIQ230" s="302"/>
      <c r="AIR230" s="302"/>
      <c r="AIS230" s="302"/>
      <c r="AIT230" s="302"/>
      <c r="AIU230" s="302"/>
      <c r="AIV230" s="302"/>
      <c r="AIW230" s="302"/>
      <c r="AIX230" s="302"/>
      <c r="AIY230" s="302"/>
      <c r="AIZ230" s="302"/>
      <c r="AJA230" s="302"/>
      <c r="AJB230" s="302"/>
      <c r="AJC230" s="302"/>
      <c r="AJD230" s="302"/>
      <c r="AJE230" s="302"/>
      <c r="AJF230" s="302"/>
      <c r="AJG230" s="302"/>
      <c r="AJH230" s="302"/>
      <c r="AJI230" s="302"/>
      <c r="AJJ230" s="302"/>
      <c r="AJK230" s="302"/>
      <c r="AJL230" s="302"/>
      <c r="AJM230" s="302"/>
      <c r="AJN230" s="302"/>
      <c r="AJO230" s="302"/>
      <c r="AJP230" s="302"/>
      <c r="AJQ230" s="302"/>
      <c r="AJR230" s="302"/>
      <c r="AJS230" s="302"/>
      <c r="AJT230" s="302"/>
      <c r="AJU230" s="302"/>
      <c r="AJV230" s="302"/>
      <c r="AJW230" s="302"/>
      <c r="AJX230" s="302"/>
      <c r="AJY230" s="302"/>
      <c r="AJZ230" s="302"/>
      <c r="AKA230" s="302"/>
      <c r="AKB230" s="302"/>
      <c r="AKC230" s="302"/>
      <c r="AKD230" s="302"/>
      <c r="AKE230" s="302"/>
      <c r="AKF230" s="302"/>
      <c r="AKG230" s="302"/>
      <c r="AKH230" s="302"/>
      <c r="AKI230" s="302"/>
      <c r="AKJ230" s="302"/>
      <c r="AKK230" s="302"/>
      <c r="AKL230" s="302"/>
      <c r="AKM230" s="302"/>
      <c r="AKN230" s="302"/>
      <c r="AKO230" s="302"/>
      <c r="AKP230" s="302"/>
      <c r="AKQ230" s="302"/>
      <c r="AKR230" s="302"/>
      <c r="AKS230" s="302"/>
      <c r="AKT230" s="302"/>
      <c r="AKU230" s="302"/>
      <c r="AKV230" s="302"/>
      <c r="AKW230" s="302"/>
      <c r="AKX230" s="302"/>
      <c r="AKY230" s="302"/>
      <c r="AKZ230" s="302"/>
      <c r="ALA230" s="302"/>
      <c r="ALB230" s="302"/>
      <c r="ALC230" s="302"/>
      <c r="ALD230" s="302"/>
      <c r="ALE230" s="302"/>
      <c r="ALF230" s="302"/>
      <c r="ALG230" s="302"/>
      <c r="ALH230" s="302"/>
      <c r="ALI230" s="302"/>
      <c r="ALJ230" s="302"/>
      <c r="ALK230" s="302"/>
      <c r="ALL230" s="302"/>
      <c r="ALM230" s="302"/>
      <c r="ALN230" s="302"/>
      <c r="ALO230" s="302"/>
      <c r="ALP230" s="302"/>
      <c r="ALQ230" s="302"/>
      <c r="ALR230" s="302"/>
      <c r="ALS230" s="302"/>
      <c r="ALT230" s="302"/>
      <c r="ALU230" s="302"/>
      <c r="ALV230" s="302"/>
      <c r="ALW230" s="302"/>
      <c r="ALX230" s="302"/>
      <c r="ALY230" s="302"/>
      <c r="ALZ230" s="302"/>
      <c r="AMA230" s="302"/>
      <c r="AMB230" s="302"/>
      <c r="AMC230" s="302"/>
      <c r="AMD230" s="302"/>
      <c r="AME230" s="302"/>
      <c r="AMF230" s="302"/>
      <c r="AMG230" s="302"/>
      <c r="AMH230" s="302"/>
      <c r="AMI230" s="302"/>
    </row>
    <row r="231" spans="1:1023" ht="18.75" hidden="1">
      <c r="A231" s="302"/>
      <c r="B231" s="304"/>
      <c r="C231" s="304"/>
      <c r="D231" s="305" t="s">
        <v>378</v>
      </c>
      <c r="E231" s="306">
        <f>SUM(E221:E230)</f>
        <v>30700000</v>
      </c>
      <c r="F231" s="307"/>
      <c r="G231" s="306">
        <f>G221+G222+G223+G224+G225+G226+G227+G228+G229+G230</f>
        <v>1376000</v>
      </c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2"/>
      <c r="AE231" s="302"/>
      <c r="AF231" s="302"/>
      <c r="AG231" s="302"/>
      <c r="AH231" s="302"/>
      <c r="AI231" s="302"/>
      <c r="AJ231" s="302"/>
      <c r="AK231" s="302"/>
      <c r="AL231" s="302"/>
      <c r="AM231" s="302"/>
      <c r="AN231" s="302"/>
      <c r="AO231" s="302"/>
      <c r="AP231" s="302"/>
      <c r="AQ231" s="302"/>
      <c r="AR231" s="302"/>
      <c r="AS231" s="302"/>
      <c r="AT231" s="302"/>
      <c r="AU231" s="302"/>
      <c r="AV231" s="302"/>
      <c r="AW231" s="302"/>
      <c r="AX231" s="302"/>
      <c r="AY231" s="302"/>
      <c r="AZ231" s="302"/>
      <c r="BA231" s="302"/>
      <c r="BB231" s="302"/>
      <c r="BC231" s="302"/>
      <c r="BD231" s="302"/>
      <c r="BE231" s="302"/>
      <c r="BF231" s="302"/>
      <c r="BG231" s="302"/>
      <c r="BH231" s="302"/>
      <c r="BI231" s="302"/>
      <c r="BJ231" s="302"/>
      <c r="BK231" s="302"/>
      <c r="BL231" s="302"/>
      <c r="BM231" s="302"/>
      <c r="BN231" s="302"/>
      <c r="BO231" s="302"/>
      <c r="BP231" s="302"/>
      <c r="BQ231" s="302"/>
      <c r="BR231" s="302"/>
      <c r="BS231" s="302"/>
      <c r="BT231" s="302"/>
      <c r="BU231" s="302"/>
      <c r="BV231" s="302"/>
      <c r="BW231" s="302"/>
      <c r="BX231" s="302"/>
      <c r="BY231" s="302"/>
      <c r="BZ231" s="302"/>
      <c r="CA231" s="302"/>
      <c r="CB231" s="302"/>
      <c r="CC231" s="302"/>
      <c r="CD231" s="302"/>
      <c r="CE231" s="302"/>
      <c r="CF231" s="302"/>
      <c r="CG231" s="302"/>
      <c r="CH231" s="302"/>
      <c r="CI231" s="302"/>
      <c r="CJ231" s="302"/>
      <c r="CK231" s="302"/>
      <c r="CL231" s="302"/>
      <c r="CM231" s="302"/>
      <c r="CN231" s="302"/>
      <c r="CO231" s="302"/>
      <c r="CP231" s="302"/>
      <c r="CQ231" s="302"/>
      <c r="CR231" s="302"/>
      <c r="CS231" s="302"/>
      <c r="CT231" s="302"/>
      <c r="CU231" s="302"/>
      <c r="CV231" s="302"/>
      <c r="CW231" s="302"/>
      <c r="CX231" s="302"/>
      <c r="CY231" s="302"/>
      <c r="CZ231" s="302"/>
      <c r="DA231" s="302"/>
      <c r="DB231" s="302"/>
      <c r="DC231" s="302"/>
      <c r="DD231" s="302"/>
      <c r="DE231" s="302"/>
      <c r="DF231" s="302"/>
      <c r="DG231" s="302"/>
      <c r="DH231" s="302"/>
      <c r="DI231" s="302"/>
      <c r="DJ231" s="302"/>
      <c r="DK231" s="302"/>
      <c r="DL231" s="302"/>
      <c r="DM231" s="302"/>
      <c r="DN231" s="302"/>
      <c r="DO231" s="302"/>
      <c r="DP231" s="302"/>
      <c r="DQ231" s="302"/>
      <c r="DR231" s="302"/>
      <c r="DS231" s="302"/>
      <c r="DT231" s="302"/>
      <c r="DU231" s="302"/>
      <c r="DV231" s="302"/>
      <c r="DW231" s="302"/>
      <c r="DX231" s="302"/>
      <c r="DY231" s="302"/>
      <c r="DZ231" s="302"/>
      <c r="EA231" s="302"/>
      <c r="EB231" s="302"/>
      <c r="EC231" s="302"/>
      <c r="ED231" s="302"/>
      <c r="EE231" s="302"/>
      <c r="EF231" s="302"/>
      <c r="EG231" s="302"/>
      <c r="EH231" s="302"/>
      <c r="EI231" s="302"/>
      <c r="EJ231" s="302"/>
      <c r="EK231" s="302"/>
      <c r="EL231" s="302"/>
      <c r="EM231" s="302"/>
      <c r="EN231" s="302"/>
      <c r="EO231" s="302"/>
      <c r="EP231" s="302"/>
      <c r="EQ231" s="302"/>
      <c r="ER231" s="302"/>
      <c r="ES231" s="302"/>
      <c r="ET231" s="302"/>
      <c r="EU231" s="302"/>
      <c r="EV231" s="302"/>
      <c r="EW231" s="302"/>
      <c r="EX231" s="302"/>
      <c r="EY231" s="302"/>
      <c r="EZ231" s="302"/>
      <c r="FA231" s="302"/>
      <c r="FB231" s="302"/>
      <c r="FC231" s="302"/>
      <c r="FD231" s="302"/>
      <c r="FE231" s="302"/>
      <c r="FF231" s="302"/>
      <c r="FG231" s="302"/>
      <c r="FH231" s="302"/>
      <c r="FI231" s="302"/>
      <c r="FJ231" s="302"/>
      <c r="FK231" s="302"/>
      <c r="FL231" s="302"/>
      <c r="FM231" s="302"/>
      <c r="FN231" s="302"/>
      <c r="FO231" s="302"/>
      <c r="FP231" s="302"/>
      <c r="FQ231" s="302"/>
      <c r="FR231" s="302"/>
      <c r="FS231" s="302"/>
      <c r="FT231" s="302"/>
      <c r="FU231" s="302"/>
      <c r="FV231" s="302"/>
      <c r="FW231" s="302"/>
      <c r="FX231" s="302"/>
      <c r="FY231" s="302"/>
      <c r="FZ231" s="302"/>
      <c r="GA231" s="302"/>
      <c r="GB231" s="302"/>
      <c r="GC231" s="302"/>
      <c r="GD231" s="302"/>
      <c r="GE231" s="302"/>
      <c r="GF231" s="302"/>
      <c r="GG231" s="302"/>
      <c r="GH231" s="302"/>
      <c r="GI231" s="302"/>
      <c r="GJ231" s="302"/>
      <c r="GK231" s="302"/>
      <c r="GL231" s="302"/>
      <c r="GM231" s="302"/>
      <c r="GN231" s="302"/>
      <c r="GO231" s="302"/>
      <c r="GP231" s="302"/>
      <c r="GQ231" s="302"/>
      <c r="GR231" s="302"/>
      <c r="GS231" s="302"/>
      <c r="GT231" s="302"/>
      <c r="GU231" s="302"/>
      <c r="GV231" s="302"/>
      <c r="GW231" s="302"/>
      <c r="GX231" s="302"/>
      <c r="GY231" s="302"/>
      <c r="GZ231" s="302"/>
      <c r="HA231" s="302"/>
      <c r="HB231" s="302"/>
      <c r="HC231" s="302"/>
      <c r="HD231" s="302"/>
      <c r="HE231" s="302"/>
      <c r="HF231" s="302"/>
      <c r="HG231" s="302"/>
      <c r="HH231" s="302"/>
      <c r="HI231" s="302"/>
      <c r="HJ231" s="302"/>
      <c r="HK231" s="302"/>
      <c r="HL231" s="302"/>
      <c r="HM231" s="302"/>
      <c r="HN231" s="302"/>
      <c r="HO231" s="302"/>
      <c r="HP231" s="302"/>
      <c r="HQ231" s="302"/>
      <c r="HR231" s="302"/>
      <c r="HS231" s="302"/>
      <c r="HT231" s="302"/>
      <c r="HU231" s="302"/>
      <c r="HV231" s="302"/>
      <c r="HW231" s="302"/>
      <c r="HX231" s="302"/>
      <c r="HY231" s="302"/>
      <c r="HZ231" s="302"/>
      <c r="IA231" s="302"/>
      <c r="IB231" s="302"/>
      <c r="IC231" s="302"/>
      <c r="ID231" s="302"/>
      <c r="IE231" s="302"/>
      <c r="IF231" s="302"/>
      <c r="IG231" s="302"/>
      <c r="IH231" s="302"/>
      <c r="II231" s="302"/>
      <c r="IJ231" s="302"/>
      <c r="IK231" s="302"/>
      <c r="IL231" s="302"/>
      <c r="IM231" s="302"/>
      <c r="IN231" s="302"/>
      <c r="IO231" s="302"/>
      <c r="IP231" s="302"/>
      <c r="IQ231" s="302"/>
      <c r="IR231" s="302"/>
      <c r="IS231" s="302"/>
      <c r="IT231" s="302"/>
      <c r="IU231" s="302"/>
      <c r="IV231" s="302"/>
      <c r="IW231" s="302"/>
      <c r="IX231" s="302"/>
      <c r="IY231" s="302"/>
      <c r="IZ231" s="302"/>
      <c r="JA231" s="302"/>
      <c r="JB231" s="302"/>
      <c r="JC231" s="302"/>
      <c r="JD231" s="302"/>
      <c r="JE231" s="302"/>
      <c r="JF231" s="302"/>
      <c r="JG231" s="302"/>
      <c r="JH231" s="302"/>
      <c r="JI231" s="302"/>
      <c r="JJ231" s="302"/>
      <c r="JK231" s="302"/>
      <c r="JL231" s="302"/>
      <c r="JM231" s="302"/>
      <c r="JN231" s="302"/>
      <c r="JO231" s="302"/>
      <c r="JP231" s="302"/>
      <c r="JQ231" s="302"/>
      <c r="JR231" s="302"/>
      <c r="JS231" s="302"/>
      <c r="JT231" s="302"/>
      <c r="JU231" s="302"/>
      <c r="JV231" s="302"/>
      <c r="JW231" s="302"/>
      <c r="JX231" s="302"/>
      <c r="JY231" s="302"/>
      <c r="JZ231" s="302"/>
      <c r="KA231" s="302"/>
      <c r="KB231" s="302"/>
      <c r="KC231" s="302"/>
      <c r="KD231" s="302"/>
      <c r="KE231" s="302"/>
      <c r="KF231" s="302"/>
      <c r="KG231" s="302"/>
      <c r="KH231" s="302"/>
      <c r="KI231" s="302"/>
      <c r="KJ231" s="302"/>
      <c r="KK231" s="302"/>
      <c r="KL231" s="302"/>
      <c r="KM231" s="302"/>
      <c r="KN231" s="302"/>
      <c r="KO231" s="302"/>
      <c r="KP231" s="302"/>
      <c r="KQ231" s="302"/>
      <c r="KR231" s="302"/>
      <c r="KS231" s="302"/>
      <c r="KT231" s="302"/>
      <c r="KU231" s="302"/>
      <c r="KV231" s="302"/>
      <c r="KW231" s="302"/>
      <c r="KX231" s="302"/>
      <c r="KY231" s="302"/>
      <c r="KZ231" s="302"/>
      <c r="LA231" s="302"/>
      <c r="LB231" s="302"/>
      <c r="LC231" s="302"/>
      <c r="LD231" s="302"/>
      <c r="LE231" s="302"/>
      <c r="LF231" s="302"/>
      <c r="LG231" s="302"/>
      <c r="LH231" s="302"/>
      <c r="LI231" s="302"/>
      <c r="LJ231" s="302"/>
      <c r="LK231" s="302"/>
      <c r="LL231" s="302"/>
      <c r="LM231" s="302"/>
      <c r="LN231" s="302"/>
      <c r="LO231" s="302"/>
      <c r="LP231" s="302"/>
      <c r="LQ231" s="302"/>
      <c r="LR231" s="302"/>
      <c r="LS231" s="302"/>
      <c r="LT231" s="302"/>
      <c r="LU231" s="302"/>
      <c r="LV231" s="302"/>
      <c r="LW231" s="302"/>
      <c r="LX231" s="302"/>
      <c r="LY231" s="302"/>
      <c r="LZ231" s="302"/>
      <c r="MA231" s="302"/>
      <c r="MB231" s="302"/>
      <c r="MC231" s="302"/>
      <c r="MD231" s="302"/>
      <c r="ME231" s="302"/>
      <c r="MF231" s="302"/>
      <c r="MG231" s="302"/>
      <c r="MH231" s="302"/>
      <c r="MI231" s="302"/>
      <c r="MJ231" s="302"/>
      <c r="MK231" s="302"/>
      <c r="ML231" s="302"/>
      <c r="MM231" s="302"/>
      <c r="MN231" s="302"/>
      <c r="MO231" s="302"/>
      <c r="MP231" s="302"/>
      <c r="MQ231" s="302"/>
      <c r="MR231" s="302"/>
      <c r="MS231" s="302"/>
      <c r="MT231" s="302"/>
      <c r="MU231" s="302"/>
      <c r="MV231" s="302"/>
      <c r="MW231" s="302"/>
      <c r="MX231" s="302"/>
      <c r="MY231" s="302"/>
      <c r="MZ231" s="302"/>
      <c r="NA231" s="302"/>
      <c r="NB231" s="302"/>
      <c r="NC231" s="302"/>
      <c r="ND231" s="302"/>
      <c r="NE231" s="302"/>
      <c r="NF231" s="302"/>
      <c r="NG231" s="302"/>
      <c r="NH231" s="302"/>
      <c r="NI231" s="302"/>
      <c r="NJ231" s="302"/>
      <c r="NK231" s="302"/>
      <c r="NL231" s="302"/>
      <c r="NM231" s="302"/>
      <c r="NN231" s="302"/>
      <c r="NO231" s="302"/>
      <c r="NP231" s="302"/>
      <c r="NQ231" s="302"/>
      <c r="NR231" s="302"/>
      <c r="NS231" s="302"/>
      <c r="NT231" s="302"/>
      <c r="NU231" s="302"/>
      <c r="NV231" s="302"/>
      <c r="NW231" s="302"/>
      <c r="NX231" s="302"/>
      <c r="NY231" s="302"/>
      <c r="NZ231" s="302"/>
      <c r="OA231" s="302"/>
      <c r="OB231" s="302"/>
      <c r="OC231" s="302"/>
      <c r="OD231" s="302"/>
      <c r="OE231" s="302"/>
      <c r="OF231" s="302"/>
      <c r="OG231" s="302"/>
      <c r="OH231" s="302"/>
      <c r="OI231" s="302"/>
      <c r="OJ231" s="302"/>
      <c r="OK231" s="302"/>
      <c r="OL231" s="302"/>
      <c r="OM231" s="302"/>
      <c r="ON231" s="302"/>
      <c r="OO231" s="302"/>
      <c r="OP231" s="302"/>
      <c r="OQ231" s="302"/>
      <c r="OR231" s="302"/>
      <c r="OS231" s="302"/>
      <c r="OT231" s="302"/>
      <c r="OU231" s="302"/>
      <c r="OV231" s="302"/>
      <c r="OW231" s="302"/>
      <c r="OX231" s="302"/>
      <c r="OY231" s="302"/>
      <c r="OZ231" s="302"/>
      <c r="PA231" s="302"/>
      <c r="PB231" s="302"/>
      <c r="PC231" s="302"/>
      <c r="PD231" s="302"/>
      <c r="PE231" s="302"/>
      <c r="PF231" s="302"/>
      <c r="PG231" s="302"/>
      <c r="PH231" s="302"/>
      <c r="PI231" s="302"/>
      <c r="PJ231" s="302"/>
      <c r="PK231" s="302"/>
      <c r="PL231" s="302"/>
      <c r="PM231" s="302"/>
      <c r="PN231" s="302"/>
      <c r="PO231" s="302"/>
      <c r="PP231" s="302"/>
      <c r="PQ231" s="302"/>
      <c r="PR231" s="302"/>
      <c r="PS231" s="302"/>
      <c r="PT231" s="302"/>
      <c r="PU231" s="302"/>
      <c r="PV231" s="302"/>
      <c r="PW231" s="302"/>
      <c r="PX231" s="302"/>
      <c r="PY231" s="302"/>
      <c r="PZ231" s="302"/>
      <c r="QA231" s="302"/>
      <c r="QB231" s="302"/>
      <c r="QC231" s="302"/>
      <c r="QD231" s="302"/>
      <c r="QE231" s="302"/>
      <c r="QF231" s="302"/>
      <c r="QG231" s="302"/>
      <c r="QH231" s="302"/>
      <c r="QI231" s="302"/>
      <c r="QJ231" s="302"/>
      <c r="QK231" s="302"/>
      <c r="QL231" s="302"/>
      <c r="QM231" s="302"/>
      <c r="QN231" s="302"/>
      <c r="QO231" s="302"/>
      <c r="QP231" s="302"/>
      <c r="QQ231" s="302"/>
      <c r="QR231" s="302"/>
      <c r="QS231" s="302"/>
      <c r="QT231" s="302"/>
      <c r="QU231" s="302"/>
      <c r="QV231" s="302"/>
      <c r="QW231" s="302"/>
      <c r="QX231" s="302"/>
      <c r="QY231" s="302"/>
      <c r="QZ231" s="302"/>
      <c r="RA231" s="302"/>
      <c r="RB231" s="302"/>
      <c r="RC231" s="302"/>
      <c r="RD231" s="302"/>
      <c r="RE231" s="302"/>
      <c r="RF231" s="302"/>
      <c r="RG231" s="302"/>
      <c r="RH231" s="302"/>
      <c r="RI231" s="302"/>
      <c r="RJ231" s="302"/>
      <c r="RK231" s="302"/>
      <c r="RL231" s="302"/>
      <c r="RM231" s="302"/>
      <c r="RN231" s="302"/>
      <c r="RO231" s="302"/>
      <c r="RP231" s="302"/>
      <c r="RQ231" s="302"/>
      <c r="RR231" s="302"/>
      <c r="RS231" s="302"/>
      <c r="RT231" s="302"/>
      <c r="RU231" s="302"/>
      <c r="RV231" s="302"/>
      <c r="RW231" s="302"/>
      <c r="RX231" s="302"/>
      <c r="RY231" s="302"/>
      <c r="RZ231" s="302"/>
      <c r="SA231" s="302"/>
      <c r="SB231" s="302"/>
      <c r="SC231" s="302"/>
      <c r="SD231" s="302"/>
      <c r="SE231" s="302"/>
      <c r="SF231" s="302"/>
      <c r="SG231" s="302"/>
      <c r="SH231" s="302"/>
      <c r="SI231" s="302"/>
      <c r="SJ231" s="302"/>
      <c r="SK231" s="302"/>
      <c r="SL231" s="302"/>
      <c r="SM231" s="302"/>
      <c r="SN231" s="302"/>
      <c r="SO231" s="302"/>
      <c r="SP231" s="302"/>
      <c r="SQ231" s="302"/>
      <c r="SR231" s="302"/>
      <c r="SS231" s="302"/>
      <c r="ST231" s="302"/>
      <c r="SU231" s="302"/>
      <c r="SV231" s="302"/>
      <c r="SW231" s="302"/>
      <c r="SX231" s="302"/>
      <c r="SY231" s="302"/>
      <c r="SZ231" s="302"/>
      <c r="TA231" s="302"/>
      <c r="TB231" s="302"/>
      <c r="TC231" s="302"/>
      <c r="TD231" s="302"/>
      <c r="TE231" s="302"/>
      <c r="TF231" s="302"/>
      <c r="TG231" s="302"/>
      <c r="TH231" s="302"/>
      <c r="TI231" s="302"/>
      <c r="TJ231" s="302"/>
      <c r="TK231" s="302"/>
      <c r="TL231" s="302"/>
      <c r="TM231" s="302"/>
      <c r="TN231" s="302"/>
      <c r="TO231" s="302"/>
      <c r="TP231" s="302"/>
      <c r="TQ231" s="302"/>
      <c r="TR231" s="302"/>
      <c r="TS231" s="302"/>
      <c r="TT231" s="302"/>
      <c r="TU231" s="302"/>
      <c r="TV231" s="302"/>
      <c r="TW231" s="302"/>
      <c r="TX231" s="302"/>
      <c r="TY231" s="302"/>
      <c r="TZ231" s="302"/>
      <c r="UA231" s="302"/>
      <c r="UB231" s="302"/>
      <c r="UC231" s="302"/>
      <c r="UD231" s="302"/>
      <c r="UE231" s="302"/>
      <c r="UF231" s="302"/>
      <c r="UG231" s="302"/>
      <c r="UH231" s="302"/>
      <c r="UI231" s="302"/>
      <c r="UJ231" s="302"/>
      <c r="UK231" s="302"/>
      <c r="UL231" s="302"/>
      <c r="UM231" s="302"/>
      <c r="UN231" s="302"/>
      <c r="UO231" s="302"/>
      <c r="UP231" s="302"/>
      <c r="UQ231" s="302"/>
      <c r="UR231" s="302"/>
      <c r="US231" s="302"/>
      <c r="UT231" s="302"/>
      <c r="UU231" s="302"/>
      <c r="UV231" s="302"/>
      <c r="UW231" s="302"/>
      <c r="UX231" s="302"/>
      <c r="UY231" s="302"/>
      <c r="UZ231" s="302"/>
      <c r="VA231" s="302"/>
      <c r="VB231" s="302"/>
      <c r="VC231" s="302"/>
      <c r="VD231" s="302"/>
      <c r="VE231" s="302"/>
      <c r="VF231" s="302"/>
      <c r="VG231" s="302"/>
      <c r="VH231" s="302"/>
      <c r="VI231" s="302"/>
      <c r="VJ231" s="302"/>
      <c r="VK231" s="302"/>
      <c r="VL231" s="302"/>
      <c r="VM231" s="302"/>
      <c r="VN231" s="302"/>
      <c r="VO231" s="302"/>
      <c r="VP231" s="302"/>
      <c r="VQ231" s="302"/>
      <c r="VR231" s="302"/>
      <c r="VS231" s="302"/>
      <c r="VT231" s="302"/>
      <c r="VU231" s="302"/>
      <c r="VV231" s="302"/>
      <c r="VW231" s="302"/>
      <c r="VX231" s="302"/>
      <c r="VY231" s="302"/>
      <c r="VZ231" s="302"/>
      <c r="WA231" s="302"/>
      <c r="WB231" s="302"/>
      <c r="WC231" s="302"/>
      <c r="WD231" s="302"/>
      <c r="WE231" s="302"/>
      <c r="WF231" s="302"/>
      <c r="WG231" s="302"/>
      <c r="WH231" s="302"/>
      <c r="WI231" s="302"/>
      <c r="WJ231" s="302"/>
      <c r="WK231" s="302"/>
      <c r="WL231" s="302"/>
      <c r="WM231" s="302"/>
      <c r="WN231" s="302"/>
      <c r="WO231" s="302"/>
      <c r="WP231" s="302"/>
      <c r="WQ231" s="302"/>
      <c r="WR231" s="302"/>
      <c r="WS231" s="302"/>
      <c r="WT231" s="302"/>
      <c r="WU231" s="302"/>
      <c r="WV231" s="302"/>
      <c r="WW231" s="302"/>
      <c r="WX231" s="302"/>
      <c r="WY231" s="302"/>
      <c r="WZ231" s="302"/>
      <c r="XA231" s="302"/>
      <c r="XB231" s="302"/>
      <c r="XC231" s="302"/>
      <c r="XD231" s="302"/>
      <c r="XE231" s="302"/>
      <c r="XF231" s="302"/>
      <c r="XG231" s="302"/>
      <c r="XH231" s="302"/>
      <c r="XI231" s="302"/>
      <c r="XJ231" s="302"/>
      <c r="XK231" s="302"/>
      <c r="XL231" s="302"/>
      <c r="XM231" s="302"/>
      <c r="XN231" s="302"/>
      <c r="XO231" s="302"/>
      <c r="XP231" s="302"/>
      <c r="XQ231" s="302"/>
      <c r="XR231" s="302"/>
      <c r="XS231" s="302"/>
      <c r="XT231" s="302"/>
      <c r="XU231" s="302"/>
      <c r="XV231" s="302"/>
      <c r="XW231" s="302"/>
      <c r="XX231" s="302"/>
      <c r="XY231" s="302"/>
      <c r="XZ231" s="302"/>
      <c r="YA231" s="302"/>
      <c r="YB231" s="302"/>
      <c r="YC231" s="302"/>
      <c r="YD231" s="302"/>
      <c r="YE231" s="302"/>
      <c r="YF231" s="302"/>
      <c r="YG231" s="302"/>
      <c r="YH231" s="302"/>
      <c r="YI231" s="302"/>
      <c r="YJ231" s="302"/>
      <c r="YK231" s="302"/>
      <c r="YL231" s="302"/>
      <c r="YM231" s="302"/>
      <c r="YN231" s="302"/>
      <c r="YO231" s="302"/>
      <c r="YP231" s="302"/>
      <c r="YQ231" s="302"/>
      <c r="YR231" s="302"/>
      <c r="YS231" s="302"/>
      <c r="YT231" s="302"/>
      <c r="YU231" s="302"/>
      <c r="YV231" s="302"/>
      <c r="YW231" s="302"/>
      <c r="YX231" s="302"/>
      <c r="YY231" s="302"/>
      <c r="YZ231" s="302"/>
      <c r="ZA231" s="302"/>
      <c r="ZB231" s="302"/>
      <c r="ZC231" s="302"/>
      <c r="ZD231" s="302"/>
      <c r="ZE231" s="302"/>
      <c r="ZF231" s="302"/>
      <c r="ZG231" s="302"/>
      <c r="ZH231" s="302"/>
      <c r="ZI231" s="302"/>
      <c r="ZJ231" s="302"/>
      <c r="ZK231" s="302"/>
      <c r="ZL231" s="302"/>
      <c r="ZM231" s="302"/>
      <c r="ZN231" s="302"/>
      <c r="ZO231" s="302"/>
      <c r="ZP231" s="302"/>
      <c r="ZQ231" s="302"/>
      <c r="ZR231" s="302"/>
      <c r="ZS231" s="302"/>
      <c r="ZT231" s="302"/>
      <c r="ZU231" s="302"/>
      <c r="ZV231" s="302"/>
      <c r="ZW231" s="302"/>
      <c r="ZX231" s="302"/>
      <c r="ZY231" s="302"/>
      <c r="ZZ231" s="302"/>
      <c r="AAA231" s="302"/>
      <c r="AAB231" s="302"/>
      <c r="AAC231" s="302"/>
      <c r="AAD231" s="302"/>
      <c r="AAE231" s="302"/>
      <c r="AAF231" s="302"/>
      <c r="AAG231" s="302"/>
      <c r="AAH231" s="302"/>
      <c r="AAI231" s="302"/>
      <c r="AAJ231" s="302"/>
      <c r="AAK231" s="302"/>
      <c r="AAL231" s="302"/>
      <c r="AAM231" s="302"/>
      <c r="AAN231" s="302"/>
      <c r="AAO231" s="302"/>
      <c r="AAP231" s="302"/>
      <c r="AAQ231" s="302"/>
      <c r="AAR231" s="302"/>
      <c r="AAS231" s="302"/>
      <c r="AAT231" s="302"/>
      <c r="AAU231" s="302"/>
      <c r="AAV231" s="302"/>
      <c r="AAW231" s="302"/>
      <c r="AAX231" s="302"/>
      <c r="AAY231" s="302"/>
      <c r="AAZ231" s="302"/>
      <c r="ABA231" s="302"/>
      <c r="ABB231" s="302"/>
      <c r="ABC231" s="302"/>
      <c r="ABD231" s="302"/>
      <c r="ABE231" s="302"/>
      <c r="ABF231" s="302"/>
      <c r="ABG231" s="302"/>
      <c r="ABH231" s="302"/>
      <c r="ABI231" s="302"/>
      <c r="ABJ231" s="302"/>
      <c r="ABK231" s="302"/>
      <c r="ABL231" s="302"/>
      <c r="ABM231" s="302"/>
      <c r="ABN231" s="302"/>
      <c r="ABO231" s="302"/>
      <c r="ABP231" s="302"/>
      <c r="ABQ231" s="302"/>
      <c r="ABR231" s="302"/>
      <c r="ABS231" s="302"/>
      <c r="ABT231" s="302"/>
      <c r="ABU231" s="302"/>
      <c r="ABV231" s="302"/>
      <c r="ABW231" s="302"/>
      <c r="ABX231" s="302"/>
      <c r="ABY231" s="302"/>
      <c r="ABZ231" s="302"/>
      <c r="ACA231" s="302"/>
      <c r="ACB231" s="302"/>
      <c r="ACC231" s="302"/>
      <c r="ACD231" s="302"/>
      <c r="ACE231" s="302"/>
      <c r="ACF231" s="302"/>
      <c r="ACG231" s="302"/>
      <c r="ACH231" s="302"/>
      <c r="ACI231" s="302"/>
      <c r="ACJ231" s="302"/>
      <c r="ACK231" s="302"/>
      <c r="ACL231" s="302"/>
      <c r="ACM231" s="302"/>
      <c r="ACN231" s="302"/>
      <c r="ACO231" s="302"/>
      <c r="ACP231" s="302"/>
      <c r="ACQ231" s="302"/>
      <c r="ACR231" s="302"/>
      <c r="ACS231" s="302"/>
      <c r="ACT231" s="302"/>
      <c r="ACU231" s="302"/>
      <c r="ACV231" s="302"/>
      <c r="ACW231" s="302"/>
      <c r="ACX231" s="302"/>
      <c r="ACY231" s="302"/>
      <c r="ACZ231" s="302"/>
      <c r="ADA231" s="302"/>
      <c r="ADB231" s="302"/>
      <c r="ADC231" s="302"/>
      <c r="ADD231" s="302"/>
      <c r="ADE231" s="302"/>
      <c r="ADF231" s="302"/>
      <c r="ADG231" s="302"/>
      <c r="ADH231" s="302"/>
      <c r="ADI231" s="302"/>
      <c r="ADJ231" s="302"/>
      <c r="ADK231" s="302"/>
      <c r="ADL231" s="302"/>
      <c r="ADM231" s="302"/>
      <c r="ADN231" s="302"/>
      <c r="ADO231" s="302"/>
      <c r="ADP231" s="302"/>
      <c r="ADQ231" s="302"/>
      <c r="ADR231" s="302"/>
      <c r="ADS231" s="302"/>
      <c r="ADT231" s="302"/>
      <c r="ADU231" s="302"/>
      <c r="ADV231" s="302"/>
      <c r="ADW231" s="302"/>
      <c r="ADX231" s="302"/>
      <c r="ADY231" s="302"/>
      <c r="ADZ231" s="302"/>
      <c r="AEA231" s="302"/>
      <c r="AEB231" s="302"/>
      <c r="AEC231" s="302"/>
      <c r="AED231" s="302"/>
      <c r="AEE231" s="302"/>
      <c r="AEF231" s="302"/>
      <c r="AEG231" s="302"/>
      <c r="AEH231" s="302"/>
      <c r="AEI231" s="302"/>
      <c r="AEJ231" s="302"/>
      <c r="AEK231" s="302"/>
      <c r="AEL231" s="302"/>
      <c r="AEM231" s="302"/>
      <c r="AEN231" s="302"/>
      <c r="AEO231" s="302"/>
      <c r="AEP231" s="302"/>
      <c r="AEQ231" s="302"/>
      <c r="AER231" s="302"/>
      <c r="AES231" s="302"/>
      <c r="AET231" s="302"/>
      <c r="AEU231" s="302"/>
      <c r="AEV231" s="302"/>
      <c r="AEW231" s="302"/>
      <c r="AEX231" s="302"/>
      <c r="AEY231" s="302"/>
      <c r="AEZ231" s="302"/>
      <c r="AFA231" s="302"/>
      <c r="AFB231" s="302"/>
      <c r="AFC231" s="302"/>
      <c r="AFD231" s="302"/>
      <c r="AFE231" s="302"/>
      <c r="AFF231" s="302"/>
      <c r="AFG231" s="302"/>
      <c r="AFH231" s="302"/>
      <c r="AFI231" s="302"/>
      <c r="AFJ231" s="302"/>
      <c r="AFK231" s="302"/>
      <c r="AFL231" s="302"/>
      <c r="AFM231" s="302"/>
      <c r="AFN231" s="302"/>
      <c r="AFO231" s="302"/>
      <c r="AFP231" s="302"/>
      <c r="AFQ231" s="302"/>
      <c r="AFR231" s="302"/>
      <c r="AFS231" s="302"/>
      <c r="AFT231" s="302"/>
      <c r="AFU231" s="302"/>
      <c r="AFV231" s="302"/>
      <c r="AFW231" s="302"/>
      <c r="AFX231" s="302"/>
      <c r="AFY231" s="302"/>
      <c r="AFZ231" s="302"/>
      <c r="AGA231" s="302"/>
      <c r="AGB231" s="302"/>
      <c r="AGC231" s="302"/>
      <c r="AGD231" s="302"/>
      <c r="AGE231" s="302"/>
      <c r="AGF231" s="302"/>
      <c r="AGG231" s="302"/>
      <c r="AGH231" s="302"/>
      <c r="AGI231" s="302"/>
      <c r="AGJ231" s="302"/>
      <c r="AGK231" s="302"/>
      <c r="AGL231" s="302"/>
      <c r="AGM231" s="302"/>
      <c r="AGN231" s="302"/>
      <c r="AGO231" s="302"/>
      <c r="AGP231" s="302"/>
      <c r="AGQ231" s="302"/>
      <c r="AGR231" s="302"/>
      <c r="AGS231" s="302"/>
      <c r="AGT231" s="302"/>
      <c r="AGU231" s="302"/>
      <c r="AGV231" s="302"/>
      <c r="AGW231" s="302"/>
      <c r="AGX231" s="302"/>
      <c r="AGY231" s="302"/>
      <c r="AGZ231" s="302"/>
      <c r="AHA231" s="302"/>
      <c r="AHB231" s="302"/>
      <c r="AHC231" s="302"/>
      <c r="AHD231" s="302"/>
      <c r="AHE231" s="302"/>
      <c r="AHF231" s="302"/>
      <c r="AHG231" s="302"/>
      <c r="AHH231" s="302"/>
      <c r="AHI231" s="302"/>
      <c r="AHJ231" s="302"/>
      <c r="AHK231" s="302"/>
      <c r="AHL231" s="302"/>
      <c r="AHM231" s="302"/>
      <c r="AHN231" s="302"/>
      <c r="AHO231" s="302"/>
      <c r="AHP231" s="302"/>
      <c r="AHQ231" s="302"/>
      <c r="AHR231" s="302"/>
      <c r="AHS231" s="302"/>
      <c r="AHT231" s="302"/>
      <c r="AHU231" s="302"/>
      <c r="AHV231" s="302"/>
      <c r="AHW231" s="302"/>
      <c r="AHX231" s="302"/>
      <c r="AHY231" s="302"/>
      <c r="AHZ231" s="302"/>
      <c r="AIA231" s="302"/>
      <c r="AIB231" s="302"/>
      <c r="AIC231" s="302"/>
      <c r="AID231" s="302"/>
      <c r="AIE231" s="302"/>
      <c r="AIF231" s="302"/>
      <c r="AIG231" s="302"/>
      <c r="AIH231" s="302"/>
      <c r="AII231" s="302"/>
      <c r="AIJ231" s="302"/>
      <c r="AIK231" s="302"/>
      <c r="AIL231" s="302"/>
      <c r="AIM231" s="302"/>
      <c r="AIN231" s="302"/>
      <c r="AIO231" s="302"/>
      <c r="AIP231" s="302"/>
      <c r="AIQ231" s="302"/>
      <c r="AIR231" s="302"/>
      <c r="AIS231" s="302"/>
      <c r="AIT231" s="302"/>
      <c r="AIU231" s="302"/>
      <c r="AIV231" s="302"/>
      <c r="AIW231" s="302"/>
      <c r="AIX231" s="302"/>
      <c r="AIY231" s="302"/>
      <c r="AIZ231" s="302"/>
      <c r="AJA231" s="302"/>
      <c r="AJB231" s="302"/>
      <c r="AJC231" s="302"/>
      <c r="AJD231" s="302"/>
      <c r="AJE231" s="302"/>
      <c r="AJF231" s="302"/>
      <c r="AJG231" s="302"/>
      <c r="AJH231" s="302"/>
      <c r="AJI231" s="302"/>
      <c r="AJJ231" s="302"/>
      <c r="AJK231" s="302"/>
      <c r="AJL231" s="302"/>
      <c r="AJM231" s="302"/>
      <c r="AJN231" s="302"/>
      <c r="AJO231" s="302"/>
      <c r="AJP231" s="302"/>
      <c r="AJQ231" s="302"/>
      <c r="AJR231" s="302"/>
      <c r="AJS231" s="302"/>
      <c r="AJT231" s="302"/>
      <c r="AJU231" s="302"/>
      <c r="AJV231" s="302"/>
      <c r="AJW231" s="302"/>
      <c r="AJX231" s="302"/>
      <c r="AJY231" s="302"/>
      <c r="AJZ231" s="302"/>
      <c r="AKA231" s="302"/>
      <c r="AKB231" s="302"/>
      <c r="AKC231" s="302"/>
      <c r="AKD231" s="302"/>
      <c r="AKE231" s="302"/>
      <c r="AKF231" s="302"/>
      <c r="AKG231" s="302"/>
      <c r="AKH231" s="302"/>
      <c r="AKI231" s="302"/>
      <c r="AKJ231" s="302"/>
      <c r="AKK231" s="302"/>
      <c r="AKL231" s="302"/>
      <c r="AKM231" s="302"/>
      <c r="AKN231" s="302"/>
      <c r="AKO231" s="302"/>
      <c r="AKP231" s="302"/>
      <c r="AKQ231" s="302"/>
      <c r="AKR231" s="302"/>
      <c r="AKS231" s="302"/>
      <c r="AKT231" s="302"/>
      <c r="AKU231" s="302"/>
      <c r="AKV231" s="302"/>
      <c r="AKW231" s="302"/>
      <c r="AKX231" s="302"/>
      <c r="AKY231" s="302"/>
      <c r="AKZ231" s="302"/>
      <c r="ALA231" s="302"/>
      <c r="ALB231" s="302"/>
      <c r="ALC231" s="302"/>
      <c r="ALD231" s="302"/>
      <c r="ALE231" s="302"/>
      <c r="ALF231" s="302"/>
      <c r="ALG231" s="302"/>
      <c r="ALH231" s="302"/>
      <c r="ALI231" s="302"/>
      <c r="ALJ231" s="302"/>
      <c r="ALK231" s="302"/>
      <c r="ALL231" s="302"/>
      <c r="ALM231" s="302"/>
      <c r="ALN231" s="302"/>
      <c r="ALO231" s="302"/>
      <c r="ALP231" s="302"/>
      <c r="ALQ231" s="302"/>
      <c r="ALR231" s="302"/>
      <c r="ALS231" s="302"/>
      <c r="ALT231" s="302"/>
      <c r="ALU231" s="302"/>
      <c r="ALV231" s="302"/>
      <c r="ALW231" s="302"/>
      <c r="ALX231" s="302"/>
      <c r="ALY231" s="302"/>
      <c r="ALZ231" s="302"/>
      <c r="AMA231" s="302"/>
      <c r="AMB231" s="302"/>
      <c r="AMC231" s="302"/>
      <c r="AMD231" s="302"/>
      <c r="AME231" s="302"/>
      <c r="AMF231" s="302"/>
      <c r="AMG231" s="302"/>
      <c r="AMH231" s="302"/>
      <c r="AMI231" s="302"/>
    </row>
    <row r="232" spans="1:1023" hidden="1"/>
    <row r="233" spans="1:1023" hidden="1"/>
    <row r="234" spans="1:1023" hidden="1"/>
    <row r="235" spans="1:1023" ht="18" hidden="1">
      <c r="A235" s="302"/>
      <c r="B235" s="969" t="s">
        <v>427</v>
      </c>
      <c r="C235" s="970"/>
      <c r="D235" s="970"/>
      <c r="E235" s="970"/>
      <c r="F235" s="970"/>
      <c r="G235" s="970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2"/>
      <c r="AE235" s="302"/>
      <c r="AF235" s="302"/>
      <c r="AG235" s="302"/>
      <c r="AH235" s="302"/>
      <c r="AI235" s="302"/>
      <c r="AJ235" s="302"/>
      <c r="AK235" s="302"/>
      <c r="AL235" s="302"/>
      <c r="AM235" s="302"/>
      <c r="AN235" s="302"/>
      <c r="AO235" s="302"/>
      <c r="AP235" s="302"/>
      <c r="AQ235" s="302"/>
      <c r="AR235" s="302"/>
      <c r="AS235" s="302"/>
      <c r="AT235" s="302"/>
      <c r="AU235" s="302"/>
      <c r="AV235" s="302"/>
      <c r="AW235" s="302"/>
      <c r="AX235" s="302"/>
      <c r="AY235" s="302"/>
      <c r="AZ235" s="302"/>
      <c r="BA235" s="302"/>
      <c r="BB235" s="302"/>
      <c r="BC235" s="302"/>
      <c r="BD235" s="302"/>
      <c r="BE235" s="302"/>
      <c r="BF235" s="302"/>
      <c r="BG235" s="302"/>
      <c r="BH235" s="302"/>
      <c r="BI235" s="302"/>
      <c r="BJ235" s="302"/>
      <c r="BK235" s="302"/>
      <c r="BL235" s="302"/>
      <c r="BM235" s="302"/>
      <c r="BN235" s="302"/>
      <c r="BO235" s="302"/>
      <c r="BP235" s="302"/>
      <c r="BQ235" s="302"/>
      <c r="BR235" s="302"/>
      <c r="BS235" s="302"/>
      <c r="BT235" s="302"/>
      <c r="BU235" s="302"/>
      <c r="BV235" s="302"/>
      <c r="BW235" s="302"/>
      <c r="BX235" s="302"/>
      <c r="BY235" s="302"/>
      <c r="BZ235" s="302"/>
      <c r="CA235" s="302"/>
      <c r="CB235" s="302"/>
      <c r="CC235" s="302"/>
      <c r="CD235" s="302"/>
      <c r="CE235" s="302"/>
      <c r="CF235" s="302"/>
      <c r="CG235" s="302"/>
      <c r="CH235" s="302"/>
      <c r="CI235" s="302"/>
      <c r="CJ235" s="302"/>
      <c r="CK235" s="302"/>
      <c r="CL235" s="302"/>
      <c r="CM235" s="302"/>
      <c r="CN235" s="302"/>
      <c r="CO235" s="302"/>
      <c r="CP235" s="302"/>
      <c r="CQ235" s="302"/>
      <c r="CR235" s="302"/>
      <c r="CS235" s="302"/>
      <c r="CT235" s="302"/>
      <c r="CU235" s="302"/>
      <c r="CV235" s="302"/>
      <c r="CW235" s="302"/>
      <c r="CX235" s="302"/>
      <c r="CY235" s="302"/>
      <c r="CZ235" s="302"/>
      <c r="DA235" s="302"/>
      <c r="DB235" s="302"/>
      <c r="DC235" s="302"/>
      <c r="DD235" s="302"/>
      <c r="DE235" s="302"/>
      <c r="DF235" s="302"/>
      <c r="DG235" s="302"/>
      <c r="DH235" s="302"/>
      <c r="DI235" s="302"/>
      <c r="DJ235" s="302"/>
      <c r="DK235" s="302"/>
      <c r="DL235" s="302"/>
      <c r="DM235" s="302"/>
      <c r="DN235" s="302"/>
      <c r="DO235" s="302"/>
      <c r="DP235" s="302"/>
      <c r="DQ235" s="302"/>
      <c r="DR235" s="302"/>
      <c r="DS235" s="302"/>
      <c r="DT235" s="302"/>
      <c r="DU235" s="302"/>
      <c r="DV235" s="302"/>
      <c r="DW235" s="302"/>
      <c r="DX235" s="302"/>
      <c r="DY235" s="302"/>
      <c r="DZ235" s="302"/>
      <c r="EA235" s="302"/>
      <c r="EB235" s="302"/>
      <c r="EC235" s="302"/>
      <c r="ED235" s="302"/>
      <c r="EE235" s="302"/>
      <c r="EF235" s="302"/>
      <c r="EG235" s="302"/>
      <c r="EH235" s="302"/>
      <c r="EI235" s="302"/>
      <c r="EJ235" s="302"/>
      <c r="EK235" s="302"/>
      <c r="EL235" s="302"/>
      <c r="EM235" s="302"/>
      <c r="EN235" s="302"/>
      <c r="EO235" s="302"/>
      <c r="EP235" s="302"/>
      <c r="EQ235" s="302"/>
      <c r="ER235" s="302"/>
      <c r="ES235" s="302"/>
      <c r="ET235" s="302"/>
      <c r="EU235" s="302"/>
      <c r="EV235" s="302"/>
      <c r="EW235" s="302"/>
      <c r="EX235" s="302"/>
      <c r="EY235" s="302"/>
      <c r="EZ235" s="302"/>
      <c r="FA235" s="302"/>
      <c r="FB235" s="302"/>
      <c r="FC235" s="302"/>
      <c r="FD235" s="302"/>
      <c r="FE235" s="302"/>
      <c r="FF235" s="302"/>
      <c r="FG235" s="302"/>
      <c r="FH235" s="302"/>
      <c r="FI235" s="302"/>
      <c r="FJ235" s="302"/>
      <c r="FK235" s="302"/>
      <c r="FL235" s="302"/>
      <c r="FM235" s="302"/>
      <c r="FN235" s="302"/>
      <c r="FO235" s="302"/>
      <c r="FP235" s="302"/>
      <c r="FQ235" s="302"/>
      <c r="FR235" s="302"/>
      <c r="FS235" s="302"/>
      <c r="FT235" s="302"/>
      <c r="FU235" s="302"/>
      <c r="FV235" s="302"/>
      <c r="FW235" s="302"/>
      <c r="FX235" s="302"/>
      <c r="FY235" s="302"/>
      <c r="FZ235" s="302"/>
      <c r="GA235" s="302"/>
      <c r="GB235" s="302"/>
      <c r="GC235" s="302"/>
      <c r="GD235" s="302"/>
      <c r="GE235" s="302"/>
      <c r="GF235" s="302"/>
      <c r="GG235" s="302"/>
      <c r="GH235" s="302"/>
      <c r="GI235" s="302"/>
      <c r="GJ235" s="302"/>
      <c r="GK235" s="302"/>
      <c r="GL235" s="302"/>
      <c r="GM235" s="302"/>
      <c r="GN235" s="302"/>
      <c r="GO235" s="302"/>
      <c r="GP235" s="302"/>
      <c r="GQ235" s="302"/>
      <c r="GR235" s="302"/>
      <c r="GS235" s="302"/>
      <c r="GT235" s="302"/>
      <c r="GU235" s="302"/>
      <c r="GV235" s="302"/>
      <c r="GW235" s="302"/>
      <c r="GX235" s="302"/>
      <c r="GY235" s="302"/>
      <c r="GZ235" s="302"/>
      <c r="HA235" s="302"/>
      <c r="HB235" s="302"/>
      <c r="HC235" s="302"/>
      <c r="HD235" s="302"/>
      <c r="HE235" s="302"/>
      <c r="HF235" s="302"/>
      <c r="HG235" s="302"/>
      <c r="HH235" s="302"/>
      <c r="HI235" s="302"/>
      <c r="HJ235" s="302"/>
      <c r="HK235" s="302"/>
      <c r="HL235" s="302"/>
      <c r="HM235" s="302"/>
      <c r="HN235" s="302"/>
      <c r="HO235" s="302"/>
      <c r="HP235" s="302"/>
      <c r="HQ235" s="302"/>
      <c r="HR235" s="302"/>
      <c r="HS235" s="302"/>
      <c r="HT235" s="302"/>
      <c r="HU235" s="302"/>
      <c r="HV235" s="302"/>
      <c r="HW235" s="302"/>
      <c r="HX235" s="302"/>
      <c r="HY235" s="302"/>
      <c r="HZ235" s="302"/>
      <c r="IA235" s="302"/>
      <c r="IB235" s="302"/>
      <c r="IC235" s="302"/>
      <c r="ID235" s="302"/>
      <c r="IE235" s="302"/>
      <c r="IF235" s="302"/>
      <c r="IG235" s="302"/>
      <c r="IH235" s="302"/>
      <c r="II235" s="302"/>
      <c r="IJ235" s="302"/>
      <c r="IK235" s="302"/>
      <c r="IL235" s="302"/>
      <c r="IM235" s="302"/>
      <c r="IN235" s="302"/>
      <c r="IO235" s="302"/>
      <c r="IP235" s="302"/>
      <c r="IQ235" s="302"/>
      <c r="IR235" s="302"/>
      <c r="IS235" s="302"/>
      <c r="IT235" s="302"/>
      <c r="IU235" s="302"/>
      <c r="IV235" s="302"/>
      <c r="IW235" s="302"/>
      <c r="IX235" s="302"/>
      <c r="IY235" s="302"/>
      <c r="IZ235" s="302"/>
      <c r="JA235" s="302"/>
      <c r="JB235" s="302"/>
      <c r="JC235" s="302"/>
      <c r="JD235" s="302"/>
      <c r="JE235" s="302"/>
      <c r="JF235" s="302"/>
      <c r="JG235" s="302"/>
      <c r="JH235" s="302"/>
      <c r="JI235" s="302"/>
      <c r="JJ235" s="302"/>
      <c r="JK235" s="302"/>
      <c r="JL235" s="302"/>
      <c r="JM235" s="302"/>
      <c r="JN235" s="302"/>
      <c r="JO235" s="302"/>
      <c r="JP235" s="302"/>
      <c r="JQ235" s="302"/>
      <c r="JR235" s="302"/>
      <c r="JS235" s="302"/>
      <c r="JT235" s="302"/>
      <c r="JU235" s="302"/>
      <c r="JV235" s="302"/>
      <c r="JW235" s="302"/>
      <c r="JX235" s="302"/>
      <c r="JY235" s="302"/>
      <c r="JZ235" s="302"/>
      <c r="KA235" s="302"/>
      <c r="KB235" s="302"/>
      <c r="KC235" s="302"/>
      <c r="KD235" s="302"/>
      <c r="KE235" s="302"/>
      <c r="KF235" s="302"/>
      <c r="KG235" s="302"/>
      <c r="KH235" s="302"/>
      <c r="KI235" s="302"/>
      <c r="KJ235" s="302"/>
      <c r="KK235" s="302"/>
      <c r="KL235" s="302"/>
      <c r="KM235" s="302"/>
      <c r="KN235" s="302"/>
      <c r="KO235" s="302"/>
      <c r="KP235" s="302"/>
      <c r="KQ235" s="302"/>
      <c r="KR235" s="302"/>
      <c r="KS235" s="302"/>
      <c r="KT235" s="302"/>
      <c r="KU235" s="302"/>
      <c r="KV235" s="302"/>
      <c r="KW235" s="302"/>
      <c r="KX235" s="302"/>
      <c r="KY235" s="302"/>
      <c r="KZ235" s="302"/>
      <c r="LA235" s="302"/>
      <c r="LB235" s="302"/>
      <c r="LC235" s="302"/>
      <c r="LD235" s="302"/>
      <c r="LE235" s="302"/>
      <c r="LF235" s="302"/>
      <c r="LG235" s="302"/>
      <c r="LH235" s="302"/>
      <c r="LI235" s="302"/>
      <c r="LJ235" s="302"/>
      <c r="LK235" s="302"/>
      <c r="LL235" s="302"/>
      <c r="LM235" s="302"/>
      <c r="LN235" s="302"/>
      <c r="LO235" s="302"/>
      <c r="LP235" s="302"/>
      <c r="LQ235" s="302"/>
      <c r="LR235" s="302"/>
      <c r="LS235" s="302"/>
      <c r="LT235" s="302"/>
      <c r="LU235" s="302"/>
      <c r="LV235" s="302"/>
      <c r="LW235" s="302"/>
      <c r="LX235" s="302"/>
      <c r="LY235" s="302"/>
      <c r="LZ235" s="302"/>
      <c r="MA235" s="302"/>
      <c r="MB235" s="302"/>
      <c r="MC235" s="302"/>
      <c r="MD235" s="302"/>
      <c r="ME235" s="302"/>
      <c r="MF235" s="302"/>
      <c r="MG235" s="302"/>
      <c r="MH235" s="302"/>
      <c r="MI235" s="302"/>
      <c r="MJ235" s="302"/>
      <c r="MK235" s="302"/>
      <c r="ML235" s="302"/>
      <c r="MM235" s="302"/>
      <c r="MN235" s="302"/>
      <c r="MO235" s="302"/>
      <c r="MP235" s="302"/>
      <c r="MQ235" s="302"/>
      <c r="MR235" s="302"/>
      <c r="MS235" s="302"/>
      <c r="MT235" s="302"/>
      <c r="MU235" s="302"/>
      <c r="MV235" s="302"/>
      <c r="MW235" s="302"/>
      <c r="MX235" s="302"/>
      <c r="MY235" s="302"/>
      <c r="MZ235" s="302"/>
      <c r="NA235" s="302"/>
      <c r="NB235" s="302"/>
      <c r="NC235" s="302"/>
      <c r="ND235" s="302"/>
      <c r="NE235" s="302"/>
      <c r="NF235" s="302"/>
      <c r="NG235" s="302"/>
      <c r="NH235" s="302"/>
      <c r="NI235" s="302"/>
      <c r="NJ235" s="302"/>
      <c r="NK235" s="302"/>
      <c r="NL235" s="302"/>
      <c r="NM235" s="302"/>
      <c r="NN235" s="302"/>
      <c r="NO235" s="302"/>
      <c r="NP235" s="302"/>
      <c r="NQ235" s="302"/>
      <c r="NR235" s="302"/>
      <c r="NS235" s="302"/>
      <c r="NT235" s="302"/>
      <c r="NU235" s="302"/>
      <c r="NV235" s="302"/>
      <c r="NW235" s="302"/>
      <c r="NX235" s="302"/>
      <c r="NY235" s="302"/>
      <c r="NZ235" s="302"/>
      <c r="OA235" s="302"/>
      <c r="OB235" s="302"/>
      <c r="OC235" s="302"/>
      <c r="OD235" s="302"/>
      <c r="OE235" s="302"/>
      <c r="OF235" s="302"/>
      <c r="OG235" s="302"/>
      <c r="OH235" s="302"/>
      <c r="OI235" s="302"/>
      <c r="OJ235" s="302"/>
      <c r="OK235" s="302"/>
      <c r="OL235" s="302"/>
      <c r="OM235" s="302"/>
      <c r="ON235" s="302"/>
      <c r="OO235" s="302"/>
      <c r="OP235" s="302"/>
      <c r="OQ235" s="302"/>
      <c r="OR235" s="302"/>
      <c r="OS235" s="302"/>
      <c r="OT235" s="302"/>
      <c r="OU235" s="302"/>
      <c r="OV235" s="302"/>
      <c r="OW235" s="302"/>
      <c r="OX235" s="302"/>
      <c r="OY235" s="302"/>
      <c r="OZ235" s="302"/>
      <c r="PA235" s="302"/>
      <c r="PB235" s="302"/>
      <c r="PC235" s="302"/>
      <c r="PD235" s="302"/>
      <c r="PE235" s="302"/>
      <c r="PF235" s="302"/>
      <c r="PG235" s="302"/>
      <c r="PH235" s="302"/>
      <c r="PI235" s="302"/>
      <c r="PJ235" s="302"/>
      <c r="PK235" s="302"/>
      <c r="PL235" s="302"/>
      <c r="PM235" s="302"/>
      <c r="PN235" s="302"/>
      <c r="PO235" s="302"/>
      <c r="PP235" s="302"/>
      <c r="PQ235" s="302"/>
      <c r="PR235" s="302"/>
      <c r="PS235" s="302"/>
      <c r="PT235" s="302"/>
      <c r="PU235" s="302"/>
      <c r="PV235" s="302"/>
      <c r="PW235" s="302"/>
      <c r="PX235" s="302"/>
      <c r="PY235" s="302"/>
      <c r="PZ235" s="302"/>
      <c r="QA235" s="302"/>
      <c r="QB235" s="302"/>
      <c r="QC235" s="302"/>
      <c r="QD235" s="302"/>
      <c r="QE235" s="302"/>
      <c r="QF235" s="302"/>
      <c r="QG235" s="302"/>
      <c r="QH235" s="302"/>
      <c r="QI235" s="302"/>
      <c r="QJ235" s="302"/>
      <c r="QK235" s="302"/>
      <c r="QL235" s="302"/>
      <c r="QM235" s="302"/>
      <c r="QN235" s="302"/>
      <c r="QO235" s="302"/>
      <c r="QP235" s="302"/>
      <c r="QQ235" s="302"/>
      <c r="QR235" s="302"/>
      <c r="QS235" s="302"/>
      <c r="QT235" s="302"/>
      <c r="QU235" s="302"/>
      <c r="QV235" s="302"/>
      <c r="QW235" s="302"/>
      <c r="QX235" s="302"/>
      <c r="QY235" s="302"/>
      <c r="QZ235" s="302"/>
      <c r="RA235" s="302"/>
      <c r="RB235" s="302"/>
      <c r="RC235" s="302"/>
      <c r="RD235" s="302"/>
      <c r="RE235" s="302"/>
      <c r="RF235" s="302"/>
      <c r="RG235" s="302"/>
      <c r="RH235" s="302"/>
      <c r="RI235" s="302"/>
      <c r="RJ235" s="302"/>
      <c r="RK235" s="302"/>
      <c r="RL235" s="302"/>
      <c r="RM235" s="302"/>
      <c r="RN235" s="302"/>
      <c r="RO235" s="302"/>
      <c r="RP235" s="302"/>
      <c r="RQ235" s="302"/>
      <c r="RR235" s="302"/>
      <c r="RS235" s="302"/>
      <c r="RT235" s="302"/>
      <c r="RU235" s="302"/>
      <c r="RV235" s="302"/>
      <c r="RW235" s="302"/>
      <c r="RX235" s="302"/>
      <c r="RY235" s="302"/>
      <c r="RZ235" s="302"/>
      <c r="SA235" s="302"/>
      <c r="SB235" s="302"/>
      <c r="SC235" s="302"/>
      <c r="SD235" s="302"/>
      <c r="SE235" s="302"/>
      <c r="SF235" s="302"/>
      <c r="SG235" s="302"/>
      <c r="SH235" s="302"/>
      <c r="SI235" s="302"/>
      <c r="SJ235" s="302"/>
      <c r="SK235" s="302"/>
      <c r="SL235" s="302"/>
      <c r="SM235" s="302"/>
      <c r="SN235" s="302"/>
      <c r="SO235" s="302"/>
      <c r="SP235" s="302"/>
      <c r="SQ235" s="302"/>
      <c r="SR235" s="302"/>
      <c r="SS235" s="302"/>
      <c r="ST235" s="302"/>
      <c r="SU235" s="302"/>
      <c r="SV235" s="302"/>
      <c r="SW235" s="302"/>
      <c r="SX235" s="302"/>
      <c r="SY235" s="302"/>
      <c r="SZ235" s="302"/>
      <c r="TA235" s="302"/>
      <c r="TB235" s="302"/>
      <c r="TC235" s="302"/>
      <c r="TD235" s="302"/>
      <c r="TE235" s="302"/>
      <c r="TF235" s="302"/>
      <c r="TG235" s="302"/>
      <c r="TH235" s="302"/>
      <c r="TI235" s="302"/>
      <c r="TJ235" s="302"/>
      <c r="TK235" s="302"/>
      <c r="TL235" s="302"/>
      <c r="TM235" s="302"/>
      <c r="TN235" s="302"/>
      <c r="TO235" s="302"/>
      <c r="TP235" s="302"/>
      <c r="TQ235" s="302"/>
      <c r="TR235" s="302"/>
      <c r="TS235" s="302"/>
      <c r="TT235" s="302"/>
      <c r="TU235" s="302"/>
      <c r="TV235" s="302"/>
      <c r="TW235" s="302"/>
      <c r="TX235" s="302"/>
      <c r="TY235" s="302"/>
      <c r="TZ235" s="302"/>
      <c r="UA235" s="302"/>
      <c r="UB235" s="302"/>
      <c r="UC235" s="302"/>
      <c r="UD235" s="302"/>
      <c r="UE235" s="302"/>
      <c r="UF235" s="302"/>
      <c r="UG235" s="302"/>
      <c r="UH235" s="302"/>
      <c r="UI235" s="302"/>
      <c r="UJ235" s="302"/>
      <c r="UK235" s="302"/>
      <c r="UL235" s="302"/>
      <c r="UM235" s="302"/>
      <c r="UN235" s="302"/>
      <c r="UO235" s="302"/>
      <c r="UP235" s="302"/>
      <c r="UQ235" s="302"/>
      <c r="UR235" s="302"/>
      <c r="US235" s="302"/>
      <c r="UT235" s="302"/>
      <c r="UU235" s="302"/>
      <c r="UV235" s="302"/>
      <c r="UW235" s="302"/>
      <c r="UX235" s="302"/>
      <c r="UY235" s="302"/>
      <c r="UZ235" s="302"/>
      <c r="VA235" s="302"/>
      <c r="VB235" s="302"/>
      <c r="VC235" s="302"/>
      <c r="VD235" s="302"/>
      <c r="VE235" s="302"/>
      <c r="VF235" s="302"/>
      <c r="VG235" s="302"/>
      <c r="VH235" s="302"/>
      <c r="VI235" s="302"/>
      <c r="VJ235" s="302"/>
      <c r="VK235" s="302"/>
      <c r="VL235" s="302"/>
      <c r="VM235" s="302"/>
      <c r="VN235" s="302"/>
      <c r="VO235" s="302"/>
      <c r="VP235" s="302"/>
      <c r="VQ235" s="302"/>
      <c r="VR235" s="302"/>
      <c r="VS235" s="302"/>
      <c r="VT235" s="302"/>
      <c r="VU235" s="302"/>
      <c r="VV235" s="302"/>
      <c r="VW235" s="302"/>
      <c r="VX235" s="302"/>
      <c r="VY235" s="302"/>
      <c r="VZ235" s="302"/>
      <c r="WA235" s="302"/>
      <c r="WB235" s="302"/>
      <c r="WC235" s="302"/>
      <c r="WD235" s="302"/>
      <c r="WE235" s="302"/>
      <c r="WF235" s="302"/>
      <c r="WG235" s="302"/>
      <c r="WH235" s="302"/>
      <c r="WI235" s="302"/>
      <c r="WJ235" s="302"/>
      <c r="WK235" s="302"/>
      <c r="WL235" s="302"/>
      <c r="WM235" s="302"/>
      <c r="WN235" s="302"/>
      <c r="WO235" s="302"/>
      <c r="WP235" s="302"/>
      <c r="WQ235" s="302"/>
      <c r="WR235" s="302"/>
      <c r="WS235" s="302"/>
      <c r="WT235" s="302"/>
      <c r="WU235" s="302"/>
      <c r="WV235" s="302"/>
      <c r="WW235" s="302"/>
      <c r="WX235" s="302"/>
      <c r="WY235" s="302"/>
      <c r="WZ235" s="302"/>
      <c r="XA235" s="302"/>
      <c r="XB235" s="302"/>
      <c r="XC235" s="302"/>
      <c r="XD235" s="302"/>
      <c r="XE235" s="302"/>
      <c r="XF235" s="302"/>
      <c r="XG235" s="302"/>
      <c r="XH235" s="302"/>
      <c r="XI235" s="302"/>
      <c r="XJ235" s="302"/>
      <c r="XK235" s="302"/>
      <c r="XL235" s="302"/>
      <c r="XM235" s="302"/>
      <c r="XN235" s="302"/>
      <c r="XO235" s="302"/>
      <c r="XP235" s="302"/>
      <c r="XQ235" s="302"/>
      <c r="XR235" s="302"/>
      <c r="XS235" s="302"/>
      <c r="XT235" s="302"/>
      <c r="XU235" s="302"/>
      <c r="XV235" s="302"/>
      <c r="XW235" s="302"/>
      <c r="XX235" s="302"/>
      <c r="XY235" s="302"/>
      <c r="XZ235" s="302"/>
      <c r="YA235" s="302"/>
      <c r="YB235" s="302"/>
      <c r="YC235" s="302"/>
      <c r="YD235" s="302"/>
      <c r="YE235" s="302"/>
      <c r="YF235" s="302"/>
      <c r="YG235" s="302"/>
      <c r="YH235" s="302"/>
      <c r="YI235" s="302"/>
      <c r="YJ235" s="302"/>
      <c r="YK235" s="302"/>
      <c r="YL235" s="302"/>
      <c r="YM235" s="302"/>
      <c r="YN235" s="302"/>
      <c r="YO235" s="302"/>
      <c r="YP235" s="302"/>
      <c r="YQ235" s="302"/>
      <c r="YR235" s="302"/>
      <c r="YS235" s="302"/>
      <c r="YT235" s="302"/>
      <c r="YU235" s="302"/>
      <c r="YV235" s="302"/>
      <c r="YW235" s="302"/>
      <c r="YX235" s="302"/>
      <c r="YY235" s="302"/>
      <c r="YZ235" s="302"/>
      <c r="ZA235" s="302"/>
      <c r="ZB235" s="302"/>
      <c r="ZC235" s="302"/>
      <c r="ZD235" s="302"/>
      <c r="ZE235" s="302"/>
      <c r="ZF235" s="302"/>
      <c r="ZG235" s="302"/>
      <c r="ZH235" s="302"/>
      <c r="ZI235" s="302"/>
      <c r="ZJ235" s="302"/>
      <c r="ZK235" s="302"/>
      <c r="ZL235" s="302"/>
      <c r="ZM235" s="302"/>
      <c r="ZN235" s="302"/>
      <c r="ZO235" s="302"/>
      <c r="ZP235" s="302"/>
      <c r="ZQ235" s="302"/>
      <c r="ZR235" s="302"/>
      <c r="ZS235" s="302"/>
      <c r="ZT235" s="302"/>
      <c r="ZU235" s="302"/>
      <c r="ZV235" s="302"/>
      <c r="ZW235" s="302"/>
      <c r="ZX235" s="302"/>
      <c r="ZY235" s="302"/>
      <c r="ZZ235" s="302"/>
      <c r="AAA235" s="302"/>
      <c r="AAB235" s="302"/>
      <c r="AAC235" s="302"/>
      <c r="AAD235" s="302"/>
      <c r="AAE235" s="302"/>
      <c r="AAF235" s="302"/>
      <c r="AAG235" s="302"/>
      <c r="AAH235" s="302"/>
      <c r="AAI235" s="302"/>
      <c r="AAJ235" s="302"/>
      <c r="AAK235" s="302"/>
      <c r="AAL235" s="302"/>
      <c r="AAM235" s="302"/>
      <c r="AAN235" s="302"/>
      <c r="AAO235" s="302"/>
      <c r="AAP235" s="302"/>
      <c r="AAQ235" s="302"/>
      <c r="AAR235" s="302"/>
      <c r="AAS235" s="302"/>
      <c r="AAT235" s="302"/>
      <c r="AAU235" s="302"/>
      <c r="AAV235" s="302"/>
      <c r="AAW235" s="302"/>
      <c r="AAX235" s="302"/>
      <c r="AAY235" s="302"/>
      <c r="AAZ235" s="302"/>
      <c r="ABA235" s="302"/>
      <c r="ABB235" s="302"/>
      <c r="ABC235" s="302"/>
      <c r="ABD235" s="302"/>
      <c r="ABE235" s="302"/>
      <c r="ABF235" s="302"/>
      <c r="ABG235" s="302"/>
      <c r="ABH235" s="302"/>
      <c r="ABI235" s="302"/>
      <c r="ABJ235" s="302"/>
      <c r="ABK235" s="302"/>
      <c r="ABL235" s="302"/>
      <c r="ABM235" s="302"/>
      <c r="ABN235" s="302"/>
      <c r="ABO235" s="302"/>
      <c r="ABP235" s="302"/>
      <c r="ABQ235" s="302"/>
      <c r="ABR235" s="302"/>
      <c r="ABS235" s="302"/>
      <c r="ABT235" s="302"/>
      <c r="ABU235" s="302"/>
      <c r="ABV235" s="302"/>
      <c r="ABW235" s="302"/>
      <c r="ABX235" s="302"/>
      <c r="ABY235" s="302"/>
      <c r="ABZ235" s="302"/>
      <c r="ACA235" s="302"/>
      <c r="ACB235" s="302"/>
      <c r="ACC235" s="302"/>
      <c r="ACD235" s="302"/>
      <c r="ACE235" s="302"/>
      <c r="ACF235" s="302"/>
      <c r="ACG235" s="302"/>
      <c r="ACH235" s="302"/>
      <c r="ACI235" s="302"/>
      <c r="ACJ235" s="302"/>
      <c r="ACK235" s="302"/>
      <c r="ACL235" s="302"/>
      <c r="ACM235" s="302"/>
      <c r="ACN235" s="302"/>
      <c r="ACO235" s="302"/>
      <c r="ACP235" s="302"/>
      <c r="ACQ235" s="302"/>
      <c r="ACR235" s="302"/>
      <c r="ACS235" s="302"/>
      <c r="ACT235" s="302"/>
      <c r="ACU235" s="302"/>
      <c r="ACV235" s="302"/>
      <c r="ACW235" s="302"/>
      <c r="ACX235" s="302"/>
      <c r="ACY235" s="302"/>
      <c r="ACZ235" s="302"/>
      <c r="ADA235" s="302"/>
      <c r="ADB235" s="302"/>
      <c r="ADC235" s="302"/>
      <c r="ADD235" s="302"/>
      <c r="ADE235" s="302"/>
      <c r="ADF235" s="302"/>
      <c r="ADG235" s="302"/>
      <c r="ADH235" s="302"/>
      <c r="ADI235" s="302"/>
      <c r="ADJ235" s="302"/>
      <c r="ADK235" s="302"/>
      <c r="ADL235" s="302"/>
      <c r="ADM235" s="302"/>
      <c r="ADN235" s="302"/>
      <c r="ADO235" s="302"/>
      <c r="ADP235" s="302"/>
      <c r="ADQ235" s="302"/>
      <c r="ADR235" s="302"/>
      <c r="ADS235" s="302"/>
      <c r="ADT235" s="302"/>
      <c r="ADU235" s="302"/>
      <c r="ADV235" s="302"/>
      <c r="ADW235" s="302"/>
      <c r="ADX235" s="302"/>
      <c r="ADY235" s="302"/>
      <c r="ADZ235" s="302"/>
      <c r="AEA235" s="302"/>
      <c r="AEB235" s="302"/>
      <c r="AEC235" s="302"/>
      <c r="AED235" s="302"/>
      <c r="AEE235" s="302"/>
      <c r="AEF235" s="302"/>
      <c r="AEG235" s="302"/>
      <c r="AEH235" s="302"/>
      <c r="AEI235" s="302"/>
      <c r="AEJ235" s="302"/>
      <c r="AEK235" s="302"/>
      <c r="AEL235" s="302"/>
      <c r="AEM235" s="302"/>
      <c r="AEN235" s="302"/>
      <c r="AEO235" s="302"/>
      <c r="AEP235" s="302"/>
      <c r="AEQ235" s="302"/>
      <c r="AER235" s="302"/>
      <c r="AES235" s="302"/>
      <c r="AET235" s="302"/>
      <c r="AEU235" s="302"/>
      <c r="AEV235" s="302"/>
      <c r="AEW235" s="302"/>
      <c r="AEX235" s="302"/>
      <c r="AEY235" s="302"/>
      <c r="AEZ235" s="302"/>
      <c r="AFA235" s="302"/>
      <c r="AFB235" s="302"/>
      <c r="AFC235" s="302"/>
      <c r="AFD235" s="302"/>
      <c r="AFE235" s="302"/>
      <c r="AFF235" s="302"/>
      <c r="AFG235" s="302"/>
      <c r="AFH235" s="302"/>
      <c r="AFI235" s="302"/>
      <c r="AFJ235" s="302"/>
      <c r="AFK235" s="302"/>
      <c r="AFL235" s="302"/>
      <c r="AFM235" s="302"/>
      <c r="AFN235" s="302"/>
      <c r="AFO235" s="302"/>
      <c r="AFP235" s="302"/>
      <c r="AFQ235" s="302"/>
      <c r="AFR235" s="302"/>
      <c r="AFS235" s="302"/>
      <c r="AFT235" s="302"/>
      <c r="AFU235" s="302"/>
      <c r="AFV235" s="302"/>
      <c r="AFW235" s="302"/>
      <c r="AFX235" s="302"/>
      <c r="AFY235" s="302"/>
      <c r="AFZ235" s="302"/>
      <c r="AGA235" s="302"/>
      <c r="AGB235" s="302"/>
      <c r="AGC235" s="302"/>
      <c r="AGD235" s="302"/>
      <c r="AGE235" s="302"/>
      <c r="AGF235" s="302"/>
      <c r="AGG235" s="302"/>
      <c r="AGH235" s="302"/>
      <c r="AGI235" s="302"/>
      <c r="AGJ235" s="302"/>
      <c r="AGK235" s="302"/>
      <c r="AGL235" s="302"/>
      <c r="AGM235" s="302"/>
      <c r="AGN235" s="302"/>
      <c r="AGO235" s="302"/>
      <c r="AGP235" s="302"/>
      <c r="AGQ235" s="302"/>
      <c r="AGR235" s="302"/>
      <c r="AGS235" s="302"/>
      <c r="AGT235" s="302"/>
      <c r="AGU235" s="302"/>
      <c r="AGV235" s="302"/>
      <c r="AGW235" s="302"/>
      <c r="AGX235" s="302"/>
      <c r="AGY235" s="302"/>
      <c r="AGZ235" s="302"/>
      <c r="AHA235" s="302"/>
      <c r="AHB235" s="302"/>
      <c r="AHC235" s="302"/>
      <c r="AHD235" s="302"/>
      <c r="AHE235" s="302"/>
      <c r="AHF235" s="302"/>
      <c r="AHG235" s="302"/>
      <c r="AHH235" s="302"/>
      <c r="AHI235" s="302"/>
      <c r="AHJ235" s="302"/>
      <c r="AHK235" s="302"/>
      <c r="AHL235" s="302"/>
      <c r="AHM235" s="302"/>
      <c r="AHN235" s="302"/>
      <c r="AHO235" s="302"/>
      <c r="AHP235" s="302"/>
      <c r="AHQ235" s="302"/>
      <c r="AHR235" s="302"/>
      <c r="AHS235" s="302"/>
      <c r="AHT235" s="302"/>
      <c r="AHU235" s="302"/>
      <c r="AHV235" s="302"/>
      <c r="AHW235" s="302"/>
      <c r="AHX235" s="302"/>
      <c r="AHY235" s="302"/>
      <c r="AHZ235" s="302"/>
      <c r="AIA235" s="302"/>
      <c r="AIB235" s="302"/>
      <c r="AIC235" s="302"/>
      <c r="AID235" s="302"/>
      <c r="AIE235" s="302"/>
      <c r="AIF235" s="302"/>
      <c r="AIG235" s="302"/>
      <c r="AIH235" s="302"/>
      <c r="AII235" s="302"/>
      <c r="AIJ235" s="302"/>
      <c r="AIK235" s="302"/>
      <c r="AIL235" s="302"/>
      <c r="AIM235" s="302"/>
      <c r="AIN235" s="302"/>
      <c r="AIO235" s="302"/>
      <c r="AIP235" s="302"/>
      <c r="AIQ235" s="302"/>
      <c r="AIR235" s="302"/>
      <c r="AIS235" s="302"/>
      <c r="AIT235" s="302"/>
      <c r="AIU235" s="302"/>
      <c r="AIV235" s="302"/>
      <c r="AIW235" s="302"/>
      <c r="AIX235" s="302"/>
      <c r="AIY235" s="302"/>
      <c r="AIZ235" s="302"/>
      <c r="AJA235" s="302"/>
      <c r="AJB235" s="302"/>
      <c r="AJC235" s="302"/>
      <c r="AJD235" s="302"/>
      <c r="AJE235" s="302"/>
      <c r="AJF235" s="302"/>
      <c r="AJG235" s="302"/>
      <c r="AJH235" s="302"/>
      <c r="AJI235" s="302"/>
      <c r="AJJ235" s="302"/>
      <c r="AJK235" s="302"/>
      <c r="AJL235" s="302"/>
      <c r="AJM235" s="302"/>
      <c r="AJN235" s="302"/>
      <c r="AJO235" s="302"/>
      <c r="AJP235" s="302"/>
      <c r="AJQ235" s="302"/>
      <c r="AJR235" s="302"/>
      <c r="AJS235" s="302"/>
      <c r="AJT235" s="302"/>
      <c r="AJU235" s="302"/>
      <c r="AJV235" s="302"/>
      <c r="AJW235" s="302"/>
      <c r="AJX235" s="302"/>
      <c r="AJY235" s="302"/>
      <c r="AJZ235" s="302"/>
      <c r="AKA235" s="302"/>
      <c r="AKB235" s="302"/>
      <c r="AKC235" s="302"/>
      <c r="AKD235" s="302"/>
      <c r="AKE235" s="302"/>
      <c r="AKF235" s="302"/>
      <c r="AKG235" s="302"/>
      <c r="AKH235" s="302"/>
      <c r="AKI235" s="302"/>
      <c r="AKJ235" s="302"/>
      <c r="AKK235" s="302"/>
      <c r="AKL235" s="302"/>
      <c r="AKM235" s="302"/>
      <c r="AKN235" s="302"/>
      <c r="AKO235" s="302"/>
      <c r="AKP235" s="302"/>
      <c r="AKQ235" s="302"/>
      <c r="AKR235" s="302"/>
      <c r="AKS235" s="302"/>
      <c r="AKT235" s="302"/>
      <c r="AKU235" s="302"/>
      <c r="AKV235" s="302"/>
      <c r="AKW235" s="302"/>
      <c r="AKX235" s="302"/>
      <c r="AKY235" s="302"/>
      <c r="AKZ235" s="302"/>
      <c r="ALA235" s="302"/>
      <c r="ALB235" s="302"/>
      <c r="ALC235" s="302"/>
      <c r="ALD235" s="302"/>
      <c r="ALE235" s="302"/>
      <c r="ALF235" s="302"/>
      <c r="ALG235" s="302"/>
      <c r="ALH235" s="302"/>
      <c r="ALI235" s="302"/>
      <c r="ALJ235" s="302"/>
      <c r="ALK235" s="302"/>
      <c r="ALL235" s="302"/>
      <c r="ALM235" s="302"/>
      <c r="ALN235" s="302"/>
      <c r="ALO235" s="302"/>
      <c r="ALP235" s="302"/>
      <c r="ALQ235" s="302"/>
      <c r="ALR235" s="302"/>
      <c r="ALS235" s="302"/>
      <c r="ALT235" s="302"/>
      <c r="ALU235" s="302"/>
      <c r="ALV235" s="302"/>
      <c r="ALW235" s="302"/>
      <c r="ALX235" s="302"/>
      <c r="ALY235" s="302"/>
      <c r="ALZ235" s="302"/>
      <c r="AMA235" s="302"/>
      <c r="AMB235" s="302"/>
      <c r="AMC235" s="302"/>
      <c r="AMD235" s="302"/>
      <c r="AME235" s="302"/>
      <c r="AMF235" s="302"/>
      <c r="AMG235" s="302"/>
      <c r="AMH235" s="302"/>
      <c r="AMI235" s="302"/>
    </row>
    <row r="236" spans="1:1023" ht="18" hidden="1">
      <c r="A236" s="302"/>
      <c r="B236" s="359" t="s">
        <v>4</v>
      </c>
      <c r="C236" s="359" t="s">
        <v>373</v>
      </c>
      <c r="D236" s="360" t="s">
        <v>6</v>
      </c>
      <c r="E236" s="359" t="s">
        <v>29</v>
      </c>
      <c r="F236" s="359" t="s">
        <v>8</v>
      </c>
      <c r="G236" s="359" t="s">
        <v>428</v>
      </c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  <c r="AF236" s="302"/>
      <c r="AG236" s="302"/>
      <c r="AH236" s="302"/>
      <c r="AI236" s="302"/>
      <c r="AJ236" s="302"/>
      <c r="AK236" s="302"/>
      <c r="AL236" s="302"/>
      <c r="AM236" s="302"/>
      <c r="AN236" s="302"/>
      <c r="AO236" s="302"/>
      <c r="AP236" s="302"/>
      <c r="AQ236" s="302"/>
      <c r="AR236" s="302"/>
      <c r="AS236" s="302"/>
      <c r="AT236" s="302"/>
      <c r="AU236" s="302"/>
      <c r="AV236" s="302"/>
      <c r="AW236" s="302"/>
      <c r="AX236" s="302"/>
      <c r="AY236" s="302"/>
      <c r="AZ236" s="302"/>
      <c r="BA236" s="302"/>
      <c r="BB236" s="302"/>
      <c r="BC236" s="302"/>
      <c r="BD236" s="302"/>
      <c r="BE236" s="302"/>
      <c r="BF236" s="302"/>
      <c r="BG236" s="302"/>
      <c r="BH236" s="302"/>
      <c r="BI236" s="302"/>
      <c r="BJ236" s="302"/>
      <c r="BK236" s="302"/>
      <c r="BL236" s="302"/>
      <c r="BM236" s="302"/>
      <c r="BN236" s="302"/>
      <c r="BO236" s="302"/>
      <c r="BP236" s="302"/>
      <c r="BQ236" s="302"/>
      <c r="BR236" s="302"/>
      <c r="BS236" s="302"/>
      <c r="BT236" s="302"/>
      <c r="BU236" s="302"/>
      <c r="BV236" s="302"/>
      <c r="BW236" s="302"/>
      <c r="BX236" s="302"/>
      <c r="BY236" s="302"/>
      <c r="BZ236" s="302"/>
      <c r="CA236" s="302"/>
      <c r="CB236" s="302"/>
      <c r="CC236" s="302"/>
      <c r="CD236" s="302"/>
      <c r="CE236" s="302"/>
      <c r="CF236" s="302"/>
      <c r="CG236" s="302"/>
      <c r="CH236" s="302"/>
      <c r="CI236" s="302"/>
      <c r="CJ236" s="302"/>
      <c r="CK236" s="302"/>
      <c r="CL236" s="302"/>
      <c r="CM236" s="302"/>
      <c r="CN236" s="302"/>
      <c r="CO236" s="302"/>
      <c r="CP236" s="302"/>
      <c r="CQ236" s="302"/>
      <c r="CR236" s="302"/>
      <c r="CS236" s="302"/>
      <c r="CT236" s="302"/>
      <c r="CU236" s="302"/>
      <c r="CV236" s="302"/>
      <c r="CW236" s="302"/>
      <c r="CX236" s="302"/>
      <c r="CY236" s="302"/>
      <c r="CZ236" s="302"/>
      <c r="DA236" s="302"/>
      <c r="DB236" s="302"/>
      <c r="DC236" s="302"/>
      <c r="DD236" s="302"/>
      <c r="DE236" s="302"/>
      <c r="DF236" s="302"/>
      <c r="DG236" s="302"/>
      <c r="DH236" s="302"/>
      <c r="DI236" s="302"/>
      <c r="DJ236" s="302"/>
      <c r="DK236" s="302"/>
      <c r="DL236" s="302"/>
      <c r="DM236" s="302"/>
      <c r="DN236" s="302"/>
      <c r="DO236" s="302"/>
      <c r="DP236" s="302"/>
      <c r="DQ236" s="302"/>
      <c r="DR236" s="302"/>
      <c r="DS236" s="302"/>
      <c r="DT236" s="302"/>
      <c r="DU236" s="302"/>
      <c r="DV236" s="302"/>
      <c r="DW236" s="302"/>
      <c r="DX236" s="302"/>
      <c r="DY236" s="302"/>
      <c r="DZ236" s="302"/>
      <c r="EA236" s="302"/>
      <c r="EB236" s="302"/>
      <c r="EC236" s="302"/>
      <c r="ED236" s="302"/>
      <c r="EE236" s="302"/>
      <c r="EF236" s="302"/>
      <c r="EG236" s="302"/>
      <c r="EH236" s="302"/>
      <c r="EI236" s="302"/>
      <c r="EJ236" s="302"/>
      <c r="EK236" s="302"/>
      <c r="EL236" s="302"/>
      <c r="EM236" s="302"/>
      <c r="EN236" s="302"/>
      <c r="EO236" s="302"/>
      <c r="EP236" s="302"/>
      <c r="EQ236" s="302"/>
      <c r="ER236" s="302"/>
      <c r="ES236" s="302"/>
      <c r="ET236" s="302"/>
      <c r="EU236" s="302"/>
      <c r="EV236" s="302"/>
      <c r="EW236" s="302"/>
      <c r="EX236" s="302"/>
      <c r="EY236" s="302"/>
      <c r="EZ236" s="302"/>
      <c r="FA236" s="302"/>
      <c r="FB236" s="302"/>
      <c r="FC236" s="302"/>
      <c r="FD236" s="302"/>
      <c r="FE236" s="302"/>
      <c r="FF236" s="302"/>
      <c r="FG236" s="302"/>
      <c r="FH236" s="302"/>
      <c r="FI236" s="302"/>
      <c r="FJ236" s="302"/>
      <c r="FK236" s="302"/>
      <c r="FL236" s="302"/>
      <c r="FM236" s="302"/>
      <c r="FN236" s="302"/>
      <c r="FO236" s="302"/>
      <c r="FP236" s="302"/>
      <c r="FQ236" s="302"/>
      <c r="FR236" s="302"/>
      <c r="FS236" s="302"/>
      <c r="FT236" s="302"/>
      <c r="FU236" s="302"/>
      <c r="FV236" s="302"/>
      <c r="FW236" s="302"/>
      <c r="FX236" s="302"/>
      <c r="FY236" s="302"/>
      <c r="FZ236" s="302"/>
      <c r="GA236" s="302"/>
      <c r="GB236" s="302"/>
      <c r="GC236" s="302"/>
      <c r="GD236" s="302"/>
      <c r="GE236" s="302"/>
      <c r="GF236" s="302"/>
      <c r="GG236" s="302"/>
      <c r="GH236" s="302"/>
      <c r="GI236" s="302"/>
      <c r="GJ236" s="302"/>
      <c r="GK236" s="302"/>
      <c r="GL236" s="302"/>
      <c r="GM236" s="302"/>
      <c r="GN236" s="302"/>
      <c r="GO236" s="302"/>
      <c r="GP236" s="302"/>
      <c r="GQ236" s="302"/>
      <c r="GR236" s="302"/>
      <c r="GS236" s="302"/>
      <c r="GT236" s="302"/>
      <c r="GU236" s="302"/>
      <c r="GV236" s="302"/>
      <c r="GW236" s="302"/>
      <c r="GX236" s="302"/>
      <c r="GY236" s="302"/>
      <c r="GZ236" s="302"/>
      <c r="HA236" s="302"/>
      <c r="HB236" s="302"/>
      <c r="HC236" s="302"/>
      <c r="HD236" s="302"/>
      <c r="HE236" s="302"/>
      <c r="HF236" s="302"/>
      <c r="HG236" s="302"/>
      <c r="HH236" s="302"/>
      <c r="HI236" s="302"/>
      <c r="HJ236" s="302"/>
      <c r="HK236" s="302"/>
      <c r="HL236" s="302"/>
      <c r="HM236" s="302"/>
      <c r="HN236" s="302"/>
      <c r="HO236" s="302"/>
      <c r="HP236" s="302"/>
      <c r="HQ236" s="302"/>
      <c r="HR236" s="302"/>
      <c r="HS236" s="302"/>
      <c r="HT236" s="302"/>
      <c r="HU236" s="302"/>
      <c r="HV236" s="302"/>
      <c r="HW236" s="302"/>
      <c r="HX236" s="302"/>
      <c r="HY236" s="302"/>
      <c r="HZ236" s="302"/>
      <c r="IA236" s="302"/>
      <c r="IB236" s="302"/>
      <c r="IC236" s="302"/>
      <c r="ID236" s="302"/>
      <c r="IE236" s="302"/>
      <c r="IF236" s="302"/>
      <c r="IG236" s="302"/>
      <c r="IH236" s="302"/>
      <c r="II236" s="302"/>
      <c r="IJ236" s="302"/>
      <c r="IK236" s="302"/>
      <c r="IL236" s="302"/>
      <c r="IM236" s="302"/>
      <c r="IN236" s="302"/>
      <c r="IO236" s="302"/>
      <c r="IP236" s="302"/>
      <c r="IQ236" s="302"/>
      <c r="IR236" s="302"/>
      <c r="IS236" s="302"/>
      <c r="IT236" s="302"/>
      <c r="IU236" s="302"/>
      <c r="IV236" s="302"/>
      <c r="IW236" s="302"/>
      <c r="IX236" s="302"/>
      <c r="IY236" s="302"/>
      <c r="IZ236" s="302"/>
      <c r="JA236" s="302"/>
      <c r="JB236" s="302"/>
      <c r="JC236" s="302"/>
      <c r="JD236" s="302"/>
      <c r="JE236" s="302"/>
      <c r="JF236" s="302"/>
      <c r="JG236" s="302"/>
      <c r="JH236" s="302"/>
      <c r="JI236" s="302"/>
      <c r="JJ236" s="302"/>
      <c r="JK236" s="302"/>
      <c r="JL236" s="302"/>
      <c r="JM236" s="302"/>
      <c r="JN236" s="302"/>
      <c r="JO236" s="302"/>
      <c r="JP236" s="302"/>
      <c r="JQ236" s="302"/>
      <c r="JR236" s="302"/>
      <c r="JS236" s="302"/>
      <c r="JT236" s="302"/>
      <c r="JU236" s="302"/>
      <c r="JV236" s="302"/>
      <c r="JW236" s="302"/>
      <c r="JX236" s="302"/>
      <c r="JY236" s="302"/>
      <c r="JZ236" s="302"/>
      <c r="KA236" s="302"/>
      <c r="KB236" s="302"/>
      <c r="KC236" s="302"/>
      <c r="KD236" s="302"/>
      <c r="KE236" s="302"/>
      <c r="KF236" s="302"/>
      <c r="KG236" s="302"/>
      <c r="KH236" s="302"/>
      <c r="KI236" s="302"/>
      <c r="KJ236" s="302"/>
      <c r="KK236" s="302"/>
      <c r="KL236" s="302"/>
      <c r="KM236" s="302"/>
      <c r="KN236" s="302"/>
      <c r="KO236" s="302"/>
      <c r="KP236" s="302"/>
      <c r="KQ236" s="302"/>
      <c r="KR236" s="302"/>
      <c r="KS236" s="302"/>
      <c r="KT236" s="302"/>
      <c r="KU236" s="302"/>
      <c r="KV236" s="302"/>
      <c r="KW236" s="302"/>
      <c r="KX236" s="302"/>
      <c r="KY236" s="302"/>
      <c r="KZ236" s="302"/>
      <c r="LA236" s="302"/>
      <c r="LB236" s="302"/>
      <c r="LC236" s="302"/>
      <c r="LD236" s="302"/>
      <c r="LE236" s="302"/>
      <c r="LF236" s="302"/>
      <c r="LG236" s="302"/>
      <c r="LH236" s="302"/>
      <c r="LI236" s="302"/>
      <c r="LJ236" s="302"/>
      <c r="LK236" s="302"/>
      <c r="LL236" s="302"/>
      <c r="LM236" s="302"/>
      <c r="LN236" s="302"/>
      <c r="LO236" s="302"/>
      <c r="LP236" s="302"/>
      <c r="LQ236" s="302"/>
      <c r="LR236" s="302"/>
      <c r="LS236" s="302"/>
      <c r="LT236" s="302"/>
      <c r="LU236" s="302"/>
      <c r="LV236" s="302"/>
      <c r="LW236" s="302"/>
      <c r="LX236" s="302"/>
      <c r="LY236" s="302"/>
      <c r="LZ236" s="302"/>
      <c r="MA236" s="302"/>
      <c r="MB236" s="302"/>
      <c r="MC236" s="302"/>
      <c r="MD236" s="302"/>
      <c r="ME236" s="302"/>
      <c r="MF236" s="302"/>
      <c r="MG236" s="302"/>
      <c r="MH236" s="302"/>
      <c r="MI236" s="302"/>
      <c r="MJ236" s="302"/>
      <c r="MK236" s="302"/>
      <c r="ML236" s="302"/>
      <c r="MM236" s="302"/>
      <c r="MN236" s="302"/>
      <c r="MO236" s="302"/>
      <c r="MP236" s="302"/>
      <c r="MQ236" s="302"/>
      <c r="MR236" s="302"/>
      <c r="MS236" s="302"/>
      <c r="MT236" s="302"/>
      <c r="MU236" s="302"/>
      <c r="MV236" s="302"/>
      <c r="MW236" s="302"/>
      <c r="MX236" s="302"/>
      <c r="MY236" s="302"/>
      <c r="MZ236" s="302"/>
      <c r="NA236" s="302"/>
      <c r="NB236" s="302"/>
      <c r="NC236" s="302"/>
      <c r="ND236" s="302"/>
      <c r="NE236" s="302"/>
      <c r="NF236" s="302"/>
      <c r="NG236" s="302"/>
      <c r="NH236" s="302"/>
      <c r="NI236" s="302"/>
      <c r="NJ236" s="302"/>
      <c r="NK236" s="302"/>
      <c r="NL236" s="302"/>
      <c r="NM236" s="302"/>
      <c r="NN236" s="302"/>
      <c r="NO236" s="302"/>
      <c r="NP236" s="302"/>
      <c r="NQ236" s="302"/>
      <c r="NR236" s="302"/>
      <c r="NS236" s="302"/>
      <c r="NT236" s="302"/>
      <c r="NU236" s="302"/>
      <c r="NV236" s="302"/>
      <c r="NW236" s="302"/>
      <c r="NX236" s="302"/>
      <c r="NY236" s="302"/>
      <c r="NZ236" s="302"/>
      <c r="OA236" s="302"/>
      <c r="OB236" s="302"/>
      <c r="OC236" s="302"/>
      <c r="OD236" s="302"/>
      <c r="OE236" s="302"/>
      <c r="OF236" s="302"/>
      <c r="OG236" s="302"/>
      <c r="OH236" s="302"/>
      <c r="OI236" s="302"/>
      <c r="OJ236" s="302"/>
      <c r="OK236" s="302"/>
      <c r="OL236" s="302"/>
      <c r="OM236" s="302"/>
      <c r="ON236" s="302"/>
      <c r="OO236" s="302"/>
      <c r="OP236" s="302"/>
      <c r="OQ236" s="302"/>
      <c r="OR236" s="302"/>
      <c r="OS236" s="302"/>
      <c r="OT236" s="302"/>
      <c r="OU236" s="302"/>
      <c r="OV236" s="302"/>
      <c r="OW236" s="302"/>
      <c r="OX236" s="302"/>
      <c r="OY236" s="302"/>
      <c r="OZ236" s="302"/>
      <c r="PA236" s="302"/>
      <c r="PB236" s="302"/>
      <c r="PC236" s="302"/>
      <c r="PD236" s="302"/>
      <c r="PE236" s="302"/>
      <c r="PF236" s="302"/>
      <c r="PG236" s="302"/>
      <c r="PH236" s="302"/>
      <c r="PI236" s="302"/>
      <c r="PJ236" s="302"/>
      <c r="PK236" s="302"/>
      <c r="PL236" s="302"/>
      <c r="PM236" s="302"/>
      <c r="PN236" s="302"/>
      <c r="PO236" s="302"/>
      <c r="PP236" s="302"/>
      <c r="PQ236" s="302"/>
      <c r="PR236" s="302"/>
      <c r="PS236" s="302"/>
      <c r="PT236" s="302"/>
      <c r="PU236" s="302"/>
      <c r="PV236" s="302"/>
      <c r="PW236" s="302"/>
      <c r="PX236" s="302"/>
      <c r="PY236" s="302"/>
      <c r="PZ236" s="302"/>
      <c r="QA236" s="302"/>
      <c r="QB236" s="302"/>
      <c r="QC236" s="302"/>
      <c r="QD236" s="302"/>
      <c r="QE236" s="302"/>
      <c r="QF236" s="302"/>
      <c r="QG236" s="302"/>
      <c r="QH236" s="302"/>
      <c r="QI236" s="302"/>
      <c r="QJ236" s="302"/>
      <c r="QK236" s="302"/>
      <c r="QL236" s="302"/>
      <c r="QM236" s="302"/>
      <c r="QN236" s="302"/>
      <c r="QO236" s="302"/>
      <c r="QP236" s="302"/>
      <c r="QQ236" s="302"/>
      <c r="QR236" s="302"/>
      <c r="QS236" s="302"/>
      <c r="QT236" s="302"/>
      <c r="QU236" s="302"/>
      <c r="QV236" s="302"/>
      <c r="QW236" s="302"/>
      <c r="QX236" s="302"/>
      <c r="QY236" s="302"/>
      <c r="QZ236" s="302"/>
      <c r="RA236" s="302"/>
      <c r="RB236" s="302"/>
      <c r="RC236" s="302"/>
      <c r="RD236" s="302"/>
      <c r="RE236" s="302"/>
      <c r="RF236" s="302"/>
      <c r="RG236" s="302"/>
      <c r="RH236" s="302"/>
      <c r="RI236" s="302"/>
      <c r="RJ236" s="302"/>
      <c r="RK236" s="302"/>
      <c r="RL236" s="302"/>
      <c r="RM236" s="302"/>
      <c r="RN236" s="302"/>
      <c r="RO236" s="302"/>
      <c r="RP236" s="302"/>
      <c r="RQ236" s="302"/>
      <c r="RR236" s="302"/>
      <c r="RS236" s="302"/>
      <c r="RT236" s="302"/>
      <c r="RU236" s="302"/>
      <c r="RV236" s="302"/>
      <c r="RW236" s="302"/>
      <c r="RX236" s="302"/>
      <c r="RY236" s="302"/>
      <c r="RZ236" s="302"/>
      <c r="SA236" s="302"/>
      <c r="SB236" s="302"/>
      <c r="SC236" s="302"/>
      <c r="SD236" s="302"/>
      <c r="SE236" s="302"/>
      <c r="SF236" s="302"/>
      <c r="SG236" s="302"/>
      <c r="SH236" s="302"/>
      <c r="SI236" s="302"/>
      <c r="SJ236" s="302"/>
      <c r="SK236" s="302"/>
      <c r="SL236" s="302"/>
      <c r="SM236" s="302"/>
      <c r="SN236" s="302"/>
      <c r="SO236" s="302"/>
      <c r="SP236" s="302"/>
      <c r="SQ236" s="302"/>
      <c r="SR236" s="302"/>
      <c r="SS236" s="302"/>
      <c r="ST236" s="302"/>
      <c r="SU236" s="302"/>
      <c r="SV236" s="302"/>
      <c r="SW236" s="302"/>
      <c r="SX236" s="302"/>
      <c r="SY236" s="302"/>
      <c r="SZ236" s="302"/>
      <c r="TA236" s="302"/>
      <c r="TB236" s="302"/>
      <c r="TC236" s="302"/>
      <c r="TD236" s="302"/>
      <c r="TE236" s="302"/>
      <c r="TF236" s="302"/>
      <c r="TG236" s="302"/>
      <c r="TH236" s="302"/>
      <c r="TI236" s="302"/>
      <c r="TJ236" s="302"/>
      <c r="TK236" s="302"/>
      <c r="TL236" s="302"/>
      <c r="TM236" s="302"/>
      <c r="TN236" s="302"/>
      <c r="TO236" s="302"/>
      <c r="TP236" s="302"/>
      <c r="TQ236" s="302"/>
      <c r="TR236" s="302"/>
      <c r="TS236" s="302"/>
      <c r="TT236" s="302"/>
      <c r="TU236" s="302"/>
      <c r="TV236" s="302"/>
      <c r="TW236" s="302"/>
      <c r="TX236" s="302"/>
      <c r="TY236" s="302"/>
      <c r="TZ236" s="302"/>
      <c r="UA236" s="302"/>
      <c r="UB236" s="302"/>
      <c r="UC236" s="302"/>
      <c r="UD236" s="302"/>
      <c r="UE236" s="302"/>
      <c r="UF236" s="302"/>
      <c r="UG236" s="302"/>
      <c r="UH236" s="302"/>
      <c r="UI236" s="302"/>
      <c r="UJ236" s="302"/>
      <c r="UK236" s="302"/>
      <c r="UL236" s="302"/>
      <c r="UM236" s="302"/>
      <c r="UN236" s="302"/>
      <c r="UO236" s="302"/>
      <c r="UP236" s="302"/>
      <c r="UQ236" s="302"/>
      <c r="UR236" s="302"/>
      <c r="US236" s="302"/>
      <c r="UT236" s="302"/>
      <c r="UU236" s="302"/>
      <c r="UV236" s="302"/>
      <c r="UW236" s="302"/>
      <c r="UX236" s="302"/>
      <c r="UY236" s="302"/>
      <c r="UZ236" s="302"/>
      <c r="VA236" s="302"/>
      <c r="VB236" s="302"/>
      <c r="VC236" s="302"/>
      <c r="VD236" s="302"/>
      <c r="VE236" s="302"/>
      <c r="VF236" s="302"/>
      <c r="VG236" s="302"/>
      <c r="VH236" s="302"/>
      <c r="VI236" s="302"/>
      <c r="VJ236" s="302"/>
      <c r="VK236" s="302"/>
      <c r="VL236" s="302"/>
      <c r="VM236" s="302"/>
      <c r="VN236" s="302"/>
      <c r="VO236" s="302"/>
      <c r="VP236" s="302"/>
      <c r="VQ236" s="302"/>
      <c r="VR236" s="302"/>
      <c r="VS236" s="302"/>
      <c r="VT236" s="302"/>
      <c r="VU236" s="302"/>
      <c r="VV236" s="302"/>
      <c r="VW236" s="302"/>
      <c r="VX236" s="302"/>
      <c r="VY236" s="302"/>
      <c r="VZ236" s="302"/>
      <c r="WA236" s="302"/>
      <c r="WB236" s="302"/>
      <c r="WC236" s="302"/>
      <c r="WD236" s="302"/>
      <c r="WE236" s="302"/>
      <c r="WF236" s="302"/>
      <c r="WG236" s="302"/>
      <c r="WH236" s="302"/>
      <c r="WI236" s="302"/>
      <c r="WJ236" s="302"/>
      <c r="WK236" s="302"/>
      <c r="WL236" s="302"/>
      <c r="WM236" s="302"/>
      <c r="WN236" s="302"/>
      <c r="WO236" s="302"/>
      <c r="WP236" s="302"/>
      <c r="WQ236" s="302"/>
      <c r="WR236" s="302"/>
      <c r="WS236" s="302"/>
      <c r="WT236" s="302"/>
      <c r="WU236" s="302"/>
      <c r="WV236" s="302"/>
      <c r="WW236" s="302"/>
      <c r="WX236" s="302"/>
      <c r="WY236" s="302"/>
      <c r="WZ236" s="302"/>
      <c r="XA236" s="302"/>
      <c r="XB236" s="302"/>
      <c r="XC236" s="302"/>
      <c r="XD236" s="302"/>
      <c r="XE236" s="302"/>
      <c r="XF236" s="302"/>
      <c r="XG236" s="302"/>
      <c r="XH236" s="302"/>
      <c r="XI236" s="302"/>
      <c r="XJ236" s="302"/>
      <c r="XK236" s="302"/>
      <c r="XL236" s="302"/>
      <c r="XM236" s="302"/>
      <c r="XN236" s="302"/>
      <c r="XO236" s="302"/>
      <c r="XP236" s="302"/>
      <c r="XQ236" s="302"/>
      <c r="XR236" s="302"/>
      <c r="XS236" s="302"/>
      <c r="XT236" s="302"/>
      <c r="XU236" s="302"/>
      <c r="XV236" s="302"/>
      <c r="XW236" s="302"/>
      <c r="XX236" s="302"/>
      <c r="XY236" s="302"/>
      <c r="XZ236" s="302"/>
      <c r="YA236" s="302"/>
      <c r="YB236" s="302"/>
      <c r="YC236" s="302"/>
      <c r="YD236" s="302"/>
      <c r="YE236" s="302"/>
      <c r="YF236" s="302"/>
      <c r="YG236" s="302"/>
      <c r="YH236" s="302"/>
      <c r="YI236" s="302"/>
      <c r="YJ236" s="302"/>
      <c r="YK236" s="302"/>
      <c r="YL236" s="302"/>
      <c r="YM236" s="302"/>
      <c r="YN236" s="302"/>
      <c r="YO236" s="302"/>
      <c r="YP236" s="302"/>
      <c r="YQ236" s="302"/>
      <c r="YR236" s="302"/>
      <c r="YS236" s="302"/>
      <c r="YT236" s="302"/>
      <c r="YU236" s="302"/>
      <c r="YV236" s="302"/>
      <c r="YW236" s="302"/>
      <c r="YX236" s="302"/>
      <c r="YY236" s="302"/>
      <c r="YZ236" s="302"/>
      <c r="ZA236" s="302"/>
      <c r="ZB236" s="302"/>
      <c r="ZC236" s="302"/>
      <c r="ZD236" s="302"/>
      <c r="ZE236" s="302"/>
      <c r="ZF236" s="302"/>
      <c r="ZG236" s="302"/>
      <c r="ZH236" s="302"/>
      <c r="ZI236" s="302"/>
      <c r="ZJ236" s="302"/>
      <c r="ZK236" s="302"/>
      <c r="ZL236" s="302"/>
      <c r="ZM236" s="302"/>
      <c r="ZN236" s="302"/>
      <c r="ZO236" s="302"/>
      <c r="ZP236" s="302"/>
      <c r="ZQ236" s="302"/>
      <c r="ZR236" s="302"/>
      <c r="ZS236" s="302"/>
      <c r="ZT236" s="302"/>
      <c r="ZU236" s="302"/>
      <c r="ZV236" s="302"/>
      <c r="ZW236" s="302"/>
      <c r="ZX236" s="302"/>
      <c r="ZY236" s="302"/>
      <c r="ZZ236" s="302"/>
      <c r="AAA236" s="302"/>
      <c r="AAB236" s="302"/>
      <c r="AAC236" s="302"/>
      <c r="AAD236" s="302"/>
      <c r="AAE236" s="302"/>
      <c r="AAF236" s="302"/>
      <c r="AAG236" s="302"/>
      <c r="AAH236" s="302"/>
      <c r="AAI236" s="302"/>
      <c r="AAJ236" s="302"/>
      <c r="AAK236" s="302"/>
      <c r="AAL236" s="302"/>
      <c r="AAM236" s="302"/>
      <c r="AAN236" s="302"/>
      <c r="AAO236" s="302"/>
      <c r="AAP236" s="302"/>
      <c r="AAQ236" s="302"/>
      <c r="AAR236" s="302"/>
      <c r="AAS236" s="302"/>
      <c r="AAT236" s="302"/>
      <c r="AAU236" s="302"/>
      <c r="AAV236" s="302"/>
      <c r="AAW236" s="302"/>
      <c r="AAX236" s="302"/>
      <c r="AAY236" s="302"/>
      <c r="AAZ236" s="302"/>
      <c r="ABA236" s="302"/>
      <c r="ABB236" s="302"/>
      <c r="ABC236" s="302"/>
      <c r="ABD236" s="302"/>
      <c r="ABE236" s="302"/>
      <c r="ABF236" s="302"/>
      <c r="ABG236" s="302"/>
      <c r="ABH236" s="302"/>
      <c r="ABI236" s="302"/>
      <c r="ABJ236" s="302"/>
      <c r="ABK236" s="302"/>
      <c r="ABL236" s="302"/>
      <c r="ABM236" s="302"/>
      <c r="ABN236" s="302"/>
      <c r="ABO236" s="302"/>
      <c r="ABP236" s="302"/>
      <c r="ABQ236" s="302"/>
      <c r="ABR236" s="302"/>
      <c r="ABS236" s="302"/>
      <c r="ABT236" s="302"/>
      <c r="ABU236" s="302"/>
      <c r="ABV236" s="302"/>
      <c r="ABW236" s="302"/>
      <c r="ABX236" s="302"/>
      <c r="ABY236" s="302"/>
      <c r="ABZ236" s="302"/>
      <c r="ACA236" s="302"/>
      <c r="ACB236" s="302"/>
      <c r="ACC236" s="302"/>
      <c r="ACD236" s="302"/>
      <c r="ACE236" s="302"/>
      <c r="ACF236" s="302"/>
      <c r="ACG236" s="302"/>
      <c r="ACH236" s="302"/>
      <c r="ACI236" s="302"/>
      <c r="ACJ236" s="302"/>
      <c r="ACK236" s="302"/>
      <c r="ACL236" s="302"/>
      <c r="ACM236" s="302"/>
      <c r="ACN236" s="302"/>
      <c r="ACO236" s="302"/>
      <c r="ACP236" s="302"/>
      <c r="ACQ236" s="302"/>
      <c r="ACR236" s="302"/>
      <c r="ACS236" s="302"/>
      <c r="ACT236" s="302"/>
      <c r="ACU236" s="302"/>
      <c r="ACV236" s="302"/>
      <c r="ACW236" s="302"/>
      <c r="ACX236" s="302"/>
      <c r="ACY236" s="302"/>
      <c r="ACZ236" s="302"/>
      <c r="ADA236" s="302"/>
      <c r="ADB236" s="302"/>
      <c r="ADC236" s="302"/>
      <c r="ADD236" s="302"/>
      <c r="ADE236" s="302"/>
      <c r="ADF236" s="302"/>
      <c r="ADG236" s="302"/>
      <c r="ADH236" s="302"/>
      <c r="ADI236" s="302"/>
      <c r="ADJ236" s="302"/>
      <c r="ADK236" s="302"/>
      <c r="ADL236" s="302"/>
      <c r="ADM236" s="302"/>
      <c r="ADN236" s="302"/>
      <c r="ADO236" s="302"/>
      <c r="ADP236" s="302"/>
      <c r="ADQ236" s="302"/>
      <c r="ADR236" s="302"/>
      <c r="ADS236" s="302"/>
      <c r="ADT236" s="302"/>
      <c r="ADU236" s="302"/>
      <c r="ADV236" s="302"/>
      <c r="ADW236" s="302"/>
      <c r="ADX236" s="302"/>
      <c r="ADY236" s="302"/>
      <c r="ADZ236" s="302"/>
      <c r="AEA236" s="302"/>
      <c r="AEB236" s="302"/>
      <c r="AEC236" s="302"/>
      <c r="AED236" s="302"/>
      <c r="AEE236" s="302"/>
      <c r="AEF236" s="302"/>
      <c r="AEG236" s="302"/>
      <c r="AEH236" s="302"/>
      <c r="AEI236" s="302"/>
      <c r="AEJ236" s="302"/>
      <c r="AEK236" s="302"/>
      <c r="AEL236" s="302"/>
      <c r="AEM236" s="302"/>
      <c r="AEN236" s="302"/>
      <c r="AEO236" s="302"/>
      <c r="AEP236" s="302"/>
      <c r="AEQ236" s="302"/>
      <c r="AER236" s="302"/>
      <c r="AES236" s="302"/>
      <c r="AET236" s="302"/>
      <c r="AEU236" s="302"/>
      <c r="AEV236" s="302"/>
      <c r="AEW236" s="302"/>
      <c r="AEX236" s="302"/>
      <c r="AEY236" s="302"/>
      <c r="AEZ236" s="302"/>
      <c r="AFA236" s="302"/>
      <c r="AFB236" s="302"/>
      <c r="AFC236" s="302"/>
      <c r="AFD236" s="302"/>
      <c r="AFE236" s="302"/>
      <c r="AFF236" s="302"/>
      <c r="AFG236" s="302"/>
      <c r="AFH236" s="302"/>
      <c r="AFI236" s="302"/>
      <c r="AFJ236" s="302"/>
      <c r="AFK236" s="302"/>
      <c r="AFL236" s="302"/>
      <c r="AFM236" s="302"/>
      <c r="AFN236" s="302"/>
      <c r="AFO236" s="302"/>
      <c r="AFP236" s="302"/>
      <c r="AFQ236" s="302"/>
      <c r="AFR236" s="302"/>
      <c r="AFS236" s="302"/>
      <c r="AFT236" s="302"/>
      <c r="AFU236" s="302"/>
      <c r="AFV236" s="302"/>
      <c r="AFW236" s="302"/>
      <c r="AFX236" s="302"/>
      <c r="AFY236" s="302"/>
      <c r="AFZ236" s="302"/>
      <c r="AGA236" s="302"/>
      <c r="AGB236" s="302"/>
      <c r="AGC236" s="302"/>
      <c r="AGD236" s="302"/>
      <c r="AGE236" s="302"/>
      <c r="AGF236" s="302"/>
      <c r="AGG236" s="302"/>
      <c r="AGH236" s="302"/>
      <c r="AGI236" s="302"/>
      <c r="AGJ236" s="302"/>
      <c r="AGK236" s="302"/>
      <c r="AGL236" s="302"/>
      <c r="AGM236" s="302"/>
      <c r="AGN236" s="302"/>
      <c r="AGO236" s="302"/>
      <c r="AGP236" s="302"/>
      <c r="AGQ236" s="302"/>
      <c r="AGR236" s="302"/>
      <c r="AGS236" s="302"/>
      <c r="AGT236" s="302"/>
      <c r="AGU236" s="302"/>
      <c r="AGV236" s="302"/>
      <c r="AGW236" s="302"/>
      <c r="AGX236" s="302"/>
      <c r="AGY236" s="302"/>
      <c r="AGZ236" s="302"/>
      <c r="AHA236" s="302"/>
      <c r="AHB236" s="302"/>
      <c r="AHC236" s="302"/>
      <c r="AHD236" s="302"/>
      <c r="AHE236" s="302"/>
      <c r="AHF236" s="302"/>
      <c r="AHG236" s="302"/>
      <c r="AHH236" s="302"/>
      <c r="AHI236" s="302"/>
      <c r="AHJ236" s="302"/>
      <c r="AHK236" s="302"/>
      <c r="AHL236" s="302"/>
      <c r="AHM236" s="302"/>
      <c r="AHN236" s="302"/>
      <c r="AHO236" s="302"/>
      <c r="AHP236" s="302"/>
      <c r="AHQ236" s="302"/>
      <c r="AHR236" s="302"/>
      <c r="AHS236" s="302"/>
      <c r="AHT236" s="302"/>
      <c r="AHU236" s="302"/>
      <c r="AHV236" s="302"/>
      <c r="AHW236" s="302"/>
      <c r="AHX236" s="302"/>
      <c r="AHY236" s="302"/>
      <c r="AHZ236" s="302"/>
      <c r="AIA236" s="302"/>
      <c r="AIB236" s="302"/>
      <c r="AIC236" s="302"/>
      <c r="AID236" s="302"/>
      <c r="AIE236" s="302"/>
      <c r="AIF236" s="302"/>
      <c r="AIG236" s="302"/>
      <c r="AIH236" s="302"/>
      <c r="AII236" s="302"/>
      <c r="AIJ236" s="302"/>
      <c r="AIK236" s="302"/>
      <c r="AIL236" s="302"/>
      <c r="AIM236" s="302"/>
      <c r="AIN236" s="302"/>
      <c r="AIO236" s="302"/>
      <c r="AIP236" s="302"/>
      <c r="AIQ236" s="302"/>
      <c r="AIR236" s="302"/>
      <c r="AIS236" s="302"/>
      <c r="AIT236" s="302"/>
      <c r="AIU236" s="302"/>
      <c r="AIV236" s="302"/>
      <c r="AIW236" s="302"/>
      <c r="AIX236" s="302"/>
      <c r="AIY236" s="302"/>
      <c r="AIZ236" s="302"/>
      <c r="AJA236" s="302"/>
      <c r="AJB236" s="302"/>
      <c r="AJC236" s="302"/>
      <c r="AJD236" s="302"/>
      <c r="AJE236" s="302"/>
      <c r="AJF236" s="302"/>
      <c r="AJG236" s="302"/>
      <c r="AJH236" s="302"/>
      <c r="AJI236" s="302"/>
      <c r="AJJ236" s="302"/>
      <c r="AJK236" s="302"/>
      <c r="AJL236" s="302"/>
      <c r="AJM236" s="302"/>
      <c r="AJN236" s="302"/>
      <c r="AJO236" s="302"/>
      <c r="AJP236" s="302"/>
      <c r="AJQ236" s="302"/>
      <c r="AJR236" s="302"/>
      <c r="AJS236" s="302"/>
      <c r="AJT236" s="302"/>
      <c r="AJU236" s="302"/>
      <c r="AJV236" s="302"/>
      <c r="AJW236" s="302"/>
      <c r="AJX236" s="302"/>
      <c r="AJY236" s="302"/>
      <c r="AJZ236" s="302"/>
      <c r="AKA236" s="302"/>
      <c r="AKB236" s="302"/>
      <c r="AKC236" s="302"/>
      <c r="AKD236" s="302"/>
      <c r="AKE236" s="302"/>
      <c r="AKF236" s="302"/>
      <c r="AKG236" s="302"/>
      <c r="AKH236" s="302"/>
      <c r="AKI236" s="302"/>
      <c r="AKJ236" s="302"/>
      <c r="AKK236" s="302"/>
      <c r="AKL236" s="302"/>
      <c r="AKM236" s="302"/>
      <c r="AKN236" s="302"/>
      <c r="AKO236" s="302"/>
      <c r="AKP236" s="302"/>
      <c r="AKQ236" s="302"/>
      <c r="AKR236" s="302"/>
      <c r="AKS236" s="302"/>
      <c r="AKT236" s="302"/>
      <c r="AKU236" s="302"/>
      <c r="AKV236" s="302"/>
      <c r="AKW236" s="302"/>
      <c r="AKX236" s="302"/>
      <c r="AKY236" s="302"/>
      <c r="AKZ236" s="302"/>
      <c r="ALA236" s="302"/>
      <c r="ALB236" s="302"/>
      <c r="ALC236" s="302"/>
      <c r="ALD236" s="302"/>
      <c r="ALE236" s="302"/>
      <c r="ALF236" s="302"/>
      <c r="ALG236" s="302"/>
      <c r="ALH236" s="302"/>
      <c r="ALI236" s="302"/>
      <c r="ALJ236" s="302"/>
      <c r="ALK236" s="302"/>
      <c r="ALL236" s="302"/>
      <c r="ALM236" s="302"/>
      <c r="ALN236" s="302"/>
      <c r="ALO236" s="302"/>
      <c r="ALP236" s="302"/>
      <c r="ALQ236" s="302"/>
      <c r="ALR236" s="302"/>
      <c r="ALS236" s="302"/>
      <c r="ALT236" s="302"/>
      <c r="ALU236" s="302"/>
      <c r="ALV236" s="302"/>
      <c r="ALW236" s="302"/>
      <c r="ALX236" s="302"/>
      <c r="ALY236" s="302"/>
      <c r="ALZ236" s="302"/>
      <c r="AMA236" s="302"/>
      <c r="AMB236" s="302"/>
      <c r="AMC236" s="302"/>
      <c r="AMD236" s="302"/>
      <c r="AME236" s="302"/>
      <c r="AMF236" s="302"/>
      <c r="AMG236" s="302"/>
      <c r="AMH236" s="302"/>
      <c r="AMI236" s="302"/>
    </row>
    <row r="237" spans="1:1023" hidden="1">
      <c r="A237" s="302"/>
      <c r="B237" s="462">
        <v>13906</v>
      </c>
      <c r="C237" s="463">
        <v>0.1</v>
      </c>
      <c r="D237" s="464" t="s">
        <v>122</v>
      </c>
      <c r="E237" s="582">
        <v>1400000</v>
      </c>
      <c r="F237" s="499">
        <v>0.02</v>
      </c>
      <c r="G237" s="369">
        <f>E237*F237</f>
        <v>28000</v>
      </c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2"/>
      <c r="AE237" s="302"/>
      <c r="AF237" s="302"/>
      <c r="AG237" s="302"/>
      <c r="AH237" s="302"/>
      <c r="AI237" s="302"/>
      <c r="AJ237" s="302"/>
      <c r="AK237" s="302"/>
      <c r="AL237" s="302"/>
      <c r="AM237" s="302"/>
      <c r="AN237" s="302"/>
      <c r="AO237" s="302"/>
      <c r="AP237" s="302"/>
      <c r="AQ237" s="302"/>
      <c r="AR237" s="302"/>
      <c r="AS237" s="302"/>
      <c r="AT237" s="302"/>
      <c r="AU237" s="302"/>
      <c r="AV237" s="302"/>
      <c r="AW237" s="302"/>
      <c r="AX237" s="302"/>
      <c r="AY237" s="302"/>
      <c r="AZ237" s="302"/>
      <c r="BA237" s="302"/>
      <c r="BB237" s="302"/>
      <c r="BC237" s="302"/>
      <c r="BD237" s="302"/>
      <c r="BE237" s="302"/>
      <c r="BF237" s="302"/>
      <c r="BG237" s="302"/>
      <c r="BH237" s="302"/>
      <c r="BI237" s="302"/>
      <c r="BJ237" s="302"/>
      <c r="BK237" s="302"/>
      <c r="BL237" s="302"/>
      <c r="BM237" s="302"/>
      <c r="BN237" s="302"/>
      <c r="BO237" s="302"/>
      <c r="BP237" s="302"/>
      <c r="BQ237" s="302"/>
      <c r="BR237" s="302"/>
      <c r="BS237" s="302"/>
      <c r="BT237" s="302"/>
      <c r="BU237" s="302"/>
      <c r="BV237" s="302"/>
      <c r="BW237" s="302"/>
      <c r="BX237" s="302"/>
      <c r="BY237" s="302"/>
      <c r="BZ237" s="302"/>
      <c r="CA237" s="302"/>
      <c r="CB237" s="302"/>
      <c r="CC237" s="302"/>
      <c r="CD237" s="302"/>
      <c r="CE237" s="302"/>
      <c r="CF237" s="302"/>
      <c r="CG237" s="302"/>
      <c r="CH237" s="302"/>
      <c r="CI237" s="302"/>
      <c r="CJ237" s="302"/>
      <c r="CK237" s="302"/>
      <c r="CL237" s="302"/>
      <c r="CM237" s="302"/>
      <c r="CN237" s="302"/>
      <c r="CO237" s="302"/>
      <c r="CP237" s="302"/>
      <c r="CQ237" s="302"/>
      <c r="CR237" s="302"/>
      <c r="CS237" s="302"/>
      <c r="CT237" s="302"/>
      <c r="CU237" s="302"/>
      <c r="CV237" s="302"/>
      <c r="CW237" s="302"/>
      <c r="CX237" s="302"/>
      <c r="CY237" s="302"/>
      <c r="CZ237" s="302"/>
      <c r="DA237" s="302"/>
      <c r="DB237" s="302"/>
      <c r="DC237" s="302"/>
      <c r="DD237" s="302"/>
      <c r="DE237" s="302"/>
      <c r="DF237" s="302"/>
      <c r="DG237" s="302"/>
      <c r="DH237" s="302"/>
      <c r="DI237" s="302"/>
      <c r="DJ237" s="302"/>
      <c r="DK237" s="302"/>
      <c r="DL237" s="302"/>
      <c r="DM237" s="302"/>
      <c r="DN237" s="302"/>
      <c r="DO237" s="302"/>
      <c r="DP237" s="302"/>
      <c r="DQ237" s="302"/>
      <c r="DR237" s="302"/>
      <c r="DS237" s="302"/>
      <c r="DT237" s="302"/>
      <c r="DU237" s="302"/>
      <c r="DV237" s="302"/>
      <c r="DW237" s="302"/>
      <c r="DX237" s="302"/>
      <c r="DY237" s="302"/>
      <c r="DZ237" s="302"/>
      <c r="EA237" s="302"/>
      <c r="EB237" s="302"/>
      <c r="EC237" s="302"/>
      <c r="ED237" s="302"/>
      <c r="EE237" s="302"/>
      <c r="EF237" s="302"/>
      <c r="EG237" s="302"/>
      <c r="EH237" s="302"/>
      <c r="EI237" s="302"/>
      <c r="EJ237" s="302"/>
      <c r="EK237" s="302"/>
      <c r="EL237" s="302"/>
      <c r="EM237" s="302"/>
      <c r="EN237" s="302"/>
      <c r="EO237" s="302"/>
      <c r="EP237" s="302"/>
      <c r="EQ237" s="302"/>
      <c r="ER237" s="302"/>
      <c r="ES237" s="302"/>
      <c r="ET237" s="302"/>
      <c r="EU237" s="302"/>
      <c r="EV237" s="302"/>
      <c r="EW237" s="302"/>
      <c r="EX237" s="302"/>
      <c r="EY237" s="302"/>
      <c r="EZ237" s="302"/>
      <c r="FA237" s="302"/>
      <c r="FB237" s="302"/>
      <c r="FC237" s="302"/>
      <c r="FD237" s="302"/>
      <c r="FE237" s="302"/>
      <c r="FF237" s="302"/>
      <c r="FG237" s="302"/>
      <c r="FH237" s="302"/>
      <c r="FI237" s="302"/>
      <c r="FJ237" s="302"/>
      <c r="FK237" s="302"/>
      <c r="FL237" s="302"/>
      <c r="FM237" s="302"/>
      <c r="FN237" s="302"/>
      <c r="FO237" s="302"/>
      <c r="FP237" s="302"/>
      <c r="FQ237" s="302"/>
      <c r="FR237" s="302"/>
      <c r="FS237" s="302"/>
      <c r="FT237" s="302"/>
      <c r="FU237" s="302"/>
      <c r="FV237" s="302"/>
      <c r="FW237" s="302"/>
      <c r="FX237" s="302"/>
      <c r="FY237" s="302"/>
      <c r="FZ237" s="302"/>
      <c r="GA237" s="302"/>
      <c r="GB237" s="302"/>
      <c r="GC237" s="302"/>
      <c r="GD237" s="302"/>
      <c r="GE237" s="302"/>
      <c r="GF237" s="302"/>
      <c r="GG237" s="302"/>
      <c r="GH237" s="302"/>
      <c r="GI237" s="302"/>
      <c r="GJ237" s="302"/>
      <c r="GK237" s="302"/>
      <c r="GL237" s="302"/>
      <c r="GM237" s="302"/>
      <c r="GN237" s="302"/>
      <c r="GO237" s="302"/>
      <c r="GP237" s="302"/>
      <c r="GQ237" s="302"/>
      <c r="GR237" s="302"/>
      <c r="GS237" s="302"/>
      <c r="GT237" s="302"/>
      <c r="GU237" s="302"/>
      <c r="GV237" s="302"/>
      <c r="GW237" s="302"/>
      <c r="GX237" s="302"/>
      <c r="GY237" s="302"/>
      <c r="GZ237" s="302"/>
      <c r="HA237" s="302"/>
      <c r="HB237" s="302"/>
      <c r="HC237" s="302"/>
      <c r="HD237" s="302"/>
      <c r="HE237" s="302"/>
      <c r="HF237" s="302"/>
      <c r="HG237" s="302"/>
      <c r="HH237" s="302"/>
      <c r="HI237" s="302"/>
      <c r="HJ237" s="302"/>
      <c r="HK237" s="302"/>
      <c r="HL237" s="302"/>
      <c r="HM237" s="302"/>
      <c r="HN237" s="302"/>
      <c r="HO237" s="302"/>
      <c r="HP237" s="302"/>
      <c r="HQ237" s="302"/>
      <c r="HR237" s="302"/>
      <c r="HS237" s="302"/>
      <c r="HT237" s="302"/>
      <c r="HU237" s="302"/>
      <c r="HV237" s="302"/>
      <c r="HW237" s="302"/>
      <c r="HX237" s="302"/>
      <c r="HY237" s="302"/>
      <c r="HZ237" s="302"/>
      <c r="IA237" s="302"/>
      <c r="IB237" s="302"/>
      <c r="IC237" s="302"/>
      <c r="ID237" s="302"/>
      <c r="IE237" s="302"/>
      <c r="IF237" s="302"/>
      <c r="IG237" s="302"/>
      <c r="IH237" s="302"/>
      <c r="II237" s="302"/>
      <c r="IJ237" s="302"/>
      <c r="IK237" s="302"/>
      <c r="IL237" s="302"/>
      <c r="IM237" s="302"/>
      <c r="IN237" s="302"/>
      <c r="IO237" s="302"/>
      <c r="IP237" s="302"/>
      <c r="IQ237" s="302"/>
      <c r="IR237" s="302"/>
      <c r="IS237" s="302"/>
      <c r="IT237" s="302"/>
      <c r="IU237" s="302"/>
      <c r="IV237" s="302"/>
      <c r="IW237" s="302"/>
      <c r="IX237" s="302"/>
      <c r="IY237" s="302"/>
      <c r="IZ237" s="302"/>
      <c r="JA237" s="302"/>
      <c r="JB237" s="302"/>
      <c r="JC237" s="302"/>
      <c r="JD237" s="302"/>
      <c r="JE237" s="302"/>
      <c r="JF237" s="302"/>
      <c r="JG237" s="302"/>
      <c r="JH237" s="302"/>
      <c r="JI237" s="302"/>
      <c r="JJ237" s="302"/>
      <c r="JK237" s="302"/>
      <c r="JL237" s="302"/>
      <c r="JM237" s="302"/>
      <c r="JN237" s="302"/>
      <c r="JO237" s="302"/>
      <c r="JP237" s="302"/>
      <c r="JQ237" s="302"/>
      <c r="JR237" s="302"/>
      <c r="JS237" s="302"/>
      <c r="JT237" s="302"/>
      <c r="JU237" s="302"/>
      <c r="JV237" s="302"/>
      <c r="JW237" s="302"/>
      <c r="JX237" s="302"/>
      <c r="JY237" s="302"/>
      <c r="JZ237" s="302"/>
      <c r="KA237" s="302"/>
      <c r="KB237" s="302"/>
      <c r="KC237" s="302"/>
      <c r="KD237" s="302"/>
      <c r="KE237" s="302"/>
      <c r="KF237" s="302"/>
      <c r="KG237" s="302"/>
      <c r="KH237" s="302"/>
      <c r="KI237" s="302"/>
      <c r="KJ237" s="302"/>
      <c r="KK237" s="302"/>
      <c r="KL237" s="302"/>
      <c r="KM237" s="302"/>
      <c r="KN237" s="302"/>
      <c r="KO237" s="302"/>
      <c r="KP237" s="302"/>
      <c r="KQ237" s="302"/>
      <c r="KR237" s="302"/>
      <c r="KS237" s="302"/>
      <c r="KT237" s="302"/>
      <c r="KU237" s="302"/>
      <c r="KV237" s="302"/>
      <c r="KW237" s="302"/>
      <c r="KX237" s="302"/>
      <c r="KY237" s="302"/>
      <c r="KZ237" s="302"/>
      <c r="LA237" s="302"/>
      <c r="LB237" s="302"/>
      <c r="LC237" s="302"/>
      <c r="LD237" s="302"/>
      <c r="LE237" s="302"/>
      <c r="LF237" s="302"/>
      <c r="LG237" s="302"/>
      <c r="LH237" s="302"/>
      <c r="LI237" s="302"/>
      <c r="LJ237" s="302"/>
      <c r="LK237" s="302"/>
      <c r="LL237" s="302"/>
      <c r="LM237" s="302"/>
      <c r="LN237" s="302"/>
      <c r="LO237" s="302"/>
      <c r="LP237" s="302"/>
      <c r="LQ237" s="302"/>
      <c r="LR237" s="302"/>
      <c r="LS237" s="302"/>
      <c r="LT237" s="302"/>
      <c r="LU237" s="302"/>
      <c r="LV237" s="302"/>
      <c r="LW237" s="302"/>
      <c r="LX237" s="302"/>
      <c r="LY237" s="302"/>
      <c r="LZ237" s="302"/>
      <c r="MA237" s="302"/>
      <c r="MB237" s="302"/>
      <c r="MC237" s="302"/>
      <c r="MD237" s="302"/>
      <c r="ME237" s="302"/>
      <c r="MF237" s="302"/>
      <c r="MG237" s="302"/>
      <c r="MH237" s="302"/>
      <c r="MI237" s="302"/>
      <c r="MJ237" s="302"/>
      <c r="MK237" s="302"/>
      <c r="ML237" s="302"/>
      <c r="MM237" s="302"/>
      <c r="MN237" s="302"/>
      <c r="MO237" s="302"/>
      <c r="MP237" s="302"/>
      <c r="MQ237" s="302"/>
      <c r="MR237" s="302"/>
      <c r="MS237" s="302"/>
      <c r="MT237" s="302"/>
      <c r="MU237" s="302"/>
      <c r="MV237" s="302"/>
      <c r="MW237" s="302"/>
      <c r="MX237" s="302"/>
      <c r="MY237" s="302"/>
      <c r="MZ237" s="302"/>
      <c r="NA237" s="302"/>
      <c r="NB237" s="302"/>
      <c r="NC237" s="302"/>
      <c r="ND237" s="302"/>
      <c r="NE237" s="302"/>
      <c r="NF237" s="302"/>
      <c r="NG237" s="302"/>
      <c r="NH237" s="302"/>
      <c r="NI237" s="302"/>
      <c r="NJ237" s="302"/>
      <c r="NK237" s="302"/>
      <c r="NL237" s="302"/>
      <c r="NM237" s="302"/>
      <c r="NN237" s="302"/>
      <c r="NO237" s="302"/>
      <c r="NP237" s="302"/>
      <c r="NQ237" s="302"/>
      <c r="NR237" s="302"/>
      <c r="NS237" s="302"/>
      <c r="NT237" s="302"/>
      <c r="NU237" s="302"/>
      <c r="NV237" s="302"/>
      <c r="NW237" s="302"/>
      <c r="NX237" s="302"/>
      <c r="NY237" s="302"/>
      <c r="NZ237" s="302"/>
      <c r="OA237" s="302"/>
      <c r="OB237" s="302"/>
      <c r="OC237" s="302"/>
      <c r="OD237" s="302"/>
      <c r="OE237" s="302"/>
      <c r="OF237" s="302"/>
      <c r="OG237" s="302"/>
      <c r="OH237" s="302"/>
      <c r="OI237" s="302"/>
      <c r="OJ237" s="302"/>
      <c r="OK237" s="302"/>
      <c r="OL237" s="302"/>
      <c r="OM237" s="302"/>
      <c r="ON237" s="302"/>
      <c r="OO237" s="302"/>
      <c r="OP237" s="302"/>
      <c r="OQ237" s="302"/>
      <c r="OR237" s="302"/>
      <c r="OS237" s="302"/>
      <c r="OT237" s="302"/>
      <c r="OU237" s="302"/>
      <c r="OV237" s="302"/>
      <c r="OW237" s="302"/>
      <c r="OX237" s="302"/>
      <c r="OY237" s="302"/>
      <c r="OZ237" s="302"/>
      <c r="PA237" s="302"/>
      <c r="PB237" s="302"/>
      <c r="PC237" s="302"/>
      <c r="PD237" s="302"/>
      <c r="PE237" s="302"/>
      <c r="PF237" s="302"/>
      <c r="PG237" s="302"/>
      <c r="PH237" s="302"/>
      <c r="PI237" s="302"/>
      <c r="PJ237" s="302"/>
      <c r="PK237" s="302"/>
      <c r="PL237" s="302"/>
      <c r="PM237" s="302"/>
      <c r="PN237" s="302"/>
      <c r="PO237" s="302"/>
      <c r="PP237" s="302"/>
      <c r="PQ237" s="302"/>
      <c r="PR237" s="302"/>
      <c r="PS237" s="302"/>
      <c r="PT237" s="302"/>
      <c r="PU237" s="302"/>
      <c r="PV237" s="302"/>
      <c r="PW237" s="302"/>
      <c r="PX237" s="302"/>
      <c r="PY237" s="302"/>
      <c r="PZ237" s="302"/>
      <c r="QA237" s="302"/>
      <c r="QB237" s="302"/>
      <c r="QC237" s="302"/>
      <c r="QD237" s="302"/>
      <c r="QE237" s="302"/>
      <c r="QF237" s="302"/>
      <c r="QG237" s="302"/>
      <c r="QH237" s="302"/>
      <c r="QI237" s="302"/>
      <c r="QJ237" s="302"/>
      <c r="QK237" s="302"/>
      <c r="QL237" s="302"/>
      <c r="QM237" s="302"/>
      <c r="QN237" s="302"/>
      <c r="QO237" s="302"/>
      <c r="QP237" s="302"/>
      <c r="QQ237" s="302"/>
      <c r="QR237" s="302"/>
      <c r="QS237" s="302"/>
      <c r="QT237" s="302"/>
      <c r="QU237" s="302"/>
      <c r="QV237" s="302"/>
      <c r="QW237" s="302"/>
      <c r="QX237" s="302"/>
      <c r="QY237" s="302"/>
      <c r="QZ237" s="302"/>
      <c r="RA237" s="302"/>
      <c r="RB237" s="302"/>
      <c r="RC237" s="302"/>
      <c r="RD237" s="302"/>
      <c r="RE237" s="302"/>
      <c r="RF237" s="302"/>
      <c r="RG237" s="302"/>
      <c r="RH237" s="302"/>
      <c r="RI237" s="302"/>
      <c r="RJ237" s="302"/>
      <c r="RK237" s="302"/>
      <c r="RL237" s="302"/>
      <c r="RM237" s="302"/>
      <c r="RN237" s="302"/>
      <c r="RO237" s="302"/>
      <c r="RP237" s="302"/>
      <c r="RQ237" s="302"/>
      <c r="RR237" s="302"/>
      <c r="RS237" s="302"/>
      <c r="RT237" s="302"/>
      <c r="RU237" s="302"/>
      <c r="RV237" s="302"/>
      <c r="RW237" s="302"/>
      <c r="RX237" s="302"/>
      <c r="RY237" s="302"/>
      <c r="RZ237" s="302"/>
      <c r="SA237" s="302"/>
      <c r="SB237" s="302"/>
      <c r="SC237" s="302"/>
      <c r="SD237" s="302"/>
      <c r="SE237" s="302"/>
      <c r="SF237" s="302"/>
      <c r="SG237" s="302"/>
      <c r="SH237" s="302"/>
      <c r="SI237" s="302"/>
      <c r="SJ237" s="302"/>
      <c r="SK237" s="302"/>
      <c r="SL237" s="302"/>
      <c r="SM237" s="302"/>
      <c r="SN237" s="302"/>
      <c r="SO237" s="302"/>
      <c r="SP237" s="302"/>
      <c r="SQ237" s="302"/>
      <c r="SR237" s="302"/>
      <c r="SS237" s="302"/>
      <c r="ST237" s="302"/>
      <c r="SU237" s="302"/>
      <c r="SV237" s="302"/>
      <c r="SW237" s="302"/>
      <c r="SX237" s="302"/>
      <c r="SY237" s="302"/>
      <c r="SZ237" s="302"/>
      <c r="TA237" s="302"/>
      <c r="TB237" s="302"/>
      <c r="TC237" s="302"/>
      <c r="TD237" s="302"/>
      <c r="TE237" s="302"/>
      <c r="TF237" s="302"/>
      <c r="TG237" s="302"/>
      <c r="TH237" s="302"/>
      <c r="TI237" s="302"/>
      <c r="TJ237" s="302"/>
      <c r="TK237" s="302"/>
      <c r="TL237" s="302"/>
      <c r="TM237" s="302"/>
      <c r="TN237" s="302"/>
      <c r="TO237" s="302"/>
      <c r="TP237" s="302"/>
      <c r="TQ237" s="302"/>
      <c r="TR237" s="302"/>
      <c r="TS237" s="302"/>
      <c r="TT237" s="302"/>
      <c r="TU237" s="302"/>
      <c r="TV237" s="302"/>
      <c r="TW237" s="302"/>
      <c r="TX237" s="302"/>
      <c r="TY237" s="302"/>
      <c r="TZ237" s="302"/>
      <c r="UA237" s="302"/>
      <c r="UB237" s="302"/>
      <c r="UC237" s="302"/>
      <c r="UD237" s="302"/>
      <c r="UE237" s="302"/>
      <c r="UF237" s="302"/>
      <c r="UG237" s="302"/>
      <c r="UH237" s="302"/>
      <c r="UI237" s="302"/>
      <c r="UJ237" s="302"/>
      <c r="UK237" s="302"/>
      <c r="UL237" s="302"/>
      <c r="UM237" s="302"/>
      <c r="UN237" s="302"/>
      <c r="UO237" s="302"/>
      <c r="UP237" s="302"/>
      <c r="UQ237" s="302"/>
      <c r="UR237" s="302"/>
      <c r="US237" s="302"/>
      <c r="UT237" s="302"/>
      <c r="UU237" s="302"/>
      <c r="UV237" s="302"/>
      <c r="UW237" s="302"/>
      <c r="UX237" s="302"/>
      <c r="UY237" s="302"/>
      <c r="UZ237" s="302"/>
      <c r="VA237" s="302"/>
      <c r="VB237" s="302"/>
      <c r="VC237" s="302"/>
      <c r="VD237" s="302"/>
      <c r="VE237" s="302"/>
      <c r="VF237" s="302"/>
      <c r="VG237" s="302"/>
      <c r="VH237" s="302"/>
      <c r="VI237" s="302"/>
      <c r="VJ237" s="302"/>
      <c r="VK237" s="302"/>
      <c r="VL237" s="302"/>
      <c r="VM237" s="302"/>
      <c r="VN237" s="302"/>
      <c r="VO237" s="302"/>
      <c r="VP237" s="302"/>
      <c r="VQ237" s="302"/>
      <c r="VR237" s="302"/>
      <c r="VS237" s="302"/>
      <c r="VT237" s="302"/>
      <c r="VU237" s="302"/>
      <c r="VV237" s="302"/>
      <c r="VW237" s="302"/>
      <c r="VX237" s="302"/>
      <c r="VY237" s="302"/>
      <c r="VZ237" s="302"/>
      <c r="WA237" s="302"/>
      <c r="WB237" s="302"/>
      <c r="WC237" s="302"/>
      <c r="WD237" s="302"/>
      <c r="WE237" s="302"/>
      <c r="WF237" s="302"/>
      <c r="WG237" s="302"/>
      <c r="WH237" s="302"/>
      <c r="WI237" s="302"/>
      <c r="WJ237" s="302"/>
      <c r="WK237" s="302"/>
      <c r="WL237" s="302"/>
      <c r="WM237" s="302"/>
      <c r="WN237" s="302"/>
      <c r="WO237" s="302"/>
      <c r="WP237" s="302"/>
      <c r="WQ237" s="302"/>
      <c r="WR237" s="302"/>
      <c r="WS237" s="302"/>
      <c r="WT237" s="302"/>
      <c r="WU237" s="302"/>
      <c r="WV237" s="302"/>
      <c r="WW237" s="302"/>
      <c r="WX237" s="302"/>
      <c r="WY237" s="302"/>
      <c r="WZ237" s="302"/>
      <c r="XA237" s="302"/>
      <c r="XB237" s="302"/>
      <c r="XC237" s="302"/>
      <c r="XD237" s="302"/>
      <c r="XE237" s="302"/>
      <c r="XF237" s="302"/>
      <c r="XG237" s="302"/>
      <c r="XH237" s="302"/>
      <c r="XI237" s="302"/>
      <c r="XJ237" s="302"/>
      <c r="XK237" s="302"/>
      <c r="XL237" s="302"/>
      <c r="XM237" s="302"/>
      <c r="XN237" s="302"/>
      <c r="XO237" s="302"/>
      <c r="XP237" s="302"/>
      <c r="XQ237" s="302"/>
      <c r="XR237" s="302"/>
      <c r="XS237" s="302"/>
      <c r="XT237" s="302"/>
      <c r="XU237" s="302"/>
      <c r="XV237" s="302"/>
      <c r="XW237" s="302"/>
      <c r="XX237" s="302"/>
      <c r="XY237" s="302"/>
      <c r="XZ237" s="302"/>
      <c r="YA237" s="302"/>
      <c r="YB237" s="302"/>
      <c r="YC237" s="302"/>
      <c r="YD237" s="302"/>
      <c r="YE237" s="302"/>
      <c r="YF237" s="302"/>
      <c r="YG237" s="302"/>
      <c r="YH237" s="302"/>
      <c r="YI237" s="302"/>
      <c r="YJ237" s="302"/>
      <c r="YK237" s="302"/>
      <c r="YL237" s="302"/>
      <c r="YM237" s="302"/>
      <c r="YN237" s="302"/>
      <c r="YO237" s="302"/>
      <c r="YP237" s="302"/>
      <c r="YQ237" s="302"/>
      <c r="YR237" s="302"/>
      <c r="YS237" s="302"/>
      <c r="YT237" s="302"/>
      <c r="YU237" s="302"/>
      <c r="YV237" s="302"/>
      <c r="YW237" s="302"/>
      <c r="YX237" s="302"/>
      <c r="YY237" s="302"/>
      <c r="YZ237" s="302"/>
      <c r="ZA237" s="302"/>
      <c r="ZB237" s="302"/>
      <c r="ZC237" s="302"/>
      <c r="ZD237" s="302"/>
      <c r="ZE237" s="302"/>
      <c r="ZF237" s="302"/>
      <c r="ZG237" s="302"/>
      <c r="ZH237" s="302"/>
      <c r="ZI237" s="302"/>
      <c r="ZJ237" s="302"/>
      <c r="ZK237" s="302"/>
      <c r="ZL237" s="302"/>
      <c r="ZM237" s="302"/>
      <c r="ZN237" s="302"/>
      <c r="ZO237" s="302"/>
      <c r="ZP237" s="302"/>
      <c r="ZQ237" s="302"/>
      <c r="ZR237" s="302"/>
      <c r="ZS237" s="302"/>
      <c r="ZT237" s="302"/>
      <c r="ZU237" s="302"/>
      <c r="ZV237" s="302"/>
      <c r="ZW237" s="302"/>
      <c r="ZX237" s="302"/>
      <c r="ZY237" s="302"/>
      <c r="ZZ237" s="302"/>
      <c r="AAA237" s="302"/>
      <c r="AAB237" s="302"/>
      <c r="AAC237" s="302"/>
      <c r="AAD237" s="302"/>
      <c r="AAE237" s="302"/>
      <c r="AAF237" s="302"/>
      <c r="AAG237" s="302"/>
      <c r="AAH237" s="302"/>
      <c r="AAI237" s="302"/>
      <c r="AAJ237" s="302"/>
      <c r="AAK237" s="302"/>
      <c r="AAL237" s="302"/>
      <c r="AAM237" s="302"/>
      <c r="AAN237" s="302"/>
      <c r="AAO237" s="302"/>
      <c r="AAP237" s="302"/>
      <c r="AAQ237" s="302"/>
      <c r="AAR237" s="302"/>
      <c r="AAS237" s="302"/>
      <c r="AAT237" s="302"/>
      <c r="AAU237" s="302"/>
      <c r="AAV237" s="302"/>
      <c r="AAW237" s="302"/>
      <c r="AAX237" s="302"/>
      <c r="AAY237" s="302"/>
      <c r="AAZ237" s="302"/>
      <c r="ABA237" s="302"/>
      <c r="ABB237" s="302"/>
      <c r="ABC237" s="302"/>
      <c r="ABD237" s="302"/>
      <c r="ABE237" s="302"/>
      <c r="ABF237" s="302"/>
      <c r="ABG237" s="302"/>
      <c r="ABH237" s="302"/>
      <c r="ABI237" s="302"/>
      <c r="ABJ237" s="302"/>
      <c r="ABK237" s="302"/>
      <c r="ABL237" s="302"/>
      <c r="ABM237" s="302"/>
      <c r="ABN237" s="302"/>
      <c r="ABO237" s="302"/>
      <c r="ABP237" s="302"/>
      <c r="ABQ237" s="302"/>
      <c r="ABR237" s="302"/>
      <c r="ABS237" s="302"/>
      <c r="ABT237" s="302"/>
      <c r="ABU237" s="302"/>
      <c r="ABV237" s="302"/>
      <c r="ABW237" s="302"/>
      <c r="ABX237" s="302"/>
      <c r="ABY237" s="302"/>
      <c r="ABZ237" s="302"/>
      <c r="ACA237" s="302"/>
      <c r="ACB237" s="302"/>
      <c r="ACC237" s="302"/>
      <c r="ACD237" s="302"/>
      <c r="ACE237" s="302"/>
      <c r="ACF237" s="302"/>
      <c r="ACG237" s="302"/>
      <c r="ACH237" s="302"/>
      <c r="ACI237" s="302"/>
      <c r="ACJ237" s="302"/>
      <c r="ACK237" s="302"/>
      <c r="ACL237" s="302"/>
      <c r="ACM237" s="302"/>
      <c r="ACN237" s="302"/>
      <c r="ACO237" s="302"/>
      <c r="ACP237" s="302"/>
      <c r="ACQ237" s="302"/>
      <c r="ACR237" s="302"/>
      <c r="ACS237" s="302"/>
      <c r="ACT237" s="302"/>
      <c r="ACU237" s="302"/>
      <c r="ACV237" s="302"/>
      <c r="ACW237" s="302"/>
      <c r="ACX237" s="302"/>
      <c r="ACY237" s="302"/>
      <c r="ACZ237" s="302"/>
      <c r="ADA237" s="302"/>
      <c r="ADB237" s="302"/>
      <c r="ADC237" s="302"/>
      <c r="ADD237" s="302"/>
      <c r="ADE237" s="302"/>
      <c r="ADF237" s="302"/>
      <c r="ADG237" s="302"/>
      <c r="ADH237" s="302"/>
      <c r="ADI237" s="302"/>
      <c r="ADJ237" s="302"/>
      <c r="ADK237" s="302"/>
      <c r="ADL237" s="302"/>
      <c r="ADM237" s="302"/>
      <c r="ADN237" s="302"/>
      <c r="ADO237" s="302"/>
      <c r="ADP237" s="302"/>
      <c r="ADQ237" s="302"/>
      <c r="ADR237" s="302"/>
      <c r="ADS237" s="302"/>
      <c r="ADT237" s="302"/>
      <c r="ADU237" s="302"/>
      <c r="ADV237" s="302"/>
      <c r="ADW237" s="302"/>
      <c r="ADX237" s="302"/>
      <c r="ADY237" s="302"/>
      <c r="ADZ237" s="302"/>
      <c r="AEA237" s="302"/>
      <c r="AEB237" s="302"/>
      <c r="AEC237" s="302"/>
      <c r="AED237" s="302"/>
      <c r="AEE237" s="302"/>
      <c r="AEF237" s="302"/>
      <c r="AEG237" s="302"/>
      <c r="AEH237" s="302"/>
      <c r="AEI237" s="302"/>
      <c r="AEJ237" s="302"/>
      <c r="AEK237" s="302"/>
      <c r="AEL237" s="302"/>
      <c r="AEM237" s="302"/>
      <c r="AEN237" s="302"/>
      <c r="AEO237" s="302"/>
      <c r="AEP237" s="302"/>
      <c r="AEQ237" s="302"/>
      <c r="AER237" s="302"/>
      <c r="AES237" s="302"/>
      <c r="AET237" s="302"/>
      <c r="AEU237" s="302"/>
      <c r="AEV237" s="302"/>
      <c r="AEW237" s="302"/>
      <c r="AEX237" s="302"/>
      <c r="AEY237" s="302"/>
      <c r="AEZ237" s="302"/>
      <c r="AFA237" s="302"/>
      <c r="AFB237" s="302"/>
      <c r="AFC237" s="302"/>
      <c r="AFD237" s="302"/>
      <c r="AFE237" s="302"/>
      <c r="AFF237" s="302"/>
      <c r="AFG237" s="302"/>
      <c r="AFH237" s="302"/>
      <c r="AFI237" s="302"/>
      <c r="AFJ237" s="302"/>
      <c r="AFK237" s="302"/>
      <c r="AFL237" s="302"/>
      <c r="AFM237" s="302"/>
      <c r="AFN237" s="302"/>
      <c r="AFO237" s="302"/>
      <c r="AFP237" s="302"/>
      <c r="AFQ237" s="302"/>
      <c r="AFR237" s="302"/>
      <c r="AFS237" s="302"/>
      <c r="AFT237" s="302"/>
      <c r="AFU237" s="302"/>
      <c r="AFV237" s="302"/>
      <c r="AFW237" s="302"/>
      <c r="AFX237" s="302"/>
      <c r="AFY237" s="302"/>
      <c r="AFZ237" s="302"/>
      <c r="AGA237" s="302"/>
      <c r="AGB237" s="302"/>
      <c r="AGC237" s="302"/>
      <c r="AGD237" s="302"/>
      <c r="AGE237" s="302"/>
      <c r="AGF237" s="302"/>
      <c r="AGG237" s="302"/>
      <c r="AGH237" s="302"/>
      <c r="AGI237" s="302"/>
      <c r="AGJ237" s="302"/>
      <c r="AGK237" s="302"/>
      <c r="AGL237" s="302"/>
      <c r="AGM237" s="302"/>
      <c r="AGN237" s="302"/>
      <c r="AGO237" s="302"/>
      <c r="AGP237" s="302"/>
      <c r="AGQ237" s="302"/>
      <c r="AGR237" s="302"/>
      <c r="AGS237" s="302"/>
      <c r="AGT237" s="302"/>
      <c r="AGU237" s="302"/>
      <c r="AGV237" s="302"/>
      <c r="AGW237" s="302"/>
      <c r="AGX237" s="302"/>
      <c r="AGY237" s="302"/>
      <c r="AGZ237" s="302"/>
      <c r="AHA237" s="302"/>
      <c r="AHB237" s="302"/>
      <c r="AHC237" s="302"/>
      <c r="AHD237" s="302"/>
      <c r="AHE237" s="302"/>
      <c r="AHF237" s="302"/>
      <c r="AHG237" s="302"/>
      <c r="AHH237" s="302"/>
      <c r="AHI237" s="302"/>
      <c r="AHJ237" s="302"/>
      <c r="AHK237" s="302"/>
      <c r="AHL237" s="302"/>
      <c r="AHM237" s="302"/>
      <c r="AHN237" s="302"/>
      <c r="AHO237" s="302"/>
      <c r="AHP237" s="302"/>
      <c r="AHQ237" s="302"/>
      <c r="AHR237" s="302"/>
      <c r="AHS237" s="302"/>
      <c r="AHT237" s="302"/>
      <c r="AHU237" s="302"/>
      <c r="AHV237" s="302"/>
      <c r="AHW237" s="302"/>
      <c r="AHX237" s="302"/>
      <c r="AHY237" s="302"/>
      <c r="AHZ237" s="302"/>
      <c r="AIA237" s="302"/>
      <c r="AIB237" s="302"/>
      <c r="AIC237" s="302"/>
      <c r="AID237" s="302"/>
      <c r="AIE237" s="302"/>
      <c r="AIF237" s="302"/>
      <c r="AIG237" s="302"/>
      <c r="AIH237" s="302"/>
      <c r="AII237" s="302"/>
      <c r="AIJ237" s="302"/>
      <c r="AIK237" s="302"/>
      <c r="AIL237" s="302"/>
      <c r="AIM237" s="302"/>
      <c r="AIN237" s="302"/>
      <c r="AIO237" s="302"/>
      <c r="AIP237" s="302"/>
      <c r="AIQ237" s="302"/>
      <c r="AIR237" s="302"/>
      <c r="AIS237" s="302"/>
      <c r="AIT237" s="302"/>
      <c r="AIU237" s="302"/>
      <c r="AIV237" s="302"/>
      <c r="AIW237" s="302"/>
      <c r="AIX237" s="302"/>
      <c r="AIY237" s="302"/>
      <c r="AIZ237" s="302"/>
      <c r="AJA237" s="302"/>
      <c r="AJB237" s="302"/>
      <c r="AJC237" s="302"/>
      <c r="AJD237" s="302"/>
      <c r="AJE237" s="302"/>
      <c r="AJF237" s="302"/>
      <c r="AJG237" s="302"/>
      <c r="AJH237" s="302"/>
      <c r="AJI237" s="302"/>
      <c r="AJJ237" s="302"/>
      <c r="AJK237" s="302"/>
      <c r="AJL237" s="302"/>
      <c r="AJM237" s="302"/>
      <c r="AJN237" s="302"/>
      <c r="AJO237" s="302"/>
      <c r="AJP237" s="302"/>
      <c r="AJQ237" s="302"/>
      <c r="AJR237" s="302"/>
      <c r="AJS237" s="302"/>
      <c r="AJT237" s="302"/>
      <c r="AJU237" s="302"/>
      <c r="AJV237" s="302"/>
      <c r="AJW237" s="302"/>
      <c r="AJX237" s="302"/>
      <c r="AJY237" s="302"/>
      <c r="AJZ237" s="302"/>
      <c r="AKA237" s="302"/>
      <c r="AKB237" s="302"/>
      <c r="AKC237" s="302"/>
      <c r="AKD237" s="302"/>
      <c r="AKE237" s="302"/>
      <c r="AKF237" s="302"/>
      <c r="AKG237" s="302"/>
      <c r="AKH237" s="302"/>
      <c r="AKI237" s="302"/>
      <c r="AKJ237" s="302"/>
      <c r="AKK237" s="302"/>
      <c r="AKL237" s="302"/>
      <c r="AKM237" s="302"/>
      <c r="AKN237" s="302"/>
      <c r="AKO237" s="302"/>
      <c r="AKP237" s="302"/>
      <c r="AKQ237" s="302"/>
      <c r="AKR237" s="302"/>
      <c r="AKS237" s="302"/>
      <c r="AKT237" s="302"/>
      <c r="AKU237" s="302"/>
      <c r="AKV237" s="302"/>
      <c r="AKW237" s="302"/>
      <c r="AKX237" s="302"/>
      <c r="AKY237" s="302"/>
      <c r="AKZ237" s="302"/>
      <c r="ALA237" s="302"/>
      <c r="ALB237" s="302"/>
      <c r="ALC237" s="302"/>
      <c r="ALD237" s="302"/>
      <c r="ALE237" s="302"/>
      <c r="ALF237" s="302"/>
      <c r="ALG237" s="302"/>
      <c r="ALH237" s="302"/>
      <c r="ALI237" s="302"/>
      <c r="ALJ237" s="302"/>
      <c r="ALK237" s="302"/>
      <c r="ALL237" s="302"/>
      <c r="ALM237" s="302"/>
      <c r="ALN237" s="302"/>
      <c r="ALO237" s="302"/>
      <c r="ALP237" s="302"/>
      <c r="ALQ237" s="302"/>
      <c r="ALR237" s="302"/>
      <c r="ALS237" s="302"/>
      <c r="ALT237" s="302"/>
      <c r="ALU237" s="302"/>
      <c r="ALV237" s="302"/>
      <c r="ALW237" s="302"/>
      <c r="ALX237" s="302"/>
      <c r="ALY237" s="302"/>
      <c r="ALZ237" s="302"/>
      <c r="AMA237" s="302"/>
      <c r="AMB237" s="302"/>
      <c r="AMC237" s="302"/>
      <c r="AMD237" s="302"/>
      <c r="AME237" s="302"/>
      <c r="AMF237" s="302"/>
      <c r="AMG237" s="302"/>
      <c r="AMH237" s="302"/>
      <c r="AMI237" s="302"/>
    </row>
    <row r="238" spans="1:1023" hidden="1">
      <c r="A238" s="302"/>
      <c r="B238" s="470">
        <v>13944</v>
      </c>
      <c r="C238" s="471">
        <v>0.1</v>
      </c>
      <c r="D238" s="472" t="s">
        <v>127</v>
      </c>
      <c r="E238" s="583">
        <v>2400000</v>
      </c>
      <c r="F238" s="499">
        <v>0.02</v>
      </c>
      <c r="G238" s="369">
        <f t="shared" ref="G238:G257" si="13">E238*F238</f>
        <v>48000</v>
      </c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2"/>
      <c r="AE238" s="302"/>
      <c r="AF238" s="302"/>
      <c r="AG238" s="302"/>
      <c r="AH238" s="302"/>
      <c r="AI238" s="302"/>
      <c r="AJ238" s="302"/>
      <c r="AK238" s="302"/>
      <c r="AL238" s="302"/>
      <c r="AM238" s="302"/>
      <c r="AN238" s="302"/>
      <c r="AO238" s="302"/>
      <c r="AP238" s="302"/>
      <c r="AQ238" s="302"/>
      <c r="AR238" s="302"/>
      <c r="AS238" s="302"/>
      <c r="AT238" s="302"/>
      <c r="AU238" s="302"/>
      <c r="AV238" s="302"/>
      <c r="AW238" s="302"/>
      <c r="AX238" s="302"/>
      <c r="AY238" s="302"/>
      <c r="AZ238" s="302"/>
      <c r="BA238" s="302"/>
      <c r="BB238" s="302"/>
      <c r="BC238" s="302"/>
      <c r="BD238" s="302"/>
      <c r="BE238" s="302"/>
      <c r="BF238" s="302"/>
      <c r="BG238" s="302"/>
      <c r="BH238" s="302"/>
      <c r="BI238" s="302"/>
      <c r="BJ238" s="302"/>
      <c r="BK238" s="302"/>
      <c r="BL238" s="302"/>
      <c r="BM238" s="302"/>
      <c r="BN238" s="302"/>
      <c r="BO238" s="302"/>
      <c r="BP238" s="302"/>
      <c r="BQ238" s="302"/>
      <c r="BR238" s="302"/>
      <c r="BS238" s="302"/>
      <c r="BT238" s="302"/>
      <c r="BU238" s="302"/>
      <c r="BV238" s="302"/>
      <c r="BW238" s="302"/>
      <c r="BX238" s="302"/>
      <c r="BY238" s="302"/>
      <c r="BZ238" s="302"/>
      <c r="CA238" s="302"/>
      <c r="CB238" s="302"/>
      <c r="CC238" s="302"/>
      <c r="CD238" s="302"/>
      <c r="CE238" s="302"/>
      <c r="CF238" s="302"/>
      <c r="CG238" s="302"/>
      <c r="CH238" s="302"/>
      <c r="CI238" s="302"/>
      <c r="CJ238" s="302"/>
      <c r="CK238" s="302"/>
      <c r="CL238" s="302"/>
      <c r="CM238" s="302"/>
      <c r="CN238" s="302"/>
      <c r="CO238" s="302"/>
      <c r="CP238" s="302"/>
      <c r="CQ238" s="302"/>
      <c r="CR238" s="302"/>
      <c r="CS238" s="302"/>
      <c r="CT238" s="302"/>
      <c r="CU238" s="302"/>
      <c r="CV238" s="302"/>
      <c r="CW238" s="302"/>
      <c r="CX238" s="302"/>
      <c r="CY238" s="302"/>
      <c r="CZ238" s="302"/>
      <c r="DA238" s="302"/>
      <c r="DB238" s="302"/>
      <c r="DC238" s="302"/>
      <c r="DD238" s="302"/>
      <c r="DE238" s="302"/>
      <c r="DF238" s="302"/>
      <c r="DG238" s="302"/>
      <c r="DH238" s="302"/>
      <c r="DI238" s="302"/>
      <c r="DJ238" s="302"/>
      <c r="DK238" s="302"/>
      <c r="DL238" s="302"/>
      <c r="DM238" s="302"/>
      <c r="DN238" s="302"/>
      <c r="DO238" s="302"/>
      <c r="DP238" s="302"/>
      <c r="DQ238" s="302"/>
      <c r="DR238" s="302"/>
      <c r="DS238" s="302"/>
      <c r="DT238" s="302"/>
      <c r="DU238" s="302"/>
      <c r="DV238" s="302"/>
      <c r="DW238" s="302"/>
      <c r="DX238" s="302"/>
      <c r="DY238" s="302"/>
      <c r="DZ238" s="302"/>
      <c r="EA238" s="302"/>
      <c r="EB238" s="302"/>
      <c r="EC238" s="302"/>
      <c r="ED238" s="302"/>
      <c r="EE238" s="302"/>
      <c r="EF238" s="302"/>
      <c r="EG238" s="302"/>
      <c r="EH238" s="302"/>
      <c r="EI238" s="302"/>
      <c r="EJ238" s="302"/>
      <c r="EK238" s="302"/>
      <c r="EL238" s="302"/>
      <c r="EM238" s="302"/>
      <c r="EN238" s="302"/>
      <c r="EO238" s="302"/>
      <c r="EP238" s="302"/>
      <c r="EQ238" s="302"/>
      <c r="ER238" s="302"/>
      <c r="ES238" s="302"/>
      <c r="ET238" s="302"/>
      <c r="EU238" s="302"/>
      <c r="EV238" s="302"/>
      <c r="EW238" s="302"/>
      <c r="EX238" s="302"/>
      <c r="EY238" s="302"/>
      <c r="EZ238" s="302"/>
      <c r="FA238" s="302"/>
      <c r="FB238" s="302"/>
      <c r="FC238" s="302"/>
      <c r="FD238" s="302"/>
      <c r="FE238" s="302"/>
      <c r="FF238" s="302"/>
      <c r="FG238" s="302"/>
      <c r="FH238" s="302"/>
      <c r="FI238" s="302"/>
      <c r="FJ238" s="302"/>
      <c r="FK238" s="302"/>
      <c r="FL238" s="302"/>
      <c r="FM238" s="302"/>
      <c r="FN238" s="302"/>
      <c r="FO238" s="302"/>
      <c r="FP238" s="302"/>
      <c r="FQ238" s="302"/>
      <c r="FR238" s="302"/>
      <c r="FS238" s="302"/>
      <c r="FT238" s="302"/>
      <c r="FU238" s="302"/>
      <c r="FV238" s="302"/>
      <c r="FW238" s="302"/>
      <c r="FX238" s="302"/>
      <c r="FY238" s="302"/>
      <c r="FZ238" s="302"/>
      <c r="GA238" s="302"/>
      <c r="GB238" s="302"/>
      <c r="GC238" s="302"/>
      <c r="GD238" s="302"/>
      <c r="GE238" s="302"/>
      <c r="GF238" s="302"/>
      <c r="GG238" s="302"/>
      <c r="GH238" s="302"/>
      <c r="GI238" s="302"/>
      <c r="GJ238" s="302"/>
      <c r="GK238" s="302"/>
      <c r="GL238" s="302"/>
      <c r="GM238" s="302"/>
      <c r="GN238" s="302"/>
      <c r="GO238" s="302"/>
      <c r="GP238" s="302"/>
      <c r="GQ238" s="302"/>
      <c r="GR238" s="302"/>
      <c r="GS238" s="302"/>
      <c r="GT238" s="302"/>
      <c r="GU238" s="302"/>
      <c r="GV238" s="302"/>
      <c r="GW238" s="302"/>
      <c r="GX238" s="302"/>
      <c r="GY238" s="302"/>
      <c r="GZ238" s="302"/>
      <c r="HA238" s="302"/>
      <c r="HB238" s="302"/>
      <c r="HC238" s="302"/>
      <c r="HD238" s="302"/>
      <c r="HE238" s="302"/>
      <c r="HF238" s="302"/>
      <c r="HG238" s="302"/>
      <c r="HH238" s="302"/>
      <c r="HI238" s="302"/>
      <c r="HJ238" s="302"/>
      <c r="HK238" s="302"/>
      <c r="HL238" s="302"/>
      <c r="HM238" s="302"/>
      <c r="HN238" s="302"/>
      <c r="HO238" s="302"/>
      <c r="HP238" s="302"/>
      <c r="HQ238" s="302"/>
      <c r="HR238" s="302"/>
      <c r="HS238" s="302"/>
      <c r="HT238" s="302"/>
      <c r="HU238" s="302"/>
      <c r="HV238" s="302"/>
      <c r="HW238" s="302"/>
      <c r="HX238" s="302"/>
      <c r="HY238" s="302"/>
      <c r="HZ238" s="302"/>
      <c r="IA238" s="302"/>
      <c r="IB238" s="302"/>
      <c r="IC238" s="302"/>
      <c r="ID238" s="302"/>
      <c r="IE238" s="302"/>
      <c r="IF238" s="302"/>
      <c r="IG238" s="302"/>
      <c r="IH238" s="302"/>
      <c r="II238" s="302"/>
      <c r="IJ238" s="302"/>
      <c r="IK238" s="302"/>
      <c r="IL238" s="302"/>
      <c r="IM238" s="302"/>
      <c r="IN238" s="302"/>
      <c r="IO238" s="302"/>
      <c r="IP238" s="302"/>
      <c r="IQ238" s="302"/>
      <c r="IR238" s="302"/>
      <c r="IS238" s="302"/>
      <c r="IT238" s="302"/>
      <c r="IU238" s="302"/>
      <c r="IV238" s="302"/>
      <c r="IW238" s="302"/>
      <c r="IX238" s="302"/>
      <c r="IY238" s="302"/>
      <c r="IZ238" s="302"/>
      <c r="JA238" s="302"/>
      <c r="JB238" s="302"/>
      <c r="JC238" s="302"/>
      <c r="JD238" s="302"/>
      <c r="JE238" s="302"/>
      <c r="JF238" s="302"/>
      <c r="JG238" s="302"/>
      <c r="JH238" s="302"/>
      <c r="JI238" s="302"/>
      <c r="JJ238" s="302"/>
      <c r="JK238" s="302"/>
      <c r="JL238" s="302"/>
      <c r="JM238" s="302"/>
      <c r="JN238" s="302"/>
      <c r="JO238" s="302"/>
      <c r="JP238" s="302"/>
      <c r="JQ238" s="302"/>
      <c r="JR238" s="302"/>
      <c r="JS238" s="302"/>
      <c r="JT238" s="302"/>
      <c r="JU238" s="302"/>
      <c r="JV238" s="302"/>
      <c r="JW238" s="302"/>
      <c r="JX238" s="302"/>
      <c r="JY238" s="302"/>
      <c r="JZ238" s="302"/>
      <c r="KA238" s="302"/>
      <c r="KB238" s="302"/>
      <c r="KC238" s="302"/>
      <c r="KD238" s="302"/>
      <c r="KE238" s="302"/>
      <c r="KF238" s="302"/>
      <c r="KG238" s="302"/>
      <c r="KH238" s="302"/>
      <c r="KI238" s="302"/>
      <c r="KJ238" s="302"/>
      <c r="KK238" s="302"/>
      <c r="KL238" s="302"/>
      <c r="KM238" s="302"/>
      <c r="KN238" s="302"/>
      <c r="KO238" s="302"/>
      <c r="KP238" s="302"/>
      <c r="KQ238" s="302"/>
      <c r="KR238" s="302"/>
      <c r="KS238" s="302"/>
      <c r="KT238" s="302"/>
      <c r="KU238" s="302"/>
      <c r="KV238" s="302"/>
      <c r="KW238" s="302"/>
      <c r="KX238" s="302"/>
      <c r="KY238" s="302"/>
      <c r="KZ238" s="302"/>
      <c r="LA238" s="302"/>
      <c r="LB238" s="302"/>
      <c r="LC238" s="302"/>
      <c r="LD238" s="302"/>
      <c r="LE238" s="302"/>
      <c r="LF238" s="302"/>
      <c r="LG238" s="302"/>
      <c r="LH238" s="302"/>
      <c r="LI238" s="302"/>
      <c r="LJ238" s="302"/>
      <c r="LK238" s="302"/>
      <c r="LL238" s="302"/>
      <c r="LM238" s="302"/>
      <c r="LN238" s="302"/>
      <c r="LO238" s="302"/>
      <c r="LP238" s="302"/>
      <c r="LQ238" s="302"/>
      <c r="LR238" s="302"/>
      <c r="LS238" s="302"/>
      <c r="LT238" s="302"/>
      <c r="LU238" s="302"/>
      <c r="LV238" s="302"/>
      <c r="LW238" s="302"/>
      <c r="LX238" s="302"/>
      <c r="LY238" s="302"/>
      <c r="LZ238" s="302"/>
      <c r="MA238" s="302"/>
      <c r="MB238" s="302"/>
      <c r="MC238" s="302"/>
      <c r="MD238" s="302"/>
      <c r="ME238" s="302"/>
      <c r="MF238" s="302"/>
      <c r="MG238" s="302"/>
      <c r="MH238" s="302"/>
      <c r="MI238" s="302"/>
      <c r="MJ238" s="302"/>
      <c r="MK238" s="302"/>
      <c r="ML238" s="302"/>
      <c r="MM238" s="302"/>
      <c r="MN238" s="302"/>
      <c r="MO238" s="302"/>
      <c r="MP238" s="302"/>
      <c r="MQ238" s="302"/>
      <c r="MR238" s="302"/>
      <c r="MS238" s="302"/>
      <c r="MT238" s="302"/>
      <c r="MU238" s="302"/>
      <c r="MV238" s="302"/>
      <c r="MW238" s="302"/>
      <c r="MX238" s="302"/>
      <c r="MY238" s="302"/>
      <c r="MZ238" s="302"/>
      <c r="NA238" s="302"/>
      <c r="NB238" s="302"/>
      <c r="NC238" s="302"/>
      <c r="ND238" s="302"/>
      <c r="NE238" s="302"/>
      <c r="NF238" s="302"/>
      <c r="NG238" s="302"/>
      <c r="NH238" s="302"/>
      <c r="NI238" s="302"/>
      <c r="NJ238" s="302"/>
      <c r="NK238" s="302"/>
      <c r="NL238" s="302"/>
      <c r="NM238" s="302"/>
      <c r="NN238" s="302"/>
      <c r="NO238" s="302"/>
      <c r="NP238" s="302"/>
      <c r="NQ238" s="302"/>
      <c r="NR238" s="302"/>
      <c r="NS238" s="302"/>
      <c r="NT238" s="302"/>
      <c r="NU238" s="302"/>
      <c r="NV238" s="302"/>
      <c r="NW238" s="302"/>
      <c r="NX238" s="302"/>
      <c r="NY238" s="302"/>
      <c r="NZ238" s="302"/>
      <c r="OA238" s="302"/>
      <c r="OB238" s="302"/>
      <c r="OC238" s="302"/>
      <c r="OD238" s="302"/>
      <c r="OE238" s="302"/>
      <c r="OF238" s="302"/>
      <c r="OG238" s="302"/>
      <c r="OH238" s="302"/>
      <c r="OI238" s="302"/>
      <c r="OJ238" s="302"/>
      <c r="OK238" s="302"/>
      <c r="OL238" s="302"/>
      <c r="OM238" s="302"/>
      <c r="ON238" s="302"/>
      <c r="OO238" s="302"/>
      <c r="OP238" s="302"/>
      <c r="OQ238" s="302"/>
      <c r="OR238" s="302"/>
      <c r="OS238" s="302"/>
      <c r="OT238" s="302"/>
      <c r="OU238" s="302"/>
      <c r="OV238" s="302"/>
      <c r="OW238" s="302"/>
      <c r="OX238" s="302"/>
      <c r="OY238" s="302"/>
      <c r="OZ238" s="302"/>
      <c r="PA238" s="302"/>
      <c r="PB238" s="302"/>
      <c r="PC238" s="302"/>
      <c r="PD238" s="302"/>
      <c r="PE238" s="302"/>
      <c r="PF238" s="302"/>
      <c r="PG238" s="302"/>
      <c r="PH238" s="302"/>
      <c r="PI238" s="302"/>
      <c r="PJ238" s="302"/>
      <c r="PK238" s="302"/>
      <c r="PL238" s="302"/>
      <c r="PM238" s="302"/>
      <c r="PN238" s="302"/>
      <c r="PO238" s="302"/>
      <c r="PP238" s="302"/>
      <c r="PQ238" s="302"/>
      <c r="PR238" s="302"/>
      <c r="PS238" s="302"/>
      <c r="PT238" s="302"/>
      <c r="PU238" s="302"/>
      <c r="PV238" s="302"/>
      <c r="PW238" s="302"/>
      <c r="PX238" s="302"/>
      <c r="PY238" s="302"/>
      <c r="PZ238" s="302"/>
      <c r="QA238" s="302"/>
      <c r="QB238" s="302"/>
      <c r="QC238" s="302"/>
      <c r="QD238" s="302"/>
      <c r="QE238" s="302"/>
      <c r="QF238" s="302"/>
      <c r="QG238" s="302"/>
      <c r="QH238" s="302"/>
      <c r="QI238" s="302"/>
      <c r="QJ238" s="302"/>
      <c r="QK238" s="302"/>
      <c r="QL238" s="302"/>
      <c r="QM238" s="302"/>
      <c r="QN238" s="302"/>
      <c r="QO238" s="302"/>
      <c r="QP238" s="302"/>
      <c r="QQ238" s="302"/>
      <c r="QR238" s="302"/>
      <c r="QS238" s="302"/>
      <c r="QT238" s="302"/>
      <c r="QU238" s="302"/>
      <c r="QV238" s="302"/>
      <c r="QW238" s="302"/>
      <c r="QX238" s="302"/>
      <c r="QY238" s="302"/>
      <c r="QZ238" s="302"/>
      <c r="RA238" s="302"/>
      <c r="RB238" s="302"/>
      <c r="RC238" s="302"/>
      <c r="RD238" s="302"/>
      <c r="RE238" s="302"/>
      <c r="RF238" s="302"/>
      <c r="RG238" s="302"/>
      <c r="RH238" s="302"/>
      <c r="RI238" s="302"/>
      <c r="RJ238" s="302"/>
      <c r="RK238" s="302"/>
      <c r="RL238" s="302"/>
      <c r="RM238" s="302"/>
      <c r="RN238" s="302"/>
      <c r="RO238" s="302"/>
      <c r="RP238" s="302"/>
      <c r="RQ238" s="302"/>
      <c r="RR238" s="302"/>
      <c r="RS238" s="302"/>
      <c r="RT238" s="302"/>
      <c r="RU238" s="302"/>
      <c r="RV238" s="302"/>
      <c r="RW238" s="302"/>
      <c r="RX238" s="302"/>
      <c r="RY238" s="302"/>
      <c r="RZ238" s="302"/>
      <c r="SA238" s="302"/>
      <c r="SB238" s="302"/>
      <c r="SC238" s="302"/>
      <c r="SD238" s="302"/>
      <c r="SE238" s="302"/>
      <c r="SF238" s="302"/>
      <c r="SG238" s="302"/>
      <c r="SH238" s="302"/>
      <c r="SI238" s="302"/>
      <c r="SJ238" s="302"/>
      <c r="SK238" s="302"/>
      <c r="SL238" s="302"/>
      <c r="SM238" s="302"/>
      <c r="SN238" s="302"/>
      <c r="SO238" s="302"/>
      <c r="SP238" s="302"/>
      <c r="SQ238" s="302"/>
      <c r="SR238" s="302"/>
      <c r="SS238" s="302"/>
      <c r="ST238" s="302"/>
      <c r="SU238" s="302"/>
      <c r="SV238" s="302"/>
      <c r="SW238" s="302"/>
      <c r="SX238" s="302"/>
      <c r="SY238" s="302"/>
      <c r="SZ238" s="302"/>
      <c r="TA238" s="302"/>
      <c r="TB238" s="302"/>
      <c r="TC238" s="302"/>
      <c r="TD238" s="302"/>
      <c r="TE238" s="302"/>
      <c r="TF238" s="302"/>
      <c r="TG238" s="302"/>
      <c r="TH238" s="302"/>
      <c r="TI238" s="302"/>
      <c r="TJ238" s="302"/>
      <c r="TK238" s="302"/>
      <c r="TL238" s="302"/>
      <c r="TM238" s="302"/>
      <c r="TN238" s="302"/>
      <c r="TO238" s="302"/>
      <c r="TP238" s="302"/>
      <c r="TQ238" s="302"/>
      <c r="TR238" s="302"/>
      <c r="TS238" s="302"/>
      <c r="TT238" s="302"/>
      <c r="TU238" s="302"/>
      <c r="TV238" s="302"/>
      <c r="TW238" s="302"/>
      <c r="TX238" s="302"/>
      <c r="TY238" s="302"/>
      <c r="TZ238" s="302"/>
      <c r="UA238" s="302"/>
      <c r="UB238" s="302"/>
      <c r="UC238" s="302"/>
      <c r="UD238" s="302"/>
      <c r="UE238" s="302"/>
      <c r="UF238" s="302"/>
      <c r="UG238" s="302"/>
      <c r="UH238" s="302"/>
      <c r="UI238" s="302"/>
      <c r="UJ238" s="302"/>
      <c r="UK238" s="302"/>
      <c r="UL238" s="302"/>
      <c r="UM238" s="302"/>
      <c r="UN238" s="302"/>
      <c r="UO238" s="302"/>
      <c r="UP238" s="302"/>
      <c r="UQ238" s="302"/>
      <c r="UR238" s="302"/>
      <c r="US238" s="302"/>
      <c r="UT238" s="302"/>
      <c r="UU238" s="302"/>
      <c r="UV238" s="302"/>
      <c r="UW238" s="302"/>
      <c r="UX238" s="302"/>
      <c r="UY238" s="302"/>
      <c r="UZ238" s="302"/>
      <c r="VA238" s="302"/>
      <c r="VB238" s="302"/>
      <c r="VC238" s="302"/>
      <c r="VD238" s="302"/>
      <c r="VE238" s="302"/>
      <c r="VF238" s="302"/>
      <c r="VG238" s="302"/>
      <c r="VH238" s="302"/>
      <c r="VI238" s="302"/>
      <c r="VJ238" s="302"/>
      <c r="VK238" s="302"/>
      <c r="VL238" s="302"/>
      <c r="VM238" s="302"/>
      <c r="VN238" s="302"/>
      <c r="VO238" s="302"/>
      <c r="VP238" s="302"/>
      <c r="VQ238" s="302"/>
      <c r="VR238" s="302"/>
      <c r="VS238" s="302"/>
      <c r="VT238" s="302"/>
      <c r="VU238" s="302"/>
      <c r="VV238" s="302"/>
      <c r="VW238" s="302"/>
      <c r="VX238" s="302"/>
      <c r="VY238" s="302"/>
      <c r="VZ238" s="302"/>
      <c r="WA238" s="302"/>
      <c r="WB238" s="302"/>
      <c r="WC238" s="302"/>
      <c r="WD238" s="302"/>
      <c r="WE238" s="302"/>
      <c r="WF238" s="302"/>
      <c r="WG238" s="302"/>
      <c r="WH238" s="302"/>
      <c r="WI238" s="302"/>
      <c r="WJ238" s="302"/>
      <c r="WK238" s="302"/>
      <c r="WL238" s="302"/>
      <c r="WM238" s="302"/>
      <c r="WN238" s="302"/>
      <c r="WO238" s="302"/>
      <c r="WP238" s="302"/>
      <c r="WQ238" s="302"/>
      <c r="WR238" s="302"/>
      <c r="WS238" s="302"/>
      <c r="WT238" s="302"/>
      <c r="WU238" s="302"/>
      <c r="WV238" s="302"/>
      <c r="WW238" s="302"/>
      <c r="WX238" s="302"/>
      <c r="WY238" s="302"/>
      <c r="WZ238" s="302"/>
      <c r="XA238" s="302"/>
      <c r="XB238" s="302"/>
      <c r="XC238" s="302"/>
      <c r="XD238" s="302"/>
      <c r="XE238" s="302"/>
      <c r="XF238" s="302"/>
      <c r="XG238" s="302"/>
      <c r="XH238" s="302"/>
      <c r="XI238" s="302"/>
      <c r="XJ238" s="302"/>
      <c r="XK238" s="302"/>
      <c r="XL238" s="302"/>
      <c r="XM238" s="302"/>
      <c r="XN238" s="302"/>
      <c r="XO238" s="302"/>
      <c r="XP238" s="302"/>
      <c r="XQ238" s="302"/>
      <c r="XR238" s="302"/>
      <c r="XS238" s="302"/>
      <c r="XT238" s="302"/>
      <c r="XU238" s="302"/>
      <c r="XV238" s="302"/>
      <c r="XW238" s="302"/>
      <c r="XX238" s="302"/>
      <c r="XY238" s="302"/>
      <c r="XZ238" s="302"/>
      <c r="YA238" s="302"/>
      <c r="YB238" s="302"/>
      <c r="YC238" s="302"/>
      <c r="YD238" s="302"/>
      <c r="YE238" s="302"/>
      <c r="YF238" s="302"/>
      <c r="YG238" s="302"/>
      <c r="YH238" s="302"/>
      <c r="YI238" s="302"/>
      <c r="YJ238" s="302"/>
      <c r="YK238" s="302"/>
      <c r="YL238" s="302"/>
      <c r="YM238" s="302"/>
      <c r="YN238" s="302"/>
      <c r="YO238" s="302"/>
      <c r="YP238" s="302"/>
      <c r="YQ238" s="302"/>
      <c r="YR238" s="302"/>
      <c r="YS238" s="302"/>
      <c r="YT238" s="302"/>
      <c r="YU238" s="302"/>
      <c r="YV238" s="302"/>
      <c r="YW238" s="302"/>
      <c r="YX238" s="302"/>
      <c r="YY238" s="302"/>
      <c r="YZ238" s="302"/>
      <c r="ZA238" s="302"/>
      <c r="ZB238" s="302"/>
      <c r="ZC238" s="302"/>
      <c r="ZD238" s="302"/>
      <c r="ZE238" s="302"/>
      <c r="ZF238" s="302"/>
      <c r="ZG238" s="302"/>
      <c r="ZH238" s="302"/>
      <c r="ZI238" s="302"/>
      <c r="ZJ238" s="302"/>
      <c r="ZK238" s="302"/>
      <c r="ZL238" s="302"/>
      <c r="ZM238" s="302"/>
      <c r="ZN238" s="302"/>
      <c r="ZO238" s="302"/>
      <c r="ZP238" s="302"/>
      <c r="ZQ238" s="302"/>
      <c r="ZR238" s="302"/>
      <c r="ZS238" s="302"/>
      <c r="ZT238" s="302"/>
      <c r="ZU238" s="302"/>
      <c r="ZV238" s="302"/>
      <c r="ZW238" s="302"/>
      <c r="ZX238" s="302"/>
      <c r="ZY238" s="302"/>
      <c r="ZZ238" s="302"/>
      <c r="AAA238" s="302"/>
      <c r="AAB238" s="302"/>
      <c r="AAC238" s="302"/>
      <c r="AAD238" s="302"/>
      <c r="AAE238" s="302"/>
      <c r="AAF238" s="302"/>
      <c r="AAG238" s="302"/>
      <c r="AAH238" s="302"/>
      <c r="AAI238" s="302"/>
      <c r="AAJ238" s="302"/>
      <c r="AAK238" s="302"/>
      <c r="AAL238" s="302"/>
      <c r="AAM238" s="302"/>
      <c r="AAN238" s="302"/>
      <c r="AAO238" s="302"/>
      <c r="AAP238" s="302"/>
      <c r="AAQ238" s="302"/>
      <c r="AAR238" s="302"/>
      <c r="AAS238" s="302"/>
      <c r="AAT238" s="302"/>
      <c r="AAU238" s="302"/>
      <c r="AAV238" s="302"/>
      <c r="AAW238" s="302"/>
      <c r="AAX238" s="302"/>
      <c r="AAY238" s="302"/>
      <c r="AAZ238" s="302"/>
      <c r="ABA238" s="302"/>
      <c r="ABB238" s="302"/>
      <c r="ABC238" s="302"/>
      <c r="ABD238" s="302"/>
      <c r="ABE238" s="302"/>
      <c r="ABF238" s="302"/>
      <c r="ABG238" s="302"/>
      <c r="ABH238" s="302"/>
      <c r="ABI238" s="302"/>
      <c r="ABJ238" s="302"/>
      <c r="ABK238" s="302"/>
      <c r="ABL238" s="302"/>
      <c r="ABM238" s="302"/>
      <c r="ABN238" s="302"/>
      <c r="ABO238" s="302"/>
      <c r="ABP238" s="302"/>
      <c r="ABQ238" s="302"/>
      <c r="ABR238" s="302"/>
      <c r="ABS238" s="302"/>
      <c r="ABT238" s="302"/>
      <c r="ABU238" s="302"/>
      <c r="ABV238" s="302"/>
      <c r="ABW238" s="302"/>
      <c r="ABX238" s="302"/>
      <c r="ABY238" s="302"/>
      <c r="ABZ238" s="302"/>
      <c r="ACA238" s="302"/>
      <c r="ACB238" s="302"/>
      <c r="ACC238" s="302"/>
      <c r="ACD238" s="302"/>
      <c r="ACE238" s="302"/>
      <c r="ACF238" s="302"/>
      <c r="ACG238" s="302"/>
      <c r="ACH238" s="302"/>
      <c r="ACI238" s="302"/>
      <c r="ACJ238" s="302"/>
      <c r="ACK238" s="302"/>
      <c r="ACL238" s="302"/>
      <c r="ACM238" s="302"/>
      <c r="ACN238" s="302"/>
      <c r="ACO238" s="302"/>
      <c r="ACP238" s="302"/>
      <c r="ACQ238" s="302"/>
      <c r="ACR238" s="302"/>
      <c r="ACS238" s="302"/>
      <c r="ACT238" s="302"/>
      <c r="ACU238" s="302"/>
      <c r="ACV238" s="302"/>
      <c r="ACW238" s="302"/>
      <c r="ACX238" s="302"/>
      <c r="ACY238" s="302"/>
      <c r="ACZ238" s="302"/>
      <c r="ADA238" s="302"/>
      <c r="ADB238" s="302"/>
      <c r="ADC238" s="302"/>
      <c r="ADD238" s="302"/>
      <c r="ADE238" s="302"/>
      <c r="ADF238" s="302"/>
      <c r="ADG238" s="302"/>
      <c r="ADH238" s="302"/>
      <c r="ADI238" s="302"/>
      <c r="ADJ238" s="302"/>
      <c r="ADK238" s="302"/>
      <c r="ADL238" s="302"/>
      <c r="ADM238" s="302"/>
      <c r="ADN238" s="302"/>
      <c r="ADO238" s="302"/>
      <c r="ADP238" s="302"/>
      <c r="ADQ238" s="302"/>
      <c r="ADR238" s="302"/>
      <c r="ADS238" s="302"/>
      <c r="ADT238" s="302"/>
      <c r="ADU238" s="302"/>
      <c r="ADV238" s="302"/>
      <c r="ADW238" s="302"/>
      <c r="ADX238" s="302"/>
      <c r="ADY238" s="302"/>
      <c r="ADZ238" s="302"/>
      <c r="AEA238" s="302"/>
      <c r="AEB238" s="302"/>
      <c r="AEC238" s="302"/>
      <c r="AED238" s="302"/>
      <c r="AEE238" s="302"/>
      <c r="AEF238" s="302"/>
      <c r="AEG238" s="302"/>
      <c r="AEH238" s="302"/>
      <c r="AEI238" s="302"/>
      <c r="AEJ238" s="302"/>
      <c r="AEK238" s="302"/>
      <c r="AEL238" s="302"/>
      <c r="AEM238" s="302"/>
      <c r="AEN238" s="302"/>
      <c r="AEO238" s="302"/>
      <c r="AEP238" s="302"/>
      <c r="AEQ238" s="302"/>
      <c r="AER238" s="302"/>
      <c r="AES238" s="302"/>
      <c r="AET238" s="302"/>
      <c r="AEU238" s="302"/>
      <c r="AEV238" s="302"/>
      <c r="AEW238" s="302"/>
      <c r="AEX238" s="302"/>
      <c r="AEY238" s="302"/>
      <c r="AEZ238" s="302"/>
      <c r="AFA238" s="302"/>
      <c r="AFB238" s="302"/>
      <c r="AFC238" s="302"/>
      <c r="AFD238" s="302"/>
      <c r="AFE238" s="302"/>
      <c r="AFF238" s="302"/>
      <c r="AFG238" s="302"/>
      <c r="AFH238" s="302"/>
      <c r="AFI238" s="302"/>
      <c r="AFJ238" s="302"/>
      <c r="AFK238" s="302"/>
      <c r="AFL238" s="302"/>
      <c r="AFM238" s="302"/>
      <c r="AFN238" s="302"/>
      <c r="AFO238" s="302"/>
      <c r="AFP238" s="302"/>
      <c r="AFQ238" s="302"/>
      <c r="AFR238" s="302"/>
      <c r="AFS238" s="302"/>
      <c r="AFT238" s="302"/>
      <c r="AFU238" s="302"/>
      <c r="AFV238" s="302"/>
      <c r="AFW238" s="302"/>
      <c r="AFX238" s="302"/>
      <c r="AFY238" s="302"/>
      <c r="AFZ238" s="302"/>
      <c r="AGA238" s="302"/>
      <c r="AGB238" s="302"/>
      <c r="AGC238" s="302"/>
      <c r="AGD238" s="302"/>
      <c r="AGE238" s="302"/>
      <c r="AGF238" s="302"/>
      <c r="AGG238" s="302"/>
      <c r="AGH238" s="302"/>
      <c r="AGI238" s="302"/>
      <c r="AGJ238" s="302"/>
      <c r="AGK238" s="302"/>
      <c r="AGL238" s="302"/>
      <c r="AGM238" s="302"/>
      <c r="AGN238" s="302"/>
      <c r="AGO238" s="302"/>
      <c r="AGP238" s="302"/>
      <c r="AGQ238" s="302"/>
      <c r="AGR238" s="302"/>
      <c r="AGS238" s="302"/>
      <c r="AGT238" s="302"/>
      <c r="AGU238" s="302"/>
      <c r="AGV238" s="302"/>
      <c r="AGW238" s="302"/>
      <c r="AGX238" s="302"/>
      <c r="AGY238" s="302"/>
      <c r="AGZ238" s="302"/>
      <c r="AHA238" s="302"/>
      <c r="AHB238" s="302"/>
      <c r="AHC238" s="302"/>
      <c r="AHD238" s="302"/>
      <c r="AHE238" s="302"/>
      <c r="AHF238" s="302"/>
      <c r="AHG238" s="302"/>
      <c r="AHH238" s="302"/>
      <c r="AHI238" s="302"/>
      <c r="AHJ238" s="302"/>
      <c r="AHK238" s="302"/>
      <c r="AHL238" s="302"/>
      <c r="AHM238" s="302"/>
      <c r="AHN238" s="302"/>
      <c r="AHO238" s="302"/>
      <c r="AHP238" s="302"/>
      <c r="AHQ238" s="302"/>
      <c r="AHR238" s="302"/>
      <c r="AHS238" s="302"/>
      <c r="AHT238" s="302"/>
      <c r="AHU238" s="302"/>
      <c r="AHV238" s="302"/>
      <c r="AHW238" s="302"/>
      <c r="AHX238" s="302"/>
      <c r="AHY238" s="302"/>
      <c r="AHZ238" s="302"/>
      <c r="AIA238" s="302"/>
      <c r="AIB238" s="302"/>
      <c r="AIC238" s="302"/>
      <c r="AID238" s="302"/>
      <c r="AIE238" s="302"/>
      <c r="AIF238" s="302"/>
      <c r="AIG238" s="302"/>
      <c r="AIH238" s="302"/>
      <c r="AII238" s="302"/>
      <c r="AIJ238" s="302"/>
      <c r="AIK238" s="302"/>
      <c r="AIL238" s="302"/>
      <c r="AIM238" s="302"/>
      <c r="AIN238" s="302"/>
      <c r="AIO238" s="302"/>
      <c r="AIP238" s="302"/>
      <c r="AIQ238" s="302"/>
      <c r="AIR238" s="302"/>
      <c r="AIS238" s="302"/>
      <c r="AIT238" s="302"/>
      <c r="AIU238" s="302"/>
      <c r="AIV238" s="302"/>
      <c r="AIW238" s="302"/>
      <c r="AIX238" s="302"/>
      <c r="AIY238" s="302"/>
      <c r="AIZ238" s="302"/>
      <c r="AJA238" s="302"/>
      <c r="AJB238" s="302"/>
      <c r="AJC238" s="302"/>
      <c r="AJD238" s="302"/>
      <c r="AJE238" s="302"/>
      <c r="AJF238" s="302"/>
      <c r="AJG238" s="302"/>
      <c r="AJH238" s="302"/>
      <c r="AJI238" s="302"/>
      <c r="AJJ238" s="302"/>
      <c r="AJK238" s="302"/>
      <c r="AJL238" s="302"/>
      <c r="AJM238" s="302"/>
      <c r="AJN238" s="302"/>
      <c r="AJO238" s="302"/>
      <c r="AJP238" s="302"/>
      <c r="AJQ238" s="302"/>
      <c r="AJR238" s="302"/>
      <c r="AJS238" s="302"/>
      <c r="AJT238" s="302"/>
      <c r="AJU238" s="302"/>
      <c r="AJV238" s="302"/>
      <c r="AJW238" s="302"/>
      <c r="AJX238" s="302"/>
      <c r="AJY238" s="302"/>
      <c r="AJZ238" s="302"/>
      <c r="AKA238" s="302"/>
      <c r="AKB238" s="302"/>
      <c r="AKC238" s="302"/>
      <c r="AKD238" s="302"/>
      <c r="AKE238" s="302"/>
      <c r="AKF238" s="302"/>
      <c r="AKG238" s="302"/>
      <c r="AKH238" s="302"/>
      <c r="AKI238" s="302"/>
      <c r="AKJ238" s="302"/>
      <c r="AKK238" s="302"/>
      <c r="AKL238" s="302"/>
      <c r="AKM238" s="302"/>
      <c r="AKN238" s="302"/>
      <c r="AKO238" s="302"/>
      <c r="AKP238" s="302"/>
      <c r="AKQ238" s="302"/>
      <c r="AKR238" s="302"/>
      <c r="AKS238" s="302"/>
      <c r="AKT238" s="302"/>
      <c r="AKU238" s="302"/>
      <c r="AKV238" s="302"/>
      <c r="AKW238" s="302"/>
      <c r="AKX238" s="302"/>
      <c r="AKY238" s="302"/>
      <c r="AKZ238" s="302"/>
      <c r="ALA238" s="302"/>
      <c r="ALB238" s="302"/>
      <c r="ALC238" s="302"/>
      <c r="ALD238" s="302"/>
      <c r="ALE238" s="302"/>
      <c r="ALF238" s="302"/>
      <c r="ALG238" s="302"/>
      <c r="ALH238" s="302"/>
      <c r="ALI238" s="302"/>
      <c r="ALJ238" s="302"/>
      <c r="ALK238" s="302"/>
      <c r="ALL238" s="302"/>
      <c r="ALM238" s="302"/>
      <c r="ALN238" s="302"/>
      <c r="ALO238" s="302"/>
      <c r="ALP238" s="302"/>
      <c r="ALQ238" s="302"/>
      <c r="ALR238" s="302"/>
      <c r="ALS238" s="302"/>
      <c r="ALT238" s="302"/>
      <c r="ALU238" s="302"/>
      <c r="ALV238" s="302"/>
      <c r="ALW238" s="302"/>
      <c r="ALX238" s="302"/>
      <c r="ALY238" s="302"/>
      <c r="ALZ238" s="302"/>
      <c r="AMA238" s="302"/>
      <c r="AMB238" s="302"/>
      <c r="AMC238" s="302"/>
      <c r="AMD238" s="302"/>
      <c r="AME238" s="302"/>
      <c r="AMF238" s="302"/>
      <c r="AMG238" s="302"/>
      <c r="AMH238" s="302"/>
      <c r="AMI238" s="302"/>
    </row>
    <row r="239" spans="1:1023" hidden="1">
      <c r="A239" s="302"/>
      <c r="B239" s="470">
        <v>13920</v>
      </c>
      <c r="C239" s="471">
        <v>0.1</v>
      </c>
      <c r="D239" s="472" t="s">
        <v>129</v>
      </c>
      <c r="E239" s="583">
        <v>2500000</v>
      </c>
      <c r="F239" s="499">
        <v>0.02</v>
      </c>
      <c r="G239" s="369">
        <f t="shared" si="13"/>
        <v>50000</v>
      </c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2"/>
      <c r="AE239" s="302"/>
      <c r="AF239" s="302"/>
      <c r="AG239" s="302"/>
      <c r="AH239" s="302"/>
      <c r="AI239" s="302"/>
      <c r="AJ239" s="302"/>
      <c r="AK239" s="302"/>
      <c r="AL239" s="302"/>
      <c r="AM239" s="302"/>
      <c r="AN239" s="302"/>
      <c r="AO239" s="302"/>
      <c r="AP239" s="302"/>
      <c r="AQ239" s="302"/>
      <c r="AR239" s="302"/>
      <c r="AS239" s="302"/>
      <c r="AT239" s="302"/>
      <c r="AU239" s="302"/>
      <c r="AV239" s="302"/>
      <c r="AW239" s="302"/>
      <c r="AX239" s="302"/>
      <c r="AY239" s="302"/>
      <c r="AZ239" s="302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K239" s="302"/>
      <c r="BL239" s="302"/>
      <c r="BM239" s="302"/>
      <c r="BN239" s="302"/>
      <c r="BO239" s="302"/>
      <c r="BP239" s="302"/>
      <c r="BQ239" s="302"/>
      <c r="BR239" s="302"/>
      <c r="BS239" s="302"/>
      <c r="BT239" s="302"/>
      <c r="BU239" s="302"/>
      <c r="BV239" s="302"/>
      <c r="BW239" s="302"/>
      <c r="BX239" s="302"/>
      <c r="BY239" s="302"/>
      <c r="BZ239" s="302"/>
      <c r="CA239" s="302"/>
      <c r="CB239" s="302"/>
      <c r="CC239" s="302"/>
      <c r="CD239" s="302"/>
      <c r="CE239" s="302"/>
      <c r="CF239" s="302"/>
      <c r="CG239" s="302"/>
      <c r="CH239" s="302"/>
      <c r="CI239" s="302"/>
      <c r="CJ239" s="302"/>
      <c r="CK239" s="302"/>
      <c r="CL239" s="302"/>
      <c r="CM239" s="302"/>
      <c r="CN239" s="302"/>
      <c r="CO239" s="302"/>
      <c r="CP239" s="302"/>
      <c r="CQ239" s="302"/>
      <c r="CR239" s="302"/>
      <c r="CS239" s="302"/>
      <c r="CT239" s="302"/>
      <c r="CU239" s="302"/>
      <c r="CV239" s="302"/>
      <c r="CW239" s="302"/>
      <c r="CX239" s="302"/>
      <c r="CY239" s="302"/>
      <c r="CZ239" s="302"/>
      <c r="DA239" s="302"/>
      <c r="DB239" s="302"/>
      <c r="DC239" s="302"/>
      <c r="DD239" s="302"/>
      <c r="DE239" s="302"/>
      <c r="DF239" s="302"/>
      <c r="DG239" s="302"/>
      <c r="DH239" s="302"/>
      <c r="DI239" s="302"/>
      <c r="DJ239" s="302"/>
      <c r="DK239" s="302"/>
      <c r="DL239" s="302"/>
      <c r="DM239" s="302"/>
      <c r="DN239" s="302"/>
      <c r="DO239" s="302"/>
      <c r="DP239" s="302"/>
      <c r="DQ239" s="302"/>
      <c r="DR239" s="302"/>
      <c r="DS239" s="302"/>
      <c r="DT239" s="302"/>
      <c r="DU239" s="302"/>
      <c r="DV239" s="302"/>
      <c r="DW239" s="302"/>
      <c r="DX239" s="302"/>
      <c r="DY239" s="302"/>
      <c r="DZ239" s="302"/>
      <c r="EA239" s="302"/>
      <c r="EB239" s="302"/>
      <c r="EC239" s="302"/>
      <c r="ED239" s="302"/>
      <c r="EE239" s="302"/>
      <c r="EF239" s="302"/>
      <c r="EG239" s="302"/>
      <c r="EH239" s="302"/>
      <c r="EI239" s="302"/>
      <c r="EJ239" s="302"/>
      <c r="EK239" s="302"/>
      <c r="EL239" s="302"/>
      <c r="EM239" s="302"/>
      <c r="EN239" s="302"/>
      <c r="EO239" s="302"/>
      <c r="EP239" s="302"/>
      <c r="EQ239" s="302"/>
      <c r="ER239" s="302"/>
      <c r="ES239" s="302"/>
      <c r="ET239" s="302"/>
      <c r="EU239" s="302"/>
      <c r="EV239" s="302"/>
      <c r="EW239" s="302"/>
      <c r="EX239" s="302"/>
      <c r="EY239" s="302"/>
      <c r="EZ239" s="302"/>
      <c r="FA239" s="302"/>
      <c r="FB239" s="302"/>
      <c r="FC239" s="302"/>
      <c r="FD239" s="302"/>
      <c r="FE239" s="302"/>
      <c r="FF239" s="302"/>
      <c r="FG239" s="302"/>
      <c r="FH239" s="302"/>
      <c r="FI239" s="302"/>
      <c r="FJ239" s="302"/>
      <c r="FK239" s="302"/>
      <c r="FL239" s="302"/>
      <c r="FM239" s="302"/>
      <c r="FN239" s="302"/>
      <c r="FO239" s="302"/>
      <c r="FP239" s="302"/>
      <c r="FQ239" s="302"/>
      <c r="FR239" s="302"/>
      <c r="FS239" s="302"/>
      <c r="FT239" s="302"/>
      <c r="FU239" s="302"/>
      <c r="FV239" s="302"/>
      <c r="FW239" s="302"/>
      <c r="FX239" s="302"/>
      <c r="FY239" s="302"/>
      <c r="FZ239" s="302"/>
      <c r="GA239" s="302"/>
      <c r="GB239" s="302"/>
      <c r="GC239" s="302"/>
      <c r="GD239" s="302"/>
      <c r="GE239" s="302"/>
      <c r="GF239" s="302"/>
      <c r="GG239" s="302"/>
      <c r="GH239" s="302"/>
      <c r="GI239" s="302"/>
      <c r="GJ239" s="302"/>
      <c r="GK239" s="302"/>
      <c r="GL239" s="302"/>
      <c r="GM239" s="302"/>
      <c r="GN239" s="302"/>
      <c r="GO239" s="302"/>
      <c r="GP239" s="302"/>
      <c r="GQ239" s="302"/>
      <c r="GR239" s="302"/>
      <c r="GS239" s="302"/>
      <c r="GT239" s="302"/>
      <c r="GU239" s="302"/>
      <c r="GV239" s="302"/>
      <c r="GW239" s="302"/>
      <c r="GX239" s="302"/>
      <c r="GY239" s="302"/>
      <c r="GZ239" s="302"/>
      <c r="HA239" s="302"/>
      <c r="HB239" s="302"/>
      <c r="HC239" s="302"/>
      <c r="HD239" s="302"/>
      <c r="HE239" s="302"/>
      <c r="HF239" s="302"/>
      <c r="HG239" s="302"/>
      <c r="HH239" s="302"/>
      <c r="HI239" s="302"/>
      <c r="HJ239" s="302"/>
      <c r="HK239" s="302"/>
      <c r="HL239" s="302"/>
      <c r="HM239" s="302"/>
      <c r="HN239" s="302"/>
      <c r="HO239" s="302"/>
      <c r="HP239" s="302"/>
      <c r="HQ239" s="302"/>
      <c r="HR239" s="302"/>
      <c r="HS239" s="302"/>
      <c r="HT239" s="302"/>
      <c r="HU239" s="302"/>
      <c r="HV239" s="302"/>
      <c r="HW239" s="302"/>
      <c r="HX239" s="302"/>
      <c r="HY239" s="302"/>
      <c r="HZ239" s="302"/>
      <c r="IA239" s="302"/>
      <c r="IB239" s="302"/>
      <c r="IC239" s="302"/>
      <c r="ID239" s="302"/>
      <c r="IE239" s="302"/>
      <c r="IF239" s="302"/>
      <c r="IG239" s="302"/>
      <c r="IH239" s="302"/>
      <c r="II239" s="302"/>
      <c r="IJ239" s="302"/>
      <c r="IK239" s="302"/>
      <c r="IL239" s="302"/>
      <c r="IM239" s="302"/>
      <c r="IN239" s="302"/>
      <c r="IO239" s="302"/>
      <c r="IP239" s="302"/>
      <c r="IQ239" s="302"/>
      <c r="IR239" s="302"/>
      <c r="IS239" s="302"/>
      <c r="IT239" s="302"/>
      <c r="IU239" s="302"/>
      <c r="IV239" s="302"/>
      <c r="IW239" s="302"/>
      <c r="IX239" s="302"/>
      <c r="IY239" s="302"/>
      <c r="IZ239" s="302"/>
      <c r="JA239" s="302"/>
      <c r="JB239" s="302"/>
      <c r="JC239" s="302"/>
      <c r="JD239" s="302"/>
      <c r="JE239" s="302"/>
      <c r="JF239" s="302"/>
      <c r="JG239" s="302"/>
      <c r="JH239" s="302"/>
      <c r="JI239" s="302"/>
      <c r="JJ239" s="302"/>
      <c r="JK239" s="302"/>
      <c r="JL239" s="302"/>
      <c r="JM239" s="302"/>
      <c r="JN239" s="302"/>
      <c r="JO239" s="302"/>
      <c r="JP239" s="302"/>
      <c r="JQ239" s="302"/>
      <c r="JR239" s="302"/>
      <c r="JS239" s="302"/>
      <c r="JT239" s="302"/>
      <c r="JU239" s="302"/>
      <c r="JV239" s="302"/>
      <c r="JW239" s="302"/>
      <c r="JX239" s="302"/>
      <c r="JY239" s="302"/>
      <c r="JZ239" s="302"/>
      <c r="KA239" s="302"/>
      <c r="KB239" s="302"/>
      <c r="KC239" s="302"/>
      <c r="KD239" s="302"/>
      <c r="KE239" s="302"/>
      <c r="KF239" s="302"/>
      <c r="KG239" s="302"/>
      <c r="KH239" s="302"/>
      <c r="KI239" s="302"/>
      <c r="KJ239" s="302"/>
      <c r="KK239" s="302"/>
      <c r="KL239" s="302"/>
      <c r="KM239" s="302"/>
      <c r="KN239" s="302"/>
      <c r="KO239" s="302"/>
      <c r="KP239" s="302"/>
      <c r="KQ239" s="302"/>
      <c r="KR239" s="302"/>
      <c r="KS239" s="302"/>
      <c r="KT239" s="302"/>
      <c r="KU239" s="302"/>
      <c r="KV239" s="302"/>
      <c r="KW239" s="302"/>
      <c r="KX239" s="302"/>
      <c r="KY239" s="302"/>
      <c r="KZ239" s="302"/>
      <c r="LA239" s="302"/>
      <c r="LB239" s="302"/>
      <c r="LC239" s="302"/>
      <c r="LD239" s="302"/>
      <c r="LE239" s="302"/>
      <c r="LF239" s="302"/>
      <c r="LG239" s="302"/>
      <c r="LH239" s="302"/>
      <c r="LI239" s="302"/>
      <c r="LJ239" s="302"/>
      <c r="LK239" s="302"/>
      <c r="LL239" s="302"/>
      <c r="LM239" s="302"/>
      <c r="LN239" s="302"/>
      <c r="LO239" s="302"/>
      <c r="LP239" s="302"/>
      <c r="LQ239" s="302"/>
      <c r="LR239" s="302"/>
      <c r="LS239" s="302"/>
      <c r="LT239" s="302"/>
      <c r="LU239" s="302"/>
      <c r="LV239" s="302"/>
      <c r="LW239" s="302"/>
      <c r="LX239" s="302"/>
      <c r="LY239" s="302"/>
      <c r="LZ239" s="302"/>
      <c r="MA239" s="302"/>
      <c r="MB239" s="302"/>
      <c r="MC239" s="302"/>
      <c r="MD239" s="302"/>
      <c r="ME239" s="302"/>
      <c r="MF239" s="302"/>
      <c r="MG239" s="302"/>
      <c r="MH239" s="302"/>
      <c r="MI239" s="302"/>
      <c r="MJ239" s="302"/>
      <c r="MK239" s="302"/>
      <c r="ML239" s="302"/>
      <c r="MM239" s="302"/>
      <c r="MN239" s="302"/>
      <c r="MO239" s="302"/>
      <c r="MP239" s="302"/>
      <c r="MQ239" s="302"/>
      <c r="MR239" s="302"/>
      <c r="MS239" s="302"/>
      <c r="MT239" s="302"/>
      <c r="MU239" s="302"/>
      <c r="MV239" s="302"/>
      <c r="MW239" s="302"/>
      <c r="MX239" s="302"/>
      <c r="MY239" s="302"/>
      <c r="MZ239" s="302"/>
      <c r="NA239" s="302"/>
      <c r="NB239" s="302"/>
      <c r="NC239" s="302"/>
      <c r="ND239" s="302"/>
      <c r="NE239" s="302"/>
      <c r="NF239" s="302"/>
      <c r="NG239" s="302"/>
      <c r="NH239" s="302"/>
      <c r="NI239" s="302"/>
      <c r="NJ239" s="302"/>
      <c r="NK239" s="302"/>
      <c r="NL239" s="302"/>
      <c r="NM239" s="302"/>
      <c r="NN239" s="302"/>
      <c r="NO239" s="302"/>
      <c r="NP239" s="302"/>
      <c r="NQ239" s="302"/>
      <c r="NR239" s="302"/>
      <c r="NS239" s="302"/>
      <c r="NT239" s="302"/>
      <c r="NU239" s="302"/>
      <c r="NV239" s="302"/>
      <c r="NW239" s="302"/>
      <c r="NX239" s="302"/>
      <c r="NY239" s="302"/>
      <c r="NZ239" s="302"/>
      <c r="OA239" s="302"/>
      <c r="OB239" s="302"/>
      <c r="OC239" s="302"/>
      <c r="OD239" s="302"/>
      <c r="OE239" s="302"/>
      <c r="OF239" s="302"/>
      <c r="OG239" s="302"/>
      <c r="OH239" s="302"/>
      <c r="OI239" s="302"/>
      <c r="OJ239" s="302"/>
      <c r="OK239" s="302"/>
      <c r="OL239" s="302"/>
      <c r="OM239" s="302"/>
      <c r="ON239" s="302"/>
      <c r="OO239" s="302"/>
      <c r="OP239" s="302"/>
      <c r="OQ239" s="302"/>
      <c r="OR239" s="302"/>
      <c r="OS239" s="302"/>
      <c r="OT239" s="302"/>
      <c r="OU239" s="302"/>
      <c r="OV239" s="302"/>
      <c r="OW239" s="302"/>
      <c r="OX239" s="302"/>
      <c r="OY239" s="302"/>
      <c r="OZ239" s="302"/>
      <c r="PA239" s="302"/>
      <c r="PB239" s="302"/>
      <c r="PC239" s="302"/>
      <c r="PD239" s="302"/>
      <c r="PE239" s="302"/>
      <c r="PF239" s="302"/>
      <c r="PG239" s="302"/>
      <c r="PH239" s="302"/>
      <c r="PI239" s="302"/>
      <c r="PJ239" s="302"/>
      <c r="PK239" s="302"/>
      <c r="PL239" s="302"/>
      <c r="PM239" s="302"/>
      <c r="PN239" s="302"/>
      <c r="PO239" s="302"/>
      <c r="PP239" s="302"/>
      <c r="PQ239" s="302"/>
      <c r="PR239" s="302"/>
      <c r="PS239" s="302"/>
      <c r="PT239" s="302"/>
      <c r="PU239" s="302"/>
      <c r="PV239" s="302"/>
      <c r="PW239" s="302"/>
      <c r="PX239" s="302"/>
      <c r="PY239" s="302"/>
      <c r="PZ239" s="302"/>
      <c r="QA239" s="302"/>
      <c r="QB239" s="302"/>
      <c r="QC239" s="302"/>
      <c r="QD239" s="302"/>
      <c r="QE239" s="302"/>
      <c r="QF239" s="302"/>
      <c r="QG239" s="302"/>
      <c r="QH239" s="302"/>
      <c r="QI239" s="302"/>
      <c r="QJ239" s="302"/>
      <c r="QK239" s="302"/>
      <c r="QL239" s="302"/>
      <c r="QM239" s="302"/>
      <c r="QN239" s="302"/>
      <c r="QO239" s="302"/>
      <c r="QP239" s="302"/>
      <c r="QQ239" s="302"/>
      <c r="QR239" s="302"/>
      <c r="QS239" s="302"/>
      <c r="QT239" s="302"/>
      <c r="QU239" s="302"/>
      <c r="QV239" s="302"/>
      <c r="QW239" s="302"/>
      <c r="QX239" s="302"/>
      <c r="QY239" s="302"/>
      <c r="QZ239" s="302"/>
      <c r="RA239" s="302"/>
      <c r="RB239" s="302"/>
      <c r="RC239" s="302"/>
      <c r="RD239" s="302"/>
      <c r="RE239" s="302"/>
      <c r="RF239" s="302"/>
      <c r="RG239" s="302"/>
      <c r="RH239" s="302"/>
      <c r="RI239" s="302"/>
      <c r="RJ239" s="302"/>
      <c r="RK239" s="302"/>
      <c r="RL239" s="302"/>
      <c r="RM239" s="302"/>
      <c r="RN239" s="302"/>
      <c r="RO239" s="302"/>
      <c r="RP239" s="302"/>
      <c r="RQ239" s="302"/>
      <c r="RR239" s="302"/>
      <c r="RS239" s="302"/>
      <c r="RT239" s="302"/>
      <c r="RU239" s="302"/>
      <c r="RV239" s="302"/>
      <c r="RW239" s="302"/>
      <c r="RX239" s="302"/>
      <c r="RY239" s="302"/>
      <c r="RZ239" s="302"/>
      <c r="SA239" s="302"/>
      <c r="SB239" s="302"/>
      <c r="SC239" s="302"/>
      <c r="SD239" s="302"/>
      <c r="SE239" s="302"/>
      <c r="SF239" s="302"/>
      <c r="SG239" s="302"/>
      <c r="SH239" s="302"/>
      <c r="SI239" s="302"/>
      <c r="SJ239" s="302"/>
      <c r="SK239" s="302"/>
      <c r="SL239" s="302"/>
      <c r="SM239" s="302"/>
      <c r="SN239" s="302"/>
      <c r="SO239" s="302"/>
      <c r="SP239" s="302"/>
      <c r="SQ239" s="302"/>
      <c r="SR239" s="302"/>
      <c r="SS239" s="302"/>
      <c r="ST239" s="302"/>
      <c r="SU239" s="302"/>
      <c r="SV239" s="302"/>
      <c r="SW239" s="302"/>
      <c r="SX239" s="302"/>
      <c r="SY239" s="302"/>
      <c r="SZ239" s="302"/>
      <c r="TA239" s="302"/>
      <c r="TB239" s="302"/>
      <c r="TC239" s="302"/>
      <c r="TD239" s="302"/>
      <c r="TE239" s="302"/>
      <c r="TF239" s="302"/>
      <c r="TG239" s="302"/>
      <c r="TH239" s="302"/>
      <c r="TI239" s="302"/>
      <c r="TJ239" s="302"/>
      <c r="TK239" s="302"/>
      <c r="TL239" s="302"/>
      <c r="TM239" s="302"/>
      <c r="TN239" s="302"/>
      <c r="TO239" s="302"/>
      <c r="TP239" s="302"/>
      <c r="TQ239" s="302"/>
      <c r="TR239" s="302"/>
      <c r="TS239" s="302"/>
      <c r="TT239" s="302"/>
      <c r="TU239" s="302"/>
      <c r="TV239" s="302"/>
      <c r="TW239" s="302"/>
      <c r="TX239" s="302"/>
      <c r="TY239" s="302"/>
      <c r="TZ239" s="302"/>
      <c r="UA239" s="302"/>
      <c r="UB239" s="302"/>
      <c r="UC239" s="302"/>
      <c r="UD239" s="302"/>
      <c r="UE239" s="302"/>
      <c r="UF239" s="302"/>
      <c r="UG239" s="302"/>
      <c r="UH239" s="302"/>
      <c r="UI239" s="302"/>
      <c r="UJ239" s="302"/>
      <c r="UK239" s="302"/>
      <c r="UL239" s="302"/>
      <c r="UM239" s="302"/>
      <c r="UN239" s="302"/>
      <c r="UO239" s="302"/>
      <c r="UP239" s="302"/>
      <c r="UQ239" s="302"/>
      <c r="UR239" s="302"/>
      <c r="US239" s="302"/>
      <c r="UT239" s="302"/>
      <c r="UU239" s="302"/>
      <c r="UV239" s="302"/>
      <c r="UW239" s="302"/>
      <c r="UX239" s="302"/>
      <c r="UY239" s="302"/>
      <c r="UZ239" s="302"/>
      <c r="VA239" s="302"/>
      <c r="VB239" s="302"/>
      <c r="VC239" s="302"/>
      <c r="VD239" s="302"/>
      <c r="VE239" s="302"/>
      <c r="VF239" s="302"/>
      <c r="VG239" s="302"/>
      <c r="VH239" s="302"/>
      <c r="VI239" s="302"/>
      <c r="VJ239" s="302"/>
      <c r="VK239" s="302"/>
      <c r="VL239" s="302"/>
      <c r="VM239" s="302"/>
      <c r="VN239" s="302"/>
      <c r="VO239" s="302"/>
      <c r="VP239" s="302"/>
      <c r="VQ239" s="302"/>
      <c r="VR239" s="302"/>
      <c r="VS239" s="302"/>
      <c r="VT239" s="302"/>
      <c r="VU239" s="302"/>
      <c r="VV239" s="302"/>
      <c r="VW239" s="302"/>
      <c r="VX239" s="302"/>
      <c r="VY239" s="302"/>
      <c r="VZ239" s="302"/>
      <c r="WA239" s="302"/>
      <c r="WB239" s="302"/>
      <c r="WC239" s="302"/>
      <c r="WD239" s="302"/>
      <c r="WE239" s="302"/>
      <c r="WF239" s="302"/>
      <c r="WG239" s="302"/>
      <c r="WH239" s="302"/>
      <c r="WI239" s="302"/>
      <c r="WJ239" s="302"/>
      <c r="WK239" s="302"/>
      <c r="WL239" s="302"/>
      <c r="WM239" s="302"/>
      <c r="WN239" s="302"/>
      <c r="WO239" s="302"/>
      <c r="WP239" s="302"/>
      <c r="WQ239" s="302"/>
      <c r="WR239" s="302"/>
      <c r="WS239" s="302"/>
      <c r="WT239" s="302"/>
      <c r="WU239" s="302"/>
      <c r="WV239" s="302"/>
      <c r="WW239" s="302"/>
      <c r="WX239" s="302"/>
      <c r="WY239" s="302"/>
      <c r="WZ239" s="302"/>
      <c r="XA239" s="302"/>
      <c r="XB239" s="302"/>
      <c r="XC239" s="302"/>
      <c r="XD239" s="302"/>
      <c r="XE239" s="302"/>
      <c r="XF239" s="302"/>
      <c r="XG239" s="302"/>
      <c r="XH239" s="302"/>
      <c r="XI239" s="302"/>
      <c r="XJ239" s="302"/>
      <c r="XK239" s="302"/>
      <c r="XL239" s="302"/>
      <c r="XM239" s="302"/>
      <c r="XN239" s="302"/>
      <c r="XO239" s="302"/>
      <c r="XP239" s="302"/>
      <c r="XQ239" s="302"/>
      <c r="XR239" s="302"/>
      <c r="XS239" s="302"/>
      <c r="XT239" s="302"/>
      <c r="XU239" s="302"/>
      <c r="XV239" s="302"/>
      <c r="XW239" s="302"/>
      <c r="XX239" s="302"/>
      <c r="XY239" s="302"/>
      <c r="XZ239" s="302"/>
      <c r="YA239" s="302"/>
      <c r="YB239" s="302"/>
      <c r="YC239" s="302"/>
      <c r="YD239" s="302"/>
      <c r="YE239" s="302"/>
      <c r="YF239" s="302"/>
      <c r="YG239" s="302"/>
      <c r="YH239" s="302"/>
      <c r="YI239" s="302"/>
      <c r="YJ239" s="302"/>
      <c r="YK239" s="302"/>
      <c r="YL239" s="302"/>
      <c r="YM239" s="302"/>
      <c r="YN239" s="302"/>
      <c r="YO239" s="302"/>
      <c r="YP239" s="302"/>
      <c r="YQ239" s="302"/>
      <c r="YR239" s="302"/>
      <c r="YS239" s="302"/>
      <c r="YT239" s="302"/>
      <c r="YU239" s="302"/>
      <c r="YV239" s="302"/>
      <c r="YW239" s="302"/>
      <c r="YX239" s="302"/>
      <c r="YY239" s="302"/>
      <c r="YZ239" s="302"/>
      <c r="ZA239" s="302"/>
      <c r="ZB239" s="302"/>
      <c r="ZC239" s="302"/>
      <c r="ZD239" s="302"/>
      <c r="ZE239" s="302"/>
      <c r="ZF239" s="302"/>
      <c r="ZG239" s="302"/>
      <c r="ZH239" s="302"/>
      <c r="ZI239" s="302"/>
      <c r="ZJ239" s="302"/>
      <c r="ZK239" s="302"/>
      <c r="ZL239" s="302"/>
      <c r="ZM239" s="302"/>
      <c r="ZN239" s="302"/>
      <c r="ZO239" s="302"/>
      <c r="ZP239" s="302"/>
      <c r="ZQ239" s="302"/>
      <c r="ZR239" s="302"/>
      <c r="ZS239" s="302"/>
      <c r="ZT239" s="302"/>
      <c r="ZU239" s="302"/>
      <c r="ZV239" s="302"/>
      <c r="ZW239" s="302"/>
      <c r="ZX239" s="302"/>
      <c r="ZY239" s="302"/>
      <c r="ZZ239" s="302"/>
      <c r="AAA239" s="302"/>
      <c r="AAB239" s="302"/>
      <c r="AAC239" s="302"/>
      <c r="AAD239" s="302"/>
      <c r="AAE239" s="302"/>
      <c r="AAF239" s="302"/>
      <c r="AAG239" s="302"/>
      <c r="AAH239" s="302"/>
      <c r="AAI239" s="302"/>
      <c r="AAJ239" s="302"/>
      <c r="AAK239" s="302"/>
      <c r="AAL239" s="302"/>
      <c r="AAM239" s="302"/>
      <c r="AAN239" s="302"/>
      <c r="AAO239" s="302"/>
      <c r="AAP239" s="302"/>
      <c r="AAQ239" s="302"/>
      <c r="AAR239" s="302"/>
      <c r="AAS239" s="302"/>
      <c r="AAT239" s="302"/>
      <c r="AAU239" s="302"/>
      <c r="AAV239" s="302"/>
      <c r="AAW239" s="302"/>
      <c r="AAX239" s="302"/>
      <c r="AAY239" s="302"/>
      <c r="AAZ239" s="302"/>
      <c r="ABA239" s="302"/>
      <c r="ABB239" s="302"/>
      <c r="ABC239" s="302"/>
      <c r="ABD239" s="302"/>
      <c r="ABE239" s="302"/>
      <c r="ABF239" s="302"/>
      <c r="ABG239" s="302"/>
      <c r="ABH239" s="302"/>
      <c r="ABI239" s="302"/>
      <c r="ABJ239" s="302"/>
      <c r="ABK239" s="302"/>
      <c r="ABL239" s="302"/>
      <c r="ABM239" s="302"/>
      <c r="ABN239" s="302"/>
      <c r="ABO239" s="302"/>
      <c r="ABP239" s="302"/>
      <c r="ABQ239" s="302"/>
      <c r="ABR239" s="302"/>
      <c r="ABS239" s="302"/>
      <c r="ABT239" s="302"/>
      <c r="ABU239" s="302"/>
      <c r="ABV239" s="302"/>
      <c r="ABW239" s="302"/>
      <c r="ABX239" s="302"/>
      <c r="ABY239" s="302"/>
      <c r="ABZ239" s="302"/>
      <c r="ACA239" s="302"/>
      <c r="ACB239" s="302"/>
      <c r="ACC239" s="302"/>
      <c r="ACD239" s="302"/>
      <c r="ACE239" s="302"/>
      <c r="ACF239" s="302"/>
      <c r="ACG239" s="302"/>
      <c r="ACH239" s="302"/>
      <c r="ACI239" s="302"/>
      <c r="ACJ239" s="302"/>
      <c r="ACK239" s="302"/>
      <c r="ACL239" s="302"/>
      <c r="ACM239" s="302"/>
      <c r="ACN239" s="302"/>
      <c r="ACO239" s="302"/>
      <c r="ACP239" s="302"/>
      <c r="ACQ239" s="302"/>
      <c r="ACR239" s="302"/>
      <c r="ACS239" s="302"/>
      <c r="ACT239" s="302"/>
      <c r="ACU239" s="302"/>
      <c r="ACV239" s="302"/>
      <c r="ACW239" s="302"/>
      <c r="ACX239" s="302"/>
      <c r="ACY239" s="302"/>
      <c r="ACZ239" s="302"/>
      <c r="ADA239" s="302"/>
      <c r="ADB239" s="302"/>
      <c r="ADC239" s="302"/>
      <c r="ADD239" s="302"/>
      <c r="ADE239" s="302"/>
      <c r="ADF239" s="302"/>
      <c r="ADG239" s="302"/>
      <c r="ADH239" s="302"/>
      <c r="ADI239" s="302"/>
      <c r="ADJ239" s="302"/>
      <c r="ADK239" s="302"/>
      <c r="ADL239" s="302"/>
      <c r="ADM239" s="302"/>
      <c r="ADN239" s="302"/>
      <c r="ADO239" s="302"/>
      <c r="ADP239" s="302"/>
      <c r="ADQ239" s="302"/>
      <c r="ADR239" s="302"/>
      <c r="ADS239" s="302"/>
      <c r="ADT239" s="302"/>
      <c r="ADU239" s="302"/>
      <c r="ADV239" s="302"/>
      <c r="ADW239" s="302"/>
      <c r="ADX239" s="302"/>
      <c r="ADY239" s="302"/>
      <c r="ADZ239" s="302"/>
      <c r="AEA239" s="302"/>
      <c r="AEB239" s="302"/>
      <c r="AEC239" s="302"/>
      <c r="AED239" s="302"/>
      <c r="AEE239" s="302"/>
      <c r="AEF239" s="302"/>
      <c r="AEG239" s="302"/>
      <c r="AEH239" s="302"/>
      <c r="AEI239" s="302"/>
      <c r="AEJ239" s="302"/>
      <c r="AEK239" s="302"/>
      <c r="AEL239" s="302"/>
      <c r="AEM239" s="302"/>
      <c r="AEN239" s="302"/>
      <c r="AEO239" s="302"/>
      <c r="AEP239" s="302"/>
      <c r="AEQ239" s="302"/>
      <c r="AER239" s="302"/>
      <c r="AES239" s="302"/>
      <c r="AET239" s="302"/>
      <c r="AEU239" s="302"/>
      <c r="AEV239" s="302"/>
      <c r="AEW239" s="302"/>
      <c r="AEX239" s="302"/>
      <c r="AEY239" s="302"/>
      <c r="AEZ239" s="302"/>
      <c r="AFA239" s="302"/>
      <c r="AFB239" s="302"/>
      <c r="AFC239" s="302"/>
      <c r="AFD239" s="302"/>
      <c r="AFE239" s="302"/>
      <c r="AFF239" s="302"/>
      <c r="AFG239" s="302"/>
      <c r="AFH239" s="302"/>
      <c r="AFI239" s="302"/>
      <c r="AFJ239" s="302"/>
      <c r="AFK239" s="302"/>
      <c r="AFL239" s="302"/>
      <c r="AFM239" s="302"/>
      <c r="AFN239" s="302"/>
      <c r="AFO239" s="302"/>
      <c r="AFP239" s="302"/>
      <c r="AFQ239" s="302"/>
      <c r="AFR239" s="302"/>
      <c r="AFS239" s="302"/>
      <c r="AFT239" s="302"/>
      <c r="AFU239" s="302"/>
      <c r="AFV239" s="302"/>
      <c r="AFW239" s="302"/>
      <c r="AFX239" s="302"/>
      <c r="AFY239" s="302"/>
      <c r="AFZ239" s="302"/>
      <c r="AGA239" s="302"/>
      <c r="AGB239" s="302"/>
      <c r="AGC239" s="302"/>
      <c r="AGD239" s="302"/>
      <c r="AGE239" s="302"/>
      <c r="AGF239" s="302"/>
      <c r="AGG239" s="302"/>
      <c r="AGH239" s="302"/>
      <c r="AGI239" s="302"/>
      <c r="AGJ239" s="302"/>
      <c r="AGK239" s="302"/>
      <c r="AGL239" s="302"/>
      <c r="AGM239" s="302"/>
      <c r="AGN239" s="302"/>
      <c r="AGO239" s="302"/>
      <c r="AGP239" s="302"/>
      <c r="AGQ239" s="302"/>
      <c r="AGR239" s="302"/>
      <c r="AGS239" s="302"/>
      <c r="AGT239" s="302"/>
      <c r="AGU239" s="302"/>
      <c r="AGV239" s="302"/>
      <c r="AGW239" s="302"/>
      <c r="AGX239" s="302"/>
      <c r="AGY239" s="302"/>
      <c r="AGZ239" s="302"/>
      <c r="AHA239" s="302"/>
      <c r="AHB239" s="302"/>
      <c r="AHC239" s="302"/>
      <c r="AHD239" s="302"/>
      <c r="AHE239" s="302"/>
      <c r="AHF239" s="302"/>
      <c r="AHG239" s="302"/>
      <c r="AHH239" s="302"/>
      <c r="AHI239" s="302"/>
      <c r="AHJ239" s="302"/>
      <c r="AHK239" s="302"/>
      <c r="AHL239" s="302"/>
      <c r="AHM239" s="302"/>
      <c r="AHN239" s="302"/>
      <c r="AHO239" s="302"/>
      <c r="AHP239" s="302"/>
      <c r="AHQ239" s="302"/>
      <c r="AHR239" s="302"/>
      <c r="AHS239" s="302"/>
      <c r="AHT239" s="302"/>
      <c r="AHU239" s="302"/>
      <c r="AHV239" s="302"/>
      <c r="AHW239" s="302"/>
      <c r="AHX239" s="302"/>
      <c r="AHY239" s="302"/>
      <c r="AHZ239" s="302"/>
      <c r="AIA239" s="302"/>
      <c r="AIB239" s="302"/>
      <c r="AIC239" s="302"/>
      <c r="AID239" s="302"/>
      <c r="AIE239" s="302"/>
      <c r="AIF239" s="302"/>
      <c r="AIG239" s="302"/>
      <c r="AIH239" s="302"/>
      <c r="AII239" s="302"/>
      <c r="AIJ239" s="302"/>
      <c r="AIK239" s="302"/>
      <c r="AIL239" s="302"/>
      <c r="AIM239" s="302"/>
      <c r="AIN239" s="302"/>
      <c r="AIO239" s="302"/>
      <c r="AIP239" s="302"/>
      <c r="AIQ239" s="302"/>
      <c r="AIR239" s="302"/>
      <c r="AIS239" s="302"/>
      <c r="AIT239" s="302"/>
      <c r="AIU239" s="302"/>
      <c r="AIV239" s="302"/>
      <c r="AIW239" s="302"/>
      <c r="AIX239" s="302"/>
      <c r="AIY239" s="302"/>
      <c r="AIZ239" s="302"/>
      <c r="AJA239" s="302"/>
      <c r="AJB239" s="302"/>
      <c r="AJC239" s="302"/>
      <c r="AJD239" s="302"/>
      <c r="AJE239" s="302"/>
      <c r="AJF239" s="302"/>
      <c r="AJG239" s="302"/>
      <c r="AJH239" s="302"/>
      <c r="AJI239" s="302"/>
      <c r="AJJ239" s="302"/>
      <c r="AJK239" s="302"/>
      <c r="AJL239" s="302"/>
      <c r="AJM239" s="302"/>
      <c r="AJN239" s="302"/>
      <c r="AJO239" s="302"/>
      <c r="AJP239" s="302"/>
      <c r="AJQ239" s="302"/>
      <c r="AJR239" s="302"/>
      <c r="AJS239" s="302"/>
      <c r="AJT239" s="302"/>
      <c r="AJU239" s="302"/>
      <c r="AJV239" s="302"/>
      <c r="AJW239" s="302"/>
      <c r="AJX239" s="302"/>
      <c r="AJY239" s="302"/>
      <c r="AJZ239" s="302"/>
      <c r="AKA239" s="302"/>
      <c r="AKB239" s="302"/>
      <c r="AKC239" s="302"/>
      <c r="AKD239" s="302"/>
      <c r="AKE239" s="302"/>
      <c r="AKF239" s="302"/>
      <c r="AKG239" s="302"/>
      <c r="AKH239" s="302"/>
      <c r="AKI239" s="302"/>
      <c r="AKJ239" s="302"/>
      <c r="AKK239" s="302"/>
      <c r="AKL239" s="302"/>
      <c r="AKM239" s="302"/>
      <c r="AKN239" s="302"/>
      <c r="AKO239" s="302"/>
      <c r="AKP239" s="302"/>
      <c r="AKQ239" s="302"/>
      <c r="AKR239" s="302"/>
      <c r="AKS239" s="302"/>
      <c r="AKT239" s="302"/>
      <c r="AKU239" s="302"/>
      <c r="AKV239" s="302"/>
      <c r="AKW239" s="302"/>
      <c r="AKX239" s="302"/>
      <c r="AKY239" s="302"/>
      <c r="AKZ239" s="302"/>
      <c r="ALA239" s="302"/>
      <c r="ALB239" s="302"/>
      <c r="ALC239" s="302"/>
      <c r="ALD239" s="302"/>
      <c r="ALE239" s="302"/>
      <c r="ALF239" s="302"/>
      <c r="ALG239" s="302"/>
      <c r="ALH239" s="302"/>
      <c r="ALI239" s="302"/>
      <c r="ALJ239" s="302"/>
      <c r="ALK239" s="302"/>
      <c r="ALL239" s="302"/>
      <c r="ALM239" s="302"/>
      <c r="ALN239" s="302"/>
      <c r="ALO239" s="302"/>
      <c r="ALP239" s="302"/>
      <c r="ALQ239" s="302"/>
      <c r="ALR239" s="302"/>
      <c r="ALS239" s="302"/>
      <c r="ALT239" s="302"/>
      <c r="ALU239" s="302"/>
      <c r="ALV239" s="302"/>
      <c r="ALW239" s="302"/>
      <c r="ALX239" s="302"/>
      <c r="ALY239" s="302"/>
      <c r="ALZ239" s="302"/>
      <c r="AMA239" s="302"/>
      <c r="AMB239" s="302"/>
      <c r="AMC239" s="302"/>
      <c r="AMD239" s="302"/>
      <c r="AME239" s="302"/>
      <c r="AMF239" s="302"/>
      <c r="AMG239" s="302"/>
      <c r="AMH239" s="302"/>
      <c r="AMI239" s="302"/>
    </row>
    <row r="240" spans="1:1023" hidden="1">
      <c r="A240" s="302"/>
      <c r="B240" s="470">
        <v>13975</v>
      </c>
      <c r="C240" s="477">
        <v>0.08</v>
      </c>
      <c r="D240" s="472" t="s">
        <v>130</v>
      </c>
      <c r="E240" s="583">
        <v>2600000</v>
      </c>
      <c r="F240" s="500">
        <v>0.01</v>
      </c>
      <c r="G240" s="369">
        <f t="shared" si="13"/>
        <v>26000</v>
      </c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02"/>
      <c r="AG240" s="302"/>
      <c r="AH240" s="302"/>
      <c r="AI240" s="302"/>
      <c r="AJ240" s="302"/>
      <c r="AK240" s="302"/>
      <c r="AL240" s="302"/>
      <c r="AM240" s="302"/>
      <c r="AN240" s="302"/>
      <c r="AO240" s="302"/>
      <c r="AP240" s="302"/>
      <c r="AQ240" s="302"/>
      <c r="AR240" s="302"/>
      <c r="AS240" s="302"/>
      <c r="AT240" s="302"/>
      <c r="AU240" s="302"/>
      <c r="AV240" s="302"/>
      <c r="AW240" s="302"/>
      <c r="AX240" s="302"/>
      <c r="AY240" s="302"/>
      <c r="AZ240" s="302"/>
      <c r="BA240" s="302"/>
      <c r="BB240" s="302"/>
      <c r="BC240" s="302"/>
      <c r="BD240" s="302"/>
      <c r="BE240" s="302"/>
      <c r="BF240" s="302"/>
      <c r="BG240" s="302"/>
      <c r="BH240" s="302"/>
      <c r="BI240" s="302"/>
      <c r="BJ240" s="302"/>
      <c r="BK240" s="302"/>
      <c r="BL240" s="302"/>
      <c r="BM240" s="302"/>
      <c r="BN240" s="302"/>
      <c r="BO240" s="302"/>
      <c r="BP240" s="302"/>
      <c r="BQ240" s="302"/>
      <c r="BR240" s="302"/>
      <c r="BS240" s="302"/>
      <c r="BT240" s="302"/>
      <c r="BU240" s="302"/>
      <c r="BV240" s="302"/>
      <c r="BW240" s="302"/>
      <c r="BX240" s="302"/>
      <c r="BY240" s="302"/>
      <c r="BZ240" s="302"/>
      <c r="CA240" s="302"/>
      <c r="CB240" s="302"/>
      <c r="CC240" s="302"/>
      <c r="CD240" s="302"/>
      <c r="CE240" s="302"/>
      <c r="CF240" s="302"/>
      <c r="CG240" s="302"/>
      <c r="CH240" s="302"/>
      <c r="CI240" s="302"/>
      <c r="CJ240" s="302"/>
      <c r="CK240" s="302"/>
      <c r="CL240" s="302"/>
      <c r="CM240" s="302"/>
      <c r="CN240" s="302"/>
      <c r="CO240" s="302"/>
      <c r="CP240" s="302"/>
      <c r="CQ240" s="302"/>
      <c r="CR240" s="302"/>
      <c r="CS240" s="302"/>
      <c r="CT240" s="302"/>
      <c r="CU240" s="302"/>
      <c r="CV240" s="302"/>
      <c r="CW240" s="302"/>
      <c r="CX240" s="302"/>
      <c r="CY240" s="302"/>
      <c r="CZ240" s="302"/>
      <c r="DA240" s="302"/>
      <c r="DB240" s="302"/>
      <c r="DC240" s="302"/>
      <c r="DD240" s="302"/>
      <c r="DE240" s="302"/>
      <c r="DF240" s="302"/>
      <c r="DG240" s="302"/>
      <c r="DH240" s="302"/>
      <c r="DI240" s="302"/>
      <c r="DJ240" s="302"/>
      <c r="DK240" s="302"/>
      <c r="DL240" s="302"/>
      <c r="DM240" s="302"/>
      <c r="DN240" s="302"/>
      <c r="DO240" s="302"/>
      <c r="DP240" s="302"/>
      <c r="DQ240" s="302"/>
      <c r="DR240" s="302"/>
      <c r="DS240" s="302"/>
      <c r="DT240" s="302"/>
      <c r="DU240" s="302"/>
      <c r="DV240" s="302"/>
      <c r="DW240" s="302"/>
      <c r="DX240" s="302"/>
      <c r="DY240" s="302"/>
      <c r="DZ240" s="302"/>
      <c r="EA240" s="302"/>
      <c r="EB240" s="302"/>
      <c r="EC240" s="302"/>
      <c r="ED240" s="302"/>
      <c r="EE240" s="302"/>
      <c r="EF240" s="302"/>
      <c r="EG240" s="302"/>
      <c r="EH240" s="302"/>
      <c r="EI240" s="302"/>
      <c r="EJ240" s="302"/>
      <c r="EK240" s="302"/>
      <c r="EL240" s="302"/>
      <c r="EM240" s="302"/>
      <c r="EN240" s="302"/>
      <c r="EO240" s="302"/>
      <c r="EP240" s="302"/>
      <c r="EQ240" s="302"/>
      <c r="ER240" s="302"/>
      <c r="ES240" s="302"/>
      <c r="ET240" s="302"/>
      <c r="EU240" s="302"/>
      <c r="EV240" s="302"/>
      <c r="EW240" s="302"/>
      <c r="EX240" s="302"/>
      <c r="EY240" s="302"/>
      <c r="EZ240" s="302"/>
      <c r="FA240" s="302"/>
      <c r="FB240" s="302"/>
      <c r="FC240" s="302"/>
      <c r="FD240" s="302"/>
      <c r="FE240" s="302"/>
      <c r="FF240" s="302"/>
      <c r="FG240" s="302"/>
      <c r="FH240" s="302"/>
      <c r="FI240" s="302"/>
      <c r="FJ240" s="302"/>
      <c r="FK240" s="302"/>
      <c r="FL240" s="302"/>
      <c r="FM240" s="302"/>
      <c r="FN240" s="302"/>
      <c r="FO240" s="302"/>
      <c r="FP240" s="302"/>
      <c r="FQ240" s="302"/>
      <c r="FR240" s="302"/>
      <c r="FS240" s="302"/>
      <c r="FT240" s="302"/>
      <c r="FU240" s="302"/>
      <c r="FV240" s="302"/>
      <c r="FW240" s="302"/>
      <c r="FX240" s="302"/>
      <c r="FY240" s="302"/>
      <c r="FZ240" s="302"/>
      <c r="GA240" s="302"/>
      <c r="GB240" s="302"/>
      <c r="GC240" s="302"/>
      <c r="GD240" s="302"/>
      <c r="GE240" s="302"/>
      <c r="GF240" s="302"/>
      <c r="GG240" s="302"/>
      <c r="GH240" s="302"/>
      <c r="GI240" s="302"/>
      <c r="GJ240" s="302"/>
      <c r="GK240" s="302"/>
      <c r="GL240" s="302"/>
      <c r="GM240" s="302"/>
      <c r="GN240" s="302"/>
      <c r="GO240" s="302"/>
      <c r="GP240" s="302"/>
      <c r="GQ240" s="302"/>
      <c r="GR240" s="302"/>
      <c r="GS240" s="302"/>
      <c r="GT240" s="302"/>
      <c r="GU240" s="302"/>
      <c r="GV240" s="302"/>
      <c r="GW240" s="302"/>
      <c r="GX240" s="302"/>
      <c r="GY240" s="302"/>
      <c r="GZ240" s="302"/>
      <c r="HA240" s="302"/>
      <c r="HB240" s="302"/>
      <c r="HC240" s="302"/>
      <c r="HD240" s="302"/>
      <c r="HE240" s="302"/>
      <c r="HF240" s="302"/>
      <c r="HG240" s="302"/>
      <c r="HH240" s="302"/>
      <c r="HI240" s="302"/>
      <c r="HJ240" s="302"/>
      <c r="HK240" s="302"/>
      <c r="HL240" s="302"/>
      <c r="HM240" s="302"/>
      <c r="HN240" s="302"/>
      <c r="HO240" s="302"/>
      <c r="HP240" s="302"/>
      <c r="HQ240" s="302"/>
      <c r="HR240" s="302"/>
      <c r="HS240" s="302"/>
      <c r="HT240" s="302"/>
      <c r="HU240" s="302"/>
      <c r="HV240" s="302"/>
      <c r="HW240" s="302"/>
      <c r="HX240" s="302"/>
      <c r="HY240" s="302"/>
      <c r="HZ240" s="302"/>
      <c r="IA240" s="302"/>
      <c r="IB240" s="302"/>
      <c r="IC240" s="302"/>
      <c r="ID240" s="302"/>
      <c r="IE240" s="302"/>
      <c r="IF240" s="302"/>
      <c r="IG240" s="302"/>
      <c r="IH240" s="302"/>
      <c r="II240" s="302"/>
      <c r="IJ240" s="302"/>
      <c r="IK240" s="302"/>
      <c r="IL240" s="302"/>
      <c r="IM240" s="302"/>
      <c r="IN240" s="302"/>
      <c r="IO240" s="302"/>
      <c r="IP240" s="302"/>
      <c r="IQ240" s="302"/>
      <c r="IR240" s="302"/>
      <c r="IS240" s="302"/>
      <c r="IT240" s="302"/>
      <c r="IU240" s="302"/>
      <c r="IV240" s="302"/>
      <c r="IW240" s="302"/>
      <c r="IX240" s="302"/>
      <c r="IY240" s="302"/>
      <c r="IZ240" s="302"/>
      <c r="JA240" s="302"/>
      <c r="JB240" s="302"/>
      <c r="JC240" s="302"/>
      <c r="JD240" s="302"/>
      <c r="JE240" s="302"/>
      <c r="JF240" s="302"/>
      <c r="JG240" s="302"/>
      <c r="JH240" s="302"/>
      <c r="JI240" s="302"/>
      <c r="JJ240" s="302"/>
      <c r="JK240" s="302"/>
      <c r="JL240" s="302"/>
      <c r="JM240" s="302"/>
      <c r="JN240" s="302"/>
      <c r="JO240" s="302"/>
      <c r="JP240" s="302"/>
      <c r="JQ240" s="302"/>
      <c r="JR240" s="302"/>
      <c r="JS240" s="302"/>
      <c r="JT240" s="302"/>
      <c r="JU240" s="302"/>
      <c r="JV240" s="302"/>
      <c r="JW240" s="302"/>
      <c r="JX240" s="302"/>
      <c r="JY240" s="302"/>
      <c r="JZ240" s="302"/>
      <c r="KA240" s="302"/>
      <c r="KB240" s="302"/>
      <c r="KC240" s="302"/>
      <c r="KD240" s="302"/>
      <c r="KE240" s="302"/>
      <c r="KF240" s="302"/>
      <c r="KG240" s="302"/>
      <c r="KH240" s="302"/>
      <c r="KI240" s="302"/>
      <c r="KJ240" s="302"/>
      <c r="KK240" s="302"/>
      <c r="KL240" s="302"/>
      <c r="KM240" s="302"/>
      <c r="KN240" s="302"/>
      <c r="KO240" s="302"/>
      <c r="KP240" s="302"/>
      <c r="KQ240" s="302"/>
      <c r="KR240" s="302"/>
      <c r="KS240" s="302"/>
      <c r="KT240" s="302"/>
      <c r="KU240" s="302"/>
      <c r="KV240" s="302"/>
      <c r="KW240" s="302"/>
      <c r="KX240" s="302"/>
      <c r="KY240" s="302"/>
      <c r="KZ240" s="302"/>
      <c r="LA240" s="302"/>
      <c r="LB240" s="302"/>
      <c r="LC240" s="302"/>
      <c r="LD240" s="302"/>
      <c r="LE240" s="302"/>
      <c r="LF240" s="302"/>
      <c r="LG240" s="302"/>
      <c r="LH240" s="302"/>
      <c r="LI240" s="302"/>
      <c r="LJ240" s="302"/>
      <c r="LK240" s="302"/>
      <c r="LL240" s="302"/>
      <c r="LM240" s="302"/>
      <c r="LN240" s="302"/>
      <c r="LO240" s="302"/>
      <c r="LP240" s="302"/>
      <c r="LQ240" s="302"/>
      <c r="LR240" s="302"/>
      <c r="LS240" s="302"/>
      <c r="LT240" s="302"/>
      <c r="LU240" s="302"/>
      <c r="LV240" s="302"/>
      <c r="LW240" s="302"/>
      <c r="LX240" s="302"/>
      <c r="LY240" s="302"/>
      <c r="LZ240" s="302"/>
      <c r="MA240" s="302"/>
      <c r="MB240" s="302"/>
      <c r="MC240" s="302"/>
      <c r="MD240" s="302"/>
      <c r="ME240" s="302"/>
      <c r="MF240" s="302"/>
      <c r="MG240" s="302"/>
      <c r="MH240" s="302"/>
      <c r="MI240" s="302"/>
      <c r="MJ240" s="302"/>
      <c r="MK240" s="302"/>
      <c r="ML240" s="302"/>
      <c r="MM240" s="302"/>
      <c r="MN240" s="302"/>
      <c r="MO240" s="302"/>
      <c r="MP240" s="302"/>
      <c r="MQ240" s="302"/>
      <c r="MR240" s="302"/>
      <c r="MS240" s="302"/>
      <c r="MT240" s="302"/>
      <c r="MU240" s="302"/>
      <c r="MV240" s="302"/>
      <c r="MW240" s="302"/>
      <c r="MX240" s="302"/>
      <c r="MY240" s="302"/>
      <c r="MZ240" s="302"/>
      <c r="NA240" s="302"/>
      <c r="NB240" s="302"/>
      <c r="NC240" s="302"/>
      <c r="ND240" s="302"/>
      <c r="NE240" s="302"/>
      <c r="NF240" s="302"/>
      <c r="NG240" s="302"/>
      <c r="NH240" s="302"/>
      <c r="NI240" s="302"/>
      <c r="NJ240" s="302"/>
      <c r="NK240" s="302"/>
      <c r="NL240" s="302"/>
      <c r="NM240" s="302"/>
      <c r="NN240" s="302"/>
      <c r="NO240" s="302"/>
      <c r="NP240" s="302"/>
      <c r="NQ240" s="302"/>
      <c r="NR240" s="302"/>
      <c r="NS240" s="302"/>
      <c r="NT240" s="302"/>
      <c r="NU240" s="302"/>
      <c r="NV240" s="302"/>
      <c r="NW240" s="302"/>
      <c r="NX240" s="302"/>
      <c r="NY240" s="302"/>
      <c r="NZ240" s="302"/>
      <c r="OA240" s="302"/>
      <c r="OB240" s="302"/>
      <c r="OC240" s="302"/>
      <c r="OD240" s="302"/>
      <c r="OE240" s="302"/>
      <c r="OF240" s="302"/>
      <c r="OG240" s="302"/>
      <c r="OH240" s="302"/>
      <c r="OI240" s="302"/>
      <c r="OJ240" s="302"/>
      <c r="OK240" s="302"/>
      <c r="OL240" s="302"/>
      <c r="OM240" s="302"/>
      <c r="ON240" s="302"/>
      <c r="OO240" s="302"/>
      <c r="OP240" s="302"/>
      <c r="OQ240" s="302"/>
      <c r="OR240" s="302"/>
      <c r="OS240" s="302"/>
      <c r="OT240" s="302"/>
      <c r="OU240" s="302"/>
      <c r="OV240" s="302"/>
      <c r="OW240" s="302"/>
      <c r="OX240" s="302"/>
      <c r="OY240" s="302"/>
      <c r="OZ240" s="302"/>
      <c r="PA240" s="302"/>
      <c r="PB240" s="302"/>
      <c r="PC240" s="302"/>
      <c r="PD240" s="302"/>
      <c r="PE240" s="302"/>
      <c r="PF240" s="302"/>
      <c r="PG240" s="302"/>
      <c r="PH240" s="302"/>
      <c r="PI240" s="302"/>
      <c r="PJ240" s="302"/>
      <c r="PK240" s="302"/>
      <c r="PL240" s="302"/>
      <c r="PM240" s="302"/>
      <c r="PN240" s="302"/>
      <c r="PO240" s="302"/>
      <c r="PP240" s="302"/>
      <c r="PQ240" s="302"/>
      <c r="PR240" s="302"/>
      <c r="PS240" s="302"/>
      <c r="PT240" s="302"/>
      <c r="PU240" s="302"/>
      <c r="PV240" s="302"/>
      <c r="PW240" s="302"/>
      <c r="PX240" s="302"/>
      <c r="PY240" s="302"/>
      <c r="PZ240" s="302"/>
      <c r="QA240" s="302"/>
      <c r="QB240" s="302"/>
      <c r="QC240" s="302"/>
      <c r="QD240" s="302"/>
      <c r="QE240" s="302"/>
      <c r="QF240" s="302"/>
      <c r="QG240" s="302"/>
      <c r="QH240" s="302"/>
      <c r="QI240" s="302"/>
      <c r="QJ240" s="302"/>
      <c r="QK240" s="302"/>
      <c r="QL240" s="302"/>
      <c r="QM240" s="302"/>
      <c r="QN240" s="302"/>
      <c r="QO240" s="302"/>
      <c r="QP240" s="302"/>
      <c r="QQ240" s="302"/>
      <c r="QR240" s="302"/>
      <c r="QS240" s="302"/>
      <c r="QT240" s="302"/>
      <c r="QU240" s="302"/>
      <c r="QV240" s="302"/>
      <c r="QW240" s="302"/>
      <c r="QX240" s="302"/>
      <c r="QY240" s="302"/>
      <c r="QZ240" s="302"/>
      <c r="RA240" s="302"/>
      <c r="RB240" s="302"/>
      <c r="RC240" s="302"/>
      <c r="RD240" s="302"/>
      <c r="RE240" s="302"/>
      <c r="RF240" s="302"/>
      <c r="RG240" s="302"/>
      <c r="RH240" s="302"/>
      <c r="RI240" s="302"/>
      <c r="RJ240" s="302"/>
      <c r="RK240" s="302"/>
      <c r="RL240" s="302"/>
      <c r="RM240" s="302"/>
      <c r="RN240" s="302"/>
      <c r="RO240" s="302"/>
      <c r="RP240" s="302"/>
      <c r="RQ240" s="302"/>
      <c r="RR240" s="302"/>
      <c r="RS240" s="302"/>
      <c r="RT240" s="302"/>
      <c r="RU240" s="302"/>
      <c r="RV240" s="302"/>
      <c r="RW240" s="302"/>
      <c r="RX240" s="302"/>
      <c r="RY240" s="302"/>
      <c r="RZ240" s="302"/>
      <c r="SA240" s="302"/>
      <c r="SB240" s="302"/>
      <c r="SC240" s="302"/>
      <c r="SD240" s="302"/>
      <c r="SE240" s="302"/>
      <c r="SF240" s="302"/>
      <c r="SG240" s="302"/>
      <c r="SH240" s="302"/>
      <c r="SI240" s="302"/>
      <c r="SJ240" s="302"/>
      <c r="SK240" s="302"/>
      <c r="SL240" s="302"/>
      <c r="SM240" s="302"/>
      <c r="SN240" s="302"/>
      <c r="SO240" s="302"/>
      <c r="SP240" s="302"/>
      <c r="SQ240" s="302"/>
      <c r="SR240" s="302"/>
      <c r="SS240" s="302"/>
      <c r="ST240" s="302"/>
      <c r="SU240" s="302"/>
      <c r="SV240" s="302"/>
      <c r="SW240" s="302"/>
      <c r="SX240" s="302"/>
      <c r="SY240" s="302"/>
      <c r="SZ240" s="302"/>
      <c r="TA240" s="302"/>
      <c r="TB240" s="302"/>
      <c r="TC240" s="302"/>
      <c r="TD240" s="302"/>
      <c r="TE240" s="302"/>
      <c r="TF240" s="302"/>
      <c r="TG240" s="302"/>
      <c r="TH240" s="302"/>
      <c r="TI240" s="302"/>
      <c r="TJ240" s="302"/>
      <c r="TK240" s="302"/>
      <c r="TL240" s="302"/>
      <c r="TM240" s="302"/>
      <c r="TN240" s="302"/>
      <c r="TO240" s="302"/>
      <c r="TP240" s="302"/>
      <c r="TQ240" s="302"/>
      <c r="TR240" s="302"/>
      <c r="TS240" s="302"/>
      <c r="TT240" s="302"/>
      <c r="TU240" s="302"/>
      <c r="TV240" s="302"/>
      <c r="TW240" s="302"/>
      <c r="TX240" s="302"/>
      <c r="TY240" s="302"/>
      <c r="TZ240" s="302"/>
      <c r="UA240" s="302"/>
      <c r="UB240" s="302"/>
      <c r="UC240" s="302"/>
      <c r="UD240" s="302"/>
      <c r="UE240" s="302"/>
      <c r="UF240" s="302"/>
      <c r="UG240" s="302"/>
      <c r="UH240" s="302"/>
      <c r="UI240" s="302"/>
      <c r="UJ240" s="302"/>
      <c r="UK240" s="302"/>
      <c r="UL240" s="302"/>
      <c r="UM240" s="302"/>
      <c r="UN240" s="302"/>
      <c r="UO240" s="302"/>
      <c r="UP240" s="302"/>
      <c r="UQ240" s="302"/>
      <c r="UR240" s="302"/>
      <c r="US240" s="302"/>
      <c r="UT240" s="302"/>
      <c r="UU240" s="302"/>
      <c r="UV240" s="302"/>
      <c r="UW240" s="302"/>
      <c r="UX240" s="302"/>
      <c r="UY240" s="302"/>
      <c r="UZ240" s="302"/>
      <c r="VA240" s="302"/>
      <c r="VB240" s="302"/>
      <c r="VC240" s="302"/>
      <c r="VD240" s="302"/>
      <c r="VE240" s="302"/>
      <c r="VF240" s="302"/>
      <c r="VG240" s="302"/>
      <c r="VH240" s="302"/>
      <c r="VI240" s="302"/>
      <c r="VJ240" s="302"/>
      <c r="VK240" s="302"/>
      <c r="VL240" s="302"/>
      <c r="VM240" s="302"/>
      <c r="VN240" s="302"/>
      <c r="VO240" s="302"/>
      <c r="VP240" s="302"/>
      <c r="VQ240" s="302"/>
      <c r="VR240" s="302"/>
      <c r="VS240" s="302"/>
      <c r="VT240" s="302"/>
      <c r="VU240" s="302"/>
      <c r="VV240" s="302"/>
      <c r="VW240" s="302"/>
      <c r="VX240" s="302"/>
      <c r="VY240" s="302"/>
      <c r="VZ240" s="302"/>
      <c r="WA240" s="302"/>
      <c r="WB240" s="302"/>
      <c r="WC240" s="302"/>
      <c r="WD240" s="302"/>
      <c r="WE240" s="302"/>
      <c r="WF240" s="302"/>
      <c r="WG240" s="302"/>
      <c r="WH240" s="302"/>
      <c r="WI240" s="302"/>
      <c r="WJ240" s="302"/>
      <c r="WK240" s="302"/>
      <c r="WL240" s="302"/>
      <c r="WM240" s="302"/>
      <c r="WN240" s="302"/>
      <c r="WO240" s="302"/>
      <c r="WP240" s="302"/>
      <c r="WQ240" s="302"/>
      <c r="WR240" s="302"/>
      <c r="WS240" s="302"/>
      <c r="WT240" s="302"/>
      <c r="WU240" s="302"/>
      <c r="WV240" s="302"/>
      <c r="WW240" s="302"/>
      <c r="WX240" s="302"/>
      <c r="WY240" s="302"/>
      <c r="WZ240" s="302"/>
      <c r="XA240" s="302"/>
      <c r="XB240" s="302"/>
      <c r="XC240" s="302"/>
      <c r="XD240" s="302"/>
      <c r="XE240" s="302"/>
      <c r="XF240" s="302"/>
      <c r="XG240" s="302"/>
      <c r="XH240" s="302"/>
      <c r="XI240" s="302"/>
      <c r="XJ240" s="302"/>
      <c r="XK240" s="302"/>
      <c r="XL240" s="302"/>
      <c r="XM240" s="302"/>
      <c r="XN240" s="302"/>
      <c r="XO240" s="302"/>
      <c r="XP240" s="302"/>
      <c r="XQ240" s="302"/>
      <c r="XR240" s="302"/>
      <c r="XS240" s="302"/>
      <c r="XT240" s="302"/>
      <c r="XU240" s="302"/>
      <c r="XV240" s="302"/>
      <c r="XW240" s="302"/>
      <c r="XX240" s="302"/>
      <c r="XY240" s="302"/>
      <c r="XZ240" s="302"/>
      <c r="YA240" s="302"/>
      <c r="YB240" s="302"/>
      <c r="YC240" s="302"/>
      <c r="YD240" s="302"/>
      <c r="YE240" s="302"/>
      <c r="YF240" s="302"/>
      <c r="YG240" s="302"/>
      <c r="YH240" s="302"/>
      <c r="YI240" s="302"/>
      <c r="YJ240" s="302"/>
      <c r="YK240" s="302"/>
      <c r="YL240" s="302"/>
      <c r="YM240" s="302"/>
      <c r="YN240" s="302"/>
      <c r="YO240" s="302"/>
      <c r="YP240" s="302"/>
      <c r="YQ240" s="302"/>
      <c r="YR240" s="302"/>
      <c r="YS240" s="302"/>
      <c r="YT240" s="302"/>
      <c r="YU240" s="302"/>
      <c r="YV240" s="302"/>
      <c r="YW240" s="302"/>
      <c r="YX240" s="302"/>
      <c r="YY240" s="302"/>
      <c r="YZ240" s="302"/>
      <c r="ZA240" s="302"/>
      <c r="ZB240" s="302"/>
      <c r="ZC240" s="302"/>
      <c r="ZD240" s="302"/>
      <c r="ZE240" s="302"/>
      <c r="ZF240" s="302"/>
      <c r="ZG240" s="302"/>
      <c r="ZH240" s="302"/>
      <c r="ZI240" s="302"/>
      <c r="ZJ240" s="302"/>
      <c r="ZK240" s="302"/>
      <c r="ZL240" s="302"/>
      <c r="ZM240" s="302"/>
      <c r="ZN240" s="302"/>
      <c r="ZO240" s="302"/>
      <c r="ZP240" s="302"/>
      <c r="ZQ240" s="302"/>
      <c r="ZR240" s="302"/>
      <c r="ZS240" s="302"/>
      <c r="ZT240" s="302"/>
      <c r="ZU240" s="302"/>
      <c r="ZV240" s="302"/>
      <c r="ZW240" s="302"/>
      <c r="ZX240" s="302"/>
      <c r="ZY240" s="302"/>
      <c r="ZZ240" s="302"/>
      <c r="AAA240" s="302"/>
      <c r="AAB240" s="302"/>
      <c r="AAC240" s="302"/>
      <c r="AAD240" s="302"/>
      <c r="AAE240" s="302"/>
      <c r="AAF240" s="302"/>
      <c r="AAG240" s="302"/>
      <c r="AAH240" s="302"/>
      <c r="AAI240" s="302"/>
      <c r="AAJ240" s="302"/>
      <c r="AAK240" s="302"/>
      <c r="AAL240" s="302"/>
      <c r="AAM240" s="302"/>
      <c r="AAN240" s="302"/>
      <c r="AAO240" s="302"/>
      <c r="AAP240" s="302"/>
      <c r="AAQ240" s="302"/>
      <c r="AAR240" s="302"/>
      <c r="AAS240" s="302"/>
      <c r="AAT240" s="302"/>
      <c r="AAU240" s="302"/>
      <c r="AAV240" s="302"/>
      <c r="AAW240" s="302"/>
      <c r="AAX240" s="302"/>
      <c r="AAY240" s="302"/>
      <c r="AAZ240" s="302"/>
      <c r="ABA240" s="302"/>
      <c r="ABB240" s="302"/>
      <c r="ABC240" s="302"/>
      <c r="ABD240" s="302"/>
      <c r="ABE240" s="302"/>
      <c r="ABF240" s="302"/>
      <c r="ABG240" s="302"/>
      <c r="ABH240" s="302"/>
      <c r="ABI240" s="302"/>
      <c r="ABJ240" s="302"/>
      <c r="ABK240" s="302"/>
      <c r="ABL240" s="302"/>
      <c r="ABM240" s="302"/>
      <c r="ABN240" s="302"/>
      <c r="ABO240" s="302"/>
      <c r="ABP240" s="302"/>
      <c r="ABQ240" s="302"/>
      <c r="ABR240" s="302"/>
      <c r="ABS240" s="302"/>
      <c r="ABT240" s="302"/>
      <c r="ABU240" s="302"/>
      <c r="ABV240" s="302"/>
      <c r="ABW240" s="302"/>
      <c r="ABX240" s="302"/>
      <c r="ABY240" s="302"/>
      <c r="ABZ240" s="302"/>
      <c r="ACA240" s="302"/>
      <c r="ACB240" s="302"/>
      <c r="ACC240" s="302"/>
      <c r="ACD240" s="302"/>
      <c r="ACE240" s="302"/>
      <c r="ACF240" s="302"/>
      <c r="ACG240" s="302"/>
      <c r="ACH240" s="302"/>
      <c r="ACI240" s="302"/>
      <c r="ACJ240" s="302"/>
      <c r="ACK240" s="302"/>
      <c r="ACL240" s="302"/>
      <c r="ACM240" s="302"/>
      <c r="ACN240" s="302"/>
      <c r="ACO240" s="302"/>
      <c r="ACP240" s="302"/>
      <c r="ACQ240" s="302"/>
      <c r="ACR240" s="302"/>
      <c r="ACS240" s="302"/>
      <c r="ACT240" s="302"/>
      <c r="ACU240" s="302"/>
      <c r="ACV240" s="302"/>
      <c r="ACW240" s="302"/>
      <c r="ACX240" s="302"/>
      <c r="ACY240" s="302"/>
      <c r="ACZ240" s="302"/>
      <c r="ADA240" s="302"/>
      <c r="ADB240" s="302"/>
      <c r="ADC240" s="302"/>
      <c r="ADD240" s="302"/>
      <c r="ADE240" s="302"/>
      <c r="ADF240" s="302"/>
      <c r="ADG240" s="302"/>
      <c r="ADH240" s="302"/>
      <c r="ADI240" s="302"/>
      <c r="ADJ240" s="302"/>
      <c r="ADK240" s="302"/>
      <c r="ADL240" s="302"/>
      <c r="ADM240" s="302"/>
      <c r="ADN240" s="302"/>
      <c r="ADO240" s="302"/>
      <c r="ADP240" s="302"/>
      <c r="ADQ240" s="302"/>
      <c r="ADR240" s="302"/>
      <c r="ADS240" s="302"/>
      <c r="ADT240" s="302"/>
      <c r="ADU240" s="302"/>
      <c r="ADV240" s="302"/>
      <c r="ADW240" s="302"/>
      <c r="ADX240" s="302"/>
      <c r="ADY240" s="302"/>
      <c r="ADZ240" s="302"/>
      <c r="AEA240" s="302"/>
      <c r="AEB240" s="302"/>
      <c r="AEC240" s="302"/>
      <c r="AED240" s="302"/>
      <c r="AEE240" s="302"/>
      <c r="AEF240" s="302"/>
      <c r="AEG240" s="302"/>
      <c r="AEH240" s="302"/>
      <c r="AEI240" s="302"/>
      <c r="AEJ240" s="302"/>
      <c r="AEK240" s="302"/>
      <c r="AEL240" s="302"/>
      <c r="AEM240" s="302"/>
      <c r="AEN240" s="302"/>
      <c r="AEO240" s="302"/>
      <c r="AEP240" s="302"/>
      <c r="AEQ240" s="302"/>
      <c r="AER240" s="302"/>
      <c r="AES240" s="302"/>
      <c r="AET240" s="302"/>
      <c r="AEU240" s="302"/>
      <c r="AEV240" s="302"/>
      <c r="AEW240" s="302"/>
      <c r="AEX240" s="302"/>
      <c r="AEY240" s="302"/>
      <c r="AEZ240" s="302"/>
      <c r="AFA240" s="302"/>
      <c r="AFB240" s="302"/>
      <c r="AFC240" s="302"/>
      <c r="AFD240" s="302"/>
      <c r="AFE240" s="302"/>
      <c r="AFF240" s="302"/>
      <c r="AFG240" s="302"/>
      <c r="AFH240" s="302"/>
      <c r="AFI240" s="302"/>
      <c r="AFJ240" s="302"/>
      <c r="AFK240" s="302"/>
      <c r="AFL240" s="302"/>
      <c r="AFM240" s="302"/>
      <c r="AFN240" s="302"/>
      <c r="AFO240" s="302"/>
      <c r="AFP240" s="302"/>
      <c r="AFQ240" s="302"/>
      <c r="AFR240" s="302"/>
      <c r="AFS240" s="302"/>
      <c r="AFT240" s="302"/>
      <c r="AFU240" s="302"/>
      <c r="AFV240" s="302"/>
      <c r="AFW240" s="302"/>
      <c r="AFX240" s="302"/>
      <c r="AFY240" s="302"/>
      <c r="AFZ240" s="302"/>
      <c r="AGA240" s="302"/>
      <c r="AGB240" s="302"/>
      <c r="AGC240" s="302"/>
      <c r="AGD240" s="302"/>
      <c r="AGE240" s="302"/>
      <c r="AGF240" s="302"/>
      <c r="AGG240" s="302"/>
      <c r="AGH240" s="302"/>
      <c r="AGI240" s="302"/>
      <c r="AGJ240" s="302"/>
      <c r="AGK240" s="302"/>
      <c r="AGL240" s="302"/>
      <c r="AGM240" s="302"/>
      <c r="AGN240" s="302"/>
      <c r="AGO240" s="302"/>
      <c r="AGP240" s="302"/>
      <c r="AGQ240" s="302"/>
      <c r="AGR240" s="302"/>
      <c r="AGS240" s="302"/>
      <c r="AGT240" s="302"/>
      <c r="AGU240" s="302"/>
      <c r="AGV240" s="302"/>
      <c r="AGW240" s="302"/>
      <c r="AGX240" s="302"/>
      <c r="AGY240" s="302"/>
      <c r="AGZ240" s="302"/>
      <c r="AHA240" s="302"/>
      <c r="AHB240" s="302"/>
      <c r="AHC240" s="302"/>
      <c r="AHD240" s="302"/>
      <c r="AHE240" s="302"/>
      <c r="AHF240" s="302"/>
      <c r="AHG240" s="302"/>
      <c r="AHH240" s="302"/>
      <c r="AHI240" s="302"/>
      <c r="AHJ240" s="302"/>
      <c r="AHK240" s="302"/>
      <c r="AHL240" s="302"/>
      <c r="AHM240" s="302"/>
      <c r="AHN240" s="302"/>
      <c r="AHO240" s="302"/>
      <c r="AHP240" s="302"/>
      <c r="AHQ240" s="302"/>
      <c r="AHR240" s="302"/>
      <c r="AHS240" s="302"/>
      <c r="AHT240" s="302"/>
      <c r="AHU240" s="302"/>
      <c r="AHV240" s="302"/>
      <c r="AHW240" s="302"/>
      <c r="AHX240" s="302"/>
      <c r="AHY240" s="302"/>
      <c r="AHZ240" s="302"/>
      <c r="AIA240" s="302"/>
      <c r="AIB240" s="302"/>
      <c r="AIC240" s="302"/>
      <c r="AID240" s="302"/>
      <c r="AIE240" s="302"/>
      <c r="AIF240" s="302"/>
      <c r="AIG240" s="302"/>
      <c r="AIH240" s="302"/>
      <c r="AII240" s="302"/>
      <c r="AIJ240" s="302"/>
      <c r="AIK240" s="302"/>
      <c r="AIL240" s="302"/>
      <c r="AIM240" s="302"/>
      <c r="AIN240" s="302"/>
      <c r="AIO240" s="302"/>
      <c r="AIP240" s="302"/>
      <c r="AIQ240" s="302"/>
      <c r="AIR240" s="302"/>
      <c r="AIS240" s="302"/>
      <c r="AIT240" s="302"/>
      <c r="AIU240" s="302"/>
      <c r="AIV240" s="302"/>
      <c r="AIW240" s="302"/>
      <c r="AIX240" s="302"/>
      <c r="AIY240" s="302"/>
      <c r="AIZ240" s="302"/>
      <c r="AJA240" s="302"/>
      <c r="AJB240" s="302"/>
      <c r="AJC240" s="302"/>
      <c r="AJD240" s="302"/>
      <c r="AJE240" s="302"/>
      <c r="AJF240" s="302"/>
      <c r="AJG240" s="302"/>
      <c r="AJH240" s="302"/>
      <c r="AJI240" s="302"/>
      <c r="AJJ240" s="302"/>
      <c r="AJK240" s="302"/>
      <c r="AJL240" s="302"/>
      <c r="AJM240" s="302"/>
      <c r="AJN240" s="302"/>
      <c r="AJO240" s="302"/>
      <c r="AJP240" s="302"/>
      <c r="AJQ240" s="302"/>
      <c r="AJR240" s="302"/>
      <c r="AJS240" s="302"/>
      <c r="AJT240" s="302"/>
      <c r="AJU240" s="302"/>
      <c r="AJV240" s="302"/>
      <c r="AJW240" s="302"/>
      <c r="AJX240" s="302"/>
      <c r="AJY240" s="302"/>
      <c r="AJZ240" s="302"/>
      <c r="AKA240" s="302"/>
      <c r="AKB240" s="302"/>
      <c r="AKC240" s="302"/>
      <c r="AKD240" s="302"/>
      <c r="AKE240" s="302"/>
      <c r="AKF240" s="302"/>
      <c r="AKG240" s="302"/>
      <c r="AKH240" s="302"/>
      <c r="AKI240" s="302"/>
      <c r="AKJ240" s="302"/>
      <c r="AKK240" s="302"/>
      <c r="AKL240" s="302"/>
      <c r="AKM240" s="302"/>
      <c r="AKN240" s="302"/>
      <c r="AKO240" s="302"/>
      <c r="AKP240" s="302"/>
      <c r="AKQ240" s="302"/>
      <c r="AKR240" s="302"/>
      <c r="AKS240" s="302"/>
      <c r="AKT240" s="302"/>
      <c r="AKU240" s="302"/>
      <c r="AKV240" s="302"/>
      <c r="AKW240" s="302"/>
      <c r="AKX240" s="302"/>
      <c r="AKY240" s="302"/>
      <c r="AKZ240" s="302"/>
      <c r="ALA240" s="302"/>
      <c r="ALB240" s="302"/>
      <c r="ALC240" s="302"/>
      <c r="ALD240" s="302"/>
      <c r="ALE240" s="302"/>
      <c r="ALF240" s="302"/>
      <c r="ALG240" s="302"/>
      <c r="ALH240" s="302"/>
      <c r="ALI240" s="302"/>
      <c r="ALJ240" s="302"/>
      <c r="ALK240" s="302"/>
      <c r="ALL240" s="302"/>
      <c r="ALM240" s="302"/>
      <c r="ALN240" s="302"/>
      <c r="ALO240" s="302"/>
      <c r="ALP240" s="302"/>
      <c r="ALQ240" s="302"/>
      <c r="ALR240" s="302"/>
      <c r="ALS240" s="302"/>
      <c r="ALT240" s="302"/>
      <c r="ALU240" s="302"/>
      <c r="ALV240" s="302"/>
      <c r="ALW240" s="302"/>
      <c r="ALX240" s="302"/>
      <c r="ALY240" s="302"/>
      <c r="ALZ240" s="302"/>
      <c r="AMA240" s="302"/>
      <c r="AMB240" s="302"/>
      <c r="AMC240" s="302"/>
      <c r="AMD240" s="302"/>
      <c r="AME240" s="302"/>
      <c r="AMF240" s="302"/>
      <c r="AMG240" s="302"/>
      <c r="AMH240" s="302"/>
      <c r="AMI240" s="302"/>
    </row>
    <row r="241" spans="1:1023" hidden="1">
      <c r="A241" s="302"/>
      <c r="B241" s="470">
        <v>14046</v>
      </c>
      <c r="C241" s="477">
        <v>0.08</v>
      </c>
      <c r="D241" s="472" t="s">
        <v>133</v>
      </c>
      <c r="E241" s="583">
        <v>5615000</v>
      </c>
      <c r="F241" s="500">
        <v>0.01</v>
      </c>
      <c r="G241" s="369">
        <f t="shared" si="13"/>
        <v>56150</v>
      </c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2"/>
      <c r="AE241" s="302"/>
      <c r="AF241" s="302"/>
      <c r="AG241" s="302"/>
      <c r="AH241" s="302"/>
      <c r="AI241" s="302"/>
      <c r="AJ241" s="302"/>
      <c r="AK241" s="302"/>
      <c r="AL241" s="302"/>
      <c r="AM241" s="302"/>
      <c r="AN241" s="302"/>
      <c r="AO241" s="302"/>
      <c r="AP241" s="302"/>
      <c r="AQ241" s="302"/>
      <c r="AR241" s="302"/>
      <c r="AS241" s="302"/>
      <c r="AT241" s="302"/>
      <c r="AU241" s="302"/>
      <c r="AV241" s="302"/>
      <c r="AW241" s="302"/>
      <c r="AX241" s="302"/>
      <c r="AY241" s="302"/>
      <c r="AZ241" s="302"/>
      <c r="BA241" s="302"/>
      <c r="BB241" s="302"/>
      <c r="BC241" s="302"/>
      <c r="BD241" s="302"/>
      <c r="BE241" s="302"/>
      <c r="BF241" s="302"/>
      <c r="BG241" s="302"/>
      <c r="BH241" s="302"/>
      <c r="BI241" s="302"/>
      <c r="BJ241" s="302"/>
      <c r="BK241" s="302"/>
      <c r="BL241" s="302"/>
      <c r="BM241" s="302"/>
      <c r="BN241" s="302"/>
      <c r="BO241" s="302"/>
      <c r="BP241" s="302"/>
      <c r="BQ241" s="302"/>
      <c r="BR241" s="302"/>
      <c r="BS241" s="302"/>
      <c r="BT241" s="302"/>
      <c r="BU241" s="302"/>
      <c r="BV241" s="302"/>
      <c r="BW241" s="302"/>
      <c r="BX241" s="302"/>
      <c r="BY241" s="302"/>
      <c r="BZ241" s="302"/>
      <c r="CA241" s="302"/>
      <c r="CB241" s="302"/>
      <c r="CC241" s="302"/>
      <c r="CD241" s="302"/>
      <c r="CE241" s="302"/>
      <c r="CF241" s="302"/>
      <c r="CG241" s="302"/>
      <c r="CH241" s="302"/>
      <c r="CI241" s="302"/>
      <c r="CJ241" s="302"/>
      <c r="CK241" s="302"/>
      <c r="CL241" s="302"/>
      <c r="CM241" s="302"/>
      <c r="CN241" s="302"/>
      <c r="CO241" s="302"/>
      <c r="CP241" s="302"/>
      <c r="CQ241" s="302"/>
      <c r="CR241" s="302"/>
      <c r="CS241" s="302"/>
      <c r="CT241" s="302"/>
      <c r="CU241" s="302"/>
      <c r="CV241" s="302"/>
      <c r="CW241" s="302"/>
      <c r="CX241" s="302"/>
      <c r="CY241" s="302"/>
      <c r="CZ241" s="302"/>
      <c r="DA241" s="302"/>
      <c r="DB241" s="302"/>
      <c r="DC241" s="302"/>
      <c r="DD241" s="302"/>
      <c r="DE241" s="302"/>
      <c r="DF241" s="302"/>
      <c r="DG241" s="302"/>
      <c r="DH241" s="302"/>
      <c r="DI241" s="302"/>
      <c r="DJ241" s="302"/>
      <c r="DK241" s="302"/>
      <c r="DL241" s="302"/>
      <c r="DM241" s="302"/>
      <c r="DN241" s="302"/>
      <c r="DO241" s="302"/>
      <c r="DP241" s="302"/>
      <c r="DQ241" s="302"/>
      <c r="DR241" s="302"/>
      <c r="DS241" s="302"/>
      <c r="DT241" s="302"/>
      <c r="DU241" s="302"/>
      <c r="DV241" s="302"/>
      <c r="DW241" s="302"/>
      <c r="DX241" s="302"/>
      <c r="DY241" s="302"/>
      <c r="DZ241" s="302"/>
      <c r="EA241" s="302"/>
      <c r="EB241" s="302"/>
      <c r="EC241" s="302"/>
      <c r="ED241" s="302"/>
      <c r="EE241" s="302"/>
      <c r="EF241" s="302"/>
      <c r="EG241" s="302"/>
      <c r="EH241" s="302"/>
      <c r="EI241" s="302"/>
      <c r="EJ241" s="302"/>
      <c r="EK241" s="302"/>
      <c r="EL241" s="302"/>
      <c r="EM241" s="302"/>
      <c r="EN241" s="302"/>
      <c r="EO241" s="302"/>
      <c r="EP241" s="302"/>
      <c r="EQ241" s="302"/>
      <c r="ER241" s="302"/>
      <c r="ES241" s="302"/>
      <c r="ET241" s="302"/>
      <c r="EU241" s="302"/>
      <c r="EV241" s="302"/>
      <c r="EW241" s="302"/>
      <c r="EX241" s="302"/>
      <c r="EY241" s="302"/>
      <c r="EZ241" s="302"/>
      <c r="FA241" s="302"/>
      <c r="FB241" s="302"/>
      <c r="FC241" s="302"/>
      <c r="FD241" s="302"/>
      <c r="FE241" s="302"/>
      <c r="FF241" s="302"/>
      <c r="FG241" s="302"/>
      <c r="FH241" s="302"/>
      <c r="FI241" s="302"/>
      <c r="FJ241" s="302"/>
      <c r="FK241" s="302"/>
      <c r="FL241" s="302"/>
      <c r="FM241" s="302"/>
      <c r="FN241" s="302"/>
      <c r="FO241" s="302"/>
      <c r="FP241" s="302"/>
      <c r="FQ241" s="302"/>
      <c r="FR241" s="302"/>
      <c r="FS241" s="302"/>
      <c r="FT241" s="302"/>
      <c r="FU241" s="302"/>
      <c r="FV241" s="302"/>
      <c r="FW241" s="302"/>
      <c r="FX241" s="302"/>
      <c r="FY241" s="302"/>
      <c r="FZ241" s="302"/>
      <c r="GA241" s="302"/>
      <c r="GB241" s="302"/>
      <c r="GC241" s="302"/>
      <c r="GD241" s="302"/>
      <c r="GE241" s="302"/>
      <c r="GF241" s="302"/>
      <c r="GG241" s="302"/>
      <c r="GH241" s="302"/>
      <c r="GI241" s="302"/>
      <c r="GJ241" s="302"/>
      <c r="GK241" s="302"/>
      <c r="GL241" s="302"/>
      <c r="GM241" s="302"/>
      <c r="GN241" s="302"/>
      <c r="GO241" s="302"/>
      <c r="GP241" s="302"/>
      <c r="GQ241" s="302"/>
      <c r="GR241" s="302"/>
      <c r="GS241" s="302"/>
      <c r="GT241" s="302"/>
      <c r="GU241" s="302"/>
      <c r="GV241" s="302"/>
      <c r="GW241" s="302"/>
      <c r="GX241" s="302"/>
      <c r="GY241" s="302"/>
      <c r="GZ241" s="302"/>
      <c r="HA241" s="302"/>
      <c r="HB241" s="302"/>
      <c r="HC241" s="302"/>
      <c r="HD241" s="302"/>
      <c r="HE241" s="302"/>
      <c r="HF241" s="302"/>
      <c r="HG241" s="302"/>
      <c r="HH241" s="302"/>
      <c r="HI241" s="302"/>
      <c r="HJ241" s="302"/>
      <c r="HK241" s="302"/>
      <c r="HL241" s="302"/>
      <c r="HM241" s="302"/>
      <c r="HN241" s="302"/>
      <c r="HO241" s="302"/>
      <c r="HP241" s="302"/>
      <c r="HQ241" s="302"/>
      <c r="HR241" s="302"/>
      <c r="HS241" s="302"/>
      <c r="HT241" s="302"/>
      <c r="HU241" s="302"/>
      <c r="HV241" s="302"/>
      <c r="HW241" s="302"/>
      <c r="HX241" s="302"/>
      <c r="HY241" s="302"/>
      <c r="HZ241" s="302"/>
      <c r="IA241" s="302"/>
      <c r="IB241" s="302"/>
      <c r="IC241" s="302"/>
      <c r="ID241" s="302"/>
      <c r="IE241" s="302"/>
      <c r="IF241" s="302"/>
      <c r="IG241" s="302"/>
      <c r="IH241" s="302"/>
      <c r="II241" s="302"/>
      <c r="IJ241" s="302"/>
      <c r="IK241" s="302"/>
      <c r="IL241" s="302"/>
      <c r="IM241" s="302"/>
      <c r="IN241" s="302"/>
      <c r="IO241" s="302"/>
      <c r="IP241" s="302"/>
      <c r="IQ241" s="302"/>
      <c r="IR241" s="302"/>
      <c r="IS241" s="302"/>
      <c r="IT241" s="302"/>
      <c r="IU241" s="302"/>
      <c r="IV241" s="302"/>
      <c r="IW241" s="302"/>
      <c r="IX241" s="302"/>
      <c r="IY241" s="302"/>
      <c r="IZ241" s="302"/>
      <c r="JA241" s="302"/>
      <c r="JB241" s="302"/>
      <c r="JC241" s="302"/>
      <c r="JD241" s="302"/>
      <c r="JE241" s="302"/>
      <c r="JF241" s="302"/>
      <c r="JG241" s="302"/>
      <c r="JH241" s="302"/>
      <c r="JI241" s="302"/>
      <c r="JJ241" s="302"/>
      <c r="JK241" s="302"/>
      <c r="JL241" s="302"/>
      <c r="JM241" s="302"/>
      <c r="JN241" s="302"/>
      <c r="JO241" s="302"/>
      <c r="JP241" s="302"/>
      <c r="JQ241" s="302"/>
      <c r="JR241" s="302"/>
      <c r="JS241" s="302"/>
      <c r="JT241" s="302"/>
      <c r="JU241" s="302"/>
      <c r="JV241" s="302"/>
      <c r="JW241" s="302"/>
      <c r="JX241" s="302"/>
      <c r="JY241" s="302"/>
      <c r="JZ241" s="302"/>
      <c r="KA241" s="302"/>
      <c r="KB241" s="302"/>
      <c r="KC241" s="302"/>
      <c r="KD241" s="302"/>
      <c r="KE241" s="302"/>
      <c r="KF241" s="302"/>
      <c r="KG241" s="302"/>
      <c r="KH241" s="302"/>
      <c r="KI241" s="302"/>
      <c r="KJ241" s="302"/>
      <c r="KK241" s="302"/>
      <c r="KL241" s="302"/>
      <c r="KM241" s="302"/>
      <c r="KN241" s="302"/>
      <c r="KO241" s="302"/>
      <c r="KP241" s="302"/>
      <c r="KQ241" s="302"/>
      <c r="KR241" s="302"/>
      <c r="KS241" s="302"/>
      <c r="KT241" s="302"/>
      <c r="KU241" s="302"/>
      <c r="KV241" s="302"/>
      <c r="KW241" s="302"/>
      <c r="KX241" s="302"/>
      <c r="KY241" s="302"/>
      <c r="KZ241" s="302"/>
      <c r="LA241" s="302"/>
      <c r="LB241" s="302"/>
      <c r="LC241" s="302"/>
      <c r="LD241" s="302"/>
      <c r="LE241" s="302"/>
      <c r="LF241" s="302"/>
      <c r="LG241" s="302"/>
      <c r="LH241" s="302"/>
      <c r="LI241" s="302"/>
      <c r="LJ241" s="302"/>
      <c r="LK241" s="302"/>
      <c r="LL241" s="302"/>
      <c r="LM241" s="302"/>
      <c r="LN241" s="302"/>
      <c r="LO241" s="302"/>
      <c r="LP241" s="302"/>
      <c r="LQ241" s="302"/>
      <c r="LR241" s="302"/>
      <c r="LS241" s="302"/>
      <c r="LT241" s="302"/>
      <c r="LU241" s="302"/>
      <c r="LV241" s="302"/>
      <c r="LW241" s="302"/>
      <c r="LX241" s="302"/>
      <c r="LY241" s="302"/>
      <c r="LZ241" s="302"/>
      <c r="MA241" s="302"/>
      <c r="MB241" s="302"/>
      <c r="MC241" s="302"/>
      <c r="MD241" s="302"/>
      <c r="ME241" s="302"/>
      <c r="MF241" s="302"/>
      <c r="MG241" s="302"/>
      <c r="MH241" s="302"/>
      <c r="MI241" s="302"/>
      <c r="MJ241" s="302"/>
      <c r="MK241" s="302"/>
      <c r="ML241" s="302"/>
      <c r="MM241" s="302"/>
      <c r="MN241" s="302"/>
      <c r="MO241" s="302"/>
      <c r="MP241" s="302"/>
      <c r="MQ241" s="302"/>
      <c r="MR241" s="302"/>
      <c r="MS241" s="302"/>
      <c r="MT241" s="302"/>
      <c r="MU241" s="302"/>
      <c r="MV241" s="302"/>
      <c r="MW241" s="302"/>
      <c r="MX241" s="302"/>
      <c r="MY241" s="302"/>
      <c r="MZ241" s="302"/>
      <c r="NA241" s="302"/>
      <c r="NB241" s="302"/>
      <c r="NC241" s="302"/>
      <c r="ND241" s="302"/>
      <c r="NE241" s="302"/>
      <c r="NF241" s="302"/>
      <c r="NG241" s="302"/>
      <c r="NH241" s="302"/>
      <c r="NI241" s="302"/>
      <c r="NJ241" s="302"/>
      <c r="NK241" s="302"/>
      <c r="NL241" s="302"/>
      <c r="NM241" s="302"/>
      <c r="NN241" s="302"/>
      <c r="NO241" s="302"/>
      <c r="NP241" s="302"/>
      <c r="NQ241" s="302"/>
      <c r="NR241" s="302"/>
      <c r="NS241" s="302"/>
      <c r="NT241" s="302"/>
      <c r="NU241" s="302"/>
      <c r="NV241" s="302"/>
      <c r="NW241" s="302"/>
      <c r="NX241" s="302"/>
      <c r="NY241" s="302"/>
      <c r="NZ241" s="302"/>
      <c r="OA241" s="302"/>
      <c r="OB241" s="302"/>
      <c r="OC241" s="302"/>
      <c r="OD241" s="302"/>
      <c r="OE241" s="302"/>
      <c r="OF241" s="302"/>
      <c r="OG241" s="302"/>
      <c r="OH241" s="302"/>
      <c r="OI241" s="302"/>
      <c r="OJ241" s="302"/>
      <c r="OK241" s="302"/>
      <c r="OL241" s="302"/>
      <c r="OM241" s="302"/>
      <c r="ON241" s="302"/>
      <c r="OO241" s="302"/>
      <c r="OP241" s="302"/>
      <c r="OQ241" s="302"/>
      <c r="OR241" s="302"/>
      <c r="OS241" s="302"/>
      <c r="OT241" s="302"/>
      <c r="OU241" s="302"/>
      <c r="OV241" s="302"/>
      <c r="OW241" s="302"/>
      <c r="OX241" s="302"/>
      <c r="OY241" s="302"/>
      <c r="OZ241" s="302"/>
      <c r="PA241" s="302"/>
      <c r="PB241" s="302"/>
      <c r="PC241" s="302"/>
      <c r="PD241" s="302"/>
      <c r="PE241" s="302"/>
      <c r="PF241" s="302"/>
      <c r="PG241" s="302"/>
      <c r="PH241" s="302"/>
      <c r="PI241" s="302"/>
      <c r="PJ241" s="302"/>
      <c r="PK241" s="302"/>
      <c r="PL241" s="302"/>
      <c r="PM241" s="302"/>
      <c r="PN241" s="302"/>
      <c r="PO241" s="302"/>
      <c r="PP241" s="302"/>
      <c r="PQ241" s="302"/>
      <c r="PR241" s="302"/>
      <c r="PS241" s="302"/>
      <c r="PT241" s="302"/>
      <c r="PU241" s="302"/>
      <c r="PV241" s="302"/>
      <c r="PW241" s="302"/>
      <c r="PX241" s="302"/>
      <c r="PY241" s="302"/>
      <c r="PZ241" s="302"/>
      <c r="QA241" s="302"/>
      <c r="QB241" s="302"/>
      <c r="QC241" s="302"/>
      <c r="QD241" s="302"/>
      <c r="QE241" s="302"/>
      <c r="QF241" s="302"/>
      <c r="QG241" s="302"/>
      <c r="QH241" s="302"/>
      <c r="QI241" s="302"/>
      <c r="QJ241" s="302"/>
      <c r="QK241" s="302"/>
      <c r="QL241" s="302"/>
      <c r="QM241" s="302"/>
      <c r="QN241" s="302"/>
      <c r="QO241" s="302"/>
      <c r="QP241" s="302"/>
      <c r="QQ241" s="302"/>
      <c r="QR241" s="302"/>
      <c r="QS241" s="302"/>
      <c r="QT241" s="302"/>
      <c r="QU241" s="302"/>
      <c r="QV241" s="302"/>
      <c r="QW241" s="302"/>
      <c r="QX241" s="302"/>
      <c r="QY241" s="302"/>
      <c r="QZ241" s="302"/>
      <c r="RA241" s="302"/>
      <c r="RB241" s="302"/>
      <c r="RC241" s="302"/>
      <c r="RD241" s="302"/>
      <c r="RE241" s="302"/>
      <c r="RF241" s="302"/>
      <c r="RG241" s="302"/>
      <c r="RH241" s="302"/>
      <c r="RI241" s="302"/>
      <c r="RJ241" s="302"/>
      <c r="RK241" s="302"/>
      <c r="RL241" s="302"/>
      <c r="RM241" s="302"/>
      <c r="RN241" s="302"/>
      <c r="RO241" s="302"/>
      <c r="RP241" s="302"/>
      <c r="RQ241" s="302"/>
      <c r="RR241" s="302"/>
      <c r="RS241" s="302"/>
      <c r="RT241" s="302"/>
      <c r="RU241" s="302"/>
      <c r="RV241" s="302"/>
      <c r="RW241" s="302"/>
      <c r="RX241" s="302"/>
      <c r="RY241" s="302"/>
      <c r="RZ241" s="302"/>
      <c r="SA241" s="302"/>
      <c r="SB241" s="302"/>
      <c r="SC241" s="302"/>
      <c r="SD241" s="302"/>
      <c r="SE241" s="302"/>
      <c r="SF241" s="302"/>
      <c r="SG241" s="302"/>
      <c r="SH241" s="302"/>
      <c r="SI241" s="302"/>
      <c r="SJ241" s="302"/>
      <c r="SK241" s="302"/>
      <c r="SL241" s="302"/>
      <c r="SM241" s="302"/>
      <c r="SN241" s="302"/>
      <c r="SO241" s="302"/>
      <c r="SP241" s="302"/>
      <c r="SQ241" s="302"/>
      <c r="SR241" s="302"/>
      <c r="SS241" s="302"/>
      <c r="ST241" s="302"/>
      <c r="SU241" s="302"/>
      <c r="SV241" s="302"/>
      <c r="SW241" s="302"/>
      <c r="SX241" s="302"/>
      <c r="SY241" s="302"/>
      <c r="SZ241" s="302"/>
      <c r="TA241" s="302"/>
      <c r="TB241" s="302"/>
      <c r="TC241" s="302"/>
      <c r="TD241" s="302"/>
      <c r="TE241" s="302"/>
      <c r="TF241" s="302"/>
      <c r="TG241" s="302"/>
      <c r="TH241" s="302"/>
      <c r="TI241" s="302"/>
      <c r="TJ241" s="302"/>
      <c r="TK241" s="302"/>
      <c r="TL241" s="302"/>
      <c r="TM241" s="302"/>
      <c r="TN241" s="302"/>
      <c r="TO241" s="302"/>
      <c r="TP241" s="302"/>
      <c r="TQ241" s="302"/>
      <c r="TR241" s="302"/>
      <c r="TS241" s="302"/>
      <c r="TT241" s="302"/>
      <c r="TU241" s="302"/>
      <c r="TV241" s="302"/>
      <c r="TW241" s="302"/>
      <c r="TX241" s="302"/>
      <c r="TY241" s="302"/>
      <c r="TZ241" s="302"/>
      <c r="UA241" s="302"/>
      <c r="UB241" s="302"/>
      <c r="UC241" s="302"/>
      <c r="UD241" s="302"/>
      <c r="UE241" s="302"/>
      <c r="UF241" s="302"/>
      <c r="UG241" s="302"/>
      <c r="UH241" s="302"/>
      <c r="UI241" s="302"/>
      <c r="UJ241" s="302"/>
      <c r="UK241" s="302"/>
      <c r="UL241" s="302"/>
      <c r="UM241" s="302"/>
      <c r="UN241" s="302"/>
      <c r="UO241" s="302"/>
      <c r="UP241" s="302"/>
      <c r="UQ241" s="302"/>
      <c r="UR241" s="302"/>
      <c r="US241" s="302"/>
      <c r="UT241" s="302"/>
      <c r="UU241" s="302"/>
      <c r="UV241" s="302"/>
      <c r="UW241" s="302"/>
      <c r="UX241" s="302"/>
      <c r="UY241" s="302"/>
      <c r="UZ241" s="302"/>
      <c r="VA241" s="302"/>
      <c r="VB241" s="302"/>
      <c r="VC241" s="302"/>
      <c r="VD241" s="302"/>
      <c r="VE241" s="302"/>
      <c r="VF241" s="302"/>
      <c r="VG241" s="302"/>
      <c r="VH241" s="302"/>
      <c r="VI241" s="302"/>
      <c r="VJ241" s="302"/>
      <c r="VK241" s="302"/>
      <c r="VL241" s="302"/>
      <c r="VM241" s="302"/>
      <c r="VN241" s="302"/>
      <c r="VO241" s="302"/>
      <c r="VP241" s="302"/>
      <c r="VQ241" s="302"/>
      <c r="VR241" s="302"/>
      <c r="VS241" s="302"/>
      <c r="VT241" s="302"/>
      <c r="VU241" s="302"/>
      <c r="VV241" s="302"/>
      <c r="VW241" s="302"/>
      <c r="VX241" s="302"/>
      <c r="VY241" s="302"/>
      <c r="VZ241" s="302"/>
      <c r="WA241" s="302"/>
      <c r="WB241" s="302"/>
      <c r="WC241" s="302"/>
      <c r="WD241" s="302"/>
      <c r="WE241" s="302"/>
      <c r="WF241" s="302"/>
      <c r="WG241" s="302"/>
      <c r="WH241" s="302"/>
      <c r="WI241" s="302"/>
      <c r="WJ241" s="302"/>
      <c r="WK241" s="302"/>
      <c r="WL241" s="302"/>
      <c r="WM241" s="302"/>
      <c r="WN241" s="302"/>
      <c r="WO241" s="302"/>
      <c r="WP241" s="302"/>
      <c r="WQ241" s="302"/>
      <c r="WR241" s="302"/>
      <c r="WS241" s="302"/>
      <c r="WT241" s="302"/>
      <c r="WU241" s="302"/>
      <c r="WV241" s="302"/>
      <c r="WW241" s="302"/>
      <c r="WX241" s="302"/>
      <c r="WY241" s="302"/>
      <c r="WZ241" s="302"/>
      <c r="XA241" s="302"/>
      <c r="XB241" s="302"/>
      <c r="XC241" s="302"/>
      <c r="XD241" s="302"/>
      <c r="XE241" s="302"/>
      <c r="XF241" s="302"/>
      <c r="XG241" s="302"/>
      <c r="XH241" s="302"/>
      <c r="XI241" s="302"/>
      <c r="XJ241" s="302"/>
      <c r="XK241" s="302"/>
      <c r="XL241" s="302"/>
      <c r="XM241" s="302"/>
      <c r="XN241" s="302"/>
      <c r="XO241" s="302"/>
      <c r="XP241" s="302"/>
      <c r="XQ241" s="302"/>
      <c r="XR241" s="302"/>
      <c r="XS241" s="302"/>
      <c r="XT241" s="302"/>
      <c r="XU241" s="302"/>
      <c r="XV241" s="302"/>
      <c r="XW241" s="302"/>
      <c r="XX241" s="302"/>
      <c r="XY241" s="302"/>
      <c r="XZ241" s="302"/>
      <c r="YA241" s="302"/>
      <c r="YB241" s="302"/>
      <c r="YC241" s="302"/>
      <c r="YD241" s="302"/>
      <c r="YE241" s="302"/>
      <c r="YF241" s="302"/>
      <c r="YG241" s="302"/>
      <c r="YH241" s="302"/>
      <c r="YI241" s="302"/>
      <c r="YJ241" s="302"/>
      <c r="YK241" s="302"/>
      <c r="YL241" s="302"/>
      <c r="YM241" s="302"/>
      <c r="YN241" s="302"/>
      <c r="YO241" s="302"/>
      <c r="YP241" s="302"/>
      <c r="YQ241" s="302"/>
      <c r="YR241" s="302"/>
      <c r="YS241" s="302"/>
      <c r="YT241" s="302"/>
      <c r="YU241" s="302"/>
      <c r="YV241" s="302"/>
      <c r="YW241" s="302"/>
      <c r="YX241" s="302"/>
      <c r="YY241" s="302"/>
      <c r="YZ241" s="302"/>
      <c r="ZA241" s="302"/>
      <c r="ZB241" s="302"/>
      <c r="ZC241" s="302"/>
      <c r="ZD241" s="302"/>
      <c r="ZE241" s="302"/>
      <c r="ZF241" s="302"/>
      <c r="ZG241" s="302"/>
      <c r="ZH241" s="302"/>
      <c r="ZI241" s="302"/>
      <c r="ZJ241" s="302"/>
      <c r="ZK241" s="302"/>
      <c r="ZL241" s="302"/>
      <c r="ZM241" s="302"/>
      <c r="ZN241" s="302"/>
      <c r="ZO241" s="302"/>
      <c r="ZP241" s="302"/>
      <c r="ZQ241" s="302"/>
      <c r="ZR241" s="302"/>
      <c r="ZS241" s="302"/>
      <c r="ZT241" s="302"/>
      <c r="ZU241" s="302"/>
      <c r="ZV241" s="302"/>
      <c r="ZW241" s="302"/>
      <c r="ZX241" s="302"/>
      <c r="ZY241" s="302"/>
      <c r="ZZ241" s="302"/>
      <c r="AAA241" s="302"/>
      <c r="AAB241" s="302"/>
      <c r="AAC241" s="302"/>
      <c r="AAD241" s="302"/>
      <c r="AAE241" s="302"/>
      <c r="AAF241" s="302"/>
      <c r="AAG241" s="302"/>
      <c r="AAH241" s="302"/>
      <c r="AAI241" s="302"/>
      <c r="AAJ241" s="302"/>
      <c r="AAK241" s="302"/>
      <c r="AAL241" s="302"/>
      <c r="AAM241" s="302"/>
      <c r="AAN241" s="302"/>
      <c r="AAO241" s="302"/>
      <c r="AAP241" s="302"/>
      <c r="AAQ241" s="302"/>
      <c r="AAR241" s="302"/>
      <c r="AAS241" s="302"/>
      <c r="AAT241" s="302"/>
      <c r="AAU241" s="302"/>
      <c r="AAV241" s="302"/>
      <c r="AAW241" s="302"/>
      <c r="AAX241" s="302"/>
      <c r="AAY241" s="302"/>
      <c r="AAZ241" s="302"/>
      <c r="ABA241" s="302"/>
      <c r="ABB241" s="302"/>
      <c r="ABC241" s="302"/>
      <c r="ABD241" s="302"/>
      <c r="ABE241" s="302"/>
      <c r="ABF241" s="302"/>
      <c r="ABG241" s="302"/>
      <c r="ABH241" s="302"/>
      <c r="ABI241" s="302"/>
      <c r="ABJ241" s="302"/>
      <c r="ABK241" s="302"/>
      <c r="ABL241" s="302"/>
      <c r="ABM241" s="302"/>
      <c r="ABN241" s="302"/>
      <c r="ABO241" s="302"/>
      <c r="ABP241" s="302"/>
      <c r="ABQ241" s="302"/>
      <c r="ABR241" s="302"/>
      <c r="ABS241" s="302"/>
      <c r="ABT241" s="302"/>
      <c r="ABU241" s="302"/>
      <c r="ABV241" s="302"/>
      <c r="ABW241" s="302"/>
      <c r="ABX241" s="302"/>
      <c r="ABY241" s="302"/>
      <c r="ABZ241" s="302"/>
      <c r="ACA241" s="302"/>
      <c r="ACB241" s="302"/>
      <c r="ACC241" s="302"/>
      <c r="ACD241" s="302"/>
      <c r="ACE241" s="302"/>
      <c r="ACF241" s="302"/>
      <c r="ACG241" s="302"/>
      <c r="ACH241" s="302"/>
      <c r="ACI241" s="302"/>
      <c r="ACJ241" s="302"/>
      <c r="ACK241" s="302"/>
      <c r="ACL241" s="302"/>
      <c r="ACM241" s="302"/>
      <c r="ACN241" s="302"/>
      <c r="ACO241" s="302"/>
      <c r="ACP241" s="302"/>
      <c r="ACQ241" s="302"/>
      <c r="ACR241" s="302"/>
      <c r="ACS241" s="302"/>
      <c r="ACT241" s="302"/>
      <c r="ACU241" s="302"/>
      <c r="ACV241" s="302"/>
      <c r="ACW241" s="302"/>
      <c r="ACX241" s="302"/>
      <c r="ACY241" s="302"/>
      <c r="ACZ241" s="302"/>
      <c r="ADA241" s="302"/>
      <c r="ADB241" s="302"/>
      <c r="ADC241" s="302"/>
      <c r="ADD241" s="302"/>
      <c r="ADE241" s="302"/>
      <c r="ADF241" s="302"/>
      <c r="ADG241" s="302"/>
      <c r="ADH241" s="302"/>
      <c r="ADI241" s="302"/>
      <c r="ADJ241" s="302"/>
      <c r="ADK241" s="302"/>
      <c r="ADL241" s="302"/>
      <c r="ADM241" s="302"/>
      <c r="ADN241" s="302"/>
      <c r="ADO241" s="302"/>
      <c r="ADP241" s="302"/>
      <c r="ADQ241" s="302"/>
      <c r="ADR241" s="302"/>
      <c r="ADS241" s="302"/>
      <c r="ADT241" s="302"/>
      <c r="ADU241" s="302"/>
      <c r="ADV241" s="302"/>
      <c r="ADW241" s="302"/>
      <c r="ADX241" s="302"/>
      <c r="ADY241" s="302"/>
      <c r="ADZ241" s="302"/>
      <c r="AEA241" s="302"/>
      <c r="AEB241" s="302"/>
      <c r="AEC241" s="302"/>
      <c r="AED241" s="302"/>
      <c r="AEE241" s="302"/>
      <c r="AEF241" s="302"/>
      <c r="AEG241" s="302"/>
      <c r="AEH241" s="302"/>
      <c r="AEI241" s="302"/>
      <c r="AEJ241" s="302"/>
      <c r="AEK241" s="302"/>
      <c r="AEL241" s="302"/>
      <c r="AEM241" s="302"/>
      <c r="AEN241" s="302"/>
      <c r="AEO241" s="302"/>
      <c r="AEP241" s="302"/>
      <c r="AEQ241" s="302"/>
      <c r="AER241" s="302"/>
      <c r="AES241" s="302"/>
      <c r="AET241" s="302"/>
      <c r="AEU241" s="302"/>
      <c r="AEV241" s="302"/>
      <c r="AEW241" s="302"/>
      <c r="AEX241" s="302"/>
      <c r="AEY241" s="302"/>
      <c r="AEZ241" s="302"/>
      <c r="AFA241" s="302"/>
      <c r="AFB241" s="302"/>
      <c r="AFC241" s="302"/>
      <c r="AFD241" s="302"/>
      <c r="AFE241" s="302"/>
      <c r="AFF241" s="302"/>
      <c r="AFG241" s="302"/>
      <c r="AFH241" s="302"/>
      <c r="AFI241" s="302"/>
      <c r="AFJ241" s="302"/>
      <c r="AFK241" s="302"/>
      <c r="AFL241" s="302"/>
      <c r="AFM241" s="302"/>
      <c r="AFN241" s="302"/>
      <c r="AFO241" s="302"/>
      <c r="AFP241" s="302"/>
      <c r="AFQ241" s="302"/>
      <c r="AFR241" s="302"/>
      <c r="AFS241" s="302"/>
      <c r="AFT241" s="302"/>
      <c r="AFU241" s="302"/>
      <c r="AFV241" s="302"/>
      <c r="AFW241" s="302"/>
      <c r="AFX241" s="302"/>
      <c r="AFY241" s="302"/>
      <c r="AFZ241" s="302"/>
      <c r="AGA241" s="302"/>
      <c r="AGB241" s="302"/>
      <c r="AGC241" s="302"/>
      <c r="AGD241" s="302"/>
      <c r="AGE241" s="302"/>
      <c r="AGF241" s="302"/>
      <c r="AGG241" s="302"/>
      <c r="AGH241" s="302"/>
      <c r="AGI241" s="302"/>
      <c r="AGJ241" s="302"/>
      <c r="AGK241" s="302"/>
      <c r="AGL241" s="302"/>
      <c r="AGM241" s="302"/>
      <c r="AGN241" s="302"/>
      <c r="AGO241" s="302"/>
      <c r="AGP241" s="302"/>
      <c r="AGQ241" s="302"/>
      <c r="AGR241" s="302"/>
      <c r="AGS241" s="302"/>
      <c r="AGT241" s="302"/>
      <c r="AGU241" s="302"/>
      <c r="AGV241" s="302"/>
      <c r="AGW241" s="302"/>
      <c r="AGX241" s="302"/>
      <c r="AGY241" s="302"/>
      <c r="AGZ241" s="302"/>
      <c r="AHA241" s="302"/>
      <c r="AHB241" s="302"/>
      <c r="AHC241" s="302"/>
      <c r="AHD241" s="302"/>
      <c r="AHE241" s="302"/>
      <c r="AHF241" s="302"/>
      <c r="AHG241" s="302"/>
      <c r="AHH241" s="302"/>
      <c r="AHI241" s="302"/>
      <c r="AHJ241" s="302"/>
      <c r="AHK241" s="302"/>
      <c r="AHL241" s="302"/>
      <c r="AHM241" s="302"/>
      <c r="AHN241" s="302"/>
      <c r="AHO241" s="302"/>
      <c r="AHP241" s="302"/>
      <c r="AHQ241" s="302"/>
      <c r="AHR241" s="302"/>
      <c r="AHS241" s="302"/>
      <c r="AHT241" s="302"/>
      <c r="AHU241" s="302"/>
      <c r="AHV241" s="302"/>
      <c r="AHW241" s="302"/>
      <c r="AHX241" s="302"/>
      <c r="AHY241" s="302"/>
      <c r="AHZ241" s="302"/>
      <c r="AIA241" s="302"/>
      <c r="AIB241" s="302"/>
      <c r="AIC241" s="302"/>
      <c r="AID241" s="302"/>
      <c r="AIE241" s="302"/>
      <c r="AIF241" s="302"/>
      <c r="AIG241" s="302"/>
      <c r="AIH241" s="302"/>
      <c r="AII241" s="302"/>
      <c r="AIJ241" s="302"/>
      <c r="AIK241" s="302"/>
      <c r="AIL241" s="302"/>
      <c r="AIM241" s="302"/>
      <c r="AIN241" s="302"/>
      <c r="AIO241" s="302"/>
      <c r="AIP241" s="302"/>
      <c r="AIQ241" s="302"/>
      <c r="AIR241" s="302"/>
      <c r="AIS241" s="302"/>
      <c r="AIT241" s="302"/>
      <c r="AIU241" s="302"/>
      <c r="AIV241" s="302"/>
      <c r="AIW241" s="302"/>
      <c r="AIX241" s="302"/>
      <c r="AIY241" s="302"/>
      <c r="AIZ241" s="302"/>
      <c r="AJA241" s="302"/>
      <c r="AJB241" s="302"/>
      <c r="AJC241" s="302"/>
      <c r="AJD241" s="302"/>
      <c r="AJE241" s="302"/>
      <c r="AJF241" s="302"/>
      <c r="AJG241" s="302"/>
      <c r="AJH241" s="302"/>
      <c r="AJI241" s="302"/>
      <c r="AJJ241" s="302"/>
      <c r="AJK241" s="302"/>
      <c r="AJL241" s="302"/>
      <c r="AJM241" s="302"/>
      <c r="AJN241" s="302"/>
      <c r="AJO241" s="302"/>
      <c r="AJP241" s="302"/>
      <c r="AJQ241" s="302"/>
      <c r="AJR241" s="302"/>
      <c r="AJS241" s="302"/>
      <c r="AJT241" s="302"/>
      <c r="AJU241" s="302"/>
      <c r="AJV241" s="302"/>
      <c r="AJW241" s="302"/>
      <c r="AJX241" s="302"/>
      <c r="AJY241" s="302"/>
      <c r="AJZ241" s="302"/>
      <c r="AKA241" s="302"/>
      <c r="AKB241" s="302"/>
      <c r="AKC241" s="302"/>
      <c r="AKD241" s="302"/>
      <c r="AKE241" s="302"/>
      <c r="AKF241" s="302"/>
      <c r="AKG241" s="302"/>
      <c r="AKH241" s="302"/>
      <c r="AKI241" s="302"/>
      <c r="AKJ241" s="302"/>
      <c r="AKK241" s="302"/>
      <c r="AKL241" s="302"/>
      <c r="AKM241" s="302"/>
      <c r="AKN241" s="302"/>
      <c r="AKO241" s="302"/>
      <c r="AKP241" s="302"/>
      <c r="AKQ241" s="302"/>
      <c r="AKR241" s="302"/>
      <c r="AKS241" s="302"/>
      <c r="AKT241" s="302"/>
      <c r="AKU241" s="302"/>
      <c r="AKV241" s="302"/>
      <c r="AKW241" s="302"/>
      <c r="AKX241" s="302"/>
      <c r="AKY241" s="302"/>
      <c r="AKZ241" s="302"/>
      <c r="ALA241" s="302"/>
      <c r="ALB241" s="302"/>
      <c r="ALC241" s="302"/>
      <c r="ALD241" s="302"/>
      <c r="ALE241" s="302"/>
      <c r="ALF241" s="302"/>
      <c r="ALG241" s="302"/>
      <c r="ALH241" s="302"/>
      <c r="ALI241" s="302"/>
      <c r="ALJ241" s="302"/>
      <c r="ALK241" s="302"/>
      <c r="ALL241" s="302"/>
      <c r="ALM241" s="302"/>
      <c r="ALN241" s="302"/>
      <c r="ALO241" s="302"/>
      <c r="ALP241" s="302"/>
      <c r="ALQ241" s="302"/>
      <c r="ALR241" s="302"/>
      <c r="ALS241" s="302"/>
      <c r="ALT241" s="302"/>
      <c r="ALU241" s="302"/>
      <c r="ALV241" s="302"/>
      <c r="ALW241" s="302"/>
      <c r="ALX241" s="302"/>
      <c r="ALY241" s="302"/>
      <c r="ALZ241" s="302"/>
      <c r="AMA241" s="302"/>
      <c r="AMB241" s="302"/>
      <c r="AMC241" s="302"/>
      <c r="AMD241" s="302"/>
      <c r="AME241" s="302"/>
      <c r="AMF241" s="302"/>
      <c r="AMG241" s="302"/>
      <c r="AMH241" s="302"/>
      <c r="AMI241" s="302"/>
    </row>
    <row r="242" spans="1:1023" hidden="1">
      <c r="A242" s="302"/>
      <c r="B242" s="470">
        <v>14119</v>
      </c>
      <c r="C242" s="477">
        <v>0.08</v>
      </c>
      <c r="D242" s="472" t="s">
        <v>135</v>
      </c>
      <c r="E242" s="583">
        <v>3100000</v>
      </c>
      <c r="F242" s="500">
        <v>0.01</v>
      </c>
      <c r="G242" s="369">
        <f t="shared" si="13"/>
        <v>31000</v>
      </c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2"/>
      <c r="AE242" s="302"/>
      <c r="AF242" s="302"/>
      <c r="AG242" s="302"/>
      <c r="AH242" s="302"/>
      <c r="AI242" s="302"/>
      <c r="AJ242" s="302"/>
      <c r="AK242" s="302"/>
      <c r="AL242" s="302"/>
      <c r="AM242" s="302"/>
      <c r="AN242" s="302"/>
      <c r="AO242" s="302"/>
      <c r="AP242" s="302"/>
      <c r="AQ242" s="302"/>
      <c r="AR242" s="302"/>
      <c r="AS242" s="302"/>
      <c r="AT242" s="302"/>
      <c r="AU242" s="302"/>
      <c r="AV242" s="302"/>
      <c r="AW242" s="302"/>
      <c r="AX242" s="302"/>
      <c r="AY242" s="302"/>
      <c r="AZ242" s="302"/>
      <c r="BA242" s="302"/>
      <c r="BB242" s="302"/>
      <c r="BC242" s="302"/>
      <c r="BD242" s="302"/>
      <c r="BE242" s="302"/>
      <c r="BF242" s="302"/>
      <c r="BG242" s="302"/>
      <c r="BH242" s="302"/>
      <c r="BI242" s="302"/>
      <c r="BJ242" s="302"/>
      <c r="BK242" s="302"/>
      <c r="BL242" s="302"/>
      <c r="BM242" s="302"/>
      <c r="BN242" s="302"/>
      <c r="BO242" s="302"/>
      <c r="BP242" s="302"/>
      <c r="BQ242" s="302"/>
      <c r="BR242" s="302"/>
      <c r="BS242" s="302"/>
      <c r="BT242" s="302"/>
      <c r="BU242" s="302"/>
      <c r="BV242" s="302"/>
      <c r="BW242" s="302"/>
      <c r="BX242" s="302"/>
      <c r="BY242" s="302"/>
      <c r="BZ242" s="302"/>
      <c r="CA242" s="302"/>
      <c r="CB242" s="302"/>
      <c r="CC242" s="302"/>
      <c r="CD242" s="302"/>
      <c r="CE242" s="302"/>
      <c r="CF242" s="302"/>
      <c r="CG242" s="302"/>
      <c r="CH242" s="302"/>
      <c r="CI242" s="302"/>
      <c r="CJ242" s="302"/>
      <c r="CK242" s="302"/>
      <c r="CL242" s="302"/>
      <c r="CM242" s="302"/>
      <c r="CN242" s="302"/>
      <c r="CO242" s="302"/>
      <c r="CP242" s="302"/>
      <c r="CQ242" s="302"/>
      <c r="CR242" s="302"/>
      <c r="CS242" s="302"/>
      <c r="CT242" s="302"/>
      <c r="CU242" s="302"/>
      <c r="CV242" s="302"/>
      <c r="CW242" s="302"/>
      <c r="CX242" s="302"/>
      <c r="CY242" s="302"/>
      <c r="CZ242" s="302"/>
      <c r="DA242" s="302"/>
      <c r="DB242" s="302"/>
      <c r="DC242" s="302"/>
      <c r="DD242" s="302"/>
      <c r="DE242" s="302"/>
      <c r="DF242" s="302"/>
      <c r="DG242" s="302"/>
      <c r="DH242" s="302"/>
      <c r="DI242" s="302"/>
      <c r="DJ242" s="302"/>
      <c r="DK242" s="302"/>
      <c r="DL242" s="302"/>
      <c r="DM242" s="302"/>
      <c r="DN242" s="302"/>
      <c r="DO242" s="302"/>
      <c r="DP242" s="302"/>
      <c r="DQ242" s="302"/>
      <c r="DR242" s="302"/>
      <c r="DS242" s="302"/>
      <c r="DT242" s="302"/>
      <c r="DU242" s="302"/>
      <c r="DV242" s="302"/>
      <c r="DW242" s="302"/>
      <c r="DX242" s="302"/>
      <c r="DY242" s="302"/>
      <c r="DZ242" s="302"/>
      <c r="EA242" s="302"/>
      <c r="EB242" s="302"/>
      <c r="EC242" s="302"/>
      <c r="ED242" s="302"/>
      <c r="EE242" s="302"/>
      <c r="EF242" s="302"/>
      <c r="EG242" s="302"/>
      <c r="EH242" s="302"/>
      <c r="EI242" s="302"/>
      <c r="EJ242" s="302"/>
      <c r="EK242" s="302"/>
      <c r="EL242" s="302"/>
      <c r="EM242" s="302"/>
      <c r="EN242" s="302"/>
      <c r="EO242" s="302"/>
      <c r="EP242" s="302"/>
      <c r="EQ242" s="302"/>
      <c r="ER242" s="302"/>
      <c r="ES242" s="302"/>
      <c r="ET242" s="302"/>
      <c r="EU242" s="302"/>
      <c r="EV242" s="302"/>
      <c r="EW242" s="302"/>
      <c r="EX242" s="302"/>
      <c r="EY242" s="302"/>
      <c r="EZ242" s="302"/>
      <c r="FA242" s="302"/>
      <c r="FB242" s="302"/>
      <c r="FC242" s="302"/>
      <c r="FD242" s="302"/>
      <c r="FE242" s="302"/>
      <c r="FF242" s="302"/>
      <c r="FG242" s="302"/>
      <c r="FH242" s="302"/>
      <c r="FI242" s="302"/>
      <c r="FJ242" s="302"/>
      <c r="FK242" s="302"/>
      <c r="FL242" s="302"/>
      <c r="FM242" s="302"/>
      <c r="FN242" s="302"/>
      <c r="FO242" s="302"/>
      <c r="FP242" s="302"/>
      <c r="FQ242" s="302"/>
      <c r="FR242" s="302"/>
      <c r="FS242" s="302"/>
      <c r="FT242" s="302"/>
      <c r="FU242" s="302"/>
      <c r="FV242" s="302"/>
      <c r="FW242" s="302"/>
      <c r="FX242" s="302"/>
      <c r="FY242" s="302"/>
      <c r="FZ242" s="302"/>
      <c r="GA242" s="302"/>
      <c r="GB242" s="302"/>
      <c r="GC242" s="302"/>
      <c r="GD242" s="302"/>
      <c r="GE242" s="302"/>
      <c r="GF242" s="302"/>
      <c r="GG242" s="302"/>
      <c r="GH242" s="302"/>
      <c r="GI242" s="302"/>
      <c r="GJ242" s="302"/>
      <c r="GK242" s="302"/>
      <c r="GL242" s="302"/>
      <c r="GM242" s="302"/>
      <c r="GN242" s="302"/>
      <c r="GO242" s="302"/>
      <c r="GP242" s="302"/>
      <c r="GQ242" s="302"/>
      <c r="GR242" s="302"/>
      <c r="GS242" s="302"/>
      <c r="GT242" s="302"/>
      <c r="GU242" s="302"/>
      <c r="GV242" s="302"/>
      <c r="GW242" s="302"/>
      <c r="GX242" s="302"/>
      <c r="GY242" s="302"/>
      <c r="GZ242" s="302"/>
      <c r="HA242" s="302"/>
      <c r="HB242" s="302"/>
      <c r="HC242" s="302"/>
      <c r="HD242" s="302"/>
      <c r="HE242" s="302"/>
      <c r="HF242" s="302"/>
      <c r="HG242" s="302"/>
      <c r="HH242" s="302"/>
      <c r="HI242" s="302"/>
      <c r="HJ242" s="302"/>
      <c r="HK242" s="302"/>
      <c r="HL242" s="302"/>
      <c r="HM242" s="302"/>
      <c r="HN242" s="302"/>
      <c r="HO242" s="302"/>
      <c r="HP242" s="302"/>
      <c r="HQ242" s="302"/>
      <c r="HR242" s="302"/>
      <c r="HS242" s="302"/>
      <c r="HT242" s="302"/>
      <c r="HU242" s="302"/>
      <c r="HV242" s="302"/>
      <c r="HW242" s="302"/>
      <c r="HX242" s="302"/>
      <c r="HY242" s="302"/>
      <c r="HZ242" s="302"/>
      <c r="IA242" s="302"/>
      <c r="IB242" s="302"/>
      <c r="IC242" s="302"/>
      <c r="ID242" s="302"/>
      <c r="IE242" s="302"/>
      <c r="IF242" s="302"/>
      <c r="IG242" s="302"/>
      <c r="IH242" s="302"/>
      <c r="II242" s="302"/>
      <c r="IJ242" s="302"/>
      <c r="IK242" s="302"/>
      <c r="IL242" s="302"/>
      <c r="IM242" s="302"/>
      <c r="IN242" s="302"/>
      <c r="IO242" s="302"/>
      <c r="IP242" s="302"/>
      <c r="IQ242" s="302"/>
      <c r="IR242" s="302"/>
      <c r="IS242" s="302"/>
      <c r="IT242" s="302"/>
      <c r="IU242" s="302"/>
      <c r="IV242" s="302"/>
      <c r="IW242" s="302"/>
      <c r="IX242" s="302"/>
      <c r="IY242" s="302"/>
      <c r="IZ242" s="302"/>
      <c r="JA242" s="302"/>
      <c r="JB242" s="302"/>
      <c r="JC242" s="302"/>
      <c r="JD242" s="302"/>
      <c r="JE242" s="302"/>
      <c r="JF242" s="302"/>
      <c r="JG242" s="302"/>
      <c r="JH242" s="302"/>
      <c r="JI242" s="302"/>
      <c r="JJ242" s="302"/>
      <c r="JK242" s="302"/>
      <c r="JL242" s="302"/>
      <c r="JM242" s="302"/>
      <c r="JN242" s="302"/>
      <c r="JO242" s="302"/>
      <c r="JP242" s="302"/>
      <c r="JQ242" s="302"/>
      <c r="JR242" s="302"/>
      <c r="JS242" s="302"/>
      <c r="JT242" s="302"/>
      <c r="JU242" s="302"/>
      <c r="JV242" s="302"/>
      <c r="JW242" s="302"/>
      <c r="JX242" s="302"/>
      <c r="JY242" s="302"/>
      <c r="JZ242" s="302"/>
      <c r="KA242" s="302"/>
      <c r="KB242" s="302"/>
      <c r="KC242" s="302"/>
      <c r="KD242" s="302"/>
      <c r="KE242" s="302"/>
      <c r="KF242" s="302"/>
      <c r="KG242" s="302"/>
      <c r="KH242" s="302"/>
      <c r="KI242" s="302"/>
      <c r="KJ242" s="302"/>
      <c r="KK242" s="302"/>
      <c r="KL242" s="302"/>
      <c r="KM242" s="302"/>
      <c r="KN242" s="302"/>
      <c r="KO242" s="302"/>
      <c r="KP242" s="302"/>
      <c r="KQ242" s="302"/>
      <c r="KR242" s="302"/>
      <c r="KS242" s="302"/>
      <c r="KT242" s="302"/>
      <c r="KU242" s="302"/>
      <c r="KV242" s="302"/>
      <c r="KW242" s="302"/>
      <c r="KX242" s="302"/>
      <c r="KY242" s="302"/>
      <c r="KZ242" s="302"/>
      <c r="LA242" s="302"/>
      <c r="LB242" s="302"/>
      <c r="LC242" s="302"/>
      <c r="LD242" s="302"/>
      <c r="LE242" s="302"/>
      <c r="LF242" s="302"/>
      <c r="LG242" s="302"/>
      <c r="LH242" s="302"/>
      <c r="LI242" s="302"/>
      <c r="LJ242" s="302"/>
      <c r="LK242" s="302"/>
      <c r="LL242" s="302"/>
      <c r="LM242" s="302"/>
      <c r="LN242" s="302"/>
      <c r="LO242" s="302"/>
      <c r="LP242" s="302"/>
      <c r="LQ242" s="302"/>
      <c r="LR242" s="302"/>
      <c r="LS242" s="302"/>
      <c r="LT242" s="302"/>
      <c r="LU242" s="302"/>
      <c r="LV242" s="302"/>
      <c r="LW242" s="302"/>
      <c r="LX242" s="302"/>
      <c r="LY242" s="302"/>
      <c r="LZ242" s="302"/>
      <c r="MA242" s="302"/>
      <c r="MB242" s="302"/>
      <c r="MC242" s="302"/>
      <c r="MD242" s="302"/>
      <c r="ME242" s="302"/>
      <c r="MF242" s="302"/>
      <c r="MG242" s="302"/>
      <c r="MH242" s="302"/>
      <c r="MI242" s="302"/>
      <c r="MJ242" s="302"/>
      <c r="MK242" s="302"/>
      <c r="ML242" s="302"/>
      <c r="MM242" s="302"/>
      <c r="MN242" s="302"/>
      <c r="MO242" s="302"/>
      <c r="MP242" s="302"/>
      <c r="MQ242" s="302"/>
      <c r="MR242" s="302"/>
      <c r="MS242" s="302"/>
      <c r="MT242" s="302"/>
      <c r="MU242" s="302"/>
      <c r="MV242" s="302"/>
      <c r="MW242" s="302"/>
      <c r="MX242" s="302"/>
      <c r="MY242" s="302"/>
      <c r="MZ242" s="302"/>
      <c r="NA242" s="302"/>
      <c r="NB242" s="302"/>
      <c r="NC242" s="302"/>
      <c r="ND242" s="302"/>
      <c r="NE242" s="302"/>
      <c r="NF242" s="302"/>
      <c r="NG242" s="302"/>
      <c r="NH242" s="302"/>
      <c r="NI242" s="302"/>
      <c r="NJ242" s="302"/>
      <c r="NK242" s="302"/>
      <c r="NL242" s="302"/>
      <c r="NM242" s="302"/>
      <c r="NN242" s="302"/>
      <c r="NO242" s="302"/>
      <c r="NP242" s="302"/>
      <c r="NQ242" s="302"/>
      <c r="NR242" s="302"/>
      <c r="NS242" s="302"/>
      <c r="NT242" s="302"/>
      <c r="NU242" s="302"/>
      <c r="NV242" s="302"/>
      <c r="NW242" s="302"/>
      <c r="NX242" s="302"/>
      <c r="NY242" s="302"/>
      <c r="NZ242" s="302"/>
      <c r="OA242" s="302"/>
      <c r="OB242" s="302"/>
      <c r="OC242" s="302"/>
      <c r="OD242" s="302"/>
      <c r="OE242" s="302"/>
      <c r="OF242" s="302"/>
      <c r="OG242" s="302"/>
      <c r="OH242" s="302"/>
      <c r="OI242" s="302"/>
      <c r="OJ242" s="302"/>
      <c r="OK242" s="302"/>
      <c r="OL242" s="302"/>
      <c r="OM242" s="302"/>
      <c r="ON242" s="302"/>
      <c r="OO242" s="302"/>
      <c r="OP242" s="302"/>
      <c r="OQ242" s="302"/>
      <c r="OR242" s="302"/>
      <c r="OS242" s="302"/>
      <c r="OT242" s="302"/>
      <c r="OU242" s="302"/>
      <c r="OV242" s="302"/>
      <c r="OW242" s="302"/>
      <c r="OX242" s="302"/>
      <c r="OY242" s="302"/>
      <c r="OZ242" s="302"/>
      <c r="PA242" s="302"/>
      <c r="PB242" s="302"/>
      <c r="PC242" s="302"/>
      <c r="PD242" s="302"/>
      <c r="PE242" s="302"/>
      <c r="PF242" s="302"/>
      <c r="PG242" s="302"/>
      <c r="PH242" s="302"/>
      <c r="PI242" s="302"/>
      <c r="PJ242" s="302"/>
      <c r="PK242" s="302"/>
      <c r="PL242" s="302"/>
      <c r="PM242" s="302"/>
      <c r="PN242" s="302"/>
      <c r="PO242" s="302"/>
      <c r="PP242" s="302"/>
      <c r="PQ242" s="302"/>
      <c r="PR242" s="302"/>
      <c r="PS242" s="302"/>
      <c r="PT242" s="302"/>
      <c r="PU242" s="302"/>
      <c r="PV242" s="302"/>
      <c r="PW242" s="302"/>
      <c r="PX242" s="302"/>
      <c r="PY242" s="302"/>
      <c r="PZ242" s="302"/>
      <c r="QA242" s="302"/>
      <c r="QB242" s="302"/>
      <c r="QC242" s="302"/>
      <c r="QD242" s="302"/>
      <c r="QE242" s="302"/>
      <c r="QF242" s="302"/>
      <c r="QG242" s="302"/>
      <c r="QH242" s="302"/>
      <c r="QI242" s="302"/>
      <c r="QJ242" s="302"/>
      <c r="QK242" s="302"/>
      <c r="QL242" s="302"/>
      <c r="QM242" s="302"/>
      <c r="QN242" s="302"/>
      <c r="QO242" s="302"/>
      <c r="QP242" s="302"/>
      <c r="QQ242" s="302"/>
      <c r="QR242" s="302"/>
      <c r="QS242" s="302"/>
      <c r="QT242" s="302"/>
      <c r="QU242" s="302"/>
      <c r="QV242" s="302"/>
      <c r="QW242" s="302"/>
      <c r="QX242" s="302"/>
      <c r="QY242" s="302"/>
      <c r="QZ242" s="302"/>
      <c r="RA242" s="302"/>
      <c r="RB242" s="302"/>
      <c r="RC242" s="302"/>
      <c r="RD242" s="302"/>
      <c r="RE242" s="302"/>
      <c r="RF242" s="302"/>
      <c r="RG242" s="302"/>
      <c r="RH242" s="302"/>
      <c r="RI242" s="302"/>
      <c r="RJ242" s="302"/>
      <c r="RK242" s="302"/>
      <c r="RL242" s="302"/>
      <c r="RM242" s="302"/>
      <c r="RN242" s="302"/>
      <c r="RO242" s="302"/>
      <c r="RP242" s="302"/>
      <c r="RQ242" s="302"/>
      <c r="RR242" s="302"/>
      <c r="RS242" s="302"/>
      <c r="RT242" s="302"/>
      <c r="RU242" s="302"/>
      <c r="RV242" s="302"/>
      <c r="RW242" s="302"/>
      <c r="RX242" s="302"/>
      <c r="RY242" s="302"/>
      <c r="RZ242" s="302"/>
      <c r="SA242" s="302"/>
      <c r="SB242" s="302"/>
      <c r="SC242" s="302"/>
      <c r="SD242" s="302"/>
      <c r="SE242" s="302"/>
      <c r="SF242" s="302"/>
      <c r="SG242" s="302"/>
      <c r="SH242" s="302"/>
      <c r="SI242" s="302"/>
      <c r="SJ242" s="302"/>
      <c r="SK242" s="302"/>
      <c r="SL242" s="302"/>
      <c r="SM242" s="302"/>
      <c r="SN242" s="302"/>
      <c r="SO242" s="302"/>
      <c r="SP242" s="302"/>
      <c r="SQ242" s="302"/>
      <c r="SR242" s="302"/>
      <c r="SS242" s="302"/>
      <c r="ST242" s="302"/>
      <c r="SU242" s="302"/>
      <c r="SV242" s="302"/>
      <c r="SW242" s="302"/>
      <c r="SX242" s="302"/>
      <c r="SY242" s="302"/>
      <c r="SZ242" s="302"/>
      <c r="TA242" s="302"/>
      <c r="TB242" s="302"/>
      <c r="TC242" s="302"/>
      <c r="TD242" s="302"/>
      <c r="TE242" s="302"/>
      <c r="TF242" s="302"/>
      <c r="TG242" s="302"/>
      <c r="TH242" s="302"/>
      <c r="TI242" s="302"/>
      <c r="TJ242" s="302"/>
      <c r="TK242" s="302"/>
      <c r="TL242" s="302"/>
      <c r="TM242" s="302"/>
      <c r="TN242" s="302"/>
      <c r="TO242" s="302"/>
      <c r="TP242" s="302"/>
      <c r="TQ242" s="302"/>
      <c r="TR242" s="302"/>
      <c r="TS242" s="302"/>
      <c r="TT242" s="302"/>
      <c r="TU242" s="302"/>
      <c r="TV242" s="302"/>
      <c r="TW242" s="302"/>
      <c r="TX242" s="302"/>
      <c r="TY242" s="302"/>
      <c r="TZ242" s="302"/>
      <c r="UA242" s="302"/>
      <c r="UB242" s="302"/>
      <c r="UC242" s="302"/>
      <c r="UD242" s="302"/>
      <c r="UE242" s="302"/>
      <c r="UF242" s="302"/>
      <c r="UG242" s="302"/>
      <c r="UH242" s="302"/>
      <c r="UI242" s="302"/>
      <c r="UJ242" s="302"/>
      <c r="UK242" s="302"/>
      <c r="UL242" s="302"/>
      <c r="UM242" s="302"/>
      <c r="UN242" s="302"/>
      <c r="UO242" s="302"/>
      <c r="UP242" s="302"/>
      <c r="UQ242" s="302"/>
      <c r="UR242" s="302"/>
      <c r="US242" s="302"/>
      <c r="UT242" s="302"/>
      <c r="UU242" s="302"/>
      <c r="UV242" s="302"/>
      <c r="UW242" s="302"/>
      <c r="UX242" s="302"/>
      <c r="UY242" s="302"/>
      <c r="UZ242" s="302"/>
      <c r="VA242" s="302"/>
      <c r="VB242" s="302"/>
      <c r="VC242" s="302"/>
      <c r="VD242" s="302"/>
      <c r="VE242" s="302"/>
      <c r="VF242" s="302"/>
      <c r="VG242" s="302"/>
      <c r="VH242" s="302"/>
      <c r="VI242" s="302"/>
      <c r="VJ242" s="302"/>
      <c r="VK242" s="302"/>
      <c r="VL242" s="302"/>
      <c r="VM242" s="302"/>
      <c r="VN242" s="302"/>
      <c r="VO242" s="302"/>
      <c r="VP242" s="302"/>
      <c r="VQ242" s="302"/>
      <c r="VR242" s="302"/>
      <c r="VS242" s="302"/>
      <c r="VT242" s="302"/>
      <c r="VU242" s="302"/>
      <c r="VV242" s="302"/>
      <c r="VW242" s="302"/>
      <c r="VX242" s="302"/>
      <c r="VY242" s="302"/>
      <c r="VZ242" s="302"/>
      <c r="WA242" s="302"/>
      <c r="WB242" s="302"/>
      <c r="WC242" s="302"/>
      <c r="WD242" s="302"/>
      <c r="WE242" s="302"/>
      <c r="WF242" s="302"/>
      <c r="WG242" s="302"/>
      <c r="WH242" s="302"/>
      <c r="WI242" s="302"/>
      <c r="WJ242" s="302"/>
      <c r="WK242" s="302"/>
      <c r="WL242" s="302"/>
      <c r="WM242" s="302"/>
      <c r="WN242" s="302"/>
      <c r="WO242" s="302"/>
      <c r="WP242" s="302"/>
      <c r="WQ242" s="302"/>
      <c r="WR242" s="302"/>
      <c r="WS242" s="302"/>
      <c r="WT242" s="302"/>
      <c r="WU242" s="302"/>
      <c r="WV242" s="302"/>
      <c r="WW242" s="302"/>
      <c r="WX242" s="302"/>
      <c r="WY242" s="302"/>
      <c r="WZ242" s="302"/>
      <c r="XA242" s="302"/>
      <c r="XB242" s="302"/>
      <c r="XC242" s="302"/>
      <c r="XD242" s="302"/>
      <c r="XE242" s="302"/>
      <c r="XF242" s="302"/>
      <c r="XG242" s="302"/>
      <c r="XH242" s="302"/>
      <c r="XI242" s="302"/>
      <c r="XJ242" s="302"/>
      <c r="XK242" s="302"/>
      <c r="XL242" s="302"/>
      <c r="XM242" s="302"/>
      <c r="XN242" s="302"/>
      <c r="XO242" s="302"/>
      <c r="XP242" s="302"/>
      <c r="XQ242" s="302"/>
      <c r="XR242" s="302"/>
      <c r="XS242" s="302"/>
      <c r="XT242" s="302"/>
      <c r="XU242" s="302"/>
      <c r="XV242" s="302"/>
      <c r="XW242" s="302"/>
      <c r="XX242" s="302"/>
      <c r="XY242" s="302"/>
      <c r="XZ242" s="302"/>
      <c r="YA242" s="302"/>
      <c r="YB242" s="302"/>
      <c r="YC242" s="302"/>
      <c r="YD242" s="302"/>
      <c r="YE242" s="302"/>
      <c r="YF242" s="302"/>
      <c r="YG242" s="302"/>
      <c r="YH242" s="302"/>
      <c r="YI242" s="302"/>
      <c r="YJ242" s="302"/>
      <c r="YK242" s="302"/>
      <c r="YL242" s="302"/>
      <c r="YM242" s="302"/>
      <c r="YN242" s="302"/>
      <c r="YO242" s="302"/>
      <c r="YP242" s="302"/>
      <c r="YQ242" s="302"/>
      <c r="YR242" s="302"/>
      <c r="YS242" s="302"/>
      <c r="YT242" s="302"/>
      <c r="YU242" s="302"/>
      <c r="YV242" s="302"/>
      <c r="YW242" s="302"/>
      <c r="YX242" s="302"/>
      <c r="YY242" s="302"/>
      <c r="YZ242" s="302"/>
      <c r="ZA242" s="302"/>
      <c r="ZB242" s="302"/>
      <c r="ZC242" s="302"/>
      <c r="ZD242" s="302"/>
      <c r="ZE242" s="302"/>
      <c r="ZF242" s="302"/>
      <c r="ZG242" s="302"/>
      <c r="ZH242" s="302"/>
      <c r="ZI242" s="302"/>
      <c r="ZJ242" s="302"/>
      <c r="ZK242" s="302"/>
      <c r="ZL242" s="302"/>
      <c r="ZM242" s="302"/>
      <c r="ZN242" s="302"/>
      <c r="ZO242" s="302"/>
      <c r="ZP242" s="302"/>
      <c r="ZQ242" s="302"/>
      <c r="ZR242" s="302"/>
      <c r="ZS242" s="302"/>
      <c r="ZT242" s="302"/>
      <c r="ZU242" s="302"/>
      <c r="ZV242" s="302"/>
      <c r="ZW242" s="302"/>
      <c r="ZX242" s="302"/>
      <c r="ZY242" s="302"/>
      <c r="ZZ242" s="302"/>
      <c r="AAA242" s="302"/>
      <c r="AAB242" s="302"/>
      <c r="AAC242" s="302"/>
      <c r="AAD242" s="302"/>
      <c r="AAE242" s="302"/>
      <c r="AAF242" s="302"/>
      <c r="AAG242" s="302"/>
      <c r="AAH242" s="302"/>
      <c r="AAI242" s="302"/>
      <c r="AAJ242" s="302"/>
      <c r="AAK242" s="302"/>
      <c r="AAL242" s="302"/>
      <c r="AAM242" s="302"/>
      <c r="AAN242" s="302"/>
      <c r="AAO242" s="302"/>
      <c r="AAP242" s="302"/>
      <c r="AAQ242" s="302"/>
      <c r="AAR242" s="302"/>
      <c r="AAS242" s="302"/>
      <c r="AAT242" s="302"/>
      <c r="AAU242" s="302"/>
      <c r="AAV242" s="302"/>
      <c r="AAW242" s="302"/>
      <c r="AAX242" s="302"/>
      <c r="AAY242" s="302"/>
      <c r="AAZ242" s="302"/>
      <c r="ABA242" s="302"/>
      <c r="ABB242" s="302"/>
      <c r="ABC242" s="302"/>
      <c r="ABD242" s="302"/>
      <c r="ABE242" s="302"/>
      <c r="ABF242" s="302"/>
      <c r="ABG242" s="302"/>
      <c r="ABH242" s="302"/>
      <c r="ABI242" s="302"/>
      <c r="ABJ242" s="302"/>
      <c r="ABK242" s="302"/>
      <c r="ABL242" s="302"/>
      <c r="ABM242" s="302"/>
      <c r="ABN242" s="302"/>
      <c r="ABO242" s="302"/>
      <c r="ABP242" s="302"/>
      <c r="ABQ242" s="302"/>
      <c r="ABR242" s="302"/>
      <c r="ABS242" s="302"/>
      <c r="ABT242" s="302"/>
      <c r="ABU242" s="302"/>
      <c r="ABV242" s="302"/>
      <c r="ABW242" s="302"/>
      <c r="ABX242" s="302"/>
      <c r="ABY242" s="302"/>
      <c r="ABZ242" s="302"/>
      <c r="ACA242" s="302"/>
      <c r="ACB242" s="302"/>
      <c r="ACC242" s="302"/>
      <c r="ACD242" s="302"/>
      <c r="ACE242" s="302"/>
      <c r="ACF242" s="302"/>
      <c r="ACG242" s="302"/>
      <c r="ACH242" s="302"/>
      <c r="ACI242" s="302"/>
      <c r="ACJ242" s="302"/>
      <c r="ACK242" s="302"/>
      <c r="ACL242" s="302"/>
      <c r="ACM242" s="302"/>
      <c r="ACN242" s="302"/>
      <c r="ACO242" s="302"/>
      <c r="ACP242" s="302"/>
      <c r="ACQ242" s="302"/>
      <c r="ACR242" s="302"/>
      <c r="ACS242" s="302"/>
      <c r="ACT242" s="302"/>
      <c r="ACU242" s="302"/>
      <c r="ACV242" s="302"/>
      <c r="ACW242" s="302"/>
      <c r="ACX242" s="302"/>
      <c r="ACY242" s="302"/>
      <c r="ACZ242" s="302"/>
      <c r="ADA242" s="302"/>
      <c r="ADB242" s="302"/>
      <c r="ADC242" s="302"/>
      <c r="ADD242" s="302"/>
      <c r="ADE242" s="302"/>
      <c r="ADF242" s="302"/>
      <c r="ADG242" s="302"/>
      <c r="ADH242" s="302"/>
      <c r="ADI242" s="302"/>
      <c r="ADJ242" s="302"/>
      <c r="ADK242" s="302"/>
      <c r="ADL242" s="302"/>
      <c r="ADM242" s="302"/>
      <c r="ADN242" s="302"/>
      <c r="ADO242" s="302"/>
      <c r="ADP242" s="302"/>
      <c r="ADQ242" s="302"/>
      <c r="ADR242" s="302"/>
      <c r="ADS242" s="302"/>
      <c r="ADT242" s="302"/>
      <c r="ADU242" s="302"/>
      <c r="ADV242" s="302"/>
      <c r="ADW242" s="302"/>
      <c r="ADX242" s="302"/>
      <c r="ADY242" s="302"/>
      <c r="ADZ242" s="302"/>
      <c r="AEA242" s="302"/>
      <c r="AEB242" s="302"/>
      <c r="AEC242" s="302"/>
      <c r="AED242" s="302"/>
      <c r="AEE242" s="302"/>
      <c r="AEF242" s="302"/>
      <c r="AEG242" s="302"/>
      <c r="AEH242" s="302"/>
      <c r="AEI242" s="302"/>
      <c r="AEJ242" s="302"/>
      <c r="AEK242" s="302"/>
      <c r="AEL242" s="302"/>
      <c r="AEM242" s="302"/>
      <c r="AEN242" s="302"/>
      <c r="AEO242" s="302"/>
      <c r="AEP242" s="302"/>
      <c r="AEQ242" s="302"/>
      <c r="AER242" s="302"/>
      <c r="AES242" s="302"/>
      <c r="AET242" s="302"/>
      <c r="AEU242" s="302"/>
      <c r="AEV242" s="302"/>
      <c r="AEW242" s="302"/>
      <c r="AEX242" s="302"/>
      <c r="AEY242" s="302"/>
      <c r="AEZ242" s="302"/>
      <c r="AFA242" s="302"/>
      <c r="AFB242" s="302"/>
      <c r="AFC242" s="302"/>
      <c r="AFD242" s="302"/>
      <c r="AFE242" s="302"/>
      <c r="AFF242" s="302"/>
      <c r="AFG242" s="302"/>
      <c r="AFH242" s="302"/>
      <c r="AFI242" s="302"/>
      <c r="AFJ242" s="302"/>
      <c r="AFK242" s="302"/>
      <c r="AFL242" s="302"/>
      <c r="AFM242" s="302"/>
      <c r="AFN242" s="302"/>
      <c r="AFO242" s="302"/>
      <c r="AFP242" s="302"/>
      <c r="AFQ242" s="302"/>
      <c r="AFR242" s="302"/>
      <c r="AFS242" s="302"/>
      <c r="AFT242" s="302"/>
      <c r="AFU242" s="302"/>
      <c r="AFV242" s="302"/>
      <c r="AFW242" s="302"/>
      <c r="AFX242" s="302"/>
      <c r="AFY242" s="302"/>
      <c r="AFZ242" s="302"/>
      <c r="AGA242" s="302"/>
      <c r="AGB242" s="302"/>
      <c r="AGC242" s="302"/>
      <c r="AGD242" s="302"/>
      <c r="AGE242" s="302"/>
      <c r="AGF242" s="302"/>
      <c r="AGG242" s="302"/>
      <c r="AGH242" s="302"/>
      <c r="AGI242" s="302"/>
      <c r="AGJ242" s="302"/>
      <c r="AGK242" s="302"/>
      <c r="AGL242" s="302"/>
      <c r="AGM242" s="302"/>
      <c r="AGN242" s="302"/>
      <c r="AGO242" s="302"/>
      <c r="AGP242" s="302"/>
      <c r="AGQ242" s="302"/>
      <c r="AGR242" s="302"/>
      <c r="AGS242" s="302"/>
      <c r="AGT242" s="302"/>
      <c r="AGU242" s="302"/>
      <c r="AGV242" s="302"/>
      <c r="AGW242" s="302"/>
      <c r="AGX242" s="302"/>
      <c r="AGY242" s="302"/>
      <c r="AGZ242" s="302"/>
      <c r="AHA242" s="302"/>
      <c r="AHB242" s="302"/>
      <c r="AHC242" s="302"/>
      <c r="AHD242" s="302"/>
      <c r="AHE242" s="302"/>
      <c r="AHF242" s="302"/>
      <c r="AHG242" s="302"/>
      <c r="AHH242" s="302"/>
      <c r="AHI242" s="302"/>
      <c r="AHJ242" s="302"/>
      <c r="AHK242" s="302"/>
      <c r="AHL242" s="302"/>
      <c r="AHM242" s="302"/>
      <c r="AHN242" s="302"/>
      <c r="AHO242" s="302"/>
      <c r="AHP242" s="302"/>
      <c r="AHQ242" s="302"/>
      <c r="AHR242" s="302"/>
      <c r="AHS242" s="302"/>
      <c r="AHT242" s="302"/>
      <c r="AHU242" s="302"/>
      <c r="AHV242" s="302"/>
      <c r="AHW242" s="302"/>
      <c r="AHX242" s="302"/>
      <c r="AHY242" s="302"/>
      <c r="AHZ242" s="302"/>
      <c r="AIA242" s="302"/>
      <c r="AIB242" s="302"/>
      <c r="AIC242" s="302"/>
      <c r="AID242" s="302"/>
      <c r="AIE242" s="302"/>
      <c r="AIF242" s="302"/>
      <c r="AIG242" s="302"/>
      <c r="AIH242" s="302"/>
      <c r="AII242" s="302"/>
      <c r="AIJ242" s="302"/>
      <c r="AIK242" s="302"/>
      <c r="AIL242" s="302"/>
      <c r="AIM242" s="302"/>
      <c r="AIN242" s="302"/>
      <c r="AIO242" s="302"/>
      <c r="AIP242" s="302"/>
      <c r="AIQ242" s="302"/>
      <c r="AIR242" s="302"/>
      <c r="AIS242" s="302"/>
      <c r="AIT242" s="302"/>
      <c r="AIU242" s="302"/>
      <c r="AIV242" s="302"/>
      <c r="AIW242" s="302"/>
      <c r="AIX242" s="302"/>
      <c r="AIY242" s="302"/>
      <c r="AIZ242" s="302"/>
      <c r="AJA242" s="302"/>
      <c r="AJB242" s="302"/>
      <c r="AJC242" s="302"/>
      <c r="AJD242" s="302"/>
      <c r="AJE242" s="302"/>
      <c r="AJF242" s="302"/>
      <c r="AJG242" s="302"/>
      <c r="AJH242" s="302"/>
      <c r="AJI242" s="302"/>
      <c r="AJJ242" s="302"/>
      <c r="AJK242" s="302"/>
      <c r="AJL242" s="302"/>
      <c r="AJM242" s="302"/>
      <c r="AJN242" s="302"/>
      <c r="AJO242" s="302"/>
      <c r="AJP242" s="302"/>
      <c r="AJQ242" s="302"/>
      <c r="AJR242" s="302"/>
      <c r="AJS242" s="302"/>
      <c r="AJT242" s="302"/>
      <c r="AJU242" s="302"/>
      <c r="AJV242" s="302"/>
      <c r="AJW242" s="302"/>
      <c r="AJX242" s="302"/>
      <c r="AJY242" s="302"/>
      <c r="AJZ242" s="302"/>
      <c r="AKA242" s="302"/>
      <c r="AKB242" s="302"/>
      <c r="AKC242" s="302"/>
      <c r="AKD242" s="302"/>
      <c r="AKE242" s="302"/>
      <c r="AKF242" s="302"/>
      <c r="AKG242" s="302"/>
      <c r="AKH242" s="302"/>
      <c r="AKI242" s="302"/>
      <c r="AKJ242" s="302"/>
      <c r="AKK242" s="302"/>
      <c r="AKL242" s="302"/>
      <c r="AKM242" s="302"/>
      <c r="AKN242" s="302"/>
      <c r="AKO242" s="302"/>
      <c r="AKP242" s="302"/>
      <c r="AKQ242" s="302"/>
      <c r="AKR242" s="302"/>
      <c r="AKS242" s="302"/>
      <c r="AKT242" s="302"/>
      <c r="AKU242" s="302"/>
      <c r="AKV242" s="302"/>
      <c r="AKW242" s="302"/>
      <c r="AKX242" s="302"/>
      <c r="AKY242" s="302"/>
      <c r="AKZ242" s="302"/>
      <c r="ALA242" s="302"/>
      <c r="ALB242" s="302"/>
      <c r="ALC242" s="302"/>
      <c r="ALD242" s="302"/>
      <c r="ALE242" s="302"/>
      <c r="ALF242" s="302"/>
      <c r="ALG242" s="302"/>
      <c r="ALH242" s="302"/>
      <c r="ALI242" s="302"/>
      <c r="ALJ242" s="302"/>
      <c r="ALK242" s="302"/>
      <c r="ALL242" s="302"/>
      <c r="ALM242" s="302"/>
      <c r="ALN242" s="302"/>
      <c r="ALO242" s="302"/>
      <c r="ALP242" s="302"/>
      <c r="ALQ242" s="302"/>
      <c r="ALR242" s="302"/>
      <c r="ALS242" s="302"/>
      <c r="ALT242" s="302"/>
      <c r="ALU242" s="302"/>
      <c r="ALV242" s="302"/>
      <c r="ALW242" s="302"/>
      <c r="ALX242" s="302"/>
      <c r="ALY242" s="302"/>
      <c r="ALZ242" s="302"/>
      <c r="AMA242" s="302"/>
      <c r="AMB242" s="302"/>
      <c r="AMC242" s="302"/>
      <c r="AMD242" s="302"/>
      <c r="AME242" s="302"/>
      <c r="AMF242" s="302"/>
      <c r="AMG242" s="302"/>
      <c r="AMH242" s="302"/>
      <c r="AMI242" s="302"/>
    </row>
    <row r="243" spans="1:1023" hidden="1">
      <c r="A243" s="302"/>
      <c r="B243" s="442">
        <v>14004</v>
      </c>
      <c r="C243" s="432">
        <v>0.1</v>
      </c>
      <c r="D243" s="370" t="s">
        <v>147</v>
      </c>
      <c r="E243" s="584">
        <v>2300000</v>
      </c>
      <c r="F243" s="499">
        <v>0.02</v>
      </c>
      <c r="G243" s="369">
        <f t="shared" si="13"/>
        <v>46000</v>
      </c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2"/>
      <c r="AE243" s="302"/>
      <c r="AF243" s="302"/>
      <c r="AG243" s="302"/>
      <c r="AH243" s="302"/>
      <c r="AI243" s="302"/>
      <c r="AJ243" s="302"/>
      <c r="AK243" s="302"/>
      <c r="AL243" s="302"/>
      <c r="AM243" s="302"/>
      <c r="AN243" s="302"/>
      <c r="AO243" s="302"/>
      <c r="AP243" s="302"/>
      <c r="AQ243" s="302"/>
      <c r="AR243" s="302"/>
      <c r="AS243" s="302"/>
      <c r="AT243" s="302"/>
      <c r="AU243" s="302"/>
      <c r="AV243" s="302"/>
      <c r="AW243" s="302"/>
      <c r="AX243" s="302"/>
      <c r="AY243" s="302"/>
      <c r="AZ243" s="302"/>
      <c r="BA243" s="302"/>
      <c r="BB243" s="302"/>
      <c r="BC243" s="302"/>
      <c r="BD243" s="302"/>
      <c r="BE243" s="302"/>
      <c r="BF243" s="302"/>
      <c r="BG243" s="302"/>
      <c r="BH243" s="302"/>
      <c r="BI243" s="302"/>
      <c r="BJ243" s="302"/>
      <c r="BK243" s="302"/>
      <c r="BL243" s="302"/>
      <c r="BM243" s="302"/>
      <c r="BN243" s="302"/>
      <c r="BO243" s="302"/>
      <c r="BP243" s="302"/>
      <c r="BQ243" s="302"/>
      <c r="BR243" s="302"/>
      <c r="BS243" s="302"/>
      <c r="BT243" s="302"/>
      <c r="BU243" s="302"/>
      <c r="BV243" s="302"/>
      <c r="BW243" s="302"/>
      <c r="BX243" s="302"/>
      <c r="BY243" s="302"/>
      <c r="BZ243" s="302"/>
      <c r="CA243" s="302"/>
      <c r="CB243" s="302"/>
      <c r="CC243" s="302"/>
      <c r="CD243" s="302"/>
      <c r="CE243" s="302"/>
      <c r="CF243" s="302"/>
      <c r="CG243" s="302"/>
      <c r="CH243" s="302"/>
      <c r="CI243" s="302"/>
      <c r="CJ243" s="302"/>
      <c r="CK243" s="302"/>
      <c r="CL243" s="302"/>
      <c r="CM243" s="302"/>
      <c r="CN243" s="302"/>
      <c r="CO243" s="302"/>
      <c r="CP243" s="302"/>
      <c r="CQ243" s="302"/>
      <c r="CR243" s="302"/>
      <c r="CS243" s="302"/>
      <c r="CT243" s="302"/>
      <c r="CU243" s="302"/>
      <c r="CV243" s="302"/>
      <c r="CW243" s="302"/>
      <c r="CX243" s="302"/>
      <c r="CY243" s="302"/>
      <c r="CZ243" s="302"/>
      <c r="DA243" s="302"/>
      <c r="DB243" s="302"/>
      <c r="DC243" s="302"/>
      <c r="DD243" s="302"/>
      <c r="DE243" s="302"/>
      <c r="DF243" s="302"/>
      <c r="DG243" s="302"/>
      <c r="DH243" s="302"/>
      <c r="DI243" s="302"/>
      <c r="DJ243" s="302"/>
      <c r="DK243" s="302"/>
      <c r="DL243" s="302"/>
      <c r="DM243" s="302"/>
      <c r="DN243" s="302"/>
      <c r="DO243" s="302"/>
      <c r="DP243" s="302"/>
      <c r="DQ243" s="302"/>
      <c r="DR243" s="302"/>
      <c r="DS243" s="302"/>
      <c r="DT243" s="302"/>
      <c r="DU243" s="302"/>
      <c r="DV243" s="302"/>
      <c r="DW243" s="302"/>
      <c r="DX243" s="302"/>
      <c r="DY243" s="302"/>
      <c r="DZ243" s="302"/>
      <c r="EA243" s="302"/>
      <c r="EB243" s="302"/>
      <c r="EC243" s="302"/>
      <c r="ED243" s="302"/>
      <c r="EE243" s="302"/>
      <c r="EF243" s="302"/>
      <c r="EG243" s="302"/>
      <c r="EH243" s="302"/>
      <c r="EI243" s="302"/>
      <c r="EJ243" s="302"/>
      <c r="EK243" s="302"/>
      <c r="EL243" s="302"/>
      <c r="EM243" s="302"/>
      <c r="EN243" s="302"/>
      <c r="EO243" s="302"/>
      <c r="EP243" s="302"/>
      <c r="EQ243" s="302"/>
      <c r="ER243" s="302"/>
      <c r="ES243" s="302"/>
      <c r="ET243" s="302"/>
      <c r="EU243" s="302"/>
      <c r="EV243" s="302"/>
      <c r="EW243" s="302"/>
      <c r="EX243" s="302"/>
      <c r="EY243" s="302"/>
      <c r="EZ243" s="302"/>
      <c r="FA243" s="302"/>
      <c r="FB243" s="302"/>
      <c r="FC243" s="302"/>
      <c r="FD243" s="302"/>
      <c r="FE243" s="302"/>
      <c r="FF243" s="302"/>
      <c r="FG243" s="302"/>
      <c r="FH243" s="302"/>
      <c r="FI243" s="302"/>
      <c r="FJ243" s="302"/>
      <c r="FK243" s="302"/>
      <c r="FL243" s="302"/>
      <c r="FM243" s="302"/>
      <c r="FN243" s="302"/>
      <c r="FO243" s="302"/>
      <c r="FP243" s="302"/>
      <c r="FQ243" s="302"/>
      <c r="FR243" s="302"/>
      <c r="FS243" s="302"/>
      <c r="FT243" s="302"/>
      <c r="FU243" s="302"/>
      <c r="FV243" s="302"/>
      <c r="FW243" s="302"/>
      <c r="FX243" s="302"/>
      <c r="FY243" s="302"/>
      <c r="FZ243" s="302"/>
      <c r="GA243" s="302"/>
      <c r="GB243" s="302"/>
      <c r="GC243" s="302"/>
      <c r="GD243" s="302"/>
      <c r="GE243" s="302"/>
      <c r="GF243" s="302"/>
      <c r="GG243" s="302"/>
      <c r="GH243" s="302"/>
      <c r="GI243" s="302"/>
      <c r="GJ243" s="302"/>
      <c r="GK243" s="302"/>
      <c r="GL243" s="302"/>
      <c r="GM243" s="302"/>
      <c r="GN243" s="302"/>
      <c r="GO243" s="302"/>
      <c r="GP243" s="302"/>
      <c r="GQ243" s="302"/>
      <c r="GR243" s="302"/>
      <c r="GS243" s="302"/>
      <c r="GT243" s="302"/>
      <c r="GU243" s="302"/>
      <c r="GV243" s="302"/>
      <c r="GW243" s="302"/>
      <c r="GX243" s="302"/>
      <c r="GY243" s="302"/>
      <c r="GZ243" s="302"/>
      <c r="HA243" s="302"/>
      <c r="HB243" s="302"/>
      <c r="HC243" s="302"/>
      <c r="HD243" s="302"/>
      <c r="HE243" s="302"/>
      <c r="HF243" s="302"/>
      <c r="HG243" s="302"/>
      <c r="HH243" s="302"/>
      <c r="HI243" s="302"/>
      <c r="HJ243" s="302"/>
      <c r="HK243" s="302"/>
      <c r="HL243" s="302"/>
      <c r="HM243" s="302"/>
      <c r="HN243" s="302"/>
      <c r="HO243" s="302"/>
      <c r="HP243" s="302"/>
      <c r="HQ243" s="302"/>
      <c r="HR243" s="302"/>
      <c r="HS243" s="302"/>
      <c r="HT243" s="302"/>
      <c r="HU243" s="302"/>
      <c r="HV243" s="302"/>
      <c r="HW243" s="302"/>
      <c r="HX243" s="302"/>
      <c r="HY243" s="302"/>
      <c r="HZ243" s="302"/>
      <c r="IA243" s="302"/>
      <c r="IB243" s="302"/>
      <c r="IC243" s="302"/>
      <c r="ID243" s="302"/>
      <c r="IE243" s="302"/>
      <c r="IF243" s="302"/>
      <c r="IG243" s="302"/>
      <c r="IH243" s="302"/>
      <c r="II243" s="302"/>
      <c r="IJ243" s="302"/>
      <c r="IK243" s="302"/>
      <c r="IL243" s="302"/>
      <c r="IM243" s="302"/>
      <c r="IN243" s="302"/>
      <c r="IO243" s="302"/>
      <c r="IP243" s="302"/>
      <c r="IQ243" s="302"/>
      <c r="IR243" s="302"/>
      <c r="IS243" s="302"/>
      <c r="IT243" s="302"/>
      <c r="IU243" s="302"/>
      <c r="IV243" s="302"/>
      <c r="IW243" s="302"/>
      <c r="IX243" s="302"/>
      <c r="IY243" s="302"/>
      <c r="IZ243" s="302"/>
      <c r="JA243" s="302"/>
      <c r="JB243" s="302"/>
      <c r="JC243" s="302"/>
      <c r="JD243" s="302"/>
      <c r="JE243" s="302"/>
      <c r="JF243" s="302"/>
      <c r="JG243" s="302"/>
      <c r="JH243" s="302"/>
      <c r="JI243" s="302"/>
      <c r="JJ243" s="302"/>
      <c r="JK243" s="302"/>
      <c r="JL243" s="302"/>
      <c r="JM243" s="302"/>
      <c r="JN243" s="302"/>
      <c r="JO243" s="302"/>
      <c r="JP243" s="302"/>
      <c r="JQ243" s="302"/>
      <c r="JR243" s="302"/>
      <c r="JS243" s="302"/>
      <c r="JT243" s="302"/>
      <c r="JU243" s="302"/>
      <c r="JV243" s="302"/>
      <c r="JW243" s="302"/>
      <c r="JX243" s="302"/>
      <c r="JY243" s="302"/>
      <c r="JZ243" s="302"/>
      <c r="KA243" s="302"/>
      <c r="KB243" s="302"/>
      <c r="KC243" s="302"/>
      <c r="KD243" s="302"/>
      <c r="KE243" s="302"/>
      <c r="KF243" s="302"/>
      <c r="KG243" s="302"/>
      <c r="KH243" s="302"/>
      <c r="KI243" s="302"/>
      <c r="KJ243" s="302"/>
      <c r="KK243" s="302"/>
      <c r="KL243" s="302"/>
      <c r="KM243" s="302"/>
      <c r="KN243" s="302"/>
      <c r="KO243" s="302"/>
      <c r="KP243" s="302"/>
      <c r="KQ243" s="302"/>
      <c r="KR243" s="302"/>
      <c r="KS243" s="302"/>
      <c r="KT243" s="302"/>
      <c r="KU243" s="302"/>
      <c r="KV243" s="302"/>
      <c r="KW243" s="302"/>
      <c r="KX243" s="302"/>
      <c r="KY243" s="302"/>
      <c r="KZ243" s="302"/>
      <c r="LA243" s="302"/>
      <c r="LB243" s="302"/>
      <c r="LC243" s="302"/>
      <c r="LD243" s="302"/>
      <c r="LE243" s="302"/>
      <c r="LF243" s="302"/>
      <c r="LG243" s="302"/>
      <c r="LH243" s="302"/>
      <c r="LI243" s="302"/>
      <c r="LJ243" s="302"/>
      <c r="LK243" s="302"/>
      <c r="LL243" s="302"/>
      <c r="LM243" s="302"/>
      <c r="LN243" s="302"/>
      <c r="LO243" s="302"/>
      <c r="LP243" s="302"/>
      <c r="LQ243" s="302"/>
      <c r="LR243" s="302"/>
      <c r="LS243" s="302"/>
      <c r="LT243" s="302"/>
      <c r="LU243" s="302"/>
      <c r="LV243" s="302"/>
      <c r="LW243" s="302"/>
      <c r="LX243" s="302"/>
      <c r="LY243" s="302"/>
      <c r="LZ243" s="302"/>
      <c r="MA243" s="302"/>
      <c r="MB243" s="302"/>
      <c r="MC243" s="302"/>
      <c r="MD243" s="302"/>
      <c r="ME243" s="302"/>
      <c r="MF243" s="302"/>
      <c r="MG243" s="302"/>
      <c r="MH243" s="302"/>
      <c r="MI243" s="302"/>
      <c r="MJ243" s="302"/>
      <c r="MK243" s="302"/>
      <c r="ML243" s="302"/>
      <c r="MM243" s="302"/>
      <c r="MN243" s="302"/>
      <c r="MO243" s="302"/>
      <c r="MP243" s="302"/>
      <c r="MQ243" s="302"/>
      <c r="MR243" s="302"/>
      <c r="MS243" s="302"/>
      <c r="MT243" s="302"/>
      <c r="MU243" s="302"/>
      <c r="MV243" s="302"/>
      <c r="MW243" s="302"/>
      <c r="MX243" s="302"/>
      <c r="MY243" s="302"/>
      <c r="MZ243" s="302"/>
      <c r="NA243" s="302"/>
      <c r="NB243" s="302"/>
      <c r="NC243" s="302"/>
      <c r="ND243" s="302"/>
      <c r="NE243" s="302"/>
      <c r="NF243" s="302"/>
      <c r="NG243" s="302"/>
      <c r="NH243" s="302"/>
      <c r="NI243" s="302"/>
      <c r="NJ243" s="302"/>
      <c r="NK243" s="302"/>
      <c r="NL243" s="302"/>
      <c r="NM243" s="302"/>
      <c r="NN243" s="302"/>
      <c r="NO243" s="302"/>
      <c r="NP243" s="302"/>
      <c r="NQ243" s="302"/>
      <c r="NR243" s="302"/>
      <c r="NS243" s="302"/>
      <c r="NT243" s="302"/>
      <c r="NU243" s="302"/>
      <c r="NV243" s="302"/>
      <c r="NW243" s="302"/>
      <c r="NX243" s="302"/>
      <c r="NY243" s="302"/>
      <c r="NZ243" s="302"/>
      <c r="OA243" s="302"/>
      <c r="OB243" s="302"/>
      <c r="OC243" s="302"/>
      <c r="OD243" s="302"/>
      <c r="OE243" s="302"/>
      <c r="OF243" s="302"/>
      <c r="OG243" s="302"/>
      <c r="OH243" s="302"/>
      <c r="OI243" s="302"/>
      <c r="OJ243" s="302"/>
      <c r="OK243" s="302"/>
      <c r="OL243" s="302"/>
      <c r="OM243" s="302"/>
      <c r="ON243" s="302"/>
      <c r="OO243" s="302"/>
      <c r="OP243" s="302"/>
      <c r="OQ243" s="302"/>
      <c r="OR243" s="302"/>
      <c r="OS243" s="302"/>
      <c r="OT243" s="302"/>
      <c r="OU243" s="302"/>
      <c r="OV243" s="302"/>
      <c r="OW243" s="302"/>
      <c r="OX243" s="302"/>
      <c r="OY243" s="302"/>
      <c r="OZ243" s="302"/>
      <c r="PA243" s="302"/>
      <c r="PB243" s="302"/>
      <c r="PC243" s="302"/>
      <c r="PD243" s="302"/>
      <c r="PE243" s="302"/>
      <c r="PF243" s="302"/>
      <c r="PG243" s="302"/>
      <c r="PH243" s="302"/>
      <c r="PI243" s="302"/>
      <c r="PJ243" s="302"/>
      <c r="PK243" s="302"/>
      <c r="PL243" s="302"/>
      <c r="PM243" s="302"/>
      <c r="PN243" s="302"/>
      <c r="PO243" s="302"/>
      <c r="PP243" s="302"/>
      <c r="PQ243" s="302"/>
      <c r="PR243" s="302"/>
      <c r="PS243" s="302"/>
      <c r="PT243" s="302"/>
      <c r="PU243" s="302"/>
      <c r="PV243" s="302"/>
      <c r="PW243" s="302"/>
      <c r="PX243" s="302"/>
      <c r="PY243" s="302"/>
      <c r="PZ243" s="302"/>
      <c r="QA243" s="302"/>
      <c r="QB243" s="302"/>
      <c r="QC243" s="302"/>
      <c r="QD243" s="302"/>
      <c r="QE243" s="302"/>
      <c r="QF243" s="302"/>
      <c r="QG243" s="302"/>
      <c r="QH243" s="302"/>
      <c r="QI243" s="302"/>
      <c r="QJ243" s="302"/>
      <c r="QK243" s="302"/>
      <c r="QL243" s="302"/>
      <c r="QM243" s="302"/>
      <c r="QN243" s="302"/>
      <c r="QO243" s="302"/>
      <c r="QP243" s="302"/>
      <c r="QQ243" s="302"/>
      <c r="QR243" s="302"/>
      <c r="QS243" s="302"/>
      <c r="QT243" s="302"/>
      <c r="QU243" s="302"/>
      <c r="QV243" s="302"/>
      <c r="QW243" s="302"/>
      <c r="QX243" s="302"/>
      <c r="QY243" s="302"/>
      <c r="QZ243" s="302"/>
      <c r="RA243" s="302"/>
      <c r="RB243" s="302"/>
      <c r="RC243" s="302"/>
      <c r="RD243" s="302"/>
      <c r="RE243" s="302"/>
      <c r="RF243" s="302"/>
      <c r="RG243" s="302"/>
      <c r="RH243" s="302"/>
      <c r="RI243" s="302"/>
      <c r="RJ243" s="302"/>
      <c r="RK243" s="302"/>
      <c r="RL243" s="302"/>
      <c r="RM243" s="302"/>
      <c r="RN243" s="302"/>
      <c r="RO243" s="302"/>
      <c r="RP243" s="302"/>
      <c r="RQ243" s="302"/>
      <c r="RR243" s="302"/>
      <c r="RS243" s="302"/>
      <c r="RT243" s="302"/>
      <c r="RU243" s="302"/>
      <c r="RV243" s="302"/>
      <c r="RW243" s="302"/>
      <c r="RX243" s="302"/>
      <c r="RY243" s="302"/>
      <c r="RZ243" s="302"/>
      <c r="SA243" s="302"/>
      <c r="SB243" s="302"/>
      <c r="SC243" s="302"/>
      <c r="SD243" s="302"/>
      <c r="SE243" s="302"/>
      <c r="SF243" s="302"/>
      <c r="SG243" s="302"/>
      <c r="SH243" s="302"/>
      <c r="SI243" s="302"/>
      <c r="SJ243" s="302"/>
      <c r="SK243" s="302"/>
      <c r="SL243" s="302"/>
      <c r="SM243" s="302"/>
      <c r="SN243" s="302"/>
      <c r="SO243" s="302"/>
      <c r="SP243" s="302"/>
      <c r="SQ243" s="302"/>
      <c r="SR243" s="302"/>
      <c r="SS243" s="302"/>
      <c r="ST243" s="302"/>
      <c r="SU243" s="302"/>
      <c r="SV243" s="302"/>
      <c r="SW243" s="302"/>
      <c r="SX243" s="302"/>
      <c r="SY243" s="302"/>
      <c r="SZ243" s="302"/>
      <c r="TA243" s="302"/>
      <c r="TB243" s="302"/>
      <c r="TC243" s="302"/>
      <c r="TD243" s="302"/>
      <c r="TE243" s="302"/>
      <c r="TF243" s="302"/>
      <c r="TG243" s="302"/>
      <c r="TH243" s="302"/>
      <c r="TI243" s="302"/>
      <c r="TJ243" s="302"/>
      <c r="TK243" s="302"/>
      <c r="TL243" s="302"/>
      <c r="TM243" s="302"/>
      <c r="TN243" s="302"/>
      <c r="TO243" s="302"/>
      <c r="TP243" s="302"/>
      <c r="TQ243" s="302"/>
      <c r="TR243" s="302"/>
      <c r="TS243" s="302"/>
      <c r="TT243" s="302"/>
      <c r="TU243" s="302"/>
      <c r="TV243" s="302"/>
      <c r="TW243" s="302"/>
      <c r="TX243" s="302"/>
      <c r="TY243" s="302"/>
      <c r="TZ243" s="302"/>
      <c r="UA243" s="302"/>
      <c r="UB243" s="302"/>
      <c r="UC243" s="302"/>
      <c r="UD243" s="302"/>
      <c r="UE243" s="302"/>
      <c r="UF243" s="302"/>
      <c r="UG243" s="302"/>
      <c r="UH243" s="302"/>
      <c r="UI243" s="302"/>
      <c r="UJ243" s="302"/>
      <c r="UK243" s="302"/>
      <c r="UL243" s="302"/>
      <c r="UM243" s="302"/>
      <c r="UN243" s="302"/>
      <c r="UO243" s="302"/>
      <c r="UP243" s="302"/>
      <c r="UQ243" s="302"/>
      <c r="UR243" s="302"/>
      <c r="US243" s="302"/>
      <c r="UT243" s="302"/>
      <c r="UU243" s="302"/>
      <c r="UV243" s="302"/>
      <c r="UW243" s="302"/>
      <c r="UX243" s="302"/>
      <c r="UY243" s="302"/>
      <c r="UZ243" s="302"/>
      <c r="VA243" s="302"/>
      <c r="VB243" s="302"/>
      <c r="VC243" s="302"/>
      <c r="VD243" s="302"/>
      <c r="VE243" s="302"/>
      <c r="VF243" s="302"/>
      <c r="VG243" s="302"/>
      <c r="VH243" s="302"/>
      <c r="VI243" s="302"/>
      <c r="VJ243" s="302"/>
      <c r="VK243" s="302"/>
      <c r="VL243" s="302"/>
      <c r="VM243" s="302"/>
      <c r="VN243" s="302"/>
      <c r="VO243" s="302"/>
      <c r="VP243" s="302"/>
      <c r="VQ243" s="302"/>
      <c r="VR243" s="302"/>
      <c r="VS243" s="302"/>
      <c r="VT243" s="302"/>
      <c r="VU243" s="302"/>
      <c r="VV243" s="302"/>
      <c r="VW243" s="302"/>
      <c r="VX243" s="302"/>
      <c r="VY243" s="302"/>
      <c r="VZ243" s="302"/>
      <c r="WA243" s="302"/>
      <c r="WB243" s="302"/>
      <c r="WC243" s="302"/>
      <c r="WD243" s="302"/>
      <c r="WE243" s="302"/>
      <c r="WF243" s="302"/>
      <c r="WG243" s="302"/>
      <c r="WH243" s="302"/>
      <c r="WI243" s="302"/>
      <c r="WJ243" s="302"/>
      <c r="WK243" s="302"/>
      <c r="WL243" s="302"/>
      <c r="WM243" s="302"/>
      <c r="WN243" s="302"/>
      <c r="WO243" s="302"/>
      <c r="WP243" s="302"/>
      <c r="WQ243" s="302"/>
      <c r="WR243" s="302"/>
      <c r="WS243" s="302"/>
      <c r="WT243" s="302"/>
      <c r="WU243" s="302"/>
      <c r="WV243" s="302"/>
      <c r="WW243" s="302"/>
      <c r="WX243" s="302"/>
      <c r="WY243" s="302"/>
      <c r="WZ243" s="302"/>
      <c r="XA243" s="302"/>
      <c r="XB243" s="302"/>
      <c r="XC243" s="302"/>
      <c r="XD243" s="302"/>
      <c r="XE243" s="302"/>
      <c r="XF243" s="302"/>
      <c r="XG243" s="302"/>
      <c r="XH243" s="302"/>
      <c r="XI243" s="302"/>
      <c r="XJ243" s="302"/>
      <c r="XK243" s="302"/>
      <c r="XL243" s="302"/>
      <c r="XM243" s="302"/>
      <c r="XN243" s="302"/>
      <c r="XO243" s="302"/>
      <c r="XP243" s="302"/>
      <c r="XQ243" s="302"/>
      <c r="XR243" s="302"/>
      <c r="XS243" s="302"/>
      <c r="XT243" s="302"/>
      <c r="XU243" s="302"/>
      <c r="XV243" s="302"/>
      <c r="XW243" s="302"/>
      <c r="XX243" s="302"/>
      <c r="XY243" s="302"/>
      <c r="XZ243" s="302"/>
      <c r="YA243" s="302"/>
      <c r="YB243" s="302"/>
      <c r="YC243" s="302"/>
      <c r="YD243" s="302"/>
      <c r="YE243" s="302"/>
      <c r="YF243" s="302"/>
      <c r="YG243" s="302"/>
      <c r="YH243" s="302"/>
      <c r="YI243" s="302"/>
      <c r="YJ243" s="302"/>
      <c r="YK243" s="302"/>
      <c r="YL243" s="302"/>
      <c r="YM243" s="302"/>
      <c r="YN243" s="302"/>
      <c r="YO243" s="302"/>
      <c r="YP243" s="302"/>
      <c r="YQ243" s="302"/>
      <c r="YR243" s="302"/>
      <c r="YS243" s="302"/>
      <c r="YT243" s="302"/>
      <c r="YU243" s="302"/>
      <c r="YV243" s="302"/>
      <c r="YW243" s="302"/>
      <c r="YX243" s="302"/>
      <c r="YY243" s="302"/>
      <c r="YZ243" s="302"/>
      <c r="ZA243" s="302"/>
      <c r="ZB243" s="302"/>
      <c r="ZC243" s="302"/>
      <c r="ZD243" s="302"/>
      <c r="ZE243" s="302"/>
      <c r="ZF243" s="302"/>
      <c r="ZG243" s="302"/>
      <c r="ZH243" s="302"/>
      <c r="ZI243" s="302"/>
      <c r="ZJ243" s="302"/>
      <c r="ZK243" s="302"/>
      <c r="ZL243" s="302"/>
      <c r="ZM243" s="302"/>
      <c r="ZN243" s="302"/>
      <c r="ZO243" s="302"/>
      <c r="ZP243" s="302"/>
      <c r="ZQ243" s="302"/>
      <c r="ZR243" s="302"/>
      <c r="ZS243" s="302"/>
      <c r="ZT243" s="302"/>
      <c r="ZU243" s="302"/>
      <c r="ZV243" s="302"/>
      <c r="ZW243" s="302"/>
      <c r="ZX243" s="302"/>
      <c r="ZY243" s="302"/>
      <c r="ZZ243" s="302"/>
      <c r="AAA243" s="302"/>
      <c r="AAB243" s="302"/>
      <c r="AAC243" s="302"/>
      <c r="AAD243" s="302"/>
      <c r="AAE243" s="302"/>
      <c r="AAF243" s="302"/>
      <c r="AAG243" s="302"/>
      <c r="AAH243" s="302"/>
      <c r="AAI243" s="302"/>
      <c r="AAJ243" s="302"/>
      <c r="AAK243" s="302"/>
      <c r="AAL243" s="302"/>
      <c r="AAM243" s="302"/>
      <c r="AAN243" s="302"/>
      <c r="AAO243" s="302"/>
      <c r="AAP243" s="302"/>
      <c r="AAQ243" s="302"/>
      <c r="AAR243" s="302"/>
      <c r="AAS243" s="302"/>
      <c r="AAT243" s="302"/>
      <c r="AAU243" s="302"/>
      <c r="AAV243" s="302"/>
      <c r="AAW243" s="302"/>
      <c r="AAX243" s="302"/>
      <c r="AAY243" s="302"/>
      <c r="AAZ243" s="302"/>
      <c r="ABA243" s="302"/>
      <c r="ABB243" s="302"/>
      <c r="ABC243" s="302"/>
      <c r="ABD243" s="302"/>
      <c r="ABE243" s="302"/>
      <c r="ABF243" s="302"/>
      <c r="ABG243" s="302"/>
      <c r="ABH243" s="302"/>
      <c r="ABI243" s="302"/>
      <c r="ABJ243" s="302"/>
      <c r="ABK243" s="302"/>
      <c r="ABL243" s="302"/>
      <c r="ABM243" s="302"/>
      <c r="ABN243" s="302"/>
      <c r="ABO243" s="302"/>
      <c r="ABP243" s="302"/>
      <c r="ABQ243" s="302"/>
      <c r="ABR243" s="302"/>
      <c r="ABS243" s="302"/>
      <c r="ABT243" s="302"/>
      <c r="ABU243" s="302"/>
      <c r="ABV243" s="302"/>
      <c r="ABW243" s="302"/>
      <c r="ABX243" s="302"/>
      <c r="ABY243" s="302"/>
      <c r="ABZ243" s="302"/>
      <c r="ACA243" s="302"/>
      <c r="ACB243" s="302"/>
      <c r="ACC243" s="302"/>
      <c r="ACD243" s="302"/>
      <c r="ACE243" s="302"/>
      <c r="ACF243" s="302"/>
      <c r="ACG243" s="302"/>
      <c r="ACH243" s="302"/>
      <c r="ACI243" s="302"/>
      <c r="ACJ243" s="302"/>
      <c r="ACK243" s="302"/>
      <c r="ACL243" s="302"/>
      <c r="ACM243" s="302"/>
      <c r="ACN243" s="302"/>
      <c r="ACO243" s="302"/>
      <c r="ACP243" s="302"/>
      <c r="ACQ243" s="302"/>
      <c r="ACR243" s="302"/>
      <c r="ACS243" s="302"/>
      <c r="ACT243" s="302"/>
      <c r="ACU243" s="302"/>
      <c r="ACV243" s="302"/>
      <c r="ACW243" s="302"/>
      <c r="ACX243" s="302"/>
      <c r="ACY243" s="302"/>
      <c r="ACZ243" s="302"/>
      <c r="ADA243" s="302"/>
      <c r="ADB243" s="302"/>
      <c r="ADC243" s="302"/>
      <c r="ADD243" s="302"/>
      <c r="ADE243" s="302"/>
      <c r="ADF243" s="302"/>
      <c r="ADG243" s="302"/>
      <c r="ADH243" s="302"/>
      <c r="ADI243" s="302"/>
      <c r="ADJ243" s="302"/>
      <c r="ADK243" s="302"/>
      <c r="ADL243" s="302"/>
      <c r="ADM243" s="302"/>
      <c r="ADN243" s="302"/>
      <c r="ADO243" s="302"/>
      <c r="ADP243" s="302"/>
      <c r="ADQ243" s="302"/>
      <c r="ADR243" s="302"/>
      <c r="ADS243" s="302"/>
      <c r="ADT243" s="302"/>
      <c r="ADU243" s="302"/>
      <c r="ADV243" s="302"/>
      <c r="ADW243" s="302"/>
      <c r="ADX243" s="302"/>
      <c r="ADY243" s="302"/>
      <c r="ADZ243" s="302"/>
      <c r="AEA243" s="302"/>
      <c r="AEB243" s="302"/>
      <c r="AEC243" s="302"/>
      <c r="AED243" s="302"/>
      <c r="AEE243" s="302"/>
      <c r="AEF243" s="302"/>
      <c r="AEG243" s="302"/>
      <c r="AEH243" s="302"/>
      <c r="AEI243" s="302"/>
      <c r="AEJ243" s="302"/>
      <c r="AEK243" s="302"/>
      <c r="AEL243" s="302"/>
      <c r="AEM243" s="302"/>
      <c r="AEN243" s="302"/>
      <c r="AEO243" s="302"/>
      <c r="AEP243" s="302"/>
      <c r="AEQ243" s="302"/>
      <c r="AER243" s="302"/>
      <c r="AES243" s="302"/>
      <c r="AET243" s="302"/>
      <c r="AEU243" s="302"/>
      <c r="AEV243" s="302"/>
      <c r="AEW243" s="302"/>
      <c r="AEX243" s="302"/>
      <c r="AEY243" s="302"/>
      <c r="AEZ243" s="302"/>
      <c r="AFA243" s="302"/>
      <c r="AFB243" s="302"/>
      <c r="AFC243" s="302"/>
      <c r="AFD243" s="302"/>
      <c r="AFE243" s="302"/>
      <c r="AFF243" s="302"/>
      <c r="AFG243" s="302"/>
      <c r="AFH243" s="302"/>
      <c r="AFI243" s="302"/>
      <c r="AFJ243" s="302"/>
      <c r="AFK243" s="302"/>
      <c r="AFL243" s="302"/>
      <c r="AFM243" s="302"/>
      <c r="AFN243" s="302"/>
      <c r="AFO243" s="302"/>
      <c r="AFP243" s="302"/>
      <c r="AFQ243" s="302"/>
      <c r="AFR243" s="302"/>
      <c r="AFS243" s="302"/>
      <c r="AFT243" s="302"/>
      <c r="AFU243" s="302"/>
      <c r="AFV243" s="302"/>
      <c r="AFW243" s="302"/>
      <c r="AFX243" s="302"/>
      <c r="AFY243" s="302"/>
      <c r="AFZ243" s="302"/>
      <c r="AGA243" s="302"/>
      <c r="AGB243" s="302"/>
      <c r="AGC243" s="302"/>
      <c r="AGD243" s="302"/>
      <c r="AGE243" s="302"/>
      <c r="AGF243" s="302"/>
      <c r="AGG243" s="302"/>
      <c r="AGH243" s="302"/>
      <c r="AGI243" s="302"/>
      <c r="AGJ243" s="302"/>
      <c r="AGK243" s="302"/>
      <c r="AGL243" s="302"/>
      <c r="AGM243" s="302"/>
      <c r="AGN243" s="302"/>
      <c r="AGO243" s="302"/>
      <c r="AGP243" s="302"/>
      <c r="AGQ243" s="302"/>
      <c r="AGR243" s="302"/>
      <c r="AGS243" s="302"/>
      <c r="AGT243" s="302"/>
      <c r="AGU243" s="302"/>
      <c r="AGV243" s="302"/>
      <c r="AGW243" s="302"/>
      <c r="AGX243" s="302"/>
      <c r="AGY243" s="302"/>
      <c r="AGZ243" s="302"/>
      <c r="AHA243" s="302"/>
      <c r="AHB243" s="302"/>
      <c r="AHC243" s="302"/>
      <c r="AHD243" s="302"/>
      <c r="AHE243" s="302"/>
      <c r="AHF243" s="302"/>
      <c r="AHG243" s="302"/>
      <c r="AHH243" s="302"/>
      <c r="AHI243" s="302"/>
      <c r="AHJ243" s="302"/>
      <c r="AHK243" s="302"/>
      <c r="AHL243" s="302"/>
      <c r="AHM243" s="302"/>
      <c r="AHN243" s="302"/>
      <c r="AHO243" s="302"/>
      <c r="AHP243" s="302"/>
      <c r="AHQ243" s="302"/>
      <c r="AHR243" s="302"/>
      <c r="AHS243" s="302"/>
      <c r="AHT243" s="302"/>
      <c r="AHU243" s="302"/>
      <c r="AHV243" s="302"/>
      <c r="AHW243" s="302"/>
      <c r="AHX243" s="302"/>
      <c r="AHY243" s="302"/>
      <c r="AHZ243" s="302"/>
      <c r="AIA243" s="302"/>
      <c r="AIB243" s="302"/>
      <c r="AIC243" s="302"/>
      <c r="AID243" s="302"/>
      <c r="AIE243" s="302"/>
      <c r="AIF243" s="302"/>
      <c r="AIG243" s="302"/>
      <c r="AIH243" s="302"/>
      <c r="AII243" s="302"/>
      <c r="AIJ243" s="302"/>
      <c r="AIK243" s="302"/>
      <c r="AIL243" s="302"/>
      <c r="AIM243" s="302"/>
      <c r="AIN243" s="302"/>
      <c r="AIO243" s="302"/>
      <c r="AIP243" s="302"/>
      <c r="AIQ243" s="302"/>
      <c r="AIR243" s="302"/>
      <c r="AIS243" s="302"/>
      <c r="AIT243" s="302"/>
      <c r="AIU243" s="302"/>
      <c r="AIV243" s="302"/>
      <c r="AIW243" s="302"/>
      <c r="AIX243" s="302"/>
      <c r="AIY243" s="302"/>
      <c r="AIZ243" s="302"/>
      <c r="AJA243" s="302"/>
      <c r="AJB243" s="302"/>
      <c r="AJC243" s="302"/>
      <c r="AJD243" s="302"/>
      <c r="AJE243" s="302"/>
      <c r="AJF243" s="302"/>
      <c r="AJG243" s="302"/>
      <c r="AJH243" s="302"/>
      <c r="AJI243" s="302"/>
      <c r="AJJ243" s="302"/>
      <c r="AJK243" s="302"/>
      <c r="AJL243" s="302"/>
      <c r="AJM243" s="302"/>
      <c r="AJN243" s="302"/>
      <c r="AJO243" s="302"/>
      <c r="AJP243" s="302"/>
      <c r="AJQ243" s="302"/>
      <c r="AJR243" s="302"/>
      <c r="AJS243" s="302"/>
      <c r="AJT243" s="302"/>
      <c r="AJU243" s="302"/>
      <c r="AJV243" s="302"/>
      <c r="AJW243" s="302"/>
      <c r="AJX243" s="302"/>
      <c r="AJY243" s="302"/>
      <c r="AJZ243" s="302"/>
      <c r="AKA243" s="302"/>
      <c r="AKB243" s="302"/>
      <c r="AKC243" s="302"/>
      <c r="AKD243" s="302"/>
      <c r="AKE243" s="302"/>
      <c r="AKF243" s="302"/>
      <c r="AKG243" s="302"/>
      <c r="AKH243" s="302"/>
      <c r="AKI243" s="302"/>
      <c r="AKJ243" s="302"/>
      <c r="AKK243" s="302"/>
      <c r="AKL243" s="302"/>
      <c r="AKM243" s="302"/>
      <c r="AKN243" s="302"/>
      <c r="AKO243" s="302"/>
      <c r="AKP243" s="302"/>
      <c r="AKQ243" s="302"/>
      <c r="AKR243" s="302"/>
      <c r="AKS243" s="302"/>
      <c r="AKT243" s="302"/>
      <c r="AKU243" s="302"/>
      <c r="AKV243" s="302"/>
      <c r="AKW243" s="302"/>
      <c r="AKX243" s="302"/>
      <c r="AKY243" s="302"/>
      <c r="AKZ243" s="302"/>
      <c r="ALA243" s="302"/>
      <c r="ALB243" s="302"/>
      <c r="ALC243" s="302"/>
      <c r="ALD243" s="302"/>
      <c r="ALE243" s="302"/>
      <c r="ALF243" s="302"/>
      <c r="ALG243" s="302"/>
      <c r="ALH243" s="302"/>
      <c r="ALI243" s="302"/>
      <c r="ALJ243" s="302"/>
      <c r="ALK243" s="302"/>
      <c r="ALL243" s="302"/>
      <c r="ALM243" s="302"/>
      <c r="ALN243" s="302"/>
      <c r="ALO243" s="302"/>
      <c r="ALP243" s="302"/>
      <c r="ALQ243" s="302"/>
      <c r="ALR243" s="302"/>
      <c r="ALS243" s="302"/>
      <c r="ALT243" s="302"/>
      <c r="ALU243" s="302"/>
      <c r="ALV243" s="302"/>
      <c r="ALW243" s="302"/>
      <c r="ALX243" s="302"/>
      <c r="ALY243" s="302"/>
      <c r="ALZ243" s="302"/>
      <c r="AMA243" s="302"/>
      <c r="AMB243" s="302"/>
      <c r="AMC243" s="302"/>
      <c r="AMD243" s="302"/>
      <c r="AME243" s="302"/>
      <c r="AMF243" s="302"/>
      <c r="AMG243" s="302"/>
      <c r="AMH243" s="302"/>
      <c r="AMI243" s="302"/>
    </row>
    <row r="244" spans="1:1023" hidden="1">
      <c r="A244" s="302"/>
      <c r="B244" s="442">
        <v>14058</v>
      </c>
      <c r="C244" s="430">
        <v>0.08</v>
      </c>
      <c r="D244" s="370" t="s">
        <v>148</v>
      </c>
      <c r="E244" s="584">
        <v>2300000</v>
      </c>
      <c r="F244" s="500">
        <v>0.01</v>
      </c>
      <c r="G244" s="369">
        <f t="shared" si="13"/>
        <v>23000</v>
      </c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2"/>
      <c r="AE244" s="302"/>
      <c r="AF244" s="302"/>
      <c r="AG244" s="302"/>
      <c r="AH244" s="302"/>
      <c r="AI244" s="302"/>
      <c r="AJ244" s="302"/>
      <c r="AK244" s="302"/>
      <c r="AL244" s="302"/>
      <c r="AM244" s="302"/>
      <c r="AN244" s="302"/>
      <c r="AO244" s="302"/>
      <c r="AP244" s="302"/>
      <c r="AQ244" s="302"/>
      <c r="AR244" s="302"/>
      <c r="AS244" s="302"/>
      <c r="AT244" s="302"/>
      <c r="AU244" s="302"/>
      <c r="AV244" s="302"/>
      <c r="AW244" s="302"/>
      <c r="AX244" s="302"/>
      <c r="AY244" s="302"/>
      <c r="AZ244" s="302"/>
      <c r="BA244" s="302"/>
      <c r="BB244" s="302"/>
      <c r="BC244" s="302"/>
      <c r="BD244" s="302"/>
      <c r="BE244" s="302"/>
      <c r="BF244" s="302"/>
      <c r="BG244" s="302"/>
      <c r="BH244" s="302"/>
      <c r="BI244" s="302"/>
      <c r="BJ244" s="302"/>
      <c r="BK244" s="302"/>
      <c r="BL244" s="302"/>
      <c r="BM244" s="302"/>
      <c r="BN244" s="302"/>
      <c r="BO244" s="302"/>
      <c r="BP244" s="302"/>
      <c r="BQ244" s="302"/>
      <c r="BR244" s="302"/>
      <c r="BS244" s="302"/>
      <c r="BT244" s="302"/>
      <c r="BU244" s="302"/>
      <c r="BV244" s="302"/>
      <c r="BW244" s="302"/>
      <c r="BX244" s="302"/>
      <c r="BY244" s="302"/>
      <c r="BZ244" s="302"/>
      <c r="CA244" s="302"/>
      <c r="CB244" s="302"/>
      <c r="CC244" s="302"/>
      <c r="CD244" s="302"/>
      <c r="CE244" s="302"/>
      <c r="CF244" s="302"/>
      <c r="CG244" s="302"/>
      <c r="CH244" s="302"/>
      <c r="CI244" s="302"/>
      <c r="CJ244" s="302"/>
      <c r="CK244" s="302"/>
      <c r="CL244" s="302"/>
      <c r="CM244" s="302"/>
      <c r="CN244" s="302"/>
      <c r="CO244" s="302"/>
      <c r="CP244" s="302"/>
      <c r="CQ244" s="302"/>
      <c r="CR244" s="302"/>
      <c r="CS244" s="302"/>
      <c r="CT244" s="302"/>
      <c r="CU244" s="302"/>
      <c r="CV244" s="302"/>
      <c r="CW244" s="302"/>
      <c r="CX244" s="302"/>
      <c r="CY244" s="302"/>
      <c r="CZ244" s="302"/>
      <c r="DA244" s="302"/>
      <c r="DB244" s="302"/>
      <c r="DC244" s="302"/>
      <c r="DD244" s="302"/>
      <c r="DE244" s="302"/>
      <c r="DF244" s="302"/>
      <c r="DG244" s="302"/>
      <c r="DH244" s="302"/>
      <c r="DI244" s="302"/>
      <c r="DJ244" s="302"/>
      <c r="DK244" s="302"/>
      <c r="DL244" s="302"/>
      <c r="DM244" s="302"/>
      <c r="DN244" s="302"/>
      <c r="DO244" s="302"/>
      <c r="DP244" s="302"/>
      <c r="DQ244" s="302"/>
      <c r="DR244" s="302"/>
      <c r="DS244" s="302"/>
      <c r="DT244" s="302"/>
      <c r="DU244" s="302"/>
      <c r="DV244" s="302"/>
      <c r="DW244" s="302"/>
      <c r="DX244" s="302"/>
      <c r="DY244" s="302"/>
      <c r="DZ244" s="302"/>
      <c r="EA244" s="302"/>
      <c r="EB244" s="302"/>
      <c r="EC244" s="302"/>
      <c r="ED244" s="302"/>
      <c r="EE244" s="302"/>
      <c r="EF244" s="302"/>
      <c r="EG244" s="302"/>
      <c r="EH244" s="302"/>
      <c r="EI244" s="302"/>
      <c r="EJ244" s="302"/>
      <c r="EK244" s="302"/>
      <c r="EL244" s="302"/>
      <c r="EM244" s="302"/>
      <c r="EN244" s="302"/>
      <c r="EO244" s="302"/>
      <c r="EP244" s="302"/>
      <c r="EQ244" s="302"/>
      <c r="ER244" s="302"/>
      <c r="ES244" s="302"/>
      <c r="ET244" s="302"/>
      <c r="EU244" s="302"/>
      <c r="EV244" s="302"/>
      <c r="EW244" s="302"/>
      <c r="EX244" s="302"/>
      <c r="EY244" s="302"/>
      <c r="EZ244" s="302"/>
      <c r="FA244" s="302"/>
      <c r="FB244" s="302"/>
      <c r="FC244" s="302"/>
      <c r="FD244" s="302"/>
      <c r="FE244" s="302"/>
      <c r="FF244" s="302"/>
      <c r="FG244" s="302"/>
      <c r="FH244" s="302"/>
      <c r="FI244" s="302"/>
      <c r="FJ244" s="302"/>
      <c r="FK244" s="302"/>
      <c r="FL244" s="302"/>
      <c r="FM244" s="302"/>
      <c r="FN244" s="302"/>
      <c r="FO244" s="302"/>
      <c r="FP244" s="302"/>
      <c r="FQ244" s="302"/>
      <c r="FR244" s="302"/>
      <c r="FS244" s="302"/>
      <c r="FT244" s="302"/>
      <c r="FU244" s="302"/>
      <c r="FV244" s="302"/>
      <c r="FW244" s="302"/>
      <c r="FX244" s="302"/>
      <c r="FY244" s="302"/>
      <c r="FZ244" s="302"/>
      <c r="GA244" s="302"/>
      <c r="GB244" s="302"/>
      <c r="GC244" s="302"/>
      <c r="GD244" s="302"/>
      <c r="GE244" s="302"/>
      <c r="GF244" s="302"/>
      <c r="GG244" s="302"/>
      <c r="GH244" s="302"/>
      <c r="GI244" s="302"/>
      <c r="GJ244" s="302"/>
      <c r="GK244" s="302"/>
      <c r="GL244" s="302"/>
      <c r="GM244" s="302"/>
      <c r="GN244" s="302"/>
      <c r="GO244" s="302"/>
      <c r="GP244" s="302"/>
      <c r="GQ244" s="302"/>
      <c r="GR244" s="302"/>
      <c r="GS244" s="302"/>
      <c r="GT244" s="302"/>
      <c r="GU244" s="302"/>
      <c r="GV244" s="302"/>
      <c r="GW244" s="302"/>
      <c r="GX244" s="302"/>
      <c r="GY244" s="302"/>
      <c r="GZ244" s="302"/>
      <c r="HA244" s="302"/>
      <c r="HB244" s="302"/>
      <c r="HC244" s="302"/>
      <c r="HD244" s="302"/>
      <c r="HE244" s="302"/>
      <c r="HF244" s="302"/>
      <c r="HG244" s="302"/>
      <c r="HH244" s="302"/>
      <c r="HI244" s="302"/>
      <c r="HJ244" s="302"/>
      <c r="HK244" s="302"/>
      <c r="HL244" s="302"/>
      <c r="HM244" s="302"/>
      <c r="HN244" s="302"/>
      <c r="HO244" s="302"/>
      <c r="HP244" s="302"/>
      <c r="HQ244" s="302"/>
      <c r="HR244" s="302"/>
      <c r="HS244" s="302"/>
      <c r="HT244" s="302"/>
      <c r="HU244" s="302"/>
      <c r="HV244" s="302"/>
      <c r="HW244" s="302"/>
      <c r="HX244" s="302"/>
      <c r="HY244" s="302"/>
      <c r="HZ244" s="302"/>
      <c r="IA244" s="302"/>
      <c r="IB244" s="302"/>
      <c r="IC244" s="302"/>
      <c r="ID244" s="302"/>
      <c r="IE244" s="302"/>
      <c r="IF244" s="302"/>
      <c r="IG244" s="302"/>
      <c r="IH244" s="302"/>
      <c r="II244" s="302"/>
      <c r="IJ244" s="302"/>
      <c r="IK244" s="302"/>
      <c r="IL244" s="302"/>
      <c r="IM244" s="302"/>
      <c r="IN244" s="302"/>
      <c r="IO244" s="302"/>
      <c r="IP244" s="302"/>
      <c r="IQ244" s="302"/>
      <c r="IR244" s="302"/>
      <c r="IS244" s="302"/>
      <c r="IT244" s="302"/>
      <c r="IU244" s="302"/>
      <c r="IV244" s="302"/>
      <c r="IW244" s="302"/>
      <c r="IX244" s="302"/>
      <c r="IY244" s="302"/>
      <c r="IZ244" s="302"/>
      <c r="JA244" s="302"/>
      <c r="JB244" s="302"/>
      <c r="JC244" s="302"/>
      <c r="JD244" s="302"/>
      <c r="JE244" s="302"/>
      <c r="JF244" s="302"/>
      <c r="JG244" s="302"/>
      <c r="JH244" s="302"/>
      <c r="JI244" s="302"/>
      <c r="JJ244" s="302"/>
      <c r="JK244" s="302"/>
      <c r="JL244" s="302"/>
      <c r="JM244" s="302"/>
      <c r="JN244" s="302"/>
      <c r="JO244" s="302"/>
      <c r="JP244" s="302"/>
      <c r="JQ244" s="302"/>
      <c r="JR244" s="302"/>
      <c r="JS244" s="302"/>
      <c r="JT244" s="302"/>
      <c r="JU244" s="302"/>
      <c r="JV244" s="302"/>
      <c r="JW244" s="302"/>
      <c r="JX244" s="302"/>
      <c r="JY244" s="302"/>
      <c r="JZ244" s="302"/>
      <c r="KA244" s="302"/>
      <c r="KB244" s="302"/>
      <c r="KC244" s="302"/>
      <c r="KD244" s="302"/>
      <c r="KE244" s="302"/>
      <c r="KF244" s="302"/>
      <c r="KG244" s="302"/>
      <c r="KH244" s="302"/>
      <c r="KI244" s="302"/>
      <c r="KJ244" s="302"/>
      <c r="KK244" s="302"/>
      <c r="KL244" s="302"/>
      <c r="KM244" s="302"/>
      <c r="KN244" s="302"/>
      <c r="KO244" s="302"/>
      <c r="KP244" s="302"/>
      <c r="KQ244" s="302"/>
      <c r="KR244" s="302"/>
      <c r="KS244" s="302"/>
      <c r="KT244" s="302"/>
      <c r="KU244" s="302"/>
      <c r="KV244" s="302"/>
      <c r="KW244" s="302"/>
      <c r="KX244" s="302"/>
      <c r="KY244" s="302"/>
      <c r="KZ244" s="302"/>
      <c r="LA244" s="302"/>
      <c r="LB244" s="302"/>
      <c r="LC244" s="302"/>
      <c r="LD244" s="302"/>
      <c r="LE244" s="302"/>
      <c r="LF244" s="302"/>
      <c r="LG244" s="302"/>
      <c r="LH244" s="302"/>
      <c r="LI244" s="302"/>
      <c r="LJ244" s="302"/>
      <c r="LK244" s="302"/>
      <c r="LL244" s="302"/>
      <c r="LM244" s="302"/>
      <c r="LN244" s="302"/>
      <c r="LO244" s="302"/>
      <c r="LP244" s="302"/>
      <c r="LQ244" s="302"/>
      <c r="LR244" s="302"/>
      <c r="LS244" s="302"/>
      <c r="LT244" s="302"/>
      <c r="LU244" s="302"/>
      <c r="LV244" s="302"/>
      <c r="LW244" s="302"/>
      <c r="LX244" s="302"/>
      <c r="LY244" s="302"/>
      <c r="LZ244" s="302"/>
      <c r="MA244" s="302"/>
      <c r="MB244" s="302"/>
      <c r="MC244" s="302"/>
      <c r="MD244" s="302"/>
      <c r="ME244" s="302"/>
      <c r="MF244" s="302"/>
      <c r="MG244" s="302"/>
      <c r="MH244" s="302"/>
      <c r="MI244" s="302"/>
      <c r="MJ244" s="302"/>
      <c r="MK244" s="302"/>
      <c r="ML244" s="302"/>
      <c r="MM244" s="302"/>
      <c r="MN244" s="302"/>
      <c r="MO244" s="302"/>
      <c r="MP244" s="302"/>
      <c r="MQ244" s="302"/>
      <c r="MR244" s="302"/>
      <c r="MS244" s="302"/>
      <c r="MT244" s="302"/>
      <c r="MU244" s="302"/>
      <c r="MV244" s="302"/>
      <c r="MW244" s="302"/>
      <c r="MX244" s="302"/>
      <c r="MY244" s="302"/>
      <c r="MZ244" s="302"/>
      <c r="NA244" s="302"/>
      <c r="NB244" s="302"/>
      <c r="NC244" s="302"/>
      <c r="ND244" s="302"/>
      <c r="NE244" s="302"/>
      <c r="NF244" s="302"/>
      <c r="NG244" s="302"/>
      <c r="NH244" s="302"/>
      <c r="NI244" s="302"/>
      <c r="NJ244" s="302"/>
      <c r="NK244" s="302"/>
      <c r="NL244" s="302"/>
      <c r="NM244" s="302"/>
      <c r="NN244" s="302"/>
      <c r="NO244" s="302"/>
      <c r="NP244" s="302"/>
      <c r="NQ244" s="302"/>
      <c r="NR244" s="302"/>
      <c r="NS244" s="302"/>
      <c r="NT244" s="302"/>
      <c r="NU244" s="302"/>
      <c r="NV244" s="302"/>
      <c r="NW244" s="302"/>
      <c r="NX244" s="302"/>
      <c r="NY244" s="302"/>
      <c r="NZ244" s="302"/>
      <c r="OA244" s="302"/>
      <c r="OB244" s="302"/>
      <c r="OC244" s="302"/>
      <c r="OD244" s="302"/>
      <c r="OE244" s="302"/>
      <c r="OF244" s="302"/>
      <c r="OG244" s="302"/>
      <c r="OH244" s="302"/>
      <c r="OI244" s="302"/>
      <c r="OJ244" s="302"/>
      <c r="OK244" s="302"/>
      <c r="OL244" s="302"/>
      <c r="OM244" s="302"/>
      <c r="ON244" s="302"/>
      <c r="OO244" s="302"/>
      <c r="OP244" s="302"/>
      <c r="OQ244" s="302"/>
      <c r="OR244" s="302"/>
      <c r="OS244" s="302"/>
      <c r="OT244" s="302"/>
      <c r="OU244" s="302"/>
      <c r="OV244" s="302"/>
      <c r="OW244" s="302"/>
      <c r="OX244" s="302"/>
      <c r="OY244" s="302"/>
      <c r="OZ244" s="302"/>
      <c r="PA244" s="302"/>
      <c r="PB244" s="302"/>
      <c r="PC244" s="302"/>
      <c r="PD244" s="302"/>
      <c r="PE244" s="302"/>
      <c r="PF244" s="302"/>
      <c r="PG244" s="302"/>
      <c r="PH244" s="302"/>
      <c r="PI244" s="302"/>
      <c r="PJ244" s="302"/>
      <c r="PK244" s="302"/>
      <c r="PL244" s="302"/>
      <c r="PM244" s="302"/>
      <c r="PN244" s="302"/>
      <c r="PO244" s="302"/>
      <c r="PP244" s="302"/>
      <c r="PQ244" s="302"/>
      <c r="PR244" s="302"/>
      <c r="PS244" s="302"/>
      <c r="PT244" s="302"/>
      <c r="PU244" s="302"/>
      <c r="PV244" s="302"/>
      <c r="PW244" s="302"/>
      <c r="PX244" s="302"/>
      <c r="PY244" s="302"/>
      <c r="PZ244" s="302"/>
      <c r="QA244" s="302"/>
      <c r="QB244" s="302"/>
      <c r="QC244" s="302"/>
      <c r="QD244" s="302"/>
      <c r="QE244" s="302"/>
      <c r="QF244" s="302"/>
      <c r="QG244" s="302"/>
      <c r="QH244" s="302"/>
      <c r="QI244" s="302"/>
      <c r="QJ244" s="302"/>
      <c r="QK244" s="302"/>
      <c r="QL244" s="302"/>
      <c r="QM244" s="302"/>
      <c r="QN244" s="302"/>
      <c r="QO244" s="302"/>
      <c r="QP244" s="302"/>
      <c r="QQ244" s="302"/>
      <c r="QR244" s="302"/>
      <c r="QS244" s="302"/>
      <c r="QT244" s="302"/>
      <c r="QU244" s="302"/>
      <c r="QV244" s="302"/>
      <c r="QW244" s="302"/>
      <c r="QX244" s="302"/>
      <c r="QY244" s="302"/>
      <c r="QZ244" s="302"/>
      <c r="RA244" s="302"/>
      <c r="RB244" s="302"/>
      <c r="RC244" s="302"/>
      <c r="RD244" s="302"/>
      <c r="RE244" s="302"/>
      <c r="RF244" s="302"/>
      <c r="RG244" s="302"/>
      <c r="RH244" s="302"/>
      <c r="RI244" s="302"/>
      <c r="RJ244" s="302"/>
      <c r="RK244" s="302"/>
      <c r="RL244" s="302"/>
      <c r="RM244" s="302"/>
      <c r="RN244" s="302"/>
      <c r="RO244" s="302"/>
      <c r="RP244" s="302"/>
      <c r="RQ244" s="302"/>
      <c r="RR244" s="302"/>
      <c r="RS244" s="302"/>
      <c r="RT244" s="302"/>
      <c r="RU244" s="302"/>
      <c r="RV244" s="302"/>
      <c r="RW244" s="302"/>
      <c r="RX244" s="302"/>
      <c r="RY244" s="302"/>
      <c r="RZ244" s="302"/>
      <c r="SA244" s="302"/>
      <c r="SB244" s="302"/>
      <c r="SC244" s="302"/>
      <c r="SD244" s="302"/>
      <c r="SE244" s="302"/>
      <c r="SF244" s="302"/>
      <c r="SG244" s="302"/>
      <c r="SH244" s="302"/>
      <c r="SI244" s="302"/>
      <c r="SJ244" s="302"/>
      <c r="SK244" s="302"/>
      <c r="SL244" s="302"/>
      <c r="SM244" s="302"/>
      <c r="SN244" s="302"/>
      <c r="SO244" s="302"/>
      <c r="SP244" s="302"/>
      <c r="SQ244" s="302"/>
      <c r="SR244" s="302"/>
      <c r="SS244" s="302"/>
      <c r="ST244" s="302"/>
      <c r="SU244" s="302"/>
      <c r="SV244" s="302"/>
      <c r="SW244" s="302"/>
      <c r="SX244" s="302"/>
      <c r="SY244" s="302"/>
      <c r="SZ244" s="302"/>
      <c r="TA244" s="302"/>
      <c r="TB244" s="302"/>
      <c r="TC244" s="302"/>
      <c r="TD244" s="302"/>
      <c r="TE244" s="302"/>
      <c r="TF244" s="302"/>
      <c r="TG244" s="302"/>
      <c r="TH244" s="302"/>
      <c r="TI244" s="302"/>
      <c r="TJ244" s="302"/>
      <c r="TK244" s="302"/>
      <c r="TL244" s="302"/>
      <c r="TM244" s="302"/>
      <c r="TN244" s="302"/>
      <c r="TO244" s="302"/>
      <c r="TP244" s="302"/>
      <c r="TQ244" s="302"/>
      <c r="TR244" s="302"/>
      <c r="TS244" s="302"/>
      <c r="TT244" s="302"/>
      <c r="TU244" s="302"/>
      <c r="TV244" s="302"/>
      <c r="TW244" s="302"/>
      <c r="TX244" s="302"/>
      <c r="TY244" s="302"/>
      <c r="TZ244" s="302"/>
      <c r="UA244" s="302"/>
      <c r="UB244" s="302"/>
      <c r="UC244" s="302"/>
      <c r="UD244" s="302"/>
      <c r="UE244" s="302"/>
      <c r="UF244" s="302"/>
      <c r="UG244" s="302"/>
      <c r="UH244" s="302"/>
      <c r="UI244" s="302"/>
      <c r="UJ244" s="302"/>
      <c r="UK244" s="302"/>
      <c r="UL244" s="302"/>
      <c r="UM244" s="302"/>
      <c r="UN244" s="302"/>
      <c r="UO244" s="302"/>
      <c r="UP244" s="302"/>
      <c r="UQ244" s="302"/>
      <c r="UR244" s="302"/>
      <c r="US244" s="302"/>
      <c r="UT244" s="302"/>
      <c r="UU244" s="302"/>
      <c r="UV244" s="302"/>
      <c r="UW244" s="302"/>
      <c r="UX244" s="302"/>
      <c r="UY244" s="302"/>
      <c r="UZ244" s="302"/>
      <c r="VA244" s="302"/>
      <c r="VB244" s="302"/>
      <c r="VC244" s="302"/>
      <c r="VD244" s="302"/>
      <c r="VE244" s="302"/>
      <c r="VF244" s="302"/>
      <c r="VG244" s="302"/>
      <c r="VH244" s="302"/>
      <c r="VI244" s="302"/>
      <c r="VJ244" s="302"/>
      <c r="VK244" s="302"/>
      <c r="VL244" s="302"/>
      <c r="VM244" s="302"/>
      <c r="VN244" s="302"/>
      <c r="VO244" s="302"/>
      <c r="VP244" s="302"/>
      <c r="VQ244" s="302"/>
      <c r="VR244" s="302"/>
      <c r="VS244" s="302"/>
      <c r="VT244" s="302"/>
      <c r="VU244" s="302"/>
      <c r="VV244" s="302"/>
      <c r="VW244" s="302"/>
      <c r="VX244" s="302"/>
      <c r="VY244" s="302"/>
      <c r="VZ244" s="302"/>
      <c r="WA244" s="302"/>
      <c r="WB244" s="302"/>
      <c r="WC244" s="302"/>
      <c r="WD244" s="302"/>
      <c r="WE244" s="302"/>
      <c r="WF244" s="302"/>
      <c r="WG244" s="302"/>
      <c r="WH244" s="302"/>
      <c r="WI244" s="302"/>
      <c r="WJ244" s="302"/>
      <c r="WK244" s="302"/>
      <c r="WL244" s="302"/>
      <c r="WM244" s="302"/>
      <c r="WN244" s="302"/>
      <c r="WO244" s="302"/>
      <c r="WP244" s="302"/>
      <c r="WQ244" s="302"/>
      <c r="WR244" s="302"/>
      <c r="WS244" s="302"/>
      <c r="WT244" s="302"/>
      <c r="WU244" s="302"/>
      <c r="WV244" s="302"/>
      <c r="WW244" s="302"/>
      <c r="WX244" s="302"/>
      <c r="WY244" s="302"/>
      <c r="WZ244" s="302"/>
      <c r="XA244" s="302"/>
      <c r="XB244" s="302"/>
      <c r="XC244" s="302"/>
      <c r="XD244" s="302"/>
      <c r="XE244" s="302"/>
      <c r="XF244" s="302"/>
      <c r="XG244" s="302"/>
      <c r="XH244" s="302"/>
      <c r="XI244" s="302"/>
      <c r="XJ244" s="302"/>
      <c r="XK244" s="302"/>
      <c r="XL244" s="302"/>
      <c r="XM244" s="302"/>
      <c r="XN244" s="302"/>
      <c r="XO244" s="302"/>
      <c r="XP244" s="302"/>
      <c r="XQ244" s="302"/>
      <c r="XR244" s="302"/>
      <c r="XS244" s="302"/>
      <c r="XT244" s="302"/>
      <c r="XU244" s="302"/>
      <c r="XV244" s="302"/>
      <c r="XW244" s="302"/>
      <c r="XX244" s="302"/>
      <c r="XY244" s="302"/>
      <c r="XZ244" s="302"/>
      <c r="YA244" s="302"/>
      <c r="YB244" s="302"/>
      <c r="YC244" s="302"/>
      <c r="YD244" s="302"/>
      <c r="YE244" s="302"/>
      <c r="YF244" s="302"/>
      <c r="YG244" s="302"/>
      <c r="YH244" s="302"/>
      <c r="YI244" s="302"/>
      <c r="YJ244" s="302"/>
      <c r="YK244" s="302"/>
      <c r="YL244" s="302"/>
      <c r="YM244" s="302"/>
      <c r="YN244" s="302"/>
      <c r="YO244" s="302"/>
      <c r="YP244" s="302"/>
      <c r="YQ244" s="302"/>
      <c r="YR244" s="302"/>
      <c r="YS244" s="302"/>
      <c r="YT244" s="302"/>
      <c r="YU244" s="302"/>
      <c r="YV244" s="302"/>
      <c r="YW244" s="302"/>
      <c r="YX244" s="302"/>
      <c r="YY244" s="302"/>
      <c r="YZ244" s="302"/>
      <c r="ZA244" s="302"/>
      <c r="ZB244" s="302"/>
      <c r="ZC244" s="302"/>
      <c r="ZD244" s="302"/>
      <c r="ZE244" s="302"/>
      <c r="ZF244" s="302"/>
      <c r="ZG244" s="302"/>
      <c r="ZH244" s="302"/>
      <c r="ZI244" s="302"/>
      <c r="ZJ244" s="302"/>
      <c r="ZK244" s="302"/>
      <c r="ZL244" s="302"/>
      <c r="ZM244" s="302"/>
      <c r="ZN244" s="302"/>
      <c r="ZO244" s="302"/>
      <c r="ZP244" s="302"/>
      <c r="ZQ244" s="302"/>
      <c r="ZR244" s="302"/>
      <c r="ZS244" s="302"/>
      <c r="ZT244" s="302"/>
      <c r="ZU244" s="302"/>
      <c r="ZV244" s="302"/>
      <c r="ZW244" s="302"/>
      <c r="ZX244" s="302"/>
      <c r="ZY244" s="302"/>
      <c r="ZZ244" s="302"/>
      <c r="AAA244" s="302"/>
      <c r="AAB244" s="302"/>
      <c r="AAC244" s="302"/>
      <c r="AAD244" s="302"/>
      <c r="AAE244" s="302"/>
      <c r="AAF244" s="302"/>
      <c r="AAG244" s="302"/>
      <c r="AAH244" s="302"/>
      <c r="AAI244" s="302"/>
      <c r="AAJ244" s="302"/>
      <c r="AAK244" s="302"/>
      <c r="AAL244" s="302"/>
      <c r="AAM244" s="302"/>
      <c r="AAN244" s="302"/>
      <c r="AAO244" s="302"/>
      <c r="AAP244" s="302"/>
      <c r="AAQ244" s="302"/>
      <c r="AAR244" s="302"/>
      <c r="AAS244" s="302"/>
      <c r="AAT244" s="302"/>
      <c r="AAU244" s="302"/>
      <c r="AAV244" s="302"/>
      <c r="AAW244" s="302"/>
      <c r="AAX244" s="302"/>
      <c r="AAY244" s="302"/>
      <c r="AAZ244" s="302"/>
      <c r="ABA244" s="302"/>
      <c r="ABB244" s="302"/>
      <c r="ABC244" s="302"/>
      <c r="ABD244" s="302"/>
      <c r="ABE244" s="302"/>
      <c r="ABF244" s="302"/>
      <c r="ABG244" s="302"/>
      <c r="ABH244" s="302"/>
      <c r="ABI244" s="302"/>
      <c r="ABJ244" s="302"/>
      <c r="ABK244" s="302"/>
      <c r="ABL244" s="302"/>
      <c r="ABM244" s="302"/>
      <c r="ABN244" s="302"/>
      <c r="ABO244" s="302"/>
      <c r="ABP244" s="302"/>
      <c r="ABQ244" s="302"/>
      <c r="ABR244" s="302"/>
      <c r="ABS244" s="302"/>
      <c r="ABT244" s="302"/>
      <c r="ABU244" s="302"/>
      <c r="ABV244" s="302"/>
      <c r="ABW244" s="302"/>
      <c r="ABX244" s="302"/>
      <c r="ABY244" s="302"/>
      <c r="ABZ244" s="302"/>
      <c r="ACA244" s="302"/>
      <c r="ACB244" s="302"/>
      <c r="ACC244" s="302"/>
      <c r="ACD244" s="302"/>
      <c r="ACE244" s="302"/>
      <c r="ACF244" s="302"/>
      <c r="ACG244" s="302"/>
      <c r="ACH244" s="302"/>
      <c r="ACI244" s="302"/>
      <c r="ACJ244" s="302"/>
      <c r="ACK244" s="302"/>
      <c r="ACL244" s="302"/>
      <c r="ACM244" s="302"/>
      <c r="ACN244" s="302"/>
      <c r="ACO244" s="302"/>
      <c r="ACP244" s="302"/>
      <c r="ACQ244" s="302"/>
      <c r="ACR244" s="302"/>
      <c r="ACS244" s="302"/>
      <c r="ACT244" s="302"/>
      <c r="ACU244" s="302"/>
      <c r="ACV244" s="302"/>
      <c r="ACW244" s="302"/>
      <c r="ACX244" s="302"/>
      <c r="ACY244" s="302"/>
      <c r="ACZ244" s="302"/>
      <c r="ADA244" s="302"/>
      <c r="ADB244" s="302"/>
      <c r="ADC244" s="302"/>
      <c r="ADD244" s="302"/>
      <c r="ADE244" s="302"/>
      <c r="ADF244" s="302"/>
      <c r="ADG244" s="302"/>
      <c r="ADH244" s="302"/>
      <c r="ADI244" s="302"/>
      <c r="ADJ244" s="302"/>
      <c r="ADK244" s="302"/>
      <c r="ADL244" s="302"/>
      <c r="ADM244" s="302"/>
      <c r="ADN244" s="302"/>
      <c r="ADO244" s="302"/>
      <c r="ADP244" s="302"/>
      <c r="ADQ244" s="302"/>
      <c r="ADR244" s="302"/>
      <c r="ADS244" s="302"/>
      <c r="ADT244" s="302"/>
      <c r="ADU244" s="302"/>
      <c r="ADV244" s="302"/>
      <c r="ADW244" s="302"/>
      <c r="ADX244" s="302"/>
      <c r="ADY244" s="302"/>
      <c r="ADZ244" s="302"/>
      <c r="AEA244" s="302"/>
      <c r="AEB244" s="302"/>
      <c r="AEC244" s="302"/>
      <c r="AED244" s="302"/>
      <c r="AEE244" s="302"/>
      <c r="AEF244" s="302"/>
      <c r="AEG244" s="302"/>
      <c r="AEH244" s="302"/>
      <c r="AEI244" s="302"/>
      <c r="AEJ244" s="302"/>
      <c r="AEK244" s="302"/>
      <c r="AEL244" s="302"/>
      <c r="AEM244" s="302"/>
      <c r="AEN244" s="302"/>
      <c r="AEO244" s="302"/>
      <c r="AEP244" s="302"/>
      <c r="AEQ244" s="302"/>
      <c r="AER244" s="302"/>
      <c r="AES244" s="302"/>
      <c r="AET244" s="302"/>
      <c r="AEU244" s="302"/>
      <c r="AEV244" s="302"/>
      <c r="AEW244" s="302"/>
      <c r="AEX244" s="302"/>
      <c r="AEY244" s="302"/>
      <c r="AEZ244" s="302"/>
      <c r="AFA244" s="302"/>
      <c r="AFB244" s="302"/>
      <c r="AFC244" s="302"/>
      <c r="AFD244" s="302"/>
      <c r="AFE244" s="302"/>
      <c r="AFF244" s="302"/>
      <c r="AFG244" s="302"/>
      <c r="AFH244" s="302"/>
      <c r="AFI244" s="302"/>
      <c r="AFJ244" s="302"/>
      <c r="AFK244" s="302"/>
      <c r="AFL244" s="302"/>
      <c r="AFM244" s="302"/>
      <c r="AFN244" s="302"/>
      <c r="AFO244" s="302"/>
      <c r="AFP244" s="302"/>
      <c r="AFQ244" s="302"/>
      <c r="AFR244" s="302"/>
      <c r="AFS244" s="302"/>
      <c r="AFT244" s="302"/>
      <c r="AFU244" s="302"/>
      <c r="AFV244" s="302"/>
      <c r="AFW244" s="302"/>
      <c r="AFX244" s="302"/>
      <c r="AFY244" s="302"/>
      <c r="AFZ244" s="302"/>
      <c r="AGA244" s="302"/>
      <c r="AGB244" s="302"/>
      <c r="AGC244" s="302"/>
      <c r="AGD244" s="302"/>
      <c r="AGE244" s="302"/>
      <c r="AGF244" s="302"/>
      <c r="AGG244" s="302"/>
      <c r="AGH244" s="302"/>
      <c r="AGI244" s="302"/>
      <c r="AGJ244" s="302"/>
      <c r="AGK244" s="302"/>
      <c r="AGL244" s="302"/>
      <c r="AGM244" s="302"/>
      <c r="AGN244" s="302"/>
      <c r="AGO244" s="302"/>
      <c r="AGP244" s="302"/>
      <c r="AGQ244" s="302"/>
      <c r="AGR244" s="302"/>
      <c r="AGS244" s="302"/>
      <c r="AGT244" s="302"/>
      <c r="AGU244" s="302"/>
      <c r="AGV244" s="302"/>
      <c r="AGW244" s="302"/>
      <c r="AGX244" s="302"/>
      <c r="AGY244" s="302"/>
      <c r="AGZ244" s="302"/>
      <c r="AHA244" s="302"/>
      <c r="AHB244" s="302"/>
      <c r="AHC244" s="302"/>
      <c r="AHD244" s="302"/>
      <c r="AHE244" s="302"/>
      <c r="AHF244" s="302"/>
      <c r="AHG244" s="302"/>
      <c r="AHH244" s="302"/>
      <c r="AHI244" s="302"/>
      <c r="AHJ244" s="302"/>
      <c r="AHK244" s="302"/>
      <c r="AHL244" s="302"/>
      <c r="AHM244" s="302"/>
      <c r="AHN244" s="302"/>
      <c r="AHO244" s="302"/>
      <c r="AHP244" s="302"/>
      <c r="AHQ244" s="302"/>
      <c r="AHR244" s="302"/>
      <c r="AHS244" s="302"/>
      <c r="AHT244" s="302"/>
      <c r="AHU244" s="302"/>
      <c r="AHV244" s="302"/>
      <c r="AHW244" s="302"/>
      <c r="AHX244" s="302"/>
      <c r="AHY244" s="302"/>
      <c r="AHZ244" s="302"/>
      <c r="AIA244" s="302"/>
      <c r="AIB244" s="302"/>
      <c r="AIC244" s="302"/>
      <c r="AID244" s="302"/>
      <c r="AIE244" s="302"/>
      <c r="AIF244" s="302"/>
      <c r="AIG244" s="302"/>
      <c r="AIH244" s="302"/>
      <c r="AII244" s="302"/>
      <c r="AIJ244" s="302"/>
      <c r="AIK244" s="302"/>
      <c r="AIL244" s="302"/>
      <c r="AIM244" s="302"/>
      <c r="AIN244" s="302"/>
      <c r="AIO244" s="302"/>
      <c r="AIP244" s="302"/>
      <c r="AIQ244" s="302"/>
      <c r="AIR244" s="302"/>
      <c r="AIS244" s="302"/>
      <c r="AIT244" s="302"/>
      <c r="AIU244" s="302"/>
      <c r="AIV244" s="302"/>
      <c r="AIW244" s="302"/>
      <c r="AIX244" s="302"/>
      <c r="AIY244" s="302"/>
      <c r="AIZ244" s="302"/>
      <c r="AJA244" s="302"/>
      <c r="AJB244" s="302"/>
      <c r="AJC244" s="302"/>
      <c r="AJD244" s="302"/>
      <c r="AJE244" s="302"/>
      <c r="AJF244" s="302"/>
      <c r="AJG244" s="302"/>
      <c r="AJH244" s="302"/>
      <c r="AJI244" s="302"/>
      <c r="AJJ244" s="302"/>
      <c r="AJK244" s="302"/>
      <c r="AJL244" s="302"/>
      <c r="AJM244" s="302"/>
      <c r="AJN244" s="302"/>
      <c r="AJO244" s="302"/>
      <c r="AJP244" s="302"/>
      <c r="AJQ244" s="302"/>
      <c r="AJR244" s="302"/>
      <c r="AJS244" s="302"/>
      <c r="AJT244" s="302"/>
      <c r="AJU244" s="302"/>
      <c r="AJV244" s="302"/>
      <c r="AJW244" s="302"/>
      <c r="AJX244" s="302"/>
      <c r="AJY244" s="302"/>
      <c r="AJZ244" s="302"/>
      <c r="AKA244" s="302"/>
      <c r="AKB244" s="302"/>
      <c r="AKC244" s="302"/>
      <c r="AKD244" s="302"/>
      <c r="AKE244" s="302"/>
      <c r="AKF244" s="302"/>
      <c r="AKG244" s="302"/>
      <c r="AKH244" s="302"/>
      <c r="AKI244" s="302"/>
      <c r="AKJ244" s="302"/>
      <c r="AKK244" s="302"/>
      <c r="AKL244" s="302"/>
      <c r="AKM244" s="302"/>
      <c r="AKN244" s="302"/>
      <c r="AKO244" s="302"/>
      <c r="AKP244" s="302"/>
      <c r="AKQ244" s="302"/>
      <c r="AKR244" s="302"/>
      <c r="AKS244" s="302"/>
      <c r="AKT244" s="302"/>
      <c r="AKU244" s="302"/>
      <c r="AKV244" s="302"/>
      <c r="AKW244" s="302"/>
      <c r="AKX244" s="302"/>
      <c r="AKY244" s="302"/>
      <c r="AKZ244" s="302"/>
      <c r="ALA244" s="302"/>
      <c r="ALB244" s="302"/>
      <c r="ALC244" s="302"/>
      <c r="ALD244" s="302"/>
      <c r="ALE244" s="302"/>
      <c r="ALF244" s="302"/>
      <c r="ALG244" s="302"/>
      <c r="ALH244" s="302"/>
      <c r="ALI244" s="302"/>
      <c r="ALJ244" s="302"/>
      <c r="ALK244" s="302"/>
      <c r="ALL244" s="302"/>
      <c r="ALM244" s="302"/>
      <c r="ALN244" s="302"/>
      <c r="ALO244" s="302"/>
      <c r="ALP244" s="302"/>
      <c r="ALQ244" s="302"/>
      <c r="ALR244" s="302"/>
      <c r="ALS244" s="302"/>
      <c r="ALT244" s="302"/>
      <c r="ALU244" s="302"/>
      <c r="ALV244" s="302"/>
      <c r="ALW244" s="302"/>
      <c r="ALX244" s="302"/>
      <c r="ALY244" s="302"/>
      <c r="ALZ244" s="302"/>
      <c r="AMA244" s="302"/>
      <c r="AMB244" s="302"/>
      <c r="AMC244" s="302"/>
      <c r="AMD244" s="302"/>
      <c r="AME244" s="302"/>
      <c r="AMF244" s="302"/>
      <c r="AMG244" s="302"/>
      <c r="AMH244" s="302"/>
      <c r="AMI244" s="302"/>
    </row>
    <row r="245" spans="1:1023" hidden="1">
      <c r="A245" s="302"/>
      <c r="B245" s="442">
        <v>14111</v>
      </c>
      <c r="C245" s="498">
        <v>0.1</v>
      </c>
      <c r="D245" s="370" t="s">
        <v>162</v>
      </c>
      <c r="E245" s="584">
        <v>3400000</v>
      </c>
      <c r="F245" s="499">
        <v>0.02</v>
      </c>
      <c r="G245" s="369">
        <f t="shared" si="13"/>
        <v>68000</v>
      </c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  <c r="AF245" s="302"/>
      <c r="AG245" s="302"/>
      <c r="AH245" s="302"/>
      <c r="AI245" s="302"/>
      <c r="AJ245" s="302"/>
      <c r="AK245" s="302"/>
      <c r="AL245" s="302"/>
      <c r="AM245" s="302"/>
      <c r="AN245" s="302"/>
      <c r="AO245" s="302"/>
      <c r="AP245" s="302"/>
      <c r="AQ245" s="302"/>
      <c r="AR245" s="302"/>
      <c r="AS245" s="302"/>
      <c r="AT245" s="302"/>
      <c r="AU245" s="302"/>
      <c r="AV245" s="302"/>
      <c r="AW245" s="302"/>
      <c r="AX245" s="302"/>
      <c r="AY245" s="302"/>
      <c r="AZ245" s="302"/>
      <c r="BA245" s="302"/>
      <c r="BB245" s="302"/>
      <c r="BC245" s="302"/>
      <c r="BD245" s="302"/>
      <c r="BE245" s="302"/>
      <c r="BF245" s="302"/>
      <c r="BG245" s="302"/>
      <c r="BH245" s="302"/>
      <c r="BI245" s="302"/>
      <c r="BJ245" s="302"/>
      <c r="BK245" s="302"/>
      <c r="BL245" s="302"/>
      <c r="BM245" s="302"/>
      <c r="BN245" s="302"/>
      <c r="BO245" s="302"/>
      <c r="BP245" s="302"/>
      <c r="BQ245" s="302"/>
      <c r="BR245" s="302"/>
      <c r="BS245" s="302"/>
      <c r="BT245" s="302"/>
      <c r="BU245" s="302"/>
      <c r="BV245" s="302"/>
      <c r="BW245" s="302"/>
      <c r="BX245" s="302"/>
      <c r="BY245" s="302"/>
      <c r="BZ245" s="302"/>
      <c r="CA245" s="302"/>
      <c r="CB245" s="302"/>
      <c r="CC245" s="302"/>
      <c r="CD245" s="302"/>
      <c r="CE245" s="302"/>
      <c r="CF245" s="302"/>
      <c r="CG245" s="302"/>
      <c r="CH245" s="302"/>
      <c r="CI245" s="302"/>
      <c r="CJ245" s="302"/>
      <c r="CK245" s="302"/>
      <c r="CL245" s="302"/>
      <c r="CM245" s="302"/>
      <c r="CN245" s="302"/>
      <c r="CO245" s="302"/>
      <c r="CP245" s="302"/>
      <c r="CQ245" s="302"/>
      <c r="CR245" s="302"/>
      <c r="CS245" s="302"/>
      <c r="CT245" s="302"/>
      <c r="CU245" s="302"/>
      <c r="CV245" s="302"/>
      <c r="CW245" s="302"/>
      <c r="CX245" s="302"/>
      <c r="CY245" s="302"/>
      <c r="CZ245" s="302"/>
      <c r="DA245" s="302"/>
      <c r="DB245" s="302"/>
      <c r="DC245" s="302"/>
      <c r="DD245" s="302"/>
      <c r="DE245" s="302"/>
      <c r="DF245" s="302"/>
      <c r="DG245" s="302"/>
      <c r="DH245" s="302"/>
      <c r="DI245" s="302"/>
      <c r="DJ245" s="302"/>
      <c r="DK245" s="302"/>
      <c r="DL245" s="302"/>
      <c r="DM245" s="302"/>
      <c r="DN245" s="302"/>
      <c r="DO245" s="302"/>
      <c r="DP245" s="302"/>
      <c r="DQ245" s="302"/>
      <c r="DR245" s="302"/>
      <c r="DS245" s="302"/>
      <c r="DT245" s="302"/>
      <c r="DU245" s="302"/>
      <c r="DV245" s="302"/>
      <c r="DW245" s="302"/>
      <c r="DX245" s="302"/>
      <c r="DY245" s="302"/>
      <c r="DZ245" s="302"/>
      <c r="EA245" s="302"/>
      <c r="EB245" s="302"/>
      <c r="EC245" s="302"/>
      <c r="ED245" s="302"/>
      <c r="EE245" s="302"/>
      <c r="EF245" s="302"/>
      <c r="EG245" s="302"/>
      <c r="EH245" s="302"/>
      <c r="EI245" s="302"/>
      <c r="EJ245" s="302"/>
      <c r="EK245" s="302"/>
      <c r="EL245" s="302"/>
      <c r="EM245" s="302"/>
      <c r="EN245" s="302"/>
      <c r="EO245" s="302"/>
      <c r="EP245" s="302"/>
      <c r="EQ245" s="302"/>
      <c r="ER245" s="302"/>
      <c r="ES245" s="302"/>
      <c r="ET245" s="302"/>
      <c r="EU245" s="302"/>
      <c r="EV245" s="302"/>
      <c r="EW245" s="302"/>
      <c r="EX245" s="302"/>
      <c r="EY245" s="302"/>
      <c r="EZ245" s="302"/>
      <c r="FA245" s="302"/>
      <c r="FB245" s="302"/>
      <c r="FC245" s="302"/>
      <c r="FD245" s="302"/>
      <c r="FE245" s="302"/>
      <c r="FF245" s="302"/>
      <c r="FG245" s="302"/>
      <c r="FH245" s="302"/>
      <c r="FI245" s="302"/>
      <c r="FJ245" s="302"/>
      <c r="FK245" s="302"/>
      <c r="FL245" s="302"/>
      <c r="FM245" s="302"/>
      <c r="FN245" s="302"/>
      <c r="FO245" s="302"/>
      <c r="FP245" s="302"/>
      <c r="FQ245" s="302"/>
      <c r="FR245" s="302"/>
      <c r="FS245" s="302"/>
      <c r="FT245" s="302"/>
      <c r="FU245" s="302"/>
      <c r="FV245" s="302"/>
      <c r="FW245" s="302"/>
      <c r="FX245" s="302"/>
      <c r="FY245" s="302"/>
      <c r="FZ245" s="302"/>
      <c r="GA245" s="302"/>
      <c r="GB245" s="302"/>
      <c r="GC245" s="302"/>
      <c r="GD245" s="302"/>
      <c r="GE245" s="302"/>
      <c r="GF245" s="302"/>
      <c r="GG245" s="302"/>
      <c r="GH245" s="302"/>
      <c r="GI245" s="302"/>
      <c r="GJ245" s="302"/>
      <c r="GK245" s="302"/>
      <c r="GL245" s="302"/>
      <c r="GM245" s="302"/>
      <c r="GN245" s="302"/>
      <c r="GO245" s="302"/>
      <c r="GP245" s="302"/>
      <c r="GQ245" s="302"/>
      <c r="GR245" s="302"/>
      <c r="GS245" s="302"/>
      <c r="GT245" s="302"/>
      <c r="GU245" s="302"/>
      <c r="GV245" s="302"/>
      <c r="GW245" s="302"/>
      <c r="GX245" s="302"/>
      <c r="GY245" s="302"/>
      <c r="GZ245" s="302"/>
      <c r="HA245" s="302"/>
      <c r="HB245" s="302"/>
      <c r="HC245" s="302"/>
      <c r="HD245" s="302"/>
      <c r="HE245" s="302"/>
      <c r="HF245" s="302"/>
      <c r="HG245" s="302"/>
      <c r="HH245" s="302"/>
      <c r="HI245" s="302"/>
      <c r="HJ245" s="302"/>
      <c r="HK245" s="302"/>
      <c r="HL245" s="302"/>
      <c r="HM245" s="302"/>
      <c r="HN245" s="302"/>
      <c r="HO245" s="302"/>
      <c r="HP245" s="302"/>
      <c r="HQ245" s="302"/>
      <c r="HR245" s="302"/>
      <c r="HS245" s="302"/>
      <c r="HT245" s="302"/>
      <c r="HU245" s="302"/>
      <c r="HV245" s="302"/>
      <c r="HW245" s="302"/>
      <c r="HX245" s="302"/>
      <c r="HY245" s="302"/>
      <c r="HZ245" s="302"/>
      <c r="IA245" s="302"/>
      <c r="IB245" s="302"/>
      <c r="IC245" s="302"/>
      <c r="ID245" s="302"/>
      <c r="IE245" s="302"/>
      <c r="IF245" s="302"/>
      <c r="IG245" s="302"/>
      <c r="IH245" s="302"/>
      <c r="II245" s="302"/>
      <c r="IJ245" s="302"/>
      <c r="IK245" s="302"/>
      <c r="IL245" s="302"/>
      <c r="IM245" s="302"/>
      <c r="IN245" s="302"/>
      <c r="IO245" s="302"/>
      <c r="IP245" s="302"/>
      <c r="IQ245" s="302"/>
      <c r="IR245" s="302"/>
      <c r="IS245" s="302"/>
      <c r="IT245" s="302"/>
      <c r="IU245" s="302"/>
      <c r="IV245" s="302"/>
      <c r="IW245" s="302"/>
      <c r="IX245" s="302"/>
      <c r="IY245" s="302"/>
      <c r="IZ245" s="302"/>
      <c r="JA245" s="302"/>
      <c r="JB245" s="302"/>
      <c r="JC245" s="302"/>
      <c r="JD245" s="302"/>
      <c r="JE245" s="302"/>
      <c r="JF245" s="302"/>
      <c r="JG245" s="302"/>
      <c r="JH245" s="302"/>
      <c r="JI245" s="302"/>
      <c r="JJ245" s="302"/>
      <c r="JK245" s="302"/>
      <c r="JL245" s="302"/>
      <c r="JM245" s="302"/>
      <c r="JN245" s="302"/>
      <c r="JO245" s="302"/>
      <c r="JP245" s="302"/>
      <c r="JQ245" s="302"/>
      <c r="JR245" s="302"/>
      <c r="JS245" s="302"/>
      <c r="JT245" s="302"/>
      <c r="JU245" s="302"/>
      <c r="JV245" s="302"/>
      <c r="JW245" s="302"/>
      <c r="JX245" s="302"/>
      <c r="JY245" s="302"/>
      <c r="JZ245" s="302"/>
      <c r="KA245" s="302"/>
      <c r="KB245" s="302"/>
      <c r="KC245" s="302"/>
      <c r="KD245" s="302"/>
      <c r="KE245" s="302"/>
      <c r="KF245" s="302"/>
      <c r="KG245" s="302"/>
      <c r="KH245" s="302"/>
      <c r="KI245" s="302"/>
      <c r="KJ245" s="302"/>
      <c r="KK245" s="302"/>
      <c r="KL245" s="302"/>
      <c r="KM245" s="302"/>
      <c r="KN245" s="302"/>
      <c r="KO245" s="302"/>
      <c r="KP245" s="302"/>
      <c r="KQ245" s="302"/>
      <c r="KR245" s="302"/>
      <c r="KS245" s="302"/>
      <c r="KT245" s="302"/>
      <c r="KU245" s="302"/>
      <c r="KV245" s="302"/>
      <c r="KW245" s="302"/>
      <c r="KX245" s="302"/>
      <c r="KY245" s="302"/>
      <c r="KZ245" s="302"/>
      <c r="LA245" s="302"/>
      <c r="LB245" s="302"/>
      <c r="LC245" s="302"/>
      <c r="LD245" s="302"/>
      <c r="LE245" s="302"/>
      <c r="LF245" s="302"/>
      <c r="LG245" s="302"/>
      <c r="LH245" s="302"/>
      <c r="LI245" s="302"/>
      <c r="LJ245" s="302"/>
      <c r="LK245" s="302"/>
      <c r="LL245" s="302"/>
      <c r="LM245" s="302"/>
      <c r="LN245" s="302"/>
      <c r="LO245" s="302"/>
      <c r="LP245" s="302"/>
      <c r="LQ245" s="302"/>
      <c r="LR245" s="302"/>
      <c r="LS245" s="302"/>
      <c r="LT245" s="302"/>
      <c r="LU245" s="302"/>
      <c r="LV245" s="302"/>
      <c r="LW245" s="302"/>
      <c r="LX245" s="302"/>
      <c r="LY245" s="302"/>
      <c r="LZ245" s="302"/>
      <c r="MA245" s="302"/>
      <c r="MB245" s="302"/>
      <c r="MC245" s="302"/>
      <c r="MD245" s="302"/>
      <c r="ME245" s="302"/>
      <c r="MF245" s="302"/>
      <c r="MG245" s="302"/>
      <c r="MH245" s="302"/>
      <c r="MI245" s="302"/>
      <c r="MJ245" s="302"/>
      <c r="MK245" s="302"/>
      <c r="ML245" s="302"/>
      <c r="MM245" s="302"/>
      <c r="MN245" s="302"/>
      <c r="MO245" s="302"/>
      <c r="MP245" s="302"/>
      <c r="MQ245" s="302"/>
      <c r="MR245" s="302"/>
      <c r="MS245" s="302"/>
      <c r="MT245" s="302"/>
      <c r="MU245" s="302"/>
      <c r="MV245" s="302"/>
      <c r="MW245" s="302"/>
      <c r="MX245" s="302"/>
      <c r="MY245" s="302"/>
      <c r="MZ245" s="302"/>
      <c r="NA245" s="302"/>
      <c r="NB245" s="302"/>
      <c r="NC245" s="302"/>
      <c r="ND245" s="302"/>
      <c r="NE245" s="302"/>
      <c r="NF245" s="302"/>
      <c r="NG245" s="302"/>
      <c r="NH245" s="302"/>
      <c r="NI245" s="302"/>
      <c r="NJ245" s="302"/>
      <c r="NK245" s="302"/>
      <c r="NL245" s="302"/>
      <c r="NM245" s="302"/>
      <c r="NN245" s="302"/>
      <c r="NO245" s="302"/>
      <c r="NP245" s="302"/>
      <c r="NQ245" s="302"/>
      <c r="NR245" s="302"/>
      <c r="NS245" s="302"/>
      <c r="NT245" s="302"/>
      <c r="NU245" s="302"/>
      <c r="NV245" s="302"/>
      <c r="NW245" s="302"/>
      <c r="NX245" s="302"/>
      <c r="NY245" s="302"/>
      <c r="NZ245" s="302"/>
      <c r="OA245" s="302"/>
      <c r="OB245" s="302"/>
      <c r="OC245" s="302"/>
      <c r="OD245" s="302"/>
      <c r="OE245" s="302"/>
      <c r="OF245" s="302"/>
      <c r="OG245" s="302"/>
      <c r="OH245" s="302"/>
      <c r="OI245" s="302"/>
      <c r="OJ245" s="302"/>
      <c r="OK245" s="302"/>
      <c r="OL245" s="302"/>
      <c r="OM245" s="302"/>
      <c r="ON245" s="302"/>
      <c r="OO245" s="302"/>
      <c r="OP245" s="302"/>
      <c r="OQ245" s="302"/>
      <c r="OR245" s="302"/>
      <c r="OS245" s="302"/>
      <c r="OT245" s="302"/>
      <c r="OU245" s="302"/>
      <c r="OV245" s="302"/>
      <c r="OW245" s="302"/>
      <c r="OX245" s="302"/>
      <c r="OY245" s="302"/>
      <c r="OZ245" s="302"/>
      <c r="PA245" s="302"/>
      <c r="PB245" s="302"/>
      <c r="PC245" s="302"/>
      <c r="PD245" s="302"/>
      <c r="PE245" s="302"/>
      <c r="PF245" s="302"/>
      <c r="PG245" s="302"/>
      <c r="PH245" s="302"/>
      <c r="PI245" s="302"/>
      <c r="PJ245" s="302"/>
      <c r="PK245" s="302"/>
      <c r="PL245" s="302"/>
      <c r="PM245" s="302"/>
      <c r="PN245" s="302"/>
      <c r="PO245" s="302"/>
      <c r="PP245" s="302"/>
      <c r="PQ245" s="302"/>
      <c r="PR245" s="302"/>
      <c r="PS245" s="302"/>
      <c r="PT245" s="302"/>
      <c r="PU245" s="302"/>
      <c r="PV245" s="302"/>
      <c r="PW245" s="302"/>
      <c r="PX245" s="302"/>
      <c r="PY245" s="302"/>
      <c r="PZ245" s="302"/>
      <c r="QA245" s="302"/>
      <c r="QB245" s="302"/>
      <c r="QC245" s="302"/>
      <c r="QD245" s="302"/>
      <c r="QE245" s="302"/>
      <c r="QF245" s="302"/>
      <c r="QG245" s="302"/>
      <c r="QH245" s="302"/>
      <c r="QI245" s="302"/>
      <c r="QJ245" s="302"/>
      <c r="QK245" s="302"/>
      <c r="QL245" s="302"/>
      <c r="QM245" s="302"/>
      <c r="QN245" s="302"/>
      <c r="QO245" s="302"/>
      <c r="QP245" s="302"/>
      <c r="QQ245" s="302"/>
      <c r="QR245" s="302"/>
      <c r="QS245" s="302"/>
      <c r="QT245" s="302"/>
      <c r="QU245" s="302"/>
      <c r="QV245" s="302"/>
      <c r="QW245" s="302"/>
      <c r="QX245" s="302"/>
      <c r="QY245" s="302"/>
      <c r="QZ245" s="302"/>
      <c r="RA245" s="302"/>
      <c r="RB245" s="302"/>
      <c r="RC245" s="302"/>
      <c r="RD245" s="302"/>
      <c r="RE245" s="302"/>
      <c r="RF245" s="302"/>
      <c r="RG245" s="302"/>
      <c r="RH245" s="302"/>
      <c r="RI245" s="302"/>
      <c r="RJ245" s="302"/>
      <c r="RK245" s="302"/>
      <c r="RL245" s="302"/>
      <c r="RM245" s="302"/>
      <c r="RN245" s="302"/>
      <c r="RO245" s="302"/>
      <c r="RP245" s="302"/>
      <c r="RQ245" s="302"/>
      <c r="RR245" s="302"/>
      <c r="RS245" s="302"/>
      <c r="RT245" s="302"/>
      <c r="RU245" s="302"/>
      <c r="RV245" s="302"/>
      <c r="RW245" s="302"/>
      <c r="RX245" s="302"/>
      <c r="RY245" s="302"/>
      <c r="RZ245" s="302"/>
      <c r="SA245" s="302"/>
      <c r="SB245" s="302"/>
      <c r="SC245" s="302"/>
      <c r="SD245" s="302"/>
      <c r="SE245" s="302"/>
      <c r="SF245" s="302"/>
      <c r="SG245" s="302"/>
      <c r="SH245" s="302"/>
      <c r="SI245" s="302"/>
      <c r="SJ245" s="302"/>
      <c r="SK245" s="302"/>
      <c r="SL245" s="302"/>
      <c r="SM245" s="302"/>
      <c r="SN245" s="302"/>
      <c r="SO245" s="302"/>
      <c r="SP245" s="302"/>
      <c r="SQ245" s="302"/>
      <c r="SR245" s="302"/>
      <c r="SS245" s="302"/>
      <c r="ST245" s="302"/>
      <c r="SU245" s="302"/>
      <c r="SV245" s="302"/>
      <c r="SW245" s="302"/>
      <c r="SX245" s="302"/>
      <c r="SY245" s="302"/>
      <c r="SZ245" s="302"/>
      <c r="TA245" s="302"/>
      <c r="TB245" s="302"/>
      <c r="TC245" s="302"/>
      <c r="TD245" s="302"/>
      <c r="TE245" s="302"/>
      <c r="TF245" s="302"/>
      <c r="TG245" s="302"/>
      <c r="TH245" s="302"/>
      <c r="TI245" s="302"/>
      <c r="TJ245" s="302"/>
      <c r="TK245" s="302"/>
      <c r="TL245" s="302"/>
      <c r="TM245" s="302"/>
      <c r="TN245" s="302"/>
      <c r="TO245" s="302"/>
      <c r="TP245" s="302"/>
      <c r="TQ245" s="302"/>
      <c r="TR245" s="302"/>
      <c r="TS245" s="302"/>
      <c r="TT245" s="302"/>
      <c r="TU245" s="302"/>
      <c r="TV245" s="302"/>
      <c r="TW245" s="302"/>
      <c r="TX245" s="302"/>
      <c r="TY245" s="302"/>
      <c r="TZ245" s="302"/>
      <c r="UA245" s="302"/>
      <c r="UB245" s="302"/>
      <c r="UC245" s="302"/>
      <c r="UD245" s="302"/>
      <c r="UE245" s="302"/>
      <c r="UF245" s="302"/>
      <c r="UG245" s="302"/>
      <c r="UH245" s="302"/>
      <c r="UI245" s="302"/>
      <c r="UJ245" s="302"/>
      <c r="UK245" s="302"/>
      <c r="UL245" s="302"/>
      <c r="UM245" s="302"/>
      <c r="UN245" s="302"/>
      <c r="UO245" s="302"/>
      <c r="UP245" s="302"/>
      <c r="UQ245" s="302"/>
      <c r="UR245" s="302"/>
      <c r="US245" s="302"/>
      <c r="UT245" s="302"/>
      <c r="UU245" s="302"/>
      <c r="UV245" s="302"/>
      <c r="UW245" s="302"/>
      <c r="UX245" s="302"/>
      <c r="UY245" s="302"/>
      <c r="UZ245" s="302"/>
      <c r="VA245" s="302"/>
      <c r="VB245" s="302"/>
      <c r="VC245" s="302"/>
      <c r="VD245" s="302"/>
      <c r="VE245" s="302"/>
      <c r="VF245" s="302"/>
      <c r="VG245" s="302"/>
      <c r="VH245" s="302"/>
      <c r="VI245" s="302"/>
      <c r="VJ245" s="302"/>
      <c r="VK245" s="302"/>
      <c r="VL245" s="302"/>
      <c r="VM245" s="302"/>
      <c r="VN245" s="302"/>
      <c r="VO245" s="302"/>
      <c r="VP245" s="302"/>
      <c r="VQ245" s="302"/>
      <c r="VR245" s="302"/>
      <c r="VS245" s="302"/>
      <c r="VT245" s="302"/>
      <c r="VU245" s="302"/>
      <c r="VV245" s="302"/>
      <c r="VW245" s="302"/>
      <c r="VX245" s="302"/>
      <c r="VY245" s="302"/>
      <c r="VZ245" s="302"/>
      <c r="WA245" s="302"/>
      <c r="WB245" s="302"/>
      <c r="WC245" s="302"/>
      <c r="WD245" s="302"/>
      <c r="WE245" s="302"/>
      <c r="WF245" s="302"/>
      <c r="WG245" s="302"/>
      <c r="WH245" s="302"/>
      <c r="WI245" s="302"/>
      <c r="WJ245" s="302"/>
      <c r="WK245" s="302"/>
      <c r="WL245" s="302"/>
      <c r="WM245" s="302"/>
      <c r="WN245" s="302"/>
      <c r="WO245" s="302"/>
      <c r="WP245" s="302"/>
      <c r="WQ245" s="302"/>
      <c r="WR245" s="302"/>
      <c r="WS245" s="302"/>
      <c r="WT245" s="302"/>
      <c r="WU245" s="302"/>
      <c r="WV245" s="302"/>
      <c r="WW245" s="302"/>
      <c r="WX245" s="302"/>
      <c r="WY245" s="302"/>
      <c r="WZ245" s="302"/>
      <c r="XA245" s="302"/>
      <c r="XB245" s="302"/>
      <c r="XC245" s="302"/>
      <c r="XD245" s="302"/>
      <c r="XE245" s="302"/>
      <c r="XF245" s="302"/>
      <c r="XG245" s="302"/>
      <c r="XH245" s="302"/>
      <c r="XI245" s="302"/>
      <c r="XJ245" s="302"/>
      <c r="XK245" s="302"/>
      <c r="XL245" s="302"/>
      <c r="XM245" s="302"/>
      <c r="XN245" s="302"/>
      <c r="XO245" s="302"/>
      <c r="XP245" s="302"/>
      <c r="XQ245" s="302"/>
      <c r="XR245" s="302"/>
      <c r="XS245" s="302"/>
      <c r="XT245" s="302"/>
      <c r="XU245" s="302"/>
      <c r="XV245" s="302"/>
      <c r="XW245" s="302"/>
      <c r="XX245" s="302"/>
      <c r="XY245" s="302"/>
      <c r="XZ245" s="302"/>
      <c r="YA245" s="302"/>
      <c r="YB245" s="302"/>
      <c r="YC245" s="302"/>
      <c r="YD245" s="302"/>
      <c r="YE245" s="302"/>
      <c r="YF245" s="302"/>
      <c r="YG245" s="302"/>
      <c r="YH245" s="302"/>
      <c r="YI245" s="302"/>
      <c r="YJ245" s="302"/>
      <c r="YK245" s="302"/>
      <c r="YL245" s="302"/>
      <c r="YM245" s="302"/>
      <c r="YN245" s="302"/>
      <c r="YO245" s="302"/>
      <c r="YP245" s="302"/>
      <c r="YQ245" s="302"/>
      <c r="YR245" s="302"/>
      <c r="YS245" s="302"/>
      <c r="YT245" s="302"/>
      <c r="YU245" s="302"/>
      <c r="YV245" s="302"/>
      <c r="YW245" s="302"/>
      <c r="YX245" s="302"/>
      <c r="YY245" s="302"/>
      <c r="YZ245" s="302"/>
      <c r="ZA245" s="302"/>
      <c r="ZB245" s="302"/>
      <c r="ZC245" s="302"/>
      <c r="ZD245" s="302"/>
      <c r="ZE245" s="302"/>
      <c r="ZF245" s="302"/>
      <c r="ZG245" s="302"/>
      <c r="ZH245" s="302"/>
      <c r="ZI245" s="302"/>
      <c r="ZJ245" s="302"/>
      <c r="ZK245" s="302"/>
      <c r="ZL245" s="302"/>
      <c r="ZM245" s="302"/>
      <c r="ZN245" s="302"/>
      <c r="ZO245" s="302"/>
      <c r="ZP245" s="302"/>
      <c r="ZQ245" s="302"/>
      <c r="ZR245" s="302"/>
      <c r="ZS245" s="302"/>
      <c r="ZT245" s="302"/>
      <c r="ZU245" s="302"/>
      <c r="ZV245" s="302"/>
      <c r="ZW245" s="302"/>
      <c r="ZX245" s="302"/>
      <c r="ZY245" s="302"/>
      <c r="ZZ245" s="302"/>
      <c r="AAA245" s="302"/>
      <c r="AAB245" s="302"/>
      <c r="AAC245" s="302"/>
      <c r="AAD245" s="302"/>
      <c r="AAE245" s="302"/>
      <c r="AAF245" s="302"/>
      <c r="AAG245" s="302"/>
      <c r="AAH245" s="302"/>
      <c r="AAI245" s="302"/>
      <c r="AAJ245" s="302"/>
      <c r="AAK245" s="302"/>
      <c r="AAL245" s="302"/>
      <c r="AAM245" s="302"/>
      <c r="AAN245" s="302"/>
      <c r="AAO245" s="302"/>
      <c r="AAP245" s="302"/>
      <c r="AAQ245" s="302"/>
      <c r="AAR245" s="302"/>
      <c r="AAS245" s="302"/>
      <c r="AAT245" s="302"/>
      <c r="AAU245" s="302"/>
      <c r="AAV245" s="302"/>
      <c r="AAW245" s="302"/>
      <c r="AAX245" s="302"/>
      <c r="AAY245" s="302"/>
      <c r="AAZ245" s="302"/>
      <c r="ABA245" s="302"/>
      <c r="ABB245" s="302"/>
      <c r="ABC245" s="302"/>
      <c r="ABD245" s="302"/>
      <c r="ABE245" s="302"/>
      <c r="ABF245" s="302"/>
      <c r="ABG245" s="302"/>
      <c r="ABH245" s="302"/>
      <c r="ABI245" s="302"/>
      <c r="ABJ245" s="302"/>
      <c r="ABK245" s="302"/>
      <c r="ABL245" s="302"/>
      <c r="ABM245" s="302"/>
      <c r="ABN245" s="302"/>
      <c r="ABO245" s="302"/>
      <c r="ABP245" s="302"/>
      <c r="ABQ245" s="302"/>
      <c r="ABR245" s="302"/>
      <c r="ABS245" s="302"/>
      <c r="ABT245" s="302"/>
      <c r="ABU245" s="302"/>
      <c r="ABV245" s="302"/>
      <c r="ABW245" s="302"/>
      <c r="ABX245" s="302"/>
      <c r="ABY245" s="302"/>
      <c r="ABZ245" s="302"/>
      <c r="ACA245" s="302"/>
      <c r="ACB245" s="302"/>
      <c r="ACC245" s="302"/>
      <c r="ACD245" s="302"/>
      <c r="ACE245" s="302"/>
      <c r="ACF245" s="302"/>
      <c r="ACG245" s="302"/>
      <c r="ACH245" s="302"/>
      <c r="ACI245" s="302"/>
      <c r="ACJ245" s="302"/>
      <c r="ACK245" s="302"/>
      <c r="ACL245" s="302"/>
      <c r="ACM245" s="302"/>
      <c r="ACN245" s="302"/>
      <c r="ACO245" s="302"/>
      <c r="ACP245" s="302"/>
      <c r="ACQ245" s="302"/>
      <c r="ACR245" s="302"/>
      <c r="ACS245" s="302"/>
      <c r="ACT245" s="302"/>
      <c r="ACU245" s="302"/>
      <c r="ACV245" s="302"/>
      <c r="ACW245" s="302"/>
      <c r="ACX245" s="302"/>
      <c r="ACY245" s="302"/>
      <c r="ACZ245" s="302"/>
      <c r="ADA245" s="302"/>
      <c r="ADB245" s="302"/>
      <c r="ADC245" s="302"/>
      <c r="ADD245" s="302"/>
      <c r="ADE245" s="302"/>
      <c r="ADF245" s="302"/>
      <c r="ADG245" s="302"/>
      <c r="ADH245" s="302"/>
      <c r="ADI245" s="302"/>
      <c r="ADJ245" s="302"/>
      <c r="ADK245" s="302"/>
      <c r="ADL245" s="302"/>
      <c r="ADM245" s="302"/>
      <c r="ADN245" s="302"/>
      <c r="ADO245" s="302"/>
      <c r="ADP245" s="302"/>
      <c r="ADQ245" s="302"/>
      <c r="ADR245" s="302"/>
      <c r="ADS245" s="302"/>
      <c r="ADT245" s="302"/>
      <c r="ADU245" s="302"/>
      <c r="ADV245" s="302"/>
      <c r="ADW245" s="302"/>
      <c r="ADX245" s="302"/>
      <c r="ADY245" s="302"/>
      <c r="ADZ245" s="302"/>
      <c r="AEA245" s="302"/>
      <c r="AEB245" s="302"/>
      <c r="AEC245" s="302"/>
      <c r="AED245" s="302"/>
      <c r="AEE245" s="302"/>
      <c r="AEF245" s="302"/>
      <c r="AEG245" s="302"/>
      <c r="AEH245" s="302"/>
      <c r="AEI245" s="302"/>
      <c r="AEJ245" s="302"/>
      <c r="AEK245" s="302"/>
      <c r="AEL245" s="302"/>
      <c r="AEM245" s="302"/>
      <c r="AEN245" s="302"/>
      <c r="AEO245" s="302"/>
      <c r="AEP245" s="302"/>
      <c r="AEQ245" s="302"/>
      <c r="AER245" s="302"/>
      <c r="AES245" s="302"/>
      <c r="AET245" s="302"/>
      <c r="AEU245" s="302"/>
      <c r="AEV245" s="302"/>
      <c r="AEW245" s="302"/>
      <c r="AEX245" s="302"/>
      <c r="AEY245" s="302"/>
      <c r="AEZ245" s="302"/>
      <c r="AFA245" s="302"/>
      <c r="AFB245" s="302"/>
      <c r="AFC245" s="302"/>
      <c r="AFD245" s="302"/>
      <c r="AFE245" s="302"/>
      <c r="AFF245" s="302"/>
      <c r="AFG245" s="302"/>
      <c r="AFH245" s="302"/>
      <c r="AFI245" s="302"/>
      <c r="AFJ245" s="302"/>
      <c r="AFK245" s="302"/>
      <c r="AFL245" s="302"/>
      <c r="AFM245" s="302"/>
      <c r="AFN245" s="302"/>
      <c r="AFO245" s="302"/>
      <c r="AFP245" s="302"/>
      <c r="AFQ245" s="302"/>
      <c r="AFR245" s="302"/>
      <c r="AFS245" s="302"/>
      <c r="AFT245" s="302"/>
      <c r="AFU245" s="302"/>
      <c r="AFV245" s="302"/>
      <c r="AFW245" s="302"/>
      <c r="AFX245" s="302"/>
      <c r="AFY245" s="302"/>
      <c r="AFZ245" s="302"/>
      <c r="AGA245" s="302"/>
      <c r="AGB245" s="302"/>
      <c r="AGC245" s="302"/>
      <c r="AGD245" s="302"/>
      <c r="AGE245" s="302"/>
      <c r="AGF245" s="302"/>
      <c r="AGG245" s="302"/>
      <c r="AGH245" s="302"/>
      <c r="AGI245" s="302"/>
      <c r="AGJ245" s="302"/>
      <c r="AGK245" s="302"/>
      <c r="AGL245" s="302"/>
      <c r="AGM245" s="302"/>
      <c r="AGN245" s="302"/>
      <c r="AGO245" s="302"/>
      <c r="AGP245" s="302"/>
      <c r="AGQ245" s="302"/>
      <c r="AGR245" s="302"/>
      <c r="AGS245" s="302"/>
      <c r="AGT245" s="302"/>
      <c r="AGU245" s="302"/>
      <c r="AGV245" s="302"/>
      <c r="AGW245" s="302"/>
      <c r="AGX245" s="302"/>
      <c r="AGY245" s="302"/>
      <c r="AGZ245" s="302"/>
      <c r="AHA245" s="302"/>
      <c r="AHB245" s="302"/>
      <c r="AHC245" s="302"/>
      <c r="AHD245" s="302"/>
      <c r="AHE245" s="302"/>
      <c r="AHF245" s="302"/>
      <c r="AHG245" s="302"/>
      <c r="AHH245" s="302"/>
      <c r="AHI245" s="302"/>
      <c r="AHJ245" s="302"/>
      <c r="AHK245" s="302"/>
      <c r="AHL245" s="302"/>
      <c r="AHM245" s="302"/>
      <c r="AHN245" s="302"/>
      <c r="AHO245" s="302"/>
      <c r="AHP245" s="302"/>
      <c r="AHQ245" s="302"/>
      <c r="AHR245" s="302"/>
      <c r="AHS245" s="302"/>
      <c r="AHT245" s="302"/>
      <c r="AHU245" s="302"/>
      <c r="AHV245" s="302"/>
      <c r="AHW245" s="302"/>
      <c r="AHX245" s="302"/>
      <c r="AHY245" s="302"/>
      <c r="AHZ245" s="302"/>
      <c r="AIA245" s="302"/>
      <c r="AIB245" s="302"/>
      <c r="AIC245" s="302"/>
      <c r="AID245" s="302"/>
      <c r="AIE245" s="302"/>
      <c r="AIF245" s="302"/>
      <c r="AIG245" s="302"/>
      <c r="AIH245" s="302"/>
      <c r="AII245" s="302"/>
      <c r="AIJ245" s="302"/>
      <c r="AIK245" s="302"/>
      <c r="AIL245" s="302"/>
      <c r="AIM245" s="302"/>
      <c r="AIN245" s="302"/>
      <c r="AIO245" s="302"/>
      <c r="AIP245" s="302"/>
      <c r="AIQ245" s="302"/>
      <c r="AIR245" s="302"/>
      <c r="AIS245" s="302"/>
      <c r="AIT245" s="302"/>
      <c r="AIU245" s="302"/>
      <c r="AIV245" s="302"/>
      <c r="AIW245" s="302"/>
      <c r="AIX245" s="302"/>
      <c r="AIY245" s="302"/>
      <c r="AIZ245" s="302"/>
      <c r="AJA245" s="302"/>
      <c r="AJB245" s="302"/>
      <c r="AJC245" s="302"/>
      <c r="AJD245" s="302"/>
      <c r="AJE245" s="302"/>
      <c r="AJF245" s="302"/>
      <c r="AJG245" s="302"/>
      <c r="AJH245" s="302"/>
      <c r="AJI245" s="302"/>
      <c r="AJJ245" s="302"/>
      <c r="AJK245" s="302"/>
      <c r="AJL245" s="302"/>
      <c r="AJM245" s="302"/>
      <c r="AJN245" s="302"/>
      <c r="AJO245" s="302"/>
      <c r="AJP245" s="302"/>
      <c r="AJQ245" s="302"/>
      <c r="AJR245" s="302"/>
      <c r="AJS245" s="302"/>
      <c r="AJT245" s="302"/>
      <c r="AJU245" s="302"/>
      <c r="AJV245" s="302"/>
      <c r="AJW245" s="302"/>
      <c r="AJX245" s="302"/>
      <c r="AJY245" s="302"/>
      <c r="AJZ245" s="302"/>
      <c r="AKA245" s="302"/>
      <c r="AKB245" s="302"/>
      <c r="AKC245" s="302"/>
      <c r="AKD245" s="302"/>
      <c r="AKE245" s="302"/>
      <c r="AKF245" s="302"/>
      <c r="AKG245" s="302"/>
      <c r="AKH245" s="302"/>
      <c r="AKI245" s="302"/>
      <c r="AKJ245" s="302"/>
      <c r="AKK245" s="302"/>
      <c r="AKL245" s="302"/>
      <c r="AKM245" s="302"/>
      <c r="AKN245" s="302"/>
      <c r="AKO245" s="302"/>
      <c r="AKP245" s="302"/>
      <c r="AKQ245" s="302"/>
      <c r="AKR245" s="302"/>
      <c r="AKS245" s="302"/>
      <c r="AKT245" s="302"/>
      <c r="AKU245" s="302"/>
      <c r="AKV245" s="302"/>
      <c r="AKW245" s="302"/>
      <c r="AKX245" s="302"/>
      <c r="AKY245" s="302"/>
      <c r="AKZ245" s="302"/>
      <c r="ALA245" s="302"/>
      <c r="ALB245" s="302"/>
      <c r="ALC245" s="302"/>
      <c r="ALD245" s="302"/>
      <c r="ALE245" s="302"/>
      <c r="ALF245" s="302"/>
      <c r="ALG245" s="302"/>
      <c r="ALH245" s="302"/>
      <c r="ALI245" s="302"/>
      <c r="ALJ245" s="302"/>
      <c r="ALK245" s="302"/>
      <c r="ALL245" s="302"/>
      <c r="ALM245" s="302"/>
      <c r="ALN245" s="302"/>
      <c r="ALO245" s="302"/>
      <c r="ALP245" s="302"/>
      <c r="ALQ245" s="302"/>
      <c r="ALR245" s="302"/>
      <c r="ALS245" s="302"/>
      <c r="ALT245" s="302"/>
      <c r="ALU245" s="302"/>
      <c r="ALV245" s="302"/>
      <c r="ALW245" s="302"/>
      <c r="ALX245" s="302"/>
      <c r="ALY245" s="302"/>
      <c r="ALZ245" s="302"/>
      <c r="AMA245" s="302"/>
      <c r="AMB245" s="302"/>
      <c r="AMC245" s="302"/>
      <c r="AMD245" s="302"/>
      <c r="AME245" s="302"/>
      <c r="AMF245" s="302"/>
      <c r="AMG245" s="302"/>
      <c r="AMH245" s="302"/>
      <c r="AMI245" s="302"/>
    </row>
    <row r="246" spans="1:1023" hidden="1">
      <c r="A246" s="302"/>
      <c r="B246" s="443">
        <v>14059</v>
      </c>
      <c r="C246" s="432">
        <v>0.1</v>
      </c>
      <c r="D246" s="444" t="s">
        <v>168</v>
      </c>
      <c r="E246" s="584">
        <v>2898000</v>
      </c>
      <c r="F246" s="499">
        <v>0.02</v>
      </c>
      <c r="G246" s="369">
        <f t="shared" si="13"/>
        <v>57960</v>
      </c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  <c r="AF246" s="302"/>
      <c r="AG246" s="302"/>
      <c r="AH246" s="302"/>
      <c r="AI246" s="302"/>
      <c r="AJ246" s="302"/>
      <c r="AK246" s="302"/>
      <c r="AL246" s="302"/>
      <c r="AM246" s="302"/>
      <c r="AN246" s="302"/>
      <c r="AO246" s="302"/>
      <c r="AP246" s="302"/>
      <c r="AQ246" s="302"/>
      <c r="AR246" s="302"/>
      <c r="AS246" s="302"/>
      <c r="AT246" s="302"/>
      <c r="AU246" s="302"/>
      <c r="AV246" s="302"/>
      <c r="AW246" s="302"/>
      <c r="AX246" s="302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02"/>
      <c r="BX246" s="302"/>
      <c r="BY246" s="302"/>
      <c r="BZ246" s="302"/>
      <c r="CA246" s="302"/>
      <c r="CB246" s="302"/>
      <c r="CC246" s="302"/>
      <c r="CD246" s="302"/>
      <c r="CE246" s="302"/>
      <c r="CF246" s="302"/>
      <c r="CG246" s="302"/>
      <c r="CH246" s="302"/>
      <c r="CI246" s="302"/>
      <c r="CJ246" s="302"/>
      <c r="CK246" s="302"/>
      <c r="CL246" s="302"/>
      <c r="CM246" s="302"/>
      <c r="CN246" s="302"/>
      <c r="CO246" s="302"/>
      <c r="CP246" s="302"/>
      <c r="CQ246" s="302"/>
      <c r="CR246" s="302"/>
      <c r="CS246" s="302"/>
      <c r="CT246" s="302"/>
      <c r="CU246" s="302"/>
      <c r="CV246" s="302"/>
      <c r="CW246" s="302"/>
      <c r="CX246" s="302"/>
      <c r="CY246" s="302"/>
      <c r="CZ246" s="302"/>
      <c r="DA246" s="302"/>
      <c r="DB246" s="302"/>
      <c r="DC246" s="302"/>
      <c r="DD246" s="302"/>
      <c r="DE246" s="302"/>
      <c r="DF246" s="302"/>
      <c r="DG246" s="302"/>
      <c r="DH246" s="302"/>
      <c r="DI246" s="302"/>
      <c r="DJ246" s="302"/>
      <c r="DK246" s="302"/>
      <c r="DL246" s="302"/>
      <c r="DM246" s="302"/>
      <c r="DN246" s="302"/>
      <c r="DO246" s="302"/>
      <c r="DP246" s="302"/>
      <c r="DQ246" s="302"/>
      <c r="DR246" s="302"/>
      <c r="DS246" s="302"/>
      <c r="DT246" s="302"/>
      <c r="DU246" s="302"/>
      <c r="DV246" s="302"/>
      <c r="DW246" s="302"/>
      <c r="DX246" s="302"/>
      <c r="DY246" s="302"/>
      <c r="DZ246" s="302"/>
      <c r="EA246" s="302"/>
      <c r="EB246" s="302"/>
      <c r="EC246" s="302"/>
      <c r="ED246" s="302"/>
      <c r="EE246" s="302"/>
      <c r="EF246" s="302"/>
      <c r="EG246" s="302"/>
      <c r="EH246" s="302"/>
      <c r="EI246" s="302"/>
      <c r="EJ246" s="302"/>
      <c r="EK246" s="302"/>
      <c r="EL246" s="302"/>
      <c r="EM246" s="302"/>
      <c r="EN246" s="302"/>
      <c r="EO246" s="302"/>
      <c r="EP246" s="302"/>
      <c r="EQ246" s="302"/>
      <c r="ER246" s="302"/>
      <c r="ES246" s="302"/>
      <c r="ET246" s="302"/>
      <c r="EU246" s="302"/>
      <c r="EV246" s="302"/>
      <c r="EW246" s="302"/>
      <c r="EX246" s="302"/>
      <c r="EY246" s="302"/>
      <c r="EZ246" s="302"/>
      <c r="FA246" s="302"/>
      <c r="FB246" s="302"/>
      <c r="FC246" s="302"/>
      <c r="FD246" s="302"/>
      <c r="FE246" s="302"/>
      <c r="FF246" s="302"/>
      <c r="FG246" s="302"/>
      <c r="FH246" s="302"/>
      <c r="FI246" s="302"/>
      <c r="FJ246" s="302"/>
      <c r="FK246" s="302"/>
      <c r="FL246" s="302"/>
      <c r="FM246" s="302"/>
      <c r="FN246" s="302"/>
      <c r="FO246" s="302"/>
      <c r="FP246" s="302"/>
      <c r="FQ246" s="302"/>
      <c r="FR246" s="302"/>
      <c r="FS246" s="302"/>
      <c r="FT246" s="302"/>
      <c r="FU246" s="302"/>
      <c r="FV246" s="302"/>
      <c r="FW246" s="302"/>
      <c r="FX246" s="302"/>
      <c r="FY246" s="302"/>
      <c r="FZ246" s="302"/>
      <c r="GA246" s="302"/>
      <c r="GB246" s="302"/>
      <c r="GC246" s="302"/>
      <c r="GD246" s="302"/>
      <c r="GE246" s="302"/>
      <c r="GF246" s="302"/>
      <c r="GG246" s="302"/>
      <c r="GH246" s="302"/>
      <c r="GI246" s="302"/>
      <c r="GJ246" s="302"/>
      <c r="GK246" s="302"/>
      <c r="GL246" s="302"/>
      <c r="GM246" s="302"/>
      <c r="GN246" s="302"/>
      <c r="GO246" s="302"/>
      <c r="GP246" s="302"/>
      <c r="GQ246" s="302"/>
      <c r="GR246" s="302"/>
      <c r="GS246" s="302"/>
      <c r="GT246" s="302"/>
      <c r="GU246" s="302"/>
      <c r="GV246" s="302"/>
      <c r="GW246" s="302"/>
      <c r="GX246" s="302"/>
      <c r="GY246" s="302"/>
      <c r="GZ246" s="302"/>
      <c r="HA246" s="302"/>
      <c r="HB246" s="302"/>
      <c r="HC246" s="302"/>
      <c r="HD246" s="302"/>
      <c r="HE246" s="302"/>
      <c r="HF246" s="302"/>
      <c r="HG246" s="302"/>
      <c r="HH246" s="302"/>
      <c r="HI246" s="302"/>
      <c r="HJ246" s="302"/>
      <c r="HK246" s="302"/>
      <c r="HL246" s="302"/>
      <c r="HM246" s="302"/>
      <c r="HN246" s="302"/>
      <c r="HO246" s="302"/>
      <c r="HP246" s="302"/>
      <c r="HQ246" s="302"/>
      <c r="HR246" s="302"/>
      <c r="HS246" s="302"/>
      <c r="HT246" s="302"/>
      <c r="HU246" s="302"/>
      <c r="HV246" s="302"/>
      <c r="HW246" s="302"/>
      <c r="HX246" s="302"/>
      <c r="HY246" s="302"/>
      <c r="HZ246" s="302"/>
      <c r="IA246" s="302"/>
      <c r="IB246" s="302"/>
      <c r="IC246" s="302"/>
      <c r="ID246" s="302"/>
      <c r="IE246" s="302"/>
      <c r="IF246" s="302"/>
      <c r="IG246" s="302"/>
      <c r="IH246" s="302"/>
      <c r="II246" s="302"/>
      <c r="IJ246" s="302"/>
      <c r="IK246" s="302"/>
      <c r="IL246" s="302"/>
      <c r="IM246" s="302"/>
      <c r="IN246" s="302"/>
      <c r="IO246" s="302"/>
      <c r="IP246" s="302"/>
      <c r="IQ246" s="302"/>
      <c r="IR246" s="302"/>
      <c r="IS246" s="302"/>
      <c r="IT246" s="302"/>
      <c r="IU246" s="302"/>
      <c r="IV246" s="302"/>
      <c r="IW246" s="302"/>
      <c r="IX246" s="302"/>
      <c r="IY246" s="302"/>
      <c r="IZ246" s="302"/>
      <c r="JA246" s="302"/>
      <c r="JB246" s="302"/>
      <c r="JC246" s="302"/>
      <c r="JD246" s="302"/>
      <c r="JE246" s="302"/>
      <c r="JF246" s="302"/>
      <c r="JG246" s="302"/>
      <c r="JH246" s="302"/>
      <c r="JI246" s="302"/>
      <c r="JJ246" s="302"/>
      <c r="JK246" s="302"/>
      <c r="JL246" s="302"/>
      <c r="JM246" s="302"/>
      <c r="JN246" s="302"/>
      <c r="JO246" s="302"/>
      <c r="JP246" s="302"/>
      <c r="JQ246" s="302"/>
      <c r="JR246" s="302"/>
      <c r="JS246" s="302"/>
      <c r="JT246" s="302"/>
      <c r="JU246" s="302"/>
      <c r="JV246" s="302"/>
      <c r="JW246" s="302"/>
      <c r="JX246" s="302"/>
      <c r="JY246" s="302"/>
      <c r="JZ246" s="302"/>
      <c r="KA246" s="302"/>
      <c r="KB246" s="302"/>
      <c r="KC246" s="302"/>
      <c r="KD246" s="302"/>
      <c r="KE246" s="302"/>
      <c r="KF246" s="302"/>
      <c r="KG246" s="302"/>
      <c r="KH246" s="302"/>
      <c r="KI246" s="302"/>
      <c r="KJ246" s="302"/>
      <c r="KK246" s="302"/>
      <c r="KL246" s="302"/>
      <c r="KM246" s="302"/>
      <c r="KN246" s="302"/>
      <c r="KO246" s="302"/>
      <c r="KP246" s="302"/>
      <c r="KQ246" s="302"/>
      <c r="KR246" s="302"/>
      <c r="KS246" s="302"/>
      <c r="KT246" s="302"/>
      <c r="KU246" s="302"/>
      <c r="KV246" s="302"/>
      <c r="KW246" s="302"/>
      <c r="KX246" s="302"/>
      <c r="KY246" s="302"/>
      <c r="KZ246" s="302"/>
      <c r="LA246" s="302"/>
      <c r="LB246" s="302"/>
      <c r="LC246" s="302"/>
      <c r="LD246" s="302"/>
      <c r="LE246" s="302"/>
      <c r="LF246" s="302"/>
      <c r="LG246" s="302"/>
      <c r="LH246" s="302"/>
      <c r="LI246" s="302"/>
      <c r="LJ246" s="302"/>
      <c r="LK246" s="302"/>
      <c r="LL246" s="302"/>
      <c r="LM246" s="302"/>
      <c r="LN246" s="302"/>
      <c r="LO246" s="302"/>
      <c r="LP246" s="302"/>
      <c r="LQ246" s="302"/>
      <c r="LR246" s="302"/>
      <c r="LS246" s="302"/>
      <c r="LT246" s="302"/>
      <c r="LU246" s="302"/>
      <c r="LV246" s="302"/>
      <c r="LW246" s="302"/>
      <c r="LX246" s="302"/>
      <c r="LY246" s="302"/>
      <c r="LZ246" s="302"/>
      <c r="MA246" s="302"/>
      <c r="MB246" s="302"/>
      <c r="MC246" s="302"/>
      <c r="MD246" s="302"/>
      <c r="ME246" s="302"/>
      <c r="MF246" s="302"/>
      <c r="MG246" s="302"/>
      <c r="MH246" s="302"/>
      <c r="MI246" s="302"/>
      <c r="MJ246" s="302"/>
      <c r="MK246" s="302"/>
      <c r="ML246" s="302"/>
      <c r="MM246" s="302"/>
      <c r="MN246" s="302"/>
      <c r="MO246" s="302"/>
      <c r="MP246" s="302"/>
      <c r="MQ246" s="302"/>
      <c r="MR246" s="302"/>
      <c r="MS246" s="302"/>
      <c r="MT246" s="302"/>
      <c r="MU246" s="302"/>
      <c r="MV246" s="302"/>
      <c r="MW246" s="302"/>
      <c r="MX246" s="302"/>
      <c r="MY246" s="302"/>
      <c r="MZ246" s="302"/>
      <c r="NA246" s="302"/>
      <c r="NB246" s="302"/>
      <c r="NC246" s="302"/>
      <c r="ND246" s="302"/>
      <c r="NE246" s="302"/>
      <c r="NF246" s="302"/>
      <c r="NG246" s="302"/>
      <c r="NH246" s="302"/>
      <c r="NI246" s="302"/>
      <c r="NJ246" s="302"/>
      <c r="NK246" s="302"/>
      <c r="NL246" s="302"/>
      <c r="NM246" s="302"/>
      <c r="NN246" s="302"/>
      <c r="NO246" s="302"/>
      <c r="NP246" s="302"/>
      <c r="NQ246" s="302"/>
      <c r="NR246" s="302"/>
      <c r="NS246" s="302"/>
      <c r="NT246" s="302"/>
      <c r="NU246" s="302"/>
      <c r="NV246" s="302"/>
      <c r="NW246" s="302"/>
      <c r="NX246" s="302"/>
      <c r="NY246" s="302"/>
      <c r="NZ246" s="302"/>
      <c r="OA246" s="302"/>
      <c r="OB246" s="302"/>
      <c r="OC246" s="302"/>
      <c r="OD246" s="302"/>
      <c r="OE246" s="302"/>
      <c r="OF246" s="302"/>
      <c r="OG246" s="302"/>
      <c r="OH246" s="302"/>
      <c r="OI246" s="302"/>
      <c r="OJ246" s="302"/>
      <c r="OK246" s="302"/>
      <c r="OL246" s="302"/>
      <c r="OM246" s="302"/>
      <c r="ON246" s="302"/>
      <c r="OO246" s="302"/>
      <c r="OP246" s="302"/>
      <c r="OQ246" s="302"/>
      <c r="OR246" s="302"/>
      <c r="OS246" s="302"/>
      <c r="OT246" s="302"/>
      <c r="OU246" s="302"/>
      <c r="OV246" s="302"/>
      <c r="OW246" s="302"/>
      <c r="OX246" s="302"/>
      <c r="OY246" s="302"/>
      <c r="OZ246" s="302"/>
      <c r="PA246" s="302"/>
      <c r="PB246" s="302"/>
      <c r="PC246" s="302"/>
      <c r="PD246" s="302"/>
      <c r="PE246" s="302"/>
      <c r="PF246" s="302"/>
      <c r="PG246" s="302"/>
      <c r="PH246" s="302"/>
      <c r="PI246" s="302"/>
      <c r="PJ246" s="302"/>
      <c r="PK246" s="302"/>
      <c r="PL246" s="302"/>
      <c r="PM246" s="302"/>
      <c r="PN246" s="302"/>
      <c r="PO246" s="302"/>
      <c r="PP246" s="302"/>
      <c r="PQ246" s="302"/>
      <c r="PR246" s="302"/>
      <c r="PS246" s="302"/>
      <c r="PT246" s="302"/>
      <c r="PU246" s="302"/>
      <c r="PV246" s="302"/>
      <c r="PW246" s="302"/>
      <c r="PX246" s="302"/>
      <c r="PY246" s="302"/>
      <c r="PZ246" s="302"/>
      <c r="QA246" s="302"/>
      <c r="QB246" s="302"/>
      <c r="QC246" s="302"/>
      <c r="QD246" s="302"/>
      <c r="QE246" s="302"/>
      <c r="QF246" s="302"/>
      <c r="QG246" s="302"/>
      <c r="QH246" s="302"/>
      <c r="QI246" s="302"/>
      <c r="QJ246" s="302"/>
      <c r="QK246" s="302"/>
      <c r="QL246" s="302"/>
      <c r="QM246" s="302"/>
      <c r="QN246" s="302"/>
      <c r="QO246" s="302"/>
      <c r="QP246" s="302"/>
      <c r="QQ246" s="302"/>
      <c r="QR246" s="302"/>
      <c r="QS246" s="302"/>
      <c r="QT246" s="302"/>
      <c r="QU246" s="302"/>
      <c r="QV246" s="302"/>
      <c r="QW246" s="302"/>
      <c r="QX246" s="302"/>
      <c r="QY246" s="302"/>
      <c r="QZ246" s="302"/>
      <c r="RA246" s="302"/>
      <c r="RB246" s="302"/>
      <c r="RC246" s="302"/>
      <c r="RD246" s="302"/>
      <c r="RE246" s="302"/>
      <c r="RF246" s="302"/>
      <c r="RG246" s="302"/>
      <c r="RH246" s="302"/>
      <c r="RI246" s="302"/>
      <c r="RJ246" s="302"/>
      <c r="RK246" s="302"/>
      <c r="RL246" s="302"/>
      <c r="RM246" s="302"/>
      <c r="RN246" s="302"/>
      <c r="RO246" s="302"/>
      <c r="RP246" s="302"/>
      <c r="RQ246" s="302"/>
      <c r="RR246" s="302"/>
      <c r="RS246" s="302"/>
      <c r="RT246" s="302"/>
      <c r="RU246" s="302"/>
      <c r="RV246" s="302"/>
      <c r="RW246" s="302"/>
      <c r="RX246" s="302"/>
      <c r="RY246" s="302"/>
      <c r="RZ246" s="302"/>
      <c r="SA246" s="302"/>
      <c r="SB246" s="302"/>
      <c r="SC246" s="302"/>
      <c r="SD246" s="302"/>
      <c r="SE246" s="302"/>
      <c r="SF246" s="302"/>
      <c r="SG246" s="302"/>
      <c r="SH246" s="302"/>
      <c r="SI246" s="302"/>
      <c r="SJ246" s="302"/>
      <c r="SK246" s="302"/>
      <c r="SL246" s="302"/>
      <c r="SM246" s="302"/>
      <c r="SN246" s="302"/>
      <c r="SO246" s="302"/>
      <c r="SP246" s="302"/>
      <c r="SQ246" s="302"/>
      <c r="SR246" s="302"/>
      <c r="SS246" s="302"/>
      <c r="ST246" s="302"/>
      <c r="SU246" s="302"/>
      <c r="SV246" s="302"/>
      <c r="SW246" s="302"/>
      <c r="SX246" s="302"/>
      <c r="SY246" s="302"/>
      <c r="SZ246" s="302"/>
      <c r="TA246" s="302"/>
      <c r="TB246" s="302"/>
      <c r="TC246" s="302"/>
      <c r="TD246" s="302"/>
      <c r="TE246" s="302"/>
      <c r="TF246" s="302"/>
      <c r="TG246" s="302"/>
      <c r="TH246" s="302"/>
      <c r="TI246" s="302"/>
      <c r="TJ246" s="302"/>
      <c r="TK246" s="302"/>
      <c r="TL246" s="302"/>
      <c r="TM246" s="302"/>
      <c r="TN246" s="302"/>
      <c r="TO246" s="302"/>
      <c r="TP246" s="302"/>
      <c r="TQ246" s="302"/>
      <c r="TR246" s="302"/>
      <c r="TS246" s="302"/>
      <c r="TT246" s="302"/>
      <c r="TU246" s="302"/>
      <c r="TV246" s="302"/>
      <c r="TW246" s="302"/>
      <c r="TX246" s="302"/>
      <c r="TY246" s="302"/>
      <c r="TZ246" s="302"/>
      <c r="UA246" s="302"/>
      <c r="UB246" s="302"/>
      <c r="UC246" s="302"/>
      <c r="UD246" s="302"/>
      <c r="UE246" s="302"/>
      <c r="UF246" s="302"/>
      <c r="UG246" s="302"/>
      <c r="UH246" s="302"/>
      <c r="UI246" s="302"/>
      <c r="UJ246" s="302"/>
      <c r="UK246" s="302"/>
      <c r="UL246" s="302"/>
      <c r="UM246" s="302"/>
      <c r="UN246" s="302"/>
      <c r="UO246" s="302"/>
      <c r="UP246" s="302"/>
      <c r="UQ246" s="302"/>
      <c r="UR246" s="302"/>
      <c r="US246" s="302"/>
      <c r="UT246" s="302"/>
      <c r="UU246" s="302"/>
      <c r="UV246" s="302"/>
      <c r="UW246" s="302"/>
      <c r="UX246" s="302"/>
      <c r="UY246" s="302"/>
      <c r="UZ246" s="302"/>
      <c r="VA246" s="302"/>
      <c r="VB246" s="302"/>
      <c r="VC246" s="302"/>
      <c r="VD246" s="302"/>
      <c r="VE246" s="302"/>
      <c r="VF246" s="302"/>
      <c r="VG246" s="302"/>
      <c r="VH246" s="302"/>
      <c r="VI246" s="302"/>
      <c r="VJ246" s="302"/>
      <c r="VK246" s="302"/>
      <c r="VL246" s="302"/>
      <c r="VM246" s="302"/>
      <c r="VN246" s="302"/>
      <c r="VO246" s="302"/>
      <c r="VP246" s="302"/>
      <c r="VQ246" s="302"/>
      <c r="VR246" s="302"/>
      <c r="VS246" s="302"/>
      <c r="VT246" s="302"/>
      <c r="VU246" s="302"/>
      <c r="VV246" s="302"/>
      <c r="VW246" s="302"/>
      <c r="VX246" s="302"/>
      <c r="VY246" s="302"/>
      <c r="VZ246" s="302"/>
      <c r="WA246" s="302"/>
      <c r="WB246" s="302"/>
      <c r="WC246" s="302"/>
      <c r="WD246" s="302"/>
      <c r="WE246" s="302"/>
      <c r="WF246" s="302"/>
      <c r="WG246" s="302"/>
      <c r="WH246" s="302"/>
      <c r="WI246" s="302"/>
      <c r="WJ246" s="302"/>
      <c r="WK246" s="302"/>
      <c r="WL246" s="302"/>
      <c r="WM246" s="302"/>
      <c r="WN246" s="302"/>
      <c r="WO246" s="302"/>
      <c r="WP246" s="302"/>
      <c r="WQ246" s="302"/>
      <c r="WR246" s="302"/>
      <c r="WS246" s="302"/>
      <c r="WT246" s="302"/>
      <c r="WU246" s="302"/>
      <c r="WV246" s="302"/>
      <c r="WW246" s="302"/>
      <c r="WX246" s="302"/>
      <c r="WY246" s="302"/>
      <c r="WZ246" s="302"/>
      <c r="XA246" s="302"/>
      <c r="XB246" s="302"/>
      <c r="XC246" s="302"/>
      <c r="XD246" s="302"/>
      <c r="XE246" s="302"/>
      <c r="XF246" s="302"/>
      <c r="XG246" s="302"/>
      <c r="XH246" s="302"/>
      <c r="XI246" s="302"/>
      <c r="XJ246" s="302"/>
      <c r="XK246" s="302"/>
      <c r="XL246" s="302"/>
      <c r="XM246" s="302"/>
      <c r="XN246" s="302"/>
      <c r="XO246" s="302"/>
      <c r="XP246" s="302"/>
      <c r="XQ246" s="302"/>
      <c r="XR246" s="302"/>
      <c r="XS246" s="302"/>
      <c r="XT246" s="302"/>
      <c r="XU246" s="302"/>
      <c r="XV246" s="302"/>
      <c r="XW246" s="302"/>
      <c r="XX246" s="302"/>
      <c r="XY246" s="302"/>
      <c r="XZ246" s="302"/>
      <c r="YA246" s="302"/>
      <c r="YB246" s="302"/>
      <c r="YC246" s="302"/>
      <c r="YD246" s="302"/>
      <c r="YE246" s="302"/>
      <c r="YF246" s="302"/>
      <c r="YG246" s="302"/>
      <c r="YH246" s="302"/>
      <c r="YI246" s="302"/>
      <c r="YJ246" s="302"/>
      <c r="YK246" s="302"/>
      <c r="YL246" s="302"/>
      <c r="YM246" s="302"/>
      <c r="YN246" s="302"/>
      <c r="YO246" s="302"/>
      <c r="YP246" s="302"/>
      <c r="YQ246" s="302"/>
      <c r="YR246" s="302"/>
      <c r="YS246" s="302"/>
      <c r="YT246" s="302"/>
      <c r="YU246" s="302"/>
      <c r="YV246" s="302"/>
      <c r="YW246" s="302"/>
      <c r="YX246" s="302"/>
      <c r="YY246" s="302"/>
      <c r="YZ246" s="302"/>
      <c r="ZA246" s="302"/>
      <c r="ZB246" s="302"/>
      <c r="ZC246" s="302"/>
      <c r="ZD246" s="302"/>
      <c r="ZE246" s="302"/>
      <c r="ZF246" s="302"/>
      <c r="ZG246" s="302"/>
      <c r="ZH246" s="302"/>
      <c r="ZI246" s="302"/>
      <c r="ZJ246" s="302"/>
      <c r="ZK246" s="302"/>
      <c r="ZL246" s="302"/>
      <c r="ZM246" s="302"/>
      <c r="ZN246" s="302"/>
      <c r="ZO246" s="302"/>
      <c r="ZP246" s="302"/>
      <c r="ZQ246" s="302"/>
      <c r="ZR246" s="302"/>
      <c r="ZS246" s="302"/>
      <c r="ZT246" s="302"/>
      <c r="ZU246" s="302"/>
      <c r="ZV246" s="302"/>
      <c r="ZW246" s="302"/>
      <c r="ZX246" s="302"/>
      <c r="ZY246" s="302"/>
      <c r="ZZ246" s="302"/>
      <c r="AAA246" s="302"/>
      <c r="AAB246" s="302"/>
      <c r="AAC246" s="302"/>
      <c r="AAD246" s="302"/>
      <c r="AAE246" s="302"/>
      <c r="AAF246" s="302"/>
      <c r="AAG246" s="302"/>
      <c r="AAH246" s="302"/>
      <c r="AAI246" s="302"/>
      <c r="AAJ246" s="302"/>
      <c r="AAK246" s="302"/>
      <c r="AAL246" s="302"/>
      <c r="AAM246" s="302"/>
      <c r="AAN246" s="302"/>
      <c r="AAO246" s="302"/>
      <c r="AAP246" s="302"/>
      <c r="AAQ246" s="302"/>
      <c r="AAR246" s="302"/>
      <c r="AAS246" s="302"/>
      <c r="AAT246" s="302"/>
      <c r="AAU246" s="302"/>
      <c r="AAV246" s="302"/>
      <c r="AAW246" s="302"/>
      <c r="AAX246" s="302"/>
      <c r="AAY246" s="302"/>
      <c r="AAZ246" s="302"/>
      <c r="ABA246" s="302"/>
      <c r="ABB246" s="302"/>
      <c r="ABC246" s="302"/>
      <c r="ABD246" s="302"/>
      <c r="ABE246" s="302"/>
      <c r="ABF246" s="302"/>
      <c r="ABG246" s="302"/>
      <c r="ABH246" s="302"/>
      <c r="ABI246" s="302"/>
      <c r="ABJ246" s="302"/>
      <c r="ABK246" s="302"/>
      <c r="ABL246" s="302"/>
      <c r="ABM246" s="302"/>
      <c r="ABN246" s="302"/>
      <c r="ABO246" s="302"/>
      <c r="ABP246" s="302"/>
      <c r="ABQ246" s="302"/>
      <c r="ABR246" s="302"/>
      <c r="ABS246" s="302"/>
      <c r="ABT246" s="302"/>
      <c r="ABU246" s="302"/>
      <c r="ABV246" s="302"/>
      <c r="ABW246" s="302"/>
      <c r="ABX246" s="302"/>
      <c r="ABY246" s="302"/>
      <c r="ABZ246" s="302"/>
      <c r="ACA246" s="302"/>
      <c r="ACB246" s="302"/>
      <c r="ACC246" s="302"/>
      <c r="ACD246" s="302"/>
      <c r="ACE246" s="302"/>
      <c r="ACF246" s="302"/>
      <c r="ACG246" s="302"/>
      <c r="ACH246" s="302"/>
      <c r="ACI246" s="302"/>
      <c r="ACJ246" s="302"/>
      <c r="ACK246" s="302"/>
      <c r="ACL246" s="302"/>
      <c r="ACM246" s="302"/>
      <c r="ACN246" s="302"/>
      <c r="ACO246" s="302"/>
      <c r="ACP246" s="302"/>
      <c r="ACQ246" s="302"/>
      <c r="ACR246" s="302"/>
      <c r="ACS246" s="302"/>
      <c r="ACT246" s="302"/>
      <c r="ACU246" s="302"/>
      <c r="ACV246" s="302"/>
      <c r="ACW246" s="302"/>
      <c r="ACX246" s="302"/>
      <c r="ACY246" s="302"/>
      <c r="ACZ246" s="302"/>
      <c r="ADA246" s="302"/>
      <c r="ADB246" s="302"/>
      <c r="ADC246" s="302"/>
      <c r="ADD246" s="302"/>
      <c r="ADE246" s="302"/>
      <c r="ADF246" s="302"/>
      <c r="ADG246" s="302"/>
      <c r="ADH246" s="302"/>
      <c r="ADI246" s="302"/>
      <c r="ADJ246" s="302"/>
      <c r="ADK246" s="302"/>
      <c r="ADL246" s="302"/>
      <c r="ADM246" s="302"/>
      <c r="ADN246" s="302"/>
      <c r="ADO246" s="302"/>
      <c r="ADP246" s="302"/>
      <c r="ADQ246" s="302"/>
      <c r="ADR246" s="302"/>
      <c r="ADS246" s="302"/>
      <c r="ADT246" s="302"/>
      <c r="ADU246" s="302"/>
      <c r="ADV246" s="302"/>
      <c r="ADW246" s="302"/>
      <c r="ADX246" s="302"/>
      <c r="ADY246" s="302"/>
      <c r="ADZ246" s="302"/>
      <c r="AEA246" s="302"/>
      <c r="AEB246" s="302"/>
      <c r="AEC246" s="302"/>
      <c r="AED246" s="302"/>
      <c r="AEE246" s="302"/>
      <c r="AEF246" s="302"/>
      <c r="AEG246" s="302"/>
      <c r="AEH246" s="302"/>
      <c r="AEI246" s="302"/>
      <c r="AEJ246" s="302"/>
      <c r="AEK246" s="302"/>
      <c r="AEL246" s="302"/>
      <c r="AEM246" s="302"/>
      <c r="AEN246" s="302"/>
      <c r="AEO246" s="302"/>
      <c r="AEP246" s="302"/>
      <c r="AEQ246" s="302"/>
      <c r="AER246" s="302"/>
      <c r="AES246" s="302"/>
      <c r="AET246" s="302"/>
      <c r="AEU246" s="302"/>
      <c r="AEV246" s="302"/>
      <c r="AEW246" s="302"/>
      <c r="AEX246" s="302"/>
      <c r="AEY246" s="302"/>
      <c r="AEZ246" s="302"/>
      <c r="AFA246" s="302"/>
      <c r="AFB246" s="302"/>
      <c r="AFC246" s="302"/>
      <c r="AFD246" s="302"/>
      <c r="AFE246" s="302"/>
      <c r="AFF246" s="302"/>
      <c r="AFG246" s="302"/>
      <c r="AFH246" s="302"/>
      <c r="AFI246" s="302"/>
      <c r="AFJ246" s="302"/>
      <c r="AFK246" s="302"/>
      <c r="AFL246" s="302"/>
      <c r="AFM246" s="302"/>
      <c r="AFN246" s="302"/>
      <c r="AFO246" s="302"/>
      <c r="AFP246" s="302"/>
      <c r="AFQ246" s="302"/>
      <c r="AFR246" s="302"/>
      <c r="AFS246" s="302"/>
      <c r="AFT246" s="302"/>
      <c r="AFU246" s="302"/>
      <c r="AFV246" s="302"/>
      <c r="AFW246" s="302"/>
      <c r="AFX246" s="302"/>
      <c r="AFY246" s="302"/>
      <c r="AFZ246" s="302"/>
      <c r="AGA246" s="302"/>
      <c r="AGB246" s="302"/>
      <c r="AGC246" s="302"/>
      <c r="AGD246" s="302"/>
      <c r="AGE246" s="302"/>
      <c r="AGF246" s="302"/>
      <c r="AGG246" s="302"/>
      <c r="AGH246" s="302"/>
      <c r="AGI246" s="302"/>
      <c r="AGJ246" s="302"/>
      <c r="AGK246" s="302"/>
      <c r="AGL246" s="302"/>
      <c r="AGM246" s="302"/>
      <c r="AGN246" s="302"/>
      <c r="AGO246" s="302"/>
      <c r="AGP246" s="302"/>
      <c r="AGQ246" s="302"/>
      <c r="AGR246" s="302"/>
      <c r="AGS246" s="302"/>
      <c r="AGT246" s="302"/>
      <c r="AGU246" s="302"/>
      <c r="AGV246" s="302"/>
      <c r="AGW246" s="302"/>
      <c r="AGX246" s="302"/>
      <c r="AGY246" s="302"/>
      <c r="AGZ246" s="302"/>
      <c r="AHA246" s="302"/>
      <c r="AHB246" s="302"/>
      <c r="AHC246" s="302"/>
      <c r="AHD246" s="302"/>
      <c r="AHE246" s="302"/>
      <c r="AHF246" s="302"/>
      <c r="AHG246" s="302"/>
      <c r="AHH246" s="302"/>
      <c r="AHI246" s="302"/>
      <c r="AHJ246" s="302"/>
      <c r="AHK246" s="302"/>
      <c r="AHL246" s="302"/>
      <c r="AHM246" s="302"/>
      <c r="AHN246" s="302"/>
      <c r="AHO246" s="302"/>
      <c r="AHP246" s="302"/>
      <c r="AHQ246" s="302"/>
      <c r="AHR246" s="302"/>
      <c r="AHS246" s="302"/>
      <c r="AHT246" s="302"/>
      <c r="AHU246" s="302"/>
      <c r="AHV246" s="302"/>
      <c r="AHW246" s="302"/>
      <c r="AHX246" s="302"/>
      <c r="AHY246" s="302"/>
      <c r="AHZ246" s="302"/>
      <c r="AIA246" s="302"/>
      <c r="AIB246" s="302"/>
      <c r="AIC246" s="302"/>
      <c r="AID246" s="302"/>
      <c r="AIE246" s="302"/>
      <c r="AIF246" s="302"/>
      <c r="AIG246" s="302"/>
      <c r="AIH246" s="302"/>
      <c r="AII246" s="302"/>
      <c r="AIJ246" s="302"/>
      <c r="AIK246" s="302"/>
      <c r="AIL246" s="302"/>
      <c r="AIM246" s="302"/>
      <c r="AIN246" s="302"/>
      <c r="AIO246" s="302"/>
      <c r="AIP246" s="302"/>
      <c r="AIQ246" s="302"/>
      <c r="AIR246" s="302"/>
      <c r="AIS246" s="302"/>
      <c r="AIT246" s="302"/>
      <c r="AIU246" s="302"/>
      <c r="AIV246" s="302"/>
      <c r="AIW246" s="302"/>
      <c r="AIX246" s="302"/>
      <c r="AIY246" s="302"/>
      <c r="AIZ246" s="302"/>
      <c r="AJA246" s="302"/>
      <c r="AJB246" s="302"/>
      <c r="AJC246" s="302"/>
      <c r="AJD246" s="302"/>
      <c r="AJE246" s="302"/>
      <c r="AJF246" s="302"/>
      <c r="AJG246" s="302"/>
      <c r="AJH246" s="302"/>
      <c r="AJI246" s="302"/>
      <c r="AJJ246" s="302"/>
      <c r="AJK246" s="302"/>
      <c r="AJL246" s="302"/>
      <c r="AJM246" s="302"/>
      <c r="AJN246" s="302"/>
      <c r="AJO246" s="302"/>
      <c r="AJP246" s="302"/>
      <c r="AJQ246" s="302"/>
      <c r="AJR246" s="302"/>
      <c r="AJS246" s="302"/>
      <c r="AJT246" s="302"/>
      <c r="AJU246" s="302"/>
      <c r="AJV246" s="302"/>
      <c r="AJW246" s="302"/>
      <c r="AJX246" s="302"/>
      <c r="AJY246" s="302"/>
      <c r="AJZ246" s="302"/>
      <c r="AKA246" s="302"/>
      <c r="AKB246" s="302"/>
      <c r="AKC246" s="302"/>
      <c r="AKD246" s="302"/>
      <c r="AKE246" s="302"/>
      <c r="AKF246" s="302"/>
      <c r="AKG246" s="302"/>
      <c r="AKH246" s="302"/>
      <c r="AKI246" s="302"/>
      <c r="AKJ246" s="302"/>
      <c r="AKK246" s="302"/>
      <c r="AKL246" s="302"/>
      <c r="AKM246" s="302"/>
      <c r="AKN246" s="302"/>
      <c r="AKO246" s="302"/>
      <c r="AKP246" s="302"/>
      <c r="AKQ246" s="302"/>
      <c r="AKR246" s="302"/>
      <c r="AKS246" s="302"/>
      <c r="AKT246" s="302"/>
      <c r="AKU246" s="302"/>
      <c r="AKV246" s="302"/>
      <c r="AKW246" s="302"/>
      <c r="AKX246" s="302"/>
      <c r="AKY246" s="302"/>
      <c r="AKZ246" s="302"/>
      <c r="ALA246" s="302"/>
      <c r="ALB246" s="302"/>
      <c r="ALC246" s="302"/>
      <c r="ALD246" s="302"/>
      <c r="ALE246" s="302"/>
      <c r="ALF246" s="302"/>
      <c r="ALG246" s="302"/>
      <c r="ALH246" s="302"/>
      <c r="ALI246" s="302"/>
      <c r="ALJ246" s="302"/>
      <c r="ALK246" s="302"/>
      <c r="ALL246" s="302"/>
      <c r="ALM246" s="302"/>
      <c r="ALN246" s="302"/>
      <c r="ALO246" s="302"/>
      <c r="ALP246" s="302"/>
      <c r="ALQ246" s="302"/>
      <c r="ALR246" s="302"/>
      <c r="ALS246" s="302"/>
      <c r="ALT246" s="302"/>
      <c r="ALU246" s="302"/>
      <c r="ALV246" s="302"/>
      <c r="ALW246" s="302"/>
      <c r="ALX246" s="302"/>
      <c r="ALY246" s="302"/>
      <c r="ALZ246" s="302"/>
      <c r="AMA246" s="302"/>
      <c r="AMB246" s="302"/>
      <c r="AMC246" s="302"/>
      <c r="AMD246" s="302"/>
      <c r="AME246" s="302"/>
      <c r="AMF246" s="302"/>
      <c r="AMG246" s="302"/>
      <c r="AMH246" s="302"/>
      <c r="AMI246" s="302"/>
    </row>
    <row r="247" spans="1:1023" hidden="1">
      <c r="A247" s="302"/>
      <c r="B247" s="470">
        <v>13922</v>
      </c>
      <c r="C247" s="471">
        <v>0.1</v>
      </c>
      <c r="D247" s="472" t="s">
        <v>137</v>
      </c>
      <c r="E247" s="583">
        <v>5000000</v>
      </c>
      <c r="F247" s="499">
        <v>0.02</v>
      </c>
      <c r="G247" s="369">
        <f t="shared" si="13"/>
        <v>100000</v>
      </c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2"/>
      <c r="AE247" s="302"/>
      <c r="AF247" s="302"/>
      <c r="AG247" s="302"/>
      <c r="AH247" s="302"/>
      <c r="AI247" s="302"/>
      <c r="AJ247" s="302"/>
      <c r="AK247" s="302"/>
      <c r="AL247" s="302"/>
      <c r="AM247" s="302"/>
      <c r="AN247" s="302"/>
      <c r="AO247" s="302"/>
      <c r="AP247" s="302"/>
      <c r="AQ247" s="302"/>
      <c r="AR247" s="302"/>
      <c r="AS247" s="302"/>
      <c r="AT247" s="302"/>
      <c r="AU247" s="302"/>
      <c r="AV247" s="302"/>
      <c r="AW247" s="302"/>
      <c r="AX247" s="302"/>
      <c r="AY247" s="302"/>
      <c r="AZ247" s="302"/>
      <c r="BA247" s="302"/>
      <c r="BB247" s="302"/>
      <c r="BC247" s="302"/>
      <c r="BD247" s="302"/>
      <c r="BE247" s="302"/>
      <c r="BF247" s="302"/>
      <c r="BG247" s="302"/>
      <c r="BH247" s="302"/>
      <c r="BI247" s="302"/>
      <c r="BJ247" s="302"/>
      <c r="BK247" s="302"/>
      <c r="BL247" s="302"/>
      <c r="BM247" s="302"/>
      <c r="BN247" s="302"/>
      <c r="BO247" s="302"/>
      <c r="BP247" s="302"/>
      <c r="BQ247" s="302"/>
      <c r="BR247" s="302"/>
      <c r="BS247" s="302"/>
      <c r="BT247" s="302"/>
      <c r="BU247" s="302"/>
      <c r="BV247" s="302"/>
      <c r="BW247" s="302"/>
      <c r="BX247" s="302"/>
      <c r="BY247" s="302"/>
      <c r="BZ247" s="302"/>
      <c r="CA247" s="302"/>
      <c r="CB247" s="302"/>
      <c r="CC247" s="302"/>
      <c r="CD247" s="302"/>
      <c r="CE247" s="302"/>
      <c r="CF247" s="302"/>
      <c r="CG247" s="302"/>
      <c r="CH247" s="302"/>
      <c r="CI247" s="302"/>
      <c r="CJ247" s="302"/>
      <c r="CK247" s="302"/>
      <c r="CL247" s="302"/>
      <c r="CM247" s="302"/>
      <c r="CN247" s="302"/>
      <c r="CO247" s="302"/>
      <c r="CP247" s="302"/>
      <c r="CQ247" s="302"/>
      <c r="CR247" s="302"/>
      <c r="CS247" s="302"/>
      <c r="CT247" s="302"/>
      <c r="CU247" s="302"/>
      <c r="CV247" s="302"/>
      <c r="CW247" s="302"/>
      <c r="CX247" s="302"/>
      <c r="CY247" s="302"/>
      <c r="CZ247" s="302"/>
      <c r="DA247" s="302"/>
      <c r="DB247" s="302"/>
      <c r="DC247" s="302"/>
      <c r="DD247" s="302"/>
      <c r="DE247" s="302"/>
      <c r="DF247" s="302"/>
      <c r="DG247" s="302"/>
      <c r="DH247" s="302"/>
      <c r="DI247" s="302"/>
      <c r="DJ247" s="302"/>
      <c r="DK247" s="302"/>
      <c r="DL247" s="302"/>
      <c r="DM247" s="302"/>
      <c r="DN247" s="302"/>
      <c r="DO247" s="302"/>
      <c r="DP247" s="302"/>
      <c r="DQ247" s="302"/>
      <c r="DR247" s="302"/>
      <c r="DS247" s="302"/>
      <c r="DT247" s="302"/>
      <c r="DU247" s="302"/>
      <c r="DV247" s="302"/>
      <c r="DW247" s="302"/>
      <c r="DX247" s="302"/>
      <c r="DY247" s="302"/>
      <c r="DZ247" s="302"/>
      <c r="EA247" s="302"/>
      <c r="EB247" s="302"/>
      <c r="EC247" s="302"/>
      <c r="ED247" s="302"/>
      <c r="EE247" s="302"/>
      <c r="EF247" s="302"/>
      <c r="EG247" s="302"/>
      <c r="EH247" s="302"/>
      <c r="EI247" s="302"/>
      <c r="EJ247" s="302"/>
      <c r="EK247" s="302"/>
      <c r="EL247" s="302"/>
      <c r="EM247" s="302"/>
      <c r="EN247" s="302"/>
      <c r="EO247" s="302"/>
      <c r="EP247" s="302"/>
      <c r="EQ247" s="302"/>
      <c r="ER247" s="302"/>
      <c r="ES247" s="302"/>
      <c r="ET247" s="302"/>
      <c r="EU247" s="302"/>
      <c r="EV247" s="302"/>
      <c r="EW247" s="302"/>
      <c r="EX247" s="302"/>
      <c r="EY247" s="302"/>
      <c r="EZ247" s="302"/>
      <c r="FA247" s="302"/>
      <c r="FB247" s="302"/>
      <c r="FC247" s="302"/>
      <c r="FD247" s="302"/>
      <c r="FE247" s="302"/>
      <c r="FF247" s="302"/>
      <c r="FG247" s="302"/>
      <c r="FH247" s="302"/>
      <c r="FI247" s="302"/>
      <c r="FJ247" s="302"/>
      <c r="FK247" s="302"/>
      <c r="FL247" s="302"/>
      <c r="FM247" s="302"/>
      <c r="FN247" s="302"/>
      <c r="FO247" s="302"/>
      <c r="FP247" s="302"/>
      <c r="FQ247" s="302"/>
      <c r="FR247" s="302"/>
      <c r="FS247" s="302"/>
      <c r="FT247" s="302"/>
      <c r="FU247" s="302"/>
      <c r="FV247" s="302"/>
      <c r="FW247" s="302"/>
      <c r="FX247" s="302"/>
      <c r="FY247" s="302"/>
      <c r="FZ247" s="302"/>
      <c r="GA247" s="302"/>
      <c r="GB247" s="302"/>
      <c r="GC247" s="302"/>
      <c r="GD247" s="302"/>
      <c r="GE247" s="302"/>
      <c r="GF247" s="302"/>
      <c r="GG247" s="302"/>
      <c r="GH247" s="302"/>
      <c r="GI247" s="302"/>
      <c r="GJ247" s="302"/>
      <c r="GK247" s="302"/>
      <c r="GL247" s="302"/>
      <c r="GM247" s="302"/>
      <c r="GN247" s="302"/>
      <c r="GO247" s="302"/>
      <c r="GP247" s="302"/>
      <c r="GQ247" s="302"/>
      <c r="GR247" s="302"/>
      <c r="GS247" s="302"/>
      <c r="GT247" s="302"/>
      <c r="GU247" s="302"/>
      <c r="GV247" s="302"/>
      <c r="GW247" s="302"/>
      <c r="GX247" s="302"/>
      <c r="GY247" s="302"/>
      <c r="GZ247" s="302"/>
      <c r="HA247" s="302"/>
      <c r="HB247" s="302"/>
      <c r="HC247" s="302"/>
      <c r="HD247" s="302"/>
      <c r="HE247" s="302"/>
      <c r="HF247" s="302"/>
      <c r="HG247" s="302"/>
      <c r="HH247" s="302"/>
      <c r="HI247" s="302"/>
      <c r="HJ247" s="302"/>
      <c r="HK247" s="302"/>
      <c r="HL247" s="302"/>
      <c r="HM247" s="302"/>
      <c r="HN247" s="302"/>
      <c r="HO247" s="302"/>
      <c r="HP247" s="302"/>
      <c r="HQ247" s="302"/>
      <c r="HR247" s="302"/>
      <c r="HS247" s="302"/>
      <c r="HT247" s="302"/>
      <c r="HU247" s="302"/>
      <c r="HV247" s="302"/>
      <c r="HW247" s="302"/>
      <c r="HX247" s="302"/>
      <c r="HY247" s="302"/>
      <c r="HZ247" s="302"/>
      <c r="IA247" s="302"/>
      <c r="IB247" s="302"/>
      <c r="IC247" s="302"/>
      <c r="ID247" s="302"/>
      <c r="IE247" s="302"/>
      <c r="IF247" s="302"/>
      <c r="IG247" s="302"/>
      <c r="IH247" s="302"/>
      <c r="II247" s="302"/>
      <c r="IJ247" s="302"/>
      <c r="IK247" s="302"/>
      <c r="IL247" s="302"/>
      <c r="IM247" s="302"/>
      <c r="IN247" s="302"/>
      <c r="IO247" s="302"/>
      <c r="IP247" s="302"/>
      <c r="IQ247" s="302"/>
      <c r="IR247" s="302"/>
      <c r="IS247" s="302"/>
      <c r="IT247" s="302"/>
      <c r="IU247" s="302"/>
      <c r="IV247" s="302"/>
      <c r="IW247" s="302"/>
      <c r="IX247" s="302"/>
      <c r="IY247" s="302"/>
      <c r="IZ247" s="302"/>
      <c r="JA247" s="302"/>
      <c r="JB247" s="302"/>
      <c r="JC247" s="302"/>
      <c r="JD247" s="302"/>
      <c r="JE247" s="302"/>
      <c r="JF247" s="302"/>
      <c r="JG247" s="302"/>
      <c r="JH247" s="302"/>
      <c r="JI247" s="302"/>
      <c r="JJ247" s="302"/>
      <c r="JK247" s="302"/>
      <c r="JL247" s="302"/>
      <c r="JM247" s="302"/>
      <c r="JN247" s="302"/>
      <c r="JO247" s="302"/>
      <c r="JP247" s="302"/>
      <c r="JQ247" s="302"/>
      <c r="JR247" s="302"/>
      <c r="JS247" s="302"/>
      <c r="JT247" s="302"/>
      <c r="JU247" s="302"/>
      <c r="JV247" s="302"/>
      <c r="JW247" s="302"/>
      <c r="JX247" s="302"/>
      <c r="JY247" s="302"/>
      <c r="JZ247" s="302"/>
      <c r="KA247" s="302"/>
      <c r="KB247" s="302"/>
      <c r="KC247" s="302"/>
      <c r="KD247" s="302"/>
      <c r="KE247" s="302"/>
      <c r="KF247" s="302"/>
      <c r="KG247" s="302"/>
      <c r="KH247" s="302"/>
      <c r="KI247" s="302"/>
      <c r="KJ247" s="302"/>
      <c r="KK247" s="302"/>
      <c r="KL247" s="302"/>
      <c r="KM247" s="302"/>
      <c r="KN247" s="302"/>
      <c r="KO247" s="302"/>
      <c r="KP247" s="302"/>
      <c r="KQ247" s="302"/>
      <c r="KR247" s="302"/>
      <c r="KS247" s="302"/>
      <c r="KT247" s="302"/>
      <c r="KU247" s="302"/>
      <c r="KV247" s="302"/>
      <c r="KW247" s="302"/>
      <c r="KX247" s="302"/>
      <c r="KY247" s="302"/>
      <c r="KZ247" s="302"/>
      <c r="LA247" s="302"/>
      <c r="LB247" s="302"/>
      <c r="LC247" s="302"/>
      <c r="LD247" s="302"/>
      <c r="LE247" s="302"/>
      <c r="LF247" s="302"/>
      <c r="LG247" s="302"/>
      <c r="LH247" s="302"/>
      <c r="LI247" s="302"/>
      <c r="LJ247" s="302"/>
      <c r="LK247" s="302"/>
      <c r="LL247" s="302"/>
      <c r="LM247" s="302"/>
      <c r="LN247" s="302"/>
      <c r="LO247" s="302"/>
      <c r="LP247" s="302"/>
      <c r="LQ247" s="302"/>
      <c r="LR247" s="302"/>
      <c r="LS247" s="302"/>
      <c r="LT247" s="302"/>
      <c r="LU247" s="302"/>
      <c r="LV247" s="302"/>
      <c r="LW247" s="302"/>
      <c r="LX247" s="302"/>
      <c r="LY247" s="302"/>
      <c r="LZ247" s="302"/>
      <c r="MA247" s="302"/>
      <c r="MB247" s="302"/>
      <c r="MC247" s="302"/>
      <c r="MD247" s="302"/>
      <c r="ME247" s="302"/>
      <c r="MF247" s="302"/>
      <c r="MG247" s="302"/>
      <c r="MH247" s="302"/>
      <c r="MI247" s="302"/>
      <c r="MJ247" s="302"/>
      <c r="MK247" s="302"/>
      <c r="ML247" s="302"/>
      <c r="MM247" s="302"/>
      <c r="MN247" s="302"/>
      <c r="MO247" s="302"/>
      <c r="MP247" s="302"/>
      <c r="MQ247" s="302"/>
      <c r="MR247" s="302"/>
      <c r="MS247" s="302"/>
      <c r="MT247" s="302"/>
      <c r="MU247" s="302"/>
      <c r="MV247" s="302"/>
      <c r="MW247" s="302"/>
      <c r="MX247" s="302"/>
      <c r="MY247" s="302"/>
      <c r="MZ247" s="302"/>
      <c r="NA247" s="302"/>
      <c r="NB247" s="302"/>
      <c r="NC247" s="302"/>
      <c r="ND247" s="302"/>
      <c r="NE247" s="302"/>
      <c r="NF247" s="302"/>
      <c r="NG247" s="302"/>
      <c r="NH247" s="302"/>
      <c r="NI247" s="302"/>
      <c r="NJ247" s="302"/>
      <c r="NK247" s="302"/>
      <c r="NL247" s="302"/>
      <c r="NM247" s="302"/>
      <c r="NN247" s="302"/>
      <c r="NO247" s="302"/>
      <c r="NP247" s="302"/>
      <c r="NQ247" s="302"/>
      <c r="NR247" s="302"/>
      <c r="NS247" s="302"/>
      <c r="NT247" s="302"/>
      <c r="NU247" s="302"/>
      <c r="NV247" s="302"/>
      <c r="NW247" s="302"/>
      <c r="NX247" s="302"/>
      <c r="NY247" s="302"/>
      <c r="NZ247" s="302"/>
      <c r="OA247" s="302"/>
      <c r="OB247" s="302"/>
      <c r="OC247" s="302"/>
      <c r="OD247" s="302"/>
      <c r="OE247" s="302"/>
      <c r="OF247" s="302"/>
      <c r="OG247" s="302"/>
      <c r="OH247" s="302"/>
      <c r="OI247" s="302"/>
      <c r="OJ247" s="302"/>
      <c r="OK247" s="302"/>
      <c r="OL247" s="302"/>
      <c r="OM247" s="302"/>
      <c r="ON247" s="302"/>
      <c r="OO247" s="302"/>
      <c r="OP247" s="302"/>
      <c r="OQ247" s="302"/>
      <c r="OR247" s="302"/>
      <c r="OS247" s="302"/>
      <c r="OT247" s="302"/>
      <c r="OU247" s="302"/>
      <c r="OV247" s="302"/>
      <c r="OW247" s="302"/>
      <c r="OX247" s="302"/>
      <c r="OY247" s="302"/>
      <c r="OZ247" s="302"/>
      <c r="PA247" s="302"/>
      <c r="PB247" s="302"/>
      <c r="PC247" s="302"/>
      <c r="PD247" s="302"/>
      <c r="PE247" s="302"/>
      <c r="PF247" s="302"/>
      <c r="PG247" s="302"/>
      <c r="PH247" s="302"/>
      <c r="PI247" s="302"/>
      <c r="PJ247" s="302"/>
      <c r="PK247" s="302"/>
      <c r="PL247" s="302"/>
      <c r="PM247" s="302"/>
      <c r="PN247" s="302"/>
      <c r="PO247" s="302"/>
      <c r="PP247" s="302"/>
      <c r="PQ247" s="302"/>
      <c r="PR247" s="302"/>
      <c r="PS247" s="302"/>
      <c r="PT247" s="302"/>
      <c r="PU247" s="302"/>
      <c r="PV247" s="302"/>
      <c r="PW247" s="302"/>
      <c r="PX247" s="302"/>
      <c r="PY247" s="302"/>
      <c r="PZ247" s="302"/>
      <c r="QA247" s="302"/>
      <c r="QB247" s="302"/>
      <c r="QC247" s="302"/>
      <c r="QD247" s="302"/>
      <c r="QE247" s="302"/>
      <c r="QF247" s="302"/>
      <c r="QG247" s="302"/>
      <c r="QH247" s="302"/>
      <c r="QI247" s="302"/>
      <c r="QJ247" s="302"/>
      <c r="QK247" s="302"/>
      <c r="QL247" s="302"/>
      <c r="QM247" s="302"/>
      <c r="QN247" s="302"/>
      <c r="QO247" s="302"/>
      <c r="QP247" s="302"/>
      <c r="QQ247" s="302"/>
      <c r="QR247" s="302"/>
      <c r="QS247" s="302"/>
      <c r="QT247" s="302"/>
      <c r="QU247" s="302"/>
      <c r="QV247" s="302"/>
      <c r="QW247" s="302"/>
      <c r="QX247" s="302"/>
      <c r="QY247" s="302"/>
      <c r="QZ247" s="302"/>
      <c r="RA247" s="302"/>
      <c r="RB247" s="302"/>
      <c r="RC247" s="302"/>
      <c r="RD247" s="302"/>
      <c r="RE247" s="302"/>
      <c r="RF247" s="302"/>
      <c r="RG247" s="302"/>
      <c r="RH247" s="302"/>
      <c r="RI247" s="302"/>
      <c r="RJ247" s="302"/>
      <c r="RK247" s="302"/>
      <c r="RL247" s="302"/>
      <c r="RM247" s="302"/>
      <c r="RN247" s="302"/>
      <c r="RO247" s="302"/>
      <c r="RP247" s="302"/>
      <c r="RQ247" s="302"/>
      <c r="RR247" s="302"/>
      <c r="RS247" s="302"/>
      <c r="RT247" s="302"/>
      <c r="RU247" s="302"/>
      <c r="RV247" s="302"/>
      <c r="RW247" s="302"/>
      <c r="RX247" s="302"/>
      <c r="RY247" s="302"/>
      <c r="RZ247" s="302"/>
      <c r="SA247" s="302"/>
      <c r="SB247" s="302"/>
      <c r="SC247" s="302"/>
      <c r="SD247" s="302"/>
      <c r="SE247" s="302"/>
      <c r="SF247" s="302"/>
      <c r="SG247" s="302"/>
      <c r="SH247" s="302"/>
      <c r="SI247" s="302"/>
      <c r="SJ247" s="302"/>
      <c r="SK247" s="302"/>
      <c r="SL247" s="302"/>
      <c r="SM247" s="302"/>
      <c r="SN247" s="302"/>
      <c r="SO247" s="302"/>
      <c r="SP247" s="302"/>
      <c r="SQ247" s="302"/>
      <c r="SR247" s="302"/>
      <c r="SS247" s="302"/>
      <c r="ST247" s="302"/>
      <c r="SU247" s="302"/>
      <c r="SV247" s="302"/>
      <c r="SW247" s="302"/>
      <c r="SX247" s="302"/>
      <c r="SY247" s="302"/>
      <c r="SZ247" s="302"/>
      <c r="TA247" s="302"/>
      <c r="TB247" s="302"/>
      <c r="TC247" s="302"/>
      <c r="TD247" s="302"/>
      <c r="TE247" s="302"/>
      <c r="TF247" s="302"/>
      <c r="TG247" s="302"/>
      <c r="TH247" s="302"/>
      <c r="TI247" s="302"/>
      <c r="TJ247" s="302"/>
      <c r="TK247" s="302"/>
      <c r="TL247" s="302"/>
      <c r="TM247" s="302"/>
      <c r="TN247" s="302"/>
      <c r="TO247" s="302"/>
      <c r="TP247" s="302"/>
      <c r="TQ247" s="302"/>
      <c r="TR247" s="302"/>
      <c r="TS247" s="302"/>
      <c r="TT247" s="302"/>
      <c r="TU247" s="302"/>
      <c r="TV247" s="302"/>
      <c r="TW247" s="302"/>
      <c r="TX247" s="302"/>
      <c r="TY247" s="302"/>
      <c r="TZ247" s="302"/>
      <c r="UA247" s="302"/>
      <c r="UB247" s="302"/>
      <c r="UC247" s="302"/>
      <c r="UD247" s="302"/>
      <c r="UE247" s="302"/>
      <c r="UF247" s="302"/>
      <c r="UG247" s="302"/>
      <c r="UH247" s="302"/>
      <c r="UI247" s="302"/>
      <c r="UJ247" s="302"/>
      <c r="UK247" s="302"/>
      <c r="UL247" s="302"/>
      <c r="UM247" s="302"/>
      <c r="UN247" s="302"/>
      <c r="UO247" s="302"/>
      <c r="UP247" s="302"/>
      <c r="UQ247" s="302"/>
      <c r="UR247" s="302"/>
      <c r="US247" s="302"/>
      <c r="UT247" s="302"/>
      <c r="UU247" s="302"/>
      <c r="UV247" s="302"/>
      <c r="UW247" s="302"/>
      <c r="UX247" s="302"/>
      <c r="UY247" s="302"/>
      <c r="UZ247" s="302"/>
      <c r="VA247" s="302"/>
      <c r="VB247" s="302"/>
      <c r="VC247" s="302"/>
      <c r="VD247" s="302"/>
      <c r="VE247" s="302"/>
      <c r="VF247" s="302"/>
      <c r="VG247" s="302"/>
      <c r="VH247" s="302"/>
      <c r="VI247" s="302"/>
      <c r="VJ247" s="302"/>
      <c r="VK247" s="302"/>
      <c r="VL247" s="302"/>
      <c r="VM247" s="302"/>
      <c r="VN247" s="302"/>
      <c r="VO247" s="302"/>
      <c r="VP247" s="302"/>
      <c r="VQ247" s="302"/>
      <c r="VR247" s="302"/>
      <c r="VS247" s="302"/>
      <c r="VT247" s="302"/>
      <c r="VU247" s="302"/>
      <c r="VV247" s="302"/>
      <c r="VW247" s="302"/>
      <c r="VX247" s="302"/>
      <c r="VY247" s="302"/>
      <c r="VZ247" s="302"/>
      <c r="WA247" s="302"/>
      <c r="WB247" s="302"/>
      <c r="WC247" s="302"/>
      <c r="WD247" s="302"/>
      <c r="WE247" s="302"/>
      <c r="WF247" s="302"/>
      <c r="WG247" s="302"/>
      <c r="WH247" s="302"/>
      <c r="WI247" s="302"/>
      <c r="WJ247" s="302"/>
      <c r="WK247" s="302"/>
      <c r="WL247" s="302"/>
      <c r="WM247" s="302"/>
      <c r="WN247" s="302"/>
      <c r="WO247" s="302"/>
      <c r="WP247" s="302"/>
      <c r="WQ247" s="302"/>
      <c r="WR247" s="302"/>
      <c r="WS247" s="302"/>
      <c r="WT247" s="302"/>
      <c r="WU247" s="302"/>
      <c r="WV247" s="302"/>
      <c r="WW247" s="302"/>
      <c r="WX247" s="302"/>
      <c r="WY247" s="302"/>
      <c r="WZ247" s="302"/>
      <c r="XA247" s="302"/>
      <c r="XB247" s="302"/>
      <c r="XC247" s="302"/>
      <c r="XD247" s="302"/>
      <c r="XE247" s="302"/>
      <c r="XF247" s="302"/>
      <c r="XG247" s="302"/>
      <c r="XH247" s="302"/>
      <c r="XI247" s="302"/>
      <c r="XJ247" s="302"/>
      <c r="XK247" s="302"/>
      <c r="XL247" s="302"/>
      <c r="XM247" s="302"/>
      <c r="XN247" s="302"/>
      <c r="XO247" s="302"/>
      <c r="XP247" s="302"/>
      <c r="XQ247" s="302"/>
      <c r="XR247" s="302"/>
      <c r="XS247" s="302"/>
      <c r="XT247" s="302"/>
      <c r="XU247" s="302"/>
      <c r="XV247" s="302"/>
      <c r="XW247" s="302"/>
      <c r="XX247" s="302"/>
      <c r="XY247" s="302"/>
      <c r="XZ247" s="302"/>
      <c r="YA247" s="302"/>
      <c r="YB247" s="302"/>
      <c r="YC247" s="302"/>
      <c r="YD247" s="302"/>
      <c r="YE247" s="302"/>
      <c r="YF247" s="302"/>
      <c r="YG247" s="302"/>
      <c r="YH247" s="302"/>
      <c r="YI247" s="302"/>
      <c r="YJ247" s="302"/>
      <c r="YK247" s="302"/>
      <c r="YL247" s="302"/>
      <c r="YM247" s="302"/>
      <c r="YN247" s="302"/>
      <c r="YO247" s="302"/>
      <c r="YP247" s="302"/>
      <c r="YQ247" s="302"/>
      <c r="YR247" s="302"/>
      <c r="YS247" s="302"/>
      <c r="YT247" s="302"/>
      <c r="YU247" s="302"/>
      <c r="YV247" s="302"/>
      <c r="YW247" s="302"/>
      <c r="YX247" s="302"/>
      <c r="YY247" s="302"/>
      <c r="YZ247" s="302"/>
      <c r="ZA247" s="302"/>
      <c r="ZB247" s="302"/>
      <c r="ZC247" s="302"/>
      <c r="ZD247" s="302"/>
      <c r="ZE247" s="302"/>
      <c r="ZF247" s="302"/>
      <c r="ZG247" s="302"/>
      <c r="ZH247" s="302"/>
      <c r="ZI247" s="302"/>
      <c r="ZJ247" s="302"/>
      <c r="ZK247" s="302"/>
      <c r="ZL247" s="302"/>
      <c r="ZM247" s="302"/>
      <c r="ZN247" s="302"/>
      <c r="ZO247" s="302"/>
      <c r="ZP247" s="302"/>
      <c r="ZQ247" s="302"/>
      <c r="ZR247" s="302"/>
      <c r="ZS247" s="302"/>
      <c r="ZT247" s="302"/>
      <c r="ZU247" s="302"/>
      <c r="ZV247" s="302"/>
      <c r="ZW247" s="302"/>
      <c r="ZX247" s="302"/>
      <c r="ZY247" s="302"/>
      <c r="ZZ247" s="302"/>
      <c r="AAA247" s="302"/>
      <c r="AAB247" s="302"/>
      <c r="AAC247" s="302"/>
      <c r="AAD247" s="302"/>
      <c r="AAE247" s="302"/>
      <c r="AAF247" s="302"/>
      <c r="AAG247" s="302"/>
      <c r="AAH247" s="302"/>
      <c r="AAI247" s="302"/>
      <c r="AAJ247" s="302"/>
      <c r="AAK247" s="302"/>
      <c r="AAL247" s="302"/>
      <c r="AAM247" s="302"/>
      <c r="AAN247" s="302"/>
      <c r="AAO247" s="302"/>
      <c r="AAP247" s="302"/>
      <c r="AAQ247" s="302"/>
      <c r="AAR247" s="302"/>
      <c r="AAS247" s="302"/>
      <c r="AAT247" s="302"/>
      <c r="AAU247" s="302"/>
      <c r="AAV247" s="302"/>
      <c r="AAW247" s="302"/>
      <c r="AAX247" s="302"/>
      <c r="AAY247" s="302"/>
      <c r="AAZ247" s="302"/>
      <c r="ABA247" s="302"/>
      <c r="ABB247" s="302"/>
      <c r="ABC247" s="302"/>
      <c r="ABD247" s="302"/>
      <c r="ABE247" s="302"/>
      <c r="ABF247" s="302"/>
      <c r="ABG247" s="302"/>
      <c r="ABH247" s="302"/>
      <c r="ABI247" s="302"/>
      <c r="ABJ247" s="302"/>
      <c r="ABK247" s="302"/>
      <c r="ABL247" s="302"/>
      <c r="ABM247" s="302"/>
      <c r="ABN247" s="302"/>
      <c r="ABO247" s="302"/>
      <c r="ABP247" s="302"/>
      <c r="ABQ247" s="302"/>
      <c r="ABR247" s="302"/>
      <c r="ABS247" s="302"/>
      <c r="ABT247" s="302"/>
      <c r="ABU247" s="302"/>
      <c r="ABV247" s="302"/>
      <c r="ABW247" s="302"/>
      <c r="ABX247" s="302"/>
      <c r="ABY247" s="302"/>
      <c r="ABZ247" s="302"/>
      <c r="ACA247" s="302"/>
      <c r="ACB247" s="302"/>
      <c r="ACC247" s="302"/>
      <c r="ACD247" s="302"/>
      <c r="ACE247" s="302"/>
      <c r="ACF247" s="302"/>
      <c r="ACG247" s="302"/>
      <c r="ACH247" s="302"/>
      <c r="ACI247" s="302"/>
      <c r="ACJ247" s="302"/>
      <c r="ACK247" s="302"/>
      <c r="ACL247" s="302"/>
      <c r="ACM247" s="302"/>
      <c r="ACN247" s="302"/>
      <c r="ACO247" s="302"/>
      <c r="ACP247" s="302"/>
      <c r="ACQ247" s="302"/>
      <c r="ACR247" s="302"/>
      <c r="ACS247" s="302"/>
      <c r="ACT247" s="302"/>
      <c r="ACU247" s="302"/>
      <c r="ACV247" s="302"/>
      <c r="ACW247" s="302"/>
      <c r="ACX247" s="302"/>
      <c r="ACY247" s="302"/>
      <c r="ACZ247" s="302"/>
      <c r="ADA247" s="302"/>
      <c r="ADB247" s="302"/>
      <c r="ADC247" s="302"/>
      <c r="ADD247" s="302"/>
      <c r="ADE247" s="302"/>
      <c r="ADF247" s="302"/>
      <c r="ADG247" s="302"/>
      <c r="ADH247" s="302"/>
      <c r="ADI247" s="302"/>
      <c r="ADJ247" s="302"/>
      <c r="ADK247" s="302"/>
      <c r="ADL247" s="302"/>
      <c r="ADM247" s="302"/>
      <c r="ADN247" s="302"/>
      <c r="ADO247" s="302"/>
      <c r="ADP247" s="302"/>
      <c r="ADQ247" s="302"/>
      <c r="ADR247" s="302"/>
      <c r="ADS247" s="302"/>
      <c r="ADT247" s="302"/>
      <c r="ADU247" s="302"/>
      <c r="ADV247" s="302"/>
      <c r="ADW247" s="302"/>
      <c r="ADX247" s="302"/>
      <c r="ADY247" s="302"/>
      <c r="ADZ247" s="302"/>
      <c r="AEA247" s="302"/>
      <c r="AEB247" s="302"/>
      <c r="AEC247" s="302"/>
      <c r="AED247" s="302"/>
      <c r="AEE247" s="302"/>
      <c r="AEF247" s="302"/>
      <c r="AEG247" s="302"/>
      <c r="AEH247" s="302"/>
      <c r="AEI247" s="302"/>
      <c r="AEJ247" s="302"/>
      <c r="AEK247" s="302"/>
      <c r="AEL247" s="302"/>
      <c r="AEM247" s="302"/>
      <c r="AEN247" s="302"/>
      <c r="AEO247" s="302"/>
      <c r="AEP247" s="302"/>
      <c r="AEQ247" s="302"/>
      <c r="AER247" s="302"/>
      <c r="AES247" s="302"/>
      <c r="AET247" s="302"/>
      <c r="AEU247" s="302"/>
      <c r="AEV247" s="302"/>
      <c r="AEW247" s="302"/>
      <c r="AEX247" s="302"/>
      <c r="AEY247" s="302"/>
      <c r="AEZ247" s="302"/>
      <c r="AFA247" s="302"/>
      <c r="AFB247" s="302"/>
      <c r="AFC247" s="302"/>
      <c r="AFD247" s="302"/>
      <c r="AFE247" s="302"/>
      <c r="AFF247" s="302"/>
      <c r="AFG247" s="302"/>
      <c r="AFH247" s="302"/>
      <c r="AFI247" s="302"/>
      <c r="AFJ247" s="302"/>
      <c r="AFK247" s="302"/>
      <c r="AFL247" s="302"/>
      <c r="AFM247" s="302"/>
      <c r="AFN247" s="302"/>
      <c r="AFO247" s="302"/>
      <c r="AFP247" s="302"/>
      <c r="AFQ247" s="302"/>
      <c r="AFR247" s="302"/>
      <c r="AFS247" s="302"/>
      <c r="AFT247" s="302"/>
      <c r="AFU247" s="302"/>
      <c r="AFV247" s="302"/>
      <c r="AFW247" s="302"/>
      <c r="AFX247" s="302"/>
      <c r="AFY247" s="302"/>
      <c r="AFZ247" s="302"/>
      <c r="AGA247" s="302"/>
      <c r="AGB247" s="302"/>
      <c r="AGC247" s="302"/>
      <c r="AGD247" s="302"/>
      <c r="AGE247" s="302"/>
      <c r="AGF247" s="302"/>
      <c r="AGG247" s="302"/>
      <c r="AGH247" s="302"/>
      <c r="AGI247" s="302"/>
      <c r="AGJ247" s="302"/>
      <c r="AGK247" s="302"/>
      <c r="AGL247" s="302"/>
      <c r="AGM247" s="302"/>
      <c r="AGN247" s="302"/>
      <c r="AGO247" s="302"/>
      <c r="AGP247" s="302"/>
      <c r="AGQ247" s="302"/>
      <c r="AGR247" s="302"/>
      <c r="AGS247" s="302"/>
      <c r="AGT247" s="302"/>
      <c r="AGU247" s="302"/>
      <c r="AGV247" s="302"/>
      <c r="AGW247" s="302"/>
      <c r="AGX247" s="302"/>
      <c r="AGY247" s="302"/>
      <c r="AGZ247" s="302"/>
      <c r="AHA247" s="302"/>
      <c r="AHB247" s="302"/>
      <c r="AHC247" s="302"/>
      <c r="AHD247" s="302"/>
      <c r="AHE247" s="302"/>
      <c r="AHF247" s="302"/>
      <c r="AHG247" s="302"/>
      <c r="AHH247" s="302"/>
      <c r="AHI247" s="302"/>
      <c r="AHJ247" s="302"/>
      <c r="AHK247" s="302"/>
      <c r="AHL247" s="302"/>
      <c r="AHM247" s="302"/>
      <c r="AHN247" s="302"/>
      <c r="AHO247" s="302"/>
      <c r="AHP247" s="302"/>
      <c r="AHQ247" s="302"/>
      <c r="AHR247" s="302"/>
      <c r="AHS247" s="302"/>
      <c r="AHT247" s="302"/>
      <c r="AHU247" s="302"/>
      <c r="AHV247" s="302"/>
      <c r="AHW247" s="302"/>
      <c r="AHX247" s="302"/>
      <c r="AHY247" s="302"/>
      <c r="AHZ247" s="302"/>
      <c r="AIA247" s="302"/>
      <c r="AIB247" s="302"/>
      <c r="AIC247" s="302"/>
      <c r="AID247" s="302"/>
      <c r="AIE247" s="302"/>
      <c r="AIF247" s="302"/>
      <c r="AIG247" s="302"/>
      <c r="AIH247" s="302"/>
      <c r="AII247" s="302"/>
      <c r="AIJ247" s="302"/>
      <c r="AIK247" s="302"/>
      <c r="AIL247" s="302"/>
      <c r="AIM247" s="302"/>
      <c r="AIN247" s="302"/>
      <c r="AIO247" s="302"/>
      <c r="AIP247" s="302"/>
      <c r="AIQ247" s="302"/>
      <c r="AIR247" s="302"/>
      <c r="AIS247" s="302"/>
      <c r="AIT247" s="302"/>
      <c r="AIU247" s="302"/>
      <c r="AIV247" s="302"/>
      <c r="AIW247" s="302"/>
      <c r="AIX247" s="302"/>
      <c r="AIY247" s="302"/>
      <c r="AIZ247" s="302"/>
      <c r="AJA247" s="302"/>
      <c r="AJB247" s="302"/>
      <c r="AJC247" s="302"/>
      <c r="AJD247" s="302"/>
      <c r="AJE247" s="302"/>
      <c r="AJF247" s="302"/>
      <c r="AJG247" s="302"/>
      <c r="AJH247" s="302"/>
      <c r="AJI247" s="302"/>
      <c r="AJJ247" s="302"/>
      <c r="AJK247" s="302"/>
      <c r="AJL247" s="302"/>
      <c r="AJM247" s="302"/>
      <c r="AJN247" s="302"/>
      <c r="AJO247" s="302"/>
      <c r="AJP247" s="302"/>
      <c r="AJQ247" s="302"/>
      <c r="AJR247" s="302"/>
      <c r="AJS247" s="302"/>
      <c r="AJT247" s="302"/>
      <c r="AJU247" s="302"/>
      <c r="AJV247" s="302"/>
      <c r="AJW247" s="302"/>
      <c r="AJX247" s="302"/>
      <c r="AJY247" s="302"/>
      <c r="AJZ247" s="302"/>
      <c r="AKA247" s="302"/>
      <c r="AKB247" s="302"/>
      <c r="AKC247" s="302"/>
      <c r="AKD247" s="302"/>
      <c r="AKE247" s="302"/>
      <c r="AKF247" s="302"/>
      <c r="AKG247" s="302"/>
      <c r="AKH247" s="302"/>
      <c r="AKI247" s="302"/>
      <c r="AKJ247" s="302"/>
      <c r="AKK247" s="302"/>
      <c r="AKL247" s="302"/>
      <c r="AKM247" s="302"/>
      <c r="AKN247" s="302"/>
      <c r="AKO247" s="302"/>
      <c r="AKP247" s="302"/>
      <c r="AKQ247" s="302"/>
      <c r="AKR247" s="302"/>
      <c r="AKS247" s="302"/>
      <c r="AKT247" s="302"/>
      <c r="AKU247" s="302"/>
      <c r="AKV247" s="302"/>
      <c r="AKW247" s="302"/>
      <c r="AKX247" s="302"/>
      <c r="AKY247" s="302"/>
      <c r="AKZ247" s="302"/>
      <c r="ALA247" s="302"/>
      <c r="ALB247" s="302"/>
      <c r="ALC247" s="302"/>
      <c r="ALD247" s="302"/>
      <c r="ALE247" s="302"/>
      <c r="ALF247" s="302"/>
      <c r="ALG247" s="302"/>
      <c r="ALH247" s="302"/>
      <c r="ALI247" s="302"/>
      <c r="ALJ247" s="302"/>
      <c r="ALK247" s="302"/>
      <c r="ALL247" s="302"/>
      <c r="ALM247" s="302"/>
      <c r="ALN247" s="302"/>
      <c r="ALO247" s="302"/>
      <c r="ALP247" s="302"/>
      <c r="ALQ247" s="302"/>
      <c r="ALR247" s="302"/>
      <c r="ALS247" s="302"/>
      <c r="ALT247" s="302"/>
      <c r="ALU247" s="302"/>
      <c r="ALV247" s="302"/>
      <c r="ALW247" s="302"/>
      <c r="ALX247" s="302"/>
      <c r="ALY247" s="302"/>
      <c r="ALZ247" s="302"/>
      <c r="AMA247" s="302"/>
      <c r="AMB247" s="302"/>
      <c r="AMC247" s="302"/>
      <c r="AMD247" s="302"/>
      <c r="AME247" s="302"/>
      <c r="AMF247" s="302"/>
      <c r="AMG247" s="302"/>
      <c r="AMH247" s="302"/>
      <c r="AMI247" s="302"/>
    </row>
    <row r="248" spans="1:1023" hidden="1">
      <c r="A248" s="302"/>
      <c r="B248" s="470">
        <v>13970</v>
      </c>
      <c r="C248" s="477">
        <v>0.08</v>
      </c>
      <c r="D248" s="472" t="s">
        <v>139</v>
      </c>
      <c r="E248" s="583">
        <v>4000000</v>
      </c>
      <c r="F248" s="500">
        <v>0.01</v>
      </c>
      <c r="G248" s="369">
        <f t="shared" si="13"/>
        <v>40000</v>
      </c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  <c r="AF248" s="302"/>
      <c r="AG248" s="302"/>
      <c r="AH248" s="302"/>
      <c r="AI248" s="302"/>
      <c r="AJ248" s="302"/>
      <c r="AK248" s="302"/>
      <c r="AL248" s="302"/>
      <c r="AM248" s="302"/>
      <c r="AN248" s="302"/>
      <c r="AO248" s="302"/>
      <c r="AP248" s="302"/>
      <c r="AQ248" s="302"/>
      <c r="AR248" s="302"/>
      <c r="AS248" s="302"/>
      <c r="AT248" s="302"/>
      <c r="AU248" s="302"/>
      <c r="AV248" s="302"/>
      <c r="AW248" s="302"/>
      <c r="AX248" s="302"/>
      <c r="AY248" s="302"/>
      <c r="AZ248" s="302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K248" s="302"/>
      <c r="BL248" s="302"/>
      <c r="BM248" s="302"/>
      <c r="BN248" s="302"/>
      <c r="BO248" s="302"/>
      <c r="BP248" s="302"/>
      <c r="BQ248" s="302"/>
      <c r="BR248" s="302"/>
      <c r="BS248" s="302"/>
      <c r="BT248" s="302"/>
      <c r="BU248" s="302"/>
      <c r="BV248" s="302"/>
      <c r="BW248" s="302"/>
      <c r="BX248" s="302"/>
      <c r="BY248" s="302"/>
      <c r="BZ248" s="302"/>
      <c r="CA248" s="302"/>
      <c r="CB248" s="302"/>
      <c r="CC248" s="302"/>
      <c r="CD248" s="302"/>
      <c r="CE248" s="302"/>
      <c r="CF248" s="302"/>
      <c r="CG248" s="302"/>
      <c r="CH248" s="302"/>
      <c r="CI248" s="302"/>
      <c r="CJ248" s="302"/>
      <c r="CK248" s="302"/>
      <c r="CL248" s="302"/>
      <c r="CM248" s="302"/>
      <c r="CN248" s="302"/>
      <c r="CO248" s="302"/>
      <c r="CP248" s="302"/>
      <c r="CQ248" s="302"/>
      <c r="CR248" s="302"/>
      <c r="CS248" s="302"/>
      <c r="CT248" s="302"/>
      <c r="CU248" s="302"/>
      <c r="CV248" s="302"/>
      <c r="CW248" s="302"/>
      <c r="CX248" s="302"/>
      <c r="CY248" s="302"/>
      <c r="CZ248" s="302"/>
      <c r="DA248" s="302"/>
      <c r="DB248" s="302"/>
      <c r="DC248" s="302"/>
      <c r="DD248" s="302"/>
      <c r="DE248" s="302"/>
      <c r="DF248" s="302"/>
      <c r="DG248" s="302"/>
      <c r="DH248" s="302"/>
      <c r="DI248" s="302"/>
      <c r="DJ248" s="302"/>
      <c r="DK248" s="302"/>
      <c r="DL248" s="302"/>
      <c r="DM248" s="302"/>
      <c r="DN248" s="302"/>
      <c r="DO248" s="302"/>
      <c r="DP248" s="302"/>
      <c r="DQ248" s="302"/>
      <c r="DR248" s="302"/>
      <c r="DS248" s="302"/>
      <c r="DT248" s="302"/>
      <c r="DU248" s="302"/>
      <c r="DV248" s="302"/>
      <c r="DW248" s="302"/>
      <c r="DX248" s="302"/>
      <c r="DY248" s="302"/>
      <c r="DZ248" s="302"/>
      <c r="EA248" s="302"/>
      <c r="EB248" s="302"/>
      <c r="EC248" s="302"/>
      <c r="ED248" s="302"/>
      <c r="EE248" s="302"/>
      <c r="EF248" s="302"/>
      <c r="EG248" s="302"/>
      <c r="EH248" s="302"/>
      <c r="EI248" s="302"/>
      <c r="EJ248" s="302"/>
      <c r="EK248" s="302"/>
      <c r="EL248" s="302"/>
      <c r="EM248" s="302"/>
      <c r="EN248" s="302"/>
      <c r="EO248" s="302"/>
      <c r="EP248" s="302"/>
      <c r="EQ248" s="302"/>
      <c r="ER248" s="302"/>
      <c r="ES248" s="302"/>
      <c r="ET248" s="302"/>
      <c r="EU248" s="302"/>
      <c r="EV248" s="302"/>
      <c r="EW248" s="302"/>
      <c r="EX248" s="302"/>
      <c r="EY248" s="302"/>
      <c r="EZ248" s="302"/>
      <c r="FA248" s="302"/>
      <c r="FB248" s="302"/>
      <c r="FC248" s="302"/>
      <c r="FD248" s="302"/>
      <c r="FE248" s="302"/>
      <c r="FF248" s="302"/>
      <c r="FG248" s="302"/>
      <c r="FH248" s="302"/>
      <c r="FI248" s="302"/>
      <c r="FJ248" s="302"/>
      <c r="FK248" s="302"/>
      <c r="FL248" s="302"/>
      <c r="FM248" s="302"/>
      <c r="FN248" s="302"/>
      <c r="FO248" s="302"/>
      <c r="FP248" s="302"/>
      <c r="FQ248" s="302"/>
      <c r="FR248" s="302"/>
      <c r="FS248" s="302"/>
      <c r="FT248" s="302"/>
      <c r="FU248" s="302"/>
      <c r="FV248" s="302"/>
      <c r="FW248" s="302"/>
      <c r="FX248" s="302"/>
      <c r="FY248" s="302"/>
      <c r="FZ248" s="302"/>
      <c r="GA248" s="302"/>
      <c r="GB248" s="302"/>
      <c r="GC248" s="302"/>
      <c r="GD248" s="302"/>
      <c r="GE248" s="302"/>
      <c r="GF248" s="302"/>
      <c r="GG248" s="302"/>
      <c r="GH248" s="302"/>
      <c r="GI248" s="302"/>
      <c r="GJ248" s="302"/>
      <c r="GK248" s="302"/>
      <c r="GL248" s="302"/>
      <c r="GM248" s="302"/>
      <c r="GN248" s="302"/>
      <c r="GO248" s="302"/>
      <c r="GP248" s="302"/>
      <c r="GQ248" s="302"/>
      <c r="GR248" s="302"/>
      <c r="GS248" s="302"/>
      <c r="GT248" s="302"/>
      <c r="GU248" s="302"/>
      <c r="GV248" s="302"/>
      <c r="GW248" s="302"/>
      <c r="GX248" s="302"/>
      <c r="GY248" s="302"/>
      <c r="GZ248" s="302"/>
      <c r="HA248" s="302"/>
      <c r="HB248" s="302"/>
      <c r="HC248" s="302"/>
      <c r="HD248" s="302"/>
      <c r="HE248" s="302"/>
      <c r="HF248" s="302"/>
      <c r="HG248" s="302"/>
      <c r="HH248" s="302"/>
      <c r="HI248" s="302"/>
      <c r="HJ248" s="302"/>
      <c r="HK248" s="302"/>
      <c r="HL248" s="302"/>
      <c r="HM248" s="302"/>
      <c r="HN248" s="302"/>
      <c r="HO248" s="302"/>
      <c r="HP248" s="302"/>
      <c r="HQ248" s="302"/>
      <c r="HR248" s="302"/>
      <c r="HS248" s="302"/>
      <c r="HT248" s="302"/>
      <c r="HU248" s="302"/>
      <c r="HV248" s="302"/>
      <c r="HW248" s="302"/>
      <c r="HX248" s="302"/>
      <c r="HY248" s="302"/>
      <c r="HZ248" s="302"/>
      <c r="IA248" s="302"/>
      <c r="IB248" s="302"/>
      <c r="IC248" s="302"/>
      <c r="ID248" s="302"/>
      <c r="IE248" s="302"/>
      <c r="IF248" s="302"/>
      <c r="IG248" s="302"/>
      <c r="IH248" s="302"/>
      <c r="II248" s="302"/>
      <c r="IJ248" s="302"/>
      <c r="IK248" s="302"/>
      <c r="IL248" s="302"/>
      <c r="IM248" s="302"/>
      <c r="IN248" s="302"/>
      <c r="IO248" s="302"/>
      <c r="IP248" s="302"/>
      <c r="IQ248" s="302"/>
      <c r="IR248" s="302"/>
      <c r="IS248" s="302"/>
      <c r="IT248" s="302"/>
      <c r="IU248" s="302"/>
      <c r="IV248" s="302"/>
      <c r="IW248" s="302"/>
      <c r="IX248" s="302"/>
      <c r="IY248" s="302"/>
      <c r="IZ248" s="302"/>
      <c r="JA248" s="302"/>
      <c r="JB248" s="302"/>
      <c r="JC248" s="302"/>
      <c r="JD248" s="302"/>
      <c r="JE248" s="302"/>
      <c r="JF248" s="302"/>
      <c r="JG248" s="302"/>
      <c r="JH248" s="302"/>
      <c r="JI248" s="302"/>
      <c r="JJ248" s="302"/>
      <c r="JK248" s="302"/>
      <c r="JL248" s="302"/>
      <c r="JM248" s="302"/>
      <c r="JN248" s="302"/>
      <c r="JO248" s="302"/>
      <c r="JP248" s="302"/>
      <c r="JQ248" s="302"/>
      <c r="JR248" s="302"/>
      <c r="JS248" s="302"/>
      <c r="JT248" s="302"/>
      <c r="JU248" s="302"/>
      <c r="JV248" s="302"/>
      <c r="JW248" s="302"/>
      <c r="JX248" s="302"/>
      <c r="JY248" s="302"/>
      <c r="JZ248" s="302"/>
      <c r="KA248" s="302"/>
      <c r="KB248" s="302"/>
      <c r="KC248" s="302"/>
      <c r="KD248" s="302"/>
      <c r="KE248" s="302"/>
      <c r="KF248" s="302"/>
      <c r="KG248" s="302"/>
      <c r="KH248" s="302"/>
      <c r="KI248" s="302"/>
      <c r="KJ248" s="302"/>
      <c r="KK248" s="302"/>
      <c r="KL248" s="302"/>
      <c r="KM248" s="302"/>
      <c r="KN248" s="302"/>
      <c r="KO248" s="302"/>
      <c r="KP248" s="302"/>
      <c r="KQ248" s="302"/>
      <c r="KR248" s="302"/>
      <c r="KS248" s="302"/>
      <c r="KT248" s="302"/>
      <c r="KU248" s="302"/>
      <c r="KV248" s="302"/>
      <c r="KW248" s="302"/>
      <c r="KX248" s="302"/>
      <c r="KY248" s="302"/>
      <c r="KZ248" s="302"/>
      <c r="LA248" s="302"/>
      <c r="LB248" s="302"/>
      <c r="LC248" s="302"/>
      <c r="LD248" s="302"/>
      <c r="LE248" s="302"/>
      <c r="LF248" s="302"/>
      <c r="LG248" s="302"/>
      <c r="LH248" s="302"/>
      <c r="LI248" s="302"/>
      <c r="LJ248" s="302"/>
      <c r="LK248" s="302"/>
      <c r="LL248" s="302"/>
      <c r="LM248" s="302"/>
      <c r="LN248" s="302"/>
      <c r="LO248" s="302"/>
      <c r="LP248" s="302"/>
      <c r="LQ248" s="302"/>
      <c r="LR248" s="302"/>
      <c r="LS248" s="302"/>
      <c r="LT248" s="302"/>
      <c r="LU248" s="302"/>
      <c r="LV248" s="302"/>
      <c r="LW248" s="302"/>
      <c r="LX248" s="302"/>
      <c r="LY248" s="302"/>
      <c r="LZ248" s="302"/>
      <c r="MA248" s="302"/>
      <c r="MB248" s="302"/>
      <c r="MC248" s="302"/>
      <c r="MD248" s="302"/>
      <c r="ME248" s="302"/>
      <c r="MF248" s="302"/>
      <c r="MG248" s="302"/>
      <c r="MH248" s="302"/>
      <c r="MI248" s="302"/>
      <c r="MJ248" s="302"/>
      <c r="MK248" s="302"/>
      <c r="ML248" s="302"/>
      <c r="MM248" s="302"/>
      <c r="MN248" s="302"/>
      <c r="MO248" s="302"/>
      <c r="MP248" s="302"/>
      <c r="MQ248" s="302"/>
      <c r="MR248" s="302"/>
      <c r="MS248" s="302"/>
      <c r="MT248" s="302"/>
      <c r="MU248" s="302"/>
      <c r="MV248" s="302"/>
      <c r="MW248" s="302"/>
      <c r="MX248" s="302"/>
      <c r="MY248" s="302"/>
      <c r="MZ248" s="302"/>
      <c r="NA248" s="302"/>
      <c r="NB248" s="302"/>
      <c r="NC248" s="302"/>
      <c r="ND248" s="302"/>
      <c r="NE248" s="302"/>
      <c r="NF248" s="302"/>
      <c r="NG248" s="302"/>
      <c r="NH248" s="302"/>
      <c r="NI248" s="302"/>
      <c r="NJ248" s="302"/>
      <c r="NK248" s="302"/>
      <c r="NL248" s="302"/>
      <c r="NM248" s="302"/>
      <c r="NN248" s="302"/>
      <c r="NO248" s="302"/>
      <c r="NP248" s="302"/>
      <c r="NQ248" s="302"/>
      <c r="NR248" s="302"/>
      <c r="NS248" s="302"/>
      <c r="NT248" s="302"/>
      <c r="NU248" s="302"/>
      <c r="NV248" s="302"/>
      <c r="NW248" s="302"/>
      <c r="NX248" s="302"/>
      <c r="NY248" s="302"/>
      <c r="NZ248" s="302"/>
      <c r="OA248" s="302"/>
      <c r="OB248" s="302"/>
      <c r="OC248" s="302"/>
      <c r="OD248" s="302"/>
      <c r="OE248" s="302"/>
      <c r="OF248" s="302"/>
      <c r="OG248" s="302"/>
      <c r="OH248" s="302"/>
      <c r="OI248" s="302"/>
      <c r="OJ248" s="302"/>
      <c r="OK248" s="302"/>
      <c r="OL248" s="302"/>
      <c r="OM248" s="302"/>
      <c r="ON248" s="302"/>
      <c r="OO248" s="302"/>
      <c r="OP248" s="302"/>
      <c r="OQ248" s="302"/>
      <c r="OR248" s="302"/>
      <c r="OS248" s="302"/>
      <c r="OT248" s="302"/>
      <c r="OU248" s="302"/>
      <c r="OV248" s="302"/>
      <c r="OW248" s="302"/>
      <c r="OX248" s="302"/>
      <c r="OY248" s="302"/>
      <c r="OZ248" s="302"/>
      <c r="PA248" s="302"/>
      <c r="PB248" s="302"/>
      <c r="PC248" s="302"/>
      <c r="PD248" s="302"/>
      <c r="PE248" s="302"/>
      <c r="PF248" s="302"/>
      <c r="PG248" s="302"/>
      <c r="PH248" s="302"/>
      <c r="PI248" s="302"/>
      <c r="PJ248" s="302"/>
      <c r="PK248" s="302"/>
      <c r="PL248" s="302"/>
      <c r="PM248" s="302"/>
      <c r="PN248" s="302"/>
      <c r="PO248" s="302"/>
      <c r="PP248" s="302"/>
      <c r="PQ248" s="302"/>
      <c r="PR248" s="302"/>
      <c r="PS248" s="302"/>
      <c r="PT248" s="302"/>
      <c r="PU248" s="302"/>
      <c r="PV248" s="302"/>
      <c r="PW248" s="302"/>
      <c r="PX248" s="302"/>
      <c r="PY248" s="302"/>
      <c r="PZ248" s="302"/>
      <c r="QA248" s="302"/>
      <c r="QB248" s="302"/>
      <c r="QC248" s="302"/>
      <c r="QD248" s="302"/>
      <c r="QE248" s="302"/>
      <c r="QF248" s="302"/>
      <c r="QG248" s="302"/>
      <c r="QH248" s="302"/>
      <c r="QI248" s="302"/>
      <c r="QJ248" s="302"/>
      <c r="QK248" s="302"/>
      <c r="QL248" s="302"/>
      <c r="QM248" s="302"/>
      <c r="QN248" s="302"/>
      <c r="QO248" s="302"/>
      <c r="QP248" s="302"/>
      <c r="QQ248" s="302"/>
      <c r="QR248" s="302"/>
      <c r="QS248" s="302"/>
      <c r="QT248" s="302"/>
      <c r="QU248" s="302"/>
      <c r="QV248" s="302"/>
      <c r="QW248" s="302"/>
      <c r="QX248" s="302"/>
      <c r="QY248" s="302"/>
      <c r="QZ248" s="302"/>
      <c r="RA248" s="302"/>
      <c r="RB248" s="302"/>
      <c r="RC248" s="302"/>
      <c r="RD248" s="302"/>
      <c r="RE248" s="302"/>
      <c r="RF248" s="302"/>
      <c r="RG248" s="302"/>
      <c r="RH248" s="302"/>
      <c r="RI248" s="302"/>
      <c r="RJ248" s="302"/>
      <c r="RK248" s="302"/>
      <c r="RL248" s="302"/>
      <c r="RM248" s="302"/>
      <c r="RN248" s="302"/>
      <c r="RO248" s="302"/>
      <c r="RP248" s="302"/>
      <c r="RQ248" s="302"/>
      <c r="RR248" s="302"/>
      <c r="RS248" s="302"/>
      <c r="RT248" s="302"/>
      <c r="RU248" s="302"/>
      <c r="RV248" s="302"/>
      <c r="RW248" s="302"/>
      <c r="RX248" s="302"/>
      <c r="RY248" s="302"/>
      <c r="RZ248" s="302"/>
      <c r="SA248" s="302"/>
      <c r="SB248" s="302"/>
      <c r="SC248" s="302"/>
      <c r="SD248" s="302"/>
      <c r="SE248" s="302"/>
      <c r="SF248" s="302"/>
      <c r="SG248" s="302"/>
      <c r="SH248" s="302"/>
      <c r="SI248" s="302"/>
      <c r="SJ248" s="302"/>
      <c r="SK248" s="302"/>
      <c r="SL248" s="302"/>
      <c r="SM248" s="302"/>
      <c r="SN248" s="302"/>
      <c r="SO248" s="302"/>
      <c r="SP248" s="302"/>
      <c r="SQ248" s="302"/>
      <c r="SR248" s="302"/>
      <c r="SS248" s="302"/>
      <c r="ST248" s="302"/>
      <c r="SU248" s="302"/>
      <c r="SV248" s="302"/>
      <c r="SW248" s="302"/>
      <c r="SX248" s="302"/>
      <c r="SY248" s="302"/>
      <c r="SZ248" s="302"/>
      <c r="TA248" s="302"/>
      <c r="TB248" s="302"/>
      <c r="TC248" s="302"/>
      <c r="TD248" s="302"/>
      <c r="TE248" s="302"/>
      <c r="TF248" s="302"/>
      <c r="TG248" s="302"/>
      <c r="TH248" s="302"/>
      <c r="TI248" s="302"/>
      <c r="TJ248" s="302"/>
      <c r="TK248" s="302"/>
      <c r="TL248" s="302"/>
      <c r="TM248" s="302"/>
      <c r="TN248" s="302"/>
      <c r="TO248" s="302"/>
      <c r="TP248" s="302"/>
      <c r="TQ248" s="302"/>
      <c r="TR248" s="302"/>
      <c r="TS248" s="302"/>
      <c r="TT248" s="302"/>
      <c r="TU248" s="302"/>
      <c r="TV248" s="302"/>
      <c r="TW248" s="302"/>
      <c r="TX248" s="302"/>
      <c r="TY248" s="302"/>
      <c r="TZ248" s="302"/>
      <c r="UA248" s="302"/>
      <c r="UB248" s="302"/>
      <c r="UC248" s="302"/>
      <c r="UD248" s="302"/>
      <c r="UE248" s="302"/>
      <c r="UF248" s="302"/>
      <c r="UG248" s="302"/>
      <c r="UH248" s="302"/>
      <c r="UI248" s="302"/>
      <c r="UJ248" s="302"/>
      <c r="UK248" s="302"/>
      <c r="UL248" s="302"/>
      <c r="UM248" s="302"/>
      <c r="UN248" s="302"/>
      <c r="UO248" s="302"/>
      <c r="UP248" s="302"/>
      <c r="UQ248" s="302"/>
      <c r="UR248" s="302"/>
      <c r="US248" s="302"/>
      <c r="UT248" s="302"/>
      <c r="UU248" s="302"/>
      <c r="UV248" s="302"/>
      <c r="UW248" s="302"/>
      <c r="UX248" s="302"/>
      <c r="UY248" s="302"/>
      <c r="UZ248" s="302"/>
      <c r="VA248" s="302"/>
      <c r="VB248" s="302"/>
      <c r="VC248" s="302"/>
      <c r="VD248" s="302"/>
      <c r="VE248" s="302"/>
      <c r="VF248" s="302"/>
      <c r="VG248" s="302"/>
      <c r="VH248" s="302"/>
      <c r="VI248" s="302"/>
      <c r="VJ248" s="302"/>
      <c r="VK248" s="302"/>
      <c r="VL248" s="302"/>
      <c r="VM248" s="302"/>
      <c r="VN248" s="302"/>
      <c r="VO248" s="302"/>
      <c r="VP248" s="302"/>
      <c r="VQ248" s="302"/>
      <c r="VR248" s="302"/>
      <c r="VS248" s="302"/>
      <c r="VT248" s="302"/>
      <c r="VU248" s="302"/>
      <c r="VV248" s="302"/>
      <c r="VW248" s="302"/>
      <c r="VX248" s="302"/>
      <c r="VY248" s="302"/>
      <c r="VZ248" s="302"/>
      <c r="WA248" s="302"/>
      <c r="WB248" s="302"/>
      <c r="WC248" s="302"/>
      <c r="WD248" s="302"/>
      <c r="WE248" s="302"/>
      <c r="WF248" s="302"/>
      <c r="WG248" s="302"/>
      <c r="WH248" s="302"/>
      <c r="WI248" s="302"/>
      <c r="WJ248" s="302"/>
      <c r="WK248" s="302"/>
      <c r="WL248" s="302"/>
      <c r="WM248" s="302"/>
      <c r="WN248" s="302"/>
      <c r="WO248" s="302"/>
      <c r="WP248" s="302"/>
      <c r="WQ248" s="302"/>
      <c r="WR248" s="302"/>
      <c r="WS248" s="302"/>
      <c r="WT248" s="302"/>
      <c r="WU248" s="302"/>
      <c r="WV248" s="302"/>
      <c r="WW248" s="302"/>
      <c r="WX248" s="302"/>
      <c r="WY248" s="302"/>
      <c r="WZ248" s="302"/>
      <c r="XA248" s="302"/>
      <c r="XB248" s="302"/>
      <c r="XC248" s="302"/>
      <c r="XD248" s="302"/>
      <c r="XE248" s="302"/>
      <c r="XF248" s="302"/>
      <c r="XG248" s="302"/>
      <c r="XH248" s="302"/>
      <c r="XI248" s="302"/>
      <c r="XJ248" s="302"/>
      <c r="XK248" s="302"/>
      <c r="XL248" s="302"/>
      <c r="XM248" s="302"/>
      <c r="XN248" s="302"/>
      <c r="XO248" s="302"/>
      <c r="XP248" s="302"/>
      <c r="XQ248" s="302"/>
      <c r="XR248" s="302"/>
      <c r="XS248" s="302"/>
      <c r="XT248" s="302"/>
      <c r="XU248" s="302"/>
      <c r="XV248" s="302"/>
      <c r="XW248" s="302"/>
      <c r="XX248" s="302"/>
      <c r="XY248" s="302"/>
      <c r="XZ248" s="302"/>
      <c r="YA248" s="302"/>
      <c r="YB248" s="302"/>
      <c r="YC248" s="302"/>
      <c r="YD248" s="302"/>
      <c r="YE248" s="302"/>
      <c r="YF248" s="302"/>
      <c r="YG248" s="302"/>
      <c r="YH248" s="302"/>
      <c r="YI248" s="302"/>
      <c r="YJ248" s="302"/>
      <c r="YK248" s="302"/>
      <c r="YL248" s="302"/>
      <c r="YM248" s="302"/>
      <c r="YN248" s="302"/>
      <c r="YO248" s="302"/>
      <c r="YP248" s="302"/>
      <c r="YQ248" s="302"/>
      <c r="YR248" s="302"/>
      <c r="YS248" s="302"/>
      <c r="YT248" s="302"/>
      <c r="YU248" s="302"/>
      <c r="YV248" s="302"/>
      <c r="YW248" s="302"/>
      <c r="YX248" s="302"/>
      <c r="YY248" s="302"/>
      <c r="YZ248" s="302"/>
      <c r="ZA248" s="302"/>
      <c r="ZB248" s="302"/>
      <c r="ZC248" s="302"/>
      <c r="ZD248" s="302"/>
      <c r="ZE248" s="302"/>
      <c r="ZF248" s="302"/>
      <c r="ZG248" s="302"/>
      <c r="ZH248" s="302"/>
      <c r="ZI248" s="302"/>
      <c r="ZJ248" s="302"/>
      <c r="ZK248" s="302"/>
      <c r="ZL248" s="302"/>
      <c r="ZM248" s="302"/>
      <c r="ZN248" s="302"/>
      <c r="ZO248" s="302"/>
      <c r="ZP248" s="302"/>
      <c r="ZQ248" s="302"/>
      <c r="ZR248" s="302"/>
      <c r="ZS248" s="302"/>
      <c r="ZT248" s="302"/>
      <c r="ZU248" s="302"/>
      <c r="ZV248" s="302"/>
      <c r="ZW248" s="302"/>
      <c r="ZX248" s="302"/>
      <c r="ZY248" s="302"/>
      <c r="ZZ248" s="302"/>
      <c r="AAA248" s="302"/>
      <c r="AAB248" s="302"/>
      <c r="AAC248" s="302"/>
      <c r="AAD248" s="302"/>
      <c r="AAE248" s="302"/>
      <c r="AAF248" s="302"/>
      <c r="AAG248" s="302"/>
      <c r="AAH248" s="302"/>
      <c r="AAI248" s="302"/>
      <c r="AAJ248" s="302"/>
      <c r="AAK248" s="302"/>
      <c r="AAL248" s="302"/>
      <c r="AAM248" s="302"/>
      <c r="AAN248" s="302"/>
      <c r="AAO248" s="302"/>
      <c r="AAP248" s="302"/>
      <c r="AAQ248" s="302"/>
      <c r="AAR248" s="302"/>
      <c r="AAS248" s="302"/>
      <c r="AAT248" s="302"/>
      <c r="AAU248" s="302"/>
      <c r="AAV248" s="302"/>
      <c r="AAW248" s="302"/>
      <c r="AAX248" s="302"/>
      <c r="AAY248" s="302"/>
      <c r="AAZ248" s="302"/>
      <c r="ABA248" s="302"/>
      <c r="ABB248" s="302"/>
      <c r="ABC248" s="302"/>
      <c r="ABD248" s="302"/>
      <c r="ABE248" s="302"/>
      <c r="ABF248" s="302"/>
      <c r="ABG248" s="302"/>
      <c r="ABH248" s="302"/>
      <c r="ABI248" s="302"/>
      <c r="ABJ248" s="302"/>
      <c r="ABK248" s="302"/>
      <c r="ABL248" s="302"/>
      <c r="ABM248" s="302"/>
      <c r="ABN248" s="302"/>
      <c r="ABO248" s="302"/>
      <c r="ABP248" s="302"/>
      <c r="ABQ248" s="302"/>
      <c r="ABR248" s="302"/>
      <c r="ABS248" s="302"/>
      <c r="ABT248" s="302"/>
      <c r="ABU248" s="302"/>
      <c r="ABV248" s="302"/>
      <c r="ABW248" s="302"/>
      <c r="ABX248" s="302"/>
      <c r="ABY248" s="302"/>
      <c r="ABZ248" s="302"/>
      <c r="ACA248" s="302"/>
      <c r="ACB248" s="302"/>
      <c r="ACC248" s="302"/>
      <c r="ACD248" s="302"/>
      <c r="ACE248" s="302"/>
      <c r="ACF248" s="302"/>
      <c r="ACG248" s="302"/>
      <c r="ACH248" s="302"/>
      <c r="ACI248" s="302"/>
      <c r="ACJ248" s="302"/>
      <c r="ACK248" s="302"/>
      <c r="ACL248" s="302"/>
      <c r="ACM248" s="302"/>
      <c r="ACN248" s="302"/>
      <c r="ACO248" s="302"/>
      <c r="ACP248" s="302"/>
      <c r="ACQ248" s="302"/>
      <c r="ACR248" s="302"/>
      <c r="ACS248" s="302"/>
      <c r="ACT248" s="302"/>
      <c r="ACU248" s="302"/>
      <c r="ACV248" s="302"/>
      <c r="ACW248" s="302"/>
      <c r="ACX248" s="302"/>
      <c r="ACY248" s="302"/>
      <c r="ACZ248" s="302"/>
      <c r="ADA248" s="302"/>
      <c r="ADB248" s="302"/>
      <c r="ADC248" s="302"/>
      <c r="ADD248" s="302"/>
      <c r="ADE248" s="302"/>
      <c r="ADF248" s="302"/>
      <c r="ADG248" s="302"/>
      <c r="ADH248" s="302"/>
      <c r="ADI248" s="302"/>
      <c r="ADJ248" s="302"/>
      <c r="ADK248" s="302"/>
      <c r="ADL248" s="302"/>
      <c r="ADM248" s="302"/>
      <c r="ADN248" s="302"/>
      <c r="ADO248" s="302"/>
      <c r="ADP248" s="302"/>
      <c r="ADQ248" s="302"/>
      <c r="ADR248" s="302"/>
      <c r="ADS248" s="302"/>
      <c r="ADT248" s="302"/>
      <c r="ADU248" s="302"/>
      <c r="ADV248" s="302"/>
      <c r="ADW248" s="302"/>
      <c r="ADX248" s="302"/>
      <c r="ADY248" s="302"/>
      <c r="ADZ248" s="302"/>
      <c r="AEA248" s="302"/>
      <c r="AEB248" s="302"/>
      <c r="AEC248" s="302"/>
      <c r="AED248" s="302"/>
      <c r="AEE248" s="302"/>
      <c r="AEF248" s="302"/>
      <c r="AEG248" s="302"/>
      <c r="AEH248" s="302"/>
      <c r="AEI248" s="302"/>
      <c r="AEJ248" s="302"/>
      <c r="AEK248" s="302"/>
      <c r="AEL248" s="302"/>
      <c r="AEM248" s="302"/>
      <c r="AEN248" s="302"/>
      <c r="AEO248" s="302"/>
      <c r="AEP248" s="302"/>
      <c r="AEQ248" s="302"/>
      <c r="AER248" s="302"/>
      <c r="AES248" s="302"/>
      <c r="AET248" s="302"/>
      <c r="AEU248" s="302"/>
      <c r="AEV248" s="302"/>
      <c r="AEW248" s="302"/>
      <c r="AEX248" s="302"/>
      <c r="AEY248" s="302"/>
      <c r="AEZ248" s="302"/>
      <c r="AFA248" s="302"/>
      <c r="AFB248" s="302"/>
      <c r="AFC248" s="302"/>
      <c r="AFD248" s="302"/>
      <c r="AFE248" s="302"/>
      <c r="AFF248" s="302"/>
      <c r="AFG248" s="302"/>
      <c r="AFH248" s="302"/>
      <c r="AFI248" s="302"/>
      <c r="AFJ248" s="302"/>
      <c r="AFK248" s="302"/>
      <c r="AFL248" s="302"/>
      <c r="AFM248" s="302"/>
      <c r="AFN248" s="302"/>
      <c r="AFO248" s="302"/>
      <c r="AFP248" s="302"/>
      <c r="AFQ248" s="302"/>
      <c r="AFR248" s="302"/>
      <c r="AFS248" s="302"/>
      <c r="AFT248" s="302"/>
      <c r="AFU248" s="302"/>
      <c r="AFV248" s="302"/>
      <c r="AFW248" s="302"/>
      <c r="AFX248" s="302"/>
      <c r="AFY248" s="302"/>
      <c r="AFZ248" s="302"/>
      <c r="AGA248" s="302"/>
      <c r="AGB248" s="302"/>
      <c r="AGC248" s="302"/>
      <c r="AGD248" s="302"/>
      <c r="AGE248" s="302"/>
      <c r="AGF248" s="302"/>
      <c r="AGG248" s="302"/>
      <c r="AGH248" s="302"/>
      <c r="AGI248" s="302"/>
      <c r="AGJ248" s="302"/>
      <c r="AGK248" s="302"/>
      <c r="AGL248" s="302"/>
      <c r="AGM248" s="302"/>
      <c r="AGN248" s="302"/>
      <c r="AGO248" s="302"/>
      <c r="AGP248" s="302"/>
      <c r="AGQ248" s="302"/>
      <c r="AGR248" s="302"/>
      <c r="AGS248" s="302"/>
      <c r="AGT248" s="302"/>
      <c r="AGU248" s="302"/>
      <c r="AGV248" s="302"/>
      <c r="AGW248" s="302"/>
      <c r="AGX248" s="302"/>
      <c r="AGY248" s="302"/>
      <c r="AGZ248" s="302"/>
      <c r="AHA248" s="302"/>
      <c r="AHB248" s="302"/>
      <c r="AHC248" s="302"/>
      <c r="AHD248" s="302"/>
      <c r="AHE248" s="302"/>
      <c r="AHF248" s="302"/>
      <c r="AHG248" s="302"/>
      <c r="AHH248" s="302"/>
      <c r="AHI248" s="302"/>
      <c r="AHJ248" s="302"/>
      <c r="AHK248" s="302"/>
      <c r="AHL248" s="302"/>
      <c r="AHM248" s="302"/>
      <c r="AHN248" s="302"/>
      <c r="AHO248" s="302"/>
      <c r="AHP248" s="302"/>
      <c r="AHQ248" s="302"/>
      <c r="AHR248" s="302"/>
      <c r="AHS248" s="302"/>
      <c r="AHT248" s="302"/>
      <c r="AHU248" s="302"/>
      <c r="AHV248" s="302"/>
      <c r="AHW248" s="302"/>
      <c r="AHX248" s="302"/>
      <c r="AHY248" s="302"/>
      <c r="AHZ248" s="302"/>
      <c r="AIA248" s="302"/>
      <c r="AIB248" s="302"/>
      <c r="AIC248" s="302"/>
      <c r="AID248" s="302"/>
      <c r="AIE248" s="302"/>
      <c r="AIF248" s="302"/>
      <c r="AIG248" s="302"/>
      <c r="AIH248" s="302"/>
      <c r="AII248" s="302"/>
      <c r="AIJ248" s="302"/>
      <c r="AIK248" s="302"/>
      <c r="AIL248" s="302"/>
      <c r="AIM248" s="302"/>
      <c r="AIN248" s="302"/>
      <c r="AIO248" s="302"/>
      <c r="AIP248" s="302"/>
      <c r="AIQ248" s="302"/>
      <c r="AIR248" s="302"/>
      <c r="AIS248" s="302"/>
      <c r="AIT248" s="302"/>
      <c r="AIU248" s="302"/>
      <c r="AIV248" s="302"/>
      <c r="AIW248" s="302"/>
      <c r="AIX248" s="302"/>
      <c r="AIY248" s="302"/>
      <c r="AIZ248" s="302"/>
      <c r="AJA248" s="302"/>
      <c r="AJB248" s="302"/>
      <c r="AJC248" s="302"/>
      <c r="AJD248" s="302"/>
      <c r="AJE248" s="302"/>
      <c r="AJF248" s="302"/>
      <c r="AJG248" s="302"/>
      <c r="AJH248" s="302"/>
      <c r="AJI248" s="302"/>
      <c r="AJJ248" s="302"/>
      <c r="AJK248" s="302"/>
      <c r="AJL248" s="302"/>
      <c r="AJM248" s="302"/>
      <c r="AJN248" s="302"/>
      <c r="AJO248" s="302"/>
      <c r="AJP248" s="302"/>
      <c r="AJQ248" s="302"/>
      <c r="AJR248" s="302"/>
      <c r="AJS248" s="302"/>
      <c r="AJT248" s="302"/>
      <c r="AJU248" s="302"/>
      <c r="AJV248" s="302"/>
      <c r="AJW248" s="302"/>
      <c r="AJX248" s="302"/>
      <c r="AJY248" s="302"/>
      <c r="AJZ248" s="302"/>
      <c r="AKA248" s="302"/>
      <c r="AKB248" s="302"/>
      <c r="AKC248" s="302"/>
      <c r="AKD248" s="302"/>
      <c r="AKE248" s="302"/>
      <c r="AKF248" s="302"/>
      <c r="AKG248" s="302"/>
      <c r="AKH248" s="302"/>
      <c r="AKI248" s="302"/>
      <c r="AKJ248" s="302"/>
      <c r="AKK248" s="302"/>
      <c r="AKL248" s="302"/>
      <c r="AKM248" s="302"/>
      <c r="AKN248" s="302"/>
      <c r="AKO248" s="302"/>
      <c r="AKP248" s="302"/>
      <c r="AKQ248" s="302"/>
      <c r="AKR248" s="302"/>
      <c r="AKS248" s="302"/>
      <c r="AKT248" s="302"/>
      <c r="AKU248" s="302"/>
      <c r="AKV248" s="302"/>
      <c r="AKW248" s="302"/>
      <c r="AKX248" s="302"/>
      <c r="AKY248" s="302"/>
      <c r="AKZ248" s="302"/>
      <c r="ALA248" s="302"/>
      <c r="ALB248" s="302"/>
      <c r="ALC248" s="302"/>
      <c r="ALD248" s="302"/>
      <c r="ALE248" s="302"/>
      <c r="ALF248" s="302"/>
      <c r="ALG248" s="302"/>
      <c r="ALH248" s="302"/>
      <c r="ALI248" s="302"/>
      <c r="ALJ248" s="302"/>
      <c r="ALK248" s="302"/>
      <c r="ALL248" s="302"/>
      <c r="ALM248" s="302"/>
      <c r="ALN248" s="302"/>
      <c r="ALO248" s="302"/>
      <c r="ALP248" s="302"/>
      <c r="ALQ248" s="302"/>
      <c r="ALR248" s="302"/>
      <c r="ALS248" s="302"/>
      <c r="ALT248" s="302"/>
      <c r="ALU248" s="302"/>
      <c r="ALV248" s="302"/>
      <c r="ALW248" s="302"/>
      <c r="ALX248" s="302"/>
      <c r="ALY248" s="302"/>
      <c r="ALZ248" s="302"/>
      <c r="AMA248" s="302"/>
      <c r="AMB248" s="302"/>
      <c r="AMC248" s="302"/>
      <c r="AMD248" s="302"/>
      <c r="AME248" s="302"/>
      <c r="AMF248" s="302"/>
      <c r="AMG248" s="302"/>
      <c r="AMH248" s="302"/>
      <c r="AMI248" s="302"/>
    </row>
    <row r="249" spans="1:1023" hidden="1">
      <c r="A249" s="302"/>
      <c r="B249" s="442">
        <v>14003</v>
      </c>
      <c r="C249" s="432">
        <v>0.1</v>
      </c>
      <c r="D249" s="370" t="s">
        <v>146</v>
      </c>
      <c r="E249" s="584">
        <v>2700000</v>
      </c>
      <c r="F249" s="499">
        <v>0.02</v>
      </c>
      <c r="G249" s="369">
        <f t="shared" si="13"/>
        <v>54000</v>
      </c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2"/>
      <c r="AE249" s="302"/>
      <c r="AF249" s="302"/>
      <c r="AG249" s="302"/>
      <c r="AH249" s="302"/>
      <c r="AI249" s="302"/>
      <c r="AJ249" s="302"/>
      <c r="AK249" s="302"/>
      <c r="AL249" s="302"/>
      <c r="AM249" s="302"/>
      <c r="AN249" s="302"/>
      <c r="AO249" s="302"/>
      <c r="AP249" s="302"/>
      <c r="AQ249" s="302"/>
      <c r="AR249" s="302"/>
      <c r="AS249" s="302"/>
      <c r="AT249" s="302"/>
      <c r="AU249" s="302"/>
      <c r="AV249" s="302"/>
      <c r="AW249" s="302"/>
      <c r="AX249" s="302"/>
      <c r="AY249" s="302"/>
      <c r="AZ249" s="302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2"/>
      <c r="BN249" s="302"/>
      <c r="BO249" s="302"/>
      <c r="BP249" s="302"/>
      <c r="BQ249" s="302"/>
      <c r="BR249" s="302"/>
      <c r="BS249" s="302"/>
      <c r="BT249" s="302"/>
      <c r="BU249" s="302"/>
      <c r="BV249" s="302"/>
      <c r="BW249" s="302"/>
      <c r="BX249" s="302"/>
      <c r="BY249" s="302"/>
      <c r="BZ249" s="302"/>
      <c r="CA249" s="302"/>
      <c r="CB249" s="302"/>
      <c r="CC249" s="302"/>
      <c r="CD249" s="302"/>
      <c r="CE249" s="302"/>
      <c r="CF249" s="302"/>
      <c r="CG249" s="302"/>
      <c r="CH249" s="302"/>
      <c r="CI249" s="302"/>
      <c r="CJ249" s="302"/>
      <c r="CK249" s="302"/>
      <c r="CL249" s="302"/>
      <c r="CM249" s="302"/>
      <c r="CN249" s="302"/>
      <c r="CO249" s="302"/>
      <c r="CP249" s="302"/>
      <c r="CQ249" s="302"/>
      <c r="CR249" s="302"/>
      <c r="CS249" s="302"/>
      <c r="CT249" s="302"/>
      <c r="CU249" s="302"/>
      <c r="CV249" s="302"/>
      <c r="CW249" s="302"/>
      <c r="CX249" s="302"/>
      <c r="CY249" s="302"/>
      <c r="CZ249" s="302"/>
      <c r="DA249" s="302"/>
      <c r="DB249" s="302"/>
      <c r="DC249" s="302"/>
      <c r="DD249" s="302"/>
      <c r="DE249" s="302"/>
      <c r="DF249" s="302"/>
      <c r="DG249" s="302"/>
      <c r="DH249" s="302"/>
      <c r="DI249" s="302"/>
      <c r="DJ249" s="302"/>
      <c r="DK249" s="302"/>
      <c r="DL249" s="302"/>
      <c r="DM249" s="302"/>
      <c r="DN249" s="302"/>
      <c r="DO249" s="302"/>
      <c r="DP249" s="302"/>
      <c r="DQ249" s="302"/>
      <c r="DR249" s="302"/>
      <c r="DS249" s="302"/>
      <c r="DT249" s="302"/>
      <c r="DU249" s="302"/>
      <c r="DV249" s="302"/>
      <c r="DW249" s="302"/>
      <c r="DX249" s="302"/>
      <c r="DY249" s="302"/>
      <c r="DZ249" s="302"/>
      <c r="EA249" s="302"/>
      <c r="EB249" s="302"/>
      <c r="EC249" s="302"/>
      <c r="ED249" s="302"/>
      <c r="EE249" s="302"/>
      <c r="EF249" s="302"/>
      <c r="EG249" s="302"/>
      <c r="EH249" s="302"/>
      <c r="EI249" s="302"/>
      <c r="EJ249" s="302"/>
      <c r="EK249" s="302"/>
      <c r="EL249" s="302"/>
      <c r="EM249" s="302"/>
      <c r="EN249" s="302"/>
      <c r="EO249" s="302"/>
      <c r="EP249" s="302"/>
      <c r="EQ249" s="302"/>
      <c r="ER249" s="302"/>
      <c r="ES249" s="302"/>
      <c r="ET249" s="302"/>
      <c r="EU249" s="302"/>
      <c r="EV249" s="302"/>
      <c r="EW249" s="302"/>
      <c r="EX249" s="302"/>
      <c r="EY249" s="302"/>
      <c r="EZ249" s="302"/>
      <c r="FA249" s="302"/>
      <c r="FB249" s="302"/>
      <c r="FC249" s="302"/>
      <c r="FD249" s="302"/>
      <c r="FE249" s="302"/>
      <c r="FF249" s="302"/>
      <c r="FG249" s="302"/>
      <c r="FH249" s="302"/>
      <c r="FI249" s="302"/>
      <c r="FJ249" s="302"/>
      <c r="FK249" s="302"/>
      <c r="FL249" s="302"/>
      <c r="FM249" s="302"/>
      <c r="FN249" s="302"/>
      <c r="FO249" s="302"/>
      <c r="FP249" s="302"/>
      <c r="FQ249" s="302"/>
      <c r="FR249" s="302"/>
      <c r="FS249" s="302"/>
      <c r="FT249" s="302"/>
      <c r="FU249" s="302"/>
      <c r="FV249" s="302"/>
      <c r="FW249" s="302"/>
      <c r="FX249" s="302"/>
      <c r="FY249" s="302"/>
      <c r="FZ249" s="302"/>
      <c r="GA249" s="302"/>
      <c r="GB249" s="302"/>
      <c r="GC249" s="302"/>
      <c r="GD249" s="302"/>
      <c r="GE249" s="302"/>
      <c r="GF249" s="302"/>
      <c r="GG249" s="302"/>
      <c r="GH249" s="302"/>
      <c r="GI249" s="302"/>
      <c r="GJ249" s="302"/>
      <c r="GK249" s="302"/>
      <c r="GL249" s="302"/>
      <c r="GM249" s="302"/>
      <c r="GN249" s="302"/>
      <c r="GO249" s="302"/>
      <c r="GP249" s="302"/>
      <c r="GQ249" s="302"/>
      <c r="GR249" s="302"/>
      <c r="GS249" s="302"/>
      <c r="GT249" s="302"/>
      <c r="GU249" s="302"/>
      <c r="GV249" s="302"/>
      <c r="GW249" s="302"/>
      <c r="GX249" s="302"/>
      <c r="GY249" s="302"/>
      <c r="GZ249" s="302"/>
      <c r="HA249" s="302"/>
      <c r="HB249" s="302"/>
      <c r="HC249" s="302"/>
      <c r="HD249" s="302"/>
      <c r="HE249" s="302"/>
      <c r="HF249" s="302"/>
      <c r="HG249" s="302"/>
      <c r="HH249" s="302"/>
      <c r="HI249" s="302"/>
      <c r="HJ249" s="302"/>
      <c r="HK249" s="302"/>
      <c r="HL249" s="302"/>
      <c r="HM249" s="302"/>
      <c r="HN249" s="302"/>
      <c r="HO249" s="302"/>
      <c r="HP249" s="302"/>
      <c r="HQ249" s="302"/>
      <c r="HR249" s="302"/>
      <c r="HS249" s="302"/>
      <c r="HT249" s="302"/>
      <c r="HU249" s="302"/>
      <c r="HV249" s="302"/>
      <c r="HW249" s="302"/>
      <c r="HX249" s="302"/>
      <c r="HY249" s="302"/>
      <c r="HZ249" s="302"/>
      <c r="IA249" s="302"/>
      <c r="IB249" s="302"/>
      <c r="IC249" s="302"/>
      <c r="ID249" s="302"/>
      <c r="IE249" s="302"/>
      <c r="IF249" s="302"/>
      <c r="IG249" s="302"/>
      <c r="IH249" s="302"/>
      <c r="II249" s="302"/>
      <c r="IJ249" s="302"/>
      <c r="IK249" s="302"/>
      <c r="IL249" s="302"/>
      <c r="IM249" s="302"/>
      <c r="IN249" s="302"/>
      <c r="IO249" s="302"/>
      <c r="IP249" s="302"/>
      <c r="IQ249" s="302"/>
      <c r="IR249" s="302"/>
      <c r="IS249" s="302"/>
      <c r="IT249" s="302"/>
      <c r="IU249" s="302"/>
      <c r="IV249" s="302"/>
      <c r="IW249" s="302"/>
      <c r="IX249" s="302"/>
      <c r="IY249" s="302"/>
      <c r="IZ249" s="302"/>
      <c r="JA249" s="302"/>
      <c r="JB249" s="302"/>
      <c r="JC249" s="302"/>
      <c r="JD249" s="302"/>
      <c r="JE249" s="302"/>
      <c r="JF249" s="302"/>
      <c r="JG249" s="302"/>
      <c r="JH249" s="302"/>
      <c r="JI249" s="302"/>
      <c r="JJ249" s="302"/>
      <c r="JK249" s="302"/>
      <c r="JL249" s="302"/>
      <c r="JM249" s="302"/>
      <c r="JN249" s="302"/>
      <c r="JO249" s="302"/>
      <c r="JP249" s="302"/>
      <c r="JQ249" s="302"/>
      <c r="JR249" s="302"/>
      <c r="JS249" s="302"/>
      <c r="JT249" s="302"/>
      <c r="JU249" s="302"/>
      <c r="JV249" s="302"/>
      <c r="JW249" s="302"/>
      <c r="JX249" s="302"/>
      <c r="JY249" s="302"/>
      <c r="JZ249" s="302"/>
      <c r="KA249" s="302"/>
      <c r="KB249" s="302"/>
      <c r="KC249" s="302"/>
      <c r="KD249" s="302"/>
      <c r="KE249" s="302"/>
      <c r="KF249" s="302"/>
      <c r="KG249" s="302"/>
      <c r="KH249" s="302"/>
      <c r="KI249" s="302"/>
      <c r="KJ249" s="302"/>
      <c r="KK249" s="302"/>
      <c r="KL249" s="302"/>
      <c r="KM249" s="302"/>
      <c r="KN249" s="302"/>
      <c r="KO249" s="302"/>
      <c r="KP249" s="302"/>
      <c r="KQ249" s="302"/>
      <c r="KR249" s="302"/>
      <c r="KS249" s="302"/>
      <c r="KT249" s="302"/>
      <c r="KU249" s="302"/>
      <c r="KV249" s="302"/>
      <c r="KW249" s="302"/>
      <c r="KX249" s="302"/>
      <c r="KY249" s="302"/>
      <c r="KZ249" s="302"/>
      <c r="LA249" s="302"/>
      <c r="LB249" s="302"/>
      <c r="LC249" s="302"/>
      <c r="LD249" s="302"/>
      <c r="LE249" s="302"/>
      <c r="LF249" s="302"/>
      <c r="LG249" s="302"/>
      <c r="LH249" s="302"/>
      <c r="LI249" s="302"/>
      <c r="LJ249" s="302"/>
      <c r="LK249" s="302"/>
      <c r="LL249" s="302"/>
      <c r="LM249" s="302"/>
      <c r="LN249" s="302"/>
      <c r="LO249" s="302"/>
      <c r="LP249" s="302"/>
      <c r="LQ249" s="302"/>
      <c r="LR249" s="302"/>
      <c r="LS249" s="302"/>
      <c r="LT249" s="302"/>
      <c r="LU249" s="302"/>
      <c r="LV249" s="302"/>
      <c r="LW249" s="302"/>
      <c r="LX249" s="302"/>
      <c r="LY249" s="302"/>
      <c r="LZ249" s="302"/>
      <c r="MA249" s="302"/>
      <c r="MB249" s="302"/>
      <c r="MC249" s="302"/>
      <c r="MD249" s="302"/>
      <c r="ME249" s="302"/>
      <c r="MF249" s="302"/>
      <c r="MG249" s="302"/>
      <c r="MH249" s="302"/>
      <c r="MI249" s="302"/>
      <c r="MJ249" s="302"/>
      <c r="MK249" s="302"/>
      <c r="ML249" s="302"/>
      <c r="MM249" s="302"/>
      <c r="MN249" s="302"/>
      <c r="MO249" s="302"/>
      <c r="MP249" s="302"/>
      <c r="MQ249" s="302"/>
      <c r="MR249" s="302"/>
      <c r="MS249" s="302"/>
      <c r="MT249" s="302"/>
      <c r="MU249" s="302"/>
      <c r="MV249" s="302"/>
      <c r="MW249" s="302"/>
      <c r="MX249" s="302"/>
      <c r="MY249" s="302"/>
      <c r="MZ249" s="302"/>
      <c r="NA249" s="302"/>
      <c r="NB249" s="302"/>
      <c r="NC249" s="302"/>
      <c r="ND249" s="302"/>
      <c r="NE249" s="302"/>
      <c r="NF249" s="302"/>
      <c r="NG249" s="302"/>
      <c r="NH249" s="302"/>
      <c r="NI249" s="302"/>
      <c r="NJ249" s="302"/>
      <c r="NK249" s="302"/>
      <c r="NL249" s="302"/>
      <c r="NM249" s="302"/>
      <c r="NN249" s="302"/>
      <c r="NO249" s="302"/>
      <c r="NP249" s="302"/>
      <c r="NQ249" s="302"/>
      <c r="NR249" s="302"/>
      <c r="NS249" s="302"/>
      <c r="NT249" s="302"/>
      <c r="NU249" s="302"/>
      <c r="NV249" s="302"/>
      <c r="NW249" s="302"/>
      <c r="NX249" s="302"/>
      <c r="NY249" s="302"/>
      <c r="NZ249" s="302"/>
      <c r="OA249" s="302"/>
      <c r="OB249" s="302"/>
      <c r="OC249" s="302"/>
      <c r="OD249" s="302"/>
      <c r="OE249" s="302"/>
      <c r="OF249" s="302"/>
      <c r="OG249" s="302"/>
      <c r="OH249" s="302"/>
      <c r="OI249" s="302"/>
      <c r="OJ249" s="302"/>
      <c r="OK249" s="302"/>
      <c r="OL249" s="302"/>
      <c r="OM249" s="302"/>
      <c r="ON249" s="302"/>
      <c r="OO249" s="302"/>
      <c r="OP249" s="302"/>
      <c r="OQ249" s="302"/>
      <c r="OR249" s="302"/>
      <c r="OS249" s="302"/>
      <c r="OT249" s="302"/>
      <c r="OU249" s="302"/>
      <c r="OV249" s="302"/>
      <c r="OW249" s="302"/>
      <c r="OX249" s="302"/>
      <c r="OY249" s="302"/>
      <c r="OZ249" s="302"/>
      <c r="PA249" s="302"/>
      <c r="PB249" s="302"/>
      <c r="PC249" s="302"/>
      <c r="PD249" s="302"/>
      <c r="PE249" s="302"/>
      <c r="PF249" s="302"/>
      <c r="PG249" s="302"/>
      <c r="PH249" s="302"/>
      <c r="PI249" s="302"/>
      <c r="PJ249" s="302"/>
      <c r="PK249" s="302"/>
      <c r="PL249" s="302"/>
      <c r="PM249" s="302"/>
      <c r="PN249" s="302"/>
      <c r="PO249" s="302"/>
      <c r="PP249" s="302"/>
      <c r="PQ249" s="302"/>
      <c r="PR249" s="302"/>
      <c r="PS249" s="302"/>
      <c r="PT249" s="302"/>
      <c r="PU249" s="302"/>
      <c r="PV249" s="302"/>
      <c r="PW249" s="302"/>
      <c r="PX249" s="302"/>
      <c r="PY249" s="302"/>
      <c r="PZ249" s="302"/>
      <c r="QA249" s="302"/>
      <c r="QB249" s="302"/>
      <c r="QC249" s="302"/>
      <c r="QD249" s="302"/>
      <c r="QE249" s="302"/>
      <c r="QF249" s="302"/>
      <c r="QG249" s="302"/>
      <c r="QH249" s="302"/>
      <c r="QI249" s="302"/>
      <c r="QJ249" s="302"/>
      <c r="QK249" s="302"/>
      <c r="QL249" s="302"/>
      <c r="QM249" s="302"/>
      <c r="QN249" s="302"/>
      <c r="QO249" s="302"/>
      <c r="QP249" s="302"/>
      <c r="QQ249" s="302"/>
      <c r="QR249" s="302"/>
      <c r="QS249" s="302"/>
      <c r="QT249" s="302"/>
      <c r="QU249" s="302"/>
      <c r="QV249" s="302"/>
      <c r="QW249" s="302"/>
      <c r="QX249" s="302"/>
      <c r="QY249" s="302"/>
      <c r="QZ249" s="302"/>
      <c r="RA249" s="302"/>
      <c r="RB249" s="302"/>
      <c r="RC249" s="302"/>
      <c r="RD249" s="302"/>
      <c r="RE249" s="302"/>
      <c r="RF249" s="302"/>
      <c r="RG249" s="302"/>
      <c r="RH249" s="302"/>
      <c r="RI249" s="302"/>
      <c r="RJ249" s="302"/>
      <c r="RK249" s="302"/>
      <c r="RL249" s="302"/>
      <c r="RM249" s="302"/>
      <c r="RN249" s="302"/>
      <c r="RO249" s="302"/>
      <c r="RP249" s="302"/>
      <c r="RQ249" s="302"/>
      <c r="RR249" s="302"/>
      <c r="RS249" s="302"/>
      <c r="RT249" s="302"/>
      <c r="RU249" s="302"/>
      <c r="RV249" s="302"/>
      <c r="RW249" s="302"/>
      <c r="RX249" s="302"/>
      <c r="RY249" s="302"/>
      <c r="RZ249" s="302"/>
      <c r="SA249" s="302"/>
      <c r="SB249" s="302"/>
      <c r="SC249" s="302"/>
      <c r="SD249" s="302"/>
      <c r="SE249" s="302"/>
      <c r="SF249" s="302"/>
      <c r="SG249" s="302"/>
      <c r="SH249" s="302"/>
      <c r="SI249" s="302"/>
      <c r="SJ249" s="302"/>
      <c r="SK249" s="302"/>
      <c r="SL249" s="302"/>
      <c r="SM249" s="302"/>
      <c r="SN249" s="302"/>
      <c r="SO249" s="302"/>
      <c r="SP249" s="302"/>
      <c r="SQ249" s="302"/>
      <c r="SR249" s="302"/>
      <c r="SS249" s="302"/>
      <c r="ST249" s="302"/>
      <c r="SU249" s="302"/>
      <c r="SV249" s="302"/>
      <c r="SW249" s="302"/>
      <c r="SX249" s="302"/>
      <c r="SY249" s="302"/>
      <c r="SZ249" s="302"/>
      <c r="TA249" s="302"/>
      <c r="TB249" s="302"/>
      <c r="TC249" s="302"/>
      <c r="TD249" s="302"/>
      <c r="TE249" s="302"/>
      <c r="TF249" s="302"/>
      <c r="TG249" s="302"/>
      <c r="TH249" s="302"/>
      <c r="TI249" s="302"/>
      <c r="TJ249" s="302"/>
      <c r="TK249" s="302"/>
      <c r="TL249" s="302"/>
      <c r="TM249" s="302"/>
      <c r="TN249" s="302"/>
      <c r="TO249" s="302"/>
      <c r="TP249" s="302"/>
      <c r="TQ249" s="302"/>
      <c r="TR249" s="302"/>
      <c r="TS249" s="302"/>
      <c r="TT249" s="302"/>
      <c r="TU249" s="302"/>
      <c r="TV249" s="302"/>
      <c r="TW249" s="302"/>
      <c r="TX249" s="302"/>
      <c r="TY249" s="302"/>
      <c r="TZ249" s="302"/>
      <c r="UA249" s="302"/>
      <c r="UB249" s="302"/>
      <c r="UC249" s="302"/>
      <c r="UD249" s="302"/>
      <c r="UE249" s="302"/>
      <c r="UF249" s="302"/>
      <c r="UG249" s="302"/>
      <c r="UH249" s="302"/>
      <c r="UI249" s="302"/>
      <c r="UJ249" s="302"/>
      <c r="UK249" s="302"/>
      <c r="UL249" s="302"/>
      <c r="UM249" s="302"/>
      <c r="UN249" s="302"/>
      <c r="UO249" s="302"/>
      <c r="UP249" s="302"/>
      <c r="UQ249" s="302"/>
      <c r="UR249" s="302"/>
      <c r="US249" s="302"/>
      <c r="UT249" s="302"/>
      <c r="UU249" s="302"/>
      <c r="UV249" s="302"/>
      <c r="UW249" s="302"/>
      <c r="UX249" s="302"/>
      <c r="UY249" s="302"/>
      <c r="UZ249" s="302"/>
      <c r="VA249" s="302"/>
      <c r="VB249" s="302"/>
      <c r="VC249" s="302"/>
      <c r="VD249" s="302"/>
      <c r="VE249" s="302"/>
      <c r="VF249" s="302"/>
      <c r="VG249" s="302"/>
      <c r="VH249" s="302"/>
      <c r="VI249" s="302"/>
      <c r="VJ249" s="302"/>
      <c r="VK249" s="302"/>
      <c r="VL249" s="302"/>
      <c r="VM249" s="302"/>
      <c r="VN249" s="302"/>
      <c r="VO249" s="302"/>
      <c r="VP249" s="302"/>
      <c r="VQ249" s="302"/>
      <c r="VR249" s="302"/>
      <c r="VS249" s="302"/>
      <c r="VT249" s="302"/>
      <c r="VU249" s="302"/>
      <c r="VV249" s="302"/>
      <c r="VW249" s="302"/>
      <c r="VX249" s="302"/>
      <c r="VY249" s="302"/>
      <c r="VZ249" s="302"/>
      <c r="WA249" s="302"/>
      <c r="WB249" s="302"/>
      <c r="WC249" s="302"/>
      <c r="WD249" s="302"/>
      <c r="WE249" s="302"/>
      <c r="WF249" s="302"/>
      <c r="WG249" s="302"/>
      <c r="WH249" s="302"/>
      <c r="WI249" s="302"/>
      <c r="WJ249" s="302"/>
      <c r="WK249" s="302"/>
      <c r="WL249" s="302"/>
      <c r="WM249" s="302"/>
      <c r="WN249" s="302"/>
      <c r="WO249" s="302"/>
      <c r="WP249" s="302"/>
      <c r="WQ249" s="302"/>
      <c r="WR249" s="302"/>
      <c r="WS249" s="302"/>
      <c r="WT249" s="302"/>
      <c r="WU249" s="302"/>
      <c r="WV249" s="302"/>
      <c r="WW249" s="302"/>
      <c r="WX249" s="302"/>
      <c r="WY249" s="302"/>
      <c r="WZ249" s="302"/>
      <c r="XA249" s="302"/>
      <c r="XB249" s="302"/>
      <c r="XC249" s="302"/>
      <c r="XD249" s="302"/>
      <c r="XE249" s="302"/>
      <c r="XF249" s="302"/>
      <c r="XG249" s="302"/>
      <c r="XH249" s="302"/>
      <c r="XI249" s="302"/>
      <c r="XJ249" s="302"/>
      <c r="XK249" s="302"/>
      <c r="XL249" s="302"/>
      <c r="XM249" s="302"/>
      <c r="XN249" s="302"/>
      <c r="XO249" s="302"/>
      <c r="XP249" s="302"/>
      <c r="XQ249" s="302"/>
      <c r="XR249" s="302"/>
      <c r="XS249" s="302"/>
      <c r="XT249" s="302"/>
      <c r="XU249" s="302"/>
      <c r="XV249" s="302"/>
      <c r="XW249" s="302"/>
      <c r="XX249" s="302"/>
      <c r="XY249" s="302"/>
      <c r="XZ249" s="302"/>
      <c r="YA249" s="302"/>
      <c r="YB249" s="302"/>
      <c r="YC249" s="302"/>
      <c r="YD249" s="302"/>
      <c r="YE249" s="302"/>
      <c r="YF249" s="302"/>
      <c r="YG249" s="302"/>
      <c r="YH249" s="302"/>
      <c r="YI249" s="302"/>
      <c r="YJ249" s="302"/>
      <c r="YK249" s="302"/>
      <c r="YL249" s="302"/>
      <c r="YM249" s="302"/>
      <c r="YN249" s="302"/>
      <c r="YO249" s="302"/>
      <c r="YP249" s="302"/>
      <c r="YQ249" s="302"/>
      <c r="YR249" s="302"/>
      <c r="YS249" s="302"/>
      <c r="YT249" s="302"/>
      <c r="YU249" s="302"/>
      <c r="YV249" s="302"/>
      <c r="YW249" s="302"/>
      <c r="YX249" s="302"/>
      <c r="YY249" s="302"/>
      <c r="YZ249" s="302"/>
      <c r="ZA249" s="302"/>
      <c r="ZB249" s="302"/>
      <c r="ZC249" s="302"/>
      <c r="ZD249" s="302"/>
      <c r="ZE249" s="302"/>
      <c r="ZF249" s="302"/>
      <c r="ZG249" s="302"/>
      <c r="ZH249" s="302"/>
      <c r="ZI249" s="302"/>
      <c r="ZJ249" s="302"/>
      <c r="ZK249" s="302"/>
      <c r="ZL249" s="302"/>
      <c r="ZM249" s="302"/>
      <c r="ZN249" s="302"/>
      <c r="ZO249" s="302"/>
      <c r="ZP249" s="302"/>
      <c r="ZQ249" s="302"/>
      <c r="ZR249" s="302"/>
      <c r="ZS249" s="302"/>
      <c r="ZT249" s="302"/>
      <c r="ZU249" s="302"/>
      <c r="ZV249" s="302"/>
      <c r="ZW249" s="302"/>
      <c r="ZX249" s="302"/>
      <c r="ZY249" s="302"/>
      <c r="ZZ249" s="302"/>
      <c r="AAA249" s="302"/>
      <c r="AAB249" s="302"/>
      <c r="AAC249" s="302"/>
      <c r="AAD249" s="302"/>
      <c r="AAE249" s="302"/>
      <c r="AAF249" s="302"/>
      <c r="AAG249" s="302"/>
      <c r="AAH249" s="302"/>
      <c r="AAI249" s="302"/>
      <c r="AAJ249" s="302"/>
      <c r="AAK249" s="302"/>
      <c r="AAL249" s="302"/>
      <c r="AAM249" s="302"/>
      <c r="AAN249" s="302"/>
      <c r="AAO249" s="302"/>
      <c r="AAP249" s="302"/>
      <c r="AAQ249" s="302"/>
      <c r="AAR249" s="302"/>
      <c r="AAS249" s="302"/>
      <c r="AAT249" s="302"/>
      <c r="AAU249" s="302"/>
      <c r="AAV249" s="302"/>
      <c r="AAW249" s="302"/>
      <c r="AAX249" s="302"/>
      <c r="AAY249" s="302"/>
      <c r="AAZ249" s="302"/>
      <c r="ABA249" s="302"/>
      <c r="ABB249" s="302"/>
      <c r="ABC249" s="302"/>
      <c r="ABD249" s="302"/>
      <c r="ABE249" s="302"/>
      <c r="ABF249" s="302"/>
      <c r="ABG249" s="302"/>
      <c r="ABH249" s="302"/>
      <c r="ABI249" s="302"/>
      <c r="ABJ249" s="302"/>
      <c r="ABK249" s="302"/>
      <c r="ABL249" s="302"/>
      <c r="ABM249" s="302"/>
      <c r="ABN249" s="302"/>
      <c r="ABO249" s="302"/>
      <c r="ABP249" s="302"/>
      <c r="ABQ249" s="302"/>
      <c r="ABR249" s="302"/>
      <c r="ABS249" s="302"/>
      <c r="ABT249" s="302"/>
      <c r="ABU249" s="302"/>
      <c r="ABV249" s="302"/>
      <c r="ABW249" s="302"/>
      <c r="ABX249" s="302"/>
      <c r="ABY249" s="302"/>
      <c r="ABZ249" s="302"/>
      <c r="ACA249" s="302"/>
      <c r="ACB249" s="302"/>
      <c r="ACC249" s="302"/>
      <c r="ACD249" s="302"/>
      <c r="ACE249" s="302"/>
      <c r="ACF249" s="302"/>
      <c r="ACG249" s="302"/>
      <c r="ACH249" s="302"/>
      <c r="ACI249" s="302"/>
      <c r="ACJ249" s="302"/>
      <c r="ACK249" s="302"/>
      <c r="ACL249" s="302"/>
      <c r="ACM249" s="302"/>
      <c r="ACN249" s="302"/>
      <c r="ACO249" s="302"/>
      <c r="ACP249" s="302"/>
      <c r="ACQ249" s="302"/>
      <c r="ACR249" s="302"/>
      <c r="ACS249" s="302"/>
      <c r="ACT249" s="302"/>
      <c r="ACU249" s="302"/>
      <c r="ACV249" s="302"/>
      <c r="ACW249" s="302"/>
      <c r="ACX249" s="302"/>
      <c r="ACY249" s="302"/>
      <c r="ACZ249" s="302"/>
      <c r="ADA249" s="302"/>
      <c r="ADB249" s="302"/>
      <c r="ADC249" s="302"/>
      <c r="ADD249" s="302"/>
      <c r="ADE249" s="302"/>
      <c r="ADF249" s="302"/>
      <c r="ADG249" s="302"/>
      <c r="ADH249" s="302"/>
      <c r="ADI249" s="302"/>
      <c r="ADJ249" s="302"/>
      <c r="ADK249" s="302"/>
      <c r="ADL249" s="302"/>
      <c r="ADM249" s="302"/>
      <c r="ADN249" s="302"/>
      <c r="ADO249" s="302"/>
      <c r="ADP249" s="302"/>
      <c r="ADQ249" s="302"/>
      <c r="ADR249" s="302"/>
      <c r="ADS249" s="302"/>
      <c r="ADT249" s="302"/>
      <c r="ADU249" s="302"/>
      <c r="ADV249" s="302"/>
      <c r="ADW249" s="302"/>
      <c r="ADX249" s="302"/>
      <c r="ADY249" s="302"/>
      <c r="ADZ249" s="302"/>
      <c r="AEA249" s="302"/>
      <c r="AEB249" s="302"/>
      <c r="AEC249" s="302"/>
      <c r="AED249" s="302"/>
      <c r="AEE249" s="302"/>
      <c r="AEF249" s="302"/>
      <c r="AEG249" s="302"/>
      <c r="AEH249" s="302"/>
      <c r="AEI249" s="302"/>
      <c r="AEJ249" s="302"/>
      <c r="AEK249" s="302"/>
      <c r="AEL249" s="302"/>
      <c r="AEM249" s="302"/>
      <c r="AEN249" s="302"/>
      <c r="AEO249" s="302"/>
      <c r="AEP249" s="302"/>
      <c r="AEQ249" s="302"/>
      <c r="AER249" s="302"/>
      <c r="AES249" s="302"/>
      <c r="AET249" s="302"/>
      <c r="AEU249" s="302"/>
      <c r="AEV249" s="302"/>
      <c r="AEW249" s="302"/>
      <c r="AEX249" s="302"/>
      <c r="AEY249" s="302"/>
      <c r="AEZ249" s="302"/>
      <c r="AFA249" s="302"/>
      <c r="AFB249" s="302"/>
      <c r="AFC249" s="302"/>
      <c r="AFD249" s="302"/>
      <c r="AFE249" s="302"/>
      <c r="AFF249" s="302"/>
      <c r="AFG249" s="302"/>
      <c r="AFH249" s="302"/>
      <c r="AFI249" s="302"/>
      <c r="AFJ249" s="302"/>
      <c r="AFK249" s="302"/>
      <c r="AFL249" s="302"/>
      <c r="AFM249" s="302"/>
      <c r="AFN249" s="302"/>
      <c r="AFO249" s="302"/>
      <c r="AFP249" s="302"/>
      <c r="AFQ249" s="302"/>
      <c r="AFR249" s="302"/>
      <c r="AFS249" s="302"/>
      <c r="AFT249" s="302"/>
      <c r="AFU249" s="302"/>
      <c r="AFV249" s="302"/>
      <c r="AFW249" s="302"/>
      <c r="AFX249" s="302"/>
      <c r="AFY249" s="302"/>
      <c r="AFZ249" s="302"/>
      <c r="AGA249" s="302"/>
      <c r="AGB249" s="302"/>
      <c r="AGC249" s="302"/>
      <c r="AGD249" s="302"/>
      <c r="AGE249" s="302"/>
      <c r="AGF249" s="302"/>
      <c r="AGG249" s="302"/>
      <c r="AGH249" s="302"/>
      <c r="AGI249" s="302"/>
      <c r="AGJ249" s="302"/>
      <c r="AGK249" s="302"/>
      <c r="AGL249" s="302"/>
      <c r="AGM249" s="302"/>
      <c r="AGN249" s="302"/>
      <c r="AGO249" s="302"/>
      <c r="AGP249" s="302"/>
      <c r="AGQ249" s="302"/>
      <c r="AGR249" s="302"/>
      <c r="AGS249" s="302"/>
      <c r="AGT249" s="302"/>
      <c r="AGU249" s="302"/>
      <c r="AGV249" s="302"/>
      <c r="AGW249" s="302"/>
      <c r="AGX249" s="302"/>
      <c r="AGY249" s="302"/>
      <c r="AGZ249" s="302"/>
      <c r="AHA249" s="302"/>
      <c r="AHB249" s="302"/>
      <c r="AHC249" s="302"/>
      <c r="AHD249" s="302"/>
      <c r="AHE249" s="302"/>
      <c r="AHF249" s="302"/>
      <c r="AHG249" s="302"/>
      <c r="AHH249" s="302"/>
      <c r="AHI249" s="302"/>
      <c r="AHJ249" s="302"/>
      <c r="AHK249" s="302"/>
      <c r="AHL249" s="302"/>
      <c r="AHM249" s="302"/>
      <c r="AHN249" s="302"/>
      <c r="AHO249" s="302"/>
      <c r="AHP249" s="302"/>
      <c r="AHQ249" s="302"/>
      <c r="AHR249" s="302"/>
      <c r="AHS249" s="302"/>
      <c r="AHT249" s="302"/>
      <c r="AHU249" s="302"/>
      <c r="AHV249" s="302"/>
      <c r="AHW249" s="302"/>
      <c r="AHX249" s="302"/>
      <c r="AHY249" s="302"/>
      <c r="AHZ249" s="302"/>
      <c r="AIA249" s="302"/>
      <c r="AIB249" s="302"/>
      <c r="AIC249" s="302"/>
      <c r="AID249" s="302"/>
      <c r="AIE249" s="302"/>
      <c r="AIF249" s="302"/>
      <c r="AIG249" s="302"/>
      <c r="AIH249" s="302"/>
      <c r="AII249" s="302"/>
      <c r="AIJ249" s="302"/>
      <c r="AIK249" s="302"/>
      <c r="AIL249" s="302"/>
      <c r="AIM249" s="302"/>
      <c r="AIN249" s="302"/>
      <c r="AIO249" s="302"/>
      <c r="AIP249" s="302"/>
      <c r="AIQ249" s="302"/>
      <c r="AIR249" s="302"/>
      <c r="AIS249" s="302"/>
      <c r="AIT249" s="302"/>
      <c r="AIU249" s="302"/>
      <c r="AIV249" s="302"/>
      <c r="AIW249" s="302"/>
      <c r="AIX249" s="302"/>
      <c r="AIY249" s="302"/>
      <c r="AIZ249" s="302"/>
      <c r="AJA249" s="302"/>
      <c r="AJB249" s="302"/>
      <c r="AJC249" s="302"/>
      <c r="AJD249" s="302"/>
      <c r="AJE249" s="302"/>
      <c r="AJF249" s="302"/>
      <c r="AJG249" s="302"/>
      <c r="AJH249" s="302"/>
      <c r="AJI249" s="302"/>
      <c r="AJJ249" s="302"/>
      <c r="AJK249" s="302"/>
      <c r="AJL249" s="302"/>
      <c r="AJM249" s="302"/>
      <c r="AJN249" s="302"/>
      <c r="AJO249" s="302"/>
      <c r="AJP249" s="302"/>
      <c r="AJQ249" s="302"/>
      <c r="AJR249" s="302"/>
      <c r="AJS249" s="302"/>
      <c r="AJT249" s="302"/>
      <c r="AJU249" s="302"/>
      <c r="AJV249" s="302"/>
      <c r="AJW249" s="302"/>
      <c r="AJX249" s="302"/>
      <c r="AJY249" s="302"/>
      <c r="AJZ249" s="302"/>
      <c r="AKA249" s="302"/>
      <c r="AKB249" s="302"/>
      <c r="AKC249" s="302"/>
      <c r="AKD249" s="302"/>
      <c r="AKE249" s="302"/>
      <c r="AKF249" s="302"/>
      <c r="AKG249" s="302"/>
      <c r="AKH249" s="302"/>
      <c r="AKI249" s="302"/>
      <c r="AKJ249" s="302"/>
      <c r="AKK249" s="302"/>
      <c r="AKL249" s="302"/>
      <c r="AKM249" s="302"/>
      <c r="AKN249" s="302"/>
      <c r="AKO249" s="302"/>
      <c r="AKP249" s="302"/>
      <c r="AKQ249" s="302"/>
      <c r="AKR249" s="302"/>
      <c r="AKS249" s="302"/>
      <c r="AKT249" s="302"/>
      <c r="AKU249" s="302"/>
      <c r="AKV249" s="302"/>
      <c r="AKW249" s="302"/>
      <c r="AKX249" s="302"/>
      <c r="AKY249" s="302"/>
      <c r="AKZ249" s="302"/>
      <c r="ALA249" s="302"/>
      <c r="ALB249" s="302"/>
      <c r="ALC249" s="302"/>
      <c r="ALD249" s="302"/>
      <c r="ALE249" s="302"/>
      <c r="ALF249" s="302"/>
      <c r="ALG249" s="302"/>
      <c r="ALH249" s="302"/>
      <c r="ALI249" s="302"/>
      <c r="ALJ249" s="302"/>
      <c r="ALK249" s="302"/>
      <c r="ALL249" s="302"/>
      <c r="ALM249" s="302"/>
      <c r="ALN249" s="302"/>
      <c r="ALO249" s="302"/>
      <c r="ALP249" s="302"/>
      <c r="ALQ249" s="302"/>
      <c r="ALR249" s="302"/>
      <c r="ALS249" s="302"/>
      <c r="ALT249" s="302"/>
      <c r="ALU249" s="302"/>
      <c r="ALV249" s="302"/>
      <c r="ALW249" s="302"/>
      <c r="ALX249" s="302"/>
      <c r="ALY249" s="302"/>
      <c r="ALZ249" s="302"/>
      <c r="AMA249" s="302"/>
      <c r="AMB249" s="302"/>
      <c r="AMC249" s="302"/>
      <c r="AMD249" s="302"/>
      <c r="AME249" s="302"/>
      <c r="AMF249" s="302"/>
      <c r="AMG249" s="302"/>
      <c r="AMH249" s="302"/>
      <c r="AMI249" s="302"/>
    </row>
    <row r="250" spans="1:1023" hidden="1">
      <c r="A250" s="302"/>
      <c r="B250" s="449">
        <v>13885</v>
      </c>
      <c r="C250" s="430">
        <v>0.08</v>
      </c>
      <c r="D250" s="370" t="s">
        <v>126</v>
      </c>
      <c r="E250" s="585">
        <v>2600000</v>
      </c>
      <c r="F250" s="500">
        <v>0.01</v>
      </c>
      <c r="G250" s="369">
        <f t="shared" si="13"/>
        <v>26000</v>
      </c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2"/>
      <c r="AE250" s="302"/>
      <c r="AF250" s="302"/>
      <c r="AG250" s="302"/>
      <c r="AH250" s="302"/>
      <c r="AI250" s="302"/>
      <c r="AJ250" s="302"/>
      <c r="AK250" s="302"/>
      <c r="AL250" s="302"/>
      <c r="AM250" s="302"/>
      <c r="AN250" s="302"/>
      <c r="AO250" s="302"/>
      <c r="AP250" s="302"/>
      <c r="AQ250" s="302"/>
      <c r="AR250" s="302"/>
      <c r="AS250" s="302"/>
      <c r="AT250" s="302"/>
      <c r="AU250" s="302"/>
      <c r="AV250" s="302"/>
      <c r="AW250" s="302"/>
      <c r="AX250" s="302"/>
      <c r="AY250" s="302"/>
      <c r="AZ250" s="302"/>
      <c r="BA250" s="302"/>
      <c r="BB250" s="302"/>
      <c r="BC250" s="302"/>
      <c r="BD250" s="302"/>
      <c r="BE250" s="302"/>
      <c r="BF250" s="302"/>
      <c r="BG250" s="302"/>
      <c r="BH250" s="302"/>
      <c r="BI250" s="302"/>
      <c r="BJ250" s="302"/>
      <c r="BK250" s="302"/>
      <c r="BL250" s="302"/>
      <c r="BM250" s="302"/>
      <c r="BN250" s="302"/>
      <c r="BO250" s="302"/>
      <c r="BP250" s="302"/>
      <c r="BQ250" s="302"/>
      <c r="BR250" s="302"/>
      <c r="BS250" s="302"/>
      <c r="BT250" s="302"/>
      <c r="BU250" s="302"/>
      <c r="BV250" s="302"/>
      <c r="BW250" s="302"/>
      <c r="BX250" s="302"/>
      <c r="BY250" s="302"/>
      <c r="BZ250" s="302"/>
      <c r="CA250" s="302"/>
      <c r="CB250" s="302"/>
      <c r="CC250" s="302"/>
      <c r="CD250" s="302"/>
      <c r="CE250" s="302"/>
      <c r="CF250" s="302"/>
      <c r="CG250" s="302"/>
      <c r="CH250" s="302"/>
      <c r="CI250" s="302"/>
      <c r="CJ250" s="302"/>
      <c r="CK250" s="302"/>
      <c r="CL250" s="302"/>
      <c r="CM250" s="302"/>
      <c r="CN250" s="302"/>
      <c r="CO250" s="302"/>
      <c r="CP250" s="302"/>
      <c r="CQ250" s="302"/>
      <c r="CR250" s="302"/>
      <c r="CS250" s="302"/>
      <c r="CT250" s="302"/>
      <c r="CU250" s="302"/>
      <c r="CV250" s="302"/>
      <c r="CW250" s="302"/>
      <c r="CX250" s="302"/>
      <c r="CY250" s="302"/>
      <c r="CZ250" s="302"/>
      <c r="DA250" s="302"/>
      <c r="DB250" s="302"/>
      <c r="DC250" s="302"/>
      <c r="DD250" s="302"/>
      <c r="DE250" s="302"/>
      <c r="DF250" s="302"/>
      <c r="DG250" s="302"/>
      <c r="DH250" s="302"/>
      <c r="DI250" s="302"/>
      <c r="DJ250" s="302"/>
      <c r="DK250" s="302"/>
      <c r="DL250" s="302"/>
      <c r="DM250" s="302"/>
      <c r="DN250" s="302"/>
      <c r="DO250" s="302"/>
      <c r="DP250" s="302"/>
      <c r="DQ250" s="302"/>
      <c r="DR250" s="302"/>
      <c r="DS250" s="302"/>
      <c r="DT250" s="302"/>
      <c r="DU250" s="302"/>
      <c r="DV250" s="302"/>
      <c r="DW250" s="302"/>
      <c r="DX250" s="302"/>
      <c r="DY250" s="302"/>
      <c r="DZ250" s="302"/>
      <c r="EA250" s="302"/>
      <c r="EB250" s="302"/>
      <c r="EC250" s="302"/>
      <c r="ED250" s="302"/>
      <c r="EE250" s="302"/>
      <c r="EF250" s="302"/>
      <c r="EG250" s="302"/>
      <c r="EH250" s="302"/>
      <c r="EI250" s="302"/>
      <c r="EJ250" s="302"/>
      <c r="EK250" s="302"/>
      <c r="EL250" s="302"/>
      <c r="EM250" s="302"/>
      <c r="EN250" s="302"/>
      <c r="EO250" s="302"/>
      <c r="EP250" s="302"/>
      <c r="EQ250" s="302"/>
      <c r="ER250" s="302"/>
      <c r="ES250" s="302"/>
      <c r="ET250" s="302"/>
      <c r="EU250" s="302"/>
      <c r="EV250" s="302"/>
      <c r="EW250" s="302"/>
      <c r="EX250" s="302"/>
      <c r="EY250" s="302"/>
      <c r="EZ250" s="302"/>
      <c r="FA250" s="302"/>
      <c r="FB250" s="302"/>
      <c r="FC250" s="302"/>
      <c r="FD250" s="302"/>
      <c r="FE250" s="302"/>
      <c r="FF250" s="302"/>
      <c r="FG250" s="302"/>
      <c r="FH250" s="302"/>
      <c r="FI250" s="302"/>
      <c r="FJ250" s="302"/>
      <c r="FK250" s="302"/>
      <c r="FL250" s="302"/>
      <c r="FM250" s="302"/>
      <c r="FN250" s="302"/>
      <c r="FO250" s="302"/>
      <c r="FP250" s="302"/>
      <c r="FQ250" s="302"/>
      <c r="FR250" s="302"/>
      <c r="FS250" s="302"/>
      <c r="FT250" s="302"/>
      <c r="FU250" s="302"/>
      <c r="FV250" s="302"/>
      <c r="FW250" s="302"/>
      <c r="FX250" s="302"/>
      <c r="FY250" s="302"/>
      <c r="FZ250" s="302"/>
      <c r="GA250" s="302"/>
      <c r="GB250" s="302"/>
      <c r="GC250" s="302"/>
      <c r="GD250" s="302"/>
      <c r="GE250" s="302"/>
      <c r="GF250" s="302"/>
      <c r="GG250" s="302"/>
      <c r="GH250" s="302"/>
      <c r="GI250" s="302"/>
      <c r="GJ250" s="302"/>
      <c r="GK250" s="302"/>
      <c r="GL250" s="302"/>
      <c r="GM250" s="302"/>
      <c r="GN250" s="302"/>
      <c r="GO250" s="302"/>
      <c r="GP250" s="302"/>
      <c r="GQ250" s="302"/>
      <c r="GR250" s="302"/>
      <c r="GS250" s="302"/>
      <c r="GT250" s="302"/>
      <c r="GU250" s="302"/>
      <c r="GV250" s="302"/>
      <c r="GW250" s="302"/>
      <c r="GX250" s="302"/>
      <c r="GY250" s="302"/>
      <c r="GZ250" s="302"/>
      <c r="HA250" s="302"/>
      <c r="HB250" s="302"/>
      <c r="HC250" s="302"/>
      <c r="HD250" s="302"/>
      <c r="HE250" s="302"/>
      <c r="HF250" s="302"/>
      <c r="HG250" s="302"/>
      <c r="HH250" s="302"/>
      <c r="HI250" s="302"/>
      <c r="HJ250" s="302"/>
      <c r="HK250" s="302"/>
      <c r="HL250" s="302"/>
      <c r="HM250" s="302"/>
      <c r="HN250" s="302"/>
      <c r="HO250" s="302"/>
      <c r="HP250" s="302"/>
      <c r="HQ250" s="302"/>
      <c r="HR250" s="302"/>
      <c r="HS250" s="302"/>
      <c r="HT250" s="302"/>
      <c r="HU250" s="302"/>
      <c r="HV250" s="302"/>
      <c r="HW250" s="302"/>
      <c r="HX250" s="302"/>
      <c r="HY250" s="302"/>
      <c r="HZ250" s="302"/>
      <c r="IA250" s="302"/>
      <c r="IB250" s="302"/>
      <c r="IC250" s="302"/>
      <c r="ID250" s="302"/>
      <c r="IE250" s="302"/>
      <c r="IF250" s="302"/>
      <c r="IG250" s="302"/>
      <c r="IH250" s="302"/>
      <c r="II250" s="302"/>
      <c r="IJ250" s="302"/>
      <c r="IK250" s="302"/>
      <c r="IL250" s="302"/>
      <c r="IM250" s="302"/>
      <c r="IN250" s="302"/>
      <c r="IO250" s="302"/>
      <c r="IP250" s="302"/>
      <c r="IQ250" s="302"/>
      <c r="IR250" s="302"/>
      <c r="IS250" s="302"/>
      <c r="IT250" s="302"/>
      <c r="IU250" s="302"/>
      <c r="IV250" s="302"/>
      <c r="IW250" s="302"/>
      <c r="IX250" s="302"/>
      <c r="IY250" s="302"/>
      <c r="IZ250" s="302"/>
      <c r="JA250" s="302"/>
      <c r="JB250" s="302"/>
      <c r="JC250" s="302"/>
      <c r="JD250" s="302"/>
      <c r="JE250" s="302"/>
      <c r="JF250" s="302"/>
      <c r="JG250" s="302"/>
      <c r="JH250" s="302"/>
      <c r="JI250" s="302"/>
      <c r="JJ250" s="302"/>
      <c r="JK250" s="302"/>
      <c r="JL250" s="302"/>
      <c r="JM250" s="302"/>
      <c r="JN250" s="302"/>
      <c r="JO250" s="302"/>
      <c r="JP250" s="302"/>
      <c r="JQ250" s="302"/>
      <c r="JR250" s="302"/>
      <c r="JS250" s="302"/>
      <c r="JT250" s="302"/>
      <c r="JU250" s="302"/>
      <c r="JV250" s="302"/>
      <c r="JW250" s="302"/>
      <c r="JX250" s="302"/>
      <c r="JY250" s="302"/>
      <c r="JZ250" s="302"/>
      <c r="KA250" s="302"/>
      <c r="KB250" s="302"/>
      <c r="KC250" s="302"/>
      <c r="KD250" s="302"/>
      <c r="KE250" s="302"/>
      <c r="KF250" s="302"/>
      <c r="KG250" s="302"/>
      <c r="KH250" s="302"/>
      <c r="KI250" s="302"/>
      <c r="KJ250" s="302"/>
      <c r="KK250" s="302"/>
      <c r="KL250" s="302"/>
      <c r="KM250" s="302"/>
      <c r="KN250" s="302"/>
      <c r="KO250" s="302"/>
      <c r="KP250" s="302"/>
      <c r="KQ250" s="302"/>
      <c r="KR250" s="302"/>
      <c r="KS250" s="302"/>
      <c r="KT250" s="302"/>
      <c r="KU250" s="302"/>
      <c r="KV250" s="302"/>
      <c r="KW250" s="302"/>
      <c r="KX250" s="302"/>
      <c r="KY250" s="302"/>
      <c r="KZ250" s="302"/>
      <c r="LA250" s="302"/>
      <c r="LB250" s="302"/>
      <c r="LC250" s="302"/>
      <c r="LD250" s="302"/>
      <c r="LE250" s="302"/>
      <c r="LF250" s="302"/>
      <c r="LG250" s="302"/>
      <c r="LH250" s="302"/>
      <c r="LI250" s="302"/>
      <c r="LJ250" s="302"/>
      <c r="LK250" s="302"/>
      <c r="LL250" s="302"/>
      <c r="LM250" s="302"/>
      <c r="LN250" s="302"/>
      <c r="LO250" s="302"/>
      <c r="LP250" s="302"/>
      <c r="LQ250" s="302"/>
      <c r="LR250" s="302"/>
      <c r="LS250" s="302"/>
      <c r="LT250" s="302"/>
      <c r="LU250" s="302"/>
      <c r="LV250" s="302"/>
      <c r="LW250" s="302"/>
      <c r="LX250" s="302"/>
      <c r="LY250" s="302"/>
      <c r="LZ250" s="302"/>
      <c r="MA250" s="302"/>
      <c r="MB250" s="302"/>
      <c r="MC250" s="302"/>
      <c r="MD250" s="302"/>
      <c r="ME250" s="302"/>
      <c r="MF250" s="302"/>
      <c r="MG250" s="302"/>
      <c r="MH250" s="302"/>
      <c r="MI250" s="302"/>
      <c r="MJ250" s="302"/>
      <c r="MK250" s="302"/>
      <c r="ML250" s="302"/>
      <c r="MM250" s="302"/>
      <c r="MN250" s="302"/>
      <c r="MO250" s="302"/>
      <c r="MP250" s="302"/>
      <c r="MQ250" s="302"/>
      <c r="MR250" s="302"/>
      <c r="MS250" s="302"/>
      <c r="MT250" s="302"/>
      <c r="MU250" s="302"/>
      <c r="MV250" s="302"/>
      <c r="MW250" s="302"/>
      <c r="MX250" s="302"/>
      <c r="MY250" s="302"/>
      <c r="MZ250" s="302"/>
      <c r="NA250" s="302"/>
      <c r="NB250" s="302"/>
      <c r="NC250" s="302"/>
      <c r="ND250" s="302"/>
      <c r="NE250" s="302"/>
      <c r="NF250" s="302"/>
      <c r="NG250" s="302"/>
      <c r="NH250" s="302"/>
      <c r="NI250" s="302"/>
      <c r="NJ250" s="302"/>
      <c r="NK250" s="302"/>
      <c r="NL250" s="302"/>
      <c r="NM250" s="302"/>
      <c r="NN250" s="302"/>
      <c r="NO250" s="302"/>
      <c r="NP250" s="302"/>
      <c r="NQ250" s="302"/>
      <c r="NR250" s="302"/>
      <c r="NS250" s="302"/>
      <c r="NT250" s="302"/>
      <c r="NU250" s="302"/>
      <c r="NV250" s="302"/>
      <c r="NW250" s="302"/>
      <c r="NX250" s="302"/>
      <c r="NY250" s="302"/>
      <c r="NZ250" s="302"/>
      <c r="OA250" s="302"/>
      <c r="OB250" s="302"/>
      <c r="OC250" s="302"/>
      <c r="OD250" s="302"/>
      <c r="OE250" s="302"/>
      <c r="OF250" s="302"/>
      <c r="OG250" s="302"/>
      <c r="OH250" s="302"/>
      <c r="OI250" s="302"/>
      <c r="OJ250" s="302"/>
      <c r="OK250" s="302"/>
      <c r="OL250" s="302"/>
      <c r="OM250" s="302"/>
      <c r="ON250" s="302"/>
      <c r="OO250" s="302"/>
      <c r="OP250" s="302"/>
      <c r="OQ250" s="302"/>
      <c r="OR250" s="302"/>
      <c r="OS250" s="302"/>
      <c r="OT250" s="302"/>
      <c r="OU250" s="302"/>
      <c r="OV250" s="302"/>
      <c r="OW250" s="302"/>
      <c r="OX250" s="302"/>
      <c r="OY250" s="302"/>
      <c r="OZ250" s="302"/>
      <c r="PA250" s="302"/>
      <c r="PB250" s="302"/>
      <c r="PC250" s="302"/>
      <c r="PD250" s="302"/>
      <c r="PE250" s="302"/>
      <c r="PF250" s="302"/>
      <c r="PG250" s="302"/>
      <c r="PH250" s="302"/>
      <c r="PI250" s="302"/>
      <c r="PJ250" s="302"/>
      <c r="PK250" s="302"/>
      <c r="PL250" s="302"/>
      <c r="PM250" s="302"/>
      <c r="PN250" s="302"/>
      <c r="PO250" s="302"/>
      <c r="PP250" s="302"/>
      <c r="PQ250" s="302"/>
      <c r="PR250" s="302"/>
      <c r="PS250" s="302"/>
      <c r="PT250" s="302"/>
      <c r="PU250" s="302"/>
      <c r="PV250" s="302"/>
      <c r="PW250" s="302"/>
      <c r="PX250" s="302"/>
      <c r="PY250" s="302"/>
      <c r="PZ250" s="302"/>
      <c r="QA250" s="302"/>
      <c r="QB250" s="302"/>
      <c r="QC250" s="302"/>
      <c r="QD250" s="302"/>
      <c r="QE250" s="302"/>
      <c r="QF250" s="302"/>
      <c r="QG250" s="302"/>
      <c r="QH250" s="302"/>
      <c r="QI250" s="302"/>
      <c r="QJ250" s="302"/>
      <c r="QK250" s="302"/>
      <c r="QL250" s="302"/>
      <c r="QM250" s="302"/>
      <c r="QN250" s="302"/>
      <c r="QO250" s="302"/>
      <c r="QP250" s="302"/>
      <c r="QQ250" s="302"/>
      <c r="QR250" s="302"/>
      <c r="QS250" s="302"/>
      <c r="QT250" s="302"/>
      <c r="QU250" s="302"/>
      <c r="QV250" s="302"/>
      <c r="QW250" s="302"/>
      <c r="QX250" s="302"/>
      <c r="QY250" s="302"/>
      <c r="QZ250" s="302"/>
      <c r="RA250" s="302"/>
      <c r="RB250" s="302"/>
      <c r="RC250" s="302"/>
      <c r="RD250" s="302"/>
      <c r="RE250" s="302"/>
      <c r="RF250" s="302"/>
      <c r="RG250" s="302"/>
      <c r="RH250" s="302"/>
      <c r="RI250" s="302"/>
      <c r="RJ250" s="302"/>
      <c r="RK250" s="302"/>
      <c r="RL250" s="302"/>
      <c r="RM250" s="302"/>
      <c r="RN250" s="302"/>
      <c r="RO250" s="302"/>
      <c r="RP250" s="302"/>
      <c r="RQ250" s="302"/>
      <c r="RR250" s="302"/>
      <c r="RS250" s="302"/>
      <c r="RT250" s="302"/>
      <c r="RU250" s="302"/>
      <c r="RV250" s="302"/>
      <c r="RW250" s="302"/>
      <c r="RX250" s="302"/>
      <c r="RY250" s="302"/>
      <c r="RZ250" s="302"/>
      <c r="SA250" s="302"/>
      <c r="SB250" s="302"/>
      <c r="SC250" s="302"/>
      <c r="SD250" s="302"/>
      <c r="SE250" s="302"/>
      <c r="SF250" s="302"/>
      <c r="SG250" s="302"/>
      <c r="SH250" s="302"/>
      <c r="SI250" s="302"/>
      <c r="SJ250" s="302"/>
      <c r="SK250" s="302"/>
      <c r="SL250" s="302"/>
      <c r="SM250" s="302"/>
      <c r="SN250" s="302"/>
      <c r="SO250" s="302"/>
      <c r="SP250" s="302"/>
      <c r="SQ250" s="302"/>
      <c r="SR250" s="302"/>
      <c r="SS250" s="302"/>
      <c r="ST250" s="302"/>
      <c r="SU250" s="302"/>
      <c r="SV250" s="302"/>
      <c r="SW250" s="302"/>
      <c r="SX250" s="302"/>
      <c r="SY250" s="302"/>
      <c r="SZ250" s="302"/>
      <c r="TA250" s="302"/>
      <c r="TB250" s="302"/>
      <c r="TC250" s="302"/>
      <c r="TD250" s="302"/>
      <c r="TE250" s="302"/>
      <c r="TF250" s="302"/>
      <c r="TG250" s="302"/>
      <c r="TH250" s="302"/>
      <c r="TI250" s="302"/>
      <c r="TJ250" s="302"/>
      <c r="TK250" s="302"/>
      <c r="TL250" s="302"/>
      <c r="TM250" s="302"/>
      <c r="TN250" s="302"/>
      <c r="TO250" s="302"/>
      <c r="TP250" s="302"/>
      <c r="TQ250" s="302"/>
      <c r="TR250" s="302"/>
      <c r="TS250" s="302"/>
      <c r="TT250" s="302"/>
      <c r="TU250" s="302"/>
      <c r="TV250" s="302"/>
      <c r="TW250" s="302"/>
      <c r="TX250" s="302"/>
      <c r="TY250" s="302"/>
      <c r="TZ250" s="302"/>
      <c r="UA250" s="302"/>
      <c r="UB250" s="302"/>
      <c r="UC250" s="302"/>
      <c r="UD250" s="302"/>
      <c r="UE250" s="302"/>
      <c r="UF250" s="302"/>
      <c r="UG250" s="302"/>
      <c r="UH250" s="302"/>
      <c r="UI250" s="302"/>
      <c r="UJ250" s="302"/>
      <c r="UK250" s="302"/>
      <c r="UL250" s="302"/>
      <c r="UM250" s="302"/>
      <c r="UN250" s="302"/>
      <c r="UO250" s="302"/>
      <c r="UP250" s="302"/>
      <c r="UQ250" s="302"/>
      <c r="UR250" s="302"/>
      <c r="US250" s="302"/>
      <c r="UT250" s="302"/>
      <c r="UU250" s="302"/>
      <c r="UV250" s="302"/>
      <c r="UW250" s="302"/>
      <c r="UX250" s="302"/>
      <c r="UY250" s="302"/>
      <c r="UZ250" s="302"/>
      <c r="VA250" s="302"/>
      <c r="VB250" s="302"/>
      <c r="VC250" s="302"/>
      <c r="VD250" s="302"/>
      <c r="VE250" s="302"/>
      <c r="VF250" s="302"/>
      <c r="VG250" s="302"/>
      <c r="VH250" s="302"/>
      <c r="VI250" s="302"/>
      <c r="VJ250" s="302"/>
      <c r="VK250" s="302"/>
      <c r="VL250" s="302"/>
      <c r="VM250" s="302"/>
      <c r="VN250" s="302"/>
      <c r="VO250" s="302"/>
      <c r="VP250" s="302"/>
      <c r="VQ250" s="302"/>
      <c r="VR250" s="302"/>
      <c r="VS250" s="302"/>
      <c r="VT250" s="302"/>
      <c r="VU250" s="302"/>
      <c r="VV250" s="302"/>
      <c r="VW250" s="302"/>
      <c r="VX250" s="302"/>
      <c r="VY250" s="302"/>
      <c r="VZ250" s="302"/>
      <c r="WA250" s="302"/>
      <c r="WB250" s="302"/>
      <c r="WC250" s="302"/>
      <c r="WD250" s="302"/>
      <c r="WE250" s="302"/>
      <c r="WF250" s="302"/>
      <c r="WG250" s="302"/>
      <c r="WH250" s="302"/>
      <c r="WI250" s="302"/>
      <c r="WJ250" s="302"/>
      <c r="WK250" s="302"/>
      <c r="WL250" s="302"/>
      <c r="WM250" s="302"/>
      <c r="WN250" s="302"/>
      <c r="WO250" s="302"/>
      <c r="WP250" s="302"/>
      <c r="WQ250" s="302"/>
      <c r="WR250" s="302"/>
      <c r="WS250" s="302"/>
      <c r="WT250" s="302"/>
      <c r="WU250" s="302"/>
      <c r="WV250" s="302"/>
      <c r="WW250" s="302"/>
      <c r="WX250" s="302"/>
      <c r="WY250" s="302"/>
      <c r="WZ250" s="302"/>
      <c r="XA250" s="302"/>
      <c r="XB250" s="302"/>
      <c r="XC250" s="302"/>
      <c r="XD250" s="302"/>
      <c r="XE250" s="302"/>
      <c r="XF250" s="302"/>
      <c r="XG250" s="302"/>
      <c r="XH250" s="302"/>
      <c r="XI250" s="302"/>
      <c r="XJ250" s="302"/>
      <c r="XK250" s="302"/>
      <c r="XL250" s="302"/>
      <c r="XM250" s="302"/>
      <c r="XN250" s="302"/>
      <c r="XO250" s="302"/>
      <c r="XP250" s="302"/>
      <c r="XQ250" s="302"/>
      <c r="XR250" s="302"/>
      <c r="XS250" s="302"/>
      <c r="XT250" s="302"/>
      <c r="XU250" s="302"/>
      <c r="XV250" s="302"/>
      <c r="XW250" s="302"/>
      <c r="XX250" s="302"/>
      <c r="XY250" s="302"/>
      <c r="XZ250" s="302"/>
      <c r="YA250" s="302"/>
      <c r="YB250" s="302"/>
      <c r="YC250" s="302"/>
      <c r="YD250" s="302"/>
      <c r="YE250" s="302"/>
      <c r="YF250" s="302"/>
      <c r="YG250" s="302"/>
      <c r="YH250" s="302"/>
      <c r="YI250" s="302"/>
      <c r="YJ250" s="302"/>
      <c r="YK250" s="302"/>
      <c r="YL250" s="302"/>
      <c r="YM250" s="302"/>
      <c r="YN250" s="302"/>
      <c r="YO250" s="302"/>
      <c r="YP250" s="302"/>
      <c r="YQ250" s="302"/>
      <c r="YR250" s="302"/>
      <c r="YS250" s="302"/>
      <c r="YT250" s="302"/>
      <c r="YU250" s="302"/>
      <c r="YV250" s="302"/>
      <c r="YW250" s="302"/>
      <c r="YX250" s="302"/>
      <c r="YY250" s="302"/>
      <c r="YZ250" s="302"/>
      <c r="ZA250" s="302"/>
      <c r="ZB250" s="302"/>
      <c r="ZC250" s="302"/>
      <c r="ZD250" s="302"/>
      <c r="ZE250" s="302"/>
      <c r="ZF250" s="302"/>
      <c r="ZG250" s="302"/>
      <c r="ZH250" s="302"/>
      <c r="ZI250" s="302"/>
      <c r="ZJ250" s="302"/>
      <c r="ZK250" s="302"/>
      <c r="ZL250" s="302"/>
      <c r="ZM250" s="302"/>
      <c r="ZN250" s="302"/>
      <c r="ZO250" s="302"/>
      <c r="ZP250" s="302"/>
      <c r="ZQ250" s="302"/>
      <c r="ZR250" s="302"/>
      <c r="ZS250" s="302"/>
      <c r="ZT250" s="302"/>
      <c r="ZU250" s="302"/>
      <c r="ZV250" s="302"/>
      <c r="ZW250" s="302"/>
      <c r="ZX250" s="302"/>
      <c r="ZY250" s="302"/>
      <c r="ZZ250" s="302"/>
      <c r="AAA250" s="302"/>
      <c r="AAB250" s="302"/>
      <c r="AAC250" s="302"/>
      <c r="AAD250" s="302"/>
      <c r="AAE250" s="302"/>
      <c r="AAF250" s="302"/>
      <c r="AAG250" s="302"/>
      <c r="AAH250" s="302"/>
      <c r="AAI250" s="302"/>
      <c r="AAJ250" s="302"/>
      <c r="AAK250" s="302"/>
      <c r="AAL250" s="302"/>
      <c r="AAM250" s="302"/>
      <c r="AAN250" s="302"/>
      <c r="AAO250" s="302"/>
      <c r="AAP250" s="302"/>
      <c r="AAQ250" s="302"/>
      <c r="AAR250" s="302"/>
      <c r="AAS250" s="302"/>
      <c r="AAT250" s="302"/>
      <c r="AAU250" s="302"/>
      <c r="AAV250" s="302"/>
      <c r="AAW250" s="302"/>
      <c r="AAX250" s="302"/>
      <c r="AAY250" s="302"/>
      <c r="AAZ250" s="302"/>
      <c r="ABA250" s="302"/>
      <c r="ABB250" s="302"/>
      <c r="ABC250" s="302"/>
      <c r="ABD250" s="302"/>
      <c r="ABE250" s="302"/>
      <c r="ABF250" s="302"/>
      <c r="ABG250" s="302"/>
      <c r="ABH250" s="302"/>
      <c r="ABI250" s="302"/>
      <c r="ABJ250" s="302"/>
      <c r="ABK250" s="302"/>
      <c r="ABL250" s="302"/>
      <c r="ABM250" s="302"/>
      <c r="ABN250" s="302"/>
      <c r="ABO250" s="302"/>
      <c r="ABP250" s="302"/>
      <c r="ABQ250" s="302"/>
      <c r="ABR250" s="302"/>
      <c r="ABS250" s="302"/>
      <c r="ABT250" s="302"/>
      <c r="ABU250" s="302"/>
      <c r="ABV250" s="302"/>
      <c r="ABW250" s="302"/>
      <c r="ABX250" s="302"/>
      <c r="ABY250" s="302"/>
      <c r="ABZ250" s="302"/>
      <c r="ACA250" s="302"/>
      <c r="ACB250" s="302"/>
      <c r="ACC250" s="302"/>
      <c r="ACD250" s="302"/>
      <c r="ACE250" s="302"/>
      <c r="ACF250" s="302"/>
      <c r="ACG250" s="302"/>
      <c r="ACH250" s="302"/>
      <c r="ACI250" s="302"/>
      <c r="ACJ250" s="302"/>
      <c r="ACK250" s="302"/>
      <c r="ACL250" s="302"/>
      <c r="ACM250" s="302"/>
      <c r="ACN250" s="302"/>
      <c r="ACO250" s="302"/>
      <c r="ACP250" s="302"/>
      <c r="ACQ250" s="302"/>
      <c r="ACR250" s="302"/>
      <c r="ACS250" s="302"/>
      <c r="ACT250" s="302"/>
      <c r="ACU250" s="302"/>
      <c r="ACV250" s="302"/>
      <c r="ACW250" s="302"/>
      <c r="ACX250" s="302"/>
      <c r="ACY250" s="302"/>
      <c r="ACZ250" s="302"/>
      <c r="ADA250" s="302"/>
      <c r="ADB250" s="302"/>
      <c r="ADC250" s="302"/>
      <c r="ADD250" s="302"/>
      <c r="ADE250" s="302"/>
      <c r="ADF250" s="302"/>
      <c r="ADG250" s="302"/>
      <c r="ADH250" s="302"/>
      <c r="ADI250" s="302"/>
      <c r="ADJ250" s="302"/>
      <c r="ADK250" s="302"/>
      <c r="ADL250" s="302"/>
      <c r="ADM250" s="302"/>
      <c r="ADN250" s="302"/>
      <c r="ADO250" s="302"/>
      <c r="ADP250" s="302"/>
      <c r="ADQ250" s="302"/>
      <c r="ADR250" s="302"/>
      <c r="ADS250" s="302"/>
      <c r="ADT250" s="302"/>
      <c r="ADU250" s="302"/>
      <c r="ADV250" s="302"/>
      <c r="ADW250" s="302"/>
      <c r="ADX250" s="302"/>
      <c r="ADY250" s="302"/>
      <c r="ADZ250" s="302"/>
      <c r="AEA250" s="302"/>
      <c r="AEB250" s="302"/>
      <c r="AEC250" s="302"/>
      <c r="AED250" s="302"/>
      <c r="AEE250" s="302"/>
      <c r="AEF250" s="302"/>
      <c r="AEG250" s="302"/>
      <c r="AEH250" s="302"/>
      <c r="AEI250" s="302"/>
      <c r="AEJ250" s="302"/>
      <c r="AEK250" s="302"/>
      <c r="AEL250" s="302"/>
      <c r="AEM250" s="302"/>
      <c r="AEN250" s="302"/>
      <c r="AEO250" s="302"/>
      <c r="AEP250" s="302"/>
      <c r="AEQ250" s="302"/>
      <c r="AER250" s="302"/>
      <c r="AES250" s="302"/>
      <c r="AET250" s="302"/>
      <c r="AEU250" s="302"/>
      <c r="AEV250" s="302"/>
      <c r="AEW250" s="302"/>
      <c r="AEX250" s="302"/>
      <c r="AEY250" s="302"/>
      <c r="AEZ250" s="302"/>
      <c r="AFA250" s="302"/>
      <c r="AFB250" s="302"/>
      <c r="AFC250" s="302"/>
      <c r="AFD250" s="302"/>
      <c r="AFE250" s="302"/>
      <c r="AFF250" s="302"/>
      <c r="AFG250" s="302"/>
      <c r="AFH250" s="302"/>
      <c r="AFI250" s="302"/>
      <c r="AFJ250" s="302"/>
      <c r="AFK250" s="302"/>
      <c r="AFL250" s="302"/>
      <c r="AFM250" s="302"/>
      <c r="AFN250" s="302"/>
      <c r="AFO250" s="302"/>
      <c r="AFP250" s="302"/>
      <c r="AFQ250" s="302"/>
      <c r="AFR250" s="302"/>
      <c r="AFS250" s="302"/>
      <c r="AFT250" s="302"/>
      <c r="AFU250" s="302"/>
      <c r="AFV250" s="302"/>
      <c r="AFW250" s="302"/>
      <c r="AFX250" s="302"/>
      <c r="AFY250" s="302"/>
      <c r="AFZ250" s="302"/>
      <c r="AGA250" s="302"/>
      <c r="AGB250" s="302"/>
      <c r="AGC250" s="302"/>
      <c r="AGD250" s="302"/>
      <c r="AGE250" s="302"/>
      <c r="AGF250" s="302"/>
      <c r="AGG250" s="302"/>
      <c r="AGH250" s="302"/>
      <c r="AGI250" s="302"/>
      <c r="AGJ250" s="302"/>
      <c r="AGK250" s="302"/>
      <c r="AGL250" s="302"/>
      <c r="AGM250" s="302"/>
      <c r="AGN250" s="302"/>
      <c r="AGO250" s="302"/>
      <c r="AGP250" s="302"/>
      <c r="AGQ250" s="302"/>
      <c r="AGR250" s="302"/>
      <c r="AGS250" s="302"/>
      <c r="AGT250" s="302"/>
      <c r="AGU250" s="302"/>
      <c r="AGV250" s="302"/>
      <c r="AGW250" s="302"/>
      <c r="AGX250" s="302"/>
      <c r="AGY250" s="302"/>
      <c r="AGZ250" s="302"/>
      <c r="AHA250" s="302"/>
      <c r="AHB250" s="302"/>
      <c r="AHC250" s="302"/>
      <c r="AHD250" s="302"/>
      <c r="AHE250" s="302"/>
      <c r="AHF250" s="302"/>
      <c r="AHG250" s="302"/>
      <c r="AHH250" s="302"/>
      <c r="AHI250" s="302"/>
      <c r="AHJ250" s="302"/>
      <c r="AHK250" s="302"/>
      <c r="AHL250" s="302"/>
      <c r="AHM250" s="302"/>
      <c r="AHN250" s="302"/>
      <c r="AHO250" s="302"/>
      <c r="AHP250" s="302"/>
      <c r="AHQ250" s="302"/>
      <c r="AHR250" s="302"/>
      <c r="AHS250" s="302"/>
      <c r="AHT250" s="302"/>
      <c r="AHU250" s="302"/>
      <c r="AHV250" s="302"/>
      <c r="AHW250" s="302"/>
      <c r="AHX250" s="302"/>
      <c r="AHY250" s="302"/>
      <c r="AHZ250" s="302"/>
      <c r="AIA250" s="302"/>
      <c r="AIB250" s="302"/>
      <c r="AIC250" s="302"/>
      <c r="AID250" s="302"/>
      <c r="AIE250" s="302"/>
      <c r="AIF250" s="302"/>
      <c r="AIG250" s="302"/>
      <c r="AIH250" s="302"/>
      <c r="AII250" s="302"/>
      <c r="AIJ250" s="302"/>
      <c r="AIK250" s="302"/>
      <c r="AIL250" s="302"/>
      <c r="AIM250" s="302"/>
      <c r="AIN250" s="302"/>
      <c r="AIO250" s="302"/>
      <c r="AIP250" s="302"/>
      <c r="AIQ250" s="302"/>
      <c r="AIR250" s="302"/>
      <c r="AIS250" s="302"/>
      <c r="AIT250" s="302"/>
      <c r="AIU250" s="302"/>
      <c r="AIV250" s="302"/>
      <c r="AIW250" s="302"/>
      <c r="AIX250" s="302"/>
      <c r="AIY250" s="302"/>
      <c r="AIZ250" s="302"/>
      <c r="AJA250" s="302"/>
      <c r="AJB250" s="302"/>
      <c r="AJC250" s="302"/>
      <c r="AJD250" s="302"/>
      <c r="AJE250" s="302"/>
      <c r="AJF250" s="302"/>
      <c r="AJG250" s="302"/>
      <c r="AJH250" s="302"/>
      <c r="AJI250" s="302"/>
      <c r="AJJ250" s="302"/>
      <c r="AJK250" s="302"/>
      <c r="AJL250" s="302"/>
      <c r="AJM250" s="302"/>
      <c r="AJN250" s="302"/>
      <c r="AJO250" s="302"/>
      <c r="AJP250" s="302"/>
      <c r="AJQ250" s="302"/>
      <c r="AJR250" s="302"/>
      <c r="AJS250" s="302"/>
      <c r="AJT250" s="302"/>
      <c r="AJU250" s="302"/>
      <c r="AJV250" s="302"/>
      <c r="AJW250" s="302"/>
      <c r="AJX250" s="302"/>
      <c r="AJY250" s="302"/>
      <c r="AJZ250" s="302"/>
      <c r="AKA250" s="302"/>
      <c r="AKB250" s="302"/>
      <c r="AKC250" s="302"/>
      <c r="AKD250" s="302"/>
      <c r="AKE250" s="302"/>
      <c r="AKF250" s="302"/>
      <c r="AKG250" s="302"/>
      <c r="AKH250" s="302"/>
      <c r="AKI250" s="302"/>
      <c r="AKJ250" s="302"/>
      <c r="AKK250" s="302"/>
      <c r="AKL250" s="302"/>
      <c r="AKM250" s="302"/>
      <c r="AKN250" s="302"/>
      <c r="AKO250" s="302"/>
      <c r="AKP250" s="302"/>
      <c r="AKQ250" s="302"/>
      <c r="AKR250" s="302"/>
      <c r="AKS250" s="302"/>
      <c r="AKT250" s="302"/>
      <c r="AKU250" s="302"/>
      <c r="AKV250" s="302"/>
      <c r="AKW250" s="302"/>
      <c r="AKX250" s="302"/>
      <c r="AKY250" s="302"/>
      <c r="AKZ250" s="302"/>
      <c r="ALA250" s="302"/>
      <c r="ALB250" s="302"/>
      <c r="ALC250" s="302"/>
      <c r="ALD250" s="302"/>
      <c r="ALE250" s="302"/>
      <c r="ALF250" s="302"/>
      <c r="ALG250" s="302"/>
      <c r="ALH250" s="302"/>
      <c r="ALI250" s="302"/>
      <c r="ALJ250" s="302"/>
      <c r="ALK250" s="302"/>
      <c r="ALL250" s="302"/>
      <c r="ALM250" s="302"/>
      <c r="ALN250" s="302"/>
      <c r="ALO250" s="302"/>
      <c r="ALP250" s="302"/>
      <c r="ALQ250" s="302"/>
      <c r="ALR250" s="302"/>
      <c r="ALS250" s="302"/>
      <c r="ALT250" s="302"/>
      <c r="ALU250" s="302"/>
      <c r="ALV250" s="302"/>
      <c r="ALW250" s="302"/>
      <c r="ALX250" s="302"/>
      <c r="ALY250" s="302"/>
      <c r="ALZ250" s="302"/>
      <c r="AMA250" s="302"/>
      <c r="AMB250" s="302"/>
      <c r="AMC250" s="302"/>
      <c r="AMD250" s="302"/>
      <c r="AME250" s="302"/>
      <c r="AMF250" s="302"/>
      <c r="AMG250" s="302"/>
      <c r="AMH250" s="302"/>
      <c r="AMI250" s="302"/>
    </row>
    <row r="251" spans="1:1023" hidden="1">
      <c r="A251" s="302"/>
      <c r="B251" s="442">
        <v>13940</v>
      </c>
      <c r="C251" s="430">
        <v>0.08</v>
      </c>
      <c r="D251" s="370" t="s">
        <v>158</v>
      </c>
      <c r="E251" s="584">
        <v>4000000</v>
      </c>
      <c r="F251" s="500">
        <v>0.01</v>
      </c>
      <c r="G251" s="369">
        <f t="shared" si="13"/>
        <v>40000</v>
      </c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  <c r="AD251" s="302"/>
      <c r="AE251" s="302"/>
      <c r="AF251" s="302"/>
      <c r="AG251" s="302"/>
      <c r="AH251" s="302"/>
      <c r="AI251" s="302"/>
      <c r="AJ251" s="302"/>
      <c r="AK251" s="302"/>
      <c r="AL251" s="302"/>
      <c r="AM251" s="302"/>
      <c r="AN251" s="302"/>
      <c r="AO251" s="302"/>
      <c r="AP251" s="302"/>
      <c r="AQ251" s="302"/>
      <c r="AR251" s="302"/>
      <c r="AS251" s="302"/>
      <c r="AT251" s="302"/>
      <c r="AU251" s="302"/>
      <c r="AV251" s="302"/>
      <c r="AW251" s="302"/>
      <c r="AX251" s="302"/>
      <c r="AY251" s="302"/>
      <c r="AZ251" s="302"/>
      <c r="BA251" s="302"/>
      <c r="BB251" s="302"/>
      <c r="BC251" s="302"/>
      <c r="BD251" s="302"/>
      <c r="BE251" s="302"/>
      <c r="BF251" s="302"/>
      <c r="BG251" s="302"/>
      <c r="BH251" s="302"/>
      <c r="BI251" s="302"/>
      <c r="BJ251" s="302"/>
      <c r="BK251" s="302"/>
      <c r="BL251" s="302"/>
      <c r="BM251" s="302"/>
      <c r="BN251" s="302"/>
      <c r="BO251" s="302"/>
      <c r="BP251" s="302"/>
      <c r="BQ251" s="302"/>
      <c r="BR251" s="302"/>
      <c r="BS251" s="302"/>
      <c r="BT251" s="302"/>
      <c r="BU251" s="302"/>
      <c r="BV251" s="302"/>
      <c r="BW251" s="302"/>
      <c r="BX251" s="302"/>
      <c r="BY251" s="302"/>
      <c r="BZ251" s="302"/>
      <c r="CA251" s="302"/>
      <c r="CB251" s="302"/>
      <c r="CC251" s="302"/>
      <c r="CD251" s="302"/>
      <c r="CE251" s="302"/>
      <c r="CF251" s="302"/>
      <c r="CG251" s="302"/>
      <c r="CH251" s="302"/>
      <c r="CI251" s="302"/>
      <c r="CJ251" s="302"/>
      <c r="CK251" s="302"/>
      <c r="CL251" s="302"/>
      <c r="CM251" s="302"/>
      <c r="CN251" s="302"/>
      <c r="CO251" s="302"/>
      <c r="CP251" s="302"/>
      <c r="CQ251" s="302"/>
      <c r="CR251" s="302"/>
      <c r="CS251" s="302"/>
      <c r="CT251" s="302"/>
      <c r="CU251" s="302"/>
      <c r="CV251" s="302"/>
      <c r="CW251" s="302"/>
      <c r="CX251" s="302"/>
      <c r="CY251" s="302"/>
      <c r="CZ251" s="302"/>
      <c r="DA251" s="302"/>
      <c r="DB251" s="302"/>
      <c r="DC251" s="302"/>
      <c r="DD251" s="302"/>
      <c r="DE251" s="302"/>
      <c r="DF251" s="302"/>
      <c r="DG251" s="302"/>
      <c r="DH251" s="302"/>
      <c r="DI251" s="302"/>
      <c r="DJ251" s="302"/>
      <c r="DK251" s="302"/>
      <c r="DL251" s="302"/>
      <c r="DM251" s="302"/>
      <c r="DN251" s="302"/>
      <c r="DO251" s="302"/>
      <c r="DP251" s="302"/>
      <c r="DQ251" s="302"/>
      <c r="DR251" s="302"/>
      <c r="DS251" s="302"/>
      <c r="DT251" s="302"/>
      <c r="DU251" s="302"/>
      <c r="DV251" s="302"/>
      <c r="DW251" s="302"/>
      <c r="DX251" s="302"/>
      <c r="DY251" s="302"/>
      <c r="DZ251" s="302"/>
      <c r="EA251" s="302"/>
      <c r="EB251" s="302"/>
      <c r="EC251" s="302"/>
      <c r="ED251" s="302"/>
      <c r="EE251" s="302"/>
      <c r="EF251" s="302"/>
      <c r="EG251" s="302"/>
      <c r="EH251" s="302"/>
      <c r="EI251" s="302"/>
      <c r="EJ251" s="302"/>
      <c r="EK251" s="302"/>
      <c r="EL251" s="302"/>
      <c r="EM251" s="302"/>
      <c r="EN251" s="302"/>
      <c r="EO251" s="302"/>
      <c r="EP251" s="302"/>
      <c r="EQ251" s="302"/>
      <c r="ER251" s="302"/>
      <c r="ES251" s="302"/>
      <c r="ET251" s="302"/>
      <c r="EU251" s="302"/>
      <c r="EV251" s="302"/>
      <c r="EW251" s="302"/>
      <c r="EX251" s="302"/>
      <c r="EY251" s="302"/>
      <c r="EZ251" s="302"/>
      <c r="FA251" s="302"/>
      <c r="FB251" s="302"/>
      <c r="FC251" s="302"/>
      <c r="FD251" s="302"/>
      <c r="FE251" s="302"/>
      <c r="FF251" s="302"/>
      <c r="FG251" s="302"/>
      <c r="FH251" s="302"/>
      <c r="FI251" s="302"/>
      <c r="FJ251" s="302"/>
      <c r="FK251" s="302"/>
      <c r="FL251" s="302"/>
      <c r="FM251" s="302"/>
      <c r="FN251" s="302"/>
      <c r="FO251" s="302"/>
      <c r="FP251" s="302"/>
      <c r="FQ251" s="302"/>
      <c r="FR251" s="302"/>
      <c r="FS251" s="302"/>
      <c r="FT251" s="302"/>
      <c r="FU251" s="302"/>
      <c r="FV251" s="302"/>
      <c r="FW251" s="302"/>
      <c r="FX251" s="302"/>
      <c r="FY251" s="302"/>
      <c r="FZ251" s="302"/>
      <c r="GA251" s="302"/>
      <c r="GB251" s="302"/>
      <c r="GC251" s="302"/>
      <c r="GD251" s="302"/>
      <c r="GE251" s="302"/>
      <c r="GF251" s="302"/>
      <c r="GG251" s="302"/>
      <c r="GH251" s="302"/>
      <c r="GI251" s="302"/>
      <c r="GJ251" s="302"/>
      <c r="GK251" s="302"/>
      <c r="GL251" s="302"/>
      <c r="GM251" s="302"/>
      <c r="GN251" s="302"/>
      <c r="GO251" s="302"/>
      <c r="GP251" s="302"/>
      <c r="GQ251" s="302"/>
      <c r="GR251" s="302"/>
      <c r="GS251" s="302"/>
      <c r="GT251" s="302"/>
      <c r="GU251" s="302"/>
      <c r="GV251" s="302"/>
      <c r="GW251" s="302"/>
      <c r="GX251" s="302"/>
      <c r="GY251" s="302"/>
      <c r="GZ251" s="302"/>
      <c r="HA251" s="302"/>
      <c r="HB251" s="302"/>
      <c r="HC251" s="302"/>
      <c r="HD251" s="302"/>
      <c r="HE251" s="302"/>
      <c r="HF251" s="302"/>
      <c r="HG251" s="302"/>
      <c r="HH251" s="302"/>
      <c r="HI251" s="302"/>
      <c r="HJ251" s="302"/>
      <c r="HK251" s="302"/>
      <c r="HL251" s="302"/>
      <c r="HM251" s="302"/>
      <c r="HN251" s="302"/>
      <c r="HO251" s="302"/>
      <c r="HP251" s="302"/>
      <c r="HQ251" s="302"/>
      <c r="HR251" s="302"/>
      <c r="HS251" s="302"/>
      <c r="HT251" s="302"/>
      <c r="HU251" s="302"/>
      <c r="HV251" s="302"/>
      <c r="HW251" s="302"/>
      <c r="HX251" s="302"/>
      <c r="HY251" s="302"/>
      <c r="HZ251" s="302"/>
      <c r="IA251" s="302"/>
      <c r="IB251" s="302"/>
      <c r="IC251" s="302"/>
      <c r="ID251" s="302"/>
      <c r="IE251" s="302"/>
      <c r="IF251" s="302"/>
      <c r="IG251" s="302"/>
      <c r="IH251" s="302"/>
      <c r="II251" s="302"/>
      <c r="IJ251" s="302"/>
      <c r="IK251" s="302"/>
      <c r="IL251" s="302"/>
      <c r="IM251" s="302"/>
      <c r="IN251" s="302"/>
      <c r="IO251" s="302"/>
      <c r="IP251" s="302"/>
      <c r="IQ251" s="302"/>
      <c r="IR251" s="302"/>
      <c r="IS251" s="302"/>
      <c r="IT251" s="302"/>
      <c r="IU251" s="302"/>
      <c r="IV251" s="302"/>
      <c r="IW251" s="302"/>
      <c r="IX251" s="302"/>
      <c r="IY251" s="302"/>
      <c r="IZ251" s="302"/>
      <c r="JA251" s="302"/>
      <c r="JB251" s="302"/>
      <c r="JC251" s="302"/>
      <c r="JD251" s="302"/>
      <c r="JE251" s="302"/>
      <c r="JF251" s="302"/>
      <c r="JG251" s="302"/>
      <c r="JH251" s="302"/>
      <c r="JI251" s="302"/>
      <c r="JJ251" s="302"/>
      <c r="JK251" s="302"/>
      <c r="JL251" s="302"/>
      <c r="JM251" s="302"/>
      <c r="JN251" s="302"/>
      <c r="JO251" s="302"/>
      <c r="JP251" s="302"/>
      <c r="JQ251" s="302"/>
      <c r="JR251" s="302"/>
      <c r="JS251" s="302"/>
      <c r="JT251" s="302"/>
      <c r="JU251" s="302"/>
      <c r="JV251" s="302"/>
      <c r="JW251" s="302"/>
      <c r="JX251" s="302"/>
      <c r="JY251" s="302"/>
      <c r="JZ251" s="302"/>
      <c r="KA251" s="302"/>
      <c r="KB251" s="302"/>
      <c r="KC251" s="302"/>
      <c r="KD251" s="302"/>
      <c r="KE251" s="302"/>
      <c r="KF251" s="302"/>
      <c r="KG251" s="302"/>
      <c r="KH251" s="302"/>
      <c r="KI251" s="302"/>
      <c r="KJ251" s="302"/>
      <c r="KK251" s="302"/>
      <c r="KL251" s="302"/>
      <c r="KM251" s="302"/>
      <c r="KN251" s="302"/>
      <c r="KO251" s="302"/>
      <c r="KP251" s="302"/>
      <c r="KQ251" s="302"/>
      <c r="KR251" s="302"/>
      <c r="KS251" s="302"/>
      <c r="KT251" s="302"/>
      <c r="KU251" s="302"/>
      <c r="KV251" s="302"/>
      <c r="KW251" s="302"/>
      <c r="KX251" s="302"/>
      <c r="KY251" s="302"/>
      <c r="KZ251" s="302"/>
      <c r="LA251" s="302"/>
      <c r="LB251" s="302"/>
      <c r="LC251" s="302"/>
      <c r="LD251" s="302"/>
      <c r="LE251" s="302"/>
      <c r="LF251" s="302"/>
      <c r="LG251" s="302"/>
      <c r="LH251" s="302"/>
      <c r="LI251" s="302"/>
      <c r="LJ251" s="302"/>
      <c r="LK251" s="302"/>
      <c r="LL251" s="302"/>
      <c r="LM251" s="302"/>
      <c r="LN251" s="302"/>
      <c r="LO251" s="302"/>
      <c r="LP251" s="302"/>
      <c r="LQ251" s="302"/>
      <c r="LR251" s="302"/>
      <c r="LS251" s="302"/>
      <c r="LT251" s="302"/>
      <c r="LU251" s="302"/>
      <c r="LV251" s="302"/>
      <c r="LW251" s="302"/>
      <c r="LX251" s="302"/>
      <c r="LY251" s="302"/>
      <c r="LZ251" s="302"/>
      <c r="MA251" s="302"/>
      <c r="MB251" s="302"/>
      <c r="MC251" s="302"/>
      <c r="MD251" s="302"/>
      <c r="ME251" s="302"/>
      <c r="MF251" s="302"/>
      <c r="MG251" s="302"/>
      <c r="MH251" s="302"/>
      <c r="MI251" s="302"/>
      <c r="MJ251" s="302"/>
      <c r="MK251" s="302"/>
      <c r="ML251" s="302"/>
      <c r="MM251" s="302"/>
      <c r="MN251" s="302"/>
      <c r="MO251" s="302"/>
      <c r="MP251" s="302"/>
      <c r="MQ251" s="302"/>
      <c r="MR251" s="302"/>
      <c r="MS251" s="302"/>
      <c r="MT251" s="302"/>
      <c r="MU251" s="302"/>
      <c r="MV251" s="302"/>
      <c r="MW251" s="302"/>
      <c r="MX251" s="302"/>
      <c r="MY251" s="302"/>
      <c r="MZ251" s="302"/>
      <c r="NA251" s="302"/>
      <c r="NB251" s="302"/>
      <c r="NC251" s="302"/>
      <c r="ND251" s="302"/>
      <c r="NE251" s="302"/>
      <c r="NF251" s="302"/>
      <c r="NG251" s="302"/>
      <c r="NH251" s="302"/>
      <c r="NI251" s="302"/>
      <c r="NJ251" s="302"/>
      <c r="NK251" s="302"/>
      <c r="NL251" s="302"/>
      <c r="NM251" s="302"/>
      <c r="NN251" s="302"/>
      <c r="NO251" s="302"/>
      <c r="NP251" s="302"/>
      <c r="NQ251" s="302"/>
      <c r="NR251" s="302"/>
      <c r="NS251" s="302"/>
      <c r="NT251" s="302"/>
      <c r="NU251" s="302"/>
      <c r="NV251" s="302"/>
      <c r="NW251" s="302"/>
      <c r="NX251" s="302"/>
      <c r="NY251" s="302"/>
      <c r="NZ251" s="302"/>
      <c r="OA251" s="302"/>
      <c r="OB251" s="302"/>
      <c r="OC251" s="302"/>
      <c r="OD251" s="302"/>
      <c r="OE251" s="302"/>
      <c r="OF251" s="302"/>
      <c r="OG251" s="302"/>
      <c r="OH251" s="302"/>
      <c r="OI251" s="302"/>
      <c r="OJ251" s="302"/>
      <c r="OK251" s="302"/>
      <c r="OL251" s="302"/>
      <c r="OM251" s="302"/>
      <c r="ON251" s="302"/>
      <c r="OO251" s="302"/>
      <c r="OP251" s="302"/>
      <c r="OQ251" s="302"/>
      <c r="OR251" s="302"/>
      <c r="OS251" s="302"/>
      <c r="OT251" s="302"/>
      <c r="OU251" s="302"/>
      <c r="OV251" s="302"/>
      <c r="OW251" s="302"/>
      <c r="OX251" s="302"/>
      <c r="OY251" s="302"/>
      <c r="OZ251" s="302"/>
      <c r="PA251" s="302"/>
      <c r="PB251" s="302"/>
      <c r="PC251" s="302"/>
      <c r="PD251" s="302"/>
      <c r="PE251" s="302"/>
      <c r="PF251" s="302"/>
      <c r="PG251" s="302"/>
      <c r="PH251" s="302"/>
      <c r="PI251" s="302"/>
      <c r="PJ251" s="302"/>
      <c r="PK251" s="302"/>
      <c r="PL251" s="302"/>
      <c r="PM251" s="302"/>
      <c r="PN251" s="302"/>
      <c r="PO251" s="302"/>
      <c r="PP251" s="302"/>
      <c r="PQ251" s="302"/>
      <c r="PR251" s="302"/>
      <c r="PS251" s="302"/>
      <c r="PT251" s="302"/>
      <c r="PU251" s="302"/>
      <c r="PV251" s="302"/>
      <c r="PW251" s="302"/>
      <c r="PX251" s="302"/>
      <c r="PY251" s="302"/>
      <c r="PZ251" s="302"/>
      <c r="QA251" s="302"/>
      <c r="QB251" s="302"/>
      <c r="QC251" s="302"/>
      <c r="QD251" s="302"/>
      <c r="QE251" s="302"/>
      <c r="QF251" s="302"/>
      <c r="QG251" s="302"/>
      <c r="QH251" s="302"/>
      <c r="QI251" s="302"/>
      <c r="QJ251" s="302"/>
      <c r="QK251" s="302"/>
      <c r="QL251" s="302"/>
      <c r="QM251" s="302"/>
      <c r="QN251" s="302"/>
      <c r="QO251" s="302"/>
      <c r="QP251" s="302"/>
      <c r="QQ251" s="302"/>
      <c r="QR251" s="302"/>
      <c r="QS251" s="302"/>
      <c r="QT251" s="302"/>
      <c r="QU251" s="302"/>
      <c r="QV251" s="302"/>
      <c r="QW251" s="302"/>
      <c r="QX251" s="302"/>
      <c r="QY251" s="302"/>
      <c r="QZ251" s="302"/>
      <c r="RA251" s="302"/>
      <c r="RB251" s="302"/>
      <c r="RC251" s="302"/>
      <c r="RD251" s="302"/>
      <c r="RE251" s="302"/>
      <c r="RF251" s="302"/>
      <c r="RG251" s="302"/>
      <c r="RH251" s="302"/>
      <c r="RI251" s="302"/>
      <c r="RJ251" s="302"/>
      <c r="RK251" s="302"/>
      <c r="RL251" s="302"/>
      <c r="RM251" s="302"/>
      <c r="RN251" s="302"/>
      <c r="RO251" s="302"/>
      <c r="RP251" s="302"/>
      <c r="RQ251" s="302"/>
      <c r="RR251" s="302"/>
      <c r="RS251" s="302"/>
      <c r="RT251" s="302"/>
      <c r="RU251" s="302"/>
      <c r="RV251" s="302"/>
      <c r="RW251" s="302"/>
      <c r="RX251" s="302"/>
      <c r="RY251" s="302"/>
      <c r="RZ251" s="302"/>
      <c r="SA251" s="302"/>
      <c r="SB251" s="302"/>
      <c r="SC251" s="302"/>
      <c r="SD251" s="302"/>
      <c r="SE251" s="302"/>
      <c r="SF251" s="302"/>
      <c r="SG251" s="302"/>
      <c r="SH251" s="302"/>
      <c r="SI251" s="302"/>
      <c r="SJ251" s="302"/>
      <c r="SK251" s="302"/>
      <c r="SL251" s="302"/>
      <c r="SM251" s="302"/>
      <c r="SN251" s="302"/>
      <c r="SO251" s="302"/>
      <c r="SP251" s="302"/>
      <c r="SQ251" s="302"/>
      <c r="SR251" s="302"/>
      <c r="SS251" s="302"/>
      <c r="ST251" s="302"/>
      <c r="SU251" s="302"/>
      <c r="SV251" s="302"/>
      <c r="SW251" s="302"/>
      <c r="SX251" s="302"/>
      <c r="SY251" s="302"/>
      <c r="SZ251" s="302"/>
      <c r="TA251" s="302"/>
      <c r="TB251" s="302"/>
      <c r="TC251" s="302"/>
      <c r="TD251" s="302"/>
      <c r="TE251" s="302"/>
      <c r="TF251" s="302"/>
      <c r="TG251" s="302"/>
      <c r="TH251" s="302"/>
      <c r="TI251" s="302"/>
      <c r="TJ251" s="302"/>
      <c r="TK251" s="302"/>
      <c r="TL251" s="302"/>
      <c r="TM251" s="302"/>
      <c r="TN251" s="302"/>
      <c r="TO251" s="302"/>
      <c r="TP251" s="302"/>
      <c r="TQ251" s="302"/>
      <c r="TR251" s="302"/>
      <c r="TS251" s="302"/>
      <c r="TT251" s="302"/>
      <c r="TU251" s="302"/>
      <c r="TV251" s="302"/>
      <c r="TW251" s="302"/>
      <c r="TX251" s="302"/>
      <c r="TY251" s="302"/>
      <c r="TZ251" s="302"/>
      <c r="UA251" s="302"/>
      <c r="UB251" s="302"/>
      <c r="UC251" s="302"/>
      <c r="UD251" s="302"/>
      <c r="UE251" s="302"/>
      <c r="UF251" s="302"/>
      <c r="UG251" s="302"/>
      <c r="UH251" s="302"/>
      <c r="UI251" s="302"/>
      <c r="UJ251" s="302"/>
      <c r="UK251" s="302"/>
      <c r="UL251" s="302"/>
      <c r="UM251" s="302"/>
      <c r="UN251" s="302"/>
      <c r="UO251" s="302"/>
      <c r="UP251" s="302"/>
      <c r="UQ251" s="302"/>
      <c r="UR251" s="302"/>
      <c r="US251" s="302"/>
      <c r="UT251" s="302"/>
      <c r="UU251" s="302"/>
      <c r="UV251" s="302"/>
      <c r="UW251" s="302"/>
      <c r="UX251" s="302"/>
      <c r="UY251" s="302"/>
      <c r="UZ251" s="302"/>
      <c r="VA251" s="302"/>
      <c r="VB251" s="302"/>
      <c r="VC251" s="302"/>
      <c r="VD251" s="302"/>
      <c r="VE251" s="302"/>
      <c r="VF251" s="302"/>
      <c r="VG251" s="302"/>
      <c r="VH251" s="302"/>
      <c r="VI251" s="302"/>
      <c r="VJ251" s="302"/>
      <c r="VK251" s="302"/>
      <c r="VL251" s="302"/>
      <c r="VM251" s="302"/>
      <c r="VN251" s="302"/>
      <c r="VO251" s="302"/>
      <c r="VP251" s="302"/>
      <c r="VQ251" s="302"/>
      <c r="VR251" s="302"/>
      <c r="VS251" s="302"/>
      <c r="VT251" s="302"/>
      <c r="VU251" s="302"/>
      <c r="VV251" s="302"/>
      <c r="VW251" s="302"/>
      <c r="VX251" s="302"/>
      <c r="VY251" s="302"/>
      <c r="VZ251" s="302"/>
      <c r="WA251" s="302"/>
      <c r="WB251" s="302"/>
      <c r="WC251" s="302"/>
      <c r="WD251" s="302"/>
      <c r="WE251" s="302"/>
      <c r="WF251" s="302"/>
      <c r="WG251" s="302"/>
      <c r="WH251" s="302"/>
      <c r="WI251" s="302"/>
      <c r="WJ251" s="302"/>
      <c r="WK251" s="302"/>
      <c r="WL251" s="302"/>
      <c r="WM251" s="302"/>
      <c r="WN251" s="302"/>
      <c r="WO251" s="302"/>
      <c r="WP251" s="302"/>
      <c r="WQ251" s="302"/>
      <c r="WR251" s="302"/>
      <c r="WS251" s="302"/>
      <c r="WT251" s="302"/>
      <c r="WU251" s="302"/>
      <c r="WV251" s="302"/>
      <c r="WW251" s="302"/>
      <c r="WX251" s="302"/>
      <c r="WY251" s="302"/>
      <c r="WZ251" s="302"/>
      <c r="XA251" s="302"/>
      <c r="XB251" s="302"/>
      <c r="XC251" s="302"/>
      <c r="XD251" s="302"/>
      <c r="XE251" s="302"/>
      <c r="XF251" s="302"/>
      <c r="XG251" s="302"/>
      <c r="XH251" s="302"/>
      <c r="XI251" s="302"/>
      <c r="XJ251" s="302"/>
      <c r="XK251" s="302"/>
      <c r="XL251" s="302"/>
      <c r="XM251" s="302"/>
      <c r="XN251" s="302"/>
      <c r="XO251" s="302"/>
      <c r="XP251" s="302"/>
      <c r="XQ251" s="302"/>
      <c r="XR251" s="302"/>
      <c r="XS251" s="302"/>
      <c r="XT251" s="302"/>
      <c r="XU251" s="302"/>
      <c r="XV251" s="302"/>
      <c r="XW251" s="302"/>
      <c r="XX251" s="302"/>
      <c r="XY251" s="302"/>
      <c r="XZ251" s="302"/>
      <c r="YA251" s="302"/>
      <c r="YB251" s="302"/>
      <c r="YC251" s="302"/>
      <c r="YD251" s="302"/>
      <c r="YE251" s="302"/>
      <c r="YF251" s="302"/>
      <c r="YG251" s="302"/>
      <c r="YH251" s="302"/>
      <c r="YI251" s="302"/>
      <c r="YJ251" s="302"/>
      <c r="YK251" s="302"/>
      <c r="YL251" s="302"/>
      <c r="YM251" s="302"/>
      <c r="YN251" s="302"/>
      <c r="YO251" s="302"/>
      <c r="YP251" s="302"/>
      <c r="YQ251" s="302"/>
      <c r="YR251" s="302"/>
      <c r="YS251" s="302"/>
      <c r="YT251" s="302"/>
      <c r="YU251" s="302"/>
      <c r="YV251" s="302"/>
      <c r="YW251" s="302"/>
      <c r="YX251" s="302"/>
      <c r="YY251" s="302"/>
      <c r="YZ251" s="302"/>
      <c r="ZA251" s="302"/>
      <c r="ZB251" s="302"/>
      <c r="ZC251" s="302"/>
      <c r="ZD251" s="302"/>
      <c r="ZE251" s="302"/>
      <c r="ZF251" s="302"/>
      <c r="ZG251" s="302"/>
      <c r="ZH251" s="302"/>
      <c r="ZI251" s="302"/>
      <c r="ZJ251" s="302"/>
      <c r="ZK251" s="302"/>
      <c r="ZL251" s="302"/>
      <c r="ZM251" s="302"/>
      <c r="ZN251" s="302"/>
      <c r="ZO251" s="302"/>
      <c r="ZP251" s="302"/>
      <c r="ZQ251" s="302"/>
      <c r="ZR251" s="302"/>
      <c r="ZS251" s="302"/>
      <c r="ZT251" s="302"/>
      <c r="ZU251" s="302"/>
      <c r="ZV251" s="302"/>
      <c r="ZW251" s="302"/>
      <c r="ZX251" s="302"/>
      <c r="ZY251" s="302"/>
      <c r="ZZ251" s="302"/>
      <c r="AAA251" s="302"/>
      <c r="AAB251" s="302"/>
      <c r="AAC251" s="302"/>
      <c r="AAD251" s="302"/>
      <c r="AAE251" s="302"/>
      <c r="AAF251" s="302"/>
      <c r="AAG251" s="302"/>
      <c r="AAH251" s="302"/>
      <c r="AAI251" s="302"/>
      <c r="AAJ251" s="302"/>
      <c r="AAK251" s="302"/>
      <c r="AAL251" s="302"/>
      <c r="AAM251" s="302"/>
      <c r="AAN251" s="302"/>
      <c r="AAO251" s="302"/>
      <c r="AAP251" s="302"/>
      <c r="AAQ251" s="302"/>
      <c r="AAR251" s="302"/>
      <c r="AAS251" s="302"/>
      <c r="AAT251" s="302"/>
      <c r="AAU251" s="302"/>
      <c r="AAV251" s="302"/>
      <c r="AAW251" s="302"/>
      <c r="AAX251" s="302"/>
      <c r="AAY251" s="302"/>
      <c r="AAZ251" s="302"/>
      <c r="ABA251" s="302"/>
      <c r="ABB251" s="302"/>
      <c r="ABC251" s="302"/>
      <c r="ABD251" s="302"/>
      <c r="ABE251" s="302"/>
      <c r="ABF251" s="302"/>
      <c r="ABG251" s="302"/>
      <c r="ABH251" s="302"/>
      <c r="ABI251" s="302"/>
      <c r="ABJ251" s="302"/>
      <c r="ABK251" s="302"/>
      <c r="ABL251" s="302"/>
      <c r="ABM251" s="302"/>
      <c r="ABN251" s="302"/>
      <c r="ABO251" s="302"/>
      <c r="ABP251" s="302"/>
      <c r="ABQ251" s="302"/>
      <c r="ABR251" s="302"/>
      <c r="ABS251" s="302"/>
      <c r="ABT251" s="302"/>
      <c r="ABU251" s="302"/>
      <c r="ABV251" s="302"/>
      <c r="ABW251" s="302"/>
      <c r="ABX251" s="302"/>
      <c r="ABY251" s="302"/>
      <c r="ABZ251" s="302"/>
      <c r="ACA251" s="302"/>
      <c r="ACB251" s="302"/>
      <c r="ACC251" s="302"/>
      <c r="ACD251" s="302"/>
      <c r="ACE251" s="302"/>
      <c r="ACF251" s="302"/>
      <c r="ACG251" s="302"/>
      <c r="ACH251" s="302"/>
      <c r="ACI251" s="302"/>
      <c r="ACJ251" s="302"/>
      <c r="ACK251" s="302"/>
      <c r="ACL251" s="302"/>
      <c r="ACM251" s="302"/>
      <c r="ACN251" s="302"/>
      <c r="ACO251" s="302"/>
      <c r="ACP251" s="302"/>
      <c r="ACQ251" s="302"/>
      <c r="ACR251" s="302"/>
      <c r="ACS251" s="302"/>
      <c r="ACT251" s="302"/>
      <c r="ACU251" s="302"/>
      <c r="ACV251" s="302"/>
      <c r="ACW251" s="302"/>
      <c r="ACX251" s="302"/>
      <c r="ACY251" s="302"/>
      <c r="ACZ251" s="302"/>
      <c r="ADA251" s="302"/>
      <c r="ADB251" s="302"/>
      <c r="ADC251" s="302"/>
      <c r="ADD251" s="302"/>
      <c r="ADE251" s="302"/>
      <c r="ADF251" s="302"/>
      <c r="ADG251" s="302"/>
      <c r="ADH251" s="302"/>
      <c r="ADI251" s="302"/>
      <c r="ADJ251" s="302"/>
      <c r="ADK251" s="302"/>
      <c r="ADL251" s="302"/>
      <c r="ADM251" s="302"/>
      <c r="ADN251" s="302"/>
      <c r="ADO251" s="302"/>
      <c r="ADP251" s="302"/>
      <c r="ADQ251" s="302"/>
      <c r="ADR251" s="302"/>
      <c r="ADS251" s="302"/>
      <c r="ADT251" s="302"/>
      <c r="ADU251" s="302"/>
      <c r="ADV251" s="302"/>
      <c r="ADW251" s="302"/>
      <c r="ADX251" s="302"/>
      <c r="ADY251" s="302"/>
      <c r="ADZ251" s="302"/>
      <c r="AEA251" s="302"/>
      <c r="AEB251" s="302"/>
      <c r="AEC251" s="302"/>
      <c r="AED251" s="302"/>
      <c r="AEE251" s="302"/>
      <c r="AEF251" s="302"/>
      <c r="AEG251" s="302"/>
      <c r="AEH251" s="302"/>
      <c r="AEI251" s="302"/>
      <c r="AEJ251" s="302"/>
      <c r="AEK251" s="302"/>
      <c r="AEL251" s="302"/>
      <c r="AEM251" s="302"/>
      <c r="AEN251" s="302"/>
      <c r="AEO251" s="302"/>
      <c r="AEP251" s="302"/>
      <c r="AEQ251" s="302"/>
      <c r="AER251" s="302"/>
      <c r="AES251" s="302"/>
      <c r="AET251" s="302"/>
      <c r="AEU251" s="302"/>
      <c r="AEV251" s="302"/>
      <c r="AEW251" s="302"/>
      <c r="AEX251" s="302"/>
      <c r="AEY251" s="302"/>
      <c r="AEZ251" s="302"/>
      <c r="AFA251" s="302"/>
      <c r="AFB251" s="302"/>
      <c r="AFC251" s="302"/>
      <c r="AFD251" s="302"/>
      <c r="AFE251" s="302"/>
      <c r="AFF251" s="302"/>
      <c r="AFG251" s="302"/>
      <c r="AFH251" s="302"/>
      <c r="AFI251" s="302"/>
      <c r="AFJ251" s="302"/>
      <c r="AFK251" s="302"/>
      <c r="AFL251" s="302"/>
      <c r="AFM251" s="302"/>
      <c r="AFN251" s="302"/>
      <c r="AFO251" s="302"/>
      <c r="AFP251" s="302"/>
      <c r="AFQ251" s="302"/>
      <c r="AFR251" s="302"/>
      <c r="AFS251" s="302"/>
      <c r="AFT251" s="302"/>
      <c r="AFU251" s="302"/>
      <c r="AFV251" s="302"/>
      <c r="AFW251" s="302"/>
      <c r="AFX251" s="302"/>
      <c r="AFY251" s="302"/>
      <c r="AFZ251" s="302"/>
      <c r="AGA251" s="302"/>
      <c r="AGB251" s="302"/>
      <c r="AGC251" s="302"/>
      <c r="AGD251" s="302"/>
      <c r="AGE251" s="302"/>
      <c r="AGF251" s="302"/>
      <c r="AGG251" s="302"/>
      <c r="AGH251" s="302"/>
      <c r="AGI251" s="302"/>
      <c r="AGJ251" s="302"/>
      <c r="AGK251" s="302"/>
      <c r="AGL251" s="302"/>
      <c r="AGM251" s="302"/>
      <c r="AGN251" s="302"/>
      <c r="AGO251" s="302"/>
      <c r="AGP251" s="302"/>
      <c r="AGQ251" s="302"/>
      <c r="AGR251" s="302"/>
      <c r="AGS251" s="302"/>
      <c r="AGT251" s="302"/>
      <c r="AGU251" s="302"/>
      <c r="AGV251" s="302"/>
      <c r="AGW251" s="302"/>
      <c r="AGX251" s="302"/>
      <c r="AGY251" s="302"/>
      <c r="AGZ251" s="302"/>
      <c r="AHA251" s="302"/>
      <c r="AHB251" s="302"/>
      <c r="AHC251" s="302"/>
      <c r="AHD251" s="302"/>
      <c r="AHE251" s="302"/>
      <c r="AHF251" s="302"/>
      <c r="AHG251" s="302"/>
      <c r="AHH251" s="302"/>
      <c r="AHI251" s="302"/>
      <c r="AHJ251" s="302"/>
      <c r="AHK251" s="302"/>
      <c r="AHL251" s="302"/>
      <c r="AHM251" s="302"/>
      <c r="AHN251" s="302"/>
      <c r="AHO251" s="302"/>
      <c r="AHP251" s="302"/>
      <c r="AHQ251" s="302"/>
      <c r="AHR251" s="302"/>
      <c r="AHS251" s="302"/>
      <c r="AHT251" s="302"/>
      <c r="AHU251" s="302"/>
      <c r="AHV251" s="302"/>
      <c r="AHW251" s="302"/>
      <c r="AHX251" s="302"/>
      <c r="AHY251" s="302"/>
      <c r="AHZ251" s="302"/>
      <c r="AIA251" s="302"/>
      <c r="AIB251" s="302"/>
      <c r="AIC251" s="302"/>
      <c r="AID251" s="302"/>
      <c r="AIE251" s="302"/>
      <c r="AIF251" s="302"/>
      <c r="AIG251" s="302"/>
      <c r="AIH251" s="302"/>
      <c r="AII251" s="302"/>
      <c r="AIJ251" s="302"/>
      <c r="AIK251" s="302"/>
      <c r="AIL251" s="302"/>
      <c r="AIM251" s="302"/>
      <c r="AIN251" s="302"/>
      <c r="AIO251" s="302"/>
      <c r="AIP251" s="302"/>
      <c r="AIQ251" s="302"/>
      <c r="AIR251" s="302"/>
      <c r="AIS251" s="302"/>
      <c r="AIT251" s="302"/>
      <c r="AIU251" s="302"/>
      <c r="AIV251" s="302"/>
      <c r="AIW251" s="302"/>
      <c r="AIX251" s="302"/>
      <c r="AIY251" s="302"/>
      <c r="AIZ251" s="302"/>
      <c r="AJA251" s="302"/>
      <c r="AJB251" s="302"/>
      <c r="AJC251" s="302"/>
      <c r="AJD251" s="302"/>
      <c r="AJE251" s="302"/>
      <c r="AJF251" s="302"/>
      <c r="AJG251" s="302"/>
      <c r="AJH251" s="302"/>
      <c r="AJI251" s="302"/>
      <c r="AJJ251" s="302"/>
      <c r="AJK251" s="302"/>
      <c r="AJL251" s="302"/>
      <c r="AJM251" s="302"/>
      <c r="AJN251" s="302"/>
      <c r="AJO251" s="302"/>
      <c r="AJP251" s="302"/>
      <c r="AJQ251" s="302"/>
      <c r="AJR251" s="302"/>
      <c r="AJS251" s="302"/>
      <c r="AJT251" s="302"/>
      <c r="AJU251" s="302"/>
      <c r="AJV251" s="302"/>
      <c r="AJW251" s="302"/>
      <c r="AJX251" s="302"/>
      <c r="AJY251" s="302"/>
      <c r="AJZ251" s="302"/>
      <c r="AKA251" s="302"/>
      <c r="AKB251" s="302"/>
      <c r="AKC251" s="302"/>
      <c r="AKD251" s="302"/>
      <c r="AKE251" s="302"/>
      <c r="AKF251" s="302"/>
      <c r="AKG251" s="302"/>
      <c r="AKH251" s="302"/>
      <c r="AKI251" s="302"/>
      <c r="AKJ251" s="302"/>
      <c r="AKK251" s="302"/>
      <c r="AKL251" s="302"/>
      <c r="AKM251" s="302"/>
      <c r="AKN251" s="302"/>
      <c r="AKO251" s="302"/>
      <c r="AKP251" s="302"/>
      <c r="AKQ251" s="302"/>
      <c r="AKR251" s="302"/>
      <c r="AKS251" s="302"/>
      <c r="AKT251" s="302"/>
      <c r="AKU251" s="302"/>
      <c r="AKV251" s="302"/>
      <c r="AKW251" s="302"/>
      <c r="AKX251" s="302"/>
      <c r="AKY251" s="302"/>
      <c r="AKZ251" s="302"/>
      <c r="ALA251" s="302"/>
      <c r="ALB251" s="302"/>
      <c r="ALC251" s="302"/>
      <c r="ALD251" s="302"/>
      <c r="ALE251" s="302"/>
      <c r="ALF251" s="302"/>
      <c r="ALG251" s="302"/>
      <c r="ALH251" s="302"/>
      <c r="ALI251" s="302"/>
      <c r="ALJ251" s="302"/>
      <c r="ALK251" s="302"/>
      <c r="ALL251" s="302"/>
      <c r="ALM251" s="302"/>
      <c r="ALN251" s="302"/>
      <c r="ALO251" s="302"/>
      <c r="ALP251" s="302"/>
      <c r="ALQ251" s="302"/>
      <c r="ALR251" s="302"/>
      <c r="ALS251" s="302"/>
      <c r="ALT251" s="302"/>
      <c r="ALU251" s="302"/>
      <c r="ALV251" s="302"/>
      <c r="ALW251" s="302"/>
      <c r="ALX251" s="302"/>
      <c r="ALY251" s="302"/>
      <c r="ALZ251" s="302"/>
      <c r="AMA251" s="302"/>
      <c r="AMB251" s="302"/>
      <c r="AMC251" s="302"/>
      <c r="AMD251" s="302"/>
      <c r="AME251" s="302"/>
      <c r="AMF251" s="302"/>
      <c r="AMG251" s="302"/>
      <c r="AMH251" s="302"/>
      <c r="AMI251" s="302"/>
    </row>
    <row r="252" spans="1:1023" hidden="1">
      <c r="A252" s="302"/>
      <c r="B252" s="442">
        <v>14008</v>
      </c>
      <c r="C252" s="430">
        <v>0.08</v>
      </c>
      <c r="D252" s="370" t="s">
        <v>160</v>
      </c>
      <c r="E252" s="584">
        <v>3700000</v>
      </c>
      <c r="F252" s="500">
        <v>0.01</v>
      </c>
      <c r="G252" s="369">
        <f t="shared" si="13"/>
        <v>37000</v>
      </c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  <c r="AD252" s="302"/>
      <c r="AE252" s="302"/>
      <c r="AF252" s="302"/>
      <c r="AG252" s="302"/>
      <c r="AH252" s="302"/>
      <c r="AI252" s="302"/>
      <c r="AJ252" s="302"/>
      <c r="AK252" s="302"/>
      <c r="AL252" s="302"/>
      <c r="AM252" s="302"/>
      <c r="AN252" s="302"/>
      <c r="AO252" s="302"/>
      <c r="AP252" s="302"/>
      <c r="AQ252" s="302"/>
      <c r="AR252" s="302"/>
      <c r="AS252" s="302"/>
      <c r="AT252" s="302"/>
      <c r="AU252" s="302"/>
      <c r="AV252" s="302"/>
      <c r="AW252" s="302"/>
      <c r="AX252" s="302"/>
      <c r="AY252" s="302"/>
      <c r="AZ252" s="302"/>
      <c r="BA252" s="302"/>
      <c r="BB252" s="302"/>
      <c r="BC252" s="302"/>
      <c r="BD252" s="302"/>
      <c r="BE252" s="302"/>
      <c r="BF252" s="302"/>
      <c r="BG252" s="302"/>
      <c r="BH252" s="302"/>
      <c r="BI252" s="302"/>
      <c r="BJ252" s="302"/>
      <c r="BK252" s="302"/>
      <c r="BL252" s="302"/>
      <c r="BM252" s="302"/>
      <c r="BN252" s="302"/>
      <c r="BO252" s="302"/>
      <c r="BP252" s="302"/>
      <c r="BQ252" s="302"/>
      <c r="BR252" s="302"/>
      <c r="BS252" s="302"/>
      <c r="BT252" s="302"/>
      <c r="BU252" s="302"/>
      <c r="BV252" s="302"/>
      <c r="BW252" s="302"/>
      <c r="BX252" s="302"/>
      <c r="BY252" s="302"/>
      <c r="BZ252" s="302"/>
      <c r="CA252" s="302"/>
      <c r="CB252" s="302"/>
      <c r="CC252" s="302"/>
      <c r="CD252" s="302"/>
      <c r="CE252" s="302"/>
      <c r="CF252" s="302"/>
      <c r="CG252" s="302"/>
      <c r="CH252" s="302"/>
      <c r="CI252" s="302"/>
      <c r="CJ252" s="302"/>
      <c r="CK252" s="302"/>
      <c r="CL252" s="302"/>
      <c r="CM252" s="302"/>
      <c r="CN252" s="302"/>
      <c r="CO252" s="302"/>
      <c r="CP252" s="302"/>
      <c r="CQ252" s="302"/>
      <c r="CR252" s="302"/>
      <c r="CS252" s="302"/>
      <c r="CT252" s="302"/>
      <c r="CU252" s="302"/>
      <c r="CV252" s="302"/>
      <c r="CW252" s="302"/>
      <c r="CX252" s="302"/>
      <c r="CY252" s="302"/>
      <c r="CZ252" s="302"/>
      <c r="DA252" s="302"/>
      <c r="DB252" s="302"/>
      <c r="DC252" s="302"/>
      <c r="DD252" s="302"/>
      <c r="DE252" s="302"/>
      <c r="DF252" s="302"/>
      <c r="DG252" s="302"/>
      <c r="DH252" s="302"/>
      <c r="DI252" s="302"/>
      <c r="DJ252" s="302"/>
      <c r="DK252" s="302"/>
      <c r="DL252" s="302"/>
      <c r="DM252" s="302"/>
      <c r="DN252" s="302"/>
      <c r="DO252" s="302"/>
      <c r="DP252" s="302"/>
      <c r="DQ252" s="302"/>
      <c r="DR252" s="302"/>
      <c r="DS252" s="302"/>
      <c r="DT252" s="302"/>
      <c r="DU252" s="302"/>
      <c r="DV252" s="302"/>
      <c r="DW252" s="302"/>
      <c r="DX252" s="302"/>
      <c r="DY252" s="302"/>
      <c r="DZ252" s="302"/>
      <c r="EA252" s="302"/>
      <c r="EB252" s="302"/>
      <c r="EC252" s="302"/>
      <c r="ED252" s="302"/>
      <c r="EE252" s="302"/>
      <c r="EF252" s="302"/>
      <c r="EG252" s="302"/>
      <c r="EH252" s="302"/>
      <c r="EI252" s="302"/>
      <c r="EJ252" s="302"/>
      <c r="EK252" s="302"/>
      <c r="EL252" s="302"/>
      <c r="EM252" s="302"/>
      <c r="EN252" s="302"/>
      <c r="EO252" s="302"/>
      <c r="EP252" s="302"/>
      <c r="EQ252" s="302"/>
      <c r="ER252" s="302"/>
      <c r="ES252" s="302"/>
      <c r="ET252" s="302"/>
      <c r="EU252" s="302"/>
      <c r="EV252" s="302"/>
      <c r="EW252" s="302"/>
      <c r="EX252" s="302"/>
      <c r="EY252" s="302"/>
      <c r="EZ252" s="302"/>
      <c r="FA252" s="302"/>
      <c r="FB252" s="302"/>
      <c r="FC252" s="302"/>
      <c r="FD252" s="302"/>
      <c r="FE252" s="302"/>
      <c r="FF252" s="302"/>
      <c r="FG252" s="302"/>
      <c r="FH252" s="302"/>
      <c r="FI252" s="302"/>
      <c r="FJ252" s="302"/>
      <c r="FK252" s="302"/>
      <c r="FL252" s="302"/>
      <c r="FM252" s="302"/>
      <c r="FN252" s="302"/>
      <c r="FO252" s="302"/>
      <c r="FP252" s="302"/>
      <c r="FQ252" s="302"/>
      <c r="FR252" s="302"/>
      <c r="FS252" s="302"/>
      <c r="FT252" s="302"/>
      <c r="FU252" s="302"/>
      <c r="FV252" s="302"/>
      <c r="FW252" s="302"/>
      <c r="FX252" s="302"/>
      <c r="FY252" s="302"/>
      <c r="FZ252" s="302"/>
      <c r="GA252" s="302"/>
      <c r="GB252" s="302"/>
      <c r="GC252" s="302"/>
      <c r="GD252" s="302"/>
      <c r="GE252" s="302"/>
      <c r="GF252" s="302"/>
      <c r="GG252" s="302"/>
      <c r="GH252" s="302"/>
      <c r="GI252" s="302"/>
      <c r="GJ252" s="302"/>
      <c r="GK252" s="302"/>
      <c r="GL252" s="302"/>
      <c r="GM252" s="302"/>
      <c r="GN252" s="302"/>
      <c r="GO252" s="302"/>
      <c r="GP252" s="302"/>
      <c r="GQ252" s="302"/>
      <c r="GR252" s="302"/>
      <c r="GS252" s="302"/>
      <c r="GT252" s="302"/>
      <c r="GU252" s="302"/>
      <c r="GV252" s="302"/>
      <c r="GW252" s="302"/>
      <c r="GX252" s="302"/>
      <c r="GY252" s="302"/>
      <c r="GZ252" s="302"/>
      <c r="HA252" s="302"/>
      <c r="HB252" s="302"/>
      <c r="HC252" s="302"/>
      <c r="HD252" s="302"/>
      <c r="HE252" s="302"/>
      <c r="HF252" s="302"/>
      <c r="HG252" s="302"/>
      <c r="HH252" s="302"/>
      <c r="HI252" s="302"/>
      <c r="HJ252" s="302"/>
      <c r="HK252" s="302"/>
      <c r="HL252" s="302"/>
      <c r="HM252" s="302"/>
      <c r="HN252" s="302"/>
      <c r="HO252" s="302"/>
      <c r="HP252" s="302"/>
      <c r="HQ252" s="302"/>
      <c r="HR252" s="302"/>
      <c r="HS252" s="302"/>
      <c r="HT252" s="302"/>
      <c r="HU252" s="302"/>
      <c r="HV252" s="302"/>
      <c r="HW252" s="302"/>
      <c r="HX252" s="302"/>
      <c r="HY252" s="302"/>
      <c r="HZ252" s="302"/>
      <c r="IA252" s="302"/>
      <c r="IB252" s="302"/>
      <c r="IC252" s="302"/>
      <c r="ID252" s="302"/>
      <c r="IE252" s="302"/>
      <c r="IF252" s="302"/>
      <c r="IG252" s="302"/>
      <c r="IH252" s="302"/>
      <c r="II252" s="302"/>
      <c r="IJ252" s="302"/>
      <c r="IK252" s="302"/>
      <c r="IL252" s="302"/>
      <c r="IM252" s="302"/>
      <c r="IN252" s="302"/>
      <c r="IO252" s="302"/>
      <c r="IP252" s="302"/>
      <c r="IQ252" s="302"/>
      <c r="IR252" s="302"/>
      <c r="IS252" s="302"/>
      <c r="IT252" s="302"/>
      <c r="IU252" s="302"/>
      <c r="IV252" s="302"/>
      <c r="IW252" s="302"/>
      <c r="IX252" s="302"/>
      <c r="IY252" s="302"/>
      <c r="IZ252" s="302"/>
      <c r="JA252" s="302"/>
      <c r="JB252" s="302"/>
      <c r="JC252" s="302"/>
      <c r="JD252" s="302"/>
      <c r="JE252" s="302"/>
      <c r="JF252" s="302"/>
      <c r="JG252" s="302"/>
      <c r="JH252" s="302"/>
      <c r="JI252" s="302"/>
      <c r="JJ252" s="302"/>
      <c r="JK252" s="302"/>
      <c r="JL252" s="302"/>
      <c r="JM252" s="302"/>
      <c r="JN252" s="302"/>
      <c r="JO252" s="302"/>
      <c r="JP252" s="302"/>
      <c r="JQ252" s="302"/>
      <c r="JR252" s="302"/>
      <c r="JS252" s="302"/>
      <c r="JT252" s="302"/>
      <c r="JU252" s="302"/>
      <c r="JV252" s="302"/>
      <c r="JW252" s="302"/>
      <c r="JX252" s="302"/>
      <c r="JY252" s="302"/>
      <c r="JZ252" s="302"/>
      <c r="KA252" s="302"/>
      <c r="KB252" s="302"/>
      <c r="KC252" s="302"/>
      <c r="KD252" s="302"/>
      <c r="KE252" s="302"/>
      <c r="KF252" s="302"/>
      <c r="KG252" s="302"/>
      <c r="KH252" s="302"/>
      <c r="KI252" s="302"/>
      <c r="KJ252" s="302"/>
      <c r="KK252" s="302"/>
      <c r="KL252" s="302"/>
      <c r="KM252" s="302"/>
      <c r="KN252" s="302"/>
      <c r="KO252" s="302"/>
      <c r="KP252" s="302"/>
      <c r="KQ252" s="302"/>
      <c r="KR252" s="302"/>
      <c r="KS252" s="302"/>
      <c r="KT252" s="302"/>
      <c r="KU252" s="302"/>
      <c r="KV252" s="302"/>
      <c r="KW252" s="302"/>
      <c r="KX252" s="302"/>
      <c r="KY252" s="302"/>
      <c r="KZ252" s="302"/>
      <c r="LA252" s="302"/>
      <c r="LB252" s="302"/>
      <c r="LC252" s="302"/>
      <c r="LD252" s="302"/>
      <c r="LE252" s="302"/>
      <c r="LF252" s="302"/>
      <c r="LG252" s="302"/>
      <c r="LH252" s="302"/>
      <c r="LI252" s="302"/>
      <c r="LJ252" s="302"/>
      <c r="LK252" s="302"/>
      <c r="LL252" s="302"/>
      <c r="LM252" s="302"/>
      <c r="LN252" s="302"/>
      <c r="LO252" s="302"/>
      <c r="LP252" s="302"/>
      <c r="LQ252" s="302"/>
      <c r="LR252" s="302"/>
      <c r="LS252" s="302"/>
      <c r="LT252" s="302"/>
      <c r="LU252" s="302"/>
      <c r="LV252" s="302"/>
      <c r="LW252" s="302"/>
      <c r="LX252" s="302"/>
      <c r="LY252" s="302"/>
      <c r="LZ252" s="302"/>
      <c r="MA252" s="302"/>
      <c r="MB252" s="302"/>
      <c r="MC252" s="302"/>
      <c r="MD252" s="302"/>
      <c r="ME252" s="302"/>
      <c r="MF252" s="302"/>
      <c r="MG252" s="302"/>
      <c r="MH252" s="302"/>
      <c r="MI252" s="302"/>
      <c r="MJ252" s="302"/>
      <c r="MK252" s="302"/>
      <c r="ML252" s="302"/>
      <c r="MM252" s="302"/>
      <c r="MN252" s="302"/>
      <c r="MO252" s="302"/>
      <c r="MP252" s="302"/>
      <c r="MQ252" s="302"/>
      <c r="MR252" s="302"/>
      <c r="MS252" s="302"/>
      <c r="MT252" s="302"/>
      <c r="MU252" s="302"/>
      <c r="MV252" s="302"/>
      <c r="MW252" s="302"/>
      <c r="MX252" s="302"/>
      <c r="MY252" s="302"/>
      <c r="MZ252" s="302"/>
      <c r="NA252" s="302"/>
      <c r="NB252" s="302"/>
      <c r="NC252" s="302"/>
      <c r="ND252" s="302"/>
      <c r="NE252" s="302"/>
      <c r="NF252" s="302"/>
      <c r="NG252" s="302"/>
      <c r="NH252" s="302"/>
      <c r="NI252" s="302"/>
      <c r="NJ252" s="302"/>
      <c r="NK252" s="302"/>
      <c r="NL252" s="302"/>
      <c r="NM252" s="302"/>
      <c r="NN252" s="302"/>
      <c r="NO252" s="302"/>
      <c r="NP252" s="302"/>
      <c r="NQ252" s="302"/>
      <c r="NR252" s="302"/>
      <c r="NS252" s="302"/>
      <c r="NT252" s="302"/>
      <c r="NU252" s="302"/>
      <c r="NV252" s="302"/>
      <c r="NW252" s="302"/>
      <c r="NX252" s="302"/>
      <c r="NY252" s="302"/>
      <c r="NZ252" s="302"/>
      <c r="OA252" s="302"/>
      <c r="OB252" s="302"/>
      <c r="OC252" s="302"/>
      <c r="OD252" s="302"/>
      <c r="OE252" s="302"/>
      <c r="OF252" s="302"/>
      <c r="OG252" s="302"/>
      <c r="OH252" s="302"/>
      <c r="OI252" s="302"/>
      <c r="OJ252" s="302"/>
      <c r="OK252" s="302"/>
      <c r="OL252" s="302"/>
      <c r="OM252" s="302"/>
      <c r="ON252" s="302"/>
      <c r="OO252" s="302"/>
      <c r="OP252" s="302"/>
      <c r="OQ252" s="302"/>
      <c r="OR252" s="302"/>
      <c r="OS252" s="302"/>
      <c r="OT252" s="302"/>
      <c r="OU252" s="302"/>
      <c r="OV252" s="302"/>
      <c r="OW252" s="302"/>
      <c r="OX252" s="302"/>
      <c r="OY252" s="302"/>
      <c r="OZ252" s="302"/>
      <c r="PA252" s="302"/>
      <c r="PB252" s="302"/>
      <c r="PC252" s="302"/>
      <c r="PD252" s="302"/>
      <c r="PE252" s="302"/>
      <c r="PF252" s="302"/>
      <c r="PG252" s="302"/>
      <c r="PH252" s="302"/>
      <c r="PI252" s="302"/>
      <c r="PJ252" s="302"/>
      <c r="PK252" s="302"/>
      <c r="PL252" s="302"/>
      <c r="PM252" s="302"/>
      <c r="PN252" s="302"/>
      <c r="PO252" s="302"/>
      <c r="PP252" s="302"/>
      <c r="PQ252" s="302"/>
      <c r="PR252" s="302"/>
      <c r="PS252" s="302"/>
      <c r="PT252" s="302"/>
      <c r="PU252" s="302"/>
      <c r="PV252" s="302"/>
      <c r="PW252" s="302"/>
      <c r="PX252" s="302"/>
      <c r="PY252" s="302"/>
      <c r="PZ252" s="302"/>
      <c r="QA252" s="302"/>
      <c r="QB252" s="302"/>
      <c r="QC252" s="302"/>
      <c r="QD252" s="302"/>
      <c r="QE252" s="302"/>
      <c r="QF252" s="302"/>
      <c r="QG252" s="302"/>
      <c r="QH252" s="302"/>
      <c r="QI252" s="302"/>
      <c r="QJ252" s="302"/>
      <c r="QK252" s="302"/>
      <c r="QL252" s="302"/>
      <c r="QM252" s="302"/>
      <c r="QN252" s="302"/>
      <c r="QO252" s="302"/>
      <c r="QP252" s="302"/>
      <c r="QQ252" s="302"/>
      <c r="QR252" s="302"/>
      <c r="QS252" s="302"/>
      <c r="QT252" s="302"/>
      <c r="QU252" s="302"/>
      <c r="QV252" s="302"/>
      <c r="QW252" s="302"/>
      <c r="QX252" s="302"/>
      <c r="QY252" s="302"/>
      <c r="QZ252" s="302"/>
      <c r="RA252" s="302"/>
      <c r="RB252" s="302"/>
      <c r="RC252" s="302"/>
      <c r="RD252" s="302"/>
      <c r="RE252" s="302"/>
      <c r="RF252" s="302"/>
      <c r="RG252" s="302"/>
      <c r="RH252" s="302"/>
      <c r="RI252" s="302"/>
      <c r="RJ252" s="302"/>
      <c r="RK252" s="302"/>
      <c r="RL252" s="302"/>
      <c r="RM252" s="302"/>
      <c r="RN252" s="302"/>
      <c r="RO252" s="302"/>
      <c r="RP252" s="302"/>
      <c r="RQ252" s="302"/>
      <c r="RR252" s="302"/>
      <c r="RS252" s="302"/>
      <c r="RT252" s="302"/>
      <c r="RU252" s="302"/>
      <c r="RV252" s="302"/>
      <c r="RW252" s="302"/>
      <c r="RX252" s="302"/>
      <c r="RY252" s="302"/>
      <c r="RZ252" s="302"/>
      <c r="SA252" s="302"/>
      <c r="SB252" s="302"/>
      <c r="SC252" s="302"/>
      <c r="SD252" s="302"/>
      <c r="SE252" s="302"/>
      <c r="SF252" s="302"/>
      <c r="SG252" s="302"/>
      <c r="SH252" s="302"/>
      <c r="SI252" s="302"/>
      <c r="SJ252" s="302"/>
      <c r="SK252" s="302"/>
      <c r="SL252" s="302"/>
      <c r="SM252" s="302"/>
      <c r="SN252" s="302"/>
      <c r="SO252" s="302"/>
      <c r="SP252" s="302"/>
      <c r="SQ252" s="302"/>
      <c r="SR252" s="302"/>
      <c r="SS252" s="302"/>
      <c r="ST252" s="302"/>
      <c r="SU252" s="302"/>
      <c r="SV252" s="302"/>
      <c r="SW252" s="302"/>
      <c r="SX252" s="302"/>
      <c r="SY252" s="302"/>
      <c r="SZ252" s="302"/>
      <c r="TA252" s="302"/>
      <c r="TB252" s="302"/>
      <c r="TC252" s="302"/>
      <c r="TD252" s="302"/>
      <c r="TE252" s="302"/>
      <c r="TF252" s="302"/>
      <c r="TG252" s="302"/>
      <c r="TH252" s="302"/>
      <c r="TI252" s="302"/>
      <c r="TJ252" s="302"/>
      <c r="TK252" s="302"/>
      <c r="TL252" s="302"/>
      <c r="TM252" s="302"/>
      <c r="TN252" s="302"/>
      <c r="TO252" s="302"/>
      <c r="TP252" s="302"/>
      <c r="TQ252" s="302"/>
      <c r="TR252" s="302"/>
      <c r="TS252" s="302"/>
      <c r="TT252" s="302"/>
      <c r="TU252" s="302"/>
      <c r="TV252" s="302"/>
      <c r="TW252" s="302"/>
      <c r="TX252" s="302"/>
      <c r="TY252" s="302"/>
      <c r="TZ252" s="302"/>
      <c r="UA252" s="302"/>
      <c r="UB252" s="302"/>
      <c r="UC252" s="302"/>
      <c r="UD252" s="302"/>
      <c r="UE252" s="302"/>
      <c r="UF252" s="302"/>
      <c r="UG252" s="302"/>
      <c r="UH252" s="302"/>
      <c r="UI252" s="302"/>
      <c r="UJ252" s="302"/>
      <c r="UK252" s="302"/>
      <c r="UL252" s="302"/>
      <c r="UM252" s="302"/>
      <c r="UN252" s="302"/>
      <c r="UO252" s="302"/>
      <c r="UP252" s="302"/>
      <c r="UQ252" s="302"/>
      <c r="UR252" s="302"/>
      <c r="US252" s="302"/>
      <c r="UT252" s="302"/>
      <c r="UU252" s="302"/>
      <c r="UV252" s="302"/>
      <c r="UW252" s="302"/>
      <c r="UX252" s="302"/>
      <c r="UY252" s="302"/>
      <c r="UZ252" s="302"/>
      <c r="VA252" s="302"/>
      <c r="VB252" s="302"/>
      <c r="VC252" s="302"/>
      <c r="VD252" s="302"/>
      <c r="VE252" s="302"/>
      <c r="VF252" s="302"/>
      <c r="VG252" s="302"/>
      <c r="VH252" s="302"/>
      <c r="VI252" s="302"/>
      <c r="VJ252" s="302"/>
      <c r="VK252" s="302"/>
      <c r="VL252" s="302"/>
      <c r="VM252" s="302"/>
      <c r="VN252" s="302"/>
      <c r="VO252" s="302"/>
      <c r="VP252" s="302"/>
      <c r="VQ252" s="302"/>
      <c r="VR252" s="302"/>
      <c r="VS252" s="302"/>
      <c r="VT252" s="302"/>
      <c r="VU252" s="302"/>
      <c r="VV252" s="302"/>
      <c r="VW252" s="302"/>
      <c r="VX252" s="302"/>
      <c r="VY252" s="302"/>
      <c r="VZ252" s="302"/>
      <c r="WA252" s="302"/>
      <c r="WB252" s="302"/>
      <c r="WC252" s="302"/>
      <c r="WD252" s="302"/>
      <c r="WE252" s="302"/>
      <c r="WF252" s="302"/>
      <c r="WG252" s="302"/>
      <c r="WH252" s="302"/>
      <c r="WI252" s="302"/>
      <c r="WJ252" s="302"/>
      <c r="WK252" s="302"/>
      <c r="WL252" s="302"/>
      <c r="WM252" s="302"/>
      <c r="WN252" s="302"/>
      <c r="WO252" s="302"/>
      <c r="WP252" s="302"/>
      <c r="WQ252" s="302"/>
      <c r="WR252" s="302"/>
      <c r="WS252" s="302"/>
      <c r="WT252" s="302"/>
      <c r="WU252" s="302"/>
      <c r="WV252" s="302"/>
      <c r="WW252" s="302"/>
      <c r="WX252" s="302"/>
      <c r="WY252" s="302"/>
      <c r="WZ252" s="302"/>
      <c r="XA252" s="302"/>
      <c r="XB252" s="302"/>
      <c r="XC252" s="302"/>
      <c r="XD252" s="302"/>
      <c r="XE252" s="302"/>
      <c r="XF252" s="302"/>
      <c r="XG252" s="302"/>
      <c r="XH252" s="302"/>
      <c r="XI252" s="302"/>
      <c r="XJ252" s="302"/>
      <c r="XK252" s="302"/>
      <c r="XL252" s="302"/>
      <c r="XM252" s="302"/>
      <c r="XN252" s="302"/>
      <c r="XO252" s="302"/>
      <c r="XP252" s="302"/>
      <c r="XQ252" s="302"/>
      <c r="XR252" s="302"/>
      <c r="XS252" s="302"/>
      <c r="XT252" s="302"/>
      <c r="XU252" s="302"/>
      <c r="XV252" s="302"/>
      <c r="XW252" s="302"/>
      <c r="XX252" s="302"/>
      <c r="XY252" s="302"/>
      <c r="XZ252" s="302"/>
      <c r="YA252" s="302"/>
      <c r="YB252" s="302"/>
      <c r="YC252" s="302"/>
      <c r="YD252" s="302"/>
      <c r="YE252" s="302"/>
      <c r="YF252" s="302"/>
      <c r="YG252" s="302"/>
      <c r="YH252" s="302"/>
      <c r="YI252" s="302"/>
      <c r="YJ252" s="302"/>
      <c r="YK252" s="302"/>
      <c r="YL252" s="302"/>
      <c r="YM252" s="302"/>
      <c r="YN252" s="302"/>
      <c r="YO252" s="302"/>
      <c r="YP252" s="302"/>
      <c r="YQ252" s="302"/>
      <c r="YR252" s="302"/>
      <c r="YS252" s="302"/>
      <c r="YT252" s="302"/>
      <c r="YU252" s="302"/>
      <c r="YV252" s="302"/>
      <c r="YW252" s="302"/>
      <c r="YX252" s="302"/>
      <c r="YY252" s="302"/>
      <c r="YZ252" s="302"/>
      <c r="ZA252" s="302"/>
      <c r="ZB252" s="302"/>
      <c r="ZC252" s="302"/>
      <c r="ZD252" s="302"/>
      <c r="ZE252" s="302"/>
      <c r="ZF252" s="302"/>
      <c r="ZG252" s="302"/>
      <c r="ZH252" s="302"/>
      <c r="ZI252" s="302"/>
      <c r="ZJ252" s="302"/>
      <c r="ZK252" s="302"/>
      <c r="ZL252" s="302"/>
      <c r="ZM252" s="302"/>
      <c r="ZN252" s="302"/>
      <c r="ZO252" s="302"/>
      <c r="ZP252" s="302"/>
      <c r="ZQ252" s="302"/>
      <c r="ZR252" s="302"/>
      <c r="ZS252" s="302"/>
      <c r="ZT252" s="302"/>
      <c r="ZU252" s="302"/>
      <c r="ZV252" s="302"/>
      <c r="ZW252" s="302"/>
      <c r="ZX252" s="302"/>
      <c r="ZY252" s="302"/>
      <c r="ZZ252" s="302"/>
      <c r="AAA252" s="302"/>
      <c r="AAB252" s="302"/>
      <c r="AAC252" s="302"/>
      <c r="AAD252" s="302"/>
      <c r="AAE252" s="302"/>
      <c r="AAF252" s="302"/>
      <c r="AAG252" s="302"/>
      <c r="AAH252" s="302"/>
      <c r="AAI252" s="302"/>
      <c r="AAJ252" s="302"/>
      <c r="AAK252" s="302"/>
      <c r="AAL252" s="302"/>
      <c r="AAM252" s="302"/>
      <c r="AAN252" s="302"/>
      <c r="AAO252" s="302"/>
      <c r="AAP252" s="302"/>
      <c r="AAQ252" s="302"/>
      <c r="AAR252" s="302"/>
      <c r="AAS252" s="302"/>
      <c r="AAT252" s="302"/>
      <c r="AAU252" s="302"/>
      <c r="AAV252" s="302"/>
      <c r="AAW252" s="302"/>
      <c r="AAX252" s="302"/>
      <c r="AAY252" s="302"/>
      <c r="AAZ252" s="302"/>
      <c r="ABA252" s="302"/>
      <c r="ABB252" s="302"/>
      <c r="ABC252" s="302"/>
      <c r="ABD252" s="302"/>
      <c r="ABE252" s="302"/>
      <c r="ABF252" s="302"/>
      <c r="ABG252" s="302"/>
      <c r="ABH252" s="302"/>
      <c r="ABI252" s="302"/>
      <c r="ABJ252" s="302"/>
      <c r="ABK252" s="302"/>
      <c r="ABL252" s="302"/>
      <c r="ABM252" s="302"/>
      <c r="ABN252" s="302"/>
      <c r="ABO252" s="302"/>
      <c r="ABP252" s="302"/>
      <c r="ABQ252" s="302"/>
      <c r="ABR252" s="302"/>
      <c r="ABS252" s="302"/>
      <c r="ABT252" s="302"/>
      <c r="ABU252" s="302"/>
      <c r="ABV252" s="302"/>
      <c r="ABW252" s="302"/>
      <c r="ABX252" s="302"/>
      <c r="ABY252" s="302"/>
      <c r="ABZ252" s="302"/>
      <c r="ACA252" s="302"/>
      <c r="ACB252" s="302"/>
      <c r="ACC252" s="302"/>
      <c r="ACD252" s="302"/>
      <c r="ACE252" s="302"/>
      <c r="ACF252" s="302"/>
      <c r="ACG252" s="302"/>
      <c r="ACH252" s="302"/>
      <c r="ACI252" s="302"/>
      <c r="ACJ252" s="302"/>
      <c r="ACK252" s="302"/>
      <c r="ACL252" s="302"/>
      <c r="ACM252" s="302"/>
      <c r="ACN252" s="302"/>
      <c r="ACO252" s="302"/>
      <c r="ACP252" s="302"/>
      <c r="ACQ252" s="302"/>
      <c r="ACR252" s="302"/>
      <c r="ACS252" s="302"/>
      <c r="ACT252" s="302"/>
      <c r="ACU252" s="302"/>
      <c r="ACV252" s="302"/>
      <c r="ACW252" s="302"/>
      <c r="ACX252" s="302"/>
      <c r="ACY252" s="302"/>
      <c r="ACZ252" s="302"/>
      <c r="ADA252" s="302"/>
      <c r="ADB252" s="302"/>
      <c r="ADC252" s="302"/>
      <c r="ADD252" s="302"/>
      <c r="ADE252" s="302"/>
      <c r="ADF252" s="302"/>
      <c r="ADG252" s="302"/>
      <c r="ADH252" s="302"/>
      <c r="ADI252" s="302"/>
      <c r="ADJ252" s="302"/>
      <c r="ADK252" s="302"/>
      <c r="ADL252" s="302"/>
      <c r="ADM252" s="302"/>
      <c r="ADN252" s="302"/>
      <c r="ADO252" s="302"/>
      <c r="ADP252" s="302"/>
      <c r="ADQ252" s="302"/>
      <c r="ADR252" s="302"/>
      <c r="ADS252" s="302"/>
      <c r="ADT252" s="302"/>
      <c r="ADU252" s="302"/>
      <c r="ADV252" s="302"/>
      <c r="ADW252" s="302"/>
      <c r="ADX252" s="302"/>
      <c r="ADY252" s="302"/>
      <c r="ADZ252" s="302"/>
      <c r="AEA252" s="302"/>
      <c r="AEB252" s="302"/>
      <c r="AEC252" s="302"/>
      <c r="AED252" s="302"/>
      <c r="AEE252" s="302"/>
      <c r="AEF252" s="302"/>
      <c r="AEG252" s="302"/>
      <c r="AEH252" s="302"/>
      <c r="AEI252" s="302"/>
      <c r="AEJ252" s="302"/>
      <c r="AEK252" s="302"/>
      <c r="AEL252" s="302"/>
      <c r="AEM252" s="302"/>
      <c r="AEN252" s="302"/>
      <c r="AEO252" s="302"/>
      <c r="AEP252" s="302"/>
      <c r="AEQ252" s="302"/>
      <c r="AER252" s="302"/>
      <c r="AES252" s="302"/>
      <c r="AET252" s="302"/>
      <c r="AEU252" s="302"/>
      <c r="AEV252" s="302"/>
      <c r="AEW252" s="302"/>
      <c r="AEX252" s="302"/>
      <c r="AEY252" s="302"/>
      <c r="AEZ252" s="302"/>
      <c r="AFA252" s="302"/>
      <c r="AFB252" s="302"/>
      <c r="AFC252" s="302"/>
      <c r="AFD252" s="302"/>
      <c r="AFE252" s="302"/>
      <c r="AFF252" s="302"/>
      <c r="AFG252" s="302"/>
      <c r="AFH252" s="302"/>
      <c r="AFI252" s="302"/>
      <c r="AFJ252" s="302"/>
      <c r="AFK252" s="302"/>
      <c r="AFL252" s="302"/>
      <c r="AFM252" s="302"/>
      <c r="AFN252" s="302"/>
      <c r="AFO252" s="302"/>
      <c r="AFP252" s="302"/>
      <c r="AFQ252" s="302"/>
      <c r="AFR252" s="302"/>
      <c r="AFS252" s="302"/>
      <c r="AFT252" s="302"/>
      <c r="AFU252" s="302"/>
      <c r="AFV252" s="302"/>
      <c r="AFW252" s="302"/>
      <c r="AFX252" s="302"/>
      <c r="AFY252" s="302"/>
      <c r="AFZ252" s="302"/>
      <c r="AGA252" s="302"/>
      <c r="AGB252" s="302"/>
      <c r="AGC252" s="302"/>
      <c r="AGD252" s="302"/>
      <c r="AGE252" s="302"/>
      <c r="AGF252" s="302"/>
      <c r="AGG252" s="302"/>
      <c r="AGH252" s="302"/>
      <c r="AGI252" s="302"/>
      <c r="AGJ252" s="302"/>
      <c r="AGK252" s="302"/>
      <c r="AGL252" s="302"/>
      <c r="AGM252" s="302"/>
      <c r="AGN252" s="302"/>
      <c r="AGO252" s="302"/>
      <c r="AGP252" s="302"/>
      <c r="AGQ252" s="302"/>
      <c r="AGR252" s="302"/>
      <c r="AGS252" s="302"/>
      <c r="AGT252" s="302"/>
      <c r="AGU252" s="302"/>
      <c r="AGV252" s="302"/>
      <c r="AGW252" s="302"/>
      <c r="AGX252" s="302"/>
      <c r="AGY252" s="302"/>
      <c r="AGZ252" s="302"/>
      <c r="AHA252" s="302"/>
      <c r="AHB252" s="302"/>
      <c r="AHC252" s="302"/>
      <c r="AHD252" s="302"/>
      <c r="AHE252" s="302"/>
      <c r="AHF252" s="302"/>
      <c r="AHG252" s="302"/>
      <c r="AHH252" s="302"/>
      <c r="AHI252" s="302"/>
      <c r="AHJ252" s="302"/>
      <c r="AHK252" s="302"/>
      <c r="AHL252" s="302"/>
      <c r="AHM252" s="302"/>
      <c r="AHN252" s="302"/>
      <c r="AHO252" s="302"/>
      <c r="AHP252" s="302"/>
      <c r="AHQ252" s="302"/>
      <c r="AHR252" s="302"/>
      <c r="AHS252" s="302"/>
      <c r="AHT252" s="302"/>
      <c r="AHU252" s="302"/>
      <c r="AHV252" s="302"/>
      <c r="AHW252" s="302"/>
      <c r="AHX252" s="302"/>
      <c r="AHY252" s="302"/>
      <c r="AHZ252" s="302"/>
      <c r="AIA252" s="302"/>
      <c r="AIB252" s="302"/>
      <c r="AIC252" s="302"/>
      <c r="AID252" s="302"/>
      <c r="AIE252" s="302"/>
      <c r="AIF252" s="302"/>
      <c r="AIG252" s="302"/>
      <c r="AIH252" s="302"/>
      <c r="AII252" s="302"/>
      <c r="AIJ252" s="302"/>
      <c r="AIK252" s="302"/>
      <c r="AIL252" s="302"/>
      <c r="AIM252" s="302"/>
      <c r="AIN252" s="302"/>
      <c r="AIO252" s="302"/>
      <c r="AIP252" s="302"/>
      <c r="AIQ252" s="302"/>
      <c r="AIR252" s="302"/>
      <c r="AIS252" s="302"/>
      <c r="AIT252" s="302"/>
      <c r="AIU252" s="302"/>
      <c r="AIV252" s="302"/>
      <c r="AIW252" s="302"/>
      <c r="AIX252" s="302"/>
      <c r="AIY252" s="302"/>
      <c r="AIZ252" s="302"/>
      <c r="AJA252" s="302"/>
      <c r="AJB252" s="302"/>
      <c r="AJC252" s="302"/>
      <c r="AJD252" s="302"/>
      <c r="AJE252" s="302"/>
      <c r="AJF252" s="302"/>
      <c r="AJG252" s="302"/>
      <c r="AJH252" s="302"/>
      <c r="AJI252" s="302"/>
      <c r="AJJ252" s="302"/>
      <c r="AJK252" s="302"/>
      <c r="AJL252" s="302"/>
      <c r="AJM252" s="302"/>
      <c r="AJN252" s="302"/>
      <c r="AJO252" s="302"/>
      <c r="AJP252" s="302"/>
      <c r="AJQ252" s="302"/>
      <c r="AJR252" s="302"/>
      <c r="AJS252" s="302"/>
      <c r="AJT252" s="302"/>
      <c r="AJU252" s="302"/>
      <c r="AJV252" s="302"/>
      <c r="AJW252" s="302"/>
      <c r="AJX252" s="302"/>
      <c r="AJY252" s="302"/>
      <c r="AJZ252" s="302"/>
      <c r="AKA252" s="302"/>
      <c r="AKB252" s="302"/>
      <c r="AKC252" s="302"/>
      <c r="AKD252" s="302"/>
      <c r="AKE252" s="302"/>
      <c r="AKF252" s="302"/>
      <c r="AKG252" s="302"/>
      <c r="AKH252" s="302"/>
      <c r="AKI252" s="302"/>
      <c r="AKJ252" s="302"/>
      <c r="AKK252" s="302"/>
      <c r="AKL252" s="302"/>
      <c r="AKM252" s="302"/>
      <c r="AKN252" s="302"/>
      <c r="AKO252" s="302"/>
      <c r="AKP252" s="302"/>
      <c r="AKQ252" s="302"/>
      <c r="AKR252" s="302"/>
      <c r="AKS252" s="302"/>
      <c r="AKT252" s="302"/>
      <c r="AKU252" s="302"/>
      <c r="AKV252" s="302"/>
      <c r="AKW252" s="302"/>
      <c r="AKX252" s="302"/>
      <c r="AKY252" s="302"/>
      <c r="AKZ252" s="302"/>
      <c r="ALA252" s="302"/>
      <c r="ALB252" s="302"/>
      <c r="ALC252" s="302"/>
      <c r="ALD252" s="302"/>
      <c r="ALE252" s="302"/>
      <c r="ALF252" s="302"/>
      <c r="ALG252" s="302"/>
      <c r="ALH252" s="302"/>
      <c r="ALI252" s="302"/>
      <c r="ALJ252" s="302"/>
      <c r="ALK252" s="302"/>
      <c r="ALL252" s="302"/>
      <c r="ALM252" s="302"/>
      <c r="ALN252" s="302"/>
      <c r="ALO252" s="302"/>
      <c r="ALP252" s="302"/>
      <c r="ALQ252" s="302"/>
      <c r="ALR252" s="302"/>
      <c r="ALS252" s="302"/>
      <c r="ALT252" s="302"/>
      <c r="ALU252" s="302"/>
      <c r="ALV252" s="302"/>
      <c r="ALW252" s="302"/>
      <c r="ALX252" s="302"/>
      <c r="ALY252" s="302"/>
      <c r="ALZ252" s="302"/>
      <c r="AMA252" s="302"/>
      <c r="AMB252" s="302"/>
      <c r="AMC252" s="302"/>
      <c r="AMD252" s="302"/>
      <c r="AME252" s="302"/>
      <c r="AMF252" s="302"/>
      <c r="AMG252" s="302"/>
      <c r="AMH252" s="302"/>
      <c r="AMI252" s="302"/>
    </row>
    <row r="253" spans="1:1023" hidden="1">
      <c r="A253" s="302"/>
      <c r="B253" s="442">
        <v>14075</v>
      </c>
      <c r="C253" s="432">
        <v>0.1</v>
      </c>
      <c r="D253" s="370" t="s">
        <v>161</v>
      </c>
      <c r="E253" s="584">
        <v>3500000</v>
      </c>
      <c r="F253" s="499">
        <v>0.02</v>
      </c>
      <c r="G253" s="369">
        <f t="shared" si="13"/>
        <v>70000</v>
      </c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  <c r="AD253" s="302"/>
      <c r="AE253" s="302"/>
      <c r="AF253" s="302"/>
      <c r="AG253" s="302"/>
      <c r="AH253" s="302"/>
      <c r="AI253" s="302"/>
      <c r="AJ253" s="302"/>
      <c r="AK253" s="302"/>
      <c r="AL253" s="302"/>
      <c r="AM253" s="302"/>
      <c r="AN253" s="302"/>
      <c r="AO253" s="302"/>
      <c r="AP253" s="302"/>
      <c r="AQ253" s="302"/>
      <c r="AR253" s="302"/>
      <c r="AS253" s="302"/>
      <c r="AT253" s="302"/>
      <c r="AU253" s="302"/>
      <c r="AV253" s="302"/>
      <c r="AW253" s="302"/>
      <c r="AX253" s="302"/>
      <c r="AY253" s="302"/>
      <c r="AZ253" s="302"/>
      <c r="BA253" s="302"/>
      <c r="BB253" s="302"/>
      <c r="BC253" s="302"/>
      <c r="BD253" s="302"/>
      <c r="BE253" s="302"/>
      <c r="BF253" s="302"/>
      <c r="BG253" s="302"/>
      <c r="BH253" s="302"/>
      <c r="BI253" s="302"/>
      <c r="BJ253" s="302"/>
      <c r="BK253" s="302"/>
      <c r="BL253" s="302"/>
      <c r="BM253" s="302"/>
      <c r="BN253" s="302"/>
      <c r="BO253" s="302"/>
      <c r="BP253" s="302"/>
      <c r="BQ253" s="302"/>
      <c r="BR253" s="302"/>
      <c r="BS253" s="302"/>
      <c r="BT253" s="302"/>
      <c r="BU253" s="302"/>
      <c r="BV253" s="302"/>
      <c r="BW253" s="302"/>
      <c r="BX253" s="302"/>
      <c r="BY253" s="302"/>
      <c r="BZ253" s="302"/>
      <c r="CA253" s="302"/>
      <c r="CB253" s="302"/>
      <c r="CC253" s="302"/>
      <c r="CD253" s="302"/>
      <c r="CE253" s="302"/>
      <c r="CF253" s="302"/>
      <c r="CG253" s="302"/>
      <c r="CH253" s="302"/>
      <c r="CI253" s="302"/>
      <c r="CJ253" s="302"/>
      <c r="CK253" s="302"/>
      <c r="CL253" s="302"/>
      <c r="CM253" s="302"/>
      <c r="CN253" s="302"/>
      <c r="CO253" s="302"/>
      <c r="CP253" s="302"/>
      <c r="CQ253" s="302"/>
      <c r="CR253" s="302"/>
      <c r="CS253" s="302"/>
      <c r="CT253" s="302"/>
      <c r="CU253" s="302"/>
      <c r="CV253" s="302"/>
      <c r="CW253" s="302"/>
      <c r="CX253" s="302"/>
      <c r="CY253" s="302"/>
      <c r="CZ253" s="302"/>
      <c r="DA253" s="302"/>
      <c r="DB253" s="302"/>
      <c r="DC253" s="302"/>
      <c r="DD253" s="302"/>
      <c r="DE253" s="302"/>
      <c r="DF253" s="302"/>
      <c r="DG253" s="302"/>
      <c r="DH253" s="302"/>
      <c r="DI253" s="302"/>
      <c r="DJ253" s="302"/>
      <c r="DK253" s="302"/>
      <c r="DL253" s="302"/>
      <c r="DM253" s="302"/>
      <c r="DN253" s="302"/>
      <c r="DO253" s="302"/>
      <c r="DP253" s="302"/>
      <c r="DQ253" s="302"/>
      <c r="DR253" s="302"/>
      <c r="DS253" s="302"/>
      <c r="DT253" s="302"/>
      <c r="DU253" s="302"/>
      <c r="DV253" s="302"/>
      <c r="DW253" s="302"/>
      <c r="DX253" s="302"/>
      <c r="DY253" s="302"/>
      <c r="DZ253" s="302"/>
      <c r="EA253" s="302"/>
      <c r="EB253" s="302"/>
      <c r="EC253" s="302"/>
      <c r="ED253" s="302"/>
      <c r="EE253" s="302"/>
      <c r="EF253" s="302"/>
      <c r="EG253" s="302"/>
      <c r="EH253" s="302"/>
      <c r="EI253" s="302"/>
      <c r="EJ253" s="302"/>
      <c r="EK253" s="302"/>
      <c r="EL253" s="302"/>
      <c r="EM253" s="302"/>
      <c r="EN253" s="302"/>
      <c r="EO253" s="302"/>
      <c r="EP253" s="302"/>
      <c r="EQ253" s="302"/>
      <c r="ER253" s="302"/>
      <c r="ES253" s="302"/>
      <c r="ET253" s="302"/>
      <c r="EU253" s="302"/>
      <c r="EV253" s="302"/>
      <c r="EW253" s="302"/>
      <c r="EX253" s="302"/>
      <c r="EY253" s="302"/>
      <c r="EZ253" s="302"/>
      <c r="FA253" s="302"/>
      <c r="FB253" s="302"/>
      <c r="FC253" s="302"/>
      <c r="FD253" s="302"/>
      <c r="FE253" s="302"/>
      <c r="FF253" s="302"/>
      <c r="FG253" s="302"/>
      <c r="FH253" s="302"/>
      <c r="FI253" s="302"/>
      <c r="FJ253" s="302"/>
      <c r="FK253" s="302"/>
      <c r="FL253" s="302"/>
      <c r="FM253" s="302"/>
      <c r="FN253" s="302"/>
      <c r="FO253" s="302"/>
      <c r="FP253" s="302"/>
      <c r="FQ253" s="302"/>
      <c r="FR253" s="302"/>
      <c r="FS253" s="302"/>
      <c r="FT253" s="302"/>
      <c r="FU253" s="302"/>
      <c r="FV253" s="302"/>
      <c r="FW253" s="302"/>
      <c r="FX253" s="302"/>
      <c r="FY253" s="302"/>
      <c r="FZ253" s="302"/>
      <c r="GA253" s="302"/>
      <c r="GB253" s="302"/>
      <c r="GC253" s="302"/>
      <c r="GD253" s="302"/>
      <c r="GE253" s="302"/>
      <c r="GF253" s="302"/>
      <c r="GG253" s="302"/>
      <c r="GH253" s="302"/>
      <c r="GI253" s="302"/>
      <c r="GJ253" s="302"/>
      <c r="GK253" s="302"/>
      <c r="GL253" s="302"/>
      <c r="GM253" s="302"/>
      <c r="GN253" s="302"/>
      <c r="GO253" s="302"/>
      <c r="GP253" s="302"/>
      <c r="GQ253" s="302"/>
      <c r="GR253" s="302"/>
      <c r="GS253" s="302"/>
      <c r="GT253" s="302"/>
      <c r="GU253" s="302"/>
      <c r="GV253" s="302"/>
      <c r="GW253" s="302"/>
      <c r="GX253" s="302"/>
      <c r="GY253" s="302"/>
      <c r="GZ253" s="302"/>
      <c r="HA253" s="302"/>
      <c r="HB253" s="302"/>
      <c r="HC253" s="302"/>
      <c r="HD253" s="302"/>
      <c r="HE253" s="302"/>
      <c r="HF253" s="302"/>
      <c r="HG253" s="302"/>
      <c r="HH253" s="302"/>
      <c r="HI253" s="302"/>
      <c r="HJ253" s="302"/>
      <c r="HK253" s="302"/>
      <c r="HL253" s="302"/>
      <c r="HM253" s="302"/>
      <c r="HN253" s="302"/>
      <c r="HO253" s="302"/>
      <c r="HP253" s="302"/>
      <c r="HQ253" s="302"/>
      <c r="HR253" s="302"/>
      <c r="HS253" s="302"/>
      <c r="HT253" s="302"/>
      <c r="HU253" s="302"/>
      <c r="HV253" s="302"/>
      <c r="HW253" s="302"/>
      <c r="HX253" s="302"/>
      <c r="HY253" s="302"/>
      <c r="HZ253" s="302"/>
      <c r="IA253" s="302"/>
      <c r="IB253" s="302"/>
      <c r="IC253" s="302"/>
      <c r="ID253" s="302"/>
      <c r="IE253" s="302"/>
      <c r="IF253" s="302"/>
      <c r="IG253" s="302"/>
      <c r="IH253" s="302"/>
      <c r="II253" s="302"/>
      <c r="IJ253" s="302"/>
      <c r="IK253" s="302"/>
      <c r="IL253" s="302"/>
      <c r="IM253" s="302"/>
      <c r="IN253" s="302"/>
      <c r="IO253" s="302"/>
      <c r="IP253" s="302"/>
      <c r="IQ253" s="302"/>
      <c r="IR253" s="302"/>
      <c r="IS253" s="302"/>
      <c r="IT253" s="302"/>
      <c r="IU253" s="302"/>
      <c r="IV253" s="302"/>
      <c r="IW253" s="302"/>
      <c r="IX253" s="302"/>
      <c r="IY253" s="302"/>
      <c r="IZ253" s="302"/>
      <c r="JA253" s="302"/>
      <c r="JB253" s="302"/>
      <c r="JC253" s="302"/>
      <c r="JD253" s="302"/>
      <c r="JE253" s="302"/>
      <c r="JF253" s="302"/>
      <c r="JG253" s="302"/>
      <c r="JH253" s="302"/>
      <c r="JI253" s="302"/>
      <c r="JJ253" s="302"/>
      <c r="JK253" s="302"/>
      <c r="JL253" s="302"/>
      <c r="JM253" s="302"/>
      <c r="JN253" s="302"/>
      <c r="JO253" s="302"/>
      <c r="JP253" s="302"/>
      <c r="JQ253" s="302"/>
      <c r="JR253" s="302"/>
      <c r="JS253" s="302"/>
      <c r="JT253" s="302"/>
      <c r="JU253" s="302"/>
      <c r="JV253" s="302"/>
      <c r="JW253" s="302"/>
      <c r="JX253" s="302"/>
      <c r="JY253" s="302"/>
      <c r="JZ253" s="302"/>
      <c r="KA253" s="302"/>
      <c r="KB253" s="302"/>
      <c r="KC253" s="302"/>
      <c r="KD253" s="302"/>
      <c r="KE253" s="302"/>
      <c r="KF253" s="302"/>
      <c r="KG253" s="302"/>
      <c r="KH253" s="302"/>
      <c r="KI253" s="302"/>
      <c r="KJ253" s="302"/>
      <c r="KK253" s="302"/>
      <c r="KL253" s="302"/>
      <c r="KM253" s="302"/>
      <c r="KN253" s="302"/>
      <c r="KO253" s="302"/>
      <c r="KP253" s="302"/>
      <c r="KQ253" s="302"/>
      <c r="KR253" s="302"/>
      <c r="KS253" s="302"/>
      <c r="KT253" s="302"/>
      <c r="KU253" s="302"/>
      <c r="KV253" s="302"/>
      <c r="KW253" s="302"/>
      <c r="KX253" s="302"/>
      <c r="KY253" s="302"/>
      <c r="KZ253" s="302"/>
      <c r="LA253" s="302"/>
      <c r="LB253" s="302"/>
      <c r="LC253" s="302"/>
      <c r="LD253" s="302"/>
      <c r="LE253" s="302"/>
      <c r="LF253" s="302"/>
      <c r="LG253" s="302"/>
      <c r="LH253" s="302"/>
      <c r="LI253" s="302"/>
      <c r="LJ253" s="302"/>
      <c r="LK253" s="302"/>
      <c r="LL253" s="302"/>
      <c r="LM253" s="302"/>
      <c r="LN253" s="302"/>
      <c r="LO253" s="302"/>
      <c r="LP253" s="302"/>
      <c r="LQ253" s="302"/>
      <c r="LR253" s="302"/>
      <c r="LS253" s="302"/>
      <c r="LT253" s="302"/>
      <c r="LU253" s="302"/>
      <c r="LV253" s="302"/>
      <c r="LW253" s="302"/>
      <c r="LX253" s="302"/>
      <c r="LY253" s="302"/>
      <c r="LZ253" s="302"/>
      <c r="MA253" s="302"/>
      <c r="MB253" s="302"/>
      <c r="MC253" s="302"/>
      <c r="MD253" s="302"/>
      <c r="ME253" s="302"/>
      <c r="MF253" s="302"/>
      <c r="MG253" s="302"/>
      <c r="MH253" s="302"/>
      <c r="MI253" s="302"/>
      <c r="MJ253" s="302"/>
      <c r="MK253" s="302"/>
      <c r="ML253" s="302"/>
      <c r="MM253" s="302"/>
      <c r="MN253" s="302"/>
      <c r="MO253" s="302"/>
      <c r="MP253" s="302"/>
      <c r="MQ253" s="302"/>
      <c r="MR253" s="302"/>
      <c r="MS253" s="302"/>
      <c r="MT253" s="302"/>
      <c r="MU253" s="302"/>
      <c r="MV253" s="302"/>
      <c r="MW253" s="302"/>
      <c r="MX253" s="302"/>
      <c r="MY253" s="302"/>
      <c r="MZ253" s="302"/>
      <c r="NA253" s="302"/>
      <c r="NB253" s="302"/>
      <c r="NC253" s="302"/>
      <c r="ND253" s="302"/>
      <c r="NE253" s="302"/>
      <c r="NF253" s="302"/>
      <c r="NG253" s="302"/>
      <c r="NH253" s="302"/>
      <c r="NI253" s="302"/>
      <c r="NJ253" s="302"/>
      <c r="NK253" s="302"/>
      <c r="NL253" s="302"/>
      <c r="NM253" s="302"/>
      <c r="NN253" s="302"/>
      <c r="NO253" s="302"/>
      <c r="NP253" s="302"/>
      <c r="NQ253" s="302"/>
      <c r="NR253" s="302"/>
      <c r="NS253" s="302"/>
      <c r="NT253" s="302"/>
      <c r="NU253" s="302"/>
      <c r="NV253" s="302"/>
      <c r="NW253" s="302"/>
      <c r="NX253" s="302"/>
      <c r="NY253" s="302"/>
      <c r="NZ253" s="302"/>
      <c r="OA253" s="302"/>
      <c r="OB253" s="302"/>
      <c r="OC253" s="302"/>
      <c r="OD253" s="302"/>
      <c r="OE253" s="302"/>
      <c r="OF253" s="302"/>
      <c r="OG253" s="302"/>
      <c r="OH253" s="302"/>
      <c r="OI253" s="302"/>
      <c r="OJ253" s="302"/>
      <c r="OK253" s="302"/>
      <c r="OL253" s="302"/>
      <c r="OM253" s="302"/>
      <c r="ON253" s="302"/>
      <c r="OO253" s="302"/>
      <c r="OP253" s="302"/>
      <c r="OQ253" s="302"/>
      <c r="OR253" s="302"/>
      <c r="OS253" s="302"/>
      <c r="OT253" s="302"/>
      <c r="OU253" s="302"/>
      <c r="OV253" s="302"/>
      <c r="OW253" s="302"/>
      <c r="OX253" s="302"/>
      <c r="OY253" s="302"/>
      <c r="OZ253" s="302"/>
      <c r="PA253" s="302"/>
      <c r="PB253" s="302"/>
      <c r="PC253" s="302"/>
      <c r="PD253" s="302"/>
      <c r="PE253" s="302"/>
      <c r="PF253" s="302"/>
      <c r="PG253" s="302"/>
      <c r="PH253" s="302"/>
      <c r="PI253" s="302"/>
      <c r="PJ253" s="302"/>
      <c r="PK253" s="302"/>
      <c r="PL253" s="302"/>
      <c r="PM253" s="302"/>
      <c r="PN253" s="302"/>
      <c r="PO253" s="302"/>
      <c r="PP253" s="302"/>
      <c r="PQ253" s="302"/>
      <c r="PR253" s="302"/>
      <c r="PS253" s="302"/>
      <c r="PT253" s="302"/>
      <c r="PU253" s="302"/>
      <c r="PV253" s="302"/>
      <c r="PW253" s="302"/>
      <c r="PX253" s="302"/>
      <c r="PY253" s="302"/>
      <c r="PZ253" s="302"/>
      <c r="QA253" s="302"/>
      <c r="QB253" s="302"/>
      <c r="QC253" s="302"/>
      <c r="QD253" s="302"/>
      <c r="QE253" s="302"/>
      <c r="QF253" s="302"/>
      <c r="QG253" s="302"/>
      <c r="QH253" s="302"/>
      <c r="QI253" s="302"/>
      <c r="QJ253" s="302"/>
      <c r="QK253" s="302"/>
      <c r="QL253" s="302"/>
      <c r="QM253" s="302"/>
      <c r="QN253" s="302"/>
      <c r="QO253" s="302"/>
      <c r="QP253" s="302"/>
      <c r="QQ253" s="302"/>
      <c r="QR253" s="302"/>
      <c r="QS253" s="302"/>
      <c r="QT253" s="302"/>
      <c r="QU253" s="302"/>
      <c r="QV253" s="302"/>
      <c r="QW253" s="302"/>
      <c r="QX253" s="302"/>
      <c r="QY253" s="302"/>
      <c r="QZ253" s="302"/>
      <c r="RA253" s="302"/>
      <c r="RB253" s="302"/>
      <c r="RC253" s="302"/>
      <c r="RD253" s="302"/>
      <c r="RE253" s="302"/>
      <c r="RF253" s="302"/>
      <c r="RG253" s="302"/>
      <c r="RH253" s="302"/>
      <c r="RI253" s="302"/>
      <c r="RJ253" s="302"/>
      <c r="RK253" s="302"/>
      <c r="RL253" s="302"/>
      <c r="RM253" s="302"/>
      <c r="RN253" s="302"/>
      <c r="RO253" s="302"/>
      <c r="RP253" s="302"/>
      <c r="RQ253" s="302"/>
      <c r="RR253" s="302"/>
      <c r="RS253" s="302"/>
      <c r="RT253" s="302"/>
      <c r="RU253" s="302"/>
      <c r="RV253" s="302"/>
      <c r="RW253" s="302"/>
      <c r="RX253" s="302"/>
      <c r="RY253" s="302"/>
      <c r="RZ253" s="302"/>
      <c r="SA253" s="302"/>
      <c r="SB253" s="302"/>
      <c r="SC253" s="302"/>
      <c r="SD253" s="302"/>
      <c r="SE253" s="302"/>
      <c r="SF253" s="302"/>
      <c r="SG253" s="302"/>
      <c r="SH253" s="302"/>
      <c r="SI253" s="302"/>
      <c r="SJ253" s="302"/>
      <c r="SK253" s="302"/>
      <c r="SL253" s="302"/>
      <c r="SM253" s="302"/>
      <c r="SN253" s="302"/>
      <c r="SO253" s="302"/>
      <c r="SP253" s="302"/>
      <c r="SQ253" s="302"/>
      <c r="SR253" s="302"/>
      <c r="SS253" s="302"/>
      <c r="ST253" s="302"/>
      <c r="SU253" s="302"/>
      <c r="SV253" s="302"/>
      <c r="SW253" s="302"/>
      <c r="SX253" s="302"/>
      <c r="SY253" s="302"/>
      <c r="SZ253" s="302"/>
      <c r="TA253" s="302"/>
      <c r="TB253" s="302"/>
      <c r="TC253" s="302"/>
      <c r="TD253" s="302"/>
      <c r="TE253" s="302"/>
      <c r="TF253" s="302"/>
      <c r="TG253" s="302"/>
      <c r="TH253" s="302"/>
      <c r="TI253" s="302"/>
      <c r="TJ253" s="302"/>
      <c r="TK253" s="302"/>
      <c r="TL253" s="302"/>
      <c r="TM253" s="302"/>
      <c r="TN253" s="302"/>
      <c r="TO253" s="302"/>
      <c r="TP253" s="302"/>
      <c r="TQ253" s="302"/>
      <c r="TR253" s="302"/>
      <c r="TS253" s="302"/>
      <c r="TT253" s="302"/>
      <c r="TU253" s="302"/>
      <c r="TV253" s="302"/>
      <c r="TW253" s="302"/>
      <c r="TX253" s="302"/>
      <c r="TY253" s="302"/>
      <c r="TZ253" s="302"/>
      <c r="UA253" s="302"/>
      <c r="UB253" s="302"/>
      <c r="UC253" s="302"/>
      <c r="UD253" s="302"/>
      <c r="UE253" s="302"/>
      <c r="UF253" s="302"/>
      <c r="UG253" s="302"/>
      <c r="UH253" s="302"/>
      <c r="UI253" s="302"/>
      <c r="UJ253" s="302"/>
      <c r="UK253" s="302"/>
      <c r="UL253" s="302"/>
      <c r="UM253" s="302"/>
      <c r="UN253" s="302"/>
      <c r="UO253" s="302"/>
      <c r="UP253" s="302"/>
      <c r="UQ253" s="302"/>
      <c r="UR253" s="302"/>
      <c r="US253" s="302"/>
      <c r="UT253" s="302"/>
      <c r="UU253" s="302"/>
      <c r="UV253" s="302"/>
      <c r="UW253" s="302"/>
      <c r="UX253" s="302"/>
      <c r="UY253" s="302"/>
      <c r="UZ253" s="302"/>
      <c r="VA253" s="302"/>
      <c r="VB253" s="302"/>
      <c r="VC253" s="302"/>
      <c r="VD253" s="302"/>
      <c r="VE253" s="302"/>
      <c r="VF253" s="302"/>
      <c r="VG253" s="302"/>
      <c r="VH253" s="302"/>
      <c r="VI253" s="302"/>
      <c r="VJ253" s="302"/>
      <c r="VK253" s="302"/>
      <c r="VL253" s="302"/>
      <c r="VM253" s="302"/>
      <c r="VN253" s="302"/>
      <c r="VO253" s="302"/>
      <c r="VP253" s="302"/>
      <c r="VQ253" s="302"/>
      <c r="VR253" s="302"/>
      <c r="VS253" s="302"/>
      <c r="VT253" s="302"/>
      <c r="VU253" s="302"/>
      <c r="VV253" s="302"/>
      <c r="VW253" s="302"/>
      <c r="VX253" s="302"/>
      <c r="VY253" s="302"/>
      <c r="VZ253" s="302"/>
      <c r="WA253" s="302"/>
      <c r="WB253" s="302"/>
      <c r="WC253" s="302"/>
      <c r="WD253" s="302"/>
      <c r="WE253" s="302"/>
      <c r="WF253" s="302"/>
      <c r="WG253" s="302"/>
      <c r="WH253" s="302"/>
      <c r="WI253" s="302"/>
      <c r="WJ253" s="302"/>
      <c r="WK253" s="302"/>
      <c r="WL253" s="302"/>
      <c r="WM253" s="302"/>
      <c r="WN253" s="302"/>
      <c r="WO253" s="302"/>
      <c r="WP253" s="302"/>
      <c r="WQ253" s="302"/>
      <c r="WR253" s="302"/>
      <c r="WS253" s="302"/>
      <c r="WT253" s="302"/>
      <c r="WU253" s="302"/>
      <c r="WV253" s="302"/>
      <c r="WW253" s="302"/>
      <c r="WX253" s="302"/>
      <c r="WY253" s="302"/>
      <c r="WZ253" s="302"/>
      <c r="XA253" s="302"/>
      <c r="XB253" s="302"/>
      <c r="XC253" s="302"/>
      <c r="XD253" s="302"/>
      <c r="XE253" s="302"/>
      <c r="XF253" s="302"/>
      <c r="XG253" s="302"/>
      <c r="XH253" s="302"/>
      <c r="XI253" s="302"/>
      <c r="XJ253" s="302"/>
      <c r="XK253" s="302"/>
      <c r="XL253" s="302"/>
      <c r="XM253" s="302"/>
      <c r="XN253" s="302"/>
      <c r="XO253" s="302"/>
      <c r="XP253" s="302"/>
      <c r="XQ253" s="302"/>
      <c r="XR253" s="302"/>
      <c r="XS253" s="302"/>
      <c r="XT253" s="302"/>
      <c r="XU253" s="302"/>
      <c r="XV253" s="302"/>
      <c r="XW253" s="302"/>
      <c r="XX253" s="302"/>
      <c r="XY253" s="302"/>
      <c r="XZ253" s="302"/>
      <c r="YA253" s="302"/>
      <c r="YB253" s="302"/>
      <c r="YC253" s="302"/>
      <c r="YD253" s="302"/>
      <c r="YE253" s="302"/>
      <c r="YF253" s="302"/>
      <c r="YG253" s="302"/>
      <c r="YH253" s="302"/>
      <c r="YI253" s="302"/>
      <c r="YJ253" s="302"/>
      <c r="YK253" s="302"/>
      <c r="YL253" s="302"/>
      <c r="YM253" s="302"/>
      <c r="YN253" s="302"/>
      <c r="YO253" s="302"/>
      <c r="YP253" s="302"/>
      <c r="YQ253" s="302"/>
      <c r="YR253" s="302"/>
      <c r="YS253" s="302"/>
      <c r="YT253" s="302"/>
      <c r="YU253" s="302"/>
      <c r="YV253" s="302"/>
      <c r="YW253" s="302"/>
      <c r="YX253" s="302"/>
      <c r="YY253" s="302"/>
      <c r="YZ253" s="302"/>
      <c r="ZA253" s="302"/>
      <c r="ZB253" s="302"/>
      <c r="ZC253" s="302"/>
      <c r="ZD253" s="302"/>
      <c r="ZE253" s="302"/>
      <c r="ZF253" s="302"/>
      <c r="ZG253" s="302"/>
      <c r="ZH253" s="302"/>
      <c r="ZI253" s="302"/>
      <c r="ZJ253" s="302"/>
      <c r="ZK253" s="302"/>
      <c r="ZL253" s="302"/>
      <c r="ZM253" s="302"/>
      <c r="ZN253" s="302"/>
      <c r="ZO253" s="302"/>
      <c r="ZP253" s="302"/>
      <c r="ZQ253" s="302"/>
      <c r="ZR253" s="302"/>
      <c r="ZS253" s="302"/>
      <c r="ZT253" s="302"/>
      <c r="ZU253" s="302"/>
      <c r="ZV253" s="302"/>
      <c r="ZW253" s="302"/>
      <c r="ZX253" s="302"/>
      <c r="ZY253" s="302"/>
      <c r="ZZ253" s="302"/>
      <c r="AAA253" s="302"/>
      <c r="AAB253" s="302"/>
      <c r="AAC253" s="302"/>
      <c r="AAD253" s="302"/>
      <c r="AAE253" s="302"/>
      <c r="AAF253" s="302"/>
      <c r="AAG253" s="302"/>
      <c r="AAH253" s="302"/>
      <c r="AAI253" s="302"/>
      <c r="AAJ253" s="302"/>
      <c r="AAK253" s="302"/>
      <c r="AAL253" s="302"/>
      <c r="AAM253" s="302"/>
      <c r="AAN253" s="302"/>
      <c r="AAO253" s="302"/>
      <c r="AAP253" s="302"/>
      <c r="AAQ253" s="302"/>
      <c r="AAR253" s="302"/>
      <c r="AAS253" s="302"/>
      <c r="AAT253" s="302"/>
      <c r="AAU253" s="302"/>
      <c r="AAV253" s="302"/>
      <c r="AAW253" s="302"/>
      <c r="AAX253" s="302"/>
      <c r="AAY253" s="302"/>
      <c r="AAZ253" s="302"/>
      <c r="ABA253" s="302"/>
      <c r="ABB253" s="302"/>
      <c r="ABC253" s="302"/>
      <c r="ABD253" s="302"/>
      <c r="ABE253" s="302"/>
      <c r="ABF253" s="302"/>
      <c r="ABG253" s="302"/>
      <c r="ABH253" s="302"/>
      <c r="ABI253" s="302"/>
      <c r="ABJ253" s="302"/>
      <c r="ABK253" s="302"/>
      <c r="ABL253" s="302"/>
      <c r="ABM253" s="302"/>
      <c r="ABN253" s="302"/>
      <c r="ABO253" s="302"/>
      <c r="ABP253" s="302"/>
      <c r="ABQ253" s="302"/>
      <c r="ABR253" s="302"/>
      <c r="ABS253" s="302"/>
      <c r="ABT253" s="302"/>
      <c r="ABU253" s="302"/>
      <c r="ABV253" s="302"/>
      <c r="ABW253" s="302"/>
      <c r="ABX253" s="302"/>
      <c r="ABY253" s="302"/>
      <c r="ABZ253" s="302"/>
      <c r="ACA253" s="302"/>
      <c r="ACB253" s="302"/>
      <c r="ACC253" s="302"/>
      <c r="ACD253" s="302"/>
      <c r="ACE253" s="302"/>
      <c r="ACF253" s="302"/>
      <c r="ACG253" s="302"/>
      <c r="ACH253" s="302"/>
      <c r="ACI253" s="302"/>
      <c r="ACJ253" s="302"/>
      <c r="ACK253" s="302"/>
      <c r="ACL253" s="302"/>
      <c r="ACM253" s="302"/>
      <c r="ACN253" s="302"/>
      <c r="ACO253" s="302"/>
      <c r="ACP253" s="302"/>
      <c r="ACQ253" s="302"/>
      <c r="ACR253" s="302"/>
      <c r="ACS253" s="302"/>
      <c r="ACT253" s="302"/>
      <c r="ACU253" s="302"/>
      <c r="ACV253" s="302"/>
      <c r="ACW253" s="302"/>
      <c r="ACX253" s="302"/>
      <c r="ACY253" s="302"/>
      <c r="ACZ253" s="302"/>
      <c r="ADA253" s="302"/>
      <c r="ADB253" s="302"/>
      <c r="ADC253" s="302"/>
      <c r="ADD253" s="302"/>
      <c r="ADE253" s="302"/>
      <c r="ADF253" s="302"/>
      <c r="ADG253" s="302"/>
      <c r="ADH253" s="302"/>
      <c r="ADI253" s="302"/>
      <c r="ADJ253" s="302"/>
      <c r="ADK253" s="302"/>
      <c r="ADL253" s="302"/>
      <c r="ADM253" s="302"/>
      <c r="ADN253" s="302"/>
      <c r="ADO253" s="302"/>
      <c r="ADP253" s="302"/>
      <c r="ADQ253" s="302"/>
      <c r="ADR253" s="302"/>
      <c r="ADS253" s="302"/>
      <c r="ADT253" s="302"/>
      <c r="ADU253" s="302"/>
      <c r="ADV253" s="302"/>
      <c r="ADW253" s="302"/>
      <c r="ADX253" s="302"/>
      <c r="ADY253" s="302"/>
      <c r="ADZ253" s="302"/>
      <c r="AEA253" s="302"/>
      <c r="AEB253" s="302"/>
      <c r="AEC253" s="302"/>
      <c r="AED253" s="302"/>
      <c r="AEE253" s="302"/>
      <c r="AEF253" s="302"/>
      <c r="AEG253" s="302"/>
      <c r="AEH253" s="302"/>
      <c r="AEI253" s="302"/>
      <c r="AEJ253" s="302"/>
      <c r="AEK253" s="302"/>
      <c r="AEL253" s="302"/>
      <c r="AEM253" s="302"/>
      <c r="AEN253" s="302"/>
      <c r="AEO253" s="302"/>
      <c r="AEP253" s="302"/>
      <c r="AEQ253" s="302"/>
      <c r="AER253" s="302"/>
      <c r="AES253" s="302"/>
      <c r="AET253" s="302"/>
      <c r="AEU253" s="302"/>
      <c r="AEV253" s="302"/>
      <c r="AEW253" s="302"/>
      <c r="AEX253" s="302"/>
      <c r="AEY253" s="302"/>
      <c r="AEZ253" s="302"/>
      <c r="AFA253" s="302"/>
      <c r="AFB253" s="302"/>
      <c r="AFC253" s="302"/>
      <c r="AFD253" s="302"/>
      <c r="AFE253" s="302"/>
      <c r="AFF253" s="302"/>
      <c r="AFG253" s="302"/>
      <c r="AFH253" s="302"/>
      <c r="AFI253" s="302"/>
      <c r="AFJ253" s="302"/>
      <c r="AFK253" s="302"/>
      <c r="AFL253" s="302"/>
      <c r="AFM253" s="302"/>
      <c r="AFN253" s="302"/>
      <c r="AFO253" s="302"/>
      <c r="AFP253" s="302"/>
      <c r="AFQ253" s="302"/>
      <c r="AFR253" s="302"/>
      <c r="AFS253" s="302"/>
      <c r="AFT253" s="302"/>
      <c r="AFU253" s="302"/>
      <c r="AFV253" s="302"/>
      <c r="AFW253" s="302"/>
      <c r="AFX253" s="302"/>
      <c r="AFY253" s="302"/>
      <c r="AFZ253" s="302"/>
      <c r="AGA253" s="302"/>
      <c r="AGB253" s="302"/>
      <c r="AGC253" s="302"/>
      <c r="AGD253" s="302"/>
      <c r="AGE253" s="302"/>
      <c r="AGF253" s="302"/>
      <c r="AGG253" s="302"/>
      <c r="AGH253" s="302"/>
      <c r="AGI253" s="302"/>
      <c r="AGJ253" s="302"/>
      <c r="AGK253" s="302"/>
      <c r="AGL253" s="302"/>
      <c r="AGM253" s="302"/>
      <c r="AGN253" s="302"/>
      <c r="AGO253" s="302"/>
      <c r="AGP253" s="302"/>
      <c r="AGQ253" s="302"/>
      <c r="AGR253" s="302"/>
      <c r="AGS253" s="302"/>
      <c r="AGT253" s="302"/>
      <c r="AGU253" s="302"/>
      <c r="AGV253" s="302"/>
      <c r="AGW253" s="302"/>
      <c r="AGX253" s="302"/>
      <c r="AGY253" s="302"/>
      <c r="AGZ253" s="302"/>
      <c r="AHA253" s="302"/>
      <c r="AHB253" s="302"/>
      <c r="AHC253" s="302"/>
      <c r="AHD253" s="302"/>
      <c r="AHE253" s="302"/>
      <c r="AHF253" s="302"/>
      <c r="AHG253" s="302"/>
      <c r="AHH253" s="302"/>
      <c r="AHI253" s="302"/>
      <c r="AHJ253" s="302"/>
      <c r="AHK253" s="302"/>
      <c r="AHL253" s="302"/>
      <c r="AHM253" s="302"/>
      <c r="AHN253" s="302"/>
      <c r="AHO253" s="302"/>
      <c r="AHP253" s="302"/>
      <c r="AHQ253" s="302"/>
      <c r="AHR253" s="302"/>
      <c r="AHS253" s="302"/>
      <c r="AHT253" s="302"/>
      <c r="AHU253" s="302"/>
      <c r="AHV253" s="302"/>
      <c r="AHW253" s="302"/>
      <c r="AHX253" s="302"/>
      <c r="AHY253" s="302"/>
      <c r="AHZ253" s="302"/>
      <c r="AIA253" s="302"/>
      <c r="AIB253" s="302"/>
      <c r="AIC253" s="302"/>
      <c r="AID253" s="302"/>
      <c r="AIE253" s="302"/>
      <c r="AIF253" s="302"/>
      <c r="AIG253" s="302"/>
      <c r="AIH253" s="302"/>
      <c r="AII253" s="302"/>
      <c r="AIJ253" s="302"/>
      <c r="AIK253" s="302"/>
      <c r="AIL253" s="302"/>
      <c r="AIM253" s="302"/>
      <c r="AIN253" s="302"/>
      <c r="AIO253" s="302"/>
      <c r="AIP253" s="302"/>
      <c r="AIQ253" s="302"/>
      <c r="AIR253" s="302"/>
      <c r="AIS253" s="302"/>
      <c r="AIT253" s="302"/>
      <c r="AIU253" s="302"/>
      <c r="AIV253" s="302"/>
      <c r="AIW253" s="302"/>
      <c r="AIX253" s="302"/>
      <c r="AIY253" s="302"/>
      <c r="AIZ253" s="302"/>
      <c r="AJA253" s="302"/>
      <c r="AJB253" s="302"/>
      <c r="AJC253" s="302"/>
      <c r="AJD253" s="302"/>
      <c r="AJE253" s="302"/>
      <c r="AJF253" s="302"/>
      <c r="AJG253" s="302"/>
      <c r="AJH253" s="302"/>
      <c r="AJI253" s="302"/>
      <c r="AJJ253" s="302"/>
      <c r="AJK253" s="302"/>
      <c r="AJL253" s="302"/>
      <c r="AJM253" s="302"/>
      <c r="AJN253" s="302"/>
      <c r="AJO253" s="302"/>
      <c r="AJP253" s="302"/>
      <c r="AJQ253" s="302"/>
      <c r="AJR253" s="302"/>
      <c r="AJS253" s="302"/>
      <c r="AJT253" s="302"/>
      <c r="AJU253" s="302"/>
      <c r="AJV253" s="302"/>
      <c r="AJW253" s="302"/>
      <c r="AJX253" s="302"/>
      <c r="AJY253" s="302"/>
      <c r="AJZ253" s="302"/>
      <c r="AKA253" s="302"/>
      <c r="AKB253" s="302"/>
      <c r="AKC253" s="302"/>
      <c r="AKD253" s="302"/>
      <c r="AKE253" s="302"/>
      <c r="AKF253" s="302"/>
      <c r="AKG253" s="302"/>
      <c r="AKH253" s="302"/>
      <c r="AKI253" s="302"/>
      <c r="AKJ253" s="302"/>
      <c r="AKK253" s="302"/>
      <c r="AKL253" s="302"/>
      <c r="AKM253" s="302"/>
      <c r="AKN253" s="302"/>
      <c r="AKO253" s="302"/>
      <c r="AKP253" s="302"/>
      <c r="AKQ253" s="302"/>
      <c r="AKR253" s="302"/>
      <c r="AKS253" s="302"/>
      <c r="AKT253" s="302"/>
      <c r="AKU253" s="302"/>
      <c r="AKV253" s="302"/>
      <c r="AKW253" s="302"/>
      <c r="AKX253" s="302"/>
      <c r="AKY253" s="302"/>
      <c r="AKZ253" s="302"/>
      <c r="ALA253" s="302"/>
      <c r="ALB253" s="302"/>
      <c r="ALC253" s="302"/>
      <c r="ALD253" s="302"/>
      <c r="ALE253" s="302"/>
      <c r="ALF253" s="302"/>
      <c r="ALG253" s="302"/>
      <c r="ALH253" s="302"/>
      <c r="ALI253" s="302"/>
      <c r="ALJ253" s="302"/>
      <c r="ALK253" s="302"/>
      <c r="ALL253" s="302"/>
      <c r="ALM253" s="302"/>
      <c r="ALN253" s="302"/>
      <c r="ALO253" s="302"/>
      <c r="ALP253" s="302"/>
      <c r="ALQ253" s="302"/>
      <c r="ALR253" s="302"/>
      <c r="ALS253" s="302"/>
      <c r="ALT253" s="302"/>
      <c r="ALU253" s="302"/>
      <c r="ALV253" s="302"/>
      <c r="ALW253" s="302"/>
      <c r="ALX253" s="302"/>
      <c r="ALY253" s="302"/>
      <c r="ALZ253" s="302"/>
      <c r="AMA253" s="302"/>
      <c r="AMB253" s="302"/>
      <c r="AMC253" s="302"/>
      <c r="AMD253" s="302"/>
      <c r="AME253" s="302"/>
      <c r="AMF253" s="302"/>
      <c r="AMG253" s="302"/>
      <c r="AMH253" s="302"/>
      <c r="AMI253" s="302"/>
    </row>
    <row r="254" spans="1:1023" hidden="1">
      <c r="A254" s="302"/>
      <c r="B254" s="442">
        <v>14032</v>
      </c>
      <c r="C254" s="432">
        <v>0.1</v>
      </c>
      <c r="D254" s="370" t="s">
        <v>152</v>
      </c>
      <c r="E254" s="585">
        <v>1800000</v>
      </c>
      <c r="F254" s="499">
        <v>0.02</v>
      </c>
      <c r="G254" s="369">
        <f t="shared" si="13"/>
        <v>36000</v>
      </c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2"/>
      <c r="AE254" s="302"/>
      <c r="AF254" s="302"/>
      <c r="AG254" s="302"/>
      <c r="AH254" s="302"/>
      <c r="AI254" s="302"/>
      <c r="AJ254" s="302"/>
      <c r="AK254" s="302"/>
      <c r="AL254" s="302"/>
      <c r="AM254" s="302"/>
      <c r="AN254" s="302"/>
      <c r="AO254" s="302"/>
      <c r="AP254" s="302"/>
      <c r="AQ254" s="302"/>
      <c r="AR254" s="302"/>
      <c r="AS254" s="302"/>
      <c r="AT254" s="302"/>
      <c r="AU254" s="302"/>
      <c r="AV254" s="302"/>
      <c r="AW254" s="302"/>
      <c r="AX254" s="302"/>
      <c r="AY254" s="302"/>
      <c r="AZ254" s="302"/>
      <c r="BA254" s="302"/>
      <c r="BB254" s="302"/>
      <c r="BC254" s="302"/>
      <c r="BD254" s="302"/>
      <c r="BE254" s="302"/>
      <c r="BF254" s="302"/>
      <c r="BG254" s="302"/>
      <c r="BH254" s="302"/>
      <c r="BI254" s="302"/>
      <c r="BJ254" s="302"/>
      <c r="BK254" s="302"/>
      <c r="BL254" s="302"/>
      <c r="BM254" s="302"/>
      <c r="BN254" s="302"/>
      <c r="BO254" s="302"/>
      <c r="BP254" s="302"/>
      <c r="BQ254" s="302"/>
      <c r="BR254" s="302"/>
      <c r="BS254" s="302"/>
      <c r="BT254" s="302"/>
      <c r="BU254" s="302"/>
      <c r="BV254" s="302"/>
      <c r="BW254" s="302"/>
      <c r="BX254" s="302"/>
      <c r="BY254" s="302"/>
      <c r="BZ254" s="302"/>
      <c r="CA254" s="302"/>
      <c r="CB254" s="302"/>
      <c r="CC254" s="302"/>
      <c r="CD254" s="302"/>
      <c r="CE254" s="302"/>
      <c r="CF254" s="302"/>
      <c r="CG254" s="302"/>
      <c r="CH254" s="302"/>
      <c r="CI254" s="302"/>
      <c r="CJ254" s="302"/>
      <c r="CK254" s="302"/>
      <c r="CL254" s="302"/>
      <c r="CM254" s="302"/>
      <c r="CN254" s="302"/>
      <c r="CO254" s="302"/>
      <c r="CP254" s="302"/>
      <c r="CQ254" s="302"/>
      <c r="CR254" s="302"/>
      <c r="CS254" s="302"/>
      <c r="CT254" s="302"/>
      <c r="CU254" s="302"/>
      <c r="CV254" s="302"/>
      <c r="CW254" s="302"/>
      <c r="CX254" s="302"/>
      <c r="CY254" s="302"/>
      <c r="CZ254" s="302"/>
      <c r="DA254" s="302"/>
      <c r="DB254" s="302"/>
      <c r="DC254" s="302"/>
      <c r="DD254" s="302"/>
      <c r="DE254" s="302"/>
      <c r="DF254" s="302"/>
      <c r="DG254" s="302"/>
      <c r="DH254" s="302"/>
      <c r="DI254" s="302"/>
      <c r="DJ254" s="302"/>
      <c r="DK254" s="302"/>
      <c r="DL254" s="302"/>
      <c r="DM254" s="302"/>
      <c r="DN254" s="302"/>
      <c r="DO254" s="302"/>
      <c r="DP254" s="302"/>
      <c r="DQ254" s="302"/>
      <c r="DR254" s="302"/>
      <c r="DS254" s="302"/>
      <c r="DT254" s="302"/>
      <c r="DU254" s="302"/>
      <c r="DV254" s="302"/>
      <c r="DW254" s="302"/>
      <c r="DX254" s="302"/>
      <c r="DY254" s="302"/>
      <c r="DZ254" s="302"/>
      <c r="EA254" s="302"/>
      <c r="EB254" s="302"/>
      <c r="EC254" s="302"/>
      <c r="ED254" s="302"/>
      <c r="EE254" s="302"/>
      <c r="EF254" s="302"/>
      <c r="EG254" s="302"/>
      <c r="EH254" s="302"/>
      <c r="EI254" s="302"/>
      <c r="EJ254" s="302"/>
      <c r="EK254" s="302"/>
      <c r="EL254" s="302"/>
      <c r="EM254" s="302"/>
      <c r="EN254" s="302"/>
      <c r="EO254" s="302"/>
      <c r="EP254" s="302"/>
      <c r="EQ254" s="302"/>
      <c r="ER254" s="302"/>
      <c r="ES254" s="302"/>
      <c r="ET254" s="302"/>
      <c r="EU254" s="302"/>
      <c r="EV254" s="302"/>
      <c r="EW254" s="302"/>
      <c r="EX254" s="302"/>
      <c r="EY254" s="302"/>
      <c r="EZ254" s="302"/>
      <c r="FA254" s="302"/>
      <c r="FB254" s="302"/>
      <c r="FC254" s="302"/>
      <c r="FD254" s="302"/>
      <c r="FE254" s="302"/>
      <c r="FF254" s="302"/>
      <c r="FG254" s="302"/>
      <c r="FH254" s="302"/>
      <c r="FI254" s="302"/>
      <c r="FJ254" s="302"/>
      <c r="FK254" s="302"/>
      <c r="FL254" s="302"/>
      <c r="FM254" s="302"/>
      <c r="FN254" s="302"/>
      <c r="FO254" s="302"/>
      <c r="FP254" s="302"/>
      <c r="FQ254" s="302"/>
      <c r="FR254" s="302"/>
      <c r="FS254" s="302"/>
      <c r="FT254" s="302"/>
      <c r="FU254" s="302"/>
      <c r="FV254" s="302"/>
      <c r="FW254" s="302"/>
      <c r="FX254" s="302"/>
      <c r="FY254" s="302"/>
      <c r="FZ254" s="302"/>
      <c r="GA254" s="302"/>
      <c r="GB254" s="302"/>
      <c r="GC254" s="302"/>
      <c r="GD254" s="302"/>
      <c r="GE254" s="302"/>
      <c r="GF254" s="302"/>
      <c r="GG254" s="302"/>
      <c r="GH254" s="302"/>
      <c r="GI254" s="302"/>
      <c r="GJ254" s="302"/>
      <c r="GK254" s="302"/>
      <c r="GL254" s="302"/>
      <c r="GM254" s="302"/>
      <c r="GN254" s="302"/>
      <c r="GO254" s="302"/>
      <c r="GP254" s="302"/>
      <c r="GQ254" s="302"/>
      <c r="GR254" s="302"/>
      <c r="GS254" s="302"/>
      <c r="GT254" s="302"/>
      <c r="GU254" s="302"/>
      <c r="GV254" s="302"/>
      <c r="GW254" s="302"/>
      <c r="GX254" s="302"/>
      <c r="GY254" s="302"/>
      <c r="GZ254" s="302"/>
      <c r="HA254" s="302"/>
      <c r="HB254" s="302"/>
      <c r="HC254" s="302"/>
      <c r="HD254" s="302"/>
      <c r="HE254" s="302"/>
      <c r="HF254" s="302"/>
      <c r="HG254" s="302"/>
      <c r="HH254" s="302"/>
      <c r="HI254" s="302"/>
      <c r="HJ254" s="302"/>
      <c r="HK254" s="302"/>
      <c r="HL254" s="302"/>
      <c r="HM254" s="302"/>
      <c r="HN254" s="302"/>
      <c r="HO254" s="302"/>
      <c r="HP254" s="302"/>
      <c r="HQ254" s="302"/>
      <c r="HR254" s="302"/>
      <c r="HS254" s="302"/>
      <c r="HT254" s="302"/>
      <c r="HU254" s="302"/>
      <c r="HV254" s="302"/>
      <c r="HW254" s="302"/>
      <c r="HX254" s="302"/>
      <c r="HY254" s="302"/>
      <c r="HZ254" s="302"/>
      <c r="IA254" s="302"/>
      <c r="IB254" s="302"/>
      <c r="IC254" s="302"/>
      <c r="ID254" s="302"/>
      <c r="IE254" s="302"/>
      <c r="IF254" s="302"/>
      <c r="IG254" s="302"/>
      <c r="IH254" s="302"/>
      <c r="II254" s="302"/>
      <c r="IJ254" s="302"/>
      <c r="IK254" s="302"/>
      <c r="IL254" s="302"/>
      <c r="IM254" s="302"/>
      <c r="IN254" s="302"/>
      <c r="IO254" s="302"/>
      <c r="IP254" s="302"/>
      <c r="IQ254" s="302"/>
      <c r="IR254" s="302"/>
      <c r="IS254" s="302"/>
      <c r="IT254" s="302"/>
      <c r="IU254" s="302"/>
      <c r="IV254" s="302"/>
      <c r="IW254" s="302"/>
      <c r="IX254" s="302"/>
      <c r="IY254" s="302"/>
      <c r="IZ254" s="302"/>
      <c r="JA254" s="302"/>
      <c r="JB254" s="302"/>
      <c r="JC254" s="302"/>
      <c r="JD254" s="302"/>
      <c r="JE254" s="302"/>
      <c r="JF254" s="302"/>
      <c r="JG254" s="302"/>
      <c r="JH254" s="302"/>
      <c r="JI254" s="302"/>
      <c r="JJ254" s="302"/>
      <c r="JK254" s="302"/>
      <c r="JL254" s="302"/>
      <c r="JM254" s="302"/>
      <c r="JN254" s="302"/>
      <c r="JO254" s="302"/>
      <c r="JP254" s="302"/>
      <c r="JQ254" s="302"/>
      <c r="JR254" s="302"/>
      <c r="JS254" s="302"/>
      <c r="JT254" s="302"/>
      <c r="JU254" s="302"/>
      <c r="JV254" s="302"/>
      <c r="JW254" s="302"/>
      <c r="JX254" s="302"/>
      <c r="JY254" s="302"/>
      <c r="JZ254" s="302"/>
      <c r="KA254" s="302"/>
      <c r="KB254" s="302"/>
      <c r="KC254" s="302"/>
      <c r="KD254" s="302"/>
      <c r="KE254" s="302"/>
      <c r="KF254" s="302"/>
      <c r="KG254" s="302"/>
      <c r="KH254" s="302"/>
      <c r="KI254" s="302"/>
      <c r="KJ254" s="302"/>
      <c r="KK254" s="302"/>
      <c r="KL254" s="302"/>
      <c r="KM254" s="302"/>
      <c r="KN254" s="302"/>
      <c r="KO254" s="302"/>
      <c r="KP254" s="302"/>
      <c r="KQ254" s="302"/>
      <c r="KR254" s="302"/>
      <c r="KS254" s="302"/>
      <c r="KT254" s="302"/>
      <c r="KU254" s="302"/>
      <c r="KV254" s="302"/>
      <c r="KW254" s="302"/>
      <c r="KX254" s="302"/>
      <c r="KY254" s="302"/>
      <c r="KZ254" s="302"/>
      <c r="LA254" s="302"/>
      <c r="LB254" s="302"/>
      <c r="LC254" s="302"/>
      <c r="LD254" s="302"/>
      <c r="LE254" s="302"/>
      <c r="LF254" s="302"/>
      <c r="LG254" s="302"/>
      <c r="LH254" s="302"/>
      <c r="LI254" s="302"/>
      <c r="LJ254" s="302"/>
      <c r="LK254" s="302"/>
      <c r="LL254" s="302"/>
      <c r="LM254" s="302"/>
      <c r="LN254" s="302"/>
      <c r="LO254" s="302"/>
      <c r="LP254" s="302"/>
      <c r="LQ254" s="302"/>
      <c r="LR254" s="302"/>
      <c r="LS254" s="302"/>
      <c r="LT254" s="302"/>
      <c r="LU254" s="302"/>
      <c r="LV254" s="302"/>
      <c r="LW254" s="302"/>
      <c r="LX254" s="302"/>
      <c r="LY254" s="302"/>
      <c r="LZ254" s="302"/>
      <c r="MA254" s="302"/>
      <c r="MB254" s="302"/>
      <c r="MC254" s="302"/>
      <c r="MD254" s="302"/>
      <c r="ME254" s="302"/>
      <c r="MF254" s="302"/>
      <c r="MG254" s="302"/>
      <c r="MH254" s="302"/>
      <c r="MI254" s="302"/>
      <c r="MJ254" s="302"/>
      <c r="MK254" s="302"/>
      <c r="ML254" s="302"/>
      <c r="MM254" s="302"/>
      <c r="MN254" s="302"/>
      <c r="MO254" s="302"/>
      <c r="MP254" s="302"/>
      <c r="MQ254" s="302"/>
      <c r="MR254" s="302"/>
      <c r="MS254" s="302"/>
      <c r="MT254" s="302"/>
      <c r="MU254" s="302"/>
      <c r="MV254" s="302"/>
      <c r="MW254" s="302"/>
      <c r="MX254" s="302"/>
      <c r="MY254" s="302"/>
      <c r="MZ254" s="302"/>
      <c r="NA254" s="302"/>
      <c r="NB254" s="302"/>
      <c r="NC254" s="302"/>
      <c r="ND254" s="302"/>
      <c r="NE254" s="302"/>
      <c r="NF254" s="302"/>
      <c r="NG254" s="302"/>
      <c r="NH254" s="302"/>
      <c r="NI254" s="302"/>
      <c r="NJ254" s="302"/>
      <c r="NK254" s="302"/>
      <c r="NL254" s="302"/>
      <c r="NM254" s="302"/>
      <c r="NN254" s="302"/>
      <c r="NO254" s="302"/>
      <c r="NP254" s="302"/>
      <c r="NQ254" s="302"/>
      <c r="NR254" s="302"/>
      <c r="NS254" s="302"/>
      <c r="NT254" s="302"/>
      <c r="NU254" s="302"/>
      <c r="NV254" s="302"/>
      <c r="NW254" s="302"/>
      <c r="NX254" s="302"/>
      <c r="NY254" s="302"/>
      <c r="NZ254" s="302"/>
      <c r="OA254" s="302"/>
      <c r="OB254" s="302"/>
      <c r="OC254" s="302"/>
      <c r="OD254" s="302"/>
      <c r="OE254" s="302"/>
      <c r="OF254" s="302"/>
      <c r="OG254" s="302"/>
      <c r="OH254" s="302"/>
      <c r="OI254" s="302"/>
      <c r="OJ254" s="302"/>
      <c r="OK254" s="302"/>
      <c r="OL254" s="302"/>
      <c r="OM254" s="302"/>
      <c r="ON254" s="302"/>
      <c r="OO254" s="302"/>
      <c r="OP254" s="302"/>
      <c r="OQ254" s="302"/>
      <c r="OR254" s="302"/>
      <c r="OS254" s="302"/>
      <c r="OT254" s="302"/>
      <c r="OU254" s="302"/>
      <c r="OV254" s="302"/>
      <c r="OW254" s="302"/>
      <c r="OX254" s="302"/>
      <c r="OY254" s="302"/>
      <c r="OZ254" s="302"/>
      <c r="PA254" s="302"/>
      <c r="PB254" s="302"/>
      <c r="PC254" s="302"/>
      <c r="PD254" s="302"/>
      <c r="PE254" s="302"/>
      <c r="PF254" s="302"/>
      <c r="PG254" s="302"/>
      <c r="PH254" s="302"/>
      <c r="PI254" s="302"/>
      <c r="PJ254" s="302"/>
      <c r="PK254" s="302"/>
      <c r="PL254" s="302"/>
      <c r="PM254" s="302"/>
      <c r="PN254" s="302"/>
      <c r="PO254" s="302"/>
      <c r="PP254" s="302"/>
      <c r="PQ254" s="302"/>
      <c r="PR254" s="302"/>
      <c r="PS254" s="302"/>
      <c r="PT254" s="302"/>
      <c r="PU254" s="302"/>
      <c r="PV254" s="302"/>
      <c r="PW254" s="302"/>
      <c r="PX254" s="302"/>
      <c r="PY254" s="302"/>
      <c r="PZ254" s="302"/>
      <c r="QA254" s="302"/>
      <c r="QB254" s="302"/>
      <c r="QC254" s="302"/>
      <c r="QD254" s="302"/>
      <c r="QE254" s="302"/>
      <c r="QF254" s="302"/>
      <c r="QG254" s="302"/>
      <c r="QH254" s="302"/>
      <c r="QI254" s="302"/>
      <c r="QJ254" s="302"/>
      <c r="QK254" s="302"/>
      <c r="QL254" s="302"/>
      <c r="QM254" s="302"/>
      <c r="QN254" s="302"/>
      <c r="QO254" s="302"/>
      <c r="QP254" s="302"/>
      <c r="QQ254" s="302"/>
      <c r="QR254" s="302"/>
      <c r="QS254" s="302"/>
      <c r="QT254" s="302"/>
      <c r="QU254" s="302"/>
      <c r="QV254" s="302"/>
      <c r="QW254" s="302"/>
      <c r="QX254" s="302"/>
      <c r="QY254" s="302"/>
      <c r="QZ254" s="302"/>
      <c r="RA254" s="302"/>
      <c r="RB254" s="302"/>
      <c r="RC254" s="302"/>
      <c r="RD254" s="302"/>
      <c r="RE254" s="302"/>
      <c r="RF254" s="302"/>
      <c r="RG254" s="302"/>
      <c r="RH254" s="302"/>
      <c r="RI254" s="302"/>
      <c r="RJ254" s="302"/>
      <c r="RK254" s="302"/>
      <c r="RL254" s="302"/>
      <c r="RM254" s="302"/>
      <c r="RN254" s="302"/>
      <c r="RO254" s="302"/>
      <c r="RP254" s="302"/>
      <c r="RQ254" s="302"/>
      <c r="RR254" s="302"/>
      <c r="RS254" s="302"/>
      <c r="RT254" s="302"/>
      <c r="RU254" s="302"/>
      <c r="RV254" s="302"/>
      <c r="RW254" s="302"/>
      <c r="RX254" s="302"/>
      <c r="RY254" s="302"/>
      <c r="RZ254" s="302"/>
      <c r="SA254" s="302"/>
      <c r="SB254" s="302"/>
      <c r="SC254" s="302"/>
      <c r="SD254" s="302"/>
      <c r="SE254" s="302"/>
      <c r="SF254" s="302"/>
      <c r="SG254" s="302"/>
      <c r="SH254" s="302"/>
      <c r="SI254" s="302"/>
      <c r="SJ254" s="302"/>
      <c r="SK254" s="302"/>
      <c r="SL254" s="302"/>
      <c r="SM254" s="302"/>
      <c r="SN254" s="302"/>
      <c r="SO254" s="302"/>
      <c r="SP254" s="302"/>
      <c r="SQ254" s="302"/>
      <c r="SR254" s="302"/>
      <c r="SS254" s="302"/>
      <c r="ST254" s="302"/>
      <c r="SU254" s="302"/>
      <c r="SV254" s="302"/>
      <c r="SW254" s="302"/>
      <c r="SX254" s="302"/>
      <c r="SY254" s="302"/>
      <c r="SZ254" s="302"/>
      <c r="TA254" s="302"/>
      <c r="TB254" s="302"/>
      <c r="TC254" s="302"/>
      <c r="TD254" s="302"/>
      <c r="TE254" s="302"/>
      <c r="TF254" s="302"/>
      <c r="TG254" s="302"/>
      <c r="TH254" s="302"/>
      <c r="TI254" s="302"/>
      <c r="TJ254" s="302"/>
      <c r="TK254" s="302"/>
      <c r="TL254" s="302"/>
      <c r="TM254" s="302"/>
      <c r="TN254" s="302"/>
      <c r="TO254" s="302"/>
      <c r="TP254" s="302"/>
      <c r="TQ254" s="302"/>
      <c r="TR254" s="302"/>
      <c r="TS254" s="302"/>
      <c r="TT254" s="302"/>
      <c r="TU254" s="302"/>
      <c r="TV254" s="302"/>
      <c r="TW254" s="302"/>
      <c r="TX254" s="302"/>
      <c r="TY254" s="302"/>
      <c r="TZ254" s="302"/>
      <c r="UA254" s="302"/>
      <c r="UB254" s="302"/>
      <c r="UC254" s="302"/>
      <c r="UD254" s="302"/>
      <c r="UE254" s="302"/>
      <c r="UF254" s="302"/>
      <c r="UG254" s="302"/>
      <c r="UH254" s="302"/>
      <c r="UI254" s="302"/>
      <c r="UJ254" s="302"/>
      <c r="UK254" s="302"/>
      <c r="UL254" s="302"/>
      <c r="UM254" s="302"/>
      <c r="UN254" s="302"/>
      <c r="UO254" s="302"/>
      <c r="UP254" s="302"/>
      <c r="UQ254" s="302"/>
      <c r="UR254" s="302"/>
      <c r="US254" s="302"/>
      <c r="UT254" s="302"/>
      <c r="UU254" s="302"/>
      <c r="UV254" s="302"/>
      <c r="UW254" s="302"/>
      <c r="UX254" s="302"/>
      <c r="UY254" s="302"/>
      <c r="UZ254" s="302"/>
      <c r="VA254" s="302"/>
      <c r="VB254" s="302"/>
      <c r="VC254" s="302"/>
      <c r="VD254" s="302"/>
      <c r="VE254" s="302"/>
      <c r="VF254" s="302"/>
      <c r="VG254" s="302"/>
      <c r="VH254" s="302"/>
      <c r="VI254" s="302"/>
      <c r="VJ254" s="302"/>
      <c r="VK254" s="302"/>
      <c r="VL254" s="302"/>
      <c r="VM254" s="302"/>
      <c r="VN254" s="302"/>
      <c r="VO254" s="302"/>
      <c r="VP254" s="302"/>
      <c r="VQ254" s="302"/>
      <c r="VR254" s="302"/>
      <c r="VS254" s="302"/>
      <c r="VT254" s="302"/>
      <c r="VU254" s="302"/>
      <c r="VV254" s="302"/>
      <c r="VW254" s="302"/>
      <c r="VX254" s="302"/>
      <c r="VY254" s="302"/>
      <c r="VZ254" s="302"/>
      <c r="WA254" s="302"/>
      <c r="WB254" s="302"/>
      <c r="WC254" s="302"/>
      <c r="WD254" s="302"/>
      <c r="WE254" s="302"/>
      <c r="WF254" s="302"/>
      <c r="WG254" s="302"/>
      <c r="WH254" s="302"/>
      <c r="WI254" s="302"/>
      <c r="WJ254" s="302"/>
      <c r="WK254" s="302"/>
      <c r="WL254" s="302"/>
      <c r="WM254" s="302"/>
      <c r="WN254" s="302"/>
      <c r="WO254" s="302"/>
      <c r="WP254" s="302"/>
      <c r="WQ254" s="302"/>
      <c r="WR254" s="302"/>
      <c r="WS254" s="302"/>
      <c r="WT254" s="302"/>
      <c r="WU254" s="302"/>
      <c r="WV254" s="302"/>
      <c r="WW254" s="302"/>
      <c r="WX254" s="302"/>
      <c r="WY254" s="302"/>
      <c r="WZ254" s="302"/>
      <c r="XA254" s="302"/>
      <c r="XB254" s="302"/>
      <c r="XC254" s="302"/>
      <c r="XD254" s="302"/>
      <c r="XE254" s="302"/>
      <c r="XF254" s="302"/>
      <c r="XG254" s="302"/>
      <c r="XH254" s="302"/>
      <c r="XI254" s="302"/>
      <c r="XJ254" s="302"/>
      <c r="XK254" s="302"/>
      <c r="XL254" s="302"/>
      <c r="XM254" s="302"/>
      <c r="XN254" s="302"/>
      <c r="XO254" s="302"/>
      <c r="XP254" s="302"/>
      <c r="XQ254" s="302"/>
      <c r="XR254" s="302"/>
      <c r="XS254" s="302"/>
      <c r="XT254" s="302"/>
      <c r="XU254" s="302"/>
      <c r="XV254" s="302"/>
      <c r="XW254" s="302"/>
      <c r="XX254" s="302"/>
      <c r="XY254" s="302"/>
      <c r="XZ254" s="302"/>
      <c r="YA254" s="302"/>
      <c r="YB254" s="302"/>
      <c r="YC254" s="302"/>
      <c r="YD254" s="302"/>
      <c r="YE254" s="302"/>
      <c r="YF254" s="302"/>
      <c r="YG254" s="302"/>
      <c r="YH254" s="302"/>
      <c r="YI254" s="302"/>
      <c r="YJ254" s="302"/>
      <c r="YK254" s="302"/>
      <c r="YL254" s="302"/>
      <c r="YM254" s="302"/>
      <c r="YN254" s="302"/>
      <c r="YO254" s="302"/>
      <c r="YP254" s="302"/>
      <c r="YQ254" s="302"/>
      <c r="YR254" s="302"/>
      <c r="YS254" s="302"/>
      <c r="YT254" s="302"/>
      <c r="YU254" s="302"/>
      <c r="YV254" s="302"/>
      <c r="YW254" s="302"/>
      <c r="YX254" s="302"/>
      <c r="YY254" s="302"/>
      <c r="YZ254" s="302"/>
      <c r="ZA254" s="302"/>
      <c r="ZB254" s="302"/>
      <c r="ZC254" s="302"/>
      <c r="ZD254" s="302"/>
      <c r="ZE254" s="302"/>
      <c r="ZF254" s="302"/>
      <c r="ZG254" s="302"/>
      <c r="ZH254" s="302"/>
      <c r="ZI254" s="302"/>
      <c r="ZJ254" s="302"/>
      <c r="ZK254" s="302"/>
      <c r="ZL254" s="302"/>
      <c r="ZM254" s="302"/>
      <c r="ZN254" s="302"/>
      <c r="ZO254" s="302"/>
      <c r="ZP254" s="302"/>
      <c r="ZQ254" s="302"/>
      <c r="ZR254" s="302"/>
      <c r="ZS254" s="302"/>
      <c r="ZT254" s="302"/>
      <c r="ZU254" s="302"/>
      <c r="ZV254" s="302"/>
      <c r="ZW254" s="302"/>
      <c r="ZX254" s="302"/>
      <c r="ZY254" s="302"/>
      <c r="ZZ254" s="302"/>
      <c r="AAA254" s="302"/>
      <c r="AAB254" s="302"/>
      <c r="AAC254" s="302"/>
      <c r="AAD254" s="302"/>
      <c r="AAE254" s="302"/>
      <c r="AAF254" s="302"/>
      <c r="AAG254" s="302"/>
      <c r="AAH254" s="302"/>
      <c r="AAI254" s="302"/>
      <c r="AAJ254" s="302"/>
      <c r="AAK254" s="302"/>
      <c r="AAL254" s="302"/>
      <c r="AAM254" s="302"/>
      <c r="AAN254" s="302"/>
      <c r="AAO254" s="302"/>
      <c r="AAP254" s="302"/>
      <c r="AAQ254" s="302"/>
      <c r="AAR254" s="302"/>
      <c r="AAS254" s="302"/>
      <c r="AAT254" s="302"/>
      <c r="AAU254" s="302"/>
      <c r="AAV254" s="302"/>
      <c r="AAW254" s="302"/>
      <c r="AAX254" s="302"/>
      <c r="AAY254" s="302"/>
      <c r="AAZ254" s="302"/>
      <c r="ABA254" s="302"/>
      <c r="ABB254" s="302"/>
      <c r="ABC254" s="302"/>
      <c r="ABD254" s="302"/>
      <c r="ABE254" s="302"/>
      <c r="ABF254" s="302"/>
      <c r="ABG254" s="302"/>
      <c r="ABH254" s="302"/>
      <c r="ABI254" s="302"/>
      <c r="ABJ254" s="302"/>
      <c r="ABK254" s="302"/>
      <c r="ABL254" s="302"/>
      <c r="ABM254" s="302"/>
      <c r="ABN254" s="302"/>
      <c r="ABO254" s="302"/>
      <c r="ABP254" s="302"/>
      <c r="ABQ254" s="302"/>
      <c r="ABR254" s="302"/>
      <c r="ABS254" s="302"/>
      <c r="ABT254" s="302"/>
      <c r="ABU254" s="302"/>
      <c r="ABV254" s="302"/>
      <c r="ABW254" s="302"/>
      <c r="ABX254" s="302"/>
      <c r="ABY254" s="302"/>
      <c r="ABZ254" s="302"/>
      <c r="ACA254" s="302"/>
      <c r="ACB254" s="302"/>
      <c r="ACC254" s="302"/>
      <c r="ACD254" s="302"/>
      <c r="ACE254" s="302"/>
      <c r="ACF254" s="302"/>
      <c r="ACG254" s="302"/>
      <c r="ACH254" s="302"/>
      <c r="ACI254" s="302"/>
      <c r="ACJ254" s="302"/>
      <c r="ACK254" s="302"/>
      <c r="ACL254" s="302"/>
      <c r="ACM254" s="302"/>
      <c r="ACN254" s="302"/>
      <c r="ACO254" s="302"/>
      <c r="ACP254" s="302"/>
      <c r="ACQ254" s="302"/>
      <c r="ACR254" s="302"/>
      <c r="ACS254" s="302"/>
      <c r="ACT254" s="302"/>
      <c r="ACU254" s="302"/>
      <c r="ACV254" s="302"/>
      <c r="ACW254" s="302"/>
      <c r="ACX254" s="302"/>
      <c r="ACY254" s="302"/>
      <c r="ACZ254" s="302"/>
      <c r="ADA254" s="302"/>
      <c r="ADB254" s="302"/>
      <c r="ADC254" s="302"/>
      <c r="ADD254" s="302"/>
      <c r="ADE254" s="302"/>
      <c r="ADF254" s="302"/>
      <c r="ADG254" s="302"/>
      <c r="ADH254" s="302"/>
      <c r="ADI254" s="302"/>
      <c r="ADJ254" s="302"/>
      <c r="ADK254" s="302"/>
      <c r="ADL254" s="302"/>
      <c r="ADM254" s="302"/>
      <c r="ADN254" s="302"/>
      <c r="ADO254" s="302"/>
      <c r="ADP254" s="302"/>
      <c r="ADQ254" s="302"/>
      <c r="ADR254" s="302"/>
      <c r="ADS254" s="302"/>
      <c r="ADT254" s="302"/>
      <c r="ADU254" s="302"/>
      <c r="ADV254" s="302"/>
      <c r="ADW254" s="302"/>
      <c r="ADX254" s="302"/>
      <c r="ADY254" s="302"/>
      <c r="ADZ254" s="302"/>
      <c r="AEA254" s="302"/>
      <c r="AEB254" s="302"/>
      <c r="AEC254" s="302"/>
      <c r="AED254" s="302"/>
      <c r="AEE254" s="302"/>
      <c r="AEF254" s="302"/>
      <c r="AEG254" s="302"/>
      <c r="AEH254" s="302"/>
      <c r="AEI254" s="302"/>
      <c r="AEJ254" s="302"/>
      <c r="AEK254" s="302"/>
      <c r="AEL254" s="302"/>
      <c r="AEM254" s="302"/>
      <c r="AEN254" s="302"/>
      <c r="AEO254" s="302"/>
      <c r="AEP254" s="302"/>
      <c r="AEQ254" s="302"/>
      <c r="AER254" s="302"/>
      <c r="AES254" s="302"/>
      <c r="AET254" s="302"/>
      <c r="AEU254" s="302"/>
      <c r="AEV254" s="302"/>
      <c r="AEW254" s="302"/>
      <c r="AEX254" s="302"/>
      <c r="AEY254" s="302"/>
      <c r="AEZ254" s="302"/>
      <c r="AFA254" s="302"/>
      <c r="AFB254" s="302"/>
      <c r="AFC254" s="302"/>
      <c r="AFD254" s="302"/>
      <c r="AFE254" s="302"/>
      <c r="AFF254" s="302"/>
      <c r="AFG254" s="302"/>
      <c r="AFH254" s="302"/>
      <c r="AFI254" s="302"/>
      <c r="AFJ254" s="302"/>
      <c r="AFK254" s="302"/>
      <c r="AFL254" s="302"/>
      <c r="AFM254" s="302"/>
      <c r="AFN254" s="302"/>
      <c r="AFO254" s="302"/>
      <c r="AFP254" s="302"/>
      <c r="AFQ254" s="302"/>
      <c r="AFR254" s="302"/>
      <c r="AFS254" s="302"/>
      <c r="AFT254" s="302"/>
      <c r="AFU254" s="302"/>
      <c r="AFV254" s="302"/>
      <c r="AFW254" s="302"/>
      <c r="AFX254" s="302"/>
      <c r="AFY254" s="302"/>
      <c r="AFZ254" s="302"/>
      <c r="AGA254" s="302"/>
      <c r="AGB254" s="302"/>
      <c r="AGC254" s="302"/>
      <c r="AGD254" s="302"/>
      <c r="AGE254" s="302"/>
      <c r="AGF254" s="302"/>
      <c r="AGG254" s="302"/>
      <c r="AGH254" s="302"/>
      <c r="AGI254" s="302"/>
      <c r="AGJ254" s="302"/>
      <c r="AGK254" s="302"/>
      <c r="AGL254" s="302"/>
      <c r="AGM254" s="302"/>
      <c r="AGN254" s="302"/>
      <c r="AGO254" s="302"/>
      <c r="AGP254" s="302"/>
      <c r="AGQ254" s="302"/>
      <c r="AGR254" s="302"/>
      <c r="AGS254" s="302"/>
      <c r="AGT254" s="302"/>
      <c r="AGU254" s="302"/>
      <c r="AGV254" s="302"/>
      <c r="AGW254" s="302"/>
      <c r="AGX254" s="302"/>
      <c r="AGY254" s="302"/>
      <c r="AGZ254" s="302"/>
      <c r="AHA254" s="302"/>
      <c r="AHB254" s="302"/>
      <c r="AHC254" s="302"/>
      <c r="AHD254" s="302"/>
      <c r="AHE254" s="302"/>
      <c r="AHF254" s="302"/>
      <c r="AHG254" s="302"/>
      <c r="AHH254" s="302"/>
      <c r="AHI254" s="302"/>
      <c r="AHJ254" s="302"/>
      <c r="AHK254" s="302"/>
      <c r="AHL254" s="302"/>
      <c r="AHM254" s="302"/>
      <c r="AHN254" s="302"/>
      <c r="AHO254" s="302"/>
      <c r="AHP254" s="302"/>
      <c r="AHQ254" s="302"/>
      <c r="AHR254" s="302"/>
      <c r="AHS254" s="302"/>
      <c r="AHT254" s="302"/>
      <c r="AHU254" s="302"/>
      <c r="AHV254" s="302"/>
      <c r="AHW254" s="302"/>
      <c r="AHX254" s="302"/>
      <c r="AHY254" s="302"/>
      <c r="AHZ254" s="302"/>
      <c r="AIA254" s="302"/>
      <c r="AIB254" s="302"/>
      <c r="AIC254" s="302"/>
      <c r="AID254" s="302"/>
      <c r="AIE254" s="302"/>
      <c r="AIF254" s="302"/>
      <c r="AIG254" s="302"/>
      <c r="AIH254" s="302"/>
      <c r="AII254" s="302"/>
      <c r="AIJ254" s="302"/>
      <c r="AIK254" s="302"/>
      <c r="AIL254" s="302"/>
      <c r="AIM254" s="302"/>
      <c r="AIN254" s="302"/>
      <c r="AIO254" s="302"/>
      <c r="AIP254" s="302"/>
      <c r="AIQ254" s="302"/>
      <c r="AIR254" s="302"/>
      <c r="AIS254" s="302"/>
      <c r="AIT254" s="302"/>
      <c r="AIU254" s="302"/>
      <c r="AIV254" s="302"/>
      <c r="AIW254" s="302"/>
      <c r="AIX254" s="302"/>
      <c r="AIY254" s="302"/>
      <c r="AIZ254" s="302"/>
      <c r="AJA254" s="302"/>
      <c r="AJB254" s="302"/>
      <c r="AJC254" s="302"/>
      <c r="AJD254" s="302"/>
      <c r="AJE254" s="302"/>
      <c r="AJF254" s="302"/>
      <c r="AJG254" s="302"/>
      <c r="AJH254" s="302"/>
      <c r="AJI254" s="302"/>
      <c r="AJJ254" s="302"/>
      <c r="AJK254" s="302"/>
      <c r="AJL254" s="302"/>
      <c r="AJM254" s="302"/>
      <c r="AJN254" s="302"/>
      <c r="AJO254" s="302"/>
      <c r="AJP254" s="302"/>
      <c r="AJQ254" s="302"/>
      <c r="AJR254" s="302"/>
      <c r="AJS254" s="302"/>
      <c r="AJT254" s="302"/>
      <c r="AJU254" s="302"/>
      <c r="AJV254" s="302"/>
      <c r="AJW254" s="302"/>
      <c r="AJX254" s="302"/>
      <c r="AJY254" s="302"/>
      <c r="AJZ254" s="302"/>
      <c r="AKA254" s="302"/>
      <c r="AKB254" s="302"/>
      <c r="AKC254" s="302"/>
      <c r="AKD254" s="302"/>
      <c r="AKE254" s="302"/>
      <c r="AKF254" s="302"/>
      <c r="AKG254" s="302"/>
      <c r="AKH254" s="302"/>
      <c r="AKI254" s="302"/>
      <c r="AKJ254" s="302"/>
      <c r="AKK254" s="302"/>
      <c r="AKL254" s="302"/>
      <c r="AKM254" s="302"/>
      <c r="AKN254" s="302"/>
      <c r="AKO254" s="302"/>
      <c r="AKP254" s="302"/>
      <c r="AKQ254" s="302"/>
      <c r="AKR254" s="302"/>
      <c r="AKS254" s="302"/>
      <c r="AKT254" s="302"/>
      <c r="AKU254" s="302"/>
      <c r="AKV254" s="302"/>
      <c r="AKW254" s="302"/>
      <c r="AKX254" s="302"/>
      <c r="AKY254" s="302"/>
      <c r="AKZ254" s="302"/>
      <c r="ALA254" s="302"/>
      <c r="ALB254" s="302"/>
      <c r="ALC254" s="302"/>
      <c r="ALD254" s="302"/>
      <c r="ALE254" s="302"/>
      <c r="ALF254" s="302"/>
      <c r="ALG254" s="302"/>
      <c r="ALH254" s="302"/>
      <c r="ALI254" s="302"/>
      <c r="ALJ254" s="302"/>
      <c r="ALK254" s="302"/>
      <c r="ALL254" s="302"/>
      <c r="ALM254" s="302"/>
      <c r="ALN254" s="302"/>
      <c r="ALO254" s="302"/>
      <c r="ALP254" s="302"/>
      <c r="ALQ254" s="302"/>
      <c r="ALR254" s="302"/>
      <c r="ALS254" s="302"/>
      <c r="ALT254" s="302"/>
      <c r="ALU254" s="302"/>
      <c r="ALV254" s="302"/>
      <c r="ALW254" s="302"/>
      <c r="ALX254" s="302"/>
      <c r="ALY254" s="302"/>
      <c r="ALZ254" s="302"/>
      <c r="AMA254" s="302"/>
      <c r="AMB254" s="302"/>
      <c r="AMC254" s="302"/>
      <c r="AMD254" s="302"/>
      <c r="AME254" s="302"/>
      <c r="AMF254" s="302"/>
      <c r="AMG254" s="302"/>
      <c r="AMH254" s="302"/>
      <c r="AMI254" s="302"/>
    </row>
    <row r="255" spans="1:1023" hidden="1">
      <c r="A255" s="302"/>
      <c r="B255" s="442">
        <v>14020</v>
      </c>
      <c r="C255" s="430">
        <v>0.08</v>
      </c>
      <c r="D255" s="370" t="s">
        <v>165</v>
      </c>
      <c r="E255" s="584">
        <v>1600000</v>
      </c>
      <c r="F255" s="500">
        <v>0.01</v>
      </c>
      <c r="G255" s="369">
        <f t="shared" si="13"/>
        <v>16000</v>
      </c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  <c r="AF255" s="302"/>
      <c r="AG255" s="302"/>
      <c r="AH255" s="302"/>
      <c r="AI255" s="302"/>
      <c r="AJ255" s="302"/>
      <c r="AK255" s="302"/>
      <c r="AL255" s="302"/>
      <c r="AM255" s="302"/>
      <c r="AN255" s="302"/>
      <c r="AO255" s="302"/>
      <c r="AP255" s="302"/>
      <c r="AQ255" s="302"/>
      <c r="AR255" s="302"/>
      <c r="AS255" s="302"/>
      <c r="AT255" s="302"/>
      <c r="AU255" s="302"/>
      <c r="AV255" s="302"/>
      <c r="AW255" s="302"/>
      <c r="AX255" s="302"/>
      <c r="AY255" s="302"/>
      <c r="AZ255" s="302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K255" s="302"/>
      <c r="BL255" s="302"/>
      <c r="BM255" s="302"/>
      <c r="BN255" s="302"/>
      <c r="BO255" s="302"/>
      <c r="BP255" s="302"/>
      <c r="BQ255" s="302"/>
      <c r="BR255" s="302"/>
      <c r="BS255" s="302"/>
      <c r="BT255" s="302"/>
      <c r="BU255" s="302"/>
      <c r="BV255" s="302"/>
      <c r="BW255" s="302"/>
      <c r="BX255" s="302"/>
      <c r="BY255" s="302"/>
      <c r="BZ255" s="302"/>
      <c r="CA255" s="302"/>
      <c r="CB255" s="302"/>
      <c r="CC255" s="302"/>
      <c r="CD255" s="302"/>
      <c r="CE255" s="302"/>
      <c r="CF255" s="302"/>
      <c r="CG255" s="302"/>
      <c r="CH255" s="302"/>
      <c r="CI255" s="302"/>
      <c r="CJ255" s="302"/>
      <c r="CK255" s="302"/>
      <c r="CL255" s="302"/>
      <c r="CM255" s="302"/>
      <c r="CN255" s="302"/>
      <c r="CO255" s="302"/>
      <c r="CP255" s="302"/>
      <c r="CQ255" s="302"/>
      <c r="CR255" s="302"/>
      <c r="CS255" s="302"/>
      <c r="CT255" s="302"/>
      <c r="CU255" s="302"/>
      <c r="CV255" s="302"/>
      <c r="CW255" s="302"/>
      <c r="CX255" s="302"/>
      <c r="CY255" s="302"/>
      <c r="CZ255" s="302"/>
      <c r="DA255" s="302"/>
      <c r="DB255" s="302"/>
      <c r="DC255" s="302"/>
      <c r="DD255" s="302"/>
      <c r="DE255" s="302"/>
      <c r="DF255" s="302"/>
      <c r="DG255" s="302"/>
      <c r="DH255" s="302"/>
      <c r="DI255" s="302"/>
      <c r="DJ255" s="302"/>
      <c r="DK255" s="302"/>
      <c r="DL255" s="302"/>
      <c r="DM255" s="302"/>
      <c r="DN255" s="302"/>
      <c r="DO255" s="302"/>
      <c r="DP255" s="302"/>
      <c r="DQ255" s="302"/>
      <c r="DR255" s="302"/>
      <c r="DS255" s="302"/>
      <c r="DT255" s="302"/>
      <c r="DU255" s="302"/>
      <c r="DV255" s="302"/>
      <c r="DW255" s="302"/>
      <c r="DX255" s="302"/>
      <c r="DY255" s="302"/>
      <c r="DZ255" s="302"/>
      <c r="EA255" s="302"/>
      <c r="EB255" s="302"/>
      <c r="EC255" s="302"/>
      <c r="ED255" s="302"/>
      <c r="EE255" s="302"/>
      <c r="EF255" s="302"/>
      <c r="EG255" s="302"/>
      <c r="EH255" s="302"/>
      <c r="EI255" s="302"/>
      <c r="EJ255" s="302"/>
      <c r="EK255" s="302"/>
      <c r="EL255" s="302"/>
      <c r="EM255" s="302"/>
      <c r="EN255" s="302"/>
      <c r="EO255" s="302"/>
      <c r="EP255" s="302"/>
      <c r="EQ255" s="302"/>
      <c r="ER255" s="302"/>
      <c r="ES255" s="302"/>
      <c r="ET255" s="302"/>
      <c r="EU255" s="302"/>
      <c r="EV255" s="302"/>
      <c r="EW255" s="302"/>
      <c r="EX255" s="302"/>
      <c r="EY255" s="302"/>
      <c r="EZ255" s="302"/>
      <c r="FA255" s="302"/>
      <c r="FB255" s="302"/>
      <c r="FC255" s="302"/>
      <c r="FD255" s="302"/>
      <c r="FE255" s="302"/>
      <c r="FF255" s="302"/>
      <c r="FG255" s="302"/>
      <c r="FH255" s="302"/>
      <c r="FI255" s="302"/>
      <c r="FJ255" s="302"/>
      <c r="FK255" s="302"/>
      <c r="FL255" s="302"/>
      <c r="FM255" s="302"/>
      <c r="FN255" s="302"/>
      <c r="FO255" s="302"/>
      <c r="FP255" s="302"/>
      <c r="FQ255" s="302"/>
      <c r="FR255" s="302"/>
      <c r="FS255" s="302"/>
      <c r="FT255" s="302"/>
      <c r="FU255" s="302"/>
      <c r="FV255" s="302"/>
      <c r="FW255" s="302"/>
      <c r="FX255" s="302"/>
      <c r="FY255" s="302"/>
      <c r="FZ255" s="302"/>
      <c r="GA255" s="302"/>
      <c r="GB255" s="302"/>
      <c r="GC255" s="302"/>
      <c r="GD255" s="302"/>
      <c r="GE255" s="302"/>
      <c r="GF255" s="302"/>
      <c r="GG255" s="302"/>
      <c r="GH255" s="302"/>
      <c r="GI255" s="302"/>
      <c r="GJ255" s="302"/>
      <c r="GK255" s="302"/>
      <c r="GL255" s="302"/>
      <c r="GM255" s="302"/>
      <c r="GN255" s="302"/>
      <c r="GO255" s="302"/>
      <c r="GP255" s="302"/>
      <c r="GQ255" s="302"/>
      <c r="GR255" s="302"/>
      <c r="GS255" s="302"/>
      <c r="GT255" s="302"/>
      <c r="GU255" s="302"/>
      <c r="GV255" s="302"/>
      <c r="GW255" s="302"/>
      <c r="GX255" s="302"/>
      <c r="GY255" s="302"/>
      <c r="GZ255" s="302"/>
      <c r="HA255" s="302"/>
      <c r="HB255" s="302"/>
      <c r="HC255" s="302"/>
      <c r="HD255" s="302"/>
      <c r="HE255" s="302"/>
      <c r="HF255" s="302"/>
      <c r="HG255" s="302"/>
      <c r="HH255" s="302"/>
      <c r="HI255" s="302"/>
      <c r="HJ255" s="302"/>
      <c r="HK255" s="302"/>
      <c r="HL255" s="302"/>
      <c r="HM255" s="302"/>
      <c r="HN255" s="302"/>
      <c r="HO255" s="302"/>
      <c r="HP255" s="302"/>
      <c r="HQ255" s="302"/>
      <c r="HR255" s="302"/>
      <c r="HS255" s="302"/>
      <c r="HT255" s="302"/>
      <c r="HU255" s="302"/>
      <c r="HV255" s="302"/>
      <c r="HW255" s="302"/>
      <c r="HX255" s="302"/>
      <c r="HY255" s="302"/>
      <c r="HZ255" s="302"/>
      <c r="IA255" s="302"/>
      <c r="IB255" s="302"/>
      <c r="IC255" s="302"/>
      <c r="ID255" s="302"/>
      <c r="IE255" s="302"/>
      <c r="IF255" s="302"/>
      <c r="IG255" s="302"/>
      <c r="IH255" s="302"/>
      <c r="II255" s="302"/>
      <c r="IJ255" s="302"/>
      <c r="IK255" s="302"/>
      <c r="IL255" s="302"/>
      <c r="IM255" s="302"/>
      <c r="IN255" s="302"/>
      <c r="IO255" s="302"/>
      <c r="IP255" s="302"/>
      <c r="IQ255" s="302"/>
      <c r="IR255" s="302"/>
      <c r="IS255" s="302"/>
      <c r="IT255" s="302"/>
      <c r="IU255" s="302"/>
      <c r="IV255" s="302"/>
      <c r="IW255" s="302"/>
      <c r="IX255" s="302"/>
      <c r="IY255" s="302"/>
      <c r="IZ255" s="302"/>
      <c r="JA255" s="302"/>
      <c r="JB255" s="302"/>
      <c r="JC255" s="302"/>
      <c r="JD255" s="302"/>
      <c r="JE255" s="302"/>
      <c r="JF255" s="302"/>
      <c r="JG255" s="302"/>
      <c r="JH255" s="302"/>
      <c r="JI255" s="302"/>
      <c r="JJ255" s="302"/>
      <c r="JK255" s="302"/>
      <c r="JL255" s="302"/>
      <c r="JM255" s="302"/>
      <c r="JN255" s="302"/>
      <c r="JO255" s="302"/>
      <c r="JP255" s="302"/>
      <c r="JQ255" s="302"/>
      <c r="JR255" s="302"/>
      <c r="JS255" s="302"/>
      <c r="JT255" s="302"/>
      <c r="JU255" s="302"/>
      <c r="JV255" s="302"/>
      <c r="JW255" s="302"/>
      <c r="JX255" s="302"/>
      <c r="JY255" s="302"/>
      <c r="JZ255" s="302"/>
      <c r="KA255" s="302"/>
      <c r="KB255" s="302"/>
      <c r="KC255" s="302"/>
      <c r="KD255" s="302"/>
      <c r="KE255" s="302"/>
      <c r="KF255" s="302"/>
      <c r="KG255" s="302"/>
      <c r="KH255" s="302"/>
      <c r="KI255" s="302"/>
      <c r="KJ255" s="302"/>
      <c r="KK255" s="302"/>
      <c r="KL255" s="302"/>
      <c r="KM255" s="302"/>
      <c r="KN255" s="302"/>
      <c r="KO255" s="302"/>
      <c r="KP255" s="302"/>
      <c r="KQ255" s="302"/>
      <c r="KR255" s="302"/>
      <c r="KS255" s="302"/>
      <c r="KT255" s="302"/>
      <c r="KU255" s="302"/>
      <c r="KV255" s="302"/>
      <c r="KW255" s="302"/>
      <c r="KX255" s="302"/>
      <c r="KY255" s="302"/>
      <c r="KZ255" s="302"/>
      <c r="LA255" s="302"/>
      <c r="LB255" s="302"/>
      <c r="LC255" s="302"/>
      <c r="LD255" s="302"/>
      <c r="LE255" s="302"/>
      <c r="LF255" s="302"/>
      <c r="LG255" s="302"/>
      <c r="LH255" s="302"/>
      <c r="LI255" s="302"/>
      <c r="LJ255" s="302"/>
      <c r="LK255" s="302"/>
      <c r="LL255" s="302"/>
      <c r="LM255" s="302"/>
      <c r="LN255" s="302"/>
      <c r="LO255" s="302"/>
      <c r="LP255" s="302"/>
      <c r="LQ255" s="302"/>
      <c r="LR255" s="302"/>
      <c r="LS255" s="302"/>
      <c r="LT255" s="302"/>
      <c r="LU255" s="302"/>
      <c r="LV255" s="302"/>
      <c r="LW255" s="302"/>
      <c r="LX255" s="302"/>
      <c r="LY255" s="302"/>
      <c r="LZ255" s="302"/>
      <c r="MA255" s="302"/>
      <c r="MB255" s="302"/>
      <c r="MC255" s="302"/>
      <c r="MD255" s="302"/>
      <c r="ME255" s="302"/>
      <c r="MF255" s="302"/>
      <c r="MG255" s="302"/>
      <c r="MH255" s="302"/>
      <c r="MI255" s="302"/>
      <c r="MJ255" s="302"/>
      <c r="MK255" s="302"/>
      <c r="ML255" s="302"/>
      <c r="MM255" s="302"/>
      <c r="MN255" s="302"/>
      <c r="MO255" s="302"/>
      <c r="MP255" s="302"/>
      <c r="MQ255" s="302"/>
      <c r="MR255" s="302"/>
      <c r="MS255" s="302"/>
      <c r="MT255" s="302"/>
      <c r="MU255" s="302"/>
      <c r="MV255" s="302"/>
      <c r="MW255" s="302"/>
      <c r="MX255" s="302"/>
      <c r="MY255" s="302"/>
      <c r="MZ255" s="302"/>
      <c r="NA255" s="302"/>
      <c r="NB255" s="302"/>
      <c r="NC255" s="302"/>
      <c r="ND255" s="302"/>
      <c r="NE255" s="302"/>
      <c r="NF255" s="302"/>
      <c r="NG255" s="302"/>
      <c r="NH255" s="302"/>
      <c r="NI255" s="302"/>
      <c r="NJ255" s="302"/>
      <c r="NK255" s="302"/>
      <c r="NL255" s="302"/>
      <c r="NM255" s="302"/>
      <c r="NN255" s="302"/>
      <c r="NO255" s="302"/>
      <c r="NP255" s="302"/>
      <c r="NQ255" s="302"/>
      <c r="NR255" s="302"/>
      <c r="NS255" s="302"/>
      <c r="NT255" s="302"/>
      <c r="NU255" s="302"/>
      <c r="NV255" s="302"/>
      <c r="NW255" s="302"/>
      <c r="NX255" s="302"/>
      <c r="NY255" s="302"/>
      <c r="NZ255" s="302"/>
      <c r="OA255" s="302"/>
      <c r="OB255" s="302"/>
      <c r="OC255" s="302"/>
      <c r="OD255" s="302"/>
      <c r="OE255" s="302"/>
      <c r="OF255" s="302"/>
      <c r="OG255" s="302"/>
      <c r="OH255" s="302"/>
      <c r="OI255" s="302"/>
      <c r="OJ255" s="302"/>
      <c r="OK255" s="302"/>
      <c r="OL255" s="302"/>
      <c r="OM255" s="302"/>
      <c r="ON255" s="302"/>
      <c r="OO255" s="302"/>
      <c r="OP255" s="302"/>
      <c r="OQ255" s="302"/>
      <c r="OR255" s="302"/>
      <c r="OS255" s="302"/>
      <c r="OT255" s="302"/>
      <c r="OU255" s="302"/>
      <c r="OV255" s="302"/>
      <c r="OW255" s="302"/>
      <c r="OX255" s="302"/>
      <c r="OY255" s="302"/>
      <c r="OZ255" s="302"/>
      <c r="PA255" s="302"/>
      <c r="PB255" s="302"/>
      <c r="PC255" s="302"/>
      <c r="PD255" s="302"/>
      <c r="PE255" s="302"/>
      <c r="PF255" s="302"/>
      <c r="PG255" s="302"/>
      <c r="PH255" s="302"/>
      <c r="PI255" s="302"/>
      <c r="PJ255" s="302"/>
      <c r="PK255" s="302"/>
      <c r="PL255" s="302"/>
      <c r="PM255" s="302"/>
      <c r="PN255" s="302"/>
      <c r="PO255" s="302"/>
      <c r="PP255" s="302"/>
      <c r="PQ255" s="302"/>
      <c r="PR255" s="302"/>
      <c r="PS255" s="302"/>
      <c r="PT255" s="302"/>
      <c r="PU255" s="302"/>
      <c r="PV255" s="302"/>
      <c r="PW255" s="302"/>
      <c r="PX255" s="302"/>
      <c r="PY255" s="302"/>
      <c r="PZ255" s="302"/>
      <c r="QA255" s="302"/>
      <c r="QB255" s="302"/>
      <c r="QC255" s="302"/>
      <c r="QD255" s="302"/>
      <c r="QE255" s="302"/>
      <c r="QF255" s="302"/>
      <c r="QG255" s="302"/>
      <c r="QH255" s="302"/>
      <c r="QI255" s="302"/>
      <c r="QJ255" s="302"/>
      <c r="QK255" s="302"/>
      <c r="QL255" s="302"/>
      <c r="QM255" s="302"/>
      <c r="QN255" s="302"/>
      <c r="QO255" s="302"/>
      <c r="QP255" s="302"/>
      <c r="QQ255" s="302"/>
      <c r="QR255" s="302"/>
      <c r="QS255" s="302"/>
      <c r="QT255" s="302"/>
      <c r="QU255" s="302"/>
      <c r="QV255" s="302"/>
      <c r="QW255" s="302"/>
      <c r="QX255" s="302"/>
      <c r="QY255" s="302"/>
      <c r="QZ255" s="302"/>
      <c r="RA255" s="302"/>
      <c r="RB255" s="302"/>
      <c r="RC255" s="302"/>
      <c r="RD255" s="302"/>
      <c r="RE255" s="302"/>
      <c r="RF255" s="302"/>
      <c r="RG255" s="302"/>
      <c r="RH255" s="302"/>
      <c r="RI255" s="302"/>
      <c r="RJ255" s="302"/>
      <c r="RK255" s="302"/>
      <c r="RL255" s="302"/>
      <c r="RM255" s="302"/>
      <c r="RN255" s="302"/>
      <c r="RO255" s="302"/>
      <c r="RP255" s="302"/>
      <c r="RQ255" s="302"/>
      <c r="RR255" s="302"/>
      <c r="RS255" s="302"/>
      <c r="RT255" s="302"/>
      <c r="RU255" s="302"/>
      <c r="RV255" s="302"/>
      <c r="RW255" s="302"/>
      <c r="RX255" s="302"/>
      <c r="RY255" s="302"/>
      <c r="RZ255" s="302"/>
      <c r="SA255" s="302"/>
      <c r="SB255" s="302"/>
      <c r="SC255" s="302"/>
      <c r="SD255" s="302"/>
      <c r="SE255" s="302"/>
      <c r="SF255" s="302"/>
      <c r="SG255" s="302"/>
      <c r="SH255" s="302"/>
      <c r="SI255" s="302"/>
      <c r="SJ255" s="302"/>
      <c r="SK255" s="302"/>
      <c r="SL255" s="302"/>
      <c r="SM255" s="302"/>
      <c r="SN255" s="302"/>
      <c r="SO255" s="302"/>
      <c r="SP255" s="302"/>
      <c r="SQ255" s="302"/>
      <c r="SR255" s="302"/>
      <c r="SS255" s="302"/>
      <c r="ST255" s="302"/>
      <c r="SU255" s="302"/>
      <c r="SV255" s="302"/>
      <c r="SW255" s="302"/>
      <c r="SX255" s="302"/>
      <c r="SY255" s="302"/>
      <c r="SZ255" s="302"/>
      <c r="TA255" s="302"/>
      <c r="TB255" s="302"/>
      <c r="TC255" s="302"/>
      <c r="TD255" s="302"/>
      <c r="TE255" s="302"/>
      <c r="TF255" s="302"/>
      <c r="TG255" s="302"/>
      <c r="TH255" s="302"/>
      <c r="TI255" s="302"/>
      <c r="TJ255" s="302"/>
      <c r="TK255" s="302"/>
      <c r="TL255" s="302"/>
      <c r="TM255" s="302"/>
      <c r="TN255" s="302"/>
      <c r="TO255" s="302"/>
      <c r="TP255" s="302"/>
      <c r="TQ255" s="302"/>
      <c r="TR255" s="302"/>
      <c r="TS255" s="302"/>
      <c r="TT255" s="302"/>
      <c r="TU255" s="302"/>
      <c r="TV255" s="302"/>
      <c r="TW255" s="302"/>
      <c r="TX255" s="302"/>
      <c r="TY255" s="302"/>
      <c r="TZ255" s="302"/>
      <c r="UA255" s="302"/>
      <c r="UB255" s="302"/>
      <c r="UC255" s="302"/>
      <c r="UD255" s="302"/>
      <c r="UE255" s="302"/>
      <c r="UF255" s="302"/>
      <c r="UG255" s="302"/>
      <c r="UH255" s="302"/>
      <c r="UI255" s="302"/>
      <c r="UJ255" s="302"/>
      <c r="UK255" s="302"/>
      <c r="UL255" s="302"/>
      <c r="UM255" s="302"/>
      <c r="UN255" s="302"/>
      <c r="UO255" s="302"/>
      <c r="UP255" s="302"/>
      <c r="UQ255" s="302"/>
      <c r="UR255" s="302"/>
      <c r="US255" s="302"/>
      <c r="UT255" s="302"/>
      <c r="UU255" s="302"/>
      <c r="UV255" s="302"/>
      <c r="UW255" s="302"/>
      <c r="UX255" s="302"/>
      <c r="UY255" s="302"/>
      <c r="UZ255" s="302"/>
      <c r="VA255" s="302"/>
      <c r="VB255" s="302"/>
      <c r="VC255" s="302"/>
      <c r="VD255" s="302"/>
      <c r="VE255" s="302"/>
      <c r="VF255" s="302"/>
      <c r="VG255" s="302"/>
      <c r="VH255" s="302"/>
      <c r="VI255" s="302"/>
      <c r="VJ255" s="302"/>
      <c r="VK255" s="302"/>
      <c r="VL255" s="302"/>
      <c r="VM255" s="302"/>
      <c r="VN255" s="302"/>
      <c r="VO255" s="302"/>
      <c r="VP255" s="302"/>
      <c r="VQ255" s="302"/>
      <c r="VR255" s="302"/>
      <c r="VS255" s="302"/>
      <c r="VT255" s="302"/>
      <c r="VU255" s="302"/>
      <c r="VV255" s="302"/>
      <c r="VW255" s="302"/>
      <c r="VX255" s="302"/>
      <c r="VY255" s="302"/>
      <c r="VZ255" s="302"/>
      <c r="WA255" s="302"/>
      <c r="WB255" s="302"/>
      <c r="WC255" s="302"/>
      <c r="WD255" s="302"/>
      <c r="WE255" s="302"/>
      <c r="WF255" s="302"/>
      <c r="WG255" s="302"/>
      <c r="WH255" s="302"/>
      <c r="WI255" s="302"/>
      <c r="WJ255" s="302"/>
      <c r="WK255" s="302"/>
      <c r="WL255" s="302"/>
      <c r="WM255" s="302"/>
      <c r="WN255" s="302"/>
      <c r="WO255" s="302"/>
      <c r="WP255" s="302"/>
      <c r="WQ255" s="302"/>
      <c r="WR255" s="302"/>
      <c r="WS255" s="302"/>
      <c r="WT255" s="302"/>
      <c r="WU255" s="302"/>
      <c r="WV255" s="302"/>
      <c r="WW255" s="302"/>
      <c r="WX255" s="302"/>
      <c r="WY255" s="302"/>
      <c r="WZ255" s="302"/>
      <c r="XA255" s="302"/>
      <c r="XB255" s="302"/>
      <c r="XC255" s="302"/>
      <c r="XD255" s="302"/>
      <c r="XE255" s="302"/>
      <c r="XF255" s="302"/>
      <c r="XG255" s="302"/>
      <c r="XH255" s="302"/>
      <c r="XI255" s="302"/>
      <c r="XJ255" s="302"/>
      <c r="XK255" s="302"/>
      <c r="XL255" s="302"/>
      <c r="XM255" s="302"/>
      <c r="XN255" s="302"/>
      <c r="XO255" s="302"/>
      <c r="XP255" s="302"/>
      <c r="XQ255" s="302"/>
      <c r="XR255" s="302"/>
      <c r="XS255" s="302"/>
      <c r="XT255" s="302"/>
      <c r="XU255" s="302"/>
      <c r="XV255" s="302"/>
      <c r="XW255" s="302"/>
      <c r="XX255" s="302"/>
      <c r="XY255" s="302"/>
      <c r="XZ255" s="302"/>
      <c r="YA255" s="302"/>
      <c r="YB255" s="302"/>
      <c r="YC255" s="302"/>
      <c r="YD255" s="302"/>
      <c r="YE255" s="302"/>
      <c r="YF255" s="302"/>
      <c r="YG255" s="302"/>
      <c r="YH255" s="302"/>
      <c r="YI255" s="302"/>
      <c r="YJ255" s="302"/>
      <c r="YK255" s="302"/>
      <c r="YL255" s="302"/>
      <c r="YM255" s="302"/>
      <c r="YN255" s="302"/>
      <c r="YO255" s="302"/>
      <c r="YP255" s="302"/>
      <c r="YQ255" s="302"/>
      <c r="YR255" s="302"/>
      <c r="YS255" s="302"/>
      <c r="YT255" s="302"/>
      <c r="YU255" s="302"/>
      <c r="YV255" s="302"/>
      <c r="YW255" s="302"/>
      <c r="YX255" s="302"/>
      <c r="YY255" s="302"/>
      <c r="YZ255" s="302"/>
      <c r="ZA255" s="302"/>
      <c r="ZB255" s="302"/>
      <c r="ZC255" s="302"/>
      <c r="ZD255" s="302"/>
      <c r="ZE255" s="302"/>
      <c r="ZF255" s="302"/>
      <c r="ZG255" s="302"/>
      <c r="ZH255" s="302"/>
      <c r="ZI255" s="302"/>
      <c r="ZJ255" s="302"/>
      <c r="ZK255" s="302"/>
      <c r="ZL255" s="302"/>
      <c r="ZM255" s="302"/>
      <c r="ZN255" s="302"/>
      <c r="ZO255" s="302"/>
      <c r="ZP255" s="302"/>
      <c r="ZQ255" s="302"/>
      <c r="ZR255" s="302"/>
      <c r="ZS255" s="302"/>
      <c r="ZT255" s="302"/>
      <c r="ZU255" s="302"/>
      <c r="ZV255" s="302"/>
      <c r="ZW255" s="302"/>
      <c r="ZX255" s="302"/>
      <c r="ZY255" s="302"/>
      <c r="ZZ255" s="302"/>
      <c r="AAA255" s="302"/>
      <c r="AAB255" s="302"/>
      <c r="AAC255" s="302"/>
      <c r="AAD255" s="302"/>
      <c r="AAE255" s="302"/>
      <c r="AAF255" s="302"/>
      <c r="AAG255" s="302"/>
      <c r="AAH255" s="302"/>
      <c r="AAI255" s="302"/>
      <c r="AAJ255" s="302"/>
      <c r="AAK255" s="302"/>
      <c r="AAL255" s="302"/>
      <c r="AAM255" s="302"/>
      <c r="AAN255" s="302"/>
      <c r="AAO255" s="302"/>
      <c r="AAP255" s="302"/>
      <c r="AAQ255" s="302"/>
      <c r="AAR255" s="302"/>
      <c r="AAS255" s="302"/>
      <c r="AAT255" s="302"/>
      <c r="AAU255" s="302"/>
      <c r="AAV255" s="302"/>
      <c r="AAW255" s="302"/>
      <c r="AAX255" s="302"/>
      <c r="AAY255" s="302"/>
      <c r="AAZ255" s="302"/>
      <c r="ABA255" s="302"/>
      <c r="ABB255" s="302"/>
      <c r="ABC255" s="302"/>
      <c r="ABD255" s="302"/>
      <c r="ABE255" s="302"/>
      <c r="ABF255" s="302"/>
      <c r="ABG255" s="302"/>
      <c r="ABH255" s="302"/>
      <c r="ABI255" s="302"/>
      <c r="ABJ255" s="302"/>
      <c r="ABK255" s="302"/>
      <c r="ABL255" s="302"/>
      <c r="ABM255" s="302"/>
      <c r="ABN255" s="302"/>
      <c r="ABO255" s="302"/>
      <c r="ABP255" s="302"/>
      <c r="ABQ255" s="302"/>
      <c r="ABR255" s="302"/>
      <c r="ABS255" s="302"/>
      <c r="ABT255" s="302"/>
      <c r="ABU255" s="302"/>
      <c r="ABV255" s="302"/>
      <c r="ABW255" s="302"/>
      <c r="ABX255" s="302"/>
      <c r="ABY255" s="302"/>
      <c r="ABZ255" s="302"/>
      <c r="ACA255" s="302"/>
      <c r="ACB255" s="302"/>
      <c r="ACC255" s="302"/>
      <c r="ACD255" s="302"/>
      <c r="ACE255" s="302"/>
      <c r="ACF255" s="302"/>
      <c r="ACG255" s="302"/>
      <c r="ACH255" s="302"/>
      <c r="ACI255" s="302"/>
      <c r="ACJ255" s="302"/>
      <c r="ACK255" s="302"/>
      <c r="ACL255" s="302"/>
      <c r="ACM255" s="302"/>
      <c r="ACN255" s="302"/>
      <c r="ACO255" s="302"/>
      <c r="ACP255" s="302"/>
      <c r="ACQ255" s="302"/>
      <c r="ACR255" s="302"/>
      <c r="ACS255" s="302"/>
      <c r="ACT255" s="302"/>
      <c r="ACU255" s="302"/>
      <c r="ACV255" s="302"/>
      <c r="ACW255" s="302"/>
      <c r="ACX255" s="302"/>
      <c r="ACY255" s="302"/>
      <c r="ACZ255" s="302"/>
      <c r="ADA255" s="302"/>
      <c r="ADB255" s="302"/>
      <c r="ADC255" s="302"/>
      <c r="ADD255" s="302"/>
      <c r="ADE255" s="302"/>
      <c r="ADF255" s="302"/>
      <c r="ADG255" s="302"/>
      <c r="ADH255" s="302"/>
      <c r="ADI255" s="302"/>
      <c r="ADJ255" s="302"/>
      <c r="ADK255" s="302"/>
      <c r="ADL255" s="302"/>
      <c r="ADM255" s="302"/>
      <c r="ADN255" s="302"/>
      <c r="ADO255" s="302"/>
      <c r="ADP255" s="302"/>
      <c r="ADQ255" s="302"/>
      <c r="ADR255" s="302"/>
      <c r="ADS255" s="302"/>
      <c r="ADT255" s="302"/>
      <c r="ADU255" s="302"/>
      <c r="ADV255" s="302"/>
      <c r="ADW255" s="302"/>
      <c r="ADX255" s="302"/>
      <c r="ADY255" s="302"/>
      <c r="ADZ255" s="302"/>
      <c r="AEA255" s="302"/>
      <c r="AEB255" s="302"/>
      <c r="AEC255" s="302"/>
      <c r="AED255" s="302"/>
      <c r="AEE255" s="302"/>
      <c r="AEF255" s="302"/>
      <c r="AEG255" s="302"/>
      <c r="AEH255" s="302"/>
      <c r="AEI255" s="302"/>
      <c r="AEJ255" s="302"/>
      <c r="AEK255" s="302"/>
      <c r="AEL255" s="302"/>
      <c r="AEM255" s="302"/>
      <c r="AEN255" s="302"/>
      <c r="AEO255" s="302"/>
      <c r="AEP255" s="302"/>
      <c r="AEQ255" s="302"/>
      <c r="AER255" s="302"/>
      <c r="AES255" s="302"/>
      <c r="AET255" s="302"/>
      <c r="AEU255" s="302"/>
      <c r="AEV255" s="302"/>
      <c r="AEW255" s="302"/>
      <c r="AEX255" s="302"/>
      <c r="AEY255" s="302"/>
      <c r="AEZ255" s="302"/>
      <c r="AFA255" s="302"/>
      <c r="AFB255" s="302"/>
      <c r="AFC255" s="302"/>
      <c r="AFD255" s="302"/>
      <c r="AFE255" s="302"/>
      <c r="AFF255" s="302"/>
      <c r="AFG255" s="302"/>
      <c r="AFH255" s="302"/>
      <c r="AFI255" s="302"/>
      <c r="AFJ255" s="302"/>
      <c r="AFK255" s="302"/>
      <c r="AFL255" s="302"/>
      <c r="AFM255" s="302"/>
      <c r="AFN255" s="302"/>
      <c r="AFO255" s="302"/>
      <c r="AFP255" s="302"/>
      <c r="AFQ255" s="302"/>
      <c r="AFR255" s="302"/>
      <c r="AFS255" s="302"/>
      <c r="AFT255" s="302"/>
      <c r="AFU255" s="302"/>
      <c r="AFV255" s="302"/>
      <c r="AFW255" s="302"/>
      <c r="AFX255" s="302"/>
      <c r="AFY255" s="302"/>
      <c r="AFZ255" s="302"/>
      <c r="AGA255" s="302"/>
      <c r="AGB255" s="302"/>
      <c r="AGC255" s="302"/>
      <c r="AGD255" s="302"/>
      <c r="AGE255" s="302"/>
      <c r="AGF255" s="302"/>
      <c r="AGG255" s="302"/>
      <c r="AGH255" s="302"/>
      <c r="AGI255" s="302"/>
      <c r="AGJ255" s="302"/>
      <c r="AGK255" s="302"/>
      <c r="AGL255" s="302"/>
      <c r="AGM255" s="302"/>
      <c r="AGN255" s="302"/>
      <c r="AGO255" s="302"/>
      <c r="AGP255" s="302"/>
      <c r="AGQ255" s="302"/>
      <c r="AGR255" s="302"/>
      <c r="AGS255" s="302"/>
      <c r="AGT255" s="302"/>
      <c r="AGU255" s="302"/>
      <c r="AGV255" s="302"/>
      <c r="AGW255" s="302"/>
      <c r="AGX255" s="302"/>
      <c r="AGY255" s="302"/>
      <c r="AGZ255" s="302"/>
      <c r="AHA255" s="302"/>
      <c r="AHB255" s="302"/>
      <c r="AHC255" s="302"/>
      <c r="AHD255" s="302"/>
      <c r="AHE255" s="302"/>
      <c r="AHF255" s="302"/>
      <c r="AHG255" s="302"/>
      <c r="AHH255" s="302"/>
      <c r="AHI255" s="302"/>
      <c r="AHJ255" s="302"/>
      <c r="AHK255" s="302"/>
      <c r="AHL255" s="302"/>
      <c r="AHM255" s="302"/>
      <c r="AHN255" s="302"/>
      <c r="AHO255" s="302"/>
      <c r="AHP255" s="302"/>
      <c r="AHQ255" s="302"/>
      <c r="AHR255" s="302"/>
      <c r="AHS255" s="302"/>
      <c r="AHT255" s="302"/>
      <c r="AHU255" s="302"/>
      <c r="AHV255" s="302"/>
      <c r="AHW255" s="302"/>
      <c r="AHX255" s="302"/>
      <c r="AHY255" s="302"/>
      <c r="AHZ255" s="302"/>
      <c r="AIA255" s="302"/>
      <c r="AIB255" s="302"/>
      <c r="AIC255" s="302"/>
      <c r="AID255" s="302"/>
      <c r="AIE255" s="302"/>
      <c r="AIF255" s="302"/>
      <c r="AIG255" s="302"/>
      <c r="AIH255" s="302"/>
      <c r="AII255" s="302"/>
      <c r="AIJ255" s="302"/>
      <c r="AIK255" s="302"/>
      <c r="AIL255" s="302"/>
      <c r="AIM255" s="302"/>
      <c r="AIN255" s="302"/>
      <c r="AIO255" s="302"/>
      <c r="AIP255" s="302"/>
      <c r="AIQ255" s="302"/>
      <c r="AIR255" s="302"/>
      <c r="AIS255" s="302"/>
      <c r="AIT255" s="302"/>
      <c r="AIU255" s="302"/>
      <c r="AIV255" s="302"/>
      <c r="AIW255" s="302"/>
      <c r="AIX255" s="302"/>
      <c r="AIY255" s="302"/>
      <c r="AIZ255" s="302"/>
      <c r="AJA255" s="302"/>
      <c r="AJB255" s="302"/>
      <c r="AJC255" s="302"/>
      <c r="AJD255" s="302"/>
      <c r="AJE255" s="302"/>
      <c r="AJF255" s="302"/>
      <c r="AJG255" s="302"/>
      <c r="AJH255" s="302"/>
      <c r="AJI255" s="302"/>
      <c r="AJJ255" s="302"/>
      <c r="AJK255" s="302"/>
      <c r="AJL255" s="302"/>
      <c r="AJM255" s="302"/>
      <c r="AJN255" s="302"/>
      <c r="AJO255" s="302"/>
      <c r="AJP255" s="302"/>
      <c r="AJQ255" s="302"/>
      <c r="AJR255" s="302"/>
      <c r="AJS255" s="302"/>
      <c r="AJT255" s="302"/>
      <c r="AJU255" s="302"/>
      <c r="AJV255" s="302"/>
      <c r="AJW255" s="302"/>
      <c r="AJX255" s="302"/>
      <c r="AJY255" s="302"/>
      <c r="AJZ255" s="302"/>
      <c r="AKA255" s="302"/>
      <c r="AKB255" s="302"/>
      <c r="AKC255" s="302"/>
      <c r="AKD255" s="302"/>
      <c r="AKE255" s="302"/>
      <c r="AKF255" s="302"/>
      <c r="AKG255" s="302"/>
      <c r="AKH255" s="302"/>
      <c r="AKI255" s="302"/>
      <c r="AKJ255" s="302"/>
      <c r="AKK255" s="302"/>
      <c r="AKL255" s="302"/>
      <c r="AKM255" s="302"/>
      <c r="AKN255" s="302"/>
      <c r="AKO255" s="302"/>
      <c r="AKP255" s="302"/>
      <c r="AKQ255" s="302"/>
      <c r="AKR255" s="302"/>
      <c r="AKS255" s="302"/>
      <c r="AKT255" s="302"/>
      <c r="AKU255" s="302"/>
      <c r="AKV255" s="302"/>
      <c r="AKW255" s="302"/>
      <c r="AKX255" s="302"/>
      <c r="AKY255" s="302"/>
      <c r="AKZ255" s="302"/>
      <c r="ALA255" s="302"/>
      <c r="ALB255" s="302"/>
      <c r="ALC255" s="302"/>
      <c r="ALD255" s="302"/>
      <c r="ALE255" s="302"/>
      <c r="ALF255" s="302"/>
      <c r="ALG255" s="302"/>
      <c r="ALH255" s="302"/>
      <c r="ALI255" s="302"/>
      <c r="ALJ255" s="302"/>
      <c r="ALK255" s="302"/>
      <c r="ALL255" s="302"/>
      <c r="ALM255" s="302"/>
      <c r="ALN255" s="302"/>
      <c r="ALO255" s="302"/>
      <c r="ALP255" s="302"/>
      <c r="ALQ255" s="302"/>
      <c r="ALR255" s="302"/>
      <c r="ALS255" s="302"/>
      <c r="ALT255" s="302"/>
      <c r="ALU255" s="302"/>
      <c r="ALV255" s="302"/>
      <c r="ALW255" s="302"/>
      <c r="ALX255" s="302"/>
      <c r="ALY255" s="302"/>
      <c r="ALZ255" s="302"/>
      <c r="AMA255" s="302"/>
      <c r="AMB255" s="302"/>
      <c r="AMC255" s="302"/>
      <c r="AMD255" s="302"/>
      <c r="AME255" s="302"/>
      <c r="AMF255" s="302"/>
      <c r="AMG255" s="302"/>
      <c r="AMH255" s="302"/>
      <c r="AMI255" s="302"/>
    </row>
    <row r="256" spans="1:1023" hidden="1">
      <c r="A256" s="302"/>
      <c r="B256" s="442">
        <v>14037</v>
      </c>
      <c r="C256" s="432">
        <v>0.1</v>
      </c>
      <c r="D256" s="370" t="s">
        <v>140</v>
      </c>
      <c r="E256" s="584">
        <v>1800000</v>
      </c>
      <c r="F256" s="499">
        <v>0.02</v>
      </c>
      <c r="G256" s="369">
        <f t="shared" si="13"/>
        <v>36000</v>
      </c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  <c r="AF256" s="302"/>
      <c r="AG256" s="302"/>
      <c r="AH256" s="302"/>
      <c r="AI256" s="302"/>
      <c r="AJ256" s="302"/>
      <c r="AK256" s="302"/>
      <c r="AL256" s="302"/>
      <c r="AM256" s="302"/>
      <c r="AN256" s="302"/>
      <c r="AO256" s="302"/>
      <c r="AP256" s="302"/>
      <c r="AQ256" s="302"/>
      <c r="AR256" s="302"/>
      <c r="AS256" s="302"/>
      <c r="AT256" s="302"/>
      <c r="AU256" s="302"/>
      <c r="AV256" s="302"/>
      <c r="AW256" s="302"/>
      <c r="AX256" s="302"/>
      <c r="AY256" s="302"/>
      <c r="AZ256" s="302"/>
      <c r="BA256" s="302"/>
      <c r="BB256" s="302"/>
      <c r="BC256" s="302"/>
      <c r="BD256" s="302"/>
      <c r="BE256" s="302"/>
      <c r="BF256" s="302"/>
      <c r="BG256" s="302"/>
      <c r="BH256" s="302"/>
      <c r="BI256" s="302"/>
      <c r="BJ256" s="302"/>
      <c r="BK256" s="302"/>
      <c r="BL256" s="302"/>
      <c r="BM256" s="302"/>
      <c r="BN256" s="302"/>
      <c r="BO256" s="302"/>
      <c r="BP256" s="302"/>
      <c r="BQ256" s="302"/>
      <c r="BR256" s="302"/>
      <c r="BS256" s="302"/>
      <c r="BT256" s="302"/>
      <c r="BU256" s="302"/>
      <c r="BV256" s="302"/>
      <c r="BW256" s="302"/>
      <c r="BX256" s="302"/>
      <c r="BY256" s="302"/>
      <c r="BZ256" s="302"/>
      <c r="CA256" s="302"/>
      <c r="CB256" s="302"/>
      <c r="CC256" s="302"/>
      <c r="CD256" s="302"/>
      <c r="CE256" s="302"/>
      <c r="CF256" s="302"/>
      <c r="CG256" s="302"/>
      <c r="CH256" s="302"/>
      <c r="CI256" s="302"/>
      <c r="CJ256" s="302"/>
      <c r="CK256" s="302"/>
      <c r="CL256" s="302"/>
      <c r="CM256" s="302"/>
      <c r="CN256" s="302"/>
      <c r="CO256" s="302"/>
      <c r="CP256" s="302"/>
      <c r="CQ256" s="302"/>
      <c r="CR256" s="302"/>
      <c r="CS256" s="302"/>
      <c r="CT256" s="302"/>
      <c r="CU256" s="302"/>
      <c r="CV256" s="302"/>
      <c r="CW256" s="302"/>
      <c r="CX256" s="302"/>
      <c r="CY256" s="302"/>
      <c r="CZ256" s="302"/>
      <c r="DA256" s="302"/>
      <c r="DB256" s="302"/>
      <c r="DC256" s="302"/>
      <c r="DD256" s="302"/>
      <c r="DE256" s="302"/>
      <c r="DF256" s="302"/>
      <c r="DG256" s="302"/>
      <c r="DH256" s="302"/>
      <c r="DI256" s="302"/>
      <c r="DJ256" s="302"/>
      <c r="DK256" s="302"/>
      <c r="DL256" s="302"/>
      <c r="DM256" s="302"/>
      <c r="DN256" s="302"/>
      <c r="DO256" s="302"/>
      <c r="DP256" s="302"/>
      <c r="DQ256" s="302"/>
      <c r="DR256" s="302"/>
      <c r="DS256" s="302"/>
      <c r="DT256" s="302"/>
      <c r="DU256" s="302"/>
      <c r="DV256" s="302"/>
      <c r="DW256" s="302"/>
      <c r="DX256" s="302"/>
      <c r="DY256" s="302"/>
      <c r="DZ256" s="302"/>
      <c r="EA256" s="302"/>
      <c r="EB256" s="302"/>
      <c r="EC256" s="302"/>
      <c r="ED256" s="302"/>
      <c r="EE256" s="302"/>
      <c r="EF256" s="302"/>
      <c r="EG256" s="302"/>
      <c r="EH256" s="302"/>
      <c r="EI256" s="302"/>
      <c r="EJ256" s="302"/>
      <c r="EK256" s="302"/>
      <c r="EL256" s="302"/>
      <c r="EM256" s="302"/>
      <c r="EN256" s="302"/>
      <c r="EO256" s="302"/>
      <c r="EP256" s="302"/>
      <c r="EQ256" s="302"/>
      <c r="ER256" s="302"/>
      <c r="ES256" s="302"/>
      <c r="ET256" s="302"/>
      <c r="EU256" s="302"/>
      <c r="EV256" s="302"/>
      <c r="EW256" s="302"/>
      <c r="EX256" s="302"/>
      <c r="EY256" s="302"/>
      <c r="EZ256" s="302"/>
      <c r="FA256" s="302"/>
      <c r="FB256" s="302"/>
      <c r="FC256" s="302"/>
      <c r="FD256" s="302"/>
      <c r="FE256" s="302"/>
      <c r="FF256" s="302"/>
      <c r="FG256" s="302"/>
      <c r="FH256" s="302"/>
      <c r="FI256" s="302"/>
      <c r="FJ256" s="302"/>
      <c r="FK256" s="302"/>
      <c r="FL256" s="302"/>
      <c r="FM256" s="302"/>
      <c r="FN256" s="302"/>
      <c r="FO256" s="302"/>
      <c r="FP256" s="302"/>
      <c r="FQ256" s="302"/>
      <c r="FR256" s="302"/>
      <c r="FS256" s="302"/>
      <c r="FT256" s="302"/>
      <c r="FU256" s="302"/>
      <c r="FV256" s="302"/>
      <c r="FW256" s="302"/>
      <c r="FX256" s="302"/>
      <c r="FY256" s="302"/>
      <c r="FZ256" s="302"/>
      <c r="GA256" s="302"/>
      <c r="GB256" s="302"/>
      <c r="GC256" s="302"/>
      <c r="GD256" s="302"/>
      <c r="GE256" s="302"/>
      <c r="GF256" s="302"/>
      <c r="GG256" s="302"/>
      <c r="GH256" s="302"/>
      <c r="GI256" s="302"/>
      <c r="GJ256" s="302"/>
      <c r="GK256" s="302"/>
      <c r="GL256" s="302"/>
      <c r="GM256" s="302"/>
      <c r="GN256" s="302"/>
      <c r="GO256" s="302"/>
      <c r="GP256" s="302"/>
      <c r="GQ256" s="302"/>
      <c r="GR256" s="302"/>
      <c r="GS256" s="302"/>
      <c r="GT256" s="302"/>
      <c r="GU256" s="302"/>
      <c r="GV256" s="302"/>
      <c r="GW256" s="302"/>
      <c r="GX256" s="302"/>
      <c r="GY256" s="302"/>
      <c r="GZ256" s="302"/>
      <c r="HA256" s="302"/>
      <c r="HB256" s="302"/>
      <c r="HC256" s="302"/>
      <c r="HD256" s="302"/>
      <c r="HE256" s="302"/>
      <c r="HF256" s="302"/>
      <c r="HG256" s="302"/>
      <c r="HH256" s="302"/>
      <c r="HI256" s="302"/>
      <c r="HJ256" s="302"/>
      <c r="HK256" s="302"/>
      <c r="HL256" s="302"/>
      <c r="HM256" s="302"/>
      <c r="HN256" s="302"/>
      <c r="HO256" s="302"/>
      <c r="HP256" s="302"/>
      <c r="HQ256" s="302"/>
      <c r="HR256" s="302"/>
      <c r="HS256" s="302"/>
      <c r="HT256" s="302"/>
      <c r="HU256" s="302"/>
      <c r="HV256" s="302"/>
      <c r="HW256" s="302"/>
      <c r="HX256" s="302"/>
      <c r="HY256" s="302"/>
      <c r="HZ256" s="302"/>
      <c r="IA256" s="302"/>
      <c r="IB256" s="302"/>
      <c r="IC256" s="302"/>
      <c r="ID256" s="302"/>
      <c r="IE256" s="302"/>
      <c r="IF256" s="302"/>
      <c r="IG256" s="302"/>
      <c r="IH256" s="302"/>
      <c r="II256" s="302"/>
      <c r="IJ256" s="302"/>
      <c r="IK256" s="302"/>
      <c r="IL256" s="302"/>
      <c r="IM256" s="302"/>
      <c r="IN256" s="302"/>
      <c r="IO256" s="302"/>
      <c r="IP256" s="302"/>
      <c r="IQ256" s="302"/>
      <c r="IR256" s="302"/>
      <c r="IS256" s="302"/>
      <c r="IT256" s="302"/>
      <c r="IU256" s="302"/>
      <c r="IV256" s="302"/>
      <c r="IW256" s="302"/>
      <c r="IX256" s="302"/>
      <c r="IY256" s="302"/>
      <c r="IZ256" s="302"/>
      <c r="JA256" s="302"/>
      <c r="JB256" s="302"/>
      <c r="JC256" s="302"/>
      <c r="JD256" s="302"/>
      <c r="JE256" s="302"/>
      <c r="JF256" s="302"/>
      <c r="JG256" s="302"/>
      <c r="JH256" s="302"/>
      <c r="JI256" s="302"/>
      <c r="JJ256" s="302"/>
      <c r="JK256" s="302"/>
      <c r="JL256" s="302"/>
      <c r="JM256" s="302"/>
      <c r="JN256" s="302"/>
      <c r="JO256" s="302"/>
      <c r="JP256" s="302"/>
      <c r="JQ256" s="302"/>
      <c r="JR256" s="302"/>
      <c r="JS256" s="302"/>
      <c r="JT256" s="302"/>
      <c r="JU256" s="302"/>
      <c r="JV256" s="302"/>
      <c r="JW256" s="302"/>
      <c r="JX256" s="302"/>
      <c r="JY256" s="302"/>
      <c r="JZ256" s="302"/>
      <c r="KA256" s="302"/>
      <c r="KB256" s="302"/>
      <c r="KC256" s="302"/>
      <c r="KD256" s="302"/>
      <c r="KE256" s="302"/>
      <c r="KF256" s="302"/>
      <c r="KG256" s="302"/>
      <c r="KH256" s="302"/>
      <c r="KI256" s="302"/>
      <c r="KJ256" s="302"/>
      <c r="KK256" s="302"/>
      <c r="KL256" s="302"/>
      <c r="KM256" s="302"/>
      <c r="KN256" s="302"/>
      <c r="KO256" s="302"/>
      <c r="KP256" s="302"/>
      <c r="KQ256" s="302"/>
      <c r="KR256" s="302"/>
      <c r="KS256" s="302"/>
      <c r="KT256" s="302"/>
      <c r="KU256" s="302"/>
      <c r="KV256" s="302"/>
      <c r="KW256" s="302"/>
      <c r="KX256" s="302"/>
      <c r="KY256" s="302"/>
      <c r="KZ256" s="302"/>
      <c r="LA256" s="302"/>
      <c r="LB256" s="302"/>
      <c r="LC256" s="302"/>
      <c r="LD256" s="302"/>
      <c r="LE256" s="302"/>
      <c r="LF256" s="302"/>
      <c r="LG256" s="302"/>
      <c r="LH256" s="302"/>
      <c r="LI256" s="302"/>
      <c r="LJ256" s="302"/>
      <c r="LK256" s="302"/>
      <c r="LL256" s="302"/>
      <c r="LM256" s="302"/>
      <c r="LN256" s="302"/>
      <c r="LO256" s="302"/>
      <c r="LP256" s="302"/>
      <c r="LQ256" s="302"/>
      <c r="LR256" s="302"/>
      <c r="LS256" s="302"/>
      <c r="LT256" s="302"/>
      <c r="LU256" s="302"/>
      <c r="LV256" s="302"/>
      <c r="LW256" s="302"/>
      <c r="LX256" s="302"/>
      <c r="LY256" s="302"/>
      <c r="LZ256" s="302"/>
      <c r="MA256" s="302"/>
      <c r="MB256" s="302"/>
      <c r="MC256" s="302"/>
      <c r="MD256" s="302"/>
      <c r="ME256" s="302"/>
      <c r="MF256" s="302"/>
      <c r="MG256" s="302"/>
      <c r="MH256" s="302"/>
      <c r="MI256" s="302"/>
      <c r="MJ256" s="302"/>
      <c r="MK256" s="302"/>
      <c r="ML256" s="302"/>
      <c r="MM256" s="302"/>
      <c r="MN256" s="302"/>
      <c r="MO256" s="302"/>
      <c r="MP256" s="302"/>
      <c r="MQ256" s="302"/>
      <c r="MR256" s="302"/>
      <c r="MS256" s="302"/>
      <c r="MT256" s="302"/>
      <c r="MU256" s="302"/>
      <c r="MV256" s="302"/>
      <c r="MW256" s="302"/>
      <c r="MX256" s="302"/>
      <c r="MY256" s="302"/>
      <c r="MZ256" s="302"/>
      <c r="NA256" s="302"/>
      <c r="NB256" s="302"/>
      <c r="NC256" s="302"/>
      <c r="ND256" s="302"/>
      <c r="NE256" s="302"/>
      <c r="NF256" s="302"/>
      <c r="NG256" s="302"/>
      <c r="NH256" s="302"/>
      <c r="NI256" s="302"/>
      <c r="NJ256" s="302"/>
      <c r="NK256" s="302"/>
      <c r="NL256" s="302"/>
      <c r="NM256" s="302"/>
      <c r="NN256" s="302"/>
      <c r="NO256" s="302"/>
      <c r="NP256" s="302"/>
      <c r="NQ256" s="302"/>
      <c r="NR256" s="302"/>
      <c r="NS256" s="302"/>
      <c r="NT256" s="302"/>
      <c r="NU256" s="302"/>
      <c r="NV256" s="302"/>
      <c r="NW256" s="302"/>
      <c r="NX256" s="302"/>
      <c r="NY256" s="302"/>
      <c r="NZ256" s="302"/>
      <c r="OA256" s="302"/>
      <c r="OB256" s="302"/>
      <c r="OC256" s="302"/>
      <c r="OD256" s="302"/>
      <c r="OE256" s="302"/>
      <c r="OF256" s="302"/>
      <c r="OG256" s="302"/>
      <c r="OH256" s="302"/>
      <c r="OI256" s="302"/>
      <c r="OJ256" s="302"/>
      <c r="OK256" s="302"/>
      <c r="OL256" s="302"/>
      <c r="OM256" s="302"/>
      <c r="ON256" s="302"/>
      <c r="OO256" s="302"/>
      <c r="OP256" s="302"/>
      <c r="OQ256" s="302"/>
      <c r="OR256" s="302"/>
      <c r="OS256" s="302"/>
      <c r="OT256" s="302"/>
      <c r="OU256" s="302"/>
      <c r="OV256" s="302"/>
      <c r="OW256" s="302"/>
      <c r="OX256" s="302"/>
      <c r="OY256" s="302"/>
      <c r="OZ256" s="302"/>
      <c r="PA256" s="302"/>
      <c r="PB256" s="302"/>
      <c r="PC256" s="302"/>
      <c r="PD256" s="302"/>
      <c r="PE256" s="302"/>
      <c r="PF256" s="302"/>
      <c r="PG256" s="302"/>
      <c r="PH256" s="302"/>
      <c r="PI256" s="302"/>
      <c r="PJ256" s="302"/>
      <c r="PK256" s="302"/>
      <c r="PL256" s="302"/>
      <c r="PM256" s="302"/>
      <c r="PN256" s="302"/>
      <c r="PO256" s="302"/>
      <c r="PP256" s="302"/>
      <c r="PQ256" s="302"/>
      <c r="PR256" s="302"/>
      <c r="PS256" s="302"/>
      <c r="PT256" s="302"/>
      <c r="PU256" s="302"/>
      <c r="PV256" s="302"/>
      <c r="PW256" s="302"/>
      <c r="PX256" s="302"/>
      <c r="PY256" s="302"/>
      <c r="PZ256" s="302"/>
      <c r="QA256" s="302"/>
      <c r="QB256" s="302"/>
      <c r="QC256" s="302"/>
      <c r="QD256" s="302"/>
      <c r="QE256" s="302"/>
      <c r="QF256" s="302"/>
      <c r="QG256" s="302"/>
      <c r="QH256" s="302"/>
      <c r="QI256" s="302"/>
      <c r="QJ256" s="302"/>
      <c r="QK256" s="302"/>
      <c r="QL256" s="302"/>
      <c r="QM256" s="302"/>
      <c r="QN256" s="302"/>
      <c r="QO256" s="302"/>
      <c r="QP256" s="302"/>
      <c r="QQ256" s="302"/>
      <c r="QR256" s="302"/>
      <c r="QS256" s="302"/>
      <c r="QT256" s="302"/>
      <c r="QU256" s="302"/>
      <c r="QV256" s="302"/>
      <c r="QW256" s="302"/>
      <c r="QX256" s="302"/>
      <c r="QY256" s="302"/>
      <c r="QZ256" s="302"/>
      <c r="RA256" s="302"/>
      <c r="RB256" s="302"/>
      <c r="RC256" s="302"/>
      <c r="RD256" s="302"/>
      <c r="RE256" s="302"/>
      <c r="RF256" s="302"/>
      <c r="RG256" s="302"/>
      <c r="RH256" s="302"/>
      <c r="RI256" s="302"/>
      <c r="RJ256" s="302"/>
      <c r="RK256" s="302"/>
      <c r="RL256" s="302"/>
      <c r="RM256" s="302"/>
      <c r="RN256" s="302"/>
      <c r="RO256" s="302"/>
      <c r="RP256" s="302"/>
      <c r="RQ256" s="302"/>
      <c r="RR256" s="302"/>
      <c r="RS256" s="302"/>
      <c r="RT256" s="302"/>
      <c r="RU256" s="302"/>
      <c r="RV256" s="302"/>
      <c r="RW256" s="302"/>
      <c r="RX256" s="302"/>
      <c r="RY256" s="302"/>
      <c r="RZ256" s="302"/>
      <c r="SA256" s="302"/>
      <c r="SB256" s="302"/>
      <c r="SC256" s="302"/>
      <c r="SD256" s="302"/>
      <c r="SE256" s="302"/>
      <c r="SF256" s="302"/>
      <c r="SG256" s="302"/>
      <c r="SH256" s="302"/>
      <c r="SI256" s="302"/>
      <c r="SJ256" s="302"/>
      <c r="SK256" s="302"/>
      <c r="SL256" s="302"/>
      <c r="SM256" s="302"/>
      <c r="SN256" s="302"/>
      <c r="SO256" s="302"/>
      <c r="SP256" s="302"/>
      <c r="SQ256" s="302"/>
      <c r="SR256" s="302"/>
      <c r="SS256" s="302"/>
      <c r="ST256" s="302"/>
      <c r="SU256" s="302"/>
      <c r="SV256" s="302"/>
      <c r="SW256" s="302"/>
      <c r="SX256" s="302"/>
      <c r="SY256" s="302"/>
      <c r="SZ256" s="302"/>
      <c r="TA256" s="302"/>
      <c r="TB256" s="302"/>
      <c r="TC256" s="302"/>
      <c r="TD256" s="302"/>
      <c r="TE256" s="302"/>
      <c r="TF256" s="302"/>
      <c r="TG256" s="302"/>
      <c r="TH256" s="302"/>
      <c r="TI256" s="302"/>
      <c r="TJ256" s="302"/>
      <c r="TK256" s="302"/>
      <c r="TL256" s="302"/>
      <c r="TM256" s="302"/>
      <c r="TN256" s="302"/>
      <c r="TO256" s="302"/>
      <c r="TP256" s="302"/>
      <c r="TQ256" s="302"/>
      <c r="TR256" s="302"/>
      <c r="TS256" s="302"/>
      <c r="TT256" s="302"/>
      <c r="TU256" s="302"/>
      <c r="TV256" s="302"/>
      <c r="TW256" s="302"/>
      <c r="TX256" s="302"/>
      <c r="TY256" s="302"/>
      <c r="TZ256" s="302"/>
      <c r="UA256" s="302"/>
      <c r="UB256" s="302"/>
      <c r="UC256" s="302"/>
      <c r="UD256" s="302"/>
      <c r="UE256" s="302"/>
      <c r="UF256" s="302"/>
      <c r="UG256" s="302"/>
      <c r="UH256" s="302"/>
      <c r="UI256" s="302"/>
      <c r="UJ256" s="302"/>
      <c r="UK256" s="302"/>
      <c r="UL256" s="302"/>
      <c r="UM256" s="302"/>
      <c r="UN256" s="302"/>
      <c r="UO256" s="302"/>
      <c r="UP256" s="302"/>
      <c r="UQ256" s="302"/>
      <c r="UR256" s="302"/>
      <c r="US256" s="302"/>
      <c r="UT256" s="302"/>
      <c r="UU256" s="302"/>
      <c r="UV256" s="302"/>
      <c r="UW256" s="302"/>
      <c r="UX256" s="302"/>
      <c r="UY256" s="302"/>
      <c r="UZ256" s="302"/>
      <c r="VA256" s="302"/>
      <c r="VB256" s="302"/>
      <c r="VC256" s="302"/>
      <c r="VD256" s="302"/>
      <c r="VE256" s="302"/>
      <c r="VF256" s="302"/>
      <c r="VG256" s="302"/>
      <c r="VH256" s="302"/>
      <c r="VI256" s="302"/>
      <c r="VJ256" s="302"/>
      <c r="VK256" s="302"/>
      <c r="VL256" s="302"/>
      <c r="VM256" s="302"/>
      <c r="VN256" s="302"/>
      <c r="VO256" s="302"/>
      <c r="VP256" s="302"/>
      <c r="VQ256" s="302"/>
      <c r="VR256" s="302"/>
      <c r="VS256" s="302"/>
      <c r="VT256" s="302"/>
      <c r="VU256" s="302"/>
      <c r="VV256" s="302"/>
      <c r="VW256" s="302"/>
      <c r="VX256" s="302"/>
      <c r="VY256" s="302"/>
      <c r="VZ256" s="302"/>
      <c r="WA256" s="302"/>
      <c r="WB256" s="302"/>
      <c r="WC256" s="302"/>
      <c r="WD256" s="302"/>
      <c r="WE256" s="302"/>
      <c r="WF256" s="302"/>
      <c r="WG256" s="302"/>
      <c r="WH256" s="302"/>
      <c r="WI256" s="302"/>
      <c r="WJ256" s="302"/>
      <c r="WK256" s="302"/>
      <c r="WL256" s="302"/>
      <c r="WM256" s="302"/>
      <c r="WN256" s="302"/>
      <c r="WO256" s="302"/>
      <c r="WP256" s="302"/>
      <c r="WQ256" s="302"/>
      <c r="WR256" s="302"/>
      <c r="WS256" s="302"/>
      <c r="WT256" s="302"/>
      <c r="WU256" s="302"/>
      <c r="WV256" s="302"/>
      <c r="WW256" s="302"/>
      <c r="WX256" s="302"/>
      <c r="WY256" s="302"/>
      <c r="WZ256" s="302"/>
      <c r="XA256" s="302"/>
      <c r="XB256" s="302"/>
      <c r="XC256" s="302"/>
      <c r="XD256" s="302"/>
      <c r="XE256" s="302"/>
      <c r="XF256" s="302"/>
      <c r="XG256" s="302"/>
      <c r="XH256" s="302"/>
      <c r="XI256" s="302"/>
      <c r="XJ256" s="302"/>
      <c r="XK256" s="302"/>
      <c r="XL256" s="302"/>
      <c r="XM256" s="302"/>
      <c r="XN256" s="302"/>
      <c r="XO256" s="302"/>
      <c r="XP256" s="302"/>
      <c r="XQ256" s="302"/>
      <c r="XR256" s="302"/>
      <c r="XS256" s="302"/>
      <c r="XT256" s="302"/>
      <c r="XU256" s="302"/>
      <c r="XV256" s="302"/>
      <c r="XW256" s="302"/>
      <c r="XX256" s="302"/>
      <c r="XY256" s="302"/>
      <c r="XZ256" s="302"/>
      <c r="YA256" s="302"/>
      <c r="YB256" s="302"/>
      <c r="YC256" s="302"/>
      <c r="YD256" s="302"/>
      <c r="YE256" s="302"/>
      <c r="YF256" s="302"/>
      <c r="YG256" s="302"/>
      <c r="YH256" s="302"/>
      <c r="YI256" s="302"/>
      <c r="YJ256" s="302"/>
      <c r="YK256" s="302"/>
      <c r="YL256" s="302"/>
      <c r="YM256" s="302"/>
      <c r="YN256" s="302"/>
      <c r="YO256" s="302"/>
      <c r="YP256" s="302"/>
      <c r="YQ256" s="302"/>
      <c r="YR256" s="302"/>
      <c r="YS256" s="302"/>
      <c r="YT256" s="302"/>
      <c r="YU256" s="302"/>
      <c r="YV256" s="302"/>
      <c r="YW256" s="302"/>
      <c r="YX256" s="302"/>
      <c r="YY256" s="302"/>
      <c r="YZ256" s="302"/>
      <c r="ZA256" s="302"/>
      <c r="ZB256" s="302"/>
      <c r="ZC256" s="302"/>
      <c r="ZD256" s="302"/>
      <c r="ZE256" s="302"/>
      <c r="ZF256" s="302"/>
      <c r="ZG256" s="302"/>
      <c r="ZH256" s="302"/>
      <c r="ZI256" s="302"/>
      <c r="ZJ256" s="302"/>
      <c r="ZK256" s="302"/>
      <c r="ZL256" s="302"/>
      <c r="ZM256" s="302"/>
      <c r="ZN256" s="302"/>
      <c r="ZO256" s="302"/>
      <c r="ZP256" s="302"/>
      <c r="ZQ256" s="302"/>
      <c r="ZR256" s="302"/>
      <c r="ZS256" s="302"/>
      <c r="ZT256" s="302"/>
      <c r="ZU256" s="302"/>
      <c r="ZV256" s="302"/>
      <c r="ZW256" s="302"/>
      <c r="ZX256" s="302"/>
      <c r="ZY256" s="302"/>
      <c r="ZZ256" s="302"/>
      <c r="AAA256" s="302"/>
      <c r="AAB256" s="302"/>
      <c r="AAC256" s="302"/>
      <c r="AAD256" s="302"/>
      <c r="AAE256" s="302"/>
      <c r="AAF256" s="302"/>
      <c r="AAG256" s="302"/>
      <c r="AAH256" s="302"/>
      <c r="AAI256" s="302"/>
      <c r="AAJ256" s="302"/>
      <c r="AAK256" s="302"/>
      <c r="AAL256" s="302"/>
      <c r="AAM256" s="302"/>
      <c r="AAN256" s="302"/>
      <c r="AAO256" s="302"/>
      <c r="AAP256" s="302"/>
      <c r="AAQ256" s="302"/>
      <c r="AAR256" s="302"/>
      <c r="AAS256" s="302"/>
      <c r="AAT256" s="302"/>
      <c r="AAU256" s="302"/>
      <c r="AAV256" s="302"/>
      <c r="AAW256" s="302"/>
      <c r="AAX256" s="302"/>
      <c r="AAY256" s="302"/>
      <c r="AAZ256" s="302"/>
      <c r="ABA256" s="302"/>
      <c r="ABB256" s="302"/>
      <c r="ABC256" s="302"/>
      <c r="ABD256" s="302"/>
      <c r="ABE256" s="302"/>
      <c r="ABF256" s="302"/>
      <c r="ABG256" s="302"/>
      <c r="ABH256" s="302"/>
      <c r="ABI256" s="302"/>
      <c r="ABJ256" s="302"/>
      <c r="ABK256" s="302"/>
      <c r="ABL256" s="302"/>
      <c r="ABM256" s="302"/>
      <c r="ABN256" s="302"/>
      <c r="ABO256" s="302"/>
      <c r="ABP256" s="302"/>
      <c r="ABQ256" s="302"/>
      <c r="ABR256" s="302"/>
      <c r="ABS256" s="302"/>
      <c r="ABT256" s="302"/>
      <c r="ABU256" s="302"/>
      <c r="ABV256" s="302"/>
      <c r="ABW256" s="302"/>
      <c r="ABX256" s="302"/>
      <c r="ABY256" s="302"/>
      <c r="ABZ256" s="302"/>
      <c r="ACA256" s="302"/>
      <c r="ACB256" s="302"/>
      <c r="ACC256" s="302"/>
      <c r="ACD256" s="302"/>
      <c r="ACE256" s="302"/>
      <c r="ACF256" s="302"/>
      <c r="ACG256" s="302"/>
      <c r="ACH256" s="302"/>
      <c r="ACI256" s="302"/>
      <c r="ACJ256" s="302"/>
      <c r="ACK256" s="302"/>
      <c r="ACL256" s="302"/>
      <c r="ACM256" s="302"/>
      <c r="ACN256" s="302"/>
      <c r="ACO256" s="302"/>
      <c r="ACP256" s="302"/>
      <c r="ACQ256" s="302"/>
      <c r="ACR256" s="302"/>
      <c r="ACS256" s="302"/>
      <c r="ACT256" s="302"/>
      <c r="ACU256" s="302"/>
      <c r="ACV256" s="302"/>
      <c r="ACW256" s="302"/>
      <c r="ACX256" s="302"/>
      <c r="ACY256" s="302"/>
      <c r="ACZ256" s="302"/>
      <c r="ADA256" s="302"/>
      <c r="ADB256" s="302"/>
      <c r="ADC256" s="302"/>
      <c r="ADD256" s="302"/>
      <c r="ADE256" s="302"/>
      <c r="ADF256" s="302"/>
      <c r="ADG256" s="302"/>
      <c r="ADH256" s="302"/>
      <c r="ADI256" s="302"/>
      <c r="ADJ256" s="302"/>
      <c r="ADK256" s="302"/>
      <c r="ADL256" s="302"/>
      <c r="ADM256" s="302"/>
      <c r="ADN256" s="302"/>
      <c r="ADO256" s="302"/>
      <c r="ADP256" s="302"/>
      <c r="ADQ256" s="302"/>
      <c r="ADR256" s="302"/>
      <c r="ADS256" s="302"/>
      <c r="ADT256" s="302"/>
      <c r="ADU256" s="302"/>
      <c r="ADV256" s="302"/>
      <c r="ADW256" s="302"/>
      <c r="ADX256" s="302"/>
      <c r="ADY256" s="302"/>
      <c r="ADZ256" s="302"/>
      <c r="AEA256" s="302"/>
      <c r="AEB256" s="302"/>
      <c r="AEC256" s="302"/>
      <c r="AED256" s="302"/>
      <c r="AEE256" s="302"/>
      <c r="AEF256" s="302"/>
      <c r="AEG256" s="302"/>
      <c r="AEH256" s="302"/>
      <c r="AEI256" s="302"/>
      <c r="AEJ256" s="302"/>
      <c r="AEK256" s="302"/>
      <c r="AEL256" s="302"/>
      <c r="AEM256" s="302"/>
      <c r="AEN256" s="302"/>
      <c r="AEO256" s="302"/>
      <c r="AEP256" s="302"/>
      <c r="AEQ256" s="302"/>
      <c r="AER256" s="302"/>
      <c r="AES256" s="302"/>
      <c r="AET256" s="302"/>
      <c r="AEU256" s="302"/>
      <c r="AEV256" s="302"/>
      <c r="AEW256" s="302"/>
      <c r="AEX256" s="302"/>
      <c r="AEY256" s="302"/>
      <c r="AEZ256" s="302"/>
      <c r="AFA256" s="302"/>
      <c r="AFB256" s="302"/>
      <c r="AFC256" s="302"/>
      <c r="AFD256" s="302"/>
      <c r="AFE256" s="302"/>
      <c r="AFF256" s="302"/>
      <c r="AFG256" s="302"/>
      <c r="AFH256" s="302"/>
      <c r="AFI256" s="302"/>
      <c r="AFJ256" s="302"/>
      <c r="AFK256" s="302"/>
      <c r="AFL256" s="302"/>
      <c r="AFM256" s="302"/>
      <c r="AFN256" s="302"/>
      <c r="AFO256" s="302"/>
      <c r="AFP256" s="302"/>
      <c r="AFQ256" s="302"/>
      <c r="AFR256" s="302"/>
      <c r="AFS256" s="302"/>
      <c r="AFT256" s="302"/>
      <c r="AFU256" s="302"/>
      <c r="AFV256" s="302"/>
      <c r="AFW256" s="302"/>
      <c r="AFX256" s="302"/>
      <c r="AFY256" s="302"/>
      <c r="AFZ256" s="302"/>
      <c r="AGA256" s="302"/>
      <c r="AGB256" s="302"/>
      <c r="AGC256" s="302"/>
      <c r="AGD256" s="302"/>
      <c r="AGE256" s="302"/>
      <c r="AGF256" s="302"/>
      <c r="AGG256" s="302"/>
      <c r="AGH256" s="302"/>
      <c r="AGI256" s="302"/>
      <c r="AGJ256" s="302"/>
      <c r="AGK256" s="302"/>
      <c r="AGL256" s="302"/>
      <c r="AGM256" s="302"/>
      <c r="AGN256" s="302"/>
      <c r="AGO256" s="302"/>
      <c r="AGP256" s="302"/>
      <c r="AGQ256" s="302"/>
      <c r="AGR256" s="302"/>
      <c r="AGS256" s="302"/>
      <c r="AGT256" s="302"/>
      <c r="AGU256" s="302"/>
      <c r="AGV256" s="302"/>
      <c r="AGW256" s="302"/>
      <c r="AGX256" s="302"/>
      <c r="AGY256" s="302"/>
      <c r="AGZ256" s="302"/>
      <c r="AHA256" s="302"/>
      <c r="AHB256" s="302"/>
      <c r="AHC256" s="302"/>
      <c r="AHD256" s="302"/>
      <c r="AHE256" s="302"/>
      <c r="AHF256" s="302"/>
      <c r="AHG256" s="302"/>
      <c r="AHH256" s="302"/>
      <c r="AHI256" s="302"/>
      <c r="AHJ256" s="302"/>
      <c r="AHK256" s="302"/>
      <c r="AHL256" s="302"/>
      <c r="AHM256" s="302"/>
      <c r="AHN256" s="302"/>
      <c r="AHO256" s="302"/>
      <c r="AHP256" s="302"/>
      <c r="AHQ256" s="302"/>
      <c r="AHR256" s="302"/>
      <c r="AHS256" s="302"/>
      <c r="AHT256" s="302"/>
      <c r="AHU256" s="302"/>
      <c r="AHV256" s="302"/>
      <c r="AHW256" s="302"/>
      <c r="AHX256" s="302"/>
      <c r="AHY256" s="302"/>
      <c r="AHZ256" s="302"/>
      <c r="AIA256" s="302"/>
      <c r="AIB256" s="302"/>
      <c r="AIC256" s="302"/>
      <c r="AID256" s="302"/>
      <c r="AIE256" s="302"/>
      <c r="AIF256" s="302"/>
      <c r="AIG256" s="302"/>
      <c r="AIH256" s="302"/>
      <c r="AII256" s="302"/>
      <c r="AIJ256" s="302"/>
      <c r="AIK256" s="302"/>
      <c r="AIL256" s="302"/>
      <c r="AIM256" s="302"/>
      <c r="AIN256" s="302"/>
      <c r="AIO256" s="302"/>
      <c r="AIP256" s="302"/>
      <c r="AIQ256" s="302"/>
      <c r="AIR256" s="302"/>
      <c r="AIS256" s="302"/>
      <c r="AIT256" s="302"/>
      <c r="AIU256" s="302"/>
      <c r="AIV256" s="302"/>
      <c r="AIW256" s="302"/>
      <c r="AIX256" s="302"/>
      <c r="AIY256" s="302"/>
      <c r="AIZ256" s="302"/>
      <c r="AJA256" s="302"/>
      <c r="AJB256" s="302"/>
      <c r="AJC256" s="302"/>
      <c r="AJD256" s="302"/>
      <c r="AJE256" s="302"/>
      <c r="AJF256" s="302"/>
      <c r="AJG256" s="302"/>
      <c r="AJH256" s="302"/>
      <c r="AJI256" s="302"/>
      <c r="AJJ256" s="302"/>
      <c r="AJK256" s="302"/>
      <c r="AJL256" s="302"/>
      <c r="AJM256" s="302"/>
      <c r="AJN256" s="302"/>
      <c r="AJO256" s="302"/>
      <c r="AJP256" s="302"/>
      <c r="AJQ256" s="302"/>
      <c r="AJR256" s="302"/>
      <c r="AJS256" s="302"/>
      <c r="AJT256" s="302"/>
      <c r="AJU256" s="302"/>
      <c r="AJV256" s="302"/>
      <c r="AJW256" s="302"/>
      <c r="AJX256" s="302"/>
      <c r="AJY256" s="302"/>
      <c r="AJZ256" s="302"/>
      <c r="AKA256" s="302"/>
      <c r="AKB256" s="302"/>
      <c r="AKC256" s="302"/>
      <c r="AKD256" s="302"/>
      <c r="AKE256" s="302"/>
      <c r="AKF256" s="302"/>
      <c r="AKG256" s="302"/>
      <c r="AKH256" s="302"/>
      <c r="AKI256" s="302"/>
      <c r="AKJ256" s="302"/>
      <c r="AKK256" s="302"/>
      <c r="AKL256" s="302"/>
      <c r="AKM256" s="302"/>
      <c r="AKN256" s="302"/>
      <c r="AKO256" s="302"/>
      <c r="AKP256" s="302"/>
      <c r="AKQ256" s="302"/>
      <c r="AKR256" s="302"/>
      <c r="AKS256" s="302"/>
      <c r="AKT256" s="302"/>
      <c r="AKU256" s="302"/>
      <c r="AKV256" s="302"/>
      <c r="AKW256" s="302"/>
      <c r="AKX256" s="302"/>
      <c r="AKY256" s="302"/>
      <c r="AKZ256" s="302"/>
      <c r="ALA256" s="302"/>
      <c r="ALB256" s="302"/>
      <c r="ALC256" s="302"/>
      <c r="ALD256" s="302"/>
      <c r="ALE256" s="302"/>
      <c r="ALF256" s="302"/>
      <c r="ALG256" s="302"/>
      <c r="ALH256" s="302"/>
      <c r="ALI256" s="302"/>
      <c r="ALJ256" s="302"/>
      <c r="ALK256" s="302"/>
      <c r="ALL256" s="302"/>
      <c r="ALM256" s="302"/>
      <c r="ALN256" s="302"/>
      <c r="ALO256" s="302"/>
      <c r="ALP256" s="302"/>
      <c r="ALQ256" s="302"/>
      <c r="ALR256" s="302"/>
      <c r="ALS256" s="302"/>
      <c r="ALT256" s="302"/>
      <c r="ALU256" s="302"/>
      <c r="ALV256" s="302"/>
      <c r="ALW256" s="302"/>
      <c r="ALX256" s="302"/>
      <c r="ALY256" s="302"/>
      <c r="ALZ256" s="302"/>
      <c r="AMA256" s="302"/>
      <c r="AMB256" s="302"/>
      <c r="AMC256" s="302"/>
      <c r="AMD256" s="302"/>
      <c r="AME256" s="302"/>
      <c r="AMF256" s="302"/>
      <c r="AMG256" s="302"/>
      <c r="AMH256" s="302"/>
      <c r="AMI256" s="302"/>
    </row>
    <row r="257" spans="1:1023" hidden="1">
      <c r="A257" s="302"/>
      <c r="B257" s="442">
        <v>13895</v>
      </c>
      <c r="C257" s="432">
        <v>0.1</v>
      </c>
      <c r="D257" s="370" t="s">
        <v>154</v>
      </c>
      <c r="E257" s="585">
        <v>1950000</v>
      </c>
      <c r="F257" s="499"/>
      <c r="G257" s="369">
        <f t="shared" si="13"/>
        <v>0</v>
      </c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2"/>
      <c r="AE257" s="302"/>
      <c r="AF257" s="302"/>
      <c r="AG257" s="302"/>
      <c r="AH257" s="302"/>
      <c r="AI257" s="302"/>
      <c r="AJ257" s="302"/>
      <c r="AK257" s="302"/>
      <c r="AL257" s="302"/>
      <c r="AM257" s="302"/>
      <c r="AN257" s="302"/>
      <c r="AO257" s="302"/>
      <c r="AP257" s="302"/>
      <c r="AQ257" s="302"/>
      <c r="AR257" s="302"/>
      <c r="AS257" s="302"/>
      <c r="AT257" s="302"/>
      <c r="AU257" s="302"/>
      <c r="AV257" s="302"/>
      <c r="AW257" s="302"/>
      <c r="AX257" s="302"/>
      <c r="AY257" s="302"/>
      <c r="AZ257" s="302"/>
      <c r="BA257" s="302"/>
      <c r="BB257" s="302"/>
      <c r="BC257" s="302"/>
      <c r="BD257" s="302"/>
      <c r="BE257" s="302"/>
      <c r="BF257" s="302"/>
      <c r="BG257" s="302"/>
      <c r="BH257" s="302"/>
      <c r="BI257" s="302"/>
      <c r="BJ257" s="302"/>
      <c r="BK257" s="302"/>
      <c r="BL257" s="302"/>
      <c r="BM257" s="302"/>
      <c r="BN257" s="302"/>
      <c r="BO257" s="302"/>
      <c r="BP257" s="302"/>
      <c r="BQ257" s="302"/>
      <c r="BR257" s="302"/>
      <c r="BS257" s="302"/>
      <c r="BT257" s="302"/>
      <c r="BU257" s="302"/>
      <c r="BV257" s="302"/>
      <c r="BW257" s="302"/>
      <c r="BX257" s="302"/>
      <c r="BY257" s="302"/>
      <c r="BZ257" s="302"/>
      <c r="CA257" s="302"/>
      <c r="CB257" s="302"/>
      <c r="CC257" s="302"/>
      <c r="CD257" s="302"/>
      <c r="CE257" s="302"/>
      <c r="CF257" s="302"/>
      <c r="CG257" s="302"/>
      <c r="CH257" s="302"/>
      <c r="CI257" s="302"/>
      <c r="CJ257" s="302"/>
      <c r="CK257" s="302"/>
      <c r="CL257" s="302"/>
      <c r="CM257" s="302"/>
      <c r="CN257" s="302"/>
      <c r="CO257" s="302"/>
      <c r="CP257" s="302"/>
      <c r="CQ257" s="302"/>
      <c r="CR257" s="302"/>
      <c r="CS257" s="302"/>
      <c r="CT257" s="302"/>
      <c r="CU257" s="302"/>
      <c r="CV257" s="302"/>
      <c r="CW257" s="302"/>
      <c r="CX257" s="302"/>
      <c r="CY257" s="302"/>
      <c r="CZ257" s="302"/>
      <c r="DA257" s="302"/>
      <c r="DB257" s="302"/>
      <c r="DC257" s="302"/>
      <c r="DD257" s="302"/>
      <c r="DE257" s="302"/>
      <c r="DF257" s="302"/>
      <c r="DG257" s="302"/>
      <c r="DH257" s="302"/>
      <c r="DI257" s="302"/>
      <c r="DJ257" s="302"/>
      <c r="DK257" s="302"/>
      <c r="DL257" s="302"/>
      <c r="DM257" s="302"/>
      <c r="DN257" s="302"/>
      <c r="DO257" s="302"/>
      <c r="DP257" s="302"/>
      <c r="DQ257" s="302"/>
      <c r="DR257" s="302"/>
      <c r="DS257" s="302"/>
      <c r="DT257" s="302"/>
      <c r="DU257" s="302"/>
      <c r="DV257" s="302"/>
      <c r="DW257" s="302"/>
      <c r="DX257" s="302"/>
      <c r="DY257" s="302"/>
      <c r="DZ257" s="302"/>
      <c r="EA257" s="302"/>
      <c r="EB257" s="302"/>
      <c r="EC257" s="302"/>
      <c r="ED257" s="302"/>
      <c r="EE257" s="302"/>
      <c r="EF257" s="302"/>
      <c r="EG257" s="302"/>
      <c r="EH257" s="302"/>
      <c r="EI257" s="302"/>
      <c r="EJ257" s="302"/>
      <c r="EK257" s="302"/>
      <c r="EL257" s="302"/>
      <c r="EM257" s="302"/>
      <c r="EN257" s="302"/>
      <c r="EO257" s="302"/>
      <c r="EP257" s="302"/>
      <c r="EQ257" s="302"/>
      <c r="ER257" s="302"/>
      <c r="ES257" s="302"/>
      <c r="ET257" s="302"/>
      <c r="EU257" s="302"/>
      <c r="EV257" s="302"/>
      <c r="EW257" s="302"/>
      <c r="EX257" s="302"/>
      <c r="EY257" s="302"/>
      <c r="EZ257" s="302"/>
      <c r="FA257" s="302"/>
      <c r="FB257" s="302"/>
      <c r="FC257" s="302"/>
      <c r="FD257" s="302"/>
      <c r="FE257" s="302"/>
      <c r="FF257" s="302"/>
      <c r="FG257" s="302"/>
      <c r="FH257" s="302"/>
      <c r="FI257" s="302"/>
      <c r="FJ257" s="302"/>
      <c r="FK257" s="302"/>
      <c r="FL257" s="302"/>
      <c r="FM257" s="302"/>
      <c r="FN257" s="302"/>
      <c r="FO257" s="302"/>
      <c r="FP257" s="302"/>
      <c r="FQ257" s="302"/>
      <c r="FR257" s="302"/>
      <c r="FS257" s="302"/>
      <c r="FT257" s="302"/>
      <c r="FU257" s="302"/>
      <c r="FV257" s="302"/>
      <c r="FW257" s="302"/>
      <c r="FX257" s="302"/>
      <c r="FY257" s="302"/>
      <c r="FZ257" s="302"/>
      <c r="GA257" s="302"/>
      <c r="GB257" s="302"/>
      <c r="GC257" s="302"/>
      <c r="GD257" s="302"/>
      <c r="GE257" s="302"/>
      <c r="GF257" s="302"/>
      <c r="GG257" s="302"/>
      <c r="GH257" s="302"/>
      <c r="GI257" s="302"/>
      <c r="GJ257" s="302"/>
      <c r="GK257" s="302"/>
      <c r="GL257" s="302"/>
      <c r="GM257" s="302"/>
      <c r="GN257" s="302"/>
      <c r="GO257" s="302"/>
      <c r="GP257" s="302"/>
      <c r="GQ257" s="302"/>
      <c r="GR257" s="302"/>
      <c r="GS257" s="302"/>
      <c r="GT257" s="302"/>
      <c r="GU257" s="302"/>
      <c r="GV257" s="302"/>
      <c r="GW257" s="302"/>
      <c r="GX257" s="302"/>
      <c r="GY257" s="302"/>
      <c r="GZ257" s="302"/>
      <c r="HA257" s="302"/>
      <c r="HB257" s="302"/>
      <c r="HC257" s="302"/>
      <c r="HD257" s="302"/>
      <c r="HE257" s="302"/>
      <c r="HF257" s="302"/>
      <c r="HG257" s="302"/>
      <c r="HH257" s="302"/>
      <c r="HI257" s="302"/>
      <c r="HJ257" s="302"/>
      <c r="HK257" s="302"/>
      <c r="HL257" s="302"/>
      <c r="HM257" s="302"/>
      <c r="HN257" s="302"/>
      <c r="HO257" s="302"/>
      <c r="HP257" s="302"/>
      <c r="HQ257" s="302"/>
      <c r="HR257" s="302"/>
      <c r="HS257" s="302"/>
      <c r="HT257" s="302"/>
      <c r="HU257" s="302"/>
      <c r="HV257" s="302"/>
      <c r="HW257" s="302"/>
      <c r="HX257" s="302"/>
      <c r="HY257" s="302"/>
      <c r="HZ257" s="302"/>
      <c r="IA257" s="302"/>
      <c r="IB257" s="302"/>
      <c r="IC257" s="302"/>
      <c r="ID257" s="302"/>
      <c r="IE257" s="302"/>
      <c r="IF257" s="302"/>
      <c r="IG257" s="302"/>
      <c r="IH257" s="302"/>
      <c r="II257" s="302"/>
      <c r="IJ257" s="302"/>
      <c r="IK257" s="302"/>
      <c r="IL257" s="302"/>
      <c r="IM257" s="302"/>
      <c r="IN257" s="302"/>
      <c r="IO257" s="302"/>
      <c r="IP257" s="302"/>
      <c r="IQ257" s="302"/>
      <c r="IR257" s="302"/>
      <c r="IS257" s="302"/>
      <c r="IT257" s="302"/>
      <c r="IU257" s="302"/>
      <c r="IV257" s="302"/>
      <c r="IW257" s="302"/>
      <c r="IX257" s="302"/>
      <c r="IY257" s="302"/>
      <c r="IZ257" s="302"/>
      <c r="JA257" s="302"/>
      <c r="JB257" s="302"/>
      <c r="JC257" s="302"/>
      <c r="JD257" s="302"/>
      <c r="JE257" s="302"/>
      <c r="JF257" s="302"/>
      <c r="JG257" s="302"/>
      <c r="JH257" s="302"/>
      <c r="JI257" s="302"/>
      <c r="JJ257" s="302"/>
      <c r="JK257" s="302"/>
      <c r="JL257" s="302"/>
      <c r="JM257" s="302"/>
      <c r="JN257" s="302"/>
      <c r="JO257" s="302"/>
      <c r="JP257" s="302"/>
      <c r="JQ257" s="302"/>
      <c r="JR257" s="302"/>
      <c r="JS257" s="302"/>
      <c r="JT257" s="302"/>
      <c r="JU257" s="302"/>
      <c r="JV257" s="302"/>
      <c r="JW257" s="302"/>
      <c r="JX257" s="302"/>
      <c r="JY257" s="302"/>
      <c r="JZ257" s="302"/>
      <c r="KA257" s="302"/>
      <c r="KB257" s="302"/>
      <c r="KC257" s="302"/>
      <c r="KD257" s="302"/>
      <c r="KE257" s="302"/>
      <c r="KF257" s="302"/>
      <c r="KG257" s="302"/>
      <c r="KH257" s="302"/>
      <c r="KI257" s="302"/>
      <c r="KJ257" s="302"/>
      <c r="KK257" s="302"/>
      <c r="KL257" s="302"/>
      <c r="KM257" s="302"/>
      <c r="KN257" s="302"/>
      <c r="KO257" s="302"/>
      <c r="KP257" s="302"/>
      <c r="KQ257" s="302"/>
      <c r="KR257" s="302"/>
      <c r="KS257" s="302"/>
      <c r="KT257" s="302"/>
      <c r="KU257" s="302"/>
      <c r="KV257" s="302"/>
      <c r="KW257" s="302"/>
      <c r="KX257" s="302"/>
      <c r="KY257" s="302"/>
      <c r="KZ257" s="302"/>
      <c r="LA257" s="302"/>
      <c r="LB257" s="302"/>
      <c r="LC257" s="302"/>
      <c r="LD257" s="302"/>
      <c r="LE257" s="302"/>
      <c r="LF257" s="302"/>
      <c r="LG257" s="302"/>
      <c r="LH257" s="302"/>
      <c r="LI257" s="302"/>
      <c r="LJ257" s="302"/>
      <c r="LK257" s="302"/>
      <c r="LL257" s="302"/>
      <c r="LM257" s="302"/>
      <c r="LN257" s="302"/>
      <c r="LO257" s="302"/>
      <c r="LP257" s="302"/>
      <c r="LQ257" s="302"/>
      <c r="LR257" s="302"/>
      <c r="LS257" s="302"/>
      <c r="LT257" s="302"/>
      <c r="LU257" s="302"/>
      <c r="LV257" s="302"/>
      <c r="LW257" s="302"/>
      <c r="LX257" s="302"/>
      <c r="LY257" s="302"/>
      <c r="LZ257" s="302"/>
      <c r="MA257" s="302"/>
      <c r="MB257" s="302"/>
      <c r="MC257" s="302"/>
      <c r="MD257" s="302"/>
      <c r="ME257" s="302"/>
      <c r="MF257" s="302"/>
      <c r="MG257" s="302"/>
      <c r="MH257" s="302"/>
      <c r="MI257" s="302"/>
      <c r="MJ257" s="302"/>
      <c r="MK257" s="302"/>
      <c r="ML257" s="302"/>
      <c r="MM257" s="302"/>
      <c r="MN257" s="302"/>
      <c r="MO257" s="302"/>
      <c r="MP257" s="302"/>
      <c r="MQ257" s="302"/>
      <c r="MR257" s="302"/>
      <c r="MS257" s="302"/>
      <c r="MT257" s="302"/>
      <c r="MU257" s="302"/>
      <c r="MV257" s="302"/>
      <c r="MW257" s="302"/>
      <c r="MX257" s="302"/>
      <c r="MY257" s="302"/>
      <c r="MZ257" s="302"/>
      <c r="NA257" s="302"/>
      <c r="NB257" s="302"/>
      <c r="NC257" s="302"/>
      <c r="ND257" s="302"/>
      <c r="NE257" s="302"/>
      <c r="NF257" s="302"/>
      <c r="NG257" s="302"/>
      <c r="NH257" s="302"/>
      <c r="NI257" s="302"/>
      <c r="NJ257" s="302"/>
      <c r="NK257" s="302"/>
      <c r="NL257" s="302"/>
      <c r="NM257" s="302"/>
      <c r="NN257" s="302"/>
      <c r="NO257" s="302"/>
      <c r="NP257" s="302"/>
      <c r="NQ257" s="302"/>
      <c r="NR257" s="302"/>
      <c r="NS257" s="302"/>
      <c r="NT257" s="302"/>
      <c r="NU257" s="302"/>
      <c r="NV257" s="302"/>
      <c r="NW257" s="302"/>
      <c r="NX257" s="302"/>
      <c r="NY257" s="302"/>
      <c r="NZ257" s="302"/>
      <c r="OA257" s="302"/>
      <c r="OB257" s="302"/>
      <c r="OC257" s="302"/>
      <c r="OD257" s="302"/>
      <c r="OE257" s="302"/>
      <c r="OF257" s="302"/>
      <c r="OG257" s="302"/>
      <c r="OH257" s="302"/>
      <c r="OI257" s="302"/>
      <c r="OJ257" s="302"/>
      <c r="OK257" s="302"/>
      <c r="OL257" s="302"/>
      <c r="OM257" s="302"/>
      <c r="ON257" s="302"/>
      <c r="OO257" s="302"/>
      <c r="OP257" s="302"/>
      <c r="OQ257" s="302"/>
      <c r="OR257" s="302"/>
      <c r="OS257" s="302"/>
      <c r="OT257" s="302"/>
      <c r="OU257" s="302"/>
      <c r="OV257" s="302"/>
      <c r="OW257" s="302"/>
      <c r="OX257" s="302"/>
      <c r="OY257" s="302"/>
      <c r="OZ257" s="302"/>
      <c r="PA257" s="302"/>
      <c r="PB257" s="302"/>
      <c r="PC257" s="302"/>
      <c r="PD257" s="302"/>
      <c r="PE257" s="302"/>
      <c r="PF257" s="302"/>
      <c r="PG257" s="302"/>
      <c r="PH257" s="302"/>
      <c r="PI257" s="302"/>
      <c r="PJ257" s="302"/>
      <c r="PK257" s="302"/>
      <c r="PL257" s="302"/>
      <c r="PM257" s="302"/>
      <c r="PN257" s="302"/>
      <c r="PO257" s="302"/>
      <c r="PP257" s="302"/>
      <c r="PQ257" s="302"/>
      <c r="PR257" s="302"/>
      <c r="PS257" s="302"/>
      <c r="PT257" s="302"/>
      <c r="PU257" s="302"/>
      <c r="PV257" s="302"/>
      <c r="PW257" s="302"/>
      <c r="PX257" s="302"/>
      <c r="PY257" s="302"/>
      <c r="PZ257" s="302"/>
      <c r="QA257" s="302"/>
      <c r="QB257" s="302"/>
      <c r="QC257" s="302"/>
      <c r="QD257" s="302"/>
      <c r="QE257" s="302"/>
      <c r="QF257" s="302"/>
      <c r="QG257" s="302"/>
      <c r="QH257" s="302"/>
      <c r="QI257" s="302"/>
      <c r="QJ257" s="302"/>
      <c r="QK257" s="302"/>
      <c r="QL257" s="302"/>
      <c r="QM257" s="302"/>
      <c r="QN257" s="302"/>
      <c r="QO257" s="302"/>
      <c r="QP257" s="302"/>
      <c r="QQ257" s="302"/>
      <c r="QR257" s="302"/>
      <c r="QS257" s="302"/>
      <c r="QT257" s="302"/>
      <c r="QU257" s="302"/>
      <c r="QV257" s="302"/>
      <c r="QW257" s="302"/>
      <c r="QX257" s="302"/>
      <c r="QY257" s="302"/>
      <c r="QZ257" s="302"/>
      <c r="RA257" s="302"/>
      <c r="RB257" s="302"/>
      <c r="RC257" s="302"/>
      <c r="RD257" s="302"/>
      <c r="RE257" s="302"/>
      <c r="RF257" s="302"/>
      <c r="RG257" s="302"/>
      <c r="RH257" s="302"/>
      <c r="RI257" s="302"/>
      <c r="RJ257" s="302"/>
      <c r="RK257" s="302"/>
      <c r="RL257" s="302"/>
      <c r="RM257" s="302"/>
      <c r="RN257" s="302"/>
      <c r="RO257" s="302"/>
      <c r="RP257" s="302"/>
      <c r="RQ257" s="302"/>
      <c r="RR257" s="302"/>
      <c r="RS257" s="302"/>
      <c r="RT257" s="302"/>
      <c r="RU257" s="302"/>
      <c r="RV257" s="302"/>
      <c r="RW257" s="302"/>
      <c r="RX257" s="302"/>
      <c r="RY257" s="302"/>
      <c r="RZ257" s="302"/>
      <c r="SA257" s="302"/>
      <c r="SB257" s="302"/>
      <c r="SC257" s="302"/>
      <c r="SD257" s="302"/>
      <c r="SE257" s="302"/>
      <c r="SF257" s="302"/>
      <c r="SG257" s="302"/>
      <c r="SH257" s="302"/>
      <c r="SI257" s="302"/>
      <c r="SJ257" s="302"/>
      <c r="SK257" s="302"/>
      <c r="SL257" s="302"/>
      <c r="SM257" s="302"/>
      <c r="SN257" s="302"/>
      <c r="SO257" s="302"/>
      <c r="SP257" s="302"/>
      <c r="SQ257" s="302"/>
      <c r="SR257" s="302"/>
      <c r="SS257" s="302"/>
      <c r="ST257" s="302"/>
      <c r="SU257" s="302"/>
      <c r="SV257" s="302"/>
      <c r="SW257" s="302"/>
      <c r="SX257" s="302"/>
      <c r="SY257" s="302"/>
      <c r="SZ257" s="302"/>
      <c r="TA257" s="302"/>
      <c r="TB257" s="302"/>
      <c r="TC257" s="302"/>
      <c r="TD257" s="302"/>
      <c r="TE257" s="302"/>
      <c r="TF257" s="302"/>
      <c r="TG257" s="302"/>
      <c r="TH257" s="302"/>
      <c r="TI257" s="302"/>
      <c r="TJ257" s="302"/>
      <c r="TK257" s="302"/>
      <c r="TL257" s="302"/>
      <c r="TM257" s="302"/>
      <c r="TN257" s="302"/>
      <c r="TO257" s="302"/>
      <c r="TP257" s="302"/>
      <c r="TQ257" s="302"/>
      <c r="TR257" s="302"/>
      <c r="TS257" s="302"/>
      <c r="TT257" s="302"/>
      <c r="TU257" s="302"/>
      <c r="TV257" s="302"/>
      <c r="TW257" s="302"/>
      <c r="TX257" s="302"/>
      <c r="TY257" s="302"/>
      <c r="TZ257" s="302"/>
      <c r="UA257" s="302"/>
      <c r="UB257" s="302"/>
      <c r="UC257" s="302"/>
      <c r="UD257" s="302"/>
      <c r="UE257" s="302"/>
      <c r="UF257" s="302"/>
      <c r="UG257" s="302"/>
      <c r="UH257" s="302"/>
      <c r="UI257" s="302"/>
      <c r="UJ257" s="302"/>
      <c r="UK257" s="302"/>
      <c r="UL257" s="302"/>
      <c r="UM257" s="302"/>
      <c r="UN257" s="302"/>
      <c r="UO257" s="302"/>
      <c r="UP257" s="302"/>
      <c r="UQ257" s="302"/>
      <c r="UR257" s="302"/>
      <c r="US257" s="302"/>
      <c r="UT257" s="302"/>
      <c r="UU257" s="302"/>
      <c r="UV257" s="302"/>
      <c r="UW257" s="302"/>
      <c r="UX257" s="302"/>
      <c r="UY257" s="302"/>
      <c r="UZ257" s="302"/>
      <c r="VA257" s="302"/>
      <c r="VB257" s="302"/>
      <c r="VC257" s="302"/>
      <c r="VD257" s="302"/>
      <c r="VE257" s="302"/>
      <c r="VF257" s="302"/>
      <c r="VG257" s="302"/>
      <c r="VH257" s="302"/>
      <c r="VI257" s="302"/>
      <c r="VJ257" s="302"/>
      <c r="VK257" s="302"/>
      <c r="VL257" s="302"/>
      <c r="VM257" s="302"/>
      <c r="VN257" s="302"/>
      <c r="VO257" s="302"/>
      <c r="VP257" s="302"/>
      <c r="VQ257" s="302"/>
      <c r="VR257" s="302"/>
      <c r="VS257" s="302"/>
      <c r="VT257" s="302"/>
      <c r="VU257" s="302"/>
      <c r="VV257" s="302"/>
      <c r="VW257" s="302"/>
      <c r="VX257" s="302"/>
      <c r="VY257" s="302"/>
      <c r="VZ257" s="302"/>
      <c r="WA257" s="302"/>
      <c r="WB257" s="302"/>
      <c r="WC257" s="302"/>
      <c r="WD257" s="302"/>
      <c r="WE257" s="302"/>
      <c r="WF257" s="302"/>
      <c r="WG257" s="302"/>
      <c r="WH257" s="302"/>
      <c r="WI257" s="302"/>
      <c r="WJ257" s="302"/>
      <c r="WK257" s="302"/>
      <c r="WL257" s="302"/>
      <c r="WM257" s="302"/>
      <c r="WN257" s="302"/>
      <c r="WO257" s="302"/>
      <c r="WP257" s="302"/>
      <c r="WQ257" s="302"/>
      <c r="WR257" s="302"/>
      <c r="WS257" s="302"/>
      <c r="WT257" s="302"/>
      <c r="WU257" s="302"/>
      <c r="WV257" s="302"/>
      <c r="WW257" s="302"/>
      <c r="WX257" s="302"/>
      <c r="WY257" s="302"/>
      <c r="WZ257" s="302"/>
      <c r="XA257" s="302"/>
      <c r="XB257" s="302"/>
      <c r="XC257" s="302"/>
      <c r="XD257" s="302"/>
      <c r="XE257" s="302"/>
      <c r="XF257" s="302"/>
      <c r="XG257" s="302"/>
      <c r="XH257" s="302"/>
      <c r="XI257" s="302"/>
      <c r="XJ257" s="302"/>
      <c r="XK257" s="302"/>
      <c r="XL257" s="302"/>
      <c r="XM257" s="302"/>
      <c r="XN257" s="302"/>
      <c r="XO257" s="302"/>
      <c r="XP257" s="302"/>
      <c r="XQ257" s="302"/>
      <c r="XR257" s="302"/>
      <c r="XS257" s="302"/>
      <c r="XT257" s="302"/>
      <c r="XU257" s="302"/>
      <c r="XV257" s="302"/>
      <c r="XW257" s="302"/>
      <c r="XX257" s="302"/>
      <c r="XY257" s="302"/>
      <c r="XZ257" s="302"/>
      <c r="YA257" s="302"/>
      <c r="YB257" s="302"/>
      <c r="YC257" s="302"/>
      <c r="YD257" s="302"/>
      <c r="YE257" s="302"/>
      <c r="YF257" s="302"/>
      <c r="YG257" s="302"/>
      <c r="YH257" s="302"/>
      <c r="YI257" s="302"/>
      <c r="YJ257" s="302"/>
      <c r="YK257" s="302"/>
      <c r="YL257" s="302"/>
      <c r="YM257" s="302"/>
      <c r="YN257" s="302"/>
      <c r="YO257" s="302"/>
      <c r="YP257" s="302"/>
      <c r="YQ257" s="302"/>
      <c r="YR257" s="302"/>
      <c r="YS257" s="302"/>
      <c r="YT257" s="302"/>
      <c r="YU257" s="302"/>
      <c r="YV257" s="302"/>
      <c r="YW257" s="302"/>
      <c r="YX257" s="302"/>
      <c r="YY257" s="302"/>
      <c r="YZ257" s="302"/>
      <c r="ZA257" s="302"/>
      <c r="ZB257" s="302"/>
      <c r="ZC257" s="302"/>
      <c r="ZD257" s="302"/>
      <c r="ZE257" s="302"/>
      <c r="ZF257" s="302"/>
      <c r="ZG257" s="302"/>
      <c r="ZH257" s="302"/>
      <c r="ZI257" s="302"/>
      <c r="ZJ257" s="302"/>
      <c r="ZK257" s="302"/>
      <c r="ZL257" s="302"/>
      <c r="ZM257" s="302"/>
      <c r="ZN257" s="302"/>
      <c r="ZO257" s="302"/>
      <c r="ZP257" s="302"/>
      <c r="ZQ257" s="302"/>
      <c r="ZR257" s="302"/>
      <c r="ZS257" s="302"/>
      <c r="ZT257" s="302"/>
      <c r="ZU257" s="302"/>
      <c r="ZV257" s="302"/>
      <c r="ZW257" s="302"/>
      <c r="ZX257" s="302"/>
      <c r="ZY257" s="302"/>
      <c r="ZZ257" s="302"/>
      <c r="AAA257" s="302"/>
      <c r="AAB257" s="302"/>
      <c r="AAC257" s="302"/>
      <c r="AAD257" s="302"/>
      <c r="AAE257" s="302"/>
      <c r="AAF257" s="302"/>
      <c r="AAG257" s="302"/>
      <c r="AAH257" s="302"/>
      <c r="AAI257" s="302"/>
      <c r="AAJ257" s="302"/>
      <c r="AAK257" s="302"/>
      <c r="AAL257" s="302"/>
      <c r="AAM257" s="302"/>
      <c r="AAN257" s="302"/>
      <c r="AAO257" s="302"/>
      <c r="AAP257" s="302"/>
      <c r="AAQ257" s="302"/>
      <c r="AAR257" s="302"/>
      <c r="AAS257" s="302"/>
      <c r="AAT257" s="302"/>
      <c r="AAU257" s="302"/>
      <c r="AAV257" s="302"/>
      <c r="AAW257" s="302"/>
      <c r="AAX257" s="302"/>
      <c r="AAY257" s="302"/>
      <c r="AAZ257" s="302"/>
      <c r="ABA257" s="302"/>
      <c r="ABB257" s="302"/>
      <c r="ABC257" s="302"/>
      <c r="ABD257" s="302"/>
      <c r="ABE257" s="302"/>
      <c r="ABF257" s="302"/>
      <c r="ABG257" s="302"/>
      <c r="ABH257" s="302"/>
      <c r="ABI257" s="302"/>
      <c r="ABJ257" s="302"/>
      <c r="ABK257" s="302"/>
      <c r="ABL257" s="302"/>
      <c r="ABM257" s="302"/>
      <c r="ABN257" s="302"/>
      <c r="ABO257" s="302"/>
      <c r="ABP257" s="302"/>
      <c r="ABQ257" s="302"/>
      <c r="ABR257" s="302"/>
      <c r="ABS257" s="302"/>
      <c r="ABT257" s="302"/>
      <c r="ABU257" s="302"/>
      <c r="ABV257" s="302"/>
      <c r="ABW257" s="302"/>
      <c r="ABX257" s="302"/>
      <c r="ABY257" s="302"/>
      <c r="ABZ257" s="302"/>
      <c r="ACA257" s="302"/>
      <c r="ACB257" s="302"/>
      <c r="ACC257" s="302"/>
      <c r="ACD257" s="302"/>
      <c r="ACE257" s="302"/>
      <c r="ACF257" s="302"/>
      <c r="ACG257" s="302"/>
      <c r="ACH257" s="302"/>
      <c r="ACI257" s="302"/>
      <c r="ACJ257" s="302"/>
      <c r="ACK257" s="302"/>
      <c r="ACL257" s="302"/>
      <c r="ACM257" s="302"/>
      <c r="ACN257" s="302"/>
      <c r="ACO257" s="302"/>
      <c r="ACP257" s="302"/>
      <c r="ACQ257" s="302"/>
      <c r="ACR257" s="302"/>
      <c r="ACS257" s="302"/>
      <c r="ACT257" s="302"/>
      <c r="ACU257" s="302"/>
      <c r="ACV257" s="302"/>
      <c r="ACW257" s="302"/>
      <c r="ACX257" s="302"/>
      <c r="ACY257" s="302"/>
      <c r="ACZ257" s="302"/>
      <c r="ADA257" s="302"/>
      <c r="ADB257" s="302"/>
      <c r="ADC257" s="302"/>
      <c r="ADD257" s="302"/>
      <c r="ADE257" s="302"/>
      <c r="ADF257" s="302"/>
      <c r="ADG257" s="302"/>
      <c r="ADH257" s="302"/>
      <c r="ADI257" s="302"/>
      <c r="ADJ257" s="302"/>
      <c r="ADK257" s="302"/>
      <c r="ADL257" s="302"/>
      <c r="ADM257" s="302"/>
      <c r="ADN257" s="302"/>
      <c r="ADO257" s="302"/>
      <c r="ADP257" s="302"/>
      <c r="ADQ257" s="302"/>
      <c r="ADR257" s="302"/>
      <c r="ADS257" s="302"/>
      <c r="ADT257" s="302"/>
      <c r="ADU257" s="302"/>
      <c r="ADV257" s="302"/>
      <c r="ADW257" s="302"/>
      <c r="ADX257" s="302"/>
      <c r="ADY257" s="302"/>
      <c r="ADZ257" s="302"/>
      <c r="AEA257" s="302"/>
      <c r="AEB257" s="302"/>
      <c r="AEC257" s="302"/>
      <c r="AED257" s="302"/>
      <c r="AEE257" s="302"/>
      <c r="AEF257" s="302"/>
      <c r="AEG257" s="302"/>
      <c r="AEH257" s="302"/>
      <c r="AEI257" s="302"/>
      <c r="AEJ257" s="302"/>
      <c r="AEK257" s="302"/>
      <c r="AEL257" s="302"/>
      <c r="AEM257" s="302"/>
      <c r="AEN257" s="302"/>
      <c r="AEO257" s="302"/>
      <c r="AEP257" s="302"/>
      <c r="AEQ257" s="302"/>
      <c r="AER257" s="302"/>
      <c r="AES257" s="302"/>
      <c r="AET257" s="302"/>
      <c r="AEU257" s="302"/>
      <c r="AEV257" s="302"/>
      <c r="AEW257" s="302"/>
      <c r="AEX257" s="302"/>
      <c r="AEY257" s="302"/>
      <c r="AEZ257" s="302"/>
      <c r="AFA257" s="302"/>
      <c r="AFB257" s="302"/>
      <c r="AFC257" s="302"/>
      <c r="AFD257" s="302"/>
      <c r="AFE257" s="302"/>
      <c r="AFF257" s="302"/>
      <c r="AFG257" s="302"/>
      <c r="AFH257" s="302"/>
      <c r="AFI257" s="302"/>
      <c r="AFJ257" s="302"/>
      <c r="AFK257" s="302"/>
      <c r="AFL257" s="302"/>
      <c r="AFM257" s="302"/>
      <c r="AFN257" s="302"/>
      <c r="AFO257" s="302"/>
      <c r="AFP257" s="302"/>
      <c r="AFQ257" s="302"/>
      <c r="AFR257" s="302"/>
      <c r="AFS257" s="302"/>
      <c r="AFT257" s="302"/>
      <c r="AFU257" s="302"/>
      <c r="AFV257" s="302"/>
      <c r="AFW257" s="302"/>
      <c r="AFX257" s="302"/>
      <c r="AFY257" s="302"/>
      <c r="AFZ257" s="302"/>
      <c r="AGA257" s="302"/>
      <c r="AGB257" s="302"/>
      <c r="AGC257" s="302"/>
      <c r="AGD257" s="302"/>
      <c r="AGE257" s="302"/>
      <c r="AGF257" s="302"/>
      <c r="AGG257" s="302"/>
      <c r="AGH257" s="302"/>
      <c r="AGI257" s="302"/>
      <c r="AGJ257" s="302"/>
      <c r="AGK257" s="302"/>
      <c r="AGL257" s="302"/>
      <c r="AGM257" s="302"/>
      <c r="AGN257" s="302"/>
      <c r="AGO257" s="302"/>
      <c r="AGP257" s="302"/>
      <c r="AGQ257" s="302"/>
      <c r="AGR257" s="302"/>
      <c r="AGS257" s="302"/>
      <c r="AGT257" s="302"/>
      <c r="AGU257" s="302"/>
      <c r="AGV257" s="302"/>
      <c r="AGW257" s="302"/>
      <c r="AGX257" s="302"/>
      <c r="AGY257" s="302"/>
      <c r="AGZ257" s="302"/>
      <c r="AHA257" s="302"/>
      <c r="AHB257" s="302"/>
      <c r="AHC257" s="302"/>
      <c r="AHD257" s="302"/>
      <c r="AHE257" s="302"/>
      <c r="AHF257" s="302"/>
      <c r="AHG257" s="302"/>
      <c r="AHH257" s="302"/>
      <c r="AHI257" s="302"/>
      <c r="AHJ257" s="302"/>
      <c r="AHK257" s="302"/>
      <c r="AHL257" s="302"/>
      <c r="AHM257" s="302"/>
      <c r="AHN257" s="302"/>
      <c r="AHO257" s="302"/>
      <c r="AHP257" s="302"/>
      <c r="AHQ257" s="302"/>
      <c r="AHR257" s="302"/>
      <c r="AHS257" s="302"/>
      <c r="AHT257" s="302"/>
      <c r="AHU257" s="302"/>
      <c r="AHV257" s="302"/>
      <c r="AHW257" s="302"/>
      <c r="AHX257" s="302"/>
      <c r="AHY257" s="302"/>
      <c r="AHZ257" s="302"/>
      <c r="AIA257" s="302"/>
      <c r="AIB257" s="302"/>
      <c r="AIC257" s="302"/>
      <c r="AID257" s="302"/>
      <c r="AIE257" s="302"/>
      <c r="AIF257" s="302"/>
      <c r="AIG257" s="302"/>
      <c r="AIH257" s="302"/>
      <c r="AII257" s="302"/>
      <c r="AIJ257" s="302"/>
      <c r="AIK257" s="302"/>
      <c r="AIL257" s="302"/>
      <c r="AIM257" s="302"/>
      <c r="AIN257" s="302"/>
      <c r="AIO257" s="302"/>
      <c r="AIP257" s="302"/>
      <c r="AIQ257" s="302"/>
      <c r="AIR257" s="302"/>
      <c r="AIS257" s="302"/>
      <c r="AIT257" s="302"/>
      <c r="AIU257" s="302"/>
      <c r="AIV257" s="302"/>
      <c r="AIW257" s="302"/>
      <c r="AIX257" s="302"/>
      <c r="AIY257" s="302"/>
      <c r="AIZ257" s="302"/>
      <c r="AJA257" s="302"/>
      <c r="AJB257" s="302"/>
      <c r="AJC257" s="302"/>
      <c r="AJD257" s="302"/>
      <c r="AJE257" s="302"/>
      <c r="AJF257" s="302"/>
      <c r="AJG257" s="302"/>
      <c r="AJH257" s="302"/>
      <c r="AJI257" s="302"/>
      <c r="AJJ257" s="302"/>
      <c r="AJK257" s="302"/>
      <c r="AJL257" s="302"/>
      <c r="AJM257" s="302"/>
      <c r="AJN257" s="302"/>
      <c r="AJO257" s="302"/>
      <c r="AJP257" s="302"/>
      <c r="AJQ257" s="302"/>
      <c r="AJR257" s="302"/>
      <c r="AJS257" s="302"/>
      <c r="AJT257" s="302"/>
      <c r="AJU257" s="302"/>
      <c r="AJV257" s="302"/>
      <c r="AJW257" s="302"/>
      <c r="AJX257" s="302"/>
      <c r="AJY257" s="302"/>
      <c r="AJZ257" s="302"/>
      <c r="AKA257" s="302"/>
      <c r="AKB257" s="302"/>
      <c r="AKC257" s="302"/>
      <c r="AKD257" s="302"/>
      <c r="AKE257" s="302"/>
      <c r="AKF257" s="302"/>
      <c r="AKG257" s="302"/>
      <c r="AKH257" s="302"/>
      <c r="AKI257" s="302"/>
      <c r="AKJ257" s="302"/>
      <c r="AKK257" s="302"/>
      <c r="AKL257" s="302"/>
      <c r="AKM257" s="302"/>
      <c r="AKN257" s="302"/>
      <c r="AKO257" s="302"/>
      <c r="AKP257" s="302"/>
      <c r="AKQ257" s="302"/>
      <c r="AKR257" s="302"/>
      <c r="AKS257" s="302"/>
      <c r="AKT257" s="302"/>
      <c r="AKU257" s="302"/>
      <c r="AKV257" s="302"/>
      <c r="AKW257" s="302"/>
      <c r="AKX257" s="302"/>
      <c r="AKY257" s="302"/>
      <c r="AKZ257" s="302"/>
      <c r="ALA257" s="302"/>
      <c r="ALB257" s="302"/>
      <c r="ALC257" s="302"/>
      <c r="ALD257" s="302"/>
      <c r="ALE257" s="302"/>
      <c r="ALF257" s="302"/>
      <c r="ALG257" s="302"/>
      <c r="ALH257" s="302"/>
      <c r="ALI257" s="302"/>
      <c r="ALJ257" s="302"/>
      <c r="ALK257" s="302"/>
      <c r="ALL257" s="302"/>
      <c r="ALM257" s="302"/>
      <c r="ALN257" s="302"/>
      <c r="ALO257" s="302"/>
      <c r="ALP257" s="302"/>
      <c r="ALQ257" s="302"/>
      <c r="ALR257" s="302"/>
      <c r="ALS257" s="302"/>
      <c r="ALT257" s="302"/>
      <c r="ALU257" s="302"/>
      <c r="ALV257" s="302"/>
      <c r="ALW257" s="302"/>
      <c r="ALX257" s="302"/>
      <c r="ALY257" s="302"/>
      <c r="ALZ257" s="302"/>
      <c r="AMA257" s="302"/>
      <c r="AMB257" s="302"/>
      <c r="AMC257" s="302"/>
      <c r="AMD257" s="302"/>
      <c r="AME257" s="302"/>
      <c r="AMF257" s="302"/>
      <c r="AMG257" s="302"/>
      <c r="AMH257" s="302"/>
      <c r="AMI257" s="302"/>
    </row>
    <row r="258" spans="1:1023" ht="18.75" hidden="1">
      <c r="A258" s="302"/>
      <c r="B258" s="304"/>
      <c r="C258" s="304"/>
      <c r="D258" s="305" t="s">
        <v>378</v>
      </c>
      <c r="E258" s="367">
        <f>SUM(E237:E256)</f>
        <v>59213000</v>
      </c>
      <c r="F258" s="317" t="s">
        <v>423</v>
      </c>
      <c r="G258" s="368">
        <f>SUM(G237:G256)</f>
        <v>889110</v>
      </c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  <c r="AF258" s="302"/>
      <c r="AG258" s="302"/>
      <c r="AH258" s="302"/>
      <c r="AI258" s="302"/>
      <c r="AJ258" s="302"/>
      <c r="AK258" s="302"/>
      <c r="AL258" s="302"/>
      <c r="AM258" s="302"/>
      <c r="AN258" s="302"/>
      <c r="AO258" s="302"/>
      <c r="AP258" s="302"/>
      <c r="AQ258" s="302"/>
      <c r="AR258" s="302"/>
      <c r="AS258" s="302"/>
      <c r="AT258" s="302"/>
      <c r="AU258" s="302"/>
      <c r="AV258" s="302"/>
      <c r="AW258" s="302"/>
      <c r="AX258" s="302"/>
      <c r="AY258" s="302"/>
      <c r="AZ258" s="302"/>
      <c r="BA258" s="302"/>
      <c r="BB258" s="302"/>
      <c r="BC258" s="302"/>
      <c r="BD258" s="302"/>
      <c r="BE258" s="302"/>
      <c r="BF258" s="302"/>
      <c r="BG258" s="302"/>
      <c r="BH258" s="302"/>
      <c r="BI258" s="302"/>
      <c r="BJ258" s="302"/>
      <c r="BK258" s="302"/>
      <c r="BL258" s="302"/>
      <c r="BM258" s="302"/>
      <c r="BN258" s="302"/>
      <c r="BO258" s="302"/>
      <c r="BP258" s="302"/>
      <c r="BQ258" s="302"/>
      <c r="BR258" s="302"/>
      <c r="BS258" s="302"/>
      <c r="BT258" s="302"/>
      <c r="BU258" s="302"/>
      <c r="BV258" s="302"/>
      <c r="BW258" s="302"/>
      <c r="BX258" s="302"/>
      <c r="BY258" s="302"/>
      <c r="BZ258" s="302"/>
      <c r="CA258" s="302"/>
      <c r="CB258" s="302"/>
      <c r="CC258" s="302"/>
      <c r="CD258" s="302"/>
      <c r="CE258" s="302"/>
      <c r="CF258" s="302"/>
      <c r="CG258" s="302"/>
      <c r="CH258" s="302"/>
      <c r="CI258" s="302"/>
      <c r="CJ258" s="302"/>
      <c r="CK258" s="302"/>
      <c r="CL258" s="302"/>
      <c r="CM258" s="302"/>
      <c r="CN258" s="302"/>
      <c r="CO258" s="302"/>
      <c r="CP258" s="302"/>
      <c r="CQ258" s="302"/>
      <c r="CR258" s="302"/>
      <c r="CS258" s="302"/>
      <c r="CT258" s="302"/>
      <c r="CU258" s="302"/>
      <c r="CV258" s="302"/>
      <c r="CW258" s="302"/>
      <c r="CX258" s="302"/>
      <c r="CY258" s="302"/>
      <c r="CZ258" s="302"/>
      <c r="DA258" s="302"/>
      <c r="DB258" s="302"/>
      <c r="DC258" s="302"/>
      <c r="DD258" s="302"/>
      <c r="DE258" s="302"/>
      <c r="DF258" s="302"/>
      <c r="DG258" s="302"/>
      <c r="DH258" s="302"/>
      <c r="DI258" s="302"/>
      <c r="DJ258" s="302"/>
      <c r="DK258" s="302"/>
      <c r="DL258" s="302"/>
      <c r="DM258" s="302"/>
      <c r="DN258" s="302"/>
      <c r="DO258" s="302"/>
      <c r="DP258" s="302"/>
      <c r="DQ258" s="302"/>
      <c r="DR258" s="302"/>
      <c r="DS258" s="302"/>
      <c r="DT258" s="302"/>
      <c r="DU258" s="302"/>
      <c r="DV258" s="302"/>
      <c r="DW258" s="302"/>
      <c r="DX258" s="302"/>
      <c r="DY258" s="302"/>
      <c r="DZ258" s="302"/>
      <c r="EA258" s="302"/>
      <c r="EB258" s="302"/>
      <c r="EC258" s="302"/>
      <c r="ED258" s="302"/>
      <c r="EE258" s="302"/>
      <c r="EF258" s="302"/>
      <c r="EG258" s="302"/>
      <c r="EH258" s="302"/>
      <c r="EI258" s="302"/>
      <c r="EJ258" s="302"/>
      <c r="EK258" s="302"/>
      <c r="EL258" s="302"/>
      <c r="EM258" s="302"/>
      <c r="EN258" s="302"/>
      <c r="EO258" s="302"/>
      <c r="EP258" s="302"/>
      <c r="EQ258" s="302"/>
      <c r="ER258" s="302"/>
      <c r="ES258" s="302"/>
      <c r="ET258" s="302"/>
      <c r="EU258" s="302"/>
      <c r="EV258" s="302"/>
      <c r="EW258" s="302"/>
      <c r="EX258" s="302"/>
      <c r="EY258" s="302"/>
      <c r="EZ258" s="302"/>
      <c r="FA258" s="302"/>
      <c r="FB258" s="302"/>
      <c r="FC258" s="302"/>
      <c r="FD258" s="302"/>
      <c r="FE258" s="302"/>
      <c r="FF258" s="302"/>
      <c r="FG258" s="302"/>
      <c r="FH258" s="302"/>
      <c r="FI258" s="302"/>
      <c r="FJ258" s="302"/>
      <c r="FK258" s="302"/>
      <c r="FL258" s="302"/>
      <c r="FM258" s="302"/>
      <c r="FN258" s="302"/>
      <c r="FO258" s="302"/>
      <c r="FP258" s="302"/>
      <c r="FQ258" s="302"/>
      <c r="FR258" s="302"/>
      <c r="FS258" s="302"/>
      <c r="FT258" s="302"/>
      <c r="FU258" s="302"/>
      <c r="FV258" s="302"/>
      <c r="FW258" s="302"/>
      <c r="FX258" s="302"/>
      <c r="FY258" s="302"/>
      <c r="FZ258" s="302"/>
      <c r="GA258" s="302"/>
      <c r="GB258" s="302"/>
      <c r="GC258" s="302"/>
      <c r="GD258" s="302"/>
      <c r="GE258" s="302"/>
      <c r="GF258" s="302"/>
      <c r="GG258" s="302"/>
      <c r="GH258" s="302"/>
      <c r="GI258" s="302"/>
      <c r="GJ258" s="302"/>
      <c r="GK258" s="302"/>
      <c r="GL258" s="302"/>
      <c r="GM258" s="302"/>
      <c r="GN258" s="302"/>
      <c r="GO258" s="302"/>
      <c r="GP258" s="302"/>
      <c r="GQ258" s="302"/>
      <c r="GR258" s="302"/>
      <c r="GS258" s="302"/>
      <c r="GT258" s="302"/>
      <c r="GU258" s="302"/>
      <c r="GV258" s="302"/>
      <c r="GW258" s="302"/>
      <c r="GX258" s="302"/>
      <c r="GY258" s="302"/>
      <c r="GZ258" s="302"/>
      <c r="HA258" s="302"/>
      <c r="HB258" s="302"/>
      <c r="HC258" s="302"/>
      <c r="HD258" s="302"/>
      <c r="HE258" s="302"/>
      <c r="HF258" s="302"/>
      <c r="HG258" s="302"/>
      <c r="HH258" s="302"/>
      <c r="HI258" s="302"/>
      <c r="HJ258" s="302"/>
      <c r="HK258" s="302"/>
      <c r="HL258" s="302"/>
      <c r="HM258" s="302"/>
      <c r="HN258" s="302"/>
      <c r="HO258" s="302"/>
      <c r="HP258" s="302"/>
      <c r="HQ258" s="302"/>
      <c r="HR258" s="302"/>
      <c r="HS258" s="302"/>
      <c r="HT258" s="302"/>
      <c r="HU258" s="302"/>
      <c r="HV258" s="302"/>
      <c r="HW258" s="302"/>
      <c r="HX258" s="302"/>
      <c r="HY258" s="302"/>
      <c r="HZ258" s="302"/>
      <c r="IA258" s="302"/>
      <c r="IB258" s="302"/>
      <c r="IC258" s="302"/>
      <c r="ID258" s="302"/>
      <c r="IE258" s="302"/>
      <c r="IF258" s="302"/>
      <c r="IG258" s="302"/>
      <c r="IH258" s="302"/>
      <c r="II258" s="302"/>
      <c r="IJ258" s="302"/>
      <c r="IK258" s="302"/>
      <c r="IL258" s="302"/>
      <c r="IM258" s="302"/>
      <c r="IN258" s="302"/>
      <c r="IO258" s="302"/>
      <c r="IP258" s="302"/>
      <c r="IQ258" s="302"/>
      <c r="IR258" s="302"/>
      <c r="IS258" s="302"/>
      <c r="IT258" s="302"/>
      <c r="IU258" s="302"/>
      <c r="IV258" s="302"/>
      <c r="IW258" s="302"/>
      <c r="IX258" s="302"/>
      <c r="IY258" s="302"/>
      <c r="IZ258" s="302"/>
      <c r="JA258" s="302"/>
      <c r="JB258" s="302"/>
      <c r="JC258" s="302"/>
      <c r="JD258" s="302"/>
      <c r="JE258" s="302"/>
      <c r="JF258" s="302"/>
      <c r="JG258" s="302"/>
      <c r="JH258" s="302"/>
      <c r="JI258" s="302"/>
      <c r="JJ258" s="302"/>
      <c r="JK258" s="302"/>
      <c r="JL258" s="302"/>
      <c r="JM258" s="302"/>
      <c r="JN258" s="302"/>
      <c r="JO258" s="302"/>
      <c r="JP258" s="302"/>
      <c r="JQ258" s="302"/>
      <c r="JR258" s="302"/>
      <c r="JS258" s="302"/>
      <c r="JT258" s="302"/>
      <c r="JU258" s="302"/>
      <c r="JV258" s="302"/>
      <c r="JW258" s="302"/>
      <c r="JX258" s="302"/>
      <c r="JY258" s="302"/>
      <c r="JZ258" s="302"/>
      <c r="KA258" s="302"/>
      <c r="KB258" s="302"/>
      <c r="KC258" s="302"/>
      <c r="KD258" s="302"/>
      <c r="KE258" s="302"/>
      <c r="KF258" s="302"/>
      <c r="KG258" s="302"/>
      <c r="KH258" s="302"/>
      <c r="KI258" s="302"/>
      <c r="KJ258" s="302"/>
      <c r="KK258" s="302"/>
      <c r="KL258" s="302"/>
      <c r="KM258" s="302"/>
      <c r="KN258" s="302"/>
      <c r="KO258" s="302"/>
      <c r="KP258" s="302"/>
      <c r="KQ258" s="302"/>
      <c r="KR258" s="302"/>
      <c r="KS258" s="302"/>
      <c r="KT258" s="302"/>
      <c r="KU258" s="302"/>
      <c r="KV258" s="302"/>
      <c r="KW258" s="302"/>
      <c r="KX258" s="302"/>
      <c r="KY258" s="302"/>
      <c r="KZ258" s="302"/>
      <c r="LA258" s="302"/>
      <c r="LB258" s="302"/>
      <c r="LC258" s="302"/>
      <c r="LD258" s="302"/>
      <c r="LE258" s="302"/>
      <c r="LF258" s="302"/>
      <c r="LG258" s="302"/>
      <c r="LH258" s="302"/>
      <c r="LI258" s="302"/>
      <c r="LJ258" s="302"/>
      <c r="LK258" s="302"/>
      <c r="LL258" s="302"/>
      <c r="LM258" s="302"/>
      <c r="LN258" s="302"/>
      <c r="LO258" s="302"/>
      <c r="LP258" s="302"/>
      <c r="LQ258" s="302"/>
      <c r="LR258" s="302"/>
      <c r="LS258" s="302"/>
      <c r="LT258" s="302"/>
      <c r="LU258" s="302"/>
      <c r="LV258" s="302"/>
      <c r="LW258" s="302"/>
      <c r="LX258" s="302"/>
      <c r="LY258" s="302"/>
      <c r="LZ258" s="302"/>
      <c r="MA258" s="302"/>
      <c r="MB258" s="302"/>
      <c r="MC258" s="302"/>
      <c r="MD258" s="302"/>
      <c r="ME258" s="302"/>
      <c r="MF258" s="302"/>
      <c r="MG258" s="302"/>
      <c r="MH258" s="302"/>
      <c r="MI258" s="302"/>
      <c r="MJ258" s="302"/>
      <c r="MK258" s="302"/>
      <c r="ML258" s="302"/>
      <c r="MM258" s="302"/>
      <c r="MN258" s="302"/>
      <c r="MO258" s="302"/>
      <c r="MP258" s="302"/>
      <c r="MQ258" s="302"/>
      <c r="MR258" s="302"/>
      <c r="MS258" s="302"/>
      <c r="MT258" s="302"/>
      <c r="MU258" s="302"/>
      <c r="MV258" s="302"/>
      <c r="MW258" s="302"/>
      <c r="MX258" s="302"/>
      <c r="MY258" s="302"/>
      <c r="MZ258" s="302"/>
      <c r="NA258" s="302"/>
      <c r="NB258" s="302"/>
      <c r="NC258" s="302"/>
      <c r="ND258" s="302"/>
      <c r="NE258" s="302"/>
      <c r="NF258" s="302"/>
      <c r="NG258" s="302"/>
      <c r="NH258" s="302"/>
      <c r="NI258" s="302"/>
      <c r="NJ258" s="302"/>
      <c r="NK258" s="302"/>
      <c r="NL258" s="302"/>
      <c r="NM258" s="302"/>
      <c r="NN258" s="302"/>
      <c r="NO258" s="302"/>
      <c r="NP258" s="302"/>
      <c r="NQ258" s="302"/>
      <c r="NR258" s="302"/>
      <c r="NS258" s="302"/>
      <c r="NT258" s="302"/>
      <c r="NU258" s="302"/>
      <c r="NV258" s="302"/>
      <c r="NW258" s="302"/>
      <c r="NX258" s="302"/>
      <c r="NY258" s="302"/>
      <c r="NZ258" s="302"/>
      <c r="OA258" s="302"/>
      <c r="OB258" s="302"/>
      <c r="OC258" s="302"/>
      <c r="OD258" s="302"/>
      <c r="OE258" s="302"/>
      <c r="OF258" s="302"/>
      <c r="OG258" s="302"/>
      <c r="OH258" s="302"/>
      <c r="OI258" s="302"/>
      <c r="OJ258" s="302"/>
      <c r="OK258" s="302"/>
      <c r="OL258" s="302"/>
      <c r="OM258" s="302"/>
      <c r="ON258" s="302"/>
      <c r="OO258" s="302"/>
      <c r="OP258" s="302"/>
      <c r="OQ258" s="302"/>
      <c r="OR258" s="302"/>
      <c r="OS258" s="302"/>
      <c r="OT258" s="302"/>
      <c r="OU258" s="302"/>
      <c r="OV258" s="302"/>
      <c r="OW258" s="302"/>
      <c r="OX258" s="302"/>
      <c r="OY258" s="302"/>
      <c r="OZ258" s="302"/>
      <c r="PA258" s="302"/>
      <c r="PB258" s="302"/>
      <c r="PC258" s="302"/>
      <c r="PD258" s="302"/>
      <c r="PE258" s="302"/>
      <c r="PF258" s="302"/>
      <c r="PG258" s="302"/>
      <c r="PH258" s="302"/>
      <c r="PI258" s="302"/>
      <c r="PJ258" s="302"/>
      <c r="PK258" s="302"/>
      <c r="PL258" s="302"/>
      <c r="PM258" s="302"/>
      <c r="PN258" s="302"/>
      <c r="PO258" s="302"/>
      <c r="PP258" s="302"/>
      <c r="PQ258" s="302"/>
      <c r="PR258" s="302"/>
      <c r="PS258" s="302"/>
      <c r="PT258" s="302"/>
      <c r="PU258" s="302"/>
      <c r="PV258" s="302"/>
      <c r="PW258" s="302"/>
      <c r="PX258" s="302"/>
      <c r="PY258" s="302"/>
      <c r="PZ258" s="302"/>
      <c r="QA258" s="302"/>
      <c r="QB258" s="302"/>
      <c r="QC258" s="302"/>
      <c r="QD258" s="302"/>
      <c r="QE258" s="302"/>
      <c r="QF258" s="302"/>
      <c r="QG258" s="302"/>
      <c r="QH258" s="302"/>
      <c r="QI258" s="302"/>
      <c r="QJ258" s="302"/>
      <c r="QK258" s="302"/>
      <c r="QL258" s="302"/>
      <c r="QM258" s="302"/>
      <c r="QN258" s="302"/>
      <c r="QO258" s="302"/>
      <c r="QP258" s="302"/>
      <c r="QQ258" s="302"/>
      <c r="QR258" s="302"/>
      <c r="QS258" s="302"/>
      <c r="QT258" s="302"/>
      <c r="QU258" s="302"/>
      <c r="QV258" s="302"/>
      <c r="QW258" s="302"/>
      <c r="QX258" s="302"/>
      <c r="QY258" s="302"/>
      <c r="QZ258" s="302"/>
      <c r="RA258" s="302"/>
      <c r="RB258" s="302"/>
      <c r="RC258" s="302"/>
      <c r="RD258" s="302"/>
      <c r="RE258" s="302"/>
      <c r="RF258" s="302"/>
      <c r="RG258" s="302"/>
      <c r="RH258" s="302"/>
      <c r="RI258" s="302"/>
      <c r="RJ258" s="302"/>
      <c r="RK258" s="302"/>
      <c r="RL258" s="302"/>
      <c r="RM258" s="302"/>
      <c r="RN258" s="302"/>
      <c r="RO258" s="302"/>
      <c r="RP258" s="302"/>
      <c r="RQ258" s="302"/>
      <c r="RR258" s="302"/>
      <c r="RS258" s="302"/>
      <c r="RT258" s="302"/>
      <c r="RU258" s="302"/>
      <c r="RV258" s="302"/>
      <c r="RW258" s="302"/>
      <c r="RX258" s="302"/>
      <c r="RY258" s="302"/>
      <c r="RZ258" s="302"/>
      <c r="SA258" s="302"/>
      <c r="SB258" s="302"/>
      <c r="SC258" s="302"/>
      <c r="SD258" s="302"/>
      <c r="SE258" s="302"/>
      <c r="SF258" s="302"/>
      <c r="SG258" s="302"/>
      <c r="SH258" s="302"/>
      <c r="SI258" s="302"/>
      <c r="SJ258" s="302"/>
      <c r="SK258" s="302"/>
      <c r="SL258" s="302"/>
      <c r="SM258" s="302"/>
      <c r="SN258" s="302"/>
      <c r="SO258" s="302"/>
      <c r="SP258" s="302"/>
      <c r="SQ258" s="302"/>
      <c r="SR258" s="302"/>
      <c r="SS258" s="302"/>
      <c r="ST258" s="302"/>
      <c r="SU258" s="302"/>
      <c r="SV258" s="302"/>
      <c r="SW258" s="302"/>
      <c r="SX258" s="302"/>
      <c r="SY258" s="302"/>
      <c r="SZ258" s="302"/>
      <c r="TA258" s="302"/>
      <c r="TB258" s="302"/>
      <c r="TC258" s="302"/>
      <c r="TD258" s="302"/>
      <c r="TE258" s="302"/>
      <c r="TF258" s="302"/>
      <c r="TG258" s="302"/>
      <c r="TH258" s="302"/>
      <c r="TI258" s="302"/>
      <c r="TJ258" s="302"/>
      <c r="TK258" s="302"/>
      <c r="TL258" s="302"/>
      <c r="TM258" s="302"/>
      <c r="TN258" s="302"/>
      <c r="TO258" s="302"/>
      <c r="TP258" s="302"/>
      <c r="TQ258" s="302"/>
      <c r="TR258" s="302"/>
      <c r="TS258" s="302"/>
      <c r="TT258" s="302"/>
      <c r="TU258" s="302"/>
      <c r="TV258" s="302"/>
      <c r="TW258" s="302"/>
      <c r="TX258" s="302"/>
      <c r="TY258" s="302"/>
      <c r="TZ258" s="302"/>
      <c r="UA258" s="302"/>
      <c r="UB258" s="302"/>
      <c r="UC258" s="302"/>
      <c r="UD258" s="302"/>
      <c r="UE258" s="302"/>
      <c r="UF258" s="302"/>
      <c r="UG258" s="302"/>
      <c r="UH258" s="302"/>
      <c r="UI258" s="302"/>
      <c r="UJ258" s="302"/>
      <c r="UK258" s="302"/>
      <c r="UL258" s="302"/>
      <c r="UM258" s="302"/>
      <c r="UN258" s="302"/>
      <c r="UO258" s="302"/>
      <c r="UP258" s="302"/>
      <c r="UQ258" s="302"/>
      <c r="UR258" s="302"/>
      <c r="US258" s="302"/>
      <c r="UT258" s="302"/>
      <c r="UU258" s="302"/>
      <c r="UV258" s="302"/>
      <c r="UW258" s="302"/>
      <c r="UX258" s="302"/>
      <c r="UY258" s="302"/>
      <c r="UZ258" s="302"/>
      <c r="VA258" s="302"/>
      <c r="VB258" s="302"/>
      <c r="VC258" s="302"/>
      <c r="VD258" s="302"/>
      <c r="VE258" s="302"/>
      <c r="VF258" s="302"/>
      <c r="VG258" s="302"/>
      <c r="VH258" s="302"/>
      <c r="VI258" s="302"/>
      <c r="VJ258" s="302"/>
      <c r="VK258" s="302"/>
      <c r="VL258" s="302"/>
      <c r="VM258" s="302"/>
      <c r="VN258" s="302"/>
      <c r="VO258" s="302"/>
      <c r="VP258" s="302"/>
      <c r="VQ258" s="302"/>
      <c r="VR258" s="302"/>
      <c r="VS258" s="302"/>
      <c r="VT258" s="302"/>
      <c r="VU258" s="302"/>
      <c r="VV258" s="302"/>
      <c r="VW258" s="302"/>
      <c r="VX258" s="302"/>
      <c r="VY258" s="302"/>
      <c r="VZ258" s="302"/>
      <c r="WA258" s="302"/>
      <c r="WB258" s="302"/>
      <c r="WC258" s="302"/>
      <c r="WD258" s="302"/>
      <c r="WE258" s="302"/>
      <c r="WF258" s="302"/>
      <c r="WG258" s="302"/>
      <c r="WH258" s="302"/>
      <c r="WI258" s="302"/>
      <c r="WJ258" s="302"/>
      <c r="WK258" s="302"/>
      <c r="WL258" s="302"/>
      <c r="WM258" s="302"/>
      <c r="WN258" s="302"/>
      <c r="WO258" s="302"/>
      <c r="WP258" s="302"/>
      <c r="WQ258" s="302"/>
      <c r="WR258" s="302"/>
      <c r="WS258" s="302"/>
      <c r="WT258" s="302"/>
      <c r="WU258" s="302"/>
      <c r="WV258" s="302"/>
      <c r="WW258" s="302"/>
      <c r="WX258" s="302"/>
      <c r="WY258" s="302"/>
      <c r="WZ258" s="302"/>
      <c r="XA258" s="302"/>
      <c r="XB258" s="302"/>
      <c r="XC258" s="302"/>
      <c r="XD258" s="302"/>
      <c r="XE258" s="302"/>
      <c r="XF258" s="302"/>
      <c r="XG258" s="302"/>
      <c r="XH258" s="302"/>
      <c r="XI258" s="302"/>
      <c r="XJ258" s="302"/>
      <c r="XK258" s="302"/>
      <c r="XL258" s="302"/>
      <c r="XM258" s="302"/>
      <c r="XN258" s="302"/>
      <c r="XO258" s="302"/>
      <c r="XP258" s="302"/>
      <c r="XQ258" s="302"/>
      <c r="XR258" s="302"/>
      <c r="XS258" s="302"/>
      <c r="XT258" s="302"/>
      <c r="XU258" s="302"/>
      <c r="XV258" s="302"/>
      <c r="XW258" s="302"/>
      <c r="XX258" s="302"/>
      <c r="XY258" s="302"/>
      <c r="XZ258" s="302"/>
      <c r="YA258" s="302"/>
      <c r="YB258" s="302"/>
      <c r="YC258" s="302"/>
      <c r="YD258" s="302"/>
      <c r="YE258" s="302"/>
      <c r="YF258" s="302"/>
      <c r="YG258" s="302"/>
      <c r="YH258" s="302"/>
      <c r="YI258" s="302"/>
      <c r="YJ258" s="302"/>
      <c r="YK258" s="302"/>
      <c r="YL258" s="302"/>
      <c r="YM258" s="302"/>
      <c r="YN258" s="302"/>
      <c r="YO258" s="302"/>
      <c r="YP258" s="302"/>
      <c r="YQ258" s="302"/>
      <c r="YR258" s="302"/>
      <c r="YS258" s="302"/>
      <c r="YT258" s="302"/>
      <c r="YU258" s="302"/>
      <c r="YV258" s="302"/>
      <c r="YW258" s="302"/>
      <c r="YX258" s="302"/>
      <c r="YY258" s="302"/>
      <c r="YZ258" s="302"/>
      <c r="ZA258" s="302"/>
      <c r="ZB258" s="302"/>
      <c r="ZC258" s="302"/>
      <c r="ZD258" s="302"/>
      <c r="ZE258" s="302"/>
      <c r="ZF258" s="302"/>
      <c r="ZG258" s="302"/>
      <c r="ZH258" s="302"/>
      <c r="ZI258" s="302"/>
      <c r="ZJ258" s="302"/>
      <c r="ZK258" s="302"/>
      <c r="ZL258" s="302"/>
      <c r="ZM258" s="302"/>
      <c r="ZN258" s="302"/>
      <c r="ZO258" s="302"/>
      <c r="ZP258" s="302"/>
      <c r="ZQ258" s="302"/>
      <c r="ZR258" s="302"/>
      <c r="ZS258" s="302"/>
      <c r="ZT258" s="302"/>
      <c r="ZU258" s="302"/>
      <c r="ZV258" s="302"/>
      <c r="ZW258" s="302"/>
      <c r="ZX258" s="302"/>
      <c r="ZY258" s="302"/>
      <c r="ZZ258" s="302"/>
      <c r="AAA258" s="302"/>
      <c r="AAB258" s="302"/>
      <c r="AAC258" s="302"/>
      <c r="AAD258" s="302"/>
      <c r="AAE258" s="302"/>
      <c r="AAF258" s="302"/>
      <c r="AAG258" s="302"/>
      <c r="AAH258" s="302"/>
      <c r="AAI258" s="302"/>
      <c r="AAJ258" s="302"/>
      <c r="AAK258" s="302"/>
      <c r="AAL258" s="302"/>
      <c r="AAM258" s="302"/>
      <c r="AAN258" s="302"/>
      <c r="AAO258" s="302"/>
      <c r="AAP258" s="302"/>
      <c r="AAQ258" s="302"/>
      <c r="AAR258" s="302"/>
      <c r="AAS258" s="302"/>
      <c r="AAT258" s="302"/>
      <c r="AAU258" s="302"/>
      <c r="AAV258" s="302"/>
      <c r="AAW258" s="302"/>
      <c r="AAX258" s="302"/>
      <c r="AAY258" s="302"/>
      <c r="AAZ258" s="302"/>
      <c r="ABA258" s="302"/>
      <c r="ABB258" s="302"/>
      <c r="ABC258" s="302"/>
      <c r="ABD258" s="302"/>
      <c r="ABE258" s="302"/>
      <c r="ABF258" s="302"/>
      <c r="ABG258" s="302"/>
      <c r="ABH258" s="302"/>
      <c r="ABI258" s="302"/>
      <c r="ABJ258" s="302"/>
      <c r="ABK258" s="302"/>
      <c r="ABL258" s="302"/>
      <c r="ABM258" s="302"/>
      <c r="ABN258" s="302"/>
      <c r="ABO258" s="302"/>
      <c r="ABP258" s="302"/>
      <c r="ABQ258" s="302"/>
      <c r="ABR258" s="302"/>
      <c r="ABS258" s="302"/>
      <c r="ABT258" s="302"/>
      <c r="ABU258" s="302"/>
      <c r="ABV258" s="302"/>
      <c r="ABW258" s="302"/>
      <c r="ABX258" s="302"/>
      <c r="ABY258" s="302"/>
      <c r="ABZ258" s="302"/>
      <c r="ACA258" s="302"/>
      <c r="ACB258" s="302"/>
      <c r="ACC258" s="302"/>
      <c r="ACD258" s="302"/>
      <c r="ACE258" s="302"/>
      <c r="ACF258" s="302"/>
      <c r="ACG258" s="302"/>
      <c r="ACH258" s="302"/>
      <c r="ACI258" s="302"/>
      <c r="ACJ258" s="302"/>
      <c r="ACK258" s="302"/>
      <c r="ACL258" s="302"/>
      <c r="ACM258" s="302"/>
      <c r="ACN258" s="302"/>
      <c r="ACO258" s="302"/>
      <c r="ACP258" s="302"/>
      <c r="ACQ258" s="302"/>
      <c r="ACR258" s="302"/>
      <c r="ACS258" s="302"/>
      <c r="ACT258" s="302"/>
      <c r="ACU258" s="302"/>
      <c r="ACV258" s="302"/>
      <c r="ACW258" s="302"/>
      <c r="ACX258" s="302"/>
      <c r="ACY258" s="302"/>
      <c r="ACZ258" s="302"/>
      <c r="ADA258" s="302"/>
      <c r="ADB258" s="302"/>
      <c r="ADC258" s="302"/>
      <c r="ADD258" s="302"/>
      <c r="ADE258" s="302"/>
      <c r="ADF258" s="302"/>
      <c r="ADG258" s="302"/>
      <c r="ADH258" s="302"/>
      <c r="ADI258" s="302"/>
      <c r="ADJ258" s="302"/>
      <c r="ADK258" s="302"/>
      <c r="ADL258" s="302"/>
      <c r="ADM258" s="302"/>
      <c r="ADN258" s="302"/>
      <c r="ADO258" s="302"/>
      <c r="ADP258" s="302"/>
      <c r="ADQ258" s="302"/>
      <c r="ADR258" s="302"/>
      <c r="ADS258" s="302"/>
      <c r="ADT258" s="302"/>
      <c r="ADU258" s="302"/>
      <c r="ADV258" s="302"/>
      <c r="ADW258" s="302"/>
      <c r="ADX258" s="302"/>
      <c r="ADY258" s="302"/>
      <c r="ADZ258" s="302"/>
      <c r="AEA258" s="302"/>
      <c r="AEB258" s="302"/>
      <c r="AEC258" s="302"/>
      <c r="AED258" s="302"/>
      <c r="AEE258" s="302"/>
      <c r="AEF258" s="302"/>
      <c r="AEG258" s="302"/>
      <c r="AEH258" s="302"/>
      <c r="AEI258" s="302"/>
      <c r="AEJ258" s="302"/>
      <c r="AEK258" s="302"/>
      <c r="AEL258" s="302"/>
      <c r="AEM258" s="302"/>
      <c r="AEN258" s="302"/>
      <c r="AEO258" s="302"/>
      <c r="AEP258" s="302"/>
      <c r="AEQ258" s="302"/>
      <c r="AER258" s="302"/>
      <c r="AES258" s="302"/>
      <c r="AET258" s="302"/>
      <c r="AEU258" s="302"/>
      <c r="AEV258" s="302"/>
      <c r="AEW258" s="302"/>
      <c r="AEX258" s="302"/>
      <c r="AEY258" s="302"/>
      <c r="AEZ258" s="302"/>
      <c r="AFA258" s="302"/>
      <c r="AFB258" s="302"/>
      <c r="AFC258" s="302"/>
      <c r="AFD258" s="302"/>
      <c r="AFE258" s="302"/>
      <c r="AFF258" s="302"/>
      <c r="AFG258" s="302"/>
      <c r="AFH258" s="302"/>
      <c r="AFI258" s="302"/>
      <c r="AFJ258" s="302"/>
      <c r="AFK258" s="302"/>
      <c r="AFL258" s="302"/>
      <c r="AFM258" s="302"/>
      <c r="AFN258" s="302"/>
      <c r="AFO258" s="302"/>
      <c r="AFP258" s="302"/>
      <c r="AFQ258" s="302"/>
      <c r="AFR258" s="302"/>
      <c r="AFS258" s="302"/>
      <c r="AFT258" s="302"/>
      <c r="AFU258" s="302"/>
      <c r="AFV258" s="302"/>
      <c r="AFW258" s="302"/>
      <c r="AFX258" s="302"/>
      <c r="AFY258" s="302"/>
      <c r="AFZ258" s="302"/>
      <c r="AGA258" s="302"/>
      <c r="AGB258" s="302"/>
      <c r="AGC258" s="302"/>
      <c r="AGD258" s="302"/>
      <c r="AGE258" s="302"/>
      <c r="AGF258" s="302"/>
      <c r="AGG258" s="302"/>
      <c r="AGH258" s="302"/>
      <c r="AGI258" s="302"/>
      <c r="AGJ258" s="302"/>
      <c r="AGK258" s="302"/>
      <c r="AGL258" s="302"/>
      <c r="AGM258" s="302"/>
      <c r="AGN258" s="302"/>
      <c r="AGO258" s="302"/>
      <c r="AGP258" s="302"/>
      <c r="AGQ258" s="302"/>
      <c r="AGR258" s="302"/>
      <c r="AGS258" s="302"/>
      <c r="AGT258" s="302"/>
      <c r="AGU258" s="302"/>
      <c r="AGV258" s="302"/>
      <c r="AGW258" s="302"/>
      <c r="AGX258" s="302"/>
      <c r="AGY258" s="302"/>
      <c r="AGZ258" s="302"/>
      <c r="AHA258" s="302"/>
      <c r="AHB258" s="302"/>
      <c r="AHC258" s="302"/>
      <c r="AHD258" s="302"/>
      <c r="AHE258" s="302"/>
      <c r="AHF258" s="302"/>
      <c r="AHG258" s="302"/>
      <c r="AHH258" s="302"/>
      <c r="AHI258" s="302"/>
      <c r="AHJ258" s="302"/>
      <c r="AHK258" s="302"/>
      <c r="AHL258" s="302"/>
      <c r="AHM258" s="302"/>
      <c r="AHN258" s="302"/>
      <c r="AHO258" s="302"/>
      <c r="AHP258" s="302"/>
      <c r="AHQ258" s="302"/>
      <c r="AHR258" s="302"/>
      <c r="AHS258" s="302"/>
      <c r="AHT258" s="302"/>
      <c r="AHU258" s="302"/>
      <c r="AHV258" s="302"/>
      <c r="AHW258" s="302"/>
      <c r="AHX258" s="302"/>
      <c r="AHY258" s="302"/>
      <c r="AHZ258" s="302"/>
      <c r="AIA258" s="302"/>
      <c r="AIB258" s="302"/>
      <c r="AIC258" s="302"/>
      <c r="AID258" s="302"/>
      <c r="AIE258" s="302"/>
      <c r="AIF258" s="302"/>
      <c r="AIG258" s="302"/>
      <c r="AIH258" s="302"/>
      <c r="AII258" s="302"/>
      <c r="AIJ258" s="302"/>
      <c r="AIK258" s="302"/>
      <c r="AIL258" s="302"/>
      <c r="AIM258" s="302"/>
      <c r="AIN258" s="302"/>
      <c r="AIO258" s="302"/>
      <c r="AIP258" s="302"/>
      <c r="AIQ258" s="302"/>
      <c r="AIR258" s="302"/>
      <c r="AIS258" s="302"/>
      <c r="AIT258" s="302"/>
      <c r="AIU258" s="302"/>
      <c r="AIV258" s="302"/>
      <c r="AIW258" s="302"/>
      <c r="AIX258" s="302"/>
      <c r="AIY258" s="302"/>
      <c r="AIZ258" s="302"/>
      <c r="AJA258" s="302"/>
      <c r="AJB258" s="302"/>
      <c r="AJC258" s="302"/>
      <c r="AJD258" s="302"/>
      <c r="AJE258" s="302"/>
      <c r="AJF258" s="302"/>
      <c r="AJG258" s="302"/>
      <c r="AJH258" s="302"/>
      <c r="AJI258" s="302"/>
      <c r="AJJ258" s="302"/>
      <c r="AJK258" s="302"/>
      <c r="AJL258" s="302"/>
      <c r="AJM258" s="302"/>
      <c r="AJN258" s="302"/>
      <c r="AJO258" s="302"/>
      <c r="AJP258" s="302"/>
      <c r="AJQ258" s="302"/>
      <c r="AJR258" s="302"/>
      <c r="AJS258" s="302"/>
      <c r="AJT258" s="302"/>
      <c r="AJU258" s="302"/>
      <c r="AJV258" s="302"/>
      <c r="AJW258" s="302"/>
      <c r="AJX258" s="302"/>
      <c r="AJY258" s="302"/>
      <c r="AJZ258" s="302"/>
      <c r="AKA258" s="302"/>
      <c r="AKB258" s="302"/>
      <c r="AKC258" s="302"/>
      <c r="AKD258" s="302"/>
      <c r="AKE258" s="302"/>
      <c r="AKF258" s="302"/>
      <c r="AKG258" s="302"/>
      <c r="AKH258" s="302"/>
      <c r="AKI258" s="302"/>
      <c r="AKJ258" s="302"/>
      <c r="AKK258" s="302"/>
      <c r="AKL258" s="302"/>
      <c r="AKM258" s="302"/>
      <c r="AKN258" s="302"/>
      <c r="AKO258" s="302"/>
      <c r="AKP258" s="302"/>
      <c r="AKQ258" s="302"/>
      <c r="AKR258" s="302"/>
      <c r="AKS258" s="302"/>
      <c r="AKT258" s="302"/>
      <c r="AKU258" s="302"/>
      <c r="AKV258" s="302"/>
      <c r="AKW258" s="302"/>
      <c r="AKX258" s="302"/>
      <c r="AKY258" s="302"/>
      <c r="AKZ258" s="302"/>
      <c r="ALA258" s="302"/>
      <c r="ALB258" s="302"/>
      <c r="ALC258" s="302"/>
      <c r="ALD258" s="302"/>
      <c r="ALE258" s="302"/>
      <c r="ALF258" s="302"/>
      <c r="ALG258" s="302"/>
      <c r="ALH258" s="302"/>
      <c r="ALI258" s="302"/>
      <c r="ALJ258" s="302"/>
      <c r="ALK258" s="302"/>
      <c r="ALL258" s="302"/>
      <c r="ALM258" s="302"/>
      <c r="ALN258" s="302"/>
      <c r="ALO258" s="302"/>
      <c r="ALP258" s="302"/>
      <c r="ALQ258" s="302"/>
      <c r="ALR258" s="302"/>
      <c r="ALS258" s="302"/>
      <c r="ALT258" s="302"/>
      <c r="ALU258" s="302"/>
      <c r="ALV258" s="302"/>
      <c r="ALW258" s="302"/>
      <c r="ALX258" s="302"/>
      <c r="ALY258" s="302"/>
      <c r="ALZ258" s="302"/>
      <c r="AMA258" s="302"/>
      <c r="AMB258" s="302"/>
      <c r="AMC258" s="302"/>
      <c r="AMD258" s="302"/>
      <c r="AME258" s="302"/>
      <c r="AMF258" s="302"/>
      <c r="AMG258" s="302"/>
      <c r="AMH258" s="302"/>
      <c r="AMI258" s="302"/>
    </row>
    <row r="259" spans="1:1023" hidden="1"/>
    <row r="261" spans="1:1023" ht="22.5">
      <c r="A261" s="965" t="s">
        <v>429</v>
      </c>
      <c r="B261" s="965"/>
      <c r="C261" s="965"/>
      <c r="D261" s="965"/>
      <c r="E261" s="965"/>
      <c r="F261" s="965"/>
      <c r="G261" s="965"/>
    </row>
    <row r="262" spans="1:1023" hidden="1"/>
    <row r="263" spans="1:1023" ht="18" hidden="1">
      <c r="A263" s="302"/>
      <c r="B263" s="969" t="s">
        <v>430</v>
      </c>
      <c r="C263" s="969"/>
      <c r="D263" s="969"/>
      <c r="E263" s="969"/>
      <c r="F263" s="969"/>
      <c r="G263" s="969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2"/>
      <c r="AE263" s="302"/>
      <c r="AF263" s="302"/>
      <c r="AG263" s="302"/>
      <c r="AH263" s="302"/>
      <c r="AI263" s="302"/>
      <c r="AJ263" s="302"/>
      <c r="AK263" s="302"/>
      <c r="AL263" s="302"/>
      <c r="AM263" s="302"/>
      <c r="AN263" s="302"/>
      <c r="AO263" s="302"/>
      <c r="AP263" s="302"/>
      <c r="AQ263" s="302"/>
      <c r="AR263" s="302"/>
      <c r="AS263" s="302"/>
      <c r="AT263" s="302"/>
      <c r="AU263" s="302"/>
      <c r="AV263" s="302"/>
      <c r="AW263" s="302"/>
      <c r="AX263" s="302"/>
      <c r="AY263" s="302"/>
      <c r="AZ263" s="302"/>
      <c r="BA263" s="302"/>
      <c r="BB263" s="302"/>
      <c r="BC263" s="302"/>
      <c r="BD263" s="302"/>
      <c r="BE263" s="302"/>
      <c r="BF263" s="302"/>
      <c r="BG263" s="302"/>
      <c r="BH263" s="302"/>
      <c r="BI263" s="302"/>
      <c r="BJ263" s="302"/>
      <c r="BK263" s="302"/>
      <c r="BL263" s="302"/>
      <c r="BM263" s="302"/>
      <c r="BN263" s="302"/>
      <c r="BO263" s="302"/>
      <c r="BP263" s="302"/>
      <c r="BQ263" s="302"/>
      <c r="BR263" s="302"/>
      <c r="BS263" s="302"/>
      <c r="BT263" s="302"/>
      <c r="BU263" s="302"/>
      <c r="BV263" s="302"/>
      <c r="BW263" s="302"/>
      <c r="BX263" s="302"/>
      <c r="BY263" s="302"/>
      <c r="BZ263" s="302"/>
      <c r="CA263" s="302"/>
      <c r="CB263" s="302"/>
      <c r="CC263" s="302"/>
      <c r="CD263" s="302"/>
      <c r="CE263" s="302"/>
      <c r="CF263" s="302"/>
      <c r="CG263" s="302"/>
      <c r="CH263" s="302"/>
      <c r="CI263" s="302"/>
      <c r="CJ263" s="302"/>
      <c r="CK263" s="302"/>
      <c r="CL263" s="302"/>
      <c r="CM263" s="302"/>
      <c r="CN263" s="302"/>
      <c r="CO263" s="302"/>
      <c r="CP263" s="302"/>
      <c r="CQ263" s="302"/>
      <c r="CR263" s="302"/>
      <c r="CS263" s="302"/>
      <c r="CT263" s="302"/>
      <c r="CU263" s="302"/>
      <c r="CV263" s="302"/>
      <c r="CW263" s="302"/>
      <c r="CX263" s="302"/>
      <c r="CY263" s="302"/>
      <c r="CZ263" s="302"/>
      <c r="DA263" s="302"/>
      <c r="DB263" s="302"/>
      <c r="DC263" s="302"/>
      <c r="DD263" s="302"/>
      <c r="DE263" s="302"/>
      <c r="DF263" s="302"/>
      <c r="DG263" s="302"/>
      <c r="DH263" s="302"/>
      <c r="DI263" s="302"/>
      <c r="DJ263" s="302"/>
      <c r="DK263" s="302"/>
      <c r="DL263" s="302"/>
      <c r="DM263" s="302"/>
      <c r="DN263" s="302"/>
      <c r="DO263" s="302"/>
      <c r="DP263" s="302"/>
      <c r="DQ263" s="302"/>
      <c r="DR263" s="302"/>
      <c r="DS263" s="302"/>
      <c r="DT263" s="302"/>
      <c r="DU263" s="302"/>
      <c r="DV263" s="302"/>
      <c r="DW263" s="302"/>
      <c r="DX263" s="302"/>
      <c r="DY263" s="302"/>
      <c r="DZ263" s="302"/>
      <c r="EA263" s="302"/>
      <c r="EB263" s="302"/>
      <c r="EC263" s="302"/>
      <c r="ED263" s="302"/>
      <c r="EE263" s="302"/>
      <c r="EF263" s="302"/>
      <c r="EG263" s="302"/>
      <c r="EH263" s="302"/>
      <c r="EI263" s="302"/>
      <c r="EJ263" s="302"/>
      <c r="EK263" s="302"/>
      <c r="EL263" s="302"/>
      <c r="EM263" s="302"/>
      <c r="EN263" s="302"/>
      <c r="EO263" s="302"/>
      <c r="EP263" s="302"/>
      <c r="EQ263" s="302"/>
      <c r="ER263" s="302"/>
      <c r="ES263" s="302"/>
      <c r="ET263" s="302"/>
      <c r="EU263" s="302"/>
      <c r="EV263" s="302"/>
      <c r="EW263" s="302"/>
      <c r="EX263" s="302"/>
      <c r="EY263" s="302"/>
      <c r="EZ263" s="302"/>
      <c r="FA263" s="302"/>
      <c r="FB263" s="302"/>
      <c r="FC263" s="302"/>
      <c r="FD263" s="302"/>
      <c r="FE263" s="302"/>
      <c r="FF263" s="302"/>
      <c r="FG263" s="302"/>
      <c r="FH263" s="302"/>
      <c r="FI263" s="302"/>
      <c r="FJ263" s="302"/>
      <c r="FK263" s="302"/>
      <c r="FL263" s="302"/>
      <c r="FM263" s="302"/>
      <c r="FN263" s="302"/>
      <c r="FO263" s="302"/>
      <c r="FP263" s="302"/>
      <c r="FQ263" s="302"/>
      <c r="FR263" s="302"/>
      <c r="FS263" s="302"/>
      <c r="FT263" s="302"/>
      <c r="FU263" s="302"/>
      <c r="FV263" s="302"/>
      <c r="FW263" s="302"/>
      <c r="FX263" s="302"/>
      <c r="FY263" s="302"/>
      <c r="FZ263" s="302"/>
      <c r="GA263" s="302"/>
      <c r="GB263" s="302"/>
      <c r="GC263" s="302"/>
      <c r="GD263" s="302"/>
      <c r="GE263" s="302"/>
      <c r="GF263" s="302"/>
      <c r="GG263" s="302"/>
      <c r="GH263" s="302"/>
      <c r="GI263" s="302"/>
      <c r="GJ263" s="302"/>
      <c r="GK263" s="302"/>
      <c r="GL263" s="302"/>
      <c r="GM263" s="302"/>
      <c r="GN263" s="302"/>
      <c r="GO263" s="302"/>
      <c r="GP263" s="302"/>
      <c r="GQ263" s="302"/>
      <c r="GR263" s="302"/>
      <c r="GS263" s="302"/>
      <c r="GT263" s="302"/>
      <c r="GU263" s="302"/>
      <c r="GV263" s="302"/>
      <c r="GW263" s="302"/>
      <c r="GX263" s="302"/>
      <c r="GY263" s="302"/>
      <c r="GZ263" s="302"/>
      <c r="HA263" s="302"/>
      <c r="HB263" s="302"/>
      <c r="HC263" s="302"/>
      <c r="HD263" s="302"/>
      <c r="HE263" s="302"/>
      <c r="HF263" s="302"/>
      <c r="HG263" s="302"/>
      <c r="HH263" s="302"/>
      <c r="HI263" s="302"/>
      <c r="HJ263" s="302"/>
      <c r="HK263" s="302"/>
      <c r="HL263" s="302"/>
      <c r="HM263" s="302"/>
      <c r="HN263" s="302"/>
      <c r="HO263" s="302"/>
      <c r="HP263" s="302"/>
      <c r="HQ263" s="302"/>
      <c r="HR263" s="302"/>
      <c r="HS263" s="302"/>
      <c r="HT263" s="302"/>
      <c r="HU263" s="302"/>
      <c r="HV263" s="302"/>
      <c r="HW263" s="302"/>
      <c r="HX263" s="302"/>
      <c r="HY263" s="302"/>
      <c r="HZ263" s="302"/>
      <c r="IA263" s="302"/>
      <c r="IB263" s="302"/>
      <c r="IC263" s="302"/>
      <c r="ID263" s="302"/>
      <c r="IE263" s="302"/>
      <c r="IF263" s="302"/>
      <c r="IG263" s="302"/>
      <c r="IH263" s="302"/>
      <c r="II263" s="302"/>
      <c r="IJ263" s="302"/>
      <c r="IK263" s="302"/>
      <c r="IL263" s="302"/>
      <c r="IM263" s="302"/>
      <c r="IN263" s="302"/>
      <c r="IO263" s="302"/>
      <c r="IP263" s="302"/>
      <c r="IQ263" s="302"/>
      <c r="IR263" s="302"/>
      <c r="IS263" s="302"/>
      <c r="IT263" s="302"/>
      <c r="IU263" s="302"/>
      <c r="IV263" s="302"/>
      <c r="IW263" s="302"/>
      <c r="IX263" s="302"/>
      <c r="IY263" s="302"/>
      <c r="IZ263" s="302"/>
      <c r="JA263" s="302"/>
      <c r="JB263" s="302"/>
      <c r="JC263" s="302"/>
      <c r="JD263" s="302"/>
      <c r="JE263" s="302"/>
      <c r="JF263" s="302"/>
      <c r="JG263" s="302"/>
      <c r="JH263" s="302"/>
      <c r="JI263" s="302"/>
      <c r="JJ263" s="302"/>
      <c r="JK263" s="302"/>
      <c r="JL263" s="302"/>
      <c r="JM263" s="302"/>
      <c r="JN263" s="302"/>
      <c r="JO263" s="302"/>
      <c r="JP263" s="302"/>
      <c r="JQ263" s="302"/>
      <c r="JR263" s="302"/>
      <c r="JS263" s="302"/>
      <c r="JT263" s="302"/>
      <c r="JU263" s="302"/>
      <c r="JV263" s="302"/>
      <c r="JW263" s="302"/>
      <c r="JX263" s="302"/>
      <c r="JY263" s="302"/>
      <c r="JZ263" s="302"/>
      <c r="KA263" s="302"/>
      <c r="KB263" s="302"/>
      <c r="KC263" s="302"/>
      <c r="KD263" s="302"/>
      <c r="KE263" s="302"/>
      <c r="KF263" s="302"/>
      <c r="KG263" s="302"/>
      <c r="KH263" s="302"/>
      <c r="KI263" s="302"/>
      <c r="KJ263" s="302"/>
      <c r="KK263" s="302"/>
      <c r="KL263" s="302"/>
      <c r="KM263" s="302"/>
      <c r="KN263" s="302"/>
      <c r="KO263" s="302"/>
      <c r="KP263" s="302"/>
      <c r="KQ263" s="302"/>
      <c r="KR263" s="302"/>
      <c r="KS263" s="302"/>
      <c r="KT263" s="302"/>
      <c r="KU263" s="302"/>
      <c r="KV263" s="302"/>
      <c r="KW263" s="302"/>
      <c r="KX263" s="302"/>
      <c r="KY263" s="302"/>
      <c r="KZ263" s="302"/>
      <c r="LA263" s="302"/>
      <c r="LB263" s="302"/>
      <c r="LC263" s="302"/>
      <c r="LD263" s="302"/>
      <c r="LE263" s="302"/>
      <c r="LF263" s="302"/>
      <c r="LG263" s="302"/>
      <c r="LH263" s="302"/>
      <c r="LI263" s="302"/>
      <c r="LJ263" s="302"/>
      <c r="LK263" s="302"/>
      <c r="LL263" s="302"/>
      <c r="LM263" s="302"/>
      <c r="LN263" s="302"/>
      <c r="LO263" s="302"/>
      <c r="LP263" s="302"/>
      <c r="LQ263" s="302"/>
      <c r="LR263" s="302"/>
      <c r="LS263" s="302"/>
      <c r="LT263" s="302"/>
      <c r="LU263" s="302"/>
      <c r="LV263" s="302"/>
      <c r="LW263" s="302"/>
      <c r="LX263" s="302"/>
      <c r="LY263" s="302"/>
      <c r="LZ263" s="302"/>
      <c r="MA263" s="302"/>
      <c r="MB263" s="302"/>
      <c r="MC263" s="302"/>
      <c r="MD263" s="302"/>
      <c r="ME263" s="302"/>
      <c r="MF263" s="302"/>
      <c r="MG263" s="302"/>
      <c r="MH263" s="302"/>
      <c r="MI263" s="302"/>
      <c r="MJ263" s="302"/>
      <c r="MK263" s="302"/>
      <c r="ML263" s="302"/>
      <c r="MM263" s="302"/>
      <c r="MN263" s="302"/>
      <c r="MO263" s="302"/>
      <c r="MP263" s="302"/>
      <c r="MQ263" s="302"/>
      <c r="MR263" s="302"/>
      <c r="MS263" s="302"/>
      <c r="MT263" s="302"/>
      <c r="MU263" s="302"/>
      <c r="MV263" s="302"/>
      <c r="MW263" s="302"/>
      <c r="MX263" s="302"/>
      <c r="MY263" s="302"/>
      <c r="MZ263" s="302"/>
      <c r="NA263" s="302"/>
      <c r="NB263" s="302"/>
      <c r="NC263" s="302"/>
      <c r="ND263" s="302"/>
      <c r="NE263" s="302"/>
      <c r="NF263" s="302"/>
      <c r="NG263" s="302"/>
      <c r="NH263" s="302"/>
      <c r="NI263" s="302"/>
      <c r="NJ263" s="302"/>
      <c r="NK263" s="302"/>
      <c r="NL263" s="302"/>
      <c r="NM263" s="302"/>
      <c r="NN263" s="302"/>
      <c r="NO263" s="302"/>
      <c r="NP263" s="302"/>
      <c r="NQ263" s="302"/>
      <c r="NR263" s="302"/>
      <c r="NS263" s="302"/>
      <c r="NT263" s="302"/>
      <c r="NU263" s="302"/>
      <c r="NV263" s="302"/>
      <c r="NW263" s="302"/>
      <c r="NX263" s="302"/>
      <c r="NY263" s="302"/>
      <c r="NZ263" s="302"/>
      <c r="OA263" s="302"/>
      <c r="OB263" s="302"/>
      <c r="OC263" s="302"/>
      <c r="OD263" s="302"/>
      <c r="OE263" s="302"/>
      <c r="OF263" s="302"/>
      <c r="OG263" s="302"/>
      <c r="OH263" s="302"/>
      <c r="OI263" s="302"/>
      <c r="OJ263" s="302"/>
      <c r="OK263" s="302"/>
      <c r="OL263" s="302"/>
      <c r="OM263" s="302"/>
      <c r="ON263" s="302"/>
      <c r="OO263" s="302"/>
      <c r="OP263" s="302"/>
      <c r="OQ263" s="302"/>
      <c r="OR263" s="302"/>
      <c r="OS263" s="302"/>
      <c r="OT263" s="302"/>
      <c r="OU263" s="302"/>
      <c r="OV263" s="302"/>
      <c r="OW263" s="302"/>
      <c r="OX263" s="302"/>
      <c r="OY263" s="302"/>
      <c r="OZ263" s="302"/>
      <c r="PA263" s="302"/>
      <c r="PB263" s="302"/>
      <c r="PC263" s="302"/>
      <c r="PD263" s="302"/>
      <c r="PE263" s="302"/>
      <c r="PF263" s="302"/>
      <c r="PG263" s="302"/>
      <c r="PH263" s="302"/>
      <c r="PI263" s="302"/>
      <c r="PJ263" s="302"/>
      <c r="PK263" s="302"/>
      <c r="PL263" s="302"/>
      <c r="PM263" s="302"/>
      <c r="PN263" s="302"/>
      <c r="PO263" s="302"/>
      <c r="PP263" s="302"/>
      <c r="PQ263" s="302"/>
      <c r="PR263" s="302"/>
      <c r="PS263" s="302"/>
      <c r="PT263" s="302"/>
      <c r="PU263" s="302"/>
      <c r="PV263" s="302"/>
      <c r="PW263" s="302"/>
      <c r="PX263" s="302"/>
      <c r="PY263" s="302"/>
      <c r="PZ263" s="302"/>
      <c r="QA263" s="302"/>
      <c r="QB263" s="302"/>
      <c r="QC263" s="302"/>
      <c r="QD263" s="302"/>
      <c r="QE263" s="302"/>
      <c r="QF263" s="302"/>
      <c r="QG263" s="302"/>
      <c r="QH263" s="302"/>
      <c r="QI263" s="302"/>
      <c r="QJ263" s="302"/>
      <c r="QK263" s="302"/>
      <c r="QL263" s="302"/>
      <c r="QM263" s="302"/>
      <c r="QN263" s="302"/>
      <c r="QO263" s="302"/>
      <c r="QP263" s="302"/>
      <c r="QQ263" s="302"/>
      <c r="QR263" s="302"/>
      <c r="QS263" s="302"/>
      <c r="QT263" s="302"/>
      <c r="QU263" s="302"/>
      <c r="QV263" s="302"/>
      <c r="QW263" s="302"/>
      <c r="QX263" s="302"/>
      <c r="QY263" s="302"/>
      <c r="QZ263" s="302"/>
      <c r="RA263" s="302"/>
      <c r="RB263" s="302"/>
      <c r="RC263" s="302"/>
      <c r="RD263" s="302"/>
      <c r="RE263" s="302"/>
      <c r="RF263" s="302"/>
      <c r="RG263" s="302"/>
      <c r="RH263" s="302"/>
      <c r="RI263" s="302"/>
      <c r="RJ263" s="302"/>
      <c r="RK263" s="302"/>
      <c r="RL263" s="302"/>
      <c r="RM263" s="302"/>
      <c r="RN263" s="302"/>
      <c r="RO263" s="302"/>
      <c r="RP263" s="302"/>
      <c r="RQ263" s="302"/>
      <c r="RR263" s="302"/>
      <c r="RS263" s="302"/>
      <c r="RT263" s="302"/>
      <c r="RU263" s="302"/>
      <c r="RV263" s="302"/>
      <c r="RW263" s="302"/>
      <c r="RX263" s="302"/>
      <c r="RY263" s="302"/>
      <c r="RZ263" s="302"/>
      <c r="SA263" s="302"/>
      <c r="SB263" s="302"/>
      <c r="SC263" s="302"/>
      <c r="SD263" s="302"/>
      <c r="SE263" s="302"/>
      <c r="SF263" s="302"/>
      <c r="SG263" s="302"/>
      <c r="SH263" s="302"/>
      <c r="SI263" s="302"/>
      <c r="SJ263" s="302"/>
      <c r="SK263" s="302"/>
      <c r="SL263" s="302"/>
      <c r="SM263" s="302"/>
      <c r="SN263" s="302"/>
      <c r="SO263" s="302"/>
      <c r="SP263" s="302"/>
      <c r="SQ263" s="302"/>
      <c r="SR263" s="302"/>
      <c r="SS263" s="302"/>
      <c r="ST263" s="302"/>
      <c r="SU263" s="302"/>
      <c r="SV263" s="302"/>
      <c r="SW263" s="302"/>
      <c r="SX263" s="302"/>
      <c r="SY263" s="302"/>
      <c r="SZ263" s="302"/>
      <c r="TA263" s="302"/>
      <c r="TB263" s="302"/>
      <c r="TC263" s="302"/>
      <c r="TD263" s="302"/>
      <c r="TE263" s="302"/>
      <c r="TF263" s="302"/>
      <c r="TG263" s="302"/>
      <c r="TH263" s="302"/>
      <c r="TI263" s="302"/>
      <c r="TJ263" s="302"/>
      <c r="TK263" s="302"/>
      <c r="TL263" s="302"/>
      <c r="TM263" s="302"/>
      <c r="TN263" s="302"/>
      <c r="TO263" s="302"/>
      <c r="TP263" s="302"/>
      <c r="TQ263" s="302"/>
      <c r="TR263" s="302"/>
      <c r="TS263" s="302"/>
      <c r="TT263" s="302"/>
      <c r="TU263" s="302"/>
      <c r="TV263" s="302"/>
      <c r="TW263" s="302"/>
      <c r="TX263" s="302"/>
      <c r="TY263" s="302"/>
      <c r="TZ263" s="302"/>
      <c r="UA263" s="302"/>
      <c r="UB263" s="302"/>
      <c r="UC263" s="302"/>
      <c r="UD263" s="302"/>
      <c r="UE263" s="302"/>
      <c r="UF263" s="302"/>
      <c r="UG263" s="302"/>
      <c r="UH263" s="302"/>
      <c r="UI263" s="302"/>
      <c r="UJ263" s="302"/>
      <c r="UK263" s="302"/>
      <c r="UL263" s="302"/>
      <c r="UM263" s="302"/>
      <c r="UN263" s="302"/>
      <c r="UO263" s="302"/>
      <c r="UP263" s="302"/>
      <c r="UQ263" s="302"/>
      <c r="UR263" s="302"/>
      <c r="US263" s="302"/>
      <c r="UT263" s="302"/>
      <c r="UU263" s="302"/>
      <c r="UV263" s="302"/>
      <c r="UW263" s="302"/>
      <c r="UX263" s="302"/>
      <c r="UY263" s="302"/>
      <c r="UZ263" s="302"/>
      <c r="VA263" s="302"/>
      <c r="VB263" s="302"/>
      <c r="VC263" s="302"/>
      <c r="VD263" s="302"/>
      <c r="VE263" s="302"/>
      <c r="VF263" s="302"/>
      <c r="VG263" s="302"/>
      <c r="VH263" s="302"/>
      <c r="VI263" s="302"/>
      <c r="VJ263" s="302"/>
      <c r="VK263" s="302"/>
      <c r="VL263" s="302"/>
      <c r="VM263" s="302"/>
      <c r="VN263" s="302"/>
      <c r="VO263" s="302"/>
      <c r="VP263" s="302"/>
      <c r="VQ263" s="302"/>
      <c r="VR263" s="302"/>
      <c r="VS263" s="302"/>
      <c r="VT263" s="302"/>
      <c r="VU263" s="302"/>
      <c r="VV263" s="302"/>
      <c r="VW263" s="302"/>
      <c r="VX263" s="302"/>
      <c r="VY263" s="302"/>
      <c r="VZ263" s="302"/>
      <c r="WA263" s="302"/>
      <c r="WB263" s="302"/>
      <c r="WC263" s="302"/>
      <c r="WD263" s="302"/>
      <c r="WE263" s="302"/>
      <c r="WF263" s="302"/>
      <c r="WG263" s="302"/>
      <c r="WH263" s="302"/>
      <c r="WI263" s="302"/>
      <c r="WJ263" s="302"/>
      <c r="WK263" s="302"/>
      <c r="WL263" s="302"/>
      <c r="WM263" s="302"/>
      <c r="WN263" s="302"/>
      <c r="WO263" s="302"/>
      <c r="WP263" s="302"/>
      <c r="WQ263" s="302"/>
      <c r="WR263" s="302"/>
      <c r="WS263" s="302"/>
      <c r="WT263" s="302"/>
      <c r="WU263" s="302"/>
      <c r="WV263" s="302"/>
      <c r="WW263" s="302"/>
      <c r="WX263" s="302"/>
      <c r="WY263" s="302"/>
      <c r="WZ263" s="302"/>
      <c r="XA263" s="302"/>
      <c r="XB263" s="302"/>
      <c r="XC263" s="302"/>
      <c r="XD263" s="302"/>
      <c r="XE263" s="302"/>
      <c r="XF263" s="302"/>
      <c r="XG263" s="302"/>
      <c r="XH263" s="302"/>
      <c r="XI263" s="302"/>
      <c r="XJ263" s="302"/>
      <c r="XK263" s="302"/>
      <c r="XL263" s="302"/>
      <c r="XM263" s="302"/>
      <c r="XN263" s="302"/>
      <c r="XO263" s="302"/>
      <c r="XP263" s="302"/>
      <c r="XQ263" s="302"/>
      <c r="XR263" s="302"/>
      <c r="XS263" s="302"/>
      <c r="XT263" s="302"/>
      <c r="XU263" s="302"/>
      <c r="XV263" s="302"/>
      <c r="XW263" s="302"/>
      <c r="XX263" s="302"/>
      <c r="XY263" s="302"/>
      <c r="XZ263" s="302"/>
      <c r="YA263" s="302"/>
      <c r="YB263" s="302"/>
      <c r="YC263" s="302"/>
      <c r="YD263" s="302"/>
      <c r="YE263" s="302"/>
      <c r="YF263" s="302"/>
      <c r="YG263" s="302"/>
      <c r="YH263" s="302"/>
      <c r="YI263" s="302"/>
      <c r="YJ263" s="302"/>
      <c r="YK263" s="302"/>
      <c r="YL263" s="302"/>
      <c r="YM263" s="302"/>
      <c r="YN263" s="302"/>
      <c r="YO263" s="302"/>
      <c r="YP263" s="302"/>
      <c r="YQ263" s="302"/>
      <c r="YR263" s="302"/>
      <c r="YS263" s="302"/>
      <c r="YT263" s="302"/>
      <c r="YU263" s="302"/>
      <c r="YV263" s="302"/>
      <c r="YW263" s="302"/>
      <c r="YX263" s="302"/>
      <c r="YY263" s="302"/>
      <c r="YZ263" s="302"/>
      <c r="ZA263" s="302"/>
      <c r="ZB263" s="302"/>
      <c r="ZC263" s="302"/>
      <c r="ZD263" s="302"/>
      <c r="ZE263" s="302"/>
      <c r="ZF263" s="302"/>
      <c r="ZG263" s="302"/>
      <c r="ZH263" s="302"/>
      <c r="ZI263" s="302"/>
      <c r="ZJ263" s="302"/>
      <c r="ZK263" s="302"/>
      <c r="ZL263" s="302"/>
      <c r="ZM263" s="302"/>
      <c r="ZN263" s="302"/>
      <c r="ZO263" s="302"/>
      <c r="ZP263" s="302"/>
      <c r="ZQ263" s="302"/>
      <c r="ZR263" s="302"/>
      <c r="ZS263" s="302"/>
      <c r="ZT263" s="302"/>
      <c r="ZU263" s="302"/>
      <c r="ZV263" s="302"/>
      <c r="ZW263" s="302"/>
      <c r="ZX263" s="302"/>
      <c r="ZY263" s="302"/>
      <c r="ZZ263" s="302"/>
      <c r="AAA263" s="302"/>
      <c r="AAB263" s="302"/>
      <c r="AAC263" s="302"/>
      <c r="AAD263" s="302"/>
      <c r="AAE263" s="302"/>
      <c r="AAF263" s="302"/>
      <c r="AAG263" s="302"/>
      <c r="AAH263" s="302"/>
      <c r="AAI263" s="302"/>
      <c r="AAJ263" s="302"/>
      <c r="AAK263" s="302"/>
      <c r="AAL263" s="302"/>
      <c r="AAM263" s="302"/>
      <c r="AAN263" s="302"/>
      <c r="AAO263" s="302"/>
      <c r="AAP263" s="302"/>
      <c r="AAQ263" s="302"/>
      <c r="AAR263" s="302"/>
      <c r="AAS263" s="302"/>
      <c r="AAT263" s="302"/>
      <c r="AAU263" s="302"/>
      <c r="AAV263" s="302"/>
      <c r="AAW263" s="302"/>
      <c r="AAX263" s="302"/>
      <c r="AAY263" s="302"/>
      <c r="AAZ263" s="302"/>
      <c r="ABA263" s="302"/>
      <c r="ABB263" s="302"/>
      <c r="ABC263" s="302"/>
      <c r="ABD263" s="302"/>
      <c r="ABE263" s="302"/>
      <c r="ABF263" s="302"/>
      <c r="ABG263" s="302"/>
      <c r="ABH263" s="302"/>
      <c r="ABI263" s="302"/>
      <c r="ABJ263" s="302"/>
      <c r="ABK263" s="302"/>
      <c r="ABL263" s="302"/>
      <c r="ABM263" s="302"/>
      <c r="ABN263" s="302"/>
      <c r="ABO263" s="302"/>
      <c r="ABP263" s="302"/>
      <c r="ABQ263" s="302"/>
      <c r="ABR263" s="302"/>
      <c r="ABS263" s="302"/>
      <c r="ABT263" s="302"/>
      <c r="ABU263" s="302"/>
      <c r="ABV263" s="302"/>
      <c r="ABW263" s="302"/>
      <c r="ABX263" s="302"/>
      <c r="ABY263" s="302"/>
      <c r="ABZ263" s="302"/>
      <c r="ACA263" s="302"/>
      <c r="ACB263" s="302"/>
      <c r="ACC263" s="302"/>
      <c r="ACD263" s="302"/>
      <c r="ACE263" s="302"/>
      <c r="ACF263" s="302"/>
      <c r="ACG263" s="302"/>
      <c r="ACH263" s="302"/>
      <c r="ACI263" s="302"/>
      <c r="ACJ263" s="302"/>
      <c r="ACK263" s="302"/>
      <c r="ACL263" s="302"/>
      <c r="ACM263" s="302"/>
      <c r="ACN263" s="302"/>
      <c r="ACO263" s="302"/>
      <c r="ACP263" s="302"/>
      <c r="ACQ263" s="302"/>
      <c r="ACR263" s="302"/>
      <c r="ACS263" s="302"/>
      <c r="ACT263" s="302"/>
      <c r="ACU263" s="302"/>
      <c r="ACV263" s="302"/>
      <c r="ACW263" s="302"/>
      <c r="ACX263" s="302"/>
      <c r="ACY263" s="302"/>
      <c r="ACZ263" s="302"/>
      <c r="ADA263" s="302"/>
      <c r="ADB263" s="302"/>
      <c r="ADC263" s="302"/>
      <c r="ADD263" s="302"/>
      <c r="ADE263" s="302"/>
      <c r="ADF263" s="302"/>
      <c r="ADG263" s="302"/>
      <c r="ADH263" s="302"/>
      <c r="ADI263" s="302"/>
      <c r="ADJ263" s="302"/>
      <c r="ADK263" s="302"/>
      <c r="ADL263" s="302"/>
      <c r="ADM263" s="302"/>
      <c r="ADN263" s="302"/>
      <c r="ADO263" s="302"/>
      <c r="ADP263" s="302"/>
      <c r="ADQ263" s="302"/>
      <c r="ADR263" s="302"/>
      <c r="ADS263" s="302"/>
      <c r="ADT263" s="302"/>
      <c r="ADU263" s="302"/>
      <c r="ADV263" s="302"/>
      <c r="ADW263" s="302"/>
      <c r="ADX263" s="302"/>
      <c r="ADY263" s="302"/>
      <c r="ADZ263" s="302"/>
      <c r="AEA263" s="302"/>
      <c r="AEB263" s="302"/>
      <c r="AEC263" s="302"/>
      <c r="AED263" s="302"/>
      <c r="AEE263" s="302"/>
      <c r="AEF263" s="302"/>
      <c r="AEG263" s="302"/>
      <c r="AEH263" s="302"/>
      <c r="AEI263" s="302"/>
      <c r="AEJ263" s="302"/>
      <c r="AEK263" s="302"/>
      <c r="AEL263" s="302"/>
      <c r="AEM263" s="302"/>
      <c r="AEN263" s="302"/>
      <c r="AEO263" s="302"/>
      <c r="AEP263" s="302"/>
      <c r="AEQ263" s="302"/>
      <c r="AER263" s="302"/>
      <c r="AES263" s="302"/>
      <c r="AET263" s="302"/>
      <c r="AEU263" s="302"/>
      <c r="AEV263" s="302"/>
      <c r="AEW263" s="302"/>
      <c r="AEX263" s="302"/>
      <c r="AEY263" s="302"/>
      <c r="AEZ263" s="302"/>
      <c r="AFA263" s="302"/>
      <c r="AFB263" s="302"/>
      <c r="AFC263" s="302"/>
      <c r="AFD263" s="302"/>
      <c r="AFE263" s="302"/>
      <c r="AFF263" s="302"/>
      <c r="AFG263" s="302"/>
      <c r="AFH263" s="302"/>
      <c r="AFI263" s="302"/>
      <c r="AFJ263" s="302"/>
      <c r="AFK263" s="302"/>
      <c r="AFL263" s="302"/>
      <c r="AFM263" s="302"/>
      <c r="AFN263" s="302"/>
      <c r="AFO263" s="302"/>
      <c r="AFP263" s="302"/>
      <c r="AFQ263" s="302"/>
      <c r="AFR263" s="302"/>
      <c r="AFS263" s="302"/>
      <c r="AFT263" s="302"/>
      <c r="AFU263" s="302"/>
      <c r="AFV263" s="302"/>
      <c r="AFW263" s="302"/>
      <c r="AFX263" s="302"/>
      <c r="AFY263" s="302"/>
      <c r="AFZ263" s="302"/>
      <c r="AGA263" s="302"/>
      <c r="AGB263" s="302"/>
      <c r="AGC263" s="302"/>
      <c r="AGD263" s="302"/>
      <c r="AGE263" s="302"/>
      <c r="AGF263" s="302"/>
      <c r="AGG263" s="302"/>
      <c r="AGH263" s="302"/>
      <c r="AGI263" s="302"/>
      <c r="AGJ263" s="302"/>
      <c r="AGK263" s="302"/>
      <c r="AGL263" s="302"/>
      <c r="AGM263" s="302"/>
      <c r="AGN263" s="302"/>
      <c r="AGO263" s="302"/>
      <c r="AGP263" s="302"/>
      <c r="AGQ263" s="302"/>
      <c r="AGR263" s="302"/>
      <c r="AGS263" s="302"/>
      <c r="AGT263" s="302"/>
      <c r="AGU263" s="302"/>
      <c r="AGV263" s="302"/>
      <c r="AGW263" s="302"/>
      <c r="AGX263" s="302"/>
      <c r="AGY263" s="302"/>
      <c r="AGZ263" s="302"/>
      <c r="AHA263" s="302"/>
      <c r="AHB263" s="302"/>
      <c r="AHC263" s="302"/>
      <c r="AHD263" s="302"/>
      <c r="AHE263" s="302"/>
      <c r="AHF263" s="302"/>
      <c r="AHG263" s="302"/>
      <c r="AHH263" s="302"/>
      <c r="AHI263" s="302"/>
      <c r="AHJ263" s="302"/>
      <c r="AHK263" s="302"/>
      <c r="AHL263" s="302"/>
      <c r="AHM263" s="302"/>
      <c r="AHN263" s="302"/>
      <c r="AHO263" s="302"/>
      <c r="AHP263" s="302"/>
      <c r="AHQ263" s="302"/>
      <c r="AHR263" s="302"/>
      <c r="AHS263" s="302"/>
      <c r="AHT263" s="302"/>
      <c r="AHU263" s="302"/>
      <c r="AHV263" s="302"/>
      <c r="AHW263" s="302"/>
      <c r="AHX263" s="302"/>
      <c r="AHY263" s="302"/>
      <c r="AHZ263" s="302"/>
      <c r="AIA263" s="302"/>
      <c r="AIB263" s="302"/>
      <c r="AIC263" s="302"/>
      <c r="AID263" s="302"/>
      <c r="AIE263" s="302"/>
      <c r="AIF263" s="302"/>
      <c r="AIG263" s="302"/>
      <c r="AIH263" s="302"/>
      <c r="AII263" s="302"/>
      <c r="AIJ263" s="302"/>
      <c r="AIK263" s="302"/>
      <c r="AIL263" s="302"/>
      <c r="AIM263" s="302"/>
      <c r="AIN263" s="302"/>
      <c r="AIO263" s="302"/>
      <c r="AIP263" s="302"/>
      <c r="AIQ263" s="302"/>
      <c r="AIR263" s="302"/>
      <c r="AIS263" s="302"/>
      <c r="AIT263" s="302"/>
      <c r="AIU263" s="302"/>
      <c r="AIV263" s="302"/>
      <c r="AIW263" s="302"/>
      <c r="AIX263" s="302"/>
      <c r="AIY263" s="302"/>
      <c r="AIZ263" s="302"/>
      <c r="AJA263" s="302"/>
      <c r="AJB263" s="302"/>
      <c r="AJC263" s="302"/>
      <c r="AJD263" s="302"/>
      <c r="AJE263" s="302"/>
      <c r="AJF263" s="302"/>
      <c r="AJG263" s="302"/>
      <c r="AJH263" s="302"/>
      <c r="AJI263" s="302"/>
      <c r="AJJ263" s="302"/>
      <c r="AJK263" s="302"/>
      <c r="AJL263" s="302"/>
      <c r="AJM263" s="302"/>
      <c r="AJN263" s="302"/>
      <c r="AJO263" s="302"/>
      <c r="AJP263" s="302"/>
      <c r="AJQ263" s="302"/>
      <c r="AJR263" s="302"/>
      <c r="AJS263" s="302"/>
      <c r="AJT263" s="302"/>
      <c r="AJU263" s="302"/>
      <c r="AJV263" s="302"/>
      <c r="AJW263" s="302"/>
      <c r="AJX263" s="302"/>
      <c r="AJY263" s="302"/>
      <c r="AJZ263" s="302"/>
      <c r="AKA263" s="302"/>
      <c r="AKB263" s="302"/>
      <c r="AKC263" s="302"/>
      <c r="AKD263" s="302"/>
      <c r="AKE263" s="302"/>
      <c r="AKF263" s="302"/>
      <c r="AKG263" s="302"/>
      <c r="AKH263" s="302"/>
      <c r="AKI263" s="302"/>
      <c r="AKJ263" s="302"/>
      <c r="AKK263" s="302"/>
      <c r="AKL263" s="302"/>
      <c r="AKM263" s="302"/>
      <c r="AKN263" s="302"/>
      <c r="AKO263" s="302"/>
      <c r="AKP263" s="302"/>
      <c r="AKQ263" s="302"/>
      <c r="AKR263" s="302"/>
      <c r="AKS263" s="302"/>
      <c r="AKT263" s="302"/>
      <c r="AKU263" s="302"/>
      <c r="AKV263" s="302"/>
      <c r="AKW263" s="302"/>
      <c r="AKX263" s="302"/>
      <c r="AKY263" s="302"/>
      <c r="AKZ263" s="302"/>
      <c r="ALA263" s="302"/>
      <c r="ALB263" s="302"/>
      <c r="ALC263" s="302"/>
      <c r="ALD263" s="302"/>
      <c r="ALE263" s="302"/>
      <c r="ALF263" s="302"/>
      <c r="ALG263" s="302"/>
      <c r="ALH263" s="302"/>
      <c r="ALI263" s="302"/>
      <c r="ALJ263" s="302"/>
      <c r="ALK263" s="302"/>
      <c r="ALL263" s="302"/>
      <c r="ALM263" s="302"/>
      <c r="ALN263" s="302"/>
      <c r="ALO263" s="302"/>
      <c r="ALP263" s="302"/>
      <c r="ALQ263" s="302"/>
      <c r="ALR263" s="302"/>
      <c r="ALS263" s="302"/>
      <c r="ALT263" s="302"/>
      <c r="ALU263" s="302"/>
      <c r="ALV263" s="302"/>
      <c r="ALW263" s="302"/>
      <c r="ALX263" s="302"/>
      <c r="ALY263" s="302"/>
      <c r="ALZ263" s="302"/>
      <c r="AMA263" s="302"/>
      <c r="AMB263" s="302"/>
      <c r="AMC263" s="302"/>
      <c r="AMD263" s="302"/>
      <c r="AME263" s="302"/>
      <c r="AMF263" s="302"/>
      <c r="AMG263" s="302"/>
      <c r="AMH263" s="302"/>
      <c r="AMI263" s="302"/>
    </row>
    <row r="264" spans="1:1023" ht="18" hidden="1">
      <c r="A264" s="302"/>
      <c r="B264" s="308" t="s">
        <v>4</v>
      </c>
      <c r="C264" s="308" t="s">
        <v>373</v>
      </c>
      <c r="D264" s="308" t="s">
        <v>6</v>
      </c>
      <c r="E264" s="308" t="s">
        <v>29</v>
      </c>
      <c r="F264" s="309" t="s">
        <v>8</v>
      </c>
      <c r="G264" s="308" t="s">
        <v>124</v>
      </c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2"/>
      <c r="AE264" s="302"/>
      <c r="AF264" s="302"/>
      <c r="AG264" s="302"/>
      <c r="AH264" s="302"/>
      <c r="AI264" s="302"/>
      <c r="AJ264" s="302"/>
      <c r="AK264" s="302"/>
      <c r="AL264" s="302"/>
      <c r="AM264" s="302"/>
      <c r="AN264" s="302"/>
      <c r="AO264" s="302"/>
      <c r="AP264" s="302"/>
      <c r="AQ264" s="302"/>
      <c r="AR264" s="302"/>
      <c r="AS264" s="302"/>
      <c r="AT264" s="302"/>
      <c r="AU264" s="302"/>
      <c r="AV264" s="302"/>
      <c r="AW264" s="302"/>
      <c r="AX264" s="302"/>
      <c r="AY264" s="302"/>
      <c r="AZ264" s="302"/>
      <c r="BA264" s="302"/>
      <c r="BB264" s="302"/>
      <c r="BC264" s="302"/>
      <c r="BD264" s="302"/>
      <c r="BE264" s="302"/>
      <c r="BF264" s="302"/>
      <c r="BG264" s="302"/>
      <c r="BH264" s="302"/>
      <c r="BI264" s="302"/>
      <c r="BJ264" s="302"/>
      <c r="BK264" s="302"/>
      <c r="BL264" s="302"/>
      <c r="BM264" s="302"/>
      <c r="BN264" s="302"/>
      <c r="BO264" s="302"/>
      <c r="BP264" s="302"/>
      <c r="BQ264" s="302"/>
      <c r="BR264" s="302"/>
      <c r="BS264" s="302"/>
      <c r="BT264" s="302"/>
      <c r="BU264" s="302"/>
      <c r="BV264" s="302"/>
      <c r="BW264" s="302"/>
      <c r="BX264" s="302"/>
      <c r="BY264" s="302"/>
      <c r="BZ264" s="302"/>
      <c r="CA264" s="302"/>
      <c r="CB264" s="302"/>
      <c r="CC264" s="302"/>
      <c r="CD264" s="302"/>
      <c r="CE264" s="302"/>
      <c r="CF264" s="302"/>
      <c r="CG264" s="302"/>
      <c r="CH264" s="302"/>
      <c r="CI264" s="302"/>
      <c r="CJ264" s="302"/>
      <c r="CK264" s="302"/>
      <c r="CL264" s="302"/>
      <c r="CM264" s="302"/>
      <c r="CN264" s="302"/>
      <c r="CO264" s="302"/>
      <c r="CP264" s="302"/>
      <c r="CQ264" s="302"/>
      <c r="CR264" s="302"/>
      <c r="CS264" s="302"/>
      <c r="CT264" s="302"/>
      <c r="CU264" s="302"/>
      <c r="CV264" s="302"/>
      <c r="CW264" s="302"/>
      <c r="CX264" s="302"/>
      <c r="CY264" s="302"/>
      <c r="CZ264" s="302"/>
      <c r="DA264" s="302"/>
      <c r="DB264" s="302"/>
      <c r="DC264" s="302"/>
      <c r="DD264" s="302"/>
      <c r="DE264" s="302"/>
      <c r="DF264" s="302"/>
      <c r="DG264" s="302"/>
      <c r="DH264" s="302"/>
      <c r="DI264" s="302"/>
      <c r="DJ264" s="302"/>
      <c r="DK264" s="302"/>
      <c r="DL264" s="302"/>
      <c r="DM264" s="302"/>
      <c r="DN264" s="302"/>
      <c r="DO264" s="302"/>
      <c r="DP264" s="302"/>
      <c r="DQ264" s="302"/>
      <c r="DR264" s="302"/>
      <c r="DS264" s="302"/>
      <c r="DT264" s="302"/>
      <c r="DU264" s="302"/>
      <c r="DV264" s="302"/>
      <c r="DW264" s="302"/>
      <c r="DX264" s="302"/>
      <c r="DY264" s="302"/>
      <c r="DZ264" s="302"/>
      <c r="EA264" s="302"/>
      <c r="EB264" s="302"/>
      <c r="EC264" s="302"/>
      <c r="ED264" s="302"/>
      <c r="EE264" s="302"/>
      <c r="EF264" s="302"/>
      <c r="EG264" s="302"/>
      <c r="EH264" s="302"/>
      <c r="EI264" s="302"/>
      <c r="EJ264" s="302"/>
      <c r="EK264" s="302"/>
      <c r="EL264" s="302"/>
      <c r="EM264" s="302"/>
      <c r="EN264" s="302"/>
      <c r="EO264" s="302"/>
      <c r="EP264" s="302"/>
      <c r="EQ264" s="302"/>
      <c r="ER264" s="302"/>
      <c r="ES264" s="302"/>
      <c r="ET264" s="302"/>
      <c r="EU264" s="302"/>
      <c r="EV264" s="302"/>
      <c r="EW264" s="302"/>
      <c r="EX264" s="302"/>
      <c r="EY264" s="302"/>
      <c r="EZ264" s="302"/>
      <c r="FA264" s="302"/>
      <c r="FB264" s="302"/>
      <c r="FC264" s="302"/>
      <c r="FD264" s="302"/>
      <c r="FE264" s="302"/>
      <c r="FF264" s="302"/>
      <c r="FG264" s="302"/>
      <c r="FH264" s="302"/>
      <c r="FI264" s="302"/>
      <c r="FJ264" s="302"/>
      <c r="FK264" s="302"/>
      <c r="FL264" s="302"/>
      <c r="FM264" s="302"/>
      <c r="FN264" s="302"/>
      <c r="FO264" s="302"/>
      <c r="FP264" s="302"/>
      <c r="FQ264" s="302"/>
      <c r="FR264" s="302"/>
      <c r="FS264" s="302"/>
      <c r="FT264" s="302"/>
      <c r="FU264" s="302"/>
      <c r="FV264" s="302"/>
      <c r="FW264" s="302"/>
      <c r="FX264" s="302"/>
      <c r="FY264" s="302"/>
      <c r="FZ264" s="302"/>
      <c r="GA264" s="302"/>
      <c r="GB264" s="302"/>
      <c r="GC264" s="302"/>
      <c r="GD264" s="302"/>
      <c r="GE264" s="302"/>
      <c r="GF264" s="302"/>
      <c r="GG264" s="302"/>
      <c r="GH264" s="302"/>
      <c r="GI264" s="302"/>
      <c r="GJ264" s="302"/>
      <c r="GK264" s="302"/>
      <c r="GL264" s="302"/>
      <c r="GM264" s="302"/>
      <c r="GN264" s="302"/>
      <c r="GO264" s="302"/>
      <c r="GP264" s="302"/>
      <c r="GQ264" s="302"/>
      <c r="GR264" s="302"/>
      <c r="GS264" s="302"/>
      <c r="GT264" s="302"/>
      <c r="GU264" s="302"/>
      <c r="GV264" s="302"/>
      <c r="GW264" s="302"/>
      <c r="GX264" s="302"/>
      <c r="GY264" s="302"/>
      <c r="GZ264" s="302"/>
      <c r="HA264" s="302"/>
      <c r="HB264" s="302"/>
      <c r="HC264" s="302"/>
      <c r="HD264" s="302"/>
      <c r="HE264" s="302"/>
      <c r="HF264" s="302"/>
      <c r="HG264" s="302"/>
      <c r="HH264" s="302"/>
      <c r="HI264" s="302"/>
      <c r="HJ264" s="302"/>
      <c r="HK264" s="302"/>
      <c r="HL264" s="302"/>
      <c r="HM264" s="302"/>
      <c r="HN264" s="302"/>
      <c r="HO264" s="302"/>
      <c r="HP264" s="302"/>
      <c r="HQ264" s="302"/>
      <c r="HR264" s="302"/>
      <c r="HS264" s="302"/>
      <c r="HT264" s="302"/>
      <c r="HU264" s="302"/>
      <c r="HV264" s="302"/>
      <c r="HW264" s="302"/>
      <c r="HX264" s="302"/>
      <c r="HY264" s="302"/>
      <c r="HZ264" s="302"/>
      <c r="IA264" s="302"/>
      <c r="IB264" s="302"/>
      <c r="IC264" s="302"/>
      <c r="ID264" s="302"/>
      <c r="IE264" s="302"/>
      <c r="IF264" s="302"/>
      <c r="IG264" s="302"/>
      <c r="IH264" s="302"/>
      <c r="II264" s="302"/>
      <c r="IJ264" s="302"/>
      <c r="IK264" s="302"/>
      <c r="IL264" s="302"/>
      <c r="IM264" s="302"/>
      <c r="IN264" s="302"/>
      <c r="IO264" s="302"/>
      <c r="IP264" s="302"/>
      <c r="IQ264" s="302"/>
      <c r="IR264" s="302"/>
      <c r="IS264" s="302"/>
      <c r="IT264" s="302"/>
      <c r="IU264" s="302"/>
      <c r="IV264" s="302"/>
      <c r="IW264" s="302"/>
      <c r="IX264" s="302"/>
      <c r="IY264" s="302"/>
      <c r="IZ264" s="302"/>
      <c r="JA264" s="302"/>
      <c r="JB264" s="302"/>
      <c r="JC264" s="302"/>
      <c r="JD264" s="302"/>
      <c r="JE264" s="302"/>
      <c r="JF264" s="302"/>
      <c r="JG264" s="302"/>
      <c r="JH264" s="302"/>
      <c r="JI264" s="302"/>
      <c r="JJ264" s="302"/>
      <c r="JK264" s="302"/>
      <c r="JL264" s="302"/>
      <c r="JM264" s="302"/>
      <c r="JN264" s="302"/>
      <c r="JO264" s="302"/>
      <c r="JP264" s="302"/>
      <c r="JQ264" s="302"/>
      <c r="JR264" s="302"/>
      <c r="JS264" s="302"/>
      <c r="JT264" s="302"/>
      <c r="JU264" s="302"/>
      <c r="JV264" s="302"/>
      <c r="JW264" s="302"/>
      <c r="JX264" s="302"/>
      <c r="JY264" s="302"/>
      <c r="JZ264" s="302"/>
      <c r="KA264" s="302"/>
      <c r="KB264" s="302"/>
      <c r="KC264" s="302"/>
      <c r="KD264" s="302"/>
      <c r="KE264" s="302"/>
      <c r="KF264" s="302"/>
      <c r="KG264" s="302"/>
      <c r="KH264" s="302"/>
      <c r="KI264" s="302"/>
      <c r="KJ264" s="302"/>
      <c r="KK264" s="302"/>
      <c r="KL264" s="302"/>
      <c r="KM264" s="302"/>
      <c r="KN264" s="302"/>
      <c r="KO264" s="302"/>
      <c r="KP264" s="302"/>
      <c r="KQ264" s="302"/>
      <c r="KR264" s="302"/>
      <c r="KS264" s="302"/>
      <c r="KT264" s="302"/>
      <c r="KU264" s="302"/>
      <c r="KV264" s="302"/>
      <c r="KW264" s="302"/>
      <c r="KX264" s="302"/>
      <c r="KY264" s="302"/>
      <c r="KZ264" s="302"/>
      <c r="LA264" s="302"/>
      <c r="LB264" s="302"/>
      <c r="LC264" s="302"/>
      <c r="LD264" s="302"/>
      <c r="LE264" s="302"/>
      <c r="LF264" s="302"/>
      <c r="LG264" s="302"/>
      <c r="LH264" s="302"/>
      <c r="LI264" s="302"/>
      <c r="LJ264" s="302"/>
      <c r="LK264" s="302"/>
      <c r="LL264" s="302"/>
      <c r="LM264" s="302"/>
      <c r="LN264" s="302"/>
      <c r="LO264" s="302"/>
      <c r="LP264" s="302"/>
      <c r="LQ264" s="302"/>
      <c r="LR264" s="302"/>
      <c r="LS264" s="302"/>
      <c r="LT264" s="302"/>
      <c r="LU264" s="302"/>
      <c r="LV264" s="302"/>
      <c r="LW264" s="302"/>
      <c r="LX264" s="302"/>
      <c r="LY264" s="302"/>
      <c r="LZ264" s="302"/>
      <c r="MA264" s="302"/>
      <c r="MB264" s="302"/>
      <c r="MC264" s="302"/>
      <c r="MD264" s="302"/>
      <c r="ME264" s="302"/>
      <c r="MF264" s="302"/>
      <c r="MG264" s="302"/>
      <c r="MH264" s="302"/>
      <c r="MI264" s="302"/>
      <c r="MJ264" s="302"/>
      <c r="MK264" s="302"/>
      <c r="ML264" s="302"/>
      <c r="MM264" s="302"/>
      <c r="MN264" s="302"/>
      <c r="MO264" s="302"/>
      <c r="MP264" s="302"/>
      <c r="MQ264" s="302"/>
      <c r="MR264" s="302"/>
      <c r="MS264" s="302"/>
      <c r="MT264" s="302"/>
      <c r="MU264" s="302"/>
      <c r="MV264" s="302"/>
      <c r="MW264" s="302"/>
      <c r="MX264" s="302"/>
      <c r="MY264" s="302"/>
      <c r="MZ264" s="302"/>
      <c r="NA264" s="302"/>
      <c r="NB264" s="302"/>
      <c r="NC264" s="302"/>
      <c r="ND264" s="302"/>
      <c r="NE264" s="302"/>
      <c r="NF264" s="302"/>
      <c r="NG264" s="302"/>
      <c r="NH264" s="302"/>
      <c r="NI264" s="302"/>
      <c r="NJ264" s="302"/>
      <c r="NK264" s="302"/>
      <c r="NL264" s="302"/>
      <c r="NM264" s="302"/>
      <c r="NN264" s="302"/>
      <c r="NO264" s="302"/>
      <c r="NP264" s="302"/>
      <c r="NQ264" s="302"/>
      <c r="NR264" s="302"/>
      <c r="NS264" s="302"/>
      <c r="NT264" s="302"/>
      <c r="NU264" s="302"/>
      <c r="NV264" s="302"/>
      <c r="NW264" s="302"/>
      <c r="NX264" s="302"/>
      <c r="NY264" s="302"/>
      <c r="NZ264" s="302"/>
      <c r="OA264" s="302"/>
      <c r="OB264" s="302"/>
      <c r="OC264" s="302"/>
      <c r="OD264" s="302"/>
      <c r="OE264" s="302"/>
      <c r="OF264" s="302"/>
      <c r="OG264" s="302"/>
      <c r="OH264" s="302"/>
      <c r="OI264" s="302"/>
      <c r="OJ264" s="302"/>
      <c r="OK264" s="302"/>
      <c r="OL264" s="302"/>
      <c r="OM264" s="302"/>
      <c r="ON264" s="302"/>
      <c r="OO264" s="302"/>
      <c r="OP264" s="302"/>
      <c r="OQ264" s="302"/>
      <c r="OR264" s="302"/>
      <c r="OS264" s="302"/>
      <c r="OT264" s="302"/>
      <c r="OU264" s="302"/>
      <c r="OV264" s="302"/>
      <c r="OW264" s="302"/>
      <c r="OX264" s="302"/>
      <c r="OY264" s="302"/>
      <c r="OZ264" s="302"/>
      <c r="PA264" s="302"/>
      <c r="PB264" s="302"/>
      <c r="PC264" s="302"/>
      <c r="PD264" s="302"/>
      <c r="PE264" s="302"/>
      <c r="PF264" s="302"/>
      <c r="PG264" s="302"/>
      <c r="PH264" s="302"/>
      <c r="PI264" s="302"/>
      <c r="PJ264" s="302"/>
      <c r="PK264" s="302"/>
      <c r="PL264" s="302"/>
      <c r="PM264" s="302"/>
      <c r="PN264" s="302"/>
      <c r="PO264" s="302"/>
      <c r="PP264" s="302"/>
      <c r="PQ264" s="302"/>
      <c r="PR264" s="302"/>
      <c r="PS264" s="302"/>
      <c r="PT264" s="302"/>
      <c r="PU264" s="302"/>
      <c r="PV264" s="302"/>
      <c r="PW264" s="302"/>
      <c r="PX264" s="302"/>
      <c r="PY264" s="302"/>
      <c r="PZ264" s="302"/>
      <c r="QA264" s="302"/>
      <c r="QB264" s="302"/>
      <c r="QC264" s="302"/>
      <c r="QD264" s="302"/>
      <c r="QE264" s="302"/>
      <c r="QF264" s="302"/>
      <c r="QG264" s="302"/>
      <c r="QH264" s="302"/>
      <c r="QI264" s="302"/>
      <c r="QJ264" s="302"/>
      <c r="QK264" s="302"/>
      <c r="QL264" s="302"/>
      <c r="QM264" s="302"/>
      <c r="QN264" s="302"/>
      <c r="QO264" s="302"/>
      <c r="QP264" s="302"/>
      <c r="QQ264" s="302"/>
      <c r="QR264" s="302"/>
      <c r="QS264" s="302"/>
      <c r="QT264" s="302"/>
      <c r="QU264" s="302"/>
      <c r="QV264" s="302"/>
      <c r="QW264" s="302"/>
      <c r="QX264" s="302"/>
      <c r="QY264" s="302"/>
      <c r="QZ264" s="302"/>
      <c r="RA264" s="302"/>
      <c r="RB264" s="302"/>
      <c r="RC264" s="302"/>
      <c r="RD264" s="302"/>
      <c r="RE264" s="302"/>
      <c r="RF264" s="302"/>
      <c r="RG264" s="302"/>
      <c r="RH264" s="302"/>
      <c r="RI264" s="302"/>
      <c r="RJ264" s="302"/>
      <c r="RK264" s="302"/>
      <c r="RL264" s="302"/>
      <c r="RM264" s="302"/>
      <c r="RN264" s="302"/>
      <c r="RO264" s="302"/>
      <c r="RP264" s="302"/>
      <c r="RQ264" s="302"/>
      <c r="RR264" s="302"/>
      <c r="RS264" s="302"/>
      <c r="RT264" s="302"/>
      <c r="RU264" s="302"/>
      <c r="RV264" s="302"/>
      <c r="RW264" s="302"/>
      <c r="RX264" s="302"/>
      <c r="RY264" s="302"/>
      <c r="RZ264" s="302"/>
      <c r="SA264" s="302"/>
      <c r="SB264" s="302"/>
      <c r="SC264" s="302"/>
      <c r="SD264" s="302"/>
      <c r="SE264" s="302"/>
      <c r="SF264" s="302"/>
      <c r="SG264" s="302"/>
      <c r="SH264" s="302"/>
      <c r="SI264" s="302"/>
      <c r="SJ264" s="302"/>
      <c r="SK264" s="302"/>
      <c r="SL264" s="302"/>
      <c r="SM264" s="302"/>
      <c r="SN264" s="302"/>
      <c r="SO264" s="302"/>
      <c r="SP264" s="302"/>
      <c r="SQ264" s="302"/>
      <c r="SR264" s="302"/>
      <c r="SS264" s="302"/>
      <c r="ST264" s="302"/>
      <c r="SU264" s="302"/>
      <c r="SV264" s="302"/>
      <c r="SW264" s="302"/>
      <c r="SX264" s="302"/>
      <c r="SY264" s="302"/>
      <c r="SZ264" s="302"/>
      <c r="TA264" s="302"/>
      <c r="TB264" s="302"/>
      <c r="TC264" s="302"/>
      <c r="TD264" s="302"/>
      <c r="TE264" s="302"/>
      <c r="TF264" s="302"/>
      <c r="TG264" s="302"/>
      <c r="TH264" s="302"/>
      <c r="TI264" s="302"/>
      <c r="TJ264" s="302"/>
      <c r="TK264" s="302"/>
      <c r="TL264" s="302"/>
      <c r="TM264" s="302"/>
      <c r="TN264" s="302"/>
      <c r="TO264" s="302"/>
      <c r="TP264" s="302"/>
      <c r="TQ264" s="302"/>
      <c r="TR264" s="302"/>
      <c r="TS264" s="302"/>
      <c r="TT264" s="302"/>
      <c r="TU264" s="302"/>
      <c r="TV264" s="302"/>
      <c r="TW264" s="302"/>
      <c r="TX264" s="302"/>
      <c r="TY264" s="302"/>
      <c r="TZ264" s="302"/>
      <c r="UA264" s="302"/>
      <c r="UB264" s="302"/>
      <c r="UC264" s="302"/>
      <c r="UD264" s="302"/>
      <c r="UE264" s="302"/>
      <c r="UF264" s="302"/>
      <c r="UG264" s="302"/>
      <c r="UH264" s="302"/>
      <c r="UI264" s="302"/>
      <c r="UJ264" s="302"/>
      <c r="UK264" s="302"/>
      <c r="UL264" s="302"/>
      <c r="UM264" s="302"/>
      <c r="UN264" s="302"/>
      <c r="UO264" s="302"/>
      <c r="UP264" s="302"/>
      <c r="UQ264" s="302"/>
      <c r="UR264" s="302"/>
      <c r="US264" s="302"/>
      <c r="UT264" s="302"/>
      <c r="UU264" s="302"/>
      <c r="UV264" s="302"/>
      <c r="UW264" s="302"/>
      <c r="UX264" s="302"/>
      <c r="UY264" s="302"/>
      <c r="UZ264" s="302"/>
      <c r="VA264" s="302"/>
      <c r="VB264" s="302"/>
      <c r="VC264" s="302"/>
      <c r="VD264" s="302"/>
      <c r="VE264" s="302"/>
      <c r="VF264" s="302"/>
      <c r="VG264" s="302"/>
      <c r="VH264" s="302"/>
      <c r="VI264" s="302"/>
      <c r="VJ264" s="302"/>
      <c r="VK264" s="302"/>
      <c r="VL264" s="302"/>
      <c r="VM264" s="302"/>
      <c r="VN264" s="302"/>
      <c r="VO264" s="302"/>
      <c r="VP264" s="302"/>
      <c r="VQ264" s="302"/>
      <c r="VR264" s="302"/>
      <c r="VS264" s="302"/>
      <c r="VT264" s="302"/>
      <c r="VU264" s="302"/>
      <c r="VV264" s="302"/>
      <c r="VW264" s="302"/>
      <c r="VX264" s="302"/>
      <c r="VY264" s="302"/>
      <c r="VZ264" s="302"/>
      <c r="WA264" s="302"/>
      <c r="WB264" s="302"/>
      <c r="WC264" s="302"/>
      <c r="WD264" s="302"/>
      <c r="WE264" s="302"/>
      <c r="WF264" s="302"/>
      <c r="WG264" s="302"/>
      <c r="WH264" s="302"/>
      <c r="WI264" s="302"/>
      <c r="WJ264" s="302"/>
      <c r="WK264" s="302"/>
      <c r="WL264" s="302"/>
      <c r="WM264" s="302"/>
      <c r="WN264" s="302"/>
      <c r="WO264" s="302"/>
      <c r="WP264" s="302"/>
      <c r="WQ264" s="302"/>
      <c r="WR264" s="302"/>
      <c r="WS264" s="302"/>
      <c r="WT264" s="302"/>
      <c r="WU264" s="302"/>
      <c r="WV264" s="302"/>
      <c r="WW264" s="302"/>
      <c r="WX264" s="302"/>
      <c r="WY264" s="302"/>
      <c r="WZ264" s="302"/>
      <c r="XA264" s="302"/>
      <c r="XB264" s="302"/>
      <c r="XC264" s="302"/>
      <c r="XD264" s="302"/>
      <c r="XE264" s="302"/>
      <c r="XF264" s="302"/>
      <c r="XG264" s="302"/>
      <c r="XH264" s="302"/>
      <c r="XI264" s="302"/>
      <c r="XJ264" s="302"/>
      <c r="XK264" s="302"/>
      <c r="XL264" s="302"/>
      <c r="XM264" s="302"/>
      <c r="XN264" s="302"/>
      <c r="XO264" s="302"/>
      <c r="XP264" s="302"/>
      <c r="XQ264" s="302"/>
      <c r="XR264" s="302"/>
      <c r="XS264" s="302"/>
      <c r="XT264" s="302"/>
      <c r="XU264" s="302"/>
      <c r="XV264" s="302"/>
      <c r="XW264" s="302"/>
      <c r="XX264" s="302"/>
      <c r="XY264" s="302"/>
      <c r="XZ264" s="302"/>
      <c r="YA264" s="302"/>
      <c r="YB264" s="302"/>
      <c r="YC264" s="302"/>
      <c r="YD264" s="302"/>
      <c r="YE264" s="302"/>
      <c r="YF264" s="302"/>
      <c r="YG264" s="302"/>
      <c r="YH264" s="302"/>
      <c r="YI264" s="302"/>
      <c r="YJ264" s="302"/>
      <c r="YK264" s="302"/>
      <c r="YL264" s="302"/>
      <c r="YM264" s="302"/>
      <c r="YN264" s="302"/>
      <c r="YO264" s="302"/>
      <c r="YP264" s="302"/>
      <c r="YQ264" s="302"/>
      <c r="YR264" s="302"/>
      <c r="YS264" s="302"/>
      <c r="YT264" s="302"/>
      <c r="YU264" s="302"/>
      <c r="YV264" s="302"/>
      <c r="YW264" s="302"/>
      <c r="YX264" s="302"/>
      <c r="YY264" s="302"/>
      <c r="YZ264" s="302"/>
      <c r="ZA264" s="302"/>
      <c r="ZB264" s="302"/>
      <c r="ZC264" s="302"/>
      <c r="ZD264" s="302"/>
      <c r="ZE264" s="302"/>
      <c r="ZF264" s="302"/>
      <c r="ZG264" s="302"/>
      <c r="ZH264" s="302"/>
      <c r="ZI264" s="302"/>
      <c r="ZJ264" s="302"/>
      <c r="ZK264" s="302"/>
      <c r="ZL264" s="302"/>
      <c r="ZM264" s="302"/>
      <c r="ZN264" s="302"/>
      <c r="ZO264" s="302"/>
      <c r="ZP264" s="302"/>
      <c r="ZQ264" s="302"/>
      <c r="ZR264" s="302"/>
      <c r="ZS264" s="302"/>
      <c r="ZT264" s="302"/>
      <c r="ZU264" s="302"/>
      <c r="ZV264" s="302"/>
      <c r="ZW264" s="302"/>
      <c r="ZX264" s="302"/>
      <c r="ZY264" s="302"/>
      <c r="ZZ264" s="302"/>
      <c r="AAA264" s="302"/>
      <c r="AAB264" s="302"/>
      <c r="AAC264" s="302"/>
      <c r="AAD264" s="302"/>
      <c r="AAE264" s="302"/>
      <c r="AAF264" s="302"/>
      <c r="AAG264" s="302"/>
      <c r="AAH264" s="302"/>
      <c r="AAI264" s="302"/>
      <c r="AAJ264" s="302"/>
      <c r="AAK264" s="302"/>
      <c r="AAL264" s="302"/>
      <c r="AAM264" s="302"/>
      <c r="AAN264" s="302"/>
      <c r="AAO264" s="302"/>
      <c r="AAP264" s="302"/>
      <c r="AAQ264" s="302"/>
      <c r="AAR264" s="302"/>
      <c r="AAS264" s="302"/>
      <c r="AAT264" s="302"/>
      <c r="AAU264" s="302"/>
      <c r="AAV264" s="302"/>
      <c r="AAW264" s="302"/>
      <c r="AAX264" s="302"/>
      <c r="AAY264" s="302"/>
      <c r="AAZ264" s="302"/>
      <c r="ABA264" s="302"/>
      <c r="ABB264" s="302"/>
      <c r="ABC264" s="302"/>
      <c r="ABD264" s="302"/>
      <c r="ABE264" s="302"/>
      <c r="ABF264" s="302"/>
      <c r="ABG264" s="302"/>
      <c r="ABH264" s="302"/>
      <c r="ABI264" s="302"/>
      <c r="ABJ264" s="302"/>
      <c r="ABK264" s="302"/>
      <c r="ABL264" s="302"/>
      <c r="ABM264" s="302"/>
      <c r="ABN264" s="302"/>
      <c r="ABO264" s="302"/>
      <c r="ABP264" s="302"/>
      <c r="ABQ264" s="302"/>
      <c r="ABR264" s="302"/>
      <c r="ABS264" s="302"/>
      <c r="ABT264" s="302"/>
      <c r="ABU264" s="302"/>
      <c r="ABV264" s="302"/>
      <c r="ABW264" s="302"/>
      <c r="ABX264" s="302"/>
      <c r="ABY264" s="302"/>
      <c r="ABZ264" s="302"/>
      <c r="ACA264" s="302"/>
      <c r="ACB264" s="302"/>
      <c r="ACC264" s="302"/>
      <c r="ACD264" s="302"/>
      <c r="ACE264" s="302"/>
      <c r="ACF264" s="302"/>
      <c r="ACG264" s="302"/>
      <c r="ACH264" s="302"/>
      <c r="ACI264" s="302"/>
      <c r="ACJ264" s="302"/>
      <c r="ACK264" s="302"/>
      <c r="ACL264" s="302"/>
      <c r="ACM264" s="302"/>
      <c r="ACN264" s="302"/>
      <c r="ACO264" s="302"/>
      <c r="ACP264" s="302"/>
      <c r="ACQ264" s="302"/>
      <c r="ACR264" s="302"/>
      <c r="ACS264" s="302"/>
      <c r="ACT264" s="302"/>
      <c r="ACU264" s="302"/>
      <c r="ACV264" s="302"/>
      <c r="ACW264" s="302"/>
      <c r="ACX264" s="302"/>
      <c r="ACY264" s="302"/>
      <c r="ACZ264" s="302"/>
      <c r="ADA264" s="302"/>
      <c r="ADB264" s="302"/>
      <c r="ADC264" s="302"/>
      <c r="ADD264" s="302"/>
      <c r="ADE264" s="302"/>
      <c r="ADF264" s="302"/>
      <c r="ADG264" s="302"/>
      <c r="ADH264" s="302"/>
      <c r="ADI264" s="302"/>
      <c r="ADJ264" s="302"/>
      <c r="ADK264" s="302"/>
      <c r="ADL264" s="302"/>
      <c r="ADM264" s="302"/>
      <c r="ADN264" s="302"/>
      <c r="ADO264" s="302"/>
      <c r="ADP264" s="302"/>
      <c r="ADQ264" s="302"/>
      <c r="ADR264" s="302"/>
      <c r="ADS264" s="302"/>
      <c r="ADT264" s="302"/>
      <c r="ADU264" s="302"/>
      <c r="ADV264" s="302"/>
      <c r="ADW264" s="302"/>
      <c r="ADX264" s="302"/>
      <c r="ADY264" s="302"/>
      <c r="ADZ264" s="302"/>
      <c r="AEA264" s="302"/>
      <c r="AEB264" s="302"/>
      <c r="AEC264" s="302"/>
      <c r="AED264" s="302"/>
      <c r="AEE264" s="302"/>
      <c r="AEF264" s="302"/>
      <c r="AEG264" s="302"/>
      <c r="AEH264" s="302"/>
      <c r="AEI264" s="302"/>
      <c r="AEJ264" s="302"/>
      <c r="AEK264" s="302"/>
      <c r="AEL264" s="302"/>
      <c r="AEM264" s="302"/>
      <c r="AEN264" s="302"/>
      <c r="AEO264" s="302"/>
      <c r="AEP264" s="302"/>
      <c r="AEQ264" s="302"/>
      <c r="AER264" s="302"/>
      <c r="AES264" s="302"/>
      <c r="AET264" s="302"/>
      <c r="AEU264" s="302"/>
      <c r="AEV264" s="302"/>
      <c r="AEW264" s="302"/>
      <c r="AEX264" s="302"/>
      <c r="AEY264" s="302"/>
      <c r="AEZ264" s="302"/>
      <c r="AFA264" s="302"/>
      <c r="AFB264" s="302"/>
      <c r="AFC264" s="302"/>
      <c r="AFD264" s="302"/>
      <c r="AFE264" s="302"/>
      <c r="AFF264" s="302"/>
      <c r="AFG264" s="302"/>
      <c r="AFH264" s="302"/>
      <c r="AFI264" s="302"/>
      <c r="AFJ264" s="302"/>
      <c r="AFK264" s="302"/>
      <c r="AFL264" s="302"/>
      <c r="AFM264" s="302"/>
      <c r="AFN264" s="302"/>
      <c r="AFO264" s="302"/>
      <c r="AFP264" s="302"/>
      <c r="AFQ264" s="302"/>
      <c r="AFR264" s="302"/>
      <c r="AFS264" s="302"/>
      <c r="AFT264" s="302"/>
      <c r="AFU264" s="302"/>
      <c r="AFV264" s="302"/>
      <c r="AFW264" s="302"/>
      <c r="AFX264" s="302"/>
      <c r="AFY264" s="302"/>
      <c r="AFZ264" s="302"/>
      <c r="AGA264" s="302"/>
      <c r="AGB264" s="302"/>
      <c r="AGC264" s="302"/>
      <c r="AGD264" s="302"/>
      <c r="AGE264" s="302"/>
      <c r="AGF264" s="302"/>
      <c r="AGG264" s="302"/>
      <c r="AGH264" s="302"/>
      <c r="AGI264" s="302"/>
      <c r="AGJ264" s="302"/>
      <c r="AGK264" s="302"/>
      <c r="AGL264" s="302"/>
      <c r="AGM264" s="302"/>
      <c r="AGN264" s="302"/>
      <c r="AGO264" s="302"/>
      <c r="AGP264" s="302"/>
      <c r="AGQ264" s="302"/>
      <c r="AGR264" s="302"/>
      <c r="AGS264" s="302"/>
      <c r="AGT264" s="302"/>
      <c r="AGU264" s="302"/>
      <c r="AGV264" s="302"/>
      <c r="AGW264" s="302"/>
      <c r="AGX264" s="302"/>
      <c r="AGY264" s="302"/>
      <c r="AGZ264" s="302"/>
      <c r="AHA264" s="302"/>
      <c r="AHB264" s="302"/>
      <c r="AHC264" s="302"/>
      <c r="AHD264" s="302"/>
      <c r="AHE264" s="302"/>
      <c r="AHF264" s="302"/>
      <c r="AHG264" s="302"/>
      <c r="AHH264" s="302"/>
      <c r="AHI264" s="302"/>
      <c r="AHJ264" s="302"/>
      <c r="AHK264" s="302"/>
      <c r="AHL264" s="302"/>
      <c r="AHM264" s="302"/>
      <c r="AHN264" s="302"/>
      <c r="AHO264" s="302"/>
      <c r="AHP264" s="302"/>
      <c r="AHQ264" s="302"/>
      <c r="AHR264" s="302"/>
      <c r="AHS264" s="302"/>
      <c r="AHT264" s="302"/>
      <c r="AHU264" s="302"/>
      <c r="AHV264" s="302"/>
      <c r="AHW264" s="302"/>
      <c r="AHX264" s="302"/>
      <c r="AHY264" s="302"/>
      <c r="AHZ264" s="302"/>
      <c r="AIA264" s="302"/>
      <c r="AIB264" s="302"/>
      <c r="AIC264" s="302"/>
      <c r="AID264" s="302"/>
      <c r="AIE264" s="302"/>
      <c r="AIF264" s="302"/>
      <c r="AIG264" s="302"/>
      <c r="AIH264" s="302"/>
      <c r="AII264" s="302"/>
      <c r="AIJ264" s="302"/>
      <c r="AIK264" s="302"/>
      <c r="AIL264" s="302"/>
      <c r="AIM264" s="302"/>
      <c r="AIN264" s="302"/>
      <c r="AIO264" s="302"/>
      <c r="AIP264" s="302"/>
      <c r="AIQ264" s="302"/>
      <c r="AIR264" s="302"/>
      <c r="AIS264" s="302"/>
      <c r="AIT264" s="302"/>
      <c r="AIU264" s="302"/>
      <c r="AIV264" s="302"/>
      <c r="AIW264" s="302"/>
      <c r="AIX264" s="302"/>
      <c r="AIY264" s="302"/>
      <c r="AIZ264" s="302"/>
      <c r="AJA264" s="302"/>
      <c r="AJB264" s="302"/>
      <c r="AJC264" s="302"/>
      <c r="AJD264" s="302"/>
      <c r="AJE264" s="302"/>
      <c r="AJF264" s="302"/>
      <c r="AJG264" s="302"/>
      <c r="AJH264" s="302"/>
      <c r="AJI264" s="302"/>
      <c r="AJJ264" s="302"/>
      <c r="AJK264" s="302"/>
      <c r="AJL264" s="302"/>
      <c r="AJM264" s="302"/>
      <c r="AJN264" s="302"/>
      <c r="AJO264" s="302"/>
      <c r="AJP264" s="302"/>
      <c r="AJQ264" s="302"/>
      <c r="AJR264" s="302"/>
      <c r="AJS264" s="302"/>
      <c r="AJT264" s="302"/>
      <c r="AJU264" s="302"/>
      <c r="AJV264" s="302"/>
      <c r="AJW264" s="302"/>
      <c r="AJX264" s="302"/>
      <c r="AJY264" s="302"/>
      <c r="AJZ264" s="302"/>
      <c r="AKA264" s="302"/>
      <c r="AKB264" s="302"/>
      <c r="AKC264" s="302"/>
      <c r="AKD264" s="302"/>
      <c r="AKE264" s="302"/>
      <c r="AKF264" s="302"/>
      <c r="AKG264" s="302"/>
      <c r="AKH264" s="302"/>
      <c r="AKI264" s="302"/>
      <c r="AKJ264" s="302"/>
      <c r="AKK264" s="302"/>
      <c r="AKL264" s="302"/>
      <c r="AKM264" s="302"/>
      <c r="AKN264" s="302"/>
      <c r="AKO264" s="302"/>
      <c r="AKP264" s="302"/>
      <c r="AKQ264" s="302"/>
      <c r="AKR264" s="302"/>
      <c r="AKS264" s="302"/>
      <c r="AKT264" s="302"/>
      <c r="AKU264" s="302"/>
      <c r="AKV264" s="302"/>
      <c r="AKW264" s="302"/>
      <c r="AKX264" s="302"/>
      <c r="AKY264" s="302"/>
      <c r="AKZ264" s="302"/>
      <c r="ALA264" s="302"/>
      <c r="ALB264" s="302"/>
      <c r="ALC264" s="302"/>
      <c r="ALD264" s="302"/>
      <c r="ALE264" s="302"/>
      <c r="ALF264" s="302"/>
      <c r="ALG264" s="302"/>
      <c r="ALH264" s="302"/>
      <c r="ALI264" s="302"/>
      <c r="ALJ264" s="302"/>
      <c r="ALK264" s="302"/>
      <c r="ALL264" s="302"/>
      <c r="ALM264" s="302"/>
      <c r="ALN264" s="302"/>
      <c r="ALO264" s="302"/>
      <c r="ALP264" s="302"/>
      <c r="ALQ264" s="302"/>
      <c r="ALR264" s="302"/>
      <c r="ALS264" s="302"/>
      <c r="ALT264" s="302"/>
      <c r="ALU264" s="302"/>
      <c r="ALV264" s="302"/>
      <c r="ALW264" s="302"/>
      <c r="ALX264" s="302"/>
      <c r="ALY264" s="302"/>
      <c r="ALZ264" s="302"/>
      <c r="AMA264" s="302"/>
      <c r="AMB264" s="302"/>
      <c r="AMC264" s="302"/>
      <c r="AMD264" s="302"/>
      <c r="AME264" s="302"/>
      <c r="AMF264" s="302"/>
      <c r="AMG264" s="302"/>
      <c r="AMH264" s="302"/>
      <c r="AMI264" s="302"/>
    </row>
    <row r="265" spans="1:1023" hidden="1">
      <c r="A265" s="302"/>
      <c r="B265" s="442">
        <v>14211</v>
      </c>
      <c r="C265" s="430">
        <v>0.08</v>
      </c>
      <c r="D265" s="370" t="s">
        <v>200</v>
      </c>
      <c r="E265" s="433">
        <v>1800000</v>
      </c>
      <c r="F265" s="500">
        <v>0.01</v>
      </c>
      <c r="G265" s="364">
        <f>E265*F265</f>
        <v>18000</v>
      </c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2"/>
      <c r="AE265" s="302"/>
      <c r="AF265" s="302"/>
      <c r="AG265" s="302"/>
      <c r="AH265" s="302"/>
      <c r="AI265" s="302"/>
      <c r="AJ265" s="302"/>
      <c r="AK265" s="302"/>
      <c r="AL265" s="302"/>
      <c r="AM265" s="302"/>
      <c r="AN265" s="302"/>
      <c r="AO265" s="302"/>
      <c r="AP265" s="302"/>
      <c r="AQ265" s="302"/>
      <c r="AR265" s="302"/>
      <c r="AS265" s="302"/>
      <c r="AT265" s="302"/>
      <c r="AU265" s="302"/>
      <c r="AV265" s="302"/>
      <c r="AW265" s="302"/>
      <c r="AX265" s="302"/>
      <c r="AY265" s="302"/>
      <c r="AZ265" s="302"/>
      <c r="BA265" s="302"/>
      <c r="BB265" s="302"/>
      <c r="BC265" s="302"/>
      <c r="BD265" s="302"/>
      <c r="BE265" s="302"/>
      <c r="BF265" s="302"/>
      <c r="BG265" s="302"/>
      <c r="BH265" s="302"/>
      <c r="BI265" s="302"/>
      <c r="BJ265" s="302"/>
      <c r="BK265" s="302"/>
      <c r="BL265" s="302"/>
      <c r="BM265" s="302"/>
      <c r="BN265" s="302"/>
      <c r="BO265" s="302"/>
      <c r="BP265" s="302"/>
      <c r="BQ265" s="302"/>
      <c r="BR265" s="302"/>
      <c r="BS265" s="302"/>
      <c r="BT265" s="302"/>
      <c r="BU265" s="302"/>
      <c r="BV265" s="302"/>
      <c r="BW265" s="302"/>
      <c r="BX265" s="302"/>
      <c r="BY265" s="302"/>
      <c r="BZ265" s="302"/>
      <c r="CA265" s="302"/>
      <c r="CB265" s="302"/>
      <c r="CC265" s="302"/>
      <c r="CD265" s="302"/>
      <c r="CE265" s="302"/>
      <c r="CF265" s="302"/>
      <c r="CG265" s="302"/>
      <c r="CH265" s="302"/>
      <c r="CI265" s="302"/>
      <c r="CJ265" s="302"/>
      <c r="CK265" s="302"/>
      <c r="CL265" s="302"/>
      <c r="CM265" s="302"/>
      <c r="CN265" s="302"/>
      <c r="CO265" s="302"/>
      <c r="CP265" s="302"/>
      <c r="CQ265" s="302"/>
      <c r="CR265" s="302"/>
      <c r="CS265" s="302"/>
      <c r="CT265" s="302"/>
      <c r="CU265" s="302"/>
      <c r="CV265" s="302"/>
      <c r="CW265" s="302"/>
      <c r="CX265" s="302"/>
      <c r="CY265" s="302"/>
      <c r="CZ265" s="302"/>
      <c r="DA265" s="302"/>
      <c r="DB265" s="302"/>
      <c r="DC265" s="302"/>
      <c r="DD265" s="302"/>
      <c r="DE265" s="302"/>
      <c r="DF265" s="302"/>
      <c r="DG265" s="302"/>
      <c r="DH265" s="302"/>
      <c r="DI265" s="302"/>
      <c r="DJ265" s="302"/>
      <c r="DK265" s="302"/>
      <c r="DL265" s="302"/>
      <c r="DM265" s="302"/>
      <c r="DN265" s="302"/>
      <c r="DO265" s="302"/>
      <c r="DP265" s="302"/>
      <c r="DQ265" s="302"/>
      <c r="DR265" s="302"/>
      <c r="DS265" s="302"/>
      <c r="DT265" s="302"/>
      <c r="DU265" s="302"/>
      <c r="DV265" s="302"/>
      <c r="DW265" s="302"/>
      <c r="DX265" s="302"/>
      <c r="DY265" s="302"/>
      <c r="DZ265" s="302"/>
      <c r="EA265" s="302"/>
      <c r="EB265" s="302"/>
      <c r="EC265" s="302"/>
      <c r="ED265" s="302"/>
      <c r="EE265" s="302"/>
      <c r="EF265" s="302"/>
      <c r="EG265" s="302"/>
      <c r="EH265" s="302"/>
      <c r="EI265" s="302"/>
      <c r="EJ265" s="302"/>
      <c r="EK265" s="302"/>
      <c r="EL265" s="302"/>
      <c r="EM265" s="302"/>
      <c r="EN265" s="302"/>
      <c r="EO265" s="302"/>
      <c r="EP265" s="302"/>
      <c r="EQ265" s="302"/>
      <c r="ER265" s="302"/>
      <c r="ES265" s="302"/>
      <c r="ET265" s="302"/>
      <c r="EU265" s="302"/>
      <c r="EV265" s="302"/>
      <c r="EW265" s="302"/>
      <c r="EX265" s="302"/>
      <c r="EY265" s="302"/>
      <c r="EZ265" s="302"/>
      <c r="FA265" s="302"/>
      <c r="FB265" s="302"/>
      <c r="FC265" s="302"/>
      <c r="FD265" s="302"/>
      <c r="FE265" s="302"/>
      <c r="FF265" s="302"/>
      <c r="FG265" s="302"/>
      <c r="FH265" s="302"/>
      <c r="FI265" s="302"/>
      <c r="FJ265" s="302"/>
      <c r="FK265" s="302"/>
      <c r="FL265" s="302"/>
      <c r="FM265" s="302"/>
      <c r="FN265" s="302"/>
      <c r="FO265" s="302"/>
      <c r="FP265" s="302"/>
      <c r="FQ265" s="302"/>
      <c r="FR265" s="302"/>
      <c r="FS265" s="302"/>
      <c r="FT265" s="302"/>
      <c r="FU265" s="302"/>
      <c r="FV265" s="302"/>
      <c r="FW265" s="302"/>
      <c r="FX265" s="302"/>
      <c r="FY265" s="302"/>
      <c r="FZ265" s="302"/>
      <c r="GA265" s="302"/>
      <c r="GB265" s="302"/>
      <c r="GC265" s="302"/>
      <c r="GD265" s="302"/>
      <c r="GE265" s="302"/>
      <c r="GF265" s="302"/>
      <c r="GG265" s="302"/>
      <c r="GH265" s="302"/>
      <c r="GI265" s="302"/>
      <c r="GJ265" s="302"/>
      <c r="GK265" s="302"/>
      <c r="GL265" s="302"/>
      <c r="GM265" s="302"/>
      <c r="GN265" s="302"/>
      <c r="GO265" s="302"/>
      <c r="GP265" s="302"/>
      <c r="GQ265" s="302"/>
      <c r="GR265" s="302"/>
      <c r="GS265" s="302"/>
      <c r="GT265" s="302"/>
      <c r="GU265" s="302"/>
      <c r="GV265" s="302"/>
      <c r="GW265" s="302"/>
      <c r="GX265" s="302"/>
      <c r="GY265" s="302"/>
      <c r="GZ265" s="302"/>
      <c r="HA265" s="302"/>
      <c r="HB265" s="302"/>
      <c r="HC265" s="302"/>
      <c r="HD265" s="302"/>
      <c r="HE265" s="302"/>
      <c r="HF265" s="302"/>
      <c r="HG265" s="302"/>
      <c r="HH265" s="302"/>
      <c r="HI265" s="302"/>
      <c r="HJ265" s="302"/>
      <c r="HK265" s="302"/>
      <c r="HL265" s="302"/>
      <c r="HM265" s="302"/>
      <c r="HN265" s="302"/>
      <c r="HO265" s="302"/>
      <c r="HP265" s="302"/>
      <c r="HQ265" s="302"/>
      <c r="HR265" s="302"/>
      <c r="HS265" s="302"/>
      <c r="HT265" s="302"/>
      <c r="HU265" s="302"/>
      <c r="HV265" s="302"/>
      <c r="HW265" s="302"/>
      <c r="HX265" s="302"/>
      <c r="HY265" s="302"/>
      <c r="HZ265" s="302"/>
      <c r="IA265" s="302"/>
      <c r="IB265" s="302"/>
      <c r="IC265" s="302"/>
      <c r="ID265" s="302"/>
      <c r="IE265" s="302"/>
      <c r="IF265" s="302"/>
      <c r="IG265" s="302"/>
      <c r="IH265" s="302"/>
      <c r="II265" s="302"/>
      <c r="IJ265" s="302"/>
      <c r="IK265" s="302"/>
      <c r="IL265" s="302"/>
      <c r="IM265" s="302"/>
      <c r="IN265" s="302"/>
      <c r="IO265" s="302"/>
      <c r="IP265" s="302"/>
      <c r="IQ265" s="302"/>
      <c r="IR265" s="302"/>
      <c r="IS265" s="302"/>
      <c r="IT265" s="302"/>
      <c r="IU265" s="302"/>
      <c r="IV265" s="302"/>
      <c r="IW265" s="302"/>
      <c r="IX265" s="302"/>
      <c r="IY265" s="302"/>
      <c r="IZ265" s="302"/>
      <c r="JA265" s="302"/>
      <c r="JB265" s="302"/>
      <c r="JC265" s="302"/>
      <c r="JD265" s="302"/>
      <c r="JE265" s="302"/>
      <c r="JF265" s="302"/>
      <c r="JG265" s="302"/>
      <c r="JH265" s="302"/>
      <c r="JI265" s="302"/>
      <c r="JJ265" s="302"/>
      <c r="JK265" s="302"/>
      <c r="JL265" s="302"/>
      <c r="JM265" s="302"/>
      <c r="JN265" s="302"/>
      <c r="JO265" s="302"/>
      <c r="JP265" s="302"/>
      <c r="JQ265" s="302"/>
      <c r="JR265" s="302"/>
      <c r="JS265" s="302"/>
      <c r="JT265" s="302"/>
      <c r="JU265" s="302"/>
      <c r="JV265" s="302"/>
      <c r="JW265" s="302"/>
      <c r="JX265" s="302"/>
      <c r="JY265" s="302"/>
      <c r="JZ265" s="302"/>
      <c r="KA265" s="302"/>
      <c r="KB265" s="302"/>
      <c r="KC265" s="302"/>
      <c r="KD265" s="302"/>
      <c r="KE265" s="302"/>
      <c r="KF265" s="302"/>
      <c r="KG265" s="302"/>
      <c r="KH265" s="302"/>
      <c r="KI265" s="302"/>
      <c r="KJ265" s="302"/>
      <c r="KK265" s="302"/>
      <c r="KL265" s="302"/>
      <c r="KM265" s="302"/>
      <c r="KN265" s="302"/>
      <c r="KO265" s="302"/>
      <c r="KP265" s="302"/>
      <c r="KQ265" s="302"/>
      <c r="KR265" s="302"/>
      <c r="KS265" s="302"/>
      <c r="KT265" s="302"/>
      <c r="KU265" s="302"/>
      <c r="KV265" s="302"/>
      <c r="KW265" s="302"/>
      <c r="KX265" s="302"/>
      <c r="KY265" s="302"/>
      <c r="KZ265" s="302"/>
      <c r="LA265" s="302"/>
      <c r="LB265" s="302"/>
      <c r="LC265" s="302"/>
      <c r="LD265" s="302"/>
      <c r="LE265" s="302"/>
      <c r="LF265" s="302"/>
      <c r="LG265" s="302"/>
      <c r="LH265" s="302"/>
      <c r="LI265" s="302"/>
      <c r="LJ265" s="302"/>
      <c r="LK265" s="302"/>
      <c r="LL265" s="302"/>
      <c r="LM265" s="302"/>
      <c r="LN265" s="302"/>
      <c r="LO265" s="302"/>
      <c r="LP265" s="302"/>
      <c r="LQ265" s="302"/>
      <c r="LR265" s="302"/>
      <c r="LS265" s="302"/>
      <c r="LT265" s="302"/>
      <c r="LU265" s="302"/>
      <c r="LV265" s="302"/>
      <c r="LW265" s="302"/>
      <c r="LX265" s="302"/>
      <c r="LY265" s="302"/>
      <c r="LZ265" s="302"/>
      <c r="MA265" s="302"/>
      <c r="MB265" s="302"/>
      <c r="MC265" s="302"/>
      <c r="MD265" s="302"/>
      <c r="ME265" s="302"/>
      <c r="MF265" s="302"/>
      <c r="MG265" s="302"/>
      <c r="MH265" s="302"/>
      <c r="MI265" s="302"/>
      <c r="MJ265" s="302"/>
      <c r="MK265" s="302"/>
      <c r="ML265" s="302"/>
      <c r="MM265" s="302"/>
      <c r="MN265" s="302"/>
      <c r="MO265" s="302"/>
      <c r="MP265" s="302"/>
      <c r="MQ265" s="302"/>
      <c r="MR265" s="302"/>
      <c r="MS265" s="302"/>
      <c r="MT265" s="302"/>
      <c r="MU265" s="302"/>
      <c r="MV265" s="302"/>
      <c r="MW265" s="302"/>
      <c r="MX265" s="302"/>
      <c r="MY265" s="302"/>
      <c r="MZ265" s="302"/>
      <c r="NA265" s="302"/>
      <c r="NB265" s="302"/>
      <c r="NC265" s="302"/>
      <c r="ND265" s="302"/>
      <c r="NE265" s="302"/>
      <c r="NF265" s="302"/>
      <c r="NG265" s="302"/>
      <c r="NH265" s="302"/>
      <c r="NI265" s="302"/>
      <c r="NJ265" s="302"/>
      <c r="NK265" s="302"/>
      <c r="NL265" s="302"/>
      <c r="NM265" s="302"/>
      <c r="NN265" s="302"/>
      <c r="NO265" s="302"/>
      <c r="NP265" s="302"/>
      <c r="NQ265" s="302"/>
      <c r="NR265" s="302"/>
      <c r="NS265" s="302"/>
      <c r="NT265" s="302"/>
      <c r="NU265" s="302"/>
      <c r="NV265" s="302"/>
      <c r="NW265" s="302"/>
      <c r="NX265" s="302"/>
      <c r="NY265" s="302"/>
      <c r="NZ265" s="302"/>
      <c r="OA265" s="302"/>
      <c r="OB265" s="302"/>
      <c r="OC265" s="302"/>
      <c r="OD265" s="302"/>
      <c r="OE265" s="302"/>
      <c r="OF265" s="302"/>
      <c r="OG265" s="302"/>
      <c r="OH265" s="302"/>
      <c r="OI265" s="302"/>
      <c r="OJ265" s="302"/>
      <c r="OK265" s="302"/>
      <c r="OL265" s="302"/>
      <c r="OM265" s="302"/>
      <c r="ON265" s="302"/>
      <c r="OO265" s="302"/>
      <c r="OP265" s="302"/>
      <c r="OQ265" s="302"/>
      <c r="OR265" s="302"/>
      <c r="OS265" s="302"/>
      <c r="OT265" s="302"/>
      <c r="OU265" s="302"/>
      <c r="OV265" s="302"/>
      <c r="OW265" s="302"/>
      <c r="OX265" s="302"/>
      <c r="OY265" s="302"/>
      <c r="OZ265" s="302"/>
      <c r="PA265" s="302"/>
      <c r="PB265" s="302"/>
      <c r="PC265" s="302"/>
      <c r="PD265" s="302"/>
      <c r="PE265" s="302"/>
      <c r="PF265" s="302"/>
      <c r="PG265" s="302"/>
      <c r="PH265" s="302"/>
      <c r="PI265" s="302"/>
      <c r="PJ265" s="302"/>
      <c r="PK265" s="302"/>
      <c r="PL265" s="302"/>
      <c r="PM265" s="302"/>
      <c r="PN265" s="302"/>
      <c r="PO265" s="302"/>
      <c r="PP265" s="302"/>
      <c r="PQ265" s="302"/>
      <c r="PR265" s="302"/>
      <c r="PS265" s="302"/>
      <c r="PT265" s="302"/>
      <c r="PU265" s="302"/>
      <c r="PV265" s="302"/>
      <c r="PW265" s="302"/>
      <c r="PX265" s="302"/>
      <c r="PY265" s="302"/>
      <c r="PZ265" s="302"/>
      <c r="QA265" s="302"/>
      <c r="QB265" s="302"/>
      <c r="QC265" s="302"/>
      <c r="QD265" s="302"/>
      <c r="QE265" s="302"/>
      <c r="QF265" s="302"/>
      <c r="QG265" s="302"/>
      <c r="QH265" s="302"/>
      <c r="QI265" s="302"/>
      <c r="QJ265" s="302"/>
      <c r="QK265" s="302"/>
      <c r="QL265" s="302"/>
      <c r="QM265" s="302"/>
      <c r="QN265" s="302"/>
      <c r="QO265" s="302"/>
      <c r="QP265" s="302"/>
      <c r="QQ265" s="302"/>
      <c r="QR265" s="302"/>
      <c r="QS265" s="302"/>
      <c r="QT265" s="302"/>
      <c r="QU265" s="302"/>
      <c r="QV265" s="302"/>
      <c r="QW265" s="302"/>
      <c r="QX265" s="302"/>
      <c r="QY265" s="302"/>
      <c r="QZ265" s="302"/>
      <c r="RA265" s="302"/>
      <c r="RB265" s="302"/>
      <c r="RC265" s="302"/>
      <c r="RD265" s="302"/>
      <c r="RE265" s="302"/>
      <c r="RF265" s="302"/>
      <c r="RG265" s="302"/>
      <c r="RH265" s="302"/>
      <c r="RI265" s="302"/>
      <c r="RJ265" s="302"/>
      <c r="RK265" s="302"/>
      <c r="RL265" s="302"/>
      <c r="RM265" s="302"/>
      <c r="RN265" s="302"/>
      <c r="RO265" s="302"/>
      <c r="RP265" s="302"/>
      <c r="RQ265" s="302"/>
      <c r="RR265" s="302"/>
      <c r="RS265" s="302"/>
      <c r="RT265" s="302"/>
      <c r="RU265" s="302"/>
      <c r="RV265" s="302"/>
      <c r="RW265" s="302"/>
      <c r="RX265" s="302"/>
      <c r="RY265" s="302"/>
      <c r="RZ265" s="302"/>
      <c r="SA265" s="302"/>
      <c r="SB265" s="302"/>
      <c r="SC265" s="302"/>
      <c r="SD265" s="302"/>
      <c r="SE265" s="302"/>
      <c r="SF265" s="302"/>
      <c r="SG265" s="302"/>
      <c r="SH265" s="302"/>
      <c r="SI265" s="302"/>
      <c r="SJ265" s="302"/>
      <c r="SK265" s="302"/>
      <c r="SL265" s="302"/>
      <c r="SM265" s="302"/>
      <c r="SN265" s="302"/>
      <c r="SO265" s="302"/>
      <c r="SP265" s="302"/>
      <c r="SQ265" s="302"/>
      <c r="SR265" s="302"/>
      <c r="SS265" s="302"/>
      <c r="ST265" s="302"/>
      <c r="SU265" s="302"/>
      <c r="SV265" s="302"/>
      <c r="SW265" s="302"/>
      <c r="SX265" s="302"/>
      <c r="SY265" s="302"/>
      <c r="SZ265" s="302"/>
      <c r="TA265" s="302"/>
      <c r="TB265" s="302"/>
      <c r="TC265" s="302"/>
      <c r="TD265" s="302"/>
      <c r="TE265" s="302"/>
      <c r="TF265" s="302"/>
      <c r="TG265" s="302"/>
      <c r="TH265" s="302"/>
      <c r="TI265" s="302"/>
      <c r="TJ265" s="302"/>
      <c r="TK265" s="302"/>
      <c r="TL265" s="302"/>
      <c r="TM265" s="302"/>
      <c r="TN265" s="302"/>
      <c r="TO265" s="302"/>
      <c r="TP265" s="302"/>
      <c r="TQ265" s="302"/>
      <c r="TR265" s="302"/>
      <c r="TS265" s="302"/>
      <c r="TT265" s="302"/>
      <c r="TU265" s="302"/>
      <c r="TV265" s="302"/>
      <c r="TW265" s="302"/>
      <c r="TX265" s="302"/>
      <c r="TY265" s="302"/>
      <c r="TZ265" s="302"/>
      <c r="UA265" s="302"/>
      <c r="UB265" s="302"/>
      <c r="UC265" s="302"/>
      <c r="UD265" s="302"/>
      <c r="UE265" s="302"/>
      <c r="UF265" s="302"/>
      <c r="UG265" s="302"/>
      <c r="UH265" s="302"/>
      <c r="UI265" s="302"/>
      <c r="UJ265" s="302"/>
      <c r="UK265" s="302"/>
      <c r="UL265" s="302"/>
      <c r="UM265" s="302"/>
      <c r="UN265" s="302"/>
      <c r="UO265" s="302"/>
      <c r="UP265" s="302"/>
      <c r="UQ265" s="302"/>
      <c r="UR265" s="302"/>
      <c r="US265" s="302"/>
      <c r="UT265" s="302"/>
      <c r="UU265" s="302"/>
      <c r="UV265" s="302"/>
      <c r="UW265" s="302"/>
      <c r="UX265" s="302"/>
      <c r="UY265" s="302"/>
      <c r="UZ265" s="302"/>
      <c r="VA265" s="302"/>
      <c r="VB265" s="302"/>
      <c r="VC265" s="302"/>
      <c r="VD265" s="302"/>
      <c r="VE265" s="302"/>
      <c r="VF265" s="302"/>
      <c r="VG265" s="302"/>
      <c r="VH265" s="302"/>
      <c r="VI265" s="302"/>
      <c r="VJ265" s="302"/>
      <c r="VK265" s="302"/>
      <c r="VL265" s="302"/>
      <c r="VM265" s="302"/>
      <c r="VN265" s="302"/>
      <c r="VO265" s="302"/>
      <c r="VP265" s="302"/>
      <c r="VQ265" s="302"/>
      <c r="VR265" s="302"/>
      <c r="VS265" s="302"/>
      <c r="VT265" s="302"/>
      <c r="VU265" s="302"/>
      <c r="VV265" s="302"/>
      <c r="VW265" s="302"/>
      <c r="VX265" s="302"/>
      <c r="VY265" s="302"/>
      <c r="VZ265" s="302"/>
      <c r="WA265" s="302"/>
      <c r="WB265" s="302"/>
      <c r="WC265" s="302"/>
      <c r="WD265" s="302"/>
      <c r="WE265" s="302"/>
      <c r="WF265" s="302"/>
      <c r="WG265" s="302"/>
      <c r="WH265" s="302"/>
      <c r="WI265" s="302"/>
      <c r="WJ265" s="302"/>
      <c r="WK265" s="302"/>
      <c r="WL265" s="302"/>
      <c r="WM265" s="302"/>
      <c r="WN265" s="302"/>
      <c r="WO265" s="302"/>
      <c r="WP265" s="302"/>
      <c r="WQ265" s="302"/>
      <c r="WR265" s="302"/>
      <c r="WS265" s="302"/>
      <c r="WT265" s="302"/>
      <c r="WU265" s="302"/>
      <c r="WV265" s="302"/>
      <c r="WW265" s="302"/>
      <c r="WX265" s="302"/>
      <c r="WY265" s="302"/>
      <c r="WZ265" s="302"/>
      <c r="XA265" s="302"/>
      <c r="XB265" s="302"/>
      <c r="XC265" s="302"/>
      <c r="XD265" s="302"/>
      <c r="XE265" s="302"/>
      <c r="XF265" s="302"/>
      <c r="XG265" s="302"/>
      <c r="XH265" s="302"/>
      <c r="XI265" s="302"/>
      <c r="XJ265" s="302"/>
      <c r="XK265" s="302"/>
      <c r="XL265" s="302"/>
      <c r="XM265" s="302"/>
      <c r="XN265" s="302"/>
      <c r="XO265" s="302"/>
      <c r="XP265" s="302"/>
      <c r="XQ265" s="302"/>
      <c r="XR265" s="302"/>
      <c r="XS265" s="302"/>
      <c r="XT265" s="302"/>
      <c r="XU265" s="302"/>
      <c r="XV265" s="302"/>
      <c r="XW265" s="302"/>
      <c r="XX265" s="302"/>
      <c r="XY265" s="302"/>
      <c r="XZ265" s="302"/>
      <c r="YA265" s="302"/>
      <c r="YB265" s="302"/>
      <c r="YC265" s="302"/>
      <c r="YD265" s="302"/>
      <c r="YE265" s="302"/>
      <c r="YF265" s="302"/>
      <c r="YG265" s="302"/>
      <c r="YH265" s="302"/>
      <c r="YI265" s="302"/>
      <c r="YJ265" s="302"/>
      <c r="YK265" s="302"/>
      <c r="YL265" s="302"/>
      <c r="YM265" s="302"/>
      <c r="YN265" s="302"/>
      <c r="YO265" s="302"/>
      <c r="YP265" s="302"/>
      <c r="YQ265" s="302"/>
      <c r="YR265" s="302"/>
      <c r="YS265" s="302"/>
      <c r="YT265" s="302"/>
      <c r="YU265" s="302"/>
      <c r="YV265" s="302"/>
      <c r="YW265" s="302"/>
      <c r="YX265" s="302"/>
      <c r="YY265" s="302"/>
      <c r="YZ265" s="302"/>
      <c r="ZA265" s="302"/>
      <c r="ZB265" s="302"/>
      <c r="ZC265" s="302"/>
      <c r="ZD265" s="302"/>
      <c r="ZE265" s="302"/>
      <c r="ZF265" s="302"/>
      <c r="ZG265" s="302"/>
      <c r="ZH265" s="302"/>
      <c r="ZI265" s="302"/>
      <c r="ZJ265" s="302"/>
      <c r="ZK265" s="302"/>
      <c r="ZL265" s="302"/>
      <c r="ZM265" s="302"/>
      <c r="ZN265" s="302"/>
      <c r="ZO265" s="302"/>
      <c r="ZP265" s="302"/>
      <c r="ZQ265" s="302"/>
      <c r="ZR265" s="302"/>
      <c r="ZS265" s="302"/>
      <c r="ZT265" s="302"/>
      <c r="ZU265" s="302"/>
      <c r="ZV265" s="302"/>
      <c r="ZW265" s="302"/>
      <c r="ZX265" s="302"/>
      <c r="ZY265" s="302"/>
      <c r="ZZ265" s="302"/>
      <c r="AAA265" s="302"/>
      <c r="AAB265" s="302"/>
      <c r="AAC265" s="302"/>
      <c r="AAD265" s="302"/>
      <c r="AAE265" s="302"/>
      <c r="AAF265" s="302"/>
      <c r="AAG265" s="302"/>
      <c r="AAH265" s="302"/>
      <c r="AAI265" s="302"/>
      <c r="AAJ265" s="302"/>
      <c r="AAK265" s="302"/>
      <c r="AAL265" s="302"/>
      <c r="AAM265" s="302"/>
      <c r="AAN265" s="302"/>
      <c r="AAO265" s="302"/>
      <c r="AAP265" s="302"/>
      <c r="AAQ265" s="302"/>
      <c r="AAR265" s="302"/>
      <c r="AAS265" s="302"/>
      <c r="AAT265" s="302"/>
      <c r="AAU265" s="302"/>
      <c r="AAV265" s="302"/>
      <c r="AAW265" s="302"/>
      <c r="AAX265" s="302"/>
      <c r="AAY265" s="302"/>
      <c r="AAZ265" s="302"/>
      <c r="ABA265" s="302"/>
      <c r="ABB265" s="302"/>
      <c r="ABC265" s="302"/>
      <c r="ABD265" s="302"/>
      <c r="ABE265" s="302"/>
      <c r="ABF265" s="302"/>
      <c r="ABG265" s="302"/>
      <c r="ABH265" s="302"/>
      <c r="ABI265" s="302"/>
      <c r="ABJ265" s="302"/>
      <c r="ABK265" s="302"/>
      <c r="ABL265" s="302"/>
      <c r="ABM265" s="302"/>
      <c r="ABN265" s="302"/>
      <c r="ABO265" s="302"/>
      <c r="ABP265" s="302"/>
      <c r="ABQ265" s="302"/>
      <c r="ABR265" s="302"/>
      <c r="ABS265" s="302"/>
      <c r="ABT265" s="302"/>
      <c r="ABU265" s="302"/>
      <c r="ABV265" s="302"/>
      <c r="ABW265" s="302"/>
      <c r="ABX265" s="302"/>
      <c r="ABY265" s="302"/>
      <c r="ABZ265" s="302"/>
      <c r="ACA265" s="302"/>
      <c r="ACB265" s="302"/>
      <c r="ACC265" s="302"/>
      <c r="ACD265" s="302"/>
      <c r="ACE265" s="302"/>
      <c r="ACF265" s="302"/>
      <c r="ACG265" s="302"/>
      <c r="ACH265" s="302"/>
      <c r="ACI265" s="302"/>
      <c r="ACJ265" s="302"/>
      <c r="ACK265" s="302"/>
      <c r="ACL265" s="302"/>
      <c r="ACM265" s="302"/>
      <c r="ACN265" s="302"/>
      <c r="ACO265" s="302"/>
      <c r="ACP265" s="302"/>
      <c r="ACQ265" s="302"/>
      <c r="ACR265" s="302"/>
      <c r="ACS265" s="302"/>
      <c r="ACT265" s="302"/>
      <c r="ACU265" s="302"/>
      <c r="ACV265" s="302"/>
      <c r="ACW265" s="302"/>
      <c r="ACX265" s="302"/>
      <c r="ACY265" s="302"/>
      <c r="ACZ265" s="302"/>
      <c r="ADA265" s="302"/>
      <c r="ADB265" s="302"/>
      <c r="ADC265" s="302"/>
      <c r="ADD265" s="302"/>
      <c r="ADE265" s="302"/>
      <c r="ADF265" s="302"/>
      <c r="ADG265" s="302"/>
      <c r="ADH265" s="302"/>
      <c r="ADI265" s="302"/>
      <c r="ADJ265" s="302"/>
      <c r="ADK265" s="302"/>
      <c r="ADL265" s="302"/>
      <c r="ADM265" s="302"/>
      <c r="ADN265" s="302"/>
      <c r="ADO265" s="302"/>
      <c r="ADP265" s="302"/>
      <c r="ADQ265" s="302"/>
      <c r="ADR265" s="302"/>
      <c r="ADS265" s="302"/>
      <c r="ADT265" s="302"/>
      <c r="ADU265" s="302"/>
      <c r="ADV265" s="302"/>
      <c r="ADW265" s="302"/>
      <c r="ADX265" s="302"/>
      <c r="ADY265" s="302"/>
      <c r="ADZ265" s="302"/>
      <c r="AEA265" s="302"/>
      <c r="AEB265" s="302"/>
      <c r="AEC265" s="302"/>
      <c r="AED265" s="302"/>
      <c r="AEE265" s="302"/>
      <c r="AEF265" s="302"/>
      <c r="AEG265" s="302"/>
      <c r="AEH265" s="302"/>
      <c r="AEI265" s="302"/>
      <c r="AEJ265" s="302"/>
      <c r="AEK265" s="302"/>
      <c r="AEL265" s="302"/>
      <c r="AEM265" s="302"/>
      <c r="AEN265" s="302"/>
      <c r="AEO265" s="302"/>
      <c r="AEP265" s="302"/>
      <c r="AEQ265" s="302"/>
      <c r="AER265" s="302"/>
      <c r="AES265" s="302"/>
      <c r="AET265" s="302"/>
      <c r="AEU265" s="302"/>
      <c r="AEV265" s="302"/>
      <c r="AEW265" s="302"/>
      <c r="AEX265" s="302"/>
      <c r="AEY265" s="302"/>
      <c r="AEZ265" s="302"/>
      <c r="AFA265" s="302"/>
      <c r="AFB265" s="302"/>
      <c r="AFC265" s="302"/>
      <c r="AFD265" s="302"/>
      <c r="AFE265" s="302"/>
      <c r="AFF265" s="302"/>
      <c r="AFG265" s="302"/>
      <c r="AFH265" s="302"/>
      <c r="AFI265" s="302"/>
      <c r="AFJ265" s="302"/>
      <c r="AFK265" s="302"/>
      <c r="AFL265" s="302"/>
      <c r="AFM265" s="302"/>
      <c r="AFN265" s="302"/>
      <c r="AFO265" s="302"/>
      <c r="AFP265" s="302"/>
      <c r="AFQ265" s="302"/>
      <c r="AFR265" s="302"/>
      <c r="AFS265" s="302"/>
      <c r="AFT265" s="302"/>
      <c r="AFU265" s="302"/>
      <c r="AFV265" s="302"/>
      <c r="AFW265" s="302"/>
      <c r="AFX265" s="302"/>
      <c r="AFY265" s="302"/>
      <c r="AFZ265" s="302"/>
      <c r="AGA265" s="302"/>
      <c r="AGB265" s="302"/>
      <c r="AGC265" s="302"/>
      <c r="AGD265" s="302"/>
      <c r="AGE265" s="302"/>
      <c r="AGF265" s="302"/>
      <c r="AGG265" s="302"/>
      <c r="AGH265" s="302"/>
      <c r="AGI265" s="302"/>
      <c r="AGJ265" s="302"/>
      <c r="AGK265" s="302"/>
      <c r="AGL265" s="302"/>
      <c r="AGM265" s="302"/>
      <c r="AGN265" s="302"/>
      <c r="AGO265" s="302"/>
      <c r="AGP265" s="302"/>
      <c r="AGQ265" s="302"/>
      <c r="AGR265" s="302"/>
      <c r="AGS265" s="302"/>
      <c r="AGT265" s="302"/>
      <c r="AGU265" s="302"/>
      <c r="AGV265" s="302"/>
      <c r="AGW265" s="302"/>
      <c r="AGX265" s="302"/>
      <c r="AGY265" s="302"/>
      <c r="AGZ265" s="302"/>
      <c r="AHA265" s="302"/>
      <c r="AHB265" s="302"/>
      <c r="AHC265" s="302"/>
      <c r="AHD265" s="302"/>
      <c r="AHE265" s="302"/>
      <c r="AHF265" s="302"/>
      <c r="AHG265" s="302"/>
      <c r="AHH265" s="302"/>
      <c r="AHI265" s="302"/>
      <c r="AHJ265" s="302"/>
      <c r="AHK265" s="302"/>
      <c r="AHL265" s="302"/>
      <c r="AHM265" s="302"/>
      <c r="AHN265" s="302"/>
      <c r="AHO265" s="302"/>
      <c r="AHP265" s="302"/>
      <c r="AHQ265" s="302"/>
      <c r="AHR265" s="302"/>
      <c r="AHS265" s="302"/>
      <c r="AHT265" s="302"/>
      <c r="AHU265" s="302"/>
      <c r="AHV265" s="302"/>
      <c r="AHW265" s="302"/>
      <c r="AHX265" s="302"/>
      <c r="AHY265" s="302"/>
      <c r="AHZ265" s="302"/>
      <c r="AIA265" s="302"/>
      <c r="AIB265" s="302"/>
      <c r="AIC265" s="302"/>
      <c r="AID265" s="302"/>
      <c r="AIE265" s="302"/>
      <c r="AIF265" s="302"/>
      <c r="AIG265" s="302"/>
      <c r="AIH265" s="302"/>
      <c r="AII265" s="302"/>
      <c r="AIJ265" s="302"/>
      <c r="AIK265" s="302"/>
      <c r="AIL265" s="302"/>
      <c r="AIM265" s="302"/>
      <c r="AIN265" s="302"/>
      <c r="AIO265" s="302"/>
      <c r="AIP265" s="302"/>
      <c r="AIQ265" s="302"/>
      <c r="AIR265" s="302"/>
      <c r="AIS265" s="302"/>
      <c r="AIT265" s="302"/>
      <c r="AIU265" s="302"/>
      <c r="AIV265" s="302"/>
      <c r="AIW265" s="302"/>
      <c r="AIX265" s="302"/>
      <c r="AIY265" s="302"/>
      <c r="AIZ265" s="302"/>
      <c r="AJA265" s="302"/>
      <c r="AJB265" s="302"/>
      <c r="AJC265" s="302"/>
      <c r="AJD265" s="302"/>
      <c r="AJE265" s="302"/>
      <c r="AJF265" s="302"/>
      <c r="AJG265" s="302"/>
      <c r="AJH265" s="302"/>
      <c r="AJI265" s="302"/>
      <c r="AJJ265" s="302"/>
      <c r="AJK265" s="302"/>
      <c r="AJL265" s="302"/>
      <c r="AJM265" s="302"/>
      <c r="AJN265" s="302"/>
      <c r="AJO265" s="302"/>
      <c r="AJP265" s="302"/>
      <c r="AJQ265" s="302"/>
      <c r="AJR265" s="302"/>
      <c r="AJS265" s="302"/>
      <c r="AJT265" s="302"/>
      <c r="AJU265" s="302"/>
      <c r="AJV265" s="302"/>
      <c r="AJW265" s="302"/>
      <c r="AJX265" s="302"/>
      <c r="AJY265" s="302"/>
      <c r="AJZ265" s="302"/>
      <c r="AKA265" s="302"/>
      <c r="AKB265" s="302"/>
      <c r="AKC265" s="302"/>
      <c r="AKD265" s="302"/>
      <c r="AKE265" s="302"/>
      <c r="AKF265" s="302"/>
      <c r="AKG265" s="302"/>
      <c r="AKH265" s="302"/>
      <c r="AKI265" s="302"/>
      <c r="AKJ265" s="302"/>
      <c r="AKK265" s="302"/>
      <c r="AKL265" s="302"/>
      <c r="AKM265" s="302"/>
      <c r="AKN265" s="302"/>
      <c r="AKO265" s="302"/>
      <c r="AKP265" s="302"/>
      <c r="AKQ265" s="302"/>
      <c r="AKR265" s="302"/>
      <c r="AKS265" s="302"/>
      <c r="AKT265" s="302"/>
      <c r="AKU265" s="302"/>
      <c r="AKV265" s="302"/>
      <c r="AKW265" s="302"/>
      <c r="AKX265" s="302"/>
      <c r="AKY265" s="302"/>
      <c r="AKZ265" s="302"/>
      <c r="ALA265" s="302"/>
      <c r="ALB265" s="302"/>
      <c r="ALC265" s="302"/>
      <c r="ALD265" s="302"/>
      <c r="ALE265" s="302"/>
      <c r="ALF265" s="302"/>
      <c r="ALG265" s="302"/>
      <c r="ALH265" s="302"/>
      <c r="ALI265" s="302"/>
      <c r="ALJ265" s="302"/>
      <c r="ALK265" s="302"/>
      <c r="ALL265" s="302"/>
      <c r="ALM265" s="302"/>
      <c r="ALN265" s="302"/>
      <c r="ALO265" s="302"/>
      <c r="ALP265" s="302"/>
      <c r="ALQ265" s="302"/>
      <c r="ALR265" s="302"/>
      <c r="ALS265" s="302"/>
      <c r="ALT265" s="302"/>
      <c r="ALU265" s="302"/>
      <c r="ALV265" s="302"/>
      <c r="ALW265" s="302"/>
      <c r="ALX265" s="302"/>
      <c r="ALY265" s="302"/>
      <c r="ALZ265" s="302"/>
      <c r="AMA265" s="302"/>
      <c r="AMB265" s="302"/>
      <c r="AMC265" s="302"/>
      <c r="AMD265" s="302"/>
      <c r="AME265" s="302"/>
      <c r="AMF265" s="302"/>
      <c r="AMG265" s="302"/>
      <c r="AMH265" s="302"/>
      <c r="AMI265" s="302"/>
    </row>
    <row r="266" spans="1:1023" hidden="1">
      <c r="A266" s="302"/>
      <c r="B266" s="442">
        <v>14138</v>
      </c>
      <c r="C266" s="498">
        <v>0.1</v>
      </c>
      <c r="D266" s="370" t="s">
        <v>210</v>
      </c>
      <c r="E266" s="433">
        <v>1500000</v>
      </c>
      <c r="F266" s="499">
        <v>0.02</v>
      </c>
      <c r="G266" s="364">
        <f t="shared" ref="G266:G267" si="14">E266*F266</f>
        <v>30000</v>
      </c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2"/>
      <c r="AE266" s="302"/>
      <c r="AF266" s="302"/>
      <c r="AG266" s="302"/>
      <c r="AH266" s="302"/>
      <c r="AI266" s="302"/>
      <c r="AJ266" s="302"/>
      <c r="AK266" s="302"/>
      <c r="AL266" s="302"/>
      <c r="AM266" s="302"/>
      <c r="AN266" s="302"/>
      <c r="AO266" s="302"/>
      <c r="AP266" s="302"/>
      <c r="AQ266" s="302"/>
      <c r="AR266" s="302"/>
      <c r="AS266" s="302"/>
      <c r="AT266" s="302"/>
      <c r="AU266" s="302"/>
      <c r="AV266" s="302"/>
      <c r="AW266" s="302"/>
      <c r="AX266" s="302"/>
      <c r="AY266" s="302"/>
      <c r="AZ266" s="302"/>
      <c r="BA266" s="302"/>
      <c r="BB266" s="302"/>
      <c r="BC266" s="302"/>
      <c r="BD266" s="302"/>
      <c r="BE266" s="302"/>
      <c r="BF266" s="302"/>
      <c r="BG266" s="302"/>
      <c r="BH266" s="302"/>
      <c r="BI266" s="302"/>
      <c r="BJ266" s="302"/>
      <c r="BK266" s="302"/>
      <c r="BL266" s="302"/>
      <c r="BM266" s="302"/>
      <c r="BN266" s="302"/>
      <c r="BO266" s="302"/>
      <c r="BP266" s="302"/>
      <c r="BQ266" s="302"/>
      <c r="BR266" s="302"/>
      <c r="BS266" s="302"/>
      <c r="BT266" s="302"/>
      <c r="BU266" s="302"/>
      <c r="BV266" s="302"/>
      <c r="BW266" s="302"/>
      <c r="BX266" s="302"/>
      <c r="BY266" s="302"/>
      <c r="BZ266" s="302"/>
      <c r="CA266" s="302"/>
      <c r="CB266" s="302"/>
      <c r="CC266" s="302"/>
      <c r="CD266" s="302"/>
      <c r="CE266" s="302"/>
      <c r="CF266" s="302"/>
      <c r="CG266" s="302"/>
      <c r="CH266" s="302"/>
      <c r="CI266" s="302"/>
      <c r="CJ266" s="302"/>
      <c r="CK266" s="302"/>
      <c r="CL266" s="302"/>
      <c r="CM266" s="302"/>
      <c r="CN266" s="302"/>
      <c r="CO266" s="302"/>
      <c r="CP266" s="302"/>
      <c r="CQ266" s="302"/>
      <c r="CR266" s="302"/>
      <c r="CS266" s="302"/>
      <c r="CT266" s="302"/>
      <c r="CU266" s="302"/>
      <c r="CV266" s="302"/>
      <c r="CW266" s="302"/>
      <c r="CX266" s="302"/>
      <c r="CY266" s="302"/>
      <c r="CZ266" s="302"/>
      <c r="DA266" s="302"/>
      <c r="DB266" s="302"/>
      <c r="DC266" s="302"/>
      <c r="DD266" s="302"/>
      <c r="DE266" s="302"/>
      <c r="DF266" s="302"/>
      <c r="DG266" s="302"/>
      <c r="DH266" s="302"/>
      <c r="DI266" s="302"/>
      <c r="DJ266" s="302"/>
      <c r="DK266" s="302"/>
      <c r="DL266" s="302"/>
      <c r="DM266" s="302"/>
      <c r="DN266" s="302"/>
      <c r="DO266" s="302"/>
      <c r="DP266" s="302"/>
      <c r="DQ266" s="302"/>
      <c r="DR266" s="302"/>
      <c r="DS266" s="302"/>
      <c r="DT266" s="302"/>
      <c r="DU266" s="302"/>
      <c r="DV266" s="302"/>
      <c r="DW266" s="302"/>
      <c r="DX266" s="302"/>
      <c r="DY266" s="302"/>
      <c r="DZ266" s="302"/>
      <c r="EA266" s="302"/>
      <c r="EB266" s="302"/>
      <c r="EC266" s="302"/>
      <c r="ED266" s="302"/>
      <c r="EE266" s="302"/>
      <c r="EF266" s="302"/>
      <c r="EG266" s="302"/>
      <c r="EH266" s="302"/>
      <c r="EI266" s="302"/>
      <c r="EJ266" s="302"/>
      <c r="EK266" s="302"/>
      <c r="EL266" s="302"/>
      <c r="EM266" s="302"/>
      <c r="EN266" s="302"/>
      <c r="EO266" s="302"/>
      <c r="EP266" s="302"/>
      <c r="EQ266" s="302"/>
      <c r="ER266" s="302"/>
      <c r="ES266" s="302"/>
      <c r="ET266" s="302"/>
      <c r="EU266" s="302"/>
      <c r="EV266" s="302"/>
      <c r="EW266" s="302"/>
      <c r="EX266" s="302"/>
      <c r="EY266" s="302"/>
      <c r="EZ266" s="302"/>
      <c r="FA266" s="302"/>
      <c r="FB266" s="302"/>
      <c r="FC266" s="302"/>
      <c r="FD266" s="302"/>
      <c r="FE266" s="302"/>
      <c r="FF266" s="302"/>
      <c r="FG266" s="302"/>
      <c r="FH266" s="302"/>
      <c r="FI266" s="302"/>
      <c r="FJ266" s="302"/>
      <c r="FK266" s="302"/>
      <c r="FL266" s="302"/>
      <c r="FM266" s="302"/>
      <c r="FN266" s="302"/>
      <c r="FO266" s="302"/>
      <c r="FP266" s="302"/>
      <c r="FQ266" s="302"/>
      <c r="FR266" s="302"/>
      <c r="FS266" s="302"/>
      <c r="FT266" s="302"/>
      <c r="FU266" s="302"/>
      <c r="FV266" s="302"/>
      <c r="FW266" s="302"/>
      <c r="FX266" s="302"/>
      <c r="FY266" s="302"/>
      <c r="FZ266" s="302"/>
      <c r="GA266" s="302"/>
      <c r="GB266" s="302"/>
      <c r="GC266" s="302"/>
      <c r="GD266" s="302"/>
      <c r="GE266" s="302"/>
      <c r="GF266" s="302"/>
      <c r="GG266" s="302"/>
      <c r="GH266" s="302"/>
      <c r="GI266" s="302"/>
      <c r="GJ266" s="302"/>
      <c r="GK266" s="302"/>
      <c r="GL266" s="302"/>
      <c r="GM266" s="302"/>
      <c r="GN266" s="302"/>
      <c r="GO266" s="302"/>
      <c r="GP266" s="302"/>
      <c r="GQ266" s="302"/>
      <c r="GR266" s="302"/>
      <c r="GS266" s="302"/>
      <c r="GT266" s="302"/>
      <c r="GU266" s="302"/>
      <c r="GV266" s="302"/>
      <c r="GW266" s="302"/>
      <c r="GX266" s="302"/>
      <c r="GY266" s="302"/>
      <c r="GZ266" s="302"/>
      <c r="HA266" s="302"/>
      <c r="HB266" s="302"/>
      <c r="HC266" s="302"/>
      <c r="HD266" s="302"/>
      <c r="HE266" s="302"/>
      <c r="HF266" s="302"/>
      <c r="HG266" s="302"/>
      <c r="HH266" s="302"/>
      <c r="HI266" s="302"/>
      <c r="HJ266" s="302"/>
      <c r="HK266" s="302"/>
      <c r="HL266" s="302"/>
      <c r="HM266" s="302"/>
      <c r="HN266" s="302"/>
      <c r="HO266" s="302"/>
      <c r="HP266" s="302"/>
      <c r="HQ266" s="302"/>
      <c r="HR266" s="302"/>
      <c r="HS266" s="302"/>
      <c r="HT266" s="302"/>
      <c r="HU266" s="302"/>
      <c r="HV266" s="302"/>
      <c r="HW266" s="302"/>
      <c r="HX266" s="302"/>
      <c r="HY266" s="302"/>
      <c r="HZ266" s="302"/>
      <c r="IA266" s="302"/>
      <c r="IB266" s="302"/>
      <c r="IC266" s="302"/>
      <c r="ID266" s="302"/>
      <c r="IE266" s="302"/>
      <c r="IF266" s="302"/>
      <c r="IG266" s="302"/>
      <c r="IH266" s="302"/>
      <c r="II266" s="302"/>
      <c r="IJ266" s="302"/>
      <c r="IK266" s="302"/>
      <c r="IL266" s="302"/>
      <c r="IM266" s="302"/>
      <c r="IN266" s="302"/>
      <c r="IO266" s="302"/>
      <c r="IP266" s="302"/>
      <c r="IQ266" s="302"/>
      <c r="IR266" s="302"/>
      <c r="IS266" s="302"/>
      <c r="IT266" s="302"/>
      <c r="IU266" s="302"/>
      <c r="IV266" s="302"/>
      <c r="IW266" s="302"/>
      <c r="IX266" s="302"/>
      <c r="IY266" s="302"/>
      <c r="IZ266" s="302"/>
      <c r="JA266" s="302"/>
      <c r="JB266" s="302"/>
      <c r="JC266" s="302"/>
      <c r="JD266" s="302"/>
      <c r="JE266" s="302"/>
      <c r="JF266" s="302"/>
      <c r="JG266" s="302"/>
      <c r="JH266" s="302"/>
      <c r="JI266" s="302"/>
      <c r="JJ266" s="302"/>
      <c r="JK266" s="302"/>
      <c r="JL266" s="302"/>
      <c r="JM266" s="302"/>
      <c r="JN266" s="302"/>
      <c r="JO266" s="302"/>
      <c r="JP266" s="302"/>
      <c r="JQ266" s="302"/>
      <c r="JR266" s="302"/>
      <c r="JS266" s="302"/>
      <c r="JT266" s="302"/>
      <c r="JU266" s="302"/>
      <c r="JV266" s="302"/>
      <c r="JW266" s="302"/>
      <c r="JX266" s="302"/>
      <c r="JY266" s="302"/>
      <c r="JZ266" s="302"/>
      <c r="KA266" s="302"/>
      <c r="KB266" s="302"/>
      <c r="KC266" s="302"/>
      <c r="KD266" s="302"/>
      <c r="KE266" s="302"/>
      <c r="KF266" s="302"/>
      <c r="KG266" s="302"/>
      <c r="KH266" s="302"/>
      <c r="KI266" s="302"/>
      <c r="KJ266" s="302"/>
      <c r="KK266" s="302"/>
      <c r="KL266" s="302"/>
      <c r="KM266" s="302"/>
      <c r="KN266" s="302"/>
      <c r="KO266" s="302"/>
      <c r="KP266" s="302"/>
      <c r="KQ266" s="302"/>
      <c r="KR266" s="302"/>
      <c r="KS266" s="302"/>
      <c r="KT266" s="302"/>
      <c r="KU266" s="302"/>
      <c r="KV266" s="302"/>
      <c r="KW266" s="302"/>
      <c r="KX266" s="302"/>
      <c r="KY266" s="302"/>
      <c r="KZ266" s="302"/>
      <c r="LA266" s="302"/>
      <c r="LB266" s="302"/>
      <c r="LC266" s="302"/>
      <c r="LD266" s="302"/>
      <c r="LE266" s="302"/>
      <c r="LF266" s="302"/>
      <c r="LG266" s="302"/>
      <c r="LH266" s="302"/>
      <c r="LI266" s="302"/>
      <c r="LJ266" s="302"/>
      <c r="LK266" s="302"/>
      <c r="LL266" s="302"/>
      <c r="LM266" s="302"/>
      <c r="LN266" s="302"/>
      <c r="LO266" s="302"/>
      <c r="LP266" s="302"/>
      <c r="LQ266" s="302"/>
      <c r="LR266" s="302"/>
      <c r="LS266" s="302"/>
      <c r="LT266" s="302"/>
      <c r="LU266" s="302"/>
      <c r="LV266" s="302"/>
      <c r="LW266" s="302"/>
      <c r="LX266" s="302"/>
      <c r="LY266" s="302"/>
      <c r="LZ266" s="302"/>
      <c r="MA266" s="302"/>
      <c r="MB266" s="302"/>
      <c r="MC266" s="302"/>
      <c r="MD266" s="302"/>
      <c r="ME266" s="302"/>
      <c r="MF266" s="302"/>
      <c r="MG266" s="302"/>
      <c r="MH266" s="302"/>
      <c r="MI266" s="302"/>
      <c r="MJ266" s="302"/>
      <c r="MK266" s="302"/>
      <c r="ML266" s="302"/>
      <c r="MM266" s="302"/>
      <c r="MN266" s="302"/>
      <c r="MO266" s="302"/>
      <c r="MP266" s="302"/>
      <c r="MQ266" s="302"/>
      <c r="MR266" s="302"/>
      <c r="MS266" s="302"/>
      <c r="MT266" s="302"/>
      <c r="MU266" s="302"/>
      <c r="MV266" s="302"/>
      <c r="MW266" s="302"/>
      <c r="MX266" s="302"/>
      <c r="MY266" s="302"/>
      <c r="MZ266" s="302"/>
      <c r="NA266" s="302"/>
      <c r="NB266" s="302"/>
      <c r="NC266" s="302"/>
      <c r="ND266" s="302"/>
      <c r="NE266" s="302"/>
      <c r="NF266" s="302"/>
      <c r="NG266" s="302"/>
      <c r="NH266" s="302"/>
      <c r="NI266" s="302"/>
      <c r="NJ266" s="302"/>
      <c r="NK266" s="302"/>
      <c r="NL266" s="302"/>
      <c r="NM266" s="302"/>
      <c r="NN266" s="302"/>
      <c r="NO266" s="302"/>
      <c r="NP266" s="302"/>
      <c r="NQ266" s="302"/>
      <c r="NR266" s="302"/>
      <c r="NS266" s="302"/>
      <c r="NT266" s="302"/>
      <c r="NU266" s="302"/>
      <c r="NV266" s="302"/>
      <c r="NW266" s="302"/>
      <c r="NX266" s="302"/>
      <c r="NY266" s="302"/>
      <c r="NZ266" s="302"/>
      <c r="OA266" s="302"/>
      <c r="OB266" s="302"/>
      <c r="OC266" s="302"/>
      <c r="OD266" s="302"/>
      <c r="OE266" s="302"/>
      <c r="OF266" s="302"/>
      <c r="OG266" s="302"/>
      <c r="OH266" s="302"/>
      <c r="OI266" s="302"/>
      <c r="OJ266" s="302"/>
      <c r="OK266" s="302"/>
      <c r="OL266" s="302"/>
      <c r="OM266" s="302"/>
      <c r="ON266" s="302"/>
      <c r="OO266" s="302"/>
      <c r="OP266" s="302"/>
      <c r="OQ266" s="302"/>
      <c r="OR266" s="302"/>
      <c r="OS266" s="302"/>
      <c r="OT266" s="302"/>
      <c r="OU266" s="302"/>
      <c r="OV266" s="302"/>
      <c r="OW266" s="302"/>
      <c r="OX266" s="302"/>
      <c r="OY266" s="302"/>
      <c r="OZ266" s="302"/>
      <c r="PA266" s="302"/>
      <c r="PB266" s="302"/>
      <c r="PC266" s="302"/>
      <c r="PD266" s="302"/>
      <c r="PE266" s="302"/>
      <c r="PF266" s="302"/>
      <c r="PG266" s="302"/>
      <c r="PH266" s="302"/>
      <c r="PI266" s="302"/>
      <c r="PJ266" s="302"/>
      <c r="PK266" s="302"/>
      <c r="PL266" s="302"/>
      <c r="PM266" s="302"/>
      <c r="PN266" s="302"/>
      <c r="PO266" s="302"/>
      <c r="PP266" s="302"/>
      <c r="PQ266" s="302"/>
      <c r="PR266" s="302"/>
      <c r="PS266" s="302"/>
      <c r="PT266" s="302"/>
      <c r="PU266" s="302"/>
      <c r="PV266" s="302"/>
      <c r="PW266" s="302"/>
      <c r="PX266" s="302"/>
      <c r="PY266" s="302"/>
      <c r="PZ266" s="302"/>
      <c r="QA266" s="302"/>
      <c r="QB266" s="302"/>
      <c r="QC266" s="302"/>
      <c r="QD266" s="302"/>
      <c r="QE266" s="302"/>
      <c r="QF266" s="302"/>
      <c r="QG266" s="302"/>
      <c r="QH266" s="302"/>
      <c r="QI266" s="302"/>
      <c r="QJ266" s="302"/>
      <c r="QK266" s="302"/>
      <c r="QL266" s="302"/>
      <c r="QM266" s="302"/>
      <c r="QN266" s="302"/>
      <c r="QO266" s="302"/>
      <c r="QP266" s="302"/>
      <c r="QQ266" s="302"/>
      <c r="QR266" s="302"/>
      <c r="QS266" s="302"/>
      <c r="QT266" s="302"/>
      <c r="QU266" s="302"/>
      <c r="QV266" s="302"/>
      <c r="QW266" s="302"/>
      <c r="QX266" s="302"/>
      <c r="QY266" s="302"/>
      <c r="QZ266" s="302"/>
      <c r="RA266" s="302"/>
      <c r="RB266" s="302"/>
      <c r="RC266" s="302"/>
      <c r="RD266" s="302"/>
      <c r="RE266" s="302"/>
      <c r="RF266" s="302"/>
      <c r="RG266" s="302"/>
      <c r="RH266" s="302"/>
      <c r="RI266" s="302"/>
      <c r="RJ266" s="302"/>
      <c r="RK266" s="302"/>
      <c r="RL266" s="302"/>
      <c r="RM266" s="302"/>
      <c r="RN266" s="302"/>
      <c r="RO266" s="302"/>
      <c r="RP266" s="302"/>
      <c r="RQ266" s="302"/>
      <c r="RR266" s="302"/>
      <c r="RS266" s="302"/>
      <c r="RT266" s="302"/>
      <c r="RU266" s="302"/>
      <c r="RV266" s="302"/>
      <c r="RW266" s="302"/>
      <c r="RX266" s="302"/>
      <c r="RY266" s="302"/>
      <c r="RZ266" s="302"/>
      <c r="SA266" s="302"/>
      <c r="SB266" s="302"/>
      <c r="SC266" s="302"/>
      <c r="SD266" s="302"/>
      <c r="SE266" s="302"/>
      <c r="SF266" s="302"/>
      <c r="SG266" s="302"/>
      <c r="SH266" s="302"/>
      <c r="SI266" s="302"/>
      <c r="SJ266" s="302"/>
      <c r="SK266" s="302"/>
      <c r="SL266" s="302"/>
      <c r="SM266" s="302"/>
      <c r="SN266" s="302"/>
      <c r="SO266" s="302"/>
      <c r="SP266" s="302"/>
      <c r="SQ266" s="302"/>
      <c r="SR266" s="302"/>
      <c r="SS266" s="302"/>
      <c r="ST266" s="302"/>
      <c r="SU266" s="302"/>
      <c r="SV266" s="302"/>
      <c r="SW266" s="302"/>
      <c r="SX266" s="302"/>
      <c r="SY266" s="302"/>
      <c r="SZ266" s="302"/>
      <c r="TA266" s="302"/>
      <c r="TB266" s="302"/>
      <c r="TC266" s="302"/>
      <c r="TD266" s="302"/>
      <c r="TE266" s="302"/>
      <c r="TF266" s="302"/>
      <c r="TG266" s="302"/>
      <c r="TH266" s="302"/>
      <c r="TI266" s="302"/>
      <c r="TJ266" s="302"/>
      <c r="TK266" s="302"/>
      <c r="TL266" s="302"/>
      <c r="TM266" s="302"/>
      <c r="TN266" s="302"/>
      <c r="TO266" s="302"/>
      <c r="TP266" s="302"/>
      <c r="TQ266" s="302"/>
      <c r="TR266" s="302"/>
      <c r="TS266" s="302"/>
      <c r="TT266" s="302"/>
      <c r="TU266" s="302"/>
      <c r="TV266" s="302"/>
      <c r="TW266" s="302"/>
      <c r="TX266" s="302"/>
      <c r="TY266" s="302"/>
      <c r="TZ266" s="302"/>
      <c r="UA266" s="302"/>
      <c r="UB266" s="302"/>
      <c r="UC266" s="302"/>
      <c r="UD266" s="302"/>
      <c r="UE266" s="302"/>
      <c r="UF266" s="302"/>
      <c r="UG266" s="302"/>
      <c r="UH266" s="302"/>
      <c r="UI266" s="302"/>
      <c r="UJ266" s="302"/>
      <c r="UK266" s="302"/>
      <c r="UL266" s="302"/>
      <c r="UM266" s="302"/>
      <c r="UN266" s="302"/>
      <c r="UO266" s="302"/>
      <c r="UP266" s="302"/>
      <c r="UQ266" s="302"/>
      <c r="UR266" s="302"/>
      <c r="US266" s="302"/>
      <c r="UT266" s="302"/>
      <c r="UU266" s="302"/>
      <c r="UV266" s="302"/>
      <c r="UW266" s="302"/>
      <c r="UX266" s="302"/>
      <c r="UY266" s="302"/>
      <c r="UZ266" s="302"/>
      <c r="VA266" s="302"/>
      <c r="VB266" s="302"/>
      <c r="VC266" s="302"/>
      <c r="VD266" s="302"/>
      <c r="VE266" s="302"/>
      <c r="VF266" s="302"/>
      <c r="VG266" s="302"/>
      <c r="VH266" s="302"/>
      <c r="VI266" s="302"/>
      <c r="VJ266" s="302"/>
      <c r="VK266" s="302"/>
      <c r="VL266" s="302"/>
      <c r="VM266" s="302"/>
      <c r="VN266" s="302"/>
      <c r="VO266" s="302"/>
      <c r="VP266" s="302"/>
      <c r="VQ266" s="302"/>
      <c r="VR266" s="302"/>
      <c r="VS266" s="302"/>
      <c r="VT266" s="302"/>
      <c r="VU266" s="302"/>
      <c r="VV266" s="302"/>
      <c r="VW266" s="302"/>
      <c r="VX266" s="302"/>
      <c r="VY266" s="302"/>
      <c r="VZ266" s="302"/>
      <c r="WA266" s="302"/>
      <c r="WB266" s="302"/>
      <c r="WC266" s="302"/>
      <c r="WD266" s="302"/>
      <c r="WE266" s="302"/>
      <c r="WF266" s="302"/>
      <c r="WG266" s="302"/>
      <c r="WH266" s="302"/>
      <c r="WI266" s="302"/>
      <c r="WJ266" s="302"/>
      <c r="WK266" s="302"/>
      <c r="WL266" s="302"/>
      <c r="WM266" s="302"/>
      <c r="WN266" s="302"/>
      <c r="WO266" s="302"/>
      <c r="WP266" s="302"/>
      <c r="WQ266" s="302"/>
      <c r="WR266" s="302"/>
      <c r="WS266" s="302"/>
      <c r="WT266" s="302"/>
      <c r="WU266" s="302"/>
      <c r="WV266" s="302"/>
      <c r="WW266" s="302"/>
      <c r="WX266" s="302"/>
      <c r="WY266" s="302"/>
      <c r="WZ266" s="302"/>
      <c r="XA266" s="302"/>
      <c r="XB266" s="302"/>
      <c r="XC266" s="302"/>
      <c r="XD266" s="302"/>
      <c r="XE266" s="302"/>
      <c r="XF266" s="302"/>
      <c r="XG266" s="302"/>
      <c r="XH266" s="302"/>
      <c r="XI266" s="302"/>
      <c r="XJ266" s="302"/>
      <c r="XK266" s="302"/>
      <c r="XL266" s="302"/>
      <c r="XM266" s="302"/>
      <c r="XN266" s="302"/>
      <c r="XO266" s="302"/>
      <c r="XP266" s="302"/>
      <c r="XQ266" s="302"/>
      <c r="XR266" s="302"/>
      <c r="XS266" s="302"/>
      <c r="XT266" s="302"/>
      <c r="XU266" s="302"/>
      <c r="XV266" s="302"/>
      <c r="XW266" s="302"/>
      <c r="XX266" s="302"/>
      <c r="XY266" s="302"/>
      <c r="XZ266" s="302"/>
      <c r="YA266" s="302"/>
      <c r="YB266" s="302"/>
      <c r="YC266" s="302"/>
      <c r="YD266" s="302"/>
      <c r="YE266" s="302"/>
      <c r="YF266" s="302"/>
      <c r="YG266" s="302"/>
      <c r="YH266" s="302"/>
      <c r="YI266" s="302"/>
      <c r="YJ266" s="302"/>
      <c r="YK266" s="302"/>
      <c r="YL266" s="302"/>
      <c r="YM266" s="302"/>
      <c r="YN266" s="302"/>
      <c r="YO266" s="302"/>
      <c r="YP266" s="302"/>
      <c r="YQ266" s="302"/>
      <c r="YR266" s="302"/>
      <c r="YS266" s="302"/>
      <c r="YT266" s="302"/>
      <c r="YU266" s="302"/>
      <c r="YV266" s="302"/>
      <c r="YW266" s="302"/>
      <c r="YX266" s="302"/>
      <c r="YY266" s="302"/>
      <c r="YZ266" s="302"/>
      <c r="ZA266" s="302"/>
      <c r="ZB266" s="302"/>
      <c r="ZC266" s="302"/>
      <c r="ZD266" s="302"/>
      <c r="ZE266" s="302"/>
      <c r="ZF266" s="302"/>
      <c r="ZG266" s="302"/>
      <c r="ZH266" s="302"/>
      <c r="ZI266" s="302"/>
      <c r="ZJ266" s="302"/>
      <c r="ZK266" s="302"/>
      <c r="ZL266" s="302"/>
      <c r="ZM266" s="302"/>
      <c r="ZN266" s="302"/>
      <c r="ZO266" s="302"/>
      <c r="ZP266" s="302"/>
      <c r="ZQ266" s="302"/>
      <c r="ZR266" s="302"/>
      <c r="ZS266" s="302"/>
      <c r="ZT266" s="302"/>
      <c r="ZU266" s="302"/>
      <c r="ZV266" s="302"/>
      <c r="ZW266" s="302"/>
      <c r="ZX266" s="302"/>
      <c r="ZY266" s="302"/>
      <c r="ZZ266" s="302"/>
      <c r="AAA266" s="302"/>
      <c r="AAB266" s="302"/>
      <c r="AAC266" s="302"/>
      <c r="AAD266" s="302"/>
      <c r="AAE266" s="302"/>
      <c r="AAF266" s="302"/>
      <c r="AAG266" s="302"/>
      <c r="AAH266" s="302"/>
      <c r="AAI266" s="302"/>
      <c r="AAJ266" s="302"/>
      <c r="AAK266" s="302"/>
      <c r="AAL266" s="302"/>
      <c r="AAM266" s="302"/>
      <c r="AAN266" s="302"/>
      <c r="AAO266" s="302"/>
      <c r="AAP266" s="302"/>
      <c r="AAQ266" s="302"/>
      <c r="AAR266" s="302"/>
      <c r="AAS266" s="302"/>
      <c r="AAT266" s="302"/>
      <c r="AAU266" s="302"/>
      <c r="AAV266" s="302"/>
      <c r="AAW266" s="302"/>
      <c r="AAX266" s="302"/>
      <c r="AAY266" s="302"/>
      <c r="AAZ266" s="302"/>
      <c r="ABA266" s="302"/>
      <c r="ABB266" s="302"/>
      <c r="ABC266" s="302"/>
      <c r="ABD266" s="302"/>
      <c r="ABE266" s="302"/>
      <c r="ABF266" s="302"/>
      <c r="ABG266" s="302"/>
      <c r="ABH266" s="302"/>
      <c r="ABI266" s="302"/>
      <c r="ABJ266" s="302"/>
      <c r="ABK266" s="302"/>
      <c r="ABL266" s="302"/>
      <c r="ABM266" s="302"/>
      <c r="ABN266" s="302"/>
      <c r="ABO266" s="302"/>
      <c r="ABP266" s="302"/>
      <c r="ABQ266" s="302"/>
      <c r="ABR266" s="302"/>
      <c r="ABS266" s="302"/>
      <c r="ABT266" s="302"/>
      <c r="ABU266" s="302"/>
      <c r="ABV266" s="302"/>
      <c r="ABW266" s="302"/>
      <c r="ABX266" s="302"/>
      <c r="ABY266" s="302"/>
      <c r="ABZ266" s="302"/>
      <c r="ACA266" s="302"/>
      <c r="ACB266" s="302"/>
      <c r="ACC266" s="302"/>
      <c r="ACD266" s="302"/>
      <c r="ACE266" s="302"/>
      <c r="ACF266" s="302"/>
      <c r="ACG266" s="302"/>
      <c r="ACH266" s="302"/>
      <c r="ACI266" s="302"/>
      <c r="ACJ266" s="302"/>
      <c r="ACK266" s="302"/>
      <c r="ACL266" s="302"/>
      <c r="ACM266" s="302"/>
      <c r="ACN266" s="302"/>
      <c r="ACO266" s="302"/>
      <c r="ACP266" s="302"/>
      <c r="ACQ266" s="302"/>
      <c r="ACR266" s="302"/>
      <c r="ACS266" s="302"/>
      <c r="ACT266" s="302"/>
      <c r="ACU266" s="302"/>
      <c r="ACV266" s="302"/>
      <c r="ACW266" s="302"/>
      <c r="ACX266" s="302"/>
      <c r="ACY266" s="302"/>
      <c r="ACZ266" s="302"/>
      <c r="ADA266" s="302"/>
      <c r="ADB266" s="302"/>
      <c r="ADC266" s="302"/>
      <c r="ADD266" s="302"/>
      <c r="ADE266" s="302"/>
      <c r="ADF266" s="302"/>
      <c r="ADG266" s="302"/>
      <c r="ADH266" s="302"/>
      <c r="ADI266" s="302"/>
      <c r="ADJ266" s="302"/>
      <c r="ADK266" s="302"/>
      <c r="ADL266" s="302"/>
      <c r="ADM266" s="302"/>
      <c r="ADN266" s="302"/>
      <c r="ADO266" s="302"/>
      <c r="ADP266" s="302"/>
      <c r="ADQ266" s="302"/>
      <c r="ADR266" s="302"/>
      <c r="ADS266" s="302"/>
      <c r="ADT266" s="302"/>
      <c r="ADU266" s="302"/>
      <c r="ADV266" s="302"/>
      <c r="ADW266" s="302"/>
      <c r="ADX266" s="302"/>
      <c r="ADY266" s="302"/>
      <c r="ADZ266" s="302"/>
      <c r="AEA266" s="302"/>
      <c r="AEB266" s="302"/>
      <c r="AEC266" s="302"/>
      <c r="AED266" s="302"/>
      <c r="AEE266" s="302"/>
      <c r="AEF266" s="302"/>
      <c r="AEG266" s="302"/>
      <c r="AEH266" s="302"/>
      <c r="AEI266" s="302"/>
      <c r="AEJ266" s="302"/>
      <c r="AEK266" s="302"/>
      <c r="AEL266" s="302"/>
      <c r="AEM266" s="302"/>
      <c r="AEN266" s="302"/>
      <c r="AEO266" s="302"/>
      <c r="AEP266" s="302"/>
      <c r="AEQ266" s="302"/>
      <c r="AER266" s="302"/>
      <c r="AES266" s="302"/>
      <c r="AET266" s="302"/>
      <c r="AEU266" s="302"/>
      <c r="AEV266" s="302"/>
      <c r="AEW266" s="302"/>
      <c r="AEX266" s="302"/>
      <c r="AEY266" s="302"/>
      <c r="AEZ266" s="302"/>
      <c r="AFA266" s="302"/>
      <c r="AFB266" s="302"/>
      <c r="AFC266" s="302"/>
      <c r="AFD266" s="302"/>
      <c r="AFE266" s="302"/>
      <c r="AFF266" s="302"/>
      <c r="AFG266" s="302"/>
      <c r="AFH266" s="302"/>
      <c r="AFI266" s="302"/>
      <c r="AFJ266" s="302"/>
      <c r="AFK266" s="302"/>
      <c r="AFL266" s="302"/>
      <c r="AFM266" s="302"/>
      <c r="AFN266" s="302"/>
      <c r="AFO266" s="302"/>
      <c r="AFP266" s="302"/>
      <c r="AFQ266" s="302"/>
      <c r="AFR266" s="302"/>
      <c r="AFS266" s="302"/>
      <c r="AFT266" s="302"/>
      <c r="AFU266" s="302"/>
      <c r="AFV266" s="302"/>
      <c r="AFW266" s="302"/>
      <c r="AFX266" s="302"/>
      <c r="AFY266" s="302"/>
      <c r="AFZ266" s="302"/>
      <c r="AGA266" s="302"/>
      <c r="AGB266" s="302"/>
      <c r="AGC266" s="302"/>
      <c r="AGD266" s="302"/>
      <c r="AGE266" s="302"/>
      <c r="AGF266" s="302"/>
      <c r="AGG266" s="302"/>
      <c r="AGH266" s="302"/>
      <c r="AGI266" s="302"/>
      <c r="AGJ266" s="302"/>
      <c r="AGK266" s="302"/>
      <c r="AGL266" s="302"/>
      <c r="AGM266" s="302"/>
      <c r="AGN266" s="302"/>
      <c r="AGO266" s="302"/>
      <c r="AGP266" s="302"/>
      <c r="AGQ266" s="302"/>
      <c r="AGR266" s="302"/>
      <c r="AGS266" s="302"/>
      <c r="AGT266" s="302"/>
      <c r="AGU266" s="302"/>
      <c r="AGV266" s="302"/>
      <c r="AGW266" s="302"/>
      <c r="AGX266" s="302"/>
      <c r="AGY266" s="302"/>
      <c r="AGZ266" s="302"/>
      <c r="AHA266" s="302"/>
      <c r="AHB266" s="302"/>
      <c r="AHC266" s="302"/>
      <c r="AHD266" s="302"/>
      <c r="AHE266" s="302"/>
      <c r="AHF266" s="302"/>
      <c r="AHG266" s="302"/>
      <c r="AHH266" s="302"/>
      <c r="AHI266" s="302"/>
      <c r="AHJ266" s="302"/>
      <c r="AHK266" s="302"/>
      <c r="AHL266" s="302"/>
      <c r="AHM266" s="302"/>
      <c r="AHN266" s="302"/>
      <c r="AHO266" s="302"/>
      <c r="AHP266" s="302"/>
      <c r="AHQ266" s="302"/>
      <c r="AHR266" s="302"/>
      <c r="AHS266" s="302"/>
      <c r="AHT266" s="302"/>
      <c r="AHU266" s="302"/>
      <c r="AHV266" s="302"/>
      <c r="AHW266" s="302"/>
      <c r="AHX266" s="302"/>
      <c r="AHY266" s="302"/>
      <c r="AHZ266" s="302"/>
      <c r="AIA266" s="302"/>
      <c r="AIB266" s="302"/>
      <c r="AIC266" s="302"/>
      <c r="AID266" s="302"/>
      <c r="AIE266" s="302"/>
      <c r="AIF266" s="302"/>
      <c r="AIG266" s="302"/>
      <c r="AIH266" s="302"/>
      <c r="AII266" s="302"/>
      <c r="AIJ266" s="302"/>
      <c r="AIK266" s="302"/>
      <c r="AIL266" s="302"/>
      <c r="AIM266" s="302"/>
      <c r="AIN266" s="302"/>
      <c r="AIO266" s="302"/>
      <c r="AIP266" s="302"/>
      <c r="AIQ266" s="302"/>
      <c r="AIR266" s="302"/>
      <c r="AIS266" s="302"/>
      <c r="AIT266" s="302"/>
      <c r="AIU266" s="302"/>
      <c r="AIV266" s="302"/>
      <c r="AIW266" s="302"/>
      <c r="AIX266" s="302"/>
      <c r="AIY266" s="302"/>
      <c r="AIZ266" s="302"/>
      <c r="AJA266" s="302"/>
      <c r="AJB266" s="302"/>
      <c r="AJC266" s="302"/>
      <c r="AJD266" s="302"/>
      <c r="AJE266" s="302"/>
      <c r="AJF266" s="302"/>
      <c r="AJG266" s="302"/>
      <c r="AJH266" s="302"/>
      <c r="AJI266" s="302"/>
      <c r="AJJ266" s="302"/>
      <c r="AJK266" s="302"/>
      <c r="AJL266" s="302"/>
      <c r="AJM266" s="302"/>
      <c r="AJN266" s="302"/>
      <c r="AJO266" s="302"/>
      <c r="AJP266" s="302"/>
      <c r="AJQ266" s="302"/>
      <c r="AJR266" s="302"/>
      <c r="AJS266" s="302"/>
      <c r="AJT266" s="302"/>
      <c r="AJU266" s="302"/>
      <c r="AJV266" s="302"/>
      <c r="AJW266" s="302"/>
      <c r="AJX266" s="302"/>
      <c r="AJY266" s="302"/>
      <c r="AJZ266" s="302"/>
      <c r="AKA266" s="302"/>
      <c r="AKB266" s="302"/>
      <c r="AKC266" s="302"/>
      <c r="AKD266" s="302"/>
      <c r="AKE266" s="302"/>
      <c r="AKF266" s="302"/>
      <c r="AKG266" s="302"/>
      <c r="AKH266" s="302"/>
      <c r="AKI266" s="302"/>
      <c r="AKJ266" s="302"/>
      <c r="AKK266" s="302"/>
      <c r="AKL266" s="302"/>
      <c r="AKM266" s="302"/>
      <c r="AKN266" s="302"/>
      <c r="AKO266" s="302"/>
      <c r="AKP266" s="302"/>
      <c r="AKQ266" s="302"/>
      <c r="AKR266" s="302"/>
      <c r="AKS266" s="302"/>
      <c r="AKT266" s="302"/>
      <c r="AKU266" s="302"/>
      <c r="AKV266" s="302"/>
      <c r="AKW266" s="302"/>
      <c r="AKX266" s="302"/>
      <c r="AKY266" s="302"/>
      <c r="AKZ266" s="302"/>
      <c r="ALA266" s="302"/>
      <c r="ALB266" s="302"/>
      <c r="ALC266" s="302"/>
      <c r="ALD266" s="302"/>
      <c r="ALE266" s="302"/>
      <c r="ALF266" s="302"/>
      <c r="ALG266" s="302"/>
      <c r="ALH266" s="302"/>
      <c r="ALI266" s="302"/>
      <c r="ALJ266" s="302"/>
      <c r="ALK266" s="302"/>
      <c r="ALL266" s="302"/>
      <c r="ALM266" s="302"/>
      <c r="ALN266" s="302"/>
      <c r="ALO266" s="302"/>
      <c r="ALP266" s="302"/>
      <c r="ALQ266" s="302"/>
      <c r="ALR266" s="302"/>
      <c r="ALS266" s="302"/>
      <c r="ALT266" s="302"/>
      <c r="ALU266" s="302"/>
      <c r="ALV266" s="302"/>
      <c r="ALW266" s="302"/>
      <c r="ALX266" s="302"/>
      <c r="ALY266" s="302"/>
      <c r="ALZ266" s="302"/>
      <c r="AMA266" s="302"/>
      <c r="AMB266" s="302"/>
      <c r="AMC266" s="302"/>
      <c r="AMD266" s="302"/>
      <c r="AME266" s="302"/>
      <c r="AMF266" s="302"/>
      <c r="AMG266" s="302"/>
      <c r="AMH266" s="302"/>
      <c r="AMI266" s="302"/>
    </row>
    <row r="267" spans="1:1023" hidden="1">
      <c r="A267" s="302"/>
      <c r="B267" s="442">
        <v>14147</v>
      </c>
      <c r="C267" s="430">
        <v>0.08</v>
      </c>
      <c r="D267" s="370" t="s">
        <v>212</v>
      </c>
      <c r="E267" s="433">
        <v>5300000</v>
      </c>
      <c r="F267" s="500">
        <v>0.01</v>
      </c>
      <c r="G267" s="364">
        <f t="shared" si="14"/>
        <v>53000</v>
      </c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2"/>
      <c r="AE267" s="302"/>
      <c r="AF267" s="302"/>
      <c r="AG267" s="302"/>
      <c r="AH267" s="302"/>
      <c r="AI267" s="302"/>
      <c r="AJ267" s="302"/>
      <c r="AK267" s="302"/>
      <c r="AL267" s="302"/>
      <c r="AM267" s="302"/>
      <c r="AN267" s="302"/>
      <c r="AO267" s="302"/>
      <c r="AP267" s="302"/>
      <c r="AQ267" s="302"/>
      <c r="AR267" s="302"/>
      <c r="AS267" s="302"/>
      <c r="AT267" s="302"/>
      <c r="AU267" s="302"/>
      <c r="AV267" s="302"/>
      <c r="AW267" s="302"/>
      <c r="AX267" s="302"/>
      <c r="AY267" s="302"/>
      <c r="AZ267" s="302"/>
      <c r="BA267" s="302"/>
      <c r="BB267" s="302"/>
      <c r="BC267" s="302"/>
      <c r="BD267" s="302"/>
      <c r="BE267" s="302"/>
      <c r="BF267" s="302"/>
      <c r="BG267" s="302"/>
      <c r="BH267" s="302"/>
      <c r="BI267" s="302"/>
      <c r="BJ267" s="302"/>
      <c r="BK267" s="302"/>
      <c r="BL267" s="302"/>
      <c r="BM267" s="302"/>
      <c r="BN267" s="302"/>
      <c r="BO267" s="302"/>
      <c r="BP267" s="302"/>
      <c r="BQ267" s="302"/>
      <c r="BR267" s="302"/>
      <c r="BS267" s="302"/>
      <c r="BT267" s="302"/>
      <c r="BU267" s="302"/>
      <c r="BV267" s="302"/>
      <c r="BW267" s="302"/>
      <c r="BX267" s="302"/>
      <c r="BY267" s="302"/>
      <c r="BZ267" s="302"/>
      <c r="CA267" s="302"/>
      <c r="CB267" s="302"/>
      <c r="CC267" s="302"/>
      <c r="CD267" s="302"/>
      <c r="CE267" s="302"/>
      <c r="CF267" s="302"/>
      <c r="CG267" s="302"/>
      <c r="CH267" s="302"/>
      <c r="CI267" s="302"/>
      <c r="CJ267" s="302"/>
      <c r="CK267" s="302"/>
      <c r="CL267" s="302"/>
      <c r="CM267" s="302"/>
      <c r="CN267" s="302"/>
      <c r="CO267" s="302"/>
      <c r="CP267" s="302"/>
      <c r="CQ267" s="302"/>
      <c r="CR267" s="302"/>
      <c r="CS267" s="302"/>
      <c r="CT267" s="302"/>
      <c r="CU267" s="302"/>
      <c r="CV267" s="302"/>
      <c r="CW267" s="302"/>
      <c r="CX267" s="302"/>
      <c r="CY267" s="302"/>
      <c r="CZ267" s="302"/>
      <c r="DA267" s="302"/>
      <c r="DB267" s="302"/>
      <c r="DC267" s="302"/>
      <c r="DD267" s="302"/>
      <c r="DE267" s="302"/>
      <c r="DF267" s="302"/>
      <c r="DG267" s="302"/>
      <c r="DH267" s="302"/>
      <c r="DI267" s="302"/>
      <c r="DJ267" s="302"/>
      <c r="DK267" s="302"/>
      <c r="DL267" s="302"/>
      <c r="DM267" s="302"/>
      <c r="DN267" s="302"/>
      <c r="DO267" s="302"/>
      <c r="DP267" s="302"/>
      <c r="DQ267" s="302"/>
      <c r="DR267" s="302"/>
      <c r="DS267" s="302"/>
      <c r="DT267" s="302"/>
      <c r="DU267" s="302"/>
      <c r="DV267" s="302"/>
      <c r="DW267" s="302"/>
      <c r="DX267" s="302"/>
      <c r="DY267" s="302"/>
      <c r="DZ267" s="302"/>
      <c r="EA267" s="302"/>
      <c r="EB267" s="302"/>
      <c r="EC267" s="302"/>
      <c r="ED267" s="302"/>
      <c r="EE267" s="302"/>
      <c r="EF267" s="302"/>
      <c r="EG267" s="302"/>
      <c r="EH267" s="302"/>
      <c r="EI267" s="302"/>
      <c r="EJ267" s="302"/>
      <c r="EK267" s="302"/>
      <c r="EL267" s="302"/>
      <c r="EM267" s="302"/>
      <c r="EN267" s="302"/>
      <c r="EO267" s="302"/>
      <c r="EP267" s="302"/>
      <c r="EQ267" s="302"/>
      <c r="ER267" s="302"/>
      <c r="ES267" s="302"/>
      <c r="ET267" s="302"/>
      <c r="EU267" s="302"/>
      <c r="EV267" s="302"/>
      <c r="EW267" s="302"/>
      <c r="EX267" s="302"/>
      <c r="EY267" s="302"/>
      <c r="EZ267" s="302"/>
      <c r="FA267" s="302"/>
      <c r="FB267" s="302"/>
      <c r="FC267" s="302"/>
      <c r="FD267" s="302"/>
      <c r="FE267" s="302"/>
      <c r="FF267" s="302"/>
      <c r="FG267" s="302"/>
      <c r="FH267" s="302"/>
      <c r="FI267" s="302"/>
      <c r="FJ267" s="302"/>
      <c r="FK267" s="302"/>
      <c r="FL267" s="302"/>
      <c r="FM267" s="302"/>
      <c r="FN267" s="302"/>
      <c r="FO267" s="302"/>
      <c r="FP267" s="302"/>
      <c r="FQ267" s="302"/>
      <c r="FR267" s="302"/>
      <c r="FS267" s="302"/>
      <c r="FT267" s="302"/>
      <c r="FU267" s="302"/>
      <c r="FV267" s="302"/>
      <c r="FW267" s="302"/>
      <c r="FX267" s="302"/>
      <c r="FY267" s="302"/>
      <c r="FZ267" s="302"/>
      <c r="GA267" s="302"/>
      <c r="GB267" s="302"/>
      <c r="GC267" s="302"/>
      <c r="GD267" s="302"/>
      <c r="GE267" s="302"/>
      <c r="GF267" s="302"/>
      <c r="GG267" s="302"/>
      <c r="GH267" s="302"/>
      <c r="GI267" s="302"/>
      <c r="GJ267" s="302"/>
      <c r="GK267" s="302"/>
      <c r="GL267" s="302"/>
      <c r="GM267" s="302"/>
      <c r="GN267" s="302"/>
      <c r="GO267" s="302"/>
      <c r="GP267" s="302"/>
      <c r="GQ267" s="302"/>
      <c r="GR267" s="302"/>
      <c r="GS267" s="302"/>
      <c r="GT267" s="302"/>
      <c r="GU267" s="302"/>
      <c r="GV267" s="302"/>
      <c r="GW267" s="302"/>
      <c r="GX267" s="302"/>
      <c r="GY267" s="302"/>
      <c r="GZ267" s="302"/>
      <c r="HA267" s="302"/>
      <c r="HB267" s="302"/>
      <c r="HC267" s="302"/>
      <c r="HD267" s="302"/>
      <c r="HE267" s="302"/>
      <c r="HF267" s="302"/>
      <c r="HG267" s="302"/>
      <c r="HH267" s="302"/>
      <c r="HI267" s="302"/>
      <c r="HJ267" s="302"/>
      <c r="HK267" s="302"/>
      <c r="HL267" s="302"/>
      <c r="HM267" s="302"/>
      <c r="HN267" s="302"/>
      <c r="HO267" s="302"/>
      <c r="HP267" s="302"/>
      <c r="HQ267" s="302"/>
      <c r="HR267" s="302"/>
      <c r="HS267" s="302"/>
      <c r="HT267" s="302"/>
      <c r="HU267" s="302"/>
      <c r="HV267" s="302"/>
      <c r="HW267" s="302"/>
      <c r="HX267" s="302"/>
      <c r="HY267" s="302"/>
      <c r="HZ267" s="302"/>
      <c r="IA267" s="302"/>
      <c r="IB267" s="302"/>
      <c r="IC267" s="302"/>
      <c r="ID267" s="302"/>
      <c r="IE267" s="302"/>
      <c r="IF267" s="302"/>
      <c r="IG267" s="302"/>
      <c r="IH267" s="302"/>
      <c r="II267" s="302"/>
      <c r="IJ267" s="302"/>
      <c r="IK267" s="302"/>
      <c r="IL267" s="302"/>
      <c r="IM267" s="302"/>
      <c r="IN267" s="302"/>
      <c r="IO267" s="302"/>
      <c r="IP267" s="302"/>
      <c r="IQ267" s="302"/>
      <c r="IR267" s="302"/>
      <c r="IS267" s="302"/>
      <c r="IT267" s="302"/>
      <c r="IU267" s="302"/>
      <c r="IV267" s="302"/>
      <c r="IW267" s="302"/>
      <c r="IX267" s="302"/>
      <c r="IY267" s="302"/>
      <c r="IZ267" s="302"/>
      <c r="JA267" s="302"/>
      <c r="JB267" s="302"/>
      <c r="JC267" s="302"/>
      <c r="JD267" s="302"/>
      <c r="JE267" s="302"/>
      <c r="JF267" s="302"/>
      <c r="JG267" s="302"/>
      <c r="JH267" s="302"/>
      <c r="JI267" s="302"/>
      <c r="JJ267" s="302"/>
      <c r="JK267" s="302"/>
      <c r="JL267" s="302"/>
      <c r="JM267" s="302"/>
      <c r="JN267" s="302"/>
      <c r="JO267" s="302"/>
      <c r="JP267" s="302"/>
      <c r="JQ267" s="302"/>
      <c r="JR267" s="302"/>
      <c r="JS267" s="302"/>
      <c r="JT267" s="302"/>
      <c r="JU267" s="302"/>
      <c r="JV267" s="302"/>
      <c r="JW267" s="302"/>
      <c r="JX267" s="302"/>
      <c r="JY267" s="302"/>
      <c r="JZ267" s="302"/>
      <c r="KA267" s="302"/>
      <c r="KB267" s="302"/>
      <c r="KC267" s="302"/>
      <c r="KD267" s="302"/>
      <c r="KE267" s="302"/>
      <c r="KF267" s="302"/>
      <c r="KG267" s="302"/>
      <c r="KH267" s="302"/>
      <c r="KI267" s="302"/>
      <c r="KJ267" s="302"/>
      <c r="KK267" s="302"/>
      <c r="KL267" s="302"/>
      <c r="KM267" s="302"/>
      <c r="KN267" s="302"/>
      <c r="KO267" s="302"/>
      <c r="KP267" s="302"/>
      <c r="KQ267" s="302"/>
      <c r="KR267" s="302"/>
      <c r="KS267" s="302"/>
      <c r="KT267" s="302"/>
      <c r="KU267" s="302"/>
      <c r="KV267" s="302"/>
      <c r="KW267" s="302"/>
      <c r="KX267" s="302"/>
      <c r="KY267" s="302"/>
      <c r="KZ267" s="302"/>
      <c r="LA267" s="302"/>
      <c r="LB267" s="302"/>
      <c r="LC267" s="302"/>
      <c r="LD267" s="302"/>
      <c r="LE267" s="302"/>
      <c r="LF267" s="302"/>
      <c r="LG267" s="302"/>
      <c r="LH267" s="302"/>
      <c r="LI267" s="302"/>
      <c r="LJ267" s="302"/>
      <c r="LK267" s="302"/>
      <c r="LL267" s="302"/>
      <c r="LM267" s="302"/>
      <c r="LN267" s="302"/>
      <c r="LO267" s="302"/>
      <c r="LP267" s="302"/>
      <c r="LQ267" s="302"/>
      <c r="LR267" s="302"/>
      <c r="LS267" s="302"/>
      <c r="LT267" s="302"/>
      <c r="LU267" s="302"/>
      <c r="LV267" s="302"/>
      <c r="LW267" s="302"/>
      <c r="LX267" s="302"/>
      <c r="LY267" s="302"/>
      <c r="LZ267" s="302"/>
      <c r="MA267" s="302"/>
      <c r="MB267" s="302"/>
      <c r="MC267" s="302"/>
      <c r="MD267" s="302"/>
      <c r="ME267" s="302"/>
      <c r="MF267" s="302"/>
      <c r="MG267" s="302"/>
      <c r="MH267" s="302"/>
      <c r="MI267" s="302"/>
      <c r="MJ267" s="302"/>
      <c r="MK267" s="302"/>
      <c r="ML267" s="302"/>
      <c r="MM267" s="302"/>
      <c r="MN267" s="302"/>
      <c r="MO267" s="302"/>
      <c r="MP267" s="302"/>
      <c r="MQ267" s="302"/>
      <c r="MR267" s="302"/>
      <c r="MS267" s="302"/>
      <c r="MT267" s="302"/>
      <c r="MU267" s="302"/>
      <c r="MV267" s="302"/>
      <c r="MW267" s="302"/>
      <c r="MX267" s="302"/>
      <c r="MY267" s="302"/>
      <c r="MZ267" s="302"/>
      <c r="NA267" s="302"/>
      <c r="NB267" s="302"/>
      <c r="NC267" s="302"/>
      <c r="ND267" s="302"/>
      <c r="NE267" s="302"/>
      <c r="NF267" s="302"/>
      <c r="NG267" s="302"/>
      <c r="NH267" s="302"/>
      <c r="NI267" s="302"/>
      <c r="NJ267" s="302"/>
      <c r="NK267" s="302"/>
      <c r="NL267" s="302"/>
      <c r="NM267" s="302"/>
      <c r="NN267" s="302"/>
      <c r="NO267" s="302"/>
      <c r="NP267" s="302"/>
      <c r="NQ267" s="302"/>
      <c r="NR267" s="302"/>
      <c r="NS267" s="302"/>
      <c r="NT267" s="302"/>
      <c r="NU267" s="302"/>
      <c r="NV267" s="302"/>
      <c r="NW267" s="302"/>
      <c r="NX267" s="302"/>
      <c r="NY267" s="302"/>
      <c r="NZ267" s="302"/>
      <c r="OA267" s="302"/>
      <c r="OB267" s="302"/>
      <c r="OC267" s="302"/>
      <c r="OD267" s="302"/>
      <c r="OE267" s="302"/>
      <c r="OF267" s="302"/>
      <c r="OG267" s="302"/>
      <c r="OH267" s="302"/>
      <c r="OI267" s="302"/>
      <c r="OJ267" s="302"/>
      <c r="OK267" s="302"/>
      <c r="OL267" s="302"/>
      <c r="OM267" s="302"/>
      <c r="ON267" s="302"/>
      <c r="OO267" s="302"/>
      <c r="OP267" s="302"/>
      <c r="OQ267" s="302"/>
      <c r="OR267" s="302"/>
      <c r="OS267" s="302"/>
      <c r="OT267" s="302"/>
      <c r="OU267" s="302"/>
      <c r="OV267" s="302"/>
      <c r="OW267" s="302"/>
      <c r="OX267" s="302"/>
      <c r="OY267" s="302"/>
      <c r="OZ267" s="302"/>
      <c r="PA267" s="302"/>
      <c r="PB267" s="302"/>
      <c r="PC267" s="302"/>
      <c r="PD267" s="302"/>
      <c r="PE267" s="302"/>
      <c r="PF267" s="302"/>
      <c r="PG267" s="302"/>
      <c r="PH267" s="302"/>
      <c r="PI267" s="302"/>
      <c r="PJ267" s="302"/>
      <c r="PK267" s="302"/>
      <c r="PL267" s="302"/>
      <c r="PM267" s="302"/>
      <c r="PN267" s="302"/>
      <c r="PO267" s="302"/>
      <c r="PP267" s="302"/>
      <c r="PQ267" s="302"/>
      <c r="PR267" s="302"/>
      <c r="PS267" s="302"/>
      <c r="PT267" s="302"/>
      <c r="PU267" s="302"/>
      <c r="PV267" s="302"/>
      <c r="PW267" s="302"/>
      <c r="PX267" s="302"/>
      <c r="PY267" s="302"/>
      <c r="PZ267" s="302"/>
      <c r="QA267" s="302"/>
      <c r="QB267" s="302"/>
      <c r="QC267" s="302"/>
      <c r="QD267" s="302"/>
      <c r="QE267" s="302"/>
      <c r="QF267" s="302"/>
      <c r="QG267" s="302"/>
      <c r="QH267" s="302"/>
      <c r="QI267" s="302"/>
      <c r="QJ267" s="302"/>
      <c r="QK267" s="302"/>
      <c r="QL267" s="302"/>
      <c r="QM267" s="302"/>
      <c r="QN267" s="302"/>
      <c r="QO267" s="302"/>
      <c r="QP267" s="302"/>
      <c r="QQ267" s="302"/>
      <c r="QR267" s="302"/>
      <c r="QS267" s="302"/>
      <c r="QT267" s="302"/>
      <c r="QU267" s="302"/>
      <c r="QV267" s="302"/>
      <c r="QW267" s="302"/>
      <c r="QX267" s="302"/>
      <c r="QY267" s="302"/>
      <c r="QZ267" s="302"/>
      <c r="RA267" s="302"/>
      <c r="RB267" s="302"/>
      <c r="RC267" s="302"/>
      <c r="RD267" s="302"/>
      <c r="RE267" s="302"/>
      <c r="RF267" s="302"/>
      <c r="RG267" s="302"/>
      <c r="RH267" s="302"/>
      <c r="RI267" s="302"/>
      <c r="RJ267" s="302"/>
      <c r="RK267" s="302"/>
      <c r="RL267" s="302"/>
      <c r="RM267" s="302"/>
      <c r="RN267" s="302"/>
      <c r="RO267" s="302"/>
      <c r="RP267" s="302"/>
      <c r="RQ267" s="302"/>
      <c r="RR267" s="302"/>
      <c r="RS267" s="302"/>
      <c r="RT267" s="302"/>
      <c r="RU267" s="302"/>
      <c r="RV267" s="302"/>
      <c r="RW267" s="302"/>
      <c r="RX267" s="302"/>
      <c r="RY267" s="302"/>
      <c r="RZ267" s="302"/>
      <c r="SA267" s="302"/>
      <c r="SB267" s="302"/>
      <c r="SC267" s="302"/>
      <c r="SD267" s="302"/>
      <c r="SE267" s="302"/>
      <c r="SF267" s="302"/>
      <c r="SG267" s="302"/>
      <c r="SH267" s="302"/>
      <c r="SI267" s="302"/>
      <c r="SJ267" s="302"/>
      <c r="SK267" s="302"/>
      <c r="SL267" s="302"/>
      <c r="SM267" s="302"/>
      <c r="SN267" s="302"/>
      <c r="SO267" s="302"/>
      <c r="SP267" s="302"/>
      <c r="SQ267" s="302"/>
      <c r="SR267" s="302"/>
      <c r="SS267" s="302"/>
      <c r="ST267" s="302"/>
      <c r="SU267" s="302"/>
      <c r="SV267" s="302"/>
      <c r="SW267" s="302"/>
      <c r="SX267" s="302"/>
      <c r="SY267" s="302"/>
      <c r="SZ267" s="302"/>
      <c r="TA267" s="302"/>
      <c r="TB267" s="302"/>
      <c r="TC267" s="302"/>
      <c r="TD267" s="302"/>
      <c r="TE267" s="302"/>
      <c r="TF267" s="302"/>
      <c r="TG267" s="302"/>
      <c r="TH267" s="302"/>
      <c r="TI267" s="302"/>
      <c r="TJ267" s="302"/>
      <c r="TK267" s="302"/>
      <c r="TL267" s="302"/>
      <c r="TM267" s="302"/>
      <c r="TN267" s="302"/>
      <c r="TO267" s="302"/>
      <c r="TP267" s="302"/>
      <c r="TQ267" s="302"/>
      <c r="TR267" s="302"/>
      <c r="TS267" s="302"/>
      <c r="TT267" s="302"/>
      <c r="TU267" s="302"/>
      <c r="TV267" s="302"/>
      <c r="TW267" s="302"/>
      <c r="TX267" s="302"/>
      <c r="TY267" s="302"/>
      <c r="TZ267" s="302"/>
      <c r="UA267" s="302"/>
      <c r="UB267" s="302"/>
      <c r="UC267" s="302"/>
      <c r="UD267" s="302"/>
      <c r="UE267" s="302"/>
      <c r="UF267" s="302"/>
      <c r="UG267" s="302"/>
      <c r="UH267" s="302"/>
      <c r="UI267" s="302"/>
      <c r="UJ267" s="302"/>
      <c r="UK267" s="302"/>
      <c r="UL267" s="302"/>
      <c r="UM267" s="302"/>
      <c r="UN267" s="302"/>
      <c r="UO267" s="302"/>
      <c r="UP267" s="302"/>
      <c r="UQ267" s="302"/>
      <c r="UR267" s="302"/>
      <c r="US267" s="302"/>
      <c r="UT267" s="302"/>
      <c r="UU267" s="302"/>
      <c r="UV267" s="302"/>
      <c r="UW267" s="302"/>
      <c r="UX267" s="302"/>
      <c r="UY267" s="302"/>
      <c r="UZ267" s="302"/>
      <c r="VA267" s="302"/>
      <c r="VB267" s="302"/>
      <c r="VC267" s="302"/>
      <c r="VD267" s="302"/>
      <c r="VE267" s="302"/>
      <c r="VF267" s="302"/>
      <c r="VG267" s="302"/>
      <c r="VH267" s="302"/>
      <c r="VI267" s="302"/>
      <c r="VJ267" s="302"/>
      <c r="VK267" s="302"/>
      <c r="VL267" s="302"/>
      <c r="VM267" s="302"/>
      <c r="VN267" s="302"/>
      <c r="VO267" s="302"/>
      <c r="VP267" s="302"/>
      <c r="VQ267" s="302"/>
      <c r="VR267" s="302"/>
      <c r="VS267" s="302"/>
      <c r="VT267" s="302"/>
      <c r="VU267" s="302"/>
      <c r="VV267" s="302"/>
      <c r="VW267" s="302"/>
      <c r="VX267" s="302"/>
      <c r="VY267" s="302"/>
      <c r="VZ267" s="302"/>
      <c r="WA267" s="302"/>
      <c r="WB267" s="302"/>
      <c r="WC267" s="302"/>
      <c r="WD267" s="302"/>
      <c r="WE267" s="302"/>
      <c r="WF267" s="302"/>
      <c r="WG267" s="302"/>
      <c r="WH267" s="302"/>
      <c r="WI267" s="302"/>
      <c r="WJ267" s="302"/>
      <c r="WK267" s="302"/>
      <c r="WL267" s="302"/>
      <c r="WM267" s="302"/>
      <c r="WN267" s="302"/>
      <c r="WO267" s="302"/>
      <c r="WP267" s="302"/>
      <c r="WQ267" s="302"/>
      <c r="WR267" s="302"/>
      <c r="WS267" s="302"/>
      <c r="WT267" s="302"/>
      <c r="WU267" s="302"/>
      <c r="WV267" s="302"/>
      <c r="WW267" s="302"/>
      <c r="WX267" s="302"/>
      <c r="WY267" s="302"/>
      <c r="WZ267" s="302"/>
      <c r="XA267" s="302"/>
      <c r="XB267" s="302"/>
      <c r="XC267" s="302"/>
      <c r="XD267" s="302"/>
      <c r="XE267" s="302"/>
      <c r="XF267" s="302"/>
      <c r="XG267" s="302"/>
      <c r="XH267" s="302"/>
      <c r="XI267" s="302"/>
      <c r="XJ267" s="302"/>
      <c r="XK267" s="302"/>
      <c r="XL267" s="302"/>
      <c r="XM267" s="302"/>
      <c r="XN267" s="302"/>
      <c r="XO267" s="302"/>
      <c r="XP267" s="302"/>
      <c r="XQ267" s="302"/>
      <c r="XR267" s="302"/>
      <c r="XS267" s="302"/>
      <c r="XT267" s="302"/>
      <c r="XU267" s="302"/>
      <c r="XV267" s="302"/>
      <c r="XW267" s="302"/>
      <c r="XX267" s="302"/>
      <c r="XY267" s="302"/>
      <c r="XZ267" s="302"/>
      <c r="YA267" s="302"/>
      <c r="YB267" s="302"/>
      <c r="YC267" s="302"/>
      <c r="YD267" s="302"/>
      <c r="YE267" s="302"/>
      <c r="YF267" s="302"/>
      <c r="YG267" s="302"/>
      <c r="YH267" s="302"/>
      <c r="YI267" s="302"/>
      <c r="YJ267" s="302"/>
      <c r="YK267" s="302"/>
      <c r="YL267" s="302"/>
      <c r="YM267" s="302"/>
      <c r="YN267" s="302"/>
      <c r="YO267" s="302"/>
      <c r="YP267" s="302"/>
      <c r="YQ267" s="302"/>
      <c r="YR267" s="302"/>
      <c r="YS267" s="302"/>
      <c r="YT267" s="302"/>
      <c r="YU267" s="302"/>
      <c r="YV267" s="302"/>
      <c r="YW267" s="302"/>
      <c r="YX267" s="302"/>
      <c r="YY267" s="302"/>
      <c r="YZ267" s="302"/>
      <c r="ZA267" s="302"/>
      <c r="ZB267" s="302"/>
      <c r="ZC267" s="302"/>
      <c r="ZD267" s="302"/>
      <c r="ZE267" s="302"/>
      <c r="ZF267" s="302"/>
      <c r="ZG267" s="302"/>
      <c r="ZH267" s="302"/>
      <c r="ZI267" s="302"/>
      <c r="ZJ267" s="302"/>
      <c r="ZK267" s="302"/>
      <c r="ZL267" s="302"/>
      <c r="ZM267" s="302"/>
      <c r="ZN267" s="302"/>
      <c r="ZO267" s="302"/>
      <c r="ZP267" s="302"/>
      <c r="ZQ267" s="302"/>
      <c r="ZR267" s="302"/>
      <c r="ZS267" s="302"/>
      <c r="ZT267" s="302"/>
      <c r="ZU267" s="302"/>
      <c r="ZV267" s="302"/>
      <c r="ZW267" s="302"/>
      <c r="ZX267" s="302"/>
      <c r="ZY267" s="302"/>
      <c r="ZZ267" s="302"/>
      <c r="AAA267" s="302"/>
      <c r="AAB267" s="302"/>
      <c r="AAC267" s="302"/>
      <c r="AAD267" s="302"/>
      <c r="AAE267" s="302"/>
      <c r="AAF267" s="302"/>
      <c r="AAG267" s="302"/>
      <c r="AAH267" s="302"/>
      <c r="AAI267" s="302"/>
      <c r="AAJ267" s="302"/>
      <c r="AAK267" s="302"/>
      <c r="AAL267" s="302"/>
      <c r="AAM267" s="302"/>
      <c r="AAN267" s="302"/>
      <c r="AAO267" s="302"/>
      <c r="AAP267" s="302"/>
      <c r="AAQ267" s="302"/>
      <c r="AAR267" s="302"/>
      <c r="AAS267" s="302"/>
      <c r="AAT267" s="302"/>
      <c r="AAU267" s="302"/>
      <c r="AAV267" s="302"/>
      <c r="AAW267" s="302"/>
      <c r="AAX267" s="302"/>
      <c r="AAY267" s="302"/>
      <c r="AAZ267" s="302"/>
      <c r="ABA267" s="302"/>
      <c r="ABB267" s="302"/>
      <c r="ABC267" s="302"/>
      <c r="ABD267" s="302"/>
      <c r="ABE267" s="302"/>
      <c r="ABF267" s="302"/>
      <c r="ABG267" s="302"/>
      <c r="ABH267" s="302"/>
      <c r="ABI267" s="302"/>
      <c r="ABJ267" s="302"/>
      <c r="ABK267" s="302"/>
      <c r="ABL267" s="302"/>
      <c r="ABM267" s="302"/>
      <c r="ABN267" s="302"/>
      <c r="ABO267" s="302"/>
      <c r="ABP267" s="302"/>
      <c r="ABQ267" s="302"/>
      <c r="ABR267" s="302"/>
      <c r="ABS267" s="302"/>
      <c r="ABT267" s="302"/>
      <c r="ABU267" s="302"/>
      <c r="ABV267" s="302"/>
      <c r="ABW267" s="302"/>
      <c r="ABX267" s="302"/>
      <c r="ABY267" s="302"/>
      <c r="ABZ267" s="302"/>
      <c r="ACA267" s="302"/>
      <c r="ACB267" s="302"/>
      <c r="ACC267" s="302"/>
      <c r="ACD267" s="302"/>
      <c r="ACE267" s="302"/>
      <c r="ACF267" s="302"/>
      <c r="ACG267" s="302"/>
      <c r="ACH267" s="302"/>
      <c r="ACI267" s="302"/>
      <c r="ACJ267" s="302"/>
      <c r="ACK267" s="302"/>
      <c r="ACL267" s="302"/>
      <c r="ACM267" s="302"/>
      <c r="ACN267" s="302"/>
      <c r="ACO267" s="302"/>
      <c r="ACP267" s="302"/>
      <c r="ACQ267" s="302"/>
      <c r="ACR267" s="302"/>
      <c r="ACS267" s="302"/>
      <c r="ACT267" s="302"/>
      <c r="ACU267" s="302"/>
      <c r="ACV267" s="302"/>
      <c r="ACW267" s="302"/>
      <c r="ACX267" s="302"/>
      <c r="ACY267" s="302"/>
      <c r="ACZ267" s="302"/>
      <c r="ADA267" s="302"/>
      <c r="ADB267" s="302"/>
      <c r="ADC267" s="302"/>
      <c r="ADD267" s="302"/>
      <c r="ADE267" s="302"/>
      <c r="ADF267" s="302"/>
      <c r="ADG267" s="302"/>
      <c r="ADH267" s="302"/>
      <c r="ADI267" s="302"/>
      <c r="ADJ267" s="302"/>
      <c r="ADK267" s="302"/>
      <c r="ADL267" s="302"/>
      <c r="ADM267" s="302"/>
      <c r="ADN267" s="302"/>
      <c r="ADO267" s="302"/>
      <c r="ADP267" s="302"/>
      <c r="ADQ267" s="302"/>
      <c r="ADR267" s="302"/>
      <c r="ADS267" s="302"/>
      <c r="ADT267" s="302"/>
      <c r="ADU267" s="302"/>
      <c r="ADV267" s="302"/>
      <c r="ADW267" s="302"/>
      <c r="ADX267" s="302"/>
      <c r="ADY267" s="302"/>
      <c r="ADZ267" s="302"/>
      <c r="AEA267" s="302"/>
      <c r="AEB267" s="302"/>
      <c r="AEC267" s="302"/>
      <c r="AED267" s="302"/>
      <c r="AEE267" s="302"/>
      <c r="AEF267" s="302"/>
      <c r="AEG267" s="302"/>
      <c r="AEH267" s="302"/>
      <c r="AEI267" s="302"/>
      <c r="AEJ267" s="302"/>
      <c r="AEK267" s="302"/>
      <c r="AEL267" s="302"/>
      <c r="AEM267" s="302"/>
      <c r="AEN267" s="302"/>
      <c r="AEO267" s="302"/>
      <c r="AEP267" s="302"/>
      <c r="AEQ267" s="302"/>
      <c r="AER267" s="302"/>
      <c r="AES267" s="302"/>
      <c r="AET267" s="302"/>
      <c r="AEU267" s="302"/>
      <c r="AEV267" s="302"/>
      <c r="AEW267" s="302"/>
      <c r="AEX267" s="302"/>
      <c r="AEY267" s="302"/>
      <c r="AEZ267" s="302"/>
      <c r="AFA267" s="302"/>
      <c r="AFB267" s="302"/>
      <c r="AFC267" s="302"/>
      <c r="AFD267" s="302"/>
      <c r="AFE267" s="302"/>
      <c r="AFF267" s="302"/>
      <c r="AFG267" s="302"/>
      <c r="AFH267" s="302"/>
      <c r="AFI267" s="302"/>
      <c r="AFJ267" s="302"/>
      <c r="AFK267" s="302"/>
      <c r="AFL267" s="302"/>
      <c r="AFM267" s="302"/>
      <c r="AFN267" s="302"/>
      <c r="AFO267" s="302"/>
      <c r="AFP267" s="302"/>
      <c r="AFQ267" s="302"/>
      <c r="AFR267" s="302"/>
      <c r="AFS267" s="302"/>
      <c r="AFT267" s="302"/>
      <c r="AFU267" s="302"/>
      <c r="AFV267" s="302"/>
      <c r="AFW267" s="302"/>
      <c r="AFX267" s="302"/>
      <c r="AFY267" s="302"/>
      <c r="AFZ267" s="302"/>
      <c r="AGA267" s="302"/>
      <c r="AGB267" s="302"/>
      <c r="AGC267" s="302"/>
      <c r="AGD267" s="302"/>
      <c r="AGE267" s="302"/>
      <c r="AGF267" s="302"/>
      <c r="AGG267" s="302"/>
      <c r="AGH267" s="302"/>
      <c r="AGI267" s="302"/>
      <c r="AGJ267" s="302"/>
      <c r="AGK267" s="302"/>
      <c r="AGL267" s="302"/>
      <c r="AGM267" s="302"/>
      <c r="AGN267" s="302"/>
      <c r="AGO267" s="302"/>
      <c r="AGP267" s="302"/>
      <c r="AGQ267" s="302"/>
      <c r="AGR267" s="302"/>
      <c r="AGS267" s="302"/>
      <c r="AGT267" s="302"/>
      <c r="AGU267" s="302"/>
      <c r="AGV267" s="302"/>
      <c r="AGW267" s="302"/>
      <c r="AGX267" s="302"/>
      <c r="AGY267" s="302"/>
      <c r="AGZ267" s="302"/>
      <c r="AHA267" s="302"/>
      <c r="AHB267" s="302"/>
      <c r="AHC267" s="302"/>
      <c r="AHD267" s="302"/>
      <c r="AHE267" s="302"/>
      <c r="AHF267" s="302"/>
      <c r="AHG267" s="302"/>
      <c r="AHH267" s="302"/>
      <c r="AHI267" s="302"/>
      <c r="AHJ267" s="302"/>
      <c r="AHK267" s="302"/>
      <c r="AHL267" s="302"/>
      <c r="AHM267" s="302"/>
      <c r="AHN267" s="302"/>
      <c r="AHO267" s="302"/>
      <c r="AHP267" s="302"/>
      <c r="AHQ267" s="302"/>
      <c r="AHR267" s="302"/>
      <c r="AHS267" s="302"/>
      <c r="AHT267" s="302"/>
      <c r="AHU267" s="302"/>
      <c r="AHV267" s="302"/>
      <c r="AHW267" s="302"/>
      <c r="AHX267" s="302"/>
      <c r="AHY267" s="302"/>
      <c r="AHZ267" s="302"/>
      <c r="AIA267" s="302"/>
      <c r="AIB267" s="302"/>
      <c r="AIC267" s="302"/>
      <c r="AID267" s="302"/>
      <c r="AIE267" s="302"/>
      <c r="AIF267" s="302"/>
      <c r="AIG267" s="302"/>
      <c r="AIH267" s="302"/>
      <c r="AII267" s="302"/>
      <c r="AIJ267" s="302"/>
      <c r="AIK267" s="302"/>
      <c r="AIL267" s="302"/>
      <c r="AIM267" s="302"/>
      <c r="AIN267" s="302"/>
      <c r="AIO267" s="302"/>
      <c r="AIP267" s="302"/>
      <c r="AIQ267" s="302"/>
      <c r="AIR267" s="302"/>
      <c r="AIS267" s="302"/>
      <c r="AIT267" s="302"/>
      <c r="AIU267" s="302"/>
      <c r="AIV267" s="302"/>
      <c r="AIW267" s="302"/>
      <c r="AIX267" s="302"/>
      <c r="AIY267" s="302"/>
      <c r="AIZ267" s="302"/>
      <c r="AJA267" s="302"/>
      <c r="AJB267" s="302"/>
      <c r="AJC267" s="302"/>
      <c r="AJD267" s="302"/>
      <c r="AJE267" s="302"/>
      <c r="AJF267" s="302"/>
      <c r="AJG267" s="302"/>
      <c r="AJH267" s="302"/>
      <c r="AJI267" s="302"/>
      <c r="AJJ267" s="302"/>
      <c r="AJK267" s="302"/>
      <c r="AJL267" s="302"/>
      <c r="AJM267" s="302"/>
      <c r="AJN267" s="302"/>
      <c r="AJO267" s="302"/>
      <c r="AJP267" s="302"/>
      <c r="AJQ267" s="302"/>
      <c r="AJR267" s="302"/>
      <c r="AJS267" s="302"/>
      <c r="AJT267" s="302"/>
      <c r="AJU267" s="302"/>
      <c r="AJV267" s="302"/>
      <c r="AJW267" s="302"/>
      <c r="AJX267" s="302"/>
      <c r="AJY267" s="302"/>
      <c r="AJZ267" s="302"/>
      <c r="AKA267" s="302"/>
      <c r="AKB267" s="302"/>
      <c r="AKC267" s="302"/>
      <c r="AKD267" s="302"/>
      <c r="AKE267" s="302"/>
      <c r="AKF267" s="302"/>
      <c r="AKG267" s="302"/>
      <c r="AKH267" s="302"/>
      <c r="AKI267" s="302"/>
      <c r="AKJ267" s="302"/>
      <c r="AKK267" s="302"/>
      <c r="AKL267" s="302"/>
      <c r="AKM267" s="302"/>
      <c r="AKN267" s="302"/>
      <c r="AKO267" s="302"/>
      <c r="AKP267" s="302"/>
      <c r="AKQ267" s="302"/>
      <c r="AKR267" s="302"/>
      <c r="AKS267" s="302"/>
      <c r="AKT267" s="302"/>
      <c r="AKU267" s="302"/>
      <c r="AKV267" s="302"/>
      <c r="AKW267" s="302"/>
      <c r="AKX267" s="302"/>
      <c r="AKY267" s="302"/>
      <c r="AKZ267" s="302"/>
      <c r="ALA267" s="302"/>
      <c r="ALB267" s="302"/>
      <c r="ALC267" s="302"/>
      <c r="ALD267" s="302"/>
      <c r="ALE267" s="302"/>
      <c r="ALF267" s="302"/>
      <c r="ALG267" s="302"/>
      <c r="ALH267" s="302"/>
      <c r="ALI267" s="302"/>
      <c r="ALJ267" s="302"/>
      <c r="ALK267" s="302"/>
      <c r="ALL267" s="302"/>
      <c r="ALM267" s="302"/>
      <c r="ALN267" s="302"/>
      <c r="ALO267" s="302"/>
      <c r="ALP267" s="302"/>
      <c r="ALQ267" s="302"/>
      <c r="ALR267" s="302"/>
      <c r="ALS267" s="302"/>
      <c r="ALT267" s="302"/>
      <c r="ALU267" s="302"/>
      <c r="ALV267" s="302"/>
      <c r="ALW267" s="302"/>
      <c r="ALX267" s="302"/>
      <c r="ALY267" s="302"/>
      <c r="ALZ267" s="302"/>
      <c r="AMA267" s="302"/>
      <c r="AMB267" s="302"/>
      <c r="AMC267" s="302"/>
      <c r="AMD267" s="302"/>
      <c r="AME267" s="302"/>
      <c r="AMF267" s="302"/>
      <c r="AMG267" s="302"/>
      <c r="AMH267" s="302"/>
      <c r="AMI267" s="302"/>
    </row>
    <row r="268" spans="1:1023" ht="18.75" hidden="1">
      <c r="A268" s="302"/>
      <c r="B268" s="304"/>
      <c r="C268" s="304"/>
      <c r="D268" s="305" t="s">
        <v>378</v>
      </c>
      <c r="E268" s="306">
        <f>SUM(E265:E267)</f>
        <v>8600000</v>
      </c>
      <c r="F268" s="307"/>
      <c r="G268" s="306">
        <f>SUM(G265:G267)</f>
        <v>101000</v>
      </c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  <c r="AD268" s="302"/>
      <c r="AE268" s="302"/>
      <c r="AF268" s="302"/>
      <c r="AG268" s="302"/>
      <c r="AH268" s="302"/>
      <c r="AI268" s="302"/>
      <c r="AJ268" s="302"/>
      <c r="AK268" s="302"/>
      <c r="AL268" s="302"/>
      <c r="AM268" s="302"/>
      <c r="AN268" s="302"/>
      <c r="AO268" s="302"/>
      <c r="AP268" s="302"/>
      <c r="AQ268" s="302"/>
      <c r="AR268" s="302"/>
      <c r="AS268" s="302"/>
      <c r="AT268" s="302"/>
      <c r="AU268" s="302"/>
      <c r="AV268" s="302"/>
      <c r="AW268" s="302"/>
      <c r="AX268" s="302"/>
      <c r="AY268" s="302"/>
      <c r="AZ268" s="302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K268" s="302"/>
      <c r="BL268" s="302"/>
      <c r="BM268" s="302"/>
      <c r="BN268" s="302"/>
      <c r="BO268" s="302"/>
      <c r="BP268" s="302"/>
      <c r="BQ268" s="302"/>
      <c r="BR268" s="302"/>
      <c r="BS268" s="302"/>
      <c r="BT268" s="302"/>
      <c r="BU268" s="302"/>
      <c r="BV268" s="302"/>
      <c r="BW268" s="302"/>
      <c r="BX268" s="302"/>
      <c r="BY268" s="302"/>
      <c r="BZ268" s="302"/>
      <c r="CA268" s="302"/>
      <c r="CB268" s="302"/>
      <c r="CC268" s="302"/>
      <c r="CD268" s="302"/>
      <c r="CE268" s="302"/>
      <c r="CF268" s="302"/>
      <c r="CG268" s="302"/>
      <c r="CH268" s="302"/>
      <c r="CI268" s="302"/>
      <c r="CJ268" s="302"/>
      <c r="CK268" s="302"/>
      <c r="CL268" s="302"/>
      <c r="CM268" s="302"/>
      <c r="CN268" s="302"/>
      <c r="CO268" s="302"/>
      <c r="CP268" s="302"/>
      <c r="CQ268" s="302"/>
      <c r="CR268" s="302"/>
      <c r="CS268" s="302"/>
      <c r="CT268" s="302"/>
      <c r="CU268" s="302"/>
      <c r="CV268" s="302"/>
      <c r="CW268" s="302"/>
      <c r="CX268" s="302"/>
      <c r="CY268" s="302"/>
      <c r="CZ268" s="302"/>
      <c r="DA268" s="302"/>
      <c r="DB268" s="302"/>
      <c r="DC268" s="302"/>
      <c r="DD268" s="302"/>
      <c r="DE268" s="302"/>
      <c r="DF268" s="302"/>
      <c r="DG268" s="302"/>
      <c r="DH268" s="302"/>
      <c r="DI268" s="302"/>
      <c r="DJ268" s="302"/>
      <c r="DK268" s="302"/>
      <c r="DL268" s="302"/>
      <c r="DM268" s="302"/>
      <c r="DN268" s="302"/>
      <c r="DO268" s="302"/>
      <c r="DP268" s="302"/>
      <c r="DQ268" s="302"/>
      <c r="DR268" s="302"/>
      <c r="DS268" s="302"/>
      <c r="DT268" s="302"/>
      <c r="DU268" s="302"/>
      <c r="DV268" s="302"/>
      <c r="DW268" s="302"/>
      <c r="DX268" s="302"/>
      <c r="DY268" s="302"/>
      <c r="DZ268" s="302"/>
      <c r="EA268" s="302"/>
      <c r="EB268" s="302"/>
      <c r="EC268" s="302"/>
      <c r="ED268" s="302"/>
      <c r="EE268" s="302"/>
      <c r="EF268" s="302"/>
      <c r="EG268" s="302"/>
      <c r="EH268" s="302"/>
      <c r="EI268" s="302"/>
      <c r="EJ268" s="302"/>
      <c r="EK268" s="302"/>
      <c r="EL268" s="302"/>
      <c r="EM268" s="302"/>
      <c r="EN268" s="302"/>
      <c r="EO268" s="302"/>
      <c r="EP268" s="302"/>
      <c r="EQ268" s="302"/>
      <c r="ER268" s="302"/>
      <c r="ES268" s="302"/>
      <c r="ET268" s="302"/>
      <c r="EU268" s="302"/>
      <c r="EV268" s="302"/>
      <c r="EW268" s="302"/>
      <c r="EX268" s="302"/>
      <c r="EY268" s="302"/>
      <c r="EZ268" s="302"/>
      <c r="FA268" s="302"/>
      <c r="FB268" s="302"/>
      <c r="FC268" s="302"/>
      <c r="FD268" s="302"/>
      <c r="FE268" s="302"/>
      <c r="FF268" s="302"/>
      <c r="FG268" s="302"/>
      <c r="FH268" s="302"/>
      <c r="FI268" s="302"/>
      <c r="FJ268" s="302"/>
      <c r="FK268" s="302"/>
      <c r="FL268" s="302"/>
      <c r="FM268" s="302"/>
      <c r="FN268" s="302"/>
      <c r="FO268" s="302"/>
      <c r="FP268" s="302"/>
      <c r="FQ268" s="302"/>
      <c r="FR268" s="302"/>
      <c r="FS268" s="302"/>
      <c r="FT268" s="302"/>
      <c r="FU268" s="302"/>
      <c r="FV268" s="302"/>
      <c r="FW268" s="302"/>
      <c r="FX268" s="302"/>
      <c r="FY268" s="302"/>
      <c r="FZ268" s="302"/>
      <c r="GA268" s="302"/>
      <c r="GB268" s="302"/>
      <c r="GC268" s="302"/>
      <c r="GD268" s="302"/>
      <c r="GE268" s="302"/>
      <c r="GF268" s="302"/>
      <c r="GG268" s="302"/>
      <c r="GH268" s="302"/>
      <c r="GI268" s="302"/>
      <c r="GJ268" s="302"/>
      <c r="GK268" s="302"/>
      <c r="GL268" s="302"/>
      <c r="GM268" s="302"/>
      <c r="GN268" s="302"/>
      <c r="GO268" s="302"/>
      <c r="GP268" s="302"/>
      <c r="GQ268" s="302"/>
      <c r="GR268" s="302"/>
      <c r="GS268" s="302"/>
      <c r="GT268" s="302"/>
      <c r="GU268" s="302"/>
      <c r="GV268" s="302"/>
      <c r="GW268" s="302"/>
      <c r="GX268" s="302"/>
      <c r="GY268" s="302"/>
      <c r="GZ268" s="302"/>
      <c r="HA268" s="302"/>
      <c r="HB268" s="302"/>
      <c r="HC268" s="302"/>
      <c r="HD268" s="302"/>
      <c r="HE268" s="302"/>
      <c r="HF268" s="302"/>
      <c r="HG268" s="302"/>
      <c r="HH268" s="302"/>
      <c r="HI268" s="302"/>
      <c r="HJ268" s="302"/>
      <c r="HK268" s="302"/>
      <c r="HL268" s="302"/>
      <c r="HM268" s="302"/>
      <c r="HN268" s="302"/>
      <c r="HO268" s="302"/>
      <c r="HP268" s="302"/>
      <c r="HQ268" s="302"/>
      <c r="HR268" s="302"/>
      <c r="HS268" s="302"/>
      <c r="HT268" s="302"/>
      <c r="HU268" s="302"/>
      <c r="HV268" s="302"/>
      <c r="HW268" s="302"/>
      <c r="HX268" s="302"/>
      <c r="HY268" s="302"/>
      <c r="HZ268" s="302"/>
      <c r="IA268" s="302"/>
      <c r="IB268" s="302"/>
      <c r="IC268" s="302"/>
      <c r="ID268" s="302"/>
      <c r="IE268" s="302"/>
      <c r="IF268" s="302"/>
      <c r="IG268" s="302"/>
      <c r="IH268" s="302"/>
      <c r="II268" s="302"/>
      <c r="IJ268" s="302"/>
      <c r="IK268" s="302"/>
      <c r="IL268" s="302"/>
      <c r="IM268" s="302"/>
      <c r="IN268" s="302"/>
      <c r="IO268" s="302"/>
      <c r="IP268" s="302"/>
      <c r="IQ268" s="302"/>
      <c r="IR268" s="302"/>
      <c r="IS268" s="302"/>
      <c r="IT268" s="302"/>
      <c r="IU268" s="302"/>
      <c r="IV268" s="302"/>
      <c r="IW268" s="302"/>
      <c r="IX268" s="302"/>
      <c r="IY268" s="302"/>
      <c r="IZ268" s="302"/>
      <c r="JA268" s="302"/>
      <c r="JB268" s="302"/>
      <c r="JC268" s="302"/>
      <c r="JD268" s="302"/>
      <c r="JE268" s="302"/>
      <c r="JF268" s="302"/>
      <c r="JG268" s="302"/>
      <c r="JH268" s="302"/>
      <c r="JI268" s="302"/>
      <c r="JJ268" s="302"/>
      <c r="JK268" s="302"/>
      <c r="JL268" s="302"/>
      <c r="JM268" s="302"/>
      <c r="JN268" s="302"/>
      <c r="JO268" s="302"/>
      <c r="JP268" s="302"/>
      <c r="JQ268" s="302"/>
      <c r="JR268" s="302"/>
      <c r="JS268" s="302"/>
      <c r="JT268" s="302"/>
      <c r="JU268" s="302"/>
      <c r="JV268" s="302"/>
      <c r="JW268" s="302"/>
      <c r="JX268" s="302"/>
      <c r="JY268" s="302"/>
      <c r="JZ268" s="302"/>
      <c r="KA268" s="302"/>
      <c r="KB268" s="302"/>
      <c r="KC268" s="302"/>
      <c r="KD268" s="302"/>
      <c r="KE268" s="302"/>
      <c r="KF268" s="302"/>
      <c r="KG268" s="302"/>
      <c r="KH268" s="302"/>
      <c r="KI268" s="302"/>
      <c r="KJ268" s="302"/>
      <c r="KK268" s="302"/>
      <c r="KL268" s="302"/>
      <c r="KM268" s="302"/>
      <c r="KN268" s="302"/>
      <c r="KO268" s="302"/>
      <c r="KP268" s="302"/>
      <c r="KQ268" s="302"/>
      <c r="KR268" s="302"/>
      <c r="KS268" s="302"/>
      <c r="KT268" s="302"/>
      <c r="KU268" s="302"/>
      <c r="KV268" s="302"/>
      <c r="KW268" s="302"/>
      <c r="KX268" s="302"/>
      <c r="KY268" s="302"/>
      <c r="KZ268" s="302"/>
      <c r="LA268" s="302"/>
      <c r="LB268" s="302"/>
      <c r="LC268" s="302"/>
      <c r="LD268" s="302"/>
      <c r="LE268" s="302"/>
      <c r="LF268" s="302"/>
      <c r="LG268" s="302"/>
      <c r="LH268" s="302"/>
      <c r="LI268" s="302"/>
      <c r="LJ268" s="302"/>
      <c r="LK268" s="302"/>
      <c r="LL268" s="302"/>
      <c r="LM268" s="302"/>
      <c r="LN268" s="302"/>
      <c r="LO268" s="302"/>
      <c r="LP268" s="302"/>
      <c r="LQ268" s="302"/>
      <c r="LR268" s="302"/>
      <c r="LS268" s="302"/>
      <c r="LT268" s="302"/>
      <c r="LU268" s="302"/>
      <c r="LV268" s="302"/>
      <c r="LW268" s="302"/>
      <c r="LX268" s="302"/>
      <c r="LY268" s="302"/>
      <c r="LZ268" s="302"/>
      <c r="MA268" s="302"/>
      <c r="MB268" s="302"/>
      <c r="MC268" s="302"/>
      <c r="MD268" s="302"/>
      <c r="ME268" s="302"/>
      <c r="MF268" s="302"/>
      <c r="MG268" s="302"/>
      <c r="MH268" s="302"/>
      <c r="MI268" s="302"/>
      <c r="MJ268" s="302"/>
      <c r="MK268" s="302"/>
      <c r="ML268" s="302"/>
      <c r="MM268" s="302"/>
      <c r="MN268" s="302"/>
      <c r="MO268" s="302"/>
      <c r="MP268" s="302"/>
      <c r="MQ268" s="302"/>
      <c r="MR268" s="302"/>
      <c r="MS268" s="302"/>
      <c r="MT268" s="302"/>
      <c r="MU268" s="302"/>
      <c r="MV268" s="302"/>
      <c r="MW268" s="302"/>
      <c r="MX268" s="302"/>
      <c r="MY268" s="302"/>
      <c r="MZ268" s="302"/>
      <c r="NA268" s="302"/>
      <c r="NB268" s="302"/>
      <c r="NC268" s="302"/>
      <c r="ND268" s="302"/>
      <c r="NE268" s="302"/>
      <c r="NF268" s="302"/>
      <c r="NG268" s="302"/>
      <c r="NH268" s="302"/>
      <c r="NI268" s="302"/>
      <c r="NJ268" s="302"/>
      <c r="NK268" s="302"/>
      <c r="NL268" s="302"/>
      <c r="NM268" s="302"/>
      <c r="NN268" s="302"/>
      <c r="NO268" s="302"/>
      <c r="NP268" s="302"/>
      <c r="NQ268" s="302"/>
      <c r="NR268" s="302"/>
      <c r="NS268" s="302"/>
      <c r="NT268" s="302"/>
      <c r="NU268" s="302"/>
      <c r="NV268" s="302"/>
      <c r="NW268" s="302"/>
      <c r="NX268" s="302"/>
      <c r="NY268" s="302"/>
      <c r="NZ268" s="302"/>
      <c r="OA268" s="302"/>
      <c r="OB268" s="302"/>
      <c r="OC268" s="302"/>
      <c r="OD268" s="302"/>
      <c r="OE268" s="302"/>
      <c r="OF268" s="302"/>
      <c r="OG268" s="302"/>
      <c r="OH268" s="302"/>
      <c r="OI268" s="302"/>
      <c r="OJ268" s="302"/>
      <c r="OK268" s="302"/>
      <c r="OL268" s="302"/>
      <c r="OM268" s="302"/>
      <c r="ON268" s="302"/>
      <c r="OO268" s="302"/>
      <c r="OP268" s="302"/>
      <c r="OQ268" s="302"/>
      <c r="OR268" s="302"/>
      <c r="OS268" s="302"/>
      <c r="OT268" s="302"/>
      <c r="OU268" s="302"/>
      <c r="OV268" s="302"/>
      <c r="OW268" s="302"/>
      <c r="OX268" s="302"/>
      <c r="OY268" s="302"/>
      <c r="OZ268" s="302"/>
      <c r="PA268" s="302"/>
      <c r="PB268" s="302"/>
      <c r="PC268" s="302"/>
      <c r="PD268" s="302"/>
      <c r="PE268" s="302"/>
      <c r="PF268" s="302"/>
      <c r="PG268" s="302"/>
      <c r="PH268" s="302"/>
      <c r="PI268" s="302"/>
      <c r="PJ268" s="302"/>
      <c r="PK268" s="302"/>
      <c r="PL268" s="302"/>
      <c r="PM268" s="302"/>
      <c r="PN268" s="302"/>
      <c r="PO268" s="302"/>
      <c r="PP268" s="302"/>
      <c r="PQ268" s="302"/>
      <c r="PR268" s="302"/>
      <c r="PS268" s="302"/>
      <c r="PT268" s="302"/>
      <c r="PU268" s="302"/>
      <c r="PV268" s="302"/>
      <c r="PW268" s="302"/>
      <c r="PX268" s="302"/>
      <c r="PY268" s="302"/>
      <c r="PZ268" s="302"/>
      <c r="QA268" s="302"/>
      <c r="QB268" s="302"/>
      <c r="QC268" s="302"/>
      <c r="QD268" s="302"/>
      <c r="QE268" s="302"/>
      <c r="QF268" s="302"/>
      <c r="QG268" s="302"/>
      <c r="QH268" s="302"/>
      <c r="QI268" s="302"/>
      <c r="QJ268" s="302"/>
      <c r="QK268" s="302"/>
      <c r="QL268" s="302"/>
      <c r="QM268" s="302"/>
      <c r="QN268" s="302"/>
      <c r="QO268" s="302"/>
      <c r="QP268" s="302"/>
      <c r="QQ268" s="302"/>
      <c r="QR268" s="302"/>
      <c r="QS268" s="302"/>
      <c r="QT268" s="302"/>
      <c r="QU268" s="302"/>
      <c r="QV268" s="302"/>
      <c r="QW268" s="302"/>
      <c r="QX268" s="302"/>
      <c r="QY268" s="302"/>
      <c r="QZ268" s="302"/>
      <c r="RA268" s="302"/>
      <c r="RB268" s="302"/>
      <c r="RC268" s="302"/>
      <c r="RD268" s="302"/>
      <c r="RE268" s="302"/>
      <c r="RF268" s="302"/>
      <c r="RG268" s="302"/>
      <c r="RH268" s="302"/>
      <c r="RI268" s="302"/>
      <c r="RJ268" s="302"/>
      <c r="RK268" s="302"/>
      <c r="RL268" s="302"/>
      <c r="RM268" s="302"/>
      <c r="RN268" s="302"/>
      <c r="RO268" s="302"/>
      <c r="RP268" s="302"/>
      <c r="RQ268" s="302"/>
      <c r="RR268" s="302"/>
      <c r="RS268" s="302"/>
      <c r="RT268" s="302"/>
      <c r="RU268" s="302"/>
      <c r="RV268" s="302"/>
      <c r="RW268" s="302"/>
      <c r="RX268" s="302"/>
      <c r="RY268" s="302"/>
      <c r="RZ268" s="302"/>
      <c r="SA268" s="302"/>
      <c r="SB268" s="302"/>
      <c r="SC268" s="302"/>
      <c r="SD268" s="302"/>
      <c r="SE268" s="302"/>
      <c r="SF268" s="302"/>
      <c r="SG268" s="302"/>
      <c r="SH268" s="302"/>
      <c r="SI268" s="302"/>
      <c r="SJ268" s="302"/>
      <c r="SK268" s="302"/>
      <c r="SL268" s="302"/>
      <c r="SM268" s="302"/>
      <c r="SN268" s="302"/>
      <c r="SO268" s="302"/>
      <c r="SP268" s="302"/>
      <c r="SQ268" s="302"/>
      <c r="SR268" s="302"/>
      <c r="SS268" s="302"/>
      <c r="ST268" s="302"/>
      <c r="SU268" s="302"/>
      <c r="SV268" s="302"/>
      <c r="SW268" s="302"/>
      <c r="SX268" s="302"/>
      <c r="SY268" s="302"/>
      <c r="SZ268" s="302"/>
      <c r="TA268" s="302"/>
      <c r="TB268" s="302"/>
      <c r="TC268" s="302"/>
      <c r="TD268" s="302"/>
      <c r="TE268" s="302"/>
      <c r="TF268" s="302"/>
      <c r="TG268" s="302"/>
      <c r="TH268" s="302"/>
      <c r="TI268" s="302"/>
      <c r="TJ268" s="302"/>
      <c r="TK268" s="302"/>
      <c r="TL268" s="302"/>
      <c r="TM268" s="302"/>
      <c r="TN268" s="302"/>
      <c r="TO268" s="302"/>
      <c r="TP268" s="302"/>
      <c r="TQ268" s="302"/>
      <c r="TR268" s="302"/>
      <c r="TS268" s="302"/>
      <c r="TT268" s="302"/>
      <c r="TU268" s="302"/>
      <c r="TV268" s="302"/>
      <c r="TW268" s="302"/>
      <c r="TX268" s="302"/>
      <c r="TY268" s="302"/>
      <c r="TZ268" s="302"/>
      <c r="UA268" s="302"/>
      <c r="UB268" s="302"/>
      <c r="UC268" s="302"/>
      <c r="UD268" s="302"/>
      <c r="UE268" s="302"/>
      <c r="UF268" s="302"/>
      <c r="UG268" s="302"/>
      <c r="UH268" s="302"/>
      <c r="UI268" s="302"/>
      <c r="UJ268" s="302"/>
      <c r="UK268" s="302"/>
      <c r="UL268" s="302"/>
      <c r="UM268" s="302"/>
      <c r="UN268" s="302"/>
      <c r="UO268" s="302"/>
      <c r="UP268" s="302"/>
      <c r="UQ268" s="302"/>
      <c r="UR268" s="302"/>
      <c r="US268" s="302"/>
      <c r="UT268" s="302"/>
      <c r="UU268" s="302"/>
      <c r="UV268" s="302"/>
      <c r="UW268" s="302"/>
      <c r="UX268" s="302"/>
      <c r="UY268" s="302"/>
      <c r="UZ268" s="302"/>
      <c r="VA268" s="302"/>
      <c r="VB268" s="302"/>
      <c r="VC268" s="302"/>
      <c r="VD268" s="302"/>
      <c r="VE268" s="302"/>
      <c r="VF268" s="302"/>
      <c r="VG268" s="302"/>
      <c r="VH268" s="302"/>
      <c r="VI268" s="302"/>
      <c r="VJ268" s="302"/>
      <c r="VK268" s="302"/>
      <c r="VL268" s="302"/>
      <c r="VM268" s="302"/>
      <c r="VN268" s="302"/>
      <c r="VO268" s="302"/>
      <c r="VP268" s="302"/>
      <c r="VQ268" s="302"/>
      <c r="VR268" s="302"/>
      <c r="VS268" s="302"/>
      <c r="VT268" s="302"/>
      <c r="VU268" s="302"/>
      <c r="VV268" s="302"/>
      <c r="VW268" s="302"/>
      <c r="VX268" s="302"/>
      <c r="VY268" s="302"/>
      <c r="VZ268" s="302"/>
      <c r="WA268" s="302"/>
      <c r="WB268" s="302"/>
      <c r="WC268" s="302"/>
      <c r="WD268" s="302"/>
      <c r="WE268" s="302"/>
      <c r="WF268" s="302"/>
      <c r="WG268" s="302"/>
      <c r="WH268" s="302"/>
      <c r="WI268" s="302"/>
      <c r="WJ268" s="302"/>
      <c r="WK268" s="302"/>
      <c r="WL268" s="302"/>
      <c r="WM268" s="302"/>
      <c r="WN268" s="302"/>
      <c r="WO268" s="302"/>
      <c r="WP268" s="302"/>
      <c r="WQ268" s="302"/>
      <c r="WR268" s="302"/>
      <c r="WS268" s="302"/>
      <c r="WT268" s="302"/>
      <c r="WU268" s="302"/>
      <c r="WV268" s="302"/>
      <c r="WW268" s="302"/>
      <c r="WX268" s="302"/>
      <c r="WY268" s="302"/>
      <c r="WZ268" s="302"/>
      <c r="XA268" s="302"/>
      <c r="XB268" s="302"/>
      <c r="XC268" s="302"/>
      <c r="XD268" s="302"/>
      <c r="XE268" s="302"/>
      <c r="XF268" s="302"/>
      <c r="XG268" s="302"/>
      <c r="XH268" s="302"/>
      <c r="XI268" s="302"/>
      <c r="XJ268" s="302"/>
      <c r="XK268" s="302"/>
      <c r="XL268" s="302"/>
      <c r="XM268" s="302"/>
      <c r="XN268" s="302"/>
      <c r="XO268" s="302"/>
      <c r="XP268" s="302"/>
      <c r="XQ268" s="302"/>
      <c r="XR268" s="302"/>
      <c r="XS268" s="302"/>
      <c r="XT268" s="302"/>
      <c r="XU268" s="302"/>
      <c r="XV268" s="302"/>
      <c r="XW268" s="302"/>
      <c r="XX268" s="302"/>
      <c r="XY268" s="302"/>
      <c r="XZ268" s="302"/>
      <c r="YA268" s="302"/>
      <c r="YB268" s="302"/>
      <c r="YC268" s="302"/>
      <c r="YD268" s="302"/>
      <c r="YE268" s="302"/>
      <c r="YF268" s="302"/>
      <c r="YG268" s="302"/>
      <c r="YH268" s="302"/>
      <c r="YI268" s="302"/>
      <c r="YJ268" s="302"/>
      <c r="YK268" s="302"/>
      <c r="YL268" s="302"/>
      <c r="YM268" s="302"/>
      <c r="YN268" s="302"/>
      <c r="YO268" s="302"/>
      <c r="YP268" s="302"/>
      <c r="YQ268" s="302"/>
      <c r="YR268" s="302"/>
      <c r="YS268" s="302"/>
      <c r="YT268" s="302"/>
      <c r="YU268" s="302"/>
      <c r="YV268" s="302"/>
      <c r="YW268" s="302"/>
      <c r="YX268" s="302"/>
      <c r="YY268" s="302"/>
      <c r="YZ268" s="302"/>
      <c r="ZA268" s="302"/>
      <c r="ZB268" s="302"/>
      <c r="ZC268" s="302"/>
      <c r="ZD268" s="302"/>
      <c r="ZE268" s="302"/>
      <c r="ZF268" s="302"/>
      <c r="ZG268" s="302"/>
      <c r="ZH268" s="302"/>
      <c r="ZI268" s="302"/>
      <c r="ZJ268" s="302"/>
      <c r="ZK268" s="302"/>
      <c r="ZL268" s="302"/>
      <c r="ZM268" s="302"/>
      <c r="ZN268" s="302"/>
      <c r="ZO268" s="302"/>
      <c r="ZP268" s="302"/>
      <c r="ZQ268" s="302"/>
      <c r="ZR268" s="302"/>
      <c r="ZS268" s="302"/>
      <c r="ZT268" s="302"/>
      <c r="ZU268" s="302"/>
      <c r="ZV268" s="302"/>
      <c r="ZW268" s="302"/>
      <c r="ZX268" s="302"/>
      <c r="ZY268" s="302"/>
      <c r="ZZ268" s="302"/>
      <c r="AAA268" s="302"/>
      <c r="AAB268" s="302"/>
      <c r="AAC268" s="302"/>
      <c r="AAD268" s="302"/>
      <c r="AAE268" s="302"/>
      <c r="AAF268" s="302"/>
      <c r="AAG268" s="302"/>
      <c r="AAH268" s="302"/>
      <c r="AAI268" s="302"/>
      <c r="AAJ268" s="302"/>
      <c r="AAK268" s="302"/>
      <c r="AAL268" s="302"/>
      <c r="AAM268" s="302"/>
      <c r="AAN268" s="302"/>
      <c r="AAO268" s="302"/>
      <c r="AAP268" s="302"/>
      <c r="AAQ268" s="302"/>
      <c r="AAR268" s="302"/>
      <c r="AAS268" s="302"/>
      <c r="AAT268" s="302"/>
      <c r="AAU268" s="302"/>
      <c r="AAV268" s="302"/>
      <c r="AAW268" s="302"/>
      <c r="AAX268" s="302"/>
      <c r="AAY268" s="302"/>
      <c r="AAZ268" s="302"/>
      <c r="ABA268" s="302"/>
      <c r="ABB268" s="302"/>
      <c r="ABC268" s="302"/>
      <c r="ABD268" s="302"/>
      <c r="ABE268" s="302"/>
      <c r="ABF268" s="302"/>
      <c r="ABG268" s="302"/>
      <c r="ABH268" s="302"/>
      <c r="ABI268" s="302"/>
      <c r="ABJ268" s="302"/>
      <c r="ABK268" s="302"/>
      <c r="ABL268" s="302"/>
      <c r="ABM268" s="302"/>
      <c r="ABN268" s="302"/>
      <c r="ABO268" s="302"/>
      <c r="ABP268" s="302"/>
      <c r="ABQ268" s="302"/>
      <c r="ABR268" s="302"/>
      <c r="ABS268" s="302"/>
      <c r="ABT268" s="302"/>
      <c r="ABU268" s="302"/>
      <c r="ABV268" s="302"/>
      <c r="ABW268" s="302"/>
      <c r="ABX268" s="302"/>
      <c r="ABY268" s="302"/>
      <c r="ABZ268" s="302"/>
      <c r="ACA268" s="302"/>
      <c r="ACB268" s="302"/>
      <c r="ACC268" s="302"/>
      <c r="ACD268" s="302"/>
      <c r="ACE268" s="302"/>
      <c r="ACF268" s="302"/>
      <c r="ACG268" s="302"/>
      <c r="ACH268" s="302"/>
      <c r="ACI268" s="302"/>
      <c r="ACJ268" s="302"/>
      <c r="ACK268" s="302"/>
      <c r="ACL268" s="302"/>
      <c r="ACM268" s="302"/>
      <c r="ACN268" s="302"/>
      <c r="ACO268" s="302"/>
      <c r="ACP268" s="302"/>
      <c r="ACQ268" s="302"/>
      <c r="ACR268" s="302"/>
      <c r="ACS268" s="302"/>
      <c r="ACT268" s="302"/>
      <c r="ACU268" s="302"/>
      <c r="ACV268" s="302"/>
      <c r="ACW268" s="302"/>
      <c r="ACX268" s="302"/>
      <c r="ACY268" s="302"/>
      <c r="ACZ268" s="302"/>
      <c r="ADA268" s="302"/>
      <c r="ADB268" s="302"/>
      <c r="ADC268" s="302"/>
      <c r="ADD268" s="302"/>
      <c r="ADE268" s="302"/>
      <c r="ADF268" s="302"/>
      <c r="ADG268" s="302"/>
      <c r="ADH268" s="302"/>
      <c r="ADI268" s="302"/>
      <c r="ADJ268" s="302"/>
      <c r="ADK268" s="302"/>
      <c r="ADL268" s="302"/>
      <c r="ADM268" s="302"/>
      <c r="ADN268" s="302"/>
      <c r="ADO268" s="302"/>
      <c r="ADP268" s="302"/>
      <c r="ADQ268" s="302"/>
      <c r="ADR268" s="302"/>
      <c r="ADS268" s="302"/>
      <c r="ADT268" s="302"/>
      <c r="ADU268" s="302"/>
      <c r="ADV268" s="302"/>
      <c r="ADW268" s="302"/>
      <c r="ADX268" s="302"/>
      <c r="ADY268" s="302"/>
      <c r="ADZ268" s="302"/>
      <c r="AEA268" s="302"/>
      <c r="AEB268" s="302"/>
      <c r="AEC268" s="302"/>
      <c r="AED268" s="302"/>
      <c r="AEE268" s="302"/>
      <c r="AEF268" s="302"/>
      <c r="AEG268" s="302"/>
      <c r="AEH268" s="302"/>
      <c r="AEI268" s="302"/>
      <c r="AEJ268" s="302"/>
      <c r="AEK268" s="302"/>
      <c r="AEL268" s="302"/>
      <c r="AEM268" s="302"/>
      <c r="AEN268" s="302"/>
      <c r="AEO268" s="302"/>
      <c r="AEP268" s="302"/>
      <c r="AEQ268" s="302"/>
      <c r="AER268" s="302"/>
      <c r="AES268" s="302"/>
      <c r="AET268" s="302"/>
      <c r="AEU268" s="302"/>
      <c r="AEV268" s="302"/>
      <c r="AEW268" s="302"/>
      <c r="AEX268" s="302"/>
      <c r="AEY268" s="302"/>
      <c r="AEZ268" s="302"/>
      <c r="AFA268" s="302"/>
      <c r="AFB268" s="302"/>
      <c r="AFC268" s="302"/>
      <c r="AFD268" s="302"/>
      <c r="AFE268" s="302"/>
      <c r="AFF268" s="302"/>
      <c r="AFG268" s="302"/>
      <c r="AFH268" s="302"/>
      <c r="AFI268" s="302"/>
      <c r="AFJ268" s="302"/>
      <c r="AFK268" s="302"/>
      <c r="AFL268" s="302"/>
      <c r="AFM268" s="302"/>
      <c r="AFN268" s="302"/>
      <c r="AFO268" s="302"/>
      <c r="AFP268" s="302"/>
      <c r="AFQ268" s="302"/>
      <c r="AFR268" s="302"/>
      <c r="AFS268" s="302"/>
      <c r="AFT268" s="302"/>
      <c r="AFU268" s="302"/>
      <c r="AFV268" s="302"/>
      <c r="AFW268" s="302"/>
      <c r="AFX268" s="302"/>
      <c r="AFY268" s="302"/>
      <c r="AFZ268" s="302"/>
      <c r="AGA268" s="302"/>
      <c r="AGB268" s="302"/>
      <c r="AGC268" s="302"/>
      <c r="AGD268" s="302"/>
      <c r="AGE268" s="302"/>
      <c r="AGF268" s="302"/>
      <c r="AGG268" s="302"/>
      <c r="AGH268" s="302"/>
      <c r="AGI268" s="302"/>
      <c r="AGJ268" s="302"/>
      <c r="AGK268" s="302"/>
      <c r="AGL268" s="302"/>
      <c r="AGM268" s="302"/>
      <c r="AGN268" s="302"/>
      <c r="AGO268" s="302"/>
      <c r="AGP268" s="302"/>
      <c r="AGQ268" s="302"/>
      <c r="AGR268" s="302"/>
      <c r="AGS268" s="302"/>
      <c r="AGT268" s="302"/>
      <c r="AGU268" s="302"/>
      <c r="AGV268" s="302"/>
      <c r="AGW268" s="302"/>
      <c r="AGX268" s="302"/>
      <c r="AGY268" s="302"/>
      <c r="AGZ268" s="302"/>
      <c r="AHA268" s="302"/>
      <c r="AHB268" s="302"/>
      <c r="AHC268" s="302"/>
      <c r="AHD268" s="302"/>
      <c r="AHE268" s="302"/>
      <c r="AHF268" s="302"/>
      <c r="AHG268" s="302"/>
      <c r="AHH268" s="302"/>
      <c r="AHI268" s="302"/>
      <c r="AHJ268" s="302"/>
      <c r="AHK268" s="302"/>
      <c r="AHL268" s="302"/>
      <c r="AHM268" s="302"/>
      <c r="AHN268" s="302"/>
      <c r="AHO268" s="302"/>
      <c r="AHP268" s="302"/>
      <c r="AHQ268" s="302"/>
      <c r="AHR268" s="302"/>
      <c r="AHS268" s="302"/>
      <c r="AHT268" s="302"/>
      <c r="AHU268" s="302"/>
      <c r="AHV268" s="302"/>
      <c r="AHW268" s="302"/>
      <c r="AHX268" s="302"/>
      <c r="AHY268" s="302"/>
      <c r="AHZ268" s="302"/>
      <c r="AIA268" s="302"/>
      <c r="AIB268" s="302"/>
      <c r="AIC268" s="302"/>
      <c r="AID268" s="302"/>
      <c r="AIE268" s="302"/>
      <c r="AIF268" s="302"/>
      <c r="AIG268" s="302"/>
      <c r="AIH268" s="302"/>
      <c r="AII268" s="302"/>
      <c r="AIJ268" s="302"/>
      <c r="AIK268" s="302"/>
      <c r="AIL268" s="302"/>
      <c r="AIM268" s="302"/>
      <c r="AIN268" s="302"/>
      <c r="AIO268" s="302"/>
      <c r="AIP268" s="302"/>
      <c r="AIQ268" s="302"/>
      <c r="AIR268" s="302"/>
      <c r="AIS268" s="302"/>
      <c r="AIT268" s="302"/>
      <c r="AIU268" s="302"/>
      <c r="AIV268" s="302"/>
      <c r="AIW268" s="302"/>
      <c r="AIX268" s="302"/>
      <c r="AIY268" s="302"/>
      <c r="AIZ268" s="302"/>
      <c r="AJA268" s="302"/>
      <c r="AJB268" s="302"/>
      <c r="AJC268" s="302"/>
      <c r="AJD268" s="302"/>
      <c r="AJE268" s="302"/>
      <c r="AJF268" s="302"/>
      <c r="AJG268" s="302"/>
      <c r="AJH268" s="302"/>
      <c r="AJI268" s="302"/>
      <c r="AJJ268" s="302"/>
      <c r="AJK268" s="302"/>
      <c r="AJL268" s="302"/>
      <c r="AJM268" s="302"/>
      <c r="AJN268" s="302"/>
      <c r="AJO268" s="302"/>
      <c r="AJP268" s="302"/>
      <c r="AJQ268" s="302"/>
      <c r="AJR268" s="302"/>
      <c r="AJS268" s="302"/>
      <c r="AJT268" s="302"/>
      <c r="AJU268" s="302"/>
      <c r="AJV268" s="302"/>
      <c r="AJW268" s="302"/>
      <c r="AJX268" s="302"/>
      <c r="AJY268" s="302"/>
      <c r="AJZ268" s="302"/>
      <c r="AKA268" s="302"/>
      <c r="AKB268" s="302"/>
      <c r="AKC268" s="302"/>
      <c r="AKD268" s="302"/>
      <c r="AKE268" s="302"/>
      <c r="AKF268" s="302"/>
      <c r="AKG268" s="302"/>
      <c r="AKH268" s="302"/>
      <c r="AKI268" s="302"/>
      <c r="AKJ268" s="302"/>
      <c r="AKK268" s="302"/>
      <c r="AKL268" s="302"/>
      <c r="AKM268" s="302"/>
      <c r="AKN268" s="302"/>
      <c r="AKO268" s="302"/>
      <c r="AKP268" s="302"/>
      <c r="AKQ268" s="302"/>
      <c r="AKR268" s="302"/>
      <c r="AKS268" s="302"/>
      <c r="AKT268" s="302"/>
      <c r="AKU268" s="302"/>
      <c r="AKV268" s="302"/>
      <c r="AKW268" s="302"/>
      <c r="AKX268" s="302"/>
      <c r="AKY268" s="302"/>
      <c r="AKZ268" s="302"/>
      <c r="ALA268" s="302"/>
      <c r="ALB268" s="302"/>
      <c r="ALC268" s="302"/>
      <c r="ALD268" s="302"/>
      <c r="ALE268" s="302"/>
      <c r="ALF268" s="302"/>
      <c r="ALG268" s="302"/>
      <c r="ALH268" s="302"/>
      <c r="ALI268" s="302"/>
      <c r="ALJ268" s="302"/>
      <c r="ALK268" s="302"/>
      <c r="ALL268" s="302"/>
      <c r="ALM268" s="302"/>
      <c r="ALN268" s="302"/>
      <c r="ALO268" s="302"/>
      <c r="ALP268" s="302"/>
      <c r="ALQ268" s="302"/>
      <c r="ALR268" s="302"/>
      <c r="ALS268" s="302"/>
      <c r="ALT268" s="302"/>
      <c r="ALU268" s="302"/>
      <c r="ALV268" s="302"/>
      <c r="ALW268" s="302"/>
      <c r="ALX268" s="302"/>
      <c r="ALY268" s="302"/>
      <c r="ALZ268" s="302"/>
      <c r="AMA268" s="302"/>
      <c r="AMB268" s="302"/>
      <c r="AMC268" s="302"/>
      <c r="AMD268" s="302"/>
      <c r="AME268" s="302"/>
      <c r="AMF268" s="302"/>
      <c r="AMG268" s="302"/>
      <c r="AMH268" s="302"/>
      <c r="AMI268" s="302"/>
    </row>
    <row r="269" spans="1:1023" hidden="1">
      <c r="G269" s="104"/>
    </row>
    <row r="270" spans="1:1023" hidden="1"/>
    <row r="271" spans="1:1023" ht="18" hidden="1">
      <c r="A271" s="302"/>
      <c r="B271" s="969" t="s">
        <v>431</v>
      </c>
      <c r="C271" s="969"/>
      <c r="D271" s="969"/>
      <c r="E271" s="969"/>
      <c r="F271" s="969"/>
      <c r="G271" s="969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  <c r="AD271" s="302"/>
      <c r="AE271" s="302"/>
      <c r="AF271" s="302"/>
      <c r="AG271" s="302"/>
      <c r="AH271" s="302"/>
      <c r="AI271" s="302"/>
      <c r="AJ271" s="302"/>
      <c r="AK271" s="302"/>
      <c r="AL271" s="302"/>
      <c r="AM271" s="302"/>
      <c r="AN271" s="302"/>
      <c r="AO271" s="302"/>
      <c r="AP271" s="302"/>
      <c r="AQ271" s="302"/>
      <c r="AR271" s="302"/>
      <c r="AS271" s="302"/>
      <c r="AT271" s="302"/>
      <c r="AU271" s="302"/>
      <c r="AV271" s="302"/>
      <c r="AW271" s="302"/>
      <c r="AX271" s="302"/>
      <c r="AY271" s="302"/>
      <c r="AZ271" s="302"/>
      <c r="BA271" s="302"/>
      <c r="BB271" s="302"/>
      <c r="BC271" s="302"/>
      <c r="BD271" s="302"/>
      <c r="BE271" s="302"/>
      <c r="BF271" s="302"/>
      <c r="BG271" s="302"/>
      <c r="BH271" s="302"/>
      <c r="BI271" s="302"/>
      <c r="BJ271" s="302"/>
      <c r="BK271" s="302"/>
      <c r="BL271" s="302"/>
      <c r="BM271" s="302"/>
      <c r="BN271" s="302"/>
      <c r="BO271" s="302"/>
      <c r="BP271" s="302"/>
      <c r="BQ271" s="302"/>
      <c r="BR271" s="302"/>
      <c r="BS271" s="302"/>
      <c r="BT271" s="302"/>
      <c r="BU271" s="302"/>
      <c r="BV271" s="302"/>
      <c r="BW271" s="302"/>
      <c r="BX271" s="302"/>
      <c r="BY271" s="302"/>
      <c r="BZ271" s="302"/>
      <c r="CA271" s="302"/>
      <c r="CB271" s="302"/>
      <c r="CC271" s="302"/>
      <c r="CD271" s="302"/>
      <c r="CE271" s="302"/>
      <c r="CF271" s="302"/>
      <c r="CG271" s="302"/>
      <c r="CH271" s="302"/>
      <c r="CI271" s="302"/>
      <c r="CJ271" s="302"/>
      <c r="CK271" s="302"/>
      <c r="CL271" s="302"/>
      <c r="CM271" s="302"/>
      <c r="CN271" s="302"/>
      <c r="CO271" s="302"/>
      <c r="CP271" s="302"/>
      <c r="CQ271" s="302"/>
      <c r="CR271" s="302"/>
      <c r="CS271" s="302"/>
      <c r="CT271" s="302"/>
      <c r="CU271" s="302"/>
      <c r="CV271" s="302"/>
      <c r="CW271" s="302"/>
      <c r="CX271" s="302"/>
      <c r="CY271" s="302"/>
      <c r="CZ271" s="302"/>
      <c r="DA271" s="302"/>
      <c r="DB271" s="302"/>
      <c r="DC271" s="302"/>
      <c r="DD271" s="302"/>
      <c r="DE271" s="302"/>
      <c r="DF271" s="302"/>
      <c r="DG271" s="302"/>
      <c r="DH271" s="302"/>
      <c r="DI271" s="302"/>
      <c r="DJ271" s="302"/>
      <c r="DK271" s="302"/>
      <c r="DL271" s="302"/>
      <c r="DM271" s="302"/>
      <c r="DN271" s="302"/>
      <c r="DO271" s="302"/>
      <c r="DP271" s="302"/>
      <c r="DQ271" s="302"/>
      <c r="DR271" s="302"/>
      <c r="DS271" s="302"/>
      <c r="DT271" s="302"/>
      <c r="DU271" s="302"/>
      <c r="DV271" s="302"/>
      <c r="DW271" s="302"/>
      <c r="DX271" s="302"/>
      <c r="DY271" s="302"/>
      <c r="DZ271" s="302"/>
      <c r="EA271" s="302"/>
      <c r="EB271" s="302"/>
      <c r="EC271" s="302"/>
      <c r="ED271" s="302"/>
      <c r="EE271" s="302"/>
      <c r="EF271" s="302"/>
      <c r="EG271" s="302"/>
      <c r="EH271" s="302"/>
      <c r="EI271" s="302"/>
      <c r="EJ271" s="302"/>
      <c r="EK271" s="302"/>
      <c r="EL271" s="302"/>
      <c r="EM271" s="302"/>
      <c r="EN271" s="302"/>
      <c r="EO271" s="302"/>
      <c r="EP271" s="302"/>
      <c r="EQ271" s="302"/>
      <c r="ER271" s="302"/>
      <c r="ES271" s="302"/>
      <c r="ET271" s="302"/>
      <c r="EU271" s="302"/>
      <c r="EV271" s="302"/>
      <c r="EW271" s="302"/>
      <c r="EX271" s="302"/>
      <c r="EY271" s="302"/>
      <c r="EZ271" s="302"/>
      <c r="FA271" s="302"/>
      <c r="FB271" s="302"/>
      <c r="FC271" s="302"/>
      <c r="FD271" s="302"/>
      <c r="FE271" s="302"/>
      <c r="FF271" s="302"/>
      <c r="FG271" s="302"/>
      <c r="FH271" s="302"/>
      <c r="FI271" s="302"/>
      <c r="FJ271" s="302"/>
      <c r="FK271" s="302"/>
      <c r="FL271" s="302"/>
      <c r="FM271" s="302"/>
      <c r="FN271" s="302"/>
      <c r="FO271" s="302"/>
      <c r="FP271" s="302"/>
      <c r="FQ271" s="302"/>
      <c r="FR271" s="302"/>
      <c r="FS271" s="302"/>
      <c r="FT271" s="302"/>
      <c r="FU271" s="302"/>
      <c r="FV271" s="302"/>
      <c r="FW271" s="302"/>
      <c r="FX271" s="302"/>
      <c r="FY271" s="302"/>
      <c r="FZ271" s="302"/>
      <c r="GA271" s="302"/>
      <c r="GB271" s="302"/>
      <c r="GC271" s="302"/>
      <c r="GD271" s="302"/>
      <c r="GE271" s="302"/>
      <c r="GF271" s="302"/>
      <c r="GG271" s="302"/>
      <c r="GH271" s="302"/>
      <c r="GI271" s="302"/>
      <c r="GJ271" s="302"/>
      <c r="GK271" s="302"/>
      <c r="GL271" s="302"/>
      <c r="GM271" s="302"/>
      <c r="GN271" s="302"/>
      <c r="GO271" s="302"/>
      <c r="GP271" s="302"/>
      <c r="GQ271" s="302"/>
      <c r="GR271" s="302"/>
      <c r="GS271" s="302"/>
      <c r="GT271" s="302"/>
      <c r="GU271" s="302"/>
      <c r="GV271" s="302"/>
      <c r="GW271" s="302"/>
      <c r="GX271" s="302"/>
      <c r="GY271" s="302"/>
      <c r="GZ271" s="302"/>
      <c r="HA271" s="302"/>
      <c r="HB271" s="302"/>
      <c r="HC271" s="302"/>
      <c r="HD271" s="302"/>
      <c r="HE271" s="302"/>
      <c r="HF271" s="302"/>
      <c r="HG271" s="302"/>
      <c r="HH271" s="302"/>
      <c r="HI271" s="302"/>
      <c r="HJ271" s="302"/>
      <c r="HK271" s="302"/>
      <c r="HL271" s="302"/>
      <c r="HM271" s="302"/>
      <c r="HN271" s="302"/>
      <c r="HO271" s="302"/>
      <c r="HP271" s="302"/>
      <c r="HQ271" s="302"/>
      <c r="HR271" s="302"/>
      <c r="HS271" s="302"/>
      <c r="HT271" s="302"/>
      <c r="HU271" s="302"/>
      <c r="HV271" s="302"/>
      <c r="HW271" s="302"/>
      <c r="HX271" s="302"/>
      <c r="HY271" s="302"/>
      <c r="HZ271" s="302"/>
      <c r="IA271" s="302"/>
      <c r="IB271" s="302"/>
      <c r="IC271" s="302"/>
      <c r="ID271" s="302"/>
      <c r="IE271" s="302"/>
      <c r="IF271" s="302"/>
      <c r="IG271" s="302"/>
      <c r="IH271" s="302"/>
      <c r="II271" s="302"/>
      <c r="IJ271" s="302"/>
      <c r="IK271" s="302"/>
      <c r="IL271" s="302"/>
      <c r="IM271" s="302"/>
      <c r="IN271" s="302"/>
      <c r="IO271" s="302"/>
      <c r="IP271" s="302"/>
      <c r="IQ271" s="302"/>
      <c r="IR271" s="302"/>
      <c r="IS271" s="302"/>
      <c r="IT271" s="302"/>
      <c r="IU271" s="302"/>
      <c r="IV271" s="302"/>
      <c r="IW271" s="302"/>
      <c r="IX271" s="302"/>
      <c r="IY271" s="302"/>
      <c r="IZ271" s="302"/>
      <c r="JA271" s="302"/>
      <c r="JB271" s="302"/>
      <c r="JC271" s="302"/>
      <c r="JD271" s="302"/>
      <c r="JE271" s="302"/>
      <c r="JF271" s="302"/>
      <c r="JG271" s="302"/>
      <c r="JH271" s="302"/>
      <c r="JI271" s="302"/>
      <c r="JJ271" s="302"/>
      <c r="JK271" s="302"/>
      <c r="JL271" s="302"/>
      <c r="JM271" s="302"/>
      <c r="JN271" s="302"/>
      <c r="JO271" s="302"/>
      <c r="JP271" s="302"/>
      <c r="JQ271" s="302"/>
      <c r="JR271" s="302"/>
      <c r="JS271" s="302"/>
      <c r="JT271" s="302"/>
      <c r="JU271" s="302"/>
      <c r="JV271" s="302"/>
      <c r="JW271" s="302"/>
      <c r="JX271" s="302"/>
      <c r="JY271" s="302"/>
      <c r="JZ271" s="302"/>
      <c r="KA271" s="302"/>
      <c r="KB271" s="302"/>
      <c r="KC271" s="302"/>
      <c r="KD271" s="302"/>
      <c r="KE271" s="302"/>
      <c r="KF271" s="302"/>
      <c r="KG271" s="302"/>
      <c r="KH271" s="302"/>
      <c r="KI271" s="302"/>
      <c r="KJ271" s="302"/>
      <c r="KK271" s="302"/>
      <c r="KL271" s="302"/>
      <c r="KM271" s="302"/>
      <c r="KN271" s="302"/>
      <c r="KO271" s="302"/>
      <c r="KP271" s="302"/>
      <c r="KQ271" s="302"/>
      <c r="KR271" s="302"/>
      <c r="KS271" s="302"/>
      <c r="KT271" s="302"/>
      <c r="KU271" s="302"/>
      <c r="KV271" s="302"/>
      <c r="KW271" s="302"/>
      <c r="KX271" s="302"/>
      <c r="KY271" s="302"/>
      <c r="KZ271" s="302"/>
      <c r="LA271" s="302"/>
      <c r="LB271" s="302"/>
      <c r="LC271" s="302"/>
      <c r="LD271" s="302"/>
      <c r="LE271" s="302"/>
      <c r="LF271" s="302"/>
      <c r="LG271" s="302"/>
      <c r="LH271" s="302"/>
      <c r="LI271" s="302"/>
      <c r="LJ271" s="302"/>
      <c r="LK271" s="302"/>
      <c r="LL271" s="302"/>
      <c r="LM271" s="302"/>
      <c r="LN271" s="302"/>
      <c r="LO271" s="302"/>
      <c r="LP271" s="302"/>
      <c r="LQ271" s="302"/>
      <c r="LR271" s="302"/>
      <c r="LS271" s="302"/>
      <c r="LT271" s="302"/>
      <c r="LU271" s="302"/>
      <c r="LV271" s="302"/>
      <c r="LW271" s="302"/>
      <c r="LX271" s="302"/>
      <c r="LY271" s="302"/>
      <c r="LZ271" s="302"/>
      <c r="MA271" s="302"/>
      <c r="MB271" s="302"/>
      <c r="MC271" s="302"/>
      <c r="MD271" s="302"/>
      <c r="ME271" s="302"/>
      <c r="MF271" s="302"/>
      <c r="MG271" s="302"/>
      <c r="MH271" s="302"/>
      <c r="MI271" s="302"/>
      <c r="MJ271" s="302"/>
      <c r="MK271" s="302"/>
      <c r="ML271" s="302"/>
      <c r="MM271" s="302"/>
      <c r="MN271" s="302"/>
      <c r="MO271" s="302"/>
      <c r="MP271" s="302"/>
      <c r="MQ271" s="302"/>
      <c r="MR271" s="302"/>
      <c r="MS271" s="302"/>
      <c r="MT271" s="302"/>
      <c r="MU271" s="302"/>
      <c r="MV271" s="302"/>
      <c r="MW271" s="302"/>
      <c r="MX271" s="302"/>
      <c r="MY271" s="302"/>
      <c r="MZ271" s="302"/>
      <c r="NA271" s="302"/>
      <c r="NB271" s="302"/>
      <c r="NC271" s="302"/>
      <c r="ND271" s="302"/>
      <c r="NE271" s="302"/>
      <c r="NF271" s="302"/>
      <c r="NG271" s="302"/>
      <c r="NH271" s="302"/>
      <c r="NI271" s="302"/>
      <c r="NJ271" s="302"/>
      <c r="NK271" s="302"/>
      <c r="NL271" s="302"/>
      <c r="NM271" s="302"/>
      <c r="NN271" s="302"/>
      <c r="NO271" s="302"/>
      <c r="NP271" s="302"/>
      <c r="NQ271" s="302"/>
      <c r="NR271" s="302"/>
      <c r="NS271" s="302"/>
      <c r="NT271" s="302"/>
      <c r="NU271" s="302"/>
      <c r="NV271" s="302"/>
      <c r="NW271" s="302"/>
      <c r="NX271" s="302"/>
      <c r="NY271" s="302"/>
      <c r="NZ271" s="302"/>
      <c r="OA271" s="302"/>
      <c r="OB271" s="302"/>
      <c r="OC271" s="302"/>
      <c r="OD271" s="302"/>
      <c r="OE271" s="302"/>
      <c r="OF271" s="302"/>
      <c r="OG271" s="302"/>
      <c r="OH271" s="302"/>
      <c r="OI271" s="302"/>
      <c r="OJ271" s="302"/>
      <c r="OK271" s="302"/>
      <c r="OL271" s="302"/>
      <c r="OM271" s="302"/>
      <c r="ON271" s="302"/>
      <c r="OO271" s="302"/>
      <c r="OP271" s="302"/>
      <c r="OQ271" s="302"/>
      <c r="OR271" s="302"/>
      <c r="OS271" s="302"/>
      <c r="OT271" s="302"/>
      <c r="OU271" s="302"/>
      <c r="OV271" s="302"/>
      <c r="OW271" s="302"/>
      <c r="OX271" s="302"/>
      <c r="OY271" s="302"/>
      <c r="OZ271" s="302"/>
      <c r="PA271" s="302"/>
      <c r="PB271" s="302"/>
      <c r="PC271" s="302"/>
      <c r="PD271" s="302"/>
      <c r="PE271" s="302"/>
      <c r="PF271" s="302"/>
      <c r="PG271" s="302"/>
      <c r="PH271" s="302"/>
      <c r="PI271" s="302"/>
      <c r="PJ271" s="302"/>
      <c r="PK271" s="302"/>
      <c r="PL271" s="302"/>
      <c r="PM271" s="302"/>
      <c r="PN271" s="302"/>
      <c r="PO271" s="302"/>
      <c r="PP271" s="302"/>
      <c r="PQ271" s="302"/>
      <c r="PR271" s="302"/>
      <c r="PS271" s="302"/>
      <c r="PT271" s="302"/>
      <c r="PU271" s="302"/>
      <c r="PV271" s="302"/>
      <c r="PW271" s="302"/>
      <c r="PX271" s="302"/>
      <c r="PY271" s="302"/>
      <c r="PZ271" s="302"/>
      <c r="QA271" s="302"/>
      <c r="QB271" s="302"/>
      <c r="QC271" s="302"/>
      <c r="QD271" s="302"/>
      <c r="QE271" s="302"/>
      <c r="QF271" s="302"/>
      <c r="QG271" s="302"/>
      <c r="QH271" s="302"/>
      <c r="QI271" s="302"/>
      <c r="QJ271" s="302"/>
      <c r="QK271" s="302"/>
      <c r="QL271" s="302"/>
      <c r="QM271" s="302"/>
      <c r="QN271" s="302"/>
      <c r="QO271" s="302"/>
      <c r="QP271" s="302"/>
      <c r="QQ271" s="302"/>
      <c r="QR271" s="302"/>
      <c r="QS271" s="302"/>
      <c r="QT271" s="302"/>
      <c r="QU271" s="302"/>
      <c r="QV271" s="302"/>
      <c r="QW271" s="302"/>
      <c r="QX271" s="302"/>
      <c r="QY271" s="302"/>
      <c r="QZ271" s="302"/>
      <c r="RA271" s="302"/>
      <c r="RB271" s="302"/>
      <c r="RC271" s="302"/>
      <c r="RD271" s="302"/>
      <c r="RE271" s="302"/>
      <c r="RF271" s="302"/>
      <c r="RG271" s="302"/>
      <c r="RH271" s="302"/>
      <c r="RI271" s="302"/>
      <c r="RJ271" s="302"/>
      <c r="RK271" s="302"/>
      <c r="RL271" s="302"/>
      <c r="RM271" s="302"/>
      <c r="RN271" s="302"/>
      <c r="RO271" s="302"/>
      <c r="RP271" s="302"/>
      <c r="RQ271" s="302"/>
      <c r="RR271" s="302"/>
      <c r="RS271" s="302"/>
      <c r="RT271" s="302"/>
      <c r="RU271" s="302"/>
      <c r="RV271" s="302"/>
      <c r="RW271" s="302"/>
      <c r="RX271" s="302"/>
      <c r="RY271" s="302"/>
      <c r="RZ271" s="302"/>
      <c r="SA271" s="302"/>
      <c r="SB271" s="302"/>
      <c r="SC271" s="302"/>
      <c r="SD271" s="302"/>
      <c r="SE271" s="302"/>
      <c r="SF271" s="302"/>
      <c r="SG271" s="302"/>
      <c r="SH271" s="302"/>
      <c r="SI271" s="302"/>
      <c r="SJ271" s="302"/>
      <c r="SK271" s="302"/>
      <c r="SL271" s="302"/>
      <c r="SM271" s="302"/>
      <c r="SN271" s="302"/>
      <c r="SO271" s="302"/>
      <c r="SP271" s="302"/>
      <c r="SQ271" s="302"/>
      <c r="SR271" s="302"/>
      <c r="SS271" s="302"/>
      <c r="ST271" s="302"/>
      <c r="SU271" s="302"/>
      <c r="SV271" s="302"/>
      <c r="SW271" s="302"/>
      <c r="SX271" s="302"/>
      <c r="SY271" s="302"/>
      <c r="SZ271" s="302"/>
      <c r="TA271" s="302"/>
      <c r="TB271" s="302"/>
      <c r="TC271" s="302"/>
      <c r="TD271" s="302"/>
      <c r="TE271" s="302"/>
      <c r="TF271" s="302"/>
      <c r="TG271" s="302"/>
      <c r="TH271" s="302"/>
      <c r="TI271" s="302"/>
      <c r="TJ271" s="302"/>
      <c r="TK271" s="302"/>
      <c r="TL271" s="302"/>
      <c r="TM271" s="302"/>
      <c r="TN271" s="302"/>
      <c r="TO271" s="302"/>
      <c r="TP271" s="302"/>
      <c r="TQ271" s="302"/>
      <c r="TR271" s="302"/>
      <c r="TS271" s="302"/>
      <c r="TT271" s="302"/>
      <c r="TU271" s="302"/>
      <c r="TV271" s="302"/>
      <c r="TW271" s="302"/>
      <c r="TX271" s="302"/>
      <c r="TY271" s="302"/>
      <c r="TZ271" s="302"/>
      <c r="UA271" s="302"/>
      <c r="UB271" s="302"/>
      <c r="UC271" s="302"/>
      <c r="UD271" s="302"/>
      <c r="UE271" s="302"/>
      <c r="UF271" s="302"/>
      <c r="UG271" s="302"/>
      <c r="UH271" s="302"/>
      <c r="UI271" s="302"/>
      <c r="UJ271" s="302"/>
      <c r="UK271" s="302"/>
      <c r="UL271" s="302"/>
      <c r="UM271" s="302"/>
      <c r="UN271" s="302"/>
      <c r="UO271" s="302"/>
      <c r="UP271" s="302"/>
      <c r="UQ271" s="302"/>
      <c r="UR271" s="302"/>
      <c r="US271" s="302"/>
      <c r="UT271" s="302"/>
      <c r="UU271" s="302"/>
      <c r="UV271" s="302"/>
      <c r="UW271" s="302"/>
      <c r="UX271" s="302"/>
      <c r="UY271" s="302"/>
      <c r="UZ271" s="302"/>
      <c r="VA271" s="302"/>
      <c r="VB271" s="302"/>
      <c r="VC271" s="302"/>
      <c r="VD271" s="302"/>
      <c r="VE271" s="302"/>
      <c r="VF271" s="302"/>
      <c r="VG271" s="302"/>
      <c r="VH271" s="302"/>
      <c r="VI271" s="302"/>
      <c r="VJ271" s="302"/>
      <c r="VK271" s="302"/>
      <c r="VL271" s="302"/>
      <c r="VM271" s="302"/>
      <c r="VN271" s="302"/>
      <c r="VO271" s="302"/>
      <c r="VP271" s="302"/>
      <c r="VQ271" s="302"/>
      <c r="VR271" s="302"/>
      <c r="VS271" s="302"/>
      <c r="VT271" s="302"/>
      <c r="VU271" s="302"/>
      <c r="VV271" s="302"/>
      <c r="VW271" s="302"/>
      <c r="VX271" s="302"/>
      <c r="VY271" s="302"/>
      <c r="VZ271" s="302"/>
      <c r="WA271" s="302"/>
      <c r="WB271" s="302"/>
      <c r="WC271" s="302"/>
      <c r="WD271" s="302"/>
      <c r="WE271" s="302"/>
      <c r="WF271" s="302"/>
      <c r="WG271" s="302"/>
      <c r="WH271" s="302"/>
      <c r="WI271" s="302"/>
      <c r="WJ271" s="302"/>
      <c r="WK271" s="302"/>
      <c r="WL271" s="302"/>
      <c r="WM271" s="302"/>
      <c r="WN271" s="302"/>
      <c r="WO271" s="302"/>
      <c r="WP271" s="302"/>
      <c r="WQ271" s="302"/>
      <c r="WR271" s="302"/>
      <c r="WS271" s="302"/>
      <c r="WT271" s="302"/>
      <c r="WU271" s="302"/>
      <c r="WV271" s="302"/>
      <c r="WW271" s="302"/>
      <c r="WX271" s="302"/>
      <c r="WY271" s="302"/>
      <c r="WZ271" s="302"/>
      <c r="XA271" s="302"/>
      <c r="XB271" s="302"/>
      <c r="XC271" s="302"/>
      <c r="XD271" s="302"/>
      <c r="XE271" s="302"/>
      <c r="XF271" s="302"/>
      <c r="XG271" s="302"/>
      <c r="XH271" s="302"/>
      <c r="XI271" s="302"/>
      <c r="XJ271" s="302"/>
      <c r="XK271" s="302"/>
      <c r="XL271" s="302"/>
      <c r="XM271" s="302"/>
      <c r="XN271" s="302"/>
      <c r="XO271" s="302"/>
      <c r="XP271" s="302"/>
      <c r="XQ271" s="302"/>
      <c r="XR271" s="302"/>
      <c r="XS271" s="302"/>
      <c r="XT271" s="302"/>
      <c r="XU271" s="302"/>
      <c r="XV271" s="302"/>
      <c r="XW271" s="302"/>
      <c r="XX271" s="302"/>
      <c r="XY271" s="302"/>
      <c r="XZ271" s="302"/>
      <c r="YA271" s="302"/>
      <c r="YB271" s="302"/>
      <c r="YC271" s="302"/>
      <c r="YD271" s="302"/>
      <c r="YE271" s="302"/>
      <c r="YF271" s="302"/>
      <c r="YG271" s="302"/>
      <c r="YH271" s="302"/>
      <c r="YI271" s="302"/>
      <c r="YJ271" s="302"/>
      <c r="YK271" s="302"/>
      <c r="YL271" s="302"/>
      <c r="YM271" s="302"/>
      <c r="YN271" s="302"/>
      <c r="YO271" s="302"/>
      <c r="YP271" s="302"/>
      <c r="YQ271" s="302"/>
      <c r="YR271" s="302"/>
      <c r="YS271" s="302"/>
      <c r="YT271" s="302"/>
      <c r="YU271" s="302"/>
      <c r="YV271" s="302"/>
      <c r="YW271" s="302"/>
      <c r="YX271" s="302"/>
      <c r="YY271" s="302"/>
      <c r="YZ271" s="302"/>
      <c r="ZA271" s="302"/>
      <c r="ZB271" s="302"/>
      <c r="ZC271" s="302"/>
      <c r="ZD271" s="302"/>
      <c r="ZE271" s="302"/>
      <c r="ZF271" s="302"/>
      <c r="ZG271" s="302"/>
      <c r="ZH271" s="302"/>
      <c r="ZI271" s="302"/>
      <c r="ZJ271" s="302"/>
      <c r="ZK271" s="302"/>
      <c r="ZL271" s="302"/>
      <c r="ZM271" s="302"/>
      <c r="ZN271" s="302"/>
      <c r="ZO271" s="302"/>
      <c r="ZP271" s="302"/>
      <c r="ZQ271" s="302"/>
      <c r="ZR271" s="302"/>
      <c r="ZS271" s="302"/>
      <c r="ZT271" s="302"/>
      <c r="ZU271" s="302"/>
      <c r="ZV271" s="302"/>
      <c r="ZW271" s="302"/>
      <c r="ZX271" s="302"/>
      <c r="ZY271" s="302"/>
      <c r="ZZ271" s="302"/>
      <c r="AAA271" s="302"/>
      <c r="AAB271" s="302"/>
      <c r="AAC271" s="302"/>
      <c r="AAD271" s="302"/>
      <c r="AAE271" s="302"/>
      <c r="AAF271" s="302"/>
      <c r="AAG271" s="302"/>
      <c r="AAH271" s="302"/>
      <c r="AAI271" s="302"/>
      <c r="AAJ271" s="302"/>
      <c r="AAK271" s="302"/>
      <c r="AAL271" s="302"/>
      <c r="AAM271" s="302"/>
      <c r="AAN271" s="302"/>
      <c r="AAO271" s="302"/>
      <c r="AAP271" s="302"/>
      <c r="AAQ271" s="302"/>
      <c r="AAR271" s="302"/>
      <c r="AAS271" s="302"/>
      <c r="AAT271" s="302"/>
      <c r="AAU271" s="302"/>
      <c r="AAV271" s="302"/>
      <c r="AAW271" s="302"/>
      <c r="AAX271" s="302"/>
      <c r="AAY271" s="302"/>
      <c r="AAZ271" s="302"/>
      <c r="ABA271" s="302"/>
      <c r="ABB271" s="302"/>
      <c r="ABC271" s="302"/>
      <c r="ABD271" s="302"/>
      <c r="ABE271" s="302"/>
      <c r="ABF271" s="302"/>
      <c r="ABG271" s="302"/>
      <c r="ABH271" s="302"/>
      <c r="ABI271" s="302"/>
      <c r="ABJ271" s="302"/>
      <c r="ABK271" s="302"/>
      <c r="ABL271" s="302"/>
      <c r="ABM271" s="302"/>
      <c r="ABN271" s="302"/>
      <c r="ABO271" s="302"/>
      <c r="ABP271" s="302"/>
      <c r="ABQ271" s="302"/>
      <c r="ABR271" s="302"/>
      <c r="ABS271" s="302"/>
      <c r="ABT271" s="302"/>
      <c r="ABU271" s="302"/>
      <c r="ABV271" s="302"/>
      <c r="ABW271" s="302"/>
      <c r="ABX271" s="302"/>
      <c r="ABY271" s="302"/>
      <c r="ABZ271" s="302"/>
      <c r="ACA271" s="302"/>
      <c r="ACB271" s="302"/>
      <c r="ACC271" s="302"/>
      <c r="ACD271" s="302"/>
      <c r="ACE271" s="302"/>
      <c r="ACF271" s="302"/>
      <c r="ACG271" s="302"/>
      <c r="ACH271" s="302"/>
      <c r="ACI271" s="302"/>
      <c r="ACJ271" s="302"/>
      <c r="ACK271" s="302"/>
      <c r="ACL271" s="302"/>
      <c r="ACM271" s="302"/>
      <c r="ACN271" s="302"/>
      <c r="ACO271" s="302"/>
      <c r="ACP271" s="302"/>
      <c r="ACQ271" s="302"/>
      <c r="ACR271" s="302"/>
      <c r="ACS271" s="302"/>
      <c r="ACT271" s="302"/>
      <c r="ACU271" s="302"/>
      <c r="ACV271" s="302"/>
      <c r="ACW271" s="302"/>
      <c r="ACX271" s="302"/>
      <c r="ACY271" s="302"/>
      <c r="ACZ271" s="302"/>
      <c r="ADA271" s="302"/>
      <c r="ADB271" s="302"/>
      <c r="ADC271" s="302"/>
      <c r="ADD271" s="302"/>
      <c r="ADE271" s="302"/>
      <c r="ADF271" s="302"/>
      <c r="ADG271" s="302"/>
      <c r="ADH271" s="302"/>
      <c r="ADI271" s="302"/>
      <c r="ADJ271" s="302"/>
      <c r="ADK271" s="302"/>
      <c r="ADL271" s="302"/>
      <c r="ADM271" s="302"/>
      <c r="ADN271" s="302"/>
      <c r="ADO271" s="302"/>
      <c r="ADP271" s="302"/>
      <c r="ADQ271" s="302"/>
      <c r="ADR271" s="302"/>
      <c r="ADS271" s="302"/>
      <c r="ADT271" s="302"/>
      <c r="ADU271" s="302"/>
      <c r="ADV271" s="302"/>
      <c r="ADW271" s="302"/>
      <c r="ADX271" s="302"/>
      <c r="ADY271" s="302"/>
      <c r="ADZ271" s="302"/>
      <c r="AEA271" s="302"/>
      <c r="AEB271" s="302"/>
      <c r="AEC271" s="302"/>
      <c r="AED271" s="302"/>
      <c r="AEE271" s="302"/>
      <c r="AEF271" s="302"/>
      <c r="AEG271" s="302"/>
      <c r="AEH271" s="302"/>
      <c r="AEI271" s="302"/>
      <c r="AEJ271" s="302"/>
      <c r="AEK271" s="302"/>
      <c r="AEL271" s="302"/>
      <c r="AEM271" s="302"/>
      <c r="AEN271" s="302"/>
      <c r="AEO271" s="302"/>
      <c r="AEP271" s="302"/>
      <c r="AEQ271" s="302"/>
      <c r="AER271" s="302"/>
      <c r="AES271" s="302"/>
      <c r="AET271" s="302"/>
      <c r="AEU271" s="302"/>
      <c r="AEV271" s="302"/>
      <c r="AEW271" s="302"/>
      <c r="AEX271" s="302"/>
      <c r="AEY271" s="302"/>
      <c r="AEZ271" s="302"/>
      <c r="AFA271" s="302"/>
      <c r="AFB271" s="302"/>
      <c r="AFC271" s="302"/>
      <c r="AFD271" s="302"/>
      <c r="AFE271" s="302"/>
      <c r="AFF271" s="302"/>
      <c r="AFG271" s="302"/>
      <c r="AFH271" s="302"/>
      <c r="AFI271" s="302"/>
      <c r="AFJ271" s="302"/>
      <c r="AFK271" s="302"/>
      <c r="AFL271" s="302"/>
      <c r="AFM271" s="302"/>
      <c r="AFN271" s="302"/>
      <c r="AFO271" s="302"/>
      <c r="AFP271" s="302"/>
      <c r="AFQ271" s="302"/>
      <c r="AFR271" s="302"/>
      <c r="AFS271" s="302"/>
      <c r="AFT271" s="302"/>
      <c r="AFU271" s="302"/>
      <c r="AFV271" s="302"/>
      <c r="AFW271" s="302"/>
      <c r="AFX271" s="302"/>
      <c r="AFY271" s="302"/>
      <c r="AFZ271" s="302"/>
      <c r="AGA271" s="302"/>
      <c r="AGB271" s="302"/>
      <c r="AGC271" s="302"/>
      <c r="AGD271" s="302"/>
      <c r="AGE271" s="302"/>
      <c r="AGF271" s="302"/>
      <c r="AGG271" s="302"/>
      <c r="AGH271" s="302"/>
      <c r="AGI271" s="302"/>
      <c r="AGJ271" s="302"/>
      <c r="AGK271" s="302"/>
      <c r="AGL271" s="302"/>
      <c r="AGM271" s="302"/>
      <c r="AGN271" s="302"/>
      <c r="AGO271" s="302"/>
      <c r="AGP271" s="302"/>
      <c r="AGQ271" s="302"/>
      <c r="AGR271" s="302"/>
      <c r="AGS271" s="302"/>
      <c r="AGT271" s="302"/>
      <c r="AGU271" s="302"/>
      <c r="AGV271" s="302"/>
      <c r="AGW271" s="302"/>
      <c r="AGX271" s="302"/>
      <c r="AGY271" s="302"/>
      <c r="AGZ271" s="302"/>
      <c r="AHA271" s="302"/>
      <c r="AHB271" s="302"/>
      <c r="AHC271" s="302"/>
      <c r="AHD271" s="302"/>
      <c r="AHE271" s="302"/>
      <c r="AHF271" s="302"/>
      <c r="AHG271" s="302"/>
      <c r="AHH271" s="302"/>
      <c r="AHI271" s="302"/>
      <c r="AHJ271" s="302"/>
      <c r="AHK271" s="302"/>
      <c r="AHL271" s="302"/>
      <c r="AHM271" s="302"/>
      <c r="AHN271" s="302"/>
      <c r="AHO271" s="302"/>
      <c r="AHP271" s="302"/>
      <c r="AHQ271" s="302"/>
      <c r="AHR271" s="302"/>
      <c r="AHS271" s="302"/>
      <c r="AHT271" s="302"/>
      <c r="AHU271" s="302"/>
      <c r="AHV271" s="302"/>
      <c r="AHW271" s="302"/>
      <c r="AHX271" s="302"/>
      <c r="AHY271" s="302"/>
      <c r="AHZ271" s="302"/>
      <c r="AIA271" s="302"/>
      <c r="AIB271" s="302"/>
      <c r="AIC271" s="302"/>
      <c r="AID271" s="302"/>
      <c r="AIE271" s="302"/>
      <c r="AIF271" s="302"/>
      <c r="AIG271" s="302"/>
      <c r="AIH271" s="302"/>
      <c r="AII271" s="302"/>
      <c r="AIJ271" s="302"/>
      <c r="AIK271" s="302"/>
      <c r="AIL271" s="302"/>
      <c r="AIM271" s="302"/>
      <c r="AIN271" s="302"/>
      <c r="AIO271" s="302"/>
      <c r="AIP271" s="302"/>
      <c r="AIQ271" s="302"/>
      <c r="AIR271" s="302"/>
      <c r="AIS271" s="302"/>
      <c r="AIT271" s="302"/>
      <c r="AIU271" s="302"/>
      <c r="AIV271" s="302"/>
      <c r="AIW271" s="302"/>
      <c r="AIX271" s="302"/>
      <c r="AIY271" s="302"/>
      <c r="AIZ271" s="302"/>
      <c r="AJA271" s="302"/>
      <c r="AJB271" s="302"/>
      <c r="AJC271" s="302"/>
      <c r="AJD271" s="302"/>
      <c r="AJE271" s="302"/>
      <c r="AJF271" s="302"/>
      <c r="AJG271" s="302"/>
      <c r="AJH271" s="302"/>
      <c r="AJI271" s="302"/>
      <c r="AJJ271" s="302"/>
      <c r="AJK271" s="302"/>
      <c r="AJL271" s="302"/>
      <c r="AJM271" s="302"/>
      <c r="AJN271" s="302"/>
      <c r="AJO271" s="302"/>
      <c r="AJP271" s="302"/>
      <c r="AJQ271" s="302"/>
      <c r="AJR271" s="302"/>
      <c r="AJS271" s="302"/>
      <c r="AJT271" s="302"/>
      <c r="AJU271" s="302"/>
      <c r="AJV271" s="302"/>
      <c r="AJW271" s="302"/>
      <c r="AJX271" s="302"/>
      <c r="AJY271" s="302"/>
      <c r="AJZ271" s="302"/>
      <c r="AKA271" s="302"/>
      <c r="AKB271" s="302"/>
      <c r="AKC271" s="302"/>
      <c r="AKD271" s="302"/>
      <c r="AKE271" s="302"/>
      <c r="AKF271" s="302"/>
      <c r="AKG271" s="302"/>
      <c r="AKH271" s="302"/>
      <c r="AKI271" s="302"/>
      <c r="AKJ271" s="302"/>
      <c r="AKK271" s="302"/>
      <c r="AKL271" s="302"/>
      <c r="AKM271" s="302"/>
      <c r="AKN271" s="302"/>
      <c r="AKO271" s="302"/>
      <c r="AKP271" s="302"/>
      <c r="AKQ271" s="302"/>
      <c r="AKR271" s="302"/>
      <c r="AKS271" s="302"/>
      <c r="AKT271" s="302"/>
      <c r="AKU271" s="302"/>
      <c r="AKV271" s="302"/>
      <c r="AKW271" s="302"/>
      <c r="AKX271" s="302"/>
      <c r="AKY271" s="302"/>
      <c r="AKZ271" s="302"/>
      <c r="ALA271" s="302"/>
      <c r="ALB271" s="302"/>
      <c r="ALC271" s="302"/>
      <c r="ALD271" s="302"/>
      <c r="ALE271" s="302"/>
      <c r="ALF271" s="302"/>
      <c r="ALG271" s="302"/>
      <c r="ALH271" s="302"/>
      <c r="ALI271" s="302"/>
      <c r="ALJ271" s="302"/>
      <c r="ALK271" s="302"/>
      <c r="ALL271" s="302"/>
      <c r="ALM271" s="302"/>
      <c r="ALN271" s="302"/>
      <c r="ALO271" s="302"/>
      <c r="ALP271" s="302"/>
      <c r="ALQ271" s="302"/>
      <c r="ALR271" s="302"/>
      <c r="ALS271" s="302"/>
      <c r="ALT271" s="302"/>
      <c r="ALU271" s="302"/>
      <c r="ALV271" s="302"/>
      <c r="ALW271" s="302"/>
      <c r="ALX271" s="302"/>
      <c r="ALY271" s="302"/>
      <c r="ALZ271" s="302"/>
      <c r="AMA271" s="302"/>
      <c r="AMB271" s="302"/>
      <c r="AMC271" s="302"/>
      <c r="AMD271" s="302"/>
      <c r="AME271" s="302"/>
      <c r="AMF271" s="302"/>
      <c r="AMG271" s="302"/>
      <c r="AMH271" s="302"/>
      <c r="AMI271" s="302"/>
    </row>
    <row r="272" spans="1:1023" ht="18" hidden="1">
      <c r="A272" s="302"/>
      <c r="B272" s="308" t="s">
        <v>4</v>
      </c>
      <c r="C272" s="308" t="s">
        <v>373</v>
      </c>
      <c r="D272" s="308" t="s">
        <v>6</v>
      </c>
      <c r="E272" s="308" t="s">
        <v>29</v>
      </c>
      <c r="F272" s="309" t="s">
        <v>8</v>
      </c>
      <c r="G272" s="308" t="s">
        <v>138</v>
      </c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  <c r="AD272" s="302"/>
      <c r="AE272" s="302"/>
      <c r="AF272" s="302"/>
      <c r="AG272" s="302"/>
      <c r="AH272" s="302"/>
      <c r="AI272" s="302"/>
      <c r="AJ272" s="302"/>
      <c r="AK272" s="302"/>
      <c r="AL272" s="302"/>
      <c r="AM272" s="302"/>
      <c r="AN272" s="302"/>
      <c r="AO272" s="302"/>
      <c r="AP272" s="302"/>
      <c r="AQ272" s="302"/>
      <c r="AR272" s="302"/>
      <c r="AS272" s="302"/>
      <c r="AT272" s="302"/>
      <c r="AU272" s="302"/>
      <c r="AV272" s="302"/>
      <c r="AW272" s="302"/>
      <c r="AX272" s="302"/>
      <c r="AY272" s="302"/>
      <c r="AZ272" s="302"/>
      <c r="BA272" s="302"/>
      <c r="BB272" s="302"/>
      <c r="BC272" s="302"/>
      <c r="BD272" s="302"/>
      <c r="BE272" s="302"/>
      <c r="BF272" s="302"/>
      <c r="BG272" s="302"/>
      <c r="BH272" s="302"/>
      <c r="BI272" s="302"/>
      <c r="BJ272" s="302"/>
      <c r="BK272" s="302"/>
      <c r="BL272" s="302"/>
      <c r="BM272" s="302"/>
      <c r="BN272" s="302"/>
      <c r="BO272" s="302"/>
      <c r="BP272" s="302"/>
      <c r="BQ272" s="302"/>
      <c r="BR272" s="302"/>
      <c r="BS272" s="302"/>
      <c r="BT272" s="302"/>
      <c r="BU272" s="302"/>
      <c r="BV272" s="302"/>
      <c r="BW272" s="302"/>
      <c r="BX272" s="302"/>
      <c r="BY272" s="302"/>
      <c r="BZ272" s="302"/>
      <c r="CA272" s="302"/>
      <c r="CB272" s="302"/>
      <c r="CC272" s="302"/>
      <c r="CD272" s="302"/>
      <c r="CE272" s="302"/>
      <c r="CF272" s="302"/>
      <c r="CG272" s="302"/>
      <c r="CH272" s="302"/>
      <c r="CI272" s="302"/>
      <c r="CJ272" s="302"/>
      <c r="CK272" s="302"/>
      <c r="CL272" s="302"/>
      <c r="CM272" s="302"/>
      <c r="CN272" s="302"/>
      <c r="CO272" s="302"/>
      <c r="CP272" s="302"/>
      <c r="CQ272" s="302"/>
      <c r="CR272" s="302"/>
      <c r="CS272" s="302"/>
      <c r="CT272" s="302"/>
      <c r="CU272" s="302"/>
      <c r="CV272" s="302"/>
      <c r="CW272" s="302"/>
      <c r="CX272" s="302"/>
      <c r="CY272" s="302"/>
      <c r="CZ272" s="302"/>
      <c r="DA272" s="302"/>
      <c r="DB272" s="302"/>
      <c r="DC272" s="302"/>
      <c r="DD272" s="302"/>
      <c r="DE272" s="302"/>
      <c r="DF272" s="302"/>
      <c r="DG272" s="302"/>
      <c r="DH272" s="302"/>
      <c r="DI272" s="302"/>
      <c r="DJ272" s="302"/>
      <c r="DK272" s="302"/>
      <c r="DL272" s="302"/>
      <c r="DM272" s="302"/>
      <c r="DN272" s="302"/>
      <c r="DO272" s="302"/>
      <c r="DP272" s="302"/>
      <c r="DQ272" s="302"/>
      <c r="DR272" s="302"/>
      <c r="DS272" s="302"/>
      <c r="DT272" s="302"/>
      <c r="DU272" s="302"/>
      <c r="DV272" s="302"/>
      <c r="DW272" s="302"/>
      <c r="DX272" s="302"/>
      <c r="DY272" s="302"/>
      <c r="DZ272" s="302"/>
      <c r="EA272" s="302"/>
      <c r="EB272" s="302"/>
      <c r="EC272" s="302"/>
      <c r="ED272" s="302"/>
      <c r="EE272" s="302"/>
      <c r="EF272" s="302"/>
      <c r="EG272" s="302"/>
      <c r="EH272" s="302"/>
      <c r="EI272" s="302"/>
      <c r="EJ272" s="302"/>
      <c r="EK272" s="302"/>
      <c r="EL272" s="302"/>
      <c r="EM272" s="302"/>
      <c r="EN272" s="302"/>
      <c r="EO272" s="302"/>
      <c r="EP272" s="302"/>
      <c r="EQ272" s="302"/>
      <c r="ER272" s="302"/>
      <c r="ES272" s="302"/>
      <c r="ET272" s="302"/>
      <c r="EU272" s="302"/>
      <c r="EV272" s="302"/>
      <c r="EW272" s="302"/>
      <c r="EX272" s="302"/>
      <c r="EY272" s="302"/>
      <c r="EZ272" s="302"/>
      <c r="FA272" s="302"/>
      <c r="FB272" s="302"/>
      <c r="FC272" s="302"/>
      <c r="FD272" s="302"/>
      <c r="FE272" s="302"/>
      <c r="FF272" s="302"/>
      <c r="FG272" s="302"/>
      <c r="FH272" s="302"/>
      <c r="FI272" s="302"/>
      <c r="FJ272" s="302"/>
      <c r="FK272" s="302"/>
      <c r="FL272" s="302"/>
      <c r="FM272" s="302"/>
      <c r="FN272" s="302"/>
      <c r="FO272" s="302"/>
      <c r="FP272" s="302"/>
      <c r="FQ272" s="302"/>
      <c r="FR272" s="302"/>
      <c r="FS272" s="302"/>
      <c r="FT272" s="302"/>
      <c r="FU272" s="302"/>
      <c r="FV272" s="302"/>
      <c r="FW272" s="302"/>
      <c r="FX272" s="302"/>
      <c r="FY272" s="302"/>
      <c r="FZ272" s="302"/>
      <c r="GA272" s="302"/>
      <c r="GB272" s="302"/>
      <c r="GC272" s="302"/>
      <c r="GD272" s="302"/>
      <c r="GE272" s="302"/>
      <c r="GF272" s="302"/>
      <c r="GG272" s="302"/>
      <c r="GH272" s="302"/>
      <c r="GI272" s="302"/>
      <c r="GJ272" s="302"/>
      <c r="GK272" s="302"/>
      <c r="GL272" s="302"/>
      <c r="GM272" s="302"/>
      <c r="GN272" s="302"/>
      <c r="GO272" s="302"/>
      <c r="GP272" s="302"/>
      <c r="GQ272" s="302"/>
      <c r="GR272" s="302"/>
      <c r="GS272" s="302"/>
      <c r="GT272" s="302"/>
      <c r="GU272" s="302"/>
      <c r="GV272" s="302"/>
      <c r="GW272" s="302"/>
      <c r="GX272" s="302"/>
      <c r="GY272" s="302"/>
      <c r="GZ272" s="302"/>
      <c r="HA272" s="302"/>
      <c r="HB272" s="302"/>
      <c r="HC272" s="302"/>
      <c r="HD272" s="302"/>
      <c r="HE272" s="302"/>
      <c r="HF272" s="302"/>
      <c r="HG272" s="302"/>
      <c r="HH272" s="302"/>
      <c r="HI272" s="302"/>
      <c r="HJ272" s="302"/>
      <c r="HK272" s="302"/>
      <c r="HL272" s="302"/>
      <c r="HM272" s="302"/>
      <c r="HN272" s="302"/>
      <c r="HO272" s="302"/>
      <c r="HP272" s="302"/>
      <c r="HQ272" s="302"/>
      <c r="HR272" s="302"/>
      <c r="HS272" s="302"/>
      <c r="HT272" s="302"/>
      <c r="HU272" s="302"/>
      <c r="HV272" s="302"/>
      <c r="HW272" s="302"/>
      <c r="HX272" s="302"/>
      <c r="HY272" s="302"/>
      <c r="HZ272" s="302"/>
      <c r="IA272" s="302"/>
      <c r="IB272" s="302"/>
      <c r="IC272" s="302"/>
      <c r="ID272" s="302"/>
      <c r="IE272" s="302"/>
      <c r="IF272" s="302"/>
      <c r="IG272" s="302"/>
      <c r="IH272" s="302"/>
      <c r="II272" s="302"/>
      <c r="IJ272" s="302"/>
      <c r="IK272" s="302"/>
      <c r="IL272" s="302"/>
      <c r="IM272" s="302"/>
      <c r="IN272" s="302"/>
      <c r="IO272" s="302"/>
      <c r="IP272" s="302"/>
      <c r="IQ272" s="302"/>
      <c r="IR272" s="302"/>
      <c r="IS272" s="302"/>
      <c r="IT272" s="302"/>
      <c r="IU272" s="302"/>
      <c r="IV272" s="302"/>
      <c r="IW272" s="302"/>
      <c r="IX272" s="302"/>
      <c r="IY272" s="302"/>
      <c r="IZ272" s="302"/>
      <c r="JA272" s="302"/>
      <c r="JB272" s="302"/>
      <c r="JC272" s="302"/>
      <c r="JD272" s="302"/>
      <c r="JE272" s="302"/>
      <c r="JF272" s="302"/>
      <c r="JG272" s="302"/>
      <c r="JH272" s="302"/>
      <c r="JI272" s="302"/>
      <c r="JJ272" s="302"/>
      <c r="JK272" s="302"/>
      <c r="JL272" s="302"/>
      <c r="JM272" s="302"/>
      <c r="JN272" s="302"/>
      <c r="JO272" s="302"/>
      <c r="JP272" s="302"/>
      <c r="JQ272" s="302"/>
      <c r="JR272" s="302"/>
      <c r="JS272" s="302"/>
      <c r="JT272" s="302"/>
      <c r="JU272" s="302"/>
      <c r="JV272" s="302"/>
      <c r="JW272" s="302"/>
      <c r="JX272" s="302"/>
      <c r="JY272" s="302"/>
      <c r="JZ272" s="302"/>
      <c r="KA272" s="302"/>
      <c r="KB272" s="302"/>
      <c r="KC272" s="302"/>
      <c r="KD272" s="302"/>
      <c r="KE272" s="302"/>
      <c r="KF272" s="302"/>
      <c r="KG272" s="302"/>
      <c r="KH272" s="302"/>
      <c r="KI272" s="302"/>
      <c r="KJ272" s="302"/>
      <c r="KK272" s="302"/>
      <c r="KL272" s="302"/>
      <c r="KM272" s="302"/>
      <c r="KN272" s="302"/>
      <c r="KO272" s="302"/>
      <c r="KP272" s="302"/>
      <c r="KQ272" s="302"/>
      <c r="KR272" s="302"/>
      <c r="KS272" s="302"/>
      <c r="KT272" s="302"/>
      <c r="KU272" s="302"/>
      <c r="KV272" s="302"/>
      <c r="KW272" s="302"/>
      <c r="KX272" s="302"/>
      <c r="KY272" s="302"/>
      <c r="KZ272" s="302"/>
      <c r="LA272" s="302"/>
      <c r="LB272" s="302"/>
      <c r="LC272" s="302"/>
      <c r="LD272" s="302"/>
      <c r="LE272" s="302"/>
      <c r="LF272" s="302"/>
      <c r="LG272" s="302"/>
      <c r="LH272" s="302"/>
      <c r="LI272" s="302"/>
      <c r="LJ272" s="302"/>
      <c r="LK272" s="302"/>
      <c r="LL272" s="302"/>
      <c r="LM272" s="302"/>
      <c r="LN272" s="302"/>
      <c r="LO272" s="302"/>
      <c r="LP272" s="302"/>
      <c r="LQ272" s="302"/>
      <c r="LR272" s="302"/>
      <c r="LS272" s="302"/>
      <c r="LT272" s="302"/>
      <c r="LU272" s="302"/>
      <c r="LV272" s="302"/>
      <c r="LW272" s="302"/>
      <c r="LX272" s="302"/>
      <c r="LY272" s="302"/>
      <c r="LZ272" s="302"/>
      <c r="MA272" s="302"/>
      <c r="MB272" s="302"/>
      <c r="MC272" s="302"/>
      <c r="MD272" s="302"/>
      <c r="ME272" s="302"/>
      <c r="MF272" s="302"/>
      <c r="MG272" s="302"/>
      <c r="MH272" s="302"/>
      <c r="MI272" s="302"/>
      <c r="MJ272" s="302"/>
      <c r="MK272" s="302"/>
      <c r="ML272" s="302"/>
      <c r="MM272" s="302"/>
      <c r="MN272" s="302"/>
      <c r="MO272" s="302"/>
      <c r="MP272" s="302"/>
      <c r="MQ272" s="302"/>
      <c r="MR272" s="302"/>
      <c r="MS272" s="302"/>
      <c r="MT272" s="302"/>
      <c r="MU272" s="302"/>
      <c r="MV272" s="302"/>
      <c r="MW272" s="302"/>
      <c r="MX272" s="302"/>
      <c r="MY272" s="302"/>
      <c r="MZ272" s="302"/>
      <c r="NA272" s="302"/>
      <c r="NB272" s="302"/>
      <c r="NC272" s="302"/>
      <c r="ND272" s="302"/>
      <c r="NE272" s="302"/>
      <c r="NF272" s="302"/>
      <c r="NG272" s="302"/>
      <c r="NH272" s="302"/>
      <c r="NI272" s="302"/>
      <c r="NJ272" s="302"/>
      <c r="NK272" s="302"/>
      <c r="NL272" s="302"/>
      <c r="NM272" s="302"/>
      <c r="NN272" s="302"/>
      <c r="NO272" s="302"/>
      <c r="NP272" s="302"/>
      <c r="NQ272" s="302"/>
      <c r="NR272" s="302"/>
      <c r="NS272" s="302"/>
      <c r="NT272" s="302"/>
      <c r="NU272" s="302"/>
      <c r="NV272" s="302"/>
      <c r="NW272" s="302"/>
      <c r="NX272" s="302"/>
      <c r="NY272" s="302"/>
      <c r="NZ272" s="302"/>
      <c r="OA272" s="302"/>
      <c r="OB272" s="302"/>
      <c r="OC272" s="302"/>
      <c r="OD272" s="302"/>
      <c r="OE272" s="302"/>
      <c r="OF272" s="302"/>
      <c r="OG272" s="302"/>
      <c r="OH272" s="302"/>
      <c r="OI272" s="302"/>
      <c r="OJ272" s="302"/>
      <c r="OK272" s="302"/>
      <c r="OL272" s="302"/>
      <c r="OM272" s="302"/>
      <c r="ON272" s="302"/>
      <c r="OO272" s="302"/>
      <c r="OP272" s="302"/>
      <c r="OQ272" s="302"/>
      <c r="OR272" s="302"/>
      <c r="OS272" s="302"/>
      <c r="OT272" s="302"/>
      <c r="OU272" s="302"/>
      <c r="OV272" s="302"/>
      <c r="OW272" s="302"/>
      <c r="OX272" s="302"/>
      <c r="OY272" s="302"/>
      <c r="OZ272" s="302"/>
      <c r="PA272" s="302"/>
      <c r="PB272" s="302"/>
      <c r="PC272" s="302"/>
      <c r="PD272" s="302"/>
      <c r="PE272" s="302"/>
      <c r="PF272" s="302"/>
      <c r="PG272" s="302"/>
      <c r="PH272" s="302"/>
      <c r="PI272" s="302"/>
      <c r="PJ272" s="302"/>
      <c r="PK272" s="302"/>
      <c r="PL272" s="302"/>
      <c r="PM272" s="302"/>
      <c r="PN272" s="302"/>
      <c r="PO272" s="302"/>
      <c r="PP272" s="302"/>
      <c r="PQ272" s="302"/>
      <c r="PR272" s="302"/>
      <c r="PS272" s="302"/>
      <c r="PT272" s="302"/>
      <c r="PU272" s="302"/>
      <c r="PV272" s="302"/>
      <c r="PW272" s="302"/>
      <c r="PX272" s="302"/>
      <c r="PY272" s="302"/>
      <c r="PZ272" s="302"/>
      <c r="QA272" s="302"/>
      <c r="QB272" s="302"/>
      <c r="QC272" s="302"/>
      <c r="QD272" s="302"/>
      <c r="QE272" s="302"/>
      <c r="QF272" s="302"/>
      <c r="QG272" s="302"/>
      <c r="QH272" s="302"/>
      <c r="QI272" s="302"/>
      <c r="QJ272" s="302"/>
      <c r="QK272" s="302"/>
      <c r="QL272" s="302"/>
      <c r="QM272" s="302"/>
      <c r="QN272" s="302"/>
      <c r="QO272" s="302"/>
      <c r="QP272" s="302"/>
      <c r="QQ272" s="302"/>
      <c r="QR272" s="302"/>
      <c r="QS272" s="302"/>
      <c r="QT272" s="302"/>
      <c r="QU272" s="302"/>
      <c r="QV272" s="302"/>
      <c r="QW272" s="302"/>
      <c r="QX272" s="302"/>
      <c r="QY272" s="302"/>
      <c r="QZ272" s="302"/>
      <c r="RA272" s="302"/>
      <c r="RB272" s="302"/>
      <c r="RC272" s="302"/>
      <c r="RD272" s="302"/>
      <c r="RE272" s="302"/>
      <c r="RF272" s="302"/>
      <c r="RG272" s="302"/>
      <c r="RH272" s="302"/>
      <c r="RI272" s="302"/>
      <c r="RJ272" s="302"/>
      <c r="RK272" s="302"/>
      <c r="RL272" s="302"/>
      <c r="RM272" s="302"/>
      <c r="RN272" s="302"/>
      <c r="RO272" s="302"/>
      <c r="RP272" s="302"/>
      <c r="RQ272" s="302"/>
      <c r="RR272" s="302"/>
      <c r="RS272" s="302"/>
      <c r="RT272" s="302"/>
      <c r="RU272" s="302"/>
      <c r="RV272" s="302"/>
      <c r="RW272" s="302"/>
      <c r="RX272" s="302"/>
      <c r="RY272" s="302"/>
      <c r="RZ272" s="302"/>
      <c r="SA272" s="302"/>
      <c r="SB272" s="302"/>
      <c r="SC272" s="302"/>
      <c r="SD272" s="302"/>
      <c r="SE272" s="302"/>
      <c r="SF272" s="302"/>
      <c r="SG272" s="302"/>
      <c r="SH272" s="302"/>
      <c r="SI272" s="302"/>
      <c r="SJ272" s="302"/>
      <c r="SK272" s="302"/>
      <c r="SL272" s="302"/>
      <c r="SM272" s="302"/>
      <c r="SN272" s="302"/>
      <c r="SO272" s="302"/>
      <c r="SP272" s="302"/>
      <c r="SQ272" s="302"/>
      <c r="SR272" s="302"/>
      <c r="SS272" s="302"/>
      <c r="ST272" s="302"/>
      <c r="SU272" s="302"/>
      <c r="SV272" s="302"/>
      <c r="SW272" s="302"/>
      <c r="SX272" s="302"/>
      <c r="SY272" s="302"/>
      <c r="SZ272" s="302"/>
      <c r="TA272" s="302"/>
      <c r="TB272" s="302"/>
      <c r="TC272" s="302"/>
      <c r="TD272" s="302"/>
      <c r="TE272" s="302"/>
      <c r="TF272" s="302"/>
      <c r="TG272" s="302"/>
      <c r="TH272" s="302"/>
      <c r="TI272" s="302"/>
      <c r="TJ272" s="302"/>
      <c r="TK272" s="302"/>
      <c r="TL272" s="302"/>
      <c r="TM272" s="302"/>
      <c r="TN272" s="302"/>
      <c r="TO272" s="302"/>
      <c r="TP272" s="302"/>
      <c r="TQ272" s="302"/>
      <c r="TR272" s="302"/>
      <c r="TS272" s="302"/>
      <c r="TT272" s="302"/>
      <c r="TU272" s="302"/>
      <c r="TV272" s="302"/>
      <c r="TW272" s="302"/>
      <c r="TX272" s="302"/>
      <c r="TY272" s="302"/>
      <c r="TZ272" s="302"/>
      <c r="UA272" s="302"/>
      <c r="UB272" s="302"/>
      <c r="UC272" s="302"/>
      <c r="UD272" s="302"/>
      <c r="UE272" s="302"/>
      <c r="UF272" s="302"/>
      <c r="UG272" s="302"/>
      <c r="UH272" s="302"/>
      <c r="UI272" s="302"/>
      <c r="UJ272" s="302"/>
      <c r="UK272" s="302"/>
      <c r="UL272" s="302"/>
      <c r="UM272" s="302"/>
      <c r="UN272" s="302"/>
      <c r="UO272" s="302"/>
      <c r="UP272" s="302"/>
      <c r="UQ272" s="302"/>
      <c r="UR272" s="302"/>
      <c r="US272" s="302"/>
      <c r="UT272" s="302"/>
      <c r="UU272" s="302"/>
      <c r="UV272" s="302"/>
      <c r="UW272" s="302"/>
      <c r="UX272" s="302"/>
      <c r="UY272" s="302"/>
      <c r="UZ272" s="302"/>
      <c r="VA272" s="302"/>
      <c r="VB272" s="302"/>
      <c r="VC272" s="302"/>
      <c r="VD272" s="302"/>
      <c r="VE272" s="302"/>
      <c r="VF272" s="302"/>
      <c r="VG272" s="302"/>
      <c r="VH272" s="302"/>
      <c r="VI272" s="302"/>
      <c r="VJ272" s="302"/>
      <c r="VK272" s="302"/>
      <c r="VL272" s="302"/>
      <c r="VM272" s="302"/>
      <c r="VN272" s="302"/>
      <c r="VO272" s="302"/>
      <c r="VP272" s="302"/>
      <c r="VQ272" s="302"/>
      <c r="VR272" s="302"/>
      <c r="VS272" s="302"/>
      <c r="VT272" s="302"/>
      <c r="VU272" s="302"/>
      <c r="VV272" s="302"/>
      <c r="VW272" s="302"/>
      <c r="VX272" s="302"/>
      <c r="VY272" s="302"/>
      <c r="VZ272" s="302"/>
      <c r="WA272" s="302"/>
      <c r="WB272" s="302"/>
      <c r="WC272" s="302"/>
      <c r="WD272" s="302"/>
      <c r="WE272" s="302"/>
      <c r="WF272" s="302"/>
      <c r="WG272" s="302"/>
      <c r="WH272" s="302"/>
      <c r="WI272" s="302"/>
      <c r="WJ272" s="302"/>
      <c r="WK272" s="302"/>
      <c r="WL272" s="302"/>
      <c r="WM272" s="302"/>
      <c r="WN272" s="302"/>
      <c r="WO272" s="302"/>
      <c r="WP272" s="302"/>
      <c r="WQ272" s="302"/>
      <c r="WR272" s="302"/>
      <c r="WS272" s="302"/>
      <c r="WT272" s="302"/>
      <c r="WU272" s="302"/>
      <c r="WV272" s="302"/>
      <c r="WW272" s="302"/>
      <c r="WX272" s="302"/>
      <c r="WY272" s="302"/>
      <c r="WZ272" s="302"/>
      <c r="XA272" s="302"/>
      <c r="XB272" s="302"/>
      <c r="XC272" s="302"/>
      <c r="XD272" s="302"/>
      <c r="XE272" s="302"/>
      <c r="XF272" s="302"/>
      <c r="XG272" s="302"/>
      <c r="XH272" s="302"/>
      <c r="XI272" s="302"/>
      <c r="XJ272" s="302"/>
      <c r="XK272" s="302"/>
      <c r="XL272" s="302"/>
      <c r="XM272" s="302"/>
      <c r="XN272" s="302"/>
      <c r="XO272" s="302"/>
      <c r="XP272" s="302"/>
      <c r="XQ272" s="302"/>
      <c r="XR272" s="302"/>
      <c r="XS272" s="302"/>
      <c r="XT272" s="302"/>
      <c r="XU272" s="302"/>
      <c r="XV272" s="302"/>
      <c r="XW272" s="302"/>
      <c r="XX272" s="302"/>
      <c r="XY272" s="302"/>
      <c r="XZ272" s="302"/>
      <c r="YA272" s="302"/>
      <c r="YB272" s="302"/>
      <c r="YC272" s="302"/>
      <c r="YD272" s="302"/>
      <c r="YE272" s="302"/>
      <c r="YF272" s="302"/>
      <c r="YG272" s="302"/>
      <c r="YH272" s="302"/>
      <c r="YI272" s="302"/>
      <c r="YJ272" s="302"/>
      <c r="YK272" s="302"/>
      <c r="YL272" s="302"/>
      <c r="YM272" s="302"/>
      <c r="YN272" s="302"/>
      <c r="YO272" s="302"/>
      <c r="YP272" s="302"/>
      <c r="YQ272" s="302"/>
      <c r="YR272" s="302"/>
      <c r="YS272" s="302"/>
      <c r="YT272" s="302"/>
      <c r="YU272" s="302"/>
      <c r="YV272" s="302"/>
      <c r="YW272" s="302"/>
      <c r="YX272" s="302"/>
      <c r="YY272" s="302"/>
      <c r="YZ272" s="302"/>
      <c r="ZA272" s="302"/>
      <c r="ZB272" s="302"/>
      <c r="ZC272" s="302"/>
      <c r="ZD272" s="302"/>
      <c r="ZE272" s="302"/>
      <c r="ZF272" s="302"/>
      <c r="ZG272" s="302"/>
      <c r="ZH272" s="302"/>
      <c r="ZI272" s="302"/>
      <c r="ZJ272" s="302"/>
      <c r="ZK272" s="302"/>
      <c r="ZL272" s="302"/>
      <c r="ZM272" s="302"/>
      <c r="ZN272" s="302"/>
      <c r="ZO272" s="302"/>
      <c r="ZP272" s="302"/>
      <c r="ZQ272" s="302"/>
      <c r="ZR272" s="302"/>
      <c r="ZS272" s="302"/>
      <c r="ZT272" s="302"/>
      <c r="ZU272" s="302"/>
      <c r="ZV272" s="302"/>
      <c r="ZW272" s="302"/>
      <c r="ZX272" s="302"/>
      <c r="ZY272" s="302"/>
      <c r="ZZ272" s="302"/>
      <c r="AAA272" s="302"/>
      <c r="AAB272" s="302"/>
      <c r="AAC272" s="302"/>
      <c r="AAD272" s="302"/>
      <c r="AAE272" s="302"/>
      <c r="AAF272" s="302"/>
      <c r="AAG272" s="302"/>
      <c r="AAH272" s="302"/>
      <c r="AAI272" s="302"/>
      <c r="AAJ272" s="302"/>
      <c r="AAK272" s="302"/>
      <c r="AAL272" s="302"/>
      <c r="AAM272" s="302"/>
      <c r="AAN272" s="302"/>
      <c r="AAO272" s="302"/>
      <c r="AAP272" s="302"/>
      <c r="AAQ272" s="302"/>
      <c r="AAR272" s="302"/>
      <c r="AAS272" s="302"/>
      <c r="AAT272" s="302"/>
      <c r="AAU272" s="302"/>
      <c r="AAV272" s="302"/>
      <c r="AAW272" s="302"/>
      <c r="AAX272" s="302"/>
      <c r="AAY272" s="302"/>
      <c r="AAZ272" s="302"/>
      <c r="ABA272" s="302"/>
      <c r="ABB272" s="302"/>
      <c r="ABC272" s="302"/>
      <c r="ABD272" s="302"/>
      <c r="ABE272" s="302"/>
      <c r="ABF272" s="302"/>
      <c r="ABG272" s="302"/>
      <c r="ABH272" s="302"/>
      <c r="ABI272" s="302"/>
      <c r="ABJ272" s="302"/>
      <c r="ABK272" s="302"/>
      <c r="ABL272" s="302"/>
      <c r="ABM272" s="302"/>
      <c r="ABN272" s="302"/>
      <c r="ABO272" s="302"/>
      <c r="ABP272" s="302"/>
      <c r="ABQ272" s="302"/>
      <c r="ABR272" s="302"/>
      <c r="ABS272" s="302"/>
      <c r="ABT272" s="302"/>
      <c r="ABU272" s="302"/>
      <c r="ABV272" s="302"/>
      <c r="ABW272" s="302"/>
      <c r="ABX272" s="302"/>
      <c r="ABY272" s="302"/>
      <c r="ABZ272" s="302"/>
      <c r="ACA272" s="302"/>
      <c r="ACB272" s="302"/>
      <c r="ACC272" s="302"/>
      <c r="ACD272" s="302"/>
      <c r="ACE272" s="302"/>
      <c r="ACF272" s="302"/>
      <c r="ACG272" s="302"/>
      <c r="ACH272" s="302"/>
      <c r="ACI272" s="302"/>
      <c r="ACJ272" s="302"/>
      <c r="ACK272" s="302"/>
      <c r="ACL272" s="302"/>
      <c r="ACM272" s="302"/>
      <c r="ACN272" s="302"/>
      <c r="ACO272" s="302"/>
      <c r="ACP272" s="302"/>
      <c r="ACQ272" s="302"/>
      <c r="ACR272" s="302"/>
      <c r="ACS272" s="302"/>
      <c r="ACT272" s="302"/>
      <c r="ACU272" s="302"/>
      <c r="ACV272" s="302"/>
      <c r="ACW272" s="302"/>
      <c r="ACX272" s="302"/>
      <c r="ACY272" s="302"/>
      <c r="ACZ272" s="302"/>
      <c r="ADA272" s="302"/>
      <c r="ADB272" s="302"/>
      <c r="ADC272" s="302"/>
      <c r="ADD272" s="302"/>
      <c r="ADE272" s="302"/>
      <c r="ADF272" s="302"/>
      <c r="ADG272" s="302"/>
      <c r="ADH272" s="302"/>
      <c r="ADI272" s="302"/>
      <c r="ADJ272" s="302"/>
      <c r="ADK272" s="302"/>
      <c r="ADL272" s="302"/>
      <c r="ADM272" s="302"/>
      <c r="ADN272" s="302"/>
      <c r="ADO272" s="302"/>
      <c r="ADP272" s="302"/>
      <c r="ADQ272" s="302"/>
      <c r="ADR272" s="302"/>
      <c r="ADS272" s="302"/>
      <c r="ADT272" s="302"/>
      <c r="ADU272" s="302"/>
      <c r="ADV272" s="302"/>
      <c r="ADW272" s="302"/>
      <c r="ADX272" s="302"/>
      <c r="ADY272" s="302"/>
      <c r="ADZ272" s="302"/>
      <c r="AEA272" s="302"/>
      <c r="AEB272" s="302"/>
      <c r="AEC272" s="302"/>
      <c r="AED272" s="302"/>
      <c r="AEE272" s="302"/>
      <c r="AEF272" s="302"/>
      <c r="AEG272" s="302"/>
      <c r="AEH272" s="302"/>
      <c r="AEI272" s="302"/>
      <c r="AEJ272" s="302"/>
      <c r="AEK272" s="302"/>
      <c r="AEL272" s="302"/>
      <c r="AEM272" s="302"/>
      <c r="AEN272" s="302"/>
      <c r="AEO272" s="302"/>
      <c r="AEP272" s="302"/>
      <c r="AEQ272" s="302"/>
      <c r="AER272" s="302"/>
      <c r="AES272" s="302"/>
      <c r="AET272" s="302"/>
      <c r="AEU272" s="302"/>
      <c r="AEV272" s="302"/>
      <c r="AEW272" s="302"/>
      <c r="AEX272" s="302"/>
      <c r="AEY272" s="302"/>
      <c r="AEZ272" s="302"/>
      <c r="AFA272" s="302"/>
      <c r="AFB272" s="302"/>
      <c r="AFC272" s="302"/>
      <c r="AFD272" s="302"/>
      <c r="AFE272" s="302"/>
      <c r="AFF272" s="302"/>
      <c r="AFG272" s="302"/>
      <c r="AFH272" s="302"/>
      <c r="AFI272" s="302"/>
      <c r="AFJ272" s="302"/>
      <c r="AFK272" s="302"/>
      <c r="AFL272" s="302"/>
      <c r="AFM272" s="302"/>
      <c r="AFN272" s="302"/>
      <c r="AFO272" s="302"/>
      <c r="AFP272" s="302"/>
      <c r="AFQ272" s="302"/>
      <c r="AFR272" s="302"/>
      <c r="AFS272" s="302"/>
      <c r="AFT272" s="302"/>
      <c r="AFU272" s="302"/>
      <c r="AFV272" s="302"/>
      <c r="AFW272" s="302"/>
      <c r="AFX272" s="302"/>
      <c r="AFY272" s="302"/>
      <c r="AFZ272" s="302"/>
      <c r="AGA272" s="302"/>
      <c r="AGB272" s="302"/>
      <c r="AGC272" s="302"/>
      <c r="AGD272" s="302"/>
      <c r="AGE272" s="302"/>
      <c r="AGF272" s="302"/>
      <c r="AGG272" s="302"/>
      <c r="AGH272" s="302"/>
      <c r="AGI272" s="302"/>
      <c r="AGJ272" s="302"/>
      <c r="AGK272" s="302"/>
      <c r="AGL272" s="302"/>
      <c r="AGM272" s="302"/>
      <c r="AGN272" s="302"/>
      <c r="AGO272" s="302"/>
      <c r="AGP272" s="302"/>
      <c r="AGQ272" s="302"/>
      <c r="AGR272" s="302"/>
      <c r="AGS272" s="302"/>
      <c r="AGT272" s="302"/>
      <c r="AGU272" s="302"/>
      <c r="AGV272" s="302"/>
      <c r="AGW272" s="302"/>
      <c r="AGX272" s="302"/>
      <c r="AGY272" s="302"/>
      <c r="AGZ272" s="302"/>
      <c r="AHA272" s="302"/>
      <c r="AHB272" s="302"/>
      <c r="AHC272" s="302"/>
      <c r="AHD272" s="302"/>
      <c r="AHE272" s="302"/>
      <c r="AHF272" s="302"/>
      <c r="AHG272" s="302"/>
      <c r="AHH272" s="302"/>
      <c r="AHI272" s="302"/>
      <c r="AHJ272" s="302"/>
      <c r="AHK272" s="302"/>
      <c r="AHL272" s="302"/>
      <c r="AHM272" s="302"/>
      <c r="AHN272" s="302"/>
      <c r="AHO272" s="302"/>
      <c r="AHP272" s="302"/>
      <c r="AHQ272" s="302"/>
      <c r="AHR272" s="302"/>
      <c r="AHS272" s="302"/>
      <c r="AHT272" s="302"/>
      <c r="AHU272" s="302"/>
      <c r="AHV272" s="302"/>
      <c r="AHW272" s="302"/>
      <c r="AHX272" s="302"/>
      <c r="AHY272" s="302"/>
      <c r="AHZ272" s="302"/>
      <c r="AIA272" s="302"/>
      <c r="AIB272" s="302"/>
      <c r="AIC272" s="302"/>
      <c r="AID272" s="302"/>
      <c r="AIE272" s="302"/>
      <c r="AIF272" s="302"/>
      <c r="AIG272" s="302"/>
      <c r="AIH272" s="302"/>
      <c r="AII272" s="302"/>
      <c r="AIJ272" s="302"/>
      <c r="AIK272" s="302"/>
      <c r="AIL272" s="302"/>
      <c r="AIM272" s="302"/>
      <c r="AIN272" s="302"/>
      <c r="AIO272" s="302"/>
      <c r="AIP272" s="302"/>
      <c r="AIQ272" s="302"/>
      <c r="AIR272" s="302"/>
      <c r="AIS272" s="302"/>
      <c r="AIT272" s="302"/>
      <c r="AIU272" s="302"/>
      <c r="AIV272" s="302"/>
      <c r="AIW272" s="302"/>
      <c r="AIX272" s="302"/>
      <c r="AIY272" s="302"/>
      <c r="AIZ272" s="302"/>
      <c r="AJA272" s="302"/>
      <c r="AJB272" s="302"/>
      <c r="AJC272" s="302"/>
      <c r="AJD272" s="302"/>
      <c r="AJE272" s="302"/>
      <c r="AJF272" s="302"/>
      <c r="AJG272" s="302"/>
      <c r="AJH272" s="302"/>
      <c r="AJI272" s="302"/>
      <c r="AJJ272" s="302"/>
      <c r="AJK272" s="302"/>
      <c r="AJL272" s="302"/>
      <c r="AJM272" s="302"/>
      <c r="AJN272" s="302"/>
      <c r="AJO272" s="302"/>
      <c r="AJP272" s="302"/>
      <c r="AJQ272" s="302"/>
      <c r="AJR272" s="302"/>
      <c r="AJS272" s="302"/>
      <c r="AJT272" s="302"/>
      <c r="AJU272" s="302"/>
      <c r="AJV272" s="302"/>
      <c r="AJW272" s="302"/>
      <c r="AJX272" s="302"/>
      <c r="AJY272" s="302"/>
      <c r="AJZ272" s="302"/>
      <c r="AKA272" s="302"/>
      <c r="AKB272" s="302"/>
      <c r="AKC272" s="302"/>
      <c r="AKD272" s="302"/>
      <c r="AKE272" s="302"/>
      <c r="AKF272" s="302"/>
      <c r="AKG272" s="302"/>
      <c r="AKH272" s="302"/>
      <c r="AKI272" s="302"/>
      <c r="AKJ272" s="302"/>
      <c r="AKK272" s="302"/>
      <c r="AKL272" s="302"/>
      <c r="AKM272" s="302"/>
      <c r="AKN272" s="302"/>
      <c r="AKO272" s="302"/>
      <c r="AKP272" s="302"/>
      <c r="AKQ272" s="302"/>
      <c r="AKR272" s="302"/>
      <c r="AKS272" s="302"/>
      <c r="AKT272" s="302"/>
      <c r="AKU272" s="302"/>
      <c r="AKV272" s="302"/>
      <c r="AKW272" s="302"/>
      <c r="AKX272" s="302"/>
      <c r="AKY272" s="302"/>
      <c r="AKZ272" s="302"/>
      <c r="ALA272" s="302"/>
      <c r="ALB272" s="302"/>
      <c r="ALC272" s="302"/>
      <c r="ALD272" s="302"/>
      <c r="ALE272" s="302"/>
      <c r="ALF272" s="302"/>
      <c r="ALG272" s="302"/>
      <c r="ALH272" s="302"/>
      <c r="ALI272" s="302"/>
      <c r="ALJ272" s="302"/>
      <c r="ALK272" s="302"/>
      <c r="ALL272" s="302"/>
      <c r="ALM272" s="302"/>
      <c r="ALN272" s="302"/>
      <c r="ALO272" s="302"/>
      <c r="ALP272" s="302"/>
      <c r="ALQ272" s="302"/>
      <c r="ALR272" s="302"/>
      <c r="ALS272" s="302"/>
      <c r="ALT272" s="302"/>
      <c r="ALU272" s="302"/>
      <c r="ALV272" s="302"/>
      <c r="ALW272" s="302"/>
      <c r="ALX272" s="302"/>
      <c r="ALY272" s="302"/>
      <c r="ALZ272" s="302"/>
      <c r="AMA272" s="302"/>
      <c r="AMB272" s="302"/>
      <c r="AMC272" s="302"/>
      <c r="AMD272" s="302"/>
      <c r="AME272" s="302"/>
      <c r="AMF272" s="302"/>
      <c r="AMG272" s="302"/>
      <c r="AMH272" s="302"/>
      <c r="AMI272" s="302"/>
    </row>
    <row r="273" spans="1:1023" hidden="1">
      <c r="A273" s="302"/>
      <c r="B273" s="502">
        <v>14139</v>
      </c>
      <c r="C273" s="458">
        <v>0.1</v>
      </c>
      <c r="D273" s="459" t="s">
        <v>178</v>
      </c>
      <c r="E273" s="528">
        <v>4200000</v>
      </c>
      <c r="F273" s="499">
        <v>0.05</v>
      </c>
      <c r="G273" s="364">
        <f>E273*F273</f>
        <v>210000</v>
      </c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  <c r="AD273" s="302"/>
      <c r="AE273" s="302"/>
      <c r="AF273" s="302"/>
      <c r="AG273" s="302"/>
      <c r="AH273" s="302"/>
      <c r="AI273" s="302"/>
      <c r="AJ273" s="302"/>
      <c r="AK273" s="302"/>
      <c r="AL273" s="302"/>
      <c r="AM273" s="302"/>
      <c r="AN273" s="302"/>
      <c r="AO273" s="302"/>
      <c r="AP273" s="302"/>
      <c r="AQ273" s="302"/>
      <c r="AR273" s="302"/>
      <c r="AS273" s="302"/>
      <c r="AT273" s="302"/>
      <c r="AU273" s="302"/>
      <c r="AV273" s="302"/>
      <c r="AW273" s="302"/>
      <c r="AX273" s="302"/>
      <c r="AY273" s="302"/>
      <c r="AZ273" s="302"/>
      <c r="BA273" s="302"/>
      <c r="BB273" s="302"/>
      <c r="BC273" s="302"/>
      <c r="BD273" s="302"/>
      <c r="BE273" s="302"/>
      <c r="BF273" s="302"/>
      <c r="BG273" s="302"/>
      <c r="BH273" s="302"/>
      <c r="BI273" s="302"/>
      <c r="BJ273" s="302"/>
      <c r="BK273" s="302"/>
      <c r="BL273" s="302"/>
      <c r="BM273" s="302"/>
      <c r="BN273" s="302"/>
      <c r="BO273" s="302"/>
      <c r="BP273" s="302"/>
      <c r="BQ273" s="302"/>
      <c r="BR273" s="302"/>
      <c r="BS273" s="302"/>
      <c r="BT273" s="302"/>
      <c r="BU273" s="302"/>
      <c r="BV273" s="302"/>
      <c r="BW273" s="302"/>
      <c r="BX273" s="302"/>
      <c r="BY273" s="302"/>
      <c r="BZ273" s="302"/>
      <c r="CA273" s="302"/>
      <c r="CB273" s="302"/>
      <c r="CC273" s="302"/>
      <c r="CD273" s="302"/>
      <c r="CE273" s="302"/>
      <c r="CF273" s="302"/>
      <c r="CG273" s="302"/>
      <c r="CH273" s="302"/>
      <c r="CI273" s="302"/>
      <c r="CJ273" s="302"/>
      <c r="CK273" s="302"/>
      <c r="CL273" s="302"/>
      <c r="CM273" s="302"/>
      <c r="CN273" s="302"/>
      <c r="CO273" s="302"/>
      <c r="CP273" s="302"/>
      <c r="CQ273" s="302"/>
      <c r="CR273" s="302"/>
      <c r="CS273" s="302"/>
      <c r="CT273" s="302"/>
      <c r="CU273" s="302"/>
      <c r="CV273" s="302"/>
      <c r="CW273" s="302"/>
      <c r="CX273" s="302"/>
      <c r="CY273" s="302"/>
      <c r="CZ273" s="302"/>
      <c r="DA273" s="302"/>
      <c r="DB273" s="302"/>
      <c r="DC273" s="302"/>
      <c r="DD273" s="302"/>
      <c r="DE273" s="302"/>
      <c r="DF273" s="302"/>
      <c r="DG273" s="302"/>
      <c r="DH273" s="302"/>
      <c r="DI273" s="302"/>
      <c r="DJ273" s="302"/>
      <c r="DK273" s="302"/>
      <c r="DL273" s="302"/>
      <c r="DM273" s="302"/>
      <c r="DN273" s="302"/>
      <c r="DO273" s="302"/>
      <c r="DP273" s="302"/>
      <c r="DQ273" s="302"/>
      <c r="DR273" s="302"/>
      <c r="DS273" s="302"/>
      <c r="DT273" s="302"/>
      <c r="DU273" s="302"/>
      <c r="DV273" s="302"/>
      <c r="DW273" s="302"/>
      <c r="DX273" s="302"/>
      <c r="DY273" s="302"/>
      <c r="DZ273" s="302"/>
      <c r="EA273" s="302"/>
      <c r="EB273" s="302"/>
      <c r="EC273" s="302"/>
      <c r="ED273" s="302"/>
      <c r="EE273" s="302"/>
      <c r="EF273" s="302"/>
      <c r="EG273" s="302"/>
      <c r="EH273" s="302"/>
      <c r="EI273" s="302"/>
      <c r="EJ273" s="302"/>
      <c r="EK273" s="302"/>
      <c r="EL273" s="302"/>
      <c r="EM273" s="302"/>
      <c r="EN273" s="302"/>
      <c r="EO273" s="302"/>
      <c r="EP273" s="302"/>
      <c r="EQ273" s="302"/>
      <c r="ER273" s="302"/>
      <c r="ES273" s="302"/>
      <c r="ET273" s="302"/>
      <c r="EU273" s="302"/>
      <c r="EV273" s="302"/>
      <c r="EW273" s="302"/>
      <c r="EX273" s="302"/>
      <c r="EY273" s="302"/>
      <c r="EZ273" s="302"/>
      <c r="FA273" s="302"/>
      <c r="FB273" s="302"/>
      <c r="FC273" s="302"/>
      <c r="FD273" s="302"/>
      <c r="FE273" s="302"/>
      <c r="FF273" s="302"/>
      <c r="FG273" s="302"/>
      <c r="FH273" s="302"/>
      <c r="FI273" s="302"/>
      <c r="FJ273" s="302"/>
      <c r="FK273" s="302"/>
      <c r="FL273" s="302"/>
      <c r="FM273" s="302"/>
      <c r="FN273" s="302"/>
      <c r="FO273" s="302"/>
      <c r="FP273" s="302"/>
      <c r="FQ273" s="302"/>
      <c r="FR273" s="302"/>
      <c r="FS273" s="302"/>
      <c r="FT273" s="302"/>
      <c r="FU273" s="302"/>
      <c r="FV273" s="302"/>
      <c r="FW273" s="302"/>
      <c r="FX273" s="302"/>
      <c r="FY273" s="302"/>
      <c r="FZ273" s="302"/>
      <c r="GA273" s="302"/>
      <c r="GB273" s="302"/>
      <c r="GC273" s="302"/>
      <c r="GD273" s="302"/>
      <c r="GE273" s="302"/>
      <c r="GF273" s="302"/>
      <c r="GG273" s="302"/>
      <c r="GH273" s="302"/>
      <c r="GI273" s="302"/>
      <c r="GJ273" s="302"/>
      <c r="GK273" s="302"/>
      <c r="GL273" s="302"/>
      <c r="GM273" s="302"/>
      <c r="GN273" s="302"/>
      <c r="GO273" s="302"/>
      <c r="GP273" s="302"/>
      <c r="GQ273" s="302"/>
      <c r="GR273" s="302"/>
      <c r="GS273" s="302"/>
      <c r="GT273" s="302"/>
      <c r="GU273" s="302"/>
      <c r="GV273" s="302"/>
      <c r="GW273" s="302"/>
      <c r="GX273" s="302"/>
      <c r="GY273" s="302"/>
      <c r="GZ273" s="302"/>
      <c r="HA273" s="302"/>
      <c r="HB273" s="302"/>
      <c r="HC273" s="302"/>
      <c r="HD273" s="302"/>
      <c r="HE273" s="302"/>
      <c r="HF273" s="302"/>
      <c r="HG273" s="302"/>
      <c r="HH273" s="302"/>
      <c r="HI273" s="302"/>
      <c r="HJ273" s="302"/>
      <c r="HK273" s="302"/>
      <c r="HL273" s="302"/>
      <c r="HM273" s="302"/>
      <c r="HN273" s="302"/>
      <c r="HO273" s="302"/>
      <c r="HP273" s="302"/>
      <c r="HQ273" s="302"/>
      <c r="HR273" s="302"/>
      <c r="HS273" s="302"/>
      <c r="HT273" s="302"/>
      <c r="HU273" s="302"/>
      <c r="HV273" s="302"/>
      <c r="HW273" s="302"/>
      <c r="HX273" s="302"/>
      <c r="HY273" s="302"/>
      <c r="HZ273" s="302"/>
      <c r="IA273" s="302"/>
      <c r="IB273" s="302"/>
      <c r="IC273" s="302"/>
      <c r="ID273" s="302"/>
      <c r="IE273" s="302"/>
      <c r="IF273" s="302"/>
      <c r="IG273" s="302"/>
      <c r="IH273" s="302"/>
      <c r="II273" s="302"/>
      <c r="IJ273" s="302"/>
      <c r="IK273" s="302"/>
      <c r="IL273" s="302"/>
      <c r="IM273" s="302"/>
      <c r="IN273" s="302"/>
      <c r="IO273" s="302"/>
      <c r="IP273" s="302"/>
      <c r="IQ273" s="302"/>
      <c r="IR273" s="302"/>
      <c r="IS273" s="302"/>
      <c r="IT273" s="302"/>
      <c r="IU273" s="302"/>
      <c r="IV273" s="302"/>
      <c r="IW273" s="302"/>
      <c r="IX273" s="302"/>
      <c r="IY273" s="302"/>
      <c r="IZ273" s="302"/>
      <c r="JA273" s="302"/>
      <c r="JB273" s="302"/>
      <c r="JC273" s="302"/>
      <c r="JD273" s="302"/>
      <c r="JE273" s="302"/>
      <c r="JF273" s="302"/>
      <c r="JG273" s="302"/>
      <c r="JH273" s="302"/>
      <c r="JI273" s="302"/>
      <c r="JJ273" s="302"/>
      <c r="JK273" s="302"/>
      <c r="JL273" s="302"/>
      <c r="JM273" s="302"/>
      <c r="JN273" s="302"/>
      <c r="JO273" s="302"/>
      <c r="JP273" s="302"/>
      <c r="JQ273" s="302"/>
      <c r="JR273" s="302"/>
      <c r="JS273" s="302"/>
      <c r="JT273" s="302"/>
      <c r="JU273" s="302"/>
      <c r="JV273" s="302"/>
      <c r="JW273" s="302"/>
      <c r="JX273" s="302"/>
      <c r="JY273" s="302"/>
      <c r="JZ273" s="302"/>
      <c r="KA273" s="302"/>
      <c r="KB273" s="302"/>
      <c r="KC273" s="302"/>
      <c r="KD273" s="302"/>
      <c r="KE273" s="302"/>
      <c r="KF273" s="302"/>
      <c r="KG273" s="302"/>
      <c r="KH273" s="302"/>
      <c r="KI273" s="302"/>
      <c r="KJ273" s="302"/>
      <c r="KK273" s="302"/>
      <c r="KL273" s="302"/>
      <c r="KM273" s="302"/>
      <c r="KN273" s="302"/>
      <c r="KO273" s="302"/>
      <c r="KP273" s="302"/>
      <c r="KQ273" s="302"/>
      <c r="KR273" s="302"/>
      <c r="KS273" s="302"/>
      <c r="KT273" s="302"/>
      <c r="KU273" s="302"/>
      <c r="KV273" s="302"/>
      <c r="KW273" s="302"/>
      <c r="KX273" s="302"/>
      <c r="KY273" s="302"/>
      <c r="KZ273" s="302"/>
      <c r="LA273" s="302"/>
      <c r="LB273" s="302"/>
      <c r="LC273" s="302"/>
      <c r="LD273" s="302"/>
      <c r="LE273" s="302"/>
      <c r="LF273" s="302"/>
      <c r="LG273" s="302"/>
      <c r="LH273" s="302"/>
      <c r="LI273" s="302"/>
      <c r="LJ273" s="302"/>
      <c r="LK273" s="302"/>
      <c r="LL273" s="302"/>
      <c r="LM273" s="302"/>
      <c r="LN273" s="302"/>
      <c r="LO273" s="302"/>
      <c r="LP273" s="302"/>
      <c r="LQ273" s="302"/>
      <c r="LR273" s="302"/>
      <c r="LS273" s="302"/>
      <c r="LT273" s="302"/>
      <c r="LU273" s="302"/>
      <c r="LV273" s="302"/>
      <c r="LW273" s="302"/>
      <c r="LX273" s="302"/>
      <c r="LY273" s="302"/>
      <c r="LZ273" s="302"/>
      <c r="MA273" s="302"/>
      <c r="MB273" s="302"/>
      <c r="MC273" s="302"/>
      <c r="MD273" s="302"/>
      <c r="ME273" s="302"/>
      <c r="MF273" s="302"/>
      <c r="MG273" s="302"/>
      <c r="MH273" s="302"/>
      <c r="MI273" s="302"/>
      <c r="MJ273" s="302"/>
      <c r="MK273" s="302"/>
      <c r="ML273" s="302"/>
      <c r="MM273" s="302"/>
      <c r="MN273" s="302"/>
      <c r="MO273" s="302"/>
      <c r="MP273" s="302"/>
      <c r="MQ273" s="302"/>
      <c r="MR273" s="302"/>
      <c r="MS273" s="302"/>
      <c r="MT273" s="302"/>
      <c r="MU273" s="302"/>
      <c r="MV273" s="302"/>
      <c r="MW273" s="302"/>
      <c r="MX273" s="302"/>
      <c r="MY273" s="302"/>
      <c r="MZ273" s="302"/>
      <c r="NA273" s="302"/>
      <c r="NB273" s="302"/>
      <c r="NC273" s="302"/>
      <c r="ND273" s="302"/>
      <c r="NE273" s="302"/>
      <c r="NF273" s="302"/>
      <c r="NG273" s="302"/>
      <c r="NH273" s="302"/>
      <c r="NI273" s="302"/>
      <c r="NJ273" s="302"/>
      <c r="NK273" s="302"/>
      <c r="NL273" s="302"/>
      <c r="NM273" s="302"/>
      <c r="NN273" s="302"/>
      <c r="NO273" s="302"/>
      <c r="NP273" s="302"/>
      <c r="NQ273" s="302"/>
      <c r="NR273" s="302"/>
      <c r="NS273" s="302"/>
      <c r="NT273" s="302"/>
      <c r="NU273" s="302"/>
      <c r="NV273" s="302"/>
      <c r="NW273" s="302"/>
      <c r="NX273" s="302"/>
      <c r="NY273" s="302"/>
      <c r="NZ273" s="302"/>
      <c r="OA273" s="302"/>
      <c r="OB273" s="302"/>
      <c r="OC273" s="302"/>
      <c r="OD273" s="302"/>
      <c r="OE273" s="302"/>
      <c r="OF273" s="302"/>
      <c r="OG273" s="302"/>
      <c r="OH273" s="302"/>
      <c r="OI273" s="302"/>
      <c r="OJ273" s="302"/>
      <c r="OK273" s="302"/>
      <c r="OL273" s="302"/>
      <c r="OM273" s="302"/>
      <c r="ON273" s="302"/>
      <c r="OO273" s="302"/>
      <c r="OP273" s="302"/>
      <c r="OQ273" s="302"/>
      <c r="OR273" s="302"/>
      <c r="OS273" s="302"/>
      <c r="OT273" s="302"/>
      <c r="OU273" s="302"/>
      <c r="OV273" s="302"/>
      <c r="OW273" s="302"/>
      <c r="OX273" s="302"/>
      <c r="OY273" s="302"/>
      <c r="OZ273" s="302"/>
      <c r="PA273" s="302"/>
      <c r="PB273" s="302"/>
      <c r="PC273" s="302"/>
      <c r="PD273" s="302"/>
      <c r="PE273" s="302"/>
      <c r="PF273" s="302"/>
      <c r="PG273" s="302"/>
      <c r="PH273" s="302"/>
      <c r="PI273" s="302"/>
      <c r="PJ273" s="302"/>
      <c r="PK273" s="302"/>
      <c r="PL273" s="302"/>
      <c r="PM273" s="302"/>
      <c r="PN273" s="302"/>
      <c r="PO273" s="302"/>
      <c r="PP273" s="302"/>
      <c r="PQ273" s="302"/>
      <c r="PR273" s="302"/>
      <c r="PS273" s="302"/>
      <c r="PT273" s="302"/>
      <c r="PU273" s="302"/>
      <c r="PV273" s="302"/>
      <c r="PW273" s="302"/>
      <c r="PX273" s="302"/>
      <c r="PY273" s="302"/>
      <c r="PZ273" s="302"/>
      <c r="QA273" s="302"/>
      <c r="QB273" s="302"/>
      <c r="QC273" s="302"/>
      <c r="QD273" s="302"/>
      <c r="QE273" s="302"/>
      <c r="QF273" s="302"/>
      <c r="QG273" s="302"/>
      <c r="QH273" s="302"/>
      <c r="QI273" s="302"/>
      <c r="QJ273" s="302"/>
      <c r="QK273" s="302"/>
      <c r="QL273" s="302"/>
      <c r="QM273" s="302"/>
      <c r="QN273" s="302"/>
      <c r="QO273" s="302"/>
      <c r="QP273" s="302"/>
      <c r="QQ273" s="302"/>
      <c r="QR273" s="302"/>
      <c r="QS273" s="302"/>
      <c r="QT273" s="302"/>
      <c r="QU273" s="302"/>
      <c r="QV273" s="302"/>
      <c r="QW273" s="302"/>
      <c r="QX273" s="302"/>
      <c r="QY273" s="302"/>
      <c r="QZ273" s="302"/>
      <c r="RA273" s="302"/>
      <c r="RB273" s="302"/>
      <c r="RC273" s="302"/>
      <c r="RD273" s="302"/>
      <c r="RE273" s="302"/>
      <c r="RF273" s="302"/>
      <c r="RG273" s="302"/>
      <c r="RH273" s="302"/>
      <c r="RI273" s="302"/>
      <c r="RJ273" s="302"/>
      <c r="RK273" s="302"/>
      <c r="RL273" s="302"/>
      <c r="RM273" s="302"/>
      <c r="RN273" s="302"/>
      <c r="RO273" s="302"/>
      <c r="RP273" s="302"/>
      <c r="RQ273" s="302"/>
      <c r="RR273" s="302"/>
      <c r="RS273" s="302"/>
      <c r="RT273" s="302"/>
      <c r="RU273" s="302"/>
      <c r="RV273" s="302"/>
      <c r="RW273" s="302"/>
      <c r="RX273" s="302"/>
      <c r="RY273" s="302"/>
      <c r="RZ273" s="302"/>
      <c r="SA273" s="302"/>
      <c r="SB273" s="302"/>
      <c r="SC273" s="302"/>
      <c r="SD273" s="302"/>
      <c r="SE273" s="302"/>
      <c r="SF273" s="302"/>
      <c r="SG273" s="302"/>
      <c r="SH273" s="302"/>
      <c r="SI273" s="302"/>
      <c r="SJ273" s="302"/>
      <c r="SK273" s="302"/>
      <c r="SL273" s="302"/>
      <c r="SM273" s="302"/>
      <c r="SN273" s="302"/>
      <c r="SO273" s="302"/>
      <c r="SP273" s="302"/>
      <c r="SQ273" s="302"/>
      <c r="SR273" s="302"/>
      <c r="SS273" s="302"/>
      <c r="ST273" s="302"/>
      <c r="SU273" s="302"/>
      <c r="SV273" s="302"/>
      <c r="SW273" s="302"/>
      <c r="SX273" s="302"/>
      <c r="SY273" s="302"/>
      <c r="SZ273" s="302"/>
      <c r="TA273" s="302"/>
      <c r="TB273" s="302"/>
      <c r="TC273" s="302"/>
      <c r="TD273" s="302"/>
      <c r="TE273" s="302"/>
      <c r="TF273" s="302"/>
      <c r="TG273" s="302"/>
      <c r="TH273" s="302"/>
      <c r="TI273" s="302"/>
      <c r="TJ273" s="302"/>
      <c r="TK273" s="302"/>
      <c r="TL273" s="302"/>
      <c r="TM273" s="302"/>
      <c r="TN273" s="302"/>
      <c r="TO273" s="302"/>
      <c r="TP273" s="302"/>
      <c r="TQ273" s="302"/>
      <c r="TR273" s="302"/>
      <c r="TS273" s="302"/>
      <c r="TT273" s="302"/>
      <c r="TU273" s="302"/>
      <c r="TV273" s="302"/>
      <c r="TW273" s="302"/>
      <c r="TX273" s="302"/>
      <c r="TY273" s="302"/>
      <c r="TZ273" s="302"/>
      <c r="UA273" s="302"/>
      <c r="UB273" s="302"/>
      <c r="UC273" s="302"/>
      <c r="UD273" s="302"/>
      <c r="UE273" s="302"/>
      <c r="UF273" s="302"/>
      <c r="UG273" s="302"/>
      <c r="UH273" s="302"/>
      <c r="UI273" s="302"/>
      <c r="UJ273" s="302"/>
      <c r="UK273" s="302"/>
      <c r="UL273" s="302"/>
      <c r="UM273" s="302"/>
      <c r="UN273" s="302"/>
      <c r="UO273" s="302"/>
      <c r="UP273" s="302"/>
      <c r="UQ273" s="302"/>
      <c r="UR273" s="302"/>
      <c r="US273" s="302"/>
      <c r="UT273" s="302"/>
      <c r="UU273" s="302"/>
      <c r="UV273" s="302"/>
      <c r="UW273" s="302"/>
      <c r="UX273" s="302"/>
      <c r="UY273" s="302"/>
      <c r="UZ273" s="302"/>
      <c r="VA273" s="302"/>
      <c r="VB273" s="302"/>
      <c r="VC273" s="302"/>
      <c r="VD273" s="302"/>
      <c r="VE273" s="302"/>
      <c r="VF273" s="302"/>
      <c r="VG273" s="302"/>
      <c r="VH273" s="302"/>
      <c r="VI273" s="302"/>
      <c r="VJ273" s="302"/>
      <c r="VK273" s="302"/>
      <c r="VL273" s="302"/>
      <c r="VM273" s="302"/>
      <c r="VN273" s="302"/>
      <c r="VO273" s="302"/>
      <c r="VP273" s="302"/>
      <c r="VQ273" s="302"/>
      <c r="VR273" s="302"/>
      <c r="VS273" s="302"/>
      <c r="VT273" s="302"/>
      <c r="VU273" s="302"/>
      <c r="VV273" s="302"/>
      <c r="VW273" s="302"/>
      <c r="VX273" s="302"/>
      <c r="VY273" s="302"/>
      <c r="VZ273" s="302"/>
      <c r="WA273" s="302"/>
      <c r="WB273" s="302"/>
      <c r="WC273" s="302"/>
      <c r="WD273" s="302"/>
      <c r="WE273" s="302"/>
      <c r="WF273" s="302"/>
      <c r="WG273" s="302"/>
      <c r="WH273" s="302"/>
      <c r="WI273" s="302"/>
      <c r="WJ273" s="302"/>
      <c r="WK273" s="302"/>
      <c r="WL273" s="302"/>
      <c r="WM273" s="302"/>
      <c r="WN273" s="302"/>
      <c r="WO273" s="302"/>
      <c r="WP273" s="302"/>
      <c r="WQ273" s="302"/>
      <c r="WR273" s="302"/>
      <c r="WS273" s="302"/>
      <c r="WT273" s="302"/>
      <c r="WU273" s="302"/>
      <c r="WV273" s="302"/>
      <c r="WW273" s="302"/>
      <c r="WX273" s="302"/>
      <c r="WY273" s="302"/>
      <c r="WZ273" s="302"/>
      <c r="XA273" s="302"/>
      <c r="XB273" s="302"/>
      <c r="XC273" s="302"/>
      <c r="XD273" s="302"/>
      <c r="XE273" s="302"/>
      <c r="XF273" s="302"/>
      <c r="XG273" s="302"/>
      <c r="XH273" s="302"/>
      <c r="XI273" s="302"/>
      <c r="XJ273" s="302"/>
      <c r="XK273" s="302"/>
      <c r="XL273" s="302"/>
      <c r="XM273" s="302"/>
      <c r="XN273" s="302"/>
      <c r="XO273" s="302"/>
      <c r="XP273" s="302"/>
      <c r="XQ273" s="302"/>
      <c r="XR273" s="302"/>
      <c r="XS273" s="302"/>
      <c r="XT273" s="302"/>
      <c r="XU273" s="302"/>
      <c r="XV273" s="302"/>
      <c r="XW273" s="302"/>
      <c r="XX273" s="302"/>
      <c r="XY273" s="302"/>
      <c r="XZ273" s="302"/>
      <c r="YA273" s="302"/>
      <c r="YB273" s="302"/>
      <c r="YC273" s="302"/>
      <c r="YD273" s="302"/>
      <c r="YE273" s="302"/>
      <c r="YF273" s="302"/>
      <c r="YG273" s="302"/>
      <c r="YH273" s="302"/>
      <c r="YI273" s="302"/>
      <c r="YJ273" s="302"/>
      <c r="YK273" s="302"/>
      <c r="YL273" s="302"/>
      <c r="YM273" s="302"/>
      <c r="YN273" s="302"/>
      <c r="YO273" s="302"/>
      <c r="YP273" s="302"/>
      <c r="YQ273" s="302"/>
      <c r="YR273" s="302"/>
      <c r="YS273" s="302"/>
      <c r="YT273" s="302"/>
      <c r="YU273" s="302"/>
      <c r="YV273" s="302"/>
      <c r="YW273" s="302"/>
      <c r="YX273" s="302"/>
      <c r="YY273" s="302"/>
      <c r="YZ273" s="302"/>
      <c r="ZA273" s="302"/>
      <c r="ZB273" s="302"/>
      <c r="ZC273" s="302"/>
      <c r="ZD273" s="302"/>
      <c r="ZE273" s="302"/>
      <c r="ZF273" s="302"/>
      <c r="ZG273" s="302"/>
      <c r="ZH273" s="302"/>
      <c r="ZI273" s="302"/>
      <c r="ZJ273" s="302"/>
      <c r="ZK273" s="302"/>
      <c r="ZL273" s="302"/>
      <c r="ZM273" s="302"/>
      <c r="ZN273" s="302"/>
      <c r="ZO273" s="302"/>
      <c r="ZP273" s="302"/>
      <c r="ZQ273" s="302"/>
      <c r="ZR273" s="302"/>
      <c r="ZS273" s="302"/>
      <c r="ZT273" s="302"/>
      <c r="ZU273" s="302"/>
      <c r="ZV273" s="302"/>
      <c r="ZW273" s="302"/>
      <c r="ZX273" s="302"/>
      <c r="ZY273" s="302"/>
      <c r="ZZ273" s="302"/>
      <c r="AAA273" s="302"/>
      <c r="AAB273" s="302"/>
      <c r="AAC273" s="302"/>
      <c r="AAD273" s="302"/>
      <c r="AAE273" s="302"/>
      <c r="AAF273" s="302"/>
      <c r="AAG273" s="302"/>
      <c r="AAH273" s="302"/>
      <c r="AAI273" s="302"/>
      <c r="AAJ273" s="302"/>
      <c r="AAK273" s="302"/>
      <c r="AAL273" s="302"/>
      <c r="AAM273" s="302"/>
      <c r="AAN273" s="302"/>
      <c r="AAO273" s="302"/>
      <c r="AAP273" s="302"/>
      <c r="AAQ273" s="302"/>
      <c r="AAR273" s="302"/>
      <c r="AAS273" s="302"/>
      <c r="AAT273" s="302"/>
      <c r="AAU273" s="302"/>
      <c r="AAV273" s="302"/>
      <c r="AAW273" s="302"/>
      <c r="AAX273" s="302"/>
      <c r="AAY273" s="302"/>
      <c r="AAZ273" s="302"/>
      <c r="ABA273" s="302"/>
      <c r="ABB273" s="302"/>
      <c r="ABC273" s="302"/>
      <c r="ABD273" s="302"/>
      <c r="ABE273" s="302"/>
      <c r="ABF273" s="302"/>
      <c r="ABG273" s="302"/>
      <c r="ABH273" s="302"/>
      <c r="ABI273" s="302"/>
      <c r="ABJ273" s="302"/>
      <c r="ABK273" s="302"/>
      <c r="ABL273" s="302"/>
      <c r="ABM273" s="302"/>
      <c r="ABN273" s="302"/>
      <c r="ABO273" s="302"/>
      <c r="ABP273" s="302"/>
      <c r="ABQ273" s="302"/>
      <c r="ABR273" s="302"/>
      <c r="ABS273" s="302"/>
      <c r="ABT273" s="302"/>
      <c r="ABU273" s="302"/>
      <c r="ABV273" s="302"/>
      <c r="ABW273" s="302"/>
      <c r="ABX273" s="302"/>
      <c r="ABY273" s="302"/>
      <c r="ABZ273" s="302"/>
      <c r="ACA273" s="302"/>
      <c r="ACB273" s="302"/>
      <c r="ACC273" s="302"/>
      <c r="ACD273" s="302"/>
      <c r="ACE273" s="302"/>
      <c r="ACF273" s="302"/>
      <c r="ACG273" s="302"/>
      <c r="ACH273" s="302"/>
      <c r="ACI273" s="302"/>
      <c r="ACJ273" s="302"/>
      <c r="ACK273" s="302"/>
      <c r="ACL273" s="302"/>
      <c r="ACM273" s="302"/>
      <c r="ACN273" s="302"/>
      <c r="ACO273" s="302"/>
      <c r="ACP273" s="302"/>
      <c r="ACQ273" s="302"/>
      <c r="ACR273" s="302"/>
      <c r="ACS273" s="302"/>
      <c r="ACT273" s="302"/>
      <c r="ACU273" s="302"/>
      <c r="ACV273" s="302"/>
      <c r="ACW273" s="302"/>
      <c r="ACX273" s="302"/>
      <c r="ACY273" s="302"/>
      <c r="ACZ273" s="302"/>
      <c r="ADA273" s="302"/>
      <c r="ADB273" s="302"/>
      <c r="ADC273" s="302"/>
      <c r="ADD273" s="302"/>
      <c r="ADE273" s="302"/>
      <c r="ADF273" s="302"/>
      <c r="ADG273" s="302"/>
      <c r="ADH273" s="302"/>
      <c r="ADI273" s="302"/>
      <c r="ADJ273" s="302"/>
      <c r="ADK273" s="302"/>
      <c r="ADL273" s="302"/>
      <c r="ADM273" s="302"/>
      <c r="ADN273" s="302"/>
      <c r="ADO273" s="302"/>
      <c r="ADP273" s="302"/>
      <c r="ADQ273" s="302"/>
      <c r="ADR273" s="302"/>
      <c r="ADS273" s="302"/>
      <c r="ADT273" s="302"/>
      <c r="ADU273" s="302"/>
      <c r="ADV273" s="302"/>
      <c r="ADW273" s="302"/>
      <c r="ADX273" s="302"/>
      <c r="ADY273" s="302"/>
      <c r="ADZ273" s="302"/>
      <c r="AEA273" s="302"/>
      <c r="AEB273" s="302"/>
      <c r="AEC273" s="302"/>
      <c r="AED273" s="302"/>
      <c r="AEE273" s="302"/>
      <c r="AEF273" s="302"/>
      <c r="AEG273" s="302"/>
      <c r="AEH273" s="302"/>
      <c r="AEI273" s="302"/>
      <c r="AEJ273" s="302"/>
      <c r="AEK273" s="302"/>
      <c r="AEL273" s="302"/>
      <c r="AEM273" s="302"/>
      <c r="AEN273" s="302"/>
      <c r="AEO273" s="302"/>
      <c r="AEP273" s="302"/>
      <c r="AEQ273" s="302"/>
      <c r="AER273" s="302"/>
      <c r="AES273" s="302"/>
      <c r="AET273" s="302"/>
      <c r="AEU273" s="302"/>
      <c r="AEV273" s="302"/>
      <c r="AEW273" s="302"/>
      <c r="AEX273" s="302"/>
      <c r="AEY273" s="302"/>
      <c r="AEZ273" s="302"/>
      <c r="AFA273" s="302"/>
      <c r="AFB273" s="302"/>
      <c r="AFC273" s="302"/>
      <c r="AFD273" s="302"/>
      <c r="AFE273" s="302"/>
      <c r="AFF273" s="302"/>
      <c r="AFG273" s="302"/>
      <c r="AFH273" s="302"/>
      <c r="AFI273" s="302"/>
      <c r="AFJ273" s="302"/>
      <c r="AFK273" s="302"/>
      <c r="AFL273" s="302"/>
      <c r="AFM273" s="302"/>
      <c r="AFN273" s="302"/>
      <c r="AFO273" s="302"/>
      <c r="AFP273" s="302"/>
      <c r="AFQ273" s="302"/>
      <c r="AFR273" s="302"/>
      <c r="AFS273" s="302"/>
      <c r="AFT273" s="302"/>
      <c r="AFU273" s="302"/>
      <c r="AFV273" s="302"/>
      <c r="AFW273" s="302"/>
      <c r="AFX273" s="302"/>
      <c r="AFY273" s="302"/>
      <c r="AFZ273" s="302"/>
      <c r="AGA273" s="302"/>
      <c r="AGB273" s="302"/>
      <c r="AGC273" s="302"/>
      <c r="AGD273" s="302"/>
      <c r="AGE273" s="302"/>
      <c r="AGF273" s="302"/>
      <c r="AGG273" s="302"/>
      <c r="AGH273" s="302"/>
      <c r="AGI273" s="302"/>
      <c r="AGJ273" s="302"/>
      <c r="AGK273" s="302"/>
      <c r="AGL273" s="302"/>
      <c r="AGM273" s="302"/>
      <c r="AGN273" s="302"/>
      <c r="AGO273" s="302"/>
      <c r="AGP273" s="302"/>
      <c r="AGQ273" s="302"/>
      <c r="AGR273" s="302"/>
      <c r="AGS273" s="302"/>
      <c r="AGT273" s="302"/>
      <c r="AGU273" s="302"/>
      <c r="AGV273" s="302"/>
      <c r="AGW273" s="302"/>
      <c r="AGX273" s="302"/>
      <c r="AGY273" s="302"/>
      <c r="AGZ273" s="302"/>
      <c r="AHA273" s="302"/>
      <c r="AHB273" s="302"/>
      <c r="AHC273" s="302"/>
      <c r="AHD273" s="302"/>
      <c r="AHE273" s="302"/>
      <c r="AHF273" s="302"/>
      <c r="AHG273" s="302"/>
      <c r="AHH273" s="302"/>
      <c r="AHI273" s="302"/>
      <c r="AHJ273" s="302"/>
      <c r="AHK273" s="302"/>
      <c r="AHL273" s="302"/>
      <c r="AHM273" s="302"/>
      <c r="AHN273" s="302"/>
      <c r="AHO273" s="302"/>
      <c r="AHP273" s="302"/>
      <c r="AHQ273" s="302"/>
      <c r="AHR273" s="302"/>
      <c r="AHS273" s="302"/>
      <c r="AHT273" s="302"/>
      <c r="AHU273" s="302"/>
      <c r="AHV273" s="302"/>
      <c r="AHW273" s="302"/>
      <c r="AHX273" s="302"/>
      <c r="AHY273" s="302"/>
      <c r="AHZ273" s="302"/>
      <c r="AIA273" s="302"/>
      <c r="AIB273" s="302"/>
      <c r="AIC273" s="302"/>
      <c r="AID273" s="302"/>
      <c r="AIE273" s="302"/>
      <c r="AIF273" s="302"/>
      <c r="AIG273" s="302"/>
      <c r="AIH273" s="302"/>
      <c r="AII273" s="302"/>
      <c r="AIJ273" s="302"/>
      <c r="AIK273" s="302"/>
      <c r="AIL273" s="302"/>
      <c r="AIM273" s="302"/>
      <c r="AIN273" s="302"/>
      <c r="AIO273" s="302"/>
      <c r="AIP273" s="302"/>
      <c r="AIQ273" s="302"/>
      <c r="AIR273" s="302"/>
      <c r="AIS273" s="302"/>
      <c r="AIT273" s="302"/>
      <c r="AIU273" s="302"/>
      <c r="AIV273" s="302"/>
      <c r="AIW273" s="302"/>
      <c r="AIX273" s="302"/>
      <c r="AIY273" s="302"/>
      <c r="AIZ273" s="302"/>
      <c r="AJA273" s="302"/>
      <c r="AJB273" s="302"/>
      <c r="AJC273" s="302"/>
      <c r="AJD273" s="302"/>
      <c r="AJE273" s="302"/>
      <c r="AJF273" s="302"/>
      <c r="AJG273" s="302"/>
      <c r="AJH273" s="302"/>
      <c r="AJI273" s="302"/>
      <c r="AJJ273" s="302"/>
      <c r="AJK273" s="302"/>
      <c r="AJL273" s="302"/>
      <c r="AJM273" s="302"/>
      <c r="AJN273" s="302"/>
      <c r="AJO273" s="302"/>
      <c r="AJP273" s="302"/>
      <c r="AJQ273" s="302"/>
      <c r="AJR273" s="302"/>
      <c r="AJS273" s="302"/>
      <c r="AJT273" s="302"/>
      <c r="AJU273" s="302"/>
      <c r="AJV273" s="302"/>
      <c r="AJW273" s="302"/>
      <c r="AJX273" s="302"/>
      <c r="AJY273" s="302"/>
      <c r="AJZ273" s="302"/>
      <c r="AKA273" s="302"/>
      <c r="AKB273" s="302"/>
      <c r="AKC273" s="302"/>
      <c r="AKD273" s="302"/>
      <c r="AKE273" s="302"/>
      <c r="AKF273" s="302"/>
      <c r="AKG273" s="302"/>
      <c r="AKH273" s="302"/>
      <c r="AKI273" s="302"/>
      <c r="AKJ273" s="302"/>
      <c r="AKK273" s="302"/>
      <c r="AKL273" s="302"/>
      <c r="AKM273" s="302"/>
      <c r="AKN273" s="302"/>
      <c r="AKO273" s="302"/>
      <c r="AKP273" s="302"/>
      <c r="AKQ273" s="302"/>
      <c r="AKR273" s="302"/>
      <c r="AKS273" s="302"/>
      <c r="AKT273" s="302"/>
      <c r="AKU273" s="302"/>
      <c r="AKV273" s="302"/>
      <c r="AKW273" s="302"/>
      <c r="AKX273" s="302"/>
      <c r="AKY273" s="302"/>
      <c r="AKZ273" s="302"/>
      <c r="ALA273" s="302"/>
      <c r="ALB273" s="302"/>
      <c r="ALC273" s="302"/>
      <c r="ALD273" s="302"/>
      <c r="ALE273" s="302"/>
      <c r="ALF273" s="302"/>
      <c r="ALG273" s="302"/>
      <c r="ALH273" s="302"/>
      <c r="ALI273" s="302"/>
      <c r="ALJ273" s="302"/>
      <c r="ALK273" s="302"/>
      <c r="ALL273" s="302"/>
      <c r="ALM273" s="302"/>
      <c r="ALN273" s="302"/>
      <c r="ALO273" s="302"/>
      <c r="ALP273" s="302"/>
      <c r="ALQ273" s="302"/>
      <c r="ALR273" s="302"/>
      <c r="ALS273" s="302"/>
      <c r="ALT273" s="302"/>
      <c r="ALU273" s="302"/>
      <c r="ALV273" s="302"/>
      <c r="ALW273" s="302"/>
      <c r="ALX273" s="302"/>
      <c r="ALY273" s="302"/>
      <c r="ALZ273" s="302"/>
      <c r="AMA273" s="302"/>
      <c r="AMB273" s="302"/>
      <c r="AMC273" s="302"/>
      <c r="AMD273" s="302"/>
      <c r="AME273" s="302"/>
      <c r="AMF273" s="302"/>
      <c r="AMG273" s="302"/>
      <c r="AMH273" s="302"/>
      <c r="AMI273" s="302"/>
    </row>
    <row r="274" spans="1:1023" hidden="1">
      <c r="A274" s="302"/>
      <c r="B274" s="442">
        <v>14262</v>
      </c>
      <c r="C274" s="430">
        <v>0.08</v>
      </c>
      <c r="D274" s="370" t="s">
        <v>181</v>
      </c>
      <c r="E274" s="433">
        <v>3900000</v>
      </c>
      <c r="F274" s="500">
        <v>0.04</v>
      </c>
      <c r="G274" s="364">
        <f t="shared" ref="G274:G279" si="15">E274*F274</f>
        <v>156000</v>
      </c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2"/>
      <c r="AE274" s="302"/>
      <c r="AF274" s="302"/>
      <c r="AG274" s="302"/>
      <c r="AH274" s="302"/>
      <c r="AI274" s="302"/>
      <c r="AJ274" s="302"/>
      <c r="AK274" s="302"/>
      <c r="AL274" s="302"/>
      <c r="AM274" s="302"/>
      <c r="AN274" s="302"/>
      <c r="AO274" s="302"/>
      <c r="AP274" s="302"/>
      <c r="AQ274" s="302"/>
      <c r="AR274" s="302"/>
      <c r="AS274" s="302"/>
      <c r="AT274" s="302"/>
      <c r="AU274" s="302"/>
      <c r="AV274" s="302"/>
      <c r="AW274" s="302"/>
      <c r="AX274" s="302"/>
      <c r="AY274" s="302"/>
      <c r="AZ274" s="302"/>
      <c r="BA274" s="302"/>
      <c r="BB274" s="302"/>
      <c r="BC274" s="302"/>
      <c r="BD274" s="302"/>
      <c r="BE274" s="302"/>
      <c r="BF274" s="302"/>
      <c r="BG274" s="302"/>
      <c r="BH274" s="302"/>
      <c r="BI274" s="302"/>
      <c r="BJ274" s="302"/>
      <c r="BK274" s="302"/>
      <c r="BL274" s="302"/>
      <c r="BM274" s="302"/>
      <c r="BN274" s="302"/>
      <c r="BO274" s="302"/>
      <c r="BP274" s="302"/>
      <c r="BQ274" s="302"/>
      <c r="BR274" s="302"/>
      <c r="BS274" s="302"/>
      <c r="BT274" s="302"/>
      <c r="BU274" s="302"/>
      <c r="BV274" s="302"/>
      <c r="BW274" s="302"/>
      <c r="BX274" s="302"/>
      <c r="BY274" s="302"/>
      <c r="BZ274" s="302"/>
      <c r="CA274" s="302"/>
      <c r="CB274" s="302"/>
      <c r="CC274" s="302"/>
      <c r="CD274" s="302"/>
      <c r="CE274" s="302"/>
      <c r="CF274" s="302"/>
      <c r="CG274" s="302"/>
      <c r="CH274" s="302"/>
      <c r="CI274" s="302"/>
      <c r="CJ274" s="302"/>
      <c r="CK274" s="302"/>
      <c r="CL274" s="302"/>
      <c r="CM274" s="302"/>
      <c r="CN274" s="302"/>
      <c r="CO274" s="302"/>
      <c r="CP274" s="302"/>
      <c r="CQ274" s="302"/>
      <c r="CR274" s="302"/>
      <c r="CS274" s="302"/>
      <c r="CT274" s="302"/>
      <c r="CU274" s="302"/>
      <c r="CV274" s="302"/>
      <c r="CW274" s="302"/>
      <c r="CX274" s="302"/>
      <c r="CY274" s="302"/>
      <c r="CZ274" s="302"/>
      <c r="DA274" s="302"/>
      <c r="DB274" s="302"/>
      <c r="DC274" s="302"/>
      <c r="DD274" s="302"/>
      <c r="DE274" s="302"/>
      <c r="DF274" s="302"/>
      <c r="DG274" s="302"/>
      <c r="DH274" s="302"/>
      <c r="DI274" s="302"/>
      <c r="DJ274" s="302"/>
      <c r="DK274" s="302"/>
      <c r="DL274" s="302"/>
      <c r="DM274" s="302"/>
      <c r="DN274" s="302"/>
      <c r="DO274" s="302"/>
      <c r="DP274" s="302"/>
      <c r="DQ274" s="302"/>
      <c r="DR274" s="302"/>
      <c r="DS274" s="302"/>
      <c r="DT274" s="302"/>
      <c r="DU274" s="302"/>
      <c r="DV274" s="302"/>
      <c r="DW274" s="302"/>
      <c r="DX274" s="302"/>
      <c r="DY274" s="302"/>
      <c r="DZ274" s="302"/>
      <c r="EA274" s="302"/>
      <c r="EB274" s="302"/>
      <c r="EC274" s="302"/>
      <c r="ED274" s="302"/>
      <c r="EE274" s="302"/>
      <c r="EF274" s="302"/>
      <c r="EG274" s="302"/>
      <c r="EH274" s="302"/>
      <c r="EI274" s="302"/>
      <c r="EJ274" s="302"/>
      <c r="EK274" s="302"/>
      <c r="EL274" s="302"/>
      <c r="EM274" s="302"/>
      <c r="EN274" s="302"/>
      <c r="EO274" s="302"/>
      <c r="EP274" s="302"/>
      <c r="EQ274" s="302"/>
      <c r="ER274" s="302"/>
      <c r="ES274" s="302"/>
      <c r="ET274" s="302"/>
      <c r="EU274" s="302"/>
      <c r="EV274" s="302"/>
      <c r="EW274" s="302"/>
      <c r="EX274" s="302"/>
      <c r="EY274" s="302"/>
      <c r="EZ274" s="302"/>
      <c r="FA274" s="302"/>
      <c r="FB274" s="302"/>
      <c r="FC274" s="302"/>
      <c r="FD274" s="302"/>
      <c r="FE274" s="302"/>
      <c r="FF274" s="302"/>
      <c r="FG274" s="302"/>
      <c r="FH274" s="302"/>
      <c r="FI274" s="302"/>
      <c r="FJ274" s="302"/>
      <c r="FK274" s="302"/>
      <c r="FL274" s="302"/>
      <c r="FM274" s="302"/>
      <c r="FN274" s="302"/>
      <c r="FO274" s="302"/>
      <c r="FP274" s="302"/>
      <c r="FQ274" s="302"/>
      <c r="FR274" s="302"/>
      <c r="FS274" s="302"/>
      <c r="FT274" s="302"/>
      <c r="FU274" s="302"/>
      <c r="FV274" s="302"/>
      <c r="FW274" s="302"/>
      <c r="FX274" s="302"/>
      <c r="FY274" s="302"/>
      <c r="FZ274" s="302"/>
      <c r="GA274" s="302"/>
      <c r="GB274" s="302"/>
      <c r="GC274" s="302"/>
      <c r="GD274" s="302"/>
      <c r="GE274" s="302"/>
      <c r="GF274" s="302"/>
      <c r="GG274" s="302"/>
      <c r="GH274" s="302"/>
      <c r="GI274" s="302"/>
      <c r="GJ274" s="302"/>
      <c r="GK274" s="302"/>
      <c r="GL274" s="302"/>
      <c r="GM274" s="302"/>
      <c r="GN274" s="302"/>
      <c r="GO274" s="302"/>
      <c r="GP274" s="302"/>
      <c r="GQ274" s="302"/>
      <c r="GR274" s="302"/>
      <c r="GS274" s="302"/>
      <c r="GT274" s="302"/>
      <c r="GU274" s="302"/>
      <c r="GV274" s="302"/>
      <c r="GW274" s="302"/>
      <c r="GX274" s="302"/>
      <c r="GY274" s="302"/>
      <c r="GZ274" s="302"/>
      <c r="HA274" s="302"/>
      <c r="HB274" s="302"/>
      <c r="HC274" s="302"/>
      <c r="HD274" s="302"/>
      <c r="HE274" s="302"/>
      <c r="HF274" s="302"/>
      <c r="HG274" s="302"/>
      <c r="HH274" s="302"/>
      <c r="HI274" s="302"/>
      <c r="HJ274" s="302"/>
      <c r="HK274" s="302"/>
      <c r="HL274" s="302"/>
      <c r="HM274" s="302"/>
      <c r="HN274" s="302"/>
      <c r="HO274" s="302"/>
      <c r="HP274" s="302"/>
      <c r="HQ274" s="302"/>
      <c r="HR274" s="302"/>
      <c r="HS274" s="302"/>
      <c r="HT274" s="302"/>
      <c r="HU274" s="302"/>
      <c r="HV274" s="302"/>
      <c r="HW274" s="302"/>
      <c r="HX274" s="302"/>
      <c r="HY274" s="302"/>
      <c r="HZ274" s="302"/>
      <c r="IA274" s="302"/>
      <c r="IB274" s="302"/>
      <c r="IC274" s="302"/>
      <c r="ID274" s="302"/>
      <c r="IE274" s="302"/>
      <c r="IF274" s="302"/>
      <c r="IG274" s="302"/>
      <c r="IH274" s="302"/>
      <c r="II274" s="302"/>
      <c r="IJ274" s="302"/>
      <c r="IK274" s="302"/>
      <c r="IL274" s="302"/>
      <c r="IM274" s="302"/>
      <c r="IN274" s="302"/>
      <c r="IO274" s="302"/>
      <c r="IP274" s="302"/>
      <c r="IQ274" s="302"/>
      <c r="IR274" s="302"/>
      <c r="IS274" s="302"/>
      <c r="IT274" s="302"/>
      <c r="IU274" s="302"/>
      <c r="IV274" s="302"/>
      <c r="IW274" s="302"/>
      <c r="IX274" s="302"/>
      <c r="IY274" s="302"/>
      <c r="IZ274" s="302"/>
      <c r="JA274" s="302"/>
      <c r="JB274" s="302"/>
      <c r="JC274" s="302"/>
      <c r="JD274" s="302"/>
      <c r="JE274" s="302"/>
      <c r="JF274" s="302"/>
      <c r="JG274" s="302"/>
      <c r="JH274" s="302"/>
      <c r="JI274" s="302"/>
      <c r="JJ274" s="302"/>
      <c r="JK274" s="302"/>
      <c r="JL274" s="302"/>
      <c r="JM274" s="302"/>
      <c r="JN274" s="302"/>
      <c r="JO274" s="302"/>
      <c r="JP274" s="302"/>
      <c r="JQ274" s="302"/>
      <c r="JR274" s="302"/>
      <c r="JS274" s="302"/>
      <c r="JT274" s="302"/>
      <c r="JU274" s="302"/>
      <c r="JV274" s="302"/>
      <c r="JW274" s="302"/>
      <c r="JX274" s="302"/>
      <c r="JY274" s="302"/>
      <c r="JZ274" s="302"/>
      <c r="KA274" s="302"/>
      <c r="KB274" s="302"/>
      <c r="KC274" s="302"/>
      <c r="KD274" s="302"/>
      <c r="KE274" s="302"/>
      <c r="KF274" s="302"/>
      <c r="KG274" s="302"/>
      <c r="KH274" s="302"/>
      <c r="KI274" s="302"/>
      <c r="KJ274" s="302"/>
      <c r="KK274" s="302"/>
      <c r="KL274" s="302"/>
      <c r="KM274" s="302"/>
      <c r="KN274" s="302"/>
      <c r="KO274" s="302"/>
      <c r="KP274" s="302"/>
      <c r="KQ274" s="302"/>
      <c r="KR274" s="302"/>
      <c r="KS274" s="302"/>
      <c r="KT274" s="302"/>
      <c r="KU274" s="302"/>
      <c r="KV274" s="302"/>
      <c r="KW274" s="302"/>
      <c r="KX274" s="302"/>
      <c r="KY274" s="302"/>
      <c r="KZ274" s="302"/>
      <c r="LA274" s="302"/>
      <c r="LB274" s="302"/>
      <c r="LC274" s="302"/>
      <c r="LD274" s="302"/>
      <c r="LE274" s="302"/>
      <c r="LF274" s="302"/>
      <c r="LG274" s="302"/>
      <c r="LH274" s="302"/>
      <c r="LI274" s="302"/>
      <c r="LJ274" s="302"/>
      <c r="LK274" s="302"/>
      <c r="LL274" s="302"/>
      <c r="LM274" s="302"/>
      <c r="LN274" s="302"/>
      <c r="LO274" s="302"/>
      <c r="LP274" s="302"/>
      <c r="LQ274" s="302"/>
      <c r="LR274" s="302"/>
      <c r="LS274" s="302"/>
      <c r="LT274" s="302"/>
      <c r="LU274" s="302"/>
      <c r="LV274" s="302"/>
      <c r="LW274" s="302"/>
      <c r="LX274" s="302"/>
      <c r="LY274" s="302"/>
      <c r="LZ274" s="302"/>
      <c r="MA274" s="302"/>
      <c r="MB274" s="302"/>
      <c r="MC274" s="302"/>
      <c r="MD274" s="302"/>
      <c r="ME274" s="302"/>
      <c r="MF274" s="302"/>
      <c r="MG274" s="302"/>
      <c r="MH274" s="302"/>
      <c r="MI274" s="302"/>
      <c r="MJ274" s="302"/>
      <c r="MK274" s="302"/>
      <c r="ML274" s="302"/>
      <c r="MM274" s="302"/>
      <c r="MN274" s="302"/>
      <c r="MO274" s="302"/>
      <c r="MP274" s="302"/>
      <c r="MQ274" s="302"/>
      <c r="MR274" s="302"/>
      <c r="MS274" s="302"/>
      <c r="MT274" s="302"/>
      <c r="MU274" s="302"/>
      <c r="MV274" s="302"/>
      <c r="MW274" s="302"/>
      <c r="MX274" s="302"/>
      <c r="MY274" s="302"/>
      <c r="MZ274" s="302"/>
      <c r="NA274" s="302"/>
      <c r="NB274" s="302"/>
      <c r="NC274" s="302"/>
      <c r="ND274" s="302"/>
      <c r="NE274" s="302"/>
      <c r="NF274" s="302"/>
      <c r="NG274" s="302"/>
      <c r="NH274" s="302"/>
      <c r="NI274" s="302"/>
      <c r="NJ274" s="302"/>
      <c r="NK274" s="302"/>
      <c r="NL274" s="302"/>
      <c r="NM274" s="302"/>
      <c r="NN274" s="302"/>
      <c r="NO274" s="302"/>
      <c r="NP274" s="302"/>
      <c r="NQ274" s="302"/>
      <c r="NR274" s="302"/>
      <c r="NS274" s="302"/>
      <c r="NT274" s="302"/>
      <c r="NU274" s="302"/>
      <c r="NV274" s="302"/>
      <c r="NW274" s="302"/>
      <c r="NX274" s="302"/>
      <c r="NY274" s="302"/>
      <c r="NZ274" s="302"/>
      <c r="OA274" s="302"/>
      <c r="OB274" s="302"/>
      <c r="OC274" s="302"/>
      <c r="OD274" s="302"/>
      <c r="OE274" s="302"/>
      <c r="OF274" s="302"/>
      <c r="OG274" s="302"/>
      <c r="OH274" s="302"/>
      <c r="OI274" s="302"/>
      <c r="OJ274" s="302"/>
      <c r="OK274" s="302"/>
      <c r="OL274" s="302"/>
      <c r="OM274" s="302"/>
      <c r="ON274" s="302"/>
      <c r="OO274" s="302"/>
      <c r="OP274" s="302"/>
      <c r="OQ274" s="302"/>
      <c r="OR274" s="302"/>
      <c r="OS274" s="302"/>
      <c r="OT274" s="302"/>
      <c r="OU274" s="302"/>
      <c r="OV274" s="302"/>
      <c r="OW274" s="302"/>
      <c r="OX274" s="302"/>
      <c r="OY274" s="302"/>
      <c r="OZ274" s="302"/>
      <c r="PA274" s="302"/>
      <c r="PB274" s="302"/>
      <c r="PC274" s="302"/>
      <c r="PD274" s="302"/>
      <c r="PE274" s="302"/>
      <c r="PF274" s="302"/>
      <c r="PG274" s="302"/>
      <c r="PH274" s="302"/>
      <c r="PI274" s="302"/>
      <c r="PJ274" s="302"/>
      <c r="PK274" s="302"/>
      <c r="PL274" s="302"/>
      <c r="PM274" s="302"/>
      <c r="PN274" s="302"/>
      <c r="PO274" s="302"/>
      <c r="PP274" s="302"/>
      <c r="PQ274" s="302"/>
      <c r="PR274" s="302"/>
      <c r="PS274" s="302"/>
      <c r="PT274" s="302"/>
      <c r="PU274" s="302"/>
      <c r="PV274" s="302"/>
      <c r="PW274" s="302"/>
      <c r="PX274" s="302"/>
      <c r="PY274" s="302"/>
      <c r="PZ274" s="302"/>
      <c r="QA274" s="302"/>
      <c r="QB274" s="302"/>
      <c r="QC274" s="302"/>
      <c r="QD274" s="302"/>
      <c r="QE274" s="302"/>
      <c r="QF274" s="302"/>
      <c r="QG274" s="302"/>
      <c r="QH274" s="302"/>
      <c r="QI274" s="302"/>
      <c r="QJ274" s="302"/>
      <c r="QK274" s="302"/>
      <c r="QL274" s="302"/>
      <c r="QM274" s="302"/>
      <c r="QN274" s="302"/>
      <c r="QO274" s="302"/>
      <c r="QP274" s="302"/>
      <c r="QQ274" s="302"/>
      <c r="QR274" s="302"/>
      <c r="QS274" s="302"/>
      <c r="QT274" s="302"/>
      <c r="QU274" s="302"/>
      <c r="QV274" s="302"/>
      <c r="QW274" s="302"/>
      <c r="QX274" s="302"/>
      <c r="QY274" s="302"/>
      <c r="QZ274" s="302"/>
      <c r="RA274" s="302"/>
      <c r="RB274" s="302"/>
      <c r="RC274" s="302"/>
      <c r="RD274" s="302"/>
      <c r="RE274" s="302"/>
      <c r="RF274" s="302"/>
      <c r="RG274" s="302"/>
      <c r="RH274" s="302"/>
      <c r="RI274" s="302"/>
      <c r="RJ274" s="302"/>
      <c r="RK274" s="302"/>
      <c r="RL274" s="302"/>
      <c r="RM274" s="302"/>
      <c r="RN274" s="302"/>
      <c r="RO274" s="302"/>
      <c r="RP274" s="302"/>
      <c r="RQ274" s="302"/>
      <c r="RR274" s="302"/>
      <c r="RS274" s="302"/>
      <c r="RT274" s="302"/>
      <c r="RU274" s="302"/>
      <c r="RV274" s="302"/>
      <c r="RW274" s="302"/>
      <c r="RX274" s="302"/>
      <c r="RY274" s="302"/>
      <c r="RZ274" s="302"/>
      <c r="SA274" s="302"/>
      <c r="SB274" s="302"/>
      <c r="SC274" s="302"/>
      <c r="SD274" s="302"/>
      <c r="SE274" s="302"/>
      <c r="SF274" s="302"/>
      <c r="SG274" s="302"/>
      <c r="SH274" s="302"/>
      <c r="SI274" s="302"/>
      <c r="SJ274" s="302"/>
      <c r="SK274" s="302"/>
      <c r="SL274" s="302"/>
      <c r="SM274" s="302"/>
      <c r="SN274" s="302"/>
      <c r="SO274" s="302"/>
      <c r="SP274" s="302"/>
      <c r="SQ274" s="302"/>
      <c r="SR274" s="302"/>
      <c r="SS274" s="302"/>
      <c r="ST274" s="302"/>
      <c r="SU274" s="302"/>
      <c r="SV274" s="302"/>
      <c r="SW274" s="302"/>
      <c r="SX274" s="302"/>
      <c r="SY274" s="302"/>
      <c r="SZ274" s="302"/>
      <c r="TA274" s="302"/>
      <c r="TB274" s="302"/>
      <c r="TC274" s="302"/>
      <c r="TD274" s="302"/>
      <c r="TE274" s="302"/>
      <c r="TF274" s="302"/>
      <c r="TG274" s="302"/>
      <c r="TH274" s="302"/>
      <c r="TI274" s="302"/>
      <c r="TJ274" s="302"/>
      <c r="TK274" s="302"/>
      <c r="TL274" s="302"/>
      <c r="TM274" s="302"/>
      <c r="TN274" s="302"/>
      <c r="TO274" s="302"/>
      <c r="TP274" s="302"/>
      <c r="TQ274" s="302"/>
      <c r="TR274" s="302"/>
      <c r="TS274" s="302"/>
      <c r="TT274" s="302"/>
      <c r="TU274" s="302"/>
      <c r="TV274" s="302"/>
      <c r="TW274" s="302"/>
      <c r="TX274" s="302"/>
      <c r="TY274" s="302"/>
      <c r="TZ274" s="302"/>
      <c r="UA274" s="302"/>
      <c r="UB274" s="302"/>
      <c r="UC274" s="302"/>
      <c r="UD274" s="302"/>
      <c r="UE274" s="302"/>
      <c r="UF274" s="302"/>
      <c r="UG274" s="302"/>
      <c r="UH274" s="302"/>
      <c r="UI274" s="302"/>
      <c r="UJ274" s="302"/>
      <c r="UK274" s="302"/>
      <c r="UL274" s="302"/>
      <c r="UM274" s="302"/>
      <c r="UN274" s="302"/>
      <c r="UO274" s="302"/>
      <c r="UP274" s="302"/>
      <c r="UQ274" s="302"/>
      <c r="UR274" s="302"/>
      <c r="US274" s="302"/>
      <c r="UT274" s="302"/>
      <c r="UU274" s="302"/>
      <c r="UV274" s="302"/>
      <c r="UW274" s="302"/>
      <c r="UX274" s="302"/>
      <c r="UY274" s="302"/>
      <c r="UZ274" s="302"/>
      <c r="VA274" s="302"/>
      <c r="VB274" s="302"/>
      <c r="VC274" s="302"/>
      <c r="VD274" s="302"/>
      <c r="VE274" s="302"/>
      <c r="VF274" s="302"/>
      <c r="VG274" s="302"/>
      <c r="VH274" s="302"/>
      <c r="VI274" s="302"/>
      <c r="VJ274" s="302"/>
      <c r="VK274" s="302"/>
      <c r="VL274" s="302"/>
      <c r="VM274" s="302"/>
      <c r="VN274" s="302"/>
      <c r="VO274" s="302"/>
      <c r="VP274" s="302"/>
      <c r="VQ274" s="302"/>
      <c r="VR274" s="302"/>
      <c r="VS274" s="302"/>
      <c r="VT274" s="302"/>
      <c r="VU274" s="302"/>
      <c r="VV274" s="302"/>
      <c r="VW274" s="302"/>
      <c r="VX274" s="302"/>
      <c r="VY274" s="302"/>
      <c r="VZ274" s="302"/>
      <c r="WA274" s="302"/>
      <c r="WB274" s="302"/>
      <c r="WC274" s="302"/>
      <c r="WD274" s="302"/>
      <c r="WE274" s="302"/>
      <c r="WF274" s="302"/>
      <c r="WG274" s="302"/>
      <c r="WH274" s="302"/>
      <c r="WI274" s="302"/>
      <c r="WJ274" s="302"/>
      <c r="WK274" s="302"/>
      <c r="WL274" s="302"/>
      <c r="WM274" s="302"/>
      <c r="WN274" s="302"/>
      <c r="WO274" s="302"/>
      <c r="WP274" s="302"/>
      <c r="WQ274" s="302"/>
      <c r="WR274" s="302"/>
      <c r="WS274" s="302"/>
      <c r="WT274" s="302"/>
      <c r="WU274" s="302"/>
      <c r="WV274" s="302"/>
      <c r="WW274" s="302"/>
      <c r="WX274" s="302"/>
      <c r="WY274" s="302"/>
      <c r="WZ274" s="302"/>
      <c r="XA274" s="302"/>
      <c r="XB274" s="302"/>
      <c r="XC274" s="302"/>
      <c r="XD274" s="302"/>
      <c r="XE274" s="302"/>
      <c r="XF274" s="302"/>
      <c r="XG274" s="302"/>
      <c r="XH274" s="302"/>
      <c r="XI274" s="302"/>
      <c r="XJ274" s="302"/>
      <c r="XK274" s="302"/>
      <c r="XL274" s="302"/>
      <c r="XM274" s="302"/>
      <c r="XN274" s="302"/>
      <c r="XO274" s="302"/>
      <c r="XP274" s="302"/>
      <c r="XQ274" s="302"/>
      <c r="XR274" s="302"/>
      <c r="XS274" s="302"/>
      <c r="XT274" s="302"/>
      <c r="XU274" s="302"/>
      <c r="XV274" s="302"/>
      <c r="XW274" s="302"/>
      <c r="XX274" s="302"/>
      <c r="XY274" s="302"/>
      <c r="XZ274" s="302"/>
      <c r="YA274" s="302"/>
      <c r="YB274" s="302"/>
      <c r="YC274" s="302"/>
      <c r="YD274" s="302"/>
      <c r="YE274" s="302"/>
      <c r="YF274" s="302"/>
      <c r="YG274" s="302"/>
      <c r="YH274" s="302"/>
      <c r="YI274" s="302"/>
      <c r="YJ274" s="302"/>
      <c r="YK274" s="302"/>
      <c r="YL274" s="302"/>
      <c r="YM274" s="302"/>
      <c r="YN274" s="302"/>
      <c r="YO274" s="302"/>
      <c r="YP274" s="302"/>
      <c r="YQ274" s="302"/>
      <c r="YR274" s="302"/>
      <c r="YS274" s="302"/>
      <c r="YT274" s="302"/>
      <c r="YU274" s="302"/>
      <c r="YV274" s="302"/>
      <c r="YW274" s="302"/>
      <c r="YX274" s="302"/>
      <c r="YY274" s="302"/>
      <c r="YZ274" s="302"/>
      <c r="ZA274" s="302"/>
      <c r="ZB274" s="302"/>
      <c r="ZC274" s="302"/>
      <c r="ZD274" s="302"/>
      <c r="ZE274" s="302"/>
      <c r="ZF274" s="302"/>
      <c r="ZG274" s="302"/>
      <c r="ZH274" s="302"/>
      <c r="ZI274" s="302"/>
      <c r="ZJ274" s="302"/>
      <c r="ZK274" s="302"/>
      <c r="ZL274" s="302"/>
      <c r="ZM274" s="302"/>
      <c r="ZN274" s="302"/>
      <c r="ZO274" s="302"/>
      <c r="ZP274" s="302"/>
      <c r="ZQ274" s="302"/>
      <c r="ZR274" s="302"/>
      <c r="ZS274" s="302"/>
      <c r="ZT274" s="302"/>
      <c r="ZU274" s="302"/>
      <c r="ZV274" s="302"/>
      <c r="ZW274" s="302"/>
      <c r="ZX274" s="302"/>
      <c r="ZY274" s="302"/>
      <c r="ZZ274" s="302"/>
      <c r="AAA274" s="302"/>
      <c r="AAB274" s="302"/>
      <c r="AAC274" s="302"/>
      <c r="AAD274" s="302"/>
      <c r="AAE274" s="302"/>
      <c r="AAF274" s="302"/>
      <c r="AAG274" s="302"/>
      <c r="AAH274" s="302"/>
      <c r="AAI274" s="302"/>
      <c r="AAJ274" s="302"/>
      <c r="AAK274" s="302"/>
      <c r="AAL274" s="302"/>
      <c r="AAM274" s="302"/>
      <c r="AAN274" s="302"/>
      <c r="AAO274" s="302"/>
      <c r="AAP274" s="302"/>
      <c r="AAQ274" s="302"/>
      <c r="AAR274" s="302"/>
      <c r="AAS274" s="302"/>
      <c r="AAT274" s="302"/>
      <c r="AAU274" s="302"/>
      <c r="AAV274" s="302"/>
      <c r="AAW274" s="302"/>
      <c r="AAX274" s="302"/>
      <c r="AAY274" s="302"/>
      <c r="AAZ274" s="302"/>
      <c r="ABA274" s="302"/>
      <c r="ABB274" s="302"/>
      <c r="ABC274" s="302"/>
      <c r="ABD274" s="302"/>
      <c r="ABE274" s="302"/>
      <c r="ABF274" s="302"/>
      <c r="ABG274" s="302"/>
      <c r="ABH274" s="302"/>
      <c r="ABI274" s="302"/>
      <c r="ABJ274" s="302"/>
      <c r="ABK274" s="302"/>
      <c r="ABL274" s="302"/>
      <c r="ABM274" s="302"/>
      <c r="ABN274" s="302"/>
      <c r="ABO274" s="302"/>
      <c r="ABP274" s="302"/>
      <c r="ABQ274" s="302"/>
      <c r="ABR274" s="302"/>
      <c r="ABS274" s="302"/>
      <c r="ABT274" s="302"/>
      <c r="ABU274" s="302"/>
      <c r="ABV274" s="302"/>
      <c r="ABW274" s="302"/>
      <c r="ABX274" s="302"/>
      <c r="ABY274" s="302"/>
      <c r="ABZ274" s="302"/>
      <c r="ACA274" s="302"/>
      <c r="ACB274" s="302"/>
      <c r="ACC274" s="302"/>
      <c r="ACD274" s="302"/>
      <c r="ACE274" s="302"/>
      <c r="ACF274" s="302"/>
      <c r="ACG274" s="302"/>
      <c r="ACH274" s="302"/>
      <c r="ACI274" s="302"/>
      <c r="ACJ274" s="302"/>
      <c r="ACK274" s="302"/>
      <c r="ACL274" s="302"/>
      <c r="ACM274" s="302"/>
      <c r="ACN274" s="302"/>
      <c r="ACO274" s="302"/>
      <c r="ACP274" s="302"/>
      <c r="ACQ274" s="302"/>
      <c r="ACR274" s="302"/>
      <c r="ACS274" s="302"/>
      <c r="ACT274" s="302"/>
      <c r="ACU274" s="302"/>
      <c r="ACV274" s="302"/>
      <c r="ACW274" s="302"/>
      <c r="ACX274" s="302"/>
      <c r="ACY274" s="302"/>
      <c r="ACZ274" s="302"/>
      <c r="ADA274" s="302"/>
      <c r="ADB274" s="302"/>
      <c r="ADC274" s="302"/>
      <c r="ADD274" s="302"/>
      <c r="ADE274" s="302"/>
      <c r="ADF274" s="302"/>
      <c r="ADG274" s="302"/>
      <c r="ADH274" s="302"/>
      <c r="ADI274" s="302"/>
      <c r="ADJ274" s="302"/>
      <c r="ADK274" s="302"/>
      <c r="ADL274" s="302"/>
      <c r="ADM274" s="302"/>
      <c r="ADN274" s="302"/>
      <c r="ADO274" s="302"/>
      <c r="ADP274" s="302"/>
      <c r="ADQ274" s="302"/>
      <c r="ADR274" s="302"/>
      <c r="ADS274" s="302"/>
      <c r="ADT274" s="302"/>
      <c r="ADU274" s="302"/>
      <c r="ADV274" s="302"/>
      <c r="ADW274" s="302"/>
      <c r="ADX274" s="302"/>
      <c r="ADY274" s="302"/>
      <c r="ADZ274" s="302"/>
      <c r="AEA274" s="302"/>
      <c r="AEB274" s="302"/>
      <c r="AEC274" s="302"/>
      <c r="AED274" s="302"/>
      <c r="AEE274" s="302"/>
      <c r="AEF274" s="302"/>
      <c r="AEG274" s="302"/>
      <c r="AEH274" s="302"/>
      <c r="AEI274" s="302"/>
      <c r="AEJ274" s="302"/>
      <c r="AEK274" s="302"/>
      <c r="AEL274" s="302"/>
      <c r="AEM274" s="302"/>
      <c r="AEN274" s="302"/>
      <c r="AEO274" s="302"/>
      <c r="AEP274" s="302"/>
      <c r="AEQ274" s="302"/>
      <c r="AER274" s="302"/>
      <c r="AES274" s="302"/>
      <c r="AET274" s="302"/>
      <c r="AEU274" s="302"/>
      <c r="AEV274" s="302"/>
      <c r="AEW274" s="302"/>
      <c r="AEX274" s="302"/>
      <c r="AEY274" s="302"/>
      <c r="AEZ274" s="302"/>
      <c r="AFA274" s="302"/>
      <c r="AFB274" s="302"/>
      <c r="AFC274" s="302"/>
      <c r="AFD274" s="302"/>
      <c r="AFE274" s="302"/>
      <c r="AFF274" s="302"/>
      <c r="AFG274" s="302"/>
      <c r="AFH274" s="302"/>
      <c r="AFI274" s="302"/>
      <c r="AFJ274" s="302"/>
      <c r="AFK274" s="302"/>
      <c r="AFL274" s="302"/>
      <c r="AFM274" s="302"/>
      <c r="AFN274" s="302"/>
      <c r="AFO274" s="302"/>
      <c r="AFP274" s="302"/>
      <c r="AFQ274" s="302"/>
      <c r="AFR274" s="302"/>
      <c r="AFS274" s="302"/>
      <c r="AFT274" s="302"/>
      <c r="AFU274" s="302"/>
      <c r="AFV274" s="302"/>
      <c r="AFW274" s="302"/>
      <c r="AFX274" s="302"/>
      <c r="AFY274" s="302"/>
      <c r="AFZ274" s="302"/>
      <c r="AGA274" s="302"/>
      <c r="AGB274" s="302"/>
      <c r="AGC274" s="302"/>
      <c r="AGD274" s="302"/>
      <c r="AGE274" s="302"/>
      <c r="AGF274" s="302"/>
      <c r="AGG274" s="302"/>
      <c r="AGH274" s="302"/>
      <c r="AGI274" s="302"/>
      <c r="AGJ274" s="302"/>
      <c r="AGK274" s="302"/>
      <c r="AGL274" s="302"/>
      <c r="AGM274" s="302"/>
      <c r="AGN274" s="302"/>
      <c r="AGO274" s="302"/>
      <c r="AGP274" s="302"/>
      <c r="AGQ274" s="302"/>
      <c r="AGR274" s="302"/>
      <c r="AGS274" s="302"/>
      <c r="AGT274" s="302"/>
      <c r="AGU274" s="302"/>
      <c r="AGV274" s="302"/>
      <c r="AGW274" s="302"/>
      <c r="AGX274" s="302"/>
      <c r="AGY274" s="302"/>
      <c r="AGZ274" s="302"/>
      <c r="AHA274" s="302"/>
      <c r="AHB274" s="302"/>
      <c r="AHC274" s="302"/>
      <c r="AHD274" s="302"/>
      <c r="AHE274" s="302"/>
      <c r="AHF274" s="302"/>
      <c r="AHG274" s="302"/>
      <c r="AHH274" s="302"/>
      <c r="AHI274" s="302"/>
      <c r="AHJ274" s="302"/>
      <c r="AHK274" s="302"/>
      <c r="AHL274" s="302"/>
      <c r="AHM274" s="302"/>
      <c r="AHN274" s="302"/>
      <c r="AHO274" s="302"/>
      <c r="AHP274" s="302"/>
      <c r="AHQ274" s="302"/>
      <c r="AHR274" s="302"/>
      <c r="AHS274" s="302"/>
      <c r="AHT274" s="302"/>
      <c r="AHU274" s="302"/>
      <c r="AHV274" s="302"/>
      <c r="AHW274" s="302"/>
      <c r="AHX274" s="302"/>
      <c r="AHY274" s="302"/>
      <c r="AHZ274" s="302"/>
      <c r="AIA274" s="302"/>
      <c r="AIB274" s="302"/>
      <c r="AIC274" s="302"/>
      <c r="AID274" s="302"/>
      <c r="AIE274" s="302"/>
      <c r="AIF274" s="302"/>
      <c r="AIG274" s="302"/>
      <c r="AIH274" s="302"/>
      <c r="AII274" s="302"/>
      <c r="AIJ274" s="302"/>
      <c r="AIK274" s="302"/>
      <c r="AIL274" s="302"/>
      <c r="AIM274" s="302"/>
      <c r="AIN274" s="302"/>
      <c r="AIO274" s="302"/>
      <c r="AIP274" s="302"/>
      <c r="AIQ274" s="302"/>
      <c r="AIR274" s="302"/>
      <c r="AIS274" s="302"/>
      <c r="AIT274" s="302"/>
      <c r="AIU274" s="302"/>
      <c r="AIV274" s="302"/>
      <c r="AIW274" s="302"/>
      <c r="AIX274" s="302"/>
      <c r="AIY274" s="302"/>
      <c r="AIZ274" s="302"/>
      <c r="AJA274" s="302"/>
      <c r="AJB274" s="302"/>
      <c r="AJC274" s="302"/>
      <c r="AJD274" s="302"/>
      <c r="AJE274" s="302"/>
      <c r="AJF274" s="302"/>
      <c r="AJG274" s="302"/>
      <c r="AJH274" s="302"/>
      <c r="AJI274" s="302"/>
      <c r="AJJ274" s="302"/>
      <c r="AJK274" s="302"/>
      <c r="AJL274" s="302"/>
      <c r="AJM274" s="302"/>
      <c r="AJN274" s="302"/>
      <c r="AJO274" s="302"/>
      <c r="AJP274" s="302"/>
      <c r="AJQ274" s="302"/>
      <c r="AJR274" s="302"/>
      <c r="AJS274" s="302"/>
      <c r="AJT274" s="302"/>
      <c r="AJU274" s="302"/>
      <c r="AJV274" s="302"/>
      <c r="AJW274" s="302"/>
      <c r="AJX274" s="302"/>
      <c r="AJY274" s="302"/>
      <c r="AJZ274" s="302"/>
      <c r="AKA274" s="302"/>
      <c r="AKB274" s="302"/>
      <c r="AKC274" s="302"/>
      <c r="AKD274" s="302"/>
      <c r="AKE274" s="302"/>
      <c r="AKF274" s="302"/>
      <c r="AKG274" s="302"/>
      <c r="AKH274" s="302"/>
      <c r="AKI274" s="302"/>
      <c r="AKJ274" s="302"/>
      <c r="AKK274" s="302"/>
      <c r="AKL274" s="302"/>
      <c r="AKM274" s="302"/>
      <c r="AKN274" s="302"/>
      <c r="AKO274" s="302"/>
      <c r="AKP274" s="302"/>
      <c r="AKQ274" s="302"/>
      <c r="AKR274" s="302"/>
      <c r="AKS274" s="302"/>
      <c r="AKT274" s="302"/>
      <c r="AKU274" s="302"/>
      <c r="AKV274" s="302"/>
      <c r="AKW274" s="302"/>
      <c r="AKX274" s="302"/>
      <c r="AKY274" s="302"/>
      <c r="AKZ274" s="302"/>
      <c r="ALA274" s="302"/>
      <c r="ALB274" s="302"/>
      <c r="ALC274" s="302"/>
      <c r="ALD274" s="302"/>
      <c r="ALE274" s="302"/>
      <c r="ALF274" s="302"/>
      <c r="ALG274" s="302"/>
      <c r="ALH274" s="302"/>
      <c r="ALI274" s="302"/>
      <c r="ALJ274" s="302"/>
      <c r="ALK274" s="302"/>
      <c r="ALL274" s="302"/>
      <c r="ALM274" s="302"/>
      <c r="ALN274" s="302"/>
      <c r="ALO274" s="302"/>
      <c r="ALP274" s="302"/>
      <c r="ALQ274" s="302"/>
      <c r="ALR274" s="302"/>
      <c r="ALS274" s="302"/>
      <c r="ALT274" s="302"/>
      <c r="ALU274" s="302"/>
      <c r="ALV274" s="302"/>
      <c r="ALW274" s="302"/>
      <c r="ALX274" s="302"/>
      <c r="ALY274" s="302"/>
      <c r="ALZ274" s="302"/>
      <c r="AMA274" s="302"/>
      <c r="AMB274" s="302"/>
      <c r="AMC274" s="302"/>
      <c r="AMD274" s="302"/>
      <c r="AME274" s="302"/>
      <c r="AMF274" s="302"/>
      <c r="AMG274" s="302"/>
      <c r="AMH274" s="302"/>
      <c r="AMI274" s="302"/>
    </row>
    <row r="275" spans="1:1023" hidden="1">
      <c r="A275" s="302"/>
      <c r="B275" s="442">
        <v>14191</v>
      </c>
      <c r="C275" s="430">
        <v>0.08</v>
      </c>
      <c r="D275" s="370" t="s">
        <v>184</v>
      </c>
      <c r="E275" s="433">
        <v>3200000</v>
      </c>
      <c r="F275" s="500">
        <v>0.04</v>
      </c>
      <c r="G275" s="364">
        <f t="shared" si="15"/>
        <v>128000</v>
      </c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2"/>
      <c r="AE275" s="302"/>
      <c r="AF275" s="302"/>
      <c r="AG275" s="302"/>
      <c r="AH275" s="302"/>
      <c r="AI275" s="302"/>
      <c r="AJ275" s="302"/>
      <c r="AK275" s="302"/>
      <c r="AL275" s="302"/>
      <c r="AM275" s="302"/>
      <c r="AN275" s="302"/>
      <c r="AO275" s="302"/>
      <c r="AP275" s="302"/>
      <c r="AQ275" s="302"/>
      <c r="AR275" s="302"/>
      <c r="AS275" s="302"/>
      <c r="AT275" s="302"/>
      <c r="AU275" s="302"/>
      <c r="AV275" s="302"/>
      <c r="AW275" s="302"/>
      <c r="AX275" s="302"/>
      <c r="AY275" s="302"/>
      <c r="AZ275" s="302"/>
      <c r="BA275" s="302"/>
      <c r="BB275" s="302"/>
      <c r="BC275" s="302"/>
      <c r="BD275" s="302"/>
      <c r="BE275" s="302"/>
      <c r="BF275" s="302"/>
      <c r="BG275" s="302"/>
      <c r="BH275" s="302"/>
      <c r="BI275" s="302"/>
      <c r="BJ275" s="302"/>
      <c r="BK275" s="302"/>
      <c r="BL275" s="302"/>
      <c r="BM275" s="302"/>
      <c r="BN275" s="302"/>
      <c r="BO275" s="302"/>
      <c r="BP275" s="302"/>
      <c r="BQ275" s="302"/>
      <c r="BR275" s="302"/>
      <c r="BS275" s="302"/>
      <c r="BT275" s="302"/>
      <c r="BU275" s="302"/>
      <c r="BV275" s="302"/>
      <c r="BW275" s="302"/>
      <c r="BX275" s="302"/>
      <c r="BY275" s="302"/>
      <c r="BZ275" s="302"/>
      <c r="CA275" s="302"/>
      <c r="CB275" s="302"/>
      <c r="CC275" s="302"/>
      <c r="CD275" s="302"/>
      <c r="CE275" s="302"/>
      <c r="CF275" s="302"/>
      <c r="CG275" s="302"/>
      <c r="CH275" s="302"/>
      <c r="CI275" s="302"/>
      <c r="CJ275" s="302"/>
      <c r="CK275" s="302"/>
      <c r="CL275" s="302"/>
      <c r="CM275" s="302"/>
      <c r="CN275" s="302"/>
      <c r="CO275" s="302"/>
      <c r="CP275" s="302"/>
      <c r="CQ275" s="302"/>
      <c r="CR275" s="302"/>
      <c r="CS275" s="302"/>
      <c r="CT275" s="302"/>
      <c r="CU275" s="302"/>
      <c r="CV275" s="302"/>
      <c r="CW275" s="302"/>
      <c r="CX275" s="302"/>
      <c r="CY275" s="302"/>
      <c r="CZ275" s="302"/>
      <c r="DA275" s="302"/>
      <c r="DB275" s="302"/>
      <c r="DC275" s="302"/>
      <c r="DD275" s="302"/>
      <c r="DE275" s="302"/>
      <c r="DF275" s="302"/>
      <c r="DG275" s="302"/>
      <c r="DH275" s="302"/>
      <c r="DI275" s="302"/>
      <c r="DJ275" s="302"/>
      <c r="DK275" s="302"/>
      <c r="DL275" s="302"/>
      <c r="DM275" s="302"/>
      <c r="DN275" s="302"/>
      <c r="DO275" s="302"/>
      <c r="DP275" s="302"/>
      <c r="DQ275" s="302"/>
      <c r="DR275" s="302"/>
      <c r="DS275" s="302"/>
      <c r="DT275" s="302"/>
      <c r="DU275" s="302"/>
      <c r="DV275" s="302"/>
      <c r="DW275" s="302"/>
      <c r="DX275" s="302"/>
      <c r="DY275" s="302"/>
      <c r="DZ275" s="302"/>
      <c r="EA275" s="302"/>
      <c r="EB275" s="302"/>
      <c r="EC275" s="302"/>
      <c r="ED275" s="302"/>
      <c r="EE275" s="302"/>
      <c r="EF275" s="302"/>
      <c r="EG275" s="302"/>
      <c r="EH275" s="302"/>
      <c r="EI275" s="302"/>
      <c r="EJ275" s="302"/>
      <c r="EK275" s="302"/>
      <c r="EL275" s="302"/>
      <c r="EM275" s="302"/>
      <c r="EN275" s="302"/>
      <c r="EO275" s="302"/>
      <c r="EP275" s="302"/>
      <c r="EQ275" s="302"/>
      <c r="ER275" s="302"/>
      <c r="ES275" s="302"/>
      <c r="ET275" s="302"/>
      <c r="EU275" s="302"/>
      <c r="EV275" s="302"/>
      <c r="EW275" s="302"/>
      <c r="EX275" s="302"/>
      <c r="EY275" s="302"/>
      <c r="EZ275" s="302"/>
      <c r="FA275" s="302"/>
      <c r="FB275" s="302"/>
      <c r="FC275" s="302"/>
      <c r="FD275" s="302"/>
      <c r="FE275" s="302"/>
      <c r="FF275" s="302"/>
      <c r="FG275" s="302"/>
      <c r="FH275" s="302"/>
      <c r="FI275" s="302"/>
      <c r="FJ275" s="302"/>
      <c r="FK275" s="302"/>
      <c r="FL275" s="302"/>
      <c r="FM275" s="302"/>
      <c r="FN275" s="302"/>
      <c r="FO275" s="302"/>
      <c r="FP275" s="302"/>
      <c r="FQ275" s="302"/>
      <c r="FR275" s="302"/>
      <c r="FS275" s="302"/>
      <c r="FT275" s="302"/>
      <c r="FU275" s="302"/>
      <c r="FV275" s="302"/>
      <c r="FW275" s="302"/>
      <c r="FX275" s="302"/>
      <c r="FY275" s="302"/>
      <c r="FZ275" s="302"/>
      <c r="GA275" s="302"/>
      <c r="GB275" s="302"/>
      <c r="GC275" s="302"/>
      <c r="GD275" s="302"/>
      <c r="GE275" s="302"/>
      <c r="GF275" s="302"/>
      <c r="GG275" s="302"/>
      <c r="GH275" s="302"/>
      <c r="GI275" s="302"/>
      <c r="GJ275" s="302"/>
      <c r="GK275" s="302"/>
      <c r="GL275" s="302"/>
      <c r="GM275" s="302"/>
      <c r="GN275" s="302"/>
      <c r="GO275" s="302"/>
      <c r="GP275" s="302"/>
      <c r="GQ275" s="302"/>
      <c r="GR275" s="302"/>
      <c r="GS275" s="302"/>
      <c r="GT275" s="302"/>
      <c r="GU275" s="302"/>
      <c r="GV275" s="302"/>
      <c r="GW275" s="302"/>
      <c r="GX275" s="302"/>
      <c r="GY275" s="302"/>
      <c r="GZ275" s="302"/>
      <c r="HA275" s="302"/>
      <c r="HB275" s="302"/>
      <c r="HC275" s="302"/>
      <c r="HD275" s="302"/>
      <c r="HE275" s="302"/>
      <c r="HF275" s="302"/>
      <c r="HG275" s="302"/>
      <c r="HH275" s="302"/>
      <c r="HI275" s="302"/>
      <c r="HJ275" s="302"/>
      <c r="HK275" s="302"/>
      <c r="HL275" s="302"/>
      <c r="HM275" s="302"/>
      <c r="HN275" s="302"/>
      <c r="HO275" s="302"/>
      <c r="HP275" s="302"/>
      <c r="HQ275" s="302"/>
      <c r="HR275" s="302"/>
      <c r="HS275" s="302"/>
      <c r="HT275" s="302"/>
      <c r="HU275" s="302"/>
      <c r="HV275" s="302"/>
      <c r="HW275" s="302"/>
      <c r="HX275" s="302"/>
      <c r="HY275" s="302"/>
      <c r="HZ275" s="302"/>
      <c r="IA275" s="302"/>
      <c r="IB275" s="302"/>
      <c r="IC275" s="302"/>
      <c r="ID275" s="302"/>
      <c r="IE275" s="302"/>
      <c r="IF275" s="302"/>
      <c r="IG275" s="302"/>
      <c r="IH275" s="302"/>
      <c r="II275" s="302"/>
      <c r="IJ275" s="302"/>
      <c r="IK275" s="302"/>
      <c r="IL275" s="302"/>
      <c r="IM275" s="302"/>
      <c r="IN275" s="302"/>
      <c r="IO275" s="302"/>
      <c r="IP275" s="302"/>
      <c r="IQ275" s="302"/>
      <c r="IR275" s="302"/>
      <c r="IS275" s="302"/>
      <c r="IT275" s="302"/>
      <c r="IU275" s="302"/>
      <c r="IV275" s="302"/>
      <c r="IW275" s="302"/>
      <c r="IX275" s="302"/>
      <c r="IY275" s="302"/>
      <c r="IZ275" s="302"/>
      <c r="JA275" s="302"/>
      <c r="JB275" s="302"/>
      <c r="JC275" s="302"/>
      <c r="JD275" s="302"/>
      <c r="JE275" s="302"/>
      <c r="JF275" s="302"/>
      <c r="JG275" s="302"/>
      <c r="JH275" s="302"/>
      <c r="JI275" s="302"/>
      <c r="JJ275" s="302"/>
      <c r="JK275" s="302"/>
      <c r="JL275" s="302"/>
      <c r="JM275" s="302"/>
      <c r="JN275" s="302"/>
      <c r="JO275" s="302"/>
      <c r="JP275" s="302"/>
      <c r="JQ275" s="302"/>
      <c r="JR275" s="302"/>
      <c r="JS275" s="302"/>
      <c r="JT275" s="302"/>
      <c r="JU275" s="302"/>
      <c r="JV275" s="302"/>
      <c r="JW275" s="302"/>
      <c r="JX275" s="302"/>
      <c r="JY275" s="302"/>
      <c r="JZ275" s="302"/>
      <c r="KA275" s="302"/>
      <c r="KB275" s="302"/>
      <c r="KC275" s="302"/>
      <c r="KD275" s="302"/>
      <c r="KE275" s="302"/>
      <c r="KF275" s="302"/>
      <c r="KG275" s="302"/>
      <c r="KH275" s="302"/>
      <c r="KI275" s="302"/>
      <c r="KJ275" s="302"/>
      <c r="KK275" s="302"/>
      <c r="KL275" s="302"/>
      <c r="KM275" s="302"/>
      <c r="KN275" s="302"/>
      <c r="KO275" s="302"/>
      <c r="KP275" s="302"/>
      <c r="KQ275" s="302"/>
      <c r="KR275" s="302"/>
      <c r="KS275" s="302"/>
      <c r="KT275" s="302"/>
      <c r="KU275" s="302"/>
      <c r="KV275" s="302"/>
      <c r="KW275" s="302"/>
      <c r="KX275" s="302"/>
      <c r="KY275" s="302"/>
      <c r="KZ275" s="302"/>
      <c r="LA275" s="302"/>
      <c r="LB275" s="302"/>
      <c r="LC275" s="302"/>
      <c r="LD275" s="302"/>
      <c r="LE275" s="302"/>
      <c r="LF275" s="302"/>
      <c r="LG275" s="302"/>
      <c r="LH275" s="302"/>
      <c r="LI275" s="302"/>
      <c r="LJ275" s="302"/>
      <c r="LK275" s="302"/>
      <c r="LL275" s="302"/>
      <c r="LM275" s="302"/>
      <c r="LN275" s="302"/>
      <c r="LO275" s="302"/>
      <c r="LP275" s="302"/>
      <c r="LQ275" s="302"/>
      <c r="LR275" s="302"/>
      <c r="LS275" s="302"/>
      <c r="LT275" s="302"/>
      <c r="LU275" s="302"/>
      <c r="LV275" s="302"/>
      <c r="LW275" s="302"/>
      <c r="LX275" s="302"/>
      <c r="LY275" s="302"/>
      <c r="LZ275" s="302"/>
      <c r="MA275" s="302"/>
      <c r="MB275" s="302"/>
      <c r="MC275" s="302"/>
      <c r="MD275" s="302"/>
      <c r="ME275" s="302"/>
      <c r="MF275" s="302"/>
      <c r="MG275" s="302"/>
      <c r="MH275" s="302"/>
      <c r="MI275" s="302"/>
      <c r="MJ275" s="302"/>
      <c r="MK275" s="302"/>
      <c r="ML275" s="302"/>
      <c r="MM275" s="302"/>
      <c r="MN275" s="302"/>
      <c r="MO275" s="302"/>
      <c r="MP275" s="302"/>
      <c r="MQ275" s="302"/>
      <c r="MR275" s="302"/>
      <c r="MS275" s="302"/>
      <c r="MT275" s="302"/>
      <c r="MU275" s="302"/>
      <c r="MV275" s="302"/>
      <c r="MW275" s="302"/>
      <c r="MX275" s="302"/>
      <c r="MY275" s="302"/>
      <c r="MZ275" s="302"/>
      <c r="NA275" s="302"/>
      <c r="NB275" s="302"/>
      <c r="NC275" s="302"/>
      <c r="ND275" s="302"/>
      <c r="NE275" s="302"/>
      <c r="NF275" s="302"/>
      <c r="NG275" s="302"/>
      <c r="NH275" s="302"/>
      <c r="NI275" s="302"/>
      <c r="NJ275" s="302"/>
      <c r="NK275" s="302"/>
      <c r="NL275" s="302"/>
      <c r="NM275" s="302"/>
      <c r="NN275" s="302"/>
      <c r="NO275" s="302"/>
      <c r="NP275" s="302"/>
      <c r="NQ275" s="302"/>
      <c r="NR275" s="302"/>
      <c r="NS275" s="302"/>
      <c r="NT275" s="302"/>
      <c r="NU275" s="302"/>
      <c r="NV275" s="302"/>
      <c r="NW275" s="302"/>
      <c r="NX275" s="302"/>
      <c r="NY275" s="302"/>
      <c r="NZ275" s="302"/>
      <c r="OA275" s="302"/>
      <c r="OB275" s="302"/>
      <c r="OC275" s="302"/>
      <c r="OD275" s="302"/>
      <c r="OE275" s="302"/>
      <c r="OF275" s="302"/>
      <c r="OG275" s="302"/>
      <c r="OH275" s="302"/>
      <c r="OI275" s="302"/>
      <c r="OJ275" s="302"/>
      <c r="OK275" s="302"/>
      <c r="OL275" s="302"/>
      <c r="OM275" s="302"/>
      <c r="ON275" s="302"/>
      <c r="OO275" s="302"/>
      <c r="OP275" s="302"/>
      <c r="OQ275" s="302"/>
      <c r="OR275" s="302"/>
      <c r="OS275" s="302"/>
      <c r="OT275" s="302"/>
      <c r="OU275" s="302"/>
      <c r="OV275" s="302"/>
      <c r="OW275" s="302"/>
      <c r="OX275" s="302"/>
      <c r="OY275" s="302"/>
      <c r="OZ275" s="302"/>
      <c r="PA275" s="302"/>
      <c r="PB275" s="302"/>
      <c r="PC275" s="302"/>
      <c r="PD275" s="302"/>
      <c r="PE275" s="302"/>
      <c r="PF275" s="302"/>
      <c r="PG275" s="302"/>
      <c r="PH275" s="302"/>
      <c r="PI275" s="302"/>
      <c r="PJ275" s="302"/>
      <c r="PK275" s="302"/>
      <c r="PL275" s="302"/>
      <c r="PM275" s="302"/>
      <c r="PN275" s="302"/>
      <c r="PO275" s="302"/>
      <c r="PP275" s="302"/>
      <c r="PQ275" s="302"/>
      <c r="PR275" s="302"/>
      <c r="PS275" s="302"/>
      <c r="PT275" s="302"/>
      <c r="PU275" s="302"/>
      <c r="PV275" s="302"/>
      <c r="PW275" s="302"/>
      <c r="PX275" s="302"/>
      <c r="PY275" s="302"/>
      <c r="PZ275" s="302"/>
      <c r="QA275" s="302"/>
      <c r="QB275" s="302"/>
      <c r="QC275" s="302"/>
      <c r="QD275" s="302"/>
      <c r="QE275" s="302"/>
      <c r="QF275" s="302"/>
      <c r="QG275" s="302"/>
      <c r="QH275" s="302"/>
      <c r="QI275" s="302"/>
      <c r="QJ275" s="302"/>
      <c r="QK275" s="302"/>
      <c r="QL275" s="302"/>
      <c r="QM275" s="302"/>
      <c r="QN275" s="302"/>
      <c r="QO275" s="302"/>
      <c r="QP275" s="302"/>
      <c r="QQ275" s="302"/>
      <c r="QR275" s="302"/>
      <c r="QS275" s="302"/>
      <c r="QT275" s="302"/>
      <c r="QU275" s="302"/>
      <c r="QV275" s="302"/>
      <c r="QW275" s="302"/>
      <c r="QX275" s="302"/>
      <c r="QY275" s="302"/>
      <c r="QZ275" s="302"/>
      <c r="RA275" s="302"/>
      <c r="RB275" s="302"/>
      <c r="RC275" s="302"/>
      <c r="RD275" s="302"/>
      <c r="RE275" s="302"/>
      <c r="RF275" s="302"/>
      <c r="RG275" s="302"/>
      <c r="RH275" s="302"/>
      <c r="RI275" s="302"/>
      <c r="RJ275" s="302"/>
      <c r="RK275" s="302"/>
      <c r="RL275" s="302"/>
      <c r="RM275" s="302"/>
      <c r="RN275" s="302"/>
      <c r="RO275" s="302"/>
      <c r="RP275" s="302"/>
      <c r="RQ275" s="302"/>
      <c r="RR275" s="302"/>
      <c r="RS275" s="302"/>
      <c r="RT275" s="302"/>
      <c r="RU275" s="302"/>
      <c r="RV275" s="302"/>
      <c r="RW275" s="302"/>
      <c r="RX275" s="302"/>
      <c r="RY275" s="302"/>
      <c r="RZ275" s="302"/>
      <c r="SA275" s="302"/>
      <c r="SB275" s="302"/>
      <c r="SC275" s="302"/>
      <c r="SD275" s="302"/>
      <c r="SE275" s="302"/>
      <c r="SF275" s="302"/>
      <c r="SG275" s="302"/>
      <c r="SH275" s="302"/>
      <c r="SI275" s="302"/>
      <c r="SJ275" s="302"/>
      <c r="SK275" s="302"/>
      <c r="SL275" s="302"/>
      <c r="SM275" s="302"/>
      <c r="SN275" s="302"/>
      <c r="SO275" s="302"/>
      <c r="SP275" s="302"/>
      <c r="SQ275" s="302"/>
      <c r="SR275" s="302"/>
      <c r="SS275" s="302"/>
      <c r="ST275" s="302"/>
      <c r="SU275" s="302"/>
      <c r="SV275" s="302"/>
      <c r="SW275" s="302"/>
      <c r="SX275" s="302"/>
      <c r="SY275" s="302"/>
      <c r="SZ275" s="302"/>
      <c r="TA275" s="302"/>
      <c r="TB275" s="302"/>
      <c r="TC275" s="302"/>
      <c r="TD275" s="302"/>
      <c r="TE275" s="302"/>
      <c r="TF275" s="302"/>
      <c r="TG275" s="302"/>
      <c r="TH275" s="302"/>
      <c r="TI275" s="302"/>
      <c r="TJ275" s="302"/>
      <c r="TK275" s="302"/>
      <c r="TL275" s="302"/>
      <c r="TM275" s="302"/>
      <c r="TN275" s="302"/>
      <c r="TO275" s="302"/>
      <c r="TP275" s="302"/>
      <c r="TQ275" s="302"/>
      <c r="TR275" s="302"/>
      <c r="TS275" s="302"/>
      <c r="TT275" s="302"/>
      <c r="TU275" s="302"/>
      <c r="TV275" s="302"/>
      <c r="TW275" s="302"/>
      <c r="TX275" s="302"/>
      <c r="TY275" s="302"/>
      <c r="TZ275" s="302"/>
      <c r="UA275" s="302"/>
      <c r="UB275" s="302"/>
      <c r="UC275" s="302"/>
      <c r="UD275" s="302"/>
      <c r="UE275" s="302"/>
      <c r="UF275" s="302"/>
      <c r="UG275" s="302"/>
      <c r="UH275" s="302"/>
      <c r="UI275" s="302"/>
      <c r="UJ275" s="302"/>
      <c r="UK275" s="302"/>
      <c r="UL275" s="302"/>
      <c r="UM275" s="302"/>
      <c r="UN275" s="302"/>
      <c r="UO275" s="302"/>
      <c r="UP275" s="302"/>
      <c r="UQ275" s="302"/>
      <c r="UR275" s="302"/>
      <c r="US275" s="302"/>
      <c r="UT275" s="302"/>
      <c r="UU275" s="302"/>
      <c r="UV275" s="302"/>
      <c r="UW275" s="302"/>
      <c r="UX275" s="302"/>
      <c r="UY275" s="302"/>
      <c r="UZ275" s="302"/>
      <c r="VA275" s="302"/>
      <c r="VB275" s="302"/>
      <c r="VC275" s="302"/>
      <c r="VD275" s="302"/>
      <c r="VE275" s="302"/>
      <c r="VF275" s="302"/>
      <c r="VG275" s="302"/>
      <c r="VH275" s="302"/>
      <c r="VI275" s="302"/>
      <c r="VJ275" s="302"/>
      <c r="VK275" s="302"/>
      <c r="VL275" s="302"/>
      <c r="VM275" s="302"/>
      <c r="VN275" s="302"/>
      <c r="VO275" s="302"/>
      <c r="VP275" s="302"/>
      <c r="VQ275" s="302"/>
      <c r="VR275" s="302"/>
      <c r="VS275" s="302"/>
      <c r="VT275" s="302"/>
      <c r="VU275" s="302"/>
      <c r="VV275" s="302"/>
      <c r="VW275" s="302"/>
      <c r="VX275" s="302"/>
      <c r="VY275" s="302"/>
      <c r="VZ275" s="302"/>
      <c r="WA275" s="302"/>
      <c r="WB275" s="302"/>
      <c r="WC275" s="302"/>
      <c r="WD275" s="302"/>
      <c r="WE275" s="302"/>
      <c r="WF275" s="302"/>
      <c r="WG275" s="302"/>
      <c r="WH275" s="302"/>
      <c r="WI275" s="302"/>
      <c r="WJ275" s="302"/>
      <c r="WK275" s="302"/>
      <c r="WL275" s="302"/>
      <c r="WM275" s="302"/>
      <c r="WN275" s="302"/>
      <c r="WO275" s="302"/>
      <c r="WP275" s="302"/>
      <c r="WQ275" s="302"/>
      <c r="WR275" s="302"/>
      <c r="WS275" s="302"/>
      <c r="WT275" s="302"/>
      <c r="WU275" s="302"/>
      <c r="WV275" s="302"/>
      <c r="WW275" s="302"/>
      <c r="WX275" s="302"/>
      <c r="WY275" s="302"/>
      <c r="WZ275" s="302"/>
      <c r="XA275" s="302"/>
      <c r="XB275" s="302"/>
      <c r="XC275" s="302"/>
      <c r="XD275" s="302"/>
      <c r="XE275" s="302"/>
      <c r="XF275" s="302"/>
      <c r="XG275" s="302"/>
      <c r="XH275" s="302"/>
      <c r="XI275" s="302"/>
      <c r="XJ275" s="302"/>
      <c r="XK275" s="302"/>
      <c r="XL275" s="302"/>
      <c r="XM275" s="302"/>
      <c r="XN275" s="302"/>
      <c r="XO275" s="302"/>
      <c r="XP275" s="302"/>
      <c r="XQ275" s="302"/>
      <c r="XR275" s="302"/>
      <c r="XS275" s="302"/>
      <c r="XT275" s="302"/>
      <c r="XU275" s="302"/>
      <c r="XV275" s="302"/>
      <c r="XW275" s="302"/>
      <c r="XX275" s="302"/>
      <c r="XY275" s="302"/>
      <c r="XZ275" s="302"/>
      <c r="YA275" s="302"/>
      <c r="YB275" s="302"/>
      <c r="YC275" s="302"/>
      <c r="YD275" s="302"/>
      <c r="YE275" s="302"/>
      <c r="YF275" s="302"/>
      <c r="YG275" s="302"/>
      <c r="YH275" s="302"/>
      <c r="YI275" s="302"/>
      <c r="YJ275" s="302"/>
      <c r="YK275" s="302"/>
      <c r="YL275" s="302"/>
      <c r="YM275" s="302"/>
      <c r="YN275" s="302"/>
      <c r="YO275" s="302"/>
      <c r="YP275" s="302"/>
      <c r="YQ275" s="302"/>
      <c r="YR275" s="302"/>
      <c r="YS275" s="302"/>
      <c r="YT275" s="302"/>
      <c r="YU275" s="302"/>
      <c r="YV275" s="302"/>
      <c r="YW275" s="302"/>
      <c r="YX275" s="302"/>
      <c r="YY275" s="302"/>
      <c r="YZ275" s="302"/>
      <c r="ZA275" s="302"/>
      <c r="ZB275" s="302"/>
      <c r="ZC275" s="302"/>
      <c r="ZD275" s="302"/>
      <c r="ZE275" s="302"/>
      <c r="ZF275" s="302"/>
      <c r="ZG275" s="302"/>
      <c r="ZH275" s="302"/>
      <c r="ZI275" s="302"/>
      <c r="ZJ275" s="302"/>
      <c r="ZK275" s="302"/>
      <c r="ZL275" s="302"/>
      <c r="ZM275" s="302"/>
      <c r="ZN275" s="302"/>
      <c r="ZO275" s="302"/>
      <c r="ZP275" s="302"/>
      <c r="ZQ275" s="302"/>
      <c r="ZR275" s="302"/>
      <c r="ZS275" s="302"/>
      <c r="ZT275" s="302"/>
      <c r="ZU275" s="302"/>
      <c r="ZV275" s="302"/>
      <c r="ZW275" s="302"/>
      <c r="ZX275" s="302"/>
      <c r="ZY275" s="302"/>
      <c r="ZZ275" s="302"/>
      <c r="AAA275" s="302"/>
      <c r="AAB275" s="302"/>
      <c r="AAC275" s="302"/>
      <c r="AAD275" s="302"/>
      <c r="AAE275" s="302"/>
      <c r="AAF275" s="302"/>
      <c r="AAG275" s="302"/>
      <c r="AAH275" s="302"/>
      <c r="AAI275" s="302"/>
      <c r="AAJ275" s="302"/>
      <c r="AAK275" s="302"/>
      <c r="AAL275" s="302"/>
      <c r="AAM275" s="302"/>
      <c r="AAN275" s="302"/>
      <c r="AAO275" s="302"/>
      <c r="AAP275" s="302"/>
      <c r="AAQ275" s="302"/>
      <c r="AAR275" s="302"/>
      <c r="AAS275" s="302"/>
      <c r="AAT275" s="302"/>
      <c r="AAU275" s="302"/>
      <c r="AAV275" s="302"/>
      <c r="AAW275" s="302"/>
      <c r="AAX275" s="302"/>
      <c r="AAY275" s="302"/>
      <c r="AAZ275" s="302"/>
      <c r="ABA275" s="302"/>
      <c r="ABB275" s="302"/>
      <c r="ABC275" s="302"/>
      <c r="ABD275" s="302"/>
      <c r="ABE275" s="302"/>
      <c r="ABF275" s="302"/>
      <c r="ABG275" s="302"/>
      <c r="ABH275" s="302"/>
      <c r="ABI275" s="302"/>
      <c r="ABJ275" s="302"/>
      <c r="ABK275" s="302"/>
      <c r="ABL275" s="302"/>
      <c r="ABM275" s="302"/>
      <c r="ABN275" s="302"/>
      <c r="ABO275" s="302"/>
      <c r="ABP275" s="302"/>
      <c r="ABQ275" s="302"/>
      <c r="ABR275" s="302"/>
      <c r="ABS275" s="302"/>
      <c r="ABT275" s="302"/>
      <c r="ABU275" s="302"/>
      <c r="ABV275" s="302"/>
      <c r="ABW275" s="302"/>
      <c r="ABX275" s="302"/>
      <c r="ABY275" s="302"/>
      <c r="ABZ275" s="302"/>
      <c r="ACA275" s="302"/>
      <c r="ACB275" s="302"/>
      <c r="ACC275" s="302"/>
      <c r="ACD275" s="302"/>
      <c r="ACE275" s="302"/>
      <c r="ACF275" s="302"/>
      <c r="ACG275" s="302"/>
      <c r="ACH275" s="302"/>
      <c r="ACI275" s="302"/>
      <c r="ACJ275" s="302"/>
      <c r="ACK275" s="302"/>
      <c r="ACL275" s="302"/>
      <c r="ACM275" s="302"/>
      <c r="ACN275" s="302"/>
      <c r="ACO275" s="302"/>
      <c r="ACP275" s="302"/>
      <c r="ACQ275" s="302"/>
      <c r="ACR275" s="302"/>
      <c r="ACS275" s="302"/>
      <c r="ACT275" s="302"/>
      <c r="ACU275" s="302"/>
      <c r="ACV275" s="302"/>
      <c r="ACW275" s="302"/>
      <c r="ACX275" s="302"/>
      <c r="ACY275" s="302"/>
      <c r="ACZ275" s="302"/>
      <c r="ADA275" s="302"/>
      <c r="ADB275" s="302"/>
      <c r="ADC275" s="302"/>
      <c r="ADD275" s="302"/>
      <c r="ADE275" s="302"/>
      <c r="ADF275" s="302"/>
      <c r="ADG275" s="302"/>
      <c r="ADH275" s="302"/>
      <c r="ADI275" s="302"/>
      <c r="ADJ275" s="302"/>
      <c r="ADK275" s="302"/>
      <c r="ADL275" s="302"/>
      <c r="ADM275" s="302"/>
      <c r="ADN275" s="302"/>
      <c r="ADO275" s="302"/>
      <c r="ADP275" s="302"/>
      <c r="ADQ275" s="302"/>
      <c r="ADR275" s="302"/>
      <c r="ADS275" s="302"/>
      <c r="ADT275" s="302"/>
      <c r="ADU275" s="302"/>
      <c r="ADV275" s="302"/>
      <c r="ADW275" s="302"/>
      <c r="ADX275" s="302"/>
      <c r="ADY275" s="302"/>
      <c r="ADZ275" s="302"/>
      <c r="AEA275" s="302"/>
      <c r="AEB275" s="302"/>
      <c r="AEC275" s="302"/>
      <c r="AED275" s="302"/>
      <c r="AEE275" s="302"/>
      <c r="AEF275" s="302"/>
      <c r="AEG275" s="302"/>
      <c r="AEH275" s="302"/>
      <c r="AEI275" s="302"/>
      <c r="AEJ275" s="302"/>
      <c r="AEK275" s="302"/>
      <c r="AEL275" s="302"/>
      <c r="AEM275" s="302"/>
      <c r="AEN275" s="302"/>
      <c r="AEO275" s="302"/>
      <c r="AEP275" s="302"/>
      <c r="AEQ275" s="302"/>
      <c r="AER275" s="302"/>
      <c r="AES275" s="302"/>
      <c r="AET275" s="302"/>
      <c r="AEU275" s="302"/>
      <c r="AEV275" s="302"/>
      <c r="AEW275" s="302"/>
      <c r="AEX275" s="302"/>
      <c r="AEY275" s="302"/>
      <c r="AEZ275" s="302"/>
      <c r="AFA275" s="302"/>
      <c r="AFB275" s="302"/>
      <c r="AFC275" s="302"/>
      <c r="AFD275" s="302"/>
      <c r="AFE275" s="302"/>
      <c r="AFF275" s="302"/>
      <c r="AFG275" s="302"/>
      <c r="AFH275" s="302"/>
      <c r="AFI275" s="302"/>
      <c r="AFJ275" s="302"/>
      <c r="AFK275" s="302"/>
      <c r="AFL275" s="302"/>
      <c r="AFM275" s="302"/>
      <c r="AFN275" s="302"/>
      <c r="AFO275" s="302"/>
      <c r="AFP275" s="302"/>
      <c r="AFQ275" s="302"/>
      <c r="AFR275" s="302"/>
      <c r="AFS275" s="302"/>
      <c r="AFT275" s="302"/>
      <c r="AFU275" s="302"/>
      <c r="AFV275" s="302"/>
      <c r="AFW275" s="302"/>
      <c r="AFX275" s="302"/>
      <c r="AFY275" s="302"/>
      <c r="AFZ275" s="302"/>
      <c r="AGA275" s="302"/>
      <c r="AGB275" s="302"/>
      <c r="AGC275" s="302"/>
      <c r="AGD275" s="302"/>
      <c r="AGE275" s="302"/>
      <c r="AGF275" s="302"/>
      <c r="AGG275" s="302"/>
      <c r="AGH275" s="302"/>
      <c r="AGI275" s="302"/>
      <c r="AGJ275" s="302"/>
      <c r="AGK275" s="302"/>
      <c r="AGL275" s="302"/>
      <c r="AGM275" s="302"/>
      <c r="AGN275" s="302"/>
      <c r="AGO275" s="302"/>
      <c r="AGP275" s="302"/>
      <c r="AGQ275" s="302"/>
      <c r="AGR275" s="302"/>
      <c r="AGS275" s="302"/>
      <c r="AGT275" s="302"/>
      <c r="AGU275" s="302"/>
      <c r="AGV275" s="302"/>
      <c r="AGW275" s="302"/>
      <c r="AGX275" s="302"/>
      <c r="AGY275" s="302"/>
      <c r="AGZ275" s="302"/>
      <c r="AHA275" s="302"/>
      <c r="AHB275" s="302"/>
      <c r="AHC275" s="302"/>
      <c r="AHD275" s="302"/>
      <c r="AHE275" s="302"/>
      <c r="AHF275" s="302"/>
      <c r="AHG275" s="302"/>
      <c r="AHH275" s="302"/>
      <c r="AHI275" s="302"/>
      <c r="AHJ275" s="302"/>
      <c r="AHK275" s="302"/>
      <c r="AHL275" s="302"/>
      <c r="AHM275" s="302"/>
      <c r="AHN275" s="302"/>
      <c r="AHO275" s="302"/>
      <c r="AHP275" s="302"/>
      <c r="AHQ275" s="302"/>
      <c r="AHR275" s="302"/>
      <c r="AHS275" s="302"/>
      <c r="AHT275" s="302"/>
      <c r="AHU275" s="302"/>
      <c r="AHV275" s="302"/>
      <c r="AHW275" s="302"/>
      <c r="AHX275" s="302"/>
      <c r="AHY275" s="302"/>
      <c r="AHZ275" s="302"/>
      <c r="AIA275" s="302"/>
      <c r="AIB275" s="302"/>
      <c r="AIC275" s="302"/>
      <c r="AID275" s="302"/>
      <c r="AIE275" s="302"/>
      <c r="AIF275" s="302"/>
      <c r="AIG275" s="302"/>
      <c r="AIH275" s="302"/>
      <c r="AII275" s="302"/>
      <c r="AIJ275" s="302"/>
      <c r="AIK275" s="302"/>
      <c r="AIL275" s="302"/>
      <c r="AIM275" s="302"/>
      <c r="AIN275" s="302"/>
      <c r="AIO275" s="302"/>
      <c r="AIP275" s="302"/>
      <c r="AIQ275" s="302"/>
      <c r="AIR275" s="302"/>
      <c r="AIS275" s="302"/>
      <c r="AIT275" s="302"/>
      <c r="AIU275" s="302"/>
      <c r="AIV275" s="302"/>
      <c r="AIW275" s="302"/>
      <c r="AIX275" s="302"/>
      <c r="AIY275" s="302"/>
      <c r="AIZ275" s="302"/>
      <c r="AJA275" s="302"/>
      <c r="AJB275" s="302"/>
      <c r="AJC275" s="302"/>
      <c r="AJD275" s="302"/>
      <c r="AJE275" s="302"/>
      <c r="AJF275" s="302"/>
      <c r="AJG275" s="302"/>
      <c r="AJH275" s="302"/>
      <c r="AJI275" s="302"/>
      <c r="AJJ275" s="302"/>
      <c r="AJK275" s="302"/>
      <c r="AJL275" s="302"/>
      <c r="AJM275" s="302"/>
      <c r="AJN275" s="302"/>
      <c r="AJO275" s="302"/>
      <c r="AJP275" s="302"/>
      <c r="AJQ275" s="302"/>
      <c r="AJR275" s="302"/>
      <c r="AJS275" s="302"/>
      <c r="AJT275" s="302"/>
      <c r="AJU275" s="302"/>
      <c r="AJV275" s="302"/>
      <c r="AJW275" s="302"/>
      <c r="AJX275" s="302"/>
      <c r="AJY275" s="302"/>
      <c r="AJZ275" s="302"/>
      <c r="AKA275" s="302"/>
      <c r="AKB275" s="302"/>
      <c r="AKC275" s="302"/>
      <c r="AKD275" s="302"/>
      <c r="AKE275" s="302"/>
      <c r="AKF275" s="302"/>
      <c r="AKG275" s="302"/>
      <c r="AKH275" s="302"/>
      <c r="AKI275" s="302"/>
      <c r="AKJ275" s="302"/>
      <c r="AKK275" s="302"/>
      <c r="AKL275" s="302"/>
      <c r="AKM275" s="302"/>
      <c r="AKN275" s="302"/>
      <c r="AKO275" s="302"/>
      <c r="AKP275" s="302"/>
      <c r="AKQ275" s="302"/>
      <c r="AKR275" s="302"/>
      <c r="AKS275" s="302"/>
      <c r="AKT275" s="302"/>
      <c r="AKU275" s="302"/>
      <c r="AKV275" s="302"/>
      <c r="AKW275" s="302"/>
      <c r="AKX275" s="302"/>
      <c r="AKY275" s="302"/>
      <c r="AKZ275" s="302"/>
      <c r="ALA275" s="302"/>
      <c r="ALB275" s="302"/>
      <c r="ALC275" s="302"/>
      <c r="ALD275" s="302"/>
      <c r="ALE275" s="302"/>
      <c r="ALF275" s="302"/>
      <c r="ALG275" s="302"/>
      <c r="ALH275" s="302"/>
      <c r="ALI275" s="302"/>
      <c r="ALJ275" s="302"/>
      <c r="ALK275" s="302"/>
      <c r="ALL275" s="302"/>
      <c r="ALM275" s="302"/>
      <c r="ALN275" s="302"/>
      <c r="ALO275" s="302"/>
      <c r="ALP275" s="302"/>
      <c r="ALQ275" s="302"/>
      <c r="ALR275" s="302"/>
      <c r="ALS275" s="302"/>
      <c r="ALT275" s="302"/>
      <c r="ALU275" s="302"/>
      <c r="ALV275" s="302"/>
      <c r="ALW275" s="302"/>
      <c r="ALX275" s="302"/>
      <c r="ALY275" s="302"/>
      <c r="ALZ275" s="302"/>
      <c r="AMA275" s="302"/>
      <c r="AMB275" s="302"/>
      <c r="AMC275" s="302"/>
      <c r="AMD275" s="302"/>
      <c r="AME275" s="302"/>
      <c r="AMF275" s="302"/>
      <c r="AMG275" s="302"/>
      <c r="AMH275" s="302"/>
      <c r="AMI275" s="302"/>
    </row>
    <row r="276" spans="1:1023" hidden="1">
      <c r="A276" s="302"/>
      <c r="B276" s="442">
        <v>14219</v>
      </c>
      <c r="C276" s="430">
        <v>0.08</v>
      </c>
      <c r="D276" s="370" t="s">
        <v>187</v>
      </c>
      <c r="E276" s="433">
        <v>3700000</v>
      </c>
      <c r="F276" s="500">
        <v>0.02</v>
      </c>
      <c r="G276" s="364">
        <f t="shared" si="15"/>
        <v>74000</v>
      </c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  <c r="AD276" s="302"/>
      <c r="AE276" s="302"/>
      <c r="AF276" s="302"/>
      <c r="AG276" s="302"/>
      <c r="AH276" s="302"/>
      <c r="AI276" s="302"/>
      <c r="AJ276" s="302"/>
      <c r="AK276" s="302"/>
      <c r="AL276" s="302"/>
      <c r="AM276" s="302"/>
      <c r="AN276" s="302"/>
      <c r="AO276" s="302"/>
      <c r="AP276" s="302"/>
      <c r="AQ276" s="302"/>
      <c r="AR276" s="302"/>
      <c r="AS276" s="302"/>
      <c r="AT276" s="302"/>
      <c r="AU276" s="302"/>
      <c r="AV276" s="302"/>
      <c r="AW276" s="302"/>
      <c r="AX276" s="302"/>
      <c r="AY276" s="302"/>
      <c r="AZ276" s="302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K276" s="302"/>
      <c r="BL276" s="302"/>
      <c r="BM276" s="302"/>
      <c r="BN276" s="302"/>
      <c r="BO276" s="302"/>
      <c r="BP276" s="302"/>
      <c r="BQ276" s="302"/>
      <c r="BR276" s="302"/>
      <c r="BS276" s="302"/>
      <c r="BT276" s="302"/>
      <c r="BU276" s="302"/>
      <c r="BV276" s="302"/>
      <c r="BW276" s="302"/>
      <c r="BX276" s="302"/>
      <c r="BY276" s="302"/>
      <c r="BZ276" s="302"/>
      <c r="CA276" s="302"/>
      <c r="CB276" s="302"/>
      <c r="CC276" s="302"/>
      <c r="CD276" s="302"/>
      <c r="CE276" s="302"/>
      <c r="CF276" s="302"/>
      <c r="CG276" s="302"/>
      <c r="CH276" s="302"/>
      <c r="CI276" s="302"/>
      <c r="CJ276" s="302"/>
      <c r="CK276" s="302"/>
      <c r="CL276" s="302"/>
      <c r="CM276" s="302"/>
      <c r="CN276" s="302"/>
      <c r="CO276" s="302"/>
      <c r="CP276" s="302"/>
      <c r="CQ276" s="302"/>
      <c r="CR276" s="302"/>
      <c r="CS276" s="302"/>
      <c r="CT276" s="302"/>
      <c r="CU276" s="302"/>
      <c r="CV276" s="302"/>
      <c r="CW276" s="302"/>
      <c r="CX276" s="302"/>
      <c r="CY276" s="302"/>
      <c r="CZ276" s="302"/>
      <c r="DA276" s="302"/>
      <c r="DB276" s="302"/>
      <c r="DC276" s="302"/>
      <c r="DD276" s="302"/>
      <c r="DE276" s="302"/>
      <c r="DF276" s="302"/>
      <c r="DG276" s="302"/>
      <c r="DH276" s="302"/>
      <c r="DI276" s="302"/>
      <c r="DJ276" s="302"/>
      <c r="DK276" s="302"/>
      <c r="DL276" s="302"/>
      <c r="DM276" s="302"/>
      <c r="DN276" s="302"/>
      <c r="DO276" s="302"/>
      <c r="DP276" s="302"/>
      <c r="DQ276" s="302"/>
      <c r="DR276" s="302"/>
      <c r="DS276" s="302"/>
      <c r="DT276" s="302"/>
      <c r="DU276" s="302"/>
      <c r="DV276" s="302"/>
      <c r="DW276" s="302"/>
      <c r="DX276" s="302"/>
      <c r="DY276" s="302"/>
      <c r="DZ276" s="302"/>
      <c r="EA276" s="302"/>
      <c r="EB276" s="302"/>
      <c r="EC276" s="302"/>
      <c r="ED276" s="302"/>
      <c r="EE276" s="302"/>
      <c r="EF276" s="302"/>
      <c r="EG276" s="302"/>
      <c r="EH276" s="302"/>
      <c r="EI276" s="302"/>
      <c r="EJ276" s="302"/>
      <c r="EK276" s="302"/>
      <c r="EL276" s="302"/>
      <c r="EM276" s="302"/>
      <c r="EN276" s="302"/>
      <c r="EO276" s="302"/>
      <c r="EP276" s="302"/>
      <c r="EQ276" s="302"/>
      <c r="ER276" s="302"/>
      <c r="ES276" s="302"/>
      <c r="ET276" s="302"/>
      <c r="EU276" s="302"/>
      <c r="EV276" s="302"/>
      <c r="EW276" s="302"/>
      <c r="EX276" s="302"/>
      <c r="EY276" s="302"/>
      <c r="EZ276" s="302"/>
      <c r="FA276" s="302"/>
      <c r="FB276" s="302"/>
      <c r="FC276" s="302"/>
      <c r="FD276" s="302"/>
      <c r="FE276" s="302"/>
      <c r="FF276" s="302"/>
      <c r="FG276" s="302"/>
      <c r="FH276" s="302"/>
      <c r="FI276" s="302"/>
      <c r="FJ276" s="302"/>
      <c r="FK276" s="302"/>
      <c r="FL276" s="302"/>
      <c r="FM276" s="302"/>
      <c r="FN276" s="302"/>
      <c r="FO276" s="302"/>
      <c r="FP276" s="302"/>
      <c r="FQ276" s="302"/>
      <c r="FR276" s="302"/>
      <c r="FS276" s="302"/>
      <c r="FT276" s="302"/>
      <c r="FU276" s="302"/>
      <c r="FV276" s="302"/>
      <c r="FW276" s="302"/>
      <c r="FX276" s="302"/>
      <c r="FY276" s="302"/>
      <c r="FZ276" s="302"/>
      <c r="GA276" s="302"/>
      <c r="GB276" s="302"/>
      <c r="GC276" s="302"/>
      <c r="GD276" s="302"/>
      <c r="GE276" s="302"/>
      <c r="GF276" s="302"/>
      <c r="GG276" s="302"/>
      <c r="GH276" s="302"/>
      <c r="GI276" s="302"/>
      <c r="GJ276" s="302"/>
      <c r="GK276" s="302"/>
      <c r="GL276" s="302"/>
      <c r="GM276" s="302"/>
      <c r="GN276" s="302"/>
      <c r="GO276" s="302"/>
      <c r="GP276" s="302"/>
      <c r="GQ276" s="302"/>
      <c r="GR276" s="302"/>
      <c r="GS276" s="302"/>
      <c r="GT276" s="302"/>
      <c r="GU276" s="302"/>
      <c r="GV276" s="302"/>
      <c r="GW276" s="302"/>
      <c r="GX276" s="302"/>
      <c r="GY276" s="302"/>
      <c r="GZ276" s="302"/>
      <c r="HA276" s="302"/>
      <c r="HB276" s="302"/>
      <c r="HC276" s="302"/>
      <c r="HD276" s="302"/>
      <c r="HE276" s="302"/>
      <c r="HF276" s="302"/>
      <c r="HG276" s="302"/>
      <c r="HH276" s="302"/>
      <c r="HI276" s="302"/>
      <c r="HJ276" s="302"/>
      <c r="HK276" s="302"/>
      <c r="HL276" s="302"/>
      <c r="HM276" s="302"/>
      <c r="HN276" s="302"/>
      <c r="HO276" s="302"/>
      <c r="HP276" s="302"/>
      <c r="HQ276" s="302"/>
      <c r="HR276" s="302"/>
      <c r="HS276" s="302"/>
      <c r="HT276" s="302"/>
      <c r="HU276" s="302"/>
      <c r="HV276" s="302"/>
      <c r="HW276" s="302"/>
      <c r="HX276" s="302"/>
      <c r="HY276" s="302"/>
      <c r="HZ276" s="302"/>
      <c r="IA276" s="302"/>
      <c r="IB276" s="302"/>
      <c r="IC276" s="302"/>
      <c r="ID276" s="302"/>
      <c r="IE276" s="302"/>
      <c r="IF276" s="302"/>
      <c r="IG276" s="302"/>
      <c r="IH276" s="302"/>
      <c r="II276" s="302"/>
      <c r="IJ276" s="302"/>
      <c r="IK276" s="302"/>
      <c r="IL276" s="302"/>
      <c r="IM276" s="302"/>
      <c r="IN276" s="302"/>
      <c r="IO276" s="302"/>
      <c r="IP276" s="302"/>
      <c r="IQ276" s="302"/>
      <c r="IR276" s="302"/>
      <c r="IS276" s="302"/>
      <c r="IT276" s="302"/>
      <c r="IU276" s="302"/>
      <c r="IV276" s="302"/>
      <c r="IW276" s="302"/>
      <c r="IX276" s="302"/>
      <c r="IY276" s="302"/>
      <c r="IZ276" s="302"/>
      <c r="JA276" s="302"/>
      <c r="JB276" s="302"/>
      <c r="JC276" s="302"/>
      <c r="JD276" s="302"/>
      <c r="JE276" s="302"/>
      <c r="JF276" s="302"/>
      <c r="JG276" s="302"/>
      <c r="JH276" s="302"/>
      <c r="JI276" s="302"/>
      <c r="JJ276" s="302"/>
      <c r="JK276" s="302"/>
      <c r="JL276" s="302"/>
      <c r="JM276" s="302"/>
      <c r="JN276" s="302"/>
      <c r="JO276" s="302"/>
      <c r="JP276" s="302"/>
      <c r="JQ276" s="302"/>
      <c r="JR276" s="302"/>
      <c r="JS276" s="302"/>
      <c r="JT276" s="302"/>
      <c r="JU276" s="302"/>
      <c r="JV276" s="302"/>
      <c r="JW276" s="302"/>
      <c r="JX276" s="302"/>
      <c r="JY276" s="302"/>
      <c r="JZ276" s="302"/>
      <c r="KA276" s="302"/>
      <c r="KB276" s="302"/>
      <c r="KC276" s="302"/>
      <c r="KD276" s="302"/>
      <c r="KE276" s="302"/>
      <c r="KF276" s="302"/>
      <c r="KG276" s="302"/>
      <c r="KH276" s="302"/>
      <c r="KI276" s="302"/>
      <c r="KJ276" s="302"/>
      <c r="KK276" s="302"/>
      <c r="KL276" s="302"/>
      <c r="KM276" s="302"/>
      <c r="KN276" s="302"/>
      <c r="KO276" s="302"/>
      <c r="KP276" s="302"/>
      <c r="KQ276" s="302"/>
      <c r="KR276" s="302"/>
      <c r="KS276" s="302"/>
      <c r="KT276" s="302"/>
      <c r="KU276" s="302"/>
      <c r="KV276" s="302"/>
      <c r="KW276" s="302"/>
      <c r="KX276" s="302"/>
      <c r="KY276" s="302"/>
      <c r="KZ276" s="302"/>
      <c r="LA276" s="302"/>
      <c r="LB276" s="302"/>
      <c r="LC276" s="302"/>
      <c r="LD276" s="302"/>
      <c r="LE276" s="302"/>
      <c r="LF276" s="302"/>
      <c r="LG276" s="302"/>
      <c r="LH276" s="302"/>
      <c r="LI276" s="302"/>
      <c r="LJ276" s="302"/>
      <c r="LK276" s="302"/>
      <c r="LL276" s="302"/>
      <c r="LM276" s="302"/>
      <c r="LN276" s="302"/>
      <c r="LO276" s="302"/>
      <c r="LP276" s="302"/>
      <c r="LQ276" s="302"/>
      <c r="LR276" s="302"/>
      <c r="LS276" s="302"/>
      <c r="LT276" s="302"/>
      <c r="LU276" s="302"/>
      <c r="LV276" s="302"/>
      <c r="LW276" s="302"/>
      <c r="LX276" s="302"/>
      <c r="LY276" s="302"/>
      <c r="LZ276" s="302"/>
      <c r="MA276" s="302"/>
      <c r="MB276" s="302"/>
      <c r="MC276" s="302"/>
      <c r="MD276" s="302"/>
      <c r="ME276" s="302"/>
      <c r="MF276" s="302"/>
      <c r="MG276" s="302"/>
      <c r="MH276" s="302"/>
      <c r="MI276" s="302"/>
      <c r="MJ276" s="302"/>
      <c r="MK276" s="302"/>
      <c r="ML276" s="302"/>
      <c r="MM276" s="302"/>
      <c r="MN276" s="302"/>
      <c r="MO276" s="302"/>
      <c r="MP276" s="302"/>
      <c r="MQ276" s="302"/>
      <c r="MR276" s="302"/>
      <c r="MS276" s="302"/>
      <c r="MT276" s="302"/>
      <c r="MU276" s="302"/>
      <c r="MV276" s="302"/>
      <c r="MW276" s="302"/>
      <c r="MX276" s="302"/>
      <c r="MY276" s="302"/>
      <c r="MZ276" s="302"/>
      <c r="NA276" s="302"/>
      <c r="NB276" s="302"/>
      <c r="NC276" s="302"/>
      <c r="ND276" s="302"/>
      <c r="NE276" s="302"/>
      <c r="NF276" s="302"/>
      <c r="NG276" s="302"/>
      <c r="NH276" s="302"/>
      <c r="NI276" s="302"/>
      <c r="NJ276" s="302"/>
      <c r="NK276" s="302"/>
      <c r="NL276" s="302"/>
      <c r="NM276" s="302"/>
      <c r="NN276" s="302"/>
      <c r="NO276" s="302"/>
      <c r="NP276" s="302"/>
      <c r="NQ276" s="302"/>
      <c r="NR276" s="302"/>
      <c r="NS276" s="302"/>
      <c r="NT276" s="302"/>
      <c r="NU276" s="302"/>
      <c r="NV276" s="302"/>
      <c r="NW276" s="302"/>
      <c r="NX276" s="302"/>
      <c r="NY276" s="302"/>
      <c r="NZ276" s="302"/>
      <c r="OA276" s="302"/>
      <c r="OB276" s="302"/>
      <c r="OC276" s="302"/>
      <c r="OD276" s="302"/>
      <c r="OE276" s="302"/>
      <c r="OF276" s="302"/>
      <c r="OG276" s="302"/>
      <c r="OH276" s="302"/>
      <c r="OI276" s="302"/>
      <c r="OJ276" s="302"/>
      <c r="OK276" s="302"/>
      <c r="OL276" s="302"/>
      <c r="OM276" s="302"/>
      <c r="ON276" s="302"/>
      <c r="OO276" s="302"/>
      <c r="OP276" s="302"/>
      <c r="OQ276" s="302"/>
      <c r="OR276" s="302"/>
      <c r="OS276" s="302"/>
      <c r="OT276" s="302"/>
      <c r="OU276" s="302"/>
      <c r="OV276" s="302"/>
      <c r="OW276" s="302"/>
      <c r="OX276" s="302"/>
      <c r="OY276" s="302"/>
      <c r="OZ276" s="302"/>
      <c r="PA276" s="302"/>
      <c r="PB276" s="302"/>
      <c r="PC276" s="302"/>
      <c r="PD276" s="302"/>
      <c r="PE276" s="302"/>
      <c r="PF276" s="302"/>
      <c r="PG276" s="302"/>
      <c r="PH276" s="302"/>
      <c r="PI276" s="302"/>
      <c r="PJ276" s="302"/>
      <c r="PK276" s="302"/>
      <c r="PL276" s="302"/>
      <c r="PM276" s="302"/>
      <c r="PN276" s="302"/>
      <c r="PO276" s="302"/>
      <c r="PP276" s="302"/>
      <c r="PQ276" s="302"/>
      <c r="PR276" s="302"/>
      <c r="PS276" s="302"/>
      <c r="PT276" s="302"/>
      <c r="PU276" s="302"/>
      <c r="PV276" s="302"/>
      <c r="PW276" s="302"/>
      <c r="PX276" s="302"/>
      <c r="PY276" s="302"/>
      <c r="PZ276" s="302"/>
      <c r="QA276" s="302"/>
      <c r="QB276" s="302"/>
      <c r="QC276" s="302"/>
      <c r="QD276" s="302"/>
      <c r="QE276" s="302"/>
      <c r="QF276" s="302"/>
      <c r="QG276" s="302"/>
      <c r="QH276" s="302"/>
      <c r="QI276" s="302"/>
      <c r="QJ276" s="302"/>
      <c r="QK276" s="302"/>
      <c r="QL276" s="302"/>
      <c r="QM276" s="302"/>
      <c r="QN276" s="302"/>
      <c r="QO276" s="302"/>
      <c r="QP276" s="302"/>
      <c r="QQ276" s="302"/>
      <c r="QR276" s="302"/>
      <c r="QS276" s="302"/>
      <c r="QT276" s="302"/>
      <c r="QU276" s="302"/>
      <c r="QV276" s="302"/>
      <c r="QW276" s="302"/>
      <c r="QX276" s="302"/>
      <c r="QY276" s="302"/>
      <c r="QZ276" s="302"/>
      <c r="RA276" s="302"/>
      <c r="RB276" s="302"/>
      <c r="RC276" s="302"/>
      <c r="RD276" s="302"/>
      <c r="RE276" s="302"/>
      <c r="RF276" s="302"/>
      <c r="RG276" s="302"/>
      <c r="RH276" s="302"/>
      <c r="RI276" s="302"/>
      <c r="RJ276" s="302"/>
      <c r="RK276" s="302"/>
      <c r="RL276" s="302"/>
      <c r="RM276" s="302"/>
      <c r="RN276" s="302"/>
      <c r="RO276" s="302"/>
      <c r="RP276" s="302"/>
      <c r="RQ276" s="302"/>
      <c r="RR276" s="302"/>
      <c r="RS276" s="302"/>
      <c r="RT276" s="302"/>
      <c r="RU276" s="302"/>
      <c r="RV276" s="302"/>
      <c r="RW276" s="302"/>
      <c r="RX276" s="302"/>
      <c r="RY276" s="302"/>
      <c r="RZ276" s="302"/>
      <c r="SA276" s="302"/>
      <c r="SB276" s="302"/>
      <c r="SC276" s="302"/>
      <c r="SD276" s="302"/>
      <c r="SE276" s="302"/>
      <c r="SF276" s="302"/>
      <c r="SG276" s="302"/>
      <c r="SH276" s="302"/>
      <c r="SI276" s="302"/>
      <c r="SJ276" s="302"/>
      <c r="SK276" s="302"/>
      <c r="SL276" s="302"/>
      <c r="SM276" s="302"/>
      <c r="SN276" s="302"/>
      <c r="SO276" s="302"/>
      <c r="SP276" s="302"/>
      <c r="SQ276" s="302"/>
      <c r="SR276" s="302"/>
      <c r="SS276" s="302"/>
      <c r="ST276" s="302"/>
      <c r="SU276" s="302"/>
      <c r="SV276" s="302"/>
      <c r="SW276" s="302"/>
      <c r="SX276" s="302"/>
      <c r="SY276" s="302"/>
      <c r="SZ276" s="302"/>
      <c r="TA276" s="302"/>
      <c r="TB276" s="302"/>
      <c r="TC276" s="302"/>
      <c r="TD276" s="302"/>
      <c r="TE276" s="302"/>
      <c r="TF276" s="302"/>
      <c r="TG276" s="302"/>
      <c r="TH276" s="302"/>
      <c r="TI276" s="302"/>
      <c r="TJ276" s="302"/>
      <c r="TK276" s="302"/>
      <c r="TL276" s="302"/>
      <c r="TM276" s="302"/>
      <c r="TN276" s="302"/>
      <c r="TO276" s="302"/>
      <c r="TP276" s="302"/>
      <c r="TQ276" s="302"/>
      <c r="TR276" s="302"/>
      <c r="TS276" s="302"/>
      <c r="TT276" s="302"/>
      <c r="TU276" s="302"/>
      <c r="TV276" s="302"/>
      <c r="TW276" s="302"/>
      <c r="TX276" s="302"/>
      <c r="TY276" s="302"/>
      <c r="TZ276" s="302"/>
      <c r="UA276" s="302"/>
      <c r="UB276" s="302"/>
      <c r="UC276" s="302"/>
      <c r="UD276" s="302"/>
      <c r="UE276" s="302"/>
      <c r="UF276" s="302"/>
      <c r="UG276" s="302"/>
      <c r="UH276" s="302"/>
      <c r="UI276" s="302"/>
      <c r="UJ276" s="302"/>
      <c r="UK276" s="302"/>
      <c r="UL276" s="302"/>
      <c r="UM276" s="302"/>
      <c r="UN276" s="302"/>
      <c r="UO276" s="302"/>
      <c r="UP276" s="302"/>
      <c r="UQ276" s="302"/>
      <c r="UR276" s="302"/>
      <c r="US276" s="302"/>
      <c r="UT276" s="302"/>
      <c r="UU276" s="302"/>
      <c r="UV276" s="302"/>
      <c r="UW276" s="302"/>
      <c r="UX276" s="302"/>
      <c r="UY276" s="302"/>
      <c r="UZ276" s="302"/>
      <c r="VA276" s="302"/>
      <c r="VB276" s="302"/>
      <c r="VC276" s="302"/>
      <c r="VD276" s="302"/>
      <c r="VE276" s="302"/>
      <c r="VF276" s="302"/>
      <c r="VG276" s="302"/>
      <c r="VH276" s="302"/>
      <c r="VI276" s="302"/>
      <c r="VJ276" s="302"/>
      <c r="VK276" s="302"/>
      <c r="VL276" s="302"/>
      <c r="VM276" s="302"/>
      <c r="VN276" s="302"/>
      <c r="VO276" s="302"/>
      <c r="VP276" s="302"/>
      <c r="VQ276" s="302"/>
      <c r="VR276" s="302"/>
      <c r="VS276" s="302"/>
      <c r="VT276" s="302"/>
      <c r="VU276" s="302"/>
      <c r="VV276" s="302"/>
      <c r="VW276" s="302"/>
      <c r="VX276" s="302"/>
      <c r="VY276" s="302"/>
      <c r="VZ276" s="302"/>
      <c r="WA276" s="302"/>
      <c r="WB276" s="302"/>
      <c r="WC276" s="302"/>
      <c r="WD276" s="302"/>
      <c r="WE276" s="302"/>
      <c r="WF276" s="302"/>
      <c r="WG276" s="302"/>
      <c r="WH276" s="302"/>
      <c r="WI276" s="302"/>
      <c r="WJ276" s="302"/>
      <c r="WK276" s="302"/>
      <c r="WL276" s="302"/>
      <c r="WM276" s="302"/>
      <c r="WN276" s="302"/>
      <c r="WO276" s="302"/>
      <c r="WP276" s="302"/>
      <c r="WQ276" s="302"/>
      <c r="WR276" s="302"/>
      <c r="WS276" s="302"/>
      <c r="WT276" s="302"/>
      <c r="WU276" s="302"/>
      <c r="WV276" s="302"/>
      <c r="WW276" s="302"/>
      <c r="WX276" s="302"/>
      <c r="WY276" s="302"/>
      <c r="WZ276" s="302"/>
      <c r="XA276" s="302"/>
      <c r="XB276" s="302"/>
      <c r="XC276" s="302"/>
      <c r="XD276" s="302"/>
      <c r="XE276" s="302"/>
      <c r="XF276" s="302"/>
      <c r="XG276" s="302"/>
      <c r="XH276" s="302"/>
      <c r="XI276" s="302"/>
      <c r="XJ276" s="302"/>
      <c r="XK276" s="302"/>
      <c r="XL276" s="302"/>
      <c r="XM276" s="302"/>
      <c r="XN276" s="302"/>
      <c r="XO276" s="302"/>
      <c r="XP276" s="302"/>
      <c r="XQ276" s="302"/>
      <c r="XR276" s="302"/>
      <c r="XS276" s="302"/>
      <c r="XT276" s="302"/>
      <c r="XU276" s="302"/>
      <c r="XV276" s="302"/>
      <c r="XW276" s="302"/>
      <c r="XX276" s="302"/>
      <c r="XY276" s="302"/>
      <c r="XZ276" s="302"/>
      <c r="YA276" s="302"/>
      <c r="YB276" s="302"/>
      <c r="YC276" s="302"/>
      <c r="YD276" s="302"/>
      <c r="YE276" s="302"/>
      <c r="YF276" s="302"/>
      <c r="YG276" s="302"/>
      <c r="YH276" s="302"/>
      <c r="YI276" s="302"/>
      <c r="YJ276" s="302"/>
      <c r="YK276" s="302"/>
      <c r="YL276" s="302"/>
      <c r="YM276" s="302"/>
      <c r="YN276" s="302"/>
      <c r="YO276" s="302"/>
      <c r="YP276" s="302"/>
      <c r="YQ276" s="302"/>
      <c r="YR276" s="302"/>
      <c r="YS276" s="302"/>
      <c r="YT276" s="302"/>
      <c r="YU276" s="302"/>
      <c r="YV276" s="302"/>
      <c r="YW276" s="302"/>
      <c r="YX276" s="302"/>
      <c r="YY276" s="302"/>
      <c r="YZ276" s="302"/>
      <c r="ZA276" s="302"/>
      <c r="ZB276" s="302"/>
      <c r="ZC276" s="302"/>
      <c r="ZD276" s="302"/>
      <c r="ZE276" s="302"/>
      <c r="ZF276" s="302"/>
      <c r="ZG276" s="302"/>
      <c r="ZH276" s="302"/>
      <c r="ZI276" s="302"/>
      <c r="ZJ276" s="302"/>
      <c r="ZK276" s="302"/>
      <c r="ZL276" s="302"/>
      <c r="ZM276" s="302"/>
      <c r="ZN276" s="302"/>
      <c r="ZO276" s="302"/>
      <c r="ZP276" s="302"/>
      <c r="ZQ276" s="302"/>
      <c r="ZR276" s="302"/>
      <c r="ZS276" s="302"/>
      <c r="ZT276" s="302"/>
      <c r="ZU276" s="302"/>
      <c r="ZV276" s="302"/>
      <c r="ZW276" s="302"/>
      <c r="ZX276" s="302"/>
      <c r="ZY276" s="302"/>
      <c r="ZZ276" s="302"/>
      <c r="AAA276" s="302"/>
      <c r="AAB276" s="302"/>
      <c r="AAC276" s="302"/>
      <c r="AAD276" s="302"/>
      <c r="AAE276" s="302"/>
      <c r="AAF276" s="302"/>
      <c r="AAG276" s="302"/>
      <c r="AAH276" s="302"/>
      <c r="AAI276" s="302"/>
      <c r="AAJ276" s="302"/>
      <c r="AAK276" s="302"/>
      <c r="AAL276" s="302"/>
      <c r="AAM276" s="302"/>
      <c r="AAN276" s="302"/>
      <c r="AAO276" s="302"/>
      <c r="AAP276" s="302"/>
      <c r="AAQ276" s="302"/>
      <c r="AAR276" s="302"/>
      <c r="AAS276" s="302"/>
      <c r="AAT276" s="302"/>
      <c r="AAU276" s="302"/>
      <c r="AAV276" s="302"/>
      <c r="AAW276" s="302"/>
      <c r="AAX276" s="302"/>
      <c r="AAY276" s="302"/>
      <c r="AAZ276" s="302"/>
      <c r="ABA276" s="302"/>
      <c r="ABB276" s="302"/>
      <c r="ABC276" s="302"/>
      <c r="ABD276" s="302"/>
      <c r="ABE276" s="302"/>
      <c r="ABF276" s="302"/>
      <c r="ABG276" s="302"/>
      <c r="ABH276" s="302"/>
      <c r="ABI276" s="302"/>
      <c r="ABJ276" s="302"/>
      <c r="ABK276" s="302"/>
      <c r="ABL276" s="302"/>
      <c r="ABM276" s="302"/>
      <c r="ABN276" s="302"/>
      <c r="ABO276" s="302"/>
      <c r="ABP276" s="302"/>
      <c r="ABQ276" s="302"/>
      <c r="ABR276" s="302"/>
      <c r="ABS276" s="302"/>
      <c r="ABT276" s="302"/>
      <c r="ABU276" s="302"/>
      <c r="ABV276" s="302"/>
      <c r="ABW276" s="302"/>
      <c r="ABX276" s="302"/>
      <c r="ABY276" s="302"/>
      <c r="ABZ276" s="302"/>
      <c r="ACA276" s="302"/>
      <c r="ACB276" s="302"/>
      <c r="ACC276" s="302"/>
      <c r="ACD276" s="302"/>
      <c r="ACE276" s="302"/>
      <c r="ACF276" s="302"/>
      <c r="ACG276" s="302"/>
      <c r="ACH276" s="302"/>
      <c r="ACI276" s="302"/>
      <c r="ACJ276" s="302"/>
      <c r="ACK276" s="302"/>
      <c r="ACL276" s="302"/>
      <c r="ACM276" s="302"/>
      <c r="ACN276" s="302"/>
      <c r="ACO276" s="302"/>
      <c r="ACP276" s="302"/>
      <c r="ACQ276" s="302"/>
      <c r="ACR276" s="302"/>
      <c r="ACS276" s="302"/>
      <c r="ACT276" s="302"/>
      <c r="ACU276" s="302"/>
      <c r="ACV276" s="302"/>
      <c r="ACW276" s="302"/>
      <c r="ACX276" s="302"/>
      <c r="ACY276" s="302"/>
      <c r="ACZ276" s="302"/>
      <c r="ADA276" s="302"/>
      <c r="ADB276" s="302"/>
      <c r="ADC276" s="302"/>
      <c r="ADD276" s="302"/>
      <c r="ADE276" s="302"/>
      <c r="ADF276" s="302"/>
      <c r="ADG276" s="302"/>
      <c r="ADH276" s="302"/>
      <c r="ADI276" s="302"/>
      <c r="ADJ276" s="302"/>
      <c r="ADK276" s="302"/>
      <c r="ADL276" s="302"/>
      <c r="ADM276" s="302"/>
      <c r="ADN276" s="302"/>
      <c r="ADO276" s="302"/>
      <c r="ADP276" s="302"/>
      <c r="ADQ276" s="302"/>
      <c r="ADR276" s="302"/>
      <c r="ADS276" s="302"/>
      <c r="ADT276" s="302"/>
      <c r="ADU276" s="302"/>
      <c r="ADV276" s="302"/>
      <c r="ADW276" s="302"/>
      <c r="ADX276" s="302"/>
      <c r="ADY276" s="302"/>
      <c r="ADZ276" s="302"/>
      <c r="AEA276" s="302"/>
      <c r="AEB276" s="302"/>
      <c r="AEC276" s="302"/>
      <c r="AED276" s="302"/>
      <c r="AEE276" s="302"/>
      <c r="AEF276" s="302"/>
      <c r="AEG276" s="302"/>
      <c r="AEH276" s="302"/>
      <c r="AEI276" s="302"/>
      <c r="AEJ276" s="302"/>
      <c r="AEK276" s="302"/>
      <c r="AEL276" s="302"/>
      <c r="AEM276" s="302"/>
      <c r="AEN276" s="302"/>
      <c r="AEO276" s="302"/>
      <c r="AEP276" s="302"/>
      <c r="AEQ276" s="302"/>
      <c r="AER276" s="302"/>
      <c r="AES276" s="302"/>
      <c r="AET276" s="302"/>
      <c r="AEU276" s="302"/>
      <c r="AEV276" s="302"/>
      <c r="AEW276" s="302"/>
      <c r="AEX276" s="302"/>
      <c r="AEY276" s="302"/>
      <c r="AEZ276" s="302"/>
      <c r="AFA276" s="302"/>
      <c r="AFB276" s="302"/>
      <c r="AFC276" s="302"/>
      <c r="AFD276" s="302"/>
      <c r="AFE276" s="302"/>
      <c r="AFF276" s="302"/>
      <c r="AFG276" s="302"/>
      <c r="AFH276" s="302"/>
      <c r="AFI276" s="302"/>
      <c r="AFJ276" s="302"/>
      <c r="AFK276" s="302"/>
      <c r="AFL276" s="302"/>
      <c r="AFM276" s="302"/>
      <c r="AFN276" s="302"/>
      <c r="AFO276" s="302"/>
      <c r="AFP276" s="302"/>
      <c r="AFQ276" s="302"/>
      <c r="AFR276" s="302"/>
      <c r="AFS276" s="302"/>
      <c r="AFT276" s="302"/>
      <c r="AFU276" s="302"/>
      <c r="AFV276" s="302"/>
      <c r="AFW276" s="302"/>
      <c r="AFX276" s="302"/>
      <c r="AFY276" s="302"/>
      <c r="AFZ276" s="302"/>
      <c r="AGA276" s="302"/>
      <c r="AGB276" s="302"/>
      <c r="AGC276" s="302"/>
      <c r="AGD276" s="302"/>
      <c r="AGE276" s="302"/>
      <c r="AGF276" s="302"/>
      <c r="AGG276" s="302"/>
      <c r="AGH276" s="302"/>
      <c r="AGI276" s="302"/>
      <c r="AGJ276" s="302"/>
      <c r="AGK276" s="302"/>
      <c r="AGL276" s="302"/>
      <c r="AGM276" s="302"/>
      <c r="AGN276" s="302"/>
      <c r="AGO276" s="302"/>
      <c r="AGP276" s="302"/>
      <c r="AGQ276" s="302"/>
      <c r="AGR276" s="302"/>
      <c r="AGS276" s="302"/>
      <c r="AGT276" s="302"/>
      <c r="AGU276" s="302"/>
      <c r="AGV276" s="302"/>
      <c r="AGW276" s="302"/>
      <c r="AGX276" s="302"/>
      <c r="AGY276" s="302"/>
      <c r="AGZ276" s="302"/>
      <c r="AHA276" s="302"/>
      <c r="AHB276" s="302"/>
      <c r="AHC276" s="302"/>
      <c r="AHD276" s="302"/>
      <c r="AHE276" s="302"/>
      <c r="AHF276" s="302"/>
      <c r="AHG276" s="302"/>
      <c r="AHH276" s="302"/>
      <c r="AHI276" s="302"/>
      <c r="AHJ276" s="302"/>
      <c r="AHK276" s="302"/>
      <c r="AHL276" s="302"/>
      <c r="AHM276" s="302"/>
      <c r="AHN276" s="302"/>
      <c r="AHO276" s="302"/>
      <c r="AHP276" s="302"/>
      <c r="AHQ276" s="302"/>
      <c r="AHR276" s="302"/>
      <c r="AHS276" s="302"/>
      <c r="AHT276" s="302"/>
      <c r="AHU276" s="302"/>
      <c r="AHV276" s="302"/>
      <c r="AHW276" s="302"/>
      <c r="AHX276" s="302"/>
      <c r="AHY276" s="302"/>
      <c r="AHZ276" s="302"/>
      <c r="AIA276" s="302"/>
      <c r="AIB276" s="302"/>
      <c r="AIC276" s="302"/>
      <c r="AID276" s="302"/>
      <c r="AIE276" s="302"/>
      <c r="AIF276" s="302"/>
      <c r="AIG276" s="302"/>
      <c r="AIH276" s="302"/>
      <c r="AII276" s="302"/>
      <c r="AIJ276" s="302"/>
      <c r="AIK276" s="302"/>
      <c r="AIL276" s="302"/>
      <c r="AIM276" s="302"/>
      <c r="AIN276" s="302"/>
      <c r="AIO276" s="302"/>
      <c r="AIP276" s="302"/>
      <c r="AIQ276" s="302"/>
      <c r="AIR276" s="302"/>
      <c r="AIS276" s="302"/>
      <c r="AIT276" s="302"/>
      <c r="AIU276" s="302"/>
      <c r="AIV276" s="302"/>
      <c r="AIW276" s="302"/>
      <c r="AIX276" s="302"/>
      <c r="AIY276" s="302"/>
      <c r="AIZ276" s="302"/>
      <c r="AJA276" s="302"/>
      <c r="AJB276" s="302"/>
      <c r="AJC276" s="302"/>
      <c r="AJD276" s="302"/>
      <c r="AJE276" s="302"/>
      <c r="AJF276" s="302"/>
      <c r="AJG276" s="302"/>
      <c r="AJH276" s="302"/>
      <c r="AJI276" s="302"/>
      <c r="AJJ276" s="302"/>
      <c r="AJK276" s="302"/>
      <c r="AJL276" s="302"/>
      <c r="AJM276" s="302"/>
      <c r="AJN276" s="302"/>
      <c r="AJO276" s="302"/>
      <c r="AJP276" s="302"/>
      <c r="AJQ276" s="302"/>
      <c r="AJR276" s="302"/>
      <c r="AJS276" s="302"/>
      <c r="AJT276" s="302"/>
      <c r="AJU276" s="302"/>
      <c r="AJV276" s="302"/>
      <c r="AJW276" s="302"/>
      <c r="AJX276" s="302"/>
      <c r="AJY276" s="302"/>
      <c r="AJZ276" s="302"/>
      <c r="AKA276" s="302"/>
      <c r="AKB276" s="302"/>
      <c r="AKC276" s="302"/>
      <c r="AKD276" s="302"/>
      <c r="AKE276" s="302"/>
      <c r="AKF276" s="302"/>
      <c r="AKG276" s="302"/>
      <c r="AKH276" s="302"/>
      <c r="AKI276" s="302"/>
      <c r="AKJ276" s="302"/>
      <c r="AKK276" s="302"/>
      <c r="AKL276" s="302"/>
      <c r="AKM276" s="302"/>
      <c r="AKN276" s="302"/>
      <c r="AKO276" s="302"/>
      <c r="AKP276" s="302"/>
      <c r="AKQ276" s="302"/>
      <c r="AKR276" s="302"/>
      <c r="AKS276" s="302"/>
      <c r="AKT276" s="302"/>
      <c r="AKU276" s="302"/>
      <c r="AKV276" s="302"/>
      <c r="AKW276" s="302"/>
      <c r="AKX276" s="302"/>
      <c r="AKY276" s="302"/>
      <c r="AKZ276" s="302"/>
      <c r="ALA276" s="302"/>
      <c r="ALB276" s="302"/>
      <c r="ALC276" s="302"/>
      <c r="ALD276" s="302"/>
      <c r="ALE276" s="302"/>
      <c r="ALF276" s="302"/>
      <c r="ALG276" s="302"/>
      <c r="ALH276" s="302"/>
      <c r="ALI276" s="302"/>
      <c r="ALJ276" s="302"/>
      <c r="ALK276" s="302"/>
      <c r="ALL276" s="302"/>
      <c r="ALM276" s="302"/>
      <c r="ALN276" s="302"/>
      <c r="ALO276" s="302"/>
      <c r="ALP276" s="302"/>
      <c r="ALQ276" s="302"/>
      <c r="ALR276" s="302"/>
      <c r="ALS276" s="302"/>
      <c r="ALT276" s="302"/>
      <c r="ALU276" s="302"/>
      <c r="ALV276" s="302"/>
      <c r="ALW276" s="302"/>
      <c r="ALX276" s="302"/>
      <c r="ALY276" s="302"/>
      <c r="ALZ276" s="302"/>
      <c r="AMA276" s="302"/>
      <c r="AMB276" s="302"/>
      <c r="AMC276" s="302"/>
      <c r="AMD276" s="302"/>
      <c r="AME276" s="302"/>
      <c r="AMF276" s="302"/>
      <c r="AMG276" s="302"/>
      <c r="AMH276" s="302"/>
      <c r="AMI276" s="302"/>
    </row>
    <row r="277" spans="1:1023" hidden="1">
      <c r="A277" s="302"/>
      <c r="B277" s="442">
        <v>14303</v>
      </c>
      <c r="C277" s="430">
        <v>0.09</v>
      </c>
      <c r="D277" s="370" t="s">
        <v>188</v>
      </c>
      <c r="E277" s="433">
        <v>3000000</v>
      </c>
      <c r="F277" s="500">
        <v>0.04</v>
      </c>
      <c r="G277" s="364">
        <f t="shared" si="15"/>
        <v>120000</v>
      </c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  <c r="AD277" s="302"/>
      <c r="AE277" s="302"/>
      <c r="AF277" s="302"/>
      <c r="AG277" s="302"/>
      <c r="AH277" s="302"/>
      <c r="AI277" s="302"/>
      <c r="AJ277" s="302"/>
      <c r="AK277" s="302"/>
      <c r="AL277" s="302"/>
      <c r="AM277" s="302"/>
      <c r="AN277" s="302"/>
      <c r="AO277" s="302"/>
      <c r="AP277" s="302"/>
      <c r="AQ277" s="302"/>
      <c r="AR277" s="302"/>
      <c r="AS277" s="302"/>
      <c r="AT277" s="302"/>
      <c r="AU277" s="302"/>
      <c r="AV277" s="302"/>
      <c r="AW277" s="302"/>
      <c r="AX277" s="302"/>
      <c r="AY277" s="302"/>
      <c r="AZ277" s="302"/>
      <c r="BA277" s="302"/>
      <c r="BB277" s="302"/>
      <c r="BC277" s="302"/>
      <c r="BD277" s="302"/>
      <c r="BE277" s="302"/>
      <c r="BF277" s="302"/>
      <c r="BG277" s="302"/>
      <c r="BH277" s="302"/>
      <c r="BI277" s="302"/>
      <c r="BJ277" s="302"/>
      <c r="BK277" s="302"/>
      <c r="BL277" s="302"/>
      <c r="BM277" s="302"/>
      <c r="BN277" s="302"/>
      <c r="BO277" s="302"/>
      <c r="BP277" s="302"/>
      <c r="BQ277" s="302"/>
      <c r="BR277" s="302"/>
      <c r="BS277" s="302"/>
      <c r="BT277" s="302"/>
      <c r="BU277" s="302"/>
      <c r="BV277" s="302"/>
      <c r="BW277" s="302"/>
      <c r="BX277" s="302"/>
      <c r="BY277" s="302"/>
      <c r="BZ277" s="302"/>
      <c r="CA277" s="302"/>
      <c r="CB277" s="302"/>
      <c r="CC277" s="302"/>
      <c r="CD277" s="302"/>
      <c r="CE277" s="302"/>
      <c r="CF277" s="302"/>
      <c r="CG277" s="302"/>
      <c r="CH277" s="302"/>
      <c r="CI277" s="302"/>
      <c r="CJ277" s="302"/>
      <c r="CK277" s="302"/>
      <c r="CL277" s="302"/>
      <c r="CM277" s="302"/>
      <c r="CN277" s="302"/>
      <c r="CO277" s="302"/>
      <c r="CP277" s="302"/>
      <c r="CQ277" s="302"/>
      <c r="CR277" s="302"/>
      <c r="CS277" s="302"/>
      <c r="CT277" s="302"/>
      <c r="CU277" s="302"/>
      <c r="CV277" s="302"/>
      <c r="CW277" s="302"/>
      <c r="CX277" s="302"/>
      <c r="CY277" s="302"/>
      <c r="CZ277" s="302"/>
      <c r="DA277" s="302"/>
      <c r="DB277" s="302"/>
      <c r="DC277" s="302"/>
      <c r="DD277" s="302"/>
      <c r="DE277" s="302"/>
      <c r="DF277" s="302"/>
      <c r="DG277" s="302"/>
      <c r="DH277" s="302"/>
      <c r="DI277" s="302"/>
      <c r="DJ277" s="302"/>
      <c r="DK277" s="302"/>
      <c r="DL277" s="302"/>
      <c r="DM277" s="302"/>
      <c r="DN277" s="302"/>
      <c r="DO277" s="302"/>
      <c r="DP277" s="302"/>
      <c r="DQ277" s="302"/>
      <c r="DR277" s="302"/>
      <c r="DS277" s="302"/>
      <c r="DT277" s="302"/>
      <c r="DU277" s="302"/>
      <c r="DV277" s="302"/>
      <c r="DW277" s="302"/>
      <c r="DX277" s="302"/>
      <c r="DY277" s="302"/>
      <c r="DZ277" s="302"/>
      <c r="EA277" s="302"/>
      <c r="EB277" s="302"/>
      <c r="EC277" s="302"/>
      <c r="ED277" s="302"/>
      <c r="EE277" s="302"/>
      <c r="EF277" s="302"/>
      <c r="EG277" s="302"/>
      <c r="EH277" s="302"/>
      <c r="EI277" s="302"/>
      <c r="EJ277" s="302"/>
      <c r="EK277" s="302"/>
      <c r="EL277" s="302"/>
      <c r="EM277" s="302"/>
      <c r="EN277" s="302"/>
      <c r="EO277" s="302"/>
      <c r="EP277" s="302"/>
      <c r="EQ277" s="302"/>
      <c r="ER277" s="302"/>
      <c r="ES277" s="302"/>
      <c r="ET277" s="302"/>
      <c r="EU277" s="302"/>
      <c r="EV277" s="302"/>
      <c r="EW277" s="302"/>
      <c r="EX277" s="302"/>
      <c r="EY277" s="302"/>
      <c r="EZ277" s="302"/>
      <c r="FA277" s="302"/>
      <c r="FB277" s="302"/>
      <c r="FC277" s="302"/>
      <c r="FD277" s="302"/>
      <c r="FE277" s="302"/>
      <c r="FF277" s="302"/>
      <c r="FG277" s="302"/>
      <c r="FH277" s="302"/>
      <c r="FI277" s="302"/>
      <c r="FJ277" s="302"/>
      <c r="FK277" s="302"/>
      <c r="FL277" s="302"/>
      <c r="FM277" s="302"/>
      <c r="FN277" s="302"/>
      <c r="FO277" s="302"/>
      <c r="FP277" s="302"/>
      <c r="FQ277" s="302"/>
      <c r="FR277" s="302"/>
      <c r="FS277" s="302"/>
      <c r="FT277" s="302"/>
      <c r="FU277" s="302"/>
      <c r="FV277" s="302"/>
      <c r="FW277" s="302"/>
      <c r="FX277" s="302"/>
      <c r="FY277" s="302"/>
      <c r="FZ277" s="302"/>
      <c r="GA277" s="302"/>
      <c r="GB277" s="302"/>
      <c r="GC277" s="302"/>
      <c r="GD277" s="302"/>
      <c r="GE277" s="302"/>
      <c r="GF277" s="302"/>
      <c r="GG277" s="302"/>
      <c r="GH277" s="302"/>
      <c r="GI277" s="302"/>
      <c r="GJ277" s="302"/>
      <c r="GK277" s="302"/>
      <c r="GL277" s="302"/>
      <c r="GM277" s="302"/>
      <c r="GN277" s="302"/>
      <c r="GO277" s="302"/>
      <c r="GP277" s="302"/>
      <c r="GQ277" s="302"/>
      <c r="GR277" s="302"/>
      <c r="GS277" s="302"/>
      <c r="GT277" s="302"/>
      <c r="GU277" s="302"/>
      <c r="GV277" s="302"/>
      <c r="GW277" s="302"/>
      <c r="GX277" s="302"/>
      <c r="GY277" s="302"/>
      <c r="GZ277" s="302"/>
      <c r="HA277" s="302"/>
      <c r="HB277" s="302"/>
      <c r="HC277" s="302"/>
      <c r="HD277" s="302"/>
      <c r="HE277" s="302"/>
      <c r="HF277" s="302"/>
      <c r="HG277" s="302"/>
      <c r="HH277" s="302"/>
      <c r="HI277" s="302"/>
      <c r="HJ277" s="302"/>
      <c r="HK277" s="302"/>
      <c r="HL277" s="302"/>
      <c r="HM277" s="302"/>
      <c r="HN277" s="302"/>
      <c r="HO277" s="302"/>
      <c r="HP277" s="302"/>
      <c r="HQ277" s="302"/>
      <c r="HR277" s="302"/>
      <c r="HS277" s="302"/>
      <c r="HT277" s="302"/>
      <c r="HU277" s="302"/>
      <c r="HV277" s="302"/>
      <c r="HW277" s="302"/>
      <c r="HX277" s="302"/>
      <c r="HY277" s="302"/>
      <c r="HZ277" s="302"/>
      <c r="IA277" s="302"/>
      <c r="IB277" s="302"/>
      <c r="IC277" s="302"/>
      <c r="ID277" s="302"/>
      <c r="IE277" s="302"/>
      <c r="IF277" s="302"/>
      <c r="IG277" s="302"/>
      <c r="IH277" s="302"/>
      <c r="II277" s="302"/>
      <c r="IJ277" s="302"/>
      <c r="IK277" s="302"/>
      <c r="IL277" s="302"/>
      <c r="IM277" s="302"/>
      <c r="IN277" s="302"/>
      <c r="IO277" s="302"/>
      <c r="IP277" s="302"/>
      <c r="IQ277" s="302"/>
      <c r="IR277" s="302"/>
      <c r="IS277" s="302"/>
      <c r="IT277" s="302"/>
      <c r="IU277" s="302"/>
      <c r="IV277" s="302"/>
      <c r="IW277" s="302"/>
      <c r="IX277" s="302"/>
      <c r="IY277" s="302"/>
      <c r="IZ277" s="302"/>
      <c r="JA277" s="302"/>
      <c r="JB277" s="302"/>
      <c r="JC277" s="302"/>
      <c r="JD277" s="302"/>
      <c r="JE277" s="302"/>
      <c r="JF277" s="302"/>
      <c r="JG277" s="302"/>
      <c r="JH277" s="302"/>
      <c r="JI277" s="302"/>
      <c r="JJ277" s="302"/>
      <c r="JK277" s="302"/>
      <c r="JL277" s="302"/>
      <c r="JM277" s="302"/>
      <c r="JN277" s="302"/>
      <c r="JO277" s="302"/>
      <c r="JP277" s="302"/>
      <c r="JQ277" s="302"/>
      <c r="JR277" s="302"/>
      <c r="JS277" s="302"/>
      <c r="JT277" s="302"/>
      <c r="JU277" s="302"/>
      <c r="JV277" s="302"/>
      <c r="JW277" s="302"/>
      <c r="JX277" s="302"/>
      <c r="JY277" s="302"/>
      <c r="JZ277" s="302"/>
      <c r="KA277" s="302"/>
      <c r="KB277" s="302"/>
      <c r="KC277" s="302"/>
      <c r="KD277" s="302"/>
      <c r="KE277" s="302"/>
      <c r="KF277" s="302"/>
      <c r="KG277" s="302"/>
      <c r="KH277" s="302"/>
      <c r="KI277" s="302"/>
      <c r="KJ277" s="302"/>
      <c r="KK277" s="302"/>
      <c r="KL277" s="302"/>
      <c r="KM277" s="302"/>
      <c r="KN277" s="302"/>
      <c r="KO277" s="302"/>
      <c r="KP277" s="302"/>
      <c r="KQ277" s="302"/>
      <c r="KR277" s="302"/>
      <c r="KS277" s="302"/>
      <c r="KT277" s="302"/>
      <c r="KU277" s="302"/>
      <c r="KV277" s="302"/>
      <c r="KW277" s="302"/>
      <c r="KX277" s="302"/>
      <c r="KY277" s="302"/>
      <c r="KZ277" s="302"/>
      <c r="LA277" s="302"/>
      <c r="LB277" s="302"/>
      <c r="LC277" s="302"/>
      <c r="LD277" s="302"/>
      <c r="LE277" s="302"/>
      <c r="LF277" s="302"/>
      <c r="LG277" s="302"/>
      <c r="LH277" s="302"/>
      <c r="LI277" s="302"/>
      <c r="LJ277" s="302"/>
      <c r="LK277" s="302"/>
      <c r="LL277" s="302"/>
      <c r="LM277" s="302"/>
      <c r="LN277" s="302"/>
      <c r="LO277" s="302"/>
      <c r="LP277" s="302"/>
      <c r="LQ277" s="302"/>
      <c r="LR277" s="302"/>
      <c r="LS277" s="302"/>
      <c r="LT277" s="302"/>
      <c r="LU277" s="302"/>
      <c r="LV277" s="302"/>
      <c r="LW277" s="302"/>
      <c r="LX277" s="302"/>
      <c r="LY277" s="302"/>
      <c r="LZ277" s="302"/>
      <c r="MA277" s="302"/>
      <c r="MB277" s="302"/>
      <c r="MC277" s="302"/>
      <c r="MD277" s="302"/>
      <c r="ME277" s="302"/>
      <c r="MF277" s="302"/>
      <c r="MG277" s="302"/>
      <c r="MH277" s="302"/>
      <c r="MI277" s="302"/>
      <c r="MJ277" s="302"/>
      <c r="MK277" s="302"/>
      <c r="ML277" s="302"/>
      <c r="MM277" s="302"/>
      <c r="MN277" s="302"/>
      <c r="MO277" s="302"/>
      <c r="MP277" s="302"/>
      <c r="MQ277" s="302"/>
      <c r="MR277" s="302"/>
      <c r="MS277" s="302"/>
      <c r="MT277" s="302"/>
      <c r="MU277" s="302"/>
      <c r="MV277" s="302"/>
      <c r="MW277" s="302"/>
      <c r="MX277" s="302"/>
      <c r="MY277" s="302"/>
      <c r="MZ277" s="302"/>
      <c r="NA277" s="302"/>
      <c r="NB277" s="302"/>
      <c r="NC277" s="302"/>
      <c r="ND277" s="302"/>
      <c r="NE277" s="302"/>
      <c r="NF277" s="302"/>
      <c r="NG277" s="302"/>
      <c r="NH277" s="302"/>
      <c r="NI277" s="302"/>
      <c r="NJ277" s="302"/>
      <c r="NK277" s="302"/>
      <c r="NL277" s="302"/>
      <c r="NM277" s="302"/>
      <c r="NN277" s="302"/>
      <c r="NO277" s="302"/>
      <c r="NP277" s="302"/>
      <c r="NQ277" s="302"/>
      <c r="NR277" s="302"/>
      <c r="NS277" s="302"/>
      <c r="NT277" s="302"/>
      <c r="NU277" s="302"/>
      <c r="NV277" s="302"/>
      <c r="NW277" s="302"/>
      <c r="NX277" s="302"/>
      <c r="NY277" s="302"/>
      <c r="NZ277" s="302"/>
      <c r="OA277" s="302"/>
      <c r="OB277" s="302"/>
      <c r="OC277" s="302"/>
      <c r="OD277" s="302"/>
      <c r="OE277" s="302"/>
      <c r="OF277" s="302"/>
      <c r="OG277" s="302"/>
      <c r="OH277" s="302"/>
      <c r="OI277" s="302"/>
      <c r="OJ277" s="302"/>
      <c r="OK277" s="302"/>
      <c r="OL277" s="302"/>
      <c r="OM277" s="302"/>
      <c r="ON277" s="302"/>
      <c r="OO277" s="302"/>
      <c r="OP277" s="302"/>
      <c r="OQ277" s="302"/>
      <c r="OR277" s="302"/>
      <c r="OS277" s="302"/>
      <c r="OT277" s="302"/>
      <c r="OU277" s="302"/>
      <c r="OV277" s="302"/>
      <c r="OW277" s="302"/>
      <c r="OX277" s="302"/>
      <c r="OY277" s="302"/>
      <c r="OZ277" s="302"/>
      <c r="PA277" s="302"/>
      <c r="PB277" s="302"/>
      <c r="PC277" s="302"/>
      <c r="PD277" s="302"/>
      <c r="PE277" s="302"/>
      <c r="PF277" s="302"/>
      <c r="PG277" s="302"/>
      <c r="PH277" s="302"/>
      <c r="PI277" s="302"/>
      <c r="PJ277" s="302"/>
      <c r="PK277" s="302"/>
      <c r="PL277" s="302"/>
      <c r="PM277" s="302"/>
      <c r="PN277" s="302"/>
      <c r="PO277" s="302"/>
      <c r="PP277" s="302"/>
      <c r="PQ277" s="302"/>
      <c r="PR277" s="302"/>
      <c r="PS277" s="302"/>
      <c r="PT277" s="302"/>
      <c r="PU277" s="302"/>
      <c r="PV277" s="302"/>
      <c r="PW277" s="302"/>
      <c r="PX277" s="302"/>
      <c r="PY277" s="302"/>
      <c r="PZ277" s="302"/>
      <c r="QA277" s="302"/>
      <c r="QB277" s="302"/>
      <c r="QC277" s="302"/>
      <c r="QD277" s="302"/>
      <c r="QE277" s="302"/>
      <c r="QF277" s="302"/>
      <c r="QG277" s="302"/>
      <c r="QH277" s="302"/>
      <c r="QI277" s="302"/>
      <c r="QJ277" s="302"/>
      <c r="QK277" s="302"/>
      <c r="QL277" s="302"/>
      <c r="QM277" s="302"/>
      <c r="QN277" s="302"/>
      <c r="QO277" s="302"/>
      <c r="QP277" s="302"/>
      <c r="QQ277" s="302"/>
      <c r="QR277" s="302"/>
      <c r="QS277" s="302"/>
      <c r="QT277" s="302"/>
      <c r="QU277" s="302"/>
      <c r="QV277" s="302"/>
      <c r="QW277" s="302"/>
      <c r="QX277" s="302"/>
      <c r="QY277" s="302"/>
      <c r="QZ277" s="302"/>
      <c r="RA277" s="302"/>
      <c r="RB277" s="302"/>
      <c r="RC277" s="302"/>
      <c r="RD277" s="302"/>
      <c r="RE277" s="302"/>
      <c r="RF277" s="302"/>
      <c r="RG277" s="302"/>
      <c r="RH277" s="302"/>
      <c r="RI277" s="302"/>
      <c r="RJ277" s="302"/>
      <c r="RK277" s="302"/>
      <c r="RL277" s="302"/>
      <c r="RM277" s="302"/>
      <c r="RN277" s="302"/>
      <c r="RO277" s="302"/>
      <c r="RP277" s="302"/>
      <c r="RQ277" s="302"/>
      <c r="RR277" s="302"/>
      <c r="RS277" s="302"/>
      <c r="RT277" s="302"/>
      <c r="RU277" s="302"/>
      <c r="RV277" s="302"/>
      <c r="RW277" s="302"/>
      <c r="RX277" s="302"/>
      <c r="RY277" s="302"/>
      <c r="RZ277" s="302"/>
      <c r="SA277" s="302"/>
      <c r="SB277" s="302"/>
      <c r="SC277" s="302"/>
      <c r="SD277" s="302"/>
      <c r="SE277" s="302"/>
      <c r="SF277" s="302"/>
      <c r="SG277" s="302"/>
      <c r="SH277" s="302"/>
      <c r="SI277" s="302"/>
      <c r="SJ277" s="302"/>
      <c r="SK277" s="302"/>
      <c r="SL277" s="302"/>
      <c r="SM277" s="302"/>
      <c r="SN277" s="302"/>
      <c r="SO277" s="302"/>
      <c r="SP277" s="302"/>
      <c r="SQ277" s="302"/>
      <c r="SR277" s="302"/>
      <c r="SS277" s="302"/>
      <c r="ST277" s="302"/>
      <c r="SU277" s="302"/>
      <c r="SV277" s="302"/>
      <c r="SW277" s="302"/>
      <c r="SX277" s="302"/>
      <c r="SY277" s="302"/>
      <c r="SZ277" s="302"/>
      <c r="TA277" s="302"/>
      <c r="TB277" s="302"/>
      <c r="TC277" s="302"/>
      <c r="TD277" s="302"/>
      <c r="TE277" s="302"/>
      <c r="TF277" s="302"/>
      <c r="TG277" s="302"/>
      <c r="TH277" s="302"/>
      <c r="TI277" s="302"/>
      <c r="TJ277" s="302"/>
      <c r="TK277" s="302"/>
      <c r="TL277" s="302"/>
      <c r="TM277" s="302"/>
      <c r="TN277" s="302"/>
      <c r="TO277" s="302"/>
      <c r="TP277" s="302"/>
      <c r="TQ277" s="302"/>
      <c r="TR277" s="302"/>
      <c r="TS277" s="302"/>
      <c r="TT277" s="302"/>
      <c r="TU277" s="302"/>
      <c r="TV277" s="302"/>
      <c r="TW277" s="302"/>
      <c r="TX277" s="302"/>
      <c r="TY277" s="302"/>
      <c r="TZ277" s="302"/>
      <c r="UA277" s="302"/>
      <c r="UB277" s="302"/>
      <c r="UC277" s="302"/>
      <c r="UD277" s="302"/>
      <c r="UE277" s="302"/>
      <c r="UF277" s="302"/>
      <c r="UG277" s="302"/>
      <c r="UH277" s="302"/>
      <c r="UI277" s="302"/>
      <c r="UJ277" s="302"/>
      <c r="UK277" s="302"/>
      <c r="UL277" s="302"/>
      <c r="UM277" s="302"/>
      <c r="UN277" s="302"/>
      <c r="UO277" s="302"/>
      <c r="UP277" s="302"/>
      <c r="UQ277" s="302"/>
      <c r="UR277" s="302"/>
      <c r="US277" s="302"/>
      <c r="UT277" s="302"/>
      <c r="UU277" s="302"/>
      <c r="UV277" s="302"/>
      <c r="UW277" s="302"/>
      <c r="UX277" s="302"/>
      <c r="UY277" s="302"/>
      <c r="UZ277" s="302"/>
      <c r="VA277" s="302"/>
      <c r="VB277" s="302"/>
      <c r="VC277" s="302"/>
      <c r="VD277" s="302"/>
      <c r="VE277" s="302"/>
      <c r="VF277" s="302"/>
      <c r="VG277" s="302"/>
      <c r="VH277" s="302"/>
      <c r="VI277" s="302"/>
      <c r="VJ277" s="302"/>
      <c r="VK277" s="302"/>
      <c r="VL277" s="302"/>
      <c r="VM277" s="302"/>
      <c r="VN277" s="302"/>
      <c r="VO277" s="302"/>
      <c r="VP277" s="302"/>
      <c r="VQ277" s="302"/>
      <c r="VR277" s="302"/>
      <c r="VS277" s="302"/>
      <c r="VT277" s="302"/>
      <c r="VU277" s="302"/>
      <c r="VV277" s="302"/>
      <c r="VW277" s="302"/>
      <c r="VX277" s="302"/>
      <c r="VY277" s="302"/>
      <c r="VZ277" s="302"/>
      <c r="WA277" s="302"/>
      <c r="WB277" s="302"/>
      <c r="WC277" s="302"/>
      <c r="WD277" s="302"/>
      <c r="WE277" s="302"/>
      <c r="WF277" s="302"/>
      <c r="WG277" s="302"/>
      <c r="WH277" s="302"/>
      <c r="WI277" s="302"/>
      <c r="WJ277" s="302"/>
      <c r="WK277" s="302"/>
      <c r="WL277" s="302"/>
      <c r="WM277" s="302"/>
      <c r="WN277" s="302"/>
      <c r="WO277" s="302"/>
      <c r="WP277" s="302"/>
      <c r="WQ277" s="302"/>
      <c r="WR277" s="302"/>
      <c r="WS277" s="302"/>
      <c r="WT277" s="302"/>
      <c r="WU277" s="302"/>
      <c r="WV277" s="302"/>
      <c r="WW277" s="302"/>
      <c r="WX277" s="302"/>
      <c r="WY277" s="302"/>
      <c r="WZ277" s="302"/>
      <c r="XA277" s="302"/>
      <c r="XB277" s="302"/>
      <c r="XC277" s="302"/>
      <c r="XD277" s="302"/>
      <c r="XE277" s="302"/>
      <c r="XF277" s="302"/>
      <c r="XG277" s="302"/>
      <c r="XH277" s="302"/>
      <c r="XI277" s="302"/>
      <c r="XJ277" s="302"/>
      <c r="XK277" s="302"/>
      <c r="XL277" s="302"/>
      <c r="XM277" s="302"/>
      <c r="XN277" s="302"/>
      <c r="XO277" s="302"/>
      <c r="XP277" s="302"/>
      <c r="XQ277" s="302"/>
      <c r="XR277" s="302"/>
      <c r="XS277" s="302"/>
      <c r="XT277" s="302"/>
      <c r="XU277" s="302"/>
      <c r="XV277" s="302"/>
      <c r="XW277" s="302"/>
      <c r="XX277" s="302"/>
      <c r="XY277" s="302"/>
      <c r="XZ277" s="302"/>
      <c r="YA277" s="302"/>
      <c r="YB277" s="302"/>
      <c r="YC277" s="302"/>
      <c r="YD277" s="302"/>
      <c r="YE277" s="302"/>
      <c r="YF277" s="302"/>
      <c r="YG277" s="302"/>
      <c r="YH277" s="302"/>
      <c r="YI277" s="302"/>
      <c r="YJ277" s="302"/>
      <c r="YK277" s="302"/>
      <c r="YL277" s="302"/>
      <c r="YM277" s="302"/>
      <c r="YN277" s="302"/>
      <c r="YO277" s="302"/>
      <c r="YP277" s="302"/>
      <c r="YQ277" s="302"/>
      <c r="YR277" s="302"/>
      <c r="YS277" s="302"/>
      <c r="YT277" s="302"/>
      <c r="YU277" s="302"/>
      <c r="YV277" s="302"/>
      <c r="YW277" s="302"/>
      <c r="YX277" s="302"/>
      <c r="YY277" s="302"/>
      <c r="YZ277" s="302"/>
      <c r="ZA277" s="302"/>
      <c r="ZB277" s="302"/>
      <c r="ZC277" s="302"/>
      <c r="ZD277" s="302"/>
      <c r="ZE277" s="302"/>
      <c r="ZF277" s="302"/>
      <c r="ZG277" s="302"/>
      <c r="ZH277" s="302"/>
      <c r="ZI277" s="302"/>
      <c r="ZJ277" s="302"/>
      <c r="ZK277" s="302"/>
      <c r="ZL277" s="302"/>
      <c r="ZM277" s="302"/>
      <c r="ZN277" s="302"/>
      <c r="ZO277" s="302"/>
      <c r="ZP277" s="302"/>
      <c r="ZQ277" s="302"/>
      <c r="ZR277" s="302"/>
      <c r="ZS277" s="302"/>
      <c r="ZT277" s="302"/>
      <c r="ZU277" s="302"/>
      <c r="ZV277" s="302"/>
      <c r="ZW277" s="302"/>
      <c r="ZX277" s="302"/>
      <c r="ZY277" s="302"/>
      <c r="ZZ277" s="302"/>
      <c r="AAA277" s="302"/>
      <c r="AAB277" s="302"/>
      <c r="AAC277" s="302"/>
      <c r="AAD277" s="302"/>
      <c r="AAE277" s="302"/>
      <c r="AAF277" s="302"/>
      <c r="AAG277" s="302"/>
      <c r="AAH277" s="302"/>
      <c r="AAI277" s="302"/>
      <c r="AAJ277" s="302"/>
      <c r="AAK277" s="302"/>
      <c r="AAL277" s="302"/>
      <c r="AAM277" s="302"/>
      <c r="AAN277" s="302"/>
      <c r="AAO277" s="302"/>
      <c r="AAP277" s="302"/>
      <c r="AAQ277" s="302"/>
      <c r="AAR277" s="302"/>
      <c r="AAS277" s="302"/>
      <c r="AAT277" s="302"/>
      <c r="AAU277" s="302"/>
      <c r="AAV277" s="302"/>
      <c r="AAW277" s="302"/>
      <c r="AAX277" s="302"/>
      <c r="AAY277" s="302"/>
      <c r="AAZ277" s="302"/>
      <c r="ABA277" s="302"/>
      <c r="ABB277" s="302"/>
      <c r="ABC277" s="302"/>
      <c r="ABD277" s="302"/>
      <c r="ABE277" s="302"/>
      <c r="ABF277" s="302"/>
      <c r="ABG277" s="302"/>
      <c r="ABH277" s="302"/>
      <c r="ABI277" s="302"/>
      <c r="ABJ277" s="302"/>
      <c r="ABK277" s="302"/>
      <c r="ABL277" s="302"/>
      <c r="ABM277" s="302"/>
      <c r="ABN277" s="302"/>
      <c r="ABO277" s="302"/>
      <c r="ABP277" s="302"/>
      <c r="ABQ277" s="302"/>
      <c r="ABR277" s="302"/>
      <c r="ABS277" s="302"/>
      <c r="ABT277" s="302"/>
      <c r="ABU277" s="302"/>
      <c r="ABV277" s="302"/>
      <c r="ABW277" s="302"/>
      <c r="ABX277" s="302"/>
      <c r="ABY277" s="302"/>
      <c r="ABZ277" s="302"/>
      <c r="ACA277" s="302"/>
      <c r="ACB277" s="302"/>
      <c r="ACC277" s="302"/>
      <c r="ACD277" s="302"/>
      <c r="ACE277" s="302"/>
      <c r="ACF277" s="302"/>
      <c r="ACG277" s="302"/>
      <c r="ACH277" s="302"/>
      <c r="ACI277" s="302"/>
      <c r="ACJ277" s="302"/>
      <c r="ACK277" s="302"/>
      <c r="ACL277" s="302"/>
      <c r="ACM277" s="302"/>
      <c r="ACN277" s="302"/>
      <c r="ACO277" s="302"/>
      <c r="ACP277" s="302"/>
      <c r="ACQ277" s="302"/>
      <c r="ACR277" s="302"/>
      <c r="ACS277" s="302"/>
      <c r="ACT277" s="302"/>
      <c r="ACU277" s="302"/>
      <c r="ACV277" s="302"/>
      <c r="ACW277" s="302"/>
      <c r="ACX277" s="302"/>
      <c r="ACY277" s="302"/>
      <c r="ACZ277" s="302"/>
      <c r="ADA277" s="302"/>
      <c r="ADB277" s="302"/>
      <c r="ADC277" s="302"/>
      <c r="ADD277" s="302"/>
      <c r="ADE277" s="302"/>
      <c r="ADF277" s="302"/>
      <c r="ADG277" s="302"/>
      <c r="ADH277" s="302"/>
      <c r="ADI277" s="302"/>
      <c r="ADJ277" s="302"/>
      <c r="ADK277" s="302"/>
      <c r="ADL277" s="302"/>
      <c r="ADM277" s="302"/>
      <c r="ADN277" s="302"/>
      <c r="ADO277" s="302"/>
      <c r="ADP277" s="302"/>
      <c r="ADQ277" s="302"/>
      <c r="ADR277" s="302"/>
      <c r="ADS277" s="302"/>
      <c r="ADT277" s="302"/>
      <c r="ADU277" s="302"/>
      <c r="ADV277" s="302"/>
      <c r="ADW277" s="302"/>
      <c r="ADX277" s="302"/>
      <c r="ADY277" s="302"/>
      <c r="ADZ277" s="302"/>
      <c r="AEA277" s="302"/>
      <c r="AEB277" s="302"/>
      <c r="AEC277" s="302"/>
      <c r="AED277" s="302"/>
      <c r="AEE277" s="302"/>
      <c r="AEF277" s="302"/>
      <c r="AEG277" s="302"/>
      <c r="AEH277" s="302"/>
      <c r="AEI277" s="302"/>
      <c r="AEJ277" s="302"/>
      <c r="AEK277" s="302"/>
      <c r="AEL277" s="302"/>
      <c r="AEM277" s="302"/>
      <c r="AEN277" s="302"/>
      <c r="AEO277" s="302"/>
      <c r="AEP277" s="302"/>
      <c r="AEQ277" s="302"/>
      <c r="AER277" s="302"/>
      <c r="AES277" s="302"/>
      <c r="AET277" s="302"/>
      <c r="AEU277" s="302"/>
      <c r="AEV277" s="302"/>
      <c r="AEW277" s="302"/>
      <c r="AEX277" s="302"/>
      <c r="AEY277" s="302"/>
      <c r="AEZ277" s="302"/>
      <c r="AFA277" s="302"/>
      <c r="AFB277" s="302"/>
      <c r="AFC277" s="302"/>
      <c r="AFD277" s="302"/>
      <c r="AFE277" s="302"/>
      <c r="AFF277" s="302"/>
      <c r="AFG277" s="302"/>
      <c r="AFH277" s="302"/>
      <c r="AFI277" s="302"/>
      <c r="AFJ277" s="302"/>
      <c r="AFK277" s="302"/>
      <c r="AFL277" s="302"/>
      <c r="AFM277" s="302"/>
      <c r="AFN277" s="302"/>
      <c r="AFO277" s="302"/>
      <c r="AFP277" s="302"/>
      <c r="AFQ277" s="302"/>
      <c r="AFR277" s="302"/>
      <c r="AFS277" s="302"/>
      <c r="AFT277" s="302"/>
      <c r="AFU277" s="302"/>
      <c r="AFV277" s="302"/>
      <c r="AFW277" s="302"/>
      <c r="AFX277" s="302"/>
      <c r="AFY277" s="302"/>
      <c r="AFZ277" s="302"/>
      <c r="AGA277" s="302"/>
      <c r="AGB277" s="302"/>
      <c r="AGC277" s="302"/>
      <c r="AGD277" s="302"/>
      <c r="AGE277" s="302"/>
      <c r="AGF277" s="302"/>
      <c r="AGG277" s="302"/>
      <c r="AGH277" s="302"/>
      <c r="AGI277" s="302"/>
      <c r="AGJ277" s="302"/>
      <c r="AGK277" s="302"/>
      <c r="AGL277" s="302"/>
      <c r="AGM277" s="302"/>
      <c r="AGN277" s="302"/>
      <c r="AGO277" s="302"/>
      <c r="AGP277" s="302"/>
      <c r="AGQ277" s="302"/>
      <c r="AGR277" s="302"/>
      <c r="AGS277" s="302"/>
      <c r="AGT277" s="302"/>
      <c r="AGU277" s="302"/>
      <c r="AGV277" s="302"/>
      <c r="AGW277" s="302"/>
      <c r="AGX277" s="302"/>
      <c r="AGY277" s="302"/>
      <c r="AGZ277" s="302"/>
      <c r="AHA277" s="302"/>
      <c r="AHB277" s="302"/>
      <c r="AHC277" s="302"/>
      <c r="AHD277" s="302"/>
      <c r="AHE277" s="302"/>
      <c r="AHF277" s="302"/>
      <c r="AHG277" s="302"/>
      <c r="AHH277" s="302"/>
      <c r="AHI277" s="302"/>
      <c r="AHJ277" s="302"/>
      <c r="AHK277" s="302"/>
      <c r="AHL277" s="302"/>
      <c r="AHM277" s="302"/>
      <c r="AHN277" s="302"/>
      <c r="AHO277" s="302"/>
      <c r="AHP277" s="302"/>
      <c r="AHQ277" s="302"/>
      <c r="AHR277" s="302"/>
      <c r="AHS277" s="302"/>
      <c r="AHT277" s="302"/>
      <c r="AHU277" s="302"/>
      <c r="AHV277" s="302"/>
      <c r="AHW277" s="302"/>
      <c r="AHX277" s="302"/>
      <c r="AHY277" s="302"/>
      <c r="AHZ277" s="302"/>
      <c r="AIA277" s="302"/>
      <c r="AIB277" s="302"/>
      <c r="AIC277" s="302"/>
      <c r="AID277" s="302"/>
      <c r="AIE277" s="302"/>
      <c r="AIF277" s="302"/>
      <c r="AIG277" s="302"/>
      <c r="AIH277" s="302"/>
      <c r="AII277" s="302"/>
      <c r="AIJ277" s="302"/>
      <c r="AIK277" s="302"/>
      <c r="AIL277" s="302"/>
      <c r="AIM277" s="302"/>
      <c r="AIN277" s="302"/>
      <c r="AIO277" s="302"/>
      <c r="AIP277" s="302"/>
      <c r="AIQ277" s="302"/>
      <c r="AIR277" s="302"/>
      <c r="AIS277" s="302"/>
      <c r="AIT277" s="302"/>
      <c r="AIU277" s="302"/>
      <c r="AIV277" s="302"/>
      <c r="AIW277" s="302"/>
      <c r="AIX277" s="302"/>
      <c r="AIY277" s="302"/>
      <c r="AIZ277" s="302"/>
      <c r="AJA277" s="302"/>
      <c r="AJB277" s="302"/>
      <c r="AJC277" s="302"/>
      <c r="AJD277" s="302"/>
      <c r="AJE277" s="302"/>
      <c r="AJF277" s="302"/>
      <c r="AJG277" s="302"/>
      <c r="AJH277" s="302"/>
      <c r="AJI277" s="302"/>
      <c r="AJJ277" s="302"/>
      <c r="AJK277" s="302"/>
      <c r="AJL277" s="302"/>
      <c r="AJM277" s="302"/>
      <c r="AJN277" s="302"/>
      <c r="AJO277" s="302"/>
      <c r="AJP277" s="302"/>
      <c r="AJQ277" s="302"/>
      <c r="AJR277" s="302"/>
      <c r="AJS277" s="302"/>
      <c r="AJT277" s="302"/>
      <c r="AJU277" s="302"/>
      <c r="AJV277" s="302"/>
      <c r="AJW277" s="302"/>
      <c r="AJX277" s="302"/>
      <c r="AJY277" s="302"/>
      <c r="AJZ277" s="302"/>
      <c r="AKA277" s="302"/>
      <c r="AKB277" s="302"/>
      <c r="AKC277" s="302"/>
      <c r="AKD277" s="302"/>
      <c r="AKE277" s="302"/>
      <c r="AKF277" s="302"/>
      <c r="AKG277" s="302"/>
      <c r="AKH277" s="302"/>
      <c r="AKI277" s="302"/>
      <c r="AKJ277" s="302"/>
      <c r="AKK277" s="302"/>
      <c r="AKL277" s="302"/>
      <c r="AKM277" s="302"/>
      <c r="AKN277" s="302"/>
      <c r="AKO277" s="302"/>
      <c r="AKP277" s="302"/>
      <c r="AKQ277" s="302"/>
      <c r="AKR277" s="302"/>
      <c r="AKS277" s="302"/>
      <c r="AKT277" s="302"/>
      <c r="AKU277" s="302"/>
      <c r="AKV277" s="302"/>
      <c r="AKW277" s="302"/>
      <c r="AKX277" s="302"/>
      <c r="AKY277" s="302"/>
      <c r="AKZ277" s="302"/>
      <c r="ALA277" s="302"/>
      <c r="ALB277" s="302"/>
      <c r="ALC277" s="302"/>
      <c r="ALD277" s="302"/>
      <c r="ALE277" s="302"/>
      <c r="ALF277" s="302"/>
      <c r="ALG277" s="302"/>
      <c r="ALH277" s="302"/>
      <c r="ALI277" s="302"/>
      <c r="ALJ277" s="302"/>
      <c r="ALK277" s="302"/>
      <c r="ALL277" s="302"/>
      <c r="ALM277" s="302"/>
      <c r="ALN277" s="302"/>
      <c r="ALO277" s="302"/>
      <c r="ALP277" s="302"/>
      <c r="ALQ277" s="302"/>
      <c r="ALR277" s="302"/>
      <c r="ALS277" s="302"/>
      <c r="ALT277" s="302"/>
      <c r="ALU277" s="302"/>
      <c r="ALV277" s="302"/>
      <c r="ALW277" s="302"/>
      <c r="ALX277" s="302"/>
      <c r="ALY277" s="302"/>
      <c r="ALZ277" s="302"/>
      <c r="AMA277" s="302"/>
      <c r="AMB277" s="302"/>
      <c r="AMC277" s="302"/>
      <c r="AMD277" s="302"/>
      <c r="AME277" s="302"/>
      <c r="AMF277" s="302"/>
      <c r="AMG277" s="302"/>
      <c r="AMH277" s="302"/>
      <c r="AMI277" s="302"/>
    </row>
    <row r="278" spans="1:1023" hidden="1">
      <c r="A278" s="302"/>
      <c r="B278" s="442">
        <v>14322</v>
      </c>
      <c r="C278" s="430">
        <v>0.09</v>
      </c>
      <c r="D278" s="370" t="s">
        <v>180</v>
      </c>
      <c r="E278" s="433">
        <v>3550000</v>
      </c>
      <c r="F278" s="500">
        <v>0.04</v>
      </c>
      <c r="G278" s="364">
        <f t="shared" si="15"/>
        <v>142000</v>
      </c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2"/>
      <c r="AE278" s="302"/>
      <c r="AF278" s="302"/>
      <c r="AG278" s="302"/>
      <c r="AH278" s="302"/>
      <c r="AI278" s="302"/>
      <c r="AJ278" s="302"/>
      <c r="AK278" s="302"/>
      <c r="AL278" s="302"/>
      <c r="AM278" s="302"/>
      <c r="AN278" s="302"/>
      <c r="AO278" s="302"/>
      <c r="AP278" s="302"/>
      <c r="AQ278" s="302"/>
      <c r="AR278" s="302"/>
      <c r="AS278" s="302"/>
      <c r="AT278" s="302"/>
      <c r="AU278" s="302"/>
      <c r="AV278" s="302"/>
      <c r="AW278" s="302"/>
      <c r="AX278" s="302"/>
      <c r="AY278" s="302"/>
      <c r="AZ278" s="302"/>
      <c r="BA278" s="302"/>
      <c r="BB278" s="302"/>
      <c r="BC278" s="302"/>
      <c r="BD278" s="302"/>
      <c r="BE278" s="302"/>
      <c r="BF278" s="302"/>
      <c r="BG278" s="302"/>
      <c r="BH278" s="302"/>
      <c r="BI278" s="302"/>
      <c r="BJ278" s="302"/>
      <c r="BK278" s="302"/>
      <c r="BL278" s="302"/>
      <c r="BM278" s="302"/>
      <c r="BN278" s="302"/>
      <c r="BO278" s="302"/>
      <c r="BP278" s="302"/>
      <c r="BQ278" s="302"/>
      <c r="BR278" s="302"/>
      <c r="BS278" s="302"/>
      <c r="BT278" s="302"/>
      <c r="BU278" s="302"/>
      <c r="BV278" s="302"/>
      <c r="BW278" s="302"/>
      <c r="BX278" s="302"/>
      <c r="BY278" s="302"/>
      <c r="BZ278" s="302"/>
      <c r="CA278" s="302"/>
      <c r="CB278" s="302"/>
      <c r="CC278" s="302"/>
      <c r="CD278" s="302"/>
      <c r="CE278" s="302"/>
      <c r="CF278" s="302"/>
      <c r="CG278" s="302"/>
      <c r="CH278" s="302"/>
      <c r="CI278" s="302"/>
      <c r="CJ278" s="302"/>
      <c r="CK278" s="302"/>
      <c r="CL278" s="302"/>
      <c r="CM278" s="302"/>
      <c r="CN278" s="302"/>
      <c r="CO278" s="302"/>
      <c r="CP278" s="302"/>
      <c r="CQ278" s="302"/>
      <c r="CR278" s="302"/>
      <c r="CS278" s="302"/>
      <c r="CT278" s="302"/>
      <c r="CU278" s="302"/>
      <c r="CV278" s="302"/>
      <c r="CW278" s="302"/>
      <c r="CX278" s="302"/>
      <c r="CY278" s="302"/>
      <c r="CZ278" s="302"/>
      <c r="DA278" s="302"/>
      <c r="DB278" s="302"/>
      <c r="DC278" s="302"/>
      <c r="DD278" s="302"/>
      <c r="DE278" s="302"/>
      <c r="DF278" s="302"/>
      <c r="DG278" s="302"/>
      <c r="DH278" s="302"/>
      <c r="DI278" s="302"/>
      <c r="DJ278" s="302"/>
      <c r="DK278" s="302"/>
      <c r="DL278" s="302"/>
      <c r="DM278" s="302"/>
      <c r="DN278" s="302"/>
      <c r="DO278" s="302"/>
      <c r="DP278" s="302"/>
      <c r="DQ278" s="302"/>
      <c r="DR278" s="302"/>
      <c r="DS278" s="302"/>
      <c r="DT278" s="302"/>
      <c r="DU278" s="302"/>
      <c r="DV278" s="302"/>
      <c r="DW278" s="302"/>
      <c r="DX278" s="302"/>
      <c r="DY278" s="302"/>
      <c r="DZ278" s="302"/>
      <c r="EA278" s="302"/>
      <c r="EB278" s="302"/>
      <c r="EC278" s="302"/>
      <c r="ED278" s="302"/>
      <c r="EE278" s="302"/>
      <c r="EF278" s="302"/>
      <c r="EG278" s="302"/>
      <c r="EH278" s="302"/>
      <c r="EI278" s="302"/>
      <c r="EJ278" s="302"/>
      <c r="EK278" s="302"/>
      <c r="EL278" s="302"/>
      <c r="EM278" s="302"/>
      <c r="EN278" s="302"/>
      <c r="EO278" s="302"/>
      <c r="EP278" s="302"/>
      <c r="EQ278" s="302"/>
      <c r="ER278" s="302"/>
      <c r="ES278" s="302"/>
      <c r="ET278" s="302"/>
      <c r="EU278" s="302"/>
      <c r="EV278" s="302"/>
      <c r="EW278" s="302"/>
      <c r="EX278" s="302"/>
      <c r="EY278" s="302"/>
      <c r="EZ278" s="302"/>
      <c r="FA278" s="302"/>
      <c r="FB278" s="302"/>
      <c r="FC278" s="302"/>
      <c r="FD278" s="302"/>
      <c r="FE278" s="302"/>
      <c r="FF278" s="302"/>
      <c r="FG278" s="302"/>
      <c r="FH278" s="302"/>
      <c r="FI278" s="302"/>
      <c r="FJ278" s="302"/>
      <c r="FK278" s="302"/>
      <c r="FL278" s="302"/>
      <c r="FM278" s="302"/>
      <c r="FN278" s="302"/>
      <c r="FO278" s="302"/>
      <c r="FP278" s="302"/>
      <c r="FQ278" s="302"/>
      <c r="FR278" s="302"/>
      <c r="FS278" s="302"/>
      <c r="FT278" s="302"/>
      <c r="FU278" s="302"/>
      <c r="FV278" s="302"/>
      <c r="FW278" s="302"/>
      <c r="FX278" s="302"/>
      <c r="FY278" s="302"/>
      <c r="FZ278" s="302"/>
      <c r="GA278" s="302"/>
      <c r="GB278" s="302"/>
      <c r="GC278" s="302"/>
      <c r="GD278" s="302"/>
      <c r="GE278" s="302"/>
      <c r="GF278" s="302"/>
      <c r="GG278" s="302"/>
      <c r="GH278" s="302"/>
      <c r="GI278" s="302"/>
      <c r="GJ278" s="302"/>
      <c r="GK278" s="302"/>
      <c r="GL278" s="302"/>
      <c r="GM278" s="302"/>
      <c r="GN278" s="302"/>
      <c r="GO278" s="302"/>
      <c r="GP278" s="302"/>
      <c r="GQ278" s="302"/>
      <c r="GR278" s="302"/>
      <c r="GS278" s="302"/>
      <c r="GT278" s="302"/>
      <c r="GU278" s="302"/>
      <c r="GV278" s="302"/>
      <c r="GW278" s="302"/>
      <c r="GX278" s="302"/>
      <c r="GY278" s="302"/>
      <c r="GZ278" s="302"/>
      <c r="HA278" s="302"/>
      <c r="HB278" s="302"/>
      <c r="HC278" s="302"/>
      <c r="HD278" s="302"/>
      <c r="HE278" s="302"/>
      <c r="HF278" s="302"/>
      <c r="HG278" s="302"/>
      <c r="HH278" s="302"/>
      <c r="HI278" s="302"/>
      <c r="HJ278" s="302"/>
      <c r="HK278" s="302"/>
      <c r="HL278" s="302"/>
      <c r="HM278" s="302"/>
      <c r="HN278" s="302"/>
      <c r="HO278" s="302"/>
      <c r="HP278" s="302"/>
      <c r="HQ278" s="302"/>
      <c r="HR278" s="302"/>
      <c r="HS278" s="302"/>
      <c r="HT278" s="302"/>
      <c r="HU278" s="302"/>
      <c r="HV278" s="302"/>
      <c r="HW278" s="302"/>
      <c r="HX278" s="302"/>
      <c r="HY278" s="302"/>
      <c r="HZ278" s="302"/>
      <c r="IA278" s="302"/>
      <c r="IB278" s="302"/>
      <c r="IC278" s="302"/>
      <c r="ID278" s="302"/>
      <c r="IE278" s="302"/>
      <c r="IF278" s="302"/>
      <c r="IG278" s="302"/>
      <c r="IH278" s="302"/>
      <c r="II278" s="302"/>
      <c r="IJ278" s="302"/>
      <c r="IK278" s="302"/>
      <c r="IL278" s="302"/>
      <c r="IM278" s="302"/>
      <c r="IN278" s="302"/>
      <c r="IO278" s="302"/>
      <c r="IP278" s="302"/>
      <c r="IQ278" s="302"/>
      <c r="IR278" s="302"/>
      <c r="IS278" s="302"/>
      <c r="IT278" s="302"/>
      <c r="IU278" s="302"/>
      <c r="IV278" s="302"/>
      <c r="IW278" s="302"/>
      <c r="IX278" s="302"/>
      <c r="IY278" s="302"/>
      <c r="IZ278" s="302"/>
      <c r="JA278" s="302"/>
      <c r="JB278" s="302"/>
      <c r="JC278" s="302"/>
      <c r="JD278" s="302"/>
      <c r="JE278" s="302"/>
      <c r="JF278" s="302"/>
      <c r="JG278" s="302"/>
      <c r="JH278" s="302"/>
      <c r="JI278" s="302"/>
      <c r="JJ278" s="302"/>
      <c r="JK278" s="302"/>
      <c r="JL278" s="302"/>
      <c r="JM278" s="302"/>
      <c r="JN278" s="302"/>
      <c r="JO278" s="302"/>
      <c r="JP278" s="302"/>
      <c r="JQ278" s="302"/>
      <c r="JR278" s="302"/>
      <c r="JS278" s="302"/>
      <c r="JT278" s="302"/>
      <c r="JU278" s="302"/>
      <c r="JV278" s="302"/>
      <c r="JW278" s="302"/>
      <c r="JX278" s="302"/>
      <c r="JY278" s="302"/>
      <c r="JZ278" s="302"/>
      <c r="KA278" s="302"/>
      <c r="KB278" s="302"/>
      <c r="KC278" s="302"/>
      <c r="KD278" s="302"/>
      <c r="KE278" s="302"/>
      <c r="KF278" s="302"/>
      <c r="KG278" s="302"/>
      <c r="KH278" s="302"/>
      <c r="KI278" s="302"/>
      <c r="KJ278" s="302"/>
      <c r="KK278" s="302"/>
      <c r="KL278" s="302"/>
      <c r="KM278" s="302"/>
      <c r="KN278" s="302"/>
      <c r="KO278" s="302"/>
      <c r="KP278" s="302"/>
      <c r="KQ278" s="302"/>
      <c r="KR278" s="302"/>
      <c r="KS278" s="302"/>
      <c r="KT278" s="302"/>
      <c r="KU278" s="302"/>
      <c r="KV278" s="302"/>
      <c r="KW278" s="302"/>
      <c r="KX278" s="302"/>
      <c r="KY278" s="302"/>
      <c r="KZ278" s="302"/>
      <c r="LA278" s="302"/>
      <c r="LB278" s="302"/>
      <c r="LC278" s="302"/>
      <c r="LD278" s="302"/>
      <c r="LE278" s="302"/>
      <c r="LF278" s="302"/>
      <c r="LG278" s="302"/>
      <c r="LH278" s="302"/>
      <c r="LI278" s="302"/>
      <c r="LJ278" s="302"/>
      <c r="LK278" s="302"/>
      <c r="LL278" s="302"/>
      <c r="LM278" s="302"/>
      <c r="LN278" s="302"/>
      <c r="LO278" s="302"/>
      <c r="LP278" s="302"/>
      <c r="LQ278" s="302"/>
      <c r="LR278" s="302"/>
      <c r="LS278" s="302"/>
      <c r="LT278" s="302"/>
      <c r="LU278" s="302"/>
      <c r="LV278" s="302"/>
      <c r="LW278" s="302"/>
      <c r="LX278" s="302"/>
      <c r="LY278" s="302"/>
      <c r="LZ278" s="302"/>
      <c r="MA278" s="302"/>
      <c r="MB278" s="302"/>
      <c r="MC278" s="302"/>
      <c r="MD278" s="302"/>
      <c r="ME278" s="302"/>
      <c r="MF278" s="302"/>
      <c r="MG278" s="302"/>
      <c r="MH278" s="302"/>
      <c r="MI278" s="302"/>
      <c r="MJ278" s="302"/>
      <c r="MK278" s="302"/>
      <c r="ML278" s="302"/>
      <c r="MM278" s="302"/>
      <c r="MN278" s="302"/>
      <c r="MO278" s="302"/>
      <c r="MP278" s="302"/>
      <c r="MQ278" s="302"/>
      <c r="MR278" s="302"/>
      <c r="MS278" s="302"/>
      <c r="MT278" s="302"/>
      <c r="MU278" s="302"/>
      <c r="MV278" s="302"/>
      <c r="MW278" s="302"/>
      <c r="MX278" s="302"/>
      <c r="MY278" s="302"/>
      <c r="MZ278" s="302"/>
      <c r="NA278" s="302"/>
      <c r="NB278" s="302"/>
      <c r="NC278" s="302"/>
      <c r="ND278" s="302"/>
      <c r="NE278" s="302"/>
      <c r="NF278" s="302"/>
      <c r="NG278" s="302"/>
      <c r="NH278" s="302"/>
      <c r="NI278" s="302"/>
      <c r="NJ278" s="302"/>
      <c r="NK278" s="302"/>
      <c r="NL278" s="302"/>
      <c r="NM278" s="302"/>
      <c r="NN278" s="302"/>
      <c r="NO278" s="302"/>
      <c r="NP278" s="302"/>
      <c r="NQ278" s="302"/>
      <c r="NR278" s="302"/>
      <c r="NS278" s="302"/>
      <c r="NT278" s="302"/>
      <c r="NU278" s="302"/>
      <c r="NV278" s="302"/>
      <c r="NW278" s="302"/>
      <c r="NX278" s="302"/>
      <c r="NY278" s="302"/>
      <c r="NZ278" s="302"/>
      <c r="OA278" s="302"/>
      <c r="OB278" s="302"/>
      <c r="OC278" s="302"/>
      <c r="OD278" s="302"/>
      <c r="OE278" s="302"/>
      <c r="OF278" s="302"/>
      <c r="OG278" s="302"/>
      <c r="OH278" s="302"/>
      <c r="OI278" s="302"/>
      <c r="OJ278" s="302"/>
      <c r="OK278" s="302"/>
      <c r="OL278" s="302"/>
      <c r="OM278" s="302"/>
      <c r="ON278" s="302"/>
      <c r="OO278" s="302"/>
      <c r="OP278" s="302"/>
      <c r="OQ278" s="302"/>
      <c r="OR278" s="302"/>
      <c r="OS278" s="302"/>
      <c r="OT278" s="302"/>
      <c r="OU278" s="302"/>
      <c r="OV278" s="302"/>
      <c r="OW278" s="302"/>
      <c r="OX278" s="302"/>
      <c r="OY278" s="302"/>
      <c r="OZ278" s="302"/>
      <c r="PA278" s="302"/>
      <c r="PB278" s="302"/>
      <c r="PC278" s="302"/>
      <c r="PD278" s="302"/>
      <c r="PE278" s="302"/>
      <c r="PF278" s="302"/>
      <c r="PG278" s="302"/>
      <c r="PH278" s="302"/>
      <c r="PI278" s="302"/>
      <c r="PJ278" s="302"/>
      <c r="PK278" s="302"/>
      <c r="PL278" s="302"/>
      <c r="PM278" s="302"/>
      <c r="PN278" s="302"/>
      <c r="PO278" s="302"/>
      <c r="PP278" s="302"/>
      <c r="PQ278" s="302"/>
      <c r="PR278" s="302"/>
      <c r="PS278" s="302"/>
      <c r="PT278" s="302"/>
      <c r="PU278" s="302"/>
      <c r="PV278" s="302"/>
      <c r="PW278" s="302"/>
      <c r="PX278" s="302"/>
      <c r="PY278" s="302"/>
      <c r="PZ278" s="302"/>
      <c r="QA278" s="302"/>
      <c r="QB278" s="302"/>
      <c r="QC278" s="302"/>
      <c r="QD278" s="302"/>
      <c r="QE278" s="302"/>
      <c r="QF278" s="302"/>
      <c r="QG278" s="302"/>
      <c r="QH278" s="302"/>
      <c r="QI278" s="302"/>
      <c r="QJ278" s="302"/>
      <c r="QK278" s="302"/>
      <c r="QL278" s="302"/>
      <c r="QM278" s="302"/>
      <c r="QN278" s="302"/>
      <c r="QO278" s="302"/>
      <c r="QP278" s="302"/>
      <c r="QQ278" s="302"/>
      <c r="QR278" s="302"/>
      <c r="QS278" s="302"/>
      <c r="QT278" s="302"/>
      <c r="QU278" s="302"/>
      <c r="QV278" s="302"/>
      <c r="QW278" s="302"/>
      <c r="QX278" s="302"/>
      <c r="QY278" s="302"/>
      <c r="QZ278" s="302"/>
      <c r="RA278" s="302"/>
      <c r="RB278" s="302"/>
      <c r="RC278" s="302"/>
      <c r="RD278" s="302"/>
      <c r="RE278" s="302"/>
      <c r="RF278" s="302"/>
      <c r="RG278" s="302"/>
      <c r="RH278" s="302"/>
      <c r="RI278" s="302"/>
      <c r="RJ278" s="302"/>
      <c r="RK278" s="302"/>
      <c r="RL278" s="302"/>
      <c r="RM278" s="302"/>
      <c r="RN278" s="302"/>
      <c r="RO278" s="302"/>
      <c r="RP278" s="302"/>
      <c r="RQ278" s="302"/>
      <c r="RR278" s="302"/>
      <c r="RS278" s="302"/>
      <c r="RT278" s="302"/>
      <c r="RU278" s="302"/>
      <c r="RV278" s="302"/>
      <c r="RW278" s="302"/>
      <c r="RX278" s="302"/>
      <c r="RY278" s="302"/>
      <c r="RZ278" s="302"/>
      <c r="SA278" s="302"/>
      <c r="SB278" s="302"/>
      <c r="SC278" s="302"/>
      <c r="SD278" s="302"/>
      <c r="SE278" s="302"/>
      <c r="SF278" s="302"/>
      <c r="SG278" s="302"/>
      <c r="SH278" s="302"/>
      <c r="SI278" s="302"/>
      <c r="SJ278" s="302"/>
      <c r="SK278" s="302"/>
      <c r="SL278" s="302"/>
      <c r="SM278" s="302"/>
      <c r="SN278" s="302"/>
      <c r="SO278" s="302"/>
      <c r="SP278" s="302"/>
      <c r="SQ278" s="302"/>
      <c r="SR278" s="302"/>
      <c r="SS278" s="302"/>
      <c r="ST278" s="302"/>
      <c r="SU278" s="302"/>
      <c r="SV278" s="302"/>
      <c r="SW278" s="302"/>
      <c r="SX278" s="302"/>
      <c r="SY278" s="302"/>
      <c r="SZ278" s="302"/>
      <c r="TA278" s="302"/>
      <c r="TB278" s="302"/>
      <c r="TC278" s="302"/>
      <c r="TD278" s="302"/>
      <c r="TE278" s="302"/>
      <c r="TF278" s="302"/>
      <c r="TG278" s="302"/>
      <c r="TH278" s="302"/>
      <c r="TI278" s="302"/>
      <c r="TJ278" s="302"/>
      <c r="TK278" s="302"/>
      <c r="TL278" s="302"/>
      <c r="TM278" s="302"/>
      <c r="TN278" s="302"/>
      <c r="TO278" s="302"/>
      <c r="TP278" s="302"/>
      <c r="TQ278" s="302"/>
      <c r="TR278" s="302"/>
      <c r="TS278" s="302"/>
      <c r="TT278" s="302"/>
      <c r="TU278" s="302"/>
      <c r="TV278" s="302"/>
      <c r="TW278" s="302"/>
      <c r="TX278" s="302"/>
      <c r="TY278" s="302"/>
      <c r="TZ278" s="302"/>
      <c r="UA278" s="302"/>
      <c r="UB278" s="302"/>
      <c r="UC278" s="302"/>
      <c r="UD278" s="302"/>
      <c r="UE278" s="302"/>
      <c r="UF278" s="302"/>
      <c r="UG278" s="302"/>
      <c r="UH278" s="302"/>
      <c r="UI278" s="302"/>
      <c r="UJ278" s="302"/>
      <c r="UK278" s="302"/>
      <c r="UL278" s="302"/>
      <c r="UM278" s="302"/>
      <c r="UN278" s="302"/>
      <c r="UO278" s="302"/>
      <c r="UP278" s="302"/>
      <c r="UQ278" s="302"/>
      <c r="UR278" s="302"/>
      <c r="US278" s="302"/>
      <c r="UT278" s="302"/>
      <c r="UU278" s="302"/>
      <c r="UV278" s="302"/>
      <c r="UW278" s="302"/>
      <c r="UX278" s="302"/>
      <c r="UY278" s="302"/>
      <c r="UZ278" s="302"/>
      <c r="VA278" s="302"/>
      <c r="VB278" s="302"/>
      <c r="VC278" s="302"/>
      <c r="VD278" s="302"/>
      <c r="VE278" s="302"/>
      <c r="VF278" s="302"/>
      <c r="VG278" s="302"/>
      <c r="VH278" s="302"/>
      <c r="VI278" s="302"/>
      <c r="VJ278" s="302"/>
      <c r="VK278" s="302"/>
      <c r="VL278" s="302"/>
      <c r="VM278" s="302"/>
      <c r="VN278" s="302"/>
      <c r="VO278" s="302"/>
      <c r="VP278" s="302"/>
      <c r="VQ278" s="302"/>
      <c r="VR278" s="302"/>
      <c r="VS278" s="302"/>
      <c r="VT278" s="302"/>
      <c r="VU278" s="302"/>
      <c r="VV278" s="302"/>
      <c r="VW278" s="302"/>
      <c r="VX278" s="302"/>
      <c r="VY278" s="302"/>
      <c r="VZ278" s="302"/>
      <c r="WA278" s="302"/>
      <c r="WB278" s="302"/>
      <c r="WC278" s="302"/>
      <c r="WD278" s="302"/>
      <c r="WE278" s="302"/>
      <c r="WF278" s="302"/>
      <c r="WG278" s="302"/>
      <c r="WH278" s="302"/>
      <c r="WI278" s="302"/>
      <c r="WJ278" s="302"/>
      <c r="WK278" s="302"/>
      <c r="WL278" s="302"/>
      <c r="WM278" s="302"/>
      <c r="WN278" s="302"/>
      <c r="WO278" s="302"/>
      <c r="WP278" s="302"/>
      <c r="WQ278" s="302"/>
      <c r="WR278" s="302"/>
      <c r="WS278" s="302"/>
      <c r="WT278" s="302"/>
      <c r="WU278" s="302"/>
      <c r="WV278" s="302"/>
      <c r="WW278" s="302"/>
      <c r="WX278" s="302"/>
      <c r="WY278" s="302"/>
      <c r="WZ278" s="302"/>
      <c r="XA278" s="302"/>
      <c r="XB278" s="302"/>
      <c r="XC278" s="302"/>
      <c r="XD278" s="302"/>
      <c r="XE278" s="302"/>
      <c r="XF278" s="302"/>
      <c r="XG278" s="302"/>
      <c r="XH278" s="302"/>
      <c r="XI278" s="302"/>
      <c r="XJ278" s="302"/>
      <c r="XK278" s="302"/>
      <c r="XL278" s="302"/>
      <c r="XM278" s="302"/>
      <c r="XN278" s="302"/>
      <c r="XO278" s="302"/>
      <c r="XP278" s="302"/>
      <c r="XQ278" s="302"/>
      <c r="XR278" s="302"/>
      <c r="XS278" s="302"/>
      <c r="XT278" s="302"/>
      <c r="XU278" s="302"/>
      <c r="XV278" s="302"/>
      <c r="XW278" s="302"/>
      <c r="XX278" s="302"/>
      <c r="XY278" s="302"/>
      <c r="XZ278" s="302"/>
      <c r="YA278" s="302"/>
      <c r="YB278" s="302"/>
      <c r="YC278" s="302"/>
      <c r="YD278" s="302"/>
      <c r="YE278" s="302"/>
      <c r="YF278" s="302"/>
      <c r="YG278" s="302"/>
      <c r="YH278" s="302"/>
      <c r="YI278" s="302"/>
      <c r="YJ278" s="302"/>
      <c r="YK278" s="302"/>
      <c r="YL278" s="302"/>
      <c r="YM278" s="302"/>
      <c r="YN278" s="302"/>
      <c r="YO278" s="302"/>
      <c r="YP278" s="302"/>
      <c r="YQ278" s="302"/>
      <c r="YR278" s="302"/>
      <c r="YS278" s="302"/>
      <c r="YT278" s="302"/>
      <c r="YU278" s="302"/>
      <c r="YV278" s="302"/>
      <c r="YW278" s="302"/>
      <c r="YX278" s="302"/>
      <c r="YY278" s="302"/>
      <c r="YZ278" s="302"/>
      <c r="ZA278" s="302"/>
      <c r="ZB278" s="302"/>
      <c r="ZC278" s="302"/>
      <c r="ZD278" s="302"/>
      <c r="ZE278" s="302"/>
      <c r="ZF278" s="302"/>
      <c r="ZG278" s="302"/>
      <c r="ZH278" s="302"/>
      <c r="ZI278" s="302"/>
      <c r="ZJ278" s="302"/>
      <c r="ZK278" s="302"/>
      <c r="ZL278" s="302"/>
      <c r="ZM278" s="302"/>
      <c r="ZN278" s="302"/>
      <c r="ZO278" s="302"/>
      <c r="ZP278" s="302"/>
      <c r="ZQ278" s="302"/>
      <c r="ZR278" s="302"/>
      <c r="ZS278" s="302"/>
      <c r="ZT278" s="302"/>
      <c r="ZU278" s="302"/>
      <c r="ZV278" s="302"/>
      <c r="ZW278" s="302"/>
      <c r="ZX278" s="302"/>
      <c r="ZY278" s="302"/>
      <c r="ZZ278" s="302"/>
      <c r="AAA278" s="302"/>
      <c r="AAB278" s="302"/>
      <c r="AAC278" s="302"/>
      <c r="AAD278" s="302"/>
      <c r="AAE278" s="302"/>
      <c r="AAF278" s="302"/>
      <c r="AAG278" s="302"/>
      <c r="AAH278" s="302"/>
      <c r="AAI278" s="302"/>
      <c r="AAJ278" s="302"/>
      <c r="AAK278" s="302"/>
      <c r="AAL278" s="302"/>
      <c r="AAM278" s="302"/>
      <c r="AAN278" s="302"/>
      <c r="AAO278" s="302"/>
      <c r="AAP278" s="302"/>
      <c r="AAQ278" s="302"/>
      <c r="AAR278" s="302"/>
      <c r="AAS278" s="302"/>
      <c r="AAT278" s="302"/>
      <c r="AAU278" s="302"/>
      <c r="AAV278" s="302"/>
      <c r="AAW278" s="302"/>
      <c r="AAX278" s="302"/>
      <c r="AAY278" s="302"/>
      <c r="AAZ278" s="302"/>
      <c r="ABA278" s="302"/>
      <c r="ABB278" s="302"/>
      <c r="ABC278" s="302"/>
      <c r="ABD278" s="302"/>
      <c r="ABE278" s="302"/>
      <c r="ABF278" s="302"/>
      <c r="ABG278" s="302"/>
      <c r="ABH278" s="302"/>
      <c r="ABI278" s="302"/>
      <c r="ABJ278" s="302"/>
      <c r="ABK278" s="302"/>
      <c r="ABL278" s="302"/>
      <c r="ABM278" s="302"/>
      <c r="ABN278" s="302"/>
      <c r="ABO278" s="302"/>
      <c r="ABP278" s="302"/>
      <c r="ABQ278" s="302"/>
      <c r="ABR278" s="302"/>
      <c r="ABS278" s="302"/>
      <c r="ABT278" s="302"/>
      <c r="ABU278" s="302"/>
      <c r="ABV278" s="302"/>
      <c r="ABW278" s="302"/>
      <c r="ABX278" s="302"/>
      <c r="ABY278" s="302"/>
      <c r="ABZ278" s="302"/>
      <c r="ACA278" s="302"/>
      <c r="ACB278" s="302"/>
      <c r="ACC278" s="302"/>
      <c r="ACD278" s="302"/>
      <c r="ACE278" s="302"/>
      <c r="ACF278" s="302"/>
      <c r="ACG278" s="302"/>
      <c r="ACH278" s="302"/>
      <c r="ACI278" s="302"/>
      <c r="ACJ278" s="302"/>
      <c r="ACK278" s="302"/>
      <c r="ACL278" s="302"/>
      <c r="ACM278" s="302"/>
      <c r="ACN278" s="302"/>
      <c r="ACO278" s="302"/>
      <c r="ACP278" s="302"/>
      <c r="ACQ278" s="302"/>
      <c r="ACR278" s="302"/>
      <c r="ACS278" s="302"/>
      <c r="ACT278" s="302"/>
      <c r="ACU278" s="302"/>
      <c r="ACV278" s="302"/>
      <c r="ACW278" s="302"/>
      <c r="ACX278" s="302"/>
      <c r="ACY278" s="302"/>
      <c r="ACZ278" s="302"/>
      <c r="ADA278" s="302"/>
      <c r="ADB278" s="302"/>
      <c r="ADC278" s="302"/>
      <c r="ADD278" s="302"/>
      <c r="ADE278" s="302"/>
      <c r="ADF278" s="302"/>
      <c r="ADG278" s="302"/>
      <c r="ADH278" s="302"/>
      <c r="ADI278" s="302"/>
      <c r="ADJ278" s="302"/>
      <c r="ADK278" s="302"/>
      <c r="ADL278" s="302"/>
      <c r="ADM278" s="302"/>
      <c r="ADN278" s="302"/>
      <c r="ADO278" s="302"/>
      <c r="ADP278" s="302"/>
      <c r="ADQ278" s="302"/>
      <c r="ADR278" s="302"/>
      <c r="ADS278" s="302"/>
      <c r="ADT278" s="302"/>
      <c r="ADU278" s="302"/>
      <c r="ADV278" s="302"/>
      <c r="ADW278" s="302"/>
      <c r="ADX278" s="302"/>
      <c r="ADY278" s="302"/>
      <c r="ADZ278" s="302"/>
      <c r="AEA278" s="302"/>
      <c r="AEB278" s="302"/>
      <c r="AEC278" s="302"/>
      <c r="AED278" s="302"/>
      <c r="AEE278" s="302"/>
      <c r="AEF278" s="302"/>
      <c r="AEG278" s="302"/>
      <c r="AEH278" s="302"/>
      <c r="AEI278" s="302"/>
      <c r="AEJ278" s="302"/>
      <c r="AEK278" s="302"/>
      <c r="AEL278" s="302"/>
      <c r="AEM278" s="302"/>
      <c r="AEN278" s="302"/>
      <c r="AEO278" s="302"/>
      <c r="AEP278" s="302"/>
      <c r="AEQ278" s="302"/>
      <c r="AER278" s="302"/>
      <c r="AES278" s="302"/>
      <c r="AET278" s="302"/>
      <c r="AEU278" s="302"/>
      <c r="AEV278" s="302"/>
      <c r="AEW278" s="302"/>
      <c r="AEX278" s="302"/>
      <c r="AEY278" s="302"/>
      <c r="AEZ278" s="302"/>
      <c r="AFA278" s="302"/>
      <c r="AFB278" s="302"/>
      <c r="AFC278" s="302"/>
      <c r="AFD278" s="302"/>
      <c r="AFE278" s="302"/>
      <c r="AFF278" s="302"/>
      <c r="AFG278" s="302"/>
      <c r="AFH278" s="302"/>
      <c r="AFI278" s="302"/>
      <c r="AFJ278" s="302"/>
      <c r="AFK278" s="302"/>
      <c r="AFL278" s="302"/>
      <c r="AFM278" s="302"/>
      <c r="AFN278" s="302"/>
      <c r="AFO278" s="302"/>
      <c r="AFP278" s="302"/>
      <c r="AFQ278" s="302"/>
      <c r="AFR278" s="302"/>
      <c r="AFS278" s="302"/>
      <c r="AFT278" s="302"/>
      <c r="AFU278" s="302"/>
      <c r="AFV278" s="302"/>
      <c r="AFW278" s="302"/>
      <c r="AFX278" s="302"/>
      <c r="AFY278" s="302"/>
      <c r="AFZ278" s="302"/>
      <c r="AGA278" s="302"/>
      <c r="AGB278" s="302"/>
      <c r="AGC278" s="302"/>
      <c r="AGD278" s="302"/>
      <c r="AGE278" s="302"/>
      <c r="AGF278" s="302"/>
      <c r="AGG278" s="302"/>
      <c r="AGH278" s="302"/>
      <c r="AGI278" s="302"/>
      <c r="AGJ278" s="302"/>
      <c r="AGK278" s="302"/>
      <c r="AGL278" s="302"/>
      <c r="AGM278" s="302"/>
      <c r="AGN278" s="302"/>
      <c r="AGO278" s="302"/>
      <c r="AGP278" s="302"/>
      <c r="AGQ278" s="302"/>
      <c r="AGR278" s="302"/>
      <c r="AGS278" s="302"/>
      <c r="AGT278" s="302"/>
      <c r="AGU278" s="302"/>
      <c r="AGV278" s="302"/>
      <c r="AGW278" s="302"/>
      <c r="AGX278" s="302"/>
      <c r="AGY278" s="302"/>
      <c r="AGZ278" s="302"/>
      <c r="AHA278" s="302"/>
      <c r="AHB278" s="302"/>
      <c r="AHC278" s="302"/>
      <c r="AHD278" s="302"/>
      <c r="AHE278" s="302"/>
      <c r="AHF278" s="302"/>
      <c r="AHG278" s="302"/>
      <c r="AHH278" s="302"/>
      <c r="AHI278" s="302"/>
      <c r="AHJ278" s="302"/>
      <c r="AHK278" s="302"/>
      <c r="AHL278" s="302"/>
      <c r="AHM278" s="302"/>
      <c r="AHN278" s="302"/>
      <c r="AHO278" s="302"/>
      <c r="AHP278" s="302"/>
      <c r="AHQ278" s="302"/>
      <c r="AHR278" s="302"/>
      <c r="AHS278" s="302"/>
      <c r="AHT278" s="302"/>
      <c r="AHU278" s="302"/>
      <c r="AHV278" s="302"/>
      <c r="AHW278" s="302"/>
      <c r="AHX278" s="302"/>
      <c r="AHY278" s="302"/>
      <c r="AHZ278" s="302"/>
      <c r="AIA278" s="302"/>
      <c r="AIB278" s="302"/>
      <c r="AIC278" s="302"/>
      <c r="AID278" s="302"/>
      <c r="AIE278" s="302"/>
      <c r="AIF278" s="302"/>
      <c r="AIG278" s="302"/>
      <c r="AIH278" s="302"/>
      <c r="AII278" s="302"/>
      <c r="AIJ278" s="302"/>
      <c r="AIK278" s="302"/>
      <c r="AIL278" s="302"/>
      <c r="AIM278" s="302"/>
      <c r="AIN278" s="302"/>
      <c r="AIO278" s="302"/>
      <c r="AIP278" s="302"/>
      <c r="AIQ278" s="302"/>
      <c r="AIR278" s="302"/>
      <c r="AIS278" s="302"/>
      <c r="AIT278" s="302"/>
      <c r="AIU278" s="302"/>
      <c r="AIV278" s="302"/>
      <c r="AIW278" s="302"/>
      <c r="AIX278" s="302"/>
      <c r="AIY278" s="302"/>
      <c r="AIZ278" s="302"/>
      <c r="AJA278" s="302"/>
      <c r="AJB278" s="302"/>
      <c r="AJC278" s="302"/>
      <c r="AJD278" s="302"/>
      <c r="AJE278" s="302"/>
      <c r="AJF278" s="302"/>
      <c r="AJG278" s="302"/>
      <c r="AJH278" s="302"/>
      <c r="AJI278" s="302"/>
      <c r="AJJ278" s="302"/>
      <c r="AJK278" s="302"/>
      <c r="AJL278" s="302"/>
      <c r="AJM278" s="302"/>
      <c r="AJN278" s="302"/>
      <c r="AJO278" s="302"/>
      <c r="AJP278" s="302"/>
      <c r="AJQ278" s="302"/>
      <c r="AJR278" s="302"/>
      <c r="AJS278" s="302"/>
      <c r="AJT278" s="302"/>
      <c r="AJU278" s="302"/>
      <c r="AJV278" s="302"/>
      <c r="AJW278" s="302"/>
      <c r="AJX278" s="302"/>
      <c r="AJY278" s="302"/>
      <c r="AJZ278" s="302"/>
      <c r="AKA278" s="302"/>
      <c r="AKB278" s="302"/>
      <c r="AKC278" s="302"/>
      <c r="AKD278" s="302"/>
      <c r="AKE278" s="302"/>
      <c r="AKF278" s="302"/>
      <c r="AKG278" s="302"/>
      <c r="AKH278" s="302"/>
      <c r="AKI278" s="302"/>
      <c r="AKJ278" s="302"/>
      <c r="AKK278" s="302"/>
      <c r="AKL278" s="302"/>
      <c r="AKM278" s="302"/>
      <c r="AKN278" s="302"/>
      <c r="AKO278" s="302"/>
      <c r="AKP278" s="302"/>
      <c r="AKQ278" s="302"/>
      <c r="AKR278" s="302"/>
      <c r="AKS278" s="302"/>
      <c r="AKT278" s="302"/>
      <c r="AKU278" s="302"/>
      <c r="AKV278" s="302"/>
      <c r="AKW278" s="302"/>
      <c r="AKX278" s="302"/>
      <c r="AKY278" s="302"/>
      <c r="AKZ278" s="302"/>
      <c r="ALA278" s="302"/>
      <c r="ALB278" s="302"/>
      <c r="ALC278" s="302"/>
      <c r="ALD278" s="302"/>
      <c r="ALE278" s="302"/>
      <c r="ALF278" s="302"/>
      <c r="ALG278" s="302"/>
      <c r="ALH278" s="302"/>
      <c r="ALI278" s="302"/>
      <c r="ALJ278" s="302"/>
      <c r="ALK278" s="302"/>
      <c r="ALL278" s="302"/>
      <c r="ALM278" s="302"/>
      <c r="ALN278" s="302"/>
      <c r="ALO278" s="302"/>
      <c r="ALP278" s="302"/>
      <c r="ALQ278" s="302"/>
      <c r="ALR278" s="302"/>
      <c r="ALS278" s="302"/>
      <c r="ALT278" s="302"/>
      <c r="ALU278" s="302"/>
      <c r="ALV278" s="302"/>
      <c r="ALW278" s="302"/>
      <c r="ALX278" s="302"/>
      <c r="ALY278" s="302"/>
      <c r="ALZ278" s="302"/>
      <c r="AMA278" s="302"/>
      <c r="AMB278" s="302"/>
      <c r="AMC278" s="302"/>
      <c r="AMD278" s="302"/>
      <c r="AME278" s="302"/>
      <c r="AMF278" s="302"/>
      <c r="AMG278" s="302"/>
      <c r="AMH278" s="302"/>
      <c r="AMI278" s="302"/>
    </row>
    <row r="279" spans="1:1023" hidden="1">
      <c r="A279" s="302"/>
      <c r="B279" s="443">
        <v>14260</v>
      </c>
      <c r="C279" s="521">
        <v>0.08</v>
      </c>
      <c r="D279" s="370" t="s">
        <v>201</v>
      </c>
      <c r="E279" s="401">
        <v>3000000</v>
      </c>
      <c r="F279" s="500">
        <v>0.04</v>
      </c>
      <c r="G279" s="364">
        <f t="shared" si="15"/>
        <v>120000</v>
      </c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  <c r="AD279" s="302"/>
      <c r="AE279" s="302"/>
      <c r="AF279" s="302"/>
      <c r="AG279" s="302"/>
      <c r="AH279" s="302"/>
      <c r="AI279" s="302"/>
      <c r="AJ279" s="302"/>
      <c r="AK279" s="302"/>
      <c r="AL279" s="302"/>
      <c r="AM279" s="302"/>
      <c r="AN279" s="302"/>
      <c r="AO279" s="302"/>
      <c r="AP279" s="302"/>
      <c r="AQ279" s="302"/>
      <c r="AR279" s="302"/>
      <c r="AS279" s="302"/>
      <c r="AT279" s="302"/>
      <c r="AU279" s="302"/>
      <c r="AV279" s="302"/>
      <c r="AW279" s="302"/>
      <c r="AX279" s="302"/>
      <c r="AY279" s="302"/>
      <c r="AZ279" s="302"/>
      <c r="BA279" s="302"/>
      <c r="BB279" s="302"/>
      <c r="BC279" s="302"/>
      <c r="BD279" s="302"/>
      <c r="BE279" s="302"/>
      <c r="BF279" s="302"/>
      <c r="BG279" s="302"/>
      <c r="BH279" s="302"/>
      <c r="BI279" s="302"/>
      <c r="BJ279" s="302"/>
      <c r="BK279" s="302"/>
      <c r="BL279" s="302"/>
      <c r="BM279" s="302"/>
      <c r="BN279" s="302"/>
      <c r="BO279" s="302"/>
      <c r="BP279" s="302"/>
      <c r="BQ279" s="302"/>
      <c r="BR279" s="302"/>
      <c r="BS279" s="302"/>
      <c r="BT279" s="302"/>
      <c r="BU279" s="302"/>
      <c r="BV279" s="302"/>
      <c r="BW279" s="302"/>
      <c r="BX279" s="302"/>
      <c r="BY279" s="302"/>
      <c r="BZ279" s="302"/>
      <c r="CA279" s="302"/>
      <c r="CB279" s="302"/>
      <c r="CC279" s="302"/>
      <c r="CD279" s="302"/>
      <c r="CE279" s="302"/>
      <c r="CF279" s="302"/>
      <c r="CG279" s="302"/>
      <c r="CH279" s="302"/>
      <c r="CI279" s="302"/>
      <c r="CJ279" s="302"/>
      <c r="CK279" s="302"/>
      <c r="CL279" s="302"/>
      <c r="CM279" s="302"/>
      <c r="CN279" s="302"/>
      <c r="CO279" s="302"/>
      <c r="CP279" s="302"/>
      <c r="CQ279" s="302"/>
      <c r="CR279" s="302"/>
      <c r="CS279" s="302"/>
      <c r="CT279" s="302"/>
      <c r="CU279" s="302"/>
      <c r="CV279" s="302"/>
      <c r="CW279" s="302"/>
      <c r="CX279" s="302"/>
      <c r="CY279" s="302"/>
      <c r="CZ279" s="302"/>
      <c r="DA279" s="302"/>
      <c r="DB279" s="302"/>
      <c r="DC279" s="302"/>
      <c r="DD279" s="302"/>
      <c r="DE279" s="302"/>
      <c r="DF279" s="302"/>
      <c r="DG279" s="302"/>
      <c r="DH279" s="302"/>
      <c r="DI279" s="302"/>
      <c r="DJ279" s="302"/>
      <c r="DK279" s="302"/>
      <c r="DL279" s="302"/>
      <c r="DM279" s="302"/>
      <c r="DN279" s="302"/>
      <c r="DO279" s="302"/>
      <c r="DP279" s="302"/>
      <c r="DQ279" s="302"/>
      <c r="DR279" s="302"/>
      <c r="DS279" s="302"/>
      <c r="DT279" s="302"/>
      <c r="DU279" s="302"/>
      <c r="DV279" s="302"/>
      <c r="DW279" s="302"/>
      <c r="DX279" s="302"/>
      <c r="DY279" s="302"/>
      <c r="DZ279" s="302"/>
      <c r="EA279" s="302"/>
      <c r="EB279" s="302"/>
      <c r="EC279" s="302"/>
      <c r="ED279" s="302"/>
      <c r="EE279" s="302"/>
      <c r="EF279" s="302"/>
      <c r="EG279" s="302"/>
      <c r="EH279" s="302"/>
      <c r="EI279" s="302"/>
      <c r="EJ279" s="302"/>
      <c r="EK279" s="302"/>
      <c r="EL279" s="302"/>
      <c r="EM279" s="302"/>
      <c r="EN279" s="302"/>
      <c r="EO279" s="302"/>
      <c r="EP279" s="302"/>
      <c r="EQ279" s="302"/>
      <c r="ER279" s="302"/>
      <c r="ES279" s="302"/>
      <c r="ET279" s="302"/>
      <c r="EU279" s="302"/>
      <c r="EV279" s="302"/>
      <c r="EW279" s="302"/>
      <c r="EX279" s="302"/>
      <c r="EY279" s="302"/>
      <c r="EZ279" s="302"/>
      <c r="FA279" s="302"/>
      <c r="FB279" s="302"/>
      <c r="FC279" s="302"/>
      <c r="FD279" s="302"/>
      <c r="FE279" s="302"/>
      <c r="FF279" s="302"/>
      <c r="FG279" s="302"/>
      <c r="FH279" s="302"/>
      <c r="FI279" s="302"/>
      <c r="FJ279" s="302"/>
      <c r="FK279" s="302"/>
      <c r="FL279" s="302"/>
      <c r="FM279" s="302"/>
      <c r="FN279" s="302"/>
      <c r="FO279" s="302"/>
      <c r="FP279" s="302"/>
      <c r="FQ279" s="302"/>
      <c r="FR279" s="302"/>
      <c r="FS279" s="302"/>
      <c r="FT279" s="302"/>
      <c r="FU279" s="302"/>
      <c r="FV279" s="302"/>
      <c r="FW279" s="302"/>
      <c r="FX279" s="302"/>
      <c r="FY279" s="302"/>
      <c r="FZ279" s="302"/>
      <c r="GA279" s="302"/>
      <c r="GB279" s="302"/>
      <c r="GC279" s="302"/>
      <c r="GD279" s="302"/>
      <c r="GE279" s="302"/>
      <c r="GF279" s="302"/>
      <c r="GG279" s="302"/>
      <c r="GH279" s="302"/>
      <c r="GI279" s="302"/>
      <c r="GJ279" s="302"/>
      <c r="GK279" s="302"/>
      <c r="GL279" s="302"/>
      <c r="GM279" s="302"/>
      <c r="GN279" s="302"/>
      <c r="GO279" s="302"/>
      <c r="GP279" s="302"/>
      <c r="GQ279" s="302"/>
      <c r="GR279" s="302"/>
      <c r="GS279" s="302"/>
      <c r="GT279" s="302"/>
      <c r="GU279" s="302"/>
      <c r="GV279" s="302"/>
      <c r="GW279" s="302"/>
      <c r="GX279" s="302"/>
      <c r="GY279" s="302"/>
      <c r="GZ279" s="302"/>
      <c r="HA279" s="302"/>
      <c r="HB279" s="302"/>
      <c r="HC279" s="302"/>
      <c r="HD279" s="302"/>
      <c r="HE279" s="302"/>
      <c r="HF279" s="302"/>
      <c r="HG279" s="302"/>
      <c r="HH279" s="302"/>
      <c r="HI279" s="302"/>
      <c r="HJ279" s="302"/>
      <c r="HK279" s="302"/>
      <c r="HL279" s="302"/>
      <c r="HM279" s="302"/>
      <c r="HN279" s="302"/>
      <c r="HO279" s="302"/>
      <c r="HP279" s="302"/>
      <c r="HQ279" s="302"/>
      <c r="HR279" s="302"/>
      <c r="HS279" s="302"/>
      <c r="HT279" s="302"/>
      <c r="HU279" s="302"/>
      <c r="HV279" s="302"/>
      <c r="HW279" s="302"/>
      <c r="HX279" s="302"/>
      <c r="HY279" s="302"/>
      <c r="HZ279" s="302"/>
      <c r="IA279" s="302"/>
      <c r="IB279" s="302"/>
      <c r="IC279" s="302"/>
      <c r="ID279" s="302"/>
      <c r="IE279" s="302"/>
      <c r="IF279" s="302"/>
      <c r="IG279" s="302"/>
      <c r="IH279" s="302"/>
      <c r="II279" s="302"/>
      <c r="IJ279" s="302"/>
      <c r="IK279" s="302"/>
      <c r="IL279" s="302"/>
      <c r="IM279" s="302"/>
      <c r="IN279" s="302"/>
      <c r="IO279" s="302"/>
      <c r="IP279" s="302"/>
      <c r="IQ279" s="302"/>
      <c r="IR279" s="302"/>
      <c r="IS279" s="302"/>
      <c r="IT279" s="302"/>
      <c r="IU279" s="302"/>
      <c r="IV279" s="302"/>
      <c r="IW279" s="302"/>
      <c r="IX279" s="302"/>
      <c r="IY279" s="302"/>
      <c r="IZ279" s="302"/>
      <c r="JA279" s="302"/>
      <c r="JB279" s="302"/>
      <c r="JC279" s="302"/>
      <c r="JD279" s="302"/>
      <c r="JE279" s="302"/>
      <c r="JF279" s="302"/>
      <c r="JG279" s="302"/>
      <c r="JH279" s="302"/>
      <c r="JI279" s="302"/>
      <c r="JJ279" s="302"/>
      <c r="JK279" s="302"/>
      <c r="JL279" s="302"/>
      <c r="JM279" s="302"/>
      <c r="JN279" s="302"/>
      <c r="JO279" s="302"/>
      <c r="JP279" s="302"/>
      <c r="JQ279" s="302"/>
      <c r="JR279" s="302"/>
      <c r="JS279" s="302"/>
      <c r="JT279" s="302"/>
      <c r="JU279" s="302"/>
      <c r="JV279" s="302"/>
      <c r="JW279" s="302"/>
      <c r="JX279" s="302"/>
      <c r="JY279" s="302"/>
      <c r="JZ279" s="302"/>
      <c r="KA279" s="302"/>
      <c r="KB279" s="302"/>
      <c r="KC279" s="302"/>
      <c r="KD279" s="302"/>
      <c r="KE279" s="302"/>
      <c r="KF279" s="302"/>
      <c r="KG279" s="302"/>
      <c r="KH279" s="302"/>
      <c r="KI279" s="302"/>
      <c r="KJ279" s="302"/>
      <c r="KK279" s="302"/>
      <c r="KL279" s="302"/>
      <c r="KM279" s="302"/>
      <c r="KN279" s="302"/>
      <c r="KO279" s="302"/>
      <c r="KP279" s="302"/>
      <c r="KQ279" s="302"/>
      <c r="KR279" s="302"/>
      <c r="KS279" s="302"/>
      <c r="KT279" s="302"/>
      <c r="KU279" s="302"/>
      <c r="KV279" s="302"/>
      <c r="KW279" s="302"/>
      <c r="KX279" s="302"/>
      <c r="KY279" s="302"/>
      <c r="KZ279" s="302"/>
      <c r="LA279" s="302"/>
      <c r="LB279" s="302"/>
      <c r="LC279" s="302"/>
      <c r="LD279" s="302"/>
      <c r="LE279" s="302"/>
      <c r="LF279" s="302"/>
      <c r="LG279" s="302"/>
      <c r="LH279" s="302"/>
      <c r="LI279" s="302"/>
      <c r="LJ279" s="302"/>
      <c r="LK279" s="302"/>
      <c r="LL279" s="302"/>
      <c r="LM279" s="302"/>
      <c r="LN279" s="302"/>
      <c r="LO279" s="302"/>
      <c r="LP279" s="302"/>
      <c r="LQ279" s="302"/>
      <c r="LR279" s="302"/>
      <c r="LS279" s="302"/>
      <c r="LT279" s="302"/>
      <c r="LU279" s="302"/>
      <c r="LV279" s="302"/>
      <c r="LW279" s="302"/>
      <c r="LX279" s="302"/>
      <c r="LY279" s="302"/>
      <c r="LZ279" s="302"/>
      <c r="MA279" s="302"/>
      <c r="MB279" s="302"/>
      <c r="MC279" s="302"/>
      <c r="MD279" s="302"/>
      <c r="ME279" s="302"/>
      <c r="MF279" s="302"/>
      <c r="MG279" s="302"/>
      <c r="MH279" s="302"/>
      <c r="MI279" s="302"/>
      <c r="MJ279" s="302"/>
      <c r="MK279" s="302"/>
      <c r="ML279" s="302"/>
      <c r="MM279" s="302"/>
      <c r="MN279" s="302"/>
      <c r="MO279" s="302"/>
      <c r="MP279" s="302"/>
      <c r="MQ279" s="302"/>
      <c r="MR279" s="302"/>
      <c r="MS279" s="302"/>
      <c r="MT279" s="302"/>
      <c r="MU279" s="302"/>
      <c r="MV279" s="302"/>
      <c r="MW279" s="302"/>
      <c r="MX279" s="302"/>
      <c r="MY279" s="302"/>
      <c r="MZ279" s="302"/>
      <c r="NA279" s="302"/>
      <c r="NB279" s="302"/>
      <c r="NC279" s="302"/>
      <c r="ND279" s="302"/>
      <c r="NE279" s="302"/>
      <c r="NF279" s="302"/>
      <c r="NG279" s="302"/>
      <c r="NH279" s="302"/>
      <c r="NI279" s="302"/>
      <c r="NJ279" s="302"/>
      <c r="NK279" s="302"/>
      <c r="NL279" s="302"/>
      <c r="NM279" s="302"/>
      <c r="NN279" s="302"/>
      <c r="NO279" s="302"/>
      <c r="NP279" s="302"/>
      <c r="NQ279" s="302"/>
      <c r="NR279" s="302"/>
      <c r="NS279" s="302"/>
      <c r="NT279" s="302"/>
      <c r="NU279" s="302"/>
      <c r="NV279" s="302"/>
      <c r="NW279" s="302"/>
      <c r="NX279" s="302"/>
      <c r="NY279" s="302"/>
      <c r="NZ279" s="302"/>
      <c r="OA279" s="302"/>
      <c r="OB279" s="302"/>
      <c r="OC279" s="302"/>
      <c r="OD279" s="302"/>
      <c r="OE279" s="302"/>
      <c r="OF279" s="302"/>
      <c r="OG279" s="302"/>
      <c r="OH279" s="302"/>
      <c r="OI279" s="302"/>
      <c r="OJ279" s="302"/>
      <c r="OK279" s="302"/>
      <c r="OL279" s="302"/>
      <c r="OM279" s="302"/>
      <c r="ON279" s="302"/>
      <c r="OO279" s="302"/>
      <c r="OP279" s="302"/>
      <c r="OQ279" s="302"/>
      <c r="OR279" s="302"/>
      <c r="OS279" s="302"/>
      <c r="OT279" s="302"/>
      <c r="OU279" s="302"/>
      <c r="OV279" s="302"/>
      <c r="OW279" s="302"/>
      <c r="OX279" s="302"/>
      <c r="OY279" s="302"/>
      <c r="OZ279" s="302"/>
      <c r="PA279" s="302"/>
      <c r="PB279" s="302"/>
      <c r="PC279" s="302"/>
      <c r="PD279" s="302"/>
      <c r="PE279" s="302"/>
      <c r="PF279" s="302"/>
      <c r="PG279" s="302"/>
      <c r="PH279" s="302"/>
      <c r="PI279" s="302"/>
      <c r="PJ279" s="302"/>
      <c r="PK279" s="302"/>
      <c r="PL279" s="302"/>
      <c r="PM279" s="302"/>
      <c r="PN279" s="302"/>
      <c r="PO279" s="302"/>
      <c r="PP279" s="302"/>
      <c r="PQ279" s="302"/>
      <c r="PR279" s="302"/>
      <c r="PS279" s="302"/>
      <c r="PT279" s="302"/>
      <c r="PU279" s="302"/>
      <c r="PV279" s="302"/>
      <c r="PW279" s="302"/>
      <c r="PX279" s="302"/>
      <c r="PY279" s="302"/>
      <c r="PZ279" s="302"/>
      <c r="QA279" s="302"/>
      <c r="QB279" s="302"/>
      <c r="QC279" s="302"/>
      <c r="QD279" s="302"/>
      <c r="QE279" s="302"/>
      <c r="QF279" s="302"/>
      <c r="QG279" s="302"/>
      <c r="QH279" s="302"/>
      <c r="QI279" s="302"/>
      <c r="QJ279" s="302"/>
      <c r="QK279" s="302"/>
      <c r="QL279" s="302"/>
      <c r="QM279" s="302"/>
      <c r="QN279" s="302"/>
      <c r="QO279" s="302"/>
      <c r="QP279" s="302"/>
      <c r="QQ279" s="302"/>
      <c r="QR279" s="302"/>
      <c r="QS279" s="302"/>
      <c r="QT279" s="302"/>
      <c r="QU279" s="302"/>
      <c r="QV279" s="302"/>
      <c r="QW279" s="302"/>
      <c r="QX279" s="302"/>
      <c r="QY279" s="302"/>
      <c r="QZ279" s="302"/>
      <c r="RA279" s="302"/>
      <c r="RB279" s="302"/>
      <c r="RC279" s="302"/>
      <c r="RD279" s="302"/>
      <c r="RE279" s="302"/>
      <c r="RF279" s="302"/>
      <c r="RG279" s="302"/>
      <c r="RH279" s="302"/>
      <c r="RI279" s="302"/>
      <c r="RJ279" s="302"/>
      <c r="RK279" s="302"/>
      <c r="RL279" s="302"/>
      <c r="RM279" s="302"/>
      <c r="RN279" s="302"/>
      <c r="RO279" s="302"/>
      <c r="RP279" s="302"/>
      <c r="RQ279" s="302"/>
      <c r="RR279" s="302"/>
      <c r="RS279" s="302"/>
      <c r="RT279" s="302"/>
      <c r="RU279" s="302"/>
      <c r="RV279" s="302"/>
      <c r="RW279" s="302"/>
      <c r="RX279" s="302"/>
      <c r="RY279" s="302"/>
      <c r="RZ279" s="302"/>
      <c r="SA279" s="302"/>
      <c r="SB279" s="302"/>
      <c r="SC279" s="302"/>
      <c r="SD279" s="302"/>
      <c r="SE279" s="302"/>
      <c r="SF279" s="302"/>
      <c r="SG279" s="302"/>
      <c r="SH279" s="302"/>
      <c r="SI279" s="302"/>
      <c r="SJ279" s="302"/>
      <c r="SK279" s="302"/>
      <c r="SL279" s="302"/>
      <c r="SM279" s="302"/>
      <c r="SN279" s="302"/>
      <c r="SO279" s="302"/>
      <c r="SP279" s="302"/>
      <c r="SQ279" s="302"/>
      <c r="SR279" s="302"/>
      <c r="SS279" s="302"/>
      <c r="ST279" s="302"/>
      <c r="SU279" s="302"/>
      <c r="SV279" s="302"/>
      <c r="SW279" s="302"/>
      <c r="SX279" s="302"/>
      <c r="SY279" s="302"/>
      <c r="SZ279" s="302"/>
      <c r="TA279" s="302"/>
      <c r="TB279" s="302"/>
      <c r="TC279" s="302"/>
      <c r="TD279" s="302"/>
      <c r="TE279" s="302"/>
      <c r="TF279" s="302"/>
      <c r="TG279" s="302"/>
      <c r="TH279" s="302"/>
      <c r="TI279" s="302"/>
      <c r="TJ279" s="302"/>
      <c r="TK279" s="302"/>
      <c r="TL279" s="302"/>
      <c r="TM279" s="302"/>
      <c r="TN279" s="302"/>
      <c r="TO279" s="302"/>
      <c r="TP279" s="302"/>
      <c r="TQ279" s="302"/>
      <c r="TR279" s="302"/>
      <c r="TS279" s="302"/>
      <c r="TT279" s="302"/>
      <c r="TU279" s="302"/>
      <c r="TV279" s="302"/>
      <c r="TW279" s="302"/>
      <c r="TX279" s="302"/>
      <c r="TY279" s="302"/>
      <c r="TZ279" s="302"/>
      <c r="UA279" s="302"/>
      <c r="UB279" s="302"/>
      <c r="UC279" s="302"/>
      <c r="UD279" s="302"/>
      <c r="UE279" s="302"/>
      <c r="UF279" s="302"/>
      <c r="UG279" s="302"/>
      <c r="UH279" s="302"/>
      <c r="UI279" s="302"/>
      <c r="UJ279" s="302"/>
      <c r="UK279" s="302"/>
      <c r="UL279" s="302"/>
      <c r="UM279" s="302"/>
      <c r="UN279" s="302"/>
      <c r="UO279" s="302"/>
      <c r="UP279" s="302"/>
      <c r="UQ279" s="302"/>
      <c r="UR279" s="302"/>
      <c r="US279" s="302"/>
      <c r="UT279" s="302"/>
      <c r="UU279" s="302"/>
      <c r="UV279" s="302"/>
      <c r="UW279" s="302"/>
      <c r="UX279" s="302"/>
      <c r="UY279" s="302"/>
      <c r="UZ279" s="302"/>
      <c r="VA279" s="302"/>
      <c r="VB279" s="302"/>
      <c r="VC279" s="302"/>
      <c r="VD279" s="302"/>
      <c r="VE279" s="302"/>
      <c r="VF279" s="302"/>
      <c r="VG279" s="302"/>
      <c r="VH279" s="302"/>
      <c r="VI279" s="302"/>
      <c r="VJ279" s="302"/>
      <c r="VK279" s="302"/>
      <c r="VL279" s="302"/>
      <c r="VM279" s="302"/>
      <c r="VN279" s="302"/>
      <c r="VO279" s="302"/>
      <c r="VP279" s="302"/>
      <c r="VQ279" s="302"/>
      <c r="VR279" s="302"/>
      <c r="VS279" s="302"/>
      <c r="VT279" s="302"/>
      <c r="VU279" s="302"/>
      <c r="VV279" s="302"/>
      <c r="VW279" s="302"/>
      <c r="VX279" s="302"/>
      <c r="VY279" s="302"/>
      <c r="VZ279" s="302"/>
      <c r="WA279" s="302"/>
      <c r="WB279" s="302"/>
      <c r="WC279" s="302"/>
      <c r="WD279" s="302"/>
      <c r="WE279" s="302"/>
      <c r="WF279" s="302"/>
      <c r="WG279" s="302"/>
      <c r="WH279" s="302"/>
      <c r="WI279" s="302"/>
      <c r="WJ279" s="302"/>
      <c r="WK279" s="302"/>
      <c r="WL279" s="302"/>
      <c r="WM279" s="302"/>
      <c r="WN279" s="302"/>
      <c r="WO279" s="302"/>
      <c r="WP279" s="302"/>
      <c r="WQ279" s="302"/>
      <c r="WR279" s="302"/>
      <c r="WS279" s="302"/>
      <c r="WT279" s="302"/>
      <c r="WU279" s="302"/>
      <c r="WV279" s="302"/>
      <c r="WW279" s="302"/>
      <c r="WX279" s="302"/>
      <c r="WY279" s="302"/>
      <c r="WZ279" s="302"/>
      <c r="XA279" s="302"/>
      <c r="XB279" s="302"/>
      <c r="XC279" s="302"/>
      <c r="XD279" s="302"/>
      <c r="XE279" s="302"/>
      <c r="XF279" s="302"/>
      <c r="XG279" s="302"/>
      <c r="XH279" s="302"/>
      <c r="XI279" s="302"/>
      <c r="XJ279" s="302"/>
      <c r="XK279" s="302"/>
      <c r="XL279" s="302"/>
      <c r="XM279" s="302"/>
      <c r="XN279" s="302"/>
      <c r="XO279" s="302"/>
      <c r="XP279" s="302"/>
      <c r="XQ279" s="302"/>
      <c r="XR279" s="302"/>
      <c r="XS279" s="302"/>
      <c r="XT279" s="302"/>
      <c r="XU279" s="302"/>
      <c r="XV279" s="302"/>
      <c r="XW279" s="302"/>
      <c r="XX279" s="302"/>
      <c r="XY279" s="302"/>
      <c r="XZ279" s="302"/>
      <c r="YA279" s="302"/>
      <c r="YB279" s="302"/>
      <c r="YC279" s="302"/>
      <c r="YD279" s="302"/>
      <c r="YE279" s="302"/>
      <c r="YF279" s="302"/>
      <c r="YG279" s="302"/>
      <c r="YH279" s="302"/>
      <c r="YI279" s="302"/>
      <c r="YJ279" s="302"/>
      <c r="YK279" s="302"/>
      <c r="YL279" s="302"/>
      <c r="YM279" s="302"/>
      <c r="YN279" s="302"/>
      <c r="YO279" s="302"/>
      <c r="YP279" s="302"/>
      <c r="YQ279" s="302"/>
      <c r="YR279" s="302"/>
      <c r="YS279" s="302"/>
      <c r="YT279" s="302"/>
      <c r="YU279" s="302"/>
      <c r="YV279" s="302"/>
      <c r="YW279" s="302"/>
      <c r="YX279" s="302"/>
      <c r="YY279" s="302"/>
      <c r="YZ279" s="302"/>
      <c r="ZA279" s="302"/>
      <c r="ZB279" s="302"/>
      <c r="ZC279" s="302"/>
      <c r="ZD279" s="302"/>
      <c r="ZE279" s="302"/>
      <c r="ZF279" s="302"/>
      <c r="ZG279" s="302"/>
      <c r="ZH279" s="302"/>
      <c r="ZI279" s="302"/>
      <c r="ZJ279" s="302"/>
      <c r="ZK279" s="302"/>
      <c r="ZL279" s="302"/>
      <c r="ZM279" s="302"/>
      <c r="ZN279" s="302"/>
      <c r="ZO279" s="302"/>
      <c r="ZP279" s="302"/>
      <c r="ZQ279" s="302"/>
      <c r="ZR279" s="302"/>
      <c r="ZS279" s="302"/>
      <c r="ZT279" s="302"/>
      <c r="ZU279" s="302"/>
      <c r="ZV279" s="302"/>
      <c r="ZW279" s="302"/>
      <c r="ZX279" s="302"/>
      <c r="ZY279" s="302"/>
      <c r="ZZ279" s="302"/>
      <c r="AAA279" s="302"/>
      <c r="AAB279" s="302"/>
      <c r="AAC279" s="302"/>
      <c r="AAD279" s="302"/>
      <c r="AAE279" s="302"/>
      <c r="AAF279" s="302"/>
      <c r="AAG279" s="302"/>
      <c r="AAH279" s="302"/>
      <c r="AAI279" s="302"/>
      <c r="AAJ279" s="302"/>
      <c r="AAK279" s="302"/>
      <c r="AAL279" s="302"/>
      <c r="AAM279" s="302"/>
      <c r="AAN279" s="302"/>
      <c r="AAO279" s="302"/>
      <c r="AAP279" s="302"/>
      <c r="AAQ279" s="302"/>
      <c r="AAR279" s="302"/>
      <c r="AAS279" s="302"/>
      <c r="AAT279" s="302"/>
      <c r="AAU279" s="302"/>
      <c r="AAV279" s="302"/>
      <c r="AAW279" s="302"/>
      <c r="AAX279" s="302"/>
      <c r="AAY279" s="302"/>
      <c r="AAZ279" s="302"/>
      <c r="ABA279" s="302"/>
      <c r="ABB279" s="302"/>
      <c r="ABC279" s="302"/>
      <c r="ABD279" s="302"/>
      <c r="ABE279" s="302"/>
      <c r="ABF279" s="302"/>
      <c r="ABG279" s="302"/>
      <c r="ABH279" s="302"/>
      <c r="ABI279" s="302"/>
      <c r="ABJ279" s="302"/>
      <c r="ABK279" s="302"/>
      <c r="ABL279" s="302"/>
      <c r="ABM279" s="302"/>
      <c r="ABN279" s="302"/>
      <c r="ABO279" s="302"/>
      <c r="ABP279" s="302"/>
      <c r="ABQ279" s="302"/>
      <c r="ABR279" s="302"/>
      <c r="ABS279" s="302"/>
      <c r="ABT279" s="302"/>
      <c r="ABU279" s="302"/>
      <c r="ABV279" s="302"/>
      <c r="ABW279" s="302"/>
      <c r="ABX279" s="302"/>
      <c r="ABY279" s="302"/>
      <c r="ABZ279" s="302"/>
      <c r="ACA279" s="302"/>
      <c r="ACB279" s="302"/>
      <c r="ACC279" s="302"/>
      <c r="ACD279" s="302"/>
      <c r="ACE279" s="302"/>
      <c r="ACF279" s="302"/>
      <c r="ACG279" s="302"/>
      <c r="ACH279" s="302"/>
      <c r="ACI279" s="302"/>
      <c r="ACJ279" s="302"/>
      <c r="ACK279" s="302"/>
      <c r="ACL279" s="302"/>
      <c r="ACM279" s="302"/>
      <c r="ACN279" s="302"/>
      <c r="ACO279" s="302"/>
      <c r="ACP279" s="302"/>
      <c r="ACQ279" s="302"/>
      <c r="ACR279" s="302"/>
      <c r="ACS279" s="302"/>
      <c r="ACT279" s="302"/>
      <c r="ACU279" s="302"/>
      <c r="ACV279" s="302"/>
      <c r="ACW279" s="302"/>
      <c r="ACX279" s="302"/>
      <c r="ACY279" s="302"/>
      <c r="ACZ279" s="302"/>
      <c r="ADA279" s="302"/>
      <c r="ADB279" s="302"/>
      <c r="ADC279" s="302"/>
      <c r="ADD279" s="302"/>
      <c r="ADE279" s="302"/>
      <c r="ADF279" s="302"/>
      <c r="ADG279" s="302"/>
      <c r="ADH279" s="302"/>
      <c r="ADI279" s="302"/>
      <c r="ADJ279" s="302"/>
      <c r="ADK279" s="302"/>
      <c r="ADL279" s="302"/>
      <c r="ADM279" s="302"/>
      <c r="ADN279" s="302"/>
      <c r="ADO279" s="302"/>
      <c r="ADP279" s="302"/>
      <c r="ADQ279" s="302"/>
      <c r="ADR279" s="302"/>
      <c r="ADS279" s="302"/>
      <c r="ADT279" s="302"/>
      <c r="ADU279" s="302"/>
      <c r="ADV279" s="302"/>
      <c r="ADW279" s="302"/>
      <c r="ADX279" s="302"/>
      <c r="ADY279" s="302"/>
      <c r="ADZ279" s="302"/>
      <c r="AEA279" s="302"/>
      <c r="AEB279" s="302"/>
      <c r="AEC279" s="302"/>
      <c r="AED279" s="302"/>
      <c r="AEE279" s="302"/>
      <c r="AEF279" s="302"/>
      <c r="AEG279" s="302"/>
      <c r="AEH279" s="302"/>
      <c r="AEI279" s="302"/>
      <c r="AEJ279" s="302"/>
      <c r="AEK279" s="302"/>
      <c r="AEL279" s="302"/>
      <c r="AEM279" s="302"/>
      <c r="AEN279" s="302"/>
      <c r="AEO279" s="302"/>
      <c r="AEP279" s="302"/>
      <c r="AEQ279" s="302"/>
      <c r="AER279" s="302"/>
      <c r="AES279" s="302"/>
      <c r="AET279" s="302"/>
      <c r="AEU279" s="302"/>
      <c r="AEV279" s="302"/>
      <c r="AEW279" s="302"/>
      <c r="AEX279" s="302"/>
      <c r="AEY279" s="302"/>
      <c r="AEZ279" s="302"/>
      <c r="AFA279" s="302"/>
      <c r="AFB279" s="302"/>
      <c r="AFC279" s="302"/>
      <c r="AFD279" s="302"/>
      <c r="AFE279" s="302"/>
      <c r="AFF279" s="302"/>
      <c r="AFG279" s="302"/>
      <c r="AFH279" s="302"/>
      <c r="AFI279" s="302"/>
      <c r="AFJ279" s="302"/>
      <c r="AFK279" s="302"/>
      <c r="AFL279" s="302"/>
      <c r="AFM279" s="302"/>
      <c r="AFN279" s="302"/>
      <c r="AFO279" s="302"/>
      <c r="AFP279" s="302"/>
      <c r="AFQ279" s="302"/>
      <c r="AFR279" s="302"/>
      <c r="AFS279" s="302"/>
      <c r="AFT279" s="302"/>
      <c r="AFU279" s="302"/>
      <c r="AFV279" s="302"/>
      <c r="AFW279" s="302"/>
      <c r="AFX279" s="302"/>
      <c r="AFY279" s="302"/>
      <c r="AFZ279" s="302"/>
      <c r="AGA279" s="302"/>
      <c r="AGB279" s="302"/>
      <c r="AGC279" s="302"/>
      <c r="AGD279" s="302"/>
      <c r="AGE279" s="302"/>
      <c r="AGF279" s="302"/>
      <c r="AGG279" s="302"/>
      <c r="AGH279" s="302"/>
      <c r="AGI279" s="302"/>
      <c r="AGJ279" s="302"/>
      <c r="AGK279" s="302"/>
      <c r="AGL279" s="302"/>
      <c r="AGM279" s="302"/>
      <c r="AGN279" s="302"/>
      <c r="AGO279" s="302"/>
      <c r="AGP279" s="302"/>
      <c r="AGQ279" s="302"/>
      <c r="AGR279" s="302"/>
      <c r="AGS279" s="302"/>
      <c r="AGT279" s="302"/>
      <c r="AGU279" s="302"/>
      <c r="AGV279" s="302"/>
      <c r="AGW279" s="302"/>
      <c r="AGX279" s="302"/>
      <c r="AGY279" s="302"/>
      <c r="AGZ279" s="302"/>
      <c r="AHA279" s="302"/>
      <c r="AHB279" s="302"/>
      <c r="AHC279" s="302"/>
      <c r="AHD279" s="302"/>
      <c r="AHE279" s="302"/>
      <c r="AHF279" s="302"/>
      <c r="AHG279" s="302"/>
      <c r="AHH279" s="302"/>
      <c r="AHI279" s="302"/>
      <c r="AHJ279" s="302"/>
      <c r="AHK279" s="302"/>
      <c r="AHL279" s="302"/>
      <c r="AHM279" s="302"/>
      <c r="AHN279" s="302"/>
      <c r="AHO279" s="302"/>
      <c r="AHP279" s="302"/>
      <c r="AHQ279" s="302"/>
      <c r="AHR279" s="302"/>
      <c r="AHS279" s="302"/>
      <c r="AHT279" s="302"/>
      <c r="AHU279" s="302"/>
      <c r="AHV279" s="302"/>
      <c r="AHW279" s="302"/>
      <c r="AHX279" s="302"/>
      <c r="AHY279" s="302"/>
      <c r="AHZ279" s="302"/>
      <c r="AIA279" s="302"/>
      <c r="AIB279" s="302"/>
      <c r="AIC279" s="302"/>
      <c r="AID279" s="302"/>
      <c r="AIE279" s="302"/>
      <c r="AIF279" s="302"/>
      <c r="AIG279" s="302"/>
      <c r="AIH279" s="302"/>
      <c r="AII279" s="302"/>
      <c r="AIJ279" s="302"/>
      <c r="AIK279" s="302"/>
      <c r="AIL279" s="302"/>
      <c r="AIM279" s="302"/>
      <c r="AIN279" s="302"/>
      <c r="AIO279" s="302"/>
      <c r="AIP279" s="302"/>
      <c r="AIQ279" s="302"/>
      <c r="AIR279" s="302"/>
      <c r="AIS279" s="302"/>
      <c r="AIT279" s="302"/>
      <c r="AIU279" s="302"/>
      <c r="AIV279" s="302"/>
      <c r="AIW279" s="302"/>
      <c r="AIX279" s="302"/>
      <c r="AIY279" s="302"/>
      <c r="AIZ279" s="302"/>
      <c r="AJA279" s="302"/>
      <c r="AJB279" s="302"/>
      <c r="AJC279" s="302"/>
      <c r="AJD279" s="302"/>
      <c r="AJE279" s="302"/>
      <c r="AJF279" s="302"/>
      <c r="AJG279" s="302"/>
      <c r="AJH279" s="302"/>
      <c r="AJI279" s="302"/>
      <c r="AJJ279" s="302"/>
      <c r="AJK279" s="302"/>
      <c r="AJL279" s="302"/>
      <c r="AJM279" s="302"/>
      <c r="AJN279" s="302"/>
      <c r="AJO279" s="302"/>
      <c r="AJP279" s="302"/>
      <c r="AJQ279" s="302"/>
      <c r="AJR279" s="302"/>
      <c r="AJS279" s="302"/>
      <c r="AJT279" s="302"/>
      <c r="AJU279" s="302"/>
      <c r="AJV279" s="302"/>
      <c r="AJW279" s="302"/>
      <c r="AJX279" s="302"/>
      <c r="AJY279" s="302"/>
      <c r="AJZ279" s="302"/>
      <c r="AKA279" s="302"/>
      <c r="AKB279" s="302"/>
      <c r="AKC279" s="302"/>
      <c r="AKD279" s="302"/>
      <c r="AKE279" s="302"/>
      <c r="AKF279" s="302"/>
      <c r="AKG279" s="302"/>
      <c r="AKH279" s="302"/>
      <c r="AKI279" s="302"/>
      <c r="AKJ279" s="302"/>
      <c r="AKK279" s="302"/>
      <c r="AKL279" s="302"/>
      <c r="AKM279" s="302"/>
      <c r="AKN279" s="302"/>
      <c r="AKO279" s="302"/>
      <c r="AKP279" s="302"/>
      <c r="AKQ279" s="302"/>
      <c r="AKR279" s="302"/>
      <c r="AKS279" s="302"/>
      <c r="AKT279" s="302"/>
      <c r="AKU279" s="302"/>
      <c r="AKV279" s="302"/>
      <c r="AKW279" s="302"/>
      <c r="AKX279" s="302"/>
      <c r="AKY279" s="302"/>
      <c r="AKZ279" s="302"/>
      <c r="ALA279" s="302"/>
      <c r="ALB279" s="302"/>
      <c r="ALC279" s="302"/>
      <c r="ALD279" s="302"/>
      <c r="ALE279" s="302"/>
      <c r="ALF279" s="302"/>
      <c r="ALG279" s="302"/>
      <c r="ALH279" s="302"/>
      <c r="ALI279" s="302"/>
      <c r="ALJ279" s="302"/>
      <c r="ALK279" s="302"/>
      <c r="ALL279" s="302"/>
      <c r="ALM279" s="302"/>
      <c r="ALN279" s="302"/>
      <c r="ALO279" s="302"/>
      <c r="ALP279" s="302"/>
      <c r="ALQ279" s="302"/>
      <c r="ALR279" s="302"/>
      <c r="ALS279" s="302"/>
      <c r="ALT279" s="302"/>
      <c r="ALU279" s="302"/>
      <c r="ALV279" s="302"/>
      <c r="ALW279" s="302"/>
      <c r="ALX279" s="302"/>
      <c r="ALY279" s="302"/>
      <c r="ALZ279" s="302"/>
      <c r="AMA279" s="302"/>
      <c r="AMB279" s="302"/>
      <c r="AMC279" s="302"/>
      <c r="AMD279" s="302"/>
      <c r="AME279" s="302"/>
      <c r="AMF279" s="302"/>
      <c r="AMG279" s="302"/>
      <c r="AMH279" s="302"/>
      <c r="AMI279" s="302"/>
    </row>
    <row r="280" spans="1:1023" ht="18.75" hidden="1">
      <c r="A280" s="302"/>
      <c r="B280" s="304"/>
      <c r="C280" s="304"/>
      <c r="D280" s="305" t="s">
        <v>378</v>
      </c>
      <c r="E280" s="306">
        <f>SUM(E273:E279)</f>
        <v>24550000</v>
      </c>
      <c r="F280" s="307"/>
      <c r="G280" s="306">
        <f>SUM(G273:G279)</f>
        <v>950000</v>
      </c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  <c r="AD280" s="302"/>
      <c r="AE280" s="302"/>
      <c r="AF280" s="302"/>
      <c r="AG280" s="302"/>
      <c r="AH280" s="302"/>
      <c r="AI280" s="302"/>
      <c r="AJ280" s="302"/>
      <c r="AK280" s="302"/>
      <c r="AL280" s="302"/>
      <c r="AM280" s="302"/>
      <c r="AN280" s="302"/>
      <c r="AO280" s="302"/>
      <c r="AP280" s="302"/>
      <c r="AQ280" s="302"/>
      <c r="AR280" s="302"/>
      <c r="AS280" s="302"/>
      <c r="AT280" s="302"/>
      <c r="AU280" s="302"/>
      <c r="AV280" s="302"/>
      <c r="AW280" s="302"/>
      <c r="AX280" s="302"/>
      <c r="AY280" s="302"/>
      <c r="AZ280" s="302"/>
      <c r="BA280" s="302"/>
      <c r="BB280" s="302"/>
      <c r="BC280" s="302"/>
      <c r="BD280" s="302"/>
      <c r="BE280" s="302"/>
      <c r="BF280" s="302"/>
      <c r="BG280" s="302"/>
      <c r="BH280" s="302"/>
      <c r="BI280" s="302"/>
      <c r="BJ280" s="302"/>
      <c r="BK280" s="302"/>
      <c r="BL280" s="302"/>
      <c r="BM280" s="302"/>
      <c r="BN280" s="302"/>
      <c r="BO280" s="302"/>
      <c r="BP280" s="302"/>
      <c r="BQ280" s="302"/>
      <c r="BR280" s="302"/>
      <c r="BS280" s="302"/>
      <c r="BT280" s="302"/>
      <c r="BU280" s="302"/>
      <c r="BV280" s="302"/>
      <c r="BW280" s="302"/>
      <c r="BX280" s="302"/>
      <c r="BY280" s="302"/>
      <c r="BZ280" s="302"/>
      <c r="CA280" s="302"/>
      <c r="CB280" s="302"/>
      <c r="CC280" s="302"/>
      <c r="CD280" s="302"/>
      <c r="CE280" s="302"/>
      <c r="CF280" s="302"/>
      <c r="CG280" s="302"/>
      <c r="CH280" s="302"/>
      <c r="CI280" s="302"/>
      <c r="CJ280" s="302"/>
      <c r="CK280" s="302"/>
      <c r="CL280" s="302"/>
      <c r="CM280" s="302"/>
      <c r="CN280" s="302"/>
      <c r="CO280" s="302"/>
      <c r="CP280" s="302"/>
      <c r="CQ280" s="302"/>
      <c r="CR280" s="302"/>
      <c r="CS280" s="302"/>
      <c r="CT280" s="302"/>
      <c r="CU280" s="302"/>
      <c r="CV280" s="302"/>
      <c r="CW280" s="302"/>
      <c r="CX280" s="302"/>
      <c r="CY280" s="302"/>
      <c r="CZ280" s="302"/>
      <c r="DA280" s="302"/>
      <c r="DB280" s="302"/>
      <c r="DC280" s="302"/>
      <c r="DD280" s="302"/>
      <c r="DE280" s="302"/>
      <c r="DF280" s="302"/>
      <c r="DG280" s="302"/>
      <c r="DH280" s="302"/>
      <c r="DI280" s="302"/>
      <c r="DJ280" s="302"/>
      <c r="DK280" s="302"/>
      <c r="DL280" s="302"/>
      <c r="DM280" s="302"/>
      <c r="DN280" s="302"/>
      <c r="DO280" s="302"/>
      <c r="DP280" s="302"/>
      <c r="DQ280" s="302"/>
      <c r="DR280" s="302"/>
      <c r="DS280" s="302"/>
      <c r="DT280" s="302"/>
      <c r="DU280" s="302"/>
      <c r="DV280" s="302"/>
      <c r="DW280" s="302"/>
      <c r="DX280" s="302"/>
      <c r="DY280" s="302"/>
      <c r="DZ280" s="302"/>
      <c r="EA280" s="302"/>
      <c r="EB280" s="302"/>
      <c r="EC280" s="302"/>
      <c r="ED280" s="302"/>
      <c r="EE280" s="302"/>
      <c r="EF280" s="302"/>
      <c r="EG280" s="302"/>
      <c r="EH280" s="302"/>
      <c r="EI280" s="302"/>
      <c r="EJ280" s="302"/>
      <c r="EK280" s="302"/>
      <c r="EL280" s="302"/>
      <c r="EM280" s="302"/>
      <c r="EN280" s="302"/>
      <c r="EO280" s="302"/>
      <c r="EP280" s="302"/>
      <c r="EQ280" s="302"/>
      <c r="ER280" s="302"/>
      <c r="ES280" s="302"/>
      <c r="ET280" s="302"/>
      <c r="EU280" s="302"/>
      <c r="EV280" s="302"/>
      <c r="EW280" s="302"/>
      <c r="EX280" s="302"/>
      <c r="EY280" s="302"/>
      <c r="EZ280" s="302"/>
      <c r="FA280" s="302"/>
      <c r="FB280" s="302"/>
      <c r="FC280" s="302"/>
      <c r="FD280" s="302"/>
      <c r="FE280" s="302"/>
      <c r="FF280" s="302"/>
      <c r="FG280" s="302"/>
      <c r="FH280" s="302"/>
      <c r="FI280" s="302"/>
      <c r="FJ280" s="302"/>
      <c r="FK280" s="302"/>
      <c r="FL280" s="302"/>
      <c r="FM280" s="302"/>
      <c r="FN280" s="302"/>
      <c r="FO280" s="302"/>
      <c r="FP280" s="302"/>
      <c r="FQ280" s="302"/>
      <c r="FR280" s="302"/>
      <c r="FS280" s="302"/>
      <c r="FT280" s="302"/>
      <c r="FU280" s="302"/>
      <c r="FV280" s="302"/>
      <c r="FW280" s="302"/>
      <c r="FX280" s="302"/>
      <c r="FY280" s="302"/>
      <c r="FZ280" s="302"/>
      <c r="GA280" s="302"/>
      <c r="GB280" s="302"/>
      <c r="GC280" s="302"/>
      <c r="GD280" s="302"/>
      <c r="GE280" s="302"/>
      <c r="GF280" s="302"/>
      <c r="GG280" s="302"/>
      <c r="GH280" s="302"/>
      <c r="GI280" s="302"/>
      <c r="GJ280" s="302"/>
      <c r="GK280" s="302"/>
      <c r="GL280" s="302"/>
      <c r="GM280" s="302"/>
      <c r="GN280" s="302"/>
      <c r="GO280" s="302"/>
      <c r="GP280" s="302"/>
      <c r="GQ280" s="302"/>
      <c r="GR280" s="302"/>
      <c r="GS280" s="302"/>
      <c r="GT280" s="302"/>
      <c r="GU280" s="302"/>
      <c r="GV280" s="302"/>
      <c r="GW280" s="302"/>
      <c r="GX280" s="302"/>
      <c r="GY280" s="302"/>
      <c r="GZ280" s="302"/>
      <c r="HA280" s="302"/>
      <c r="HB280" s="302"/>
      <c r="HC280" s="302"/>
      <c r="HD280" s="302"/>
      <c r="HE280" s="302"/>
      <c r="HF280" s="302"/>
      <c r="HG280" s="302"/>
      <c r="HH280" s="302"/>
      <c r="HI280" s="302"/>
      <c r="HJ280" s="302"/>
      <c r="HK280" s="302"/>
      <c r="HL280" s="302"/>
      <c r="HM280" s="302"/>
      <c r="HN280" s="302"/>
      <c r="HO280" s="302"/>
      <c r="HP280" s="302"/>
      <c r="HQ280" s="302"/>
      <c r="HR280" s="302"/>
      <c r="HS280" s="302"/>
      <c r="HT280" s="302"/>
      <c r="HU280" s="302"/>
      <c r="HV280" s="302"/>
      <c r="HW280" s="302"/>
      <c r="HX280" s="302"/>
      <c r="HY280" s="302"/>
      <c r="HZ280" s="302"/>
      <c r="IA280" s="302"/>
      <c r="IB280" s="302"/>
      <c r="IC280" s="302"/>
      <c r="ID280" s="302"/>
      <c r="IE280" s="302"/>
      <c r="IF280" s="302"/>
      <c r="IG280" s="302"/>
      <c r="IH280" s="302"/>
      <c r="II280" s="302"/>
      <c r="IJ280" s="302"/>
      <c r="IK280" s="302"/>
      <c r="IL280" s="302"/>
      <c r="IM280" s="302"/>
      <c r="IN280" s="302"/>
      <c r="IO280" s="302"/>
      <c r="IP280" s="302"/>
      <c r="IQ280" s="302"/>
      <c r="IR280" s="302"/>
      <c r="IS280" s="302"/>
      <c r="IT280" s="302"/>
      <c r="IU280" s="302"/>
      <c r="IV280" s="302"/>
      <c r="IW280" s="302"/>
      <c r="IX280" s="302"/>
      <c r="IY280" s="302"/>
      <c r="IZ280" s="302"/>
      <c r="JA280" s="302"/>
      <c r="JB280" s="302"/>
      <c r="JC280" s="302"/>
      <c r="JD280" s="302"/>
      <c r="JE280" s="302"/>
      <c r="JF280" s="302"/>
      <c r="JG280" s="302"/>
      <c r="JH280" s="302"/>
      <c r="JI280" s="302"/>
      <c r="JJ280" s="302"/>
      <c r="JK280" s="302"/>
      <c r="JL280" s="302"/>
      <c r="JM280" s="302"/>
      <c r="JN280" s="302"/>
      <c r="JO280" s="302"/>
      <c r="JP280" s="302"/>
      <c r="JQ280" s="302"/>
      <c r="JR280" s="302"/>
      <c r="JS280" s="302"/>
      <c r="JT280" s="302"/>
      <c r="JU280" s="302"/>
      <c r="JV280" s="302"/>
      <c r="JW280" s="302"/>
      <c r="JX280" s="302"/>
      <c r="JY280" s="302"/>
      <c r="JZ280" s="302"/>
      <c r="KA280" s="302"/>
      <c r="KB280" s="302"/>
      <c r="KC280" s="302"/>
      <c r="KD280" s="302"/>
      <c r="KE280" s="302"/>
      <c r="KF280" s="302"/>
      <c r="KG280" s="302"/>
      <c r="KH280" s="302"/>
      <c r="KI280" s="302"/>
      <c r="KJ280" s="302"/>
      <c r="KK280" s="302"/>
      <c r="KL280" s="302"/>
      <c r="KM280" s="302"/>
      <c r="KN280" s="302"/>
      <c r="KO280" s="302"/>
      <c r="KP280" s="302"/>
      <c r="KQ280" s="302"/>
      <c r="KR280" s="302"/>
      <c r="KS280" s="302"/>
      <c r="KT280" s="302"/>
      <c r="KU280" s="302"/>
      <c r="KV280" s="302"/>
      <c r="KW280" s="302"/>
      <c r="KX280" s="302"/>
      <c r="KY280" s="302"/>
      <c r="KZ280" s="302"/>
      <c r="LA280" s="302"/>
      <c r="LB280" s="302"/>
      <c r="LC280" s="302"/>
      <c r="LD280" s="302"/>
      <c r="LE280" s="302"/>
      <c r="LF280" s="302"/>
      <c r="LG280" s="302"/>
      <c r="LH280" s="302"/>
      <c r="LI280" s="302"/>
      <c r="LJ280" s="302"/>
      <c r="LK280" s="302"/>
      <c r="LL280" s="302"/>
      <c r="LM280" s="302"/>
      <c r="LN280" s="302"/>
      <c r="LO280" s="302"/>
      <c r="LP280" s="302"/>
      <c r="LQ280" s="302"/>
      <c r="LR280" s="302"/>
      <c r="LS280" s="302"/>
      <c r="LT280" s="302"/>
      <c r="LU280" s="302"/>
      <c r="LV280" s="302"/>
      <c r="LW280" s="302"/>
      <c r="LX280" s="302"/>
      <c r="LY280" s="302"/>
      <c r="LZ280" s="302"/>
      <c r="MA280" s="302"/>
      <c r="MB280" s="302"/>
      <c r="MC280" s="302"/>
      <c r="MD280" s="302"/>
      <c r="ME280" s="302"/>
      <c r="MF280" s="302"/>
      <c r="MG280" s="302"/>
      <c r="MH280" s="302"/>
      <c r="MI280" s="302"/>
      <c r="MJ280" s="302"/>
      <c r="MK280" s="302"/>
      <c r="ML280" s="302"/>
      <c r="MM280" s="302"/>
      <c r="MN280" s="302"/>
      <c r="MO280" s="302"/>
      <c r="MP280" s="302"/>
      <c r="MQ280" s="302"/>
      <c r="MR280" s="302"/>
      <c r="MS280" s="302"/>
      <c r="MT280" s="302"/>
      <c r="MU280" s="302"/>
      <c r="MV280" s="302"/>
      <c r="MW280" s="302"/>
      <c r="MX280" s="302"/>
      <c r="MY280" s="302"/>
      <c r="MZ280" s="302"/>
      <c r="NA280" s="302"/>
      <c r="NB280" s="302"/>
      <c r="NC280" s="302"/>
      <c r="ND280" s="302"/>
      <c r="NE280" s="302"/>
      <c r="NF280" s="302"/>
      <c r="NG280" s="302"/>
      <c r="NH280" s="302"/>
      <c r="NI280" s="302"/>
      <c r="NJ280" s="302"/>
      <c r="NK280" s="302"/>
      <c r="NL280" s="302"/>
      <c r="NM280" s="302"/>
      <c r="NN280" s="302"/>
      <c r="NO280" s="302"/>
      <c r="NP280" s="302"/>
      <c r="NQ280" s="302"/>
      <c r="NR280" s="302"/>
      <c r="NS280" s="302"/>
      <c r="NT280" s="302"/>
      <c r="NU280" s="302"/>
      <c r="NV280" s="302"/>
      <c r="NW280" s="302"/>
      <c r="NX280" s="302"/>
      <c r="NY280" s="302"/>
      <c r="NZ280" s="302"/>
      <c r="OA280" s="302"/>
      <c r="OB280" s="302"/>
      <c r="OC280" s="302"/>
      <c r="OD280" s="302"/>
      <c r="OE280" s="302"/>
      <c r="OF280" s="302"/>
      <c r="OG280" s="302"/>
      <c r="OH280" s="302"/>
      <c r="OI280" s="302"/>
      <c r="OJ280" s="302"/>
      <c r="OK280" s="302"/>
      <c r="OL280" s="302"/>
      <c r="OM280" s="302"/>
      <c r="ON280" s="302"/>
      <c r="OO280" s="302"/>
      <c r="OP280" s="302"/>
      <c r="OQ280" s="302"/>
      <c r="OR280" s="302"/>
      <c r="OS280" s="302"/>
      <c r="OT280" s="302"/>
      <c r="OU280" s="302"/>
      <c r="OV280" s="302"/>
      <c r="OW280" s="302"/>
      <c r="OX280" s="302"/>
      <c r="OY280" s="302"/>
      <c r="OZ280" s="302"/>
      <c r="PA280" s="302"/>
      <c r="PB280" s="302"/>
      <c r="PC280" s="302"/>
      <c r="PD280" s="302"/>
      <c r="PE280" s="302"/>
      <c r="PF280" s="302"/>
      <c r="PG280" s="302"/>
      <c r="PH280" s="302"/>
      <c r="PI280" s="302"/>
      <c r="PJ280" s="302"/>
      <c r="PK280" s="302"/>
      <c r="PL280" s="302"/>
      <c r="PM280" s="302"/>
      <c r="PN280" s="302"/>
      <c r="PO280" s="302"/>
      <c r="PP280" s="302"/>
      <c r="PQ280" s="302"/>
      <c r="PR280" s="302"/>
      <c r="PS280" s="302"/>
      <c r="PT280" s="302"/>
      <c r="PU280" s="302"/>
      <c r="PV280" s="302"/>
      <c r="PW280" s="302"/>
      <c r="PX280" s="302"/>
      <c r="PY280" s="302"/>
      <c r="PZ280" s="302"/>
      <c r="QA280" s="302"/>
      <c r="QB280" s="302"/>
      <c r="QC280" s="302"/>
      <c r="QD280" s="302"/>
      <c r="QE280" s="302"/>
      <c r="QF280" s="302"/>
      <c r="QG280" s="302"/>
      <c r="QH280" s="302"/>
      <c r="QI280" s="302"/>
      <c r="QJ280" s="302"/>
      <c r="QK280" s="302"/>
      <c r="QL280" s="302"/>
      <c r="QM280" s="302"/>
      <c r="QN280" s="302"/>
      <c r="QO280" s="302"/>
      <c r="QP280" s="302"/>
      <c r="QQ280" s="302"/>
      <c r="QR280" s="302"/>
      <c r="QS280" s="302"/>
      <c r="QT280" s="302"/>
      <c r="QU280" s="302"/>
      <c r="QV280" s="302"/>
      <c r="QW280" s="302"/>
      <c r="QX280" s="302"/>
      <c r="QY280" s="302"/>
      <c r="QZ280" s="302"/>
      <c r="RA280" s="302"/>
      <c r="RB280" s="302"/>
      <c r="RC280" s="302"/>
      <c r="RD280" s="302"/>
      <c r="RE280" s="302"/>
      <c r="RF280" s="302"/>
      <c r="RG280" s="302"/>
      <c r="RH280" s="302"/>
      <c r="RI280" s="302"/>
      <c r="RJ280" s="302"/>
      <c r="RK280" s="302"/>
      <c r="RL280" s="302"/>
      <c r="RM280" s="302"/>
      <c r="RN280" s="302"/>
      <c r="RO280" s="302"/>
      <c r="RP280" s="302"/>
      <c r="RQ280" s="302"/>
      <c r="RR280" s="302"/>
      <c r="RS280" s="302"/>
      <c r="RT280" s="302"/>
      <c r="RU280" s="302"/>
      <c r="RV280" s="302"/>
      <c r="RW280" s="302"/>
      <c r="RX280" s="302"/>
      <c r="RY280" s="302"/>
      <c r="RZ280" s="302"/>
      <c r="SA280" s="302"/>
      <c r="SB280" s="302"/>
      <c r="SC280" s="302"/>
      <c r="SD280" s="302"/>
      <c r="SE280" s="302"/>
      <c r="SF280" s="302"/>
      <c r="SG280" s="302"/>
      <c r="SH280" s="302"/>
      <c r="SI280" s="302"/>
      <c r="SJ280" s="302"/>
      <c r="SK280" s="302"/>
      <c r="SL280" s="302"/>
      <c r="SM280" s="302"/>
      <c r="SN280" s="302"/>
      <c r="SO280" s="302"/>
      <c r="SP280" s="302"/>
      <c r="SQ280" s="302"/>
      <c r="SR280" s="302"/>
      <c r="SS280" s="302"/>
      <c r="ST280" s="302"/>
      <c r="SU280" s="302"/>
      <c r="SV280" s="302"/>
      <c r="SW280" s="302"/>
      <c r="SX280" s="302"/>
      <c r="SY280" s="302"/>
      <c r="SZ280" s="302"/>
      <c r="TA280" s="302"/>
      <c r="TB280" s="302"/>
      <c r="TC280" s="302"/>
      <c r="TD280" s="302"/>
      <c r="TE280" s="302"/>
      <c r="TF280" s="302"/>
      <c r="TG280" s="302"/>
      <c r="TH280" s="302"/>
      <c r="TI280" s="302"/>
      <c r="TJ280" s="302"/>
      <c r="TK280" s="302"/>
      <c r="TL280" s="302"/>
      <c r="TM280" s="302"/>
      <c r="TN280" s="302"/>
      <c r="TO280" s="302"/>
      <c r="TP280" s="302"/>
      <c r="TQ280" s="302"/>
      <c r="TR280" s="302"/>
      <c r="TS280" s="302"/>
      <c r="TT280" s="302"/>
      <c r="TU280" s="302"/>
      <c r="TV280" s="302"/>
      <c r="TW280" s="302"/>
      <c r="TX280" s="302"/>
      <c r="TY280" s="302"/>
      <c r="TZ280" s="302"/>
      <c r="UA280" s="302"/>
      <c r="UB280" s="302"/>
      <c r="UC280" s="302"/>
      <c r="UD280" s="302"/>
      <c r="UE280" s="302"/>
      <c r="UF280" s="302"/>
      <c r="UG280" s="302"/>
      <c r="UH280" s="302"/>
      <c r="UI280" s="302"/>
      <c r="UJ280" s="302"/>
      <c r="UK280" s="302"/>
      <c r="UL280" s="302"/>
      <c r="UM280" s="302"/>
      <c r="UN280" s="302"/>
      <c r="UO280" s="302"/>
      <c r="UP280" s="302"/>
      <c r="UQ280" s="302"/>
      <c r="UR280" s="302"/>
      <c r="US280" s="302"/>
      <c r="UT280" s="302"/>
      <c r="UU280" s="302"/>
      <c r="UV280" s="302"/>
      <c r="UW280" s="302"/>
      <c r="UX280" s="302"/>
      <c r="UY280" s="302"/>
      <c r="UZ280" s="302"/>
      <c r="VA280" s="302"/>
      <c r="VB280" s="302"/>
      <c r="VC280" s="302"/>
      <c r="VD280" s="302"/>
      <c r="VE280" s="302"/>
      <c r="VF280" s="302"/>
      <c r="VG280" s="302"/>
      <c r="VH280" s="302"/>
      <c r="VI280" s="302"/>
      <c r="VJ280" s="302"/>
      <c r="VK280" s="302"/>
      <c r="VL280" s="302"/>
      <c r="VM280" s="302"/>
      <c r="VN280" s="302"/>
      <c r="VO280" s="302"/>
      <c r="VP280" s="302"/>
      <c r="VQ280" s="302"/>
      <c r="VR280" s="302"/>
      <c r="VS280" s="302"/>
      <c r="VT280" s="302"/>
      <c r="VU280" s="302"/>
      <c r="VV280" s="302"/>
      <c r="VW280" s="302"/>
      <c r="VX280" s="302"/>
      <c r="VY280" s="302"/>
      <c r="VZ280" s="302"/>
      <c r="WA280" s="302"/>
      <c r="WB280" s="302"/>
      <c r="WC280" s="302"/>
      <c r="WD280" s="302"/>
      <c r="WE280" s="302"/>
      <c r="WF280" s="302"/>
      <c r="WG280" s="302"/>
      <c r="WH280" s="302"/>
      <c r="WI280" s="302"/>
      <c r="WJ280" s="302"/>
      <c r="WK280" s="302"/>
      <c r="WL280" s="302"/>
      <c r="WM280" s="302"/>
      <c r="WN280" s="302"/>
      <c r="WO280" s="302"/>
      <c r="WP280" s="302"/>
      <c r="WQ280" s="302"/>
      <c r="WR280" s="302"/>
      <c r="WS280" s="302"/>
      <c r="WT280" s="302"/>
      <c r="WU280" s="302"/>
      <c r="WV280" s="302"/>
      <c r="WW280" s="302"/>
      <c r="WX280" s="302"/>
      <c r="WY280" s="302"/>
      <c r="WZ280" s="302"/>
      <c r="XA280" s="302"/>
      <c r="XB280" s="302"/>
      <c r="XC280" s="302"/>
      <c r="XD280" s="302"/>
      <c r="XE280" s="302"/>
      <c r="XF280" s="302"/>
      <c r="XG280" s="302"/>
      <c r="XH280" s="302"/>
      <c r="XI280" s="302"/>
      <c r="XJ280" s="302"/>
      <c r="XK280" s="302"/>
      <c r="XL280" s="302"/>
      <c r="XM280" s="302"/>
      <c r="XN280" s="302"/>
      <c r="XO280" s="302"/>
      <c r="XP280" s="302"/>
      <c r="XQ280" s="302"/>
      <c r="XR280" s="302"/>
      <c r="XS280" s="302"/>
      <c r="XT280" s="302"/>
      <c r="XU280" s="302"/>
      <c r="XV280" s="302"/>
      <c r="XW280" s="302"/>
      <c r="XX280" s="302"/>
      <c r="XY280" s="302"/>
      <c r="XZ280" s="302"/>
      <c r="YA280" s="302"/>
      <c r="YB280" s="302"/>
      <c r="YC280" s="302"/>
      <c r="YD280" s="302"/>
      <c r="YE280" s="302"/>
      <c r="YF280" s="302"/>
      <c r="YG280" s="302"/>
      <c r="YH280" s="302"/>
      <c r="YI280" s="302"/>
      <c r="YJ280" s="302"/>
      <c r="YK280" s="302"/>
      <c r="YL280" s="302"/>
      <c r="YM280" s="302"/>
      <c r="YN280" s="302"/>
      <c r="YO280" s="302"/>
      <c r="YP280" s="302"/>
      <c r="YQ280" s="302"/>
      <c r="YR280" s="302"/>
      <c r="YS280" s="302"/>
      <c r="YT280" s="302"/>
      <c r="YU280" s="302"/>
      <c r="YV280" s="302"/>
      <c r="YW280" s="302"/>
      <c r="YX280" s="302"/>
      <c r="YY280" s="302"/>
      <c r="YZ280" s="302"/>
      <c r="ZA280" s="302"/>
      <c r="ZB280" s="302"/>
      <c r="ZC280" s="302"/>
      <c r="ZD280" s="302"/>
      <c r="ZE280" s="302"/>
      <c r="ZF280" s="302"/>
      <c r="ZG280" s="302"/>
      <c r="ZH280" s="302"/>
      <c r="ZI280" s="302"/>
      <c r="ZJ280" s="302"/>
      <c r="ZK280" s="302"/>
      <c r="ZL280" s="302"/>
      <c r="ZM280" s="302"/>
      <c r="ZN280" s="302"/>
      <c r="ZO280" s="302"/>
      <c r="ZP280" s="302"/>
      <c r="ZQ280" s="302"/>
      <c r="ZR280" s="302"/>
      <c r="ZS280" s="302"/>
      <c r="ZT280" s="302"/>
      <c r="ZU280" s="302"/>
      <c r="ZV280" s="302"/>
      <c r="ZW280" s="302"/>
      <c r="ZX280" s="302"/>
      <c r="ZY280" s="302"/>
      <c r="ZZ280" s="302"/>
      <c r="AAA280" s="302"/>
      <c r="AAB280" s="302"/>
      <c r="AAC280" s="302"/>
      <c r="AAD280" s="302"/>
      <c r="AAE280" s="302"/>
      <c r="AAF280" s="302"/>
      <c r="AAG280" s="302"/>
      <c r="AAH280" s="302"/>
      <c r="AAI280" s="302"/>
      <c r="AAJ280" s="302"/>
      <c r="AAK280" s="302"/>
      <c r="AAL280" s="302"/>
      <c r="AAM280" s="302"/>
      <c r="AAN280" s="302"/>
      <c r="AAO280" s="302"/>
      <c r="AAP280" s="302"/>
      <c r="AAQ280" s="302"/>
      <c r="AAR280" s="302"/>
      <c r="AAS280" s="302"/>
      <c r="AAT280" s="302"/>
      <c r="AAU280" s="302"/>
      <c r="AAV280" s="302"/>
      <c r="AAW280" s="302"/>
      <c r="AAX280" s="302"/>
      <c r="AAY280" s="302"/>
      <c r="AAZ280" s="302"/>
      <c r="ABA280" s="302"/>
      <c r="ABB280" s="302"/>
      <c r="ABC280" s="302"/>
      <c r="ABD280" s="302"/>
      <c r="ABE280" s="302"/>
      <c r="ABF280" s="302"/>
      <c r="ABG280" s="302"/>
      <c r="ABH280" s="302"/>
      <c r="ABI280" s="302"/>
      <c r="ABJ280" s="302"/>
      <c r="ABK280" s="302"/>
      <c r="ABL280" s="302"/>
      <c r="ABM280" s="302"/>
      <c r="ABN280" s="302"/>
      <c r="ABO280" s="302"/>
      <c r="ABP280" s="302"/>
      <c r="ABQ280" s="302"/>
      <c r="ABR280" s="302"/>
      <c r="ABS280" s="302"/>
      <c r="ABT280" s="302"/>
      <c r="ABU280" s="302"/>
      <c r="ABV280" s="302"/>
      <c r="ABW280" s="302"/>
      <c r="ABX280" s="302"/>
      <c r="ABY280" s="302"/>
      <c r="ABZ280" s="302"/>
      <c r="ACA280" s="302"/>
      <c r="ACB280" s="302"/>
      <c r="ACC280" s="302"/>
      <c r="ACD280" s="302"/>
      <c r="ACE280" s="302"/>
      <c r="ACF280" s="302"/>
      <c r="ACG280" s="302"/>
      <c r="ACH280" s="302"/>
      <c r="ACI280" s="302"/>
      <c r="ACJ280" s="302"/>
      <c r="ACK280" s="302"/>
      <c r="ACL280" s="302"/>
      <c r="ACM280" s="302"/>
      <c r="ACN280" s="302"/>
      <c r="ACO280" s="302"/>
      <c r="ACP280" s="302"/>
      <c r="ACQ280" s="302"/>
      <c r="ACR280" s="302"/>
      <c r="ACS280" s="302"/>
      <c r="ACT280" s="302"/>
      <c r="ACU280" s="302"/>
      <c r="ACV280" s="302"/>
      <c r="ACW280" s="302"/>
      <c r="ACX280" s="302"/>
      <c r="ACY280" s="302"/>
      <c r="ACZ280" s="302"/>
      <c r="ADA280" s="302"/>
      <c r="ADB280" s="302"/>
      <c r="ADC280" s="302"/>
      <c r="ADD280" s="302"/>
      <c r="ADE280" s="302"/>
      <c r="ADF280" s="302"/>
      <c r="ADG280" s="302"/>
      <c r="ADH280" s="302"/>
      <c r="ADI280" s="302"/>
      <c r="ADJ280" s="302"/>
      <c r="ADK280" s="302"/>
      <c r="ADL280" s="302"/>
      <c r="ADM280" s="302"/>
      <c r="ADN280" s="302"/>
      <c r="ADO280" s="302"/>
      <c r="ADP280" s="302"/>
      <c r="ADQ280" s="302"/>
      <c r="ADR280" s="302"/>
      <c r="ADS280" s="302"/>
      <c r="ADT280" s="302"/>
      <c r="ADU280" s="302"/>
      <c r="ADV280" s="302"/>
      <c r="ADW280" s="302"/>
      <c r="ADX280" s="302"/>
      <c r="ADY280" s="302"/>
      <c r="ADZ280" s="302"/>
      <c r="AEA280" s="302"/>
      <c r="AEB280" s="302"/>
      <c r="AEC280" s="302"/>
      <c r="AED280" s="302"/>
      <c r="AEE280" s="302"/>
      <c r="AEF280" s="302"/>
      <c r="AEG280" s="302"/>
      <c r="AEH280" s="302"/>
      <c r="AEI280" s="302"/>
      <c r="AEJ280" s="302"/>
      <c r="AEK280" s="302"/>
      <c r="AEL280" s="302"/>
      <c r="AEM280" s="302"/>
      <c r="AEN280" s="302"/>
      <c r="AEO280" s="302"/>
      <c r="AEP280" s="302"/>
      <c r="AEQ280" s="302"/>
      <c r="AER280" s="302"/>
      <c r="AES280" s="302"/>
      <c r="AET280" s="302"/>
      <c r="AEU280" s="302"/>
      <c r="AEV280" s="302"/>
      <c r="AEW280" s="302"/>
      <c r="AEX280" s="302"/>
      <c r="AEY280" s="302"/>
      <c r="AEZ280" s="302"/>
      <c r="AFA280" s="302"/>
      <c r="AFB280" s="302"/>
      <c r="AFC280" s="302"/>
      <c r="AFD280" s="302"/>
      <c r="AFE280" s="302"/>
      <c r="AFF280" s="302"/>
      <c r="AFG280" s="302"/>
      <c r="AFH280" s="302"/>
      <c r="AFI280" s="302"/>
      <c r="AFJ280" s="302"/>
      <c r="AFK280" s="302"/>
      <c r="AFL280" s="302"/>
      <c r="AFM280" s="302"/>
      <c r="AFN280" s="302"/>
      <c r="AFO280" s="302"/>
      <c r="AFP280" s="302"/>
      <c r="AFQ280" s="302"/>
      <c r="AFR280" s="302"/>
      <c r="AFS280" s="302"/>
      <c r="AFT280" s="302"/>
      <c r="AFU280" s="302"/>
      <c r="AFV280" s="302"/>
      <c r="AFW280" s="302"/>
      <c r="AFX280" s="302"/>
      <c r="AFY280" s="302"/>
      <c r="AFZ280" s="302"/>
      <c r="AGA280" s="302"/>
      <c r="AGB280" s="302"/>
      <c r="AGC280" s="302"/>
      <c r="AGD280" s="302"/>
      <c r="AGE280" s="302"/>
      <c r="AGF280" s="302"/>
      <c r="AGG280" s="302"/>
      <c r="AGH280" s="302"/>
      <c r="AGI280" s="302"/>
      <c r="AGJ280" s="302"/>
      <c r="AGK280" s="302"/>
      <c r="AGL280" s="302"/>
      <c r="AGM280" s="302"/>
      <c r="AGN280" s="302"/>
      <c r="AGO280" s="302"/>
      <c r="AGP280" s="302"/>
      <c r="AGQ280" s="302"/>
      <c r="AGR280" s="302"/>
      <c r="AGS280" s="302"/>
      <c r="AGT280" s="302"/>
      <c r="AGU280" s="302"/>
      <c r="AGV280" s="302"/>
      <c r="AGW280" s="302"/>
      <c r="AGX280" s="302"/>
      <c r="AGY280" s="302"/>
      <c r="AGZ280" s="302"/>
      <c r="AHA280" s="302"/>
      <c r="AHB280" s="302"/>
      <c r="AHC280" s="302"/>
      <c r="AHD280" s="302"/>
      <c r="AHE280" s="302"/>
      <c r="AHF280" s="302"/>
      <c r="AHG280" s="302"/>
      <c r="AHH280" s="302"/>
      <c r="AHI280" s="302"/>
      <c r="AHJ280" s="302"/>
      <c r="AHK280" s="302"/>
      <c r="AHL280" s="302"/>
      <c r="AHM280" s="302"/>
      <c r="AHN280" s="302"/>
      <c r="AHO280" s="302"/>
      <c r="AHP280" s="302"/>
      <c r="AHQ280" s="302"/>
      <c r="AHR280" s="302"/>
      <c r="AHS280" s="302"/>
      <c r="AHT280" s="302"/>
      <c r="AHU280" s="302"/>
      <c r="AHV280" s="302"/>
      <c r="AHW280" s="302"/>
      <c r="AHX280" s="302"/>
      <c r="AHY280" s="302"/>
      <c r="AHZ280" s="302"/>
      <c r="AIA280" s="302"/>
      <c r="AIB280" s="302"/>
      <c r="AIC280" s="302"/>
      <c r="AID280" s="302"/>
      <c r="AIE280" s="302"/>
      <c r="AIF280" s="302"/>
      <c r="AIG280" s="302"/>
      <c r="AIH280" s="302"/>
      <c r="AII280" s="302"/>
      <c r="AIJ280" s="302"/>
      <c r="AIK280" s="302"/>
      <c r="AIL280" s="302"/>
      <c r="AIM280" s="302"/>
      <c r="AIN280" s="302"/>
      <c r="AIO280" s="302"/>
      <c r="AIP280" s="302"/>
      <c r="AIQ280" s="302"/>
      <c r="AIR280" s="302"/>
      <c r="AIS280" s="302"/>
      <c r="AIT280" s="302"/>
      <c r="AIU280" s="302"/>
      <c r="AIV280" s="302"/>
      <c r="AIW280" s="302"/>
      <c r="AIX280" s="302"/>
      <c r="AIY280" s="302"/>
      <c r="AIZ280" s="302"/>
      <c r="AJA280" s="302"/>
      <c r="AJB280" s="302"/>
      <c r="AJC280" s="302"/>
      <c r="AJD280" s="302"/>
      <c r="AJE280" s="302"/>
      <c r="AJF280" s="302"/>
      <c r="AJG280" s="302"/>
      <c r="AJH280" s="302"/>
      <c r="AJI280" s="302"/>
      <c r="AJJ280" s="302"/>
      <c r="AJK280" s="302"/>
      <c r="AJL280" s="302"/>
      <c r="AJM280" s="302"/>
      <c r="AJN280" s="302"/>
      <c r="AJO280" s="302"/>
      <c r="AJP280" s="302"/>
      <c r="AJQ280" s="302"/>
      <c r="AJR280" s="302"/>
      <c r="AJS280" s="302"/>
      <c r="AJT280" s="302"/>
      <c r="AJU280" s="302"/>
      <c r="AJV280" s="302"/>
      <c r="AJW280" s="302"/>
      <c r="AJX280" s="302"/>
      <c r="AJY280" s="302"/>
      <c r="AJZ280" s="302"/>
      <c r="AKA280" s="302"/>
      <c r="AKB280" s="302"/>
      <c r="AKC280" s="302"/>
      <c r="AKD280" s="302"/>
      <c r="AKE280" s="302"/>
      <c r="AKF280" s="302"/>
      <c r="AKG280" s="302"/>
      <c r="AKH280" s="302"/>
      <c r="AKI280" s="302"/>
      <c r="AKJ280" s="302"/>
      <c r="AKK280" s="302"/>
      <c r="AKL280" s="302"/>
      <c r="AKM280" s="302"/>
      <c r="AKN280" s="302"/>
      <c r="AKO280" s="302"/>
      <c r="AKP280" s="302"/>
      <c r="AKQ280" s="302"/>
      <c r="AKR280" s="302"/>
      <c r="AKS280" s="302"/>
      <c r="AKT280" s="302"/>
      <c r="AKU280" s="302"/>
      <c r="AKV280" s="302"/>
      <c r="AKW280" s="302"/>
      <c r="AKX280" s="302"/>
      <c r="AKY280" s="302"/>
      <c r="AKZ280" s="302"/>
      <c r="ALA280" s="302"/>
      <c r="ALB280" s="302"/>
      <c r="ALC280" s="302"/>
      <c r="ALD280" s="302"/>
      <c r="ALE280" s="302"/>
      <c r="ALF280" s="302"/>
      <c r="ALG280" s="302"/>
      <c r="ALH280" s="302"/>
      <c r="ALI280" s="302"/>
      <c r="ALJ280" s="302"/>
      <c r="ALK280" s="302"/>
      <c r="ALL280" s="302"/>
      <c r="ALM280" s="302"/>
      <c r="ALN280" s="302"/>
      <c r="ALO280" s="302"/>
      <c r="ALP280" s="302"/>
      <c r="ALQ280" s="302"/>
      <c r="ALR280" s="302"/>
      <c r="ALS280" s="302"/>
      <c r="ALT280" s="302"/>
      <c r="ALU280" s="302"/>
      <c r="ALV280" s="302"/>
      <c r="ALW280" s="302"/>
      <c r="ALX280" s="302"/>
      <c r="ALY280" s="302"/>
      <c r="ALZ280" s="302"/>
      <c r="AMA280" s="302"/>
      <c r="AMB280" s="302"/>
      <c r="AMC280" s="302"/>
      <c r="AMD280" s="302"/>
      <c r="AME280" s="302"/>
      <c r="AMF280" s="302"/>
      <c r="AMG280" s="302"/>
      <c r="AMH280" s="302"/>
      <c r="AMI280" s="302"/>
    </row>
    <row r="281" spans="1:1023" hidden="1"/>
    <row r="282" spans="1:1023" hidden="1"/>
    <row r="283" spans="1:1023" ht="18" hidden="1">
      <c r="A283" s="302"/>
      <c r="B283" s="969" t="s">
        <v>432</v>
      </c>
      <c r="C283" s="969"/>
      <c r="D283" s="969"/>
      <c r="E283" s="969"/>
      <c r="F283" s="969"/>
      <c r="G283" s="969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  <c r="AD283" s="302"/>
      <c r="AE283" s="302"/>
      <c r="AF283" s="302"/>
      <c r="AG283" s="302"/>
      <c r="AH283" s="302"/>
      <c r="AI283" s="302"/>
      <c r="AJ283" s="302"/>
      <c r="AK283" s="302"/>
      <c r="AL283" s="302"/>
      <c r="AM283" s="302"/>
      <c r="AN283" s="302"/>
      <c r="AO283" s="302"/>
      <c r="AP283" s="302"/>
      <c r="AQ283" s="302"/>
      <c r="AR283" s="302"/>
      <c r="AS283" s="302"/>
      <c r="AT283" s="302"/>
      <c r="AU283" s="302"/>
      <c r="AV283" s="302"/>
      <c r="AW283" s="302"/>
      <c r="AX283" s="302"/>
      <c r="AY283" s="302"/>
      <c r="AZ283" s="302"/>
      <c r="BA283" s="302"/>
      <c r="BB283" s="302"/>
      <c r="BC283" s="302"/>
      <c r="BD283" s="302"/>
      <c r="BE283" s="302"/>
      <c r="BF283" s="302"/>
      <c r="BG283" s="302"/>
      <c r="BH283" s="302"/>
      <c r="BI283" s="302"/>
      <c r="BJ283" s="302"/>
      <c r="BK283" s="302"/>
      <c r="BL283" s="302"/>
      <c r="BM283" s="302"/>
      <c r="BN283" s="302"/>
      <c r="BO283" s="302"/>
      <c r="BP283" s="302"/>
      <c r="BQ283" s="302"/>
      <c r="BR283" s="302"/>
      <c r="BS283" s="302"/>
      <c r="BT283" s="302"/>
      <c r="BU283" s="302"/>
      <c r="BV283" s="302"/>
      <c r="BW283" s="302"/>
      <c r="BX283" s="302"/>
      <c r="BY283" s="302"/>
      <c r="BZ283" s="302"/>
      <c r="CA283" s="302"/>
      <c r="CB283" s="302"/>
      <c r="CC283" s="302"/>
      <c r="CD283" s="302"/>
      <c r="CE283" s="302"/>
      <c r="CF283" s="302"/>
      <c r="CG283" s="302"/>
      <c r="CH283" s="302"/>
      <c r="CI283" s="302"/>
      <c r="CJ283" s="302"/>
      <c r="CK283" s="302"/>
      <c r="CL283" s="302"/>
      <c r="CM283" s="302"/>
      <c r="CN283" s="302"/>
      <c r="CO283" s="302"/>
      <c r="CP283" s="302"/>
      <c r="CQ283" s="302"/>
      <c r="CR283" s="302"/>
      <c r="CS283" s="302"/>
      <c r="CT283" s="302"/>
      <c r="CU283" s="302"/>
      <c r="CV283" s="302"/>
      <c r="CW283" s="302"/>
      <c r="CX283" s="302"/>
      <c r="CY283" s="302"/>
      <c r="CZ283" s="302"/>
      <c r="DA283" s="302"/>
      <c r="DB283" s="302"/>
      <c r="DC283" s="302"/>
      <c r="DD283" s="302"/>
      <c r="DE283" s="302"/>
      <c r="DF283" s="302"/>
      <c r="DG283" s="302"/>
      <c r="DH283" s="302"/>
      <c r="DI283" s="302"/>
      <c r="DJ283" s="302"/>
      <c r="DK283" s="302"/>
      <c r="DL283" s="302"/>
      <c r="DM283" s="302"/>
      <c r="DN283" s="302"/>
      <c r="DO283" s="302"/>
      <c r="DP283" s="302"/>
      <c r="DQ283" s="302"/>
      <c r="DR283" s="302"/>
      <c r="DS283" s="302"/>
      <c r="DT283" s="302"/>
      <c r="DU283" s="302"/>
      <c r="DV283" s="302"/>
      <c r="DW283" s="302"/>
      <c r="DX283" s="302"/>
      <c r="DY283" s="302"/>
      <c r="DZ283" s="302"/>
      <c r="EA283" s="302"/>
      <c r="EB283" s="302"/>
      <c r="EC283" s="302"/>
      <c r="ED283" s="302"/>
      <c r="EE283" s="302"/>
      <c r="EF283" s="302"/>
      <c r="EG283" s="302"/>
      <c r="EH283" s="302"/>
      <c r="EI283" s="302"/>
      <c r="EJ283" s="302"/>
      <c r="EK283" s="302"/>
      <c r="EL283" s="302"/>
      <c r="EM283" s="302"/>
      <c r="EN283" s="302"/>
      <c r="EO283" s="302"/>
      <c r="EP283" s="302"/>
      <c r="EQ283" s="302"/>
      <c r="ER283" s="302"/>
      <c r="ES283" s="302"/>
      <c r="ET283" s="302"/>
      <c r="EU283" s="302"/>
      <c r="EV283" s="302"/>
      <c r="EW283" s="302"/>
      <c r="EX283" s="302"/>
      <c r="EY283" s="302"/>
      <c r="EZ283" s="302"/>
      <c r="FA283" s="302"/>
      <c r="FB283" s="302"/>
      <c r="FC283" s="302"/>
      <c r="FD283" s="302"/>
      <c r="FE283" s="302"/>
      <c r="FF283" s="302"/>
      <c r="FG283" s="302"/>
      <c r="FH283" s="302"/>
      <c r="FI283" s="302"/>
      <c r="FJ283" s="302"/>
      <c r="FK283" s="302"/>
      <c r="FL283" s="302"/>
      <c r="FM283" s="302"/>
      <c r="FN283" s="302"/>
      <c r="FO283" s="302"/>
      <c r="FP283" s="302"/>
      <c r="FQ283" s="302"/>
      <c r="FR283" s="302"/>
      <c r="FS283" s="302"/>
      <c r="FT283" s="302"/>
      <c r="FU283" s="302"/>
      <c r="FV283" s="302"/>
      <c r="FW283" s="302"/>
      <c r="FX283" s="302"/>
      <c r="FY283" s="302"/>
      <c r="FZ283" s="302"/>
      <c r="GA283" s="302"/>
      <c r="GB283" s="302"/>
      <c r="GC283" s="302"/>
      <c r="GD283" s="302"/>
      <c r="GE283" s="302"/>
      <c r="GF283" s="302"/>
      <c r="GG283" s="302"/>
      <c r="GH283" s="302"/>
      <c r="GI283" s="302"/>
      <c r="GJ283" s="302"/>
      <c r="GK283" s="302"/>
      <c r="GL283" s="302"/>
      <c r="GM283" s="302"/>
      <c r="GN283" s="302"/>
      <c r="GO283" s="302"/>
      <c r="GP283" s="302"/>
      <c r="GQ283" s="302"/>
      <c r="GR283" s="302"/>
      <c r="GS283" s="302"/>
      <c r="GT283" s="302"/>
      <c r="GU283" s="302"/>
      <c r="GV283" s="302"/>
      <c r="GW283" s="302"/>
      <c r="GX283" s="302"/>
      <c r="GY283" s="302"/>
      <c r="GZ283" s="302"/>
      <c r="HA283" s="302"/>
      <c r="HB283" s="302"/>
      <c r="HC283" s="302"/>
      <c r="HD283" s="302"/>
      <c r="HE283" s="302"/>
      <c r="HF283" s="302"/>
      <c r="HG283" s="302"/>
      <c r="HH283" s="302"/>
      <c r="HI283" s="302"/>
      <c r="HJ283" s="302"/>
      <c r="HK283" s="302"/>
      <c r="HL283" s="302"/>
      <c r="HM283" s="302"/>
      <c r="HN283" s="302"/>
      <c r="HO283" s="302"/>
      <c r="HP283" s="302"/>
      <c r="HQ283" s="302"/>
      <c r="HR283" s="302"/>
      <c r="HS283" s="302"/>
      <c r="HT283" s="302"/>
      <c r="HU283" s="302"/>
      <c r="HV283" s="302"/>
      <c r="HW283" s="302"/>
      <c r="HX283" s="302"/>
      <c r="HY283" s="302"/>
      <c r="HZ283" s="302"/>
      <c r="IA283" s="302"/>
      <c r="IB283" s="302"/>
      <c r="IC283" s="302"/>
      <c r="ID283" s="302"/>
      <c r="IE283" s="302"/>
      <c r="IF283" s="302"/>
      <c r="IG283" s="302"/>
      <c r="IH283" s="302"/>
      <c r="II283" s="302"/>
      <c r="IJ283" s="302"/>
      <c r="IK283" s="302"/>
      <c r="IL283" s="302"/>
      <c r="IM283" s="302"/>
      <c r="IN283" s="302"/>
      <c r="IO283" s="302"/>
      <c r="IP283" s="302"/>
      <c r="IQ283" s="302"/>
      <c r="IR283" s="302"/>
      <c r="IS283" s="302"/>
      <c r="IT283" s="302"/>
      <c r="IU283" s="302"/>
      <c r="IV283" s="302"/>
      <c r="IW283" s="302"/>
      <c r="IX283" s="302"/>
      <c r="IY283" s="302"/>
      <c r="IZ283" s="302"/>
      <c r="JA283" s="302"/>
      <c r="JB283" s="302"/>
      <c r="JC283" s="302"/>
      <c r="JD283" s="302"/>
      <c r="JE283" s="302"/>
      <c r="JF283" s="302"/>
      <c r="JG283" s="302"/>
      <c r="JH283" s="302"/>
      <c r="JI283" s="302"/>
      <c r="JJ283" s="302"/>
      <c r="JK283" s="302"/>
      <c r="JL283" s="302"/>
      <c r="JM283" s="302"/>
      <c r="JN283" s="302"/>
      <c r="JO283" s="302"/>
      <c r="JP283" s="302"/>
      <c r="JQ283" s="302"/>
      <c r="JR283" s="302"/>
      <c r="JS283" s="302"/>
      <c r="JT283" s="302"/>
      <c r="JU283" s="302"/>
      <c r="JV283" s="302"/>
      <c r="JW283" s="302"/>
      <c r="JX283" s="302"/>
      <c r="JY283" s="302"/>
      <c r="JZ283" s="302"/>
      <c r="KA283" s="302"/>
      <c r="KB283" s="302"/>
      <c r="KC283" s="302"/>
      <c r="KD283" s="302"/>
      <c r="KE283" s="302"/>
      <c r="KF283" s="302"/>
      <c r="KG283" s="302"/>
      <c r="KH283" s="302"/>
      <c r="KI283" s="302"/>
      <c r="KJ283" s="302"/>
      <c r="KK283" s="302"/>
      <c r="KL283" s="302"/>
      <c r="KM283" s="302"/>
      <c r="KN283" s="302"/>
      <c r="KO283" s="302"/>
      <c r="KP283" s="302"/>
      <c r="KQ283" s="302"/>
      <c r="KR283" s="302"/>
      <c r="KS283" s="302"/>
      <c r="KT283" s="302"/>
      <c r="KU283" s="302"/>
      <c r="KV283" s="302"/>
      <c r="KW283" s="302"/>
      <c r="KX283" s="302"/>
      <c r="KY283" s="302"/>
      <c r="KZ283" s="302"/>
      <c r="LA283" s="302"/>
      <c r="LB283" s="302"/>
      <c r="LC283" s="302"/>
      <c r="LD283" s="302"/>
      <c r="LE283" s="302"/>
      <c r="LF283" s="302"/>
      <c r="LG283" s="302"/>
      <c r="LH283" s="302"/>
      <c r="LI283" s="302"/>
      <c r="LJ283" s="302"/>
      <c r="LK283" s="302"/>
      <c r="LL283" s="302"/>
      <c r="LM283" s="302"/>
      <c r="LN283" s="302"/>
      <c r="LO283" s="302"/>
      <c r="LP283" s="302"/>
      <c r="LQ283" s="302"/>
      <c r="LR283" s="302"/>
      <c r="LS283" s="302"/>
      <c r="LT283" s="302"/>
      <c r="LU283" s="302"/>
      <c r="LV283" s="302"/>
      <c r="LW283" s="302"/>
      <c r="LX283" s="302"/>
      <c r="LY283" s="302"/>
      <c r="LZ283" s="302"/>
      <c r="MA283" s="302"/>
      <c r="MB283" s="302"/>
      <c r="MC283" s="302"/>
      <c r="MD283" s="302"/>
      <c r="ME283" s="302"/>
      <c r="MF283" s="302"/>
      <c r="MG283" s="302"/>
      <c r="MH283" s="302"/>
      <c r="MI283" s="302"/>
      <c r="MJ283" s="302"/>
      <c r="MK283" s="302"/>
      <c r="ML283" s="302"/>
      <c r="MM283" s="302"/>
      <c r="MN283" s="302"/>
      <c r="MO283" s="302"/>
      <c r="MP283" s="302"/>
      <c r="MQ283" s="302"/>
      <c r="MR283" s="302"/>
      <c r="MS283" s="302"/>
      <c r="MT283" s="302"/>
      <c r="MU283" s="302"/>
      <c r="MV283" s="302"/>
      <c r="MW283" s="302"/>
      <c r="MX283" s="302"/>
      <c r="MY283" s="302"/>
      <c r="MZ283" s="302"/>
      <c r="NA283" s="302"/>
      <c r="NB283" s="302"/>
      <c r="NC283" s="302"/>
      <c r="ND283" s="302"/>
      <c r="NE283" s="302"/>
      <c r="NF283" s="302"/>
      <c r="NG283" s="302"/>
      <c r="NH283" s="302"/>
      <c r="NI283" s="302"/>
      <c r="NJ283" s="302"/>
      <c r="NK283" s="302"/>
      <c r="NL283" s="302"/>
      <c r="NM283" s="302"/>
      <c r="NN283" s="302"/>
      <c r="NO283" s="302"/>
      <c r="NP283" s="302"/>
      <c r="NQ283" s="302"/>
      <c r="NR283" s="302"/>
      <c r="NS283" s="302"/>
      <c r="NT283" s="302"/>
      <c r="NU283" s="302"/>
      <c r="NV283" s="302"/>
      <c r="NW283" s="302"/>
      <c r="NX283" s="302"/>
      <c r="NY283" s="302"/>
      <c r="NZ283" s="302"/>
      <c r="OA283" s="302"/>
      <c r="OB283" s="302"/>
      <c r="OC283" s="302"/>
      <c r="OD283" s="302"/>
      <c r="OE283" s="302"/>
      <c r="OF283" s="302"/>
      <c r="OG283" s="302"/>
      <c r="OH283" s="302"/>
      <c r="OI283" s="302"/>
      <c r="OJ283" s="302"/>
      <c r="OK283" s="302"/>
      <c r="OL283" s="302"/>
      <c r="OM283" s="302"/>
      <c r="ON283" s="302"/>
      <c r="OO283" s="302"/>
      <c r="OP283" s="302"/>
      <c r="OQ283" s="302"/>
      <c r="OR283" s="302"/>
      <c r="OS283" s="302"/>
      <c r="OT283" s="302"/>
      <c r="OU283" s="302"/>
      <c r="OV283" s="302"/>
      <c r="OW283" s="302"/>
      <c r="OX283" s="302"/>
      <c r="OY283" s="302"/>
      <c r="OZ283" s="302"/>
      <c r="PA283" s="302"/>
      <c r="PB283" s="302"/>
      <c r="PC283" s="302"/>
      <c r="PD283" s="302"/>
      <c r="PE283" s="302"/>
      <c r="PF283" s="302"/>
      <c r="PG283" s="302"/>
      <c r="PH283" s="302"/>
      <c r="PI283" s="302"/>
      <c r="PJ283" s="302"/>
      <c r="PK283" s="302"/>
      <c r="PL283" s="302"/>
      <c r="PM283" s="302"/>
      <c r="PN283" s="302"/>
      <c r="PO283" s="302"/>
      <c r="PP283" s="302"/>
      <c r="PQ283" s="302"/>
      <c r="PR283" s="302"/>
      <c r="PS283" s="302"/>
      <c r="PT283" s="302"/>
      <c r="PU283" s="302"/>
      <c r="PV283" s="302"/>
      <c r="PW283" s="302"/>
      <c r="PX283" s="302"/>
      <c r="PY283" s="302"/>
      <c r="PZ283" s="302"/>
      <c r="QA283" s="302"/>
      <c r="QB283" s="302"/>
      <c r="QC283" s="302"/>
      <c r="QD283" s="302"/>
      <c r="QE283" s="302"/>
      <c r="QF283" s="302"/>
      <c r="QG283" s="302"/>
      <c r="QH283" s="302"/>
      <c r="QI283" s="302"/>
      <c r="QJ283" s="302"/>
      <c r="QK283" s="302"/>
      <c r="QL283" s="302"/>
      <c r="QM283" s="302"/>
      <c r="QN283" s="302"/>
      <c r="QO283" s="302"/>
      <c r="QP283" s="302"/>
      <c r="QQ283" s="302"/>
      <c r="QR283" s="302"/>
      <c r="QS283" s="302"/>
      <c r="QT283" s="302"/>
      <c r="QU283" s="302"/>
      <c r="QV283" s="302"/>
      <c r="QW283" s="302"/>
      <c r="QX283" s="302"/>
      <c r="QY283" s="302"/>
      <c r="QZ283" s="302"/>
      <c r="RA283" s="302"/>
      <c r="RB283" s="302"/>
      <c r="RC283" s="302"/>
      <c r="RD283" s="302"/>
      <c r="RE283" s="302"/>
      <c r="RF283" s="302"/>
      <c r="RG283" s="302"/>
      <c r="RH283" s="302"/>
      <c r="RI283" s="302"/>
      <c r="RJ283" s="302"/>
      <c r="RK283" s="302"/>
      <c r="RL283" s="302"/>
      <c r="RM283" s="302"/>
      <c r="RN283" s="302"/>
      <c r="RO283" s="302"/>
      <c r="RP283" s="302"/>
      <c r="RQ283" s="302"/>
      <c r="RR283" s="302"/>
      <c r="RS283" s="302"/>
      <c r="RT283" s="302"/>
      <c r="RU283" s="302"/>
      <c r="RV283" s="302"/>
      <c r="RW283" s="302"/>
      <c r="RX283" s="302"/>
      <c r="RY283" s="302"/>
      <c r="RZ283" s="302"/>
      <c r="SA283" s="302"/>
      <c r="SB283" s="302"/>
      <c r="SC283" s="302"/>
      <c r="SD283" s="302"/>
      <c r="SE283" s="302"/>
      <c r="SF283" s="302"/>
      <c r="SG283" s="302"/>
      <c r="SH283" s="302"/>
      <c r="SI283" s="302"/>
      <c r="SJ283" s="302"/>
      <c r="SK283" s="302"/>
      <c r="SL283" s="302"/>
      <c r="SM283" s="302"/>
      <c r="SN283" s="302"/>
      <c r="SO283" s="302"/>
      <c r="SP283" s="302"/>
      <c r="SQ283" s="302"/>
      <c r="SR283" s="302"/>
      <c r="SS283" s="302"/>
      <c r="ST283" s="302"/>
      <c r="SU283" s="302"/>
      <c r="SV283" s="302"/>
      <c r="SW283" s="302"/>
      <c r="SX283" s="302"/>
      <c r="SY283" s="302"/>
      <c r="SZ283" s="302"/>
      <c r="TA283" s="302"/>
      <c r="TB283" s="302"/>
      <c r="TC283" s="302"/>
      <c r="TD283" s="302"/>
      <c r="TE283" s="302"/>
      <c r="TF283" s="302"/>
      <c r="TG283" s="302"/>
      <c r="TH283" s="302"/>
      <c r="TI283" s="302"/>
      <c r="TJ283" s="302"/>
      <c r="TK283" s="302"/>
      <c r="TL283" s="302"/>
      <c r="TM283" s="302"/>
      <c r="TN283" s="302"/>
      <c r="TO283" s="302"/>
      <c r="TP283" s="302"/>
      <c r="TQ283" s="302"/>
      <c r="TR283" s="302"/>
      <c r="TS283" s="302"/>
      <c r="TT283" s="302"/>
      <c r="TU283" s="302"/>
      <c r="TV283" s="302"/>
      <c r="TW283" s="302"/>
      <c r="TX283" s="302"/>
      <c r="TY283" s="302"/>
      <c r="TZ283" s="302"/>
      <c r="UA283" s="302"/>
      <c r="UB283" s="302"/>
      <c r="UC283" s="302"/>
      <c r="UD283" s="302"/>
      <c r="UE283" s="302"/>
      <c r="UF283" s="302"/>
      <c r="UG283" s="302"/>
      <c r="UH283" s="302"/>
      <c r="UI283" s="302"/>
      <c r="UJ283" s="302"/>
      <c r="UK283" s="302"/>
      <c r="UL283" s="302"/>
      <c r="UM283" s="302"/>
      <c r="UN283" s="302"/>
      <c r="UO283" s="302"/>
      <c r="UP283" s="302"/>
      <c r="UQ283" s="302"/>
      <c r="UR283" s="302"/>
      <c r="US283" s="302"/>
      <c r="UT283" s="302"/>
      <c r="UU283" s="302"/>
      <c r="UV283" s="302"/>
      <c r="UW283" s="302"/>
      <c r="UX283" s="302"/>
      <c r="UY283" s="302"/>
      <c r="UZ283" s="302"/>
      <c r="VA283" s="302"/>
      <c r="VB283" s="302"/>
      <c r="VC283" s="302"/>
      <c r="VD283" s="302"/>
      <c r="VE283" s="302"/>
      <c r="VF283" s="302"/>
      <c r="VG283" s="302"/>
      <c r="VH283" s="302"/>
      <c r="VI283" s="302"/>
      <c r="VJ283" s="302"/>
      <c r="VK283" s="302"/>
      <c r="VL283" s="302"/>
      <c r="VM283" s="302"/>
      <c r="VN283" s="302"/>
      <c r="VO283" s="302"/>
      <c r="VP283" s="302"/>
      <c r="VQ283" s="302"/>
      <c r="VR283" s="302"/>
      <c r="VS283" s="302"/>
      <c r="VT283" s="302"/>
      <c r="VU283" s="302"/>
      <c r="VV283" s="302"/>
      <c r="VW283" s="302"/>
      <c r="VX283" s="302"/>
      <c r="VY283" s="302"/>
      <c r="VZ283" s="302"/>
      <c r="WA283" s="302"/>
      <c r="WB283" s="302"/>
      <c r="WC283" s="302"/>
      <c r="WD283" s="302"/>
      <c r="WE283" s="302"/>
      <c r="WF283" s="302"/>
      <c r="WG283" s="302"/>
      <c r="WH283" s="302"/>
      <c r="WI283" s="302"/>
      <c r="WJ283" s="302"/>
      <c r="WK283" s="302"/>
      <c r="WL283" s="302"/>
      <c r="WM283" s="302"/>
      <c r="WN283" s="302"/>
      <c r="WO283" s="302"/>
      <c r="WP283" s="302"/>
      <c r="WQ283" s="302"/>
      <c r="WR283" s="302"/>
      <c r="WS283" s="302"/>
      <c r="WT283" s="302"/>
      <c r="WU283" s="302"/>
      <c r="WV283" s="302"/>
      <c r="WW283" s="302"/>
      <c r="WX283" s="302"/>
      <c r="WY283" s="302"/>
      <c r="WZ283" s="302"/>
      <c r="XA283" s="302"/>
      <c r="XB283" s="302"/>
      <c r="XC283" s="302"/>
      <c r="XD283" s="302"/>
      <c r="XE283" s="302"/>
      <c r="XF283" s="302"/>
      <c r="XG283" s="302"/>
      <c r="XH283" s="302"/>
      <c r="XI283" s="302"/>
      <c r="XJ283" s="302"/>
      <c r="XK283" s="302"/>
      <c r="XL283" s="302"/>
      <c r="XM283" s="302"/>
      <c r="XN283" s="302"/>
      <c r="XO283" s="302"/>
      <c r="XP283" s="302"/>
      <c r="XQ283" s="302"/>
      <c r="XR283" s="302"/>
      <c r="XS283" s="302"/>
      <c r="XT283" s="302"/>
      <c r="XU283" s="302"/>
      <c r="XV283" s="302"/>
      <c r="XW283" s="302"/>
      <c r="XX283" s="302"/>
      <c r="XY283" s="302"/>
      <c r="XZ283" s="302"/>
      <c r="YA283" s="302"/>
      <c r="YB283" s="302"/>
      <c r="YC283" s="302"/>
      <c r="YD283" s="302"/>
      <c r="YE283" s="302"/>
      <c r="YF283" s="302"/>
      <c r="YG283" s="302"/>
      <c r="YH283" s="302"/>
      <c r="YI283" s="302"/>
      <c r="YJ283" s="302"/>
      <c r="YK283" s="302"/>
      <c r="YL283" s="302"/>
      <c r="YM283" s="302"/>
      <c r="YN283" s="302"/>
      <c r="YO283" s="302"/>
      <c r="YP283" s="302"/>
      <c r="YQ283" s="302"/>
      <c r="YR283" s="302"/>
      <c r="YS283" s="302"/>
      <c r="YT283" s="302"/>
      <c r="YU283" s="302"/>
      <c r="YV283" s="302"/>
      <c r="YW283" s="302"/>
      <c r="YX283" s="302"/>
      <c r="YY283" s="302"/>
      <c r="YZ283" s="302"/>
      <c r="ZA283" s="302"/>
      <c r="ZB283" s="302"/>
      <c r="ZC283" s="302"/>
      <c r="ZD283" s="302"/>
      <c r="ZE283" s="302"/>
      <c r="ZF283" s="302"/>
      <c r="ZG283" s="302"/>
      <c r="ZH283" s="302"/>
      <c r="ZI283" s="302"/>
      <c r="ZJ283" s="302"/>
      <c r="ZK283" s="302"/>
      <c r="ZL283" s="302"/>
      <c r="ZM283" s="302"/>
      <c r="ZN283" s="302"/>
      <c r="ZO283" s="302"/>
      <c r="ZP283" s="302"/>
      <c r="ZQ283" s="302"/>
      <c r="ZR283" s="302"/>
      <c r="ZS283" s="302"/>
      <c r="ZT283" s="302"/>
      <c r="ZU283" s="302"/>
      <c r="ZV283" s="302"/>
      <c r="ZW283" s="302"/>
      <c r="ZX283" s="302"/>
      <c r="ZY283" s="302"/>
      <c r="ZZ283" s="302"/>
      <c r="AAA283" s="302"/>
      <c r="AAB283" s="302"/>
      <c r="AAC283" s="302"/>
      <c r="AAD283" s="302"/>
      <c r="AAE283" s="302"/>
      <c r="AAF283" s="302"/>
      <c r="AAG283" s="302"/>
      <c r="AAH283" s="302"/>
      <c r="AAI283" s="302"/>
      <c r="AAJ283" s="302"/>
      <c r="AAK283" s="302"/>
      <c r="AAL283" s="302"/>
      <c r="AAM283" s="302"/>
      <c r="AAN283" s="302"/>
      <c r="AAO283" s="302"/>
      <c r="AAP283" s="302"/>
      <c r="AAQ283" s="302"/>
      <c r="AAR283" s="302"/>
      <c r="AAS283" s="302"/>
      <c r="AAT283" s="302"/>
      <c r="AAU283" s="302"/>
      <c r="AAV283" s="302"/>
      <c r="AAW283" s="302"/>
      <c r="AAX283" s="302"/>
      <c r="AAY283" s="302"/>
      <c r="AAZ283" s="302"/>
      <c r="ABA283" s="302"/>
      <c r="ABB283" s="302"/>
      <c r="ABC283" s="302"/>
      <c r="ABD283" s="302"/>
      <c r="ABE283" s="302"/>
      <c r="ABF283" s="302"/>
      <c r="ABG283" s="302"/>
      <c r="ABH283" s="302"/>
      <c r="ABI283" s="302"/>
      <c r="ABJ283" s="302"/>
      <c r="ABK283" s="302"/>
      <c r="ABL283" s="302"/>
      <c r="ABM283" s="302"/>
      <c r="ABN283" s="302"/>
      <c r="ABO283" s="302"/>
      <c r="ABP283" s="302"/>
      <c r="ABQ283" s="302"/>
      <c r="ABR283" s="302"/>
      <c r="ABS283" s="302"/>
      <c r="ABT283" s="302"/>
      <c r="ABU283" s="302"/>
      <c r="ABV283" s="302"/>
      <c r="ABW283" s="302"/>
      <c r="ABX283" s="302"/>
      <c r="ABY283" s="302"/>
      <c r="ABZ283" s="302"/>
      <c r="ACA283" s="302"/>
      <c r="ACB283" s="302"/>
      <c r="ACC283" s="302"/>
      <c r="ACD283" s="302"/>
      <c r="ACE283" s="302"/>
      <c r="ACF283" s="302"/>
      <c r="ACG283" s="302"/>
      <c r="ACH283" s="302"/>
      <c r="ACI283" s="302"/>
      <c r="ACJ283" s="302"/>
      <c r="ACK283" s="302"/>
      <c r="ACL283" s="302"/>
      <c r="ACM283" s="302"/>
      <c r="ACN283" s="302"/>
      <c r="ACO283" s="302"/>
      <c r="ACP283" s="302"/>
      <c r="ACQ283" s="302"/>
      <c r="ACR283" s="302"/>
      <c r="ACS283" s="302"/>
      <c r="ACT283" s="302"/>
      <c r="ACU283" s="302"/>
      <c r="ACV283" s="302"/>
      <c r="ACW283" s="302"/>
      <c r="ACX283" s="302"/>
      <c r="ACY283" s="302"/>
      <c r="ACZ283" s="302"/>
      <c r="ADA283" s="302"/>
      <c r="ADB283" s="302"/>
      <c r="ADC283" s="302"/>
      <c r="ADD283" s="302"/>
      <c r="ADE283" s="302"/>
      <c r="ADF283" s="302"/>
      <c r="ADG283" s="302"/>
      <c r="ADH283" s="302"/>
      <c r="ADI283" s="302"/>
      <c r="ADJ283" s="302"/>
      <c r="ADK283" s="302"/>
      <c r="ADL283" s="302"/>
      <c r="ADM283" s="302"/>
      <c r="ADN283" s="302"/>
      <c r="ADO283" s="302"/>
      <c r="ADP283" s="302"/>
      <c r="ADQ283" s="302"/>
      <c r="ADR283" s="302"/>
      <c r="ADS283" s="302"/>
      <c r="ADT283" s="302"/>
      <c r="ADU283" s="302"/>
      <c r="ADV283" s="302"/>
      <c r="ADW283" s="302"/>
      <c r="ADX283" s="302"/>
      <c r="ADY283" s="302"/>
      <c r="ADZ283" s="302"/>
      <c r="AEA283" s="302"/>
      <c r="AEB283" s="302"/>
      <c r="AEC283" s="302"/>
      <c r="AED283" s="302"/>
      <c r="AEE283" s="302"/>
      <c r="AEF283" s="302"/>
      <c r="AEG283" s="302"/>
      <c r="AEH283" s="302"/>
      <c r="AEI283" s="302"/>
      <c r="AEJ283" s="302"/>
      <c r="AEK283" s="302"/>
      <c r="AEL283" s="302"/>
      <c r="AEM283" s="302"/>
      <c r="AEN283" s="302"/>
      <c r="AEO283" s="302"/>
      <c r="AEP283" s="302"/>
      <c r="AEQ283" s="302"/>
      <c r="AER283" s="302"/>
      <c r="AES283" s="302"/>
      <c r="AET283" s="302"/>
      <c r="AEU283" s="302"/>
      <c r="AEV283" s="302"/>
      <c r="AEW283" s="302"/>
      <c r="AEX283" s="302"/>
      <c r="AEY283" s="302"/>
      <c r="AEZ283" s="302"/>
      <c r="AFA283" s="302"/>
      <c r="AFB283" s="302"/>
      <c r="AFC283" s="302"/>
      <c r="AFD283" s="302"/>
      <c r="AFE283" s="302"/>
      <c r="AFF283" s="302"/>
      <c r="AFG283" s="302"/>
      <c r="AFH283" s="302"/>
      <c r="AFI283" s="302"/>
      <c r="AFJ283" s="302"/>
      <c r="AFK283" s="302"/>
      <c r="AFL283" s="302"/>
      <c r="AFM283" s="302"/>
      <c r="AFN283" s="302"/>
      <c r="AFO283" s="302"/>
      <c r="AFP283" s="302"/>
      <c r="AFQ283" s="302"/>
      <c r="AFR283" s="302"/>
      <c r="AFS283" s="302"/>
      <c r="AFT283" s="302"/>
      <c r="AFU283" s="302"/>
      <c r="AFV283" s="302"/>
      <c r="AFW283" s="302"/>
      <c r="AFX283" s="302"/>
      <c r="AFY283" s="302"/>
      <c r="AFZ283" s="302"/>
      <c r="AGA283" s="302"/>
      <c r="AGB283" s="302"/>
      <c r="AGC283" s="302"/>
      <c r="AGD283" s="302"/>
      <c r="AGE283" s="302"/>
      <c r="AGF283" s="302"/>
      <c r="AGG283" s="302"/>
      <c r="AGH283" s="302"/>
      <c r="AGI283" s="302"/>
      <c r="AGJ283" s="302"/>
      <c r="AGK283" s="302"/>
      <c r="AGL283" s="302"/>
      <c r="AGM283" s="302"/>
      <c r="AGN283" s="302"/>
      <c r="AGO283" s="302"/>
      <c r="AGP283" s="302"/>
      <c r="AGQ283" s="302"/>
      <c r="AGR283" s="302"/>
      <c r="AGS283" s="302"/>
      <c r="AGT283" s="302"/>
      <c r="AGU283" s="302"/>
      <c r="AGV283" s="302"/>
      <c r="AGW283" s="302"/>
      <c r="AGX283" s="302"/>
      <c r="AGY283" s="302"/>
      <c r="AGZ283" s="302"/>
      <c r="AHA283" s="302"/>
      <c r="AHB283" s="302"/>
      <c r="AHC283" s="302"/>
      <c r="AHD283" s="302"/>
      <c r="AHE283" s="302"/>
      <c r="AHF283" s="302"/>
      <c r="AHG283" s="302"/>
      <c r="AHH283" s="302"/>
      <c r="AHI283" s="302"/>
      <c r="AHJ283" s="302"/>
      <c r="AHK283" s="302"/>
      <c r="AHL283" s="302"/>
      <c r="AHM283" s="302"/>
      <c r="AHN283" s="302"/>
      <c r="AHO283" s="302"/>
      <c r="AHP283" s="302"/>
      <c r="AHQ283" s="302"/>
      <c r="AHR283" s="302"/>
      <c r="AHS283" s="302"/>
      <c r="AHT283" s="302"/>
      <c r="AHU283" s="302"/>
      <c r="AHV283" s="302"/>
      <c r="AHW283" s="302"/>
      <c r="AHX283" s="302"/>
      <c r="AHY283" s="302"/>
      <c r="AHZ283" s="302"/>
      <c r="AIA283" s="302"/>
      <c r="AIB283" s="302"/>
      <c r="AIC283" s="302"/>
      <c r="AID283" s="302"/>
      <c r="AIE283" s="302"/>
      <c r="AIF283" s="302"/>
      <c r="AIG283" s="302"/>
      <c r="AIH283" s="302"/>
      <c r="AII283" s="302"/>
      <c r="AIJ283" s="302"/>
      <c r="AIK283" s="302"/>
      <c r="AIL283" s="302"/>
      <c r="AIM283" s="302"/>
      <c r="AIN283" s="302"/>
      <c r="AIO283" s="302"/>
      <c r="AIP283" s="302"/>
      <c r="AIQ283" s="302"/>
      <c r="AIR283" s="302"/>
      <c r="AIS283" s="302"/>
      <c r="AIT283" s="302"/>
      <c r="AIU283" s="302"/>
      <c r="AIV283" s="302"/>
      <c r="AIW283" s="302"/>
      <c r="AIX283" s="302"/>
      <c r="AIY283" s="302"/>
      <c r="AIZ283" s="302"/>
      <c r="AJA283" s="302"/>
      <c r="AJB283" s="302"/>
      <c r="AJC283" s="302"/>
      <c r="AJD283" s="302"/>
      <c r="AJE283" s="302"/>
      <c r="AJF283" s="302"/>
      <c r="AJG283" s="302"/>
      <c r="AJH283" s="302"/>
      <c r="AJI283" s="302"/>
      <c r="AJJ283" s="302"/>
      <c r="AJK283" s="302"/>
      <c r="AJL283" s="302"/>
      <c r="AJM283" s="302"/>
      <c r="AJN283" s="302"/>
      <c r="AJO283" s="302"/>
      <c r="AJP283" s="302"/>
      <c r="AJQ283" s="302"/>
      <c r="AJR283" s="302"/>
      <c r="AJS283" s="302"/>
      <c r="AJT283" s="302"/>
      <c r="AJU283" s="302"/>
      <c r="AJV283" s="302"/>
      <c r="AJW283" s="302"/>
      <c r="AJX283" s="302"/>
      <c r="AJY283" s="302"/>
      <c r="AJZ283" s="302"/>
      <c r="AKA283" s="302"/>
      <c r="AKB283" s="302"/>
      <c r="AKC283" s="302"/>
      <c r="AKD283" s="302"/>
      <c r="AKE283" s="302"/>
      <c r="AKF283" s="302"/>
      <c r="AKG283" s="302"/>
      <c r="AKH283" s="302"/>
      <c r="AKI283" s="302"/>
      <c r="AKJ283" s="302"/>
      <c r="AKK283" s="302"/>
      <c r="AKL283" s="302"/>
      <c r="AKM283" s="302"/>
      <c r="AKN283" s="302"/>
      <c r="AKO283" s="302"/>
      <c r="AKP283" s="302"/>
      <c r="AKQ283" s="302"/>
      <c r="AKR283" s="302"/>
      <c r="AKS283" s="302"/>
      <c r="AKT283" s="302"/>
      <c r="AKU283" s="302"/>
      <c r="AKV283" s="302"/>
      <c r="AKW283" s="302"/>
      <c r="AKX283" s="302"/>
      <c r="AKY283" s="302"/>
      <c r="AKZ283" s="302"/>
      <c r="ALA283" s="302"/>
      <c r="ALB283" s="302"/>
      <c r="ALC283" s="302"/>
      <c r="ALD283" s="302"/>
      <c r="ALE283" s="302"/>
      <c r="ALF283" s="302"/>
      <c r="ALG283" s="302"/>
      <c r="ALH283" s="302"/>
      <c r="ALI283" s="302"/>
      <c r="ALJ283" s="302"/>
      <c r="ALK283" s="302"/>
      <c r="ALL283" s="302"/>
      <c r="ALM283" s="302"/>
      <c r="ALN283" s="302"/>
      <c r="ALO283" s="302"/>
      <c r="ALP283" s="302"/>
      <c r="ALQ283" s="302"/>
      <c r="ALR283" s="302"/>
      <c r="ALS283" s="302"/>
      <c r="ALT283" s="302"/>
      <c r="ALU283" s="302"/>
      <c r="ALV283" s="302"/>
      <c r="ALW283" s="302"/>
      <c r="ALX283" s="302"/>
      <c r="ALY283" s="302"/>
      <c r="ALZ283" s="302"/>
      <c r="AMA283" s="302"/>
      <c r="AMB283" s="302"/>
      <c r="AMC283" s="302"/>
      <c r="AMD283" s="302"/>
      <c r="AME283" s="302"/>
      <c r="AMF283" s="302"/>
      <c r="AMG283" s="302"/>
      <c r="AMH283" s="302"/>
      <c r="AMI283" s="302"/>
    </row>
    <row r="284" spans="1:1023" ht="18" hidden="1">
      <c r="A284" s="302"/>
      <c r="B284" s="308" t="s">
        <v>4</v>
      </c>
      <c r="C284" s="308" t="s">
        <v>373</v>
      </c>
      <c r="D284" s="308" t="s">
        <v>6</v>
      </c>
      <c r="E284" s="308" t="s">
        <v>29</v>
      </c>
      <c r="F284" s="309" t="s">
        <v>8</v>
      </c>
      <c r="G284" s="308" t="s">
        <v>190</v>
      </c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  <c r="AD284" s="302"/>
      <c r="AE284" s="302"/>
      <c r="AF284" s="302"/>
      <c r="AG284" s="302"/>
      <c r="AH284" s="302"/>
      <c r="AI284" s="302"/>
      <c r="AJ284" s="302"/>
      <c r="AK284" s="302"/>
      <c r="AL284" s="302"/>
      <c r="AM284" s="302"/>
      <c r="AN284" s="302"/>
      <c r="AO284" s="302"/>
      <c r="AP284" s="302"/>
      <c r="AQ284" s="302"/>
      <c r="AR284" s="302"/>
      <c r="AS284" s="302"/>
      <c r="AT284" s="302"/>
      <c r="AU284" s="302"/>
      <c r="AV284" s="302"/>
      <c r="AW284" s="302"/>
      <c r="AX284" s="302"/>
      <c r="AY284" s="302"/>
      <c r="AZ284" s="302"/>
      <c r="BA284" s="302"/>
      <c r="BB284" s="302"/>
      <c r="BC284" s="302"/>
      <c r="BD284" s="302"/>
      <c r="BE284" s="302"/>
      <c r="BF284" s="302"/>
      <c r="BG284" s="302"/>
      <c r="BH284" s="302"/>
      <c r="BI284" s="302"/>
      <c r="BJ284" s="302"/>
      <c r="BK284" s="302"/>
      <c r="BL284" s="302"/>
      <c r="BM284" s="302"/>
      <c r="BN284" s="302"/>
      <c r="BO284" s="302"/>
      <c r="BP284" s="302"/>
      <c r="BQ284" s="302"/>
      <c r="BR284" s="302"/>
      <c r="BS284" s="302"/>
      <c r="BT284" s="302"/>
      <c r="BU284" s="302"/>
      <c r="BV284" s="302"/>
      <c r="BW284" s="302"/>
      <c r="BX284" s="302"/>
      <c r="BY284" s="302"/>
      <c r="BZ284" s="302"/>
      <c r="CA284" s="302"/>
      <c r="CB284" s="302"/>
      <c r="CC284" s="302"/>
      <c r="CD284" s="302"/>
      <c r="CE284" s="302"/>
      <c r="CF284" s="302"/>
      <c r="CG284" s="302"/>
      <c r="CH284" s="302"/>
      <c r="CI284" s="302"/>
      <c r="CJ284" s="302"/>
      <c r="CK284" s="302"/>
      <c r="CL284" s="302"/>
      <c r="CM284" s="302"/>
      <c r="CN284" s="302"/>
      <c r="CO284" s="302"/>
      <c r="CP284" s="302"/>
      <c r="CQ284" s="302"/>
      <c r="CR284" s="302"/>
      <c r="CS284" s="302"/>
      <c r="CT284" s="302"/>
      <c r="CU284" s="302"/>
      <c r="CV284" s="302"/>
      <c r="CW284" s="302"/>
      <c r="CX284" s="302"/>
      <c r="CY284" s="302"/>
      <c r="CZ284" s="302"/>
      <c r="DA284" s="302"/>
      <c r="DB284" s="302"/>
      <c r="DC284" s="302"/>
      <c r="DD284" s="302"/>
      <c r="DE284" s="302"/>
      <c r="DF284" s="302"/>
      <c r="DG284" s="302"/>
      <c r="DH284" s="302"/>
      <c r="DI284" s="302"/>
      <c r="DJ284" s="302"/>
      <c r="DK284" s="302"/>
      <c r="DL284" s="302"/>
      <c r="DM284" s="302"/>
      <c r="DN284" s="302"/>
      <c r="DO284" s="302"/>
      <c r="DP284" s="302"/>
      <c r="DQ284" s="302"/>
      <c r="DR284" s="302"/>
      <c r="DS284" s="302"/>
      <c r="DT284" s="302"/>
      <c r="DU284" s="302"/>
      <c r="DV284" s="302"/>
      <c r="DW284" s="302"/>
      <c r="DX284" s="302"/>
      <c r="DY284" s="302"/>
      <c r="DZ284" s="302"/>
      <c r="EA284" s="302"/>
      <c r="EB284" s="302"/>
      <c r="EC284" s="302"/>
      <c r="ED284" s="302"/>
      <c r="EE284" s="302"/>
      <c r="EF284" s="302"/>
      <c r="EG284" s="302"/>
      <c r="EH284" s="302"/>
      <c r="EI284" s="302"/>
      <c r="EJ284" s="302"/>
      <c r="EK284" s="302"/>
      <c r="EL284" s="302"/>
      <c r="EM284" s="302"/>
      <c r="EN284" s="302"/>
      <c r="EO284" s="302"/>
      <c r="EP284" s="302"/>
      <c r="EQ284" s="302"/>
      <c r="ER284" s="302"/>
      <c r="ES284" s="302"/>
      <c r="ET284" s="302"/>
      <c r="EU284" s="302"/>
      <c r="EV284" s="302"/>
      <c r="EW284" s="302"/>
      <c r="EX284" s="302"/>
      <c r="EY284" s="302"/>
      <c r="EZ284" s="302"/>
      <c r="FA284" s="302"/>
      <c r="FB284" s="302"/>
      <c r="FC284" s="302"/>
      <c r="FD284" s="302"/>
      <c r="FE284" s="302"/>
      <c r="FF284" s="302"/>
      <c r="FG284" s="302"/>
      <c r="FH284" s="302"/>
      <c r="FI284" s="302"/>
      <c r="FJ284" s="302"/>
      <c r="FK284" s="302"/>
      <c r="FL284" s="302"/>
      <c r="FM284" s="302"/>
      <c r="FN284" s="302"/>
      <c r="FO284" s="302"/>
      <c r="FP284" s="302"/>
      <c r="FQ284" s="302"/>
      <c r="FR284" s="302"/>
      <c r="FS284" s="302"/>
      <c r="FT284" s="302"/>
      <c r="FU284" s="302"/>
      <c r="FV284" s="302"/>
      <c r="FW284" s="302"/>
      <c r="FX284" s="302"/>
      <c r="FY284" s="302"/>
      <c r="FZ284" s="302"/>
      <c r="GA284" s="302"/>
      <c r="GB284" s="302"/>
      <c r="GC284" s="302"/>
      <c r="GD284" s="302"/>
      <c r="GE284" s="302"/>
      <c r="GF284" s="302"/>
      <c r="GG284" s="302"/>
      <c r="GH284" s="302"/>
      <c r="GI284" s="302"/>
      <c r="GJ284" s="302"/>
      <c r="GK284" s="302"/>
      <c r="GL284" s="302"/>
      <c r="GM284" s="302"/>
      <c r="GN284" s="302"/>
      <c r="GO284" s="302"/>
      <c r="GP284" s="302"/>
      <c r="GQ284" s="302"/>
      <c r="GR284" s="302"/>
      <c r="GS284" s="302"/>
      <c r="GT284" s="302"/>
      <c r="GU284" s="302"/>
      <c r="GV284" s="302"/>
      <c r="GW284" s="302"/>
      <c r="GX284" s="302"/>
      <c r="GY284" s="302"/>
      <c r="GZ284" s="302"/>
      <c r="HA284" s="302"/>
      <c r="HB284" s="302"/>
      <c r="HC284" s="302"/>
      <c r="HD284" s="302"/>
      <c r="HE284" s="302"/>
      <c r="HF284" s="302"/>
      <c r="HG284" s="302"/>
      <c r="HH284" s="302"/>
      <c r="HI284" s="302"/>
      <c r="HJ284" s="302"/>
      <c r="HK284" s="302"/>
      <c r="HL284" s="302"/>
      <c r="HM284" s="302"/>
      <c r="HN284" s="302"/>
      <c r="HO284" s="302"/>
      <c r="HP284" s="302"/>
      <c r="HQ284" s="302"/>
      <c r="HR284" s="302"/>
      <c r="HS284" s="302"/>
      <c r="HT284" s="302"/>
      <c r="HU284" s="302"/>
      <c r="HV284" s="302"/>
      <c r="HW284" s="302"/>
      <c r="HX284" s="302"/>
      <c r="HY284" s="302"/>
      <c r="HZ284" s="302"/>
      <c r="IA284" s="302"/>
      <c r="IB284" s="302"/>
      <c r="IC284" s="302"/>
      <c r="ID284" s="302"/>
      <c r="IE284" s="302"/>
      <c r="IF284" s="302"/>
      <c r="IG284" s="302"/>
      <c r="IH284" s="302"/>
      <c r="II284" s="302"/>
      <c r="IJ284" s="302"/>
      <c r="IK284" s="302"/>
      <c r="IL284" s="302"/>
      <c r="IM284" s="302"/>
      <c r="IN284" s="302"/>
      <c r="IO284" s="302"/>
      <c r="IP284" s="302"/>
      <c r="IQ284" s="302"/>
      <c r="IR284" s="302"/>
      <c r="IS284" s="302"/>
      <c r="IT284" s="302"/>
      <c r="IU284" s="302"/>
      <c r="IV284" s="302"/>
      <c r="IW284" s="302"/>
      <c r="IX284" s="302"/>
      <c r="IY284" s="302"/>
      <c r="IZ284" s="302"/>
      <c r="JA284" s="302"/>
      <c r="JB284" s="302"/>
      <c r="JC284" s="302"/>
      <c r="JD284" s="302"/>
      <c r="JE284" s="302"/>
      <c r="JF284" s="302"/>
      <c r="JG284" s="302"/>
      <c r="JH284" s="302"/>
      <c r="JI284" s="302"/>
      <c r="JJ284" s="302"/>
      <c r="JK284" s="302"/>
      <c r="JL284" s="302"/>
      <c r="JM284" s="302"/>
      <c r="JN284" s="302"/>
      <c r="JO284" s="302"/>
      <c r="JP284" s="302"/>
      <c r="JQ284" s="302"/>
      <c r="JR284" s="302"/>
      <c r="JS284" s="302"/>
      <c r="JT284" s="302"/>
      <c r="JU284" s="302"/>
      <c r="JV284" s="302"/>
      <c r="JW284" s="302"/>
      <c r="JX284" s="302"/>
      <c r="JY284" s="302"/>
      <c r="JZ284" s="302"/>
      <c r="KA284" s="302"/>
      <c r="KB284" s="302"/>
      <c r="KC284" s="302"/>
      <c r="KD284" s="302"/>
      <c r="KE284" s="302"/>
      <c r="KF284" s="302"/>
      <c r="KG284" s="302"/>
      <c r="KH284" s="302"/>
      <c r="KI284" s="302"/>
      <c r="KJ284" s="302"/>
      <c r="KK284" s="302"/>
      <c r="KL284" s="302"/>
      <c r="KM284" s="302"/>
      <c r="KN284" s="302"/>
      <c r="KO284" s="302"/>
      <c r="KP284" s="302"/>
      <c r="KQ284" s="302"/>
      <c r="KR284" s="302"/>
      <c r="KS284" s="302"/>
      <c r="KT284" s="302"/>
      <c r="KU284" s="302"/>
      <c r="KV284" s="302"/>
      <c r="KW284" s="302"/>
      <c r="KX284" s="302"/>
      <c r="KY284" s="302"/>
      <c r="KZ284" s="302"/>
      <c r="LA284" s="302"/>
      <c r="LB284" s="302"/>
      <c r="LC284" s="302"/>
      <c r="LD284" s="302"/>
      <c r="LE284" s="302"/>
      <c r="LF284" s="302"/>
      <c r="LG284" s="302"/>
      <c r="LH284" s="302"/>
      <c r="LI284" s="302"/>
      <c r="LJ284" s="302"/>
      <c r="LK284" s="302"/>
      <c r="LL284" s="302"/>
      <c r="LM284" s="302"/>
      <c r="LN284" s="302"/>
      <c r="LO284" s="302"/>
      <c r="LP284" s="302"/>
      <c r="LQ284" s="302"/>
      <c r="LR284" s="302"/>
      <c r="LS284" s="302"/>
      <c r="LT284" s="302"/>
      <c r="LU284" s="302"/>
      <c r="LV284" s="302"/>
      <c r="LW284" s="302"/>
      <c r="LX284" s="302"/>
      <c r="LY284" s="302"/>
      <c r="LZ284" s="302"/>
      <c r="MA284" s="302"/>
      <c r="MB284" s="302"/>
      <c r="MC284" s="302"/>
      <c r="MD284" s="302"/>
      <c r="ME284" s="302"/>
      <c r="MF284" s="302"/>
      <c r="MG284" s="302"/>
      <c r="MH284" s="302"/>
      <c r="MI284" s="302"/>
      <c r="MJ284" s="302"/>
      <c r="MK284" s="302"/>
      <c r="ML284" s="302"/>
      <c r="MM284" s="302"/>
      <c r="MN284" s="302"/>
      <c r="MO284" s="302"/>
      <c r="MP284" s="302"/>
      <c r="MQ284" s="302"/>
      <c r="MR284" s="302"/>
      <c r="MS284" s="302"/>
      <c r="MT284" s="302"/>
      <c r="MU284" s="302"/>
      <c r="MV284" s="302"/>
      <c r="MW284" s="302"/>
      <c r="MX284" s="302"/>
      <c r="MY284" s="302"/>
      <c r="MZ284" s="302"/>
      <c r="NA284" s="302"/>
      <c r="NB284" s="302"/>
      <c r="NC284" s="302"/>
      <c r="ND284" s="302"/>
      <c r="NE284" s="302"/>
      <c r="NF284" s="302"/>
      <c r="NG284" s="302"/>
      <c r="NH284" s="302"/>
      <c r="NI284" s="302"/>
      <c r="NJ284" s="302"/>
      <c r="NK284" s="302"/>
      <c r="NL284" s="302"/>
      <c r="NM284" s="302"/>
      <c r="NN284" s="302"/>
      <c r="NO284" s="302"/>
      <c r="NP284" s="302"/>
      <c r="NQ284" s="302"/>
      <c r="NR284" s="302"/>
      <c r="NS284" s="302"/>
      <c r="NT284" s="302"/>
      <c r="NU284" s="302"/>
      <c r="NV284" s="302"/>
      <c r="NW284" s="302"/>
      <c r="NX284" s="302"/>
      <c r="NY284" s="302"/>
      <c r="NZ284" s="302"/>
      <c r="OA284" s="302"/>
      <c r="OB284" s="302"/>
      <c r="OC284" s="302"/>
      <c r="OD284" s="302"/>
      <c r="OE284" s="302"/>
      <c r="OF284" s="302"/>
      <c r="OG284" s="302"/>
      <c r="OH284" s="302"/>
      <c r="OI284" s="302"/>
      <c r="OJ284" s="302"/>
      <c r="OK284" s="302"/>
      <c r="OL284" s="302"/>
      <c r="OM284" s="302"/>
      <c r="ON284" s="302"/>
      <c r="OO284" s="302"/>
      <c r="OP284" s="302"/>
      <c r="OQ284" s="302"/>
      <c r="OR284" s="302"/>
      <c r="OS284" s="302"/>
      <c r="OT284" s="302"/>
      <c r="OU284" s="302"/>
      <c r="OV284" s="302"/>
      <c r="OW284" s="302"/>
      <c r="OX284" s="302"/>
      <c r="OY284" s="302"/>
      <c r="OZ284" s="302"/>
      <c r="PA284" s="302"/>
      <c r="PB284" s="302"/>
      <c r="PC284" s="302"/>
      <c r="PD284" s="302"/>
      <c r="PE284" s="302"/>
      <c r="PF284" s="302"/>
      <c r="PG284" s="302"/>
      <c r="PH284" s="302"/>
      <c r="PI284" s="302"/>
      <c r="PJ284" s="302"/>
      <c r="PK284" s="302"/>
      <c r="PL284" s="302"/>
      <c r="PM284" s="302"/>
      <c r="PN284" s="302"/>
      <c r="PO284" s="302"/>
      <c r="PP284" s="302"/>
      <c r="PQ284" s="302"/>
      <c r="PR284" s="302"/>
      <c r="PS284" s="302"/>
      <c r="PT284" s="302"/>
      <c r="PU284" s="302"/>
      <c r="PV284" s="302"/>
      <c r="PW284" s="302"/>
      <c r="PX284" s="302"/>
      <c r="PY284" s="302"/>
      <c r="PZ284" s="302"/>
      <c r="QA284" s="302"/>
      <c r="QB284" s="302"/>
      <c r="QC284" s="302"/>
      <c r="QD284" s="302"/>
      <c r="QE284" s="302"/>
      <c r="QF284" s="302"/>
      <c r="QG284" s="302"/>
      <c r="QH284" s="302"/>
      <c r="QI284" s="302"/>
      <c r="QJ284" s="302"/>
      <c r="QK284" s="302"/>
      <c r="QL284" s="302"/>
      <c r="QM284" s="302"/>
      <c r="QN284" s="302"/>
      <c r="QO284" s="302"/>
      <c r="QP284" s="302"/>
      <c r="QQ284" s="302"/>
      <c r="QR284" s="302"/>
      <c r="QS284" s="302"/>
      <c r="QT284" s="302"/>
      <c r="QU284" s="302"/>
      <c r="QV284" s="302"/>
      <c r="QW284" s="302"/>
      <c r="QX284" s="302"/>
      <c r="QY284" s="302"/>
      <c r="QZ284" s="302"/>
      <c r="RA284" s="302"/>
      <c r="RB284" s="302"/>
      <c r="RC284" s="302"/>
      <c r="RD284" s="302"/>
      <c r="RE284" s="302"/>
      <c r="RF284" s="302"/>
      <c r="RG284" s="302"/>
      <c r="RH284" s="302"/>
      <c r="RI284" s="302"/>
      <c r="RJ284" s="302"/>
      <c r="RK284" s="302"/>
      <c r="RL284" s="302"/>
      <c r="RM284" s="302"/>
      <c r="RN284" s="302"/>
      <c r="RO284" s="302"/>
      <c r="RP284" s="302"/>
      <c r="RQ284" s="302"/>
      <c r="RR284" s="302"/>
      <c r="RS284" s="302"/>
      <c r="RT284" s="302"/>
      <c r="RU284" s="302"/>
      <c r="RV284" s="302"/>
      <c r="RW284" s="302"/>
      <c r="RX284" s="302"/>
      <c r="RY284" s="302"/>
      <c r="RZ284" s="302"/>
      <c r="SA284" s="302"/>
      <c r="SB284" s="302"/>
      <c r="SC284" s="302"/>
      <c r="SD284" s="302"/>
      <c r="SE284" s="302"/>
      <c r="SF284" s="302"/>
      <c r="SG284" s="302"/>
      <c r="SH284" s="302"/>
      <c r="SI284" s="302"/>
      <c r="SJ284" s="302"/>
      <c r="SK284" s="302"/>
      <c r="SL284" s="302"/>
      <c r="SM284" s="302"/>
      <c r="SN284" s="302"/>
      <c r="SO284" s="302"/>
      <c r="SP284" s="302"/>
      <c r="SQ284" s="302"/>
      <c r="SR284" s="302"/>
      <c r="SS284" s="302"/>
      <c r="ST284" s="302"/>
      <c r="SU284" s="302"/>
      <c r="SV284" s="302"/>
      <c r="SW284" s="302"/>
      <c r="SX284" s="302"/>
      <c r="SY284" s="302"/>
      <c r="SZ284" s="302"/>
      <c r="TA284" s="302"/>
      <c r="TB284" s="302"/>
      <c r="TC284" s="302"/>
      <c r="TD284" s="302"/>
      <c r="TE284" s="302"/>
      <c r="TF284" s="302"/>
      <c r="TG284" s="302"/>
      <c r="TH284" s="302"/>
      <c r="TI284" s="302"/>
      <c r="TJ284" s="302"/>
      <c r="TK284" s="302"/>
      <c r="TL284" s="302"/>
      <c r="TM284" s="302"/>
      <c r="TN284" s="302"/>
      <c r="TO284" s="302"/>
      <c r="TP284" s="302"/>
      <c r="TQ284" s="302"/>
      <c r="TR284" s="302"/>
      <c r="TS284" s="302"/>
      <c r="TT284" s="302"/>
      <c r="TU284" s="302"/>
      <c r="TV284" s="302"/>
      <c r="TW284" s="302"/>
      <c r="TX284" s="302"/>
      <c r="TY284" s="302"/>
      <c r="TZ284" s="302"/>
      <c r="UA284" s="302"/>
      <c r="UB284" s="302"/>
      <c r="UC284" s="302"/>
      <c r="UD284" s="302"/>
      <c r="UE284" s="302"/>
      <c r="UF284" s="302"/>
      <c r="UG284" s="302"/>
      <c r="UH284" s="302"/>
      <c r="UI284" s="302"/>
      <c r="UJ284" s="302"/>
      <c r="UK284" s="302"/>
      <c r="UL284" s="302"/>
      <c r="UM284" s="302"/>
      <c r="UN284" s="302"/>
      <c r="UO284" s="302"/>
      <c r="UP284" s="302"/>
      <c r="UQ284" s="302"/>
      <c r="UR284" s="302"/>
      <c r="US284" s="302"/>
      <c r="UT284" s="302"/>
      <c r="UU284" s="302"/>
      <c r="UV284" s="302"/>
      <c r="UW284" s="302"/>
      <c r="UX284" s="302"/>
      <c r="UY284" s="302"/>
      <c r="UZ284" s="302"/>
      <c r="VA284" s="302"/>
      <c r="VB284" s="302"/>
      <c r="VC284" s="302"/>
      <c r="VD284" s="302"/>
      <c r="VE284" s="302"/>
      <c r="VF284" s="302"/>
      <c r="VG284" s="302"/>
      <c r="VH284" s="302"/>
      <c r="VI284" s="302"/>
      <c r="VJ284" s="302"/>
      <c r="VK284" s="302"/>
      <c r="VL284" s="302"/>
      <c r="VM284" s="302"/>
      <c r="VN284" s="302"/>
      <c r="VO284" s="302"/>
      <c r="VP284" s="302"/>
      <c r="VQ284" s="302"/>
      <c r="VR284" s="302"/>
      <c r="VS284" s="302"/>
      <c r="VT284" s="302"/>
      <c r="VU284" s="302"/>
      <c r="VV284" s="302"/>
      <c r="VW284" s="302"/>
      <c r="VX284" s="302"/>
      <c r="VY284" s="302"/>
      <c r="VZ284" s="302"/>
      <c r="WA284" s="302"/>
      <c r="WB284" s="302"/>
      <c r="WC284" s="302"/>
      <c r="WD284" s="302"/>
      <c r="WE284" s="302"/>
      <c r="WF284" s="302"/>
      <c r="WG284" s="302"/>
      <c r="WH284" s="302"/>
      <c r="WI284" s="302"/>
      <c r="WJ284" s="302"/>
      <c r="WK284" s="302"/>
      <c r="WL284" s="302"/>
      <c r="WM284" s="302"/>
      <c r="WN284" s="302"/>
      <c r="WO284" s="302"/>
      <c r="WP284" s="302"/>
      <c r="WQ284" s="302"/>
      <c r="WR284" s="302"/>
      <c r="WS284" s="302"/>
      <c r="WT284" s="302"/>
      <c r="WU284" s="302"/>
      <c r="WV284" s="302"/>
      <c r="WW284" s="302"/>
      <c r="WX284" s="302"/>
      <c r="WY284" s="302"/>
      <c r="WZ284" s="302"/>
      <c r="XA284" s="302"/>
      <c r="XB284" s="302"/>
      <c r="XC284" s="302"/>
      <c r="XD284" s="302"/>
      <c r="XE284" s="302"/>
      <c r="XF284" s="302"/>
      <c r="XG284" s="302"/>
      <c r="XH284" s="302"/>
      <c r="XI284" s="302"/>
      <c r="XJ284" s="302"/>
      <c r="XK284" s="302"/>
      <c r="XL284" s="302"/>
      <c r="XM284" s="302"/>
      <c r="XN284" s="302"/>
      <c r="XO284" s="302"/>
      <c r="XP284" s="302"/>
      <c r="XQ284" s="302"/>
      <c r="XR284" s="302"/>
      <c r="XS284" s="302"/>
      <c r="XT284" s="302"/>
      <c r="XU284" s="302"/>
      <c r="XV284" s="302"/>
      <c r="XW284" s="302"/>
      <c r="XX284" s="302"/>
      <c r="XY284" s="302"/>
      <c r="XZ284" s="302"/>
      <c r="YA284" s="302"/>
      <c r="YB284" s="302"/>
      <c r="YC284" s="302"/>
      <c r="YD284" s="302"/>
      <c r="YE284" s="302"/>
      <c r="YF284" s="302"/>
      <c r="YG284" s="302"/>
      <c r="YH284" s="302"/>
      <c r="YI284" s="302"/>
      <c r="YJ284" s="302"/>
      <c r="YK284" s="302"/>
      <c r="YL284" s="302"/>
      <c r="YM284" s="302"/>
      <c r="YN284" s="302"/>
      <c r="YO284" s="302"/>
      <c r="YP284" s="302"/>
      <c r="YQ284" s="302"/>
      <c r="YR284" s="302"/>
      <c r="YS284" s="302"/>
      <c r="YT284" s="302"/>
      <c r="YU284" s="302"/>
      <c r="YV284" s="302"/>
      <c r="YW284" s="302"/>
      <c r="YX284" s="302"/>
      <c r="YY284" s="302"/>
      <c r="YZ284" s="302"/>
      <c r="ZA284" s="302"/>
      <c r="ZB284" s="302"/>
      <c r="ZC284" s="302"/>
      <c r="ZD284" s="302"/>
      <c r="ZE284" s="302"/>
      <c r="ZF284" s="302"/>
      <c r="ZG284" s="302"/>
      <c r="ZH284" s="302"/>
      <c r="ZI284" s="302"/>
      <c r="ZJ284" s="302"/>
      <c r="ZK284" s="302"/>
      <c r="ZL284" s="302"/>
      <c r="ZM284" s="302"/>
      <c r="ZN284" s="302"/>
      <c r="ZO284" s="302"/>
      <c r="ZP284" s="302"/>
      <c r="ZQ284" s="302"/>
      <c r="ZR284" s="302"/>
      <c r="ZS284" s="302"/>
      <c r="ZT284" s="302"/>
      <c r="ZU284" s="302"/>
      <c r="ZV284" s="302"/>
      <c r="ZW284" s="302"/>
      <c r="ZX284" s="302"/>
      <c r="ZY284" s="302"/>
      <c r="ZZ284" s="302"/>
      <c r="AAA284" s="302"/>
      <c r="AAB284" s="302"/>
      <c r="AAC284" s="302"/>
      <c r="AAD284" s="302"/>
      <c r="AAE284" s="302"/>
      <c r="AAF284" s="302"/>
      <c r="AAG284" s="302"/>
      <c r="AAH284" s="302"/>
      <c r="AAI284" s="302"/>
      <c r="AAJ284" s="302"/>
      <c r="AAK284" s="302"/>
      <c r="AAL284" s="302"/>
      <c r="AAM284" s="302"/>
      <c r="AAN284" s="302"/>
      <c r="AAO284" s="302"/>
      <c r="AAP284" s="302"/>
      <c r="AAQ284" s="302"/>
      <c r="AAR284" s="302"/>
      <c r="AAS284" s="302"/>
      <c r="AAT284" s="302"/>
      <c r="AAU284" s="302"/>
      <c r="AAV284" s="302"/>
      <c r="AAW284" s="302"/>
      <c r="AAX284" s="302"/>
      <c r="AAY284" s="302"/>
      <c r="AAZ284" s="302"/>
      <c r="ABA284" s="302"/>
      <c r="ABB284" s="302"/>
      <c r="ABC284" s="302"/>
      <c r="ABD284" s="302"/>
      <c r="ABE284" s="302"/>
      <c r="ABF284" s="302"/>
      <c r="ABG284" s="302"/>
      <c r="ABH284" s="302"/>
      <c r="ABI284" s="302"/>
      <c r="ABJ284" s="302"/>
      <c r="ABK284" s="302"/>
      <c r="ABL284" s="302"/>
      <c r="ABM284" s="302"/>
      <c r="ABN284" s="302"/>
      <c r="ABO284" s="302"/>
      <c r="ABP284" s="302"/>
      <c r="ABQ284" s="302"/>
      <c r="ABR284" s="302"/>
      <c r="ABS284" s="302"/>
      <c r="ABT284" s="302"/>
      <c r="ABU284" s="302"/>
      <c r="ABV284" s="302"/>
      <c r="ABW284" s="302"/>
      <c r="ABX284" s="302"/>
      <c r="ABY284" s="302"/>
      <c r="ABZ284" s="302"/>
      <c r="ACA284" s="302"/>
      <c r="ACB284" s="302"/>
      <c r="ACC284" s="302"/>
      <c r="ACD284" s="302"/>
      <c r="ACE284" s="302"/>
      <c r="ACF284" s="302"/>
      <c r="ACG284" s="302"/>
      <c r="ACH284" s="302"/>
      <c r="ACI284" s="302"/>
      <c r="ACJ284" s="302"/>
      <c r="ACK284" s="302"/>
      <c r="ACL284" s="302"/>
      <c r="ACM284" s="302"/>
      <c r="ACN284" s="302"/>
      <c r="ACO284" s="302"/>
      <c r="ACP284" s="302"/>
      <c r="ACQ284" s="302"/>
      <c r="ACR284" s="302"/>
      <c r="ACS284" s="302"/>
      <c r="ACT284" s="302"/>
      <c r="ACU284" s="302"/>
      <c r="ACV284" s="302"/>
      <c r="ACW284" s="302"/>
      <c r="ACX284" s="302"/>
      <c r="ACY284" s="302"/>
      <c r="ACZ284" s="302"/>
      <c r="ADA284" s="302"/>
      <c r="ADB284" s="302"/>
      <c r="ADC284" s="302"/>
      <c r="ADD284" s="302"/>
      <c r="ADE284" s="302"/>
      <c r="ADF284" s="302"/>
      <c r="ADG284" s="302"/>
      <c r="ADH284" s="302"/>
      <c r="ADI284" s="302"/>
      <c r="ADJ284" s="302"/>
      <c r="ADK284" s="302"/>
      <c r="ADL284" s="302"/>
      <c r="ADM284" s="302"/>
      <c r="ADN284" s="302"/>
      <c r="ADO284" s="302"/>
      <c r="ADP284" s="302"/>
      <c r="ADQ284" s="302"/>
      <c r="ADR284" s="302"/>
      <c r="ADS284" s="302"/>
      <c r="ADT284" s="302"/>
      <c r="ADU284" s="302"/>
      <c r="ADV284" s="302"/>
      <c r="ADW284" s="302"/>
      <c r="ADX284" s="302"/>
      <c r="ADY284" s="302"/>
      <c r="ADZ284" s="302"/>
      <c r="AEA284" s="302"/>
      <c r="AEB284" s="302"/>
      <c r="AEC284" s="302"/>
      <c r="AED284" s="302"/>
      <c r="AEE284" s="302"/>
      <c r="AEF284" s="302"/>
      <c r="AEG284" s="302"/>
      <c r="AEH284" s="302"/>
      <c r="AEI284" s="302"/>
      <c r="AEJ284" s="302"/>
      <c r="AEK284" s="302"/>
      <c r="AEL284" s="302"/>
      <c r="AEM284" s="302"/>
      <c r="AEN284" s="302"/>
      <c r="AEO284" s="302"/>
      <c r="AEP284" s="302"/>
      <c r="AEQ284" s="302"/>
      <c r="AER284" s="302"/>
      <c r="AES284" s="302"/>
      <c r="AET284" s="302"/>
      <c r="AEU284" s="302"/>
      <c r="AEV284" s="302"/>
      <c r="AEW284" s="302"/>
      <c r="AEX284" s="302"/>
      <c r="AEY284" s="302"/>
      <c r="AEZ284" s="302"/>
      <c r="AFA284" s="302"/>
      <c r="AFB284" s="302"/>
      <c r="AFC284" s="302"/>
      <c r="AFD284" s="302"/>
      <c r="AFE284" s="302"/>
      <c r="AFF284" s="302"/>
      <c r="AFG284" s="302"/>
      <c r="AFH284" s="302"/>
      <c r="AFI284" s="302"/>
      <c r="AFJ284" s="302"/>
      <c r="AFK284" s="302"/>
      <c r="AFL284" s="302"/>
      <c r="AFM284" s="302"/>
      <c r="AFN284" s="302"/>
      <c r="AFO284" s="302"/>
      <c r="AFP284" s="302"/>
      <c r="AFQ284" s="302"/>
      <c r="AFR284" s="302"/>
      <c r="AFS284" s="302"/>
      <c r="AFT284" s="302"/>
      <c r="AFU284" s="302"/>
      <c r="AFV284" s="302"/>
      <c r="AFW284" s="302"/>
      <c r="AFX284" s="302"/>
      <c r="AFY284" s="302"/>
      <c r="AFZ284" s="302"/>
      <c r="AGA284" s="302"/>
      <c r="AGB284" s="302"/>
      <c r="AGC284" s="302"/>
      <c r="AGD284" s="302"/>
      <c r="AGE284" s="302"/>
      <c r="AGF284" s="302"/>
      <c r="AGG284" s="302"/>
      <c r="AGH284" s="302"/>
      <c r="AGI284" s="302"/>
      <c r="AGJ284" s="302"/>
      <c r="AGK284" s="302"/>
      <c r="AGL284" s="302"/>
      <c r="AGM284" s="302"/>
      <c r="AGN284" s="302"/>
      <c r="AGO284" s="302"/>
      <c r="AGP284" s="302"/>
      <c r="AGQ284" s="302"/>
      <c r="AGR284" s="302"/>
      <c r="AGS284" s="302"/>
      <c r="AGT284" s="302"/>
      <c r="AGU284" s="302"/>
      <c r="AGV284" s="302"/>
      <c r="AGW284" s="302"/>
      <c r="AGX284" s="302"/>
      <c r="AGY284" s="302"/>
      <c r="AGZ284" s="302"/>
      <c r="AHA284" s="302"/>
      <c r="AHB284" s="302"/>
      <c r="AHC284" s="302"/>
      <c r="AHD284" s="302"/>
      <c r="AHE284" s="302"/>
      <c r="AHF284" s="302"/>
      <c r="AHG284" s="302"/>
      <c r="AHH284" s="302"/>
      <c r="AHI284" s="302"/>
      <c r="AHJ284" s="302"/>
      <c r="AHK284" s="302"/>
      <c r="AHL284" s="302"/>
      <c r="AHM284" s="302"/>
      <c r="AHN284" s="302"/>
      <c r="AHO284" s="302"/>
      <c r="AHP284" s="302"/>
      <c r="AHQ284" s="302"/>
      <c r="AHR284" s="302"/>
      <c r="AHS284" s="302"/>
      <c r="AHT284" s="302"/>
      <c r="AHU284" s="302"/>
      <c r="AHV284" s="302"/>
      <c r="AHW284" s="302"/>
      <c r="AHX284" s="302"/>
      <c r="AHY284" s="302"/>
      <c r="AHZ284" s="302"/>
      <c r="AIA284" s="302"/>
      <c r="AIB284" s="302"/>
      <c r="AIC284" s="302"/>
      <c r="AID284" s="302"/>
      <c r="AIE284" s="302"/>
      <c r="AIF284" s="302"/>
      <c r="AIG284" s="302"/>
      <c r="AIH284" s="302"/>
      <c r="AII284" s="302"/>
      <c r="AIJ284" s="302"/>
      <c r="AIK284" s="302"/>
      <c r="AIL284" s="302"/>
      <c r="AIM284" s="302"/>
      <c r="AIN284" s="302"/>
      <c r="AIO284" s="302"/>
      <c r="AIP284" s="302"/>
      <c r="AIQ284" s="302"/>
      <c r="AIR284" s="302"/>
      <c r="AIS284" s="302"/>
      <c r="AIT284" s="302"/>
      <c r="AIU284" s="302"/>
      <c r="AIV284" s="302"/>
      <c r="AIW284" s="302"/>
      <c r="AIX284" s="302"/>
      <c r="AIY284" s="302"/>
      <c r="AIZ284" s="302"/>
      <c r="AJA284" s="302"/>
      <c r="AJB284" s="302"/>
      <c r="AJC284" s="302"/>
      <c r="AJD284" s="302"/>
      <c r="AJE284" s="302"/>
      <c r="AJF284" s="302"/>
      <c r="AJG284" s="302"/>
      <c r="AJH284" s="302"/>
      <c r="AJI284" s="302"/>
      <c r="AJJ284" s="302"/>
      <c r="AJK284" s="302"/>
      <c r="AJL284" s="302"/>
      <c r="AJM284" s="302"/>
      <c r="AJN284" s="302"/>
      <c r="AJO284" s="302"/>
      <c r="AJP284" s="302"/>
      <c r="AJQ284" s="302"/>
      <c r="AJR284" s="302"/>
      <c r="AJS284" s="302"/>
      <c r="AJT284" s="302"/>
      <c r="AJU284" s="302"/>
      <c r="AJV284" s="302"/>
      <c r="AJW284" s="302"/>
      <c r="AJX284" s="302"/>
      <c r="AJY284" s="302"/>
      <c r="AJZ284" s="302"/>
      <c r="AKA284" s="302"/>
      <c r="AKB284" s="302"/>
      <c r="AKC284" s="302"/>
      <c r="AKD284" s="302"/>
      <c r="AKE284" s="302"/>
      <c r="AKF284" s="302"/>
      <c r="AKG284" s="302"/>
      <c r="AKH284" s="302"/>
      <c r="AKI284" s="302"/>
      <c r="AKJ284" s="302"/>
      <c r="AKK284" s="302"/>
      <c r="AKL284" s="302"/>
      <c r="AKM284" s="302"/>
      <c r="AKN284" s="302"/>
      <c r="AKO284" s="302"/>
      <c r="AKP284" s="302"/>
      <c r="AKQ284" s="302"/>
      <c r="AKR284" s="302"/>
      <c r="AKS284" s="302"/>
      <c r="AKT284" s="302"/>
      <c r="AKU284" s="302"/>
      <c r="AKV284" s="302"/>
      <c r="AKW284" s="302"/>
      <c r="AKX284" s="302"/>
      <c r="AKY284" s="302"/>
      <c r="AKZ284" s="302"/>
      <c r="ALA284" s="302"/>
      <c r="ALB284" s="302"/>
      <c r="ALC284" s="302"/>
      <c r="ALD284" s="302"/>
      <c r="ALE284" s="302"/>
      <c r="ALF284" s="302"/>
      <c r="ALG284" s="302"/>
      <c r="ALH284" s="302"/>
      <c r="ALI284" s="302"/>
      <c r="ALJ284" s="302"/>
      <c r="ALK284" s="302"/>
      <c r="ALL284" s="302"/>
      <c r="ALM284" s="302"/>
      <c r="ALN284" s="302"/>
      <c r="ALO284" s="302"/>
      <c r="ALP284" s="302"/>
      <c r="ALQ284" s="302"/>
      <c r="ALR284" s="302"/>
      <c r="ALS284" s="302"/>
      <c r="ALT284" s="302"/>
      <c r="ALU284" s="302"/>
      <c r="ALV284" s="302"/>
      <c r="ALW284" s="302"/>
      <c r="ALX284" s="302"/>
      <c r="ALY284" s="302"/>
      <c r="ALZ284" s="302"/>
      <c r="AMA284" s="302"/>
      <c r="AMB284" s="302"/>
      <c r="AMC284" s="302"/>
      <c r="AMD284" s="302"/>
      <c r="AME284" s="302"/>
      <c r="AMF284" s="302"/>
      <c r="AMG284" s="302"/>
      <c r="AMH284" s="302"/>
      <c r="AMI284" s="302"/>
    </row>
    <row r="285" spans="1:1023" hidden="1">
      <c r="A285" s="302"/>
      <c r="B285" s="442">
        <v>14222</v>
      </c>
      <c r="C285" s="432">
        <v>0.1</v>
      </c>
      <c r="D285" s="370" t="s">
        <v>189</v>
      </c>
      <c r="E285" s="433">
        <v>2300000</v>
      </c>
      <c r="F285" s="499">
        <v>0.03</v>
      </c>
      <c r="G285" s="364">
        <f>E285*F285</f>
        <v>69000</v>
      </c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  <c r="AD285" s="302"/>
      <c r="AE285" s="302"/>
      <c r="AF285" s="302"/>
      <c r="AG285" s="302"/>
      <c r="AH285" s="302"/>
      <c r="AI285" s="302"/>
      <c r="AJ285" s="302"/>
      <c r="AK285" s="302"/>
      <c r="AL285" s="302"/>
      <c r="AM285" s="302"/>
      <c r="AN285" s="302"/>
      <c r="AO285" s="302"/>
      <c r="AP285" s="302"/>
      <c r="AQ285" s="302"/>
      <c r="AR285" s="302"/>
      <c r="AS285" s="302"/>
      <c r="AT285" s="302"/>
      <c r="AU285" s="302"/>
      <c r="AV285" s="302"/>
      <c r="AW285" s="302"/>
      <c r="AX285" s="302"/>
      <c r="AY285" s="302"/>
      <c r="AZ285" s="302"/>
      <c r="BA285" s="302"/>
      <c r="BB285" s="302"/>
      <c r="BC285" s="302"/>
      <c r="BD285" s="302"/>
      <c r="BE285" s="302"/>
      <c r="BF285" s="302"/>
      <c r="BG285" s="302"/>
      <c r="BH285" s="302"/>
      <c r="BI285" s="302"/>
      <c r="BJ285" s="302"/>
      <c r="BK285" s="302"/>
      <c r="BL285" s="302"/>
      <c r="BM285" s="302"/>
      <c r="BN285" s="302"/>
      <c r="BO285" s="302"/>
      <c r="BP285" s="302"/>
      <c r="BQ285" s="302"/>
      <c r="BR285" s="302"/>
      <c r="BS285" s="302"/>
      <c r="BT285" s="302"/>
      <c r="BU285" s="302"/>
      <c r="BV285" s="302"/>
      <c r="BW285" s="302"/>
      <c r="BX285" s="302"/>
      <c r="BY285" s="302"/>
      <c r="BZ285" s="302"/>
      <c r="CA285" s="302"/>
      <c r="CB285" s="302"/>
      <c r="CC285" s="302"/>
      <c r="CD285" s="302"/>
      <c r="CE285" s="302"/>
      <c r="CF285" s="302"/>
      <c r="CG285" s="302"/>
      <c r="CH285" s="302"/>
      <c r="CI285" s="302"/>
      <c r="CJ285" s="302"/>
      <c r="CK285" s="302"/>
      <c r="CL285" s="302"/>
      <c r="CM285" s="302"/>
      <c r="CN285" s="302"/>
      <c r="CO285" s="302"/>
      <c r="CP285" s="302"/>
      <c r="CQ285" s="302"/>
      <c r="CR285" s="302"/>
      <c r="CS285" s="302"/>
      <c r="CT285" s="302"/>
      <c r="CU285" s="302"/>
      <c r="CV285" s="302"/>
      <c r="CW285" s="302"/>
      <c r="CX285" s="302"/>
      <c r="CY285" s="302"/>
      <c r="CZ285" s="302"/>
      <c r="DA285" s="302"/>
      <c r="DB285" s="302"/>
      <c r="DC285" s="302"/>
      <c r="DD285" s="302"/>
      <c r="DE285" s="302"/>
      <c r="DF285" s="302"/>
      <c r="DG285" s="302"/>
      <c r="DH285" s="302"/>
      <c r="DI285" s="302"/>
      <c r="DJ285" s="302"/>
      <c r="DK285" s="302"/>
      <c r="DL285" s="302"/>
      <c r="DM285" s="302"/>
      <c r="DN285" s="302"/>
      <c r="DO285" s="302"/>
      <c r="DP285" s="302"/>
      <c r="DQ285" s="302"/>
      <c r="DR285" s="302"/>
      <c r="DS285" s="302"/>
      <c r="DT285" s="302"/>
      <c r="DU285" s="302"/>
      <c r="DV285" s="302"/>
      <c r="DW285" s="302"/>
      <c r="DX285" s="302"/>
      <c r="DY285" s="302"/>
      <c r="DZ285" s="302"/>
      <c r="EA285" s="302"/>
      <c r="EB285" s="302"/>
      <c r="EC285" s="302"/>
      <c r="ED285" s="302"/>
      <c r="EE285" s="302"/>
      <c r="EF285" s="302"/>
      <c r="EG285" s="302"/>
      <c r="EH285" s="302"/>
      <c r="EI285" s="302"/>
      <c r="EJ285" s="302"/>
      <c r="EK285" s="302"/>
      <c r="EL285" s="302"/>
      <c r="EM285" s="302"/>
      <c r="EN285" s="302"/>
      <c r="EO285" s="302"/>
      <c r="EP285" s="302"/>
      <c r="EQ285" s="302"/>
      <c r="ER285" s="302"/>
      <c r="ES285" s="302"/>
      <c r="ET285" s="302"/>
      <c r="EU285" s="302"/>
      <c r="EV285" s="302"/>
      <c r="EW285" s="302"/>
      <c r="EX285" s="302"/>
      <c r="EY285" s="302"/>
      <c r="EZ285" s="302"/>
      <c r="FA285" s="302"/>
      <c r="FB285" s="302"/>
      <c r="FC285" s="302"/>
      <c r="FD285" s="302"/>
      <c r="FE285" s="302"/>
      <c r="FF285" s="302"/>
      <c r="FG285" s="302"/>
      <c r="FH285" s="302"/>
      <c r="FI285" s="302"/>
      <c r="FJ285" s="302"/>
      <c r="FK285" s="302"/>
      <c r="FL285" s="302"/>
      <c r="FM285" s="302"/>
      <c r="FN285" s="302"/>
      <c r="FO285" s="302"/>
      <c r="FP285" s="302"/>
      <c r="FQ285" s="302"/>
      <c r="FR285" s="302"/>
      <c r="FS285" s="302"/>
      <c r="FT285" s="302"/>
      <c r="FU285" s="302"/>
      <c r="FV285" s="302"/>
      <c r="FW285" s="302"/>
      <c r="FX285" s="302"/>
      <c r="FY285" s="302"/>
      <c r="FZ285" s="302"/>
      <c r="GA285" s="302"/>
      <c r="GB285" s="302"/>
      <c r="GC285" s="302"/>
      <c r="GD285" s="302"/>
      <c r="GE285" s="302"/>
      <c r="GF285" s="302"/>
      <c r="GG285" s="302"/>
      <c r="GH285" s="302"/>
      <c r="GI285" s="302"/>
      <c r="GJ285" s="302"/>
      <c r="GK285" s="302"/>
      <c r="GL285" s="302"/>
      <c r="GM285" s="302"/>
      <c r="GN285" s="302"/>
      <c r="GO285" s="302"/>
      <c r="GP285" s="302"/>
      <c r="GQ285" s="302"/>
      <c r="GR285" s="302"/>
      <c r="GS285" s="302"/>
      <c r="GT285" s="302"/>
      <c r="GU285" s="302"/>
      <c r="GV285" s="302"/>
      <c r="GW285" s="302"/>
      <c r="GX285" s="302"/>
      <c r="GY285" s="302"/>
      <c r="GZ285" s="302"/>
      <c r="HA285" s="302"/>
      <c r="HB285" s="302"/>
      <c r="HC285" s="302"/>
      <c r="HD285" s="302"/>
      <c r="HE285" s="302"/>
      <c r="HF285" s="302"/>
      <c r="HG285" s="302"/>
      <c r="HH285" s="302"/>
      <c r="HI285" s="302"/>
      <c r="HJ285" s="302"/>
      <c r="HK285" s="302"/>
      <c r="HL285" s="302"/>
      <c r="HM285" s="302"/>
      <c r="HN285" s="302"/>
      <c r="HO285" s="302"/>
      <c r="HP285" s="302"/>
      <c r="HQ285" s="302"/>
      <c r="HR285" s="302"/>
      <c r="HS285" s="302"/>
      <c r="HT285" s="302"/>
      <c r="HU285" s="302"/>
      <c r="HV285" s="302"/>
      <c r="HW285" s="302"/>
      <c r="HX285" s="302"/>
      <c r="HY285" s="302"/>
      <c r="HZ285" s="302"/>
      <c r="IA285" s="302"/>
      <c r="IB285" s="302"/>
      <c r="IC285" s="302"/>
      <c r="ID285" s="302"/>
      <c r="IE285" s="302"/>
      <c r="IF285" s="302"/>
      <c r="IG285" s="302"/>
      <c r="IH285" s="302"/>
      <c r="II285" s="302"/>
      <c r="IJ285" s="302"/>
      <c r="IK285" s="302"/>
      <c r="IL285" s="302"/>
      <c r="IM285" s="302"/>
      <c r="IN285" s="302"/>
      <c r="IO285" s="302"/>
      <c r="IP285" s="302"/>
      <c r="IQ285" s="302"/>
      <c r="IR285" s="302"/>
      <c r="IS285" s="302"/>
      <c r="IT285" s="302"/>
      <c r="IU285" s="302"/>
      <c r="IV285" s="302"/>
      <c r="IW285" s="302"/>
      <c r="IX285" s="302"/>
      <c r="IY285" s="302"/>
      <c r="IZ285" s="302"/>
      <c r="JA285" s="302"/>
      <c r="JB285" s="302"/>
      <c r="JC285" s="302"/>
      <c r="JD285" s="302"/>
      <c r="JE285" s="302"/>
      <c r="JF285" s="302"/>
      <c r="JG285" s="302"/>
      <c r="JH285" s="302"/>
      <c r="JI285" s="302"/>
      <c r="JJ285" s="302"/>
      <c r="JK285" s="302"/>
      <c r="JL285" s="302"/>
      <c r="JM285" s="302"/>
      <c r="JN285" s="302"/>
      <c r="JO285" s="302"/>
      <c r="JP285" s="302"/>
      <c r="JQ285" s="302"/>
      <c r="JR285" s="302"/>
      <c r="JS285" s="302"/>
      <c r="JT285" s="302"/>
      <c r="JU285" s="302"/>
      <c r="JV285" s="302"/>
      <c r="JW285" s="302"/>
      <c r="JX285" s="302"/>
      <c r="JY285" s="302"/>
      <c r="JZ285" s="302"/>
      <c r="KA285" s="302"/>
      <c r="KB285" s="302"/>
      <c r="KC285" s="302"/>
      <c r="KD285" s="302"/>
      <c r="KE285" s="302"/>
      <c r="KF285" s="302"/>
      <c r="KG285" s="302"/>
      <c r="KH285" s="302"/>
      <c r="KI285" s="302"/>
      <c r="KJ285" s="302"/>
      <c r="KK285" s="302"/>
      <c r="KL285" s="302"/>
      <c r="KM285" s="302"/>
      <c r="KN285" s="302"/>
      <c r="KO285" s="302"/>
      <c r="KP285" s="302"/>
      <c r="KQ285" s="302"/>
      <c r="KR285" s="302"/>
      <c r="KS285" s="302"/>
      <c r="KT285" s="302"/>
      <c r="KU285" s="302"/>
      <c r="KV285" s="302"/>
      <c r="KW285" s="302"/>
      <c r="KX285" s="302"/>
      <c r="KY285" s="302"/>
      <c r="KZ285" s="302"/>
      <c r="LA285" s="302"/>
      <c r="LB285" s="302"/>
      <c r="LC285" s="302"/>
      <c r="LD285" s="302"/>
      <c r="LE285" s="302"/>
      <c r="LF285" s="302"/>
      <c r="LG285" s="302"/>
      <c r="LH285" s="302"/>
      <c r="LI285" s="302"/>
      <c r="LJ285" s="302"/>
      <c r="LK285" s="302"/>
      <c r="LL285" s="302"/>
      <c r="LM285" s="302"/>
      <c r="LN285" s="302"/>
      <c r="LO285" s="302"/>
      <c r="LP285" s="302"/>
      <c r="LQ285" s="302"/>
      <c r="LR285" s="302"/>
      <c r="LS285" s="302"/>
      <c r="LT285" s="302"/>
      <c r="LU285" s="302"/>
      <c r="LV285" s="302"/>
      <c r="LW285" s="302"/>
      <c r="LX285" s="302"/>
      <c r="LY285" s="302"/>
      <c r="LZ285" s="302"/>
      <c r="MA285" s="302"/>
      <c r="MB285" s="302"/>
      <c r="MC285" s="302"/>
      <c r="MD285" s="302"/>
      <c r="ME285" s="302"/>
      <c r="MF285" s="302"/>
      <c r="MG285" s="302"/>
      <c r="MH285" s="302"/>
      <c r="MI285" s="302"/>
      <c r="MJ285" s="302"/>
      <c r="MK285" s="302"/>
      <c r="ML285" s="302"/>
      <c r="MM285" s="302"/>
      <c r="MN285" s="302"/>
      <c r="MO285" s="302"/>
      <c r="MP285" s="302"/>
      <c r="MQ285" s="302"/>
      <c r="MR285" s="302"/>
      <c r="MS285" s="302"/>
      <c r="MT285" s="302"/>
      <c r="MU285" s="302"/>
      <c r="MV285" s="302"/>
      <c r="MW285" s="302"/>
      <c r="MX285" s="302"/>
      <c r="MY285" s="302"/>
      <c r="MZ285" s="302"/>
      <c r="NA285" s="302"/>
      <c r="NB285" s="302"/>
      <c r="NC285" s="302"/>
      <c r="ND285" s="302"/>
      <c r="NE285" s="302"/>
      <c r="NF285" s="302"/>
      <c r="NG285" s="302"/>
      <c r="NH285" s="302"/>
      <c r="NI285" s="302"/>
      <c r="NJ285" s="302"/>
      <c r="NK285" s="302"/>
      <c r="NL285" s="302"/>
      <c r="NM285" s="302"/>
      <c r="NN285" s="302"/>
      <c r="NO285" s="302"/>
      <c r="NP285" s="302"/>
      <c r="NQ285" s="302"/>
      <c r="NR285" s="302"/>
      <c r="NS285" s="302"/>
      <c r="NT285" s="302"/>
      <c r="NU285" s="302"/>
      <c r="NV285" s="302"/>
      <c r="NW285" s="302"/>
      <c r="NX285" s="302"/>
      <c r="NY285" s="302"/>
      <c r="NZ285" s="302"/>
      <c r="OA285" s="302"/>
      <c r="OB285" s="302"/>
      <c r="OC285" s="302"/>
      <c r="OD285" s="302"/>
      <c r="OE285" s="302"/>
      <c r="OF285" s="302"/>
      <c r="OG285" s="302"/>
      <c r="OH285" s="302"/>
      <c r="OI285" s="302"/>
      <c r="OJ285" s="302"/>
      <c r="OK285" s="302"/>
      <c r="OL285" s="302"/>
      <c r="OM285" s="302"/>
      <c r="ON285" s="302"/>
      <c r="OO285" s="302"/>
      <c r="OP285" s="302"/>
      <c r="OQ285" s="302"/>
      <c r="OR285" s="302"/>
      <c r="OS285" s="302"/>
      <c r="OT285" s="302"/>
      <c r="OU285" s="302"/>
      <c r="OV285" s="302"/>
      <c r="OW285" s="302"/>
      <c r="OX285" s="302"/>
      <c r="OY285" s="302"/>
      <c r="OZ285" s="302"/>
      <c r="PA285" s="302"/>
      <c r="PB285" s="302"/>
      <c r="PC285" s="302"/>
      <c r="PD285" s="302"/>
      <c r="PE285" s="302"/>
      <c r="PF285" s="302"/>
      <c r="PG285" s="302"/>
      <c r="PH285" s="302"/>
      <c r="PI285" s="302"/>
      <c r="PJ285" s="302"/>
      <c r="PK285" s="302"/>
      <c r="PL285" s="302"/>
      <c r="PM285" s="302"/>
      <c r="PN285" s="302"/>
      <c r="PO285" s="302"/>
      <c r="PP285" s="302"/>
      <c r="PQ285" s="302"/>
      <c r="PR285" s="302"/>
      <c r="PS285" s="302"/>
      <c r="PT285" s="302"/>
      <c r="PU285" s="302"/>
      <c r="PV285" s="302"/>
      <c r="PW285" s="302"/>
      <c r="PX285" s="302"/>
      <c r="PY285" s="302"/>
      <c r="PZ285" s="302"/>
      <c r="QA285" s="302"/>
      <c r="QB285" s="302"/>
      <c r="QC285" s="302"/>
      <c r="QD285" s="302"/>
      <c r="QE285" s="302"/>
      <c r="QF285" s="302"/>
      <c r="QG285" s="302"/>
      <c r="QH285" s="302"/>
      <c r="QI285" s="302"/>
      <c r="QJ285" s="302"/>
      <c r="QK285" s="302"/>
      <c r="QL285" s="302"/>
      <c r="QM285" s="302"/>
      <c r="QN285" s="302"/>
      <c r="QO285" s="302"/>
      <c r="QP285" s="302"/>
      <c r="QQ285" s="302"/>
      <c r="QR285" s="302"/>
      <c r="QS285" s="302"/>
      <c r="QT285" s="302"/>
      <c r="QU285" s="302"/>
      <c r="QV285" s="302"/>
      <c r="QW285" s="302"/>
      <c r="QX285" s="302"/>
      <c r="QY285" s="302"/>
      <c r="QZ285" s="302"/>
      <c r="RA285" s="302"/>
      <c r="RB285" s="302"/>
      <c r="RC285" s="302"/>
      <c r="RD285" s="302"/>
      <c r="RE285" s="302"/>
      <c r="RF285" s="302"/>
      <c r="RG285" s="302"/>
      <c r="RH285" s="302"/>
      <c r="RI285" s="302"/>
      <c r="RJ285" s="302"/>
      <c r="RK285" s="302"/>
      <c r="RL285" s="302"/>
      <c r="RM285" s="302"/>
      <c r="RN285" s="302"/>
      <c r="RO285" s="302"/>
      <c r="RP285" s="302"/>
      <c r="RQ285" s="302"/>
      <c r="RR285" s="302"/>
      <c r="RS285" s="302"/>
      <c r="RT285" s="302"/>
      <c r="RU285" s="302"/>
      <c r="RV285" s="302"/>
      <c r="RW285" s="302"/>
      <c r="RX285" s="302"/>
      <c r="RY285" s="302"/>
      <c r="RZ285" s="302"/>
      <c r="SA285" s="302"/>
      <c r="SB285" s="302"/>
      <c r="SC285" s="302"/>
      <c r="SD285" s="302"/>
      <c r="SE285" s="302"/>
      <c r="SF285" s="302"/>
      <c r="SG285" s="302"/>
      <c r="SH285" s="302"/>
      <c r="SI285" s="302"/>
      <c r="SJ285" s="302"/>
      <c r="SK285" s="302"/>
      <c r="SL285" s="302"/>
      <c r="SM285" s="302"/>
      <c r="SN285" s="302"/>
      <c r="SO285" s="302"/>
      <c r="SP285" s="302"/>
      <c r="SQ285" s="302"/>
      <c r="SR285" s="302"/>
      <c r="SS285" s="302"/>
      <c r="ST285" s="302"/>
      <c r="SU285" s="302"/>
      <c r="SV285" s="302"/>
      <c r="SW285" s="302"/>
      <c r="SX285" s="302"/>
      <c r="SY285" s="302"/>
      <c r="SZ285" s="302"/>
      <c r="TA285" s="302"/>
      <c r="TB285" s="302"/>
      <c r="TC285" s="302"/>
      <c r="TD285" s="302"/>
      <c r="TE285" s="302"/>
      <c r="TF285" s="302"/>
      <c r="TG285" s="302"/>
      <c r="TH285" s="302"/>
      <c r="TI285" s="302"/>
      <c r="TJ285" s="302"/>
      <c r="TK285" s="302"/>
      <c r="TL285" s="302"/>
      <c r="TM285" s="302"/>
      <c r="TN285" s="302"/>
      <c r="TO285" s="302"/>
      <c r="TP285" s="302"/>
      <c r="TQ285" s="302"/>
      <c r="TR285" s="302"/>
      <c r="TS285" s="302"/>
      <c r="TT285" s="302"/>
      <c r="TU285" s="302"/>
      <c r="TV285" s="302"/>
      <c r="TW285" s="302"/>
      <c r="TX285" s="302"/>
      <c r="TY285" s="302"/>
      <c r="TZ285" s="302"/>
      <c r="UA285" s="302"/>
      <c r="UB285" s="302"/>
      <c r="UC285" s="302"/>
      <c r="UD285" s="302"/>
      <c r="UE285" s="302"/>
      <c r="UF285" s="302"/>
      <c r="UG285" s="302"/>
      <c r="UH285" s="302"/>
      <c r="UI285" s="302"/>
      <c r="UJ285" s="302"/>
      <c r="UK285" s="302"/>
      <c r="UL285" s="302"/>
      <c r="UM285" s="302"/>
      <c r="UN285" s="302"/>
      <c r="UO285" s="302"/>
      <c r="UP285" s="302"/>
      <c r="UQ285" s="302"/>
      <c r="UR285" s="302"/>
      <c r="US285" s="302"/>
      <c r="UT285" s="302"/>
      <c r="UU285" s="302"/>
      <c r="UV285" s="302"/>
      <c r="UW285" s="302"/>
      <c r="UX285" s="302"/>
      <c r="UY285" s="302"/>
      <c r="UZ285" s="302"/>
      <c r="VA285" s="302"/>
      <c r="VB285" s="302"/>
      <c r="VC285" s="302"/>
      <c r="VD285" s="302"/>
      <c r="VE285" s="302"/>
      <c r="VF285" s="302"/>
      <c r="VG285" s="302"/>
      <c r="VH285" s="302"/>
      <c r="VI285" s="302"/>
      <c r="VJ285" s="302"/>
      <c r="VK285" s="302"/>
      <c r="VL285" s="302"/>
      <c r="VM285" s="302"/>
      <c r="VN285" s="302"/>
      <c r="VO285" s="302"/>
      <c r="VP285" s="302"/>
      <c r="VQ285" s="302"/>
      <c r="VR285" s="302"/>
      <c r="VS285" s="302"/>
      <c r="VT285" s="302"/>
      <c r="VU285" s="302"/>
      <c r="VV285" s="302"/>
      <c r="VW285" s="302"/>
      <c r="VX285" s="302"/>
      <c r="VY285" s="302"/>
      <c r="VZ285" s="302"/>
      <c r="WA285" s="302"/>
      <c r="WB285" s="302"/>
      <c r="WC285" s="302"/>
      <c r="WD285" s="302"/>
      <c r="WE285" s="302"/>
      <c r="WF285" s="302"/>
      <c r="WG285" s="302"/>
      <c r="WH285" s="302"/>
      <c r="WI285" s="302"/>
      <c r="WJ285" s="302"/>
      <c r="WK285" s="302"/>
      <c r="WL285" s="302"/>
      <c r="WM285" s="302"/>
      <c r="WN285" s="302"/>
      <c r="WO285" s="302"/>
      <c r="WP285" s="302"/>
      <c r="WQ285" s="302"/>
      <c r="WR285" s="302"/>
      <c r="WS285" s="302"/>
      <c r="WT285" s="302"/>
      <c r="WU285" s="302"/>
      <c r="WV285" s="302"/>
      <c r="WW285" s="302"/>
      <c r="WX285" s="302"/>
      <c r="WY285" s="302"/>
      <c r="WZ285" s="302"/>
      <c r="XA285" s="302"/>
      <c r="XB285" s="302"/>
      <c r="XC285" s="302"/>
      <c r="XD285" s="302"/>
      <c r="XE285" s="302"/>
      <c r="XF285" s="302"/>
      <c r="XG285" s="302"/>
      <c r="XH285" s="302"/>
      <c r="XI285" s="302"/>
      <c r="XJ285" s="302"/>
      <c r="XK285" s="302"/>
      <c r="XL285" s="302"/>
      <c r="XM285" s="302"/>
      <c r="XN285" s="302"/>
      <c r="XO285" s="302"/>
      <c r="XP285" s="302"/>
      <c r="XQ285" s="302"/>
      <c r="XR285" s="302"/>
      <c r="XS285" s="302"/>
      <c r="XT285" s="302"/>
      <c r="XU285" s="302"/>
      <c r="XV285" s="302"/>
      <c r="XW285" s="302"/>
      <c r="XX285" s="302"/>
      <c r="XY285" s="302"/>
      <c r="XZ285" s="302"/>
      <c r="YA285" s="302"/>
      <c r="YB285" s="302"/>
      <c r="YC285" s="302"/>
      <c r="YD285" s="302"/>
      <c r="YE285" s="302"/>
      <c r="YF285" s="302"/>
      <c r="YG285" s="302"/>
      <c r="YH285" s="302"/>
      <c r="YI285" s="302"/>
      <c r="YJ285" s="302"/>
      <c r="YK285" s="302"/>
      <c r="YL285" s="302"/>
      <c r="YM285" s="302"/>
      <c r="YN285" s="302"/>
      <c r="YO285" s="302"/>
      <c r="YP285" s="302"/>
      <c r="YQ285" s="302"/>
      <c r="YR285" s="302"/>
      <c r="YS285" s="302"/>
      <c r="YT285" s="302"/>
      <c r="YU285" s="302"/>
      <c r="YV285" s="302"/>
      <c r="YW285" s="302"/>
      <c r="YX285" s="302"/>
      <c r="YY285" s="302"/>
      <c r="YZ285" s="302"/>
      <c r="ZA285" s="302"/>
      <c r="ZB285" s="302"/>
      <c r="ZC285" s="302"/>
      <c r="ZD285" s="302"/>
      <c r="ZE285" s="302"/>
      <c r="ZF285" s="302"/>
      <c r="ZG285" s="302"/>
      <c r="ZH285" s="302"/>
      <c r="ZI285" s="302"/>
      <c r="ZJ285" s="302"/>
      <c r="ZK285" s="302"/>
      <c r="ZL285" s="302"/>
      <c r="ZM285" s="302"/>
      <c r="ZN285" s="302"/>
      <c r="ZO285" s="302"/>
      <c r="ZP285" s="302"/>
      <c r="ZQ285" s="302"/>
      <c r="ZR285" s="302"/>
      <c r="ZS285" s="302"/>
      <c r="ZT285" s="302"/>
      <c r="ZU285" s="302"/>
      <c r="ZV285" s="302"/>
      <c r="ZW285" s="302"/>
      <c r="ZX285" s="302"/>
      <c r="ZY285" s="302"/>
      <c r="ZZ285" s="302"/>
      <c r="AAA285" s="302"/>
      <c r="AAB285" s="302"/>
      <c r="AAC285" s="302"/>
      <c r="AAD285" s="302"/>
      <c r="AAE285" s="302"/>
      <c r="AAF285" s="302"/>
      <c r="AAG285" s="302"/>
      <c r="AAH285" s="302"/>
      <c r="AAI285" s="302"/>
      <c r="AAJ285" s="302"/>
      <c r="AAK285" s="302"/>
      <c r="AAL285" s="302"/>
      <c r="AAM285" s="302"/>
      <c r="AAN285" s="302"/>
      <c r="AAO285" s="302"/>
      <c r="AAP285" s="302"/>
      <c r="AAQ285" s="302"/>
      <c r="AAR285" s="302"/>
      <c r="AAS285" s="302"/>
      <c r="AAT285" s="302"/>
      <c r="AAU285" s="302"/>
      <c r="AAV285" s="302"/>
      <c r="AAW285" s="302"/>
      <c r="AAX285" s="302"/>
      <c r="AAY285" s="302"/>
      <c r="AAZ285" s="302"/>
      <c r="ABA285" s="302"/>
      <c r="ABB285" s="302"/>
      <c r="ABC285" s="302"/>
      <c r="ABD285" s="302"/>
      <c r="ABE285" s="302"/>
      <c r="ABF285" s="302"/>
      <c r="ABG285" s="302"/>
      <c r="ABH285" s="302"/>
      <c r="ABI285" s="302"/>
      <c r="ABJ285" s="302"/>
      <c r="ABK285" s="302"/>
      <c r="ABL285" s="302"/>
      <c r="ABM285" s="302"/>
      <c r="ABN285" s="302"/>
      <c r="ABO285" s="302"/>
      <c r="ABP285" s="302"/>
      <c r="ABQ285" s="302"/>
      <c r="ABR285" s="302"/>
      <c r="ABS285" s="302"/>
      <c r="ABT285" s="302"/>
      <c r="ABU285" s="302"/>
      <c r="ABV285" s="302"/>
      <c r="ABW285" s="302"/>
      <c r="ABX285" s="302"/>
      <c r="ABY285" s="302"/>
      <c r="ABZ285" s="302"/>
      <c r="ACA285" s="302"/>
      <c r="ACB285" s="302"/>
      <c r="ACC285" s="302"/>
      <c r="ACD285" s="302"/>
      <c r="ACE285" s="302"/>
      <c r="ACF285" s="302"/>
      <c r="ACG285" s="302"/>
      <c r="ACH285" s="302"/>
      <c r="ACI285" s="302"/>
      <c r="ACJ285" s="302"/>
      <c r="ACK285" s="302"/>
      <c r="ACL285" s="302"/>
      <c r="ACM285" s="302"/>
      <c r="ACN285" s="302"/>
      <c r="ACO285" s="302"/>
      <c r="ACP285" s="302"/>
      <c r="ACQ285" s="302"/>
      <c r="ACR285" s="302"/>
      <c r="ACS285" s="302"/>
      <c r="ACT285" s="302"/>
      <c r="ACU285" s="302"/>
      <c r="ACV285" s="302"/>
      <c r="ACW285" s="302"/>
      <c r="ACX285" s="302"/>
      <c r="ACY285" s="302"/>
      <c r="ACZ285" s="302"/>
      <c r="ADA285" s="302"/>
      <c r="ADB285" s="302"/>
      <c r="ADC285" s="302"/>
      <c r="ADD285" s="302"/>
      <c r="ADE285" s="302"/>
      <c r="ADF285" s="302"/>
      <c r="ADG285" s="302"/>
      <c r="ADH285" s="302"/>
      <c r="ADI285" s="302"/>
      <c r="ADJ285" s="302"/>
      <c r="ADK285" s="302"/>
      <c r="ADL285" s="302"/>
      <c r="ADM285" s="302"/>
      <c r="ADN285" s="302"/>
      <c r="ADO285" s="302"/>
      <c r="ADP285" s="302"/>
      <c r="ADQ285" s="302"/>
      <c r="ADR285" s="302"/>
      <c r="ADS285" s="302"/>
      <c r="ADT285" s="302"/>
      <c r="ADU285" s="302"/>
      <c r="ADV285" s="302"/>
      <c r="ADW285" s="302"/>
      <c r="ADX285" s="302"/>
      <c r="ADY285" s="302"/>
      <c r="ADZ285" s="302"/>
      <c r="AEA285" s="302"/>
      <c r="AEB285" s="302"/>
      <c r="AEC285" s="302"/>
      <c r="AED285" s="302"/>
      <c r="AEE285" s="302"/>
      <c r="AEF285" s="302"/>
      <c r="AEG285" s="302"/>
      <c r="AEH285" s="302"/>
      <c r="AEI285" s="302"/>
      <c r="AEJ285" s="302"/>
      <c r="AEK285" s="302"/>
      <c r="AEL285" s="302"/>
      <c r="AEM285" s="302"/>
      <c r="AEN285" s="302"/>
      <c r="AEO285" s="302"/>
      <c r="AEP285" s="302"/>
      <c r="AEQ285" s="302"/>
      <c r="AER285" s="302"/>
      <c r="AES285" s="302"/>
      <c r="AET285" s="302"/>
      <c r="AEU285" s="302"/>
      <c r="AEV285" s="302"/>
      <c r="AEW285" s="302"/>
      <c r="AEX285" s="302"/>
      <c r="AEY285" s="302"/>
      <c r="AEZ285" s="302"/>
      <c r="AFA285" s="302"/>
      <c r="AFB285" s="302"/>
      <c r="AFC285" s="302"/>
      <c r="AFD285" s="302"/>
      <c r="AFE285" s="302"/>
      <c r="AFF285" s="302"/>
      <c r="AFG285" s="302"/>
      <c r="AFH285" s="302"/>
      <c r="AFI285" s="302"/>
      <c r="AFJ285" s="302"/>
      <c r="AFK285" s="302"/>
      <c r="AFL285" s="302"/>
      <c r="AFM285" s="302"/>
      <c r="AFN285" s="302"/>
      <c r="AFO285" s="302"/>
      <c r="AFP285" s="302"/>
      <c r="AFQ285" s="302"/>
      <c r="AFR285" s="302"/>
      <c r="AFS285" s="302"/>
      <c r="AFT285" s="302"/>
      <c r="AFU285" s="302"/>
      <c r="AFV285" s="302"/>
      <c r="AFW285" s="302"/>
      <c r="AFX285" s="302"/>
      <c r="AFY285" s="302"/>
      <c r="AFZ285" s="302"/>
      <c r="AGA285" s="302"/>
      <c r="AGB285" s="302"/>
      <c r="AGC285" s="302"/>
      <c r="AGD285" s="302"/>
      <c r="AGE285" s="302"/>
      <c r="AGF285" s="302"/>
      <c r="AGG285" s="302"/>
      <c r="AGH285" s="302"/>
      <c r="AGI285" s="302"/>
      <c r="AGJ285" s="302"/>
      <c r="AGK285" s="302"/>
      <c r="AGL285" s="302"/>
      <c r="AGM285" s="302"/>
      <c r="AGN285" s="302"/>
      <c r="AGO285" s="302"/>
      <c r="AGP285" s="302"/>
      <c r="AGQ285" s="302"/>
      <c r="AGR285" s="302"/>
      <c r="AGS285" s="302"/>
      <c r="AGT285" s="302"/>
      <c r="AGU285" s="302"/>
      <c r="AGV285" s="302"/>
      <c r="AGW285" s="302"/>
      <c r="AGX285" s="302"/>
      <c r="AGY285" s="302"/>
      <c r="AGZ285" s="302"/>
      <c r="AHA285" s="302"/>
      <c r="AHB285" s="302"/>
      <c r="AHC285" s="302"/>
      <c r="AHD285" s="302"/>
      <c r="AHE285" s="302"/>
      <c r="AHF285" s="302"/>
      <c r="AHG285" s="302"/>
      <c r="AHH285" s="302"/>
      <c r="AHI285" s="302"/>
      <c r="AHJ285" s="302"/>
      <c r="AHK285" s="302"/>
      <c r="AHL285" s="302"/>
      <c r="AHM285" s="302"/>
      <c r="AHN285" s="302"/>
      <c r="AHO285" s="302"/>
      <c r="AHP285" s="302"/>
      <c r="AHQ285" s="302"/>
      <c r="AHR285" s="302"/>
      <c r="AHS285" s="302"/>
      <c r="AHT285" s="302"/>
      <c r="AHU285" s="302"/>
      <c r="AHV285" s="302"/>
      <c r="AHW285" s="302"/>
      <c r="AHX285" s="302"/>
      <c r="AHY285" s="302"/>
      <c r="AHZ285" s="302"/>
      <c r="AIA285" s="302"/>
      <c r="AIB285" s="302"/>
      <c r="AIC285" s="302"/>
      <c r="AID285" s="302"/>
      <c r="AIE285" s="302"/>
      <c r="AIF285" s="302"/>
      <c r="AIG285" s="302"/>
      <c r="AIH285" s="302"/>
      <c r="AII285" s="302"/>
      <c r="AIJ285" s="302"/>
      <c r="AIK285" s="302"/>
      <c r="AIL285" s="302"/>
      <c r="AIM285" s="302"/>
      <c r="AIN285" s="302"/>
      <c r="AIO285" s="302"/>
      <c r="AIP285" s="302"/>
      <c r="AIQ285" s="302"/>
      <c r="AIR285" s="302"/>
      <c r="AIS285" s="302"/>
      <c r="AIT285" s="302"/>
      <c r="AIU285" s="302"/>
      <c r="AIV285" s="302"/>
      <c r="AIW285" s="302"/>
      <c r="AIX285" s="302"/>
      <c r="AIY285" s="302"/>
      <c r="AIZ285" s="302"/>
      <c r="AJA285" s="302"/>
      <c r="AJB285" s="302"/>
      <c r="AJC285" s="302"/>
      <c r="AJD285" s="302"/>
      <c r="AJE285" s="302"/>
      <c r="AJF285" s="302"/>
      <c r="AJG285" s="302"/>
      <c r="AJH285" s="302"/>
      <c r="AJI285" s="302"/>
      <c r="AJJ285" s="302"/>
      <c r="AJK285" s="302"/>
      <c r="AJL285" s="302"/>
      <c r="AJM285" s="302"/>
      <c r="AJN285" s="302"/>
      <c r="AJO285" s="302"/>
      <c r="AJP285" s="302"/>
      <c r="AJQ285" s="302"/>
      <c r="AJR285" s="302"/>
      <c r="AJS285" s="302"/>
      <c r="AJT285" s="302"/>
      <c r="AJU285" s="302"/>
      <c r="AJV285" s="302"/>
      <c r="AJW285" s="302"/>
      <c r="AJX285" s="302"/>
      <c r="AJY285" s="302"/>
      <c r="AJZ285" s="302"/>
      <c r="AKA285" s="302"/>
      <c r="AKB285" s="302"/>
      <c r="AKC285" s="302"/>
      <c r="AKD285" s="302"/>
      <c r="AKE285" s="302"/>
      <c r="AKF285" s="302"/>
      <c r="AKG285" s="302"/>
      <c r="AKH285" s="302"/>
      <c r="AKI285" s="302"/>
      <c r="AKJ285" s="302"/>
      <c r="AKK285" s="302"/>
      <c r="AKL285" s="302"/>
      <c r="AKM285" s="302"/>
      <c r="AKN285" s="302"/>
      <c r="AKO285" s="302"/>
      <c r="AKP285" s="302"/>
      <c r="AKQ285" s="302"/>
      <c r="AKR285" s="302"/>
      <c r="AKS285" s="302"/>
      <c r="AKT285" s="302"/>
      <c r="AKU285" s="302"/>
      <c r="AKV285" s="302"/>
      <c r="AKW285" s="302"/>
      <c r="AKX285" s="302"/>
      <c r="AKY285" s="302"/>
      <c r="AKZ285" s="302"/>
      <c r="ALA285" s="302"/>
      <c r="ALB285" s="302"/>
      <c r="ALC285" s="302"/>
      <c r="ALD285" s="302"/>
      <c r="ALE285" s="302"/>
      <c r="ALF285" s="302"/>
      <c r="ALG285" s="302"/>
      <c r="ALH285" s="302"/>
      <c r="ALI285" s="302"/>
      <c r="ALJ285" s="302"/>
      <c r="ALK285" s="302"/>
      <c r="ALL285" s="302"/>
      <c r="ALM285" s="302"/>
      <c r="ALN285" s="302"/>
      <c r="ALO285" s="302"/>
      <c r="ALP285" s="302"/>
      <c r="ALQ285" s="302"/>
      <c r="ALR285" s="302"/>
      <c r="ALS285" s="302"/>
      <c r="ALT285" s="302"/>
      <c r="ALU285" s="302"/>
      <c r="ALV285" s="302"/>
      <c r="ALW285" s="302"/>
      <c r="ALX285" s="302"/>
      <c r="ALY285" s="302"/>
      <c r="ALZ285" s="302"/>
      <c r="AMA285" s="302"/>
      <c r="AMB285" s="302"/>
      <c r="AMC285" s="302"/>
      <c r="AMD285" s="302"/>
      <c r="AME285" s="302"/>
      <c r="AMF285" s="302"/>
      <c r="AMG285" s="302"/>
      <c r="AMH285" s="302"/>
      <c r="AMI285" s="302"/>
    </row>
    <row r="286" spans="1:1023" hidden="1">
      <c r="A286" s="302"/>
      <c r="B286" s="442">
        <v>14243</v>
      </c>
      <c r="C286" s="430">
        <v>0.08</v>
      </c>
      <c r="D286" s="370" t="s">
        <v>213</v>
      </c>
      <c r="E286" s="433">
        <v>2600000</v>
      </c>
      <c r="F286" s="500">
        <v>0.02</v>
      </c>
      <c r="G286" s="364">
        <f t="shared" ref="G286:G290" si="16">E286*F286</f>
        <v>52000</v>
      </c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  <c r="AD286" s="302"/>
      <c r="AE286" s="302"/>
      <c r="AF286" s="302"/>
      <c r="AG286" s="302"/>
      <c r="AH286" s="302"/>
      <c r="AI286" s="302"/>
      <c r="AJ286" s="302"/>
      <c r="AK286" s="302"/>
      <c r="AL286" s="302"/>
      <c r="AM286" s="302"/>
      <c r="AN286" s="302"/>
      <c r="AO286" s="302"/>
      <c r="AP286" s="302"/>
      <c r="AQ286" s="302"/>
      <c r="AR286" s="302"/>
      <c r="AS286" s="302"/>
      <c r="AT286" s="302"/>
      <c r="AU286" s="302"/>
      <c r="AV286" s="302"/>
      <c r="AW286" s="302"/>
      <c r="AX286" s="302"/>
      <c r="AY286" s="302"/>
      <c r="AZ286" s="302"/>
      <c r="BA286" s="302"/>
      <c r="BB286" s="302"/>
      <c r="BC286" s="302"/>
      <c r="BD286" s="302"/>
      <c r="BE286" s="302"/>
      <c r="BF286" s="302"/>
      <c r="BG286" s="302"/>
      <c r="BH286" s="302"/>
      <c r="BI286" s="302"/>
      <c r="BJ286" s="302"/>
      <c r="BK286" s="302"/>
      <c r="BL286" s="302"/>
      <c r="BM286" s="302"/>
      <c r="BN286" s="302"/>
      <c r="BO286" s="302"/>
      <c r="BP286" s="302"/>
      <c r="BQ286" s="302"/>
      <c r="BR286" s="302"/>
      <c r="BS286" s="302"/>
      <c r="BT286" s="302"/>
      <c r="BU286" s="302"/>
      <c r="BV286" s="302"/>
      <c r="BW286" s="302"/>
      <c r="BX286" s="302"/>
      <c r="BY286" s="302"/>
      <c r="BZ286" s="302"/>
      <c r="CA286" s="302"/>
      <c r="CB286" s="302"/>
      <c r="CC286" s="302"/>
      <c r="CD286" s="302"/>
      <c r="CE286" s="302"/>
      <c r="CF286" s="302"/>
      <c r="CG286" s="302"/>
      <c r="CH286" s="302"/>
      <c r="CI286" s="302"/>
      <c r="CJ286" s="302"/>
      <c r="CK286" s="302"/>
      <c r="CL286" s="302"/>
      <c r="CM286" s="302"/>
      <c r="CN286" s="302"/>
      <c r="CO286" s="302"/>
      <c r="CP286" s="302"/>
      <c r="CQ286" s="302"/>
      <c r="CR286" s="302"/>
      <c r="CS286" s="302"/>
      <c r="CT286" s="302"/>
      <c r="CU286" s="302"/>
      <c r="CV286" s="302"/>
      <c r="CW286" s="302"/>
      <c r="CX286" s="302"/>
      <c r="CY286" s="302"/>
      <c r="CZ286" s="302"/>
      <c r="DA286" s="302"/>
      <c r="DB286" s="302"/>
      <c r="DC286" s="302"/>
      <c r="DD286" s="302"/>
      <c r="DE286" s="302"/>
      <c r="DF286" s="302"/>
      <c r="DG286" s="302"/>
      <c r="DH286" s="302"/>
      <c r="DI286" s="302"/>
      <c r="DJ286" s="302"/>
      <c r="DK286" s="302"/>
      <c r="DL286" s="302"/>
      <c r="DM286" s="302"/>
      <c r="DN286" s="302"/>
      <c r="DO286" s="302"/>
      <c r="DP286" s="302"/>
      <c r="DQ286" s="302"/>
      <c r="DR286" s="302"/>
      <c r="DS286" s="302"/>
      <c r="DT286" s="302"/>
      <c r="DU286" s="302"/>
      <c r="DV286" s="302"/>
      <c r="DW286" s="302"/>
      <c r="DX286" s="302"/>
      <c r="DY286" s="302"/>
      <c r="DZ286" s="302"/>
      <c r="EA286" s="302"/>
      <c r="EB286" s="302"/>
      <c r="EC286" s="302"/>
      <c r="ED286" s="302"/>
      <c r="EE286" s="302"/>
      <c r="EF286" s="302"/>
      <c r="EG286" s="302"/>
      <c r="EH286" s="302"/>
      <c r="EI286" s="302"/>
      <c r="EJ286" s="302"/>
      <c r="EK286" s="302"/>
      <c r="EL286" s="302"/>
      <c r="EM286" s="302"/>
      <c r="EN286" s="302"/>
      <c r="EO286" s="302"/>
      <c r="EP286" s="302"/>
      <c r="EQ286" s="302"/>
      <c r="ER286" s="302"/>
      <c r="ES286" s="302"/>
      <c r="ET286" s="302"/>
      <c r="EU286" s="302"/>
      <c r="EV286" s="302"/>
      <c r="EW286" s="302"/>
      <c r="EX286" s="302"/>
      <c r="EY286" s="302"/>
      <c r="EZ286" s="302"/>
      <c r="FA286" s="302"/>
      <c r="FB286" s="302"/>
      <c r="FC286" s="302"/>
      <c r="FD286" s="302"/>
      <c r="FE286" s="302"/>
      <c r="FF286" s="302"/>
      <c r="FG286" s="302"/>
      <c r="FH286" s="302"/>
      <c r="FI286" s="302"/>
      <c r="FJ286" s="302"/>
      <c r="FK286" s="302"/>
      <c r="FL286" s="302"/>
      <c r="FM286" s="302"/>
      <c r="FN286" s="302"/>
      <c r="FO286" s="302"/>
      <c r="FP286" s="302"/>
      <c r="FQ286" s="302"/>
      <c r="FR286" s="302"/>
      <c r="FS286" s="302"/>
      <c r="FT286" s="302"/>
      <c r="FU286" s="302"/>
      <c r="FV286" s="302"/>
      <c r="FW286" s="302"/>
      <c r="FX286" s="302"/>
      <c r="FY286" s="302"/>
      <c r="FZ286" s="302"/>
      <c r="GA286" s="302"/>
      <c r="GB286" s="302"/>
      <c r="GC286" s="302"/>
      <c r="GD286" s="302"/>
      <c r="GE286" s="302"/>
      <c r="GF286" s="302"/>
      <c r="GG286" s="302"/>
      <c r="GH286" s="302"/>
      <c r="GI286" s="302"/>
      <c r="GJ286" s="302"/>
      <c r="GK286" s="302"/>
      <c r="GL286" s="302"/>
      <c r="GM286" s="302"/>
      <c r="GN286" s="302"/>
      <c r="GO286" s="302"/>
      <c r="GP286" s="302"/>
      <c r="GQ286" s="302"/>
      <c r="GR286" s="302"/>
      <c r="GS286" s="302"/>
      <c r="GT286" s="302"/>
      <c r="GU286" s="302"/>
      <c r="GV286" s="302"/>
      <c r="GW286" s="302"/>
      <c r="GX286" s="302"/>
      <c r="GY286" s="302"/>
      <c r="GZ286" s="302"/>
      <c r="HA286" s="302"/>
      <c r="HB286" s="302"/>
      <c r="HC286" s="302"/>
      <c r="HD286" s="302"/>
      <c r="HE286" s="302"/>
      <c r="HF286" s="302"/>
      <c r="HG286" s="302"/>
      <c r="HH286" s="302"/>
      <c r="HI286" s="302"/>
      <c r="HJ286" s="302"/>
      <c r="HK286" s="302"/>
      <c r="HL286" s="302"/>
      <c r="HM286" s="302"/>
      <c r="HN286" s="302"/>
      <c r="HO286" s="302"/>
      <c r="HP286" s="302"/>
      <c r="HQ286" s="302"/>
      <c r="HR286" s="302"/>
      <c r="HS286" s="302"/>
      <c r="HT286" s="302"/>
      <c r="HU286" s="302"/>
      <c r="HV286" s="302"/>
      <c r="HW286" s="302"/>
      <c r="HX286" s="302"/>
      <c r="HY286" s="302"/>
      <c r="HZ286" s="302"/>
      <c r="IA286" s="302"/>
      <c r="IB286" s="302"/>
      <c r="IC286" s="302"/>
      <c r="ID286" s="302"/>
      <c r="IE286" s="302"/>
      <c r="IF286" s="302"/>
      <c r="IG286" s="302"/>
      <c r="IH286" s="302"/>
      <c r="II286" s="302"/>
      <c r="IJ286" s="302"/>
      <c r="IK286" s="302"/>
      <c r="IL286" s="302"/>
      <c r="IM286" s="302"/>
      <c r="IN286" s="302"/>
      <c r="IO286" s="302"/>
      <c r="IP286" s="302"/>
      <c r="IQ286" s="302"/>
      <c r="IR286" s="302"/>
      <c r="IS286" s="302"/>
      <c r="IT286" s="302"/>
      <c r="IU286" s="302"/>
      <c r="IV286" s="302"/>
      <c r="IW286" s="302"/>
      <c r="IX286" s="302"/>
      <c r="IY286" s="302"/>
      <c r="IZ286" s="302"/>
      <c r="JA286" s="302"/>
      <c r="JB286" s="302"/>
      <c r="JC286" s="302"/>
      <c r="JD286" s="302"/>
      <c r="JE286" s="302"/>
      <c r="JF286" s="302"/>
      <c r="JG286" s="302"/>
      <c r="JH286" s="302"/>
      <c r="JI286" s="302"/>
      <c r="JJ286" s="302"/>
      <c r="JK286" s="302"/>
      <c r="JL286" s="302"/>
      <c r="JM286" s="302"/>
      <c r="JN286" s="302"/>
      <c r="JO286" s="302"/>
      <c r="JP286" s="302"/>
      <c r="JQ286" s="302"/>
      <c r="JR286" s="302"/>
      <c r="JS286" s="302"/>
      <c r="JT286" s="302"/>
      <c r="JU286" s="302"/>
      <c r="JV286" s="302"/>
      <c r="JW286" s="302"/>
      <c r="JX286" s="302"/>
      <c r="JY286" s="302"/>
      <c r="JZ286" s="302"/>
      <c r="KA286" s="302"/>
      <c r="KB286" s="302"/>
      <c r="KC286" s="302"/>
      <c r="KD286" s="302"/>
      <c r="KE286" s="302"/>
      <c r="KF286" s="302"/>
      <c r="KG286" s="302"/>
      <c r="KH286" s="302"/>
      <c r="KI286" s="302"/>
      <c r="KJ286" s="302"/>
      <c r="KK286" s="302"/>
      <c r="KL286" s="302"/>
      <c r="KM286" s="302"/>
      <c r="KN286" s="302"/>
      <c r="KO286" s="302"/>
      <c r="KP286" s="302"/>
      <c r="KQ286" s="302"/>
      <c r="KR286" s="302"/>
      <c r="KS286" s="302"/>
      <c r="KT286" s="302"/>
      <c r="KU286" s="302"/>
      <c r="KV286" s="302"/>
      <c r="KW286" s="302"/>
      <c r="KX286" s="302"/>
      <c r="KY286" s="302"/>
      <c r="KZ286" s="302"/>
      <c r="LA286" s="302"/>
      <c r="LB286" s="302"/>
      <c r="LC286" s="302"/>
      <c r="LD286" s="302"/>
      <c r="LE286" s="302"/>
      <c r="LF286" s="302"/>
      <c r="LG286" s="302"/>
      <c r="LH286" s="302"/>
      <c r="LI286" s="302"/>
      <c r="LJ286" s="302"/>
      <c r="LK286" s="302"/>
      <c r="LL286" s="302"/>
      <c r="LM286" s="302"/>
      <c r="LN286" s="302"/>
      <c r="LO286" s="302"/>
      <c r="LP286" s="302"/>
      <c r="LQ286" s="302"/>
      <c r="LR286" s="302"/>
      <c r="LS286" s="302"/>
      <c r="LT286" s="302"/>
      <c r="LU286" s="302"/>
      <c r="LV286" s="302"/>
      <c r="LW286" s="302"/>
      <c r="LX286" s="302"/>
      <c r="LY286" s="302"/>
      <c r="LZ286" s="302"/>
      <c r="MA286" s="302"/>
      <c r="MB286" s="302"/>
      <c r="MC286" s="302"/>
      <c r="MD286" s="302"/>
      <c r="ME286" s="302"/>
      <c r="MF286" s="302"/>
      <c r="MG286" s="302"/>
      <c r="MH286" s="302"/>
      <c r="MI286" s="302"/>
      <c r="MJ286" s="302"/>
      <c r="MK286" s="302"/>
      <c r="ML286" s="302"/>
      <c r="MM286" s="302"/>
      <c r="MN286" s="302"/>
      <c r="MO286" s="302"/>
      <c r="MP286" s="302"/>
      <c r="MQ286" s="302"/>
      <c r="MR286" s="302"/>
      <c r="MS286" s="302"/>
      <c r="MT286" s="302"/>
      <c r="MU286" s="302"/>
      <c r="MV286" s="302"/>
      <c r="MW286" s="302"/>
      <c r="MX286" s="302"/>
      <c r="MY286" s="302"/>
      <c r="MZ286" s="302"/>
      <c r="NA286" s="302"/>
      <c r="NB286" s="302"/>
      <c r="NC286" s="302"/>
      <c r="ND286" s="302"/>
      <c r="NE286" s="302"/>
      <c r="NF286" s="302"/>
      <c r="NG286" s="302"/>
      <c r="NH286" s="302"/>
      <c r="NI286" s="302"/>
      <c r="NJ286" s="302"/>
      <c r="NK286" s="302"/>
      <c r="NL286" s="302"/>
      <c r="NM286" s="302"/>
      <c r="NN286" s="302"/>
      <c r="NO286" s="302"/>
      <c r="NP286" s="302"/>
      <c r="NQ286" s="302"/>
      <c r="NR286" s="302"/>
      <c r="NS286" s="302"/>
      <c r="NT286" s="302"/>
      <c r="NU286" s="302"/>
      <c r="NV286" s="302"/>
      <c r="NW286" s="302"/>
      <c r="NX286" s="302"/>
      <c r="NY286" s="302"/>
      <c r="NZ286" s="302"/>
      <c r="OA286" s="302"/>
      <c r="OB286" s="302"/>
      <c r="OC286" s="302"/>
      <c r="OD286" s="302"/>
      <c r="OE286" s="302"/>
      <c r="OF286" s="302"/>
      <c r="OG286" s="302"/>
      <c r="OH286" s="302"/>
      <c r="OI286" s="302"/>
      <c r="OJ286" s="302"/>
      <c r="OK286" s="302"/>
      <c r="OL286" s="302"/>
      <c r="OM286" s="302"/>
      <c r="ON286" s="302"/>
      <c r="OO286" s="302"/>
      <c r="OP286" s="302"/>
      <c r="OQ286" s="302"/>
      <c r="OR286" s="302"/>
      <c r="OS286" s="302"/>
      <c r="OT286" s="302"/>
      <c r="OU286" s="302"/>
      <c r="OV286" s="302"/>
      <c r="OW286" s="302"/>
      <c r="OX286" s="302"/>
      <c r="OY286" s="302"/>
      <c r="OZ286" s="302"/>
      <c r="PA286" s="302"/>
      <c r="PB286" s="302"/>
      <c r="PC286" s="302"/>
      <c r="PD286" s="302"/>
      <c r="PE286" s="302"/>
      <c r="PF286" s="302"/>
      <c r="PG286" s="302"/>
      <c r="PH286" s="302"/>
      <c r="PI286" s="302"/>
      <c r="PJ286" s="302"/>
      <c r="PK286" s="302"/>
      <c r="PL286" s="302"/>
      <c r="PM286" s="302"/>
      <c r="PN286" s="302"/>
      <c r="PO286" s="302"/>
      <c r="PP286" s="302"/>
      <c r="PQ286" s="302"/>
      <c r="PR286" s="302"/>
      <c r="PS286" s="302"/>
      <c r="PT286" s="302"/>
      <c r="PU286" s="302"/>
      <c r="PV286" s="302"/>
      <c r="PW286" s="302"/>
      <c r="PX286" s="302"/>
      <c r="PY286" s="302"/>
      <c r="PZ286" s="302"/>
      <c r="QA286" s="302"/>
      <c r="QB286" s="302"/>
      <c r="QC286" s="302"/>
      <c r="QD286" s="302"/>
      <c r="QE286" s="302"/>
      <c r="QF286" s="302"/>
      <c r="QG286" s="302"/>
      <c r="QH286" s="302"/>
      <c r="QI286" s="302"/>
      <c r="QJ286" s="302"/>
      <c r="QK286" s="302"/>
      <c r="QL286" s="302"/>
      <c r="QM286" s="302"/>
      <c r="QN286" s="302"/>
      <c r="QO286" s="302"/>
      <c r="QP286" s="302"/>
      <c r="QQ286" s="302"/>
      <c r="QR286" s="302"/>
      <c r="QS286" s="302"/>
      <c r="QT286" s="302"/>
      <c r="QU286" s="302"/>
      <c r="QV286" s="302"/>
      <c r="QW286" s="302"/>
      <c r="QX286" s="302"/>
      <c r="QY286" s="302"/>
      <c r="QZ286" s="302"/>
      <c r="RA286" s="302"/>
      <c r="RB286" s="302"/>
      <c r="RC286" s="302"/>
      <c r="RD286" s="302"/>
      <c r="RE286" s="302"/>
      <c r="RF286" s="302"/>
      <c r="RG286" s="302"/>
      <c r="RH286" s="302"/>
      <c r="RI286" s="302"/>
      <c r="RJ286" s="302"/>
      <c r="RK286" s="302"/>
      <c r="RL286" s="302"/>
      <c r="RM286" s="302"/>
      <c r="RN286" s="302"/>
      <c r="RO286" s="302"/>
      <c r="RP286" s="302"/>
      <c r="RQ286" s="302"/>
      <c r="RR286" s="302"/>
      <c r="RS286" s="302"/>
      <c r="RT286" s="302"/>
      <c r="RU286" s="302"/>
      <c r="RV286" s="302"/>
      <c r="RW286" s="302"/>
      <c r="RX286" s="302"/>
      <c r="RY286" s="302"/>
      <c r="RZ286" s="302"/>
      <c r="SA286" s="302"/>
      <c r="SB286" s="302"/>
      <c r="SC286" s="302"/>
      <c r="SD286" s="302"/>
      <c r="SE286" s="302"/>
      <c r="SF286" s="302"/>
      <c r="SG286" s="302"/>
      <c r="SH286" s="302"/>
      <c r="SI286" s="302"/>
      <c r="SJ286" s="302"/>
      <c r="SK286" s="302"/>
      <c r="SL286" s="302"/>
      <c r="SM286" s="302"/>
      <c r="SN286" s="302"/>
      <c r="SO286" s="302"/>
      <c r="SP286" s="302"/>
      <c r="SQ286" s="302"/>
      <c r="SR286" s="302"/>
      <c r="SS286" s="302"/>
      <c r="ST286" s="302"/>
      <c r="SU286" s="302"/>
      <c r="SV286" s="302"/>
      <c r="SW286" s="302"/>
      <c r="SX286" s="302"/>
      <c r="SY286" s="302"/>
      <c r="SZ286" s="302"/>
      <c r="TA286" s="302"/>
      <c r="TB286" s="302"/>
      <c r="TC286" s="302"/>
      <c r="TD286" s="302"/>
      <c r="TE286" s="302"/>
      <c r="TF286" s="302"/>
      <c r="TG286" s="302"/>
      <c r="TH286" s="302"/>
      <c r="TI286" s="302"/>
      <c r="TJ286" s="302"/>
      <c r="TK286" s="302"/>
      <c r="TL286" s="302"/>
      <c r="TM286" s="302"/>
      <c r="TN286" s="302"/>
      <c r="TO286" s="302"/>
      <c r="TP286" s="302"/>
      <c r="TQ286" s="302"/>
      <c r="TR286" s="302"/>
      <c r="TS286" s="302"/>
      <c r="TT286" s="302"/>
      <c r="TU286" s="302"/>
      <c r="TV286" s="302"/>
      <c r="TW286" s="302"/>
      <c r="TX286" s="302"/>
      <c r="TY286" s="302"/>
      <c r="TZ286" s="302"/>
      <c r="UA286" s="302"/>
      <c r="UB286" s="302"/>
      <c r="UC286" s="302"/>
      <c r="UD286" s="302"/>
      <c r="UE286" s="302"/>
      <c r="UF286" s="302"/>
      <c r="UG286" s="302"/>
      <c r="UH286" s="302"/>
      <c r="UI286" s="302"/>
      <c r="UJ286" s="302"/>
      <c r="UK286" s="302"/>
      <c r="UL286" s="302"/>
      <c r="UM286" s="302"/>
      <c r="UN286" s="302"/>
      <c r="UO286" s="302"/>
      <c r="UP286" s="302"/>
      <c r="UQ286" s="302"/>
      <c r="UR286" s="302"/>
      <c r="US286" s="302"/>
      <c r="UT286" s="302"/>
      <c r="UU286" s="302"/>
      <c r="UV286" s="302"/>
      <c r="UW286" s="302"/>
      <c r="UX286" s="302"/>
      <c r="UY286" s="302"/>
      <c r="UZ286" s="302"/>
      <c r="VA286" s="302"/>
      <c r="VB286" s="302"/>
      <c r="VC286" s="302"/>
      <c r="VD286" s="302"/>
      <c r="VE286" s="302"/>
      <c r="VF286" s="302"/>
      <c r="VG286" s="302"/>
      <c r="VH286" s="302"/>
      <c r="VI286" s="302"/>
      <c r="VJ286" s="302"/>
      <c r="VK286" s="302"/>
      <c r="VL286" s="302"/>
      <c r="VM286" s="302"/>
      <c r="VN286" s="302"/>
      <c r="VO286" s="302"/>
      <c r="VP286" s="302"/>
      <c r="VQ286" s="302"/>
      <c r="VR286" s="302"/>
      <c r="VS286" s="302"/>
      <c r="VT286" s="302"/>
      <c r="VU286" s="302"/>
      <c r="VV286" s="302"/>
      <c r="VW286" s="302"/>
      <c r="VX286" s="302"/>
      <c r="VY286" s="302"/>
      <c r="VZ286" s="302"/>
      <c r="WA286" s="302"/>
      <c r="WB286" s="302"/>
      <c r="WC286" s="302"/>
      <c r="WD286" s="302"/>
      <c r="WE286" s="302"/>
      <c r="WF286" s="302"/>
      <c r="WG286" s="302"/>
      <c r="WH286" s="302"/>
      <c r="WI286" s="302"/>
      <c r="WJ286" s="302"/>
      <c r="WK286" s="302"/>
      <c r="WL286" s="302"/>
      <c r="WM286" s="302"/>
      <c r="WN286" s="302"/>
      <c r="WO286" s="302"/>
      <c r="WP286" s="302"/>
      <c r="WQ286" s="302"/>
      <c r="WR286" s="302"/>
      <c r="WS286" s="302"/>
      <c r="WT286" s="302"/>
      <c r="WU286" s="302"/>
      <c r="WV286" s="302"/>
      <c r="WW286" s="302"/>
      <c r="WX286" s="302"/>
      <c r="WY286" s="302"/>
      <c r="WZ286" s="302"/>
      <c r="XA286" s="302"/>
      <c r="XB286" s="302"/>
      <c r="XC286" s="302"/>
      <c r="XD286" s="302"/>
      <c r="XE286" s="302"/>
      <c r="XF286" s="302"/>
      <c r="XG286" s="302"/>
      <c r="XH286" s="302"/>
      <c r="XI286" s="302"/>
      <c r="XJ286" s="302"/>
      <c r="XK286" s="302"/>
      <c r="XL286" s="302"/>
      <c r="XM286" s="302"/>
      <c r="XN286" s="302"/>
      <c r="XO286" s="302"/>
      <c r="XP286" s="302"/>
      <c r="XQ286" s="302"/>
      <c r="XR286" s="302"/>
      <c r="XS286" s="302"/>
      <c r="XT286" s="302"/>
      <c r="XU286" s="302"/>
      <c r="XV286" s="302"/>
      <c r="XW286" s="302"/>
      <c r="XX286" s="302"/>
      <c r="XY286" s="302"/>
      <c r="XZ286" s="302"/>
      <c r="YA286" s="302"/>
      <c r="YB286" s="302"/>
      <c r="YC286" s="302"/>
      <c r="YD286" s="302"/>
      <c r="YE286" s="302"/>
      <c r="YF286" s="302"/>
      <c r="YG286" s="302"/>
      <c r="YH286" s="302"/>
      <c r="YI286" s="302"/>
      <c r="YJ286" s="302"/>
      <c r="YK286" s="302"/>
      <c r="YL286" s="302"/>
      <c r="YM286" s="302"/>
      <c r="YN286" s="302"/>
      <c r="YO286" s="302"/>
      <c r="YP286" s="302"/>
      <c r="YQ286" s="302"/>
      <c r="YR286" s="302"/>
      <c r="YS286" s="302"/>
      <c r="YT286" s="302"/>
      <c r="YU286" s="302"/>
      <c r="YV286" s="302"/>
      <c r="YW286" s="302"/>
      <c r="YX286" s="302"/>
      <c r="YY286" s="302"/>
      <c r="YZ286" s="302"/>
      <c r="ZA286" s="302"/>
      <c r="ZB286" s="302"/>
      <c r="ZC286" s="302"/>
      <c r="ZD286" s="302"/>
      <c r="ZE286" s="302"/>
      <c r="ZF286" s="302"/>
      <c r="ZG286" s="302"/>
      <c r="ZH286" s="302"/>
      <c r="ZI286" s="302"/>
      <c r="ZJ286" s="302"/>
      <c r="ZK286" s="302"/>
      <c r="ZL286" s="302"/>
      <c r="ZM286" s="302"/>
      <c r="ZN286" s="302"/>
      <c r="ZO286" s="302"/>
      <c r="ZP286" s="302"/>
      <c r="ZQ286" s="302"/>
      <c r="ZR286" s="302"/>
      <c r="ZS286" s="302"/>
      <c r="ZT286" s="302"/>
      <c r="ZU286" s="302"/>
      <c r="ZV286" s="302"/>
      <c r="ZW286" s="302"/>
      <c r="ZX286" s="302"/>
      <c r="ZY286" s="302"/>
      <c r="ZZ286" s="302"/>
      <c r="AAA286" s="302"/>
      <c r="AAB286" s="302"/>
      <c r="AAC286" s="302"/>
      <c r="AAD286" s="302"/>
      <c r="AAE286" s="302"/>
      <c r="AAF286" s="302"/>
      <c r="AAG286" s="302"/>
      <c r="AAH286" s="302"/>
      <c r="AAI286" s="302"/>
      <c r="AAJ286" s="302"/>
      <c r="AAK286" s="302"/>
      <c r="AAL286" s="302"/>
      <c r="AAM286" s="302"/>
      <c r="AAN286" s="302"/>
      <c r="AAO286" s="302"/>
      <c r="AAP286" s="302"/>
      <c r="AAQ286" s="302"/>
      <c r="AAR286" s="302"/>
      <c r="AAS286" s="302"/>
      <c r="AAT286" s="302"/>
      <c r="AAU286" s="302"/>
      <c r="AAV286" s="302"/>
      <c r="AAW286" s="302"/>
      <c r="AAX286" s="302"/>
      <c r="AAY286" s="302"/>
      <c r="AAZ286" s="302"/>
      <c r="ABA286" s="302"/>
      <c r="ABB286" s="302"/>
      <c r="ABC286" s="302"/>
      <c r="ABD286" s="302"/>
      <c r="ABE286" s="302"/>
      <c r="ABF286" s="302"/>
      <c r="ABG286" s="302"/>
      <c r="ABH286" s="302"/>
      <c r="ABI286" s="302"/>
      <c r="ABJ286" s="302"/>
      <c r="ABK286" s="302"/>
      <c r="ABL286" s="302"/>
      <c r="ABM286" s="302"/>
      <c r="ABN286" s="302"/>
      <c r="ABO286" s="302"/>
      <c r="ABP286" s="302"/>
      <c r="ABQ286" s="302"/>
      <c r="ABR286" s="302"/>
      <c r="ABS286" s="302"/>
      <c r="ABT286" s="302"/>
      <c r="ABU286" s="302"/>
      <c r="ABV286" s="302"/>
      <c r="ABW286" s="302"/>
      <c r="ABX286" s="302"/>
      <c r="ABY286" s="302"/>
      <c r="ABZ286" s="302"/>
      <c r="ACA286" s="302"/>
      <c r="ACB286" s="302"/>
      <c r="ACC286" s="302"/>
      <c r="ACD286" s="302"/>
      <c r="ACE286" s="302"/>
      <c r="ACF286" s="302"/>
      <c r="ACG286" s="302"/>
      <c r="ACH286" s="302"/>
      <c r="ACI286" s="302"/>
      <c r="ACJ286" s="302"/>
      <c r="ACK286" s="302"/>
      <c r="ACL286" s="302"/>
      <c r="ACM286" s="302"/>
      <c r="ACN286" s="302"/>
      <c r="ACO286" s="302"/>
      <c r="ACP286" s="302"/>
      <c r="ACQ286" s="302"/>
      <c r="ACR286" s="302"/>
      <c r="ACS286" s="302"/>
      <c r="ACT286" s="302"/>
      <c r="ACU286" s="302"/>
      <c r="ACV286" s="302"/>
      <c r="ACW286" s="302"/>
      <c r="ACX286" s="302"/>
      <c r="ACY286" s="302"/>
      <c r="ACZ286" s="302"/>
      <c r="ADA286" s="302"/>
      <c r="ADB286" s="302"/>
      <c r="ADC286" s="302"/>
      <c r="ADD286" s="302"/>
      <c r="ADE286" s="302"/>
      <c r="ADF286" s="302"/>
      <c r="ADG286" s="302"/>
      <c r="ADH286" s="302"/>
      <c r="ADI286" s="302"/>
      <c r="ADJ286" s="302"/>
      <c r="ADK286" s="302"/>
      <c r="ADL286" s="302"/>
      <c r="ADM286" s="302"/>
      <c r="ADN286" s="302"/>
      <c r="ADO286" s="302"/>
      <c r="ADP286" s="302"/>
      <c r="ADQ286" s="302"/>
      <c r="ADR286" s="302"/>
      <c r="ADS286" s="302"/>
      <c r="ADT286" s="302"/>
      <c r="ADU286" s="302"/>
      <c r="ADV286" s="302"/>
      <c r="ADW286" s="302"/>
      <c r="ADX286" s="302"/>
      <c r="ADY286" s="302"/>
      <c r="ADZ286" s="302"/>
      <c r="AEA286" s="302"/>
      <c r="AEB286" s="302"/>
      <c r="AEC286" s="302"/>
      <c r="AED286" s="302"/>
      <c r="AEE286" s="302"/>
      <c r="AEF286" s="302"/>
      <c r="AEG286" s="302"/>
      <c r="AEH286" s="302"/>
      <c r="AEI286" s="302"/>
      <c r="AEJ286" s="302"/>
      <c r="AEK286" s="302"/>
      <c r="AEL286" s="302"/>
      <c r="AEM286" s="302"/>
      <c r="AEN286" s="302"/>
      <c r="AEO286" s="302"/>
      <c r="AEP286" s="302"/>
      <c r="AEQ286" s="302"/>
      <c r="AER286" s="302"/>
      <c r="AES286" s="302"/>
      <c r="AET286" s="302"/>
      <c r="AEU286" s="302"/>
      <c r="AEV286" s="302"/>
      <c r="AEW286" s="302"/>
      <c r="AEX286" s="302"/>
      <c r="AEY286" s="302"/>
      <c r="AEZ286" s="302"/>
      <c r="AFA286" s="302"/>
      <c r="AFB286" s="302"/>
      <c r="AFC286" s="302"/>
      <c r="AFD286" s="302"/>
      <c r="AFE286" s="302"/>
      <c r="AFF286" s="302"/>
      <c r="AFG286" s="302"/>
      <c r="AFH286" s="302"/>
      <c r="AFI286" s="302"/>
      <c r="AFJ286" s="302"/>
      <c r="AFK286" s="302"/>
      <c r="AFL286" s="302"/>
      <c r="AFM286" s="302"/>
      <c r="AFN286" s="302"/>
      <c r="AFO286" s="302"/>
      <c r="AFP286" s="302"/>
      <c r="AFQ286" s="302"/>
      <c r="AFR286" s="302"/>
      <c r="AFS286" s="302"/>
      <c r="AFT286" s="302"/>
      <c r="AFU286" s="302"/>
      <c r="AFV286" s="302"/>
      <c r="AFW286" s="302"/>
      <c r="AFX286" s="302"/>
      <c r="AFY286" s="302"/>
      <c r="AFZ286" s="302"/>
      <c r="AGA286" s="302"/>
      <c r="AGB286" s="302"/>
      <c r="AGC286" s="302"/>
      <c r="AGD286" s="302"/>
      <c r="AGE286" s="302"/>
      <c r="AGF286" s="302"/>
      <c r="AGG286" s="302"/>
      <c r="AGH286" s="302"/>
      <c r="AGI286" s="302"/>
      <c r="AGJ286" s="302"/>
      <c r="AGK286" s="302"/>
      <c r="AGL286" s="302"/>
      <c r="AGM286" s="302"/>
      <c r="AGN286" s="302"/>
      <c r="AGO286" s="302"/>
      <c r="AGP286" s="302"/>
      <c r="AGQ286" s="302"/>
      <c r="AGR286" s="302"/>
      <c r="AGS286" s="302"/>
      <c r="AGT286" s="302"/>
      <c r="AGU286" s="302"/>
      <c r="AGV286" s="302"/>
      <c r="AGW286" s="302"/>
      <c r="AGX286" s="302"/>
      <c r="AGY286" s="302"/>
      <c r="AGZ286" s="302"/>
      <c r="AHA286" s="302"/>
      <c r="AHB286" s="302"/>
      <c r="AHC286" s="302"/>
      <c r="AHD286" s="302"/>
      <c r="AHE286" s="302"/>
      <c r="AHF286" s="302"/>
      <c r="AHG286" s="302"/>
      <c r="AHH286" s="302"/>
      <c r="AHI286" s="302"/>
      <c r="AHJ286" s="302"/>
      <c r="AHK286" s="302"/>
      <c r="AHL286" s="302"/>
      <c r="AHM286" s="302"/>
      <c r="AHN286" s="302"/>
      <c r="AHO286" s="302"/>
      <c r="AHP286" s="302"/>
      <c r="AHQ286" s="302"/>
      <c r="AHR286" s="302"/>
      <c r="AHS286" s="302"/>
      <c r="AHT286" s="302"/>
      <c r="AHU286" s="302"/>
      <c r="AHV286" s="302"/>
      <c r="AHW286" s="302"/>
      <c r="AHX286" s="302"/>
      <c r="AHY286" s="302"/>
      <c r="AHZ286" s="302"/>
      <c r="AIA286" s="302"/>
      <c r="AIB286" s="302"/>
      <c r="AIC286" s="302"/>
      <c r="AID286" s="302"/>
      <c r="AIE286" s="302"/>
      <c r="AIF286" s="302"/>
      <c r="AIG286" s="302"/>
      <c r="AIH286" s="302"/>
      <c r="AII286" s="302"/>
      <c r="AIJ286" s="302"/>
      <c r="AIK286" s="302"/>
      <c r="AIL286" s="302"/>
      <c r="AIM286" s="302"/>
      <c r="AIN286" s="302"/>
      <c r="AIO286" s="302"/>
      <c r="AIP286" s="302"/>
      <c r="AIQ286" s="302"/>
      <c r="AIR286" s="302"/>
      <c r="AIS286" s="302"/>
      <c r="AIT286" s="302"/>
      <c r="AIU286" s="302"/>
      <c r="AIV286" s="302"/>
      <c r="AIW286" s="302"/>
      <c r="AIX286" s="302"/>
      <c r="AIY286" s="302"/>
      <c r="AIZ286" s="302"/>
      <c r="AJA286" s="302"/>
      <c r="AJB286" s="302"/>
      <c r="AJC286" s="302"/>
      <c r="AJD286" s="302"/>
      <c r="AJE286" s="302"/>
      <c r="AJF286" s="302"/>
      <c r="AJG286" s="302"/>
      <c r="AJH286" s="302"/>
      <c r="AJI286" s="302"/>
      <c r="AJJ286" s="302"/>
      <c r="AJK286" s="302"/>
      <c r="AJL286" s="302"/>
      <c r="AJM286" s="302"/>
      <c r="AJN286" s="302"/>
      <c r="AJO286" s="302"/>
      <c r="AJP286" s="302"/>
      <c r="AJQ286" s="302"/>
      <c r="AJR286" s="302"/>
      <c r="AJS286" s="302"/>
      <c r="AJT286" s="302"/>
      <c r="AJU286" s="302"/>
      <c r="AJV286" s="302"/>
      <c r="AJW286" s="302"/>
      <c r="AJX286" s="302"/>
      <c r="AJY286" s="302"/>
      <c r="AJZ286" s="302"/>
      <c r="AKA286" s="302"/>
      <c r="AKB286" s="302"/>
      <c r="AKC286" s="302"/>
      <c r="AKD286" s="302"/>
      <c r="AKE286" s="302"/>
      <c r="AKF286" s="302"/>
      <c r="AKG286" s="302"/>
      <c r="AKH286" s="302"/>
      <c r="AKI286" s="302"/>
      <c r="AKJ286" s="302"/>
      <c r="AKK286" s="302"/>
      <c r="AKL286" s="302"/>
      <c r="AKM286" s="302"/>
      <c r="AKN286" s="302"/>
      <c r="AKO286" s="302"/>
      <c r="AKP286" s="302"/>
      <c r="AKQ286" s="302"/>
      <c r="AKR286" s="302"/>
      <c r="AKS286" s="302"/>
      <c r="AKT286" s="302"/>
      <c r="AKU286" s="302"/>
      <c r="AKV286" s="302"/>
      <c r="AKW286" s="302"/>
      <c r="AKX286" s="302"/>
      <c r="AKY286" s="302"/>
      <c r="AKZ286" s="302"/>
      <c r="ALA286" s="302"/>
      <c r="ALB286" s="302"/>
      <c r="ALC286" s="302"/>
      <c r="ALD286" s="302"/>
      <c r="ALE286" s="302"/>
      <c r="ALF286" s="302"/>
      <c r="ALG286" s="302"/>
      <c r="ALH286" s="302"/>
      <c r="ALI286" s="302"/>
      <c r="ALJ286" s="302"/>
      <c r="ALK286" s="302"/>
      <c r="ALL286" s="302"/>
      <c r="ALM286" s="302"/>
      <c r="ALN286" s="302"/>
      <c r="ALO286" s="302"/>
      <c r="ALP286" s="302"/>
      <c r="ALQ286" s="302"/>
      <c r="ALR286" s="302"/>
      <c r="ALS286" s="302"/>
      <c r="ALT286" s="302"/>
      <c r="ALU286" s="302"/>
      <c r="ALV286" s="302"/>
      <c r="ALW286" s="302"/>
      <c r="ALX286" s="302"/>
      <c r="ALY286" s="302"/>
      <c r="ALZ286" s="302"/>
      <c r="AMA286" s="302"/>
      <c r="AMB286" s="302"/>
      <c r="AMC286" s="302"/>
      <c r="AMD286" s="302"/>
      <c r="AME286" s="302"/>
      <c r="AMF286" s="302"/>
      <c r="AMG286" s="302"/>
      <c r="AMH286" s="302"/>
      <c r="AMI286" s="302"/>
    </row>
    <row r="287" spans="1:1023" hidden="1">
      <c r="A287" s="302"/>
      <c r="B287" s="442">
        <v>14302</v>
      </c>
      <c r="C287" s="430">
        <v>0.08</v>
      </c>
      <c r="D287" s="370" t="s">
        <v>191</v>
      </c>
      <c r="E287" s="433">
        <v>3100000</v>
      </c>
      <c r="F287" s="500">
        <v>0.02</v>
      </c>
      <c r="G287" s="364">
        <f t="shared" si="16"/>
        <v>62000</v>
      </c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  <c r="AD287" s="302"/>
      <c r="AE287" s="302"/>
      <c r="AF287" s="302"/>
      <c r="AG287" s="302"/>
      <c r="AH287" s="302"/>
      <c r="AI287" s="302"/>
      <c r="AJ287" s="302"/>
      <c r="AK287" s="302"/>
      <c r="AL287" s="302"/>
      <c r="AM287" s="302"/>
      <c r="AN287" s="302"/>
      <c r="AO287" s="302"/>
      <c r="AP287" s="302"/>
      <c r="AQ287" s="302"/>
      <c r="AR287" s="302"/>
      <c r="AS287" s="302"/>
      <c r="AT287" s="302"/>
      <c r="AU287" s="302"/>
      <c r="AV287" s="302"/>
      <c r="AW287" s="302"/>
      <c r="AX287" s="302"/>
      <c r="AY287" s="302"/>
      <c r="AZ287" s="302"/>
      <c r="BA287" s="302"/>
      <c r="BB287" s="302"/>
      <c r="BC287" s="302"/>
      <c r="BD287" s="302"/>
      <c r="BE287" s="302"/>
      <c r="BF287" s="302"/>
      <c r="BG287" s="302"/>
      <c r="BH287" s="302"/>
      <c r="BI287" s="302"/>
      <c r="BJ287" s="302"/>
      <c r="BK287" s="302"/>
      <c r="BL287" s="302"/>
      <c r="BM287" s="302"/>
      <c r="BN287" s="302"/>
      <c r="BO287" s="302"/>
      <c r="BP287" s="302"/>
      <c r="BQ287" s="302"/>
      <c r="BR287" s="302"/>
      <c r="BS287" s="302"/>
      <c r="BT287" s="302"/>
      <c r="BU287" s="302"/>
      <c r="BV287" s="302"/>
      <c r="BW287" s="302"/>
      <c r="BX287" s="302"/>
      <c r="BY287" s="302"/>
      <c r="BZ287" s="302"/>
      <c r="CA287" s="302"/>
      <c r="CB287" s="302"/>
      <c r="CC287" s="302"/>
      <c r="CD287" s="302"/>
      <c r="CE287" s="302"/>
      <c r="CF287" s="302"/>
      <c r="CG287" s="302"/>
      <c r="CH287" s="302"/>
      <c r="CI287" s="302"/>
      <c r="CJ287" s="302"/>
      <c r="CK287" s="302"/>
      <c r="CL287" s="302"/>
      <c r="CM287" s="302"/>
      <c r="CN287" s="302"/>
      <c r="CO287" s="302"/>
      <c r="CP287" s="302"/>
      <c r="CQ287" s="302"/>
      <c r="CR287" s="302"/>
      <c r="CS287" s="302"/>
      <c r="CT287" s="302"/>
      <c r="CU287" s="302"/>
      <c r="CV287" s="302"/>
      <c r="CW287" s="302"/>
      <c r="CX287" s="302"/>
      <c r="CY287" s="302"/>
      <c r="CZ287" s="302"/>
      <c r="DA287" s="302"/>
      <c r="DB287" s="302"/>
      <c r="DC287" s="302"/>
      <c r="DD287" s="302"/>
      <c r="DE287" s="302"/>
      <c r="DF287" s="302"/>
      <c r="DG287" s="302"/>
      <c r="DH287" s="302"/>
      <c r="DI287" s="302"/>
      <c r="DJ287" s="302"/>
      <c r="DK287" s="302"/>
      <c r="DL287" s="302"/>
      <c r="DM287" s="302"/>
      <c r="DN287" s="302"/>
      <c r="DO287" s="302"/>
      <c r="DP287" s="302"/>
      <c r="DQ287" s="302"/>
      <c r="DR287" s="302"/>
      <c r="DS287" s="302"/>
      <c r="DT287" s="302"/>
      <c r="DU287" s="302"/>
      <c r="DV287" s="302"/>
      <c r="DW287" s="302"/>
      <c r="DX287" s="302"/>
      <c r="DY287" s="302"/>
      <c r="DZ287" s="302"/>
      <c r="EA287" s="302"/>
      <c r="EB287" s="302"/>
      <c r="EC287" s="302"/>
      <c r="ED287" s="302"/>
      <c r="EE287" s="302"/>
      <c r="EF287" s="302"/>
      <c r="EG287" s="302"/>
      <c r="EH287" s="302"/>
      <c r="EI287" s="302"/>
      <c r="EJ287" s="302"/>
      <c r="EK287" s="302"/>
      <c r="EL287" s="302"/>
      <c r="EM287" s="302"/>
      <c r="EN287" s="302"/>
      <c r="EO287" s="302"/>
      <c r="EP287" s="302"/>
      <c r="EQ287" s="302"/>
      <c r="ER287" s="302"/>
      <c r="ES287" s="302"/>
      <c r="ET287" s="302"/>
      <c r="EU287" s="302"/>
      <c r="EV287" s="302"/>
      <c r="EW287" s="302"/>
      <c r="EX287" s="302"/>
      <c r="EY287" s="302"/>
      <c r="EZ287" s="302"/>
      <c r="FA287" s="302"/>
      <c r="FB287" s="302"/>
      <c r="FC287" s="302"/>
      <c r="FD287" s="302"/>
      <c r="FE287" s="302"/>
      <c r="FF287" s="302"/>
      <c r="FG287" s="302"/>
      <c r="FH287" s="302"/>
      <c r="FI287" s="302"/>
      <c r="FJ287" s="302"/>
      <c r="FK287" s="302"/>
      <c r="FL287" s="302"/>
      <c r="FM287" s="302"/>
      <c r="FN287" s="302"/>
      <c r="FO287" s="302"/>
      <c r="FP287" s="302"/>
      <c r="FQ287" s="302"/>
      <c r="FR287" s="302"/>
      <c r="FS287" s="302"/>
      <c r="FT287" s="302"/>
      <c r="FU287" s="302"/>
      <c r="FV287" s="302"/>
      <c r="FW287" s="302"/>
      <c r="FX287" s="302"/>
      <c r="FY287" s="302"/>
      <c r="FZ287" s="302"/>
      <c r="GA287" s="302"/>
      <c r="GB287" s="302"/>
      <c r="GC287" s="302"/>
      <c r="GD287" s="302"/>
      <c r="GE287" s="302"/>
      <c r="GF287" s="302"/>
      <c r="GG287" s="302"/>
      <c r="GH287" s="302"/>
      <c r="GI287" s="302"/>
      <c r="GJ287" s="302"/>
      <c r="GK287" s="302"/>
      <c r="GL287" s="302"/>
      <c r="GM287" s="302"/>
      <c r="GN287" s="302"/>
      <c r="GO287" s="302"/>
      <c r="GP287" s="302"/>
      <c r="GQ287" s="302"/>
      <c r="GR287" s="302"/>
      <c r="GS287" s="302"/>
      <c r="GT287" s="302"/>
      <c r="GU287" s="302"/>
      <c r="GV287" s="302"/>
      <c r="GW287" s="302"/>
      <c r="GX287" s="302"/>
      <c r="GY287" s="302"/>
      <c r="GZ287" s="302"/>
      <c r="HA287" s="302"/>
      <c r="HB287" s="302"/>
      <c r="HC287" s="302"/>
      <c r="HD287" s="302"/>
      <c r="HE287" s="302"/>
      <c r="HF287" s="302"/>
      <c r="HG287" s="302"/>
      <c r="HH287" s="302"/>
      <c r="HI287" s="302"/>
      <c r="HJ287" s="302"/>
      <c r="HK287" s="302"/>
      <c r="HL287" s="302"/>
      <c r="HM287" s="302"/>
      <c r="HN287" s="302"/>
      <c r="HO287" s="302"/>
      <c r="HP287" s="302"/>
      <c r="HQ287" s="302"/>
      <c r="HR287" s="302"/>
      <c r="HS287" s="302"/>
      <c r="HT287" s="302"/>
      <c r="HU287" s="302"/>
      <c r="HV287" s="302"/>
      <c r="HW287" s="302"/>
      <c r="HX287" s="302"/>
      <c r="HY287" s="302"/>
      <c r="HZ287" s="302"/>
      <c r="IA287" s="302"/>
      <c r="IB287" s="302"/>
      <c r="IC287" s="302"/>
      <c r="ID287" s="302"/>
      <c r="IE287" s="302"/>
      <c r="IF287" s="302"/>
      <c r="IG287" s="302"/>
      <c r="IH287" s="302"/>
      <c r="II287" s="302"/>
      <c r="IJ287" s="302"/>
      <c r="IK287" s="302"/>
      <c r="IL287" s="302"/>
      <c r="IM287" s="302"/>
      <c r="IN287" s="302"/>
      <c r="IO287" s="302"/>
      <c r="IP287" s="302"/>
      <c r="IQ287" s="302"/>
      <c r="IR287" s="302"/>
      <c r="IS287" s="302"/>
      <c r="IT287" s="302"/>
      <c r="IU287" s="302"/>
      <c r="IV287" s="302"/>
      <c r="IW287" s="302"/>
      <c r="IX287" s="302"/>
      <c r="IY287" s="302"/>
      <c r="IZ287" s="302"/>
      <c r="JA287" s="302"/>
      <c r="JB287" s="302"/>
      <c r="JC287" s="302"/>
      <c r="JD287" s="302"/>
      <c r="JE287" s="302"/>
      <c r="JF287" s="302"/>
      <c r="JG287" s="302"/>
      <c r="JH287" s="302"/>
      <c r="JI287" s="302"/>
      <c r="JJ287" s="302"/>
      <c r="JK287" s="302"/>
      <c r="JL287" s="302"/>
      <c r="JM287" s="302"/>
      <c r="JN287" s="302"/>
      <c r="JO287" s="302"/>
      <c r="JP287" s="302"/>
      <c r="JQ287" s="302"/>
      <c r="JR287" s="302"/>
      <c r="JS287" s="302"/>
      <c r="JT287" s="302"/>
      <c r="JU287" s="302"/>
      <c r="JV287" s="302"/>
      <c r="JW287" s="302"/>
      <c r="JX287" s="302"/>
      <c r="JY287" s="302"/>
      <c r="JZ287" s="302"/>
      <c r="KA287" s="302"/>
      <c r="KB287" s="302"/>
      <c r="KC287" s="302"/>
      <c r="KD287" s="302"/>
      <c r="KE287" s="302"/>
      <c r="KF287" s="302"/>
      <c r="KG287" s="302"/>
      <c r="KH287" s="302"/>
      <c r="KI287" s="302"/>
      <c r="KJ287" s="302"/>
      <c r="KK287" s="302"/>
      <c r="KL287" s="302"/>
      <c r="KM287" s="302"/>
      <c r="KN287" s="302"/>
      <c r="KO287" s="302"/>
      <c r="KP287" s="302"/>
      <c r="KQ287" s="302"/>
      <c r="KR287" s="302"/>
      <c r="KS287" s="302"/>
      <c r="KT287" s="302"/>
      <c r="KU287" s="302"/>
      <c r="KV287" s="302"/>
      <c r="KW287" s="302"/>
      <c r="KX287" s="302"/>
      <c r="KY287" s="302"/>
      <c r="KZ287" s="302"/>
      <c r="LA287" s="302"/>
      <c r="LB287" s="302"/>
      <c r="LC287" s="302"/>
      <c r="LD287" s="302"/>
      <c r="LE287" s="302"/>
      <c r="LF287" s="302"/>
      <c r="LG287" s="302"/>
      <c r="LH287" s="302"/>
      <c r="LI287" s="302"/>
      <c r="LJ287" s="302"/>
      <c r="LK287" s="302"/>
      <c r="LL287" s="302"/>
      <c r="LM287" s="302"/>
      <c r="LN287" s="302"/>
      <c r="LO287" s="302"/>
      <c r="LP287" s="302"/>
      <c r="LQ287" s="302"/>
      <c r="LR287" s="302"/>
      <c r="LS287" s="302"/>
      <c r="LT287" s="302"/>
      <c r="LU287" s="302"/>
      <c r="LV287" s="302"/>
      <c r="LW287" s="302"/>
      <c r="LX287" s="302"/>
      <c r="LY287" s="302"/>
      <c r="LZ287" s="302"/>
      <c r="MA287" s="302"/>
      <c r="MB287" s="302"/>
      <c r="MC287" s="302"/>
      <c r="MD287" s="302"/>
      <c r="ME287" s="302"/>
      <c r="MF287" s="302"/>
      <c r="MG287" s="302"/>
      <c r="MH287" s="302"/>
      <c r="MI287" s="302"/>
      <c r="MJ287" s="302"/>
      <c r="MK287" s="302"/>
      <c r="ML287" s="302"/>
      <c r="MM287" s="302"/>
      <c r="MN287" s="302"/>
      <c r="MO287" s="302"/>
      <c r="MP287" s="302"/>
      <c r="MQ287" s="302"/>
      <c r="MR287" s="302"/>
      <c r="MS287" s="302"/>
      <c r="MT287" s="302"/>
      <c r="MU287" s="302"/>
      <c r="MV287" s="302"/>
      <c r="MW287" s="302"/>
      <c r="MX287" s="302"/>
      <c r="MY287" s="302"/>
      <c r="MZ287" s="302"/>
      <c r="NA287" s="302"/>
      <c r="NB287" s="302"/>
      <c r="NC287" s="302"/>
      <c r="ND287" s="302"/>
      <c r="NE287" s="302"/>
      <c r="NF287" s="302"/>
      <c r="NG287" s="302"/>
      <c r="NH287" s="302"/>
      <c r="NI287" s="302"/>
      <c r="NJ287" s="302"/>
      <c r="NK287" s="302"/>
      <c r="NL287" s="302"/>
      <c r="NM287" s="302"/>
      <c r="NN287" s="302"/>
      <c r="NO287" s="302"/>
      <c r="NP287" s="302"/>
      <c r="NQ287" s="302"/>
      <c r="NR287" s="302"/>
      <c r="NS287" s="302"/>
      <c r="NT287" s="302"/>
      <c r="NU287" s="302"/>
      <c r="NV287" s="302"/>
      <c r="NW287" s="302"/>
      <c r="NX287" s="302"/>
      <c r="NY287" s="302"/>
      <c r="NZ287" s="302"/>
      <c r="OA287" s="302"/>
      <c r="OB287" s="302"/>
      <c r="OC287" s="302"/>
      <c r="OD287" s="302"/>
      <c r="OE287" s="302"/>
      <c r="OF287" s="302"/>
      <c r="OG287" s="302"/>
      <c r="OH287" s="302"/>
      <c r="OI287" s="302"/>
      <c r="OJ287" s="302"/>
      <c r="OK287" s="302"/>
      <c r="OL287" s="302"/>
      <c r="OM287" s="302"/>
      <c r="ON287" s="302"/>
      <c r="OO287" s="302"/>
      <c r="OP287" s="302"/>
      <c r="OQ287" s="302"/>
      <c r="OR287" s="302"/>
      <c r="OS287" s="302"/>
      <c r="OT287" s="302"/>
      <c r="OU287" s="302"/>
      <c r="OV287" s="302"/>
      <c r="OW287" s="302"/>
      <c r="OX287" s="302"/>
      <c r="OY287" s="302"/>
      <c r="OZ287" s="302"/>
      <c r="PA287" s="302"/>
      <c r="PB287" s="302"/>
      <c r="PC287" s="302"/>
      <c r="PD287" s="302"/>
      <c r="PE287" s="302"/>
      <c r="PF287" s="302"/>
      <c r="PG287" s="302"/>
      <c r="PH287" s="302"/>
      <c r="PI287" s="302"/>
      <c r="PJ287" s="302"/>
      <c r="PK287" s="302"/>
      <c r="PL287" s="302"/>
      <c r="PM287" s="302"/>
      <c r="PN287" s="302"/>
      <c r="PO287" s="302"/>
      <c r="PP287" s="302"/>
      <c r="PQ287" s="302"/>
      <c r="PR287" s="302"/>
      <c r="PS287" s="302"/>
      <c r="PT287" s="302"/>
      <c r="PU287" s="302"/>
      <c r="PV287" s="302"/>
      <c r="PW287" s="302"/>
      <c r="PX287" s="302"/>
      <c r="PY287" s="302"/>
      <c r="PZ287" s="302"/>
      <c r="QA287" s="302"/>
      <c r="QB287" s="302"/>
      <c r="QC287" s="302"/>
      <c r="QD287" s="302"/>
      <c r="QE287" s="302"/>
      <c r="QF287" s="302"/>
      <c r="QG287" s="302"/>
      <c r="QH287" s="302"/>
      <c r="QI287" s="302"/>
      <c r="QJ287" s="302"/>
      <c r="QK287" s="302"/>
      <c r="QL287" s="302"/>
      <c r="QM287" s="302"/>
      <c r="QN287" s="302"/>
      <c r="QO287" s="302"/>
      <c r="QP287" s="302"/>
      <c r="QQ287" s="302"/>
      <c r="QR287" s="302"/>
      <c r="QS287" s="302"/>
      <c r="QT287" s="302"/>
      <c r="QU287" s="302"/>
      <c r="QV287" s="302"/>
      <c r="QW287" s="302"/>
      <c r="QX287" s="302"/>
      <c r="QY287" s="302"/>
      <c r="QZ287" s="302"/>
      <c r="RA287" s="302"/>
      <c r="RB287" s="302"/>
      <c r="RC287" s="302"/>
      <c r="RD287" s="302"/>
      <c r="RE287" s="302"/>
      <c r="RF287" s="302"/>
      <c r="RG287" s="302"/>
      <c r="RH287" s="302"/>
      <c r="RI287" s="302"/>
      <c r="RJ287" s="302"/>
      <c r="RK287" s="302"/>
      <c r="RL287" s="302"/>
      <c r="RM287" s="302"/>
      <c r="RN287" s="302"/>
      <c r="RO287" s="302"/>
      <c r="RP287" s="302"/>
      <c r="RQ287" s="302"/>
      <c r="RR287" s="302"/>
      <c r="RS287" s="302"/>
      <c r="RT287" s="302"/>
      <c r="RU287" s="302"/>
      <c r="RV287" s="302"/>
      <c r="RW287" s="302"/>
      <c r="RX287" s="302"/>
      <c r="RY287" s="302"/>
      <c r="RZ287" s="302"/>
      <c r="SA287" s="302"/>
      <c r="SB287" s="302"/>
      <c r="SC287" s="302"/>
      <c r="SD287" s="302"/>
      <c r="SE287" s="302"/>
      <c r="SF287" s="302"/>
      <c r="SG287" s="302"/>
      <c r="SH287" s="302"/>
      <c r="SI287" s="302"/>
      <c r="SJ287" s="302"/>
      <c r="SK287" s="302"/>
      <c r="SL287" s="302"/>
      <c r="SM287" s="302"/>
      <c r="SN287" s="302"/>
      <c r="SO287" s="302"/>
      <c r="SP287" s="302"/>
      <c r="SQ287" s="302"/>
      <c r="SR287" s="302"/>
      <c r="SS287" s="302"/>
      <c r="ST287" s="302"/>
      <c r="SU287" s="302"/>
      <c r="SV287" s="302"/>
      <c r="SW287" s="302"/>
      <c r="SX287" s="302"/>
      <c r="SY287" s="302"/>
      <c r="SZ287" s="302"/>
      <c r="TA287" s="302"/>
      <c r="TB287" s="302"/>
      <c r="TC287" s="302"/>
      <c r="TD287" s="302"/>
      <c r="TE287" s="302"/>
      <c r="TF287" s="302"/>
      <c r="TG287" s="302"/>
      <c r="TH287" s="302"/>
      <c r="TI287" s="302"/>
      <c r="TJ287" s="302"/>
      <c r="TK287" s="302"/>
      <c r="TL287" s="302"/>
      <c r="TM287" s="302"/>
      <c r="TN287" s="302"/>
      <c r="TO287" s="302"/>
      <c r="TP287" s="302"/>
      <c r="TQ287" s="302"/>
      <c r="TR287" s="302"/>
      <c r="TS287" s="302"/>
      <c r="TT287" s="302"/>
      <c r="TU287" s="302"/>
      <c r="TV287" s="302"/>
      <c r="TW287" s="302"/>
      <c r="TX287" s="302"/>
      <c r="TY287" s="302"/>
      <c r="TZ287" s="302"/>
      <c r="UA287" s="302"/>
      <c r="UB287" s="302"/>
      <c r="UC287" s="302"/>
      <c r="UD287" s="302"/>
      <c r="UE287" s="302"/>
      <c r="UF287" s="302"/>
      <c r="UG287" s="302"/>
      <c r="UH287" s="302"/>
      <c r="UI287" s="302"/>
      <c r="UJ287" s="302"/>
      <c r="UK287" s="302"/>
      <c r="UL287" s="302"/>
      <c r="UM287" s="302"/>
      <c r="UN287" s="302"/>
      <c r="UO287" s="302"/>
      <c r="UP287" s="302"/>
      <c r="UQ287" s="302"/>
      <c r="UR287" s="302"/>
      <c r="US287" s="302"/>
      <c r="UT287" s="302"/>
      <c r="UU287" s="302"/>
      <c r="UV287" s="302"/>
      <c r="UW287" s="302"/>
      <c r="UX287" s="302"/>
      <c r="UY287" s="302"/>
      <c r="UZ287" s="302"/>
      <c r="VA287" s="302"/>
      <c r="VB287" s="302"/>
      <c r="VC287" s="302"/>
      <c r="VD287" s="302"/>
      <c r="VE287" s="302"/>
      <c r="VF287" s="302"/>
      <c r="VG287" s="302"/>
      <c r="VH287" s="302"/>
      <c r="VI287" s="302"/>
      <c r="VJ287" s="302"/>
      <c r="VK287" s="302"/>
      <c r="VL287" s="302"/>
      <c r="VM287" s="302"/>
      <c r="VN287" s="302"/>
      <c r="VO287" s="302"/>
      <c r="VP287" s="302"/>
      <c r="VQ287" s="302"/>
      <c r="VR287" s="302"/>
      <c r="VS287" s="302"/>
      <c r="VT287" s="302"/>
      <c r="VU287" s="302"/>
      <c r="VV287" s="302"/>
      <c r="VW287" s="302"/>
      <c r="VX287" s="302"/>
      <c r="VY287" s="302"/>
      <c r="VZ287" s="302"/>
      <c r="WA287" s="302"/>
      <c r="WB287" s="302"/>
      <c r="WC287" s="302"/>
      <c r="WD287" s="302"/>
      <c r="WE287" s="302"/>
      <c r="WF287" s="302"/>
      <c r="WG287" s="302"/>
      <c r="WH287" s="302"/>
      <c r="WI287" s="302"/>
      <c r="WJ287" s="302"/>
      <c r="WK287" s="302"/>
      <c r="WL287" s="302"/>
      <c r="WM287" s="302"/>
      <c r="WN287" s="302"/>
      <c r="WO287" s="302"/>
      <c r="WP287" s="302"/>
      <c r="WQ287" s="302"/>
      <c r="WR287" s="302"/>
      <c r="WS287" s="302"/>
      <c r="WT287" s="302"/>
      <c r="WU287" s="302"/>
      <c r="WV287" s="302"/>
      <c r="WW287" s="302"/>
      <c r="WX287" s="302"/>
      <c r="WY287" s="302"/>
      <c r="WZ287" s="302"/>
      <c r="XA287" s="302"/>
      <c r="XB287" s="302"/>
      <c r="XC287" s="302"/>
      <c r="XD287" s="302"/>
      <c r="XE287" s="302"/>
      <c r="XF287" s="302"/>
      <c r="XG287" s="302"/>
      <c r="XH287" s="302"/>
      <c r="XI287" s="302"/>
      <c r="XJ287" s="302"/>
      <c r="XK287" s="302"/>
      <c r="XL287" s="302"/>
      <c r="XM287" s="302"/>
      <c r="XN287" s="302"/>
      <c r="XO287" s="302"/>
      <c r="XP287" s="302"/>
      <c r="XQ287" s="302"/>
      <c r="XR287" s="302"/>
      <c r="XS287" s="302"/>
      <c r="XT287" s="302"/>
      <c r="XU287" s="302"/>
      <c r="XV287" s="302"/>
      <c r="XW287" s="302"/>
      <c r="XX287" s="302"/>
      <c r="XY287" s="302"/>
      <c r="XZ287" s="302"/>
      <c r="YA287" s="302"/>
      <c r="YB287" s="302"/>
      <c r="YC287" s="302"/>
      <c r="YD287" s="302"/>
      <c r="YE287" s="302"/>
      <c r="YF287" s="302"/>
      <c r="YG287" s="302"/>
      <c r="YH287" s="302"/>
      <c r="YI287" s="302"/>
      <c r="YJ287" s="302"/>
      <c r="YK287" s="302"/>
      <c r="YL287" s="302"/>
      <c r="YM287" s="302"/>
      <c r="YN287" s="302"/>
      <c r="YO287" s="302"/>
      <c r="YP287" s="302"/>
      <c r="YQ287" s="302"/>
      <c r="YR287" s="302"/>
      <c r="YS287" s="302"/>
      <c r="YT287" s="302"/>
      <c r="YU287" s="302"/>
      <c r="YV287" s="302"/>
      <c r="YW287" s="302"/>
      <c r="YX287" s="302"/>
      <c r="YY287" s="302"/>
      <c r="YZ287" s="302"/>
      <c r="ZA287" s="302"/>
      <c r="ZB287" s="302"/>
      <c r="ZC287" s="302"/>
      <c r="ZD287" s="302"/>
      <c r="ZE287" s="302"/>
      <c r="ZF287" s="302"/>
      <c r="ZG287" s="302"/>
      <c r="ZH287" s="302"/>
      <c r="ZI287" s="302"/>
      <c r="ZJ287" s="302"/>
      <c r="ZK287" s="302"/>
      <c r="ZL287" s="302"/>
      <c r="ZM287" s="302"/>
      <c r="ZN287" s="302"/>
      <c r="ZO287" s="302"/>
      <c r="ZP287" s="302"/>
      <c r="ZQ287" s="302"/>
      <c r="ZR287" s="302"/>
      <c r="ZS287" s="302"/>
      <c r="ZT287" s="302"/>
      <c r="ZU287" s="302"/>
      <c r="ZV287" s="302"/>
      <c r="ZW287" s="302"/>
      <c r="ZX287" s="302"/>
      <c r="ZY287" s="302"/>
      <c r="ZZ287" s="302"/>
      <c r="AAA287" s="302"/>
      <c r="AAB287" s="302"/>
      <c r="AAC287" s="302"/>
      <c r="AAD287" s="302"/>
      <c r="AAE287" s="302"/>
      <c r="AAF287" s="302"/>
      <c r="AAG287" s="302"/>
      <c r="AAH287" s="302"/>
      <c r="AAI287" s="302"/>
      <c r="AAJ287" s="302"/>
      <c r="AAK287" s="302"/>
      <c r="AAL287" s="302"/>
      <c r="AAM287" s="302"/>
      <c r="AAN287" s="302"/>
      <c r="AAO287" s="302"/>
      <c r="AAP287" s="302"/>
      <c r="AAQ287" s="302"/>
      <c r="AAR287" s="302"/>
      <c r="AAS287" s="302"/>
      <c r="AAT287" s="302"/>
      <c r="AAU287" s="302"/>
      <c r="AAV287" s="302"/>
      <c r="AAW287" s="302"/>
      <c r="AAX287" s="302"/>
      <c r="AAY287" s="302"/>
      <c r="AAZ287" s="302"/>
      <c r="ABA287" s="302"/>
      <c r="ABB287" s="302"/>
      <c r="ABC287" s="302"/>
      <c r="ABD287" s="302"/>
      <c r="ABE287" s="302"/>
      <c r="ABF287" s="302"/>
      <c r="ABG287" s="302"/>
      <c r="ABH287" s="302"/>
      <c r="ABI287" s="302"/>
      <c r="ABJ287" s="302"/>
      <c r="ABK287" s="302"/>
      <c r="ABL287" s="302"/>
      <c r="ABM287" s="302"/>
      <c r="ABN287" s="302"/>
      <c r="ABO287" s="302"/>
      <c r="ABP287" s="302"/>
      <c r="ABQ287" s="302"/>
      <c r="ABR287" s="302"/>
      <c r="ABS287" s="302"/>
      <c r="ABT287" s="302"/>
      <c r="ABU287" s="302"/>
      <c r="ABV287" s="302"/>
      <c r="ABW287" s="302"/>
      <c r="ABX287" s="302"/>
      <c r="ABY287" s="302"/>
      <c r="ABZ287" s="302"/>
      <c r="ACA287" s="302"/>
      <c r="ACB287" s="302"/>
      <c r="ACC287" s="302"/>
      <c r="ACD287" s="302"/>
      <c r="ACE287" s="302"/>
      <c r="ACF287" s="302"/>
      <c r="ACG287" s="302"/>
      <c r="ACH287" s="302"/>
      <c r="ACI287" s="302"/>
      <c r="ACJ287" s="302"/>
      <c r="ACK287" s="302"/>
      <c r="ACL287" s="302"/>
      <c r="ACM287" s="302"/>
      <c r="ACN287" s="302"/>
      <c r="ACO287" s="302"/>
      <c r="ACP287" s="302"/>
      <c r="ACQ287" s="302"/>
      <c r="ACR287" s="302"/>
      <c r="ACS287" s="302"/>
      <c r="ACT287" s="302"/>
      <c r="ACU287" s="302"/>
      <c r="ACV287" s="302"/>
      <c r="ACW287" s="302"/>
      <c r="ACX287" s="302"/>
      <c r="ACY287" s="302"/>
      <c r="ACZ287" s="302"/>
      <c r="ADA287" s="302"/>
      <c r="ADB287" s="302"/>
      <c r="ADC287" s="302"/>
      <c r="ADD287" s="302"/>
      <c r="ADE287" s="302"/>
      <c r="ADF287" s="302"/>
      <c r="ADG287" s="302"/>
      <c r="ADH287" s="302"/>
      <c r="ADI287" s="302"/>
      <c r="ADJ287" s="302"/>
      <c r="ADK287" s="302"/>
      <c r="ADL287" s="302"/>
      <c r="ADM287" s="302"/>
      <c r="ADN287" s="302"/>
      <c r="ADO287" s="302"/>
      <c r="ADP287" s="302"/>
      <c r="ADQ287" s="302"/>
      <c r="ADR287" s="302"/>
      <c r="ADS287" s="302"/>
      <c r="ADT287" s="302"/>
      <c r="ADU287" s="302"/>
      <c r="ADV287" s="302"/>
      <c r="ADW287" s="302"/>
      <c r="ADX287" s="302"/>
      <c r="ADY287" s="302"/>
      <c r="ADZ287" s="302"/>
      <c r="AEA287" s="302"/>
      <c r="AEB287" s="302"/>
      <c r="AEC287" s="302"/>
      <c r="AED287" s="302"/>
      <c r="AEE287" s="302"/>
      <c r="AEF287" s="302"/>
      <c r="AEG287" s="302"/>
      <c r="AEH287" s="302"/>
      <c r="AEI287" s="302"/>
      <c r="AEJ287" s="302"/>
      <c r="AEK287" s="302"/>
      <c r="AEL287" s="302"/>
      <c r="AEM287" s="302"/>
      <c r="AEN287" s="302"/>
      <c r="AEO287" s="302"/>
      <c r="AEP287" s="302"/>
      <c r="AEQ287" s="302"/>
      <c r="AER287" s="302"/>
      <c r="AES287" s="302"/>
      <c r="AET287" s="302"/>
      <c r="AEU287" s="302"/>
      <c r="AEV287" s="302"/>
      <c r="AEW287" s="302"/>
      <c r="AEX287" s="302"/>
      <c r="AEY287" s="302"/>
      <c r="AEZ287" s="302"/>
      <c r="AFA287" s="302"/>
      <c r="AFB287" s="302"/>
      <c r="AFC287" s="302"/>
      <c r="AFD287" s="302"/>
      <c r="AFE287" s="302"/>
      <c r="AFF287" s="302"/>
      <c r="AFG287" s="302"/>
      <c r="AFH287" s="302"/>
      <c r="AFI287" s="302"/>
      <c r="AFJ287" s="302"/>
      <c r="AFK287" s="302"/>
      <c r="AFL287" s="302"/>
      <c r="AFM287" s="302"/>
      <c r="AFN287" s="302"/>
      <c r="AFO287" s="302"/>
      <c r="AFP287" s="302"/>
      <c r="AFQ287" s="302"/>
      <c r="AFR287" s="302"/>
      <c r="AFS287" s="302"/>
      <c r="AFT287" s="302"/>
      <c r="AFU287" s="302"/>
      <c r="AFV287" s="302"/>
      <c r="AFW287" s="302"/>
      <c r="AFX287" s="302"/>
      <c r="AFY287" s="302"/>
      <c r="AFZ287" s="302"/>
      <c r="AGA287" s="302"/>
      <c r="AGB287" s="302"/>
      <c r="AGC287" s="302"/>
      <c r="AGD287" s="302"/>
      <c r="AGE287" s="302"/>
      <c r="AGF287" s="302"/>
      <c r="AGG287" s="302"/>
      <c r="AGH287" s="302"/>
      <c r="AGI287" s="302"/>
      <c r="AGJ287" s="302"/>
      <c r="AGK287" s="302"/>
      <c r="AGL287" s="302"/>
      <c r="AGM287" s="302"/>
      <c r="AGN287" s="302"/>
      <c r="AGO287" s="302"/>
      <c r="AGP287" s="302"/>
      <c r="AGQ287" s="302"/>
      <c r="AGR287" s="302"/>
      <c r="AGS287" s="302"/>
      <c r="AGT287" s="302"/>
      <c r="AGU287" s="302"/>
      <c r="AGV287" s="302"/>
      <c r="AGW287" s="302"/>
      <c r="AGX287" s="302"/>
      <c r="AGY287" s="302"/>
      <c r="AGZ287" s="302"/>
      <c r="AHA287" s="302"/>
      <c r="AHB287" s="302"/>
      <c r="AHC287" s="302"/>
      <c r="AHD287" s="302"/>
      <c r="AHE287" s="302"/>
      <c r="AHF287" s="302"/>
      <c r="AHG287" s="302"/>
      <c r="AHH287" s="302"/>
      <c r="AHI287" s="302"/>
      <c r="AHJ287" s="302"/>
      <c r="AHK287" s="302"/>
      <c r="AHL287" s="302"/>
      <c r="AHM287" s="302"/>
      <c r="AHN287" s="302"/>
      <c r="AHO287" s="302"/>
      <c r="AHP287" s="302"/>
      <c r="AHQ287" s="302"/>
      <c r="AHR287" s="302"/>
      <c r="AHS287" s="302"/>
      <c r="AHT287" s="302"/>
      <c r="AHU287" s="302"/>
      <c r="AHV287" s="302"/>
      <c r="AHW287" s="302"/>
      <c r="AHX287" s="302"/>
      <c r="AHY287" s="302"/>
      <c r="AHZ287" s="302"/>
      <c r="AIA287" s="302"/>
      <c r="AIB287" s="302"/>
      <c r="AIC287" s="302"/>
      <c r="AID287" s="302"/>
      <c r="AIE287" s="302"/>
      <c r="AIF287" s="302"/>
      <c r="AIG287" s="302"/>
      <c r="AIH287" s="302"/>
      <c r="AII287" s="302"/>
      <c r="AIJ287" s="302"/>
      <c r="AIK287" s="302"/>
      <c r="AIL287" s="302"/>
      <c r="AIM287" s="302"/>
      <c r="AIN287" s="302"/>
      <c r="AIO287" s="302"/>
      <c r="AIP287" s="302"/>
      <c r="AIQ287" s="302"/>
      <c r="AIR287" s="302"/>
      <c r="AIS287" s="302"/>
      <c r="AIT287" s="302"/>
      <c r="AIU287" s="302"/>
      <c r="AIV287" s="302"/>
      <c r="AIW287" s="302"/>
      <c r="AIX287" s="302"/>
      <c r="AIY287" s="302"/>
      <c r="AIZ287" s="302"/>
      <c r="AJA287" s="302"/>
      <c r="AJB287" s="302"/>
      <c r="AJC287" s="302"/>
      <c r="AJD287" s="302"/>
      <c r="AJE287" s="302"/>
      <c r="AJF287" s="302"/>
      <c r="AJG287" s="302"/>
      <c r="AJH287" s="302"/>
      <c r="AJI287" s="302"/>
      <c r="AJJ287" s="302"/>
      <c r="AJK287" s="302"/>
      <c r="AJL287" s="302"/>
      <c r="AJM287" s="302"/>
      <c r="AJN287" s="302"/>
      <c r="AJO287" s="302"/>
      <c r="AJP287" s="302"/>
      <c r="AJQ287" s="302"/>
      <c r="AJR287" s="302"/>
      <c r="AJS287" s="302"/>
      <c r="AJT287" s="302"/>
      <c r="AJU287" s="302"/>
      <c r="AJV287" s="302"/>
      <c r="AJW287" s="302"/>
      <c r="AJX287" s="302"/>
      <c r="AJY287" s="302"/>
      <c r="AJZ287" s="302"/>
      <c r="AKA287" s="302"/>
      <c r="AKB287" s="302"/>
      <c r="AKC287" s="302"/>
      <c r="AKD287" s="302"/>
      <c r="AKE287" s="302"/>
      <c r="AKF287" s="302"/>
      <c r="AKG287" s="302"/>
      <c r="AKH287" s="302"/>
      <c r="AKI287" s="302"/>
      <c r="AKJ287" s="302"/>
      <c r="AKK287" s="302"/>
      <c r="AKL287" s="302"/>
      <c r="AKM287" s="302"/>
      <c r="AKN287" s="302"/>
      <c r="AKO287" s="302"/>
      <c r="AKP287" s="302"/>
      <c r="AKQ287" s="302"/>
      <c r="AKR287" s="302"/>
      <c r="AKS287" s="302"/>
      <c r="AKT287" s="302"/>
      <c r="AKU287" s="302"/>
      <c r="AKV287" s="302"/>
      <c r="AKW287" s="302"/>
      <c r="AKX287" s="302"/>
      <c r="AKY287" s="302"/>
      <c r="AKZ287" s="302"/>
      <c r="ALA287" s="302"/>
      <c r="ALB287" s="302"/>
      <c r="ALC287" s="302"/>
      <c r="ALD287" s="302"/>
      <c r="ALE287" s="302"/>
      <c r="ALF287" s="302"/>
      <c r="ALG287" s="302"/>
      <c r="ALH287" s="302"/>
      <c r="ALI287" s="302"/>
      <c r="ALJ287" s="302"/>
      <c r="ALK287" s="302"/>
      <c r="ALL287" s="302"/>
      <c r="ALM287" s="302"/>
      <c r="ALN287" s="302"/>
      <c r="ALO287" s="302"/>
      <c r="ALP287" s="302"/>
      <c r="ALQ287" s="302"/>
      <c r="ALR287" s="302"/>
      <c r="ALS287" s="302"/>
      <c r="ALT287" s="302"/>
      <c r="ALU287" s="302"/>
      <c r="ALV287" s="302"/>
      <c r="ALW287" s="302"/>
      <c r="ALX287" s="302"/>
      <c r="ALY287" s="302"/>
      <c r="ALZ287" s="302"/>
      <c r="AMA287" s="302"/>
      <c r="AMB287" s="302"/>
      <c r="AMC287" s="302"/>
      <c r="AMD287" s="302"/>
      <c r="AME287" s="302"/>
      <c r="AMF287" s="302"/>
      <c r="AMG287" s="302"/>
      <c r="AMH287" s="302"/>
      <c r="AMI287" s="302"/>
    </row>
    <row r="288" spans="1:1023" hidden="1">
      <c r="A288" s="302"/>
      <c r="B288" s="442">
        <v>14297</v>
      </c>
      <c r="C288" s="430">
        <v>0.08</v>
      </c>
      <c r="D288" s="370" t="s">
        <v>192</v>
      </c>
      <c r="E288" s="433">
        <v>2500000</v>
      </c>
      <c r="F288" s="500">
        <v>0.02</v>
      </c>
      <c r="G288" s="364">
        <f t="shared" si="16"/>
        <v>50000</v>
      </c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2"/>
      <c r="AE288" s="302"/>
      <c r="AF288" s="302"/>
      <c r="AG288" s="302"/>
      <c r="AH288" s="302"/>
      <c r="AI288" s="302"/>
      <c r="AJ288" s="302"/>
      <c r="AK288" s="302"/>
      <c r="AL288" s="302"/>
      <c r="AM288" s="302"/>
      <c r="AN288" s="302"/>
      <c r="AO288" s="302"/>
      <c r="AP288" s="302"/>
      <c r="AQ288" s="302"/>
      <c r="AR288" s="302"/>
      <c r="AS288" s="302"/>
      <c r="AT288" s="302"/>
      <c r="AU288" s="302"/>
      <c r="AV288" s="302"/>
      <c r="AW288" s="302"/>
      <c r="AX288" s="302"/>
      <c r="AY288" s="302"/>
      <c r="AZ288" s="302"/>
      <c r="BA288" s="302"/>
      <c r="BB288" s="302"/>
      <c r="BC288" s="302"/>
      <c r="BD288" s="302"/>
      <c r="BE288" s="302"/>
      <c r="BF288" s="302"/>
      <c r="BG288" s="302"/>
      <c r="BH288" s="302"/>
      <c r="BI288" s="302"/>
      <c r="BJ288" s="302"/>
      <c r="BK288" s="302"/>
      <c r="BL288" s="302"/>
      <c r="BM288" s="302"/>
      <c r="BN288" s="302"/>
      <c r="BO288" s="302"/>
      <c r="BP288" s="302"/>
      <c r="BQ288" s="302"/>
      <c r="BR288" s="302"/>
      <c r="BS288" s="302"/>
      <c r="BT288" s="302"/>
      <c r="BU288" s="302"/>
      <c r="BV288" s="302"/>
      <c r="BW288" s="302"/>
      <c r="BX288" s="302"/>
      <c r="BY288" s="302"/>
      <c r="BZ288" s="302"/>
      <c r="CA288" s="302"/>
      <c r="CB288" s="302"/>
      <c r="CC288" s="302"/>
      <c r="CD288" s="302"/>
      <c r="CE288" s="302"/>
      <c r="CF288" s="302"/>
      <c r="CG288" s="302"/>
      <c r="CH288" s="302"/>
      <c r="CI288" s="302"/>
      <c r="CJ288" s="302"/>
      <c r="CK288" s="302"/>
      <c r="CL288" s="302"/>
      <c r="CM288" s="302"/>
      <c r="CN288" s="302"/>
      <c r="CO288" s="302"/>
      <c r="CP288" s="302"/>
      <c r="CQ288" s="302"/>
      <c r="CR288" s="302"/>
      <c r="CS288" s="302"/>
      <c r="CT288" s="302"/>
      <c r="CU288" s="302"/>
      <c r="CV288" s="302"/>
      <c r="CW288" s="302"/>
      <c r="CX288" s="302"/>
      <c r="CY288" s="302"/>
      <c r="CZ288" s="302"/>
      <c r="DA288" s="302"/>
      <c r="DB288" s="302"/>
      <c r="DC288" s="302"/>
      <c r="DD288" s="302"/>
      <c r="DE288" s="302"/>
      <c r="DF288" s="302"/>
      <c r="DG288" s="302"/>
      <c r="DH288" s="302"/>
      <c r="DI288" s="302"/>
      <c r="DJ288" s="302"/>
      <c r="DK288" s="302"/>
      <c r="DL288" s="302"/>
      <c r="DM288" s="302"/>
      <c r="DN288" s="302"/>
      <c r="DO288" s="302"/>
      <c r="DP288" s="302"/>
      <c r="DQ288" s="302"/>
      <c r="DR288" s="302"/>
      <c r="DS288" s="302"/>
      <c r="DT288" s="302"/>
      <c r="DU288" s="302"/>
      <c r="DV288" s="302"/>
      <c r="DW288" s="302"/>
      <c r="DX288" s="302"/>
      <c r="DY288" s="302"/>
      <c r="DZ288" s="302"/>
      <c r="EA288" s="302"/>
      <c r="EB288" s="302"/>
      <c r="EC288" s="302"/>
      <c r="ED288" s="302"/>
      <c r="EE288" s="302"/>
      <c r="EF288" s="302"/>
      <c r="EG288" s="302"/>
      <c r="EH288" s="302"/>
      <c r="EI288" s="302"/>
      <c r="EJ288" s="302"/>
      <c r="EK288" s="302"/>
      <c r="EL288" s="302"/>
      <c r="EM288" s="302"/>
      <c r="EN288" s="302"/>
      <c r="EO288" s="302"/>
      <c r="EP288" s="302"/>
      <c r="EQ288" s="302"/>
      <c r="ER288" s="302"/>
      <c r="ES288" s="302"/>
      <c r="ET288" s="302"/>
      <c r="EU288" s="302"/>
      <c r="EV288" s="302"/>
      <c r="EW288" s="302"/>
      <c r="EX288" s="302"/>
      <c r="EY288" s="302"/>
      <c r="EZ288" s="302"/>
      <c r="FA288" s="302"/>
      <c r="FB288" s="302"/>
      <c r="FC288" s="302"/>
      <c r="FD288" s="302"/>
      <c r="FE288" s="302"/>
      <c r="FF288" s="302"/>
      <c r="FG288" s="302"/>
      <c r="FH288" s="302"/>
      <c r="FI288" s="302"/>
      <c r="FJ288" s="302"/>
      <c r="FK288" s="302"/>
      <c r="FL288" s="302"/>
      <c r="FM288" s="302"/>
      <c r="FN288" s="302"/>
      <c r="FO288" s="302"/>
      <c r="FP288" s="302"/>
      <c r="FQ288" s="302"/>
      <c r="FR288" s="302"/>
      <c r="FS288" s="302"/>
      <c r="FT288" s="302"/>
      <c r="FU288" s="302"/>
      <c r="FV288" s="302"/>
      <c r="FW288" s="302"/>
      <c r="FX288" s="302"/>
      <c r="FY288" s="302"/>
      <c r="FZ288" s="302"/>
      <c r="GA288" s="302"/>
      <c r="GB288" s="302"/>
      <c r="GC288" s="302"/>
      <c r="GD288" s="302"/>
      <c r="GE288" s="302"/>
      <c r="GF288" s="302"/>
      <c r="GG288" s="302"/>
      <c r="GH288" s="302"/>
      <c r="GI288" s="302"/>
      <c r="GJ288" s="302"/>
      <c r="GK288" s="302"/>
      <c r="GL288" s="302"/>
      <c r="GM288" s="302"/>
      <c r="GN288" s="302"/>
      <c r="GO288" s="302"/>
      <c r="GP288" s="302"/>
      <c r="GQ288" s="302"/>
      <c r="GR288" s="302"/>
      <c r="GS288" s="302"/>
      <c r="GT288" s="302"/>
      <c r="GU288" s="302"/>
      <c r="GV288" s="302"/>
      <c r="GW288" s="302"/>
      <c r="GX288" s="302"/>
      <c r="GY288" s="302"/>
      <c r="GZ288" s="302"/>
      <c r="HA288" s="302"/>
      <c r="HB288" s="302"/>
      <c r="HC288" s="302"/>
      <c r="HD288" s="302"/>
      <c r="HE288" s="302"/>
      <c r="HF288" s="302"/>
      <c r="HG288" s="302"/>
      <c r="HH288" s="302"/>
      <c r="HI288" s="302"/>
      <c r="HJ288" s="302"/>
      <c r="HK288" s="302"/>
      <c r="HL288" s="302"/>
      <c r="HM288" s="302"/>
      <c r="HN288" s="302"/>
      <c r="HO288" s="302"/>
      <c r="HP288" s="302"/>
      <c r="HQ288" s="302"/>
      <c r="HR288" s="302"/>
      <c r="HS288" s="302"/>
      <c r="HT288" s="302"/>
      <c r="HU288" s="302"/>
      <c r="HV288" s="302"/>
      <c r="HW288" s="302"/>
      <c r="HX288" s="302"/>
      <c r="HY288" s="302"/>
      <c r="HZ288" s="302"/>
      <c r="IA288" s="302"/>
      <c r="IB288" s="302"/>
      <c r="IC288" s="302"/>
      <c r="ID288" s="302"/>
      <c r="IE288" s="302"/>
      <c r="IF288" s="302"/>
      <c r="IG288" s="302"/>
      <c r="IH288" s="302"/>
      <c r="II288" s="302"/>
      <c r="IJ288" s="302"/>
      <c r="IK288" s="302"/>
      <c r="IL288" s="302"/>
      <c r="IM288" s="302"/>
      <c r="IN288" s="302"/>
      <c r="IO288" s="302"/>
      <c r="IP288" s="302"/>
      <c r="IQ288" s="302"/>
      <c r="IR288" s="302"/>
      <c r="IS288" s="302"/>
      <c r="IT288" s="302"/>
      <c r="IU288" s="302"/>
      <c r="IV288" s="302"/>
      <c r="IW288" s="302"/>
      <c r="IX288" s="302"/>
      <c r="IY288" s="302"/>
      <c r="IZ288" s="302"/>
      <c r="JA288" s="302"/>
      <c r="JB288" s="302"/>
      <c r="JC288" s="302"/>
      <c r="JD288" s="302"/>
      <c r="JE288" s="302"/>
      <c r="JF288" s="302"/>
      <c r="JG288" s="302"/>
      <c r="JH288" s="302"/>
      <c r="JI288" s="302"/>
      <c r="JJ288" s="302"/>
      <c r="JK288" s="302"/>
      <c r="JL288" s="302"/>
      <c r="JM288" s="302"/>
      <c r="JN288" s="302"/>
      <c r="JO288" s="302"/>
      <c r="JP288" s="302"/>
      <c r="JQ288" s="302"/>
      <c r="JR288" s="302"/>
      <c r="JS288" s="302"/>
      <c r="JT288" s="302"/>
      <c r="JU288" s="302"/>
      <c r="JV288" s="302"/>
      <c r="JW288" s="302"/>
      <c r="JX288" s="302"/>
      <c r="JY288" s="302"/>
      <c r="JZ288" s="302"/>
      <c r="KA288" s="302"/>
      <c r="KB288" s="302"/>
      <c r="KC288" s="302"/>
      <c r="KD288" s="302"/>
      <c r="KE288" s="302"/>
      <c r="KF288" s="302"/>
      <c r="KG288" s="302"/>
      <c r="KH288" s="302"/>
      <c r="KI288" s="302"/>
      <c r="KJ288" s="302"/>
      <c r="KK288" s="302"/>
      <c r="KL288" s="302"/>
      <c r="KM288" s="302"/>
      <c r="KN288" s="302"/>
      <c r="KO288" s="302"/>
      <c r="KP288" s="302"/>
      <c r="KQ288" s="302"/>
      <c r="KR288" s="302"/>
      <c r="KS288" s="302"/>
      <c r="KT288" s="302"/>
      <c r="KU288" s="302"/>
      <c r="KV288" s="302"/>
      <c r="KW288" s="302"/>
      <c r="KX288" s="302"/>
      <c r="KY288" s="302"/>
      <c r="KZ288" s="302"/>
      <c r="LA288" s="302"/>
      <c r="LB288" s="302"/>
      <c r="LC288" s="302"/>
      <c r="LD288" s="302"/>
      <c r="LE288" s="302"/>
      <c r="LF288" s="302"/>
      <c r="LG288" s="302"/>
      <c r="LH288" s="302"/>
      <c r="LI288" s="302"/>
      <c r="LJ288" s="302"/>
      <c r="LK288" s="302"/>
      <c r="LL288" s="302"/>
      <c r="LM288" s="302"/>
      <c r="LN288" s="302"/>
      <c r="LO288" s="302"/>
      <c r="LP288" s="302"/>
      <c r="LQ288" s="302"/>
      <c r="LR288" s="302"/>
      <c r="LS288" s="302"/>
      <c r="LT288" s="302"/>
      <c r="LU288" s="302"/>
      <c r="LV288" s="302"/>
      <c r="LW288" s="302"/>
      <c r="LX288" s="302"/>
      <c r="LY288" s="302"/>
      <c r="LZ288" s="302"/>
      <c r="MA288" s="302"/>
      <c r="MB288" s="302"/>
      <c r="MC288" s="302"/>
      <c r="MD288" s="302"/>
      <c r="ME288" s="302"/>
      <c r="MF288" s="302"/>
      <c r="MG288" s="302"/>
      <c r="MH288" s="302"/>
      <c r="MI288" s="302"/>
      <c r="MJ288" s="302"/>
      <c r="MK288" s="302"/>
      <c r="ML288" s="302"/>
      <c r="MM288" s="302"/>
      <c r="MN288" s="302"/>
      <c r="MO288" s="302"/>
      <c r="MP288" s="302"/>
      <c r="MQ288" s="302"/>
      <c r="MR288" s="302"/>
      <c r="MS288" s="302"/>
      <c r="MT288" s="302"/>
      <c r="MU288" s="302"/>
      <c r="MV288" s="302"/>
      <c r="MW288" s="302"/>
      <c r="MX288" s="302"/>
      <c r="MY288" s="302"/>
      <c r="MZ288" s="302"/>
      <c r="NA288" s="302"/>
      <c r="NB288" s="302"/>
      <c r="NC288" s="302"/>
      <c r="ND288" s="302"/>
      <c r="NE288" s="302"/>
      <c r="NF288" s="302"/>
      <c r="NG288" s="302"/>
      <c r="NH288" s="302"/>
      <c r="NI288" s="302"/>
      <c r="NJ288" s="302"/>
      <c r="NK288" s="302"/>
      <c r="NL288" s="302"/>
      <c r="NM288" s="302"/>
      <c r="NN288" s="302"/>
      <c r="NO288" s="302"/>
      <c r="NP288" s="302"/>
      <c r="NQ288" s="302"/>
      <c r="NR288" s="302"/>
      <c r="NS288" s="302"/>
      <c r="NT288" s="302"/>
      <c r="NU288" s="302"/>
      <c r="NV288" s="302"/>
      <c r="NW288" s="302"/>
      <c r="NX288" s="302"/>
      <c r="NY288" s="302"/>
      <c r="NZ288" s="302"/>
      <c r="OA288" s="302"/>
      <c r="OB288" s="302"/>
      <c r="OC288" s="302"/>
      <c r="OD288" s="302"/>
      <c r="OE288" s="302"/>
      <c r="OF288" s="302"/>
      <c r="OG288" s="302"/>
      <c r="OH288" s="302"/>
      <c r="OI288" s="302"/>
      <c r="OJ288" s="302"/>
      <c r="OK288" s="302"/>
      <c r="OL288" s="302"/>
      <c r="OM288" s="302"/>
      <c r="ON288" s="302"/>
      <c r="OO288" s="302"/>
      <c r="OP288" s="302"/>
      <c r="OQ288" s="302"/>
      <c r="OR288" s="302"/>
      <c r="OS288" s="302"/>
      <c r="OT288" s="302"/>
      <c r="OU288" s="302"/>
      <c r="OV288" s="302"/>
      <c r="OW288" s="302"/>
      <c r="OX288" s="302"/>
      <c r="OY288" s="302"/>
      <c r="OZ288" s="302"/>
      <c r="PA288" s="302"/>
      <c r="PB288" s="302"/>
      <c r="PC288" s="302"/>
      <c r="PD288" s="302"/>
      <c r="PE288" s="302"/>
      <c r="PF288" s="302"/>
      <c r="PG288" s="302"/>
      <c r="PH288" s="302"/>
      <c r="PI288" s="302"/>
      <c r="PJ288" s="302"/>
      <c r="PK288" s="302"/>
      <c r="PL288" s="302"/>
      <c r="PM288" s="302"/>
      <c r="PN288" s="302"/>
      <c r="PO288" s="302"/>
      <c r="PP288" s="302"/>
      <c r="PQ288" s="302"/>
      <c r="PR288" s="302"/>
      <c r="PS288" s="302"/>
      <c r="PT288" s="302"/>
      <c r="PU288" s="302"/>
      <c r="PV288" s="302"/>
      <c r="PW288" s="302"/>
      <c r="PX288" s="302"/>
      <c r="PY288" s="302"/>
      <c r="PZ288" s="302"/>
      <c r="QA288" s="302"/>
      <c r="QB288" s="302"/>
      <c r="QC288" s="302"/>
      <c r="QD288" s="302"/>
      <c r="QE288" s="302"/>
      <c r="QF288" s="302"/>
      <c r="QG288" s="302"/>
      <c r="QH288" s="302"/>
      <c r="QI288" s="302"/>
      <c r="QJ288" s="302"/>
      <c r="QK288" s="302"/>
      <c r="QL288" s="302"/>
      <c r="QM288" s="302"/>
      <c r="QN288" s="302"/>
      <c r="QO288" s="302"/>
      <c r="QP288" s="302"/>
      <c r="QQ288" s="302"/>
      <c r="QR288" s="302"/>
      <c r="QS288" s="302"/>
      <c r="QT288" s="302"/>
      <c r="QU288" s="302"/>
      <c r="QV288" s="302"/>
      <c r="QW288" s="302"/>
      <c r="QX288" s="302"/>
      <c r="QY288" s="302"/>
      <c r="QZ288" s="302"/>
      <c r="RA288" s="302"/>
      <c r="RB288" s="302"/>
      <c r="RC288" s="302"/>
      <c r="RD288" s="302"/>
      <c r="RE288" s="302"/>
      <c r="RF288" s="302"/>
      <c r="RG288" s="302"/>
      <c r="RH288" s="302"/>
      <c r="RI288" s="302"/>
      <c r="RJ288" s="302"/>
      <c r="RK288" s="302"/>
      <c r="RL288" s="302"/>
      <c r="RM288" s="302"/>
      <c r="RN288" s="302"/>
      <c r="RO288" s="302"/>
      <c r="RP288" s="302"/>
      <c r="RQ288" s="302"/>
      <c r="RR288" s="302"/>
      <c r="RS288" s="302"/>
      <c r="RT288" s="302"/>
      <c r="RU288" s="302"/>
      <c r="RV288" s="302"/>
      <c r="RW288" s="302"/>
      <c r="RX288" s="302"/>
      <c r="RY288" s="302"/>
      <c r="RZ288" s="302"/>
      <c r="SA288" s="302"/>
      <c r="SB288" s="302"/>
      <c r="SC288" s="302"/>
      <c r="SD288" s="302"/>
      <c r="SE288" s="302"/>
      <c r="SF288" s="302"/>
      <c r="SG288" s="302"/>
      <c r="SH288" s="302"/>
      <c r="SI288" s="302"/>
      <c r="SJ288" s="302"/>
      <c r="SK288" s="302"/>
      <c r="SL288" s="302"/>
      <c r="SM288" s="302"/>
      <c r="SN288" s="302"/>
      <c r="SO288" s="302"/>
      <c r="SP288" s="302"/>
      <c r="SQ288" s="302"/>
      <c r="SR288" s="302"/>
      <c r="SS288" s="302"/>
      <c r="ST288" s="302"/>
      <c r="SU288" s="302"/>
      <c r="SV288" s="302"/>
      <c r="SW288" s="302"/>
      <c r="SX288" s="302"/>
      <c r="SY288" s="302"/>
      <c r="SZ288" s="302"/>
      <c r="TA288" s="302"/>
      <c r="TB288" s="302"/>
      <c r="TC288" s="302"/>
      <c r="TD288" s="302"/>
      <c r="TE288" s="302"/>
      <c r="TF288" s="302"/>
      <c r="TG288" s="302"/>
      <c r="TH288" s="302"/>
      <c r="TI288" s="302"/>
      <c r="TJ288" s="302"/>
      <c r="TK288" s="302"/>
      <c r="TL288" s="302"/>
      <c r="TM288" s="302"/>
      <c r="TN288" s="302"/>
      <c r="TO288" s="302"/>
      <c r="TP288" s="302"/>
      <c r="TQ288" s="302"/>
      <c r="TR288" s="302"/>
      <c r="TS288" s="302"/>
      <c r="TT288" s="302"/>
      <c r="TU288" s="302"/>
      <c r="TV288" s="302"/>
      <c r="TW288" s="302"/>
      <c r="TX288" s="302"/>
      <c r="TY288" s="302"/>
      <c r="TZ288" s="302"/>
      <c r="UA288" s="302"/>
      <c r="UB288" s="302"/>
      <c r="UC288" s="302"/>
      <c r="UD288" s="302"/>
      <c r="UE288" s="302"/>
      <c r="UF288" s="302"/>
      <c r="UG288" s="302"/>
      <c r="UH288" s="302"/>
      <c r="UI288" s="302"/>
      <c r="UJ288" s="302"/>
      <c r="UK288" s="302"/>
      <c r="UL288" s="302"/>
      <c r="UM288" s="302"/>
      <c r="UN288" s="302"/>
      <c r="UO288" s="302"/>
      <c r="UP288" s="302"/>
      <c r="UQ288" s="302"/>
      <c r="UR288" s="302"/>
      <c r="US288" s="302"/>
      <c r="UT288" s="302"/>
      <c r="UU288" s="302"/>
      <c r="UV288" s="302"/>
      <c r="UW288" s="302"/>
      <c r="UX288" s="302"/>
      <c r="UY288" s="302"/>
      <c r="UZ288" s="302"/>
      <c r="VA288" s="302"/>
      <c r="VB288" s="302"/>
      <c r="VC288" s="302"/>
      <c r="VD288" s="302"/>
      <c r="VE288" s="302"/>
      <c r="VF288" s="302"/>
      <c r="VG288" s="302"/>
      <c r="VH288" s="302"/>
      <c r="VI288" s="302"/>
      <c r="VJ288" s="302"/>
      <c r="VK288" s="302"/>
      <c r="VL288" s="302"/>
      <c r="VM288" s="302"/>
      <c r="VN288" s="302"/>
      <c r="VO288" s="302"/>
      <c r="VP288" s="302"/>
      <c r="VQ288" s="302"/>
      <c r="VR288" s="302"/>
      <c r="VS288" s="302"/>
      <c r="VT288" s="302"/>
      <c r="VU288" s="302"/>
      <c r="VV288" s="302"/>
      <c r="VW288" s="302"/>
      <c r="VX288" s="302"/>
      <c r="VY288" s="302"/>
      <c r="VZ288" s="302"/>
      <c r="WA288" s="302"/>
      <c r="WB288" s="302"/>
      <c r="WC288" s="302"/>
      <c r="WD288" s="302"/>
      <c r="WE288" s="302"/>
      <c r="WF288" s="302"/>
      <c r="WG288" s="302"/>
      <c r="WH288" s="302"/>
      <c r="WI288" s="302"/>
      <c r="WJ288" s="302"/>
      <c r="WK288" s="302"/>
      <c r="WL288" s="302"/>
      <c r="WM288" s="302"/>
      <c r="WN288" s="302"/>
      <c r="WO288" s="302"/>
      <c r="WP288" s="302"/>
      <c r="WQ288" s="302"/>
      <c r="WR288" s="302"/>
      <c r="WS288" s="302"/>
      <c r="WT288" s="302"/>
      <c r="WU288" s="302"/>
      <c r="WV288" s="302"/>
      <c r="WW288" s="302"/>
      <c r="WX288" s="302"/>
      <c r="WY288" s="302"/>
      <c r="WZ288" s="302"/>
      <c r="XA288" s="302"/>
      <c r="XB288" s="302"/>
      <c r="XC288" s="302"/>
      <c r="XD288" s="302"/>
      <c r="XE288" s="302"/>
      <c r="XF288" s="302"/>
      <c r="XG288" s="302"/>
      <c r="XH288" s="302"/>
      <c r="XI288" s="302"/>
      <c r="XJ288" s="302"/>
      <c r="XK288" s="302"/>
      <c r="XL288" s="302"/>
      <c r="XM288" s="302"/>
      <c r="XN288" s="302"/>
      <c r="XO288" s="302"/>
      <c r="XP288" s="302"/>
      <c r="XQ288" s="302"/>
      <c r="XR288" s="302"/>
      <c r="XS288" s="302"/>
      <c r="XT288" s="302"/>
      <c r="XU288" s="302"/>
      <c r="XV288" s="302"/>
      <c r="XW288" s="302"/>
      <c r="XX288" s="302"/>
      <c r="XY288" s="302"/>
      <c r="XZ288" s="302"/>
      <c r="YA288" s="302"/>
      <c r="YB288" s="302"/>
      <c r="YC288" s="302"/>
      <c r="YD288" s="302"/>
      <c r="YE288" s="302"/>
      <c r="YF288" s="302"/>
      <c r="YG288" s="302"/>
      <c r="YH288" s="302"/>
      <c r="YI288" s="302"/>
      <c r="YJ288" s="302"/>
      <c r="YK288" s="302"/>
      <c r="YL288" s="302"/>
      <c r="YM288" s="302"/>
      <c r="YN288" s="302"/>
      <c r="YO288" s="302"/>
      <c r="YP288" s="302"/>
      <c r="YQ288" s="302"/>
      <c r="YR288" s="302"/>
      <c r="YS288" s="302"/>
      <c r="YT288" s="302"/>
      <c r="YU288" s="302"/>
      <c r="YV288" s="302"/>
      <c r="YW288" s="302"/>
      <c r="YX288" s="302"/>
      <c r="YY288" s="302"/>
      <c r="YZ288" s="302"/>
      <c r="ZA288" s="302"/>
      <c r="ZB288" s="302"/>
      <c r="ZC288" s="302"/>
      <c r="ZD288" s="302"/>
      <c r="ZE288" s="302"/>
      <c r="ZF288" s="302"/>
      <c r="ZG288" s="302"/>
      <c r="ZH288" s="302"/>
      <c r="ZI288" s="302"/>
      <c r="ZJ288" s="302"/>
      <c r="ZK288" s="302"/>
      <c r="ZL288" s="302"/>
      <c r="ZM288" s="302"/>
      <c r="ZN288" s="302"/>
      <c r="ZO288" s="302"/>
      <c r="ZP288" s="302"/>
      <c r="ZQ288" s="302"/>
      <c r="ZR288" s="302"/>
      <c r="ZS288" s="302"/>
      <c r="ZT288" s="302"/>
      <c r="ZU288" s="302"/>
      <c r="ZV288" s="302"/>
      <c r="ZW288" s="302"/>
      <c r="ZX288" s="302"/>
      <c r="ZY288" s="302"/>
      <c r="ZZ288" s="302"/>
      <c r="AAA288" s="302"/>
      <c r="AAB288" s="302"/>
      <c r="AAC288" s="302"/>
      <c r="AAD288" s="302"/>
      <c r="AAE288" s="302"/>
      <c r="AAF288" s="302"/>
      <c r="AAG288" s="302"/>
      <c r="AAH288" s="302"/>
      <c r="AAI288" s="302"/>
      <c r="AAJ288" s="302"/>
      <c r="AAK288" s="302"/>
      <c r="AAL288" s="302"/>
      <c r="AAM288" s="302"/>
      <c r="AAN288" s="302"/>
      <c r="AAO288" s="302"/>
      <c r="AAP288" s="302"/>
      <c r="AAQ288" s="302"/>
      <c r="AAR288" s="302"/>
      <c r="AAS288" s="302"/>
      <c r="AAT288" s="302"/>
      <c r="AAU288" s="302"/>
      <c r="AAV288" s="302"/>
      <c r="AAW288" s="302"/>
      <c r="AAX288" s="302"/>
      <c r="AAY288" s="302"/>
      <c r="AAZ288" s="302"/>
      <c r="ABA288" s="302"/>
      <c r="ABB288" s="302"/>
      <c r="ABC288" s="302"/>
      <c r="ABD288" s="302"/>
      <c r="ABE288" s="302"/>
      <c r="ABF288" s="302"/>
      <c r="ABG288" s="302"/>
      <c r="ABH288" s="302"/>
      <c r="ABI288" s="302"/>
      <c r="ABJ288" s="302"/>
      <c r="ABK288" s="302"/>
      <c r="ABL288" s="302"/>
      <c r="ABM288" s="302"/>
      <c r="ABN288" s="302"/>
      <c r="ABO288" s="302"/>
      <c r="ABP288" s="302"/>
      <c r="ABQ288" s="302"/>
      <c r="ABR288" s="302"/>
      <c r="ABS288" s="302"/>
      <c r="ABT288" s="302"/>
      <c r="ABU288" s="302"/>
      <c r="ABV288" s="302"/>
      <c r="ABW288" s="302"/>
      <c r="ABX288" s="302"/>
      <c r="ABY288" s="302"/>
      <c r="ABZ288" s="302"/>
      <c r="ACA288" s="302"/>
      <c r="ACB288" s="302"/>
      <c r="ACC288" s="302"/>
      <c r="ACD288" s="302"/>
      <c r="ACE288" s="302"/>
      <c r="ACF288" s="302"/>
      <c r="ACG288" s="302"/>
      <c r="ACH288" s="302"/>
      <c r="ACI288" s="302"/>
      <c r="ACJ288" s="302"/>
      <c r="ACK288" s="302"/>
      <c r="ACL288" s="302"/>
      <c r="ACM288" s="302"/>
      <c r="ACN288" s="302"/>
      <c r="ACO288" s="302"/>
      <c r="ACP288" s="302"/>
      <c r="ACQ288" s="302"/>
      <c r="ACR288" s="302"/>
      <c r="ACS288" s="302"/>
      <c r="ACT288" s="302"/>
      <c r="ACU288" s="302"/>
      <c r="ACV288" s="302"/>
      <c r="ACW288" s="302"/>
      <c r="ACX288" s="302"/>
      <c r="ACY288" s="302"/>
      <c r="ACZ288" s="302"/>
      <c r="ADA288" s="302"/>
      <c r="ADB288" s="302"/>
      <c r="ADC288" s="302"/>
      <c r="ADD288" s="302"/>
      <c r="ADE288" s="302"/>
      <c r="ADF288" s="302"/>
      <c r="ADG288" s="302"/>
      <c r="ADH288" s="302"/>
      <c r="ADI288" s="302"/>
      <c r="ADJ288" s="302"/>
      <c r="ADK288" s="302"/>
      <c r="ADL288" s="302"/>
      <c r="ADM288" s="302"/>
      <c r="ADN288" s="302"/>
      <c r="ADO288" s="302"/>
      <c r="ADP288" s="302"/>
      <c r="ADQ288" s="302"/>
      <c r="ADR288" s="302"/>
      <c r="ADS288" s="302"/>
      <c r="ADT288" s="302"/>
      <c r="ADU288" s="302"/>
      <c r="ADV288" s="302"/>
      <c r="ADW288" s="302"/>
      <c r="ADX288" s="302"/>
      <c r="ADY288" s="302"/>
      <c r="ADZ288" s="302"/>
      <c r="AEA288" s="302"/>
      <c r="AEB288" s="302"/>
      <c r="AEC288" s="302"/>
      <c r="AED288" s="302"/>
      <c r="AEE288" s="302"/>
      <c r="AEF288" s="302"/>
      <c r="AEG288" s="302"/>
      <c r="AEH288" s="302"/>
      <c r="AEI288" s="302"/>
      <c r="AEJ288" s="302"/>
      <c r="AEK288" s="302"/>
      <c r="AEL288" s="302"/>
      <c r="AEM288" s="302"/>
      <c r="AEN288" s="302"/>
      <c r="AEO288" s="302"/>
      <c r="AEP288" s="302"/>
      <c r="AEQ288" s="302"/>
      <c r="AER288" s="302"/>
      <c r="AES288" s="302"/>
      <c r="AET288" s="302"/>
      <c r="AEU288" s="302"/>
      <c r="AEV288" s="302"/>
      <c r="AEW288" s="302"/>
      <c r="AEX288" s="302"/>
      <c r="AEY288" s="302"/>
      <c r="AEZ288" s="302"/>
      <c r="AFA288" s="302"/>
      <c r="AFB288" s="302"/>
      <c r="AFC288" s="302"/>
      <c r="AFD288" s="302"/>
      <c r="AFE288" s="302"/>
      <c r="AFF288" s="302"/>
      <c r="AFG288" s="302"/>
      <c r="AFH288" s="302"/>
      <c r="AFI288" s="302"/>
      <c r="AFJ288" s="302"/>
      <c r="AFK288" s="302"/>
      <c r="AFL288" s="302"/>
      <c r="AFM288" s="302"/>
      <c r="AFN288" s="302"/>
      <c r="AFO288" s="302"/>
      <c r="AFP288" s="302"/>
      <c r="AFQ288" s="302"/>
      <c r="AFR288" s="302"/>
      <c r="AFS288" s="302"/>
      <c r="AFT288" s="302"/>
      <c r="AFU288" s="302"/>
      <c r="AFV288" s="302"/>
      <c r="AFW288" s="302"/>
      <c r="AFX288" s="302"/>
      <c r="AFY288" s="302"/>
      <c r="AFZ288" s="302"/>
      <c r="AGA288" s="302"/>
      <c r="AGB288" s="302"/>
      <c r="AGC288" s="302"/>
      <c r="AGD288" s="302"/>
      <c r="AGE288" s="302"/>
      <c r="AGF288" s="302"/>
      <c r="AGG288" s="302"/>
      <c r="AGH288" s="302"/>
      <c r="AGI288" s="302"/>
      <c r="AGJ288" s="302"/>
      <c r="AGK288" s="302"/>
      <c r="AGL288" s="302"/>
      <c r="AGM288" s="302"/>
      <c r="AGN288" s="302"/>
      <c r="AGO288" s="302"/>
      <c r="AGP288" s="302"/>
      <c r="AGQ288" s="302"/>
      <c r="AGR288" s="302"/>
      <c r="AGS288" s="302"/>
      <c r="AGT288" s="302"/>
      <c r="AGU288" s="302"/>
      <c r="AGV288" s="302"/>
      <c r="AGW288" s="302"/>
      <c r="AGX288" s="302"/>
      <c r="AGY288" s="302"/>
      <c r="AGZ288" s="302"/>
      <c r="AHA288" s="302"/>
      <c r="AHB288" s="302"/>
      <c r="AHC288" s="302"/>
      <c r="AHD288" s="302"/>
      <c r="AHE288" s="302"/>
      <c r="AHF288" s="302"/>
      <c r="AHG288" s="302"/>
      <c r="AHH288" s="302"/>
      <c r="AHI288" s="302"/>
      <c r="AHJ288" s="302"/>
      <c r="AHK288" s="302"/>
      <c r="AHL288" s="302"/>
      <c r="AHM288" s="302"/>
      <c r="AHN288" s="302"/>
      <c r="AHO288" s="302"/>
      <c r="AHP288" s="302"/>
      <c r="AHQ288" s="302"/>
      <c r="AHR288" s="302"/>
      <c r="AHS288" s="302"/>
      <c r="AHT288" s="302"/>
      <c r="AHU288" s="302"/>
      <c r="AHV288" s="302"/>
      <c r="AHW288" s="302"/>
      <c r="AHX288" s="302"/>
      <c r="AHY288" s="302"/>
      <c r="AHZ288" s="302"/>
      <c r="AIA288" s="302"/>
      <c r="AIB288" s="302"/>
      <c r="AIC288" s="302"/>
      <c r="AID288" s="302"/>
      <c r="AIE288" s="302"/>
      <c r="AIF288" s="302"/>
      <c r="AIG288" s="302"/>
      <c r="AIH288" s="302"/>
      <c r="AII288" s="302"/>
      <c r="AIJ288" s="302"/>
      <c r="AIK288" s="302"/>
      <c r="AIL288" s="302"/>
      <c r="AIM288" s="302"/>
      <c r="AIN288" s="302"/>
      <c r="AIO288" s="302"/>
      <c r="AIP288" s="302"/>
      <c r="AIQ288" s="302"/>
      <c r="AIR288" s="302"/>
      <c r="AIS288" s="302"/>
      <c r="AIT288" s="302"/>
      <c r="AIU288" s="302"/>
      <c r="AIV288" s="302"/>
      <c r="AIW288" s="302"/>
      <c r="AIX288" s="302"/>
      <c r="AIY288" s="302"/>
      <c r="AIZ288" s="302"/>
      <c r="AJA288" s="302"/>
      <c r="AJB288" s="302"/>
      <c r="AJC288" s="302"/>
      <c r="AJD288" s="302"/>
      <c r="AJE288" s="302"/>
      <c r="AJF288" s="302"/>
      <c r="AJG288" s="302"/>
      <c r="AJH288" s="302"/>
      <c r="AJI288" s="302"/>
      <c r="AJJ288" s="302"/>
      <c r="AJK288" s="302"/>
      <c r="AJL288" s="302"/>
      <c r="AJM288" s="302"/>
      <c r="AJN288" s="302"/>
      <c r="AJO288" s="302"/>
      <c r="AJP288" s="302"/>
      <c r="AJQ288" s="302"/>
      <c r="AJR288" s="302"/>
      <c r="AJS288" s="302"/>
      <c r="AJT288" s="302"/>
      <c r="AJU288" s="302"/>
      <c r="AJV288" s="302"/>
      <c r="AJW288" s="302"/>
      <c r="AJX288" s="302"/>
      <c r="AJY288" s="302"/>
      <c r="AJZ288" s="302"/>
      <c r="AKA288" s="302"/>
      <c r="AKB288" s="302"/>
      <c r="AKC288" s="302"/>
      <c r="AKD288" s="302"/>
      <c r="AKE288" s="302"/>
      <c r="AKF288" s="302"/>
      <c r="AKG288" s="302"/>
      <c r="AKH288" s="302"/>
      <c r="AKI288" s="302"/>
      <c r="AKJ288" s="302"/>
      <c r="AKK288" s="302"/>
      <c r="AKL288" s="302"/>
      <c r="AKM288" s="302"/>
      <c r="AKN288" s="302"/>
      <c r="AKO288" s="302"/>
      <c r="AKP288" s="302"/>
      <c r="AKQ288" s="302"/>
      <c r="AKR288" s="302"/>
      <c r="AKS288" s="302"/>
      <c r="AKT288" s="302"/>
      <c r="AKU288" s="302"/>
      <c r="AKV288" s="302"/>
      <c r="AKW288" s="302"/>
      <c r="AKX288" s="302"/>
      <c r="AKY288" s="302"/>
      <c r="AKZ288" s="302"/>
      <c r="ALA288" s="302"/>
      <c r="ALB288" s="302"/>
      <c r="ALC288" s="302"/>
      <c r="ALD288" s="302"/>
      <c r="ALE288" s="302"/>
      <c r="ALF288" s="302"/>
      <c r="ALG288" s="302"/>
      <c r="ALH288" s="302"/>
      <c r="ALI288" s="302"/>
      <c r="ALJ288" s="302"/>
      <c r="ALK288" s="302"/>
      <c r="ALL288" s="302"/>
      <c r="ALM288" s="302"/>
      <c r="ALN288" s="302"/>
      <c r="ALO288" s="302"/>
      <c r="ALP288" s="302"/>
      <c r="ALQ288" s="302"/>
      <c r="ALR288" s="302"/>
      <c r="ALS288" s="302"/>
      <c r="ALT288" s="302"/>
      <c r="ALU288" s="302"/>
      <c r="ALV288" s="302"/>
      <c r="ALW288" s="302"/>
      <c r="ALX288" s="302"/>
      <c r="ALY288" s="302"/>
      <c r="ALZ288" s="302"/>
      <c r="AMA288" s="302"/>
      <c r="AMB288" s="302"/>
      <c r="AMC288" s="302"/>
      <c r="AMD288" s="302"/>
      <c r="AME288" s="302"/>
      <c r="AMF288" s="302"/>
      <c r="AMG288" s="302"/>
      <c r="AMH288" s="302"/>
      <c r="AMI288" s="302"/>
    </row>
    <row r="289" spans="1:1023" hidden="1">
      <c r="A289" s="302"/>
      <c r="B289" s="442">
        <v>14242</v>
      </c>
      <c r="C289" s="432">
        <v>0.1</v>
      </c>
      <c r="D289" s="370" t="s">
        <v>204</v>
      </c>
      <c r="E289" s="433">
        <v>2250000</v>
      </c>
      <c r="F289" s="499">
        <v>0.03</v>
      </c>
      <c r="G289" s="364">
        <f t="shared" si="16"/>
        <v>67500</v>
      </c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  <c r="AD289" s="302"/>
      <c r="AE289" s="302"/>
      <c r="AF289" s="302"/>
      <c r="AG289" s="302"/>
      <c r="AH289" s="302"/>
      <c r="AI289" s="302"/>
      <c r="AJ289" s="302"/>
      <c r="AK289" s="302"/>
      <c r="AL289" s="302"/>
      <c r="AM289" s="302"/>
      <c r="AN289" s="302"/>
      <c r="AO289" s="302"/>
      <c r="AP289" s="302"/>
      <c r="AQ289" s="302"/>
      <c r="AR289" s="302"/>
      <c r="AS289" s="302"/>
      <c r="AT289" s="302"/>
      <c r="AU289" s="302"/>
      <c r="AV289" s="302"/>
      <c r="AW289" s="302"/>
      <c r="AX289" s="302"/>
      <c r="AY289" s="302"/>
      <c r="AZ289" s="302"/>
      <c r="BA289" s="302"/>
      <c r="BB289" s="302"/>
      <c r="BC289" s="302"/>
      <c r="BD289" s="302"/>
      <c r="BE289" s="302"/>
      <c r="BF289" s="302"/>
      <c r="BG289" s="302"/>
      <c r="BH289" s="302"/>
      <c r="BI289" s="302"/>
      <c r="BJ289" s="302"/>
      <c r="BK289" s="302"/>
      <c r="BL289" s="302"/>
      <c r="BM289" s="302"/>
      <c r="BN289" s="302"/>
      <c r="BO289" s="302"/>
      <c r="BP289" s="302"/>
      <c r="BQ289" s="302"/>
      <c r="BR289" s="302"/>
      <c r="BS289" s="302"/>
      <c r="BT289" s="302"/>
      <c r="BU289" s="302"/>
      <c r="BV289" s="302"/>
      <c r="BW289" s="302"/>
      <c r="BX289" s="302"/>
      <c r="BY289" s="302"/>
      <c r="BZ289" s="302"/>
      <c r="CA289" s="302"/>
      <c r="CB289" s="302"/>
      <c r="CC289" s="302"/>
      <c r="CD289" s="302"/>
      <c r="CE289" s="302"/>
      <c r="CF289" s="302"/>
      <c r="CG289" s="302"/>
      <c r="CH289" s="302"/>
      <c r="CI289" s="302"/>
      <c r="CJ289" s="302"/>
      <c r="CK289" s="302"/>
      <c r="CL289" s="302"/>
      <c r="CM289" s="302"/>
      <c r="CN289" s="302"/>
      <c r="CO289" s="302"/>
      <c r="CP289" s="302"/>
      <c r="CQ289" s="302"/>
      <c r="CR289" s="302"/>
      <c r="CS289" s="302"/>
      <c r="CT289" s="302"/>
      <c r="CU289" s="302"/>
      <c r="CV289" s="302"/>
      <c r="CW289" s="302"/>
      <c r="CX289" s="302"/>
      <c r="CY289" s="302"/>
      <c r="CZ289" s="302"/>
      <c r="DA289" s="302"/>
      <c r="DB289" s="302"/>
      <c r="DC289" s="302"/>
      <c r="DD289" s="302"/>
      <c r="DE289" s="302"/>
      <c r="DF289" s="302"/>
      <c r="DG289" s="302"/>
      <c r="DH289" s="302"/>
      <c r="DI289" s="302"/>
      <c r="DJ289" s="302"/>
      <c r="DK289" s="302"/>
      <c r="DL289" s="302"/>
      <c r="DM289" s="302"/>
      <c r="DN289" s="302"/>
      <c r="DO289" s="302"/>
      <c r="DP289" s="302"/>
      <c r="DQ289" s="302"/>
      <c r="DR289" s="302"/>
      <c r="DS289" s="302"/>
      <c r="DT289" s="302"/>
      <c r="DU289" s="302"/>
      <c r="DV289" s="302"/>
      <c r="DW289" s="302"/>
      <c r="DX289" s="302"/>
      <c r="DY289" s="302"/>
      <c r="DZ289" s="302"/>
      <c r="EA289" s="302"/>
      <c r="EB289" s="302"/>
      <c r="EC289" s="302"/>
      <c r="ED289" s="302"/>
      <c r="EE289" s="302"/>
      <c r="EF289" s="302"/>
      <c r="EG289" s="302"/>
      <c r="EH289" s="302"/>
      <c r="EI289" s="302"/>
      <c r="EJ289" s="302"/>
      <c r="EK289" s="302"/>
      <c r="EL289" s="302"/>
      <c r="EM289" s="302"/>
      <c r="EN289" s="302"/>
      <c r="EO289" s="302"/>
      <c r="EP289" s="302"/>
      <c r="EQ289" s="302"/>
      <c r="ER289" s="302"/>
      <c r="ES289" s="302"/>
      <c r="ET289" s="302"/>
      <c r="EU289" s="302"/>
      <c r="EV289" s="302"/>
      <c r="EW289" s="302"/>
      <c r="EX289" s="302"/>
      <c r="EY289" s="302"/>
      <c r="EZ289" s="302"/>
      <c r="FA289" s="302"/>
      <c r="FB289" s="302"/>
      <c r="FC289" s="302"/>
      <c r="FD289" s="302"/>
      <c r="FE289" s="302"/>
      <c r="FF289" s="302"/>
      <c r="FG289" s="302"/>
      <c r="FH289" s="302"/>
      <c r="FI289" s="302"/>
      <c r="FJ289" s="302"/>
      <c r="FK289" s="302"/>
      <c r="FL289" s="302"/>
      <c r="FM289" s="302"/>
      <c r="FN289" s="302"/>
      <c r="FO289" s="302"/>
      <c r="FP289" s="302"/>
      <c r="FQ289" s="302"/>
      <c r="FR289" s="302"/>
      <c r="FS289" s="302"/>
      <c r="FT289" s="302"/>
      <c r="FU289" s="302"/>
      <c r="FV289" s="302"/>
      <c r="FW289" s="302"/>
      <c r="FX289" s="302"/>
      <c r="FY289" s="302"/>
      <c r="FZ289" s="302"/>
      <c r="GA289" s="302"/>
      <c r="GB289" s="302"/>
      <c r="GC289" s="302"/>
      <c r="GD289" s="302"/>
      <c r="GE289" s="302"/>
      <c r="GF289" s="302"/>
      <c r="GG289" s="302"/>
      <c r="GH289" s="302"/>
      <c r="GI289" s="302"/>
      <c r="GJ289" s="302"/>
      <c r="GK289" s="302"/>
      <c r="GL289" s="302"/>
      <c r="GM289" s="302"/>
      <c r="GN289" s="302"/>
      <c r="GO289" s="302"/>
      <c r="GP289" s="302"/>
      <c r="GQ289" s="302"/>
      <c r="GR289" s="302"/>
      <c r="GS289" s="302"/>
      <c r="GT289" s="302"/>
      <c r="GU289" s="302"/>
      <c r="GV289" s="302"/>
      <c r="GW289" s="302"/>
      <c r="GX289" s="302"/>
      <c r="GY289" s="302"/>
      <c r="GZ289" s="302"/>
      <c r="HA289" s="302"/>
      <c r="HB289" s="302"/>
      <c r="HC289" s="302"/>
      <c r="HD289" s="302"/>
      <c r="HE289" s="302"/>
      <c r="HF289" s="302"/>
      <c r="HG289" s="302"/>
      <c r="HH289" s="302"/>
      <c r="HI289" s="302"/>
      <c r="HJ289" s="302"/>
      <c r="HK289" s="302"/>
      <c r="HL289" s="302"/>
      <c r="HM289" s="302"/>
      <c r="HN289" s="302"/>
      <c r="HO289" s="302"/>
      <c r="HP289" s="302"/>
      <c r="HQ289" s="302"/>
      <c r="HR289" s="302"/>
      <c r="HS289" s="302"/>
      <c r="HT289" s="302"/>
      <c r="HU289" s="302"/>
      <c r="HV289" s="302"/>
      <c r="HW289" s="302"/>
      <c r="HX289" s="302"/>
      <c r="HY289" s="302"/>
      <c r="HZ289" s="302"/>
      <c r="IA289" s="302"/>
      <c r="IB289" s="302"/>
      <c r="IC289" s="302"/>
      <c r="ID289" s="302"/>
      <c r="IE289" s="302"/>
      <c r="IF289" s="302"/>
      <c r="IG289" s="302"/>
      <c r="IH289" s="302"/>
      <c r="II289" s="302"/>
      <c r="IJ289" s="302"/>
      <c r="IK289" s="302"/>
      <c r="IL289" s="302"/>
      <c r="IM289" s="302"/>
      <c r="IN289" s="302"/>
      <c r="IO289" s="302"/>
      <c r="IP289" s="302"/>
      <c r="IQ289" s="302"/>
      <c r="IR289" s="302"/>
      <c r="IS289" s="302"/>
      <c r="IT289" s="302"/>
      <c r="IU289" s="302"/>
      <c r="IV289" s="302"/>
      <c r="IW289" s="302"/>
      <c r="IX289" s="302"/>
      <c r="IY289" s="302"/>
      <c r="IZ289" s="302"/>
      <c r="JA289" s="302"/>
      <c r="JB289" s="302"/>
      <c r="JC289" s="302"/>
      <c r="JD289" s="302"/>
      <c r="JE289" s="302"/>
      <c r="JF289" s="302"/>
      <c r="JG289" s="302"/>
      <c r="JH289" s="302"/>
      <c r="JI289" s="302"/>
      <c r="JJ289" s="302"/>
      <c r="JK289" s="302"/>
      <c r="JL289" s="302"/>
      <c r="JM289" s="302"/>
      <c r="JN289" s="302"/>
      <c r="JO289" s="302"/>
      <c r="JP289" s="302"/>
      <c r="JQ289" s="302"/>
      <c r="JR289" s="302"/>
      <c r="JS289" s="302"/>
      <c r="JT289" s="302"/>
      <c r="JU289" s="302"/>
      <c r="JV289" s="302"/>
      <c r="JW289" s="302"/>
      <c r="JX289" s="302"/>
      <c r="JY289" s="302"/>
      <c r="JZ289" s="302"/>
      <c r="KA289" s="302"/>
      <c r="KB289" s="302"/>
      <c r="KC289" s="302"/>
      <c r="KD289" s="302"/>
      <c r="KE289" s="302"/>
      <c r="KF289" s="302"/>
      <c r="KG289" s="302"/>
      <c r="KH289" s="302"/>
      <c r="KI289" s="302"/>
      <c r="KJ289" s="302"/>
      <c r="KK289" s="302"/>
      <c r="KL289" s="302"/>
      <c r="KM289" s="302"/>
      <c r="KN289" s="302"/>
      <c r="KO289" s="302"/>
      <c r="KP289" s="302"/>
      <c r="KQ289" s="302"/>
      <c r="KR289" s="302"/>
      <c r="KS289" s="302"/>
      <c r="KT289" s="302"/>
      <c r="KU289" s="302"/>
      <c r="KV289" s="302"/>
      <c r="KW289" s="302"/>
      <c r="KX289" s="302"/>
      <c r="KY289" s="302"/>
      <c r="KZ289" s="302"/>
      <c r="LA289" s="302"/>
      <c r="LB289" s="302"/>
      <c r="LC289" s="302"/>
      <c r="LD289" s="302"/>
      <c r="LE289" s="302"/>
      <c r="LF289" s="302"/>
      <c r="LG289" s="302"/>
      <c r="LH289" s="302"/>
      <c r="LI289" s="302"/>
      <c r="LJ289" s="302"/>
      <c r="LK289" s="302"/>
      <c r="LL289" s="302"/>
      <c r="LM289" s="302"/>
      <c r="LN289" s="302"/>
      <c r="LO289" s="302"/>
      <c r="LP289" s="302"/>
      <c r="LQ289" s="302"/>
      <c r="LR289" s="302"/>
      <c r="LS289" s="302"/>
      <c r="LT289" s="302"/>
      <c r="LU289" s="302"/>
      <c r="LV289" s="302"/>
      <c r="LW289" s="302"/>
      <c r="LX289" s="302"/>
      <c r="LY289" s="302"/>
      <c r="LZ289" s="302"/>
      <c r="MA289" s="302"/>
      <c r="MB289" s="302"/>
      <c r="MC289" s="302"/>
      <c r="MD289" s="302"/>
      <c r="ME289" s="302"/>
      <c r="MF289" s="302"/>
      <c r="MG289" s="302"/>
      <c r="MH289" s="302"/>
      <c r="MI289" s="302"/>
      <c r="MJ289" s="302"/>
      <c r="MK289" s="302"/>
      <c r="ML289" s="302"/>
      <c r="MM289" s="302"/>
      <c r="MN289" s="302"/>
      <c r="MO289" s="302"/>
      <c r="MP289" s="302"/>
      <c r="MQ289" s="302"/>
      <c r="MR289" s="302"/>
      <c r="MS289" s="302"/>
      <c r="MT289" s="302"/>
      <c r="MU289" s="302"/>
      <c r="MV289" s="302"/>
      <c r="MW289" s="302"/>
      <c r="MX289" s="302"/>
      <c r="MY289" s="302"/>
      <c r="MZ289" s="302"/>
      <c r="NA289" s="302"/>
      <c r="NB289" s="302"/>
      <c r="NC289" s="302"/>
      <c r="ND289" s="302"/>
      <c r="NE289" s="302"/>
      <c r="NF289" s="302"/>
      <c r="NG289" s="302"/>
      <c r="NH289" s="302"/>
      <c r="NI289" s="302"/>
      <c r="NJ289" s="302"/>
      <c r="NK289" s="302"/>
      <c r="NL289" s="302"/>
      <c r="NM289" s="302"/>
      <c r="NN289" s="302"/>
      <c r="NO289" s="302"/>
      <c r="NP289" s="302"/>
      <c r="NQ289" s="302"/>
      <c r="NR289" s="302"/>
      <c r="NS289" s="302"/>
      <c r="NT289" s="302"/>
      <c r="NU289" s="302"/>
      <c r="NV289" s="302"/>
      <c r="NW289" s="302"/>
      <c r="NX289" s="302"/>
      <c r="NY289" s="302"/>
      <c r="NZ289" s="302"/>
      <c r="OA289" s="302"/>
      <c r="OB289" s="302"/>
      <c r="OC289" s="302"/>
      <c r="OD289" s="302"/>
      <c r="OE289" s="302"/>
      <c r="OF289" s="302"/>
      <c r="OG289" s="302"/>
      <c r="OH289" s="302"/>
      <c r="OI289" s="302"/>
      <c r="OJ289" s="302"/>
      <c r="OK289" s="302"/>
      <c r="OL289" s="302"/>
      <c r="OM289" s="302"/>
      <c r="ON289" s="302"/>
      <c r="OO289" s="302"/>
      <c r="OP289" s="302"/>
      <c r="OQ289" s="302"/>
      <c r="OR289" s="302"/>
      <c r="OS289" s="302"/>
      <c r="OT289" s="302"/>
      <c r="OU289" s="302"/>
      <c r="OV289" s="302"/>
      <c r="OW289" s="302"/>
      <c r="OX289" s="302"/>
      <c r="OY289" s="302"/>
      <c r="OZ289" s="302"/>
      <c r="PA289" s="302"/>
      <c r="PB289" s="302"/>
      <c r="PC289" s="302"/>
      <c r="PD289" s="302"/>
      <c r="PE289" s="302"/>
      <c r="PF289" s="302"/>
      <c r="PG289" s="302"/>
      <c r="PH289" s="302"/>
      <c r="PI289" s="302"/>
      <c r="PJ289" s="302"/>
      <c r="PK289" s="302"/>
      <c r="PL289" s="302"/>
      <c r="PM289" s="302"/>
      <c r="PN289" s="302"/>
      <c r="PO289" s="302"/>
      <c r="PP289" s="302"/>
      <c r="PQ289" s="302"/>
      <c r="PR289" s="302"/>
      <c r="PS289" s="302"/>
      <c r="PT289" s="302"/>
      <c r="PU289" s="302"/>
      <c r="PV289" s="302"/>
      <c r="PW289" s="302"/>
      <c r="PX289" s="302"/>
      <c r="PY289" s="302"/>
      <c r="PZ289" s="302"/>
      <c r="QA289" s="302"/>
      <c r="QB289" s="302"/>
      <c r="QC289" s="302"/>
      <c r="QD289" s="302"/>
      <c r="QE289" s="302"/>
      <c r="QF289" s="302"/>
      <c r="QG289" s="302"/>
      <c r="QH289" s="302"/>
      <c r="QI289" s="302"/>
      <c r="QJ289" s="302"/>
      <c r="QK289" s="302"/>
      <c r="QL289" s="302"/>
      <c r="QM289" s="302"/>
      <c r="QN289" s="302"/>
      <c r="QO289" s="302"/>
      <c r="QP289" s="302"/>
      <c r="QQ289" s="302"/>
      <c r="QR289" s="302"/>
      <c r="QS289" s="302"/>
      <c r="QT289" s="302"/>
      <c r="QU289" s="302"/>
      <c r="QV289" s="302"/>
      <c r="QW289" s="302"/>
      <c r="QX289" s="302"/>
      <c r="QY289" s="302"/>
      <c r="QZ289" s="302"/>
      <c r="RA289" s="302"/>
      <c r="RB289" s="302"/>
      <c r="RC289" s="302"/>
      <c r="RD289" s="302"/>
      <c r="RE289" s="302"/>
      <c r="RF289" s="302"/>
      <c r="RG289" s="302"/>
      <c r="RH289" s="302"/>
      <c r="RI289" s="302"/>
      <c r="RJ289" s="302"/>
      <c r="RK289" s="302"/>
      <c r="RL289" s="302"/>
      <c r="RM289" s="302"/>
      <c r="RN289" s="302"/>
      <c r="RO289" s="302"/>
      <c r="RP289" s="302"/>
      <c r="RQ289" s="302"/>
      <c r="RR289" s="302"/>
      <c r="RS289" s="302"/>
      <c r="RT289" s="302"/>
      <c r="RU289" s="302"/>
      <c r="RV289" s="302"/>
      <c r="RW289" s="302"/>
      <c r="RX289" s="302"/>
      <c r="RY289" s="302"/>
      <c r="RZ289" s="302"/>
      <c r="SA289" s="302"/>
      <c r="SB289" s="302"/>
      <c r="SC289" s="302"/>
      <c r="SD289" s="302"/>
      <c r="SE289" s="302"/>
      <c r="SF289" s="302"/>
      <c r="SG289" s="302"/>
      <c r="SH289" s="302"/>
      <c r="SI289" s="302"/>
      <c r="SJ289" s="302"/>
      <c r="SK289" s="302"/>
      <c r="SL289" s="302"/>
      <c r="SM289" s="302"/>
      <c r="SN289" s="302"/>
      <c r="SO289" s="302"/>
      <c r="SP289" s="302"/>
      <c r="SQ289" s="302"/>
      <c r="SR289" s="302"/>
      <c r="SS289" s="302"/>
      <c r="ST289" s="302"/>
      <c r="SU289" s="302"/>
      <c r="SV289" s="302"/>
      <c r="SW289" s="302"/>
      <c r="SX289" s="302"/>
      <c r="SY289" s="302"/>
      <c r="SZ289" s="302"/>
      <c r="TA289" s="302"/>
      <c r="TB289" s="302"/>
      <c r="TC289" s="302"/>
      <c r="TD289" s="302"/>
      <c r="TE289" s="302"/>
      <c r="TF289" s="302"/>
      <c r="TG289" s="302"/>
      <c r="TH289" s="302"/>
      <c r="TI289" s="302"/>
      <c r="TJ289" s="302"/>
      <c r="TK289" s="302"/>
      <c r="TL289" s="302"/>
      <c r="TM289" s="302"/>
      <c r="TN289" s="302"/>
      <c r="TO289" s="302"/>
      <c r="TP289" s="302"/>
      <c r="TQ289" s="302"/>
      <c r="TR289" s="302"/>
      <c r="TS289" s="302"/>
      <c r="TT289" s="302"/>
      <c r="TU289" s="302"/>
      <c r="TV289" s="302"/>
      <c r="TW289" s="302"/>
      <c r="TX289" s="302"/>
      <c r="TY289" s="302"/>
      <c r="TZ289" s="302"/>
      <c r="UA289" s="302"/>
      <c r="UB289" s="302"/>
      <c r="UC289" s="302"/>
      <c r="UD289" s="302"/>
      <c r="UE289" s="302"/>
      <c r="UF289" s="302"/>
      <c r="UG289" s="302"/>
      <c r="UH289" s="302"/>
      <c r="UI289" s="302"/>
      <c r="UJ289" s="302"/>
      <c r="UK289" s="302"/>
      <c r="UL289" s="302"/>
      <c r="UM289" s="302"/>
      <c r="UN289" s="302"/>
      <c r="UO289" s="302"/>
      <c r="UP289" s="302"/>
      <c r="UQ289" s="302"/>
      <c r="UR289" s="302"/>
      <c r="US289" s="302"/>
      <c r="UT289" s="302"/>
      <c r="UU289" s="302"/>
      <c r="UV289" s="302"/>
      <c r="UW289" s="302"/>
      <c r="UX289" s="302"/>
      <c r="UY289" s="302"/>
      <c r="UZ289" s="302"/>
      <c r="VA289" s="302"/>
      <c r="VB289" s="302"/>
      <c r="VC289" s="302"/>
      <c r="VD289" s="302"/>
      <c r="VE289" s="302"/>
      <c r="VF289" s="302"/>
      <c r="VG289" s="302"/>
      <c r="VH289" s="302"/>
      <c r="VI289" s="302"/>
      <c r="VJ289" s="302"/>
      <c r="VK289" s="302"/>
      <c r="VL289" s="302"/>
      <c r="VM289" s="302"/>
      <c r="VN289" s="302"/>
      <c r="VO289" s="302"/>
      <c r="VP289" s="302"/>
      <c r="VQ289" s="302"/>
      <c r="VR289" s="302"/>
      <c r="VS289" s="302"/>
      <c r="VT289" s="302"/>
      <c r="VU289" s="302"/>
      <c r="VV289" s="302"/>
      <c r="VW289" s="302"/>
      <c r="VX289" s="302"/>
      <c r="VY289" s="302"/>
      <c r="VZ289" s="302"/>
      <c r="WA289" s="302"/>
      <c r="WB289" s="302"/>
      <c r="WC289" s="302"/>
      <c r="WD289" s="302"/>
      <c r="WE289" s="302"/>
      <c r="WF289" s="302"/>
      <c r="WG289" s="302"/>
      <c r="WH289" s="302"/>
      <c r="WI289" s="302"/>
      <c r="WJ289" s="302"/>
      <c r="WK289" s="302"/>
      <c r="WL289" s="302"/>
      <c r="WM289" s="302"/>
      <c r="WN289" s="302"/>
      <c r="WO289" s="302"/>
      <c r="WP289" s="302"/>
      <c r="WQ289" s="302"/>
      <c r="WR289" s="302"/>
      <c r="WS289" s="302"/>
      <c r="WT289" s="302"/>
      <c r="WU289" s="302"/>
      <c r="WV289" s="302"/>
      <c r="WW289" s="302"/>
      <c r="WX289" s="302"/>
      <c r="WY289" s="302"/>
      <c r="WZ289" s="302"/>
      <c r="XA289" s="302"/>
      <c r="XB289" s="302"/>
      <c r="XC289" s="302"/>
      <c r="XD289" s="302"/>
      <c r="XE289" s="302"/>
      <c r="XF289" s="302"/>
      <c r="XG289" s="302"/>
      <c r="XH289" s="302"/>
      <c r="XI289" s="302"/>
      <c r="XJ289" s="302"/>
      <c r="XK289" s="302"/>
      <c r="XL289" s="302"/>
      <c r="XM289" s="302"/>
      <c r="XN289" s="302"/>
      <c r="XO289" s="302"/>
      <c r="XP289" s="302"/>
      <c r="XQ289" s="302"/>
      <c r="XR289" s="302"/>
      <c r="XS289" s="302"/>
      <c r="XT289" s="302"/>
      <c r="XU289" s="302"/>
      <c r="XV289" s="302"/>
      <c r="XW289" s="302"/>
      <c r="XX289" s="302"/>
      <c r="XY289" s="302"/>
      <c r="XZ289" s="302"/>
      <c r="YA289" s="302"/>
      <c r="YB289" s="302"/>
      <c r="YC289" s="302"/>
      <c r="YD289" s="302"/>
      <c r="YE289" s="302"/>
      <c r="YF289" s="302"/>
      <c r="YG289" s="302"/>
      <c r="YH289" s="302"/>
      <c r="YI289" s="302"/>
      <c r="YJ289" s="302"/>
      <c r="YK289" s="302"/>
      <c r="YL289" s="302"/>
      <c r="YM289" s="302"/>
      <c r="YN289" s="302"/>
      <c r="YO289" s="302"/>
      <c r="YP289" s="302"/>
      <c r="YQ289" s="302"/>
      <c r="YR289" s="302"/>
      <c r="YS289" s="302"/>
      <c r="YT289" s="302"/>
      <c r="YU289" s="302"/>
      <c r="YV289" s="302"/>
      <c r="YW289" s="302"/>
      <c r="YX289" s="302"/>
      <c r="YY289" s="302"/>
      <c r="YZ289" s="302"/>
      <c r="ZA289" s="302"/>
      <c r="ZB289" s="302"/>
      <c r="ZC289" s="302"/>
      <c r="ZD289" s="302"/>
      <c r="ZE289" s="302"/>
      <c r="ZF289" s="302"/>
      <c r="ZG289" s="302"/>
      <c r="ZH289" s="302"/>
      <c r="ZI289" s="302"/>
      <c r="ZJ289" s="302"/>
      <c r="ZK289" s="302"/>
      <c r="ZL289" s="302"/>
      <c r="ZM289" s="302"/>
      <c r="ZN289" s="302"/>
      <c r="ZO289" s="302"/>
      <c r="ZP289" s="302"/>
      <c r="ZQ289" s="302"/>
      <c r="ZR289" s="302"/>
      <c r="ZS289" s="302"/>
      <c r="ZT289" s="302"/>
      <c r="ZU289" s="302"/>
      <c r="ZV289" s="302"/>
      <c r="ZW289" s="302"/>
      <c r="ZX289" s="302"/>
      <c r="ZY289" s="302"/>
      <c r="ZZ289" s="302"/>
      <c r="AAA289" s="302"/>
      <c r="AAB289" s="302"/>
      <c r="AAC289" s="302"/>
      <c r="AAD289" s="302"/>
      <c r="AAE289" s="302"/>
      <c r="AAF289" s="302"/>
      <c r="AAG289" s="302"/>
      <c r="AAH289" s="302"/>
      <c r="AAI289" s="302"/>
      <c r="AAJ289" s="302"/>
      <c r="AAK289" s="302"/>
      <c r="AAL289" s="302"/>
      <c r="AAM289" s="302"/>
      <c r="AAN289" s="302"/>
      <c r="AAO289" s="302"/>
      <c r="AAP289" s="302"/>
      <c r="AAQ289" s="302"/>
      <c r="AAR289" s="302"/>
      <c r="AAS289" s="302"/>
      <c r="AAT289" s="302"/>
      <c r="AAU289" s="302"/>
      <c r="AAV289" s="302"/>
      <c r="AAW289" s="302"/>
      <c r="AAX289" s="302"/>
      <c r="AAY289" s="302"/>
      <c r="AAZ289" s="302"/>
      <c r="ABA289" s="302"/>
      <c r="ABB289" s="302"/>
      <c r="ABC289" s="302"/>
      <c r="ABD289" s="302"/>
      <c r="ABE289" s="302"/>
      <c r="ABF289" s="302"/>
      <c r="ABG289" s="302"/>
      <c r="ABH289" s="302"/>
      <c r="ABI289" s="302"/>
      <c r="ABJ289" s="302"/>
      <c r="ABK289" s="302"/>
      <c r="ABL289" s="302"/>
      <c r="ABM289" s="302"/>
      <c r="ABN289" s="302"/>
      <c r="ABO289" s="302"/>
      <c r="ABP289" s="302"/>
      <c r="ABQ289" s="302"/>
      <c r="ABR289" s="302"/>
      <c r="ABS289" s="302"/>
      <c r="ABT289" s="302"/>
      <c r="ABU289" s="302"/>
      <c r="ABV289" s="302"/>
      <c r="ABW289" s="302"/>
      <c r="ABX289" s="302"/>
      <c r="ABY289" s="302"/>
      <c r="ABZ289" s="302"/>
      <c r="ACA289" s="302"/>
      <c r="ACB289" s="302"/>
      <c r="ACC289" s="302"/>
      <c r="ACD289" s="302"/>
      <c r="ACE289" s="302"/>
      <c r="ACF289" s="302"/>
      <c r="ACG289" s="302"/>
      <c r="ACH289" s="302"/>
      <c r="ACI289" s="302"/>
      <c r="ACJ289" s="302"/>
      <c r="ACK289" s="302"/>
      <c r="ACL289" s="302"/>
      <c r="ACM289" s="302"/>
      <c r="ACN289" s="302"/>
      <c r="ACO289" s="302"/>
      <c r="ACP289" s="302"/>
      <c r="ACQ289" s="302"/>
      <c r="ACR289" s="302"/>
      <c r="ACS289" s="302"/>
      <c r="ACT289" s="302"/>
      <c r="ACU289" s="302"/>
      <c r="ACV289" s="302"/>
      <c r="ACW289" s="302"/>
      <c r="ACX289" s="302"/>
      <c r="ACY289" s="302"/>
      <c r="ACZ289" s="302"/>
      <c r="ADA289" s="302"/>
      <c r="ADB289" s="302"/>
      <c r="ADC289" s="302"/>
      <c r="ADD289" s="302"/>
      <c r="ADE289" s="302"/>
      <c r="ADF289" s="302"/>
      <c r="ADG289" s="302"/>
      <c r="ADH289" s="302"/>
      <c r="ADI289" s="302"/>
      <c r="ADJ289" s="302"/>
      <c r="ADK289" s="302"/>
      <c r="ADL289" s="302"/>
      <c r="ADM289" s="302"/>
      <c r="ADN289" s="302"/>
      <c r="ADO289" s="302"/>
      <c r="ADP289" s="302"/>
      <c r="ADQ289" s="302"/>
      <c r="ADR289" s="302"/>
      <c r="ADS289" s="302"/>
      <c r="ADT289" s="302"/>
      <c r="ADU289" s="302"/>
      <c r="ADV289" s="302"/>
      <c r="ADW289" s="302"/>
      <c r="ADX289" s="302"/>
      <c r="ADY289" s="302"/>
      <c r="ADZ289" s="302"/>
      <c r="AEA289" s="302"/>
      <c r="AEB289" s="302"/>
      <c r="AEC289" s="302"/>
      <c r="AED289" s="302"/>
      <c r="AEE289" s="302"/>
      <c r="AEF289" s="302"/>
      <c r="AEG289" s="302"/>
      <c r="AEH289" s="302"/>
      <c r="AEI289" s="302"/>
      <c r="AEJ289" s="302"/>
      <c r="AEK289" s="302"/>
      <c r="AEL289" s="302"/>
      <c r="AEM289" s="302"/>
      <c r="AEN289" s="302"/>
      <c r="AEO289" s="302"/>
      <c r="AEP289" s="302"/>
      <c r="AEQ289" s="302"/>
      <c r="AER289" s="302"/>
      <c r="AES289" s="302"/>
      <c r="AET289" s="302"/>
      <c r="AEU289" s="302"/>
      <c r="AEV289" s="302"/>
      <c r="AEW289" s="302"/>
      <c r="AEX289" s="302"/>
      <c r="AEY289" s="302"/>
      <c r="AEZ289" s="302"/>
      <c r="AFA289" s="302"/>
      <c r="AFB289" s="302"/>
      <c r="AFC289" s="302"/>
      <c r="AFD289" s="302"/>
      <c r="AFE289" s="302"/>
      <c r="AFF289" s="302"/>
      <c r="AFG289" s="302"/>
      <c r="AFH289" s="302"/>
      <c r="AFI289" s="302"/>
      <c r="AFJ289" s="302"/>
      <c r="AFK289" s="302"/>
      <c r="AFL289" s="302"/>
      <c r="AFM289" s="302"/>
      <c r="AFN289" s="302"/>
      <c r="AFO289" s="302"/>
      <c r="AFP289" s="302"/>
      <c r="AFQ289" s="302"/>
      <c r="AFR289" s="302"/>
      <c r="AFS289" s="302"/>
      <c r="AFT289" s="302"/>
      <c r="AFU289" s="302"/>
      <c r="AFV289" s="302"/>
      <c r="AFW289" s="302"/>
      <c r="AFX289" s="302"/>
      <c r="AFY289" s="302"/>
      <c r="AFZ289" s="302"/>
      <c r="AGA289" s="302"/>
      <c r="AGB289" s="302"/>
      <c r="AGC289" s="302"/>
      <c r="AGD289" s="302"/>
      <c r="AGE289" s="302"/>
      <c r="AGF289" s="302"/>
      <c r="AGG289" s="302"/>
      <c r="AGH289" s="302"/>
      <c r="AGI289" s="302"/>
      <c r="AGJ289" s="302"/>
      <c r="AGK289" s="302"/>
      <c r="AGL289" s="302"/>
      <c r="AGM289" s="302"/>
      <c r="AGN289" s="302"/>
      <c r="AGO289" s="302"/>
      <c r="AGP289" s="302"/>
      <c r="AGQ289" s="302"/>
      <c r="AGR289" s="302"/>
      <c r="AGS289" s="302"/>
      <c r="AGT289" s="302"/>
      <c r="AGU289" s="302"/>
      <c r="AGV289" s="302"/>
      <c r="AGW289" s="302"/>
      <c r="AGX289" s="302"/>
      <c r="AGY289" s="302"/>
      <c r="AGZ289" s="302"/>
      <c r="AHA289" s="302"/>
      <c r="AHB289" s="302"/>
      <c r="AHC289" s="302"/>
      <c r="AHD289" s="302"/>
      <c r="AHE289" s="302"/>
      <c r="AHF289" s="302"/>
      <c r="AHG289" s="302"/>
      <c r="AHH289" s="302"/>
      <c r="AHI289" s="302"/>
      <c r="AHJ289" s="302"/>
      <c r="AHK289" s="302"/>
      <c r="AHL289" s="302"/>
      <c r="AHM289" s="302"/>
      <c r="AHN289" s="302"/>
      <c r="AHO289" s="302"/>
      <c r="AHP289" s="302"/>
      <c r="AHQ289" s="302"/>
      <c r="AHR289" s="302"/>
      <c r="AHS289" s="302"/>
      <c r="AHT289" s="302"/>
      <c r="AHU289" s="302"/>
      <c r="AHV289" s="302"/>
      <c r="AHW289" s="302"/>
      <c r="AHX289" s="302"/>
      <c r="AHY289" s="302"/>
      <c r="AHZ289" s="302"/>
      <c r="AIA289" s="302"/>
      <c r="AIB289" s="302"/>
      <c r="AIC289" s="302"/>
      <c r="AID289" s="302"/>
      <c r="AIE289" s="302"/>
      <c r="AIF289" s="302"/>
      <c r="AIG289" s="302"/>
      <c r="AIH289" s="302"/>
      <c r="AII289" s="302"/>
      <c r="AIJ289" s="302"/>
      <c r="AIK289" s="302"/>
      <c r="AIL289" s="302"/>
      <c r="AIM289" s="302"/>
      <c r="AIN289" s="302"/>
      <c r="AIO289" s="302"/>
      <c r="AIP289" s="302"/>
      <c r="AIQ289" s="302"/>
      <c r="AIR289" s="302"/>
      <c r="AIS289" s="302"/>
      <c r="AIT289" s="302"/>
      <c r="AIU289" s="302"/>
      <c r="AIV289" s="302"/>
      <c r="AIW289" s="302"/>
      <c r="AIX289" s="302"/>
      <c r="AIY289" s="302"/>
      <c r="AIZ289" s="302"/>
      <c r="AJA289" s="302"/>
      <c r="AJB289" s="302"/>
      <c r="AJC289" s="302"/>
      <c r="AJD289" s="302"/>
      <c r="AJE289" s="302"/>
      <c r="AJF289" s="302"/>
      <c r="AJG289" s="302"/>
      <c r="AJH289" s="302"/>
      <c r="AJI289" s="302"/>
      <c r="AJJ289" s="302"/>
      <c r="AJK289" s="302"/>
      <c r="AJL289" s="302"/>
      <c r="AJM289" s="302"/>
      <c r="AJN289" s="302"/>
      <c r="AJO289" s="302"/>
      <c r="AJP289" s="302"/>
      <c r="AJQ289" s="302"/>
      <c r="AJR289" s="302"/>
      <c r="AJS289" s="302"/>
      <c r="AJT289" s="302"/>
      <c r="AJU289" s="302"/>
      <c r="AJV289" s="302"/>
      <c r="AJW289" s="302"/>
      <c r="AJX289" s="302"/>
      <c r="AJY289" s="302"/>
      <c r="AJZ289" s="302"/>
      <c r="AKA289" s="302"/>
      <c r="AKB289" s="302"/>
      <c r="AKC289" s="302"/>
      <c r="AKD289" s="302"/>
      <c r="AKE289" s="302"/>
      <c r="AKF289" s="302"/>
      <c r="AKG289" s="302"/>
      <c r="AKH289" s="302"/>
      <c r="AKI289" s="302"/>
      <c r="AKJ289" s="302"/>
      <c r="AKK289" s="302"/>
      <c r="AKL289" s="302"/>
      <c r="AKM289" s="302"/>
      <c r="AKN289" s="302"/>
      <c r="AKO289" s="302"/>
      <c r="AKP289" s="302"/>
      <c r="AKQ289" s="302"/>
      <c r="AKR289" s="302"/>
      <c r="AKS289" s="302"/>
      <c r="AKT289" s="302"/>
      <c r="AKU289" s="302"/>
      <c r="AKV289" s="302"/>
      <c r="AKW289" s="302"/>
      <c r="AKX289" s="302"/>
      <c r="AKY289" s="302"/>
      <c r="AKZ289" s="302"/>
      <c r="ALA289" s="302"/>
      <c r="ALB289" s="302"/>
      <c r="ALC289" s="302"/>
      <c r="ALD289" s="302"/>
      <c r="ALE289" s="302"/>
      <c r="ALF289" s="302"/>
      <c r="ALG289" s="302"/>
      <c r="ALH289" s="302"/>
      <c r="ALI289" s="302"/>
      <c r="ALJ289" s="302"/>
      <c r="ALK289" s="302"/>
      <c r="ALL289" s="302"/>
      <c r="ALM289" s="302"/>
      <c r="ALN289" s="302"/>
      <c r="ALO289" s="302"/>
      <c r="ALP289" s="302"/>
      <c r="ALQ289" s="302"/>
      <c r="ALR289" s="302"/>
      <c r="ALS289" s="302"/>
      <c r="ALT289" s="302"/>
      <c r="ALU289" s="302"/>
      <c r="ALV289" s="302"/>
      <c r="ALW289" s="302"/>
      <c r="ALX289" s="302"/>
      <c r="ALY289" s="302"/>
      <c r="ALZ289" s="302"/>
      <c r="AMA289" s="302"/>
      <c r="AMB289" s="302"/>
      <c r="AMC289" s="302"/>
      <c r="AMD289" s="302"/>
      <c r="AME289" s="302"/>
      <c r="AMF289" s="302"/>
      <c r="AMG289" s="302"/>
      <c r="AMH289" s="302"/>
      <c r="AMI289" s="302"/>
    </row>
    <row r="290" spans="1:1023" hidden="1">
      <c r="A290" s="302"/>
      <c r="B290" s="443">
        <v>14238</v>
      </c>
      <c r="C290" s="521">
        <v>0.08</v>
      </c>
      <c r="D290" s="370" t="s">
        <v>205</v>
      </c>
      <c r="E290" s="401">
        <v>3100000</v>
      </c>
      <c r="F290" s="500">
        <v>0.02</v>
      </c>
      <c r="G290" s="364">
        <f t="shared" si="16"/>
        <v>62000</v>
      </c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  <c r="AD290" s="302"/>
      <c r="AE290" s="302"/>
      <c r="AF290" s="302"/>
      <c r="AG290" s="302"/>
      <c r="AH290" s="302"/>
      <c r="AI290" s="302"/>
      <c r="AJ290" s="302"/>
      <c r="AK290" s="302"/>
      <c r="AL290" s="302"/>
      <c r="AM290" s="302"/>
      <c r="AN290" s="302"/>
      <c r="AO290" s="302"/>
      <c r="AP290" s="302"/>
      <c r="AQ290" s="302"/>
      <c r="AR290" s="302"/>
      <c r="AS290" s="302"/>
      <c r="AT290" s="302"/>
      <c r="AU290" s="302"/>
      <c r="AV290" s="302"/>
      <c r="AW290" s="302"/>
      <c r="AX290" s="302"/>
      <c r="AY290" s="302"/>
      <c r="AZ290" s="302"/>
      <c r="BA290" s="302"/>
      <c r="BB290" s="302"/>
      <c r="BC290" s="302"/>
      <c r="BD290" s="302"/>
      <c r="BE290" s="302"/>
      <c r="BF290" s="302"/>
      <c r="BG290" s="302"/>
      <c r="BH290" s="302"/>
      <c r="BI290" s="302"/>
      <c r="BJ290" s="302"/>
      <c r="BK290" s="302"/>
      <c r="BL290" s="302"/>
      <c r="BM290" s="302"/>
      <c r="BN290" s="302"/>
      <c r="BO290" s="302"/>
      <c r="BP290" s="302"/>
      <c r="BQ290" s="302"/>
      <c r="BR290" s="302"/>
      <c r="BS290" s="302"/>
      <c r="BT290" s="302"/>
      <c r="BU290" s="302"/>
      <c r="BV290" s="302"/>
      <c r="BW290" s="302"/>
      <c r="BX290" s="302"/>
      <c r="BY290" s="302"/>
      <c r="BZ290" s="302"/>
      <c r="CA290" s="302"/>
      <c r="CB290" s="302"/>
      <c r="CC290" s="302"/>
      <c r="CD290" s="302"/>
      <c r="CE290" s="302"/>
      <c r="CF290" s="302"/>
      <c r="CG290" s="302"/>
      <c r="CH290" s="302"/>
      <c r="CI290" s="302"/>
      <c r="CJ290" s="302"/>
      <c r="CK290" s="302"/>
      <c r="CL290" s="302"/>
      <c r="CM290" s="302"/>
      <c r="CN290" s="302"/>
      <c r="CO290" s="302"/>
      <c r="CP290" s="302"/>
      <c r="CQ290" s="302"/>
      <c r="CR290" s="302"/>
      <c r="CS290" s="302"/>
      <c r="CT290" s="302"/>
      <c r="CU290" s="302"/>
      <c r="CV290" s="302"/>
      <c r="CW290" s="302"/>
      <c r="CX290" s="302"/>
      <c r="CY290" s="302"/>
      <c r="CZ290" s="302"/>
      <c r="DA290" s="302"/>
      <c r="DB290" s="302"/>
      <c r="DC290" s="302"/>
      <c r="DD290" s="302"/>
      <c r="DE290" s="302"/>
      <c r="DF290" s="302"/>
      <c r="DG290" s="302"/>
      <c r="DH290" s="302"/>
      <c r="DI290" s="302"/>
      <c r="DJ290" s="302"/>
      <c r="DK290" s="302"/>
      <c r="DL290" s="302"/>
      <c r="DM290" s="302"/>
      <c r="DN290" s="302"/>
      <c r="DO290" s="302"/>
      <c r="DP290" s="302"/>
      <c r="DQ290" s="302"/>
      <c r="DR290" s="302"/>
      <c r="DS290" s="302"/>
      <c r="DT290" s="302"/>
      <c r="DU290" s="302"/>
      <c r="DV290" s="302"/>
      <c r="DW290" s="302"/>
      <c r="DX290" s="302"/>
      <c r="DY290" s="302"/>
      <c r="DZ290" s="302"/>
      <c r="EA290" s="302"/>
      <c r="EB290" s="302"/>
      <c r="EC290" s="302"/>
      <c r="ED290" s="302"/>
      <c r="EE290" s="302"/>
      <c r="EF290" s="302"/>
      <c r="EG290" s="302"/>
      <c r="EH290" s="302"/>
      <c r="EI290" s="302"/>
      <c r="EJ290" s="302"/>
      <c r="EK290" s="302"/>
      <c r="EL290" s="302"/>
      <c r="EM290" s="302"/>
      <c r="EN290" s="302"/>
      <c r="EO290" s="302"/>
      <c r="EP290" s="302"/>
      <c r="EQ290" s="302"/>
      <c r="ER290" s="302"/>
      <c r="ES290" s="302"/>
      <c r="ET290" s="302"/>
      <c r="EU290" s="302"/>
      <c r="EV290" s="302"/>
      <c r="EW290" s="302"/>
      <c r="EX290" s="302"/>
      <c r="EY290" s="302"/>
      <c r="EZ290" s="302"/>
      <c r="FA290" s="302"/>
      <c r="FB290" s="302"/>
      <c r="FC290" s="302"/>
      <c r="FD290" s="302"/>
      <c r="FE290" s="302"/>
      <c r="FF290" s="302"/>
      <c r="FG290" s="302"/>
      <c r="FH290" s="302"/>
      <c r="FI290" s="302"/>
      <c r="FJ290" s="302"/>
      <c r="FK290" s="302"/>
      <c r="FL290" s="302"/>
      <c r="FM290" s="302"/>
      <c r="FN290" s="302"/>
      <c r="FO290" s="302"/>
      <c r="FP290" s="302"/>
      <c r="FQ290" s="302"/>
      <c r="FR290" s="302"/>
      <c r="FS290" s="302"/>
      <c r="FT290" s="302"/>
      <c r="FU290" s="302"/>
      <c r="FV290" s="302"/>
      <c r="FW290" s="302"/>
      <c r="FX290" s="302"/>
      <c r="FY290" s="302"/>
      <c r="FZ290" s="302"/>
      <c r="GA290" s="302"/>
      <c r="GB290" s="302"/>
      <c r="GC290" s="302"/>
      <c r="GD290" s="302"/>
      <c r="GE290" s="302"/>
      <c r="GF290" s="302"/>
      <c r="GG290" s="302"/>
      <c r="GH290" s="302"/>
      <c r="GI290" s="302"/>
      <c r="GJ290" s="302"/>
      <c r="GK290" s="302"/>
      <c r="GL290" s="302"/>
      <c r="GM290" s="302"/>
      <c r="GN290" s="302"/>
      <c r="GO290" s="302"/>
      <c r="GP290" s="302"/>
      <c r="GQ290" s="302"/>
      <c r="GR290" s="302"/>
      <c r="GS290" s="302"/>
      <c r="GT290" s="302"/>
      <c r="GU290" s="302"/>
      <c r="GV290" s="302"/>
      <c r="GW290" s="302"/>
      <c r="GX290" s="302"/>
      <c r="GY290" s="302"/>
      <c r="GZ290" s="302"/>
      <c r="HA290" s="302"/>
      <c r="HB290" s="302"/>
      <c r="HC290" s="302"/>
      <c r="HD290" s="302"/>
      <c r="HE290" s="302"/>
      <c r="HF290" s="302"/>
      <c r="HG290" s="302"/>
      <c r="HH290" s="302"/>
      <c r="HI290" s="302"/>
      <c r="HJ290" s="302"/>
      <c r="HK290" s="302"/>
      <c r="HL290" s="302"/>
      <c r="HM290" s="302"/>
      <c r="HN290" s="302"/>
      <c r="HO290" s="302"/>
      <c r="HP290" s="302"/>
      <c r="HQ290" s="302"/>
      <c r="HR290" s="302"/>
      <c r="HS290" s="302"/>
      <c r="HT290" s="302"/>
      <c r="HU290" s="302"/>
      <c r="HV290" s="302"/>
      <c r="HW290" s="302"/>
      <c r="HX290" s="302"/>
      <c r="HY290" s="302"/>
      <c r="HZ290" s="302"/>
      <c r="IA290" s="302"/>
      <c r="IB290" s="302"/>
      <c r="IC290" s="302"/>
      <c r="ID290" s="302"/>
      <c r="IE290" s="302"/>
      <c r="IF290" s="302"/>
      <c r="IG290" s="302"/>
      <c r="IH290" s="302"/>
      <c r="II290" s="302"/>
      <c r="IJ290" s="302"/>
      <c r="IK290" s="302"/>
      <c r="IL290" s="302"/>
      <c r="IM290" s="302"/>
      <c r="IN290" s="302"/>
      <c r="IO290" s="302"/>
      <c r="IP290" s="302"/>
      <c r="IQ290" s="302"/>
      <c r="IR290" s="302"/>
      <c r="IS290" s="302"/>
      <c r="IT290" s="302"/>
      <c r="IU290" s="302"/>
      <c r="IV290" s="302"/>
      <c r="IW290" s="302"/>
      <c r="IX290" s="302"/>
      <c r="IY290" s="302"/>
      <c r="IZ290" s="302"/>
      <c r="JA290" s="302"/>
      <c r="JB290" s="302"/>
      <c r="JC290" s="302"/>
      <c r="JD290" s="302"/>
      <c r="JE290" s="302"/>
      <c r="JF290" s="302"/>
      <c r="JG290" s="302"/>
      <c r="JH290" s="302"/>
      <c r="JI290" s="302"/>
      <c r="JJ290" s="302"/>
      <c r="JK290" s="302"/>
      <c r="JL290" s="302"/>
      <c r="JM290" s="302"/>
      <c r="JN290" s="302"/>
      <c r="JO290" s="302"/>
      <c r="JP290" s="302"/>
      <c r="JQ290" s="302"/>
      <c r="JR290" s="302"/>
      <c r="JS290" s="302"/>
      <c r="JT290" s="302"/>
      <c r="JU290" s="302"/>
      <c r="JV290" s="302"/>
      <c r="JW290" s="302"/>
      <c r="JX290" s="302"/>
      <c r="JY290" s="302"/>
      <c r="JZ290" s="302"/>
      <c r="KA290" s="302"/>
      <c r="KB290" s="302"/>
      <c r="KC290" s="302"/>
      <c r="KD290" s="302"/>
      <c r="KE290" s="302"/>
      <c r="KF290" s="302"/>
      <c r="KG290" s="302"/>
      <c r="KH290" s="302"/>
      <c r="KI290" s="302"/>
      <c r="KJ290" s="302"/>
      <c r="KK290" s="302"/>
      <c r="KL290" s="302"/>
      <c r="KM290" s="302"/>
      <c r="KN290" s="302"/>
      <c r="KO290" s="302"/>
      <c r="KP290" s="302"/>
      <c r="KQ290" s="302"/>
      <c r="KR290" s="302"/>
      <c r="KS290" s="302"/>
      <c r="KT290" s="302"/>
      <c r="KU290" s="302"/>
      <c r="KV290" s="302"/>
      <c r="KW290" s="302"/>
      <c r="KX290" s="302"/>
      <c r="KY290" s="302"/>
      <c r="KZ290" s="302"/>
      <c r="LA290" s="302"/>
      <c r="LB290" s="302"/>
      <c r="LC290" s="302"/>
      <c r="LD290" s="302"/>
      <c r="LE290" s="302"/>
      <c r="LF290" s="302"/>
      <c r="LG290" s="302"/>
      <c r="LH290" s="302"/>
      <c r="LI290" s="302"/>
      <c r="LJ290" s="302"/>
      <c r="LK290" s="302"/>
      <c r="LL290" s="302"/>
      <c r="LM290" s="302"/>
      <c r="LN290" s="302"/>
      <c r="LO290" s="302"/>
      <c r="LP290" s="302"/>
      <c r="LQ290" s="302"/>
      <c r="LR290" s="302"/>
      <c r="LS290" s="302"/>
      <c r="LT290" s="302"/>
      <c r="LU290" s="302"/>
      <c r="LV290" s="302"/>
      <c r="LW290" s="302"/>
      <c r="LX290" s="302"/>
      <c r="LY290" s="302"/>
      <c r="LZ290" s="302"/>
      <c r="MA290" s="302"/>
      <c r="MB290" s="302"/>
      <c r="MC290" s="302"/>
      <c r="MD290" s="302"/>
      <c r="ME290" s="302"/>
      <c r="MF290" s="302"/>
      <c r="MG290" s="302"/>
      <c r="MH290" s="302"/>
      <c r="MI290" s="302"/>
      <c r="MJ290" s="302"/>
      <c r="MK290" s="302"/>
      <c r="ML290" s="302"/>
      <c r="MM290" s="302"/>
      <c r="MN290" s="302"/>
      <c r="MO290" s="302"/>
      <c r="MP290" s="302"/>
      <c r="MQ290" s="302"/>
      <c r="MR290" s="302"/>
      <c r="MS290" s="302"/>
      <c r="MT290" s="302"/>
      <c r="MU290" s="302"/>
      <c r="MV290" s="302"/>
      <c r="MW290" s="302"/>
      <c r="MX290" s="302"/>
      <c r="MY290" s="302"/>
      <c r="MZ290" s="302"/>
      <c r="NA290" s="302"/>
      <c r="NB290" s="302"/>
      <c r="NC290" s="302"/>
      <c r="ND290" s="302"/>
      <c r="NE290" s="302"/>
      <c r="NF290" s="302"/>
      <c r="NG290" s="302"/>
      <c r="NH290" s="302"/>
      <c r="NI290" s="302"/>
      <c r="NJ290" s="302"/>
      <c r="NK290" s="302"/>
      <c r="NL290" s="302"/>
      <c r="NM290" s="302"/>
      <c r="NN290" s="302"/>
      <c r="NO290" s="302"/>
      <c r="NP290" s="302"/>
      <c r="NQ290" s="302"/>
      <c r="NR290" s="302"/>
      <c r="NS290" s="302"/>
      <c r="NT290" s="302"/>
      <c r="NU290" s="302"/>
      <c r="NV290" s="302"/>
      <c r="NW290" s="302"/>
      <c r="NX290" s="302"/>
      <c r="NY290" s="302"/>
      <c r="NZ290" s="302"/>
      <c r="OA290" s="302"/>
      <c r="OB290" s="302"/>
      <c r="OC290" s="302"/>
      <c r="OD290" s="302"/>
      <c r="OE290" s="302"/>
      <c r="OF290" s="302"/>
      <c r="OG290" s="302"/>
      <c r="OH290" s="302"/>
      <c r="OI290" s="302"/>
      <c r="OJ290" s="302"/>
      <c r="OK290" s="302"/>
      <c r="OL290" s="302"/>
      <c r="OM290" s="302"/>
      <c r="ON290" s="302"/>
      <c r="OO290" s="302"/>
      <c r="OP290" s="302"/>
      <c r="OQ290" s="302"/>
      <c r="OR290" s="302"/>
      <c r="OS290" s="302"/>
      <c r="OT290" s="302"/>
      <c r="OU290" s="302"/>
      <c r="OV290" s="302"/>
      <c r="OW290" s="302"/>
      <c r="OX290" s="302"/>
      <c r="OY290" s="302"/>
      <c r="OZ290" s="302"/>
      <c r="PA290" s="302"/>
      <c r="PB290" s="302"/>
      <c r="PC290" s="302"/>
      <c r="PD290" s="302"/>
      <c r="PE290" s="302"/>
      <c r="PF290" s="302"/>
      <c r="PG290" s="302"/>
      <c r="PH290" s="302"/>
      <c r="PI290" s="302"/>
      <c r="PJ290" s="302"/>
      <c r="PK290" s="302"/>
      <c r="PL290" s="302"/>
      <c r="PM290" s="302"/>
      <c r="PN290" s="302"/>
      <c r="PO290" s="302"/>
      <c r="PP290" s="302"/>
      <c r="PQ290" s="302"/>
      <c r="PR290" s="302"/>
      <c r="PS290" s="302"/>
      <c r="PT290" s="302"/>
      <c r="PU290" s="302"/>
      <c r="PV290" s="302"/>
      <c r="PW290" s="302"/>
      <c r="PX290" s="302"/>
      <c r="PY290" s="302"/>
      <c r="PZ290" s="302"/>
      <c r="QA290" s="302"/>
      <c r="QB290" s="302"/>
      <c r="QC290" s="302"/>
      <c r="QD290" s="302"/>
      <c r="QE290" s="302"/>
      <c r="QF290" s="302"/>
      <c r="QG290" s="302"/>
      <c r="QH290" s="302"/>
      <c r="QI290" s="302"/>
      <c r="QJ290" s="302"/>
      <c r="QK290" s="302"/>
      <c r="QL290" s="302"/>
      <c r="QM290" s="302"/>
      <c r="QN290" s="302"/>
      <c r="QO290" s="302"/>
      <c r="QP290" s="302"/>
      <c r="QQ290" s="302"/>
      <c r="QR290" s="302"/>
      <c r="QS290" s="302"/>
      <c r="QT290" s="302"/>
      <c r="QU290" s="302"/>
      <c r="QV290" s="302"/>
      <c r="QW290" s="302"/>
      <c r="QX290" s="302"/>
      <c r="QY290" s="302"/>
      <c r="QZ290" s="302"/>
      <c r="RA290" s="302"/>
      <c r="RB290" s="302"/>
      <c r="RC290" s="302"/>
      <c r="RD290" s="302"/>
      <c r="RE290" s="302"/>
      <c r="RF290" s="302"/>
      <c r="RG290" s="302"/>
      <c r="RH290" s="302"/>
      <c r="RI290" s="302"/>
      <c r="RJ290" s="302"/>
      <c r="RK290" s="302"/>
      <c r="RL290" s="302"/>
      <c r="RM290" s="302"/>
      <c r="RN290" s="302"/>
      <c r="RO290" s="302"/>
      <c r="RP290" s="302"/>
      <c r="RQ290" s="302"/>
      <c r="RR290" s="302"/>
      <c r="RS290" s="302"/>
      <c r="RT290" s="302"/>
      <c r="RU290" s="302"/>
      <c r="RV290" s="302"/>
      <c r="RW290" s="302"/>
      <c r="RX290" s="302"/>
      <c r="RY290" s="302"/>
      <c r="RZ290" s="302"/>
      <c r="SA290" s="302"/>
      <c r="SB290" s="302"/>
      <c r="SC290" s="302"/>
      <c r="SD290" s="302"/>
      <c r="SE290" s="302"/>
      <c r="SF290" s="302"/>
      <c r="SG290" s="302"/>
      <c r="SH290" s="302"/>
      <c r="SI290" s="302"/>
      <c r="SJ290" s="302"/>
      <c r="SK290" s="302"/>
      <c r="SL290" s="302"/>
      <c r="SM290" s="302"/>
      <c r="SN290" s="302"/>
      <c r="SO290" s="302"/>
      <c r="SP290" s="302"/>
      <c r="SQ290" s="302"/>
      <c r="SR290" s="302"/>
      <c r="SS290" s="302"/>
      <c r="ST290" s="302"/>
      <c r="SU290" s="302"/>
      <c r="SV290" s="302"/>
      <c r="SW290" s="302"/>
      <c r="SX290" s="302"/>
      <c r="SY290" s="302"/>
      <c r="SZ290" s="302"/>
      <c r="TA290" s="302"/>
      <c r="TB290" s="302"/>
      <c r="TC290" s="302"/>
      <c r="TD290" s="302"/>
      <c r="TE290" s="302"/>
      <c r="TF290" s="302"/>
      <c r="TG290" s="302"/>
      <c r="TH290" s="302"/>
      <c r="TI290" s="302"/>
      <c r="TJ290" s="302"/>
      <c r="TK290" s="302"/>
      <c r="TL290" s="302"/>
      <c r="TM290" s="302"/>
      <c r="TN290" s="302"/>
      <c r="TO290" s="302"/>
      <c r="TP290" s="302"/>
      <c r="TQ290" s="302"/>
      <c r="TR290" s="302"/>
      <c r="TS290" s="302"/>
      <c r="TT290" s="302"/>
      <c r="TU290" s="302"/>
      <c r="TV290" s="302"/>
      <c r="TW290" s="302"/>
      <c r="TX290" s="302"/>
      <c r="TY290" s="302"/>
      <c r="TZ290" s="302"/>
      <c r="UA290" s="302"/>
      <c r="UB290" s="302"/>
      <c r="UC290" s="302"/>
      <c r="UD290" s="302"/>
      <c r="UE290" s="302"/>
      <c r="UF290" s="302"/>
      <c r="UG290" s="302"/>
      <c r="UH290" s="302"/>
      <c r="UI290" s="302"/>
      <c r="UJ290" s="302"/>
      <c r="UK290" s="302"/>
      <c r="UL290" s="302"/>
      <c r="UM290" s="302"/>
      <c r="UN290" s="302"/>
      <c r="UO290" s="302"/>
      <c r="UP290" s="302"/>
      <c r="UQ290" s="302"/>
      <c r="UR290" s="302"/>
      <c r="US290" s="302"/>
      <c r="UT290" s="302"/>
      <c r="UU290" s="302"/>
      <c r="UV290" s="302"/>
      <c r="UW290" s="302"/>
      <c r="UX290" s="302"/>
      <c r="UY290" s="302"/>
      <c r="UZ290" s="302"/>
      <c r="VA290" s="302"/>
      <c r="VB290" s="302"/>
      <c r="VC290" s="302"/>
      <c r="VD290" s="302"/>
      <c r="VE290" s="302"/>
      <c r="VF290" s="302"/>
      <c r="VG290" s="302"/>
      <c r="VH290" s="302"/>
      <c r="VI290" s="302"/>
      <c r="VJ290" s="302"/>
      <c r="VK290" s="302"/>
      <c r="VL290" s="302"/>
      <c r="VM290" s="302"/>
      <c r="VN290" s="302"/>
      <c r="VO290" s="302"/>
      <c r="VP290" s="302"/>
      <c r="VQ290" s="302"/>
      <c r="VR290" s="302"/>
      <c r="VS290" s="302"/>
      <c r="VT290" s="302"/>
      <c r="VU290" s="302"/>
      <c r="VV290" s="302"/>
      <c r="VW290" s="302"/>
      <c r="VX290" s="302"/>
      <c r="VY290" s="302"/>
      <c r="VZ290" s="302"/>
      <c r="WA290" s="302"/>
      <c r="WB290" s="302"/>
      <c r="WC290" s="302"/>
      <c r="WD290" s="302"/>
      <c r="WE290" s="302"/>
      <c r="WF290" s="302"/>
      <c r="WG290" s="302"/>
      <c r="WH290" s="302"/>
      <c r="WI290" s="302"/>
      <c r="WJ290" s="302"/>
      <c r="WK290" s="302"/>
      <c r="WL290" s="302"/>
      <c r="WM290" s="302"/>
      <c r="WN290" s="302"/>
      <c r="WO290" s="302"/>
      <c r="WP290" s="302"/>
      <c r="WQ290" s="302"/>
      <c r="WR290" s="302"/>
      <c r="WS290" s="302"/>
      <c r="WT290" s="302"/>
      <c r="WU290" s="302"/>
      <c r="WV290" s="302"/>
      <c r="WW290" s="302"/>
      <c r="WX290" s="302"/>
      <c r="WY290" s="302"/>
      <c r="WZ290" s="302"/>
      <c r="XA290" s="302"/>
      <c r="XB290" s="302"/>
      <c r="XC290" s="302"/>
      <c r="XD290" s="302"/>
      <c r="XE290" s="302"/>
      <c r="XF290" s="302"/>
      <c r="XG290" s="302"/>
      <c r="XH290" s="302"/>
      <c r="XI290" s="302"/>
      <c r="XJ290" s="302"/>
      <c r="XK290" s="302"/>
      <c r="XL290" s="302"/>
      <c r="XM290" s="302"/>
      <c r="XN290" s="302"/>
      <c r="XO290" s="302"/>
      <c r="XP290" s="302"/>
      <c r="XQ290" s="302"/>
      <c r="XR290" s="302"/>
      <c r="XS290" s="302"/>
      <c r="XT290" s="302"/>
      <c r="XU290" s="302"/>
      <c r="XV290" s="302"/>
      <c r="XW290" s="302"/>
      <c r="XX290" s="302"/>
      <c r="XY290" s="302"/>
      <c r="XZ290" s="302"/>
      <c r="YA290" s="302"/>
      <c r="YB290" s="302"/>
      <c r="YC290" s="302"/>
      <c r="YD290" s="302"/>
      <c r="YE290" s="302"/>
      <c r="YF290" s="302"/>
      <c r="YG290" s="302"/>
      <c r="YH290" s="302"/>
      <c r="YI290" s="302"/>
      <c r="YJ290" s="302"/>
      <c r="YK290" s="302"/>
      <c r="YL290" s="302"/>
      <c r="YM290" s="302"/>
      <c r="YN290" s="302"/>
      <c r="YO290" s="302"/>
      <c r="YP290" s="302"/>
      <c r="YQ290" s="302"/>
      <c r="YR290" s="302"/>
      <c r="YS290" s="302"/>
      <c r="YT290" s="302"/>
      <c r="YU290" s="302"/>
      <c r="YV290" s="302"/>
      <c r="YW290" s="302"/>
      <c r="YX290" s="302"/>
      <c r="YY290" s="302"/>
      <c r="YZ290" s="302"/>
      <c r="ZA290" s="302"/>
      <c r="ZB290" s="302"/>
      <c r="ZC290" s="302"/>
      <c r="ZD290" s="302"/>
      <c r="ZE290" s="302"/>
      <c r="ZF290" s="302"/>
      <c r="ZG290" s="302"/>
      <c r="ZH290" s="302"/>
      <c r="ZI290" s="302"/>
      <c r="ZJ290" s="302"/>
      <c r="ZK290" s="302"/>
      <c r="ZL290" s="302"/>
      <c r="ZM290" s="302"/>
      <c r="ZN290" s="302"/>
      <c r="ZO290" s="302"/>
      <c r="ZP290" s="302"/>
      <c r="ZQ290" s="302"/>
      <c r="ZR290" s="302"/>
      <c r="ZS290" s="302"/>
      <c r="ZT290" s="302"/>
      <c r="ZU290" s="302"/>
      <c r="ZV290" s="302"/>
      <c r="ZW290" s="302"/>
      <c r="ZX290" s="302"/>
      <c r="ZY290" s="302"/>
      <c r="ZZ290" s="302"/>
      <c r="AAA290" s="302"/>
      <c r="AAB290" s="302"/>
      <c r="AAC290" s="302"/>
      <c r="AAD290" s="302"/>
      <c r="AAE290" s="302"/>
      <c r="AAF290" s="302"/>
      <c r="AAG290" s="302"/>
      <c r="AAH290" s="302"/>
      <c r="AAI290" s="302"/>
      <c r="AAJ290" s="302"/>
      <c r="AAK290" s="302"/>
      <c r="AAL290" s="302"/>
      <c r="AAM290" s="302"/>
      <c r="AAN290" s="302"/>
      <c r="AAO290" s="302"/>
      <c r="AAP290" s="302"/>
      <c r="AAQ290" s="302"/>
      <c r="AAR290" s="302"/>
      <c r="AAS290" s="302"/>
      <c r="AAT290" s="302"/>
      <c r="AAU290" s="302"/>
      <c r="AAV290" s="302"/>
      <c r="AAW290" s="302"/>
      <c r="AAX290" s="302"/>
      <c r="AAY290" s="302"/>
      <c r="AAZ290" s="302"/>
      <c r="ABA290" s="302"/>
      <c r="ABB290" s="302"/>
      <c r="ABC290" s="302"/>
      <c r="ABD290" s="302"/>
      <c r="ABE290" s="302"/>
      <c r="ABF290" s="302"/>
      <c r="ABG290" s="302"/>
      <c r="ABH290" s="302"/>
      <c r="ABI290" s="302"/>
      <c r="ABJ290" s="302"/>
      <c r="ABK290" s="302"/>
      <c r="ABL290" s="302"/>
      <c r="ABM290" s="302"/>
      <c r="ABN290" s="302"/>
      <c r="ABO290" s="302"/>
      <c r="ABP290" s="302"/>
      <c r="ABQ290" s="302"/>
      <c r="ABR290" s="302"/>
      <c r="ABS290" s="302"/>
      <c r="ABT290" s="302"/>
      <c r="ABU290" s="302"/>
      <c r="ABV290" s="302"/>
      <c r="ABW290" s="302"/>
      <c r="ABX290" s="302"/>
      <c r="ABY290" s="302"/>
      <c r="ABZ290" s="302"/>
      <c r="ACA290" s="302"/>
      <c r="ACB290" s="302"/>
      <c r="ACC290" s="302"/>
      <c r="ACD290" s="302"/>
      <c r="ACE290" s="302"/>
      <c r="ACF290" s="302"/>
      <c r="ACG290" s="302"/>
      <c r="ACH290" s="302"/>
      <c r="ACI290" s="302"/>
      <c r="ACJ290" s="302"/>
      <c r="ACK290" s="302"/>
      <c r="ACL290" s="302"/>
      <c r="ACM290" s="302"/>
      <c r="ACN290" s="302"/>
      <c r="ACO290" s="302"/>
      <c r="ACP290" s="302"/>
      <c r="ACQ290" s="302"/>
      <c r="ACR290" s="302"/>
      <c r="ACS290" s="302"/>
      <c r="ACT290" s="302"/>
      <c r="ACU290" s="302"/>
      <c r="ACV290" s="302"/>
      <c r="ACW290" s="302"/>
      <c r="ACX290" s="302"/>
      <c r="ACY290" s="302"/>
      <c r="ACZ290" s="302"/>
      <c r="ADA290" s="302"/>
      <c r="ADB290" s="302"/>
      <c r="ADC290" s="302"/>
      <c r="ADD290" s="302"/>
      <c r="ADE290" s="302"/>
      <c r="ADF290" s="302"/>
      <c r="ADG290" s="302"/>
      <c r="ADH290" s="302"/>
      <c r="ADI290" s="302"/>
      <c r="ADJ290" s="302"/>
      <c r="ADK290" s="302"/>
      <c r="ADL290" s="302"/>
      <c r="ADM290" s="302"/>
      <c r="ADN290" s="302"/>
      <c r="ADO290" s="302"/>
      <c r="ADP290" s="302"/>
      <c r="ADQ290" s="302"/>
      <c r="ADR290" s="302"/>
      <c r="ADS290" s="302"/>
      <c r="ADT290" s="302"/>
      <c r="ADU290" s="302"/>
      <c r="ADV290" s="302"/>
      <c r="ADW290" s="302"/>
      <c r="ADX290" s="302"/>
      <c r="ADY290" s="302"/>
      <c r="ADZ290" s="302"/>
      <c r="AEA290" s="302"/>
      <c r="AEB290" s="302"/>
      <c r="AEC290" s="302"/>
      <c r="AED290" s="302"/>
      <c r="AEE290" s="302"/>
      <c r="AEF290" s="302"/>
      <c r="AEG290" s="302"/>
      <c r="AEH290" s="302"/>
      <c r="AEI290" s="302"/>
      <c r="AEJ290" s="302"/>
      <c r="AEK290" s="302"/>
      <c r="AEL290" s="302"/>
      <c r="AEM290" s="302"/>
      <c r="AEN290" s="302"/>
      <c r="AEO290" s="302"/>
      <c r="AEP290" s="302"/>
      <c r="AEQ290" s="302"/>
      <c r="AER290" s="302"/>
      <c r="AES290" s="302"/>
      <c r="AET290" s="302"/>
      <c r="AEU290" s="302"/>
      <c r="AEV290" s="302"/>
      <c r="AEW290" s="302"/>
      <c r="AEX290" s="302"/>
      <c r="AEY290" s="302"/>
      <c r="AEZ290" s="302"/>
      <c r="AFA290" s="302"/>
      <c r="AFB290" s="302"/>
      <c r="AFC290" s="302"/>
      <c r="AFD290" s="302"/>
      <c r="AFE290" s="302"/>
      <c r="AFF290" s="302"/>
      <c r="AFG290" s="302"/>
      <c r="AFH290" s="302"/>
      <c r="AFI290" s="302"/>
      <c r="AFJ290" s="302"/>
      <c r="AFK290" s="302"/>
      <c r="AFL290" s="302"/>
      <c r="AFM290" s="302"/>
      <c r="AFN290" s="302"/>
      <c r="AFO290" s="302"/>
      <c r="AFP290" s="302"/>
      <c r="AFQ290" s="302"/>
      <c r="AFR290" s="302"/>
      <c r="AFS290" s="302"/>
      <c r="AFT290" s="302"/>
      <c r="AFU290" s="302"/>
      <c r="AFV290" s="302"/>
      <c r="AFW290" s="302"/>
      <c r="AFX290" s="302"/>
      <c r="AFY290" s="302"/>
      <c r="AFZ290" s="302"/>
      <c r="AGA290" s="302"/>
      <c r="AGB290" s="302"/>
      <c r="AGC290" s="302"/>
      <c r="AGD290" s="302"/>
      <c r="AGE290" s="302"/>
      <c r="AGF290" s="302"/>
      <c r="AGG290" s="302"/>
      <c r="AGH290" s="302"/>
      <c r="AGI290" s="302"/>
      <c r="AGJ290" s="302"/>
      <c r="AGK290" s="302"/>
      <c r="AGL290" s="302"/>
      <c r="AGM290" s="302"/>
      <c r="AGN290" s="302"/>
      <c r="AGO290" s="302"/>
      <c r="AGP290" s="302"/>
      <c r="AGQ290" s="302"/>
      <c r="AGR290" s="302"/>
      <c r="AGS290" s="302"/>
      <c r="AGT290" s="302"/>
      <c r="AGU290" s="302"/>
      <c r="AGV290" s="302"/>
      <c r="AGW290" s="302"/>
      <c r="AGX290" s="302"/>
      <c r="AGY290" s="302"/>
      <c r="AGZ290" s="302"/>
      <c r="AHA290" s="302"/>
      <c r="AHB290" s="302"/>
      <c r="AHC290" s="302"/>
      <c r="AHD290" s="302"/>
      <c r="AHE290" s="302"/>
      <c r="AHF290" s="302"/>
      <c r="AHG290" s="302"/>
      <c r="AHH290" s="302"/>
      <c r="AHI290" s="302"/>
      <c r="AHJ290" s="302"/>
      <c r="AHK290" s="302"/>
      <c r="AHL290" s="302"/>
      <c r="AHM290" s="302"/>
      <c r="AHN290" s="302"/>
      <c r="AHO290" s="302"/>
      <c r="AHP290" s="302"/>
      <c r="AHQ290" s="302"/>
      <c r="AHR290" s="302"/>
      <c r="AHS290" s="302"/>
      <c r="AHT290" s="302"/>
      <c r="AHU290" s="302"/>
      <c r="AHV290" s="302"/>
      <c r="AHW290" s="302"/>
      <c r="AHX290" s="302"/>
      <c r="AHY290" s="302"/>
      <c r="AHZ290" s="302"/>
      <c r="AIA290" s="302"/>
      <c r="AIB290" s="302"/>
      <c r="AIC290" s="302"/>
      <c r="AID290" s="302"/>
      <c r="AIE290" s="302"/>
      <c r="AIF290" s="302"/>
      <c r="AIG290" s="302"/>
      <c r="AIH290" s="302"/>
      <c r="AII290" s="302"/>
      <c r="AIJ290" s="302"/>
      <c r="AIK290" s="302"/>
      <c r="AIL290" s="302"/>
      <c r="AIM290" s="302"/>
      <c r="AIN290" s="302"/>
      <c r="AIO290" s="302"/>
      <c r="AIP290" s="302"/>
      <c r="AIQ290" s="302"/>
      <c r="AIR290" s="302"/>
      <c r="AIS290" s="302"/>
      <c r="AIT290" s="302"/>
      <c r="AIU290" s="302"/>
      <c r="AIV290" s="302"/>
      <c r="AIW290" s="302"/>
      <c r="AIX290" s="302"/>
      <c r="AIY290" s="302"/>
      <c r="AIZ290" s="302"/>
      <c r="AJA290" s="302"/>
      <c r="AJB290" s="302"/>
      <c r="AJC290" s="302"/>
      <c r="AJD290" s="302"/>
      <c r="AJE290" s="302"/>
      <c r="AJF290" s="302"/>
      <c r="AJG290" s="302"/>
      <c r="AJH290" s="302"/>
      <c r="AJI290" s="302"/>
      <c r="AJJ290" s="302"/>
      <c r="AJK290" s="302"/>
      <c r="AJL290" s="302"/>
      <c r="AJM290" s="302"/>
      <c r="AJN290" s="302"/>
      <c r="AJO290" s="302"/>
      <c r="AJP290" s="302"/>
      <c r="AJQ290" s="302"/>
      <c r="AJR290" s="302"/>
      <c r="AJS290" s="302"/>
      <c r="AJT290" s="302"/>
      <c r="AJU290" s="302"/>
      <c r="AJV290" s="302"/>
      <c r="AJW290" s="302"/>
      <c r="AJX290" s="302"/>
      <c r="AJY290" s="302"/>
      <c r="AJZ290" s="302"/>
      <c r="AKA290" s="302"/>
      <c r="AKB290" s="302"/>
      <c r="AKC290" s="302"/>
      <c r="AKD290" s="302"/>
      <c r="AKE290" s="302"/>
      <c r="AKF290" s="302"/>
      <c r="AKG290" s="302"/>
      <c r="AKH290" s="302"/>
      <c r="AKI290" s="302"/>
      <c r="AKJ290" s="302"/>
      <c r="AKK290" s="302"/>
      <c r="AKL290" s="302"/>
      <c r="AKM290" s="302"/>
      <c r="AKN290" s="302"/>
      <c r="AKO290" s="302"/>
      <c r="AKP290" s="302"/>
      <c r="AKQ290" s="302"/>
      <c r="AKR290" s="302"/>
      <c r="AKS290" s="302"/>
      <c r="AKT290" s="302"/>
      <c r="AKU290" s="302"/>
      <c r="AKV290" s="302"/>
      <c r="AKW290" s="302"/>
      <c r="AKX290" s="302"/>
      <c r="AKY290" s="302"/>
      <c r="AKZ290" s="302"/>
      <c r="ALA290" s="302"/>
      <c r="ALB290" s="302"/>
      <c r="ALC290" s="302"/>
      <c r="ALD290" s="302"/>
      <c r="ALE290" s="302"/>
      <c r="ALF290" s="302"/>
      <c r="ALG290" s="302"/>
      <c r="ALH290" s="302"/>
      <c r="ALI290" s="302"/>
      <c r="ALJ290" s="302"/>
      <c r="ALK290" s="302"/>
      <c r="ALL290" s="302"/>
      <c r="ALM290" s="302"/>
      <c r="ALN290" s="302"/>
      <c r="ALO290" s="302"/>
      <c r="ALP290" s="302"/>
      <c r="ALQ290" s="302"/>
      <c r="ALR290" s="302"/>
      <c r="ALS290" s="302"/>
      <c r="ALT290" s="302"/>
      <c r="ALU290" s="302"/>
      <c r="ALV290" s="302"/>
      <c r="ALW290" s="302"/>
      <c r="ALX290" s="302"/>
      <c r="ALY290" s="302"/>
      <c r="ALZ290" s="302"/>
      <c r="AMA290" s="302"/>
      <c r="AMB290" s="302"/>
      <c r="AMC290" s="302"/>
      <c r="AMD290" s="302"/>
      <c r="AME290" s="302"/>
      <c r="AMF290" s="302"/>
      <c r="AMG290" s="302"/>
      <c r="AMH290" s="302"/>
      <c r="AMI290" s="302"/>
    </row>
    <row r="291" spans="1:1023" ht="18.75" hidden="1">
      <c r="A291" s="302"/>
      <c r="B291" s="304"/>
      <c r="C291" s="304"/>
      <c r="D291" s="305" t="s">
        <v>378</v>
      </c>
      <c r="E291" s="306">
        <f>SUM(E285:E290)</f>
        <v>15850000</v>
      </c>
      <c r="F291" s="307"/>
      <c r="G291" s="306">
        <f>SUM(G285:G290)</f>
        <v>362500</v>
      </c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  <c r="AD291" s="302"/>
      <c r="AE291" s="302"/>
      <c r="AF291" s="302"/>
      <c r="AG291" s="302"/>
      <c r="AH291" s="302"/>
      <c r="AI291" s="302"/>
      <c r="AJ291" s="302"/>
      <c r="AK291" s="302"/>
      <c r="AL291" s="302"/>
      <c r="AM291" s="302"/>
      <c r="AN291" s="302"/>
      <c r="AO291" s="302"/>
      <c r="AP291" s="302"/>
      <c r="AQ291" s="302"/>
      <c r="AR291" s="302"/>
      <c r="AS291" s="302"/>
      <c r="AT291" s="302"/>
      <c r="AU291" s="302"/>
      <c r="AV291" s="302"/>
      <c r="AW291" s="302"/>
      <c r="AX291" s="302"/>
      <c r="AY291" s="302"/>
      <c r="AZ291" s="302"/>
      <c r="BA291" s="302"/>
      <c r="BB291" s="302"/>
      <c r="BC291" s="302"/>
      <c r="BD291" s="302"/>
      <c r="BE291" s="302"/>
      <c r="BF291" s="302"/>
      <c r="BG291" s="302"/>
      <c r="BH291" s="302"/>
      <c r="BI291" s="302"/>
      <c r="BJ291" s="302"/>
      <c r="BK291" s="302"/>
      <c r="BL291" s="302"/>
      <c r="BM291" s="302"/>
      <c r="BN291" s="302"/>
      <c r="BO291" s="302"/>
      <c r="BP291" s="302"/>
      <c r="BQ291" s="302"/>
      <c r="BR291" s="302"/>
      <c r="BS291" s="302"/>
      <c r="BT291" s="302"/>
      <c r="BU291" s="302"/>
      <c r="BV291" s="302"/>
      <c r="BW291" s="302"/>
      <c r="BX291" s="302"/>
      <c r="BY291" s="302"/>
      <c r="BZ291" s="302"/>
      <c r="CA291" s="302"/>
      <c r="CB291" s="302"/>
      <c r="CC291" s="302"/>
      <c r="CD291" s="302"/>
      <c r="CE291" s="302"/>
      <c r="CF291" s="302"/>
      <c r="CG291" s="302"/>
      <c r="CH291" s="302"/>
      <c r="CI291" s="302"/>
      <c r="CJ291" s="302"/>
      <c r="CK291" s="302"/>
      <c r="CL291" s="302"/>
      <c r="CM291" s="302"/>
      <c r="CN291" s="302"/>
      <c r="CO291" s="302"/>
      <c r="CP291" s="302"/>
      <c r="CQ291" s="302"/>
      <c r="CR291" s="302"/>
      <c r="CS291" s="302"/>
      <c r="CT291" s="302"/>
      <c r="CU291" s="302"/>
      <c r="CV291" s="302"/>
      <c r="CW291" s="302"/>
      <c r="CX291" s="302"/>
      <c r="CY291" s="302"/>
      <c r="CZ291" s="302"/>
      <c r="DA291" s="302"/>
      <c r="DB291" s="302"/>
      <c r="DC291" s="302"/>
      <c r="DD291" s="302"/>
      <c r="DE291" s="302"/>
      <c r="DF291" s="302"/>
      <c r="DG291" s="302"/>
      <c r="DH291" s="302"/>
      <c r="DI291" s="302"/>
      <c r="DJ291" s="302"/>
      <c r="DK291" s="302"/>
      <c r="DL291" s="302"/>
      <c r="DM291" s="302"/>
      <c r="DN291" s="302"/>
      <c r="DO291" s="302"/>
      <c r="DP291" s="302"/>
      <c r="DQ291" s="302"/>
      <c r="DR291" s="302"/>
      <c r="DS291" s="302"/>
      <c r="DT291" s="302"/>
      <c r="DU291" s="302"/>
      <c r="DV291" s="302"/>
      <c r="DW291" s="302"/>
      <c r="DX291" s="302"/>
      <c r="DY291" s="302"/>
      <c r="DZ291" s="302"/>
      <c r="EA291" s="302"/>
      <c r="EB291" s="302"/>
      <c r="EC291" s="302"/>
      <c r="ED291" s="302"/>
      <c r="EE291" s="302"/>
      <c r="EF291" s="302"/>
      <c r="EG291" s="302"/>
      <c r="EH291" s="302"/>
      <c r="EI291" s="302"/>
      <c r="EJ291" s="302"/>
      <c r="EK291" s="302"/>
      <c r="EL291" s="302"/>
      <c r="EM291" s="302"/>
      <c r="EN291" s="302"/>
      <c r="EO291" s="302"/>
      <c r="EP291" s="302"/>
      <c r="EQ291" s="302"/>
      <c r="ER291" s="302"/>
      <c r="ES291" s="302"/>
      <c r="ET291" s="302"/>
      <c r="EU291" s="302"/>
      <c r="EV291" s="302"/>
      <c r="EW291" s="302"/>
      <c r="EX291" s="302"/>
      <c r="EY291" s="302"/>
      <c r="EZ291" s="302"/>
      <c r="FA291" s="302"/>
      <c r="FB291" s="302"/>
      <c r="FC291" s="302"/>
      <c r="FD291" s="302"/>
      <c r="FE291" s="302"/>
      <c r="FF291" s="302"/>
      <c r="FG291" s="302"/>
      <c r="FH291" s="302"/>
      <c r="FI291" s="302"/>
      <c r="FJ291" s="302"/>
      <c r="FK291" s="302"/>
      <c r="FL291" s="302"/>
      <c r="FM291" s="302"/>
      <c r="FN291" s="302"/>
      <c r="FO291" s="302"/>
      <c r="FP291" s="302"/>
      <c r="FQ291" s="302"/>
      <c r="FR291" s="302"/>
      <c r="FS291" s="302"/>
      <c r="FT291" s="302"/>
      <c r="FU291" s="302"/>
      <c r="FV291" s="302"/>
      <c r="FW291" s="302"/>
      <c r="FX291" s="302"/>
      <c r="FY291" s="302"/>
      <c r="FZ291" s="302"/>
      <c r="GA291" s="302"/>
      <c r="GB291" s="302"/>
      <c r="GC291" s="302"/>
      <c r="GD291" s="302"/>
      <c r="GE291" s="302"/>
      <c r="GF291" s="302"/>
      <c r="GG291" s="302"/>
      <c r="GH291" s="302"/>
      <c r="GI291" s="302"/>
      <c r="GJ291" s="302"/>
      <c r="GK291" s="302"/>
      <c r="GL291" s="302"/>
      <c r="GM291" s="302"/>
      <c r="GN291" s="302"/>
      <c r="GO291" s="302"/>
      <c r="GP291" s="302"/>
      <c r="GQ291" s="302"/>
      <c r="GR291" s="302"/>
      <c r="GS291" s="302"/>
      <c r="GT291" s="302"/>
      <c r="GU291" s="302"/>
      <c r="GV291" s="302"/>
      <c r="GW291" s="302"/>
      <c r="GX291" s="302"/>
      <c r="GY291" s="302"/>
      <c r="GZ291" s="302"/>
      <c r="HA291" s="302"/>
      <c r="HB291" s="302"/>
      <c r="HC291" s="302"/>
      <c r="HD291" s="302"/>
      <c r="HE291" s="302"/>
      <c r="HF291" s="302"/>
      <c r="HG291" s="302"/>
      <c r="HH291" s="302"/>
      <c r="HI291" s="302"/>
      <c r="HJ291" s="302"/>
      <c r="HK291" s="302"/>
      <c r="HL291" s="302"/>
      <c r="HM291" s="302"/>
      <c r="HN291" s="302"/>
      <c r="HO291" s="302"/>
      <c r="HP291" s="302"/>
      <c r="HQ291" s="302"/>
      <c r="HR291" s="302"/>
      <c r="HS291" s="302"/>
      <c r="HT291" s="302"/>
      <c r="HU291" s="302"/>
      <c r="HV291" s="302"/>
      <c r="HW291" s="302"/>
      <c r="HX291" s="302"/>
      <c r="HY291" s="302"/>
      <c r="HZ291" s="302"/>
      <c r="IA291" s="302"/>
      <c r="IB291" s="302"/>
      <c r="IC291" s="302"/>
      <c r="ID291" s="302"/>
      <c r="IE291" s="302"/>
      <c r="IF291" s="302"/>
      <c r="IG291" s="302"/>
      <c r="IH291" s="302"/>
      <c r="II291" s="302"/>
      <c r="IJ291" s="302"/>
      <c r="IK291" s="302"/>
      <c r="IL291" s="302"/>
      <c r="IM291" s="302"/>
      <c r="IN291" s="302"/>
      <c r="IO291" s="302"/>
      <c r="IP291" s="302"/>
      <c r="IQ291" s="302"/>
      <c r="IR291" s="302"/>
      <c r="IS291" s="302"/>
      <c r="IT291" s="302"/>
      <c r="IU291" s="302"/>
      <c r="IV291" s="302"/>
      <c r="IW291" s="302"/>
      <c r="IX291" s="302"/>
      <c r="IY291" s="302"/>
      <c r="IZ291" s="302"/>
      <c r="JA291" s="302"/>
      <c r="JB291" s="302"/>
      <c r="JC291" s="302"/>
      <c r="JD291" s="302"/>
      <c r="JE291" s="302"/>
      <c r="JF291" s="302"/>
      <c r="JG291" s="302"/>
      <c r="JH291" s="302"/>
      <c r="JI291" s="302"/>
      <c r="JJ291" s="302"/>
      <c r="JK291" s="302"/>
      <c r="JL291" s="302"/>
      <c r="JM291" s="302"/>
      <c r="JN291" s="302"/>
      <c r="JO291" s="302"/>
      <c r="JP291" s="302"/>
      <c r="JQ291" s="302"/>
      <c r="JR291" s="302"/>
      <c r="JS291" s="302"/>
      <c r="JT291" s="302"/>
      <c r="JU291" s="302"/>
      <c r="JV291" s="302"/>
      <c r="JW291" s="302"/>
      <c r="JX291" s="302"/>
      <c r="JY291" s="302"/>
      <c r="JZ291" s="302"/>
      <c r="KA291" s="302"/>
      <c r="KB291" s="302"/>
      <c r="KC291" s="302"/>
      <c r="KD291" s="302"/>
      <c r="KE291" s="302"/>
      <c r="KF291" s="302"/>
      <c r="KG291" s="302"/>
      <c r="KH291" s="302"/>
      <c r="KI291" s="302"/>
      <c r="KJ291" s="302"/>
      <c r="KK291" s="302"/>
      <c r="KL291" s="302"/>
      <c r="KM291" s="302"/>
      <c r="KN291" s="302"/>
      <c r="KO291" s="302"/>
      <c r="KP291" s="302"/>
      <c r="KQ291" s="302"/>
      <c r="KR291" s="302"/>
      <c r="KS291" s="302"/>
      <c r="KT291" s="302"/>
      <c r="KU291" s="302"/>
      <c r="KV291" s="302"/>
      <c r="KW291" s="302"/>
      <c r="KX291" s="302"/>
      <c r="KY291" s="302"/>
      <c r="KZ291" s="302"/>
      <c r="LA291" s="302"/>
      <c r="LB291" s="302"/>
      <c r="LC291" s="302"/>
      <c r="LD291" s="302"/>
      <c r="LE291" s="302"/>
      <c r="LF291" s="302"/>
      <c r="LG291" s="302"/>
      <c r="LH291" s="302"/>
      <c r="LI291" s="302"/>
      <c r="LJ291" s="302"/>
      <c r="LK291" s="302"/>
      <c r="LL291" s="302"/>
      <c r="LM291" s="302"/>
      <c r="LN291" s="302"/>
      <c r="LO291" s="302"/>
      <c r="LP291" s="302"/>
      <c r="LQ291" s="302"/>
      <c r="LR291" s="302"/>
      <c r="LS291" s="302"/>
      <c r="LT291" s="302"/>
      <c r="LU291" s="302"/>
      <c r="LV291" s="302"/>
      <c r="LW291" s="302"/>
      <c r="LX291" s="302"/>
      <c r="LY291" s="302"/>
      <c r="LZ291" s="302"/>
      <c r="MA291" s="302"/>
      <c r="MB291" s="302"/>
      <c r="MC291" s="302"/>
      <c r="MD291" s="302"/>
      <c r="ME291" s="302"/>
      <c r="MF291" s="302"/>
      <c r="MG291" s="302"/>
      <c r="MH291" s="302"/>
      <c r="MI291" s="302"/>
      <c r="MJ291" s="302"/>
      <c r="MK291" s="302"/>
      <c r="ML291" s="302"/>
      <c r="MM291" s="302"/>
      <c r="MN291" s="302"/>
      <c r="MO291" s="302"/>
      <c r="MP291" s="302"/>
      <c r="MQ291" s="302"/>
      <c r="MR291" s="302"/>
      <c r="MS291" s="302"/>
      <c r="MT291" s="302"/>
      <c r="MU291" s="302"/>
      <c r="MV291" s="302"/>
      <c r="MW291" s="302"/>
      <c r="MX291" s="302"/>
      <c r="MY291" s="302"/>
      <c r="MZ291" s="302"/>
      <c r="NA291" s="302"/>
      <c r="NB291" s="302"/>
      <c r="NC291" s="302"/>
      <c r="ND291" s="302"/>
      <c r="NE291" s="302"/>
      <c r="NF291" s="302"/>
      <c r="NG291" s="302"/>
      <c r="NH291" s="302"/>
      <c r="NI291" s="302"/>
      <c r="NJ291" s="302"/>
      <c r="NK291" s="302"/>
      <c r="NL291" s="302"/>
      <c r="NM291" s="302"/>
      <c r="NN291" s="302"/>
      <c r="NO291" s="302"/>
      <c r="NP291" s="302"/>
      <c r="NQ291" s="302"/>
      <c r="NR291" s="302"/>
      <c r="NS291" s="302"/>
      <c r="NT291" s="302"/>
      <c r="NU291" s="302"/>
      <c r="NV291" s="302"/>
      <c r="NW291" s="302"/>
      <c r="NX291" s="302"/>
      <c r="NY291" s="302"/>
      <c r="NZ291" s="302"/>
      <c r="OA291" s="302"/>
      <c r="OB291" s="302"/>
      <c r="OC291" s="302"/>
      <c r="OD291" s="302"/>
      <c r="OE291" s="302"/>
      <c r="OF291" s="302"/>
      <c r="OG291" s="302"/>
      <c r="OH291" s="302"/>
      <c r="OI291" s="302"/>
      <c r="OJ291" s="302"/>
      <c r="OK291" s="302"/>
      <c r="OL291" s="302"/>
      <c r="OM291" s="302"/>
      <c r="ON291" s="302"/>
      <c r="OO291" s="302"/>
      <c r="OP291" s="302"/>
      <c r="OQ291" s="302"/>
      <c r="OR291" s="302"/>
      <c r="OS291" s="302"/>
      <c r="OT291" s="302"/>
      <c r="OU291" s="302"/>
      <c r="OV291" s="302"/>
      <c r="OW291" s="302"/>
      <c r="OX291" s="302"/>
      <c r="OY291" s="302"/>
      <c r="OZ291" s="302"/>
      <c r="PA291" s="302"/>
      <c r="PB291" s="302"/>
      <c r="PC291" s="302"/>
      <c r="PD291" s="302"/>
      <c r="PE291" s="302"/>
      <c r="PF291" s="302"/>
      <c r="PG291" s="302"/>
      <c r="PH291" s="302"/>
      <c r="PI291" s="302"/>
      <c r="PJ291" s="302"/>
      <c r="PK291" s="302"/>
      <c r="PL291" s="302"/>
      <c r="PM291" s="302"/>
      <c r="PN291" s="302"/>
      <c r="PO291" s="302"/>
      <c r="PP291" s="302"/>
      <c r="PQ291" s="302"/>
      <c r="PR291" s="302"/>
      <c r="PS291" s="302"/>
      <c r="PT291" s="302"/>
      <c r="PU291" s="302"/>
      <c r="PV291" s="302"/>
      <c r="PW291" s="302"/>
      <c r="PX291" s="302"/>
      <c r="PY291" s="302"/>
      <c r="PZ291" s="302"/>
      <c r="QA291" s="302"/>
      <c r="QB291" s="302"/>
      <c r="QC291" s="302"/>
      <c r="QD291" s="302"/>
      <c r="QE291" s="302"/>
      <c r="QF291" s="302"/>
      <c r="QG291" s="302"/>
      <c r="QH291" s="302"/>
      <c r="QI291" s="302"/>
      <c r="QJ291" s="302"/>
      <c r="QK291" s="302"/>
      <c r="QL291" s="302"/>
      <c r="QM291" s="302"/>
      <c r="QN291" s="302"/>
      <c r="QO291" s="302"/>
      <c r="QP291" s="302"/>
      <c r="QQ291" s="302"/>
      <c r="QR291" s="302"/>
      <c r="QS291" s="302"/>
      <c r="QT291" s="302"/>
      <c r="QU291" s="302"/>
      <c r="QV291" s="302"/>
      <c r="QW291" s="302"/>
      <c r="QX291" s="302"/>
      <c r="QY291" s="302"/>
      <c r="QZ291" s="302"/>
      <c r="RA291" s="302"/>
      <c r="RB291" s="302"/>
      <c r="RC291" s="302"/>
      <c r="RD291" s="302"/>
      <c r="RE291" s="302"/>
      <c r="RF291" s="302"/>
      <c r="RG291" s="302"/>
      <c r="RH291" s="302"/>
      <c r="RI291" s="302"/>
      <c r="RJ291" s="302"/>
      <c r="RK291" s="302"/>
      <c r="RL291" s="302"/>
      <c r="RM291" s="302"/>
      <c r="RN291" s="302"/>
      <c r="RO291" s="302"/>
      <c r="RP291" s="302"/>
      <c r="RQ291" s="302"/>
      <c r="RR291" s="302"/>
      <c r="RS291" s="302"/>
      <c r="RT291" s="302"/>
      <c r="RU291" s="302"/>
      <c r="RV291" s="302"/>
      <c r="RW291" s="302"/>
      <c r="RX291" s="302"/>
      <c r="RY291" s="302"/>
      <c r="RZ291" s="302"/>
      <c r="SA291" s="302"/>
      <c r="SB291" s="302"/>
      <c r="SC291" s="302"/>
      <c r="SD291" s="302"/>
      <c r="SE291" s="302"/>
      <c r="SF291" s="302"/>
      <c r="SG291" s="302"/>
      <c r="SH291" s="302"/>
      <c r="SI291" s="302"/>
      <c r="SJ291" s="302"/>
      <c r="SK291" s="302"/>
      <c r="SL291" s="302"/>
      <c r="SM291" s="302"/>
      <c r="SN291" s="302"/>
      <c r="SO291" s="302"/>
      <c r="SP291" s="302"/>
      <c r="SQ291" s="302"/>
      <c r="SR291" s="302"/>
      <c r="SS291" s="302"/>
      <c r="ST291" s="302"/>
      <c r="SU291" s="302"/>
      <c r="SV291" s="302"/>
      <c r="SW291" s="302"/>
      <c r="SX291" s="302"/>
      <c r="SY291" s="302"/>
      <c r="SZ291" s="302"/>
      <c r="TA291" s="302"/>
      <c r="TB291" s="302"/>
      <c r="TC291" s="302"/>
      <c r="TD291" s="302"/>
      <c r="TE291" s="302"/>
      <c r="TF291" s="302"/>
      <c r="TG291" s="302"/>
      <c r="TH291" s="302"/>
      <c r="TI291" s="302"/>
      <c r="TJ291" s="302"/>
      <c r="TK291" s="302"/>
      <c r="TL291" s="302"/>
      <c r="TM291" s="302"/>
      <c r="TN291" s="302"/>
      <c r="TO291" s="302"/>
      <c r="TP291" s="302"/>
      <c r="TQ291" s="302"/>
      <c r="TR291" s="302"/>
      <c r="TS291" s="302"/>
      <c r="TT291" s="302"/>
      <c r="TU291" s="302"/>
      <c r="TV291" s="302"/>
      <c r="TW291" s="302"/>
      <c r="TX291" s="302"/>
      <c r="TY291" s="302"/>
      <c r="TZ291" s="302"/>
      <c r="UA291" s="302"/>
      <c r="UB291" s="302"/>
      <c r="UC291" s="302"/>
      <c r="UD291" s="302"/>
      <c r="UE291" s="302"/>
      <c r="UF291" s="302"/>
      <c r="UG291" s="302"/>
      <c r="UH291" s="302"/>
      <c r="UI291" s="302"/>
      <c r="UJ291" s="302"/>
      <c r="UK291" s="302"/>
      <c r="UL291" s="302"/>
      <c r="UM291" s="302"/>
      <c r="UN291" s="302"/>
      <c r="UO291" s="302"/>
      <c r="UP291" s="302"/>
      <c r="UQ291" s="302"/>
      <c r="UR291" s="302"/>
      <c r="US291" s="302"/>
      <c r="UT291" s="302"/>
      <c r="UU291" s="302"/>
      <c r="UV291" s="302"/>
      <c r="UW291" s="302"/>
      <c r="UX291" s="302"/>
      <c r="UY291" s="302"/>
      <c r="UZ291" s="302"/>
      <c r="VA291" s="302"/>
      <c r="VB291" s="302"/>
      <c r="VC291" s="302"/>
      <c r="VD291" s="302"/>
      <c r="VE291" s="302"/>
      <c r="VF291" s="302"/>
      <c r="VG291" s="302"/>
      <c r="VH291" s="302"/>
      <c r="VI291" s="302"/>
      <c r="VJ291" s="302"/>
      <c r="VK291" s="302"/>
      <c r="VL291" s="302"/>
      <c r="VM291" s="302"/>
      <c r="VN291" s="302"/>
      <c r="VO291" s="302"/>
      <c r="VP291" s="302"/>
      <c r="VQ291" s="302"/>
      <c r="VR291" s="302"/>
      <c r="VS291" s="302"/>
      <c r="VT291" s="302"/>
      <c r="VU291" s="302"/>
      <c r="VV291" s="302"/>
      <c r="VW291" s="302"/>
      <c r="VX291" s="302"/>
      <c r="VY291" s="302"/>
      <c r="VZ291" s="302"/>
      <c r="WA291" s="302"/>
      <c r="WB291" s="302"/>
      <c r="WC291" s="302"/>
      <c r="WD291" s="302"/>
      <c r="WE291" s="302"/>
      <c r="WF291" s="302"/>
      <c r="WG291" s="302"/>
      <c r="WH291" s="302"/>
      <c r="WI291" s="302"/>
      <c r="WJ291" s="302"/>
      <c r="WK291" s="302"/>
      <c r="WL291" s="302"/>
      <c r="WM291" s="302"/>
      <c r="WN291" s="302"/>
      <c r="WO291" s="302"/>
      <c r="WP291" s="302"/>
      <c r="WQ291" s="302"/>
      <c r="WR291" s="302"/>
      <c r="WS291" s="302"/>
      <c r="WT291" s="302"/>
      <c r="WU291" s="302"/>
      <c r="WV291" s="302"/>
      <c r="WW291" s="302"/>
      <c r="WX291" s="302"/>
      <c r="WY291" s="302"/>
      <c r="WZ291" s="302"/>
      <c r="XA291" s="302"/>
      <c r="XB291" s="302"/>
      <c r="XC291" s="302"/>
      <c r="XD291" s="302"/>
      <c r="XE291" s="302"/>
      <c r="XF291" s="302"/>
      <c r="XG291" s="302"/>
      <c r="XH291" s="302"/>
      <c r="XI291" s="302"/>
      <c r="XJ291" s="302"/>
      <c r="XK291" s="302"/>
      <c r="XL291" s="302"/>
      <c r="XM291" s="302"/>
      <c r="XN291" s="302"/>
      <c r="XO291" s="302"/>
      <c r="XP291" s="302"/>
      <c r="XQ291" s="302"/>
      <c r="XR291" s="302"/>
      <c r="XS291" s="302"/>
      <c r="XT291" s="302"/>
      <c r="XU291" s="302"/>
      <c r="XV291" s="302"/>
      <c r="XW291" s="302"/>
      <c r="XX291" s="302"/>
      <c r="XY291" s="302"/>
      <c r="XZ291" s="302"/>
      <c r="YA291" s="302"/>
      <c r="YB291" s="302"/>
      <c r="YC291" s="302"/>
      <c r="YD291" s="302"/>
      <c r="YE291" s="302"/>
      <c r="YF291" s="302"/>
      <c r="YG291" s="302"/>
      <c r="YH291" s="302"/>
      <c r="YI291" s="302"/>
      <c r="YJ291" s="302"/>
      <c r="YK291" s="302"/>
      <c r="YL291" s="302"/>
      <c r="YM291" s="302"/>
      <c r="YN291" s="302"/>
      <c r="YO291" s="302"/>
      <c r="YP291" s="302"/>
      <c r="YQ291" s="302"/>
      <c r="YR291" s="302"/>
      <c r="YS291" s="302"/>
      <c r="YT291" s="302"/>
      <c r="YU291" s="302"/>
      <c r="YV291" s="302"/>
      <c r="YW291" s="302"/>
      <c r="YX291" s="302"/>
      <c r="YY291" s="302"/>
      <c r="YZ291" s="302"/>
      <c r="ZA291" s="302"/>
      <c r="ZB291" s="302"/>
      <c r="ZC291" s="302"/>
      <c r="ZD291" s="302"/>
      <c r="ZE291" s="302"/>
      <c r="ZF291" s="302"/>
      <c r="ZG291" s="302"/>
      <c r="ZH291" s="302"/>
      <c r="ZI291" s="302"/>
      <c r="ZJ291" s="302"/>
      <c r="ZK291" s="302"/>
      <c r="ZL291" s="302"/>
      <c r="ZM291" s="302"/>
      <c r="ZN291" s="302"/>
      <c r="ZO291" s="302"/>
      <c r="ZP291" s="302"/>
      <c r="ZQ291" s="302"/>
      <c r="ZR291" s="302"/>
      <c r="ZS291" s="302"/>
      <c r="ZT291" s="302"/>
      <c r="ZU291" s="302"/>
      <c r="ZV291" s="302"/>
      <c r="ZW291" s="302"/>
      <c r="ZX291" s="302"/>
      <c r="ZY291" s="302"/>
      <c r="ZZ291" s="302"/>
      <c r="AAA291" s="302"/>
      <c r="AAB291" s="302"/>
      <c r="AAC291" s="302"/>
      <c r="AAD291" s="302"/>
      <c r="AAE291" s="302"/>
      <c r="AAF291" s="302"/>
      <c r="AAG291" s="302"/>
      <c r="AAH291" s="302"/>
      <c r="AAI291" s="302"/>
      <c r="AAJ291" s="302"/>
      <c r="AAK291" s="302"/>
      <c r="AAL291" s="302"/>
      <c r="AAM291" s="302"/>
      <c r="AAN291" s="302"/>
      <c r="AAO291" s="302"/>
      <c r="AAP291" s="302"/>
      <c r="AAQ291" s="302"/>
      <c r="AAR291" s="302"/>
      <c r="AAS291" s="302"/>
      <c r="AAT291" s="302"/>
      <c r="AAU291" s="302"/>
      <c r="AAV291" s="302"/>
      <c r="AAW291" s="302"/>
      <c r="AAX291" s="302"/>
      <c r="AAY291" s="302"/>
      <c r="AAZ291" s="302"/>
      <c r="ABA291" s="302"/>
      <c r="ABB291" s="302"/>
      <c r="ABC291" s="302"/>
      <c r="ABD291" s="302"/>
      <c r="ABE291" s="302"/>
      <c r="ABF291" s="302"/>
      <c r="ABG291" s="302"/>
      <c r="ABH291" s="302"/>
      <c r="ABI291" s="302"/>
      <c r="ABJ291" s="302"/>
      <c r="ABK291" s="302"/>
      <c r="ABL291" s="302"/>
      <c r="ABM291" s="302"/>
      <c r="ABN291" s="302"/>
      <c r="ABO291" s="302"/>
      <c r="ABP291" s="302"/>
      <c r="ABQ291" s="302"/>
      <c r="ABR291" s="302"/>
      <c r="ABS291" s="302"/>
      <c r="ABT291" s="302"/>
      <c r="ABU291" s="302"/>
      <c r="ABV291" s="302"/>
      <c r="ABW291" s="302"/>
      <c r="ABX291" s="302"/>
      <c r="ABY291" s="302"/>
      <c r="ABZ291" s="302"/>
      <c r="ACA291" s="302"/>
      <c r="ACB291" s="302"/>
      <c r="ACC291" s="302"/>
      <c r="ACD291" s="302"/>
      <c r="ACE291" s="302"/>
      <c r="ACF291" s="302"/>
      <c r="ACG291" s="302"/>
      <c r="ACH291" s="302"/>
      <c r="ACI291" s="302"/>
      <c r="ACJ291" s="302"/>
      <c r="ACK291" s="302"/>
      <c r="ACL291" s="302"/>
      <c r="ACM291" s="302"/>
      <c r="ACN291" s="302"/>
      <c r="ACO291" s="302"/>
      <c r="ACP291" s="302"/>
      <c r="ACQ291" s="302"/>
      <c r="ACR291" s="302"/>
      <c r="ACS291" s="302"/>
      <c r="ACT291" s="302"/>
      <c r="ACU291" s="302"/>
      <c r="ACV291" s="302"/>
      <c r="ACW291" s="302"/>
      <c r="ACX291" s="302"/>
      <c r="ACY291" s="302"/>
      <c r="ACZ291" s="302"/>
      <c r="ADA291" s="302"/>
      <c r="ADB291" s="302"/>
      <c r="ADC291" s="302"/>
      <c r="ADD291" s="302"/>
      <c r="ADE291" s="302"/>
      <c r="ADF291" s="302"/>
      <c r="ADG291" s="302"/>
      <c r="ADH291" s="302"/>
      <c r="ADI291" s="302"/>
      <c r="ADJ291" s="302"/>
      <c r="ADK291" s="302"/>
      <c r="ADL291" s="302"/>
      <c r="ADM291" s="302"/>
      <c r="ADN291" s="302"/>
      <c r="ADO291" s="302"/>
      <c r="ADP291" s="302"/>
      <c r="ADQ291" s="302"/>
      <c r="ADR291" s="302"/>
      <c r="ADS291" s="302"/>
      <c r="ADT291" s="302"/>
      <c r="ADU291" s="302"/>
      <c r="ADV291" s="302"/>
      <c r="ADW291" s="302"/>
      <c r="ADX291" s="302"/>
      <c r="ADY291" s="302"/>
      <c r="ADZ291" s="302"/>
      <c r="AEA291" s="302"/>
      <c r="AEB291" s="302"/>
      <c r="AEC291" s="302"/>
      <c r="AED291" s="302"/>
      <c r="AEE291" s="302"/>
      <c r="AEF291" s="302"/>
      <c r="AEG291" s="302"/>
      <c r="AEH291" s="302"/>
      <c r="AEI291" s="302"/>
      <c r="AEJ291" s="302"/>
      <c r="AEK291" s="302"/>
      <c r="AEL291" s="302"/>
      <c r="AEM291" s="302"/>
      <c r="AEN291" s="302"/>
      <c r="AEO291" s="302"/>
      <c r="AEP291" s="302"/>
      <c r="AEQ291" s="302"/>
      <c r="AER291" s="302"/>
      <c r="AES291" s="302"/>
      <c r="AET291" s="302"/>
      <c r="AEU291" s="302"/>
      <c r="AEV291" s="302"/>
      <c r="AEW291" s="302"/>
      <c r="AEX291" s="302"/>
      <c r="AEY291" s="302"/>
      <c r="AEZ291" s="302"/>
      <c r="AFA291" s="302"/>
      <c r="AFB291" s="302"/>
      <c r="AFC291" s="302"/>
      <c r="AFD291" s="302"/>
      <c r="AFE291" s="302"/>
      <c r="AFF291" s="302"/>
      <c r="AFG291" s="302"/>
      <c r="AFH291" s="302"/>
      <c r="AFI291" s="302"/>
      <c r="AFJ291" s="302"/>
      <c r="AFK291" s="302"/>
      <c r="AFL291" s="302"/>
      <c r="AFM291" s="302"/>
      <c r="AFN291" s="302"/>
      <c r="AFO291" s="302"/>
      <c r="AFP291" s="302"/>
      <c r="AFQ291" s="302"/>
      <c r="AFR291" s="302"/>
      <c r="AFS291" s="302"/>
      <c r="AFT291" s="302"/>
      <c r="AFU291" s="302"/>
      <c r="AFV291" s="302"/>
      <c r="AFW291" s="302"/>
      <c r="AFX291" s="302"/>
      <c r="AFY291" s="302"/>
      <c r="AFZ291" s="302"/>
      <c r="AGA291" s="302"/>
      <c r="AGB291" s="302"/>
      <c r="AGC291" s="302"/>
      <c r="AGD291" s="302"/>
      <c r="AGE291" s="302"/>
      <c r="AGF291" s="302"/>
      <c r="AGG291" s="302"/>
      <c r="AGH291" s="302"/>
      <c r="AGI291" s="302"/>
      <c r="AGJ291" s="302"/>
      <c r="AGK291" s="302"/>
      <c r="AGL291" s="302"/>
      <c r="AGM291" s="302"/>
      <c r="AGN291" s="302"/>
      <c r="AGO291" s="302"/>
      <c r="AGP291" s="302"/>
      <c r="AGQ291" s="302"/>
      <c r="AGR291" s="302"/>
      <c r="AGS291" s="302"/>
      <c r="AGT291" s="302"/>
      <c r="AGU291" s="302"/>
      <c r="AGV291" s="302"/>
      <c r="AGW291" s="302"/>
      <c r="AGX291" s="302"/>
      <c r="AGY291" s="302"/>
      <c r="AGZ291" s="302"/>
      <c r="AHA291" s="302"/>
      <c r="AHB291" s="302"/>
      <c r="AHC291" s="302"/>
      <c r="AHD291" s="302"/>
      <c r="AHE291" s="302"/>
      <c r="AHF291" s="302"/>
      <c r="AHG291" s="302"/>
      <c r="AHH291" s="302"/>
      <c r="AHI291" s="302"/>
      <c r="AHJ291" s="302"/>
      <c r="AHK291" s="302"/>
      <c r="AHL291" s="302"/>
      <c r="AHM291" s="302"/>
      <c r="AHN291" s="302"/>
      <c r="AHO291" s="302"/>
      <c r="AHP291" s="302"/>
      <c r="AHQ291" s="302"/>
      <c r="AHR291" s="302"/>
      <c r="AHS291" s="302"/>
      <c r="AHT291" s="302"/>
      <c r="AHU291" s="302"/>
      <c r="AHV291" s="302"/>
      <c r="AHW291" s="302"/>
      <c r="AHX291" s="302"/>
      <c r="AHY291" s="302"/>
      <c r="AHZ291" s="302"/>
      <c r="AIA291" s="302"/>
      <c r="AIB291" s="302"/>
      <c r="AIC291" s="302"/>
      <c r="AID291" s="302"/>
      <c r="AIE291" s="302"/>
      <c r="AIF291" s="302"/>
      <c r="AIG291" s="302"/>
      <c r="AIH291" s="302"/>
      <c r="AII291" s="302"/>
      <c r="AIJ291" s="302"/>
      <c r="AIK291" s="302"/>
      <c r="AIL291" s="302"/>
      <c r="AIM291" s="302"/>
      <c r="AIN291" s="302"/>
      <c r="AIO291" s="302"/>
      <c r="AIP291" s="302"/>
      <c r="AIQ291" s="302"/>
      <c r="AIR291" s="302"/>
      <c r="AIS291" s="302"/>
      <c r="AIT291" s="302"/>
      <c r="AIU291" s="302"/>
      <c r="AIV291" s="302"/>
      <c r="AIW291" s="302"/>
      <c r="AIX291" s="302"/>
      <c r="AIY291" s="302"/>
      <c r="AIZ291" s="302"/>
      <c r="AJA291" s="302"/>
      <c r="AJB291" s="302"/>
      <c r="AJC291" s="302"/>
      <c r="AJD291" s="302"/>
      <c r="AJE291" s="302"/>
      <c r="AJF291" s="302"/>
      <c r="AJG291" s="302"/>
      <c r="AJH291" s="302"/>
      <c r="AJI291" s="302"/>
      <c r="AJJ291" s="302"/>
      <c r="AJK291" s="302"/>
      <c r="AJL291" s="302"/>
      <c r="AJM291" s="302"/>
      <c r="AJN291" s="302"/>
      <c r="AJO291" s="302"/>
      <c r="AJP291" s="302"/>
      <c r="AJQ291" s="302"/>
      <c r="AJR291" s="302"/>
      <c r="AJS291" s="302"/>
      <c r="AJT291" s="302"/>
      <c r="AJU291" s="302"/>
      <c r="AJV291" s="302"/>
      <c r="AJW291" s="302"/>
      <c r="AJX291" s="302"/>
      <c r="AJY291" s="302"/>
      <c r="AJZ291" s="302"/>
      <c r="AKA291" s="302"/>
      <c r="AKB291" s="302"/>
      <c r="AKC291" s="302"/>
      <c r="AKD291" s="302"/>
      <c r="AKE291" s="302"/>
      <c r="AKF291" s="302"/>
      <c r="AKG291" s="302"/>
      <c r="AKH291" s="302"/>
      <c r="AKI291" s="302"/>
      <c r="AKJ291" s="302"/>
      <c r="AKK291" s="302"/>
      <c r="AKL291" s="302"/>
      <c r="AKM291" s="302"/>
      <c r="AKN291" s="302"/>
      <c r="AKO291" s="302"/>
      <c r="AKP291" s="302"/>
      <c r="AKQ291" s="302"/>
      <c r="AKR291" s="302"/>
      <c r="AKS291" s="302"/>
      <c r="AKT291" s="302"/>
      <c r="AKU291" s="302"/>
      <c r="AKV291" s="302"/>
      <c r="AKW291" s="302"/>
      <c r="AKX291" s="302"/>
      <c r="AKY291" s="302"/>
      <c r="AKZ291" s="302"/>
      <c r="ALA291" s="302"/>
      <c r="ALB291" s="302"/>
      <c r="ALC291" s="302"/>
      <c r="ALD291" s="302"/>
      <c r="ALE291" s="302"/>
      <c r="ALF291" s="302"/>
      <c r="ALG291" s="302"/>
      <c r="ALH291" s="302"/>
      <c r="ALI291" s="302"/>
      <c r="ALJ291" s="302"/>
      <c r="ALK291" s="302"/>
      <c r="ALL291" s="302"/>
      <c r="ALM291" s="302"/>
      <c r="ALN291" s="302"/>
      <c r="ALO291" s="302"/>
      <c r="ALP291" s="302"/>
      <c r="ALQ291" s="302"/>
      <c r="ALR291" s="302"/>
      <c r="ALS291" s="302"/>
      <c r="ALT291" s="302"/>
      <c r="ALU291" s="302"/>
      <c r="ALV291" s="302"/>
      <c r="ALW291" s="302"/>
      <c r="ALX291" s="302"/>
      <c r="ALY291" s="302"/>
      <c r="ALZ291" s="302"/>
      <c r="AMA291" s="302"/>
      <c r="AMB291" s="302"/>
      <c r="AMC291" s="302"/>
      <c r="AMD291" s="302"/>
      <c r="AME291" s="302"/>
      <c r="AMF291" s="302"/>
      <c r="AMG291" s="302"/>
      <c r="AMH291" s="302"/>
      <c r="AMI291" s="302"/>
    </row>
    <row r="292" spans="1:1023" hidden="1"/>
    <row r="293" spans="1:1023" hidden="1"/>
    <row r="294" spans="1:1023" ht="18" hidden="1">
      <c r="A294" s="302"/>
      <c r="B294" s="969" t="s">
        <v>427</v>
      </c>
      <c r="C294" s="970"/>
      <c r="D294" s="970"/>
      <c r="E294" s="970"/>
      <c r="F294" s="970"/>
      <c r="G294" s="970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2"/>
      <c r="AE294" s="302"/>
      <c r="AF294" s="302"/>
      <c r="AG294" s="302"/>
      <c r="AH294" s="302"/>
      <c r="AI294" s="302"/>
      <c r="AJ294" s="302"/>
      <c r="AK294" s="302"/>
      <c r="AL294" s="302"/>
      <c r="AM294" s="302"/>
      <c r="AN294" s="302"/>
      <c r="AO294" s="302"/>
      <c r="AP294" s="302"/>
      <c r="AQ294" s="302"/>
      <c r="AR294" s="302"/>
      <c r="AS294" s="302"/>
      <c r="AT294" s="302"/>
      <c r="AU294" s="302"/>
      <c r="AV294" s="302"/>
      <c r="AW294" s="302"/>
      <c r="AX294" s="302"/>
      <c r="AY294" s="302"/>
      <c r="AZ294" s="302"/>
      <c r="BA294" s="302"/>
      <c r="BB294" s="302"/>
      <c r="BC294" s="302"/>
      <c r="BD294" s="302"/>
      <c r="BE294" s="302"/>
      <c r="BF294" s="302"/>
      <c r="BG294" s="302"/>
      <c r="BH294" s="302"/>
      <c r="BI294" s="302"/>
      <c r="BJ294" s="302"/>
      <c r="BK294" s="302"/>
      <c r="BL294" s="302"/>
      <c r="BM294" s="302"/>
      <c r="BN294" s="302"/>
      <c r="BO294" s="302"/>
      <c r="BP294" s="302"/>
      <c r="BQ294" s="302"/>
      <c r="BR294" s="302"/>
      <c r="BS294" s="302"/>
      <c r="BT294" s="302"/>
      <c r="BU294" s="302"/>
      <c r="BV294" s="302"/>
      <c r="BW294" s="302"/>
      <c r="BX294" s="302"/>
      <c r="BY294" s="302"/>
      <c r="BZ294" s="302"/>
      <c r="CA294" s="302"/>
      <c r="CB294" s="302"/>
      <c r="CC294" s="302"/>
      <c r="CD294" s="302"/>
      <c r="CE294" s="302"/>
      <c r="CF294" s="302"/>
      <c r="CG294" s="302"/>
      <c r="CH294" s="302"/>
      <c r="CI294" s="302"/>
      <c r="CJ294" s="302"/>
      <c r="CK294" s="302"/>
      <c r="CL294" s="302"/>
      <c r="CM294" s="302"/>
      <c r="CN294" s="302"/>
      <c r="CO294" s="302"/>
      <c r="CP294" s="302"/>
      <c r="CQ294" s="302"/>
      <c r="CR294" s="302"/>
      <c r="CS294" s="302"/>
      <c r="CT294" s="302"/>
      <c r="CU294" s="302"/>
      <c r="CV294" s="302"/>
      <c r="CW294" s="302"/>
      <c r="CX294" s="302"/>
      <c r="CY294" s="302"/>
      <c r="CZ294" s="302"/>
      <c r="DA294" s="302"/>
      <c r="DB294" s="302"/>
      <c r="DC294" s="302"/>
      <c r="DD294" s="302"/>
      <c r="DE294" s="302"/>
      <c r="DF294" s="302"/>
      <c r="DG294" s="302"/>
      <c r="DH294" s="302"/>
      <c r="DI294" s="302"/>
      <c r="DJ294" s="302"/>
      <c r="DK294" s="302"/>
      <c r="DL294" s="302"/>
      <c r="DM294" s="302"/>
      <c r="DN294" s="302"/>
      <c r="DO294" s="302"/>
      <c r="DP294" s="302"/>
      <c r="DQ294" s="302"/>
      <c r="DR294" s="302"/>
      <c r="DS294" s="302"/>
      <c r="DT294" s="302"/>
      <c r="DU294" s="302"/>
      <c r="DV294" s="302"/>
      <c r="DW294" s="302"/>
      <c r="DX294" s="302"/>
      <c r="DY294" s="302"/>
      <c r="DZ294" s="302"/>
      <c r="EA294" s="302"/>
      <c r="EB294" s="302"/>
      <c r="EC294" s="302"/>
      <c r="ED294" s="302"/>
      <c r="EE294" s="302"/>
      <c r="EF294" s="302"/>
      <c r="EG294" s="302"/>
      <c r="EH294" s="302"/>
      <c r="EI294" s="302"/>
      <c r="EJ294" s="302"/>
      <c r="EK294" s="302"/>
      <c r="EL294" s="302"/>
      <c r="EM294" s="302"/>
      <c r="EN294" s="302"/>
      <c r="EO294" s="302"/>
      <c r="EP294" s="302"/>
      <c r="EQ294" s="302"/>
      <c r="ER294" s="302"/>
      <c r="ES294" s="302"/>
      <c r="ET294" s="302"/>
      <c r="EU294" s="302"/>
      <c r="EV294" s="302"/>
      <c r="EW294" s="302"/>
      <c r="EX294" s="302"/>
      <c r="EY294" s="302"/>
      <c r="EZ294" s="302"/>
      <c r="FA294" s="302"/>
      <c r="FB294" s="302"/>
      <c r="FC294" s="302"/>
      <c r="FD294" s="302"/>
      <c r="FE294" s="302"/>
      <c r="FF294" s="302"/>
      <c r="FG294" s="302"/>
      <c r="FH294" s="302"/>
      <c r="FI294" s="302"/>
      <c r="FJ294" s="302"/>
      <c r="FK294" s="302"/>
      <c r="FL294" s="302"/>
      <c r="FM294" s="302"/>
      <c r="FN294" s="302"/>
      <c r="FO294" s="302"/>
      <c r="FP294" s="302"/>
      <c r="FQ294" s="302"/>
      <c r="FR294" s="302"/>
      <c r="FS294" s="302"/>
      <c r="FT294" s="302"/>
      <c r="FU294" s="302"/>
      <c r="FV294" s="302"/>
      <c r="FW294" s="302"/>
      <c r="FX294" s="302"/>
      <c r="FY294" s="302"/>
      <c r="FZ294" s="302"/>
      <c r="GA294" s="302"/>
      <c r="GB294" s="302"/>
      <c r="GC294" s="302"/>
      <c r="GD294" s="302"/>
      <c r="GE294" s="302"/>
      <c r="GF294" s="302"/>
      <c r="GG294" s="302"/>
      <c r="GH294" s="302"/>
      <c r="GI294" s="302"/>
      <c r="GJ294" s="302"/>
      <c r="GK294" s="302"/>
      <c r="GL294" s="302"/>
      <c r="GM294" s="302"/>
      <c r="GN294" s="302"/>
      <c r="GO294" s="302"/>
      <c r="GP294" s="302"/>
      <c r="GQ294" s="302"/>
      <c r="GR294" s="302"/>
      <c r="GS294" s="302"/>
      <c r="GT294" s="302"/>
      <c r="GU294" s="302"/>
      <c r="GV294" s="302"/>
      <c r="GW294" s="302"/>
      <c r="GX294" s="302"/>
      <c r="GY294" s="302"/>
      <c r="GZ294" s="302"/>
      <c r="HA294" s="302"/>
      <c r="HB294" s="302"/>
      <c r="HC294" s="302"/>
      <c r="HD294" s="302"/>
      <c r="HE294" s="302"/>
      <c r="HF294" s="302"/>
      <c r="HG294" s="302"/>
      <c r="HH294" s="302"/>
      <c r="HI294" s="302"/>
      <c r="HJ294" s="302"/>
      <c r="HK294" s="302"/>
      <c r="HL294" s="302"/>
      <c r="HM294" s="302"/>
      <c r="HN294" s="302"/>
      <c r="HO294" s="302"/>
      <c r="HP294" s="302"/>
      <c r="HQ294" s="302"/>
      <c r="HR294" s="302"/>
      <c r="HS294" s="302"/>
      <c r="HT294" s="302"/>
      <c r="HU294" s="302"/>
      <c r="HV294" s="302"/>
      <c r="HW294" s="302"/>
      <c r="HX294" s="302"/>
      <c r="HY294" s="302"/>
      <c r="HZ294" s="302"/>
      <c r="IA294" s="302"/>
      <c r="IB294" s="302"/>
      <c r="IC294" s="302"/>
      <c r="ID294" s="302"/>
      <c r="IE294" s="302"/>
      <c r="IF294" s="302"/>
      <c r="IG294" s="302"/>
      <c r="IH294" s="302"/>
      <c r="II294" s="302"/>
      <c r="IJ294" s="302"/>
      <c r="IK294" s="302"/>
      <c r="IL294" s="302"/>
      <c r="IM294" s="302"/>
      <c r="IN294" s="302"/>
      <c r="IO294" s="302"/>
      <c r="IP294" s="302"/>
      <c r="IQ294" s="302"/>
      <c r="IR294" s="302"/>
      <c r="IS294" s="302"/>
      <c r="IT294" s="302"/>
      <c r="IU294" s="302"/>
      <c r="IV294" s="302"/>
      <c r="IW294" s="302"/>
      <c r="IX294" s="302"/>
      <c r="IY294" s="302"/>
      <c r="IZ294" s="302"/>
      <c r="JA294" s="302"/>
      <c r="JB294" s="302"/>
      <c r="JC294" s="302"/>
      <c r="JD294" s="302"/>
      <c r="JE294" s="302"/>
      <c r="JF294" s="302"/>
      <c r="JG294" s="302"/>
      <c r="JH294" s="302"/>
      <c r="JI294" s="302"/>
      <c r="JJ294" s="302"/>
      <c r="JK294" s="302"/>
      <c r="JL294" s="302"/>
      <c r="JM294" s="302"/>
      <c r="JN294" s="302"/>
      <c r="JO294" s="302"/>
      <c r="JP294" s="302"/>
      <c r="JQ294" s="302"/>
      <c r="JR294" s="302"/>
      <c r="JS294" s="302"/>
      <c r="JT294" s="302"/>
      <c r="JU294" s="302"/>
      <c r="JV294" s="302"/>
      <c r="JW294" s="302"/>
      <c r="JX294" s="302"/>
      <c r="JY294" s="302"/>
      <c r="JZ294" s="302"/>
      <c r="KA294" s="302"/>
      <c r="KB294" s="302"/>
      <c r="KC294" s="302"/>
      <c r="KD294" s="302"/>
      <c r="KE294" s="302"/>
      <c r="KF294" s="302"/>
      <c r="KG294" s="302"/>
      <c r="KH294" s="302"/>
      <c r="KI294" s="302"/>
      <c r="KJ294" s="302"/>
      <c r="KK294" s="302"/>
      <c r="KL294" s="302"/>
      <c r="KM294" s="302"/>
      <c r="KN294" s="302"/>
      <c r="KO294" s="302"/>
      <c r="KP294" s="302"/>
      <c r="KQ294" s="302"/>
      <c r="KR294" s="302"/>
      <c r="KS294" s="302"/>
      <c r="KT294" s="302"/>
      <c r="KU294" s="302"/>
      <c r="KV294" s="302"/>
      <c r="KW294" s="302"/>
      <c r="KX294" s="302"/>
      <c r="KY294" s="302"/>
      <c r="KZ294" s="302"/>
      <c r="LA294" s="302"/>
      <c r="LB294" s="302"/>
      <c r="LC294" s="302"/>
      <c r="LD294" s="302"/>
      <c r="LE294" s="302"/>
      <c r="LF294" s="302"/>
      <c r="LG294" s="302"/>
      <c r="LH294" s="302"/>
      <c r="LI294" s="302"/>
      <c r="LJ294" s="302"/>
      <c r="LK294" s="302"/>
      <c r="LL294" s="302"/>
      <c r="LM294" s="302"/>
      <c r="LN294" s="302"/>
      <c r="LO294" s="302"/>
      <c r="LP294" s="302"/>
      <c r="LQ294" s="302"/>
      <c r="LR294" s="302"/>
      <c r="LS294" s="302"/>
      <c r="LT294" s="302"/>
      <c r="LU294" s="302"/>
      <c r="LV294" s="302"/>
      <c r="LW294" s="302"/>
      <c r="LX294" s="302"/>
      <c r="LY294" s="302"/>
      <c r="LZ294" s="302"/>
      <c r="MA294" s="302"/>
      <c r="MB294" s="302"/>
      <c r="MC294" s="302"/>
      <c r="MD294" s="302"/>
      <c r="ME294" s="302"/>
      <c r="MF294" s="302"/>
      <c r="MG294" s="302"/>
      <c r="MH294" s="302"/>
      <c r="MI294" s="302"/>
      <c r="MJ294" s="302"/>
      <c r="MK294" s="302"/>
      <c r="ML294" s="302"/>
      <c r="MM294" s="302"/>
      <c r="MN294" s="302"/>
      <c r="MO294" s="302"/>
      <c r="MP294" s="302"/>
      <c r="MQ294" s="302"/>
      <c r="MR294" s="302"/>
      <c r="MS294" s="302"/>
      <c r="MT294" s="302"/>
      <c r="MU294" s="302"/>
      <c r="MV294" s="302"/>
      <c r="MW294" s="302"/>
      <c r="MX294" s="302"/>
      <c r="MY294" s="302"/>
      <c r="MZ294" s="302"/>
      <c r="NA294" s="302"/>
      <c r="NB294" s="302"/>
      <c r="NC294" s="302"/>
      <c r="ND294" s="302"/>
      <c r="NE294" s="302"/>
      <c r="NF294" s="302"/>
      <c r="NG294" s="302"/>
      <c r="NH294" s="302"/>
      <c r="NI294" s="302"/>
      <c r="NJ294" s="302"/>
      <c r="NK294" s="302"/>
      <c r="NL294" s="302"/>
      <c r="NM294" s="302"/>
      <c r="NN294" s="302"/>
      <c r="NO294" s="302"/>
      <c r="NP294" s="302"/>
      <c r="NQ294" s="302"/>
      <c r="NR294" s="302"/>
      <c r="NS294" s="302"/>
      <c r="NT294" s="302"/>
      <c r="NU294" s="302"/>
      <c r="NV294" s="302"/>
      <c r="NW294" s="302"/>
      <c r="NX294" s="302"/>
      <c r="NY294" s="302"/>
      <c r="NZ294" s="302"/>
      <c r="OA294" s="302"/>
      <c r="OB294" s="302"/>
      <c r="OC294" s="302"/>
      <c r="OD294" s="302"/>
      <c r="OE294" s="302"/>
      <c r="OF294" s="302"/>
      <c r="OG294" s="302"/>
      <c r="OH294" s="302"/>
      <c r="OI294" s="302"/>
      <c r="OJ294" s="302"/>
      <c r="OK294" s="302"/>
      <c r="OL294" s="302"/>
      <c r="OM294" s="302"/>
      <c r="ON294" s="302"/>
      <c r="OO294" s="302"/>
      <c r="OP294" s="302"/>
      <c r="OQ294" s="302"/>
      <c r="OR294" s="302"/>
      <c r="OS294" s="302"/>
      <c r="OT294" s="302"/>
      <c r="OU294" s="302"/>
      <c r="OV294" s="302"/>
      <c r="OW294" s="302"/>
      <c r="OX294" s="302"/>
      <c r="OY294" s="302"/>
      <c r="OZ294" s="302"/>
      <c r="PA294" s="302"/>
      <c r="PB294" s="302"/>
      <c r="PC294" s="302"/>
      <c r="PD294" s="302"/>
      <c r="PE294" s="302"/>
      <c r="PF294" s="302"/>
      <c r="PG294" s="302"/>
      <c r="PH294" s="302"/>
      <c r="PI294" s="302"/>
      <c r="PJ294" s="302"/>
      <c r="PK294" s="302"/>
      <c r="PL294" s="302"/>
      <c r="PM294" s="302"/>
      <c r="PN294" s="302"/>
      <c r="PO294" s="302"/>
      <c r="PP294" s="302"/>
      <c r="PQ294" s="302"/>
      <c r="PR294" s="302"/>
      <c r="PS294" s="302"/>
      <c r="PT294" s="302"/>
      <c r="PU294" s="302"/>
      <c r="PV294" s="302"/>
      <c r="PW294" s="302"/>
      <c r="PX294" s="302"/>
      <c r="PY294" s="302"/>
      <c r="PZ294" s="302"/>
      <c r="QA294" s="302"/>
      <c r="QB294" s="302"/>
      <c r="QC294" s="302"/>
      <c r="QD294" s="302"/>
      <c r="QE294" s="302"/>
      <c r="QF294" s="302"/>
      <c r="QG294" s="302"/>
      <c r="QH294" s="302"/>
      <c r="QI294" s="302"/>
      <c r="QJ294" s="302"/>
      <c r="QK294" s="302"/>
      <c r="QL294" s="302"/>
      <c r="QM294" s="302"/>
      <c r="QN294" s="302"/>
      <c r="QO294" s="302"/>
      <c r="QP294" s="302"/>
      <c r="QQ294" s="302"/>
      <c r="QR294" s="302"/>
      <c r="QS294" s="302"/>
      <c r="QT294" s="302"/>
      <c r="QU294" s="302"/>
      <c r="QV294" s="302"/>
      <c r="QW294" s="302"/>
      <c r="QX294" s="302"/>
      <c r="QY294" s="302"/>
      <c r="QZ294" s="302"/>
      <c r="RA294" s="302"/>
      <c r="RB294" s="302"/>
      <c r="RC294" s="302"/>
      <c r="RD294" s="302"/>
      <c r="RE294" s="302"/>
      <c r="RF294" s="302"/>
      <c r="RG294" s="302"/>
      <c r="RH294" s="302"/>
      <c r="RI294" s="302"/>
      <c r="RJ294" s="302"/>
      <c r="RK294" s="302"/>
      <c r="RL294" s="302"/>
      <c r="RM294" s="302"/>
      <c r="RN294" s="302"/>
      <c r="RO294" s="302"/>
      <c r="RP294" s="302"/>
      <c r="RQ294" s="302"/>
      <c r="RR294" s="302"/>
      <c r="RS294" s="302"/>
      <c r="RT294" s="302"/>
      <c r="RU294" s="302"/>
      <c r="RV294" s="302"/>
      <c r="RW294" s="302"/>
      <c r="RX294" s="302"/>
      <c r="RY294" s="302"/>
      <c r="RZ294" s="302"/>
      <c r="SA294" s="302"/>
      <c r="SB294" s="302"/>
      <c r="SC294" s="302"/>
      <c r="SD294" s="302"/>
      <c r="SE294" s="302"/>
      <c r="SF294" s="302"/>
      <c r="SG294" s="302"/>
      <c r="SH294" s="302"/>
      <c r="SI294" s="302"/>
      <c r="SJ294" s="302"/>
      <c r="SK294" s="302"/>
      <c r="SL294" s="302"/>
      <c r="SM294" s="302"/>
      <c r="SN294" s="302"/>
      <c r="SO294" s="302"/>
      <c r="SP294" s="302"/>
      <c r="SQ294" s="302"/>
      <c r="SR294" s="302"/>
      <c r="SS294" s="302"/>
      <c r="ST294" s="302"/>
      <c r="SU294" s="302"/>
      <c r="SV294" s="302"/>
      <c r="SW294" s="302"/>
      <c r="SX294" s="302"/>
      <c r="SY294" s="302"/>
      <c r="SZ294" s="302"/>
      <c r="TA294" s="302"/>
      <c r="TB294" s="302"/>
      <c r="TC294" s="302"/>
      <c r="TD294" s="302"/>
      <c r="TE294" s="302"/>
      <c r="TF294" s="302"/>
      <c r="TG294" s="302"/>
      <c r="TH294" s="302"/>
      <c r="TI294" s="302"/>
      <c r="TJ294" s="302"/>
      <c r="TK294" s="302"/>
      <c r="TL294" s="302"/>
      <c r="TM294" s="302"/>
      <c r="TN294" s="302"/>
      <c r="TO294" s="302"/>
      <c r="TP294" s="302"/>
      <c r="TQ294" s="302"/>
      <c r="TR294" s="302"/>
      <c r="TS294" s="302"/>
      <c r="TT294" s="302"/>
      <c r="TU294" s="302"/>
      <c r="TV294" s="302"/>
      <c r="TW294" s="302"/>
      <c r="TX294" s="302"/>
      <c r="TY294" s="302"/>
      <c r="TZ294" s="302"/>
      <c r="UA294" s="302"/>
      <c r="UB294" s="302"/>
      <c r="UC294" s="302"/>
      <c r="UD294" s="302"/>
      <c r="UE294" s="302"/>
      <c r="UF294" s="302"/>
      <c r="UG294" s="302"/>
      <c r="UH294" s="302"/>
      <c r="UI294" s="302"/>
      <c r="UJ294" s="302"/>
      <c r="UK294" s="302"/>
      <c r="UL294" s="302"/>
      <c r="UM294" s="302"/>
      <c r="UN294" s="302"/>
      <c r="UO294" s="302"/>
      <c r="UP294" s="302"/>
      <c r="UQ294" s="302"/>
      <c r="UR294" s="302"/>
      <c r="US294" s="302"/>
      <c r="UT294" s="302"/>
      <c r="UU294" s="302"/>
      <c r="UV294" s="302"/>
      <c r="UW294" s="302"/>
      <c r="UX294" s="302"/>
      <c r="UY294" s="302"/>
      <c r="UZ294" s="302"/>
      <c r="VA294" s="302"/>
      <c r="VB294" s="302"/>
      <c r="VC294" s="302"/>
      <c r="VD294" s="302"/>
      <c r="VE294" s="302"/>
      <c r="VF294" s="302"/>
      <c r="VG294" s="302"/>
      <c r="VH294" s="302"/>
      <c r="VI294" s="302"/>
      <c r="VJ294" s="302"/>
      <c r="VK294" s="302"/>
      <c r="VL294" s="302"/>
      <c r="VM294" s="302"/>
      <c r="VN294" s="302"/>
      <c r="VO294" s="302"/>
      <c r="VP294" s="302"/>
      <c r="VQ294" s="302"/>
      <c r="VR294" s="302"/>
      <c r="VS294" s="302"/>
      <c r="VT294" s="302"/>
      <c r="VU294" s="302"/>
      <c r="VV294" s="302"/>
      <c r="VW294" s="302"/>
      <c r="VX294" s="302"/>
      <c r="VY294" s="302"/>
      <c r="VZ294" s="302"/>
      <c r="WA294" s="302"/>
      <c r="WB294" s="302"/>
      <c r="WC294" s="302"/>
      <c r="WD294" s="302"/>
      <c r="WE294" s="302"/>
      <c r="WF294" s="302"/>
      <c r="WG294" s="302"/>
      <c r="WH294" s="302"/>
      <c r="WI294" s="302"/>
      <c r="WJ294" s="302"/>
      <c r="WK294" s="302"/>
      <c r="WL294" s="302"/>
      <c r="WM294" s="302"/>
      <c r="WN294" s="302"/>
      <c r="WO294" s="302"/>
      <c r="WP294" s="302"/>
      <c r="WQ294" s="302"/>
      <c r="WR294" s="302"/>
      <c r="WS294" s="302"/>
      <c r="WT294" s="302"/>
      <c r="WU294" s="302"/>
      <c r="WV294" s="302"/>
      <c r="WW294" s="302"/>
      <c r="WX294" s="302"/>
      <c r="WY294" s="302"/>
      <c r="WZ294" s="302"/>
      <c r="XA294" s="302"/>
      <c r="XB294" s="302"/>
      <c r="XC294" s="302"/>
      <c r="XD294" s="302"/>
      <c r="XE294" s="302"/>
      <c r="XF294" s="302"/>
      <c r="XG294" s="302"/>
      <c r="XH294" s="302"/>
      <c r="XI294" s="302"/>
      <c r="XJ294" s="302"/>
      <c r="XK294" s="302"/>
      <c r="XL294" s="302"/>
      <c r="XM294" s="302"/>
      <c r="XN294" s="302"/>
      <c r="XO294" s="302"/>
      <c r="XP294" s="302"/>
      <c r="XQ294" s="302"/>
      <c r="XR294" s="302"/>
      <c r="XS294" s="302"/>
      <c r="XT294" s="302"/>
      <c r="XU294" s="302"/>
      <c r="XV294" s="302"/>
      <c r="XW294" s="302"/>
      <c r="XX294" s="302"/>
      <c r="XY294" s="302"/>
      <c r="XZ294" s="302"/>
      <c r="YA294" s="302"/>
      <c r="YB294" s="302"/>
      <c r="YC294" s="302"/>
      <c r="YD294" s="302"/>
      <c r="YE294" s="302"/>
      <c r="YF294" s="302"/>
      <c r="YG294" s="302"/>
      <c r="YH294" s="302"/>
      <c r="YI294" s="302"/>
      <c r="YJ294" s="302"/>
      <c r="YK294" s="302"/>
      <c r="YL294" s="302"/>
      <c r="YM294" s="302"/>
      <c r="YN294" s="302"/>
      <c r="YO294" s="302"/>
      <c r="YP294" s="302"/>
      <c r="YQ294" s="302"/>
      <c r="YR294" s="302"/>
      <c r="YS294" s="302"/>
      <c r="YT294" s="302"/>
      <c r="YU294" s="302"/>
      <c r="YV294" s="302"/>
      <c r="YW294" s="302"/>
      <c r="YX294" s="302"/>
      <c r="YY294" s="302"/>
      <c r="YZ294" s="302"/>
      <c r="ZA294" s="302"/>
      <c r="ZB294" s="302"/>
      <c r="ZC294" s="302"/>
      <c r="ZD294" s="302"/>
      <c r="ZE294" s="302"/>
      <c r="ZF294" s="302"/>
      <c r="ZG294" s="302"/>
      <c r="ZH294" s="302"/>
      <c r="ZI294" s="302"/>
      <c r="ZJ294" s="302"/>
      <c r="ZK294" s="302"/>
      <c r="ZL294" s="302"/>
      <c r="ZM294" s="302"/>
      <c r="ZN294" s="302"/>
      <c r="ZO294" s="302"/>
      <c r="ZP294" s="302"/>
      <c r="ZQ294" s="302"/>
      <c r="ZR294" s="302"/>
      <c r="ZS294" s="302"/>
      <c r="ZT294" s="302"/>
      <c r="ZU294" s="302"/>
      <c r="ZV294" s="302"/>
      <c r="ZW294" s="302"/>
      <c r="ZX294" s="302"/>
      <c r="ZY294" s="302"/>
      <c r="ZZ294" s="302"/>
      <c r="AAA294" s="302"/>
      <c r="AAB294" s="302"/>
      <c r="AAC294" s="302"/>
      <c r="AAD294" s="302"/>
      <c r="AAE294" s="302"/>
      <c r="AAF294" s="302"/>
      <c r="AAG294" s="302"/>
      <c r="AAH294" s="302"/>
      <c r="AAI294" s="302"/>
      <c r="AAJ294" s="302"/>
      <c r="AAK294" s="302"/>
      <c r="AAL294" s="302"/>
      <c r="AAM294" s="302"/>
      <c r="AAN294" s="302"/>
      <c r="AAO294" s="302"/>
      <c r="AAP294" s="302"/>
      <c r="AAQ294" s="302"/>
      <c r="AAR294" s="302"/>
      <c r="AAS294" s="302"/>
      <c r="AAT294" s="302"/>
      <c r="AAU294" s="302"/>
      <c r="AAV294" s="302"/>
      <c r="AAW294" s="302"/>
      <c r="AAX294" s="302"/>
      <c r="AAY294" s="302"/>
      <c r="AAZ294" s="302"/>
      <c r="ABA294" s="302"/>
      <c r="ABB294" s="302"/>
      <c r="ABC294" s="302"/>
      <c r="ABD294" s="302"/>
      <c r="ABE294" s="302"/>
      <c r="ABF294" s="302"/>
      <c r="ABG294" s="302"/>
      <c r="ABH294" s="302"/>
      <c r="ABI294" s="302"/>
      <c r="ABJ294" s="302"/>
      <c r="ABK294" s="302"/>
      <c r="ABL294" s="302"/>
      <c r="ABM294" s="302"/>
      <c r="ABN294" s="302"/>
      <c r="ABO294" s="302"/>
      <c r="ABP294" s="302"/>
      <c r="ABQ294" s="302"/>
      <c r="ABR294" s="302"/>
      <c r="ABS294" s="302"/>
      <c r="ABT294" s="302"/>
      <c r="ABU294" s="302"/>
      <c r="ABV294" s="302"/>
      <c r="ABW294" s="302"/>
      <c r="ABX294" s="302"/>
      <c r="ABY294" s="302"/>
      <c r="ABZ294" s="302"/>
      <c r="ACA294" s="302"/>
      <c r="ACB294" s="302"/>
      <c r="ACC294" s="302"/>
      <c r="ACD294" s="302"/>
      <c r="ACE294" s="302"/>
      <c r="ACF294" s="302"/>
      <c r="ACG294" s="302"/>
      <c r="ACH294" s="302"/>
      <c r="ACI294" s="302"/>
      <c r="ACJ294" s="302"/>
      <c r="ACK294" s="302"/>
      <c r="ACL294" s="302"/>
      <c r="ACM294" s="302"/>
      <c r="ACN294" s="302"/>
      <c r="ACO294" s="302"/>
      <c r="ACP294" s="302"/>
      <c r="ACQ294" s="302"/>
      <c r="ACR294" s="302"/>
      <c r="ACS294" s="302"/>
      <c r="ACT294" s="302"/>
      <c r="ACU294" s="302"/>
      <c r="ACV294" s="302"/>
      <c r="ACW294" s="302"/>
      <c r="ACX294" s="302"/>
      <c r="ACY294" s="302"/>
      <c r="ACZ294" s="302"/>
      <c r="ADA294" s="302"/>
      <c r="ADB294" s="302"/>
      <c r="ADC294" s="302"/>
      <c r="ADD294" s="302"/>
      <c r="ADE294" s="302"/>
      <c r="ADF294" s="302"/>
      <c r="ADG294" s="302"/>
      <c r="ADH294" s="302"/>
      <c r="ADI294" s="302"/>
      <c r="ADJ294" s="302"/>
      <c r="ADK294" s="302"/>
      <c r="ADL294" s="302"/>
      <c r="ADM294" s="302"/>
      <c r="ADN294" s="302"/>
      <c r="ADO294" s="302"/>
      <c r="ADP294" s="302"/>
      <c r="ADQ294" s="302"/>
      <c r="ADR294" s="302"/>
      <c r="ADS294" s="302"/>
      <c r="ADT294" s="302"/>
      <c r="ADU294" s="302"/>
      <c r="ADV294" s="302"/>
      <c r="ADW294" s="302"/>
      <c r="ADX294" s="302"/>
      <c r="ADY294" s="302"/>
      <c r="ADZ294" s="302"/>
      <c r="AEA294" s="302"/>
      <c r="AEB294" s="302"/>
      <c r="AEC294" s="302"/>
      <c r="AED294" s="302"/>
      <c r="AEE294" s="302"/>
      <c r="AEF294" s="302"/>
      <c r="AEG294" s="302"/>
      <c r="AEH294" s="302"/>
      <c r="AEI294" s="302"/>
      <c r="AEJ294" s="302"/>
      <c r="AEK294" s="302"/>
      <c r="AEL294" s="302"/>
      <c r="AEM294" s="302"/>
      <c r="AEN294" s="302"/>
      <c r="AEO294" s="302"/>
      <c r="AEP294" s="302"/>
      <c r="AEQ294" s="302"/>
      <c r="AER294" s="302"/>
      <c r="AES294" s="302"/>
      <c r="AET294" s="302"/>
      <c r="AEU294" s="302"/>
      <c r="AEV294" s="302"/>
      <c r="AEW294" s="302"/>
      <c r="AEX294" s="302"/>
      <c r="AEY294" s="302"/>
      <c r="AEZ294" s="302"/>
      <c r="AFA294" s="302"/>
      <c r="AFB294" s="302"/>
      <c r="AFC294" s="302"/>
      <c r="AFD294" s="302"/>
      <c r="AFE294" s="302"/>
      <c r="AFF294" s="302"/>
      <c r="AFG294" s="302"/>
      <c r="AFH294" s="302"/>
      <c r="AFI294" s="302"/>
      <c r="AFJ294" s="302"/>
      <c r="AFK294" s="302"/>
      <c r="AFL294" s="302"/>
      <c r="AFM294" s="302"/>
      <c r="AFN294" s="302"/>
      <c r="AFO294" s="302"/>
      <c r="AFP294" s="302"/>
      <c r="AFQ294" s="302"/>
      <c r="AFR294" s="302"/>
      <c r="AFS294" s="302"/>
      <c r="AFT294" s="302"/>
      <c r="AFU294" s="302"/>
      <c r="AFV294" s="302"/>
      <c r="AFW294" s="302"/>
      <c r="AFX294" s="302"/>
      <c r="AFY294" s="302"/>
      <c r="AFZ294" s="302"/>
      <c r="AGA294" s="302"/>
      <c r="AGB294" s="302"/>
      <c r="AGC294" s="302"/>
      <c r="AGD294" s="302"/>
      <c r="AGE294" s="302"/>
      <c r="AGF294" s="302"/>
      <c r="AGG294" s="302"/>
      <c r="AGH294" s="302"/>
      <c r="AGI294" s="302"/>
      <c r="AGJ294" s="302"/>
      <c r="AGK294" s="302"/>
      <c r="AGL294" s="302"/>
      <c r="AGM294" s="302"/>
      <c r="AGN294" s="302"/>
      <c r="AGO294" s="302"/>
      <c r="AGP294" s="302"/>
      <c r="AGQ294" s="302"/>
      <c r="AGR294" s="302"/>
      <c r="AGS294" s="302"/>
      <c r="AGT294" s="302"/>
      <c r="AGU294" s="302"/>
      <c r="AGV294" s="302"/>
      <c r="AGW294" s="302"/>
      <c r="AGX294" s="302"/>
      <c r="AGY294" s="302"/>
      <c r="AGZ294" s="302"/>
      <c r="AHA294" s="302"/>
      <c r="AHB294" s="302"/>
      <c r="AHC294" s="302"/>
      <c r="AHD294" s="302"/>
      <c r="AHE294" s="302"/>
      <c r="AHF294" s="302"/>
      <c r="AHG294" s="302"/>
      <c r="AHH294" s="302"/>
      <c r="AHI294" s="302"/>
      <c r="AHJ294" s="302"/>
      <c r="AHK294" s="302"/>
      <c r="AHL294" s="302"/>
      <c r="AHM294" s="302"/>
      <c r="AHN294" s="302"/>
      <c r="AHO294" s="302"/>
      <c r="AHP294" s="302"/>
      <c r="AHQ294" s="302"/>
      <c r="AHR294" s="302"/>
      <c r="AHS294" s="302"/>
      <c r="AHT294" s="302"/>
      <c r="AHU294" s="302"/>
      <c r="AHV294" s="302"/>
      <c r="AHW294" s="302"/>
      <c r="AHX294" s="302"/>
      <c r="AHY294" s="302"/>
      <c r="AHZ294" s="302"/>
      <c r="AIA294" s="302"/>
      <c r="AIB294" s="302"/>
      <c r="AIC294" s="302"/>
      <c r="AID294" s="302"/>
      <c r="AIE294" s="302"/>
      <c r="AIF294" s="302"/>
      <c r="AIG294" s="302"/>
      <c r="AIH294" s="302"/>
      <c r="AII294" s="302"/>
      <c r="AIJ294" s="302"/>
      <c r="AIK294" s="302"/>
      <c r="AIL294" s="302"/>
      <c r="AIM294" s="302"/>
      <c r="AIN294" s="302"/>
      <c r="AIO294" s="302"/>
      <c r="AIP294" s="302"/>
      <c r="AIQ294" s="302"/>
      <c r="AIR294" s="302"/>
      <c r="AIS294" s="302"/>
      <c r="AIT294" s="302"/>
      <c r="AIU294" s="302"/>
      <c r="AIV294" s="302"/>
      <c r="AIW294" s="302"/>
      <c r="AIX294" s="302"/>
      <c r="AIY294" s="302"/>
      <c r="AIZ294" s="302"/>
      <c r="AJA294" s="302"/>
      <c r="AJB294" s="302"/>
      <c r="AJC294" s="302"/>
      <c r="AJD294" s="302"/>
      <c r="AJE294" s="302"/>
      <c r="AJF294" s="302"/>
      <c r="AJG294" s="302"/>
      <c r="AJH294" s="302"/>
      <c r="AJI294" s="302"/>
      <c r="AJJ294" s="302"/>
      <c r="AJK294" s="302"/>
      <c r="AJL294" s="302"/>
      <c r="AJM294" s="302"/>
      <c r="AJN294" s="302"/>
      <c r="AJO294" s="302"/>
      <c r="AJP294" s="302"/>
      <c r="AJQ294" s="302"/>
      <c r="AJR294" s="302"/>
      <c r="AJS294" s="302"/>
      <c r="AJT294" s="302"/>
      <c r="AJU294" s="302"/>
      <c r="AJV294" s="302"/>
      <c r="AJW294" s="302"/>
      <c r="AJX294" s="302"/>
      <c r="AJY294" s="302"/>
      <c r="AJZ294" s="302"/>
      <c r="AKA294" s="302"/>
      <c r="AKB294" s="302"/>
      <c r="AKC294" s="302"/>
      <c r="AKD294" s="302"/>
      <c r="AKE294" s="302"/>
      <c r="AKF294" s="302"/>
      <c r="AKG294" s="302"/>
      <c r="AKH294" s="302"/>
      <c r="AKI294" s="302"/>
      <c r="AKJ294" s="302"/>
      <c r="AKK294" s="302"/>
      <c r="AKL294" s="302"/>
      <c r="AKM294" s="302"/>
      <c r="AKN294" s="302"/>
      <c r="AKO294" s="302"/>
      <c r="AKP294" s="302"/>
      <c r="AKQ294" s="302"/>
      <c r="AKR294" s="302"/>
      <c r="AKS294" s="302"/>
      <c r="AKT294" s="302"/>
      <c r="AKU294" s="302"/>
      <c r="AKV294" s="302"/>
      <c r="AKW294" s="302"/>
      <c r="AKX294" s="302"/>
      <c r="AKY294" s="302"/>
      <c r="AKZ294" s="302"/>
      <c r="ALA294" s="302"/>
      <c r="ALB294" s="302"/>
      <c r="ALC294" s="302"/>
      <c r="ALD294" s="302"/>
      <c r="ALE294" s="302"/>
      <c r="ALF294" s="302"/>
      <c r="ALG294" s="302"/>
      <c r="ALH294" s="302"/>
      <c r="ALI294" s="302"/>
      <c r="ALJ294" s="302"/>
      <c r="ALK294" s="302"/>
      <c r="ALL294" s="302"/>
      <c r="ALM294" s="302"/>
      <c r="ALN294" s="302"/>
      <c r="ALO294" s="302"/>
      <c r="ALP294" s="302"/>
      <c r="ALQ294" s="302"/>
      <c r="ALR294" s="302"/>
      <c r="ALS294" s="302"/>
      <c r="ALT294" s="302"/>
      <c r="ALU294" s="302"/>
      <c r="ALV294" s="302"/>
      <c r="ALW294" s="302"/>
      <c r="ALX294" s="302"/>
      <c r="ALY294" s="302"/>
      <c r="ALZ294" s="302"/>
      <c r="AMA294" s="302"/>
      <c r="AMB294" s="302"/>
      <c r="AMC294" s="302"/>
      <c r="AMD294" s="302"/>
      <c r="AME294" s="302"/>
      <c r="AMF294" s="302"/>
      <c r="AMG294" s="302"/>
      <c r="AMH294" s="302"/>
      <c r="AMI294" s="302"/>
    </row>
    <row r="295" spans="1:1023" ht="18" hidden="1">
      <c r="A295" s="302"/>
      <c r="B295" s="359" t="s">
        <v>4</v>
      </c>
      <c r="C295" s="359" t="s">
        <v>373</v>
      </c>
      <c r="D295" s="360" t="s">
        <v>6</v>
      </c>
      <c r="E295" s="359" t="s">
        <v>29</v>
      </c>
      <c r="F295" s="359" t="s">
        <v>8</v>
      </c>
      <c r="G295" s="359" t="s">
        <v>428</v>
      </c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  <c r="AD295" s="302"/>
      <c r="AE295" s="302"/>
      <c r="AF295" s="302"/>
      <c r="AG295" s="302"/>
      <c r="AH295" s="302"/>
      <c r="AI295" s="302"/>
      <c r="AJ295" s="302"/>
      <c r="AK295" s="302"/>
      <c r="AL295" s="302"/>
      <c r="AM295" s="302"/>
      <c r="AN295" s="302"/>
      <c r="AO295" s="302"/>
      <c r="AP295" s="302"/>
      <c r="AQ295" s="302"/>
      <c r="AR295" s="302"/>
      <c r="AS295" s="302"/>
      <c r="AT295" s="302"/>
      <c r="AU295" s="302"/>
      <c r="AV295" s="302"/>
      <c r="AW295" s="302"/>
      <c r="AX295" s="302"/>
      <c r="AY295" s="302"/>
      <c r="AZ295" s="302"/>
      <c r="BA295" s="302"/>
      <c r="BB295" s="302"/>
      <c r="BC295" s="302"/>
      <c r="BD295" s="302"/>
      <c r="BE295" s="302"/>
      <c r="BF295" s="302"/>
      <c r="BG295" s="302"/>
      <c r="BH295" s="302"/>
      <c r="BI295" s="302"/>
      <c r="BJ295" s="302"/>
      <c r="BK295" s="302"/>
      <c r="BL295" s="302"/>
      <c r="BM295" s="302"/>
      <c r="BN295" s="302"/>
      <c r="BO295" s="302"/>
      <c r="BP295" s="302"/>
      <c r="BQ295" s="302"/>
      <c r="BR295" s="302"/>
      <c r="BS295" s="302"/>
      <c r="BT295" s="302"/>
      <c r="BU295" s="302"/>
      <c r="BV295" s="302"/>
      <c r="BW295" s="302"/>
      <c r="BX295" s="302"/>
      <c r="BY295" s="302"/>
      <c r="BZ295" s="302"/>
      <c r="CA295" s="302"/>
      <c r="CB295" s="302"/>
      <c r="CC295" s="302"/>
      <c r="CD295" s="302"/>
      <c r="CE295" s="302"/>
      <c r="CF295" s="302"/>
      <c r="CG295" s="302"/>
      <c r="CH295" s="302"/>
      <c r="CI295" s="302"/>
      <c r="CJ295" s="302"/>
      <c r="CK295" s="302"/>
      <c r="CL295" s="302"/>
      <c r="CM295" s="302"/>
      <c r="CN295" s="302"/>
      <c r="CO295" s="302"/>
      <c r="CP295" s="302"/>
      <c r="CQ295" s="302"/>
      <c r="CR295" s="302"/>
      <c r="CS295" s="302"/>
      <c r="CT295" s="302"/>
      <c r="CU295" s="302"/>
      <c r="CV295" s="302"/>
      <c r="CW295" s="302"/>
      <c r="CX295" s="302"/>
      <c r="CY295" s="302"/>
      <c r="CZ295" s="302"/>
      <c r="DA295" s="302"/>
      <c r="DB295" s="302"/>
      <c r="DC295" s="302"/>
      <c r="DD295" s="302"/>
      <c r="DE295" s="302"/>
      <c r="DF295" s="302"/>
      <c r="DG295" s="302"/>
      <c r="DH295" s="302"/>
      <c r="DI295" s="302"/>
      <c r="DJ295" s="302"/>
      <c r="DK295" s="302"/>
      <c r="DL295" s="302"/>
      <c r="DM295" s="302"/>
      <c r="DN295" s="302"/>
      <c r="DO295" s="302"/>
      <c r="DP295" s="302"/>
      <c r="DQ295" s="302"/>
      <c r="DR295" s="302"/>
      <c r="DS295" s="302"/>
      <c r="DT295" s="302"/>
      <c r="DU295" s="302"/>
      <c r="DV295" s="302"/>
      <c r="DW295" s="302"/>
      <c r="DX295" s="302"/>
      <c r="DY295" s="302"/>
      <c r="DZ295" s="302"/>
      <c r="EA295" s="302"/>
      <c r="EB295" s="302"/>
      <c r="EC295" s="302"/>
      <c r="ED295" s="302"/>
      <c r="EE295" s="302"/>
      <c r="EF295" s="302"/>
      <c r="EG295" s="302"/>
      <c r="EH295" s="302"/>
      <c r="EI295" s="302"/>
      <c r="EJ295" s="302"/>
      <c r="EK295" s="302"/>
      <c r="EL295" s="302"/>
      <c r="EM295" s="302"/>
      <c r="EN295" s="302"/>
      <c r="EO295" s="302"/>
      <c r="EP295" s="302"/>
      <c r="EQ295" s="302"/>
      <c r="ER295" s="302"/>
      <c r="ES295" s="302"/>
      <c r="ET295" s="302"/>
      <c r="EU295" s="302"/>
      <c r="EV295" s="302"/>
      <c r="EW295" s="302"/>
      <c r="EX295" s="302"/>
      <c r="EY295" s="302"/>
      <c r="EZ295" s="302"/>
      <c r="FA295" s="302"/>
      <c r="FB295" s="302"/>
      <c r="FC295" s="302"/>
      <c r="FD295" s="302"/>
      <c r="FE295" s="302"/>
      <c r="FF295" s="302"/>
      <c r="FG295" s="302"/>
      <c r="FH295" s="302"/>
      <c r="FI295" s="302"/>
      <c r="FJ295" s="302"/>
      <c r="FK295" s="302"/>
      <c r="FL295" s="302"/>
      <c r="FM295" s="302"/>
      <c r="FN295" s="302"/>
      <c r="FO295" s="302"/>
      <c r="FP295" s="302"/>
      <c r="FQ295" s="302"/>
      <c r="FR295" s="302"/>
      <c r="FS295" s="302"/>
      <c r="FT295" s="302"/>
      <c r="FU295" s="302"/>
      <c r="FV295" s="302"/>
      <c r="FW295" s="302"/>
      <c r="FX295" s="302"/>
      <c r="FY295" s="302"/>
      <c r="FZ295" s="302"/>
      <c r="GA295" s="302"/>
      <c r="GB295" s="302"/>
      <c r="GC295" s="302"/>
      <c r="GD295" s="302"/>
      <c r="GE295" s="302"/>
      <c r="GF295" s="302"/>
      <c r="GG295" s="302"/>
      <c r="GH295" s="302"/>
      <c r="GI295" s="302"/>
      <c r="GJ295" s="302"/>
      <c r="GK295" s="302"/>
      <c r="GL295" s="302"/>
      <c r="GM295" s="302"/>
      <c r="GN295" s="302"/>
      <c r="GO295" s="302"/>
      <c r="GP295" s="302"/>
      <c r="GQ295" s="302"/>
      <c r="GR295" s="302"/>
      <c r="GS295" s="302"/>
      <c r="GT295" s="302"/>
      <c r="GU295" s="302"/>
      <c r="GV295" s="302"/>
      <c r="GW295" s="302"/>
      <c r="GX295" s="302"/>
      <c r="GY295" s="302"/>
      <c r="GZ295" s="302"/>
      <c r="HA295" s="302"/>
      <c r="HB295" s="302"/>
      <c r="HC295" s="302"/>
      <c r="HD295" s="302"/>
      <c r="HE295" s="302"/>
      <c r="HF295" s="302"/>
      <c r="HG295" s="302"/>
      <c r="HH295" s="302"/>
      <c r="HI295" s="302"/>
      <c r="HJ295" s="302"/>
      <c r="HK295" s="302"/>
      <c r="HL295" s="302"/>
      <c r="HM295" s="302"/>
      <c r="HN295" s="302"/>
      <c r="HO295" s="302"/>
      <c r="HP295" s="302"/>
      <c r="HQ295" s="302"/>
      <c r="HR295" s="302"/>
      <c r="HS295" s="302"/>
      <c r="HT295" s="302"/>
      <c r="HU295" s="302"/>
      <c r="HV295" s="302"/>
      <c r="HW295" s="302"/>
      <c r="HX295" s="302"/>
      <c r="HY295" s="302"/>
      <c r="HZ295" s="302"/>
      <c r="IA295" s="302"/>
      <c r="IB295" s="302"/>
      <c r="IC295" s="302"/>
      <c r="ID295" s="302"/>
      <c r="IE295" s="302"/>
      <c r="IF295" s="302"/>
      <c r="IG295" s="302"/>
      <c r="IH295" s="302"/>
      <c r="II295" s="302"/>
      <c r="IJ295" s="302"/>
      <c r="IK295" s="302"/>
      <c r="IL295" s="302"/>
      <c r="IM295" s="302"/>
      <c r="IN295" s="302"/>
      <c r="IO295" s="302"/>
      <c r="IP295" s="302"/>
      <c r="IQ295" s="302"/>
      <c r="IR295" s="302"/>
      <c r="IS295" s="302"/>
      <c r="IT295" s="302"/>
      <c r="IU295" s="302"/>
      <c r="IV295" s="302"/>
      <c r="IW295" s="302"/>
      <c r="IX295" s="302"/>
      <c r="IY295" s="302"/>
      <c r="IZ295" s="302"/>
      <c r="JA295" s="302"/>
      <c r="JB295" s="302"/>
      <c r="JC295" s="302"/>
      <c r="JD295" s="302"/>
      <c r="JE295" s="302"/>
      <c r="JF295" s="302"/>
      <c r="JG295" s="302"/>
      <c r="JH295" s="302"/>
      <c r="JI295" s="302"/>
      <c r="JJ295" s="302"/>
      <c r="JK295" s="302"/>
      <c r="JL295" s="302"/>
      <c r="JM295" s="302"/>
      <c r="JN295" s="302"/>
      <c r="JO295" s="302"/>
      <c r="JP295" s="302"/>
      <c r="JQ295" s="302"/>
      <c r="JR295" s="302"/>
      <c r="JS295" s="302"/>
      <c r="JT295" s="302"/>
      <c r="JU295" s="302"/>
      <c r="JV295" s="302"/>
      <c r="JW295" s="302"/>
      <c r="JX295" s="302"/>
      <c r="JY295" s="302"/>
      <c r="JZ295" s="302"/>
      <c r="KA295" s="302"/>
      <c r="KB295" s="302"/>
      <c r="KC295" s="302"/>
      <c r="KD295" s="302"/>
      <c r="KE295" s="302"/>
      <c r="KF295" s="302"/>
      <c r="KG295" s="302"/>
      <c r="KH295" s="302"/>
      <c r="KI295" s="302"/>
      <c r="KJ295" s="302"/>
      <c r="KK295" s="302"/>
      <c r="KL295" s="302"/>
      <c r="KM295" s="302"/>
      <c r="KN295" s="302"/>
      <c r="KO295" s="302"/>
      <c r="KP295" s="302"/>
      <c r="KQ295" s="302"/>
      <c r="KR295" s="302"/>
      <c r="KS295" s="302"/>
      <c r="KT295" s="302"/>
      <c r="KU295" s="302"/>
      <c r="KV295" s="302"/>
      <c r="KW295" s="302"/>
      <c r="KX295" s="302"/>
      <c r="KY295" s="302"/>
      <c r="KZ295" s="302"/>
      <c r="LA295" s="302"/>
      <c r="LB295" s="302"/>
      <c r="LC295" s="302"/>
      <c r="LD295" s="302"/>
      <c r="LE295" s="302"/>
      <c r="LF295" s="302"/>
      <c r="LG295" s="302"/>
      <c r="LH295" s="302"/>
      <c r="LI295" s="302"/>
      <c r="LJ295" s="302"/>
      <c r="LK295" s="302"/>
      <c r="LL295" s="302"/>
      <c r="LM295" s="302"/>
      <c r="LN295" s="302"/>
      <c r="LO295" s="302"/>
      <c r="LP295" s="302"/>
      <c r="LQ295" s="302"/>
      <c r="LR295" s="302"/>
      <c r="LS295" s="302"/>
      <c r="LT295" s="302"/>
      <c r="LU295" s="302"/>
      <c r="LV295" s="302"/>
      <c r="LW295" s="302"/>
      <c r="LX295" s="302"/>
      <c r="LY295" s="302"/>
      <c r="LZ295" s="302"/>
      <c r="MA295" s="302"/>
      <c r="MB295" s="302"/>
      <c r="MC295" s="302"/>
      <c r="MD295" s="302"/>
      <c r="ME295" s="302"/>
      <c r="MF295" s="302"/>
      <c r="MG295" s="302"/>
      <c r="MH295" s="302"/>
      <c r="MI295" s="302"/>
      <c r="MJ295" s="302"/>
      <c r="MK295" s="302"/>
      <c r="ML295" s="302"/>
      <c r="MM295" s="302"/>
      <c r="MN295" s="302"/>
      <c r="MO295" s="302"/>
      <c r="MP295" s="302"/>
      <c r="MQ295" s="302"/>
      <c r="MR295" s="302"/>
      <c r="MS295" s="302"/>
      <c r="MT295" s="302"/>
      <c r="MU295" s="302"/>
      <c r="MV295" s="302"/>
      <c r="MW295" s="302"/>
      <c r="MX295" s="302"/>
      <c r="MY295" s="302"/>
      <c r="MZ295" s="302"/>
      <c r="NA295" s="302"/>
      <c r="NB295" s="302"/>
      <c r="NC295" s="302"/>
      <c r="ND295" s="302"/>
      <c r="NE295" s="302"/>
      <c r="NF295" s="302"/>
      <c r="NG295" s="302"/>
      <c r="NH295" s="302"/>
      <c r="NI295" s="302"/>
      <c r="NJ295" s="302"/>
      <c r="NK295" s="302"/>
      <c r="NL295" s="302"/>
      <c r="NM295" s="302"/>
      <c r="NN295" s="302"/>
      <c r="NO295" s="302"/>
      <c r="NP295" s="302"/>
      <c r="NQ295" s="302"/>
      <c r="NR295" s="302"/>
      <c r="NS295" s="302"/>
      <c r="NT295" s="302"/>
      <c r="NU295" s="302"/>
      <c r="NV295" s="302"/>
      <c r="NW295" s="302"/>
      <c r="NX295" s="302"/>
      <c r="NY295" s="302"/>
      <c r="NZ295" s="302"/>
      <c r="OA295" s="302"/>
      <c r="OB295" s="302"/>
      <c r="OC295" s="302"/>
      <c r="OD295" s="302"/>
      <c r="OE295" s="302"/>
      <c r="OF295" s="302"/>
      <c r="OG295" s="302"/>
      <c r="OH295" s="302"/>
      <c r="OI295" s="302"/>
      <c r="OJ295" s="302"/>
      <c r="OK295" s="302"/>
      <c r="OL295" s="302"/>
      <c r="OM295" s="302"/>
      <c r="ON295" s="302"/>
      <c r="OO295" s="302"/>
      <c r="OP295" s="302"/>
      <c r="OQ295" s="302"/>
      <c r="OR295" s="302"/>
      <c r="OS295" s="302"/>
      <c r="OT295" s="302"/>
      <c r="OU295" s="302"/>
      <c r="OV295" s="302"/>
      <c r="OW295" s="302"/>
      <c r="OX295" s="302"/>
      <c r="OY295" s="302"/>
      <c r="OZ295" s="302"/>
      <c r="PA295" s="302"/>
      <c r="PB295" s="302"/>
      <c r="PC295" s="302"/>
      <c r="PD295" s="302"/>
      <c r="PE295" s="302"/>
      <c r="PF295" s="302"/>
      <c r="PG295" s="302"/>
      <c r="PH295" s="302"/>
      <c r="PI295" s="302"/>
      <c r="PJ295" s="302"/>
      <c r="PK295" s="302"/>
      <c r="PL295" s="302"/>
      <c r="PM295" s="302"/>
      <c r="PN295" s="302"/>
      <c r="PO295" s="302"/>
      <c r="PP295" s="302"/>
      <c r="PQ295" s="302"/>
      <c r="PR295" s="302"/>
      <c r="PS295" s="302"/>
      <c r="PT295" s="302"/>
      <c r="PU295" s="302"/>
      <c r="PV295" s="302"/>
      <c r="PW295" s="302"/>
      <c r="PX295" s="302"/>
      <c r="PY295" s="302"/>
      <c r="PZ295" s="302"/>
      <c r="QA295" s="302"/>
      <c r="QB295" s="302"/>
      <c r="QC295" s="302"/>
      <c r="QD295" s="302"/>
      <c r="QE295" s="302"/>
      <c r="QF295" s="302"/>
      <c r="QG295" s="302"/>
      <c r="QH295" s="302"/>
      <c r="QI295" s="302"/>
      <c r="QJ295" s="302"/>
      <c r="QK295" s="302"/>
      <c r="QL295" s="302"/>
      <c r="QM295" s="302"/>
      <c r="QN295" s="302"/>
      <c r="QO295" s="302"/>
      <c r="QP295" s="302"/>
      <c r="QQ295" s="302"/>
      <c r="QR295" s="302"/>
      <c r="QS295" s="302"/>
      <c r="QT295" s="302"/>
      <c r="QU295" s="302"/>
      <c r="QV295" s="302"/>
      <c r="QW295" s="302"/>
      <c r="QX295" s="302"/>
      <c r="QY295" s="302"/>
      <c r="QZ295" s="302"/>
      <c r="RA295" s="302"/>
      <c r="RB295" s="302"/>
      <c r="RC295" s="302"/>
      <c r="RD295" s="302"/>
      <c r="RE295" s="302"/>
      <c r="RF295" s="302"/>
      <c r="RG295" s="302"/>
      <c r="RH295" s="302"/>
      <c r="RI295" s="302"/>
      <c r="RJ295" s="302"/>
      <c r="RK295" s="302"/>
      <c r="RL295" s="302"/>
      <c r="RM295" s="302"/>
      <c r="RN295" s="302"/>
      <c r="RO295" s="302"/>
      <c r="RP295" s="302"/>
      <c r="RQ295" s="302"/>
      <c r="RR295" s="302"/>
      <c r="RS295" s="302"/>
      <c r="RT295" s="302"/>
      <c r="RU295" s="302"/>
      <c r="RV295" s="302"/>
      <c r="RW295" s="302"/>
      <c r="RX295" s="302"/>
      <c r="RY295" s="302"/>
      <c r="RZ295" s="302"/>
      <c r="SA295" s="302"/>
      <c r="SB295" s="302"/>
      <c r="SC295" s="302"/>
      <c r="SD295" s="302"/>
      <c r="SE295" s="302"/>
      <c r="SF295" s="302"/>
      <c r="SG295" s="302"/>
      <c r="SH295" s="302"/>
      <c r="SI295" s="302"/>
      <c r="SJ295" s="302"/>
      <c r="SK295" s="302"/>
      <c r="SL295" s="302"/>
      <c r="SM295" s="302"/>
      <c r="SN295" s="302"/>
      <c r="SO295" s="302"/>
      <c r="SP295" s="302"/>
      <c r="SQ295" s="302"/>
      <c r="SR295" s="302"/>
      <c r="SS295" s="302"/>
      <c r="ST295" s="302"/>
      <c r="SU295" s="302"/>
      <c r="SV295" s="302"/>
      <c r="SW295" s="302"/>
      <c r="SX295" s="302"/>
      <c r="SY295" s="302"/>
      <c r="SZ295" s="302"/>
      <c r="TA295" s="302"/>
      <c r="TB295" s="302"/>
      <c r="TC295" s="302"/>
      <c r="TD295" s="302"/>
      <c r="TE295" s="302"/>
      <c r="TF295" s="302"/>
      <c r="TG295" s="302"/>
      <c r="TH295" s="302"/>
      <c r="TI295" s="302"/>
      <c r="TJ295" s="302"/>
      <c r="TK295" s="302"/>
      <c r="TL295" s="302"/>
      <c r="TM295" s="302"/>
      <c r="TN295" s="302"/>
      <c r="TO295" s="302"/>
      <c r="TP295" s="302"/>
      <c r="TQ295" s="302"/>
      <c r="TR295" s="302"/>
      <c r="TS295" s="302"/>
      <c r="TT295" s="302"/>
      <c r="TU295" s="302"/>
      <c r="TV295" s="302"/>
      <c r="TW295" s="302"/>
      <c r="TX295" s="302"/>
      <c r="TY295" s="302"/>
      <c r="TZ295" s="302"/>
      <c r="UA295" s="302"/>
      <c r="UB295" s="302"/>
      <c r="UC295" s="302"/>
      <c r="UD295" s="302"/>
      <c r="UE295" s="302"/>
      <c r="UF295" s="302"/>
      <c r="UG295" s="302"/>
      <c r="UH295" s="302"/>
      <c r="UI295" s="302"/>
      <c r="UJ295" s="302"/>
      <c r="UK295" s="302"/>
      <c r="UL295" s="302"/>
      <c r="UM295" s="302"/>
      <c r="UN295" s="302"/>
      <c r="UO295" s="302"/>
      <c r="UP295" s="302"/>
      <c r="UQ295" s="302"/>
      <c r="UR295" s="302"/>
      <c r="US295" s="302"/>
      <c r="UT295" s="302"/>
      <c r="UU295" s="302"/>
      <c r="UV295" s="302"/>
      <c r="UW295" s="302"/>
      <c r="UX295" s="302"/>
      <c r="UY295" s="302"/>
      <c r="UZ295" s="302"/>
      <c r="VA295" s="302"/>
      <c r="VB295" s="302"/>
      <c r="VC295" s="302"/>
      <c r="VD295" s="302"/>
      <c r="VE295" s="302"/>
      <c r="VF295" s="302"/>
      <c r="VG295" s="302"/>
      <c r="VH295" s="302"/>
      <c r="VI295" s="302"/>
      <c r="VJ295" s="302"/>
      <c r="VK295" s="302"/>
      <c r="VL295" s="302"/>
      <c r="VM295" s="302"/>
      <c r="VN295" s="302"/>
      <c r="VO295" s="302"/>
      <c r="VP295" s="302"/>
      <c r="VQ295" s="302"/>
      <c r="VR295" s="302"/>
      <c r="VS295" s="302"/>
      <c r="VT295" s="302"/>
      <c r="VU295" s="302"/>
      <c r="VV295" s="302"/>
      <c r="VW295" s="302"/>
      <c r="VX295" s="302"/>
      <c r="VY295" s="302"/>
      <c r="VZ295" s="302"/>
      <c r="WA295" s="302"/>
      <c r="WB295" s="302"/>
      <c r="WC295" s="302"/>
      <c r="WD295" s="302"/>
      <c r="WE295" s="302"/>
      <c r="WF295" s="302"/>
      <c r="WG295" s="302"/>
      <c r="WH295" s="302"/>
      <c r="WI295" s="302"/>
      <c r="WJ295" s="302"/>
      <c r="WK295" s="302"/>
      <c r="WL295" s="302"/>
      <c r="WM295" s="302"/>
      <c r="WN295" s="302"/>
      <c r="WO295" s="302"/>
      <c r="WP295" s="302"/>
      <c r="WQ295" s="302"/>
      <c r="WR295" s="302"/>
      <c r="WS295" s="302"/>
      <c r="WT295" s="302"/>
      <c r="WU295" s="302"/>
      <c r="WV295" s="302"/>
      <c r="WW295" s="302"/>
      <c r="WX295" s="302"/>
      <c r="WY295" s="302"/>
      <c r="WZ295" s="302"/>
      <c r="XA295" s="302"/>
      <c r="XB295" s="302"/>
      <c r="XC295" s="302"/>
      <c r="XD295" s="302"/>
      <c r="XE295" s="302"/>
      <c r="XF295" s="302"/>
      <c r="XG295" s="302"/>
      <c r="XH295" s="302"/>
      <c r="XI295" s="302"/>
      <c r="XJ295" s="302"/>
      <c r="XK295" s="302"/>
      <c r="XL295" s="302"/>
      <c r="XM295" s="302"/>
      <c r="XN295" s="302"/>
      <c r="XO295" s="302"/>
      <c r="XP295" s="302"/>
      <c r="XQ295" s="302"/>
      <c r="XR295" s="302"/>
      <c r="XS295" s="302"/>
      <c r="XT295" s="302"/>
      <c r="XU295" s="302"/>
      <c r="XV295" s="302"/>
      <c r="XW295" s="302"/>
      <c r="XX295" s="302"/>
      <c r="XY295" s="302"/>
      <c r="XZ295" s="302"/>
      <c r="YA295" s="302"/>
      <c r="YB295" s="302"/>
      <c r="YC295" s="302"/>
      <c r="YD295" s="302"/>
      <c r="YE295" s="302"/>
      <c r="YF295" s="302"/>
      <c r="YG295" s="302"/>
      <c r="YH295" s="302"/>
      <c r="YI295" s="302"/>
      <c r="YJ295" s="302"/>
      <c r="YK295" s="302"/>
      <c r="YL295" s="302"/>
      <c r="YM295" s="302"/>
      <c r="YN295" s="302"/>
      <c r="YO295" s="302"/>
      <c r="YP295" s="302"/>
      <c r="YQ295" s="302"/>
      <c r="YR295" s="302"/>
      <c r="YS295" s="302"/>
      <c r="YT295" s="302"/>
      <c r="YU295" s="302"/>
      <c r="YV295" s="302"/>
      <c r="YW295" s="302"/>
      <c r="YX295" s="302"/>
      <c r="YY295" s="302"/>
      <c r="YZ295" s="302"/>
      <c r="ZA295" s="302"/>
      <c r="ZB295" s="302"/>
      <c r="ZC295" s="302"/>
      <c r="ZD295" s="302"/>
      <c r="ZE295" s="302"/>
      <c r="ZF295" s="302"/>
      <c r="ZG295" s="302"/>
      <c r="ZH295" s="302"/>
      <c r="ZI295" s="302"/>
      <c r="ZJ295" s="302"/>
      <c r="ZK295" s="302"/>
      <c r="ZL295" s="302"/>
      <c r="ZM295" s="302"/>
      <c r="ZN295" s="302"/>
      <c r="ZO295" s="302"/>
      <c r="ZP295" s="302"/>
      <c r="ZQ295" s="302"/>
      <c r="ZR295" s="302"/>
      <c r="ZS295" s="302"/>
      <c r="ZT295" s="302"/>
      <c r="ZU295" s="302"/>
      <c r="ZV295" s="302"/>
      <c r="ZW295" s="302"/>
      <c r="ZX295" s="302"/>
      <c r="ZY295" s="302"/>
      <c r="ZZ295" s="302"/>
      <c r="AAA295" s="302"/>
      <c r="AAB295" s="302"/>
      <c r="AAC295" s="302"/>
      <c r="AAD295" s="302"/>
      <c r="AAE295" s="302"/>
      <c r="AAF295" s="302"/>
      <c r="AAG295" s="302"/>
      <c r="AAH295" s="302"/>
      <c r="AAI295" s="302"/>
      <c r="AAJ295" s="302"/>
      <c r="AAK295" s="302"/>
      <c r="AAL295" s="302"/>
      <c r="AAM295" s="302"/>
      <c r="AAN295" s="302"/>
      <c r="AAO295" s="302"/>
      <c r="AAP295" s="302"/>
      <c r="AAQ295" s="302"/>
      <c r="AAR295" s="302"/>
      <c r="AAS295" s="302"/>
      <c r="AAT295" s="302"/>
      <c r="AAU295" s="302"/>
      <c r="AAV295" s="302"/>
      <c r="AAW295" s="302"/>
      <c r="AAX295" s="302"/>
      <c r="AAY295" s="302"/>
      <c r="AAZ295" s="302"/>
      <c r="ABA295" s="302"/>
      <c r="ABB295" s="302"/>
      <c r="ABC295" s="302"/>
      <c r="ABD295" s="302"/>
      <c r="ABE295" s="302"/>
      <c r="ABF295" s="302"/>
      <c r="ABG295" s="302"/>
      <c r="ABH295" s="302"/>
      <c r="ABI295" s="302"/>
      <c r="ABJ295" s="302"/>
      <c r="ABK295" s="302"/>
      <c r="ABL295" s="302"/>
      <c r="ABM295" s="302"/>
      <c r="ABN295" s="302"/>
      <c r="ABO295" s="302"/>
      <c r="ABP295" s="302"/>
      <c r="ABQ295" s="302"/>
      <c r="ABR295" s="302"/>
      <c r="ABS295" s="302"/>
      <c r="ABT295" s="302"/>
      <c r="ABU295" s="302"/>
      <c r="ABV295" s="302"/>
      <c r="ABW295" s="302"/>
      <c r="ABX295" s="302"/>
      <c r="ABY295" s="302"/>
      <c r="ABZ295" s="302"/>
      <c r="ACA295" s="302"/>
      <c r="ACB295" s="302"/>
      <c r="ACC295" s="302"/>
      <c r="ACD295" s="302"/>
      <c r="ACE295" s="302"/>
      <c r="ACF295" s="302"/>
      <c r="ACG295" s="302"/>
      <c r="ACH295" s="302"/>
      <c r="ACI295" s="302"/>
      <c r="ACJ295" s="302"/>
      <c r="ACK295" s="302"/>
      <c r="ACL295" s="302"/>
      <c r="ACM295" s="302"/>
      <c r="ACN295" s="302"/>
      <c r="ACO295" s="302"/>
      <c r="ACP295" s="302"/>
      <c r="ACQ295" s="302"/>
      <c r="ACR295" s="302"/>
      <c r="ACS295" s="302"/>
      <c r="ACT295" s="302"/>
      <c r="ACU295" s="302"/>
      <c r="ACV295" s="302"/>
      <c r="ACW295" s="302"/>
      <c r="ACX295" s="302"/>
      <c r="ACY295" s="302"/>
      <c r="ACZ295" s="302"/>
      <c r="ADA295" s="302"/>
      <c r="ADB295" s="302"/>
      <c r="ADC295" s="302"/>
      <c r="ADD295" s="302"/>
      <c r="ADE295" s="302"/>
      <c r="ADF295" s="302"/>
      <c r="ADG295" s="302"/>
      <c r="ADH295" s="302"/>
      <c r="ADI295" s="302"/>
      <c r="ADJ295" s="302"/>
      <c r="ADK295" s="302"/>
      <c r="ADL295" s="302"/>
      <c r="ADM295" s="302"/>
      <c r="ADN295" s="302"/>
      <c r="ADO295" s="302"/>
      <c r="ADP295" s="302"/>
      <c r="ADQ295" s="302"/>
      <c r="ADR295" s="302"/>
      <c r="ADS295" s="302"/>
      <c r="ADT295" s="302"/>
      <c r="ADU295" s="302"/>
      <c r="ADV295" s="302"/>
      <c r="ADW295" s="302"/>
      <c r="ADX295" s="302"/>
      <c r="ADY295" s="302"/>
      <c r="ADZ295" s="302"/>
      <c r="AEA295" s="302"/>
      <c r="AEB295" s="302"/>
      <c r="AEC295" s="302"/>
      <c r="AED295" s="302"/>
      <c r="AEE295" s="302"/>
      <c r="AEF295" s="302"/>
      <c r="AEG295" s="302"/>
      <c r="AEH295" s="302"/>
      <c r="AEI295" s="302"/>
      <c r="AEJ295" s="302"/>
      <c r="AEK295" s="302"/>
      <c r="AEL295" s="302"/>
      <c r="AEM295" s="302"/>
      <c r="AEN295" s="302"/>
      <c r="AEO295" s="302"/>
      <c r="AEP295" s="302"/>
      <c r="AEQ295" s="302"/>
      <c r="AER295" s="302"/>
      <c r="AES295" s="302"/>
      <c r="AET295" s="302"/>
      <c r="AEU295" s="302"/>
      <c r="AEV295" s="302"/>
      <c r="AEW295" s="302"/>
      <c r="AEX295" s="302"/>
      <c r="AEY295" s="302"/>
      <c r="AEZ295" s="302"/>
      <c r="AFA295" s="302"/>
      <c r="AFB295" s="302"/>
      <c r="AFC295" s="302"/>
      <c r="AFD295" s="302"/>
      <c r="AFE295" s="302"/>
      <c r="AFF295" s="302"/>
      <c r="AFG295" s="302"/>
      <c r="AFH295" s="302"/>
      <c r="AFI295" s="302"/>
      <c r="AFJ295" s="302"/>
      <c r="AFK295" s="302"/>
      <c r="AFL295" s="302"/>
      <c r="AFM295" s="302"/>
      <c r="AFN295" s="302"/>
      <c r="AFO295" s="302"/>
      <c r="AFP295" s="302"/>
      <c r="AFQ295" s="302"/>
      <c r="AFR295" s="302"/>
      <c r="AFS295" s="302"/>
      <c r="AFT295" s="302"/>
      <c r="AFU295" s="302"/>
      <c r="AFV295" s="302"/>
      <c r="AFW295" s="302"/>
      <c r="AFX295" s="302"/>
      <c r="AFY295" s="302"/>
      <c r="AFZ295" s="302"/>
      <c r="AGA295" s="302"/>
      <c r="AGB295" s="302"/>
      <c r="AGC295" s="302"/>
      <c r="AGD295" s="302"/>
      <c r="AGE295" s="302"/>
      <c r="AGF295" s="302"/>
      <c r="AGG295" s="302"/>
      <c r="AGH295" s="302"/>
      <c r="AGI295" s="302"/>
      <c r="AGJ295" s="302"/>
      <c r="AGK295" s="302"/>
      <c r="AGL295" s="302"/>
      <c r="AGM295" s="302"/>
      <c r="AGN295" s="302"/>
      <c r="AGO295" s="302"/>
      <c r="AGP295" s="302"/>
      <c r="AGQ295" s="302"/>
      <c r="AGR295" s="302"/>
      <c r="AGS295" s="302"/>
      <c r="AGT295" s="302"/>
      <c r="AGU295" s="302"/>
      <c r="AGV295" s="302"/>
      <c r="AGW295" s="302"/>
      <c r="AGX295" s="302"/>
      <c r="AGY295" s="302"/>
      <c r="AGZ295" s="302"/>
      <c r="AHA295" s="302"/>
      <c r="AHB295" s="302"/>
      <c r="AHC295" s="302"/>
      <c r="AHD295" s="302"/>
      <c r="AHE295" s="302"/>
      <c r="AHF295" s="302"/>
      <c r="AHG295" s="302"/>
      <c r="AHH295" s="302"/>
      <c r="AHI295" s="302"/>
      <c r="AHJ295" s="302"/>
      <c r="AHK295" s="302"/>
      <c r="AHL295" s="302"/>
      <c r="AHM295" s="302"/>
      <c r="AHN295" s="302"/>
      <c r="AHO295" s="302"/>
      <c r="AHP295" s="302"/>
      <c r="AHQ295" s="302"/>
      <c r="AHR295" s="302"/>
      <c r="AHS295" s="302"/>
      <c r="AHT295" s="302"/>
      <c r="AHU295" s="302"/>
      <c r="AHV295" s="302"/>
      <c r="AHW295" s="302"/>
      <c r="AHX295" s="302"/>
      <c r="AHY295" s="302"/>
      <c r="AHZ295" s="302"/>
      <c r="AIA295" s="302"/>
      <c r="AIB295" s="302"/>
      <c r="AIC295" s="302"/>
      <c r="AID295" s="302"/>
      <c r="AIE295" s="302"/>
      <c r="AIF295" s="302"/>
      <c r="AIG295" s="302"/>
      <c r="AIH295" s="302"/>
      <c r="AII295" s="302"/>
      <c r="AIJ295" s="302"/>
      <c r="AIK295" s="302"/>
      <c r="AIL295" s="302"/>
      <c r="AIM295" s="302"/>
      <c r="AIN295" s="302"/>
      <c r="AIO295" s="302"/>
      <c r="AIP295" s="302"/>
      <c r="AIQ295" s="302"/>
      <c r="AIR295" s="302"/>
      <c r="AIS295" s="302"/>
      <c r="AIT295" s="302"/>
      <c r="AIU295" s="302"/>
      <c r="AIV295" s="302"/>
      <c r="AIW295" s="302"/>
      <c r="AIX295" s="302"/>
      <c r="AIY295" s="302"/>
      <c r="AIZ295" s="302"/>
      <c r="AJA295" s="302"/>
      <c r="AJB295" s="302"/>
      <c r="AJC295" s="302"/>
      <c r="AJD295" s="302"/>
      <c r="AJE295" s="302"/>
      <c r="AJF295" s="302"/>
      <c r="AJG295" s="302"/>
      <c r="AJH295" s="302"/>
      <c r="AJI295" s="302"/>
      <c r="AJJ295" s="302"/>
      <c r="AJK295" s="302"/>
      <c r="AJL295" s="302"/>
      <c r="AJM295" s="302"/>
      <c r="AJN295" s="302"/>
      <c r="AJO295" s="302"/>
      <c r="AJP295" s="302"/>
      <c r="AJQ295" s="302"/>
      <c r="AJR295" s="302"/>
      <c r="AJS295" s="302"/>
      <c r="AJT295" s="302"/>
      <c r="AJU295" s="302"/>
      <c r="AJV295" s="302"/>
      <c r="AJW295" s="302"/>
      <c r="AJX295" s="302"/>
      <c r="AJY295" s="302"/>
      <c r="AJZ295" s="302"/>
      <c r="AKA295" s="302"/>
      <c r="AKB295" s="302"/>
      <c r="AKC295" s="302"/>
      <c r="AKD295" s="302"/>
      <c r="AKE295" s="302"/>
      <c r="AKF295" s="302"/>
      <c r="AKG295" s="302"/>
      <c r="AKH295" s="302"/>
      <c r="AKI295" s="302"/>
      <c r="AKJ295" s="302"/>
      <c r="AKK295" s="302"/>
      <c r="AKL295" s="302"/>
      <c r="AKM295" s="302"/>
      <c r="AKN295" s="302"/>
      <c r="AKO295" s="302"/>
      <c r="AKP295" s="302"/>
      <c r="AKQ295" s="302"/>
      <c r="AKR295" s="302"/>
      <c r="AKS295" s="302"/>
      <c r="AKT295" s="302"/>
      <c r="AKU295" s="302"/>
      <c r="AKV295" s="302"/>
      <c r="AKW295" s="302"/>
      <c r="AKX295" s="302"/>
      <c r="AKY295" s="302"/>
      <c r="AKZ295" s="302"/>
      <c r="ALA295" s="302"/>
      <c r="ALB295" s="302"/>
      <c r="ALC295" s="302"/>
      <c r="ALD295" s="302"/>
      <c r="ALE295" s="302"/>
      <c r="ALF295" s="302"/>
      <c r="ALG295" s="302"/>
      <c r="ALH295" s="302"/>
      <c r="ALI295" s="302"/>
      <c r="ALJ295" s="302"/>
      <c r="ALK295" s="302"/>
      <c r="ALL295" s="302"/>
      <c r="ALM295" s="302"/>
      <c r="ALN295" s="302"/>
      <c r="ALO295" s="302"/>
      <c r="ALP295" s="302"/>
      <c r="ALQ295" s="302"/>
      <c r="ALR295" s="302"/>
      <c r="ALS295" s="302"/>
      <c r="ALT295" s="302"/>
      <c r="ALU295" s="302"/>
      <c r="ALV295" s="302"/>
      <c r="ALW295" s="302"/>
      <c r="ALX295" s="302"/>
      <c r="ALY295" s="302"/>
      <c r="ALZ295" s="302"/>
      <c r="AMA295" s="302"/>
      <c r="AMB295" s="302"/>
      <c r="AMC295" s="302"/>
      <c r="AMD295" s="302"/>
      <c r="AME295" s="302"/>
      <c r="AMF295" s="302"/>
      <c r="AMG295" s="302"/>
      <c r="AMH295" s="302"/>
      <c r="AMI295" s="302"/>
    </row>
    <row r="296" spans="1:1023" hidden="1">
      <c r="A296" s="302"/>
      <c r="B296" s="442">
        <v>14211</v>
      </c>
      <c r="C296" s="430">
        <v>0.08</v>
      </c>
      <c r="D296" s="370" t="s">
        <v>200</v>
      </c>
      <c r="E296" s="433">
        <v>1800000</v>
      </c>
      <c r="F296" s="500">
        <v>0.02</v>
      </c>
      <c r="G296" s="364">
        <f t="shared" ref="G296:G312" si="17">E296*F296</f>
        <v>36000</v>
      </c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  <c r="AD296" s="302"/>
      <c r="AE296" s="302"/>
      <c r="AF296" s="302"/>
      <c r="AG296" s="302"/>
      <c r="AH296" s="302"/>
      <c r="AI296" s="302"/>
      <c r="AJ296" s="302"/>
      <c r="AK296" s="302"/>
      <c r="AL296" s="302"/>
      <c r="AM296" s="302"/>
      <c r="AN296" s="302"/>
      <c r="AO296" s="302"/>
      <c r="AP296" s="302"/>
      <c r="AQ296" s="302"/>
      <c r="AR296" s="302"/>
      <c r="AS296" s="302"/>
      <c r="AT296" s="302"/>
      <c r="AU296" s="302"/>
      <c r="AV296" s="302"/>
      <c r="AW296" s="302"/>
      <c r="AX296" s="302"/>
      <c r="AY296" s="302"/>
      <c r="AZ296" s="302"/>
      <c r="BA296" s="302"/>
      <c r="BB296" s="302"/>
      <c r="BC296" s="302"/>
      <c r="BD296" s="302"/>
      <c r="BE296" s="302"/>
      <c r="BF296" s="302"/>
      <c r="BG296" s="302"/>
      <c r="BH296" s="302"/>
      <c r="BI296" s="302"/>
      <c r="BJ296" s="302"/>
      <c r="BK296" s="302"/>
      <c r="BL296" s="302"/>
      <c r="BM296" s="302"/>
      <c r="BN296" s="302"/>
      <c r="BO296" s="302"/>
      <c r="BP296" s="302"/>
      <c r="BQ296" s="302"/>
      <c r="BR296" s="302"/>
      <c r="BS296" s="302"/>
      <c r="BT296" s="302"/>
      <c r="BU296" s="302"/>
      <c r="BV296" s="302"/>
      <c r="BW296" s="302"/>
      <c r="BX296" s="302"/>
      <c r="BY296" s="302"/>
      <c r="BZ296" s="302"/>
      <c r="CA296" s="302"/>
      <c r="CB296" s="302"/>
      <c r="CC296" s="302"/>
      <c r="CD296" s="302"/>
      <c r="CE296" s="302"/>
      <c r="CF296" s="302"/>
      <c r="CG296" s="302"/>
      <c r="CH296" s="302"/>
      <c r="CI296" s="302"/>
      <c r="CJ296" s="302"/>
      <c r="CK296" s="302"/>
      <c r="CL296" s="302"/>
      <c r="CM296" s="302"/>
      <c r="CN296" s="302"/>
      <c r="CO296" s="302"/>
      <c r="CP296" s="302"/>
      <c r="CQ296" s="302"/>
      <c r="CR296" s="302"/>
      <c r="CS296" s="302"/>
      <c r="CT296" s="302"/>
      <c r="CU296" s="302"/>
      <c r="CV296" s="302"/>
      <c r="CW296" s="302"/>
      <c r="CX296" s="302"/>
      <c r="CY296" s="302"/>
      <c r="CZ296" s="302"/>
      <c r="DA296" s="302"/>
      <c r="DB296" s="302"/>
      <c r="DC296" s="302"/>
      <c r="DD296" s="302"/>
      <c r="DE296" s="302"/>
      <c r="DF296" s="302"/>
      <c r="DG296" s="302"/>
      <c r="DH296" s="302"/>
      <c r="DI296" s="302"/>
      <c r="DJ296" s="302"/>
      <c r="DK296" s="302"/>
      <c r="DL296" s="302"/>
      <c r="DM296" s="302"/>
      <c r="DN296" s="302"/>
      <c r="DO296" s="302"/>
      <c r="DP296" s="302"/>
      <c r="DQ296" s="302"/>
      <c r="DR296" s="302"/>
      <c r="DS296" s="302"/>
      <c r="DT296" s="302"/>
      <c r="DU296" s="302"/>
      <c r="DV296" s="302"/>
      <c r="DW296" s="302"/>
      <c r="DX296" s="302"/>
      <c r="DY296" s="302"/>
      <c r="DZ296" s="302"/>
      <c r="EA296" s="302"/>
      <c r="EB296" s="302"/>
      <c r="EC296" s="302"/>
      <c r="ED296" s="302"/>
      <c r="EE296" s="302"/>
      <c r="EF296" s="302"/>
      <c r="EG296" s="302"/>
      <c r="EH296" s="302"/>
      <c r="EI296" s="302"/>
      <c r="EJ296" s="302"/>
      <c r="EK296" s="302"/>
      <c r="EL296" s="302"/>
      <c r="EM296" s="302"/>
      <c r="EN296" s="302"/>
      <c r="EO296" s="302"/>
      <c r="EP296" s="302"/>
      <c r="EQ296" s="302"/>
      <c r="ER296" s="302"/>
      <c r="ES296" s="302"/>
      <c r="ET296" s="302"/>
      <c r="EU296" s="302"/>
      <c r="EV296" s="302"/>
      <c r="EW296" s="302"/>
      <c r="EX296" s="302"/>
      <c r="EY296" s="302"/>
      <c r="EZ296" s="302"/>
      <c r="FA296" s="302"/>
      <c r="FB296" s="302"/>
      <c r="FC296" s="302"/>
      <c r="FD296" s="302"/>
      <c r="FE296" s="302"/>
      <c r="FF296" s="302"/>
      <c r="FG296" s="302"/>
      <c r="FH296" s="302"/>
      <c r="FI296" s="302"/>
      <c r="FJ296" s="302"/>
      <c r="FK296" s="302"/>
      <c r="FL296" s="302"/>
      <c r="FM296" s="302"/>
      <c r="FN296" s="302"/>
      <c r="FO296" s="302"/>
      <c r="FP296" s="302"/>
      <c r="FQ296" s="302"/>
      <c r="FR296" s="302"/>
      <c r="FS296" s="302"/>
      <c r="FT296" s="302"/>
      <c r="FU296" s="302"/>
      <c r="FV296" s="302"/>
      <c r="FW296" s="302"/>
      <c r="FX296" s="302"/>
      <c r="FY296" s="302"/>
      <c r="FZ296" s="302"/>
      <c r="GA296" s="302"/>
      <c r="GB296" s="302"/>
      <c r="GC296" s="302"/>
      <c r="GD296" s="302"/>
      <c r="GE296" s="302"/>
      <c r="GF296" s="302"/>
      <c r="GG296" s="302"/>
      <c r="GH296" s="302"/>
      <c r="GI296" s="302"/>
      <c r="GJ296" s="302"/>
      <c r="GK296" s="302"/>
      <c r="GL296" s="302"/>
      <c r="GM296" s="302"/>
      <c r="GN296" s="302"/>
      <c r="GO296" s="302"/>
      <c r="GP296" s="302"/>
      <c r="GQ296" s="302"/>
      <c r="GR296" s="302"/>
      <c r="GS296" s="302"/>
      <c r="GT296" s="302"/>
      <c r="GU296" s="302"/>
      <c r="GV296" s="302"/>
      <c r="GW296" s="302"/>
      <c r="GX296" s="302"/>
      <c r="GY296" s="302"/>
      <c r="GZ296" s="302"/>
      <c r="HA296" s="302"/>
      <c r="HB296" s="302"/>
      <c r="HC296" s="302"/>
      <c r="HD296" s="302"/>
      <c r="HE296" s="302"/>
      <c r="HF296" s="302"/>
      <c r="HG296" s="302"/>
      <c r="HH296" s="302"/>
      <c r="HI296" s="302"/>
      <c r="HJ296" s="302"/>
      <c r="HK296" s="302"/>
      <c r="HL296" s="302"/>
      <c r="HM296" s="302"/>
      <c r="HN296" s="302"/>
      <c r="HO296" s="302"/>
      <c r="HP296" s="302"/>
      <c r="HQ296" s="302"/>
      <c r="HR296" s="302"/>
      <c r="HS296" s="302"/>
      <c r="HT296" s="302"/>
      <c r="HU296" s="302"/>
      <c r="HV296" s="302"/>
      <c r="HW296" s="302"/>
      <c r="HX296" s="302"/>
      <c r="HY296" s="302"/>
      <c r="HZ296" s="302"/>
      <c r="IA296" s="302"/>
      <c r="IB296" s="302"/>
      <c r="IC296" s="302"/>
      <c r="ID296" s="302"/>
      <c r="IE296" s="302"/>
      <c r="IF296" s="302"/>
      <c r="IG296" s="302"/>
      <c r="IH296" s="302"/>
      <c r="II296" s="302"/>
      <c r="IJ296" s="302"/>
      <c r="IK296" s="302"/>
      <c r="IL296" s="302"/>
      <c r="IM296" s="302"/>
      <c r="IN296" s="302"/>
      <c r="IO296" s="302"/>
      <c r="IP296" s="302"/>
      <c r="IQ296" s="302"/>
      <c r="IR296" s="302"/>
      <c r="IS296" s="302"/>
      <c r="IT296" s="302"/>
      <c r="IU296" s="302"/>
      <c r="IV296" s="302"/>
      <c r="IW296" s="302"/>
      <c r="IX296" s="302"/>
      <c r="IY296" s="302"/>
      <c r="IZ296" s="302"/>
      <c r="JA296" s="302"/>
      <c r="JB296" s="302"/>
      <c r="JC296" s="302"/>
      <c r="JD296" s="302"/>
      <c r="JE296" s="302"/>
      <c r="JF296" s="302"/>
      <c r="JG296" s="302"/>
      <c r="JH296" s="302"/>
      <c r="JI296" s="302"/>
      <c r="JJ296" s="302"/>
      <c r="JK296" s="302"/>
      <c r="JL296" s="302"/>
      <c r="JM296" s="302"/>
      <c r="JN296" s="302"/>
      <c r="JO296" s="302"/>
      <c r="JP296" s="302"/>
      <c r="JQ296" s="302"/>
      <c r="JR296" s="302"/>
      <c r="JS296" s="302"/>
      <c r="JT296" s="302"/>
      <c r="JU296" s="302"/>
      <c r="JV296" s="302"/>
      <c r="JW296" s="302"/>
      <c r="JX296" s="302"/>
      <c r="JY296" s="302"/>
      <c r="JZ296" s="302"/>
      <c r="KA296" s="302"/>
      <c r="KB296" s="302"/>
      <c r="KC296" s="302"/>
      <c r="KD296" s="302"/>
      <c r="KE296" s="302"/>
      <c r="KF296" s="302"/>
      <c r="KG296" s="302"/>
      <c r="KH296" s="302"/>
      <c r="KI296" s="302"/>
      <c r="KJ296" s="302"/>
      <c r="KK296" s="302"/>
      <c r="KL296" s="302"/>
      <c r="KM296" s="302"/>
      <c r="KN296" s="302"/>
      <c r="KO296" s="302"/>
      <c r="KP296" s="302"/>
      <c r="KQ296" s="302"/>
      <c r="KR296" s="302"/>
      <c r="KS296" s="302"/>
      <c r="KT296" s="302"/>
      <c r="KU296" s="302"/>
      <c r="KV296" s="302"/>
      <c r="KW296" s="302"/>
      <c r="KX296" s="302"/>
      <c r="KY296" s="302"/>
      <c r="KZ296" s="302"/>
      <c r="LA296" s="302"/>
      <c r="LB296" s="302"/>
      <c r="LC296" s="302"/>
      <c r="LD296" s="302"/>
      <c r="LE296" s="302"/>
      <c r="LF296" s="302"/>
      <c r="LG296" s="302"/>
      <c r="LH296" s="302"/>
      <c r="LI296" s="302"/>
      <c r="LJ296" s="302"/>
      <c r="LK296" s="302"/>
      <c r="LL296" s="302"/>
      <c r="LM296" s="302"/>
      <c r="LN296" s="302"/>
      <c r="LO296" s="302"/>
      <c r="LP296" s="302"/>
      <c r="LQ296" s="302"/>
      <c r="LR296" s="302"/>
      <c r="LS296" s="302"/>
      <c r="LT296" s="302"/>
      <c r="LU296" s="302"/>
      <c r="LV296" s="302"/>
      <c r="LW296" s="302"/>
      <c r="LX296" s="302"/>
      <c r="LY296" s="302"/>
      <c r="LZ296" s="302"/>
      <c r="MA296" s="302"/>
      <c r="MB296" s="302"/>
      <c r="MC296" s="302"/>
      <c r="MD296" s="302"/>
      <c r="ME296" s="302"/>
      <c r="MF296" s="302"/>
      <c r="MG296" s="302"/>
      <c r="MH296" s="302"/>
      <c r="MI296" s="302"/>
      <c r="MJ296" s="302"/>
      <c r="MK296" s="302"/>
      <c r="ML296" s="302"/>
      <c r="MM296" s="302"/>
      <c r="MN296" s="302"/>
      <c r="MO296" s="302"/>
      <c r="MP296" s="302"/>
      <c r="MQ296" s="302"/>
      <c r="MR296" s="302"/>
      <c r="MS296" s="302"/>
      <c r="MT296" s="302"/>
      <c r="MU296" s="302"/>
      <c r="MV296" s="302"/>
      <c r="MW296" s="302"/>
      <c r="MX296" s="302"/>
      <c r="MY296" s="302"/>
      <c r="MZ296" s="302"/>
      <c r="NA296" s="302"/>
      <c r="NB296" s="302"/>
      <c r="NC296" s="302"/>
      <c r="ND296" s="302"/>
      <c r="NE296" s="302"/>
      <c r="NF296" s="302"/>
      <c r="NG296" s="302"/>
      <c r="NH296" s="302"/>
      <c r="NI296" s="302"/>
      <c r="NJ296" s="302"/>
      <c r="NK296" s="302"/>
      <c r="NL296" s="302"/>
      <c r="NM296" s="302"/>
      <c r="NN296" s="302"/>
      <c r="NO296" s="302"/>
      <c r="NP296" s="302"/>
      <c r="NQ296" s="302"/>
      <c r="NR296" s="302"/>
      <c r="NS296" s="302"/>
      <c r="NT296" s="302"/>
      <c r="NU296" s="302"/>
      <c r="NV296" s="302"/>
      <c r="NW296" s="302"/>
      <c r="NX296" s="302"/>
      <c r="NY296" s="302"/>
      <c r="NZ296" s="302"/>
      <c r="OA296" s="302"/>
      <c r="OB296" s="302"/>
      <c r="OC296" s="302"/>
      <c r="OD296" s="302"/>
      <c r="OE296" s="302"/>
      <c r="OF296" s="302"/>
      <c r="OG296" s="302"/>
      <c r="OH296" s="302"/>
      <c r="OI296" s="302"/>
      <c r="OJ296" s="302"/>
      <c r="OK296" s="302"/>
      <c r="OL296" s="302"/>
      <c r="OM296" s="302"/>
      <c r="ON296" s="302"/>
      <c r="OO296" s="302"/>
      <c r="OP296" s="302"/>
      <c r="OQ296" s="302"/>
      <c r="OR296" s="302"/>
      <c r="OS296" s="302"/>
      <c r="OT296" s="302"/>
      <c r="OU296" s="302"/>
      <c r="OV296" s="302"/>
      <c r="OW296" s="302"/>
      <c r="OX296" s="302"/>
      <c r="OY296" s="302"/>
      <c r="OZ296" s="302"/>
      <c r="PA296" s="302"/>
      <c r="PB296" s="302"/>
      <c r="PC296" s="302"/>
      <c r="PD296" s="302"/>
      <c r="PE296" s="302"/>
      <c r="PF296" s="302"/>
      <c r="PG296" s="302"/>
      <c r="PH296" s="302"/>
      <c r="PI296" s="302"/>
      <c r="PJ296" s="302"/>
      <c r="PK296" s="302"/>
      <c r="PL296" s="302"/>
      <c r="PM296" s="302"/>
      <c r="PN296" s="302"/>
      <c r="PO296" s="302"/>
      <c r="PP296" s="302"/>
      <c r="PQ296" s="302"/>
      <c r="PR296" s="302"/>
      <c r="PS296" s="302"/>
      <c r="PT296" s="302"/>
      <c r="PU296" s="302"/>
      <c r="PV296" s="302"/>
      <c r="PW296" s="302"/>
      <c r="PX296" s="302"/>
      <c r="PY296" s="302"/>
      <c r="PZ296" s="302"/>
      <c r="QA296" s="302"/>
      <c r="QB296" s="302"/>
      <c r="QC296" s="302"/>
      <c r="QD296" s="302"/>
      <c r="QE296" s="302"/>
      <c r="QF296" s="302"/>
      <c r="QG296" s="302"/>
      <c r="QH296" s="302"/>
      <c r="QI296" s="302"/>
      <c r="QJ296" s="302"/>
      <c r="QK296" s="302"/>
      <c r="QL296" s="302"/>
      <c r="QM296" s="302"/>
      <c r="QN296" s="302"/>
      <c r="QO296" s="302"/>
      <c r="QP296" s="302"/>
      <c r="QQ296" s="302"/>
      <c r="QR296" s="302"/>
      <c r="QS296" s="302"/>
      <c r="QT296" s="302"/>
      <c r="QU296" s="302"/>
      <c r="QV296" s="302"/>
      <c r="QW296" s="302"/>
      <c r="QX296" s="302"/>
      <c r="QY296" s="302"/>
      <c r="QZ296" s="302"/>
      <c r="RA296" s="302"/>
      <c r="RB296" s="302"/>
      <c r="RC296" s="302"/>
      <c r="RD296" s="302"/>
      <c r="RE296" s="302"/>
      <c r="RF296" s="302"/>
      <c r="RG296" s="302"/>
      <c r="RH296" s="302"/>
      <c r="RI296" s="302"/>
      <c r="RJ296" s="302"/>
      <c r="RK296" s="302"/>
      <c r="RL296" s="302"/>
      <c r="RM296" s="302"/>
      <c r="RN296" s="302"/>
      <c r="RO296" s="302"/>
      <c r="RP296" s="302"/>
      <c r="RQ296" s="302"/>
      <c r="RR296" s="302"/>
      <c r="RS296" s="302"/>
      <c r="RT296" s="302"/>
      <c r="RU296" s="302"/>
      <c r="RV296" s="302"/>
      <c r="RW296" s="302"/>
      <c r="RX296" s="302"/>
      <c r="RY296" s="302"/>
      <c r="RZ296" s="302"/>
      <c r="SA296" s="302"/>
      <c r="SB296" s="302"/>
      <c r="SC296" s="302"/>
      <c r="SD296" s="302"/>
      <c r="SE296" s="302"/>
      <c r="SF296" s="302"/>
      <c r="SG296" s="302"/>
      <c r="SH296" s="302"/>
      <c r="SI296" s="302"/>
      <c r="SJ296" s="302"/>
      <c r="SK296" s="302"/>
      <c r="SL296" s="302"/>
      <c r="SM296" s="302"/>
      <c r="SN296" s="302"/>
      <c r="SO296" s="302"/>
      <c r="SP296" s="302"/>
      <c r="SQ296" s="302"/>
      <c r="SR296" s="302"/>
      <c r="SS296" s="302"/>
      <c r="ST296" s="302"/>
      <c r="SU296" s="302"/>
      <c r="SV296" s="302"/>
      <c r="SW296" s="302"/>
      <c r="SX296" s="302"/>
      <c r="SY296" s="302"/>
      <c r="SZ296" s="302"/>
      <c r="TA296" s="302"/>
      <c r="TB296" s="302"/>
      <c r="TC296" s="302"/>
      <c r="TD296" s="302"/>
      <c r="TE296" s="302"/>
      <c r="TF296" s="302"/>
      <c r="TG296" s="302"/>
      <c r="TH296" s="302"/>
      <c r="TI296" s="302"/>
      <c r="TJ296" s="302"/>
      <c r="TK296" s="302"/>
      <c r="TL296" s="302"/>
      <c r="TM296" s="302"/>
      <c r="TN296" s="302"/>
      <c r="TO296" s="302"/>
      <c r="TP296" s="302"/>
      <c r="TQ296" s="302"/>
      <c r="TR296" s="302"/>
      <c r="TS296" s="302"/>
      <c r="TT296" s="302"/>
      <c r="TU296" s="302"/>
      <c r="TV296" s="302"/>
      <c r="TW296" s="302"/>
      <c r="TX296" s="302"/>
      <c r="TY296" s="302"/>
      <c r="TZ296" s="302"/>
      <c r="UA296" s="302"/>
      <c r="UB296" s="302"/>
      <c r="UC296" s="302"/>
      <c r="UD296" s="302"/>
      <c r="UE296" s="302"/>
      <c r="UF296" s="302"/>
      <c r="UG296" s="302"/>
      <c r="UH296" s="302"/>
      <c r="UI296" s="302"/>
      <c r="UJ296" s="302"/>
      <c r="UK296" s="302"/>
      <c r="UL296" s="302"/>
      <c r="UM296" s="302"/>
      <c r="UN296" s="302"/>
      <c r="UO296" s="302"/>
      <c r="UP296" s="302"/>
      <c r="UQ296" s="302"/>
      <c r="UR296" s="302"/>
      <c r="US296" s="302"/>
      <c r="UT296" s="302"/>
      <c r="UU296" s="302"/>
      <c r="UV296" s="302"/>
      <c r="UW296" s="302"/>
      <c r="UX296" s="302"/>
      <c r="UY296" s="302"/>
      <c r="UZ296" s="302"/>
      <c r="VA296" s="302"/>
      <c r="VB296" s="302"/>
      <c r="VC296" s="302"/>
      <c r="VD296" s="302"/>
      <c r="VE296" s="302"/>
      <c r="VF296" s="302"/>
      <c r="VG296" s="302"/>
      <c r="VH296" s="302"/>
      <c r="VI296" s="302"/>
      <c r="VJ296" s="302"/>
      <c r="VK296" s="302"/>
      <c r="VL296" s="302"/>
      <c r="VM296" s="302"/>
      <c r="VN296" s="302"/>
      <c r="VO296" s="302"/>
      <c r="VP296" s="302"/>
      <c r="VQ296" s="302"/>
      <c r="VR296" s="302"/>
      <c r="VS296" s="302"/>
      <c r="VT296" s="302"/>
      <c r="VU296" s="302"/>
      <c r="VV296" s="302"/>
      <c r="VW296" s="302"/>
      <c r="VX296" s="302"/>
      <c r="VY296" s="302"/>
      <c r="VZ296" s="302"/>
      <c r="WA296" s="302"/>
      <c r="WB296" s="302"/>
      <c r="WC296" s="302"/>
      <c r="WD296" s="302"/>
      <c r="WE296" s="302"/>
      <c r="WF296" s="302"/>
      <c r="WG296" s="302"/>
      <c r="WH296" s="302"/>
      <c r="WI296" s="302"/>
      <c r="WJ296" s="302"/>
      <c r="WK296" s="302"/>
      <c r="WL296" s="302"/>
      <c r="WM296" s="302"/>
      <c r="WN296" s="302"/>
      <c r="WO296" s="302"/>
      <c r="WP296" s="302"/>
      <c r="WQ296" s="302"/>
      <c r="WR296" s="302"/>
      <c r="WS296" s="302"/>
      <c r="WT296" s="302"/>
      <c r="WU296" s="302"/>
      <c r="WV296" s="302"/>
      <c r="WW296" s="302"/>
      <c r="WX296" s="302"/>
      <c r="WY296" s="302"/>
      <c r="WZ296" s="302"/>
      <c r="XA296" s="302"/>
      <c r="XB296" s="302"/>
      <c r="XC296" s="302"/>
      <c r="XD296" s="302"/>
      <c r="XE296" s="302"/>
      <c r="XF296" s="302"/>
      <c r="XG296" s="302"/>
      <c r="XH296" s="302"/>
      <c r="XI296" s="302"/>
      <c r="XJ296" s="302"/>
      <c r="XK296" s="302"/>
      <c r="XL296" s="302"/>
      <c r="XM296" s="302"/>
      <c r="XN296" s="302"/>
      <c r="XO296" s="302"/>
      <c r="XP296" s="302"/>
      <c r="XQ296" s="302"/>
      <c r="XR296" s="302"/>
      <c r="XS296" s="302"/>
      <c r="XT296" s="302"/>
      <c r="XU296" s="302"/>
      <c r="XV296" s="302"/>
      <c r="XW296" s="302"/>
      <c r="XX296" s="302"/>
      <c r="XY296" s="302"/>
      <c r="XZ296" s="302"/>
      <c r="YA296" s="302"/>
      <c r="YB296" s="302"/>
      <c r="YC296" s="302"/>
      <c r="YD296" s="302"/>
      <c r="YE296" s="302"/>
      <c r="YF296" s="302"/>
      <c r="YG296" s="302"/>
      <c r="YH296" s="302"/>
      <c r="YI296" s="302"/>
      <c r="YJ296" s="302"/>
      <c r="YK296" s="302"/>
      <c r="YL296" s="302"/>
      <c r="YM296" s="302"/>
      <c r="YN296" s="302"/>
      <c r="YO296" s="302"/>
      <c r="YP296" s="302"/>
      <c r="YQ296" s="302"/>
      <c r="YR296" s="302"/>
      <c r="YS296" s="302"/>
      <c r="YT296" s="302"/>
      <c r="YU296" s="302"/>
      <c r="YV296" s="302"/>
      <c r="YW296" s="302"/>
      <c r="YX296" s="302"/>
      <c r="YY296" s="302"/>
      <c r="YZ296" s="302"/>
      <c r="ZA296" s="302"/>
      <c r="ZB296" s="302"/>
      <c r="ZC296" s="302"/>
      <c r="ZD296" s="302"/>
      <c r="ZE296" s="302"/>
      <c r="ZF296" s="302"/>
      <c r="ZG296" s="302"/>
      <c r="ZH296" s="302"/>
      <c r="ZI296" s="302"/>
      <c r="ZJ296" s="302"/>
      <c r="ZK296" s="302"/>
      <c r="ZL296" s="302"/>
      <c r="ZM296" s="302"/>
      <c r="ZN296" s="302"/>
      <c r="ZO296" s="302"/>
      <c r="ZP296" s="302"/>
      <c r="ZQ296" s="302"/>
      <c r="ZR296" s="302"/>
      <c r="ZS296" s="302"/>
      <c r="ZT296" s="302"/>
      <c r="ZU296" s="302"/>
      <c r="ZV296" s="302"/>
      <c r="ZW296" s="302"/>
      <c r="ZX296" s="302"/>
      <c r="ZY296" s="302"/>
      <c r="ZZ296" s="302"/>
      <c r="AAA296" s="302"/>
      <c r="AAB296" s="302"/>
      <c r="AAC296" s="302"/>
      <c r="AAD296" s="302"/>
      <c r="AAE296" s="302"/>
      <c r="AAF296" s="302"/>
      <c r="AAG296" s="302"/>
      <c r="AAH296" s="302"/>
      <c r="AAI296" s="302"/>
      <c r="AAJ296" s="302"/>
      <c r="AAK296" s="302"/>
      <c r="AAL296" s="302"/>
      <c r="AAM296" s="302"/>
      <c r="AAN296" s="302"/>
      <c r="AAO296" s="302"/>
      <c r="AAP296" s="302"/>
      <c r="AAQ296" s="302"/>
      <c r="AAR296" s="302"/>
      <c r="AAS296" s="302"/>
      <c r="AAT296" s="302"/>
      <c r="AAU296" s="302"/>
      <c r="AAV296" s="302"/>
      <c r="AAW296" s="302"/>
      <c r="AAX296" s="302"/>
      <c r="AAY296" s="302"/>
      <c r="AAZ296" s="302"/>
      <c r="ABA296" s="302"/>
      <c r="ABB296" s="302"/>
      <c r="ABC296" s="302"/>
      <c r="ABD296" s="302"/>
      <c r="ABE296" s="302"/>
      <c r="ABF296" s="302"/>
      <c r="ABG296" s="302"/>
      <c r="ABH296" s="302"/>
      <c r="ABI296" s="302"/>
      <c r="ABJ296" s="302"/>
      <c r="ABK296" s="302"/>
      <c r="ABL296" s="302"/>
      <c r="ABM296" s="302"/>
      <c r="ABN296" s="302"/>
      <c r="ABO296" s="302"/>
      <c r="ABP296" s="302"/>
      <c r="ABQ296" s="302"/>
      <c r="ABR296" s="302"/>
      <c r="ABS296" s="302"/>
      <c r="ABT296" s="302"/>
      <c r="ABU296" s="302"/>
      <c r="ABV296" s="302"/>
      <c r="ABW296" s="302"/>
      <c r="ABX296" s="302"/>
      <c r="ABY296" s="302"/>
      <c r="ABZ296" s="302"/>
      <c r="ACA296" s="302"/>
      <c r="ACB296" s="302"/>
      <c r="ACC296" s="302"/>
      <c r="ACD296" s="302"/>
      <c r="ACE296" s="302"/>
      <c r="ACF296" s="302"/>
      <c r="ACG296" s="302"/>
      <c r="ACH296" s="302"/>
      <c r="ACI296" s="302"/>
      <c r="ACJ296" s="302"/>
      <c r="ACK296" s="302"/>
      <c r="ACL296" s="302"/>
      <c r="ACM296" s="302"/>
      <c r="ACN296" s="302"/>
      <c r="ACO296" s="302"/>
      <c r="ACP296" s="302"/>
      <c r="ACQ296" s="302"/>
      <c r="ACR296" s="302"/>
      <c r="ACS296" s="302"/>
      <c r="ACT296" s="302"/>
      <c r="ACU296" s="302"/>
      <c r="ACV296" s="302"/>
      <c r="ACW296" s="302"/>
      <c r="ACX296" s="302"/>
      <c r="ACY296" s="302"/>
      <c r="ACZ296" s="302"/>
      <c r="ADA296" s="302"/>
      <c r="ADB296" s="302"/>
      <c r="ADC296" s="302"/>
      <c r="ADD296" s="302"/>
      <c r="ADE296" s="302"/>
      <c r="ADF296" s="302"/>
      <c r="ADG296" s="302"/>
      <c r="ADH296" s="302"/>
      <c r="ADI296" s="302"/>
      <c r="ADJ296" s="302"/>
      <c r="ADK296" s="302"/>
      <c r="ADL296" s="302"/>
      <c r="ADM296" s="302"/>
      <c r="ADN296" s="302"/>
      <c r="ADO296" s="302"/>
      <c r="ADP296" s="302"/>
      <c r="ADQ296" s="302"/>
      <c r="ADR296" s="302"/>
      <c r="ADS296" s="302"/>
      <c r="ADT296" s="302"/>
      <c r="ADU296" s="302"/>
      <c r="ADV296" s="302"/>
      <c r="ADW296" s="302"/>
      <c r="ADX296" s="302"/>
      <c r="ADY296" s="302"/>
      <c r="ADZ296" s="302"/>
      <c r="AEA296" s="302"/>
      <c r="AEB296" s="302"/>
      <c r="AEC296" s="302"/>
      <c r="AED296" s="302"/>
      <c r="AEE296" s="302"/>
      <c r="AEF296" s="302"/>
      <c r="AEG296" s="302"/>
      <c r="AEH296" s="302"/>
      <c r="AEI296" s="302"/>
      <c r="AEJ296" s="302"/>
      <c r="AEK296" s="302"/>
      <c r="AEL296" s="302"/>
      <c r="AEM296" s="302"/>
      <c r="AEN296" s="302"/>
      <c r="AEO296" s="302"/>
      <c r="AEP296" s="302"/>
      <c r="AEQ296" s="302"/>
      <c r="AER296" s="302"/>
      <c r="AES296" s="302"/>
      <c r="AET296" s="302"/>
      <c r="AEU296" s="302"/>
      <c r="AEV296" s="302"/>
      <c r="AEW296" s="302"/>
      <c r="AEX296" s="302"/>
      <c r="AEY296" s="302"/>
      <c r="AEZ296" s="302"/>
      <c r="AFA296" s="302"/>
      <c r="AFB296" s="302"/>
      <c r="AFC296" s="302"/>
      <c r="AFD296" s="302"/>
      <c r="AFE296" s="302"/>
      <c r="AFF296" s="302"/>
      <c r="AFG296" s="302"/>
      <c r="AFH296" s="302"/>
      <c r="AFI296" s="302"/>
      <c r="AFJ296" s="302"/>
      <c r="AFK296" s="302"/>
      <c r="AFL296" s="302"/>
      <c r="AFM296" s="302"/>
      <c r="AFN296" s="302"/>
      <c r="AFO296" s="302"/>
      <c r="AFP296" s="302"/>
      <c r="AFQ296" s="302"/>
      <c r="AFR296" s="302"/>
      <c r="AFS296" s="302"/>
      <c r="AFT296" s="302"/>
      <c r="AFU296" s="302"/>
      <c r="AFV296" s="302"/>
      <c r="AFW296" s="302"/>
      <c r="AFX296" s="302"/>
      <c r="AFY296" s="302"/>
      <c r="AFZ296" s="302"/>
      <c r="AGA296" s="302"/>
      <c r="AGB296" s="302"/>
      <c r="AGC296" s="302"/>
      <c r="AGD296" s="302"/>
      <c r="AGE296" s="302"/>
      <c r="AGF296" s="302"/>
      <c r="AGG296" s="302"/>
      <c r="AGH296" s="302"/>
      <c r="AGI296" s="302"/>
      <c r="AGJ296" s="302"/>
      <c r="AGK296" s="302"/>
      <c r="AGL296" s="302"/>
      <c r="AGM296" s="302"/>
      <c r="AGN296" s="302"/>
      <c r="AGO296" s="302"/>
      <c r="AGP296" s="302"/>
      <c r="AGQ296" s="302"/>
      <c r="AGR296" s="302"/>
      <c r="AGS296" s="302"/>
      <c r="AGT296" s="302"/>
      <c r="AGU296" s="302"/>
      <c r="AGV296" s="302"/>
      <c r="AGW296" s="302"/>
      <c r="AGX296" s="302"/>
      <c r="AGY296" s="302"/>
      <c r="AGZ296" s="302"/>
      <c r="AHA296" s="302"/>
      <c r="AHB296" s="302"/>
      <c r="AHC296" s="302"/>
      <c r="AHD296" s="302"/>
      <c r="AHE296" s="302"/>
      <c r="AHF296" s="302"/>
      <c r="AHG296" s="302"/>
      <c r="AHH296" s="302"/>
      <c r="AHI296" s="302"/>
      <c r="AHJ296" s="302"/>
      <c r="AHK296" s="302"/>
      <c r="AHL296" s="302"/>
      <c r="AHM296" s="302"/>
      <c r="AHN296" s="302"/>
      <c r="AHO296" s="302"/>
      <c r="AHP296" s="302"/>
      <c r="AHQ296" s="302"/>
      <c r="AHR296" s="302"/>
      <c r="AHS296" s="302"/>
      <c r="AHT296" s="302"/>
      <c r="AHU296" s="302"/>
      <c r="AHV296" s="302"/>
      <c r="AHW296" s="302"/>
      <c r="AHX296" s="302"/>
      <c r="AHY296" s="302"/>
      <c r="AHZ296" s="302"/>
      <c r="AIA296" s="302"/>
      <c r="AIB296" s="302"/>
      <c r="AIC296" s="302"/>
      <c r="AID296" s="302"/>
      <c r="AIE296" s="302"/>
      <c r="AIF296" s="302"/>
      <c r="AIG296" s="302"/>
      <c r="AIH296" s="302"/>
      <c r="AII296" s="302"/>
      <c r="AIJ296" s="302"/>
      <c r="AIK296" s="302"/>
      <c r="AIL296" s="302"/>
      <c r="AIM296" s="302"/>
      <c r="AIN296" s="302"/>
      <c r="AIO296" s="302"/>
      <c r="AIP296" s="302"/>
      <c r="AIQ296" s="302"/>
      <c r="AIR296" s="302"/>
      <c r="AIS296" s="302"/>
      <c r="AIT296" s="302"/>
      <c r="AIU296" s="302"/>
      <c r="AIV296" s="302"/>
      <c r="AIW296" s="302"/>
      <c r="AIX296" s="302"/>
      <c r="AIY296" s="302"/>
      <c r="AIZ296" s="302"/>
      <c r="AJA296" s="302"/>
      <c r="AJB296" s="302"/>
      <c r="AJC296" s="302"/>
      <c r="AJD296" s="302"/>
      <c r="AJE296" s="302"/>
      <c r="AJF296" s="302"/>
      <c r="AJG296" s="302"/>
      <c r="AJH296" s="302"/>
      <c r="AJI296" s="302"/>
      <c r="AJJ296" s="302"/>
      <c r="AJK296" s="302"/>
      <c r="AJL296" s="302"/>
      <c r="AJM296" s="302"/>
      <c r="AJN296" s="302"/>
      <c r="AJO296" s="302"/>
      <c r="AJP296" s="302"/>
      <c r="AJQ296" s="302"/>
      <c r="AJR296" s="302"/>
      <c r="AJS296" s="302"/>
      <c r="AJT296" s="302"/>
      <c r="AJU296" s="302"/>
      <c r="AJV296" s="302"/>
      <c r="AJW296" s="302"/>
      <c r="AJX296" s="302"/>
      <c r="AJY296" s="302"/>
      <c r="AJZ296" s="302"/>
      <c r="AKA296" s="302"/>
      <c r="AKB296" s="302"/>
      <c r="AKC296" s="302"/>
      <c r="AKD296" s="302"/>
      <c r="AKE296" s="302"/>
      <c r="AKF296" s="302"/>
      <c r="AKG296" s="302"/>
      <c r="AKH296" s="302"/>
      <c r="AKI296" s="302"/>
      <c r="AKJ296" s="302"/>
      <c r="AKK296" s="302"/>
      <c r="AKL296" s="302"/>
      <c r="AKM296" s="302"/>
      <c r="AKN296" s="302"/>
      <c r="AKO296" s="302"/>
      <c r="AKP296" s="302"/>
      <c r="AKQ296" s="302"/>
      <c r="AKR296" s="302"/>
      <c r="AKS296" s="302"/>
      <c r="AKT296" s="302"/>
      <c r="AKU296" s="302"/>
      <c r="AKV296" s="302"/>
      <c r="AKW296" s="302"/>
      <c r="AKX296" s="302"/>
      <c r="AKY296" s="302"/>
      <c r="AKZ296" s="302"/>
      <c r="ALA296" s="302"/>
      <c r="ALB296" s="302"/>
      <c r="ALC296" s="302"/>
      <c r="ALD296" s="302"/>
      <c r="ALE296" s="302"/>
      <c r="ALF296" s="302"/>
      <c r="ALG296" s="302"/>
      <c r="ALH296" s="302"/>
      <c r="ALI296" s="302"/>
      <c r="ALJ296" s="302"/>
      <c r="ALK296" s="302"/>
      <c r="ALL296" s="302"/>
      <c r="ALM296" s="302"/>
      <c r="ALN296" s="302"/>
      <c r="ALO296" s="302"/>
      <c r="ALP296" s="302"/>
      <c r="ALQ296" s="302"/>
      <c r="ALR296" s="302"/>
      <c r="ALS296" s="302"/>
      <c r="ALT296" s="302"/>
      <c r="ALU296" s="302"/>
      <c r="ALV296" s="302"/>
      <c r="ALW296" s="302"/>
      <c r="ALX296" s="302"/>
      <c r="ALY296" s="302"/>
      <c r="ALZ296" s="302"/>
      <c r="AMA296" s="302"/>
      <c r="AMB296" s="302"/>
      <c r="AMC296" s="302"/>
      <c r="AMD296" s="302"/>
      <c r="AME296" s="302"/>
      <c r="AMF296" s="302"/>
      <c r="AMG296" s="302"/>
      <c r="AMH296" s="302"/>
      <c r="AMI296" s="302"/>
    </row>
    <row r="297" spans="1:1023" hidden="1">
      <c r="A297" s="302"/>
      <c r="B297" s="442">
        <v>14138</v>
      </c>
      <c r="C297" s="498">
        <v>0.1</v>
      </c>
      <c r="D297" s="370" t="s">
        <v>210</v>
      </c>
      <c r="E297" s="433">
        <v>1500000</v>
      </c>
      <c r="F297" s="532">
        <v>2.5000000000000001E-2</v>
      </c>
      <c r="G297" s="364">
        <f t="shared" si="17"/>
        <v>37500</v>
      </c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  <c r="AD297" s="302"/>
      <c r="AE297" s="302"/>
      <c r="AF297" s="302"/>
      <c r="AG297" s="302"/>
      <c r="AH297" s="302"/>
      <c r="AI297" s="302"/>
      <c r="AJ297" s="302"/>
      <c r="AK297" s="302"/>
      <c r="AL297" s="302"/>
      <c r="AM297" s="302"/>
      <c r="AN297" s="302"/>
      <c r="AO297" s="302"/>
      <c r="AP297" s="302"/>
      <c r="AQ297" s="302"/>
      <c r="AR297" s="302"/>
      <c r="AS297" s="302"/>
      <c r="AT297" s="302"/>
      <c r="AU297" s="302"/>
      <c r="AV297" s="302"/>
      <c r="AW297" s="302"/>
      <c r="AX297" s="302"/>
      <c r="AY297" s="302"/>
      <c r="AZ297" s="302"/>
      <c r="BA297" s="302"/>
      <c r="BB297" s="302"/>
      <c r="BC297" s="302"/>
      <c r="BD297" s="302"/>
      <c r="BE297" s="302"/>
      <c r="BF297" s="302"/>
      <c r="BG297" s="302"/>
      <c r="BH297" s="302"/>
      <c r="BI297" s="302"/>
      <c r="BJ297" s="302"/>
      <c r="BK297" s="302"/>
      <c r="BL297" s="302"/>
      <c r="BM297" s="302"/>
      <c r="BN297" s="302"/>
      <c r="BO297" s="302"/>
      <c r="BP297" s="302"/>
      <c r="BQ297" s="302"/>
      <c r="BR297" s="302"/>
      <c r="BS297" s="302"/>
      <c r="BT297" s="302"/>
      <c r="BU297" s="302"/>
      <c r="BV297" s="302"/>
      <c r="BW297" s="302"/>
      <c r="BX297" s="302"/>
      <c r="BY297" s="302"/>
      <c r="BZ297" s="302"/>
      <c r="CA297" s="302"/>
      <c r="CB297" s="302"/>
      <c r="CC297" s="302"/>
      <c r="CD297" s="302"/>
      <c r="CE297" s="302"/>
      <c r="CF297" s="302"/>
      <c r="CG297" s="302"/>
      <c r="CH297" s="302"/>
      <c r="CI297" s="302"/>
      <c r="CJ297" s="302"/>
      <c r="CK297" s="302"/>
      <c r="CL297" s="302"/>
      <c r="CM297" s="302"/>
      <c r="CN297" s="302"/>
      <c r="CO297" s="302"/>
      <c r="CP297" s="302"/>
      <c r="CQ297" s="302"/>
      <c r="CR297" s="302"/>
      <c r="CS297" s="302"/>
      <c r="CT297" s="302"/>
      <c r="CU297" s="302"/>
      <c r="CV297" s="302"/>
      <c r="CW297" s="302"/>
      <c r="CX297" s="302"/>
      <c r="CY297" s="302"/>
      <c r="CZ297" s="302"/>
      <c r="DA297" s="302"/>
      <c r="DB297" s="302"/>
      <c r="DC297" s="302"/>
      <c r="DD297" s="302"/>
      <c r="DE297" s="302"/>
      <c r="DF297" s="302"/>
      <c r="DG297" s="302"/>
      <c r="DH297" s="302"/>
      <c r="DI297" s="302"/>
      <c r="DJ297" s="302"/>
      <c r="DK297" s="302"/>
      <c r="DL297" s="302"/>
      <c r="DM297" s="302"/>
      <c r="DN297" s="302"/>
      <c r="DO297" s="302"/>
      <c r="DP297" s="302"/>
      <c r="DQ297" s="302"/>
      <c r="DR297" s="302"/>
      <c r="DS297" s="302"/>
      <c r="DT297" s="302"/>
      <c r="DU297" s="302"/>
      <c r="DV297" s="302"/>
      <c r="DW297" s="302"/>
      <c r="DX297" s="302"/>
      <c r="DY297" s="302"/>
      <c r="DZ297" s="302"/>
      <c r="EA297" s="302"/>
      <c r="EB297" s="302"/>
      <c r="EC297" s="302"/>
      <c r="ED297" s="302"/>
      <c r="EE297" s="302"/>
      <c r="EF297" s="302"/>
      <c r="EG297" s="302"/>
      <c r="EH297" s="302"/>
      <c r="EI297" s="302"/>
      <c r="EJ297" s="302"/>
      <c r="EK297" s="302"/>
      <c r="EL297" s="302"/>
      <c r="EM297" s="302"/>
      <c r="EN297" s="302"/>
      <c r="EO297" s="302"/>
      <c r="EP297" s="302"/>
      <c r="EQ297" s="302"/>
      <c r="ER297" s="302"/>
      <c r="ES297" s="302"/>
      <c r="ET297" s="302"/>
      <c r="EU297" s="302"/>
      <c r="EV297" s="302"/>
      <c r="EW297" s="302"/>
      <c r="EX297" s="302"/>
      <c r="EY297" s="302"/>
      <c r="EZ297" s="302"/>
      <c r="FA297" s="302"/>
      <c r="FB297" s="302"/>
      <c r="FC297" s="302"/>
      <c r="FD297" s="302"/>
      <c r="FE297" s="302"/>
      <c r="FF297" s="302"/>
      <c r="FG297" s="302"/>
      <c r="FH297" s="302"/>
      <c r="FI297" s="302"/>
      <c r="FJ297" s="302"/>
      <c r="FK297" s="302"/>
      <c r="FL297" s="302"/>
      <c r="FM297" s="302"/>
      <c r="FN297" s="302"/>
      <c r="FO297" s="302"/>
      <c r="FP297" s="302"/>
      <c r="FQ297" s="302"/>
      <c r="FR297" s="302"/>
      <c r="FS297" s="302"/>
      <c r="FT297" s="302"/>
      <c r="FU297" s="302"/>
      <c r="FV297" s="302"/>
      <c r="FW297" s="302"/>
      <c r="FX297" s="302"/>
      <c r="FY297" s="302"/>
      <c r="FZ297" s="302"/>
      <c r="GA297" s="302"/>
      <c r="GB297" s="302"/>
      <c r="GC297" s="302"/>
      <c r="GD297" s="302"/>
      <c r="GE297" s="302"/>
      <c r="GF297" s="302"/>
      <c r="GG297" s="302"/>
      <c r="GH297" s="302"/>
      <c r="GI297" s="302"/>
      <c r="GJ297" s="302"/>
      <c r="GK297" s="302"/>
      <c r="GL297" s="302"/>
      <c r="GM297" s="302"/>
      <c r="GN297" s="302"/>
      <c r="GO297" s="302"/>
      <c r="GP297" s="302"/>
      <c r="GQ297" s="302"/>
      <c r="GR297" s="302"/>
      <c r="GS297" s="302"/>
      <c r="GT297" s="302"/>
      <c r="GU297" s="302"/>
      <c r="GV297" s="302"/>
      <c r="GW297" s="302"/>
      <c r="GX297" s="302"/>
      <c r="GY297" s="302"/>
      <c r="GZ297" s="302"/>
      <c r="HA297" s="302"/>
      <c r="HB297" s="302"/>
      <c r="HC297" s="302"/>
      <c r="HD297" s="302"/>
      <c r="HE297" s="302"/>
      <c r="HF297" s="302"/>
      <c r="HG297" s="302"/>
      <c r="HH297" s="302"/>
      <c r="HI297" s="302"/>
      <c r="HJ297" s="302"/>
      <c r="HK297" s="302"/>
      <c r="HL297" s="302"/>
      <c r="HM297" s="302"/>
      <c r="HN297" s="302"/>
      <c r="HO297" s="302"/>
      <c r="HP297" s="302"/>
      <c r="HQ297" s="302"/>
      <c r="HR297" s="302"/>
      <c r="HS297" s="302"/>
      <c r="HT297" s="302"/>
      <c r="HU297" s="302"/>
      <c r="HV297" s="302"/>
      <c r="HW297" s="302"/>
      <c r="HX297" s="302"/>
      <c r="HY297" s="302"/>
      <c r="HZ297" s="302"/>
      <c r="IA297" s="302"/>
      <c r="IB297" s="302"/>
      <c r="IC297" s="302"/>
      <c r="ID297" s="302"/>
      <c r="IE297" s="302"/>
      <c r="IF297" s="302"/>
      <c r="IG297" s="302"/>
      <c r="IH297" s="302"/>
      <c r="II297" s="302"/>
      <c r="IJ297" s="302"/>
      <c r="IK297" s="302"/>
      <c r="IL297" s="302"/>
      <c r="IM297" s="302"/>
      <c r="IN297" s="302"/>
      <c r="IO297" s="302"/>
      <c r="IP297" s="302"/>
      <c r="IQ297" s="302"/>
      <c r="IR297" s="302"/>
      <c r="IS297" s="302"/>
      <c r="IT297" s="302"/>
      <c r="IU297" s="302"/>
      <c r="IV297" s="302"/>
      <c r="IW297" s="302"/>
      <c r="IX297" s="302"/>
      <c r="IY297" s="302"/>
      <c r="IZ297" s="302"/>
      <c r="JA297" s="302"/>
      <c r="JB297" s="302"/>
      <c r="JC297" s="302"/>
      <c r="JD297" s="302"/>
      <c r="JE297" s="302"/>
      <c r="JF297" s="302"/>
      <c r="JG297" s="302"/>
      <c r="JH297" s="302"/>
      <c r="JI297" s="302"/>
      <c r="JJ297" s="302"/>
      <c r="JK297" s="302"/>
      <c r="JL297" s="302"/>
      <c r="JM297" s="302"/>
      <c r="JN297" s="302"/>
      <c r="JO297" s="302"/>
      <c r="JP297" s="302"/>
      <c r="JQ297" s="302"/>
      <c r="JR297" s="302"/>
      <c r="JS297" s="302"/>
      <c r="JT297" s="302"/>
      <c r="JU297" s="302"/>
      <c r="JV297" s="302"/>
      <c r="JW297" s="302"/>
      <c r="JX297" s="302"/>
      <c r="JY297" s="302"/>
      <c r="JZ297" s="302"/>
      <c r="KA297" s="302"/>
      <c r="KB297" s="302"/>
      <c r="KC297" s="302"/>
      <c r="KD297" s="302"/>
      <c r="KE297" s="302"/>
      <c r="KF297" s="302"/>
      <c r="KG297" s="302"/>
      <c r="KH297" s="302"/>
      <c r="KI297" s="302"/>
      <c r="KJ297" s="302"/>
      <c r="KK297" s="302"/>
      <c r="KL297" s="302"/>
      <c r="KM297" s="302"/>
      <c r="KN297" s="302"/>
      <c r="KO297" s="302"/>
      <c r="KP297" s="302"/>
      <c r="KQ297" s="302"/>
      <c r="KR297" s="302"/>
      <c r="KS297" s="302"/>
      <c r="KT297" s="302"/>
      <c r="KU297" s="302"/>
      <c r="KV297" s="302"/>
      <c r="KW297" s="302"/>
      <c r="KX297" s="302"/>
      <c r="KY297" s="302"/>
      <c r="KZ297" s="302"/>
      <c r="LA297" s="302"/>
      <c r="LB297" s="302"/>
      <c r="LC297" s="302"/>
      <c r="LD297" s="302"/>
      <c r="LE297" s="302"/>
      <c r="LF297" s="302"/>
      <c r="LG297" s="302"/>
      <c r="LH297" s="302"/>
      <c r="LI297" s="302"/>
      <c r="LJ297" s="302"/>
      <c r="LK297" s="302"/>
      <c r="LL297" s="302"/>
      <c r="LM297" s="302"/>
      <c r="LN297" s="302"/>
      <c r="LO297" s="302"/>
      <c r="LP297" s="302"/>
      <c r="LQ297" s="302"/>
      <c r="LR297" s="302"/>
      <c r="LS297" s="302"/>
      <c r="LT297" s="302"/>
      <c r="LU297" s="302"/>
      <c r="LV297" s="302"/>
      <c r="LW297" s="302"/>
      <c r="LX297" s="302"/>
      <c r="LY297" s="302"/>
      <c r="LZ297" s="302"/>
      <c r="MA297" s="302"/>
      <c r="MB297" s="302"/>
      <c r="MC297" s="302"/>
      <c r="MD297" s="302"/>
      <c r="ME297" s="302"/>
      <c r="MF297" s="302"/>
      <c r="MG297" s="302"/>
      <c r="MH297" s="302"/>
      <c r="MI297" s="302"/>
      <c r="MJ297" s="302"/>
      <c r="MK297" s="302"/>
      <c r="ML297" s="302"/>
      <c r="MM297" s="302"/>
      <c r="MN297" s="302"/>
      <c r="MO297" s="302"/>
      <c r="MP297" s="302"/>
      <c r="MQ297" s="302"/>
      <c r="MR297" s="302"/>
      <c r="MS297" s="302"/>
      <c r="MT297" s="302"/>
      <c r="MU297" s="302"/>
      <c r="MV297" s="302"/>
      <c r="MW297" s="302"/>
      <c r="MX297" s="302"/>
      <c r="MY297" s="302"/>
      <c r="MZ297" s="302"/>
      <c r="NA297" s="302"/>
      <c r="NB297" s="302"/>
      <c r="NC297" s="302"/>
      <c r="ND297" s="302"/>
      <c r="NE297" s="302"/>
      <c r="NF297" s="302"/>
      <c r="NG297" s="302"/>
      <c r="NH297" s="302"/>
      <c r="NI297" s="302"/>
      <c r="NJ297" s="302"/>
      <c r="NK297" s="302"/>
      <c r="NL297" s="302"/>
      <c r="NM297" s="302"/>
      <c r="NN297" s="302"/>
      <c r="NO297" s="302"/>
      <c r="NP297" s="302"/>
      <c r="NQ297" s="302"/>
      <c r="NR297" s="302"/>
      <c r="NS297" s="302"/>
      <c r="NT297" s="302"/>
      <c r="NU297" s="302"/>
      <c r="NV297" s="302"/>
      <c r="NW297" s="302"/>
      <c r="NX297" s="302"/>
      <c r="NY297" s="302"/>
      <c r="NZ297" s="302"/>
      <c r="OA297" s="302"/>
      <c r="OB297" s="302"/>
      <c r="OC297" s="302"/>
      <c r="OD297" s="302"/>
      <c r="OE297" s="302"/>
      <c r="OF297" s="302"/>
      <c r="OG297" s="302"/>
      <c r="OH297" s="302"/>
      <c r="OI297" s="302"/>
      <c r="OJ297" s="302"/>
      <c r="OK297" s="302"/>
      <c r="OL297" s="302"/>
      <c r="OM297" s="302"/>
      <c r="ON297" s="302"/>
      <c r="OO297" s="302"/>
      <c r="OP297" s="302"/>
      <c r="OQ297" s="302"/>
      <c r="OR297" s="302"/>
      <c r="OS297" s="302"/>
      <c r="OT297" s="302"/>
      <c r="OU297" s="302"/>
      <c r="OV297" s="302"/>
      <c r="OW297" s="302"/>
      <c r="OX297" s="302"/>
      <c r="OY297" s="302"/>
      <c r="OZ297" s="302"/>
      <c r="PA297" s="302"/>
      <c r="PB297" s="302"/>
      <c r="PC297" s="302"/>
      <c r="PD297" s="302"/>
      <c r="PE297" s="302"/>
      <c r="PF297" s="302"/>
      <c r="PG297" s="302"/>
      <c r="PH297" s="302"/>
      <c r="PI297" s="302"/>
      <c r="PJ297" s="302"/>
      <c r="PK297" s="302"/>
      <c r="PL297" s="302"/>
      <c r="PM297" s="302"/>
      <c r="PN297" s="302"/>
      <c r="PO297" s="302"/>
      <c r="PP297" s="302"/>
      <c r="PQ297" s="302"/>
      <c r="PR297" s="302"/>
      <c r="PS297" s="302"/>
      <c r="PT297" s="302"/>
      <c r="PU297" s="302"/>
      <c r="PV297" s="302"/>
      <c r="PW297" s="302"/>
      <c r="PX297" s="302"/>
      <c r="PY297" s="302"/>
      <c r="PZ297" s="302"/>
      <c r="QA297" s="302"/>
      <c r="QB297" s="302"/>
      <c r="QC297" s="302"/>
      <c r="QD297" s="302"/>
      <c r="QE297" s="302"/>
      <c r="QF297" s="302"/>
      <c r="QG297" s="302"/>
      <c r="QH297" s="302"/>
      <c r="QI297" s="302"/>
      <c r="QJ297" s="302"/>
      <c r="QK297" s="302"/>
      <c r="QL297" s="302"/>
      <c r="QM297" s="302"/>
      <c r="QN297" s="302"/>
      <c r="QO297" s="302"/>
      <c r="QP297" s="302"/>
      <c r="QQ297" s="302"/>
      <c r="QR297" s="302"/>
      <c r="QS297" s="302"/>
      <c r="QT297" s="302"/>
      <c r="QU297" s="302"/>
      <c r="QV297" s="302"/>
      <c r="QW297" s="302"/>
      <c r="QX297" s="302"/>
      <c r="QY297" s="302"/>
      <c r="QZ297" s="302"/>
      <c r="RA297" s="302"/>
      <c r="RB297" s="302"/>
      <c r="RC297" s="302"/>
      <c r="RD297" s="302"/>
      <c r="RE297" s="302"/>
      <c r="RF297" s="302"/>
      <c r="RG297" s="302"/>
      <c r="RH297" s="302"/>
      <c r="RI297" s="302"/>
      <c r="RJ297" s="302"/>
      <c r="RK297" s="302"/>
      <c r="RL297" s="302"/>
      <c r="RM297" s="302"/>
      <c r="RN297" s="302"/>
      <c r="RO297" s="302"/>
      <c r="RP297" s="302"/>
      <c r="RQ297" s="302"/>
      <c r="RR297" s="302"/>
      <c r="RS297" s="302"/>
      <c r="RT297" s="302"/>
      <c r="RU297" s="302"/>
      <c r="RV297" s="302"/>
      <c r="RW297" s="302"/>
      <c r="RX297" s="302"/>
      <c r="RY297" s="302"/>
      <c r="RZ297" s="302"/>
      <c r="SA297" s="302"/>
      <c r="SB297" s="302"/>
      <c r="SC297" s="302"/>
      <c r="SD297" s="302"/>
      <c r="SE297" s="302"/>
      <c r="SF297" s="302"/>
      <c r="SG297" s="302"/>
      <c r="SH297" s="302"/>
      <c r="SI297" s="302"/>
      <c r="SJ297" s="302"/>
      <c r="SK297" s="302"/>
      <c r="SL297" s="302"/>
      <c r="SM297" s="302"/>
      <c r="SN297" s="302"/>
      <c r="SO297" s="302"/>
      <c r="SP297" s="302"/>
      <c r="SQ297" s="302"/>
      <c r="SR297" s="302"/>
      <c r="SS297" s="302"/>
      <c r="ST297" s="302"/>
      <c r="SU297" s="302"/>
      <c r="SV297" s="302"/>
      <c r="SW297" s="302"/>
      <c r="SX297" s="302"/>
      <c r="SY297" s="302"/>
      <c r="SZ297" s="302"/>
      <c r="TA297" s="302"/>
      <c r="TB297" s="302"/>
      <c r="TC297" s="302"/>
      <c r="TD297" s="302"/>
      <c r="TE297" s="302"/>
      <c r="TF297" s="302"/>
      <c r="TG297" s="302"/>
      <c r="TH297" s="302"/>
      <c r="TI297" s="302"/>
      <c r="TJ297" s="302"/>
      <c r="TK297" s="302"/>
      <c r="TL297" s="302"/>
      <c r="TM297" s="302"/>
      <c r="TN297" s="302"/>
      <c r="TO297" s="302"/>
      <c r="TP297" s="302"/>
      <c r="TQ297" s="302"/>
      <c r="TR297" s="302"/>
      <c r="TS297" s="302"/>
      <c r="TT297" s="302"/>
      <c r="TU297" s="302"/>
      <c r="TV297" s="302"/>
      <c r="TW297" s="302"/>
      <c r="TX297" s="302"/>
      <c r="TY297" s="302"/>
      <c r="TZ297" s="302"/>
      <c r="UA297" s="302"/>
      <c r="UB297" s="302"/>
      <c r="UC297" s="302"/>
      <c r="UD297" s="302"/>
      <c r="UE297" s="302"/>
      <c r="UF297" s="302"/>
      <c r="UG297" s="302"/>
      <c r="UH297" s="302"/>
      <c r="UI297" s="302"/>
      <c r="UJ297" s="302"/>
      <c r="UK297" s="302"/>
      <c r="UL297" s="302"/>
      <c r="UM297" s="302"/>
      <c r="UN297" s="302"/>
      <c r="UO297" s="302"/>
      <c r="UP297" s="302"/>
      <c r="UQ297" s="302"/>
      <c r="UR297" s="302"/>
      <c r="US297" s="302"/>
      <c r="UT297" s="302"/>
      <c r="UU297" s="302"/>
      <c r="UV297" s="302"/>
      <c r="UW297" s="302"/>
      <c r="UX297" s="302"/>
      <c r="UY297" s="302"/>
      <c r="UZ297" s="302"/>
      <c r="VA297" s="302"/>
      <c r="VB297" s="302"/>
      <c r="VC297" s="302"/>
      <c r="VD297" s="302"/>
      <c r="VE297" s="302"/>
      <c r="VF297" s="302"/>
      <c r="VG297" s="302"/>
      <c r="VH297" s="302"/>
      <c r="VI297" s="302"/>
      <c r="VJ297" s="302"/>
      <c r="VK297" s="302"/>
      <c r="VL297" s="302"/>
      <c r="VM297" s="302"/>
      <c r="VN297" s="302"/>
      <c r="VO297" s="302"/>
      <c r="VP297" s="302"/>
      <c r="VQ297" s="302"/>
      <c r="VR297" s="302"/>
      <c r="VS297" s="302"/>
      <c r="VT297" s="302"/>
      <c r="VU297" s="302"/>
      <c r="VV297" s="302"/>
      <c r="VW297" s="302"/>
      <c r="VX297" s="302"/>
      <c r="VY297" s="302"/>
      <c r="VZ297" s="302"/>
      <c r="WA297" s="302"/>
      <c r="WB297" s="302"/>
      <c r="WC297" s="302"/>
      <c r="WD297" s="302"/>
      <c r="WE297" s="302"/>
      <c r="WF297" s="302"/>
      <c r="WG297" s="302"/>
      <c r="WH297" s="302"/>
      <c r="WI297" s="302"/>
      <c r="WJ297" s="302"/>
      <c r="WK297" s="302"/>
      <c r="WL297" s="302"/>
      <c r="WM297" s="302"/>
      <c r="WN297" s="302"/>
      <c r="WO297" s="302"/>
      <c r="WP297" s="302"/>
      <c r="WQ297" s="302"/>
      <c r="WR297" s="302"/>
      <c r="WS297" s="302"/>
      <c r="WT297" s="302"/>
      <c r="WU297" s="302"/>
      <c r="WV297" s="302"/>
      <c r="WW297" s="302"/>
      <c r="WX297" s="302"/>
      <c r="WY297" s="302"/>
      <c r="WZ297" s="302"/>
      <c r="XA297" s="302"/>
      <c r="XB297" s="302"/>
      <c r="XC297" s="302"/>
      <c r="XD297" s="302"/>
      <c r="XE297" s="302"/>
      <c r="XF297" s="302"/>
      <c r="XG297" s="302"/>
      <c r="XH297" s="302"/>
      <c r="XI297" s="302"/>
      <c r="XJ297" s="302"/>
      <c r="XK297" s="302"/>
      <c r="XL297" s="302"/>
      <c r="XM297" s="302"/>
      <c r="XN297" s="302"/>
      <c r="XO297" s="302"/>
      <c r="XP297" s="302"/>
      <c r="XQ297" s="302"/>
      <c r="XR297" s="302"/>
      <c r="XS297" s="302"/>
      <c r="XT297" s="302"/>
      <c r="XU297" s="302"/>
      <c r="XV297" s="302"/>
      <c r="XW297" s="302"/>
      <c r="XX297" s="302"/>
      <c r="XY297" s="302"/>
      <c r="XZ297" s="302"/>
      <c r="YA297" s="302"/>
      <c r="YB297" s="302"/>
      <c r="YC297" s="302"/>
      <c r="YD297" s="302"/>
      <c r="YE297" s="302"/>
      <c r="YF297" s="302"/>
      <c r="YG297" s="302"/>
      <c r="YH297" s="302"/>
      <c r="YI297" s="302"/>
      <c r="YJ297" s="302"/>
      <c r="YK297" s="302"/>
      <c r="YL297" s="302"/>
      <c r="YM297" s="302"/>
      <c r="YN297" s="302"/>
      <c r="YO297" s="302"/>
      <c r="YP297" s="302"/>
      <c r="YQ297" s="302"/>
      <c r="YR297" s="302"/>
      <c r="YS297" s="302"/>
      <c r="YT297" s="302"/>
      <c r="YU297" s="302"/>
      <c r="YV297" s="302"/>
      <c r="YW297" s="302"/>
      <c r="YX297" s="302"/>
      <c r="YY297" s="302"/>
      <c r="YZ297" s="302"/>
      <c r="ZA297" s="302"/>
      <c r="ZB297" s="302"/>
      <c r="ZC297" s="302"/>
      <c r="ZD297" s="302"/>
      <c r="ZE297" s="302"/>
      <c r="ZF297" s="302"/>
      <c r="ZG297" s="302"/>
      <c r="ZH297" s="302"/>
      <c r="ZI297" s="302"/>
      <c r="ZJ297" s="302"/>
      <c r="ZK297" s="302"/>
      <c r="ZL297" s="302"/>
      <c r="ZM297" s="302"/>
      <c r="ZN297" s="302"/>
      <c r="ZO297" s="302"/>
      <c r="ZP297" s="302"/>
      <c r="ZQ297" s="302"/>
      <c r="ZR297" s="302"/>
      <c r="ZS297" s="302"/>
      <c r="ZT297" s="302"/>
      <c r="ZU297" s="302"/>
      <c r="ZV297" s="302"/>
      <c r="ZW297" s="302"/>
      <c r="ZX297" s="302"/>
      <c r="ZY297" s="302"/>
      <c r="ZZ297" s="302"/>
      <c r="AAA297" s="302"/>
      <c r="AAB297" s="302"/>
      <c r="AAC297" s="302"/>
      <c r="AAD297" s="302"/>
      <c r="AAE297" s="302"/>
      <c r="AAF297" s="302"/>
      <c r="AAG297" s="302"/>
      <c r="AAH297" s="302"/>
      <c r="AAI297" s="302"/>
      <c r="AAJ297" s="302"/>
      <c r="AAK297" s="302"/>
      <c r="AAL297" s="302"/>
      <c r="AAM297" s="302"/>
      <c r="AAN297" s="302"/>
      <c r="AAO297" s="302"/>
      <c r="AAP297" s="302"/>
      <c r="AAQ297" s="302"/>
      <c r="AAR297" s="302"/>
      <c r="AAS297" s="302"/>
      <c r="AAT297" s="302"/>
      <c r="AAU297" s="302"/>
      <c r="AAV297" s="302"/>
      <c r="AAW297" s="302"/>
      <c r="AAX297" s="302"/>
      <c r="AAY297" s="302"/>
      <c r="AAZ297" s="302"/>
      <c r="ABA297" s="302"/>
      <c r="ABB297" s="302"/>
      <c r="ABC297" s="302"/>
      <c r="ABD297" s="302"/>
      <c r="ABE297" s="302"/>
      <c r="ABF297" s="302"/>
      <c r="ABG297" s="302"/>
      <c r="ABH297" s="302"/>
      <c r="ABI297" s="302"/>
      <c r="ABJ297" s="302"/>
      <c r="ABK297" s="302"/>
      <c r="ABL297" s="302"/>
      <c r="ABM297" s="302"/>
      <c r="ABN297" s="302"/>
      <c r="ABO297" s="302"/>
      <c r="ABP297" s="302"/>
      <c r="ABQ297" s="302"/>
      <c r="ABR297" s="302"/>
      <c r="ABS297" s="302"/>
      <c r="ABT297" s="302"/>
      <c r="ABU297" s="302"/>
      <c r="ABV297" s="302"/>
      <c r="ABW297" s="302"/>
      <c r="ABX297" s="302"/>
      <c r="ABY297" s="302"/>
      <c r="ABZ297" s="302"/>
      <c r="ACA297" s="302"/>
      <c r="ACB297" s="302"/>
      <c r="ACC297" s="302"/>
      <c r="ACD297" s="302"/>
      <c r="ACE297" s="302"/>
      <c r="ACF297" s="302"/>
      <c r="ACG297" s="302"/>
      <c r="ACH297" s="302"/>
      <c r="ACI297" s="302"/>
      <c r="ACJ297" s="302"/>
      <c r="ACK297" s="302"/>
      <c r="ACL297" s="302"/>
      <c r="ACM297" s="302"/>
      <c r="ACN297" s="302"/>
      <c r="ACO297" s="302"/>
      <c r="ACP297" s="302"/>
      <c r="ACQ297" s="302"/>
      <c r="ACR297" s="302"/>
      <c r="ACS297" s="302"/>
      <c r="ACT297" s="302"/>
      <c r="ACU297" s="302"/>
      <c r="ACV297" s="302"/>
      <c r="ACW297" s="302"/>
      <c r="ACX297" s="302"/>
      <c r="ACY297" s="302"/>
      <c r="ACZ297" s="302"/>
      <c r="ADA297" s="302"/>
      <c r="ADB297" s="302"/>
      <c r="ADC297" s="302"/>
      <c r="ADD297" s="302"/>
      <c r="ADE297" s="302"/>
      <c r="ADF297" s="302"/>
      <c r="ADG297" s="302"/>
      <c r="ADH297" s="302"/>
      <c r="ADI297" s="302"/>
      <c r="ADJ297" s="302"/>
      <c r="ADK297" s="302"/>
      <c r="ADL297" s="302"/>
      <c r="ADM297" s="302"/>
      <c r="ADN297" s="302"/>
      <c r="ADO297" s="302"/>
      <c r="ADP297" s="302"/>
      <c r="ADQ297" s="302"/>
      <c r="ADR297" s="302"/>
      <c r="ADS297" s="302"/>
      <c r="ADT297" s="302"/>
      <c r="ADU297" s="302"/>
      <c r="ADV297" s="302"/>
      <c r="ADW297" s="302"/>
      <c r="ADX297" s="302"/>
      <c r="ADY297" s="302"/>
      <c r="ADZ297" s="302"/>
      <c r="AEA297" s="302"/>
      <c r="AEB297" s="302"/>
      <c r="AEC297" s="302"/>
      <c r="AED297" s="302"/>
      <c r="AEE297" s="302"/>
      <c r="AEF297" s="302"/>
      <c r="AEG297" s="302"/>
      <c r="AEH297" s="302"/>
      <c r="AEI297" s="302"/>
      <c r="AEJ297" s="302"/>
      <c r="AEK297" s="302"/>
      <c r="AEL297" s="302"/>
      <c r="AEM297" s="302"/>
      <c r="AEN297" s="302"/>
      <c r="AEO297" s="302"/>
      <c r="AEP297" s="302"/>
      <c r="AEQ297" s="302"/>
      <c r="AER297" s="302"/>
      <c r="AES297" s="302"/>
      <c r="AET297" s="302"/>
      <c r="AEU297" s="302"/>
      <c r="AEV297" s="302"/>
      <c r="AEW297" s="302"/>
      <c r="AEX297" s="302"/>
      <c r="AEY297" s="302"/>
      <c r="AEZ297" s="302"/>
      <c r="AFA297" s="302"/>
      <c r="AFB297" s="302"/>
      <c r="AFC297" s="302"/>
      <c r="AFD297" s="302"/>
      <c r="AFE297" s="302"/>
      <c r="AFF297" s="302"/>
      <c r="AFG297" s="302"/>
      <c r="AFH297" s="302"/>
      <c r="AFI297" s="302"/>
      <c r="AFJ297" s="302"/>
      <c r="AFK297" s="302"/>
      <c r="AFL297" s="302"/>
      <c r="AFM297" s="302"/>
      <c r="AFN297" s="302"/>
      <c r="AFO297" s="302"/>
      <c r="AFP297" s="302"/>
      <c r="AFQ297" s="302"/>
      <c r="AFR297" s="302"/>
      <c r="AFS297" s="302"/>
      <c r="AFT297" s="302"/>
      <c r="AFU297" s="302"/>
      <c r="AFV297" s="302"/>
      <c r="AFW297" s="302"/>
      <c r="AFX297" s="302"/>
      <c r="AFY297" s="302"/>
      <c r="AFZ297" s="302"/>
      <c r="AGA297" s="302"/>
      <c r="AGB297" s="302"/>
      <c r="AGC297" s="302"/>
      <c r="AGD297" s="302"/>
      <c r="AGE297" s="302"/>
      <c r="AGF297" s="302"/>
      <c r="AGG297" s="302"/>
      <c r="AGH297" s="302"/>
      <c r="AGI297" s="302"/>
      <c r="AGJ297" s="302"/>
      <c r="AGK297" s="302"/>
      <c r="AGL297" s="302"/>
      <c r="AGM297" s="302"/>
      <c r="AGN297" s="302"/>
      <c r="AGO297" s="302"/>
      <c r="AGP297" s="302"/>
      <c r="AGQ297" s="302"/>
      <c r="AGR297" s="302"/>
      <c r="AGS297" s="302"/>
      <c r="AGT297" s="302"/>
      <c r="AGU297" s="302"/>
      <c r="AGV297" s="302"/>
      <c r="AGW297" s="302"/>
      <c r="AGX297" s="302"/>
      <c r="AGY297" s="302"/>
      <c r="AGZ297" s="302"/>
      <c r="AHA297" s="302"/>
      <c r="AHB297" s="302"/>
      <c r="AHC297" s="302"/>
      <c r="AHD297" s="302"/>
      <c r="AHE297" s="302"/>
      <c r="AHF297" s="302"/>
      <c r="AHG297" s="302"/>
      <c r="AHH297" s="302"/>
      <c r="AHI297" s="302"/>
      <c r="AHJ297" s="302"/>
      <c r="AHK297" s="302"/>
      <c r="AHL297" s="302"/>
      <c r="AHM297" s="302"/>
      <c r="AHN297" s="302"/>
      <c r="AHO297" s="302"/>
      <c r="AHP297" s="302"/>
      <c r="AHQ297" s="302"/>
      <c r="AHR297" s="302"/>
      <c r="AHS297" s="302"/>
      <c r="AHT297" s="302"/>
      <c r="AHU297" s="302"/>
      <c r="AHV297" s="302"/>
      <c r="AHW297" s="302"/>
      <c r="AHX297" s="302"/>
      <c r="AHY297" s="302"/>
      <c r="AHZ297" s="302"/>
      <c r="AIA297" s="302"/>
      <c r="AIB297" s="302"/>
      <c r="AIC297" s="302"/>
      <c r="AID297" s="302"/>
      <c r="AIE297" s="302"/>
      <c r="AIF297" s="302"/>
      <c r="AIG297" s="302"/>
      <c r="AIH297" s="302"/>
      <c r="AII297" s="302"/>
      <c r="AIJ297" s="302"/>
      <c r="AIK297" s="302"/>
      <c r="AIL297" s="302"/>
      <c r="AIM297" s="302"/>
      <c r="AIN297" s="302"/>
      <c r="AIO297" s="302"/>
      <c r="AIP297" s="302"/>
      <c r="AIQ297" s="302"/>
      <c r="AIR297" s="302"/>
      <c r="AIS297" s="302"/>
      <c r="AIT297" s="302"/>
      <c r="AIU297" s="302"/>
      <c r="AIV297" s="302"/>
      <c r="AIW297" s="302"/>
      <c r="AIX297" s="302"/>
      <c r="AIY297" s="302"/>
      <c r="AIZ297" s="302"/>
      <c r="AJA297" s="302"/>
      <c r="AJB297" s="302"/>
      <c r="AJC297" s="302"/>
      <c r="AJD297" s="302"/>
      <c r="AJE297" s="302"/>
      <c r="AJF297" s="302"/>
      <c r="AJG297" s="302"/>
      <c r="AJH297" s="302"/>
      <c r="AJI297" s="302"/>
      <c r="AJJ297" s="302"/>
      <c r="AJK297" s="302"/>
      <c r="AJL297" s="302"/>
      <c r="AJM297" s="302"/>
      <c r="AJN297" s="302"/>
      <c r="AJO297" s="302"/>
      <c r="AJP297" s="302"/>
      <c r="AJQ297" s="302"/>
      <c r="AJR297" s="302"/>
      <c r="AJS297" s="302"/>
      <c r="AJT297" s="302"/>
      <c r="AJU297" s="302"/>
      <c r="AJV297" s="302"/>
      <c r="AJW297" s="302"/>
      <c r="AJX297" s="302"/>
      <c r="AJY297" s="302"/>
      <c r="AJZ297" s="302"/>
      <c r="AKA297" s="302"/>
      <c r="AKB297" s="302"/>
      <c r="AKC297" s="302"/>
      <c r="AKD297" s="302"/>
      <c r="AKE297" s="302"/>
      <c r="AKF297" s="302"/>
      <c r="AKG297" s="302"/>
      <c r="AKH297" s="302"/>
      <c r="AKI297" s="302"/>
      <c r="AKJ297" s="302"/>
      <c r="AKK297" s="302"/>
      <c r="AKL297" s="302"/>
      <c r="AKM297" s="302"/>
      <c r="AKN297" s="302"/>
      <c r="AKO297" s="302"/>
      <c r="AKP297" s="302"/>
      <c r="AKQ297" s="302"/>
      <c r="AKR297" s="302"/>
      <c r="AKS297" s="302"/>
      <c r="AKT297" s="302"/>
      <c r="AKU297" s="302"/>
      <c r="AKV297" s="302"/>
      <c r="AKW297" s="302"/>
      <c r="AKX297" s="302"/>
      <c r="AKY297" s="302"/>
      <c r="AKZ297" s="302"/>
      <c r="ALA297" s="302"/>
      <c r="ALB297" s="302"/>
      <c r="ALC297" s="302"/>
      <c r="ALD297" s="302"/>
      <c r="ALE297" s="302"/>
      <c r="ALF297" s="302"/>
      <c r="ALG297" s="302"/>
      <c r="ALH297" s="302"/>
      <c r="ALI297" s="302"/>
      <c r="ALJ297" s="302"/>
      <c r="ALK297" s="302"/>
      <c r="ALL297" s="302"/>
      <c r="ALM297" s="302"/>
      <c r="ALN297" s="302"/>
      <c r="ALO297" s="302"/>
      <c r="ALP297" s="302"/>
      <c r="ALQ297" s="302"/>
      <c r="ALR297" s="302"/>
      <c r="ALS297" s="302"/>
      <c r="ALT297" s="302"/>
      <c r="ALU297" s="302"/>
      <c r="ALV297" s="302"/>
      <c r="ALW297" s="302"/>
      <c r="ALX297" s="302"/>
      <c r="ALY297" s="302"/>
      <c r="ALZ297" s="302"/>
      <c r="AMA297" s="302"/>
      <c r="AMB297" s="302"/>
      <c r="AMC297" s="302"/>
      <c r="AMD297" s="302"/>
      <c r="AME297" s="302"/>
      <c r="AMF297" s="302"/>
      <c r="AMG297" s="302"/>
      <c r="AMH297" s="302"/>
      <c r="AMI297" s="302"/>
    </row>
    <row r="298" spans="1:1023" hidden="1">
      <c r="A298" s="302"/>
      <c r="B298" s="442">
        <v>14147</v>
      </c>
      <c r="C298" s="430">
        <v>0.08</v>
      </c>
      <c r="D298" s="370" t="s">
        <v>212</v>
      </c>
      <c r="E298" s="433">
        <v>5300000</v>
      </c>
      <c r="F298" s="500">
        <v>0.02</v>
      </c>
      <c r="G298" s="364">
        <f t="shared" si="17"/>
        <v>106000</v>
      </c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  <c r="AD298" s="302"/>
      <c r="AE298" s="302"/>
      <c r="AF298" s="302"/>
      <c r="AG298" s="302"/>
      <c r="AH298" s="302"/>
      <c r="AI298" s="302"/>
      <c r="AJ298" s="302"/>
      <c r="AK298" s="302"/>
      <c r="AL298" s="302"/>
      <c r="AM298" s="302"/>
      <c r="AN298" s="302"/>
      <c r="AO298" s="302"/>
      <c r="AP298" s="302"/>
      <c r="AQ298" s="302"/>
      <c r="AR298" s="302"/>
      <c r="AS298" s="302"/>
      <c r="AT298" s="302"/>
      <c r="AU298" s="302"/>
      <c r="AV298" s="302"/>
      <c r="AW298" s="302"/>
      <c r="AX298" s="302"/>
      <c r="AY298" s="302"/>
      <c r="AZ298" s="302"/>
      <c r="BA298" s="302"/>
      <c r="BB298" s="302"/>
      <c r="BC298" s="302"/>
      <c r="BD298" s="302"/>
      <c r="BE298" s="302"/>
      <c r="BF298" s="302"/>
      <c r="BG298" s="302"/>
      <c r="BH298" s="302"/>
      <c r="BI298" s="302"/>
      <c r="BJ298" s="302"/>
      <c r="BK298" s="302"/>
      <c r="BL298" s="302"/>
      <c r="BM298" s="302"/>
      <c r="BN298" s="302"/>
      <c r="BO298" s="302"/>
      <c r="BP298" s="302"/>
      <c r="BQ298" s="302"/>
      <c r="BR298" s="302"/>
      <c r="BS298" s="302"/>
      <c r="BT298" s="302"/>
      <c r="BU298" s="302"/>
      <c r="BV298" s="302"/>
      <c r="BW298" s="302"/>
      <c r="BX298" s="302"/>
      <c r="BY298" s="302"/>
      <c r="BZ298" s="302"/>
      <c r="CA298" s="302"/>
      <c r="CB298" s="302"/>
      <c r="CC298" s="302"/>
      <c r="CD298" s="302"/>
      <c r="CE298" s="302"/>
      <c r="CF298" s="302"/>
      <c r="CG298" s="302"/>
      <c r="CH298" s="302"/>
      <c r="CI298" s="302"/>
      <c r="CJ298" s="302"/>
      <c r="CK298" s="302"/>
      <c r="CL298" s="302"/>
      <c r="CM298" s="302"/>
      <c r="CN298" s="302"/>
      <c r="CO298" s="302"/>
      <c r="CP298" s="302"/>
      <c r="CQ298" s="302"/>
      <c r="CR298" s="302"/>
      <c r="CS298" s="302"/>
      <c r="CT298" s="302"/>
      <c r="CU298" s="302"/>
      <c r="CV298" s="302"/>
      <c r="CW298" s="302"/>
      <c r="CX298" s="302"/>
      <c r="CY298" s="302"/>
      <c r="CZ298" s="302"/>
      <c r="DA298" s="302"/>
      <c r="DB298" s="302"/>
      <c r="DC298" s="302"/>
      <c r="DD298" s="302"/>
      <c r="DE298" s="302"/>
      <c r="DF298" s="302"/>
      <c r="DG298" s="302"/>
      <c r="DH298" s="302"/>
      <c r="DI298" s="302"/>
      <c r="DJ298" s="302"/>
      <c r="DK298" s="302"/>
      <c r="DL298" s="302"/>
      <c r="DM298" s="302"/>
      <c r="DN298" s="302"/>
      <c r="DO298" s="302"/>
      <c r="DP298" s="302"/>
      <c r="DQ298" s="302"/>
      <c r="DR298" s="302"/>
      <c r="DS298" s="302"/>
      <c r="DT298" s="302"/>
      <c r="DU298" s="302"/>
      <c r="DV298" s="302"/>
      <c r="DW298" s="302"/>
      <c r="DX298" s="302"/>
      <c r="DY298" s="302"/>
      <c r="DZ298" s="302"/>
      <c r="EA298" s="302"/>
      <c r="EB298" s="302"/>
      <c r="EC298" s="302"/>
      <c r="ED298" s="302"/>
      <c r="EE298" s="302"/>
      <c r="EF298" s="302"/>
      <c r="EG298" s="302"/>
      <c r="EH298" s="302"/>
      <c r="EI298" s="302"/>
      <c r="EJ298" s="302"/>
      <c r="EK298" s="302"/>
      <c r="EL298" s="302"/>
      <c r="EM298" s="302"/>
      <c r="EN298" s="302"/>
      <c r="EO298" s="302"/>
      <c r="EP298" s="302"/>
      <c r="EQ298" s="302"/>
      <c r="ER298" s="302"/>
      <c r="ES298" s="302"/>
      <c r="ET298" s="302"/>
      <c r="EU298" s="302"/>
      <c r="EV298" s="302"/>
      <c r="EW298" s="302"/>
      <c r="EX298" s="302"/>
      <c r="EY298" s="302"/>
      <c r="EZ298" s="302"/>
      <c r="FA298" s="302"/>
      <c r="FB298" s="302"/>
      <c r="FC298" s="302"/>
      <c r="FD298" s="302"/>
      <c r="FE298" s="302"/>
      <c r="FF298" s="302"/>
      <c r="FG298" s="302"/>
      <c r="FH298" s="302"/>
      <c r="FI298" s="302"/>
      <c r="FJ298" s="302"/>
      <c r="FK298" s="302"/>
      <c r="FL298" s="302"/>
      <c r="FM298" s="302"/>
      <c r="FN298" s="302"/>
      <c r="FO298" s="302"/>
      <c r="FP298" s="302"/>
      <c r="FQ298" s="302"/>
      <c r="FR298" s="302"/>
      <c r="FS298" s="302"/>
      <c r="FT298" s="302"/>
      <c r="FU298" s="302"/>
      <c r="FV298" s="302"/>
      <c r="FW298" s="302"/>
      <c r="FX298" s="302"/>
      <c r="FY298" s="302"/>
      <c r="FZ298" s="302"/>
      <c r="GA298" s="302"/>
      <c r="GB298" s="302"/>
      <c r="GC298" s="302"/>
      <c r="GD298" s="302"/>
      <c r="GE298" s="302"/>
      <c r="GF298" s="302"/>
      <c r="GG298" s="302"/>
      <c r="GH298" s="302"/>
      <c r="GI298" s="302"/>
      <c r="GJ298" s="302"/>
      <c r="GK298" s="302"/>
      <c r="GL298" s="302"/>
      <c r="GM298" s="302"/>
      <c r="GN298" s="302"/>
      <c r="GO298" s="302"/>
      <c r="GP298" s="302"/>
      <c r="GQ298" s="302"/>
      <c r="GR298" s="302"/>
      <c r="GS298" s="302"/>
      <c r="GT298" s="302"/>
      <c r="GU298" s="302"/>
      <c r="GV298" s="302"/>
      <c r="GW298" s="302"/>
      <c r="GX298" s="302"/>
      <c r="GY298" s="302"/>
      <c r="GZ298" s="302"/>
      <c r="HA298" s="302"/>
      <c r="HB298" s="302"/>
      <c r="HC298" s="302"/>
      <c r="HD298" s="302"/>
      <c r="HE298" s="302"/>
      <c r="HF298" s="302"/>
      <c r="HG298" s="302"/>
      <c r="HH298" s="302"/>
      <c r="HI298" s="302"/>
      <c r="HJ298" s="302"/>
      <c r="HK298" s="302"/>
      <c r="HL298" s="302"/>
      <c r="HM298" s="302"/>
      <c r="HN298" s="302"/>
      <c r="HO298" s="302"/>
      <c r="HP298" s="302"/>
      <c r="HQ298" s="302"/>
      <c r="HR298" s="302"/>
      <c r="HS298" s="302"/>
      <c r="HT298" s="302"/>
      <c r="HU298" s="302"/>
      <c r="HV298" s="302"/>
      <c r="HW298" s="302"/>
      <c r="HX298" s="302"/>
      <c r="HY298" s="302"/>
      <c r="HZ298" s="302"/>
      <c r="IA298" s="302"/>
      <c r="IB298" s="302"/>
      <c r="IC298" s="302"/>
      <c r="ID298" s="302"/>
      <c r="IE298" s="302"/>
      <c r="IF298" s="302"/>
      <c r="IG298" s="302"/>
      <c r="IH298" s="302"/>
      <c r="II298" s="302"/>
      <c r="IJ298" s="302"/>
      <c r="IK298" s="302"/>
      <c r="IL298" s="302"/>
      <c r="IM298" s="302"/>
      <c r="IN298" s="302"/>
      <c r="IO298" s="302"/>
      <c r="IP298" s="302"/>
      <c r="IQ298" s="302"/>
      <c r="IR298" s="302"/>
      <c r="IS298" s="302"/>
      <c r="IT298" s="302"/>
      <c r="IU298" s="302"/>
      <c r="IV298" s="302"/>
      <c r="IW298" s="302"/>
      <c r="IX298" s="302"/>
      <c r="IY298" s="302"/>
      <c r="IZ298" s="302"/>
      <c r="JA298" s="302"/>
      <c r="JB298" s="302"/>
      <c r="JC298" s="302"/>
      <c r="JD298" s="302"/>
      <c r="JE298" s="302"/>
      <c r="JF298" s="302"/>
      <c r="JG298" s="302"/>
      <c r="JH298" s="302"/>
      <c r="JI298" s="302"/>
      <c r="JJ298" s="302"/>
      <c r="JK298" s="302"/>
      <c r="JL298" s="302"/>
      <c r="JM298" s="302"/>
      <c r="JN298" s="302"/>
      <c r="JO298" s="302"/>
      <c r="JP298" s="302"/>
      <c r="JQ298" s="302"/>
      <c r="JR298" s="302"/>
      <c r="JS298" s="302"/>
      <c r="JT298" s="302"/>
      <c r="JU298" s="302"/>
      <c r="JV298" s="302"/>
      <c r="JW298" s="302"/>
      <c r="JX298" s="302"/>
      <c r="JY298" s="302"/>
      <c r="JZ298" s="302"/>
      <c r="KA298" s="302"/>
      <c r="KB298" s="302"/>
      <c r="KC298" s="302"/>
      <c r="KD298" s="302"/>
      <c r="KE298" s="302"/>
      <c r="KF298" s="302"/>
      <c r="KG298" s="302"/>
      <c r="KH298" s="302"/>
      <c r="KI298" s="302"/>
      <c r="KJ298" s="302"/>
      <c r="KK298" s="302"/>
      <c r="KL298" s="302"/>
      <c r="KM298" s="302"/>
      <c r="KN298" s="302"/>
      <c r="KO298" s="302"/>
      <c r="KP298" s="302"/>
      <c r="KQ298" s="302"/>
      <c r="KR298" s="302"/>
      <c r="KS298" s="302"/>
      <c r="KT298" s="302"/>
      <c r="KU298" s="302"/>
      <c r="KV298" s="302"/>
      <c r="KW298" s="302"/>
      <c r="KX298" s="302"/>
      <c r="KY298" s="302"/>
      <c r="KZ298" s="302"/>
      <c r="LA298" s="302"/>
      <c r="LB298" s="302"/>
      <c r="LC298" s="302"/>
      <c r="LD298" s="302"/>
      <c r="LE298" s="302"/>
      <c r="LF298" s="302"/>
      <c r="LG298" s="302"/>
      <c r="LH298" s="302"/>
      <c r="LI298" s="302"/>
      <c r="LJ298" s="302"/>
      <c r="LK298" s="302"/>
      <c r="LL298" s="302"/>
      <c r="LM298" s="302"/>
      <c r="LN298" s="302"/>
      <c r="LO298" s="302"/>
      <c r="LP298" s="302"/>
      <c r="LQ298" s="302"/>
      <c r="LR298" s="302"/>
      <c r="LS298" s="302"/>
      <c r="LT298" s="302"/>
      <c r="LU298" s="302"/>
      <c r="LV298" s="302"/>
      <c r="LW298" s="302"/>
      <c r="LX298" s="302"/>
      <c r="LY298" s="302"/>
      <c r="LZ298" s="302"/>
      <c r="MA298" s="302"/>
      <c r="MB298" s="302"/>
      <c r="MC298" s="302"/>
      <c r="MD298" s="302"/>
      <c r="ME298" s="302"/>
      <c r="MF298" s="302"/>
      <c r="MG298" s="302"/>
      <c r="MH298" s="302"/>
      <c r="MI298" s="302"/>
      <c r="MJ298" s="302"/>
      <c r="MK298" s="302"/>
      <c r="ML298" s="302"/>
      <c r="MM298" s="302"/>
      <c r="MN298" s="302"/>
      <c r="MO298" s="302"/>
      <c r="MP298" s="302"/>
      <c r="MQ298" s="302"/>
      <c r="MR298" s="302"/>
      <c r="MS298" s="302"/>
      <c r="MT298" s="302"/>
      <c r="MU298" s="302"/>
      <c r="MV298" s="302"/>
      <c r="MW298" s="302"/>
      <c r="MX298" s="302"/>
      <c r="MY298" s="302"/>
      <c r="MZ298" s="302"/>
      <c r="NA298" s="302"/>
      <c r="NB298" s="302"/>
      <c r="NC298" s="302"/>
      <c r="ND298" s="302"/>
      <c r="NE298" s="302"/>
      <c r="NF298" s="302"/>
      <c r="NG298" s="302"/>
      <c r="NH298" s="302"/>
      <c r="NI298" s="302"/>
      <c r="NJ298" s="302"/>
      <c r="NK298" s="302"/>
      <c r="NL298" s="302"/>
      <c r="NM298" s="302"/>
      <c r="NN298" s="302"/>
      <c r="NO298" s="302"/>
      <c r="NP298" s="302"/>
      <c r="NQ298" s="302"/>
      <c r="NR298" s="302"/>
      <c r="NS298" s="302"/>
      <c r="NT298" s="302"/>
      <c r="NU298" s="302"/>
      <c r="NV298" s="302"/>
      <c r="NW298" s="302"/>
      <c r="NX298" s="302"/>
      <c r="NY298" s="302"/>
      <c r="NZ298" s="302"/>
      <c r="OA298" s="302"/>
      <c r="OB298" s="302"/>
      <c r="OC298" s="302"/>
      <c r="OD298" s="302"/>
      <c r="OE298" s="302"/>
      <c r="OF298" s="302"/>
      <c r="OG298" s="302"/>
      <c r="OH298" s="302"/>
      <c r="OI298" s="302"/>
      <c r="OJ298" s="302"/>
      <c r="OK298" s="302"/>
      <c r="OL298" s="302"/>
      <c r="OM298" s="302"/>
      <c r="ON298" s="302"/>
      <c r="OO298" s="302"/>
      <c r="OP298" s="302"/>
      <c r="OQ298" s="302"/>
      <c r="OR298" s="302"/>
      <c r="OS298" s="302"/>
      <c r="OT298" s="302"/>
      <c r="OU298" s="302"/>
      <c r="OV298" s="302"/>
      <c r="OW298" s="302"/>
      <c r="OX298" s="302"/>
      <c r="OY298" s="302"/>
      <c r="OZ298" s="302"/>
      <c r="PA298" s="302"/>
      <c r="PB298" s="302"/>
      <c r="PC298" s="302"/>
      <c r="PD298" s="302"/>
      <c r="PE298" s="302"/>
      <c r="PF298" s="302"/>
      <c r="PG298" s="302"/>
      <c r="PH298" s="302"/>
      <c r="PI298" s="302"/>
      <c r="PJ298" s="302"/>
      <c r="PK298" s="302"/>
      <c r="PL298" s="302"/>
      <c r="PM298" s="302"/>
      <c r="PN298" s="302"/>
      <c r="PO298" s="302"/>
      <c r="PP298" s="302"/>
      <c r="PQ298" s="302"/>
      <c r="PR298" s="302"/>
      <c r="PS298" s="302"/>
      <c r="PT298" s="302"/>
      <c r="PU298" s="302"/>
      <c r="PV298" s="302"/>
      <c r="PW298" s="302"/>
      <c r="PX298" s="302"/>
      <c r="PY298" s="302"/>
      <c r="PZ298" s="302"/>
      <c r="QA298" s="302"/>
      <c r="QB298" s="302"/>
      <c r="QC298" s="302"/>
      <c r="QD298" s="302"/>
      <c r="QE298" s="302"/>
      <c r="QF298" s="302"/>
      <c r="QG298" s="302"/>
      <c r="QH298" s="302"/>
      <c r="QI298" s="302"/>
      <c r="QJ298" s="302"/>
      <c r="QK298" s="302"/>
      <c r="QL298" s="302"/>
      <c r="QM298" s="302"/>
      <c r="QN298" s="302"/>
      <c r="QO298" s="302"/>
      <c r="QP298" s="302"/>
      <c r="QQ298" s="302"/>
      <c r="QR298" s="302"/>
      <c r="QS298" s="302"/>
      <c r="QT298" s="302"/>
      <c r="QU298" s="302"/>
      <c r="QV298" s="302"/>
      <c r="QW298" s="302"/>
      <c r="QX298" s="302"/>
      <c r="QY298" s="302"/>
      <c r="QZ298" s="302"/>
      <c r="RA298" s="302"/>
      <c r="RB298" s="302"/>
      <c r="RC298" s="302"/>
      <c r="RD298" s="302"/>
      <c r="RE298" s="302"/>
      <c r="RF298" s="302"/>
      <c r="RG298" s="302"/>
      <c r="RH298" s="302"/>
      <c r="RI298" s="302"/>
      <c r="RJ298" s="302"/>
      <c r="RK298" s="302"/>
      <c r="RL298" s="302"/>
      <c r="RM298" s="302"/>
      <c r="RN298" s="302"/>
      <c r="RO298" s="302"/>
      <c r="RP298" s="302"/>
      <c r="RQ298" s="302"/>
      <c r="RR298" s="302"/>
      <c r="RS298" s="302"/>
      <c r="RT298" s="302"/>
      <c r="RU298" s="302"/>
      <c r="RV298" s="302"/>
      <c r="RW298" s="302"/>
      <c r="RX298" s="302"/>
      <c r="RY298" s="302"/>
      <c r="RZ298" s="302"/>
      <c r="SA298" s="302"/>
      <c r="SB298" s="302"/>
      <c r="SC298" s="302"/>
      <c r="SD298" s="302"/>
      <c r="SE298" s="302"/>
      <c r="SF298" s="302"/>
      <c r="SG298" s="302"/>
      <c r="SH298" s="302"/>
      <c r="SI298" s="302"/>
      <c r="SJ298" s="302"/>
      <c r="SK298" s="302"/>
      <c r="SL298" s="302"/>
      <c r="SM298" s="302"/>
      <c r="SN298" s="302"/>
      <c r="SO298" s="302"/>
      <c r="SP298" s="302"/>
      <c r="SQ298" s="302"/>
      <c r="SR298" s="302"/>
      <c r="SS298" s="302"/>
      <c r="ST298" s="302"/>
      <c r="SU298" s="302"/>
      <c r="SV298" s="302"/>
      <c r="SW298" s="302"/>
      <c r="SX298" s="302"/>
      <c r="SY298" s="302"/>
      <c r="SZ298" s="302"/>
      <c r="TA298" s="302"/>
      <c r="TB298" s="302"/>
      <c r="TC298" s="302"/>
      <c r="TD298" s="302"/>
      <c r="TE298" s="302"/>
      <c r="TF298" s="302"/>
      <c r="TG298" s="302"/>
      <c r="TH298" s="302"/>
      <c r="TI298" s="302"/>
      <c r="TJ298" s="302"/>
      <c r="TK298" s="302"/>
      <c r="TL298" s="302"/>
      <c r="TM298" s="302"/>
      <c r="TN298" s="302"/>
      <c r="TO298" s="302"/>
      <c r="TP298" s="302"/>
      <c r="TQ298" s="302"/>
      <c r="TR298" s="302"/>
      <c r="TS298" s="302"/>
      <c r="TT298" s="302"/>
      <c r="TU298" s="302"/>
      <c r="TV298" s="302"/>
      <c r="TW298" s="302"/>
      <c r="TX298" s="302"/>
      <c r="TY298" s="302"/>
      <c r="TZ298" s="302"/>
      <c r="UA298" s="302"/>
      <c r="UB298" s="302"/>
      <c r="UC298" s="302"/>
      <c r="UD298" s="302"/>
      <c r="UE298" s="302"/>
      <c r="UF298" s="302"/>
      <c r="UG298" s="302"/>
      <c r="UH298" s="302"/>
      <c r="UI298" s="302"/>
      <c r="UJ298" s="302"/>
      <c r="UK298" s="302"/>
      <c r="UL298" s="302"/>
      <c r="UM298" s="302"/>
      <c r="UN298" s="302"/>
      <c r="UO298" s="302"/>
      <c r="UP298" s="302"/>
      <c r="UQ298" s="302"/>
      <c r="UR298" s="302"/>
      <c r="US298" s="302"/>
      <c r="UT298" s="302"/>
      <c r="UU298" s="302"/>
      <c r="UV298" s="302"/>
      <c r="UW298" s="302"/>
      <c r="UX298" s="302"/>
      <c r="UY298" s="302"/>
      <c r="UZ298" s="302"/>
      <c r="VA298" s="302"/>
      <c r="VB298" s="302"/>
      <c r="VC298" s="302"/>
      <c r="VD298" s="302"/>
      <c r="VE298" s="302"/>
      <c r="VF298" s="302"/>
      <c r="VG298" s="302"/>
      <c r="VH298" s="302"/>
      <c r="VI298" s="302"/>
      <c r="VJ298" s="302"/>
      <c r="VK298" s="302"/>
      <c r="VL298" s="302"/>
      <c r="VM298" s="302"/>
      <c r="VN298" s="302"/>
      <c r="VO298" s="302"/>
      <c r="VP298" s="302"/>
      <c r="VQ298" s="302"/>
      <c r="VR298" s="302"/>
      <c r="VS298" s="302"/>
      <c r="VT298" s="302"/>
      <c r="VU298" s="302"/>
      <c r="VV298" s="302"/>
      <c r="VW298" s="302"/>
      <c r="VX298" s="302"/>
      <c r="VY298" s="302"/>
      <c r="VZ298" s="302"/>
      <c r="WA298" s="302"/>
      <c r="WB298" s="302"/>
      <c r="WC298" s="302"/>
      <c r="WD298" s="302"/>
      <c r="WE298" s="302"/>
      <c r="WF298" s="302"/>
      <c r="WG298" s="302"/>
      <c r="WH298" s="302"/>
      <c r="WI298" s="302"/>
      <c r="WJ298" s="302"/>
      <c r="WK298" s="302"/>
      <c r="WL298" s="302"/>
      <c r="WM298" s="302"/>
      <c r="WN298" s="302"/>
      <c r="WO298" s="302"/>
      <c r="WP298" s="302"/>
      <c r="WQ298" s="302"/>
      <c r="WR298" s="302"/>
      <c r="WS298" s="302"/>
      <c r="WT298" s="302"/>
      <c r="WU298" s="302"/>
      <c r="WV298" s="302"/>
      <c r="WW298" s="302"/>
      <c r="WX298" s="302"/>
      <c r="WY298" s="302"/>
      <c r="WZ298" s="302"/>
      <c r="XA298" s="302"/>
      <c r="XB298" s="302"/>
      <c r="XC298" s="302"/>
      <c r="XD298" s="302"/>
      <c r="XE298" s="302"/>
      <c r="XF298" s="302"/>
      <c r="XG298" s="302"/>
      <c r="XH298" s="302"/>
      <c r="XI298" s="302"/>
      <c r="XJ298" s="302"/>
      <c r="XK298" s="302"/>
      <c r="XL298" s="302"/>
      <c r="XM298" s="302"/>
      <c r="XN298" s="302"/>
      <c r="XO298" s="302"/>
      <c r="XP298" s="302"/>
      <c r="XQ298" s="302"/>
      <c r="XR298" s="302"/>
      <c r="XS298" s="302"/>
      <c r="XT298" s="302"/>
      <c r="XU298" s="302"/>
      <c r="XV298" s="302"/>
      <c r="XW298" s="302"/>
      <c r="XX298" s="302"/>
      <c r="XY298" s="302"/>
      <c r="XZ298" s="302"/>
      <c r="YA298" s="302"/>
      <c r="YB298" s="302"/>
      <c r="YC298" s="302"/>
      <c r="YD298" s="302"/>
      <c r="YE298" s="302"/>
      <c r="YF298" s="302"/>
      <c r="YG298" s="302"/>
      <c r="YH298" s="302"/>
      <c r="YI298" s="302"/>
      <c r="YJ298" s="302"/>
      <c r="YK298" s="302"/>
      <c r="YL298" s="302"/>
      <c r="YM298" s="302"/>
      <c r="YN298" s="302"/>
      <c r="YO298" s="302"/>
      <c r="YP298" s="302"/>
      <c r="YQ298" s="302"/>
      <c r="YR298" s="302"/>
      <c r="YS298" s="302"/>
      <c r="YT298" s="302"/>
      <c r="YU298" s="302"/>
      <c r="YV298" s="302"/>
      <c r="YW298" s="302"/>
      <c r="YX298" s="302"/>
      <c r="YY298" s="302"/>
      <c r="YZ298" s="302"/>
      <c r="ZA298" s="302"/>
      <c r="ZB298" s="302"/>
      <c r="ZC298" s="302"/>
      <c r="ZD298" s="302"/>
      <c r="ZE298" s="302"/>
      <c r="ZF298" s="302"/>
      <c r="ZG298" s="302"/>
      <c r="ZH298" s="302"/>
      <c r="ZI298" s="302"/>
      <c r="ZJ298" s="302"/>
      <c r="ZK298" s="302"/>
      <c r="ZL298" s="302"/>
      <c r="ZM298" s="302"/>
      <c r="ZN298" s="302"/>
      <c r="ZO298" s="302"/>
      <c r="ZP298" s="302"/>
      <c r="ZQ298" s="302"/>
      <c r="ZR298" s="302"/>
      <c r="ZS298" s="302"/>
      <c r="ZT298" s="302"/>
      <c r="ZU298" s="302"/>
      <c r="ZV298" s="302"/>
      <c r="ZW298" s="302"/>
      <c r="ZX298" s="302"/>
      <c r="ZY298" s="302"/>
      <c r="ZZ298" s="302"/>
      <c r="AAA298" s="302"/>
      <c r="AAB298" s="302"/>
      <c r="AAC298" s="302"/>
      <c r="AAD298" s="302"/>
      <c r="AAE298" s="302"/>
      <c r="AAF298" s="302"/>
      <c r="AAG298" s="302"/>
      <c r="AAH298" s="302"/>
      <c r="AAI298" s="302"/>
      <c r="AAJ298" s="302"/>
      <c r="AAK298" s="302"/>
      <c r="AAL298" s="302"/>
      <c r="AAM298" s="302"/>
      <c r="AAN298" s="302"/>
      <c r="AAO298" s="302"/>
      <c r="AAP298" s="302"/>
      <c r="AAQ298" s="302"/>
      <c r="AAR298" s="302"/>
      <c r="AAS298" s="302"/>
      <c r="AAT298" s="302"/>
      <c r="AAU298" s="302"/>
      <c r="AAV298" s="302"/>
      <c r="AAW298" s="302"/>
      <c r="AAX298" s="302"/>
      <c r="AAY298" s="302"/>
      <c r="AAZ298" s="302"/>
      <c r="ABA298" s="302"/>
      <c r="ABB298" s="302"/>
      <c r="ABC298" s="302"/>
      <c r="ABD298" s="302"/>
      <c r="ABE298" s="302"/>
      <c r="ABF298" s="302"/>
      <c r="ABG298" s="302"/>
      <c r="ABH298" s="302"/>
      <c r="ABI298" s="302"/>
      <c r="ABJ298" s="302"/>
      <c r="ABK298" s="302"/>
      <c r="ABL298" s="302"/>
      <c r="ABM298" s="302"/>
      <c r="ABN298" s="302"/>
      <c r="ABO298" s="302"/>
      <c r="ABP298" s="302"/>
      <c r="ABQ298" s="302"/>
      <c r="ABR298" s="302"/>
      <c r="ABS298" s="302"/>
      <c r="ABT298" s="302"/>
      <c r="ABU298" s="302"/>
      <c r="ABV298" s="302"/>
      <c r="ABW298" s="302"/>
      <c r="ABX298" s="302"/>
      <c r="ABY298" s="302"/>
      <c r="ABZ298" s="302"/>
      <c r="ACA298" s="302"/>
      <c r="ACB298" s="302"/>
      <c r="ACC298" s="302"/>
      <c r="ACD298" s="302"/>
      <c r="ACE298" s="302"/>
      <c r="ACF298" s="302"/>
      <c r="ACG298" s="302"/>
      <c r="ACH298" s="302"/>
      <c r="ACI298" s="302"/>
      <c r="ACJ298" s="302"/>
      <c r="ACK298" s="302"/>
      <c r="ACL298" s="302"/>
      <c r="ACM298" s="302"/>
      <c r="ACN298" s="302"/>
      <c r="ACO298" s="302"/>
      <c r="ACP298" s="302"/>
      <c r="ACQ298" s="302"/>
      <c r="ACR298" s="302"/>
      <c r="ACS298" s="302"/>
      <c r="ACT298" s="302"/>
      <c r="ACU298" s="302"/>
      <c r="ACV298" s="302"/>
      <c r="ACW298" s="302"/>
      <c r="ACX298" s="302"/>
      <c r="ACY298" s="302"/>
      <c r="ACZ298" s="302"/>
      <c r="ADA298" s="302"/>
      <c r="ADB298" s="302"/>
      <c r="ADC298" s="302"/>
      <c r="ADD298" s="302"/>
      <c r="ADE298" s="302"/>
      <c r="ADF298" s="302"/>
      <c r="ADG298" s="302"/>
      <c r="ADH298" s="302"/>
      <c r="ADI298" s="302"/>
      <c r="ADJ298" s="302"/>
      <c r="ADK298" s="302"/>
      <c r="ADL298" s="302"/>
      <c r="ADM298" s="302"/>
      <c r="ADN298" s="302"/>
      <c r="ADO298" s="302"/>
      <c r="ADP298" s="302"/>
      <c r="ADQ298" s="302"/>
      <c r="ADR298" s="302"/>
      <c r="ADS298" s="302"/>
      <c r="ADT298" s="302"/>
      <c r="ADU298" s="302"/>
      <c r="ADV298" s="302"/>
      <c r="ADW298" s="302"/>
      <c r="ADX298" s="302"/>
      <c r="ADY298" s="302"/>
      <c r="ADZ298" s="302"/>
      <c r="AEA298" s="302"/>
      <c r="AEB298" s="302"/>
      <c r="AEC298" s="302"/>
      <c r="AED298" s="302"/>
      <c r="AEE298" s="302"/>
      <c r="AEF298" s="302"/>
      <c r="AEG298" s="302"/>
      <c r="AEH298" s="302"/>
      <c r="AEI298" s="302"/>
      <c r="AEJ298" s="302"/>
      <c r="AEK298" s="302"/>
      <c r="AEL298" s="302"/>
      <c r="AEM298" s="302"/>
      <c r="AEN298" s="302"/>
      <c r="AEO298" s="302"/>
      <c r="AEP298" s="302"/>
      <c r="AEQ298" s="302"/>
      <c r="AER298" s="302"/>
      <c r="AES298" s="302"/>
      <c r="AET298" s="302"/>
      <c r="AEU298" s="302"/>
      <c r="AEV298" s="302"/>
      <c r="AEW298" s="302"/>
      <c r="AEX298" s="302"/>
      <c r="AEY298" s="302"/>
      <c r="AEZ298" s="302"/>
      <c r="AFA298" s="302"/>
      <c r="AFB298" s="302"/>
      <c r="AFC298" s="302"/>
      <c r="AFD298" s="302"/>
      <c r="AFE298" s="302"/>
      <c r="AFF298" s="302"/>
      <c r="AFG298" s="302"/>
      <c r="AFH298" s="302"/>
      <c r="AFI298" s="302"/>
      <c r="AFJ298" s="302"/>
      <c r="AFK298" s="302"/>
      <c r="AFL298" s="302"/>
      <c r="AFM298" s="302"/>
      <c r="AFN298" s="302"/>
      <c r="AFO298" s="302"/>
      <c r="AFP298" s="302"/>
      <c r="AFQ298" s="302"/>
      <c r="AFR298" s="302"/>
      <c r="AFS298" s="302"/>
      <c r="AFT298" s="302"/>
      <c r="AFU298" s="302"/>
      <c r="AFV298" s="302"/>
      <c r="AFW298" s="302"/>
      <c r="AFX298" s="302"/>
      <c r="AFY298" s="302"/>
      <c r="AFZ298" s="302"/>
      <c r="AGA298" s="302"/>
      <c r="AGB298" s="302"/>
      <c r="AGC298" s="302"/>
      <c r="AGD298" s="302"/>
      <c r="AGE298" s="302"/>
      <c r="AGF298" s="302"/>
      <c r="AGG298" s="302"/>
      <c r="AGH298" s="302"/>
      <c r="AGI298" s="302"/>
      <c r="AGJ298" s="302"/>
      <c r="AGK298" s="302"/>
      <c r="AGL298" s="302"/>
      <c r="AGM298" s="302"/>
      <c r="AGN298" s="302"/>
      <c r="AGO298" s="302"/>
      <c r="AGP298" s="302"/>
      <c r="AGQ298" s="302"/>
      <c r="AGR298" s="302"/>
      <c r="AGS298" s="302"/>
      <c r="AGT298" s="302"/>
      <c r="AGU298" s="302"/>
      <c r="AGV298" s="302"/>
      <c r="AGW298" s="302"/>
      <c r="AGX298" s="302"/>
      <c r="AGY298" s="302"/>
      <c r="AGZ298" s="302"/>
      <c r="AHA298" s="302"/>
      <c r="AHB298" s="302"/>
      <c r="AHC298" s="302"/>
      <c r="AHD298" s="302"/>
      <c r="AHE298" s="302"/>
      <c r="AHF298" s="302"/>
      <c r="AHG298" s="302"/>
      <c r="AHH298" s="302"/>
      <c r="AHI298" s="302"/>
      <c r="AHJ298" s="302"/>
      <c r="AHK298" s="302"/>
      <c r="AHL298" s="302"/>
      <c r="AHM298" s="302"/>
      <c r="AHN298" s="302"/>
      <c r="AHO298" s="302"/>
      <c r="AHP298" s="302"/>
      <c r="AHQ298" s="302"/>
      <c r="AHR298" s="302"/>
      <c r="AHS298" s="302"/>
      <c r="AHT298" s="302"/>
      <c r="AHU298" s="302"/>
      <c r="AHV298" s="302"/>
      <c r="AHW298" s="302"/>
      <c r="AHX298" s="302"/>
      <c r="AHY298" s="302"/>
      <c r="AHZ298" s="302"/>
      <c r="AIA298" s="302"/>
      <c r="AIB298" s="302"/>
      <c r="AIC298" s="302"/>
      <c r="AID298" s="302"/>
      <c r="AIE298" s="302"/>
      <c r="AIF298" s="302"/>
      <c r="AIG298" s="302"/>
      <c r="AIH298" s="302"/>
      <c r="AII298" s="302"/>
      <c r="AIJ298" s="302"/>
      <c r="AIK298" s="302"/>
      <c r="AIL298" s="302"/>
      <c r="AIM298" s="302"/>
      <c r="AIN298" s="302"/>
      <c r="AIO298" s="302"/>
      <c r="AIP298" s="302"/>
      <c r="AIQ298" s="302"/>
      <c r="AIR298" s="302"/>
      <c r="AIS298" s="302"/>
      <c r="AIT298" s="302"/>
      <c r="AIU298" s="302"/>
      <c r="AIV298" s="302"/>
      <c r="AIW298" s="302"/>
      <c r="AIX298" s="302"/>
      <c r="AIY298" s="302"/>
      <c r="AIZ298" s="302"/>
      <c r="AJA298" s="302"/>
      <c r="AJB298" s="302"/>
      <c r="AJC298" s="302"/>
      <c r="AJD298" s="302"/>
      <c r="AJE298" s="302"/>
      <c r="AJF298" s="302"/>
      <c r="AJG298" s="302"/>
      <c r="AJH298" s="302"/>
      <c r="AJI298" s="302"/>
      <c r="AJJ298" s="302"/>
      <c r="AJK298" s="302"/>
      <c r="AJL298" s="302"/>
      <c r="AJM298" s="302"/>
      <c r="AJN298" s="302"/>
      <c r="AJO298" s="302"/>
      <c r="AJP298" s="302"/>
      <c r="AJQ298" s="302"/>
      <c r="AJR298" s="302"/>
      <c r="AJS298" s="302"/>
      <c r="AJT298" s="302"/>
      <c r="AJU298" s="302"/>
      <c r="AJV298" s="302"/>
      <c r="AJW298" s="302"/>
      <c r="AJX298" s="302"/>
      <c r="AJY298" s="302"/>
      <c r="AJZ298" s="302"/>
      <c r="AKA298" s="302"/>
      <c r="AKB298" s="302"/>
      <c r="AKC298" s="302"/>
      <c r="AKD298" s="302"/>
      <c r="AKE298" s="302"/>
      <c r="AKF298" s="302"/>
      <c r="AKG298" s="302"/>
      <c r="AKH298" s="302"/>
      <c r="AKI298" s="302"/>
      <c r="AKJ298" s="302"/>
      <c r="AKK298" s="302"/>
      <c r="AKL298" s="302"/>
      <c r="AKM298" s="302"/>
      <c r="AKN298" s="302"/>
      <c r="AKO298" s="302"/>
      <c r="AKP298" s="302"/>
      <c r="AKQ298" s="302"/>
      <c r="AKR298" s="302"/>
      <c r="AKS298" s="302"/>
      <c r="AKT298" s="302"/>
      <c r="AKU298" s="302"/>
      <c r="AKV298" s="302"/>
      <c r="AKW298" s="302"/>
      <c r="AKX298" s="302"/>
      <c r="AKY298" s="302"/>
      <c r="AKZ298" s="302"/>
      <c r="ALA298" s="302"/>
      <c r="ALB298" s="302"/>
      <c r="ALC298" s="302"/>
      <c r="ALD298" s="302"/>
      <c r="ALE298" s="302"/>
      <c r="ALF298" s="302"/>
      <c r="ALG298" s="302"/>
      <c r="ALH298" s="302"/>
      <c r="ALI298" s="302"/>
      <c r="ALJ298" s="302"/>
      <c r="ALK298" s="302"/>
      <c r="ALL298" s="302"/>
      <c r="ALM298" s="302"/>
      <c r="ALN298" s="302"/>
      <c r="ALO298" s="302"/>
      <c r="ALP298" s="302"/>
      <c r="ALQ298" s="302"/>
      <c r="ALR298" s="302"/>
      <c r="ALS298" s="302"/>
      <c r="ALT298" s="302"/>
      <c r="ALU298" s="302"/>
      <c r="ALV298" s="302"/>
      <c r="ALW298" s="302"/>
      <c r="ALX298" s="302"/>
      <c r="ALY298" s="302"/>
      <c r="ALZ298" s="302"/>
      <c r="AMA298" s="302"/>
      <c r="AMB298" s="302"/>
      <c r="AMC298" s="302"/>
      <c r="AMD298" s="302"/>
      <c r="AME298" s="302"/>
      <c r="AMF298" s="302"/>
      <c r="AMG298" s="302"/>
      <c r="AMH298" s="302"/>
      <c r="AMI298" s="302"/>
    </row>
    <row r="299" spans="1:1023" hidden="1">
      <c r="A299" s="302"/>
      <c r="B299" s="502">
        <v>14139</v>
      </c>
      <c r="C299" s="458">
        <v>0.1</v>
      </c>
      <c r="D299" s="459" t="s">
        <v>178</v>
      </c>
      <c r="E299" s="528">
        <v>4200000</v>
      </c>
      <c r="F299" s="532">
        <v>2.5000000000000001E-2</v>
      </c>
      <c r="G299" s="364">
        <f t="shared" si="17"/>
        <v>105000</v>
      </c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  <c r="AD299" s="302"/>
      <c r="AE299" s="302"/>
      <c r="AF299" s="302"/>
      <c r="AG299" s="302"/>
      <c r="AH299" s="302"/>
      <c r="AI299" s="302"/>
      <c r="AJ299" s="302"/>
      <c r="AK299" s="302"/>
      <c r="AL299" s="302"/>
      <c r="AM299" s="302"/>
      <c r="AN299" s="302"/>
      <c r="AO299" s="302"/>
      <c r="AP299" s="302"/>
      <c r="AQ299" s="302"/>
      <c r="AR299" s="302"/>
      <c r="AS299" s="302"/>
      <c r="AT299" s="302"/>
      <c r="AU299" s="302"/>
      <c r="AV299" s="302"/>
      <c r="AW299" s="302"/>
      <c r="AX299" s="302"/>
      <c r="AY299" s="302"/>
      <c r="AZ299" s="302"/>
      <c r="BA299" s="302"/>
      <c r="BB299" s="302"/>
      <c r="BC299" s="302"/>
      <c r="BD299" s="302"/>
      <c r="BE299" s="302"/>
      <c r="BF299" s="302"/>
      <c r="BG299" s="302"/>
      <c r="BH299" s="302"/>
      <c r="BI299" s="302"/>
      <c r="BJ299" s="302"/>
      <c r="BK299" s="302"/>
      <c r="BL299" s="302"/>
      <c r="BM299" s="302"/>
      <c r="BN299" s="302"/>
      <c r="BO299" s="302"/>
      <c r="BP299" s="302"/>
      <c r="BQ299" s="302"/>
      <c r="BR299" s="302"/>
      <c r="BS299" s="302"/>
      <c r="BT299" s="302"/>
      <c r="BU299" s="302"/>
      <c r="BV299" s="302"/>
      <c r="BW299" s="302"/>
      <c r="BX299" s="302"/>
      <c r="BY299" s="302"/>
      <c r="BZ299" s="302"/>
      <c r="CA299" s="302"/>
      <c r="CB299" s="302"/>
      <c r="CC299" s="302"/>
      <c r="CD299" s="302"/>
      <c r="CE299" s="302"/>
      <c r="CF299" s="302"/>
      <c r="CG299" s="302"/>
      <c r="CH299" s="302"/>
      <c r="CI299" s="302"/>
      <c r="CJ299" s="302"/>
      <c r="CK299" s="302"/>
      <c r="CL299" s="302"/>
      <c r="CM299" s="302"/>
      <c r="CN299" s="302"/>
      <c r="CO299" s="302"/>
      <c r="CP299" s="302"/>
      <c r="CQ299" s="302"/>
      <c r="CR299" s="302"/>
      <c r="CS299" s="302"/>
      <c r="CT299" s="302"/>
      <c r="CU299" s="302"/>
      <c r="CV299" s="302"/>
      <c r="CW299" s="302"/>
      <c r="CX299" s="302"/>
      <c r="CY299" s="302"/>
      <c r="CZ299" s="302"/>
      <c r="DA299" s="302"/>
      <c r="DB299" s="302"/>
      <c r="DC299" s="302"/>
      <c r="DD299" s="302"/>
      <c r="DE299" s="302"/>
      <c r="DF299" s="302"/>
      <c r="DG299" s="302"/>
      <c r="DH299" s="302"/>
      <c r="DI299" s="302"/>
      <c r="DJ299" s="302"/>
      <c r="DK299" s="302"/>
      <c r="DL299" s="302"/>
      <c r="DM299" s="302"/>
      <c r="DN299" s="302"/>
      <c r="DO299" s="302"/>
      <c r="DP299" s="302"/>
      <c r="DQ299" s="302"/>
      <c r="DR299" s="302"/>
      <c r="DS299" s="302"/>
      <c r="DT299" s="302"/>
      <c r="DU299" s="302"/>
      <c r="DV299" s="302"/>
      <c r="DW299" s="302"/>
      <c r="DX299" s="302"/>
      <c r="DY299" s="302"/>
      <c r="DZ299" s="302"/>
      <c r="EA299" s="302"/>
      <c r="EB299" s="302"/>
      <c r="EC299" s="302"/>
      <c r="ED299" s="302"/>
      <c r="EE299" s="302"/>
      <c r="EF299" s="302"/>
      <c r="EG299" s="302"/>
      <c r="EH299" s="302"/>
      <c r="EI299" s="302"/>
      <c r="EJ299" s="302"/>
      <c r="EK299" s="302"/>
      <c r="EL299" s="302"/>
      <c r="EM299" s="302"/>
      <c r="EN299" s="302"/>
      <c r="EO299" s="302"/>
      <c r="EP299" s="302"/>
      <c r="EQ299" s="302"/>
      <c r="ER299" s="302"/>
      <c r="ES299" s="302"/>
      <c r="ET299" s="302"/>
      <c r="EU299" s="302"/>
      <c r="EV299" s="302"/>
      <c r="EW299" s="302"/>
      <c r="EX299" s="302"/>
      <c r="EY299" s="302"/>
      <c r="EZ299" s="302"/>
      <c r="FA299" s="302"/>
      <c r="FB299" s="302"/>
      <c r="FC299" s="302"/>
      <c r="FD299" s="302"/>
      <c r="FE299" s="302"/>
      <c r="FF299" s="302"/>
      <c r="FG299" s="302"/>
      <c r="FH299" s="302"/>
      <c r="FI299" s="302"/>
      <c r="FJ299" s="302"/>
      <c r="FK299" s="302"/>
      <c r="FL299" s="302"/>
      <c r="FM299" s="302"/>
      <c r="FN299" s="302"/>
      <c r="FO299" s="302"/>
      <c r="FP299" s="302"/>
      <c r="FQ299" s="302"/>
      <c r="FR299" s="302"/>
      <c r="FS299" s="302"/>
      <c r="FT299" s="302"/>
      <c r="FU299" s="302"/>
      <c r="FV299" s="302"/>
      <c r="FW299" s="302"/>
      <c r="FX299" s="302"/>
      <c r="FY299" s="302"/>
      <c r="FZ299" s="302"/>
      <c r="GA299" s="302"/>
      <c r="GB299" s="302"/>
      <c r="GC299" s="302"/>
      <c r="GD299" s="302"/>
      <c r="GE299" s="302"/>
      <c r="GF299" s="302"/>
      <c r="GG299" s="302"/>
      <c r="GH299" s="302"/>
      <c r="GI299" s="302"/>
      <c r="GJ299" s="302"/>
      <c r="GK299" s="302"/>
      <c r="GL299" s="302"/>
      <c r="GM299" s="302"/>
      <c r="GN299" s="302"/>
      <c r="GO299" s="302"/>
      <c r="GP299" s="302"/>
      <c r="GQ299" s="302"/>
      <c r="GR299" s="302"/>
      <c r="GS299" s="302"/>
      <c r="GT299" s="302"/>
      <c r="GU299" s="302"/>
      <c r="GV299" s="302"/>
      <c r="GW299" s="302"/>
      <c r="GX299" s="302"/>
      <c r="GY299" s="302"/>
      <c r="GZ299" s="302"/>
      <c r="HA299" s="302"/>
      <c r="HB299" s="302"/>
      <c r="HC299" s="302"/>
      <c r="HD299" s="302"/>
      <c r="HE299" s="302"/>
      <c r="HF299" s="302"/>
      <c r="HG299" s="302"/>
      <c r="HH299" s="302"/>
      <c r="HI299" s="302"/>
      <c r="HJ299" s="302"/>
      <c r="HK299" s="302"/>
      <c r="HL299" s="302"/>
      <c r="HM299" s="302"/>
      <c r="HN299" s="302"/>
      <c r="HO299" s="302"/>
      <c r="HP299" s="302"/>
      <c r="HQ299" s="302"/>
      <c r="HR299" s="302"/>
      <c r="HS299" s="302"/>
      <c r="HT299" s="302"/>
      <c r="HU299" s="302"/>
      <c r="HV299" s="302"/>
      <c r="HW299" s="302"/>
      <c r="HX299" s="302"/>
      <c r="HY299" s="302"/>
      <c r="HZ299" s="302"/>
      <c r="IA299" s="302"/>
      <c r="IB299" s="302"/>
      <c r="IC299" s="302"/>
      <c r="ID299" s="302"/>
      <c r="IE299" s="302"/>
      <c r="IF299" s="302"/>
      <c r="IG299" s="302"/>
      <c r="IH299" s="302"/>
      <c r="II299" s="302"/>
      <c r="IJ299" s="302"/>
      <c r="IK299" s="302"/>
      <c r="IL299" s="302"/>
      <c r="IM299" s="302"/>
      <c r="IN299" s="302"/>
      <c r="IO299" s="302"/>
      <c r="IP299" s="302"/>
      <c r="IQ299" s="302"/>
      <c r="IR299" s="302"/>
      <c r="IS299" s="302"/>
      <c r="IT299" s="302"/>
      <c r="IU299" s="302"/>
      <c r="IV299" s="302"/>
      <c r="IW299" s="302"/>
      <c r="IX299" s="302"/>
      <c r="IY299" s="302"/>
      <c r="IZ299" s="302"/>
      <c r="JA299" s="302"/>
      <c r="JB299" s="302"/>
      <c r="JC299" s="302"/>
      <c r="JD299" s="302"/>
      <c r="JE299" s="302"/>
      <c r="JF299" s="302"/>
      <c r="JG299" s="302"/>
      <c r="JH299" s="302"/>
      <c r="JI299" s="302"/>
      <c r="JJ299" s="302"/>
      <c r="JK299" s="302"/>
      <c r="JL299" s="302"/>
      <c r="JM299" s="302"/>
      <c r="JN299" s="302"/>
      <c r="JO299" s="302"/>
      <c r="JP299" s="302"/>
      <c r="JQ299" s="302"/>
      <c r="JR299" s="302"/>
      <c r="JS299" s="302"/>
      <c r="JT299" s="302"/>
      <c r="JU299" s="302"/>
      <c r="JV299" s="302"/>
      <c r="JW299" s="302"/>
      <c r="JX299" s="302"/>
      <c r="JY299" s="302"/>
      <c r="JZ299" s="302"/>
      <c r="KA299" s="302"/>
      <c r="KB299" s="302"/>
      <c r="KC299" s="302"/>
      <c r="KD299" s="302"/>
      <c r="KE299" s="302"/>
      <c r="KF299" s="302"/>
      <c r="KG299" s="302"/>
      <c r="KH299" s="302"/>
      <c r="KI299" s="302"/>
      <c r="KJ299" s="302"/>
      <c r="KK299" s="302"/>
      <c r="KL299" s="302"/>
      <c r="KM299" s="302"/>
      <c r="KN299" s="302"/>
      <c r="KO299" s="302"/>
      <c r="KP299" s="302"/>
      <c r="KQ299" s="302"/>
      <c r="KR299" s="302"/>
      <c r="KS299" s="302"/>
      <c r="KT299" s="302"/>
      <c r="KU299" s="302"/>
      <c r="KV299" s="302"/>
      <c r="KW299" s="302"/>
      <c r="KX299" s="302"/>
      <c r="KY299" s="302"/>
      <c r="KZ299" s="302"/>
      <c r="LA299" s="302"/>
      <c r="LB299" s="302"/>
      <c r="LC299" s="302"/>
      <c r="LD299" s="302"/>
      <c r="LE299" s="302"/>
      <c r="LF299" s="302"/>
      <c r="LG299" s="302"/>
      <c r="LH299" s="302"/>
      <c r="LI299" s="302"/>
      <c r="LJ299" s="302"/>
      <c r="LK299" s="302"/>
      <c r="LL299" s="302"/>
      <c r="LM299" s="302"/>
      <c r="LN299" s="302"/>
      <c r="LO299" s="302"/>
      <c r="LP299" s="302"/>
      <c r="LQ299" s="302"/>
      <c r="LR299" s="302"/>
      <c r="LS299" s="302"/>
      <c r="LT299" s="302"/>
      <c r="LU299" s="302"/>
      <c r="LV299" s="302"/>
      <c r="LW299" s="302"/>
      <c r="LX299" s="302"/>
      <c r="LY299" s="302"/>
      <c r="LZ299" s="302"/>
      <c r="MA299" s="302"/>
      <c r="MB299" s="302"/>
      <c r="MC299" s="302"/>
      <c r="MD299" s="302"/>
      <c r="ME299" s="302"/>
      <c r="MF299" s="302"/>
      <c r="MG299" s="302"/>
      <c r="MH299" s="302"/>
      <c r="MI299" s="302"/>
      <c r="MJ299" s="302"/>
      <c r="MK299" s="302"/>
      <c r="ML299" s="302"/>
      <c r="MM299" s="302"/>
      <c r="MN299" s="302"/>
      <c r="MO299" s="302"/>
      <c r="MP299" s="302"/>
      <c r="MQ299" s="302"/>
      <c r="MR299" s="302"/>
      <c r="MS299" s="302"/>
      <c r="MT299" s="302"/>
      <c r="MU299" s="302"/>
      <c r="MV299" s="302"/>
      <c r="MW299" s="302"/>
      <c r="MX299" s="302"/>
      <c r="MY299" s="302"/>
      <c r="MZ299" s="302"/>
      <c r="NA299" s="302"/>
      <c r="NB299" s="302"/>
      <c r="NC299" s="302"/>
      <c r="ND299" s="302"/>
      <c r="NE299" s="302"/>
      <c r="NF299" s="302"/>
      <c r="NG299" s="302"/>
      <c r="NH299" s="302"/>
      <c r="NI299" s="302"/>
      <c r="NJ299" s="302"/>
      <c r="NK299" s="302"/>
      <c r="NL299" s="302"/>
      <c r="NM299" s="302"/>
      <c r="NN299" s="302"/>
      <c r="NO299" s="302"/>
      <c r="NP299" s="302"/>
      <c r="NQ299" s="302"/>
      <c r="NR299" s="302"/>
      <c r="NS299" s="302"/>
      <c r="NT299" s="302"/>
      <c r="NU299" s="302"/>
      <c r="NV299" s="302"/>
      <c r="NW299" s="302"/>
      <c r="NX299" s="302"/>
      <c r="NY299" s="302"/>
      <c r="NZ299" s="302"/>
      <c r="OA299" s="302"/>
      <c r="OB299" s="302"/>
      <c r="OC299" s="302"/>
      <c r="OD299" s="302"/>
      <c r="OE299" s="302"/>
      <c r="OF299" s="302"/>
      <c r="OG299" s="302"/>
      <c r="OH299" s="302"/>
      <c r="OI299" s="302"/>
      <c r="OJ299" s="302"/>
      <c r="OK299" s="302"/>
      <c r="OL299" s="302"/>
      <c r="OM299" s="302"/>
      <c r="ON299" s="302"/>
      <c r="OO299" s="302"/>
      <c r="OP299" s="302"/>
      <c r="OQ299" s="302"/>
      <c r="OR299" s="302"/>
      <c r="OS299" s="302"/>
      <c r="OT299" s="302"/>
      <c r="OU299" s="302"/>
      <c r="OV299" s="302"/>
      <c r="OW299" s="302"/>
      <c r="OX299" s="302"/>
      <c r="OY299" s="302"/>
      <c r="OZ299" s="302"/>
      <c r="PA299" s="302"/>
      <c r="PB299" s="302"/>
      <c r="PC299" s="302"/>
      <c r="PD299" s="302"/>
      <c r="PE299" s="302"/>
      <c r="PF299" s="302"/>
      <c r="PG299" s="302"/>
      <c r="PH299" s="302"/>
      <c r="PI299" s="302"/>
      <c r="PJ299" s="302"/>
      <c r="PK299" s="302"/>
      <c r="PL299" s="302"/>
      <c r="PM299" s="302"/>
      <c r="PN299" s="302"/>
      <c r="PO299" s="302"/>
      <c r="PP299" s="302"/>
      <c r="PQ299" s="302"/>
      <c r="PR299" s="302"/>
      <c r="PS299" s="302"/>
      <c r="PT299" s="302"/>
      <c r="PU299" s="302"/>
      <c r="PV299" s="302"/>
      <c r="PW299" s="302"/>
      <c r="PX299" s="302"/>
      <c r="PY299" s="302"/>
      <c r="PZ299" s="302"/>
      <c r="QA299" s="302"/>
      <c r="QB299" s="302"/>
      <c r="QC299" s="302"/>
      <c r="QD299" s="302"/>
      <c r="QE299" s="302"/>
      <c r="QF299" s="302"/>
      <c r="QG299" s="302"/>
      <c r="QH299" s="302"/>
      <c r="QI299" s="302"/>
      <c r="QJ299" s="302"/>
      <c r="QK299" s="302"/>
      <c r="QL299" s="302"/>
      <c r="QM299" s="302"/>
      <c r="QN299" s="302"/>
      <c r="QO299" s="302"/>
      <c r="QP299" s="302"/>
      <c r="QQ299" s="302"/>
      <c r="QR299" s="302"/>
      <c r="QS299" s="302"/>
      <c r="QT299" s="302"/>
      <c r="QU299" s="302"/>
      <c r="QV299" s="302"/>
      <c r="QW299" s="302"/>
      <c r="QX299" s="302"/>
      <c r="QY299" s="302"/>
      <c r="QZ299" s="302"/>
      <c r="RA299" s="302"/>
      <c r="RB299" s="302"/>
      <c r="RC299" s="302"/>
      <c r="RD299" s="302"/>
      <c r="RE299" s="302"/>
      <c r="RF299" s="302"/>
      <c r="RG299" s="302"/>
      <c r="RH299" s="302"/>
      <c r="RI299" s="302"/>
      <c r="RJ299" s="302"/>
      <c r="RK299" s="302"/>
      <c r="RL299" s="302"/>
      <c r="RM299" s="302"/>
      <c r="RN299" s="302"/>
      <c r="RO299" s="302"/>
      <c r="RP299" s="302"/>
      <c r="RQ299" s="302"/>
      <c r="RR299" s="302"/>
      <c r="RS299" s="302"/>
      <c r="RT299" s="302"/>
      <c r="RU299" s="302"/>
      <c r="RV299" s="302"/>
      <c r="RW299" s="302"/>
      <c r="RX299" s="302"/>
      <c r="RY299" s="302"/>
      <c r="RZ299" s="302"/>
      <c r="SA299" s="302"/>
      <c r="SB299" s="302"/>
      <c r="SC299" s="302"/>
      <c r="SD299" s="302"/>
      <c r="SE299" s="302"/>
      <c r="SF299" s="302"/>
      <c r="SG299" s="302"/>
      <c r="SH299" s="302"/>
      <c r="SI299" s="302"/>
      <c r="SJ299" s="302"/>
      <c r="SK299" s="302"/>
      <c r="SL299" s="302"/>
      <c r="SM299" s="302"/>
      <c r="SN299" s="302"/>
      <c r="SO299" s="302"/>
      <c r="SP299" s="302"/>
      <c r="SQ299" s="302"/>
      <c r="SR299" s="302"/>
      <c r="SS299" s="302"/>
      <c r="ST299" s="302"/>
      <c r="SU299" s="302"/>
      <c r="SV299" s="302"/>
      <c r="SW299" s="302"/>
      <c r="SX299" s="302"/>
      <c r="SY299" s="302"/>
      <c r="SZ299" s="302"/>
      <c r="TA299" s="302"/>
      <c r="TB299" s="302"/>
      <c r="TC299" s="302"/>
      <c r="TD299" s="302"/>
      <c r="TE299" s="302"/>
      <c r="TF299" s="302"/>
      <c r="TG299" s="302"/>
      <c r="TH299" s="302"/>
      <c r="TI299" s="302"/>
      <c r="TJ299" s="302"/>
      <c r="TK299" s="302"/>
      <c r="TL299" s="302"/>
      <c r="TM299" s="302"/>
      <c r="TN299" s="302"/>
      <c r="TO299" s="302"/>
      <c r="TP299" s="302"/>
      <c r="TQ299" s="302"/>
      <c r="TR299" s="302"/>
      <c r="TS299" s="302"/>
      <c r="TT299" s="302"/>
      <c r="TU299" s="302"/>
      <c r="TV299" s="302"/>
      <c r="TW299" s="302"/>
      <c r="TX299" s="302"/>
      <c r="TY299" s="302"/>
      <c r="TZ299" s="302"/>
      <c r="UA299" s="302"/>
      <c r="UB299" s="302"/>
      <c r="UC299" s="302"/>
      <c r="UD299" s="302"/>
      <c r="UE299" s="302"/>
      <c r="UF299" s="302"/>
      <c r="UG299" s="302"/>
      <c r="UH299" s="302"/>
      <c r="UI299" s="302"/>
      <c r="UJ299" s="302"/>
      <c r="UK299" s="302"/>
      <c r="UL299" s="302"/>
      <c r="UM299" s="302"/>
      <c r="UN299" s="302"/>
      <c r="UO299" s="302"/>
      <c r="UP299" s="302"/>
      <c r="UQ299" s="302"/>
      <c r="UR299" s="302"/>
      <c r="US299" s="302"/>
      <c r="UT299" s="302"/>
      <c r="UU299" s="302"/>
      <c r="UV299" s="302"/>
      <c r="UW299" s="302"/>
      <c r="UX299" s="302"/>
      <c r="UY299" s="302"/>
      <c r="UZ299" s="302"/>
      <c r="VA299" s="302"/>
      <c r="VB299" s="302"/>
      <c r="VC299" s="302"/>
      <c r="VD299" s="302"/>
      <c r="VE299" s="302"/>
      <c r="VF299" s="302"/>
      <c r="VG299" s="302"/>
      <c r="VH299" s="302"/>
      <c r="VI299" s="302"/>
      <c r="VJ299" s="302"/>
      <c r="VK299" s="302"/>
      <c r="VL299" s="302"/>
      <c r="VM299" s="302"/>
      <c r="VN299" s="302"/>
      <c r="VO299" s="302"/>
      <c r="VP299" s="302"/>
      <c r="VQ299" s="302"/>
      <c r="VR299" s="302"/>
      <c r="VS299" s="302"/>
      <c r="VT299" s="302"/>
      <c r="VU299" s="302"/>
      <c r="VV299" s="302"/>
      <c r="VW299" s="302"/>
      <c r="VX299" s="302"/>
      <c r="VY299" s="302"/>
      <c r="VZ299" s="302"/>
      <c r="WA299" s="302"/>
      <c r="WB299" s="302"/>
      <c r="WC299" s="302"/>
      <c r="WD299" s="302"/>
      <c r="WE299" s="302"/>
      <c r="WF299" s="302"/>
      <c r="WG299" s="302"/>
      <c r="WH299" s="302"/>
      <c r="WI299" s="302"/>
      <c r="WJ299" s="302"/>
      <c r="WK299" s="302"/>
      <c r="WL299" s="302"/>
      <c r="WM299" s="302"/>
      <c r="WN299" s="302"/>
      <c r="WO299" s="302"/>
      <c r="WP299" s="302"/>
      <c r="WQ299" s="302"/>
      <c r="WR299" s="302"/>
      <c r="WS299" s="302"/>
      <c r="WT299" s="302"/>
      <c r="WU299" s="302"/>
      <c r="WV299" s="302"/>
      <c r="WW299" s="302"/>
      <c r="WX299" s="302"/>
      <c r="WY299" s="302"/>
      <c r="WZ299" s="302"/>
      <c r="XA299" s="302"/>
      <c r="XB299" s="302"/>
      <c r="XC299" s="302"/>
      <c r="XD299" s="302"/>
      <c r="XE299" s="302"/>
      <c r="XF299" s="302"/>
      <c r="XG299" s="302"/>
      <c r="XH299" s="302"/>
      <c r="XI299" s="302"/>
      <c r="XJ299" s="302"/>
      <c r="XK299" s="302"/>
      <c r="XL299" s="302"/>
      <c r="XM299" s="302"/>
      <c r="XN299" s="302"/>
      <c r="XO299" s="302"/>
      <c r="XP299" s="302"/>
      <c r="XQ299" s="302"/>
      <c r="XR299" s="302"/>
      <c r="XS299" s="302"/>
      <c r="XT299" s="302"/>
      <c r="XU299" s="302"/>
      <c r="XV299" s="302"/>
      <c r="XW299" s="302"/>
      <c r="XX299" s="302"/>
      <c r="XY299" s="302"/>
      <c r="XZ299" s="302"/>
      <c r="YA299" s="302"/>
      <c r="YB299" s="302"/>
      <c r="YC299" s="302"/>
      <c r="YD299" s="302"/>
      <c r="YE299" s="302"/>
      <c r="YF299" s="302"/>
      <c r="YG299" s="302"/>
      <c r="YH299" s="302"/>
      <c r="YI299" s="302"/>
      <c r="YJ299" s="302"/>
      <c r="YK299" s="302"/>
      <c r="YL299" s="302"/>
      <c r="YM299" s="302"/>
      <c r="YN299" s="302"/>
      <c r="YO299" s="302"/>
      <c r="YP299" s="302"/>
      <c r="YQ299" s="302"/>
      <c r="YR299" s="302"/>
      <c r="YS299" s="302"/>
      <c r="YT299" s="302"/>
      <c r="YU299" s="302"/>
      <c r="YV299" s="302"/>
      <c r="YW299" s="302"/>
      <c r="YX299" s="302"/>
      <c r="YY299" s="302"/>
      <c r="YZ299" s="302"/>
      <c r="ZA299" s="302"/>
      <c r="ZB299" s="302"/>
      <c r="ZC299" s="302"/>
      <c r="ZD299" s="302"/>
      <c r="ZE299" s="302"/>
      <c r="ZF299" s="302"/>
      <c r="ZG299" s="302"/>
      <c r="ZH299" s="302"/>
      <c r="ZI299" s="302"/>
      <c r="ZJ299" s="302"/>
      <c r="ZK299" s="302"/>
      <c r="ZL299" s="302"/>
      <c r="ZM299" s="302"/>
      <c r="ZN299" s="302"/>
      <c r="ZO299" s="302"/>
      <c r="ZP299" s="302"/>
      <c r="ZQ299" s="302"/>
      <c r="ZR299" s="302"/>
      <c r="ZS299" s="302"/>
      <c r="ZT299" s="302"/>
      <c r="ZU299" s="302"/>
      <c r="ZV299" s="302"/>
      <c r="ZW299" s="302"/>
      <c r="ZX299" s="302"/>
      <c r="ZY299" s="302"/>
      <c r="ZZ299" s="302"/>
      <c r="AAA299" s="302"/>
      <c r="AAB299" s="302"/>
      <c r="AAC299" s="302"/>
      <c r="AAD299" s="302"/>
      <c r="AAE299" s="302"/>
      <c r="AAF299" s="302"/>
      <c r="AAG299" s="302"/>
      <c r="AAH299" s="302"/>
      <c r="AAI299" s="302"/>
      <c r="AAJ299" s="302"/>
      <c r="AAK299" s="302"/>
      <c r="AAL299" s="302"/>
      <c r="AAM299" s="302"/>
      <c r="AAN299" s="302"/>
      <c r="AAO299" s="302"/>
      <c r="AAP299" s="302"/>
      <c r="AAQ299" s="302"/>
      <c r="AAR299" s="302"/>
      <c r="AAS299" s="302"/>
      <c r="AAT299" s="302"/>
      <c r="AAU299" s="302"/>
      <c r="AAV299" s="302"/>
      <c r="AAW299" s="302"/>
      <c r="AAX299" s="302"/>
      <c r="AAY299" s="302"/>
      <c r="AAZ299" s="302"/>
      <c r="ABA299" s="302"/>
      <c r="ABB299" s="302"/>
      <c r="ABC299" s="302"/>
      <c r="ABD299" s="302"/>
      <c r="ABE299" s="302"/>
      <c r="ABF299" s="302"/>
      <c r="ABG299" s="302"/>
      <c r="ABH299" s="302"/>
      <c r="ABI299" s="302"/>
      <c r="ABJ299" s="302"/>
      <c r="ABK299" s="302"/>
      <c r="ABL299" s="302"/>
      <c r="ABM299" s="302"/>
      <c r="ABN299" s="302"/>
      <c r="ABO299" s="302"/>
      <c r="ABP299" s="302"/>
      <c r="ABQ299" s="302"/>
      <c r="ABR299" s="302"/>
      <c r="ABS299" s="302"/>
      <c r="ABT299" s="302"/>
      <c r="ABU299" s="302"/>
      <c r="ABV299" s="302"/>
      <c r="ABW299" s="302"/>
      <c r="ABX299" s="302"/>
      <c r="ABY299" s="302"/>
      <c r="ABZ299" s="302"/>
      <c r="ACA299" s="302"/>
      <c r="ACB299" s="302"/>
      <c r="ACC299" s="302"/>
      <c r="ACD299" s="302"/>
      <c r="ACE299" s="302"/>
      <c r="ACF299" s="302"/>
      <c r="ACG299" s="302"/>
      <c r="ACH299" s="302"/>
      <c r="ACI299" s="302"/>
      <c r="ACJ299" s="302"/>
      <c r="ACK299" s="302"/>
      <c r="ACL299" s="302"/>
      <c r="ACM299" s="302"/>
      <c r="ACN299" s="302"/>
      <c r="ACO299" s="302"/>
      <c r="ACP299" s="302"/>
      <c r="ACQ299" s="302"/>
      <c r="ACR299" s="302"/>
      <c r="ACS299" s="302"/>
      <c r="ACT299" s="302"/>
      <c r="ACU299" s="302"/>
      <c r="ACV299" s="302"/>
      <c r="ACW299" s="302"/>
      <c r="ACX299" s="302"/>
      <c r="ACY299" s="302"/>
      <c r="ACZ299" s="302"/>
      <c r="ADA299" s="302"/>
      <c r="ADB299" s="302"/>
      <c r="ADC299" s="302"/>
      <c r="ADD299" s="302"/>
      <c r="ADE299" s="302"/>
      <c r="ADF299" s="302"/>
      <c r="ADG299" s="302"/>
      <c r="ADH299" s="302"/>
      <c r="ADI299" s="302"/>
      <c r="ADJ299" s="302"/>
      <c r="ADK299" s="302"/>
      <c r="ADL299" s="302"/>
      <c r="ADM299" s="302"/>
      <c r="ADN299" s="302"/>
      <c r="ADO299" s="302"/>
      <c r="ADP299" s="302"/>
      <c r="ADQ299" s="302"/>
      <c r="ADR299" s="302"/>
      <c r="ADS299" s="302"/>
      <c r="ADT299" s="302"/>
      <c r="ADU299" s="302"/>
      <c r="ADV299" s="302"/>
      <c r="ADW299" s="302"/>
      <c r="ADX299" s="302"/>
      <c r="ADY299" s="302"/>
      <c r="ADZ299" s="302"/>
      <c r="AEA299" s="302"/>
      <c r="AEB299" s="302"/>
      <c r="AEC299" s="302"/>
      <c r="AED299" s="302"/>
      <c r="AEE299" s="302"/>
      <c r="AEF299" s="302"/>
      <c r="AEG299" s="302"/>
      <c r="AEH299" s="302"/>
      <c r="AEI299" s="302"/>
      <c r="AEJ299" s="302"/>
      <c r="AEK299" s="302"/>
      <c r="AEL299" s="302"/>
      <c r="AEM299" s="302"/>
      <c r="AEN299" s="302"/>
      <c r="AEO299" s="302"/>
      <c r="AEP299" s="302"/>
      <c r="AEQ299" s="302"/>
      <c r="AER299" s="302"/>
      <c r="AES299" s="302"/>
      <c r="AET299" s="302"/>
      <c r="AEU299" s="302"/>
      <c r="AEV299" s="302"/>
      <c r="AEW299" s="302"/>
      <c r="AEX299" s="302"/>
      <c r="AEY299" s="302"/>
      <c r="AEZ299" s="302"/>
      <c r="AFA299" s="302"/>
      <c r="AFB299" s="302"/>
      <c r="AFC299" s="302"/>
      <c r="AFD299" s="302"/>
      <c r="AFE299" s="302"/>
      <c r="AFF299" s="302"/>
      <c r="AFG299" s="302"/>
      <c r="AFH299" s="302"/>
      <c r="AFI299" s="302"/>
      <c r="AFJ299" s="302"/>
      <c r="AFK299" s="302"/>
      <c r="AFL299" s="302"/>
      <c r="AFM299" s="302"/>
      <c r="AFN299" s="302"/>
      <c r="AFO299" s="302"/>
      <c r="AFP299" s="302"/>
      <c r="AFQ299" s="302"/>
      <c r="AFR299" s="302"/>
      <c r="AFS299" s="302"/>
      <c r="AFT299" s="302"/>
      <c r="AFU299" s="302"/>
      <c r="AFV299" s="302"/>
      <c r="AFW299" s="302"/>
      <c r="AFX299" s="302"/>
      <c r="AFY299" s="302"/>
      <c r="AFZ299" s="302"/>
      <c r="AGA299" s="302"/>
      <c r="AGB299" s="302"/>
      <c r="AGC299" s="302"/>
      <c r="AGD299" s="302"/>
      <c r="AGE299" s="302"/>
      <c r="AGF299" s="302"/>
      <c r="AGG299" s="302"/>
      <c r="AGH299" s="302"/>
      <c r="AGI299" s="302"/>
      <c r="AGJ299" s="302"/>
      <c r="AGK299" s="302"/>
      <c r="AGL299" s="302"/>
      <c r="AGM299" s="302"/>
      <c r="AGN299" s="302"/>
      <c r="AGO299" s="302"/>
      <c r="AGP299" s="302"/>
      <c r="AGQ299" s="302"/>
      <c r="AGR299" s="302"/>
      <c r="AGS299" s="302"/>
      <c r="AGT299" s="302"/>
      <c r="AGU299" s="302"/>
      <c r="AGV299" s="302"/>
      <c r="AGW299" s="302"/>
      <c r="AGX299" s="302"/>
      <c r="AGY299" s="302"/>
      <c r="AGZ299" s="302"/>
      <c r="AHA299" s="302"/>
      <c r="AHB299" s="302"/>
      <c r="AHC299" s="302"/>
      <c r="AHD299" s="302"/>
      <c r="AHE299" s="302"/>
      <c r="AHF299" s="302"/>
      <c r="AHG299" s="302"/>
      <c r="AHH299" s="302"/>
      <c r="AHI299" s="302"/>
      <c r="AHJ299" s="302"/>
      <c r="AHK299" s="302"/>
      <c r="AHL299" s="302"/>
      <c r="AHM299" s="302"/>
      <c r="AHN299" s="302"/>
      <c r="AHO299" s="302"/>
      <c r="AHP299" s="302"/>
      <c r="AHQ299" s="302"/>
      <c r="AHR299" s="302"/>
      <c r="AHS299" s="302"/>
      <c r="AHT299" s="302"/>
      <c r="AHU299" s="302"/>
      <c r="AHV299" s="302"/>
      <c r="AHW299" s="302"/>
      <c r="AHX299" s="302"/>
      <c r="AHY299" s="302"/>
      <c r="AHZ299" s="302"/>
      <c r="AIA299" s="302"/>
      <c r="AIB299" s="302"/>
      <c r="AIC299" s="302"/>
      <c r="AID299" s="302"/>
      <c r="AIE299" s="302"/>
      <c r="AIF299" s="302"/>
      <c r="AIG299" s="302"/>
      <c r="AIH299" s="302"/>
      <c r="AII299" s="302"/>
      <c r="AIJ299" s="302"/>
      <c r="AIK299" s="302"/>
      <c r="AIL299" s="302"/>
      <c r="AIM299" s="302"/>
      <c r="AIN299" s="302"/>
      <c r="AIO299" s="302"/>
      <c r="AIP299" s="302"/>
      <c r="AIQ299" s="302"/>
      <c r="AIR299" s="302"/>
      <c r="AIS299" s="302"/>
      <c r="AIT299" s="302"/>
      <c r="AIU299" s="302"/>
      <c r="AIV299" s="302"/>
      <c r="AIW299" s="302"/>
      <c r="AIX299" s="302"/>
      <c r="AIY299" s="302"/>
      <c r="AIZ299" s="302"/>
      <c r="AJA299" s="302"/>
      <c r="AJB299" s="302"/>
      <c r="AJC299" s="302"/>
      <c r="AJD299" s="302"/>
      <c r="AJE299" s="302"/>
      <c r="AJF299" s="302"/>
      <c r="AJG299" s="302"/>
      <c r="AJH299" s="302"/>
      <c r="AJI299" s="302"/>
      <c r="AJJ299" s="302"/>
      <c r="AJK299" s="302"/>
      <c r="AJL299" s="302"/>
      <c r="AJM299" s="302"/>
      <c r="AJN299" s="302"/>
      <c r="AJO299" s="302"/>
      <c r="AJP299" s="302"/>
      <c r="AJQ299" s="302"/>
      <c r="AJR299" s="302"/>
      <c r="AJS299" s="302"/>
      <c r="AJT299" s="302"/>
      <c r="AJU299" s="302"/>
      <c r="AJV299" s="302"/>
      <c r="AJW299" s="302"/>
      <c r="AJX299" s="302"/>
      <c r="AJY299" s="302"/>
      <c r="AJZ299" s="302"/>
      <c r="AKA299" s="302"/>
      <c r="AKB299" s="302"/>
      <c r="AKC299" s="302"/>
      <c r="AKD299" s="302"/>
      <c r="AKE299" s="302"/>
      <c r="AKF299" s="302"/>
      <c r="AKG299" s="302"/>
      <c r="AKH299" s="302"/>
      <c r="AKI299" s="302"/>
      <c r="AKJ299" s="302"/>
      <c r="AKK299" s="302"/>
      <c r="AKL299" s="302"/>
      <c r="AKM299" s="302"/>
      <c r="AKN299" s="302"/>
      <c r="AKO299" s="302"/>
      <c r="AKP299" s="302"/>
      <c r="AKQ299" s="302"/>
      <c r="AKR299" s="302"/>
      <c r="AKS299" s="302"/>
      <c r="AKT299" s="302"/>
      <c r="AKU299" s="302"/>
      <c r="AKV299" s="302"/>
      <c r="AKW299" s="302"/>
      <c r="AKX299" s="302"/>
      <c r="AKY299" s="302"/>
      <c r="AKZ299" s="302"/>
      <c r="ALA299" s="302"/>
      <c r="ALB299" s="302"/>
      <c r="ALC299" s="302"/>
      <c r="ALD299" s="302"/>
      <c r="ALE299" s="302"/>
      <c r="ALF299" s="302"/>
      <c r="ALG299" s="302"/>
      <c r="ALH299" s="302"/>
      <c r="ALI299" s="302"/>
      <c r="ALJ299" s="302"/>
      <c r="ALK299" s="302"/>
      <c r="ALL299" s="302"/>
      <c r="ALM299" s="302"/>
      <c r="ALN299" s="302"/>
      <c r="ALO299" s="302"/>
      <c r="ALP299" s="302"/>
      <c r="ALQ299" s="302"/>
      <c r="ALR299" s="302"/>
      <c r="ALS299" s="302"/>
      <c r="ALT299" s="302"/>
      <c r="ALU299" s="302"/>
      <c r="ALV299" s="302"/>
      <c r="ALW299" s="302"/>
      <c r="ALX299" s="302"/>
      <c r="ALY299" s="302"/>
      <c r="ALZ299" s="302"/>
      <c r="AMA299" s="302"/>
      <c r="AMB299" s="302"/>
      <c r="AMC299" s="302"/>
      <c r="AMD299" s="302"/>
      <c r="AME299" s="302"/>
      <c r="AMF299" s="302"/>
      <c r="AMG299" s="302"/>
      <c r="AMH299" s="302"/>
      <c r="AMI299" s="302"/>
    </row>
    <row r="300" spans="1:1023" hidden="1">
      <c r="A300" s="302"/>
      <c r="B300" s="442">
        <v>14262</v>
      </c>
      <c r="C300" s="430">
        <v>0.08</v>
      </c>
      <c r="D300" s="370" t="s">
        <v>181</v>
      </c>
      <c r="E300" s="433">
        <v>3900000</v>
      </c>
      <c r="F300" s="500">
        <v>0.02</v>
      </c>
      <c r="G300" s="364">
        <f t="shared" si="17"/>
        <v>78000</v>
      </c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  <c r="AD300" s="302"/>
      <c r="AE300" s="302"/>
      <c r="AF300" s="302"/>
      <c r="AG300" s="302"/>
      <c r="AH300" s="302"/>
      <c r="AI300" s="302"/>
      <c r="AJ300" s="302"/>
      <c r="AK300" s="302"/>
      <c r="AL300" s="302"/>
      <c r="AM300" s="302"/>
      <c r="AN300" s="302"/>
      <c r="AO300" s="302"/>
      <c r="AP300" s="302"/>
      <c r="AQ300" s="302"/>
      <c r="AR300" s="302"/>
      <c r="AS300" s="302"/>
      <c r="AT300" s="302"/>
      <c r="AU300" s="302"/>
      <c r="AV300" s="302"/>
      <c r="AW300" s="302"/>
      <c r="AX300" s="302"/>
      <c r="AY300" s="302"/>
      <c r="AZ300" s="302"/>
      <c r="BA300" s="302"/>
      <c r="BB300" s="302"/>
      <c r="BC300" s="302"/>
      <c r="BD300" s="302"/>
      <c r="BE300" s="302"/>
      <c r="BF300" s="302"/>
      <c r="BG300" s="302"/>
      <c r="BH300" s="302"/>
      <c r="BI300" s="302"/>
      <c r="BJ300" s="302"/>
      <c r="BK300" s="302"/>
      <c r="BL300" s="302"/>
      <c r="BM300" s="302"/>
      <c r="BN300" s="302"/>
      <c r="BO300" s="302"/>
      <c r="BP300" s="302"/>
      <c r="BQ300" s="302"/>
      <c r="BR300" s="302"/>
      <c r="BS300" s="302"/>
      <c r="BT300" s="302"/>
      <c r="BU300" s="302"/>
      <c r="BV300" s="302"/>
      <c r="BW300" s="302"/>
      <c r="BX300" s="302"/>
      <c r="BY300" s="302"/>
      <c r="BZ300" s="302"/>
      <c r="CA300" s="302"/>
      <c r="CB300" s="302"/>
      <c r="CC300" s="302"/>
      <c r="CD300" s="302"/>
      <c r="CE300" s="302"/>
      <c r="CF300" s="302"/>
      <c r="CG300" s="302"/>
      <c r="CH300" s="302"/>
      <c r="CI300" s="302"/>
      <c r="CJ300" s="302"/>
      <c r="CK300" s="302"/>
      <c r="CL300" s="302"/>
      <c r="CM300" s="302"/>
      <c r="CN300" s="302"/>
      <c r="CO300" s="302"/>
      <c r="CP300" s="302"/>
      <c r="CQ300" s="302"/>
      <c r="CR300" s="302"/>
      <c r="CS300" s="302"/>
      <c r="CT300" s="302"/>
      <c r="CU300" s="302"/>
      <c r="CV300" s="302"/>
      <c r="CW300" s="302"/>
      <c r="CX300" s="302"/>
      <c r="CY300" s="302"/>
      <c r="CZ300" s="302"/>
      <c r="DA300" s="302"/>
      <c r="DB300" s="302"/>
      <c r="DC300" s="302"/>
      <c r="DD300" s="302"/>
      <c r="DE300" s="302"/>
      <c r="DF300" s="302"/>
      <c r="DG300" s="302"/>
      <c r="DH300" s="302"/>
      <c r="DI300" s="302"/>
      <c r="DJ300" s="302"/>
      <c r="DK300" s="302"/>
      <c r="DL300" s="302"/>
      <c r="DM300" s="302"/>
      <c r="DN300" s="302"/>
      <c r="DO300" s="302"/>
      <c r="DP300" s="302"/>
      <c r="DQ300" s="302"/>
      <c r="DR300" s="302"/>
      <c r="DS300" s="302"/>
      <c r="DT300" s="302"/>
      <c r="DU300" s="302"/>
      <c r="DV300" s="302"/>
      <c r="DW300" s="302"/>
      <c r="DX300" s="302"/>
      <c r="DY300" s="302"/>
      <c r="DZ300" s="302"/>
      <c r="EA300" s="302"/>
      <c r="EB300" s="302"/>
      <c r="EC300" s="302"/>
      <c r="ED300" s="302"/>
      <c r="EE300" s="302"/>
      <c r="EF300" s="302"/>
      <c r="EG300" s="302"/>
      <c r="EH300" s="302"/>
      <c r="EI300" s="302"/>
      <c r="EJ300" s="302"/>
      <c r="EK300" s="302"/>
      <c r="EL300" s="302"/>
      <c r="EM300" s="302"/>
      <c r="EN300" s="302"/>
      <c r="EO300" s="302"/>
      <c r="EP300" s="302"/>
      <c r="EQ300" s="302"/>
      <c r="ER300" s="302"/>
      <c r="ES300" s="302"/>
      <c r="ET300" s="302"/>
      <c r="EU300" s="302"/>
      <c r="EV300" s="302"/>
      <c r="EW300" s="302"/>
      <c r="EX300" s="302"/>
      <c r="EY300" s="302"/>
      <c r="EZ300" s="302"/>
      <c r="FA300" s="302"/>
      <c r="FB300" s="302"/>
      <c r="FC300" s="302"/>
      <c r="FD300" s="302"/>
      <c r="FE300" s="302"/>
      <c r="FF300" s="302"/>
      <c r="FG300" s="302"/>
      <c r="FH300" s="302"/>
      <c r="FI300" s="302"/>
      <c r="FJ300" s="302"/>
      <c r="FK300" s="302"/>
      <c r="FL300" s="302"/>
      <c r="FM300" s="302"/>
      <c r="FN300" s="302"/>
      <c r="FO300" s="302"/>
      <c r="FP300" s="302"/>
      <c r="FQ300" s="302"/>
      <c r="FR300" s="302"/>
      <c r="FS300" s="302"/>
      <c r="FT300" s="302"/>
      <c r="FU300" s="302"/>
      <c r="FV300" s="302"/>
      <c r="FW300" s="302"/>
      <c r="FX300" s="302"/>
      <c r="FY300" s="302"/>
      <c r="FZ300" s="302"/>
      <c r="GA300" s="302"/>
      <c r="GB300" s="302"/>
      <c r="GC300" s="302"/>
      <c r="GD300" s="302"/>
      <c r="GE300" s="302"/>
      <c r="GF300" s="302"/>
      <c r="GG300" s="302"/>
      <c r="GH300" s="302"/>
      <c r="GI300" s="302"/>
      <c r="GJ300" s="302"/>
      <c r="GK300" s="302"/>
      <c r="GL300" s="302"/>
      <c r="GM300" s="302"/>
      <c r="GN300" s="302"/>
      <c r="GO300" s="302"/>
      <c r="GP300" s="302"/>
      <c r="GQ300" s="302"/>
      <c r="GR300" s="302"/>
      <c r="GS300" s="302"/>
      <c r="GT300" s="302"/>
      <c r="GU300" s="302"/>
      <c r="GV300" s="302"/>
      <c r="GW300" s="302"/>
      <c r="GX300" s="302"/>
      <c r="GY300" s="302"/>
      <c r="GZ300" s="302"/>
      <c r="HA300" s="302"/>
      <c r="HB300" s="302"/>
      <c r="HC300" s="302"/>
      <c r="HD300" s="302"/>
      <c r="HE300" s="302"/>
      <c r="HF300" s="302"/>
      <c r="HG300" s="302"/>
      <c r="HH300" s="302"/>
      <c r="HI300" s="302"/>
      <c r="HJ300" s="302"/>
      <c r="HK300" s="302"/>
      <c r="HL300" s="302"/>
      <c r="HM300" s="302"/>
      <c r="HN300" s="302"/>
      <c r="HO300" s="302"/>
      <c r="HP300" s="302"/>
      <c r="HQ300" s="302"/>
      <c r="HR300" s="302"/>
      <c r="HS300" s="302"/>
      <c r="HT300" s="302"/>
      <c r="HU300" s="302"/>
      <c r="HV300" s="302"/>
      <c r="HW300" s="302"/>
      <c r="HX300" s="302"/>
      <c r="HY300" s="302"/>
      <c r="HZ300" s="302"/>
      <c r="IA300" s="302"/>
      <c r="IB300" s="302"/>
      <c r="IC300" s="302"/>
      <c r="ID300" s="302"/>
      <c r="IE300" s="302"/>
      <c r="IF300" s="302"/>
      <c r="IG300" s="302"/>
      <c r="IH300" s="302"/>
      <c r="II300" s="302"/>
      <c r="IJ300" s="302"/>
      <c r="IK300" s="302"/>
      <c r="IL300" s="302"/>
      <c r="IM300" s="302"/>
      <c r="IN300" s="302"/>
      <c r="IO300" s="302"/>
      <c r="IP300" s="302"/>
      <c r="IQ300" s="302"/>
      <c r="IR300" s="302"/>
      <c r="IS300" s="302"/>
      <c r="IT300" s="302"/>
      <c r="IU300" s="302"/>
      <c r="IV300" s="302"/>
      <c r="IW300" s="302"/>
      <c r="IX300" s="302"/>
      <c r="IY300" s="302"/>
      <c r="IZ300" s="302"/>
      <c r="JA300" s="302"/>
      <c r="JB300" s="302"/>
      <c r="JC300" s="302"/>
      <c r="JD300" s="302"/>
      <c r="JE300" s="302"/>
      <c r="JF300" s="302"/>
      <c r="JG300" s="302"/>
      <c r="JH300" s="302"/>
      <c r="JI300" s="302"/>
      <c r="JJ300" s="302"/>
      <c r="JK300" s="302"/>
      <c r="JL300" s="302"/>
      <c r="JM300" s="302"/>
      <c r="JN300" s="302"/>
      <c r="JO300" s="302"/>
      <c r="JP300" s="302"/>
      <c r="JQ300" s="302"/>
      <c r="JR300" s="302"/>
      <c r="JS300" s="302"/>
      <c r="JT300" s="302"/>
      <c r="JU300" s="302"/>
      <c r="JV300" s="302"/>
      <c r="JW300" s="302"/>
      <c r="JX300" s="302"/>
      <c r="JY300" s="302"/>
      <c r="JZ300" s="302"/>
      <c r="KA300" s="302"/>
      <c r="KB300" s="302"/>
      <c r="KC300" s="302"/>
      <c r="KD300" s="302"/>
      <c r="KE300" s="302"/>
      <c r="KF300" s="302"/>
      <c r="KG300" s="302"/>
      <c r="KH300" s="302"/>
      <c r="KI300" s="302"/>
      <c r="KJ300" s="302"/>
      <c r="KK300" s="302"/>
      <c r="KL300" s="302"/>
      <c r="KM300" s="302"/>
      <c r="KN300" s="302"/>
      <c r="KO300" s="302"/>
      <c r="KP300" s="302"/>
      <c r="KQ300" s="302"/>
      <c r="KR300" s="302"/>
      <c r="KS300" s="302"/>
      <c r="KT300" s="302"/>
      <c r="KU300" s="302"/>
      <c r="KV300" s="302"/>
      <c r="KW300" s="302"/>
      <c r="KX300" s="302"/>
      <c r="KY300" s="302"/>
      <c r="KZ300" s="302"/>
      <c r="LA300" s="302"/>
      <c r="LB300" s="302"/>
      <c r="LC300" s="302"/>
      <c r="LD300" s="302"/>
      <c r="LE300" s="302"/>
      <c r="LF300" s="302"/>
      <c r="LG300" s="302"/>
      <c r="LH300" s="302"/>
      <c r="LI300" s="302"/>
      <c r="LJ300" s="302"/>
      <c r="LK300" s="302"/>
      <c r="LL300" s="302"/>
      <c r="LM300" s="302"/>
      <c r="LN300" s="302"/>
      <c r="LO300" s="302"/>
      <c r="LP300" s="302"/>
      <c r="LQ300" s="302"/>
      <c r="LR300" s="302"/>
      <c r="LS300" s="302"/>
      <c r="LT300" s="302"/>
      <c r="LU300" s="302"/>
      <c r="LV300" s="302"/>
      <c r="LW300" s="302"/>
      <c r="LX300" s="302"/>
      <c r="LY300" s="302"/>
      <c r="LZ300" s="302"/>
      <c r="MA300" s="302"/>
      <c r="MB300" s="302"/>
      <c r="MC300" s="302"/>
      <c r="MD300" s="302"/>
      <c r="ME300" s="302"/>
      <c r="MF300" s="302"/>
      <c r="MG300" s="302"/>
      <c r="MH300" s="302"/>
      <c r="MI300" s="302"/>
      <c r="MJ300" s="302"/>
      <c r="MK300" s="302"/>
      <c r="ML300" s="302"/>
      <c r="MM300" s="302"/>
      <c r="MN300" s="302"/>
      <c r="MO300" s="302"/>
      <c r="MP300" s="302"/>
      <c r="MQ300" s="302"/>
      <c r="MR300" s="302"/>
      <c r="MS300" s="302"/>
      <c r="MT300" s="302"/>
      <c r="MU300" s="302"/>
      <c r="MV300" s="302"/>
      <c r="MW300" s="302"/>
      <c r="MX300" s="302"/>
      <c r="MY300" s="302"/>
      <c r="MZ300" s="302"/>
      <c r="NA300" s="302"/>
      <c r="NB300" s="302"/>
      <c r="NC300" s="302"/>
      <c r="ND300" s="302"/>
      <c r="NE300" s="302"/>
      <c r="NF300" s="302"/>
      <c r="NG300" s="302"/>
      <c r="NH300" s="302"/>
      <c r="NI300" s="302"/>
      <c r="NJ300" s="302"/>
      <c r="NK300" s="302"/>
      <c r="NL300" s="302"/>
      <c r="NM300" s="302"/>
      <c r="NN300" s="302"/>
      <c r="NO300" s="302"/>
      <c r="NP300" s="302"/>
      <c r="NQ300" s="302"/>
      <c r="NR300" s="302"/>
      <c r="NS300" s="302"/>
      <c r="NT300" s="302"/>
      <c r="NU300" s="302"/>
      <c r="NV300" s="302"/>
      <c r="NW300" s="302"/>
      <c r="NX300" s="302"/>
      <c r="NY300" s="302"/>
      <c r="NZ300" s="302"/>
      <c r="OA300" s="302"/>
      <c r="OB300" s="302"/>
      <c r="OC300" s="302"/>
      <c r="OD300" s="302"/>
      <c r="OE300" s="302"/>
      <c r="OF300" s="302"/>
      <c r="OG300" s="302"/>
      <c r="OH300" s="302"/>
      <c r="OI300" s="302"/>
      <c r="OJ300" s="302"/>
      <c r="OK300" s="302"/>
      <c r="OL300" s="302"/>
      <c r="OM300" s="302"/>
      <c r="ON300" s="302"/>
      <c r="OO300" s="302"/>
      <c r="OP300" s="302"/>
      <c r="OQ300" s="302"/>
      <c r="OR300" s="302"/>
      <c r="OS300" s="302"/>
      <c r="OT300" s="302"/>
      <c r="OU300" s="302"/>
      <c r="OV300" s="302"/>
      <c r="OW300" s="302"/>
      <c r="OX300" s="302"/>
      <c r="OY300" s="302"/>
      <c r="OZ300" s="302"/>
      <c r="PA300" s="302"/>
      <c r="PB300" s="302"/>
      <c r="PC300" s="302"/>
      <c r="PD300" s="302"/>
      <c r="PE300" s="302"/>
      <c r="PF300" s="302"/>
      <c r="PG300" s="302"/>
      <c r="PH300" s="302"/>
      <c r="PI300" s="302"/>
      <c r="PJ300" s="302"/>
      <c r="PK300" s="302"/>
      <c r="PL300" s="302"/>
      <c r="PM300" s="302"/>
      <c r="PN300" s="302"/>
      <c r="PO300" s="302"/>
      <c r="PP300" s="302"/>
      <c r="PQ300" s="302"/>
      <c r="PR300" s="302"/>
      <c r="PS300" s="302"/>
      <c r="PT300" s="302"/>
      <c r="PU300" s="302"/>
      <c r="PV300" s="302"/>
      <c r="PW300" s="302"/>
      <c r="PX300" s="302"/>
      <c r="PY300" s="302"/>
      <c r="PZ300" s="302"/>
      <c r="QA300" s="302"/>
      <c r="QB300" s="302"/>
      <c r="QC300" s="302"/>
      <c r="QD300" s="302"/>
      <c r="QE300" s="302"/>
      <c r="QF300" s="302"/>
      <c r="QG300" s="302"/>
      <c r="QH300" s="302"/>
      <c r="QI300" s="302"/>
      <c r="QJ300" s="302"/>
      <c r="QK300" s="302"/>
      <c r="QL300" s="302"/>
      <c r="QM300" s="302"/>
      <c r="QN300" s="302"/>
      <c r="QO300" s="302"/>
      <c r="QP300" s="302"/>
      <c r="QQ300" s="302"/>
      <c r="QR300" s="302"/>
      <c r="QS300" s="302"/>
      <c r="QT300" s="302"/>
      <c r="QU300" s="302"/>
      <c r="QV300" s="302"/>
      <c r="QW300" s="302"/>
      <c r="QX300" s="302"/>
      <c r="QY300" s="302"/>
      <c r="QZ300" s="302"/>
      <c r="RA300" s="302"/>
      <c r="RB300" s="302"/>
      <c r="RC300" s="302"/>
      <c r="RD300" s="302"/>
      <c r="RE300" s="302"/>
      <c r="RF300" s="302"/>
      <c r="RG300" s="302"/>
      <c r="RH300" s="302"/>
      <c r="RI300" s="302"/>
      <c r="RJ300" s="302"/>
      <c r="RK300" s="302"/>
      <c r="RL300" s="302"/>
      <c r="RM300" s="302"/>
      <c r="RN300" s="302"/>
      <c r="RO300" s="302"/>
      <c r="RP300" s="302"/>
      <c r="RQ300" s="302"/>
      <c r="RR300" s="302"/>
      <c r="RS300" s="302"/>
      <c r="RT300" s="302"/>
      <c r="RU300" s="302"/>
      <c r="RV300" s="302"/>
      <c r="RW300" s="302"/>
      <c r="RX300" s="302"/>
      <c r="RY300" s="302"/>
      <c r="RZ300" s="302"/>
      <c r="SA300" s="302"/>
      <c r="SB300" s="302"/>
      <c r="SC300" s="302"/>
      <c r="SD300" s="302"/>
      <c r="SE300" s="302"/>
      <c r="SF300" s="302"/>
      <c r="SG300" s="302"/>
      <c r="SH300" s="302"/>
      <c r="SI300" s="302"/>
      <c r="SJ300" s="302"/>
      <c r="SK300" s="302"/>
      <c r="SL300" s="302"/>
      <c r="SM300" s="302"/>
      <c r="SN300" s="302"/>
      <c r="SO300" s="302"/>
      <c r="SP300" s="302"/>
      <c r="SQ300" s="302"/>
      <c r="SR300" s="302"/>
      <c r="SS300" s="302"/>
      <c r="ST300" s="302"/>
      <c r="SU300" s="302"/>
      <c r="SV300" s="302"/>
      <c r="SW300" s="302"/>
      <c r="SX300" s="302"/>
      <c r="SY300" s="302"/>
      <c r="SZ300" s="302"/>
      <c r="TA300" s="302"/>
      <c r="TB300" s="302"/>
      <c r="TC300" s="302"/>
      <c r="TD300" s="302"/>
      <c r="TE300" s="302"/>
      <c r="TF300" s="302"/>
      <c r="TG300" s="302"/>
      <c r="TH300" s="302"/>
      <c r="TI300" s="302"/>
      <c r="TJ300" s="302"/>
      <c r="TK300" s="302"/>
      <c r="TL300" s="302"/>
      <c r="TM300" s="302"/>
      <c r="TN300" s="302"/>
      <c r="TO300" s="302"/>
      <c r="TP300" s="302"/>
      <c r="TQ300" s="302"/>
      <c r="TR300" s="302"/>
      <c r="TS300" s="302"/>
      <c r="TT300" s="302"/>
      <c r="TU300" s="302"/>
      <c r="TV300" s="302"/>
      <c r="TW300" s="302"/>
      <c r="TX300" s="302"/>
      <c r="TY300" s="302"/>
      <c r="TZ300" s="302"/>
      <c r="UA300" s="302"/>
      <c r="UB300" s="302"/>
      <c r="UC300" s="302"/>
      <c r="UD300" s="302"/>
      <c r="UE300" s="302"/>
      <c r="UF300" s="302"/>
      <c r="UG300" s="302"/>
      <c r="UH300" s="302"/>
      <c r="UI300" s="302"/>
      <c r="UJ300" s="302"/>
      <c r="UK300" s="302"/>
      <c r="UL300" s="302"/>
      <c r="UM300" s="302"/>
      <c r="UN300" s="302"/>
      <c r="UO300" s="302"/>
      <c r="UP300" s="302"/>
      <c r="UQ300" s="302"/>
      <c r="UR300" s="302"/>
      <c r="US300" s="302"/>
      <c r="UT300" s="302"/>
      <c r="UU300" s="302"/>
      <c r="UV300" s="302"/>
      <c r="UW300" s="302"/>
      <c r="UX300" s="302"/>
      <c r="UY300" s="302"/>
      <c r="UZ300" s="302"/>
      <c r="VA300" s="302"/>
      <c r="VB300" s="302"/>
      <c r="VC300" s="302"/>
      <c r="VD300" s="302"/>
      <c r="VE300" s="302"/>
      <c r="VF300" s="302"/>
      <c r="VG300" s="302"/>
      <c r="VH300" s="302"/>
      <c r="VI300" s="302"/>
      <c r="VJ300" s="302"/>
      <c r="VK300" s="302"/>
      <c r="VL300" s="302"/>
      <c r="VM300" s="302"/>
      <c r="VN300" s="302"/>
      <c r="VO300" s="302"/>
      <c r="VP300" s="302"/>
      <c r="VQ300" s="302"/>
      <c r="VR300" s="302"/>
      <c r="VS300" s="302"/>
      <c r="VT300" s="302"/>
      <c r="VU300" s="302"/>
      <c r="VV300" s="302"/>
      <c r="VW300" s="302"/>
      <c r="VX300" s="302"/>
      <c r="VY300" s="302"/>
      <c r="VZ300" s="302"/>
      <c r="WA300" s="302"/>
      <c r="WB300" s="302"/>
      <c r="WC300" s="302"/>
      <c r="WD300" s="302"/>
      <c r="WE300" s="302"/>
      <c r="WF300" s="302"/>
      <c r="WG300" s="302"/>
      <c r="WH300" s="302"/>
      <c r="WI300" s="302"/>
      <c r="WJ300" s="302"/>
      <c r="WK300" s="302"/>
      <c r="WL300" s="302"/>
      <c r="WM300" s="302"/>
      <c r="WN300" s="302"/>
      <c r="WO300" s="302"/>
      <c r="WP300" s="302"/>
      <c r="WQ300" s="302"/>
      <c r="WR300" s="302"/>
      <c r="WS300" s="302"/>
      <c r="WT300" s="302"/>
      <c r="WU300" s="302"/>
      <c r="WV300" s="302"/>
      <c r="WW300" s="302"/>
      <c r="WX300" s="302"/>
      <c r="WY300" s="302"/>
      <c r="WZ300" s="302"/>
      <c r="XA300" s="302"/>
      <c r="XB300" s="302"/>
      <c r="XC300" s="302"/>
      <c r="XD300" s="302"/>
      <c r="XE300" s="302"/>
      <c r="XF300" s="302"/>
      <c r="XG300" s="302"/>
      <c r="XH300" s="302"/>
      <c r="XI300" s="302"/>
      <c r="XJ300" s="302"/>
      <c r="XK300" s="302"/>
      <c r="XL300" s="302"/>
      <c r="XM300" s="302"/>
      <c r="XN300" s="302"/>
      <c r="XO300" s="302"/>
      <c r="XP300" s="302"/>
      <c r="XQ300" s="302"/>
      <c r="XR300" s="302"/>
      <c r="XS300" s="302"/>
      <c r="XT300" s="302"/>
      <c r="XU300" s="302"/>
      <c r="XV300" s="302"/>
      <c r="XW300" s="302"/>
      <c r="XX300" s="302"/>
      <c r="XY300" s="302"/>
      <c r="XZ300" s="302"/>
      <c r="YA300" s="302"/>
      <c r="YB300" s="302"/>
      <c r="YC300" s="302"/>
      <c r="YD300" s="302"/>
      <c r="YE300" s="302"/>
      <c r="YF300" s="302"/>
      <c r="YG300" s="302"/>
      <c r="YH300" s="302"/>
      <c r="YI300" s="302"/>
      <c r="YJ300" s="302"/>
      <c r="YK300" s="302"/>
      <c r="YL300" s="302"/>
      <c r="YM300" s="302"/>
      <c r="YN300" s="302"/>
      <c r="YO300" s="302"/>
      <c r="YP300" s="302"/>
      <c r="YQ300" s="302"/>
      <c r="YR300" s="302"/>
      <c r="YS300" s="302"/>
      <c r="YT300" s="302"/>
      <c r="YU300" s="302"/>
      <c r="YV300" s="302"/>
      <c r="YW300" s="302"/>
      <c r="YX300" s="302"/>
      <c r="YY300" s="302"/>
      <c r="YZ300" s="302"/>
      <c r="ZA300" s="302"/>
      <c r="ZB300" s="302"/>
      <c r="ZC300" s="302"/>
      <c r="ZD300" s="302"/>
      <c r="ZE300" s="302"/>
      <c r="ZF300" s="302"/>
      <c r="ZG300" s="302"/>
      <c r="ZH300" s="302"/>
      <c r="ZI300" s="302"/>
      <c r="ZJ300" s="302"/>
      <c r="ZK300" s="302"/>
      <c r="ZL300" s="302"/>
      <c r="ZM300" s="302"/>
      <c r="ZN300" s="302"/>
      <c r="ZO300" s="302"/>
      <c r="ZP300" s="302"/>
      <c r="ZQ300" s="302"/>
      <c r="ZR300" s="302"/>
      <c r="ZS300" s="302"/>
      <c r="ZT300" s="302"/>
      <c r="ZU300" s="302"/>
      <c r="ZV300" s="302"/>
      <c r="ZW300" s="302"/>
      <c r="ZX300" s="302"/>
      <c r="ZY300" s="302"/>
      <c r="ZZ300" s="302"/>
      <c r="AAA300" s="302"/>
      <c r="AAB300" s="302"/>
      <c r="AAC300" s="302"/>
      <c r="AAD300" s="302"/>
      <c r="AAE300" s="302"/>
      <c r="AAF300" s="302"/>
      <c r="AAG300" s="302"/>
      <c r="AAH300" s="302"/>
      <c r="AAI300" s="302"/>
      <c r="AAJ300" s="302"/>
      <c r="AAK300" s="302"/>
      <c r="AAL300" s="302"/>
      <c r="AAM300" s="302"/>
      <c r="AAN300" s="302"/>
      <c r="AAO300" s="302"/>
      <c r="AAP300" s="302"/>
      <c r="AAQ300" s="302"/>
      <c r="AAR300" s="302"/>
      <c r="AAS300" s="302"/>
      <c r="AAT300" s="302"/>
      <c r="AAU300" s="302"/>
      <c r="AAV300" s="302"/>
      <c r="AAW300" s="302"/>
      <c r="AAX300" s="302"/>
      <c r="AAY300" s="302"/>
      <c r="AAZ300" s="302"/>
      <c r="ABA300" s="302"/>
      <c r="ABB300" s="302"/>
      <c r="ABC300" s="302"/>
      <c r="ABD300" s="302"/>
      <c r="ABE300" s="302"/>
      <c r="ABF300" s="302"/>
      <c r="ABG300" s="302"/>
      <c r="ABH300" s="302"/>
      <c r="ABI300" s="302"/>
      <c r="ABJ300" s="302"/>
      <c r="ABK300" s="302"/>
      <c r="ABL300" s="302"/>
      <c r="ABM300" s="302"/>
      <c r="ABN300" s="302"/>
      <c r="ABO300" s="302"/>
      <c r="ABP300" s="302"/>
      <c r="ABQ300" s="302"/>
      <c r="ABR300" s="302"/>
      <c r="ABS300" s="302"/>
      <c r="ABT300" s="302"/>
      <c r="ABU300" s="302"/>
      <c r="ABV300" s="302"/>
      <c r="ABW300" s="302"/>
      <c r="ABX300" s="302"/>
      <c r="ABY300" s="302"/>
      <c r="ABZ300" s="302"/>
      <c r="ACA300" s="302"/>
      <c r="ACB300" s="302"/>
      <c r="ACC300" s="302"/>
      <c r="ACD300" s="302"/>
      <c r="ACE300" s="302"/>
      <c r="ACF300" s="302"/>
      <c r="ACG300" s="302"/>
      <c r="ACH300" s="302"/>
      <c r="ACI300" s="302"/>
      <c r="ACJ300" s="302"/>
      <c r="ACK300" s="302"/>
      <c r="ACL300" s="302"/>
      <c r="ACM300" s="302"/>
      <c r="ACN300" s="302"/>
      <c r="ACO300" s="302"/>
      <c r="ACP300" s="302"/>
      <c r="ACQ300" s="302"/>
      <c r="ACR300" s="302"/>
      <c r="ACS300" s="302"/>
      <c r="ACT300" s="302"/>
      <c r="ACU300" s="302"/>
      <c r="ACV300" s="302"/>
      <c r="ACW300" s="302"/>
      <c r="ACX300" s="302"/>
      <c r="ACY300" s="302"/>
      <c r="ACZ300" s="302"/>
      <c r="ADA300" s="302"/>
      <c r="ADB300" s="302"/>
      <c r="ADC300" s="302"/>
      <c r="ADD300" s="302"/>
      <c r="ADE300" s="302"/>
      <c r="ADF300" s="302"/>
      <c r="ADG300" s="302"/>
      <c r="ADH300" s="302"/>
      <c r="ADI300" s="302"/>
      <c r="ADJ300" s="302"/>
      <c r="ADK300" s="302"/>
      <c r="ADL300" s="302"/>
      <c r="ADM300" s="302"/>
      <c r="ADN300" s="302"/>
      <c r="ADO300" s="302"/>
      <c r="ADP300" s="302"/>
      <c r="ADQ300" s="302"/>
      <c r="ADR300" s="302"/>
      <c r="ADS300" s="302"/>
      <c r="ADT300" s="302"/>
      <c r="ADU300" s="302"/>
      <c r="ADV300" s="302"/>
      <c r="ADW300" s="302"/>
      <c r="ADX300" s="302"/>
      <c r="ADY300" s="302"/>
      <c r="ADZ300" s="302"/>
      <c r="AEA300" s="302"/>
      <c r="AEB300" s="302"/>
      <c r="AEC300" s="302"/>
      <c r="AED300" s="302"/>
      <c r="AEE300" s="302"/>
      <c r="AEF300" s="302"/>
      <c r="AEG300" s="302"/>
      <c r="AEH300" s="302"/>
      <c r="AEI300" s="302"/>
      <c r="AEJ300" s="302"/>
      <c r="AEK300" s="302"/>
      <c r="AEL300" s="302"/>
      <c r="AEM300" s="302"/>
      <c r="AEN300" s="302"/>
      <c r="AEO300" s="302"/>
      <c r="AEP300" s="302"/>
      <c r="AEQ300" s="302"/>
      <c r="AER300" s="302"/>
      <c r="AES300" s="302"/>
      <c r="AET300" s="302"/>
      <c r="AEU300" s="302"/>
      <c r="AEV300" s="302"/>
      <c r="AEW300" s="302"/>
      <c r="AEX300" s="302"/>
      <c r="AEY300" s="302"/>
      <c r="AEZ300" s="302"/>
      <c r="AFA300" s="302"/>
      <c r="AFB300" s="302"/>
      <c r="AFC300" s="302"/>
      <c r="AFD300" s="302"/>
      <c r="AFE300" s="302"/>
      <c r="AFF300" s="302"/>
      <c r="AFG300" s="302"/>
      <c r="AFH300" s="302"/>
      <c r="AFI300" s="302"/>
      <c r="AFJ300" s="302"/>
      <c r="AFK300" s="302"/>
      <c r="AFL300" s="302"/>
      <c r="AFM300" s="302"/>
      <c r="AFN300" s="302"/>
      <c r="AFO300" s="302"/>
      <c r="AFP300" s="302"/>
      <c r="AFQ300" s="302"/>
      <c r="AFR300" s="302"/>
      <c r="AFS300" s="302"/>
      <c r="AFT300" s="302"/>
      <c r="AFU300" s="302"/>
      <c r="AFV300" s="302"/>
      <c r="AFW300" s="302"/>
      <c r="AFX300" s="302"/>
      <c r="AFY300" s="302"/>
      <c r="AFZ300" s="302"/>
      <c r="AGA300" s="302"/>
      <c r="AGB300" s="302"/>
      <c r="AGC300" s="302"/>
      <c r="AGD300" s="302"/>
      <c r="AGE300" s="302"/>
      <c r="AGF300" s="302"/>
      <c r="AGG300" s="302"/>
      <c r="AGH300" s="302"/>
      <c r="AGI300" s="302"/>
      <c r="AGJ300" s="302"/>
      <c r="AGK300" s="302"/>
      <c r="AGL300" s="302"/>
      <c r="AGM300" s="302"/>
      <c r="AGN300" s="302"/>
      <c r="AGO300" s="302"/>
      <c r="AGP300" s="302"/>
      <c r="AGQ300" s="302"/>
      <c r="AGR300" s="302"/>
      <c r="AGS300" s="302"/>
      <c r="AGT300" s="302"/>
      <c r="AGU300" s="302"/>
      <c r="AGV300" s="302"/>
      <c r="AGW300" s="302"/>
      <c r="AGX300" s="302"/>
      <c r="AGY300" s="302"/>
      <c r="AGZ300" s="302"/>
      <c r="AHA300" s="302"/>
      <c r="AHB300" s="302"/>
      <c r="AHC300" s="302"/>
      <c r="AHD300" s="302"/>
      <c r="AHE300" s="302"/>
      <c r="AHF300" s="302"/>
      <c r="AHG300" s="302"/>
      <c r="AHH300" s="302"/>
      <c r="AHI300" s="302"/>
      <c r="AHJ300" s="302"/>
      <c r="AHK300" s="302"/>
      <c r="AHL300" s="302"/>
      <c r="AHM300" s="302"/>
      <c r="AHN300" s="302"/>
      <c r="AHO300" s="302"/>
      <c r="AHP300" s="302"/>
      <c r="AHQ300" s="302"/>
      <c r="AHR300" s="302"/>
      <c r="AHS300" s="302"/>
      <c r="AHT300" s="302"/>
      <c r="AHU300" s="302"/>
      <c r="AHV300" s="302"/>
      <c r="AHW300" s="302"/>
      <c r="AHX300" s="302"/>
      <c r="AHY300" s="302"/>
      <c r="AHZ300" s="302"/>
      <c r="AIA300" s="302"/>
      <c r="AIB300" s="302"/>
      <c r="AIC300" s="302"/>
      <c r="AID300" s="302"/>
      <c r="AIE300" s="302"/>
      <c r="AIF300" s="302"/>
      <c r="AIG300" s="302"/>
      <c r="AIH300" s="302"/>
      <c r="AII300" s="302"/>
      <c r="AIJ300" s="302"/>
      <c r="AIK300" s="302"/>
      <c r="AIL300" s="302"/>
      <c r="AIM300" s="302"/>
      <c r="AIN300" s="302"/>
      <c r="AIO300" s="302"/>
      <c r="AIP300" s="302"/>
      <c r="AIQ300" s="302"/>
      <c r="AIR300" s="302"/>
      <c r="AIS300" s="302"/>
      <c r="AIT300" s="302"/>
      <c r="AIU300" s="302"/>
      <c r="AIV300" s="302"/>
      <c r="AIW300" s="302"/>
      <c r="AIX300" s="302"/>
      <c r="AIY300" s="302"/>
      <c r="AIZ300" s="302"/>
      <c r="AJA300" s="302"/>
      <c r="AJB300" s="302"/>
      <c r="AJC300" s="302"/>
      <c r="AJD300" s="302"/>
      <c r="AJE300" s="302"/>
      <c r="AJF300" s="302"/>
      <c r="AJG300" s="302"/>
      <c r="AJH300" s="302"/>
      <c r="AJI300" s="302"/>
      <c r="AJJ300" s="302"/>
      <c r="AJK300" s="302"/>
      <c r="AJL300" s="302"/>
      <c r="AJM300" s="302"/>
      <c r="AJN300" s="302"/>
      <c r="AJO300" s="302"/>
      <c r="AJP300" s="302"/>
      <c r="AJQ300" s="302"/>
      <c r="AJR300" s="302"/>
      <c r="AJS300" s="302"/>
      <c r="AJT300" s="302"/>
      <c r="AJU300" s="302"/>
      <c r="AJV300" s="302"/>
      <c r="AJW300" s="302"/>
      <c r="AJX300" s="302"/>
      <c r="AJY300" s="302"/>
      <c r="AJZ300" s="302"/>
      <c r="AKA300" s="302"/>
      <c r="AKB300" s="302"/>
      <c r="AKC300" s="302"/>
      <c r="AKD300" s="302"/>
      <c r="AKE300" s="302"/>
      <c r="AKF300" s="302"/>
      <c r="AKG300" s="302"/>
      <c r="AKH300" s="302"/>
      <c r="AKI300" s="302"/>
      <c r="AKJ300" s="302"/>
      <c r="AKK300" s="302"/>
      <c r="AKL300" s="302"/>
      <c r="AKM300" s="302"/>
      <c r="AKN300" s="302"/>
      <c r="AKO300" s="302"/>
      <c r="AKP300" s="302"/>
      <c r="AKQ300" s="302"/>
      <c r="AKR300" s="302"/>
      <c r="AKS300" s="302"/>
      <c r="AKT300" s="302"/>
      <c r="AKU300" s="302"/>
      <c r="AKV300" s="302"/>
      <c r="AKW300" s="302"/>
      <c r="AKX300" s="302"/>
      <c r="AKY300" s="302"/>
      <c r="AKZ300" s="302"/>
      <c r="ALA300" s="302"/>
      <c r="ALB300" s="302"/>
      <c r="ALC300" s="302"/>
      <c r="ALD300" s="302"/>
      <c r="ALE300" s="302"/>
      <c r="ALF300" s="302"/>
      <c r="ALG300" s="302"/>
      <c r="ALH300" s="302"/>
      <c r="ALI300" s="302"/>
      <c r="ALJ300" s="302"/>
      <c r="ALK300" s="302"/>
      <c r="ALL300" s="302"/>
      <c r="ALM300" s="302"/>
      <c r="ALN300" s="302"/>
      <c r="ALO300" s="302"/>
      <c r="ALP300" s="302"/>
      <c r="ALQ300" s="302"/>
      <c r="ALR300" s="302"/>
      <c r="ALS300" s="302"/>
      <c r="ALT300" s="302"/>
      <c r="ALU300" s="302"/>
      <c r="ALV300" s="302"/>
      <c r="ALW300" s="302"/>
      <c r="ALX300" s="302"/>
      <c r="ALY300" s="302"/>
      <c r="ALZ300" s="302"/>
      <c r="AMA300" s="302"/>
      <c r="AMB300" s="302"/>
      <c r="AMC300" s="302"/>
      <c r="AMD300" s="302"/>
      <c r="AME300" s="302"/>
      <c r="AMF300" s="302"/>
      <c r="AMG300" s="302"/>
      <c r="AMH300" s="302"/>
      <c r="AMI300" s="302"/>
    </row>
    <row r="301" spans="1:1023" hidden="1">
      <c r="A301" s="302"/>
      <c r="B301" s="442">
        <v>14191</v>
      </c>
      <c r="C301" s="430">
        <v>0.08</v>
      </c>
      <c r="D301" s="370" t="s">
        <v>184</v>
      </c>
      <c r="E301" s="433">
        <v>3200000</v>
      </c>
      <c r="F301" s="500">
        <v>0.02</v>
      </c>
      <c r="G301" s="364">
        <f t="shared" si="17"/>
        <v>64000</v>
      </c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  <c r="AD301" s="302"/>
      <c r="AE301" s="302"/>
      <c r="AF301" s="302"/>
      <c r="AG301" s="302"/>
      <c r="AH301" s="302"/>
      <c r="AI301" s="302"/>
      <c r="AJ301" s="302"/>
      <c r="AK301" s="302"/>
      <c r="AL301" s="302"/>
      <c r="AM301" s="302"/>
      <c r="AN301" s="302"/>
      <c r="AO301" s="302"/>
      <c r="AP301" s="302"/>
      <c r="AQ301" s="302"/>
      <c r="AR301" s="302"/>
      <c r="AS301" s="302"/>
      <c r="AT301" s="302"/>
      <c r="AU301" s="302"/>
      <c r="AV301" s="302"/>
      <c r="AW301" s="302"/>
      <c r="AX301" s="302"/>
      <c r="AY301" s="302"/>
      <c r="AZ301" s="302"/>
      <c r="BA301" s="302"/>
      <c r="BB301" s="302"/>
      <c r="BC301" s="302"/>
      <c r="BD301" s="302"/>
      <c r="BE301" s="302"/>
      <c r="BF301" s="302"/>
      <c r="BG301" s="302"/>
      <c r="BH301" s="302"/>
      <c r="BI301" s="302"/>
      <c r="BJ301" s="302"/>
      <c r="BK301" s="302"/>
      <c r="BL301" s="302"/>
      <c r="BM301" s="302"/>
      <c r="BN301" s="302"/>
      <c r="BO301" s="302"/>
      <c r="BP301" s="302"/>
      <c r="BQ301" s="302"/>
      <c r="BR301" s="302"/>
      <c r="BS301" s="302"/>
      <c r="BT301" s="302"/>
      <c r="BU301" s="302"/>
      <c r="BV301" s="302"/>
      <c r="BW301" s="302"/>
      <c r="BX301" s="302"/>
      <c r="BY301" s="302"/>
      <c r="BZ301" s="302"/>
      <c r="CA301" s="302"/>
      <c r="CB301" s="302"/>
      <c r="CC301" s="302"/>
      <c r="CD301" s="302"/>
      <c r="CE301" s="302"/>
      <c r="CF301" s="302"/>
      <c r="CG301" s="302"/>
      <c r="CH301" s="302"/>
      <c r="CI301" s="302"/>
      <c r="CJ301" s="302"/>
      <c r="CK301" s="302"/>
      <c r="CL301" s="302"/>
      <c r="CM301" s="302"/>
      <c r="CN301" s="302"/>
      <c r="CO301" s="302"/>
      <c r="CP301" s="302"/>
      <c r="CQ301" s="302"/>
      <c r="CR301" s="302"/>
      <c r="CS301" s="302"/>
      <c r="CT301" s="302"/>
      <c r="CU301" s="302"/>
      <c r="CV301" s="302"/>
      <c r="CW301" s="302"/>
      <c r="CX301" s="302"/>
      <c r="CY301" s="302"/>
      <c r="CZ301" s="302"/>
      <c r="DA301" s="302"/>
      <c r="DB301" s="302"/>
      <c r="DC301" s="302"/>
      <c r="DD301" s="302"/>
      <c r="DE301" s="302"/>
      <c r="DF301" s="302"/>
      <c r="DG301" s="302"/>
      <c r="DH301" s="302"/>
      <c r="DI301" s="302"/>
      <c r="DJ301" s="302"/>
      <c r="DK301" s="302"/>
      <c r="DL301" s="302"/>
      <c r="DM301" s="302"/>
      <c r="DN301" s="302"/>
      <c r="DO301" s="302"/>
      <c r="DP301" s="302"/>
      <c r="DQ301" s="302"/>
      <c r="DR301" s="302"/>
      <c r="DS301" s="302"/>
      <c r="DT301" s="302"/>
      <c r="DU301" s="302"/>
      <c r="DV301" s="302"/>
      <c r="DW301" s="302"/>
      <c r="DX301" s="302"/>
      <c r="DY301" s="302"/>
      <c r="DZ301" s="302"/>
      <c r="EA301" s="302"/>
      <c r="EB301" s="302"/>
      <c r="EC301" s="302"/>
      <c r="ED301" s="302"/>
      <c r="EE301" s="302"/>
      <c r="EF301" s="302"/>
      <c r="EG301" s="302"/>
      <c r="EH301" s="302"/>
      <c r="EI301" s="302"/>
      <c r="EJ301" s="302"/>
      <c r="EK301" s="302"/>
      <c r="EL301" s="302"/>
      <c r="EM301" s="302"/>
      <c r="EN301" s="302"/>
      <c r="EO301" s="302"/>
      <c r="EP301" s="302"/>
      <c r="EQ301" s="302"/>
      <c r="ER301" s="302"/>
      <c r="ES301" s="302"/>
      <c r="ET301" s="302"/>
      <c r="EU301" s="302"/>
      <c r="EV301" s="302"/>
      <c r="EW301" s="302"/>
      <c r="EX301" s="302"/>
      <c r="EY301" s="302"/>
      <c r="EZ301" s="302"/>
      <c r="FA301" s="302"/>
      <c r="FB301" s="302"/>
      <c r="FC301" s="302"/>
      <c r="FD301" s="302"/>
      <c r="FE301" s="302"/>
      <c r="FF301" s="302"/>
      <c r="FG301" s="302"/>
      <c r="FH301" s="302"/>
      <c r="FI301" s="302"/>
      <c r="FJ301" s="302"/>
      <c r="FK301" s="302"/>
      <c r="FL301" s="302"/>
      <c r="FM301" s="302"/>
      <c r="FN301" s="302"/>
      <c r="FO301" s="302"/>
      <c r="FP301" s="302"/>
      <c r="FQ301" s="302"/>
      <c r="FR301" s="302"/>
      <c r="FS301" s="302"/>
      <c r="FT301" s="302"/>
      <c r="FU301" s="302"/>
      <c r="FV301" s="302"/>
      <c r="FW301" s="302"/>
      <c r="FX301" s="302"/>
      <c r="FY301" s="302"/>
      <c r="FZ301" s="302"/>
      <c r="GA301" s="302"/>
      <c r="GB301" s="302"/>
      <c r="GC301" s="302"/>
      <c r="GD301" s="302"/>
      <c r="GE301" s="302"/>
      <c r="GF301" s="302"/>
      <c r="GG301" s="302"/>
      <c r="GH301" s="302"/>
      <c r="GI301" s="302"/>
      <c r="GJ301" s="302"/>
      <c r="GK301" s="302"/>
      <c r="GL301" s="302"/>
      <c r="GM301" s="302"/>
      <c r="GN301" s="302"/>
      <c r="GO301" s="302"/>
      <c r="GP301" s="302"/>
      <c r="GQ301" s="302"/>
      <c r="GR301" s="302"/>
      <c r="GS301" s="302"/>
      <c r="GT301" s="302"/>
      <c r="GU301" s="302"/>
      <c r="GV301" s="302"/>
      <c r="GW301" s="302"/>
      <c r="GX301" s="302"/>
      <c r="GY301" s="302"/>
      <c r="GZ301" s="302"/>
      <c r="HA301" s="302"/>
      <c r="HB301" s="302"/>
      <c r="HC301" s="302"/>
      <c r="HD301" s="302"/>
      <c r="HE301" s="302"/>
      <c r="HF301" s="302"/>
      <c r="HG301" s="302"/>
      <c r="HH301" s="302"/>
      <c r="HI301" s="302"/>
      <c r="HJ301" s="302"/>
      <c r="HK301" s="302"/>
      <c r="HL301" s="302"/>
      <c r="HM301" s="302"/>
      <c r="HN301" s="302"/>
      <c r="HO301" s="302"/>
      <c r="HP301" s="302"/>
      <c r="HQ301" s="302"/>
      <c r="HR301" s="302"/>
      <c r="HS301" s="302"/>
      <c r="HT301" s="302"/>
      <c r="HU301" s="302"/>
      <c r="HV301" s="302"/>
      <c r="HW301" s="302"/>
      <c r="HX301" s="302"/>
      <c r="HY301" s="302"/>
      <c r="HZ301" s="302"/>
      <c r="IA301" s="302"/>
      <c r="IB301" s="302"/>
      <c r="IC301" s="302"/>
      <c r="ID301" s="302"/>
      <c r="IE301" s="302"/>
      <c r="IF301" s="302"/>
      <c r="IG301" s="302"/>
      <c r="IH301" s="302"/>
      <c r="II301" s="302"/>
      <c r="IJ301" s="302"/>
      <c r="IK301" s="302"/>
      <c r="IL301" s="302"/>
      <c r="IM301" s="302"/>
      <c r="IN301" s="302"/>
      <c r="IO301" s="302"/>
      <c r="IP301" s="302"/>
      <c r="IQ301" s="302"/>
      <c r="IR301" s="302"/>
      <c r="IS301" s="302"/>
      <c r="IT301" s="302"/>
      <c r="IU301" s="302"/>
      <c r="IV301" s="302"/>
      <c r="IW301" s="302"/>
      <c r="IX301" s="302"/>
      <c r="IY301" s="302"/>
      <c r="IZ301" s="302"/>
      <c r="JA301" s="302"/>
      <c r="JB301" s="302"/>
      <c r="JC301" s="302"/>
      <c r="JD301" s="302"/>
      <c r="JE301" s="302"/>
      <c r="JF301" s="302"/>
      <c r="JG301" s="302"/>
      <c r="JH301" s="302"/>
      <c r="JI301" s="302"/>
      <c r="JJ301" s="302"/>
      <c r="JK301" s="302"/>
      <c r="JL301" s="302"/>
      <c r="JM301" s="302"/>
      <c r="JN301" s="302"/>
      <c r="JO301" s="302"/>
      <c r="JP301" s="302"/>
      <c r="JQ301" s="302"/>
      <c r="JR301" s="302"/>
      <c r="JS301" s="302"/>
      <c r="JT301" s="302"/>
      <c r="JU301" s="302"/>
      <c r="JV301" s="302"/>
      <c r="JW301" s="302"/>
      <c r="JX301" s="302"/>
      <c r="JY301" s="302"/>
      <c r="JZ301" s="302"/>
      <c r="KA301" s="302"/>
      <c r="KB301" s="302"/>
      <c r="KC301" s="302"/>
      <c r="KD301" s="302"/>
      <c r="KE301" s="302"/>
      <c r="KF301" s="302"/>
      <c r="KG301" s="302"/>
      <c r="KH301" s="302"/>
      <c r="KI301" s="302"/>
      <c r="KJ301" s="302"/>
      <c r="KK301" s="302"/>
      <c r="KL301" s="302"/>
      <c r="KM301" s="302"/>
      <c r="KN301" s="302"/>
      <c r="KO301" s="302"/>
      <c r="KP301" s="302"/>
      <c r="KQ301" s="302"/>
      <c r="KR301" s="302"/>
      <c r="KS301" s="302"/>
      <c r="KT301" s="302"/>
      <c r="KU301" s="302"/>
      <c r="KV301" s="302"/>
      <c r="KW301" s="302"/>
      <c r="KX301" s="302"/>
      <c r="KY301" s="302"/>
      <c r="KZ301" s="302"/>
      <c r="LA301" s="302"/>
      <c r="LB301" s="302"/>
      <c r="LC301" s="302"/>
      <c r="LD301" s="302"/>
      <c r="LE301" s="302"/>
      <c r="LF301" s="302"/>
      <c r="LG301" s="302"/>
      <c r="LH301" s="302"/>
      <c r="LI301" s="302"/>
      <c r="LJ301" s="302"/>
      <c r="LK301" s="302"/>
      <c r="LL301" s="302"/>
      <c r="LM301" s="302"/>
      <c r="LN301" s="302"/>
      <c r="LO301" s="302"/>
      <c r="LP301" s="302"/>
      <c r="LQ301" s="302"/>
      <c r="LR301" s="302"/>
      <c r="LS301" s="302"/>
      <c r="LT301" s="302"/>
      <c r="LU301" s="302"/>
      <c r="LV301" s="302"/>
      <c r="LW301" s="302"/>
      <c r="LX301" s="302"/>
      <c r="LY301" s="302"/>
      <c r="LZ301" s="302"/>
      <c r="MA301" s="302"/>
      <c r="MB301" s="302"/>
      <c r="MC301" s="302"/>
      <c r="MD301" s="302"/>
      <c r="ME301" s="302"/>
      <c r="MF301" s="302"/>
      <c r="MG301" s="302"/>
      <c r="MH301" s="302"/>
      <c r="MI301" s="302"/>
      <c r="MJ301" s="302"/>
      <c r="MK301" s="302"/>
      <c r="ML301" s="302"/>
      <c r="MM301" s="302"/>
      <c r="MN301" s="302"/>
      <c r="MO301" s="302"/>
      <c r="MP301" s="302"/>
      <c r="MQ301" s="302"/>
      <c r="MR301" s="302"/>
      <c r="MS301" s="302"/>
      <c r="MT301" s="302"/>
      <c r="MU301" s="302"/>
      <c r="MV301" s="302"/>
      <c r="MW301" s="302"/>
      <c r="MX301" s="302"/>
      <c r="MY301" s="302"/>
      <c r="MZ301" s="302"/>
      <c r="NA301" s="302"/>
      <c r="NB301" s="302"/>
      <c r="NC301" s="302"/>
      <c r="ND301" s="302"/>
      <c r="NE301" s="302"/>
      <c r="NF301" s="302"/>
      <c r="NG301" s="302"/>
      <c r="NH301" s="302"/>
      <c r="NI301" s="302"/>
      <c r="NJ301" s="302"/>
      <c r="NK301" s="302"/>
      <c r="NL301" s="302"/>
      <c r="NM301" s="302"/>
      <c r="NN301" s="302"/>
      <c r="NO301" s="302"/>
      <c r="NP301" s="302"/>
      <c r="NQ301" s="302"/>
      <c r="NR301" s="302"/>
      <c r="NS301" s="302"/>
      <c r="NT301" s="302"/>
      <c r="NU301" s="302"/>
      <c r="NV301" s="302"/>
      <c r="NW301" s="302"/>
      <c r="NX301" s="302"/>
      <c r="NY301" s="302"/>
      <c r="NZ301" s="302"/>
      <c r="OA301" s="302"/>
      <c r="OB301" s="302"/>
      <c r="OC301" s="302"/>
      <c r="OD301" s="302"/>
      <c r="OE301" s="302"/>
      <c r="OF301" s="302"/>
      <c r="OG301" s="302"/>
      <c r="OH301" s="302"/>
      <c r="OI301" s="302"/>
      <c r="OJ301" s="302"/>
      <c r="OK301" s="302"/>
      <c r="OL301" s="302"/>
      <c r="OM301" s="302"/>
      <c r="ON301" s="302"/>
      <c r="OO301" s="302"/>
      <c r="OP301" s="302"/>
      <c r="OQ301" s="302"/>
      <c r="OR301" s="302"/>
      <c r="OS301" s="302"/>
      <c r="OT301" s="302"/>
      <c r="OU301" s="302"/>
      <c r="OV301" s="302"/>
      <c r="OW301" s="302"/>
      <c r="OX301" s="302"/>
      <c r="OY301" s="302"/>
      <c r="OZ301" s="302"/>
      <c r="PA301" s="302"/>
      <c r="PB301" s="302"/>
      <c r="PC301" s="302"/>
      <c r="PD301" s="302"/>
      <c r="PE301" s="302"/>
      <c r="PF301" s="302"/>
      <c r="PG301" s="302"/>
      <c r="PH301" s="302"/>
      <c r="PI301" s="302"/>
      <c r="PJ301" s="302"/>
      <c r="PK301" s="302"/>
      <c r="PL301" s="302"/>
      <c r="PM301" s="302"/>
      <c r="PN301" s="302"/>
      <c r="PO301" s="302"/>
      <c r="PP301" s="302"/>
      <c r="PQ301" s="302"/>
      <c r="PR301" s="302"/>
      <c r="PS301" s="302"/>
      <c r="PT301" s="302"/>
      <c r="PU301" s="302"/>
      <c r="PV301" s="302"/>
      <c r="PW301" s="302"/>
      <c r="PX301" s="302"/>
      <c r="PY301" s="302"/>
      <c r="PZ301" s="302"/>
      <c r="QA301" s="302"/>
      <c r="QB301" s="302"/>
      <c r="QC301" s="302"/>
      <c r="QD301" s="302"/>
      <c r="QE301" s="302"/>
      <c r="QF301" s="302"/>
      <c r="QG301" s="302"/>
      <c r="QH301" s="302"/>
      <c r="QI301" s="302"/>
      <c r="QJ301" s="302"/>
      <c r="QK301" s="302"/>
      <c r="QL301" s="302"/>
      <c r="QM301" s="302"/>
      <c r="QN301" s="302"/>
      <c r="QO301" s="302"/>
      <c r="QP301" s="302"/>
      <c r="QQ301" s="302"/>
      <c r="QR301" s="302"/>
      <c r="QS301" s="302"/>
      <c r="QT301" s="302"/>
      <c r="QU301" s="302"/>
      <c r="QV301" s="302"/>
      <c r="QW301" s="302"/>
      <c r="QX301" s="302"/>
      <c r="QY301" s="302"/>
      <c r="QZ301" s="302"/>
      <c r="RA301" s="302"/>
      <c r="RB301" s="302"/>
      <c r="RC301" s="302"/>
      <c r="RD301" s="302"/>
      <c r="RE301" s="302"/>
      <c r="RF301" s="302"/>
      <c r="RG301" s="302"/>
      <c r="RH301" s="302"/>
      <c r="RI301" s="302"/>
      <c r="RJ301" s="302"/>
      <c r="RK301" s="302"/>
      <c r="RL301" s="302"/>
      <c r="RM301" s="302"/>
      <c r="RN301" s="302"/>
      <c r="RO301" s="302"/>
      <c r="RP301" s="302"/>
      <c r="RQ301" s="302"/>
      <c r="RR301" s="302"/>
      <c r="RS301" s="302"/>
      <c r="RT301" s="302"/>
      <c r="RU301" s="302"/>
      <c r="RV301" s="302"/>
      <c r="RW301" s="302"/>
      <c r="RX301" s="302"/>
      <c r="RY301" s="302"/>
      <c r="RZ301" s="302"/>
      <c r="SA301" s="302"/>
      <c r="SB301" s="302"/>
      <c r="SC301" s="302"/>
      <c r="SD301" s="302"/>
      <c r="SE301" s="302"/>
      <c r="SF301" s="302"/>
      <c r="SG301" s="302"/>
      <c r="SH301" s="302"/>
      <c r="SI301" s="302"/>
      <c r="SJ301" s="302"/>
      <c r="SK301" s="302"/>
      <c r="SL301" s="302"/>
      <c r="SM301" s="302"/>
      <c r="SN301" s="302"/>
      <c r="SO301" s="302"/>
      <c r="SP301" s="302"/>
      <c r="SQ301" s="302"/>
      <c r="SR301" s="302"/>
      <c r="SS301" s="302"/>
      <c r="ST301" s="302"/>
      <c r="SU301" s="302"/>
      <c r="SV301" s="302"/>
      <c r="SW301" s="302"/>
      <c r="SX301" s="302"/>
      <c r="SY301" s="302"/>
      <c r="SZ301" s="302"/>
      <c r="TA301" s="302"/>
      <c r="TB301" s="302"/>
      <c r="TC301" s="302"/>
      <c r="TD301" s="302"/>
      <c r="TE301" s="302"/>
      <c r="TF301" s="302"/>
      <c r="TG301" s="302"/>
      <c r="TH301" s="302"/>
      <c r="TI301" s="302"/>
      <c r="TJ301" s="302"/>
      <c r="TK301" s="302"/>
      <c r="TL301" s="302"/>
      <c r="TM301" s="302"/>
      <c r="TN301" s="302"/>
      <c r="TO301" s="302"/>
      <c r="TP301" s="302"/>
      <c r="TQ301" s="302"/>
      <c r="TR301" s="302"/>
      <c r="TS301" s="302"/>
      <c r="TT301" s="302"/>
      <c r="TU301" s="302"/>
      <c r="TV301" s="302"/>
      <c r="TW301" s="302"/>
      <c r="TX301" s="302"/>
      <c r="TY301" s="302"/>
      <c r="TZ301" s="302"/>
      <c r="UA301" s="302"/>
      <c r="UB301" s="302"/>
      <c r="UC301" s="302"/>
      <c r="UD301" s="302"/>
      <c r="UE301" s="302"/>
      <c r="UF301" s="302"/>
      <c r="UG301" s="302"/>
      <c r="UH301" s="302"/>
      <c r="UI301" s="302"/>
      <c r="UJ301" s="302"/>
      <c r="UK301" s="302"/>
      <c r="UL301" s="302"/>
      <c r="UM301" s="302"/>
      <c r="UN301" s="302"/>
      <c r="UO301" s="302"/>
      <c r="UP301" s="302"/>
      <c r="UQ301" s="302"/>
      <c r="UR301" s="302"/>
      <c r="US301" s="302"/>
      <c r="UT301" s="302"/>
      <c r="UU301" s="302"/>
      <c r="UV301" s="302"/>
      <c r="UW301" s="302"/>
      <c r="UX301" s="302"/>
      <c r="UY301" s="302"/>
      <c r="UZ301" s="302"/>
      <c r="VA301" s="302"/>
      <c r="VB301" s="302"/>
      <c r="VC301" s="302"/>
      <c r="VD301" s="302"/>
      <c r="VE301" s="302"/>
      <c r="VF301" s="302"/>
      <c r="VG301" s="302"/>
      <c r="VH301" s="302"/>
      <c r="VI301" s="302"/>
      <c r="VJ301" s="302"/>
      <c r="VK301" s="302"/>
      <c r="VL301" s="302"/>
      <c r="VM301" s="302"/>
      <c r="VN301" s="302"/>
      <c r="VO301" s="302"/>
      <c r="VP301" s="302"/>
      <c r="VQ301" s="302"/>
      <c r="VR301" s="302"/>
      <c r="VS301" s="302"/>
      <c r="VT301" s="302"/>
      <c r="VU301" s="302"/>
      <c r="VV301" s="302"/>
      <c r="VW301" s="302"/>
      <c r="VX301" s="302"/>
      <c r="VY301" s="302"/>
      <c r="VZ301" s="302"/>
      <c r="WA301" s="302"/>
      <c r="WB301" s="302"/>
      <c r="WC301" s="302"/>
      <c r="WD301" s="302"/>
      <c r="WE301" s="302"/>
      <c r="WF301" s="302"/>
      <c r="WG301" s="302"/>
      <c r="WH301" s="302"/>
      <c r="WI301" s="302"/>
      <c r="WJ301" s="302"/>
      <c r="WK301" s="302"/>
      <c r="WL301" s="302"/>
      <c r="WM301" s="302"/>
      <c r="WN301" s="302"/>
      <c r="WO301" s="302"/>
      <c r="WP301" s="302"/>
      <c r="WQ301" s="302"/>
      <c r="WR301" s="302"/>
      <c r="WS301" s="302"/>
      <c r="WT301" s="302"/>
      <c r="WU301" s="302"/>
      <c r="WV301" s="302"/>
      <c r="WW301" s="302"/>
      <c r="WX301" s="302"/>
      <c r="WY301" s="302"/>
      <c r="WZ301" s="302"/>
      <c r="XA301" s="302"/>
      <c r="XB301" s="302"/>
      <c r="XC301" s="302"/>
      <c r="XD301" s="302"/>
      <c r="XE301" s="302"/>
      <c r="XF301" s="302"/>
      <c r="XG301" s="302"/>
      <c r="XH301" s="302"/>
      <c r="XI301" s="302"/>
      <c r="XJ301" s="302"/>
      <c r="XK301" s="302"/>
      <c r="XL301" s="302"/>
      <c r="XM301" s="302"/>
      <c r="XN301" s="302"/>
      <c r="XO301" s="302"/>
      <c r="XP301" s="302"/>
      <c r="XQ301" s="302"/>
      <c r="XR301" s="302"/>
      <c r="XS301" s="302"/>
      <c r="XT301" s="302"/>
      <c r="XU301" s="302"/>
      <c r="XV301" s="302"/>
      <c r="XW301" s="302"/>
      <c r="XX301" s="302"/>
      <c r="XY301" s="302"/>
      <c r="XZ301" s="302"/>
      <c r="YA301" s="302"/>
      <c r="YB301" s="302"/>
      <c r="YC301" s="302"/>
      <c r="YD301" s="302"/>
      <c r="YE301" s="302"/>
      <c r="YF301" s="302"/>
      <c r="YG301" s="302"/>
      <c r="YH301" s="302"/>
      <c r="YI301" s="302"/>
      <c r="YJ301" s="302"/>
      <c r="YK301" s="302"/>
      <c r="YL301" s="302"/>
      <c r="YM301" s="302"/>
      <c r="YN301" s="302"/>
      <c r="YO301" s="302"/>
      <c r="YP301" s="302"/>
      <c r="YQ301" s="302"/>
      <c r="YR301" s="302"/>
      <c r="YS301" s="302"/>
      <c r="YT301" s="302"/>
      <c r="YU301" s="302"/>
      <c r="YV301" s="302"/>
      <c r="YW301" s="302"/>
      <c r="YX301" s="302"/>
      <c r="YY301" s="302"/>
      <c r="YZ301" s="302"/>
      <c r="ZA301" s="302"/>
      <c r="ZB301" s="302"/>
      <c r="ZC301" s="302"/>
      <c r="ZD301" s="302"/>
      <c r="ZE301" s="302"/>
      <c r="ZF301" s="302"/>
      <c r="ZG301" s="302"/>
      <c r="ZH301" s="302"/>
      <c r="ZI301" s="302"/>
      <c r="ZJ301" s="302"/>
      <c r="ZK301" s="302"/>
      <c r="ZL301" s="302"/>
      <c r="ZM301" s="302"/>
      <c r="ZN301" s="302"/>
      <c r="ZO301" s="302"/>
      <c r="ZP301" s="302"/>
      <c r="ZQ301" s="302"/>
      <c r="ZR301" s="302"/>
      <c r="ZS301" s="302"/>
      <c r="ZT301" s="302"/>
      <c r="ZU301" s="302"/>
      <c r="ZV301" s="302"/>
      <c r="ZW301" s="302"/>
      <c r="ZX301" s="302"/>
      <c r="ZY301" s="302"/>
      <c r="ZZ301" s="302"/>
      <c r="AAA301" s="302"/>
      <c r="AAB301" s="302"/>
      <c r="AAC301" s="302"/>
      <c r="AAD301" s="302"/>
      <c r="AAE301" s="302"/>
      <c r="AAF301" s="302"/>
      <c r="AAG301" s="302"/>
      <c r="AAH301" s="302"/>
      <c r="AAI301" s="302"/>
      <c r="AAJ301" s="302"/>
      <c r="AAK301" s="302"/>
      <c r="AAL301" s="302"/>
      <c r="AAM301" s="302"/>
      <c r="AAN301" s="302"/>
      <c r="AAO301" s="302"/>
      <c r="AAP301" s="302"/>
      <c r="AAQ301" s="302"/>
      <c r="AAR301" s="302"/>
      <c r="AAS301" s="302"/>
      <c r="AAT301" s="302"/>
      <c r="AAU301" s="302"/>
      <c r="AAV301" s="302"/>
      <c r="AAW301" s="302"/>
      <c r="AAX301" s="302"/>
      <c r="AAY301" s="302"/>
      <c r="AAZ301" s="302"/>
      <c r="ABA301" s="302"/>
      <c r="ABB301" s="302"/>
      <c r="ABC301" s="302"/>
      <c r="ABD301" s="302"/>
      <c r="ABE301" s="302"/>
      <c r="ABF301" s="302"/>
      <c r="ABG301" s="302"/>
      <c r="ABH301" s="302"/>
      <c r="ABI301" s="302"/>
      <c r="ABJ301" s="302"/>
      <c r="ABK301" s="302"/>
      <c r="ABL301" s="302"/>
      <c r="ABM301" s="302"/>
      <c r="ABN301" s="302"/>
      <c r="ABO301" s="302"/>
      <c r="ABP301" s="302"/>
      <c r="ABQ301" s="302"/>
      <c r="ABR301" s="302"/>
      <c r="ABS301" s="302"/>
      <c r="ABT301" s="302"/>
      <c r="ABU301" s="302"/>
      <c r="ABV301" s="302"/>
      <c r="ABW301" s="302"/>
      <c r="ABX301" s="302"/>
      <c r="ABY301" s="302"/>
      <c r="ABZ301" s="302"/>
      <c r="ACA301" s="302"/>
      <c r="ACB301" s="302"/>
      <c r="ACC301" s="302"/>
      <c r="ACD301" s="302"/>
      <c r="ACE301" s="302"/>
      <c r="ACF301" s="302"/>
      <c r="ACG301" s="302"/>
      <c r="ACH301" s="302"/>
      <c r="ACI301" s="302"/>
      <c r="ACJ301" s="302"/>
      <c r="ACK301" s="302"/>
      <c r="ACL301" s="302"/>
      <c r="ACM301" s="302"/>
      <c r="ACN301" s="302"/>
      <c r="ACO301" s="302"/>
      <c r="ACP301" s="302"/>
      <c r="ACQ301" s="302"/>
      <c r="ACR301" s="302"/>
      <c r="ACS301" s="302"/>
      <c r="ACT301" s="302"/>
      <c r="ACU301" s="302"/>
      <c r="ACV301" s="302"/>
      <c r="ACW301" s="302"/>
      <c r="ACX301" s="302"/>
      <c r="ACY301" s="302"/>
      <c r="ACZ301" s="302"/>
      <c r="ADA301" s="302"/>
      <c r="ADB301" s="302"/>
      <c r="ADC301" s="302"/>
      <c r="ADD301" s="302"/>
      <c r="ADE301" s="302"/>
      <c r="ADF301" s="302"/>
      <c r="ADG301" s="302"/>
      <c r="ADH301" s="302"/>
      <c r="ADI301" s="302"/>
      <c r="ADJ301" s="302"/>
      <c r="ADK301" s="302"/>
      <c r="ADL301" s="302"/>
      <c r="ADM301" s="302"/>
      <c r="ADN301" s="302"/>
      <c r="ADO301" s="302"/>
      <c r="ADP301" s="302"/>
      <c r="ADQ301" s="302"/>
      <c r="ADR301" s="302"/>
      <c r="ADS301" s="302"/>
      <c r="ADT301" s="302"/>
      <c r="ADU301" s="302"/>
      <c r="ADV301" s="302"/>
      <c r="ADW301" s="302"/>
      <c r="ADX301" s="302"/>
      <c r="ADY301" s="302"/>
      <c r="ADZ301" s="302"/>
      <c r="AEA301" s="302"/>
      <c r="AEB301" s="302"/>
      <c r="AEC301" s="302"/>
      <c r="AED301" s="302"/>
      <c r="AEE301" s="302"/>
      <c r="AEF301" s="302"/>
      <c r="AEG301" s="302"/>
      <c r="AEH301" s="302"/>
      <c r="AEI301" s="302"/>
      <c r="AEJ301" s="302"/>
      <c r="AEK301" s="302"/>
      <c r="AEL301" s="302"/>
      <c r="AEM301" s="302"/>
      <c r="AEN301" s="302"/>
      <c r="AEO301" s="302"/>
      <c r="AEP301" s="302"/>
      <c r="AEQ301" s="302"/>
      <c r="AER301" s="302"/>
      <c r="AES301" s="302"/>
      <c r="AET301" s="302"/>
      <c r="AEU301" s="302"/>
      <c r="AEV301" s="302"/>
      <c r="AEW301" s="302"/>
      <c r="AEX301" s="302"/>
      <c r="AEY301" s="302"/>
      <c r="AEZ301" s="302"/>
      <c r="AFA301" s="302"/>
      <c r="AFB301" s="302"/>
      <c r="AFC301" s="302"/>
      <c r="AFD301" s="302"/>
      <c r="AFE301" s="302"/>
      <c r="AFF301" s="302"/>
      <c r="AFG301" s="302"/>
      <c r="AFH301" s="302"/>
      <c r="AFI301" s="302"/>
      <c r="AFJ301" s="302"/>
      <c r="AFK301" s="302"/>
      <c r="AFL301" s="302"/>
      <c r="AFM301" s="302"/>
      <c r="AFN301" s="302"/>
      <c r="AFO301" s="302"/>
      <c r="AFP301" s="302"/>
      <c r="AFQ301" s="302"/>
      <c r="AFR301" s="302"/>
      <c r="AFS301" s="302"/>
      <c r="AFT301" s="302"/>
      <c r="AFU301" s="302"/>
      <c r="AFV301" s="302"/>
      <c r="AFW301" s="302"/>
      <c r="AFX301" s="302"/>
      <c r="AFY301" s="302"/>
      <c r="AFZ301" s="302"/>
      <c r="AGA301" s="302"/>
      <c r="AGB301" s="302"/>
      <c r="AGC301" s="302"/>
      <c r="AGD301" s="302"/>
      <c r="AGE301" s="302"/>
      <c r="AGF301" s="302"/>
      <c r="AGG301" s="302"/>
      <c r="AGH301" s="302"/>
      <c r="AGI301" s="302"/>
      <c r="AGJ301" s="302"/>
      <c r="AGK301" s="302"/>
      <c r="AGL301" s="302"/>
      <c r="AGM301" s="302"/>
      <c r="AGN301" s="302"/>
      <c r="AGO301" s="302"/>
      <c r="AGP301" s="302"/>
      <c r="AGQ301" s="302"/>
      <c r="AGR301" s="302"/>
      <c r="AGS301" s="302"/>
      <c r="AGT301" s="302"/>
      <c r="AGU301" s="302"/>
      <c r="AGV301" s="302"/>
      <c r="AGW301" s="302"/>
      <c r="AGX301" s="302"/>
      <c r="AGY301" s="302"/>
      <c r="AGZ301" s="302"/>
      <c r="AHA301" s="302"/>
      <c r="AHB301" s="302"/>
      <c r="AHC301" s="302"/>
      <c r="AHD301" s="302"/>
      <c r="AHE301" s="302"/>
      <c r="AHF301" s="302"/>
      <c r="AHG301" s="302"/>
      <c r="AHH301" s="302"/>
      <c r="AHI301" s="302"/>
      <c r="AHJ301" s="302"/>
      <c r="AHK301" s="302"/>
      <c r="AHL301" s="302"/>
      <c r="AHM301" s="302"/>
      <c r="AHN301" s="302"/>
      <c r="AHO301" s="302"/>
      <c r="AHP301" s="302"/>
      <c r="AHQ301" s="302"/>
      <c r="AHR301" s="302"/>
      <c r="AHS301" s="302"/>
      <c r="AHT301" s="302"/>
      <c r="AHU301" s="302"/>
      <c r="AHV301" s="302"/>
      <c r="AHW301" s="302"/>
      <c r="AHX301" s="302"/>
      <c r="AHY301" s="302"/>
      <c r="AHZ301" s="302"/>
      <c r="AIA301" s="302"/>
      <c r="AIB301" s="302"/>
      <c r="AIC301" s="302"/>
      <c r="AID301" s="302"/>
      <c r="AIE301" s="302"/>
      <c r="AIF301" s="302"/>
      <c r="AIG301" s="302"/>
      <c r="AIH301" s="302"/>
      <c r="AII301" s="302"/>
      <c r="AIJ301" s="302"/>
      <c r="AIK301" s="302"/>
      <c r="AIL301" s="302"/>
      <c r="AIM301" s="302"/>
      <c r="AIN301" s="302"/>
      <c r="AIO301" s="302"/>
      <c r="AIP301" s="302"/>
      <c r="AIQ301" s="302"/>
      <c r="AIR301" s="302"/>
      <c r="AIS301" s="302"/>
      <c r="AIT301" s="302"/>
      <c r="AIU301" s="302"/>
      <c r="AIV301" s="302"/>
      <c r="AIW301" s="302"/>
      <c r="AIX301" s="302"/>
      <c r="AIY301" s="302"/>
      <c r="AIZ301" s="302"/>
      <c r="AJA301" s="302"/>
      <c r="AJB301" s="302"/>
      <c r="AJC301" s="302"/>
      <c r="AJD301" s="302"/>
      <c r="AJE301" s="302"/>
      <c r="AJF301" s="302"/>
      <c r="AJG301" s="302"/>
      <c r="AJH301" s="302"/>
      <c r="AJI301" s="302"/>
      <c r="AJJ301" s="302"/>
      <c r="AJK301" s="302"/>
      <c r="AJL301" s="302"/>
      <c r="AJM301" s="302"/>
      <c r="AJN301" s="302"/>
      <c r="AJO301" s="302"/>
      <c r="AJP301" s="302"/>
      <c r="AJQ301" s="302"/>
      <c r="AJR301" s="302"/>
      <c r="AJS301" s="302"/>
      <c r="AJT301" s="302"/>
      <c r="AJU301" s="302"/>
      <c r="AJV301" s="302"/>
      <c r="AJW301" s="302"/>
      <c r="AJX301" s="302"/>
      <c r="AJY301" s="302"/>
      <c r="AJZ301" s="302"/>
      <c r="AKA301" s="302"/>
      <c r="AKB301" s="302"/>
      <c r="AKC301" s="302"/>
      <c r="AKD301" s="302"/>
      <c r="AKE301" s="302"/>
      <c r="AKF301" s="302"/>
      <c r="AKG301" s="302"/>
      <c r="AKH301" s="302"/>
      <c r="AKI301" s="302"/>
      <c r="AKJ301" s="302"/>
      <c r="AKK301" s="302"/>
      <c r="AKL301" s="302"/>
      <c r="AKM301" s="302"/>
      <c r="AKN301" s="302"/>
      <c r="AKO301" s="302"/>
      <c r="AKP301" s="302"/>
      <c r="AKQ301" s="302"/>
      <c r="AKR301" s="302"/>
      <c r="AKS301" s="302"/>
      <c r="AKT301" s="302"/>
      <c r="AKU301" s="302"/>
      <c r="AKV301" s="302"/>
      <c r="AKW301" s="302"/>
      <c r="AKX301" s="302"/>
      <c r="AKY301" s="302"/>
      <c r="AKZ301" s="302"/>
      <c r="ALA301" s="302"/>
      <c r="ALB301" s="302"/>
      <c r="ALC301" s="302"/>
      <c r="ALD301" s="302"/>
      <c r="ALE301" s="302"/>
      <c r="ALF301" s="302"/>
      <c r="ALG301" s="302"/>
      <c r="ALH301" s="302"/>
      <c r="ALI301" s="302"/>
      <c r="ALJ301" s="302"/>
      <c r="ALK301" s="302"/>
      <c r="ALL301" s="302"/>
      <c r="ALM301" s="302"/>
      <c r="ALN301" s="302"/>
      <c r="ALO301" s="302"/>
      <c r="ALP301" s="302"/>
      <c r="ALQ301" s="302"/>
      <c r="ALR301" s="302"/>
      <c r="ALS301" s="302"/>
      <c r="ALT301" s="302"/>
      <c r="ALU301" s="302"/>
      <c r="ALV301" s="302"/>
      <c r="ALW301" s="302"/>
      <c r="ALX301" s="302"/>
      <c r="ALY301" s="302"/>
      <c r="ALZ301" s="302"/>
      <c r="AMA301" s="302"/>
      <c r="AMB301" s="302"/>
      <c r="AMC301" s="302"/>
      <c r="AMD301" s="302"/>
      <c r="AME301" s="302"/>
      <c r="AMF301" s="302"/>
      <c r="AMG301" s="302"/>
      <c r="AMH301" s="302"/>
      <c r="AMI301" s="302"/>
    </row>
    <row r="302" spans="1:1023" hidden="1">
      <c r="A302" s="302"/>
      <c r="B302" s="442">
        <v>14219</v>
      </c>
      <c r="C302" s="430">
        <v>0.08</v>
      </c>
      <c r="D302" s="370" t="s">
        <v>187</v>
      </c>
      <c r="E302" s="433">
        <v>3700000</v>
      </c>
      <c r="F302" s="500">
        <v>0.02</v>
      </c>
      <c r="G302" s="364">
        <f t="shared" si="17"/>
        <v>74000</v>
      </c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  <c r="AD302" s="302"/>
      <c r="AE302" s="302"/>
      <c r="AF302" s="302"/>
      <c r="AG302" s="302"/>
      <c r="AH302" s="302"/>
      <c r="AI302" s="302"/>
      <c r="AJ302" s="302"/>
      <c r="AK302" s="302"/>
      <c r="AL302" s="302"/>
      <c r="AM302" s="302"/>
      <c r="AN302" s="302"/>
      <c r="AO302" s="302"/>
      <c r="AP302" s="302"/>
      <c r="AQ302" s="302"/>
      <c r="AR302" s="302"/>
      <c r="AS302" s="302"/>
      <c r="AT302" s="302"/>
      <c r="AU302" s="302"/>
      <c r="AV302" s="302"/>
      <c r="AW302" s="302"/>
      <c r="AX302" s="302"/>
      <c r="AY302" s="302"/>
      <c r="AZ302" s="302"/>
      <c r="BA302" s="302"/>
      <c r="BB302" s="302"/>
      <c r="BC302" s="302"/>
      <c r="BD302" s="302"/>
      <c r="BE302" s="302"/>
      <c r="BF302" s="302"/>
      <c r="BG302" s="302"/>
      <c r="BH302" s="302"/>
      <c r="BI302" s="302"/>
      <c r="BJ302" s="302"/>
      <c r="BK302" s="302"/>
      <c r="BL302" s="302"/>
      <c r="BM302" s="302"/>
      <c r="BN302" s="302"/>
      <c r="BO302" s="302"/>
      <c r="BP302" s="302"/>
      <c r="BQ302" s="302"/>
      <c r="BR302" s="302"/>
      <c r="BS302" s="302"/>
      <c r="BT302" s="302"/>
      <c r="BU302" s="302"/>
      <c r="BV302" s="302"/>
      <c r="BW302" s="302"/>
      <c r="BX302" s="302"/>
      <c r="BY302" s="302"/>
      <c r="BZ302" s="302"/>
      <c r="CA302" s="302"/>
      <c r="CB302" s="302"/>
      <c r="CC302" s="302"/>
      <c r="CD302" s="302"/>
      <c r="CE302" s="302"/>
      <c r="CF302" s="302"/>
      <c r="CG302" s="302"/>
      <c r="CH302" s="302"/>
      <c r="CI302" s="302"/>
      <c r="CJ302" s="302"/>
      <c r="CK302" s="302"/>
      <c r="CL302" s="302"/>
      <c r="CM302" s="302"/>
      <c r="CN302" s="302"/>
      <c r="CO302" s="302"/>
      <c r="CP302" s="302"/>
      <c r="CQ302" s="302"/>
      <c r="CR302" s="302"/>
      <c r="CS302" s="302"/>
      <c r="CT302" s="302"/>
      <c r="CU302" s="302"/>
      <c r="CV302" s="302"/>
      <c r="CW302" s="302"/>
      <c r="CX302" s="302"/>
      <c r="CY302" s="302"/>
      <c r="CZ302" s="302"/>
      <c r="DA302" s="302"/>
      <c r="DB302" s="302"/>
      <c r="DC302" s="302"/>
      <c r="DD302" s="302"/>
      <c r="DE302" s="302"/>
      <c r="DF302" s="302"/>
      <c r="DG302" s="302"/>
      <c r="DH302" s="302"/>
      <c r="DI302" s="302"/>
      <c r="DJ302" s="302"/>
      <c r="DK302" s="302"/>
      <c r="DL302" s="302"/>
      <c r="DM302" s="302"/>
      <c r="DN302" s="302"/>
      <c r="DO302" s="302"/>
      <c r="DP302" s="302"/>
      <c r="DQ302" s="302"/>
      <c r="DR302" s="302"/>
      <c r="DS302" s="302"/>
      <c r="DT302" s="302"/>
      <c r="DU302" s="302"/>
      <c r="DV302" s="302"/>
      <c r="DW302" s="302"/>
      <c r="DX302" s="302"/>
      <c r="DY302" s="302"/>
      <c r="DZ302" s="302"/>
      <c r="EA302" s="302"/>
      <c r="EB302" s="302"/>
      <c r="EC302" s="302"/>
      <c r="ED302" s="302"/>
      <c r="EE302" s="302"/>
      <c r="EF302" s="302"/>
      <c r="EG302" s="302"/>
      <c r="EH302" s="302"/>
      <c r="EI302" s="302"/>
      <c r="EJ302" s="302"/>
      <c r="EK302" s="302"/>
      <c r="EL302" s="302"/>
      <c r="EM302" s="302"/>
      <c r="EN302" s="302"/>
      <c r="EO302" s="302"/>
      <c r="EP302" s="302"/>
      <c r="EQ302" s="302"/>
      <c r="ER302" s="302"/>
      <c r="ES302" s="302"/>
      <c r="ET302" s="302"/>
      <c r="EU302" s="302"/>
      <c r="EV302" s="302"/>
      <c r="EW302" s="302"/>
      <c r="EX302" s="302"/>
      <c r="EY302" s="302"/>
      <c r="EZ302" s="302"/>
      <c r="FA302" s="302"/>
      <c r="FB302" s="302"/>
      <c r="FC302" s="302"/>
      <c r="FD302" s="302"/>
      <c r="FE302" s="302"/>
      <c r="FF302" s="302"/>
      <c r="FG302" s="302"/>
      <c r="FH302" s="302"/>
      <c r="FI302" s="302"/>
      <c r="FJ302" s="302"/>
      <c r="FK302" s="302"/>
      <c r="FL302" s="302"/>
      <c r="FM302" s="302"/>
      <c r="FN302" s="302"/>
      <c r="FO302" s="302"/>
      <c r="FP302" s="302"/>
      <c r="FQ302" s="302"/>
      <c r="FR302" s="302"/>
      <c r="FS302" s="302"/>
      <c r="FT302" s="302"/>
      <c r="FU302" s="302"/>
      <c r="FV302" s="302"/>
      <c r="FW302" s="302"/>
      <c r="FX302" s="302"/>
      <c r="FY302" s="302"/>
      <c r="FZ302" s="302"/>
      <c r="GA302" s="302"/>
      <c r="GB302" s="302"/>
      <c r="GC302" s="302"/>
      <c r="GD302" s="302"/>
      <c r="GE302" s="302"/>
      <c r="GF302" s="302"/>
      <c r="GG302" s="302"/>
      <c r="GH302" s="302"/>
      <c r="GI302" s="302"/>
      <c r="GJ302" s="302"/>
      <c r="GK302" s="302"/>
      <c r="GL302" s="302"/>
      <c r="GM302" s="302"/>
      <c r="GN302" s="302"/>
      <c r="GO302" s="302"/>
      <c r="GP302" s="302"/>
      <c r="GQ302" s="302"/>
      <c r="GR302" s="302"/>
      <c r="GS302" s="302"/>
      <c r="GT302" s="302"/>
      <c r="GU302" s="302"/>
      <c r="GV302" s="302"/>
      <c r="GW302" s="302"/>
      <c r="GX302" s="302"/>
      <c r="GY302" s="302"/>
      <c r="GZ302" s="302"/>
      <c r="HA302" s="302"/>
      <c r="HB302" s="302"/>
      <c r="HC302" s="302"/>
      <c r="HD302" s="302"/>
      <c r="HE302" s="302"/>
      <c r="HF302" s="302"/>
      <c r="HG302" s="302"/>
      <c r="HH302" s="302"/>
      <c r="HI302" s="302"/>
      <c r="HJ302" s="302"/>
      <c r="HK302" s="302"/>
      <c r="HL302" s="302"/>
      <c r="HM302" s="302"/>
      <c r="HN302" s="302"/>
      <c r="HO302" s="302"/>
      <c r="HP302" s="302"/>
      <c r="HQ302" s="302"/>
      <c r="HR302" s="302"/>
      <c r="HS302" s="302"/>
      <c r="HT302" s="302"/>
      <c r="HU302" s="302"/>
      <c r="HV302" s="302"/>
      <c r="HW302" s="302"/>
      <c r="HX302" s="302"/>
      <c r="HY302" s="302"/>
      <c r="HZ302" s="302"/>
      <c r="IA302" s="302"/>
      <c r="IB302" s="302"/>
      <c r="IC302" s="302"/>
      <c r="ID302" s="302"/>
      <c r="IE302" s="302"/>
      <c r="IF302" s="302"/>
      <c r="IG302" s="302"/>
      <c r="IH302" s="302"/>
      <c r="II302" s="302"/>
      <c r="IJ302" s="302"/>
      <c r="IK302" s="302"/>
      <c r="IL302" s="302"/>
      <c r="IM302" s="302"/>
      <c r="IN302" s="302"/>
      <c r="IO302" s="302"/>
      <c r="IP302" s="302"/>
      <c r="IQ302" s="302"/>
      <c r="IR302" s="302"/>
      <c r="IS302" s="302"/>
      <c r="IT302" s="302"/>
      <c r="IU302" s="302"/>
      <c r="IV302" s="302"/>
      <c r="IW302" s="302"/>
      <c r="IX302" s="302"/>
      <c r="IY302" s="302"/>
      <c r="IZ302" s="302"/>
      <c r="JA302" s="302"/>
      <c r="JB302" s="302"/>
      <c r="JC302" s="302"/>
      <c r="JD302" s="302"/>
      <c r="JE302" s="302"/>
      <c r="JF302" s="302"/>
      <c r="JG302" s="302"/>
      <c r="JH302" s="302"/>
      <c r="JI302" s="302"/>
      <c r="JJ302" s="302"/>
      <c r="JK302" s="302"/>
      <c r="JL302" s="302"/>
      <c r="JM302" s="302"/>
      <c r="JN302" s="302"/>
      <c r="JO302" s="302"/>
      <c r="JP302" s="302"/>
      <c r="JQ302" s="302"/>
      <c r="JR302" s="302"/>
      <c r="JS302" s="302"/>
      <c r="JT302" s="302"/>
      <c r="JU302" s="302"/>
      <c r="JV302" s="302"/>
      <c r="JW302" s="302"/>
      <c r="JX302" s="302"/>
      <c r="JY302" s="302"/>
      <c r="JZ302" s="302"/>
      <c r="KA302" s="302"/>
      <c r="KB302" s="302"/>
      <c r="KC302" s="302"/>
      <c r="KD302" s="302"/>
      <c r="KE302" s="302"/>
      <c r="KF302" s="302"/>
      <c r="KG302" s="302"/>
      <c r="KH302" s="302"/>
      <c r="KI302" s="302"/>
      <c r="KJ302" s="302"/>
      <c r="KK302" s="302"/>
      <c r="KL302" s="302"/>
      <c r="KM302" s="302"/>
      <c r="KN302" s="302"/>
      <c r="KO302" s="302"/>
      <c r="KP302" s="302"/>
      <c r="KQ302" s="302"/>
      <c r="KR302" s="302"/>
      <c r="KS302" s="302"/>
      <c r="KT302" s="302"/>
      <c r="KU302" s="302"/>
      <c r="KV302" s="302"/>
      <c r="KW302" s="302"/>
      <c r="KX302" s="302"/>
      <c r="KY302" s="302"/>
      <c r="KZ302" s="302"/>
      <c r="LA302" s="302"/>
      <c r="LB302" s="302"/>
      <c r="LC302" s="302"/>
      <c r="LD302" s="302"/>
      <c r="LE302" s="302"/>
      <c r="LF302" s="302"/>
      <c r="LG302" s="302"/>
      <c r="LH302" s="302"/>
      <c r="LI302" s="302"/>
      <c r="LJ302" s="302"/>
      <c r="LK302" s="302"/>
      <c r="LL302" s="302"/>
      <c r="LM302" s="302"/>
      <c r="LN302" s="302"/>
      <c r="LO302" s="302"/>
      <c r="LP302" s="302"/>
      <c r="LQ302" s="302"/>
      <c r="LR302" s="302"/>
      <c r="LS302" s="302"/>
      <c r="LT302" s="302"/>
      <c r="LU302" s="302"/>
      <c r="LV302" s="302"/>
      <c r="LW302" s="302"/>
      <c r="LX302" s="302"/>
      <c r="LY302" s="302"/>
      <c r="LZ302" s="302"/>
      <c r="MA302" s="302"/>
      <c r="MB302" s="302"/>
      <c r="MC302" s="302"/>
      <c r="MD302" s="302"/>
      <c r="ME302" s="302"/>
      <c r="MF302" s="302"/>
      <c r="MG302" s="302"/>
      <c r="MH302" s="302"/>
      <c r="MI302" s="302"/>
      <c r="MJ302" s="302"/>
      <c r="MK302" s="302"/>
      <c r="ML302" s="302"/>
      <c r="MM302" s="302"/>
      <c r="MN302" s="302"/>
      <c r="MO302" s="302"/>
      <c r="MP302" s="302"/>
      <c r="MQ302" s="302"/>
      <c r="MR302" s="302"/>
      <c r="MS302" s="302"/>
      <c r="MT302" s="302"/>
      <c r="MU302" s="302"/>
      <c r="MV302" s="302"/>
      <c r="MW302" s="302"/>
      <c r="MX302" s="302"/>
      <c r="MY302" s="302"/>
      <c r="MZ302" s="302"/>
      <c r="NA302" s="302"/>
      <c r="NB302" s="302"/>
      <c r="NC302" s="302"/>
      <c r="ND302" s="302"/>
      <c r="NE302" s="302"/>
      <c r="NF302" s="302"/>
      <c r="NG302" s="302"/>
      <c r="NH302" s="302"/>
      <c r="NI302" s="302"/>
      <c r="NJ302" s="302"/>
      <c r="NK302" s="302"/>
      <c r="NL302" s="302"/>
      <c r="NM302" s="302"/>
      <c r="NN302" s="302"/>
      <c r="NO302" s="302"/>
      <c r="NP302" s="302"/>
      <c r="NQ302" s="302"/>
      <c r="NR302" s="302"/>
      <c r="NS302" s="302"/>
      <c r="NT302" s="302"/>
      <c r="NU302" s="302"/>
      <c r="NV302" s="302"/>
      <c r="NW302" s="302"/>
      <c r="NX302" s="302"/>
      <c r="NY302" s="302"/>
      <c r="NZ302" s="302"/>
      <c r="OA302" s="302"/>
      <c r="OB302" s="302"/>
      <c r="OC302" s="302"/>
      <c r="OD302" s="302"/>
      <c r="OE302" s="302"/>
      <c r="OF302" s="302"/>
      <c r="OG302" s="302"/>
      <c r="OH302" s="302"/>
      <c r="OI302" s="302"/>
      <c r="OJ302" s="302"/>
      <c r="OK302" s="302"/>
      <c r="OL302" s="302"/>
      <c r="OM302" s="302"/>
      <c r="ON302" s="302"/>
      <c r="OO302" s="302"/>
      <c r="OP302" s="302"/>
      <c r="OQ302" s="302"/>
      <c r="OR302" s="302"/>
      <c r="OS302" s="302"/>
      <c r="OT302" s="302"/>
      <c r="OU302" s="302"/>
      <c r="OV302" s="302"/>
      <c r="OW302" s="302"/>
      <c r="OX302" s="302"/>
      <c r="OY302" s="302"/>
      <c r="OZ302" s="302"/>
      <c r="PA302" s="302"/>
      <c r="PB302" s="302"/>
      <c r="PC302" s="302"/>
      <c r="PD302" s="302"/>
      <c r="PE302" s="302"/>
      <c r="PF302" s="302"/>
      <c r="PG302" s="302"/>
      <c r="PH302" s="302"/>
      <c r="PI302" s="302"/>
      <c r="PJ302" s="302"/>
      <c r="PK302" s="302"/>
      <c r="PL302" s="302"/>
      <c r="PM302" s="302"/>
      <c r="PN302" s="302"/>
      <c r="PO302" s="302"/>
      <c r="PP302" s="302"/>
      <c r="PQ302" s="302"/>
      <c r="PR302" s="302"/>
      <c r="PS302" s="302"/>
      <c r="PT302" s="302"/>
      <c r="PU302" s="302"/>
      <c r="PV302" s="302"/>
      <c r="PW302" s="302"/>
      <c r="PX302" s="302"/>
      <c r="PY302" s="302"/>
      <c r="PZ302" s="302"/>
      <c r="QA302" s="302"/>
      <c r="QB302" s="302"/>
      <c r="QC302" s="302"/>
      <c r="QD302" s="302"/>
      <c r="QE302" s="302"/>
      <c r="QF302" s="302"/>
      <c r="QG302" s="302"/>
      <c r="QH302" s="302"/>
      <c r="QI302" s="302"/>
      <c r="QJ302" s="302"/>
      <c r="QK302" s="302"/>
      <c r="QL302" s="302"/>
      <c r="QM302" s="302"/>
      <c r="QN302" s="302"/>
      <c r="QO302" s="302"/>
      <c r="QP302" s="302"/>
      <c r="QQ302" s="302"/>
      <c r="QR302" s="302"/>
      <c r="QS302" s="302"/>
      <c r="QT302" s="302"/>
      <c r="QU302" s="302"/>
      <c r="QV302" s="302"/>
      <c r="QW302" s="302"/>
      <c r="QX302" s="302"/>
      <c r="QY302" s="302"/>
      <c r="QZ302" s="302"/>
      <c r="RA302" s="302"/>
      <c r="RB302" s="302"/>
      <c r="RC302" s="302"/>
      <c r="RD302" s="302"/>
      <c r="RE302" s="302"/>
      <c r="RF302" s="302"/>
      <c r="RG302" s="302"/>
      <c r="RH302" s="302"/>
      <c r="RI302" s="302"/>
      <c r="RJ302" s="302"/>
      <c r="RK302" s="302"/>
      <c r="RL302" s="302"/>
      <c r="RM302" s="302"/>
      <c r="RN302" s="302"/>
      <c r="RO302" s="302"/>
      <c r="RP302" s="302"/>
      <c r="RQ302" s="302"/>
      <c r="RR302" s="302"/>
      <c r="RS302" s="302"/>
      <c r="RT302" s="302"/>
      <c r="RU302" s="302"/>
      <c r="RV302" s="302"/>
      <c r="RW302" s="302"/>
      <c r="RX302" s="302"/>
      <c r="RY302" s="302"/>
      <c r="RZ302" s="302"/>
      <c r="SA302" s="302"/>
      <c r="SB302" s="302"/>
      <c r="SC302" s="302"/>
      <c r="SD302" s="302"/>
      <c r="SE302" s="302"/>
      <c r="SF302" s="302"/>
      <c r="SG302" s="302"/>
      <c r="SH302" s="302"/>
      <c r="SI302" s="302"/>
      <c r="SJ302" s="302"/>
      <c r="SK302" s="302"/>
      <c r="SL302" s="302"/>
      <c r="SM302" s="302"/>
      <c r="SN302" s="302"/>
      <c r="SO302" s="302"/>
      <c r="SP302" s="302"/>
      <c r="SQ302" s="302"/>
      <c r="SR302" s="302"/>
      <c r="SS302" s="302"/>
      <c r="ST302" s="302"/>
      <c r="SU302" s="302"/>
      <c r="SV302" s="302"/>
      <c r="SW302" s="302"/>
      <c r="SX302" s="302"/>
      <c r="SY302" s="302"/>
      <c r="SZ302" s="302"/>
      <c r="TA302" s="302"/>
      <c r="TB302" s="302"/>
      <c r="TC302" s="302"/>
      <c r="TD302" s="302"/>
      <c r="TE302" s="302"/>
      <c r="TF302" s="302"/>
      <c r="TG302" s="302"/>
      <c r="TH302" s="302"/>
      <c r="TI302" s="302"/>
      <c r="TJ302" s="302"/>
      <c r="TK302" s="302"/>
      <c r="TL302" s="302"/>
      <c r="TM302" s="302"/>
      <c r="TN302" s="302"/>
      <c r="TO302" s="302"/>
      <c r="TP302" s="302"/>
      <c r="TQ302" s="302"/>
      <c r="TR302" s="302"/>
      <c r="TS302" s="302"/>
      <c r="TT302" s="302"/>
      <c r="TU302" s="302"/>
      <c r="TV302" s="302"/>
      <c r="TW302" s="302"/>
      <c r="TX302" s="302"/>
      <c r="TY302" s="302"/>
      <c r="TZ302" s="302"/>
      <c r="UA302" s="302"/>
      <c r="UB302" s="302"/>
      <c r="UC302" s="302"/>
      <c r="UD302" s="302"/>
      <c r="UE302" s="302"/>
      <c r="UF302" s="302"/>
      <c r="UG302" s="302"/>
      <c r="UH302" s="302"/>
      <c r="UI302" s="302"/>
      <c r="UJ302" s="302"/>
      <c r="UK302" s="302"/>
      <c r="UL302" s="302"/>
      <c r="UM302" s="302"/>
      <c r="UN302" s="302"/>
      <c r="UO302" s="302"/>
      <c r="UP302" s="302"/>
      <c r="UQ302" s="302"/>
      <c r="UR302" s="302"/>
      <c r="US302" s="302"/>
      <c r="UT302" s="302"/>
      <c r="UU302" s="302"/>
      <c r="UV302" s="302"/>
      <c r="UW302" s="302"/>
      <c r="UX302" s="302"/>
      <c r="UY302" s="302"/>
      <c r="UZ302" s="302"/>
      <c r="VA302" s="302"/>
      <c r="VB302" s="302"/>
      <c r="VC302" s="302"/>
      <c r="VD302" s="302"/>
      <c r="VE302" s="302"/>
      <c r="VF302" s="302"/>
      <c r="VG302" s="302"/>
      <c r="VH302" s="302"/>
      <c r="VI302" s="302"/>
      <c r="VJ302" s="302"/>
      <c r="VK302" s="302"/>
      <c r="VL302" s="302"/>
      <c r="VM302" s="302"/>
      <c r="VN302" s="302"/>
      <c r="VO302" s="302"/>
      <c r="VP302" s="302"/>
      <c r="VQ302" s="302"/>
      <c r="VR302" s="302"/>
      <c r="VS302" s="302"/>
      <c r="VT302" s="302"/>
      <c r="VU302" s="302"/>
      <c r="VV302" s="302"/>
      <c r="VW302" s="302"/>
      <c r="VX302" s="302"/>
      <c r="VY302" s="302"/>
      <c r="VZ302" s="302"/>
      <c r="WA302" s="302"/>
      <c r="WB302" s="302"/>
      <c r="WC302" s="302"/>
      <c r="WD302" s="302"/>
      <c r="WE302" s="302"/>
      <c r="WF302" s="302"/>
      <c r="WG302" s="302"/>
      <c r="WH302" s="302"/>
      <c r="WI302" s="302"/>
      <c r="WJ302" s="302"/>
      <c r="WK302" s="302"/>
      <c r="WL302" s="302"/>
      <c r="WM302" s="302"/>
      <c r="WN302" s="302"/>
      <c r="WO302" s="302"/>
      <c r="WP302" s="302"/>
      <c r="WQ302" s="302"/>
      <c r="WR302" s="302"/>
      <c r="WS302" s="302"/>
      <c r="WT302" s="302"/>
      <c r="WU302" s="302"/>
      <c r="WV302" s="302"/>
      <c r="WW302" s="302"/>
      <c r="WX302" s="302"/>
      <c r="WY302" s="302"/>
      <c r="WZ302" s="302"/>
      <c r="XA302" s="302"/>
      <c r="XB302" s="302"/>
      <c r="XC302" s="302"/>
      <c r="XD302" s="302"/>
      <c r="XE302" s="302"/>
      <c r="XF302" s="302"/>
      <c r="XG302" s="302"/>
      <c r="XH302" s="302"/>
      <c r="XI302" s="302"/>
      <c r="XJ302" s="302"/>
      <c r="XK302" s="302"/>
      <c r="XL302" s="302"/>
      <c r="XM302" s="302"/>
      <c r="XN302" s="302"/>
      <c r="XO302" s="302"/>
      <c r="XP302" s="302"/>
      <c r="XQ302" s="302"/>
      <c r="XR302" s="302"/>
      <c r="XS302" s="302"/>
      <c r="XT302" s="302"/>
      <c r="XU302" s="302"/>
      <c r="XV302" s="302"/>
      <c r="XW302" s="302"/>
      <c r="XX302" s="302"/>
      <c r="XY302" s="302"/>
      <c r="XZ302" s="302"/>
      <c r="YA302" s="302"/>
      <c r="YB302" s="302"/>
      <c r="YC302" s="302"/>
      <c r="YD302" s="302"/>
      <c r="YE302" s="302"/>
      <c r="YF302" s="302"/>
      <c r="YG302" s="302"/>
      <c r="YH302" s="302"/>
      <c r="YI302" s="302"/>
      <c r="YJ302" s="302"/>
      <c r="YK302" s="302"/>
      <c r="YL302" s="302"/>
      <c r="YM302" s="302"/>
      <c r="YN302" s="302"/>
      <c r="YO302" s="302"/>
      <c r="YP302" s="302"/>
      <c r="YQ302" s="302"/>
      <c r="YR302" s="302"/>
      <c r="YS302" s="302"/>
      <c r="YT302" s="302"/>
      <c r="YU302" s="302"/>
      <c r="YV302" s="302"/>
      <c r="YW302" s="302"/>
      <c r="YX302" s="302"/>
      <c r="YY302" s="302"/>
      <c r="YZ302" s="302"/>
      <c r="ZA302" s="302"/>
      <c r="ZB302" s="302"/>
      <c r="ZC302" s="302"/>
      <c r="ZD302" s="302"/>
      <c r="ZE302" s="302"/>
      <c r="ZF302" s="302"/>
      <c r="ZG302" s="302"/>
      <c r="ZH302" s="302"/>
      <c r="ZI302" s="302"/>
      <c r="ZJ302" s="302"/>
      <c r="ZK302" s="302"/>
      <c r="ZL302" s="302"/>
      <c r="ZM302" s="302"/>
      <c r="ZN302" s="302"/>
      <c r="ZO302" s="302"/>
      <c r="ZP302" s="302"/>
      <c r="ZQ302" s="302"/>
      <c r="ZR302" s="302"/>
      <c r="ZS302" s="302"/>
      <c r="ZT302" s="302"/>
      <c r="ZU302" s="302"/>
      <c r="ZV302" s="302"/>
      <c r="ZW302" s="302"/>
      <c r="ZX302" s="302"/>
      <c r="ZY302" s="302"/>
      <c r="ZZ302" s="302"/>
      <c r="AAA302" s="302"/>
      <c r="AAB302" s="302"/>
      <c r="AAC302" s="302"/>
      <c r="AAD302" s="302"/>
      <c r="AAE302" s="302"/>
      <c r="AAF302" s="302"/>
      <c r="AAG302" s="302"/>
      <c r="AAH302" s="302"/>
      <c r="AAI302" s="302"/>
      <c r="AAJ302" s="302"/>
      <c r="AAK302" s="302"/>
      <c r="AAL302" s="302"/>
      <c r="AAM302" s="302"/>
      <c r="AAN302" s="302"/>
      <c r="AAO302" s="302"/>
      <c r="AAP302" s="302"/>
      <c r="AAQ302" s="302"/>
      <c r="AAR302" s="302"/>
      <c r="AAS302" s="302"/>
      <c r="AAT302" s="302"/>
      <c r="AAU302" s="302"/>
      <c r="AAV302" s="302"/>
      <c r="AAW302" s="302"/>
      <c r="AAX302" s="302"/>
      <c r="AAY302" s="302"/>
      <c r="AAZ302" s="302"/>
      <c r="ABA302" s="302"/>
      <c r="ABB302" s="302"/>
      <c r="ABC302" s="302"/>
      <c r="ABD302" s="302"/>
      <c r="ABE302" s="302"/>
      <c r="ABF302" s="302"/>
      <c r="ABG302" s="302"/>
      <c r="ABH302" s="302"/>
      <c r="ABI302" s="302"/>
      <c r="ABJ302" s="302"/>
      <c r="ABK302" s="302"/>
      <c r="ABL302" s="302"/>
      <c r="ABM302" s="302"/>
      <c r="ABN302" s="302"/>
      <c r="ABO302" s="302"/>
      <c r="ABP302" s="302"/>
      <c r="ABQ302" s="302"/>
      <c r="ABR302" s="302"/>
      <c r="ABS302" s="302"/>
      <c r="ABT302" s="302"/>
      <c r="ABU302" s="302"/>
      <c r="ABV302" s="302"/>
      <c r="ABW302" s="302"/>
      <c r="ABX302" s="302"/>
      <c r="ABY302" s="302"/>
      <c r="ABZ302" s="302"/>
      <c r="ACA302" s="302"/>
      <c r="ACB302" s="302"/>
      <c r="ACC302" s="302"/>
      <c r="ACD302" s="302"/>
      <c r="ACE302" s="302"/>
      <c r="ACF302" s="302"/>
      <c r="ACG302" s="302"/>
      <c r="ACH302" s="302"/>
      <c r="ACI302" s="302"/>
      <c r="ACJ302" s="302"/>
      <c r="ACK302" s="302"/>
      <c r="ACL302" s="302"/>
      <c r="ACM302" s="302"/>
      <c r="ACN302" s="302"/>
      <c r="ACO302" s="302"/>
      <c r="ACP302" s="302"/>
      <c r="ACQ302" s="302"/>
      <c r="ACR302" s="302"/>
      <c r="ACS302" s="302"/>
      <c r="ACT302" s="302"/>
      <c r="ACU302" s="302"/>
      <c r="ACV302" s="302"/>
      <c r="ACW302" s="302"/>
      <c r="ACX302" s="302"/>
      <c r="ACY302" s="302"/>
      <c r="ACZ302" s="302"/>
      <c r="ADA302" s="302"/>
      <c r="ADB302" s="302"/>
      <c r="ADC302" s="302"/>
      <c r="ADD302" s="302"/>
      <c r="ADE302" s="302"/>
      <c r="ADF302" s="302"/>
      <c r="ADG302" s="302"/>
      <c r="ADH302" s="302"/>
      <c r="ADI302" s="302"/>
      <c r="ADJ302" s="302"/>
      <c r="ADK302" s="302"/>
      <c r="ADL302" s="302"/>
      <c r="ADM302" s="302"/>
      <c r="ADN302" s="302"/>
      <c r="ADO302" s="302"/>
      <c r="ADP302" s="302"/>
      <c r="ADQ302" s="302"/>
      <c r="ADR302" s="302"/>
      <c r="ADS302" s="302"/>
      <c r="ADT302" s="302"/>
      <c r="ADU302" s="302"/>
      <c r="ADV302" s="302"/>
      <c r="ADW302" s="302"/>
      <c r="ADX302" s="302"/>
      <c r="ADY302" s="302"/>
      <c r="ADZ302" s="302"/>
      <c r="AEA302" s="302"/>
      <c r="AEB302" s="302"/>
      <c r="AEC302" s="302"/>
      <c r="AED302" s="302"/>
      <c r="AEE302" s="302"/>
      <c r="AEF302" s="302"/>
      <c r="AEG302" s="302"/>
      <c r="AEH302" s="302"/>
      <c r="AEI302" s="302"/>
      <c r="AEJ302" s="302"/>
      <c r="AEK302" s="302"/>
      <c r="AEL302" s="302"/>
      <c r="AEM302" s="302"/>
      <c r="AEN302" s="302"/>
      <c r="AEO302" s="302"/>
      <c r="AEP302" s="302"/>
      <c r="AEQ302" s="302"/>
      <c r="AER302" s="302"/>
      <c r="AES302" s="302"/>
      <c r="AET302" s="302"/>
      <c r="AEU302" s="302"/>
      <c r="AEV302" s="302"/>
      <c r="AEW302" s="302"/>
      <c r="AEX302" s="302"/>
      <c r="AEY302" s="302"/>
      <c r="AEZ302" s="302"/>
      <c r="AFA302" s="302"/>
      <c r="AFB302" s="302"/>
      <c r="AFC302" s="302"/>
      <c r="AFD302" s="302"/>
      <c r="AFE302" s="302"/>
      <c r="AFF302" s="302"/>
      <c r="AFG302" s="302"/>
      <c r="AFH302" s="302"/>
      <c r="AFI302" s="302"/>
      <c r="AFJ302" s="302"/>
      <c r="AFK302" s="302"/>
      <c r="AFL302" s="302"/>
      <c r="AFM302" s="302"/>
      <c r="AFN302" s="302"/>
      <c r="AFO302" s="302"/>
      <c r="AFP302" s="302"/>
      <c r="AFQ302" s="302"/>
      <c r="AFR302" s="302"/>
      <c r="AFS302" s="302"/>
      <c r="AFT302" s="302"/>
      <c r="AFU302" s="302"/>
      <c r="AFV302" s="302"/>
      <c r="AFW302" s="302"/>
      <c r="AFX302" s="302"/>
      <c r="AFY302" s="302"/>
      <c r="AFZ302" s="302"/>
      <c r="AGA302" s="302"/>
      <c r="AGB302" s="302"/>
      <c r="AGC302" s="302"/>
      <c r="AGD302" s="302"/>
      <c r="AGE302" s="302"/>
      <c r="AGF302" s="302"/>
      <c r="AGG302" s="302"/>
      <c r="AGH302" s="302"/>
      <c r="AGI302" s="302"/>
      <c r="AGJ302" s="302"/>
      <c r="AGK302" s="302"/>
      <c r="AGL302" s="302"/>
      <c r="AGM302" s="302"/>
      <c r="AGN302" s="302"/>
      <c r="AGO302" s="302"/>
      <c r="AGP302" s="302"/>
      <c r="AGQ302" s="302"/>
      <c r="AGR302" s="302"/>
      <c r="AGS302" s="302"/>
      <c r="AGT302" s="302"/>
      <c r="AGU302" s="302"/>
      <c r="AGV302" s="302"/>
      <c r="AGW302" s="302"/>
      <c r="AGX302" s="302"/>
      <c r="AGY302" s="302"/>
      <c r="AGZ302" s="302"/>
      <c r="AHA302" s="302"/>
      <c r="AHB302" s="302"/>
      <c r="AHC302" s="302"/>
      <c r="AHD302" s="302"/>
      <c r="AHE302" s="302"/>
      <c r="AHF302" s="302"/>
      <c r="AHG302" s="302"/>
      <c r="AHH302" s="302"/>
      <c r="AHI302" s="302"/>
      <c r="AHJ302" s="302"/>
      <c r="AHK302" s="302"/>
      <c r="AHL302" s="302"/>
      <c r="AHM302" s="302"/>
      <c r="AHN302" s="302"/>
      <c r="AHO302" s="302"/>
      <c r="AHP302" s="302"/>
      <c r="AHQ302" s="302"/>
      <c r="AHR302" s="302"/>
      <c r="AHS302" s="302"/>
      <c r="AHT302" s="302"/>
      <c r="AHU302" s="302"/>
      <c r="AHV302" s="302"/>
      <c r="AHW302" s="302"/>
      <c r="AHX302" s="302"/>
      <c r="AHY302" s="302"/>
      <c r="AHZ302" s="302"/>
      <c r="AIA302" s="302"/>
      <c r="AIB302" s="302"/>
      <c r="AIC302" s="302"/>
      <c r="AID302" s="302"/>
      <c r="AIE302" s="302"/>
      <c r="AIF302" s="302"/>
      <c r="AIG302" s="302"/>
      <c r="AIH302" s="302"/>
      <c r="AII302" s="302"/>
      <c r="AIJ302" s="302"/>
      <c r="AIK302" s="302"/>
      <c r="AIL302" s="302"/>
      <c r="AIM302" s="302"/>
      <c r="AIN302" s="302"/>
      <c r="AIO302" s="302"/>
      <c r="AIP302" s="302"/>
      <c r="AIQ302" s="302"/>
      <c r="AIR302" s="302"/>
      <c r="AIS302" s="302"/>
      <c r="AIT302" s="302"/>
      <c r="AIU302" s="302"/>
      <c r="AIV302" s="302"/>
      <c r="AIW302" s="302"/>
      <c r="AIX302" s="302"/>
      <c r="AIY302" s="302"/>
      <c r="AIZ302" s="302"/>
      <c r="AJA302" s="302"/>
      <c r="AJB302" s="302"/>
      <c r="AJC302" s="302"/>
      <c r="AJD302" s="302"/>
      <c r="AJE302" s="302"/>
      <c r="AJF302" s="302"/>
      <c r="AJG302" s="302"/>
      <c r="AJH302" s="302"/>
      <c r="AJI302" s="302"/>
      <c r="AJJ302" s="302"/>
      <c r="AJK302" s="302"/>
      <c r="AJL302" s="302"/>
      <c r="AJM302" s="302"/>
      <c r="AJN302" s="302"/>
      <c r="AJO302" s="302"/>
      <c r="AJP302" s="302"/>
      <c r="AJQ302" s="302"/>
      <c r="AJR302" s="302"/>
      <c r="AJS302" s="302"/>
      <c r="AJT302" s="302"/>
      <c r="AJU302" s="302"/>
      <c r="AJV302" s="302"/>
      <c r="AJW302" s="302"/>
      <c r="AJX302" s="302"/>
      <c r="AJY302" s="302"/>
      <c r="AJZ302" s="302"/>
      <c r="AKA302" s="302"/>
      <c r="AKB302" s="302"/>
      <c r="AKC302" s="302"/>
      <c r="AKD302" s="302"/>
      <c r="AKE302" s="302"/>
      <c r="AKF302" s="302"/>
      <c r="AKG302" s="302"/>
      <c r="AKH302" s="302"/>
      <c r="AKI302" s="302"/>
      <c r="AKJ302" s="302"/>
      <c r="AKK302" s="302"/>
      <c r="AKL302" s="302"/>
      <c r="AKM302" s="302"/>
      <c r="AKN302" s="302"/>
      <c r="AKO302" s="302"/>
      <c r="AKP302" s="302"/>
      <c r="AKQ302" s="302"/>
      <c r="AKR302" s="302"/>
      <c r="AKS302" s="302"/>
      <c r="AKT302" s="302"/>
      <c r="AKU302" s="302"/>
      <c r="AKV302" s="302"/>
      <c r="AKW302" s="302"/>
      <c r="AKX302" s="302"/>
      <c r="AKY302" s="302"/>
      <c r="AKZ302" s="302"/>
      <c r="ALA302" s="302"/>
      <c r="ALB302" s="302"/>
      <c r="ALC302" s="302"/>
      <c r="ALD302" s="302"/>
      <c r="ALE302" s="302"/>
      <c r="ALF302" s="302"/>
      <c r="ALG302" s="302"/>
      <c r="ALH302" s="302"/>
      <c r="ALI302" s="302"/>
      <c r="ALJ302" s="302"/>
      <c r="ALK302" s="302"/>
      <c r="ALL302" s="302"/>
      <c r="ALM302" s="302"/>
      <c r="ALN302" s="302"/>
      <c r="ALO302" s="302"/>
      <c r="ALP302" s="302"/>
      <c r="ALQ302" s="302"/>
      <c r="ALR302" s="302"/>
      <c r="ALS302" s="302"/>
      <c r="ALT302" s="302"/>
      <c r="ALU302" s="302"/>
      <c r="ALV302" s="302"/>
      <c r="ALW302" s="302"/>
      <c r="ALX302" s="302"/>
      <c r="ALY302" s="302"/>
      <c r="ALZ302" s="302"/>
      <c r="AMA302" s="302"/>
      <c r="AMB302" s="302"/>
      <c r="AMC302" s="302"/>
      <c r="AMD302" s="302"/>
      <c r="AME302" s="302"/>
      <c r="AMF302" s="302"/>
      <c r="AMG302" s="302"/>
      <c r="AMH302" s="302"/>
      <c r="AMI302" s="302"/>
    </row>
    <row r="303" spans="1:1023" hidden="1">
      <c r="A303" s="302"/>
      <c r="B303" s="442">
        <v>14303</v>
      </c>
      <c r="C303" s="430">
        <v>0.09</v>
      </c>
      <c r="D303" s="370" t="s">
        <v>188</v>
      </c>
      <c r="E303" s="433">
        <v>3000000</v>
      </c>
      <c r="F303" s="500">
        <v>0.02</v>
      </c>
      <c r="G303" s="364">
        <f t="shared" si="17"/>
        <v>60000</v>
      </c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2"/>
      <c r="AE303" s="302"/>
      <c r="AF303" s="302"/>
      <c r="AG303" s="302"/>
      <c r="AH303" s="302"/>
      <c r="AI303" s="302"/>
      <c r="AJ303" s="302"/>
      <c r="AK303" s="302"/>
      <c r="AL303" s="302"/>
      <c r="AM303" s="302"/>
      <c r="AN303" s="302"/>
      <c r="AO303" s="302"/>
      <c r="AP303" s="302"/>
      <c r="AQ303" s="302"/>
      <c r="AR303" s="302"/>
      <c r="AS303" s="302"/>
      <c r="AT303" s="302"/>
      <c r="AU303" s="302"/>
      <c r="AV303" s="302"/>
      <c r="AW303" s="302"/>
      <c r="AX303" s="302"/>
      <c r="AY303" s="302"/>
      <c r="AZ303" s="302"/>
      <c r="BA303" s="302"/>
      <c r="BB303" s="302"/>
      <c r="BC303" s="302"/>
      <c r="BD303" s="302"/>
      <c r="BE303" s="302"/>
      <c r="BF303" s="302"/>
      <c r="BG303" s="302"/>
      <c r="BH303" s="302"/>
      <c r="BI303" s="302"/>
      <c r="BJ303" s="302"/>
      <c r="BK303" s="302"/>
      <c r="BL303" s="302"/>
      <c r="BM303" s="302"/>
      <c r="BN303" s="302"/>
      <c r="BO303" s="302"/>
      <c r="BP303" s="302"/>
      <c r="BQ303" s="302"/>
      <c r="BR303" s="302"/>
      <c r="BS303" s="302"/>
      <c r="BT303" s="302"/>
      <c r="BU303" s="302"/>
      <c r="BV303" s="302"/>
      <c r="BW303" s="302"/>
      <c r="BX303" s="302"/>
      <c r="BY303" s="302"/>
      <c r="BZ303" s="302"/>
      <c r="CA303" s="302"/>
      <c r="CB303" s="302"/>
      <c r="CC303" s="302"/>
      <c r="CD303" s="302"/>
      <c r="CE303" s="302"/>
      <c r="CF303" s="302"/>
      <c r="CG303" s="302"/>
      <c r="CH303" s="302"/>
      <c r="CI303" s="302"/>
      <c r="CJ303" s="302"/>
      <c r="CK303" s="302"/>
      <c r="CL303" s="302"/>
      <c r="CM303" s="302"/>
      <c r="CN303" s="302"/>
      <c r="CO303" s="302"/>
      <c r="CP303" s="302"/>
      <c r="CQ303" s="302"/>
      <c r="CR303" s="302"/>
      <c r="CS303" s="302"/>
      <c r="CT303" s="302"/>
      <c r="CU303" s="302"/>
      <c r="CV303" s="302"/>
      <c r="CW303" s="302"/>
      <c r="CX303" s="302"/>
      <c r="CY303" s="302"/>
      <c r="CZ303" s="302"/>
      <c r="DA303" s="302"/>
      <c r="DB303" s="302"/>
      <c r="DC303" s="302"/>
      <c r="DD303" s="302"/>
      <c r="DE303" s="302"/>
      <c r="DF303" s="302"/>
      <c r="DG303" s="302"/>
      <c r="DH303" s="302"/>
      <c r="DI303" s="302"/>
      <c r="DJ303" s="302"/>
      <c r="DK303" s="302"/>
      <c r="DL303" s="302"/>
      <c r="DM303" s="302"/>
      <c r="DN303" s="302"/>
      <c r="DO303" s="302"/>
      <c r="DP303" s="302"/>
      <c r="DQ303" s="302"/>
      <c r="DR303" s="302"/>
      <c r="DS303" s="302"/>
      <c r="DT303" s="302"/>
      <c r="DU303" s="302"/>
      <c r="DV303" s="302"/>
      <c r="DW303" s="302"/>
      <c r="DX303" s="302"/>
      <c r="DY303" s="302"/>
      <c r="DZ303" s="302"/>
      <c r="EA303" s="302"/>
      <c r="EB303" s="302"/>
      <c r="EC303" s="302"/>
      <c r="ED303" s="302"/>
      <c r="EE303" s="302"/>
      <c r="EF303" s="302"/>
      <c r="EG303" s="302"/>
      <c r="EH303" s="302"/>
      <c r="EI303" s="302"/>
      <c r="EJ303" s="302"/>
      <c r="EK303" s="302"/>
      <c r="EL303" s="302"/>
      <c r="EM303" s="302"/>
      <c r="EN303" s="302"/>
      <c r="EO303" s="302"/>
      <c r="EP303" s="302"/>
      <c r="EQ303" s="302"/>
      <c r="ER303" s="302"/>
      <c r="ES303" s="302"/>
      <c r="ET303" s="302"/>
      <c r="EU303" s="302"/>
      <c r="EV303" s="302"/>
      <c r="EW303" s="302"/>
      <c r="EX303" s="302"/>
      <c r="EY303" s="302"/>
      <c r="EZ303" s="302"/>
      <c r="FA303" s="302"/>
      <c r="FB303" s="302"/>
      <c r="FC303" s="302"/>
      <c r="FD303" s="302"/>
      <c r="FE303" s="302"/>
      <c r="FF303" s="302"/>
      <c r="FG303" s="302"/>
      <c r="FH303" s="302"/>
      <c r="FI303" s="302"/>
      <c r="FJ303" s="302"/>
      <c r="FK303" s="302"/>
      <c r="FL303" s="302"/>
      <c r="FM303" s="302"/>
      <c r="FN303" s="302"/>
      <c r="FO303" s="302"/>
      <c r="FP303" s="302"/>
      <c r="FQ303" s="302"/>
      <c r="FR303" s="302"/>
      <c r="FS303" s="302"/>
      <c r="FT303" s="302"/>
      <c r="FU303" s="302"/>
      <c r="FV303" s="302"/>
      <c r="FW303" s="302"/>
      <c r="FX303" s="302"/>
      <c r="FY303" s="302"/>
      <c r="FZ303" s="302"/>
      <c r="GA303" s="302"/>
      <c r="GB303" s="302"/>
      <c r="GC303" s="302"/>
      <c r="GD303" s="302"/>
      <c r="GE303" s="302"/>
      <c r="GF303" s="302"/>
      <c r="GG303" s="302"/>
      <c r="GH303" s="302"/>
      <c r="GI303" s="302"/>
      <c r="GJ303" s="302"/>
      <c r="GK303" s="302"/>
      <c r="GL303" s="302"/>
      <c r="GM303" s="302"/>
      <c r="GN303" s="302"/>
      <c r="GO303" s="302"/>
      <c r="GP303" s="302"/>
      <c r="GQ303" s="302"/>
      <c r="GR303" s="302"/>
      <c r="GS303" s="302"/>
      <c r="GT303" s="302"/>
      <c r="GU303" s="302"/>
      <c r="GV303" s="302"/>
      <c r="GW303" s="302"/>
      <c r="GX303" s="302"/>
      <c r="GY303" s="302"/>
      <c r="GZ303" s="302"/>
      <c r="HA303" s="302"/>
      <c r="HB303" s="302"/>
      <c r="HC303" s="302"/>
      <c r="HD303" s="302"/>
      <c r="HE303" s="302"/>
      <c r="HF303" s="302"/>
      <c r="HG303" s="302"/>
      <c r="HH303" s="302"/>
      <c r="HI303" s="302"/>
      <c r="HJ303" s="302"/>
      <c r="HK303" s="302"/>
      <c r="HL303" s="302"/>
      <c r="HM303" s="302"/>
      <c r="HN303" s="302"/>
      <c r="HO303" s="302"/>
      <c r="HP303" s="302"/>
      <c r="HQ303" s="302"/>
      <c r="HR303" s="302"/>
      <c r="HS303" s="302"/>
      <c r="HT303" s="302"/>
      <c r="HU303" s="302"/>
      <c r="HV303" s="302"/>
      <c r="HW303" s="302"/>
      <c r="HX303" s="302"/>
      <c r="HY303" s="302"/>
      <c r="HZ303" s="302"/>
      <c r="IA303" s="302"/>
      <c r="IB303" s="302"/>
      <c r="IC303" s="302"/>
      <c r="ID303" s="302"/>
      <c r="IE303" s="302"/>
      <c r="IF303" s="302"/>
      <c r="IG303" s="302"/>
      <c r="IH303" s="302"/>
      <c r="II303" s="302"/>
      <c r="IJ303" s="302"/>
      <c r="IK303" s="302"/>
      <c r="IL303" s="302"/>
      <c r="IM303" s="302"/>
      <c r="IN303" s="302"/>
      <c r="IO303" s="302"/>
      <c r="IP303" s="302"/>
      <c r="IQ303" s="302"/>
      <c r="IR303" s="302"/>
      <c r="IS303" s="302"/>
      <c r="IT303" s="302"/>
      <c r="IU303" s="302"/>
      <c r="IV303" s="302"/>
      <c r="IW303" s="302"/>
      <c r="IX303" s="302"/>
      <c r="IY303" s="302"/>
      <c r="IZ303" s="302"/>
      <c r="JA303" s="302"/>
      <c r="JB303" s="302"/>
      <c r="JC303" s="302"/>
      <c r="JD303" s="302"/>
      <c r="JE303" s="302"/>
      <c r="JF303" s="302"/>
      <c r="JG303" s="302"/>
      <c r="JH303" s="302"/>
      <c r="JI303" s="302"/>
      <c r="JJ303" s="302"/>
      <c r="JK303" s="302"/>
      <c r="JL303" s="302"/>
      <c r="JM303" s="302"/>
      <c r="JN303" s="302"/>
      <c r="JO303" s="302"/>
      <c r="JP303" s="302"/>
      <c r="JQ303" s="302"/>
      <c r="JR303" s="302"/>
      <c r="JS303" s="302"/>
      <c r="JT303" s="302"/>
      <c r="JU303" s="302"/>
      <c r="JV303" s="302"/>
      <c r="JW303" s="302"/>
      <c r="JX303" s="302"/>
      <c r="JY303" s="302"/>
      <c r="JZ303" s="302"/>
      <c r="KA303" s="302"/>
      <c r="KB303" s="302"/>
      <c r="KC303" s="302"/>
      <c r="KD303" s="302"/>
      <c r="KE303" s="302"/>
      <c r="KF303" s="302"/>
      <c r="KG303" s="302"/>
      <c r="KH303" s="302"/>
      <c r="KI303" s="302"/>
      <c r="KJ303" s="302"/>
      <c r="KK303" s="302"/>
      <c r="KL303" s="302"/>
      <c r="KM303" s="302"/>
      <c r="KN303" s="302"/>
      <c r="KO303" s="302"/>
      <c r="KP303" s="302"/>
      <c r="KQ303" s="302"/>
      <c r="KR303" s="302"/>
      <c r="KS303" s="302"/>
      <c r="KT303" s="302"/>
      <c r="KU303" s="302"/>
      <c r="KV303" s="302"/>
      <c r="KW303" s="302"/>
      <c r="KX303" s="302"/>
      <c r="KY303" s="302"/>
      <c r="KZ303" s="302"/>
      <c r="LA303" s="302"/>
      <c r="LB303" s="302"/>
      <c r="LC303" s="302"/>
      <c r="LD303" s="302"/>
      <c r="LE303" s="302"/>
      <c r="LF303" s="302"/>
      <c r="LG303" s="302"/>
      <c r="LH303" s="302"/>
      <c r="LI303" s="302"/>
      <c r="LJ303" s="302"/>
      <c r="LK303" s="302"/>
      <c r="LL303" s="302"/>
      <c r="LM303" s="302"/>
      <c r="LN303" s="302"/>
      <c r="LO303" s="302"/>
      <c r="LP303" s="302"/>
      <c r="LQ303" s="302"/>
      <c r="LR303" s="302"/>
      <c r="LS303" s="302"/>
      <c r="LT303" s="302"/>
      <c r="LU303" s="302"/>
      <c r="LV303" s="302"/>
      <c r="LW303" s="302"/>
      <c r="LX303" s="302"/>
      <c r="LY303" s="302"/>
      <c r="LZ303" s="302"/>
      <c r="MA303" s="302"/>
      <c r="MB303" s="302"/>
      <c r="MC303" s="302"/>
      <c r="MD303" s="302"/>
      <c r="ME303" s="302"/>
      <c r="MF303" s="302"/>
      <c r="MG303" s="302"/>
      <c r="MH303" s="302"/>
      <c r="MI303" s="302"/>
      <c r="MJ303" s="302"/>
      <c r="MK303" s="302"/>
      <c r="ML303" s="302"/>
      <c r="MM303" s="302"/>
      <c r="MN303" s="302"/>
      <c r="MO303" s="302"/>
      <c r="MP303" s="302"/>
      <c r="MQ303" s="302"/>
      <c r="MR303" s="302"/>
      <c r="MS303" s="302"/>
      <c r="MT303" s="302"/>
      <c r="MU303" s="302"/>
      <c r="MV303" s="302"/>
      <c r="MW303" s="302"/>
      <c r="MX303" s="302"/>
      <c r="MY303" s="302"/>
      <c r="MZ303" s="302"/>
      <c r="NA303" s="302"/>
      <c r="NB303" s="302"/>
      <c r="NC303" s="302"/>
      <c r="ND303" s="302"/>
      <c r="NE303" s="302"/>
      <c r="NF303" s="302"/>
      <c r="NG303" s="302"/>
      <c r="NH303" s="302"/>
      <c r="NI303" s="302"/>
      <c r="NJ303" s="302"/>
      <c r="NK303" s="302"/>
      <c r="NL303" s="302"/>
      <c r="NM303" s="302"/>
      <c r="NN303" s="302"/>
      <c r="NO303" s="302"/>
      <c r="NP303" s="302"/>
      <c r="NQ303" s="302"/>
      <c r="NR303" s="302"/>
      <c r="NS303" s="302"/>
      <c r="NT303" s="302"/>
      <c r="NU303" s="302"/>
      <c r="NV303" s="302"/>
      <c r="NW303" s="302"/>
      <c r="NX303" s="302"/>
      <c r="NY303" s="302"/>
      <c r="NZ303" s="302"/>
      <c r="OA303" s="302"/>
      <c r="OB303" s="302"/>
      <c r="OC303" s="302"/>
      <c r="OD303" s="302"/>
      <c r="OE303" s="302"/>
      <c r="OF303" s="302"/>
      <c r="OG303" s="302"/>
      <c r="OH303" s="302"/>
      <c r="OI303" s="302"/>
      <c r="OJ303" s="302"/>
      <c r="OK303" s="302"/>
      <c r="OL303" s="302"/>
      <c r="OM303" s="302"/>
      <c r="ON303" s="302"/>
      <c r="OO303" s="302"/>
      <c r="OP303" s="302"/>
      <c r="OQ303" s="302"/>
      <c r="OR303" s="302"/>
      <c r="OS303" s="302"/>
      <c r="OT303" s="302"/>
      <c r="OU303" s="302"/>
      <c r="OV303" s="302"/>
      <c r="OW303" s="302"/>
      <c r="OX303" s="302"/>
      <c r="OY303" s="302"/>
      <c r="OZ303" s="302"/>
      <c r="PA303" s="302"/>
      <c r="PB303" s="302"/>
      <c r="PC303" s="302"/>
      <c r="PD303" s="302"/>
      <c r="PE303" s="302"/>
      <c r="PF303" s="302"/>
      <c r="PG303" s="302"/>
      <c r="PH303" s="302"/>
      <c r="PI303" s="302"/>
      <c r="PJ303" s="302"/>
      <c r="PK303" s="302"/>
      <c r="PL303" s="302"/>
      <c r="PM303" s="302"/>
      <c r="PN303" s="302"/>
      <c r="PO303" s="302"/>
      <c r="PP303" s="302"/>
      <c r="PQ303" s="302"/>
      <c r="PR303" s="302"/>
      <c r="PS303" s="302"/>
      <c r="PT303" s="302"/>
      <c r="PU303" s="302"/>
      <c r="PV303" s="302"/>
      <c r="PW303" s="302"/>
      <c r="PX303" s="302"/>
      <c r="PY303" s="302"/>
      <c r="PZ303" s="302"/>
      <c r="QA303" s="302"/>
      <c r="QB303" s="302"/>
      <c r="QC303" s="302"/>
      <c r="QD303" s="302"/>
      <c r="QE303" s="302"/>
      <c r="QF303" s="302"/>
      <c r="QG303" s="302"/>
      <c r="QH303" s="302"/>
      <c r="QI303" s="302"/>
      <c r="QJ303" s="302"/>
      <c r="QK303" s="302"/>
      <c r="QL303" s="302"/>
      <c r="QM303" s="302"/>
      <c r="QN303" s="302"/>
      <c r="QO303" s="302"/>
      <c r="QP303" s="302"/>
      <c r="QQ303" s="302"/>
      <c r="QR303" s="302"/>
      <c r="QS303" s="302"/>
      <c r="QT303" s="302"/>
      <c r="QU303" s="302"/>
      <c r="QV303" s="302"/>
      <c r="QW303" s="302"/>
      <c r="QX303" s="302"/>
      <c r="QY303" s="302"/>
      <c r="QZ303" s="302"/>
      <c r="RA303" s="302"/>
      <c r="RB303" s="302"/>
      <c r="RC303" s="302"/>
      <c r="RD303" s="302"/>
      <c r="RE303" s="302"/>
      <c r="RF303" s="302"/>
      <c r="RG303" s="302"/>
      <c r="RH303" s="302"/>
      <c r="RI303" s="302"/>
      <c r="RJ303" s="302"/>
      <c r="RK303" s="302"/>
      <c r="RL303" s="302"/>
      <c r="RM303" s="302"/>
      <c r="RN303" s="302"/>
      <c r="RO303" s="302"/>
      <c r="RP303" s="302"/>
      <c r="RQ303" s="302"/>
      <c r="RR303" s="302"/>
      <c r="RS303" s="302"/>
      <c r="RT303" s="302"/>
      <c r="RU303" s="302"/>
      <c r="RV303" s="302"/>
      <c r="RW303" s="302"/>
      <c r="RX303" s="302"/>
      <c r="RY303" s="302"/>
      <c r="RZ303" s="302"/>
      <c r="SA303" s="302"/>
      <c r="SB303" s="302"/>
      <c r="SC303" s="302"/>
      <c r="SD303" s="302"/>
      <c r="SE303" s="302"/>
      <c r="SF303" s="302"/>
      <c r="SG303" s="302"/>
      <c r="SH303" s="302"/>
      <c r="SI303" s="302"/>
      <c r="SJ303" s="302"/>
      <c r="SK303" s="302"/>
      <c r="SL303" s="302"/>
      <c r="SM303" s="302"/>
      <c r="SN303" s="302"/>
      <c r="SO303" s="302"/>
      <c r="SP303" s="302"/>
      <c r="SQ303" s="302"/>
      <c r="SR303" s="302"/>
      <c r="SS303" s="302"/>
      <c r="ST303" s="302"/>
      <c r="SU303" s="302"/>
      <c r="SV303" s="302"/>
      <c r="SW303" s="302"/>
      <c r="SX303" s="302"/>
      <c r="SY303" s="302"/>
      <c r="SZ303" s="302"/>
      <c r="TA303" s="302"/>
      <c r="TB303" s="302"/>
      <c r="TC303" s="302"/>
      <c r="TD303" s="302"/>
      <c r="TE303" s="302"/>
      <c r="TF303" s="302"/>
      <c r="TG303" s="302"/>
      <c r="TH303" s="302"/>
      <c r="TI303" s="302"/>
      <c r="TJ303" s="302"/>
      <c r="TK303" s="302"/>
      <c r="TL303" s="302"/>
      <c r="TM303" s="302"/>
      <c r="TN303" s="302"/>
      <c r="TO303" s="302"/>
      <c r="TP303" s="302"/>
      <c r="TQ303" s="302"/>
      <c r="TR303" s="302"/>
      <c r="TS303" s="302"/>
      <c r="TT303" s="302"/>
      <c r="TU303" s="302"/>
      <c r="TV303" s="302"/>
      <c r="TW303" s="302"/>
      <c r="TX303" s="302"/>
      <c r="TY303" s="302"/>
      <c r="TZ303" s="302"/>
      <c r="UA303" s="302"/>
      <c r="UB303" s="302"/>
      <c r="UC303" s="302"/>
      <c r="UD303" s="302"/>
      <c r="UE303" s="302"/>
      <c r="UF303" s="302"/>
      <c r="UG303" s="302"/>
      <c r="UH303" s="302"/>
      <c r="UI303" s="302"/>
      <c r="UJ303" s="302"/>
      <c r="UK303" s="302"/>
      <c r="UL303" s="302"/>
      <c r="UM303" s="302"/>
      <c r="UN303" s="302"/>
      <c r="UO303" s="302"/>
      <c r="UP303" s="302"/>
      <c r="UQ303" s="302"/>
      <c r="UR303" s="302"/>
      <c r="US303" s="302"/>
      <c r="UT303" s="302"/>
      <c r="UU303" s="302"/>
      <c r="UV303" s="302"/>
      <c r="UW303" s="302"/>
      <c r="UX303" s="302"/>
      <c r="UY303" s="302"/>
      <c r="UZ303" s="302"/>
      <c r="VA303" s="302"/>
      <c r="VB303" s="302"/>
      <c r="VC303" s="302"/>
      <c r="VD303" s="302"/>
      <c r="VE303" s="302"/>
      <c r="VF303" s="302"/>
      <c r="VG303" s="302"/>
      <c r="VH303" s="302"/>
      <c r="VI303" s="302"/>
      <c r="VJ303" s="302"/>
      <c r="VK303" s="302"/>
      <c r="VL303" s="302"/>
      <c r="VM303" s="302"/>
      <c r="VN303" s="302"/>
      <c r="VO303" s="302"/>
      <c r="VP303" s="302"/>
      <c r="VQ303" s="302"/>
      <c r="VR303" s="302"/>
      <c r="VS303" s="302"/>
      <c r="VT303" s="302"/>
      <c r="VU303" s="302"/>
      <c r="VV303" s="302"/>
      <c r="VW303" s="302"/>
      <c r="VX303" s="302"/>
      <c r="VY303" s="302"/>
      <c r="VZ303" s="302"/>
      <c r="WA303" s="302"/>
      <c r="WB303" s="302"/>
      <c r="WC303" s="302"/>
      <c r="WD303" s="302"/>
      <c r="WE303" s="302"/>
      <c r="WF303" s="302"/>
      <c r="WG303" s="302"/>
      <c r="WH303" s="302"/>
      <c r="WI303" s="302"/>
      <c r="WJ303" s="302"/>
      <c r="WK303" s="302"/>
      <c r="WL303" s="302"/>
      <c r="WM303" s="302"/>
      <c r="WN303" s="302"/>
      <c r="WO303" s="302"/>
      <c r="WP303" s="302"/>
      <c r="WQ303" s="302"/>
      <c r="WR303" s="302"/>
      <c r="WS303" s="302"/>
      <c r="WT303" s="302"/>
      <c r="WU303" s="302"/>
      <c r="WV303" s="302"/>
      <c r="WW303" s="302"/>
      <c r="WX303" s="302"/>
      <c r="WY303" s="302"/>
      <c r="WZ303" s="302"/>
      <c r="XA303" s="302"/>
      <c r="XB303" s="302"/>
      <c r="XC303" s="302"/>
      <c r="XD303" s="302"/>
      <c r="XE303" s="302"/>
      <c r="XF303" s="302"/>
      <c r="XG303" s="302"/>
      <c r="XH303" s="302"/>
      <c r="XI303" s="302"/>
      <c r="XJ303" s="302"/>
      <c r="XK303" s="302"/>
      <c r="XL303" s="302"/>
      <c r="XM303" s="302"/>
      <c r="XN303" s="302"/>
      <c r="XO303" s="302"/>
      <c r="XP303" s="302"/>
      <c r="XQ303" s="302"/>
      <c r="XR303" s="302"/>
      <c r="XS303" s="302"/>
      <c r="XT303" s="302"/>
      <c r="XU303" s="302"/>
      <c r="XV303" s="302"/>
      <c r="XW303" s="302"/>
      <c r="XX303" s="302"/>
      <c r="XY303" s="302"/>
      <c r="XZ303" s="302"/>
      <c r="YA303" s="302"/>
      <c r="YB303" s="302"/>
      <c r="YC303" s="302"/>
      <c r="YD303" s="302"/>
      <c r="YE303" s="302"/>
      <c r="YF303" s="302"/>
      <c r="YG303" s="302"/>
      <c r="YH303" s="302"/>
      <c r="YI303" s="302"/>
      <c r="YJ303" s="302"/>
      <c r="YK303" s="302"/>
      <c r="YL303" s="302"/>
      <c r="YM303" s="302"/>
      <c r="YN303" s="302"/>
      <c r="YO303" s="302"/>
      <c r="YP303" s="302"/>
      <c r="YQ303" s="302"/>
      <c r="YR303" s="302"/>
      <c r="YS303" s="302"/>
      <c r="YT303" s="302"/>
      <c r="YU303" s="302"/>
      <c r="YV303" s="302"/>
      <c r="YW303" s="302"/>
      <c r="YX303" s="302"/>
      <c r="YY303" s="302"/>
      <c r="YZ303" s="302"/>
      <c r="ZA303" s="302"/>
      <c r="ZB303" s="302"/>
      <c r="ZC303" s="302"/>
      <c r="ZD303" s="302"/>
      <c r="ZE303" s="302"/>
      <c r="ZF303" s="302"/>
      <c r="ZG303" s="302"/>
      <c r="ZH303" s="302"/>
      <c r="ZI303" s="302"/>
      <c r="ZJ303" s="302"/>
      <c r="ZK303" s="302"/>
      <c r="ZL303" s="302"/>
      <c r="ZM303" s="302"/>
      <c r="ZN303" s="302"/>
      <c r="ZO303" s="302"/>
      <c r="ZP303" s="302"/>
      <c r="ZQ303" s="302"/>
      <c r="ZR303" s="302"/>
      <c r="ZS303" s="302"/>
      <c r="ZT303" s="302"/>
      <c r="ZU303" s="302"/>
      <c r="ZV303" s="302"/>
      <c r="ZW303" s="302"/>
      <c r="ZX303" s="302"/>
      <c r="ZY303" s="302"/>
      <c r="ZZ303" s="302"/>
      <c r="AAA303" s="302"/>
      <c r="AAB303" s="302"/>
      <c r="AAC303" s="302"/>
      <c r="AAD303" s="302"/>
      <c r="AAE303" s="302"/>
      <c r="AAF303" s="302"/>
      <c r="AAG303" s="302"/>
      <c r="AAH303" s="302"/>
      <c r="AAI303" s="302"/>
      <c r="AAJ303" s="302"/>
      <c r="AAK303" s="302"/>
      <c r="AAL303" s="302"/>
      <c r="AAM303" s="302"/>
      <c r="AAN303" s="302"/>
      <c r="AAO303" s="302"/>
      <c r="AAP303" s="302"/>
      <c r="AAQ303" s="302"/>
      <c r="AAR303" s="302"/>
      <c r="AAS303" s="302"/>
      <c r="AAT303" s="302"/>
      <c r="AAU303" s="302"/>
      <c r="AAV303" s="302"/>
      <c r="AAW303" s="302"/>
      <c r="AAX303" s="302"/>
      <c r="AAY303" s="302"/>
      <c r="AAZ303" s="302"/>
      <c r="ABA303" s="302"/>
      <c r="ABB303" s="302"/>
      <c r="ABC303" s="302"/>
      <c r="ABD303" s="302"/>
      <c r="ABE303" s="302"/>
      <c r="ABF303" s="302"/>
      <c r="ABG303" s="302"/>
      <c r="ABH303" s="302"/>
      <c r="ABI303" s="302"/>
      <c r="ABJ303" s="302"/>
      <c r="ABK303" s="302"/>
      <c r="ABL303" s="302"/>
      <c r="ABM303" s="302"/>
      <c r="ABN303" s="302"/>
      <c r="ABO303" s="302"/>
      <c r="ABP303" s="302"/>
      <c r="ABQ303" s="302"/>
      <c r="ABR303" s="302"/>
      <c r="ABS303" s="302"/>
      <c r="ABT303" s="302"/>
      <c r="ABU303" s="302"/>
      <c r="ABV303" s="302"/>
      <c r="ABW303" s="302"/>
      <c r="ABX303" s="302"/>
      <c r="ABY303" s="302"/>
      <c r="ABZ303" s="302"/>
      <c r="ACA303" s="302"/>
      <c r="ACB303" s="302"/>
      <c r="ACC303" s="302"/>
      <c r="ACD303" s="302"/>
      <c r="ACE303" s="302"/>
      <c r="ACF303" s="302"/>
      <c r="ACG303" s="302"/>
      <c r="ACH303" s="302"/>
      <c r="ACI303" s="302"/>
      <c r="ACJ303" s="302"/>
      <c r="ACK303" s="302"/>
      <c r="ACL303" s="302"/>
      <c r="ACM303" s="302"/>
      <c r="ACN303" s="302"/>
      <c r="ACO303" s="302"/>
      <c r="ACP303" s="302"/>
      <c r="ACQ303" s="302"/>
      <c r="ACR303" s="302"/>
      <c r="ACS303" s="302"/>
      <c r="ACT303" s="302"/>
      <c r="ACU303" s="302"/>
      <c r="ACV303" s="302"/>
      <c r="ACW303" s="302"/>
      <c r="ACX303" s="302"/>
      <c r="ACY303" s="302"/>
      <c r="ACZ303" s="302"/>
      <c r="ADA303" s="302"/>
      <c r="ADB303" s="302"/>
      <c r="ADC303" s="302"/>
      <c r="ADD303" s="302"/>
      <c r="ADE303" s="302"/>
      <c r="ADF303" s="302"/>
      <c r="ADG303" s="302"/>
      <c r="ADH303" s="302"/>
      <c r="ADI303" s="302"/>
      <c r="ADJ303" s="302"/>
      <c r="ADK303" s="302"/>
      <c r="ADL303" s="302"/>
      <c r="ADM303" s="302"/>
      <c r="ADN303" s="302"/>
      <c r="ADO303" s="302"/>
      <c r="ADP303" s="302"/>
      <c r="ADQ303" s="302"/>
      <c r="ADR303" s="302"/>
      <c r="ADS303" s="302"/>
      <c r="ADT303" s="302"/>
      <c r="ADU303" s="302"/>
      <c r="ADV303" s="302"/>
      <c r="ADW303" s="302"/>
      <c r="ADX303" s="302"/>
      <c r="ADY303" s="302"/>
      <c r="ADZ303" s="302"/>
      <c r="AEA303" s="302"/>
      <c r="AEB303" s="302"/>
      <c r="AEC303" s="302"/>
      <c r="AED303" s="302"/>
      <c r="AEE303" s="302"/>
      <c r="AEF303" s="302"/>
      <c r="AEG303" s="302"/>
      <c r="AEH303" s="302"/>
      <c r="AEI303" s="302"/>
      <c r="AEJ303" s="302"/>
      <c r="AEK303" s="302"/>
      <c r="AEL303" s="302"/>
      <c r="AEM303" s="302"/>
      <c r="AEN303" s="302"/>
      <c r="AEO303" s="302"/>
      <c r="AEP303" s="302"/>
      <c r="AEQ303" s="302"/>
      <c r="AER303" s="302"/>
      <c r="AES303" s="302"/>
      <c r="AET303" s="302"/>
      <c r="AEU303" s="302"/>
      <c r="AEV303" s="302"/>
      <c r="AEW303" s="302"/>
      <c r="AEX303" s="302"/>
      <c r="AEY303" s="302"/>
      <c r="AEZ303" s="302"/>
      <c r="AFA303" s="302"/>
      <c r="AFB303" s="302"/>
      <c r="AFC303" s="302"/>
      <c r="AFD303" s="302"/>
      <c r="AFE303" s="302"/>
      <c r="AFF303" s="302"/>
      <c r="AFG303" s="302"/>
      <c r="AFH303" s="302"/>
      <c r="AFI303" s="302"/>
      <c r="AFJ303" s="302"/>
      <c r="AFK303" s="302"/>
      <c r="AFL303" s="302"/>
      <c r="AFM303" s="302"/>
      <c r="AFN303" s="302"/>
      <c r="AFO303" s="302"/>
      <c r="AFP303" s="302"/>
      <c r="AFQ303" s="302"/>
      <c r="AFR303" s="302"/>
      <c r="AFS303" s="302"/>
      <c r="AFT303" s="302"/>
      <c r="AFU303" s="302"/>
      <c r="AFV303" s="302"/>
      <c r="AFW303" s="302"/>
      <c r="AFX303" s="302"/>
      <c r="AFY303" s="302"/>
      <c r="AFZ303" s="302"/>
      <c r="AGA303" s="302"/>
      <c r="AGB303" s="302"/>
      <c r="AGC303" s="302"/>
      <c r="AGD303" s="302"/>
      <c r="AGE303" s="302"/>
      <c r="AGF303" s="302"/>
      <c r="AGG303" s="302"/>
      <c r="AGH303" s="302"/>
      <c r="AGI303" s="302"/>
      <c r="AGJ303" s="302"/>
      <c r="AGK303" s="302"/>
      <c r="AGL303" s="302"/>
      <c r="AGM303" s="302"/>
      <c r="AGN303" s="302"/>
      <c r="AGO303" s="302"/>
      <c r="AGP303" s="302"/>
      <c r="AGQ303" s="302"/>
      <c r="AGR303" s="302"/>
      <c r="AGS303" s="302"/>
      <c r="AGT303" s="302"/>
      <c r="AGU303" s="302"/>
      <c r="AGV303" s="302"/>
      <c r="AGW303" s="302"/>
      <c r="AGX303" s="302"/>
      <c r="AGY303" s="302"/>
      <c r="AGZ303" s="302"/>
      <c r="AHA303" s="302"/>
      <c r="AHB303" s="302"/>
      <c r="AHC303" s="302"/>
      <c r="AHD303" s="302"/>
      <c r="AHE303" s="302"/>
      <c r="AHF303" s="302"/>
      <c r="AHG303" s="302"/>
      <c r="AHH303" s="302"/>
      <c r="AHI303" s="302"/>
      <c r="AHJ303" s="302"/>
      <c r="AHK303" s="302"/>
      <c r="AHL303" s="302"/>
      <c r="AHM303" s="302"/>
      <c r="AHN303" s="302"/>
      <c r="AHO303" s="302"/>
      <c r="AHP303" s="302"/>
      <c r="AHQ303" s="302"/>
      <c r="AHR303" s="302"/>
      <c r="AHS303" s="302"/>
      <c r="AHT303" s="302"/>
      <c r="AHU303" s="302"/>
      <c r="AHV303" s="302"/>
      <c r="AHW303" s="302"/>
      <c r="AHX303" s="302"/>
      <c r="AHY303" s="302"/>
      <c r="AHZ303" s="302"/>
      <c r="AIA303" s="302"/>
      <c r="AIB303" s="302"/>
      <c r="AIC303" s="302"/>
      <c r="AID303" s="302"/>
      <c r="AIE303" s="302"/>
      <c r="AIF303" s="302"/>
      <c r="AIG303" s="302"/>
      <c r="AIH303" s="302"/>
      <c r="AII303" s="302"/>
      <c r="AIJ303" s="302"/>
      <c r="AIK303" s="302"/>
      <c r="AIL303" s="302"/>
      <c r="AIM303" s="302"/>
      <c r="AIN303" s="302"/>
      <c r="AIO303" s="302"/>
      <c r="AIP303" s="302"/>
      <c r="AIQ303" s="302"/>
      <c r="AIR303" s="302"/>
      <c r="AIS303" s="302"/>
      <c r="AIT303" s="302"/>
      <c r="AIU303" s="302"/>
      <c r="AIV303" s="302"/>
      <c r="AIW303" s="302"/>
      <c r="AIX303" s="302"/>
      <c r="AIY303" s="302"/>
      <c r="AIZ303" s="302"/>
      <c r="AJA303" s="302"/>
      <c r="AJB303" s="302"/>
      <c r="AJC303" s="302"/>
      <c r="AJD303" s="302"/>
      <c r="AJE303" s="302"/>
      <c r="AJF303" s="302"/>
      <c r="AJG303" s="302"/>
      <c r="AJH303" s="302"/>
      <c r="AJI303" s="302"/>
      <c r="AJJ303" s="302"/>
      <c r="AJK303" s="302"/>
      <c r="AJL303" s="302"/>
      <c r="AJM303" s="302"/>
      <c r="AJN303" s="302"/>
      <c r="AJO303" s="302"/>
      <c r="AJP303" s="302"/>
      <c r="AJQ303" s="302"/>
      <c r="AJR303" s="302"/>
      <c r="AJS303" s="302"/>
      <c r="AJT303" s="302"/>
      <c r="AJU303" s="302"/>
      <c r="AJV303" s="302"/>
      <c r="AJW303" s="302"/>
      <c r="AJX303" s="302"/>
      <c r="AJY303" s="302"/>
      <c r="AJZ303" s="302"/>
      <c r="AKA303" s="302"/>
      <c r="AKB303" s="302"/>
      <c r="AKC303" s="302"/>
      <c r="AKD303" s="302"/>
      <c r="AKE303" s="302"/>
      <c r="AKF303" s="302"/>
      <c r="AKG303" s="302"/>
      <c r="AKH303" s="302"/>
      <c r="AKI303" s="302"/>
      <c r="AKJ303" s="302"/>
      <c r="AKK303" s="302"/>
      <c r="AKL303" s="302"/>
      <c r="AKM303" s="302"/>
      <c r="AKN303" s="302"/>
      <c r="AKO303" s="302"/>
      <c r="AKP303" s="302"/>
      <c r="AKQ303" s="302"/>
      <c r="AKR303" s="302"/>
      <c r="AKS303" s="302"/>
      <c r="AKT303" s="302"/>
      <c r="AKU303" s="302"/>
      <c r="AKV303" s="302"/>
      <c r="AKW303" s="302"/>
      <c r="AKX303" s="302"/>
      <c r="AKY303" s="302"/>
      <c r="AKZ303" s="302"/>
      <c r="ALA303" s="302"/>
      <c r="ALB303" s="302"/>
      <c r="ALC303" s="302"/>
      <c r="ALD303" s="302"/>
      <c r="ALE303" s="302"/>
      <c r="ALF303" s="302"/>
      <c r="ALG303" s="302"/>
      <c r="ALH303" s="302"/>
      <c r="ALI303" s="302"/>
      <c r="ALJ303" s="302"/>
      <c r="ALK303" s="302"/>
      <c r="ALL303" s="302"/>
      <c r="ALM303" s="302"/>
      <c r="ALN303" s="302"/>
      <c r="ALO303" s="302"/>
      <c r="ALP303" s="302"/>
      <c r="ALQ303" s="302"/>
      <c r="ALR303" s="302"/>
      <c r="ALS303" s="302"/>
      <c r="ALT303" s="302"/>
      <c r="ALU303" s="302"/>
      <c r="ALV303" s="302"/>
      <c r="ALW303" s="302"/>
      <c r="ALX303" s="302"/>
      <c r="ALY303" s="302"/>
      <c r="ALZ303" s="302"/>
      <c r="AMA303" s="302"/>
      <c r="AMB303" s="302"/>
      <c r="AMC303" s="302"/>
      <c r="AMD303" s="302"/>
      <c r="AME303" s="302"/>
      <c r="AMF303" s="302"/>
      <c r="AMG303" s="302"/>
      <c r="AMH303" s="302"/>
      <c r="AMI303" s="302"/>
    </row>
    <row r="304" spans="1:1023" hidden="1">
      <c r="A304" s="302"/>
      <c r="B304" s="442">
        <v>14322</v>
      </c>
      <c r="C304" s="430">
        <v>0.09</v>
      </c>
      <c r="D304" s="370" t="s">
        <v>180</v>
      </c>
      <c r="E304" s="433">
        <v>3550000</v>
      </c>
      <c r="F304" s="500">
        <v>0.02</v>
      </c>
      <c r="G304" s="364">
        <f t="shared" si="17"/>
        <v>71000</v>
      </c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  <c r="AD304" s="302"/>
      <c r="AE304" s="302"/>
      <c r="AF304" s="302"/>
      <c r="AG304" s="302"/>
      <c r="AH304" s="302"/>
      <c r="AI304" s="302"/>
      <c r="AJ304" s="302"/>
      <c r="AK304" s="302"/>
      <c r="AL304" s="302"/>
      <c r="AM304" s="302"/>
      <c r="AN304" s="302"/>
      <c r="AO304" s="302"/>
      <c r="AP304" s="302"/>
      <c r="AQ304" s="302"/>
      <c r="AR304" s="302"/>
      <c r="AS304" s="302"/>
      <c r="AT304" s="302"/>
      <c r="AU304" s="302"/>
      <c r="AV304" s="302"/>
      <c r="AW304" s="302"/>
      <c r="AX304" s="302"/>
      <c r="AY304" s="302"/>
      <c r="AZ304" s="302"/>
      <c r="BA304" s="302"/>
      <c r="BB304" s="302"/>
      <c r="BC304" s="302"/>
      <c r="BD304" s="302"/>
      <c r="BE304" s="302"/>
      <c r="BF304" s="302"/>
      <c r="BG304" s="302"/>
      <c r="BH304" s="302"/>
      <c r="BI304" s="302"/>
      <c r="BJ304" s="302"/>
      <c r="BK304" s="302"/>
      <c r="BL304" s="302"/>
      <c r="BM304" s="302"/>
      <c r="BN304" s="302"/>
      <c r="BO304" s="302"/>
      <c r="BP304" s="302"/>
      <c r="BQ304" s="302"/>
      <c r="BR304" s="302"/>
      <c r="BS304" s="302"/>
      <c r="BT304" s="302"/>
      <c r="BU304" s="302"/>
      <c r="BV304" s="302"/>
      <c r="BW304" s="302"/>
      <c r="BX304" s="302"/>
      <c r="BY304" s="302"/>
      <c r="BZ304" s="302"/>
      <c r="CA304" s="302"/>
      <c r="CB304" s="302"/>
      <c r="CC304" s="302"/>
      <c r="CD304" s="302"/>
      <c r="CE304" s="302"/>
      <c r="CF304" s="302"/>
      <c r="CG304" s="302"/>
      <c r="CH304" s="302"/>
      <c r="CI304" s="302"/>
      <c r="CJ304" s="302"/>
      <c r="CK304" s="302"/>
      <c r="CL304" s="302"/>
      <c r="CM304" s="302"/>
      <c r="CN304" s="302"/>
      <c r="CO304" s="302"/>
      <c r="CP304" s="302"/>
      <c r="CQ304" s="302"/>
      <c r="CR304" s="302"/>
      <c r="CS304" s="302"/>
      <c r="CT304" s="302"/>
      <c r="CU304" s="302"/>
      <c r="CV304" s="302"/>
      <c r="CW304" s="302"/>
      <c r="CX304" s="302"/>
      <c r="CY304" s="302"/>
      <c r="CZ304" s="302"/>
      <c r="DA304" s="302"/>
      <c r="DB304" s="302"/>
      <c r="DC304" s="302"/>
      <c r="DD304" s="302"/>
      <c r="DE304" s="302"/>
      <c r="DF304" s="302"/>
      <c r="DG304" s="302"/>
      <c r="DH304" s="302"/>
      <c r="DI304" s="302"/>
      <c r="DJ304" s="302"/>
      <c r="DK304" s="302"/>
      <c r="DL304" s="302"/>
      <c r="DM304" s="302"/>
      <c r="DN304" s="302"/>
      <c r="DO304" s="302"/>
      <c r="DP304" s="302"/>
      <c r="DQ304" s="302"/>
      <c r="DR304" s="302"/>
      <c r="DS304" s="302"/>
      <c r="DT304" s="302"/>
      <c r="DU304" s="302"/>
      <c r="DV304" s="302"/>
      <c r="DW304" s="302"/>
      <c r="DX304" s="302"/>
      <c r="DY304" s="302"/>
      <c r="DZ304" s="302"/>
      <c r="EA304" s="302"/>
      <c r="EB304" s="302"/>
      <c r="EC304" s="302"/>
      <c r="ED304" s="302"/>
      <c r="EE304" s="302"/>
      <c r="EF304" s="302"/>
      <c r="EG304" s="302"/>
      <c r="EH304" s="302"/>
      <c r="EI304" s="302"/>
      <c r="EJ304" s="302"/>
      <c r="EK304" s="302"/>
      <c r="EL304" s="302"/>
      <c r="EM304" s="302"/>
      <c r="EN304" s="302"/>
      <c r="EO304" s="302"/>
      <c r="EP304" s="302"/>
      <c r="EQ304" s="302"/>
      <c r="ER304" s="302"/>
      <c r="ES304" s="302"/>
      <c r="ET304" s="302"/>
      <c r="EU304" s="302"/>
      <c r="EV304" s="302"/>
      <c r="EW304" s="302"/>
      <c r="EX304" s="302"/>
      <c r="EY304" s="302"/>
      <c r="EZ304" s="302"/>
      <c r="FA304" s="302"/>
      <c r="FB304" s="302"/>
      <c r="FC304" s="302"/>
      <c r="FD304" s="302"/>
      <c r="FE304" s="302"/>
      <c r="FF304" s="302"/>
      <c r="FG304" s="302"/>
      <c r="FH304" s="302"/>
      <c r="FI304" s="302"/>
      <c r="FJ304" s="302"/>
      <c r="FK304" s="302"/>
      <c r="FL304" s="302"/>
      <c r="FM304" s="302"/>
      <c r="FN304" s="302"/>
      <c r="FO304" s="302"/>
      <c r="FP304" s="302"/>
      <c r="FQ304" s="302"/>
      <c r="FR304" s="302"/>
      <c r="FS304" s="302"/>
      <c r="FT304" s="302"/>
      <c r="FU304" s="302"/>
      <c r="FV304" s="302"/>
      <c r="FW304" s="302"/>
      <c r="FX304" s="302"/>
      <c r="FY304" s="302"/>
      <c r="FZ304" s="302"/>
      <c r="GA304" s="302"/>
      <c r="GB304" s="302"/>
      <c r="GC304" s="302"/>
      <c r="GD304" s="302"/>
      <c r="GE304" s="302"/>
      <c r="GF304" s="302"/>
      <c r="GG304" s="302"/>
      <c r="GH304" s="302"/>
      <c r="GI304" s="302"/>
      <c r="GJ304" s="302"/>
      <c r="GK304" s="302"/>
      <c r="GL304" s="302"/>
      <c r="GM304" s="302"/>
      <c r="GN304" s="302"/>
      <c r="GO304" s="302"/>
      <c r="GP304" s="302"/>
      <c r="GQ304" s="302"/>
      <c r="GR304" s="302"/>
      <c r="GS304" s="302"/>
      <c r="GT304" s="302"/>
      <c r="GU304" s="302"/>
      <c r="GV304" s="302"/>
      <c r="GW304" s="302"/>
      <c r="GX304" s="302"/>
      <c r="GY304" s="302"/>
      <c r="GZ304" s="302"/>
      <c r="HA304" s="302"/>
      <c r="HB304" s="302"/>
      <c r="HC304" s="302"/>
      <c r="HD304" s="302"/>
      <c r="HE304" s="302"/>
      <c r="HF304" s="302"/>
      <c r="HG304" s="302"/>
      <c r="HH304" s="302"/>
      <c r="HI304" s="302"/>
      <c r="HJ304" s="302"/>
      <c r="HK304" s="302"/>
      <c r="HL304" s="302"/>
      <c r="HM304" s="302"/>
      <c r="HN304" s="302"/>
      <c r="HO304" s="302"/>
      <c r="HP304" s="302"/>
      <c r="HQ304" s="302"/>
      <c r="HR304" s="302"/>
      <c r="HS304" s="302"/>
      <c r="HT304" s="302"/>
      <c r="HU304" s="302"/>
      <c r="HV304" s="302"/>
      <c r="HW304" s="302"/>
      <c r="HX304" s="302"/>
      <c r="HY304" s="302"/>
      <c r="HZ304" s="302"/>
      <c r="IA304" s="302"/>
      <c r="IB304" s="302"/>
      <c r="IC304" s="302"/>
      <c r="ID304" s="302"/>
      <c r="IE304" s="302"/>
      <c r="IF304" s="302"/>
      <c r="IG304" s="302"/>
      <c r="IH304" s="302"/>
      <c r="II304" s="302"/>
      <c r="IJ304" s="302"/>
      <c r="IK304" s="302"/>
      <c r="IL304" s="302"/>
      <c r="IM304" s="302"/>
      <c r="IN304" s="302"/>
      <c r="IO304" s="302"/>
      <c r="IP304" s="302"/>
      <c r="IQ304" s="302"/>
      <c r="IR304" s="302"/>
      <c r="IS304" s="302"/>
      <c r="IT304" s="302"/>
      <c r="IU304" s="302"/>
      <c r="IV304" s="302"/>
      <c r="IW304" s="302"/>
      <c r="IX304" s="302"/>
      <c r="IY304" s="302"/>
      <c r="IZ304" s="302"/>
      <c r="JA304" s="302"/>
      <c r="JB304" s="302"/>
      <c r="JC304" s="302"/>
      <c r="JD304" s="302"/>
      <c r="JE304" s="302"/>
      <c r="JF304" s="302"/>
      <c r="JG304" s="302"/>
      <c r="JH304" s="302"/>
      <c r="JI304" s="302"/>
      <c r="JJ304" s="302"/>
      <c r="JK304" s="302"/>
      <c r="JL304" s="302"/>
      <c r="JM304" s="302"/>
      <c r="JN304" s="302"/>
      <c r="JO304" s="302"/>
      <c r="JP304" s="302"/>
      <c r="JQ304" s="302"/>
      <c r="JR304" s="302"/>
      <c r="JS304" s="302"/>
      <c r="JT304" s="302"/>
      <c r="JU304" s="302"/>
      <c r="JV304" s="302"/>
      <c r="JW304" s="302"/>
      <c r="JX304" s="302"/>
      <c r="JY304" s="302"/>
      <c r="JZ304" s="302"/>
      <c r="KA304" s="302"/>
      <c r="KB304" s="302"/>
      <c r="KC304" s="302"/>
      <c r="KD304" s="302"/>
      <c r="KE304" s="302"/>
      <c r="KF304" s="302"/>
      <c r="KG304" s="302"/>
      <c r="KH304" s="302"/>
      <c r="KI304" s="302"/>
      <c r="KJ304" s="302"/>
      <c r="KK304" s="302"/>
      <c r="KL304" s="302"/>
      <c r="KM304" s="302"/>
      <c r="KN304" s="302"/>
      <c r="KO304" s="302"/>
      <c r="KP304" s="302"/>
      <c r="KQ304" s="302"/>
      <c r="KR304" s="302"/>
      <c r="KS304" s="302"/>
      <c r="KT304" s="302"/>
      <c r="KU304" s="302"/>
      <c r="KV304" s="302"/>
      <c r="KW304" s="302"/>
      <c r="KX304" s="302"/>
      <c r="KY304" s="302"/>
      <c r="KZ304" s="302"/>
      <c r="LA304" s="302"/>
      <c r="LB304" s="302"/>
      <c r="LC304" s="302"/>
      <c r="LD304" s="302"/>
      <c r="LE304" s="302"/>
      <c r="LF304" s="302"/>
      <c r="LG304" s="302"/>
      <c r="LH304" s="302"/>
      <c r="LI304" s="302"/>
      <c r="LJ304" s="302"/>
      <c r="LK304" s="302"/>
      <c r="LL304" s="302"/>
      <c r="LM304" s="302"/>
      <c r="LN304" s="302"/>
      <c r="LO304" s="302"/>
      <c r="LP304" s="302"/>
      <c r="LQ304" s="302"/>
      <c r="LR304" s="302"/>
      <c r="LS304" s="302"/>
      <c r="LT304" s="302"/>
      <c r="LU304" s="302"/>
      <c r="LV304" s="302"/>
      <c r="LW304" s="302"/>
      <c r="LX304" s="302"/>
      <c r="LY304" s="302"/>
      <c r="LZ304" s="302"/>
      <c r="MA304" s="302"/>
      <c r="MB304" s="302"/>
      <c r="MC304" s="302"/>
      <c r="MD304" s="302"/>
      <c r="ME304" s="302"/>
      <c r="MF304" s="302"/>
      <c r="MG304" s="302"/>
      <c r="MH304" s="302"/>
      <c r="MI304" s="302"/>
      <c r="MJ304" s="302"/>
      <c r="MK304" s="302"/>
      <c r="ML304" s="302"/>
      <c r="MM304" s="302"/>
      <c r="MN304" s="302"/>
      <c r="MO304" s="302"/>
      <c r="MP304" s="302"/>
      <c r="MQ304" s="302"/>
      <c r="MR304" s="302"/>
      <c r="MS304" s="302"/>
      <c r="MT304" s="302"/>
      <c r="MU304" s="302"/>
      <c r="MV304" s="302"/>
      <c r="MW304" s="302"/>
      <c r="MX304" s="302"/>
      <c r="MY304" s="302"/>
      <c r="MZ304" s="302"/>
      <c r="NA304" s="302"/>
      <c r="NB304" s="302"/>
      <c r="NC304" s="302"/>
      <c r="ND304" s="302"/>
      <c r="NE304" s="302"/>
      <c r="NF304" s="302"/>
      <c r="NG304" s="302"/>
      <c r="NH304" s="302"/>
      <c r="NI304" s="302"/>
      <c r="NJ304" s="302"/>
      <c r="NK304" s="302"/>
      <c r="NL304" s="302"/>
      <c r="NM304" s="302"/>
      <c r="NN304" s="302"/>
      <c r="NO304" s="302"/>
      <c r="NP304" s="302"/>
      <c r="NQ304" s="302"/>
      <c r="NR304" s="302"/>
      <c r="NS304" s="302"/>
      <c r="NT304" s="302"/>
      <c r="NU304" s="302"/>
      <c r="NV304" s="302"/>
      <c r="NW304" s="302"/>
      <c r="NX304" s="302"/>
      <c r="NY304" s="302"/>
      <c r="NZ304" s="302"/>
      <c r="OA304" s="302"/>
      <c r="OB304" s="302"/>
      <c r="OC304" s="302"/>
      <c r="OD304" s="302"/>
      <c r="OE304" s="302"/>
      <c r="OF304" s="302"/>
      <c r="OG304" s="302"/>
      <c r="OH304" s="302"/>
      <c r="OI304" s="302"/>
      <c r="OJ304" s="302"/>
      <c r="OK304" s="302"/>
      <c r="OL304" s="302"/>
      <c r="OM304" s="302"/>
      <c r="ON304" s="302"/>
      <c r="OO304" s="302"/>
      <c r="OP304" s="302"/>
      <c r="OQ304" s="302"/>
      <c r="OR304" s="302"/>
      <c r="OS304" s="302"/>
      <c r="OT304" s="302"/>
      <c r="OU304" s="302"/>
      <c r="OV304" s="302"/>
      <c r="OW304" s="302"/>
      <c r="OX304" s="302"/>
      <c r="OY304" s="302"/>
      <c r="OZ304" s="302"/>
      <c r="PA304" s="302"/>
      <c r="PB304" s="302"/>
      <c r="PC304" s="302"/>
      <c r="PD304" s="302"/>
      <c r="PE304" s="302"/>
      <c r="PF304" s="302"/>
      <c r="PG304" s="302"/>
      <c r="PH304" s="302"/>
      <c r="PI304" s="302"/>
      <c r="PJ304" s="302"/>
      <c r="PK304" s="302"/>
      <c r="PL304" s="302"/>
      <c r="PM304" s="302"/>
      <c r="PN304" s="302"/>
      <c r="PO304" s="302"/>
      <c r="PP304" s="302"/>
      <c r="PQ304" s="302"/>
      <c r="PR304" s="302"/>
      <c r="PS304" s="302"/>
      <c r="PT304" s="302"/>
      <c r="PU304" s="302"/>
      <c r="PV304" s="302"/>
      <c r="PW304" s="302"/>
      <c r="PX304" s="302"/>
      <c r="PY304" s="302"/>
      <c r="PZ304" s="302"/>
      <c r="QA304" s="302"/>
      <c r="QB304" s="302"/>
      <c r="QC304" s="302"/>
      <c r="QD304" s="302"/>
      <c r="QE304" s="302"/>
      <c r="QF304" s="302"/>
      <c r="QG304" s="302"/>
      <c r="QH304" s="302"/>
      <c r="QI304" s="302"/>
      <c r="QJ304" s="302"/>
      <c r="QK304" s="302"/>
      <c r="QL304" s="302"/>
      <c r="QM304" s="302"/>
      <c r="QN304" s="302"/>
      <c r="QO304" s="302"/>
      <c r="QP304" s="302"/>
      <c r="QQ304" s="302"/>
      <c r="QR304" s="302"/>
      <c r="QS304" s="302"/>
      <c r="QT304" s="302"/>
      <c r="QU304" s="302"/>
      <c r="QV304" s="302"/>
      <c r="QW304" s="302"/>
      <c r="QX304" s="302"/>
      <c r="QY304" s="302"/>
      <c r="QZ304" s="302"/>
      <c r="RA304" s="302"/>
      <c r="RB304" s="302"/>
      <c r="RC304" s="302"/>
      <c r="RD304" s="302"/>
      <c r="RE304" s="302"/>
      <c r="RF304" s="302"/>
      <c r="RG304" s="302"/>
      <c r="RH304" s="302"/>
      <c r="RI304" s="302"/>
      <c r="RJ304" s="302"/>
      <c r="RK304" s="302"/>
      <c r="RL304" s="302"/>
      <c r="RM304" s="302"/>
      <c r="RN304" s="302"/>
      <c r="RO304" s="302"/>
      <c r="RP304" s="302"/>
      <c r="RQ304" s="302"/>
      <c r="RR304" s="302"/>
      <c r="RS304" s="302"/>
      <c r="RT304" s="302"/>
      <c r="RU304" s="302"/>
      <c r="RV304" s="302"/>
      <c r="RW304" s="302"/>
      <c r="RX304" s="302"/>
      <c r="RY304" s="302"/>
      <c r="RZ304" s="302"/>
      <c r="SA304" s="302"/>
      <c r="SB304" s="302"/>
      <c r="SC304" s="302"/>
      <c r="SD304" s="302"/>
      <c r="SE304" s="302"/>
      <c r="SF304" s="302"/>
      <c r="SG304" s="302"/>
      <c r="SH304" s="302"/>
      <c r="SI304" s="302"/>
      <c r="SJ304" s="302"/>
      <c r="SK304" s="302"/>
      <c r="SL304" s="302"/>
      <c r="SM304" s="302"/>
      <c r="SN304" s="302"/>
      <c r="SO304" s="302"/>
      <c r="SP304" s="302"/>
      <c r="SQ304" s="302"/>
      <c r="SR304" s="302"/>
      <c r="SS304" s="302"/>
      <c r="ST304" s="302"/>
      <c r="SU304" s="302"/>
      <c r="SV304" s="302"/>
      <c r="SW304" s="302"/>
      <c r="SX304" s="302"/>
      <c r="SY304" s="302"/>
      <c r="SZ304" s="302"/>
      <c r="TA304" s="302"/>
      <c r="TB304" s="302"/>
      <c r="TC304" s="302"/>
      <c r="TD304" s="302"/>
      <c r="TE304" s="302"/>
      <c r="TF304" s="302"/>
      <c r="TG304" s="302"/>
      <c r="TH304" s="302"/>
      <c r="TI304" s="302"/>
      <c r="TJ304" s="302"/>
      <c r="TK304" s="302"/>
      <c r="TL304" s="302"/>
      <c r="TM304" s="302"/>
      <c r="TN304" s="302"/>
      <c r="TO304" s="302"/>
      <c r="TP304" s="302"/>
      <c r="TQ304" s="302"/>
      <c r="TR304" s="302"/>
      <c r="TS304" s="302"/>
      <c r="TT304" s="302"/>
      <c r="TU304" s="302"/>
      <c r="TV304" s="302"/>
      <c r="TW304" s="302"/>
      <c r="TX304" s="302"/>
      <c r="TY304" s="302"/>
      <c r="TZ304" s="302"/>
      <c r="UA304" s="302"/>
      <c r="UB304" s="302"/>
      <c r="UC304" s="302"/>
      <c r="UD304" s="302"/>
      <c r="UE304" s="302"/>
      <c r="UF304" s="302"/>
      <c r="UG304" s="302"/>
      <c r="UH304" s="302"/>
      <c r="UI304" s="302"/>
      <c r="UJ304" s="302"/>
      <c r="UK304" s="302"/>
      <c r="UL304" s="302"/>
      <c r="UM304" s="302"/>
      <c r="UN304" s="302"/>
      <c r="UO304" s="302"/>
      <c r="UP304" s="302"/>
      <c r="UQ304" s="302"/>
      <c r="UR304" s="302"/>
      <c r="US304" s="302"/>
      <c r="UT304" s="302"/>
      <c r="UU304" s="302"/>
      <c r="UV304" s="302"/>
      <c r="UW304" s="302"/>
      <c r="UX304" s="302"/>
      <c r="UY304" s="302"/>
      <c r="UZ304" s="302"/>
      <c r="VA304" s="302"/>
      <c r="VB304" s="302"/>
      <c r="VC304" s="302"/>
      <c r="VD304" s="302"/>
      <c r="VE304" s="302"/>
      <c r="VF304" s="302"/>
      <c r="VG304" s="302"/>
      <c r="VH304" s="302"/>
      <c r="VI304" s="302"/>
      <c r="VJ304" s="302"/>
      <c r="VK304" s="302"/>
      <c r="VL304" s="302"/>
      <c r="VM304" s="302"/>
      <c r="VN304" s="302"/>
      <c r="VO304" s="302"/>
      <c r="VP304" s="302"/>
      <c r="VQ304" s="302"/>
      <c r="VR304" s="302"/>
      <c r="VS304" s="302"/>
      <c r="VT304" s="302"/>
      <c r="VU304" s="302"/>
      <c r="VV304" s="302"/>
      <c r="VW304" s="302"/>
      <c r="VX304" s="302"/>
      <c r="VY304" s="302"/>
      <c r="VZ304" s="302"/>
      <c r="WA304" s="302"/>
      <c r="WB304" s="302"/>
      <c r="WC304" s="302"/>
      <c r="WD304" s="302"/>
      <c r="WE304" s="302"/>
      <c r="WF304" s="302"/>
      <c r="WG304" s="302"/>
      <c r="WH304" s="302"/>
      <c r="WI304" s="302"/>
      <c r="WJ304" s="302"/>
      <c r="WK304" s="302"/>
      <c r="WL304" s="302"/>
      <c r="WM304" s="302"/>
      <c r="WN304" s="302"/>
      <c r="WO304" s="302"/>
      <c r="WP304" s="302"/>
      <c r="WQ304" s="302"/>
      <c r="WR304" s="302"/>
      <c r="WS304" s="302"/>
      <c r="WT304" s="302"/>
      <c r="WU304" s="302"/>
      <c r="WV304" s="302"/>
      <c r="WW304" s="302"/>
      <c r="WX304" s="302"/>
      <c r="WY304" s="302"/>
      <c r="WZ304" s="302"/>
      <c r="XA304" s="302"/>
      <c r="XB304" s="302"/>
      <c r="XC304" s="302"/>
      <c r="XD304" s="302"/>
      <c r="XE304" s="302"/>
      <c r="XF304" s="302"/>
      <c r="XG304" s="302"/>
      <c r="XH304" s="302"/>
      <c r="XI304" s="302"/>
      <c r="XJ304" s="302"/>
      <c r="XK304" s="302"/>
      <c r="XL304" s="302"/>
      <c r="XM304" s="302"/>
      <c r="XN304" s="302"/>
      <c r="XO304" s="302"/>
      <c r="XP304" s="302"/>
      <c r="XQ304" s="302"/>
      <c r="XR304" s="302"/>
      <c r="XS304" s="302"/>
      <c r="XT304" s="302"/>
      <c r="XU304" s="302"/>
      <c r="XV304" s="302"/>
      <c r="XW304" s="302"/>
      <c r="XX304" s="302"/>
      <c r="XY304" s="302"/>
      <c r="XZ304" s="302"/>
      <c r="YA304" s="302"/>
      <c r="YB304" s="302"/>
      <c r="YC304" s="302"/>
      <c r="YD304" s="302"/>
      <c r="YE304" s="302"/>
      <c r="YF304" s="302"/>
      <c r="YG304" s="302"/>
      <c r="YH304" s="302"/>
      <c r="YI304" s="302"/>
      <c r="YJ304" s="302"/>
      <c r="YK304" s="302"/>
      <c r="YL304" s="302"/>
      <c r="YM304" s="302"/>
      <c r="YN304" s="302"/>
      <c r="YO304" s="302"/>
      <c r="YP304" s="302"/>
      <c r="YQ304" s="302"/>
      <c r="YR304" s="302"/>
      <c r="YS304" s="302"/>
      <c r="YT304" s="302"/>
      <c r="YU304" s="302"/>
      <c r="YV304" s="302"/>
      <c r="YW304" s="302"/>
      <c r="YX304" s="302"/>
      <c r="YY304" s="302"/>
      <c r="YZ304" s="302"/>
      <c r="ZA304" s="302"/>
      <c r="ZB304" s="302"/>
      <c r="ZC304" s="302"/>
      <c r="ZD304" s="302"/>
      <c r="ZE304" s="302"/>
      <c r="ZF304" s="302"/>
      <c r="ZG304" s="302"/>
      <c r="ZH304" s="302"/>
      <c r="ZI304" s="302"/>
      <c r="ZJ304" s="302"/>
      <c r="ZK304" s="302"/>
      <c r="ZL304" s="302"/>
      <c r="ZM304" s="302"/>
      <c r="ZN304" s="302"/>
      <c r="ZO304" s="302"/>
      <c r="ZP304" s="302"/>
      <c r="ZQ304" s="302"/>
      <c r="ZR304" s="302"/>
      <c r="ZS304" s="302"/>
      <c r="ZT304" s="302"/>
      <c r="ZU304" s="302"/>
      <c r="ZV304" s="302"/>
      <c r="ZW304" s="302"/>
      <c r="ZX304" s="302"/>
      <c r="ZY304" s="302"/>
      <c r="ZZ304" s="302"/>
      <c r="AAA304" s="302"/>
      <c r="AAB304" s="302"/>
      <c r="AAC304" s="302"/>
      <c r="AAD304" s="302"/>
      <c r="AAE304" s="302"/>
      <c r="AAF304" s="302"/>
      <c r="AAG304" s="302"/>
      <c r="AAH304" s="302"/>
      <c r="AAI304" s="302"/>
      <c r="AAJ304" s="302"/>
      <c r="AAK304" s="302"/>
      <c r="AAL304" s="302"/>
      <c r="AAM304" s="302"/>
      <c r="AAN304" s="302"/>
      <c r="AAO304" s="302"/>
      <c r="AAP304" s="302"/>
      <c r="AAQ304" s="302"/>
      <c r="AAR304" s="302"/>
      <c r="AAS304" s="302"/>
      <c r="AAT304" s="302"/>
      <c r="AAU304" s="302"/>
      <c r="AAV304" s="302"/>
      <c r="AAW304" s="302"/>
      <c r="AAX304" s="302"/>
      <c r="AAY304" s="302"/>
      <c r="AAZ304" s="302"/>
      <c r="ABA304" s="302"/>
      <c r="ABB304" s="302"/>
      <c r="ABC304" s="302"/>
      <c r="ABD304" s="302"/>
      <c r="ABE304" s="302"/>
      <c r="ABF304" s="302"/>
      <c r="ABG304" s="302"/>
      <c r="ABH304" s="302"/>
      <c r="ABI304" s="302"/>
      <c r="ABJ304" s="302"/>
      <c r="ABK304" s="302"/>
      <c r="ABL304" s="302"/>
      <c r="ABM304" s="302"/>
      <c r="ABN304" s="302"/>
      <c r="ABO304" s="302"/>
      <c r="ABP304" s="302"/>
      <c r="ABQ304" s="302"/>
      <c r="ABR304" s="302"/>
      <c r="ABS304" s="302"/>
      <c r="ABT304" s="302"/>
      <c r="ABU304" s="302"/>
      <c r="ABV304" s="302"/>
      <c r="ABW304" s="302"/>
      <c r="ABX304" s="302"/>
      <c r="ABY304" s="302"/>
      <c r="ABZ304" s="302"/>
      <c r="ACA304" s="302"/>
      <c r="ACB304" s="302"/>
      <c r="ACC304" s="302"/>
      <c r="ACD304" s="302"/>
      <c r="ACE304" s="302"/>
      <c r="ACF304" s="302"/>
      <c r="ACG304" s="302"/>
      <c r="ACH304" s="302"/>
      <c r="ACI304" s="302"/>
      <c r="ACJ304" s="302"/>
      <c r="ACK304" s="302"/>
      <c r="ACL304" s="302"/>
      <c r="ACM304" s="302"/>
      <c r="ACN304" s="302"/>
      <c r="ACO304" s="302"/>
      <c r="ACP304" s="302"/>
      <c r="ACQ304" s="302"/>
      <c r="ACR304" s="302"/>
      <c r="ACS304" s="302"/>
      <c r="ACT304" s="302"/>
      <c r="ACU304" s="302"/>
      <c r="ACV304" s="302"/>
      <c r="ACW304" s="302"/>
      <c r="ACX304" s="302"/>
      <c r="ACY304" s="302"/>
      <c r="ACZ304" s="302"/>
      <c r="ADA304" s="302"/>
      <c r="ADB304" s="302"/>
      <c r="ADC304" s="302"/>
      <c r="ADD304" s="302"/>
      <c r="ADE304" s="302"/>
      <c r="ADF304" s="302"/>
      <c r="ADG304" s="302"/>
      <c r="ADH304" s="302"/>
      <c r="ADI304" s="302"/>
      <c r="ADJ304" s="302"/>
      <c r="ADK304" s="302"/>
      <c r="ADL304" s="302"/>
      <c r="ADM304" s="302"/>
      <c r="ADN304" s="302"/>
      <c r="ADO304" s="302"/>
      <c r="ADP304" s="302"/>
      <c r="ADQ304" s="302"/>
      <c r="ADR304" s="302"/>
      <c r="ADS304" s="302"/>
      <c r="ADT304" s="302"/>
      <c r="ADU304" s="302"/>
      <c r="ADV304" s="302"/>
      <c r="ADW304" s="302"/>
      <c r="ADX304" s="302"/>
      <c r="ADY304" s="302"/>
      <c r="ADZ304" s="302"/>
      <c r="AEA304" s="302"/>
      <c r="AEB304" s="302"/>
      <c r="AEC304" s="302"/>
      <c r="AED304" s="302"/>
      <c r="AEE304" s="302"/>
      <c r="AEF304" s="302"/>
      <c r="AEG304" s="302"/>
      <c r="AEH304" s="302"/>
      <c r="AEI304" s="302"/>
      <c r="AEJ304" s="302"/>
      <c r="AEK304" s="302"/>
      <c r="AEL304" s="302"/>
      <c r="AEM304" s="302"/>
      <c r="AEN304" s="302"/>
      <c r="AEO304" s="302"/>
      <c r="AEP304" s="302"/>
      <c r="AEQ304" s="302"/>
      <c r="AER304" s="302"/>
      <c r="AES304" s="302"/>
      <c r="AET304" s="302"/>
      <c r="AEU304" s="302"/>
      <c r="AEV304" s="302"/>
      <c r="AEW304" s="302"/>
      <c r="AEX304" s="302"/>
      <c r="AEY304" s="302"/>
      <c r="AEZ304" s="302"/>
      <c r="AFA304" s="302"/>
      <c r="AFB304" s="302"/>
      <c r="AFC304" s="302"/>
      <c r="AFD304" s="302"/>
      <c r="AFE304" s="302"/>
      <c r="AFF304" s="302"/>
      <c r="AFG304" s="302"/>
      <c r="AFH304" s="302"/>
      <c r="AFI304" s="302"/>
      <c r="AFJ304" s="302"/>
      <c r="AFK304" s="302"/>
      <c r="AFL304" s="302"/>
      <c r="AFM304" s="302"/>
      <c r="AFN304" s="302"/>
      <c r="AFO304" s="302"/>
      <c r="AFP304" s="302"/>
      <c r="AFQ304" s="302"/>
      <c r="AFR304" s="302"/>
      <c r="AFS304" s="302"/>
      <c r="AFT304" s="302"/>
      <c r="AFU304" s="302"/>
      <c r="AFV304" s="302"/>
      <c r="AFW304" s="302"/>
      <c r="AFX304" s="302"/>
      <c r="AFY304" s="302"/>
      <c r="AFZ304" s="302"/>
      <c r="AGA304" s="302"/>
      <c r="AGB304" s="302"/>
      <c r="AGC304" s="302"/>
      <c r="AGD304" s="302"/>
      <c r="AGE304" s="302"/>
      <c r="AGF304" s="302"/>
      <c r="AGG304" s="302"/>
      <c r="AGH304" s="302"/>
      <c r="AGI304" s="302"/>
      <c r="AGJ304" s="302"/>
      <c r="AGK304" s="302"/>
      <c r="AGL304" s="302"/>
      <c r="AGM304" s="302"/>
      <c r="AGN304" s="302"/>
      <c r="AGO304" s="302"/>
      <c r="AGP304" s="302"/>
      <c r="AGQ304" s="302"/>
      <c r="AGR304" s="302"/>
      <c r="AGS304" s="302"/>
      <c r="AGT304" s="302"/>
      <c r="AGU304" s="302"/>
      <c r="AGV304" s="302"/>
      <c r="AGW304" s="302"/>
      <c r="AGX304" s="302"/>
      <c r="AGY304" s="302"/>
      <c r="AGZ304" s="302"/>
      <c r="AHA304" s="302"/>
      <c r="AHB304" s="302"/>
      <c r="AHC304" s="302"/>
      <c r="AHD304" s="302"/>
      <c r="AHE304" s="302"/>
      <c r="AHF304" s="302"/>
      <c r="AHG304" s="302"/>
      <c r="AHH304" s="302"/>
      <c r="AHI304" s="302"/>
      <c r="AHJ304" s="302"/>
      <c r="AHK304" s="302"/>
      <c r="AHL304" s="302"/>
      <c r="AHM304" s="302"/>
      <c r="AHN304" s="302"/>
      <c r="AHO304" s="302"/>
      <c r="AHP304" s="302"/>
      <c r="AHQ304" s="302"/>
      <c r="AHR304" s="302"/>
      <c r="AHS304" s="302"/>
      <c r="AHT304" s="302"/>
      <c r="AHU304" s="302"/>
      <c r="AHV304" s="302"/>
      <c r="AHW304" s="302"/>
      <c r="AHX304" s="302"/>
      <c r="AHY304" s="302"/>
      <c r="AHZ304" s="302"/>
      <c r="AIA304" s="302"/>
      <c r="AIB304" s="302"/>
      <c r="AIC304" s="302"/>
      <c r="AID304" s="302"/>
      <c r="AIE304" s="302"/>
      <c r="AIF304" s="302"/>
      <c r="AIG304" s="302"/>
      <c r="AIH304" s="302"/>
      <c r="AII304" s="302"/>
      <c r="AIJ304" s="302"/>
      <c r="AIK304" s="302"/>
      <c r="AIL304" s="302"/>
      <c r="AIM304" s="302"/>
      <c r="AIN304" s="302"/>
      <c r="AIO304" s="302"/>
      <c r="AIP304" s="302"/>
      <c r="AIQ304" s="302"/>
      <c r="AIR304" s="302"/>
      <c r="AIS304" s="302"/>
      <c r="AIT304" s="302"/>
      <c r="AIU304" s="302"/>
      <c r="AIV304" s="302"/>
      <c r="AIW304" s="302"/>
      <c r="AIX304" s="302"/>
      <c r="AIY304" s="302"/>
      <c r="AIZ304" s="302"/>
      <c r="AJA304" s="302"/>
      <c r="AJB304" s="302"/>
      <c r="AJC304" s="302"/>
      <c r="AJD304" s="302"/>
      <c r="AJE304" s="302"/>
      <c r="AJF304" s="302"/>
      <c r="AJG304" s="302"/>
      <c r="AJH304" s="302"/>
      <c r="AJI304" s="302"/>
      <c r="AJJ304" s="302"/>
      <c r="AJK304" s="302"/>
      <c r="AJL304" s="302"/>
      <c r="AJM304" s="302"/>
      <c r="AJN304" s="302"/>
      <c r="AJO304" s="302"/>
      <c r="AJP304" s="302"/>
      <c r="AJQ304" s="302"/>
      <c r="AJR304" s="302"/>
      <c r="AJS304" s="302"/>
      <c r="AJT304" s="302"/>
      <c r="AJU304" s="302"/>
      <c r="AJV304" s="302"/>
      <c r="AJW304" s="302"/>
      <c r="AJX304" s="302"/>
      <c r="AJY304" s="302"/>
      <c r="AJZ304" s="302"/>
      <c r="AKA304" s="302"/>
      <c r="AKB304" s="302"/>
      <c r="AKC304" s="302"/>
      <c r="AKD304" s="302"/>
      <c r="AKE304" s="302"/>
      <c r="AKF304" s="302"/>
      <c r="AKG304" s="302"/>
      <c r="AKH304" s="302"/>
      <c r="AKI304" s="302"/>
      <c r="AKJ304" s="302"/>
      <c r="AKK304" s="302"/>
      <c r="AKL304" s="302"/>
      <c r="AKM304" s="302"/>
      <c r="AKN304" s="302"/>
      <c r="AKO304" s="302"/>
      <c r="AKP304" s="302"/>
      <c r="AKQ304" s="302"/>
      <c r="AKR304" s="302"/>
      <c r="AKS304" s="302"/>
      <c r="AKT304" s="302"/>
      <c r="AKU304" s="302"/>
      <c r="AKV304" s="302"/>
      <c r="AKW304" s="302"/>
      <c r="AKX304" s="302"/>
      <c r="AKY304" s="302"/>
      <c r="AKZ304" s="302"/>
      <c r="ALA304" s="302"/>
      <c r="ALB304" s="302"/>
      <c r="ALC304" s="302"/>
      <c r="ALD304" s="302"/>
      <c r="ALE304" s="302"/>
      <c r="ALF304" s="302"/>
      <c r="ALG304" s="302"/>
      <c r="ALH304" s="302"/>
      <c r="ALI304" s="302"/>
      <c r="ALJ304" s="302"/>
      <c r="ALK304" s="302"/>
      <c r="ALL304" s="302"/>
      <c r="ALM304" s="302"/>
      <c r="ALN304" s="302"/>
      <c r="ALO304" s="302"/>
      <c r="ALP304" s="302"/>
      <c r="ALQ304" s="302"/>
      <c r="ALR304" s="302"/>
      <c r="ALS304" s="302"/>
      <c r="ALT304" s="302"/>
      <c r="ALU304" s="302"/>
      <c r="ALV304" s="302"/>
      <c r="ALW304" s="302"/>
      <c r="ALX304" s="302"/>
      <c r="ALY304" s="302"/>
      <c r="ALZ304" s="302"/>
      <c r="AMA304" s="302"/>
      <c r="AMB304" s="302"/>
      <c r="AMC304" s="302"/>
      <c r="AMD304" s="302"/>
      <c r="AME304" s="302"/>
      <c r="AMF304" s="302"/>
      <c r="AMG304" s="302"/>
      <c r="AMH304" s="302"/>
      <c r="AMI304" s="302"/>
    </row>
    <row r="305" spans="1:1023" hidden="1">
      <c r="A305" s="302"/>
      <c r="B305" s="443">
        <v>14260</v>
      </c>
      <c r="C305" s="521">
        <v>0.08</v>
      </c>
      <c r="D305" s="370" t="s">
        <v>201</v>
      </c>
      <c r="E305" s="401">
        <v>3000000</v>
      </c>
      <c r="F305" s="500">
        <v>0.02</v>
      </c>
      <c r="G305" s="364">
        <f t="shared" si="17"/>
        <v>60000</v>
      </c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2"/>
      <c r="AE305" s="302"/>
      <c r="AF305" s="302"/>
      <c r="AG305" s="302"/>
      <c r="AH305" s="302"/>
      <c r="AI305" s="302"/>
      <c r="AJ305" s="302"/>
      <c r="AK305" s="302"/>
      <c r="AL305" s="302"/>
      <c r="AM305" s="302"/>
      <c r="AN305" s="302"/>
      <c r="AO305" s="302"/>
      <c r="AP305" s="302"/>
      <c r="AQ305" s="302"/>
      <c r="AR305" s="302"/>
      <c r="AS305" s="302"/>
      <c r="AT305" s="302"/>
      <c r="AU305" s="302"/>
      <c r="AV305" s="302"/>
      <c r="AW305" s="302"/>
      <c r="AX305" s="302"/>
      <c r="AY305" s="302"/>
      <c r="AZ305" s="302"/>
      <c r="BA305" s="302"/>
      <c r="BB305" s="302"/>
      <c r="BC305" s="302"/>
      <c r="BD305" s="302"/>
      <c r="BE305" s="302"/>
      <c r="BF305" s="302"/>
      <c r="BG305" s="302"/>
      <c r="BH305" s="302"/>
      <c r="BI305" s="302"/>
      <c r="BJ305" s="302"/>
      <c r="BK305" s="302"/>
      <c r="BL305" s="302"/>
      <c r="BM305" s="302"/>
      <c r="BN305" s="302"/>
      <c r="BO305" s="302"/>
      <c r="BP305" s="302"/>
      <c r="BQ305" s="302"/>
      <c r="BR305" s="302"/>
      <c r="BS305" s="302"/>
      <c r="BT305" s="302"/>
      <c r="BU305" s="302"/>
      <c r="BV305" s="302"/>
      <c r="BW305" s="302"/>
      <c r="BX305" s="302"/>
      <c r="BY305" s="302"/>
      <c r="BZ305" s="302"/>
      <c r="CA305" s="302"/>
      <c r="CB305" s="302"/>
      <c r="CC305" s="302"/>
      <c r="CD305" s="302"/>
      <c r="CE305" s="302"/>
      <c r="CF305" s="302"/>
      <c r="CG305" s="302"/>
      <c r="CH305" s="302"/>
      <c r="CI305" s="302"/>
      <c r="CJ305" s="302"/>
      <c r="CK305" s="302"/>
      <c r="CL305" s="302"/>
      <c r="CM305" s="302"/>
      <c r="CN305" s="302"/>
      <c r="CO305" s="302"/>
      <c r="CP305" s="302"/>
      <c r="CQ305" s="302"/>
      <c r="CR305" s="302"/>
      <c r="CS305" s="302"/>
      <c r="CT305" s="302"/>
      <c r="CU305" s="302"/>
      <c r="CV305" s="302"/>
      <c r="CW305" s="302"/>
      <c r="CX305" s="302"/>
      <c r="CY305" s="302"/>
      <c r="CZ305" s="302"/>
      <c r="DA305" s="302"/>
      <c r="DB305" s="302"/>
      <c r="DC305" s="302"/>
      <c r="DD305" s="302"/>
      <c r="DE305" s="302"/>
      <c r="DF305" s="302"/>
      <c r="DG305" s="302"/>
      <c r="DH305" s="302"/>
      <c r="DI305" s="302"/>
      <c r="DJ305" s="302"/>
      <c r="DK305" s="302"/>
      <c r="DL305" s="302"/>
      <c r="DM305" s="302"/>
      <c r="DN305" s="302"/>
      <c r="DO305" s="302"/>
      <c r="DP305" s="302"/>
      <c r="DQ305" s="302"/>
      <c r="DR305" s="302"/>
      <c r="DS305" s="302"/>
      <c r="DT305" s="302"/>
      <c r="DU305" s="302"/>
      <c r="DV305" s="302"/>
      <c r="DW305" s="302"/>
      <c r="DX305" s="302"/>
      <c r="DY305" s="302"/>
      <c r="DZ305" s="302"/>
      <c r="EA305" s="302"/>
      <c r="EB305" s="302"/>
      <c r="EC305" s="302"/>
      <c r="ED305" s="302"/>
      <c r="EE305" s="302"/>
      <c r="EF305" s="302"/>
      <c r="EG305" s="302"/>
      <c r="EH305" s="302"/>
      <c r="EI305" s="302"/>
      <c r="EJ305" s="302"/>
      <c r="EK305" s="302"/>
      <c r="EL305" s="302"/>
      <c r="EM305" s="302"/>
      <c r="EN305" s="302"/>
      <c r="EO305" s="302"/>
      <c r="EP305" s="302"/>
      <c r="EQ305" s="302"/>
      <c r="ER305" s="302"/>
      <c r="ES305" s="302"/>
      <c r="ET305" s="302"/>
      <c r="EU305" s="302"/>
      <c r="EV305" s="302"/>
      <c r="EW305" s="302"/>
      <c r="EX305" s="302"/>
      <c r="EY305" s="302"/>
      <c r="EZ305" s="302"/>
      <c r="FA305" s="302"/>
      <c r="FB305" s="302"/>
      <c r="FC305" s="302"/>
      <c r="FD305" s="302"/>
      <c r="FE305" s="302"/>
      <c r="FF305" s="302"/>
      <c r="FG305" s="302"/>
      <c r="FH305" s="302"/>
      <c r="FI305" s="302"/>
      <c r="FJ305" s="302"/>
      <c r="FK305" s="302"/>
      <c r="FL305" s="302"/>
      <c r="FM305" s="302"/>
      <c r="FN305" s="302"/>
      <c r="FO305" s="302"/>
      <c r="FP305" s="302"/>
      <c r="FQ305" s="302"/>
      <c r="FR305" s="302"/>
      <c r="FS305" s="302"/>
      <c r="FT305" s="302"/>
      <c r="FU305" s="302"/>
      <c r="FV305" s="302"/>
      <c r="FW305" s="302"/>
      <c r="FX305" s="302"/>
      <c r="FY305" s="302"/>
      <c r="FZ305" s="302"/>
      <c r="GA305" s="302"/>
      <c r="GB305" s="302"/>
      <c r="GC305" s="302"/>
      <c r="GD305" s="302"/>
      <c r="GE305" s="302"/>
      <c r="GF305" s="302"/>
      <c r="GG305" s="302"/>
      <c r="GH305" s="302"/>
      <c r="GI305" s="302"/>
      <c r="GJ305" s="302"/>
      <c r="GK305" s="302"/>
      <c r="GL305" s="302"/>
      <c r="GM305" s="302"/>
      <c r="GN305" s="302"/>
      <c r="GO305" s="302"/>
      <c r="GP305" s="302"/>
      <c r="GQ305" s="302"/>
      <c r="GR305" s="302"/>
      <c r="GS305" s="302"/>
      <c r="GT305" s="302"/>
      <c r="GU305" s="302"/>
      <c r="GV305" s="302"/>
      <c r="GW305" s="302"/>
      <c r="GX305" s="302"/>
      <c r="GY305" s="302"/>
      <c r="GZ305" s="302"/>
      <c r="HA305" s="302"/>
      <c r="HB305" s="302"/>
      <c r="HC305" s="302"/>
      <c r="HD305" s="302"/>
      <c r="HE305" s="302"/>
      <c r="HF305" s="302"/>
      <c r="HG305" s="302"/>
      <c r="HH305" s="302"/>
      <c r="HI305" s="302"/>
      <c r="HJ305" s="302"/>
      <c r="HK305" s="302"/>
      <c r="HL305" s="302"/>
      <c r="HM305" s="302"/>
      <c r="HN305" s="302"/>
      <c r="HO305" s="302"/>
      <c r="HP305" s="302"/>
      <c r="HQ305" s="302"/>
      <c r="HR305" s="302"/>
      <c r="HS305" s="302"/>
      <c r="HT305" s="302"/>
      <c r="HU305" s="302"/>
      <c r="HV305" s="302"/>
      <c r="HW305" s="302"/>
      <c r="HX305" s="302"/>
      <c r="HY305" s="302"/>
      <c r="HZ305" s="302"/>
      <c r="IA305" s="302"/>
      <c r="IB305" s="302"/>
      <c r="IC305" s="302"/>
      <c r="ID305" s="302"/>
      <c r="IE305" s="302"/>
      <c r="IF305" s="302"/>
      <c r="IG305" s="302"/>
      <c r="IH305" s="302"/>
      <c r="II305" s="302"/>
      <c r="IJ305" s="302"/>
      <c r="IK305" s="302"/>
      <c r="IL305" s="302"/>
      <c r="IM305" s="302"/>
      <c r="IN305" s="302"/>
      <c r="IO305" s="302"/>
      <c r="IP305" s="302"/>
      <c r="IQ305" s="302"/>
      <c r="IR305" s="302"/>
      <c r="IS305" s="302"/>
      <c r="IT305" s="302"/>
      <c r="IU305" s="302"/>
      <c r="IV305" s="302"/>
      <c r="IW305" s="302"/>
      <c r="IX305" s="302"/>
      <c r="IY305" s="302"/>
      <c r="IZ305" s="302"/>
      <c r="JA305" s="302"/>
      <c r="JB305" s="302"/>
      <c r="JC305" s="302"/>
      <c r="JD305" s="302"/>
      <c r="JE305" s="302"/>
      <c r="JF305" s="302"/>
      <c r="JG305" s="302"/>
      <c r="JH305" s="302"/>
      <c r="JI305" s="302"/>
      <c r="JJ305" s="302"/>
      <c r="JK305" s="302"/>
      <c r="JL305" s="302"/>
      <c r="JM305" s="302"/>
      <c r="JN305" s="302"/>
      <c r="JO305" s="302"/>
      <c r="JP305" s="302"/>
      <c r="JQ305" s="302"/>
      <c r="JR305" s="302"/>
      <c r="JS305" s="302"/>
      <c r="JT305" s="302"/>
      <c r="JU305" s="302"/>
      <c r="JV305" s="302"/>
      <c r="JW305" s="302"/>
      <c r="JX305" s="302"/>
      <c r="JY305" s="302"/>
      <c r="JZ305" s="302"/>
      <c r="KA305" s="302"/>
      <c r="KB305" s="302"/>
      <c r="KC305" s="302"/>
      <c r="KD305" s="302"/>
      <c r="KE305" s="302"/>
      <c r="KF305" s="302"/>
      <c r="KG305" s="302"/>
      <c r="KH305" s="302"/>
      <c r="KI305" s="302"/>
      <c r="KJ305" s="302"/>
      <c r="KK305" s="302"/>
      <c r="KL305" s="302"/>
      <c r="KM305" s="302"/>
      <c r="KN305" s="302"/>
      <c r="KO305" s="302"/>
      <c r="KP305" s="302"/>
      <c r="KQ305" s="302"/>
      <c r="KR305" s="302"/>
      <c r="KS305" s="302"/>
      <c r="KT305" s="302"/>
      <c r="KU305" s="302"/>
      <c r="KV305" s="302"/>
      <c r="KW305" s="302"/>
      <c r="KX305" s="302"/>
      <c r="KY305" s="302"/>
      <c r="KZ305" s="302"/>
      <c r="LA305" s="302"/>
      <c r="LB305" s="302"/>
      <c r="LC305" s="302"/>
      <c r="LD305" s="302"/>
      <c r="LE305" s="302"/>
      <c r="LF305" s="302"/>
      <c r="LG305" s="302"/>
      <c r="LH305" s="302"/>
      <c r="LI305" s="302"/>
      <c r="LJ305" s="302"/>
      <c r="LK305" s="302"/>
      <c r="LL305" s="302"/>
      <c r="LM305" s="302"/>
      <c r="LN305" s="302"/>
      <c r="LO305" s="302"/>
      <c r="LP305" s="302"/>
      <c r="LQ305" s="302"/>
      <c r="LR305" s="302"/>
      <c r="LS305" s="302"/>
      <c r="LT305" s="302"/>
      <c r="LU305" s="302"/>
      <c r="LV305" s="302"/>
      <c r="LW305" s="302"/>
      <c r="LX305" s="302"/>
      <c r="LY305" s="302"/>
      <c r="LZ305" s="302"/>
      <c r="MA305" s="302"/>
      <c r="MB305" s="302"/>
      <c r="MC305" s="302"/>
      <c r="MD305" s="302"/>
      <c r="ME305" s="302"/>
      <c r="MF305" s="302"/>
      <c r="MG305" s="302"/>
      <c r="MH305" s="302"/>
      <c r="MI305" s="302"/>
      <c r="MJ305" s="302"/>
      <c r="MK305" s="302"/>
      <c r="ML305" s="302"/>
      <c r="MM305" s="302"/>
      <c r="MN305" s="302"/>
      <c r="MO305" s="302"/>
      <c r="MP305" s="302"/>
      <c r="MQ305" s="302"/>
      <c r="MR305" s="302"/>
      <c r="MS305" s="302"/>
      <c r="MT305" s="302"/>
      <c r="MU305" s="302"/>
      <c r="MV305" s="302"/>
      <c r="MW305" s="302"/>
      <c r="MX305" s="302"/>
      <c r="MY305" s="302"/>
      <c r="MZ305" s="302"/>
      <c r="NA305" s="302"/>
      <c r="NB305" s="302"/>
      <c r="NC305" s="302"/>
      <c r="ND305" s="302"/>
      <c r="NE305" s="302"/>
      <c r="NF305" s="302"/>
      <c r="NG305" s="302"/>
      <c r="NH305" s="302"/>
      <c r="NI305" s="302"/>
      <c r="NJ305" s="302"/>
      <c r="NK305" s="302"/>
      <c r="NL305" s="302"/>
      <c r="NM305" s="302"/>
      <c r="NN305" s="302"/>
      <c r="NO305" s="302"/>
      <c r="NP305" s="302"/>
      <c r="NQ305" s="302"/>
      <c r="NR305" s="302"/>
      <c r="NS305" s="302"/>
      <c r="NT305" s="302"/>
      <c r="NU305" s="302"/>
      <c r="NV305" s="302"/>
      <c r="NW305" s="302"/>
      <c r="NX305" s="302"/>
      <c r="NY305" s="302"/>
      <c r="NZ305" s="302"/>
      <c r="OA305" s="302"/>
      <c r="OB305" s="302"/>
      <c r="OC305" s="302"/>
      <c r="OD305" s="302"/>
      <c r="OE305" s="302"/>
      <c r="OF305" s="302"/>
      <c r="OG305" s="302"/>
      <c r="OH305" s="302"/>
      <c r="OI305" s="302"/>
      <c r="OJ305" s="302"/>
      <c r="OK305" s="302"/>
      <c r="OL305" s="302"/>
      <c r="OM305" s="302"/>
      <c r="ON305" s="302"/>
      <c r="OO305" s="302"/>
      <c r="OP305" s="302"/>
      <c r="OQ305" s="302"/>
      <c r="OR305" s="302"/>
      <c r="OS305" s="302"/>
      <c r="OT305" s="302"/>
      <c r="OU305" s="302"/>
      <c r="OV305" s="302"/>
      <c r="OW305" s="302"/>
      <c r="OX305" s="302"/>
      <c r="OY305" s="302"/>
      <c r="OZ305" s="302"/>
      <c r="PA305" s="302"/>
      <c r="PB305" s="302"/>
      <c r="PC305" s="302"/>
      <c r="PD305" s="302"/>
      <c r="PE305" s="302"/>
      <c r="PF305" s="302"/>
      <c r="PG305" s="302"/>
      <c r="PH305" s="302"/>
      <c r="PI305" s="302"/>
      <c r="PJ305" s="302"/>
      <c r="PK305" s="302"/>
      <c r="PL305" s="302"/>
      <c r="PM305" s="302"/>
      <c r="PN305" s="302"/>
      <c r="PO305" s="302"/>
      <c r="PP305" s="302"/>
      <c r="PQ305" s="302"/>
      <c r="PR305" s="302"/>
      <c r="PS305" s="302"/>
      <c r="PT305" s="302"/>
      <c r="PU305" s="302"/>
      <c r="PV305" s="302"/>
      <c r="PW305" s="302"/>
      <c r="PX305" s="302"/>
      <c r="PY305" s="302"/>
      <c r="PZ305" s="302"/>
      <c r="QA305" s="302"/>
      <c r="QB305" s="302"/>
      <c r="QC305" s="302"/>
      <c r="QD305" s="302"/>
      <c r="QE305" s="302"/>
      <c r="QF305" s="302"/>
      <c r="QG305" s="302"/>
      <c r="QH305" s="302"/>
      <c r="QI305" s="302"/>
      <c r="QJ305" s="302"/>
      <c r="QK305" s="302"/>
      <c r="QL305" s="302"/>
      <c r="QM305" s="302"/>
      <c r="QN305" s="302"/>
      <c r="QO305" s="302"/>
      <c r="QP305" s="302"/>
      <c r="QQ305" s="302"/>
      <c r="QR305" s="302"/>
      <c r="QS305" s="302"/>
      <c r="QT305" s="302"/>
      <c r="QU305" s="302"/>
      <c r="QV305" s="302"/>
      <c r="QW305" s="302"/>
      <c r="QX305" s="302"/>
      <c r="QY305" s="302"/>
      <c r="QZ305" s="302"/>
      <c r="RA305" s="302"/>
      <c r="RB305" s="302"/>
      <c r="RC305" s="302"/>
      <c r="RD305" s="302"/>
      <c r="RE305" s="302"/>
      <c r="RF305" s="302"/>
      <c r="RG305" s="302"/>
      <c r="RH305" s="302"/>
      <c r="RI305" s="302"/>
      <c r="RJ305" s="302"/>
      <c r="RK305" s="302"/>
      <c r="RL305" s="302"/>
      <c r="RM305" s="302"/>
      <c r="RN305" s="302"/>
      <c r="RO305" s="302"/>
      <c r="RP305" s="302"/>
      <c r="RQ305" s="302"/>
      <c r="RR305" s="302"/>
      <c r="RS305" s="302"/>
      <c r="RT305" s="302"/>
      <c r="RU305" s="302"/>
      <c r="RV305" s="302"/>
      <c r="RW305" s="302"/>
      <c r="RX305" s="302"/>
      <c r="RY305" s="302"/>
      <c r="RZ305" s="302"/>
      <c r="SA305" s="302"/>
      <c r="SB305" s="302"/>
      <c r="SC305" s="302"/>
      <c r="SD305" s="302"/>
      <c r="SE305" s="302"/>
      <c r="SF305" s="302"/>
      <c r="SG305" s="302"/>
      <c r="SH305" s="302"/>
      <c r="SI305" s="302"/>
      <c r="SJ305" s="302"/>
      <c r="SK305" s="302"/>
      <c r="SL305" s="302"/>
      <c r="SM305" s="302"/>
      <c r="SN305" s="302"/>
      <c r="SO305" s="302"/>
      <c r="SP305" s="302"/>
      <c r="SQ305" s="302"/>
      <c r="SR305" s="302"/>
      <c r="SS305" s="302"/>
      <c r="ST305" s="302"/>
      <c r="SU305" s="302"/>
      <c r="SV305" s="302"/>
      <c r="SW305" s="302"/>
      <c r="SX305" s="302"/>
      <c r="SY305" s="302"/>
      <c r="SZ305" s="302"/>
      <c r="TA305" s="302"/>
      <c r="TB305" s="302"/>
      <c r="TC305" s="302"/>
      <c r="TD305" s="302"/>
      <c r="TE305" s="302"/>
      <c r="TF305" s="302"/>
      <c r="TG305" s="302"/>
      <c r="TH305" s="302"/>
      <c r="TI305" s="302"/>
      <c r="TJ305" s="302"/>
      <c r="TK305" s="302"/>
      <c r="TL305" s="302"/>
      <c r="TM305" s="302"/>
      <c r="TN305" s="302"/>
      <c r="TO305" s="302"/>
      <c r="TP305" s="302"/>
      <c r="TQ305" s="302"/>
      <c r="TR305" s="302"/>
      <c r="TS305" s="302"/>
      <c r="TT305" s="302"/>
      <c r="TU305" s="302"/>
      <c r="TV305" s="302"/>
      <c r="TW305" s="302"/>
      <c r="TX305" s="302"/>
      <c r="TY305" s="302"/>
      <c r="TZ305" s="302"/>
      <c r="UA305" s="302"/>
      <c r="UB305" s="302"/>
      <c r="UC305" s="302"/>
      <c r="UD305" s="302"/>
      <c r="UE305" s="302"/>
      <c r="UF305" s="302"/>
      <c r="UG305" s="302"/>
      <c r="UH305" s="302"/>
      <c r="UI305" s="302"/>
      <c r="UJ305" s="302"/>
      <c r="UK305" s="302"/>
      <c r="UL305" s="302"/>
      <c r="UM305" s="302"/>
      <c r="UN305" s="302"/>
      <c r="UO305" s="302"/>
      <c r="UP305" s="302"/>
      <c r="UQ305" s="302"/>
      <c r="UR305" s="302"/>
      <c r="US305" s="302"/>
      <c r="UT305" s="302"/>
      <c r="UU305" s="302"/>
      <c r="UV305" s="302"/>
      <c r="UW305" s="302"/>
      <c r="UX305" s="302"/>
      <c r="UY305" s="302"/>
      <c r="UZ305" s="302"/>
      <c r="VA305" s="302"/>
      <c r="VB305" s="302"/>
      <c r="VC305" s="302"/>
      <c r="VD305" s="302"/>
      <c r="VE305" s="302"/>
      <c r="VF305" s="302"/>
      <c r="VG305" s="302"/>
      <c r="VH305" s="302"/>
      <c r="VI305" s="302"/>
      <c r="VJ305" s="302"/>
      <c r="VK305" s="302"/>
      <c r="VL305" s="302"/>
      <c r="VM305" s="302"/>
      <c r="VN305" s="302"/>
      <c r="VO305" s="302"/>
      <c r="VP305" s="302"/>
      <c r="VQ305" s="302"/>
      <c r="VR305" s="302"/>
      <c r="VS305" s="302"/>
      <c r="VT305" s="302"/>
      <c r="VU305" s="302"/>
      <c r="VV305" s="302"/>
      <c r="VW305" s="302"/>
      <c r="VX305" s="302"/>
      <c r="VY305" s="302"/>
      <c r="VZ305" s="302"/>
      <c r="WA305" s="302"/>
      <c r="WB305" s="302"/>
      <c r="WC305" s="302"/>
      <c r="WD305" s="302"/>
      <c r="WE305" s="302"/>
      <c r="WF305" s="302"/>
      <c r="WG305" s="302"/>
      <c r="WH305" s="302"/>
      <c r="WI305" s="302"/>
      <c r="WJ305" s="302"/>
      <c r="WK305" s="302"/>
      <c r="WL305" s="302"/>
      <c r="WM305" s="302"/>
      <c r="WN305" s="302"/>
      <c r="WO305" s="302"/>
      <c r="WP305" s="302"/>
      <c r="WQ305" s="302"/>
      <c r="WR305" s="302"/>
      <c r="WS305" s="302"/>
      <c r="WT305" s="302"/>
      <c r="WU305" s="302"/>
      <c r="WV305" s="302"/>
      <c r="WW305" s="302"/>
      <c r="WX305" s="302"/>
      <c r="WY305" s="302"/>
      <c r="WZ305" s="302"/>
      <c r="XA305" s="302"/>
      <c r="XB305" s="302"/>
      <c r="XC305" s="302"/>
      <c r="XD305" s="302"/>
      <c r="XE305" s="302"/>
      <c r="XF305" s="302"/>
      <c r="XG305" s="302"/>
      <c r="XH305" s="302"/>
      <c r="XI305" s="302"/>
      <c r="XJ305" s="302"/>
      <c r="XK305" s="302"/>
      <c r="XL305" s="302"/>
      <c r="XM305" s="302"/>
      <c r="XN305" s="302"/>
      <c r="XO305" s="302"/>
      <c r="XP305" s="302"/>
      <c r="XQ305" s="302"/>
      <c r="XR305" s="302"/>
      <c r="XS305" s="302"/>
      <c r="XT305" s="302"/>
      <c r="XU305" s="302"/>
      <c r="XV305" s="302"/>
      <c r="XW305" s="302"/>
      <c r="XX305" s="302"/>
      <c r="XY305" s="302"/>
      <c r="XZ305" s="302"/>
      <c r="YA305" s="302"/>
      <c r="YB305" s="302"/>
      <c r="YC305" s="302"/>
      <c r="YD305" s="302"/>
      <c r="YE305" s="302"/>
      <c r="YF305" s="302"/>
      <c r="YG305" s="302"/>
      <c r="YH305" s="302"/>
      <c r="YI305" s="302"/>
      <c r="YJ305" s="302"/>
      <c r="YK305" s="302"/>
      <c r="YL305" s="302"/>
      <c r="YM305" s="302"/>
      <c r="YN305" s="302"/>
      <c r="YO305" s="302"/>
      <c r="YP305" s="302"/>
      <c r="YQ305" s="302"/>
      <c r="YR305" s="302"/>
      <c r="YS305" s="302"/>
      <c r="YT305" s="302"/>
      <c r="YU305" s="302"/>
      <c r="YV305" s="302"/>
      <c r="YW305" s="302"/>
      <c r="YX305" s="302"/>
      <c r="YY305" s="302"/>
      <c r="YZ305" s="302"/>
      <c r="ZA305" s="302"/>
      <c r="ZB305" s="302"/>
      <c r="ZC305" s="302"/>
      <c r="ZD305" s="302"/>
      <c r="ZE305" s="302"/>
      <c r="ZF305" s="302"/>
      <c r="ZG305" s="302"/>
      <c r="ZH305" s="302"/>
      <c r="ZI305" s="302"/>
      <c r="ZJ305" s="302"/>
      <c r="ZK305" s="302"/>
      <c r="ZL305" s="302"/>
      <c r="ZM305" s="302"/>
      <c r="ZN305" s="302"/>
      <c r="ZO305" s="302"/>
      <c r="ZP305" s="302"/>
      <c r="ZQ305" s="302"/>
      <c r="ZR305" s="302"/>
      <c r="ZS305" s="302"/>
      <c r="ZT305" s="302"/>
      <c r="ZU305" s="302"/>
      <c r="ZV305" s="302"/>
      <c r="ZW305" s="302"/>
      <c r="ZX305" s="302"/>
      <c r="ZY305" s="302"/>
      <c r="ZZ305" s="302"/>
      <c r="AAA305" s="302"/>
      <c r="AAB305" s="302"/>
      <c r="AAC305" s="302"/>
      <c r="AAD305" s="302"/>
      <c r="AAE305" s="302"/>
      <c r="AAF305" s="302"/>
      <c r="AAG305" s="302"/>
      <c r="AAH305" s="302"/>
      <c r="AAI305" s="302"/>
      <c r="AAJ305" s="302"/>
      <c r="AAK305" s="302"/>
      <c r="AAL305" s="302"/>
      <c r="AAM305" s="302"/>
      <c r="AAN305" s="302"/>
      <c r="AAO305" s="302"/>
      <c r="AAP305" s="302"/>
      <c r="AAQ305" s="302"/>
      <c r="AAR305" s="302"/>
      <c r="AAS305" s="302"/>
      <c r="AAT305" s="302"/>
      <c r="AAU305" s="302"/>
      <c r="AAV305" s="302"/>
      <c r="AAW305" s="302"/>
      <c r="AAX305" s="302"/>
      <c r="AAY305" s="302"/>
      <c r="AAZ305" s="302"/>
      <c r="ABA305" s="302"/>
      <c r="ABB305" s="302"/>
      <c r="ABC305" s="302"/>
      <c r="ABD305" s="302"/>
      <c r="ABE305" s="302"/>
      <c r="ABF305" s="302"/>
      <c r="ABG305" s="302"/>
      <c r="ABH305" s="302"/>
      <c r="ABI305" s="302"/>
      <c r="ABJ305" s="302"/>
      <c r="ABK305" s="302"/>
      <c r="ABL305" s="302"/>
      <c r="ABM305" s="302"/>
      <c r="ABN305" s="302"/>
      <c r="ABO305" s="302"/>
      <c r="ABP305" s="302"/>
      <c r="ABQ305" s="302"/>
      <c r="ABR305" s="302"/>
      <c r="ABS305" s="302"/>
      <c r="ABT305" s="302"/>
      <c r="ABU305" s="302"/>
      <c r="ABV305" s="302"/>
      <c r="ABW305" s="302"/>
      <c r="ABX305" s="302"/>
      <c r="ABY305" s="302"/>
      <c r="ABZ305" s="302"/>
      <c r="ACA305" s="302"/>
      <c r="ACB305" s="302"/>
      <c r="ACC305" s="302"/>
      <c r="ACD305" s="302"/>
      <c r="ACE305" s="302"/>
      <c r="ACF305" s="302"/>
      <c r="ACG305" s="302"/>
      <c r="ACH305" s="302"/>
      <c r="ACI305" s="302"/>
      <c r="ACJ305" s="302"/>
      <c r="ACK305" s="302"/>
      <c r="ACL305" s="302"/>
      <c r="ACM305" s="302"/>
      <c r="ACN305" s="302"/>
      <c r="ACO305" s="302"/>
      <c r="ACP305" s="302"/>
      <c r="ACQ305" s="302"/>
      <c r="ACR305" s="302"/>
      <c r="ACS305" s="302"/>
      <c r="ACT305" s="302"/>
      <c r="ACU305" s="302"/>
      <c r="ACV305" s="302"/>
      <c r="ACW305" s="302"/>
      <c r="ACX305" s="302"/>
      <c r="ACY305" s="302"/>
      <c r="ACZ305" s="302"/>
      <c r="ADA305" s="302"/>
      <c r="ADB305" s="302"/>
      <c r="ADC305" s="302"/>
      <c r="ADD305" s="302"/>
      <c r="ADE305" s="302"/>
      <c r="ADF305" s="302"/>
      <c r="ADG305" s="302"/>
      <c r="ADH305" s="302"/>
      <c r="ADI305" s="302"/>
      <c r="ADJ305" s="302"/>
      <c r="ADK305" s="302"/>
      <c r="ADL305" s="302"/>
      <c r="ADM305" s="302"/>
      <c r="ADN305" s="302"/>
      <c r="ADO305" s="302"/>
      <c r="ADP305" s="302"/>
      <c r="ADQ305" s="302"/>
      <c r="ADR305" s="302"/>
      <c r="ADS305" s="302"/>
      <c r="ADT305" s="302"/>
      <c r="ADU305" s="302"/>
      <c r="ADV305" s="302"/>
      <c r="ADW305" s="302"/>
      <c r="ADX305" s="302"/>
      <c r="ADY305" s="302"/>
      <c r="ADZ305" s="302"/>
      <c r="AEA305" s="302"/>
      <c r="AEB305" s="302"/>
      <c r="AEC305" s="302"/>
      <c r="AED305" s="302"/>
      <c r="AEE305" s="302"/>
      <c r="AEF305" s="302"/>
      <c r="AEG305" s="302"/>
      <c r="AEH305" s="302"/>
      <c r="AEI305" s="302"/>
      <c r="AEJ305" s="302"/>
      <c r="AEK305" s="302"/>
      <c r="AEL305" s="302"/>
      <c r="AEM305" s="302"/>
      <c r="AEN305" s="302"/>
      <c r="AEO305" s="302"/>
      <c r="AEP305" s="302"/>
      <c r="AEQ305" s="302"/>
      <c r="AER305" s="302"/>
      <c r="AES305" s="302"/>
      <c r="AET305" s="302"/>
      <c r="AEU305" s="302"/>
      <c r="AEV305" s="302"/>
      <c r="AEW305" s="302"/>
      <c r="AEX305" s="302"/>
      <c r="AEY305" s="302"/>
      <c r="AEZ305" s="302"/>
      <c r="AFA305" s="302"/>
      <c r="AFB305" s="302"/>
      <c r="AFC305" s="302"/>
      <c r="AFD305" s="302"/>
      <c r="AFE305" s="302"/>
      <c r="AFF305" s="302"/>
      <c r="AFG305" s="302"/>
      <c r="AFH305" s="302"/>
      <c r="AFI305" s="302"/>
      <c r="AFJ305" s="302"/>
      <c r="AFK305" s="302"/>
      <c r="AFL305" s="302"/>
      <c r="AFM305" s="302"/>
      <c r="AFN305" s="302"/>
      <c r="AFO305" s="302"/>
      <c r="AFP305" s="302"/>
      <c r="AFQ305" s="302"/>
      <c r="AFR305" s="302"/>
      <c r="AFS305" s="302"/>
      <c r="AFT305" s="302"/>
      <c r="AFU305" s="302"/>
      <c r="AFV305" s="302"/>
      <c r="AFW305" s="302"/>
      <c r="AFX305" s="302"/>
      <c r="AFY305" s="302"/>
      <c r="AFZ305" s="302"/>
      <c r="AGA305" s="302"/>
      <c r="AGB305" s="302"/>
      <c r="AGC305" s="302"/>
      <c r="AGD305" s="302"/>
      <c r="AGE305" s="302"/>
      <c r="AGF305" s="302"/>
      <c r="AGG305" s="302"/>
      <c r="AGH305" s="302"/>
      <c r="AGI305" s="302"/>
      <c r="AGJ305" s="302"/>
      <c r="AGK305" s="302"/>
      <c r="AGL305" s="302"/>
      <c r="AGM305" s="302"/>
      <c r="AGN305" s="302"/>
      <c r="AGO305" s="302"/>
      <c r="AGP305" s="302"/>
      <c r="AGQ305" s="302"/>
      <c r="AGR305" s="302"/>
      <c r="AGS305" s="302"/>
      <c r="AGT305" s="302"/>
      <c r="AGU305" s="302"/>
      <c r="AGV305" s="302"/>
      <c r="AGW305" s="302"/>
      <c r="AGX305" s="302"/>
      <c r="AGY305" s="302"/>
      <c r="AGZ305" s="302"/>
      <c r="AHA305" s="302"/>
      <c r="AHB305" s="302"/>
      <c r="AHC305" s="302"/>
      <c r="AHD305" s="302"/>
      <c r="AHE305" s="302"/>
      <c r="AHF305" s="302"/>
      <c r="AHG305" s="302"/>
      <c r="AHH305" s="302"/>
      <c r="AHI305" s="302"/>
      <c r="AHJ305" s="302"/>
      <c r="AHK305" s="302"/>
      <c r="AHL305" s="302"/>
      <c r="AHM305" s="302"/>
      <c r="AHN305" s="302"/>
      <c r="AHO305" s="302"/>
      <c r="AHP305" s="302"/>
      <c r="AHQ305" s="302"/>
      <c r="AHR305" s="302"/>
      <c r="AHS305" s="302"/>
      <c r="AHT305" s="302"/>
      <c r="AHU305" s="302"/>
      <c r="AHV305" s="302"/>
      <c r="AHW305" s="302"/>
      <c r="AHX305" s="302"/>
      <c r="AHY305" s="302"/>
      <c r="AHZ305" s="302"/>
      <c r="AIA305" s="302"/>
      <c r="AIB305" s="302"/>
      <c r="AIC305" s="302"/>
      <c r="AID305" s="302"/>
      <c r="AIE305" s="302"/>
      <c r="AIF305" s="302"/>
      <c r="AIG305" s="302"/>
      <c r="AIH305" s="302"/>
      <c r="AII305" s="302"/>
      <c r="AIJ305" s="302"/>
      <c r="AIK305" s="302"/>
      <c r="AIL305" s="302"/>
      <c r="AIM305" s="302"/>
      <c r="AIN305" s="302"/>
      <c r="AIO305" s="302"/>
      <c r="AIP305" s="302"/>
      <c r="AIQ305" s="302"/>
      <c r="AIR305" s="302"/>
      <c r="AIS305" s="302"/>
      <c r="AIT305" s="302"/>
      <c r="AIU305" s="302"/>
      <c r="AIV305" s="302"/>
      <c r="AIW305" s="302"/>
      <c r="AIX305" s="302"/>
      <c r="AIY305" s="302"/>
      <c r="AIZ305" s="302"/>
      <c r="AJA305" s="302"/>
      <c r="AJB305" s="302"/>
      <c r="AJC305" s="302"/>
      <c r="AJD305" s="302"/>
      <c r="AJE305" s="302"/>
      <c r="AJF305" s="302"/>
      <c r="AJG305" s="302"/>
      <c r="AJH305" s="302"/>
      <c r="AJI305" s="302"/>
      <c r="AJJ305" s="302"/>
      <c r="AJK305" s="302"/>
      <c r="AJL305" s="302"/>
      <c r="AJM305" s="302"/>
      <c r="AJN305" s="302"/>
      <c r="AJO305" s="302"/>
      <c r="AJP305" s="302"/>
      <c r="AJQ305" s="302"/>
      <c r="AJR305" s="302"/>
      <c r="AJS305" s="302"/>
      <c r="AJT305" s="302"/>
      <c r="AJU305" s="302"/>
      <c r="AJV305" s="302"/>
      <c r="AJW305" s="302"/>
      <c r="AJX305" s="302"/>
      <c r="AJY305" s="302"/>
      <c r="AJZ305" s="302"/>
      <c r="AKA305" s="302"/>
      <c r="AKB305" s="302"/>
      <c r="AKC305" s="302"/>
      <c r="AKD305" s="302"/>
      <c r="AKE305" s="302"/>
      <c r="AKF305" s="302"/>
      <c r="AKG305" s="302"/>
      <c r="AKH305" s="302"/>
      <c r="AKI305" s="302"/>
      <c r="AKJ305" s="302"/>
      <c r="AKK305" s="302"/>
      <c r="AKL305" s="302"/>
      <c r="AKM305" s="302"/>
      <c r="AKN305" s="302"/>
      <c r="AKO305" s="302"/>
      <c r="AKP305" s="302"/>
      <c r="AKQ305" s="302"/>
      <c r="AKR305" s="302"/>
      <c r="AKS305" s="302"/>
      <c r="AKT305" s="302"/>
      <c r="AKU305" s="302"/>
      <c r="AKV305" s="302"/>
      <c r="AKW305" s="302"/>
      <c r="AKX305" s="302"/>
      <c r="AKY305" s="302"/>
      <c r="AKZ305" s="302"/>
      <c r="ALA305" s="302"/>
      <c r="ALB305" s="302"/>
      <c r="ALC305" s="302"/>
      <c r="ALD305" s="302"/>
      <c r="ALE305" s="302"/>
      <c r="ALF305" s="302"/>
      <c r="ALG305" s="302"/>
      <c r="ALH305" s="302"/>
      <c r="ALI305" s="302"/>
      <c r="ALJ305" s="302"/>
      <c r="ALK305" s="302"/>
      <c r="ALL305" s="302"/>
      <c r="ALM305" s="302"/>
      <c r="ALN305" s="302"/>
      <c r="ALO305" s="302"/>
      <c r="ALP305" s="302"/>
      <c r="ALQ305" s="302"/>
      <c r="ALR305" s="302"/>
      <c r="ALS305" s="302"/>
      <c r="ALT305" s="302"/>
      <c r="ALU305" s="302"/>
      <c r="ALV305" s="302"/>
      <c r="ALW305" s="302"/>
      <c r="ALX305" s="302"/>
      <c r="ALY305" s="302"/>
      <c r="ALZ305" s="302"/>
      <c r="AMA305" s="302"/>
      <c r="AMB305" s="302"/>
      <c r="AMC305" s="302"/>
      <c r="AMD305" s="302"/>
      <c r="AME305" s="302"/>
      <c r="AMF305" s="302"/>
      <c r="AMG305" s="302"/>
      <c r="AMH305" s="302"/>
      <c r="AMI305" s="302"/>
    </row>
    <row r="306" spans="1:1023" hidden="1">
      <c r="A306" s="302"/>
      <c r="B306" s="442">
        <v>14222</v>
      </c>
      <c r="C306" s="432">
        <v>0.1</v>
      </c>
      <c r="D306" s="370" t="s">
        <v>189</v>
      </c>
      <c r="E306" s="433">
        <v>2300000</v>
      </c>
      <c r="F306" s="532">
        <v>2.5000000000000001E-2</v>
      </c>
      <c r="G306" s="364">
        <f t="shared" si="17"/>
        <v>57500</v>
      </c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  <c r="AD306" s="302"/>
      <c r="AE306" s="302"/>
      <c r="AF306" s="302"/>
      <c r="AG306" s="302"/>
      <c r="AH306" s="302"/>
      <c r="AI306" s="302"/>
      <c r="AJ306" s="302"/>
      <c r="AK306" s="302"/>
      <c r="AL306" s="302"/>
      <c r="AM306" s="302"/>
      <c r="AN306" s="302"/>
      <c r="AO306" s="302"/>
      <c r="AP306" s="302"/>
      <c r="AQ306" s="302"/>
      <c r="AR306" s="302"/>
      <c r="AS306" s="302"/>
      <c r="AT306" s="302"/>
      <c r="AU306" s="302"/>
      <c r="AV306" s="302"/>
      <c r="AW306" s="302"/>
      <c r="AX306" s="302"/>
      <c r="AY306" s="302"/>
      <c r="AZ306" s="302"/>
      <c r="BA306" s="302"/>
      <c r="BB306" s="302"/>
      <c r="BC306" s="302"/>
      <c r="BD306" s="302"/>
      <c r="BE306" s="302"/>
      <c r="BF306" s="302"/>
      <c r="BG306" s="302"/>
      <c r="BH306" s="302"/>
      <c r="BI306" s="302"/>
      <c r="BJ306" s="302"/>
      <c r="BK306" s="302"/>
      <c r="BL306" s="302"/>
      <c r="BM306" s="302"/>
      <c r="BN306" s="302"/>
      <c r="BO306" s="302"/>
      <c r="BP306" s="302"/>
      <c r="BQ306" s="302"/>
      <c r="BR306" s="302"/>
      <c r="BS306" s="302"/>
      <c r="BT306" s="302"/>
      <c r="BU306" s="302"/>
      <c r="BV306" s="302"/>
      <c r="BW306" s="302"/>
      <c r="BX306" s="302"/>
      <c r="BY306" s="302"/>
      <c r="BZ306" s="302"/>
      <c r="CA306" s="302"/>
      <c r="CB306" s="302"/>
      <c r="CC306" s="302"/>
      <c r="CD306" s="302"/>
      <c r="CE306" s="302"/>
      <c r="CF306" s="302"/>
      <c r="CG306" s="302"/>
      <c r="CH306" s="302"/>
      <c r="CI306" s="302"/>
      <c r="CJ306" s="302"/>
      <c r="CK306" s="302"/>
      <c r="CL306" s="302"/>
      <c r="CM306" s="302"/>
      <c r="CN306" s="302"/>
      <c r="CO306" s="302"/>
      <c r="CP306" s="302"/>
      <c r="CQ306" s="302"/>
      <c r="CR306" s="302"/>
      <c r="CS306" s="302"/>
      <c r="CT306" s="302"/>
      <c r="CU306" s="302"/>
      <c r="CV306" s="302"/>
      <c r="CW306" s="302"/>
      <c r="CX306" s="302"/>
      <c r="CY306" s="302"/>
      <c r="CZ306" s="302"/>
      <c r="DA306" s="302"/>
      <c r="DB306" s="302"/>
      <c r="DC306" s="302"/>
      <c r="DD306" s="302"/>
      <c r="DE306" s="302"/>
      <c r="DF306" s="302"/>
      <c r="DG306" s="302"/>
      <c r="DH306" s="302"/>
      <c r="DI306" s="302"/>
      <c r="DJ306" s="302"/>
      <c r="DK306" s="302"/>
      <c r="DL306" s="302"/>
      <c r="DM306" s="302"/>
      <c r="DN306" s="302"/>
      <c r="DO306" s="302"/>
      <c r="DP306" s="302"/>
      <c r="DQ306" s="302"/>
      <c r="DR306" s="302"/>
      <c r="DS306" s="302"/>
      <c r="DT306" s="302"/>
      <c r="DU306" s="302"/>
      <c r="DV306" s="302"/>
      <c r="DW306" s="302"/>
      <c r="DX306" s="302"/>
      <c r="DY306" s="302"/>
      <c r="DZ306" s="302"/>
      <c r="EA306" s="302"/>
      <c r="EB306" s="302"/>
      <c r="EC306" s="302"/>
      <c r="ED306" s="302"/>
      <c r="EE306" s="302"/>
      <c r="EF306" s="302"/>
      <c r="EG306" s="302"/>
      <c r="EH306" s="302"/>
      <c r="EI306" s="302"/>
      <c r="EJ306" s="302"/>
      <c r="EK306" s="302"/>
      <c r="EL306" s="302"/>
      <c r="EM306" s="302"/>
      <c r="EN306" s="302"/>
      <c r="EO306" s="302"/>
      <c r="EP306" s="302"/>
      <c r="EQ306" s="302"/>
      <c r="ER306" s="302"/>
      <c r="ES306" s="302"/>
      <c r="ET306" s="302"/>
      <c r="EU306" s="302"/>
      <c r="EV306" s="302"/>
      <c r="EW306" s="302"/>
      <c r="EX306" s="302"/>
      <c r="EY306" s="302"/>
      <c r="EZ306" s="302"/>
      <c r="FA306" s="302"/>
      <c r="FB306" s="302"/>
      <c r="FC306" s="302"/>
      <c r="FD306" s="302"/>
      <c r="FE306" s="302"/>
      <c r="FF306" s="302"/>
      <c r="FG306" s="302"/>
      <c r="FH306" s="302"/>
      <c r="FI306" s="302"/>
      <c r="FJ306" s="302"/>
      <c r="FK306" s="302"/>
      <c r="FL306" s="302"/>
      <c r="FM306" s="302"/>
      <c r="FN306" s="302"/>
      <c r="FO306" s="302"/>
      <c r="FP306" s="302"/>
      <c r="FQ306" s="302"/>
      <c r="FR306" s="302"/>
      <c r="FS306" s="302"/>
      <c r="FT306" s="302"/>
      <c r="FU306" s="302"/>
      <c r="FV306" s="302"/>
      <c r="FW306" s="302"/>
      <c r="FX306" s="302"/>
      <c r="FY306" s="302"/>
      <c r="FZ306" s="302"/>
      <c r="GA306" s="302"/>
      <c r="GB306" s="302"/>
      <c r="GC306" s="302"/>
      <c r="GD306" s="302"/>
      <c r="GE306" s="302"/>
      <c r="GF306" s="302"/>
      <c r="GG306" s="302"/>
      <c r="GH306" s="302"/>
      <c r="GI306" s="302"/>
      <c r="GJ306" s="302"/>
      <c r="GK306" s="302"/>
      <c r="GL306" s="302"/>
      <c r="GM306" s="302"/>
      <c r="GN306" s="302"/>
      <c r="GO306" s="302"/>
      <c r="GP306" s="302"/>
      <c r="GQ306" s="302"/>
      <c r="GR306" s="302"/>
      <c r="GS306" s="302"/>
      <c r="GT306" s="302"/>
      <c r="GU306" s="302"/>
      <c r="GV306" s="302"/>
      <c r="GW306" s="302"/>
      <c r="GX306" s="302"/>
      <c r="GY306" s="302"/>
      <c r="GZ306" s="302"/>
      <c r="HA306" s="302"/>
      <c r="HB306" s="302"/>
      <c r="HC306" s="302"/>
      <c r="HD306" s="302"/>
      <c r="HE306" s="302"/>
      <c r="HF306" s="302"/>
      <c r="HG306" s="302"/>
      <c r="HH306" s="302"/>
      <c r="HI306" s="302"/>
      <c r="HJ306" s="302"/>
      <c r="HK306" s="302"/>
      <c r="HL306" s="302"/>
      <c r="HM306" s="302"/>
      <c r="HN306" s="302"/>
      <c r="HO306" s="302"/>
      <c r="HP306" s="302"/>
      <c r="HQ306" s="302"/>
      <c r="HR306" s="302"/>
      <c r="HS306" s="302"/>
      <c r="HT306" s="302"/>
      <c r="HU306" s="302"/>
      <c r="HV306" s="302"/>
      <c r="HW306" s="302"/>
      <c r="HX306" s="302"/>
      <c r="HY306" s="302"/>
      <c r="HZ306" s="302"/>
      <c r="IA306" s="302"/>
      <c r="IB306" s="302"/>
      <c r="IC306" s="302"/>
      <c r="ID306" s="302"/>
      <c r="IE306" s="302"/>
      <c r="IF306" s="302"/>
      <c r="IG306" s="302"/>
      <c r="IH306" s="302"/>
      <c r="II306" s="302"/>
      <c r="IJ306" s="302"/>
      <c r="IK306" s="302"/>
      <c r="IL306" s="302"/>
      <c r="IM306" s="302"/>
      <c r="IN306" s="302"/>
      <c r="IO306" s="302"/>
      <c r="IP306" s="302"/>
      <c r="IQ306" s="302"/>
      <c r="IR306" s="302"/>
      <c r="IS306" s="302"/>
      <c r="IT306" s="302"/>
      <c r="IU306" s="302"/>
      <c r="IV306" s="302"/>
      <c r="IW306" s="302"/>
      <c r="IX306" s="302"/>
      <c r="IY306" s="302"/>
      <c r="IZ306" s="302"/>
      <c r="JA306" s="302"/>
      <c r="JB306" s="302"/>
      <c r="JC306" s="302"/>
      <c r="JD306" s="302"/>
      <c r="JE306" s="302"/>
      <c r="JF306" s="302"/>
      <c r="JG306" s="302"/>
      <c r="JH306" s="302"/>
      <c r="JI306" s="302"/>
      <c r="JJ306" s="302"/>
      <c r="JK306" s="302"/>
      <c r="JL306" s="302"/>
      <c r="JM306" s="302"/>
      <c r="JN306" s="302"/>
      <c r="JO306" s="302"/>
      <c r="JP306" s="302"/>
      <c r="JQ306" s="302"/>
      <c r="JR306" s="302"/>
      <c r="JS306" s="302"/>
      <c r="JT306" s="302"/>
      <c r="JU306" s="302"/>
      <c r="JV306" s="302"/>
      <c r="JW306" s="302"/>
      <c r="JX306" s="302"/>
      <c r="JY306" s="302"/>
      <c r="JZ306" s="302"/>
      <c r="KA306" s="302"/>
      <c r="KB306" s="302"/>
      <c r="KC306" s="302"/>
      <c r="KD306" s="302"/>
      <c r="KE306" s="302"/>
      <c r="KF306" s="302"/>
      <c r="KG306" s="302"/>
      <c r="KH306" s="302"/>
      <c r="KI306" s="302"/>
      <c r="KJ306" s="302"/>
      <c r="KK306" s="302"/>
      <c r="KL306" s="302"/>
      <c r="KM306" s="302"/>
      <c r="KN306" s="302"/>
      <c r="KO306" s="302"/>
      <c r="KP306" s="302"/>
      <c r="KQ306" s="302"/>
      <c r="KR306" s="302"/>
      <c r="KS306" s="302"/>
      <c r="KT306" s="302"/>
      <c r="KU306" s="302"/>
      <c r="KV306" s="302"/>
      <c r="KW306" s="302"/>
      <c r="KX306" s="302"/>
      <c r="KY306" s="302"/>
      <c r="KZ306" s="302"/>
      <c r="LA306" s="302"/>
      <c r="LB306" s="302"/>
      <c r="LC306" s="302"/>
      <c r="LD306" s="302"/>
      <c r="LE306" s="302"/>
      <c r="LF306" s="302"/>
      <c r="LG306" s="302"/>
      <c r="LH306" s="302"/>
      <c r="LI306" s="302"/>
      <c r="LJ306" s="302"/>
      <c r="LK306" s="302"/>
      <c r="LL306" s="302"/>
      <c r="LM306" s="302"/>
      <c r="LN306" s="302"/>
      <c r="LO306" s="302"/>
      <c r="LP306" s="302"/>
      <c r="LQ306" s="302"/>
      <c r="LR306" s="302"/>
      <c r="LS306" s="302"/>
      <c r="LT306" s="302"/>
      <c r="LU306" s="302"/>
      <c r="LV306" s="302"/>
      <c r="LW306" s="302"/>
      <c r="LX306" s="302"/>
      <c r="LY306" s="302"/>
      <c r="LZ306" s="302"/>
      <c r="MA306" s="302"/>
      <c r="MB306" s="302"/>
      <c r="MC306" s="302"/>
      <c r="MD306" s="302"/>
      <c r="ME306" s="302"/>
      <c r="MF306" s="302"/>
      <c r="MG306" s="302"/>
      <c r="MH306" s="302"/>
      <c r="MI306" s="302"/>
      <c r="MJ306" s="302"/>
      <c r="MK306" s="302"/>
      <c r="ML306" s="302"/>
      <c r="MM306" s="302"/>
      <c r="MN306" s="302"/>
      <c r="MO306" s="302"/>
      <c r="MP306" s="302"/>
      <c r="MQ306" s="302"/>
      <c r="MR306" s="302"/>
      <c r="MS306" s="302"/>
      <c r="MT306" s="302"/>
      <c r="MU306" s="302"/>
      <c r="MV306" s="302"/>
      <c r="MW306" s="302"/>
      <c r="MX306" s="302"/>
      <c r="MY306" s="302"/>
      <c r="MZ306" s="302"/>
      <c r="NA306" s="302"/>
      <c r="NB306" s="302"/>
      <c r="NC306" s="302"/>
      <c r="ND306" s="302"/>
      <c r="NE306" s="302"/>
      <c r="NF306" s="302"/>
      <c r="NG306" s="302"/>
      <c r="NH306" s="302"/>
      <c r="NI306" s="302"/>
      <c r="NJ306" s="302"/>
      <c r="NK306" s="302"/>
      <c r="NL306" s="302"/>
      <c r="NM306" s="302"/>
      <c r="NN306" s="302"/>
      <c r="NO306" s="302"/>
      <c r="NP306" s="302"/>
      <c r="NQ306" s="302"/>
      <c r="NR306" s="302"/>
      <c r="NS306" s="302"/>
      <c r="NT306" s="302"/>
      <c r="NU306" s="302"/>
      <c r="NV306" s="302"/>
      <c r="NW306" s="302"/>
      <c r="NX306" s="302"/>
      <c r="NY306" s="302"/>
      <c r="NZ306" s="302"/>
      <c r="OA306" s="302"/>
      <c r="OB306" s="302"/>
      <c r="OC306" s="302"/>
      <c r="OD306" s="302"/>
      <c r="OE306" s="302"/>
      <c r="OF306" s="302"/>
      <c r="OG306" s="302"/>
      <c r="OH306" s="302"/>
      <c r="OI306" s="302"/>
      <c r="OJ306" s="302"/>
      <c r="OK306" s="302"/>
      <c r="OL306" s="302"/>
      <c r="OM306" s="302"/>
      <c r="ON306" s="302"/>
      <c r="OO306" s="302"/>
      <c r="OP306" s="302"/>
      <c r="OQ306" s="302"/>
      <c r="OR306" s="302"/>
      <c r="OS306" s="302"/>
      <c r="OT306" s="302"/>
      <c r="OU306" s="302"/>
      <c r="OV306" s="302"/>
      <c r="OW306" s="302"/>
      <c r="OX306" s="302"/>
      <c r="OY306" s="302"/>
      <c r="OZ306" s="302"/>
      <c r="PA306" s="302"/>
      <c r="PB306" s="302"/>
      <c r="PC306" s="302"/>
      <c r="PD306" s="302"/>
      <c r="PE306" s="302"/>
      <c r="PF306" s="302"/>
      <c r="PG306" s="302"/>
      <c r="PH306" s="302"/>
      <c r="PI306" s="302"/>
      <c r="PJ306" s="302"/>
      <c r="PK306" s="302"/>
      <c r="PL306" s="302"/>
      <c r="PM306" s="302"/>
      <c r="PN306" s="302"/>
      <c r="PO306" s="302"/>
      <c r="PP306" s="302"/>
      <c r="PQ306" s="302"/>
      <c r="PR306" s="302"/>
      <c r="PS306" s="302"/>
      <c r="PT306" s="302"/>
      <c r="PU306" s="302"/>
      <c r="PV306" s="302"/>
      <c r="PW306" s="302"/>
      <c r="PX306" s="302"/>
      <c r="PY306" s="302"/>
      <c r="PZ306" s="302"/>
      <c r="QA306" s="302"/>
      <c r="QB306" s="302"/>
      <c r="QC306" s="302"/>
      <c r="QD306" s="302"/>
      <c r="QE306" s="302"/>
      <c r="QF306" s="302"/>
      <c r="QG306" s="302"/>
      <c r="QH306" s="302"/>
      <c r="QI306" s="302"/>
      <c r="QJ306" s="302"/>
      <c r="QK306" s="302"/>
      <c r="QL306" s="302"/>
      <c r="QM306" s="302"/>
      <c r="QN306" s="302"/>
      <c r="QO306" s="302"/>
      <c r="QP306" s="302"/>
      <c r="QQ306" s="302"/>
      <c r="QR306" s="302"/>
      <c r="QS306" s="302"/>
      <c r="QT306" s="302"/>
      <c r="QU306" s="302"/>
      <c r="QV306" s="302"/>
      <c r="QW306" s="302"/>
      <c r="QX306" s="302"/>
      <c r="QY306" s="302"/>
      <c r="QZ306" s="302"/>
      <c r="RA306" s="302"/>
      <c r="RB306" s="302"/>
      <c r="RC306" s="302"/>
      <c r="RD306" s="302"/>
      <c r="RE306" s="302"/>
      <c r="RF306" s="302"/>
      <c r="RG306" s="302"/>
      <c r="RH306" s="302"/>
      <c r="RI306" s="302"/>
      <c r="RJ306" s="302"/>
      <c r="RK306" s="302"/>
      <c r="RL306" s="302"/>
      <c r="RM306" s="302"/>
      <c r="RN306" s="302"/>
      <c r="RO306" s="302"/>
      <c r="RP306" s="302"/>
      <c r="RQ306" s="302"/>
      <c r="RR306" s="302"/>
      <c r="RS306" s="302"/>
      <c r="RT306" s="302"/>
      <c r="RU306" s="302"/>
      <c r="RV306" s="302"/>
      <c r="RW306" s="302"/>
      <c r="RX306" s="302"/>
      <c r="RY306" s="302"/>
      <c r="RZ306" s="302"/>
      <c r="SA306" s="302"/>
      <c r="SB306" s="302"/>
      <c r="SC306" s="302"/>
      <c r="SD306" s="302"/>
      <c r="SE306" s="302"/>
      <c r="SF306" s="302"/>
      <c r="SG306" s="302"/>
      <c r="SH306" s="302"/>
      <c r="SI306" s="302"/>
      <c r="SJ306" s="302"/>
      <c r="SK306" s="302"/>
      <c r="SL306" s="302"/>
      <c r="SM306" s="302"/>
      <c r="SN306" s="302"/>
      <c r="SO306" s="302"/>
      <c r="SP306" s="302"/>
      <c r="SQ306" s="302"/>
      <c r="SR306" s="302"/>
      <c r="SS306" s="302"/>
      <c r="ST306" s="302"/>
      <c r="SU306" s="302"/>
      <c r="SV306" s="302"/>
      <c r="SW306" s="302"/>
      <c r="SX306" s="302"/>
      <c r="SY306" s="302"/>
      <c r="SZ306" s="302"/>
      <c r="TA306" s="302"/>
      <c r="TB306" s="302"/>
      <c r="TC306" s="302"/>
      <c r="TD306" s="302"/>
      <c r="TE306" s="302"/>
      <c r="TF306" s="302"/>
      <c r="TG306" s="302"/>
      <c r="TH306" s="302"/>
      <c r="TI306" s="302"/>
      <c r="TJ306" s="302"/>
      <c r="TK306" s="302"/>
      <c r="TL306" s="302"/>
      <c r="TM306" s="302"/>
      <c r="TN306" s="302"/>
      <c r="TO306" s="302"/>
      <c r="TP306" s="302"/>
      <c r="TQ306" s="302"/>
      <c r="TR306" s="302"/>
      <c r="TS306" s="302"/>
      <c r="TT306" s="302"/>
      <c r="TU306" s="302"/>
      <c r="TV306" s="302"/>
      <c r="TW306" s="302"/>
      <c r="TX306" s="302"/>
      <c r="TY306" s="302"/>
      <c r="TZ306" s="302"/>
      <c r="UA306" s="302"/>
      <c r="UB306" s="302"/>
      <c r="UC306" s="302"/>
      <c r="UD306" s="302"/>
      <c r="UE306" s="302"/>
      <c r="UF306" s="302"/>
      <c r="UG306" s="302"/>
      <c r="UH306" s="302"/>
      <c r="UI306" s="302"/>
      <c r="UJ306" s="302"/>
      <c r="UK306" s="302"/>
      <c r="UL306" s="302"/>
      <c r="UM306" s="302"/>
      <c r="UN306" s="302"/>
      <c r="UO306" s="302"/>
      <c r="UP306" s="302"/>
      <c r="UQ306" s="302"/>
      <c r="UR306" s="302"/>
      <c r="US306" s="302"/>
      <c r="UT306" s="302"/>
      <c r="UU306" s="302"/>
      <c r="UV306" s="302"/>
      <c r="UW306" s="302"/>
      <c r="UX306" s="302"/>
      <c r="UY306" s="302"/>
      <c r="UZ306" s="302"/>
      <c r="VA306" s="302"/>
      <c r="VB306" s="302"/>
      <c r="VC306" s="302"/>
      <c r="VD306" s="302"/>
      <c r="VE306" s="302"/>
      <c r="VF306" s="302"/>
      <c r="VG306" s="302"/>
      <c r="VH306" s="302"/>
      <c r="VI306" s="302"/>
      <c r="VJ306" s="302"/>
      <c r="VK306" s="302"/>
      <c r="VL306" s="302"/>
      <c r="VM306" s="302"/>
      <c r="VN306" s="302"/>
      <c r="VO306" s="302"/>
      <c r="VP306" s="302"/>
      <c r="VQ306" s="302"/>
      <c r="VR306" s="302"/>
      <c r="VS306" s="302"/>
      <c r="VT306" s="302"/>
      <c r="VU306" s="302"/>
      <c r="VV306" s="302"/>
      <c r="VW306" s="302"/>
      <c r="VX306" s="302"/>
      <c r="VY306" s="302"/>
      <c r="VZ306" s="302"/>
      <c r="WA306" s="302"/>
      <c r="WB306" s="302"/>
      <c r="WC306" s="302"/>
      <c r="WD306" s="302"/>
      <c r="WE306" s="302"/>
      <c r="WF306" s="302"/>
      <c r="WG306" s="302"/>
      <c r="WH306" s="302"/>
      <c r="WI306" s="302"/>
      <c r="WJ306" s="302"/>
      <c r="WK306" s="302"/>
      <c r="WL306" s="302"/>
      <c r="WM306" s="302"/>
      <c r="WN306" s="302"/>
      <c r="WO306" s="302"/>
      <c r="WP306" s="302"/>
      <c r="WQ306" s="302"/>
      <c r="WR306" s="302"/>
      <c r="WS306" s="302"/>
      <c r="WT306" s="302"/>
      <c r="WU306" s="302"/>
      <c r="WV306" s="302"/>
      <c r="WW306" s="302"/>
      <c r="WX306" s="302"/>
      <c r="WY306" s="302"/>
      <c r="WZ306" s="302"/>
      <c r="XA306" s="302"/>
      <c r="XB306" s="302"/>
      <c r="XC306" s="302"/>
      <c r="XD306" s="302"/>
      <c r="XE306" s="302"/>
      <c r="XF306" s="302"/>
      <c r="XG306" s="302"/>
      <c r="XH306" s="302"/>
      <c r="XI306" s="302"/>
      <c r="XJ306" s="302"/>
      <c r="XK306" s="302"/>
      <c r="XL306" s="302"/>
      <c r="XM306" s="302"/>
      <c r="XN306" s="302"/>
      <c r="XO306" s="302"/>
      <c r="XP306" s="302"/>
      <c r="XQ306" s="302"/>
      <c r="XR306" s="302"/>
      <c r="XS306" s="302"/>
      <c r="XT306" s="302"/>
      <c r="XU306" s="302"/>
      <c r="XV306" s="302"/>
      <c r="XW306" s="302"/>
      <c r="XX306" s="302"/>
      <c r="XY306" s="302"/>
      <c r="XZ306" s="302"/>
      <c r="YA306" s="302"/>
      <c r="YB306" s="302"/>
      <c r="YC306" s="302"/>
      <c r="YD306" s="302"/>
      <c r="YE306" s="302"/>
      <c r="YF306" s="302"/>
      <c r="YG306" s="302"/>
      <c r="YH306" s="302"/>
      <c r="YI306" s="302"/>
      <c r="YJ306" s="302"/>
      <c r="YK306" s="302"/>
      <c r="YL306" s="302"/>
      <c r="YM306" s="302"/>
      <c r="YN306" s="302"/>
      <c r="YO306" s="302"/>
      <c r="YP306" s="302"/>
      <c r="YQ306" s="302"/>
      <c r="YR306" s="302"/>
      <c r="YS306" s="302"/>
      <c r="YT306" s="302"/>
      <c r="YU306" s="302"/>
      <c r="YV306" s="302"/>
      <c r="YW306" s="302"/>
      <c r="YX306" s="302"/>
      <c r="YY306" s="302"/>
      <c r="YZ306" s="302"/>
      <c r="ZA306" s="302"/>
      <c r="ZB306" s="302"/>
      <c r="ZC306" s="302"/>
      <c r="ZD306" s="302"/>
      <c r="ZE306" s="302"/>
      <c r="ZF306" s="302"/>
      <c r="ZG306" s="302"/>
      <c r="ZH306" s="302"/>
      <c r="ZI306" s="302"/>
      <c r="ZJ306" s="302"/>
      <c r="ZK306" s="302"/>
      <c r="ZL306" s="302"/>
      <c r="ZM306" s="302"/>
      <c r="ZN306" s="302"/>
      <c r="ZO306" s="302"/>
      <c r="ZP306" s="302"/>
      <c r="ZQ306" s="302"/>
      <c r="ZR306" s="302"/>
      <c r="ZS306" s="302"/>
      <c r="ZT306" s="302"/>
      <c r="ZU306" s="302"/>
      <c r="ZV306" s="302"/>
      <c r="ZW306" s="302"/>
      <c r="ZX306" s="302"/>
      <c r="ZY306" s="302"/>
      <c r="ZZ306" s="302"/>
      <c r="AAA306" s="302"/>
      <c r="AAB306" s="302"/>
      <c r="AAC306" s="302"/>
      <c r="AAD306" s="302"/>
      <c r="AAE306" s="302"/>
      <c r="AAF306" s="302"/>
      <c r="AAG306" s="302"/>
      <c r="AAH306" s="302"/>
      <c r="AAI306" s="302"/>
      <c r="AAJ306" s="302"/>
      <c r="AAK306" s="302"/>
      <c r="AAL306" s="302"/>
      <c r="AAM306" s="302"/>
      <c r="AAN306" s="302"/>
      <c r="AAO306" s="302"/>
      <c r="AAP306" s="302"/>
      <c r="AAQ306" s="302"/>
      <c r="AAR306" s="302"/>
      <c r="AAS306" s="302"/>
      <c r="AAT306" s="302"/>
      <c r="AAU306" s="302"/>
      <c r="AAV306" s="302"/>
      <c r="AAW306" s="302"/>
      <c r="AAX306" s="302"/>
      <c r="AAY306" s="302"/>
      <c r="AAZ306" s="302"/>
      <c r="ABA306" s="302"/>
      <c r="ABB306" s="302"/>
      <c r="ABC306" s="302"/>
      <c r="ABD306" s="302"/>
      <c r="ABE306" s="302"/>
      <c r="ABF306" s="302"/>
      <c r="ABG306" s="302"/>
      <c r="ABH306" s="302"/>
      <c r="ABI306" s="302"/>
      <c r="ABJ306" s="302"/>
      <c r="ABK306" s="302"/>
      <c r="ABL306" s="302"/>
      <c r="ABM306" s="302"/>
      <c r="ABN306" s="302"/>
      <c r="ABO306" s="302"/>
      <c r="ABP306" s="302"/>
      <c r="ABQ306" s="302"/>
      <c r="ABR306" s="302"/>
      <c r="ABS306" s="302"/>
      <c r="ABT306" s="302"/>
      <c r="ABU306" s="302"/>
      <c r="ABV306" s="302"/>
      <c r="ABW306" s="302"/>
      <c r="ABX306" s="302"/>
      <c r="ABY306" s="302"/>
      <c r="ABZ306" s="302"/>
      <c r="ACA306" s="302"/>
      <c r="ACB306" s="302"/>
      <c r="ACC306" s="302"/>
      <c r="ACD306" s="302"/>
      <c r="ACE306" s="302"/>
      <c r="ACF306" s="302"/>
      <c r="ACG306" s="302"/>
      <c r="ACH306" s="302"/>
      <c r="ACI306" s="302"/>
      <c r="ACJ306" s="302"/>
      <c r="ACK306" s="302"/>
      <c r="ACL306" s="302"/>
      <c r="ACM306" s="302"/>
      <c r="ACN306" s="302"/>
      <c r="ACO306" s="302"/>
      <c r="ACP306" s="302"/>
      <c r="ACQ306" s="302"/>
      <c r="ACR306" s="302"/>
      <c r="ACS306" s="302"/>
      <c r="ACT306" s="302"/>
      <c r="ACU306" s="302"/>
      <c r="ACV306" s="302"/>
      <c r="ACW306" s="302"/>
      <c r="ACX306" s="302"/>
      <c r="ACY306" s="302"/>
      <c r="ACZ306" s="302"/>
      <c r="ADA306" s="302"/>
      <c r="ADB306" s="302"/>
      <c r="ADC306" s="302"/>
      <c r="ADD306" s="302"/>
      <c r="ADE306" s="302"/>
      <c r="ADF306" s="302"/>
      <c r="ADG306" s="302"/>
      <c r="ADH306" s="302"/>
      <c r="ADI306" s="302"/>
      <c r="ADJ306" s="302"/>
      <c r="ADK306" s="302"/>
      <c r="ADL306" s="302"/>
      <c r="ADM306" s="302"/>
      <c r="ADN306" s="302"/>
      <c r="ADO306" s="302"/>
      <c r="ADP306" s="302"/>
      <c r="ADQ306" s="302"/>
      <c r="ADR306" s="302"/>
      <c r="ADS306" s="302"/>
      <c r="ADT306" s="302"/>
      <c r="ADU306" s="302"/>
      <c r="ADV306" s="302"/>
      <c r="ADW306" s="302"/>
      <c r="ADX306" s="302"/>
      <c r="ADY306" s="302"/>
      <c r="ADZ306" s="302"/>
      <c r="AEA306" s="302"/>
      <c r="AEB306" s="302"/>
      <c r="AEC306" s="302"/>
      <c r="AED306" s="302"/>
      <c r="AEE306" s="302"/>
      <c r="AEF306" s="302"/>
      <c r="AEG306" s="302"/>
      <c r="AEH306" s="302"/>
      <c r="AEI306" s="302"/>
      <c r="AEJ306" s="302"/>
      <c r="AEK306" s="302"/>
      <c r="AEL306" s="302"/>
      <c r="AEM306" s="302"/>
      <c r="AEN306" s="302"/>
      <c r="AEO306" s="302"/>
      <c r="AEP306" s="302"/>
      <c r="AEQ306" s="302"/>
      <c r="AER306" s="302"/>
      <c r="AES306" s="302"/>
      <c r="AET306" s="302"/>
      <c r="AEU306" s="302"/>
      <c r="AEV306" s="302"/>
      <c r="AEW306" s="302"/>
      <c r="AEX306" s="302"/>
      <c r="AEY306" s="302"/>
      <c r="AEZ306" s="302"/>
      <c r="AFA306" s="302"/>
      <c r="AFB306" s="302"/>
      <c r="AFC306" s="302"/>
      <c r="AFD306" s="302"/>
      <c r="AFE306" s="302"/>
      <c r="AFF306" s="302"/>
      <c r="AFG306" s="302"/>
      <c r="AFH306" s="302"/>
      <c r="AFI306" s="302"/>
      <c r="AFJ306" s="302"/>
      <c r="AFK306" s="302"/>
      <c r="AFL306" s="302"/>
      <c r="AFM306" s="302"/>
      <c r="AFN306" s="302"/>
      <c r="AFO306" s="302"/>
      <c r="AFP306" s="302"/>
      <c r="AFQ306" s="302"/>
      <c r="AFR306" s="302"/>
      <c r="AFS306" s="302"/>
      <c r="AFT306" s="302"/>
      <c r="AFU306" s="302"/>
      <c r="AFV306" s="302"/>
      <c r="AFW306" s="302"/>
      <c r="AFX306" s="302"/>
      <c r="AFY306" s="302"/>
      <c r="AFZ306" s="302"/>
      <c r="AGA306" s="302"/>
      <c r="AGB306" s="302"/>
      <c r="AGC306" s="302"/>
      <c r="AGD306" s="302"/>
      <c r="AGE306" s="302"/>
      <c r="AGF306" s="302"/>
      <c r="AGG306" s="302"/>
      <c r="AGH306" s="302"/>
      <c r="AGI306" s="302"/>
      <c r="AGJ306" s="302"/>
      <c r="AGK306" s="302"/>
      <c r="AGL306" s="302"/>
      <c r="AGM306" s="302"/>
      <c r="AGN306" s="302"/>
      <c r="AGO306" s="302"/>
      <c r="AGP306" s="302"/>
      <c r="AGQ306" s="302"/>
      <c r="AGR306" s="302"/>
      <c r="AGS306" s="302"/>
      <c r="AGT306" s="302"/>
      <c r="AGU306" s="302"/>
      <c r="AGV306" s="302"/>
      <c r="AGW306" s="302"/>
      <c r="AGX306" s="302"/>
      <c r="AGY306" s="302"/>
      <c r="AGZ306" s="302"/>
      <c r="AHA306" s="302"/>
      <c r="AHB306" s="302"/>
      <c r="AHC306" s="302"/>
      <c r="AHD306" s="302"/>
      <c r="AHE306" s="302"/>
      <c r="AHF306" s="302"/>
      <c r="AHG306" s="302"/>
      <c r="AHH306" s="302"/>
      <c r="AHI306" s="302"/>
      <c r="AHJ306" s="302"/>
      <c r="AHK306" s="302"/>
      <c r="AHL306" s="302"/>
      <c r="AHM306" s="302"/>
      <c r="AHN306" s="302"/>
      <c r="AHO306" s="302"/>
      <c r="AHP306" s="302"/>
      <c r="AHQ306" s="302"/>
      <c r="AHR306" s="302"/>
      <c r="AHS306" s="302"/>
      <c r="AHT306" s="302"/>
      <c r="AHU306" s="302"/>
      <c r="AHV306" s="302"/>
      <c r="AHW306" s="302"/>
      <c r="AHX306" s="302"/>
      <c r="AHY306" s="302"/>
      <c r="AHZ306" s="302"/>
      <c r="AIA306" s="302"/>
      <c r="AIB306" s="302"/>
      <c r="AIC306" s="302"/>
      <c r="AID306" s="302"/>
      <c r="AIE306" s="302"/>
      <c r="AIF306" s="302"/>
      <c r="AIG306" s="302"/>
      <c r="AIH306" s="302"/>
      <c r="AII306" s="302"/>
      <c r="AIJ306" s="302"/>
      <c r="AIK306" s="302"/>
      <c r="AIL306" s="302"/>
      <c r="AIM306" s="302"/>
      <c r="AIN306" s="302"/>
      <c r="AIO306" s="302"/>
      <c r="AIP306" s="302"/>
      <c r="AIQ306" s="302"/>
      <c r="AIR306" s="302"/>
      <c r="AIS306" s="302"/>
      <c r="AIT306" s="302"/>
      <c r="AIU306" s="302"/>
      <c r="AIV306" s="302"/>
      <c r="AIW306" s="302"/>
      <c r="AIX306" s="302"/>
      <c r="AIY306" s="302"/>
      <c r="AIZ306" s="302"/>
      <c r="AJA306" s="302"/>
      <c r="AJB306" s="302"/>
      <c r="AJC306" s="302"/>
      <c r="AJD306" s="302"/>
      <c r="AJE306" s="302"/>
      <c r="AJF306" s="302"/>
      <c r="AJG306" s="302"/>
      <c r="AJH306" s="302"/>
      <c r="AJI306" s="302"/>
      <c r="AJJ306" s="302"/>
      <c r="AJK306" s="302"/>
      <c r="AJL306" s="302"/>
      <c r="AJM306" s="302"/>
      <c r="AJN306" s="302"/>
      <c r="AJO306" s="302"/>
      <c r="AJP306" s="302"/>
      <c r="AJQ306" s="302"/>
      <c r="AJR306" s="302"/>
      <c r="AJS306" s="302"/>
      <c r="AJT306" s="302"/>
      <c r="AJU306" s="302"/>
      <c r="AJV306" s="302"/>
      <c r="AJW306" s="302"/>
      <c r="AJX306" s="302"/>
      <c r="AJY306" s="302"/>
      <c r="AJZ306" s="302"/>
      <c r="AKA306" s="302"/>
      <c r="AKB306" s="302"/>
      <c r="AKC306" s="302"/>
      <c r="AKD306" s="302"/>
      <c r="AKE306" s="302"/>
      <c r="AKF306" s="302"/>
      <c r="AKG306" s="302"/>
      <c r="AKH306" s="302"/>
      <c r="AKI306" s="302"/>
      <c r="AKJ306" s="302"/>
      <c r="AKK306" s="302"/>
      <c r="AKL306" s="302"/>
      <c r="AKM306" s="302"/>
      <c r="AKN306" s="302"/>
      <c r="AKO306" s="302"/>
      <c r="AKP306" s="302"/>
      <c r="AKQ306" s="302"/>
      <c r="AKR306" s="302"/>
      <c r="AKS306" s="302"/>
      <c r="AKT306" s="302"/>
      <c r="AKU306" s="302"/>
      <c r="AKV306" s="302"/>
      <c r="AKW306" s="302"/>
      <c r="AKX306" s="302"/>
      <c r="AKY306" s="302"/>
      <c r="AKZ306" s="302"/>
      <c r="ALA306" s="302"/>
      <c r="ALB306" s="302"/>
      <c r="ALC306" s="302"/>
      <c r="ALD306" s="302"/>
      <c r="ALE306" s="302"/>
      <c r="ALF306" s="302"/>
      <c r="ALG306" s="302"/>
      <c r="ALH306" s="302"/>
      <c r="ALI306" s="302"/>
      <c r="ALJ306" s="302"/>
      <c r="ALK306" s="302"/>
      <c r="ALL306" s="302"/>
      <c r="ALM306" s="302"/>
      <c r="ALN306" s="302"/>
      <c r="ALO306" s="302"/>
      <c r="ALP306" s="302"/>
      <c r="ALQ306" s="302"/>
      <c r="ALR306" s="302"/>
      <c r="ALS306" s="302"/>
      <c r="ALT306" s="302"/>
      <c r="ALU306" s="302"/>
      <c r="ALV306" s="302"/>
      <c r="ALW306" s="302"/>
      <c r="ALX306" s="302"/>
      <c r="ALY306" s="302"/>
      <c r="ALZ306" s="302"/>
      <c r="AMA306" s="302"/>
      <c r="AMB306" s="302"/>
      <c r="AMC306" s="302"/>
      <c r="AMD306" s="302"/>
      <c r="AME306" s="302"/>
      <c r="AMF306" s="302"/>
      <c r="AMG306" s="302"/>
      <c r="AMH306" s="302"/>
      <c r="AMI306" s="302"/>
    </row>
    <row r="307" spans="1:1023" hidden="1">
      <c r="A307" s="302"/>
      <c r="B307" s="442">
        <v>14243</v>
      </c>
      <c r="C307" s="430">
        <v>0.08</v>
      </c>
      <c r="D307" s="370" t="s">
        <v>213</v>
      </c>
      <c r="E307" s="433">
        <v>2600000</v>
      </c>
      <c r="F307" s="500">
        <v>0.02</v>
      </c>
      <c r="G307" s="364">
        <f t="shared" si="17"/>
        <v>52000</v>
      </c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2"/>
      <c r="AE307" s="302"/>
      <c r="AF307" s="302"/>
      <c r="AG307" s="302"/>
      <c r="AH307" s="302"/>
      <c r="AI307" s="302"/>
      <c r="AJ307" s="302"/>
      <c r="AK307" s="302"/>
      <c r="AL307" s="302"/>
      <c r="AM307" s="302"/>
      <c r="AN307" s="302"/>
      <c r="AO307" s="302"/>
      <c r="AP307" s="302"/>
      <c r="AQ307" s="302"/>
      <c r="AR307" s="302"/>
      <c r="AS307" s="302"/>
      <c r="AT307" s="302"/>
      <c r="AU307" s="302"/>
      <c r="AV307" s="302"/>
      <c r="AW307" s="302"/>
      <c r="AX307" s="302"/>
      <c r="AY307" s="302"/>
      <c r="AZ307" s="302"/>
      <c r="BA307" s="302"/>
      <c r="BB307" s="302"/>
      <c r="BC307" s="302"/>
      <c r="BD307" s="302"/>
      <c r="BE307" s="302"/>
      <c r="BF307" s="302"/>
      <c r="BG307" s="302"/>
      <c r="BH307" s="302"/>
      <c r="BI307" s="302"/>
      <c r="BJ307" s="302"/>
      <c r="BK307" s="302"/>
      <c r="BL307" s="302"/>
      <c r="BM307" s="302"/>
      <c r="BN307" s="302"/>
      <c r="BO307" s="302"/>
      <c r="BP307" s="302"/>
      <c r="BQ307" s="302"/>
      <c r="BR307" s="302"/>
      <c r="BS307" s="302"/>
      <c r="BT307" s="302"/>
      <c r="BU307" s="302"/>
      <c r="BV307" s="302"/>
      <c r="BW307" s="302"/>
      <c r="BX307" s="302"/>
      <c r="BY307" s="302"/>
      <c r="BZ307" s="302"/>
      <c r="CA307" s="302"/>
      <c r="CB307" s="302"/>
      <c r="CC307" s="302"/>
      <c r="CD307" s="302"/>
      <c r="CE307" s="302"/>
      <c r="CF307" s="302"/>
      <c r="CG307" s="302"/>
      <c r="CH307" s="302"/>
      <c r="CI307" s="302"/>
      <c r="CJ307" s="302"/>
      <c r="CK307" s="302"/>
      <c r="CL307" s="302"/>
      <c r="CM307" s="302"/>
      <c r="CN307" s="302"/>
      <c r="CO307" s="302"/>
      <c r="CP307" s="302"/>
      <c r="CQ307" s="302"/>
      <c r="CR307" s="302"/>
      <c r="CS307" s="302"/>
      <c r="CT307" s="302"/>
      <c r="CU307" s="302"/>
      <c r="CV307" s="302"/>
      <c r="CW307" s="302"/>
      <c r="CX307" s="302"/>
      <c r="CY307" s="302"/>
      <c r="CZ307" s="302"/>
      <c r="DA307" s="302"/>
      <c r="DB307" s="302"/>
      <c r="DC307" s="302"/>
      <c r="DD307" s="302"/>
      <c r="DE307" s="302"/>
      <c r="DF307" s="302"/>
      <c r="DG307" s="302"/>
      <c r="DH307" s="302"/>
      <c r="DI307" s="302"/>
      <c r="DJ307" s="302"/>
      <c r="DK307" s="302"/>
      <c r="DL307" s="302"/>
      <c r="DM307" s="302"/>
      <c r="DN307" s="302"/>
      <c r="DO307" s="302"/>
      <c r="DP307" s="302"/>
      <c r="DQ307" s="302"/>
      <c r="DR307" s="302"/>
      <c r="DS307" s="302"/>
      <c r="DT307" s="302"/>
      <c r="DU307" s="302"/>
      <c r="DV307" s="302"/>
      <c r="DW307" s="302"/>
      <c r="DX307" s="302"/>
      <c r="DY307" s="302"/>
      <c r="DZ307" s="302"/>
      <c r="EA307" s="302"/>
      <c r="EB307" s="302"/>
      <c r="EC307" s="302"/>
      <c r="ED307" s="302"/>
      <c r="EE307" s="302"/>
      <c r="EF307" s="302"/>
      <c r="EG307" s="302"/>
      <c r="EH307" s="302"/>
      <c r="EI307" s="302"/>
      <c r="EJ307" s="302"/>
      <c r="EK307" s="302"/>
      <c r="EL307" s="302"/>
      <c r="EM307" s="302"/>
      <c r="EN307" s="302"/>
      <c r="EO307" s="302"/>
      <c r="EP307" s="302"/>
      <c r="EQ307" s="302"/>
      <c r="ER307" s="302"/>
      <c r="ES307" s="302"/>
      <c r="ET307" s="302"/>
      <c r="EU307" s="302"/>
      <c r="EV307" s="302"/>
      <c r="EW307" s="302"/>
      <c r="EX307" s="302"/>
      <c r="EY307" s="302"/>
      <c r="EZ307" s="302"/>
      <c r="FA307" s="302"/>
      <c r="FB307" s="302"/>
      <c r="FC307" s="302"/>
      <c r="FD307" s="302"/>
      <c r="FE307" s="302"/>
      <c r="FF307" s="302"/>
      <c r="FG307" s="302"/>
      <c r="FH307" s="302"/>
      <c r="FI307" s="302"/>
      <c r="FJ307" s="302"/>
      <c r="FK307" s="302"/>
      <c r="FL307" s="302"/>
      <c r="FM307" s="302"/>
      <c r="FN307" s="302"/>
      <c r="FO307" s="302"/>
      <c r="FP307" s="302"/>
      <c r="FQ307" s="302"/>
      <c r="FR307" s="302"/>
      <c r="FS307" s="302"/>
      <c r="FT307" s="302"/>
      <c r="FU307" s="302"/>
      <c r="FV307" s="302"/>
      <c r="FW307" s="302"/>
      <c r="FX307" s="302"/>
      <c r="FY307" s="302"/>
      <c r="FZ307" s="302"/>
      <c r="GA307" s="302"/>
      <c r="GB307" s="302"/>
      <c r="GC307" s="302"/>
      <c r="GD307" s="302"/>
      <c r="GE307" s="302"/>
      <c r="GF307" s="302"/>
      <c r="GG307" s="302"/>
      <c r="GH307" s="302"/>
      <c r="GI307" s="302"/>
      <c r="GJ307" s="302"/>
      <c r="GK307" s="302"/>
      <c r="GL307" s="302"/>
      <c r="GM307" s="302"/>
      <c r="GN307" s="302"/>
      <c r="GO307" s="302"/>
      <c r="GP307" s="302"/>
      <c r="GQ307" s="302"/>
      <c r="GR307" s="302"/>
      <c r="GS307" s="302"/>
      <c r="GT307" s="302"/>
      <c r="GU307" s="302"/>
      <c r="GV307" s="302"/>
      <c r="GW307" s="302"/>
      <c r="GX307" s="302"/>
      <c r="GY307" s="302"/>
      <c r="GZ307" s="302"/>
      <c r="HA307" s="302"/>
      <c r="HB307" s="302"/>
      <c r="HC307" s="302"/>
      <c r="HD307" s="302"/>
      <c r="HE307" s="302"/>
      <c r="HF307" s="302"/>
      <c r="HG307" s="302"/>
      <c r="HH307" s="302"/>
      <c r="HI307" s="302"/>
      <c r="HJ307" s="302"/>
      <c r="HK307" s="302"/>
      <c r="HL307" s="302"/>
      <c r="HM307" s="302"/>
      <c r="HN307" s="302"/>
      <c r="HO307" s="302"/>
      <c r="HP307" s="302"/>
      <c r="HQ307" s="302"/>
      <c r="HR307" s="302"/>
      <c r="HS307" s="302"/>
      <c r="HT307" s="302"/>
      <c r="HU307" s="302"/>
      <c r="HV307" s="302"/>
      <c r="HW307" s="302"/>
      <c r="HX307" s="302"/>
      <c r="HY307" s="302"/>
      <c r="HZ307" s="302"/>
      <c r="IA307" s="302"/>
      <c r="IB307" s="302"/>
      <c r="IC307" s="302"/>
      <c r="ID307" s="302"/>
      <c r="IE307" s="302"/>
      <c r="IF307" s="302"/>
      <c r="IG307" s="302"/>
      <c r="IH307" s="302"/>
      <c r="II307" s="302"/>
      <c r="IJ307" s="302"/>
      <c r="IK307" s="302"/>
      <c r="IL307" s="302"/>
      <c r="IM307" s="302"/>
      <c r="IN307" s="302"/>
      <c r="IO307" s="302"/>
      <c r="IP307" s="302"/>
      <c r="IQ307" s="302"/>
      <c r="IR307" s="302"/>
      <c r="IS307" s="302"/>
      <c r="IT307" s="302"/>
      <c r="IU307" s="302"/>
      <c r="IV307" s="302"/>
      <c r="IW307" s="302"/>
      <c r="IX307" s="302"/>
      <c r="IY307" s="302"/>
      <c r="IZ307" s="302"/>
      <c r="JA307" s="302"/>
      <c r="JB307" s="302"/>
      <c r="JC307" s="302"/>
      <c r="JD307" s="302"/>
      <c r="JE307" s="302"/>
      <c r="JF307" s="302"/>
      <c r="JG307" s="302"/>
      <c r="JH307" s="302"/>
      <c r="JI307" s="302"/>
      <c r="JJ307" s="302"/>
      <c r="JK307" s="302"/>
      <c r="JL307" s="302"/>
      <c r="JM307" s="302"/>
      <c r="JN307" s="302"/>
      <c r="JO307" s="302"/>
      <c r="JP307" s="302"/>
      <c r="JQ307" s="302"/>
      <c r="JR307" s="302"/>
      <c r="JS307" s="302"/>
      <c r="JT307" s="302"/>
      <c r="JU307" s="302"/>
      <c r="JV307" s="302"/>
      <c r="JW307" s="302"/>
      <c r="JX307" s="302"/>
      <c r="JY307" s="302"/>
      <c r="JZ307" s="302"/>
      <c r="KA307" s="302"/>
      <c r="KB307" s="302"/>
      <c r="KC307" s="302"/>
      <c r="KD307" s="302"/>
      <c r="KE307" s="302"/>
      <c r="KF307" s="302"/>
      <c r="KG307" s="302"/>
      <c r="KH307" s="302"/>
      <c r="KI307" s="302"/>
      <c r="KJ307" s="302"/>
      <c r="KK307" s="302"/>
      <c r="KL307" s="302"/>
      <c r="KM307" s="302"/>
      <c r="KN307" s="302"/>
      <c r="KO307" s="302"/>
      <c r="KP307" s="302"/>
      <c r="KQ307" s="302"/>
      <c r="KR307" s="302"/>
      <c r="KS307" s="302"/>
      <c r="KT307" s="302"/>
      <c r="KU307" s="302"/>
      <c r="KV307" s="302"/>
      <c r="KW307" s="302"/>
      <c r="KX307" s="302"/>
      <c r="KY307" s="302"/>
      <c r="KZ307" s="302"/>
      <c r="LA307" s="302"/>
      <c r="LB307" s="302"/>
      <c r="LC307" s="302"/>
      <c r="LD307" s="302"/>
      <c r="LE307" s="302"/>
      <c r="LF307" s="302"/>
      <c r="LG307" s="302"/>
      <c r="LH307" s="302"/>
      <c r="LI307" s="302"/>
      <c r="LJ307" s="302"/>
      <c r="LK307" s="302"/>
      <c r="LL307" s="302"/>
      <c r="LM307" s="302"/>
      <c r="LN307" s="302"/>
      <c r="LO307" s="302"/>
      <c r="LP307" s="302"/>
      <c r="LQ307" s="302"/>
      <c r="LR307" s="302"/>
      <c r="LS307" s="302"/>
      <c r="LT307" s="302"/>
      <c r="LU307" s="302"/>
      <c r="LV307" s="302"/>
      <c r="LW307" s="302"/>
      <c r="LX307" s="302"/>
      <c r="LY307" s="302"/>
      <c r="LZ307" s="302"/>
      <c r="MA307" s="302"/>
      <c r="MB307" s="302"/>
      <c r="MC307" s="302"/>
      <c r="MD307" s="302"/>
      <c r="ME307" s="302"/>
      <c r="MF307" s="302"/>
      <c r="MG307" s="302"/>
      <c r="MH307" s="302"/>
      <c r="MI307" s="302"/>
      <c r="MJ307" s="302"/>
      <c r="MK307" s="302"/>
      <c r="ML307" s="302"/>
      <c r="MM307" s="302"/>
      <c r="MN307" s="302"/>
      <c r="MO307" s="302"/>
      <c r="MP307" s="302"/>
      <c r="MQ307" s="302"/>
      <c r="MR307" s="302"/>
      <c r="MS307" s="302"/>
      <c r="MT307" s="302"/>
      <c r="MU307" s="302"/>
      <c r="MV307" s="302"/>
      <c r="MW307" s="302"/>
      <c r="MX307" s="302"/>
      <c r="MY307" s="302"/>
      <c r="MZ307" s="302"/>
      <c r="NA307" s="302"/>
      <c r="NB307" s="302"/>
      <c r="NC307" s="302"/>
      <c r="ND307" s="302"/>
      <c r="NE307" s="302"/>
      <c r="NF307" s="302"/>
      <c r="NG307" s="302"/>
      <c r="NH307" s="302"/>
      <c r="NI307" s="302"/>
      <c r="NJ307" s="302"/>
      <c r="NK307" s="302"/>
      <c r="NL307" s="302"/>
      <c r="NM307" s="302"/>
      <c r="NN307" s="302"/>
      <c r="NO307" s="302"/>
      <c r="NP307" s="302"/>
      <c r="NQ307" s="302"/>
      <c r="NR307" s="302"/>
      <c r="NS307" s="302"/>
      <c r="NT307" s="302"/>
      <c r="NU307" s="302"/>
      <c r="NV307" s="302"/>
      <c r="NW307" s="302"/>
      <c r="NX307" s="302"/>
      <c r="NY307" s="302"/>
      <c r="NZ307" s="302"/>
      <c r="OA307" s="302"/>
      <c r="OB307" s="302"/>
      <c r="OC307" s="302"/>
      <c r="OD307" s="302"/>
      <c r="OE307" s="302"/>
      <c r="OF307" s="302"/>
      <c r="OG307" s="302"/>
      <c r="OH307" s="302"/>
      <c r="OI307" s="302"/>
      <c r="OJ307" s="302"/>
      <c r="OK307" s="302"/>
      <c r="OL307" s="302"/>
      <c r="OM307" s="302"/>
      <c r="ON307" s="302"/>
      <c r="OO307" s="302"/>
      <c r="OP307" s="302"/>
      <c r="OQ307" s="302"/>
      <c r="OR307" s="302"/>
      <c r="OS307" s="302"/>
      <c r="OT307" s="302"/>
      <c r="OU307" s="302"/>
      <c r="OV307" s="302"/>
      <c r="OW307" s="302"/>
      <c r="OX307" s="302"/>
      <c r="OY307" s="302"/>
      <c r="OZ307" s="302"/>
      <c r="PA307" s="302"/>
      <c r="PB307" s="302"/>
      <c r="PC307" s="302"/>
      <c r="PD307" s="302"/>
      <c r="PE307" s="302"/>
      <c r="PF307" s="302"/>
      <c r="PG307" s="302"/>
      <c r="PH307" s="302"/>
      <c r="PI307" s="302"/>
      <c r="PJ307" s="302"/>
      <c r="PK307" s="302"/>
      <c r="PL307" s="302"/>
      <c r="PM307" s="302"/>
      <c r="PN307" s="302"/>
      <c r="PO307" s="302"/>
      <c r="PP307" s="302"/>
      <c r="PQ307" s="302"/>
      <c r="PR307" s="302"/>
      <c r="PS307" s="302"/>
      <c r="PT307" s="302"/>
      <c r="PU307" s="302"/>
      <c r="PV307" s="302"/>
      <c r="PW307" s="302"/>
      <c r="PX307" s="302"/>
      <c r="PY307" s="302"/>
      <c r="PZ307" s="302"/>
      <c r="QA307" s="302"/>
      <c r="QB307" s="302"/>
      <c r="QC307" s="302"/>
      <c r="QD307" s="302"/>
      <c r="QE307" s="302"/>
      <c r="QF307" s="302"/>
      <c r="QG307" s="302"/>
      <c r="QH307" s="302"/>
      <c r="QI307" s="302"/>
      <c r="QJ307" s="302"/>
      <c r="QK307" s="302"/>
      <c r="QL307" s="302"/>
      <c r="QM307" s="302"/>
      <c r="QN307" s="302"/>
      <c r="QO307" s="302"/>
      <c r="QP307" s="302"/>
      <c r="QQ307" s="302"/>
      <c r="QR307" s="302"/>
      <c r="QS307" s="302"/>
      <c r="QT307" s="302"/>
      <c r="QU307" s="302"/>
      <c r="QV307" s="302"/>
      <c r="QW307" s="302"/>
      <c r="QX307" s="302"/>
      <c r="QY307" s="302"/>
      <c r="QZ307" s="302"/>
      <c r="RA307" s="302"/>
      <c r="RB307" s="302"/>
      <c r="RC307" s="302"/>
      <c r="RD307" s="302"/>
      <c r="RE307" s="302"/>
      <c r="RF307" s="302"/>
      <c r="RG307" s="302"/>
      <c r="RH307" s="302"/>
      <c r="RI307" s="302"/>
      <c r="RJ307" s="302"/>
      <c r="RK307" s="302"/>
      <c r="RL307" s="302"/>
      <c r="RM307" s="302"/>
      <c r="RN307" s="302"/>
      <c r="RO307" s="302"/>
      <c r="RP307" s="302"/>
      <c r="RQ307" s="302"/>
      <c r="RR307" s="302"/>
      <c r="RS307" s="302"/>
      <c r="RT307" s="302"/>
      <c r="RU307" s="302"/>
      <c r="RV307" s="302"/>
      <c r="RW307" s="302"/>
      <c r="RX307" s="302"/>
      <c r="RY307" s="302"/>
      <c r="RZ307" s="302"/>
      <c r="SA307" s="302"/>
      <c r="SB307" s="302"/>
      <c r="SC307" s="302"/>
      <c r="SD307" s="302"/>
      <c r="SE307" s="302"/>
      <c r="SF307" s="302"/>
      <c r="SG307" s="302"/>
      <c r="SH307" s="302"/>
      <c r="SI307" s="302"/>
      <c r="SJ307" s="302"/>
      <c r="SK307" s="302"/>
      <c r="SL307" s="302"/>
      <c r="SM307" s="302"/>
      <c r="SN307" s="302"/>
      <c r="SO307" s="302"/>
      <c r="SP307" s="302"/>
      <c r="SQ307" s="302"/>
      <c r="SR307" s="302"/>
      <c r="SS307" s="302"/>
      <c r="ST307" s="302"/>
      <c r="SU307" s="302"/>
      <c r="SV307" s="302"/>
      <c r="SW307" s="302"/>
      <c r="SX307" s="302"/>
      <c r="SY307" s="302"/>
      <c r="SZ307" s="302"/>
      <c r="TA307" s="302"/>
      <c r="TB307" s="302"/>
      <c r="TC307" s="302"/>
      <c r="TD307" s="302"/>
      <c r="TE307" s="302"/>
      <c r="TF307" s="302"/>
      <c r="TG307" s="302"/>
      <c r="TH307" s="302"/>
      <c r="TI307" s="302"/>
      <c r="TJ307" s="302"/>
      <c r="TK307" s="302"/>
      <c r="TL307" s="302"/>
      <c r="TM307" s="302"/>
      <c r="TN307" s="302"/>
      <c r="TO307" s="302"/>
      <c r="TP307" s="302"/>
      <c r="TQ307" s="302"/>
      <c r="TR307" s="302"/>
      <c r="TS307" s="302"/>
      <c r="TT307" s="302"/>
      <c r="TU307" s="302"/>
      <c r="TV307" s="302"/>
      <c r="TW307" s="302"/>
      <c r="TX307" s="302"/>
      <c r="TY307" s="302"/>
      <c r="TZ307" s="302"/>
      <c r="UA307" s="302"/>
      <c r="UB307" s="302"/>
      <c r="UC307" s="302"/>
      <c r="UD307" s="302"/>
      <c r="UE307" s="302"/>
      <c r="UF307" s="302"/>
      <c r="UG307" s="302"/>
      <c r="UH307" s="302"/>
      <c r="UI307" s="302"/>
      <c r="UJ307" s="302"/>
      <c r="UK307" s="302"/>
      <c r="UL307" s="302"/>
      <c r="UM307" s="302"/>
      <c r="UN307" s="302"/>
      <c r="UO307" s="302"/>
      <c r="UP307" s="302"/>
      <c r="UQ307" s="302"/>
      <c r="UR307" s="302"/>
      <c r="US307" s="302"/>
      <c r="UT307" s="302"/>
      <c r="UU307" s="302"/>
      <c r="UV307" s="302"/>
      <c r="UW307" s="302"/>
      <c r="UX307" s="302"/>
      <c r="UY307" s="302"/>
      <c r="UZ307" s="302"/>
      <c r="VA307" s="302"/>
      <c r="VB307" s="302"/>
      <c r="VC307" s="302"/>
      <c r="VD307" s="302"/>
      <c r="VE307" s="302"/>
      <c r="VF307" s="302"/>
      <c r="VG307" s="302"/>
      <c r="VH307" s="302"/>
      <c r="VI307" s="302"/>
      <c r="VJ307" s="302"/>
      <c r="VK307" s="302"/>
      <c r="VL307" s="302"/>
      <c r="VM307" s="302"/>
      <c r="VN307" s="302"/>
      <c r="VO307" s="302"/>
      <c r="VP307" s="302"/>
      <c r="VQ307" s="302"/>
      <c r="VR307" s="302"/>
      <c r="VS307" s="302"/>
      <c r="VT307" s="302"/>
      <c r="VU307" s="302"/>
      <c r="VV307" s="302"/>
      <c r="VW307" s="302"/>
      <c r="VX307" s="302"/>
      <c r="VY307" s="302"/>
      <c r="VZ307" s="302"/>
      <c r="WA307" s="302"/>
      <c r="WB307" s="302"/>
      <c r="WC307" s="302"/>
      <c r="WD307" s="302"/>
      <c r="WE307" s="302"/>
      <c r="WF307" s="302"/>
      <c r="WG307" s="302"/>
      <c r="WH307" s="302"/>
      <c r="WI307" s="302"/>
      <c r="WJ307" s="302"/>
      <c r="WK307" s="302"/>
      <c r="WL307" s="302"/>
      <c r="WM307" s="302"/>
      <c r="WN307" s="302"/>
      <c r="WO307" s="302"/>
      <c r="WP307" s="302"/>
      <c r="WQ307" s="302"/>
      <c r="WR307" s="302"/>
      <c r="WS307" s="302"/>
      <c r="WT307" s="302"/>
      <c r="WU307" s="302"/>
      <c r="WV307" s="302"/>
      <c r="WW307" s="302"/>
      <c r="WX307" s="302"/>
      <c r="WY307" s="302"/>
      <c r="WZ307" s="302"/>
      <c r="XA307" s="302"/>
      <c r="XB307" s="302"/>
      <c r="XC307" s="302"/>
      <c r="XD307" s="302"/>
      <c r="XE307" s="302"/>
      <c r="XF307" s="302"/>
      <c r="XG307" s="302"/>
      <c r="XH307" s="302"/>
      <c r="XI307" s="302"/>
      <c r="XJ307" s="302"/>
      <c r="XK307" s="302"/>
      <c r="XL307" s="302"/>
      <c r="XM307" s="302"/>
      <c r="XN307" s="302"/>
      <c r="XO307" s="302"/>
      <c r="XP307" s="302"/>
      <c r="XQ307" s="302"/>
      <c r="XR307" s="302"/>
      <c r="XS307" s="302"/>
      <c r="XT307" s="302"/>
      <c r="XU307" s="302"/>
      <c r="XV307" s="302"/>
      <c r="XW307" s="302"/>
      <c r="XX307" s="302"/>
      <c r="XY307" s="302"/>
      <c r="XZ307" s="302"/>
      <c r="YA307" s="302"/>
      <c r="YB307" s="302"/>
      <c r="YC307" s="302"/>
      <c r="YD307" s="302"/>
      <c r="YE307" s="302"/>
      <c r="YF307" s="302"/>
      <c r="YG307" s="302"/>
      <c r="YH307" s="302"/>
      <c r="YI307" s="302"/>
      <c r="YJ307" s="302"/>
      <c r="YK307" s="302"/>
      <c r="YL307" s="302"/>
      <c r="YM307" s="302"/>
      <c r="YN307" s="302"/>
      <c r="YO307" s="302"/>
      <c r="YP307" s="302"/>
      <c r="YQ307" s="302"/>
      <c r="YR307" s="302"/>
      <c r="YS307" s="302"/>
      <c r="YT307" s="302"/>
      <c r="YU307" s="302"/>
      <c r="YV307" s="302"/>
      <c r="YW307" s="302"/>
      <c r="YX307" s="302"/>
      <c r="YY307" s="302"/>
      <c r="YZ307" s="302"/>
      <c r="ZA307" s="302"/>
      <c r="ZB307" s="302"/>
      <c r="ZC307" s="302"/>
      <c r="ZD307" s="302"/>
      <c r="ZE307" s="302"/>
      <c r="ZF307" s="302"/>
      <c r="ZG307" s="302"/>
      <c r="ZH307" s="302"/>
      <c r="ZI307" s="302"/>
      <c r="ZJ307" s="302"/>
      <c r="ZK307" s="302"/>
      <c r="ZL307" s="302"/>
      <c r="ZM307" s="302"/>
      <c r="ZN307" s="302"/>
      <c r="ZO307" s="302"/>
      <c r="ZP307" s="302"/>
      <c r="ZQ307" s="302"/>
      <c r="ZR307" s="302"/>
      <c r="ZS307" s="302"/>
      <c r="ZT307" s="302"/>
      <c r="ZU307" s="302"/>
      <c r="ZV307" s="302"/>
      <c r="ZW307" s="302"/>
      <c r="ZX307" s="302"/>
      <c r="ZY307" s="302"/>
      <c r="ZZ307" s="302"/>
      <c r="AAA307" s="302"/>
      <c r="AAB307" s="302"/>
      <c r="AAC307" s="302"/>
      <c r="AAD307" s="302"/>
      <c r="AAE307" s="302"/>
      <c r="AAF307" s="302"/>
      <c r="AAG307" s="302"/>
      <c r="AAH307" s="302"/>
      <c r="AAI307" s="302"/>
      <c r="AAJ307" s="302"/>
      <c r="AAK307" s="302"/>
      <c r="AAL307" s="302"/>
      <c r="AAM307" s="302"/>
      <c r="AAN307" s="302"/>
      <c r="AAO307" s="302"/>
      <c r="AAP307" s="302"/>
      <c r="AAQ307" s="302"/>
      <c r="AAR307" s="302"/>
      <c r="AAS307" s="302"/>
      <c r="AAT307" s="302"/>
      <c r="AAU307" s="302"/>
      <c r="AAV307" s="302"/>
      <c r="AAW307" s="302"/>
      <c r="AAX307" s="302"/>
      <c r="AAY307" s="302"/>
      <c r="AAZ307" s="302"/>
      <c r="ABA307" s="302"/>
      <c r="ABB307" s="302"/>
      <c r="ABC307" s="302"/>
      <c r="ABD307" s="302"/>
      <c r="ABE307" s="302"/>
      <c r="ABF307" s="302"/>
      <c r="ABG307" s="302"/>
      <c r="ABH307" s="302"/>
      <c r="ABI307" s="302"/>
      <c r="ABJ307" s="302"/>
      <c r="ABK307" s="302"/>
      <c r="ABL307" s="302"/>
      <c r="ABM307" s="302"/>
      <c r="ABN307" s="302"/>
      <c r="ABO307" s="302"/>
      <c r="ABP307" s="302"/>
      <c r="ABQ307" s="302"/>
      <c r="ABR307" s="302"/>
      <c r="ABS307" s="302"/>
      <c r="ABT307" s="302"/>
      <c r="ABU307" s="302"/>
      <c r="ABV307" s="302"/>
      <c r="ABW307" s="302"/>
      <c r="ABX307" s="302"/>
      <c r="ABY307" s="302"/>
      <c r="ABZ307" s="302"/>
      <c r="ACA307" s="302"/>
      <c r="ACB307" s="302"/>
      <c r="ACC307" s="302"/>
      <c r="ACD307" s="302"/>
      <c r="ACE307" s="302"/>
      <c r="ACF307" s="302"/>
      <c r="ACG307" s="302"/>
      <c r="ACH307" s="302"/>
      <c r="ACI307" s="302"/>
      <c r="ACJ307" s="302"/>
      <c r="ACK307" s="302"/>
      <c r="ACL307" s="302"/>
      <c r="ACM307" s="302"/>
      <c r="ACN307" s="302"/>
      <c r="ACO307" s="302"/>
      <c r="ACP307" s="302"/>
      <c r="ACQ307" s="302"/>
      <c r="ACR307" s="302"/>
      <c r="ACS307" s="302"/>
      <c r="ACT307" s="302"/>
      <c r="ACU307" s="302"/>
      <c r="ACV307" s="302"/>
      <c r="ACW307" s="302"/>
      <c r="ACX307" s="302"/>
      <c r="ACY307" s="302"/>
      <c r="ACZ307" s="302"/>
      <c r="ADA307" s="302"/>
      <c r="ADB307" s="302"/>
      <c r="ADC307" s="302"/>
      <c r="ADD307" s="302"/>
      <c r="ADE307" s="302"/>
      <c r="ADF307" s="302"/>
      <c r="ADG307" s="302"/>
      <c r="ADH307" s="302"/>
      <c r="ADI307" s="302"/>
      <c r="ADJ307" s="302"/>
      <c r="ADK307" s="302"/>
      <c r="ADL307" s="302"/>
      <c r="ADM307" s="302"/>
      <c r="ADN307" s="302"/>
      <c r="ADO307" s="302"/>
      <c r="ADP307" s="302"/>
      <c r="ADQ307" s="302"/>
      <c r="ADR307" s="302"/>
      <c r="ADS307" s="302"/>
      <c r="ADT307" s="302"/>
      <c r="ADU307" s="302"/>
      <c r="ADV307" s="302"/>
      <c r="ADW307" s="302"/>
      <c r="ADX307" s="302"/>
      <c r="ADY307" s="302"/>
      <c r="ADZ307" s="302"/>
      <c r="AEA307" s="302"/>
      <c r="AEB307" s="302"/>
      <c r="AEC307" s="302"/>
      <c r="AED307" s="302"/>
      <c r="AEE307" s="302"/>
      <c r="AEF307" s="302"/>
      <c r="AEG307" s="302"/>
      <c r="AEH307" s="302"/>
      <c r="AEI307" s="302"/>
      <c r="AEJ307" s="302"/>
      <c r="AEK307" s="302"/>
      <c r="AEL307" s="302"/>
      <c r="AEM307" s="302"/>
      <c r="AEN307" s="302"/>
      <c r="AEO307" s="302"/>
      <c r="AEP307" s="302"/>
      <c r="AEQ307" s="302"/>
      <c r="AER307" s="302"/>
      <c r="AES307" s="302"/>
      <c r="AET307" s="302"/>
      <c r="AEU307" s="302"/>
      <c r="AEV307" s="302"/>
      <c r="AEW307" s="302"/>
      <c r="AEX307" s="302"/>
      <c r="AEY307" s="302"/>
      <c r="AEZ307" s="302"/>
      <c r="AFA307" s="302"/>
      <c r="AFB307" s="302"/>
      <c r="AFC307" s="302"/>
      <c r="AFD307" s="302"/>
      <c r="AFE307" s="302"/>
      <c r="AFF307" s="302"/>
      <c r="AFG307" s="302"/>
      <c r="AFH307" s="302"/>
      <c r="AFI307" s="302"/>
      <c r="AFJ307" s="302"/>
      <c r="AFK307" s="302"/>
      <c r="AFL307" s="302"/>
      <c r="AFM307" s="302"/>
      <c r="AFN307" s="302"/>
      <c r="AFO307" s="302"/>
      <c r="AFP307" s="302"/>
      <c r="AFQ307" s="302"/>
      <c r="AFR307" s="302"/>
      <c r="AFS307" s="302"/>
      <c r="AFT307" s="302"/>
      <c r="AFU307" s="302"/>
      <c r="AFV307" s="302"/>
      <c r="AFW307" s="302"/>
      <c r="AFX307" s="302"/>
      <c r="AFY307" s="302"/>
      <c r="AFZ307" s="302"/>
      <c r="AGA307" s="302"/>
      <c r="AGB307" s="302"/>
      <c r="AGC307" s="302"/>
      <c r="AGD307" s="302"/>
      <c r="AGE307" s="302"/>
      <c r="AGF307" s="302"/>
      <c r="AGG307" s="302"/>
      <c r="AGH307" s="302"/>
      <c r="AGI307" s="302"/>
      <c r="AGJ307" s="302"/>
      <c r="AGK307" s="302"/>
      <c r="AGL307" s="302"/>
      <c r="AGM307" s="302"/>
      <c r="AGN307" s="302"/>
      <c r="AGO307" s="302"/>
      <c r="AGP307" s="302"/>
      <c r="AGQ307" s="302"/>
      <c r="AGR307" s="302"/>
      <c r="AGS307" s="302"/>
      <c r="AGT307" s="302"/>
      <c r="AGU307" s="302"/>
      <c r="AGV307" s="302"/>
      <c r="AGW307" s="302"/>
      <c r="AGX307" s="302"/>
      <c r="AGY307" s="302"/>
      <c r="AGZ307" s="302"/>
      <c r="AHA307" s="302"/>
      <c r="AHB307" s="302"/>
      <c r="AHC307" s="302"/>
      <c r="AHD307" s="302"/>
      <c r="AHE307" s="302"/>
      <c r="AHF307" s="302"/>
      <c r="AHG307" s="302"/>
      <c r="AHH307" s="302"/>
      <c r="AHI307" s="302"/>
      <c r="AHJ307" s="302"/>
      <c r="AHK307" s="302"/>
      <c r="AHL307" s="302"/>
      <c r="AHM307" s="302"/>
      <c r="AHN307" s="302"/>
      <c r="AHO307" s="302"/>
      <c r="AHP307" s="302"/>
      <c r="AHQ307" s="302"/>
      <c r="AHR307" s="302"/>
      <c r="AHS307" s="302"/>
      <c r="AHT307" s="302"/>
      <c r="AHU307" s="302"/>
      <c r="AHV307" s="302"/>
      <c r="AHW307" s="302"/>
      <c r="AHX307" s="302"/>
      <c r="AHY307" s="302"/>
      <c r="AHZ307" s="302"/>
      <c r="AIA307" s="302"/>
      <c r="AIB307" s="302"/>
      <c r="AIC307" s="302"/>
      <c r="AID307" s="302"/>
      <c r="AIE307" s="302"/>
      <c r="AIF307" s="302"/>
      <c r="AIG307" s="302"/>
      <c r="AIH307" s="302"/>
      <c r="AII307" s="302"/>
      <c r="AIJ307" s="302"/>
      <c r="AIK307" s="302"/>
      <c r="AIL307" s="302"/>
      <c r="AIM307" s="302"/>
      <c r="AIN307" s="302"/>
      <c r="AIO307" s="302"/>
      <c r="AIP307" s="302"/>
      <c r="AIQ307" s="302"/>
      <c r="AIR307" s="302"/>
      <c r="AIS307" s="302"/>
      <c r="AIT307" s="302"/>
      <c r="AIU307" s="302"/>
      <c r="AIV307" s="302"/>
      <c r="AIW307" s="302"/>
      <c r="AIX307" s="302"/>
      <c r="AIY307" s="302"/>
      <c r="AIZ307" s="302"/>
      <c r="AJA307" s="302"/>
      <c r="AJB307" s="302"/>
      <c r="AJC307" s="302"/>
      <c r="AJD307" s="302"/>
      <c r="AJE307" s="302"/>
      <c r="AJF307" s="302"/>
      <c r="AJG307" s="302"/>
      <c r="AJH307" s="302"/>
      <c r="AJI307" s="302"/>
      <c r="AJJ307" s="302"/>
      <c r="AJK307" s="302"/>
      <c r="AJL307" s="302"/>
      <c r="AJM307" s="302"/>
      <c r="AJN307" s="302"/>
      <c r="AJO307" s="302"/>
      <c r="AJP307" s="302"/>
      <c r="AJQ307" s="302"/>
      <c r="AJR307" s="302"/>
      <c r="AJS307" s="302"/>
      <c r="AJT307" s="302"/>
      <c r="AJU307" s="302"/>
      <c r="AJV307" s="302"/>
      <c r="AJW307" s="302"/>
      <c r="AJX307" s="302"/>
      <c r="AJY307" s="302"/>
      <c r="AJZ307" s="302"/>
      <c r="AKA307" s="302"/>
      <c r="AKB307" s="302"/>
      <c r="AKC307" s="302"/>
      <c r="AKD307" s="302"/>
      <c r="AKE307" s="302"/>
      <c r="AKF307" s="302"/>
      <c r="AKG307" s="302"/>
      <c r="AKH307" s="302"/>
      <c r="AKI307" s="302"/>
      <c r="AKJ307" s="302"/>
      <c r="AKK307" s="302"/>
      <c r="AKL307" s="302"/>
      <c r="AKM307" s="302"/>
      <c r="AKN307" s="302"/>
      <c r="AKO307" s="302"/>
      <c r="AKP307" s="302"/>
      <c r="AKQ307" s="302"/>
      <c r="AKR307" s="302"/>
      <c r="AKS307" s="302"/>
      <c r="AKT307" s="302"/>
      <c r="AKU307" s="302"/>
      <c r="AKV307" s="302"/>
      <c r="AKW307" s="302"/>
      <c r="AKX307" s="302"/>
      <c r="AKY307" s="302"/>
      <c r="AKZ307" s="302"/>
      <c r="ALA307" s="302"/>
      <c r="ALB307" s="302"/>
      <c r="ALC307" s="302"/>
      <c r="ALD307" s="302"/>
      <c r="ALE307" s="302"/>
      <c r="ALF307" s="302"/>
      <c r="ALG307" s="302"/>
      <c r="ALH307" s="302"/>
      <c r="ALI307" s="302"/>
      <c r="ALJ307" s="302"/>
      <c r="ALK307" s="302"/>
      <c r="ALL307" s="302"/>
      <c r="ALM307" s="302"/>
      <c r="ALN307" s="302"/>
      <c r="ALO307" s="302"/>
      <c r="ALP307" s="302"/>
      <c r="ALQ307" s="302"/>
      <c r="ALR307" s="302"/>
      <c r="ALS307" s="302"/>
      <c r="ALT307" s="302"/>
      <c r="ALU307" s="302"/>
      <c r="ALV307" s="302"/>
      <c r="ALW307" s="302"/>
      <c r="ALX307" s="302"/>
      <c r="ALY307" s="302"/>
      <c r="ALZ307" s="302"/>
      <c r="AMA307" s="302"/>
      <c r="AMB307" s="302"/>
      <c r="AMC307" s="302"/>
      <c r="AMD307" s="302"/>
      <c r="AME307" s="302"/>
      <c r="AMF307" s="302"/>
      <c r="AMG307" s="302"/>
      <c r="AMH307" s="302"/>
      <c r="AMI307" s="302"/>
    </row>
    <row r="308" spans="1:1023" hidden="1">
      <c r="A308" s="302"/>
      <c r="B308" s="442">
        <v>14302</v>
      </c>
      <c r="C308" s="430">
        <v>0.08</v>
      </c>
      <c r="D308" s="370" t="s">
        <v>191</v>
      </c>
      <c r="E308" s="433">
        <v>3100000</v>
      </c>
      <c r="F308" s="500">
        <v>0.02</v>
      </c>
      <c r="G308" s="364">
        <f t="shared" si="17"/>
        <v>62000</v>
      </c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2"/>
      <c r="AE308" s="302"/>
      <c r="AF308" s="302"/>
      <c r="AG308" s="302"/>
      <c r="AH308" s="302"/>
      <c r="AI308" s="302"/>
      <c r="AJ308" s="302"/>
      <c r="AK308" s="302"/>
      <c r="AL308" s="302"/>
      <c r="AM308" s="302"/>
      <c r="AN308" s="302"/>
      <c r="AO308" s="302"/>
      <c r="AP308" s="302"/>
      <c r="AQ308" s="302"/>
      <c r="AR308" s="302"/>
      <c r="AS308" s="302"/>
      <c r="AT308" s="302"/>
      <c r="AU308" s="302"/>
      <c r="AV308" s="302"/>
      <c r="AW308" s="302"/>
      <c r="AX308" s="302"/>
      <c r="AY308" s="302"/>
      <c r="AZ308" s="302"/>
      <c r="BA308" s="302"/>
      <c r="BB308" s="302"/>
      <c r="BC308" s="302"/>
      <c r="BD308" s="302"/>
      <c r="BE308" s="302"/>
      <c r="BF308" s="302"/>
      <c r="BG308" s="302"/>
      <c r="BH308" s="302"/>
      <c r="BI308" s="302"/>
      <c r="BJ308" s="302"/>
      <c r="BK308" s="302"/>
      <c r="BL308" s="302"/>
      <c r="BM308" s="302"/>
      <c r="BN308" s="302"/>
      <c r="BO308" s="302"/>
      <c r="BP308" s="302"/>
      <c r="BQ308" s="302"/>
      <c r="BR308" s="302"/>
      <c r="BS308" s="302"/>
      <c r="BT308" s="302"/>
      <c r="BU308" s="302"/>
      <c r="BV308" s="302"/>
      <c r="BW308" s="302"/>
      <c r="BX308" s="302"/>
      <c r="BY308" s="302"/>
      <c r="BZ308" s="302"/>
      <c r="CA308" s="302"/>
      <c r="CB308" s="302"/>
      <c r="CC308" s="302"/>
      <c r="CD308" s="302"/>
      <c r="CE308" s="302"/>
      <c r="CF308" s="302"/>
      <c r="CG308" s="302"/>
      <c r="CH308" s="302"/>
      <c r="CI308" s="302"/>
      <c r="CJ308" s="302"/>
      <c r="CK308" s="302"/>
      <c r="CL308" s="302"/>
      <c r="CM308" s="302"/>
      <c r="CN308" s="302"/>
      <c r="CO308" s="302"/>
      <c r="CP308" s="302"/>
      <c r="CQ308" s="302"/>
      <c r="CR308" s="302"/>
      <c r="CS308" s="302"/>
      <c r="CT308" s="302"/>
      <c r="CU308" s="302"/>
      <c r="CV308" s="302"/>
      <c r="CW308" s="302"/>
      <c r="CX308" s="302"/>
      <c r="CY308" s="302"/>
      <c r="CZ308" s="302"/>
      <c r="DA308" s="302"/>
      <c r="DB308" s="302"/>
      <c r="DC308" s="302"/>
      <c r="DD308" s="302"/>
      <c r="DE308" s="302"/>
      <c r="DF308" s="302"/>
      <c r="DG308" s="302"/>
      <c r="DH308" s="302"/>
      <c r="DI308" s="302"/>
      <c r="DJ308" s="302"/>
      <c r="DK308" s="302"/>
      <c r="DL308" s="302"/>
      <c r="DM308" s="302"/>
      <c r="DN308" s="302"/>
      <c r="DO308" s="302"/>
      <c r="DP308" s="302"/>
      <c r="DQ308" s="302"/>
      <c r="DR308" s="302"/>
      <c r="DS308" s="302"/>
      <c r="DT308" s="302"/>
      <c r="DU308" s="302"/>
      <c r="DV308" s="302"/>
      <c r="DW308" s="302"/>
      <c r="DX308" s="302"/>
      <c r="DY308" s="302"/>
      <c r="DZ308" s="302"/>
      <c r="EA308" s="302"/>
      <c r="EB308" s="302"/>
      <c r="EC308" s="302"/>
      <c r="ED308" s="302"/>
      <c r="EE308" s="302"/>
      <c r="EF308" s="302"/>
      <c r="EG308" s="302"/>
      <c r="EH308" s="302"/>
      <c r="EI308" s="302"/>
      <c r="EJ308" s="302"/>
      <c r="EK308" s="302"/>
      <c r="EL308" s="302"/>
      <c r="EM308" s="302"/>
      <c r="EN308" s="302"/>
      <c r="EO308" s="302"/>
      <c r="EP308" s="302"/>
      <c r="EQ308" s="302"/>
      <c r="ER308" s="302"/>
      <c r="ES308" s="302"/>
      <c r="ET308" s="302"/>
      <c r="EU308" s="302"/>
      <c r="EV308" s="302"/>
      <c r="EW308" s="302"/>
      <c r="EX308" s="302"/>
      <c r="EY308" s="302"/>
      <c r="EZ308" s="302"/>
      <c r="FA308" s="302"/>
      <c r="FB308" s="302"/>
      <c r="FC308" s="302"/>
      <c r="FD308" s="302"/>
      <c r="FE308" s="302"/>
      <c r="FF308" s="302"/>
      <c r="FG308" s="302"/>
      <c r="FH308" s="302"/>
      <c r="FI308" s="302"/>
      <c r="FJ308" s="302"/>
      <c r="FK308" s="302"/>
      <c r="FL308" s="302"/>
      <c r="FM308" s="302"/>
      <c r="FN308" s="302"/>
      <c r="FO308" s="302"/>
      <c r="FP308" s="302"/>
      <c r="FQ308" s="302"/>
      <c r="FR308" s="302"/>
      <c r="FS308" s="302"/>
      <c r="FT308" s="302"/>
      <c r="FU308" s="302"/>
      <c r="FV308" s="302"/>
      <c r="FW308" s="302"/>
      <c r="FX308" s="302"/>
      <c r="FY308" s="302"/>
      <c r="FZ308" s="302"/>
      <c r="GA308" s="302"/>
      <c r="GB308" s="302"/>
      <c r="GC308" s="302"/>
      <c r="GD308" s="302"/>
      <c r="GE308" s="302"/>
      <c r="GF308" s="302"/>
      <c r="GG308" s="302"/>
      <c r="GH308" s="302"/>
      <c r="GI308" s="302"/>
      <c r="GJ308" s="302"/>
      <c r="GK308" s="302"/>
      <c r="GL308" s="302"/>
      <c r="GM308" s="302"/>
      <c r="GN308" s="302"/>
      <c r="GO308" s="302"/>
      <c r="GP308" s="302"/>
      <c r="GQ308" s="302"/>
      <c r="GR308" s="302"/>
      <c r="GS308" s="302"/>
      <c r="GT308" s="302"/>
      <c r="GU308" s="302"/>
      <c r="GV308" s="302"/>
      <c r="GW308" s="302"/>
      <c r="GX308" s="302"/>
      <c r="GY308" s="302"/>
      <c r="GZ308" s="302"/>
      <c r="HA308" s="302"/>
      <c r="HB308" s="302"/>
      <c r="HC308" s="302"/>
      <c r="HD308" s="302"/>
      <c r="HE308" s="302"/>
      <c r="HF308" s="302"/>
      <c r="HG308" s="302"/>
      <c r="HH308" s="302"/>
      <c r="HI308" s="302"/>
      <c r="HJ308" s="302"/>
      <c r="HK308" s="302"/>
      <c r="HL308" s="302"/>
      <c r="HM308" s="302"/>
      <c r="HN308" s="302"/>
      <c r="HO308" s="302"/>
      <c r="HP308" s="302"/>
      <c r="HQ308" s="302"/>
      <c r="HR308" s="302"/>
      <c r="HS308" s="302"/>
      <c r="HT308" s="302"/>
      <c r="HU308" s="302"/>
      <c r="HV308" s="302"/>
      <c r="HW308" s="302"/>
      <c r="HX308" s="302"/>
      <c r="HY308" s="302"/>
      <c r="HZ308" s="302"/>
      <c r="IA308" s="302"/>
      <c r="IB308" s="302"/>
      <c r="IC308" s="302"/>
      <c r="ID308" s="302"/>
      <c r="IE308" s="302"/>
      <c r="IF308" s="302"/>
      <c r="IG308" s="302"/>
      <c r="IH308" s="302"/>
      <c r="II308" s="302"/>
      <c r="IJ308" s="302"/>
      <c r="IK308" s="302"/>
      <c r="IL308" s="302"/>
      <c r="IM308" s="302"/>
      <c r="IN308" s="302"/>
      <c r="IO308" s="302"/>
      <c r="IP308" s="302"/>
      <c r="IQ308" s="302"/>
      <c r="IR308" s="302"/>
      <c r="IS308" s="302"/>
      <c r="IT308" s="302"/>
      <c r="IU308" s="302"/>
      <c r="IV308" s="302"/>
      <c r="IW308" s="302"/>
      <c r="IX308" s="302"/>
      <c r="IY308" s="302"/>
      <c r="IZ308" s="302"/>
      <c r="JA308" s="302"/>
      <c r="JB308" s="302"/>
      <c r="JC308" s="302"/>
      <c r="JD308" s="302"/>
      <c r="JE308" s="302"/>
      <c r="JF308" s="302"/>
      <c r="JG308" s="302"/>
      <c r="JH308" s="302"/>
      <c r="JI308" s="302"/>
      <c r="JJ308" s="302"/>
      <c r="JK308" s="302"/>
      <c r="JL308" s="302"/>
      <c r="JM308" s="302"/>
      <c r="JN308" s="302"/>
      <c r="JO308" s="302"/>
      <c r="JP308" s="302"/>
      <c r="JQ308" s="302"/>
      <c r="JR308" s="302"/>
      <c r="JS308" s="302"/>
      <c r="JT308" s="302"/>
      <c r="JU308" s="302"/>
      <c r="JV308" s="302"/>
      <c r="JW308" s="302"/>
      <c r="JX308" s="302"/>
      <c r="JY308" s="302"/>
      <c r="JZ308" s="302"/>
      <c r="KA308" s="302"/>
      <c r="KB308" s="302"/>
      <c r="KC308" s="302"/>
      <c r="KD308" s="302"/>
      <c r="KE308" s="302"/>
      <c r="KF308" s="302"/>
      <c r="KG308" s="302"/>
      <c r="KH308" s="302"/>
      <c r="KI308" s="302"/>
      <c r="KJ308" s="302"/>
      <c r="KK308" s="302"/>
      <c r="KL308" s="302"/>
      <c r="KM308" s="302"/>
      <c r="KN308" s="302"/>
      <c r="KO308" s="302"/>
      <c r="KP308" s="302"/>
      <c r="KQ308" s="302"/>
      <c r="KR308" s="302"/>
      <c r="KS308" s="302"/>
      <c r="KT308" s="302"/>
      <c r="KU308" s="302"/>
      <c r="KV308" s="302"/>
      <c r="KW308" s="302"/>
      <c r="KX308" s="302"/>
      <c r="KY308" s="302"/>
      <c r="KZ308" s="302"/>
      <c r="LA308" s="302"/>
      <c r="LB308" s="302"/>
      <c r="LC308" s="302"/>
      <c r="LD308" s="302"/>
      <c r="LE308" s="302"/>
      <c r="LF308" s="302"/>
      <c r="LG308" s="302"/>
      <c r="LH308" s="302"/>
      <c r="LI308" s="302"/>
      <c r="LJ308" s="302"/>
      <c r="LK308" s="302"/>
      <c r="LL308" s="302"/>
      <c r="LM308" s="302"/>
      <c r="LN308" s="302"/>
      <c r="LO308" s="302"/>
      <c r="LP308" s="302"/>
      <c r="LQ308" s="302"/>
      <c r="LR308" s="302"/>
      <c r="LS308" s="302"/>
      <c r="LT308" s="302"/>
      <c r="LU308" s="302"/>
      <c r="LV308" s="302"/>
      <c r="LW308" s="302"/>
      <c r="LX308" s="302"/>
      <c r="LY308" s="302"/>
      <c r="LZ308" s="302"/>
      <c r="MA308" s="302"/>
      <c r="MB308" s="302"/>
      <c r="MC308" s="302"/>
      <c r="MD308" s="302"/>
      <c r="ME308" s="302"/>
      <c r="MF308" s="302"/>
      <c r="MG308" s="302"/>
      <c r="MH308" s="302"/>
      <c r="MI308" s="302"/>
      <c r="MJ308" s="302"/>
      <c r="MK308" s="302"/>
      <c r="ML308" s="302"/>
      <c r="MM308" s="302"/>
      <c r="MN308" s="302"/>
      <c r="MO308" s="302"/>
      <c r="MP308" s="302"/>
      <c r="MQ308" s="302"/>
      <c r="MR308" s="302"/>
      <c r="MS308" s="302"/>
      <c r="MT308" s="302"/>
      <c r="MU308" s="302"/>
      <c r="MV308" s="302"/>
      <c r="MW308" s="302"/>
      <c r="MX308" s="302"/>
      <c r="MY308" s="302"/>
      <c r="MZ308" s="302"/>
      <c r="NA308" s="302"/>
      <c r="NB308" s="302"/>
      <c r="NC308" s="302"/>
      <c r="ND308" s="302"/>
      <c r="NE308" s="302"/>
      <c r="NF308" s="302"/>
      <c r="NG308" s="302"/>
      <c r="NH308" s="302"/>
      <c r="NI308" s="302"/>
      <c r="NJ308" s="302"/>
      <c r="NK308" s="302"/>
      <c r="NL308" s="302"/>
      <c r="NM308" s="302"/>
      <c r="NN308" s="302"/>
      <c r="NO308" s="302"/>
      <c r="NP308" s="302"/>
      <c r="NQ308" s="302"/>
      <c r="NR308" s="302"/>
      <c r="NS308" s="302"/>
      <c r="NT308" s="302"/>
      <c r="NU308" s="302"/>
      <c r="NV308" s="302"/>
      <c r="NW308" s="302"/>
      <c r="NX308" s="302"/>
      <c r="NY308" s="302"/>
      <c r="NZ308" s="302"/>
      <c r="OA308" s="302"/>
      <c r="OB308" s="302"/>
      <c r="OC308" s="302"/>
      <c r="OD308" s="302"/>
      <c r="OE308" s="302"/>
      <c r="OF308" s="302"/>
      <c r="OG308" s="302"/>
      <c r="OH308" s="302"/>
      <c r="OI308" s="302"/>
      <c r="OJ308" s="302"/>
      <c r="OK308" s="302"/>
      <c r="OL308" s="302"/>
      <c r="OM308" s="302"/>
      <c r="ON308" s="302"/>
      <c r="OO308" s="302"/>
      <c r="OP308" s="302"/>
      <c r="OQ308" s="302"/>
      <c r="OR308" s="302"/>
      <c r="OS308" s="302"/>
      <c r="OT308" s="302"/>
      <c r="OU308" s="302"/>
      <c r="OV308" s="302"/>
      <c r="OW308" s="302"/>
      <c r="OX308" s="302"/>
      <c r="OY308" s="302"/>
      <c r="OZ308" s="302"/>
      <c r="PA308" s="302"/>
      <c r="PB308" s="302"/>
      <c r="PC308" s="302"/>
      <c r="PD308" s="302"/>
      <c r="PE308" s="302"/>
      <c r="PF308" s="302"/>
      <c r="PG308" s="302"/>
      <c r="PH308" s="302"/>
      <c r="PI308" s="302"/>
      <c r="PJ308" s="302"/>
      <c r="PK308" s="302"/>
      <c r="PL308" s="302"/>
      <c r="PM308" s="302"/>
      <c r="PN308" s="302"/>
      <c r="PO308" s="302"/>
      <c r="PP308" s="302"/>
      <c r="PQ308" s="302"/>
      <c r="PR308" s="302"/>
      <c r="PS308" s="302"/>
      <c r="PT308" s="302"/>
      <c r="PU308" s="302"/>
      <c r="PV308" s="302"/>
      <c r="PW308" s="302"/>
      <c r="PX308" s="302"/>
      <c r="PY308" s="302"/>
      <c r="PZ308" s="302"/>
      <c r="QA308" s="302"/>
      <c r="QB308" s="302"/>
      <c r="QC308" s="302"/>
      <c r="QD308" s="302"/>
      <c r="QE308" s="302"/>
      <c r="QF308" s="302"/>
      <c r="QG308" s="302"/>
      <c r="QH308" s="302"/>
      <c r="QI308" s="302"/>
      <c r="QJ308" s="302"/>
      <c r="QK308" s="302"/>
      <c r="QL308" s="302"/>
      <c r="QM308" s="302"/>
      <c r="QN308" s="302"/>
      <c r="QO308" s="302"/>
      <c r="QP308" s="302"/>
      <c r="QQ308" s="302"/>
      <c r="QR308" s="302"/>
      <c r="QS308" s="302"/>
      <c r="QT308" s="302"/>
      <c r="QU308" s="302"/>
      <c r="QV308" s="302"/>
      <c r="QW308" s="302"/>
      <c r="QX308" s="302"/>
      <c r="QY308" s="302"/>
      <c r="QZ308" s="302"/>
      <c r="RA308" s="302"/>
      <c r="RB308" s="302"/>
      <c r="RC308" s="302"/>
      <c r="RD308" s="302"/>
      <c r="RE308" s="302"/>
      <c r="RF308" s="302"/>
      <c r="RG308" s="302"/>
      <c r="RH308" s="302"/>
      <c r="RI308" s="302"/>
      <c r="RJ308" s="302"/>
      <c r="RK308" s="302"/>
      <c r="RL308" s="302"/>
      <c r="RM308" s="302"/>
      <c r="RN308" s="302"/>
      <c r="RO308" s="302"/>
      <c r="RP308" s="302"/>
      <c r="RQ308" s="302"/>
      <c r="RR308" s="302"/>
      <c r="RS308" s="302"/>
      <c r="RT308" s="302"/>
      <c r="RU308" s="302"/>
      <c r="RV308" s="302"/>
      <c r="RW308" s="302"/>
      <c r="RX308" s="302"/>
      <c r="RY308" s="302"/>
      <c r="RZ308" s="302"/>
      <c r="SA308" s="302"/>
      <c r="SB308" s="302"/>
      <c r="SC308" s="302"/>
      <c r="SD308" s="302"/>
      <c r="SE308" s="302"/>
      <c r="SF308" s="302"/>
      <c r="SG308" s="302"/>
      <c r="SH308" s="302"/>
      <c r="SI308" s="302"/>
      <c r="SJ308" s="302"/>
      <c r="SK308" s="302"/>
      <c r="SL308" s="302"/>
      <c r="SM308" s="302"/>
      <c r="SN308" s="302"/>
      <c r="SO308" s="302"/>
      <c r="SP308" s="302"/>
      <c r="SQ308" s="302"/>
      <c r="SR308" s="302"/>
      <c r="SS308" s="302"/>
      <c r="ST308" s="302"/>
      <c r="SU308" s="302"/>
      <c r="SV308" s="302"/>
      <c r="SW308" s="302"/>
      <c r="SX308" s="302"/>
      <c r="SY308" s="302"/>
      <c r="SZ308" s="302"/>
      <c r="TA308" s="302"/>
      <c r="TB308" s="302"/>
      <c r="TC308" s="302"/>
      <c r="TD308" s="302"/>
      <c r="TE308" s="302"/>
      <c r="TF308" s="302"/>
      <c r="TG308" s="302"/>
      <c r="TH308" s="302"/>
      <c r="TI308" s="302"/>
      <c r="TJ308" s="302"/>
      <c r="TK308" s="302"/>
      <c r="TL308" s="302"/>
      <c r="TM308" s="302"/>
      <c r="TN308" s="302"/>
      <c r="TO308" s="302"/>
      <c r="TP308" s="302"/>
      <c r="TQ308" s="302"/>
      <c r="TR308" s="302"/>
      <c r="TS308" s="302"/>
      <c r="TT308" s="302"/>
      <c r="TU308" s="302"/>
      <c r="TV308" s="302"/>
      <c r="TW308" s="302"/>
      <c r="TX308" s="302"/>
      <c r="TY308" s="302"/>
      <c r="TZ308" s="302"/>
      <c r="UA308" s="302"/>
      <c r="UB308" s="302"/>
      <c r="UC308" s="302"/>
      <c r="UD308" s="302"/>
      <c r="UE308" s="302"/>
      <c r="UF308" s="302"/>
      <c r="UG308" s="302"/>
      <c r="UH308" s="302"/>
      <c r="UI308" s="302"/>
      <c r="UJ308" s="302"/>
      <c r="UK308" s="302"/>
      <c r="UL308" s="302"/>
      <c r="UM308" s="302"/>
      <c r="UN308" s="302"/>
      <c r="UO308" s="302"/>
      <c r="UP308" s="302"/>
      <c r="UQ308" s="302"/>
      <c r="UR308" s="302"/>
      <c r="US308" s="302"/>
      <c r="UT308" s="302"/>
      <c r="UU308" s="302"/>
      <c r="UV308" s="302"/>
      <c r="UW308" s="302"/>
      <c r="UX308" s="302"/>
      <c r="UY308" s="302"/>
      <c r="UZ308" s="302"/>
      <c r="VA308" s="302"/>
      <c r="VB308" s="302"/>
      <c r="VC308" s="302"/>
      <c r="VD308" s="302"/>
      <c r="VE308" s="302"/>
      <c r="VF308" s="302"/>
      <c r="VG308" s="302"/>
      <c r="VH308" s="302"/>
      <c r="VI308" s="302"/>
      <c r="VJ308" s="302"/>
      <c r="VK308" s="302"/>
      <c r="VL308" s="302"/>
      <c r="VM308" s="302"/>
      <c r="VN308" s="302"/>
      <c r="VO308" s="302"/>
      <c r="VP308" s="302"/>
      <c r="VQ308" s="302"/>
      <c r="VR308" s="302"/>
      <c r="VS308" s="302"/>
      <c r="VT308" s="302"/>
      <c r="VU308" s="302"/>
      <c r="VV308" s="302"/>
      <c r="VW308" s="302"/>
      <c r="VX308" s="302"/>
      <c r="VY308" s="302"/>
      <c r="VZ308" s="302"/>
      <c r="WA308" s="302"/>
      <c r="WB308" s="302"/>
      <c r="WC308" s="302"/>
      <c r="WD308" s="302"/>
      <c r="WE308" s="302"/>
      <c r="WF308" s="302"/>
      <c r="WG308" s="302"/>
      <c r="WH308" s="302"/>
      <c r="WI308" s="302"/>
      <c r="WJ308" s="302"/>
      <c r="WK308" s="302"/>
      <c r="WL308" s="302"/>
      <c r="WM308" s="302"/>
      <c r="WN308" s="302"/>
      <c r="WO308" s="302"/>
      <c r="WP308" s="302"/>
      <c r="WQ308" s="302"/>
      <c r="WR308" s="302"/>
      <c r="WS308" s="302"/>
      <c r="WT308" s="302"/>
      <c r="WU308" s="302"/>
      <c r="WV308" s="302"/>
      <c r="WW308" s="302"/>
      <c r="WX308" s="302"/>
      <c r="WY308" s="302"/>
      <c r="WZ308" s="302"/>
      <c r="XA308" s="302"/>
      <c r="XB308" s="302"/>
      <c r="XC308" s="302"/>
      <c r="XD308" s="302"/>
      <c r="XE308" s="302"/>
      <c r="XF308" s="302"/>
      <c r="XG308" s="302"/>
      <c r="XH308" s="302"/>
      <c r="XI308" s="302"/>
      <c r="XJ308" s="302"/>
      <c r="XK308" s="302"/>
      <c r="XL308" s="302"/>
      <c r="XM308" s="302"/>
      <c r="XN308" s="302"/>
      <c r="XO308" s="302"/>
      <c r="XP308" s="302"/>
      <c r="XQ308" s="302"/>
      <c r="XR308" s="302"/>
      <c r="XS308" s="302"/>
      <c r="XT308" s="302"/>
      <c r="XU308" s="302"/>
      <c r="XV308" s="302"/>
      <c r="XW308" s="302"/>
      <c r="XX308" s="302"/>
      <c r="XY308" s="302"/>
      <c r="XZ308" s="302"/>
      <c r="YA308" s="302"/>
      <c r="YB308" s="302"/>
      <c r="YC308" s="302"/>
      <c r="YD308" s="302"/>
      <c r="YE308" s="302"/>
      <c r="YF308" s="302"/>
      <c r="YG308" s="302"/>
      <c r="YH308" s="302"/>
      <c r="YI308" s="302"/>
      <c r="YJ308" s="302"/>
      <c r="YK308" s="302"/>
      <c r="YL308" s="302"/>
      <c r="YM308" s="302"/>
      <c r="YN308" s="302"/>
      <c r="YO308" s="302"/>
      <c r="YP308" s="302"/>
      <c r="YQ308" s="302"/>
      <c r="YR308" s="302"/>
      <c r="YS308" s="302"/>
      <c r="YT308" s="302"/>
      <c r="YU308" s="302"/>
      <c r="YV308" s="302"/>
      <c r="YW308" s="302"/>
      <c r="YX308" s="302"/>
      <c r="YY308" s="302"/>
      <c r="YZ308" s="302"/>
      <c r="ZA308" s="302"/>
      <c r="ZB308" s="302"/>
      <c r="ZC308" s="302"/>
      <c r="ZD308" s="302"/>
      <c r="ZE308" s="302"/>
      <c r="ZF308" s="302"/>
      <c r="ZG308" s="302"/>
      <c r="ZH308" s="302"/>
      <c r="ZI308" s="302"/>
      <c r="ZJ308" s="302"/>
      <c r="ZK308" s="302"/>
      <c r="ZL308" s="302"/>
      <c r="ZM308" s="302"/>
      <c r="ZN308" s="302"/>
      <c r="ZO308" s="302"/>
      <c r="ZP308" s="302"/>
      <c r="ZQ308" s="302"/>
      <c r="ZR308" s="302"/>
      <c r="ZS308" s="302"/>
      <c r="ZT308" s="302"/>
      <c r="ZU308" s="302"/>
      <c r="ZV308" s="302"/>
      <c r="ZW308" s="302"/>
      <c r="ZX308" s="302"/>
      <c r="ZY308" s="302"/>
      <c r="ZZ308" s="302"/>
      <c r="AAA308" s="302"/>
      <c r="AAB308" s="302"/>
      <c r="AAC308" s="302"/>
      <c r="AAD308" s="302"/>
      <c r="AAE308" s="302"/>
      <c r="AAF308" s="302"/>
      <c r="AAG308" s="302"/>
      <c r="AAH308" s="302"/>
      <c r="AAI308" s="302"/>
      <c r="AAJ308" s="302"/>
      <c r="AAK308" s="302"/>
      <c r="AAL308" s="302"/>
      <c r="AAM308" s="302"/>
      <c r="AAN308" s="302"/>
      <c r="AAO308" s="302"/>
      <c r="AAP308" s="302"/>
      <c r="AAQ308" s="302"/>
      <c r="AAR308" s="302"/>
      <c r="AAS308" s="302"/>
      <c r="AAT308" s="302"/>
      <c r="AAU308" s="302"/>
      <c r="AAV308" s="302"/>
      <c r="AAW308" s="302"/>
      <c r="AAX308" s="302"/>
      <c r="AAY308" s="302"/>
      <c r="AAZ308" s="302"/>
      <c r="ABA308" s="302"/>
      <c r="ABB308" s="302"/>
      <c r="ABC308" s="302"/>
      <c r="ABD308" s="302"/>
      <c r="ABE308" s="302"/>
      <c r="ABF308" s="302"/>
      <c r="ABG308" s="302"/>
      <c r="ABH308" s="302"/>
      <c r="ABI308" s="302"/>
      <c r="ABJ308" s="302"/>
      <c r="ABK308" s="302"/>
      <c r="ABL308" s="302"/>
      <c r="ABM308" s="302"/>
      <c r="ABN308" s="302"/>
      <c r="ABO308" s="302"/>
      <c r="ABP308" s="302"/>
      <c r="ABQ308" s="302"/>
      <c r="ABR308" s="302"/>
      <c r="ABS308" s="302"/>
      <c r="ABT308" s="302"/>
      <c r="ABU308" s="302"/>
      <c r="ABV308" s="302"/>
      <c r="ABW308" s="302"/>
      <c r="ABX308" s="302"/>
      <c r="ABY308" s="302"/>
      <c r="ABZ308" s="302"/>
      <c r="ACA308" s="302"/>
      <c r="ACB308" s="302"/>
      <c r="ACC308" s="302"/>
      <c r="ACD308" s="302"/>
      <c r="ACE308" s="302"/>
      <c r="ACF308" s="302"/>
      <c r="ACG308" s="302"/>
      <c r="ACH308" s="302"/>
      <c r="ACI308" s="302"/>
      <c r="ACJ308" s="302"/>
      <c r="ACK308" s="302"/>
      <c r="ACL308" s="302"/>
      <c r="ACM308" s="302"/>
      <c r="ACN308" s="302"/>
      <c r="ACO308" s="302"/>
      <c r="ACP308" s="302"/>
      <c r="ACQ308" s="302"/>
      <c r="ACR308" s="302"/>
      <c r="ACS308" s="302"/>
      <c r="ACT308" s="302"/>
      <c r="ACU308" s="302"/>
      <c r="ACV308" s="302"/>
      <c r="ACW308" s="302"/>
      <c r="ACX308" s="302"/>
      <c r="ACY308" s="302"/>
      <c r="ACZ308" s="302"/>
      <c r="ADA308" s="302"/>
      <c r="ADB308" s="302"/>
      <c r="ADC308" s="302"/>
      <c r="ADD308" s="302"/>
      <c r="ADE308" s="302"/>
      <c r="ADF308" s="302"/>
      <c r="ADG308" s="302"/>
      <c r="ADH308" s="302"/>
      <c r="ADI308" s="302"/>
      <c r="ADJ308" s="302"/>
      <c r="ADK308" s="302"/>
      <c r="ADL308" s="302"/>
      <c r="ADM308" s="302"/>
      <c r="ADN308" s="302"/>
      <c r="ADO308" s="302"/>
      <c r="ADP308" s="302"/>
      <c r="ADQ308" s="302"/>
      <c r="ADR308" s="302"/>
      <c r="ADS308" s="302"/>
      <c r="ADT308" s="302"/>
      <c r="ADU308" s="302"/>
      <c r="ADV308" s="302"/>
      <c r="ADW308" s="302"/>
      <c r="ADX308" s="302"/>
      <c r="ADY308" s="302"/>
      <c r="ADZ308" s="302"/>
      <c r="AEA308" s="302"/>
      <c r="AEB308" s="302"/>
      <c r="AEC308" s="302"/>
      <c r="AED308" s="302"/>
      <c r="AEE308" s="302"/>
      <c r="AEF308" s="302"/>
      <c r="AEG308" s="302"/>
      <c r="AEH308" s="302"/>
      <c r="AEI308" s="302"/>
      <c r="AEJ308" s="302"/>
      <c r="AEK308" s="302"/>
      <c r="AEL308" s="302"/>
      <c r="AEM308" s="302"/>
      <c r="AEN308" s="302"/>
      <c r="AEO308" s="302"/>
      <c r="AEP308" s="302"/>
      <c r="AEQ308" s="302"/>
      <c r="AER308" s="302"/>
      <c r="AES308" s="302"/>
      <c r="AET308" s="302"/>
      <c r="AEU308" s="302"/>
      <c r="AEV308" s="302"/>
      <c r="AEW308" s="302"/>
      <c r="AEX308" s="302"/>
      <c r="AEY308" s="302"/>
      <c r="AEZ308" s="302"/>
      <c r="AFA308" s="302"/>
      <c r="AFB308" s="302"/>
      <c r="AFC308" s="302"/>
      <c r="AFD308" s="302"/>
      <c r="AFE308" s="302"/>
      <c r="AFF308" s="302"/>
      <c r="AFG308" s="302"/>
      <c r="AFH308" s="302"/>
      <c r="AFI308" s="302"/>
      <c r="AFJ308" s="302"/>
      <c r="AFK308" s="302"/>
      <c r="AFL308" s="302"/>
      <c r="AFM308" s="302"/>
      <c r="AFN308" s="302"/>
      <c r="AFO308" s="302"/>
      <c r="AFP308" s="302"/>
      <c r="AFQ308" s="302"/>
      <c r="AFR308" s="302"/>
      <c r="AFS308" s="302"/>
      <c r="AFT308" s="302"/>
      <c r="AFU308" s="302"/>
      <c r="AFV308" s="302"/>
      <c r="AFW308" s="302"/>
      <c r="AFX308" s="302"/>
      <c r="AFY308" s="302"/>
      <c r="AFZ308" s="302"/>
      <c r="AGA308" s="302"/>
      <c r="AGB308" s="302"/>
      <c r="AGC308" s="302"/>
      <c r="AGD308" s="302"/>
      <c r="AGE308" s="302"/>
      <c r="AGF308" s="302"/>
      <c r="AGG308" s="302"/>
      <c r="AGH308" s="302"/>
      <c r="AGI308" s="302"/>
      <c r="AGJ308" s="302"/>
      <c r="AGK308" s="302"/>
      <c r="AGL308" s="302"/>
      <c r="AGM308" s="302"/>
      <c r="AGN308" s="302"/>
      <c r="AGO308" s="302"/>
      <c r="AGP308" s="302"/>
      <c r="AGQ308" s="302"/>
      <c r="AGR308" s="302"/>
      <c r="AGS308" s="302"/>
      <c r="AGT308" s="302"/>
      <c r="AGU308" s="302"/>
      <c r="AGV308" s="302"/>
      <c r="AGW308" s="302"/>
      <c r="AGX308" s="302"/>
      <c r="AGY308" s="302"/>
      <c r="AGZ308" s="302"/>
      <c r="AHA308" s="302"/>
      <c r="AHB308" s="302"/>
      <c r="AHC308" s="302"/>
      <c r="AHD308" s="302"/>
      <c r="AHE308" s="302"/>
      <c r="AHF308" s="302"/>
      <c r="AHG308" s="302"/>
      <c r="AHH308" s="302"/>
      <c r="AHI308" s="302"/>
      <c r="AHJ308" s="302"/>
      <c r="AHK308" s="302"/>
      <c r="AHL308" s="302"/>
      <c r="AHM308" s="302"/>
      <c r="AHN308" s="302"/>
      <c r="AHO308" s="302"/>
      <c r="AHP308" s="302"/>
      <c r="AHQ308" s="302"/>
      <c r="AHR308" s="302"/>
      <c r="AHS308" s="302"/>
      <c r="AHT308" s="302"/>
      <c r="AHU308" s="302"/>
      <c r="AHV308" s="302"/>
      <c r="AHW308" s="302"/>
      <c r="AHX308" s="302"/>
      <c r="AHY308" s="302"/>
      <c r="AHZ308" s="302"/>
      <c r="AIA308" s="302"/>
      <c r="AIB308" s="302"/>
      <c r="AIC308" s="302"/>
      <c r="AID308" s="302"/>
      <c r="AIE308" s="302"/>
      <c r="AIF308" s="302"/>
      <c r="AIG308" s="302"/>
      <c r="AIH308" s="302"/>
      <c r="AII308" s="302"/>
      <c r="AIJ308" s="302"/>
      <c r="AIK308" s="302"/>
      <c r="AIL308" s="302"/>
      <c r="AIM308" s="302"/>
      <c r="AIN308" s="302"/>
      <c r="AIO308" s="302"/>
      <c r="AIP308" s="302"/>
      <c r="AIQ308" s="302"/>
      <c r="AIR308" s="302"/>
      <c r="AIS308" s="302"/>
      <c r="AIT308" s="302"/>
      <c r="AIU308" s="302"/>
      <c r="AIV308" s="302"/>
      <c r="AIW308" s="302"/>
      <c r="AIX308" s="302"/>
      <c r="AIY308" s="302"/>
      <c r="AIZ308" s="302"/>
      <c r="AJA308" s="302"/>
      <c r="AJB308" s="302"/>
      <c r="AJC308" s="302"/>
      <c r="AJD308" s="302"/>
      <c r="AJE308" s="302"/>
      <c r="AJF308" s="302"/>
      <c r="AJG308" s="302"/>
      <c r="AJH308" s="302"/>
      <c r="AJI308" s="302"/>
      <c r="AJJ308" s="302"/>
      <c r="AJK308" s="302"/>
      <c r="AJL308" s="302"/>
      <c r="AJM308" s="302"/>
      <c r="AJN308" s="302"/>
      <c r="AJO308" s="302"/>
      <c r="AJP308" s="302"/>
      <c r="AJQ308" s="302"/>
      <c r="AJR308" s="302"/>
      <c r="AJS308" s="302"/>
      <c r="AJT308" s="302"/>
      <c r="AJU308" s="302"/>
      <c r="AJV308" s="302"/>
      <c r="AJW308" s="302"/>
      <c r="AJX308" s="302"/>
      <c r="AJY308" s="302"/>
      <c r="AJZ308" s="302"/>
      <c r="AKA308" s="302"/>
      <c r="AKB308" s="302"/>
      <c r="AKC308" s="302"/>
      <c r="AKD308" s="302"/>
      <c r="AKE308" s="302"/>
      <c r="AKF308" s="302"/>
      <c r="AKG308" s="302"/>
      <c r="AKH308" s="302"/>
      <c r="AKI308" s="302"/>
      <c r="AKJ308" s="302"/>
      <c r="AKK308" s="302"/>
      <c r="AKL308" s="302"/>
      <c r="AKM308" s="302"/>
      <c r="AKN308" s="302"/>
      <c r="AKO308" s="302"/>
      <c r="AKP308" s="302"/>
      <c r="AKQ308" s="302"/>
      <c r="AKR308" s="302"/>
      <c r="AKS308" s="302"/>
      <c r="AKT308" s="302"/>
      <c r="AKU308" s="302"/>
      <c r="AKV308" s="302"/>
      <c r="AKW308" s="302"/>
      <c r="AKX308" s="302"/>
      <c r="AKY308" s="302"/>
      <c r="AKZ308" s="302"/>
      <c r="ALA308" s="302"/>
      <c r="ALB308" s="302"/>
      <c r="ALC308" s="302"/>
      <c r="ALD308" s="302"/>
      <c r="ALE308" s="302"/>
      <c r="ALF308" s="302"/>
      <c r="ALG308" s="302"/>
      <c r="ALH308" s="302"/>
      <c r="ALI308" s="302"/>
      <c r="ALJ308" s="302"/>
      <c r="ALK308" s="302"/>
      <c r="ALL308" s="302"/>
      <c r="ALM308" s="302"/>
      <c r="ALN308" s="302"/>
      <c r="ALO308" s="302"/>
      <c r="ALP308" s="302"/>
      <c r="ALQ308" s="302"/>
      <c r="ALR308" s="302"/>
      <c r="ALS308" s="302"/>
      <c r="ALT308" s="302"/>
      <c r="ALU308" s="302"/>
      <c r="ALV308" s="302"/>
      <c r="ALW308" s="302"/>
      <c r="ALX308" s="302"/>
      <c r="ALY308" s="302"/>
      <c r="ALZ308" s="302"/>
      <c r="AMA308" s="302"/>
      <c r="AMB308" s="302"/>
      <c r="AMC308" s="302"/>
      <c r="AMD308" s="302"/>
      <c r="AME308" s="302"/>
      <c r="AMF308" s="302"/>
      <c r="AMG308" s="302"/>
      <c r="AMH308" s="302"/>
      <c r="AMI308" s="302"/>
    </row>
    <row r="309" spans="1:1023" hidden="1">
      <c r="A309" s="302"/>
      <c r="B309" s="442">
        <v>14297</v>
      </c>
      <c r="C309" s="430">
        <v>0.08</v>
      </c>
      <c r="D309" s="370" t="s">
        <v>192</v>
      </c>
      <c r="E309" s="433">
        <v>2500000</v>
      </c>
      <c r="F309" s="500">
        <v>0.02</v>
      </c>
      <c r="G309" s="364">
        <f t="shared" si="17"/>
        <v>50000</v>
      </c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2"/>
      <c r="AE309" s="302"/>
      <c r="AF309" s="302"/>
      <c r="AG309" s="302"/>
      <c r="AH309" s="302"/>
      <c r="AI309" s="302"/>
      <c r="AJ309" s="302"/>
      <c r="AK309" s="302"/>
      <c r="AL309" s="302"/>
      <c r="AM309" s="302"/>
      <c r="AN309" s="302"/>
      <c r="AO309" s="302"/>
      <c r="AP309" s="302"/>
      <c r="AQ309" s="302"/>
      <c r="AR309" s="302"/>
      <c r="AS309" s="302"/>
      <c r="AT309" s="302"/>
      <c r="AU309" s="302"/>
      <c r="AV309" s="302"/>
      <c r="AW309" s="302"/>
      <c r="AX309" s="302"/>
      <c r="AY309" s="302"/>
      <c r="AZ309" s="302"/>
      <c r="BA309" s="302"/>
      <c r="BB309" s="302"/>
      <c r="BC309" s="302"/>
      <c r="BD309" s="302"/>
      <c r="BE309" s="302"/>
      <c r="BF309" s="302"/>
      <c r="BG309" s="302"/>
      <c r="BH309" s="302"/>
      <c r="BI309" s="302"/>
      <c r="BJ309" s="302"/>
      <c r="BK309" s="302"/>
      <c r="BL309" s="302"/>
      <c r="BM309" s="302"/>
      <c r="BN309" s="302"/>
      <c r="BO309" s="302"/>
      <c r="BP309" s="302"/>
      <c r="BQ309" s="302"/>
      <c r="BR309" s="302"/>
      <c r="BS309" s="302"/>
      <c r="BT309" s="302"/>
      <c r="BU309" s="302"/>
      <c r="BV309" s="302"/>
      <c r="BW309" s="302"/>
      <c r="BX309" s="302"/>
      <c r="BY309" s="302"/>
      <c r="BZ309" s="302"/>
      <c r="CA309" s="302"/>
      <c r="CB309" s="302"/>
      <c r="CC309" s="302"/>
      <c r="CD309" s="302"/>
      <c r="CE309" s="302"/>
      <c r="CF309" s="302"/>
      <c r="CG309" s="302"/>
      <c r="CH309" s="302"/>
      <c r="CI309" s="302"/>
      <c r="CJ309" s="302"/>
      <c r="CK309" s="302"/>
      <c r="CL309" s="302"/>
      <c r="CM309" s="302"/>
      <c r="CN309" s="302"/>
      <c r="CO309" s="302"/>
      <c r="CP309" s="302"/>
      <c r="CQ309" s="302"/>
      <c r="CR309" s="302"/>
      <c r="CS309" s="302"/>
      <c r="CT309" s="302"/>
      <c r="CU309" s="302"/>
      <c r="CV309" s="302"/>
      <c r="CW309" s="302"/>
      <c r="CX309" s="302"/>
      <c r="CY309" s="302"/>
      <c r="CZ309" s="302"/>
      <c r="DA309" s="302"/>
      <c r="DB309" s="302"/>
      <c r="DC309" s="302"/>
      <c r="DD309" s="302"/>
      <c r="DE309" s="302"/>
      <c r="DF309" s="302"/>
      <c r="DG309" s="302"/>
      <c r="DH309" s="302"/>
      <c r="DI309" s="302"/>
      <c r="DJ309" s="302"/>
      <c r="DK309" s="302"/>
      <c r="DL309" s="302"/>
      <c r="DM309" s="302"/>
      <c r="DN309" s="302"/>
      <c r="DO309" s="302"/>
      <c r="DP309" s="302"/>
      <c r="DQ309" s="302"/>
      <c r="DR309" s="302"/>
      <c r="DS309" s="302"/>
      <c r="DT309" s="302"/>
      <c r="DU309" s="302"/>
      <c r="DV309" s="302"/>
      <c r="DW309" s="302"/>
      <c r="DX309" s="302"/>
      <c r="DY309" s="302"/>
      <c r="DZ309" s="302"/>
      <c r="EA309" s="302"/>
      <c r="EB309" s="302"/>
      <c r="EC309" s="302"/>
      <c r="ED309" s="302"/>
      <c r="EE309" s="302"/>
      <c r="EF309" s="302"/>
      <c r="EG309" s="302"/>
      <c r="EH309" s="302"/>
      <c r="EI309" s="302"/>
      <c r="EJ309" s="302"/>
      <c r="EK309" s="302"/>
      <c r="EL309" s="302"/>
      <c r="EM309" s="302"/>
      <c r="EN309" s="302"/>
      <c r="EO309" s="302"/>
      <c r="EP309" s="302"/>
      <c r="EQ309" s="302"/>
      <c r="ER309" s="302"/>
      <c r="ES309" s="302"/>
      <c r="ET309" s="302"/>
      <c r="EU309" s="302"/>
      <c r="EV309" s="302"/>
      <c r="EW309" s="302"/>
      <c r="EX309" s="302"/>
      <c r="EY309" s="302"/>
      <c r="EZ309" s="302"/>
      <c r="FA309" s="302"/>
      <c r="FB309" s="302"/>
      <c r="FC309" s="302"/>
      <c r="FD309" s="302"/>
      <c r="FE309" s="302"/>
      <c r="FF309" s="302"/>
      <c r="FG309" s="302"/>
      <c r="FH309" s="302"/>
      <c r="FI309" s="302"/>
      <c r="FJ309" s="302"/>
      <c r="FK309" s="302"/>
      <c r="FL309" s="302"/>
      <c r="FM309" s="302"/>
      <c r="FN309" s="302"/>
      <c r="FO309" s="302"/>
      <c r="FP309" s="302"/>
      <c r="FQ309" s="302"/>
      <c r="FR309" s="302"/>
      <c r="FS309" s="302"/>
      <c r="FT309" s="302"/>
      <c r="FU309" s="302"/>
      <c r="FV309" s="302"/>
      <c r="FW309" s="302"/>
      <c r="FX309" s="302"/>
      <c r="FY309" s="302"/>
      <c r="FZ309" s="302"/>
      <c r="GA309" s="302"/>
      <c r="GB309" s="302"/>
      <c r="GC309" s="302"/>
      <c r="GD309" s="302"/>
      <c r="GE309" s="302"/>
      <c r="GF309" s="302"/>
      <c r="GG309" s="302"/>
      <c r="GH309" s="302"/>
      <c r="GI309" s="302"/>
      <c r="GJ309" s="302"/>
      <c r="GK309" s="302"/>
      <c r="GL309" s="302"/>
      <c r="GM309" s="302"/>
      <c r="GN309" s="302"/>
      <c r="GO309" s="302"/>
      <c r="GP309" s="302"/>
      <c r="GQ309" s="302"/>
      <c r="GR309" s="302"/>
      <c r="GS309" s="302"/>
      <c r="GT309" s="302"/>
      <c r="GU309" s="302"/>
      <c r="GV309" s="302"/>
      <c r="GW309" s="302"/>
      <c r="GX309" s="302"/>
      <c r="GY309" s="302"/>
      <c r="GZ309" s="302"/>
      <c r="HA309" s="302"/>
      <c r="HB309" s="302"/>
      <c r="HC309" s="302"/>
      <c r="HD309" s="302"/>
      <c r="HE309" s="302"/>
      <c r="HF309" s="302"/>
      <c r="HG309" s="302"/>
      <c r="HH309" s="302"/>
      <c r="HI309" s="302"/>
      <c r="HJ309" s="302"/>
      <c r="HK309" s="302"/>
      <c r="HL309" s="302"/>
      <c r="HM309" s="302"/>
      <c r="HN309" s="302"/>
      <c r="HO309" s="302"/>
      <c r="HP309" s="302"/>
      <c r="HQ309" s="302"/>
      <c r="HR309" s="302"/>
      <c r="HS309" s="302"/>
      <c r="HT309" s="302"/>
      <c r="HU309" s="302"/>
      <c r="HV309" s="302"/>
      <c r="HW309" s="302"/>
      <c r="HX309" s="302"/>
      <c r="HY309" s="302"/>
      <c r="HZ309" s="302"/>
      <c r="IA309" s="302"/>
      <c r="IB309" s="302"/>
      <c r="IC309" s="302"/>
      <c r="ID309" s="302"/>
      <c r="IE309" s="302"/>
      <c r="IF309" s="302"/>
      <c r="IG309" s="302"/>
      <c r="IH309" s="302"/>
      <c r="II309" s="302"/>
      <c r="IJ309" s="302"/>
      <c r="IK309" s="302"/>
      <c r="IL309" s="302"/>
      <c r="IM309" s="302"/>
      <c r="IN309" s="302"/>
      <c r="IO309" s="302"/>
      <c r="IP309" s="302"/>
      <c r="IQ309" s="302"/>
      <c r="IR309" s="302"/>
      <c r="IS309" s="302"/>
      <c r="IT309" s="302"/>
      <c r="IU309" s="302"/>
      <c r="IV309" s="302"/>
      <c r="IW309" s="302"/>
      <c r="IX309" s="302"/>
      <c r="IY309" s="302"/>
      <c r="IZ309" s="302"/>
      <c r="JA309" s="302"/>
      <c r="JB309" s="302"/>
      <c r="JC309" s="302"/>
      <c r="JD309" s="302"/>
      <c r="JE309" s="302"/>
      <c r="JF309" s="302"/>
      <c r="JG309" s="302"/>
      <c r="JH309" s="302"/>
      <c r="JI309" s="302"/>
      <c r="JJ309" s="302"/>
      <c r="JK309" s="302"/>
      <c r="JL309" s="302"/>
      <c r="JM309" s="302"/>
      <c r="JN309" s="302"/>
      <c r="JO309" s="302"/>
      <c r="JP309" s="302"/>
      <c r="JQ309" s="302"/>
      <c r="JR309" s="302"/>
      <c r="JS309" s="302"/>
      <c r="JT309" s="302"/>
      <c r="JU309" s="302"/>
      <c r="JV309" s="302"/>
      <c r="JW309" s="302"/>
      <c r="JX309" s="302"/>
      <c r="JY309" s="302"/>
      <c r="JZ309" s="302"/>
      <c r="KA309" s="302"/>
      <c r="KB309" s="302"/>
      <c r="KC309" s="302"/>
      <c r="KD309" s="302"/>
      <c r="KE309" s="302"/>
      <c r="KF309" s="302"/>
      <c r="KG309" s="302"/>
      <c r="KH309" s="302"/>
      <c r="KI309" s="302"/>
      <c r="KJ309" s="302"/>
      <c r="KK309" s="302"/>
      <c r="KL309" s="302"/>
      <c r="KM309" s="302"/>
      <c r="KN309" s="302"/>
      <c r="KO309" s="302"/>
      <c r="KP309" s="302"/>
      <c r="KQ309" s="302"/>
      <c r="KR309" s="302"/>
      <c r="KS309" s="302"/>
      <c r="KT309" s="302"/>
      <c r="KU309" s="302"/>
      <c r="KV309" s="302"/>
      <c r="KW309" s="302"/>
      <c r="KX309" s="302"/>
      <c r="KY309" s="302"/>
      <c r="KZ309" s="302"/>
      <c r="LA309" s="302"/>
      <c r="LB309" s="302"/>
      <c r="LC309" s="302"/>
      <c r="LD309" s="302"/>
      <c r="LE309" s="302"/>
      <c r="LF309" s="302"/>
      <c r="LG309" s="302"/>
      <c r="LH309" s="302"/>
      <c r="LI309" s="302"/>
      <c r="LJ309" s="302"/>
      <c r="LK309" s="302"/>
      <c r="LL309" s="302"/>
      <c r="LM309" s="302"/>
      <c r="LN309" s="302"/>
      <c r="LO309" s="302"/>
      <c r="LP309" s="302"/>
      <c r="LQ309" s="302"/>
      <c r="LR309" s="302"/>
      <c r="LS309" s="302"/>
      <c r="LT309" s="302"/>
      <c r="LU309" s="302"/>
      <c r="LV309" s="302"/>
      <c r="LW309" s="302"/>
      <c r="LX309" s="302"/>
      <c r="LY309" s="302"/>
      <c r="LZ309" s="302"/>
      <c r="MA309" s="302"/>
      <c r="MB309" s="302"/>
      <c r="MC309" s="302"/>
      <c r="MD309" s="302"/>
      <c r="ME309" s="302"/>
      <c r="MF309" s="302"/>
      <c r="MG309" s="302"/>
      <c r="MH309" s="302"/>
      <c r="MI309" s="302"/>
      <c r="MJ309" s="302"/>
      <c r="MK309" s="302"/>
      <c r="ML309" s="302"/>
      <c r="MM309" s="302"/>
      <c r="MN309" s="302"/>
      <c r="MO309" s="302"/>
      <c r="MP309" s="302"/>
      <c r="MQ309" s="302"/>
      <c r="MR309" s="302"/>
      <c r="MS309" s="302"/>
      <c r="MT309" s="302"/>
      <c r="MU309" s="302"/>
      <c r="MV309" s="302"/>
      <c r="MW309" s="302"/>
      <c r="MX309" s="302"/>
      <c r="MY309" s="302"/>
      <c r="MZ309" s="302"/>
      <c r="NA309" s="302"/>
      <c r="NB309" s="302"/>
      <c r="NC309" s="302"/>
      <c r="ND309" s="302"/>
      <c r="NE309" s="302"/>
      <c r="NF309" s="302"/>
      <c r="NG309" s="302"/>
      <c r="NH309" s="302"/>
      <c r="NI309" s="302"/>
      <c r="NJ309" s="302"/>
      <c r="NK309" s="302"/>
      <c r="NL309" s="302"/>
      <c r="NM309" s="302"/>
      <c r="NN309" s="302"/>
      <c r="NO309" s="302"/>
      <c r="NP309" s="302"/>
      <c r="NQ309" s="302"/>
      <c r="NR309" s="302"/>
      <c r="NS309" s="302"/>
      <c r="NT309" s="302"/>
      <c r="NU309" s="302"/>
      <c r="NV309" s="302"/>
      <c r="NW309" s="302"/>
      <c r="NX309" s="302"/>
      <c r="NY309" s="302"/>
      <c r="NZ309" s="302"/>
      <c r="OA309" s="302"/>
      <c r="OB309" s="302"/>
      <c r="OC309" s="302"/>
      <c r="OD309" s="302"/>
      <c r="OE309" s="302"/>
      <c r="OF309" s="302"/>
      <c r="OG309" s="302"/>
      <c r="OH309" s="302"/>
      <c r="OI309" s="302"/>
      <c r="OJ309" s="302"/>
      <c r="OK309" s="302"/>
      <c r="OL309" s="302"/>
      <c r="OM309" s="302"/>
      <c r="ON309" s="302"/>
      <c r="OO309" s="302"/>
      <c r="OP309" s="302"/>
      <c r="OQ309" s="302"/>
      <c r="OR309" s="302"/>
      <c r="OS309" s="302"/>
      <c r="OT309" s="302"/>
      <c r="OU309" s="302"/>
      <c r="OV309" s="302"/>
      <c r="OW309" s="302"/>
      <c r="OX309" s="302"/>
      <c r="OY309" s="302"/>
      <c r="OZ309" s="302"/>
      <c r="PA309" s="302"/>
      <c r="PB309" s="302"/>
      <c r="PC309" s="302"/>
      <c r="PD309" s="302"/>
      <c r="PE309" s="302"/>
      <c r="PF309" s="302"/>
      <c r="PG309" s="302"/>
      <c r="PH309" s="302"/>
      <c r="PI309" s="302"/>
      <c r="PJ309" s="302"/>
      <c r="PK309" s="302"/>
      <c r="PL309" s="302"/>
      <c r="PM309" s="302"/>
      <c r="PN309" s="302"/>
      <c r="PO309" s="302"/>
      <c r="PP309" s="302"/>
      <c r="PQ309" s="302"/>
      <c r="PR309" s="302"/>
      <c r="PS309" s="302"/>
      <c r="PT309" s="302"/>
      <c r="PU309" s="302"/>
      <c r="PV309" s="302"/>
      <c r="PW309" s="302"/>
      <c r="PX309" s="302"/>
      <c r="PY309" s="302"/>
      <c r="PZ309" s="302"/>
      <c r="QA309" s="302"/>
      <c r="QB309" s="302"/>
      <c r="QC309" s="302"/>
      <c r="QD309" s="302"/>
      <c r="QE309" s="302"/>
      <c r="QF309" s="302"/>
      <c r="QG309" s="302"/>
      <c r="QH309" s="302"/>
      <c r="QI309" s="302"/>
      <c r="QJ309" s="302"/>
      <c r="QK309" s="302"/>
      <c r="QL309" s="302"/>
      <c r="QM309" s="302"/>
      <c r="QN309" s="302"/>
      <c r="QO309" s="302"/>
      <c r="QP309" s="302"/>
      <c r="QQ309" s="302"/>
      <c r="QR309" s="302"/>
      <c r="QS309" s="302"/>
      <c r="QT309" s="302"/>
      <c r="QU309" s="302"/>
      <c r="QV309" s="302"/>
      <c r="QW309" s="302"/>
      <c r="QX309" s="302"/>
      <c r="QY309" s="302"/>
      <c r="QZ309" s="302"/>
      <c r="RA309" s="302"/>
      <c r="RB309" s="302"/>
      <c r="RC309" s="302"/>
      <c r="RD309" s="302"/>
      <c r="RE309" s="302"/>
      <c r="RF309" s="302"/>
      <c r="RG309" s="302"/>
      <c r="RH309" s="302"/>
      <c r="RI309" s="302"/>
      <c r="RJ309" s="302"/>
      <c r="RK309" s="302"/>
      <c r="RL309" s="302"/>
      <c r="RM309" s="302"/>
      <c r="RN309" s="302"/>
      <c r="RO309" s="302"/>
      <c r="RP309" s="302"/>
      <c r="RQ309" s="302"/>
      <c r="RR309" s="302"/>
      <c r="RS309" s="302"/>
      <c r="RT309" s="302"/>
      <c r="RU309" s="302"/>
      <c r="RV309" s="302"/>
      <c r="RW309" s="302"/>
      <c r="RX309" s="302"/>
      <c r="RY309" s="302"/>
      <c r="RZ309" s="302"/>
      <c r="SA309" s="302"/>
      <c r="SB309" s="302"/>
      <c r="SC309" s="302"/>
      <c r="SD309" s="302"/>
      <c r="SE309" s="302"/>
      <c r="SF309" s="302"/>
      <c r="SG309" s="302"/>
      <c r="SH309" s="302"/>
      <c r="SI309" s="302"/>
      <c r="SJ309" s="302"/>
      <c r="SK309" s="302"/>
      <c r="SL309" s="302"/>
      <c r="SM309" s="302"/>
      <c r="SN309" s="302"/>
      <c r="SO309" s="302"/>
      <c r="SP309" s="302"/>
      <c r="SQ309" s="302"/>
      <c r="SR309" s="302"/>
      <c r="SS309" s="302"/>
      <c r="ST309" s="302"/>
      <c r="SU309" s="302"/>
      <c r="SV309" s="302"/>
      <c r="SW309" s="302"/>
      <c r="SX309" s="302"/>
      <c r="SY309" s="302"/>
      <c r="SZ309" s="302"/>
      <c r="TA309" s="302"/>
      <c r="TB309" s="302"/>
      <c r="TC309" s="302"/>
      <c r="TD309" s="302"/>
      <c r="TE309" s="302"/>
      <c r="TF309" s="302"/>
      <c r="TG309" s="302"/>
      <c r="TH309" s="302"/>
      <c r="TI309" s="302"/>
      <c r="TJ309" s="302"/>
      <c r="TK309" s="302"/>
      <c r="TL309" s="302"/>
      <c r="TM309" s="302"/>
      <c r="TN309" s="302"/>
      <c r="TO309" s="302"/>
      <c r="TP309" s="302"/>
      <c r="TQ309" s="302"/>
      <c r="TR309" s="302"/>
      <c r="TS309" s="302"/>
      <c r="TT309" s="302"/>
      <c r="TU309" s="302"/>
      <c r="TV309" s="302"/>
      <c r="TW309" s="302"/>
      <c r="TX309" s="302"/>
      <c r="TY309" s="302"/>
      <c r="TZ309" s="302"/>
      <c r="UA309" s="302"/>
      <c r="UB309" s="302"/>
      <c r="UC309" s="302"/>
      <c r="UD309" s="302"/>
      <c r="UE309" s="302"/>
      <c r="UF309" s="302"/>
      <c r="UG309" s="302"/>
      <c r="UH309" s="302"/>
      <c r="UI309" s="302"/>
      <c r="UJ309" s="302"/>
      <c r="UK309" s="302"/>
      <c r="UL309" s="302"/>
      <c r="UM309" s="302"/>
      <c r="UN309" s="302"/>
      <c r="UO309" s="302"/>
      <c r="UP309" s="302"/>
      <c r="UQ309" s="302"/>
      <c r="UR309" s="302"/>
      <c r="US309" s="302"/>
      <c r="UT309" s="302"/>
      <c r="UU309" s="302"/>
      <c r="UV309" s="302"/>
      <c r="UW309" s="302"/>
      <c r="UX309" s="302"/>
      <c r="UY309" s="302"/>
      <c r="UZ309" s="302"/>
      <c r="VA309" s="302"/>
      <c r="VB309" s="302"/>
      <c r="VC309" s="302"/>
      <c r="VD309" s="302"/>
      <c r="VE309" s="302"/>
      <c r="VF309" s="302"/>
      <c r="VG309" s="302"/>
      <c r="VH309" s="302"/>
      <c r="VI309" s="302"/>
      <c r="VJ309" s="302"/>
      <c r="VK309" s="302"/>
      <c r="VL309" s="302"/>
      <c r="VM309" s="302"/>
      <c r="VN309" s="302"/>
      <c r="VO309" s="302"/>
      <c r="VP309" s="302"/>
      <c r="VQ309" s="302"/>
      <c r="VR309" s="302"/>
      <c r="VS309" s="302"/>
      <c r="VT309" s="302"/>
      <c r="VU309" s="302"/>
      <c r="VV309" s="302"/>
      <c r="VW309" s="302"/>
      <c r="VX309" s="302"/>
      <c r="VY309" s="302"/>
      <c r="VZ309" s="302"/>
      <c r="WA309" s="302"/>
      <c r="WB309" s="302"/>
      <c r="WC309" s="302"/>
      <c r="WD309" s="302"/>
      <c r="WE309" s="302"/>
      <c r="WF309" s="302"/>
      <c r="WG309" s="302"/>
      <c r="WH309" s="302"/>
      <c r="WI309" s="302"/>
      <c r="WJ309" s="302"/>
      <c r="WK309" s="302"/>
      <c r="WL309" s="302"/>
      <c r="WM309" s="302"/>
      <c r="WN309" s="302"/>
      <c r="WO309" s="302"/>
      <c r="WP309" s="302"/>
      <c r="WQ309" s="302"/>
      <c r="WR309" s="302"/>
      <c r="WS309" s="302"/>
      <c r="WT309" s="302"/>
      <c r="WU309" s="302"/>
      <c r="WV309" s="302"/>
      <c r="WW309" s="302"/>
      <c r="WX309" s="302"/>
      <c r="WY309" s="302"/>
      <c r="WZ309" s="302"/>
      <c r="XA309" s="302"/>
      <c r="XB309" s="302"/>
      <c r="XC309" s="302"/>
      <c r="XD309" s="302"/>
      <c r="XE309" s="302"/>
      <c r="XF309" s="302"/>
      <c r="XG309" s="302"/>
      <c r="XH309" s="302"/>
      <c r="XI309" s="302"/>
      <c r="XJ309" s="302"/>
      <c r="XK309" s="302"/>
      <c r="XL309" s="302"/>
      <c r="XM309" s="302"/>
      <c r="XN309" s="302"/>
      <c r="XO309" s="302"/>
      <c r="XP309" s="302"/>
      <c r="XQ309" s="302"/>
      <c r="XR309" s="302"/>
      <c r="XS309" s="302"/>
      <c r="XT309" s="302"/>
      <c r="XU309" s="302"/>
      <c r="XV309" s="302"/>
      <c r="XW309" s="302"/>
      <c r="XX309" s="302"/>
      <c r="XY309" s="302"/>
      <c r="XZ309" s="302"/>
      <c r="YA309" s="302"/>
      <c r="YB309" s="302"/>
      <c r="YC309" s="302"/>
      <c r="YD309" s="302"/>
      <c r="YE309" s="302"/>
      <c r="YF309" s="302"/>
      <c r="YG309" s="302"/>
      <c r="YH309" s="302"/>
      <c r="YI309" s="302"/>
      <c r="YJ309" s="302"/>
      <c r="YK309" s="302"/>
      <c r="YL309" s="302"/>
      <c r="YM309" s="302"/>
      <c r="YN309" s="302"/>
      <c r="YO309" s="302"/>
      <c r="YP309" s="302"/>
      <c r="YQ309" s="302"/>
      <c r="YR309" s="302"/>
      <c r="YS309" s="302"/>
      <c r="YT309" s="302"/>
      <c r="YU309" s="302"/>
      <c r="YV309" s="302"/>
      <c r="YW309" s="302"/>
      <c r="YX309" s="302"/>
      <c r="YY309" s="302"/>
      <c r="YZ309" s="302"/>
      <c r="ZA309" s="302"/>
      <c r="ZB309" s="302"/>
      <c r="ZC309" s="302"/>
      <c r="ZD309" s="302"/>
      <c r="ZE309" s="302"/>
      <c r="ZF309" s="302"/>
      <c r="ZG309" s="302"/>
      <c r="ZH309" s="302"/>
      <c r="ZI309" s="302"/>
      <c r="ZJ309" s="302"/>
      <c r="ZK309" s="302"/>
      <c r="ZL309" s="302"/>
      <c r="ZM309" s="302"/>
      <c r="ZN309" s="302"/>
      <c r="ZO309" s="302"/>
      <c r="ZP309" s="302"/>
      <c r="ZQ309" s="302"/>
      <c r="ZR309" s="302"/>
      <c r="ZS309" s="302"/>
      <c r="ZT309" s="302"/>
      <c r="ZU309" s="302"/>
      <c r="ZV309" s="302"/>
      <c r="ZW309" s="302"/>
      <c r="ZX309" s="302"/>
      <c r="ZY309" s="302"/>
      <c r="ZZ309" s="302"/>
      <c r="AAA309" s="302"/>
      <c r="AAB309" s="302"/>
      <c r="AAC309" s="302"/>
      <c r="AAD309" s="302"/>
      <c r="AAE309" s="302"/>
      <c r="AAF309" s="302"/>
      <c r="AAG309" s="302"/>
      <c r="AAH309" s="302"/>
      <c r="AAI309" s="302"/>
      <c r="AAJ309" s="302"/>
      <c r="AAK309" s="302"/>
      <c r="AAL309" s="302"/>
      <c r="AAM309" s="302"/>
      <c r="AAN309" s="302"/>
      <c r="AAO309" s="302"/>
      <c r="AAP309" s="302"/>
      <c r="AAQ309" s="302"/>
      <c r="AAR309" s="302"/>
      <c r="AAS309" s="302"/>
      <c r="AAT309" s="302"/>
      <c r="AAU309" s="302"/>
      <c r="AAV309" s="302"/>
      <c r="AAW309" s="302"/>
      <c r="AAX309" s="302"/>
      <c r="AAY309" s="302"/>
      <c r="AAZ309" s="302"/>
      <c r="ABA309" s="302"/>
      <c r="ABB309" s="302"/>
      <c r="ABC309" s="302"/>
      <c r="ABD309" s="302"/>
      <c r="ABE309" s="302"/>
      <c r="ABF309" s="302"/>
      <c r="ABG309" s="302"/>
      <c r="ABH309" s="302"/>
      <c r="ABI309" s="302"/>
      <c r="ABJ309" s="302"/>
      <c r="ABK309" s="302"/>
      <c r="ABL309" s="302"/>
      <c r="ABM309" s="302"/>
      <c r="ABN309" s="302"/>
      <c r="ABO309" s="302"/>
      <c r="ABP309" s="302"/>
      <c r="ABQ309" s="302"/>
      <c r="ABR309" s="302"/>
      <c r="ABS309" s="302"/>
      <c r="ABT309" s="302"/>
      <c r="ABU309" s="302"/>
      <c r="ABV309" s="302"/>
      <c r="ABW309" s="302"/>
      <c r="ABX309" s="302"/>
      <c r="ABY309" s="302"/>
      <c r="ABZ309" s="302"/>
      <c r="ACA309" s="302"/>
      <c r="ACB309" s="302"/>
      <c r="ACC309" s="302"/>
      <c r="ACD309" s="302"/>
      <c r="ACE309" s="302"/>
      <c r="ACF309" s="302"/>
      <c r="ACG309" s="302"/>
      <c r="ACH309" s="302"/>
      <c r="ACI309" s="302"/>
      <c r="ACJ309" s="302"/>
      <c r="ACK309" s="302"/>
      <c r="ACL309" s="302"/>
      <c r="ACM309" s="302"/>
      <c r="ACN309" s="302"/>
      <c r="ACO309" s="302"/>
      <c r="ACP309" s="302"/>
      <c r="ACQ309" s="302"/>
      <c r="ACR309" s="302"/>
      <c r="ACS309" s="302"/>
      <c r="ACT309" s="302"/>
      <c r="ACU309" s="302"/>
      <c r="ACV309" s="302"/>
      <c r="ACW309" s="302"/>
      <c r="ACX309" s="302"/>
      <c r="ACY309" s="302"/>
      <c r="ACZ309" s="302"/>
      <c r="ADA309" s="302"/>
      <c r="ADB309" s="302"/>
      <c r="ADC309" s="302"/>
      <c r="ADD309" s="302"/>
      <c r="ADE309" s="302"/>
      <c r="ADF309" s="302"/>
      <c r="ADG309" s="302"/>
      <c r="ADH309" s="302"/>
      <c r="ADI309" s="302"/>
      <c r="ADJ309" s="302"/>
      <c r="ADK309" s="302"/>
      <c r="ADL309" s="302"/>
      <c r="ADM309" s="302"/>
      <c r="ADN309" s="302"/>
      <c r="ADO309" s="302"/>
      <c r="ADP309" s="302"/>
      <c r="ADQ309" s="302"/>
      <c r="ADR309" s="302"/>
      <c r="ADS309" s="302"/>
      <c r="ADT309" s="302"/>
      <c r="ADU309" s="302"/>
      <c r="ADV309" s="302"/>
      <c r="ADW309" s="302"/>
      <c r="ADX309" s="302"/>
      <c r="ADY309" s="302"/>
      <c r="ADZ309" s="302"/>
      <c r="AEA309" s="302"/>
      <c r="AEB309" s="302"/>
      <c r="AEC309" s="302"/>
      <c r="AED309" s="302"/>
      <c r="AEE309" s="302"/>
      <c r="AEF309" s="302"/>
      <c r="AEG309" s="302"/>
      <c r="AEH309" s="302"/>
      <c r="AEI309" s="302"/>
      <c r="AEJ309" s="302"/>
      <c r="AEK309" s="302"/>
      <c r="AEL309" s="302"/>
      <c r="AEM309" s="302"/>
      <c r="AEN309" s="302"/>
      <c r="AEO309" s="302"/>
      <c r="AEP309" s="302"/>
      <c r="AEQ309" s="302"/>
      <c r="AER309" s="302"/>
      <c r="AES309" s="302"/>
      <c r="AET309" s="302"/>
      <c r="AEU309" s="302"/>
      <c r="AEV309" s="302"/>
      <c r="AEW309" s="302"/>
      <c r="AEX309" s="302"/>
      <c r="AEY309" s="302"/>
      <c r="AEZ309" s="302"/>
      <c r="AFA309" s="302"/>
      <c r="AFB309" s="302"/>
      <c r="AFC309" s="302"/>
      <c r="AFD309" s="302"/>
      <c r="AFE309" s="302"/>
      <c r="AFF309" s="302"/>
      <c r="AFG309" s="302"/>
      <c r="AFH309" s="302"/>
      <c r="AFI309" s="302"/>
      <c r="AFJ309" s="302"/>
      <c r="AFK309" s="302"/>
      <c r="AFL309" s="302"/>
      <c r="AFM309" s="302"/>
      <c r="AFN309" s="302"/>
      <c r="AFO309" s="302"/>
      <c r="AFP309" s="302"/>
      <c r="AFQ309" s="302"/>
      <c r="AFR309" s="302"/>
      <c r="AFS309" s="302"/>
      <c r="AFT309" s="302"/>
      <c r="AFU309" s="302"/>
      <c r="AFV309" s="302"/>
      <c r="AFW309" s="302"/>
      <c r="AFX309" s="302"/>
      <c r="AFY309" s="302"/>
      <c r="AFZ309" s="302"/>
      <c r="AGA309" s="302"/>
      <c r="AGB309" s="302"/>
      <c r="AGC309" s="302"/>
      <c r="AGD309" s="302"/>
      <c r="AGE309" s="302"/>
      <c r="AGF309" s="302"/>
      <c r="AGG309" s="302"/>
      <c r="AGH309" s="302"/>
      <c r="AGI309" s="302"/>
      <c r="AGJ309" s="302"/>
      <c r="AGK309" s="302"/>
      <c r="AGL309" s="302"/>
      <c r="AGM309" s="302"/>
      <c r="AGN309" s="302"/>
      <c r="AGO309" s="302"/>
      <c r="AGP309" s="302"/>
      <c r="AGQ309" s="302"/>
      <c r="AGR309" s="302"/>
      <c r="AGS309" s="302"/>
      <c r="AGT309" s="302"/>
      <c r="AGU309" s="302"/>
      <c r="AGV309" s="302"/>
      <c r="AGW309" s="302"/>
      <c r="AGX309" s="302"/>
      <c r="AGY309" s="302"/>
      <c r="AGZ309" s="302"/>
      <c r="AHA309" s="302"/>
      <c r="AHB309" s="302"/>
      <c r="AHC309" s="302"/>
      <c r="AHD309" s="302"/>
      <c r="AHE309" s="302"/>
      <c r="AHF309" s="302"/>
      <c r="AHG309" s="302"/>
      <c r="AHH309" s="302"/>
      <c r="AHI309" s="302"/>
      <c r="AHJ309" s="302"/>
      <c r="AHK309" s="302"/>
      <c r="AHL309" s="302"/>
      <c r="AHM309" s="302"/>
      <c r="AHN309" s="302"/>
      <c r="AHO309" s="302"/>
      <c r="AHP309" s="302"/>
      <c r="AHQ309" s="302"/>
      <c r="AHR309" s="302"/>
      <c r="AHS309" s="302"/>
      <c r="AHT309" s="302"/>
      <c r="AHU309" s="302"/>
      <c r="AHV309" s="302"/>
      <c r="AHW309" s="302"/>
      <c r="AHX309" s="302"/>
      <c r="AHY309" s="302"/>
      <c r="AHZ309" s="302"/>
      <c r="AIA309" s="302"/>
      <c r="AIB309" s="302"/>
      <c r="AIC309" s="302"/>
      <c r="AID309" s="302"/>
      <c r="AIE309" s="302"/>
      <c r="AIF309" s="302"/>
      <c r="AIG309" s="302"/>
      <c r="AIH309" s="302"/>
      <c r="AII309" s="302"/>
      <c r="AIJ309" s="302"/>
      <c r="AIK309" s="302"/>
      <c r="AIL309" s="302"/>
      <c r="AIM309" s="302"/>
      <c r="AIN309" s="302"/>
      <c r="AIO309" s="302"/>
      <c r="AIP309" s="302"/>
      <c r="AIQ309" s="302"/>
      <c r="AIR309" s="302"/>
      <c r="AIS309" s="302"/>
      <c r="AIT309" s="302"/>
      <c r="AIU309" s="302"/>
      <c r="AIV309" s="302"/>
      <c r="AIW309" s="302"/>
      <c r="AIX309" s="302"/>
      <c r="AIY309" s="302"/>
      <c r="AIZ309" s="302"/>
      <c r="AJA309" s="302"/>
      <c r="AJB309" s="302"/>
      <c r="AJC309" s="302"/>
      <c r="AJD309" s="302"/>
      <c r="AJE309" s="302"/>
      <c r="AJF309" s="302"/>
      <c r="AJG309" s="302"/>
      <c r="AJH309" s="302"/>
      <c r="AJI309" s="302"/>
      <c r="AJJ309" s="302"/>
      <c r="AJK309" s="302"/>
      <c r="AJL309" s="302"/>
      <c r="AJM309" s="302"/>
      <c r="AJN309" s="302"/>
      <c r="AJO309" s="302"/>
      <c r="AJP309" s="302"/>
      <c r="AJQ309" s="302"/>
      <c r="AJR309" s="302"/>
      <c r="AJS309" s="302"/>
      <c r="AJT309" s="302"/>
      <c r="AJU309" s="302"/>
      <c r="AJV309" s="302"/>
      <c r="AJW309" s="302"/>
      <c r="AJX309" s="302"/>
      <c r="AJY309" s="302"/>
      <c r="AJZ309" s="302"/>
      <c r="AKA309" s="302"/>
      <c r="AKB309" s="302"/>
      <c r="AKC309" s="302"/>
      <c r="AKD309" s="302"/>
      <c r="AKE309" s="302"/>
      <c r="AKF309" s="302"/>
      <c r="AKG309" s="302"/>
      <c r="AKH309" s="302"/>
      <c r="AKI309" s="302"/>
      <c r="AKJ309" s="302"/>
      <c r="AKK309" s="302"/>
      <c r="AKL309" s="302"/>
      <c r="AKM309" s="302"/>
      <c r="AKN309" s="302"/>
      <c r="AKO309" s="302"/>
      <c r="AKP309" s="302"/>
      <c r="AKQ309" s="302"/>
      <c r="AKR309" s="302"/>
      <c r="AKS309" s="302"/>
      <c r="AKT309" s="302"/>
      <c r="AKU309" s="302"/>
      <c r="AKV309" s="302"/>
      <c r="AKW309" s="302"/>
      <c r="AKX309" s="302"/>
      <c r="AKY309" s="302"/>
      <c r="AKZ309" s="302"/>
      <c r="ALA309" s="302"/>
      <c r="ALB309" s="302"/>
      <c r="ALC309" s="302"/>
      <c r="ALD309" s="302"/>
      <c r="ALE309" s="302"/>
      <c r="ALF309" s="302"/>
      <c r="ALG309" s="302"/>
      <c r="ALH309" s="302"/>
      <c r="ALI309" s="302"/>
      <c r="ALJ309" s="302"/>
      <c r="ALK309" s="302"/>
      <c r="ALL309" s="302"/>
      <c r="ALM309" s="302"/>
      <c r="ALN309" s="302"/>
      <c r="ALO309" s="302"/>
      <c r="ALP309" s="302"/>
      <c r="ALQ309" s="302"/>
      <c r="ALR309" s="302"/>
      <c r="ALS309" s="302"/>
      <c r="ALT309" s="302"/>
      <c r="ALU309" s="302"/>
      <c r="ALV309" s="302"/>
      <c r="ALW309" s="302"/>
      <c r="ALX309" s="302"/>
      <c r="ALY309" s="302"/>
      <c r="ALZ309" s="302"/>
      <c r="AMA309" s="302"/>
      <c r="AMB309" s="302"/>
      <c r="AMC309" s="302"/>
      <c r="AMD309" s="302"/>
      <c r="AME309" s="302"/>
      <c r="AMF309" s="302"/>
      <c r="AMG309" s="302"/>
      <c r="AMH309" s="302"/>
      <c r="AMI309" s="302"/>
    </row>
    <row r="310" spans="1:1023" hidden="1">
      <c r="A310" s="302"/>
      <c r="B310" s="442">
        <v>14242</v>
      </c>
      <c r="C310" s="432">
        <v>0.1</v>
      </c>
      <c r="D310" s="370" t="s">
        <v>204</v>
      </c>
      <c r="E310" s="433">
        <v>2250000</v>
      </c>
      <c r="F310" s="532">
        <v>2.5000000000000001E-2</v>
      </c>
      <c r="G310" s="364">
        <f t="shared" si="17"/>
        <v>56250</v>
      </c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  <c r="AD310" s="302"/>
      <c r="AE310" s="302"/>
      <c r="AF310" s="302"/>
      <c r="AG310" s="302"/>
      <c r="AH310" s="302"/>
      <c r="AI310" s="302"/>
      <c r="AJ310" s="302"/>
      <c r="AK310" s="302"/>
      <c r="AL310" s="302"/>
      <c r="AM310" s="302"/>
      <c r="AN310" s="302"/>
      <c r="AO310" s="302"/>
      <c r="AP310" s="302"/>
      <c r="AQ310" s="302"/>
      <c r="AR310" s="302"/>
      <c r="AS310" s="302"/>
      <c r="AT310" s="302"/>
      <c r="AU310" s="302"/>
      <c r="AV310" s="302"/>
      <c r="AW310" s="302"/>
      <c r="AX310" s="302"/>
      <c r="AY310" s="302"/>
      <c r="AZ310" s="302"/>
      <c r="BA310" s="302"/>
      <c r="BB310" s="302"/>
      <c r="BC310" s="302"/>
      <c r="BD310" s="302"/>
      <c r="BE310" s="302"/>
      <c r="BF310" s="302"/>
      <c r="BG310" s="302"/>
      <c r="BH310" s="302"/>
      <c r="BI310" s="302"/>
      <c r="BJ310" s="302"/>
      <c r="BK310" s="302"/>
      <c r="BL310" s="302"/>
      <c r="BM310" s="302"/>
      <c r="BN310" s="302"/>
      <c r="BO310" s="302"/>
      <c r="BP310" s="302"/>
      <c r="BQ310" s="302"/>
      <c r="BR310" s="302"/>
      <c r="BS310" s="302"/>
      <c r="BT310" s="302"/>
      <c r="BU310" s="302"/>
      <c r="BV310" s="302"/>
      <c r="BW310" s="302"/>
      <c r="BX310" s="302"/>
      <c r="BY310" s="302"/>
      <c r="BZ310" s="302"/>
      <c r="CA310" s="302"/>
      <c r="CB310" s="302"/>
      <c r="CC310" s="302"/>
      <c r="CD310" s="302"/>
      <c r="CE310" s="302"/>
      <c r="CF310" s="302"/>
      <c r="CG310" s="302"/>
      <c r="CH310" s="302"/>
      <c r="CI310" s="302"/>
      <c r="CJ310" s="302"/>
      <c r="CK310" s="302"/>
      <c r="CL310" s="302"/>
      <c r="CM310" s="302"/>
      <c r="CN310" s="302"/>
      <c r="CO310" s="302"/>
      <c r="CP310" s="302"/>
      <c r="CQ310" s="302"/>
      <c r="CR310" s="302"/>
      <c r="CS310" s="302"/>
      <c r="CT310" s="302"/>
      <c r="CU310" s="302"/>
      <c r="CV310" s="302"/>
      <c r="CW310" s="302"/>
      <c r="CX310" s="302"/>
      <c r="CY310" s="302"/>
      <c r="CZ310" s="302"/>
      <c r="DA310" s="302"/>
      <c r="DB310" s="302"/>
      <c r="DC310" s="302"/>
      <c r="DD310" s="302"/>
      <c r="DE310" s="302"/>
      <c r="DF310" s="302"/>
      <c r="DG310" s="302"/>
      <c r="DH310" s="302"/>
      <c r="DI310" s="302"/>
      <c r="DJ310" s="302"/>
      <c r="DK310" s="302"/>
      <c r="DL310" s="302"/>
      <c r="DM310" s="302"/>
      <c r="DN310" s="302"/>
      <c r="DO310" s="302"/>
      <c r="DP310" s="302"/>
      <c r="DQ310" s="302"/>
      <c r="DR310" s="302"/>
      <c r="DS310" s="302"/>
      <c r="DT310" s="302"/>
      <c r="DU310" s="302"/>
      <c r="DV310" s="302"/>
      <c r="DW310" s="302"/>
      <c r="DX310" s="302"/>
      <c r="DY310" s="302"/>
      <c r="DZ310" s="302"/>
      <c r="EA310" s="302"/>
      <c r="EB310" s="302"/>
      <c r="EC310" s="302"/>
      <c r="ED310" s="302"/>
      <c r="EE310" s="302"/>
      <c r="EF310" s="302"/>
      <c r="EG310" s="302"/>
      <c r="EH310" s="302"/>
      <c r="EI310" s="302"/>
      <c r="EJ310" s="302"/>
      <c r="EK310" s="302"/>
      <c r="EL310" s="302"/>
      <c r="EM310" s="302"/>
      <c r="EN310" s="302"/>
      <c r="EO310" s="302"/>
      <c r="EP310" s="302"/>
      <c r="EQ310" s="302"/>
      <c r="ER310" s="302"/>
      <c r="ES310" s="302"/>
      <c r="ET310" s="302"/>
      <c r="EU310" s="302"/>
      <c r="EV310" s="302"/>
      <c r="EW310" s="302"/>
      <c r="EX310" s="302"/>
      <c r="EY310" s="302"/>
      <c r="EZ310" s="302"/>
      <c r="FA310" s="302"/>
      <c r="FB310" s="302"/>
      <c r="FC310" s="302"/>
      <c r="FD310" s="302"/>
      <c r="FE310" s="302"/>
      <c r="FF310" s="302"/>
      <c r="FG310" s="302"/>
      <c r="FH310" s="302"/>
      <c r="FI310" s="302"/>
      <c r="FJ310" s="302"/>
      <c r="FK310" s="302"/>
      <c r="FL310" s="302"/>
      <c r="FM310" s="302"/>
      <c r="FN310" s="302"/>
      <c r="FO310" s="302"/>
      <c r="FP310" s="302"/>
      <c r="FQ310" s="302"/>
      <c r="FR310" s="302"/>
      <c r="FS310" s="302"/>
      <c r="FT310" s="302"/>
      <c r="FU310" s="302"/>
      <c r="FV310" s="302"/>
      <c r="FW310" s="302"/>
      <c r="FX310" s="302"/>
      <c r="FY310" s="302"/>
      <c r="FZ310" s="302"/>
      <c r="GA310" s="302"/>
      <c r="GB310" s="302"/>
      <c r="GC310" s="302"/>
      <c r="GD310" s="302"/>
      <c r="GE310" s="302"/>
      <c r="GF310" s="302"/>
      <c r="GG310" s="302"/>
      <c r="GH310" s="302"/>
      <c r="GI310" s="302"/>
      <c r="GJ310" s="302"/>
      <c r="GK310" s="302"/>
      <c r="GL310" s="302"/>
      <c r="GM310" s="302"/>
      <c r="GN310" s="302"/>
      <c r="GO310" s="302"/>
      <c r="GP310" s="302"/>
      <c r="GQ310" s="302"/>
      <c r="GR310" s="302"/>
      <c r="GS310" s="302"/>
      <c r="GT310" s="302"/>
      <c r="GU310" s="302"/>
      <c r="GV310" s="302"/>
      <c r="GW310" s="302"/>
      <c r="GX310" s="302"/>
      <c r="GY310" s="302"/>
      <c r="GZ310" s="302"/>
      <c r="HA310" s="302"/>
      <c r="HB310" s="302"/>
      <c r="HC310" s="302"/>
      <c r="HD310" s="302"/>
      <c r="HE310" s="302"/>
      <c r="HF310" s="302"/>
      <c r="HG310" s="302"/>
      <c r="HH310" s="302"/>
      <c r="HI310" s="302"/>
      <c r="HJ310" s="302"/>
      <c r="HK310" s="302"/>
      <c r="HL310" s="302"/>
      <c r="HM310" s="302"/>
      <c r="HN310" s="302"/>
      <c r="HO310" s="302"/>
      <c r="HP310" s="302"/>
      <c r="HQ310" s="302"/>
      <c r="HR310" s="302"/>
      <c r="HS310" s="302"/>
      <c r="HT310" s="302"/>
      <c r="HU310" s="302"/>
      <c r="HV310" s="302"/>
      <c r="HW310" s="302"/>
      <c r="HX310" s="302"/>
      <c r="HY310" s="302"/>
      <c r="HZ310" s="302"/>
      <c r="IA310" s="302"/>
      <c r="IB310" s="302"/>
      <c r="IC310" s="302"/>
      <c r="ID310" s="302"/>
      <c r="IE310" s="302"/>
      <c r="IF310" s="302"/>
      <c r="IG310" s="302"/>
      <c r="IH310" s="302"/>
      <c r="II310" s="302"/>
      <c r="IJ310" s="302"/>
      <c r="IK310" s="302"/>
      <c r="IL310" s="302"/>
      <c r="IM310" s="302"/>
      <c r="IN310" s="302"/>
      <c r="IO310" s="302"/>
      <c r="IP310" s="302"/>
      <c r="IQ310" s="302"/>
      <c r="IR310" s="302"/>
      <c r="IS310" s="302"/>
      <c r="IT310" s="302"/>
      <c r="IU310" s="302"/>
      <c r="IV310" s="302"/>
      <c r="IW310" s="302"/>
      <c r="IX310" s="302"/>
      <c r="IY310" s="302"/>
      <c r="IZ310" s="302"/>
      <c r="JA310" s="302"/>
      <c r="JB310" s="302"/>
      <c r="JC310" s="302"/>
      <c r="JD310" s="302"/>
      <c r="JE310" s="302"/>
      <c r="JF310" s="302"/>
      <c r="JG310" s="302"/>
      <c r="JH310" s="302"/>
      <c r="JI310" s="302"/>
      <c r="JJ310" s="302"/>
      <c r="JK310" s="302"/>
      <c r="JL310" s="302"/>
      <c r="JM310" s="302"/>
      <c r="JN310" s="302"/>
      <c r="JO310" s="302"/>
      <c r="JP310" s="302"/>
      <c r="JQ310" s="302"/>
      <c r="JR310" s="302"/>
      <c r="JS310" s="302"/>
      <c r="JT310" s="302"/>
      <c r="JU310" s="302"/>
      <c r="JV310" s="302"/>
      <c r="JW310" s="302"/>
      <c r="JX310" s="302"/>
      <c r="JY310" s="302"/>
      <c r="JZ310" s="302"/>
      <c r="KA310" s="302"/>
      <c r="KB310" s="302"/>
      <c r="KC310" s="302"/>
      <c r="KD310" s="302"/>
      <c r="KE310" s="302"/>
      <c r="KF310" s="302"/>
      <c r="KG310" s="302"/>
      <c r="KH310" s="302"/>
      <c r="KI310" s="302"/>
      <c r="KJ310" s="302"/>
      <c r="KK310" s="302"/>
      <c r="KL310" s="302"/>
      <c r="KM310" s="302"/>
      <c r="KN310" s="302"/>
      <c r="KO310" s="302"/>
      <c r="KP310" s="302"/>
      <c r="KQ310" s="302"/>
      <c r="KR310" s="302"/>
      <c r="KS310" s="302"/>
      <c r="KT310" s="302"/>
      <c r="KU310" s="302"/>
      <c r="KV310" s="302"/>
      <c r="KW310" s="302"/>
      <c r="KX310" s="302"/>
      <c r="KY310" s="302"/>
      <c r="KZ310" s="302"/>
      <c r="LA310" s="302"/>
      <c r="LB310" s="302"/>
      <c r="LC310" s="302"/>
      <c r="LD310" s="302"/>
      <c r="LE310" s="302"/>
      <c r="LF310" s="302"/>
      <c r="LG310" s="302"/>
      <c r="LH310" s="302"/>
      <c r="LI310" s="302"/>
      <c r="LJ310" s="302"/>
      <c r="LK310" s="302"/>
      <c r="LL310" s="302"/>
      <c r="LM310" s="302"/>
      <c r="LN310" s="302"/>
      <c r="LO310" s="302"/>
      <c r="LP310" s="302"/>
      <c r="LQ310" s="302"/>
      <c r="LR310" s="302"/>
      <c r="LS310" s="302"/>
      <c r="LT310" s="302"/>
      <c r="LU310" s="302"/>
      <c r="LV310" s="302"/>
      <c r="LW310" s="302"/>
      <c r="LX310" s="302"/>
      <c r="LY310" s="302"/>
      <c r="LZ310" s="302"/>
      <c r="MA310" s="302"/>
      <c r="MB310" s="302"/>
      <c r="MC310" s="302"/>
      <c r="MD310" s="302"/>
      <c r="ME310" s="302"/>
      <c r="MF310" s="302"/>
      <c r="MG310" s="302"/>
      <c r="MH310" s="302"/>
      <c r="MI310" s="302"/>
      <c r="MJ310" s="302"/>
      <c r="MK310" s="302"/>
      <c r="ML310" s="302"/>
      <c r="MM310" s="302"/>
      <c r="MN310" s="302"/>
      <c r="MO310" s="302"/>
      <c r="MP310" s="302"/>
      <c r="MQ310" s="302"/>
      <c r="MR310" s="302"/>
      <c r="MS310" s="302"/>
      <c r="MT310" s="302"/>
      <c r="MU310" s="302"/>
      <c r="MV310" s="302"/>
      <c r="MW310" s="302"/>
      <c r="MX310" s="302"/>
      <c r="MY310" s="302"/>
      <c r="MZ310" s="302"/>
      <c r="NA310" s="302"/>
      <c r="NB310" s="302"/>
      <c r="NC310" s="302"/>
      <c r="ND310" s="302"/>
      <c r="NE310" s="302"/>
      <c r="NF310" s="302"/>
      <c r="NG310" s="302"/>
      <c r="NH310" s="302"/>
      <c r="NI310" s="302"/>
      <c r="NJ310" s="302"/>
      <c r="NK310" s="302"/>
      <c r="NL310" s="302"/>
      <c r="NM310" s="302"/>
      <c r="NN310" s="302"/>
      <c r="NO310" s="302"/>
      <c r="NP310" s="302"/>
      <c r="NQ310" s="302"/>
      <c r="NR310" s="302"/>
      <c r="NS310" s="302"/>
      <c r="NT310" s="302"/>
      <c r="NU310" s="302"/>
      <c r="NV310" s="302"/>
      <c r="NW310" s="302"/>
      <c r="NX310" s="302"/>
      <c r="NY310" s="302"/>
      <c r="NZ310" s="302"/>
      <c r="OA310" s="302"/>
      <c r="OB310" s="302"/>
      <c r="OC310" s="302"/>
      <c r="OD310" s="302"/>
      <c r="OE310" s="302"/>
      <c r="OF310" s="302"/>
      <c r="OG310" s="302"/>
      <c r="OH310" s="302"/>
      <c r="OI310" s="302"/>
      <c r="OJ310" s="302"/>
      <c r="OK310" s="302"/>
      <c r="OL310" s="302"/>
      <c r="OM310" s="302"/>
      <c r="ON310" s="302"/>
      <c r="OO310" s="302"/>
      <c r="OP310" s="302"/>
      <c r="OQ310" s="302"/>
      <c r="OR310" s="302"/>
      <c r="OS310" s="302"/>
      <c r="OT310" s="302"/>
      <c r="OU310" s="302"/>
      <c r="OV310" s="302"/>
      <c r="OW310" s="302"/>
      <c r="OX310" s="302"/>
      <c r="OY310" s="302"/>
      <c r="OZ310" s="302"/>
      <c r="PA310" s="302"/>
      <c r="PB310" s="302"/>
      <c r="PC310" s="302"/>
      <c r="PD310" s="302"/>
      <c r="PE310" s="302"/>
      <c r="PF310" s="302"/>
      <c r="PG310" s="302"/>
      <c r="PH310" s="302"/>
      <c r="PI310" s="302"/>
      <c r="PJ310" s="302"/>
      <c r="PK310" s="302"/>
      <c r="PL310" s="302"/>
      <c r="PM310" s="302"/>
      <c r="PN310" s="302"/>
      <c r="PO310" s="302"/>
      <c r="PP310" s="302"/>
      <c r="PQ310" s="302"/>
      <c r="PR310" s="302"/>
      <c r="PS310" s="302"/>
      <c r="PT310" s="302"/>
      <c r="PU310" s="302"/>
      <c r="PV310" s="302"/>
      <c r="PW310" s="302"/>
      <c r="PX310" s="302"/>
      <c r="PY310" s="302"/>
      <c r="PZ310" s="302"/>
      <c r="QA310" s="302"/>
      <c r="QB310" s="302"/>
      <c r="QC310" s="302"/>
      <c r="QD310" s="302"/>
      <c r="QE310" s="302"/>
      <c r="QF310" s="302"/>
      <c r="QG310" s="302"/>
      <c r="QH310" s="302"/>
      <c r="QI310" s="302"/>
      <c r="QJ310" s="302"/>
      <c r="QK310" s="302"/>
      <c r="QL310" s="302"/>
      <c r="QM310" s="302"/>
      <c r="QN310" s="302"/>
      <c r="QO310" s="302"/>
      <c r="QP310" s="302"/>
      <c r="QQ310" s="302"/>
      <c r="QR310" s="302"/>
      <c r="QS310" s="302"/>
      <c r="QT310" s="302"/>
      <c r="QU310" s="302"/>
      <c r="QV310" s="302"/>
      <c r="QW310" s="302"/>
      <c r="QX310" s="302"/>
      <c r="QY310" s="302"/>
      <c r="QZ310" s="302"/>
      <c r="RA310" s="302"/>
      <c r="RB310" s="302"/>
      <c r="RC310" s="302"/>
      <c r="RD310" s="302"/>
      <c r="RE310" s="302"/>
      <c r="RF310" s="302"/>
      <c r="RG310" s="302"/>
      <c r="RH310" s="302"/>
      <c r="RI310" s="302"/>
      <c r="RJ310" s="302"/>
      <c r="RK310" s="302"/>
      <c r="RL310" s="302"/>
      <c r="RM310" s="302"/>
      <c r="RN310" s="302"/>
      <c r="RO310" s="302"/>
      <c r="RP310" s="302"/>
      <c r="RQ310" s="302"/>
      <c r="RR310" s="302"/>
      <c r="RS310" s="302"/>
      <c r="RT310" s="302"/>
      <c r="RU310" s="302"/>
      <c r="RV310" s="302"/>
      <c r="RW310" s="302"/>
      <c r="RX310" s="302"/>
      <c r="RY310" s="302"/>
      <c r="RZ310" s="302"/>
      <c r="SA310" s="302"/>
      <c r="SB310" s="302"/>
      <c r="SC310" s="302"/>
      <c r="SD310" s="302"/>
      <c r="SE310" s="302"/>
      <c r="SF310" s="302"/>
      <c r="SG310" s="302"/>
      <c r="SH310" s="302"/>
      <c r="SI310" s="302"/>
      <c r="SJ310" s="302"/>
      <c r="SK310" s="302"/>
      <c r="SL310" s="302"/>
      <c r="SM310" s="302"/>
      <c r="SN310" s="302"/>
      <c r="SO310" s="302"/>
      <c r="SP310" s="302"/>
      <c r="SQ310" s="302"/>
      <c r="SR310" s="302"/>
      <c r="SS310" s="302"/>
      <c r="ST310" s="302"/>
      <c r="SU310" s="302"/>
      <c r="SV310" s="302"/>
      <c r="SW310" s="302"/>
      <c r="SX310" s="302"/>
      <c r="SY310" s="302"/>
      <c r="SZ310" s="302"/>
      <c r="TA310" s="302"/>
      <c r="TB310" s="302"/>
      <c r="TC310" s="302"/>
      <c r="TD310" s="302"/>
      <c r="TE310" s="302"/>
      <c r="TF310" s="302"/>
      <c r="TG310" s="302"/>
      <c r="TH310" s="302"/>
      <c r="TI310" s="302"/>
      <c r="TJ310" s="302"/>
      <c r="TK310" s="302"/>
      <c r="TL310" s="302"/>
      <c r="TM310" s="302"/>
      <c r="TN310" s="302"/>
      <c r="TO310" s="302"/>
      <c r="TP310" s="302"/>
      <c r="TQ310" s="302"/>
      <c r="TR310" s="302"/>
      <c r="TS310" s="302"/>
      <c r="TT310" s="302"/>
      <c r="TU310" s="302"/>
      <c r="TV310" s="302"/>
      <c r="TW310" s="302"/>
      <c r="TX310" s="302"/>
      <c r="TY310" s="302"/>
      <c r="TZ310" s="302"/>
      <c r="UA310" s="302"/>
      <c r="UB310" s="302"/>
      <c r="UC310" s="302"/>
      <c r="UD310" s="302"/>
      <c r="UE310" s="302"/>
      <c r="UF310" s="302"/>
      <c r="UG310" s="302"/>
      <c r="UH310" s="302"/>
      <c r="UI310" s="302"/>
      <c r="UJ310" s="302"/>
      <c r="UK310" s="302"/>
      <c r="UL310" s="302"/>
      <c r="UM310" s="302"/>
      <c r="UN310" s="302"/>
      <c r="UO310" s="302"/>
      <c r="UP310" s="302"/>
      <c r="UQ310" s="302"/>
      <c r="UR310" s="302"/>
      <c r="US310" s="302"/>
      <c r="UT310" s="302"/>
      <c r="UU310" s="302"/>
      <c r="UV310" s="302"/>
      <c r="UW310" s="302"/>
      <c r="UX310" s="302"/>
      <c r="UY310" s="302"/>
      <c r="UZ310" s="302"/>
      <c r="VA310" s="302"/>
      <c r="VB310" s="302"/>
      <c r="VC310" s="302"/>
      <c r="VD310" s="302"/>
      <c r="VE310" s="302"/>
      <c r="VF310" s="302"/>
      <c r="VG310" s="302"/>
      <c r="VH310" s="302"/>
      <c r="VI310" s="302"/>
      <c r="VJ310" s="302"/>
      <c r="VK310" s="302"/>
      <c r="VL310" s="302"/>
      <c r="VM310" s="302"/>
      <c r="VN310" s="302"/>
      <c r="VO310" s="302"/>
      <c r="VP310" s="302"/>
      <c r="VQ310" s="302"/>
      <c r="VR310" s="302"/>
      <c r="VS310" s="302"/>
      <c r="VT310" s="302"/>
      <c r="VU310" s="302"/>
      <c r="VV310" s="302"/>
      <c r="VW310" s="302"/>
      <c r="VX310" s="302"/>
      <c r="VY310" s="302"/>
      <c r="VZ310" s="302"/>
      <c r="WA310" s="302"/>
      <c r="WB310" s="302"/>
      <c r="WC310" s="302"/>
      <c r="WD310" s="302"/>
      <c r="WE310" s="302"/>
      <c r="WF310" s="302"/>
      <c r="WG310" s="302"/>
      <c r="WH310" s="302"/>
      <c r="WI310" s="302"/>
      <c r="WJ310" s="302"/>
      <c r="WK310" s="302"/>
      <c r="WL310" s="302"/>
      <c r="WM310" s="302"/>
      <c r="WN310" s="302"/>
      <c r="WO310" s="302"/>
      <c r="WP310" s="302"/>
      <c r="WQ310" s="302"/>
      <c r="WR310" s="302"/>
      <c r="WS310" s="302"/>
      <c r="WT310" s="302"/>
      <c r="WU310" s="302"/>
      <c r="WV310" s="302"/>
      <c r="WW310" s="302"/>
      <c r="WX310" s="302"/>
      <c r="WY310" s="302"/>
      <c r="WZ310" s="302"/>
      <c r="XA310" s="302"/>
      <c r="XB310" s="302"/>
      <c r="XC310" s="302"/>
      <c r="XD310" s="302"/>
      <c r="XE310" s="302"/>
      <c r="XF310" s="302"/>
      <c r="XG310" s="302"/>
      <c r="XH310" s="302"/>
      <c r="XI310" s="302"/>
      <c r="XJ310" s="302"/>
      <c r="XK310" s="302"/>
      <c r="XL310" s="302"/>
      <c r="XM310" s="302"/>
      <c r="XN310" s="302"/>
      <c r="XO310" s="302"/>
      <c r="XP310" s="302"/>
      <c r="XQ310" s="302"/>
      <c r="XR310" s="302"/>
      <c r="XS310" s="302"/>
      <c r="XT310" s="302"/>
      <c r="XU310" s="302"/>
      <c r="XV310" s="302"/>
      <c r="XW310" s="302"/>
      <c r="XX310" s="302"/>
      <c r="XY310" s="302"/>
      <c r="XZ310" s="302"/>
      <c r="YA310" s="302"/>
      <c r="YB310" s="302"/>
      <c r="YC310" s="302"/>
      <c r="YD310" s="302"/>
      <c r="YE310" s="302"/>
      <c r="YF310" s="302"/>
      <c r="YG310" s="302"/>
      <c r="YH310" s="302"/>
      <c r="YI310" s="302"/>
      <c r="YJ310" s="302"/>
      <c r="YK310" s="302"/>
      <c r="YL310" s="302"/>
      <c r="YM310" s="302"/>
      <c r="YN310" s="302"/>
      <c r="YO310" s="302"/>
      <c r="YP310" s="302"/>
      <c r="YQ310" s="302"/>
      <c r="YR310" s="302"/>
      <c r="YS310" s="302"/>
      <c r="YT310" s="302"/>
      <c r="YU310" s="302"/>
      <c r="YV310" s="302"/>
      <c r="YW310" s="302"/>
      <c r="YX310" s="302"/>
      <c r="YY310" s="302"/>
      <c r="YZ310" s="302"/>
      <c r="ZA310" s="302"/>
      <c r="ZB310" s="302"/>
      <c r="ZC310" s="302"/>
      <c r="ZD310" s="302"/>
      <c r="ZE310" s="302"/>
      <c r="ZF310" s="302"/>
      <c r="ZG310" s="302"/>
      <c r="ZH310" s="302"/>
      <c r="ZI310" s="302"/>
      <c r="ZJ310" s="302"/>
      <c r="ZK310" s="302"/>
      <c r="ZL310" s="302"/>
      <c r="ZM310" s="302"/>
      <c r="ZN310" s="302"/>
      <c r="ZO310" s="302"/>
      <c r="ZP310" s="302"/>
      <c r="ZQ310" s="302"/>
      <c r="ZR310" s="302"/>
      <c r="ZS310" s="302"/>
      <c r="ZT310" s="302"/>
      <c r="ZU310" s="302"/>
      <c r="ZV310" s="302"/>
      <c r="ZW310" s="302"/>
      <c r="ZX310" s="302"/>
      <c r="ZY310" s="302"/>
      <c r="ZZ310" s="302"/>
      <c r="AAA310" s="302"/>
      <c r="AAB310" s="302"/>
      <c r="AAC310" s="302"/>
      <c r="AAD310" s="302"/>
      <c r="AAE310" s="302"/>
      <c r="AAF310" s="302"/>
      <c r="AAG310" s="302"/>
      <c r="AAH310" s="302"/>
      <c r="AAI310" s="302"/>
      <c r="AAJ310" s="302"/>
      <c r="AAK310" s="302"/>
      <c r="AAL310" s="302"/>
      <c r="AAM310" s="302"/>
      <c r="AAN310" s="302"/>
      <c r="AAO310" s="302"/>
      <c r="AAP310" s="302"/>
      <c r="AAQ310" s="302"/>
      <c r="AAR310" s="302"/>
      <c r="AAS310" s="302"/>
      <c r="AAT310" s="302"/>
      <c r="AAU310" s="302"/>
      <c r="AAV310" s="302"/>
      <c r="AAW310" s="302"/>
      <c r="AAX310" s="302"/>
      <c r="AAY310" s="302"/>
      <c r="AAZ310" s="302"/>
      <c r="ABA310" s="302"/>
      <c r="ABB310" s="302"/>
      <c r="ABC310" s="302"/>
      <c r="ABD310" s="302"/>
      <c r="ABE310" s="302"/>
      <c r="ABF310" s="302"/>
      <c r="ABG310" s="302"/>
      <c r="ABH310" s="302"/>
      <c r="ABI310" s="302"/>
      <c r="ABJ310" s="302"/>
      <c r="ABK310" s="302"/>
      <c r="ABL310" s="302"/>
      <c r="ABM310" s="302"/>
      <c r="ABN310" s="302"/>
      <c r="ABO310" s="302"/>
      <c r="ABP310" s="302"/>
      <c r="ABQ310" s="302"/>
      <c r="ABR310" s="302"/>
      <c r="ABS310" s="302"/>
      <c r="ABT310" s="302"/>
      <c r="ABU310" s="302"/>
      <c r="ABV310" s="302"/>
      <c r="ABW310" s="302"/>
      <c r="ABX310" s="302"/>
      <c r="ABY310" s="302"/>
      <c r="ABZ310" s="302"/>
      <c r="ACA310" s="302"/>
      <c r="ACB310" s="302"/>
      <c r="ACC310" s="302"/>
      <c r="ACD310" s="302"/>
      <c r="ACE310" s="302"/>
      <c r="ACF310" s="302"/>
      <c r="ACG310" s="302"/>
      <c r="ACH310" s="302"/>
      <c r="ACI310" s="302"/>
      <c r="ACJ310" s="302"/>
      <c r="ACK310" s="302"/>
      <c r="ACL310" s="302"/>
      <c r="ACM310" s="302"/>
      <c r="ACN310" s="302"/>
      <c r="ACO310" s="302"/>
      <c r="ACP310" s="302"/>
      <c r="ACQ310" s="302"/>
      <c r="ACR310" s="302"/>
      <c r="ACS310" s="302"/>
      <c r="ACT310" s="302"/>
      <c r="ACU310" s="302"/>
      <c r="ACV310" s="302"/>
      <c r="ACW310" s="302"/>
      <c r="ACX310" s="302"/>
      <c r="ACY310" s="302"/>
      <c r="ACZ310" s="302"/>
      <c r="ADA310" s="302"/>
      <c r="ADB310" s="302"/>
      <c r="ADC310" s="302"/>
      <c r="ADD310" s="302"/>
      <c r="ADE310" s="302"/>
      <c r="ADF310" s="302"/>
      <c r="ADG310" s="302"/>
      <c r="ADH310" s="302"/>
      <c r="ADI310" s="302"/>
      <c r="ADJ310" s="302"/>
      <c r="ADK310" s="302"/>
      <c r="ADL310" s="302"/>
      <c r="ADM310" s="302"/>
      <c r="ADN310" s="302"/>
      <c r="ADO310" s="302"/>
      <c r="ADP310" s="302"/>
      <c r="ADQ310" s="302"/>
      <c r="ADR310" s="302"/>
      <c r="ADS310" s="302"/>
      <c r="ADT310" s="302"/>
      <c r="ADU310" s="302"/>
      <c r="ADV310" s="302"/>
      <c r="ADW310" s="302"/>
      <c r="ADX310" s="302"/>
      <c r="ADY310" s="302"/>
      <c r="ADZ310" s="302"/>
      <c r="AEA310" s="302"/>
      <c r="AEB310" s="302"/>
      <c r="AEC310" s="302"/>
      <c r="AED310" s="302"/>
      <c r="AEE310" s="302"/>
      <c r="AEF310" s="302"/>
      <c r="AEG310" s="302"/>
      <c r="AEH310" s="302"/>
      <c r="AEI310" s="302"/>
      <c r="AEJ310" s="302"/>
      <c r="AEK310" s="302"/>
      <c r="AEL310" s="302"/>
      <c r="AEM310" s="302"/>
      <c r="AEN310" s="302"/>
      <c r="AEO310" s="302"/>
      <c r="AEP310" s="302"/>
      <c r="AEQ310" s="302"/>
      <c r="AER310" s="302"/>
      <c r="AES310" s="302"/>
      <c r="AET310" s="302"/>
      <c r="AEU310" s="302"/>
      <c r="AEV310" s="302"/>
      <c r="AEW310" s="302"/>
      <c r="AEX310" s="302"/>
      <c r="AEY310" s="302"/>
      <c r="AEZ310" s="302"/>
      <c r="AFA310" s="302"/>
      <c r="AFB310" s="302"/>
      <c r="AFC310" s="302"/>
      <c r="AFD310" s="302"/>
      <c r="AFE310" s="302"/>
      <c r="AFF310" s="302"/>
      <c r="AFG310" s="302"/>
      <c r="AFH310" s="302"/>
      <c r="AFI310" s="302"/>
      <c r="AFJ310" s="302"/>
      <c r="AFK310" s="302"/>
      <c r="AFL310" s="302"/>
      <c r="AFM310" s="302"/>
      <c r="AFN310" s="302"/>
      <c r="AFO310" s="302"/>
      <c r="AFP310" s="302"/>
      <c r="AFQ310" s="302"/>
      <c r="AFR310" s="302"/>
      <c r="AFS310" s="302"/>
      <c r="AFT310" s="302"/>
      <c r="AFU310" s="302"/>
      <c r="AFV310" s="302"/>
      <c r="AFW310" s="302"/>
      <c r="AFX310" s="302"/>
      <c r="AFY310" s="302"/>
      <c r="AFZ310" s="302"/>
      <c r="AGA310" s="302"/>
      <c r="AGB310" s="302"/>
      <c r="AGC310" s="302"/>
      <c r="AGD310" s="302"/>
      <c r="AGE310" s="302"/>
      <c r="AGF310" s="302"/>
      <c r="AGG310" s="302"/>
      <c r="AGH310" s="302"/>
      <c r="AGI310" s="302"/>
      <c r="AGJ310" s="302"/>
      <c r="AGK310" s="302"/>
      <c r="AGL310" s="302"/>
      <c r="AGM310" s="302"/>
      <c r="AGN310" s="302"/>
      <c r="AGO310" s="302"/>
      <c r="AGP310" s="302"/>
      <c r="AGQ310" s="302"/>
      <c r="AGR310" s="302"/>
      <c r="AGS310" s="302"/>
      <c r="AGT310" s="302"/>
      <c r="AGU310" s="302"/>
      <c r="AGV310" s="302"/>
      <c r="AGW310" s="302"/>
      <c r="AGX310" s="302"/>
      <c r="AGY310" s="302"/>
      <c r="AGZ310" s="302"/>
      <c r="AHA310" s="302"/>
      <c r="AHB310" s="302"/>
      <c r="AHC310" s="302"/>
      <c r="AHD310" s="302"/>
      <c r="AHE310" s="302"/>
      <c r="AHF310" s="302"/>
      <c r="AHG310" s="302"/>
      <c r="AHH310" s="302"/>
      <c r="AHI310" s="302"/>
      <c r="AHJ310" s="302"/>
      <c r="AHK310" s="302"/>
      <c r="AHL310" s="302"/>
      <c r="AHM310" s="302"/>
      <c r="AHN310" s="302"/>
      <c r="AHO310" s="302"/>
      <c r="AHP310" s="302"/>
      <c r="AHQ310" s="302"/>
      <c r="AHR310" s="302"/>
      <c r="AHS310" s="302"/>
      <c r="AHT310" s="302"/>
      <c r="AHU310" s="302"/>
      <c r="AHV310" s="302"/>
      <c r="AHW310" s="302"/>
      <c r="AHX310" s="302"/>
      <c r="AHY310" s="302"/>
      <c r="AHZ310" s="302"/>
      <c r="AIA310" s="302"/>
      <c r="AIB310" s="302"/>
      <c r="AIC310" s="302"/>
      <c r="AID310" s="302"/>
      <c r="AIE310" s="302"/>
      <c r="AIF310" s="302"/>
      <c r="AIG310" s="302"/>
      <c r="AIH310" s="302"/>
      <c r="AII310" s="302"/>
      <c r="AIJ310" s="302"/>
      <c r="AIK310" s="302"/>
      <c r="AIL310" s="302"/>
      <c r="AIM310" s="302"/>
      <c r="AIN310" s="302"/>
      <c r="AIO310" s="302"/>
      <c r="AIP310" s="302"/>
      <c r="AIQ310" s="302"/>
      <c r="AIR310" s="302"/>
      <c r="AIS310" s="302"/>
      <c r="AIT310" s="302"/>
      <c r="AIU310" s="302"/>
      <c r="AIV310" s="302"/>
      <c r="AIW310" s="302"/>
      <c r="AIX310" s="302"/>
      <c r="AIY310" s="302"/>
      <c r="AIZ310" s="302"/>
      <c r="AJA310" s="302"/>
      <c r="AJB310" s="302"/>
      <c r="AJC310" s="302"/>
      <c r="AJD310" s="302"/>
      <c r="AJE310" s="302"/>
      <c r="AJF310" s="302"/>
      <c r="AJG310" s="302"/>
      <c r="AJH310" s="302"/>
      <c r="AJI310" s="302"/>
      <c r="AJJ310" s="302"/>
      <c r="AJK310" s="302"/>
      <c r="AJL310" s="302"/>
      <c r="AJM310" s="302"/>
      <c r="AJN310" s="302"/>
      <c r="AJO310" s="302"/>
      <c r="AJP310" s="302"/>
      <c r="AJQ310" s="302"/>
      <c r="AJR310" s="302"/>
      <c r="AJS310" s="302"/>
      <c r="AJT310" s="302"/>
      <c r="AJU310" s="302"/>
      <c r="AJV310" s="302"/>
      <c r="AJW310" s="302"/>
      <c r="AJX310" s="302"/>
      <c r="AJY310" s="302"/>
      <c r="AJZ310" s="302"/>
      <c r="AKA310" s="302"/>
      <c r="AKB310" s="302"/>
      <c r="AKC310" s="302"/>
      <c r="AKD310" s="302"/>
      <c r="AKE310" s="302"/>
      <c r="AKF310" s="302"/>
      <c r="AKG310" s="302"/>
      <c r="AKH310" s="302"/>
      <c r="AKI310" s="302"/>
      <c r="AKJ310" s="302"/>
      <c r="AKK310" s="302"/>
      <c r="AKL310" s="302"/>
      <c r="AKM310" s="302"/>
      <c r="AKN310" s="302"/>
      <c r="AKO310" s="302"/>
      <c r="AKP310" s="302"/>
      <c r="AKQ310" s="302"/>
      <c r="AKR310" s="302"/>
      <c r="AKS310" s="302"/>
      <c r="AKT310" s="302"/>
      <c r="AKU310" s="302"/>
      <c r="AKV310" s="302"/>
      <c r="AKW310" s="302"/>
      <c r="AKX310" s="302"/>
      <c r="AKY310" s="302"/>
      <c r="AKZ310" s="302"/>
      <c r="ALA310" s="302"/>
      <c r="ALB310" s="302"/>
      <c r="ALC310" s="302"/>
      <c r="ALD310" s="302"/>
      <c r="ALE310" s="302"/>
      <c r="ALF310" s="302"/>
      <c r="ALG310" s="302"/>
      <c r="ALH310" s="302"/>
      <c r="ALI310" s="302"/>
      <c r="ALJ310" s="302"/>
      <c r="ALK310" s="302"/>
      <c r="ALL310" s="302"/>
      <c r="ALM310" s="302"/>
      <c r="ALN310" s="302"/>
      <c r="ALO310" s="302"/>
      <c r="ALP310" s="302"/>
      <c r="ALQ310" s="302"/>
      <c r="ALR310" s="302"/>
      <c r="ALS310" s="302"/>
      <c r="ALT310" s="302"/>
      <c r="ALU310" s="302"/>
      <c r="ALV310" s="302"/>
      <c r="ALW310" s="302"/>
      <c r="ALX310" s="302"/>
      <c r="ALY310" s="302"/>
      <c r="ALZ310" s="302"/>
      <c r="AMA310" s="302"/>
      <c r="AMB310" s="302"/>
      <c r="AMC310" s="302"/>
      <c r="AMD310" s="302"/>
      <c r="AME310" s="302"/>
      <c r="AMF310" s="302"/>
      <c r="AMG310" s="302"/>
      <c r="AMH310" s="302"/>
      <c r="AMI310" s="302"/>
    </row>
    <row r="311" spans="1:1023" hidden="1">
      <c r="A311" s="302"/>
      <c r="B311" s="443">
        <v>14238</v>
      </c>
      <c r="C311" s="521">
        <v>0.08</v>
      </c>
      <c r="D311" s="370" t="s">
        <v>205</v>
      </c>
      <c r="E311" s="401">
        <v>3100000</v>
      </c>
      <c r="F311" s="500">
        <v>0.02</v>
      </c>
      <c r="G311" s="364">
        <f t="shared" si="17"/>
        <v>62000</v>
      </c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  <c r="AD311" s="302"/>
      <c r="AE311" s="302"/>
      <c r="AF311" s="302"/>
      <c r="AG311" s="302"/>
      <c r="AH311" s="302"/>
      <c r="AI311" s="302"/>
      <c r="AJ311" s="302"/>
      <c r="AK311" s="302"/>
      <c r="AL311" s="302"/>
      <c r="AM311" s="302"/>
      <c r="AN311" s="302"/>
      <c r="AO311" s="302"/>
      <c r="AP311" s="302"/>
      <c r="AQ311" s="302"/>
      <c r="AR311" s="302"/>
      <c r="AS311" s="302"/>
      <c r="AT311" s="302"/>
      <c r="AU311" s="302"/>
      <c r="AV311" s="302"/>
      <c r="AW311" s="302"/>
      <c r="AX311" s="302"/>
      <c r="AY311" s="302"/>
      <c r="AZ311" s="302"/>
      <c r="BA311" s="302"/>
      <c r="BB311" s="302"/>
      <c r="BC311" s="302"/>
      <c r="BD311" s="302"/>
      <c r="BE311" s="302"/>
      <c r="BF311" s="302"/>
      <c r="BG311" s="302"/>
      <c r="BH311" s="302"/>
      <c r="BI311" s="302"/>
      <c r="BJ311" s="302"/>
      <c r="BK311" s="302"/>
      <c r="BL311" s="302"/>
      <c r="BM311" s="302"/>
      <c r="BN311" s="302"/>
      <c r="BO311" s="302"/>
      <c r="BP311" s="302"/>
      <c r="BQ311" s="302"/>
      <c r="BR311" s="302"/>
      <c r="BS311" s="302"/>
      <c r="BT311" s="302"/>
      <c r="BU311" s="302"/>
      <c r="BV311" s="302"/>
      <c r="BW311" s="302"/>
      <c r="BX311" s="302"/>
      <c r="BY311" s="302"/>
      <c r="BZ311" s="302"/>
      <c r="CA311" s="302"/>
      <c r="CB311" s="302"/>
      <c r="CC311" s="302"/>
      <c r="CD311" s="302"/>
      <c r="CE311" s="302"/>
      <c r="CF311" s="302"/>
      <c r="CG311" s="302"/>
      <c r="CH311" s="302"/>
      <c r="CI311" s="302"/>
      <c r="CJ311" s="302"/>
      <c r="CK311" s="302"/>
      <c r="CL311" s="302"/>
      <c r="CM311" s="302"/>
      <c r="CN311" s="302"/>
      <c r="CO311" s="302"/>
      <c r="CP311" s="302"/>
      <c r="CQ311" s="302"/>
      <c r="CR311" s="302"/>
      <c r="CS311" s="302"/>
      <c r="CT311" s="302"/>
      <c r="CU311" s="302"/>
      <c r="CV311" s="302"/>
      <c r="CW311" s="302"/>
      <c r="CX311" s="302"/>
      <c r="CY311" s="302"/>
      <c r="CZ311" s="302"/>
      <c r="DA311" s="302"/>
      <c r="DB311" s="302"/>
      <c r="DC311" s="302"/>
      <c r="DD311" s="302"/>
      <c r="DE311" s="302"/>
      <c r="DF311" s="302"/>
      <c r="DG311" s="302"/>
      <c r="DH311" s="302"/>
      <c r="DI311" s="302"/>
      <c r="DJ311" s="302"/>
      <c r="DK311" s="302"/>
      <c r="DL311" s="302"/>
      <c r="DM311" s="302"/>
      <c r="DN311" s="302"/>
      <c r="DO311" s="302"/>
      <c r="DP311" s="302"/>
      <c r="DQ311" s="302"/>
      <c r="DR311" s="302"/>
      <c r="DS311" s="302"/>
      <c r="DT311" s="302"/>
      <c r="DU311" s="302"/>
      <c r="DV311" s="302"/>
      <c r="DW311" s="302"/>
      <c r="DX311" s="302"/>
      <c r="DY311" s="302"/>
      <c r="DZ311" s="302"/>
      <c r="EA311" s="302"/>
      <c r="EB311" s="302"/>
      <c r="EC311" s="302"/>
      <c r="ED311" s="302"/>
      <c r="EE311" s="302"/>
      <c r="EF311" s="302"/>
      <c r="EG311" s="302"/>
      <c r="EH311" s="302"/>
      <c r="EI311" s="302"/>
      <c r="EJ311" s="302"/>
      <c r="EK311" s="302"/>
      <c r="EL311" s="302"/>
      <c r="EM311" s="302"/>
      <c r="EN311" s="302"/>
      <c r="EO311" s="302"/>
      <c r="EP311" s="302"/>
      <c r="EQ311" s="302"/>
      <c r="ER311" s="302"/>
      <c r="ES311" s="302"/>
      <c r="ET311" s="302"/>
      <c r="EU311" s="302"/>
      <c r="EV311" s="302"/>
      <c r="EW311" s="302"/>
      <c r="EX311" s="302"/>
      <c r="EY311" s="302"/>
      <c r="EZ311" s="302"/>
      <c r="FA311" s="302"/>
      <c r="FB311" s="302"/>
      <c r="FC311" s="302"/>
      <c r="FD311" s="302"/>
      <c r="FE311" s="302"/>
      <c r="FF311" s="302"/>
      <c r="FG311" s="302"/>
      <c r="FH311" s="302"/>
      <c r="FI311" s="302"/>
      <c r="FJ311" s="302"/>
      <c r="FK311" s="302"/>
      <c r="FL311" s="302"/>
      <c r="FM311" s="302"/>
      <c r="FN311" s="302"/>
      <c r="FO311" s="302"/>
      <c r="FP311" s="302"/>
      <c r="FQ311" s="302"/>
      <c r="FR311" s="302"/>
      <c r="FS311" s="302"/>
      <c r="FT311" s="302"/>
      <c r="FU311" s="302"/>
      <c r="FV311" s="302"/>
      <c r="FW311" s="302"/>
      <c r="FX311" s="302"/>
      <c r="FY311" s="302"/>
      <c r="FZ311" s="302"/>
      <c r="GA311" s="302"/>
      <c r="GB311" s="302"/>
      <c r="GC311" s="302"/>
      <c r="GD311" s="302"/>
      <c r="GE311" s="302"/>
      <c r="GF311" s="302"/>
      <c r="GG311" s="302"/>
      <c r="GH311" s="302"/>
      <c r="GI311" s="302"/>
      <c r="GJ311" s="302"/>
      <c r="GK311" s="302"/>
      <c r="GL311" s="302"/>
      <c r="GM311" s="302"/>
      <c r="GN311" s="302"/>
      <c r="GO311" s="302"/>
      <c r="GP311" s="302"/>
      <c r="GQ311" s="302"/>
      <c r="GR311" s="302"/>
      <c r="GS311" s="302"/>
      <c r="GT311" s="302"/>
      <c r="GU311" s="302"/>
      <c r="GV311" s="302"/>
      <c r="GW311" s="302"/>
      <c r="GX311" s="302"/>
      <c r="GY311" s="302"/>
      <c r="GZ311" s="302"/>
      <c r="HA311" s="302"/>
      <c r="HB311" s="302"/>
      <c r="HC311" s="302"/>
      <c r="HD311" s="302"/>
      <c r="HE311" s="302"/>
      <c r="HF311" s="302"/>
      <c r="HG311" s="302"/>
      <c r="HH311" s="302"/>
      <c r="HI311" s="302"/>
      <c r="HJ311" s="302"/>
      <c r="HK311" s="302"/>
      <c r="HL311" s="302"/>
      <c r="HM311" s="302"/>
      <c r="HN311" s="302"/>
      <c r="HO311" s="302"/>
      <c r="HP311" s="302"/>
      <c r="HQ311" s="302"/>
      <c r="HR311" s="302"/>
      <c r="HS311" s="302"/>
      <c r="HT311" s="302"/>
      <c r="HU311" s="302"/>
      <c r="HV311" s="302"/>
      <c r="HW311" s="302"/>
      <c r="HX311" s="302"/>
      <c r="HY311" s="302"/>
      <c r="HZ311" s="302"/>
      <c r="IA311" s="302"/>
      <c r="IB311" s="302"/>
      <c r="IC311" s="302"/>
      <c r="ID311" s="302"/>
      <c r="IE311" s="302"/>
      <c r="IF311" s="302"/>
      <c r="IG311" s="302"/>
      <c r="IH311" s="302"/>
      <c r="II311" s="302"/>
      <c r="IJ311" s="302"/>
      <c r="IK311" s="302"/>
      <c r="IL311" s="302"/>
      <c r="IM311" s="302"/>
      <c r="IN311" s="302"/>
      <c r="IO311" s="302"/>
      <c r="IP311" s="302"/>
      <c r="IQ311" s="302"/>
      <c r="IR311" s="302"/>
      <c r="IS311" s="302"/>
      <c r="IT311" s="302"/>
      <c r="IU311" s="302"/>
      <c r="IV311" s="302"/>
      <c r="IW311" s="302"/>
      <c r="IX311" s="302"/>
      <c r="IY311" s="302"/>
      <c r="IZ311" s="302"/>
      <c r="JA311" s="302"/>
      <c r="JB311" s="302"/>
      <c r="JC311" s="302"/>
      <c r="JD311" s="302"/>
      <c r="JE311" s="302"/>
      <c r="JF311" s="302"/>
      <c r="JG311" s="302"/>
      <c r="JH311" s="302"/>
      <c r="JI311" s="302"/>
      <c r="JJ311" s="302"/>
      <c r="JK311" s="302"/>
      <c r="JL311" s="302"/>
      <c r="JM311" s="302"/>
      <c r="JN311" s="302"/>
      <c r="JO311" s="302"/>
      <c r="JP311" s="302"/>
      <c r="JQ311" s="302"/>
      <c r="JR311" s="302"/>
      <c r="JS311" s="302"/>
      <c r="JT311" s="302"/>
      <c r="JU311" s="302"/>
      <c r="JV311" s="302"/>
      <c r="JW311" s="302"/>
      <c r="JX311" s="302"/>
      <c r="JY311" s="302"/>
      <c r="JZ311" s="302"/>
      <c r="KA311" s="302"/>
      <c r="KB311" s="302"/>
      <c r="KC311" s="302"/>
      <c r="KD311" s="302"/>
      <c r="KE311" s="302"/>
      <c r="KF311" s="302"/>
      <c r="KG311" s="302"/>
      <c r="KH311" s="302"/>
      <c r="KI311" s="302"/>
      <c r="KJ311" s="302"/>
      <c r="KK311" s="302"/>
      <c r="KL311" s="302"/>
      <c r="KM311" s="302"/>
      <c r="KN311" s="302"/>
      <c r="KO311" s="302"/>
      <c r="KP311" s="302"/>
      <c r="KQ311" s="302"/>
      <c r="KR311" s="302"/>
      <c r="KS311" s="302"/>
      <c r="KT311" s="302"/>
      <c r="KU311" s="302"/>
      <c r="KV311" s="302"/>
      <c r="KW311" s="302"/>
      <c r="KX311" s="302"/>
      <c r="KY311" s="302"/>
      <c r="KZ311" s="302"/>
      <c r="LA311" s="302"/>
      <c r="LB311" s="302"/>
      <c r="LC311" s="302"/>
      <c r="LD311" s="302"/>
      <c r="LE311" s="302"/>
      <c r="LF311" s="302"/>
      <c r="LG311" s="302"/>
      <c r="LH311" s="302"/>
      <c r="LI311" s="302"/>
      <c r="LJ311" s="302"/>
      <c r="LK311" s="302"/>
      <c r="LL311" s="302"/>
      <c r="LM311" s="302"/>
      <c r="LN311" s="302"/>
      <c r="LO311" s="302"/>
      <c r="LP311" s="302"/>
      <c r="LQ311" s="302"/>
      <c r="LR311" s="302"/>
      <c r="LS311" s="302"/>
      <c r="LT311" s="302"/>
      <c r="LU311" s="302"/>
      <c r="LV311" s="302"/>
      <c r="LW311" s="302"/>
      <c r="LX311" s="302"/>
      <c r="LY311" s="302"/>
      <c r="LZ311" s="302"/>
      <c r="MA311" s="302"/>
      <c r="MB311" s="302"/>
      <c r="MC311" s="302"/>
      <c r="MD311" s="302"/>
      <c r="ME311" s="302"/>
      <c r="MF311" s="302"/>
      <c r="MG311" s="302"/>
      <c r="MH311" s="302"/>
      <c r="MI311" s="302"/>
      <c r="MJ311" s="302"/>
      <c r="MK311" s="302"/>
      <c r="ML311" s="302"/>
      <c r="MM311" s="302"/>
      <c r="MN311" s="302"/>
      <c r="MO311" s="302"/>
      <c r="MP311" s="302"/>
      <c r="MQ311" s="302"/>
      <c r="MR311" s="302"/>
      <c r="MS311" s="302"/>
      <c r="MT311" s="302"/>
      <c r="MU311" s="302"/>
      <c r="MV311" s="302"/>
      <c r="MW311" s="302"/>
      <c r="MX311" s="302"/>
      <c r="MY311" s="302"/>
      <c r="MZ311" s="302"/>
      <c r="NA311" s="302"/>
      <c r="NB311" s="302"/>
      <c r="NC311" s="302"/>
      <c r="ND311" s="302"/>
      <c r="NE311" s="302"/>
      <c r="NF311" s="302"/>
      <c r="NG311" s="302"/>
      <c r="NH311" s="302"/>
      <c r="NI311" s="302"/>
      <c r="NJ311" s="302"/>
      <c r="NK311" s="302"/>
      <c r="NL311" s="302"/>
      <c r="NM311" s="302"/>
      <c r="NN311" s="302"/>
      <c r="NO311" s="302"/>
      <c r="NP311" s="302"/>
      <c r="NQ311" s="302"/>
      <c r="NR311" s="302"/>
      <c r="NS311" s="302"/>
      <c r="NT311" s="302"/>
      <c r="NU311" s="302"/>
      <c r="NV311" s="302"/>
      <c r="NW311" s="302"/>
      <c r="NX311" s="302"/>
      <c r="NY311" s="302"/>
      <c r="NZ311" s="302"/>
      <c r="OA311" s="302"/>
      <c r="OB311" s="302"/>
      <c r="OC311" s="302"/>
      <c r="OD311" s="302"/>
      <c r="OE311" s="302"/>
      <c r="OF311" s="302"/>
      <c r="OG311" s="302"/>
      <c r="OH311" s="302"/>
      <c r="OI311" s="302"/>
      <c r="OJ311" s="302"/>
      <c r="OK311" s="302"/>
      <c r="OL311" s="302"/>
      <c r="OM311" s="302"/>
      <c r="ON311" s="302"/>
      <c r="OO311" s="302"/>
      <c r="OP311" s="302"/>
      <c r="OQ311" s="302"/>
      <c r="OR311" s="302"/>
      <c r="OS311" s="302"/>
      <c r="OT311" s="302"/>
      <c r="OU311" s="302"/>
      <c r="OV311" s="302"/>
      <c r="OW311" s="302"/>
      <c r="OX311" s="302"/>
      <c r="OY311" s="302"/>
      <c r="OZ311" s="302"/>
      <c r="PA311" s="302"/>
      <c r="PB311" s="302"/>
      <c r="PC311" s="302"/>
      <c r="PD311" s="302"/>
      <c r="PE311" s="302"/>
      <c r="PF311" s="302"/>
      <c r="PG311" s="302"/>
      <c r="PH311" s="302"/>
      <c r="PI311" s="302"/>
      <c r="PJ311" s="302"/>
      <c r="PK311" s="302"/>
      <c r="PL311" s="302"/>
      <c r="PM311" s="302"/>
      <c r="PN311" s="302"/>
      <c r="PO311" s="302"/>
      <c r="PP311" s="302"/>
      <c r="PQ311" s="302"/>
      <c r="PR311" s="302"/>
      <c r="PS311" s="302"/>
      <c r="PT311" s="302"/>
      <c r="PU311" s="302"/>
      <c r="PV311" s="302"/>
      <c r="PW311" s="302"/>
      <c r="PX311" s="302"/>
      <c r="PY311" s="302"/>
      <c r="PZ311" s="302"/>
      <c r="QA311" s="302"/>
      <c r="QB311" s="302"/>
      <c r="QC311" s="302"/>
      <c r="QD311" s="302"/>
      <c r="QE311" s="302"/>
      <c r="QF311" s="302"/>
      <c r="QG311" s="302"/>
      <c r="QH311" s="302"/>
      <c r="QI311" s="302"/>
      <c r="QJ311" s="302"/>
      <c r="QK311" s="302"/>
      <c r="QL311" s="302"/>
      <c r="QM311" s="302"/>
      <c r="QN311" s="302"/>
      <c r="QO311" s="302"/>
      <c r="QP311" s="302"/>
      <c r="QQ311" s="302"/>
      <c r="QR311" s="302"/>
      <c r="QS311" s="302"/>
      <c r="QT311" s="302"/>
      <c r="QU311" s="302"/>
      <c r="QV311" s="302"/>
      <c r="QW311" s="302"/>
      <c r="QX311" s="302"/>
      <c r="QY311" s="302"/>
      <c r="QZ311" s="302"/>
      <c r="RA311" s="302"/>
      <c r="RB311" s="302"/>
      <c r="RC311" s="302"/>
      <c r="RD311" s="302"/>
      <c r="RE311" s="302"/>
      <c r="RF311" s="302"/>
      <c r="RG311" s="302"/>
      <c r="RH311" s="302"/>
      <c r="RI311" s="302"/>
      <c r="RJ311" s="302"/>
      <c r="RK311" s="302"/>
      <c r="RL311" s="302"/>
      <c r="RM311" s="302"/>
      <c r="RN311" s="302"/>
      <c r="RO311" s="302"/>
      <c r="RP311" s="302"/>
      <c r="RQ311" s="302"/>
      <c r="RR311" s="302"/>
      <c r="RS311" s="302"/>
      <c r="RT311" s="302"/>
      <c r="RU311" s="302"/>
      <c r="RV311" s="302"/>
      <c r="RW311" s="302"/>
      <c r="RX311" s="302"/>
      <c r="RY311" s="302"/>
      <c r="RZ311" s="302"/>
      <c r="SA311" s="302"/>
      <c r="SB311" s="302"/>
      <c r="SC311" s="302"/>
      <c r="SD311" s="302"/>
      <c r="SE311" s="302"/>
      <c r="SF311" s="302"/>
      <c r="SG311" s="302"/>
      <c r="SH311" s="302"/>
      <c r="SI311" s="302"/>
      <c r="SJ311" s="302"/>
      <c r="SK311" s="302"/>
      <c r="SL311" s="302"/>
      <c r="SM311" s="302"/>
      <c r="SN311" s="302"/>
      <c r="SO311" s="302"/>
      <c r="SP311" s="302"/>
      <c r="SQ311" s="302"/>
      <c r="SR311" s="302"/>
      <c r="SS311" s="302"/>
      <c r="ST311" s="302"/>
      <c r="SU311" s="302"/>
      <c r="SV311" s="302"/>
      <c r="SW311" s="302"/>
      <c r="SX311" s="302"/>
      <c r="SY311" s="302"/>
      <c r="SZ311" s="302"/>
      <c r="TA311" s="302"/>
      <c r="TB311" s="302"/>
      <c r="TC311" s="302"/>
      <c r="TD311" s="302"/>
      <c r="TE311" s="302"/>
      <c r="TF311" s="302"/>
      <c r="TG311" s="302"/>
      <c r="TH311" s="302"/>
      <c r="TI311" s="302"/>
      <c r="TJ311" s="302"/>
      <c r="TK311" s="302"/>
      <c r="TL311" s="302"/>
      <c r="TM311" s="302"/>
      <c r="TN311" s="302"/>
      <c r="TO311" s="302"/>
      <c r="TP311" s="302"/>
      <c r="TQ311" s="302"/>
      <c r="TR311" s="302"/>
      <c r="TS311" s="302"/>
      <c r="TT311" s="302"/>
      <c r="TU311" s="302"/>
      <c r="TV311" s="302"/>
      <c r="TW311" s="302"/>
      <c r="TX311" s="302"/>
      <c r="TY311" s="302"/>
      <c r="TZ311" s="302"/>
      <c r="UA311" s="302"/>
      <c r="UB311" s="302"/>
      <c r="UC311" s="302"/>
      <c r="UD311" s="302"/>
      <c r="UE311" s="302"/>
      <c r="UF311" s="302"/>
      <c r="UG311" s="302"/>
      <c r="UH311" s="302"/>
      <c r="UI311" s="302"/>
      <c r="UJ311" s="302"/>
      <c r="UK311" s="302"/>
      <c r="UL311" s="302"/>
      <c r="UM311" s="302"/>
      <c r="UN311" s="302"/>
      <c r="UO311" s="302"/>
      <c r="UP311" s="302"/>
      <c r="UQ311" s="302"/>
      <c r="UR311" s="302"/>
      <c r="US311" s="302"/>
      <c r="UT311" s="302"/>
      <c r="UU311" s="302"/>
      <c r="UV311" s="302"/>
      <c r="UW311" s="302"/>
      <c r="UX311" s="302"/>
      <c r="UY311" s="302"/>
      <c r="UZ311" s="302"/>
      <c r="VA311" s="302"/>
      <c r="VB311" s="302"/>
      <c r="VC311" s="302"/>
      <c r="VD311" s="302"/>
      <c r="VE311" s="302"/>
      <c r="VF311" s="302"/>
      <c r="VG311" s="302"/>
      <c r="VH311" s="302"/>
      <c r="VI311" s="302"/>
      <c r="VJ311" s="302"/>
      <c r="VK311" s="302"/>
      <c r="VL311" s="302"/>
      <c r="VM311" s="302"/>
      <c r="VN311" s="302"/>
      <c r="VO311" s="302"/>
      <c r="VP311" s="302"/>
      <c r="VQ311" s="302"/>
      <c r="VR311" s="302"/>
      <c r="VS311" s="302"/>
      <c r="VT311" s="302"/>
      <c r="VU311" s="302"/>
      <c r="VV311" s="302"/>
      <c r="VW311" s="302"/>
      <c r="VX311" s="302"/>
      <c r="VY311" s="302"/>
      <c r="VZ311" s="302"/>
      <c r="WA311" s="302"/>
      <c r="WB311" s="302"/>
      <c r="WC311" s="302"/>
      <c r="WD311" s="302"/>
      <c r="WE311" s="302"/>
      <c r="WF311" s="302"/>
      <c r="WG311" s="302"/>
      <c r="WH311" s="302"/>
      <c r="WI311" s="302"/>
      <c r="WJ311" s="302"/>
      <c r="WK311" s="302"/>
      <c r="WL311" s="302"/>
      <c r="WM311" s="302"/>
      <c r="WN311" s="302"/>
      <c r="WO311" s="302"/>
      <c r="WP311" s="302"/>
      <c r="WQ311" s="302"/>
      <c r="WR311" s="302"/>
      <c r="WS311" s="302"/>
      <c r="WT311" s="302"/>
      <c r="WU311" s="302"/>
      <c r="WV311" s="302"/>
      <c r="WW311" s="302"/>
      <c r="WX311" s="302"/>
      <c r="WY311" s="302"/>
      <c r="WZ311" s="302"/>
      <c r="XA311" s="302"/>
      <c r="XB311" s="302"/>
      <c r="XC311" s="302"/>
      <c r="XD311" s="302"/>
      <c r="XE311" s="302"/>
      <c r="XF311" s="302"/>
      <c r="XG311" s="302"/>
      <c r="XH311" s="302"/>
      <c r="XI311" s="302"/>
      <c r="XJ311" s="302"/>
      <c r="XK311" s="302"/>
      <c r="XL311" s="302"/>
      <c r="XM311" s="302"/>
      <c r="XN311" s="302"/>
      <c r="XO311" s="302"/>
      <c r="XP311" s="302"/>
      <c r="XQ311" s="302"/>
      <c r="XR311" s="302"/>
      <c r="XS311" s="302"/>
      <c r="XT311" s="302"/>
      <c r="XU311" s="302"/>
      <c r="XV311" s="302"/>
      <c r="XW311" s="302"/>
      <c r="XX311" s="302"/>
      <c r="XY311" s="302"/>
      <c r="XZ311" s="302"/>
      <c r="YA311" s="302"/>
      <c r="YB311" s="302"/>
      <c r="YC311" s="302"/>
      <c r="YD311" s="302"/>
      <c r="YE311" s="302"/>
      <c r="YF311" s="302"/>
      <c r="YG311" s="302"/>
      <c r="YH311" s="302"/>
      <c r="YI311" s="302"/>
      <c r="YJ311" s="302"/>
      <c r="YK311" s="302"/>
      <c r="YL311" s="302"/>
      <c r="YM311" s="302"/>
      <c r="YN311" s="302"/>
      <c r="YO311" s="302"/>
      <c r="YP311" s="302"/>
      <c r="YQ311" s="302"/>
      <c r="YR311" s="302"/>
      <c r="YS311" s="302"/>
      <c r="YT311" s="302"/>
      <c r="YU311" s="302"/>
      <c r="YV311" s="302"/>
      <c r="YW311" s="302"/>
      <c r="YX311" s="302"/>
      <c r="YY311" s="302"/>
      <c r="YZ311" s="302"/>
      <c r="ZA311" s="302"/>
      <c r="ZB311" s="302"/>
      <c r="ZC311" s="302"/>
      <c r="ZD311" s="302"/>
      <c r="ZE311" s="302"/>
      <c r="ZF311" s="302"/>
      <c r="ZG311" s="302"/>
      <c r="ZH311" s="302"/>
      <c r="ZI311" s="302"/>
      <c r="ZJ311" s="302"/>
      <c r="ZK311" s="302"/>
      <c r="ZL311" s="302"/>
      <c r="ZM311" s="302"/>
      <c r="ZN311" s="302"/>
      <c r="ZO311" s="302"/>
      <c r="ZP311" s="302"/>
      <c r="ZQ311" s="302"/>
      <c r="ZR311" s="302"/>
      <c r="ZS311" s="302"/>
      <c r="ZT311" s="302"/>
      <c r="ZU311" s="302"/>
      <c r="ZV311" s="302"/>
      <c r="ZW311" s="302"/>
      <c r="ZX311" s="302"/>
      <c r="ZY311" s="302"/>
      <c r="ZZ311" s="302"/>
      <c r="AAA311" s="302"/>
      <c r="AAB311" s="302"/>
      <c r="AAC311" s="302"/>
      <c r="AAD311" s="302"/>
      <c r="AAE311" s="302"/>
      <c r="AAF311" s="302"/>
      <c r="AAG311" s="302"/>
      <c r="AAH311" s="302"/>
      <c r="AAI311" s="302"/>
      <c r="AAJ311" s="302"/>
      <c r="AAK311" s="302"/>
      <c r="AAL311" s="302"/>
      <c r="AAM311" s="302"/>
      <c r="AAN311" s="302"/>
      <c r="AAO311" s="302"/>
      <c r="AAP311" s="302"/>
      <c r="AAQ311" s="302"/>
      <c r="AAR311" s="302"/>
      <c r="AAS311" s="302"/>
      <c r="AAT311" s="302"/>
      <c r="AAU311" s="302"/>
      <c r="AAV311" s="302"/>
      <c r="AAW311" s="302"/>
      <c r="AAX311" s="302"/>
      <c r="AAY311" s="302"/>
      <c r="AAZ311" s="302"/>
      <c r="ABA311" s="302"/>
      <c r="ABB311" s="302"/>
      <c r="ABC311" s="302"/>
      <c r="ABD311" s="302"/>
      <c r="ABE311" s="302"/>
      <c r="ABF311" s="302"/>
      <c r="ABG311" s="302"/>
      <c r="ABH311" s="302"/>
      <c r="ABI311" s="302"/>
      <c r="ABJ311" s="302"/>
      <c r="ABK311" s="302"/>
      <c r="ABL311" s="302"/>
      <c r="ABM311" s="302"/>
      <c r="ABN311" s="302"/>
      <c r="ABO311" s="302"/>
      <c r="ABP311" s="302"/>
      <c r="ABQ311" s="302"/>
      <c r="ABR311" s="302"/>
      <c r="ABS311" s="302"/>
      <c r="ABT311" s="302"/>
      <c r="ABU311" s="302"/>
      <c r="ABV311" s="302"/>
      <c r="ABW311" s="302"/>
      <c r="ABX311" s="302"/>
      <c r="ABY311" s="302"/>
      <c r="ABZ311" s="302"/>
      <c r="ACA311" s="302"/>
      <c r="ACB311" s="302"/>
      <c r="ACC311" s="302"/>
      <c r="ACD311" s="302"/>
      <c r="ACE311" s="302"/>
      <c r="ACF311" s="302"/>
      <c r="ACG311" s="302"/>
      <c r="ACH311" s="302"/>
      <c r="ACI311" s="302"/>
      <c r="ACJ311" s="302"/>
      <c r="ACK311" s="302"/>
      <c r="ACL311" s="302"/>
      <c r="ACM311" s="302"/>
      <c r="ACN311" s="302"/>
      <c r="ACO311" s="302"/>
      <c r="ACP311" s="302"/>
      <c r="ACQ311" s="302"/>
      <c r="ACR311" s="302"/>
      <c r="ACS311" s="302"/>
      <c r="ACT311" s="302"/>
      <c r="ACU311" s="302"/>
      <c r="ACV311" s="302"/>
      <c r="ACW311" s="302"/>
      <c r="ACX311" s="302"/>
      <c r="ACY311" s="302"/>
      <c r="ACZ311" s="302"/>
      <c r="ADA311" s="302"/>
      <c r="ADB311" s="302"/>
      <c r="ADC311" s="302"/>
      <c r="ADD311" s="302"/>
      <c r="ADE311" s="302"/>
      <c r="ADF311" s="302"/>
      <c r="ADG311" s="302"/>
      <c r="ADH311" s="302"/>
      <c r="ADI311" s="302"/>
      <c r="ADJ311" s="302"/>
      <c r="ADK311" s="302"/>
      <c r="ADL311" s="302"/>
      <c r="ADM311" s="302"/>
      <c r="ADN311" s="302"/>
      <c r="ADO311" s="302"/>
      <c r="ADP311" s="302"/>
      <c r="ADQ311" s="302"/>
      <c r="ADR311" s="302"/>
      <c r="ADS311" s="302"/>
      <c r="ADT311" s="302"/>
      <c r="ADU311" s="302"/>
      <c r="ADV311" s="302"/>
      <c r="ADW311" s="302"/>
      <c r="ADX311" s="302"/>
      <c r="ADY311" s="302"/>
      <c r="ADZ311" s="302"/>
      <c r="AEA311" s="302"/>
      <c r="AEB311" s="302"/>
      <c r="AEC311" s="302"/>
      <c r="AED311" s="302"/>
      <c r="AEE311" s="302"/>
      <c r="AEF311" s="302"/>
      <c r="AEG311" s="302"/>
      <c r="AEH311" s="302"/>
      <c r="AEI311" s="302"/>
      <c r="AEJ311" s="302"/>
      <c r="AEK311" s="302"/>
      <c r="AEL311" s="302"/>
      <c r="AEM311" s="302"/>
      <c r="AEN311" s="302"/>
      <c r="AEO311" s="302"/>
      <c r="AEP311" s="302"/>
      <c r="AEQ311" s="302"/>
      <c r="AER311" s="302"/>
      <c r="AES311" s="302"/>
      <c r="AET311" s="302"/>
      <c r="AEU311" s="302"/>
      <c r="AEV311" s="302"/>
      <c r="AEW311" s="302"/>
      <c r="AEX311" s="302"/>
      <c r="AEY311" s="302"/>
      <c r="AEZ311" s="302"/>
      <c r="AFA311" s="302"/>
      <c r="AFB311" s="302"/>
      <c r="AFC311" s="302"/>
      <c r="AFD311" s="302"/>
      <c r="AFE311" s="302"/>
      <c r="AFF311" s="302"/>
      <c r="AFG311" s="302"/>
      <c r="AFH311" s="302"/>
      <c r="AFI311" s="302"/>
      <c r="AFJ311" s="302"/>
      <c r="AFK311" s="302"/>
      <c r="AFL311" s="302"/>
      <c r="AFM311" s="302"/>
      <c r="AFN311" s="302"/>
      <c r="AFO311" s="302"/>
      <c r="AFP311" s="302"/>
      <c r="AFQ311" s="302"/>
      <c r="AFR311" s="302"/>
      <c r="AFS311" s="302"/>
      <c r="AFT311" s="302"/>
      <c r="AFU311" s="302"/>
      <c r="AFV311" s="302"/>
      <c r="AFW311" s="302"/>
      <c r="AFX311" s="302"/>
      <c r="AFY311" s="302"/>
      <c r="AFZ311" s="302"/>
      <c r="AGA311" s="302"/>
      <c r="AGB311" s="302"/>
      <c r="AGC311" s="302"/>
      <c r="AGD311" s="302"/>
      <c r="AGE311" s="302"/>
      <c r="AGF311" s="302"/>
      <c r="AGG311" s="302"/>
      <c r="AGH311" s="302"/>
      <c r="AGI311" s="302"/>
      <c r="AGJ311" s="302"/>
      <c r="AGK311" s="302"/>
      <c r="AGL311" s="302"/>
      <c r="AGM311" s="302"/>
      <c r="AGN311" s="302"/>
      <c r="AGO311" s="302"/>
      <c r="AGP311" s="302"/>
      <c r="AGQ311" s="302"/>
      <c r="AGR311" s="302"/>
      <c r="AGS311" s="302"/>
      <c r="AGT311" s="302"/>
      <c r="AGU311" s="302"/>
      <c r="AGV311" s="302"/>
      <c r="AGW311" s="302"/>
      <c r="AGX311" s="302"/>
      <c r="AGY311" s="302"/>
      <c r="AGZ311" s="302"/>
      <c r="AHA311" s="302"/>
      <c r="AHB311" s="302"/>
      <c r="AHC311" s="302"/>
      <c r="AHD311" s="302"/>
      <c r="AHE311" s="302"/>
      <c r="AHF311" s="302"/>
      <c r="AHG311" s="302"/>
      <c r="AHH311" s="302"/>
      <c r="AHI311" s="302"/>
      <c r="AHJ311" s="302"/>
      <c r="AHK311" s="302"/>
      <c r="AHL311" s="302"/>
      <c r="AHM311" s="302"/>
      <c r="AHN311" s="302"/>
      <c r="AHO311" s="302"/>
      <c r="AHP311" s="302"/>
      <c r="AHQ311" s="302"/>
      <c r="AHR311" s="302"/>
      <c r="AHS311" s="302"/>
      <c r="AHT311" s="302"/>
      <c r="AHU311" s="302"/>
      <c r="AHV311" s="302"/>
      <c r="AHW311" s="302"/>
      <c r="AHX311" s="302"/>
      <c r="AHY311" s="302"/>
      <c r="AHZ311" s="302"/>
      <c r="AIA311" s="302"/>
      <c r="AIB311" s="302"/>
      <c r="AIC311" s="302"/>
      <c r="AID311" s="302"/>
      <c r="AIE311" s="302"/>
      <c r="AIF311" s="302"/>
      <c r="AIG311" s="302"/>
      <c r="AIH311" s="302"/>
      <c r="AII311" s="302"/>
      <c r="AIJ311" s="302"/>
      <c r="AIK311" s="302"/>
      <c r="AIL311" s="302"/>
      <c r="AIM311" s="302"/>
      <c r="AIN311" s="302"/>
      <c r="AIO311" s="302"/>
      <c r="AIP311" s="302"/>
      <c r="AIQ311" s="302"/>
      <c r="AIR311" s="302"/>
      <c r="AIS311" s="302"/>
      <c r="AIT311" s="302"/>
      <c r="AIU311" s="302"/>
      <c r="AIV311" s="302"/>
      <c r="AIW311" s="302"/>
      <c r="AIX311" s="302"/>
      <c r="AIY311" s="302"/>
      <c r="AIZ311" s="302"/>
      <c r="AJA311" s="302"/>
      <c r="AJB311" s="302"/>
      <c r="AJC311" s="302"/>
      <c r="AJD311" s="302"/>
      <c r="AJE311" s="302"/>
      <c r="AJF311" s="302"/>
      <c r="AJG311" s="302"/>
      <c r="AJH311" s="302"/>
      <c r="AJI311" s="302"/>
      <c r="AJJ311" s="302"/>
      <c r="AJK311" s="302"/>
      <c r="AJL311" s="302"/>
      <c r="AJM311" s="302"/>
      <c r="AJN311" s="302"/>
      <c r="AJO311" s="302"/>
      <c r="AJP311" s="302"/>
      <c r="AJQ311" s="302"/>
      <c r="AJR311" s="302"/>
      <c r="AJS311" s="302"/>
      <c r="AJT311" s="302"/>
      <c r="AJU311" s="302"/>
      <c r="AJV311" s="302"/>
      <c r="AJW311" s="302"/>
      <c r="AJX311" s="302"/>
      <c r="AJY311" s="302"/>
      <c r="AJZ311" s="302"/>
      <c r="AKA311" s="302"/>
      <c r="AKB311" s="302"/>
      <c r="AKC311" s="302"/>
      <c r="AKD311" s="302"/>
      <c r="AKE311" s="302"/>
      <c r="AKF311" s="302"/>
      <c r="AKG311" s="302"/>
      <c r="AKH311" s="302"/>
      <c r="AKI311" s="302"/>
      <c r="AKJ311" s="302"/>
      <c r="AKK311" s="302"/>
      <c r="AKL311" s="302"/>
      <c r="AKM311" s="302"/>
      <c r="AKN311" s="302"/>
      <c r="AKO311" s="302"/>
      <c r="AKP311" s="302"/>
      <c r="AKQ311" s="302"/>
      <c r="AKR311" s="302"/>
      <c r="AKS311" s="302"/>
      <c r="AKT311" s="302"/>
      <c r="AKU311" s="302"/>
      <c r="AKV311" s="302"/>
      <c r="AKW311" s="302"/>
      <c r="AKX311" s="302"/>
      <c r="AKY311" s="302"/>
      <c r="AKZ311" s="302"/>
      <c r="ALA311" s="302"/>
      <c r="ALB311" s="302"/>
      <c r="ALC311" s="302"/>
      <c r="ALD311" s="302"/>
      <c r="ALE311" s="302"/>
      <c r="ALF311" s="302"/>
      <c r="ALG311" s="302"/>
      <c r="ALH311" s="302"/>
      <c r="ALI311" s="302"/>
      <c r="ALJ311" s="302"/>
      <c r="ALK311" s="302"/>
      <c r="ALL311" s="302"/>
      <c r="ALM311" s="302"/>
      <c r="ALN311" s="302"/>
      <c r="ALO311" s="302"/>
      <c r="ALP311" s="302"/>
      <c r="ALQ311" s="302"/>
      <c r="ALR311" s="302"/>
      <c r="ALS311" s="302"/>
      <c r="ALT311" s="302"/>
      <c r="ALU311" s="302"/>
      <c r="ALV311" s="302"/>
      <c r="ALW311" s="302"/>
      <c r="ALX311" s="302"/>
      <c r="ALY311" s="302"/>
      <c r="ALZ311" s="302"/>
      <c r="AMA311" s="302"/>
      <c r="AMB311" s="302"/>
      <c r="AMC311" s="302"/>
      <c r="AMD311" s="302"/>
      <c r="AME311" s="302"/>
      <c r="AMF311" s="302"/>
      <c r="AMG311" s="302"/>
      <c r="AMH311" s="302"/>
      <c r="AMI311" s="302"/>
    </row>
    <row r="312" spans="1:1023" hidden="1">
      <c r="A312" s="302"/>
      <c r="B312" s="530">
        <v>14220</v>
      </c>
      <c r="C312" s="529">
        <v>0.08</v>
      </c>
      <c r="D312" s="370" t="s">
        <v>218</v>
      </c>
      <c r="E312" s="433">
        <v>2200000</v>
      </c>
      <c r="F312" s="500">
        <v>0.02</v>
      </c>
      <c r="G312" s="364">
        <f t="shared" si="17"/>
        <v>44000</v>
      </c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2"/>
      <c r="AE312" s="302"/>
      <c r="AF312" s="302"/>
      <c r="AG312" s="302"/>
      <c r="AH312" s="302"/>
      <c r="AI312" s="302"/>
      <c r="AJ312" s="302"/>
      <c r="AK312" s="302"/>
      <c r="AL312" s="302"/>
      <c r="AM312" s="302"/>
      <c r="AN312" s="302"/>
      <c r="AO312" s="302"/>
      <c r="AP312" s="302"/>
      <c r="AQ312" s="302"/>
      <c r="AR312" s="302"/>
      <c r="AS312" s="302"/>
      <c r="AT312" s="302"/>
      <c r="AU312" s="302"/>
      <c r="AV312" s="302"/>
      <c r="AW312" s="302"/>
      <c r="AX312" s="302"/>
      <c r="AY312" s="302"/>
      <c r="AZ312" s="302"/>
      <c r="BA312" s="302"/>
      <c r="BB312" s="302"/>
      <c r="BC312" s="302"/>
      <c r="BD312" s="302"/>
      <c r="BE312" s="302"/>
      <c r="BF312" s="302"/>
      <c r="BG312" s="302"/>
      <c r="BH312" s="302"/>
      <c r="BI312" s="302"/>
      <c r="BJ312" s="302"/>
      <c r="BK312" s="302"/>
      <c r="BL312" s="302"/>
      <c r="BM312" s="302"/>
      <c r="BN312" s="302"/>
      <c r="BO312" s="302"/>
      <c r="BP312" s="302"/>
      <c r="BQ312" s="302"/>
      <c r="BR312" s="302"/>
      <c r="BS312" s="302"/>
      <c r="BT312" s="302"/>
      <c r="BU312" s="302"/>
      <c r="BV312" s="302"/>
      <c r="BW312" s="302"/>
      <c r="BX312" s="302"/>
      <c r="BY312" s="302"/>
      <c r="BZ312" s="302"/>
      <c r="CA312" s="302"/>
      <c r="CB312" s="302"/>
      <c r="CC312" s="302"/>
      <c r="CD312" s="302"/>
      <c r="CE312" s="302"/>
      <c r="CF312" s="302"/>
      <c r="CG312" s="302"/>
      <c r="CH312" s="302"/>
      <c r="CI312" s="302"/>
      <c r="CJ312" s="302"/>
      <c r="CK312" s="302"/>
      <c r="CL312" s="302"/>
      <c r="CM312" s="302"/>
      <c r="CN312" s="302"/>
      <c r="CO312" s="302"/>
      <c r="CP312" s="302"/>
      <c r="CQ312" s="302"/>
      <c r="CR312" s="302"/>
      <c r="CS312" s="302"/>
      <c r="CT312" s="302"/>
      <c r="CU312" s="302"/>
      <c r="CV312" s="302"/>
      <c r="CW312" s="302"/>
      <c r="CX312" s="302"/>
      <c r="CY312" s="302"/>
      <c r="CZ312" s="302"/>
      <c r="DA312" s="302"/>
      <c r="DB312" s="302"/>
      <c r="DC312" s="302"/>
      <c r="DD312" s="302"/>
      <c r="DE312" s="302"/>
      <c r="DF312" s="302"/>
      <c r="DG312" s="302"/>
      <c r="DH312" s="302"/>
      <c r="DI312" s="302"/>
      <c r="DJ312" s="302"/>
      <c r="DK312" s="302"/>
      <c r="DL312" s="302"/>
      <c r="DM312" s="302"/>
      <c r="DN312" s="302"/>
      <c r="DO312" s="302"/>
      <c r="DP312" s="302"/>
      <c r="DQ312" s="302"/>
      <c r="DR312" s="302"/>
      <c r="DS312" s="302"/>
      <c r="DT312" s="302"/>
      <c r="DU312" s="302"/>
      <c r="DV312" s="302"/>
      <c r="DW312" s="302"/>
      <c r="DX312" s="302"/>
      <c r="DY312" s="302"/>
      <c r="DZ312" s="302"/>
      <c r="EA312" s="302"/>
      <c r="EB312" s="302"/>
      <c r="EC312" s="302"/>
      <c r="ED312" s="302"/>
      <c r="EE312" s="302"/>
      <c r="EF312" s="302"/>
      <c r="EG312" s="302"/>
      <c r="EH312" s="302"/>
      <c r="EI312" s="302"/>
      <c r="EJ312" s="302"/>
      <c r="EK312" s="302"/>
      <c r="EL312" s="302"/>
      <c r="EM312" s="302"/>
      <c r="EN312" s="302"/>
      <c r="EO312" s="302"/>
      <c r="EP312" s="302"/>
      <c r="EQ312" s="302"/>
      <c r="ER312" s="302"/>
      <c r="ES312" s="302"/>
      <c r="ET312" s="302"/>
      <c r="EU312" s="302"/>
      <c r="EV312" s="302"/>
      <c r="EW312" s="302"/>
      <c r="EX312" s="302"/>
      <c r="EY312" s="302"/>
      <c r="EZ312" s="302"/>
      <c r="FA312" s="302"/>
      <c r="FB312" s="302"/>
      <c r="FC312" s="302"/>
      <c r="FD312" s="302"/>
      <c r="FE312" s="302"/>
      <c r="FF312" s="302"/>
      <c r="FG312" s="302"/>
      <c r="FH312" s="302"/>
      <c r="FI312" s="302"/>
      <c r="FJ312" s="302"/>
      <c r="FK312" s="302"/>
      <c r="FL312" s="302"/>
      <c r="FM312" s="302"/>
      <c r="FN312" s="302"/>
      <c r="FO312" s="302"/>
      <c r="FP312" s="302"/>
      <c r="FQ312" s="302"/>
      <c r="FR312" s="302"/>
      <c r="FS312" s="302"/>
      <c r="FT312" s="302"/>
      <c r="FU312" s="302"/>
      <c r="FV312" s="302"/>
      <c r="FW312" s="302"/>
      <c r="FX312" s="302"/>
      <c r="FY312" s="302"/>
      <c r="FZ312" s="302"/>
      <c r="GA312" s="302"/>
      <c r="GB312" s="302"/>
      <c r="GC312" s="302"/>
      <c r="GD312" s="302"/>
      <c r="GE312" s="302"/>
      <c r="GF312" s="302"/>
      <c r="GG312" s="302"/>
      <c r="GH312" s="302"/>
      <c r="GI312" s="302"/>
      <c r="GJ312" s="302"/>
      <c r="GK312" s="302"/>
      <c r="GL312" s="302"/>
      <c r="GM312" s="302"/>
      <c r="GN312" s="302"/>
      <c r="GO312" s="302"/>
      <c r="GP312" s="302"/>
      <c r="GQ312" s="302"/>
      <c r="GR312" s="302"/>
      <c r="GS312" s="302"/>
      <c r="GT312" s="302"/>
      <c r="GU312" s="302"/>
      <c r="GV312" s="302"/>
      <c r="GW312" s="302"/>
      <c r="GX312" s="302"/>
      <c r="GY312" s="302"/>
      <c r="GZ312" s="302"/>
      <c r="HA312" s="302"/>
      <c r="HB312" s="302"/>
      <c r="HC312" s="302"/>
      <c r="HD312" s="302"/>
      <c r="HE312" s="302"/>
      <c r="HF312" s="302"/>
      <c r="HG312" s="302"/>
      <c r="HH312" s="302"/>
      <c r="HI312" s="302"/>
      <c r="HJ312" s="302"/>
      <c r="HK312" s="302"/>
      <c r="HL312" s="302"/>
      <c r="HM312" s="302"/>
      <c r="HN312" s="302"/>
      <c r="HO312" s="302"/>
      <c r="HP312" s="302"/>
      <c r="HQ312" s="302"/>
      <c r="HR312" s="302"/>
      <c r="HS312" s="302"/>
      <c r="HT312" s="302"/>
      <c r="HU312" s="302"/>
      <c r="HV312" s="302"/>
      <c r="HW312" s="302"/>
      <c r="HX312" s="302"/>
      <c r="HY312" s="302"/>
      <c r="HZ312" s="302"/>
      <c r="IA312" s="302"/>
      <c r="IB312" s="302"/>
      <c r="IC312" s="302"/>
      <c r="ID312" s="302"/>
      <c r="IE312" s="302"/>
      <c r="IF312" s="302"/>
      <c r="IG312" s="302"/>
      <c r="IH312" s="302"/>
      <c r="II312" s="302"/>
      <c r="IJ312" s="302"/>
      <c r="IK312" s="302"/>
      <c r="IL312" s="302"/>
      <c r="IM312" s="302"/>
      <c r="IN312" s="302"/>
      <c r="IO312" s="302"/>
      <c r="IP312" s="302"/>
      <c r="IQ312" s="302"/>
      <c r="IR312" s="302"/>
      <c r="IS312" s="302"/>
      <c r="IT312" s="302"/>
      <c r="IU312" s="302"/>
      <c r="IV312" s="302"/>
      <c r="IW312" s="302"/>
      <c r="IX312" s="302"/>
      <c r="IY312" s="302"/>
      <c r="IZ312" s="302"/>
      <c r="JA312" s="302"/>
      <c r="JB312" s="302"/>
      <c r="JC312" s="302"/>
      <c r="JD312" s="302"/>
      <c r="JE312" s="302"/>
      <c r="JF312" s="302"/>
      <c r="JG312" s="302"/>
      <c r="JH312" s="302"/>
      <c r="JI312" s="302"/>
      <c r="JJ312" s="302"/>
      <c r="JK312" s="302"/>
      <c r="JL312" s="302"/>
      <c r="JM312" s="302"/>
      <c r="JN312" s="302"/>
      <c r="JO312" s="302"/>
      <c r="JP312" s="302"/>
      <c r="JQ312" s="302"/>
      <c r="JR312" s="302"/>
      <c r="JS312" s="302"/>
      <c r="JT312" s="302"/>
      <c r="JU312" s="302"/>
      <c r="JV312" s="302"/>
      <c r="JW312" s="302"/>
      <c r="JX312" s="302"/>
      <c r="JY312" s="302"/>
      <c r="JZ312" s="302"/>
      <c r="KA312" s="302"/>
      <c r="KB312" s="302"/>
      <c r="KC312" s="302"/>
      <c r="KD312" s="302"/>
      <c r="KE312" s="302"/>
      <c r="KF312" s="302"/>
      <c r="KG312" s="302"/>
      <c r="KH312" s="302"/>
      <c r="KI312" s="302"/>
      <c r="KJ312" s="302"/>
      <c r="KK312" s="302"/>
      <c r="KL312" s="302"/>
      <c r="KM312" s="302"/>
      <c r="KN312" s="302"/>
      <c r="KO312" s="302"/>
      <c r="KP312" s="302"/>
      <c r="KQ312" s="302"/>
      <c r="KR312" s="302"/>
      <c r="KS312" s="302"/>
      <c r="KT312" s="302"/>
      <c r="KU312" s="302"/>
      <c r="KV312" s="302"/>
      <c r="KW312" s="302"/>
      <c r="KX312" s="302"/>
      <c r="KY312" s="302"/>
      <c r="KZ312" s="302"/>
      <c r="LA312" s="302"/>
      <c r="LB312" s="302"/>
      <c r="LC312" s="302"/>
      <c r="LD312" s="302"/>
      <c r="LE312" s="302"/>
      <c r="LF312" s="302"/>
      <c r="LG312" s="302"/>
      <c r="LH312" s="302"/>
      <c r="LI312" s="302"/>
      <c r="LJ312" s="302"/>
      <c r="LK312" s="302"/>
      <c r="LL312" s="302"/>
      <c r="LM312" s="302"/>
      <c r="LN312" s="302"/>
      <c r="LO312" s="302"/>
      <c r="LP312" s="302"/>
      <c r="LQ312" s="302"/>
      <c r="LR312" s="302"/>
      <c r="LS312" s="302"/>
      <c r="LT312" s="302"/>
      <c r="LU312" s="302"/>
      <c r="LV312" s="302"/>
      <c r="LW312" s="302"/>
      <c r="LX312" s="302"/>
      <c r="LY312" s="302"/>
      <c r="LZ312" s="302"/>
      <c r="MA312" s="302"/>
      <c r="MB312" s="302"/>
      <c r="MC312" s="302"/>
      <c r="MD312" s="302"/>
      <c r="ME312" s="302"/>
      <c r="MF312" s="302"/>
      <c r="MG312" s="302"/>
      <c r="MH312" s="302"/>
      <c r="MI312" s="302"/>
      <c r="MJ312" s="302"/>
      <c r="MK312" s="302"/>
      <c r="ML312" s="302"/>
      <c r="MM312" s="302"/>
      <c r="MN312" s="302"/>
      <c r="MO312" s="302"/>
      <c r="MP312" s="302"/>
      <c r="MQ312" s="302"/>
      <c r="MR312" s="302"/>
      <c r="MS312" s="302"/>
      <c r="MT312" s="302"/>
      <c r="MU312" s="302"/>
      <c r="MV312" s="302"/>
      <c r="MW312" s="302"/>
      <c r="MX312" s="302"/>
      <c r="MY312" s="302"/>
      <c r="MZ312" s="302"/>
      <c r="NA312" s="302"/>
      <c r="NB312" s="302"/>
      <c r="NC312" s="302"/>
      <c r="ND312" s="302"/>
      <c r="NE312" s="302"/>
      <c r="NF312" s="302"/>
      <c r="NG312" s="302"/>
      <c r="NH312" s="302"/>
      <c r="NI312" s="302"/>
      <c r="NJ312" s="302"/>
      <c r="NK312" s="302"/>
      <c r="NL312" s="302"/>
      <c r="NM312" s="302"/>
      <c r="NN312" s="302"/>
      <c r="NO312" s="302"/>
      <c r="NP312" s="302"/>
      <c r="NQ312" s="302"/>
      <c r="NR312" s="302"/>
      <c r="NS312" s="302"/>
      <c r="NT312" s="302"/>
      <c r="NU312" s="302"/>
      <c r="NV312" s="302"/>
      <c r="NW312" s="302"/>
      <c r="NX312" s="302"/>
      <c r="NY312" s="302"/>
      <c r="NZ312" s="302"/>
      <c r="OA312" s="302"/>
      <c r="OB312" s="302"/>
      <c r="OC312" s="302"/>
      <c r="OD312" s="302"/>
      <c r="OE312" s="302"/>
      <c r="OF312" s="302"/>
      <c r="OG312" s="302"/>
      <c r="OH312" s="302"/>
      <c r="OI312" s="302"/>
      <c r="OJ312" s="302"/>
      <c r="OK312" s="302"/>
      <c r="OL312" s="302"/>
      <c r="OM312" s="302"/>
      <c r="ON312" s="302"/>
      <c r="OO312" s="302"/>
      <c r="OP312" s="302"/>
      <c r="OQ312" s="302"/>
      <c r="OR312" s="302"/>
      <c r="OS312" s="302"/>
      <c r="OT312" s="302"/>
      <c r="OU312" s="302"/>
      <c r="OV312" s="302"/>
      <c r="OW312" s="302"/>
      <c r="OX312" s="302"/>
      <c r="OY312" s="302"/>
      <c r="OZ312" s="302"/>
      <c r="PA312" s="302"/>
      <c r="PB312" s="302"/>
      <c r="PC312" s="302"/>
      <c r="PD312" s="302"/>
      <c r="PE312" s="302"/>
      <c r="PF312" s="302"/>
      <c r="PG312" s="302"/>
      <c r="PH312" s="302"/>
      <c r="PI312" s="302"/>
      <c r="PJ312" s="302"/>
      <c r="PK312" s="302"/>
      <c r="PL312" s="302"/>
      <c r="PM312" s="302"/>
      <c r="PN312" s="302"/>
      <c r="PO312" s="302"/>
      <c r="PP312" s="302"/>
      <c r="PQ312" s="302"/>
      <c r="PR312" s="302"/>
      <c r="PS312" s="302"/>
      <c r="PT312" s="302"/>
      <c r="PU312" s="302"/>
      <c r="PV312" s="302"/>
      <c r="PW312" s="302"/>
      <c r="PX312" s="302"/>
      <c r="PY312" s="302"/>
      <c r="PZ312" s="302"/>
      <c r="QA312" s="302"/>
      <c r="QB312" s="302"/>
      <c r="QC312" s="302"/>
      <c r="QD312" s="302"/>
      <c r="QE312" s="302"/>
      <c r="QF312" s="302"/>
      <c r="QG312" s="302"/>
      <c r="QH312" s="302"/>
      <c r="QI312" s="302"/>
      <c r="QJ312" s="302"/>
      <c r="QK312" s="302"/>
      <c r="QL312" s="302"/>
      <c r="QM312" s="302"/>
      <c r="QN312" s="302"/>
      <c r="QO312" s="302"/>
      <c r="QP312" s="302"/>
      <c r="QQ312" s="302"/>
      <c r="QR312" s="302"/>
      <c r="QS312" s="302"/>
      <c r="QT312" s="302"/>
      <c r="QU312" s="302"/>
      <c r="QV312" s="302"/>
      <c r="QW312" s="302"/>
      <c r="QX312" s="302"/>
      <c r="QY312" s="302"/>
      <c r="QZ312" s="302"/>
      <c r="RA312" s="302"/>
      <c r="RB312" s="302"/>
      <c r="RC312" s="302"/>
      <c r="RD312" s="302"/>
      <c r="RE312" s="302"/>
      <c r="RF312" s="302"/>
      <c r="RG312" s="302"/>
      <c r="RH312" s="302"/>
      <c r="RI312" s="302"/>
      <c r="RJ312" s="302"/>
      <c r="RK312" s="302"/>
      <c r="RL312" s="302"/>
      <c r="RM312" s="302"/>
      <c r="RN312" s="302"/>
      <c r="RO312" s="302"/>
      <c r="RP312" s="302"/>
      <c r="RQ312" s="302"/>
      <c r="RR312" s="302"/>
      <c r="RS312" s="302"/>
      <c r="RT312" s="302"/>
      <c r="RU312" s="302"/>
      <c r="RV312" s="302"/>
      <c r="RW312" s="302"/>
      <c r="RX312" s="302"/>
      <c r="RY312" s="302"/>
      <c r="RZ312" s="302"/>
      <c r="SA312" s="302"/>
      <c r="SB312" s="302"/>
      <c r="SC312" s="302"/>
      <c r="SD312" s="302"/>
      <c r="SE312" s="302"/>
      <c r="SF312" s="302"/>
      <c r="SG312" s="302"/>
      <c r="SH312" s="302"/>
      <c r="SI312" s="302"/>
      <c r="SJ312" s="302"/>
      <c r="SK312" s="302"/>
      <c r="SL312" s="302"/>
      <c r="SM312" s="302"/>
      <c r="SN312" s="302"/>
      <c r="SO312" s="302"/>
      <c r="SP312" s="302"/>
      <c r="SQ312" s="302"/>
      <c r="SR312" s="302"/>
      <c r="SS312" s="302"/>
      <c r="ST312" s="302"/>
      <c r="SU312" s="302"/>
      <c r="SV312" s="302"/>
      <c r="SW312" s="302"/>
      <c r="SX312" s="302"/>
      <c r="SY312" s="302"/>
      <c r="SZ312" s="302"/>
      <c r="TA312" s="302"/>
      <c r="TB312" s="302"/>
      <c r="TC312" s="302"/>
      <c r="TD312" s="302"/>
      <c r="TE312" s="302"/>
      <c r="TF312" s="302"/>
      <c r="TG312" s="302"/>
      <c r="TH312" s="302"/>
      <c r="TI312" s="302"/>
      <c r="TJ312" s="302"/>
      <c r="TK312" s="302"/>
      <c r="TL312" s="302"/>
      <c r="TM312" s="302"/>
      <c r="TN312" s="302"/>
      <c r="TO312" s="302"/>
      <c r="TP312" s="302"/>
      <c r="TQ312" s="302"/>
      <c r="TR312" s="302"/>
      <c r="TS312" s="302"/>
      <c r="TT312" s="302"/>
      <c r="TU312" s="302"/>
      <c r="TV312" s="302"/>
      <c r="TW312" s="302"/>
      <c r="TX312" s="302"/>
      <c r="TY312" s="302"/>
      <c r="TZ312" s="302"/>
      <c r="UA312" s="302"/>
      <c r="UB312" s="302"/>
      <c r="UC312" s="302"/>
      <c r="UD312" s="302"/>
      <c r="UE312" s="302"/>
      <c r="UF312" s="302"/>
      <c r="UG312" s="302"/>
      <c r="UH312" s="302"/>
      <c r="UI312" s="302"/>
      <c r="UJ312" s="302"/>
      <c r="UK312" s="302"/>
      <c r="UL312" s="302"/>
      <c r="UM312" s="302"/>
      <c r="UN312" s="302"/>
      <c r="UO312" s="302"/>
      <c r="UP312" s="302"/>
      <c r="UQ312" s="302"/>
      <c r="UR312" s="302"/>
      <c r="US312" s="302"/>
      <c r="UT312" s="302"/>
      <c r="UU312" s="302"/>
      <c r="UV312" s="302"/>
      <c r="UW312" s="302"/>
      <c r="UX312" s="302"/>
      <c r="UY312" s="302"/>
      <c r="UZ312" s="302"/>
      <c r="VA312" s="302"/>
      <c r="VB312" s="302"/>
      <c r="VC312" s="302"/>
      <c r="VD312" s="302"/>
      <c r="VE312" s="302"/>
      <c r="VF312" s="302"/>
      <c r="VG312" s="302"/>
      <c r="VH312" s="302"/>
      <c r="VI312" s="302"/>
      <c r="VJ312" s="302"/>
      <c r="VK312" s="302"/>
      <c r="VL312" s="302"/>
      <c r="VM312" s="302"/>
      <c r="VN312" s="302"/>
      <c r="VO312" s="302"/>
      <c r="VP312" s="302"/>
      <c r="VQ312" s="302"/>
      <c r="VR312" s="302"/>
      <c r="VS312" s="302"/>
      <c r="VT312" s="302"/>
      <c r="VU312" s="302"/>
      <c r="VV312" s="302"/>
      <c r="VW312" s="302"/>
      <c r="VX312" s="302"/>
      <c r="VY312" s="302"/>
      <c r="VZ312" s="302"/>
      <c r="WA312" s="302"/>
      <c r="WB312" s="302"/>
      <c r="WC312" s="302"/>
      <c r="WD312" s="302"/>
      <c r="WE312" s="302"/>
      <c r="WF312" s="302"/>
      <c r="WG312" s="302"/>
      <c r="WH312" s="302"/>
      <c r="WI312" s="302"/>
      <c r="WJ312" s="302"/>
      <c r="WK312" s="302"/>
      <c r="WL312" s="302"/>
      <c r="WM312" s="302"/>
      <c r="WN312" s="302"/>
      <c r="WO312" s="302"/>
      <c r="WP312" s="302"/>
      <c r="WQ312" s="302"/>
      <c r="WR312" s="302"/>
      <c r="WS312" s="302"/>
      <c r="WT312" s="302"/>
      <c r="WU312" s="302"/>
      <c r="WV312" s="302"/>
      <c r="WW312" s="302"/>
      <c r="WX312" s="302"/>
      <c r="WY312" s="302"/>
      <c r="WZ312" s="302"/>
      <c r="XA312" s="302"/>
      <c r="XB312" s="302"/>
      <c r="XC312" s="302"/>
      <c r="XD312" s="302"/>
      <c r="XE312" s="302"/>
      <c r="XF312" s="302"/>
      <c r="XG312" s="302"/>
      <c r="XH312" s="302"/>
      <c r="XI312" s="302"/>
      <c r="XJ312" s="302"/>
      <c r="XK312" s="302"/>
      <c r="XL312" s="302"/>
      <c r="XM312" s="302"/>
      <c r="XN312" s="302"/>
      <c r="XO312" s="302"/>
      <c r="XP312" s="302"/>
      <c r="XQ312" s="302"/>
      <c r="XR312" s="302"/>
      <c r="XS312" s="302"/>
      <c r="XT312" s="302"/>
      <c r="XU312" s="302"/>
      <c r="XV312" s="302"/>
      <c r="XW312" s="302"/>
      <c r="XX312" s="302"/>
      <c r="XY312" s="302"/>
      <c r="XZ312" s="302"/>
      <c r="YA312" s="302"/>
      <c r="YB312" s="302"/>
      <c r="YC312" s="302"/>
      <c r="YD312" s="302"/>
      <c r="YE312" s="302"/>
      <c r="YF312" s="302"/>
      <c r="YG312" s="302"/>
      <c r="YH312" s="302"/>
      <c r="YI312" s="302"/>
      <c r="YJ312" s="302"/>
      <c r="YK312" s="302"/>
      <c r="YL312" s="302"/>
      <c r="YM312" s="302"/>
      <c r="YN312" s="302"/>
      <c r="YO312" s="302"/>
      <c r="YP312" s="302"/>
      <c r="YQ312" s="302"/>
      <c r="YR312" s="302"/>
      <c r="YS312" s="302"/>
      <c r="YT312" s="302"/>
      <c r="YU312" s="302"/>
      <c r="YV312" s="302"/>
      <c r="YW312" s="302"/>
      <c r="YX312" s="302"/>
      <c r="YY312" s="302"/>
      <c r="YZ312" s="302"/>
      <c r="ZA312" s="302"/>
      <c r="ZB312" s="302"/>
      <c r="ZC312" s="302"/>
      <c r="ZD312" s="302"/>
      <c r="ZE312" s="302"/>
      <c r="ZF312" s="302"/>
      <c r="ZG312" s="302"/>
      <c r="ZH312" s="302"/>
      <c r="ZI312" s="302"/>
      <c r="ZJ312" s="302"/>
      <c r="ZK312" s="302"/>
      <c r="ZL312" s="302"/>
      <c r="ZM312" s="302"/>
      <c r="ZN312" s="302"/>
      <c r="ZO312" s="302"/>
      <c r="ZP312" s="302"/>
      <c r="ZQ312" s="302"/>
      <c r="ZR312" s="302"/>
      <c r="ZS312" s="302"/>
      <c r="ZT312" s="302"/>
      <c r="ZU312" s="302"/>
      <c r="ZV312" s="302"/>
      <c r="ZW312" s="302"/>
      <c r="ZX312" s="302"/>
      <c r="ZY312" s="302"/>
      <c r="ZZ312" s="302"/>
      <c r="AAA312" s="302"/>
      <c r="AAB312" s="302"/>
      <c r="AAC312" s="302"/>
      <c r="AAD312" s="302"/>
      <c r="AAE312" s="302"/>
      <c r="AAF312" s="302"/>
      <c r="AAG312" s="302"/>
      <c r="AAH312" s="302"/>
      <c r="AAI312" s="302"/>
      <c r="AAJ312" s="302"/>
      <c r="AAK312" s="302"/>
      <c r="AAL312" s="302"/>
      <c r="AAM312" s="302"/>
      <c r="AAN312" s="302"/>
      <c r="AAO312" s="302"/>
      <c r="AAP312" s="302"/>
      <c r="AAQ312" s="302"/>
      <c r="AAR312" s="302"/>
      <c r="AAS312" s="302"/>
      <c r="AAT312" s="302"/>
      <c r="AAU312" s="302"/>
      <c r="AAV312" s="302"/>
      <c r="AAW312" s="302"/>
      <c r="AAX312" s="302"/>
      <c r="AAY312" s="302"/>
      <c r="AAZ312" s="302"/>
      <c r="ABA312" s="302"/>
      <c r="ABB312" s="302"/>
      <c r="ABC312" s="302"/>
      <c r="ABD312" s="302"/>
      <c r="ABE312" s="302"/>
      <c r="ABF312" s="302"/>
      <c r="ABG312" s="302"/>
      <c r="ABH312" s="302"/>
      <c r="ABI312" s="302"/>
      <c r="ABJ312" s="302"/>
      <c r="ABK312" s="302"/>
      <c r="ABL312" s="302"/>
      <c r="ABM312" s="302"/>
      <c r="ABN312" s="302"/>
      <c r="ABO312" s="302"/>
      <c r="ABP312" s="302"/>
      <c r="ABQ312" s="302"/>
      <c r="ABR312" s="302"/>
      <c r="ABS312" s="302"/>
      <c r="ABT312" s="302"/>
      <c r="ABU312" s="302"/>
      <c r="ABV312" s="302"/>
      <c r="ABW312" s="302"/>
      <c r="ABX312" s="302"/>
      <c r="ABY312" s="302"/>
      <c r="ABZ312" s="302"/>
      <c r="ACA312" s="302"/>
      <c r="ACB312" s="302"/>
      <c r="ACC312" s="302"/>
      <c r="ACD312" s="302"/>
      <c r="ACE312" s="302"/>
      <c r="ACF312" s="302"/>
      <c r="ACG312" s="302"/>
      <c r="ACH312" s="302"/>
      <c r="ACI312" s="302"/>
      <c r="ACJ312" s="302"/>
      <c r="ACK312" s="302"/>
      <c r="ACL312" s="302"/>
      <c r="ACM312" s="302"/>
      <c r="ACN312" s="302"/>
      <c r="ACO312" s="302"/>
      <c r="ACP312" s="302"/>
      <c r="ACQ312" s="302"/>
      <c r="ACR312" s="302"/>
      <c r="ACS312" s="302"/>
      <c r="ACT312" s="302"/>
      <c r="ACU312" s="302"/>
      <c r="ACV312" s="302"/>
      <c r="ACW312" s="302"/>
      <c r="ACX312" s="302"/>
      <c r="ACY312" s="302"/>
      <c r="ACZ312" s="302"/>
      <c r="ADA312" s="302"/>
      <c r="ADB312" s="302"/>
      <c r="ADC312" s="302"/>
      <c r="ADD312" s="302"/>
      <c r="ADE312" s="302"/>
      <c r="ADF312" s="302"/>
      <c r="ADG312" s="302"/>
      <c r="ADH312" s="302"/>
      <c r="ADI312" s="302"/>
      <c r="ADJ312" s="302"/>
      <c r="ADK312" s="302"/>
      <c r="ADL312" s="302"/>
      <c r="ADM312" s="302"/>
      <c r="ADN312" s="302"/>
      <c r="ADO312" s="302"/>
      <c r="ADP312" s="302"/>
      <c r="ADQ312" s="302"/>
      <c r="ADR312" s="302"/>
      <c r="ADS312" s="302"/>
      <c r="ADT312" s="302"/>
      <c r="ADU312" s="302"/>
      <c r="ADV312" s="302"/>
      <c r="ADW312" s="302"/>
      <c r="ADX312" s="302"/>
      <c r="ADY312" s="302"/>
      <c r="ADZ312" s="302"/>
      <c r="AEA312" s="302"/>
      <c r="AEB312" s="302"/>
      <c r="AEC312" s="302"/>
      <c r="AED312" s="302"/>
      <c r="AEE312" s="302"/>
      <c r="AEF312" s="302"/>
      <c r="AEG312" s="302"/>
      <c r="AEH312" s="302"/>
      <c r="AEI312" s="302"/>
      <c r="AEJ312" s="302"/>
      <c r="AEK312" s="302"/>
      <c r="AEL312" s="302"/>
      <c r="AEM312" s="302"/>
      <c r="AEN312" s="302"/>
      <c r="AEO312" s="302"/>
      <c r="AEP312" s="302"/>
      <c r="AEQ312" s="302"/>
      <c r="AER312" s="302"/>
      <c r="AES312" s="302"/>
      <c r="AET312" s="302"/>
      <c r="AEU312" s="302"/>
      <c r="AEV312" s="302"/>
      <c r="AEW312" s="302"/>
      <c r="AEX312" s="302"/>
      <c r="AEY312" s="302"/>
      <c r="AEZ312" s="302"/>
      <c r="AFA312" s="302"/>
      <c r="AFB312" s="302"/>
      <c r="AFC312" s="302"/>
      <c r="AFD312" s="302"/>
      <c r="AFE312" s="302"/>
      <c r="AFF312" s="302"/>
      <c r="AFG312" s="302"/>
      <c r="AFH312" s="302"/>
      <c r="AFI312" s="302"/>
      <c r="AFJ312" s="302"/>
      <c r="AFK312" s="302"/>
      <c r="AFL312" s="302"/>
      <c r="AFM312" s="302"/>
      <c r="AFN312" s="302"/>
      <c r="AFO312" s="302"/>
      <c r="AFP312" s="302"/>
      <c r="AFQ312" s="302"/>
      <c r="AFR312" s="302"/>
      <c r="AFS312" s="302"/>
      <c r="AFT312" s="302"/>
      <c r="AFU312" s="302"/>
      <c r="AFV312" s="302"/>
      <c r="AFW312" s="302"/>
      <c r="AFX312" s="302"/>
      <c r="AFY312" s="302"/>
      <c r="AFZ312" s="302"/>
      <c r="AGA312" s="302"/>
      <c r="AGB312" s="302"/>
      <c r="AGC312" s="302"/>
      <c r="AGD312" s="302"/>
      <c r="AGE312" s="302"/>
      <c r="AGF312" s="302"/>
      <c r="AGG312" s="302"/>
      <c r="AGH312" s="302"/>
      <c r="AGI312" s="302"/>
      <c r="AGJ312" s="302"/>
      <c r="AGK312" s="302"/>
      <c r="AGL312" s="302"/>
      <c r="AGM312" s="302"/>
      <c r="AGN312" s="302"/>
      <c r="AGO312" s="302"/>
      <c r="AGP312" s="302"/>
      <c r="AGQ312" s="302"/>
      <c r="AGR312" s="302"/>
      <c r="AGS312" s="302"/>
      <c r="AGT312" s="302"/>
      <c r="AGU312" s="302"/>
      <c r="AGV312" s="302"/>
      <c r="AGW312" s="302"/>
      <c r="AGX312" s="302"/>
      <c r="AGY312" s="302"/>
      <c r="AGZ312" s="302"/>
      <c r="AHA312" s="302"/>
      <c r="AHB312" s="302"/>
      <c r="AHC312" s="302"/>
      <c r="AHD312" s="302"/>
      <c r="AHE312" s="302"/>
      <c r="AHF312" s="302"/>
      <c r="AHG312" s="302"/>
      <c r="AHH312" s="302"/>
      <c r="AHI312" s="302"/>
      <c r="AHJ312" s="302"/>
      <c r="AHK312" s="302"/>
      <c r="AHL312" s="302"/>
      <c r="AHM312" s="302"/>
      <c r="AHN312" s="302"/>
      <c r="AHO312" s="302"/>
      <c r="AHP312" s="302"/>
      <c r="AHQ312" s="302"/>
      <c r="AHR312" s="302"/>
      <c r="AHS312" s="302"/>
      <c r="AHT312" s="302"/>
      <c r="AHU312" s="302"/>
      <c r="AHV312" s="302"/>
      <c r="AHW312" s="302"/>
      <c r="AHX312" s="302"/>
      <c r="AHY312" s="302"/>
      <c r="AHZ312" s="302"/>
      <c r="AIA312" s="302"/>
      <c r="AIB312" s="302"/>
      <c r="AIC312" s="302"/>
      <c r="AID312" s="302"/>
      <c r="AIE312" s="302"/>
      <c r="AIF312" s="302"/>
      <c r="AIG312" s="302"/>
      <c r="AIH312" s="302"/>
      <c r="AII312" s="302"/>
      <c r="AIJ312" s="302"/>
      <c r="AIK312" s="302"/>
      <c r="AIL312" s="302"/>
      <c r="AIM312" s="302"/>
      <c r="AIN312" s="302"/>
      <c r="AIO312" s="302"/>
      <c r="AIP312" s="302"/>
      <c r="AIQ312" s="302"/>
      <c r="AIR312" s="302"/>
      <c r="AIS312" s="302"/>
      <c r="AIT312" s="302"/>
      <c r="AIU312" s="302"/>
      <c r="AIV312" s="302"/>
      <c r="AIW312" s="302"/>
      <c r="AIX312" s="302"/>
      <c r="AIY312" s="302"/>
      <c r="AIZ312" s="302"/>
      <c r="AJA312" s="302"/>
      <c r="AJB312" s="302"/>
      <c r="AJC312" s="302"/>
      <c r="AJD312" s="302"/>
      <c r="AJE312" s="302"/>
      <c r="AJF312" s="302"/>
      <c r="AJG312" s="302"/>
      <c r="AJH312" s="302"/>
      <c r="AJI312" s="302"/>
      <c r="AJJ312" s="302"/>
      <c r="AJK312" s="302"/>
      <c r="AJL312" s="302"/>
      <c r="AJM312" s="302"/>
      <c r="AJN312" s="302"/>
      <c r="AJO312" s="302"/>
      <c r="AJP312" s="302"/>
      <c r="AJQ312" s="302"/>
      <c r="AJR312" s="302"/>
      <c r="AJS312" s="302"/>
      <c r="AJT312" s="302"/>
      <c r="AJU312" s="302"/>
      <c r="AJV312" s="302"/>
      <c r="AJW312" s="302"/>
      <c r="AJX312" s="302"/>
      <c r="AJY312" s="302"/>
      <c r="AJZ312" s="302"/>
      <c r="AKA312" s="302"/>
      <c r="AKB312" s="302"/>
      <c r="AKC312" s="302"/>
      <c r="AKD312" s="302"/>
      <c r="AKE312" s="302"/>
      <c r="AKF312" s="302"/>
      <c r="AKG312" s="302"/>
      <c r="AKH312" s="302"/>
      <c r="AKI312" s="302"/>
      <c r="AKJ312" s="302"/>
      <c r="AKK312" s="302"/>
      <c r="AKL312" s="302"/>
      <c r="AKM312" s="302"/>
      <c r="AKN312" s="302"/>
      <c r="AKO312" s="302"/>
      <c r="AKP312" s="302"/>
      <c r="AKQ312" s="302"/>
      <c r="AKR312" s="302"/>
      <c r="AKS312" s="302"/>
      <c r="AKT312" s="302"/>
      <c r="AKU312" s="302"/>
      <c r="AKV312" s="302"/>
      <c r="AKW312" s="302"/>
      <c r="AKX312" s="302"/>
      <c r="AKY312" s="302"/>
      <c r="AKZ312" s="302"/>
      <c r="ALA312" s="302"/>
      <c r="ALB312" s="302"/>
      <c r="ALC312" s="302"/>
      <c r="ALD312" s="302"/>
      <c r="ALE312" s="302"/>
      <c r="ALF312" s="302"/>
      <c r="ALG312" s="302"/>
      <c r="ALH312" s="302"/>
      <c r="ALI312" s="302"/>
      <c r="ALJ312" s="302"/>
      <c r="ALK312" s="302"/>
      <c r="ALL312" s="302"/>
      <c r="ALM312" s="302"/>
      <c r="ALN312" s="302"/>
      <c r="ALO312" s="302"/>
      <c r="ALP312" s="302"/>
      <c r="ALQ312" s="302"/>
      <c r="ALR312" s="302"/>
      <c r="ALS312" s="302"/>
      <c r="ALT312" s="302"/>
      <c r="ALU312" s="302"/>
      <c r="ALV312" s="302"/>
      <c r="ALW312" s="302"/>
      <c r="ALX312" s="302"/>
      <c r="ALY312" s="302"/>
      <c r="ALZ312" s="302"/>
      <c r="AMA312" s="302"/>
      <c r="AMB312" s="302"/>
      <c r="AMC312" s="302"/>
      <c r="AMD312" s="302"/>
      <c r="AME312" s="302"/>
      <c r="AMF312" s="302"/>
      <c r="AMG312" s="302"/>
      <c r="AMH312" s="302"/>
      <c r="AMI312" s="302"/>
    </row>
    <row r="313" spans="1:1023" ht="18.75" hidden="1">
      <c r="A313" s="302"/>
      <c r="B313" s="304"/>
      <c r="C313" s="304"/>
      <c r="D313" s="305" t="s">
        <v>378</v>
      </c>
      <c r="E313" s="531">
        <f>SUM(E296:E312)</f>
        <v>51200000</v>
      </c>
      <c r="F313" s="317" t="s">
        <v>423</v>
      </c>
      <c r="G313" s="368">
        <f>SUM(G296:G312)</f>
        <v>1075250</v>
      </c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  <c r="AD313" s="302"/>
      <c r="AE313" s="302"/>
      <c r="AF313" s="302"/>
      <c r="AG313" s="302"/>
      <c r="AH313" s="302"/>
      <c r="AI313" s="302"/>
      <c r="AJ313" s="302"/>
      <c r="AK313" s="302"/>
      <c r="AL313" s="302"/>
      <c r="AM313" s="302"/>
      <c r="AN313" s="302"/>
      <c r="AO313" s="302"/>
      <c r="AP313" s="302"/>
      <c r="AQ313" s="302"/>
      <c r="AR313" s="302"/>
      <c r="AS313" s="302"/>
      <c r="AT313" s="302"/>
      <c r="AU313" s="302"/>
      <c r="AV313" s="302"/>
      <c r="AW313" s="302"/>
      <c r="AX313" s="302"/>
      <c r="AY313" s="302"/>
      <c r="AZ313" s="302"/>
      <c r="BA313" s="302"/>
      <c r="BB313" s="302"/>
      <c r="BC313" s="302"/>
      <c r="BD313" s="302"/>
      <c r="BE313" s="302"/>
      <c r="BF313" s="302"/>
      <c r="BG313" s="302"/>
      <c r="BH313" s="302"/>
      <c r="BI313" s="302"/>
      <c r="BJ313" s="302"/>
      <c r="BK313" s="302"/>
      <c r="BL313" s="302"/>
      <c r="BM313" s="302"/>
      <c r="BN313" s="302"/>
      <c r="BO313" s="302"/>
      <c r="BP313" s="302"/>
      <c r="BQ313" s="302"/>
      <c r="BR313" s="302"/>
      <c r="BS313" s="302"/>
      <c r="BT313" s="302"/>
      <c r="BU313" s="302"/>
      <c r="BV313" s="302"/>
      <c r="BW313" s="302"/>
      <c r="BX313" s="302"/>
      <c r="BY313" s="302"/>
      <c r="BZ313" s="302"/>
      <c r="CA313" s="302"/>
      <c r="CB313" s="302"/>
      <c r="CC313" s="302"/>
      <c r="CD313" s="302"/>
      <c r="CE313" s="302"/>
      <c r="CF313" s="302"/>
      <c r="CG313" s="302"/>
      <c r="CH313" s="302"/>
      <c r="CI313" s="302"/>
      <c r="CJ313" s="302"/>
      <c r="CK313" s="302"/>
      <c r="CL313" s="302"/>
      <c r="CM313" s="302"/>
      <c r="CN313" s="302"/>
      <c r="CO313" s="302"/>
      <c r="CP313" s="302"/>
      <c r="CQ313" s="302"/>
      <c r="CR313" s="302"/>
      <c r="CS313" s="302"/>
      <c r="CT313" s="302"/>
      <c r="CU313" s="302"/>
      <c r="CV313" s="302"/>
      <c r="CW313" s="302"/>
      <c r="CX313" s="302"/>
      <c r="CY313" s="302"/>
      <c r="CZ313" s="302"/>
      <c r="DA313" s="302"/>
      <c r="DB313" s="302"/>
      <c r="DC313" s="302"/>
      <c r="DD313" s="302"/>
      <c r="DE313" s="302"/>
      <c r="DF313" s="302"/>
      <c r="DG313" s="302"/>
      <c r="DH313" s="302"/>
      <c r="DI313" s="302"/>
      <c r="DJ313" s="302"/>
      <c r="DK313" s="302"/>
      <c r="DL313" s="302"/>
      <c r="DM313" s="302"/>
      <c r="DN313" s="302"/>
      <c r="DO313" s="302"/>
      <c r="DP313" s="302"/>
      <c r="DQ313" s="302"/>
      <c r="DR313" s="302"/>
      <c r="DS313" s="302"/>
      <c r="DT313" s="302"/>
      <c r="DU313" s="302"/>
      <c r="DV313" s="302"/>
      <c r="DW313" s="302"/>
      <c r="DX313" s="302"/>
      <c r="DY313" s="302"/>
      <c r="DZ313" s="302"/>
      <c r="EA313" s="302"/>
      <c r="EB313" s="302"/>
      <c r="EC313" s="302"/>
      <c r="ED313" s="302"/>
      <c r="EE313" s="302"/>
      <c r="EF313" s="302"/>
      <c r="EG313" s="302"/>
      <c r="EH313" s="302"/>
      <c r="EI313" s="302"/>
      <c r="EJ313" s="302"/>
      <c r="EK313" s="302"/>
      <c r="EL313" s="302"/>
      <c r="EM313" s="302"/>
      <c r="EN313" s="302"/>
      <c r="EO313" s="302"/>
      <c r="EP313" s="302"/>
      <c r="EQ313" s="302"/>
      <c r="ER313" s="302"/>
      <c r="ES313" s="302"/>
      <c r="ET313" s="302"/>
      <c r="EU313" s="302"/>
      <c r="EV313" s="302"/>
      <c r="EW313" s="302"/>
      <c r="EX313" s="302"/>
      <c r="EY313" s="302"/>
      <c r="EZ313" s="302"/>
      <c r="FA313" s="302"/>
      <c r="FB313" s="302"/>
      <c r="FC313" s="302"/>
      <c r="FD313" s="302"/>
      <c r="FE313" s="302"/>
      <c r="FF313" s="302"/>
      <c r="FG313" s="302"/>
      <c r="FH313" s="302"/>
      <c r="FI313" s="302"/>
      <c r="FJ313" s="302"/>
      <c r="FK313" s="302"/>
      <c r="FL313" s="302"/>
      <c r="FM313" s="302"/>
      <c r="FN313" s="302"/>
      <c r="FO313" s="302"/>
      <c r="FP313" s="302"/>
      <c r="FQ313" s="302"/>
      <c r="FR313" s="302"/>
      <c r="FS313" s="302"/>
      <c r="FT313" s="302"/>
      <c r="FU313" s="302"/>
      <c r="FV313" s="302"/>
      <c r="FW313" s="302"/>
      <c r="FX313" s="302"/>
      <c r="FY313" s="302"/>
      <c r="FZ313" s="302"/>
      <c r="GA313" s="302"/>
      <c r="GB313" s="302"/>
      <c r="GC313" s="302"/>
      <c r="GD313" s="302"/>
      <c r="GE313" s="302"/>
      <c r="GF313" s="302"/>
      <c r="GG313" s="302"/>
      <c r="GH313" s="302"/>
      <c r="GI313" s="302"/>
      <c r="GJ313" s="302"/>
      <c r="GK313" s="302"/>
      <c r="GL313" s="302"/>
      <c r="GM313" s="302"/>
      <c r="GN313" s="302"/>
      <c r="GO313" s="302"/>
      <c r="GP313" s="302"/>
      <c r="GQ313" s="302"/>
      <c r="GR313" s="302"/>
      <c r="GS313" s="302"/>
      <c r="GT313" s="302"/>
      <c r="GU313" s="302"/>
      <c r="GV313" s="302"/>
      <c r="GW313" s="302"/>
      <c r="GX313" s="302"/>
      <c r="GY313" s="302"/>
      <c r="GZ313" s="302"/>
      <c r="HA313" s="302"/>
      <c r="HB313" s="302"/>
      <c r="HC313" s="302"/>
      <c r="HD313" s="302"/>
      <c r="HE313" s="302"/>
      <c r="HF313" s="302"/>
      <c r="HG313" s="302"/>
      <c r="HH313" s="302"/>
      <c r="HI313" s="302"/>
      <c r="HJ313" s="302"/>
      <c r="HK313" s="302"/>
      <c r="HL313" s="302"/>
      <c r="HM313" s="302"/>
      <c r="HN313" s="302"/>
      <c r="HO313" s="302"/>
      <c r="HP313" s="302"/>
      <c r="HQ313" s="302"/>
      <c r="HR313" s="302"/>
      <c r="HS313" s="302"/>
      <c r="HT313" s="302"/>
      <c r="HU313" s="302"/>
      <c r="HV313" s="302"/>
      <c r="HW313" s="302"/>
      <c r="HX313" s="302"/>
      <c r="HY313" s="302"/>
      <c r="HZ313" s="302"/>
      <c r="IA313" s="302"/>
      <c r="IB313" s="302"/>
      <c r="IC313" s="302"/>
      <c r="ID313" s="302"/>
      <c r="IE313" s="302"/>
      <c r="IF313" s="302"/>
      <c r="IG313" s="302"/>
      <c r="IH313" s="302"/>
      <c r="II313" s="302"/>
      <c r="IJ313" s="302"/>
      <c r="IK313" s="302"/>
      <c r="IL313" s="302"/>
      <c r="IM313" s="302"/>
      <c r="IN313" s="302"/>
      <c r="IO313" s="302"/>
      <c r="IP313" s="302"/>
      <c r="IQ313" s="302"/>
      <c r="IR313" s="302"/>
      <c r="IS313" s="302"/>
      <c r="IT313" s="302"/>
      <c r="IU313" s="302"/>
      <c r="IV313" s="302"/>
      <c r="IW313" s="302"/>
      <c r="IX313" s="302"/>
      <c r="IY313" s="302"/>
      <c r="IZ313" s="302"/>
      <c r="JA313" s="302"/>
      <c r="JB313" s="302"/>
      <c r="JC313" s="302"/>
      <c r="JD313" s="302"/>
      <c r="JE313" s="302"/>
      <c r="JF313" s="302"/>
      <c r="JG313" s="302"/>
      <c r="JH313" s="302"/>
      <c r="JI313" s="302"/>
      <c r="JJ313" s="302"/>
      <c r="JK313" s="302"/>
      <c r="JL313" s="302"/>
      <c r="JM313" s="302"/>
      <c r="JN313" s="302"/>
      <c r="JO313" s="302"/>
      <c r="JP313" s="302"/>
      <c r="JQ313" s="302"/>
      <c r="JR313" s="302"/>
      <c r="JS313" s="302"/>
      <c r="JT313" s="302"/>
      <c r="JU313" s="302"/>
      <c r="JV313" s="302"/>
      <c r="JW313" s="302"/>
      <c r="JX313" s="302"/>
      <c r="JY313" s="302"/>
      <c r="JZ313" s="302"/>
      <c r="KA313" s="302"/>
      <c r="KB313" s="302"/>
      <c r="KC313" s="302"/>
      <c r="KD313" s="302"/>
      <c r="KE313" s="302"/>
      <c r="KF313" s="302"/>
      <c r="KG313" s="302"/>
      <c r="KH313" s="302"/>
      <c r="KI313" s="302"/>
      <c r="KJ313" s="302"/>
      <c r="KK313" s="302"/>
      <c r="KL313" s="302"/>
      <c r="KM313" s="302"/>
      <c r="KN313" s="302"/>
      <c r="KO313" s="302"/>
      <c r="KP313" s="302"/>
      <c r="KQ313" s="302"/>
      <c r="KR313" s="302"/>
      <c r="KS313" s="302"/>
      <c r="KT313" s="302"/>
      <c r="KU313" s="302"/>
      <c r="KV313" s="302"/>
      <c r="KW313" s="302"/>
      <c r="KX313" s="302"/>
      <c r="KY313" s="302"/>
      <c r="KZ313" s="302"/>
      <c r="LA313" s="302"/>
      <c r="LB313" s="302"/>
      <c r="LC313" s="302"/>
      <c r="LD313" s="302"/>
      <c r="LE313" s="302"/>
      <c r="LF313" s="302"/>
      <c r="LG313" s="302"/>
      <c r="LH313" s="302"/>
      <c r="LI313" s="302"/>
      <c r="LJ313" s="302"/>
      <c r="LK313" s="302"/>
      <c r="LL313" s="302"/>
      <c r="LM313" s="302"/>
      <c r="LN313" s="302"/>
      <c r="LO313" s="302"/>
      <c r="LP313" s="302"/>
      <c r="LQ313" s="302"/>
      <c r="LR313" s="302"/>
      <c r="LS313" s="302"/>
      <c r="LT313" s="302"/>
      <c r="LU313" s="302"/>
      <c r="LV313" s="302"/>
      <c r="LW313" s="302"/>
      <c r="LX313" s="302"/>
      <c r="LY313" s="302"/>
      <c r="LZ313" s="302"/>
      <c r="MA313" s="302"/>
      <c r="MB313" s="302"/>
      <c r="MC313" s="302"/>
      <c r="MD313" s="302"/>
      <c r="ME313" s="302"/>
      <c r="MF313" s="302"/>
      <c r="MG313" s="302"/>
      <c r="MH313" s="302"/>
      <c r="MI313" s="302"/>
      <c r="MJ313" s="302"/>
      <c r="MK313" s="302"/>
      <c r="ML313" s="302"/>
      <c r="MM313" s="302"/>
      <c r="MN313" s="302"/>
      <c r="MO313" s="302"/>
      <c r="MP313" s="302"/>
      <c r="MQ313" s="302"/>
      <c r="MR313" s="302"/>
      <c r="MS313" s="302"/>
      <c r="MT313" s="302"/>
      <c r="MU313" s="302"/>
      <c r="MV313" s="302"/>
      <c r="MW313" s="302"/>
      <c r="MX313" s="302"/>
      <c r="MY313" s="302"/>
      <c r="MZ313" s="302"/>
      <c r="NA313" s="302"/>
      <c r="NB313" s="302"/>
      <c r="NC313" s="302"/>
      <c r="ND313" s="302"/>
      <c r="NE313" s="302"/>
      <c r="NF313" s="302"/>
      <c r="NG313" s="302"/>
      <c r="NH313" s="302"/>
      <c r="NI313" s="302"/>
      <c r="NJ313" s="302"/>
      <c r="NK313" s="302"/>
      <c r="NL313" s="302"/>
      <c r="NM313" s="302"/>
      <c r="NN313" s="302"/>
      <c r="NO313" s="302"/>
      <c r="NP313" s="302"/>
      <c r="NQ313" s="302"/>
      <c r="NR313" s="302"/>
      <c r="NS313" s="302"/>
      <c r="NT313" s="302"/>
      <c r="NU313" s="302"/>
      <c r="NV313" s="302"/>
      <c r="NW313" s="302"/>
      <c r="NX313" s="302"/>
      <c r="NY313" s="302"/>
      <c r="NZ313" s="302"/>
      <c r="OA313" s="302"/>
      <c r="OB313" s="302"/>
      <c r="OC313" s="302"/>
      <c r="OD313" s="302"/>
      <c r="OE313" s="302"/>
      <c r="OF313" s="302"/>
      <c r="OG313" s="302"/>
      <c r="OH313" s="302"/>
      <c r="OI313" s="302"/>
      <c r="OJ313" s="302"/>
      <c r="OK313" s="302"/>
      <c r="OL313" s="302"/>
      <c r="OM313" s="302"/>
      <c r="ON313" s="302"/>
      <c r="OO313" s="302"/>
      <c r="OP313" s="302"/>
      <c r="OQ313" s="302"/>
      <c r="OR313" s="302"/>
      <c r="OS313" s="302"/>
      <c r="OT313" s="302"/>
      <c r="OU313" s="302"/>
      <c r="OV313" s="302"/>
      <c r="OW313" s="302"/>
      <c r="OX313" s="302"/>
      <c r="OY313" s="302"/>
      <c r="OZ313" s="302"/>
      <c r="PA313" s="302"/>
      <c r="PB313" s="302"/>
      <c r="PC313" s="302"/>
      <c r="PD313" s="302"/>
      <c r="PE313" s="302"/>
      <c r="PF313" s="302"/>
      <c r="PG313" s="302"/>
      <c r="PH313" s="302"/>
      <c r="PI313" s="302"/>
      <c r="PJ313" s="302"/>
      <c r="PK313" s="302"/>
      <c r="PL313" s="302"/>
      <c r="PM313" s="302"/>
      <c r="PN313" s="302"/>
      <c r="PO313" s="302"/>
      <c r="PP313" s="302"/>
      <c r="PQ313" s="302"/>
      <c r="PR313" s="302"/>
      <c r="PS313" s="302"/>
      <c r="PT313" s="302"/>
      <c r="PU313" s="302"/>
      <c r="PV313" s="302"/>
      <c r="PW313" s="302"/>
      <c r="PX313" s="302"/>
      <c r="PY313" s="302"/>
      <c r="PZ313" s="302"/>
      <c r="QA313" s="302"/>
      <c r="QB313" s="302"/>
      <c r="QC313" s="302"/>
      <c r="QD313" s="302"/>
      <c r="QE313" s="302"/>
      <c r="QF313" s="302"/>
      <c r="QG313" s="302"/>
      <c r="QH313" s="302"/>
      <c r="QI313" s="302"/>
      <c r="QJ313" s="302"/>
      <c r="QK313" s="302"/>
      <c r="QL313" s="302"/>
      <c r="QM313" s="302"/>
      <c r="QN313" s="302"/>
      <c r="QO313" s="302"/>
      <c r="QP313" s="302"/>
      <c r="QQ313" s="302"/>
      <c r="QR313" s="302"/>
      <c r="QS313" s="302"/>
      <c r="QT313" s="302"/>
      <c r="QU313" s="302"/>
      <c r="QV313" s="302"/>
      <c r="QW313" s="302"/>
      <c r="QX313" s="302"/>
      <c r="QY313" s="302"/>
      <c r="QZ313" s="302"/>
      <c r="RA313" s="302"/>
      <c r="RB313" s="302"/>
      <c r="RC313" s="302"/>
      <c r="RD313" s="302"/>
      <c r="RE313" s="302"/>
      <c r="RF313" s="302"/>
      <c r="RG313" s="302"/>
      <c r="RH313" s="302"/>
      <c r="RI313" s="302"/>
      <c r="RJ313" s="302"/>
      <c r="RK313" s="302"/>
      <c r="RL313" s="302"/>
      <c r="RM313" s="302"/>
      <c r="RN313" s="302"/>
      <c r="RO313" s="302"/>
      <c r="RP313" s="302"/>
      <c r="RQ313" s="302"/>
      <c r="RR313" s="302"/>
      <c r="RS313" s="302"/>
      <c r="RT313" s="302"/>
      <c r="RU313" s="302"/>
      <c r="RV313" s="302"/>
      <c r="RW313" s="302"/>
      <c r="RX313" s="302"/>
      <c r="RY313" s="302"/>
      <c r="RZ313" s="302"/>
      <c r="SA313" s="302"/>
      <c r="SB313" s="302"/>
      <c r="SC313" s="302"/>
      <c r="SD313" s="302"/>
      <c r="SE313" s="302"/>
      <c r="SF313" s="302"/>
      <c r="SG313" s="302"/>
      <c r="SH313" s="302"/>
      <c r="SI313" s="302"/>
      <c r="SJ313" s="302"/>
      <c r="SK313" s="302"/>
      <c r="SL313" s="302"/>
      <c r="SM313" s="302"/>
      <c r="SN313" s="302"/>
      <c r="SO313" s="302"/>
      <c r="SP313" s="302"/>
      <c r="SQ313" s="302"/>
      <c r="SR313" s="302"/>
      <c r="SS313" s="302"/>
      <c r="ST313" s="302"/>
      <c r="SU313" s="302"/>
      <c r="SV313" s="302"/>
      <c r="SW313" s="302"/>
      <c r="SX313" s="302"/>
      <c r="SY313" s="302"/>
      <c r="SZ313" s="302"/>
      <c r="TA313" s="302"/>
      <c r="TB313" s="302"/>
      <c r="TC313" s="302"/>
      <c r="TD313" s="302"/>
      <c r="TE313" s="302"/>
      <c r="TF313" s="302"/>
      <c r="TG313" s="302"/>
      <c r="TH313" s="302"/>
      <c r="TI313" s="302"/>
      <c r="TJ313" s="302"/>
      <c r="TK313" s="302"/>
      <c r="TL313" s="302"/>
      <c r="TM313" s="302"/>
      <c r="TN313" s="302"/>
      <c r="TO313" s="302"/>
      <c r="TP313" s="302"/>
      <c r="TQ313" s="302"/>
      <c r="TR313" s="302"/>
      <c r="TS313" s="302"/>
      <c r="TT313" s="302"/>
      <c r="TU313" s="302"/>
      <c r="TV313" s="302"/>
      <c r="TW313" s="302"/>
      <c r="TX313" s="302"/>
      <c r="TY313" s="302"/>
      <c r="TZ313" s="302"/>
      <c r="UA313" s="302"/>
      <c r="UB313" s="302"/>
      <c r="UC313" s="302"/>
      <c r="UD313" s="302"/>
      <c r="UE313" s="302"/>
      <c r="UF313" s="302"/>
      <c r="UG313" s="302"/>
      <c r="UH313" s="302"/>
      <c r="UI313" s="302"/>
      <c r="UJ313" s="302"/>
      <c r="UK313" s="302"/>
      <c r="UL313" s="302"/>
      <c r="UM313" s="302"/>
      <c r="UN313" s="302"/>
      <c r="UO313" s="302"/>
      <c r="UP313" s="302"/>
      <c r="UQ313" s="302"/>
      <c r="UR313" s="302"/>
      <c r="US313" s="302"/>
      <c r="UT313" s="302"/>
      <c r="UU313" s="302"/>
      <c r="UV313" s="302"/>
      <c r="UW313" s="302"/>
      <c r="UX313" s="302"/>
      <c r="UY313" s="302"/>
      <c r="UZ313" s="302"/>
      <c r="VA313" s="302"/>
      <c r="VB313" s="302"/>
      <c r="VC313" s="302"/>
      <c r="VD313" s="302"/>
      <c r="VE313" s="302"/>
      <c r="VF313" s="302"/>
      <c r="VG313" s="302"/>
      <c r="VH313" s="302"/>
      <c r="VI313" s="302"/>
      <c r="VJ313" s="302"/>
      <c r="VK313" s="302"/>
      <c r="VL313" s="302"/>
      <c r="VM313" s="302"/>
      <c r="VN313" s="302"/>
      <c r="VO313" s="302"/>
      <c r="VP313" s="302"/>
      <c r="VQ313" s="302"/>
      <c r="VR313" s="302"/>
      <c r="VS313" s="302"/>
      <c r="VT313" s="302"/>
      <c r="VU313" s="302"/>
      <c r="VV313" s="302"/>
      <c r="VW313" s="302"/>
      <c r="VX313" s="302"/>
      <c r="VY313" s="302"/>
      <c r="VZ313" s="302"/>
      <c r="WA313" s="302"/>
      <c r="WB313" s="302"/>
      <c r="WC313" s="302"/>
      <c r="WD313" s="302"/>
      <c r="WE313" s="302"/>
      <c r="WF313" s="302"/>
      <c r="WG313" s="302"/>
      <c r="WH313" s="302"/>
      <c r="WI313" s="302"/>
      <c r="WJ313" s="302"/>
      <c r="WK313" s="302"/>
      <c r="WL313" s="302"/>
      <c r="WM313" s="302"/>
      <c r="WN313" s="302"/>
      <c r="WO313" s="302"/>
      <c r="WP313" s="302"/>
      <c r="WQ313" s="302"/>
      <c r="WR313" s="302"/>
      <c r="WS313" s="302"/>
      <c r="WT313" s="302"/>
      <c r="WU313" s="302"/>
      <c r="WV313" s="302"/>
      <c r="WW313" s="302"/>
      <c r="WX313" s="302"/>
      <c r="WY313" s="302"/>
      <c r="WZ313" s="302"/>
      <c r="XA313" s="302"/>
      <c r="XB313" s="302"/>
      <c r="XC313" s="302"/>
      <c r="XD313" s="302"/>
      <c r="XE313" s="302"/>
      <c r="XF313" s="302"/>
      <c r="XG313" s="302"/>
      <c r="XH313" s="302"/>
      <c r="XI313" s="302"/>
      <c r="XJ313" s="302"/>
      <c r="XK313" s="302"/>
      <c r="XL313" s="302"/>
      <c r="XM313" s="302"/>
      <c r="XN313" s="302"/>
      <c r="XO313" s="302"/>
      <c r="XP313" s="302"/>
      <c r="XQ313" s="302"/>
      <c r="XR313" s="302"/>
      <c r="XS313" s="302"/>
      <c r="XT313" s="302"/>
      <c r="XU313" s="302"/>
      <c r="XV313" s="302"/>
      <c r="XW313" s="302"/>
      <c r="XX313" s="302"/>
      <c r="XY313" s="302"/>
      <c r="XZ313" s="302"/>
      <c r="YA313" s="302"/>
      <c r="YB313" s="302"/>
      <c r="YC313" s="302"/>
      <c r="YD313" s="302"/>
      <c r="YE313" s="302"/>
      <c r="YF313" s="302"/>
      <c r="YG313" s="302"/>
      <c r="YH313" s="302"/>
      <c r="YI313" s="302"/>
      <c r="YJ313" s="302"/>
      <c r="YK313" s="302"/>
      <c r="YL313" s="302"/>
      <c r="YM313" s="302"/>
      <c r="YN313" s="302"/>
      <c r="YO313" s="302"/>
      <c r="YP313" s="302"/>
      <c r="YQ313" s="302"/>
      <c r="YR313" s="302"/>
      <c r="YS313" s="302"/>
      <c r="YT313" s="302"/>
      <c r="YU313" s="302"/>
      <c r="YV313" s="302"/>
      <c r="YW313" s="302"/>
      <c r="YX313" s="302"/>
      <c r="YY313" s="302"/>
      <c r="YZ313" s="302"/>
      <c r="ZA313" s="302"/>
      <c r="ZB313" s="302"/>
      <c r="ZC313" s="302"/>
      <c r="ZD313" s="302"/>
      <c r="ZE313" s="302"/>
      <c r="ZF313" s="302"/>
      <c r="ZG313" s="302"/>
      <c r="ZH313" s="302"/>
      <c r="ZI313" s="302"/>
      <c r="ZJ313" s="302"/>
      <c r="ZK313" s="302"/>
      <c r="ZL313" s="302"/>
      <c r="ZM313" s="302"/>
      <c r="ZN313" s="302"/>
      <c r="ZO313" s="302"/>
      <c r="ZP313" s="302"/>
      <c r="ZQ313" s="302"/>
      <c r="ZR313" s="302"/>
      <c r="ZS313" s="302"/>
      <c r="ZT313" s="302"/>
      <c r="ZU313" s="302"/>
      <c r="ZV313" s="302"/>
      <c r="ZW313" s="302"/>
      <c r="ZX313" s="302"/>
      <c r="ZY313" s="302"/>
      <c r="ZZ313" s="302"/>
      <c r="AAA313" s="302"/>
      <c r="AAB313" s="302"/>
      <c r="AAC313" s="302"/>
      <c r="AAD313" s="302"/>
      <c r="AAE313" s="302"/>
      <c r="AAF313" s="302"/>
      <c r="AAG313" s="302"/>
      <c r="AAH313" s="302"/>
      <c r="AAI313" s="302"/>
      <c r="AAJ313" s="302"/>
      <c r="AAK313" s="302"/>
      <c r="AAL313" s="302"/>
      <c r="AAM313" s="302"/>
      <c r="AAN313" s="302"/>
      <c r="AAO313" s="302"/>
      <c r="AAP313" s="302"/>
      <c r="AAQ313" s="302"/>
      <c r="AAR313" s="302"/>
      <c r="AAS313" s="302"/>
      <c r="AAT313" s="302"/>
      <c r="AAU313" s="302"/>
      <c r="AAV313" s="302"/>
      <c r="AAW313" s="302"/>
      <c r="AAX313" s="302"/>
      <c r="AAY313" s="302"/>
      <c r="AAZ313" s="302"/>
      <c r="ABA313" s="302"/>
      <c r="ABB313" s="302"/>
      <c r="ABC313" s="302"/>
      <c r="ABD313" s="302"/>
      <c r="ABE313" s="302"/>
      <c r="ABF313" s="302"/>
      <c r="ABG313" s="302"/>
      <c r="ABH313" s="302"/>
      <c r="ABI313" s="302"/>
      <c r="ABJ313" s="302"/>
      <c r="ABK313" s="302"/>
      <c r="ABL313" s="302"/>
      <c r="ABM313" s="302"/>
      <c r="ABN313" s="302"/>
      <c r="ABO313" s="302"/>
      <c r="ABP313" s="302"/>
      <c r="ABQ313" s="302"/>
      <c r="ABR313" s="302"/>
      <c r="ABS313" s="302"/>
      <c r="ABT313" s="302"/>
      <c r="ABU313" s="302"/>
      <c r="ABV313" s="302"/>
      <c r="ABW313" s="302"/>
      <c r="ABX313" s="302"/>
      <c r="ABY313" s="302"/>
      <c r="ABZ313" s="302"/>
      <c r="ACA313" s="302"/>
      <c r="ACB313" s="302"/>
      <c r="ACC313" s="302"/>
      <c r="ACD313" s="302"/>
      <c r="ACE313" s="302"/>
      <c r="ACF313" s="302"/>
      <c r="ACG313" s="302"/>
      <c r="ACH313" s="302"/>
      <c r="ACI313" s="302"/>
      <c r="ACJ313" s="302"/>
      <c r="ACK313" s="302"/>
      <c r="ACL313" s="302"/>
      <c r="ACM313" s="302"/>
      <c r="ACN313" s="302"/>
      <c r="ACO313" s="302"/>
      <c r="ACP313" s="302"/>
      <c r="ACQ313" s="302"/>
      <c r="ACR313" s="302"/>
      <c r="ACS313" s="302"/>
      <c r="ACT313" s="302"/>
      <c r="ACU313" s="302"/>
      <c r="ACV313" s="302"/>
      <c r="ACW313" s="302"/>
      <c r="ACX313" s="302"/>
      <c r="ACY313" s="302"/>
      <c r="ACZ313" s="302"/>
      <c r="ADA313" s="302"/>
      <c r="ADB313" s="302"/>
      <c r="ADC313" s="302"/>
      <c r="ADD313" s="302"/>
      <c r="ADE313" s="302"/>
      <c r="ADF313" s="302"/>
      <c r="ADG313" s="302"/>
      <c r="ADH313" s="302"/>
      <c r="ADI313" s="302"/>
      <c r="ADJ313" s="302"/>
      <c r="ADK313" s="302"/>
      <c r="ADL313" s="302"/>
      <c r="ADM313" s="302"/>
      <c r="ADN313" s="302"/>
      <c r="ADO313" s="302"/>
      <c r="ADP313" s="302"/>
      <c r="ADQ313" s="302"/>
      <c r="ADR313" s="302"/>
      <c r="ADS313" s="302"/>
      <c r="ADT313" s="302"/>
      <c r="ADU313" s="302"/>
      <c r="ADV313" s="302"/>
      <c r="ADW313" s="302"/>
      <c r="ADX313" s="302"/>
      <c r="ADY313" s="302"/>
      <c r="ADZ313" s="302"/>
      <c r="AEA313" s="302"/>
      <c r="AEB313" s="302"/>
      <c r="AEC313" s="302"/>
      <c r="AED313" s="302"/>
      <c r="AEE313" s="302"/>
      <c r="AEF313" s="302"/>
      <c r="AEG313" s="302"/>
      <c r="AEH313" s="302"/>
      <c r="AEI313" s="302"/>
      <c r="AEJ313" s="302"/>
      <c r="AEK313" s="302"/>
      <c r="AEL313" s="302"/>
      <c r="AEM313" s="302"/>
      <c r="AEN313" s="302"/>
      <c r="AEO313" s="302"/>
      <c r="AEP313" s="302"/>
      <c r="AEQ313" s="302"/>
      <c r="AER313" s="302"/>
      <c r="AES313" s="302"/>
      <c r="AET313" s="302"/>
      <c r="AEU313" s="302"/>
      <c r="AEV313" s="302"/>
      <c r="AEW313" s="302"/>
      <c r="AEX313" s="302"/>
      <c r="AEY313" s="302"/>
      <c r="AEZ313" s="302"/>
      <c r="AFA313" s="302"/>
      <c r="AFB313" s="302"/>
      <c r="AFC313" s="302"/>
      <c r="AFD313" s="302"/>
      <c r="AFE313" s="302"/>
      <c r="AFF313" s="302"/>
      <c r="AFG313" s="302"/>
      <c r="AFH313" s="302"/>
      <c r="AFI313" s="302"/>
      <c r="AFJ313" s="302"/>
      <c r="AFK313" s="302"/>
      <c r="AFL313" s="302"/>
      <c r="AFM313" s="302"/>
      <c r="AFN313" s="302"/>
      <c r="AFO313" s="302"/>
      <c r="AFP313" s="302"/>
      <c r="AFQ313" s="302"/>
      <c r="AFR313" s="302"/>
      <c r="AFS313" s="302"/>
      <c r="AFT313" s="302"/>
      <c r="AFU313" s="302"/>
      <c r="AFV313" s="302"/>
      <c r="AFW313" s="302"/>
      <c r="AFX313" s="302"/>
      <c r="AFY313" s="302"/>
      <c r="AFZ313" s="302"/>
      <c r="AGA313" s="302"/>
      <c r="AGB313" s="302"/>
      <c r="AGC313" s="302"/>
      <c r="AGD313" s="302"/>
      <c r="AGE313" s="302"/>
      <c r="AGF313" s="302"/>
      <c r="AGG313" s="302"/>
      <c r="AGH313" s="302"/>
      <c r="AGI313" s="302"/>
      <c r="AGJ313" s="302"/>
      <c r="AGK313" s="302"/>
      <c r="AGL313" s="302"/>
      <c r="AGM313" s="302"/>
      <c r="AGN313" s="302"/>
      <c r="AGO313" s="302"/>
      <c r="AGP313" s="302"/>
      <c r="AGQ313" s="302"/>
      <c r="AGR313" s="302"/>
      <c r="AGS313" s="302"/>
      <c r="AGT313" s="302"/>
      <c r="AGU313" s="302"/>
      <c r="AGV313" s="302"/>
      <c r="AGW313" s="302"/>
      <c r="AGX313" s="302"/>
      <c r="AGY313" s="302"/>
      <c r="AGZ313" s="302"/>
      <c r="AHA313" s="302"/>
      <c r="AHB313" s="302"/>
      <c r="AHC313" s="302"/>
      <c r="AHD313" s="302"/>
      <c r="AHE313" s="302"/>
      <c r="AHF313" s="302"/>
      <c r="AHG313" s="302"/>
      <c r="AHH313" s="302"/>
      <c r="AHI313" s="302"/>
      <c r="AHJ313" s="302"/>
      <c r="AHK313" s="302"/>
      <c r="AHL313" s="302"/>
      <c r="AHM313" s="302"/>
      <c r="AHN313" s="302"/>
      <c r="AHO313" s="302"/>
      <c r="AHP313" s="302"/>
      <c r="AHQ313" s="302"/>
      <c r="AHR313" s="302"/>
      <c r="AHS313" s="302"/>
      <c r="AHT313" s="302"/>
      <c r="AHU313" s="302"/>
      <c r="AHV313" s="302"/>
      <c r="AHW313" s="302"/>
      <c r="AHX313" s="302"/>
      <c r="AHY313" s="302"/>
      <c r="AHZ313" s="302"/>
      <c r="AIA313" s="302"/>
      <c r="AIB313" s="302"/>
      <c r="AIC313" s="302"/>
      <c r="AID313" s="302"/>
      <c r="AIE313" s="302"/>
      <c r="AIF313" s="302"/>
      <c r="AIG313" s="302"/>
      <c r="AIH313" s="302"/>
      <c r="AII313" s="302"/>
      <c r="AIJ313" s="302"/>
      <c r="AIK313" s="302"/>
      <c r="AIL313" s="302"/>
      <c r="AIM313" s="302"/>
      <c r="AIN313" s="302"/>
      <c r="AIO313" s="302"/>
      <c r="AIP313" s="302"/>
      <c r="AIQ313" s="302"/>
      <c r="AIR313" s="302"/>
      <c r="AIS313" s="302"/>
      <c r="AIT313" s="302"/>
      <c r="AIU313" s="302"/>
      <c r="AIV313" s="302"/>
      <c r="AIW313" s="302"/>
      <c r="AIX313" s="302"/>
      <c r="AIY313" s="302"/>
      <c r="AIZ313" s="302"/>
      <c r="AJA313" s="302"/>
      <c r="AJB313" s="302"/>
      <c r="AJC313" s="302"/>
      <c r="AJD313" s="302"/>
      <c r="AJE313" s="302"/>
      <c r="AJF313" s="302"/>
      <c r="AJG313" s="302"/>
      <c r="AJH313" s="302"/>
      <c r="AJI313" s="302"/>
      <c r="AJJ313" s="302"/>
      <c r="AJK313" s="302"/>
      <c r="AJL313" s="302"/>
      <c r="AJM313" s="302"/>
      <c r="AJN313" s="302"/>
      <c r="AJO313" s="302"/>
      <c r="AJP313" s="302"/>
      <c r="AJQ313" s="302"/>
      <c r="AJR313" s="302"/>
      <c r="AJS313" s="302"/>
      <c r="AJT313" s="302"/>
      <c r="AJU313" s="302"/>
      <c r="AJV313" s="302"/>
      <c r="AJW313" s="302"/>
      <c r="AJX313" s="302"/>
      <c r="AJY313" s="302"/>
      <c r="AJZ313" s="302"/>
      <c r="AKA313" s="302"/>
      <c r="AKB313" s="302"/>
      <c r="AKC313" s="302"/>
      <c r="AKD313" s="302"/>
      <c r="AKE313" s="302"/>
      <c r="AKF313" s="302"/>
      <c r="AKG313" s="302"/>
      <c r="AKH313" s="302"/>
      <c r="AKI313" s="302"/>
      <c r="AKJ313" s="302"/>
      <c r="AKK313" s="302"/>
      <c r="AKL313" s="302"/>
      <c r="AKM313" s="302"/>
      <c r="AKN313" s="302"/>
      <c r="AKO313" s="302"/>
      <c r="AKP313" s="302"/>
      <c r="AKQ313" s="302"/>
      <c r="AKR313" s="302"/>
      <c r="AKS313" s="302"/>
      <c r="AKT313" s="302"/>
      <c r="AKU313" s="302"/>
      <c r="AKV313" s="302"/>
      <c r="AKW313" s="302"/>
      <c r="AKX313" s="302"/>
      <c r="AKY313" s="302"/>
      <c r="AKZ313" s="302"/>
      <c r="ALA313" s="302"/>
      <c r="ALB313" s="302"/>
      <c r="ALC313" s="302"/>
      <c r="ALD313" s="302"/>
      <c r="ALE313" s="302"/>
      <c r="ALF313" s="302"/>
      <c r="ALG313" s="302"/>
      <c r="ALH313" s="302"/>
      <c r="ALI313" s="302"/>
      <c r="ALJ313" s="302"/>
      <c r="ALK313" s="302"/>
      <c r="ALL313" s="302"/>
      <c r="ALM313" s="302"/>
      <c r="ALN313" s="302"/>
      <c r="ALO313" s="302"/>
      <c r="ALP313" s="302"/>
      <c r="ALQ313" s="302"/>
      <c r="ALR313" s="302"/>
      <c r="ALS313" s="302"/>
      <c r="ALT313" s="302"/>
      <c r="ALU313" s="302"/>
      <c r="ALV313" s="302"/>
      <c r="ALW313" s="302"/>
      <c r="ALX313" s="302"/>
      <c r="ALY313" s="302"/>
      <c r="ALZ313" s="302"/>
      <c r="AMA313" s="302"/>
      <c r="AMB313" s="302"/>
      <c r="AMC313" s="302"/>
      <c r="AMD313" s="302"/>
      <c r="AME313" s="302"/>
      <c r="AMF313" s="302"/>
      <c r="AMG313" s="302"/>
      <c r="AMH313" s="302"/>
      <c r="AMI313" s="302"/>
    </row>
    <row r="315" spans="1:1023" ht="22.5">
      <c r="A315" s="965" t="s">
        <v>433</v>
      </c>
      <c r="B315" s="965"/>
      <c r="C315" s="965"/>
      <c r="D315" s="965"/>
      <c r="E315" s="965"/>
      <c r="F315" s="965"/>
      <c r="G315" s="965"/>
    </row>
    <row r="316" spans="1:1023" hidden="1">
      <c r="A316" s="118"/>
      <c r="B316" s="118"/>
      <c r="C316" s="118"/>
      <c r="D316" s="118"/>
      <c r="E316" s="118"/>
      <c r="F316" s="118"/>
      <c r="G316" s="118"/>
    </row>
    <row r="317" spans="1:1023" hidden="1">
      <c r="A317" s="948" t="s">
        <v>434</v>
      </c>
      <c r="B317" s="948"/>
      <c r="C317" s="948"/>
      <c r="D317" s="948"/>
      <c r="E317" s="948"/>
      <c r="F317" s="948"/>
      <c r="G317" s="948"/>
    </row>
    <row r="318" spans="1:1023" hidden="1">
      <c r="A318" s="107" t="s">
        <v>372</v>
      </c>
      <c r="B318" s="119" t="s">
        <v>373</v>
      </c>
      <c r="C318" s="119" t="s">
        <v>11</v>
      </c>
      <c r="D318" s="119" t="s">
        <v>6</v>
      </c>
      <c r="E318" s="119" t="s">
        <v>29</v>
      </c>
      <c r="F318" s="119" t="s">
        <v>8</v>
      </c>
      <c r="G318" s="120" t="s">
        <v>138</v>
      </c>
    </row>
    <row r="319" spans="1:1023" hidden="1">
      <c r="A319" s="122">
        <v>14355</v>
      </c>
      <c r="B319" s="541">
        <v>0.1</v>
      </c>
      <c r="C319" s="653"/>
      <c r="D319" s="542" t="s">
        <v>224</v>
      </c>
      <c r="E319" s="364">
        <v>2500000</v>
      </c>
      <c r="F319" s="499">
        <v>0.05</v>
      </c>
      <c r="G319" s="654">
        <f>E319*F319</f>
        <v>125000</v>
      </c>
    </row>
    <row r="320" spans="1:1023" hidden="1">
      <c r="A320" s="122">
        <v>14346</v>
      </c>
      <c r="B320" s="543">
        <v>0.08</v>
      </c>
      <c r="C320" s="653" t="s">
        <v>435</v>
      </c>
      <c r="D320" s="542" t="s">
        <v>226</v>
      </c>
      <c r="E320" s="364">
        <v>5300000</v>
      </c>
      <c r="F320" s="500">
        <v>0.02</v>
      </c>
      <c r="G320" s="654">
        <f t="shared" ref="G320:G331" si="18">E320*F320</f>
        <v>106000</v>
      </c>
    </row>
    <row r="321" spans="1:8" hidden="1">
      <c r="A321" s="122">
        <v>14359</v>
      </c>
      <c r="B321" s="541">
        <v>0.1</v>
      </c>
      <c r="C321" s="122"/>
      <c r="D321" s="560" t="s">
        <v>231</v>
      </c>
      <c r="E321" s="364">
        <v>3500000</v>
      </c>
      <c r="F321" s="499">
        <v>0.05</v>
      </c>
      <c r="G321" s="654">
        <f t="shared" si="18"/>
        <v>175000</v>
      </c>
    </row>
    <row r="322" spans="1:8" hidden="1">
      <c r="A322" s="572">
        <v>14447</v>
      </c>
      <c r="B322" s="550">
        <v>0.08</v>
      </c>
      <c r="C322" s="122"/>
      <c r="D322" s="567" t="s">
        <v>235</v>
      </c>
      <c r="E322" s="364">
        <v>3250000</v>
      </c>
      <c r="F322" s="500">
        <v>0.04</v>
      </c>
      <c r="G322" s="654">
        <f t="shared" si="18"/>
        <v>130000</v>
      </c>
    </row>
    <row r="323" spans="1:8" hidden="1">
      <c r="A323" s="572">
        <v>14501</v>
      </c>
      <c r="B323" s="550">
        <v>0.08</v>
      </c>
      <c r="C323" s="122"/>
      <c r="D323" s="567" t="s">
        <v>239</v>
      </c>
      <c r="E323" s="364">
        <v>2600000</v>
      </c>
      <c r="F323" s="500">
        <v>0.04</v>
      </c>
      <c r="G323" s="654">
        <f t="shared" si="18"/>
        <v>104000</v>
      </c>
    </row>
    <row r="324" spans="1:8" hidden="1">
      <c r="A324" s="122">
        <v>14367</v>
      </c>
      <c r="B324" s="543">
        <v>0.08</v>
      </c>
      <c r="C324" s="122"/>
      <c r="D324" s="542" t="s">
        <v>242</v>
      </c>
      <c r="E324" s="364">
        <v>2600000</v>
      </c>
      <c r="F324" s="500">
        <v>0.04</v>
      </c>
      <c r="G324" s="654">
        <f t="shared" si="18"/>
        <v>104000</v>
      </c>
    </row>
    <row r="325" spans="1:8" hidden="1">
      <c r="A325" s="551">
        <v>14389</v>
      </c>
      <c r="B325" s="550">
        <v>0.08</v>
      </c>
      <c r="C325" s="122"/>
      <c r="D325" s="542" t="s">
        <v>245</v>
      </c>
      <c r="E325" s="364">
        <v>2500000</v>
      </c>
      <c r="F325" s="500">
        <v>0.04</v>
      </c>
      <c r="G325" s="654">
        <f t="shared" si="18"/>
        <v>100000</v>
      </c>
    </row>
    <row r="326" spans="1:8" hidden="1">
      <c r="A326" s="551">
        <v>14445</v>
      </c>
      <c r="B326" s="121">
        <v>0.1</v>
      </c>
      <c r="C326" s="122"/>
      <c r="D326" s="621" t="s">
        <v>246</v>
      </c>
      <c r="E326" s="364">
        <v>1500000</v>
      </c>
      <c r="F326" s="499">
        <v>0.05</v>
      </c>
      <c r="G326" s="654">
        <f t="shared" si="18"/>
        <v>75000</v>
      </c>
    </row>
    <row r="327" spans="1:8" hidden="1">
      <c r="A327" s="551">
        <v>14559</v>
      </c>
      <c r="B327" s="619">
        <v>0.08</v>
      </c>
      <c r="C327" s="122"/>
      <c r="D327" s="542" t="s">
        <v>436</v>
      </c>
      <c r="E327" s="620">
        <v>2600000</v>
      </c>
      <c r="F327" s="500">
        <v>0.04</v>
      </c>
      <c r="G327" s="654">
        <f t="shared" si="18"/>
        <v>104000</v>
      </c>
    </row>
    <row r="328" spans="1:8" hidden="1">
      <c r="A328" s="122">
        <v>14368</v>
      </c>
      <c r="B328" s="121">
        <v>0.1</v>
      </c>
      <c r="C328" s="122"/>
      <c r="D328" s="542" t="s">
        <v>254</v>
      </c>
      <c r="E328" s="364">
        <v>2950000</v>
      </c>
      <c r="F328" s="499">
        <v>0.05</v>
      </c>
      <c r="G328" s="654">
        <f t="shared" si="18"/>
        <v>147500</v>
      </c>
    </row>
    <row r="329" spans="1:8" hidden="1">
      <c r="A329" s="557">
        <v>14397</v>
      </c>
      <c r="B329" s="558">
        <v>0.09</v>
      </c>
      <c r="C329" s="122"/>
      <c r="D329" s="542" t="s">
        <v>256</v>
      </c>
      <c r="E329" s="364">
        <v>4000000</v>
      </c>
      <c r="F329" s="500">
        <v>0.04</v>
      </c>
      <c r="G329" s="654">
        <f t="shared" si="18"/>
        <v>160000</v>
      </c>
    </row>
    <row r="330" spans="1:8" hidden="1">
      <c r="A330" s="576">
        <v>14461</v>
      </c>
      <c r="B330" s="577">
        <v>0.1</v>
      </c>
      <c r="C330" s="122"/>
      <c r="D330" s="578" t="s">
        <v>263</v>
      </c>
      <c r="E330" s="364">
        <v>1250000</v>
      </c>
      <c r="F330" s="499">
        <v>0.05</v>
      </c>
      <c r="G330" s="654">
        <f t="shared" si="18"/>
        <v>62500</v>
      </c>
    </row>
    <row r="331" spans="1:8" hidden="1">
      <c r="A331" s="580">
        <v>14608</v>
      </c>
      <c r="B331" s="558">
        <v>0.08</v>
      </c>
      <c r="C331" s="122"/>
      <c r="D331" s="670" t="s">
        <v>437</v>
      </c>
      <c r="E331" s="671">
        <v>3000000</v>
      </c>
      <c r="F331" s="500">
        <v>0.04</v>
      </c>
      <c r="G331" s="654">
        <f t="shared" si="18"/>
        <v>120000</v>
      </c>
    </row>
    <row r="332" spans="1:8" ht="15" hidden="1" customHeight="1">
      <c r="A332" s="595"/>
      <c r="B332" s="596"/>
      <c r="C332" s="119"/>
      <c r="D332" s="318"/>
      <c r="E332" s="655"/>
      <c r="F332" s="657"/>
      <c r="G332" s="656"/>
      <c r="H332" s="152"/>
    </row>
    <row r="333" spans="1:8" hidden="1">
      <c r="A333" s="140"/>
      <c r="B333" s="140"/>
      <c r="C333" s="140"/>
      <c r="D333" s="140" t="s">
        <v>378</v>
      </c>
      <c r="E333" s="658">
        <f>SUM(E319:E332)</f>
        <v>37550000</v>
      </c>
      <c r="F333" s="659"/>
      <c r="G333" s="660">
        <f>SUM(G319:G332)</f>
        <v>1513000</v>
      </c>
    </row>
    <row r="334" spans="1:8" hidden="1"/>
    <row r="335" spans="1:8" hidden="1"/>
    <row r="336" spans="1:8" hidden="1">
      <c r="A336" s="948" t="s">
        <v>438</v>
      </c>
      <c r="B336" s="948"/>
      <c r="C336" s="948"/>
      <c r="D336" s="948"/>
      <c r="E336" s="948"/>
      <c r="F336" s="948"/>
      <c r="G336" s="948"/>
    </row>
    <row r="337" spans="1:7" hidden="1">
      <c r="A337" s="131" t="s">
        <v>372</v>
      </c>
      <c r="B337" s="120" t="s">
        <v>373</v>
      </c>
      <c r="C337" s="120" t="s">
        <v>11</v>
      </c>
      <c r="D337" s="120" t="s">
        <v>6</v>
      </c>
      <c r="E337" s="120" t="s">
        <v>29</v>
      </c>
      <c r="F337" s="120" t="s">
        <v>8</v>
      </c>
      <c r="G337" s="120" t="s">
        <v>190</v>
      </c>
    </row>
    <row r="338" spans="1:7" hidden="1">
      <c r="A338" s="551">
        <v>14350</v>
      </c>
      <c r="B338" s="562">
        <v>0.1</v>
      </c>
      <c r="C338" s="135"/>
      <c r="D338" s="542" t="s">
        <v>229</v>
      </c>
      <c r="E338" s="364">
        <v>2800000</v>
      </c>
      <c r="F338" s="541">
        <v>0.05</v>
      </c>
      <c r="G338" s="664">
        <f>E338*F338</f>
        <v>140000</v>
      </c>
    </row>
    <row r="339" spans="1:7" hidden="1">
      <c r="A339" s="559">
        <v>14375</v>
      </c>
      <c r="B339" s="541">
        <v>0.1</v>
      </c>
      <c r="C339" s="135"/>
      <c r="D339" s="561" t="s">
        <v>233</v>
      </c>
      <c r="E339" s="364">
        <v>1650000</v>
      </c>
      <c r="F339" s="541">
        <v>0.05</v>
      </c>
      <c r="G339" s="664">
        <f t="shared" ref="G339:G346" si="19">E339*F339</f>
        <v>82500</v>
      </c>
    </row>
    <row r="340" spans="1:7" hidden="1">
      <c r="A340" s="565">
        <v>14412</v>
      </c>
      <c r="B340" s="566">
        <v>0.1</v>
      </c>
      <c r="C340" s="135"/>
      <c r="D340" s="567" t="s">
        <v>234</v>
      </c>
      <c r="E340" s="364">
        <v>1700000</v>
      </c>
      <c r="F340" s="541">
        <v>0.05</v>
      </c>
      <c r="G340" s="664">
        <f t="shared" si="19"/>
        <v>85000</v>
      </c>
    </row>
    <row r="341" spans="1:7" hidden="1">
      <c r="A341" s="573">
        <v>14456</v>
      </c>
      <c r="B341" s="574">
        <v>0.1</v>
      </c>
      <c r="C341" s="135"/>
      <c r="D341" s="575" t="s">
        <v>236</v>
      </c>
      <c r="E341" s="364">
        <v>3500000</v>
      </c>
      <c r="F341" s="541">
        <v>0.05</v>
      </c>
      <c r="G341" s="664">
        <f t="shared" si="19"/>
        <v>175000</v>
      </c>
    </row>
    <row r="342" spans="1:7" hidden="1">
      <c r="A342" s="572">
        <v>14517</v>
      </c>
      <c r="B342" s="121">
        <v>0.1</v>
      </c>
      <c r="C342" s="135"/>
      <c r="D342" s="567" t="s">
        <v>238</v>
      </c>
      <c r="E342" s="364">
        <v>2000000</v>
      </c>
      <c r="F342" s="541">
        <v>0.05</v>
      </c>
      <c r="G342" s="664">
        <f t="shared" si="19"/>
        <v>100000</v>
      </c>
    </row>
    <row r="343" spans="1:7" hidden="1">
      <c r="A343" s="572">
        <v>14353</v>
      </c>
      <c r="B343" s="541">
        <v>0.1</v>
      </c>
      <c r="C343" s="135"/>
      <c r="D343" s="542" t="s">
        <v>240</v>
      </c>
      <c r="E343" s="364">
        <v>2600000</v>
      </c>
      <c r="F343" s="541">
        <v>0.05</v>
      </c>
      <c r="G343" s="664">
        <f t="shared" si="19"/>
        <v>130000</v>
      </c>
    </row>
    <row r="344" spans="1:7" hidden="1">
      <c r="A344" s="557">
        <v>14468</v>
      </c>
      <c r="B344" s="558">
        <v>0.08</v>
      </c>
      <c r="C344" s="135"/>
      <c r="D344" s="542" t="s">
        <v>257</v>
      </c>
      <c r="E344" s="364">
        <v>2500000</v>
      </c>
      <c r="F344" s="543">
        <v>0.04</v>
      </c>
      <c r="G344" s="664">
        <f t="shared" si="19"/>
        <v>100000</v>
      </c>
    </row>
    <row r="345" spans="1:7" hidden="1">
      <c r="A345" s="580">
        <v>14508</v>
      </c>
      <c r="B345" s="581">
        <v>0.08</v>
      </c>
      <c r="C345" s="135"/>
      <c r="D345" s="542" t="s">
        <v>258</v>
      </c>
      <c r="E345" s="364">
        <v>2000000</v>
      </c>
      <c r="F345" s="543">
        <v>0.04</v>
      </c>
      <c r="G345" s="664">
        <f t="shared" si="19"/>
        <v>80000</v>
      </c>
    </row>
    <row r="346" spans="1:7" hidden="1">
      <c r="A346" s="573">
        <v>14563</v>
      </c>
      <c r="B346" s="574">
        <v>0.1</v>
      </c>
      <c r="C346" s="135"/>
      <c r="D346" s="575" t="s">
        <v>255</v>
      </c>
      <c r="E346" s="364">
        <v>2100000</v>
      </c>
      <c r="F346" s="541">
        <v>0.05</v>
      </c>
      <c r="G346" s="664">
        <f t="shared" si="19"/>
        <v>105000</v>
      </c>
    </row>
    <row r="347" spans="1:7" hidden="1">
      <c r="A347" s="131"/>
      <c r="B347" s="126"/>
      <c r="C347" s="138"/>
      <c r="D347" s="4"/>
      <c r="E347" s="26"/>
      <c r="F347" s="70"/>
      <c r="G347" s="139"/>
    </row>
    <row r="348" spans="1:7" hidden="1">
      <c r="A348" s="140"/>
      <c r="B348" s="140"/>
      <c r="C348" s="35"/>
      <c r="D348" s="140" t="s">
        <v>378</v>
      </c>
      <c r="E348" s="658">
        <f>SUM(E338:E347)</f>
        <v>20850000</v>
      </c>
      <c r="F348" s="147"/>
      <c r="G348" s="665">
        <f>SUM(G338:G347)</f>
        <v>997500</v>
      </c>
    </row>
    <row r="349" spans="1:7" hidden="1">
      <c r="A349" s="641"/>
      <c r="B349" s="641"/>
      <c r="C349" s="82"/>
      <c r="D349" s="82"/>
      <c r="E349" s="645"/>
      <c r="F349" s="82"/>
      <c r="G349" s="646"/>
    </row>
    <row r="350" spans="1:7" hidden="1">
      <c r="A350" s="948" t="s">
        <v>439</v>
      </c>
      <c r="B350" s="948"/>
      <c r="C350" s="948"/>
      <c r="D350" s="948"/>
      <c r="E350" s="948"/>
      <c r="F350" s="948"/>
      <c r="G350" s="948"/>
    </row>
    <row r="351" spans="1:7" hidden="1">
      <c r="A351" s="107" t="s">
        <v>372</v>
      </c>
      <c r="B351" s="120" t="s">
        <v>373</v>
      </c>
      <c r="C351" s="120" t="s">
        <v>11</v>
      </c>
      <c r="D351" s="119" t="s">
        <v>6</v>
      </c>
      <c r="E351" s="119" t="s">
        <v>29</v>
      </c>
      <c r="F351" s="157" t="s">
        <v>8</v>
      </c>
      <c r="G351" s="119" t="s">
        <v>381</v>
      </c>
    </row>
    <row r="352" spans="1:7" hidden="1">
      <c r="A352" s="666">
        <v>14597</v>
      </c>
      <c r="B352" s="543">
        <v>0.08</v>
      </c>
      <c r="C352" s="137"/>
      <c r="D352" s="560" t="s">
        <v>251</v>
      </c>
      <c r="E352" s="620">
        <v>3000000</v>
      </c>
      <c r="F352" s="668">
        <v>0.02</v>
      </c>
      <c r="G352" s="664">
        <f>E352*F352</f>
        <v>60000</v>
      </c>
    </row>
    <row r="353" spans="1:8" hidden="1">
      <c r="A353" s="107"/>
      <c r="B353" s="667"/>
      <c r="C353" s="138"/>
      <c r="D353" s="4"/>
      <c r="E353" s="26"/>
      <c r="F353" s="166"/>
      <c r="G353" s="139"/>
    </row>
    <row r="354" spans="1:8" hidden="1">
      <c r="A354" s="68"/>
      <c r="B354" s="25"/>
      <c r="C354" s="69"/>
      <c r="D354" s="69"/>
      <c r="E354" s="26"/>
      <c r="F354" s="129"/>
      <c r="G354" s="130"/>
    </row>
    <row r="355" spans="1:8" hidden="1">
      <c r="A355" s="35"/>
      <c r="B355" s="35"/>
      <c r="C355" s="35"/>
      <c r="D355" s="140" t="s">
        <v>378</v>
      </c>
      <c r="E355" s="658">
        <f>SUM(E352:E354)</f>
        <v>3000000</v>
      </c>
      <c r="F355" s="147"/>
      <c r="G355" s="665">
        <f>SUM(G352:G354)</f>
        <v>60000</v>
      </c>
    </row>
    <row r="356" spans="1:8" hidden="1">
      <c r="A356" s="141"/>
      <c r="B356" s="141"/>
      <c r="C356" s="141"/>
      <c r="D356" s="141"/>
      <c r="E356" s="141"/>
      <c r="F356" s="141"/>
      <c r="G356" s="141"/>
    </row>
    <row r="357" spans="1:8" hidden="1">
      <c r="A357" s="948" t="s">
        <v>440</v>
      </c>
      <c r="B357" s="948"/>
      <c r="C357" s="948"/>
      <c r="D357" s="948"/>
      <c r="E357" s="948"/>
      <c r="F357" s="948"/>
      <c r="G357" s="948"/>
    </row>
    <row r="358" spans="1:8" hidden="1">
      <c r="A358" s="107" t="s">
        <v>372</v>
      </c>
      <c r="B358" s="119" t="s">
        <v>373</v>
      </c>
      <c r="C358" s="119" t="s">
        <v>11</v>
      </c>
      <c r="D358" s="119" t="s">
        <v>6</v>
      </c>
      <c r="E358" s="119" t="s">
        <v>29</v>
      </c>
      <c r="F358" s="157" t="s">
        <v>8</v>
      </c>
      <c r="G358" s="119" t="s">
        <v>123</v>
      </c>
    </row>
    <row r="359" spans="1:8" hidden="1">
      <c r="A359" s="107"/>
      <c r="B359" s="111"/>
      <c r="C359" s="138"/>
      <c r="D359" s="4"/>
      <c r="E359" s="26"/>
      <c r="F359" s="166"/>
      <c r="G359" s="139"/>
    </row>
    <row r="360" spans="1:8" hidden="1">
      <c r="A360" s="107"/>
      <c r="B360" s="111"/>
      <c r="C360" s="138"/>
      <c r="D360" s="4"/>
      <c r="E360" s="26"/>
      <c r="F360" s="166"/>
      <c r="G360" s="139"/>
    </row>
    <row r="361" spans="1:8" hidden="1">
      <c r="A361" s="68"/>
      <c r="B361" s="25"/>
      <c r="C361" s="69"/>
      <c r="D361" s="69"/>
      <c r="E361" s="26"/>
      <c r="F361" s="129"/>
      <c r="G361" s="130"/>
    </row>
    <row r="362" spans="1:8" hidden="1">
      <c r="A362" s="35"/>
      <c r="B362" s="35"/>
      <c r="C362" s="35"/>
      <c r="D362" s="35" t="s">
        <v>378</v>
      </c>
      <c r="E362" s="132">
        <f>SUM(E359:E361)</f>
        <v>0</v>
      </c>
      <c r="F362" s="133"/>
      <c r="G362" s="134">
        <f>SUM(G359:G361)</f>
        <v>0</v>
      </c>
    </row>
    <row r="363" spans="1:8" hidden="1"/>
    <row r="364" spans="1:8" hidden="1"/>
    <row r="365" spans="1:8" hidden="1">
      <c r="A365" s="904" t="s">
        <v>441</v>
      </c>
      <c r="B365" s="904"/>
      <c r="C365" s="904"/>
      <c r="D365" s="904"/>
      <c r="E365" s="904"/>
      <c r="F365" s="904"/>
      <c r="G365" s="904"/>
    </row>
    <row r="366" spans="1:8" hidden="1">
      <c r="A366" s="120" t="s">
        <v>372</v>
      </c>
      <c r="B366" s="120" t="s">
        <v>373</v>
      </c>
      <c r="C366" s="120" t="s">
        <v>11</v>
      </c>
      <c r="D366" s="120" t="s">
        <v>6</v>
      </c>
      <c r="E366" s="120" t="s">
        <v>29</v>
      </c>
      <c r="F366" s="120" t="s">
        <v>8</v>
      </c>
      <c r="G366" s="120" t="s">
        <v>381</v>
      </c>
    </row>
    <row r="367" spans="1:8" hidden="1">
      <c r="A367" s="572">
        <v>14447</v>
      </c>
      <c r="B367" s="550">
        <v>0.08</v>
      </c>
      <c r="C367" s="122"/>
      <c r="D367" s="567" t="s">
        <v>235</v>
      </c>
      <c r="E367" s="364">
        <v>3250000</v>
      </c>
      <c r="F367" s="500">
        <v>0.01</v>
      </c>
      <c r="G367" s="654">
        <f t="shared" ref="G367:G380" si="20">E367*F367</f>
        <v>32500</v>
      </c>
      <c r="H367" t="s">
        <v>442</v>
      </c>
    </row>
    <row r="368" spans="1:8" hidden="1">
      <c r="A368" s="572">
        <v>14501</v>
      </c>
      <c r="B368" s="550">
        <v>0.08</v>
      </c>
      <c r="C368" s="122"/>
      <c r="D368" s="567" t="s">
        <v>239</v>
      </c>
      <c r="E368" s="364">
        <v>2600000</v>
      </c>
      <c r="F368" s="500">
        <v>0.01</v>
      </c>
      <c r="G368" s="654">
        <f t="shared" si="20"/>
        <v>26000</v>
      </c>
      <c r="H368" t="s">
        <v>442</v>
      </c>
    </row>
    <row r="369" spans="1:8" hidden="1">
      <c r="A369" s="551">
        <v>14445</v>
      </c>
      <c r="B369" s="121">
        <v>0.1</v>
      </c>
      <c r="C369" s="122"/>
      <c r="D369" s="621" t="s">
        <v>246</v>
      </c>
      <c r="E369" s="364">
        <v>1500000</v>
      </c>
      <c r="F369" s="499">
        <v>0.02</v>
      </c>
      <c r="G369" s="654">
        <f t="shared" si="20"/>
        <v>30000</v>
      </c>
      <c r="H369" t="s">
        <v>442</v>
      </c>
    </row>
    <row r="370" spans="1:8" hidden="1">
      <c r="A370" s="551">
        <v>14559</v>
      </c>
      <c r="B370" s="619">
        <v>0.08</v>
      </c>
      <c r="C370" s="122"/>
      <c r="D370" s="542" t="s">
        <v>436</v>
      </c>
      <c r="E370" s="620">
        <v>2600000</v>
      </c>
      <c r="F370" s="500">
        <v>0.01</v>
      </c>
      <c r="G370" s="654">
        <f t="shared" si="20"/>
        <v>26000</v>
      </c>
      <c r="H370" t="s">
        <v>442</v>
      </c>
    </row>
    <row r="371" spans="1:8" hidden="1">
      <c r="A371" s="557">
        <v>14397</v>
      </c>
      <c r="B371" s="558">
        <v>0.09</v>
      </c>
      <c r="C371" s="122"/>
      <c r="D371" s="542" t="s">
        <v>256</v>
      </c>
      <c r="E371" s="364">
        <v>4000000</v>
      </c>
      <c r="F371" s="500">
        <v>0.01</v>
      </c>
      <c r="G371" s="654">
        <f t="shared" si="20"/>
        <v>40000</v>
      </c>
      <c r="H371" t="s">
        <v>442</v>
      </c>
    </row>
    <row r="372" spans="1:8" hidden="1">
      <c r="A372" s="576">
        <v>14461</v>
      </c>
      <c r="B372" s="577">
        <v>0.1</v>
      </c>
      <c r="C372" s="122"/>
      <c r="D372" s="578" t="s">
        <v>263</v>
      </c>
      <c r="E372" s="364">
        <v>1250000</v>
      </c>
      <c r="F372" s="499">
        <v>0.02</v>
      </c>
      <c r="G372" s="654">
        <f t="shared" si="20"/>
        <v>25000</v>
      </c>
      <c r="H372" t="s">
        <v>442</v>
      </c>
    </row>
    <row r="373" spans="1:8" hidden="1">
      <c r="A373" s="559">
        <v>14375</v>
      </c>
      <c r="B373" s="541">
        <v>0.1</v>
      </c>
      <c r="C373" s="135"/>
      <c r="D373" s="561" t="s">
        <v>233</v>
      </c>
      <c r="E373" s="364">
        <v>1650000</v>
      </c>
      <c r="F373" s="499">
        <v>0.02</v>
      </c>
      <c r="G373" s="654">
        <f t="shared" si="20"/>
        <v>33000</v>
      </c>
      <c r="H373" t="s">
        <v>442</v>
      </c>
    </row>
    <row r="374" spans="1:8" hidden="1">
      <c r="A374" s="573">
        <v>14456</v>
      </c>
      <c r="B374" s="574">
        <v>0.1</v>
      </c>
      <c r="C374" s="135"/>
      <c r="D374" s="575" t="s">
        <v>236</v>
      </c>
      <c r="E374" s="364">
        <v>3500000</v>
      </c>
      <c r="F374" s="499">
        <v>0.02</v>
      </c>
      <c r="G374" s="654">
        <f t="shared" si="20"/>
        <v>70000</v>
      </c>
      <c r="H374" t="s">
        <v>442</v>
      </c>
    </row>
    <row r="375" spans="1:8" hidden="1">
      <c r="A375" s="572">
        <v>14517</v>
      </c>
      <c r="B375" s="121">
        <v>0.1</v>
      </c>
      <c r="C375" s="135"/>
      <c r="D375" s="567" t="s">
        <v>238</v>
      </c>
      <c r="E375" s="364">
        <v>2000000</v>
      </c>
      <c r="F375" s="499">
        <v>0.02</v>
      </c>
      <c r="G375" s="654">
        <f t="shared" si="20"/>
        <v>40000</v>
      </c>
      <c r="H375" t="s">
        <v>442</v>
      </c>
    </row>
    <row r="376" spans="1:8" hidden="1">
      <c r="A376" s="557">
        <v>14468</v>
      </c>
      <c r="B376" s="558">
        <v>0.08</v>
      </c>
      <c r="C376" s="135"/>
      <c r="D376" s="542" t="s">
        <v>257</v>
      </c>
      <c r="E376" s="364">
        <v>2500000</v>
      </c>
      <c r="F376" s="543">
        <v>0.01</v>
      </c>
      <c r="G376" s="654">
        <f t="shared" si="20"/>
        <v>25000</v>
      </c>
      <c r="H376" t="s">
        <v>442</v>
      </c>
    </row>
    <row r="377" spans="1:8" hidden="1">
      <c r="A377" s="580">
        <v>14508</v>
      </c>
      <c r="B377" s="581">
        <v>0.08</v>
      </c>
      <c r="C377" s="135"/>
      <c r="D377" s="542" t="s">
        <v>258</v>
      </c>
      <c r="E377" s="364">
        <v>2000000</v>
      </c>
      <c r="F377" s="543">
        <v>0.01</v>
      </c>
      <c r="G377" s="654">
        <f t="shared" si="20"/>
        <v>20000</v>
      </c>
      <c r="H377" t="s">
        <v>442</v>
      </c>
    </row>
    <row r="378" spans="1:8" hidden="1">
      <c r="A378" s="573">
        <v>14563</v>
      </c>
      <c r="B378" s="574">
        <v>0.1</v>
      </c>
      <c r="C378" s="135"/>
      <c r="D378" s="575" t="s">
        <v>255</v>
      </c>
      <c r="E378" s="364">
        <v>2100000</v>
      </c>
      <c r="F378" s="541">
        <v>0.02</v>
      </c>
      <c r="G378" s="654">
        <f t="shared" si="20"/>
        <v>42000</v>
      </c>
      <c r="H378" t="s">
        <v>442</v>
      </c>
    </row>
    <row r="379" spans="1:8" hidden="1">
      <c r="A379" s="666">
        <v>14597</v>
      </c>
      <c r="B379" s="543">
        <v>0.08</v>
      </c>
      <c r="C379" s="137"/>
      <c r="D379" s="560" t="s">
        <v>251</v>
      </c>
      <c r="E379" s="620">
        <v>3000000</v>
      </c>
      <c r="F379" s="668">
        <v>0.01</v>
      </c>
      <c r="G379" s="654">
        <f t="shared" si="20"/>
        <v>30000</v>
      </c>
      <c r="H379" t="s">
        <v>442</v>
      </c>
    </row>
    <row r="380" spans="1:8" hidden="1">
      <c r="A380" s="580">
        <v>14608</v>
      </c>
      <c r="B380" s="574">
        <v>0.08</v>
      </c>
      <c r="C380" s="122"/>
      <c r="D380" s="670" t="s">
        <v>437</v>
      </c>
      <c r="E380" s="671">
        <v>3000000</v>
      </c>
      <c r="F380" s="499">
        <v>0.01</v>
      </c>
      <c r="G380" s="654">
        <f t="shared" si="20"/>
        <v>30000</v>
      </c>
      <c r="H380" t="s">
        <v>442</v>
      </c>
    </row>
    <row r="381" spans="1:8" hidden="1">
      <c r="A381" s="122">
        <v>14368</v>
      </c>
      <c r="B381" s="121">
        <v>0.1</v>
      </c>
      <c r="C381" s="122"/>
      <c r="D381" s="542" t="s">
        <v>254</v>
      </c>
      <c r="E381" s="364">
        <v>2950000</v>
      </c>
      <c r="F381" s="499"/>
      <c r="G381" s="654"/>
      <c r="H381" t="s">
        <v>443</v>
      </c>
    </row>
    <row r="382" spans="1:8" hidden="1">
      <c r="A382" s="122">
        <v>14359</v>
      </c>
      <c r="B382" s="541">
        <v>0.1</v>
      </c>
      <c r="C382" s="122"/>
      <c r="D382" s="560" t="s">
        <v>231</v>
      </c>
      <c r="E382" s="364">
        <v>3500000</v>
      </c>
      <c r="F382" s="499"/>
      <c r="G382" s="654"/>
      <c r="H382" t="s">
        <v>443</v>
      </c>
    </row>
    <row r="383" spans="1:8" hidden="1">
      <c r="A383" s="122">
        <v>14367</v>
      </c>
      <c r="B383" s="543">
        <v>0.08</v>
      </c>
      <c r="C383" s="122"/>
      <c r="D383" s="542" t="s">
        <v>242</v>
      </c>
      <c r="E383" s="364">
        <v>2600000</v>
      </c>
      <c r="F383" s="500"/>
      <c r="G383" s="654"/>
      <c r="H383" t="s">
        <v>443</v>
      </c>
    </row>
    <row r="384" spans="1:8" hidden="1">
      <c r="A384" s="122">
        <v>14355</v>
      </c>
      <c r="B384" s="541">
        <v>0.1</v>
      </c>
      <c r="C384" s="653"/>
      <c r="D384" s="542" t="s">
        <v>224</v>
      </c>
      <c r="E384" s="364">
        <v>2500000</v>
      </c>
      <c r="F384" s="499"/>
      <c r="G384" s="654"/>
      <c r="H384" t="s">
        <v>443</v>
      </c>
    </row>
    <row r="385" spans="1:8" hidden="1">
      <c r="A385" s="122">
        <v>14346</v>
      </c>
      <c r="B385" s="543">
        <v>0.08</v>
      </c>
      <c r="C385" s="653"/>
      <c r="D385" s="542" t="s">
        <v>226</v>
      </c>
      <c r="E385" s="364">
        <v>5300000</v>
      </c>
      <c r="F385" s="500"/>
      <c r="G385" s="654"/>
      <c r="H385" t="s">
        <v>443</v>
      </c>
    </row>
    <row r="386" spans="1:8" hidden="1">
      <c r="A386" s="551">
        <v>14389</v>
      </c>
      <c r="B386" s="550">
        <v>0.08</v>
      </c>
      <c r="C386" s="122"/>
      <c r="D386" s="542" t="s">
        <v>245</v>
      </c>
      <c r="E386" s="364">
        <v>2500000</v>
      </c>
      <c r="F386" s="500"/>
      <c r="G386" s="654"/>
      <c r="H386" t="s">
        <v>443</v>
      </c>
    </row>
    <row r="387" spans="1:8" hidden="1">
      <c r="A387" s="551">
        <v>14350</v>
      </c>
      <c r="B387" s="562">
        <v>0.1</v>
      </c>
      <c r="C387" s="135"/>
      <c r="D387" s="542" t="s">
        <v>229</v>
      </c>
      <c r="E387" s="364">
        <v>2800000</v>
      </c>
      <c r="F387" s="499"/>
      <c r="G387" s="654"/>
      <c r="H387" t="s">
        <v>443</v>
      </c>
    </row>
    <row r="388" spans="1:8" hidden="1">
      <c r="A388" s="565">
        <v>14412</v>
      </c>
      <c r="B388" s="566">
        <v>0.1</v>
      </c>
      <c r="C388" s="135"/>
      <c r="D388" s="567" t="s">
        <v>234</v>
      </c>
      <c r="E388" s="364">
        <v>1700000</v>
      </c>
      <c r="F388" s="499"/>
      <c r="G388" s="654"/>
      <c r="H388" t="s">
        <v>443</v>
      </c>
    </row>
    <row r="389" spans="1:8" hidden="1">
      <c r="A389" s="572">
        <v>14353</v>
      </c>
      <c r="B389" s="541">
        <v>0.1</v>
      </c>
      <c r="C389" s="135"/>
      <c r="D389" s="542" t="s">
        <v>240</v>
      </c>
      <c r="E389" s="364">
        <v>2600000</v>
      </c>
      <c r="F389" s="499"/>
      <c r="G389" s="654"/>
      <c r="H389" t="s">
        <v>443</v>
      </c>
    </row>
    <row r="390" spans="1:8" hidden="1">
      <c r="A390" s="107"/>
      <c r="B390" s="25"/>
      <c r="C390" s="127"/>
      <c r="D390" s="4"/>
      <c r="E390" s="139"/>
      <c r="F390" s="166"/>
      <c r="G390" s="139"/>
    </row>
    <row r="391" spans="1:8" hidden="1">
      <c r="A391" s="147"/>
      <c r="B391" s="133"/>
      <c r="C391" s="133"/>
      <c r="D391" s="659" t="s">
        <v>378</v>
      </c>
      <c r="E391" s="658">
        <f>SUM(E367:E390)</f>
        <v>61400000</v>
      </c>
      <c r="F391" s="140"/>
      <c r="G391" s="669">
        <f>SUM(G367:G390)</f>
        <v>469500</v>
      </c>
    </row>
    <row r="392" spans="1:8" hidden="1"/>
    <row r="394" spans="1:8" ht="22.5">
      <c r="A394" s="965" t="s">
        <v>444</v>
      </c>
      <c r="B394" s="965"/>
      <c r="C394" s="965"/>
      <c r="D394" s="965"/>
      <c r="E394" s="965"/>
      <c r="F394" s="965"/>
      <c r="G394" s="965"/>
    </row>
    <row r="395" spans="1:8" hidden="1">
      <c r="A395" s="118"/>
      <c r="B395" s="118"/>
      <c r="C395" s="118"/>
      <c r="D395" s="118"/>
      <c r="E395" s="118"/>
      <c r="F395" s="118"/>
      <c r="G395" s="118"/>
    </row>
    <row r="396" spans="1:8" hidden="1">
      <c r="A396" s="948" t="s">
        <v>445</v>
      </c>
      <c r="B396" s="948"/>
      <c r="C396" s="948"/>
      <c r="D396" s="948"/>
      <c r="E396" s="948"/>
      <c r="F396" s="948"/>
      <c r="G396" s="948"/>
    </row>
    <row r="397" spans="1:8" hidden="1">
      <c r="A397" s="107" t="s">
        <v>372</v>
      </c>
      <c r="B397" s="119" t="s">
        <v>373</v>
      </c>
      <c r="C397" s="119" t="s">
        <v>11</v>
      </c>
      <c r="D397" s="119" t="s">
        <v>6</v>
      </c>
      <c r="E397" s="119" t="s">
        <v>29</v>
      </c>
      <c r="F397" s="119" t="s">
        <v>8</v>
      </c>
      <c r="G397" s="120" t="s">
        <v>138</v>
      </c>
    </row>
    <row r="398" spans="1:8" hidden="1">
      <c r="A398" s="572">
        <v>14740</v>
      </c>
      <c r="B398" s="121">
        <v>0.1</v>
      </c>
      <c r="C398" s="653"/>
      <c r="D398" s="561" t="s">
        <v>269</v>
      </c>
      <c r="E398" s="364">
        <v>1900000</v>
      </c>
      <c r="F398" s="499">
        <v>0.02</v>
      </c>
      <c r="G398" s="654">
        <f>E398*F398</f>
        <v>38000</v>
      </c>
    </row>
    <row r="399" spans="1:8" hidden="1">
      <c r="A399" s="572">
        <v>14757</v>
      </c>
      <c r="B399" s="550">
        <v>0.08</v>
      </c>
      <c r="C399" s="653"/>
      <c r="D399" s="561" t="s">
        <v>270</v>
      </c>
      <c r="E399" s="364">
        <v>3000000</v>
      </c>
      <c r="F399" s="500">
        <v>0.01</v>
      </c>
      <c r="G399" s="654">
        <f t="shared" ref="G399:G403" si="21">E399*F399</f>
        <v>30000</v>
      </c>
    </row>
    <row r="400" spans="1:8" hidden="1">
      <c r="A400" s="122">
        <v>14694</v>
      </c>
      <c r="B400" s="541">
        <v>0.1</v>
      </c>
      <c r="C400" s="122"/>
      <c r="D400" s="542" t="s">
        <v>278</v>
      </c>
      <c r="E400" s="364">
        <v>3000000</v>
      </c>
      <c r="F400" s="499">
        <v>0.02</v>
      </c>
      <c r="G400" s="654">
        <f t="shared" si="21"/>
        <v>60000</v>
      </c>
    </row>
    <row r="401" spans="1:7" hidden="1">
      <c r="A401" s="551">
        <v>14753</v>
      </c>
      <c r="B401" s="121">
        <v>0.1</v>
      </c>
      <c r="C401" s="122"/>
      <c r="D401" s="621" t="s">
        <v>280</v>
      </c>
      <c r="E401" s="364">
        <v>1400000</v>
      </c>
      <c r="F401" s="499">
        <v>0.02</v>
      </c>
      <c r="G401" s="654">
        <f t="shared" si="21"/>
        <v>28000</v>
      </c>
    </row>
    <row r="402" spans="1:7" hidden="1">
      <c r="A402" s="551">
        <v>14779</v>
      </c>
      <c r="B402" s="619">
        <v>0.08</v>
      </c>
      <c r="C402" s="122"/>
      <c r="D402" s="542" t="s">
        <v>446</v>
      </c>
      <c r="E402" s="620">
        <v>2900000</v>
      </c>
      <c r="F402" s="500">
        <v>0.01</v>
      </c>
      <c r="G402" s="654">
        <f t="shared" si="21"/>
        <v>29000</v>
      </c>
    </row>
    <row r="403" spans="1:7" hidden="1">
      <c r="A403" s="580">
        <v>14682</v>
      </c>
      <c r="B403" s="577">
        <v>0.1</v>
      </c>
      <c r="C403" s="122"/>
      <c r="D403" s="542" t="s">
        <v>296</v>
      </c>
      <c r="E403" s="364">
        <v>2300000</v>
      </c>
      <c r="F403" s="499">
        <v>0.02</v>
      </c>
      <c r="G403" s="654">
        <f t="shared" si="21"/>
        <v>46000</v>
      </c>
    </row>
    <row r="404" spans="1:7" hidden="1">
      <c r="A404" s="120"/>
      <c r="B404" s="591"/>
      <c r="C404" s="119"/>
      <c r="D404" s="318"/>
      <c r="E404" s="321"/>
      <c r="F404" s="657"/>
      <c r="G404" s="656"/>
    </row>
    <row r="405" spans="1:7" hidden="1">
      <c r="A405" s="140"/>
      <c r="B405" s="140"/>
      <c r="C405" s="140"/>
      <c r="D405" s="140" t="s">
        <v>378</v>
      </c>
      <c r="E405" s="658">
        <f>SUM(E398:E404)</f>
        <v>14500000</v>
      </c>
      <c r="F405" s="659"/>
      <c r="G405" s="660">
        <f>SUM(G398:G404)</f>
        <v>231000</v>
      </c>
    </row>
    <row r="406" spans="1:7" hidden="1"/>
    <row r="407" spans="1:7" hidden="1"/>
    <row r="408" spans="1:7" hidden="1">
      <c r="A408" s="948" t="s">
        <v>447</v>
      </c>
      <c r="B408" s="948"/>
      <c r="C408" s="948"/>
      <c r="D408" s="948"/>
      <c r="E408" s="948"/>
      <c r="F408" s="948"/>
      <c r="G408" s="948"/>
    </row>
    <row r="409" spans="1:7" hidden="1">
      <c r="A409" s="131" t="s">
        <v>372</v>
      </c>
      <c r="B409" s="120" t="s">
        <v>373</v>
      </c>
      <c r="C409" s="120" t="s">
        <v>11</v>
      </c>
      <c r="D409" s="120" t="s">
        <v>6</v>
      </c>
      <c r="E409" s="120" t="s">
        <v>29</v>
      </c>
      <c r="F409" s="120" t="s">
        <v>8</v>
      </c>
      <c r="G409" s="120" t="s">
        <v>190</v>
      </c>
    </row>
    <row r="410" spans="1:7" hidden="1">
      <c r="A410" s="573">
        <v>14790</v>
      </c>
      <c r="B410" s="574">
        <v>0.1</v>
      </c>
      <c r="C410" s="135"/>
      <c r="D410" s="575" t="s">
        <v>272</v>
      </c>
      <c r="E410" s="364">
        <v>2500000</v>
      </c>
      <c r="F410" s="541">
        <v>0.04</v>
      </c>
      <c r="G410" s="664">
        <f t="shared" ref="G410:G416" si="22">E410*F410</f>
        <v>100000</v>
      </c>
    </row>
    <row r="411" spans="1:7" hidden="1">
      <c r="A411" s="573">
        <v>14804</v>
      </c>
      <c r="B411" s="558">
        <v>0.08</v>
      </c>
      <c r="C411" s="135"/>
      <c r="D411" s="575" t="s">
        <v>273</v>
      </c>
      <c r="E411" s="364">
        <v>2550000</v>
      </c>
      <c r="F411" s="543">
        <v>0.03</v>
      </c>
      <c r="G411" s="664">
        <f t="shared" si="22"/>
        <v>76500</v>
      </c>
    </row>
    <row r="412" spans="1:7" hidden="1">
      <c r="A412" s="551">
        <v>14809</v>
      </c>
      <c r="B412" s="121">
        <v>0.1</v>
      </c>
      <c r="C412" s="135"/>
      <c r="D412" s="542" t="s">
        <v>286</v>
      </c>
      <c r="E412" s="364">
        <v>3000000</v>
      </c>
      <c r="F412" s="541">
        <v>0.04</v>
      </c>
      <c r="G412" s="664">
        <f t="shared" si="22"/>
        <v>120000</v>
      </c>
    </row>
    <row r="413" spans="1:7" hidden="1">
      <c r="A413" s="551">
        <v>14833</v>
      </c>
      <c r="B413" s="121">
        <v>0.1</v>
      </c>
      <c r="C413" s="135"/>
      <c r="D413" s="542" t="s">
        <v>266</v>
      </c>
      <c r="E413" s="364">
        <v>2100000</v>
      </c>
      <c r="F413" s="541">
        <v>0.04</v>
      </c>
      <c r="G413" s="664">
        <f t="shared" si="22"/>
        <v>84000</v>
      </c>
    </row>
    <row r="414" spans="1:7" hidden="1">
      <c r="A414" s="580">
        <v>14677</v>
      </c>
      <c r="B414" s="577">
        <v>0.1</v>
      </c>
      <c r="C414" s="135"/>
      <c r="D414" s="542" t="s">
        <v>293</v>
      </c>
      <c r="E414" s="364">
        <v>2000000</v>
      </c>
      <c r="F414" s="541">
        <v>0.04</v>
      </c>
      <c r="G414" s="664">
        <f t="shared" si="22"/>
        <v>80000</v>
      </c>
    </row>
    <row r="415" spans="1:7" hidden="1">
      <c r="A415" s="580">
        <v>14808</v>
      </c>
      <c r="B415" s="577">
        <v>0.1</v>
      </c>
      <c r="C415" s="135"/>
      <c r="D415" s="542" t="s">
        <v>448</v>
      </c>
      <c r="E415" s="364">
        <v>3100000</v>
      </c>
      <c r="F415" s="541">
        <v>0.04</v>
      </c>
      <c r="G415" s="664">
        <f t="shared" si="22"/>
        <v>124000</v>
      </c>
    </row>
    <row r="416" spans="1:7" hidden="1">
      <c r="A416" s="580">
        <v>14861</v>
      </c>
      <c r="B416" s="577">
        <v>0.1</v>
      </c>
      <c r="C416" s="135"/>
      <c r="D416" s="542" t="s">
        <v>449</v>
      </c>
      <c r="E416" s="364">
        <v>2200000</v>
      </c>
      <c r="F416" s="541">
        <v>0.04</v>
      </c>
      <c r="G416" s="664">
        <f t="shared" si="22"/>
        <v>88000</v>
      </c>
    </row>
    <row r="417" spans="1:7" hidden="1">
      <c r="A417" s="572">
        <v>14776</v>
      </c>
      <c r="B417" s="121">
        <v>0.1</v>
      </c>
      <c r="C417" s="135"/>
      <c r="D417" s="561" t="s">
        <v>450</v>
      </c>
      <c r="E417" s="364">
        <v>2200000</v>
      </c>
      <c r="F417" s="541">
        <v>0.04</v>
      </c>
      <c r="G417" s="664">
        <f>E417*F417</f>
        <v>88000</v>
      </c>
    </row>
    <row r="418" spans="1:7" hidden="1">
      <c r="A418" s="327"/>
      <c r="B418" s="681"/>
      <c r="C418" s="127"/>
      <c r="D418" s="318"/>
      <c r="E418" s="321"/>
      <c r="F418" s="586"/>
      <c r="G418" s="680"/>
    </row>
    <row r="419" spans="1:7" hidden="1">
      <c r="A419" s="140"/>
      <c r="B419" s="140"/>
      <c r="C419" s="35"/>
      <c r="D419" s="140" t="s">
        <v>378</v>
      </c>
      <c r="E419" s="658">
        <f>SUM(E410:E418)</f>
        <v>19650000</v>
      </c>
      <c r="F419" s="147"/>
      <c r="G419" s="665">
        <f>SUM(G410:G418)</f>
        <v>760500</v>
      </c>
    </row>
    <row r="420" spans="1:7" hidden="1">
      <c r="A420" s="641"/>
      <c r="B420" s="641"/>
      <c r="C420" s="82"/>
      <c r="D420" s="82"/>
      <c r="E420" s="645"/>
      <c r="F420" s="82"/>
      <c r="G420" s="646"/>
    </row>
    <row r="421" spans="1:7" hidden="1">
      <c r="A421" s="948" t="s">
        <v>451</v>
      </c>
      <c r="B421" s="948"/>
      <c r="C421" s="948"/>
      <c r="D421" s="948"/>
      <c r="E421" s="948"/>
      <c r="F421" s="948"/>
      <c r="G421" s="948"/>
    </row>
    <row r="422" spans="1:7" hidden="1">
      <c r="A422" s="107" t="s">
        <v>372</v>
      </c>
      <c r="B422" s="120" t="s">
        <v>373</v>
      </c>
      <c r="C422" s="120" t="s">
        <v>11</v>
      </c>
      <c r="D422" s="120" t="s">
        <v>6</v>
      </c>
      <c r="E422" s="120" t="s">
        <v>29</v>
      </c>
      <c r="F422" s="743" t="s">
        <v>8</v>
      </c>
      <c r="G422" s="120" t="s">
        <v>124</v>
      </c>
    </row>
    <row r="423" spans="1:7" hidden="1">
      <c r="A423" s="572">
        <v>14645</v>
      </c>
      <c r="B423" s="690">
        <v>0.1</v>
      </c>
      <c r="C423" s="137"/>
      <c r="D423" s="542" t="s">
        <v>265</v>
      </c>
      <c r="E423" s="364">
        <v>4000000</v>
      </c>
      <c r="F423" s="541">
        <v>0.05</v>
      </c>
      <c r="G423" s="664">
        <f>E423*F423</f>
        <v>200000</v>
      </c>
    </row>
    <row r="424" spans="1:7" hidden="1">
      <c r="A424" s="572">
        <v>14658</v>
      </c>
      <c r="B424" s="740">
        <v>0.1</v>
      </c>
      <c r="C424" s="137"/>
      <c r="D424" s="542" t="s">
        <v>267</v>
      </c>
      <c r="E424" s="364">
        <v>3200000</v>
      </c>
      <c r="F424" s="541">
        <v>0.05</v>
      </c>
      <c r="G424" s="664">
        <f t="shared" ref="G424:G429" si="23">E424*F424</f>
        <v>160000</v>
      </c>
    </row>
    <row r="425" spans="1:7" hidden="1">
      <c r="A425" s="572">
        <v>14762</v>
      </c>
      <c r="B425" s="619">
        <v>0.08</v>
      </c>
      <c r="C425" s="137"/>
      <c r="D425" s="542" t="s">
        <v>271</v>
      </c>
      <c r="E425" s="364">
        <v>2900000</v>
      </c>
      <c r="F425" s="543">
        <v>0.04</v>
      </c>
      <c r="G425" s="664">
        <f t="shared" si="23"/>
        <v>116000</v>
      </c>
    </row>
    <row r="426" spans="1:7" hidden="1">
      <c r="A426" s="573">
        <v>14838</v>
      </c>
      <c r="B426" s="741">
        <v>0.1</v>
      </c>
      <c r="C426" s="135" t="s">
        <v>275</v>
      </c>
      <c r="D426" s="739" t="s">
        <v>452</v>
      </c>
      <c r="E426" s="364">
        <v>2500000</v>
      </c>
      <c r="F426" s="543">
        <v>0.02</v>
      </c>
      <c r="G426" s="664">
        <f t="shared" si="23"/>
        <v>50000</v>
      </c>
    </row>
    <row r="427" spans="1:7" hidden="1">
      <c r="A427" s="551">
        <v>14780</v>
      </c>
      <c r="B427" s="690">
        <v>0.1</v>
      </c>
      <c r="C427" s="137"/>
      <c r="D427" s="691" t="s">
        <v>281</v>
      </c>
      <c r="E427" s="364">
        <v>4200000</v>
      </c>
      <c r="F427" s="541">
        <v>0.05</v>
      </c>
      <c r="G427" s="664">
        <f t="shared" si="23"/>
        <v>210000</v>
      </c>
    </row>
    <row r="428" spans="1:7" hidden="1">
      <c r="A428" s="122">
        <v>14745</v>
      </c>
      <c r="B428" s="690">
        <v>0.1</v>
      </c>
      <c r="C428" s="137"/>
      <c r="D428" s="542" t="s">
        <v>284</v>
      </c>
      <c r="E428" s="364">
        <v>1400000</v>
      </c>
      <c r="F428" s="541">
        <v>0.05</v>
      </c>
      <c r="G428" s="664">
        <f t="shared" si="23"/>
        <v>70000</v>
      </c>
    </row>
    <row r="429" spans="1:7" hidden="1">
      <c r="A429" s="573">
        <v>14681</v>
      </c>
      <c r="B429" s="742">
        <v>0.08</v>
      </c>
      <c r="C429" s="137"/>
      <c r="D429" s="739" t="s">
        <v>291</v>
      </c>
      <c r="E429" s="369">
        <v>4000000</v>
      </c>
      <c r="F429" s="543">
        <v>0.04</v>
      </c>
      <c r="G429" s="664">
        <f t="shared" si="23"/>
        <v>160000</v>
      </c>
    </row>
    <row r="430" spans="1:7" hidden="1">
      <c r="A430" s="682"/>
      <c r="B430" s="728"/>
      <c r="C430" s="138"/>
      <c r="D430" s="322"/>
      <c r="E430" s="744"/>
      <c r="F430" s="587"/>
      <c r="G430" s="680"/>
    </row>
    <row r="431" spans="1:7" hidden="1">
      <c r="A431" s="35"/>
      <c r="B431" s="35"/>
      <c r="C431" s="35"/>
      <c r="D431" s="140" t="s">
        <v>378</v>
      </c>
      <c r="E431" s="745">
        <f>SUM(E423:E430)</f>
        <v>22200000</v>
      </c>
      <c r="F431" s="140"/>
      <c r="G431" s="660">
        <f>SUM(G423:G430)</f>
        <v>966000</v>
      </c>
    </row>
    <row r="432" spans="1:7" hidden="1">
      <c r="A432" s="141"/>
      <c r="B432" s="141"/>
      <c r="C432" s="141"/>
      <c r="D432" s="141"/>
      <c r="E432" s="141"/>
      <c r="F432" s="141"/>
      <c r="G432" s="141"/>
    </row>
    <row r="433" spans="1:7" hidden="1">
      <c r="A433" s="948" t="s">
        <v>453</v>
      </c>
      <c r="B433" s="948"/>
      <c r="C433" s="948"/>
      <c r="D433" s="948"/>
      <c r="E433" s="948"/>
      <c r="F433" s="948"/>
      <c r="G433" s="948"/>
    </row>
    <row r="434" spans="1:7" hidden="1">
      <c r="A434" s="107" t="s">
        <v>372</v>
      </c>
      <c r="B434" s="119" t="s">
        <v>373</v>
      </c>
      <c r="C434" s="119" t="s">
        <v>11</v>
      </c>
      <c r="D434" s="119" t="s">
        <v>6</v>
      </c>
      <c r="E434" s="119" t="s">
        <v>29</v>
      </c>
      <c r="F434" s="157" t="s">
        <v>8</v>
      </c>
      <c r="G434" s="119" t="s">
        <v>123</v>
      </c>
    </row>
    <row r="435" spans="1:7" hidden="1">
      <c r="A435" s="107"/>
      <c r="B435" s="111"/>
      <c r="C435" s="138"/>
      <c r="D435" s="4"/>
      <c r="E435" s="26"/>
      <c r="F435" s="166"/>
      <c r="G435" s="139"/>
    </row>
    <row r="436" spans="1:7" hidden="1">
      <c r="A436" s="107"/>
      <c r="B436" s="111"/>
      <c r="C436" s="138"/>
      <c r="D436" s="4"/>
      <c r="E436" s="26"/>
      <c r="F436" s="166"/>
      <c r="G436" s="139"/>
    </row>
    <row r="437" spans="1:7" hidden="1">
      <c r="A437" s="68"/>
      <c r="B437" s="25"/>
      <c r="C437" s="69"/>
      <c r="D437" s="69"/>
      <c r="E437" s="26"/>
      <c r="F437" s="129"/>
      <c r="G437" s="130"/>
    </row>
    <row r="438" spans="1:7" hidden="1">
      <c r="A438" s="35"/>
      <c r="B438" s="35"/>
      <c r="C438" s="35"/>
      <c r="D438" s="35" t="s">
        <v>378</v>
      </c>
      <c r="E438" s="132">
        <f>SUM(E435:E437)</f>
        <v>0</v>
      </c>
      <c r="F438" s="133"/>
      <c r="G438" s="134">
        <f>SUM(G435:G437)</f>
        <v>0</v>
      </c>
    </row>
    <row r="439" spans="1:7" hidden="1"/>
    <row r="440" spans="1:7" hidden="1"/>
    <row r="441" spans="1:7" hidden="1">
      <c r="A441" s="904" t="s">
        <v>454</v>
      </c>
      <c r="B441" s="904"/>
      <c r="C441" s="904"/>
      <c r="D441" s="904"/>
      <c r="E441" s="904"/>
      <c r="F441" s="904"/>
      <c r="G441" s="904"/>
    </row>
    <row r="442" spans="1:7" hidden="1">
      <c r="A442" s="120" t="s">
        <v>372</v>
      </c>
      <c r="B442" s="120" t="s">
        <v>373</v>
      </c>
      <c r="C442" s="120" t="s">
        <v>11</v>
      </c>
      <c r="D442" s="120" t="s">
        <v>6</v>
      </c>
      <c r="E442" s="120" t="s">
        <v>29</v>
      </c>
      <c r="F442" s="120" t="s">
        <v>8</v>
      </c>
      <c r="G442" s="120" t="s">
        <v>381</v>
      </c>
    </row>
    <row r="443" spans="1:7" hidden="1">
      <c r="A443" s="572">
        <v>14740</v>
      </c>
      <c r="B443" s="121">
        <v>0.1</v>
      </c>
      <c r="C443" s="653"/>
      <c r="D443" s="561" t="s">
        <v>269</v>
      </c>
      <c r="E443" s="364">
        <v>1900000</v>
      </c>
      <c r="F443" s="499">
        <v>0.02</v>
      </c>
      <c r="G443" s="654">
        <f>E443*F443</f>
        <v>38000</v>
      </c>
    </row>
    <row r="444" spans="1:7" hidden="1">
      <c r="A444" s="572">
        <v>14757</v>
      </c>
      <c r="B444" s="550">
        <v>0.08</v>
      </c>
      <c r="C444" s="653"/>
      <c r="D444" s="561" t="s">
        <v>270</v>
      </c>
      <c r="E444" s="364">
        <v>3000000</v>
      </c>
      <c r="F444" s="500">
        <v>0.01</v>
      </c>
      <c r="G444" s="654">
        <f t="shared" ref="G444:G463" si="24">E444*F444</f>
        <v>30000</v>
      </c>
    </row>
    <row r="445" spans="1:7" hidden="1">
      <c r="A445" s="122">
        <v>14694</v>
      </c>
      <c r="B445" s="541">
        <v>0.1</v>
      </c>
      <c r="C445" s="122"/>
      <c r="D445" s="542" t="s">
        <v>278</v>
      </c>
      <c r="E445" s="364">
        <v>3000000</v>
      </c>
      <c r="F445" s="499">
        <v>0.02</v>
      </c>
      <c r="G445" s="654">
        <f t="shared" si="24"/>
        <v>60000</v>
      </c>
    </row>
    <row r="446" spans="1:7" hidden="1">
      <c r="A446" s="551">
        <v>14753</v>
      </c>
      <c r="B446" s="121">
        <v>0.1</v>
      </c>
      <c r="C446" s="122"/>
      <c r="D446" s="621" t="s">
        <v>280</v>
      </c>
      <c r="E446" s="364">
        <v>1400000</v>
      </c>
      <c r="F446" s="499">
        <v>0.02</v>
      </c>
      <c r="G446" s="654">
        <f t="shared" si="24"/>
        <v>28000</v>
      </c>
    </row>
    <row r="447" spans="1:7" hidden="1">
      <c r="A447" s="551">
        <v>14779</v>
      </c>
      <c r="B447" s="619">
        <v>0.08</v>
      </c>
      <c r="C447" s="122"/>
      <c r="D447" s="542" t="s">
        <v>446</v>
      </c>
      <c r="E447" s="620">
        <v>2900000</v>
      </c>
      <c r="F447" s="500">
        <v>0.01</v>
      </c>
      <c r="G447" s="654">
        <f t="shared" si="24"/>
        <v>29000</v>
      </c>
    </row>
    <row r="448" spans="1:7" hidden="1">
      <c r="A448" s="580">
        <v>14682</v>
      </c>
      <c r="B448" s="577">
        <v>0.1</v>
      </c>
      <c r="C448" s="122"/>
      <c r="D448" s="542" t="s">
        <v>296</v>
      </c>
      <c r="E448" s="364">
        <v>2300000</v>
      </c>
      <c r="F448" s="499">
        <v>0.02</v>
      </c>
      <c r="G448" s="654">
        <f t="shared" si="24"/>
        <v>46000</v>
      </c>
    </row>
    <row r="449" spans="1:7" hidden="1">
      <c r="A449" s="572">
        <v>14776</v>
      </c>
      <c r="B449" s="121">
        <v>0.1</v>
      </c>
      <c r="C449" s="135"/>
      <c r="D449" s="561" t="s">
        <v>450</v>
      </c>
      <c r="E449" s="364">
        <v>2200000</v>
      </c>
      <c r="F449" s="499">
        <v>0.02</v>
      </c>
      <c r="G449" s="654">
        <f t="shared" si="24"/>
        <v>44000</v>
      </c>
    </row>
    <row r="450" spans="1:7" hidden="1">
      <c r="A450" s="573">
        <v>14790</v>
      </c>
      <c r="B450" s="574">
        <v>0.1</v>
      </c>
      <c r="C450" s="135"/>
      <c r="D450" s="575" t="s">
        <v>272</v>
      </c>
      <c r="E450" s="364">
        <v>2500000</v>
      </c>
      <c r="F450" s="499">
        <v>0.02</v>
      </c>
      <c r="G450" s="654">
        <f t="shared" si="24"/>
        <v>50000</v>
      </c>
    </row>
    <row r="451" spans="1:7" hidden="1">
      <c r="A451" s="573">
        <v>14804</v>
      </c>
      <c r="B451" s="558">
        <v>0.08</v>
      </c>
      <c r="C451" s="135"/>
      <c r="D451" s="575" t="s">
        <v>273</v>
      </c>
      <c r="E451" s="364">
        <v>2550000</v>
      </c>
      <c r="F451" s="500">
        <v>0.01</v>
      </c>
      <c r="G451" s="654">
        <f t="shared" si="24"/>
        <v>25500</v>
      </c>
    </row>
    <row r="452" spans="1:7" hidden="1">
      <c r="A452" s="551">
        <v>14809</v>
      </c>
      <c r="B452" s="121">
        <v>0.1</v>
      </c>
      <c r="C452" s="135"/>
      <c r="D452" s="542" t="s">
        <v>286</v>
      </c>
      <c r="E452" s="364">
        <v>3000000</v>
      </c>
      <c r="F452" s="499">
        <v>0.02</v>
      </c>
      <c r="G452" s="654">
        <f t="shared" si="24"/>
        <v>60000</v>
      </c>
    </row>
    <row r="453" spans="1:7" hidden="1">
      <c r="A453" s="551">
        <v>14833</v>
      </c>
      <c r="B453" s="121">
        <v>0.1</v>
      </c>
      <c r="C453" s="135"/>
      <c r="D453" s="542" t="s">
        <v>266</v>
      </c>
      <c r="E453" s="364">
        <v>2100000</v>
      </c>
      <c r="F453" s="499">
        <v>0.02</v>
      </c>
      <c r="G453" s="654">
        <f t="shared" si="24"/>
        <v>42000</v>
      </c>
    </row>
    <row r="454" spans="1:7" hidden="1">
      <c r="A454" s="580">
        <v>14677</v>
      </c>
      <c r="B454" s="577">
        <v>0.1</v>
      </c>
      <c r="C454" s="135"/>
      <c r="D454" s="542" t="s">
        <v>293</v>
      </c>
      <c r="E454" s="364">
        <v>2000000</v>
      </c>
      <c r="F454" s="499">
        <v>0.02</v>
      </c>
      <c r="G454" s="654">
        <f t="shared" si="24"/>
        <v>40000</v>
      </c>
    </row>
    <row r="455" spans="1:7" hidden="1">
      <c r="A455" s="580">
        <v>14808</v>
      </c>
      <c r="B455" s="577">
        <v>0.1</v>
      </c>
      <c r="C455" s="135"/>
      <c r="D455" s="542" t="s">
        <v>448</v>
      </c>
      <c r="E455" s="364">
        <v>3100000</v>
      </c>
      <c r="F455" s="499">
        <v>0.02</v>
      </c>
      <c r="G455" s="654">
        <f t="shared" si="24"/>
        <v>62000</v>
      </c>
    </row>
    <row r="456" spans="1:7" hidden="1">
      <c r="A456" s="572">
        <v>14645</v>
      </c>
      <c r="B456" s="690">
        <v>0.1</v>
      </c>
      <c r="C456" s="137"/>
      <c r="D456" s="542" t="s">
        <v>265</v>
      </c>
      <c r="E456" s="364">
        <v>4000000</v>
      </c>
      <c r="F456" s="499">
        <v>0.02</v>
      </c>
      <c r="G456" s="654">
        <f t="shared" si="24"/>
        <v>80000</v>
      </c>
    </row>
    <row r="457" spans="1:7" hidden="1">
      <c r="A457" s="572">
        <v>14658</v>
      </c>
      <c r="B457" s="740">
        <v>0.1</v>
      </c>
      <c r="C457" s="137"/>
      <c r="D457" s="542" t="s">
        <v>267</v>
      </c>
      <c r="E457" s="364">
        <v>3200000</v>
      </c>
      <c r="F457" s="499">
        <v>0.02</v>
      </c>
      <c r="G457" s="654">
        <f t="shared" si="24"/>
        <v>64000</v>
      </c>
    </row>
    <row r="458" spans="1:7" hidden="1">
      <c r="A458" s="572">
        <v>14762</v>
      </c>
      <c r="B458" s="619">
        <v>0.08</v>
      </c>
      <c r="C458" s="137"/>
      <c r="D458" s="542" t="s">
        <v>271</v>
      </c>
      <c r="E458" s="364">
        <v>2900000</v>
      </c>
      <c r="F458" s="500">
        <v>0.01</v>
      </c>
      <c r="G458" s="654">
        <f t="shared" si="24"/>
        <v>29000</v>
      </c>
    </row>
    <row r="459" spans="1:7" hidden="1">
      <c r="A459" s="573">
        <v>14838</v>
      </c>
      <c r="B459" s="741">
        <v>0.1</v>
      </c>
      <c r="C459" s="137"/>
      <c r="D459" s="739" t="s">
        <v>452</v>
      </c>
      <c r="E459" s="364">
        <v>2500000</v>
      </c>
      <c r="F459" s="499">
        <v>0.02</v>
      </c>
      <c r="G459" s="654">
        <f t="shared" si="24"/>
        <v>50000</v>
      </c>
    </row>
    <row r="460" spans="1:7" hidden="1">
      <c r="A460" s="551">
        <v>14780</v>
      </c>
      <c r="B460" s="690">
        <v>0.1</v>
      </c>
      <c r="C460" s="137"/>
      <c r="D460" s="691" t="s">
        <v>281</v>
      </c>
      <c r="E460" s="364">
        <v>4200000</v>
      </c>
      <c r="F460" s="499">
        <v>0.02</v>
      </c>
      <c r="G460" s="654">
        <f t="shared" si="24"/>
        <v>84000</v>
      </c>
    </row>
    <row r="461" spans="1:7" hidden="1">
      <c r="A461" s="122">
        <v>14745</v>
      </c>
      <c r="B461" s="690">
        <v>0.1</v>
      </c>
      <c r="C461" s="137"/>
      <c r="D461" s="542" t="s">
        <v>284</v>
      </c>
      <c r="E461" s="364">
        <v>1400000</v>
      </c>
      <c r="F461" s="499">
        <v>0.02</v>
      </c>
      <c r="G461" s="654">
        <f t="shared" si="24"/>
        <v>28000</v>
      </c>
    </row>
    <row r="462" spans="1:7" hidden="1">
      <c r="A462" s="573">
        <v>14681</v>
      </c>
      <c r="B462" s="742">
        <v>0.08</v>
      </c>
      <c r="C462" s="137"/>
      <c r="D462" s="739" t="s">
        <v>291</v>
      </c>
      <c r="E462" s="364">
        <v>4000000</v>
      </c>
      <c r="F462" s="500">
        <v>0.01</v>
      </c>
      <c r="G462" s="654">
        <f t="shared" si="24"/>
        <v>40000</v>
      </c>
    </row>
    <row r="463" spans="1:7" hidden="1">
      <c r="A463" s="580">
        <v>14861</v>
      </c>
      <c r="B463" s="577">
        <v>0.1</v>
      </c>
      <c r="C463" s="135"/>
      <c r="D463" s="542" t="s">
        <v>449</v>
      </c>
      <c r="E463" s="364">
        <v>2200000</v>
      </c>
      <c r="F463" s="541">
        <v>0.02</v>
      </c>
      <c r="G463" s="654">
        <f t="shared" si="24"/>
        <v>44000</v>
      </c>
    </row>
    <row r="464" spans="1:7" hidden="1">
      <c r="A464" s="107"/>
      <c r="B464" s="25"/>
      <c r="C464" s="127"/>
      <c r="D464" s="4"/>
      <c r="E464" s="139"/>
      <c r="F464" s="166"/>
      <c r="G464" s="685"/>
    </row>
    <row r="465" spans="1:7" hidden="1">
      <c r="A465" s="147"/>
      <c r="B465" s="133"/>
      <c r="C465" s="133"/>
      <c r="D465" s="659" t="s">
        <v>378</v>
      </c>
      <c r="E465" s="658">
        <f>SUM(E443:E464)</f>
        <v>56350000</v>
      </c>
      <c r="F465" s="684"/>
      <c r="G465" s="683">
        <f>SUM(G443:G464)</f>
        <v>973500</v>
      </c>
    </row>
    <row r="466" spans="1:7" hidden="1"/>
    <row r="467" spans="1:7" hidden="1"/>
    <row r="468" spans="1:7" hidden="1"/>
    <row r="470" spans="1:7" ht="22.5">
      <c r="A470" s="965" t="s">
        <v>455</v>
      </c>
      <c r="B470" s="965"/>
      <c r="C470" s="965"/>
      <c r="D470" s="965"/>
      <c r="E470" s="965"/>
      <c r="F470" s="965"/>
      <c r="G470" s="965"/>
    </row>
    <row r="471" spans="1:7">
      <c r="A471" s="118"/>
      <c r="B471" s="118"/>
      <c r="C471" s="118"/>
      <c r="D471" s="118"/>
      <c r="E471" s="118"/>
      <c r="F471" s="118"/>
      <c r="G471" s="118"/>
    </row>
    <row r="472" spans="1:7">
      <c r="A472" s="948" t="s">
        <v>456</v>
      </c>
      <c r="B472" s="948"/>
      <c r="C472" s="948"/>
      <c r="D472" s="948"/>
      <c r="E472" s="948"/>
      <c r="F472" s="948"/>
      <c r="G472" s="948"/>
    </row>
    <row r="473" spans="1:7">
      <c r="A473" s="107" t="s">
        <v>372</v>
      </c>
      <c r="B473" s="119" t="s">
        <v>373</v>
      </c>
      <c r="C473" s="119" t="s">
        <v>11</v>
      </c>
      <c r="D473" s="119" t="s">
        <v>6</v>
      </c>
      <c r="E473" s="119" t="s">
        <v>29</v>
      </c>
      <c r="F473" s="119" t="s">
        <v>8</v>
      </c>
      <c r="G473" s="120" t="s">
        <v>190</v>
      </c>
    </row>
    <row r="474" spans="1:7">
      <c r="A474" s="573">
        <v>14932</v>
      </c>
      <c r="B474" s="558">
        <v>0.08</v>
      </c>
      <c r="C474" s="653"/>
      <c r="D474" s="575" t="s">
        <v>305</v>
      </c>
      <c r="E474" s="364">
        <v>2500000</v>
      </c>
      <c r="F474" s="500">
        <v>0.01</v>
      </c>
      <c r="G474" s="654">
        <f>E474*F474</f>
        <v>25000</v>
      </c>
    </row>
    <row r="475" spans="1:7">
      <c r="A475" s="551">
        <v>14867</v>
      </c>
      <c r="B475" s="550">
        <v>0.08</v>
      </c>
      <c r="C475" s="122"/>
      <c r="D475" s="542" t="s">
        <v>313</v>
      </c>
      <c r="E475" s="364">
        <v>2700000</v>
      </c>
      <c r="F475" s="500">
        <v>0.01</v>
      </c>
      <c r="G475" s="654">
        <f t="shared" ref="G475:G476" si="25">E475*F475</f>
        <v>27000</v>
      </c>
    </row>
    <row r="476" spans="1:7">
      <c r="A476" s="580">
        <v>15040</v>
      </c>
      <c r="B476" s="581">
        <v>0.08</v>
      </c>
      <c r="C476" s="122"/>
      <c r="D476" s="670" t="s">
        <v>457</v>
      </c>
      <c r="E476" s="364">
        <v>3000000</v>
      </c>
      <c r="F476" s="500">
        <v>0.01</v>
      </c>
      <c r="G476" s="654">
        <f t="shared" si="25"/>
        <v>30000</v>
      </c>
    </row>
    <row r="477" spans="1:7">
      <c r="A477" s="572">
        <v>14973</v>
      </c>
      <c r="B477" s="121">
        <v>0.1</v>
      </c>
      <c r="C477" s="122"/>
      <c r="D477" s="561" t="s">
        <v>458</v>
      </c>
      <c r="E477" s="364">
        <v>2200000</v>
      </c>
      <c r="F477" s="499"/>
      <c r="G477" s="654"/>
    </row>
    <row r="478" spans="1:7">
      <c r="A478" s="120"/>
      <c r="B478" s="591"/>
      <c r="C478" s="119"/>
      <c r="D478" s="318"/>
      <c r="E478" s="321"/>
      <c r="F478" s="657"/>
      <c r="G478" s="656"/>
    </row>
    <row r="479" spans="1:7">
      <c r="A479" s="140"/>
      <c r="B479" s="140"/>
      <c r="C479" s="140"/>
      <c r="D479" s="140" t="s">
        <v>378</v>
      </c>
      <c r="E479" s="658">
        <f>SUM(E474:E478)</f>
        <v>10400000</v>
      </c>
      <c r="F479" s="659"/>
      <c r="G479" s="660">
        <f>SUM(G474:G478)</f>
        <v>82000</v>
      </c>
    </row>
    <row r="482" spans="1:7">
      <c r="A482" s="948" t="s">
        <v>459</v>
      </c>
      <c r="B482" s="948"/>
      <c r="C482" s="948"/>
      <c r="D482" s="948"/>
      <c r="E482" s="948"/>
      <c r="F482" s="948"/>
      <c r="G482" s="948"/>
    </row>
    <row r="483" spans="1:7">
      <c r="A483" s="131" t="s">
        <v>372</v>
      </c>
      <c r="B483" s="120" t="s">
        <v>373</v>
      </c>
      <c r="C483" s="120" t="s">
        <v>11</v>
      </c>
      <c r="D483" s="120" t="s">
        <v>6</v>
      </c>
      <c r="E483" s="120" t="s">
        <v>29</v>
      </c>
      <c r="F483" s="120" t="s">
        <v>8</v>
      </c>
      <c r="G483" s="120" t="s">
        <v>138</v>
      </c>
    </row>
    <row r="484" spans="1:7">
      <c r="A484" s="572">
        <v>14882</v>
      </c>
      <c r="B484" s="121">
        <v>0.1</v>
      </c>
      <c r="C484" s="135"/>
      <c r="D484" s="561" t="s">
        <v>301</v>
      </c>
      <c r="E484" s="364">
        <v>2800000</v>
      </c>
      <c r="F484" s="541">
        <v>0.05</v>
      </c>
      <c r="G484" s="664">
        <f>E484*F484</f>
        <v>140000</v>
      </c>
    </row>
    <row r="485" spans="1:7">
      <c r="A485" s="572">
        <v>15078</v>
      </c>
      <c r="B485" s="121">
        <v>0.1</v>
      </c>
      <c r="C485" s="135" t="s">
        <v>384</v>
      </c>
      <c r="D485" s="561" t="s">
        <v>460</v>
      </c>
      <c r="E485" s="364">
        <v>3340000</v>
      </c>
      <c r="F485" s="543">
        <v>0.02</v>
      </c>
      <c r="G485" s="664">
        <f t="shared" ref="G485:G496" si="26">E485*F485</f>
        <v>66800</v>
      </c>
    </row>
    <row r="486" spans="1:7">
      <c r="A486" s="551">
        <v>14911</v>
      </c>
      <c r="B486" s="690">
        <v>0.1</v>
      </c>
      <c r="C486" s="135"/>
      <c r="D486" s="542" t="s">
        <v>461</v>
      </c>
      <c r="E486" s="620">
        <v>2000000</v>
      </c>
      <c r="F486" s="541">
        <v>0.05</v>
      </c>
      <c r="G486" s="664">
        <f t="shared" si="26"/>
        <v>100000</v>
      </c>
    </row>
    <row r="487" spans="1:7">
      <c r="A487" s="551">
        <v>15005</v>
      </c>
      <c r="B487" s="690">
        <v>0.1</v>
      </c>
      <c r="C487" s="135"/>
      <c r="D487" s="542" t="s">
        <v>318</v>
      </c>
      <c r="E487" s="620">
        <v>1600000</v>
      </c>
      <c r="F487" s="541">
        <v>0.05</v>
      </c>
      <c r="G487" s="664">
        <f t="shared" si="26"/>
        <v>80000</v>
      </c>
    </row>
    <row r="488" spans="1:7">
      <c r="A488" s="551">
        <v>14992</v>
      </c>
      <c r="B488" s="121">
        <v>0.1</v>
      </c>
      <c r="C488" s="135"/>
      <c r="D488" s="670" t="s">
        <v>462</v>
      </c>
      <c r="E488" s="364">
        <v>1500000</v>
      </c>
      <c r="F488" s="541">
        <v>0.05</v>
      </c>
      <c r="G488" s="664">
        <f t="shared" si="26"/>
        <v>75000</v>
      </c>
    </row>
    <row r="489" spans="1:7">
      <c r="A489" s="551">
        <v>15000</v>
      </c>
      <c r="B489" s="550">
        <v>0.08</v>
      </c>
      <c r="C489" s="135"/>
      <c r="D489" s="670" t="s">
        <v>463</v>
      </c>
      <c r="E489" s="364">
        <v>3200000</v>
      </c>
      <c r="F489" s="543">
        <v>0.04</v>
      </c>
      <c r="G489" s="664">
        <f t="shared" si="26"/>
        <v>128000</v>
      </c>
    </row>
    <row r="490" spans="1:7">
      <c r="A490" s="557">
        <v>14957</v>
      </c>
      <c r="B490" s="558">
        <v>0.08</v>
      </c>
      <c r="C490" s="135"/>
      <c r="D490" s="542" t="s">
        <v>464</v>
      </c>
      <c r="E490" s="364">
        <v>3000000</v>
      </c>
      <c r="F490" s="543">
        <v>0.04</v>
      </c>
      <c r="G490" s="664">
        <f t="shared" si="26"/>
        <v>120000</v>
      </c>
    </row>
    <row r="491" spans="1:7">
      <c r="A491" s="557">
        <v>14999</v>
      </c>
      <c r="B491" s="558">
        <v>0.08</v>
      </c>
      <c r="C491" s="135"/>
      <c r="D491" s="542" t="s">
        <v>465</v>
      </c>
      <c r="E491" s="364">
        <v>2700000</v>
      </c>
      <c r="F491" s="543">
        <v>0.04</v>
      </c>
      <c r="G491" s="664">
        <f t="shared" si="26"/>
        <v>108000</v>
      </c>
    </row>
    <row r="492" spans="1:7">
      <c r="A492" s="557">
        <v>14974</v>
      </c>
      <c r="B492" s="558">
        <v>0.08</v>
      </c>
      <c r="C492" s="135"/>
      <c r="D492" s="542" t="s">
        <v>325</v>
      </c>
      <c r="E492" s="364">
        <v>2800000</v>
      </c>
      <c r="F492" s="543">
        <v>0.04</v>
      </c>
      <c r="G492" s="664">
        <f t="shared" si="26"/>
        <v>112000</v>
      </c>
    </row>
    <row r="493" spans="1:7">
      <c r="A493" s="557">
        <v>15030</v>
      </c>
      <c r="B493" s="558">
        <v>0.08</v>
      </c>
      <c r="C493" s="135"/>
      <c r="D493" s="542" t="s">
        <v>300</v>
      </c>
      <c r="E493" s="364">
        <v>3300000</v>
      </c>
      <c r="F493" s="543">
        <v>0.04</v>
      </c>
      <c r="G493" s="664">
        <f t="shared" si="26"/>
        <v>132000</v>
      </c>
    </row>
    <row r="494" spans="1:7">
      <c r="A494" s="580" t="s">
        <v>34</v>
      </c>
      <c r="B494" s="550">
        <v>0.08</v>
      </c>
      <c r="C494" s="135"/>
      <c r="D494" s="670" t="s">
        <v>466</v>
      </c>
      <c r="E494" s="364">
        <v>2500000</v>
      </c>
      <c r="F494" s="543">
        <v>0.04</v>
      </c>
      <c r="G494" s="664">
        <f t="shared" si="26"/>
        <v>100000</v>
      </c>
    </row>
    <row r="495" spans="1:7">
      <c r="A495" s="580">
        <v>15043</v>
      </c>
      <c r="B495" s="577">
        <v>0.1</v>
      </c>
      <c r="C495" s="135"/>
      <c r="D495" s="542" t="s">
        <v>467</v>
      </c>
      <c r="E495" s="364">
        <v>2600000</v>
      </c>
      <c r="F495" s="541">
        <v>0.05</v>
      </c>
      <c r="G495" s="664">
        <f t="shared" si="26"/>
        <v>130000</v>
      </c>
    </row>
    <row r="496" spans="1:7">
      <c r="A496" s="573">
        <v>15107</v>
      </c>
      <c r="B496" s="558">
        <v>0.08</v>
      </c>
      <c r="C496" s="135"/>
      <c r="D496" s="542" t="s">
        <v>468</v>
      </c>
      <c r="E496" s="364">
        <v>3400000</v>
      </c>
      <c r="F496" s="543">
        <v>0.04</v>
      </c>
      <c r="G496" s="664">
        <f t="shared" si="26"/>
        <v>136000</v>
      </c>
    </row>
    <row r="497" spans="1:7">
      <c r="A497" s="327"/>
      <c r="B497" s="681"/>
      <c r="C497" s="127"/>
      <c r="D497" s="318"/>
      <c r="E497" s="321"/>
      <c r="F497" s="586"/>
      <c r="G497" s="680"/>
    </row>
    <row r="498" spans="1:7">
      <c r="A498" s="140"/>
      <c r="B498" s="140"/>
      <c r="C498" s="35"/>
      <c r="D498" s="140" t="s">
        <v>378</v>
      </c>
      <c r="E498" s="658">
        <f>SUM(E484:E497)</f>
        <v>34740000</v>
      </c>
      <c r="F498" s="147"/>
      <c r="G498" s="665">
        <f>SUM(G484:G497)</f>
        <v>1427800</v>
      </c>
    </row>
    <row r="499" spans="1:7">
      <c r="A499" s="641"/>
      <c r="B499" s="641"/>
      <c r="C499" s="82"/>
      <c r="D499" s="82"/>
      <c r="E499" s="645"/>
      <c r="F499" s="82"/>
      <c r="G499" s="646"/>
    </row>
    <row r="500" spans="1:7">
      <c r="A500" s="948" t="s">
        <v>469</v>
      </c>
      <c r="B500" s="948"/>
      <c r="C500" s="948"/>
      <c r="D500" s="948"/>
      <c r="E500" s="948"/>
      <c r="F500" s="948"/>
      <c r="G500" s="948"/>
    </row>
    <row r="501" spans="1:7">
      <c r="A501" s="107" t="s">
        <v>372</v>
      </c>
      <c r="B501" s="120" t="s">
        <v>373</v>
      </c>
      <c r="C501" s="120" t="s">
        <v>11</v>
      </c>
      <c r="D501" s="120" t="s">
        <v>6</v>
      </c>
      <c r="E501" s="120" t="s">
        <v>29</v>
      </c>
      <c r="F501" s="743" t="s">
        <v>8</v>
      </c>
      <c r="G501" s="120" t="s">
        <v>124</v>
      </c>
    </row>
    <row r="502" spans="1:7">
      <c r="A502" s="572">
        <v>14869</v>
      </c>
      <c r="B502" s="121">
        <v>0.1</v>
      </c>
      <c r="C502" s="137"/>
      <c r="D502" s="567" t="s">
        <v>299</v>
      </c>
      <c r="E502" s="364">
        <v>2400000</v>
      </c>
      <c r="F502" s="541">
        <v>0.05</v>
      </c>
      <c r="G502" s="664">
        <f>E502*F502</f>
        <v>120000</v>
      </c>
    </row>
    <row r="503" spans="1:7">
      <c r="A503" s="572">
        <v>14906</v>
      </c>
      <c r="B503" s="550">
        <v>0.09</v>
      </c>
      <c r="C503" s="137"/>
      <c r="D503" s="561" t="s">
        <v>303</v>
      </c>
      <c r="E503" s="364">
        <v>3600000</v>
      </c>
      <c r="F503" s="543">
        <v>0.04</v>
      </c>
      <c r="G503" s="664">
        <f t="shared" ref="G503:G509" si="27">E503*F503</f>
        <v>144000</v>
      </c>
    </row>
    <row r="504" spans="1:7">
      <c r="A504" s="573">
        <v>14907</v>
      </c>
      <c r="B504" s="558">
        <v>0.08</v>
      </c>
      <c r="C504" s="137"/>
      <c r="D504" s="748" t="s">
        <v>304</v>
      </c>
      <c r="E504" s="364">
        <v>2700000</v>
      </c>
      <c r="F504" s="543">
        <v>0.04</v>
      </c>
      <c r="G504" s="664">
        <f t="shared" si="27"/>
        <v>108000</v>
      </c>
    </row>
    <row r="505" spans="1:7">
      <c r="A505" s="572" t="s">
        <v>34</v>
      </c>
      <c r="B505" s="121">
        <v>0.1</v>
      </c>
      <c r="C505" s="135"/>
      <c r="D505" s="561" t="s">
        <v>470</v>
      </c>
      <c r="E505" s="364">
        <v>1550000</v>
      </c>
      <c r="F505" s="541">
        <v>0.05</v>
      </c>
      <c r="G505" s="664">
        <f t="shared" si="27"/>
        <v>77500</v>
      </c>
    </row>
    <row r="506" spans="1:7">
      <c r="A506" s="572">
        <v>15103</v>
      </c>
      <c r="B506" s="550">
        <v>0.08</v>
      </c>
      <c r="C506" s="137"/>
      <c r="D506" s="561" t="s">
        <v>471</v>
      </c>
      <c r="E506" s="364">
        <v>2750000</v>
      </c>
      <c r="F506" s="543">
        <v>0.04</v>
      </c>
      <c r="G506" s="664">
        <f t="shared" si="27"/>
        <v>110000</v>
      </c>
    </row>
    <row r="507" spans="1:7">
      <c r="A507" s="551">
        <v>14877</v>
      </c>
      <c r="B507" s="619">
        <v>0.08</v>
      </c>
      <c r="C507" s="137"/>
      <c r="D507" s="542" t="s">
        <v>472</v>
      </c>
      <c r="E507" s="620">
        <v>3121000</v>
      </c>
      <c r="F507" s="543">
        <v>0.04</v>
      </c>
      <c r="G507" s="664">
        <f t="shared" si="27"/>
        <v>124840</v>
      </c>
    </row>
    <row r="508" spans="1:7">
      <c r="A508" s="551">
        <v>14924</v>
      </c>
      <c r="B508" s="690">
        <v>0.1</v>
      </c>
      <c r="C508" s="137"/>
      <c r="D508" s="691" t="s">
        <v>473</v>
      </c>
      <c r="E508" s="620">
        <v>1200000</v>
      </c>
      <c r="F508" s="541">
        <v>0.05</v>
      </c>
      <c r="G508" s="664">
        <f t="shared" si="27"/>
        <v>60000</v>
      </c>
    </row>
    <row r="509" spans="1:7">
      <c r="A509" s="551">
        <v>14942</v>
      </c>
      <c r="B509" s="619">
        <v>0.08</v>
      </c>
      <c r="C509" s="137"/>
      <c r="D509" s="542" t="s">
        <v>474</v>
      </c>
      <c r="E509" s="620">
        <v>3100000</v>
      </c>
      <c r="F509" s="543">
        <v>0.04</v>
      </c>
      <c r="G509" s="664">
        <f t="shared" si="27"/>
        <v>124000</v>
      </c>
    </row>
    <row r="510" spans="1:7">
      <c r="A510" s="590"/>
      <c r="B510" s="749"/>
      <c r="C510" s="5"/>
      <c r="D510" s="318"/>
      <c r="E510" s="750"/>
      <c r="F510" s="586"/>
      <c r="G510" s="680"/>
    </row>
    <row r="511" spans="1:7">
      <c r="A511" s="35"/>
      <c r="B511" s="35"/>
      <c r="C511" s="35"/>
      <c r="D511" s="140" t="s">
        <v>378</v>
      </c>
      <c r="E511" s="745">
        <f>SUM(E502:E510)</f>
        <v>20421000</v>
      </c>
      <c r="F511" s="140"/>
      <c r="G511" s="660">
        <f>SUM(G502:G510)</f>
        <v>868340</v>
      </c>
    </row>
    <row r="512" spans="1:7">
      <c r="A512" s="141"/>
      <c r="B512" s="141"/>
      <c r="C512" s="141"/>
      <c r="D512" s="141"/>
      <c r="E512" s="141"/>
      <c r="F512" s="141"/>
      <c r="G512" s="141"/>
    </row>
    <row r="513" spans="1:7">
      <c r="A513" s="948" t="s">
        <v>475</v>
      </c>
      <c r="B513" s="948"/>
      <c r="C513" s="948"/>
      <c r="D513" s="948"/>
      <c r="E513" s="948"/>
      <c r="F513" s="948"/>
      <c r="G513" s="948"/>
    </row>
    <row r="514" spans="1:7">
      <c r="A514" s="107" t="s">
        <v>372</v>
      </c>
      <c r="B514" s="119" t="s">
        <v>373</v>
      </c>
      <c r="C514" s="119" t="s">
        <v>11</v>
      </c>
      <c r="D514" s="119" t="s">
        <v>6</v>
      </c>
      <c r="E514" s="119" t="s">
        <v>29</v>
      </c>
      <c r="F514" s="157" t="s">
        <v>8</v>
      </c>
      <c r="G514" s="119" t="s">
        <v>123</v>
      </c>
    </row>
    <row r="515" spans="1:7">
      <c r="A515" s="107"/>
      <c r="B515" s="111"/>
      <c r="C515" s="138"/>
      <c r="D515" s="4"/>
      <c r="E515" s="26"/>
      <c r="F515" s="166"/>
      <c r="G515" s="139"/>
    </row>
    <row r="516" spans="1:7">
      <c r="A516" s="107"/>
      <c r="B516" s="111"/>
      <c r="C516" s="138"/>
      <c r="D516" s="4"/>
      <c r="E516" s="26"/>
      <c r="F516" s="166"/>
      <c r="G516" s="139"/>
    </row>
    <row r="517" spans="1:7">
      <c r="A517" s="68"/>
      <c r="B517" s="25"/>
      <c r="C517" s="69"/>
      <c r="D517" s="69"/>
      <c r="E517" s="26"/>
      <c r="F517" s="129"/>
      <c r="G517" s="130"/>
    </row>
    <row r="518" spans="1:7">
      <c r="A518" s="35"/>
      <c r="B518" s="35"/>
      <c r="C518" s="35"/>
      <c r="D518" s="35" t="s">
        <v>378</v>
      </c>
      <c r="E518" s="132">
        <f>SUM(E515:E517)</f>
        <v>0</v>
      </c>
      <c r="F518" s="133"/>
      <c r="G518" s="134">
        <f>SUM(G515:G517)</f>
        <v>0</v>
      </c>
    </row>
    <row r="521" spans="1:7">
      <c r="A521" s="904" t="s">
        <v>476</v>
      </c>
      <c r="B521" s="904"/>
      <c r="C521" s="904"/>
      <c r="D521" s="904"/>
      <c r="E521" s="904"/>
      <c r="F521" s="904"/>
      <c r="G521" s="904"/>
    </row>
    <row r="522" spans="1:7">
      <c r="A522" s="120" t="s">
        <v>372</v>
      </c>
      <c r="B522" s="120" t="s">
        <v>373</v>
      </c>
      <c r="C522" s="120" t="s">
        <v>11</v>
      </c>
      <c r="D522" s="120" t="s">
        <v>6</v>
      </c>
      <c r="E522" s="120" t="s">
        <v>29</v>
      </c>
      <c r="F522" s="120" t="s">
        <v>8</v>
      </c>
      <c r="G522" s="120" t="s">
        <v>381</v>
      </c>
    </row>
    <row r="523" spans="1:7">
      <c r="A523" s="573">
        <v>14932</v>
      </c>
      <c r="B523" s="558">
        <v>0.08</v>
      </c>
      <c r="C523" s="653"/>
      <c r="D523" s="575" t="s">
        <v>305</v>
      </c>
      <c r="E523" s="364">
        <v>2500000</v>
      </c>
      <c r="F523" s="751">
        <v>1.4999999999999999E-2</v>
      </c>
      <c r="G523" s="654">
        <f>E523*F523</f>
        <v>37500</v>
      </c>
    </row>
    <row r="524" spans="1:7">
      <c r="A524" s="551">
        <v>14867</v>
      </c>
      <c r="B524" s="550">
        <v>0.08</v>
      </c>
      <c r="C524" s="122"/>
      <c r="D524" s="542" t="s">
        <v>313</v>
      </c>
      <c r="E524" s="364">
        <v>2700000</v>
      </c>
      <c r="F524" s="751">
        <v>1.4999999999999999E-2</v>
      </c>
      <c r="G524" s="654">
        <f t="shared" ref="G524:G546" si="28">E524*F524</f>
        <v>40500</v>
      </c>
    </row>
    <row r="525" spans="1:7">
      <c r="A525" s="580">
        <v>15040</v>
      </c>
      <c r="B525" s="581">
        <v>0.08</v>
      </c>
      <c r="C525" s="122"/>
      <c r="D525" s="670" t="s">
        <v>457</v>
      </c>
      <c r="E525" s="364">
        <v>3000000</v>
      </c>
      <c r="F525" s="751">
        <v>1.4999999999999999E-2</v>
      </c>
      <c r="G525" s="654">
        <f t="shared" si="28"/>
        <v>45000</v>
      </c>
    </row>
    <row r="526" spans="1:7">
      <c r="A526" s="572">
        <v>14882</v>
      </c>
      <c r="B526" s="121">
        <v>0.1</v>
      </c>
      <c r="C526" s="135"/>
      <c r="D526" s="561" t="s">
        <v>301</v>
      </c>
      <c r="E526" s="364">
        <v>2800000</v>
      </c>
      <c r="F526" s="752">
        <v>2.5000000000000001E-2</v>
      </c>
      <c r="G526" s="654">
        <f t="shared" si="28"/>
        <v>70000</v>
      </c>
    </row>
    <row r="527" spans="1:7">
      <c r="A527" s="572">
        <v>15078</v>
      </c>
      <c r="B527" s="121">
        <v>0.1</v>
      </c>
      <c r="C527" s="135"/>
      <c r="D527" s="561" t="s">
        <v>460</v>
      </c>
      <c r="E527" s="364">
        <v>3340000</v>
      </c>
      <c r="F527" s="752">
        <v>2.5000000000000001E-2</v>
      </c>
      <c r="G527" s="654">
        <f t="shared" si="28"/>
        <v>83500</v>
      </c>
    </row>
    <row r="528" spans="1:7">
      <c r="A528" s="551">
        <v>14911</v>
      </c>
      <c r="B528" s="690">
        <v>0.1</v>
      </c>
      <c r="C528" s="135"/>
      <c r="D528" s="542" t="s">
        <v>461</v>
      </c>
      <c r="E528" s="620">
        <v>2000000</v>
      </c>
      <c r="F528" s="752">
        <v>2.5000000000000001E-2</v>
      </c>
      <c r="G528" s="654">
        <f t="shared" si="28"/>
        <v>50000</v>
      </c>
    </row>
    <row r="529" spans="1:7">
      <c r="A529" s="551">
        <v>15005</v>
      </c>
      <c r="B529" s="690">
        <v>0.1</v>
      </c>
      <c r="C529" s="135"/>
      <c r="D529" s="542" t="s">
        <v>318</v>
      </c>
      <c r="E529" s="620">
        <v>1600000</v>
      </c>
      <c r="F529" s="752">
        <v>2.5000000000000001E-2</v>
      </c>
      <c r="G529" s="654">
        <f t="shared" si="28"/>
        <v>40000</v>
      </c>
    </row>
    <row r="530" spans="1:7">
      <c r="A530" s="551">
        <v>14992</v>
      </c>
      <c r="B530" s="121">
        <v>0.1</v>
      </c>
      <c r="C530" s="135"/>
      <c r="D530" s="670" t="s">
        <v>462</v>
      </c>
      <c r="E530" s="364">
        <v>1500000</v>
      </c>
      <c r="F530" s="752">
        <v>2.5000000000000001E-2</v>
      </c>
      <c r="G530" s="654">
        <f t="shared" si="28"/>
        <v>37500</v>
      </c>
    </row>
    <row r="531" spans="1:7">
      <c r="A531" s="551">
        <v>15000</v>
      </c>
      <c r="B531" s="550">
        <v>0.08</v>
      </c>
      <c r="C531" s="135"/>
      <c r="D531" s="670" t="s">
        <v>463</v>
      </c>
      <c r="E531" s="364">
        <v>3200000</v>
      </c>
      <c r="F531" s="751">
        <v>1.4999999999999999E-2</v>
      </c>
      <c r="G531" s="654">
        <f t="shared" si="28"/>
        <v>48000</v>
      </c>
    </row>
    <row r="532" spans="1:7">
      <c r="A532" s="557">
        <v>14957</v>
      </c>
      <c r="B532" s="558">
        <v>0.08</v>
      </c>
      <c r="C532" s="135"/>
      <c r="D532" s="542" t="s">
        <v>464</v>
      </c>
      <c r="E532" s="364">
        <v>3000000</v>
      </c>
      <c r="F532" s="751">
        <v>1.4999999999999999E-2</v>
      </c>
      <c r="G532" s="654">
        <f t="shared" si="28"/>
        <v>45000</v>
      </c>
    </row>
    <row r="533" spans="1:7">
      <c r="A533" s="557">
        <v>14999</v>
      </c>
      <c r="B533" s="558">
        <v>0.08</v>
      </c>
      <c r="C533" s="135"/>
      <c r="D533" s="542" t="s">
        <v>465</v>
      </c>
      <c r="E533" s="364">
        <v>2700000</v>
      </c>
      <c r="F533" s="751">
        <v>1.4999999999999999E-2</v>
      </c>
      <c r="G533" s="654">
        <f t="shared" si="28"/>
        <v>40500</v>
      </c>
    </row>
    <row r="534" spans="1:7">
      <c r="A534" s="557">
        <v>14974</v>
      </c>
      <c r="B534" s="558">
        <v>0.08</v>
      </c>
      <c r="C534" s="135"/>
      <c r="D534" s="542" t="s">
        <v>325</v>
      </c>
      <c r="E534" s="364">
        <v>2800000</v>
      </c>
      <c r="F534" s="751">
        <v>1.4999999999999999E-2</v>
      </c>
      <c r="G534" s="654">
        <f t="shared" si="28"/>
        <v>42000</v>
      </c>
    </row>
    <row r="535" spans="1:7">
      <c r="A535" s="557">
        <v>15030</v>
      </c>
      <c r="B535" s="558">
        <v>0.08</v>
      </c>
      <c r="C535" s="135"/>
      <c r="D535" s="542" t="s">
        <v>300</v>
      </c>
      <c r="E535" s="364">
        <v>3300000</v>
      </c>
      <c r="F535" s="751">
        <v>1.4999999999999999E-2</v>
      </c>
      <c r="G535" s="654">
        <f t="shared" si="28"/>
        <v>49500</v>
      </c>
    </row>
    <row r="536" spans="1:7">
      <c r="A536" s="580" t="s">
        <v>34</v>
      </c>
      <c r="B536" s="550">
        <v>0.08</v>
      </c>
      <c r="C536" s="135"/>
      <c r="D536" s="670" t="s">
        <v>466</v>
      </c>
      <c r="E536" s="364">
        <v>2500000</v>
      </c>
      <c r="F536" s="751">
        <v>1.4999999999999999E-2</v>
      </c>
      <c r="G536" s="654">
        <f t="shared" si="28"/>
        <v>37500</v>
      </c>
    </row>
    <row r="537" spans="1:7">
      <c r="A537" s="580">
        <v>15043</v>
      </c>
      <c r="B537" s="577">
        <v>0.1</v>
      </c>
      <c r="C537" s="135"/>
      <c r="D537" s="542" t="s">
        <v>467</v>
      </c>
      <c r="E537" s="364">
        <v>2600000</v>
      </c>
      <c r="F537" s="752">
        <v>2.5000000000000001E-2</v>
      </c>
      <c r="G537" s="654">
        <f t="shared" si="28"/>
        <v>65000</v>
      </c>
    </row>
    <row r="538" spans="1:7">
      <c r="A538" s="572">
        <v>14869</v>
      </c>
      <c r="B538" s="121">
        <v>0.1</v>
      </c>
      <c r="C538" s="137"/>
      <c r="D538" s="567" t="s">
        <v>299</v>
      </c>
      <c r="E538" s="364">
        <v>2400000</v>
      </c>
      <c r="F538" s="752">
        <v>2.5000000000000001E-2</v>
      </c>
      <c r="G538" s="654">
        <f t="shared" si="28"/>
        <v>60000</v>
      </c>
    </row>
    <row r="539" spans="1:7">
      <c r="A539" s="572">
        <v>14906</v>
      </c>
      <c r="B539" s="550">
        <v>0.09</v>
      </c>
      <c r="C539" s="137"/>
      <c r="D539" s="561" t="s">
        <v>303</v>
      </c>
      <c r="E539" s="364">
        <v>3600000</v>
      </c>
      <c r="F539" s="751">
        <v>1.4999999999999999E-2</v>
      </c>
      <c r="G539" s="654">
        <f t="shared" si="28"/>
        <v>54000</v>
      </c>
    </row>
    <row r="540" spans="1:7">
      <c r="A540" s="573">
        <v>14907</v>
      </c>
      <c r="B540" s="558">
        <v>0.08</v>
      </c>
      <c r="C540" s="137"/>
      <c r="D540" s="748" t="s">
        <v>304</v>
      </c>
      <c r="E540" s="364">
        <v>2700000</v>
      </c>
      <c r="F540" s="751">
        <v>1.4999999999999999E-2</v>
      </c>
      <c r="G540" s="654">
        <f t="shared" si="28"/>
        <v>40500</v>
      </c>
    </row>
    <row r="541" spans="1:7">
      <c r="A541" s="572" t="s">
        <v>34</v>
      </c>
      <c r="B541" s="121">
        <v>0.1</v>
      </c>
      <c r="C541" s="135"/>
      <c r="D541" s="561" t="s">
        <v>470</v>
      </c>
      <c r="E541" s="364">
        <v>1550000</v>
      </c>
      <c r="F541" s="752">
        <v>2.5000000000000001E-2</v>
      </c>
      <c r="G541" s="654">
        <f t="shared" si="28"/>
        <v>38750</v>
      </c>
    </row>
    <row r="542" spans="1:7">
      <c r="A542" s="572">
        <v>15103</v>
      </c>
      <c r="B542" s="550">
        <v>0.08</v>
      </c>
      <c r="C542" s="137"/>
      <c r="D542" s="561" t="s">
        <v>471</v>
      </c>
      <c r="E542" s="364">
        <v>2750000</v>
      </c>
      <c r="F542" s="751">
        <v>1.4999999999999999E-2</v>
      </c>
      <c r="G542" s="654">
        <f t="shared" si="28"/>
        <v>41250</v>
      </c>
    </row>
    <row r="543" spans="1:7">
      <c r="A543" s="551">
        <v>14877</v>
      </c>
      <c r="B543" s="619">
        <v>0.08</v>
      </c>
      <c r="C543" s="137"/>
      <c r="D543" s="542" t="s">
        <v>472</v>
      </c>
      <c r="E543" s="620">
        <v>3121000</v>
      </c>
      <c r="F543" s="751">
        <v>1.4999999999999999E-2</v>
      </c>
      <c r="G543" s="654">
        <f t="shared" si="28"/>
        <v>46815</v>
      </c>
    </row>
    <row r="544" spans="1:7">
      <c r="A544" s="551">
        <v>14924</v>
      </c>
      <c r="B544" s="690">
        <v>0.1</v>
      </c>
      <c r="C544" s="137"/>
      <c r="D544" s="691" t="s">
        <v>473</v>
      </c>
      <c r="E544" s="620">
        <v>1200000</v>
      </c>
      <c r="F544" s="752">
        <v>2.5000000000000001E-2</v>
      </c>
      <c r="G544" s="654">
        <f t="shared" si="28"/>
        <v>30000</v>
      </c>
    </row>
    <row r="545" spans="1:7">
      <c r="A545" s="551">
        <v>14942</v>
      </c>
      <c r="B545" s="619">
        <v>0.08</v>
      </c>
      <c r="C545" s="137"/>
      <c r="D545" s="542" t="s">
        <v>474</v>
      </c>
      <c r="E545" s="620">
        <v>3100000</v>
      </c>
      <c r="F545" s="751">
        <v>1.4999999999999999E-2</v>
      </c>
      <c r="G545" s="654">
        <f t="shared" si="28"/>
        <v>46500</v>
      </c>
    </row>
    <row r="546" spans="1:7">
      <c r="A546" s="573">
        <v>15107</v>
      </c>
      <c r="B546" s="558">
        <v>0.08</v>
      </c>
      <c r="C546" s="135"/>
      <c r="D546" s="542" t="s">
        <v>468</v>
      </c>
      <c r="E546" s="364">
        <v>3400000</v>
      </c>
      <c r="F546" s="751">
        <v>1.4999999999999999E-2</v>
      </c>
      <c r="G546" s="654">
        <f t="shared" si="28"/>
        <v>51000</v>
      </c>
    </row>
    <row r="547" spans="1:7">
      <c r="A547" s="572">
        <v>14973</v>
      </c>
      <c r="B547" s="121">
        <v>0.1</v>
      </c>
      <c r="C547" s="122"/>
      <c r="D547" s="561" t="s">
        <v>458</v>
      </c>
      <c r="E547" s="364">
        <v>2200000</v>
      </c>
      <c r="F547" s="751"/>
      <c r="G547" s="654"/>
    </row>
    <row r="548" spans="1:7">
      <c r="A548" s="107"/>
      <c r="B548" s="25"/>
      <c r="C548" s="127"/>
      <c r="D548" s="4"/>
      <c r="E548" s="139"/>
      <c r="F548" s="166"/>
      <c r="G548" s="685"/>
    </row>
    <row r="549" spans="1:7">
      <c r="A549" s="147"/>
      <c r="B549" s="133"/>
      <c r="C549" s="133"/>
      <c r="D549" s="659" t="s">
        <v>378</v>
      </c>
      <c r="E549" s="658">
        <f>SUM(E523:E548)</f>
        <v>65561000</v>
      </c>
      <c r="F549" s="684"/>
      <c r="G549" s="683">
        <f>SUM(G523:G548)</f>
        <v>1140315</v>
      </c>
    </row>
    <row r="554" spans="1:7" ht="22.5">
      <c r="A554" s="965" t="s">
        <v>477</v>
      </c>
      <c r="B554" s="965"/>
      <c r="C554" s="965"/>
      <c r="D554" s="965"/>
      <c r="E554" s="965"/>
      <c r="F554" s="965"/>
      <c r="G554" s="965"/>
    </row>
    <row r="556" spans="1:7">
      <c r="A556" s="948" t="s">
        <v>478</v>
      </c>
      <c r="B556" s="948"/>
      <c r="C556" s="948"/>
      <c r="D556" s="948"/>
      <c r="E556" s="948"/>
      <c r="F556" s="948"/>
      <c r="G556" s="948"/>
    </row>
    <row r="557" spans="1:7">
      <c r="A557" s="131" t="s">
        <v>372</v>
      </c>
      <c r="B557" s="120" t="s">
        <v>373</v>
      </c>
      <c r="C557" s="120" t="s">
        <v>11</v>
      </c>
      <c r="D557" s="120" t="s">
        <v>6</v>
      </c>
      <c r="E557" s="120" t="s">
        <v>29</v>
      </c>
      <c r="F557" s="120" t="s">
        <v>8</v>
      </c>
      <c r="G557" s="120" t="s">
        <v>138</v>
      </c>
    </row>
    <row r="558" spans="1:7">
      <c r="A558" s="572">
        <v>15171</v>
      </c>
      <c r="B558" s="121">
        <v>0.1</v>
      </c>
      <c r="C558" s="135"/>
      <c r="D558" s="567" t="s">
        <v>332</v>
      </c>
      <c r="E558" s="364">
        <v>2100000</v>
      </c>
      <c r="F558" s="541">
        <v>0.05</v>
      </c>
      <c r="G558" s="664">
        <f>E558*F558</f>
        <v>105000</v>
      </c>
    </row>
    <row r="559" spans="1:7">
      <c r="A559" s="573">
        <v>15145</v>
      </c>
      <c r="B559" s="558">
        <v>0.08</v>
      </c>
      <c r="C559" s="135"/>
      <c r="D559" s="748" t="s">
        <v>333</v>
      </c>
      <c r="E559" s="364">
        <v>2400000</v>
      </c>
      <c r="F559" s="543">
        <v>0.04</v>
      </c>
      <c r="G559" s="664">
        <f t="shared" ref="G559:G567" si="29">E559*F559</f>
        <v>96000</v>
      </c>
    </row>
    <row r="560" spans="1:7">
      <c r="A560" s="573">
        <v>15159</v>
      </c>
      <c r="B560" s="574">
        <v>0.1</v>
      </c>
      <c r="C560" s="135"/>
      <c r="D560" s="575" t="s">
        <v>334</v>
      </c>
      <c r="E560" s="364">
        <v>4300000</v>
      </c>
      <c r="F560" s="541">
        <v>0.05</v>
      </c>
      <c r="G560" s="664">
        <f t="shared" si="29"/>
        <v>215000</v>
      </c>
    </row>
    <row r="561" spans="1:7">
      <c r="A561" s="572">
        <v>15153</v>
      </c>
      <c r="B561" s="550">
        <v>0.08</v>
      </c>
      <c r="C561" s="135"/>
      <c r="D561" s="561" t="s">
        <v>335</v>
      </c>
      <c r="E561" s="364">
        <v>2800000</v>
      </c>
      <c r="F561" s="543">
        <v>0.04</v>
      </c>
      <c r="G561" s="664">
        <f t="shared" si="29"/>
        <v>112000</v>
      </c>
    </row>
    <row r="562" spans="1:7">
      <c r="A562" s="572">
        <v>15265</v>
      </c>
      <c r="B562" s="121">
        <v>0.1</v>
      </c>
      <c r="C562" s="135"/>
      <c r="D562" s="561" t="s">
        <v>336</v>
      </c>
      <c r="E562" s="364">
        <v>1200000</v>
      </c>
      <c r="F562" s="541">
        <v>0.05</v>
      </c>
      <c r="G562" s="664">
        <f t="shared" si="29"/>
        <v>60000</v>
      </c>
    </row>
    <row r="563" spans="1:7">
      <c r="A563" s="551">
        <v>15188</v>
      </c>
      <c r="B563" s="690">
        <v>0.1</v>
      </c>
      <c r="C563" s="135"/>
      <c r="D563" s="691" t="s">
        <v>339</v>
      </c>
      <c r="E563" s="620">
        <v>3000000</v>
      </c>
      <c r="F563" s="541">
        <v>0.05</v>
      </c>
      <c r="G563" s="664">
        <f t="shared" si="29"/>
        <v>150000</v>
      </c>
    </row>
    <row r="564" spans="1:7">
      <c r="A564" s="551">
        <v>15301</v>
      </c>
      <c r="B564" s="690">
        <v>0.1</v>
      </c>
      <c r="C564" s="135"/>
      <c r="D564" s="691" t="s">
        <v>340</v>
      </c>
      <c r="E564" s="620">
        <v>2300000</v>
      </c>
      <c r="F564" s="541">
        <v>0.05</v>
      </c>
      <c r="G564" s="664">
        <f t="shared" si="29"/>
        <v>115000</v>
      </c>
    </row>
    <row r="565" spans="1:7">
      <c r="A565" s="551">
        <v>15367</v>
      </c>
      <c r="B565" s="690">
        <v>0.1</v>
      </c>
      <c r="C565" s="135"/>
      <c r="D565" s="691" t="s">
        <v>341</v>
      </c>
      <c r="E565" s="620">
        <v>6500000</v>
      </c>
      <c r="F565" s="541">
        <v>0.05</v>
      </c>
      <c r="G565" s="664">
        <f t="shared" si="29"/>
        <v>325000</v>
      </c>
    </row>
    <row r="566" spans="1:7">
      <c r="A566" s="551">
        <v>15366</v>
      </c>
      <c r="B566" s="690">
        <v>0.1</v>
      </c>
      <c r="C566" s="135"/>
      <c r="D566" s="691" t="s">
        <v>342</v>
      </c>
      <c r="E566" s="620">
        <v>2500000</v>
      </c>
      <c r="F566" s="541">
        <v>0.05</v>
      </c>
      <c r="G566" s="664">
        <f t="shared" si="29"/>
        <v>125000</v>
      </c>
    </row>
    <row r="567" spans="1:7">
      <c r="A567" s="557">
        <v>15395</v>
      </c>
      <c r="B567" s="574">
        <v>0.1</v>
      </c>
      <c r="C567" s="135"/>
      <c r="D567" s="542" t="s">
        <v>343</v>
      </c>
      <c r="E567" s="364">
        <v>3200000</v>
      </c>
      <c r="F567" s="541">
        <v>0.05</v>
      </c>
      <c r="G567" s="664">
        <f t="shared" si="29"/>
        <v>160000</v>
      </c>
    </row>
    <row r="568" spans="1:7">
      <c r="A568" s="327"/>
      <c r="B568" s="591"/>
      <c r="C568" s="127"/>
      <c r="D568" s="625"/>
      <c r="E568" s="321"/>
      <c r="F568" s="587"/>
      <c r="G568" s="680"/>
    </row>
    <row r="569" spans="1:7">
      <c r="A569" s="140"/>
      <c r="B569" s="140"/>
      <c r="C569" s="35"/>
      <c r="D569" s="140" t="s">
        <v>378</v>
      </c>
      <c r="E569" s="658">
        <f>SUM(E558:E568)</f>
        <v>30300000</v>
      </c>
      <c r="F569" s="147"/>
      <c r="G569" s="665">
        <f>SUM(G558:G568)</f>
        <v>1463000</v>
      </c>
    </row>
    <row r="570" spans="1:7">
      <c r="A570" s="641"/>
      <c r="B570" s="641"/>
      <c r="C570" s="82"/>
      <c r="D570" s="82"/>
      <c r="E570" s="645"/>
      <c r="F570" s="82"/>
      <c r="G570" s="646"/>
    </row>
    <row r="571" spans="1:7">
      <c r="A571" s="948" t="s">
        <v>479</v>
      </c>
      <c r="B571" s="948"/>
      <c r="C571" s="948"/>
      <c r="D571" s="948"/>
      <c r="E571" s="948"/>
      <c r="F571" s="948"/>
      <c r="G571" s="948"/>
    </row>
    <row r="572" spans="1:7">
      <c r="A572" s="107" t="s">
        <v>372</v>
      </c>
      <c r="B572" s="120" t="s">
        <v>373</v>
      </c>
      <c r="C572" s="120" t="s">
        <v>11</v>
      </c>
      <c r="D572" s="120" t="s">
        <v>6</v>
      </c>
      <c r="E572" s="120" t="s">
        <v>29</v>
      </c>
      <c r="F572" s="743" t="s">
        <v>8</v>
      </c>
      <c r="G572" s="120" t="s">
        <v>124</v>
      </c>
    </row>
    <row r="573" spans="1:7">
      <c r="A573" s="572">
        <v>15241</v>
      </c>
      <c r="B573" s="550">
        <v>0.08</v>
      </c>
      <c r="C573" s="137"/>
      <c r="D573" s="561" t="s">
        <v>337</v>
      </c>
      <c r="E573" s="364">
        <v>2600000</v>
      </c>
      <c r="F573" s="543">
        <v>0.01</v>
      </c>
      <c r="G573" s="664">
        <f>E573*F573</f>
        <v>26000</v>
      </c>
    </row>
    <row r="574" spans="1:7">
      <c r="A574" s="551">
        <v>15176</v>
      </c>
      <c r="B574" s="690">
        <v>0.1</v>
      </c>
      <c r="C574" s="137"/>
      <c r="D574" s="542" t="s">
        <v>338</v>
      </c>
      <c r="E574" s="620">
        <v>3150000</v>
      </c>
      <c r="F574" s="541">
        <v>0.02</v>
      </c>
      <c r="G574" s="664">
        <f>E574*F574</f>
        <v>63000</v>
      </c>
    </row>
    <row r="575" spans="1:7">
      <c r="A575" s="592"/>
      <c r="B575" s="596"/>
      <c r="C575" s="5"/>
      <c r="D575" s="781"/>
      <c r="E575" s="321"/>
      <c r="F575" s="587"/>
      <c r="G575" s="680"/>
    </row>
    <row r="576" spans="1:7">
      <c r="A576" s="35"/>
      <c r="B576" s="35"/>
      <c r="C576" s="35"/>
      <c r="D576" s="140" t="s">
        <v>378</v>
      </c>
      <c r="E576" s="745">
        <f>SUM(E573:E575)</f>
        <v>5750000</v>
      </c>
      <c r="F576" s="140"/>
      <c r="G576" s="660">
        <f>SUM(G573:G575)</f>
        <v>89000</v>
      </c>
    </row>
    <row r="577" spans="1:7">
      <c r="A577" s="141"/>
      <c r="B577" s="141"/>
      <c r="C577" s="141"/>
      <c r="D577" s="141"/>
      <c r="E577" s="141"/>
      <c r="F577" s="141"/>
      <c r="G577" s="141"/>
    </row>
    <row r="578" spans="1:7">
      <c r="A578" s="948" t="s">
        <v>480</v>
      </c>
      <c r="B578" s="948"/>
      <c r="C578" s="948"/>
      <c r="D578" s="948"/>
      <c r="E578" s="948"/>
      <c r="F578" s="948"/>
      <c r="G578" s="948"/>
    </row>
    <row r="579" spans="1:7">
      <c r="A579" s="107" t="s">
        <v>372</v>
      </c>
      <c r="B579" s="119" t="s">
        <v>373</v>
      </c>
      <c r="C579" s="119" t="s">
        <v>11</v>
      </c>
      <c r="D579" s="119" t="s">
        <v>6</v>
      </c>
      <c r="E579" s="119" t="s">
        <v>29</v>
      </c>
      <c r="F579" s="157" t="s">
        <v>8</v>
      </c>
      <c r="G579" s="119" t="s">
        <v>123</v>
      </c>
    </row>
    <row r="580" spans="1:7">
      <c r="A580" s="107"/>
      <c r="B580" s="111"/>
      <c r="C580" s="138"/>
      <c r="D580" s="4"/>
      <c r="E580" s="26"/>
      <c r="F580" s="166"/>
      <c r="G580" s="139"/>
    </row>
    <row r="581" spans="1:7">
      <c r="A581" s="107"/>
      <c r="B581" s="111"/>
      <c r="C581" s="138"/>
      <c r="D581" s="4"/>
      <c r="E581" s="26"/>
      <c r="F581" s="166"/>
      <c r="G581" s="139"/>
    </row>
    <row r="582" spans="1:7">
      <c r="A582" s="68"/>
      <c r="B582" s="25"/>
      <c r="C582" s="69"/>
      <c r="D582" s="69"/>
      <c r="E582" s="26"/>
      <c r="F582" s="129"/>
      <c r="G582" s="130"/>
    </row>
    <row r="583" spans="1:7">
      <c r="A583" s="35"/>
      <c r="B583" s="35"/>
      <c r="C583" s="35"/>
      <c r="D583" s="35" t="s">
        <v>378</v>
      </c>
      <c r="E583" s="132">
        <f>SUM(E580:E582)</f>
        <v>0</v>
      </c>
      <c r="F583" s="133"/>
      <c r="G583" s="134">
        <f>SUM(G580:G582)</f>
        <v>0</v>
      </c>
    </row>
    <row r="586" spans="1:7">
      <c r="A586" s="904" t="s">
        <v>481</v>
      </c>
      <c r="B586" s="904"/>
      <c r="C586" s="904"/>
      <c r="D586" s="904"/>
      <c r="E586" s="904"/>
      <c r="F586" s="904"/>
      <c r="G586" s="904"/>
    </row>
    <row r="587" spans="1:7">
      <c r="A587" s="120" t="s">
        <v>372</v>
      </c>
      <c r="B587" s="120" t="s">
        <v>373</v>
      </c>
      <c r="C587" s="120" t="s">
        <v>11</v>
      </c>
      <c r="D587" s="120" t="s">
        <v>6</v>
      </c>
      <c r="E587" s="120" t="s">
        <v>29</v>
      </c>
      <c r="F587" s="120" t="s">
        <v>8</v>
      </c>
      <c r="G587" s="120" t="s">
        <v>381</v>
      </c>
    </row>
    <row r="588" spans="1:7">
      <c r="A588" s="572">
        <v>15171</v>
      </c>
      <c r="B588" s="121">
        <v>0.1</v>
      </c>
      <c r="C588" s="135"/>
      <c r="D588" s="567" t="s">
        <v>332</v>
      </c>
      <c r="E588" s="364">
        <v>2100000</v>
      </c>
      <c r="F588" s="541">
        <v>0.02</v>
      </c>
      <c r="G588" s="664">
        <f>E588*F588</f>
        <v>42000</v>
      </c>
    </row>
    <row r="589" spans="1:7">
      <c r="A589" s="573">
        <v>15145</v>
      </c>
      <c r="B589" s="558">
        <v>0.08</v>
      </c>
      <c r="C589" s="135"/>
      <c r="D589" s="748" t="s">
        <v>333</v>
      </c>
      <c r="E589" s="364">
        <v>2400000</v>
      </c>
      <c r="F589" s="543">
        <v>0.01</v>
      </c>
      <c r="G589" s="664">
        <f t="shared" ref="G589:G599" si="30">E589*F589</f>
        <v>24000</v>
      </c>
    </row>
    <row r="590" spans="1:7">
      <c r="A590" s="573">
        <v>15159</v>
      </c>
      <c r="B590" s="574">
        <v>0.1</v>
      </c>
      <c r="C590" s="135"/>
      <c r="D590" s="575" t="s">
        <v>334</v>
      </c>
      <c r="E590" s="364">
        <v>4300000</v>
      </c>
      <c r="F590" s="541">
        <v>0.02</v>
      </c>
      <c r="G590" s="664">
        <f t="shared" si="30"/>
        <v>86000</v>
      </c>
    </row>
    <row r="591" spans="1:7">
      <c r="A591" s="572">
        <v>15153</v>
      </c>
      <c r="B591" s="550">
        <v>0.08</v>
      </c>
      <c r="C591" s="135"/>
      <c r="D591" s="561" t="s">
        <v>335</v>
      </c>
      <c r="E591" s="364">
        <v>2800000</v>
      </c>
      <c r="F591" s="543">
        <v>0.01</v>
      </c>
      <c r="G591" s="664">
        <f t="shared" si="30"/>
        <v>28000</v>
      </c>
    </row>
    <row r="592" spans="1:7">
      <c r="A592" s="572">
        <v>15265</v>
      </c>
      <c r="B592" s="121">
        <v>0.1</v>
      </c>
      <c r="C592" s="135"/>
      <c r="D592" s="561" t="s">
        <v>336</v>
      </c>
      <c r="E592" s="364">
        <v>1200000</v>
      </c>
      <c r="F592" s="541">
        <v>0.02</v>
      </c>
      <c r="G592" s="664">
        <f t="shared" si="30"/>
        <v>24000</v>
      </c>
    </row>
    <row r="593" spans="1:7">
      <c r="A593" s="551">
        <v>15188</v>
      </c>
      <c r="B593" s="690">
        <v>0.1</v>
      </c>
      <c r="C593" s="135"/>
      <c r="D593" s="691" t="s">
        <v>339</v>
      </c>
      <c r="E593" s="620">
        <v>3000000</v>
      </c>
      <c r="F593" s="541">
        <v>0.02</v>
      </c>
      <c r="G593" s="664">
        <f t="shared" si="30"/>
        <v>60000</v>
      </c>
    </row>
    <row r="594" spans="1:7">
      <c r="A594" s="551">
        <v>15301</v>
      </c>
      <c r="B594" s="690">
        <v>0.1</v>
      </c>
      <c r="C594" s="135"/>
      <c r="D594" s="691" t="s">
        <v>340</v>
      </c>
      <c r="E594" s="620">
        <v>2300000</v>
      </c>
      <c r="F594" s="541">
        <v>0.02</v>
      </c>
      <c r="G594" s="664">
        <f t="shared" si="30"/>
        <v>46000</v>
      </c>
    </row>
    <row r="595" spans="1:7">
      <c r="A595" s="551">
        <v>15367</v>
      </c>
      <c r="B595" s="690">
        <v>0.1</v>
      </c>
      <c r="C595" s="135"/>
      <c r="D595" s="691" t="s">
        <v>341</v>
      </c>
      <c r="E595" s="620">
        <v>6500000</v>
      </c>
      <c r="F595" s="541">
        <v>0.02</v>
      </c>
      <c r="G595" s="664">
        <f t="shared" si="30"/>
        <v>130000</v>
      </c>
    </row>
    <row r="596" spans="1:7">
      <c r="A596" s="551">
        <v>15366</v>
      </c>
      <c r="B596" s="690">
        <v>0.1</v>
      </c>
      <c r="C596" s="135"/>
      <c r="D596" s="691" t="s">
        <v>342</v>
      </c>
      <c r="E596" s="620">
        <v>2500000</v>
      </c>
      <c r="F596" s="541">
        <v>0.02</v>
      </c>
      <c r="G596" s="664">
        <f t="shared" si="30"/>
        <v>50000</v>
      </c>
    </row>
    <row r="597" spans="1:7">
      <c r="A597" s="557">
        <v>15395</v>
      </c>
      <c r="B597" s="574">
        <v>0.1</v>
      </c>
      <c r="C597" s="135"/>
      <c r="D597" s="542" t="s">
        <v>343</v>
      </c>
      <c r="E597" s="364">
        <v>3200000</v>
      </c>
      <c r="F597" s="541">
        <v>0.02</v>
      </c>
      <c r="G597" s="664">
        <f t="shared" si="30"/>
        <v>64000</v>
      </c>
    </row>
    <row r="598" spans="1:7">
      <c r="A598" s="572">
        <v>15241</v>
      </c>
      <c r="B598" s="550">
        <v>0.08</v>
      </c>
      <c r="C598" s="137"/>
      <c r="D598" s="561" t="s">
        <v>337</v>
      </c>
      <c r="E598" s="364">
        <v>2600000</v>
      </c>
      <c r="F598" s="543">
        <v>0.01</v>
      </c>
      <c r="G598" s="664">
        <f t="shared" si="30"/>
        <v>26000</v>
      </c>
    </row>
    <row r="599" spans="1:7">
      <c r="A599" s="551">
        <v>15176</v>
      </c>
      <c r="B599" s="690">
        <v>0.1</v>
      </c>
      <c r="C599" s="137"/>
      <c r="D599" s="542" t="s">
        <v>338</v>
      </c>
      <c r="E599" s="620">
        <v>3150000</v>
      </c>
      <c r="F599" s="541">
        <v>0.02</v>
      </c>
      <c r="G599" s="664">
        <f t="shared" si="30"/>
        <v>63000</v>
      </c>
    </row>
    <row r="600" spans="1:7">
      <c r="A600" s="107"/>
      <c r="B600" s="25"/>
      <c r="C600" s="127"/>
      <c r="D600" s="4"/>
      <c r="E600" s="139"/>
      <c r="F600" s="166"/>
      <c r="G600" s="685"/>
    </row>
    <row r="601" spans="1:7">
      <c r="A601" s="147"/>
      <c r="B601" s="133"/>
      <c r="C601" s="133"/>
      <c r="D601" s="659" t="s">
        <v>378</v>
      </c>
      <c r="E601" s="658">
        <f>SUM(E588:E600)</f>
        <v>36050000</v>
      </c>
      <c r="F601" s="684"/>
      <c r="G601" s="683">
        <f>SUM(G588:G600)</f>
        <v>643000</v>
      </c>
    </row>
    <row r="603" spans="1:7" ht="22.5">
      <c r="A603" s="965" t="s">
        <v>482</v>
      </c>
      <c r="B603" s="965"/>
      <c r="C603" s="965"/>
      <c r="D603" s="965"/>
      <c r="E603" s="965"/>
      <c r="F603" s="965"/>
      <c r="G603" s="965"/>
    </row>
    <row r="605" spans="1:7">
      <c r="A605" s="948" t="s">
        <v>483</v>
      </c>
      <c r="B605" s="948"/>
      <c r="C605" s="948"/>
      <c r="D605" s="973"/>
      <c r="E605" s="948"/>
      <c r="F605" s="948"/>
      <c r="G605" s="948"/>
    </row>
    <row r="606" spans="1:7">
      <c r="A606" s="131" t="s">
        <v>372</v>
      </c>
      <c r="B606" s="120" t="s">
        <v>373</v>
      </c>
      <c r="C606" s="743" t="s">
        <v>6</v>
      </c>
      <c r="D606" s="119" t="s">
        <v>11</v>
      </c>
      <c r="E606" s="812" t="s">
        <v>29</v>
      </c>
      <c r="F606" s="120" t="s">
        <v>8</v>
      </c>
      <c r="G606" s="120"/>
    </row>
    <row r="607" spans="1:7">
      <c r="A607" s="65">
        <v>15453</v>
      </c>
      <c r="B607" s="562">
        <v>0.1</v>
      </c>
      <c r="C607" s="814" t="s">
        <v>484</v>
      </c>
      <c r="D607" s="834" t="s">
        <v>227</v>
      </c>
      <c r="E607" s="784">
        <v>4400000</v>
      </c>
      <c r="F607" s="864">
        <v>0.02</v>
      </c>
      <c r="G607" s="879">
        <f>E607*F607</f>
        <v>88000</v>
      </c>
    </row>
    <row r="608" spans="1:7" s="169" customFormat="1">
      <c r="A608" s="580">
        <v>15426</v>
      </c>
      <c r="B608" s="581">
        <v>0.08</v>
      </c>
      <c r="C608" s="814" t="s">
        <v>355</v>
      </c>
      <c r="D608" s="811"/>
      <c r="E608" s="784">
        <v>2600000</v>
      </c>
      <c r="F608" s="586">
        <v>0.04</v>
      </c>
      <c r="G608" s="680">
        <f>E608*F608</f>
        <v>104000</v>
      </c>
    </row>
    <row r="609" spans="1:7" s="169" customFormat="1">
      <c r="A609" s="580">
        <v>15473</v>
      </c>
      <c r="B609" s="581">
        <v>0.08</v>
      </c>
      <c r="C609" s="814" t="s">
        <v>357</v>
      </c>
      <c r="D609" s="811"/>
      <c r="E609" s="784">
        <v>3300000</v>
      </c>
      <c r="F609" s="586">
        <v>0.04</v>
      </c>
      <c r="G609" s="680">
        <f t="shared" ref="G609:G617" si="31">E609*F609</f>
        <v>132000</v>
      </c>
    </row>
    <row r="610" spans="1:7" s="169" customFormat="1">
      <c r="A610" s="580">
        <v>15483</v>
      </c>
      <c r="B610" s="577">
        <v>0.1</v>
      </c>
      <c r="C610" s="833" t="s">
        <v>349</v>
      </c>
      <c r="D610" s="834" t="s">
        <v>227</v>
      </c>
      <c r="E610" s="784">
        <v>4000000</v>
      </c>
      <c r="F610" s="587">
        <v>0.02</v>
      </c>
      <c r="G610" s="680">
        <f>E610*F610</f>
        <v>80000</v>
      </c>
    </row>
    <row r="611" spans="1:7" s="169" customFormat="1">
      <c r="A611" s="122">
        <v>15486</v>
      </c>
      <c r="B611" s="499">
        <v>0.1</v>
      </c>
      <c r="C611" s="542" t="s">
        <v>347</v>
      </c>
      <c r="D611" s="811"/>
      <c r="E611" s="784">
        <v>2400000</v>
      </c>
      <c r="F611" s="586">
        <v>0.05</v>
      </c>
      <c r="G611" s="680">
        <f t="shared" si="31"/>
        <v>120000</v>
      </c>
    </row>
    <row r="612" spans="1:7" s="169" customFormat="1">
      <c r="A612" s="551">
        <v>15525</v>
      </c>
      <c r="B612" s="690">
        <v>0.1</v>
      </c>
      <c r="C612" s="691" t="s">
        <v>354</v>
      </c>
      <c r="D612" s="813"/>
      <c r="E612" s="784">
        <v>2300000</v>
      </c>
      <c r="F612" s="586">
        <v>0.05</v>
      </c>
      <c r="G612" s="680">
        <f t="shared" si="31"/>
        <v>115000</v>
      </c>
    </row>
    <row r="613" spans="1:7" s="169" customFormat="1">
      <c r="A613" s="551">
        <v>15546</v>
      </c>
      <c r="B613" s="619">
        <v>0.08</v>
      </c>
      <c r="C613" s="691" t="s">
        <v>358</v>
      </c>
      <c r="D613" s="813"/>
      <c r="E613" s="784">
        <v>2500000</v>
      </c>
      <c r="F613" s="586">
        <v>0.04</v>
      </c>
      <c r="G613" s="680">
        <f t="shared" si="31"/>
        <v>100000</v>
      </c>
    </row>
    <row r="614" spans="1:7" s="169" customFormat="1">
      <c r="A614" s="122">
        <v>15591</v>
      </c>
      <c r="B614" s="690">
        <v>0.1</v>
      </c>
      <c r="C614" s="835" t="s">
        <v>363</v>
      </c>
      <c r="D614" s="836"/>
      <c r="E614" s="784">
        <v>1700000</v>
      </c>
      <c r="F614" s="586">
        <v>0.05</v>
      </c>
      <c r="G614" s="680">
        <f t="shared" si="31"/>
        <v>85000</v>
      </c>
    </row>
    <row r="615" spans="1:7" s="169" customFormat="1">
      <c r="A615" s="838">
        <v>15598</v>
      </c>
      <c r="B615" s="840">
        <v>0.08</v>
      </c>
      <c r="C615" s="839" t="s">
        <v>359</v>
      </c>
      <c r="D615" s="813"/>
      <c r="E615" s="784">
        <v>3200000</v>
      </c>
      <c r="F615" s="586">
        <v>0.04</v>
      </c>
      <c r="G615" s="680">
        <f t="shared" si="31"/>
        <v>128000</v>
      </c>
    </row>
    <row r="616" spans="1:7" s="169" customFormat="1">
      <c r="A616" s="565">
        <v>15662</v>
      </c>
      <c r="B616" s="566">
        <v>0.1</v>
      </c>
      <c r="C616" s="859" t="s">
        <v>366</v>
      </c>
      <c r="D616" s="811" t="s">
        <v>485</v>
      </c>
      <c r="E616" s="784">
        <v>3000000</v>
      </c>
      <c r="F616" s="586">
        <v>0.05</v>
      </c>
      <c r="G616" s="680">
        <f t="shared" si="31"/>
        <v>150000</v>
      </c>
    </row>
    <row r="617" spans="1:7" s="169" customFormat="1">
      <c r="A617" s="551" t="s">
        <v>486</v>
      </c>
      <c r="B617" s="881">
        <v>0.1</v>
      </c>
      <c r="C617" s="882" t="s">
        <v>350</v>
      </c>
      <c r="D617" s="830"/>
      <c r="E617" s="784">
        <v>1750000</v>
      </c>
      <c r="F617" s="586">
        <v>0.05</v>
      </c>
      <c r="G617" s="680">
        <f t="shared" si="31"/>
        <v>87500</v>
      </c>
    </row>
    <row r="618" spans="1:7" s="169" customFormat="1">
      <c r="A618" s="811"/>
      <c r="B618" s="811"/>
      <c r="C618" s="811"/>
      <c r="E618" s="784"/>
      <c r="F618" s="586"/>
      <c r="G618" s="680"/>
    </row>
    <row r="619" spans="1:7">
      <c r="A619" s="140"/>
      <c r="B619" s="140"/>
      <c r="C619" s="35"/>
      <c r="D619" s="880" t="s">
        <v>378</v>
      </c>
      <c r="E619" s="658">
        <f>SUM(E607:E618)</f>
        <v>31150000</v>
      </c>
      <c r="F619" s="147"/>
      <c r="G619" s="665">
        <f>SUM(G607:G618)</f>
        <v>1189500</v>
      </c>
    </row>
    <row r="620" spans="1:7">
      <c r="A620" s="141"/>
      <c r="B620" s="141"/>
      <c r="C620" s="816"/>
      <c r="D620" s="141"/>
      <c r="E620" s="817"/>
      <c r="F620" s="141"/>
      <c r="G620" s="818"/>
    </row>
    <row r="621" spans="1:7">
      <c r="A621" s="641"/>
      <c r="B621" s="641"/>
      <c r="C621" s="82"/>
      <c r="D621" s="82"/>
      <c r="E621" s="645"/>
      <c r="F621" s="82"/>
      <c r="G621" s="646"/>
    </row>
    <row r="622" spans="1:7">
      <c r="A622" s="948" t="s">
        <v>487</v>
      </c>
      <c r="B622" s="948"/>
      <c r="C622" s="948"/>
      <c r="D622" s="948"/>
      <c r="E622" s="948"/>
      <c r="F622" s="948"/>
      <c r="G622" s="948"/>
    </row>
    <row r="623" spans="1:7">
      <c r="A623" s="107" t="s">
        <v>372</v>
      </c>
      <c r="B623" s="120" t="s">
        <v>373</v>
      </c>
      <c r="C623" s="120" t="s">
        <v>6</v>
      </c>
      <c r="D623" s="120" t="s">
        <v>11</v>
      </c>
      <c r="E623" s="120" t="s">
        <v>29</v>
      </c>
      <c r="F623" s="743" t="s">
        <v>8</v>
      </c>
      <c r="G623" s="120"/>
    </row>
    <row r="624" spans="1:7">
      <c r="A624" s="551">
        <v>15531</v>
      </c>
      <c r="B624" s="829">
        <v>0.1</v>
      </c>
      <c r="C624" s="845" t="s">
        <v>364</v>
      </c>
      <c r="D624" s="119"/>
      <c r="E624" s="321">
        <v>1430000</v>
      </c>
      <c r="F624" s="846">
        <v>0.02</v>
      </c>
      <c r="G624" s="656">
        <f>E624*F624</f>
        <v>28600</v>
      </c>
    </row>
    <row r="625" spans="1:7">
      <c r="A625" s="15">
        <v>15506</v>
      </c>
      <c r="B625" s="541">
        <v>0.1</v>
      </c>
      <c r="C625" s="567" t="s">
        <v>351</v>
      </c>
      <c r="D625" s="843"/>
      <c r="E625" s="321">
        <v>2200000</v>
      </c>
      <c r="F625" s="846">
        <v>0.02</v>
      </c>
      <c r="G625" s="656">
        <f t="shared" ref="G625" si="32">E625*F625</f>
        <v>44000</v>
      </c>
    </row>
    <row r="626" spans="1:7">
      <c r="A626" s="44">
        <v>15647</v>
      </c>
      <c r="B626" s="858">
        <v>0.08</v>
      </c>
      <c r="C626" s="845" t="s">
        <v>348</v>
      </c>
      <c r="D626" s="860"/>
      <c r="E626" s="861">
        <v>1900000</v>
      </c>
      <c r="F626" s="846">
        <v>0.01</v>
      </c>
      <c r="G626" s="656">
        <f>E626*F626</f>
        <v>19000</v>
      </c>
    </row>
    <row r="627" spans="1:7">
      <c r="A627" s="109"/>
      <c r="B627" s="109"/>
      <c r="C627" s="109"/>
      <c r="D627" s="109"/>
      <c r="E627" s="109"/>
      <c r="F627" s="109"/>
      <c r="G627" s="109"/>
    </row>
    <row r="628" spans="1:7">
      <c r="A628" s="133"/>
      <c r="B628" s="133"/>
      <c r="C628" s="133"/>
      <c r="D628" s="147" t="s">
        <v>378</v>
      </c>
      <c r="E628" s="862">
        <f>SUM(E624:E626)</f>
        <v>5530000</v>
      </c>
      <c r="F628" s="147"/>
      <c r="G628" s="665">
        <f>SUM(G624:G626)</f>
        <v>91600</v>
      </c>
    </row>
    <row r="630" spans="1:7">
      <c r="A630" s="904" t="s">
        <v>488</v>
      </c>
      <c r="B630" s="904"/>
      <c r="C630" s="904"/>
      <c r="D630" s="904"/>
      <c r="E630" s="904"/>
      <c r="F630" s="904"/>
      <c r="G630" s="904"/>
    </row>
    <row r="631" spans="1:7">
      <c r="A631" s="120" t="s">
        <v>372</v>
      </c>
      <c r="B631" s="120" t="s">
        <v>373</v>
      </c>
      <c r="C631" s="120" t="s">
        <v>6</v>
      </c>
      <c r="D631" s="120" t="s">
        <v>11</v>
      </c>
      <c r="E631" s="120" t="s">
        <v>29</v>
      </c>
      <c r="F631" s="120" t="s">
        <v>8</v>
      </c>
      <c r="G631" s="120"/>
    </row>
    <row r="632" spans="1:7" s="169" customFormat="1" ht="15.75" customHeight="1">
      <c r="A632" s="580">
        <v>15522</v>
      </c>
      <c r="B632" s="541">
        <v>0.1</v>
      </c>
      <c r="C632" s="542" t="s">
        <v>353</v>
      </c>
      <c r="D632" s="783"/>
      <c r="E632" s="321">
        <v>3600000</v>
      </c>
      <c r="F632" s="878">
        <v>2.5000000000000001E-2</v>
      </c>
      <c r="G632" s="656">
        <f>E632*F632</f>
        <v>90000</v>
      </c>
    </row>
    <row r="633" spans="1:7" s="169" customFormat="1">
      <c r="A633" s="826">
        <v>15515</v>
      </c>
      <c r="B633" s="827">
        <v>0.1</v>
      </c>
      <c r="C633" s="828" t="s">
        <v>489</v>
      </c>
      <c r="D633" s="781"/>
      <c r="E633" s="321">
        <v>4300000</v>
      </c>
      <c r="F633" s="878">
        <v>2.5000000000000001E-2</v>
      </c>
      <c r="G633" s="656">
        <f t="shared" ref="G633:G648" si="33">E633*F633</f>
        <v>107500</v>
      </c>
    </row>
    <row r="634" spans="1:7" s="169" customFormat="1">
      <c r="A634" s="609">
        <v>15607</v>
      </c>
      <c r="B634" s="614">
        <v>0.08</v>
      </c>
      <c r="C634" s="828" t="s">
        <v>368</v>
      </c>
      <c r="D634" s="782"/>
      <c r="E634" s="321">
        <v>3100000</v>
      </c>
      <c r="F634" s="885">
        <v>0.02</v>
      </c>
      <c r="G634" s="656">
        <f t="shared" si="33"/>
        <v>62000</v>
      </c>
    </row>
    <row r="635" spans="1:7" s="169" customFormat="1">
      <c r="A635" s="580">
        <v>15426</v>
      </c>
      <c r="B635" s="581">
        <v>0.08</v>
      </c>
      <c r="C635" s="814" t="s">
        <v>355</v>
      </c>
      <c r="D635" s="811"/>
      <c r="E635" s="784">
        <v>2600000</v>
      </c>
      <c r="F635" s="885">
        <v>0.02</v>
      </c>
      <c r="G635" s="656">
        <f t="shared" si="33"/>
        <v>52000</v>
      </c>
    </row>
    <row r="636" spans="1:7" s="169" customFormat="1">
      <c r="A636" s="580">
        <v>15473</v>
      </c>
      <c r="B636" s="581">
        <v>0.08</v>
      </c>
      <c r="C636" s="814" t="s">
        <v>357</v>
      </c>
      <c r="D636" s="811"/>
      <c r="E636" s="784">
        <v>3300000</v>
      </c>
      <c r="F636" s="885">
        <v>0.02</v>
      </c>
      <c r="G636" s="656">
        <f t="shared" si="33"/>
        <v>66000</v>
      </c>
    </row>
    <row r="637" spans="1:7" s="169" customFormat="1">
      <c r="A637" s="580">
        <v>15483</v>
      </c>
      <c r="B637" s="577">
        <v>0.1</v>
      </c>
      <c r="C637" s="833" t="s">
        <v>349</v>
      </c>
      <c r="D637" s="834" t="s">
        <v>227</v>
      </c>
      <c r="E637" s="784">
        <v>4000000</v>
      </c>
      <c r="F637" s="878">
        <v>2.5000000000000001E-2</v>
      </c>
      <c r="G637" s="656">
        <f t="shared" si="33"/>
        <v>100000</v>
      </c>
    </row>
    <row r="638" spans="1:7" s="169" customFormat="1">
      <c r="A638" s="122">
        <v>15486</v>
      </c>
      <c r="B638" s="499">
        <v>0.1</v>
      </c>
      <c r="C638" s="542" t="s">
        <v>347</v>
      </c>
      <c r="D638" s="811"/>
      <c r="E638" s="784">
        <v>2400000</v>
      </c>
      <c r="F638" s="878">
        <v>2.5000000000000001E-2</v>
      </c>
      <c r="G638" s="656">
        <f t="shared" si="33"/>
        <v>60000</v>
      </c>
    </row>
    <row r="639" spans="1:7" s="169" customFormat="1">
      <c r="A639" s="551">
        <v>15525</v>
      </c>
      <c r="B639" s="690">
        <v>0.1</v>
      </c>
      <c r="C639" s="691" t="s">
        <v>354</v>
      </c>
      <c r="D639" s="813"/>
      <c r="E639" s="784">
        <v>2300000</v>
      </c>
      <c r="F639" s="878">
        <v>2.5000000000000001E-2</v>
      </c>
      <c r="G639" s="656">
        <f t="shared" si="33"/>
        <v>57500</v>
      </c>
    </row>
    <row r="640" spans="1:7" s="169" customFormat="1">
      <c r="A640" s="551">
        <v>15546</v>
      </c>
      <c r="B640" s="619">
        <v>0.08</v>
      </c>
      <c r="C640" s="691" t="s">
        <v>358</v>
      </c>
      <c r="D640" s="813"/>
      <c r="E640" s="784">
        <v>2500000</v>
      </c>
      <c r="F640" s="885">
        <v>0.02</v>
      </c>
      <c r="G640" s="656">
        <f t="shared" si="33"/>
        <v>50000</v>
      </c>
    </row>
    <row r="641" spans="1:7" s="169" customFormat="1">
      <c r="A641" s="122">
        <v>15591</v>
      </c>
      <c r="B641" s="690">
        <v>0.1</v>
      </c>
      <c r="C641" s="835" t="s">
        <v>363</v>
      </c>
      <c r="D641" s="836"/>
      <c r="E641" s="784">
        <v>1700000</v>
      </c>
      <c r="F641" s="878">
        <v>2.5000000000000001E-2</v>
      </c>
      <c r="G641" s="656">
        <f t="shared" si="33"/>
        <v>42500</v>
      </c>
    </row>
    <row r="642" spans="1:7" s="169" customFormat="1">
      <c r="A642" s="838">
        <v>15598</v>
      </c>
      <c r="B642" s="840">
        <v>0.08</v>
      </c>
      <c r="C642" s="839" t="s">
        <v>359</v>
      </c>
      <c r="D642" s="813"/>
      <c r="E642" s="784">
        <v>3200000</v>
      </c>
      <c r="F642" s="885">
        <v>0.02</v>
      </c>
      <c r="G642" s="656">
        <f t="shared" si="33"/>
        <v>64000</v>
      </c>
    </row>
    <row r="643" spans="1:7" s="169" customFormat="1">
      <c r="A643" s="565">
        <v>15662</v>
      </c>
      <c r="B643" s="566">
        <v>0.1</v>
      </c>
      <c r="C643" s="859" t="s">
        <v>366</v>
      </c>
      <c r="D643" s="811" t="s">
        <v>485</v>
      </c>
      <c r="E643" s="784">
        <v>3000000</v>
      </c>
      <c r="F643" s="878">
        <v>2.5000000000000001E-2</v>
      </c>
      <c r="G643" s="656">
        <f t="shared" si="33"/>
        <v>75000</v>
      </c>
    </row>
    <row r="644" spans="1:7" s="169" customFormat="1">
      <c r="A644" s="122">
        <v>15662</v>
      </c>
      <c r="B644" s="566">
        <v>0.1</v>
      </c>
      <c r="C644" s="839" t="s">
        <v>350</v>
      </c>
      <c r="D644" s="830"/>
      <c r="E644" s="784">
        <v>1750000</v>
      </c>
      <c r="F644" s="878">
        <v>2.5000000000000001E-2</v>
      </c>
      <c r="G644" s="656">
        <f t="shared" si="33"/>
        <v>43750</v>
      </c>
    </row>
    <row r="645" spans="1:7" s="169" customFormat="1">
      <c r="A645" s="551">
        <v>15531</v>
      </c>
      <c r="B645" s="829">
        <v>0.1</v>
      </c>
      <c r="C645" s="845" t="s">
        <v>364</v>
      </c>
      <c r="D645" s="119"/>
      <c r="E645" s="321">
        <v>1430000</v>
      </c>
      <c r="F645" s="878">
        <v>2.5000000000000001E-2</v>
      </c>
      <c r="G645" s="656">
        <f t="shared" si="33"/>
        <v>35750</v>
      </c>
    </row>
    <row r="646" spans="1:7" s="169" customFormat="1">
      <c r="A646" s="122">
        <v>15506</v>
      </c>
      <c r="B646" s="541">
        <v>0.1</v>
      </c>
      <c r="C646" s="567" t="s">
        <v>351</v>
      </c>
      <c r="D646" s="843"/>
      <c r="E646" s="321">
        <v>2200000</v>
      </c>
      <c r="F646" s="878">
        <v>2.5000000000000001E-2</v>
      </c>
      <c r="G646" s="656">
        <f t="shared" si="33"/>
        <v>55000</v>
      </c>
    </row>
    <row r="647" spans="1:7" s="169" customFormat="1">
      <c r="A647" s="551">
        <v>15647</v>
      </c>
      <c r="B647" s="858">
        <v>0.08</v>
      </c>
      <c r="C647" s="845" t="s">
        <v>348</v>
      </c>
      <c r="D647" s="860"/>
      <c r="E647" s="861">
        <v>1900000</v>
      </c>
      <c r="F647" s="885">
        <v>0.02</v>
      </c>
      <c r="G647" s="656">
        <f t="shared" si="33"/>
        <v>38000</v>
      </c>
    </row>
    <row r="648" spans="1:7" s="169" customFormat="1">
      <c r="A648" s="557">
        <v>15447</v>
      </c>
      <c r="B648" s="829">
        <v>0.1</v>
      </c>
      <c r="C648" s="845" t="s">
        <v>490</v>
      </c>
      <c r="D648" s="886">
        <v>1850000</v>
      </c>
      <c r="E648" s="364"/>
      <c r="F648" s="878">
        <v>2.5000000000000001E-2</v>
      </c>
      <c r="G648" s="656">
        <f>D648*F648</f>
        <v>46250</v>
      </c>
    </row>
    <row r="649" spans="1:7" s="169" customFormat="1">
      <c r="A649" s="595"/>
      <c r="B649" s="593"/>
      <c r="C649" s="127"/>
      <c r="D649" s="318"/>
      <c r="E649" s="321"/>
      <c r="F649" s="586"/>
      <c r="G649" s="680"/>
    </row>
    <row r="650" spans="1:7" s="169" customFormat="1">
      <c r="A650" s="590"/>
      <c r="B650" s="591"/>
      <c r="C650" s="5"/>
      <c r="D650" s="783"/>
      <c r="E650" s="321"/>
      <c r="F650" s="587"/>
      <c r="G650" s="680"/>
    </row>
    <row r="651" spans="1:7" s="169" customFormat="1">
      <c r="D651" s="318"/>
      <c r="E651" s="784"/>
      <c r="F651" s="586"/>
      <c r="G651" s="680"/>
    </row>
    <row r="652" spans="1:7">
      <c r="A652" s="966" t="s">
        <v>491</v>
      </c>
      <c r="B652" s="967"/>
      <c r="C652" s="968"/>
      <c r="D652" s="4"/>
      <c r="E652" s="139"/>
      <c r="F652" s="166"/>
      <c r="G652" s="685"/>
    </row>
    <row r="653" spans="1:7">
      <c r="A653" s="147"/>
      <c r="B653" s="133"/>
      <c r="C653" s="133"/>
      <c r="D653" s="659" t="s">
        <v>378</v>
      </c>
      <c r="E653" s="658">
        <f>SUM(E632:E652)</f>
        <v>43280000</v>
      </c>
      <c r="F653" s="684"/>
      <c r="G653" s="683">
        <f>SUM(G632:G652)</f>
        <v>1045250</v>
      </c>
    </row>
    <row r="656" spans="1:7" ht="22.5">
      <c r="A656" s="965" t="s">
        <v>492</v>
      </c>
      <c r="B656" s="965"/>
      <c r="C656" s="965"/>
      <c r="D656" s="965"/>
      <c r="E656" s="965"/>
      <c r="F656" s="965"/>
      <c r="G656" s="965"/>
    </row>
    <row r="658" spans="1:7">
      <c r="A658" s="948" t="s">
        <v>493</v>
      </c>
      <c r="B658" s="948"/>
      <c r="C658" s="948"/>
      <c r="D658" s="973"/>
      <c r="E658" s="948"/>
      <c r="F658" s="948"/>
      <c r="G658" s="948"/>
    </row>
    <row r="659" spans="1:7">
      <c r="A659" s="131" t="s">
        <v>372</v>
      </c>
      <c r="B659" s="120" t="s">
        <v>373</v>
      </c>
      <c r="C659" s="743" t="s">
        <v>6</v>
      </c>
      <c r="D659" s="119" t="s">
        <v>11</v>
      </c>
      <c r="E659" s="812" t="s">
        <v>29</v>
      </c>
      <c r="F659" s="120" t="s">
        <v>8</v>
      </c>
      <c r="G659" s="120"/>
    </row>
    <row r="660" spans="1:7" s="169" customFormat="1">
      <c r="A660" s="815" t="s">
        <v>494</v>
      </c>
      <c r="B660" s="821"/>
      <c r="C660" s="822" t="s">
        <v>495</v>
      </c>
      <c r="D660" s="820" t="s">
        <v>496</v>
      </c>
      <c r="E660" s="784"/>
      <c r="F660" s="586"/>
      <c r="G660" s="680"/>
    </row>
    <row r="661" spans="1:7" s="169" customFormat="1">
      <c r="A661" s="815"/>
      <c r="B661" s="832"/>
      <c r="C661" s="831" t="s">
        <v>497</v>
      </c>
      <c r="D661" s="811"/>
      <c r="E661" s="784"/>
      <c r="F661" s="586"/>
      <c r="G661" s="680"/>
    </row>
    <row r="662" spans="1:7" s="169" customFormat="1">
      <c r="A662" s="995">
        <v>15684</v>
      </c>
      <c r="B662" s="868"/>
      <c r="C662" s="841" t="s">
        <v>498</v>
      </c>
      <c r="D662" s="811"/>
      <c r="E662" s="784"/>
      <c r="F662" s="586"/>
      <c r="G662" s="680"/>
    </row>
    <row r="663" spans="1:7" s="169" customFormat="1">
      <c r="A663" s="119"/>
      <c r="B663" s="868"/>
      <c r="C663" s="841" t="s">
        <v>499</v>
      </c>
      <c r="D663" s="811"/>
      <c r="E663" s="784"/>
      <c r="F663" s="586"/>
      <c r="G663" s="680"/>
    </row>
    <row r="664" spans="1:7" s="169" customFormat="1">
      <c r="A664" s="811">
        <v>15682</v>
      </c>
      <c r="B664" s="819"/>
      <c r="C664" s="841" t="s">
        <v>500</v>
      </c>
      <c r="D664" s="811"/>
      <c r="E664" s="784"/>
      <c r="F664" s="586"/>
      <c r="G664" s="680"/>
    </row>
    <row r="665" spans="1:7" s="169" customFormat="1">
      <c r="A665" s="811"/>
      <c r="B665" s="819"/>
      <c r="C665" s="811"/>
      <c r="D665" s="811"/>
      <c r="E665" s="784"/>
      <c r="F665" s="586"/>
      <c r="G665" s="680"/>
    </row>
    <row r="666" spans="1:7" s="169" customFormat="1">
      <c r="A666" s="823"/>
      <c r="B666" s="824"/>
      <c r="C666" s="825" t="s">
        <v>501</v>
      </c>
      <c r="D666" s="811" t="s">
        <v>502</v>
      </c>
      <c r="E666" s="784"/>
      <c r="F666" s="586"/>
      <c r="G666" s="680"/>
    </row>
    <row r="667" spans="1:7" s="169" customFormat="1">
      <c r="A667" s="811"/>
      <c r="B667" s="819"/>
      <c r="C667" s="811"/>
      <c r="D667" s="811"/>
      <c r="E667" s="784"/>
      <c r="F667" s="586"/>
      <c r="G667" s="680"/>
    </row>
    <row r="668" spans="1:7">
      <c r="A668" s="732"/>
      <c r="B668" s="591"/>
      <c r="C668" s="872"/>
      <c r="D668" s="625"/>
      <c r="E668" s="321"/>
      <c r="F668" s="587"/>
      <c r="G668" s="680"/>
    </row>
    <row r="669" spans="1:7">
      <c r="A669" s="140"/>
      <c r="B669" s="140"/>
      <c r="C669" s="35"/>
      <c r="D669" s="140" t="s">
        <v>378</v>
      </c>
      <c r="E669" s="658">
        <f>SUM(E660:E668)</f>
        <v>0</v>
      </c>
      <c r="F669" s="147"/>
      <c r="G669" s="665">
        <f>SUM(G660:G668)</f>
        <v>0</v>
      </c>
    </row>
    <row r="670" spans="1:7">
      <c r="A670" s="141"/>
      <c r="B670" s="141"/>
      <c r="C670" s="816"/>
      <c r="D670" s="141"/>
      <c r="E670" s="817"/>
      <c r="F670" s="141"/>
      <c r="G670" s="818"/>
    </row>
    <row r="671" spans="1:7">
      <c r="A671" s="641"/>
      <c r="B671" s="641"/>
      <c r="C671" s="82"/>
      <c r="D671" s="82"/>
      <c r="E671" s="645"/>
      <c r="F671" s="82"/>
      <c r="G671" s="646"/>
    </row>
    <row r="672" spans="1:7">
      <c r="A672" s="948" t="s">
        <v>503</v>
      </c>
      <c r="B672" s="948"/>
      <c r="C672" s="948"/>
      <c r="D672" s="948"/>
      <c r="E672" s="948"/>
      <c r="F672" s="948"/>
      <c r="G672" s="948"/>
    </row>
    <row r="673" spans="1:7">
      <c r="A673" s="107" t="s">
        <v>372</v>
      </c>
      <c r="B673" s="120" t="s">
        <v>373</v>
      </c>
      <c r="C673" s="120" t="s">
        <v>6</v>
      </c>
      <c r="D673" s="120" t="s">
        <v>11</v>
      </c>
      <c r="E673" s="120" t="s">
        <v>29</v>
      </c>
      <c r="F673" s="743" t="s">
        <v>8</v>
      </c>
      <c r="G673" s="120"/>
    </row>
    <row r="674" spans="1:7">
      <c r="A674" s="815">
        <v>15681</v>
      </c>
      <c r="B674" s="842">
        <v>0.08</v>
      </c>
      <c r="C674" s="844" t="s">
        <v>504</v>
      </c>
      <c r="D674" s="119"/>
      <c r="E674" s="867"/>
      <c r="F674" s="846"/>
      <c r="G674" s="656">
        <f t="shared" ref="G674" si="34">E674*F674</f>
        <v>0</v>
      </c>
    </row>
    <row r="675" spans="1:7">
      <c r="A675" s="120"/>
      <c r="B675" s="864"/>
      <c r="C675" s="865"/>
      <c r="D675" s="717"/>
      <c r="E675" s="321"/>
      <c r="F675" s="846"/>
      <c r="G675" s="656"/>
    </row>
    <row r="676" spans="1:7">
      <c r="A676" s="120"/>
      <c r="B676" s="864"/>
      <c r="C676" s="865"/>
      <c r="D676" s="717"/>
      <c r="E676" s="321"/>
      <c r="F676" s="846"/>
      <c r="G676" s="656"/>
    </row>
    <row r="677" spans="1:7">
      <c r="A677" s="120"/>
      <c r="B677" s="864"/>
      <c r="C677" s="865"/>
      <c r="D677" s="717"/>
      <c r="E677" s="321"/>
      <c r="F677" s="846"/>
      <c r="G677" s="656"/>
    </row>
    <row r="678" spans="1:7">
      <c r="A678" s="107"/>
      <c r="B678" s="119"/>
      <c r="C678" s="318"/>
      <c r="D678" s="717"/>
      <c r="E678" s="119"/>
      <c r="F678" s="682"/>
      <c r="G678" s="120"/>
    </row>
    <row r="679" spans="1:7">
      <c r="A679" s="811"/>
      <c r="B679" s="811"/>
      <c r="C679" s="811"/>
      <c r="D679" s="811"/>
      <c r="E679" s="837"/>
      <c r="F679" s="743"/>
      <c r="G679" s="120"/>
    </row>
    <row r="680" spans="1:7">
      <c r="A680" s="107"/>
      <c r="B680" s="119"/>
      <c r="C680" s="318"/>
      <c r="D680" s="119"/>
      <c r="E680" s="812"/>
      <c r="F680" s="743"/>
      <c r="G680" s="120"/>
    </row>
    <row r="681" spans="1:7" s="169" customFormat="1">
      <c r="A681" s="811"/>
      <c r="B681" s="811"/>
      <c r="C681" s="841"/>
      <c r="D681" s="318"/>
      <c r="E681" s="784"/>
      <c r="F681" s="587"/>
      <c r="G681" s="680"/>
    </row>
    <row r="682" spans="1:7" s="169" customFormat="1">
      <c r="A682" s="119"/>
      <c r="B682" s="586"/>
      <c r="C682" s="4"/>
      <c r="D682" s="318"/>
      <c r="E682" s="784"/>
      <c r="F682" s="586"/>
      <c r="G682" s="680"/>
    </row>
    <row r="683" spans="1:7">
      <c r="A683" s="841"/>
      <c r="B683" s="841"/>
      <c r="C683" s="866"/>
      <c r="D683" s="841"/>
      <c r="E683" s="784"/>
      <c r="F683" s="587"/>
      <c r="G683" s="680"/>
    </row>
    <row r="684" spans="1:7">
      <c r="A684" s="133"/>
      <c r="B684" s="133"/>
      <c r="C684" s="133"/>
      <c r="D684" s="147" t="s">
        <v>378</v>
      </c>
      <c r="E684" s="745">
        <f>SUM(E674:E683)</f>
        <v>0</v>
      </c>
      <c r="F684" s="140"/>
      <c r="G684" s="660">
        <f>SUM(G674:G674)</f>
        <v>0</v>
      </c>
    </row>
    <row r="686" spans="1:7">
      <c r="A686" s="904" t="s">
        <v>505</v>
      </c>
      <c r="B686" s="904"/>
      <c r="C686" s="904"/>
      <c r="D686" s="904"/>
      <c r="E686" s="904"/>
      <c r="F686" s="904"/>
      <c r="G686" s="904"/>
    </row>
    <row r="687" spans="1:7">
      <c r="A687" s="120" t="s">
        <v>372</v>
      </c>
      <c r="B687" s="120" t="s">
        <v>373</v>
      </c>
      <c r="C687" s="120" t="s">
        <v>6</v>
      </c>
      <c r="D687" s="120" t="s">
        <v>11</v>
      </c>
      <c r="E687" s="120" t="s">
        <v>29</v>
      </c>
      <c r="F687" s="120" t="s">
        <v>8</v>
      </c>
      <c r="G687" s="120"/>
    </row>
    <row r="688" spans="1:7" s="169" customFormat="1" ht="15.75" customHeight="1">
      <c r="A688" s="327"/>
      <c r="B688" s="586"/>
      <c r="C688" s="318"/>
      <c r="D688" s="783"/>
      <c r="E688" s="321"/>
      <c r="F688" s="586"/>
      <c r="G688" s="680"/>
    </row>
    <row r="689" spans="1:7" s="169" customFormat="1">
      <c r="A689" s="869"/>
      <c r="B689" s="870"/>
      <c r="C689" s="871"/>
      <c r="D689" s="781"/>
      <c r="E689" s="321"/>
      <c r="F689" s="587"/>
      <c r="G689" s="680"/>
    </row>
    <row r="690" spans="1:7" s="169" customFormat="1">
      <c r="A690" s="606"/>
      <c r="B690" s="728"/>
      <c r="C690" s="871"/>
      <c r="D690" s="782"/>
      <c r="E690" s="321"/>
      <c r="F690" s="586"/>
      <c r="G690" s="680"/>
    </row>
    <row r="691" spans="1:7" s="169" customFormat="1">
      <c r="A691" s="590"/>
      <c r="B691" s="591"/>
      <c r="C691" s="127"/>
      <c r="D691" s="783"/>
      <c r="E691" s="321"/>
      <c r="F691" s="587"/>
      <c r="G691" s="680"/>
    </row>
    <row r="692" spans="1:7" s="169" customFormat="1">
      <c r="A692" s="590"/>
      <c r="B692" s="591"/>
      <c r="C692" s="127"/>
      <c r="D692" s="783"/>
      <c r="E692" s="321"/>
      <c r="F692" s="587"/>
      <c r="G692" s="680"/>
    </row>
    <row r="693" spans="1:7" s="169" customFormat="1">
      <c r="A693" s="590"/>
      <c r="B693" s="591"/>
      <c r="C693" s="127"/>
      <c r="D693" s="783"/>
      <c r="E693" s="321"/>
      <c r="F693" s="587"/>
      <c r="G693" s="680"/>
    </row>
    <row r="694" spans="1:7" s="169" customFormat="1">
      <c r="A694" s="590"/>
      <c r="B694" s="591"/>
      <c r="C694" s="127"/>
      <c r="D694" s="783"/>
      <c r="E694" s="321"/>
      <c r="F694" s="587"/>
      <c r="G694" s="680"/>
    </row>
    <row r="695" spans="1:7" s="169" customFormat="1">
      <c r="A695" s="590"/>
      <c r="B695" s="591"/>
      <c r="C695" s="127"/>
      <c r="D695" s="783"/>
      <c r="E695" s="321"/>
      <c r="F695" s="587"/>
      <c r="G695" s="680"/>
    </row>
    <row r="696" spans="1:7" s="169" customFormat="1">
      <c r="A696" s="590"/>
      <c r="B696" s="591"/>
      <c r="C696" s="127"/>
      <c r="D696" s="783"/>
      <c r="E696" s="321"/>
      <c r="F696" s="587"/>
      <c r="G696" s="680"/>
    </row>
    <row r="697" spans="1:7" s="169" customFormat="1">
      <c r="A697" s="590"/>
      <c r="B697" s="591"/>
      <c r="C697" s="127"/>
      <c r="D697" s="783"/>
      <c r="E697" s="321"/>
      <c r="F697" s="587"/>
      <c r="G697" s="680"/>
    </row>
    <row r="698" spans="1:7" s="169" customFormat="1">
      <c r="A698" s="590"/>
      <c r="B698" s="591"/>
      <c r="C698" s="127"/>
      <c r="D698" s="783"/>
      <c r="E698" s="321"/>
      <c r="F698" s="587"/>
      <c r="G698" s="680"/>
    </row>
    <row r="699" spans="1:7" s="169" customFormat="1">
      <c r="A699" s="590"/>
      <c r="B699" s="591"/>
      <c r="C699" s="127"/>
      <c r="D699" s="783"/>
      <c r="E699" s="321"/>
      <c r="F699" s="587"/>
      <c r="G699" s="680"/>
    </row>
    <row r="700" spans="1:7" s="169" customFormat="1">
      <c r="A700" s="590"/>
      <c r="B700" s="594"/>
      <c r="C700" s="127"/>
      <c r="D700" s="783"/>
      <c r="E700" s="321"/>
      <c r="F700" s="586"/>
      <c r="G700" s="680"/>
    </row>
    <row r="701" spans="1:7" s="169" customFormat="1">
      <c r="A701" s="120"/>
      <c r="B701" s="749"/>
      <c r="C701" s="127"/>
      <c r="D701" s="799"/>
      <c r="E701" s="784"/>
      <c r="F701" s="586"/>
      <c r="G701" s="680"/>
    </row>
    <row r="702" spans="1:7" s="169" customFormat="1">
      <c r="A702" s="120"/>
      <c r="B702" s="749"/>
      <c r="C702" s="127"/>
      <c r="D702" s="799"/>
      <c r="E702" s="784"/>
      <c r="F702" s="586"/>
      <c r="G702" s="680"/>
    </row>
    <row r="703" spans="1:7" s="169" customFormat="1">
      <c r="A703" s="120"/>
      <c r="B703" s="749"/>
      <c r="C703" s="127"/>
      <c r="D703" s="799"/>
      <c r="E703" s="784"/>
      <c r="F703" s="586"/>
      <c r="G703" s="680"/>
    </row>
    <row r="704" spans="1:7" s="169" customFormat="1">
      <c r="A704" s="120"/>
      <c r="B704" s="749"/>
      <c r="C704" s="127"/>
      <c r="D704" s="799"/>
      <c r="E704" s="784"/>
      <c r="F704" s="586"/>
      <c r="G704" s="680"/>
    </row>
    <row r="705" spans="1:7" s="169" customFormat="1">
      <c r="A705" s="595"/>
      <c r="B705" s="593"/>
      <c r="C705" s="127"/>
      <c r="D705" s="318"/>
      <c r="E705" s="321"/>
      <c r="F705" s="586"/>
      <c r="G705" s="680"/>
    </row>
    <row r="706" spans="1:7" s="169" customFormat="1">
      <c r="A706" s="590"/>
      <c r="B706" s="591"/>
      <c r="C706" s="5"/>
      <c r="D706" s="783"/>
      <c r="E706" s="321"/>
      <c r="F706" s="587"/>
      <c r="G706" s="680"/>
    </row>
    <row r="707" spans="1:7" s="169" customFormat="1">
      <c r="A707" s="120"/>
      <c r="B707" s="749"/>
      <c r="C707" s="5"/>
      <c r="D707" s="318"/>
      <c r="E707" s="784"/>
      <c r="F707" s="586"/>
      <c r="G707" s="680"/>
    </row>
    <row r="708" spans="1:7">
      <c r="A708" s="107"/>
      <c r="B708" s="25"/>
      <c r="C708" s="127"/>
      <c r="D708" s="4"/>
      <c r="E708" s="139"/>
      <c r="F708" s="166"/>
      <c r="G708" s="685"/>
    </row>
    <row r="709" spans="1:7">
      <c r="A709" s="147"/>
      <c r="B709" s="133"/>
      <c r="C709" s="133"/>
      <c r="D709" s="659" t="s">
        <v>378</v>
      </c>
      <c r="E709" s="658">
        <f>SUM(E688:E708)</f>
        <v>0</v>
      </c>
      <c r="F709" s="684"/>
      <c r="G709" s="683">
        <f>SUM(G688:G708)</f>
        <v>0</v>
      </c>
    </row>
  </sheetData>
  <mergeCells count="61">
    <mergeCell ref="A656:G656"/>
    <mergeCell ref="A658:G658"/>
    <mergeCell ref="A672:G672"/>
    <mergeCell ref="A686:G686"/>
    <mergeCell ref="A441:G441"/>
    <mergeCell ref="A470:G470"/>
    <mergeCell ref="A472:G472"/>
    <mergeCell ref="A482:G482"/>
    <mergeCell ref="A500:G500"/>
    <mergeCell ref="A513:G513"/>
    <mergeCell ref="A603:G603"/>
    <mergeCell ref="A605:G605"/>
    <mergeCell ref="A622:G622"/>
    <mergeCell ref="A630:G630"/>
    <mergeCell ref="A521:G521"/>
    <mergeCell ref="A586:G586"/>
    <mergeCell ref="A394:G394"/>
    <mergeCell ref="A396:G396"/>
    <mergeCell ref="A408:G408"/>
    <mergeCell ref="A421:G421"/>
    <mergeCell ref="A433:G433"/>
    <mergeCell ref="H52:H54"/>
    <mergeCell ref="A59:G59"/>
    <mergeCell ref="A75:G75"/>
    <mergeCell ref="A82:G82"/>
    <mergeCell ref="A106:G106"/>
    <mergeCell ref="H9:H12"/>
    <mergeCell ref="A17:G17"/>
    <mergeCell ref="A29:G29"/>
    <mergeCell ref="A44:G44"/>
    <mergeCell ref="A46:G46"/>
    <mergeCell ref="A202:G202"/>
    <mergeCell ref="B204:G204"/>
    <mergeCell ref="B219:G219"/>
    <mergeCell ref="B235:G235"/>
    <mergeCell ref="A1:G1"/>
    <mergeCell ref="A3:G3"/>
    <mergeCell ref="A137:G137"/>
    <mergeCell ref="B155:G155"/>
    <mergeCell ref="A153:G153"/>
    <mergeCell ref="B181:G181"/>
    <mergeCell ref="B167:G167"/>
    <mergeCell ref="A130:G130"/>
    <mergeCell ref="A120:G120"/>
    <mergeCell ref="A108:G108"/>
    <mergeCell ref="A261:G261"/>
    <mergeCell ref="B263:G263"/>
    <mergeCell ref="B271:G271"/>
    <mergeCell ref="B294:G294"/>
    <mergeCell ref="B283:G283"/>
    <mergeCell ref="A365:G365"/>
    <mergeCell ref="A315:G315"/>
    <mergeCell ref="A317:G317"/>
    <mergeCell ref="A336:G336"/>
    <mergeCell ref="A357:G357"/>
    <mergeCell ref="A350:G350"/>
    <mergeCell ref="A554:G554"/>
    <mergeCell ref="A556:G556"/>
    <mergeCell ref="A571:G571"/>
    <mergeCell ref="A578:G578"/>
    <mergeCell ref="A652:C65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1457-E1B5-4C8C-816A-84E77D87D630}">
  <sheetPr>
    <pageSetUpPr fitToPage="1"/>
  </sheetPr>
  <dimension ref="A1:AMK1148"/>
  <sheetViews>
    <sheetView topLeftCell="A1014" workbookViewId="0">
      <selection activeCell="N1146" sqref="N1146"/>
    </sheetView>
  </sheetViews>
  <sheetFormatPr defaultRowHeight="15"/>
  <cols>
    <col min="1" max="1" width="14.5703125" customWidth="1"/>
    <col min="2" max="2" width="16.85546875" style="792" customWidth="1"/>
    <col min="3" max="3" width="17.7109375" customWidth="1"/>
    <col min="4" max="4" width="43.5703125" customWidth="1"/>
    <col min="5" max="5" width="32" customWidth="1"/>
    <col min="6" max="6" width="15.140625" customWidth="1"/>
    <col min="7" max="7" width="20.5703125" customWidth="1"/>
    <col min="8" max="8" width="9.5703125" customWidth="1"/>
    <col min="9" max="9" width="10.85546875" customWidth="1"/>
    <col min="10" max="10" width="9.28515625" customWidth="1"/>
    <col min="12" max="12" width="15" customWidth="1"/>
  </cols>
  <sheetData>
    <row r="1" spans="1:12" s="169" customFormat="1" ht="31.5" customHeight="1">
      <c r="A1" s="168"/>
      <c r="B1" s="992" t="s">
        <v>506</v>
      </c>
      <c r="C1" s="993"/>
      <c r="D1" s="993"/>
      <c r="E1" s="993"/>
      <c r="F1" s="994"/>
      <c r="L1" s="168"/>
    </row>
    <row r="2" spans="1:12" s="169" customFormat="1" ht="15.75" hidden="1" customHeight="1">
      <c r="A2" s="168"/>
      <c r="B2" s="168"/>
      <c r="C2" s="168"/>
      <c r="D2" s="168"/>
      <c r="E2" s="168"/>
      <c r="F2" s="168"/>
      <c r="L2" s="168"/>
    </row>
    <row r="3" spans="1:12" s="169" customFormat="1" ht="15.75" hidden="1" customHeight="1">
      <c r="A3" s="989" t="s">
        <v>64</v>
      </c>
      <c r="B3" s="894"/>
      <c r="C3" s="894"/>
      <c r="D3" s="894"/>
      <c r="E3" s="894"/>
      <c r="F3" s="894"/>
      <c r="G3" s="894"/>
      <c r="H3" s="894"/>
      <c r="I3" s="894"/>
      <c r="J3" s="894"/>
      <c r="K3" s="894"/>
      <c r="L3" s="990"/>
    </row>
    <row r="4" spans="1:12" s="169" customFormat="1" ht="15.75" hidden="1" customHeight="1">
      <c r="A4" s="170" t="s">
        <v>507</v>
      </c>
      <c r="B4" s="171" t="s">
        <v>508</v>
      </c>
      <c r="C4" s="171" t="s">
        <v>509</v>
      </c>
      <c r="D4" s="171" t="s">
        <v>510</v>
      </c>
      <c r="E4" s="172" t="s">
        <v>511</v>
      </c>
      <c r="F4" s="171" t="s">
        <v>512</v>
      </c>
      <c r="G4" s="173" t="s">
        <v>513</v>
      </c>
      <c r="H4" s="173" t="s">
        <v>514</v>
      </c>
      <c r="I4" s="173"/>
      <c r="J4" s="173" t="s">
        <v>515</v>
      </c>
      <c r="K4" s="174" t="s">
        <v>516</v>
      </c>
      <c r="L4" s="175" t="s">
        <v>517</v>
      </c>
    </row>
    <row r="5" spans="1:12" s="169" customFormat="1" ht="15.75" hidden="1" customHeight="1">
      <c r="A5" s="176" t="s">
        <v>518</v>
      </c>
      <c r="B5" s="177" t="s">
        <v>519</v>
      </c>
      <c r="C5" s="177" t="s">
        <v>520</v>
      </c>
      <c r="D5" s="177" t="s">
        <v>521</v>
      </c>
      <c r="E5" s="178">
        <v>465000000</v>
      </c>
      <c r="F5" s="177" t="s">
        <v>522</v>
      </c>
      <c r="G5" s="179" t="s">
        <v>523</v>
      </c>
      <c r="H5" s="179" t="s">
        <v>523</v>
      </c>
      <c r="I5" s="179"/>
      <c r="J5" s="179">
        <v>1</v>
      </c>
      <c r="K5" s="179"/>
      <c r="L5" s="177" t="s">
        <v>524</v>
      </c>
    </row>
    <row r="6" spans="1:12" s="169" customFormat="1" ht="15.75" hidden="1" customHeight="1">
      <c r="A6" s="176" t="s">
        <v>518</v>
      </c>
      <c r="B6" s="177" t="s">
        <v>519</v>
      </c>
      <c r="C6" s="177" t="s">
        <v>525</v>
      </c>
      <c r="D6" s="177" t="s">
        <v>526</v>
      </c>
      <c r="E6" s="178">
        <v>530000000</v>
      </c>
      <c r="F6" s="177" t="s">
        <v>527</v>
      </c>
      <c r="G6" s="179" t="s">
        <v>528</v>
      </c>
      <c r="H6" s="179" t="s">
        <v>523</v>
      </c>
      <c r="I6" s="179"/>
      <c r="J6" s="179">
        <v>1</v>
      </c>
      <c r="K6" s="179"/>
      <c r="L6" s="177" t="s">
        <v>529</v>
      </c>
    </row>
    <row r="7" spans="1:12" s="169" customFormat="1" ht="15.75" hidden="1" customHeight="1">
      <c r="A7" s="176" t="s">
        <v>518</v>
      </c>
      <c r="B7" s="177" t="s">
        <v>519</v>
      </c>
      <c r="C7" s="177" t="s">
        <v>530</v>
      </c>
      <c r="D7" s="177" t="s">
        <v>531</v>
      </c>
      <c r="E7" s="178">
        <v>486800000</v>
      </c>
      <c r="F7" s="177" t="s">
        <v>532</v>
      </c>
      <c r="G7" s="179" t="s">
        <v>528</v>
      </c>
      <c r="H7" s="179" t="s">
        <v>523</v>
      </c>
      <c r="I7" s="179"/>
      <c r="J7" s="179">
        <v>1</v>
      </c>
      <c r="K7" s="179"/>
      <c r="L7" s="177" t="s">
        <v>123</v>
      </c>
    </row>
    <row r="8" spans="1:12" s="169" customFormat="1" ht="15.75" hidden="1" customHeight="1">
      <c r="A8" s="180" t="s">
        <v>518</v>
      </c>
      <c r="B8" s="177" t="s">
        <v>519</v>
      </c>
      <c r="C8" s="177" t="s">
        <v>533</v>
      </c>
      <c r="D8" s="177" t="s">
        <v>534</v>
      </c>
      <c r="E8" s="178">
        <v>285000000</v>
      </c>
      <c r="F8" s="177" t="s">
        <v>535</v>
      </c>
      <c r="G8" s="179" t="s">
        <v>528</v>
      </c>
      <c r="H8" s="179" t="s">
        <v>523</v>
      </c>
      <c r="I8" s="179"/>
      <c r="J8" s="179">
        <v>1</v>
      </c>
      <c r="K8" s="179"/>
      <c r="L8" s="177" t="s">
        <v>524</v>
      </c>
    </row>
    <row r="9" spans="1:12" s="169" customFormat="1" ht="15.75" hidden="1" customHeight="1">
      <c r="A9" s="181" t="s">
        <v>536</v>
      </c>
      <c r="B9" s="182" t="s">
        <v>519</v>
      </c>
      <c r="C9" s="183" t="s">
        <v>537</v>
      </c>
      <c r="D9" s="183" t="s">
        <v>526</v>
      </c>
      <c r="E9" s="184">
        <v>2750000</v>
      </c>
      <c r="F9" s="185" t="s">
        <v>527</v>
      </c>
      <c r="G9" s="186" t="s">
        <v>523</v>
      </c>
      <c r="H9" s="186" t="s">
        <v>523</v>
      </c>
      <c r="I9" s="186"/>
      <c r="J9" s="186">
        <v>1</v>
      </c>
      <c r="K9" s="186" t="s">
        <v>538</v>
      </c>
      <c r="L9" s="183" t="s">
        <v>529</v>
      </c>
    </row>
    <row r="10" spans="1:12" s="169" customFormat="1" ht="15.75" hidden="1" customHeight="1">
      <c r="A10" s="181" t="s">
        <v>536</v>
      </c>
      <c r="B10" s="187" t="s">
        <v>519</v>
      </c>
      <c r="C10" s="188" t="s">
        <v>539</v>
      </c>
      <c r="D10" s="188" t="s">
        <v>540</v>
      </c>
      <c r="E10" s="189">
        <v>900000</v>
      </c>
      <c r="F10" s="190" t="s">
        <v>527</v>
      </c>
      <c r="G10" s="191" t="s">
        <v>523</v>
      </c>
      <c r="H10" s="191" t="s">
        <v>523</v>
      </c>
      <c r="I10" s="191"/>
      <c r="J10" s="191">
        <v>1</v>
      </c>
      <c r="K10" s="191" t="s">
        <v>538</v>
      </c>
      <c r="L10" s="188" t="s">
        <v>123</v>
      </c>
    </row>
    <row r="11" spans="1:12" s="169" customFormat="1" ht="15.75" hidden="1" customHeight="1">
      <c r="A11" s="181" t="s">
        <v>536</v>
      </c>
      <c r="B11" s="187" t="s">
        <v>519</v>
      </c>
      <c r="C11" s="188" t="s">
        <v>541</v>
      </c>
      <c r="D11" s="188" t="s">
        <v>534</v>
      </c>
      <c r="E11" s="189">
        <v>1600000</v>
      </c>
      <c r="F11" s="188" t="s">
        <v>542</v>
      </c>
      <c r="G11" s="191" t="s">
        <v>523</v>
      </c>
      <c r="H11" s="191" t="s">
        <v>523</v>
      </c>
      <c r="I11" s="191"/>
      <c r="J11" s="191">
        <v>1</v>
      </c>
      <c r="K11" s="191" t="s">
        <v>41</v>
      </c>
      <c r="L11" s="188" t="s">
        <v>529</v>
      </c>
    </row>
    <row r="12" spans="1:12" s="169" customFormat="1" ht="15.75" hidden="1" customHeight="1">
      <c r="A12" s="181" t="s">
        <v>536</v>
      </c>
      <c r="B12" s="187" t="s">
        <v>519</v>
      </c>
      <c r="C12" s="188" t="s">
        <v>543</v>
      </c>
      <c r="D12" s="188" t="s">
        <v>534</v>
      </c>
      <c r="E12" s="189">
        <v>1200000</v>
      </c>
      <c r="F12" s="188" t="s">
        <v>544</v>
      </c>
      <c r="G12" s="191" t="s">
        <v>523</v>
      </c>
      <c r="H12" s="191" t="s">
        <v>523</v>
      </c>
      <c r="I12" s="191"/>
      <c r="J12" s="191">
        <v>1</v>
      </c>
      <c r="K12" s="191" t="s">
        <v>124</v>
      </c>
      <c r="L12" s="188" t="s">
        <v>524</v>
      </c>
    </row>
    <row r="13" spans="1:12" s="169" customFormat="1" ht="15.75" hidden="1" customHeight="1">
      <c r="A13" s="181" t="s">
        <v>536</v>
      </c>
      <c r="B13" s="187" t="s">
        <v>519</v>
      </c>
      <c r="C13" s="192" t="s">
        <v>545</v>
      </c>
      <c r="D13" s="188" t="s">
        <v>534</v>
      </c>
      <c r="E13" s="189">
        <v>1300000</v>
      </c>
      <c r="F13" s="188" t="s">
        <v>542</v>
      </c>
      <c r="G13" s="191" t="s">
        <v>523</v>
      </c>
      <c r="H13" s="191" t="s">
        <v>523</v>
      </c>
      <c r="I13" s="191"/>
      <c r="J13" s="191">
        <v>1</v>
      </c>
      <c r="K13" s="191" t="s">
        <v>41</v>
      </c>
      <c r="L13" s="188" t="s">
        <v>524</v>
      </c>
    </row>
    <row r="14" spans="1:12" s="169" customFormat="1" ht="15.75" hidden="1" customHeight="1">
      <c r="A14" s="181" t="s">
        <v>536</v>
      </c>
      <c r="B14" s="187" t="s">
        <v>519</v>
      </c>
      <c r="C14" s="192" t="s">
        <v>546</v>
      </c>
      <c r="D14" s="192" t="s">
        <v>534</v>
      </c>
      <c r="E14" s="193">
        <v>2000000</v>
      </c>
      <c r="F14" s="188" t="s">
        <v>547</v>
      </c>
      <c r="G14" s="194" t="s">
        <v>528</v>
      </c>
      <c r="H14" s="194" t="s">
        <v>523</v>
      </c>
      <c r="I14" s="194"/>
      <c r="J14" s="194">
        <v>1</v>
      </c>
      <c r="K14" s="194" t="s">
        <v>124</v>
      </c>
      <c r="L14" s="192" t="s">
        <v>529</v>
      </c>
    </row>
    <row r="15" spans="1:12" s="169" customFormat="1" ht="15.75" hidden="1" customHeight="1">
      <c r="A15" s="181" t="s">
        <v>536</v>
      </c>
      <c r="B15" s="187" t="s">
        <v>548</v>
      </c>
      <c r="C15" s="192" t="s">
        <v>549</v>
      </c>
      <c r="D15" s="192" t="s">
        <v>521</v>
      </c>
      <c r="E15" s="195">
        <v>74600000</v>
      </c>
      <c r="F15" s="190" t="s">
        <v>527</v>
      </c>
      <c r="G15" s="194" t="s">
        <v>528</v>
      </c>
      <c r="H15" s="194" t="s">
        <v>523</v>
      </c>
      <c r="I15" s="194"/>
      <c r="J15" s="194">
        <v>1</v>
      </c>
      <c r="K15" s="194" t="s">
        <v>124</v>
      </c>
      <c r="L15" s="192" t="s">
        <v>524</v>
      </c>
    </row>
    <row r="16" spans="1:12" s="169" customFormat="1" ht="15.75" hidden="1" customHeight="1">
      <c r="A16" s="181" t="s">
        <v>536</v>
      </c>
      <c r="B16" s="187" t="s">
        <v>519</v>
      </c>
      <c r="C16" s="192" t="s">
        <v>550</v>
      </c>
      <c r="D16" s="188" t="s">
        <v>534</v>
      </c>
      <c r="E16" s="184">
        <v>2600000</v>
      </c>
      <c r="F16" s="188" t="s">
        <v>547</v>
      </c>
      <c r="G16" s="191" t="s">
        <v>528</v>
      </c>
      <c r="H16" s="191" t="s">
        <v>523</v>
      </c>
      <c r="I16" s="191"/>
      <c r="J16" s="191">
        <v>1</v>
      </c>
      <c r="K16" s="191" t="s">
        <v>124</v>
      </c>
      <c r="L16" s="188" t="s">
        <v>529</v>
      </c>
    </row>
    <row r="17" spans="1:12" s="169" customFormat="1" ht="15.75" hidden="1" customHeight="1">
      <c r="A17" s="181" t="s">
        <v>536</v>
      </c>
      <c r="B17" s="187" t="s">
        <v>519</v>
      </c>
      <c r="C17" s="192" t="s">
        <v>551</v>
      </c>
      <c r="D17" s="188" t="s">
        <v>552</v>
      </c>
      <c r="E17" s="189">
        <v>2700000</v>
      </c>
      <c r="F17" s="188" t="s">
        <v>553</v>
      </c>
      <c r="G17" s="191" t="s">
        <v>523</v>
      </c>
      <c r="H17" s="191" t="s">
        <v>523</v>
      </c>
      <c r="I17" s="191"/>
      <c r="J17" s="191">
        <v>1</v>
      </c>
      <c r="K17" s="191" t="s">
        <v>41</v>
      </c>
      <c r="L17" s="188" t="s">
        <v>529</v>
      </c>
    </row>
    <row r="18" spans="1:12" s="169" customFormat="1" ht="15.75" hidden="1" customHeight="1">
      <c r="A18" s="181" t="s">
        <v>536</v>
      </c>
      <c r="B18" s="187" t="s">
        <v>519</v>
      </c>
      <c r="C18" s="192" t="s">
        <v>554</v>
      </c>
      <c r="D18" s="188" t="s">
        <v>534</v>
      </c>
      <c r="E18" s="189">
        <v>1400000</v>
      </c>
      <c r="F18" s="188" t="s">
        <v>555</v>
      </c>
      <c r="G18" s="191" t="s">
        <v>523</v>
      </c>
      <c r="H18" s="191" t="s">
        <v>523</v>
      </c>
      <c r="I18" s="191"/>
      <c r="J18" s="191">
        <v>1</v>
      </c>
      <c r="K18" s="191" t="s">
        <v>124</v>
      </c>
      <c r="L18" s="188" t="s">
        <v>529</v>
      </c>
    </row>
    <row r="19" spans="1:12" s="169" customFormat="1" ht="15.75" hidden="1" customHeight="1">
      <c r="A19" s="181" t="s">
        <v>536</v>
      </c>
      <c r="B19" s="187" t="s">
        <v>556</v>
      </c>
      <c r="C19" s="192" t="s">
        <v>557</v>
      </c>
      <c r="D19" s="188" t="s">
        <v>521</v>
      </c>
      <c r="E19" s="189">
        <v>4709651</v>
      </c>
      <c r="F19" s="190" t="s">
        <v>527</v>
      </c>
      <c r="G19" s="191" t="s">
        <v>528</v>
      </c>
      <c r="H19" s="191" t="s">
        <v>523</v>
      </c>
      <c r="I19" s="191"/>
      <c r="J19" s="191">
        <v>1</v>
      </c>
      <c r="K19" s="191" t="s">
        <v>41</v>
      </c>
      <c r="L19" s="188" t="s">
        <v>524</v>
      </c>
    </row>
    <row r="20" spans="1:12" s="169" customFormat="1" ht="15.75" hidden="1" customHeight="1">
      <c r="A20" s="181" t="s">
        <v>536</v>
      </c>
      <c r="B20" s="187" t="s">
        <v>519</v>
      </c>
      <c r="C20" s="192" t="s">
        <v>558</v>
      </c>
      <c r="D20" s="188" t="s">
        <v>534</v>
      </c>
      <c r="E20" s="189">
        <v>2400000</v>
      </c>
      <c r="F20" s="188" t="s">
        <v>547</v>
      </c>
      <c r="G20" s="191" t="s">
        <v>528</v>
      </c>
      <c r="H20" s="191" t="s">
        <v>523</v>
      </c>
      <c r="I20" s="191"/>
      <c r="J20" s="191">
        <v>1</v>
      </c>
      <c r="K20" s="191" t="s">
        <v>41</v>
      </c>
      <c r="L20" s="188" t="s">
        <v>524</v>
      </c>
    </row>
    <row r="21" spans="1:12" s="169" customFormat="1" ht="15.75" hidden="1" customHeight="1">
      <c r="A21" s="181" t="s">
        <v>536</v>
      </c>
      <c r="B21" s="187" t="s">
        <v>519</v>
      </c>
      <c r="C21" s="192" t="s">
        <v>530</v>
      </c>
      <c r="D21" s="188" t="s">
        <v>531</v>
      </c>
      <c r="E21" s="189">
        <v>2300000</v>
      </c>
      <c r="F21" s="188" t="s">
        <v>532</v>
      </c>
      <c r="G21" s="191" t="s">
        <v>523</v>
      </c>
      <c r="H21" s="191" t="s">
        <v>523</v>
      </c>
      <c r="I21" s="191"/>
      <c r="J21" s="191">
        <v>1</v>
      </c>
      <c r="K21" s="191" t="s">
        <v>41</v>
      </c>
      <c r="L21" s="188" t="s">
        <v>123</v>
      </c>
    </row>
    <row r="22" spans="1:12" s="169" customFormat="1" ht="15.75" hidden="1" customHeight="1">
      <c r="A22" s="181" t="s">
        <v>536</v>
      </c>
      <c r="B22" s="187" t="s">
        <v>519</v>
      </c>
      <c r="C22" s="188" t="s">
        <v>559</v>
      </c>
      <c r="D22" s="188" t="s">
        <v>560</v>
      </c>
      <c r="E22" s="189">
        <v>3000000</v>
      </c>
      <c r="F22" s="188" t="s">
        <v>561</v>
      </c>
      <c r="G22" s="191" t="s">
        <v>528</v>
      </c>
      <c r="H22" s="191" t="s">
        <v>523</v>
      </c>
      <c r="I22" s="191"/>
      <c r="J22" s="191">
        <v>1</v>
      </c>
      <c r="K22" s="191" t="s">
        <v>562</v>
      </c>
      <c r="L22" s="188" t="s">
        <v>529</v>
      </c>
    </row>
    <row r="23" spans="1:12" s="169" customFormat="1" ht="15.75" hidden="1" customHeight="1">
      <c r="A23" s="181" t="s">
        <v>536</v>
      </c>
      <c r="B23" s="187" t="s">
        <v>556</v>
      </c>
      <c r="C23" s="188" t="s">
        <v>563</v>
      </c>
      <c r="D23" s="188" t="s">
        <v>521</v>
      </c>
      <c r="E23" s="189">
        <v>3000000</v>
      </c>
      <c r="F23" s="190" t="s">
        <v>527</v>
      </c>
      <c r="G23" s="191" t="s">
        <v>528</v>
      </c>
      <c r="H23" s="191" t="s">
        <v>523</v>
      </c>
      <c r="I23" s="191"/>
      <c r="J23" s="191">
        <v>1</v>
      </c>
      <c r="K23" s="191" t="s">
        <v>124</v>
      </c>
      <c r="L23" s="188" t="s">
        <v>524</v>
      </c>
    </row>
    <row r="24" spans="1:12" s="169" customFormat="1" ht="15.75" hidden="1" customHeight="1">
      <c r="A24" s="181" t="s">
        <v>536</v>
      </c>
      <c r="B24" s="187" t="s">
        <v>519</v>
      </c>
      <c r="C24" s="188" t="s">
        <v>564</v>
      </c>
      <c r="D24" s="188" t="s">
        <v>565</v>
      </c>
      <c r="E24" s="189">
        <v>2900000</v>
      </c>
      <c r="F24" s="188" t="s">
        <v>522</v>
      </c>
      <c r="G24" s="191" t="s">
        <v>523</v>
      </c>
      <c r="H24" s="191" t="s">
        <v>523</v>
      </c>
      <c r="I24" s="191"/>
      <c r="J24" s="191">
        <v>1</v>
      </c>
      <c r="K24" s="191" t="s">
        <v>124</v>
      </c>
      <c r="L24" s="188" t="s">
        <v>529</v>
      </c>
    </row>
    <row r="25" spans="1:12" s="169" customFormat="1" ht="15.75" hidden="1" customHeight="1">
      <c r="A25" s="181" t="s">
        <v>536</v>
      </c>
      <c r="B25" s="187" t="s">
        <v>519</v>
      </c>
      <c r="C25" s="188" t="s">
        <v>566</v>
      </c>
      <c r="D25" s="188" t="s">
        <v>567</v>
      </c>
      <c r="E25" s="189">
        <v>1100000</v>
      </c>
      <c r="F25" s="190" t="s">
        <v>527</v>
      </c>
      <c r="G25" s="191" t="s">
        <v>528</v>
      </c>
      <c r="H25" s="191" t="s">
        <v>523</v>
      </c>
      <c r="I25" s="191"/>
      <c r="J25" s="191">
        <v>1</v>
      </c>
      <c r="K25" s="191" t="s">
        <v>41</v>
      </c>
      <c r="L25" s="188" t="s">
        <v>529</v>
      </c>
    </row>
    <row r="26" spans="1:12" s="169" customFormat="1" ht="15.75" hidden="1" customHeight="1">
      <c r="A26" s="181" t="s">
        <v>536</v>
      </c>
      <c r="B26" s="187" t="s">
        <v>519</v>
      </c>
      <c r="C26" s="188" t="s">
        <v>568</v>
      </c>
      <c r="D26" s="188" t="s">
        <v>534</v>
      </c>
      <c r="E26" s="189">
        <v>2600000</v>
      </c>
      <c r="F26" s="188" t="s">
        <v>547</v>
      </c>
      <c r="G26" s="191" t="s">
        <v>523</v>
      </c>
      <c r="H26" s="191" t="s">
        <v>523</v>
      </c>
      <c r="I26" s="191"/>
      <c r="J26" s="191">
        <v>1</v>
      </c>
      <c r="K26" s="191" t="s">
        <v>41</v>
      </c>
      <c r="L26" s="188" t="s">
        <v>123</v>
      </c>
    </row>
    <row r="27" spans="1:12" s="169" customFormat="1" ht="15.75" hidden="1" customHeight="1">
      <c r="A27" s="181" t="s">
        <v>536</v>
      </c>
      <c r="B27" s="187" t="s">
        <v>519</v>
      </c>
      <c r="C27" s="188" t="s">
        <v>569</v>
      </c>
      <c r="D27" s="188" t="s">
        <v>534</v>
      </c>
      <c r="E27" s="189">
        <v>2300000</v>
      </c>
      <c r="F27" s="188" t="s">
        <v>547</v>
      </c>
      <c r="G27" s="191" t="s">
        <v>528</v>
      </c>
      <c r="H27" s="191" t="s">
        <v>523</v>
      </c>
      <c r="I27" s="191"/>
      <c r="J27" s="191">
        <v>1</v>
      </c>
      <c r="K27" s="191" t="s">
        <v>124</v>
      </c>
      <c r="L27" s="188" t="s">
        <v>524</v>
      </c>
    </row>
    <row r="28" spans="1:12" s="169" customFormat="1" ht="15.75" hidden="1" customHeight="1">
      <c r="A28" s="181" t="s">
        <v>536</v>
      </c>
      <c r="B28" s="188" t="s">
        <v>548</v>
      </c>
      <c r="C28" s="188" t="s">
        <v>570</v>
      </c>
      <c r="D28" s="188" t="s">
        <v>521</v>
      </c>
      <c r="E28" s="189">
        <v>3940000</v>
      </c>
      <c r="F28" s="190" t="s">
        <v>527</v>
      </c>
      <c r="G28" s="191" t="s">
        <v>528</v>
      </c>
      <c r="H28" s="191" t="s">
        <v>523</v>
      </c>
      <c r="I28" s="191"/>
      <c r="J28" s="191">
        <v>1</v>
      </c>
      <c r="K28" s="191" t="s">
        <v>124</v>
      </c>
      <c r="L28" s="188" t="s">
        <v>524</v>
      </c>
    </row>
    <row r="29" spans="1:12" s="169" customFormat="1" ht="15.75" hidden="1" customHeight="1">
      <c r="A29" s="196"/>
      <c r="B29" s="188"/>
      <c r="C29" s="188"/>
      <c r="D29" s="188"/>
      <c r="E29" s="189"/>
      <c r="F29" s="188"/>
      <c r="G29" s="191"/>
      <c r="H29" s="191"/>
      <c r="I29" s="191"/>
      <c r="J29" s="191"/>
      <c r="K29" s="191"/>
      <c r="L29" s="188"/>
    </row>
    <row r="30" spans="1:12" s="169" customFormat="1" ht="15.75" hidden="1" customHeight="1">
      <c r="A30" s="979" t="s">
        <v>26</v>
      </c>
      <c r="B30" s="1048"/>
      <c r="C30" s="1048"/>
      <c r="D30" s="1048"/>
      <c r="E30" s="1048"/>
      <c r="F30" s="1048"/>
      <c r="G30" s="1048"/>
      <c r="H30" s="1048"/>
      <c r="I30" s="197"/>
      <c r="J30" s="198">
        <f>SUM(J5:J29)</f>
        <v>24</v>
      </c>
      <c r="K30" s="199"/>
      <c r="L30" s="177"/>
    </row>
    <row r="31" spans="1:12" s="169" customFormat="1" ht="15.75" hidden="1" customHeight="1">
      <c r="A31" s="168"/>
      <c r="B31" s="168"/>
      <c r="C31" s="168"/>
      <c r="D31" s="168"/>
      <c r="E31" s="168"/>
      <c r="F31" s="168"/>
      <c r="L31" s="168"/>
    </row>
    <row r="32" spans="1:12" s="169" customFormat="1" ht="15.75" hidden="1" customHeight="1">
      <c r="A32" s="168"/>
      <c r="B32" s="168"/>
      <c r="C32" s="168"/>
      <c r="D32" s="168"/>
      <c r="E32" s="168"/>
      <c r="F32" s="168"/>
      <c r="L32" s="168"/>
    </row>
    <row r="33" spans="1:12" s="169" customFormat="1" ht="15.75" hidden="1" customHeight="1">
      <c r="A33" s="978" t="s">
        <v>16</v>
      </c>
      <c r="B33" s="978"/>
      <c r="C33" s="978"/>
      <c r="D33" s="978"/>
      <c r="E33" s="978"/>
      <c r="F33" s="978"/>
      <c r="G33" s="978"/>
      <c r="H33" s="978"/>
      <c r="I33" s="978"/>
      <c r="J33" s="978"/>
      <c r="K33" s="978"/>
      <c r="L33" s="978"/>
    </row>
    <row r="34" spans="1:12" s="169" customFormat="1" ht="15.75" hidden="1" customHeight="1">
      <c r="A34" s="200" t="s">
        <v>507</v>
      </c>
      <c r="B34" s="201" t="s">
        <v>508</v>
      </c>
      <c r="C34" s="201" t="s">
        <v>509</v>
      </c>
      <c r="D34" s="201" t="s">
        <v>510</v>
      </c>
      <c r="E34" s="202" t="s">
        <v>511</v>
      </c>
      <c r="F34" s="201" t="s">
        <v>512</v>
      </c>
      <c r="G34" s="203" t="s">
        <v>513</v>
      </c>
      <c r="H34" s="203" t="s">
        <v>514</v>
      </c>
      <c r="I34" s="203"/>
      <c r="J34" s="203" t="s">
        <v>515</v>
      </c>
      <c r="K34" s="203" t="s">
        <v>516</v>
      </c>
      <c r="L34" s="201" t="s">
        <v>517</v>
      </c>
    </row>
    <row r="35" spans="1:12" s="169" customFormat="1" ht="15.75" hidden="1" customHeight="1">
      <c r="A35" s="180" t="s">
        <v>518</v>
      </c>
      <c r="B35" s="177" t="s">
        <v>519</v>
      </c>
      <c r="C35" s="177" t="s">
        <v>571</v>
      </c>
      <c r="D35" s="177" t="s">
        <v>534</v>
      </c>
      <c r="E35" s="178">
        <v>440000000</v>
      </c>
      <c r="F35" s="177" t="s">
        <v>572</v>
      </c>
      <c r="G35" s="179" t="s">
        <v>528</v>
      </c>
      <c r="H35" s="179" t="s">
        <v>523</v>
      </c>
      <c r="I35" s="179"/>
      <c r="J35" s="179">
        <v>1</v>
      </c>
      <c r="K35" s="179"/>
      <c r="L35" s="177" t="s">
        <v>524</v>
      </c>
    </row>
    <row r="36" spans="1:12" s="169" customFormat="1" ht="15.75" hidden="1" customHeight="1">
      <c r="A36" s="176" t="s">
        <v>518</v>
      </c>
      <c r="B36" s="204" t="s">
        <v>519</v>
      </c>
      <c r="C36" s="205" t="s">
        <v>573</v>
      </c>
      <c r="D36" s="205" t="s">
        <v>534</v>
      </c>
      <c r="E36" s="206">
        <v>500000000</v>
      </c>
      <c r="F36" s="205" t="s">
        <v>574</v>
      </c>
      <c r="G36" s="207" t="s">
        <v>528</v>
      </c>
      <c r="H36" s="207" t="s">
        <v>523</v>
      </c>
      <c r="I36" s="207"/>
      <c r="J36" s="207">
        <v>1</v>
      </c>
      <c r="K36" s="207"/>
      <c r="L36" s="205" t="s">
        <v>524</v>
      </c>
    </row>
    <row r="37" spans="1:12" s="169" customFormat="1" ht="15.75" hidden="1" customHeight="1">
      <c r="A37" s="176" t="s">
        <v>518</v>
      </c>
      <c r="B37" s="208" t="s">
        <v>519</v>
      </c>
      <c r="C37" s="177" t="s">
        <v>575</v>
      </c>
      <c r="D37" s="177" t="s">
        <v>526</v>
      </c>
      <c r="E37" s="178">
        <v>644000000</v>
      </c>
      <c r="F37" s="177" t="s">
        <v>576</v>
      </c>
      <c r="G37" s="179" t="s">
        <v>523</v>
      </c>
      <c r="H37" s="179" t="s">
        <v>523</v>
      </c>
      <c r="I37" s="179"/>
      <c r="J37" s="179">
        <v>1</v>
      </c>
      <c r="K37" s="179"/>
      <c r="L37" s="177" t="s">
        <v>529</v>
      </c>
    </row>
    <row r="38" spans="1:12" s="169" customFormat="1" ht="15.75" hidden="1" customHeight="1">
      <c r="A38" s="181" t="s">
        <v>536</v>
      </c>
      <c r="B38" s="182" t="s">
        <v>519</v>
      </c>
      <c r="C38" s="183" t="s">
        <v>577</v>
      </c>
      <c r="D38" s="183" t="s">
        <v>578</v>
      </c>
      <c r="E38" s="184">
        <v>1900000</v>
      </c>
      <c r="F38" s="183" t="s">
        <v>579</v>
      </c>
      <c r="G38" s="186" t="s">
        <v>523</v>
      </c>
      <c r="H38" s="186" t="s">
        <v>523</v>
      </c>
      <c r="I38" s="186"/>
      <c r="J38" s="186">
        <v>1</v>
      </c>
      <c r="K38" s="186" t="s">
        <v>124</v>
      </c>
      <c r="L38" s="186" t="s">
        <v>529</v>
      </c>
    </row>
    <row r="39" spans="1:12" s="169" customFormat="1" ht="15.75" hidden="1" customHeight="1">
      <c r="A39" s="181" t="s">
        <v>536</v>
      </c>
      <c r="B39" s="187" t="s">
        <v>519</v>
      </c>
      <c r="C39" s="188" t="s">
        <v>580</v>
      </c>
      <c r="D39" s="188" t="s">
        <v>581</v>
      </c>
      <c r="E39" s="189">
        <v>1000000</v>
      </c>
      <c r="F39" s="190" t="s">
        <v>527</v>
      </c>
      <c r="G39" s="191" t="s">
        <v>523</v>
      </c>
      <c r="H39" s="191" t="s">
        <v>523</v>
      </c>
      <c r="I39" s="191"/>
      <c r="J39" s="191">
        <v>1</v>
      </c>
      <c r="K39" s="191" t="s">
        <v>124</v>
      </c>
      <c r="L39" s="191" t="s">
        <v>123</v>
      </c>
    </row>
    <row r="40" spans="1:12" s="169" customFormat="1" ht="15.75" hidden="1" customHeight="1">
      <c r="A40" s="181" t="s">
        <v>536</v>
      </c>
      <c r="B40" s="187" t="s">
        <v>519</v>
      </c>
      <c r="C40" s="188" t="s">
        <v>582</v>
      </c>
      <c r="D40" s="188" t="s">
        <v>583</v>
      </c>
      <c r="E40" s="189">
        <v>3600000</v>
      </c>
      <c r="F40" s="188" t="s">
        <v>584</v>
      </c>
      <c r="G40" s="191" t="s">
        <v>528</v>
      </c>
      <c r="H40" s="191" t="s">
        <v>523</v>
      </c>
      <c r="I40" s="191"/>
      <c r="J40" s="191">
        <v>1</v>
      </c>
      <c r="K40" s="191" t="s">
        <v>41</v>
      </c>
      <c r="L40" s="191" t="s">
        <v>524</v>
      </c>
    </row>
    <row r="41" spans="1:12" s="169" customFormat="1" ht="15.75" hidden="1" customHeight="1">
      <c r="A41" s="181" t="s">
        <v>536</v>
      </c>
      <c r="B41" s="187" t="s">
        <v>519</v>
      </c>
      <c r="C41" s="188" t="s">
        <v>585</v>
      </c>
      <c r="D41" s="188" t="s">
        <v>583</v>
      </c>
      <c r="E41" s="189">
        <v>2500000</v>
      </c>
      <c r="F41" s="188" t="s">
        <v>586</v>
      </c>
      <c r="G41" s="191" t="s">
        <v>523</v>
      </c>
      <c r="H41" s="191" t="s">
        <v>523</v>
      </c>
      <c r="I41" s="191"/>
      <c r="J41" s="191">
        <v>1</v>
      </c>
      <c r="K41" s="191" t="s">
        <v>41</v>
      </c>
      <c r="L41" s="191" t="s">
        <v>529</v>
      </c>
    </row>
    <row r="42" spans="1:12" s="169" customFormat="1" ht="15.75" hidden="1" customHeight="1">
      <c r="A42" s="181" t="s">
        <v>536</v>
      </c>
      <c r="B42" s="187" t="s">
        <v>519</v>
      </c>
      <c r="C42" s="188" t="s">
        <v>17</v>
      </c>
      <c r="D42" s="188" t="s">
        <v>587</v>
      </c>
      <c r="E42" s="189">
        <v>1500000</v>
      </c>
      <c r="F42" s="188" t="s">
        <v>588</v>
      </c>
      <c r="G42" s="191" t="s">
        <v>528</v>
      </c>
      <c r="H42" s="191" t="s">
        <v>523</v>
      </c>
      <c r="I42" s="191"/>
      <c r="J42" s="191">
        <v>1</v>
      </c>
      <c r="K42" s="191" t="s">
        <v>124</v>
      </c>
      <c r="L42" s="191" t="s">
        <v>524</v>
      </c>
    </row>
    <row r="43" spans="1:12" s="169" customFormat="1" ht="15.75" hidden="1" customHeight="1">
      <c r="A43" s="181" t="s">
        <v>536</v>
      </c>
      <c r="B43" s="187" t="s">
        <v>519</v>
      </c>
      <c r="C43" s="191" t="s">
        <v>589</v>
      </c>
      <c r="D43" s="191" t="s">
        <v>590</v>
      </c>
      <c r="E43" s="209">
        <v>2600000</v>
      </c>
      <c r="F43" s="191" t="s">
        <v>591</v>
      </c>
      <c r="G43" s="191" t="s">
        <v>528</v>
      </c>
      <c r="H43" s="191" t="s">
        <v>523</v>
      </c>
      <c r="I43" s="191"/>
      <c r="J43" s="191">
        <v>1</v>
      </c>
      <c r="K43" s="191" t="s">
        <v>124</v>
      </c>
      <c r="L43" s="191" t="s">
        <v>524</v>
      </c>
    </row>
    <row r="44" spans="1:12" s="169" customFormat="1" ht="15.75" hidden="1" customHeight="1">
      <c r="A44" s="181" t="s">
        <v>536</v>
      </c>
      <c r="B44" s="187" t="s">
        <v>519</v>
      </c>
      <c r="C44" s="191" t="s">
        <v>592</v>
      </c>
      <c r="D44" s="191" t="s">
        <v>593</v>
      </c>
      <c r="E44" s="209">
        <v>2200000</v>
      </c>
      <c r="F44" s="191" t="s">
        <v>594</v>
      </c>
      <c r="G44" s="191" t="s">
        <v>523</v>
      </c>
      <c r="H44" s="191" t="s">
        <v>523</v>
      </c>
      <c r="I44" s="191"/>
      <c r="J44" s="191">
        <v>1</v>
      </c>
      <c r="K44" s="191" t="s">
        <v>124</v>
      </c>
      <c r="L44" s="191" t="s">
        <v>529</v>
      </c>
    </row>
    <row r="45" spans="1:12" s="169" customFormat="1" ht="15.75" hidden="1" customHeight="1">
      <c r="A45" s="181" t="s">
        <v>536</v>
      </c>
      <c r="B45" s="187" t="s">
        <v>519</v>
      </c>
      <c r="C45" s="188" t="s">
        <v>595</v>
      </c>
      <c r="D45" s="188" t="s">
        <v>552</v>
      </c>
      <c r="E45" s="189">
        <v>2650000</v>
      </c>
      <c r="F45" s="188" t="s">
        <v>596</v>
      </c>
      <c r="G45" s="191" t="s">
        <v>528</v>
      </c>
      <c r="H45" s="191" t="s">
        <v>523</v>
      </c>
      <c r="I45" s="191"/>
      <c r="J45" s="191">
        <v>1</v>
      </c>
      <c r="K45" s="191" t="s">
        <v>124</v>
      </c>
      <c r="L45" s="191" t="s">
        <v>524</v>
      </c>
    </row>
    <row r="46" spans="1:12" s="169" customFormat="1" ht="15.75" hidden="1" customHeight="1">
      <c r="A46" s="181" t="s">
        <v>536</v>
      </c>
      <c r="B46" s="187" t="s">
        <v>556</v>
      </c>
      <c r="C46" s="188" t="s">
        <v>597</v>
      </c>
      <c r="D46" s="188" t="s">
        <v>598</v>
      </c>
      <c r="E46" s="189">
        <v>2500000</v>
      </c>
      <c r="F46" s="190" t="s">
        <v>527</v>
      </c>
      <c r="G46" s="191" t="s">
        <v>523</v>
      </c>
      <c r="H46" s="191" t="s">
        <v>523</v>
      </c>
      <c r="I46" s="191"/>
      <c r="J46" s="191">
        <v>1</v>
      </c>
      <c r="K46" s="191" t="s">
        <v>41</v>
      </c>
      <c r="L46" s="191" t="s">
        <v>529</v>
      </c>
    </row>
    <row r="47" spans="1:12" s="169" customFormat="1" ht="15.75" hidden="1" customHeight="1">
      <c r="A47" s="181" t="s">
        <v>536</v>
      </c>
      <c r="B47" s="210" t="s">
        <v>519</v>
      </c>
      <c r="C47" s="211" t="s">
        <v>599</v>
      </c>
      <c r="D47" s="211" t="s">
        <v>526</v>
      </c>
      <c r="E47" s="212">
        <v>3500000</v>
      </c>
      <c r="F47" s="211" t="s">
        <v>292</v>
      </c>
      <c r="G47" s="213" t="s">
        <v>523</v>
      </c>
      <c r="H47" s="213" t="s">
        <v>523</v>
      </c>
      <c r="I47" s="213"/>
      <c r="J47" s="213">
        <v>1</v>
      </c>
      <c r="K47" s="213" t="s">
        <v>124</v>
      </c>
      <c r="L47" s="213" t="s">
        <v>529</v>
      </c>
    </row>
    <row r="48" spans="1:12" s="169" customFormat="1" ht="15.75" hidden="1" customHeight="1">
      <c r="A48" s="181" t="s">
        <v>536</v>
      </c>
      <c r="B48" s="187" t="s">
        <v>519</v>
      </c>
      <c r="C48" s="188" t="s">
        <v>600</v>
      </c>
      <c r="D48" s="188" t="s">
        <v>174</v>
      </c>
      <c r="E48" s="189">
        <v>2200000</v>
      </c>
      <c r="F48" s="188" t="s">
        <v>601</v>
      </c>
      <c r="G48" s="191" t="s">
        <v>523</v>
      </c>
      <c r="H48" s="191" t="s">
        <v>523</v>
      </c>
      <c r="I48" s="191"/>
      <c r="J48" s="191">
        <v>1</v>
      </c>
      <c r="K48" s="191" t="s">
        <v>381</v>
      </c>
      <c r="L48" s="191" t="s">
        <v>529</v>
      </c>
    </row>
    <row r="49" spans="1:12" s="169" customFormat="1" ht="15.75" hidden="1" customHeight="1">
      <c r="A49" s="181" t="s">
        <v>536</v>
      </c>
      <c r="B49" s="187" t="s">
        <v>519</v>
      </c>
      <c r="C49" s="188" t="s">
        <v>602</v>
      </c>
      <c r="D49" s="188" t="s">
        <v>534</v>
      </c>
      <c r="E49" s="189">
        <v>2100000</v>
      </c>
      <c r="F49" s="188" t="s">
        <v>603</v>
      </c>
      <c r="G49" s="191" t="s">
        <v>523</v>
      </c>
      <c r="H49" s="191" t="s">
        <v>523</v>
      </c>
      <c r="I49" s="191"/>
      <c r="J49" s="191">
        <v>1</v>
      </c>
      <c r="K49" s="191" t="s">
        <v>124</v>
      </c>
      <c r="L49" s="191" t="s">
        <v>529</v>
      </c>
    </row>
    <row r="50" spans="1:12" s="169" customFormat="1" ht="15.75" hidden="1" customHeight="1">
      <c r="A50" s="181" t="s">
        <v>536</v>
      </c>
      <c r="B50" s="182" t="s">
        <v>519</v>
      </c>
      <c r="C50" s="183" t="s">
        <v>604</v>
      </c>
      <c r="D50" s="183" t="s">
        <v>578</v>
      </c>
      <c r="E50" s="184">
        <v>1800000</v>
      </c>
      <c r="F50" s="183" t="s">
        <v>605</v>
      </c>
      <c r="G50" s="186" t="s">
        <v>528</v>
      </c>
      <c r="H50" s="186" t="s">
        <v>523</v>
      </c>
      <c r="I50" s="186"/>
      <c r="J50" s="186">
        <v>1</v>
      </c>
      <c r="K50" s="191" t="s">
        <v>41</v>
      </c>
      <c r="L50" s="191" t="s">
        <v>606</v>
      </c>
    </row>
    <row r="51" spans="1:12" s="169" customFormat="1" ht="15.75" hidden="1" customHeight="1">
      <c r="A51" s="181" t="s">
        <v>536</v>
      </c>
      <c r="B51" s="187" t="s">
        <v>519</v>
      </c>
      <c r="C51" s="188" t="s">
        <v>607</v>
      </c>
      <c r="D51" s="188" t="s">
        <v>174</v>
      </c>
      <c r="E51" s="189">
        <v>4000000</v>
      </c>
      <c r="F51" s="188" t="s">
        <v>608</v>
      </c>
      <c r="G51" s="191" t="s">
        <v>523</v>
      </c>
      <c r="H51" s="191" t="s">
        <v>523</v>
      </c>
      <c r="I51" s="191"/>
      <c r="J51" s="191">
        <v>1</v>
      </c>
      <c r="K51" s="191" t="s">
        <v>562</v>
      </c>
      <c r="L51" s="191" t="s">
        <v>524</v>
      </c>
    </row>
    <row r="52" spans="1:12" s="169" customFormat="1" ht="15.75" hidden="1" customHeight="1">
      <c r="A52" s="181" t="s">
        <v>536</v>
      </c>
      <c r="B52" s="187" t="s">
        <v>548</v>
      </c>
      <c r="C52" s="188" t="s">
        <v>609</v>
      </c>
      <c r="D52" s="188" t="s">
        <v>174</v>
      </c>
      <c r="E52" s="189">
        <v>1500000</v>
      </c>
      <c r="F52" s="190" t="s">
        <v>527</v>
      </c>
      <c r="G52" s="191" t="s">
        <v>528</v>
      </c>
      <c r="H52" s="191" t="s">
        <v>523</v>
      </c>
      <c r="I52" s="191"/>
      <c r="J52" s="191">
        <v>1</v>
      </c>
      <c r="K52" s="191" t="s">
        <v>41</v>
      </c>
      <c r="L52" s="191" t="s">
        <v>529</v>
      </c>
    </row>
    <row r="53" spans="1:12" s="169" customFormat="1" ht="15.75" hidden="1" customHeight="1">
      <c r="A53" s="181" t="s">
        <v>536</v>
      </c>
      <c r="B53" s="187" t="s">
        <v>548</v>
      </c>
      <c r="C53" s="188" t="s">
        <v>610</v>
      </c>
      <c r="D53" s="188" t="s">
        <v>174</v>
      </c>
      <c r="E53" s="189">
        <v>5282244</v>
      </c>
      <c r="F53" s="190" t="s">
        <v>527</v>
      </c>
      <c r="G53" s="191" t="s">
        <v>528</v>
      </c>
      <c r="H53" s="191" t="s">
        <v>523</v>
      </c>
      <c r="I53" s="191"/>
      <c r="J53" s="191">
        <v>1</v>
      </c>
      <c r="K53" s="191" t="s">
        <v>124</v>
      </c>
      <c r="L53" s="191" t="s">
        <v>524</v>
      </c>
    </row>
    <row r="54" spans="1:12" s="169" customFormat="1" ht="15.75" hidden="1" customHeight="1">
      <c r="A54" s="181" t="s">
        <v>536</v>
      </c>
      <c r="B54" s="187" t="s">
        <v>519</v>
      </c>
      <c r="C54" s="188" t="s">
        <v>611</v>
      </c>
      <c r="D54" s="188" t="s">
        <v>174</v>
      </c>
      <c r="E54" s="189">
        <v>1500000</v>
      </c>
      <c r="F54" s="188" t="s">
        <v>612</v>
      </c>
      <c r="G54" s="191" t="s">
        <v>523</v>
      </c>
      <c r="H54" s="191" t="s">
        <v>523</v>
      </c>
      <c r="I54" s="191"/>
      <c r="J54" s="191">
        <v>1</v>
      </c>
      <c r="K54" s="191" t="s">
        <v>124</v>
      </c>
      <c r="L54" s="191" t="s">
        <v>529</v>
      </c>
    </row>
    <row r="55" spans="1:12" s="169" customFormat="1" ht="15.75" hidden="1" customHeight="1">
      <c r="A55" s="181" t="s">
        <v>536</v>
      </c>
      <c r="B55" s="187" t="s">
        <v>548</v>
      </c>
      <c r="C55" s="188" t="s">
        <v>613</v>
      </c>
      <c r="D55" s="188" t="s">
        <v>174</v>
      </c>
      <c r="E55" s="189">
        <v>1100000</v>
      </c>
      <c r="F55" s="190" t="s">
        <v>527</v>
      </c>
      <c r="G55" s="191" t="s">
        <v>528</v>
      </c>
      <c r="H55" s="191" t="s">
        <v>523</v>
      </c>
      <c r="I55" s="191"/>
      <c r="J55" s="191">
        <v>1</v>
      </c>
      <c r="K55" s="191" t="s">
        <v>124</v>
      </c>
      <c r="L55" s="191" t="s">
        <v>529</v>
      </c>
    </row>
    <row r="56" spans="1:12" s="169" customFormat="1" ht="15.75" hidden="1" customHeight="1">
      <c r="A56" s="214" t="s">
        <v>536</v>
      </c>
      <c r="B56" s="183" t="s">
        <v>548</v>
      </c>
      <c r="C56" s="183" t="s">
        <v>614</v>
      </c>
      <c r="D56" s="188" t="s">
        <v>598</v>
      </c>
      <c r="E56" s="184">
        <v>1800000</v>
      </c>
      <c r="F56" s="183" t="s">
        <v>527</v>
      </c>
      <c r="G56" s="186" t="s">
        <v>528</v>
      </c>
      <c r="H56" s="186" t="s">
        <v>523</v>
      </c>
      <c r="I56" s="186"/>
      <c r="J56" s="186">
        <v>1</v>
      </c>
      <c r="K56" s="186" t="s">
        <v>124</v>
      </c>
      <c r="L56" s="186" t="s">
        <v>529</v>
      </c>
    </row>
    <row r="57" spans="1:12" s="169" customFormat="1" ht="15.75" hidden="1" customHeight="1">
      <c r="A57" s="196" t="s">
        <v>536</v>
      </c>
      <c r="B57" s="183" t="s">
        <v>519</v>
      </c>
      <c r="C57" s="183" t="s">
        <v>615</v>
      </c>
      <c r="D57" s="183" t="s">
        <v>616</v>
      </c>
      <c r="E57" s="184">
        <v>2300000</v>
      </c>
      <c r="F57" s="183" t="s">
        <v>617</v>
      </c>
      <c r="G57" s="186" t="s">
        <v>528</v>
      </c>
      <c r="H57" s="186" t="s">
        <v>523</v>
      </c>
      <c r="I57" s="186"/>
      <c r="J57" s="186">
        <v>1</v>
      </c>
      <c r="K57" s="186" t="s">
        <v>124</v>
      </c>
      <c r="L57" s="186" t="s">
        <v>524</v>
      </c>
    </row>
    <row r="58" spans="1:12" s="169" customFormat="1" ht="15.75" hidden="1" customHeight="1">
      <c r="A58" s="196"/>
      <c r="B58" s="183"/>
      <c r="C58" s="183"/>
      <c r="D58" s="183"/>
      <c r="E58" s="184"/>
      <c r="F58" s="183"/>
      <c r="G58" s="186"/>
      <c r="H58" s="186"/>
      <c r="I58" s="186"/>
      <c r="J58" s="186"/>
      <c r="K58" s="186"/>
      <c r="L58" s="186"/>
    </row>
    <row r="59" spans="1:12" s="169" customFormat="1" ht="15.75" hidden="1" customHeight="1">
      <c r="A59" s="979" t="s">
        <v>26</v>
      </c>
      <c r="B59" s="1048"/>
      <c r="C59" s="1048"/>
      <c r="D59" s="1048"/>
      <c r="E59" s="1048"/>
      <c r="F59" s="1048"/>
      <c r="G59" s="1048"/>
      <c r="H59" s="1048"/>
      <c r="I59" s="197"/>
      <c r="J59" s="198">
        <f>SUM(J35:J58)</f>
        <v>23</v>
      </c>
      <c r="K59" s="199"/>
      <c r="L59" s="177"/>
    </row>
    <row r="60" spans="1:12" s="169" customFormat="1" ht="15.75" hidden="1" customHeight="1">
      <c r="A60" s="168"/>
      <c r="B60" s="168"/>
      <c r="C60" s="168"/>
      <c r="D60" s="168"/>
      <c r="E60" s="168"/>
      <c r="F60" s="168"/>
      <c r="L60" s="168"/>
    </row>
    <row r="61" spans="1:12" s="169" customFormat="1" ht="15.75" hidden="1" customHeight="1">
      <c r="A61" s="168"/>
      <c r="B61" s="168"/>
      <c r="C61" s="168"/>
      <c r="D61" s="168"/>
      <c r="E61" s="168"/>
      <c r="F61" s="168"/>
      <c r="L61" s="168"/>
    </row>
    <row r="62" spans="1:12" s="169" customFormat="1" ht="15.75" hidden="1" customHeight="1">
      <c r="A62" s="991" t="s">
        <v>24</v>
      </c>
      <c r="B62" s="991"/>
      <c r="C62" s="991"/>
      <c r="D62" s="991"/>
      <c r="E62" s="991"/>
      <c r="F62" s="991"/>
      <c r="G62" s="991"/>
      <c r="H62" s="991"/>
      <c r="I62" s="991"/>
      <c r="J62" s="991"/>
      <c r="K62" s="991"/>
      <c r="L62" s="991"/>
    </row>
    <row r="63" spans="1:12" s="169" customFormat="1" ht="15.75" hidden="1" customHeight="1">
      <c r="A63" s="170" t="s">
        <v>507</v>
      </c>
      <c r="B63" s="215" t="s">
        <v>508</v>
      </c>
      <c r="C63" s="215" t="s">
        <v>509</v>
      </c>
      <c r="D63" s="215" t="s">
        <v>510</v>
      </c>
      <c r="E63" s="216" t="s">
        <v>511</v>
      </c>
      <c r="F63" s="215" t="s">
        <v>512</v>
      </c>
      <c r="G63" s="217" t="s">
        <v>513</v>
      </c>
      <c r="H63" s="217" t="s">
        <v>514</v>
      </c>
      <c r="I63" s="217"/>
      <c r="J63" s="217" t="s">
        <v>515</v>
      </c>
      <c r="K63" s="217" t="s">
        <v>516</v>
      </c>
      <c r="L63" s="215" t="s">
        <v>517</v>
      </c>
    </row>
    <row r="64" spans="1:12" s="169" customFormat="1" ht="15.75" hidden="1" customHeight="1">
      <c r="A64" s="218" t="s">
        <v>518</v>
      </c>
      <c r="B64" s="219" t="s">
        <v>519</v>
      </c>
      <c r="C64" s="219" t="s">
        <v>618</v>
      </c>
      <c r="D64" s="219" t="s">
        <v>619</v>
      </c>
      <c r="E64" s="220">
        <v>1250000000</v>
      </c>
      <c r="F64" s="219" t="s">
        <v>527</v>
      </c>
      <c r="G64" s="221" t="s">
        <v>528</v>
      </c>
      <c r="H64" s="221" t="s">
        <v>523</v>
      </c>
      <c r="I64" s="221"/>
      <c r="J64" s="221">
        <v>1</v>
      </c>
      <c r="K64" s="221"/>
      <c r="L64" s="219" t="s">
        <v>524</v>
      </c>
    </row>
    <row r="65" spans="1:12" s="169" customFormat="1" ht="15.75" hidden="1" customHeight="1">
      <c r="A65" s="222" t="s">
        <v>536</v>
      </c>
      <c r="B65" s="188" t="s">
        <v>519</v>
      </c>
      <c r="C65" s="188" t="s">
        <v>620</v>
      </c>
      <c r="D65" s="188" t="s">
        <v>598</v>
      </c>
      <c r="E65" s="189">
        <v>2100000</v>
      </c>
      <c r="F65" s="188" t="s">
        <v>621</v>
      </c>
      <c r="G65" s="191" t="s">
        <v>523</v>
      </c>
      <c r="H65" s="191" t="s">
        <v>523</v>
      </c>
      <c r="I65" s="191"/>
      <c r="J65" s="191">
        <v>1</v>
      </c>
      <c r="K65" s="191" t="s">
        <v>124</v>
      </c>
      <c r="L65" s="191" t="s">
        <v>529</v>
      </c>
    </row>
    <row r="66" spans="1:12" s="169" customFormat="1" ht="15.75" hidden="1" customHeight="1">
      <c r="A66" s="222" t="s">
        <v>536</v>
      </c>
      <c r="B66" s="183" t="s">
        <v>519</v>
      </c>
      <c r="C66" s="183" t="s">
        <v>622</v>
      </c>
      <c r="D66" s="183" t="s">
        <v>623</v>
      </c>
      <c r="E66" s="184">
        <v>4500000</v>
      </c>
      <c r="F66" s="185" t="s">
        <v>527</v>
      </c>
      <c r="G66" s="186" t="s">
        <v>528</v>
      </c>
      <c r="H66" s="186" t="s">
        <v>523</v>
      </c>
      <c r="I66" s="186"/>
      <c r="J66" s="186">
        <v>1</v>
      </c>
      <c r="K66" s="186" t="s">
        <v>41</v>
      </c>
      <c r="L66" s="186" t="s">
        <v>524</v>
      </c>
    </row>
    <row r="67" spans="1:12" s="169" customFormat="1" ht="15.75" hidden="1" customHeight="1">
      <c r="A67" s="222" t="s">
        <v>536</v>
      </c>
      <c r="B67" s="183" t="s">
        <v>519</v>
      </c>
      <c r="C67" s="183" t="s">
        <v>624</v>
      </c>
      <c r="D67" s="183" t="s">
        <v>625</v>
      </c>
      <c r="E67" s="184">
        <v>1800000</v>
      </c>
      <c r="F67" s="183" t="s">
        <v>626</v>
      </c>
      <c r="G67" s="186" t="s">
        <v>523</v>
      </c>
      <c r="H67" s="186" t="s">
        <v>523</v>
      </c>
      <c r="I67" s="186"/>
      <c r="J67" s="186">
        <v>1</v>
      </c>
      <c r="K67" s="186" t="s">
        <v>124</v>
      </c>
      <c r="L67" s="186" t="s">
        <v>529</v>
      </c>
    </row>
    <row r="68" spans="1:12" s="169" customFormat="1" ht="15.75" hidden="1" customHeight="1">
      <c r="A68" s="196"/>
      <c r="B68" s="183"/>
      <c r="C68" s="183"/>
      <c r="D68" s="183"/>
      <c r="E68" s="184"/>
      <c r="F68" s="183"/>
      <c r="G68" s="186"/>
      <c r="H68" s="186"/>
      <c r="I68" s="186"/>
      <c r="J68" s="186"/>
      <c r="K68" s="186"/>
      <c r="L68" s="186"/>
    </row>
    <row r="69" spans="1:12" s="169" customFormat="1" ht="15.75" hidden="1" customHeight="1">
      <c r="A69" s="979" t="s">
        <v>26</v>
      </c>
      <c r="B69" s="1048"/>
      <c r="C69" s="1048"/>
      <c r="D69" s="1048"/>
      <c r="E69" s="1048"/>
      <c r="F69" s="1048"/>
      <c r="G69" s="1048"/>
      <c r="H69" s="1048"/>
      <c r="I69" s="197"/>
      <c r="J69" s="198">
        <f>SUM(J65:J68)</f>
        <v>3</v>
      </c>
      <c r="K69" s="199"/>
      <c r="L69" s="177"/>
    </row>
    <row r="70" spans="1:12" s="169" customFormat="1" ht="15.75" hidden="1" customHeight="1">
      <c r="A70" s="168"/>
      <c r="B70" s="168"/>
      <c r="C70" s="168"/>
      <c r="D70" s="168"/>
      <c r="E70" s="168"/>
      <c r="F70" s="168"/>
      <c r="L70" s="168"/>
    </row>
    <row r="71" spans="1:12" s="169" customFormat="1" ht="15.75" hidden="1" customHeight="1">
      <c r="A71" s="978" t="s">
        <v>37</v>
      </c>
      <c r="B71" s="978"/>
      <c r="C71" s="978"/>
      <c r="D71" s="978"/>
      <c r="E71" s="978"/>
      <c r="F71" s="978"/>
      <c r="G71" s="978"/>
      <c r="H71" s="978"/>
      <c r="I71" s="978"/>
      <c r="J71" s="978"/>
      <c r="K71" s="978"/>
      <c r="L71" s="978"/>
    </row>
    <row r="72" spans="1:12" s="169" customFormat="1" ht="15.75" hidden="1" customHeight="1">
      <c r="A72" s="200" t="s">
        <v>507</v>
      </c>
      <c r="B72" s="201" t="s">
        <v>508</v>
      </c>
      <c r="C72" s="201" t="s">
        <v>509</v>
      </c>
      <c r="D72" s="201" t="s">
        <v>510</v>
      </c>
      <c r="E72" s="202" t="s">
        <v>511</v>
      </c>
      <c r="F72" s="201" t="s">
        <v>512</v>
      </c>
      <c r="G72" s="203" t="s">
        <v>513</v>
      </c>
      <c r="H72" s="203" t="s">
        <v>514</v>
      </c>
      <c r="I72" s="203"/>
      <c r="J72" s="203" t="s">
        <v>515</v>
      </c>
      <c r="K72" s="203" t="s">
        <v>516</v>
      </c>
      <c r="L72" s="201" t="s">
        <v>517</v>
      </c>
    </row>
    <row r="73" spans="1:12" s="169" customFormat="1" ht="15.75" hidden="1" customHeight="1">
      <c r="A73" s="180" t="s">
        <v>518</v>
      </c>
      <c r="B73" s="177" t="s">
        <v>519</v>
      </c>
      <c r="C73" s="177" t="s">
        <v>627</v>
      </c>
      <c r="D73" s="177" t="s">
        <v>526</v>
      </c>
      <c r="E73" s="178">
        <v>550000000</v>
      </c>
      <c r="F73" s="177" t="s">
        <v>628</v>
      </c>
      <c r="G73" s="179" t="s">
        <v>528</v>
      </c>
      <c r="H73" s="179" t="s">
        <v>523</v>
      </c>
      <c r="I73" s="179"/>
      <c r="J73" s="179">
        <v>1</v>
      </c>
      <c r="K73" s="179"/>
      <c r="L73" s="177" t="s">
        <v>529</v>
      </c>
    </row>
    <row r="74" spans="1:12" s="169" customFormat="1" ht="15.75" hidden="1" customHeight="1">
      <c r="A74" s="180" t="s">
        <v>518</v>
      </c>
      <c r="B74" s="223" t="s">
        <v>519</v>
      </c>
      <c r="C74" s="224" t="s">
        <v>629</v>
      </c>
      <c r="D74" s="224" t="s">
        <v>174</v>
      </c>
      <c r="E74" s="225">
        <v>550000000</v>
      </c>
      <c r="F74" s="224" t="s">
        <v>527</v>
      </c>
      <c r="G74" s="226" t="s">
        <v>528</v>
      </c>
      <c r="H74" s="226" t="s">
        <v>523</v>
      </c>
      <c r="I74" s="226"/>
      <c r="J74" s="226">
        <v>1</v>
      </c>
      <c r="K74" s="226"/>
      <c r="L74" s="224" t="s">
        <v>524</v>
      </c>
    </row>
    <row r="75" spans="1:12" s="169" customFormat="1" ht="15.75" hidden="1" customHeight="1">
      <c r="A75" s="180" t="s">
        <v>518</v>
      </c>
      <c r="B75" s="223" t="s">
        <v>519</v>
      </c>
      <c r="C75" s="224" t="s">
        <v>630</v>
      </c>
      <c r="D75" s="224" t="s">
        <v>521</v>
      </c>
      <c r="E75" s="225">
        <v>595000000</v>
      </c>
      <c r="F75" s="224" t="s">
        <v>631</v>
      </c>
      <c r="G75" s="226" t="s">
        <v>528</v>
      </c>
      <c r="H75" s="226" t="s">
        <v>523</v>
      </c>
      <c r="I75" s="226"/>
      <c r="J75" s="226">
        <v>1</v>
      </c>
      <c r="K75" s="226"/>
      <c r="L75" s="224" t="s">
        <v>529</v>
      </c>
    </row>
    <row r="76" spans="1:12" s="169" customFormat="1" ht="15.75" hidden="1" customHeight="1">
      <c r="A76" s="181" t="s">
        <v>536</v>
      </c>
      <c r="B76" s="182" t="s">
        <v>519</v>
      </c>
      <c r="C76" s="183" t="s">
        <v>632</v>
      </c>
      <c r="D76" s="183" t="s">
        <v>174</v>
      </c>
      <c r="E76" s="184">
        <v>5000000</v>
      </c>
      <c r="F76" s="183" t="s">
        <v>47</v>
      </c>
      <c r="G76" s="186" t="s">
        <v>528</v>
      </c>
      <c r="H76" s="186" t="s">
        <v>523</v>
      </c>
      <c r="I76" s="186"/>
      <c r="J76" s="186">
        <v>1</v>
      </c>
      <c r="K76" s="186" t="s">
        <v>41</v>
      </c>
      <c r="L76" s="186" t="s">
        <v>529</v>
      </c>
    </row>
    <row r="77" spans="1:12" s="169" customFormat="1" ht="15.75" hidden="1" customHeight="1">
      <c r="A77" s="181" t="s">
        <v>536</v>
      </c>
      <c r="B77" s="182" t="s">
        <v>519</v>
      </c>
      <c r="C77" s="183" t="s">
        <v>633</v>
      </c>
      <c r="D77" s="183" t="s">
        <v>634</v>
      </c>
      <c r="E77" s="184">
        <v>3600000</v>
      </c>
      <c r="F77" s="183" t="s">
        <v>41</v>
      </c>
      <c r="G77" s="186" t="s">
        <v>523</v>
      </c>
      <c r="H77" s="186" t="s">
        <v>523</v>
      </c>
      <c r="I77" s="186"/>
      <c r="J77" s="186">
        <v>1</v>
      </c>
      <c r="K77" s="186" t="s">
        <v>41</v>
      </c>
      <c r="L77" s="186" t="s">
        <v>529</v>
      </c>
    </row>
    <row r="78" spans="1:12" s="169" customFormat="1" ht="15.75" hidden="1" customHeight="1">
      <c r="A78" s="181" t="s">
        <v>536</v>
      </c>
      <c r="B78" s="182" t="s">
        <v>519</v>
      </c>
      <c r="C78" s="183" t="s">
        <v>627</v>
      </c>
      <c r="D78" s="183" t="s">
        <v>526</v>
      </c>
      <c r="E78" s="184">
        <v>3000000</v>
      </c>
      <c r="F78" s="183" t="s">
        <v>628</v>
      </c>
      <c r="G78" s="186" t="s">
        <v>528</v>
      </c>
      <c r="H78" s="186" t="s">
        <v>523</v>
      </c>
      <c r="I78" s="186"/>
      <c r="J78" s="186">
        <v>1</v>
      </c>
      <c r="K78" s="186" t="s">
        <v>124</v>
      </c>
      <c r="L78" s="186" t="s">
        <v>529</v>
      </c>
    </row>
    <row r="79" spans="1:12" s="169" customFormat="1" ht="15.75" hidden="1" customHeight="1">
      <c r="A79" s="181" t="s">
        <v>536</v>
      </c>
      <c r="B79" s="182" t="s">
        <v>519</v>
      </c>
      <c r="C79" s="183" t="s">
        <v>635</v>
      </c>
      <c r="D79" s="183" t="s">
        <v>526</v>
      </c>
      <c r="E79" s="184">
        <v>1950000</v>
      </c>
      <c r="F79" s="183" t="s">
        <v>636</v>
      </c>
      <c r="G79" s="186" t="s">
        <v>523</v>
      </c>
      <c r="H79" s="186" t="s">
        <v>523</v>
      </c>
      <c r="I79" s="186"/>
      <c r="J79" s="186">
        <v>1</v>
      </c>
      <c r="K79" s="186" t="s">
        <v>41</v>
      </c>
      <c r="L79" s="186" t="s">
        <v>529</v>
      </c>
    </row>
    <row r="80" spans="1:12" s="169" customFormat="1" ht="15.75" hidden="1" customHeight="1">
      <c r="A80" s="181" t="s">
        <v>536</v>
      </c>
      <c r="B80" s="182" t="s">
        <v>519</v>
      </c>
      <c r="C80" s="183" t="s">
        <v>630</v>
      </c>
      <c r="D80" s="183" t="s">
        <v>521</v>
      </c>
      <c r="E80" s="184">
        <v>2800000</v>
      </c>
      <c r="F80" s="183" t="s">
        <v>292</v>
      </c>
      <c r="G80" s="186" t="s">
        <v>528</v>
      </c>
      <c r="H80" s="186" t="s">
        <v>523</v>
      </c>
      <c r="I80" s="186"/>
      <c r="J80" s="186">
        <v>1</v>
      </c>
      <c r="K80" s="186" t="s">
        <v>124</v>
      </c>
      <c r="L80" s="186" t="s">
        <v>529</v>
      </c>
    </row>
    <row r="81" spans="1:12" s="169" customFormat="1" ht="15.75" hidden="1" customHeight="1">
      <c r="A81" s="181" t="s">
        <v>536</v>
      </c>
      <c r="B81" s="182" t="s">
        <v>548</v>
      </c>
      <c r="C81" s="183" t="s">
        <v>637</v>
      </c>
      <c r="D81" s="183" t="s">
        <v>174</v>
      </c>
      <c r="E81" s="184">
        <v>3300000</v>
      </c>
      <c r="F81" s="185" t="s">
        <v>527</v>
      </c>
      <c r="G81" s="186" t="s">
        <v>528</v>
      </c>
      <c r="H81" s="186" t="s">
        <v>523</v>
      </c>
      <c r="I81" s="186"/>
      <c r="J81" s="186">
        <v>1</v>
      </c>
      <c r="K81" s="186" t="s">
        <v>124</v>
      </c>
      <c r="L81" s="186" t="s">
        <v>524</v>
      </c>
    </row>
    <row r="82" spans="1:12" s="169" customFormat="1" ht="15.75" hidden="1" customHeight="1">
      <c r="A82" s="181" t="s">
        <v>536</v>
      </c>
      <c r="B82" s="182" t="s">
        <v>519</v>
      </c>
      <c r="C82" s="183" t="s">
        <v>638</v>
      </c>
      <c r="D82" s="183" t="s">
        <v>639</v>
      </c>
      <c r="E82" s="184">
        <v>2650000</v>
      </c>
      <c r="F82" s="183" t="s">
        <v>640</v>
      </c>
      <c r="G82" s="186" t="s">
        <v>523</v>
      </c>
      <c r="H82" s="186" t="s">
        <v>523</v>
      </c>
      <c r="I82" s="186"/>
      <c r="J82" s="186">
        <v>1</v>
      </c>
      <c r="K82" s="186" t="s">
        <v>562</v>
      </c>
      <c r="L82" s="186" t="s">
        <v>529</v>
      </c>
    </row>
    <row r="83" spans="1:12" s="169" customFormat="1" ht="15.75" hidden="1" customHeight="1">
      <c r="A83" s="181" t="s">
        <v>536</v>
      </c>
      <c r="B83" s="182" t="s">
        <v>519</v>
      </c>
      <c r="C83" s="183" t="s">
        <v>641</v>
      </c>
      <c r="D83" s="183" t="s">
        <v>593</v>
      </c>
      <c r="E83" s="184">
        <v>2300000</v>
      </c>
      <c r="F83" s="183" t="s">
        <v>593</v>
      </c>
      <c r="G83" s="186" t="s">
        <v>528</v>
      </c>
      <c r="H83" s="186" t="s">
        <v>523</v>
      </c>
      <c r="I83" s="186"/>
      <c r="J83" s="186">
        <v>1</v>
      </c>
      <c r="K83" s="186" t="s">
        <v>41</v>
      </c>
      <c r="L83" s="186" t="s">
        <v>529</v>
      </c>
    </row>
    <row r="84" spans="1:12" s="169" customFormat="1" ht="15.75" hidden="1" customHeight="1">
      <c r="A84" s="181" t="s">
        <v>536</v>
      </c>
      <c r="B84" s="183" t="s">
        <v>519</v>
      </c>
      <c r="C84" s="183" t="s">
        <v>642</v>
      </c>
      <c r="D84" s="183" t="s">
        <v>643</v>
      </c>
      <c r="E84" s="184">
        <v>2900000</v>
      </c>
      <c r="F84" s="185" t="s">
        <v>527</v>
      </c>
      <c r="G84" s="186" t="s">
        <v>528</v>
      </c>
      <c r="H84" s="186" t="s">
        <v>523</v>
      </c>
      <c r="I84" s="186"/>
      <c r="J84" s="186">
        <v>1</v>
      </c>
      <c r="K84" s="186" t="s">
        <v>124</v>
      </c>
      <c r="L84" s="186" t="s">
        <v>529</v>
      </c>
    </row>
    <row r="85" spans="1:12" s="169" customFormat="1" ht="15.75" hidden="1" customHeight="1">
      <c r="A85" s="181" t="s">
        <v>536</v>
      </c>
      <c r="B85" s="183" t="s">
        <v>519</v>
      </c>
      <c r="C85" s="183" t="s">
        <v>644</v>
      </c>
      <c r="D85" s="183" t="s">
        <v>174</v>
      </c>
      <c r="E85" s="184">
        <v>4200000</v>
      </c>
      <c r="F85" s="183" t="s">
        <v>645</v>
      </c>
      <c r="G85" s="186" t="s">
        <v>528</v>
      </c>
      <c r="H85" s="186" t="s">
        <v>523</v>
      </c>
      <c r="I85" s="186"/>
      <c r="J85" s="186">
        <v>1</v>
      </c>
      <c r="K85" s="227" t="s">
        <v>124</v>
      </c>
      <c r="L85" s="186" t="s">
        <v>529</v>
      </c>
    </row>
    <row r="86" spans="1:12" s="169" customFormat="1" ht="15.75" hidden="1" customHeight="1">
      <c r="A86" s="181" t="s">
        <v>536</v>
      </c>
      <c r="B86" s="183" t="s">
        <v>519</v>
      </c>
      <c r="C86" s="183" t="s">
        <v>646</v>
      </c>
      <c r="D86" s="183" t="s">
        <v>647</v>
      </c>
      <c r="E86" s="184">
        <v>11000000</v>
      </c>
      <c r="F86" s="183" t="s">
        <v>648</v>
      </c>
      <c r="G86" s="186" t="s">
        <v>528</v>
      </c>
      <c r="H86" s="186" t="s">
        <v>523</v>
      </c>
      <c r="I86" s="186"/>
      <c r="J86" s="186">
        <v>1</v>
      </c>
      <c r="K86" s="227" t="s">
        <v>41</v>
      </c>
      <c r="L86" s="186" t="s">
        <v>529</v>
      </c>
    </row>
    <row r="87" spans="1:12" s="169" customFormat="1" ht="15.75" hidden="1" customHeight="1">
      <c r="A87" s="181" t="s">
        <v>536</v>
      </c>
      <c r="B87" s="183" t="s">
        <v>519</v>
      </c>
      <c r="C87" s="183" t="s">
        <v>649</v>
      </c>
      <c r="D87" s="183" t="s">
        <v>174</v>
      </c>
      <c r="E87" s="184">
        <v>4300000</v>
      </c>
      <c r="F87" s="183" t="s">
        <v>605</v>
      </c>
      <c r="G87" s="186" t="s">
        <v>523</v>
      </c>
      <c r="H87" s="186" t="s">
        <v>523</v>
      </c>
      <c r="I87" s="186"/>
      <c r="J87" s="186">
        <v>1</v>
      </c>
      <c r="K87" s="227" t="s">
        <v>41</v>
      </c>
      <c r="L87" s="186" t="s">
        <v>529</v>
      </c>
    </row>
    <row r="88" spans="1:12" s="169" customFormat="1" ht="15.75" hidden="1" customHeight="1">
      <c r="A88" s="196"/>
      <c r="B88" s="183"/>
      <c r="C88" s="183"/>
      <c r="D88" s="183"/>
      <c r="E88" s="184"/>
      <c r="F88" s="183"/>
      <c r="G88" s="186"/>
      <c r="H88" s="186"/>
      <c r="I88" s="186"/>
      <c r="J88" s="186"/>
      <c r="K88" s="227"/>
      <c r="L88" s="186"/>
    </row>
    <row r="89" spans="1:12" s="169" customFormat="1" ht="15.75" hidden="1" customHeight="1">
      <c r="A89" s="979" t="s">
        <v>26</v>
      </c>
      <c r="B89" s="1048"/>
      <c r="C89" s="1048"/>
      <c r="D89" s="1048"/>
      <c r="E89" s="1048"/>
      <c r="F89" s="1048"/>
      <c r="G89" s="1048"/>
      <c r="H89" s="1048"/>
      <c r="I89" s="197"/>
      <c r="J89" s="198">
        <f>SUM(J76:J87)</f>
        <v>12</v>
      </c>
      <c r="K89" s="199"/>
      <c r="L89" s="177"/>
    </row>
    <row r="90" spans="1:12" s="169" customFormat="1" ht="15.75" hidden="1" customHeight="1">
      <c r="A90" s="168"/>
      <c r="B90" s="168"/>
      <c r="C90" s="168"/>
      <c r="D90" s="168"/>
      <c r="E90" s="168"/>
      <c r="F90" s="168"/>
      <c r="L90" s="168"/>
    </row>
    <row r="91" spans="1:12" s="169" customFormat="1" ht="15.75" hidden="1" customHeight="1">
      <c r="A91" s="168"/>
      <c r="B91" s="168"/>
      <c r="C91" s="168"/>
      <c r="D91" s="168"/>
      <c r="E91" s="168"/>
      <c r="F91" s="168"/>
      <c r="L91" s="168"/>
    </row>
    <row r="92" spans="1:12" s="169" customFormat="1" ht="15.75" hidden="1" customHeight="1">
      <c r="A92" s="991" t="s">
        <v>650</v>
      </c>
      <c r="B92" s="991"/>
      <c r="C92" s="991"/>
      <c r="D92" s="991"/>
      <c r="E92" s="991"/>
      <c r="F92" s="991"/>
      <c r="G92" s="991"/>
      <c r="H92" s="991"/>
      <c r="I92" s="991"/>
      <c r="J92" s="991"/>
      <c r="K92" s="991"/>
      <c r="L92" s="991"/>
    </row>
    <row r="93" spans="1:12" s="169" customFormat="1" ht="15.75" hidden="1" customHeight="1">
      <c r="A93" s="170" t="s">
        <v>507</v>
      </c>
      <c r="B93" s="215" t="s">
        <v>508</v>
      </c>
      <c r="C93" s="215" t="s">
        <v>509</v>
      </c>
      <c r="D93" s="215" t="s">
        <v>510</v>
      </c>
      <c r="E93" s="216" t="s">
        <v>511</v>
      </c>
      <c r="F93" s="215" t="s">
        <v>512</v>
      </c>
      <c r="G93" s="217" t="s">
        <v>513</v>
      </c>
      <c r="H93" s="217" t="s">
        <v>514</v>
      </c>
      <c r="I93" s="217"/>
      <c r="J93" s="217" t="s">
        <v>515</v>
      </c>
      <c r="K93" s="217" t="s">
        <v>516</v>
      </c>
      <c r="L93" s="215" t="s">
        <v>517</v>
      </c>
    </row>
    <row r="94" spans="1:12" s="169" customFormat="1" ht="15.75" hidden="1" customHeight="1">
      <c r="A94" s="228"/>
      <c r="B94" s="229" t="s">
        <v>519</v>
      </c>
      <c r="C94" s="229" t="s">
        <v>651</v>
      </c>
      <c r="D94" s="230" t="s">
        <v>526</v>
      </c>
      <c r="E94" s="231">
        <v>2800000</v>
      </c>
      <c r="F94" s="232" t="s">
        <v>628</v>
      </c>
      <c r="G94" s="233" t="s">
        <v>523</v>
      </c>
      <c r="H94" s="233" t="s">
        <v>523</v>
      </c>
      <c r="I94" s="233"/>
      <c r="J94" s="233">
        <v>1</v>
      </c>
      <c r="K94" s="234" t="s">
        <v>41</v>
      </c>
      <c r="L94" s="229" t="s">
        <v>524</v>
      </c>
    </row>
    <row r="95" spans="1:12" s="169" customFormat="1" ht="15.75" hidden="1" customHeight="1">
      <c r="A95" s="222"/>
      <c r="B95" s="188" t="s">
        <v>519</v>
      </c>
      <c r="C95" s="188" t="s">
        <v>652</v>
      </c>
      <c r="D95" s="235" t="s">
        <v>593</v>
      </c>
      <c r="E95" s="231">
        <v>3000000</v>
      </c>
      <c r="F95" s="236" t="s">
        <v>586</v>
      </c>
      <c r="G95" s="191" t="s">
        <v>528</v>
      </c>
      <c r="H95" s="191" t="s">
        <v>523</v>
      </c>
      <c r="I95" s="191"/>
      <c r="J95" s="191">
        <v>1</v>
      </c>
      <c r="K95" s="191" t="s">
        <v>381</v>
      </c>
      <c r="L95" s="191" t="s">
        <v>524</v>
      </c>
    </row>
    <row r="96" spans="1:12" s="169" customFormat="1" ht="15.75" hidden="1" customHeight="1">
      <c r="A96" s="222"/>
      <c r="B96" s="183" t="s">
        <v>519</v>
      </c>
      <c r="C96" s="183" t="s">
        <v>653</v>
      </c>
      <c r="D96" s="237" t="s">
        <v>521</v>
      </c>
      <c r="E96" s="238">
        <v>2100000</v>
      </c>
      <c r="F96" s="182" t="s">
        <v>654</v>
      </c>
      <c r="G96" s="186" t="s">
        <v>523</v>
      </c>
      <c r="H96" s="186" t="s">
        <v>523</v>
      </c>
      <c r="I96" s="186"/>
      <c r="J96" s="186">
        <v>1</v>
      </c>
      <c r="K96" s="186" t="s">
        <v>124</v>
      </c>
      <c r="L96" s="186" t="s">
        <v>529</v>
      </c>
    </row>
    <row r="97" spans="1:12" s="169" customFormat="1" ht="15.75" hidden="1" customHeight="1">
      <c r="A97" s="222"/>
      <c r="B97" s="183"/>
      <c r="C97" s="183"/>
      <c r="D97" s="237"/>
      <c r="E97" s="238"/>
      <c r="F97" s="182"/>
      <c r="G97" s="186"/>
      <c r="H97" s="186"/>
      <c r="I97" s="186"/>
      <c r="J97" s="186"/>
      <c r="K97" s="186"/>
      <c r="L97" s="186"/>
    </row>
    <row r="98" spans="1:12" s="169" customFormat="1" ht="15.75" hidden="1" customHeight="1">
      <c r="A98" s="196"/>
      <c r="B98" s="183"/>
      <c r="C98" s="183"/>
      <c r="D98" s="183"/>
      <c r="E98" s="184"/>
      <c r="F98" s="183"/>
      <c r="G98" s="186"/>
      <c r="H98" s="186"/>
      <c r="I98" s="186"/>
      <c r="J98" s="186"/>
      <c r="K98" s="186"/>
      <c r="L98" s="186"/>
    </row>
    <row r="99" spans="1:12" s="169" customFormat="1" ht="15.75" hidden="1" customHeight="1">
      <c r="A99" s="979" t="s">
        <v>26</v>
      </c>
      <c r="B99" s="1048"/>
      <c r="C99" s="1048"/>
      <c r="D99" s="1048"/>
      <c r="E99" s="1048"/>
      <c r="F99" s="1048"/>
      <c r="G99" s="1048"/>
      <c r="H99" s="1048"/>
      <c r="I99" s="197"/>
      <c r="J99" s="198">
        <f>SUM(J94:J98)</f>
        <v>3</v>
      </c>
      <c r="K99" s="199"/>
      <c r="L99" s="177"/>
    </row>
    <row r="100" spans="1:12" s="169" customFormat="1" ht="15.75" customHeight="1">
      <c r="A100" s="168"/>
      <c r="B100" s="168"/>
      <c r="C100" s="168"/>
      <c r="D100" s="168"/>
      <c r="E100" s="168"/>
      <c r="F100" s="168"/>
      <c r="L100" s="168"/>
    </row>
    <row r="101" spans="1:12" s="169" customFormat="1" ht="31.5" customHeight="1">
      <c r="A101" s="168"/>
      <c r="B101" s="980" t="s">
        <v>655</v>
      </c>
      <c r="C101" s="981"/>
      <c r="D101" s="981"/>
      <c r="E101" s="981"/>
      <c r="F101" s="982"/>
      <c r="L101" s="168"/>
    </row>
    <row r="102" spans="1:12" s="169" customFormat="1" ht="15.75" hidden="1" customHeight="1">
      <c r="A102" s="168"/>
      <c r="B102" s="168"/>
      <c r="C102" s="168"/>
      <c r="D102" s="168"/>
      <c r="E102" s="168"/>
      <c r="F102" s="168"/>
      <c r="L102" s="168"/>
    </row>
    <row r="103" spans="1:12" s="169" customFormat="1" ht="15.75" hidden="1" customHeight="1">
      <c r="A103" s="989" t="s">
        <v>64</v>
      </c>
      <c r="B103" s="894"/>
      <c r="C103" s="894"/>
      <c r="D103" s="894"/>
      <c r="E103" s="894"/>
      <c r="F103" s="894"/>
      <c r="G103" s="894"/>
      <c r="H103" s="894"/>
      <c r="I103" s="894"/>
      <c r="J103" s="894"/>
      <c r="K103" s="894"/>
      <c r="L103" s="990"/>
    </row>
    <row r="104" spans="1:12" s="169" customFormat="1" ht="15.75" hidden="1" customHeight="1">
      <c r="A104" s="170" t="s">
        <v>507</v>
      </c>
      <c r="B104" s="171" t="s">
        <v>508</v>
      </c>
      <c r="C104" s="171" t="s">
        <v>509</v>
      </c>
      <c r="D104" s="171" t="s">
        <v>510</v>
      </c>
      <c r="E104" s="172" t="s">
        <v>511</v>
      </c>
      <c r="F104" s="171" t="s">
        <v>512</v>
      </c>
      <c r="G104" s="173" t="s">
        <v>513</v>
      </c>
      <c r="H104" s="173" t="s">
        <v>514</v>
      </c>
      <c r="I104" s="173"/>
      <c r="J104" s="173" t="s">
        <v>515</v>
      </c>
      <c r="K104" s="174" t="s">
        <v>516</v>
      </c>
      <c r="L104" s="175" t="s">
        <v>517</v>
      </c>
    </row>
    <row r="105" spans="1:12" s="169" customFormat="1" ht="15.75" hidden="1" customHeight="1">
      <c r="A105" s="176" t="s">
        <v>656</v>
      </c>
      <c r="B105" s="177" t="s">
        <v>519</v>
      </c>
      <c r="C105" s="177" t="s">
        <v>657</v>
      </c>
      <c r="D105" s="177" t="s">
        <v>658</v>
      </c>
      <c r="E105" s="178">
        <v>425000000</v>
      </c>
      <c r="F105" s="177" t="s">
        <v>659</v>
      </c>
      <c r="G105" s="179" t="s">
        <v>528</v>
      </c>
      <c r="H105" s="179" t="s">
        <v>523</v>
      </c>
      <c r="I105" s="179"/>
      <c r="J105" s="179">
        <v>1</v>
      </c>
      <c r="K105" s="179"/>
      <c r="L105" s="177" t="s">
        <v>524</v>
      </c>
    </row>
    <row r="106" spans="1:12" s="169" customFormat="1" ht="15.75" hidden="1" customHeight="1">
      <c r="A106" s="176" t="s">
        <v>656</v>
      </c>
      <c r="B106" s="177" t="s">
        <v>519</v>
      </c>
      <c r="C106" s="177" t="s">
        <v>660</v>
      </c>
      <c r="D106" s="177" t="s">
        <v>616</v>
      </c>
      <c r="E106" s="178">
        <v>520000000</v>
      </c>
      <c r="F106" s="177" t="s">
        <v>292</v>
      </c>
      <c r="G106" s="179" t="s">
        <v>528</v>
      </c>
      <c r="H106" s="179" t="s">
        <v>523</v>
      </c>
      <c r="I106" s="179"/>
      <c r="J106" s="179">
        <v>1</v>
      </c>
      <c r="K106" s="179"/>
      <c r="L106" s="177" t="s">
        <v>524</v>
      </c>
    </row>
    <row r="107" spans="1:12" s="169" customFormat="1" ht="15.75" hidden="1" customHeight="1">
      <c r="A107" s="176" t="s">
        <v>656</v>
      </c>
      <c r="B107" s="177" t="s">
        <v>519</v>
      </c>
      <c r="C107" s="177" t="s">
        <v>661</v>
      </c>
      <c r="D107" s="177" t="s">
        <v>590</v>
      </c>
      <c r="E107" s="178">
        <v>700000000</v>
      </c>
      <c r="F107" s="177" t="s">
        <v>527</v>
      </c>
      <c r="G107" s="179" t="s">
        <v>528</v>
      </c>
      <c r="H107" s="179" t="s">
        <v>523</v>
      </c>
      <c r="I107" s="179"/>
      <c r="J107" s="179">
        <v>1</v>
      </c>
      <c r="K107" s="179"/>
      <c r="L107" s="177" t="s">
        <v>524</v>
      </c>
    </row>
    <row r="108" spans="1:12" s="169" customFormat="1" ht="15.75" hidden="1" customHeight="1">
      <c r="A108" s="181" t="s">
        <v>662</v>
      </c>
      <c r="B108" s="182" t="s">
        <v>519</v>
      </c>
      <c r="C108" s="183" t="s">
        <v>663</v>
      </c>
      <c r="D108" s="183" t="s">
        <v>664</v>
      </c>
      <c r="E108" s="184">
        <v>2100000</v>
      </c>
      <c r="F108" s="183" t="s">
        <v>665</v>
      </c>
      <c r="G108" s="186" t="s">
        <v>523</v>
      </c>
      <c r="H108" s="186" t="s">
        <v>523</v>
      </c>
      <c r="I108" s="186"/>
      <c r="J108" s="186">
        <v>1</v>
      </c>
      <c r="K108" s="186" t="s">
        <v>41</v>
      </c>
      <c r="L108" s="183" t="s">
        <v>529</v>
      </c>
    </row>
    <row r="109" spans="1:12" s="169" customFormat="1" ht="15.75" hidden="1" customHeight="1">
      <c r="A109" s="181" t="s">
        <v>662</v>
      </c>
      <c r="B109" s="187" t="s">
        <v>519</v>
      </c>
      <c r="C109" s="188" t="s">
        <v>666</v>
      </c>
      <c r="D109" s="188" t="s">
        <v>521</v>
      </c>
      <c r="E109" s="189">
        <v>2800000</v>
      </c>
      <c r="F109" s="188" t="s">
        <v>667</v>
      </c>
      <c r="G109" s="191" t="s">
        <v>528</v>
      </c>
      <c r="H109" s="191" t="s">
        <v>523</v>
      </c>
      <c r="I109" s="191"/>
      <c r="J109" s="191">
        <v>1</v>
      </c>
      <c r="K109" s="191" t="s">
        <v>41</v>
      </c>
      <c r="L109" s="188" t="s">
        <v>524</v>
      </c>
    </row>
    <row r="110" spans="1:12" s="169" customFormat="1" ht="15.75" hidden="1" customHeight="1">
      <c r="A110" s="181" t="s">
        <v>662</v>
      </c>
      <c r="B110" s="187" t="s">
        <v>548</v>
      </c>
      <c r="C110" s="188" t="s">
        <v>668</v>
      </c>
      <c r="D110" s="188" t="s">
        <v>521</v>
      </c>
      <c r="E110" s="189">
        <v>4050000</v>
      </c>
      <c r="F110" s="190" t="s">
        <v>527</v>
      </c>
      <c r="G110" s="191" t="s">
        <v>528</v>
      </c>
      <c r="H110" s="191" t="s">
        <v>523</v>
      </c>
      <c r="I110" s="191"/>
      <c r="J110" s="191">
        <v>1</v>
      </c>
      <c r="K110" s="191" t="s">
        <v>124</v>
      </c>
      <c r="L110" s="188" t="s">
        <v>524</v>
      </c>
    </row>
    <row r="111" spans="1:12" s="169" customFormat="1" ht="15.75" hidden="1" customHeight="1">
      <c r="A111" s="181" t="s">
        <v>662</v>
      </c>
      <c r="B111" s="187" t="s">
        <v>519</v>
      </c>
      <c r="C111" s="188" t="s">
        <v>669</v>
      </c>
      <c r="D111" s="188" t="s">
        <v>670</v>
      </c>
      <c r="E111" s="189">
        <v>1400000</v>
      </c>
      <c r="F111" s="190" t="s">
        <v>527</v>
      </c>
      <c r="G111" s="191" t="s">
        <v>528</v>
      </c>
      <c r="H111" s="191" t="s">
        <v>523</v>
      </c>
      <c r="I111" s="191"/>
      <c r="J111" s="191">
        <v>1</v>
      </c>
      <c r="K111" s="191" t="s">
        <v>41</v>
      </c>
      <c r="L111" s="188" t="s">
        <v>529</v>
      </c>
    </row>
    <row r="112" spans="1:12" s="169" customFormat="1" ht="15.75" hidden="1" customHeight="1">
      <c r="A112" s="181" t="s">
        <v>662</v>
      </c>
      <c r="B112" s="187" t="s">
        <v>519</v>
      </c>
      <c r="C112" s="188" t="s">
        <v>671</v>
      </c>
      <c r="D112" s="188" t="s">
        <v>526</v>
      </c>
      <c r="E112" s="189">
        <v>1650000</v>
      </c>
      <c r="F112" s="188" t="s">
        <v>672</v>
      </c>
      <c r="G112" s="191" t="s">
        <v>523</v>
      </c>
      <c r="H112" s="191" t="s">
        <v>523</v>
      </c>
      <c r="I112" s="191"/>
      <c r="J112" s="191">
        <v>1</v>
      </c>
      <c r="K112" s="191" t="s">
        <v>124</v>
      </c>
      <c r="L112" s="188" t="s">
        <v>529</v>
      </c>
    </row>
    <row r="113" spans="1:12" s="169" customFormat="1" ht="15.75" hidden="1" customHeight="1">
      <c r="A113" s="181" t="s">
        <v>662</v>
      </c>
      <c r="B113" s="187" t="s">
        <v>556</v>
      </c>
      <c r="C113" s="192" t="s">
        <v>673</v>
      </c>
      <c r="D113" s="188" t="s">
        <v>664</v>
      </c>
      <c r="E113" s="189">
        <v>1900000</v>
      </c>
      <c r="F113" s="190" t="s">
        <v>527</v>
      </c>
      <c r="G113" s="191" t="s">
        <v>528</v>
      </c>
      <c r="H113" s="191" t="s">
        <v>523</v>
      </c>
      <c r="I113" s="191"/>
      <c r="J113" s="191">
        <v>1</v>
      </c>
      <c r="K113" s="191" t="s">
        <v>124</v>
      </c>
      <c r="L113" s="188" t="s">
        <v>524</v>
      </c>
    </row>
    <row r="114" spans="1:12" s="169" customFormat="1" ht="15.75" hidden="1" customHeight="1">
      <c r="A114" s="181" t="s">
        <v>662</v>
      </c>
      <c r="B114" s="187" t="s">
        <v>519</v>
      </c>
      <c r="C114" s="192" t="s">
        <v>674</v>
      </c>
      <c r="D114" s="192" t="s">
        <v>675</v>
      </c>
      <c r="E114" s="193">
        <v>4400000</v>
      </c>
      <c r="F114" s="188" t="s">
        <v>527</v>
      </c>
      <c r="G114" s="194" t="s">
        <v>523</v>
      </c>
      <c r="H114" s="194" t="s">
        <v>523</v>
      </c>
      <c r="I114" s="194"/>
      <c r="J114" s="194">
        <v>1</v>
      </c>
      <c r="K114" s="194" t="s">
        <v>124</v>
      </c>
      <c r="L114" s="192" t="s">
        <v>529</v>
      </c>
    </row>
    <row r="115" spans="1:12" s="169" customFormat="1" ht="15.75" hidden="1" customHeight="1">
      <c r="A115" s="181" t="s">
        <v>662</v>
      </c>
      <c r="B115" s="187" t="s">
        <v>528</v>
      </c>
      <c r="C115" s="192" t="s">
        <v>676</v>
      </c>
      <c r="D115" s="192" t="s">
        <v>174</v>
      </c>
      <c r="E115" s="195">
        <v>750000</v>
      </c>
      <c r="F115" s="190" t="s">
        <v>527</v>
      </c>
      <c r="G115" s="194" t="s">
        <v>528</v>
      </c>
      <c r="H115" s="194" t="s">
        <v>523</v>
      </c>
      <c r="I115" s="194"/>
      <c r="J115" s="194">
        <v>1</v>
      </c>
      <c r="K115" s="194" t="s">
        <v>41</v>
      </c>
      <c r="L115" s="192" t="s">
        <v>123</v>
      </c>
    </row>
    <row r="116" spans="1:12" s="169" customFormat="1" ht="15.75" hidden="1" customHeight="1">
      <c r="A116" s="181" t="s">
        <v>662</v>
      </c>
      <c r="B116" s="187" t="s">
        <v>548</v>
      </c>
      <c r="C116" s="192" t="s">
        <v>677</v>
      </c>
      <c r="D116" s="192" t="s">
        <v>678</v>
      </c>
      <c r="E116" s="195">
        <v>9000000</v>
      </c>
      <c r="F116" s="190" t="s">
        <v>527</v>
      </c>
      <c r="G116" s="194" t="s">
        <v>528</v>
      </c>
      <c r="H116" s="194" t="s">
        <v>523</v>
      </c>
      <c r="I116" s="194"/>
      <c r="J116" s="194">
        <v>1</v>
      </c>
      <c r="K116" s="194" t="s">
        <v>124</v>
      </c>
      <c r="L116" s="192" t="s">
        <v>524</v>
      </c>
    </row>
    <row r="117" spans="1:12" s="169" customFormat="1" ht="15.75" hidden="1" customHeight="1">
      <c r="A117" s="181" t="s">
        <v>662</v>
      </c>
      <c r="B117" s="187" t="s">
        <v>519</v>
      </c>
      <c r="C117" s="192" t="s">
        <v>679</v>
      </c>
      <c r="D117" s="188" t="s">
        <v>526</v>
      </c>
      <c r="E117" s="184">
        <v>3300000</v>
      </c>
      <c r="F117" s="188" t="s">
        <v>680</v>
      </c>
      <c r="G117" s="191" t="s">
        <v>523</v>
      </c>
      <c r="H117" s="191" t="s">
        <v>523</v>
      </c>
      <c r="I117" s="191"/>
      <c r="J117" s="191">
        <v>1</v>
      </c>
      <c r="K117" s="191" t="s">
        <v>124</v>
      </c>
      <c r="L117" s="188" t="s">
        <v>529</v>
      </c>
    </row>
    <row r="118" spans="1:12" s="169" customFormat="1" ht="15.75" hidden="1" customHeight="1">
      <c r="A118" s="181" t="s">
        <v>662</v>
      </c>
      <c r="B118" s="187" t="s">
        <v>548</v>
      </c>
      <c r="C118" s="192" t="s">
        <v>681</v>
      </c>
      <c r="D118" s="188" t="s">
        <v>521</v>
      </c>
      <c r="E118" s="184">
        <v>8500000</v>
      </c>
      <c r="F118" s="190" t="s">
        <v>527</v>
      </c>
      <c r="G118" s="191" t="s">
        <v>528</v>
      </c>
      <c r="H118" s="191" t="s">
        <v>523</v>
      </c>
      <c r="I118" s="191"/>
      <c r="J118" s="191">
        <v>1</v>
      </c>
      <c r="K118" s="191" t="s">
        <v>124</v>
      </c>
      <c r="L118" s="188" t="s">
        <v>524</v>
      </c>
    </row>
    <row r="119" spans="1:12" s="169" customFormat="1" ht="15.75" hidden="1" customHeight="1">
      <c r="A119" s="181" t="s">
        <v>662</v>
      </c>
      <c r="B119" s="187" t="s">
        <v>519</v>
      </c>
      <c r="C119" s="192" t="s">
        <v>682</v>
      </c>
      <c r="D119" s="188" t="s">
        <v>683</v>
      </c>
      <c r="E119" s="189">
        <v>2800000</v>
      </c>
      <c r="F119" s="188" t="s">
        <v>561</v>
      </c>
      <c r="G119" s="191" t="s">
        <v>528</v>
      </c>
      <c r="H119" s="191" t="s">
        <v>523</v>
      </c>
      <c r="I119" s="191"/>
      <c r="J119" s="191">
        <v>1</v>
      </c>
      <c r="K119" s="191" t="s">
        <v>41</v>
      </c>
      <c r="L119" s="188" t="s">
        <v>524</v>
      </c>
    </row>
    <row r="120" spans="1:12" s="169" customFormat="1" ht="15.75" hidden="1" customHeight="1">
      <c r="A120" s="181" t="s">
        <v>662</v>
      </c>
      <c r="B120" s="187" t="s">
        <v>548</v>
      </c>
      <c r="C120" s="192" t="s">
        <v>684</v>
      </c>
      <c r="D120" s="188" t="s">
        <v>521</v>
      </c>
      <c r="E120" s="189">
        <v>2064000</v>
      </c>
      <c r="F120" s="188" t="s">
        <v>685</v>
      </c>
      <c r="G120" s="191" t="s">
        <v>528</v>
      </c>
      <c r="H120" s="191" t="s">
        <v>523</v>
      </c>
      <c r="I120" s="191"/>
      <c r="J120" s="191">
        <v>1</v>
      </c>
      <c r="K120" s="191" t="s">
        <v>124</v>
      </c>
      <c r="L120" s="188" t="s">
        <v>524</v>
      </c>
    </row>
    <row r="121" spans="1:12" s="169" customFormat="1" ht="15.75" hidden="1" customHeight="1">
      <c r="A121" s="181" t="s">
        <v>662</v>
      </c>
      <c r="B121" s="187" t="s">
        <v>519</v>
      </c>
      <c r="C121" s="192" t="s">
        <v>686</v>
      </c>
      <c r="D121" s="188" t="s">
        <v>552</v>
      </c>
      <c r="E121" s="189">
        <v>3800000</v>
      </c>
      <c r="F121" s="188" t="s">
        <v>553</v>
      </c>
      <c r="G121" s="191" t="s">
        <v>523</v>
      </c>
      <c r="H121" s="191" t="s">
        <v>523</v>
      </c>
      <c r="I121" s="191"/>
      <c r="J121" s="191">
        <v>1</v>
      </c>
      <c r="K121" s="191" t="s">
        <v>124</v>
      </c>
      <c r="L121" s="188" t="s">
        <v>529</v>
      </c>
    </row>
    <row r="122" spans="1:12" s="169" customFormat="1" ht="15.75" hidden="1" customHeight="1">
      <c r="A122" s="181" t="s">
        <v>662</v>
      </c>
      <c r="B122" s="187" t="s">
        <v>687</v>
      </c>
      <c r="C122" s="192" t="s">
        <v>570</v>
      </c>
      <c r="D122" s="188" t="s">
        <v>521</v>
      </c>
      <c r="E122" s="189">
        <v>3940000</v>
      </c>
      <c r="F122" s="190" t="s">
        <v>527</v>
      </c>
      <c r="G122" s="191" t="s">
        <v>528</v>
      </c>
      <c r="H122" s="191" t="s">
        <v>523</v>
      </c>
      <c r="I122" s="191"/>
      <c r="J122" s="191">
        <v>1</v>
      </c>
      <c r="K122" s="191" t="s">
        <v>124</v>
      </c>
      <c r="L122" s="188" t="s">
        <v>524</v>
      </c>
    </row>
    <row r="123" spans="1:12" s="169" customFormat="1" ht="15.75" hidden="1" customHeight="1">
      <c r="A123" s="181" t="s">
        <v>662</v>
      </c>
      <c r="B123" s="187" t="s">
        <v>519</v>
      </c>
      <c r="C123" s="192" t="s">
        <v>688</v>
      </c>
      <c r="D123" s="188" t="s">
        <v>598</v>
      </c>
      <c r="E123" s="189">
        <v>2300000</v>
      </c>
      <c r="F123" s="188" t="s">
        <v>689</v>
      </c>
      <c r="G123" s="191" t="s">
        <v>528</v>
      </c>
      <c r="H123" s="191" t="s">
        <v>523</v>
      </c>
      <c r="I123" s="191"/>
      <c r="J123" s="191">
        <v>1</v>
      </c>
      <c r="K123" s="191" t="s">
        <v>124</v>
      </c>
      <c r="L123" s="188" t="s">
        <v>524</v>
      </c>
    </row>
    <row r="124" spans="1:12" s="169" customFormat="1" ht="15.75" hidden="1" customHeight="1">
      <c r="A124" s="181" t="s">
        <v>662</v>
      </c>
      <c r="B124" s="187" t="s">
        <v>519</v>
      </c>
      <c r="C124" s="192" t="s">
        <v>690</v>
      </c>
      <c r="D124" s="188" t="s">
        <v>691</v>
      </c>
      <c r="E124" s="189">
        <v>1900000</v>
      </c>
      <c r="F124" s="190" t="s">
        <v>527</v>
      </c>
      <c r="G124" s="191" t="s">
        <v>528</v>
      </c>
      <c r="H124" s="191" t="s">
        <v>523</v>
      </c>
      <c r="I124" s="191"/>
      <c r="J124" s="191">
        <v>1</v>
      </c>
      <c r="K124" s="191" t="s">
        <v>41</v>
      </c>
      <c r="L124" s="188" t="s">
        <v>524</v>
      </c>
    </row>
    <row r="125" spans="1:12" s="169" customFormat="1" ht="15.75" hidden="1" customHeight="1">
      <c r="A125" s="181" t="s">
        <v>662</v>
      </c>
      <c r="B125" s="187" t="s">
        <v>519</v>
      </c>
      <c r="C125" s="188" t="s">
        <v>692</v>
      </c>
      <c r="D125" s="188" t="s">
        <v>616</v>
      </c>
      <c r="E125" s="189">
        <v>1350000</v>
      </c>
      <c r="F125" s="188" t="s">
        <v>202</v>
      </c>
      <c r="G125" s="191" t="s">
        <v>523</v>
      </c>
      <c r="H125" s="191" t="s">
        <v>523</v>
      </c>
      <c r="I125" s="191"/>
      <c r="J125" s="191">
        <v>1</v>
      </c>
      <c r="K125" s="191" t="s">
        <v>41</v>
      </c>
      <c r="L125" s="188" t="s">
        <v>529</v>
      </c>
    </row>
    <row r="126" spans="1:12" s="169" customFormat="1" ht="15.75" hidden="1" customHeight="1">
      <c r="A126" s="181" t="s">
        <v>662</v>
      </c>
      <c r="B126" s="187" t="s">
        <v>519</v>
      </c>
      <c r="C126" s="188" t="s">
        <v>693</v>
      </c>
      <c r="D126" s="188" t="s">
        <v>694</v>
      </c>
      <c r="E126" s="189">
        <v>3400000</v>
      </c>
      <c r="F126" s="190" t="s">
        <v>527</v>
      </c>
      <c r="G126" s="191" t="s">
        <v>523</v>
      </c>
      <c r="H126" s="191" t="s">
        <v>523</v>
      </c>
      <c r="I126" s="191"/>
      <c r="J126" s="191">
        <v>1</v>
      </c>
      <c r="K126" s="191" t="s">
        <v>41</v>
      </c>
      <c r="L126" s="188" t="s">
        <v>524</v>
      </c>
    </row>
    <row r="127" spans="1:12" s="169" customFormat="1" ht="15.75" hidden="1" customHeight="1">
      <c r="A127" s="181" t="s">
        <v>662</v>
      </c>
      <c r="B127" s="187" t="s">
        <v>519</v>
      </c>
      <c r="C127" s="188" t="s">
        <v>695</v>
      </c>
      <c r="D127" s="188" t="s">
        <v>691</v>
      </c>
      <c r="E127" s="189">
        <v>1900000</v>
      </c>
      <c r="F127" s="190" t="s">
        <v>527</v>
      </c>
      <c r="G127" s="191" t="s">
        <v>528</v>
      </c>
      <c r="H127" s="191" t="s">
        <v>523</v>
      </c>
      <c r="I127" s="191"/>
      <c r="J127" s="191">
        <v>1</v>
      </c>
      <c r="K127" s="191" t="s">
        <v>124</v>
      </c>
      <c r="L127" s="188" t="s">
        <v>524</v>
      </c>
    </row>
    <row r="128" spans="1:12" s="169" customFormat="1" ht="15.75" hidden="1" customHeight="1">
      <c r="A128" s="181"/>
      <c r="B128" s="187"/>
      <c r="C128" s="188"/>
      <c r="D128" s="188"/>
      <c r="E128" s="189"/>
      <c r="F128" s="188"/>
      <c r="G128" s="191"/>
      <c r="H128" s="191"/>
      <c r="I128" s="191"/>
      <c r="J128" s="191"/>
      <c r="K128" s="191"/>
      <c r="L128" s="188"/>
    </row>
    <row r="129" spans="1:12" s="169" customFormat="1" ht="15.75" hidden="1" customHeight="1">
      <c r="A129" s="979" t="s">
        <v>26</v>
      </c>
      <c r="B129" s="1048"/>
      <c r="C129" s="1048"/>
      <c r="D129" s="1048"/>
      <c r="E129" s="1048"/>
      <c r="F129" s="1048"/>
      <c r="G129" s="1048"/>
      <c r="H129" s="1048"/>
      <c r="I129" s="197"/>
      <c r="J129" s="198">
        <f>SUM(J105:J128)</f>
        <v>23</v>
      </c>
      <c r="K129" s="199"/>
      <c r="L129" s="177"/>
    </row>
    <row r="130" spans="1:12" s="169" customFormat="1" ht="15.75" hidden="1" customHeight="1">
      <c r="A130" s="168"/>
      <c r="B130" s="168"/>
      <c r="C130" s="168"/>
      <c r="D130" s="168"/>
      <c r="E130" s="168"/>
      <c r="F130" s="168"/>
      <c r="L130" s="168"/>
    </row>
    <row r="131" spans="1:12" s="169" customFormat="1" ht="15.75" hidden="1" customHeight="1">
      <c r="A131" s="168"/>
      <c r="B131" s="168"/>
      <c r="C131" s="168"/>
      <c r="D131" s="168"/>
      <c r="E131" s="168"/>
      <c r="F131" s="168"/>
      <c r="L131" s="168"/>
    </row>
    <row r="132" spans="1:12" s="169" customFormat="1" ht="15.75" hidden="1" customHeight="1">
      <c r="A132" s="978" t="s">
        <v>16</v>
      </c>
      <c r="B132" s="978"/>
      <c r="C132" s="978"/>
      <c r="D132" s="978"/>
      <c r="E132" s="978"/>
      <c r="F132" s="978"/>
      <c r="G132" s="978"/>
      <c r="H132" s="978"/>
      <c r="I132" s="978"/>
      <c r="J132" s="978"/>
      <c r="K132" s="978"/>
      <c r="L132" s="978"/>
    </row>
    <row r="133" spans="1:12" s="169" customFormat="1" ht="15.75" hidden="1" customHeight="1">
      <c r="A133" s="200" t="s">
        <v>507</v>
      </c>
      <c r="B133" s="201" t="s">
        <v>508</v>
      </c>
      <c r="C133" s="201" t="s">
        <v>509</v>
      </c>
      <c r="D133" s="201" t="s">
        <v>510</v>
      </c>
      <c r="E133" s="202" t="s">
        <v>511</v>
      </c>
      <c r="F133" s="201" t="s">
        <v>512</v>
      </c>
      <c r="G133" s="203" t="s">
        <v>513</v>
      </c>
      <c r="H133" s="203" t="s">
        <v>514</v>
      </c>
      <c r="I133" s="203"/>
      <c r="J133" s="203" t="s">
        <v>515</v>
      </c>
      <c r="K133" s="203" t="s">
        <v>516</v>
      </c>
      <c r="L133" s="201" t="s">
        <v>517</v>
      </c>
    </row>
    <row r="134" spans="1:12" s="169" customFormat="1" ht="15.75" hidden="1" customHeight="1">
      <c r="A134" s="176" t="s">
        <v>656</v>
      </c>
      <c r="B134" s="177" t="s">
        <v>696</v>
      </c>
      <c r="C134" s="177" t="s">
        <v>697</v>
      </c>
      <c r="D134" s="177" t="s">
        <v>698</v>
      </c>
      <c r="E134" s="178">
        <v>850000000</v>
      </c>
      <c r="F134" s="177" t="s">
        <v>527</v>
      </c>
      <c r="G134" s="179" t="s">
        <v>523</v>
      </c>
      <c r="H134" s="179" t="s">
        <v>523</v>
      </c>
      <c r="I134" s="179"/>
      <c r="J134" s="179">
        <v>1</v>
      </c>
      <c r="K134" s="179"/>
      <c r="L134" s="177" t="s">
        <v>524</v>
      </c>
    </row>
    <row r="135" spans="1:12" s="169" customFormat="1" ht="15.75" hidden="1" customHeight="1">
      <c r="A135" s="176" t="s">
        <v>656</v>
      </c>
      <c r="B135" s="177" t="s">
        <v>519</v>
      </c>
      <c r="C135" s="177" t="s">
        <v>699</v>
      </c>
      <c r="D135" s="177" t="s">
        <v>521</v>
      </c>
      <c r="E135" s="178">
        <v>520000000</v>
      </c>
      <c r="F135" s="177" t="s">
        <v>700</v>
      </c>
      <c r="G135" s="179" t="s">
        <v>528</v>
      </c>
      <c r="H135" s="179" t="s">
        <v>523</v>
      </c>
      <c r="I135" s="179"/>
      <c r="J135" s="179">
        <v>1</v>
      </c>
      <c r="K135" s="179"/>
      <c r="L135" s="177" t="s">
        <v>524</v>
      </c>
    </row>
    <row r="136" spans="1:12" s="169" customFormat="1" ht="15.75" hidden="1" customHeight="1">
      <c r="A136" s="176" t="s">
        <v>656</v>
      </c>
      <c r="B136" s="177" t="s">
        <v>519</v>
      </c>
      <c r="C136" s="177" t="s">
        <v>701</v>
      </c>
      <c r="D136" s="177" t="s">
        <v>683</v>
      </c>
      <c r="E136" s="178">
        <v>460000000</v>
      </c>
      <c r="F136" s="177" t="s">
        <v>584</v>
      </c>
      <c r="G136" s="179" t="s">
        <v>523</v>
      </c>
      <c r="H136" s="179" t="s">
        <v>523</v>
      </c>
      <c r="I136" s="179"/>
      <c r="J136" s="179">
        <v>1</v>
      </c>
      <c r="K136" s="179"/>
      <c r="L136" s="177" t="s">
        <v>529</v>
      </c>
    </row>
    <row r="137" spans="1:12" s="169" customFormat="1" ht="15.75" hidden="1" customHeight="1">
      <c r="A137" s="176" t="s">
        <v>656</v>
      </c>
      <c r="B137" s="177" t="s">
        <v>519</v>
      </c>
      <c r="C137" s="177" t="s">
        <v>702</v>
      </c>
      <c r="D137" s="177" t="s">
        <v>590</v>
      </c>
      <c r="E137" s="178">
        <v>497000000</v>
      </c>
      <c r="F137" s="177" t="s">
        <v>703</v>
      </c>
      <c r="G137" s="179" t="s">
        <v>523</v>
      </c>
      <c r="H137" s="179" t="s">
        <v>523</v>
      </c>
      <c r="I137" s="179"/>
      <c r="J137" s="179">
        <v>1</v>
      </c>
      <c r="K137" s="179"/>
      <c r="L137" s="177" t="s">
        <v>524</v>
      </c>
    </row>
    <row r="138" spans="1:12" s="169" customFormat="1" ht="15.75" hidden="1" customHeight="1">
      <c r="A138" s="181" t="s">
        <v>662</v>
      </c>
      <c r="B138" s="182" t="s">
        <v>519</v>
      </c>
      <c r="C138" s="183" t="s">
        <v>704</v>
      </c>
      <c r="D138" s="183" t="s">
        <v>534</v>
      </c>
      <c r="E138" s="184">
        <v>2800000</v>
      </c>
      <c r="F138" s="183" t="s">
        <v>574</v>
      </c>
      <c r="G138" s="186" t="s">
        <v>523</v>
      </c>
      <c r="H138" s="186" t="s">
        <v>523</v>
      </c>
      <c r="I138" s="186"/>
      <c r="J138" s="186">
        <v>1</v>
      </c>
      <c r="K138" s="186" t="s">
        <v>41</v>
      </c>
      <c r="L138" s="183" t="s">
        <v>524</v>
      </c>
    </row>
    <row r="139" spans="1:12" s="169" customFormat="1" ht="15.75" hidden="1" customHeight="1">
      <c r="A139" s="181" t="s">
        <v>662</v>
      </c>
      <c r="B139" s="187" t="s">
        <v>519</v>
      </c>
      <c r="C139" s="188" t="s">
        <v>705</v>
      </c>
      <c r="D139" s="188" t="s">
        <v>706</v>
      </c>
      <c r="E139" s="189">
        <v>2100000</v>
      </c>
      <c r="F139" s="188" t="s">
        <v>707</v>
      </c>
      <c r="G139" s="191" t="s">
        <v>523</v>
      </c>
      <c r="H139" s="191" t="s">
        <v>523</v>
      </c>
      <c r="I139" s="191"/>
      <c r="J139" s="191">
        <v>1</v>
      </c>
      <c r="K139" s="191" t="s">
        <v>124</v>
      </c>
      <c r="L139" s="188" t="s">
        <v>529</v>
      </c>
    </row>
    <row r="140" spans="1:12" s="169" customFormat="1" ht="15.75" hidden="1" customHeight="1">
      <c r="A140" s="181" t="s">
        <v>662</v>
      </c>
      <c r="B140" s="187" t="s">
        <v>519</v>
      </c>
      <c r="C140" s="188" t="s">
        <v>708</v>
      </c>
      <c r="D140" s="188" t="s">
        <v>560</v>
      </c>
      <c r="E140" s="189">
        <v>3500000</v>
      </c>
      <c r="F140" s="188" t="s">
        <v>709</v>
      </c>
      <c r="G140" s="191" t="s">
        <v>528</v>
      </c>
      <c r="H140" s="191" t="s">
        <v>523</v>
      </c>
      <c r="I140" s="191"/>
      <c r="J140" s="191">
        <v>1</v>
      </c>
      <c r="K140" s="191" t="s">
        <v>41</v>
      </c>
      <c r="L140" s="188" t="s">
        <v>524</v>
      </c>
    </row>
    <row r="141" spans="1:12" s="169" customFormat="1" ht="15.75" hidden="1" customHeight="1">
      <c r="A141" s="181" t="s">
        <v>662</v>
      </c>
      <c r="B141" s="187" t="s">
        <v>519</v>
      </c>
      <c r="C141" s="188" t="s">
        <v>710</v>
      </c>
      <c r="D141" s="188" t="s">
        <v>552</v>
      </c>
      <c r="E141" s="189">
        <v>1900000</v>
      </c>
      <c r="F141" s="188" t="s">
        <v>711</v>
      </c>
      <c r="G141" s="191" t="s">
        <v>523</v>
      </c>
      <c r="H141" s="191" t="s">
        <v>523</v>
      </c>
      <c r="I141" s="191"/>
      <c r="J141" s="191">
        <v>1</v>
      </c>
      <c r="K141" s="191" t="s">
        <v>124</v>
      </c>
      <c r="L141" s="188" t="s">
        <v>524</v>
      </c>
    </row>
    <row r="142" spans="1:12" s="169" customFormat="1" ht="15.75" hidden="1" customHeight="1">
      <c r="A142" s="181" t="s">
        <v>662</v>
      </c>
      <c r="B142" s="187" t="s">
        <v>687</v>
      </c>
      <c r="C142" s="188" t="s">
        <v>712</v>
      </c>
      <c r="D142" s="188" t="s">
        <v>578</v>
      </c>
      <c r="E142" s="189">
        <v>7100000</v>
      </c>
      <c r="F142" s="190" t="s">
        <v>527</v>
      </c>
      <c r="G142" s="191" t="s">
        <v>528</v>
      </c>
      <c r="H142" s="191" t="s">
        <v>523</v>
      </c>
      <c r="I142" s="191"/>
      <c r="J142" s="191">
        <v>1</v>
      </c>
      <c r="K142" s="191" t="s">
        <v>124</v>
      </c>
      <c r="L142" s="188" t="s">
        <v>524</v>
      </c>
    </row>
    <row r="143" spans="1:12" s="169" customFormat="1" ht="15.75" hidden="1" customHeight="1">
      <c r="A143" s="181" t="s">
        <v>662</v>
      </c>
      <c r="B143" s="187" t="s">
        <v>519</v>
      </c>
      <c r="C143" s="192" t="s">
        <v>713</v>
      </c>
      <c r="D143" s="188" t="s">
        <v>683</v>
      </c>
      <c r="E143" s="189">
        <v>4000000</v>
      </c>
      <c r="F143" s="188" t="s">
        <v>584</v>
      </c>
      <c r="G143" s="191" t="s">
        <v>528</v>
      </c>
      <c r="H143" s="191" t="s">
        <v>523</v>
      </c>
      <c r="I143" s="191"/>
      <c r="J143" s="191">
        <v>1</v>
      </c>
      <c r="K143" s="191" t="s">
        <v>124</v>
      </c>
      <c r="L143" s="188" t="s">
        <v>524</v>
      </c>
    </row>
    <row r="144" spans="1:12" s="169" customFormat="1" ht="15.75" hidden="1" customHeight="1">
      <c r="A144" s="181" t="s">
        <v>662</v>
      </c>
      <c r="B144" s="187" t="s">
        <v>519</v>
      </c>
      <c r="C144" s="192" t="s">
        <v>714</v>
      </c>
      <c r="D144" s="192" t="s">
        <v>715</v>
      </c>
      <c r="E144" s="193">
        <v>2100000</v>
      </c>
      <c r="F144" s="188" t="s">
        <v>672</v>
      </c>
      <c r="G144" s="194" t="s">
        <v>523</v>
      </c>
      <c r="H144" s="194" t="s">
        <v>523</v>
      </c>
      <c r="I144" s="194"/>
      <c r="J144" s="194">
        <v>1</v>
      </c>
      <c r="K144" s="194" t="s">
        <v>124</v>
      </c>
      <c r="L144" s="192" t="s">
        <v>529</v>
      </c>
    </row>
    <row r="145" spans="1:12" s="169" customFormat="1" ht="15.75" hidden="1" customHeight="1">
      <c r="A145" s="181" t="s">
        <v>662</v>
      </c>
      <c r="B145" s="187" t="s">
        <v>519</v>
      </c>
      <c r="C145" s="192" t="s">
        <v>716</v>
      </c>
      <c r="D145" s="192" t="s">
        <v>683</v>
      </c>
      <c r="E145" s="195">
        <v>3000000</v>
      </c>
      <c r="F145" s="188" t="s">
        <v>584</v>
      </c>
      <c r="G145" s="194" t="s">
        <v>528</v>
      </c>
      <c r="H145" s="194" t="s">
        <v>523</v>
      </c>
      <c r="I145" s="194"/>
      <c r="J145" s="194">
        <v>1</v>
      </c>
      <c r="K145" s="194" t="s">
        <v>124</v>
      </c>
      <c r="L145" s="192" t="s">
        <v>524</v>
      </c>
    </row>
    <row r="146" spans="1:12" s="169" customFormat="1" ht="15.75" hidden="1" customHeight="1">
      <c r="A146" s="181" t="s">
        <v>662</v>
      </c>
      <c r="B146" s="187" t="s">
        <v>519</v>
      </c>
      <c r="C146" s="188" t="s">
        <v>717</v>
      </c>
      <c r="D146" s="188" t="s">
        <v>534</v>
      </c>
      <c r="E146" s="189">
        <v>1400000</v>
      </c>
      <c r="F146" s="188" t="s">
        <v>542</v>
      </c>
      <c r="G146" s="191" t="s">
        <v>523</v>
      </c>
      <c r="H146" s="191" t="s">
        <v>523</v>
      </c>
      <c r="I146" s="191"/>
      <c r="J146" s="191">
        <v>1</v>
      </c>
      <c r="K146" s="191" t="s">
        <v>41</v>
      </c>
      <c r="L146" s="191" t="s">
        <v>123</v>
      </c>
    </row>
    <row r="147" spans="1:12" s="169" customFormat="1" ht="15.75" hidden="1" customHeight="1">
      <c r="A147" s="181" t="s">
        <v>662</v>
      </c>
      <c r="B147" s="210" t="s">
        <v>519</v>
      </c>
      <c r="C147" s="211" t="s">
        <v>718</v>
      </c>
      <c r="D147" s="211" t="s">
        <v>719</v>
      </c>
      <c r="E147" s="212">
        <v>3500000</v>
      </c>
      <c r="F147" s="239" t="s">
        <v>527</v>
      </c>
      <c r="G147" s="213" t="s">
        <v>523</v>
      </c>
      <c r="H147" s="213" t="s">
        <v>523</v>
      </c>
      <c r="I147" s="213"/>
      <c r="J147" s="213">
        <v>1</v>
      </c>
      <c r="K147" s="213" t="s">
        <v>41</v>
      </c>
      <c r="L147" s="213" t="s">
        <v>529</v>
      </c>
    </row>
    <row r="148" spans="1:12" s="169" customFormat="1" ht="15.75" hidden="1" customHeight="1">
      <c r="A148" s="181" t="s">
        <v>662</v>
      </c>
      <c r="B148" s="210" t="s">
        <v>687</v>
      </c>
      <c r="C148" s="211" t="s">
        <v>720</v>
      </c>
      <c r="D148" s="211" t="s">
        <v>578</v>
      </c>
      <c r="E148" s="212">
        <v>3570000</v>
      </c>
      <c r="F148" s="239" t="s">
        <v>527</v>
      </c>
      <c r="G148" s="213" t="s">
        <v>528</v>
      </c>
      <c r="H148" s="213" t="s">
        <v>523</v>
      </c>
      <c r="I148" s="213"/>
      <c r="J148" s="213">
        <v>1</v>
      </c>
      <c r="K148" s="213" t="s">
        <v>124</v>
      </c>
      <c r="L148" s="213" t="s">
        <v>529</v>
      </c>
    </row>
    <row r="149" spans="1:12" s="169" customFormat="1" ht="15.75" hidden="1" customHeight="1">
      <c r="A149" s="181" t="s">
        <v>662</v>
      </c>
      <c r="B149" s="187" t="s">
        <v>519</v>
      </c>
      <c r="C149" s="188" t="s">
        <v>721</v>
      </c>
      <c r="D149" s="188" t="s">
        <v>683</v>
      </c>
      <c r="E149" s="189">
        <v>2400000</v>
      </c>
      <c r="F149" s="188" t="s">
        <v>584</v>
      </c>
      <c r="G149" s="191" t="s">
        <v>523</v>
      </c>
      <c r="H149" s="191" t="s">
        <v>523</v>
      </c>
      <c r="I149" s="191"/>
      <c r="J149" s="191">
        <v>1</v>
      </c>
      <c r="K149" s="191" t="s">
        <v>124</v>
      </c>
      <c r="L149" s="191" t="s">
        <v>529</v>
      </c>
    </row>
    <row r="150" spans="1:12" s="169" customFormat="1" ht="15.75" hidden="1" customHeight="1">
      <c r="A150" s="181" t="s">
        <v>662</v>
      </c>
      <c r="B150" s="187" t="s">
        <v>519</v>
      </c>
      <c r="C150" s="188" t="s">
        <v>722</v>
      </c>
      <c r="D150" s="188" t="s">
        <v>706</v>
      </c>
      <c r="E150" s="189">
        <v>2000000</v>
      </c>
      <c r="F150" s="188" t="s">
        <v>707</v>
      </c>
      <c r="G150" s="191" t="s">
        <v>528</v>
      </c>
      <c r="H150" s="191" t="s">
        <v>523</v>
      </c>
      <c r="I150" s="191"/>
      <c r="J150" s="191">
        <v>1</v>
      </c>
      <c r="K150" s="191" t="s">
        <v>124</v>
      </c>
      <c r="L150" s="191" t="s">
        <v>529</v>
      </c>
    </row>
    <row r="151" spans="1:12" s="169" customFormat="1" ht="15.75" hidden="1" customHeight="1">
      <c r="A151" s="181" t="s">
        <v>662</v>
      </c>
      <c r="B151" s="182" t="s">
        <v>519</v>
      </c>
      <c r="C151" s="183" t="s">
        <v>723</v>
      </c>
      <c r="D151" s="183" t="s">
        <v>724</v>
      </c>
      <c r="E151" s="184">
        <v>800000</v>
      </c>
      <c r="F151" s="185" t="s">
        <v>527</v>
      </c>
      <c r="G151" s="186" t="s">
        <v>528</v>
      </c>
      <c r="H151" s="186" t="s">
        <v>523</v>
      </c>
      <c r="I151" s="186"/>
      <c r="J151" s="186">
        <v>1</v>
      </c>
      <c r="K151" s="191" t="s">
        <v>124</v>
      </c>
      <c r="L151" s="191" t="s">
        <v>529</v>
      </c>
    </row>
    <row r="152" spans="1:12" s="169" customFormat="1" ht="15.75" hidden="1" customHeight="1">
      <c r="A152" s="181" t="s">
        <v>662</v>
      </c>
      <c r="B152" s="187" t="s">
        <v>519</v>
      </c>
      <c r="C152" s="188" t="s">
        <v>725</v>
      </c>
      <c r="D152" s="188" t="s">
        <v>726</v>
      </c>
      <c r="E152" s="189">
        <v>3300000</v>
      </c>
      <c r="F152" s="188" t="s">
        <v>703</v>
      </c>
      <c r="G152" s="191" t="s">
        <v>523</v>
      </c>
      <c r="H152" s="191" t="s">
        <v>523</v>
      </c>
      <c r="I152" s="191"/>
      <c r="J152" s="191">
        <v>1</v>
      </c>
      <c r="K152" s="191" t="s">
        <v>41</v>
      </c>
      <c r="L152" s="191" t="s">
        <v>529</v>
      </c>
    </row>
    <row r="153" spans="1:12" s="169" customFormat="1" ht="15.75" hidden="1" customHeight="1">
      <c r="A153" s="181" t="s">
        <v>662</v>
      </c>
      <c r="B153" s="187" t="s">
        <v>519</v>
      </c>
      <c r="C153" s="188" t="s">
        <v>727</v>
      </c>
      <c r="D153" s="188" t="s">
        <v>593</v>
      </c>
      <c r="E153" s="189">
        <v>2200000</v>
      </c>
      <c r="F153" s="188" t="s">
        <v>728</v>
      </c>
      <c r="G153" s="191" t="s">
        <v>528</v>
      </c>
      <c r="H153" s="191" t="s">
        <v>523</v>
      </c>
      <c r="I153" s="191"/>
      <c r="J153" s="191">
        <v>1</v>
      </c>
      <c r="K153" s="191" t="s">
        <v>124</v>
      </c>
      <c r="L153" s="191" t="s">
        <v>524</v>
      </c>
    </row>
    <row r="154" spans="1:12" s="169" customFormat="1" ht="15.75" hidden="1" customHeight="1">
      <c r="A154" s="181" t="s">
        <v>662</v>
      </c>
      <c r="B154" s="187" t="s">
        <v>687</v>
      </c>
      <c r="C154" s="188" t="s">
        <v>729</v>
      </c>
      <c r="D154" s="188" t="s">
        <v>578</v>
      </c>
      <c r="E154" s="189">
        <v>7500000</v>
      </c>
      <c r="F154" s="190" t="s">
        <v>527</v>
      </c>
      <c r="G154" s="191" t="s">
        <v>528</v>
      </c>
      <c r="H154" s="191" t="s">
        <v>523</v>
      </c>
      <c r="I154" s="191"/>
      <c r="J154" s="191">
        <v>1</v>
      </c>
      <c r="K154" s="191" t="s">
        <v>124</v>
      </c>
      <c r="L154" s="191" t="s">
        <v>529</v>
      </c>
    </row>
    <row r="155" spans="1:12" s="169" customFormat="1" ht="15.75" hidden="1" customHeight="1">
      <c r="A155" s="181" t="s">
        <v>662</v>
      </c>
      <c r="B155" s="187" t="s">
        <v>519</v>
      </c>
      <c r="C155" s="188" t="s">
        <v>730</v>
      </c>
      <c r="D155" s="188" t="s">
        <v>658</v>
      </c>
      <c r="E155" s="189">
        <v>3800000</v>
      </c>
      <c r="F155" s="188" t="s">
        <v>731</v>
      </c>
      <c r="G155" s="191" t="s">
        <v>523</v>
      </c>
      <c r="H155" s="191" t="s">
        <v>523</v>
      </c>
      <c r="I155" s="191"/>
      <c r="J155" s="191">
        <v>1</v>
      </c>
      <c r="K155" s="191" t="s">
        <v>41</v>
      </c>
      <c r="L155" s="191" t="s">
        <v>529</v>
      </c>
    </row>
    <row r="156" spans="1:12" s="169" customFormat="1" ht="15.75" hidden="1" customHeight="1">
      <c r="A156" s="181" t="s">
        <v>662</v>
      </c>
      <c r="B156" s="187" t="s">
        <v>696</v>
      </c>
      <c r="C156" s="188" t="s">
        <v>732</v>
      </c>
      <c r="D156" s="188" t="s">
        <v>733</v>
      </c>
      <c r="E156" s="189">
        <v>8000000</v>
      </c>
      <c r="F156" s="190" t="s">
        <v>527</v>
      </c>
      <c r="G156" s="191" t="s">
        <v>528</v>
      </c>
      <c r="H156" s="191" t="s">
        <v>523</v>
      </c>
      <c r="I156" s="191"/>
      <c r="J156" s="191">
        <v>1</v>
      </c>
      <c r="K156" s="191" t="s">
        <v>41</v>
      </c>
      <c r="L156" s="191" t="s">
        <v>524</v>
      </c>
    </row>
    <row r="157" spans="1:12" s="169" customFormat="1" ht="15.75" hidden="1" customHeight="1">
      <c r="A157" s="181" t="s">
        <v>662</v>
      </c>
      <c r="B157" s="183" t="s">
        <v>519</v>
      </c>
      <c r="C157" s="183" t="s">
        <v>734</v>
      </c>
      <c r="D157" s="188" t="s">
        <v>598</v>
      </c>
      <c r="E157" s="184">
        <v>3300000</v>
      </c>
      <c r="F157" s="183" t="s">
        <v>735</v>
      </c>
      <c r="G157" s="186" t="s">
        <v>523</v>
      </c>
      <c r="H157" s="186" t="s">
        <v>523</v>
      </c>
      <c r="I157" s="186"/>
      <c r="J157" s="186">
        <v>1</v>
      </c>
      <c r="K157" s="186" t="s">
        <v>124</v>
      </c>
      <c r="L157" s="186" t="s">
        <v>529</v>
      </c>
    </row>
    <row r="158" spans="1:12" s="169" customFormat="1" ht="15.75" hidden="1" customHeight="1">
      <c r="A158" s="196"/>
      <c r="B158" s="183"/>
      <c r="C158" s="183"/>
      <c r="D158" s="183"/>
      <c r="E158" s="184"/>
      <c r="F158" s="183"/>
      <c r="G158" s="186"/>
      <c r="H158" s="186"/>
      <c r="I158" s="186"/>
      <c r="J158" s="186"/>
      <c r="K158" s="186"/>
      <c r="L158" s="186"/>
    </row>
    <row r="159" spans="1:12" s="169" customFormat="1" ht="15.75" hidden="1" customHeight="1">
      <c r="A159" s="979" t="s">
        <v>26</v>
      </c>
      <c r="B159" s="1048"/>
      <c r="C159" s="1048"/>
      <c r="D159" s="1048"/>
      <c r="E159" s="1048"/>
      <c r="F159" s="1048"/>
      <c r="G159" s="1048"/>
      <c r="H159" s="1048"/>
      <c r="I159" s="197"/>
      <c r="J159" s="198">
        <f>SUM(J134:J157)</f>
        <v>24</v>
      </c>
      <c r="K159" s="199"/>
      <c r="L159" s="177"/>
    </row>
    <row r="160" spans="1:12" s="169" customFormat="1" ht="15.75" hidden="1" customHeight="1">
      <c r="A160" s="168"/>
      <c r="B160" s="168"/>
      <c r="C160" s="168"/>
      <c r="D160" s="168"/>
      <c r="E160" s="168"/>
      <c r="F160" s="168"/>
      <c r="L160" s="168"/>
    </row>
    <row r="161" spans="1:12" s="169" customFormat="1" ht="15.75" hidden="1" customHeight="1">
      <c r="A161" s="168"/>
      <c r="B161" s="168"/>
      <c r="C161" s="168"/>
      <c r="D161" s="168"/>
      <c r="E161" s="168"/>
      <c r="F161" s="168"/>
      <c r="L161" s="168"/>
    </row>
    <row r="162" spans="1:12" s="169" customFormat="1" ht="15.75" hidden="1" customHeight="1">
      <c r="A162" s="991" t="s">
        <v>24</v>
      </c>
      <c r="B162" s="991"/>
      <c r="C162" s="991"/>
      <c r="D162" s="991"/>
      <c r="E162" s="991"/>
      <c r="F162" s="991"/>
      <c r="G162" s="991"/>
      <c r="H162" s="991"/>
      <c r="I162" s="991"/>
      <c r="J162" s="991"/>
      <c r="K162" s="991"/>
      <c r="L162" s="991"/>
    </row>
    <row r="163" spans="1:12" s="169" customFormat="1" ht="15.75" hidden="1" customHeight="1">
      <c r="A163" s="170" t="s">
        <v>507</v>
      </c>
      <c r="B163" s="215" t="s">
        <v>508</v>
      </c>
      <c r="C163" s="215" t="s">
        <v>509</v>
      </c>
      <c r="D163" s="215" t="s">
        <v>510</v>
      </c>
      <c r="E163" s="216" t="s">
        <v>511</v>
      </c>
      <c r="F163" s="215" t="s">
        <v>512</v>
      </c>
      <c r="G163" s="217" t="s">
        <v>513</v>
      </c>
      <c r="H163" s="217" t="s">
        <v>514</v>
      </c>
      <c r="I163" s="217"/>
      <c r="J163" s="217" t="s">
        <v>515</v>
      </c>
      <c r="K163" s="217" t="s">
        <v>516</v>
      </c>
      <c r="L163" s="215" t="s">
        <v>517</v>
      </c>
    </row>
    <row r="164" spans="1:12" s="169" customFormat="1" ht="15.75" hidden="1" customHeight="1">
      <c r="A164" s="176" t="s">
        <v>656</v>
      </c>
      <c r="B164" s="177" t="s">
        <v>519</v>
      </c>
      <c r="C164" s="177" t="s">
        <v>736</v>
      </c>
      <c r="D164" s="177" t="s">
        <v>526</v>
      </c>
      <c r="E164" s="178">
        <v>830000000</v>
      </c>
      <c r="F164" s="177" t="s">
        <v>527</v>
      </c>
      <c r="G164" s="179" t="s">
        <v>528</v>
      </c>
      <c r="H164" s="179" t="s">
        <v>523</v>
      </c>
      <c r="I164" s="179"/>
      <c r="J164" s="179">
        <v>1</v>
      </c>
      <c r="K164" s="179"/>
      <c r="L164" s="177" t="s">
        <v>524</v>
      </c>
    </row>
    <row r="165" spans="1:12" s="169" customFormat="1" ht="15.75" hidden="1" customHeight="1">
      <c r="A165" s="176" t="s">
        <v>656</v>
      </c>
      <c r="B165" s="177" t="s">
        <v>519</v>
      </c>
      <c r="C165" s="177" t="s">
        <v>737</v>
      </c>
      <c r="D165" s="177" t="s">
        <v>598</v>
      </c>
      <c r="E165" s="178">
        <v>650000000</v>
      </c>
      <c r="F165" s="177" t="s">
        <v>527</v>
      </c>
      <c r="G165" s="179" t="s">
        <v>528</v>
      </c>
      <c r="H165" s="179" t="s">
        <v>523</v>
      </c>
      <c r="I165" s="179"/>
      <c r="J165" s="179">
        <v>1</v>
      </c>
      <c r="K165" s="179"/>
      <c r="L165" s="177" t="s">
        <v>524</v>
      </c>
    </row>
    <row r="166" spans="1:12" s="169" customFormat="1" ht="15.75" hidden="1" customHeight="1">
      <c r="A166" s="176" t="s">
        <v>656</v>
      </c>
      <c r="B166" s="177" t="s">
        <v>519</v>
      </c>
      <c r="C166" s="177" t="s">
        <v>738</v>
      </c>
      <c r="D166" s="177" t="s">
        <v>598</v>
      </c>
      <c r="E166" s="178">
        <v>830000000</v>
      </c>
      <c r="F166" s="177" t="s">
        <v>527</v>
      </c>
      <c r="G166" s="179" t="s">
        <v>528</v>
      </c>
      <c r="H166" s="179" t="s">
        <v>523</v>
      </c>
      <c r="I166" s="179"/>
      <c r="J166" s="179">
        <v>1</v>
      </c>
      <c r="K166" s="179"/>
      <c r="L166" s="177" t="s">
        <v>524</v>
      </c>
    </row>
    <row r="167" spans="1:12" s="169" customFormat="1" ht="15.75" hidden="1" customHeight="1">
      <c r="A167" s="181" t="s">
        <v>662</v>
      </c>
      <c r="B167" s="183" t="s">
        <v>556</v>
      </c>
      <c r="C167" s="183" t="s">
        <v>739</v>
      </c>
      <c r="D167" s="183" t="s">
        <v>740</v>
      </c>
      <c r="E167" s="184">
        <v>1500000</v>
      </c>
      <c r="F167" s="185" t="s">
        <v>741</v>
      </c>
      <c r="G167" s="186" t="s">
        <v>528</v>
      </c>
      <c r="H167" s="186" t="s">
        <v>523</v>
      </c>
      <c r="I167" s="186"/>
      <c r="J167" s="186">
        <v>1</v>
      </c>
      <c r="K167" s="186" t="s">
        <v>124</v>
      </c>
      <c r="L167" s="186" t="s">
        <v>524</v>
      </c>
    </row>
    <row r="168" spans="1:12" s="169" customFormat="1" ht="15.75" hidden="1" customHeight="1">
      <c r="A168" s="181" t="s">
        <v>662</v>
      </c>
      <c r="B168" s="183" t="s">
        <v>742</v>
      </c>
      <c r="C168" s="183" t="s">
        <v>743</v>
      </c>
      <c r="D168" s="183" t="s">
        <v>560</v>
      </c>
      <c r="E168" s="184">
        <v>3300000</v>
      </c>
      <c r="F168" s="185" t="s">
        <v>741</v>
      </c>
      <c r="G168" s="186" t="s">
        <v>528</v>
      </c>
      <c r="H168" s="186" t="s">
        <v>523</v>
      </c>
      <c r="I168" s="186"/>
      <c r="J168" s="186">
        <v>1</v>
      </c>
      <c r="K168" s="186" t="s">
        <v>41</v>
      </c>
      <c r="L168" s="186" t="s">
        <v>524</v>
      </c>
    </row>
    <row r="169" spans="1:12" s="169" customFormat="1" ht="15.75" hidden="1" customHeight="1">
      <c r="A169" s="181" t="s">
        <v>662</v>
      </c>
      <c r="B169" s="183" t="s">
        <v>509</v>
      </c>
      <c r="C169" s="183" t="s">
        <v>744</v>
      </c>
      <c r="D169" s="183" t="s">
        <v>634</v>
      </c>
      <c r="E169" s="184">
        <v>4500000</v>
      </c>
      <c r="F169" s="183" t="s">
        <v>745</v>
      </c>
      <c r="G169" s="186" t="s">
        <v>528</v>
      </c>
      <c r="H169" s="186" t="s">
        <v>523</v>
      </c>
      <c r="I169" s="186"/>
      <c r="J169" s="186">
        <v>1</v>
      </c>
      <c r="K169" s="186" t="s">
        <v>41</v>
      </c>
      <c r="L169" s="186" t="s">
        <v>524</v>
      </c>
    </row>
    <row r="170" spans="1:12" s="169" customFormat="1" ht="15.75" hidden="1" customHeight="1">
      <c r="A170" s="181" t="s">
        <v>662</v>
      </c>
      <c r="B170" s="183" t="s">
        <v>687</v>
      </c>
      <c r="C170" s="183" t="s">
        <v>746</v>
      </c>
      <c r="D170" s="183" t="s">
        <v>560</v>
      </c>
      <c r="E170" s="184">
        <v>6300000</v>
      </c>
      <c r="F170" s="183" t="s">
        <v>703</v>
      </c>
      <c r="G170" s="186" t="s">
        <v>528</v>
      </c>
      <c r="H170" s="186" t="s">
        <v>523</v>
      </c>
      <c r="I170" s="186"/>
      <c r="J170" s="186">
        <v>1</v>
      </c>
      <c r="K170" s="186" t="s">
        <v>41</v>
      </c>
      <c r="L170" s="186" t="s">
        <v>524</v>
      </c>
    </row>
    <row r="171" spans="1:12" s="169" customFormat="1" ht="15.75" hidden="1" customHeight="1">
      <c r="A171" s="181" t="s">
        <v>662</v>
      </c>
      <c r="B171" s="183" t="s">
        <v>509</v>
      </c>
      <c r="C171" s="183" t="s">
        <v>747</v>
      </c>
      <c r="D171" s="183" t="s">
        <v>552</v>
      </c>
      <c r="E171" s="184">
        <v>3800000</v>
      </c>
      <c r="F171" s="183" t="s">
        <v>748</v>
      </c>
      <c r="G171" s="186" t="s">
        <v>523</v>
      </c>
      <c r="H171" s="186" t="s">
        <v>523</v>
      </c>
      <c r="I171" s="186"/>
      <c r="J171" s="186">
        <v>1</v>
      </c>
      <c r="K171" s="186" t="s">
        <v>124</v>
      </c>
      <c r="L171" s="186" t="s">
        <v>524</v>
      </c>
    </row>
    <row r="172" spans="1:12" s="169" customFormat="1" ht="15.75" hidden="1" customHeight="1">
      <c r="A172" s="181" t="s">
        <v>662</v>
      </c>
      <c r="B172" s="183" t="s">
        <v>687</v>
      </c>
      <c r="C172" s="183" t="s">
        <v>749</v>
      </c>
      <c r="D172" s="183" t="s">
        <v>740</v>
      </c>
      <c r="E172" s="184">
        <v>11000000</v>
      </c>
      <c r="F172" s="185" t="s">
        <v>527</v>
      </c>
      <c r="G172" s="186" t="s">
        <v>523</v>
      </c>
      <c r="H172" s="186" t="s">
        <v>523</v>
      </c>
      <c r="I172" s="186"/>
      <c r="J172" s="186">
        <v>1</v>
      </c>
      <c r="K172" s="186" t="s">
        <v>41</v>
      </c>
      <c r="L172" s="186" t="s">
        <v>524</v>
      </c>
    </row>
    <row r="173" spans="1:12" s="169" customFormat="1" ht="15.75" hidden="1" customHeight="1">
      <c r="A173" s="181" t="s">
        <v>662</v>
      </c>
      <c r="B173" s="183" t="s">
        <v>519</v>
      </c>
      <c r="C173" s="183" t="s">
        <v>750</v>
      </c>
      <c r="D173" s="183" t="s">
        <v>526</v>
      </c>
      <c r="E173" s="184">
        <v>1650000</v>
      </c>
      <c r="F173" s="185" t="s">
        <v>527</v>
      </c>
      <c r="G173" s="186" t="s">
        <v>528</v>
      </c>
      <c r="H173" s="186" t="s">
        <v>523</v>
      </c>
      <c r="I173" s="186"/>
      <c r="J173" s="186">
        <v>1</v>
      </c>
      <c r="K173" s="186" t="s">
        <v>124</v>
      </c>
      <c r="L173" s="186" t="s">
        <v>524</v>
      </c>
    </row>
    <row r="174" spans="1:12" s="169" customFormat="1" ht="15.75" hidden="1" customHeight="1">
      <c r="A174" s="181" t="s">
        <v>662</v>
      </c>
      <c r="B174" s="183" t="s">
        <v>687</v>
      </c>
      <c r="C174" s="183" t="s">
        <v>751</v>
      </c>
      <c r="D174" s="183" t="s">
        <v>560</v>
      </c>
      <c r="E174" s="184">
        <v>5000000</v>
      </c>
      <c r="F174" s="185" t="s">
        <v>527</v>
      </c>
      <c r="G174" s="186" t="s">
        <v>528</v>
      </c>
      <c r="H174" s="186" t="s">
        <v>523</v>
      </c>
      <c r="I174" s="186"/>
      <c r="J174" s="186">
        <v>1</v>
      </c>
      <c r="K174" s="186" t="s">
        <v>41</v>
      </c>
      <c r="L174" s="186" t="s">
        <v>524</v>
      </c>
    </row>
    <row r="175" spans="1:12" s="169" customFormat="1" ht="15.75" hidden="1" customHeight="1">
      <c r="A175" s="181" t="s">
        <v>662</v>
      </c>
      <c r="B175" s="183" t="s">
        <v>519</v>
      </c>
      <c r="C175" s="183" t="s">
        <v>752</v>
      </c>
      <c r="D175" s="183" t="s">
        <v>526</v>
      </c>
      <c r="E175" s="184">
        <v>1450000</v>
      </c>
      <c r="F175" s="185" t="s">
        <v>527</v>
      </c>
      <c r="G175" s="186" t="s">
        <v>528</v>
      </c>
      <c r="H175" s="186" t="s">
        <v>523</v>
      </c>
      <c r="I175" s="186"/>
      <c r="J175" s="186">
        <v>1</v>
      </c>
      <c r="K175" s="186" t="s">
        <v>41</v>
      </c>
      <c r="L175" s="186" t="s">
        <v>524</v>
      </c>
    </row>
    <row r="176" spans="1:12" s="169" customFormat="1" ht="15.75" hidden="1" customHeight="1">
      <c r="A176" s="181" t="s">
        <v>662</v>
      </c>
      <c r="B176" s="183" t="s">
        <v>556</v>
      </c>
      <c r="C176" s="183" t="s">
        <v>753</v>
      </c>
      <c r="D176" s="183" t="s">
        <v>754</v>
      </c>
      <c r="E176" s="184">
        <v>2800000</v>
      </c>
      <c r="F176" s="185" t="s">
        <v>527</v>
      </c>
      <c r="G176" s="186" t="s">
        <v>528</v>
      </c>
      <c r="H176" s="186" t="s">
        <v>523</v>
      </c>
      <c r="I176" s="186"/>
      <c r="J176" s="186">
        <v>1</v>
      </c>
      <c r="K176" s="186" t="s">
        <v>124</v>
      </c>
      <c r="L176" s="186" t="s">
        <v>524</v>
      </c>
    </row>
    <row r="177" spans="1:12" s="169" customFormat="1" ht="15.75" hidden="1" customHeight="1">
      <c r="A177" s="181" t="s">
        <v>662</v>
      </c>
      <c r="B177" s="183" t="s">
        <v>519</v>
      </c>
      <c r="C177" s="183" t="s">
        <v>755</v>
      </c>
      <c r="D177" s="183" t="s">
        <v>756</v>
      </c>
      <c r="E177" s="184">
        <v>3900000</v>
      </c>
      <c r="F177" s="183" t="s">
        <v>757</v>
      </c>
      <c r="G177" s="186" t="s">
        <v>528</v>
      </c>
      <c r="H177" s="186" t="s">
        <v>523</v>
      </c>
      <c r="I177" s="186"/>
      <c r="J177" s="186">
        <v>1</v>
      </c>
      <c r="K177" s="186" t="s">
        <v>41</v>
      </c>
      <c r="L177" s="186" t="s">
        <v>524</v>
      </c>
    </row>
    <row r="178" spans="1:12" s="169" customFormat="1" ht="15.75" hidden="1" customHeight="1">
      <c r="A178" s="181" t="s">
        <v>662</v>
      </c>
      <c r="B178" s="183" t="s">
        <v>519</v>
      </c>
      <c r="C178" s="183" t="s">
        <v>758</v>
      </c>
      <c r="D178" s="183" t="s">
        <v>759</v>
      </c>
      <c r="E178" s="184">
        <v>800000</v>
      </c>
      <c r="F178" s="185" t="s">
        <v>527</v>
      </c>
      <c r="G178" s="186" t="s">
        <v>528</v>
      </c>
      <c r="H178" s="186" t="s">
        <v>523</v>
      </c>
      <c r="I178" s="186"/>
      <c r="J178" s="186">
        <v>1</v>
      </c>
      <c r="K178" s="186" t="s">
        <v>124</v>
      </c>
      <c r="L178" s="186" t="s">
        <v>123</v>
      </c>
    </row>
    <row r="179" spans="1:12" s="169" customFormat="1" ht="15.75" hidden="1" customHeight="1">
      <c r="A179" s="181" t="s">
        <v>662</v>
      </c>
      <c r="B179" s="183" t="s">
        <v>687</v>
      </c>
      <c r="C179" s="183" t="s">
        <v>760</v>
      </c>
      <c r="D179" s="183" t="s">
        <v>678</v>
      </c>
      <c r="E179" s="184">
        <v>5950000</v>
      </c>
      <c r="F179" s="185" t="s">
        <v>527</v>
      </c>
      <c r="G179" s="186" t="s">
        <v>528</v>
      </c>
      <c r="H179" s="186" t="s">
        <v>523</v>
      </c>
      <c r="I179" s="186"/>
      <c r="J179" s="186">
        <v>1</v>
      </c>
      <c r="K179" s="186" t="s">
        <v>124</v>
      </c>
      <c r="L179" s="186" t="s">
        <v>524</v>
      </c>
    </row>
    <row r="180" spans="1:12" s="169" customFormat="1" ht="15.75" hidden="1" customHeight="1">
      <c r="A180" s="181" t="s">
        <v>662</v>
      </c>
      <c r="B180" s="183" t="s">
        <v>696</v>
      </c>
      <c r="C180" s="183" t="s">
        <v>761</v>
      </c>
      <c r="D180" s="183" t="s">
        <v>762</v>
      </c>
      <c r="E180" s="184">
        <v>950000</v>
      </c>
      <c r="F180" s="185" t="s">
        <v>527</v>
      </c>
      <c r="G180" s="186" t="s">
        <v>528</v>
      </c>
      <c r="H180" s="186" t="s">
        <v>523</v>
      </c>
      <c r="I180" s="186"/>
      <c r="J180" s="186">
        <v>1</v>
      </c>
      <c r="K180" s="186" t="s">
        <v>124</v>
      </c>
      <c r="L180" s="186" t="s">
        <v>524</v>
      </c>
    </row>
    <row r="181" spans="1:12" s="169" customFormat="1" ht="15.75" hidden="1" customHeight="1">
      <c r="A181" s="181" t="s">
        <v>662</v>
      </c>
      <c r="B181" s="183" t="s">
        <v>696</v>
      </c>
      <c r="C181" s="183" t="s">
        <v>763</v>
      </c>
      <c r="D181" s="183" t="s">
        <v>764</v>
      </c>
      <c r="E181" s="184">
        <v>10000000</v>
      </c>
      <c r="F181" s="185" t="s">
        <v>527</v>
      </c>
      <c r="G181" s="186" t="s">
        <v>523</v>
      </c>
      <c r="H181" s="186" t="s">
        <v>523</v>
      </c>
      <c r="I181" s="186"/>
      <c r="J181" s="186">
        <v>1</v>
      </c>
      <c r="K181" s="186" t="s">
        <v>124</v>
      </c>
      <c r="L181" s="186" t="s">
        <v>524</v>
      </c>
    </row>
    <row r="182" spans="1:12" s="169" customFormat="1" ht="15.75" hidden="1" customHeight="1">
      <c r="A182" s="181" t="s">
        <v>662</v>
      </c>
      <c r="B182" s="183" t="s">
        <v>556</v>
      </c>
      <c r="C182" s="183" t="s">
        <v>765</v>
      </c>
      <c r="D182" s="183" t="s">
        <v>766</v>
      </c>
      <c r="E182" s="184">
        <v>2000000</v>
      </c>
      <c r="F182" s="185" t="s">
        <v>527</v>
      </c>
      <c r="G182" s="186" t="s">
        <v>528</v>
      </c>
      <c r="H182" s="186" t="s">
        <v>523</v>
      </c>
      <c r="I182" s="186"/>
      <c r="J182" s="186">
        <v>1</v>
      </c>
      <c r="K182" s="186" t="s">
        <v>41</v>
      </c>
      <c r="L182" s="186" t="s">
        <v>123</v>
      </c>
    </row>
    <row r="183" spans="1:12" s="169" customFormat="1" ht="15.75" hidden="1" customHeight="1">
      <c r="A183" s="181" t="s">
        <v>662</v>
      </c>
      <c r="B183" s="183" t="s">
        <v>519</v>
      </c>
      <c r="C183" s="183" t="s">
        <v>767</v>
      </c>
      <c r="D183" s="183" t="s">
        <v>756</v>
      </c>
      <c r="E183" s="184">
        <v>2800000</v>
      </c>
      <c r="F183" s="183" t="s">
        <v>768</v>
      </c>
      <c r="G183" s="186" t="s">
        <v>523</v>
      </c>
      <c r="H183" s="186" t="s">
        <v>523</v>
      </c>
      <c r="I183" s="186"/>
      <c r="J183" s="186">
        <v>1</v>
      </c>
      <c r="K183" s="186" t="s">
        <v>41</v>
      </c>
      <c r="L183" s="186" t="s">
        <v>529</v>
      </c>
    </row>
    <row r="184" spans="1:12" s="169" customFormat="1" ht="15.75" hidden="1" customHeight="1">
      <c r="A184" s="181" t="s">
        <v>662</v>
      </c>
      <c r="B184" s="183" t="s">
        <v>519</v>
      </c>
      <c r="C184" s="183" t="s">
        <v>769</v>
      </c>
      <c r="D184" s="183" t="s">
        <v>526</v>
      </c>
      <c r="E184" s="184">
        <v>3200000</v>
      </c>
      <c r="F184" s="183" t="s">
        <v>770</v>
      </c>
      <c r="G184" s="186" t="s">
        <v>523</v>
      </c>
      <c r="H184" s="186" t="s">
        <v>523</v>
      </c>
      <c r="I184" s="186"/>
      <c r="J184" s="186">
        <v>1</v>
      </c>
      <c r="K184" s="186" t="s">
        <v>124</v>
      </c>
      <c r="L184" s="186" t="s">
        <v>529</v>
      </c>
    </row>
    <row r="185" spans="1:12" s="169" customFormat="1" ht="15.75" hidden="1" customHeight="1">
      <c r="A185" s="181" t="s">
        <v>662</v>
      </c>
      <c r="B185" s="183" t="s">
        <v>687</v>
      </c>
      <c r="C185" s="183" t="s">
        <v>771</v>
      </c>
      <c r="D185" s="183" t="s">
        <v>560</v>
      </c>
      <c r="E185" s="184">
        <v>3300000</v>
      </c>
      <c r="F185" s="185" t="s">
        <v>527</v>
      </c>
      <c r="G185" s="186" t="s">
        <v>528</v>
      </c>
      <c r="H185" s="186" t="s">
        <v>523</v>
      </c>
      <c r="I185" s="186"/>
      <c r="J185" s="186">
        <v>1</v>
      </c>
      <c r="K185" s="186" t="s">
        <v>124</v>
      </c>
      <c r="L185" s="186" t="s">
        <v>524</v>
      </c>
    </row>
    <row r="186" spans="1:12" s="169" customFormat="1" ht="15.75" hidden="1" customHeight="1">
      <c r="A186" s="181" t="s">
        <v>662</v>
      </c>
      <c r="B186" s="183" t="s">
        <v>687</v>
      </c>
      <c r="C186" s="183" t="s">
        <v>772</v>
      </c>
      <c r="D186" s="183" t="s">
        <v>174</v>
      </c>
      <c r="E186" s="184">
        <v>3300000</v>
      </c>
      <c r="F186" s="185" t="s">
        <v>527</v>
      </c>
      <c r="G186" s="186" t="s">
        <v>528</v>
      </c>
      <c r="H186" s="186" t="s">
        <v>523</v>
      </c>
      <c r="I186" s="186"/>
      <c r="J186" s="186">
        <v>1</v>
      </c>
      <c r="K186" s="186" t="s">
        <v>41</v>
      </c>
      <c r="L186" s="186" t="s">
        <v>524</v>
      </c>
    </row>
    <row r="187" spans="1:12" s="169" customFormat="1" ht="15.75" hidden="1" customHeight="1">
      <c r="A187" s="222"/>
      <c r="B187" s="183"/>
      <c r="C187" s="183"/>
      <c r="D187" s="183"/>
      <c r="E187" s="184"/>
      <c r="F187" s="183"/>
      <c r="G187" s="186"/>
      <c r="H187" s="186"/>
      <c r="I187" s="186"/>
      <c r="J187" s="186"/>
      <c r="K187" s="186"/>
      <c r="L187" s="186"/>
    </row>
    <row r="188" spans="1:12" s="169" customFormat="1" ht="15.75" hidden="1" customHeight="1">
      <c r="A188" s="979" t="s">
        <v>26</v>
      </c>
      <c r="B188" s="1048"/>
      <c r="C188" s="1048"/>
      <c r="D188" s="1048"/>
      <c r="E188" s="1048"/>
      <c r="F188" s="1048"/>
      <c r="G188" s="1048"/>
      <c r="H188" s="1048"/>
      <c r="I188" s="197"/>
      <c r="J188" s="198">
        <f>SUM(J164:J187)</f>
        <v>23</v>
      </c>
      <c r="K188" s="199"/>
      <c r="L188" s="177"/>
    </row>
    <row r="189" spans="1:12" s="169" customFormat="1" ht="15.75" hidden="1" customHeight="1">
      <c r="A189" s="168"/>
      <c r="B189" s="168"/>
      <c r="C189" s="168"/>
      <c r="D189" s="168"/>
      <c r="E189" s="168"/>
      <c r="F189" s="168"/>
      <c r="L189" s="168"/>
    </row>
    <row r="190" spans="1:12" s="169" customFormat="1" ht="15.75" hidden="1" customHeight="1">
      <c r="A190" s="978" t="s">
        <v>37</v>
      </c>
      <c r="B190" s="978"/>
      <c r="C190" s="978"/>
      <c r="D190" s="978"/>
      <c r="E190" s="978"/>
      <c r="F190" s="978"/>
      <c r="G190" s="978"/>
      <c r="H190" s="978"/>
      <c r="I190" s="978"/>
      <c r="J190" s="978"/>
      <c r="K190" s="978"/>
      <c r="L190" s="978"/>
    </row>
    <row r="191" spans="1:12" s="169" customFormat="1" ht="15.75" hidden="1" customHeight="1">
      <c r="A191" s="200" t="s">
        <v>507</v>
      </c>
      <c r="B191" s="201" t="s">
        <v>508</v>
      </c>
      <c r="C191" s="201" t="s">
        <v>509</v>
      </c>
      <c r="D191" s="201" t="s">
        <v>510</v>
      </c>
      <c r="E191" s="202" t="s">
        <v>511</v>
      </c>
      <c r="F191" s="201" t="s">
        <v>512</v>
      </c>
      <c r="G191" s="203" t="s">
        <v>513</v>
      </c>
      <c r="H191" s="203" t="s">
        <v>514</v>
      </c>
      <c r="I191" s="203"/>
      <c r="J191" s="203" t="s">
        <v>515</v>
      </c>
      <c r="K191" s="203" t="s">
        <v>516</v>
      </c>
      <c r="L191" s="201" t="s">
        <v>517</v>
      </c>
    </row>
    <row r="192" spans="1:12" s="169" customFormat="1" ht="15.75" hidden="1" customHeight="1">
      <c r="A192" s="176" t="s">
        <v>656</v>
      </c>
      <c r="B192" s="177" t="s">
        <v>519</v>
      </c>
      <c r="C192" s="177" t="s">
        <v>646</v>
      </c>
      <c r="D192" s="177" t="s">
        <v>647</v>
      </c>
      <c r="E192" s="178">
        <v>2400000000</v>
      </c>
      <c r="F192" s="177" t="s">
        <v>773</v>
      </c>
      <c r="G192" s="179" t="s">
        <v>528</v>
      </c>
      <c r="H192" s="179" t="s">
        <v>523</v>
      </c>
      <c r="I192" s="179"/>
      <c r="J192" s="179">
        <v>1</v>
      </c>
      <c r="K192" s="179"/>
      <c r="L192" s="177" t="s">
        <v>606</v>
      </c>
    </row>
    <row r="193" spans="1:12" s="169" customFormat="1" ht="15.75" hidden="1" customHeight="1">
      <c r="A193" s="176" t="s">
        <v>656</v>
      </c>
      <c r="B193" s="223" t="s">
        <v>556</v>
      </c>
      <c r="C193" s="224" t="s">
        <v>774</v>
      </c>
      <c r="D193" s="224" t="s">
        <v>775</v>
      </c>
      <c r="E193" s="225">
        <v>300000000</v>
      </c>
      <c r="F193" s="224" t="s">
        <v>527</v>
      </c>
      <c r="G193" s="226" t="s">
        <v>528</v>
      </c>
      <c r="H193" s="226" t="s">
        <v>523</v>
      </c>
      <c r="I193" s="226"/>
      <c r="J193" s="226">
        <v>1</v>
      </c>
      <c r="K193" s="226"/>
      <c r="L193" s="224" t="s">
        <v>524</v>
      </c>
    </row>
    <row r="194" spans="1:12" s="169" customFormat="1" ht="15.75" hidden="1" customHeight="1">
      <c r="A194" s="176" t="s">
        <v>656</v>
      </c>
      <c r="B194" s="223" t="s">
        <v>556</v>
      </c>
      <c r="C194" s="224" t="s">
        <v>776</v>
      </c>
      <c r="D194" s="224" t="s">
        <v>775</v>
      </c>
      <c r="E194" s="225">
        <v>330000000</v>
      </c>
      <c r="F194" s="224" t="s">
        <v>527</v>
      </c>
      <c r="G194" s="226" t="s">
        <v>528</v>
      </c>
      <c r="H194" s="226" t="s">
        <v>523</v>
      </c>
      <c r="I194" s="226"/>
      <c r="J194" s="226">
        <v>1</v>
      </c>
      <c r="K194" s="226"/>
      <c r="L194" s="224" t="s">
        <v>524</v>
      </c>
    </row>
    <row r="195" spans="1:12" s="169" customFormat="1" ht="15.75" hidden="1" customHeight="1">
      <c r="A195" s="176" t="s">
        <v>656</v>
      </c>
      <c r="B195" s="223" t="s">
        <v>556</v>
      </c>
      <c r="C195" s="224" t="s">
        <v>777</v>
      </c>
      <c r="D195" s="224" t="s">
        <v>775</v>
      </c>
      <c r="E195" s="225">
        <v>260000000</v>
      </c>
      <c r="F195" s="224" t="s">
        <v>527</v>
      </c>
      <c r="G195" s="226" t="s">
        <v>528</v>
      </c>
      <c r="H195" s="226" t="s">
        <v>523</v>
      </c>
      <c r="I195" s="226"/>
      <c r="J195" s="226">
        <v>1</v>
      </c>
      <c r="K195" s="226"/>
      <c r="L195" s="224" t="s">
        <v>524</v>
      </c>
    </row>
    <row r="196" spans="1:12" s="169" customFormat="1" ht="15.75" hidden="1" customHeight="1">
      <c r="A196" s="181" t="s">
        <v>662</v>
      </c>
      <c r="B196" s="182" t="s">
        <v>519</v>
      </c>
      <c r="C196" s="183" t="s">
        <v>778</v>
      </c>
      <c r="D196" s="183" t="s">
        <v>779</v>
      </c>
      <c r="E196" s="184">
        <v>3100000</v>
      </c>
      <c r="F196" s="185" t="s">
        <v>527</v>
      </c>
      <c r="G196" s="186" t="s">
        <v>528</v>
      </c>
      <c r="H196" s="186" t="s">
        <v>523</v>
      </c>
      <c r="I196" s="186"/>
      <c r="J196" s="186">
        <v>1</v>
      </c>
      <c r="K196" s="186" t="s">
        <v>41</v>
      </c>
      <c r="L196" s="186" t="s">
        <v>524</v>
      </c>
    </row>
    <row r="197" spans="1:12" s="169" customFormat="1" ht="15.75" hidden="1" customHeight="1">
      <c r="A197" s="181" t="s">
        <v>662</v>
      </c>
      <c r="B197" s="182" t="s">
        <v>556</v>
      </c>
      <c r="C197" s="183" t="s">
        <v>780</v>
      </c>
      <c r="D197" s="183" t="s">
        <v>781</v>
      </c>
      <c r="E197" s="184">
        <v>6900000</v>
      </c>
      <c r="F197" s="183" t="s">
        <v>672</v>
      </c>
      <c r="G197" s="186" t="s">
        <v>528</v>
      </c>
      <c r="H197" s="186" t="s">
        <v>523</v>
      </c>
      <c r="I197" s="186"/>
      <c r="J197" s="186">
        <v>1</v>
      </c>
      <c r="K197" s="186" t="s">
        <v>124</v>
      </c>
      <c r="L197" s="186" t="s">
        <v>524</v>
      </c>
    </row>
    <row r="198" spans="1:12" s="169" customFormat="1" ht="15.75" hidden="1" customHeight="1">
      <c r="A198" s="181" t="s">
        <v>662</v>
      </c>
      <c r="B198" s="182" t="s">
        <v>556</v>
      </c>
      <c r="C198" s="183" t="s">
        <v>782</v>
      </c>
      <c r="D198" s="183" t="s">
        <v>781</v>
      </c>
      <c r="E198" s="184">
        <v>4300000</v>
      </c>
      <c r="F198" s="183" t="s">
        <v>672</v>
      </c>
      <c r="G198" s="186" t="s">
        <v>528</v>
      </c>
      <c r="H198" s="186" t="s">
        <v>523</v>
      </c>
      <c r="I198" s="186"/>
      <c r="J198" s="186">
        <v>1</v>
      </c>
      <c r="K198" s="186" t="s">
        <v>124</v>
      </c>
      <c r="L198" s="186" t="s">
        <v>524</v>
      </c>
    </row>
    <row r="199" spans="1:12" s="169" customFormat="1" ht="15.75" hidden="1" customHeight="1">
      <c r="A199" s="181" t="s">
        <v>662</v>
      </c>
      <c r="B199" s="182" t="s">
        <v>687</v>
      </c>
      <c r="C199" s="183" t="s">
        <v>783</v>
      </c>
      <c r="D199" s="183" t="s">
        <v>593</v>
      </c>
      <c r="E199" s="184">
        <v>2000000</v>
      </c>
      <c r="F199" s="185" t="s">
        <v>527</v>
      </c>
      <c r="G199" s="186" t="s">
        <v>528</v>
      </c>
      <c r="H199" s="186" t="s">
        <v>523</v>
      </c>
      <c r="I199" s="186"/>
      <c r="J199" s="186">
        <v>1</v>
      </c>
      <c r="K199" s="186" t="s">
        <v>124</v>
      </c>
      <c r="L199" s="186" t="s">
        <v>524</v>
      </c>
    </row>
    <row r="200" spans="1:12" s="169" customFormat="1" ht="15.75" hidden="1" customHeight="1">
      <c r="A200" s="181" t="s">
        <v>662</v>
      </c>
      <c r="B200" s="182" t="s">
        <v>519</v>
      </c>
      <c r="C200" s="183" t="s">
        <v>71</v>
      </c>
      <c r="D200" s="183" t="s">
        <v>784</v>
      </c>
      <c r="E200" s="184">
        <v>1150000</v>
      </c>
      <c r="F200" s="183" t="s">
        <v>785</v>
      </c>
      <c r="G200" s="186" t="s">
        <v>523</v>
      </c>
      <c r="H200" s="186" t="s">
        <v>523</v>
      </c>
      <c r="I200" s="186"/>
      <c r="J200" s="186">
        <v>1</v>
      </c>
      <c r="K200" s="186" t="s">
        <v>41</v>
      </c>
      <c r="L200" s="186" t="s">
        <v>123</v>
      </c>
    </row>
    <row r="201" spans="1:12" s="169" customFormat="1" ht="15.75" hidden="1" customHeight="1">
      <c r="A201" s="181" t="s">
        <v>662</v>
      </c>
      <c r="B201" s="182" t="s">
        <v>519</v>
      </c>
      <c r="C201" s="183" t="s">
        <v>786</v>
      </c>
      <c r="D201" s="183" t="s">
        <v>787</v>
      </c>
      <c r="E201" s="184">
        <v>2100000</v>
      </c>
      <c r="F201" s="185" t="s">
        <v>527</v>
      </c>
      <c r="G201" s="186" t="s">
        <v>528</v>
      </c>
      <c r="H201" s="186" t="s">
        <v>523</v>
      </c>
      <c r="I201" s="186"/>
      <c r="J201" s="186">
        <v>1</v>
      </c>
      <c r="K201" s="186" t="s">
        <v>41</v>
      </c>
      <c r="L201" s="186" t="s">
        <v>524</v>
      </c>
    </row>
    <row r="202" spans="1:12" s="169" customFormat="1" ht="15.75" hidden="1" customHeight="1">
      <c r="A202" s="181" t="s">
        <v>662</v>
      </c>
      <c r="B202" s="182" t="s">
        <v>556</v>
      </c>
      <c r="C202" s="183" t="s">
        <v>788</v>
      </c>
      <c r="D202" s="183" t="s">
        <v>789</v>
      </c>
      <c r="E202" s="184">
        <v>2000000</v>
      </c>
      <c r="F202" s="185" t="s">
        <v>527</v>
      </c>
      <c r="G202" s="186" t="s">
        <v>528</v>
      </c>
      <c r="H202" s="186" t="s">
        <v>523</v>
      </c>
      <c r="I202" s="186"/>
      <c r="J202" s="186">
        <v>1</v>
      </c>
      <c r="K202" s="186" t="s">
        <v>124</v>
      </c>
      <c r="L202" s="186" t="s">
        <v>524</v>
      </c>
    </row>
    <row r="203" spans="1:12" s="169" customFormat="1" ht="15.75" hidden="1" customHeight="1">
      <c r="A203" s="181" t="s">
        <v>662</v>
      </c>
      <c r="B203" s="182" t="s">
        <v>556</v>
      </c>
      <c r="C203" s="183" t="s">
        <v>774</v>
      </c>
      <c r="D203" s="183" t="s">
        <v>775</v>
      </c>
      <c r="E203" s="184">
        <v>2800000</v>
      </c>
      <c r="F203" s="185" t="s">
        <v>527</v>
      </c>
      <c r="G203" s="186" t="s">
        <v>528</v>
      </c>
      <c r="H203" s="186" t="s">
        <v>523</v>
      </c>
      <c r="I203" s="186"/>
      <c r="J203" s="186">
        <v>1</v>
      </c>
      <c r="K203" s="186" t="s">
        <v>41</v>
      </c>
      <c r="L203" s="186" t="s">
        <v>529</v>
      </c>
    </row>
    <row r="204" spans="1:12" s="169" customFormat="1" ht="15.75" hidden="1" customHeight="1">
      <c r="A204" s="181" t="s">
        <v>662</v>
      </c>
      <c r="B204" s="182" t="s">
        <v>556</v>
      </c>
      <c r="C204" s="183" t="s">
        <v>777</v>
      </c>
      <c r="D204" s="183" t="s">
        <v>775</v>
      </c>
      <c r="E204" s="184">
        <v>2600000</v>
      </c>
      <c r="F204" s="185" t="s">
        <v>527</v>
      </c>
      <c r="G204" s="186" t="s">
        <v>528</v>
      </c>
      <c r="H204" s="186" t="s">
        <v>523</v>
      </c>
      <c r="I204" s="186"/>
      <c r="J204" s="186">
        <v>1</v>
      </c>
      <c r="K204" s="186" t="s">
        <v>41</v>
      </c>
      <c r="L204" s="186" t="s">
        <v>529</v>
      </c>
    </row>
    <row r="205" spans="1:12" s="169" customFormat="1" ht="15.75" hidden="1" customHeight="1">
      <c r="A205" s="181" t="s">
        <v>662</v>
      </c>
      <c r="B205" s="182" t="s">
        <v>556</v>
      </c>
      <c r="C205" s="183" t="s">
        <v>776</v>
      </c>
      <c r="D205" s="183" t="s">
        <v>775</v>
      </c>
      <c r="E205" s="184">
        <v>3300000</v>
      </c>
      <c r="F205" s="185" t="s">
        <v>790</v>
      </c>
      <c r="G205" s="186" t="s">
        <v>528</v>
      </c>
      <c r="H205" s="186" t="s">
        <v>523</v>
      </c>
      <c r="I205" s="186"/>
      <c r="J205" s="186">
        <v>1</v>
      </c>
      <c r="K205" s="186" t="s">
        <v>41</v>
      </c>
      <c r="L205" s="186" t="s">
        <v>529</v>
      </c>
    </row>
    <row r="206" spans="1:12" s="169" customFormat="1" ht="15.75" hidden="1" customHeight="1">
      <c r="A206" s="181" t="s">
        <v>662</v>
      </c>
      <c r="B206" s="182" t="s">
        <v>519</v>
      </c>
      <c r="C206" s="183" t="s">
        <v>791</v>
      </c>
      <c r="D206" s="183" t="s">
        <v>792</v>
      </c>
      <c r="E206" s="184">
        <v>3200000</v>
      </c>
      <c r="F206" s="185" t="s">
        <v>527</v>
      </c>
      <c r="G206" s="186" t="s">
        <v>528</v>
      </c>
      <c r="H206" s="186" t="s">
        <v>523</v>
      </c>
      <c r="I206" s="186"/>
      <c r="J206" s="186">
        <v>1</v>
      </c>
      <c r="K206" s="186" t="s">
        <v>124</v>
      </c>
      <c r="L206" s="186" t="s">
        <v>529</v>
      </c>
    </row>
    <row r="207" spans="1:12" s="169" customFormat="1" ht="15.75" hidden="1" customHeight="1">
      <c r="A207" s="181" t="s">
        <v>662</v>
      </c>
      <c r="B207" s="183" t="s">
        <v>556</v>
      </c>
      <c r="C207" s="183" t="s">
        <v>793</v>
      </c>
      <c r="D207" s="183" t="s">
        <v>174</v>
      </c>
      <c r="E207" s="184">
        <v>1800000</v>
      </c>
      <c r="F207" s="183" t="s">
        <v>794</v>
      </c>
      <c r="G207" s="186" t="s">
        <v>523</v>
      </c>
      <c r="H207" s="186" t="s">
        <v>523</v>
      </c>
      <c r="I207" s="186"/>
      <c r="J207" s="186">
        <v>1</v>
      </c>
      <c r="K207" s="186" t="s">
        <v>124</v>
      </c>
      <c r="L207" s="186" t="s">
        <v>123</v>
      </c>
    </row>
    <row r="208" spans="1:12" s="169" customFormat="1" ht="15.75" hidden="1" customHeight="1">
      <c r="A208" s="181" t="s">
        <v>662</v>
      </c>
      <c r="B208" s="183" t="s">
        <v>687</v>
      </c>
      <c r="C208" s="183" t="s">
        <v>795</v>
      </c>
      <c r="D208" s="183" t="s">
        <v>174</v>
      </c>
      <c r="E208" s="184">
        <v>1800000</v>
      </c>
      <c r="F208" s="183" t="s">
        <v>794</v>
      </c>
      <c r="G208" s="186" t="s">
        <v>523</v>
      </c>
      <c r="H208" s="186" t="s">
        <v>523</v>
      </c>
      <c r="I208" s="186"/>
      <c r="J208" s="186">
        <v>1</v>
      </c>
      <c r="K208" s="227" t="s">
        <v>124</v>
      </c>
      <c r="L208" s="186" t="s">
        <v>123</v>
      </c>
    </row>
    <row r="209" spans="1:12" s="169" customFormat="1" ht="15.75" hidden="1" customHeight="1">
      <c r="A209" s="181" t="s">
        <v>662</v>
      </c>
      <c r="B209" s="183" t="s">
        <v>519</v>
      </c>
      <c r="C209" s="183" t="s">
        <v>796</v>
      </c>
      <c r="D209" s="183" t="s">
        <v>174</v>
      </c>
      <c r="E209" s="184">
        <v>1450000</v>
      </c>
      <c r="F209" s="185" t="s">
        <v>527</v>
      </c>
      <c r="G209" s="186" t="s">
        <v>528</v>
      </c>
      <c r="H209" s="186" t="s">
        <v>523</v>
      </c>
      <c r="I209" s="186"/>
      <c r="J209" s="186">
        <v>1</v>
      </c>
      <c r="K209" s="227" t="s">
        <v>124</v>
      </c>
      <c r="L209" s="186" t="s">
        <v>524</v>
      </c>
    </row>
    <row r="210" spans="1:12" s="169" customFormat="1" ht="15.75" hidden="1" customHeight="1">
      <c r="A210" s="181" t="s">
        <v>662</v>
      </c>
      <c r="B210" s="183" t="s">
        <v>687</v>
      </c>
      <c r="C210" s="183" t="s">
        <v>797</v>
      </c>
      <c r="D210" s="183" t="s">
        <v>174</v>
      </c>
      <c r="E210" s="184">
        <v>3300000</v>
      </c>
      <c r="F210" s="185" t="s">
        <v>798</v>
      </c>
      <c r="G210" s="186" t="s">
        <v>528</v>
      </c>
      <c r="H210" s="186" t="s">
        <v>523</v>
      </c>
      <c r="I210" s="186"/>
      <c r="J210" s="186">
        <v>1</v>
      </c>
      <c r="K210" s="227" t="s">
        <v>41</v>
      </c>
      <c r="L210" s="186" t="s">
        <v>524</v>
      </c>
    </row>
    <row r="211" spans="1:12" s="169" customFormat="1" ht="15.75" hidden="1" customHeight="1">
      <c r="A211" s="181" t="s">
        <v>662</v>
      </c>
      <c r="B211" s="183" t="s">
        <v>519</v>
      </c>
      <c r="C211" s="183" t="s">
        <v>799</v>
      </c>
      <c r="D211" s="183" t="s">
        <v>800</v>
      </c>
      <c r="E211" s="184">
        <v>1250000</v>
      </c>
      <c r="F211" s="185" t="s">
        <v>527</v>
      </c>
      <c r="G211" s="186" t="s">
        <v>528</v>
      </c>
      <c r="H211" s="186" t="s">
        <v>523</v>
      </c>
      <c r="I211" s="186"/>
      <c r="J211" s="186">
        <v>1</v>
      </c>
      <c r="K211" s="227" t="s">
        <v>41</v>
      </c>
      <c r="L211" s="186" t="s">
        <v>524</v>
      </c>
    </row>
    <row r="212" spans="1:12" s="169" customFormat="1" ht="15.75" hidden="1" customHeight="1">
      <c r="A212" s="181" t="s">
        <v>662</v>
      </c>
      <c r="B212" s="183" t="s">
        <v>696</v>
      </c>
      <c r="C212" s="183" t="s">
        <v>801</v>
      </c>
      <c r="D212" s="183" t="s">
        <v>521</v>
      </c>
      <c r="E212" s="184">
        <v>6800000</v>
      </c>
      <c r="F212" s="185" t="s">
        <v>527</v>
      </c>
      <c r="G212" s="186" t="s">
        <v>528</v>
      </c>
      <c r="H212" s="186" t="s">
        <v>523</v>
      </c>
      <c r="I212" s="186"/>
      <c r="J212" s="186">
        <v>1</v>
      </c>
      <c r="K212" s="227" t="s">
        <v>124</v>
      </c>
      <c r="L212" s="186" t="s">
        <v>524</v>
      </c>
    </row>
    <row r="213" spans="1:12" s="169" customFormat="1" ht="15.75" hidden="1" customHeight="1">
      <c r="A213" s="181" t="s">
        <v>662</v>
      </c>
      <c r="B213" s="183" t="s">
        <v>556</v>
      </c>
      <c r="C213" s="183" t="s">
        <v>802</v>
      </c>
      <c r="D213" s="183" t="s">
        <v>593</v>
      </c>
      <c r="E213" s="184">
        <v>1500000</v>
      </c>
      <c r="F213" s="183" t="s">
        <v>672</v>
      </c>
      <c r="G213" s="186" t="s">
        <v>528</v>
      </c>
      <c r="H213" s="186" t="s">
        <v>523</v>
      </c>
      <c r="I213" s="186"/>
      <c r="J213" s="186">
        <v>1</v>
      </c>
      <c r="K213" s="227" t="s">
        <v>124</v>
      </c>
      <c r="L213" s="186" t="s">
        <v>524</v>
      </c>
    </row>
    <row r="214" spans="1:12" s="169" customFormat="1" ht="15.75" hidden="1" customHeight="1">
      <c r="A214" s="181" t="s">
        <v>662</v>
      </c>
      <c r="B214" s="183" t="s">
        <v>556</v>
      </c>
      <c r="C214" s="183" t="s">
        <v>803</v>
      </c>
      <c r="D214" s="183" t="s">
        <v>593</v>
      </c>
      <c r="E214" s="184">
        <v>3300000</v>
      </c>
      <c r="F214" s="183" t="s">
        <v>561</v>
      </c>
      <c r="G214" s="186" t="s">
        <v>528</v>
      </c>
      <c r="H214" s="186" t="s">
        <v>523</v>
      </c>
      <c r="I214" s="186"/>
      <c r="J214" s="186">
        <v>1</v>
      </c>
      <c r="K214" s="227" t="s">
        <v>41</v>
      </c>
      <c r="L214" s="186" t="s">
        <v>524</v>
      </c>
    </row>
    <row r="215" spans="1:12" s="169" customFormat="1" ht="15.75" hidden="1" customHeight="1">
      <c r="A215" s="181" t="s">
        <v>662</v>
      </c>
      <c r="B215" s="183" t="s">
        <v>556</v>
      </c>
      <c r="C215" s="183" t="s">
        <v>804</v>
      </c>
      <c r="D215" s="183" t="s">
        <v>174</v>
      </c>
      <c r="E215" s="184">
        <v>14000000</v>
      </c>
      <c r="F215" s="183" t="s">
        <v>773</v>
      </c>
      <c r="G215" s="186" t="s">
        <v>528</v>
      </c>
      <c r="H215" s="186" t="s">
        <v>523</v>
      </c>
      <c r="I215" s="186"/>
      <c r="J215" s="186">
        <v>1</v>
      </c>
      <c r="K215" s="227" t="s">
        <v>124</v>
      </c>
      <c r="L215" s="186" t="s">
        <v>524</v>
      </c>
    </row>
    <row r="216" spans="1:12" s="169" customFormat="1" ht="15.75" hidden="1" customHeight="1">
      <c r="A216" s="196"/>
      <c r="B216" s="183"/>
      <c r="C216" s="183"/>
      <c r="D216" s="183"/>
      <c r="E216" s="184"/>
      <c r="F216" s="183"/>
      <c r="G216" s="186"/>
      <c r="H216" s="186"/>
      <c r="I216" s="186"/>
      <c r="J216" s="186"/>
      <c r="K216" s="227"/>
      <c r="L216" s="186"/>
    </row>
    <row r="217" spans="1:12" s="169" customFormat="1" ht="15.75" hidden="1" customHeight="1">
      <c r="A217" s="979" t="s">
        <v>26</v>
      </c>
      <c r="B217" s="1048"/>
      <c r="C217" s="1048"/>
      <c r="D217" s="1048"/>
      <c r="E217" s="1048"/>
      <c r="F217" s="1048"/>
      <c r="G217" s="1048"/>
      <c r="H217" s="1048"/>
      <c r="I217" s="197"/>
      <c r="J217" s="198">
        <f>SUM(J192:J215)</f>
        <v>24</v>
      </c>
      <c r="K217" s="199"/>
      <c r="L217" s="177"/>
    </row>
    <row r="218" spans="1:12" s="169" customFormat="1" ht="15.75" customHeight="1">
      <c r="A218" s="168"/>
      <c r="B218" s="168"/>
      <c r="C218" s="168"/>
      <c r="D218" s="168"/>
      <c r="E218" s="168"/>
      <c r="F218" s="168"/>
      <c r="L218" s="168"/>
    </row>
    <row r="219" spans="1:12" s="169" customFormat="1" ht="31.5" customHeight="1">
      <c r="A219" s="168"/>
      <c r="B219" s="980" t="s">
        <v>805</v>
      </c>
      <c r="C219" s="981"/>
      <c r="D219" s="981"/>
      <c r="E219" s="981"/>
      <c r="F219" s="982"/>
      <c r="L219" s="168"/>
    </row>
    <row r="220" spans="1:12" s="169" customFormat="1" ht="15.75" customHeight="1">
      <c r="A220" s="168"/>
      <c r="B220" s="168"/>
      <c r="C220" s="168"/>
      <c r="D220" s="168"/>
      <c r="E220" s="168"/>
      <c r="F220" s="168"/>
      <c r="L220" s="168"/>
    </row>
    <row r="221" spans="1:12" s="169" customFormat="1" ht="15.75" hidden="1" customHeight="1">
      <c r="A221" s="989" t="s">
        <v>64</v>
      </c>
      <c r="B221" s="894"/>
      <c r="C221" s="894"/>
      <c r="D221" s="894"/>
      <c r="E221" s="894"/>
      <c r="F221" s="894"/>
      <c r="G221" s="894"/>
      <c r="H221" s="894"/>
      <c r="I221" s="894"/>
      <c r="J221" s="894"/>
      <c r="K221" s="894"/>
      <c r="L221" s="990"/>
    </row>
    <row r="222" spans="1:12" s="169" customFormat="1" ht="15.75" hidden="1" customHeight="1">
      <c r="A222" s="170" t="s">
        <v>507</v>
      </c>
      <c r="B222" s="171" t="s">
        <v>508</v>
      </c>
      <c r="C222" s="171" t="s">
        <v>509</v>
      </c>
      <c r="D222" s="171" t="s">
        <v>510</v>
      </c>
      <c r="E222" s="172" t="s">
        <v>511</v>
      </c>
      <c r="F222" s="171" t="s">
        <v>512</v>
      </c>
      <c r="G222" s="173" t="s">
        <v>513</v>
      </c>
      <c r="H222" s="173" t="s">
        <v>514</v>
      </c>
      <c r="I222" s="173"/>
      <c r="J222" s="173" t="s">
        <v>515</v>
      </c>
      <c r="K222" s="174" t="s">
        <v>516</v>
      </c>
      <c r="L222" s="175" t="s">
        <v>517</v>
      </c>
    </row>
    <row r="223" spans="1:12" s="169" customFormat="1" ht="15.75" hidden="1" customHeight="1">
      <c r="A223" s="181" t="s">
        <v>806</v>
      </c>
      <c r="B223" s="182" t="s">
        <v>519</v>
      </c>
      <c r="C223" s="183" t="s">
        <v>807</v>
      </c>
      <c r="D223" s="183" t="s">
        <v>534</v>
      </c>
      <c r="E223" s="184">
        <v>1350000</v>
      </c>
      <c r="F223" s="183" t="s">
        <v>535</v>
      </c>
      <c r="G223" s="186" t="s">
        <v>528</v>
      </c>
      <c r="H223" s="186" t="s">
        <v>523</v>
      </c>
      <c r="I223" s="186"/>
      <c r="J223" s="186">
        <v>1</v>
      </c>
      <c r="K223" s="186" t="s">
        <v>124</v>
      </c>
      <c r="L223" s="183" t="s">
        <v>123</v>
      </c>
    </row>
    <row r="224" spans="1:12" s="169" customFormat="1" ht="15.75" hidden="1" customHeight="1">
      <c r="A224" s="181" t="s">
        <v>806</v>
      </c>
      <c r="B224" s="187" t="s">
        <v>519</v>
      </c>
      <c r="C224" s="188" t="s">
        <v>808</v>
      </c>
      <c r="D224" s="188" t="s">
        <v>534</v>
      </c>
      <c r="E224" s="189">
        <v>1500000</v>
      </c>
      <c r="F224" s="188" t="s">
        <v>535</v>
      </c>
      <c r="G224" s="191" t="s">
        <v>528</v>
      </c>
      <c r="H224" s="191" t="s">
        <v>523</v>
      </c>
      <c r="I224" s="191"/>
      <c r="J224" s="191">
        <v>1</v>
      </c>
      <c r="K224" s="191" t="s">
        <v>41</v>
      </c>
      <c r="L224" s="188" t="s">
        <v>529</v>
      </c>
    </row>
    <row r="225" spans="1:12" s="169" customFormat="1" ht="15.75" hidden="1" customHeight="1">
      <c r="A225" s="181" t="s">
        <v>806</v>
      </c>
      <c r="B225" s="187" t="s">
        <v>519</v>
      </c>
      <c r="C225" s="188" t="s">
        <v>649</v>
      </c>
      <c r="D225" s="188" t="s">
        <v>634</v>
      </c>
      <c r="E225" s="189">
        <v>4000000</v>
      </c>
      <c r="F225" s="188" t="s">
        <v>809</v>
      </c>
      <c r="G225" s="191" t="s">
        <v>523</v>
      </c>
      <c r="H225" s="191" t="s">
        <v>523</v>
      </c>
      <c r="I225" s="191"/>
      <c r="J225" s="191">
        <v>1</v>
      </c>
      <c r="K225" s="191" t="s">
        <v>41</v>
      </c>
      <c r="L225" s="188" t="s">
        <v>529</v>
      </c>
    </row>
    <row r="226" spans="1:12" s="169" customFormat="1" ht="15.75" hidden="1" customHeight="1">
      <c r="A226" s="181" t="s">
        <v>806</v>
      </c>
      <c r="B226" s="187" t="s">
        <v>519</v>
      </c>
      <c r="C226" s="188" t="s">
        <v>810</v>
      </c>
      <c r="D226" s="188" t="s">
        <v>526</v>
      </c>
      <c r="E226" s="189">
        <v>2300000</v>
      </c>
      <c r="F226" s="190" t="s">
        <v>527</v>
      </c>
      <c r="G226" s="191" t="s">
        <v>523</v>
      </c>
      <c r="H226" s="191" t="s">
        <v>523</v>
      </c>
      <c r="I226" s="191"/>
      <c r="J226" s="191">
        <v>1</v>
      </c>
      <c r="K226" s="191" t="s">
        <v>41</v>
      </c>
      <c r="L226" s="188" t="s">
        <v>529</v>
      </c>
    </row>
    <row r="227" spans="1:12" s="169" customFormat="1" ht="15.75" hidden="1" customHeight="1">
      <c r="A227" s="181" t="s">
        <v>806</v>
      </c>
      <c r="B227" s="187" t="s">
        <v>519</v>
      </c>
      <c r="C227" s="188" t="s">
        <v>811</v>
      </c>
      <c r="D227" s="188" t="s">
        <v>534</v>
      </c>
      <c r="E227" s="189">
        <v>2300000</v>
      </c>
      <c r="F227" s="188" t="s">
        <v>547</v>
      </c>
      <c r="G227" s="191" t="s">
        <v>523</v>
      </c>
      <c r="H227" s="191" t="s">
        <v>523</v>
      </c>
      <c r="I227" s="191"/>
      <c r="J227" s="191">
        <v>1</v>
      </c>
      <c r="K227" s="191" t="s">
        <v>124</v>
      </c>
      <c r="L227" s="188" t="s">
        <v>529</v>
      </c>
    </row>
    <row r="228" spans="1:12" s="169" customFormat="1" ht="15.75" hidden="1" customHeight="1">
      <c r="A228" s="181" t="s">
        <v>806</v>
      </c>
      <c r="B228" s="187" t="s">
        <v>519</v>
      </c>
      <c r="C228" s="192" t="s">
        <v>812</v>
      </c>
      <c r="D228" s="188" t="s">
        <v>534</v>
      </c>
      <c r="E228" s="189">
        <v>1350000</v>
      </c>
      <c r="F228" s="188" t="s">
        <v>813</v>
      </c>
      <c r="G228" s="191" t="s">
        <v>523</v>
      </c>
      <c r="H228" s="191" t="s">
        <v>523</v>
      </c>
      <c r="I228" s="191"/>
      <c r="J228" s="191">
        <v>1</v>
      </c>
      <c r="K228" s="191" t="s">
        <v>124</v>
      </c>
      <c r="L228" s="188" t="s">
        <v>529</v>
      </c>
    </row>
    <row r="229" spans="1:12" s="169" customFormat="1" ht="15.75" hidden="1" customHeight="1">
      <c r="A229" s="181"/>
      <c r="B229" s="187"/>
      <c r="C229" s="188"/>
      <c r="D229" s="188"/>
      <c r="E229" s="189"/>
      <c r="F229" s="188"/>
      <c r="G229" s="191"/>
      <c r="H229" s="191"/>
      <c r="I229" s="191"/>
      <c r="J229" s="191"/>
      <c r="K229" s="191"/>
      <c r="L229" s="188"/>
    </row>
    <row r="230" spans="1:12" s="169" customFormat="1" ht="15.75" hidden="1" customHeight="1">
      <c r="A230" s="979" t="s">
        <v>26</v>
      </c>
      <c r="B230" s="1048"/>
      <c r="C230" s="1048"/>
      <c r="D230" s="1048"/>
      <c r="E230" s="1048"/>
      <c r="F230" s="1048"/>
      <c r="G230" s="1048"/>
      <c r="H230" s="1048"/>
      <c r="I230" s="197"/>
      <c r="J230" s="198">
        <f>SUM(J223:J229)</f>
        <v>6</v>
      </c>
      <c r="K230" s="199"/>
      <c r="L230" s="177"/>
    </row>
    <row r="231" spans="1:12" s="169" customFormat="1" ht="15.75" hidden="1" customHeight="1">
      <c r="A231" s="168"/>
      <c r="B231" s="168"/>
      <c r="C231" s="168"/>
      <c r="D231" s="168"/>
      <c r="E231" s="168"/>
      <c r="F231" s="168"/>
      <c r="L231" s="168"/>
    </row>
    <row r="232" spans="1:12" s="169" customFormat="1" ht="15.75" hidden="1" customHeight="1">
      <c r="A232" s="168"/>
      <c r="B232" s="168"/>
      <c r="C232" s="168"/>
      <c r="D232" s="168"/>
      <c r="E232" s="168"/>
      <c r="F232" s="168"/>
      <c r="L232" s="168"/>
    </row>
    <row r="233" spans="1:12" s="169" customFormat="1" ht="15.75" hidden="1" customHeight="1">
      <c r="A233" s="978" t="s">
        <v>16</v>
      </c>
      <c r="B233" s="978"/>
      <c r="C233" s="978"/>
      <c r="D233" s="978"/>
      <c r="E233" s="978"/>
      <c r="F233" s="978"/>
      <c r="G233" s="978"/>
      <c r="H233" s="978"/>
      <c r="I233" s="978"/>
      <c r="J233" s="978"/>
      <c r="K233" s="978"/>
      <c r="L233" s="978"/>
    </row>
    <row r="234" spans="1:12" s="169" customFormat="1" ht="15.75" hidden="1" customHeight="1">
      <c r="A234" s="200" t="s">
        <v>507</v>
      </c>
      <c r="B234" s="201" t="s">
        <v>508</v>
      </c>
      <c r="C234" s="201" t="s">
        <v>509</v>
      </c>
      <c r="D234" s="201" t="s">
        <v>510</v>
      </c>
      <c r="E234" s="202" t="s">
        <v>511</v>
      </c>
      <c r="F234" s="201" t="s">
        <v>512</v>
      </c>
      <c r="G234" s="203" t="s">
        <v>513</v>
      </c>
      <c r="H234" s="203" t="s">
        <v>514</v>
      </c>
      <c r="I234" s="203"/>
      <c r="J234" s="203" t="s">
        <v>515</v>
      </c>
      <c r="K234" s="203" t="s">
        <v>516</v>
      </c>
      <c r="L234" s="201" t="s">
        <v>517</v>
      </c>
    </row>
    <row r="235" spans="1:12" s="169" customFormat="1" ht="15.75" hidden="1" customHeight="1">
      <c r="A235" s="176" t="s">
        <v>814</v>
      </c>
      <c r="B235" s="177" t="s">
        <v>519</v>
      </c>
      <c r="C235" s="177" t="s">
        <v>815</v>
      </c>
      <c r="D235" s="177" t="s">
        <v>521</v>
      </c>
      <c r="E235" s="178">
        <v>1300000000</v>
      </c>
      <c r="F235" s="177" t="s">
        <v>527</v>
      </c>
      <c r="G235" s="179" t="s">
        <v>528</v>
      </c>
      <c r="H235" s="179" t="s">
        <v>523</v>
      </c>
      <c r="I235" s="179"/>
      <c r="J235" s="179">
        <v>1</v>
      </c>
      <c r="K235" s="179"/>
      <c r="L235" s="177" t="s">
        <v>524</v>
      </c>
    </row>
    <row r="236" spans="1:12" s="169" customFormat="1" ht="15.75" hidden="1" customHeight="1">
      <c r="A236" s="176" t="s">
        <v>814</v>
      </c>
      <c r="B236" s="177" t="s">
        <v>696</v>
      </c>
      <c r="C236" s="177" t="s">
        <v>816</v>
      </c>
      <c r="D236" s="177" t="s">
        <v>817</v>
      </c>
      <c r="E236" s="178">
        <v>340000000</v>
      </c>
      <c r="F236" s="177" t="s">
        <v>818</v>
      </c>
      <c r="G236" s="179" t="s">
        <v>523</v>
      </c>
      <c r="H236" s="179" t="s">
        <v>523</v>
      </c>
      <c r="I236" s="179"/>
      <c r="J236" s="179">
        <v>1</v>
      </c>
      <c r="K236" s="179"/>
      <c r="L236" s="177" t="s">
        <v>524</v>
      </c>
    </row>
    <row r="237" spans="1:12" s="169" customFormat="1" ht="15.75" hidden="1" customHeight="1">
      <c r="A237" s="176" t="s">
        <v>814</v>
      </c>
      <c r="B237" s="177" t="s">
        <v>519</v>
      </c>
      <c r="C237" s="177" t="s">
        <v>819</v>
      </c>
      <c r="D237" s="177" t="s">
        <v>526</v>
      </c>
      <c r="E237" s="178">
        <v>590000000</v>
      </c>
      <c r="F237" s="177" t="s">
        <v>672</v>
      </c>
      <c r="G237" s="179" t="s">
        <v>528</v>
      </c>
      <c r="H237" s="179" t="s">
        <v>523</v>
      </c>
      <c r="I237" s="179"/>
      <c r="J237" s="179">
        <v>1</v>
      </c>
      <c r="K237" s="179"/>
      <c r="L237" s="177" t="s">
        <v>529</v>
      </c>
    </row>
    <row r="238" spans="1:12" s="169" customFormat="1" ht="15.75" hidden="1" customHeight="1">
      <c r="A238" s="176" t="s">
        <v>814</v>
      </c>
      <c r="B238" s="177" t="s">
        <v>820</v>
      </c>
      <c r="C238" s="177" t="s">
        <v>821</v>
      </c>
      <c r="D238" s="177" t="s">
        <v>590</v>
      </c>
      <c r="E238" s="178">
        <v>700000000</v>
      </c>
      <c r="F238" s="177" t="s">
        <v>527</v>
      </c>
      <c r="G238" s="179" t="s">
        <v>528</v>
      </c>
      <c r="H238" s="179" t="s">
        <v>523</v>
      </c>
      <c r="I238" s="179"/>
      <c r="J238" s="179">
        <v>1</v>
      </c>
      <c r="K238" s="179"/>
      <c r="L238" s="177" t="s">
        <v>524</v>
      </c>
    </row>
    <row r="239" spans="1:12" s="169" customFormat="1" ht="15.75" hidden="1" customHeight="1">
      <c r="A239" s="181" t="s">
        <v>806</v>
      </c>
      <c r="B239" s="182" t="s">
        <v>519</v>
      </c>
      <c r="C239" s="183" t="s">
        <v>822</v>
      </c>
      <c r="D239" s="183" t="s">
        <v>625</v>
      </c>
      <c r="E239" s="184">
        <v>1400000</v>
      </c>
      <c r="F239" s="183" t="s">
        <v>823</v>
      </c>
      <c r="G239" s="186" t="s">
        <v>523</v>
      </c>
      <c r="H239" s="186" t="s">
        <v>523</v>
      </c>
      <c r="I239" s="186"/>
      <c r="J239" s="186">
        <v>1</v>
      </c>
      <c r="K239" s="186" t="s">
        <v>124</v>
      </c>
      <c r="L239" s="183" t="s">
        <v>529</v>
      </c>
    </row>
    <row r="240" spans="1:12" s="169" customFormat="1" ht="15.75" hidden="1" customHeight="1">
      <c r="A240" s="181" t="s">
        <v>806</v>
      </c>
      <c r="B240" s="187" t="s">
        <v>519</v>
      </c>
      <c r="C240" s="188" t="s">
        <v>824</v>
      </c>
      <c r="D240" s="188" t="s">
        <v>583</v>
      </c>
      <c r="E240" s="189">
        <v>3400000</v>
      </c>
      <c r="F240" s="188" t="s">
        <v>584</v>
      </c>
      <c r="G240" s="191" t="s">
        <v>528</v>
      </c>
      <c r="H240" s="191" t="s">
        <v>523</v>
      </c>
      <c r="I240" s="191"/>
      <c r="J240" s="191">
        <v>1</v>
      </c>
      <c r="K240" s="191" t="s">
        <v>124</v>
      </c>
      <c r="L240" s="188" t="s">
        <v>524</v>
      </c>
    </row>
    <row r="241" spans="1:12" s="169" customFormat="1" ht="15.75" hidden="1" customHeight="1">
      <c r="A241" s="181" t="s">
        <v>806</v>
      </c>
      <c r="B241" s="187" t="s">
        <v>687</v>
      </c>
      <c r="C241" s="188" t="s">
        <v>825</v>
      </c>
      <c r="D241" s="188" t="s">
        <v>526</v>
      </c>
      <c r="E241" s="189">
        <v>5950000</v>
      </c>
      <c r="F241" s="190" t="s">
        <v>527</v>
      </c>
      <c r="G241" s="191" t="s">
        <v>523</v>
      </c>
      <c r="H241" s="191" t="s">
        <v>523</v>
      </c>
      <c r="I241" s="191"/>
      <c r="J241" s="191">
        <v>1</v>
      </c>
      <c r="K241" s="191" t="s">
        <v>124</v>
      </c>
      <c r="L241" s="188" t="s">
        <v>524</v>
      </c>
    </row>
    <row r="242" spans="1:12" s="169" customFormat="1" ht="15.75" hidden="1" customHeight="1">
      <c r="A242" s="181" t="s">
        <v>806</v>
      </c>
      <c r="B242" s="187" t="s">
        <v>519</v>
      </c>
      <c r="C242" s="188" t="s">
        <v>826</v>
      </c>
      <c r="D242" s="188" t="s">
        <v>827</v>
      </c>
      <c r="E242" s="189">
        <v>4500000</v>
      </c>
      <c r="F242" s="188" t="s">
        <v>828</v>
      </c>
      <c r="G242" s="191" t="s">
        <v>523</v>
      </c>
      <c r="H242" s="191" t="s">
        <v>523</v>
      </c>
      <c r="I242" s="191"/>
      <c r="J242" s="191">
        <v>1</v>
      </c>
      <c r="K242" s="191" t="s">
        <v>41</v>
      </c>
      <c r="L242" s="188" t="s">
        <v>529</v>
      </c>
    </row>
    <row r="243" spans="1:12" s="169" customFormat="1" ht="15.75" hidden="1" customHeight="1">
      <c r="A243" s="181" t="s">
        <v>806</v>
      </c>
      <c r="B243" s="187" t="s">
        <v>519</v>
      </c>
      <c r="C243" s="188" t="s">
        <v>815</v>
      </c>
      <c r="D243" s="188" t="s">
        <v>521</v>
      </c>
      <c r="E243" s="189">
        <v>6000000</v>
      </c>
      <c r="F243" s="190" t="s">
        <v>527</v>
      </c>
      <c r="G243" s="191" t="s">
        <v>528</v>
      </c>
      <c r="H243" s="191" t="s">
        <v>523</v>
      </c>
      <c r="I243" s="191"/>
      <c r="J243" s="191">
        <v>1</v>
      </c>
      <c r="K243" s="191" t="s">
        <v>41</v>
      </c>
      <c r="L243" s="188" t="s">
        <v>524</v>
      </c>
    </row>
    <row r="244" spans="1:12" s="169" customFormat="1" ht="15.75" hidden="1" customHeight="1">
      <c r="A244" s="181" t="s">
        <v>806</v>
      </c>
      <c r="B244" s="187" t="s">
        <v>696</v>
      </c>
      <c r="C244" s="192" t="s">
        <v>829</v>
      </c>
      <c r="D244" s="188" t="s">
        <v>830</v>
      </c>
      <c r="E244" s="189">
        <v>4000000</v>
      </c>
      <c r="F244" s="190" t="s">
        <v>527</v>
      </c>
      <c r="G244" s="191" t="s">
        <v>528</v>
      </c>
      <c r="H244" s="191" t="s">
        <v>523</v>
      </c>
      <c r="I244" s="191"/>
      <c r="J244" s="191">
        <v>1</v>
      </c>
      <c r="K244" s="191" t="s">
        <v>41</v>
      </c>
      <c r="L244" s="188" t="s">
        <v>123</v>
      </c>
    </row>
    <row r="245" spans="1:12" s="169" customFormat="1" ht="15.75" hidden="1" customHeight="1">
      <c r="A245" s="181" t="s">
        <v>806</v>
      </c>
      <c r="B245" s="187" t="s">
        <v>519</v>
      </c>
      <c r="C245" s="192" t="s">
        <v>831</v>
      </c>
      <c r="D245" s="192" t="s">
        <v>616</v>
      </c>
      <c r="E245" s="193">
        <v>2800000</v>
      </c>
      <c r="F245" s="188" t="s">
        <v>832</v>
      </c>
      <c r="G245" s="194" t="s">
        <v>528</v>
      </c>
      <c r="H245" s="194" t="s">
        <v>523</v>
      </c>
      <c r="I245" s="194"/>
      <c r="J245" s="194">
        <v>1</v>
      </c>
      <c r="K245" s="194" t="s">
        <v>124</v>
      </c>
      <c r="L245" s="192" t="s">
        <v>524</v>
      </c>
    </row>
    <row r="246" spans="1:12" s="169" customFormat="1" ht="15.75" hidden="1" customHeight="1">
      <c r="A246" s="181" t="s">
        <v>806</v>
      </c>
      <c r="B246" s="187" t="s">
        <v>519</v>
      </c>
      <c r="C246" s="192" t="s">
        <v>833</v>
      </c>
      <c r="D246" s="192" t="s">
        <v>817</v>
      </c>
      <c r="E246" s="195">
        <v>1400000</v>
      </c>
      <c r="F246" s="190" t="s">
        <v>527</v>
      </c>
      <c r="G246" s="194" t="s">
        <v>523</v>
      </c>
      <c r="H246" s="194" t="s">
        <v>523</v>
      </c>
      <c r="I246" s="194"/>
      <c r="J246" s="194">
        <v>1</v>
      </c>
      <c r="K246" s="194" t="s">
        <v>124</v>
      </c>
      <c r="L246" s="192" t="s">
        <v>524</v>
      </c>
    </row>
    <row r="247" spans="1:12" s="169" customFormat="1" ht="15.75" hidden="1" customHeight="1">
      <c r="A247" s="181" t="s">
        <v>806</v>
      </c>
      <c r="B247" s="187" t="s">
        <v>519</v>
      </c>
      <c r="C247" s="188" t="s">
        <v>834</v>
      </c>
      <c r="D247" s="188" t="s">
        <v>678</v>
      </c>
      <c r="E247" s="189">
        <v>2800000</v>
      </c>
      <c r="F247" s="188" t="s">
        <v>835</v>
      </c>
      <c r="G247" s="191" t="s">
        <v>528</v>
      </c>
      <c r="H247" s="191" t="s">
        <v>523</v>
      </c>
      <c r="I247" s="191"/>
      <c r="J247" s="191">
        <v>1</v>
      </c>
      <c r="K247" s="191" t="s">
        <v>124</v>
      </c>
      <c r="L247" s="191" t="s">
        <v>529</v>
      </c>
    </row>
    <row r="248" spans="1:12" s="169" customFormat="1" ht="15.75" hidden="1" customHeight="1">
      <c r="A248" s="181" t="s">
        <v>806</v>
      </c>
      <c r="B248" s="210" t="s">
        <v>519</v>
      </c>
      <c r="C248" s="211" t="s">
        <v>701</v>
      </c>
      <c r="D248" s="211" t="s">
        <v>583</v>
      </c>
      <c r="E248" s="212">
        <v>2800000</v>
      </c>
      <c r="F248" s="211" t="s">
        <v>584</v>
      </c>
      <c r="G248" s="213" t="s">
        <v>528</v>
      </c>
      <c r="H248" s="213" t="s">
        <v>523</v>
      </c>
      <c r="I248" s="213"/>
      <c r="J248" s="213">
        <v>1</v>
      </c>
      <c r="K248" s="213" t="s">
        <v>124</v>
      </c>
      <c r="L248" s="213" t="s">
        <v>529</v>
      </c>
    </row>
    <row r="249" spans="1:12" s="169" customFormat="1" ht="15.75" hidden="1" customHeight="1">
      <c r="A249" s="181" t="s">
        <v>806</v>
      </c>
      <c r="B249" s="210" t="s">
        <v>519</v>
      </c>
      <c r="C249" s="211" t="s">
        <v>836</v>
      </c>
      <c r="D249" s="211" t="s">
        <v>678</v>
      </c>
      <c r="E249" s="212">
        <v>1700000</v>
      </c>
      <c r="F249" s="211" t="s">
        <v>837</v>
      </c>
      <c r="G249" s="213" t="s">
        <v>523</v>
      </c>
      <c r="H249" s="213" t="s">
        <v>523</v>
      </c>
      <c r="I249" s="213"/>
      <c r="J249" s="213">
        <v>1</v>
      </c>
      <c r="K249" s="213" t="s">
        <v>562</v>
      </c>
      <c r="L249" s="213" t="s">
        <v>687</v>
      </c>
    </row>
    <row r="250" spans="1:12" s="169" customFormat="1" ht="15.75" hidden="1" customHeight="1">
      <c r="A250" s="181" t="s">
        <v>806</v>
      </c>
      <c r="B250" s="187" t="s">
        <v>519</v>
      </c>
      <c r="C250" s="188" t="s">
        <v>838</v>
      </c>
      <c r="D250" s="188" t="s">
        <v>593</v>
      </c>
      <c r="E250" s="189">
        <v>2500000</v>
      </c>
      <c r="F250" s="188" t="s">
        <v>839</v>
      </c>
      <c r="G250" s="191" t="s">
        <v>528</v>
      </c>
      <c r="H250" s="191" t="s">
        <v>523</v>
      </c>
      <c r="I250" s="191"/>
      <c r="J250" s="191">
        <v>1</v>
      </c>
      <c r="K250" s="191" t="s">
        <v>41</v>
      </c>
      <c r="L250" s="191" t="s">
        <v>529</v>
      </c>
    </row>
    <row r="251" spans="1:12" s="169" customFormat="1" ht="15.75" hidden="1" customHeight="1">
      <c r="A251" s="181" t="s">
        <v>806</v>
      </c>
      <c r="B251" s="187" t="s">
        <v>519</v>
      </c>
      <c r="C251" s="188" t="s">
        <v>840</v>
      </c>
      <c r="D251" s="188" t="s">
        <v>841</v>
      </c>
      <c r="E251" s="189">
        <v>1300000</v>
      </c>
      <c r="F251" s="188" t="s">
        <v>628</v>
      </c>
      <c r="G251" s="191" t="s">
        <v>528</v>
      </c>
      <c r="H251" s="191" t="s">
        <v>523</v>
      </c>
      <c r="I251" s="191"/>
      <c r="J251" s="191">
        <v>1</v>
      </c>
      <c r="K251" s="191" t="s">
        <v>41</v>
      </c>
      <c r="L251" s="191" t="s">
        <v>529</v>
      </c>
    </row>
    <row r="252" spans="1:12" s="169" customFormat="1" ht="15.75" hidden="1" customHeight="1">
      <c r="A252" s="181" t="s">
        <v>806</v>
      </c>
      <c r="B252" s="182" t="s">
        <v>519</v>
      </c>
      <c r="C252" s="183" t="s">
        <v>842</v>
      </c>
      <c r="D252" s="183" t="s">
        <v>841</v>
      </c>
      <c r="E252" s="184">
        <v>1300000</v>
      </c>
      <c r="F252" s="183" t="s">
        <v>628</v>
      </c>
      <c r="G252" s="186" t="s">
        <v>528</v>
      </c>
      <c r="H252" s="186" t="s">
        <v>523</v>
      </c>
      <c r="I252" s="186"/>
      <c r="J252" s="186">
        <v>1</v>
      </c>
      <c r="K252" s="191" t="s">
        <v>124</v>
      </c>
      <c r="L252" s="191" t="s">
        <v>529</v>
      </c>
    </row>
    <row r="253" spans="1:12" s="169" customFormat="1" ht="15.75" hidden="1" customHeight="1">
      <c r="A253" s="181" t="s">
        <v>806</v>
      </c>
      <c r="B253" s="187" t="s">
        <v>519</v>
      </c>
      <c r="C253" s="188" t="s">
        <v>819</v>
      </c>
      <c r="D253" s="188" t="s">
        <v>526</v>
      </c>
      <c r="E253" s="189">
        <v>3200000</v>
      </c>
      <c r="F253" s="188" t="s">
        <v>672</v>
      </c>
      <c r="G253" s="191" t="s">
        <v>528</v>
      </c>
      <c r="H253" s="191" t="s">
        <v>523</v>
      </c>
      <c r="I253" s="191"/>
      <c r="J253" s="191">
        <v>1</v>
      </c>
      <c r="K253" s="191" t="s">
        <v>41</v>
      </c>
      <c r="L253" s="191" t="s">
        <v>524</v>
      </c>
    </row>
    <row r="254" spans="1:12" s="169" customFormat="1" ht="15.75" hidden="1" customHeight="1">
      <c r="A254" s="181" t="s">
        <v>806</v>
      </c>
      <c r="B254" s="187" t="s">
        <v>519</v>
      </c>
      <c r="C254" s="188" t="s">
        <v>843</v>
      </c>
      <c r="D254" s="188" t="s">
        <v>534</v>
      </c>
      <c r="E254" s="189">
        <v>3100000</v>
      </c>
      <c r="F254" s="188" t="s">
        <v>574</v>
      </c>
      <c r="G254" s="191" t="s">
        <v>528</v>
      </c>
      <c r="H254" s="191" t="s">
        <v>523</v>
      </c>
      <c r="I254" s="191"/>
      <c r="J254" s="191">
        <v>1</v>
      </c>
      <c r="K254" s="191" t="s">
        <v>41</v>
      </c>
      <c r="L254" s="191" t="s">
        <v>524</v>
      </c>
    </row>
    <row r="255" spans="1:12" s="169" customFormat="1" ht="15.75" hidden="1" customHeight="1">
      <c r="A255" s="181" t="s">
        <v>806</v>
      </c>
      <c r="B255" s="187" t="s">
        <v>519</v>
      </c>
      <c r="C255" s="188" t="s">
        <v>844</v>
      </c>
      <c r="D255" s="188" t="s">
        <v>845</v>
      </c>
      <c r="E255" s="189">
        <v>2000000</v>
      </c>
      <c r="F255" s="188" t="s">
        <v>711</v>
      </c>
      <c r="G255" s="191" t="s">
        <v>528</v>
      </c>
      <c r="H255" s="191" t="s">
        <v>523</v>
      </c>
      <c r="I255" s="191"/>
      <c r="J255" s="191">
        <v>1</v>
      </c>
      <c r="K255" s="191" t="s">
        <v>124</v>
      </c>
      <c r="L255" s="191" t="s">
        <v>524</v>
      </c>
    </row>
    <row r="256" spans="1:12" s="169" customFormat="1" ht="15.75" hidden="1" customHeight="1">
      <c r="A256" s="181" t="s">
        <v>806</v>
      </c>
      <c r="B256" s="187" t="s">
        <v>519</v>
      </c>
      <c r="C256" s="188" t="s">
        <v>846</v>
      </c>
      <c r="D256" s="188" t="s">
        <v>847</v>
      </c>
      <c r="E256" s="189">
        <v>1500000</v>
      </c>
      <c r="F256" s="188" t="s">
        <v>848</v>
      </c>
      <c r="G256" s="191" t="s">
        <v>523</v>
      </c>
      <c r="H256" s="191" t="s">
        <v>523</v>
      </c>
      <c r="I256" s="191"/>
      <c r="J256" s="191">
        <v>1</v>
      </c>
      <c r="K256" s="191" t="s">
        <v>41</v>
      </c>
      <c r="L256" s="191" t="s">
        <v>529</v>
      </c>
    </row>
    <row r="257" spans="1:12" s="169" customFormat="1" ht="15.75" hidden="1" customHeight="1">
      <c r="A257" s="181" t="s">
        <v>806</v>
      </c>
      <c r="B257" s="187" t="s">
        <v>696</v>
      </c>
      <c r="C257" s="188" t="s">
        <v>849</v>
      </c>
      <c r="D257" s="188" t="s">
        <v>534</v>
      </c>
      <c r="E257" s="189">
        <v>1800000</v>
      </c>
      <c r="F257" s="188" t="s">
        <v>603</v>
      </c>
      <c r="G257" s="191" t="s">
        <v>528</v>
      </c>
      <c r="H257" s="191" t="s">
        <v>523</v>
      </c>
      <c r="I257" s="191"/>
      <c r="J257" s="191">
        <v>1</v>
      </c>
      <c r="K257" s="191" t="s">
        <v>41</v>
      </c>
      <c r="L257" s="191" t="s">
        <v>524</v>
      </c>
    </row>
    <row r="258" spans="1:12" s="169" customFormat="1" ht="15.75" hidden="1" customHeight="1">
      <c r="A258" s="181" t="s">
        <v>806</v>
      </c>
      <c r="B258" s="187" t="s">
        <v>850</v>
      </c>
      <c r="C258" s="188" t="s">
        <v>851</v>
      </c>
      <c r="D258" s="188" t="s">
        <v>593</v>
      </c>
      <c r="E258" s="189">
        <v>2500000</v>
      </c>
      <c r="F258" s="190" t="s">
        <v>527</v>
      </c>
      <c r="G258" s="191" t="s">
        <v>528</v>
      </c>
      <c r="H258" s="191" t="s">
        <v>523</v>
      </c>
      <c r="I258" s="191"/>
      <c r="J258" s="191">
        <v>1</v>
      </c>
      <c r="K258" s="191" t="s">
        <v>124</v>
      </c>
      <c r="L258" s="191" t="s">
        <v>524</v>
      </c>
    </row>
    <row r="259" spans="1:12" s="169" customFormat="1" ht="15.75" hidden="1" customHeight="1">
      <c r="A259" s="181" t="s">
        <v>806</v>
      </c>
      <c r="B259" s="187" t="s">
        <v>519</v>
      </c>
      <c r="C259" s="188" t="s">
        <v>852</v>
      </c>
      <c r="D259" s="188" t="s">
        <v>526</v>
      </c>
      <c r="E259" s="189">
        <v>2850000</v>
      </c>
      <c r="F259" s="190" t="s">
        <v>527</v>
      </c>
      <c r="G259" s="191" t="s">
        <v>528</v>
      </c>
      <c r="H259" s="191" t="s">
        <v>523</v>
      </c>
      <c r="I259" s="191"/>
      <c r="J259" s="191">
        <v>1</v>
      </c>
      <c r="K259" s="191" t="s">
        <v>124</v>
      </c>
      <c r="L259" s="191" t="s">
        <v>529</v>
      </c>
    </row>
    <row r="260" spans="1:12" s="169" customFormat="1" ht="15.75" hidden="1" customHeight="1">
      <c r="A260" s="181"/>
      <c r="B260" s="183"/>
      <c r="C260" s="183"/>
      <c r="D260" s="188"/>
      <c r="E260" s="184"/>
      <c r="F260" s="183"/>
      <c r="G260" s="186"/>
      <c r="H260" s="186"/>
      <c r="I260" s="186"/>
      <c r="J260" s="186"/>
      <c r="K260" s="186"/>
      <c r="L260" s="186"/>
    </row>
    <row r="261" spans="1:12" s="169" customFormat="1" ht="15.75" hidden="1" customHeight="1">
      <c r="A261" s="196"/>
      <c r="B261" s="183"/>
      <c r="C261" s="183"/>
      <c r="D261" s="183"/>
      <c r="E261" s="184"/>
      <c r="F261" s="183"/>
      <c r="G261" s="186"/>
      <c r="H261" s="186"/>
      <c r="I261" s="186"/>
      <c r="J261" s="186"/>
      <c r="K261" s="186"/>
      <c r="L261" s="186"/>
    </row>
    <row r="262" spans="1:12" s="169" customFormat="1" ht="15.75" hidden="1" customHeight="1">
      <c r="A262" s="979" t="s">
        <v>26</v>
      </c>
      <c r="B262" s="1048"/>
      <c r="C262" s="1048"/>
      <c r="D262" s="1048"/>
      <c r="E262" s="1048"/>
      <c r="F262" s="1048"/>
      <c r="G262" s="1048"/>
      <c r="H262" s="1048"/>
      <c r="I262" s="197"/>
      <c r="J262" s="198">
        <f>SUM(J235:J260)</f>
        <v>25</v>
      </c>
      <c r="K262" s="199"/>
      <c r="L262" s="177"/>
    </row>
    <row r="263" spans="1:12" s="169" customFormat="1" ht="15.75" hidden="1" customHeight="1">
      <c r="A263" s="168"/>
      <c r="B263" s="168"/>
      <c r="C263" s="168"/>
      <c r="D263" s="168"/>
      <c r="E263" s="168"/>
      <c r="F263" s="168"/>
      <c r="L263" s="168"/>
    </row>
    <row r="264" spans="1:12" s="169" customFormat="1" ht="15.75" hidden="1" customHeight="1">
      <c r="A264" s="168"/>
      <c r="B264" s="168"/>
      <c r="C264" s="168"/>
      <c r="D264" s="168"/>
      <c r="E264" s="168"/>
      <c r="F264" s="168"/>
      <c r="L264" s="168"/>
    </row>
    <row r="265" spans="1:12" s="169" customFormat="1" ht="15.75" hidden="1" customHeight="1">
      <c r="A265" s="168"/>
      <c r="B265" s="168"/>
      <c r="C265" s="168"/>
      <c r="D265" s="168"/>
      <c r="E265" s="168"/>
      <c r="F265" s="168"/>
      <c r="L265" s="168"/>
    </row>
    <row r="266" spans="1:12" s="169" customFormat="1" ht="15.75" hidden="1" customHeight="1">
      <c r="A266" s="978" t="s">
        <v>37</v>
      </c>
      <c r="B266" s="978"/>
      <c r="C266" s="978"/>
      <c r="D266" s="978"/>
      <c r="E266" s="978"/>
      <c r="F266" s="978"/>
      <c r="G266" s="978"/>
      <c r="H266" s="978"/>
      <c r="I266" s="978"/>
      <c r="J266" s="978"/>
      <c r="K266" s="978"/>
      <c r="L266" s="978"/>
    </row>
    <row r="267" spans="1:12" s="169" customFormat="1" ht="15.75" hidden="1" customHeight="1">
      <c r="A267" s="200" t="s">
        <v>507</v>
      </c>
      <c r="B267" s="201" t="s">
        <v>508</v>
      </c>
      <c r="C267" s="201" t="s">
        <v>509</v>
      </c>
      <c r="D267" s="201" t="s">
        <v>510</v>
      </c>
      <c r="E267" s="202" t="s">
        <v>511</v>
      </c>
      <c r="F267" s="201" t="s">
        <v>512</v>
      </c>
      <c r="G267" s="203" t="s">
        <v>513</v>
      </c>
      <c r="H267" s="203" t="s">
        <v>514</v>
      </c>
      <c r="I267" s="203"/>
      <c r="J267" s="203" t="s">
        <v>515</v>
      </c>
      <c r="K267" s="203" t="s">
        <v>516</v>
      </c>
      <c r="L267" s="201" t="s">
        <v>517</v>
      </c>
    </row>
    <row r="268" spans="1:12" s="169" customFormat="1" ht="15.75" hidden="1" customHeight="1">
      <c r="A268" s="176" t="s">
        <v>814</v>
      </c>
      <c r="B268" s="177" t="s">
        <v>696</v>
      </c>
      <c r="C268" s="177" t="s">
        <v>853</v>
      </c>
      <c r="D268" s="177" t="s">
        <v>678</v>
      </c>
      <c r="E268" s="178">
        <v>300000000</v>
      </c>
      <c r="F268" s="177" t="s">
        <v>527</v>
      </c>
      <c r="G268" s="179" t="s">
        <v>528</v>
      </c>
      <c r="H268" s="179" t="s">
        <v>523</v>
      </c>
      <c r="I268" s="179"/>
      <c r="J268" s="179">
        <v>1</v>
      </c>
      <c r="K268" s="179"/>
      <c r="L268" s="177" t="s">
        <v>524</v>
      </c>
    </row>
    <row r="269" spans="1:12" s="169" customFormat="1" ht="15.75" hidden="1" customHeight="1">
      <c r="A269" s="176" t="s">
        <v>814</v>
      </c>
      <c r="B269" s="223" t="s">
        <v>696</v>
      </c>
      <c r="C269" s="224" t="s">
        <v>854</v>
      </c>
      <c r="D269" s="224" t="s">
        <v>678</v>
      </c>
      <c r="E269" s="225">
        <v>320000000</v>
      </c>
      <c r="F269" s="224" t="s">
        <v>527</v>
      </c>
      <c r="G269" s="226" t="s">
        <v>528</v>
      </c>
      <c r="H269" s="226" t="s">
        <v>523</v>
      </c>
      <c r="I269" s="226"/>
      <c r="J269" s="226">
        <v>1</v>
      </c>
      <c r="K269" s="226"/>
      <c r="L269" s="224" t="s">
        <v>524</v>
      </c>
    </row>
    <row r="270" spans="1:12" s="169" customFormat="1" ht="15.75" hidden="1" customHeight="1">
      <c r="A270" s="181" t="s">
        <v>806</v>
      </c>
      <c r="B270" s="182" t="s">
        <v>556</v>
      </c>
      <c r="C270" s="183" t="s">
        <v>855</v>
      </c>
      <c r="D270" s="183" t="s">
        <v>174</v>
      </c>
      <c r="E270" s="184">
        <v>14000000</v>
      </c>
      <c r="F270" s="185" t="s">
        <v>527</v>
      </c>
      <c r="G270" s="186" t="s">
        <v>528</v>
      </c>
      <c r="H270" s="186" t="s">
        <v>523</v>
      </c>
      <c r="I270" s="186"/>
      <c r="J270" s="186">
        <v>1</v>
      </c>
      <c r="K270" s="186" t="s">
        <v>124</v>
      </c>
      <c r="L270" s="186" t="s">
        <v>524</v>
      </c>
    </row>
    <row r="271" spans="1:12" s="169" customFormat="1" ht="15.75" hidden="1" customHeight="1">
      <c r="A271" s="181" t="s">
        <v>806</v>
      </c>
      <c r="B271" s="182" t="s">
        <v>687</v>
      </c>
      <c r="C271" s="183" t="s">
        <v>856</v>
      </c>
      <c r="D271" s="183" t="s">
        <v>593</v>
      </c>
      <c r="E271" s="184">
        <v>2000000</v>
      </c>
      <c r="F271" s="185" t="s">
        <v>527</v>
      </c>
      <c r="G271" s="186" t="s">
        <v>528</v>
      </c>
      <c r="H271" s="186" t="s">
        <v>523</v>
      </c>
      <c r="I271" s="186"/>
      <c r="J271" s="186">
        <v>1</v>
      </c>
      <c r="K271" s="186" t="s">
        <v>124</v>
      </c>
      <c r="L271" s="186" t="s">
        <v>524</v>
      </c>
    </row>
    <row r="272" spans="1:12" s="169" customFormat="1" ht="15.75" hidden="1" customHeight="1">
      <c r="A272" s="181" t="s">
        <v>806</v>
      </c>
      <c r="B272" s="182" t="s">
        <v>556</v>
      </c>
      <c r="C272" s="183" t="s">
        <v>857</v>
      </c>
      <c r="D272" s="183" t="s">
        <v>174</v>
      </c>
      <c r="E272" s="184">
        <v>3500000</v>
      </c>
      <c r="F272" s="185" t="s">
        <v>527</v>
      </c>
      <c r="G272" s="186" t="s">
        <v>523</v>
      </c>
      <c r="H272" s="186" t="s">
        <v>523</v>
      </c>
      <c r="I272" s="186"/>
      <c r="J272" s="186">
        <v>1</v>
      </c>
      <c r="K272" s="186" t="s">
        <v>124</v>
      </c>
      <c r="L272" s="186" t="s">
        <v>524</v>
      </c>
    </row>
    <row r="273" spans="1:12" s="169" customFormat="1" ht="15.75" hidden="1" customHeight="1">
      <c r="A273" s="181" t="s">
        <v>806</v>
      </c>
      <c r="B273" s="182" t="s">
        <v>687</v>
      </c>
      <c r="C273" s="183" t="s">
        <v>858</v>
      </c>
      <c r="D273" s="183" t="s">
        <v>859</v>
      </c>
      <c r="E273" s="184">
        <v>1650000</v>
      </c>
      <c r="F273" s="185" t="s">
        <v>527</v>
      </c>
      <c r="G273" s="186" t="s">
        <v>528</v>
      </c>
      <c r="H273" s="186" t="s">
        <v>523</v>
      </c>
      <c r="I273" s="186"/>
      <c r="J273" s="186">
        <v>1</v>
      </c>
      <c r="K273" s="186" t="s">
        <v>124</v>
      </c>
      <c r="L273" s="186" t="s">
        <v>524</v>
      </c>
    </row>
    <row r="274" spans="1:12" s="169" customFormat="1" ht="15.75" hidden="1" customHeight="1">
      <c r="A274" s="181" t="s">
        <v>806</v>
      </c>
      <c r="B274" s="182" t="s">
        <v>519</v>
      </c>
      <c r="C274" s="183" t="s">
        <v>860</v>
      </c>
      <c r="D274" s="183" t="s">
        <v>861</v>
      </c>
      <c r="E274" s="184">
        <v>1700000</v>
      </c>
      <c r="F274" s="185" t="s">
        <v>527</v>
      </c>
      <c r="G274" s="186" t="s">
        <v>528</v>
      </c>
      <c r="H274" s="186" t="s">
        <v>523</v>
      </c>
      <c r="I274" s="186"/>
      <c r="J274" s="186">
        <v>1</v>
      </c>
      <c r="K274" s="186" t="s">
        <v>124</v>
      </c>
      <c r="L274" s="186" t="s">
        <v>524</v>
      </c>
    </row>
    <row r="275" spans="1:12" s="169" customFormat="1" ht="15.75" hidden="1" customHeight="1">
      <c r="A275" s="181" t="s">
        <v>806</v>
      </c>
      <c r="B275" s="182" t="s">
        <v>687</v>
      </c>
      <c r="C275" s="183" t="s">
        <v>862</v>
      </c>
      <c r="D275" s="183" t="s">
        <v>593</v>
      </c>
      <c r="E275" s="184">
        <v>4500000</v>
      </c>
      <c r="F275" s="185" t="s">
        <v>527</v>
      </c>
      <c r="G275" s="186" t="s">
        <v>528</v>
      </c>
      <c r="H275" s="186" t="s">
        <v>523</v>
      </c>
      <c r="I275" s="186"/>
      <c r="J275" s="186">
        <v>1</v>
      </c>
      <c r="K275" s="186" t="s">
        <v>41</v>
      </c>
      <c r="L275" s="186" t="s">
        <v>524</v>
      </c>
    </row>
    <row r="276" spans="1:12" s="169" customFormat="1" ht="15.75" hidden="1" customHeight="1">
      <c r="A276" s="181" t="s">
        <v>806</v>
      </c>
      <c r="B276" s="182" t="s">
        <v>696</v>
      </c>
      <c r="C276" s="183" t="s">
        <v>863</v>
      </c>
      <c r="D276" s="183" t="s">
        <v>864</v>
      </c>
      <c r="E276" s="184">
        <v>2500000</v>
      </c>
      <c r="F276" s="185" t="s">
        <v>527</v>
      </c>
      <c r="G276" s="186" t="s">
        <v>528</v>
      </c>
      <c r="H276" s="186" t="s">
        <v>523</v>
      </c>
      <c r="I276" s="186"/>
      <c r="J276" s="186">
        <v>1</v>
      </c>
      <c r="K276" s="186" t="s">
        <v>41</v>
      </c>
      <c r="L276" s="186" t="s">
        <v>123</v>
      </c>
    </row>
    <row r="277" spans="1:12" s="169" customFormat="1" ht="15.75" hidden="1" customHeight="1">
      <c r="A277" s="181" t="s">
        <v>806</v>
      </c>
      <c r="B277" s="182" t="s">
        <v>519</v>
      </c>
      <c r="C277" s="183" t="s">
        <v>865</v>
      </c>
      <c r="D277" s="183" t="s">
        <v>866</v>
      </c>
      <c r="E277" s="184">
        <v>2200000</v>
      </c>
      <c r="F277" s="185" t="s">
        <v>527</v>
      </c>
      <c r="G277" s="186" t="s">
        <v>528</v>
      </c>
      <c r="H277" s="186" t="s">
        <v>523</v>
      </c>
      <c r="I277" s="186"/>
      <c r="J277" s="186">
        <v>1</v>
      </c>
      <c r="K277" s="186" t="s">
        <v>41</v>
      </c>
      <c r="L277" s="186" t="s">
        <v>529</v>
      </c>
    </row>
    <row r="278" spans="1:12" s="169" customFormat="1" ht="15.75" hidden="1" customHeight="1">
      <c r="A278" s="181" t="s">
        <v>806</v>
      </c>
      <c r="B278" s="182" t="s">
        <v>696</v>
      </c>
      <c r="C278" s="183" t="s">
        <v>867</v>
      </c>
      <c r="D278" s="183" t="s">
        <v>678</v>
      </c>
      <c r="E278" s="184">
        <v>3000000</v>
      </c>
      <c r="F278" s="185" t="s">
        <v>527</v>
      </c>
      <c r="G278" s="186" t="s">
        <v>528</v>
      </c>
      <c r="H278" s="186" t="s">
        <v>523</v>
      </c>
      <c r="I278" s="186"/>
      <c r="J278" s="186">
        <v>1</v>
      </c>
      <c r="K278" s="186" t="s">
        <v>124</v>
      </c>
      <c r="L278" s="186" t="s">
        <v>524</v>
      </c>
    </row>
    <row r="279" spans="1:12" s="169" customFormat="1" ht="15.75" hidden="1" customHeight="1">
      <c r="A279" s="181"/>
      <c r="B279" s="183"/>
      <c r="C279" s="183"/>
      <c r="D279" s="183"/>
      <c r="E279" s="184"/>
      <c r="F279" s="183"/>
      <c r="G279" s="186"/>
      <c r="H279" s="186"/>
      <c r="I279" s="186"/>
      <c r="J279" s="186"/>
      <c r="K279" s="227"/>
      <c r="L279" s="186"/>
    </row>
    <row r="280" spans="1:12" s="169" customFormat="1" ht="15.75" hidden="1" customHeight="1">
      <c r="A280" s="196"/>
      <c r="B280" s="183"/>
      <c r="C280" s="183"/>
      <c r="D280" s="183"/>
      <c r="E280" s="184"/>
      <c r="F280" s="183"/>
      <c r="G280" s="186"/>
      <c r="H280" s="186"/>
      <c r="I280" s="186"/>
      <c r="J280" s="186"/>
      <c r="K280" s="227"/>
      <c r="L280" s="186"/>
    </row>
    <row r="281" spans="1:12" s="169" customFormat="1" ht="15.75" hidden="1" customHeight="1">
      <c r="A281" s="979" t="s">
        <v>26</v>
      </c>
      <c r="B281" s="1048"/>
      <c r="C281" s="1048"/>
      <c r="D281" s="1048"/>
      <c r="E281" s="1048"/>
      <c r="F281" s="1048"/>
      <c r="G281" s="1048"/>
      <c r="H281" s="1048"/>
      <c r="I281" s="197"/>
      <c r="J281" s="198">
        <f>SUM(J268:J279)</f>
        <v>11</v>
      </c>
      <c r="K281" s="199"/>
      <c r="L281" s="177"/>
    </row>
    <row r="282" spans="1:12" s="169" customFormat="1" ht="31.5" customHeight="1">
      <c r="A282" s="168"/>
      <c r="B282" s="980" t="s">
        <v>868</v>
      </c>
      <c r="C282" s="981"/>
      <c r="D282" s="981"/>
      <c r="E282" s="981"/>
      <c r="F282" s="982"/>
      <c r="L282" s="168"/>
    </row>
    <row r="283" spans="1:12" s="169" customFormat="1" ht="15.75" customHeight="1">
      <c r="A283" s="168"/>
      <c r="B283" s="168"/>
      <c r="C283" s="168"/>
      <c r="D283" s="168"/>
      <c r="E283" s="168"/>
      <c r="F283" s="168"/>
      <c r="L283" s="168"/>
    </row>
    <row r="284" spans="1:12" s="169" customFormat="1" ht="15.75" hidden="1" customHeight="1">
      <c r="A284" s="983" t="s">
        <v>64</v>
      </c>
      <c r="B284" s="897"/>
      <c r="C284" s="897"/>
      <c r="D284" s="897"/>
      <c r="E284" s="897"/>
      <c r="F284" s="897"/>
      <c r="G284" s="897"/>
      <c r="H284" s="897"/>
      <c r="I284" s="897"/>
      <c r="J284" s="897"/>
      <c r="K284" s="897"/>
      <c r="L284" s="984"/>
    </row>
    <row r="285" spans="1:12" s="169" customFormat="1" ht="15.75" hidden="1" customHeight="1">
      <c r="A285" s="255" t="s">
        <v>507</v>
      </c>
      <c r="B285" s="256" t="s">
        <v>508</v>
      </c>
      <c r="C285" s="256" t="s">
        <v>509</v>
      </c>
      <c r="D285" s="256" t="s">
        <v>510</v>
      </c>
      <c r="E285" s="257" t="s">
        <v>511</v>
      </c>
      <c r="F285" s="256" t="s">
        <v>512</v>
      </c>
      <c r="G285" s="258" t="s">
        <v>513</v>
      </c>
      <c r="H285" s="258" t="s">
        <v>514</v>
      </c>
      <c r="I285" s="258"/>
      <c r="J285" s="258" t="s">
        <v>515</v>
      </c>
      <c r="K285" s="259" t="s">
        <v>516</v>
      </c>
      <c r="L285" s="260" t="s">
        <v>517</v>
      </c>
    </row>
    <row r="286" spans="1:12" s="169" customFormat="1" ht="15.75" hidden="1" customHeight="1">
      <c r="A286" s="265" t="s">
        <v>869</v>
      </c>
      <c r="B286" s="266" t="s">
        <v>870</v>
      </c>
      <c r="C286" s="267" t="s">
        <v>871</v>
      </c>
      <c r="D286" s="267" t="s">
        <v>598</v>
      </c>
      <c r="E286" s="268">
        <v>870000000</v>
      </c>
      <c r="F286" s="267" t="s">
        <v>872</v>
      </c>
      <c r="G286" s="269" t="s">
        <v>528</v>
      </c>
      <c r="H286" s="269" t="s">
        <v>523</v>
      </c>
      <c r="I286" s="269"/>
      <c r="J286" s="269">
        <v>1</v>
      </c>
      <c r="K286" s="269"/>
      <c r="L286" s="267" t="s">
        <v>524</v>
      </c>
    </row>
    <row r="287" spans="1:12" s="169" customFormat="1" ht="15.75" hidden="1" customHeight="1">
      <c r="A287" s="265" t="s">
        <v>869</v>
      </c>
      <c r="B287" s="266" t="s">
        <v>870</v>
      </c>
      <c r="C287" s="266" t="s">
        <v>873</v>
      </c>
      <c r="D287" s="266" t="s">
        <v>874</v>
      </c>
      <c r="E287" s="270">
        <v>610000000</v>
      </c>
      <c r="F287" s="266" t="s">
        <v>527</v>
      </c>
      <c r="G287" s="36" t="s">
        <v>528</v>
      </c>
      <c r="H287" s="36" t="s">
        <v>523</v>
      </c>
      <c r="I287" s="36"/>
      <c r="J287" s="36">
        <v>1</v>
      </c>
      <c r="K287" s="36"/>
      <c r="L287" s="266" t="s">
        <v>524</v>
      </c>
    </row>
    <row r="288" spans="1:12" s="169" customFormat="1" ht="15.75" hidden="1" customHeight="1">
      <c r="A288" s="271" t="s">
        <v>875</v>
      </c>
      <c r="B288" s="272" t="s">
        <v>870</v>
      </c>
      <c r="C288" s="273" t="s">
        <v>876</v>
      </c>
      <c r="D288" s="273" t="s">
        <v>534</v>
      </c>
      <c r="E288" s="274">
        <v>1300000</v>
      </c>
      <c r="F288" s="273" t="s">
        <v>542</v>
      </c>
      <c r="G288" s="28" t="s">
        <v>528</v>
      </c>
      <c r="H288" s="28" t="s">
        <v>523</v>
      </c>
      <c r="I288" s="28"/>
      <c r="J288" s="28">
        <v>1</v>
      </c>
      <c r="K288" s="28" t="s">
        <v>41</v>
      </c>
      <c r="L288" s="273" t="s">
        <v>529</v>
      </c>
    </row>
    <row r="289" spans="1:12" s="169" customFormat="1" ht="15.75" hidden="1" customHeight="1">
      <c r="A289" s="271" t="s">
        <v>875</v>
      </c>
      <c r="B289" s="272" t="s">
        <v>870</v>
      </c>
      <c r="C289" s="273" t="s">
        <v>871</v>
      </c>
      <c r="D289" s="273" t="s">
        <v>598</v>
      </c>
      <c r="E289" s="274">
        <v>4500000</v>
      </c>
      <c r="F289" s="273" t="s">
        <v>872</v>
      </c>
      <c r="G289" s="28" t="s">
        <v>528</v>
      </c>
      <c r="H289" s="28" t="s">
        <v>523</v>
      </c>
      <c r="I289" s="28"/>
      <c r="J289" s="28">
        <v>1</v>
      </c>
      <c r="K289" s="28" t="s">
        <v>124</v>
      </c>
      <c r="L289" s="273" t="s">
        <v>524</v>
      </c>
    </row>
    <row r="290" spans="1:12" s="169" customFormat="1" ht="15.75" hidden="1" customHeight="1">
      <c r="A290" s="271" t="s">
        <v>875</v>
      </c>
      <c r="B290" s="272" t="s">
        <v>870</v>
      </c>
      <c r="C290" s="273" t="s">
        <v>877</v>
      </c>
      <c r="D290" s="273" t="s">
        <v>578</v>
      </c>
      <c r="E290" s="274">
        <v>2250000</v>
      </c>
      <c r="F290" s="275" t="s">
        <v>527</v>
      </c>
      <c r="G290" s="28" t="s">
        <v>528</v>
      </c>
      <c r="H290" s="28" t="s">
        <v>523</v>
      </c>
      <c r="I290" s="28"/>
      <c r="J290" s="28">
        <v>1</v>
      </c>
      <c r="K290" s="28" t="s">
        <v>124</v>
      </c>
      <c r="L290" s="273" t="s">
        <v>524</v>
      </c>
    </row>
    <row r="291" spans="1:12" s="169" customFormat="1" ht="15.75" hidden="1" customHeight="1">
      <c r="A291" s="271" t="s">
        <v>875</v>
      </c>
      <c r="B291" s="272" t="s">
        <v>870</v>
      </c>
      <c r="C291" s="273" t="s">
        <v>878</v>
      </c>
      <c r="D291" s="273" t="s">
        <v>598</v>
      </c>
      <c r="E291" s="274">
        <v>1700000</v>
      </c>
      <c r="F291" s="273" t="s">
        <v>149</v>
      </c>
      <c r="G291" s="28" t="s">
        <v>528</v>
      </c>
      <c r="H291" s="28" t="s">
        <v>523</v>
      </c>
      <c r="I291" s="28"/>
      <c r="J291" s="28">
        <v>1</v>
      </c>
      <c r="K291" s="28" t="s">
        <v>41</v>
      </c>
      <c r="L291" s="273" t="s">
        <v>529</v>
      </c>
    </row>
    <row r="292" spans="1:12" s="169" customFormat="1" ht="15.75" hidden="1" customHeight="1">
      <c r="A292" s="271"/>
      <c r="B292" s="276"/>
      <c r="C292" s="273"/>
      <c r="D292" s="273"/>
      <c r="E292" s="274"/>
      <c r="F292" s="273"/>
      <c r="G292" s="28"/>
      <c r="H292" s="28"/>
      <c r="I292" s="28"/>
      <c r="J292" s="28"/>
      <c r="K292" s="28"/>
      <c r="L292" s="273"/>
    </row>
    <row r="293" spans="1:12" s="169" customFormat="1" ht="15.75" hidden="1" customHeight="1">
      <c r="A293" s="985" t="s">
        <v>26</v>
      </c>
      <c r="B293" s="1049"/>
      <c r="C293" s="1049"/>
      <c r="D293" s="1049"/>
      <c r="E293" s="1049"/>
      <c r="F293" s="1049"/>
      <c r="G293" s="1049"/>
      <c r="H293" s="1049"/>
      <c r="I293" s="36"/>
      <c r="J293" s="198">
        <f>SUM(J286:J292)</f>
        <v>6</v>
      </c>
      <c r="K293" s="199"/>
      <c r="L293" s="266"/>
    </row>
    <row r="294" spans="1:12" s="169" customFormat="1" ht="15.75" hidden="1" customHeight="1">
      <c r="A294" s="168"/>
      <c r="B294" s="168"/>
      <c r="C294" s="168"/>
      <c r="D294" s="168"/>
      <c r="E294" s="168"/>
      <c r="F294" s="168"/>
      <c r="L294" s="168"/>
    </row>
    <row r="295" spans="1:12" s="169" customFormat="1" ht="15.75" hidden="1" customHeight="1">
      <c r="A295" s="168"/>
      <c r="B295" s="168"/>
      <c r="C295" s="168"/>
      <c r="D295" s="168"/>
      <c r="E295" s="168"/>
      <c r="F295" s="168"/>
      <c r="L295" s="168"/>
    </row>
    <row r="296" spans="1:12" s="169" customFormat="1" ht="15.75" hidden="1" customHeight="1">
      <c r="A296" s="986" t="s">
        <v>16</v>
      </c>
      <c r="B296" s="986"/>
      <c r="C296" s="986"/>
      <c r="D296" s="986"/>
      <c r="E296" s="986"/>
      <c r="F296" s="986"/>
      <c r="G296" s="986"/>
      <c r="H296" s="986"/>
      <c r="I296" s="986"/>
      <c r="J296" s="986"/>
      <c r="K296" s="986"/>
      <c r="L296" s="986"/>
    </row>
    <row r="297" spans="1:12" s="169" customFormat="1" ht="15.75" hidden="1" customHeight="1">
      <c r="A297" s="261" t="s">
        <v>507</v>
      </c>
      <c r="B297" s="262" t="s">
        <v>508</v>
      </c>
      <c r="C297" s="262" t="s">
        <v>509</v>
      </c>
      <c r="D297" s="262" t="s">
        <v>510</v>
      </c>
      <c r="E297" s="263" t="s">
        <v>511</v>
      </c>
      <c r="F297" s="262" t="s">
        <v>512</v>
      </c>
      <c r="G297" s="264" t="s">
        <v>513</v>
      </c>
      <c r="H297" s="264" t="s">
        <v>514</v>
      </c>
      <c r="I297" s="264" t="s">
        <v>515</v>
      </c>
      <c r="J297" s="264" t="s">
        <v>515</v>
      </c>
      <c r="K297" s="264" t="s">
        <v>516</v>
      </c>
      <c r="L297" s="262" t="s">
        <v>517</v>
      </c>
    </row>
    <row r="298" spans="1:12" s="169" customFormat="1" ht="15.75" hidden="1" customHeight="1">
      <c r="A298" s="265" t="s">
        <v>869</v>
      </c>
      <c r="B298" s="266" t="s">
        <v>870</v>
      </c>
      <c r="C298" s="266" t="s">
        <v>879</v>
      </c>
      <c r="D298" s="266" t="s">
        <v>583</v>
      </c>
      <c r="E298" s="281">
        <v>750000000</v>
      </c>
      <c r="F298" s="266" t="s">
        <v>584</v>
      </c>
      <c r="G298" s="198" t="s">
        <v>528</v>
      </c>
      <c r="H298" s="198" t="s">
        <v>523</v>
      </c>
      <c r="I298" s="198">
        <v>1</v>
      </c>
      <c r="J298" s="198"/>
      <c r="K298" s="198"/>
      <c r="L298" s="266" t="s">
        <v>524</v>
      </c>
    </row>
    <row r="299" spans="1:12" s="169" customFormat="1" ht="15.75" hidden="1" customHeight="1">
      <c r="A299" s="265" t="s">
        <v>869</v>
      </c>
      <c r="B299" s="266" t="s">
        <v>870</v>
      </c>
      <c r="C299" s="266" t="s">
        <v>880</v>
      </c>
      <c r="D299" s="266" t="s">
        <v>534</v>
      </c>
      <c r="E299" s="281">
        <v>490000000</v>
      </c>
      <c r="F299" s="266" t="s">
        <v>574</v>
      </c>
      <c r="G299" s="198" t="s">
        <v>528</v>
      </c>
      <c r="H299" s="198" t="s">
        <v>523</v>
      </c>
      <c r="I299" s="198">
        <v>1</v>
      </c>
      <c r="J299" s="198"/>
      <c r="K299" s="198"/>
      <c r="L299" s="266" t="s">
        <v>524</v>
      </c>
    </row>
    <row r="300" spans="1:12" s="169" customFormat="1" ht="15.75" hidden="1" customHeight="1">
      <c r="A300" s="265" t="s">
        <v>869</v>
      </c>
      <c r="B300" s="266" t="s">
        <v>870</v>
      </c>
      <c r="C300" s="266" t="s">
        <v>881</v>
      </c>
      <c r="D300" s="266" t="s">
        <v>578</v>
      </c>
      <c r="E300" s="281">
        <v>340000000</v>
      </c>
      <c r="F300" s="266" t="s">
        <v>579</v>
      </c>
      <c r="G300" s="198" t="s">
        <v>528</v>
      </c>
      <c r="H300" s="198" t="s">
        <v>523</v>
      </c>
      <c r="I300" s="198">
        <v>1</v>
      </c>
      <c r="J300" s="198"/>
      <c r="K300" s="198"/>
      <c r="L300" s="266" t="s">
        <v>524</v>
      </c>
    </row>
    <row r="301" spans="1:12" s="169" customFormat="1" ht="15.75" hidden="1" customHeight="1">
      <c r="A301" s="282"/>
      <c r="B301" s="272" t="s">
        <v>870</v>
      </c>
      <c r="C301" s="273" t="s">
        <v>882</v>
      </c>
      <c r="D301" s="273" t="s">
        <v>526</v>
      </c>
      <c r="E301" s="283">
        <v>2500000</v>
      </c>
      <c r="F301" s="273" t="s">
        <v>883</v>
      </c>
      <c r="G301" s="273" t="s">
        <v>523</v>
      </c>
      <c r="H301" s="273" t="s">
        <v>523</v>
      </c>
      <c r="I301" s="273"/>
      <c r="J301" s="284">
        <v>1</v>
      </c>
      <c r="K301" s="273" t="s">
        <v>124</v>
      </c>
      <c r="L301" s="273" t="s">
        <v>606</v>
      </c>
    </row>
    <row r="302" spans="1:12" s="169" customFormat="1" ht="15.75" hidden="1" customHeight="1">
      <c r="A302" s="282"/>
      <c r="B302" s="272" t="s">
        <v>870</v>
      </c>
      <c r="C302" s="273" t="s">
        <v>884</v>
      </c>
      <c r="D302" s="273" t="s">
        <v>759</v>
      </c>
      <c r="E302" s="283">
        <v>1950000</v>
      </c>
      <c r="F302" s="275" t="s">
        <v>741</v>
      </c>
      <c r="G302" s="273" t="s">
        <v>523</v>
      </c>
      <c r="H302" s="273" t="s">
        <v>523</v>
      </c>
      <c r="I302" s="273"/>
      <c r="J302" s="284">
        <v>1</v>
      </c>
      <c r="K302" s="273" t="s">
        <v>124</v>
      </c>
      <c r="L302" s="273" t="s">
        <v>606</v>
      </c>
    </row>
    <row r="303" spans="1:12" s="169" customFormat="1" ht="15.75" hidden="1" customHeight="1">
      <c r="A303" s="282"/>
      <c r="B303" s="272" t="s">
        <v>870</v>
      </c>
      <c r="C303" s="273" t="s">
        <v>885</v>
      </c>
      <c r="D303" s="273" t="s">
        <v>526</v>
      </c>
      <c r="E303" s="283">
        <v>2300000</v>
      </c>
      <c r="F303" s="273" t="s">
        <v>636</v>
      </c>
      <c r="G303" s="273" t="s">
        <v>528</v>
      </c>
      <c r="H303" s="273" t="s">
        <v>523</v>
      </c>
      <c r="I303" s="273"/>
      <c r="J303" s="284">
        <v>1</v>
      </c>
      <c r="K303" s="273" t="s">
        <v>41</v>
      </c>
      <c r="L303" s="273" t="s">
        <v>606</v>
      </c>
    </row>
    <row r="304" spans="1:12" s="169" customFormat="1" ht="15.75" hidden="1" customHeight="1">
      <c r="A304" s="271"/>
      <c r="B304" s="272" t="s">
        <v>870</v>
      </c>
      <c r="C304" s="285" t="s">
        <v>886</v>
      </c>
      <c r="D304" s="285" t="s">
        <v>887</v>
      </c>
      <c r="E304" s="286">
        <v>2700000</v>
      </c>
      <c r="F304" s="285" t="s">
        <v>888</v>
      </c>
      <c r="G304" s="285" t="s">
        <v>528</v>
      </c>
      <c r="H304" s="285" t="s">
        <v>523</v>
      </c>
      <c r="I304" s="285"/>
      <c r="J304" s="287">
        <v>1</v>
      </c>
      <c r="K304" s="285" t="s">
        <v>41</v>
      </c>
      <c r="L304" s="285" t="s">
        <v>606</v>
      </c>
    </row>
    <row r="305" spans="1:12" s="169" customFormat="1" ht="15.75" hidden="1" customHeight="1">
      <c r="A305" s="271"/>
      <c r="B305" s="276" t="s">
        <v>556</v>
      </c>
      <c r="C305" s="273" t="s">
        <v>889</v>
      </c>
      <c r="D305" s="273" t="s">
        <v>817</v>
      </c>
      <c r="E305" s="283">
        <v>3100000</v>
      </c>
      <c r="F305" s="275" t="s">
        <v>741</v>
      </c>
      <c r="G305" s="273" t="s">
        <v>528</v>
      </c>
      <c r="H305" s="273" t="s">
        <v>523</v>
      </c>
      <c r="I305" s="273"/>
      <c r="J305" s="284">
        <v>1</v>
      </c>
      <c r="K305" s="273" t="s">
        <v>124</v>
      </c>
      <c r="L305" s="273" t="s">
        <v>524</v>
      </c>
    </row>
    <row r="306" spans="1:12" s="169" customFormat="1" ht="15.75" hidden="1" customHeight="1">
      <c r="A306" s="271"/>
      <c r="B306" s="272" t="s">
        <v>870</v>
      </c>
      <c r="C306" s="273" t="s">
        <v>890</v>
      </c>
      <c r="D306" s="273" t="s">
        <v>887</v>
      </c>
      <c r="E306" s="283">
        <v>2700000</v>
      </c>
      <c r="F306" s="273" t="s">
        <v>888</v>
      </c>
      <c r="G306" s="273" t="s">
        <v>528</v>
      </c>
      <c r="H306" s="273" t="s">
        <v>523</v>
      </c>
      <c r="I306" s="273"/>
      <c r="J306" s="284">
        <v>1</v>
      </c>
      <c r="K306" s="273" t="s">
        <v>124</v>
      </c>
      <c r="L306" s="273" t="s">
        <v>606</v>
      </c>
    </row>
    <row r="307" spans="1:12" s="169" customFormat="1" ht="15.75" hidden="1" customHeight="1">
      <c r="A307" s="271"/>
      <c r="B307" s="272" t="s">
        <v>870</v>
      </c>
      <c r="C307" s="273" t="s">
        <v>891</v>
      </c>
      <c r="D307" s="273" t="s">
        <v>892</v>
      </c>
      <c r="E307" s="283">
        <v>2800000</v>
      </c>
      <c r="F307" s="273" t="s">
        <v>584</v>
      </c>
      <c r="G307" s="273" t="s">
        <v>523</v>
      </c>
      <c r="H307" s="273" t="s">
        <v>523</v>
      </c>
      <c r="I307" s="273"/>
      <c r="J307" s="284">
        <v>1</v>
      </c>
      <c r="K307" s="273" t="s">
        <v>41</v>
      </c>
      <c r="L307" s="273" t="s">
        <v>606</v>
      </c>
    </row>
    <row r="308" spans="1:12" s="169" customFormat="1" ht="15.75" hidden="1" customHeight="1">
      <c r="A308" s="271"/>
      <c r="B308" s="272" t="s">
        <v>870</v>
      </c>
      <c r="C308" s="273" t="s">
        <v>879</v>
      </c>
      <c r="D308" s="273" t="s">
        <v>892</v>
      </c>
      <c r="E308" s="283">
        <v>3600000</v>
      </c>
      <c r="F308" s="273" t="s">
        <v>584</v>
      </c>
      <c r="G308" s="273" t="s">
        <v>523</v>
      </c>
      <c r="H308" s="273" t="s">
        <v>523</v>
      </c>
      <c r="I308" s="273"/>
      <c r="J308" s="284">
        <v>1</v>
      </c>
      <c r="K308" s="273" t="s">
        <v>124</v>
      </c>
      <c r="L308" s="273" t="s">
        <v>687</v>
      </c>
    </row>
    <row r="309" spans="1:12" s="169" customFormat="1" ht="15.75" hidden="1" customHeight="1">
      <c r="A309" s="271"/>
      <c r="B309" s="272" t="s">
        <v>870</v>
      </c>
      <c r="C309" s="273" t="s">
        <v>893</v>
      </c>
      <c r="D309" s="273" t="s">
        <v>892</v>
      </c>
      <c r="E309" s="283">
        <v>3000000</v>
      </c>
      <c r="F309" s="273" t="s">
        <v>584</v>
      </c>
      <c r="G309" s="273" t="s">
        <v>523</v>
      </c>
      <c r="H309" s="273" t="s">
        <v>523</v>
      </c>
      <c r="I309" s="273"/>
      <c r="J309" s="284">
        <v>1</v>
      </c>
      <c r="K309" s="273" t="s">
        <v>41</v>
      </c>
      <c r="L309" s="273" t="s">
        <v>524</v>
      </c>
    </row>
    <row r="310" spans="1:12" s="169" customFormat="1" ht="15.75" hidden="1" customHeight="1">
      <c r="A310" s="271"/>
      <c r="B310" s="272" t="s">
        <v>870</v>
      </c>
      <c r="C310" s="273" t="s">
        <v>894</v>
      </c>
      <c r="D310" s="273" t="s">
        <v>817</v>
      </c>
      <c r="E310" s="283">
        <v>950000</v>
      </c>
      <c r="F310" s="275" t="s">
        <v>741</v>
      </c>
      <c r="G310" s="28" t="s">
        <v>523</v>
      </c>
      <c r="H310" s="28" t="s">
        <v>523</v>
      </c>
      <c r="I310" s="28"/>
      <c r="J310" s="284">
        <v>1</v>
      </c>
      <c r="K310" s="28" t="s">
        <v>41</v>
      </c>
      <c r="L310" s="273" t="s">
        <v>524</v>
      </c>
    </row>
    <row r="311" spans="1:12" s="169" customFormat="1" ht="15.75" hidden="1" customHeight="1">
      <c r="A311" s="271"/>
      <c r="B311" s="272" t="s">
        <v>870</v>
      </c>
      <c r="C311" s="273" t="s">
        <v>895</v>
      </c>
      <c r="D311" s="273" t="s">
        <v>616</v>
      </c>
      <c r="E311" s="286">
        <v>3600000</v>
      </c>
      <c r="F311" s="273" t="s">
        <v>896</v>
      </c>
      <c r="G311" s="28" t="s">
        <v>523</v>
      </c>
      <c r="H311" s="28" t="s">
        <v>523</v>
      </c>
      <c r="I311" s="28"/>
      <c r="J311" s="28">
        <v>1</v>
      </c>
      <c r="K311" s="28" t="s">
        <v>41</v>
      </c>
      <c r="L311" s="273" t="s">
        <v>529</v>
      </c>
    </row>
    <row r="312" spans="1:12" s="169" customFormat="1" ht="15.75" hidden="1" customHeight="1">
      <c r="A312" s="271"/>
      <c r="B312" s="272" t="s">
        <v>870</v>
      </c>
      <c r="C312" s="273" t="s">
        <v>897</v>
      </c>
      <c r="D312" s="273" t="s">
        <v>616</v>
      </c>
      <c r="E312" s="283">
        <v>1700000</v>
      </c>
      <c r="F312" s="273" t="s">
        <v>898</v>
      </c>
      <c r="G312" s="28" t="s">
        <v>523</v>
      </c>
      <c r="H312" s="28" t="s">
        <v>523</v>
      </c>
      <c r="I312" s="28"/>
      <c r="J312" s="28">
        <v>1</v>
      </c>
      <c r="K312" s="28" t="s">
        <v>124</v>
      </c>
      <c r="L312" s="28" t="s">
        <v>529</v>
      </c>
    </row>
    <row r="313" spans="1:12" s="169" customFormat="1" ht="15.75" hidden="1" customHeight="1">
      <c r="A313" s="271" t="s">
        <v>899</v>
      </c>
      <c r="B313" s="272" t="s">
        <v>900</v>
      </c>
      <c r="C313" s="288" t="s">
        <v>901</v>
      </c>
      <c r="D313" s="288" t="s">
        <v>902</v>
      </c>
      <c r="E313" s="289">
        <v>2800000</v>
      </c>
      <c r="F313" s="288" t="s">
        <v>903</v>
      </c>
      <c r="G313" s="290" t="s">
        <v>523</v>
      </c>
      <c r="H313" s="290" t="s">
        <v>523</v>
      </c>
      <c r="I313" s="290"/>
      <c r="J313" s="290">
        <v>1</v>
      </c>
      <c r="K313" s="290" t="s">
        <v>124</v>
      </c>
      <c r="L313" s="290"/>
    </row>
    <row r="314" spans="1:12" s="169" customFormat="1" ht="15.75" hidden="1" customHeight="1">
      <c r="A314" s="271" t="s">
        <v>875</v>
      </c>
      <c r="B314" s="272" t="s">
        <v>870</v>
      </c>
      <c r="C314" s="288" t="s">
        <v>904</v>
      </c>
      <c r="D314" s="288" t="s">
        <v>905</v>
      </c>
      <c r="E314" s="289">
        <v>4500000</v>
      </c>
      <c r="F314" s="288" t="s">
        <v>903</v>
      </c>
      <c r="G314" s="290" t="s">
        <v>523</v>
      </c>
      <c r="H314" s="290" t="s">
        <v>523</v>
      </c>
      <c r="I314" s="290"/>
      <c r="J314" s="290">
        <v>1</v>
      </c>
      <c r="K314" s="290" t="s">
        <v>138</v>
      </c>
      <c r="L314" s="290" t="s">
        <v>524</v>
      </c>
    </row>
    <row r="315" spans="1:12" s="169" customFormat="1" ht="15.75" hidden="1" customHeight="1">
      <c r="A315" s="271" t="s">
        <v>906</v>
      </c>
      <c r="B315" s="276" t="s">
        <v>870</v>
      </c>
      <c r="C315" s="273" t="s">
        <v>907</v>
      </c>
      <c r="D315" s="273" t="s">
        <v>578</v>
      </c>
      <c r="E315" s="283">
        <v>2400000</v>
      </c>
      <c r="F315" s="288" t="s">
        <v>903</v>
      </c>
      <c r="G315" s="28" t="s">
        <v>523</v>
      </c>
      <c r="H315" s="28" t="s">
        <v>523</v>
      </c>
      <c r="I315" s="28"/>
      <c r="J315" s="28">
        <v>1</v>
      </c>
      <c r="K315" s="28" t="s">
        <v>124</v>
      </c>
      <c r="L315" s="28" t="s">
        <v>524</v>
      </c>
    </row>
    <row r="316" spans="1:12" s="169" customFormat="1" ht="15.75" hidden="1" customHeight="1">
      <c r="A316" s="271" t="s">
        <v>875</v>
      </c>
      <c r="B316" s="276" t="s">
        <v>870</v>
      </c>
      <c r="C316" s="273" t="s">
        <v>908</v>
      </c>
      <c r="D316" s="273" t="s">
        <v>845</v>
      </c>
      <c r="E316" s="283">
        <v>2600000</v>
      </c>
      <c r="F316" s="273" t="s">
        <v>903</v>
      </c>
      <c r="G316" s="28" t="s">
        <v>523</v>
      </c>
      <c r="H316" s="28" t="s">
        <v>523</v>
      </c>
      <c r="I316" s="28"/>
      <c r="J316" s="28">
        <v>1</v>
      </c>
      <c r="K316" s="28" t="s">
        <v>138</v>
      </c>
      <c r="L316" s="28" t="s">
        <v>123</v>
      </c>
    </row>
    <row r="317" spans="1:12" s="169" customFormat="1" ht="15.75" hidden="1" customHeight="1">
      <c r="A317" s="271" t="s">
        <v>875</v>
      </c>
      <c r="B317" s="291" t="s">
        <v>870</v>
      </c>
      <c r="C317" s="285" t="s">
        <v>909</v>
      </c>
      <c r="D317" s="285" t="s">
        <v>534</v>
      </c>
      <c r="E317" s="286">
        <v>2800000</v>
      </c>
      <c r="F317" s="285" t="s">
        <v>903</v>
      </c>
      <c r="G317" s="7" t="s">
        <v>523</v>
      </c>
      <c r="H317" s="7" t="s">
        <v>523</v>
      </c>
      <c r="I317" s="7"/>
      <c r="J317" s="7">
        <v>1</v>
      </c>
      <c r="K317" s="28" t="s">
        <v>124</v>
      </c>
      <c r="L317" s="28" t="s">
        <v>524</v>
      </c>
    </row>
    <row r="318" spans="1:12" s="169" customFormat="1" ht="15.75" hidden="1" customHeight="1">
      <c r="A318" s="271" t="s">
        <v>875</v>
      </c>
      <c r="B318" s="276" t="s">
        <v>870</v>
      </c>
      <c r="C318" s="273" t="s">
        <v>910</v>
      </c>
      <c r="D318" s="273" t="s">
        <v>911</v>
      </c>
      <c r="E318" s="283">
        <v>2700000</v>
      </c>
      <c r="F318" s="273" t="s">
        <v>903</v>
      </c>
      <c r="G318" s="28" t="s">
        <v>523</v>
      </c>
      <c r="H318" s="28" t="s">
        <v>523</v>
      </c>
      <c r="I318" s="28"/>
      <c r="J318" s="28">
        <v>1</v>
      </c>
      <c r="K318" s="28" t="s">
        <v>138</v>
      </c>
      <c r="L318" s="28" t="s">
        <v>524</v>
      </c>
    </row>
    <row r="319" spans="1:12" s="169" customFormat="1" ht="15.75" hidden="1" customHeight="1">
      <c r="A319" s="271" t="s">
        <v>875</v>
      </c>
      <c r="B319" s="276" t="s">
        <v>870</v>
      </c>
      <c r="C319" s="273" t="s">
        <v>912</v>
      </c>
      <c r="D319" s="273" t="s">
        <v>911</v>
      </c>
      <c r="E319" s="283">
        <v>3100000</v>
      </c>
      <c r="F319" s="273" t="s">
        <v>903</v>
      </c>
      <c r="G319" s="28" t="s">
        <v>523</v>
      </c>
      <c r="H319" s="28" t="s">
        <v>523</v>
      </c>
      <c r="I319" s="28"/>
      <c r="J319" s="28">
        <v>1</v>
      </c>
      <c r="K319" s="28" t="s">
        <v>124</v>
      </c>
      <c r="L319" s="28" t="s">
        <v>524</v>
      </c>
    </row>
    <row r="320" spans="1:12" s="169" customFormat="1" ht="15.75" hidden="1" customHeight="1">
      <c r="A320" s="271" t="s">
        <v>875</v>
      </c>
      <c r="B320" s="276" t="s">
        <v>870</v>
      </c>
      <c r="C320" s="273" t="s">
        <v>913</v>
      </c>
      <c r="D320" s="273" t="s">
        <v>911</v>
      </c>
      <c r="E320" s="274">
        <v>3000000</v>
      </c>
      <c r="F320" s="273" t="s">
        <v>903</v>
      </c>
      <c r="G320" s="28" t="s">
        <v>523</v>
      </c>
      <c r="H320" s="28" t="s">
        <v>523</v>
      </c>
      <c r="I320" s="28"/>
      <c r="J320" s="28">
        <v>1</v>
      </c>
      <c r="K320" s="28" t="s">
        <v>138</v>
      </c>
      <c r="L320" s="28" t="s">
        <v>524</v>
      </c>
    </row>
    <row r="321" spans="1:12" s="169" customFormat="1" ht="15.75" hidden="1" customHeight="1">
      <c r="A321" s="271"/>
      <c r="B321" s="276"/>
      <c r="C321" s="273"/>
      <c r="D321" s="273"/>
      <c r="E321" s="274"/>
      <c r="F321" s="273"/>
      <c r="G321" s="28"/>
      <c r="H321" s="28"/>
      <c r="I321" s="28"/>
      <c r="J321" s="28"/>
      <c r="K321" s="28"/>
      <c r="L321" s="28"/>
    </row>
    <row r="322" spans="1:12" s="169" customFormat="1" ht="15.75" hidden="1" customHeight="1">
      <c r="A322" s="271"/>
      <c r="B322" s="276"/>
      <c r="C322" s="273"/>
      <c r="D322" s="273"/>
      <c r="E322" s="274"/>
      <c r="F322" s="273"/>
      <c r="G322" s="28"/>
      <c r="H322" s="28"/>
      <c r="I322" s="28"/>
      <c r="J322" s="28"/>
      <c r="K322" s="28"/>
      <c r="L322" s="28"/>
    </row>
    <row r="323" spans="1:12" s="169" customFormat="1" ht="15.75" hidden="1" customHeight="1">
      <c r="A323" s="271"/>
      <c r="B323" s="276"/>
      <c r="C323" s="273"/>
      <c r="D323" s="273"/>
      <c r="E323" s="274"/>
      <c r="F323" s="273"/>
      <c r="G323" s="28"/>
      <c r="H323" s="28"/>
      <c r="I323" s="28"/>
      <c r="J323" s="28"/>
      <c r="K323" s="28"/>
      <c r="L323" s="28"/>
    </row>
    <row r="324" spans="1:12" s="169" customFormat="1" ht="15.75" hidden="1" customHeight="1">
      <c r="A324" s="271"/>
      <c r="B324" s="276"/>
      <c r="C324" s="273"/>
      <c r="D324" s="273"/>
      <c r="E324" s="274"/>
      <c r="F324" s="273"/>
      <c r="G324" s="28"/>
      <c r="H324" s="28"/>
      <c r="I324" s="28"/>
      <c r="J324" s="28"/>
      <c r="K324" s="28"/>
      <c r="L324" s="28"/>
    </row>
    <row r="325" spans="1:12" s="169" customFormat="1" ht="15.75" hidden="1" customHeight="1">
      <c r="A325" s="271"/>
      <c r="B325" s="285"/>
      <c r="C325" s="285"/>
      <c r="D325" s="273"/>
      <c r="E325" s="292"/>
      <c r="F325" s="285"/>
      <c r="G325" s="7"/>
      <c r="H325" s="7"/>
      <c r="I325" s="7"/>
      <c r="J325" s="7"/>
      <c r="K325" s="7"/>
      <c r="L325" s="7"/>
    </row>
    <row r="326" spans="1:12" s="169" customFormat="1" ht="15.75" hidden="1" customHeight="1">
      <c r="A326" s="293"/>
      <c r="B326" s="285"/>
      <c r="C326" s="285"/>
      <c r="D326" s="285"/>
      <c r="E326" s="292"/>
      <c r="F326" s="285"/>
      <c r="G326" s="7"/>
      <c r="H326" s="7"/>
      <c r="I326" s="7"/>
      <c r="J326" s="7"/>
      <c r="K326" s="7"/>
      <c r="L326" s="7"/>
    </row>
    <row r="327" spans="1:12" s="242" customFormat="1" ht="15.75" hidden="1" customHeight="1">
      <c r="A327" s="987" t="s">
        <v>26</v>
      </c>
      <c r="B327" s="1050"/>
      <c r="C327" s="1050"/>
      <c r="D327" s="1050"/>
      <c r="E327" s="1050"/>
      <c r="F327" s="1050"/>
      <c r="G327" s="1050"/>
      <c r="H327" s="1050"/>
      <c r="I327" s="277">
        <f>SUM(I298:I326)</f>
        <v>3</v>
      </c>
      <c r="J327" s="240">
        <f>SUM(J301:J326)</f>
        <v>20</v>
      </c>
      <c r="K327" s="241"/>
      <c r="L327" s="294"/>
    </row>
    <row r="328" spans="1:12" s="169" customFormat="1" ht="15.75" hidden="1" customHeight="1">
      <c r="A328" s="295"/>
      <c r="B328" s="295"/>
      <c r="C328" s="295"/>
      <c r="D328" s="295"/>
      <c r="E328" s="295"/>
      <c r="F328" s="295"/>
      <c r="G328" s="296"/>
      <c r="H328" s="296"/>
      <c r="I328" s="296"/>
      <c r="J328" s="296"/>
      <c r="K328" s="296"/>
      <c r="L328" s="295"/>
    </row>
    <row r="329" spans="1:12" s="169" customFormat="1" ht="15.75" hidden="1" customHeight="1">
      <c r="A329" s="295"/>
      <c r="B329" s="295"/>
      <c r="C329" s="295"/>
      <c r="D329" s="295"/>
      <c r="E329" s="295"/>
      <c r="F329" s="295"/>
      <c r="G329" s="296"/>
      <c r="H329" s="296"/>
      <c r="I329" s="296"/>
      <c r="J329" s="296"/>
      <c r="K329" s="296"/>
      <c r="L329" s="295"/>
    </row>
    <row r="330" spans="1:12" s="169" customFormat="1" ht="15.75" hidden="1" customHeight="1">
      <c r="A330" s="295"/>
      <c r="B330" s="295"/>
      <c r="C330" s="295"/>
      <c r="D330" s="295"/>
      <c r="E330" s="295"/>
      <c r="F330" s="295"/>
      <c r="G330" s="296"/>
      <c r="H330" s="296"/>
      <c r="I330" s="296"/>
      <c r="J330" s="296"/>
      <c r="K330" s="296"/>
      <c r="L330" s="295"/>
    </row>
    <row r="331" spans="1:12" s="169" customFormat="1" ht="15.75" hidden="1" customHeight="1">
      <c r="A331" s="986" t="s">
        <v>107</v>
      </c>
      <c r="B331" s="986"/>
      <c r="C331" s="986"/>
      <c r="D331" s="986"/>
      <c r="E331" s="986"/>
      <c r="F331" s="986"/>
      <c r="G331" s="986"/>
      <c r="H331" s="986"/>
      <c r="I331" s="986"/>
      <c r="J331" s="986"/>
      <c r="K331" s="986"/>
      <c r="L331" s="986"/>
    </row>
    <row r="332" spans="1:12" s="169" customFormat="1" ht="15.75" hidden="1" customHeight="1">
      <c r="A332" s="261" t="s">
        <v>507</v>
      </c>
      <c r="B332" s="262" t="s">
        <v>508</v>
      </c>
      <c r="C332" s="262" t="s">
        <v>509</v>
      </c>
      <c r="D332" s="262" t="s">
        <v>510</v>
      </c>
      <c r="E332" s="263" t="s">
        <v>511</v>
      </c>
      <c r="F332" s="262" t="s">
        <v>512</v>
      </c>
      <c r="G332" s="264" t="s">
        <v>513</v>
      </c>
      <c r="H332" s="264" t="s">
        <v>514</v>
      </c>
      <c r="I332" s="264" t="s">
        <v>914</v>
      </c>
      <c r="J332" s="264" t="s">
        <v>915</v>
      </c>
      <c r="K332" s="264" t="s">
        <v>516</v>
      </c>
      <c r="L332" s="262" t="s">
        <v>517</v>
      </c>
    </row>
    <row r="333" spans="1:12" s="169" customFormat="1" ht="15.75" hidden="1" customHeight="1">
      <c r="A333" s="282">
        <v>44673</v>
      </c>
      <c r="B333" s="273" t="s">
        <v>870</v>
      </c>
      <c r="C333" s="273" t="s">
        <v>916</v>
      </c>
      <c r="D333" s="273" t="s">
        <v>845</v>
      </c>
      <c r="E333" s="297">
        <v>3000000</v>
      </c>
      <c r="F333" s="273" t="s">
        <v>903</v>
      </c>
      <c r="G333" s="298" t="s">
        <v>523</v>
      </c>
      <c r="H333" s="298" t="s">
        <v>523</v>
      </c>
      <c r="I333" s="298"/>
      <c r="J333" s="298">
        <v>1</v>
      </c>
      <c r="K333" s="298"/>
      <c r="L333" s="273"/>
    </row>
    <row r="334" spans="1:12" s="169" customFormat="1" ht="15.75" hidden="1" customHeight="1">
      <c r="A334" s="282">
        <v>44673</v>
      </c>
      <c r="B334" s="273" t="s">
        <v>870</v>
      </c>
      <c r="C334" s="285" t="s">
        <v>917</v>
      </c>
      <c r="D334" s="285" t="s">
        <v>845</v>
      </c>
      <c r="E334" s="299">
        <v>2500000</v>
      </c>
      <c r="F334" s="285" t="s">
        <v>903</v>
      </c>
      <c r="G334" s="8" t="s">
        <v>523</v>
      </c>
      <c r="H334" s="8" t="s">
        <v>523</v>
      </c>
      <c r="I334" s="8"/>
      <c r="J334" s="8">
        <v>1</v>
      </c>
      <c r="K334" s="8"/>
      <c r="L334" s="285"/>
    </row>
    <row r="335" spans="1:12" s="169" customFormat="1" ht="15.75" hidden="1" customHeight="1">
      <c r="A335" s="282">
        <v>44673</v>
      </c>
      <c r="B335" s="273" t="s">
        <v>870</v>
      </c>
      <c r="C335" s="285" t="s">
        <v>918</v>
      </c>
      <c r="D335" s="285" t="s">
        <v>845</v>
      </c>
      <c r="E335" s="299">
        <v>2500000</v>
      </c>
      <c r="F335" s="285" t="s">
        <v>903</v>
      </c>
      <c r="G335" s="8" t="s">
        <v>523</v>
      </c>
      <c r="H335" s="8" t="s">
        <v>523</v>
      </c>
      <c r="I335" s="8"/>
      <c r="J335" s="8">
        <v>1</v>
      </c>
      <c r="K335" s="7"/>
      <c r="L335" s="7"/>
    </row>
    <row r="336" spans="1:12" s="169" customFormat="1" ht="15.75" hidden="1" customHeight="1">
      <c r="A336" s="282">
        <v>44673</v>
      </c>
      <c r="B336" s="273" t="s">
        <v>870</v>
      </c>
      <c r="C336" s="285" t="s">
        <v>919</v>
      </c>
      <c r="D336" s="285" t="s">
        <v>861</v>
      </c>
      <c r="E336" s="299">
        <v>1500000</v>
      </c>
      <c r="F336" s="285" t="s">
        <v>903</v>
      </c>
      <c r="G336" s="8" t="s">
        <v>523</v>
      </c>
      <c r="H336" s="8" t="s">
        <v>523</v>
      </c>
      <c r="I336" s="8"/>
      <c r="J336" s="8">
        <v>1</v>
      </c>
      <c r="K336" s="7"/>
      <c r="L336" s="7"/>
    </row>
    <row r="337" spans="1:12" s="169" customFormat="1" ht="15.75" hidden="1" customHeight="1">
      <c r="A337" s="282">
        <v>44673</v>
      </c>
      <c r="B337" s="291" t="s">
        <v>870</v>
      </c>
      <c r="C337" s="285" t="s">
        <v>920</v>
      </c>
      <c r="D337" s="285" t="s">
        <v>845</v>
      </c>
      <c r="E337" s="299">
        <v>3800000</v>
      </c>
      <c r="F337" s="285" t="s">
        <v>903</v>
      </c>
      <c r="G337" s="8" t="s">
        <v>523</v>
      </c>
      <c r="H337" s="8" t="s">
        <v>523</v>
      </c>
      <c r="I337" s="8"/>
      <c r="J337" s="8">
        <v>1</v>
      </c>
      <c r="K337" s="7"/>
      <c r="L337" s="7"/>
    </row>
    <row r="338" spans="1:12" s="169" customFormat="1" ht="15.75" hidden="1" customHeight="1">
      <c r="A338" s="271">
        <v>44899</v>
      </c>
      <c r="B338" s="291" t="s">
        <v>870</v>
      </c>
      <c r="C338" s="285" t="s">
        <v>921</v>
      </c>
      <c r="D338" s="285" t="s">
        <v>845</v>
      </c>
      <c r="E338" s="299">
        <v>2500000</v>
      </c>
      <c r="F338" s="285" t="s">
        <v>903</v>
      </c>
      <c r="G338" s="8" t="s">
        <v>523</v>
      </c>
      <c r="H338" s="8" t="s">
        <v>523</v>
      </c>
      <c r="I338" s="7"/>
      <c r="J338" s="8">
        <v>1</v>
      </c>
      <c r="K338" s="7"/>
      <c r="L338" s="7"/>
    </row>
    <row r="339" spans="1:12" s="169" customFormat="1" ht="15.75" hidden="1" customHeight="1">
      <c r="A339" s="271">
        <v>44869</v>
      </c>
      <c r="B339" s="291" t="s">
        <v>900</v>
      </c>
      <c r="C339" s="285" t="s">
        <v>922</v>
      </c>
      <c r="D339" s="285" t="s">
        <v>583</v>
      </c>
      <c r="E339" s="299">
        <v>2550000</v>
      </c>
      <c r="F339" s="285" t="s">
        <v>903</v>
      </c>
      <c r="G339" s="8" t="s">
        <v>523</v>
      </c>
      <c r="H339" s="8" t="s">
        <v>523</v>
      </c>
      <c r="I339" s="7"/>
      <c r="J339" s="8">
        <v>1</v>
      </c>
      <c r="K339" s="7"/>
      <c r="L339" s="7"/>
    </row>
    <row r="340" spans="1:12" s="169" customFormat="1" ht="15.75" hidden="1" customHeight="1">
      <c r="A340" s="271">
        <v>44869</v>
      </c>
      <c r="B340" s="291" t="s">
        <v>870</v>
      </c>
      <c r="C340" s="285" t="s">
        <v>923</v>
      </c>
      <c r="D340" s="285" t="s">
        <v>845</v>
      </c>
      <c r="E340" s="300">
        <v>3000000</v>
      </c>
      <c r="F340" s="285" t="s">
        <v>903</v>
      </c>
      <c r="G340" s="8" t="s">
        <v>523</v>
      </c>
      <c r="H340" s="8" t="s">
        <v>523</v>
      </c>
      <c r="I340" s="7"/>
      <c r="J340" s="8">
        <v>1</v>
      </c>
      <c r="K340" s="7"/>
      <c r="L340" s="7"/>
    </row>
    <row r="341" spans="1:12" s="169" customFormat="1" ht="15.75" hidden="1" customHeight="1">
      <c r="A341" s="271">
        <v>44777</v>
      </c>
      <c r="B341" s="291" t="s">
        <v>870</v>
      </c>
      <c r="C341" s="285" t="s">
        <v>924</v>
      </c>
      <c r="D341" s="285" t="s">
        <v>845</v>
      </c>
      <c r="E341" s="300">
        <v>2900000</v>
      </c>
      <c r="F341" s="285" t="s">
        <v>903</v>
      </c>
      <c r="G341" s="8" t="s">
        <v>523</v>
      </c>
      <c r="H341" s="8" t="s">
        <v>523</v>
      </c>
      <c r="I341" s="7"/>
      <c r="J341" s="8">
        <v>1</v>
      </c>
      <c r="K341" s="7"/>
      <c r="L341" s="7"/>
    </row>
    <row r="342" spans="1:12" s="169" customFormat="1" ht="15.75" hidden="1" customHeight="1">
      <c r="A342" s="271">
        <v>44777</v>
      </c>
      <c r="B342" s="291" t="s">
        <v>870</v>
      </c>
      <c r="C342" s="285" t="s">
        <v>925</v>
      </c>
      <c r="D342" s="285" t="s">
        <v>634</v>
      </c>
      <c r="E342" s="300">
        <v>3200000</v>
      </c>
      <c r="F342" s="285" t="s">
        <v>903</v>
      </c>
      <c r="G342" s="8" t="s">
        <v>523</v>
      </c>
      <c r="H342" s="8" t="s">
        <v>523</v>
      </c>
      <c r="I342" s="7"/>
      <c r="J342" s="8">
        <v>1</v>
      </c>
      <c r="K342" s="7"/>
      <c r="L342" s="7"/>
    </row>
    <row r="343" spans="1:12" s="169" customFormat="1" ht="15.75" hidden="1" customHeight="1">
      <c r="A343" s="271">
        <v>44716</v>
      </c>
      <c r="B343" s="291" t="s">
        <v>870</v>
      </c>
      <c r="C343" s="285" t="s">
        <v>926</v>
      </c>
      <c r="D343" s="285" t="s">
        <v>861</v>
      </c>
      <c r="E343" s="300">
        <v>2900000</v>
      </c>
      <c r="F343" s="285" t="s">
        <v>903</v>
      </c>
      <c r="G343" s="8" t="s">
        <v>523</v>
      </c>
      <c r="H343" s="8" t="s">
        <v>523</v>
      </c>
      <c r="I343" s="7"/>
      <c r="J343" s="8">
        <v>1</v>
      </c>
      <c r="K343" s="7"/>
      <c r="L343" s="7"/>
    </row>
    <row r="344" spans="1:12" s="169" customFormat="1" ht="15.75" hidden="1" customHeight="1">
      <c r="A344" s="271">
        <v>44685</v>
      </c>
      <c r="B344" s="291" t="s">
        <v>870</v>
      </c>
      <c r="C344" s="285" t="s">
        <v>927</v>
      </c>
      <c r="D344" s="285" t="s">
        <v>845</v>
      </c>
      <c r="E344" s="300">
        <v>2800000</v>
      </c>
      <c r="F344" s="285" t="s">
        <v>903</v>
      </c>
      <c r="G344" s="8" t="s">
        <v>523</v>
      </c>
      <c r="H344" s="8" t="s">
        <v>523</v>
      </c>
      <c r="I344" s="7"/>
      <c r="J344" s="8">
        <v>1</v>
      </c>
      <c r="K344" s="7"/>
      <c r="L344" s="7"/>
    </row>
    <row r="345" spans="1:12" s="169" customFormat="1" ht="15.75" hidden="1" customHeight="1">
      <c r="A345" s="271">
        <v>44655</v>
      </c>
      <c r="B345" s="291" t="s">
        <v>870</v>
      </c>
      <c r="C345" s="285" t="s">
        <v>928</v>
      </c>
      <c r="D345" s="285" t="s">
        <v>929</v>
      </c>
      <c r="E345" s="300">
        <v>3300000</v>
      </c>
      <c r="F345" s="285" t="s">
        <v>903</v>
      </c>
      <c r="G345" s="8" t="s">
        <v>523</v>
      </c>
      <c r="H345" s="8" t="s">
        <v>523</v>
      </c>
      <c r="I345" s="7"/>
      <c r="J345" s="8">
        <v>1</v>
      </c>
      <c r="K345" s="7"/>
      <c r="L345" s="7"/>
    </row>
    <row r="346" spans="1:12" s="169" customFormat="1" ht="15.75" hidden="1" customHeight="1">
      <c r="A346" s="271">
        <v>44565</v>
      </c>
      <c r="B346" s="291" t="s">
        <v>870</v>
      </c>
      <c r="C346" s="285" t="s">
        <v>930</v>
      </c>
      <c r="D346" s="285" t="s">
        <v>845</v>
      </c>
      <c r="E346" s="300">
        <v>2600000</v>
      </c>
      <c r="F346" s="285" t="s">
        <v>903</v>
      </c>
      <c r="G346" s="8" t="s">
        <v>523</v>
      </c>
      <c r="H346" s="8" t="s">
        <v>523</v>
      </c>
      <c r="I346" s="7"/>
      <c r="J346" s="8">
        <v>1</v>
      </c>
      <c r="K346" s="7"/>
      <c r="L346" s="7"/>
    </row>
    <row r="347" spans="1:12" s="169" customFormat="1" ht="15.75" hidden="1" customHeight="1">
      <c r="A347" s="271" t="s">
        <v>931</v>
      </c>
      <c r="B347" s="291" t="s">
        <v>870</v>
      </c>
      <c r="C347" s="285" t="s">
        <v>932</v>
      </c>
      <c r="D347" s="285" t="s">
        <v>933</v>
      </c>
      <c r="E347" s="300">
        <v>3000000</v>
      </c>
      <c r="F347" s="285" t="s">
        <v>903</v>
      </c>
      <c r="G347" s="8" t="s">
        <v>523</v>
      </c>
      <c r="H347" s="8" t="s">
        <v>523</v>
      </c>
      <c r="I347" s="7"/>
      <c r="J347" s="8">
        <v>1</v>
      </c>
      <c r="K347" s="71"/>
      <c r="L347" s="7"/>
    </row>
    <row r="348" spans="1:12" s="169" customFormat="1" ht="15.75" hidden="1" customHeight="1">
      <c r="A348" s="271">
        <v>44565</v>
      </c>
      <c r="B348" s="291" t="s">
        <v>870</v>
      </c>
      <c r="C348" s="285" t="s">
        <v>934</v>
      </c>
      <c r="D348" s="285" t="s">
        <v>933</v>
      </c>
      <c r="E348" s="300">
        <v>2000000</v>
      </c>
      <c r="F348" s="285" t="s">
        <v>903</v>
      </c>
      <c r="G348" s="8" t="s">
        <v>523</v>
      </c>
      <c r="H348" s="8" t="s">
        <v>523</v>
      </c>
      <c r="I348" s="7"/>
      <c r="J348" s="8">
        <v>1</v>
      </c>
      <c r="K348" s="71"/>
      <c r="L348" s="7"/>
    </row>
    <row r="349" spans="1:12" s="169" customFormat="1" ht="15.75" hidden="1" customHeight="1">
      <c r="A349" s="271" t="s">
        <v>875</v>
      </c>
      <c r="B349" s="285" t="s">
        <v>870</v>
      </c>
      <c r="C349" s="285" t="s">
        <v>935</v>
      </c>
      <c r="D349" s="285" t="s">
        <v>936</v>
      </c>
      <c r="E349" s="300">
        <v>2500000</v>
      </c>
      <c r="F349" s="285" t="s">
        <v>903</v>
      </c>
      <c r="G349" s="8" t="s">
        <v>523</v>
      </c>
      <c r="H349" s="8" t="s">
        <v>523</v>
      </c>
      <c r="I349" s="7"/>
      <c r="J349" s="8">
        <v>1</v>
      </c>
      <c r="K349" s="71" t="s">
        <v>124</v>
      </c>
      <c r="L349" s="7"/>
    </row>
    <row r="350" spans="1:12" s="169" customFormat="1" ht="15.75" hidden="1" customHeight="1">
      <c r="A350" s="271" t="s">
        <v>875</v>
      </c>
      <c r="B350" s="285" t="s">
        <v>870</v>
      </c>
      <c r="C350" s="285" t="s">
        <v>937</v>
      </c>
      <c r="D350" s="285" t="s">
        <v>845</v>
      </c>
      <c r="E350" s="300">
        <v>2400000</v>
      </c>
      <c r="F350" s="285" t="s">
        <v>903</v>
      </c>
      <c r="G350" s="8" t="s">
        <v>523</v>
      </c>
      <c r="H350" s="8" t="s">
        <v>523</v>
      </c>
      <c r="I350" s="7"/>
      <c r="J350" s="8">
        <v>1</v>
      </c>
      <c r="K350" s="71" t="s">
        <v>138</v>
      </c>
      <c r="L350" s="7"/>
    </row>
    <row r="351" spans="1:12" s="169" customFormat="1" ht="15.75" hidden="1" customHeight="1">
      <c r="A351" s="271" t="s">
        <v>875</v>
      </c>
      <c r="B351" s="285" t="s">
        <v>870</v>
      </c>
      <c r="C351" s="285" t="s">
        <v>938</v>
      </c>
      <c r="D351" s="285" t="s">
        <v>845</v>
      </c>
      <c r="E351" s="300">
        <v>2500000</v>
      </c>
      <c r="F351" s="285" t="s">
        <v>903</v>
      </c>
      <c r="G351" s="8" t="s">
        <v>523</v>
      </c>
      <c r="H351" s="8" t="s">
        <v>523</v>
      </c>
      <c r="I351" s="7"/>
      <c r="J351" s="8">
        <v>1</v>
      </c>
      <c r="K351" s="71" t="s">
        <v>138</v>
      </c>
      <c r="L351" s="7"/>
    </row>
    <row r="352" spans="1:12" s="169" customFormat="1" ht="15.75" hidden="1" customHeight="1">
      <c r="A352" s="985" t="s">
        <v>26</v>
      </c>
      <c r="B352" s="1049"/>
      <c r="C352" s="1049"/>
      <c r="D352" s="1049"/>
      <c r="E352" s="1049"/>
      <c r="F352" s="1049"/>
      <c r="G352" s="1049"/>
      <c r="H352" s="1049"/>
      <c r="I352" s="36"/>
      <c r="J352" s="198">
        <f>SUM(J333:J351)</f>
        <v>19</v>
      </c>
      <c r="K352" s="199"/>
      <c r="L352" s="266"/>
    </row>
    <row r="353" spans="1:12" s="169" customFormat="1" ht="15.75" hidden="1" customHeight="1">
      <c r="A353" s="808"/>
      <c r="B353" s="809"/>
      <c r="C353" s="809"/>
      <c r="D353" s="809"/>
      <c r="E353" s="809"/>
      <c r="F353" s="809"/>
      <c r="G353" s="809"/>
      <c r="H353" s="809"/>
      <c r="I353" s="809"/>
      <c r="J353" s="808"/>
      <c r="K353" s="808"/>
      <c r="L353" s="810"/>
    </row>
    <row r="354" spans="1:12" s="169" customFormat="1" ht="15.75" hidden="1" customHeight="1">
      <c r="A354" s="808"/>
      <c r="B354" s="809"/>
      <c r="C354" s="809"/>
      <c r="D354" s="809"/>
      <c r="E354" s="809"/>
      <c r="F354" s="809"/>
      <c r="G354" s="809"/>
      <c r="H354" s="809"/>
      <c r="I354" s="809"/>
      <c r="J354" s="808"/>
      <c r="K354" s="808"/>
      <c r="L354" s="810"/>
    </row>
    <row r="355" spans="1:12" s="169" customFormat="1" ht="15.75" hidden="1" customHeight="1">
      <c r="A355" s="808"/>
      <c r="B355" s="809"/>
      <c r="C355" s="809"/>
      <c r="D355" s="809"/>
      <c r="E355" s="809"/>
      <c r="F355" s="809"/>
      <c r="G355" s="809"/>
      <c r="H355" s="809"/>
      <c r="I355" s="809"/>
      <c r="J355" s="808"/>
      <c r="K355" s="808"/>
      <c r="L355" s="810"/>
    </row>
    <row r="356" spans="1:12" s="169" customFormat="1" ht="15.75" hidden="1" customHeight="1">
      <c r="A356" s="808"/>
      <c r="B356" s="809"/>
      <c r="C356" s="809"/>
      <c r="D356" s="809"/>
      <c r="E356" s="809"/>
      <c r="F356" s="809"/>
      <c r="G356" s="809"/>
      <c r="H356" s="809"/>
      <c r="I356" s="809"/>
      <c r="J356" s="808"/>
      <c r="K356" s="808"/>
      <c r="L356" s="810"/>
    </row>
    <row r="357" spans="1:12" s="169" customFormat="1" ht="15.75" hidden="1" customHeight="1">
      <c r="A357" s="808"/>
      <c r="B357" s="809"/>
      <c r="C357" s="809"/>
      <c r="D357" s="809"/>
      <c r="E357" s="809"/>
      <c r="F357" s="809"/>
      <c r="G357" s="809"/>
      <c r="H357" s="809"/>
      <c r="I357" s="809"/>
      <c r="J357" s="808"/>
      <c r="K357" s="808"/>
      <c r="L357" s="810"/>
    </row>
    <row r="358" spans="1:12" s="169" customFormat="1" ht="15.75" hidden="1" customHeight="1">
      <c r="A358" s="808"/>
      <c r="B358" s="809"/>
      <c r="C358" s="809"/>
      <c r="D358" s="809"/>
      <c r="E358" s="809"/>
      <c r="F358" s="809"/>
      <c r="G358" s="809"/>
      <c r="H358" s="809"/>
      <c r="I358" s="809"/>
      <c r="J358" s="808"/>
      <c r="K358" s="808"/>
      <c r="L358" s="810"/>
    </row>
    <row r="359" spans="1:12" s="169" customFormat="1" ht="15.75" hidden="1" customHeight="1">
      <c r="A359" s="808"/>
      <c r="B359" s="809"/>
      <c r="C359" s="809"/>
      <c r="D359" s="809"/>
      <c r="E359" s="809"/>
      <c r="F359" s="809"/>
      <c r="G359" s="809"/>
      <c r="H359" s="809"/>
      <c r="I359" s="809"/>
      <c r="J359" s="808"/>
      <c r="K359" s="808"/>
      <c r="L359" s="810"/>
    </row>
    <row r="360" spans="1:12" s="169" customFormat="1" ht="15.75" hidden="1" customHeight="1">
      <c r="A360" s="808"/>
      <c r="B360" s="809"/>
      <c r="C360" s="809"/>
      <c r="D360" s="809"/>
      <c r="E360" s="809"/>
      <c r="F360" s="809"/>
      <c r="G360" s="809"/>
      <c r="H360" s="809"/>
      <c r="I360" s="809"/>
      <c r="J360" s="808"/>
      <c r="K360" s="808"/>
      <c r="L360" s="810"/>
    </row>
    <row r="361" spans="1:12" s="169" customFormat="1" ht="15.75" hidden="1" customHeight="1">
      <c r="A361" s="808"/>
      <c r="B361" s="809"/>
      <c r="C361" s="809"/>
      <c r="D361" s="809"/>
      <c r="E361" s="809"/>
      <c r="F361" s="809"/>
      <c r="G361" s="809"/>
      <c r="H361" s="809"/>
      <c r="I361" s="809"/>
      <c r="J361" s="808"/>
      <c r="K361" s="808"/>
      <c r="L361" s="810"/>
    </row>
    <row r="362" spans="1:12" s="169" customFormat="1" ht="15.75" hidden="1" customHeight="1">
      <c r="A362" s="808"/>
      <c r="B362" s="809"/>
      <c r="C362" s="809"/>
      <c r="D362" s="809"/>
      <c r="E362" s="809"/>
      <c r="F362" s="809"/>
      <c r="G362" s="809"/>
      <c r="H362" s="809"/>
      <c r="I362" s="809"/>
      <c r="J362" s="808"/>
      <c r="K362" s="808"/>
      <c r="L362" s="810"/>
    </row>
    <row r="363" spans="1:12" s="169" customFormat="1" ht="15.75" hidden="1" customHeight="1">
      <c r="A363" s="808"/>
      <c r="B363" s="809"/>
      <c r="C363" s="809"/>
      <c r="D363" s="809"/>
      <c r="E363" s="809"/>
      <c r="F363" s="809"/>
      <c r="G363" s="809"/>
      <c r="H363" s="809"/>
      <c r="I363" s="809"/>
      <c r="J363" s="808"/>
      <c r="K363" s="808"/>
      <c r="L363" s="810"/>
    </row>
    <row r="364" spans="1:12" s="169" customFormat="1" ht="15.75" hidden="1" customHeight="1">
      <c r="A364" s="808"/>
      <c r="B364" s="809"/>
      <c r="C364" s="809"/>
      <c r="D364" s="809"/>
      <c r="E364" s="809"/>
      <c r="F364" s="809"/>
      <c r="G364" s="809"/>
      <c r="H364" s="809"/>
      <c r="I364" s="809"/>
      <c r="J364" s="808"/>
      <c r="K364" s="808"/>
      <c r="L364" s="810"/>
    </row>
    <row r="365" spans="1:12" s="169" customFormat="1" ht="15.75" hidden="1" customHeight="1">
      <c r="A365" s="808"/>
      <c r="B365" s="809"/>
      <c r="C365" s="809"/>
      <c r="D365" s="809"/>
      <c r="E365" s="809"/>
      <c r="F365" s="809"/>
      <c r="G365" s="809"/>
      <c r="H365" s="809"/>
      <c r="I365" s="809"/>
      <c r="J365" s="808"/>
      <c r="K365" s="808"/>
      <c r="L365" s="810"/>
    </row>
    <row r="366" spans="1:12" s="169" customFormat="1" ht="15.75" hidden="1" customHeight="1">
      <c r="A366" s="808"/>
      <c r="B366" s="809"/>
      <c r="C366" s="809"/>
      <c r="D366" s="809"/>
      <c r="E366" s="809"/>
      <c r="F366" s="809"/>
      <c r="G366" s="809"/>
      <c r="H366" s="809"/>
      <c r="I366" s="809"/>
      <c r="J366" s="808"/>
      <c r="K366" s="808"/>
      <c r="L366" s="810"/>
    </row>
    <row r="367" spans="1:12" s="169" customFormat="1" ht="15.75" hidden="1" customHeight="1">
      <c r="A367" s="808"/>
      <c r="B367" s="809"/>
      <c r="C367" s="809"/>
      <c r="D367" s="809"/>
      <c r="E367" s="809"/>
      <c r="F367" s="809"/>
      <c r="G367" s="809"/>
      <c r="H367" s="809"/>
      <c r="I367" s="809"/>
      <c r="J367" s="808"/>
      <c r="K367" s="808"/>
      <c r="L367" s="810"/>
    </row>
    <row r="368" spans="1:12" s="169" customFormat="1" ht="15.75" hidden="1" customHeight="1">
      <c r="A368" s="808"/>
      <c r="B368" s="809"/>
      <c r="C368" s="809"/>
      <c r="D368" s="809"/>
      <c r="E368" s="809"/>
      <c r="F368" s="809"/>
      <c r="G368" s="809"/>
      <c r="H368" s="809"/>
      <c r="I368" s="809"/>
      <c r="J368" s="808"/>
      <c r="K368" s="808"/>
      <c r="L368" s="810"/>
    </row>
    <row r="369" spans="1:12" s="169" customFormat="1" ht="15.75" hidden="1" customHeight="1">
      <c r="A369" s="808"/>
      <c r="B369" s="809"/>
      <c r="C369" s="809"/>
      <c r="D369" s="809"/>
      <c r="E369" s="809"/>
      <c r="F369" s="809"/>
      <c r="G369" s="809"/>
      <c r="H369" s="809"/>
      <c r="I369" s="809"/>
      <c r="J369" s="808"/>
      <c r="K369" s="808"/>
      <c r="L369" s="810"/>
    </row>
    <row r="370" spans="1:12" s="169" customFormat="1" ht="15.75" hidden="1" customHeight="1">
      <c r="A370" s="808"/>
      <c r="B370" s="809"/>
      <c r="C370" s="809"/>
      <c r="D370" s="809"/>
      <c r="E370" s="809"/>
      <c r="F370" s="809"/>
      <c r="G370" s="809"/>
      <c r="H370" s="809"/>
      <c r="I370" s="809"/>
      <c r="J370" s="808"/>
      <c r="K370" s="808"/>
      <c r="L370" s="810"/>
    </row>
    <row r="371" spans="1:12" s="169" customFormat="1" ht="15.75" hidden="1" customHeight="1">
      <c r="A371" s="808"/>
      <c r="B371" s="809"/>
      <c r="C371" s="809"/>
      <c r="D371" s="809"/>
      <c r="E371" s="809"/>
      <c r="F371" s="809"/>
      <c r="G371" s="809"/>
      <c r="H371" s="809"/>
      <c r="I371" s="809"/>
      <c r="J371" s="808"/>
      <c r="K371" s="808"/>
      <c r="L371" s="810"/>
    </row>
    <row r="372" spans="1:12" s="169" customFormat="1" ht="15.75" hidden="1" customHeight="1">
      <c r="A372" s="808"/>
      <c r="B372" s="809"/>
      <c r="C372" s="809"/>
      <c r="D372" s="809"/>
      <c r="E372" s="809"/>
      <c r="F372" s="809"/>
      <c r="G372" s="809"/>
      <c r="H372" s="809"/>
      <c r="I372" s="809"/>
      <c r="J372" s="808"/>
      <c r="K372" s="808"/>
      <c r="L372" s="810"/>
    </row>
    <row r="373" spans="1:12" s="169" customFormat="1" ht="15.75" hidden="1" customHeight="1">
      <c r="A373" s="808"/>
      <c r="B373" s="809"/>
      <c r="C373" s="809"/>
      <c r="D373" s="809"/>
      <c r="E373" s="809"/>
      <c r="F373" s="809"/>
      <c r="G373" s="809"/>
      <c r="H373" s="809"/>
      <c r="I373" s="809"/>
      <c r="J373" s="808"/>
      <c r="K373" s="808"/>
      <c r="L373" s="810"/>
    </row>
    <row r="374" spans="1:12" s="169" customFormat="1" ht="15.75" hidden="1" customHeight="1">
      <c r="A374" s="808"/>
      <c r="B374" s="809"/>
      <c r="C374" s="809"/>
      <c r="D374" s="809"/>
      <c r="E374" s="809"/>
      <c r="F374" s="809"/>
      <c r="G374" s="809"/>
      <c r="H374" s="809"/>
      <c r="I374" s="809"/>
      <c r="J374" s="808"/>
      <c r="K374" s="808"/>
      <c r="L374" s="810"/>
    </row>
    <row r="375" spans="1:12" s="169" customFormat="1" ht="15.75" hidden="1" customHeight="1">
      <c r="A375" s="808"/>
      <c r="B375" s="809"/>
      <c r="C375" s="809"/>
      <c r="D375" s="809"/>
      <c r="E375" s="809"/>
      <c r="F375" s="809"/>
      <c r="G375" s="809"/>
      <c r="H375" s="809"/>
      <c r="I375" s="809"/>
      <c r="J375" s="808"/>
      <c r="K375" s="808"/>
      <c r="L375" s="810"/>
    </row>
    <row r="376" spans="1:12" s="169" customFormat="1" ht="15.75" hidden="1" customHeight="1">
      <c r="A376" s="808"/>
      <c r="B376" s="809"/>
      <c r="C376" s="809"/>
      <c r="D376" s="809"/>
      <c r="E376" s="809"/>
      <c r="F376" s="809"/>
      <c r="G376" s="809"/>
      <c r="H376" s="809"/>
      <c r="I376" s="809"/>
      <c r="J376" s="808"/>
      <c r="K376" s="808"/>
      <c r="L376" s="810"/>
    </row>
    <row r="377" spans="1:12" s="169" customFormat="1" ht="15.75" hidden="1" customHeight="1">
      <c r="A377" s="808"/>
      <c r="B377" s="809"/>
      <c r="C377" s="809"/>
      <c r="D377" s="809"/>
      <c r="E377" s="809"/>
      <c r="F377" s="809"/>
      <c r="G377" s="809"/>
      <c r="H377" s="809"/>
      <c r="I377" s="809"/>
      <c r="J377" s="808"/>
      <c r="K377" s="808"/>
      <c r="L377" s="810"/>
    </row>
    <row r="378" spans="1:12" s="169" customFormat="1" ht="15.75" hidden="1" customHeight="1">
      <c r="A378" s="808"/>
      <c r="B378" s="809"/>
      <c r="C378" s="809"/>
      <c r="D378" s="809"/>
      <c r="E378" s="809"/>
      <c r="F378" s="809"/>
      <c r="G378" s="809"/>
      <c r="H378" s="809"/>
      <c r="I378" s="809"/>
      <c r="J378" s="808"/>
      <c r="K378" s="808"/>
      <c r="L378" s="810"/>
    </row>
    <row r="379" spans="1:12" s="169" customFormat="1" ht="15.75" hidden="1" customHeight="1">
      <c r="A379" s="808"/>
      <c r="B379" s="809"/>
      <c r="C379" s="809"/>
      <c r="D379" s="809"/>
      <c r="E379" s="809"/>
      <c r="F379" s="809"/>
      <c r="G379" s="809"/>
      <c r="H379" s="809"/>
      <c r="I379" s="809"/>
      <c r="J379" s="808"/>
      <c r="K379" s="808"/>
      <c r="L379" s="810"/>
    </row>
    <row r="380" spans="1:12" s="169" customFormat="1" ht="15.75" hidden="1" customHeight="1">
      <c r="A380" s="808"/>
      <c r="B380" s="809"/>
      <c r="C380" s="809"/>
      <c r="D380" s="809"/>
      <c r="E380" s="809"/>
      <c r="F380" s="809"/>
      <c r="G380" s="809"/>
      <c r="H380" s="809"/>
      <c r="I380" s="809"/>
      <c r="J380" s="808"/>
      <c r="K380" s="808"/>
      <c r="L380" s="810"/>
    </row>
    <row r="381" spans="1:12" s="169" customFormat="1" ht="15.75" hidden="1" customHeight="1">
      <c r="A381" s="808"/>
      <c r="B381" s="809"/>
      <c r="C381" s="809"/>
      <c r="D381" s="809"/>
      <c r="E381" s="809"/>
      <c r="F381" s="809"/>
      <c r="G381" s="809"/>
      <c r="H381" s="809"/>
      <c r="I381" s="809"/>
      <c r="J381" s="808"/>
      <c r="K381" s="808"/>
      <c r="L381" s="810"/>
    </row>
    <row r="382" spans="1:12" s="169" customFormat="1" ht="15.75" hidden="1" customHeight="1">
      <c r="A382" s="808"/>
      <c r="B382" s="809"/>
      <c r="C382" s="809"/>
      <c r="D382" s="809"/>
      <c r="E382" s="809"/>
      <c r="F382" s="809"/>
      <c r="G382" s="809"/>
      <c r="H382" s="809"/>
      <c r="I382" s="809"/>
      <c r="J382" s="808"/>
      <c r="K382" s="808"/>
      <c r="L382" s="810"/>
    </row>
    <row r="383" spans="1:12" s="169" customFormat="1" ht="15.75" hidden="1" customHeight="1">
      <c r="A383" s="808"/>
      <c r="B383" s="809"/>
      <c r="C383" s="809"/>
      <c r="D383" s="809"/>
      <c r="E383" s="809"/>
      <c r="F383" s="809"/>
      <c r="G383" s="809"/>
      <c r="H383" s="809"/>
      <c r="I383" s="809"/>
      <c r="J383" s="808"/>
      <c r="K383" s="808"/>
      <c r="L383" s="810"/>
    </row>
    <row r="384" spans="1:12" s="169" customFormat="1" ht="15.75" hidden="1" customHeight="1">
      <c r="A384" s="808"/>
      <c r="B384" s="809"/>
      <c r="C384" s="809"/>
      <c r="D384" s="809"/>
      <c r="E384" s="809"/>
      <c r="F384" s="809"/>
      <c r="G384" s="809"/>
      <c r="H384" s="809"/>
      <c r="I384" s="809"/>
      <c r="J384" s="808"/>
      <c r="K384" s="808"/>
      <c r="L384" s="810"/>
    </row>
    <row r="385" spans="1:12" s="169" customFormat="1" ht="15.75" hidden="1" customHeight="1">
      <c r="A385" s="808"/>
      <c r="B385" s="809"/>
      <c r="C385" s="809"/>
      <c r="D385" s="809"/>
      <c r="E385" s="809"/>
      <c r="F385" s="809"/>
      <c r="G385" s="809"/>
      <c r="H385" s="809"/>
      <c r="I385" s="809"/>
      <c r="J385" s="808"/>
      <c r="K385" s="808"/>
      <c r="L385" s="810"/>
    </row>
    <row r="386" spans="1:12" s="169" customFormat="1" ht="15.75" hidden="1" customHeight="1">
      <c r="A386" s="808"/>
      <c r="B386" s="809"/>
      <c r="C386" s="809"/>
      <c r="D386" s="809"/>
      <c r="E386" s="809"/>
      <c r="F386" s="809"/>
      <c r="G386" s="809"/>
      <c r="H386" s="809"/>
      <c r="I386" s="809"/>
      <c r="J386" s="808"/>
      <c r="K386" s="808"/>
      <c r="L386" s="810"/>
    </row>
    <row r="387" spans="1:12" s="169" customFormat="1" ht="15.75" hidden="1" customHeight="1">
      <c r="A387" s="808"/>
      <c r="B387" s="809"/>
      <c r="C387" s="809"/>
      <c r="D387" s="809"/>
      <c r="E387" s="809"/>
      <c r="F387" s="809"/>
      <c r="G387" s="809"/>
      <c r="H387" s="809"/>
      <c r="I387" s="809"/>
      <c r="J387" s="808"/>
      <c r="K387" s="808"/>
      <c r="L387" s="810"/>
    </row>
    <row r="388" spans="1:12" s="169" customFormat="1" ht="15.75" hidden="1" customHeight="1">
      <c r="A388" s="808"/>
      <c r="B388" s="809"/>
      <c r="C388" s="809"/>
      <c r="D388" s="809"/>
      <c r="E388" s="809"/>
      <c r="F388" s="809"/>
      <c r="G388" s="809"/>
      <c r="H388" s="809"/>
      <c r="I388" s="809"/>
      <c r="J388" s="808"/>
      <c r="K388" s="808"/>
      <c r="L388" s="810"/>
    </row>
    <row r="389" spans="1:12" s="169" customFormat="1" ht="15.75" hidden="1" customHeight="1">
      <c r="A389" s="808"/>
      <c r="B389" s="809"/>
      <c r="C389" s="809"/>
      <c r="D389" s="809"/>
      <c r="E389" s="809"/>
      <c r="F389" s="809"/>
      <c r="G389" s="809"/>
      <c r="H389" s="809"/>
      <c r="I389" s="809"/>
      <c r="J389" s="808"/>
      <c r="K389" s="808"/>
      <c r="L389" s="810"/>
    </row>
    <row r="390" spans="1:12" s="169" customFormat="1" ht="15.75" hidden="1" customHeight="1">
      <c r="A390" s="808"/>
      <c r="B390" s="809"/>
      <c r="C390" s="809"/>
      <c r="D390" s="809"/>
      <c r="E390" s="809"/>
      <c r="F390" s="809"/>
      <c r="G390" s="809"/>
      <c r="H390" s="809"/>
      <c r="I390" s="809"/>
      <c r="J390" s="808"/>
      <c r="K390" s="808"/>
      <c r="L390" s="810"/>
    </row>
    <row r="391" spans="1:12" s="169" customFormat="1" ht="15.75" hidden="1" customHeight="1">
      <c r="A391" s="808"/>
      <c r="B391" s="809"/>
      <c r="C391" s="809"/>
      <c r="D391" s="809"/>
      <c r="E391" s="809"/>
      <c r="F391" s="809"/>
      <c r="G391" s="809"/>
      <c r="H391" s="809"/>
      <c r="I391" s="809"/>
      <c r="J391" s="808"/>
      <c r="K391" s="808"/>
      <c r="L391" s="810"/>
    </row>
    <row r="392" spans="1:12" s="169" customFormat="1" ht="15.75" hidden="1" customHeight="1">
      <c r="A392" s="808"/>
      <c r="B392" s="809"/>
      <c r="C392" s="809"/>
      <c r="D392" s="809"/>
      <c r="E392" s="809"/>
      <c r="F392" s="809"/>
      <c r="G392" s="809"/>
      <c r="H392" s="809"/>
      <c r="I392" s="809"/>
      <c r="J392" s="808"/>
      <c r="K392" s="808"/>
      <c r="L392" s="810"/>
    </row>
    <row r="393" spans="1:12" s="169" customFormat="1" ht="15.75" hidden="1" customHeight="1">
      <c r="A393" s="808"/>
      <c r="B393" s="809"/>
      <c r="C393" s="809"/>
      <c r="D393" s="809"/>
      <c r="E393" s="809"/>
      <c r="F393" s="809"/>
      <c r="G393" s="809"/>
      <c r="H393" s="809"/>
      <c r="I393" s="809"/>
      <c r="J393" s="808"/>
      <c r="K393" s="808"/>
      <c r="L393" s="810"/>
    </row>
    <row r="394" spans="1:12" s="169" customFormat="1" ht="15.75" hidden="1" customHeight="1">
      <c r="A394" s="808"/>
      <c r="B394" s="809"/>
      <c r="C394" s="809"/>
      <c r="D394" s="809"/>
      <c r="E394" s="809"/>
      <c r="F394" s="809"/>
      <c r="G394" s="809"/>
      <c r="H394" s="809"/>
      <c r="I394" s="809"/>
      <c r="J394" s="808"/>
      <c r="K394" s="808"/>
      <c r="L394" s="810"/>
    </row>
    <row r="395" spans="1:12" s="169" customFormat="1" ht="15.75" hidden="1" customHeight="1">
      <c r="A395" s="808"/>
      <c r="B395" s="809"/>
      <c r="C395" s="809"/>
      <c r="D395" s="809"/>
      <c r="E395" s="809"/>
      <c r="F395" s="809"/>
      <c r="G395" s="809"/>
      <c r="H395" s="809"/>
      <c r="I395" s="809"/>
      <c r="J395" s="808"/>
      <c r="K395" s="808"/>
      <c r="L395" s="810"/>
    </row>
    <row r="396" spans="1:12" s="169" customFormat="1" ht="15.75" hidden="1" customHeight="1">
      <c r="A396" s="808"/>
      <c r="B396" s="809"/>
      <c r="C396" s="809"/>
      <c r="D396" s="809"/>
      <c r="E396" s="809"/>
      <c r="F396" s="809"/>
      <c r="G396" s="809"/>
      <c r="H396" s="809"/>
      <c r="I396" s="809"/>
      <c r="J396" s="808"/>
      <c r="K396" s="808"/>
      <c r="L396" s="810"/>
    </row>
    <row r="397" spans="1:12" s="169" customFormat="1" ht="15.75" hidden="1" customHeight="1">
      <c r="A397" s="808"/>
      <c r="B397" s="809"/>
      <c r="C397" s="809"/>
      <c r="D397" s="809"/>
      <c r="E397" s="809"/>
      <c r="F397" s="809"/>
      <c r="G397" s="809"/>
      <c r="H397" s="809"/>
      <c r="I397" s="809"/>
      <c r="J397" s="808"/>
      <c r="K397" s="808"/>
      <c r="L397" s="810"/>
    </row>
    <row r="398" spans="1:12" s="169" customFormat="1" ht="15.75" hidden="1" customHeight="1">
      <c r="A398" s="808"/>
      <c r="B398" s="809"/>
      <c r="C398" s="809"/>
      <c r="D398" s="809"/>
      <c r="E398" s="809"/>
      <c r="F398" s="809"/>
      <c r="G398" s="809"/>
      <c r="H398" s="809"/>
      <c r="I398" s="809"/>
      <c r="J398" s="808"/>
      <c r="K398" s="808"/>
      <c r="L398" s="810"/>
    </row>
    <row r="399" spans="1:12" s="169" customFormat="1" ht="15.75" hidden="1" customHeight="1">
      <c r="A399" s="808"/>
      <c r="B399" s="809"/>
      <c r="C399" s="809"/>
      <c r="D399" s="809"/>
      <c r="E399" s="809"/>
      <c r="F399" s="809"/>
      <c r="G399" s="809"/>
      <c r="H399" s="809"/>
      <c r="I399" s="809"/>
      <c r="J399" s="808"/>
      <c r="K399" s="808"/>
      <c r="L399" s="810"/>
    </row>
    <row r="400" spans="1:12" s="169" customFormat="1" ht="15.75" hidden="1" customHeight="1">
      <c r="A400" s="808"/>
      <c r="B400" s="809"/>
      <c r="C400" s="809"/>
      <c r="D400" s="809"/>
      <c r="E400" s="809"/>
      <c r="F400" s="809"/>
      <c r="G400" s="809"/>
      <c r="H400" s="809"/>
      <c r="I400" s="809"/>
      <c r="J400" s="808"/>
      <c r="K400" s="808"/>
      <c r="L400" s="810"/>
    </row>
    <row r="401" spans="1:12" s="169" customFormat="1" ht="15.75" hidden="1" customHeight="1">
      <c r="A401" s="808"/>
      <c r="B401" s="809"/>
      <c r="C401" s="809"/>
      <c r="D401" s="809"/>
      <c r="E401" s="809"/>
      <c r="F401" s="809"/>
      <c r="G401" s="809"/>
      <c r="H401" s="809"/>
      <c r="I401" s="809"/>
      <c r="J401" s="808"/>
      <c r="K401" s="808"/>
      <c r="L401" s="810"/>
    </row>
    <row r="402" spans="1:12" s="169" customFormat="1" ht="15.75" hidden="1" customHeight="1">
      <c r="A402" s="808"/>
      <c r="B402" s="809"/>
      <c r="C402" s="809"/>
      <c r="D402" s="809"/>
      <c r="E402" s="809"/>
      <c r="F402" s="809"/>
      <c r="G402" s="809"/>
      <c r="H402" s="809"/>
      <c r="I402" s="809"/>
      <c r="J402" s="808"/>
      <c r="K402" s="808"/>
      <c r="L402" s="810"/>
    </row>
    <row r="403" spans="1:12" s="169" customFormat="1" ht="15.75" hidden="1" customHeight="1">
      <c r="A403" s="808"/>
      <c r="B403" s="809"/>
      <c r="C403" s="809"/>
      <c r="D403" s="809"/>
      <c r="E403" s="809"/>
      <c r="F403" s="809"/>
      <c r="G403" s="809"/>
      <c r="H403" s="809"/>
      <c r="I403" s="809"/>
      <c r="J403" s="808"/>
      <c r="K403" s="808"/>
      <c r="L403" s="810"/>
    </row>
    <row r="404" spans="1:12" s="169" customFormat="1" ht="15.75" hidden="1" customHeight="1">
      <c r="A404" s="808"/>
      <c r="B404" s="809"/>
      <c r="C404" s="809"/>
      <c r="D404" s="809"/>
      <c r="E404" s="809"/>
      <c r="F404" s="809"/>
      <c r="G404" s="809"/>
      <c r="H404" s="809"/>
      <c r="I404" s="809"/>
      <c r="J404" s="808"/>
      <c r="K404" s="808"/>
      <c r="L404" s="810"/>
    </row>
    <row r="405" spans="1:12" s="169" customFormat="1" ht="15.75" hidden="1" customHeight="1">
      <c r="A405" s="808"/>
      <c r="B405" s="809"/>
      <c r="C405" s="809"/>
      <c r="D405" s="809"/>
      <c r="E405" s="809"/>
      <c r="F405" s="809"/>
      <c r="G405" s="809"/>
      <c r="H405" s="809"/>
      <c r="I405" s="809"/>
      <c r="J405" s="808"/>
      <c r="K405" s="808"/>
      <c r="L405" s="810"/>
    </row>
    <row r="406" spans="1:12" s="169" customFormat="1" ht="15.75" hidden="1" customHeight="1">
      <c r="A406" s="808"/>
      <c r="B406" s="809"/>
      <c r="C406" s="809"/>
      <c r="D406" s="809"/>
      <c r="E406" s="809"/>
      <c r="F406" s="809"/>
      <c r="G406" s="809"/>
      <c r="H406" s="809"/>
      <c r="I406" s="809"/>
      <c r="J406" s="808"/>
      <c r="K406" s="808"/>
      <c r="L406" s="810"/>
    </row>
    <row r="407" spans="1:12" s="169" customFormat="1" ht="15.75" hidden="1" customHeight="1">
      <c r="A407" s="808"/>
      <c r="B407" s="809"/>
      <c r="C407" s="809"/>
      <c r="D407" s="809"/>
      <c r="E407" s="809"/>
      <c r="F407" s="809"/>
      <c r="G407" s="809"/>
      <c r="H407" s="809"/>
      <c r="I407" s="809"/>
      <c r="J407" s="808"/>
      <c r="K407" s="808"/>
      <c r="L407" s="810"/>
    </row>
    <row r="408" spans="1:12" s="169" customFormat="1" ht="15.75" hidden="1" customHeight="1">
      <c r="A408" s="808"/>
      <c r="B408" s="809"/>
      <c r="C408" s="809"/>
      <c r="D408" s="809"/>
      <c r="E408" s="809"/>
      <c r="F408" s="809"/>
      <c r="G408" s="809"/>
      <c r="H408" s="809"/>
      <c r="I408" s="809"/>
      <c r="J408" s="808"/>
      <c r="K408" s="808"/>
      <c r="L408" s="810"/>
    </row>
    <row r="409" spans="1:12" s="169" customFormat="1" ht="15.75" hidden="1" customHeight="1">
      <c r="A409" s="808"/>
      <c r="B409" s="809"/>
      <c r="C409" s="809"/>
      <c r="D409" s="809"/>
      <c r="E409" s="809"/>
      <c r="F409" s="809"/>
      <c r="G409" s="809"/>
      <c r="H409" s="809"/>
      <c r="I409" s="809"/>
      <c r="J409" s="808"/>
      <c r="K409" s="808"/>
      <c r="L409" s="810"/>
    </row>
    <row r="410" spans="1:12" s="169" customFormat="1" ht="15.75" hidden="1" customHeight="1">
      <c r="A410" s="808"/>
      <c r="B410" s="809"/>
      <c r="C410" s="809"/>
      <c r="D410" s="809"/>
      <c r="E410" s="809"/>
      <c r="F410" s="809"/>
      <c r="G410" s="809"/>
      <c r="H410" s="809"/>
      <c r="I410" s="809"/>
      <c r="J410" s="808"/>
      <c r="K410" s="808"/>
      <c r="L410" s="810"/>
    </row>
    <row r="411" spans="1:12" s="169" customFormat="1" ht="15.75" hidden="1" customHeight="1">
      <c r="A411" s="808"/>
      <c r="B411" s="809"/>
      <c r="C411" s="809"/>
      <c r="D411" s="809"/>
      <c r="E411" s="809"/>
      <c r="F411" s="809"/>
      <c r="G411" s="809"/>
      <c r="H411" s="809"/>
      <c r="I411" s="809"/>
      <c r="J411" s="808"/>
      <c r="K411" s="808"/>
      <c r="L411" s="810"/>
    </row>
    <row r="412" spans="1:12" s="169" customFormat="1" ht="15.75" hidden="1" customHeight="1">
      <c r="A412" s="808"/>
      <c r="B412" s="809"/>
      <c r="C412" s="809"/>
      <c r="D412" s="809"/>
      <c r="E412" s="809"/>
      <c r="F412" s="809"/>
      <c r="G412" s="809"/>
      <c r="H412" s="809"/>
      <c r="I412" s="809"/>
      <c r="J412" s="808"/>
      <c r="K412" s="808"/>
      <c r="L412" s="810"/>
    </row>
    <row r="413" spans="1:12" s="169" customFormat="1" ht="15.75" hidden="1" customHeight="1">
      <c r="A413" s="808"/>
      <c r="B413" s="809"/>
      <c r="C413" s="809"/>
      <c r="D413" s="809"/>
      <c r="E413" s="809"/>
      <c r="F413" s="809"/>
      <c r="G413" s="809"/>
      <c r="H413" s="809"/>
      <c r="I413" s="809"/>
      <c r="J413" s="808"/>
      <c r="K413" s="808"/>
      <c r="L413" s="810"/>
    </row>
    <row r="414" spans="1:12" s="169" customFormat="1" ht="15.75" hidden="1" customHeight="1">
      <c r="A414" s="808"/>
      <c r="B414" s="809"/>
      <c r="C414" s="809"/>
      <c r="D414" s="809"/>
      <c r="E414" s="809"/>
      <c r="F414" s="809"/>
      <c r="G414" s="809"/>
      <c r="H414" s="809"/>
      <c r="I414" s="809"/>
      <c r="J414" s="808"/>
      <c r="K414" s="808"/>
      <c r="L414" s="810"/>
    </row>
    <row r="415" spans="1:12" s="169" customFormat="1" ht="15.75" hidden="1" customHeight="1">
      <c r="A415" s="808"/>
      <c r="B415" s="809"/>
      <c r="C415" s="809"/>
      <c r="D415" s="809"/>
      <c r="E415" s="809"/>
      <c r="F415" s="809"/>
      <c r="G415" s="809"/>
      <c r="H415" s="809"/>
      <c r="I415" s="809"/>
      <c r="J415" s="808"/>
      <c r="K415" s="808"/>
      <c r="L415" s="810"/>
    </row>
    <row r="416" spans="1:12" s="169" customFormat="1" ht="15.75" hidden="1" customHeight="1">
      <c r="A416" s="808"/>
      <c r="B416" s="809"/>
      <c r="C416" s="809"/>
      <c r="D416" s="809"/>
      <c r="E416" s="809"/>
      <c r="F416" s="809"/>
      <c r="G416" s="809"/>
      <c r="H416" s="809"/>
      <c r="I416" s="809"/>
      <c r="J416" s="808"/>
      <c r="K416" s="808"/>
      <c r="L416" s="810"/>
    </row>
    <row r="417" spans="1:12" s="169" customFormat="1" ht="15.75" hidden="1" customHeight="1">
      <c r="A417" s="808"/>
      <c r="B417" s="809"/>
      <c r="C417" s="809"/>
      <c r="D417" s="809"/>
      <c r="E417" s="809"/>
      <c r="F417" s="809"/>
      <c r="G417" s="809"/>
      <c r="H417" s="809"/>
      <c r="I417" s="809"/>
      <c r="J417" s="808"/>
      <c r="K417" s="808"/>
      <c r="L417" s="810"/>
    </row>
    <row r="418" spans="1:12" s="169" customFormat="1" ht="15.75" hidden="1" customHeight="1">
      <c r="A418" s="808"/>
      <c r="B418" s="809"/>
      <c r="C418" s="809"/>
      <c r="D418" s="809"/>
      <c r="E418" s="809"/>
      <c r="F418" s="809"/>
      <c r="G418" s="809"/>
      <c r="H418" s="809"/>
      <c r="I418" s="809"/>
      <c r="J418" s="808"/>
      <c r="K418" s="808"/>
      <c r="L418" s="810"/>
    </row>
    <row r="419" spans="1:12" s="169" customFormat="1" ht="15.75" hidden="1" customHeight="1">
      <c r="A419" s="808"/>
      <c r="B419" s="809"/>
      <c r="C419" s="809"/>
      <c r="D419" s="809"/>
      <c r="E419" s="809"/>
      <c r="F419" s="809"/>
      <c r="G419" s="809"/>
      <c r="H419" s="809"/>
      <c r="I419" s="809"/>
      <c r="J419" s="808"/>
      <c r="K419" s="808"/>
      <c r="L419" s="810"/>
    </row>
    <row r="420" spans="1:12" s="169" customFormat="1" ht="15.75" hidden="1" customHeight="1">
      <c r="A420" s="808"/>
      <c r="B420" s="809"/>
      <c r="C420" s="809"/>
      <c r="D420" s="809"/>
      <c r="E420" s="809"/>
      <c r="F420" s="809"/>
      <c r="G420" s="809"/>
      <c r="H420" s="809"/>
      <c r="I420" s="809"/>
      <c r="J420" s="808"/>
      <c r="K420" s="808"/>
      <c r="L420" s="810"/>
    </row>
    <row r="421" spans="1:12" s="169" customFormat="1" ht="15.75" hidden="1" customHeight="1">
      <c r="A421" s="808"/>
      <c r="B421" s="809"/>
      <c r="C421" s="809"/>
      <c r="D421" s="809"/>
      <c r="E421" s="809"/>
      <c r="F421" s="809"/>
      <c r="G421" s="809"/>
      <c r="H421" s="809"/>
      <c r="I421" s="809"/>
      <c r="J421" s="808"/>
      <c r="K421" s="808"/>
      <c r="L421" s="810"/>
    </row>
    <row r="422" spans="1:12" s="169" customFormat="1" ht="15.75" hidden="1" customHeight="1">
      <c r="A422" s="808"/>
      <c r="B422" s="809"/>
      <c r="C422" s="809"/>
      <c r="D422" s="809"/>
      <c r="E422" s="809"/>
      <c r="F422" s="809"/>
      <c r="G422" s="809"/>
      <c r="H422" s="809"/>
      <c r="I422" s="809"/>
      <c r="J422" s="808"/>
      <c r="K422" s="808"/>
      <c r="L422" s="810"/>
    </row>
    <row r="423" spans="1:12" s="169" customFormat="1" ht="15.75" hidden="1" customHeight="1">
      <c r="A423" s="808"/>
      <c r="B423" s="809"/>
      <c r="C423" s="809"/>
      <c r="D423" s="809"/>
      <c r="E423" s="809"/>
      <c r="F423" s="809"/>
      <c r="G423" s="809"/>
      <c r="H423" s="809"/>
      <c r="I423" s="809"/>
      <c r="J423" s="808"/>
      <c r="K423" s="808"/>
      <c r="L423" s="810"/>
    </row>
    <row r="424" spans="1:12" s="169" customFormat="1" ht="15.75" hidden="1" customHeight="1">
      <c r="A424" s="808"/>
      <c r="B424" s="809"/>
      <c r="C424" s="809"/>
      <c r="D424" s="809"/>
      <c r="E424" s="809"/>
      <c r="F424" s="809"/>
      <c r="G424" s="809"/>
      <c r="H424" s="809"/>
      <c r="I424" s="809"/>
      <c r="J424" s="808"/>
      <c r="K424" s="808"/>
      <c r="L424" s="810"/>
    </row>
    <row r="425" spans="1:12" s="169" customFormat="1" ht="15.75" hidden="1" customHeight="1">
      <c r="A425" s="808"/>
      <c r="B425" s="809"/>
      <c r="C425" s="809"/>
      <c r="D425" s="809"/>
      <c r="E425" s="809"/>
      <c r="F425" s="809"/>
      <c r="G425" s="809"/>
      <c r="H425" s="809"/>
      <c r="I425" s="809"/>
      <c r="J425" s="808"/>
      <c r="K425" s="808"/>
      <c r="L425" s="810"/>
    </row>
    <row r="426" spans="1:12" s="169" customFormat="1" ht="15.75" hidden="1" customHeight="1">
      <c r="A426" s="808"/>
      <c r="B426" s="809"/>
      <c r="C426" s="809"/>
      <c r="D426" s="809"/>
      <c r="E426" s="809"/>
      <c r="F426" s="809"/>
      <c r="G426" s="809"/>
      <c r="H426" s="809"/>
      <c r="I426" s="809"/>
      <c r="J426" s="808"/>
      <c r="K426" s="808"/>
      <c r="L426" s="810"/>
    </row>
    <row r="427" spans="1:12" s="169" customFormat="1" ht="15.75" hidden="1" customHeight="1">
      <c r="A427" s="808"/>
      <c r="B427" s="809"/>
      <c r="C427" s="809"/>
      <c r="D427" s="809"/>
      <c r="E427" s="809"/>
      <c r="F427" s="809"/>
      <c r="G427" s="809"/>
      <c r="H427" s="809"/>
      <c r="I427" s="809"/>
      <c r="J427" s="808"/>
      <c r="K427" s="808"/>
      <c r="L427" s="810"/>
    </row>
    <row r="428" spans="1:12" s="169" customFormat="1" ht="15.75" hidden="1" customHeight="1">
      <c r="A428" s="808"/>
      <c r="B428" s="809"/>
      <c r="C428" s="809"/>
      <c r="D428" s="809"/>
      <c r="E428" s="809"/>
      <c r="F428" s="809"/>
      <c r="G428" s="809"/>
      <c r="H428" s="809"/>
      <c r="I428" s="809"/>
      <c r="J428" s="808"/>
      <c r="K428" s="808"/>
      <c r="L428" s="810"/>
    </row>
    <row r="429" spans="1:12" s="169" customFormat="1" ht="15.75" hidden="1" customHeight="1">
      <c r="A429" s="808"/>
      <c r="B429" s="809"/>
      <c r="C429" s="809"/>
      <c r="D429" s="809"/>
      <c r="E429" s="809"/>
      <c r="F429" s="809"/>
      <c r="G429" s="809"/>
      <c r="H429" s="809"/>
      <c r="I429" s="809"/>
      <c r="J429" s="808"/>
      <c r="K429" s="808"/>
      <c r="L429" s="810"/>
    </row>
    <row r="430" spans="1:12" s="169" customFormat="1" ht="15.75" hidden="1" customHeight="1">
      <c r="A430" s="808"/>
      <c r="B430" s="809"/>
      <c r="C430" s="809"/>
      <c r="D430" s="809"/>
      <c r="E430" s="809"/>
      <c r="F430" s="809"/>
      <c r="G430" s="809"/>
      <c r="H430" s="809"/>
      <c r="I430" s="809"/>
      <c r="J430" s="808"/>
      <c r="K430" s="808"/>
      <c r="L430" s="810"/>
    </row>
    <row r="431" spans="1:12" s="169" customFormat="1" ht="15.75" hidden="1" customHeight="1">
      <c r="A431" s="808"/>
      <c r="B431" s="809"/>
      <c r="C431" s="809"/>
      <c r="D431" s="809"/>
      <c r="E431" s="809"/>
      <c r="F431" s="809"/>
      <c r="G431" s="809"/>
      <c r="H431" s="809"/>
      <c r="I431" s="809"/>
      <c r="J431" s="808"/>
      <c r="K431" s="808"/>
      <c r="L431" s="810"/>
    </row>
    <row r="432" spans="1:12" s="169" customFormat="1" ht="15.75" hidden="1" customHeight="1">
      <c r="A432" s="808"/>
      <c r="B432" s="809"/>
      <c r="C432" s="809"/>
      <c r="D432" s="809"/>
      <c r="E432" s="809"/>
      <c r="F432" s="809"/>
      <c r="G432" s="809"/>
      <c r="H432" s="809"/>
      <c r="I432" s="809"/>
      <c r="J432" s="808"/>
      <c r="K432" s="808"/>
      <c r="L432" s="810"/>
    </row>
    <row r="433" spans="1:12" s="169" customFormat="1" ht="15.75" hidden="1" customHeight="1">
      <c r="A433" s="808"/>
      <c r="B433" s="809"/>
      <c r="C433" s="809"/>
      <c r="D433" s="809"/>
      <c r="E433" s="809"/>
      <c r="F433" s="809"/>
      <c r="G433" s="809"/>
      <c r="H433" s="809"/>
      <c r="I433" s="809"/>
      <c r="J433" s="808"/>
      <c r="K433" s="808"/>
      <c r="L433" s="810"/>
    </row>
    <row r="434" spans="1:12" s="169" customFormat="1" ht="15.75" hidden="1" customHeight="1">
      <c r="A434" s="808"/>
      <c r="B434" s="809"/>
      <c r="C434" s="809"/>
      <c r="D434" s="809"/>
      <c r="E434" s="809"/>
      <c r="F434" s="809"/>
      <c r="G434" s="809"/>
      <c r="H434" s="809"/>
      <c r="I434" s="809"/>
      <c r="J434" s="808"/>
      <c r="K434" s="808"/>
      <c r="L434" s="810"/>
    </row>
    <row r="435" spans="1:12" s="169" customFormat="1" ht="15.75" hidden="1" customHeight="1">
      <c r="A435" s="808"/>
      <c r="B435" s="809"/>
      <c r="C435" s="809"/>
      <c r="D435" s="809"/>
      <c r="E435" s="809"/>
      <c r="F435" s="809"/>
      <c r="G435" s="809"/>
      <c r="H435" s="809"/>
      <c r="I435" s="809"/>
      <c r="J435" s="808"/>
      <c r="K435" s="808"/>
      <c r="L435" s="810"/>
    </row>
    <row r="436" spans="1:12" s="169" customFormat="1" ht="15.75" hidden="1" customHeight="1">
      <c r="A436" s="808"/>
      <c r="B436" s="809"/>
      <c r="C436" s="809"/>
      <c r="D436" s="809"/>
      <c r="E436" s="809"/>
      <c r="F436" s="809"/>
      <c r="G436" s="809"/>
      <c r="H436" s="809"/>
      <c r="I436" s="809"/>
      <c r="J436" s="808"/>
      <c r="K436" s="808"/>
      <c r="L436" s="810"/>
    </row>
    <row r="437" spans="1:12" s="169" customFormat="1" ht="15.75" hidden="1" customHeight="1">
      <c r="A437" s="808"/>
      <c r="B437" s="809"/>
      <c r="C437" s="809"/>
      <c r="D437" s="809"/>
      <c r="E437" s="809"/>
      <c r="F437" s="809"/>
      <c r="G437" s="809"/>
      <c r="H437" s="809"/>
      <c r="I437" s="809"/>
      <c r="J437" s="808"/>
      <c r="K437" s="808"/>
      <c r="L437" s="810"/>
    </row>
    <row r="438" spans="1:12" s="169" customFormat="1" ht="15.75" hidden="1" customHeight="1">
      <c r="A438" s="808"/>
      <c r="B438" s="809"/>
      <c r="C438" s="809"/>
      <c r="D438" s="809"/>
      <c r="E438" s="809"/>
      <c r="F438" s="809"/>
      <c r="G438" s="809"/>
      <c r="H438" s="809"/>
      <c r="I438" s="809"/>
      <c r="J438" s="808"/>
      <c r="K438" s="808"/>
      <c r="L438" s="810"/>
    </row>
    <row r="439" spans="1:12" s="169" customFormat="1" ht="15.75" hidden="1" customHeight="1">
      <c r="A439" s="808"/>
      <c r="B439" s="809"/>
      <c r="C439" s="809"/>
      <c r="D439" s="809"/>
      <c r="E439" s="809"/>
      <c r="F439" s="809"/>
      <c r="G439" s="809"/>
      <c r="H439" s="809"/>
      <c r="I439" s="809"/>
      <c r="J439" s="808"/>
      <c r="K439" s="808"/>
      <c r="L439" s="810"/>
    </row>
    <row r="440" spans="1:12" s="169" customFormat="1" ht="15.75" hidden="1" customHeight="1">
      <c r="A440" s="808"/>
      <c r="B440" s="809"/>
      <c r="C440" s="809"/>
      <c r="D440" s="809"/>
      <c r="E440" s="809"/>
      <c r="F440" s="809"/>
      <c r="G440" s="809"/>
      <c r="H440" s="809"/>
      <c r="I440" s="809"/>
      <c r="J440" s="808"/>
      <c r="K440" s="808"/>
      <c r="L440" s="810"/>
    </row>
    <row r="441" spans="1:12" s="169" customFormat="1" ht="15.75" hidden="1" customHeight="1">
      <c r="A441" s="808"/>
      <c r="B441" s="809"/>
      <c r="C441" s="809"/>
      <c r="D441" s="809"/>
      <c r="E441" s="809"/>
      <c r="F441" s="809"/>
      <c r="G441" s="809"/>
      <c r="H441" s="809"/>
      <c r="I441" s="809"/>
      <c r="J441" s="808"/>
      <c r="K441" s="808"/>
      <c r="L441" s="810"/>
    </row>
    <row r="442" spans="1:12" s="169" customFormat="1" ht="15.75" hidden="1" customHeight="1">
      <c r="A442" s="808"/>
      <c r="B442" s="809"/>
      <c r="C442" s="809"/>
      <c r="D442" s="809"/>
      <c r="E442" s="809"/>
      <c r="F442" s="809"/>
      <c r="G442" s="809"/>
      <c r="H442" s="809"/>
      <c r="I442" s="809"/>
      <c r="J442" s="808"/>
      <c r="K442" s="808"/>
      <c r="L442" s="810"/>
    </row>
    <row r="443" spans="1:12" s="169" customFormat="1" ht="15.75" hidden="1" customHeight="1">
      <c r="A443" s="808"/>
      <c r="B443" s="809"/>
      <c r="C443" s="809"/>
      <c r="D443" s="809"/>
      <c r="E443" s="809"/>
      <c r="F443" s="809"/>
      <c r="G443" s="809"/>
      <c r="H443" s="809"/>
      <c r="I443" s="809"/>
      <c r="J443" s="808"/>
      <c r="K443" s="808"/>
      <c r="L443" s="810"/>
    </row>
    <row r="444" spans="1:12" s="169" customFormat="1" ht="15.75" hidden="1" customHeight="1">
      <c r="A444" s="808"/>
      <c r="B444" s="809"/>
      <c r="C444" s="809"/>
      <c r="D444" s="809"/>
      <c r="E444" s="809"/>
      <c r="F444" s="809"/>
      <c r="G444" s="809"/>
      <c r="H444" s="809"/>
      <c r="I444" s="809"/>
      <c r="J444" s="808"/>
      <c r="K444" s="808"/>
      <c r="L444" s="810"/>
    </row>
    <row r="445" spans="1:12" s="169" customFormat="1" ht="15.75" hidden="1" customHeight="1">
      <c r="A445" s="808"/>
      <c r="B445" s="809"/>
      <c r="C445" s="809"/>
      <c r="D445" s="809"/>
      <c r="E445" s="809"/>
      <c r="F445" s="809"/>
      <c r="G445" s="809"/>
      <c r="H445" s="809"/>
      <c r="I445" s="809"/>
      <c r="J445" s="808"/>
      <c r="K445" s="808"/>
      <c r="L445" s="810"/>
    </row>
    <row r="446" spans="1:12" s="169" customFormat="1" ht="15.75" hidden="1" customHeight="1">
      <c r="A446" s="808"/>
      <c r="B446" s="809"/>
      <c r="C446" s="809"/>
      <c r="D446" s="809"/>
      <c r="E446" s="809"/>
      <c r="F446" s="809"/>
      <c r="G446" s="809"/>
      <c r="H446" s="809"/>
      <c r="I446" s="809"/>
      <c r="J446" s="808"/>
      <c r="K446" s="808"/>
      <c r="L446" s="810"/>
    </row>
    <row r="447" spans="1:12" s="169" customFormat="1" ht="15.75" hidden="1" customHeight="1">
      <c r="A447" s="808"/>
      <c r="B447" s="809"/>
      <c r="C447" s="809"/>
      <c r="D447" s="809"/>
      <c r="E447" s="809"/>
      <c r="F447" s="809"/>
      <c r="G447" s="809"/>
      <c r="H447" s="809"/>
      <c r="I447" s="809"/>
      <c r="J447" s="808"/>
      <c r="K447" s="808"/>
      <c r="L447" s="810"/>
    </row>
    <row r="448" spans="1:12" s="169" customFormat="1" ht="15.75" hidden="1" customHeight="1">
      <c r="A448" s="808"/>
      <c r="B448" s="809"/>
      <c r="C448" s="809"/>
      <c r="D448" s="809"/>
      <c r="E448" s="809"/>
      <c r="F448" s="809"/>
      <c r="G448" s="809"/>
      <c r="H448" s="809"/>
      <c r="I448" s="809"/>
      <c r="J448" s="808"/>
      <c r="K448" s="808"/>
      <c r="L448" s="810"/>
    </row>
    <row r="449" spans="1:12" s="169" customFormat="1" ht="15.75" hidden="1" customHeight="1">
      <c r="A449" s="808"/>
      <c r="B449" s="809"/>
      <c r="C449" s="809"/>
      <c r="D449" s="809"/>
      <c r="E449" s="809"/>
      <c r="F449" s="809"/>
      <c r="G449" s="809"/>
      <c r="H449" s="809"/>
      <c r="I449" s="809"/>
      <c r="J449" s="808"/>
      <c r="K449" s="808"/>
      <c r="L449" s="810"/>
    </row>
    <row r="450" spans="1:12" s="169" customFormat="1" ht="15.75" hidden="1" customHeight="1">
      <c r="A450" s="808"/>
      <c r="B450" s="809"/>
      <c r="C450" s="809"/>
      <c r="D450" s="809"/>
      <c r="E450" s="809"/>
      <c r="F450" s="809"/>
      <c r="G450" s="809"/>
      <c r="H450" s="809"/>
      <c r="I450" s="809"/>
      <c r="J450" s="808"/>
      <c r="K450" s="808"/>
      <c r="L450" s="810"/>
    </row>
    <row r="451" spans="1:12" s="169" customFormat="1" ht="15.75" hidden="1" customHeight="1">
      <c r="A451" s="808"/>
      <c r="B451" s="809"/>
      <c r="C451" s="809"/>
      <c r="D451" s="809"/>
      <c r="E451" s="809"/>
      <c r="F451" s="809"/>
      <c r="G451" s="809"/>
      <c r="H451" s="809"/>
      <c r="I451" s="809"/>
      <c r="J451" s="808"/>
      <c r="K451" s="808"/>
      <c r="L451" s="810"/>
    </row>
    <row r="452" spans="1:12" s="169" customFormat="1" ht="15.75" hidden="1" customHeight="1">
      <c r="A452" s="808"/>
      <c r="B452" s="809"/>
      <c r="C452" s="809"/>
      <c r="D452" s="809"/>
      <c r="E452" s="809"/>
      <c r="F452" s="809"/>
      <c r="G452" s="809"/>
      <c r="H452" s="809"/>
      <c r="I452" s="809"/>
      <c r="J452" s="808"/>
      <c r="K452" s="808"/>
      <c r="L452" s="810"/>
    </row>
    <row r="453" spans="1:12" s="169" customFormat="1" ht="15.75" hidden="1" customHeight="1">
      <c r="A453" s="808"/>
      <c r="B453" s="809"/>
      <c r="C453" s="809"/>
      <c r="D453" s="809"/>
      <c r="E453" s="809"/>
      <c r="F453" s="809"/>
      <c r="G453" s="809"/>
      <c r="H453" s="809"/>
      <c r="I453" s="809"/>
      <c r="J453" s="808"/>
      <c r="K453" s="808"/>
      <c r="L453" s="810"/>
    </row>
    <row r="454" spans="1:12" s="169" customFormat="1" ht="15.75" hidden="1" customHeight="1">
      <c r="A454" s="808"/>
      <c r="B454" s="809"/>
      <c r="C454" s="809"/>
      <c r="D454" s="809"/>
      <c r="E454" s="809"/>
      <c r="F454" s="809"/>
      <c r="G454" s="809"/>
      <c r="H454" s="809"/>
      <c r="I454" s="809"/>
      <c r="J454" s="808"/>
      <c r="K454" s="808"/>
      <c r="L454" s="810"/>
    </row>
    <row r="455" spans="1:12" s="169" customFormat="1" ht="15.75" hidden="1" customHeight="1">
      <c r="A455" s="808"/>
      <c r="B455" s="809"/>
      <c r="C455" s="809"/>
      <c r="D455" s="809"/>
      <c r="E455" s="809"/>
      <c r="F455" s="809"/>
      <c r="G455" s="809"/>
      <c r="H455" s="809"/>
      <c r="I455" s="809"/>
      <c r="J455" s="808"/>
      <c r="K455" s="808"/>
      <c r="L455" s="810"/>
    </row>
    <row r="456" spans="1:12" s="169" customFormat="1" ht="15.75" hidden="1" customHeight="1">
      <c r="A456" s="808"/>
      <c r="B456" s="809"/>
      <c r="C456" s="809"/>
      <c r="D456" s="809"/>
      <c r="E456" s="809"/>
      <c r="F456" s="809"/>
      <c r="G456" s="809"/>
      <c r="H456" s="809"/>
      <c r="I456" s="809"/>
      <c r="J456" s="808"/>
      <c r="K456" s="808"/>
      <c r="L456" s="810"/>
    </row>
    <row r="457" spans="1:12" s="169" customFormat="1" ht="15.75" hidden="1" customHeight="1">
      <c r="A457" s="808"/>
      <c r="B457" s="809"/>
      <c r="C457" s="809"/>
      <c r="D457" s="809"/>
      <c r="E457" s="809"/>
      <c r="F457" s="809"/>
      <c r="G457" s="809"/>
      <c r="H457" s="809"/>
      <c r="I457" s="809"/>
      <c r="J457" s="808"/>
      <c r="K457" s="808"/>
      <c r="L457" s="810"/>
    </row>
    <row r="458" spans="1:12" s="169" customFormat="1" ht="15.75" hidden="1" customHeight="1">
      <c r="A458" s="808"/>
      <c r="B458" s="809"/>
      <c r="C458" s="809"/>
      <c r="D458" s="809"/>
      <c r="E458" s="809"/>
      <c r="F458" s="809"/>
      <c r="G458" s="809"/>
      <c r="H458" s="809"/>
      <c r="I458" s="809"/>
      <c r="J458" s="808"/>
      <c r="K458" s="808"/>
      <c r="L458" s="810"/>
    </row>
    <row r="459" spans="1:12" s="169" customFormat="1" ht="15.75" hidden="1" customHeight="1">
      <c r="A459" s="808"/>
      <c r="B459" s="809"/>
      <c r="C459" s="809"/>
      <c r="D459" s="809"/>
      <c r="E459" s="809"/>
      <c r="F459" s="809"/>
      <c r="G459" s="809"/>
      <c r="H459" s="809"/>
      <c r="I459" s="809"/>
      <c r="J459" s="808"/>
      <c r="K459" s="808"/>
      <c r="L459" s="810"/>
    </row>
    <row r="460" spans="1:12" s="169" customFormat="1" ht="15.75" hidden="1" customHeight="1">
      <c r="A460" s="808"/>
      <c r="B460" s="809"/>
      <c r="C460" s="809"/>
      <c r="D460" s="809"/>
      <c r="E460" s="809"/>
      <c r="F460" s="809"/>
      <c r="G460" s="809"/>
      <c r="H460" s="809"/>
      <c r="I460" s="809"/>
      <c r="J460" s="808"/>
      <c r="K460" s="808"/>
      <c r="L460" s="810"/>
    </row>
    <row r="461" spans="1:12" s="169" customFormat="1" ht="15.75" hidden="1" customHeight="1">
      <c r="A461" s="808"/>
      <c r="B461" s="809"/>
      <c r="C461" s="809"/>
      <c r="D461" s="809"/>
      <c r="E461" s="809"/>
      <c r="F461" s="809"/>
      <c r="G461" s="809"/>
      <c r="H461" s="809"/>
      <c r="I461" s="809"/>
      <c r="J461" s="808"/>
      <c r="K461" s="808"/>
      <c r="L461" s="810"/>
    </row>
    <row r="462" spans="1:12" s="169" customFormat="1" ht="15.75" hidden="1" customHeight="1">
      <c r="A462" s="808"/>
      <c r="B462" s="809"/>
      <c r="C462" s="809"/>
      <c r="D462" s="809"/>
      <c r="E462" s="809"/>
      <c r="F462" s="809"/>
      <c r="G462" s="809"/>
      <c r="H462" s="809"/>
      <c r="I462" s="809"/>
      <c r="J462" s="808"/>
      <c r="K462" s="808"/>
      <c r="L462" s="810"/>
    </row>
    <row r="463" spans="1:12" s="169" customFormat="1" ht="15.75" hidden="1" customHeight="1">
      <c r="A463" s="808"/>
      <c r="B463" s="809"/>
      <c r="C463" s="809"/>
      <c r="D463" s="809"/>
      <c r="E463" s="809"/>
      <c r="F463" s="809"/>
      <c r="G463" s="809"/>
      <c r="H463" s="809"/>
      <c r="I463" s="809"/>
      <c r="J463" s="808"/>
      <c r="K463" s="808"/>
      <c r="L463" s="810"/>
    </row>
    <row r="464" spans="1:12" s="169" customFormat="1" ht="15.75" hidden="1" customHeight="1">
      <c r="A464" s="808"/>
      <c r="B464" s="809"/>
      <c r="C464" s="809"/>
      <c r="D464" s="809"/>
      <c r="E464" s="809"/>
      <c r="F464" s="809"/>
      <c r="G464" s="809"/>
      <c r="H464" s="809"/>
      <c r="I464" s="809"/>
      <c r="J464" s="808"/>
      <c r="K464" s="808"/>
      <c r="L464" s="810"/>
    </row>
    <row r="465" spans="1:12" s="169" customFormat="1" ht="15.75" hidden="1" customHeight="1">
      <c r="A465" s="808"/>
      <c r="B465" s="809"/>
      <c r="C465" s="809"/>
      <c r="D465" s="809"/>
      <c r="E465" s="809"/>
      <c r="F465" s="809"/>
      <c r="G465" s="809"/>
      <c r="H465" s="809"/>
      <c r="I465" s="809"/>
      <c r="J465" s="808"/>
      <c r="K465" s="808"/>
      <c r="L465" s="810"/>
    </row>
    <row r="466" spans="1:12" s="169" customFormat="1" ht="15.75" hidden="1" customHeight="1">
      <c r="A466" s="808"/>
      <c r="B466" s="809"/>
      <c r="C466" s="809"/>
      <c r="D466" s="809"/>
      <c r="E466" s="809"/>
      <c r="F466" s="809"/>
      <c r="G466" s="809"/>
      <c r="H466" s="809"/>
      <c r="I466" s="809"/>
      <c r="J466" s="808"/>
      <c r="K466" s="808"/>
      <c r="L466" s="810"/>
    </row>
    <row r="467" spans="1:12" s="169" customFormat="1" ht="15.75" hidden="1" customHeight="1">
      <c r="A467" s="808"/>
      <c r="B467" s="809"/>
      <c r="C467" s="809"/>
      <c r="D467" s="809"/>
      <c r="E467" s="809"/>
      <c r="F467" s="809"/>
      <c r="G467" s="809"/>
      <c r="H467" s="809"/>
      <c r="I467" s="809"/>
      <c r="J467" s="808"/>
      <c r="K467" s="808"/>
      <c r="L467" s="810"/>
    </row>
    <row r="468" spans="1:12" s="169" customFormat="1" ht="15.75" hidden="1" customHeight="1">
      <c r="A468" s="808"/>
      <c r="B468" s="809"/>
      <c r="C468" s="809"/>
      <c r="D468" s="809"/>
      <c r="E468" s="809"/>
      <c r="F468" s="809"/>
      <c r="G468" s="809"/>
      <c r="H468" s="809"/>
      <c r="I468" s="809"/>
      <c r="J468" s="808"/>
      <c r="K468" s="808"/>
      <c r="L468" s="810"/>
    </row>
    <row r="469" spans="1:12" s="169" customFormat="1" ht="15.75" hidden="1" customHeight="1">
      <c r="A469" s="808"/>
      <c r="B469" s="809"/>
      <c r="C469" s="809"/>
      <c r="D469" s="809"/>
      <c r="E469" s="809"/>
      <c r="F469" s="809"/>
      <c r="G469" s="809"/>
      <c r="H469" s="809"/>
      <c r="I469" s="809"/>
      <c r="J469" s="808"/>
      <c r="K469" s="808"/>
      <c r="L469" s="810"/>
    </row>
    <row r="470" spans="1:12" s="169" customFormat="1" ht="15.75" hidden="1" customHeight="1">
      <c r="A470" s="808"/>
      <c r="B470" s="809"/>
      <c r="C470" s="809"/>
      <c r="D470" s="809"/>
      <c r="E470" s="809"/>
      <c r="F470" s="809"/>
      <c r="G470" s="809"/>
      <c r="H470" s="809"/>
      <c r="I470" s="809"/>
      <c r="J470" s="808"/>
      <c r="K470" s="808"/>
      <c r="L470" s="810"/>
    </row>
    <row r="471" spans="1:12" s="169" customFormat="1" ht="15.75" hidden="1" customHeight="1">
      <c r="A471" s="808"/>
      <c r="B471" s="809"/>
      <c r="C471" s="809"/>
      <c r="D471" s="809"/>
      <c r="E471" s="809"/>
      <c r="F471" s="809"/>
      <c r="G471" s="809"/>
      <c r="H471" s="809"/>
      <c r="I471" s="809"/>
      <c r="J471" s="808"/>
      <c r="K471" s="808"/>
      <c r="L471" s="810"/>
    </row>
    <row r="472" spans="1:12" s="169" customFormat="1" ht="15.75" hidden="1" customHeight="1">
      <c r="A472" s="808"/>
      <c r="B472" s="809"/>
      <c r="C472" s="809"/>
      <c r="D472" s="809"/>
      <c r="E472" s="809"/>
      <c r="F472" s="809"/>
      <c r="G472" s="809"/>
      <c r="H472" s="809"/>
      <c r="I472" s="809"/>
      <c r="J472" s="808"/>
      <c r="K472" s="808"/>
      <c r="L472" s="810"/>
    </row>
    <row r="473" spans="1:12" s="169" customFormat="1" ht="15.75" hidden="1" customHeight="1">
      <c r="A473" s="808"/>
      <c r="B473" s="809"/>
      <c r="C473" s="809"/>
      <c r="D473" s="809"/>
      <c r="E473" s="809"/>
      <c r="F473" s="809"/>
      <c r="G473" s="809"/>
      <c r="H473" s="809"/>
      <c r="I473" s="809"/>
      <c r="J473" s="808"/>
      <c r="K473" s="808"/>
      <c r="L473" s="810"/>
    </row>
    <row r="474" spans="1:12" s="169" customFormat="1" ht="15.75" hidden="1" customHeight="1">
      <c r="A474" s="808"/>
      <c r="B474" s="809"/>
      <c r="C474" s="809"/>
      <c r="D474" s="809"/>
      <c r="E474" s="809"/>
      <c r="F474" s="809"/>
      <c r="G474" s="809"/>
      <c r="H474" s="809"/>
      <c r="I474" s="809"/>
      <c r="J474" s="808"/>
      <c r="K474" s="808"/>
      <c r="L474" s="810"/>
    </row>
    <row r="475" spans="1:12" s="169" customFormat="1" ht="15.75" hidden="1" customHeight="1">
      <c r="A475" s="808"/>
      <c r="B475" s="809"/>
      <c r="C475" s="809"/>
      <c r="D475" s="809"/>
      <c r="E475" s="809"/>
      <c r="F475" s="809"/>
      <c r="G475" s="809"/>
      <c r="H475" s="809"/>
      <c r="I475" s="809"/>
      <c r="J475" s="808"/>
      <c r="K475" s="808"/>
      <c r="L475" s="810"/>
    </row>
    <row r="476" spans="1:12" s="169" customFormat="1" ht="15.75" hidden="1" customHeight="1">
      <c r="A476" s="808"/>
      <c r="B476" s="809"/>
      <c r="C476" s="809"/>
      <c r="D476" s="809"/>
      <c r="E476" s="809"/>
      <c r="F476" s="809"/>
      <c r="G476" s="809"/>
      <c r="H476" s="809"/>
      <c r="I476" s="809"/>
      <c r="J476" s="808"/>
      <c r="K476" s="808"/>
      <c r="L476" s="810"/>
    </row>
    <row r="477" spans="1:12" s="169" customFormat="1" ht="15.75" hidden="1" customHeight="1">
      <c r="A477" s="808"/>
      <c r="B477" s="809"/>
      <c r="C477" s="809"/>
      <c r="D477" s="809"/>
      <c r="E477" s="809"/>
      <c r="F477" s="809"/>
      <c r="G477" s="809"/>
      <c r="H477" s="809"/>
      <c r="I477" s="809"/>
      <c r="J477" s="808"/>
      <c r="K477" s="808"/>
      <c r="L477" s="810"/>
    </row>
    <row r="478" spans="1:12" s="169" customFormat="1" ht="15.75" hidden="1" customHeight="1">
      <c r="A478" s="808"/>
      <c r="B478" s="809"/>
      <c r="C478" s="809"/>
      <c r="D478" s="809"/>
      <c r="E478" s="809"/>
      <c r="F478" s="809"/>
      <c r="G478" s="809"/>
      <c r="H478" s="809"/>
      <c r="I478" s="809"/>
      <c r="J478" s="808"/>
      <c r="K478" s="808"/>
      <c r="L478" s="810"/>
    </row>
    <row r="479" spans="1:12" s="169" customFormat="1" ht="15.75" hidden="1" customHeight="1">
      <c r="A479" s="808"/>
      <c r="B479" s="809"/>
      <c r="C479" s="809"/>
      <c r="D479" s="809"/>
      <c r="E479" s="809"/>
      <c r="F479" s="809"/>
      <c r="G479" s="809"/>
      <c r="H479" s="809"/>
      <c r="I479" s="809"/>
      <c r="J479" s="808"/>
      <c r="K479" s="808"/>
      <c r="L479" s="810"/>
    </row>
    <row r="480" spans="1:12" s="169" customFormat="1" ht="15.75" hidden="1" customHeight="1">
      <c r="A480" s="808"/>
      <c r="B480" s="809"/>
      <c r="C480" s="809"/>
      <c r="D480" s="809"/>
      <c r="E480" s="809"/>
      <c r="F480" s="809"/>
      <c r="G480" s="809"/>
      <c r="H480" s="809"/>
      <c r="I480" s="809"/>
      <c r="J480" s="808"/>
      <c r="K480" s="808"/>
      <c r="L480" s="810"/>
    </row>
    <row r="481" spans="1:12" s="169" customFormat="1" ht="15.75" hidden="1" customHeight="1">
      <c r="A481" s="808"/>
      <c r="B481" s="809"/>
      <c r="C481" s="809"/>
      <c r="D481" s="809"/>
      <c r="E481" s="809"/>
      <c r="F481" s="809"/>
      <c r="G481" s="809"/>
      <c r="H481" s="809"/>
      <c r="I481" s="809"/>
      <c r="J481" s="808"/>
      <c r="K481" s="808"/>
      <c r="L481" s="810"/>
    </row>
    <row r="482" spans="1:12" s="169" customFormat="1" ht="15.75" hidden="1" customHeight="1">
      <c r="A482" s="808"/>
      <c r="B482" s="809"/>
      <c r="C482" s="809"/>
      <c r="D482" s="809"/>
      <c r="E482" s="809"/>
      <c r="F482" s="809"/>
      <c r="G482" s="809"/>
      <c r="H482" s="809"/>
      <c r="I482" s="809"/>
      <c r="J482" s="808"/>
      <c r="K482" s="808"/>
      <c r="L482" s="810"/>
    </row>
    <row r="483" spans="1:12" s="169" customFormat="1" ht="15.75" hidden="1" customHeight="1">
      <c r="A483" s="808"/>
      <c r="B483" s="809"/>
      <c r="C483" s="809"/>
      <c r="D483" s="809"/>
      <c r="E483" s="809"/>
      <c r="F483" s="809"/>
      <c r="G483" s="809"/>
      <c r="H483" s="809"/>
      <c r="I483" s="809"/>
      <c r="J483" s="808"/>
      <c r="K483" s="808"/>
      <c r="L483" s="810"/>
    </row>
    <row r="484" spans="1:12" s="169" customFormat="1" ht="15.75" hidden="1" customHeight="1">
      <c r="A484" s="808"/>
      <c r="B484" s="809"/>
      <c r="C484" s="809"/>
      <c r="D484" s="809"/>
      <c r="E484" s="809"/>
      <c r="F484" s="809"/>
      <c r="G484" s="809"/>
      <c r="H484" s="809"/>
      <c r="I484" s="809"/>
      <c r="J484" s="808"/>
      <c r="K484" s="808"/>
      <c r="L484" s="810"/>
    </row>
    <row r="485" spans="1:12" s="169" customFormat="1" ht="15.75" hidden="1" customHeight="1">
      <c r="A485" s="808"/>
      <c r="B485" s="809"/>
      <c r="C485" s="809"/>
      <c r="D485" s="809"/>
      <c r="E485" s="809"/>
      <c r="F485" s="809"/>
      <c r="G485" s="809"/>
      <c r="H485" s="809"/>
      <c r="I485" s="809"/>
      <c r="J485" s="808"/>
      <c r="K485" s="808"/>
      <c r="L485" s="810"/>
    </row>
    <row r="486" spans="1:12" s="169" customFormat="1" ht="15.75" hidden="1" customHeight="1">
      <c r="A486" s="808"/>
      <c r="B486" s="809"/>
      <c r="C486" s="809"/>
      <c r="D486" s="809"/>
      <c r="E486" s="809"/>
      <c r="F486" s="809"/>
      <c r="G486" s="809"/>
      <c r="H486" s="809"/>
      <c r="I486" s="809"/>
      <c r="J486" s="808"/>
      <c r="K486" s="808"/>
      <c r="L486" s="810"/>
    </row>
    <row r="487" spans="1:12" s="169" customFormat="1" ht="15.75" hidden="1" customHeight="1">
      <c r="A487" s="808"/>
      <c r="B487" s="809"/>
      <c r="C487" s="809"/>
      <c r="D487" s="809"/>
      <c r="E487" s="809"/>
      <c r="F487" s="809"/>
      <c r="G487" s="809"/>
      <c r="H487" s="809"/>
      <c r="I487" s="809"/>
      <c r="J487" s="808"/>
      <c r="K487" s="808"/>
      <c r="L487" s="810"/>
    </row>
    <row r="488" spans="1:12" s="169" customFormat="1" ht="15.75" hidden="1" customHeight="1">
      <c r="A488" s="808"/>
      <c r="B488" s="809"/>
      <c r="C488" s="809"/>
      <c r="D488" s="809"/>
      <c r="E488" s="809"/>
      <c r="F488" s="809"/>
      <c r="G488" s="809"/>
      <c r="H488" s="809"/>
      <c r="I488" s="809"/>
      <c r="J488" s="808"/>
      <c r="K488" s="808"/>
      <c r="L488" s="810"/>
    </row>
    <row r="489" spans="1:12" s="169" customFormat="1" ht="15.75" hidden="1" customHeight="1">
      <c r="A489" s="808"/>
      <c r="B489" s="809"/>
      <c r="C489" s="809"/>
      <c r="D489" s="809"/>
      <c r="E489" s="809"/>
      <c r="F489" s="809"/>
      <c r="G489" s="809"/>
      <c r="H489" s="809"/>
      <c r="I489" s="809"/>
      <c r="J489" s="808"/>
      <c r="K489" s="808"/>
      <c r="L489" s="810"/>
    </row>
    <row r="490" spans="1:12" s="169" customFormat="1" ht="15.75" hidden="1" customHeight="1">
      <c r="A490" s="808"/>
      <c r="B490" s="809"/>
      <c r="C490" s="809"/>
      <c r="D490" s="809"/>
      <c r="E490" s="809"/>
      <c r="F490" s="809"/>
      <c r="G490" s="809"/>
      <c r="H490" s="809"/>
      <c r="I490" s="809"/>
      <c r="J490" s="808"/>
      <c r="K490" s="808"/>
      <c r="L490" s="810"/>
    </row>
    <row r="491" spans="1:12" s="169" customFormat="1" ht="15.75" hidden="1" customHeight="1">
      <c r="A491" s="808"/>
      <c r="B491" s="809"/>
      <c r="C491" s="809"/>
      <c r="D491" s="809"/>
      <c r="E491" s="809"/>
      <c r="F491" s="809"/>
      <c r="G491" s="809"/>
      <c r="H491" s="809"/>
      <c r="I491" s="809"/>
      <c r="J491" s="808"/>
      <c r="K491" s="808"/>
      <c r="L491" s="810"/>
    </row>
    <row r="492" spans="1:12" s="169" customFormat="1" ht="15.75" hidden="1" customHeight="1">
      <c r="A492" s="808"/>
      <c r="B492" s="809"/>
      <c r="C492" s="809"/>
      <c r="D492" s="809"/>
      <c r="E492" s="809"/>
      <c r="F492" s="809"/>
      <c r="G492" s="809"/>
      <c r="H492" s="809"/>
      <c r="I492" s="809"/>
      <c r="J492" s="808"/>
      <c r="K492" s="808"/>
      <c r="L492" s="810"/>
    </row>
    <row r="493" spans="1:12" s="169" customFormat="1" ht="15.75" hidden="1" customHeight="1">
      <c r="A493" s="808"/>
      <c r="B493" s="809"/>
      <c r="C493" s="809"/>
      <c r="D493" s="809"/>
      <c r="E493" s="809"/>
      <c r="F493" s="809"/>
      <c r="G493" s="809"/>
      <c r="H493" s="809"/>
      <c r="I493" s="809"/>
      <c r="J493" s="808"/>
      <c r="K493" s="808"/>
      <c r="L493" s="810"/>
    </row>
    <row r="494" spans="1:12" s="169" customFormat="1" ht="15.75" hidden="1" customHeight="1">
      <c r="A494" s="808"/>
      <c r="B494" s="809"/>
      <c r="C494" s="809"/>
      <c r="D494" s="809"/>
      <c r="E494" s="809"/>
      <c r="F494" s="809"/>
      <c r="G494" s="809"/>
      <c r="H494" s="809"/>
      <c r="I494" s="809"/>
      <c r="J494" s="808"/>
      <c r="K494" s="808"/>
      <c r="L494" s="810"/>
    </row>
    <row r="495" spans="1:12" s="169" customFormat="1" ht="15.75" hidden="1" customHeight="1">
      <c r="A495" s="808"/>
      <c r="B495" s="809"/>
      <c r="C495" s="809"/>
      <c r="D495" s="809"/>
      <c r="E495" s="809"/>
      <c r="F495" s="809"/>
      <c r="G495" s="809"/>
      <c r="H495" s="809"/>
      <c r="I495" s="809"/>
      <c r="J495" s="808"/>
      <c r="K495" s="808"/>
      <c r="L495" s="810"/>
    </row>
    <row r="496" spans="1:12" s="169" customFormat="1" ht="15.75" hidden="1" customHeight="1">
      <c r="A496" s="808"/>
      <c r="B496" s="809"/>
      <c r="C496" s="809"/>
      <c r="D496" s="809"/>
      <c r="E496" s="809"/>
      <c r="F496" s="809"/>
      <c r="G496" s="809"/>
      <c r="H496" s="809"/>
      <c r="I496" s="809"/>
      <c r="J496" s="808"/>
      <c r="K496" s="808"/>
      <c r="L496" s="810"/>
    </row>
    <row r="497" spans="1:12" s="169" customFormat="1" ht="15.75" hidden="1" customHeight="1">
      <c r="A497" s="808"/>
      <c r="B497" s="809"/>
      <c r="C497" s="809"/>
      <c r="D497" s="809"/>
      <c r="E497" s="809"/>
      <c r="F497" s="809"/>
      <c r="G497" s="809"/>
      <c r="H497" s="809"/>
      <c r="I497" s="809"/>
      <c r="J497" s="808"/>
      <c r="K497" s="808"/>
      <c r="L497" s="810"/>
    </row>
    <row r="498" spans="1:12" s="169" customFormat="1" ht="15.75" hidden="1" customHeight="1">
      <c r="A498" s="808"/>
      <c r="B498" s="809"/>
      <c r="C498" s="809"/>
      <c r="D498" s="809"/>
      <c r="E498" s="809"/>
      <c r="F498" s="809"/>
      <c r="G498" s="809"/>
      <c r="H498" s="809"/>
      <c r="I498" s="809"/>
      <c r="J498" s="808"/>
      <c r="K498" s="808"/>
      <c r="L498" s="810"/>
    </row>
    <row r="499" spans="1:12" s="169" customFormat="1" ht="15.75" hidden="1" customHeight="1">
      <c r="A499" s="808"/>
      <c r="B499" s="809"/>
      <c r="C499" s="809"/>
      <c r="D499" s="809"/>
      <c r="E499" s="809"/>
      <c r="F499" s="809"/>
      <c r="G499" s="809"/>
      <c r="H499" s="809"/>
      <c r="I499" s="809"/>
      <c r="J499" s="808"/>
      <c r="K499" s="808"/>
      <c r="L499" s="810"/>
    </row>
    <row r="500" spans="1:12" s="169" customFormat="1" ht="15.75" hidden="1" customHeight="1">
      <c r="A500" s="808"/>
      <c r="B500" s="809"/>
      <c r="C500" s="809"/>
      <c r="D500" s="809"/>
      <c r="E500" s="809"/>
      <c r="F500" s="809"/>
      <c r="G500" s="809"/>
      <c r="H500" s="809"/>
      <c r="I500" s="809"/>
      <c r="J500" s="808"/>
      <c r="K500" s="808"/>
      <c r="L500" s="810"/>
    </row>
    <row r="501" spans="1:12" s="169" customFormat="1" ht="15.75" hidden="1" customHeight="1">
      <c r="A501" s="808"/>
      <c r="B501" s="809"/>
      <c r="C501" s="809"/>
      <c r="D501" s="809"/>
      <c r="E501" s="809"/>
      <c r="F501" s="809"/>
      <c r="G501" s="809"/>
      <c r="H501" s="809"/>
      <c r="I501" s="809"/>
      <c r="J501" s="808"/>
      <c r="K501" s="808"/>
      <c r="L501" s="810"/>
    </row>
    <row r="502" spans="1:12" s="169" customFormat="1" ht="15.75" hidden="1" customHeight="1">
      <c r="A502" s="808"/>
      <c r="B502" s="809"/>
      <c r="C502" s="809"/>
      <c r="D502" s="809"/>
      <c r="E502" s="809"/>
      <c r="F502" s="809"/>
      <c r="G502" s="809"/>
      <c r="H502" s="809"/>
      <c r="I502" s="809"/>
      <c r="J502" s="808"/>
      <c r="K502" s="808"/>
      <c r="L502" s="810"/>
    </row>
    <row r="503" spans="1:12" s="169" customFormat="1" ht="15.75" hidden="1" customHeight="1">
      <c r="A503" s="808"/>
      <c r="B503" s="809"/>
      <c r="C503" s="809"/>
      <c r="D503" s="809"/>
      <c r="E503" s="809"/>
      <c r="F503" s="809"/>
      <c r="G503" s="809"/>
      <c r="H503" s="809"/>
      <c r="I503" s="809"/>
      <c r="J503" s="808"/>
      <c r="K503" s="808"/>
      <c r="L503" s="810"/>
    </row>
    <row r="504" spans="1:12" s="169" customFormat="1" ht="15.75" hidden="1" customHeight="1">
      <c r="A504" s="808"/>
      <c r="B504" s="809"/>
      <c r="C504" s="809"/>
      <c r="D504" s="809"/>
      <c r="E504" s="809"/>
      <c r="F504" s="809"/>
      <c r="G504" s="809"/>
      <c r="H504" s="809"/>
      <c r="I504" s="809"/>
      <c r="J504" s="808"/>
      <c r="K504" s="808"/>
      <c r="L504" s="810"/>
    </row>
    <row r="505" spans="1:12" s="169" customFormat="1" ht="15.75" hidden="1" customHeight="1">
      <c r="A505" s="808"/>
      <c r="B505" s="809"/>
      <c r="C505" s="809"/>
      <c r="D505" s="809"/>
      <c r="E505" s="809"/>
      <c r="F505" s="809"/>
      <c r="G505" s="809"/>
      <c r="H505" s="809"/>
      <c r="I505" s="809"/>
      <c r="J505" s="808"/>
      <c r="K505" s="808"/>
      <c r="L505" s="810"/>
    </row>
    <row r="506" spans="1:12" s="169" customFormat="1" ht="15.75" hidden="1" customHeight="1">
      <c r="A506" s="808"/>
      <c r="B506" s="809"/>
      <c r="C506" s="809"/>
      <c r="D506" s="809"/>
      <c r="E506" s="809"/>
      <c r="F506" s="809"/>
      <c r="G506" s="809"/>
      <c r="H506" s="809"/>
      <c r="I506" s="809"/>
      <c r="J506" s="808"/>
      <c r="K506" s="808"/>
      <c r="L506" s="810"/>
    </row>
    <row r="507" spans="1:12" s="169" customFormat="1" ht="15.75" hidden="1" customHeight="1">
      <c r="A507" s="808"/>
      <c r="B507" s="809"/>
      <c r="C507" s="809"/>
      <c r="D507" s="809"/>
      <c r="E507" s="809"/>
      <c r="F507" s="809"/>
      <c r="G507" s="809"/>
      <c r="H507" s="809"/>
      <c r="I507" s="809"/>
      <c r="J507" s="808"/>
      <c r="K507" s="808"/>
      <c r="L507" s="810"/>
    </row>
    <row r="508" spans="1:12" s="169" customFormat="1" ht="15.75" hidden="1" customHeight="1">
      <c r="A508" s="808"/>
      <c r="B508" s="809"/>
      <c r="C508" s="809"/>
      <c r="D508" s="809"/>
      <c r="E508" s="809"/>
      <c r="F508" s="809"/>
      <c r="G508" s="809"/>
      <c r="H508" s="809"/>
      <c r="I508" s="809"/>
      <c r="J508" s="808"/>
      <c r="K508" s="808"/>
      <c r="L508" s="810"/>
    </row>
    <row r="509" spans="1:12" s="169" customFormat="1" ht="15.75" hidden="1" customHeight="1">
      <c r="A509" s="808"/>
      <c r="B509" s="809"/>
      <c r="C509" s="809"/>
      <c r="D509" s="809"/>
      <c r="E509" s="809"/>
      <c r="F509" s="809"/>
      <c r="G509" s="809"/>
      <c r="H509" s="809"/>
      <c r="I509" s="809"/>
      <c r="J509" s="808"/>
      <c r="K509" s="808"/>
      <c r="L509" s="810"/>
    </row>
    <row r="510" spans="1:12" s="169" customFormat="1" ht="15.75" hidden="1" customHeight="1">
      <c r="A510" s="808"/>
      <c r="B510" s="809"/>
      <c r="C510" s="809"/>
      <c r="D510" s="809"/>
      <c r="E510" s="809"/>
      <c r="F510" s="809"/>
      <c r="G510" s="809"/>
      <c r="H510" s="809"/>
      <c r="I510" s="809"/>
      <c r="J510" s="808"/>
      <c r="K510" s="808"/>
      <c r="L510" s="810"/>
    </row>
    <row r="511" spans="1:12" s="169" customFormat="1" ht="15.75" hidden="1" customHeight="1">
      <c r="A511" s="808"/>
      <c r="B511" s="809"/>
      <c r="C511" s="809"/>
      <c r="D511" s="809"/>
      <c r="E511" s="809"/>
      <c r="F511" s="809"/>
      <c r="G511" s="809"/>
      <c r="H511" s="809"/>
      <c r="I511" s="809"/>
      <c r="J511" s="808"/>
      <c r="K511" s="808"/>
      <c r="L511" s="810"/>
    </row>
    <row r="512" spans="1:12" s="169" customFormat="1" ht="15.75" hidden="1" customHeight="1">
      <c r="A512" s="808"/>
      <c r="B512" s="809"/>
      <c r="C512" s="809"/>
      <c r="D512" s="809"/>
      <c r="E512" s="809"/>
      <c r="F512" s="809"/>
      <c r="G512" s="809"/>
      <c r="H512" s="809"/>
      <c r="I512" s="809"/>
      <c r="J512" s="808"/>
      <c r="K512" s="808"/>
      <c r="L512" s="810"/>
    </row>
    <row r="513" spans="1:12" s="169" customFormat="1" ht="15.75" hidden="1" customHeight="1">
      <c r="A513" s="808"/>
      <c r="B513" s="809"/>
      <c r="C513" s="809"/>
      <c r="D513" s="809"/>
      <c r="E513" s="809"/>
      <c r="F513" s="809"/>
      <c r="G513" s="809"/>
      <c r="H513" s="809"/>
      <c r="I513" s="809"/>
      <c r="J513" s="808"/>
      <c r="K513" s="808"/>
      <c r="L513" s="810"/>
    </row>
    <row r="514" spans="1:12" s="169" customFormat="1" ht="15.75" hidden="1" customHeight="1">
      <c r="A514" s="808"/>
      <c r="B514" s="809"/>
      <c r="C514" s="809"/>
      <c r="D514" s="809"/>
      <c r="E514" s="809"/>
      <c r="F514" s="809"/>
      <c r="G514" s="809"/>
      <c r="H514" s="809"/>
      <c r="I514" s="809"/>
      <c r="J514" s="808"/>
      <c r="K514" s="808"/>
      <c r="L514" s="810"/>
    </row>
    <row r="515" spans="1:12" s="169" customFormat="1" ht="15.75" hidden="1" customHeight="1">
      <c r="A515" s="808"/>
      <c r="B515" s="809"/>
      <c r="C515" s="809"/>
      <c r="D515" s="809"/>
      <c r="E515" s="809"/>
      <c r="F515" s="809"/>
      <c r="G515" s="809"/>
      <c r="H515" s="809"/>
      <c r="I515" s="809"/>
      <c r="J515" s="808"/>
      <c r="K515" s="808"/>
      <c r="L515" s="810"/>
    </row>
    <row r="516" spans="1:12" s="169" customFormat="1" ht="15.75" hidden="1" customHeight="1">
      <c r="A516" s="808"/>
      <c r="B516" s="809"/>
      <c r="C516" s="809"/>
      <c r="D516" s="809"/>
      <c r="E516" s="809"/>
      <c r="F516" s="809"/>
      <c r="G516" s="809"/>
      <c r="H516" s="809"/>
      <c r="I516" s="809"/>
      <c r="J516" s="808"/>
      <c r="K516" s="808"/>
      <c r="L516" s="810"/>
    </row>
    <row r="517" spans="1:12" s="169" customFormat="1" ht="15.75" hidden="1" customHeight="1">
      <c r="A517" s="808"/>
      <c r="B517" s="809"/>
      <c r="C517" s="809"/>
      <c r="D517" s="809"/>
      <c r="E517" s="809"/>
      <c r="F517" s="809"/>
      <c r="G517" s="809"/>
      <c r="H517" s="809"/>
      <c r="I517" s="809"/>
      <c r="J517" s="808"/>
      <c r="K517" s="808"/>
      <c r="L517" s="810"/>
    </row>
    <row r="518" spans="1:12" s="169" customFormat="1" ht="15.75" hidden="1" customHeight="1">
      <c r="A518" s="808"/>
      <c r="B518" s="809"/>
      <c r="C518" s="809"/>
      <c r="D518" s="809"/>
      <c r="E518" s="809"/>
      <c r="F518" s="809"/>
      <c r="G518" s="809"/>
      <c r="H518" s="809"/>
      <c r="I518" s="809"/>
      <c r="J518" s="808"/>
      <c r="K518" s="808"/>
      <c r="L518" s="810"/>
    </row>
    <row r="519" spans="1:12" s="169" customFormat="1" ht="15.75" hidden="1" customHeight="1">
      <c r="A519" s="808"/>
      <c r="B519" s="809"/>
      <c r="C519" s="809"/>
      <c r="D519" s="809"/>
      <c r="E519" s="809"/>
      <c r="F519" s="809"/>
      <c r="G519" s="809"/>
      <c r="H519" s="809"/>
      <c r="I519" s="809"/>
      <c r="J519" s="808"/>
      <c r="K519" s="808"/>
      <c r="L519" s="810"/>
    </row>
    <row r="520" spans="1:12" s="169" customFormat="1" ht="15.75" hidden="1" customHeight="1">
      <c r="A520" s="808"/>
      <c r="B520" s="809"/>
      <c r="C520" s="809"/>
      <c r="D520" s="809"/>
      <c r="E520" s="809"/>
      <c r="F520" s="809"/>
      <c r="G520" s="809"/>
      <c r="H520" s="809"/>
      <c r="I520" s="809"/>
      <c r="J520" s="808"/>
      <c r="K520" s="808"/>
      <c r="L520" s="810"/>
    </row>
    <row r="521" spans="1:12" s="169" customFormat="1" ht="15.75" hidden="1" customHeight="1">
      <c r="A521" s="808"/>
      <c r="B521" s="809"/>
      <c r="C521" s="809"/>
      <c r="D521" s="809"/>
      <c r="E521" s="809"/>
      <c r="F521" s="809"/>
      <c r="G521" s="809"/>
      <c r="H521" s="809"/>
      <c r="I521" s="809"/>
      <c r="J521" s="808"/>
      <c r="K521" s="808"/>
      <c r="L521" s="810"/>
    </row>
    <row r="522" spans="1:12" s="169" customFormat="1" ht="15.75" hidden="1" customHeight="1">
      <c r="A522" s="808"/>
      <c r="B522" s="809"/>
      <c r="C522" s="809"/>
      <c r="D522" s="809"/>
      <c r="E522" s="809"/>
      <c r="F522" s="809"/>
      <c r="G522" s="809"/>
      <c r="H522" s="809"/>
      <c r="I522" s="809"/>
      <c r="J522" s="808"/>
      <c r="K522" s="808"/>
      <c r="L522" s="810"/>
    </row>
    <row r="523" spans="1:12" s="169" customFormat="1" ht="15.75" hidden="1" customHeight="1">
      <c r="A523" s="808"/>
      <c r="B523" s="809"/>
      <c r="C523" s="809"/>
      <c r="D523" s="809"/>
      <c r="E523" s="809"/>
      <c r="F523" s="809"/>
      <c r="G523" s="809"/>
      <c r="H523" s="809"/>
      <c r="I523" s="809"/>
      <c r="J523" s="808"/>
      <c r="K523" s="808"/>
      <c r="L523" s="810"/>
    </row>
    <row r="524" spans="1:12" s="169" customFormat="1" ht="15.75" hidden="1" customHeight="1">
      <c r="A524" s="808"/>
      <c r="B524" s="809"/>
      <c r="C524" s="809"/>
      <c r="D524" s="809"/>
      <c r="E524" s="809"/>
      <c r="F524" s="809"/>
      <c r="G524" s="809"/>
      <c r="H524" s="809"/>
      <c r="I524" s="809"/>
      <c r="J524" s="808"/>
      <c r="K524" s="808"/>
      <c r="L524" s="810"/>
    </row>
    <row r="525" spans="1:12" s="169" customFormat="1" ht="15.75" hidden="1" customHeight="1">
      <c r="A525" s="808"/>
      <c r="B525" s="809"/>
      <c r="C525" s="809"/>
      <c r="D525" s="809"/>
      <c r="E525" s="809"/>
      <c r="F525" s="809"/>
      <c r="G525" s="809"/>
      <c r="H525" s="809"/>
      <c r="I525" s="809"/>
      <c r="J525" s="808"/>
      <c r="K525" s="808"/>
      <c r="L525" s="810"/>
    </row>
    <row r="526" spans="1:12" s="169" customFormat="1" ht="15.75" hidden="1" customHeight="1">
      <c r="A526" s="808"/>
      <c r="B526" s="809"/>
      <c r="C526" s="809"/>
      <c r="D526" s="809"/>
      <c r="E526" s="809"/>
      <c r="F526" s="809"/>
      <c r="G526" s="809"/>
      <c r="H526" s="809"/>
      <c r="I526" s="809"/>
      <c r="J526" s="808"/>
      <c r="K526" s="808"/>
      <c r="L526" s="810"/>
    </row>
    <row r="527" spans="1:12" s="169" customFormat="1" ht="15.75" hidden="1" customHeight="1">
      <c r="A527" s="808"/>
      <c r="B527" s="809"/>
      <c r="C527" s="809"/>
      <c r="D527" s="809"/>
      <c r="E527" s="809"/>
      <c r="F527" s="809"/>
      <c r="G527" s="809"/>
      <c r="H527" s="809"/>
      <c r="I527" s="809"/>
      <c r="J527" s="808"/>
      <c r="K527" s="808"/>
      <c r="L527" s="810"/>
    </row>
    <row r="528" spans="1:12" s="169" customFormat="1" ht="15.75" hidden="1" customHeight="1">
      <c r="A528" s="808"/>
      <c r="B528" s="809"/>
      <c r="C528" s="809"/>
      <c r="D528" s="809"/>
      <c r="E528" s="809"/>
      <c r="F528" s="809"/>
      <c r="G528" s="809"/>
      <c r="H528" s="809"/>
      <c r="I528" s="809"/>
      <c r="J528" s="808"/>
      <c r="K528" s="808"/>
      <c r="L528" s="810"/>
    </row>
    <row r="529" spans="1:12" s="169" customFormat="1" ht="15.75" hidden="1" customHeight="1">
      <c r="A529" s="808"/>
      <c r="B529" s="809"/>
      <c r="C529" s="809"/>
      <c r="D529" s="809"/>
      <c r="E529" s="809"/>
      <c r="F529" s="809"/>
      <c r="G529" s="809"/>
      <c r="H529" s="809"/>
      <c r="I529" s="809"/>
      <c r="J529" s="808"/>
      <c r="K529" s="808"/>
      <c r="L529" s="810"/>
    </row>
    <row r="530" spans="1:12" s="169" customFormat="1" ht="15.75" hidden="1" customHeight="1">
      <c r="A530" s="808"/>
      <c r="B530" s="809"/>
      <c r="C530" s="809"/>
      <c r="D530" s="809"/>
      <c r="E530" s="809"/>
      <c r="F530" s="809"/>
      <c r="G530" s="809"/>
      <c r="H530" s="809"/>
      <c r="I530" s="809"/>
      <c r="J530" s="808"/>
      <c r="K530" s="808"/>
      <c r="L530" s="810"/>
    </row>
    <row r="531" spans="1:12" s="169" customFormat="1" ht="15.75" hidden="1" customHeight="1">
      <c r="A531" s="808"/>
      <c r="B531" s="809"/>
      <c r="C531" s="809"/>
      <c r="D531" s="809"/>
      <c r="E531" s="809"/>
      <c r="F531" s="809"/>
      <c r="G531" s="809"/>
      <c r="H531" s="809"/>
      <c r="I531" s="809"/>
      <c r="J531" s="808"/>
      <c r="K531" s="808"/>
      <c r="L531" s="810"/>
    </row>
    <row r="532" spans="1:12" s="169" customFormat="1" ht="15.75" hidden="1" customHeight="1">
      <c r="A532" s="808"/>
      <c r="B532" s="809"/>
      <c r="C532" s="809"/>
      <c r="D532" s="809"/>
      <c r="E532" s="809"/>
      <c r="F532" s="809"/>
      <c r="G532" s="809"/>
      <c r="H532" s="809"/>
      <c r="I532" s="809"/>
      <c r="J532" s="808"/>
      <c r="K532" s="808"/>
      <c r="L532" s="810"/>
    </row>
    <row r="533" spans="1:12" s="169" customFormat="1" ht="15.75" hidden="1" customHeight="1">
      <c r="A533" s="808"/>
      <c r="B533" s="809"/>
      <c r="C533" s="809"/>
      <c r="D533" s="809"/>
      <c r="E533" s="809"/>
      <c r="F533" s="809"/>
      <c r="G533" s="809"/>
      <c r="H533" s="809"/>
      <c r="I533" s="809"/>
      <c r="J533" s="808"/>
      <c r="K533" s="808"/>
      <c r="L533" s="810"/>
    </row>
    <row r="534" spans="1:12" s="169" customFormat="1" ht="15.75" hidden="1" customHeight="1">
      <c r="A534" s="808"/>
      <c r="B534" s="809"/>
      <c r="C534" s="809"/>
      <c r="D534" s="809"/>
      <c r="E534" s="809"/>
      <c r="F534" s="809"/>
      <c r="G534" s="809"/>
      <c r="H534" s="809"/>
      <c r="I534" s="809"/>
      <c r="J534" s="808"/>
      <c r="K534" s="808"/>
      <c r="L534" s="810"/>
    </row>
    <row r="535" spans="1:12" s="169" customFormat="1" ht="15.75" hidden="1" customHeight="1">
      <c r="A535" s="808"/>
      <c r="B535" s="809"/>
      <c r="C535" s="809"/>
      <c r="D535" s="809"/>
      <c r="E535" s="809"/>
      <c r="F535" s="809"/>
      <c r="G535" s="809"/>
      <c r="H535" s="809"/>
      <c r="I535" s="809"/>
      <c r="J535" s="808"/>
      <c r="K535" s="808"/>
      <c r="L535" s="810"/>
    </row>
    <row r="536" spans="1:12" s="169" customFormat="1" ht="15.75" hidden="1" customHeight="1">
      <c r="A536" s="808"/>
      <c r="B536" s="809"/>
      <c r="C536" s="809"/>
      <c r="D536" s="809"/>
      <c r="E536" s="809"/>
      <c r="F536" s="809"/>
      <c r="G536" s="809"/>
      <c r="H536" s="809"/>
      <c r="I536" s="809"/>
      <c r="J536" s="808"/>
      <c r="K536" s="808"/>
      <c r="L536" s="810"/>
    </row>
    <row r="537" spans="1:12" s="169" customFormat="1" ht="15.75" hidden="1" customHeight="1">
      <c r="A537" s="808"/>
      <c r="B537" s="809"/>
      <c r="C537" s="809"/>
      <c r="D537" s="809"/>
      <c r="E537" s="809"/>
      <c r="F537" s="809"/>
      <c r="G537" s="809"/>
      <c r="H537" s="809"/>
      <c r="I537" s="809"/>
      <c r="J537" s="808"/>
      <c r="K537" s="808"/>
      <c r="L537" s="810"/>
    </row>
    <row r="538" spans="1:12" s="169" customFormat="1" ht="15.75" hidden="1" customHeight="1">
      <c r="A538" s="808"/>
      <c r="B538" s="809"/>
      <c r="C538" s="809"/>
      <c r="D538" s="809"/>
      <c r="E538" s="809"/>
      <c r="F538" s="809"/>
      <c r="G538" s="809"/>
      <c r="H538" s="809"/>
      <c r="I538" s="809"/>
      <c r="J538" s="808"/>
      <c r="K538" s="808"/>
      <c r="L538" s="810"/>
    </row>
    <row r="539" spans="1:12" s="169" customFormat="1" ht="15.75" hidden="1" customHeight="1">
      <c r="A539" s="808"/>
      <c r="B539" s="809"/>
      <c r="C539" s="809"/>
      <c r="D539" s="809"/>
      <c r="E539" s="809"/>
      <c r="F539" s="809"/>
      <c r="G539" s="809"/>
      <c r="H539" s="809"/>
      <c r="I539" s="809"/>
      <c r="J539" s="808"/>
      <c r="K539" s="808"/>
      <c r="L539" s="810"/>
    </row>
    <row r="540" spans="1:12" s="169" customFormat="1" ht="15.75" hidden="1" customHeight="1">
      <c r="A540" s="808"/>
      <c r="B540" s="809"/>
      <c r="C540" s="809"/>
      <c r="D540" s="809"/>
      <c r="E540" s="809"/>
      <c r="F540" s="809"/>
      <c r="G540" s="809"/>
      <c r="H540" s="809"/>
      <c r="I540" s="809"/>
      <c r="J540" s="808"/>
      <c r="K540" s="808"/>
      <c r="L540" s="810"/>
    </row>
    <row r="541" spans="1:12" s="169" customFormat="1" ht="15.75" hidden="1" customHeight="1">
      <c r="A541" s="808"/>
      <c r="B541" s="809"/>
      <c r="C541" s="809"/>
      <c r="D541" s="809"/>
      <c r="E541" s="809"/>
      <c r="F541" s="809"/>
      <c r="G541" s="809"/>
      <c r="H541" s="809"/>
      <c r="I541" s="809"/>
      <c r="J541" s="808"/>
      <c r="K541" s="808"/>
      <c r="L541" s="810"/>
    </row>
    <row r="542" spans="1:12" s="169" customFormat="1" ht="15.75" hidden="1" customHeight="1">
      <c r="A542" s="808"/>
      <c r="B542" s="809"/>
      <c r="C542" s="809"/>
      <c r="D542" s="809"/>
      <c r="E542" s="809"/>
      <c r="F542" s="809"/>
      <c r="G542" s="809"/>
      <c r="H542" s="809"/>
      <c r="I542" s="809"/>
      <c r="J542" s="808"/>
      <c r="K542" s="808"/>
      <c r="L542" s="810"/>
    </row>
    <row r="543" spans="1:12" s="169" customFormat="1" ht="15.75" hidden="1" customHeight="1">
      <c r="A543" s="808"/>
      <c r="B543" s="809"/>
      <c r="C543" s="809"/>
      <c r="D543" s="809"/>
      <c r="E543" s="809"/>
      <c r="F543" s="809"/>
      <c r="G543" s="809"/>
      <c r="H543" s="809"/>
      <c r="I543" s="809"/>
      <c r="J543" s="808"/>
      <c r="K543" s="808"/>
      <c r="L543" s="810"/>
    </row>
    <row r="544" spans="1:12" s="169" customFormat="1" ht="15.75" hidden="1" customHeight="1">
      <c r="A544" s="808"/>
      <c r="B544" s="809"/>
      <c r="C544" s="809"/>
      <c r="D544" s="809"/>
      <c r="E544" s="809"/>
      <c r="F544" s="809"/>
      <c r="G544" s="809"/>
      <c r="H544" s="809"/>
      <c r="I544" s="809"/>
      <c r="J544" s="808"/>
      <c r="K544" s="808"/>
      <c r="L544" s="810"/>
    </row>
    <row r="545" spans="1:1025" s="169" customFormat="1" ht="15.75" hidden="1" customHeight="1">
      <c r="A545" s="808"/>
      <c r="B545" s="809"/>
      <c r="C545" s="809"/>
      <c r="D545" s="809"/>
      <c r="E545" s="809"/>
      <c r="F545" s="809"/>
      <c r="G545" s="809"/>
      <c r="H545" s="809"/>
      <c r="I545" s="809"/>
      <c r="J545" s="808"/>
      <c r="K545" s="808"/>
      <c r="L545" s="810"/>
    </row>
    <row r="546" spans="1:1025" s="169" customFormat="1" ht="15.75" hidden="1" customHeight="1">
      <c r="A546" s="808"/>
      <c r="B546" s="809"/>
      <c r="C546" s="809"/>
      <c r="D546" s="809"/>
      <c r="E546" s="809"/>
      <c r="F546" s="809"/>
      <c r="G546" s="809"/>
      <c r="H546" s="809"/>
      <c r="I546" s="809"/>
      <c r="J546" s="808"/>
      <c r="K546" s="808"/>
      <c r="L546" s="810"/>
    </row>
    <row r="547" spans="1:1025" s="169" customFormat="1" ht="15.75" hidden="1" customHeight="1">
      <c r="A547" s="808"/>
      <c r="B547" s="809"/>
      <c r="C547" s="809"/>
      <c r="D547" s="809"/>
      <c r="E547" s="809"/>
      <c r="F547" s="809"/>
      <c r="G547" s="809"/>
      <c r="H547" s="809"/>
      <c r="I547" s="809"/>
      <c r="J547" s="808"/>
      <c r="K547" s="808"/>
      <c r="L547" s="810"/>
    </row>
    <row r="548" spans="1:1025" s="169" customFormat="1" ht="15.75" hidden="1" customHeight="1">
      <c r="A548" s="808"/>
      <c r="B548" s="809"/>
      <c r="C548" s="809"/>
      <c r="D548" s="809"/>
      <c r="E548" s="809"/>
      <c r="F548" s="809"/>
      <c r="G548" s="809"/>
      <c r="H548" s="809"/>
      <c r="I548" s="809"/>
      <c r="J548" s="808"/>
      <c r="K548" s="808"/>
      <c r="L548" s="810"/>
    </row>
    <row r="549" spans="1:1025" s="169" customFormat="1" ht="15.75" hidden="1" customHeight="1">
      <c r="A549" s="808"/>
      <c r="B549" s="809"/>
      <c r="C549" s="809"/>
      <c r="D549" s="809"/>
      <c r="E549" s="809"/>
      <c r="F549" s="809"/>
      <c r="G549" s="809"/>
      <c r="H549" s="809"/>
      <c r="I549" s="809"/>
      <c r="J549" s="808"/>
      <c r="K549" s="808"/>
      <c r="L549" s="810"/>
    </row>
    <row r="550" spans="1:1025" s="169" customFormat="1" ht="15.75" hidden="1" customHeight="1">
      <c r="A550" s="808"/>
      <c r="B550" s="809"/>
      <c r="C550" s="809"/>
      <c r="D550" s="809"/>
      <c r="E550" s="809"/>
      <c r="F550" s="809"/>
      <c r="G550" s="809"/>
      <c r="H550" s="809"/>
      <c r="I550" s="809"/>
      <c r="J550" s="808"/>
      <c r="K550" s="808"/>
      <c r="L550" s="810"/>
    </row>
    <row r="551" spans="1:1025" s="169" customFormat="1" ht="15.75" hidden="1" customHeight="1">
      <c r="A551" s="808"/>
      <c r="B551" s="809"/>
      <c r="C551" s="809"/>
      <c r="D551" s="809"/>
      <c r="E551" s="809"/>
      <c r="F551" s="809"/>
      <c r="G551" s="809"/>
      <c r="H551" s="809"/>
      <c r="I551" s="809"/>
      <c r="J551" s="808"/>
      <c r="K551" s="808"/>
      <c r="L551" s="810"/>
    </row>
    <row r="552" spans="1:1025" s="169" customFormat="1" ht="15.75" hidden="1" customHeight="1">
      <c r="A552" s="808"/>
      <c r="B552" s="809"/>
      <c r="C552" s="809"/>
      <c r="D552" s="809"/>
      <c r="E552" s="809"/>
      <c r="F552" s="809"/>
      <c r="G552" s="809"/>
      <c r="H552" s="809"/>
      <c r="I552" s="809"/>
      <c r="J552" s="808"/>
      <c r="K552" s="808"/>
      <c r="L552" s="810"/>
    </row>
    <row r="553" spans="1:1025" ht="31.5">
      <c r="A553" s="301"/>
      <c r="B553" s="918" t="s">
        <v>424</v>
      </c>
      <c r="C553" s="919"/>
      <c r="D553" s="919"/>
      <c r="E553" s="919"/>
      <c r="F553" s="919"/>
      <c r="G553" s="919"/>
      <c r="H553" s="919"/>
      <c r="I553" s="919"/>
      <c r="J553" s="919"/>
      <c r="K553" s="919"/>
      <c r="L553" s="920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  <c r="AA553" s="243"/>
      <c r="AB553" s="243"/>
      <c r="AC553" s="243"/>
      <c r="AD553" s="243"/>
      <c r="AE553" s="243"/>
      <c r="AF553" s="243"/>
      <c r="AG553" s="243"/>
      <c r="AH553" s="243"/>
      <c r="AI553" s="243"/>
      <c r="AJ553" s="243"/>
      <c r="AK553" s="243"/>
      <c r="AL553" s="243"/>
      <c r="AM553" s="243"/>
      <c r="AN553" s="243"/>
      <c r="AO553" s="243"/>
      <c r="AP553" s="243"/>
      <c r="AQ553" s="243"/>
      <c r="AR553" s="243"/>
      <c r="AS553" s="243"/>
      <c r="AT553" s="243"/>
      <c r="AU553" s="243"/>
      <c r="AV553" s="243"/>
      <c r="AW553" s="243"/>
      <c r="AX553" s="243"/>
      <c r="AY553" s="243"/>
      <c r="AZ553" s="243"/>
      <c r="BA553" s="243"/>
      <c r="BB553" s="243"/>
      <c r="BC553" s="243"/>
      <c r="BD553" s="243"/>
      <c r="BE553" s="243"/>
      <c r="BF553" s="243"/>
      <c r="BG553" s="243"/>
      <c r="BH553" s="243"/>
      <c r="BI553" s="243"/>
      <c r="BJ553" s="243"/>
      <c r="BK553" s="243"/>
      <c r="BL553" s="243"/>
      <c r="BM553" s="243"/>
      <c r="BN553" s="243"/>
      <c r="BO553" s="243"/>
      <c r="BP553" s="243"/>
      <c r="BQ553" s="243"/>
      <c r="BR553" s="243"/>
      <c r="BS553" s="243"/>
      <c r="BT553" s="243"/>
      <c r="BU553" s="243"/>
      <c r="BV553" s="243"/>
      <c r="BW553" s="243"/>
      <c r="BX553" s="243"/>
      <c r="BY553" s="243"/>
      <c r="BZ553" s="243"/>
      <c r="CA553" s="243"/>
      <c r="CB553" s="243"/>
      <c r="CC553" s="243"/>
      <c r="CD553" s="243"/>
      <c r="CE553" s="243"/>
      <c r="CF553" s="243"/>
      <c r="CG553" s="243"/>
      <c r="CH553" s="243"/>
      <c r="CI553" s="243"/>
      <c r="CJ553" s="243"/>
      <c r="CK553" s="243"/>
      <c r="CL553" s="243"/>
      <c r="CM553" s="243"/>
      <c r="CN553" s="243"/>
      <c r="CO553" s="243"/>
      <c r="CP553" s="243"/>
      <c r="CQ553" s="243"/>
      <c r="CR553" s="243"/>
      <c r="CS553" s="243"/>
      <c r="CT553" s="243"/>
      <c r="CU553" s="243"/>
      <c r="CV553" s="243"/>
      <c r="CW553" s="243"/>
      <c r="CX553" s="243"/>
      <c r="CY553" s="243"/>
      <c r="CZ553" s="243"/>
      <c r="DA553" s="243"/>
      <c r="DB553" s="243"/>
      <c r="DC553" s="243"/>
      <c r="DD553" s="243"/>
      <c r="DE553" s="243"/>
      <c r="DF553" s="243"/>
      <c r="DG553" s="243"/>
      <c r="DH553" s="243"/>
      <c r="DI553" s="243"/>
      <c r="DJ553" s="243"/>
      <c r="DK553" s="243"/>
      <c r="DL553" s="243"/>
      <c r="DM553" s="243"/>
      <c r="DN553" s="243"/>
      <c r="DO553" s="243"/>
      <c r="DP553" s="243"/>
      <c r="DQ553" s="243"/>
      <c r="DR553" s="243"/>
      <c r="DS553" s="243"/>
      <c r="DT553" s="243"/>
      <c r="DU553" s="243"/>
      <c r="DV553" s="243"/>
      <c r="DW553" s="243"/>
      <c r="DX553" s="243"/>
      <c r="DY553" s="243"/>
      <c r="DZ553" s="243"/>
      <c r="EA553" s="243"/>
      <c r="EB553" s="243"/>
      <c r="EC553" s="243"/>
      <c r="ED553" s="243"/>
      <c r="EE553" s="243"/>
      <c r="EF553" s="243"/>
      <c r="EG553" s="243"/>
      <c r="EH553" s="243"/>
      <c r="EI553" s="243"/>
      <c r="EJ553" s="243"/>
      <c r="EK553" s="243"/>
      <c r="EL553" s="243"/>
      <c r="EM553" s="243"/>
      <c r="EN553" s="243"/>
      <c r="EO553" s="243"/>
      <c r="EP553" s="243"/>
      <c r="EQ553" s="243"/>
      <c r="ER553" s="243"/>
      <c r="ES553" s="243"/>
      <c r="ET553" s="243"/>
      <c r="EU553" s="243"/>
      <c r="EV553" s="243"/>
      <c r="EW553" s="243"/>
      <c r="EX553" s="243"/>
      <c r="EY553" s="243"/>
      <c r="EZ553" s="243"/>
      <c r="FA553" s="243"/>
      <c r="FB553" s="243"/>
      <c r="FC553" s="243"/>
      <c r="FD553" s="243"/>
      <c r="FE553" s="243"/>
      <c r="FF553" s="243"/>
      <c r="FG553" s="243"/>
      <c r="FH553" s="243"/>
      <c r="FI553" s="243"/>
      <c r="FJ553" s="243"/>
      <c r="FK553" s="243"/>
      <c r="FL553" s="243"/>
      <c r="FM553" s="243"/>
      <c r="FN553" s="243"/>
      <c r="FO553" s="243"/>
      <c r="FP553" s="243"/>
      <c r="FQ553" s="243"/>
      <c r="FR553" s="243"/>
      <c r="FS553" s="243"/>
      <c r="FT553" s="243"/>
      <c r="FU553" s="243"/>
      <c r="FV553" s="243"/>
      <c r="FW553" s="243"/>
      <c r="FX553" s="243"/>
      <c r="FY553" s="243"/>
      <c r="FZ553" s="243"/>
      <c r="GA553" s="243"/>
      <c r="GB553" s="243"/>
      <c r="GC553" s="243"/>
      <c r="GD553" s="243"/>
      <c r="GE553" s="243"/>
      <c r="GF553" s="243"/>
      <c r="GG553" s="243"/>
      <c r="GH553" s="243"/>
      <c r="GI553" s="243"/>
      <c r="GJ553" s="243"/>
      <c r="GK553" s="243"/>
      <c r="GL553" s="243"/>
      <c r="GM553" s="243"/>
      <c r="GN553" s="243"/>
      <c r="GO553" s="243"/>
      <c r="GP553" s="243"/>
      <c r="GQ553" s="243"/>
      <c r="GR553" s="243"/>
      <c r="GS553" s="243"/>
      <c r="GT553" s="243"/>
      <c r="GU553" s="243"/>
      <c r="GV553" s="243"/>
      <c r="GW553" s="243"/>
      <c r="GX553" s="243"/>
      <c r="GY553" s="243"/>
      <c r="GZ553" s="243"/>
      <c r="HA553" s="243"/>
      <c r="HB553" s="243"/>
      <c r="HC553" s="243"/>
      <c r="HD553" s="243"/>
      <c r="HE553" s="243"/>
      <c r="HF553" s="243"/>
      <c r="HG553" s="243"/>
      <c r="HH553" s="243"/>
      <c r="HI553" s="243"/>
      <c r="HJ553" s="243"/>
      <c r="HK553" s="243"/>
      <c r="HL553" s="243"/>
      <c r="HM553" s="243"/>
      <c r="HN553" s="243"/>
      <c r="HO553" s="243"/>
      <c r="HP553" s="243"/>
      <c r="HQ553" s="243"/>
      <c r="HR553" s="243"/>
      <c r="HS553" s="243"/>
      <c r="HT553" s="243"/>
      <c r="HU553" s="243"/>
      <c r="HV553" s="243"/>
      <c r="HW553" s="243"/>
      <c r="HX553" s="243"/>
      <c r="HY553" s="243"/>
      <c r="HZ553" s="243"/>
      <c r="IA553" s="243"/>
      <c r="IB553" s="243"/>
      <c r="IC553" s="243"/>
      <c r="ID553" s="243"/>
      <c r="IE553" s="243"/>
      <c r="IF553" s="243"/>
      <c r="IG553" s="243"/>
      <c r="IH553" s="243"/>
      <c r="II553" s="243"/>
      <c r="IJ553" s="243"/>
      <c r="IK553" s="243"/>
      <c r="IL553" s="243"/>
      <c r="IM553" s="243"/>
      <c r="IN553" s="243"/>
      <c r="IO553" s="243"/>
      <c r="IP553" s="243"/>
      <c r="IQ553" s="243"/>
      <c r="IR553" s="243"/>
      <c r="IS553" s="243"/>
      <c r="IT553" s="243"/>
      <c r="IU553" s="243"/>
      <c r="IV553" s="243"/>
      <c r="IW553" s="243"/>
      <c r="IX553" s="243"/>
      <c r="IY553" s="243"/>
      <c r="IZ553" s="243"/>
      <c r="JA553" s="243"/>
      <c r="JB553" s="243"/>
      <c r="JC553" s="243"/>
      <c r="JD553" s="243"/>
      <c r="JE553" s="243"/>
      <c r="JF553" s="243"/>
      <c r="JG553" s="243"/>
      <c r="JH553" s="243"/>
      <c r="JI553" s="243"/>
      <c r="JJ553" s="243"/>
      <c r="JK553" s="243"/>
      <c r="JL553" s="243"/>
      <c r="JM553" s="243"/>
      <c r="JN553" s="243"/>
      <c r="JO553" s="243"/>
      <c r="JP553" s="243"/>
      <c r="JQ553" s="243"/>
      <c r="JR553" s="243"/>
      <c r="JS553" s="243"/>
      <c r="JT553" s="243"/>
      <c r="JU553" s="243"/>
      <c r="JV553" s="243"/>
      <c r="JW553" s="243"/>
      <c r="JX553" s="243"/>
      <c r="JY553" s="243"/>
      <c r="JZ553" s="243"/>
      <c r="KA553" s="243"/>
      <c r="KB553" s="243"/>
      <c r="KC553" s="243"/>
      <c r="KD553" s="243"/>
      <c r="KE553" s="243"/>
      <c r="KF553" s="243"/>
      <c r="KG553" s="243"/>
      <c r="KH553" s="243"/>
      <c r="KI553" s="243"/>
      <c r="KJ553" s="243"/>
      <c r="KK553" s="243"/>
      <c r="KL553" s="243"/>
      <c r="KM553" s="243"/>
      <c r="KN553" s="243"/>
      <c r="KO553" s="243"/>
      <c r="KP553" s="243"/>
      <c r="KQ553" s="243"/>
      <c r="KR553" s="243"/>
      <c r="KS553" s="243"/>
      <c r="KT553" s="243"/>
      <c r="KU553" s="243"/>
      <c r="KV553" s="243"/>
      <c r="KW553" s="243"/>
      <c r="KX553" s="243"/>
      <c r="KY553" s="243"/>
      <c r="KZ553" s="243"/>
      <c r="LA553" s="243"/>
      <c r="LB553" s="243"/>
      <c r="LC553" s="243"/>
      <c r="LD553" s="243"/>
      <c r="LE553" s="243"/>
      <c r="LF553" s="243"/>
      <c r="LG553" s="243"/>
      <c r="LH553" s="243"/>
      <c r="LI553" s="243"/>
      <c r="LJ553" s="243"/>
      <c r="LK553" s="243"/>
      <c r="LL553" s="243"/>
      <c r="LM553" s="243"/>
      <c r="LN553" s="243"/>
      <c r="LO553" s="243"/>
      <c r="LP553" s="243"/>
      <c r="LQ553" s="243"/>
      <c r="LR553" s="243"/>
      <c r="LS553" s="243"/>
      <c r="LT553" s="243"/>
      <c r="LU553" s="243"/>
      <c r="LV553" s="243"/>
      <c r="LW553" s="243"/>
      <c r="LX553" s="243"/>
      <c r="LY553" s="243"/>
      <c r="LZ553" s="243"/>
      <c r="MA553" s="243"/>
      <c r="MB553" s="243"/>
      <c r="MC553" s="243"/>
      <c r="MD553" s="243"/>
      <c r="ME553" s="243"/>
      <c r="MF553" s="243"/>
      <c r="MG553" s="243"/>
      <c r="MH553" s="243"/>
      <c r="MI553" s="243"/>
      <c r="MJ553" s="243"/>
      <c r="MK553" s="243"/>
      <c r="ML553" s="243"/>
      <c r="MM553" s="243"/>
      <c r="MN553" s="243"/>
      <c r="MO553" s="243"/>
      <c r="MP553" s="243"/>
      <c r="MQ553" s="243"/>
      <c r="MR553" s="243"/>
      <c r="MS553" s="243"/>
      <c r="MT553" s="243"/>
      <c r="MU553" s="243"/>
      <c r="MV553" s="243"/>
      <c r="MW553" s="243"/>
      <c r="MX553" s="243"/>
      <c r="MY553" s="243"/>
      <c r="MZ553" s="243"/>
      <c r="NA553" s="243"/>
      <c r="NB553" s="243"/>
      <c r="NC553" s="243"/>
      <c r="ND553" s="243"/>
      <c r="NE553" s="243"/>
      <c r="NF553" s="243"/>
      <c r="NG553" s="243"/>
      <c r="NH553" s="243"/>
      <c r="NI553" s="243"/>
      <c r="NJ553" s="243"/>
      <c r="NK553" s="243"/>
      <c r="NL553" s="243"/>
      <c r="NM553" s="243"/>
      <c r="NN553" s="243"/>
      <c r="NO553" s="243"/>
      <c r="NP553" s="243"/>
      <c r="NQ553" s="243"/>
      <c r="NR553" s="243"/>
      <c r="NS553" s="243"/>
      <c r="NT553" s="243"/>
      <c r="NU553" s="243"/>
      <c r="NV553" s="243"/>
      <c r="NW553" s="243"/>
      <c r="NX553" s="243"/>
      <c r="NY553" s="243"/>
      <c r="NZ553" s="243"/>
      <c r="OA553" s="243"/>
      <c r="OB553" s="243"/>
      <c r="OC553" s="243"/>
      <c r="OD553" s="243"/>
      <c r="OE553" s="243"/>
      <c r="OF553" s="243"/>
      <c r="OG553" s="243"/>
      <c r="OH553" s="243"/>
      <c r="OI553" s="243"/>
      <c r="OJ553" s="243"/>
      <c r="OK553" s="243"/>
      <c r="OL553" s="243"/>
      <c r="OM553" s="243"/>
      <c r="ON553" s="243"/>
      <c r="OO553" s="243"/>
      <c r="OP553" s="243"/>
      <c r="OQ553" s="243"/>
      <c r="OR553" s="243"/>
      <c r="OS553" s="243"/>
      <c r="OT553" s="243"/>
      <c r="OU553" s="243"/>
      <c r="OV553" s="243"/>
      <c r="OW553" s="243"/>
      <c r="OX553" s="243"/>
      <c r="OY553" s="243"/>
      <c r="OZ553" s="243"/>
      <c r="PA553" s="243"/>
      <c r="PB553" s="243"/>
      <c r="PC553" s="243"/>
      <c r="PD553" s="243"/>
      <c r="PE553" s="243"/>
      <c r="PF553" s="243"/>
      <c r="PG553" s="243"/>
      <c r="PH553" s="243"/>
      <c r="PI553" s="243"/>
      <c r="PJ553" s="243"/>
      <c r="PK553" s="243"/>
      <c r="PL553" s="243"/>
      <c r="PM553" s="243"/>
      <c r="PN553" s="243"/>
      <c r="PO553" s="243"/>
      <c r="PP553" s="243"/>
      <c r="PQ553" s="243"/>
      <c r="PR553" s="243"/>
      <c r="PS553" s="243"/>
      <c r="PT553" s="243"/>
      <c r="PU553" s="243"/>
      <c r="PV553" s="243"/>
      <c r="PW553" s="243"/>
      <c r="PX553" s="243"/>
      <c r="PY553" s="243"/>
      <c r="PZ553" s="243"/>
      <c r="QA553" s="243"/>
      <c r="QB553" s="243"/>
      <c r="QC553" s="243"/>
      <c r="QD553" s="243"/>
      <c r="QE553" s="243"/>
      <c r="QF553" s="243"/>
      <c r="QG553" s="243"/>
      <c r="QH553" s="243"/>
      <c r="QI553" s="243"/>
      <c r="QJ553" s="243"/>
      <c r="QK553" s="243"/>
      <c r="QL553" s="243"/>
      <c r="QM553" s="243"/>
      <c r="QN553" s="243"/>
      <c r="QO553" s="243"/>
      <c r="QP553" s="243"/>
      <c r="QQ553" s="243"/>
      <c r="QR553" s="243"/>
      <c r="QS553" s="243"/>
      <c r="QT553" s="243"/>
      <c r="QU553" s="243"/>
      <c r="QV553" s="243"/>
      <c r="QW553" s="243"/>
      <c r="QX553" s="243"/>
      <c r="QY553" s="243"/>
      <c r="QZ553" s="243"/>
      <c r="RA553" s="243"/>
      <c r="RB553" s="243"/>
      <c r="RC553" s="243"/>
      <c r="RD553" s="243"/>
      <c r="RE553" s="243"/>
      <c r="RF553" s="243"/>
      <c r="RG553" s="243"/>
      <c r="RH553" s="243"/>
      <c r="RI553" s="243"/>
      <c r="RJ553" s="243"/>
      <c r="RK553" s="243"/>
      <c r="RL553" s="243"/>
      <c r="RM553" s="243"/>
      <c r="RN553" s="243"/>
      <c r="RO553" s="243"/>
      <c r="RP553" s="243"/>
      <c r="RQ553" s="243"/>
      <c r="RR553" s="243"/>
      <c r="RS553" s="243"/>
      <c r="RT553" s="243"/>
      <c r="RU553" s="243"/>
      <c r="RV553" s="243"/>
      <c r="RW553" s="243"/>
      <c r="RX553" s="243"/>
      <c r="RY553" s="243"/>
      <c r="RZ553" s="243"/>
      <c r="SA553" s="243"/>
      <c r="SB553" s="243"/>
      <c r="SC553" s="243"/>
      <c r="SD553" s="243"/>
      <c r="SE553" s="243"/>
      <c r="SF553" s="243"/>
      <c r="SG553" s="243"/>
      <c r="SH553" s="243"/>
      <c r="SI553" s="243"/>
      <c r="SJ553" s="243"/>
      <c r="SK553" s="243"/>
      <c r="SL553" s="243"/>
      <c r="SM553" s="243"/>
      <c r="SN553" s="243"/>
      <c r="SO553" s="243"/>
      <c r="SP553" s="243"/>
      <c r="SQ553" s="243"/>
      <c r="SR553" s="243"/>
      <c r="SS553" s="243"/>
      <c r="ST553" s="243"/>
      <c r="SU553" s="243"/>
      <c r="SV553" s="243"/>
      <c r="SW553" s="243"/>
      <c r="SX553" s="243"/>
      <c r="SY553" s="243"/>
      <c r="SZ553" s="243"/>
      <c r="TA553" s="243"/>
      <c r="TB553" s="243"/>
      <c r="TC553" s="243"/>
      <c r="TD553" s="243"/>
      <c r="TE553" s="243"/>
      <c r="TF553" s="243"/>
      <c r="TG553" s="243"/>
      <c r="TH553" s="243"/>
      <c r="TI553" s="243"/>
      <c r="TJ553" s="243"/>
      <c r="TK553" s="243"/>
      <c r="TL553" s="243"/>
      <c r="TM553" s="243"/>
      <c r="TN553" s="243"/>
      <c r="TO553" s="243"/>
      <c r="TP553" s="243"/>
      <c r="TQ553" s="243"/>
      <c r="TR553" s="243"/>
      <c r="TS553" s="243"/>
      <c r="TT553" s="243"/>
      <c r="TU553" s="243"/>
      <c r="TV553" s="243"/>
      <c r="TW553" s="243"/>
      <c r="TX553" s="243"/>
      <c r="TY553" s="243"/>
      <c r="TZ553" s="243"/>
      <c r="UA553" s="243"/>
      <c r="UB553" s="243"/>
      <c r="UC553" s="243"/>
      <c r="UD553" s="243"/>
      <c r="UE553" s="243"/>
      <c r="UF553" s="243"/>
      <c r="UG553" s="243"/>
      <c r="UH553" s="243"/>
      <c r="UI553" s="243"/>
      <c r="UJ553" s="243"/>
      <c r="UK553" s="243"/>
      <c r="UL553" s="243"/>
      <c r="UM553" s="243"/>
      <c r="UN553" s="243"/>
      <c r="UO553" s="243"/>
      <c r="UP553" s="243"/>
      <c r="UQ553" s="243"/>
      <c r="UR553" s="243"/>
      <c r="US553" s="243"/>
      <c r="UT553" s="243"/>
      <c r="UU553" s="243"/>
      <c r="UV553" s="243"/>
      <c r="UW553" s="243"/>
      <c r="UX553" s="243"/>
      <c r="UY553" s="243"/>
      <c r="UZ553" s="243"/>
      <c r="VA553" s="243"/>
      <c r="VB553" s="243"/>
      <c r="VC553" s="243"/>
      <c r="VD553" s="243"/>
      <c r="VE553" s="243"/>
      <c r="VF553" s="243"/>
      <c r="VG553" s="243"/>
      <c r="VH553" s="243"/>
      <c r="VI553" s="243"/>
      <c r="VJ553" s="243"/>
      <c r="VK553" s="243"/>
      <c r="VL553" s="243"/>
      <c r="VM553" s="243"/>
      <c r="VN553" s="243"/>
      <c r="VO553" s="243"/>
      <c r="VP553" s="243"/>
      <c r="VQ553" s="243"/>
      <c r="VR553" s="243"/>
      <c r="VS553" s="243"/>
      <c r="VT553" s="243"/>
      <c r="VU553" s="243"/>
      <c r="VV553" s="243"/>
      <c r="VW553" s="243"/>
      <c r="VX553" s="243"/>
      <c r="VY553" s="243"/>
      <c r="VZ553" s="243"/>
      <c r="WA553" s="243"/>
      <c r="WB553" s="243"/>
      <c r="WC553" s="243"/>
      <c r="WD553" s="243"/>
      <c r="WE553" s="243"/>
      <c r="WF553" s="243"/>
      <c r="WG553" s="243"/>
      <c r="WH553" s="243"/>
      <c r="WI553" s="243"/>
      <c r="WJ553" s="243"/>
      <c r="WK553" s="243"/>
      <c r="WL553" s="243"/>
      <c r="WM553" s="243"/>
      <c r="WN553" s="243"/>
      <c r="WO553" s="243"/>
      <c r="WP553" s="243"/>
      <c r="WQ553" s="243"/>
      <c r="WR553" s="243"/>
      <c r="WS553" s="243"/>
      <c r="WT553" s="243"/>
      <c r="WU553" s="243"/>
      <c r="WV553" s="243"/>
      <c r="WW553" s="243"/>
      <c r="WX553" s="243"/>
      <c r="WY553" s="243"/>
      <c r="WZ553" s="243"/>
      <c r="XA553" s="243"/>
      <c r="XB553" s="243"/>
      <c r="XC553" s="243"/>
      <c r="XD553" s="243"/>
      <c r="XE553" s="243"/>
      <c r="XF553" s="243"/>
      <c r="XG553" s="243"/>
      <c r="XH553" s="243"/>
      <c r="XI553" s="243"/>
      <c r="XJ553" s="243"/>
      <c r="XK553" s="243"/>
      <c r="XL553" s="243"/>
      <c r="XM553" s="243"/>
      <c r="XN553" s="243"/>
      <c r="XO553" s="243"/>
      <c r="XP553" s="243"/>
      <c r="XQ553" s="243"/>
      <c r="XR553" s="243"/>
      <c r="XS553" s="243"/>
      <c r="XT553" s="243"/>
      <c r="XU553" s="243"/>
      <c r="XV553" s="243"/>
      <c r="XW553" s="243"/>
      <c r="XX553" s="243"/>
      <c r="XY553" s="243"/>
      <c r="XZ553" s="243"/>
      <c r="YA553" s="243"/>
      <c r="YB553" s="243"/>
      <c r="YC553" s="243"/>
      <c r="YD553" s="243"/>
      <c r="YE553" s="243"/>
      <c r="YF553" s="243"/>
      <c r="YG553" s="243"/>
      <c r="YH553" s="243"/>
      <c r="YI553" s="243"/>
      <c r="YJ553" s="243"/>
      <c r="YK553" s="243"/>
      <c r="YL553" s="243"/>
      <c r="YM553" s="243"/>
      <c r="YN553" s="243"/>
      <c r="YO553" s="243"/>
      <c r="YP553" s="243"/>
      <c r="YQ553" s="243"/>
      <c r="YR553" s="243"/>
      <c r="YS553" s="243"/>
      <c r="YT553" s="243"/>
      <c r="YU553" s="243"/>
      <c r="YV553" s="243"/>
      <c r="YW553" s="243"/>
      <c r="YX553" s="243"/>
      <c r="YY553" s="243"/>
      <c r="YZ553" s="243"/>
      <c r="ZA553" s="243"/>
      <c r="ZB553" s="243"/>
      <c r="ZC553" s="243"/>
      <c r="ZD553" s="243"/>
      <c r="ZE553" s="243"/>
      <c r="ZF553" s="243"/>
      <c r="ZG553" s="243"/>
      <c r="ZH553" s="243"/>
      <c r="ZI553" s="243"/>
      <c r="ZJ553" s="243"/>
      <c r="ZK553" s="243"/>
      <c r="ZL553" s="243"/>
      <c r="ZM553" s="243"/>
      <c r="ZN553" s="243"/>
      <c r="ZO553" s="243"/>
      <c r="ZP553" s="243"/>
      <c r="ZQ553" s="243"/>
      <c r="ZR553" s="243"/>
      <c r="ZS553" s="243"/>
      <c r="ZT553" s="243"/>
      <c r="ZU553" s="243"/>
      <c r="ZV553" s="243"/>
      <c r="ZW553" s="243"/>
      <c r="ZX553" s="243"/>
      <c r="ZY553" s="243"/>
      <c r="ZZ553" s="243"/>
      <c r="AAA553" s="243"/>
      <c r="AAB553" s="243"/>
      <c r="AAC553" s="243"/>
      <c r="AAD553" s="243"/>
      <c r="AAE553" s="243"/>
      <c r="AAF553" s="243"/>
      <c r="AAG553" s="243"/>
      <c r="AAH553" s="243"/>
      <c r="AAI553" s="243"/>
      <c r="AAJ553" s="243"/>
      <c r="AAK553" s="243"/>
      <c r="AAL553" s="243"/>
      <c r="AAM553" s="243"/>
      <c r="AAN553" s="243"/>
      <c r="AAO553" s="243"/>
      <c r="AAP553" s="243"/>
      <c r="AAQ553" s="243"/>
      <c r="AAR553" s="243"/>
      <c r="AAS553" s="243"/>
      <c r="AAT553" s="243"/>
      <c r="AAU553" s="243"/>
      <c r="AAV553" s="243"/>
      <c r="AAW553" s="243"/>
      <c r="AAX553" s="243"/>
      <c r="AAY553" s="243"/>
      <c r="AAZ553" s="243"/>
      <c r="ABA553" s="243"/>
      <c r="ABB553" s="243"/>
      <c r="ABC553" s="243"/>
      <c r="ABD553" s="243"/>
      <c r="ABE553" s="243"/>
      <c r="ABF553" s="243"/>
      <c r="ABG553" s="243"/>
      <c r="ABH553" s="243"/>
      <c r="ABI553" s="243"/>
      <c r="ABJ553" s="243"/>
      <c r="ABK553" s="243"/>
      <c r="ABL553" s="243"/>
      <c r="ABM553" s="243"/>
      <c r="ABN553" s="243"/>
      <c r="ABO553" s="243"/>
      <c r="ABP553" s="243"/>
      <c r="ABQ553" s="243"/>
      <c r="ABR553" s="243"/>
      <c r="ABS553" s="243"/>
      <c r="ABT553" s="243"/>
      <c r="ABU553" s="243"/>
      <c r="ABV553" s="243"/>
      <c r="ABW553" s="243"/>
      <c r="ABX553" s="243"/>
      <c r="ABY553" s="243"/>
      <c r="ABZ553" s="243"/>
      <c r="ACA553" s="243"/>
      <c r="ACB553" s="243"/>
      <c r="ACC553" s="243"/>
      <c r="ACD553" s="243"/>
      <c r="ACE553" s="243"/>
      <c r="ACF553" s="243"/>
      <c r="ACG553" s="243"/>
      <c r="ACH553" s="243"/>
      <c r="ACI553" s="243"/>
      <c r="ACJ553" s="243"/>
      <c r="ACK553" s="243"/>
      <c r="ACL553" s="243"/>
      <c r="ACM553" s="243"/>
      <c r="ACN553" s="243"/>
      <c r="ACO553" s="243"/>
      <c r="ACP553" s="243"/>
      <c r="ACQ553" s="243"/>
      <c r="ACR553" s="243"/>
      <c r="ACS553" s="243"/>
      <c r="ACT553" s="243"/>
      <c r="ACU553" s="243"/>
      <c r="ACV553" s="243"/>
      <c r="ACW553" s="243"/>
      <c r="ACX553" s="243"/>
      <c r="ACY553" s="243"/>
      <c r="ACZ553" s="243"/>
      <c r="ADA553" s="243"/>
      <c r="ADB553" s="243"/>
      <c r="ADC553" s="243"/>
      <c r="ADD553" s="243"/>
      <c r="ADE553" s="243"/>
      <c r="ADF553" s="243"/>
      <c r="ADG553" s="243"/>
      <c r="ADH553" s="243"/>
      <c r="ADI553" s="243"/>
      <c r="ADJ553" s="243"/>
      <c r="ADK553" s="243"/>
      <c r="ADL553" s="243"/>
      <c r="ADM553" s="243"/>
      <c r="ADN553" s="243"/>
      <c r="ADO553" s="243"/>
      <c r="ADP553" s="243"/>
      <c r="ADQ553" s="243"/>
      <c r="ADR553" s="243"/>
      <c r="ADS553" s="243"/>
      <c r="ADT553" s="243"/>
      <c r="ADU553" s="243"/>
      <c r="ADV553" s="243"/>
      <c r="ADW553" s="243"/>
      <c r="ADX553" s="243"/>
      <c r="ADY553" s="243"/>
      <c r="ADZ553" s="243"/>
      <c r="AEA553" s="243"/>
      <c r="AEB553" s="243"/>
      <c r="AEC553" s="243"/>
      <c r="AED553" s="243"/>
      <c r="AEE553" s="243"/>
      <c r="AEF553" s="243"/>
      <c r="AEG553" s="243"/>
      <c r="AEH553" s="243"/>
      <c r="AEI553" s="243"/>
      <c r="AEJ553" s="243"/>
      <c r="AEK553" s="243"/>
      <c r="AEL553" s="243"/>
      <c r="AEM553" s="243"/>
      <c r="AEN553" s="243"/>
      <c r="AEO553" s="243"/>
      <c r="AEP553" s="243"/>
      <c r="AEQ553" s="243"/>
      <c r="AER553" s="243"/>
      <c r="AES553" s="243"/>
      <c r="AET553" s="243"/>
      <c r="AEU553" s="243"/>
      <c r="AEV553" s="243"/>
      <c r="AEW553" s="243"/>
      <c r="AEX553" s="243"/>
      <c r="AEY553" s="243"/>
      <c r="AEZ553" s="243"/>
      <c r="AFA553" s="243"/>
      <c r="AFB553" s="243"/>
      <c r="AFC553" s="243"/>
      <c r="AFD553" s="243"/>
      <c r="AFE553" s="243"/>
      <c r="AFF553" s="243"/>
      <c r="AFG553" s="243"/>
      <c r="AFH553" s="243"/>
      <c r="AFI553" s="243"/>
      <c r="AFJ553" s="243"/>
      <c r="AFK553" s="243"/>
      <c r="AFL553" s="243"/>
      <c r="AFM553" s="243"/>
      <c r="AFN553" s="243"/>
      <c r="AFO553" s="243"/>
      <c r="AFP553" s="243"/>
      <c r="AFQ553" s="243"/>
      <c r="AFR553" s="243"/>
      <c r="AFS553" s="243"/>
      <c r="AFT553" s="243"/>
      <c r="AFU553" s="243"/>
      <c r="AFV553" s="243"/>
      <c r="AFW553" s="243"/>
      <c r="AFX553" s="243"/>
      <c r="AFY553" s="243"/>
      <c r="AFZ553" s="243"/>
      <c r="AGA553" s="243"/>
      <c r="AGB553" s="243"/>
      <c r="AGC553" s="243"/>
      <c r="AGD553" s="243"/>
      <c r="AGE553" s="243"/>
      <c r="AGF553" s="243"/>
      <c r="AGG553" s="243"/>
      <c r="AGH553" s="243"/>
      <c r="AGI553" s="243"/>
      <c r="AGJ553" s="243"/>
      <c r="AGK553" s="243"/>
      <c r="AGL553" s="243"/>
      <c r="AGM553" s="243"/>
      <c r="AGN553" s="243"/>
      <c r="AGO553" s="243"/>
      <c r="AGP553" s="243"/>
      <c r="AGQ553" s="243"/>
      <c r="AGR553" s="243"/>
      <c r="AGS553" s="243"/>
      <c r="AGT553" s="243"/>
      <c r="AGU553" s="243"/>
      <c r="AGV553" s="243"/>
      <c r="AGW553" s="243"/>
      <c r="AGX553" s="243"/>
      <c r="AGY553" s="243"/>
      <c r="AGZ553" s="243"/>
      <c r="AHA553" s="243"/>
      <c r="AHB553" s="243"/>
      <c r="AHC553" s="243"/>
      <c r="AHD553" s="243"/>
      <c r="AHE553" s="243"/>
      <c r="AHF553" s="243"/>
      <c r="AHG553" s="243"/>
      <c r="AHH553" s="243"/>
      <c r="AHI553" s="243"/>
      <c r="AHJ553" s="243"/>
      <c r="AHK553" s="243"/>
      <c r="AHL553" s="243"/>
      <c r="AHM553" s="243"/>
      <c r="AHN553" s="243"/>
      <c r="AHO553" s="243"/>
      <c r="AHP553" s="243"/>
      <c r="AHQ553" s="243"/>
      <c r="AHR553" s="243"/>
      <c r="AHS553" s="243"/>
      <c r="AHT553" s="243"/>
      <c r="AHU553" s="243"/>
      <c r="AHV553" s="243"/>
      <c r="AHW553" s="243"/>
      <c r="AHX553" s="243"/>
      <c r="AHY553" s="243"/>
      <c r="AHZ553" s="243"/>
      <c r="AIA553" s="243"/>
      <c r="AIB553" s="243"/>
      <c r="AIC553" s="243"/>
      <c r="AID553" s="243"/>
      <c r="AIE553" s="243"/>
      <c r="AIF553" s="243"/>
      <c r="AIG553" s="243"/>
      <c r="AIH553" s="243"/>
      <c r="AII553" s="243"/>
      <c r="AIJ553" s="243"/>
      <c r="AIK553" s="243"/>
      <c r="AIL553" s="243"/>
      <c r="AIM553" s="243"/>
      <c r="AIN553" s="243"/>
      <c r="AIO553" s="243"/>
      <c r="AIP553" s="243"/>
      <c r="AIQ553" s="243"/>
      <c r="AIR553" s="243"/>
      <c r="AIS553" s="243"/>
      <c r="AIT553" s="243"/>
      <c r="AIU553" s="243"/>
      <c r="AIV553" s="243"/>
      <c r="AIW553" s="243"/>
      <c r="AIX553" s="243"/>
      <c r="AIY553" s="243"/>
      <c r="AIZ553" s="243"/>
      <c r="AJA553" s="243"/>
      <c r="AJB553" s="243"/>
      <c r="AJC553" s="243"/>
      <c r="AJD553" s="243"/>
      <c r="AJE553" s="243"/>
      <c r="AJF553" s="243"/>
      <c r="AJG553" s="243"/>
      <c r="AJH553" s="243"/>
      <c r="AJI553" s="243"/>
      <c r="AJJ553" s="243"/>
      <c r="AJK553" s="243"/>
      <c r="AJL553" s="243"/>
      <c r="AJM553" s="243"/>
      <c r="AJN553" s="243"/>
      <c r="AJO553" s="243"/>
      <c r="AJP553" s="243"/>
      <c r="AJQ553" s="243"/>
      <c r="AJR553" s="243"/>
      <c r="AJS553" s="243"/>
      <c r="AJT553" s="243"/>
      <c r="AJU553" s="243"/>
      <c r="AJV553" s="243"/>
      <c r="AJW553" s="243"/>
      <c r="AJX553" s="243"/>
      <c r="AJY553" s="243"/>
      <c r="AJZ553" s="243"/>
      <c r="AKA553" s="243"/>
      <c r="AKB553" s="243"/>
      <c r="AKC553" s="243"/>
      <c r="AKD553" s="243"/>
      <c r="AKE553" s="243"/>
      <c r="AKF553" s="243"/>
      <c r="AKG553" s="243"/>
      <c r="AKH553" s="243"/>
      <c r="AKI553" s="243"/>
      <c r="AKJ553" s="243"/>
      <c r="AKK553" s="243"/>
      <c r="AKL553" s="243"/>
      <c r="AKM553" s="243"/>
      <c r="AKN553" s="243"/>
      <c r="AKO553" s="243"/>
      <c r="AKP553" s="243"/>
      <c r="AKQ553" s="243"/>
      <c r="AKR553" s="243"/>
      <c r="AKS553" s="243"/>
      <c r="AKT553" s="243"/>
      <c r="AKU553" s="243"/>
      <c r="AKV553" s="243"/>
      <c r="AKW553" s="243"/>
      <c r="AKX553" s="243"/>
      <c r="AKY553" s="243"/>
      <c r="AKZ553" s="243"/>
      <c r="ALA553" s="243"/>
      <c r="ALB553" s="243"/>
      <c r="ALC553" s="243"/>
      <c r="ALD553" s="243"/>
      <c r="ALE553" s="243"/>
      <c r="ALF553" s="243"/>
      <c r="ALG553" s="243"/>
      <c r="ALH553" s="243"/>
      <c r="ALI553" s="243"/>
      <c r="ALJ553" s="243"/>
      <c r="ALK553" s="243"/>
      <c r="ALL553" s="243"/>
      <c r="ALM553" s="243"/>
      <c r="ALN553" s="243"/>
      <c r="ALO553" s="243"/>
      <c r="ALP553" s="243"/>
      <c r="ALQ553" s="243"/>
      <c r="ALR553" s="243"/>
      <c r="ALS553" s="243"/>
      <c r="ALT553" s="243"/>
      <c r="ALU553" s="243"/>
      <c r="ALV553" s="243"/>
      <c r="ALW553" s="243"/>
      <c r="ALX553" s="243"/>
      <c r="ALY553" s="243"/>
      <c r="ALZ553" s="243"/>
      <c r="AMA553" s="243"/>
      <c r="AMB553" s="243"/>
      <c r="AMC553" s="243"/>
      <c r="AMD553" s="243"/>
      <c r="AME553" s="243"/>
      <c r="AMF553" s="243"/>
      <c r="AMG553" s="243"/>
      <c r="AMH553" s="243"/>
      <c r="AMI553" s="243"/>
      <c r="AMJ553" s="243"/>
      <c r="AMK553" s="244"/>
    </row>
    <row r="554" spans="1:1025" s="988" customFormat="1"/>
    <row r="555" spans="1:1025" ht="18.75" hidden="1">
      <c r="A555" s="301"/>
      <c r="B555" s="974" t="s">
        <v>939</v>
      </c>
      <c r="C555" s="975"/>
      <c r="D555" s="975"/>
      <c r="E555" s="975"/>
      <c r="F555" s="975"/>
      <c r="G555" s="975"/>
      <c r="H555" s="975"/>
      <c r="I555" s="975"/>
      <c r="J555" s="975"/>
      <c r="K555" s="975"/>
      <c r="L555" s="975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  <c r="AH555" s="243"/>
      <c r="AI555" s="243"/>
      <c r="AJ555" s="243"/>
      <c r="AK555" s="243"/>
      <c r="AL555" s="243"/>
      <c r="AM555" s="243"/>
      <c r="AN555" s="243"/>
      <c r="AO555" s="243"/>
      <c r="AP555" s="243"/>
      <c r="AQ555" s="243"/>
      <c r="AR555" s="243"/>
      <c r="AS555" s="243"/>
      <c r="AT555" s="243"/>
      <c r="AU555" s="243"/>
      <c r="AV555" s="243"/>
      <c r="AW555" s="243"/>
      <c r="AX555" s="243"/>
      <c r="AY555" s="243"/>
      <c r="AZ555" s="243"/>
      <c r="BA555" s="243"/>
      <c r="BB555" s="243"/>
      <c r="BC555" s="243"/>
      <c r="BD555" s="243"/>
      <c r="BE555" s="243"/>
      <c r="BF555" s="243"/>
      <c r="BG555" s="243"/>
      <c r="BH555" s="243"/>
      <c r="BI555" s="243"/>
      <c r="BJ555" s="243"/>
      <c r="BK555" s="243"/>
      <c r="BL555" s="243"/>
      <c r="BM555" s="243"/>
      <c r="BN555" s="243"/>
      <c r="BO555" s="243"/>
      <c r="BP555" s="243"/>
      <c r="BQ555" s="243"/>
      <c r="BR555" s="243"/>
      <c r="BS555" s="243"/>
      <c r="BT555" s="243"/>
      <c r="BU555" s="243"/>
      <c r="BV555" s="243"/>
      <c r="BW555" s="243"/>
      <c r="BX555" s="243"/>
      <c r="BY555" s="243"/>
      <c r="BZ555" s="243"/>
      <c r="CA555" s="243"/>
      <c r="CB555" s="243"/>
      <c r="CC555" s="243"/>
      <c r="CD555" s="243"/>
      <c r="CE555" s="243"/>
      <c r="CF555" s="243"/>
      <c r="CG555" s="243"/>
      <c r="CH555" s="243"/>
      <c r="CI555" s="243"/>
      <c r="CJ555" s="243"/>
      <c r="CK555" s="243"/>
      <c r="CL555" s="243"/>
      <c r="CM555" s="243"/>
      <c r="CN555" s="243"/>
      <c r="CO555" s="243"/>
      <c r="CP555" s="243"/>
      <c r="CQ555" s="243"/>
      <c r="CR555" s="243"/>
      <c r="CS555" s="243"/>
      <c r="CT555" s="243"/>
      <c r="CU555" s="243"/>
      <c r="CV555" s="243"/>
      <c r="CW555" s="243"/>
      <c r="CX555" s="243"/>
      <c r="CY555" s="243"/>
      <c r="CZ555" s="243"/>
      <c r="DA555" s="243"/>
      <c r="DB555" s="243"/>
      <c r="DC555" s="243"/>
      <c r="DD555" s="243"/>
      <c r="DE555" s="243"/>
      <c r="DF555" s="243"/>
      <c r="DG555" s="243"/>
      <c r="DH555" s="243"/>
      <c r="DI555" s="243"/>
      <c r="DJ555" s="243"/>
      <c r="DK555" s="243"/>
      <c r="DL555" s="243"/>
      <c r="DM555" s="243"/>
      <c r="DN555" s="243"/>
      <c r="DO555" s="243"/>
      <c r="DP555" s="243"/>
      <c r="DQ555" s="243"/>
      <c r="DR555" s="243"/>
      <c r="DS555" s="243"/>
      <c r="DT555" s="243"/>
      <c r="DU555" s="243"/>
      <c r="DV555" s="243"/>
      <c r="DW555" s="243"/>
      <c r="DX555" s="243"/>
      <c r="DY555" s="243"/>
      <c r="DZ555" s="243"/>
      <c r="EA555" s="243"/>
      <c r="EB555" s="243"/>
      <c r="EC555" s="243"/>
      <c r="ED555" s="243"/>
      <c r="EE555" s="243"/>
      <c r="EF555" s="243"/>
      <c r="EG555" s="243"/>
      <c r="EH555" s="243"/>
      <c r="EI555" s="243"/>
      <c r="EJ555" s="243"/>
      <c r="EK555" s="243"/>
      <c r="EL555" s="243"/>
      <c r="EM555" s="243"/>
      <c r="EN555" s="243"/>
      <c r="EO555" s="243"/>
      <c r="EP555" s="243"/>
      <c r="EQ555" s="243"/>
      <c r="ER555" s="243"/>
      <c r="ES555" s="243"/>
      <c r="ET555" s="243"/>
      <c r="EU555" s="243"/>
      <c r="EV555" s="243"/>
      <c r="EW555" s="243"/>
      <c r="EX555" s="243"/>
      <c r="EY555" s="243"/>
      <c r="EZ555" s="243"/>
      <c r="FA555" s="243"/>
      <c r="FB555" s="243"/>
      <c r="FC555" s="243"/>
      <c r="FD555" s="243"/>
      <c r="FE555" s="243"/>
      <c r="FF555" s="243"/>
      <c r="FG555" s="243"/>
      <c r="FH555" s="243"/>
      <c r="FI555" s="243"/>
      <c r="FJ555" s="243"/>
      <c r="FK555" s="243"/>
      <c r="FL555" s="243"/>
      <c r="FM555" s="243"/>
      <c r="FN555" s="243"/>
      <c r="FO555" s="243"/>
      <c r="FP555" s="243"/>
      <c r="FQ555" s="243"/>
      <c r="FR555" s="243"/>
      <c r="FS555" s="243"/>
      <c r="FT555" s="243"/>
      <c r="FU555" s="243"/>
      <c r="FV555" s="243"/>
      <c r="FW555" s="243"/>
      <c r="FX555" s="243"/>
      <c r="FY555" s="243"/>
      <c r="FZ555" s="243"/>
      <c r="GA555" s="243"/>
      <c r="GB555" s="243"/>
      <c r="GC555" s="243"/>
      <c r="GD555" s="243"/>
      <c r="GE555" s="243"/>
      <c r="GF555" s="243"/>
      <c r="GG555" s="243"/>
      <c r="GH555" s="243"/>
      <c r="GI555" s="243"/>
      <c r="GJ555" s="243"/>
      <c r="GK555" s="243"/>
      <c r="GL555" s="243"/>
      <c r="GM555" s="243"/>
      <c r="GN555" s="243"/>
      <c r="GO555" s="243"/>
      <c r="GP555" s="243"/>
      <c r="GQ555" s="243"/>
      <c r="GR555" s="243"/>
      <c r="GS555" s="243"/>
      <c r="GT555" s="243"/>
      <c r="GU555" s="243"/>
      <c r="GV555" s="243"/>
      <c r="GW555" s="243"/>
      <c r="GX555" s="243"/>
      <c r="GY555" s="243"/>
      <c r="GZ555" s="243"/>
      <c r="HA555" s="243"/>
      <c r="HB555" s="243"/>
      <c r="HC555" s="243"/>
      <c r="HD555" s="243"/>
      <c r="HE555" s="243"/>
      <c r="HF555" s="243"/>
      <c r="HG555" s="243"/>
      <c r="HH555" s="243"/>
      <c r="HI555" s="243"/>
      <c r="HJ555" s="243"/>
      <c r="HK555" s="243"/>
      <c r="HL555" s="243"/>
      <c r="HM555" s="243"/>
      <c r="HN555" s="243"/>
      <c r="HO555" s="243"/>
      <c r="HP555" s="243"/>
      <c r="HQ555" s="243"/>
      <c r="HR555" s="243"/>
      <c r="HS555" s="243"/>
      <c r="HT555" s="243"/>
      <c r="HU555" s="243"/>
      <c r="HV555" s="243"/>
      <c r="HW555" s="243"/>
      <c r="HX555" s="243"/>
      <c r="HY555" s="243"/>
      <c r="HZ555" s="243"/>
      <c r="IA555" s="243"/>
      <c r="IB555" s="243"/>
      <c r="IC555" s="243"/>
      <c r="ID555" s="243"/>
      <c r="IE555" s="243"/>
      <c r="IF555" s="243"/>
      <c r="IG555" s="243"/>
      <c r="IH555" s="243"/>
      <c r="II555" s="243"/>
      <c r="IJ555" s="243"/>
      <c r="IK555" s="243"/>
      <c r="IL555" s="243"/>
      <c r="IM555" s="243"/>
      <c r="IN555" s="243"/>
      <c r="IO555" s="243"/>
      <c r="IP555" s="243"/>
      <c r="IQ555" s="243"/>
      <c r="IR555" s="243"/>
      <c r="IS555" s="243"/>
      <c r="IT555" s="243"/>
      <c r="IU555" s="243"/>
      <c r="IV555" s="243"/>
      <c r="IW555" s="243"/>
      <c r="IX555" s="243"/>
      <c r="IY555" s="243"/>
      <c r="IZ555" s="243"/>
      <c r="JA555" s="243"/>
      <c r="JB555" s="243"/>
      <c r="JC555" s="243"/>
      <c r="JD555" s="243"/>
      <c r="JE555" s="243"/>
      <c r="JF555" s="243"/>
      <c r="JG555" s="243"/>
      <c r="JH555" s="243"/>
      <c r="JI555" s="243"/>
      <c r="JJ555" s="243"/>
      <c r="JK555" s="243"/>
      <c r="JL555" s="243"/>
      <c r="JM555" s="243"/>
      <c r="JN555" s="243"/>
      <c r="JO555" s="243"/>
      <c r="JP555" s="243"/>
      <c r="JQ555" s="243"/>
      <c r="JR555" s="243"/>
      <c r="JS555" s="243"/>
      <c r="JT555" s="243"/>
      <c r="JU555" s="243"/>
      <c r="JV555" s="243"/>
      <c r="JW555" s="243"/>
      <c r="JX555" s="243"/>
      <c r="JY555" s="243"/>
      <c r="JZ555" s="243"/>
      <c r="KA555" s="243"/>
      <c r="KB555" s="243"/>
      <c r="KC555" s="243"/>
      <c r="KD555" s="243"/>
      <c r="KE555" s="243"/>
      <c r="KF555" s="243"/>
      <c r="KG555" s="243"/>
      <c r="KH555" s="243"/>
      <c r="KI555" s="243"/>
      <c r="KJ555" s="243"/>
      <c r="KK555" s="243"/>
      <c r="KL555" s="243"/>
      <c r="KM555" s="243"/>
      <c r="KN555" s="243"/>
      <c r="KO555" s="243"/>
      <c r="KP555" s="243"/>
      <c r="KQ555" s="243"/>
      <c r="KR555" s="243"/>
      <c r="KS555" s="243"/>
      <c r="KT555" s="243"/>
      <c r="KU555" s="243"/>
      <c r="KV555" s="243"/>
      <c r="KW555" s="243"/>
      <c r="KX555" s="243"/>
      <c r="KY555" s="243"/>
      <c r="KZ555" s="243"/>
      <c r="LA555" s="243"/>
      <c r="LB555" s="243"/>
      <c r="LC555" s="243"/>
      <c r="LD555" s="243"/>
      <c r="LE555" s="243"/>
      <c r="LF555" s="243"/>
      <c r="LG555" s="243"/>
      <c r="LH555" s="243"/>
      <c r="LI555" s="243"/>
      <c r="LJ555" s="243"/>
      <c r="LK555" s="243"/>
      <c r="LL555" s="243"/>
      <c r="LM555" s="243"/>
      <c r="LN555" s="243"/>
      <c r="LO555" s="243"/>
      <c r="LP555" s="243"/>
      <c r="LQ555" s="243"/>
      <c r="LR555" s="243"/>
      <c r="LS555" s="243"/>
      <c r="LT555" s="243"/>
      <c r="LU555" s="243"/>
      <c r="LV555" s="243"/>
      <c r="LW555" s="243"/>
      <c r="LX555" s="243"/>
      <c r="LY555" s="243"/>
      <c r="LZ555" s="243"/>
      <c r="MA555" s="243"/>
      <c r="MB555" s="243"/>
      <c r="MC555" s="243"/>
      <c r="MD555" s="243"/>
      <c r="ME555" s="243"/>
      <c r="MF555" s="243"/>
      <c r="MG555" s="243"/>
      <c r="MH555" s="243"/>
      <c r="MI555" s="243"/>
      <c r="MJ555" s="243"/>
      <c r="MK555" s="243"/>
      <c r="ML555" s="243"/>
      <c r="MM555" s="243"/>
      <c r="MN555" s="243"/>
      <c r="MO555" s="243"/>
      <c r="MP555" s="243"/>
      <c r="MQ555" s="243"/>
      <c r="MR555" s="243"/>
      <c r="MS555" s="243"/>
      <c r="MT555" s="243"/>
      <c r="MU555" s="243"/>
      <c r="MV555" s="243"/>
      <c r="MW555" s="243"/>
      <c r="MX555" s="243"/>
      <c r="MY555" s="243"/>
      <c r="MZ555" s="243"/>
      <c r="NA555" s="243"/>
      <c r="NB555" s="243"/>
      <c r="NC555" s="243"/>
      <c r="ND555" s="243"/>
      <c r="NE555" s="243"/>
      <c r="NF555" s="243"/>
      <c r="NG555" s="243"/>
      <c r="NH555" s="243"/>
      <c r="NI555" s="243"/>
      <c r="NJ555" s="243"/>
      <c r="NK555" s="243"/>
      <c r="NL555" s="243"/>
      <c r="NM555" s="243"/>
      <c r="NN555" s="243"/>
      <c r="NO555" s="243"/>
      <c r="NP555" s="243"/>
      <c r="NQ555" s="243"/>
      <c r="NR555" s="243"/>
      <c r="NS555" s="243"/>
      <c r="NT555" s="243"/>
      <c r="NU555" s="243"/>
      <c r="NV555" s="243"/>
      <c r="NW555" s="243"/>
      <c r="NX555" s="243"/>
      <c r="NY555" s="243"/>
      <c r="NZ555" s="243"/>
      <c r="OA555" s="243"/>
      <c r="OB555" s="243"/>
      <c r="OC555" s="243"/>
      <c r="OD555" s="243"/>
      <c r="OE555" s="243"/>
      <c r="OF555" s="243"/>
      <c r="OG555" s="243"/>
      <c r="OH555" s="243"/>
      <c r="OI555" s="243"/>
      <c r="OJ555" s="243"/>
      <c r="OK555" s="243"/>
      <c r="OL555" s="243"/>
      <c r="OM555" s="243"/>
      <c r="ON555" s="243"/>
      <c r="OO555" s="243"/>
      <c r="OP555" s="243"/>
      <c r="OQ555" s="243"/>
      <c r="OR555" s="243"/>
      <c r="OS555" s="243"/>
      <c r="OT555" s="243"/>
      <c r="OU555" s="243"/>
      <c r="OV555" s="243"/>
      <c r="OW555" s="243"/>
      <c r="OX555" s="243"/>
      <c r="OY555" s="243"/>
      <c r="OZ555" s="243"/>
      <c r="PA555" s="243"/>
      <c r="PB555" s="243"/>
      <c r="PC555" s="243"/>
      <c r="PD555" s="243"/>
      <c r="PE555" s="243"/>
      <c r="PF555" s="243"/>
      <c r="PG555" s="243"/>
      <c r="PH555" s="243"/>
      <c r="PI555" s="243"/>
      <c r="PJ555" s="243"/>
      <c r="PK555" s="243"/>
      <c r="PL555" s="243"/>
      <c r="PM555" s="243"/>
      <c r="PN555" s="243"/>
      <c r="PO555" s="243"/>
      <c r="PP555" s="243"/>
      <c r="PQ555" s="243"/>
      <c r="PR555" s="243"/>
      <c r="PS555" s="243"/>
      <c r="PT555" s="243"/>
      <c r="PU555" s="243"/>
      <c r="PV555" s="243"/>
      <c r="PW555" s="243"/>
      <c r="PX555" s="243"/>
      <c r="PY555" s="243"/>
      <c r="PZ555" s="243"/>
      <c r="QA555" s="243"/>
      <c r="QB555" s="243"/>
      <c r="QC555" s="243"/>
      <c r="QD555" s="243"/>
      <c r="QE555" s="243"/>
      <c r="QF555" s="243"/>
      <c r="QG555" s="243"/>
      <c r="QH555" s="243"/>
      <c r="QI555" s="243"/>
      <c r="QJ555" s="243"/>
      <c r="QK555" s="243"/>
      <c r="QL555" s="243"/>
      <c r="QM555" s="243"/>
      <c r="QN555" s="243"/>
      <c r="QO555" s="243"/>
      <c r="QP555" s="243"/>
      <c r="QQ555" s="243"/>
      <c r="QR555" s="243"/>
      <c r="QS555" s="243"/>
      <c r="QT555" s="243"/>
      <c r="QU555" s="243"/>
      <c r="QV555" s="243"/>
      <c r="QW555" s="243"/>
      <c r="QX555" s="243"/>
      <c r="QY555" s="243"/>
      <c r="QZ555" s="243"/>
      <c r="RA555" s="243"/>
      <c r="RB555" s="243"/>
      <c r="RC555" s="243"/>
      <c r="RD555" s="243"/>
      <c r="RE555" s="243"/>
      <c r="RF555" s="243"/>
      <c r="RG555" s="243"/>
      <c r="RH555" s="243"/>
      <c r="RI555" s="243"/>
      <c r="RJ555" s="243"/>
      <c r="RK555" s="243"/>
      <c r="RL555" s="243"/>
      <c r="RM555" s="243"/>
      <c r="RN555" s="243"/>
      <c r="RO555" s="243"/>
      <c r="RP555" s="243"/>
      <c r="RQ555" s="243"/>
      <c r="RR555" s="243"/>
      <c r="RS555" s="243"/>
      <c r="RT555" s="243"/>
      <c r="RU555" s="243"/>
      <c r="RV555" s="243"/>
      <c r="RW555" s="243"/>
      <c r="RX555" s="243"/>
      <c r="RY555" s="243"/>
      <c r="RZ555" s="243"/>
      <c r="SA555" s="243"/>
      <c r="SB555" s="243"/>
      <c r="SC555" s="243"/>
      <c r="SD555" s="243"/>
      <c r="SE555" s="243"/>
      <c r="SF555" s="243"/>
      <c r="SG555" s="243"/>
      <c r="SH555" s="243"/>
      <c r="SI555" s="243"/>
      <c r="SJ555" s="243"/>
      <c r="SK555" s="243"/>
      <c r="SL555" s="243"/>
      <c r="SM555" s="243"/>
      <c r="SN555" s="243"/>
      <c r="SO555" s="243"/>
      <c r="SP555" s="243"/>
      <c r="SQ555" s="243"/>
      <c r="SR555" s="243"/>
      <c r="SS555" s="243"/>
      <c r="ST555" s="243"/>
      <c r="SU555" s="243"/>
      <c r="SV555" s="243"/>
      <c r="SW555" s="243"/>
      <c r="SX555" s="243"/>
      <c r="SY555" s="243"/>
      <c r="SZ555" s="243"/>
      <c r="TA555" s="243"/>
      <c r="TB555" s="243"/>
      <c r="TC555" s="243"/>
      <c r="TD555" s="243"/>
      <c r="TE555" s="243"/>
      <c r="TF555" s="243"/>
      <c r="TG555" s="243"/>
      <c r="TH555" s="243"/>
      <c r="TI555" s="243"/>
      <c r="TJ555" s="243"/>
      <c r="TK555" s="243"/>
      <c r="TL555" s="243"/>
      <c r="TM555" s="243"/>
      <c r="TN555" s="243"/>
      <c r="TO555" s="243"/>
      <c r="TP555" s="243"/>
      <c r="TQ555" s="243"/>
      <c r="TR555" s="243"/>
      <c r="TS555" s="243"/>
      <c r="TT555" s="243"/>
      <c r="TU555" s="243"/>
      <c r="TV555" s="243"/>
      <c r="TW555" s="243"/>
      <c r="TX555" s="243"/>
      <c r="TY555" s="243"/>
      <c r="TZ555" s="243"/>
      <c r="UA555" s="243"/>
      <c r="UB555" s="243"/>
      <c r="UC555" s="243"/>
      <c r="UD555" s="243"/>
      <c r="UE555" s="243"/>
      <c r="UF555" s="243"/>
      <c r="UG555" s="243"/>
      <c r="UH555" s="243"/>
      <c r="UI555" s="243"/>
      <c r="UJ555" s="243"/>
      <c r="UK555" s="243"/>
      <c r="UL555" s="243"/>
      <c r="UM555" s="243"/>
      <c r="UN555" s="243"/>
      <c r="UO555" s="243"/>
      <c r="UP555" s="243"/>
      <c r="UQ555" s="243"/>
      <c r="UR555" s="243"/>
      <c r="US555" s="243"/>
      <c r="UT555" s="243"/>
      <c r="UU555" s="243"/>
      <c r="UV555" s="243"/>
      <c r="UW555" s="243"/>
      <c r="UX555" s="243"/>
      <c r="UY555" s="243"/>
      <c r="UZ555" s="243"/>
      <c r="VA555" s="243"/>
      <c r="VB555" s="243"/>
      <c r="VC555" s="243"/>
      <c r="VD555" s="243"/>
      <c r="VE555" s="243"/>
      <c r="VF555" s="243"/>
      <c r="VG555" s="243"/>
      <c r="VH555" s="243"/>
      <c r="VI555" s="243"/>
      <c r="VJ555" s="243"/>
      <c r="VK555" s="243"/>
      <c r="VL555" s="243"/>
      <c r="VM555" s="243"/>
      <c r="VN555" s="243"/>
      <c r="VO555" s="243"/>
      <c r="VP555" s="243"/>
      <c r="VQ555" s="243"/>
      <c r="VR555" s="243"/>
      <c r="VS555" s="243"/>
      <c r="VT555" s="243"/>
      <c r="VU555" s="243"/>
      <c r="VV555" s="243"/>
      <c r="VW555" s="243"/>
      <c r="VX555" s="243"/>
      <c r="VY555" s="243"/>
      <c r="VZ555" s="243"/>
      <c r="WA555" s="243"/>
      <c r="WB555" s="243"/>
      <c r="WC555" s="243"/>
      <c r="WD555" s="243"/>
      <c r="WE555" s="243"/>
      <c r="WF555" s="243"/>
      <c r="WG555" s="243"/>
      <c r="WH555" s="243"/>
      <c r="WI555" s="243"/>
      <c r="WJ555" s="243"/>
      <c r="WK555" s="243"/>
      <c r="WL555" s="243"/>
      <c r="WM555" s="243"/>
      <c r="WN555" s="243"/>
      <c r="WO555" s="243"/>
      <c r="WP555" s="243"/>
      <c r="WQ555" s="243"/>
      <c r="WR555" s="243"/>
      <c r="WS555" s="243"/>
      <c r="WT555" s="243"/>
      <c r="WU555" s="243"/>
      <c r="WV555" s="243"/>
      <c r="WW555" s="243"/>
      <c r="WX555" s="243"/>
      <c r="WY555" s="243"/>
      <c r="WZ555" s="243"/>
      <c r="XA555" s="243"/>
      <c r="XB555" s="243"/>
      <c r="XC555" s="243"/>
      <c r="XD555" s="243"/>
      <c r="XE555" s="243"/>
      <c r="XF555" s="243"/>
      <c r="XG555" s="243"/>
      <c r="XH555" s="243"/>
      <c r="XI555" s="243"/>
      <c r="XJ555" s="243"/>
      <c r="XK555" s="243"/>
      <c r="XL555" s="243"/>
      <c r="XM555" s="243"/>
      <c r="XN555" s="243"/>
      <c r="XO555" s="243"/>
      <c r="XP555" s="243"/>
      <c r="XQ555" s="243"/>
      <c r="XR555" s="243"/>
      <c r="XS555" s="243"/>
      <c r="XT555" s="243"/>
      <c r="XU555" s="243"/>
      <c r="XV555" s="243"/>
      <c r="XW555" s="243"/>
      <c r="XX555" s="243"/>
      <c r="XY555" s="243"/>
      <c r="XZ555" s="243"/>
      <c r="YA555" s="243"/>
      <c r="YB555" s="243"/>
      <c r="YC555" s="243"/>
      <c r="YD555" s="243"/>
      <c r="YE555" s="243"/>
      <c r="YF555" s="243"/>
      <c r="YG555" s="243"/>
      <c r="YH555" s="243"/>
      <c r="YI555" s="243"/>
      <c r="YJ555" s="243"/>
      <c r="YK555" s="243"/>
      <c r="YL555" s="243"/>
      <c r="YM555" s="243"/>
      <c r="YN555" s="243"/>
      <c r="YO555" s="243"/>
      <c r="YP555" s="243"/>
      <c r="YQ555" s="243"/>
      <c r="YR555" s="243"/>
      <c r="YS555" s="243"/>
      <c r="YT555" s="243"/>
      <c r="YU555" s="243"/>
      <c r="YV555" s="243"/>
      <c r="YW555" s="243"/>
      <c r="YX555" s="243"/>
      <c r="YY555" s="243"/>
      <c r="YZ555" s="243"/>
      <c r="ZA555" s="243"/>
      <c r="ZB555" s="243"/>
      <c r="ZC555" s="243"/>
      <c r="ZD555" s="243"/>
      <c r="ZE555" s="243"/>
      <c r="ZF555" s="243"/>
      <c r="ZG555" s="243"/>
      <c r="ZH555" s="243"/>
      <c r="ZI555" s="243"/>
      <c r="ZJ555" s="243"/>
      <c r="ZK555" s="243"/>
      <c r="ZL555" s="243"/>
      <c r="ZM555" s="243"/>
      <c r="ZN555" s="243"/>
      <c r="ZO555" s="243"/>
      <c r="ZP555" s="243"/>
      <c r="ZQ555" s="243"/>
      <c r="ZR555" s="243"/>
      <c r="ZS555" s="243"/>
      <c r="ZT555" s="243"/>
      <c r="ZU555" s="243"/>
      <c r="ZV555" s="243"/>
      <c r="ZW555" s="243"/>
      <c r="ZX555" s="243"/>
      <c r="ZY555" s="243"/>
      <c r="ZZ555" s="243"/>
      <c r="AAA555" s="243"/>
      <c r="AAB555" s="243"/>
      <c r="AAC555" s="243"/>
      <c r="AAD555" s="243"/>
      <c r="AAE555" s="243"/>
      <c r="AAF555" s="243"/>
      <c r="AAG555" s="243"/>
      <c r="AAH555" s="243"/>
      <c r="AAI555" s="243"/>
      <c r="AAJ555" s="243"/>
      <c r="AAK555" s="243"/>
      <c r="AAL555" s="243"/>
      <c r="AAM555" s="243"/>
      <c r="AAN555" s="243"/>
      <c r="AAO555" s="243"/>
      <c r="AAP555" s="243"/>
      <c r="AAQ555" s="243"/>
      <c r="AAR555" s="243"/>
      <c r="AAS555" s="243"/>
      <c r="AAT555" s="243"/>
      <c r="AAU555" s="243"/>
      <c r="AAV555" s="243"/>
      <c r="AAW555" s="243"/>
      <c r="AAX555" s="243"/>
      <c r="AAY555" s="243"/>
      <c r="AAZ555" s="243"/>
      <c r="ABA555" s="243"/>
      <c r="ABB555" s="243"/>
      <c r="ABC555" s="243"/>
      <c r="ABD555" s="243"/>
      <c r="ABE555" s="243"/>
      <c r="ABF555" s="243"/>
      <c r="ABG555" s="243"/>
      <c r="ABH555" s="243"/>
      <c r="ABI555" s="243"/>
      <c r="ABJ555" s="243"/>
      <c r="ABK555" s="243"/>
      <c r="ABL555" s="243"/>
      <c r="ABM555" s="243"/>
      <c r="ABN555" s="243"/>
      <c r="ABO555" s="243"/>
      <c r="ABP555" s="243"/>
      <c r="ABQ555" s="243"/>
      <c r="ABR555" s="243"/>
      <c r="ABS555" s="243"/>
      <c r="ABT555" s="243"/>
      <c r="ABU555" s="243"/>
      <c r="ABV555" s="243"/>
      <c r="ABW555" s="243"/>
      <c r="ABX555" s="243"/>
      <c r="ABY555" s="243"/>
      <c r="ABZ555" s="243"/>
      <c r="ACA555" s="243"/>
      <c r="ACB555" s="243"/>
      <c r="ACC555" s="243"/>
      <c r="ACD555" s="243"/>
      <c r="ACE555" s="243"/>
      <c r="ACF555" s="243"/>
      <c r="ACG555" s="243"/>
      <c r="ACH555" s="243"/>
      <c r="ACI555" s="243"/>
      <c r="ACJ555" s="243"/>
      <c r="ACK555" s="243"/>
      <c r="ACL555" s="243"/>
      <c r="ACM555" s="243"/>
      <c r="ACN555" s="243"/>
      <c r="ACO555" s="243"/>
      <c r="ACP555" s="243"/>
      <c r="ACQ555" s="243"/>
      <c r="ACR555" s="243"/>
      <c r="ACS555" s="243"/>
      <c r="ACT555" s="243"/>
      <c r="ACU555" s="243"/>
      <c r="ACV555" s="243"/>
      <c r="ACW555" s="243"/>
      <c r="ACX555" s="243"/>
      <c r="ACY555" s="243"/>
      <c r="ACZ555" s="243"/>
      <c r="ADA555" s="243"/>
      <c r="ADB555" s="243"/>
      <c r="ADC555" s="243"/>
      <c r="ADD555" s="243"/>
      <c r="ADE555" s="243"/>
      <c r="ADF555" s="243"/>
      <c r="ADG555" s="243"/>
      <c r="ADH555" s="243"/>
      <c r="ADI555" s="243"/>
      <c r="ADJ555" s="243"/>
      <c r="ADK555" s="243"/>
      <c r="ADL555" s="243"/>
      <c r="ADM555" s="243"/>
      <c r="ADN555" s="243"/>
      <c r="ADO555" s="243"/>
      <c r="ADP555" s="243"/>
      <c r="ADQ555" s="243"/>
      <c r="ADR555" s="243"/>
      <c r="ADS555" s="243"/>
      <c r="ADT555" s="243"/>
      <c r="ADU555" s="243"/>
      <c r="ADV555" s="243"/>
      <c r="ADW555" s="243"/>
      <c r="ADX555" s="243"/>
      <c r="ADY555" s="243"/>
      <c r="ADZ555" s="243"/>
      <c r="AEA555" s="243"/>
      <c r="AEB555" s="243"/>
      <c r="AEC555" s="243"/>
      <c r="AED555" s="243"/>
      <c r="AEE555" s="243"/>
      <c r="AEF555" s="243"/>
      <c r="AEG555" s="243"/>
      <c r="AEH555" s="243"/>
      <c r="AEI555" s="243"/>
      <c r="AEJ555" s="243"/>
      <c r="AEK555" s="243"/>
      <c r="AEL555" s="243"/>
      <c r="AEM555" s="243"/>
      <c r="AEN555" s="243"/>
      <c r="AEO555" s="243"/>
      <c r="AEP555" s="243"/>
      <c r="AEQ555" s="243"/>
      <c r="AER555" s="243"/>
      <c r="AES555" s="243"/>
      <c r="AET555" s="243"/>
      <c r="AEU555" s="243"/>
      <c r="AEV555" s="243"/>
      <c r="AEW555" s="243"/>
      <c r="AEX555" s="243"/>
      <c r="AEY555" s="243"/>
      <c r="AEZ555" s="243"/>
      <c r="AFA555" s="243"/>
      <c r="AFB555" s="243"/>
      <c r="AFC555" s="243"/>
      <c r="AFD555" s="243"/>
      <c r="AFE555" s="243"/>
      <c r="AFF555" s="243"/>
      <c r="AFG555" s="243"/>
      <c r="AFH555" s="243"/>
      <c r="AFI555" s="243"/>
      <c r="AFJ555" s="243"/>
      <c r="AFK555" s="243"/>
      <c r="AFL555" s="243"/>
      <c r="AFM555" s="243"/>
      <c r="AFN555" s="243"/>
      <c r="AFO555" s="243"/>
      <c r="AFP555" s="243"/>
      <c r="AFQ555" s="243"/>
      <c r="AFR555" s="243"/>
      <c r="AFS555" s="243"/>
      <c r="AFT555" s="243"/>
      <c r="AFU555" s="243"/>
      <c r="AFV555" s="243"/>
      <c r="AFW555" s="243"/>
      <c r="AFX555" s="243"/>
      <c r="AFY555" s="243"/>
      <c r="AFZ555" s="243"/>
      <c r="AGA555" s="243"/>
      <c r="AGB555" s="243"/>
      <c r="AGC555" s="243"/>
      <c r="AGD555" s="243"/>
      <c r="AGE555" s="243"/>
      <c r="AGF555" s="243"/>
      <c r="AGG555" s="243"/>
      <c r="AGH555" s="243"/>
      <c r="AGI555" s="243"/>
      <c r="AGJ555" s="243"/>
      <c r="AGK555" s="243"/>
      <c r="AGL555" s="243"/>
      <c r="AGM555" s="243"/>
      <c r="AGN555" s="243"/>
      <c r="AGO555" s="243"/>
      <c r="AGP555" s="243"/>
      <c r="AGQ555" s="243"/>
      <c r="AGR555" s="243"/>
      <c r="AGS555" s="243"/>
      <c r="AGT555" s="243"/>
      <c r="AGU555" s="243"/>
      <c r="AGV555" s="243"/>
      <c r="AGW555" s="243"/>
      <c r="AGX555" s="243"/>
      <c r="AGY555" s="243"/>
      <c r="AGZ555" s="243"/>
      <c r="AHA555" s="243"/>
      <c r="AHB555" s="243"/>
      <c r="AHC555" s="243"/>
      <c r="AHD555" s="243"/>
      <c r="AHE555" s="243"/>
      <c r="AHF555" s="243"/>
      <c r="AHG555" s="243"/>
      <c r="AHH555" s="243"/>
      <c r="AHI555" s="243"/>
      <c r="AHJ555" s="243"/>
      <c r="AHK555" s="243"/>
      <c r="AHL555" s="243"/>
      <c r="AHM555" s="243"/>
      <c r="AHN555" s="243"/>
      <c r="AHO555" s="243"/>
      <c r="AHP555" s="243"/>
      <c r="AHQ555" s="243"/>
      <c r="AHR555" s="243"/>
      <c r="AHS555" s="243"/>
      <c r="AHT555" s="243"/>
      <c r="AHU555" s="243"/>
      <c r="AHV555" s="243"/>
      <c r="AHW555" s="243"/>
      <c r="AHX555" s="243"/>
      <c r="AHY555" s="243"/>
      <c r="AHZ555" s="243"/>
      <c r="AIA555" s="243"/>
      <c r="AIB555" s="243"/>
      <c r="AIC555" s="243"/>
      <c r="AID555" s="243"/>
      <c r="AIE555" s="243"/>
      <c r="AIF555" s="243"/>
      <c r="AIG555" s="243"/>
      <c r="AIH555" s="243"/>
      <c r="AII555" s="243"/>
      <c r="AIJ555" s="243"/>
      <c r="AIK555" s="243"/>
      <c r="AIL555" s="243"/>
      <c r="AIM555" s="243"/>
      <c r="AIN555" s="243"/>
      <c r="AIO555" s="243"/>
      <c r="AIP555" s="243"/>
      <c r="AIQ555" s="243"/>
      <c r="AIR555" s="243"/>
      <c r="AIS555" s="243"/>
      <c r="AIT555" s="243"/>
      <c r="AIU555" s="243"/>
      <c r="AIV555" s="243"/>
      <c r="AIW555" s="243"/>
      <c r="AIX555" s="243"/>
      <c r="AIY555" s="243"/>
      <c r="AIZ555" s="243"/>
      <c r="AJA555" s="243"/>
      <c r="AJB555" s="243"/>
      <c r="AJC555" s="243"/>
      <c r="AJD555" s="243"/>
      <c r="AJE555" s="243"/>
      <c r="AJF555" s="243"/>
      <c r="AJG555" s="243"/>
      <c r="AJH555" s="243"/>
      <c r="AJI555" s="243"/>
      <c r="AJJ555" s="243"/>
      <c r="AJK555" s="243"/>
      <c r="AJL555" s="243"/>
      <c r="AJM555" s="243"/>
      <c r="AJN555" s="243"/>
      <c r="AJO555" s="243"/>
      <c r="AJP555" s="243"/>
      <c r="AJQ555" s="243"/>
      <c r="AJR555" s="243"/>
      <c r="AJS555" s="243"/>
      <c r="AJT555" s="243"/>
      <c r="AJU555" s="243"/>
      <c r="AJV555" s="243"/>
      <c r="AJW555" s="243"/>
      <c r="AJX555" s="243"/>
      <c r="AJY555" s="243"/>
      <c r="AJZ555" s="243"/>
      <c r="AKA555" s="243"/>
      <c r="AKB555" s="243"/>
      <c r="AKC555" s="243"/>
      <c r="AKD555" s="243"/>
      <c r="AKE555" s="243"/>
      <c r="AKF555" s="243"/>
      <c r="AKG555" s="243"/>
      <c r="AKH555" s="243"/>
      <c r="AKI555" s="243"/>
      <c r="AKJ555" s="243"/>
      <c r="AKK555" s="243"/>
      <c r="AKL555" s="243"/>
      <c r="AKM555" s="243"/>
      <c r="AKN555" s="243"/>
      <c r="AKO555" s="243"/>
      <c r="AKP555" s="243"/>
      <c r="AKQ555" s="243"/>
      <c r="AKR555" s="243"/>
      <c r="AKS555" s="243"/>
      <c r="AKT555" s="243"/>
      <c r="AKU555" s="243"/>
      <c r="AKV555" s="243"/>
      <c r="AKW555" s="243"/>
      <c r="AKX555" s="243"/>
      <c r="AKY555" s="243"/>
      <c r="AKZ555" s="243"/>
      <c r="ALA555" s="243"/>
      <c r="ALB555" s="243"/>
      <c r="ALC555" s="243"/>
      <c r="ALD555" s="243"/>
      <c r="ALE555" s="243"/>
      <c r="ALF555" s="243"/>
      <c r="ALG555" s="243"/>
      <c r="ALH555" s="243"/>
      <c r="ALI555" s="243"/>
      <c r="ALJ555" s="243"/>
      <c r="ALK555" s="243"/>
      <c r="ALL555" s="243"/>
      <c r="ALM555" s="243"/>
      <c r="ALN555" s="243"/>
      <c r="ALO555" s="243"/>
      <c r="ALP555" s="243"/>
      <c r="ALQ555" s="243"/>
      <c r="ALR555" s="243"/>
      <c r="ALS555" s="243"/>
      <c r="ALT555" s="243"/>
      <c r="ALU555" s="243"/>
      <c r="ALV555" s="243"/>
      <c r="ALW555" s="243"/>
      <c r="ALX555" s="243"/>
      <c r="ALY555" s="243"/>
      <c r="ALZ555" s="243"/>
      <c r="AMA555" s="243"/>
      <c r="AMB555" s="243"/>
      <c r="AMC555" s="243"/>
      <c r="AMD555" s="243"/>
      <c r="AME555" s="243"/>
      <c r="AMF555" s="243"/>
      <c r="AMG555" s="243"/>
      <c r="AMH555" s="243"/>
      <c r="AMI555" s="243"/>
      <c r="AMJ555" s="243"/>
      <c r="AMK555" s="244"/>
    </row>
    <row r="556" spans="1:1025" ht="18.75" hidden="1">
      <c r="A556" s="301"/>
      <c r="B556" s="790" t="s">
        <v>507</v>
      </c>
      <c r="C556" s="245" t="s">
        <v>508</v>
      </c>
      <c r="D556" s="245" t="s">
        <v>509</v>
      </c>
      <c r="E556" s="245" t="s">
        <v>510</v>
      </c>
      <c r="F556" s="245" t="s">
        <v>511</v>
      </c>
      <c r="G556" s="245" t="s">
        <v>512</v>
      </c>
      <c r="H556" s="245" t="s">
        <v>513</v>
      </c>
      <c r="I556" s="245" t="s">
        <v>514</v>
      </c>
      <c r="J556" s="245" t="s">
        <v>915</v>
      </c>
      <c r="K556" s="245" t="s">
        <v>914</v>
      </c>
      <c r="L556" s="245" t="s">
        <v>940</v>
      </c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  <c r="AA556" s="243"/>
      <c r="AB556" s="243"/>
      <c r="AC556" s="243"/>
      <c r="AD556" s="243"/>
      <c r="AE556" s="243"/>
      <c r="AF556" s="243"/>
      <c r="AG556" s="243"/>
      <c r="AH556" s="243"/>
      <c r="AI556" s="243"/>
      <c r="AJ556" s="243"/>
      <c r="AK556" s="243"/>
      <c r="AL556" s="243"/>
      <c r="AM556" s="243"/>
      <c r="AN556" s="243"/>
      <c r="AO556" s="243"/>
      <c r="AP556" s="243"/>
      <c r="AQ556" s="243"/>
      <c r="AR556" s="243"/>
      <c r="AS556" s="243"/>
      <c r="AT556" s="243"/>
      <c r="AU556" s="243"/>
      <c r="AV556" s="243"/>
      <c r="AW556" s="243"/>
      <c r="AX556" s="243"/>
      <c r="AY556" s="243"/>
      <c r="AZ556" s="243"/>
      <c r="BA556" s="243"/>
      <c r="BB556" s="243"/>
      <c r="BC556" s="243"/>
      <c r="BD556" s="243"/>
      <c r="BE556" s="243"/>
      <c r="BF556" s="243"/>
      <c r="BG556" s="243"/>
      <c r="BH556" s="243"/>
      <c r="BI556" s="243"/>
      <c r="BJ556" s="243"/>
      <c r="BK556" s="243"/>
      <c r="BL556" s="243"/>
      <c r="BM556" s="243"/>
      <c r="BN556" s="243"/>
      <c r="BO556" s="243"/>
      <c r="BP556" s="243"/>
      <c r="BQ556" s="243"/>
      <c r="BR556" s="243"/>
      <c r="BS556" s="243"/>
      <c r="BT556" s="243"/>
      <c r="BU556" s="243"/>
      <c r="BV556" s="243"/>
      <c r="BW556" s="243"/>
      <c r="BX556" s="243"/>
      <c r="BY556" s="243"/>
      <c r="BZ556" s="243"/>
      <c r="CA556" s="243"/>
      <c r="CB556" s="243"/>
      <c r="CC556" s="243"/>
      <c r="CD556" s="243"/>
      <c r="CE556" s="243"/>
      <c r="CF556" s="243"/>
      <c r="CG556" s="243"/>
      <c r="CH556" s="243"/>
      <c r="CI556" s="243"/>
      <c r="CJ556" s="243"/>
      <c r="CK556" s="243"/>
      <c r="CL556" s="243"/>
      <c r="CM556" s="243"/>
      <c r="CN556" s="243"/>
      <c r="CO556" s="243"/>
      <c r="CP556" s="243"/>
      <c r="CQ556" s="243"/>
      <c r="CR556" s="243"/>
      <c r="CS556" s="243"/>
      <c r="CT556" s="243"/>
      <c r="CU556" s="243"/>
      <c r="CV556" s="243"/>
      <c r="CW556" s="243"/>
      <c r="CX556" s="243"/>
      <c r="CY556" s="243"/>
      <c r="CZ556" s="243"/>
      <c r="DA556" s="243"/>
      <c r="DB556" s="243"/>
      <c r="DC556" s="243"/>
      <c r="DD556" s="243"/>
      <c r="DE556" s="243"/>
      <c r="DF556" s="243"/>
      <c r="DG556" s="243"/>
      <c r="DH556" s="243"/>
      <c r="DI556" s="243"/>
      <c r="DJ556" s="243"/>
      <c r="DK556" s="243"/>
      <c r="DL556" s="243"/>
      <c r="DM556" s="243"/>
      <c r="DN556" s="243"/>
      <c r="DO556" s="243"/>
      <c r="DP556" s="243"/>
      <c r="DQ556" s="243"/>
      <c r="DR556" s="243"/>
      <c r="DS556" s="243"/>
      <c r="DT556" s="243"/>
      <c r="DU556" s="243"/>
      <c r="DV556" s="243"/>
      <c r="DW556" s="243"/>
      <c r="DX556" s="243"/>
      <c r="DY556" s="243"/>
      <c r="DZ556" s="243"/>
      <c r="EA556" s="243"/>
      <c r="EB556" s="243"/>
      <c r="EC556" s="243"/>
      <c r="ED556" s="243"/>
      <c r="EE556" s="243"/>
      <c r="EF556" s="243"/>
      <c r="EG556" s="243"/>
      <c r="EH556" s="243"/>
      <c r="EI556" s="243"/>
      <c r="EJ556" s="243"/>
      <c r="EK556" s="243"/>
      <c r="EL556" s="243"/>
      <c r="EM556" s="243"/>
      <c r="EN556" s="243"/>
      <c r="EO556" s="243"/>
      <c r="EP556" s="243"/>
      <c r="EQ556" s="243"/>
      <c r="ER556" s="243"/>
      <c r="ES556" s="243"/>
      <c r="ET556" s="243"/>
      <c r="EU556" s="243"/>
      <c r="EV556" s="243"/>
      <c r="EW556" s="243"/>
      <c r="EX556" s="243"/>
      <c r="EY556" s="243"/>
      <c r="EZ556" s="243"/>
      <c r="FA556" s="243"/>
      <c r="FB556" s="243"/>
      <c r="FC556" s="243"/>
      <c r="FD556" s="243"/>
      <c r="FE556" s="243"/>
      <c r="FF556" s="243"/>
      <c r="FG556" s="243"/>
      <c r="FH556" s="243"/>
      <c r="FI556" s="243"/>
      <c r="FJ556" s="243"/>
      <c r="FK556" s="243"/>
      <c r="FL556" s="243"/>
      <c r="FM556" s="243"/>
      <c r="FN556" s="243"/>
      <c r="FO556" s="243"/>
      <c r="FP556" s="243"/>
      <c r="FQ556" s="243"/>
      <c r="FR556" s="243"/>
      <c r="FS556" s="243"/>
      <c r="FT556" s="243"/>
      <c r="FU556" s="243"/>
      <c r="FV556" s="243"/>
      <c r="FW556" s="243"/>
      <c r="FX556" s="243"/>
      <c r="FY556" s="243"/>
      <c r="FZ556" s="243"/>
      <c r="GA556" s="243"/>
      <c r="GB556" s="243"/>
      <c r="GC556" s="243"/>
      <c r="GD556" s="243"/>
      <c r="GE556" s="243"/>
      <c r="GF556" s="243"/>
      <c r="GG556" s="243"/>
      <c r="GH556" s="243"/>
      <c r="GI556" s="243"/>
      <c r="GJ556" s="243"/>
      <c r="GK556" s="243"/>
      <c r="GL556" s="243"/>
      <c r="GM556" s="243"/>
      <c r="GN556" s="243"/>
      <c r="GO556" s="243"/>
      <c r="GP556" s="243"/>
      <c r="GQ556" s="243"/>
      <c r="GR556" s="243"/>
      <c r="GS556" s="243"/>
      <c r="GT556" s="243"/>
      <c r="GU556" s="243"/>
      <c r="GV556" s="243"/>
      <c r="GW556" s="243"/>
      <c r="GX556" s="243"/>
      <c r="GY556" s="243"/>
      <c r="GZ556" s="243"/>
      <c r="HA556" s="243"/>
      <c r="HB556" s="243"/>
      <c r="HC556" s="243"/>
      <c r="HD556" s="243"/>
      <c r="HE556" s="243"/>
      <c r="HF556" s="243"/>
      <c r="HG556" s="243"/>
      <c r="HH556" s="243"/>
      <c r="HI556" s="243"/>
      <c r="HJ556" s="243"/>
      <c r="HK556" s="243"/>
      <c r="HL556" s="243"/>
      <c r="HM556" s="243"/>
      <c r="HN556" s="243"/>
      <c r="HO556" s="243"/>
      <c r="HP556" s="243"/>
      <c r="HQ556" s="243"/>
      <c r="HR556" s="243"/>
      <c r="HS556" s="243"/>
      <c r="HT556" s="243"/>
      <c r="HU556" s="243"/>
      <c r="HV556" s="243"/>
      <c r="HW556" s="243"/>
      <c r="HX556" s="243"/>
      <c r="HY556" s="243"/>
      <c r="HZ556" s="243"/>
      <c r="IA556" s="243"/>
      <c r="IB556" s="243"/>
      <c r="IC556" s="243"/>
      <c r="ID556" s="243"/>
      <c r="IE556" s="243"/>
      <c r="IF556" s="243"/>
      <c r="IG556" s="243"/>
      <c r="IH556" s="243"/>
      <c r="II556" s="243"/>
      <c r="IJ556" s="243"/>
      <c r="IK556" s="243"/>
      <c r="IL556" s="243"/>
      <c r="IM556" s="243"/>
      <c r="IN556" s="243"/>
      <c r="IO556" s="243"/>
      <c r="IP556" s="243"/>
      <c r="IQ556" s="243"/>
      <c r="IR556" s="243"/>
      <c r="IS556" s="243"/>
      <c r="IT556" s="243"/>
      <c r="IU556" s="243"/>
      <c r="IV556" s="243"/>
      <c r="IW556" s="243"/>
      <c r="IX556" s="243"/>
      <c r="IY556" s="243"/>
      <c r="IZ556" s="243"/>
      <c r="JA556" s="243"/>
      <c r="JB556" s="243"/>
      <c r="JC556" s="243"/>
      <c r="JD556" s="243"/>
      <c r="JE556" s="243"/>
      <c r="JF556" s="243"/>
      <c r="JG556" s="243"/>
      <c r="JH556" s="243"/>
      <c r="JI556" s="243"/>
      <c r="JJ556" s="243"/>
      <c r="JK556" s="243"/>
      <c r="JL556" s="243"/>
      <c r="JM556" s="243"/>
      <c r="JN556" s="243"/>
      <c r="JO556" s="243"/>
      <c r="JP556" s="243"/>
      <c r="JQ556" s="243"/>
      <c r="JR556" s="243"/>
      <c r="JS556" s="243"/>
      <c r="JT556" s="243"/>
      <c r="JU556" s="243"/>
      <c r="JV556" s="243"/>
      <c r="JW556" s="243"/>
      <c r="JX556" s="243"/>
      <c r="JY556" s="243"/>
      <c r="JZ556" s="243"/>
      <c r="KA556" s="243"/>
      <c r="KB556" s="243"/>
      <c r="KC556" s="243"/>
      <c r="KD556" s="243"/>
      <c r="KE556" s="243"/>
      <c r="KF556" s="243"/>
      <c r="KG556" s="243"/>
      <c r="KH556" s="243"/>
      <c r="KI556" s="243"/>
      <c r="KJ556" s="243"/>
      <c r="KK556" s="243"/>
      <c r="KL556" s="243"/>
      <c r="KM556" s="243"/>
      <c r="KN556" s="243"/>
      <c r="KO556" s="243"/>
      <c r="KP556" s="243"/>
      <c r="KQ556" s="243"/>
      <c r="KR556" s="243"/>
      <c r="KS556" s="243"/>
      <c r="KT556" s="243"/>
      <c r="KU556" s="243"/>
      <c r="KV556" s="243"/>
      <c r="KW556" s="243"/>
      <c r="KX556" s="243"/>
      <c r="KY556" s="243"/>
      <c r="KZ556" s="243"/>
      <c r="LA556" s="243"/>
      <c r="LB556" s="243"/>
      <c r="LC556" s="243"/>
      <c r="LD556" s="243"/>
      <c r="LE556" s="243"/>
      <c r="LF556" s="243"/>
      <c r="LG556" s="243"/>
      <c r="LH556" s="243"/>
      <c r="LI556" s="243"/>
      <c r="LJ556" s="243"/>
      <c r="LK556" s="243"/>
      <c r="LL556" s="243"/>
      <c r="LM556" s="243"/>
      <c r="LN556" s="243"/>
      <c r="LO556" s="243"/>
      <c r="LP556" s="243"/>
      <c r="LQ556" s="243"/>
      <c r="LR556" s="243"/>
      <c r="LS556" s="243"/>
      <c r="LT556" s="243"/>
      <c r="LU556" s="243"/>
      <c r="LV556" s="243"/>
      <c r="LW556" s="243"/>
      <c r="LX556" s="243"/>
      <c r="LY556" s="243"/>
      <c r="LZ556" s="243"/>
      <c r="MA556" s="243"/>
      <c r="MB556" s="243"/>
      <c r="MC556" s="243"/>
      <c r="MD556" s="243"/>
      <c r="ME556" s="243"/>
      <c r="MF556" s="243"/>
      <c r="MG556" s="243"/>
      <c r="MH556" s="243"/>
      <c r="MI556" s="243"/>
      <c r="MJ556" s="243"/>
      <c r="MK556" s="243"/>
      <c r="ML556" s="243"/>
      <c r="MM556" s="243"/>
      <c r="MN556" s="243"/>
      <c r="MO556" s="243"/>
      <c r="MP556" s="243"/>
      <c r="MQ556" s="243"/>
      <c r="MR556" s="243"/>
      <c r="MS556" s="243"/>
      <c r="MT556" s="243"/>
      <c r="MU556" s="243"/>
      <c r="MV556" s="243"/>
      <c r="MW556" s="243"/>
      <c r="MX556" s="243"/>
      <c r="MY556" s="243"/>
      <c r="MZ556" s="243"/>
      <c r="NA556" s="243"/>
      <c r="NB556" s="243"/>
      <c r="NC556" s="243"/>
      <c r="ND556" s="243"/>
      <c r="NE556" s="243"/>
      <c r="NF556" s="243"/>
      <c r="NG556" s="243"/>
      <c r="NH556" s="243"/>
      <c r="NI556" s="243"/>
      <c r="NJ556" s="243"/>
      <c r="NK556" s="243"/>
      <c r="NL556" s="243"/>
      <c r="NM556" s="243"/>
      <c r="NN556" s="243"/>
      <c r="NO556" s="243"/>
      <c r="NP556" s="243"/>
      <c r="NQ556" s="243"/>
      <c r="NR556" s="243"/>
      <c r="NS556" s="243"/>
      <c r="NT556" s="243"/>
      <c r="NU556" s="243"/>
      <c r="NV556" s="243"/>
      <c r="NW556" s="243"/>
      <c r="NX556" s="243"/>
      <c r="NY556" s="243"/>
      <c r="NZ556" s="243"/>
      <c r="OA556" s="243"/>
      <c r="OB556" s="243"/>
      <c r="OC556" s="243"/>
      <c r="OD556" s="243"/>
      <c r="OE556" s="243"/>
      <c r="OF556" s="243"/>
      <c r="OG556" s="243"/>
      <c r="OH556" s="243"/>
      <c r="OI556" s="243"/>
      <c r="OJ556" s="243"/>
      <c r="OK556" s="243"/>
      <c r="OL556" s="243"/>
      <c r="OM556" s="243"/>
      <c r="ON556" s="243"/>
      <c r="OO556" s="243"/>
      <c r="OP556" s="243"/>
      <c r="OQ556" s="243"/>
      <c r="OR556" s="243"/>
      <c r="OS556" s="243"/>
      <c r="OT556" s="243"/>
      <c r="OU556" s="243"/>
      <c r="OV556" s="243"/>
      <c r="OW556" s="243"/>
      <c r="OX556" s="243"/>
      <c r="OY556" s="243"/>
      <c r="OZ556" s="243"/>
      <c r="PA556" s="243"/>
      <c r="PB556" s="243"/>
      <c r="PC556" s="243"/>
      <c r="PD556" s="243"/>
      <c r="PE556" s="243"/>
      <c r="PF556" s="243"/>
      <c r="PG556" s="243"/>
      <c r="PH556" s="243"/>
      <c r="PI556" s="243"/>
      <c r="PJ556" s="243"/>
      <c r="PK556" s="243"/>
      <c r="PL556" s="243"/>
      <c r="PM556" s="243"/>
      <c r="PN556" s="243"/>
      <c r="PO556" s="243"/>
      <c r="PP556" s="243"/>
      <c r="PQ556" s="243"/>
      <c r="PR556" s="243"/>
      <c r="PS556" s="243"/>
      <c r="PT556" s="243"/>
      <c r="PU556" s="243"/>
      <c r="PV556" s="243"/>
      <c r="PW556" s="243"/>
      <c r="PX556" s="243"/>
      <c r="PY556" s="243"/>
      <c r="PZ556" s="243"/>
      <c r="QA556" s="243"/>
      <c r="QB556" s="243"/>
      <c r="QC556" s="243"/>
      <c r="QD556" s="243"/>
      <c r="QE556" s="243"/>
      <c r="QF556" s="243"/>
      <c r="QG556" s="243"/>
      <c r="QH556" s="243"/>
      <c r="QI556" s="243"/>
      <c r="QJ556" s="243"/>
      <c r="QK556" s="243"/>
      <c r="QL556" s="243"/>
      <c r="QM556" s="243"/>
      <c r="QN556" s="243"/>
      <c r="QO556" s="243"/>
      <c r="QP556" s="243"/>
      <c r="QQ556" s="243"/>
      <c r="QR556" s="243"/>
      <c r="QS556" s="243"/>
      <c r="QT556" s="243"/>
      <c r="QU556" s="243"/>
      <c r="QV556" s="243"/>
      <c r="QW556" s="243"/>
      <c r="QX556" s="243"/>
      <c r="QY556" s="243"/>
      <c r="QZ556" s="243"/>
      <c r="RA556" s="243"/>
      <c r="RB556" s="243"/>
      <c r="RC556" s="243"/>
      <c r="RD556" s="243"/>
      <c r="RE556" s="243"/>
      <c r="RF556" s="243"/>
      <c r="RG556" s="243"/>
      <c r="RH556" s="243"/>
      <c r="RI556" s="243"/>
      <c r="RJ556" s="243"/>
      <c r="RK556" s="243"/>
      <c r="RL556" s="243"/>
      <c r="RM556" s="243"/>
      <c r="RN556" s="243"/>
      <c r="RO556" s="243"/>
      <c r="RP556" s="243"/>
      <c r="RQ556" s="243"/>
      <c r="RR556" s="243"/>
      <c r="RS556" s="243"/>
      <c r="RT556" s="243"/>
      <c r="RU556" s="243"/>
      <c r="RV556" s="243"/>
      <c r="RW556" s="243"/>
      <c r="RX556" s="243"/>
      <c r="RY556" s="243"/>
      <c r="RZ556" s="243"/>
      <c r="SA556" s="243"/>
      <c r="SB556" s="243"/>
      <c r="SC556" s="243"/>
      <c r="SD556" s="243"/>
      <c r="SE556" s="243"/>
      <c r="SF556" s="243"/>
      <c r="SG556" s="243"/>
      <c r="SH556" s="243"/>
      <c r="SI556" s="243"/>
      <c r="SJ556" s="243"/>
      <c r="SK556" s="243"/>
      <c r="SL556" s="243"/>
      <c r="SM556" s="243"/>
      <c r="SN556" s="243"/>
      <c r="SO556" s="243"/>
      <c r="SP556" s="243"/>
      <c r="SQ556" s="243"/>
      <c r="SR556" s="243"/>
      <c r="SS556" s="243"/>
      <c r="ST556" s="243"/>
      <c r="SU556" s="243"/>
      <c r="SV556" s="243"/>
      <c r="SW556" s="243"/>
      <c r="SX556" s="243"/>
      <c r="SY556" s="243"/>
      <c r="SZ556" s="243"/>
      <c r="TA556" s="243"/>
      <c r="TB556" s="243"/>
      <c r="TC556" s="243"/>
      <c r="TD556" s="243"/>
      <c r="TE556" s="243"/>
      <c r="TF556" s="243"/>
      <c r="TG556" s="243"/>
      <c r="TH556" s="243"/>
      <c r="TI556" s="243"/>
      <c r="TJ556" s="243"/>
      <c r="TK556" s="243"/>
      <c r="TL556" s="243"/>
      <c r="TM556" s="243"/>
      <c r="TN556" s="243"/>
      <c r="TO556" s="243"/>
      <c r="TP556" s="243"/>
      <c r="TQ556" s="243"/>
      <c r="TR556" s="243"/>
      <c r="TS556" s="243"/>
      <c r="TT556" s="243"/>
      <c r="TU556" s="243"/>
      <c r="TV556" s="243"/>
      <c r="TW556" s="243"/>
      <c r="TX556" s="243"/>
      <c r="TY556" s="243"/>
      <c r="TZ556" s="243"/>
      <c r="UA556" s="243"/>
      <c r="UB556" s="243"/>
      <c r="UC556" s="243"/>
      <c r="UD556" s="243"/>
      <c r="UE556" s="243"/>
      <c r="UF556" s="243"/>
      <c r="UG556" s="243"/>
      <c r="UH556" s="243"/>
      <c r="UI556" s="243"/>
      <c r="UJ556" s="243"/>
      <c r="UK556" s="243"/>
      <c r="UL556" s="243"/>
      <c r="UM556" s="243"/>
      <c r="UN556" s="243"/>
      <c r="UO556" s="243"/>
      <c r="UP556" s="243"/>
      <c r="UQ556" s="243"/>
      <c r="UR556" s="243"/>
      <c r="US556" s="243"/>
      <c r="UT556" s="243"/>
      <c r="UU556" s="243"/>
      <c r="UV556" s="243"/>
      <c r="UW556" s="243"/>
      <c r="UX556" s="243"/>
      <c r="UY556" s="243"/>
      <c r="UZ556" s="243"/>
      <c r="VA556" s="243"/>
      <c r="VB556" s="243"/>
      <c r="VC556" s="243"/>
      <c r="VD556" s="243"/>
      <c r="VE556" s="243"/>
      <c r="VF556" s="243"/>
      <c r="VG556" s="243"/>
      <c r="VH556" s="243"/>
      <c r="VI556" s="243"/>
      <c r="VJ556" s="243"/>
      <c r="VK556" s="243"/>
      <c r="VL556" s="243"/>
      <c r="VM556" s="243"/>
      <c r="VN556" s="243"/>
      <c r="VO556" s="243"/>
      <c r="VP556" s="243"/>
      <c r="VQ556" s="243"/>
      <c r="VR556" s="243"/>
      <c r="VS556" s="243"/>
      <c r="VT556" s="243"/>
      <c r="VU556" s="243"/>
      <c r="VV556" s="243"/>
      <c r="VW556" s="243"/>
      <c r="VX556" s="243"/>
      <c r="VY556" s="243"/>
      <c r="VZ556" s="243"/>
      <c r="WA556" s="243"/>
      <c r="WB556" s="243"/>
      <c r="WC556" s="243"/>
      <c r="WD556" s="243"/>
      <c r="WE556" s="243"/>
      <c r="WF556" s="243"/>
      <c r="WG556" s="243"/>
      <c r="WH556" s="243"/>
      <c r="WI556" s="243"/>
      <c r="WJ556" s="243"/>
      <c r="WK556" s="243"/>
      <c r="WL556" s="243"/>
      <c r="WM556" s="243"/>
      <c r="WN556" s="243"/>
      <c r="WO556" s="243"/>
      <c r="WP556" s="243"/>
      <c r="WQ556" s="243"/>
      <c r="WR556" s="243"/>
      <c r="WS556" s="243"/>
      <c r="WT556" s="243"/>
      <c r="WU556" s="243"/>
      <c r="WV556" s="243"/>
      <c r="WW556" s="243"/>
      <c r="WX556" s="243"/>
      <c r="WY556" s="243"/>
      <c r="WZ556" s="243"/>
      <c r="XA556" s="243"/>
      <c r="XB556" s="243"/>
      <c r="XC556" s="243"/>
      <c r="XD556" s="243"/>
      <c r="XE556" s="243"/>
      <c r="XF556" s="243"/>
      <c r="XG556" s="243"/>
      <c r="XH556" s="243"/>
      <c r="XI556" s="243"/>
      <c r="XJ556" s="243"/>
      <c r="XK556" s="243"/>
      <c r="XL556" s="243"/>
      <c r="XM556" s="243"/>
      <c r="XN556" s="243"/>
      <c r="XO556" s="243"/>
      <c r="XP556" s="243"/>
      <c r="XQ556" s="243"/>
      <c r="XR556" s="243"/>
      <c r="XS556" s="243"/>
      <c r="XT556" s="243"/>
      <c r="XU556" s="243"/>
      <c r="XV556" s="243"/>
      <c r="XW556" s="243"/>
      <c r="XX556" s="243"/>
      <c r="XY556" s="243"/>
      <c r="XZ556" s="243"/>
      <c r="YA556" s="243"/>
      <c r="YB556" s="243"/>
      <c r="YC556" s="243"/>
      <c r="YD556" s="243"/>
      <c r="YE556" s="243"/>
      <c r="YF556" s="243"/>
      <c r="YG556" s="243"/>
      <c r="YH556" s="243"/>
      <c r="YI556" s="243"/>
      <c r="YJ556" s="243"/>
      <c r="YK556" s="243"/>
      <c r="YL556" s="243"/>
      <c r="YM556" s="243"/>
      <c r="YN556" s="243"/>
      <c r="YO556" s="243"/>
      <c r="YP556" s="243"/>
      <c r="YQ556" s="243"/>
      <c r="YR556" s="243"/>
      <c r="YS556" s="243"/>
      <c r="YT556" s="243"/>
      <c r="YU556" s="243"/>
      <c r="YV556" s="243"/>
      <c r="YW556" s="243"/>
      <c r="YX556" s="243"/>
      <c r="YY556" s="243"/>
      <c r="YZ556" s="243"/>
      <c r="ZA556" s="243"/>
      <c r="ZB556" s="243"/>
      <c r="ZC556" s="243"/>
      <c r="ZD556" s="243"/>
      <c r="ZE556" s="243"/>
      <c r="ZF556" s="243"/>
      <c r="ZG556" s="243"/>
      <c r="ZH556" s="243"/>
      <c r="ZI556" s="243"/>
      <c r="ZJ556" s="243"/>
      <c r="ZK556" s="243"/>
      <c r="ZL556" s="243"/>
      <c r="ZM556" s="243"/>
      <c r="ZN556" s="243"/>
      <c r="ZO556" s="243"/>
      <c r="ZP556" s="243"/>
      <c r="ZQ556" s="243"/>
      <c r="ZR556" s="243"/>
      <c r="ZS556" s="243"/>
      <c r="ZT556" s="243"/>
      <c r="ZU556" s="243"/>
      <c r="ZV556" s="243"/>
      <c r="ZW556" s="243"/>
      <c r="ZX556" s="243"/>
      <c r="ZY556" s="243"/>
      <c r="ZZ556" s="243"/>
      <c r="AAA556" s="243"/>
      <c r="AAB556" s="243"/>
      <c r="AAC556" s="243"/>
      <c r="AAD556" s="243"/>
      <c r="AAE556" s="243"/>
      <c r="AAF556" s="243"/>
      <c r="AAG556" s="243"/>
      <c r="AAH556" s="243"/>
      <c r="AAI556" s="243"/>
      <c r="AAJ556" s="243"/>
      <c r="AAK556" s="243"/>
      <c r="AAL556" s="243"/>
      <c r="AAM556" s="243"/>
      <c r="AAN556" s="243"/>
      <c r="AAO556" s="243"/>
      <c r="AAP556" s="243"/>
      <c r="AAQ556" s="243"/>
      <c r="AAR556" s="243"/>
      <c r="AAS556" s="243"/>
      <c r="AAT556" s="243"/>
      <c r="AAU556" s="243"/>
      <c r="AAV556" s="243"/>
      <c r="AAW556" s="243"/>
      <c r="AAX556" s="243"/>
      <c r="AAY556" s="243"/>
      <c r="AAZ556" s="243"/>
      <c r="ABA556" s="243"/>
      <c r="ABB556" s="243"/>
      <c r="ABC556" s="243"/>
      <c r="ABD556" s="243"/>
      <c r="ABE556" s="243"/>
      <c r="ABF556" s="243"/>
      <c r="ABG556" s="243"/>
      <c r="ABH556" s="243"/>
      <c r="ABI556" s="243"/>
      <c r="ABJ556" s="243"/>
      <c r="ABK556" s="243"/>
      <c r="ABL556" s="243"/>
      <c r="ABM556" s="243"/>
      <c r="ABN556" s="243"/>
      <c r="ABO556" s="243"/>
      <c r="ABP556" s="243"/>
      <c r="ABQ556" s="243"/>
      <c r="ABR556" s="243"/>
      <c r="ABS556" s="243"/>
      <c r="ABT556" s="243"/>
      <c r="ABU556" s="243"/>
      <c r="ABV556" s="243"/>
      <c r="ABW556" s="243"/>
      <c r="ABX556" s="243"/>
      <c r="ABY556" s="243"/>
      <c r="ABZ556" s="243"/>
      <c r="ACA556" s="243"/>
      <c r="ACB556" s="243"/>
      <c r="ACC556" s="243"/>
      <c r="ACD556" s="243"/>
      <c r="ACE556" s="243"/>
      <c r="ACF556" s="243"/>
      <c r="ACG556" s="243"/>
      <c r="ACH556" s="243"/>
      <c r="ACI556" s="243"/>
      <c r="ACJ556" s="243"/>
      <c r="ACK556" s="243"/>
      <c r="ACL556" s="243"/>
      <c r="ACM556" s="243"/>
      <c r="ACN556" s="243"/>
      <c r="ACO556" s="243"/>
      <c r="ACP556" s="243"/>
      <c r="ACQ556" s="243"/>
      <c r="ACR556" s="243"/>
      <c r="ACS556" s="243"/>
      <c r="ACT556" s="243"/>
      <c r="ACU556" s="243"/>
      <c r="ACV556" s="243"/>
      <c r="ACW556" s="243"/>
      <c r="ACX556" s="243"/>
      <c r="ACY556" s="243"/>
      <c r="ACZ556" s="243"/>
      <c r="ADA556" s="243"/>
      <c r="ADB556" s="243"/>
      <c r="ADC556" s="243"/>
      <c r="ADD556" s="243"/>
      <c r="ADE556" s="243"/>
      <c r="ADF556" s="243"/>
      <c r="ADG556" s="243"/>
      <c r="ADH556" s="243"/>
      <c r="ADI556" s="243"/>
      <c r="ADJ556" s="243"/>
      <c r="ADK556" s="243"/>
      <c r="ADL556" s="243"/>
      <c r="ADM556" s="243"/>
      <c r="ADN556" s="243"/>
      <c r="ADO556" s="243"/>
      <c r="ADP556" s="243"/>
      <c r="ADQ556" s="243"/>
      <c r="ADR556" s="243"/>
      <c r="ADS556" s="243"/>
      <c r="ADT556" s="243"/>
      <c r="ADU556" s="243"/>
      <c r="ADV556" s="243"/>
      <c r="ADW556" s="243"/>
      <c r="ADX556" s="243"/>
      <c r="ADY556" s="243"/>
      <c r="ADZ556" s="243"/>
      <c r="AEA556" s="243"/>
      <c r="AEB556" s="243"/>
      <c r="AEC556" s="243"/>
      <c r="AED556" s="243"/>
      <c r="AEE556" s="243"/>
      <c r="AEF556" s="243"/>
      <c r="AEG556" s="243"/>
      <c r="AEH556" s="243"/>
      <c r="AEI556" s="243"/>
      <c r="AEJ556" s="243"/>
      <c r="AEK556" s="243"/>
      <c r="AEL556" s="243"/>
      <c r="AEM556" s="243"/>
      <c r="AEN556" s="243"/>
      <c r="AEO556" s="243"/>
      <c r="AEP556" s="243"/>
      <c r="AEQ556" s="243"/>
      <c r="AER556" s="243"/>
      <c r="AES556" s="243"/>
      <c r="AET556" s="243"/>
      <c r="AEU556" s="243"/>
      <c r="AEV556" s="243"/>
      <c r="AEW556" s="243"/>
      <c r="AEX556" s="243"/>
      <c r="AEY556" s="243"/>
      <c r="AEZ556" s="243"/>
      <c r="AFA556" s="243"/>
      <c r="AFB556" s="243"/>
      <c r="AFC556" s="243"/>
      <c r="AFD556" s="243"/>
      <c r="AFE556" s="243"/>
      <c r="AFF556" s="243"/>
      <c r="AFG556" s="243"/>
      <c r="AFH556" s="243"/>
      <c r="AFI556" s="243"/>
      <c r="AFJ556" s="243"/>
      <c r="AFK556" s="243"/>
      <c r="AFL556" s="243"/>
      <c r="AFM556" s="243"/>
      <c r="AFN556" s="243"/>
      <c r="AFO556" s="243"/>
      <c r="AFP556" s="243"/>
      <c r="AFQ556" s="243"/>
      <c r="AFR556" s="243"/>
      <c r="AFS556" s="243"/>
      <c r="AFT556" s="243"/>
      <c r="AFU556" s="243"/>
      <c r="AFV556" s="243"/>
      <c r="AFW556" s="243"/>
      <c r="AFX556" s="243"/>
      <c r="AFY556" s="243"/>
      <c r="AFZ556" s="243"/>
      <c r="AGA556" s="243"/>
      <c r="AGB556" s="243"/>
      <c r="AGC556" s="243"/>
      <c r="AGD556" s="243"/>
      <c r="AGE556" s="243"/>
      <c r="AGF556" s="243"/>
      <c r="AGG556" s="243"/>
      <c r="AGH556" s="243"/>
      <c r="AGI556" s="243"/>
      <c r="AGJ556" s="243"/>
      <c r="AGK556" s="243"/>
      <c r="AGL556" s="243"/>
      <c r="AGM556" s="243"/>
      <c r="AGN556" s="243"/>
      <c r="AGO556" s="243"/>
      <c r="AGP556" s="243"/>
      <c r="AGQ556" s="243"/>
      <c r="AGR556" s="243"/>
      <c r="AGS556" s="243"/>
      <c r="AGT556" s="243"/>
      <c r="AGU556" s="243"/>
      <c r="AGV556" s="243"/>
      <c r="AGW556" s="243"/>
      <c r="AGX556" s="243"/>
      <c r="AGY556" s="243"/>
      <c r="AGZ556" s="243"/>
      <c r="AHA556" s="243"/>
      <c r="AHB556" s="243"/>
      <c r="AHC556" s="243"/>
      <c r="AHD556" s="243"/>
      <c r="AHE556" s="243"/>
      <c r="AHF556" s="243"/>
      <c r="AHG556" s="243"/>
      <c r="AHH556" s="243"/>
      <c r="AHI556" s="243"/>
      <c r="AHJ556" s="243"/>
      <c r="AHK556" s="243"/>
      <c r="AHL556" s="243"/>
      <c r="AHM556" s="243"/>
      <c r="AHN556" s="243"/>
      <c r="AHO556" s="243"/>
      <c r="AHP556" s="243"/>
      <c r="AHQ556" s="243"/>
      <c r="AHR556" s="243"/>
      <c r="AHS556" s="243"/>
      <c r="AHT556" s="243"/>
      <c r="AHU556" s="243"/>
      <c r="AHV556" s="243"/>
      <c r="AHW556" s="243"/>
      <c r="AHX556" s="243"/>
      <c r="AHY556" s="243"/>
      <c r="AHZ556" s="243"/>
      <c r="AIA556" s="243"/>
      <c r="AIB556" s="243"/>
      <c r="AIC556" s="243"/>
      <c r="AID556" s="243"/>
      <c r="AIE556" s="243"/>
      <c r="AIF556" s="243"/>
      <c r="AIG556" s="243"/>
      <c r="AIH556" s="243"/>
      <c r="AII556" s="243"/>
      <c r="AIJ556" s="243"/>
      <c r="AIK556" s="243"/>
      <c r="AIL556" s="243"/>
      <c r="AIM556" s="243"/>
      <c r="AIN556" s="243"/>
      <c r="AIO556" s="243"/>
      <c r="AIP556" s="243"/>
      <c r="AIQ556" s="243"/>
      <c r="AIR556" s="243"/>
      <c r="AIS556" s="243"/>
      <c r="AIT556" s="243"/>
      <c r="AIU556" s="243"/>
      <c r="AIV556" s="243"/>
      <c r="AIW556" s="243"/>
      <c r="AIX556" s="243"/>
      <c r="AIY556" s="243"/>
      <c r="AIZ556" s="243"/>
      <c r="AJA556" s="243"/>
      <c r="AJB556" s="243"/>
      <c r="AJC556" s="243"/>
      <c r="AJD556" s="243"/>
      <c r="AJE556" s="243"/>
      <c r="AJF556" s="243"/>
      <c r="AJG556" s="243"/>
      <c r="AJH556" s="243"/>
      <c r="AJI556" s="243"/>
      <c r="AJJ556" s="243"/>
      <c r="AJK556" s="243"/>
      <c r="AJL556" s="243"/>
      <c r="AJM556" s="243"/>
      <c r="AJN556" s="243"/>
      <c r="AJO556" s="243"/>
      <c r="AJP556" s="243"/>
      <c r="AJQ556" s="243"/>
      <c r="AJR556" s="243"/>
      <c r="AJS556" s="243"/>
      <c r="AJT556" s="243"/>
      <c r="AJU556" s="243"/>
      <c r="AJV556" s="243"/>
      <c r="AJW556" s="243"/>
      <c r="AJX556" s="243"/>
      <c r="AJY556" s="243"/>
      <c r="AJZ556" s="243"/>
      <c r="AKA556" s="243"/>
      <c r="AKB556" s="243"/>
      <c r="AKC556" s="243"/>
      <c r="AKD556" s="243"/>
      <c r="AKE556" s="243"/>
      <c r="AKF556" s="243"/>
      <c r="AKG556" s="243"/>
      <c r="AKH556" s="243"/>
      <c r="AKI556" s="243"/>
      <c r="AKJ556" s="243"/>
      <c r="AKK556" s="243"/>
      <c r="AKL556" s="243"/>
      <c r="AKM556" s="243"/>
      <c r="AKN556" s="243"/>
      <c r="AKO556" s="243"/>
      <c r="AKP556" s="243"/>
      <c r="AKQ556" s="243"/>
      <c r="AKR556" s="243"/>
      <c r="AKS556" s="243"/>
      <c r="AKT556" s="243"/>
      <c r="AKU556" s="243"/>
      <c r="AKV556" s="243"/>
      <c r="AKW556" s="243"/>
      <c r="AKX556" s="243"/>
      <c r="AKY556" s="243"/>
      <c r="AKZ556" s="243"/>
      <c r="ALA556" s="243"/>
      <c r="ALB556" s="243"/>
      <c r="ALC556" s="243"/>
      <c r="ALD556" s="243"/>
      <c r="ALE556" s="243"/>
      <c r="ALF556" s="243"/>
      <c r="ALG556" s="243"/>
      <c r="ALH556" s="243"/>
      <c r="ALI556" s="243"/>
      <c r="ALJ556" s="243"/>
      <c r="ALK556" s="243"/>
      <c r="ALL556" s="243"/>
      <c r="ALM556" s="243"/>
      <c r="ALN556" s="243"/>
      <c r="ALO556" s="243"/>
      <c r="ALP556" s="243"/>
      <c r="ALQ556" s="243"/>
      <c r="ALR556" s="243"/>
      <c r="ALS556" s="243"/>
      <c r="ALT556" s="243"/>
      <c r="ALU556" s="243"/>
      <c r="ALV556" s="243"/>
      <c r="ALW556" s="243"/>
      <c r="ALX556" s="243"/>
      <c r="ALY556" s="243"/>
      <c r="ALZ556" s="243"/>
      <c r="AMA556" s="243"/>
      <c r="AMB556" s="243"/>
      <c r="AMC556" s="243"/>
      <c r="AMD556" s="243"/>
      <c r="AME556" s="243"/>
      <c r="AMF556" s="243"/>
      <c r="AMG556" s="243"/>
      <c r="AMH556" s="243"/>
      <c r="AMI556" s="243"/>
      <c r="AMJ556" s="243"/>
      <c r="AMK556" s="244"/>
    </row>
    <row r="557" spans="1:1025" hidden="1">
      <c r="A557" s="301"/>
      <c r="B557" s="448">
        <v>44656</v>
      </c>
      <c r="C557" s="279" t="s">
        <v>900</v>
      </c>
      <c r="D557" s="278" t="s">
        <v>941</v>
      </c>
      <c r="E557" s="278" t="s">
        <v>845</v>
      </c>
      <c r="F557" s="280">
        <v>2300000</v>
      </c>
      <c r="G557" s="279" t="s">
        <v>903</v>
      </c>
      <c r="H557" s="279" t="s">
        <v>523</v>
      </c>
      <c r="I557" s="279" t="s">
        <v>523</v>
      </c>
      <c r="J557" s="279">
        <v>1</v>
      </c>
      <c r="K557" s="279"/>
      <c r="L557" s="279" t="s">
        <v>124</v>
      </c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  <c r="AA557" s="243"/>
      <c r="AB557" s="243"/>
      <c r="AC557" s="243"/>
      <c r="AD557" s="243"/>
      <c r="AE557" s="243"/>
      <c r="AF557" s="243"/>
      <c r="AG557" s="243"/>
      <c r="AH557" s="243"/>
      <c r="AI557" s="243"/>
      <c r="AJ557" s="243"/>
      <c r="AK557" s="243"/>
      <c r="AL557" s="243"/>
      <c r="AM557" s="243"/>
      <c r="AN557" s="243"/>
      <c r="AO557" s="243"/>
      <c r="AP557" s="243"/>
      <c r="AQ557" s="243"/>
      <c r="AR557" s="243"/>
      <c r="AS557" s="243"/>
      <c r="AT557" s="243"/>
      <c r="AU557" s="243"/>
      <c r="AV557" s="243"/>
      <c r="AW557" s="243"/>
      <c r="AX557" s="243"/>
      <c r="AY557" s="243"/>
      <c r="AZ557" s="243"/>
      <c r="BA557" s="243"/>
      <c r="BB557" s="243"/>
      <c r="BC557" s="243"/>
      <c r="BD557" s="243"/>
      <c r="BE557" s="243"/>
      <c r="BF557" s="243"/>
      <c r="BG557" s="243"/>
      <c r="BH557" s="243"/>
      <c r="BI557" s="243"/>
      <c r="BJ557" s="243"/>
      <c r="BK557" s="243"/>
      <c r="BL557" s="243"/>
      <c r="BM557" s="243"/>
      <c r="BN557" s="243"/>
      <c r="BO557" s="243"/>
      <c r="BP557" s="243"/>
      <c r="BQ557" s="243"/>
      <c r="BR557" s="243"/>
      <c r="BS557" s="243"/>
      <c r="BT557" s="243"/>
      <c r="BU557" s="243"/>
      <c r="BV557" s="243"/>
      <c r="BW557" s="243"/>
      <c r="BX557" s="243"/>
      <c r="BY557" s="243"/>
      <c r="BZ557" s="243"/>
      <c r="CA557" s="243"/>
      <c r="CB557" s="243"/>
      <c r="CC557" s="243"/>
      <c r="CD557" s="243"/>
      <c r="CE557" s="243"/>
      <c r="CF557" s="243"/>
      <c r="CG557" s="243"/>
      <c r="CH557" s="243"/>
      <c r="CI557" s="243"/>
      <c r="CJ557" s="243"/>
      <c r="CK557" s="243"/>
      <c r="CL557" s="243"/>
      <c r="CM557" s="243"/>
      <c r="CN557" s="243"/>
      <c r="CO557" s="243"/>
      <c r="CP557" s="243"/>
      <c r="CQ557" s="243"/>
      <c r="CR557" s="243"/>
      <c r="CS557" s="243"/>
      <c r="CT557" s="243"/>
      <c r="CU557" s="243"/>
      <c r="CV557" s="243"/>
      <c r="CW557" s="243"/>
      <c r="CX557" s="243"/>
      <c r="CY557" s="243"/>
      <c r="CZ557" s="243"/>
      <c r="DA557" s="243"/>
      <c r="DB557" s="243"/>
      <c r="DC557" s="243"/>
      <c r="DD557" s="243"/>
      <c r="DE557" s="243"/>
      <c r="DF557" s="243"/>
      <c r="DG557" s="243"/>
      <c r="DH557" s="243"/>
      <c r="DI557" s="243"/>
      <c r="DJ557" s="243"/>
      <c r="DK557" s="243"/>
      <c r="DL557" s="243"/>
      <c r="DM557" s="243"/>
      <c r="DN557" s="243"/>
      <c r="DO557" s="243"/>
      <c r="DP557" s="243"/>
      <c r="DQ557" s="243"/>
      <c r="DR557" s="243"/>
      <c r="DS557" s="243"/>
      <c r="DT557" s="243"/>
      <c r="DU557" s="243"/>
      <c r="DV557" s="243"/>
      <c r="DW557" s="243"/>
      <c r="DX557" s="243"/>
      <c r="DY557" s="243"/>
      <c r="DZ557" s="243"/>
      <c r="EA557" s="243"/>
      <c r="EB557" s="243"/>
      <c r="EC557" s="243"/>
      <c r="ED557" s="243"/>
      <c r="EE557" s="243"/>
      <c r="EF557" s="243"/>
      <c r="EG557" s="243"/>
      <c r="EH557" s="243"/>
      <c r="EI557" s="243"/>
      <c r="EJ557" s="243"/>
      <c r="EK557" s="243"/>
      <c r="EL557" s="243"/>
      <c r="EM557" s="243"/>
      <c r="EN557" s="243"/>
      <c r="EO557" s="243"/>
      <c r="EP557" s="243"/>
      <c r="EQ557" s="243"/>
      <c r="ER557" s="243"/>
      <c r="ES557" s="243"/>
      <c r="ET557" s="243"/>
      <c r="EU557" s="243"/>
      <c r="EV557" s="243"/>
      <c r="EW557" s="243"/>
      <c r="EX557" s="243"/>
      <c r="EY557" s="243"/>
      <c r="EZ557" s="243"/>
      <c r="FA557" s="243"/>
      <c r="FB557" s="243"/>
      <c r="FC557" s="243"/>
      <c r="FD557" s="243"/>
      <c r="FE557" s="243"/>
      <c r="FF557" s="243"/>
      <c r="FG557" s="243"/>
      <c r="FH557" s="243"/>
      <c r="FI557" s="243"/>
      <c r="FJ557" s="243"/>
      <c r="FK557" s="243"/>
      <c r="FL557" s="243"/>
      <c r="FM557" s="243"/>
      <c r="FN557" s="243"/>
      <c r="FO557" s="243"/>
      <c r="FP557" s="243"/>
      <c r="FQ557" s="243"/>
      <c r="FR557" s="243"/>
      <c r="FS557" s="243"/>
      <c r="FT557" s="243"/>
      <c r="FU557" s="243"/>
      <c r="FV557" s="243"/>
      <c r="FW557" s="243"/>
      <c r="FX557" s="243"/>
      <c r="FY557" s="243"/>
      <c r="FZ557" s="243"/>
      <c r="GA557" s="243"/>
      <c r="GB557" s="243"/>
      <c r="GC557" s="243"/>
      <c r="GD557" s="243"/>
      <c r="GE557" s="243"/>
      <c r="GF557" s="243"/>
      <c r="GG557" s="243"/>
      <c r="GH557" s="243"/>
      <c r="GI557" s="243"/>
      <c r="GJ557" s="243"/>
      <c r="GK557" s="243"/>
      <c r="GL557" s="243"/>
      <c r="GM557" s="243"/>
      <c r="GN557" s="243"/>
      <c r="GO557" s="243"/>
      <c r="GP557" s="243"/>
      <c r="GQ557" s="243"/>
      <c r="GR557" s="243"/>
      <c r="GS557" s="243"/>
      <c r="GT557" s="243"/>
      <c r="GU557" s="243"/>
      <c r="GV557" s="243"/>
      <c r="GW557" s="243"/>
      <c r="GX557" s="243"/>
      <c r="GY557" s="243"/>
      <c r="GZ557" s="243"/>
      <c r="HA557" s="243"/>
      <c r="HB557" s="243"/>
      <c r="HC557" s="243"/>
      <c r="HD557" s="243"/>
      <c r="HE557" s="243"/>
      <c r="HF557" s="243"/>
      <c r="HG557" s="243"/>
      <c r="HH557" s="243"/>
      <c r="HI557" s="243"/>
      <c r="HJ557" s="243"/>
      <c r="HK557" s="243"/>
      <c r="HL557" s="243"/>
      <c r="HM557" s="243"/>
      <c r="HN557" s="243"/>
      <c r="HO557" s="243"/>
      <c r="HP557" s="243"/>
      <c r="HQ557" s="243"/>
      <c r="HR557" s="243"/>
      <c r="HS557" s="243"/>
      <c r="HT557" s="243"/>
      <c r="HU557" s="243"/>
      <c r="HV557" s="243"/>
      <c r="HW557" s="243"/>
      <c r="HX557" s="243"/>
      <c r="HY557" s="243"/>
      <c r="HZ557" s="243"/>
      <c r="IA557" s="243"/>
      <c r="IB557" s="243"/>
      <c r="IC557" s="243"/>
      <c r="ID557" s="243"/>
      <c r="IE557" s="243"/>
      <c r="IF557" s="243"/>
      <c r="IG557" s="243"/>
      <c r="IH557" s="243"/>
      <c r="II557" s="243"/>
      <c r="IJ557" s="243"/>
      <c r="IK557" s="243"/>
      <c r="IL557" s="243"/>
      <c r="IM557" s="243"/>
      <c r="IN557" s="243"/>
      <c r="IO557" s="243"/>
      <c r="IP557" s="243"/>
      <c r="IQ557" s="243"/>
      <c r="IR557" s="243"/>
      <c r="IS557" s="243"/>
      <c r="IT557" s="243"/>
      <c r="IU557" s="243"/>
      <c r="IV557" s="243"/>
      <c r="IW557" s="243"/>
      <c r="IX557" s="243"/>
      <c r="IY557" s="243"/>
      <c r="IZ557" s="243"/>
      <c r="JA557" s="243"/>
      <c r="JB557" s="243"/>
      <c r="JC557" s="243"/>
      <c r="JD557" s="243"/>
      <c r="JE557" s="243"/>
      <c r="JF557" s="243"/>
      <c r="JG557" s="243"/>
      <c r="JH557" s="243"/>
      <c r="JI557" s="243"/>
      <c r="JJ557" s="243"/>
      <c r="JK557" s="243"/>
      <c r="JL557" s="243"/>
      <c r="JM557" s="243"/>
      <c r="JN557" s="243"/>
      <c r="JO557" s="243"/>
      <c r="JP557" s="243"/>
      <c r="JQ557" s="243"/>
      <c r="JR557" s="243"/>
      <c r="JS557" s="243"/>
      <c r="JT557" s="243"/>
      <c r="JU557" s="243"/>
      <c r="JV557" s="243"/>
      <c r="JW557" s="243"/>
      <c r="JX557" s="243"/>
      <c r="JY557" s="243"/>
      <c r="JZ557" s="243"/>
      <c r="KA557" s="243"/>
      <c r="KB557" s="243"/>
      <c r="KC557" s="243"/>
      <c r="KD557" s="243"/>
      <c r="KE557" s="243"/>
      <c r="KF557" s="243"/>
      <c r="KG557" s="243"/>
      <c r="KH557" s="243"/>
      <c r="KI557" s="243"/>
      <c r="KJ557" s="243"/>
      <c r="KK557" s="243"/>
      <c r="KL557" s="243"/>
      <c r="KM557" s="243"/>
      <c r="KN557" s="243"/>
      <c r="KO557" s="243"/>
      <c r="KP557" s="243"/>
      <c r="KQ557" s="243"/>
      <c r="KR557" s="243"/>
      <c r="KS557" s="243"/>
      <c r="KT557" s="243"/>
      <c r="KU557" s="243"/>
      <c r="KV557" s="243"/>
      <c r="KW557" s="243"/>
      <c r="KX557" s="243"/>
      <c r="KY557" s="243"/>
      <c r="KZ557" s="243"/>
      <c r="LA557" s="243"/>
      <c r="LB557" s="243"/>
      <c r="LC557" s="243"/>
      <c r="LD557" s="243"/>
      <c r="LE557" s="243"/>
      <c r="LF557" s="243"/>
      <c r="LG557" s="243"/>
      <c r="LH557" s="243"/>
      <c r="LI557" s="243"/>
      <c r="LJ557" s="243"/>
      <c r="LK557" s="243"/>
      <c r="LL557" s="243"/>
      <c r="LM557" s="243"/>
      <c r="LN557" s="243"/>
      <c r="LO557" s="243"/>
      <c r="LP557" s="243"/>
      <c r="LQ557" s="243"/>
      <c r="LR557" s="243"/>
      <c r="LS557" s="243"/>
      <c r="LT557" s="243"/>
      <c r="LU557" s="243"/>
      <c r="LV557" s="243"/>
      <c r="LW557" s="243"/>
      <c r="LX557" s="243"/>
      <c r="LY557" s="243"/>
      <c r="LZ557" s="243"/>
      <c r="MA557" s="243"/>
      <c r="MB557" s="243"/>
      <c r="MC557" s="243"/>
      <c r="MD557" s="243"/>
      <c r="ME557" s="243"/>
      <c r="MF557" s="243"/>
      <c r="MG557" s="243"/>
      <c r="MH557" s="243"/>
      <c r="MI557" s="243"/>
      <c r="MJ557" s="243"/>
      <c r="MK557" s="243"/>
      <c r="ML557" s="243"/>
      <c r="MM557" s="243"/>
      <c r="MN557" s="243"/>
      <c r="MO557" s="243"/>
      <c r="MP557" s="243"/>
      <c r="MQ557" s="243"/>
      <c r="MR557" s="243"/>
      <c r="MS557" s="243"/>
      <c r="MT557" s="243"/>
      <c r="MU557" s="243"/>
      <c r="MV557" s="243"/>
      <c r="MW557" s="243"/>
      <c r="MX557" s="243"/>
      <c r="MY557" s="243"/>
      <c r="MZ557" s="243"/>
      <c r="NA557" s="243"/>
      <c r="NB557" s="243"/>
      <c r="NC557" s="243"/>
      <c r="ND557" s="243"/>
      <c r="NE557" s="243"/>
      <c r="NF557" s="243"/>
      <c r="NG557" s="243"/>
      <c r="NH557" s="243"/>
      <c r="NI557" s="243"/>
      <c r="NJ557" s="243"/>
      <c r="NK557" s="243"/>
      <c r="NL557" s="243"/>
      <c r="NM557" s="243"/>
      <c r="NN557" s="243"/>
      <c r="NO557" s="243"/>
      <c r="NP557" s="243"/>
      <c r="NQ557" s="243"/>
      <c r="NR557" s="243"/>
      <c r="NS557" s="243"/>
      <c r="NT557" s="243"/>
      <c r="NU557" s="243"/>
      <c r="NV557" s="243"/>
      <c r="NW557" s="243"/>
      <c r="NX557" s="243"/>
      <c r="NY557" s="243"/>
      <c r="NZ557" s="243"/>
      <c r="OA557" s="243"/>
      <c r="OB557" s="243"/>
      <c r="OC557" s="243"/>
      <c r="OD557" s="243"/>
      <c r="OE557" s="243"/>
      <c r="OF557" s="243"/>
      <c r="OG557" s="243"/>
      <c r="OH557" s="243"/>
      <c r="OI557" s="243"/>
      <c r="OJ557" s="243"/>
      <c r="OK557" s="243"/>
      <c r="OL557" s="243"/>
      <c r="OM557" s="243"/>
      <c r="ON557" s="243"/>
      <c r="OO557" s="243"/>
      <c r="OP557" s="243"/>
      <c r="OQ557" s="243"/>
      <c r="OR557" s="243"/>
      <c r="OS557" s="243"/>
      <c r="OT557" s="243"/>
      <c r="OU557" s="243"/>
      <c r="OV557" s="243"/>
      <c r="OW557" s="243"/>
      <c r="OX557" s="243"/>
      <c r="OY557" s="243"/>
      <c r="OZ557" s="243"/>
      <c r="PA557" s="243"/>
      <c r="PB557" s="243"/>
      <c r="PC557" s="243"/>
      <c r="PD557" s="243"/>
      <c r="PE557" s="243"/>
      <c r="PF557" s="243"/>
      <c r="PG557" s="243"/>
      <c r="PH557" s="243"/>
      <c r="PI557" s="243"/>
      <c r="PJ557" s="243"/>
      <c r="PK557" s="243"/>
      <c r="PL557" s="243"/>
      <c r="PM557" s="243"/>
      <c r="PN557" s="243"/>
      <c r="PO557" s="243"/>
      <c r="PP557" s="243"/>
      <c r="PQ557" s="243"/>
      <c r="PR557" s="243"/>
      <c r="PS557" s="243"/>
      <c r="PT557" s="243"/>
      <c r="PU557" s="243"/>
      <c r="PV557" s="243"/>
      <c r="PW557" s="243"/>
      <c r="PX557" s="243"/>
      <c r="PY557" s="243"/>
      <c r="PZ557" s="243"/>
      <c r="QA557" s="243"/>
      <c r="QB557" s="243"/>
      <c r="QC557" s="243"/>
      <c r="QD557" s="243"/>
      <c r="QE557" s="243"/>
      <c r="QF557" s="243"/>
      <c r="QG557" s="243"/>
      <c r="QH557" s="243"/>
      <c r="QI557" s="243"/>
      <c r="QJ557" s="243"/>
      <c r="QK557" s="243"/>
      <c r="QL557" s="243"/>
      <c r="QM557" s="243"/>
      <c r="QN557" s="243"/>
      <c r="QO557" s="243"/>
      <c r="QP557" s="243"/>
      <c r="QQ557" s="243"/>
      <c r="QR557" s="243"/>
      <c r="QS557" s="243"/>
      <c r="QT557" s="243"/>
      <c r="QU557" s="243"/>
      <c r="QV557" s="243"/>
      <c r="QW557" s="243"/>
      <c r="QX557" s="243"/>
      <c r="QY557" s="243"/>
      <c r="QZ557" s="243"/>
      <c r="RA557" s="243"/>
      <c r="RB557" s="243"/>
      <c r="RC557" s="243"/>
      <c r="RD557" s="243"/>
      <c r="RE557" s="243"/>
      <c r="RF557" s="243"/>
      <c r="RG557" s="243"/>
      <c r="RH557" s="243"/>
      <c r="RI557" s="243"/>
      <c r="RJ557" s="243"/>
      <c r="RK557" s="243"/>
      <c r="RL557" s="243"/>
      <c r="RM557" s="243"/>
      <c r="RN557" s="243"/>
      <c r="RO557" s="243"/>
      <c r="RP557" s="243"/>
      <c r="RQ557" s="243"/>
      <c r="RR557" s="243"/>
      <c r="RS557" s="243"/>
      <c r="RT557" s="243"/>
      <c r="RU557" s="243"/>
      <c r="RV557" s="243"/>
      <c r="RW557" s="243"/>
      <c r="RX557" s="243"/>
      <c r="RY557" s="243"/>
      <c r="RZ557" s="243"/>
      <c r="SA557" s="243"/>
      <c r="SB557" s="243"/>
      <c r="SC557" s="243"/>
      <c r="SD557" s="243"/>
      <c r="SE557" s="243"/>
      <c r="SF557" s="243"/>
      <c r="SG557" s="243"/>
      <c r="SH557" s="243"/>
      <c r="SI557" s="243"/>
      <c r="SJ557" s="243"/>
      <c r="SK557" s="243"/>
      <c r="SL557" s="243"/>
      <c r="SM557" s="243"/>
      <c r="SN557" s="243"/>
      <c r="SO557" s="243"/>
      <c r="SP557" s="243"/>
      <c r="SQ557" s="243"/>
      <c r="SR557" s="243"/>
      <c r="SS557" s="243"/>
      <c r="ST557" s="243"/>
      <c r="SU557" s="243"/>
      <c r="SV557" s="243"/>
      <c r="SW557" s="243"/>
      <c r="SX557" s="243"/>
      <c r="SY557" s="243"/>
      <c r="SZ557" s="243"/>
      <c r="TA557" s="243"/>
      <c r="TB557" s="243"/>
      <c r="TC557" s="243"/>
      <c r="TD557" s="243"/>
      <c r="TE557" s="243"/>
      <c r="TF557" s="243"/>
      <c r="TG557" s="243"/>
      <c r="TH557" s="243"/>
      <c r="TI557" s="243"/>
      <c r="TJ557" s="243"/>
      <c r="TK557" s="243"/>
      <c r="TL557" s="243"/>
      <c r="TM557" s="243"/>
      <c r="TN557" s="243"/>
      <c r="TO557" s="243"/>
      <c r="TP557" s="243"/>
      <c r="TQ557" s="243"/>
      <c r="TR557" s="243"/>
      <c r="TS557" s="243"/>
      <c r="TT557" s="243"/>
      <c r="TU557" s="243"/>
      <c r="TV557" s="243"/>
      <c r="TW557" s="243"/>
      <c r="TX557" s="243"/>
      <c r="TY557" s="243"/>
      <c r="TZ557" s="243"/>
      <c r="UA557" s="243"/>
      <c r="UB557" s="243"/>
      <c r="UC557" s="243"/>
      <c r="UD557" s="243"/>
      <c r="UE557" s="243"/>
      <c r="UF557" s="243"/>
      <c r="UG557" s="243"/>
      <c r="UH557" s="243"/>
      <c r="UI557" s="243"/>
      <c r="UJ557" s="243"/>
      <c r="UK557" s="243"/>
      <c r="UL557" s="243"/>
      <c r="UM557" s="243"/>
      <c r="UN557" s="243"/>
      <c r="UO557" s="243"/>
      <c r="UP557" s="243"/>
      <c r="UQ557" s="243"/>
      <c r="UR557" s="243"/>
      <c r="US557" s="243"/>
      <c r="UT557" s="243"/>
      <c r="UU557" s="243"/>
      <c r="UV557" s="243"/>
      <c r="UW557" s="243"/>
      <c r="UX557" s="243"/>
      <c r="UY557" s="243"/>
      <c r="UZ557" s="243"/>
      <c r="VA557" s="243"/>
      <c r="VB557" s="243"/>
      <c r="VC557" s="243"/>
      <c r="VD557" s="243"/>
      <c r="VE557" s="243"/>
      <c r="VF557" s="243"/>
      <c r="VG557" s="243"/>
      <c r="VH557" s="243"/>
      <c r="VI557" s="243"/>
      <c r="VJ557" s="243"/>
      <c r="VK557" s="243"/>
      <c r="VL557" s="243"/>
      <c r="VM557" s="243"/>
      <c r="VN557" s="243"/>
      <c r="VO557" s="243"/>
      <c r="VP557" s="243"/>
      <c r="VQ557" s="243"/>
      <c r="VR557" s="243"/>
      <c r="VS557" s="243"/>
      <c r="VT557" s="243"/>
      <c r="VU557" s="243"/>
      <c r="VV557" s="243"/>
      <c r="VW557" s="243"/>
      <c r="VX557" s="243"/>
      <c r="VY557" s="243"/>
      <c r="VZ557" s="243"/>
      <c r="WA557" s="243"/>
      <c r="WB557" s="243"/>
      <c r="WC557" s="243"/>
      <c r="WD557" s="243"/>
      <c r="WE557" s="243"/>
      <c r="WF557" s="243"/>
      <c r="WG557" s="243"/>
      <c r="WH557" s="243"/>
      <c r="WI557" s="243"/>
      <c r="WJ557" s="243"/>
      <c r="WK557" s="243"/>
      <c r="WL557" s="243"/>
      <c r="WM557" s="243"/>
      <c r="WN557" s="243"/>
      <c r="WO557" s="243"/>
      <c r="WP557" s="243"/>
      <c r="WQ557" s="243"/>
      <c r="WR557" s="243"/>
      <c r="WS557" s="243"/>
      <c r="WT557" s="243"/>
      <c r="WU557" s="243"/>
      <c r="WV557" s="243"/>
      <c r="WW557" s="243"/>
      <c r="WX557" s="243"/>
      <c r="WY557" s="243"/>
      <c r="WZ557" s="243"/>
      <c r="XA557" s="243"/>
      <c r="XB557" s="243"/>
      <c r="XC557" s="243"/>
      <c r="XD557" s="243"/>
      <c r="XE557" s="243"/>
      <c r="XF557" s="243"/>
      <c r="XG557" s="243"/>
      <c r="XH557" s="243"/>
      <c r="XI557" s="243"/>
      <c r="XJ557" s="243"/>
      <c r="XK557" s="243"/>
      <c r="XL557" s="243"/>
      <c r="XM557" s="243"/>
      <c r="XN557" s="243"/>
      <c r="XO557" s="243"/>
      <c r="XP557" s="243"/>
      <c r="XQ557" s="243"/>
      <c r="XR557" s="243"/>
      <c r="XS557" s="243"/>
      <c r="XT557" s="243"/>
      <c r="XU557" s="243"/>
      <c r="XV557" s="243"/>
      <c r="XW557" s="243"/>
      <c r="XX557" s="243"/>
      <c r="XY557" s="243"/>
      <c r="XZ557" s="243"/>
      <c r="YA557" s="243"/>
      <c r="YB557" s="243"/>
      <c r="YC557" s="243"/>
      <c r="YD557" s="243"/>
      <c r="YE557" s="243"/>
      <c r="YF557" s="243"/>
      <c r="YG557" s="243"/>
      <c r="YH557" s="243"/>
      <c r="YI557" s="243"/>
      <c r="YJ557" s="243"/>
      <c r="YK557" s="243"/>
      <c r="YL557" s="243"/>
      <c r="YM557" s="243"/>
      <c r="YN557" s="243"/>
      <c r="YO557" s="243"/>
      <c r="YP557" s="243"/>
      <c r="YQ557" s="243"/>
      <c r="YR557" s="243"/>
      <c r="YS557" s="243"/>
      <c r="YT557" s="243"/>
      <c r="YU557" s="243"/>
      <c r="YV557" s="243"/>
      <c r="YW557" s="243"/>
      <c r="YX557" s="243"/>
      <c r="YY557" s="243"/>
      <c r="YZ557" s="243"/>
      <c r="ZA557" s="243"/>
      <c r="ZB557" s="243"/>
      <c r="ZC557" s="243"/>
      <c r="ZD557" s="243"/>
      <c r="ZE557" s="243"/>
      <c r="ZF557" s="243"/>
      <c r="ZG557" s="243"/>
      <c r="ZH557" s="243"/>
      <c r="ZI557" s="243"/>
      <c r="ZJ557" s="243"/>
      <c r="ZK557" s="243"/>
      <c r="ZL557" s="243"/>
      <c r="ZM557" s="243"/>
      <c r="ZN557" s="243"/>
      <c r="ZO557" s="243"/>
      <c r="ZP557" s="243"/>
      <c r="ZQ557" s="243"/>
      <c r="ZR557" s="243"/>
      <c r="ZS557" s="243"/>
      <c r="ZT557" s="243"/>
      <c r="ZU557" s="243"/>
      <c r="ZV557" s="243"/>
      <c r="ZW557" s="243"/>
      <c r="ZX557" s="243"/>
      <c r="ZY557" s="243"/>
      <c r="ZZ557" s="243"/>
      <c r="AAA557" s="243"/>
      <c r="AAB557" s="243"/>
      <c r="AAC557" s="243"/>
      <c r="AAD557" s="243"/>
      <c r="AAE557" s="243"/>
      <c r="AAF557" s="243"/>
      <c r="AAG557" s="243"/>
      <c r="AAH557" s="243"/>
      <c r="AAI557" s="243"/>
      <c r="AAJ557" s="243"/>
      <c r="AAK557" s="243"/>
      <c r="AAL557" s="243"/>
      <c r="AAM557" s="243"/>
      <c r="AAN557" s="243"/>
      <c r="AAO557" s="243"/>
      <c r="AAP557" s="243"/>
      <c r="AAQ557" s="243"/>
      <c r="AAR557" s="243"/>
      <c r="AAS557" s="243"/>
      <c r="AAT557" s="243"/>
      <c r="AAU557" s="243"/>
      <c r="AAV557" s="243"/>
      <c r="AAW557" s="243"/>
      <c r="AAX557" s="243"/>
      <c r="AAY557" s="243"/>
      <c r="AAZ557" s="243"/>
      <c r="ABA557" s="243"/>
      <c r="ABB557" s="243"/>
      <c r="ABC557" s="243"/>
      <c r="ABD557" s="243"/>
      <c r="ABE557" s="243"/>
      <c r="ABF557" s="243"/>
      <c r="ABG557" s="243"/>
      <c r="ABH557" s="243"/>
      <c r="ABI557" s="243"/>
      <c r="ABJ557" s="243"/>
      <c r="ABK557" s="243"/>
      <c r="ABL557" s="243"/>
      <c r="ABM557" s="243"/>
      <c r="ABN557" s="243"/>
      <c r="ABO557" s="243"/>
      <c r="ABP557" s="243"/>
      <c r="ABQ557" s="243"/>
      <c r="ABR557" s="243"/>
      <c r="ABS557" s="243"/>
      <c r="ABT557" s="243"/>
      <c r="ABU557" s="243"/>
      <c r="ABV557" s="243"/>
      <c r="ABW557" s="243"/>
      <c r="ABX557" s="243"/>
      <c r="ABY557" s="243"/>
      <c r="ABZ557" s="243"/>
      <c r="ACA557" s="243"/>
      <c r="ACB557" s="243"/>
      <c r="ACC557" s="243"/>
      <c r="ACD557" s="243"/>
      <c r="ACE557" s="243"/>
      <c r="ACF557" s="243"/>
      <c r="ACG557" s="243"/>
      <c r="ACH557" s="243"/>
      <c r="ACI557" s="243"/>
      <c r="ACJ557" s="243"/>
      <c r="ACK557" s="243"/>
      <c r="ACL557" s="243"/>
      <c r="ACM557" s="243"/>
      <c r="ACN557" s="243"/>
      <c r="ACO557" s="243"/>
      <c r="ACP557" s="243"/>
      <c r="ACQ557" s="243"/>
      <c r="ACR557" s="243"/>
      <c r="ACS557" s="243"/>
      <c r="ACT557" s="243"/>
      <c r="ACU557" s="243"/>
      <c r="ACV557" s="243"/>
      <c r="ACW557" s="243"/>
      <c r="ACX557" s="243"/>
      <c r="ACY557" s="243"/>
      <c r="ACZ557" s="243"/>
      <c r="ADA557" s="243"/>
      <c r="ADB557" s="243"/>
      <c r="ADC557" s="243"/>
      <c r="ADD557" s="243"/>
      <c r="ADE557" s="243"/>
      <c r="ADF557" s="243"/>
      <c r="ADG557" s="243"/>
      <c r="ADH557" s="243"/>
      <c r="ADI557" s="243"/>
      <c r="ADJ557" s="243"/>
      <c r="ADK557" s="243"/>
      <c r="ADL557" s="243"/>
      <c r="ADM557" s="243"/>
      <c r="ADN557" s="243"/>
      <c r="ADO557" s="243"/>
      <c r="ADP557" s="243"/>
      <c r="ADQ557" s="243"/>
      <c r="ADR557" s="243"/>
      <c r="ADS557" s="243"/>
      <c r="ADT557" s="243"/>
      <c r="ADU557" s="243"/>
      <c r="ADV557" s="243"/>
      <c r="ADW557" s="243"/>
      <c r="ADX557" s="243"/>
      <c r="ADY557" s="243"/>
      <c r="ADZ557" s="243"/>
      <c r="AEA557" s="243"/>
      <c r="AEB557" s="243"/>
      <c r="AEC557" s="243"/>
      <c r="AED557" s="243"/>
      <c r="AEE557" s="243"/>
      <c r="AEF557" s="243"/>
      <c r="AEG557" s="243"/>
      <c r="AEH557" s="243"/>
      <c r="AEI557" s="243"/>
      <c r="AEJ557" s="243"/>
      <c r="AEK557" s="243"/>
      <c r="AEL557" s="243"/>
      <c r="AEM557" s="243"/>
      <c r="AEN557" s="243"/>
      <c r="AEO557" s="243"/>
      <c r="AEP557" s="243"/>
      <c r="AEQ557" s="243"/>
      <c r="AER557" s="243"/>
      <c r="AES557" s="243"/>
      <c r="AET557" s="243"/>
      <c r="AEU557" s="243"/>
      <c r="AEV557" s="243"/>
      <c r="AEW557" s="243"/>
      <c r="AEX557" s="243"/>
      <c r="AEY557" s="243"/>
      <c r="AEZ557" s="243"/>
      <c r="AFA557" s="243"/>
      <c r="AFB557" s="243"/>
      <c r="AFC557" s="243"/>
      <c r="AFD557" s="243"/>
      <c r="AFE557" s="243"/>
      <c r="AFF557" s="243"/>
      <c r="AFG557" s="243"/>
      <c r="AFH557" s="243"/>
      <c r="AFI557" s="243"/>
      <c r="AFJ557" s="243"/>
      <c r="AFK557" s="243"/>
      <c r="AFL557" s="243"/>
      <c r="AFM557" s="243"/>
      <c r="AFN557" s="243"/>
      <c r="AFO557" s="243"/>
      <c r="AFP557" s="243"/>
      <c r="AFQ557" s="243"/>
      <c r="AFR557" s="243"/>
      <c r="AFS557" s="243"/>
      <c r="AFT557" s="243"/>
      <c r="AFU557" s="243"/>
      <c r="AFV557" s="243"/>
      <c r="AFW557" s="243"/>
      <c r="AFX557" s="243"/>
      <c r="AFY557" s="243"/>
      <c r="AFZ557" s="243"/>
      <c r="AGA557" s="243"/>
      <c r="AGB557" s="243"/>
      <c r="AGC557" s="243"/>
      <c r="AGD557" s="243"/>
      <c r="AGE557" s="243"/>
      <c r="AGF557" s="243"/>
      <c r="AGG557" s="243"/>
      <c r="AGH557" s="243"/>
      <c r="AGI557" s="243"/>
      <c r="AGJ557" s="243"/>
      <c r="AGK557" s="243"/>
      <c r="AGL557" s="243"/>
      <c r="AGM557" s="243"/>
      <c r="AGN557" s="243"/>
      <c r="AGO557" s="243"/>
      <c r="AGP557" s="243"/>
      <c r="AGQ557" s="243"/>
      <c r="AGR557" s="243"/>
      <c r="AGS557" s="243"/>
      <c r="AGT557" s="243"/>
      <c r="AGU557" s="243"/>
      <c r="AGV557" s="243"/>
      <c r="AGW557" s="243"/>
      <c r="AGX557" s="243"/>
      <c r="AGY557" s="243"/>
      <c r="AGZ557" s="243"/>
      <c r="AHA557" s="243"/>
      <c r="AHB557" s="243"/>
      <c r="AHC557" s="243"/>
      <c r="AHD557" s="243"/>
      <c r="AHE557" s="243"/>
      <c r="AHF557" s="243"/>
      <c r="AHG557" s="243"/>
      <c r="AHH557" s="243"/>
      <c r="AHI557" s="243"/>
      <c r="AHJ557" s="243"/>
      <c r="AHK557" s="243"/>
      <c r="AHL557" s="243"/>
      <c r="AHM557" s="243"/>
      <c r="AHN557" s="243"/>
      <c r="AHO557" s="243"/>
      <c r="AHP557" s="243"/>
      <c r="AHQ557" s="243"/>
      <c r="AHR557" s="243"/>
      <c r="AHS557" s="243"/>
      <c r="AHT557" s="243"/>
      <c r="AHU557" s="243"/>
      <c r="AHV557" s="243"/>
      <c r="AHW557" s="243"/>
      <c r="AHX557" s="243"/>
      <c r="AHY557" s="243"/>
      <c r="AHZ557" s="243"/>
      <c r="AIA557" s="243"/>
      <c r="AIB557" s="243"/>
      <c r="AIC557" s="243"/>
      <c r="AID557" s="243"/>
      <c r="AIE557" s="243"/>
      <c r="AIF557" s="243"/>
      <c r="AIG557" s="243"/>
      <c r="AIH557" s="243"/>
      <c r="AII557" s="243"/>
      <c r="AIJ557" s="243"/>
      <c r="AIK557" s="243"/>
      <c r="AIL557" s="243"/>
      <c r="AIM557" s="243"/>
      <c r="AIN557" s="243"/>
      <c r="AIO557" s="243"/>
      <c r="AIP557" s="243"/>
      <c r="AIQ557" s="243"/>
      <c r="AIR557" s="243"/>
      <c r="AIS557" s="243"/>
      <c r="AIT557" s="243"/>
      <c r="AIU557" s="243"/>
      <c r="AIV557" s="243"/>
      <c r="AIW557" s="243"/>
      <c r="AIX557" s="243"/>
      <c r="AIY557" s="243"/>
      <c r="AIZ557" s="243"/>
      <c r="AJA557" s="243"/>
      <c r="AJB557" s="243"/>
      <c r="AJC557" s="243"/>
      <c r="AJD557" s="243"/>
      <c r="AJE557" s="243"/>
      <c r="AJF557" s="243"/>
      <c r="AJG557" s="243"/>
      <c r="AJH557" s="243"/>
      <c r="AJI557" s="243"/>
      <c r="AJJ557" s="243"/>
      <c r="AJK557" s="243"/>
      <c r="AJL557" s="243"/>
      <c r="AJM557" s="243"/>
      <c r="AJN557" s="243"/>
      <c r="AJO557" s="243"/>
      <c r="AJP557" s="243"/>
      <c r="AJQ557" s="243"/>
      <c r="AJR557" s="243"/>
      <c r="AJS557" s="243"/>
      <c r="AJT557" s="243"/>
      <c r="AJU557" s="243"/>
      <c r="AJV557" s="243"/>
      <c r="AJW557" s="243"/>
      <c r="AJX557" s="243"/>
      <c r="AJY557" s="243"/>
      <c r="AJZ557" s="243"/>
      <c r="AKA557" s="243"/>
      <c r="AKB557" s="243"/>
      <c r="AKC557" s="243"/>
      <c r="AKD557" s="243"/>
      <c r="AKE557" s="243"/>
      <c r="AKF557" s="243"/>
      <c r="AKG557" s="243"/>
      <c r="AKH557" s="243"/>
      <c r="AKI557" s="243"/>
      <c r="AKJ557" s="243"/>
      <c r="AKK557" s="243"/>
      <c r="AKL557" s="243"/>
      <c r="AKM557" s="243"/>
      <c r="AKN557" s="243"/>
      <c r="AKO557" s="243"/>
      <c r="AKP557" s="243"/>
      <c r="AKQ557" s="243"/>
      <c r="AKR557" s="243"/>
      <c r="AKS557" s="243"/>
      <c r="AKT557" s="243"/>
      <c r="AKU557" s="243"/>
      <c r="AKV557" s="243"/>
      <c r="AKW557" s="243"/>
      <c r="AKX557" s="243"/>
      <c r="AKY557" s="243"/>
      <c r="AKZ557" s="243"/>
      <c r="ALA557" s="243"/>
      <c r="ALB557" s="243"/>
      <c r="ALC557" s="243"/>
      <c r="ALD557" s="243"/>
      <c r="ALE557" s="243"/>
      <c r="ALF557" s="243"/>
      <c r="ALG557" s="243"/>
      <c r="ALH557" s="243"/>
      <c r="ALI557" s="243"/>
      <c r="ALJ557" s="243"/>
      <c r="ALK557" s="243"/>
      <c r="ALL557" s="243"/>
      <c r="ALM557" s="243"/>
      <c r="ALN557" s="243"/>
      <c r="ALO557" s="243"/>
      <c r="ALP557" s="243"/>
      <c r="ALQ557" s="243"/>
      <c r="ALR557" s="243"/>
      <c r="ALS557" s="243"/>
      <c r="ALT557" s="243"/>
      <c r="ALU557" s="243"/>
      <c r="ALV557" s="243"/>
      <c r="ALW557" s="243"/>
      <c r="ALX557" s="243"/>
      <c r="ALY557" s="243"/>
      <c r="ALZ557" s="243"/>
      <c r="AMA557" s="243"/>
      <c r="AMB557" s="243"/>
      <c r="AMC557" s="243"/>
      <c r="AMD557" s="243"/>
      <c r="AME557" s="243"/>
      <c r="AMF557" s="243"/>
      <c r="AMG557" s="243"/>
      <c r="AMH557" s="243"/>
      <c r="AMI557" s="243"/>
      <c r="AMJ557" s="243"/>
      <c r="AMK557" s="244"/>
    </row>
    <row r="558" spans="1:1025" hidden="1">
      <c r="A558" s="243"/>
      <c r="B558" s="448">
        <v>44686</v>
      </c>
      <c r="C558" s="279" t="s">
        <v>900</v>
      </c>
      <c r="D558" s="246" t="s">
        <v>937</v>
      </c>
      <c r="E558" s="246" t="s">
        <v>845</v>
      </c>
      <c r="F558" s="248">
        <v>2250000</v>
      </c>
      <c r="G558" s="247" t="s">
        <v>903</v>
      </c>
      <c r="H558" s="247" t="s">
        <v>523</v>
      </c>
      <c r="I558" s="247" t="s">
        <v>523</v>
      </c>
      <c r="J558" s="247">
        <v>1</v>
      </c>
      <c r="K558" s="247"/>
      <c r="L558" s="247" t="s">
        <v>138</v>
      </c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  <c r="AA558" s="243"/>
      <c r="AB558" s="243"/>
      <c r="AC558" s="243"/>
      <c r="AD558" s="243"/>
      <c r="AE558" s="243"/>
      <c r="AF558" s="243"/>
      <c r="AG558" s="243"/>
      <c r="AH558" s="243"/>
      <c r="AI558" s="243"/>
      <c r="AJ558" s="243"/>
      <c r="AK558" s="243"/>
      <c r="AL558" s="243"/>
      <c r="AM558" s="243"/>
      <c r="AN558" s="243"/>
      <c r="AO558" s="243"/>
      <c r="AP558" s="243"/>
      <c r="AQ558" s="243"/>
      <c r="AR558" s="243"/>
      <c r="AS558" s="243"/>
      <c r="AT558" s="243"/>
      <c r="AU558" s="243"/>
      <c r="AV558" s="243"/>
      <c r="AW558" s="243"/>
      <c r="AX558" s="243"/>
      <c r="AY558" s="243"/>
      <c r="AZ558" s="243"/>
      <c r="BA558" s="243"/>
      <c r="BB558" s="243"/>
      <c r="BC558" s="243"/>
      <c r="BD558" s="243"/>
      <c r="BE558" s="243"/>
      <c r="BF558" s="243"/>
      <c r="BG558" s="243"/>
      <c r="BH558" s="243"/>
      <c r="BI558" s="243"/>
      <c r="BJ558" s="243"/>
      <c r="BK558" s="243"/>
      <c r="BL558" s="243"/>
      <c r="BM558" s="243"/>
      <c r="BN558" s="243"/>
      <c r="BO558" s="243"/>
      <c r="BP558" s="243"/>
      <c r="BQ558" s="243"/>
      <c r="BR558" s="243"/>
      <c r="BS558" s="243"/>
      <c r="BT558" s="243"/>
      <c r="BU558" s="243"/>
      <c r="BV558" s="243"/>
      <c r="BW558" s="243"/>
      <c r="BX558" s="243"/>
      <c r="BY558" s="243"/>
      <c r="BZ558" s="243"/>
      <c r="CA558" s="243"/>
      <c r="CB558" s="243"/>
      <c r="CC558" s="243"/>
      <c r="CD558" s="243"/>
      <c r="CE558" s="243"/>
      <c r="CF558" s="243"/>
      <c r="CG558" s="243"/>
      <c r="CH558" s="243"/>
      <c r="CI558" s="243"/>
      <c r="CJ558" s="243"/>
      <c r="CK558" s="243"/>
      <c r="CL558" s="243"/>
      <c r="CM558" s="243"/>
      <c r="CN558" s="243"/>
      <c r="CO558" s="243"/>
      <c r="CP558" s="243"/>
      <c r="CQ558" s="243"/>
      <c r="CR558" s="243"/>
      <c r="CS558" s="243"/>
      <c r="CT558" s="243"/>
      <c r="CU558" s="243"/>
      <c r="CV558" s="243"/>
      <c r="CW558" s="243"/>
      <c r="CX558" s="243"/>
      <c r="CY558" s="243"/>
      <c r="CZ558" s="243"/>
      <c r="DA558" s="243"/>
      <c r="DB558" s="243"/>
      <c r="DC558" s="243"/>
      <c r="DD558" s="243"/>
      <c r="DE558" s="243"/>
      <c r="DF558" s="243"/>
      <c r="DG558" s="243"/>
      <c r="DH558" s="243"/>
      <c r="DI558" s="243"/>
      <c r="DJ558" s="243"/>
      <c r="DK558" s="243"/>
      <c r="DL558" s="243"/>
      <c r="DM558" s="243"/>
      <c r="DN558" s="243"/>
      <c r="DO558" s="243"/>
      <c r="DP558" s="243"/>
      <c r="DQ558" s="243"/>
      <c r="DR558" s="243"/>
      <c r="DS558" s="243"/>
      <c r="DT558" s="243"/>
      <c r="DU558" s="243"/>
      <c r="DV558" s="243"/>
      <c r="DW558" s="243"/>
      <c r="DX558" s="243"/>
      <c r="DY558" s="243"/>
      <c r="DZ558" s="243"/>
      <c r="EA558" s="243"/>
      <c r="EB558" s="243"/>
      <c r="EC558" s="243"/>
      <c r="ED558" s="243"/>
      <c r="EE558" s="243"/>
      <c r="EF558" s="243"/>
      <c r="EG558" s="243"/>
      <c r="EH558" s="243"/>
      <c r="EI558" s="243"/>
      <c r="EJ558" s="243"/>
      <c r="EK558" s="243"/>
      <c r="EL558" s="243"/>
      <c r="EM558" s="243"/>
      <c r="EN558" s="243"/>
      <c r="EO558" s="243"/>
      <c r="EP558" s="243"/>
      <c r="EQ558" s="243"/>
      <c r="ER558" s="243"/>
      <c r="ES558" s="243"/>
      <c r="ET558" s="243"/>
      <c r="EU558" s="243"/>
      <c r="EV558" s="243"/>
      <c r="EW558" s="243"/>
      <c r="EX558" s="243"/>
      <c r="EY558" s="243"/>
      <c r="EZ558" s="243"/>
      <c r="FA558" s="243"/>
      <c r="FB558" s="243"/>
      <c r="FC558" s="243"/>
      <c r="FD558" s="243"/>
      <c r="FE558" s="243"/>
      <c r="FF558" s="243"/>
      <c r="FG558" s="243"/>
      <c r="FH558" s="243"/>
      <c r="FI558" s="243"/>
      <c r="FJ558" s="243"/>
      <c r="FK558" s="243"/>
      <c r="FL558" s="243"/>
      <c r="FM558" s="243"/>
      <c r="FN558" s="243"/>
      <c r="FO558" s="243"/>
      <c r="FP558" s="243"/>
      <c r="FQ558" s="243"/>
      <c r="FR558" s="243"/>
      <c r="FS558" s="243"/>
      <c r="FT558" s="243"/>
      <c r="FU558" s="243"/>
      <c r="FV558" s="243"/>
      <c r="FW558" s="243"/>
      <c r="FX558" s="243"/>
      <c r="FY558" s="243"/>
      <c r="FZ558" s="243"/>
      <c r="GA558" s="243"/>
      <c r="GB558" s="243"/>
      <c r="GC558" s="243"/>
      <c r="GD558" s="243"/>
      <c r="GE558" s="243"/>
      <c r="GF558" s="243"/>
      <c r="GG558" s="243"/>
      <c r="GH558" s="243"/>
      <c r="GI558" s="243"/>
      <c r="GJ558" s="243"/>
      <c r="GK558" s="243"/>
      <c r="GL558" s="243"/>
      <c r="GM558" s="243"/>
      <c r="GN558" s="243"/>
      <c r="GO558" s="243"/>
      <c r="GP558" s="243"/>
      <c r="GQ558" s="243"/>
      <c r="GR558" s="243"/>
      <c r="GS558" s="243"/>
      <c r="GT558" s="243"/>
      <c r="GU558" s="243"/>
      <c r="GV558" s="243"/>
      <c r="GW558" s="243"/>
      <c r="GX558" s="243"/>
      <c r="GY558" s="243"/>
      <c r="GZ558" s="243"/>
      <c r="HA558" s="243"/>
      <c r="HB558" s="243"/>
      <c r="HC558" s="243"/>
      <c r="HD558" s="243"/>
      <c r="HE558" s="243"/>
      <c r="HF558" s="243"/>
      <c r="HG558" s="243"/>
      <c r="HH558" s="243"/>
      <c r="HI558" s="243"/>
      <c r="HJ558" s="243"/>
      <c r="HK558" s="243"/>
      <c r="HL558" s="243"/>
      <c r="HM558" s="243"/>
      <c r="HN558" s="243"/>
      <c r="HO558" s="243"/>
      <c r="HP558" s="243"/>
      <c r="HQ558" s="243"/>
      <c r="HR558" s="243"/>
      <c r="HS558" s="243"/>
      <c r="HT558" s="243"/>
      <c r="HU558" s="243"/>
      <c r="HV558" s="243"/>
      <c r="HW558" s="243"/>
      <c r="HX558" s="243"/>
      <c r="HY558" s="243"/>
      <c r="HZ558" s="243"/>
      <c r="IA558" s="243"/>
      <c r="IB558" s="243"/>
      <c r="IC558" s="243"/>
      <c r="ID558" s="243"/>
      <c r="IE558" s="243"/>
      <c r="IF558" s="243"/>
      <c r="IG558" s="243"/>
      <c r="IH558" s="243"/>
      <c r="II558" s="243"/>
      <c r="IJ558" s="243"/>
      <c r="IK558" s="243"/>
      <c r="IL558" s="243"/>
      <c r="IM558" s="243"/>
      <c r="IN558" s="243"/>
      <c r="IO558" s="243"/>
      <c r="IP558" s="243"/>
      <c r="IQ558" s="243"/>
      <c r="IR558" s="243"/>
      <c r="IS558" s="243"/>
      <c r="IT558" s="243"/>
      <c r="IU558" s="243"/>
      <c r="IV558" s="243"/>
      <c r="IW558" s="243"/>
      <c r="IX558" s="243"/>
      <c r="IY558" s="243"/>
      <c r="IZ558" s="243"/>
      <c r="JA558" s="243"/>
      <c r="JB558" s="243"/>
      <c r="JC558" s="243"/>
      <c r="JD558" s="243"/>
      <c r="JE558" s="243"/>
      <c r="JF558" s="243"/>
      <c r="JG558" s="243"/>
      <c r="JH558" s="243"/>
      <c r="JI558" s="243"/>
      <c r="JJ558" s="243"/>
      <c r="JK558" s="243"/>
      <c r="JL558" s="243"/>
      <c r="JM558" s="243"/>
      <c r="JN558" s="243"/>
      <c r="JO558" s="243"/>
      <c r="JP558" s="243"/>
      <c r="JQ558" s="243"/>
      <c r="JR558" s="243"/>
      <c r="JS558" s="243"/>
      <c r="JT558" s="243"/>
      <c r="JU558" s="243"/>
      <c r="JV558" s="243"/>
      <c r="JW558" s="243"/>
      <c r="JX558" s="243"/>
      <c r="JY558" s="243"/>
      <c r="JZ558" s="243"/>
      <c r="KA558" s="243"/>
      <c r="KB558" s="243"/>
      <c r="KC558" s="243"/>
      <c r="KD558" s="243"/>
      <c r="KE558" s="243"/>
      <c r="KF558" s="243"/>
      <c r="KG558" s="243"/>
      <c r="KH558" s="243"/>
      <c r="KI558" s="243"/>
      <c r="KJ558" s="243"/>
      <c r="KK558" s="243"/>
      <c r="KL558" s="243"/>
      <c r="KM558" s="243"/>
      <c r="KN558" s="243"/>
      <c r="KO558" s="243"/>
      <c r="KP558" s="243"/>
      <c r="KQ558" s="243"/>
      <c r="KR558" s="243"/>
      <c r="KS558" s="243"/>
      <c r="KT558" s="243"/>
      <c r="KU558" s="243"/>
      <c r="KV558" s="243"/>
      <c r="KW558" s="243"/>
      <c r="KX558" s="243"/>
      <c r="KY558" s="243"/>
      <c r="KZ558" s="243"/>
      <c r="LA558" s="243"/>
      <c r="LB558" s="243"/>
      <c r="LC558" s="243"/>
      <c r="LD558" s="243"/>
      <c r="LE558" s="243"/>
      <c r="LF558" s="243"/>
      <c r="LG558" s="243"/>
      <c r="LH558" s="243"/>
      <c r="LI558" s="243"/>
      <c r="LJ558" s="243"/>
      <c r="LK558" s="243"/>
      <c r="LL558" s="243"/>
      <c r="LM558" s="243"/>
      <c r="LN558" s="243"/>
      <c r="LO558" s="243"/>
      <c r="LP558" s="243"/>
      <c r="LQ558" s="243"/>
      <c r="LR558" s="243"/>
      <c r="LS558" s="243"/>
      <c r="LT558" s="243"/>
      <c r="LU558" s="243"/>
      <c r="LV558" s="243"/>
      <c r="LW558" s="243"/>
      <c r="LX558" s="243"/>
      <c r="LY558" s="243"/>
      <c r="LZ558" s="243"/>
      <c r="MA558" s="243"/>
      <c r="MB558" s="243"/>
      <c r="MC558" s="243"/>
      <c r="MD558" s="243"/>
      <c r="ME558" s="243"/>
      <c r="MF558" s="243"/>
      <c r="MG558" s="243"/>
      <c r="MH558" s="243"/>
      <c r="MI558" s="243"/>
      <c r="MJ558" s="243"/>
      <c r="MK558" s="243"/>
      <c r="ML558" s="243"/>
      <c r="MM558" s="243"/>
      <c r="MN558" s="243"/>
      <c r="MO558" s="243"/>
      <c r="MP558" s="243"/>
      <c r="MQ558" s="243"/>
      <c r="MR558" s="243"/>
      <c r="MS558" s="243"/>
      <c r="MT558" s="243"/>
      <c r="MU558" s="243"/>
      <c r="MV558" s="243"/>
      <c r="MW558" s="243"/>
      <c r="MX558" s="243"/>
      <c r="MY558" s="243"/>
      <c r="MZ558" s="243"/>
      <c r="NA558" s="243"/>
      <c r="NB558" s="243"/>
      <c r="NC558" s="243"/>
      <c r="ND558" s="243"/>
      <c r="NE558" s="243"/>
      <c r="NF558" s="243"/>
      <c r="NG558" s="243"/>
      <c r="NH558" s="243"/>
      <c r="NI558" s="243"/>
      <c r="NJ558" s="243"/>
      <c r="NK558" s="243"/>
      <c r="NL558" s="243"/>
      <c r="NM558" s="243"/>
      <c r="NN558" s="243"/>
      <c r="NO558" s="243"/>
      <c r="NP558" s="243"/>
      <c r="NQ558" s="243"/>
      <c r="NR558" s="243"/>
      <c r="NS558" s="243"/>
      <c r="NT558" s="243"/>
      <c r="NU558" s="243"/>
      <c r="NV558" s="243"/>
      <c r="NW558" s="243"/>
      <c r="NX558" s="243"/>
      <c r="NY558" s="243"/>
      <c r="NZ558" s="243"/>
      <c r="OA558" s="243"/>
      <c r="OB558" s="243"/>
      <c r="OC558" s="243"/>
      <c r="OD558" s="243"/>
      <c r="OE558" s="243"/>
      <c r="OF558" s="243"/>
      <c r="OG558" s="243"/>
      <c r="OH558" s="243"/>
      <c r="OI558" s="243"/>
      <c r="OJ558" s="243"/>
      <c r="OK558" s="243"/>
      <c r="OL558" s="243"/>
      <c r="OM558" s="243"/>
      <c r="ON558" s="243"/>
      <c r="OO558" s="243"/>
      <c r="OP558" s="243"/>
      <c r="OQ558" s="243"/>
      <c r="OR558" s="243"/>
      <c r="OS558" s="243"/>
      <c r="OT558" s="243"/>
      <c r="OU558" s="243"/>
      <c r="OV558" s="243"/>
      <c r="OW558" s="243"/>
      <c r="OX558" s="243"/>
      <c r="OY558" s="243"/>
      <c r="OZ558" s="243"/>
      <c r="PA558" s="243"/>
      <c r="PB558" s="243"/>
      <c r="PC558" s="243"/>
      <c r="PD558" s="243"/>
      <c r="PE558" s="243"/>
      <c r="PF558" s="243"/>
      <c r="PG558" s="243"/>
      <c r="PH558" s="243"/>
      <c r="PI558" s="243"/>
      <c r="PJ558" s="243"/>
      <c r="PK558" s="243"/>
      <c r="PL558" s="243"/>
      <c r="PM558" s="243"/>
      <c r="PN558" s="243"/>
      <c r="PO558" s="243"/>
      <c r="PP558" s="243"/>
      <c r="PQ558" s="243"/>
      <c r="PR558" s="243"/>
      <c r="PS558" s="243"/>
      <c r="PT558" s="243"/>
      <c r="PU558" s="243"/>
      <c r="PV558" s="243"/>
      <c r="PW558" s="243"/>
      <c r="PX558" s="243"/>
      <c r="PY558" s="243"/>
      <c r="PZ558" s="243"/>
      <c r="QA558" s="243"/>
      <c r="QB558" s="243"/>
      <c r="QC558" s="243"/>
      <c r="QD558" s="243"/>
      <c r="QE558" s="243"/>
      <c r="QF558" s="243"/>
      <c r="QG558" s="243"/>
      <c r="QH558" s="243"/>
      <c r="QI558" s="243"/>
      <c r="QJ558" s="243"/>
      <c r="QK558" s="243"/>
      <c r="QL558" s="243"/>
      <c r="QM558" s="243"/>
      <c r="QN558" s="243"/>
      <c r="QO558" s="243"/>
      <c r="QP558" s="243"/>
      <c r="QQ558" s="243"/>
      <c r="QR558" s="243"/>
      <c r="QS558" s="243"/>
      <c r="QT558" s="243"/>
      <c r="QU558" s="243"/>
      <c r="QV558" s="243"/>
      <c r="QW558" s="243"/>
      <c r="QX558" s="243"/>
      <c r="QY558" s="243"/>
      <c r="QZ558" s="243"/>
      <c r="RA558" s="243"/>
      <c r="RB558" s="243"/>
      <c r="RC558" s="243"/>
      <c r="RD558" s="243"/>
      <c r="RE558" s="243"/>
      <c r="RF558" s="243"/>
      <c r="RG558" s="243"/>
      <c r="RH558" s="243"/>
      <c r="RI558" s="243"/>
      <c r="RJ558" s="243"/>
      <c r="RK558" s="243"/>
      <c r="RL558" s="243"/>
      <c r="RM558" s="243"/>
      <c r="RN558" s="243"/>
      <c r="RO558" s="243"/>
      <c r="RP558" s="243"/>
      <c r="RQ558" s="243"/>
      <c r="RR558" s="243"/>
      <c r="RS558" s="243"/>
      <c r="RT558" s="243"/>
      <c r="RU558" s="243"/>
      <c r="RV558" s="243"/>
      <c r="RW558" s="243"/>
      <c r="RX558" s="243"/>
      <c r="RY558" s="243"/>
      <c r="RZ558" s="243"/>
      <c r="SA558" s="243"/>
      <c r="SB558" s="243"/>
      <c r="SC558" s="243"/>
      <c r="SD558" s="243"/>
      <c r="SE558" s="243"/>
      <c r="SF558" s="243"/>
      <c r="SG558" s="243"/>
      <c r="SH558" s="243"/>
      <c r="SI558" s="243"/>
      <c r="SJ558" s="243"/>
      <c r="SK558" s="243"/>
      <c r="SL558" s="243"/>
      <c r="SM558" s="243"/>
      <c r="SN558" s="243"/>
      <c r="SO558" s="243"/>
      <c r="SP558" s="243"/>
      <c r="SQ558" s="243"/>
      <c r="SR558" s="243"/>
      <c r="SS558" s="243"/>
      <c r="ST558" s="243"/>
      <c r="SU558" s="243"/>
      <c r="SV558" s="243"/>
      <c r="SW558" s="243"/>
      <c r="SX558" s="243"/>
      <c r="SY558" s="243"/>
      <c r="SZ558" s="243"/>
      <c r="TA558" s="243"/>
      <c r="TB558" s="243"/>
      <c r="TC558" s="243"/>
      <c r="TD558" s="243"/>
      <c r="TE558" s="243"/>
      <c r="TF558" s="243"/>
      <c r="TG558" s="243"/>
      <c r="TH558" s="243"/>
      <c r="TI558" s="243"/>
      <c r="TJ558" s="243"/>
      <c r="TK558" s="243"/>
      <c r="TL558" s="243"/>
      <c r="TM558" s="243"/>
      <c r="TN558" s="243"/>
      <c r="TO558" s="243"/>
      <c r="TP558" s="243"/>
      <c r="TQ558" s="243"/>
      <c r="TR558" s="243"/>
      <c r="TS558" s="243"/>
      <c r="TT558" s="243"/>
      <c r="TU558" s="243"/>
      <c r="TV558" s="243"/>
      <c r="TW558" s="243"/>
      <c r="TX558" s="243"/>
      <c r="TY558" s="243"/>
      <c r="TZ558" s="243"/>
      <c r="UA558" s="243"/>
      <c r="UB558" s="243"/>
      <c r="UC558" s="243"/>
      <c r="UD558" s="243"/>
      <c r="UE558" s="243"/>
      <c r="UF558" s="243"/>
      <c r="UG558" s="243"/>
      <c r="UH558" s="243"/>
      <c r="UI558" s="243"/>
      <c r="UJ558" s="243"/>
      <c r="UK558" s="243"/>
      <c r="UL558" s="243"/>
      <c r="UM558" s="243"/>
      <c r="UN558" s="243"/>
      <c r="UO558" s="243"/>
      <c r="UP558" s="243"/>
      <c r="UQ558" s="243"/>
      <c r="UR558" s="243"/>
      <c r="US558" s="243"/>
      <c r="UT558" s="243"/>
      <c r="UU558" s="243"/>
      <c r="UV558" s="243"/>
      <c r="UW558" s="243"/>
      <c r="UX558" s="243"/>
      <c r="UY558" s="243"/>
      <c r="UZ558" s="243"/>
      <c r="VA558" s="243"/>
      <c r="VB558" s="243"/>
      <c r="VC558" s="243"/>
      <c r="VD558" s="243"/>
      <c r="VE558" s="243"/>
      <c r="VF558" s="243"/>
      <c r="VG558" s="243"/>
      <c r="VH558" s="243"/>
      <c r="VI558" s="243"/>
      <c r="VJ558" s="243"/>
      <c r="VK558" s="243"/>
      <c r="VL558" s="243"/>
      <c r="VM558" s="243"/>
      <c r="VN558" s="243"/>
      <c r="VO558" s="243"/>
      <c r="VP558" s="243"/>
      <c r="VQ558" s="243"/>
      <c r="VR558" s="243"/>
      <c r="VS558" s="243"/>
      <c r="VT558" s="243"/>
      <c r="VU558" s="243"/>
      <c r="VV558" s="243"/>
      <c r="VW558" s="243"/>
      <c r="VX558" s="243"/>
      <c r="VY558" s="243"/>
      <c r="VZ558" s="243"/>
      <c r="WA558" s="243"/>
      <c r="WB558" s="243"/>
      <c r="WC558" s="243"/>
      <c r="WD558" s="243"/>
      <c r="WE558" s="243"/>
      <c r="WF558" s="243"/>
      <c r="WG558" s="243"/>
      <c r="WH558" s="243"/>
      <c r="WI558" s="243"/>
      <c r="WJ558" s="243"/>
      <c r="WK558" s="243"/>
      <c r="WL558" s="243"/>
      <c r="WM558" s="243"/>
      <c r="WN558" s="243"/>
      <c r="WO558" s="243"/>
      <c r="WP558" s="243"/>
      <c r="WQ558" s="243"/>
      <c r="WR558" s="243"/>
      <c r="WS558" s="243"/>
      <c r="WT558" s="243"/>
      <c r="WU558" s="243"/>
      <c r="WV558" s="243"/>
      <c r="WW558" s="243"/>
      <c r="WX558" s="243"/>
      <c r="WY558" s="243"/>
      <c r="WZ558" s="243"/>
      <c r="XA558" s="243"/>
      <c r="XB558" s="243"/>
      <c r="XC558" s="243"/>
      <c r="XD558" s="243"/>
      <c r="XE558" s="243"/>
      <c r="XF558" s="243"/>
      <c r="XG558" s="243"/>
      <c r="XH558" s="243"/>
      <c r="XI558" s="243"/>
      <c r="XJ558" s="243"/>
      <c r="XK558" s="243"/>
      <c r="XL558" s="243"/>
      <c r="XM558" s="243"/>
      <c r="XN558" s="243"/>
      <c r="XO558" s="243"/>
      <c r="XP558" s="243"/>
      <c r="XQ558" s="243"/>
      <c r="XR558" s="243"/>
      <c r="XS558" s="243"/>
      <c r="XT558" s="243"/>
      <c r="XU558" s="243"/>
      <c r="XV558" s="243"/>
      <c r="XW558" s="243"/>
      <c r="XX558" s="243"/>
      <c r="XY558" s="243"/>
      <c r="XZ558" s="243"/>
      <c r="YA558" s="243"/>
      <c r="YB558" s="243"/>
      <c r="YC558" s="243"/>
      <c r="YD558" s="243"/>
      <c r="YE558" s="243"/>
      <c r="YF558" s="243"/>
      <c r="YG558" s="243"/>
      <c r="YH558" s="243"/>
      <c r="YI558" s="243"/>
      <c r="YJ558" s="243"/>
      <c r="YK558" s="243"/>
      <c r="YL558" s="243"/>
      <c r="YM558" s="243"/>
      <c r="YN558" s="243"/>
      <c r="YO558" s="243"/>
      <c r="YP558" s="243"/>
      <c r="YQ558" s="243"/>
      <c r="YR558" s="243"/>
      <c r="YS558" s="243"/>
      <c r="YT558" s="243"/>
      <c r="YU558" s="243"/>
      <c r="YV558" s="243"/>
      <c r="YW558" s="243"/>
      <c r="YX558" s="243"/>
      <c r="YY558" s="243"/>
      <c r="YZ558" s="243"/>
      <c r="ZA558" s="243"/>
      <c r="ZB558" s="243"/>
      <c r="ZC558" s="243"/>
      <c r="ZD558" s="243"/>
      <c r="ZE558" s="243"/>
      <c r="ZF558" s="243"/>
      <c r="ZG558" s="243"/>
      <c r="ZH558" s="243"/>
      <c r="ZI558" s="243"/>
      <c r="ZJ558" s="243"/>
      <c r="ZK558" s="243"/>
      <c r="ZL558" s="243"/>
      <c r="ZM558" s="243"/>
      <c r="ZN558" s="243"/>
      <c r="ZO558" s="243"/>
      <c r="ZP558" s="243"/>
      <c r="ZQ558" s="243"/>
      <c r="ZR558" s="243"/>
      <c r="ZS558" s="243"/>
      <c r="ZT558" s="243"/>
      <c r="ZU558" s="243"/>
      <c r="ZV558" s="243"/>
      <c r="ZW558" s="243"/>
      <c r="ZX558" s="243"/>
      <c r="ZY558" s="243"/>
      <c r="ZZ558" s="243"/>
      <c r="AAA558" s="243"/>
      <c r="AAB558" s="243"/>
      <c r="AAC558" s="243"/>
      <c r="AAD558" s="243"/>
      <c r="AAE558" s="243"/>
      <c r="AAF558" s="243"/>
      <c r="AAG558" s="243"/>
      <c r="AAH558" s="243"/>
      <c r="AAI558" s="243"/>
      <c r="AAJ558" s="243"/>
      <c r="AAK558" s="243"/>
      <c r="AAL558" s="243"/>
      <c r="AAM558" s="243"/>
      <c r="AAN558" s="243"/>
      <c r="AAO558" s="243"/>
      <c r="AAP558" s="243"/>
      <c r="AAQ558" s="243"/>
      <c r="AAR558" s="243"/>
      <c r="AAS558" s="243"/>
      <c r="AAT558" s="243"/>
      <c r="AAU558" s="243"/>
      <c r="AAV558" s="243"/>
      <c r="AAW558" s="243"/>
      <c r="AAX558" s="243"/>
      <c r="AAY558" s="243"/>
      <c r="AAZ558" s="243"/>
      <c r="ABA558" s="243"/>
      <c r="ABB558" s="243"/>
      <c r="ABC558" s="243"/>
      <c r="ABD558" s="243"/>
      <c r="ABE558" s="243"/>
      <c r="ABF558" s="243"/>
      <c r="ABG558" s="243"/>
      <c r="ABH558" s="243"/>
      <c r="ABI558" s="243"/>
      <c r="ABJ558" s="243"/>
      <c r="ABK558" s="243"/>
      <c r="ABL558" s="243"/>
      <c r="ABM558" s="243"/>
      <c r="ABN558" s="243"/>
      <c r="ABO558" s="243"/>
      <c r="ABP558" s="243"/>
      <c r="ABQ558" s="243"/>
      <c r="ABR558" s="243"/>
      <c r="ABS558" s="243"/>
      <c r="ABT558" s="243"/>
      <c r="ABU558" s="243"/>
      <c r="ABV558" s="243"/>
      <c r="ABW558" s="243"/>
      <c r="ABX558" s="243"/>
      <c r="ABY558" s="243"/>
      <c r="ABZ558" s="243"/>
      <c r="ACA558" s="243"/>
      <c r="ACB558" s="243"/>
      <c r="ACC558" s="243"/>
      <c r="ACD558" s="243"/>
      <c r="ACE558" s="243"/>
      <c r="ACF558" s="243"/>
      <c r="ACG558" s="243"/>
      <c r="ACH558" s="243"/>
      <c r="ACI558" s="243"/>
      <c r="ACJ558" s="243"/>
      <c r="ACK558" s="243"/>
      <c r="ACL558" s="243"/>
      <c r="ACM558" s="243"/>
      <c r="ACN558" s="243"/>
      <c r="ACO558" s="243"/>
      <c r="ACP558" s="243"/>
      <c r="ACQ558" s="243"/>
      <c r="ACR558" s="243"/>
      <c r="ACS558" s="243"/>
      <c r="ACT558" s="243"/>
      <c r="ACU558" s="243"/>
      <c r="ACV558" s="243"/>
      <c r="ACW558" s="243"/>
      <c r="ACX558" s="243"/>
      <c r="ACY558" s="243"/>
      <c r="ACZ558" s="243"/>
      <c r="ADA558" s="243"/>
      <c r="ADB558" s="243"/>
      <c r="ADC558" s="243"/>
      <c r="ADD558" s="243"/>
      <c r="ADE558" s="243"/>
      <c r="ADF558" s="243"/>
      <c r="ADG558" s="243"/>
      <c r="ADH558" s="243"/>
      <c r="ADI558" s="243"/>
      <c r="ADJ558" s="243"/>
      <c r="ADK558" s="243"/>
      <c r="ADL558" s="243"/>
      <c r="ADM558" s="243"/>
      <c r="ADN558" s="243"/>
      <c r="ADO558" s="243"/>
      <c r="ADP558" s="243"/>
      <c r="ADQ558" s="243"/>
      <c r="ADR558" s="243"/>
      <c r="ADS558" s="243"/>
      <c r="ADT558" s="243"/>
      <c r="ADU558" s="243"/>
      <c r="ADV558" s="243"/>
      <c r="ADW558" s="243"/>
      <c r="ADX558" s="243"/>
      <c r="ADY558" s="243"/>
      <c r="ADZ558" s="243"/>
      <c r="AEA558" s="243"/>
      <c r="AEB558" s="243"/>
      <c r="AEC558" s="243"/>
      <c r="AED558" s="243"/>
      <c r="AEE558" s="243"/>
      <c r="AEF558" s="243"/>
      <c r="AEG558" s="243"/>
      <c r="AEH558" s="243"/>
      <c r="AEI558" s="243"/>
      <c r="AEJ558" s="243"/>
      <c r="AEK558" s="243"/>
      <c r="AEL558" s="243"/>
      <c r="AEM558" s="243"/>
      <c r="AEN558" s="243"/>
      <c r="AEO558" s="243"/>
      <c r="AEP558" s="243"/>
      <c r="AEQ558" s="243"/>
      <c r="AER558" s="243"/>
      <c r="AES558" s="243"/>
      <c r="AET558" s="243"/>
      <c r="AEU558" s="243"/>
      <c r="AEV558" s="243"/>
      <c r="AEW558" s="243"/>
      <c r="AEX558" s="243"/>
      <c r="AEY558" s="243"/>
      <c r="AEZ558" s="243"/>
      <c r="AFA558" s="243"/>
      <c r="AFB558" s="243"/>
      <c r="AFC558" s="243"/>
      <c r="AFD558" s="243"/>
      <c r="AFE558" s="243"/>
      <c r="AFF558" s="243"/>
      <c r="AFG558" s="243"/>
      <c r="AFH558" s="243"/>
      <c r="AFI558" s="243"/>
      <c r="AFJ558" s="243"/>
      <c r="AFK558" s="243"/>
      <c r="AFL558" s="243"/>
      <c r="AFM558" s="243"/>
      <c r="AFN558" s="243"/>
      <c r="AFO558" s="243"/>
      <c r="AFP558" s="243"/>
      <c r="AFQ558" s="243"/>
      <c r="AFR558" s="243"/>
      <c r="AFS558" s="243"/>
      <c r="AFT558" s="243"/>
      <c r="AFU558" s="243"/>
      <c r="AFV558" s="243"/>
      <c r="AFW558" s="243"/>
      <c r="AFX558" s="243"/>
      <c r="AFY558" s="243"/>
      <c r="AFZ558" s="243"/>
      <c r="AGA558" s="243"/>
      <c r="AGB558" s="243"/>
      <c r="AGC558" s="243"/>
      <c r="AGD558" s="243"/>
      <c r="AGE558" s="243"/>
      <c r="AGF558" s="243"/>
      <c r="AGG558" s="243"/>
      <c r="AGH558" s="243"/>
      <c r="AGI558" s="243"/>
      <c r="AGJ558" s="243"/>
      <c r="AGK558" s="243"/>
      <c r="AGL558" s="243"/>
      <c r="AGM558" s="243"/>
      <c r="AGN558" s="243"/>
      <c r="AGO558" s="243"/>
      <c r="AGP558" s="243"/>
      <c r="AGQ558" s="243"/>
      <c r="AGR558" s="243"/>
      <c r="AGS558" s="243"/>
      <c r="AGT558" s="243"/>
      <c r="AGU558" s="243"/>
      <c r="AGV558" s="243"/>
      <c r="AGW558" s="243"/>
      <c r="AGX558" s="243"/>
      <c r="AGY558" s="243"/>
      <c r="AGZ558" s="243"/>
      <c r="AHA558" s="243"/>
      <c r="AHB558" s="243"/>
      <c r="AHC558" s="243"/>
      <c r="AHD558" s="243"/>
      <c r="AHE558" s="243"/>
      <c r="AHF558" s="243"/>
      <c r="AHG558" s="243"/>
      <c r="AHH558" s="243"/>
      <c r="AHI558" s="243"/>
      <c r="AHJ558" s="243"/>
      <c r="AHK558" s="243"/>
      <c r="AHL558" s="243"/>
      <c r="AHM558" s="243"/>
      <c r="AHN558" s="243"/>
      <c r="AHO558" s="243"/>
      <c r="AHP558" s="243"/>
      <c r="AHQ558" s="243"/>
      <c r="AHR558" s="243"/>
      <c r="AHS558" s="243"/>
      <c r="AHT558" s="243"/>
      <c r="AHU558" s="243"/>
      <c r="AHV558" s="243"/>
      <c r="AHW558" s="243"/>
      <c r="AHX558" s="243"/>
      <c r="AHY558" s="243"/>
      <c r="AHZ558" s="243"/>
      <c r="AIA558" s="243"/>
      <c r="AIB558" s="243"/>
      <c r="AIC558" s="243"/>
      <c r="AID558" s="243"/>
      <c r="AIE558" s="243"/>
      <c r="AIF558" s="243"/>
      <c r="AIG558" s="243"/>
      <c r="AIH558" s="243"/>
      <c r="AII558" s="243"/>
      <c r="AIJ558" s="243"/>
      <c r="AIK558" s="243"/>
      <c r="AIL558" s="243"/>
      <c r="AIM558" s="243"/>
      <c r="AIN558" s="243"/>
      <c r="AIO558" s="243"/>
      <c r="AIP558" s="243"/>
      <c r="AIQ558" s="243"/>
      <c r="AIR558" s="243"/>
      <c r="AIS558" s="243"/>
      <c r="AIT558" s="243"/>
      <c r="AIU558" s="243"/>
      <c r="AIV558" s="243"/>
      <c r="AIW558" s="243"/>
      <c r="AIX558" s="243"/>
      <c r="AIY558" s="243"/>
      <c r="AIZ558" s="243"/>
      <c r="AJA558" s="243"/>
      <c r="AJB558" s="243"/>
      <c r="AJC558" s="243"/>
      <c r="AJD558" s="243"/>
      <c r="AJE558" s="243"/>
      <c r="AJF558" s="243"/>
      <c r="AJG558" s="243"/>
      <c r="AJH558" s="243"/>
      <c r="AJI558" s="243"/>
      <c r="AJJ558" s="243"/>
      <c r="AJK558" s="243"/>
      <c r="AJL558" s="243"/>
      <c r="AJM558" s="243"/>
      <c r="AJN558" s="243"/>
      <c r="AJO558" s="243"/>
      <c r="AJP558" s="243"/>
      <c r="AJQ558" s="243"/>
      <c r="AJR558" s="243"/>
      <c r="AJS558" s="243"/>
      <c r="AJT558" s="243"/>
      <c r="AJU558" s="243"/>
      <c r="AJV558" s="243"/>
      <c r="AJW558" s="243"/>
      <c r="AJX558" s="243"/>
      <c r="AJY558" s="243"/>
      <c r="AJZ558" s="243"/>
      <c r="AKA558" s="243"/>
      <c r="AKB558" s="243"/>
      <c r="AKC558" s="243"/>
      <c r="AKD558" s="243"/>
      <c r="AKE558" s="243"/>
      <c r="AKF558" s="243"/>
      <c r="AKG558" s="243"/>
      <c r="AKH558" s="243"/>
      <c r="AKI558" s="243"/>
      <c r="AKJ558" s="243"/>
      <c r="AKK558" s="243"/>
      <c r="AKL558" s="243"/>
      <c r="AKM558" s="243"/>
      <c r="AKN558" s="243"/>
      <c r="AKO558" s="243"/>
      <c r="AKP558" s="243"/>
      <c r="AKQ558" s="243"/>
      <c r="AKR558" s="243"/>
      <c r="AKS558" s="243"/>
      <c r="AKT558" s="243"/>
      <c r="AKU558" s="243"/>
      <c r="AKV558" s="243"/>
      <c r="AKW558" s="243"/>
      <c r="AKX558" s="243"/>
      <c r="AKY558" s="243"/>
      <c r="AKZ558" s="243"/>
      <c r="ALA558" s="243"/>
      <c r="ALB558" s="243"/>
      <c r="ALC558" s="243"/>
      <c r="ALD558" s="243"/>
      <c r="ALE558" s="243"/>
      <c r="ALF558" s="243"/>
      <c r="ALG558" s="243"/>
      <c r="ALH558" s="243"/>
      <c r="ALI558" s="243"/>
      <c r="ALJ558" s="243"/>
      <c r="ALK558" s="243"/>
      <c r="ALL558" s="243"/>
      <c r="ALM558" s="243"/>
      <c r="ALN558" s="243"/>
      <c r="ALO558" s="243"/>
      <c r="ALP558" s="243"/>
      <c r="ALQ558" s="243"/>
      <c r="ALR558" s="243"/>
      <c r="ALS558" s="243"/>
      <c r="ALT558" s="243"/>
      <c r="ALU558" s="243"/>
      <c r="ALV558" s="243"/>
      <c r="ALW558" s="243"/>
      <c r="ALX558" s="243"/>
      <c r="ALY558" s="243"/>
      <c r="ALZ558" s="243"/>
      <c r="AMA558" s="243"/>
      <c r="AMB558" s="243"/>
      <c r="AMC558" s="243"/>
      <c r="AMD558" s="243"/>
      <c r="AME558" s="243"/>
      <c r="AMF558" s="243"/>
      <c r="AMG558" s="243"/>
      <c r="AMH558" s="243"/>
      <c r="AMI558" s="243"/>
      <c r="AMJ558" s="243"/>
      <c r="AMK558" s="244"/>
    </row>
    <row r="559" spans="1:1025" hidden="1">
      <c r="A559" s="243"/>
      <c r="B559" s="431">
        <v>44870</v>
      </c>
      <c r="C559" s="247" t="s">
        <v>870</v>
      </c>
      <c r="D559" s="246" t="s">
        <v>942</v>
      </c>
      <c r="E559" s="246" t="s">
        <v>521</v>
      </c>
      <c r="F559" s="248">
        <v>2600000</v>
      </c>
      <c r="G559" s="247" t="s">
        <v>903</v>
      </c>
      <c r="H559" s="247" t="s">
        <v>523</v>
      </c>
      <c r="I559" s="247" t="s">
        <v>523</v>
      </c>
      <c r="J559" s="247">
        <v>1</v>
      </c>
      <c r="K559" s="247"/>
      <c r="L559" s="247" t="s">
        <v>124</v>
      </c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3"/>
      <c r="Z559" s="243"/>
      <c r="AA559" s="243"/>
      <c r="AB559" s="243"/>
      <c r="AC559" s="243"/>
      <c r="AD559" s="243"/>
      <c r="AE559" s="243"/>
      <c r="AF559" s="243"/>
      <c r="AG559" s="243"/>
      <c r="AH559" s="243"/>
      <c r="AI559" s="243"/>
      <c r="AJ559" s="243"/>
      <c r="AK559" s="243"/>
      <c r="AL559" s="243"/>
      <c r="AM559" s="243"/>
      <c r="AN559" s="243"/>
      <c r="AO559" s="243"/>
      <c r="AP559" s="243"/>
      <c r="AQ559" s="243"/>
      <c r="AR559" s="243"/>
      <c r="AS559" s="243"/>
      <c r="AT559" s="243"/>
      <c r="AU559" s="243"/>
      <c r="AV559" s="243"/>
      <c r="AW559" s="243"/>
      <c r="AX559" s="243"/>
      <c r="AY559" s="243"/>
      <c r="AZ559" s="243"/>
      <c r="BA559" s="243"/>
      <c r="BB559" s="243"/>
      <c r="BC559" s="243"/>
      <c r="BD559" s="243"/>
      <c r="BE559" s="243"/>
      <c r="BF559" s="243"/>
      <c r="BG559" s="243"/>
      <c r="BH559" s="243"/>
      <c r="BI559" s="243"/>
      <c r="BJ559" s="243"/>
      <c r="BK559" s="243"/>
      <c r="BL559" s="243"/>
      <c r="BM559" s="243"/>
      <c r="BN559" s="243"/>
      <c r="BO559" s="243"/>
      <c r="BP559" s="243"/>
      <c r="BQ559" s="243"/>
      <c r="BR559" s="243"/>
      <c r="BS559" s="243"/>
      <c r="BT559" s="243"/>
      <c r="BU559" s="243"/>
      <c r="BV559" s="243"/>
      <c r="BW559" s="243"/>
      <c r="BX559" s="243"/>
      <c r="BY559" s="243"/>
      <c r="BZ559" s="243"/>
      <c r="CA559" s="243"/>
      <c r="CB559" s="243"/>
      <c r="CC559" s="243"/>
      <c r="CD559" s="243"/>
      <c r="CE559" s="243"/>
      <c r="CF559" s="243"/>
      <c r="CG559" s="243"/>
      <c r="CH559" s="243"/>
      <c r="CI559" s="243"/>
      <c r="CJ559" s="243"/>
      <c r="CK559" s="243"/>
      <c r="CL559" s="243"/>
      <c r="CM559" s="243"/>
      <c r="CN559" s="243"/>
      <c r="CO559" s="243"/>
      <c r="CP559" s="243"/>
      <c r="CQ559" s="243"/>
      <c r="CR559" s="243"/>
      <c r="CS559" s="243"/>
      <c r="CT559" s="243"/>
      <c r="CU559" s="243"/>
      <c r="CV559" s="243"/>
      <c r="CW559" s="243"/>
      <c r="CX559" s="243"/>
      <c r="CY559" s="243"/>
      <c r="CZ559" s="243"/>
      <c r="DA559" s="243"/>
      <c r="DB559" s="243"/>
      <c r="DC559" s="243"/>
      <c r="DD559" s="243"/>
      <c r="DE559" s="243"/>
      <c r="DF559" s="243"/>
      <c r="DG559" s="243"/>
      <c r="DH559" s="243"/>
      <c r="DI559" s="243"/>
      <c r="DJ559" s="243"/>
      <c r="DK559" s="243"/>
      <c r="DL559" s="243"/>
      <c r="DM559" s="243"/>
      <c r="DN559" s="243"/>
      <c r="DO559" s="243"/>
      <c r="DP559" s="243"/>
      <c r="DQ559" s="243"/>
      <c r="DR559" s="243"/>
      <c r="DS559" s="243"/>
      <c r="DT559" s="243"/>
      <c r="DU559" s="243"/>
      <c r="DV559" s="243"/>
      <c r="DW559" s="243"/>
      <c r="DX559" s="243"/>
      <c r="DY559" s="243"/>
      <c r="DZ559" s="243"/>
      <c r="EA559" s="243"/>
      <c r="EB559" s="243"/>
      <c r="EC559" s="243"/>
      <c r="ED559" s="243"/>
      <c r="EE559" s="243"/>
      <c r="EF559" s="243"/>
      <c r="EG559" s="243"/>
      <c r="EH559" s="243"/>
      <c r="EI559" s="243"/>
      <c r="EJ559" s="243"/>
      <c r="EK559" s="243"/>
      <c r="EL559" s="243"/>
      <c r="EM559" s="243"/>
      <c r="EN559" s="243"/>
      <c r="EO559" s="243"/>
      <c r="EP559" s="243"/>
      <c r="EQ559" s="243"/>
      <c r="ER559" s="243"/>
      <c r="ES559" s="243"/>
      <c r="ET559" s="243"/>
      <c r="EU559" s="243"/>
      <c r="EV559" s="243"/>
      <c r="EW559" s="243"/>
      <c r="EX559" s="243"/>
      <c r="EY559" s="243"/>
      <c r="EZ559" s="243"/>
      <c r="FA559" s="243"/>
      <c r="FB559" s="243"/>
      <c r="FC559" s="243"/>
      <c r="FD559" s="243"/>
      <c r="FE559" s="243"/>
      <c r="FF559" s="243"/>
      <c r="FG559" s="243"/>
      <c r="FH559" s="243"/>
      <c r="FI559" s="243"/>
      <c r="FJ559" s="243"/>
      <c r="FK559" s="243"/>
      <c r="FL559" s="243"/>
      <c r="FM559" s="243"/>
      <c r="FN559" s="243"/>
      <c r="FO559" s="243"/>
      <c r="FP559" s="243"/>
      <c r="FQ559" s="243"/>
      <c r="FR559" s="243"/>
      <c r="FS559" s="243"/>
      <c r="FT559" s="243"/>
      <c r="FU559" s="243"/>
      <c r="FV559" s="243"/>
      <c r="FW559" s="243"/>
      <c r="FX559" s="243"/>
      <c r="FY559" s="243"/>
      <c r="FZ559" s="243"/>
      <c r="GA559" s="243"/>
      <c r="GB559" s="243"/>
      <c r="GC559" s="243"/>
      <c r="GD559" s="243"/>
      <c r="GE559" s="243"/>
      <c r="GF559" s="243"/>
      <c r="GG559" s="243"/>
      <c r="GH559" s="243"/>
      <c r="GI559" s="243"/>
      <c r="GJ559" s="243"/>
      <c r="GK559" s="243"/>
      <c r="GL559" s="243"/>
      <c r="GM559" s="243"/>
      <c r="GN559" s="243"/>
      <c r="GO559" s="243"/>
      <c r="GP559" s="243"/>
      <c r="GQ559" s="243"/>
      <c r="GR559" s="243"/>
      <c r="GS559" s="243"/>
      <c r="GT559" s="243"/>
      <c r="GU559" s="243"/>
      <c r="GV559" s="243"/>
      <c r="GW559" s="243"/>
      <c r="GX559" s="243"/>
      <c r="GY559" s="243"/>
      <c r="GZ559" s="243"/>
      <c r="HA559" s="243"/>
      <c r="HB559" s="243"/>
      <c r="HC559" s="243"/>
      <c r="HD559" s="243"/>
      <c r="HE559" s="243"/>
      <c r="HF559" s="243"/>
      <c r="HG559" s="243"/>
      <c r="HH559" s="243"/>
      <c r="HI559" s="243"/>
      <c r="HJ559" s="243"/>
      <c r="HK559" s="243"/>
      <c r="HL559" s="243"/>
      <c r="HM559" s="243"/>
      <c r="HN559" s="243"/>
      <c r="HO559" s="243"/>
      <c r="HP559" s="243"/>
      <c r="HQ559" s="243"/>
      <c r="HR559" s="243"/>
      <c r="HS559" s="243"/>
      <c r="HT559" s="243"/>
      <c r="HU559" s="243"/>
      <c r="HV559" s="243"/>
      <c r="HW559" s="243"/>
      <c r="HX559" s="243"/>
      <c r="HY559" s="243"/>
      <c r="HZ559" s="243"/>
      <c r="IA559" s="243"/>
      <c r="IB559" s="243"/>
      <c r="IC559" s="243"/>
      <c r="ID559" s="243"/>
      <c r="IE559" s="243"/>
      <c r="IF559" s="243"/>
      <c r="IG559" s="243"/>
      <c r="IH559" s="243"/>
      <c r="II559" s="243"/>
      <c r="IJ559" s="243"/>
      <c r="IK559" s="243"/>
      <c r="IL559" s="243"/>
      <c r="IM559" s="243"/>
      <c r="IN559" s="243"/>
      <c r="IO559" s="243"/>
      <c r="IP559" s="243"/>
      <c r="IQ559" s="243"/>
      <c r="IR559" s="243"/>
      <c r="IS559" s="243"/>
      <c r="IT559" s="243"/>
      <c r="IU559" s="243"/>
      <c r="IV559" s="243"/>
      <c r="IW559" s="243"/>
      <c r="IX559" s="243"/>
      <c r="IY559" s="243"/>
      <c r="IZ559" s="243"/>
      <c r="JA559" s="243"/>
      <c r="JB559" s="243"/>
      <c r="JC559" s="243"/>
      <c r="JD559" s="243"/>
      <c r="JE559" s="243"/>
      <c r="JF559" s="243"/>
      <c r="JG559" s="243"/>
      <c r="JH559" s="243"/>
      <c r="JI559" s="243"/>
      <c r="JJ559" s="243"/>
      <c r="JK559" s="243"/>
      <c r="JL559" s="243"/>
      <c r="JM559" s="243"/>
      <c r="JN559" s="243"/>
      <c r="JO559" s="243"/>
      <c r="JP559" s="243"/>
      <c r="JQ559" s="243"/>
      <c r="JR559" s="243"/>
      <c r="JS559" s="243"/>
      <c r="JT559" s="243"/>
      <c r="JU559" s="243"/>
      <c r="JV559" s="243"/>
      <c r="JW559" s="243"/>
      <c r="JX559" s="243"/>
      <c r="JY559" s="243"/>
      <c r="JZ559" s="243"/>
      <c r="KA559" s="243"/>
      <c r="KB559" s="243"/>
      <c r="KC559" s="243"/>
      <c r="KD559" s="243"/>
      <c r="KE559" s="243"/>
      <c r="KF559" s="243"/>
      <c r="KG559" s="243"/>
      <c r="KH559" s="243"/>
      <c r="KI559" s="243"/>
      <c r="KJ559" s="243"/>
      <c r="KK559" s="243"/>
      <c r="KL559" s="243"/>
      <c r="KM559" s="243"/>
      <c r="KN559" s="243"/>
      <c r="KO559" s="243"/>
      <c r="KP559" s="243"/>
      <c r="KQ559" s="243"/>
      <c r="KR559" s="243"/>
      <c r="KS559" s="243"/>
      <c r="KT559" s="243"/>
      <c r="KU559" s="243"/>
      <c r="KV559" s="243"/>
      <c r="KW559" s="243"/>
      <c r="KX559" s="243"/>
      <c r="KY559" s="243"/>
      <c r="KZ559" s="243"/>
      <c r="LA559" s="243"/>
      <c r="LB559" s="243"/>
      <c r="LC559" s="243"/>
      <c r="LD559" s="243"/>
      <c r="LE559" s="243"/>
      <c r="LF559" s="243"/>
      <c r="LG559" s="243"/>
      <c r="LH559" s="243"/>
      <c r="LI559" s="243"/>
      <c r="LJ559" s="243"/>
      <c r="LK559" s="243"/>
      <c r="LL559" s="243"/>
      <c r="LM559" s="243"/>
      <c r="LN559" s="243"/>
      <c r="LO559" s="243"/>
      <c r="LP559" s="243"/>
      <c r="LQ559" s="243"/>
      <c r="LR559" s="243"/>
      <c r="LS559" s="243"/>
      <c r="LT559" s="243"/>
      <c r="LU559" s="243"/>
      <c r="LV559" s="243"/>
      <c r="LW559" s="243"/>
      <c r="LX559" s="243"/>
      <c r="LY559" s="243"/>
      <c r="LZ559" s="243"/>
      <c r="MA559" s="243"/>
      <c r="MB559" s="243"/>
      <c r="MC559" s="243"/>
      <c r="MD559" s="243"/>
      <c r="ME559" s="243"/>
      <c r="MF559" s="243"/>
      <c r="MG559" s="243"/>
      <c r="MH559" s="243"/>
      <c r="MI559" s="243"/>
      <c r="MJ559" s="243"/>
      <c r="MK559" s="243"/>
      <c r="ML559" s="243"/>
      <c r="MM559" s="243"/>
      <c r="MN559" s="243"/>
      <c r="MO559" s="243"/>
      <c r="MP559" s="243"/>
      <c r="MQ559" s="243"/>
      <c r="MR559" s="243"/>
      <c r="MS559" s="243"/>
      <c r="MT559" s="243"/>
      <c r="MU559" s="243"/>
      <c r="MV559" s="243"/>
      <c r="MW559" s="243"/>
      <c r="MX559" s="243"/>
      <c r="MY559" s="243"/>
      <c r="MZ559" s="243"/>
      <c r="NA559" s="243"/>
      <c r="NB559" s="243"/>
      <c r="NC559" s="243"/>
      <c r="ND559" s="243"/>
      <c r="NE559" s="243"/>
      <c r="NF559" s="243"/>
      <c r="NG559" s="243"/>
      <c r="NH559" s="243"/>
      <c r="NI559" s="243"/>
      <c r="NJ559" s="243"/>
      <c r="NK559" s="243"/>
      <c r="NL559" s="243"/>
      <c r="NM559" s="243"/>
      <c r="NN559" s="243"/>
      <c r="NO559" s="243"/>
      <c r="NP559" s="243"/>
      <c r="NQ559" s="243"/>
      <c r="NR559" s="243"/>
      <c r="NS559" s="243"/>
      <c r="NT559" s="243"/>
      <c r="NU559" s="243"/>
      <c r="NV559" s="243"/>
      <c r="NW559" s="243"/>
      <c r="NX559" s="243"/>
      <c r="NY559" s="243"/>
      <c r="NZ559" s="243"/>
      <c r="OA559" s="243"/>
      <c r="OB559" s="243"/>
      <c r="OC559" s="243"/>
      <c r="OD559" s="243"/>
      <c r="OE559" s="243"/>
      <c r="OF559" s="243"/>
      <c r="OG559" s="243"/>
      <c r="OH559" s="243"/>
      <c r="OI559" s="243"/>
      <c r="OJ559" s="243"/>
      <c r="OK559" s="243"/>
      <c r="OL559" s="243"/>
      <c r="OM559" s="243"/>
      <c r="ON559" s="243"/>
      <c r="OO559" s="243"/>
      <c r="OP559" s="243"/>
      <c r="OQ559" s="243"/>
      <c r="OR559" s="243"/>
      <c r="OS559" s="243"/>
      <c r="OT559" s="243"/>
      <c r="OU559" s="243"/>
      <c r="OV559" s="243"/>
      <c r="OW559" s="243"/>
      <c r="OX559" s="243"/>
      <c r="OY559" s="243"/>
      <c r="OZ559" s="243"/>
      <c r="PA559" s="243"/>
      <c r="PB559" s="243"/>
      <c r="PC559" s="243"/>
      <c r="PD559" s="243"/>
      <c r="PE559" s="243"/>
      <c r="PF559" s="243"/>
      <c r="PG559" s="243"/>
      <c r="PH559" s="243"/>
      <c r="PI559" s="243"/>
      <c r="PJ559" s="243"/>
      <c r="PK559" s="243"/>
      <c r="PL559" s="243"/>
      <c r="PM559" s="243"/>
      <c r="PN559" s="243"/>
      <c r="PO559" s="243"/>
      <c r="PP559" s="243"/>
      <c r="PQ559" s="243"/>
      <c r="PR559" s="243"/>
      <c r="PS559" s="243"/>
      <c r="PT559" s="243"/>
      <c r="PU559" s="243"/>
      <c r="PV559" s="243"/>
      <c r="PW559" s="243"/>
      <c r="PX559" s="243"/>
      <c r="PY559" s="243"/>
      <c r="PZ559" s="243"/>
      <c r="QA559" s="243"/>
      <c r="QB559" s="243"/>
      <c r="QC559" s="243"/>
      <c r="QD559" s="243"/>
      <c r="QE559" s="243"/>
      <c r="QF559" s="243"/>
      <c r="QG559" s="243"/>
      <c r="QH559" s="243"/>
      <c r="QI559" s="243"/>
      <c r="QJ559" s="243"/>
      <c r="QK559" s="243"/>
      <c r="QL559" s="243"/>
      <c r="QM559" s="243"/>
      <c r="QN559" s="243"/>
      <c r="QO559" s="243"/>
      <c r="QP559" s="243"/>
      <c r="QQ559" s="243"/>
      <c r="QR559" s="243"/>
      <c r="QS559" s="243"/>
      <c r="QT559" s="243"/>
      <c r="QU559" s="243"/>
      <c r="QV559" s="243"/>
      <c r="QW559" s="243"/>
      <c r="QX559" s="243"/>
      <c r="QY559" s="243"/>
      <c r="QZ559" s="243"/>
      <c r="RA559" s="243"/>
      <c r="RB559" s="243"/>
      <c r="RC559" s="243"/>
      <c r="RD559" s="243"/>
      <c r="RE559" s="243"/>
      <c r="RF559" s="243"/>
      <c r="RG559" s="243"/>
      <c r="RH559" s="243"/>
      <c r="RI559" s="243"/>
      <c r="RJ559" s="243"/>
      <c r="RK559" s="243"/>
      <c r="RL559" s="243"/>
      <c r="RM559" s="243"/>
      <c r="RN559" s="243"/>
      <c r="RO559" s="243"/>
      <c r="RP559" s="243"/>
      <c r="RQ559" s="243"/>
      <c r="RR559" s="243"/>
      <c r="RS559" s="243"/>
      <c r="RT559" s="243"/>
      <c r="RU559" s="243"/>
      <c r="RV559" s="243"/>
      <c r="RW559" s="243"/>
      <c r="RX559" s="243"/>
      <c r="RY559" s="243"/>
      <c r="RZ559" s="243"/>
      <c r="SA559" s="243"/>
      <c r="SB559" s="243"/>
      <c r="SC559" s="243"/>
      <c r="SD559" s="243"/>
      <c r="SE559" s="243"/>
      <c r="SF559" s="243"/>
      <c r="SG559" s="243"/>
      <c r="SH559" s="243"/>
      <c r="SI559" s="243"/>
      <c r="SJ559" s="243"/>
      <c r="SK559" s="243"/>
      <c r="SL559" s="243"/>
      <c r="SM559" s="243"/>
      <c r="SN559" s="243"/>
      <c r="SO559" s="243"/>
      <c r="SP559" s="243"/>
      <c r="SQ559" s="243"/>
      <c r="SR559" s="243"/>
      <c r="SS559" s="243"/>
      <c r="ST559" s="243"/>
      <c r="SU559" s="243"/>
      <c r="SV559" s="243"/>
      <c r="SW559" s="243"/>
      <c r="SX559" s="243"/>
      <c r="SY559" s="243"/>
      <c r="SZ559" s="243"/>
      <c r="TA559" s="243"/>
      <c r="TB559" s="243"/>
      <c r="TC559" s="243"/>
      <c r="TD559" s="243"/>
      <c r="TE559" s="243"/>
      <c r="TF559" s="243"/>
      <c r="TG559" s="243"/>
      <c r="TH559" s="243"/>
      <c r="TI559" s="243"/>
      <c r="TJ559" s="243"/>
      <c r="TK559" s="243"/>
      <c r="TL559" s="243"/>
      <c r="TM559" s="243"/>
      <c r="TN559" s="243"/>
      <c r="TO559" s="243"/>
      <c r="TP559" s="243"/>
      <c r="TQ559" s="243"/>
      <c r="TR559" s="243"/>
      <c r="TS559" s="243"/>
      <c r="TT559" s="243"/>
      <c r="TU559" s="243"/>
      <c r="TV559" s="243"/>
      <c r="TW559" s="243"/>
      <c r="TX559" s="243"/>
      <c r="TY559" s="243"/>
      <c r="TZ559" s="243"/>
      <c r="UA559" s="243"/>
      <c r="UB559" s="243"/>
      <c r="UC559" s="243"/>
      <c r="UD559" s="243"/>
      <c r="UE559" s="243"/>
      <c r="UF559" s="243"/>
      <c r="UG559" s="243"/>
      <c r="UH559" s="243"/>
      <c r="UI559" s="243"/>
      <c r="UJ559" s="243"/>
      <c r="UK559" s="243"/>
      <c r="UL559" s="243"/>
      <c r="UM559" s="243"/>
      <c r="UN559" s="243"/>
      <c r="UO559" s="243"/>
      <c r="UP559" s="243"/>
      <c r="UQ559" s="243"/>
      <c r="UR559" s="243"/>
      <c r="US559" s="243"/>
      <c r="UT559" s="243"/>
      <c r="UU559" s="243"/>
      <c r="UV559" s="243"/>
      <c r="UW559" s="243"/>
      <c r="UX559" s="243"/>
      <c r="UY559" s="243"/>
      <c r="UZ559" s="243"/>
      <c r="VA559" s="243"/>
      <c r="VB559" s="243"/>
      <c r="VC559" s="243"/>
      <c r="VD559" s="243"/>
      <c r="VE559" s="243"/>
      <c r="VF559" s="243"/>
      <c r="VG559" s="243"/>
      <c r="VH559" s="243"/>
      <c r="VI559" s="243"/>
      <c r="VJ559" s="243"/>
      <c r="VK559" s="243"/>
      <c r="VL559" s="243"/>
      <c r="VM559" s="243"/>
      <c r="VN559" s="243"/>
      <c r="VO559" s="243"/>
      <c r="VP559" s="243"/>
      <c r="VQ559" s="243"/>
      <c r="VR559" s="243"/>
      <c r="VS559" s="243"/>
      <c r="VT559" s="243"/>
      <c r="VU559" s="243"/>
      <c r="VV559" s="243"/>
      <c r="VW559" s="243"/>
      <c r="VX559" s="243"/>
      <c r="VY559" s="243"/>
      <c r="VZ559" s="243"/>
      <c r="WA559" s="243"/>
      <c r="WB559" s="243"/>
      <c r="WC559" s="243"/>
      <c r="WD559" s="243"/>
      <c r="WE559" s="243"/>
      <c r="WF559" s="243"/>
      <c r="WG559" s="243"/>
      <c r="WH559" s="243"/>
      <c r="WI559" s="243"/>
      <c r="WJ559" s="243"/>
      <c r="WK559" s="243"/>
      <c r="WL559" s="243"/>
      <c r="WM559" s="243"/>
      <c r="WN559" s="243"/>
      <c r="WO559" s="243"/>
      <c r="WP559" s="243"/>
      <c r="WQ559" s="243"/>
      <c r="WR559" s="243"/>
      <c r="WS559" s="243"/>
      <c r="WT559" s="243"/>
      <c r="WU559" s="243"/>
      <c r="WV559" s="243"/>
      <c r="WW559" s="243"/>
      <c r="WX559" s="243"/>
      <c r="WY559" s="243"/>
      <c r="WZ559" s="243"/>
      <c r="XA559" s="243"/>
      <c r="XB559" s="243"/>
      <c r="XC559" s="243"/>
      <c r="XD559" s="243"/>
      <c r="XE559" s="243"/>
      <c r="XF559" s="243"/>
      <c r="XG559" s="243"/>
      <c r="XH559" s="243"/>
      <c r="XI559" s="243"/>
      <c r="XJ559" s="243"/>
      <c r="XK559" s="243"/>
      <c r="XL559" s="243"/>
      <c r="XM559" s="243"/>
      <c r="XN559" s="243"/>
      <c r="XO559" s="243"/>
      <c r="XP559" s="243"/>
      <c r="XQ559" s="243"/>
      <c r="XR559" s="243"/>
      <c r="XS559" s="243"/>
      <c r="XT559" s="243"/>
      <c r="XU559" s="243"/>
      <c r="XV559" s="243"/>
      <c r="XW559" s="243"/>
      <c r="XX559" s="243"/>
      <c r="XY559" s="243"/>
      <c r="XZ559" s="243"/>
      <c r="YA559" s="243"/>
      <c r="YB559" s="243"/>
      <c r="YC559" s="243"/>
      <c r="YD559" s="243"/>
      <c r="YE559" s="243"/>
      <c r="YF559" s="243"/>
      <c r="YG559" s="243"/>
      <c r="YH559" s="243"/>
      <c r="YI559" s="243"/>
      <c r="YJ559" s="243"/>
      <c r="YK559" s="243"/>
      <c r="YL559" s="243"/>
      <c r="YM559" s="243"/>
      <c r="YN559" s="243"/>
      <c r="YO559" s="243"/>
      <c r="YP559" s="243"/>
      <c r="YQ559" s="243"/>
      <c r="YR559" s="243"/>
      <c r="YS559" s="243"/>
      <c r="YT559" s="243"/>
      <c r="YU559" s="243"/>
      <c r="YV559" s="243"/>
      <c r="YW559" s="243"/>
      <c r="YX559" s="243"/>
      <c r="YY559" s="243"/>
      <c r="YZ559" s="243"/>
      <c r="ZA559" s="243"/>
      <c r="ZB559" s="243"/>
      <c r="ZC559" s="243"/>
      <c r="ZD559" s="243"/>
      <c r="ZE559" s="243"/>
      <c r="ZF559" s="243"/>
      <c r="ZG559" s="243"/>
      <c r="ZH559" s="243"/>
      <c r="ZI559" s="243"/>
      <c r="ZJ559" s="243"/>
      <c r="ZK559" s="243"/>
      <c r="ZL559" s="243"/>
      <c r="ZM559" s="243"/>
      <c r="ZN559" s="243"/>
      <c r="ZO559" s="243"/>
      <c r="ZP559" s="243"/>
      <c r="ZQ559" s="243"/>
      <c r="ZR559" s="243"/>
      <c r="ZS559" s="243"/>
      <c r="ZT559" s="243"/>
      <c r="ZU559" s="243"/>
      <c r="ZV559" s="243"/>
      <c r="ZW559" s="243"/>
      <c r="ZX559" s="243"/>
      <c r="ZY559" s="243"/>
      <c r="ZZ559" s="243"/>
      <c r="AAA559" s="243"/>
      <c r="AAB559" s="243"/>
      <c r="AAC559" s="243"/>
      <c r="AAD559" s="243"/>
      <c r="AAE559" s="243"/>
      <c r="AAF559" s="243"/>
      <c r="AAG559" s="243"/>
      <c r="AAH559" s="243"/>
      <c r="AAI559" s="243"/>
      <c r="AAJ559" s="243"/>
      <c r="AAK559" s="243"/>
      <c r="AAL559" s="243"/>
      <c r="AAM559" s="243"/>
      <c r="AAN559" s="243"/>
      <c r="AAO559" s="243"/>
      <c r="AAP559" s="243"/>
      <c r="AAQ559" s="243"/>
      <c r="AAR559" s="243"/>
      <c r="AAS559" s="243"/>
      <c r="AAT559" s="243"/>
      <c r="AAU559" s="243"/>
      <c r="AAV559" s="243"/>
      <c r="AAW559" s="243"/>
      <c r="AAX559" s="243"/>
      <c r="AAY559" s="243"/>
      <c r="AAZ559" s="243"/>
      <c r="ABA559" s="243"/>
      <c r="ABB559" s="243"/>
      <c r="ABC559" s="243"/>
      <c r="ABD559" s="243"/>
      <c r="ABE559" s="243"/>
      <c r="ABF559" s="243"/>
      <c r="ABG559" s="243"/>
      <c r="ABH559" s="243"/>
      <c r="ABI559" s="243"/>
      <c r="ABJ559" s="243"/>
      <c r="ABK559" s="243"/>
      <c r="ABL559" s="243"/>
      <c r="ABM559" s="243"/>
      <c r="ABN559" s="243"/>
      <c r="ABO559" s="243"/>
      <c r="ABP559" s="243"/>
      <c r="ABQ559" s="243"/>
      <c r="ABR559" s="243"/>
      <c r="ABS559" s="243"/>
      <c r="ABT559" s="243"/>
      <c r="ABU559" s="243"/>
      <c r="ABV559" s="243"/>
      <c r="ABW559" s="243"/>
      <c r="ABX559" s="243"/>
      <c r="ABY559" s="243"/>
      <c r="ABZ559" s="243"/>
      <c r="ACA559" s="243"/>
      <c r="ACB559" s="243"/>
      <c r="ACC559" s="243"/>
      <c r="ACD559" s="243"/>
      <c r="ACE559" s="243"/>
      <c r="ACF559" s="243"/>
      <c r="ACG559" s="243"/>
      <c r="ACH559" s="243"/>
      <c r="ACI559" s="243"/>
      <c r="ACJ559" s="243"/>
      <c r="ACK559" s="243"/>
      <c r="ACL559" s="243"/>
      <c r="ACM559" s="243"/>
      <c r="ACN559" s="243"/>
      <c r="ACO559" s="243"/>
      <c r="ACP559" s="243"/>
      <c r="ACQ559" s="243"/>
      <c r="ACR559" s="243"/>
      <c r="ACS559" s="243"/>
      <c r="ACT559" s="243"/>
      <c r="ACU559" s="243"/>
      <c r="ACV559" s="243"/>
      <c r="ACW559" s="243"/>
      <c r="ACX559" s="243"/>
      <c r="ACY559" s="243"/>
      <c r="ACZ559" s="243"/>
      <c r="ADA559" s="243"/>
      <c r="ADB559" s="243"/>
      <c r="ADC559" s="243"/>
      <c r="ADD559" s="243"/>
      <c r="ADE559" s="243"/>
      <c r="ADF559" s="243"/>
      <c r="ADG559" s="243"/>
      <c r="ADH559" s="243"/>
      <c r="ADI559" s="243"/>
      <c r="ADJ559" s="243"/>
      <c r="ADK559" s="243"/>
      <c r="ADL559" s="243"/>
      <c r="ADM559" s="243"/>
      <c r="ADN559" s="243"/>
      <c r="ADO559" s="243"/>
      <c r="ADP559" s="243"/>
      <c r="ADQ559" s="243"/>
      <c r="ADR559" s="243"/>
      <c r="ADS559" s="243"/>
      <c r="ADT559" s="243"/>
      <c r="ADU559" s="243"/>
      <c r="ADV559" s="243"/>
      <c r="ADW559" s="243"/>
      <c r="ADX559" s="243"/>
      <c r="ADY559" s="243"/>
      <c r="ADZ559" s="243"/>
      <c r="AEA559" s="243"/>
      <c r="AEB559" s="243"/>
      <c r="AEC559" s="243"/>
      <c r="AED559" s="243"/>
      <c r="AEE559" s="243"/>
      <c r="AEF559" s="243"/>
      <c r="AEG559" s="243"/>
      <c r="AEH559" s="243"/>
      <c r="AEI559" s="243"/>
      <c r="AEJ559" s="243"/>
      <c r="AEK559" s="243"/>
      <c r="AEL559" s="243"/>
      <c r="AEM559" s="243"/>
      <c r="AEN559" s="243"/>
      <c r="AEO559" s="243"/>
      <c r="AEP559" s="243"/>
      <c r="AEQ559" s="243"/>
      <c r="AER559" s="243"/>
      <c r="AES559" s="243"/>
      <c r="AET559" s="243"/>
      <c r="AEU559" s="243"/>
      <c r="AEV559" s="243"/>
      <c r="AEW559" s="243"/>
      <c r="AEX559" s="243"/>
      <c r="AEY559" s="243"/>
      <c r="AEZ559" s="243"/>
      <c r="AFA559" s="243"/>
      <c r="AFB559" s="243"/>
      <c r="AFC559" s="243"/>
      <c r="AFD559" s="243"/>
      <c r="AFE559" s="243"/>
      <c r="AFF559" s="243"/>
      <c r="AFG559" s="243"/>
      <c r="AFH559" s="243"/>
      <c r="AFI559" s="243"/>
      <c r="AFJ559" s="243"/>
      <c r="AFK559" s="243"/>
      <c r="AFL559" s="243"/>
      <c r="AFM559" s="243"/>
      <c r="AFN559" s="243"/>
      <c r="AFO559" s="243"/>
      <c r="AFP559" s="243"/>
      <c r="AFQ559" s="243"/>
      <c r="AFR559" s="243"/>
      <c r="AFS559" s="243"/>
      <c r="AFT559" s="243"/>
      <c r="AFU559" s="243"/>
      <c r="AFV559" s="243"/>
      <c r="AFW559" s="243"/>
      <c r="AFX559" s="243"/>
      <c r="AFY559" s="243"/>
      <c r="AFZ559" s="243"/>
      <c r="AGA559" s="243"/>
      <c r="AGB559" s="243"/>
      <c r="AGC559" s="243"/>
      <c r="AGD559" s="243"/>
      <c r="AGE559" s="243"/>
      <c r="AGF559" s="243"/>
      <c r="AGG559" s="243"/>
      <c r="AGH559" s="243"/>
      <c r="AGI559" s="243"/>
      <c r="AGJ559" s="243"/>
      <c r="AGK559" s="243"/>
      <c r="AGL559" s="243"/>
      <c r="AGM559" s="243"/>
      <c r="AGN559" s="243"/>
      <c r="AGO559" s="243"/>
      <c r="AGP559" s="243"/>
      <c r="AGQ559" s="243"/>
      <c r="AGR559" s="243"/>
      <c r="AGS559" s="243"/>
      <c r="AGT559" s="243"/>
      <c r="AGU559" s="243"/>
      <c r="AGV559" s="243"/>
      <c r="AGW559" s="243"/>
      <c r="AGX559" s="243"/>
      <c r="AGY559" s="243"/>
      <c r="AGZ559" s="243"/>
      <c r="AHA559" s="243"/>
      <c r="AHB559" s="243"/>
      <c r="AHC559" s="243"/>
      <c r="AHD559" s="243"/>
      <c r="AHE559" s="243"/>
      <c r="AHF559" s="243"/>
      <c r="AHG559" s="243"/>
      <c r="AHH559" s="243"/>
      <c r="AHI559" s="243"/>
      <c r="AHJ559" s="243"/>
      <c r="AHK559" s="243"/>
      <c r="AHL559" s="243"/>
      <c r="AHM559" s="243"/>
      <c r="AHN559" s="243"/>
      <c r="AHO559" s="243"/>
      <c r="AHP559" s="243"/>
      <c r="AHQ559" s="243"/>
      <c r="AHR559" s="243"/>
      <c r="AHS559" s="243"/>
      <c r="AHT559" s="243"/>
      <c r="AHU559" s="243"/>
      <c r="AHV559" s="243"/>
      <c r="AHW559" s="243"/>
      <c r="AHX559" s="243"/>
      <c r="AHY559" s="243"/>
      <c r="AHZ559" s="243"/>
      <c r="AIA559" s="243"/>
      <c r="AIB559" s="243"/>
      <c r="AIC559" s="243"/>
      <c r="AID559" s="243"/>
      <c r="AIE559" s="243"/>
      <c r="AIF559" s="243"/>
      <c r="AIG559" s="243"/>
      <c r="AIH559" s="243"/>
      <c r="AII559" s="243"/>
      <c r="AIJ559" s="243"/>
      <c r="AIK559" s="243"/>
      <c r="AIL559" s="243"/>
      <c r="AIM559" s="243"/>
      <c r="AIN559" s="243"/>
      <c r="AIO559" s="243"/>
      <c r="AIP559" s="243"/>
      <c r="AIQ559" s="243"/>
      <c r="AIR559" s="243"/>
      <c r="AIS559" s="243"/>
      <c r="AIT559" s="243"/>
      <c r="AIU559" s="243"/>
      <c r="AIV559" s="243"/>
      <c r="AIW559" s="243"/>
      <c r="AIX559" s="243"/>
      <c r="AIY559" s="243"/>
      <c r="AIZ559" s="243"/>
      <c r="AJA559" s="243"/>
      <c r="AJB559" s="243"/>
      <c r="AJC559" s="243"/>
      <c r="AJD559" s="243"/>
      <c r="AJE559" s="243"/>
      <c r="AJF559" s="243"/>
      <c r="AJG559" s="243"/>
      <c r="AJH559" s="243"/>
      <c r="AJI559" s="243"/>
      <c r="AJJ559" s="243"/>
      <c r="AJK559" s="243"/>
      <c r="AJL559" s="243"/>
      <c r="AJM559" s="243"/>
      <c r="AJN559" s="243"/>
      <c r="AJO559" s="243"/>
      <c r="AJP559" s="243"/>
      <c r="AJQ559" s="243"/>
      <c r="AJR559" s="243"/>
      <c r="AJS559" s="243"/>
      <c r="AJT559" s="243"/>
      <c r="AJU559" s="243"/>
      <c r="AJV559" s="243"/>
      <c r="AJW559" s="243"/>
      <c r="AJX559" s="243"/>
      <c r="AJY559" s="243"/>
      <c r="AJZ559" s="243"/>
      <c r="AKA559" s="243"/>
      <c r="AKB559" s="243"/>
      <c r="AKC559" s="243"/>
      <c r="AKD559" s="243"/>
      <c r="AKE559" s="243"/>
      <c r="AKF559" s="243"/>
      <c r="AKG559" s="243"/>
      <c r="AKH559" s="243"/>
      <c r="AKI559" s="243"/>
      <c r="AKJ559" s="243"/>
      <c r="AKK559" s="243"/>
      <c r="AKL559" s="243"/>
      <c r="AKM559" s="243"/>
      <c r="AKN559" s="243"/>
      <c r="AKO559" s="243"/>
      <c r="AKP559" s="243"/>
      <c r="AKQ559" s="243"/>
      <c r="AKR559" s="243"/>
      <c r="AKS559" s="243"/>
      <c r="AKT559" s="243"/>
      <c r="AKU559" s="243"/>
      <c r="AKV559" s="243"/>
      <c r="AKW559" s="243"/>
      <c r="AKX559" s="243"/>
      <c r="AKY559" s="243"/>
      <c r="AKZ559" s="243"/>
      <c r="ALA559" s="243"/>
      <c r="ALB559" s="243"/>
      <c r="ALC559" s="243"/>
      <c r="ALD559" s="243"/>
      <c r="ALE559" s="243"/>
      <c r="ALF559" s="243"/>
      <c r="ALG559" s="243"/>
      <c r="ALH559" s="243"/>
      <c r="ALI559" s="243"/>
      <c r="ALJ559" s="243"/>
      <c r="ALK559" s="243"/>
      <c r="ALL559" s="243"/>
      <c r="ALM559" s="243"/>
      <c r="ALN559" s="243"/>
      <c r="ALO559" s="243"/>
      <c r="ALP559" s="243"/>
      <c r="ALQ559" s="243"/>
      <c r="ALR559" s="243"/>
      <c r="ALS559" s="243"/>
      <c r="ALT559" s="243"/>
      <c r="ALU559" s="243"/>
      <c r="ALV559" s="243"/>
      <c r="ALW559" s="243"/>
      <c r="ALX559" s="243"/>
      <c r="ALY559" s="243"/>
      <c r="ALZ559" s="243"/>
      <c r="AMA559" s="243"/>
      <c r="AMB559" s="243"/>
      <c r="AMC559" s="243"/>
      <c r="AMD559" s="243"/>
      <c r="AME559" s="243"/>
      <c r="AMF559" s="243"/>
      <c r="AMG559" s="243"/>
      <c r="AMH559" s="243"/>
      <c r="AMI559" s="243"/>
      <c r="AMJ559" s="243"/>
      <c r="AMK559" s="244"/>
    </row>
    <row r="560" spans="1:1025" hidden="1">
      <c r="A560" s="243"/>
      <c r="B560" s="431">
        <v>44870</v>
      </c>
      <c r="C560" s="247" t="s">
        <v>870</v>
      </c>
      <c r="D560" s="246" t="s">
        <v>943</v>
      </c>
      <c r="E560" s="246" t="s">
        <v>521</v>
      </c>
      <c r="F560" s="248">
        <v>2600000</v>
      </c>
      <c r="G560" s="247" t="s">
        <v>903</v>
      </c>
      <c r="H560" s="247" t="s">
        <v>523</v>
      </c>
      <c r="I560" s="247" t="s">
        <v>523</v>
      </c>
      <c r="J560" s="247">
        <v>1</v>
      </c>
      <c r="K560" s="247"/>
      <c r="L560" s="247" t="s">
        <v>138</v>
      </c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3"/>
      <c r="Z560" s="243"/>
      <c r="AA560" s="243"/>
      <c r="AB560" s="243"/>
      <c r="AC560" s="243"/>
      <c r="AD560" s="243"/>
      <c r="AE560" s="243"/>
      <c r="AF560" s="243"/>
      <c r="AG560" s="243"/>
      <c r="AH560" s="243"/>
      <c r="AI560" s="243"/>
      <c r="AJ560" s="243"/>
      <c r="AK560" s="243"/>
      <c r="AL560" s="243"/>
      <c r="AM560" s="243"/>
      <c r="AN560" s="243"/>
      <c r="AO560" s="243"/>
      <c r="AP560" s="243"/>
      <c r="AQ560" s="243"/>
      <c r="AR560" s="243"/>
      <c r="AS560" s="243"/>
      <c r="AT560" s="243"/>
      <c r="AU560" s="243"/>
      <c r="AV560" s="243"/>
      <c r="AW560" s="243"/>
      <c r="AX560" s="243"/>
      <c r="AY560" s="243"/>
      <c r="AZ560" s="243"/>
      <c r="BA560" s="243"/>
      <c r="BB560" s="243"/>
      <c r="BC560" s="243"/>
      <c r="BD560" s="243"/>
      <c r="BE560" s="243"/>
      <c r="BF560" s="243"/>
      <c r="BG560" s="243"/>
      <c r="BH560" s="243"/>
      <c r="BI560" s="243"/>
      <c r="BJ560" s="243"/>
      <c r="BK560" s="243"/>
      <c r="BL560" s="243"/>
      <c r="BM560" s="243"/>
      <c r="BN560" s="243"/>
      <c r="BO560" s="243"/>
      <c r="BP560" s="243"/>
      <c r="BQ560" s="243"/>
      <c r="BR560" s="243"/>
      <c r="BS560" s="243"/>
      <c r="BT560" s="243"/>
      <c r="BU560" s="243"/>
      <c r="BV560" s="243"/>
      <c r="BW560" s="243"/>
      <c r="BX560" s="243"/>
      <c r="BY560" s="243"/>
      <c r="BZ560" s="243"/>
      <c r="CA560" s="243"/>
      <c r="CB560" s="243"/>
      <c r="CC560" s="243"/>
      <c r="CD560" s="243"/>
      <c r="CE560" s="243"/>
      <c r="CF560" s="243"/>
      <c r="CG560" s="243"/>
      <c r="CH560" s="243"/>
      <c r="CI560" s="243"/>
      <c r="CJ560" s="243"/>
      <c r="CK560" s="243"/>
      <c r="CL560" s="243"/>
      <c r="CM560" s="243"/>
      <c r="CN560" s="243"/>
      <c r="CO560" s="243"/>
      <c r="CP560" s="243"/>
      <c r="CQ560" s="243"/>
      <c r="CR560" s="243"/>
      <c r="CS560" s="243"/>
      <c r="CT560" s="243"/>
      <c r="CU560" s="243"/>
      <c r="CV560" s="243"/>
      <c r="CW560" s="243"/>
      <c r="CX560" s="243"/>
      <c r="CY560" s="243"/>
      <c r="CZ560" s="243"/>
      <c r="DA560" s="243"/>
      <c r="DB560" s="243"/>
      <c r="DC560" s="243"/>
      <c r="DD560" s="243"/>
      <c r="DE560" s="243"/>
      <c r="DF560" s="243"/>
      <c r="DG560" s="243"/>
      <c r="DH560" s="243"/>
      <c r="DI560" s="243"/>
      <c r="DJ560" s="243"/>
      <c r="DK560" s="243"/>
      <c r="DL560" s="243"/>
      <c r="DM560" s="243"/>
      <c r="DN560" s="243"/>
      <c r="DO560" s="243"/>
      <c r="DP560" s="243"/>
      <c r="DQ560" s="243"/>
      <c r="DR560" s="243"/>
      <c r="DS560" s="243"/>
      <c r="DT560" s="243"/>
      <c r="DU560" s="243"/>
      <c r="DV560" s="243"/>
      <c r="DW560" s="243"/>
      <c r="DX560" s="243"/>
      <c r="DY560" s="243"/>
      <c r="DZ560" s="243"/>
      <c r="EA560" s="243"/>
      <c r="EB560" s="243"/>
      <c r="EC560" s="243"/>
      <c r="ED560" s="243"/>
      <c r="EE560" s="243"/>
      <c r="EF560" s="243"/>
      <c r="EG560" s="243"/>
      <c r="EH560" s="243"/>
      <c r="EI560" s="243"/>
      <c r="EJ560" s="243"/>
      <c r="EK560" s="243"/>
      <c r="EL560" s="243"/>
      <c r="EM560" s="243"/>
      <c r="EN560" s="243"/>
      <c r="EO560" s="243"/>
      <c r="EP560" s="243"/>
      <c r="EQ560" s="243"/>
      <c r="ER560" s="243"/>
      <c r="ES560" s="243"/>
      <c r="ET560" s="243"/>
      <c r="EU560" s="243"/>
      <c r="EV560" s="243"/>
      <c r="EW560" s="243"/>
      <c r="EX560" s="243"/>
      <c r="EY560" s="243"/>
      <c r="EZ560" s="243"/>
      <c r="FA560" s="243"/>
      <c r="FB560" s="243"/>
      <c r="FC560" s="243"/>
      <c r="FD560" s="243"/>
      <c r="FE560" s="243"/>
      <c r="FF560" s="243"/>
      <c r="FG560" s="243"/>
      <c r="FH560" s="243"/>
      <c r="FI560" s="243"/>
      <c r="FJ560" s="243"/>
      <c r="FK560" s="243"/>
      <c r="FL560" s="243"/>
      <c r="FM560" s="243"/>
      <c r="FN560" s="243"/>
      <c r="FO560" s="243"/>
      <c r="FP560" s="243"/>
      <c r="FQ560" s="243"/>
      <c r="FR560" s="243"/>
      <c r="FS560" s="243"/>
      <c r="FT560" s="243"/>
      <c r="FU560" s="243"/>
      <c r="FV560" s="243"/>
      <c r="FW560" s="243"/>
      <c r="FX560" s="243"/>
      <c r="FY560" s="243"/>
      <c r="FZ560" s="243"/>
      <c r="GA560" s="243"/>
      <c r="GB560" s="243"/>
      <c r="GC560" s="243"/>
      <c r="GD560" s="243"/>
      <c r="GE560" s="243"/>
      <c r="GF560" s="243"/>
      <c r="GG560" s="243"/>
      <c r="GH560" s="243"/>
      <c r="GI560" s="243"/>
      <c r="GJ560" s="243"/>
      <c r="GK560" s="243"/>
      <c r="GL560" s="243"/>
      <c r="GM560" s="243"/>
      <c r="GN560" s="243"/>
      <c r="GO560" s="243"/>
      <c r="GP560" s="243"/>
      <c r="GQ560" s="243"/>
      <c r="GR560" s="243"/>
      <c r="GS560" s="243"/>
      <c r="GT560" s="243"/>
      <c r="GU560" s="243"/>
      <c r="GV560" s="243"/>
      <c r="GW560" s="243"/>
      <c r="GX560" s="243"/>
      <c r="GY560" s="243"/>
      <c r="GZ560" s="243"/>
      <c r="HA560" s="243"/>
      <c r="HB560" s="243"/>
      <c r="HC560" s="243"/>
      <c r="HD560" s="243"/>
      <c r="HE560" s="243"/>
      <c r="HF560" s="243"/>
      <c r="HG560" s="243"/>
      <c r="HH560" s="243"/>
      <c r="HI560" s="243"/>
      <c r="HJ560" s="243"/>
      <c r="HK560" s="243"/>
      <c r="HL560" s="243"/>
      <c r="HM560" s="243"/>
      <c r="HN560" s="243"/>
      <c r="HO560" s="243"/>
      <c r="HP560" s="243"/>
      <c r="HQ560" s="243"/>
      <c r="HR560" s="243"/>
      <c r="HS560" s="243"/>
      <c r="HT560" s="243"/>
      <c r="HU560" s="243"/>
      <c r="HV560" s="243"/>
      <c r="HW560" s="243"/>
      <c r="HX560" s="243"/>
      <c r="HY560" s="243"/>
      <c r="HZ560" s="243"/>
      <c r="IA560" s="243"/>
      <c r="IB560" s="243"/>
      <c r="IC560" s="243"/>
      <c r="ID560" s="243"/>
      <c r="IE560" s="243"/>
      <c r="IF560" s="243"/>
      <c r="IG560" s="243"/>
      <c r="IH560" s="243"/>
      <c r="II560" s="243"/>
      <c r="IJ560" s="243"/>
      <c r="IK560" s="243"/>
      <c r="IL560" s="243"/>
      <c r="IM560" s="243"/>
      <c r="IN560" s="243"/>
      <c r="IO560" s="243"/>
      <c r="IP560" s="243"/>
      <c r="IQ560" s="243"/>
      <c r="IR560" s="243"/>
      <c r="IS560" s="243"/>
      <c r="IT560" s="243"/>
      <c r="IU560" s="243"/>
      <c r="IV560" s="243"/>
      <c r="IW560" s="243"/>
      <c r="IX560" s="243"/>
      <c r="IY560" s="243"/>
      <c r="IZ560" s="243"/>
      <c r="JA560" s="243"/>
      <c r="JB560" s="243"/>
      <c r="JC560" s="243"/>
      <c r="JD560" s="243"/>
      <c r="JE560" s="243"/>
      <c r="JF560" s="243"/>
      <c r="JG560" s="243"/>
      <c r="JH560" s="243"/>
      <c r="JI560" s="243"/>
      <c r="JJ560" s="243"/>
      <c r="JK560" s="243"/>
      <c r="JL560" s="243"/>
      <c r="JM560" s="243"/>
      <c r="JN560" s="243"/>
      <c r="JO560" s="243"/>
      <c r="JP560" s="243"/>
      <c r="JQ560" s="243"/>
      <c r="JR560" s="243"/>
      <c r="JS560" s="243"/>
      <c r="JT560" s="243"/>
      <c r="JU560" s="243"/>
      <c r="JV560" s="243"/>
      <c r="JW560" s="243"/>
      <c r="JX560" s="243"/>
      <c r="JY560" s="243"/>
      <c r="JZ560" s="243"/>
      <c r="KA560" s="243"/>
      <c r="KB560" s="243"/>
      <c r="KC560" s="243"/>
      <c r="KD560" s="243"/>
      <c r="KE560" s="243"/>
      <c r="KF560" s="243"/>
      <c r="KG560" s="243"/>
      <c r="KH560" s="243"/>
      <c r="KI560" s="243"/>
      <c r="KJ560" s="243"/>
      <c r="KK560" s="243"/>
      <c r="KL560" s="243"/>
      <c r="KM560" s="243"/>
      <c r="KN560" s="243"/>
      <c r="KO560" s="243"/>
      <c r="KP560" s="243"/>
      <c r="KQ560" s="243"/>
      <c r="KR560" s="243"/>
      <c r="KS560" s="243"/>
      <c r="KT560" s="243"/>
      <c r="KU560" s="243"/>
      <c r="KV560" s="243"/>
      <c r="KW560" s="243"/>
      <c r="KX560" s="243"/>
      <c r="KY560" s="243"/>
      <c r="KZ560" s="243"/>
      <c r="LA560" s="243"/>
      <c r="LB560" s="243"/>
      <c r="LC560" s="243"/>
      <c r="LD560" s="243"/>
      <c r="LE560" s="243"/>
      <c r="LF560" s="243"/>
      <c r="LG560" s="243"/>
      <c r="LH560" s="243"/>
      <c r="LI560" s="243"/>
      <c r="LJ560" s="243"/>
      <c r="LK560" s="243"/>
      <c r="LL560" s="243"/>
      <c r="LM560" s="243"/>
      <c r="LN560" s="243"/>
      <c r="LO560" s="243"/>
      <c r="LP560" s="243"/>
      <c r="LQ560" s="243"/>
      <c r="LR560" s="243"/>
      <c r="LS560" s="243"/>
      <c r="LT560" s="243"/>
      <c r="LU560" s="243"/>
      <c r="LV560" s="243"/>
      <c r="LW560" s="243"/>
      <c r="LX560" s="243"/>
      <c r="LY560" s="243"/>
      <c r="LZ560" s="243"/>
      <c r="MA560" s="243"/>
      <c r="MB560" s="243"/>
      <c r="MC560" s="243"/>
      <c r="MD560" s="243"/>
      <c r="ME560" s="243"/>
      <c r="MF560" s="243"/>
      <c r="MG560" s="243"/>
      <c r="MH560" s="243"/>
      <c r="MI560" s="243"/>
      <c r="MJ560" s="243"/>
      <c r="MK560" s="243"/>
      <c r="ML560" s="243"/>
      <c r="MM560" s="243"/>
      <c r="MN560" s="243"/>
      <c r="MO560" s="243"/>
      <c r="MP560" s="243"/>
      <c r="MQ560" s="243"/>
      <c r="MR560" s="243"/>
      <c r="MS560" s="243"/>
      <c r="MT560" s="243"/>
      <c r="MU560" s="243"/>
      <c r="MV560" s="243"/>
      <c r="MW560" s="243"/>
      <c r="MX560" s="243"/>
      <c r="MY560" s="243"/>
      <c r="MZ560" s="243"/>
      <c r="NA560" s="243"/>
      <c r="NB560" s="243"/>
      <c r="NC560" s="243"/>
      <c r="ND560" s="243"/>
      <c r="NE560" s="243"/>
      <c r="NF560" s="243"/>
      <c r="NG560" s="243"/>
      <c r="NH560" s="243"/>
      <c r="NI560" s="243"/>
      <c r="NJ560" s="243"/>
      <c r="NK560" s="243"/>
      <c r="NL560" s="243"/>
      <c r="NM560" s="243"/>
      <c r="NN560" s="243"/>
      <c r="NO560" s="243"/>
      <c r="NP560" s="243"/>
      <c r="NQ560" s="243"/>
      <c r="NR560" s="243"/>
      <c r="NS560" s="243"/>
      <c r="NT560" s="243"/>
      <c r="NU560" s="243"/>
      <c r="NV560" s="243"/>
      <c r="NW560" s="243"/>
      <c r="NX560" s="243"/>
      <c r="NY560" s="243"/>
      <c r="NZ560" s="243"/>
      <c r="OA560" s="243"/>
      <c r="OB560" s="243"/>
      <c r="OC560" s="243"/>
      <c r="OD560" s="243"/>
      <c r="OE560" s="243"/>
      <c r="OF560" s="243"/>
      <c r="OG560" s="243"/>
      <c r="OH560" s="243"/>
      <c r="OI560" s="243"/>
      <c r="OJ560" s="243"/>
      <c r="OK560" s="243"/>
      <c r="OL560" s="243"/>
      <c r="OM560" s="243"/>
      <c r="ON560" s="243"/>
      <c r="OO560" s="243"/>
      <c r="OP560" s="243"/>
      <c r="OQ560" s="243"/>
      <c r="OR560" s="243"/>
      <c r="OS560" s="243"/>
      <c r="OT560" s="243"/>
      <c r="OU560" s="243"/>
      <c r="OV560" s="243"/>
      <c r="OW560" s="243"/>
      <c r="OX560" s="243"/>
      <c r="OY560" s="243"/>
      <c r="OZ560" s="243"/>
      <c r="PA560" s="243"/>
      <c r="PB560" s="243"/>
      <c r="PC560" s="243"/>
      <c r="PD560" s="243"/>
      <c r="PE560" s="243"/>
      <c r="PF560" s="243"/>
      <c r="PG560" s="243"/>
      <c r="PH560" s="243"/>
      <c r="PI560" s="243"/>
      <c r="PJ560" s="243"/>
      <c r="PK560" s="243"/>
      <c r="PL560" s="243"/>
      <c r="PM560" s="243"/>
      <c r="PN560" s="243"/>
      <c r="PO560" s="243"/>
      <c r="PP560" s="243"/>
      <c r="PQ560" s="243"/>
      <c r="PR560" s="243"/>
      <c r="PS560" s="243"/>
      <c r="PT560" s="243"/>
      <c r="PU560" s="243"/>
      <c r="PV560" s="243"/>
      <c r="PW560" s="243"/>
      <c r="PX560" s="243"/>
      <c r="PY560" s="243"/>
      <c r="PZ560" s="243"/>
      <c r="QA560" s="243"/>
      <c r="QB560" s="243"/>
      <c r="QC560" s="243"/>
      <c r="QD560" s="243"/>
      <c r="QE560" s="243"/>
      <c r="QF560" s="243"/>
      <c r="QG560" s="243"/>
      <c r="QH560" s="243"/>
      <c r="QI560" s="243"/>
      <c r="QJ560" s="243"/>
      <c r="QK560" s="243"/>
      <c r="QL560" s="243"/>
      <c r="QM560" s="243"/>
      <c r="QN560" s="243"/>
      <c r="QO560" s="243"/>
      <c r="QP560" s="243"/>
      <c r="QQ560" s="243"/>
      <c r="QR560" s="243"/>
      <c r="QS560" s="243"/>
      <c r="QT560" s="243"/>
      <c r="QU560" s="243"/>
      <c r="QV560" s="243"/>
      <c r="QW560" s="243"/>
      <c r="QX560" s="243"/>
      <c r="QY560" s="243"/>
      <c r="QZ560" s="243"/>
      <c r="RA560" s="243"/>
      <c r="RB560" s="243"/>
      <c r="RC560" s="243"/>
      <c r="RD560" s="243"/>
      <c r="RE560" s="243"/>
      <c r="RF560" s="243"/>
      <c r="RG560" s="243"/>
      <c r="RH560" s="243"/>
      <c r="RI560" s="243"/>
      <c r="RJ560" s="243"/>
      <c r="RK560" s="243"/>
      <c r="RL560" s="243"/>
      <c r="RM560" s="243"/>
      <c r="RN560" s="243"/>
      <c r="RO560" s="243"/>
      <c r="RP560" s="243"/>
      <c r="RQ560" s="243"/>
      <c r="RR560" s="243"/>
      <c r="RS560" s="243"/>
      <c r="RT560" s="243"/>
      <c r="RU560" s="243"/>
      <c r="RV560" s="243"/>
      <c r="RW560" s="243"/>
      <c r="RX560" s="243"/>
      <c r="RY560" s="243"/>
      <c r="RZ560" s="243"/>
      <c r="SA560" s="243"/>
      <c r="SB560" s="243"/>
      <c r="SC560" s="243"/>
      <c r="SD560" s="243"/>
      <c r="SE560" s="243"/>
      <c r="SF560" s="243"/>
      <c r="SG560" s="243"/>
      <c r="SH560" s="243"/>
      <c r="SI560" s="243"/>
      <c r="SJ560" s="243"/>
      <c r="SK560" s="243"/>
      <c r="SL560" s="243"/>
      <c r="SM560" s="243"/>
      <c r="SN560" s="243"/>
      <c r="SO560" s="243"/>
      <c r="SP560" s="243"/>
      <c r="SQ560" s="243"/>
      <c r="SR560" s="243"/>
      <c r="SS560" s="243"/>
      <c r="ST560" s="243"/>
      <c r="SU560" s="243"/>
      <c r="SV560" s="243"/>
      <c r="SW560" s="243"/>
      <c r="SX560" s="243"/>
      <c r="SY560" s="243"/>
      <c r="SZ560" s="243"/>
      <c r="TA560" s="243"/>
      <c r="TB560" s="243"/>
      <c r="TC560" s="243"/>
      <c r="TD560" s="243"/>
      <c r="TE560" s="243"/>
      <c r="TF560" s="243"/>
      <c r="TG560" s="243"/>
      <c r="TH560" s="243"/>
      <c r="TI560" s="243"/>
      <c r="TJ560" s="243"/>
      <c r="TK560" s="243"/>
      <c r="TL560" s="243"/>
      <c r="TM560" s="243"/>
      <c r="TN560" s="243"/>
      <c r="TO560" s="243"/>
      <c r="TP560" s="243"/>
      <c r="TQ560" s="243"/>
      <c r="TR560" s="243"/>
      <c r="TS560" s="243"/>
      <c r="TT560" s="243"/>
      <c r="TU560" s="243"/>
      <c r="TV560" s="243"/>
      <c r="TW560" s="243"/>
      <c r="TX560" s="243"/>
      <c r="TY560" s="243"/>
      <c r="TZ560" s="243"/>
      <c r="UA560" s="243"/>
      <c r="UB560" s="243"/>
      <c r="UC560" s="243"/>
      <c r="UD560" s="243"/>
      <c r="UE560" s="243"/>
      <c r="UF560" s="243"/>
      <c r="UG560" s="243"/>
      <c r="UH560" s="243"/>
      <c r="UI560" s="243"/>
      <c r="UJ560" s="243"/>
      <c r="UK560" s="243"/>
      <c r="UL560" s="243"/>
      <c r="UM560" s="243"/>
      <c r="UN560" s="243"/>
      <c r="UO560" s="243"/>
      <c r="UP560" s="243"/>
      <c r="UQ560" s="243"/>
      <c r="UR560" s="243"/>
      <c r="US560" s="243"/>
      <c r="UT560" s="243"/>
      <c r="UU560" s="243"/>
      <c r="UV560" s="243"/>
      <c r="UW560" s="243"/>
      <c r="UX560" s="243"/>
      <c r="UY560" s="243"/>
      <c r="UZ560" s="243"/>
      <c r="VA560" s="243"/>
      <c r="VB560" s="243"/>
      <c r="VC560" s="243"/>
      <c r="VD560" s="243"/>
      <c r="VE560" s="243"/>
      <c r="VF560" s="243"/>
      <c r="VG560" s="243"/>
      <c r="VH560" s="243"/>
      <c r="VI560" s="243"/>
      <c r="VJ560" s="243"/>
      <c r="VK560" s="243"/>
      <c r="VL560" s="243"/>
      <c r="VM560" s="243"/>
      <c r="VN560" s="243"/>
      <c r="VO560" s="243"/>
      <c r="VP560" s="243"/>
      <c r="VQ560" s="243"/>
      <c r="VR560" s="243"/>
      <c r="VS560" s="243"/>
      <c r="VT560" s="243"/>
      <c r="VU560" s="243"/>
      <c r="VV560" s="243"/>
      <c r="VW560" s="243"/>
      <c r="VX560" s="243"/>
      <c r="VY560" s="243"/>
      <c r="VZ560" s="243"/>
      <c r="WA560" s="243"/>
      <c r="WB560" s="243"/>
      <c r="WC560" s="243"/>
      <c r="WD560" s="243"/>
      <c r="WE560" s="243"/>
      <c r="WF560" s="243"/>
      <c r="WG560" s="243"/>
      <c r="WH560" s="243"/>
      <c r="WI560" s="243"/>
      <c r="WJ560" s="243"/>
      <c r="WK560" s="243"/>
      <c r="WL560" s="243"/>
      <c r="WM560" s="243"/>
      <c r="WN560" s="243"/>
      <c r="WO560" s="243"/>
      <c r="WP560" s="243"/>
      <c r="WQ560" s="243"/>
      <c r="WR560" s="243"/>
      <c r="WS560" s="243"/>
      <c r="WT560" s="243"/>
      <c r="WU560" s="243"/>
      <c r="WV560" s="243"/>
      <c r="WW560" s="243"/>
      <c r="WX560" s="243"/>
      <c r="WY560" s="243"/>
      <c r="WZ560" s="243"/>
      <c r="XA560" s="243"/>
      <c r="XB560" s="243"/>
      <c r="XC560" s="243"/>
      <c r="XD560" s="243"/>
      <c r="XE560" s="243"/>
      <c r="XF560" s="243"/>
      <c r="XG560" s="243"/>
      <c r="XH560" s="243"/>
      <c r="XI560" s="243"/>
      <c r="XJ560" s="243"/>
      <c r="XK560" s="243"/>
      <c r="XL560" s="243"/>
      <c r="XM560" s="243"/>
      <c r="XN560" s="243"/>
      <c r="XO560" s="243"/>
      <c r="XP560" s="243"/>
      <c r="XQ560" s="243"/>
      <c r="XR560" s="243"/>
      <c r="XS560" s="243"/>
      <c r="XT560" s="243"/>
      <c r="XU560" s="243"/>
      <c r="XV560" s="243"/>
      <c r="XW560" s="243"/>
      <c r="XX560" s="243"/>
      <c r="XY560" s="243"/>
      <c r="XZ560" s="243"/>
      <c r="YA560" s="243"/>
      <c r="YB560" s="243"/>
      <c r="YC560" s="243"/>
      <c r="YD560" s="243"/>
      <c r="YE560" s="243"/>
      <c r="YF560" s="243"/>
      <c r="YG560" s="243"/>
      <c r="YH560" s="243"/>
      <c r="YI560" s="243"/>
      <c r="YJ560" s="243"/>
      <c r="YK560" s="243"/>
      <c r="YL560" s="243"/>
      <c r="YM560" s="243"/>
      <c r="YN560" s="243"/>
      <c r="YO560" s="243"/>
      <c r="YP560" s="243"/>
      <c r="YQ560" s="243"/>
      <c r="YR560" s="243"/>
      <c r="YS560" s="243"/>
      <c r="YT560" s="243"/>
      <c r="YU560" s="243"/>
      <c r="YV560" s="243"/>
      <c r="YW560" s="243"/>
      <c r="YX560" s="243"/>
      <c r="YY560" s="243"/>
      <c r="YZ560" s="243"/>
      <c r="ZA560" s="243"/>
      <c r="ZB560" s="243"/>
      <c r="ZC560" s="243"/>
      <c r="ZD560" s="243"/>
      <c r="ZE560" s="243"/>
      <c r="ZF560" s="243"/>
      <c r="ZG560" s="243"/>
      <c r="ZH560" s="243"/>
      <c r="ZI560" s="243"/>
      <c r="ZJ560" s="243"/>
      <c r="ZK560" s="243"/>
      <c r="ZL560" s="243"/>
      <c r="ZM560" s="243"/>
      <c r="ZN560" s="243"/>
      <c r="ZO560" s="243"/>
      <c r="ZP560" s="243"/>
      <c r="ZQ560" s="243"/>
      <c r="ZR560" s="243"/>
      <c r="ZS560" s="243"/>
      <c r="ZT560" s="243"/>
      <c r="ZU560" s="243"/>
      <c r="ZV560" s="243"/>
      <c r="ZW560" s="243"/>
      <c r="ZX560" s="243"/>
      <c r="ZY560" s="243"/>
      <c r="ZZ560" s="243"/>
      <c r="AAA560" s="243"/>
      <c r="AAB560" s="243"/>
      <c r="AAC560" s="243"/>
      <c r="AAD560" s="243"/>
      <c r="AAE560" s="243"/>
      <c r="AAF560" s="243"/>
      <c r="AAG560" s="243"/>
      <c r="AAH560" s="243"/>
      <c r="AAI560" s="243"/>
      <c r="AAJ560" s="243"/>
      <c r="AAK560" s="243"/>
      <c r="AAL560" s="243"/>
      <c r="AAM560" s="243"/>
      <c r="AAN560" s="243"/>
      <c r="AAO560" s="243"/>
      <c r="AAP560" s="243"/>
      <c r="AAQ560" s="243"/>
      <c r="AAR560" s="243"/>
      <c r="AAS560" s="243"/>
      <c r="AAT560" s="243"/>
      <c r="AAU560" s="243"/>
      <c r="AAV560" s="243"/>
      <c r="AAW560" s="243"/>
      <c r="AAX560" s="243"/>
      <c r="AAY560" s="243"/>
      <c r="AAZ560" s="243"/>
      <c r="ABA560" s="243"/>
      <c r="ABB560" s="243"/>
      <c r="ABC560" s="243"/>
      <c r="ABD560" s="243"/>
      <c r="ABE560" s="243"/>
      <c r="ABF560" s="243"/>
      <c r="ABG560" s="243"/>
      <c r="ABH560" s="243"/>
      <c r="ABI560" s="243"/>
      <c r="ABJ560" s="243"/>
      <c r="ABK560" s="243"/>
      <c r="ABL560" s="243"/>
      <c r="ABM560" s="243"/>
      <c r="ABN560" s="243"/>
      <c r="ABO560" s="243"/>
      <c r="ABP560" s="243"/>
      <c r="ABQ560" s="243"/>
      <c r="ABR560" s="243"/>
      <c r="ABS560" s="243"/>
      <c r="ABT560" s="243"/>
      <c r="ABU560" s="243"/>
      <c r="ABV560" s="243"/>
      <c r="ABW560" s="243"/>
      <c r="ABX560" s="243"/>
      <c r="ABY560" s="243"/>
      <c r="ABZ560" s="243"/>
      <c r="ACA560" s="243"/>
      <c r="ACB560" s="243"/>
      <c r="ACC560" s="243"/>
      <c r="ACD560" s="243"/>
      <c r="ACE560" s="243"/>
      <c r="ACF560" s="243"/>
      <c r="ACG560" s="243"/>
      <c r="ACH560" s="243"/>
      <c r="ACI560" s="243"/>
      <c r="ACJ560" s="243"/>
      <c r="ACK560" s="243"/>
      <c r="ACL560" s="243"/>
      <c r="ACM560" s="243"/>
      <c r="ACN560" s="243"/>
      <c r="ACO560" s="243"/>
      <c r="ACP560" s="243"/>
      <c r="ACQ560" s="243"/>
      <c r="ACR560" s="243"/>
      <c r="ACS560" s="243"/>
      <c r="ACT560" s="243"/>
      <c r="ACU560" s="243"/>
      <c r="ACV560" s="243"/>
      <c r="ACW560" s="243"/>
      <c r="ACX560" s="243"/>
      <c r="ACY560" s="243"/>
      <c r="ACZ560" s="243"/>
      <c r="ADA560" s="243"/>
      <c r="ADB560" s="243"/>
      <c r="ADC560" s="243"/>
      <c r="ADD560" s="243"/>
      <c r="ADE560" s="243"/>
      <c r="ADF560" s="243"/>
      <c r="ADG560" s="243"/>
      <c r="ADH560" s="243"/>
      <c r="ADI560" s="243"/>
      <c r="ADJ560" s="243"/>
      <c r="ADK560" s="243"/>
      <c r="ADL560" s="243"/>
      <c r="ADM560" s="243"/>
      <c r="ADN560" s="243"/>
      <c r="ADO560" s="243"/>
      <c r="ADP560" s="243"/>
      <c r="ADQ560" s="243"/>
      <c r="ADR560" s="243"/>
      <c r="ADS560" s="243"/>
      <c r="ADT560" s="243"/>
      <c r="ADU560" s="243"/>
      <c r="ADV560" s="243"/>
      <c r="ADW560" s="243"/>
      <c r="ADX560" s="243"/>
      <c r="ADY560" s="243"/>
      <c r="ADZ560" s="243"/>
      <c r="AEA560" s="243"/>
      <c r="AEB560" s="243"/>
      <c r="AEC560" s="243"/>
      <c r="AED560" s="243"/>
      <c r="AEE560" s="243"/>
      <c r="AEF560" s="243"/>
      <c r="AEG560" s="243"/>
      <c r="AEH560" s="243"/>
      <c r="AEI560" s="243"/>
      <c r="AEJ560" s="243"/>
      <c r="AEK560" s="243"/>
      <c r="AEL560" s="243"/>
      <c r="AEM560" s="243"/>
      <c r="AEN560" s="243"/>
      <c r="AEO560" s="243"/>
      <c r="AEP560" s="243"/>
      <c r="AEQ560" s="243"/>
      <c r="AER560" s="243"/>
      <c r="AES560" s="243"/>
      <c r="AET560" s="243"/>
      <c r="AEU560" s="243"/>
      <c r="AEV560" s="243"/>
      <c r="AEW560" s="243"/>
      <c r="AEX560" s="243"/>
      <c r="AEY560" s="243"/>
      <c r="AEZ560" s="243"/>
      <c r="AFA560" s="243"/>
      <c r="AFB560" s="243"/>
      <c r="AFC560" s="243"/>
      <c r="AFD560" s="243"/>
      <c r="AFE560" s="243"/>
      <c r="AFF560" s="243"/>
      <c r="AFG560" s="243"/>
      <c r="AFH560" s="243"/>
      <c r="AFI560" s="243"/>
      <c r="AFJ560" s="243"/>
      <c r="AFK560" s="243"/>
      <c r="AFL560" s="243"/>
      <c r="AFM560" s="243"/>
      <c r="AFN560" s="243"/>
      <c r="AFO560" s="243"/>
      <c r="AFP560" s="243"/>
      <c r="AFQ560" s="243"/>
      <c r="AFR560" s="243"/>
      <c r="AFS560" s="243"/>
      <c r="AFT560" s="243"/>
      <c r="AFU560" s="243"/>
      <c r="AFV560" s="243"/>
      <c r="AFW560" s="243"/>
      <c r="AFX560" s="243"/>
      <c r="AFY560" s="243"/>
      <c r="AFZ560" s="243"/>
      <c r="AGA560" s="243"/>
      <c r="AGB560" s="243"/>
      <c r="AGC560" s="243"/>
      <c r="AGD560" s="243"/>
      <c r="AGE560" s="243"/>
      <c r="AGF560" s="243"/>
      <c r="AGG560" s="243"/>
      <c r="AGH560" s="243"/>
      <c r="AGI560" s="243"/>
      <c r="AGJ560" s="243"/>
      <c r="AGK560" s="243"/>
      <c r="AGL560" s="243"/>
      <c r="AGM560" s="243"/>
      <c r="AGN560" s="243"/>
      <c r="AGO560" s="243"/>
      <c r="AGP560" s="243"/>
      <c r="AGQ560" s="243"/>
      <c r="AGR560" s="243"/>
      <c r="AGS560" s="243"/>
      <c r="AGT560" s="243"/>
      <c r="AGU560" s="243"/>
      <c r="AGV560" s="243"/>
      <c r="AGW560" s="243"/>
      <c r="AGX560" s="243"/>
      <c r="AGY560" s="243"/>
      <c r="AGZ560" s="243"/>
      <c r="AHA560" s="243"/>
      <c r="AHB560" s="243"/>
      <c r="AHC560" s="243"/>
      <c r="AHD560" s="243"/>
      <c r="AHE560" s="243"/>
      <c r="AHF560" s="243"/>
      <c r="AHG560" s="243"/>
      <c r="AHH560" s="243"/>
      <c r="AHI560" s="243"/>
      <c r="AHJ560" s="243"/>
      <c r="AHK560" s="243"/>
      <c r="AHL560" s="243"/>
      <c r="AHM560" s="243"/>
      <c r="AHN560" s="243"/>
      <c r="AHO560" s="243"/>
      <c r="AHP560" s="243"/>
      <c r="AHQ560" s="243"/>
      <c r="AHR560" s="243"/>
      <c r="AHS560" s="243"/>
      <c r="AHT560" s="243"/>
      <c r="AHU560" s="243"/>
      <c r="AHV560" s="243"/>
      <c r="AHW560" s="243"/>
      <c r="AHX560" s="243"/>
      <c r="AHY560" s="243"/>
      <c r="AHZ560" s="243"/>
      <c r="AIA560" s="243"/>
      <c r="AIB560" s="243"/>
      <c r="AIC560" s="243"/>
      <c r="AID560" s="243"/>
      <c r="AIE560" s="243"/>
      <c r="AIF560" s="243"/>
      <c r="AIG560" s="243"/>
      <c r="AIH560" s="243"/>
      <c r="AII560" s="243"/>
      <c r="AIJ560" s="243"/>
      <c r="AIK560" s="243"/>
      <c r="AIL560" s="243"/>
      <c r="AIM560" s="243"/>
      <c r="AIN560" s="243"/>
      <c r="AIO560" s="243"/>
      <c r="AIP560" s="243"/>
      <c r="AIQ560" s="243"/>
      <c r="AIR560" s="243"/>
      <c r="AIS560" s="243"/>
      <c r="AIT560" s="243"/>
      <c r="AIU560" s="243"/>
      <c r="AIV560" s="243"/>
      <c r="AIW560" s="243"/>
      <c r="AIX560" s="243"/>
      <c r="AIY560" s="243"/>
      <c r="AIZ560" s="243"/>
      <c r="AJA560" s="243"/>
      <c r="AJB560" s="243"/>
      <c r="AJC560" s="243"/>
      <c r="AJD560" s="243"/>
      <c r="AJE560" s="243"/>
      <c r="AJF560" s="243"/>
      <c r="AJG560" s="243"/>
      <c r="AJH560" s="243"/>
      <c r="AJI560" s="243"/>
      <c r="AJJ560" s="243"/>
      <c r="AJK560" s="243"/>
      <c r="AJL560" s="243"/>
      <c r="AJM560" s="243"/>
      <c r="AJN560" s="243"/>
      <c r="AJO560" s="243"/>
      <c r="AJP560" s="243"/>
      <c r="AJQ560" s="243"/>
      <c r="AJR560" s="243"/>
      <c r="AJS560" s="243"/>
      <c r="AJT560" s="243"/>
      <c r="AJU560" s="243"/>
      <c r="AJV560" s="243"/>
      <c r="AJW560" s="243"/>
      <c r="AJX560" s="243"/>
      <c r="AJY560" s="243"/>
      <c r="AJZ560" s="243"/>
      <c r="AKA560" s="243"/>
      <c r="AKB560" s="243"/>
      <c r="AKC560" s="243"/>
      <c r="AKD560" s="243"/>
      <c r="AKE560" s="243"/>
      <c r="AKF560" s="243"/>
      <c r="AKG560" s="243"/>
      <c r="AKH560" s="243"/>
      <c r="AKI560" s="243"/>
      <c r="AKJ560" s="243"/>
      <c r="AKK560" s="243"/>
      <c r="AKL560" s="243"/>
      <c r="AKM560" s="243"/>
      <c r="AKN560" s="243"/>
      <c r="AKO560" s="243"/>
      <c r="AKP560" s="243"/>
      <c r="AKQ560" s="243"/>
      <c r="AKR560" s="243"/>
      <c r="AKS560" s="243"/>
      <c r="AKT560" s="243"/>
      <c r="AKU560" s="243"/>
      <c r="AKV560" s="243"/>
      <c r="AKW560" s="243"/>
      <c r="AKX560" s="243"/>
      <c r="AKY560" s="243"/>
      <c r="AKZ560" s="243"/>
      <c r="ALA560" s="243"/>
      <c r="ALB560" s="243"/>
      <c r="ALC560" s="243"/>
      <c r="ALD560" s="243"/>
      <c r="ALE560" s="243"/>
      <c r="ALF560" s="243"/>
      <c r="ALG560" s="243"/>
      <c r="ALH560" s="243"/>
      <c r="ALI560" s="243"/>
      <c r="ALJ560" s="243"/>
      <c r="ALK560" s="243"/>
      <c r="ALL560" s="243"/>
      <c r="ALM560" s="243"/>
      <c r="ALN560" s="243"/>
      <c r="ALO560" s="243"/>
      <c r="ALP560" s="243"/>
      <c r="ALQ560" s="243"/>
      <c r="ALR560" s="243"/>
      <c r="ALS560" s="243"/>
      <c r="ALT560" s="243"/>
      <c r="ALU560" s="243"/>
      <c r="ALV560" s="243"/>
      <c r="ALW560" s="243"/>
      <c r="ALX560" s="243"/>
      <c r="ALY560" s="243"/>
      <c r="ALZ560" s="243"/>
      <c r="AMA560" s="243"/>
      <c r="AMB560" s="243"/>
      <c r="AMC560" s="243"/>
      <c r="AMD560" s="243"/>
      <c r="AME560" s="243"/>
      <c r="AMF560" s="243"/>
      <c r="AMG560" s="243"/>
      <c r="AMH560" s="243"/>
      <c r="AMI560" s="243"/>
      <c r="AMJ560" s="243"/>
      <c r="AMK560" s="244"/>
    </row>
    <row r="561" spans="1:1025" hidden="1">
      <c r="A561" s="243"/>
      <c r="B561" s="431" t="s">
        <v>944</v>
      </c>
      <c r="C561" s="247" t="s">
        <v>870</v>
      </c>
      <c r="D561" s="246" t="s">
        <v>945</v>
      </c>
      <c r="E561" s="246" t="s">
        <v>593</v>
      </c>
      <c r="F561" s="248">
        <v>1800000</v>
      </c>
      <c r="G561" s="247" t="s">
        <v>903</v>
      </c>
      <c r="H561" s="247" t="s">
        <v>523</v>
      </c>
      <c r="I561" s="247" t="s">
        <v>523</v>
      </c>
      <c r="J561" s="247">
        <v>1</v>
      </c>
      <c r="K561" s="247"/>
      <c r="L561" s="247" t="s">
        <v>138</v>
      </c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  <c r="AA561" s="243"/>
      <c r="AB561" s="243"/>
      <c r="AC561" s="243"/>
      <c r="AD561" s="243"/>
      <c r="AE561" s="243"/>
      <c r="AF561" s="243"/>
      <c r="AG561" s="243"/>
      <c r="AH561" s="243"/>
      <c r="AI561" s="243"/>
      <c r="AJ561" s="243"/>
      <c r="AK561" s="243"/>
      <c r="AL561" s="243"/>
      <c r="AM561" s="243"/>
      <c r="AN561" s="243"/>
      <c r="AO561" s="243"/>
      <c r="AP561" s="243"/>
      <c r="AQ561" s="243"/>
      <c r="AR561" s="243"/>
      <c r="AS561" s="243"/>
      <c r="AT561" s="243"/>
      <c r="AU561" s="243"/>
      <c r="AV561" s="243"/>
      <c r="AW561" s="243"/>
      <c r="AX561" s="243"/>
      <c r="AY561" s="243"/>
      <c r="AZ561" s="243"/>
      <c r="BA561" s="243"/>
      <c r="BB561" s="243"/>
      <c r="BC561" s="243"/>
      <c r="BD561" s="243"/>
      <c r="BE561" s="243"/>
      <c r="BF561" s="243"/>
      <c r="BG561" s="243"/>
      <c r="BH561" s="243"/>
      <c r="BI561" s="243"/>
      <c r="BJ561" s="243"/>
      <c r="BK561" s="243"/>
      <c r="BL561" s="243"/>
      <c r="BM561" s="243"/>
      <c r="BN561" s="243"/>
      <c r="BO561" s="243"/>
      <c r="BP561" s="243"/>
      <c r="BQ561" s="243"/>
      <c r="BR561" s="243"/>
      <c r="BS561" s="243"/>
      <c r="BT561" s="243"/>
      <c r="BU561" s="243"/>
      <c r="BV561" s="243"/>
      <c r="BW561" s="243"/>
      <c r="BX561" s="243"/>
      <c r="BY561" s="243"/>
      <c r="BZ561" s="243"/>
      <c r="CA561" s="243"/>
      <c r="CB561" s="243"/>
      <c r="CC561" s="243"/>
      <c r="CD561" s="243"/>
      <c r="CE561" s="243"/>
      <c r="CF561" s="243"/>
      <c r="CG561" s="243"/>
      <c r="CH561" s="243"/>
      <c r="CI561" s="243"/>
      <c r="CJ561" s="243"/>
      <c r="CK561" s="243"/>
      <c r="CL561" s="243"/>
      <c r="CM561" s="243"/>
      <c r="CN561" s="243"/>
      <c r="CO561" s="243"/>
      <c r="CP561" s="243"/>
      <c r="CQ561" s="243"/>
      <c r="CR561" s="243"/>
      <c r="CS561" s="243"/>
      <c r="CT561" s="243"/>
      <c r="CU561" s="243"/>
      <c r="CV561" s="243"/>
      <c r="CW561" s="243"/>
      <c r="CX561" s="243"/>
      <c r="CY561" s="243"/>
      <c r="CZ561" s="243"/>
      <c r="DA561" s="243"/>
      <c r="DB561" s="243"/>
      <c r="DC561" s="243"/>
      <c r="DD561" s="243"/>
      <c r="DE561" s="243"/>
      <c r="DF561" s="243"/>
      <c r="DG561" s="243"/>
      <c r="DH561" s="243"/>
      <c r="DI561" s="243"/>
      <c r="DJ561" s="243"/>
      <c r="DK561" s="243"/>
      <c r="DL561" s="243"/>
      <c r="DM561" s="243"/>
      <c r="DN561" s="243"/>
      <c r="DO561" s="243"/>
      <c r="DP561" s="243"/>
      <c r="DQ561" s="243"/>
      <c r="DR561" s="243"/>
      <c r="DS561" s="243"/>
      <c r="DT561" s="243"/>
      <c r="DU561" s="243"/>
      <c r="DV561" s="243"/>
      <c r="DW561" s="243"/>
      <c r="DX561" s="243"/>
      <c r="DY561" s="243"/>
      <c r="DZ561" s="243"/>
      <c r="EA561" s="243"/>
      <c r="EB561" s="243"/>
      <c r="EC561" s="243"/>
      <c r="ED561" s="243"/>
      <c r="EE561" s="243"/>
      <c r="EF561" s="243"/>
      <c r="EG561" s="243"/>
      <c r="EH561" s="243"/>
      <c r="EI561" s="243"/>
      <c r="EJ561" s="243"/>
      <c r="EK561" s="243"/>
      <c r="EL561" s="243"/>
      <c r="EM561" s="243"/>
      <c r="EN561" s="243"/>
      <c r="EO561" s="243"/>
      <c r="EP561" s="243"/>
      <c r="EQ561" s="243"/>
      <c r="ER561" s="243"/>
      <c r="ES561" s="243"/>
      <c r="ET561" s="243"/>
      <c r="EU561" s="243"/>
      <c r="EV561" s="243"/>
      <c r="EW561" s="243"/>
      <c r="EX561" s="243"/>
      <c r="EY561" s="243"/>
      <c r="EZ561" s="243"/>
      <c r="FA561" s="243"/>
      <c r="FB561" s="243"/>
      <c r="FC561" s="243"/>
      <c r="FD561" s="243"/>
      <c r="FE561" s="243"/>
      <c r="FF561" s="243"/>
      <c r="FG561" s="243"/>
      <c r="FH561" s="243"/>
      <c r="FI561" s="243"/>
      <c r="FJ561" s="243"/>
      <c r="FK561" s="243"/>
      <c r="FL561" s="243"/>
      <c r="FM561" s="243"/>
      <c r="FN561" s="243"/>
      <c r="FO561" s="243"/>
      <c r="FP561" s="243"/>
      <c r="FQ561" s="243"/>
      <c r="FR561" s="243"/>
      <c r="FS561" s="243"/>
      <c r="FT561" s="243"/>
      <c r="FU561" s="243"/>
      <c r="FV561" s="243"/>
      <c r="FW561" s="243"/>
      <c r="FX561" s="243"/>
      <c r="FY561" s="243"/>
      <c r="FZ561" s="243"/>
      <c r="GA561" s="243"/>
      <c r="GB561" s="243"/>
      <c r="GC561" s="243"/>
      <c r="GD561" s="243"/>
      <c r="GE561" s="243"/>
      <c r="GF561" s="243"/>
      <c r="GG561" s="243"/>
      <c r="GH561" s="243"/>
      <c r="GI561" s="243"/>
      <c r="GJ561" s="243"/>
      <c r="GK561" s="243"/>
      <c r="GL561" s="243"/>
      <c r="GM561" s="243"/>
      <c r="GN561" s="243"/>
      <c r="GO561" s="243"/>
      <c r="GP561" s="243"/>
      <c r="GQ561" s="243"/>
      <c r="GR561" s="243"/>
      <c r="GS561" s="243"/>
      <c r="GT561" s="243"/>
      <c r="GU561" s="243"/>
      <c r="GV561" s="243"/>
      <c r="GW561" s="243"/>
      <c r="GX561" s="243"/>
      <c r="GY561" s="243"/>
      <c r="GZ561" s="243"/>
      <c r="HA561" s="243"/>
      <c r="HB561" s="243"/>
      <c r="HC561" s="243"/>
      <c r="HD561" s="243"/>
      <c r="HE561" s="243"/>
      <c r="HF561" s="243"/>
      <c r="HG561" s="243"/>
      <c r="HH561" s="243"/>
      <c r="HI561" s="243"/>
      <c r="HJ561" s="243"/>
      <c r="HK561" s="243"/>
      <c r="HL561" s="243"/>
      <c r="HM561" s="243"/>
      <c r="HN561" s="243"/>
      <c r="HO561" s="243"/>
      <c r="HP561" s="243"/>
      <c r="HQ561" s="243"/>
      <c r="HR561" s="243"/>
      <c r="HS561" s="243"/>
      <c r="HT561" s="243"/>
      <c r="HU561" s="243"/>
      <c r="HV561" s="243"/>
      <c r="HW561" s="243"/>
      <c r="HX561" s="243"/>
      <c r="HY561" s="243"/>
      <c r="HZ561" s="243"/>
      <c r="IA561" s="243"/>
      <c r="IB561" s="243"/>
      <c r="IC561" s="243"/>
      <c r="ID561" s="243"/>
      <c r="IE561" s="243"/>
      <c r="IF561" s="243"/>
      <c r="IG561" s="243"/>
      <c r="IH561" s="243"/>
      <c r="II561" s="243"/>
      <c r="IJ561" s="243"/>
      <c r="IK561" s="243"/>
      <c r="IL561" s="243"/>
      <c r="IM561" s="243"/>
      <c r="IN561" s="243"/>
      <c r="IO561" s="243"/>
      <c r="IP561" s="243"/>
      <c r="IQ561" s="243"/>
      <c r="IR561" s="243"/>
      <c r="IS561" s="243"/>
      <c r="IT561" s="243"/>
      <c r="IU561" s="243"/>
      <c r="IV561" s="243"/>
      <c r="IW561" s="243"/>
      <c r="IX561" s="243"/>
      <c r="IY561" s="243"/>
      <c r="IZ561" s="243"/>
      <c r="JA561" s="243"/>
      <c r="JB561" s="243"/>
      <c r="JC561" s="243"/>
      <c r="JD561" s="243"/>
      <c r="JE561" s="243"/>
      <c r="JF561" s="243"/>
      <c r="JG561" s="243"/>
      <c r="JH561" s="243"/>
      <c r="JI561" s="243"/>
      <c r="JJ561" s="243"/>
      <c r="JK561" s="243"/>
      <c r="JL561" s="243"/>
      <c r="JM561" s="243"/>
      <c r="JN561" s="243"/>
      <c r="JO561" s="243"/>
      <c r="JP561" s="243"/>
      <c r="JQ561" s="243"/>
      <c r="JR561" s="243"/>
      <c r="JS561" s="243"/>
      <c r="JT561" s="243"/>
      <c r="JU561" s="243"/>
      <c r="JV561" s="243"/>
      <c r="JW561" s="243"/>
      <c r="JX561" s="243"/>
      <c r="JY561" s="243"/>
      <c r="JZ561" s="243"/>
      <c r="KA561" s="243"/>
      <c r="KB561" s="243"/>
      <c r="KC561" s="243"/>
      <c r="KD561" s="243"/>
      <c r="KE561" s="243"/>
      <c r="KF561" s="243"/>
      <c r="KG561" s="243"/>
      <c r="KH561" s="243"/>
      <c r="KI561" s="243"/>
      <c r="KJ561" s="243"/>
      <c r="KK561" s="243"/>
      <c r="KL561" s="243"/>
      <c r="KM561" s="243"/>
      <c r="KN561" s="243"/>
      <c r="KO561" s="243"/>
      <c r="KP561" s="243"/>
      <c r="KQ561" s="243"/>
      <c r="KR561" s="243"/>
      <c r="KS561" s="243"/>
      <c r="KT561" s="243"/>
      <c r="KU561" s="243"/>
      <c r="KV561" s="243"/>
      <c r="KW561" s="243"/>
      <c r="KX561" s="243"/>
      <c r="KY561" s="243"/>
      <c r="KZ561" s="243"/>
      <c r="LA561" s="243"/>
      <c r="LB561" s="243"/>
      <c r="LC561" s="243"/>
      <c r="LD561" s="243"/>
      <c r="LE561" s="243"/>
      <c r="LF561" s="243"/>
      <c r="LG561" s="243"/>
      <c r="LH561" s="243"/>
      <c r="LI561" s="243"/>
      <c r="LJ561" s="243"/>
      <c r="LK561" s="243"/>
      <c r="LL561" s="243"/>
      <c r="LM561" s="243"/>
      <c r="LN561" s="243"/>
      <c r="LO561" s="243"/>
      <c r="LP561" s="243"/>
      <c r="LQ561" s="243"/>
      <c r="LR561" s="243"/>
      <c r="LS561" s="243"/>
      <c r="LT561" s="243"/>
      <c r="LU561" s="243"/>
      <c r="LV561" s="243"/>
      <c r="LW561" s="243"/>
      <c r="LX561" s="243"/>
      <c r="LY561" s="243"/>
      <c r="LZ561" s="243"/>
      <c r="MA561" s="243"/>
      <c r="MB561" s="243"/>
      <c r="MC561" s="243"/>
      <c r="MD561" s="243"/>
      <c r="ME561" s="243"/>
      <c r="MF561" s="243"/>
      <c r="MG561" s="243"/>
      <c r="MH561" s="243"/>
      <c r="MI561" s="243"/>
      <c r="MJ561" s="243"/>
      <c r="MK561" s="243"/>
      <c r="ML561" s="243"/>
      <c r="MM561" s="243"/>
      <c r="MN561" s="243"/>
      <c r="MO561" s="243"/>
      <c r="MP561" s="243"/>
      <c r="MQ561" s="243"/>
      <c r="MR561" s="243"/>
      <c r="MS561" s="243"/>
      <c r="MT561" s="243"/>
      <c r="MU561" s="243"/>
      <c r="MV561" s="243"/>
      <c r="MW561" s="243"/>
      <c r="MX561" s="243"/>
      <c r="MY561" s="243"/>
      <c r="MZ561" s="243"/>
      <c r="NA561" s="243"/>
      <c r="NB561" s="243"/>
      <c r="NC561" s="243"/>
      <c r="ND561" s="243"/>
      <c r="NE561" s="243"/>
      <c r="NF561" s="243"/>
      <c r="NG561" s="243"/>
      <c r="NH561" s="243"/>
      <c r="NI561" s="243"/>
      <c r="NJ561" s="243"/>
      <c r="NK561" s="243"/>
      <c r="NL561" s="243"/>
      <c r="NM561" s="243"/>
      <c r="NN561" s="243"/>
      <c r="NO561" s="243"/>
      <c r="NP561" s="243"/>
      <c r="NQ561" s="243"/>
      <c r="NR561" s="243"/>
      <c r="NS561" s="243"/>
      <c r="NT561" s="243"/>
      <c r="NU561" s="243"/>
      <c r="NV561" s="243"/>
      <c r="NW561" s="243"/>
      <c r="NX561" s="243"/>
      <c r="NY561" s="243"/>
      <c r="NZ561" s="243"/>
      <c r="OA561" s="243"/>
      <c r="OB561" s="243"/>
      <c r="OC561" s="243"/>
      <c r="OD561" s="243"/>
      <c r="OE561" s="243"/>
      <c r="OF561" s="243"/>
      <c r="OG561" s="243"/>
      <c r="OH561" s="243"/>
      <c r="OI561" s="243"/>
      <c r="OJ561" s="243"/>
      <c r="OK561" s="243"/>
      <c r="OL561" s="243"/>
      <c r="OM561" s="243"/>
      <c r="ON561" s="243"/>
      <c r="OO561" s="243"/>
      <c r="OP561" s="243"/>
      <c r="OQ561" s="243"/>
      <c r="OR561" s="243"/>
      <c r="OS561" s="243"/>
      <c r="OT561" s="243"/>
      <c r="OU561" s="243"/>
      <c r="OV561" s="243"/>
      <c r="OW561" s="243"/>
      <c r="OX561" s="243"/>
      <c r="OY561" s="243"/>
      <c r="OZ561" s="243"/>
      <c r="PA561" s="243"/>
      <c r="PB561" s="243"/>
      <c r="PC561" s="243"/>
      <c r="PD561" s="243"/>
      <c r="PE561" s="243"/>
      <c r="PF561" s="243"/>
      <c r="PG561" s="243"/>
      <c r="PH561" s="243"/>
      <c r="PI561" s="243"/>
      <c r="PJ561" s="243"/>
      <c r="PK561" s="243"/>
      <c r="PL561" s="243"/>
      <c r="PM561" s="243"/>
      <c r="PN561" s="243"/>
      <c r="PO561" s="243"/>
      <c r="PP561" s="243"/>
      <c r="PQ561" s="243"/>
      <c r="PR561" s="243"/>
      <c r="PS561" s="243"/>
      <c r="PT561" s="243"/>
      <c r="PU561" s="243"/>
      <c r="PV561" s="243"/>
      <c r="PW561" s="243"/>
      <c r="PX561" s="243"/>
      <c r="PY561" s="243"/>
      <c r="PZ561" s="243"/>
      <c r="QA561" s="243"/>
      <c r="QB561" s="243"/>
      <c r="QC561" s="243"/>
      <c r="QD561" s="243"/>
      <c r="QE561" s="243"/>
      <c r="QF561" s="243"/>
      <c r="QG561" s="243"/>
      <c r="QH561" s="243"/>
      <c r="QI561" s="243"/>
      <c r="QJ561" s="243"/>
      <c r="QK561" s="243"/>
      <c r="QL561" s="243"/>
      <c r="QM561" s="243"/>
      <c r="QN561" s="243"/>
      <c r="QO561" s="243"/>
      <c r="QP561" s="243"/>
      <c r="QQ561" s="243"/>
      <c r="QR561" s="243"/>
      <c r="QS561" s="243"/>
      <c r="QT561" s="243"/>
      <c r="QU561" s="243"/>
      <c r="QV561" s="243"/>
      <c r="QW561" s="243"/>
      <c r="QX561" s="243"/>
      <c r="QY561" s="243"/>
      <c r="QZ561" s="243"/>
      <c r="RA561" s="243"/>
      <c r="RB561" s="243"/>
      <c r="RC561" s="243"/>
      <c r="RD561" s="243"/>
      <c r="RE561" s="243"/>
      <c r="RF561" s="243"/>
      <c r="RG561" s="243"/>
      <c r="RH561" s="243"/>
      <c r="RI561" s="243"/>
      <c r="RJ561" s="243"/>
      <c r="RK561" s="243"/>
      <c r="RL561" s="243"/>
      <c r="RM561" s="243"/>
      <c r="RN561" s="243"/>
      <c r="RO561" s="243"/>
      <c r="RP561" s="243"/>
      <c r="RQ561" s="243"/>
      <c r="RR561" s="243"/>
      <c r="RS561" s="243"/>
      <c r="RT561" s="243"/>
      <c r="RU561" s="243"/>
      <c r="RV561" s="243"/>
      <c r="RW561" s="243"/>
      <c r="RX561" s="243"/>
      <c r="RY561" s="243"/>
      <c r="RZ561" s="243"/>
      <c r="SA561" s="243"/>
      <c r="SB561" s="243"/>
      <c r="SC561" s="243"/>
      <c r="SD561" s="243"/>
      <c r="SE561" s="243"/>
      <c r="SF561" s="243"/>
      <c r="SG561" s="243"/>
      <c r="SH561" s="243"/>
      <c r="SI561" s="243"/>
      <c r="SJ561" s="243"/>
      <c r="SK561" s="243"/>
      <c r="SL561" s="243"/>
      <c r="SM561" s="243"/>
      <c r="SN561" s="243"/>
      <c r="SO561" s="243"/>
      <c r="SP561" s="243"/>
      <c r="SQ561" s="243"/>
      <c r="SR561" s="243"/>
      <c r="SS561" s="243"/>
      <c r="ST561" s="243"/>
      <c r="SU561" s="243"/>
      <c r="SV561" s="243"/>
      <c r="SW561" s="243"/>
      <c r="SX561" s="243"/>
      <c r="SY561" s="243"/>
      <c r="SZ561" s="243"/>
      <c r="TA561" s="243"/>
      <c r="TB561" s="243"/>
      <c r="TC561" s="243"/>
      <c r="TD561" s="243"/>
      <c r="TE561" s="243"/>
      <c r="TF561" s="243"/>
      <c r="TG561" s="243"/>
      <c r="TH561" s="243"/>
      <c r="TI561" s="243"/>
      <c r="TJ561" s="243"/>
      <c r="TK561" s="243"/>
      <c r="TL561" s="243"/>
      <c r="TM561" s="243"/>
      <c r="TN561" s="243"/>
      <c r="TO561" s="243"/>
      <c r="TP561" s="243"/>
      <c r="TQ561" s="243"/>
      <c r="TR561" s="243"/>
      <c r="TS561" s="243"/>
      <c r="TT561" s="243"/>
      <c r="TU561" s="243"/>
      <c r="TV561" s="243"/>
      <c r="TW561" s="243"/>
      <c r="TX561" s="243"/>
      <c r="TY561" s="243"/>
      <c r="TZ561" s="243"/>
      <c r="UA561" s="243"/>
      <c r="UB561" s="243"/>
      <c r="UC561" s="243"/>
      <c r="UD561" s="243"/>
      <c r="UE561" s="243"/>
      <c r="UF561" s="243"/>
      <c r="UG561" s="243"/>
      <c r="UH561" s="243"/>
      <c r="UI561" s="243"/>
      <c r="UJ561" s="243"/>
      <c r="UK561" s="243"/>
      <c r="UL561" s="243"/>
      <c r="UM561" s="243"/>
      <c r="UN561" s="243"/>
      <c r="UO561" s="243"/>
      <c r="UP561" s="243"/>
      <c r="UQ561" s="243"/>
      <c r="UR561" s="243"/>
      <c r="US561" s="243"/>
      <c r="UT561" s="243"/>
      <c r="UU561" s="243"/>
      <c r="UV561" s="243"/>
      <c r="UW561" s="243"/>
      <c r="UX561" s="243"/>
      <c r="UY561" s="243"/>
      <c r="UZ561" s="243"/>
      <c r="VA561" s="243"/>
      <c r="VB561" s="243"/>
      <c r="VC561" s="243"/>
      <c r="VD561" s="243"/>
      <c r="VE561" s="243"/>
      <c r="VF561" s="243"/>
      <c r="VG561" s="243"/>
      <c r="VH561" s="243"/>
      <c r="VI561" s="243"/>
      <c r="VJ561" s="243"/>
      <c r="VK561" s="243"/>
      <c r="VL561" s="243"/>
      <c r="VM561" s="243"/>
      <c r="VN561" s="243"/>
      <c r="VO561" s="243"/>
      <c r="VP561" s="243"/>
      <c r="VQ561" s="243"/>
      <c r="VR561" s="243"/>
      <c r="VS561" s="243"/>
      <c r="VT561" s="243"/>
      <c r="VU561" s="243"/>
      <c r="VV561" s="243"/>
      <c r="VW561" s="243"/>
      <c r="VX561" s="243"/>
      <c r="VY561" s="243"/>
      <c r="VZ561" s="243"/>
      <c r="WA561" s="243"/>
      <c r="WB561" s="243"/>
      <c r="WC561" s="243"/>
      <c r="WD561" s="243"/>
      <c r="WE561" s="243"/>
      <c r="WF561" s="243"/>
      <c r="WG561" s="243"/>
      <c r="WH561" s="243"/>
      <c r="WI561" s="243"/>
      <c r="WJ561" s="243"/>
      <c r="WK561" s="243"/>
      <c r="WL561" s="243"/>
      <c r="WM561" s="243"/>
      <c r="WN561" s="243"/>
      <c r="WO561" s="243"/>
      <c r="WP561" s="243"/>
      <c r="WQ561" s="243"/>
      <c r="WR561" s="243"/>
      <c r="WS561" s="243"/>
      <c r="WT561" s="243"/>
      <c r="WU561" s="243"/>
      <c r="WV561" s="243"/>
      <c r="WW561" s="243"/>
      <c r="WX561" s="243"/>
      <c r="WY561" s="243"/>
      <c r="WZ561" s="243"/>
      <c r="XA561" s="243"/>
      <c r="XB561" s="243"/>
      <c r="XC561" s="243"/>
      <c r="XD561" s="243"/>
      <c r="XE561" s="243"/>
      <c r="XF561" s="243"/>
      <c r="XG561" s="243"/>
      <c r="XH561" s="243"/>
      <c r="XI561" s="243"/>
      <c r="XJ561" s="243"/>
      <c r="XK561" s="243"/>
      <c r="XL561" s="243"/>
      <c r="XM561" s="243"/>
      <c r="XN561" s="243"/>
      <c r="XO561" s="243"/>
      <c r="XP561" s="243"/>
      <c r="XQ561" s="243"/>
      <c r="XR561" s="243"/>
      <c r="XS561" s="243"/>
      <c r="XT561" s="243"/>
      <c r="XU561" s="243"/>
      <c r="XV561" s="243"/>
      <c r="XW561" s="243"/>
      <c r="XX561" s="243"/>
      <c r="XY561" s="243"/>
      <c r="XZ561" s="243"/>
      <c r="YA561" s="243"/>
      <c r="YB561" s="243"/>
      <c r="YC561" s="243"/>
      <c r="YD561" s="243"/>
      <c r="YE561" s="243"/>
      <c r="YF561" s="243"/>
      <c r="YG561" s="243"/>
      <c r="YH561" s="243"/>
      <c r="YI561" s="243"/>
      <c r="YJ561" s="243"/>
      <c r="YK561" s="243"/>
      <c r="YL561" s="243"/>
      <c r="YM561" s="243"/>
      <c r="YN561" s="243"/>
      <c r="YO561" s="243"/>
      <c r="YP561" s="243"/>
      <c r="YQ561" s="243"/>
      <c r="YR561" s="243"/>
      <c r="YS561" s="243"/>
      <c r="YT561" s="243"/>
      <c r="YU561" s="243"/>
      <c r="YV561" s="243"/>
      <c r="YW561" s="243"/>
      <c r="YX561" s="243"/>
      <c r="YY561" s="243"/>
      <c r="YZ561" s="243"/>
      <c r="ZA561" s="243"/>
      <c r="ZB561" s="243"/>
      <c r="ZC561" s="243"/>
      <c r="ZD561" s="243"/>
      <c r="ZE561" s="243"/>
      <c r="ZF561" s="243"/>
      <c r="ZG561" s="243"/>
      <c r="ZH561" s="243"/>
      <c r="ZI561" s="243"/>
      <c r="ZJ561" s="243"/>
      <c r="ZK561" s="243"/>
      <c r="ZL561" s="243"/>
      <c r="ZM561" s="243"/>
      <c r="ZN561" s="243"/>
      <c r="ZO561" s="243"/>
      <c r="ZP561" s="243"/>
      <c r="ZQ561" s="243"/>
      <c r="ZR561" s="243"/>
      <c r="ZS561" s="243"/>
      <c r="ZT561" s="243"/>
      <c r="ZU561" s="243"/>
      <c r="ZV561" s="243"/>
      <c r="ZW561" s="243"/>
      <c r="ZX561" s="243"/>
      <c r="ZY561" s="243"/>
      <c r="ZZ561" s="243"/>
      <c r="AAA561" s="243"/>
      <c r="AAB561" s="243"/>
      <c r="AAC561" s="243"/>
      <c r="AAD561" s="243"/>
      <c r="AAE561" s="243"/>
      <c r="AAF561" s="243"/>
      <c r="AAG561" s="243"/>
      <c r="AAH561" s="243"/>
      <c r="AAI561" s="243"/>
      <c r="AAJ561" s="243"/>
      <c r="AAK561" s="243"/>
      <c r="AAL561" s="243"/>
      <c r="AAM561" s="243"/>
      <c r="AAN561" s="243"/>
      <c r="AAO561" s="243"/>
      <c r="AAP561" s="243"/>
      <c r="AAQ561" s="243"/>
      <c r="AAR561" s="243"/>
      <c r="AAS561" s="243"/>
      <c r="AAT561" s="243"/>
      <c r="AAU561" s="243"/>
      <c r="AAV561" s="243"/>
      <c r="AAW561" s="243"/>
      <c r="AAX561" s="243"/>
      <c r="AAY561" s="243"/>
      <c r="AAZ561" s="243"/>
      <c r="ABA561" s="243"/>
      <c r="ABB561" s="243"/>
      <c r="ABC561" s="243"/>
      <c r="ABD561" s="243"/>
      <c r="ABE561" s="243"/>
      <c r="ABF561" s="243"/>
      <c r="ABG561" s="243"/>
      <c r="ABH561" s="243"/>
      <c r="ABI561" s="243"/>
      <c r="ABJ561" s="243"/>
      <c r="ABK561" s="243"/>
      <c r="ABL561" s="243"/>
      <c r="ABM561" s="243"/>
      <c r="ABN561" s="243"/>
      <c r="ABO561" s="243"/>
      <c r="ABP561" s="243"/>
      <c r="ABQ561" s="243"/>
      <c r="ABR561" s="243"/>
      <c r="ABS561" s="243"/>
      <c r="ABT561" s="243"/>
      <c r="ABU561" s="243"/>
      <c r="ABV561" s="243"/>
      <c r="ABW561" s="243"/>
      <c r="ABX561" s="243"/>
      <c r="ABY561" s="243"/>
      <c r="ABZ561" s="243"/>
      <c r="ACA561" s="243"/>
      <c r="ACB561" s="243"/>
      <c r="ACC561" s="243"/>
      <c r="ACD561" s="243"/>
      <c r="ACE561" s="243"/>
      <c r="ACF561" s="243"/>
      <c r="ACG561" s="243"/>
      <c r="ACH561" s="243"/>
      <c r="ACI561" s="243"/>
      <c r="ACJ561" s="243"/>
      <c r="ACK561" s="243"/>
      <c r="ACL561" s="243"/>
      <c r="ACM561" s="243"/>
      <c r="ACN561" s="243"/>
      <c r="ACO561" s="243"/>
      <c r="ACP561" s="243"/>
      <c r="ACQ561" s="243"/>
      <c r="ACR561" s="243"/>
      <c r="ACS561" s="243"/>
      <c r="ACT561" s="243"/>
      <c r="ACU561" s="243"/>
      <c r="ACV561" s="243"/>
      <c r="ACW561" s="243"/>
      <c r="ACX561" s="243"/>
      <c r="ACY561" s="243"/>
      <c r="ACZ561" s="243"/>
      <c r="ADA561" s="243"/>
      <c r="ADB561" s="243"/>
      <c r="ADC561" s="243"/>
      <c r="ADD561" s="243"/>
      <c r="ADE561" s="243"/>
      <c r="ADF561" s="243"/>
      <c r="ADG561" s="243"/>
      <c r="ADH561" s="243"/>
      <c r="ADI561" s="243"/>
      <c r="ADJ561" s="243"/>
      <c r="ADK561" s="243"/>
      <c r="ADL561" s="243"/>
      <c r="ADM561" s="243"/>
      <c r="ADN561" s="243"/>
      <c r="ADO561" s="243"/>
      <c r="ADP561" s="243"/>
      <c r="ADQ561" s="243"/>
      <c r="ADR561" s="243"/>
      <c r="ADS561" s="243"/>
      <c r="ADT561" s="243"/>
      <c r="ADU561" s="243"/>
      <c r="ADV561" s="243"/>
      <c r="ADW561" s="243"/>
      <c r="ADX561" s="243"/>
      <c r="ADY561" s="243"/>
      <c r="ADZ561" s="243"/>
      <c r="AEA561" s="243"/>
      <c r="AEB561" s="243"/>
      <c r="AEC561" s="243"/>
      <c r="AED561" s="243"/>
      <c r="AEE561" s="243"/>
      <c r="AEF561" s="243"/>
      <c r="AEG561" s="243"/>
      <c r="AEH561" s="243"/>
      <c r="AEI561" s="243"/>
      <c r="AEJ561" s="243"/>
      <c r="AEK561" s="243"/>
      <c r="AEL561" s="243"/>
      <c r="AEM561" s="243"/>
      <c r="AEN561" s="243"/>
      <c r="AEO561" s="243"/>
      <c r="AEP561" s="243"/>
      <c r="AEQ561" s="243"/>
      <c r="AER561" s="243"/>
      <c r="AES561" s="243"/>
      <c r="AET561" s="243"/>
      <c r="AEU561" s="243"/>
      <c r="AEV561" s="243"/>
      <c r="AEW561" s="243"/>
      <c r="AEX561" s="243"/>
      <c r="AEY561" s="243"/>
      <c r="AEZ561" s="243"/>
      <c r="AFA561" s="243"/>
      <c r="AFB561" s="243"/>
      <c r="AFC561" s="243"/>
      <c r="AFD561" s="243"/>
      <c r="AFE561" s="243"/>
      <c r="AFF561" s="243"/>
      <c r="AFG561" s="243"/>
      <c r="AFH561" s="243"/>
      <c r="AFI561" s="243"/>
      <c r="AFJ561" s="243"/>
      <c r="AFK561" s="243"/>
      <c r="AFL561" s="243"/>
      <c r="AFM561" s="243"/>
      <c r="AFN561" s="243"/>
      <c r="AFO561" s="243"/>
      <c r="AFP561" s="243"/>
      <c r="AFQ561" s="243"/>
      <c r="AFR561" s="243"/>
      <c r="AFS561" s="243"/>
      <c r="AFT561" s="243"/>
      <c r="AFU561" s="243"/>
      <c r="AFV561" s="243"/>
      <c r="AFW561" s="243"/>
      <c r="AFX561" s="243"/>
      <c r="AFY561" s="243"/>
      <c r="AFZ561" s="243"/>
      <c r="AGA561" s="243"/>
      <c r="AGB561" s="243"/>
      <c r="AGC561" s="243"/>
      <c r="AGD561" s="243"/>
      <c r="AGE561" s="243"/>
      <c r="AGF561" s="243"/>
      <c r="AGG561" s="243"/>
      <c r="AGH561" s="243"/>
      <c r="AGI561" s="243"/>
      <c r="AGJ561" s="243"/>
      <c r="AGK561" s="243"/>
      <c r="AGL561" s="243"/>
      <c r="AGM561" s="243"/>
      <c r="AGN561" s="243"/>
      <c r="AGO561" s="243"/>
      <c r="AGP561" s="243"/>
      <c r="AGQ561" s="243"/>
      <c r="AGR561" s="243"/>
      <c r="AGS561" s="243"/>
      <c r="AGT561" s="243"/>
      <c r="AGU561" s="243"/>
      <c r="AGV561" s="243"/>
      <c r="AGW561" s="243"/>
      <c r="AGX561" s="243"/>
      <c r="AGY561" s="243"/>
      <c r="AGZ561" s="243"/>
      <c r="AHA561" s="243"/>
      <c r="AHB561" s="243"/>
      <c r="AHC561" s="243"/>
      <c r="AHD561" s="243"/>
      <c r="AHE561" s="243"/>
      <c r="AHF561" s="243"/>
      <c r="AHG561" s="243"/>
      <c r="AHH561" s="243"/>
      <c r="AHI561" s="243"/>
      <c r="AHJ561" s="243"/>
      <c r="AHK561" s="243"/>
      <c r="AHL561" s="243"/>
      <c r="AHM561" s="243"/>
      <c r="AHN561" s="243"/>
      <c r="AHO561" s="243"/>
      <c r="AHP561" s="243"/>
      <c r="AHQ561" s="243"/>
      <c r="AHR561" s="243"/>
      <c r="AHS561" s="243"/>
      <c r="AHT561" s="243"/>
      <c r="AHU561" s="243"/>
      <c r="AHV561" s="243"/>
      <c r="AHW561" s="243"/>
      <c r="AHX561" s="243"/>
      <c r="AHY561" s="243"/>
      <c r="AHZ561" s="243"/>
      <c r="AIA561" s="243"/>
      <c r="AIB561" s="243"/>
      <c r="AIC561" s="243"/>
      <c r="AID561" s="243"/>
      <c r="AIE561" s="243"/>
      <c r="AIF561" s="243"/>
      <c r="AIG561" s="243"/>
      <c r="AIH561" s="243"/>
      <c r="AII561" s="243"/>
      <c r="AIJ561" s="243"/>
      <c r="AIK561" s="243"/>
      <c r="AIL561" s="243"/>
      <c r="AIM561" s="243"/>
      <c r="AIN561" s="243"/>
      <c r="AIO561" s="243"/>
      <c r="AIP561" s="243"/>
      <c r="AIQ561" s="243"/>
      <c r="AIR561" s="243"/>
      <c r="AIS561" s="243"/>
      <c r="AIT561" s="243"/>
      <c r="AIU561" s="243"/>
      <c r="AIV561" s="243"/>
      <c r="AIW561" s="243"/>
      <c r="AIX561" s="243"/>
      <c r="AIY561" s="243"/>
      <c r="AIZ561" s="243"/>
      <c r="AJA561" s="243"/>
      <c r="AJB561" s="243"/>
      <c r="AJC561" s="243"/>
      <c r="AJD561" s="243"/>
      <c r="AJE561" s="243"/>
      <c r="AJF561" s="243"/>
      <c r="AJG561" s="243"/>
      <c r="AJH561" s="243"/>
      <c r="AJI561" s="243"/>
      <c r="AJJ561" s="243"/>
      <c r="AJK561" s="243"/>
      <c r="AJL561" s="243"/>
      <c r="AJM561" s="243"/>
      <c r="AJN561" s="243"/>
      <c r="AJO561" s="243"/>
      <c r="AJP561" s="243"/>
      <c r="AJQ561" s="243"/>
      <c r="AJR561" s="243"/>
      <c r="AJS561" s="243"/>
      <c r="AJT561" s="243"/>
      <c r="AJU561" s="243"/>
      <c r="AJV561" s="243"/>
      <c r="AJW561" s="243"/>
      <c r="AJX561" s="243"/>
      <c r="AJY561" s="243"/>
      <c r="AJZ561" s="243"/>
      <c r="AKA561" s="243"/>
      <c r="AKB561" s="243"/>
      <c r="AKC561" s="243"/>
      <c r="AKD561" s="243"/>
      <c r="AKE561" s="243"/>
      <c r="AKF561" s="243"/>
      <c r="AKG561" s="243"/>
      <c r="AKH561" s="243"/>
      <c r="AKI561" s="243"/>
      <c r="AKJ561" s="243"/>
      <c r="AKK561" s="243"/>
      <c r="AKL561" s="243"/>
      <c r="AKM561" s="243"/>
      <c r="AKN561" s="243"/>
      <c r="AKO561" s="243"/>
      <c r="AKP561" s="243"/>
      <c r="AKQ561" s="243"/>
      <c r="AKR561" s="243"/>
      <c r="AKS561" s="243"/>
      <c r="AKT561" s="243"/>
      <c r="AKU561" s="243"/>
      <c r="AKV561" s="243"/>
      <c r="AKW561" s="243"/>
      <c r="AKX561" s="243"/>
      <c r="AKY561" s="243"/>
      <c r="AKZ561" s="243"/>
      <c r="ALA561" s="243"/>
      <c r="ALB561" s="243"/>
      <c r="ALC561" s="243"/>
      <c r="ALD561" s="243"/>
      <c r="ALE561" s="243"/>
      <c r="ALF561" s="243"/>
      <c r="ALG561" s="243"/>
      <c r="ALH561" s="243"/>
      <c r="ALI561" s="243"/>
      <c r="ALJ561" s="243"/>
      <c r="ALK561" s="243"/>
      <c r="ALL561" s="243"/>
      <c r="ALM561" s="243"/>
      <c r="ALN561" s="243"/>
      <c r="ALO561" s="243"/>
      <c r="ALP561" s="243"/>
      <c r="ALQ561" s="243"/>
      <c r="ALR561" s="243"/>
      <c r="ALS561" s="243"/>
      <c r="ALT561" s="243"/>
      <c r="ALU561" s="243"/>
      <c r="ALV561" s="243"/>
      <c r="ALW561" s="243"/>
      <c r="ALX561" s="243"/>
      <c r="ALY561" s="243"/>
      <c r="ALZ561" s="243"/>
      <c r="AMA561" s="243"/>
      <c r="AMB561" s="243"/>
      <c r="AMC561" s="243"/>
      <c r="AMD561" s="243"/>
      <c r="AME561" s="243"/>
      <c r="AMF561" s="243"/>
      <c r="AMG561" s="243"/>
      <c r="AMH561" s="243"/>
      <c r="AMI561" s="243"/>
      <c r="AMJ561" s="243"/>
      <c r="AMK561" s="244"/>
    </row>
    <row r="562" spans="1:1025" hidden="1">
      <c r="A562" s="243"/>
      <c r="B562" s="431"/>
      <c r="C562" s="247"/>
      <c r="D562" s="246"/>
      <c r="E562" s="246"/>
      <c r="F562" s="248"/>
      <c r="G562" s="247"/>
      <c r="H562" s="247"/>
      <c r="I562" s="247"/>
      <c r="J562" s="247"/>
      <c r="K562" s="247"/>
      <c r="L562" s="247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  <c r="AA562" s="243"/>
      <c r="AB562" s="243"/>
      <c r="AC562" s="243"/>
      <c r="AD562" s="243"/>
      <c r="AE562" s="243"/>
      <c r="AF562" s="243"/>
      <c r="AG562" s="243"/>
      <c r="AH562" s="243"/>
      <c r="AI562" s="243"/>
      <c r="AJ562" s="243"/>
      <c r="AK562" s="243"/>
      <c r="AL562" s="243"/>
      <c r="AM562" s="243"/>
      <c r="AN562" s="243"/>
      <c r="AO562" s="243"/>
      <c r="AP562" s="243"/>
      <c r="AQ562" s="243"/>
      <c r="AR562" s="243"/>
      <c r="AS562" s="243"/>
      <c r="AT562" s="243"/>
      <c r="AU562" s="243"/>
      <c r="AV562" s="243"/>
      <c r="AW562" s="243"/>
      <c r="AX562" s="243"/>
      <c r="AY562" s="243"/>
      <c r="AZ562" s="243"/>
      <c r="BA562" s="243"/>
      <c r="BB562" s="243"/>
      <c r="BC562" s="243"/>
      <c r="BD562" s="243"/>
      <c r="BE562" s="243"/>
      <c r="BF562" s="243"/>
      <c r="BG562" s="243"/>
      <c r="BH562" s="243"/>
      <c r="BI562" s="243"/>
      <c r="BJ562" s="243"/>
      <c r="BK562" s="243"/>
      <c r="BL562" s="243"/>
      <c r="BM562" s="243"/>
      <c r="BN562" s="243"/>
      <c r="BO562" s="243"/>
      <c r="BP562" s="243"/>
      <c r="BQ562" s="243"/>
      <c r="BR562" s="243"/>
      <c r="BS562" s="243"/>
      <c r="BT562" s="243"/>
      <c r="BU562" s="243"/>
      <c r="BV562" s="243"/>
      <c r="BW562" s="243"/>
      <c r="BX562" s="243"/>
      <c r="BY562" s="243"/>
      <c r="BZ562" s="243"/>
      <c r="CA562" s="243"/>
      <c r="CB562" s="243"/>
      <c r="CC562" s="243"/>
      <c r="CD562" s="243"/>
      <c r="CE562" s="243"/>
      <c r="CF562" s="243"/>
      <c r="CG562" s="243"/>
      <c r="CH562" s="243"/>
      <c r="CI562" s="243"/>
      <c r="CJ562" s="243"/>
      <c r="CK562" s="243"/>
      <c r="CL562" s="243"/>
      <c r="CM562" s="243"/>
      <c r="CN562" s="243"/>
      <c r="CO562" s="243"/>
      <c r="CP562" s="243"/>
      <c r="CQ562" s="243"/>
      <c r="CR562" s="243"/>
      <c r="CS562" s="243"/>
      <c r="CT562" s="243"/>
      <c r="CU562" s="243"/>
      <c r="CV562" s="243"/>
      <c r="CW562" s="243"/>
      <c r="CX562" s="243"/>
      <c r="CY562" s="243"/>
      <c r="CZ562" s="243"/>
      <c r="DA562" s="243"/>
      <c r="DB562" s="243"/>
      <c r="DC562" s="243"/>
      <c r="DD562" s="243"/>
      <c r="DE562" s="243"/>
      <c r="DF562" s="243"/>
      <c r="DG562" s="243"/>
      <c r="DH562" s="243"/>
      <c r="DI562" s="243"/>
      <c r="DJ562" s="243"/>
      <c r="DK562" s="243"/>
      <c r="DL562" s="243"/>
      <c r="DM562" s="243"/>
      <c r="DN562" s="243"/>
      <c r="DO562" s="243"/>
      <c r="DP562" s="243"/>
      <c r="DQ562" s="243"/>
      <c r="DR562" s="243"/>
      <c r="DS562" s="243"/>
      <c r="DT562" s="243"/>
      <c r="DU562" s="243"/>
      <c r="DV562" s="243"/>
      <c r="DW562" s="243"/>
      <c r="DX562" s="243"/>
      <c r="DY562" s="243"/>
      <c r="DZ562" s="243"/>
      <c r="EA562" s="243"/>
      <c r="EB562" s="243"/>
      <c r="EC562" s="243"/>
      <c r="ED562" s="243"/>
      <c r="EE562" s="243"/>
      <c r="EF562" s="243"/>
      <c r="EG562" s="243"/>
      <c r="EH562" s="243"/>
      <c r="EI562" s="243"/>
      <c r="EJ562" s="243"/>
      <c r="EK562" s="243"/>
      <c r="EL562" s="243"/>
      <c r="EM562" s="243"/>
      <c r="EN562" s="243"/>
      <c r="EO562" s="243"/>
      <c r="EP562" s="243"/>
      <c r="EQ562" s="243"/>
      <c r="ER562" s="243"/>
      <c r="ES562" s="243"/>
      <c r="ET562" s="243"/>
      <c r="EU562" s="243"/>
      <c r="EV562" s="243"/>
      <c r="EW562" s="243"/>
      <c r="EX562" s="243"/>
      <c r="EY562" s="243"/>
      <c r="EZ562" s="243"/>
      <c r="FA562" s="243"/>
      <c r="FB562" s="243"/>
      <c r="FC562" s="243"/>
      <c r="FD562" s="243"/>
      <c r="FE562" s="243"/>
      <c r="FF562" s="243"/>
      <c r="FG562" s="243"/>
      <c r="FH562" s="243"/>
      <c r="FI562" s="243"/>
      <c r="FJ562" s="243"/>
      <c r="FK562" s="243"/>
      <c r="FL562" s="243"/>
      <c r="FM562" s="243"/>
      <c r="FN562" s="243"/>
      <c r="FO562" s="243"/>
      <c r="FP562" s="243"/>
      <c r="FQ562" s="243"/>
      <c r="FR562" s="243"/>
      <c r="FS562" s="243"/>
      <c r="FT562" s="243"/>
      <c r="FU562" s="243"/>
      <c r="FV562" s="243"/>
      <c r="FW562" s="243"/>
      <c r="FX562" s="243"/>
      <c r="FY562" s="243"/>
      <c r="FZ562" s="243"/>
      <c r="GA562" s="243"/>
      <c r="GB562" s="243"/>
      <c r="GC562" s="243"/>
      <c r="GD562" s="243"/>
      <c r="GE562" s="243"/>
      <c r="GF562" s="243"/>
      <c r="GG562" s="243"/>
      <c r="GH562" s="243"/>
      <c r="GI562" s="243"/>
      <c r="GJ562" s="243"/>
      <c r="GK562" s="243"/>
      <c r="GL562" s="243"/>
      <c r="GM562" s="243"/>
      <c r="GN562" s="243"/>
      <c r="GO562" s="243"/>
      <c r="GP562" s="243"/>
      <c r="GQ562" s="243"/>
      <c r="GR562" s="243"/>
      <c r="GS562" s="243"/>
      <c r="GT562" s="243"/>
      <c r="GU562" s="243"/>
      <c r="GV562" s="243"/>
      <c r="GW562" s="243"/>
      <c r="GX562" s="243"/>
      <c r="GY562" s="243"/>
      <c r="GZ562" s="243"/>
      <c r="HA562" s="243"/>
      <c r="HB562" s="243"/>
      <c r="HC562" s="243"/>
      <c r="HD562" s="243"/>
      <c r="HE562" s="243"/>
      <c r="HF562" s="243"/>
      <c r="HG562" s="243"/>
      <c r="HH562" s="243"/>
      <c r="HI562" s="243"/>
      <c r="HJ562" s="243"/>
      <c r="HK562" s="243"/>
      <c r="HL562" s="243"/>
      <c r="HM562" s="243"/>
      <c r="HN562" s="243"/>
      <c r="HO562" s="243"/>
      <c r="HP562" s="243"/>
      <c r="HQ562" s="243"/>
      <c r="HR562" s="243"/>
      <c r="HS562" s="243"/>
      <c r="HT562" s="243"/>
      <c r="HU562" s="243"/>
      <c r="HV562" s="243"/>
      <c r="HW562" s="243"/>
      <c r="HX562" s="243"/>
      <c r="HY562" s="243"/>
      <c r="HZ562" s="243"/>
      <c r="IA562" s="243"/>
      <c r="IB562" s="243"/>
      <c r="IC562" s="243"/>
      <c r="ID562" s="243"/>
      <c r="IE562" s="243"/>
      <c r="IF562" s="243"/>
      <c r="IG562" s="243"/>
      <c r="IH562" s="243"/>
      <c r="II562" s="243"/>
      <c r="IJ562" s="243"/>
      <c r="IK562" s="243"/>
      <c r="IL562" s="243"/>
      <c r="IM562" s="243"/>
      <c r="IN562" s="243"/>
      <c r="IO562" s="243"/>
      <c r="IP562" s="243"/>
      <c r="IQ562" s="243"/>
      <c r="IR562" s="243"/>
      <c r="IS562" s="243"/>
      <c r="IT562" s="243"/>
      <c r="IU562" s="243"/>
      <c r="IV562" s="243"/>
      <c r="IW562" s="243"/>
      <c r="IX562" s="243"/>
      <c r="IY562" s="243"/>
      <c r="IZ562" s="243"/>
      <c r="JA562" s="243"/>
      <c r="JB562" s="243"/>
      <c r="JC562" s="243"/>
      <c r="JD562" s="243"/>
      <c r="JE562" s="243"/>
      <c r="JF562" s="243"/>
      <c r="JG562" s="243"/>
      <c r="JH562" s="243"/>
      <c r="JI562" s="243"/>
      <c r="JJ562" s="243"/>
      <c r="JK562" s="243"/>
      <c r="JL562" s="243"/>
      <c r="JM562" s="243"/>
      <c r="JN562" s="243"/>
      <c r="JO562" s="243"/>
      <c r="JP562" s="243"/>
      <c r="JQ562" s="243"/>
      <c r="JR562" s="243"/>
      <c r="JS562" s="243"/>
      <c r="JT562" s="243"/>
      <c r="JU562" s="243"/>
      <c r="JV562" s="243"/>
      <c r="JW562" s="243"/>
      <c r="JX562" s="243"/>
      <c r="JY562" s="243"/>
      <c r="JZ562" s="243"/>
      <c r="KA562" s="243"/>
      <c r="KB562" s="243"/>
      <c r="KC562" s="243"/>
      <c r="KD562" s="243"/>
      <c r="KE562" s="243"/>
      <c r="KF562" s="243"/>
      <c r="KG562" s="243"/>
      <c r="KH562" s="243"/>
      <c r="KI562" s="243"/>
      <c r="KJ562" s="243"/>
      <c r="KK562" s="243"/>
      <c r="KL562" s="243"/>
      <c r="KM562" s="243"/>
      <c r="KN562" s="243"/>
      <c r="KO562" s="243"/>
      <c r="KP562" s="243"/>
      <c r="KQ562" s="243"/>
      <c r="KR562" s="243"/>
      <c r="KS562" s="243"/>
      <c r="KT562" s="243"/>
      <c r="KU562" s="243"/>
      <c r="KV562" s="243"/>
      <c r="KW562" s="243"/>
      <c r="KX562" s="243"/>
      <c r="KY562" s="243"/>
      <c r="KZ562" s="243"/>
      <c r="LA562" s="243"/>
      <c r="LB562" s="243"/>
      <c r="LC562" s="243"/>
      <c r="LD562" s="243"/>
      <c r="LE562" s="243"/>
      <c r="LF562" s="243"/>
      <c r="LG562" s="243"/>
      <c r="LH562" s="243"/>
      <c r="LI562" s="243"/>
      <c r="LJ562" s="243"/>
      <c r="LK562" s="243"/>
      <c r="LL562" s="243"/>
      <c r="LM562" s="243"/>
      <c r="LN562" s="243"/>
      <c r="LO562" s="243"/>
      <c r="LP562" s="243"/>
      <c r="LQ562" s="243"/>
      <c r="LR562" s="243"/>
      <c r="LS562" s="243"/>
      <c r="LT562" s="243"/>
      <c r="LU562" s="243"/>
      <c r="LV562" s="243"/>
      <c r="LW562" s="243"/>
      <c r="LX562" s="243"/>
      <c r="LY562" s="243"/>
      <c r="LZ562" s="243"/>
      <c r="MA562" s="243"/>
      <c r="MB562" s="243"/>
      <c r="MC562" s="243"/>
      <c r="MD562" s="243"/>
      <c r="ME562" s="243"/>
      <c r="MF562" s="243"/>
      <c r="MG562" s="243"/>
      <c r="MH562" s="243"/>
      <c r="MI562" s="243"/>
      <c r="MJ562" s="243"/>
      <c r="MK562" s="243"/>
      <c r="ML562" s="243"/>
      <c r="MM562" s="243"/>
      <c r="MN562" s="243"/>
      <c r="MO562" s="243"/>
      <c r="MP562" s="243"/>
      <c r="MQ562" s="243"/>
      <c r="MR562" s="243"/>
      <c r="MS562" s="243"/>
      <c r="MT562" s="243"/>
      <c r="MU562" s="243"/>
      <c r="MV562" s="243"/>
      <c r="MW562" s="243"/>
      <c r="MX562" s="243"/>
      <c r="MY562" s="243"/>
      <c r="MZ562" s="243"/>
      <c r="NA562" s="243"/>
      <c r="NB562" s="243"/>
      <c r="NC562" s="243"/>
      <c r="ND562" s="243"/>
      <c r="NE562" s="243"/>
      <c r="NF562" s="243"/>
      <c r="NG562" s="243"/>
      <c r="NH562" s="243"/>
      <c r="NI562" s="243"/>
      <c r="NJ562" s="243"/>
      <c r="NK562" s="243"/>
      <c r="NL562" s="243"/>
      <c r="NM562" s="243"/>
      <c r="NN562" s="243"/>
      <c r="NO562" s="243"/>
      <c r="NP562" s="243"/>
      <c r="NQ562" s="243"/>
      <c r="NR562" s="243"/>
      <c r="NS562" s="243"/>
      <c r="NT562" s="243"/>
      <c r="NU562" s="243"/>
      <c r="NV562" s="243"/>
      <c r="NW562" s="243"/>
      <c r="NX562" s="243"/>
      <c r="NY562" s="243"/>
      <c r="NZ562" s="243"/>
      <c r="OA562" s="243"/>
      <c r="OB562" s="243"/>
      <c r="OC562" s="243"/>
      <c r="OD562" s="243"/>
      <c r="OE562" s="243"/>
      <c r="OF562" s="243"/>
      <c r="OG562" s="243"/>
      <c r="OH562" s="243"/>
      <c r="OI562" s="243"/>
      <c r="OJ562" s="243"/>
      <c r="OK562" s="243"/>
      <c r="OL562" s="243"/>
      <c r="OM562" s="243"/>
      <c r="ON562" s="243"/>
      <c r="OO562" s="243"/>
      <c r="OP562" s="243"/>
      <c r="OQ562" s="243"/>
      <c r="OR562" s="243"/>
      <c r="OS562" s="243"/>
      <c r="OT562" s="243"/>
      <c r="OU562" s="243"/>
      <c r="OV562" s="243"/>
      <c r="OW562" s="243"/>
      <c r="OX562" s="243"/>
      <c r="OY562" s="243"/>
      <c r="OZ562" s="243"/>
      <c r="PA562" s="243"/>
      <c r="PB562" s="243"/>
      <c r="PC562" s="243"/>
      <c r="PD562" s="243"/>
      <c r="PE562" s="243"/>
      <c r="PF562" s="243"/>
      <c r="PG562" s="243"/>
      <c r="PH562" s="243"/>
      <c r="PI562" s="243"/>
      <c r="PJ562" s="243"/>
      <c r="PK562" s="243"/>
      <c r="PL562" s="243"/>
      <c r="PM562" s="243"/>
      <c r="PN562" s="243"/>
      <c r="PO562" s="243"/>
      <c r="PP562" s="243"/>
      <c r="PQ562" s="243"/>
      <c r="PR562" s="243"/>
      <c r="PS562" s="243"/>
      <c r="PT562" s="243"/>
      <c r="PU562" s="243"/>
      <c r="PV562" s="243"/>
      <c r="PW562" s="243"/>
      <c r="PX562" s="243"/>
      <c r="PY562" s="243"/>
      <c r="PZ562" s="243"/>
      <c r="QA562" s="243"/>
      <c r="QB562" s="243"/>
      <c r="QC562" s="243"/>
      <c r="QD562" s="243"/>
      <c r="QE562" s="243"/>
      <c r="QF562" s="243"/>
      <c r="QG562" s="243"/>
      <c r="QH562" s="243"/>
      <c r="QI562" s="243"/>
      <c r="QJ562" s="243"/>
      <c r="QK562" s="243"/>
      <c r="QL562" s="243"/>
      <c r="QM562" s="243"/>
      <c r="QN562" s="243"/>
      <c r="QO562" s="243"/>
      <c r="QP562" s="243"/>
      <c r="QQ562" s="243"/>
      <c r="QR562" s="243"/>
      <c r="QS562" s="243"/>
      <c r="QT562" s="243"/>
      <c r="QU562" s="243"/>
      <c r="QV562" s="243"/>
      <c r="QW562" s="243"/>
      <c r="QX562" s="243"/>
      <c r="QY562" s="243"/>
      <c r="QZ562" s="243"/>
      <c r="RA562" s="243"/>
      <c r="RB562" s="243"/>
      <c r="RC562" s="243"/>
      <c r="RD562" s="243"/>
      <c r="RE562" s="243"/>
      <c r="RF562" s="243"/>
      <c r="RG562" s="243"/>
      <c r="RH562" s="243"/>
      <c r="RI562" s="243"/>
      <c r="RJ562" s="243"/>
      <c r="RK562" s="243"/>
      <c r="RL562" s="243"/>
      <c r="RM562" s="243"/>
      <c r="RN562" s="243"/>
      <c r="RO562" s="243"/>
      <c r="RP562" s="243"/>
      <c r="RQ562" s="243"/>
      <c r="RR562" s="243"/>
      <c r="RS562" s="243"/>
      <c r="RT562" s="243"/>
      <c r="RU562" s="243"/>
      <c r="RV562" s="243"/>
      <c r="RW562" s="243"/>
      <c r="RX562" s="243"/>
      <c r="RY562" s="243"/>
      <c r="RZ562" s="243"/>
      <c r="SA562" s="243"/>
      <c r="SB562" s="243"/>
      <c r="SC562" s="243"/>
      <c r="SD562" s="243"/>
      <c r="SE562" s="243"/>
      <c r="SF562" s="243"/>
      <c r="SG562" s="243"/>
      <c r="SH562" s="243"/>
      <c r="SI562" s="243"/>
      <c r="SJ562" s="243"/>
      <c r="SK562" s="243"/>
      <c r="SL562" s="243"/>
      <c r="SM562" s="243"/>
      <c r="SN562" s="243"/>
      <c r="SO562" s="243"/>
      <c r="SP562" s="243"/>
      <c r="SQ562" s="243"/>
      <c r="SR562" s="243"/>
      <c r="SS562" s="243"/>
      <c r="ST562" s="243"/>
      <c r="SU562" s="243"/>
      <c r="SV562" s="243"/>
      <c r="SW562" s="243"/>
      <c r="SX562" s="243"/>
      <c r="SY562" s="243"/>
      <c r="SZ562" s="243"/>
      <c r="TA562" s="243"/>
      <c r="TB562" s="243"/>
      <c r="TC562" s="243"/>
      <c r="TD562" s="243"/>
      <c r="TE562" s="243"/>
      <c r="TF562" s="243"/>
      <c r="TG562" s="243"/>
      <c r="TH562" s="243"/>
      <c r="TI562" s="243"/>
      <c r="TJ562" s="243"/>
      <c r="TK562" s="243"/>
      <c r="TL562" s="243"/>
      <c r="TM562" s="243"/>
      <c r="TN562" s="243"/>
      <c r="TO562" s="243"/>
      <c r="TP562" s="243"/>
      <c r="TQ562" s="243"/>
      <c r="TR562" s="243"/>
      <c r="TS562" s="243"/>
      <c r="TT562" s="243"/>
      <c r="TU562" s="243"/>
      <c r="TV562" s="243"/>
      <c r="TW562" s="243"/>
      <c r="TX562" s="243"/>
      <c r="TY562" s="243"/>
      <c r="TZ562" s="243"/>
      <c r="UA562" s="243"/>
      <c r="UB562" s="243"/>
      <c r="UC562" s="243"/>
      <c r="UD562" s="243"/>
      <c r="UE562" s="243"/>
      <c r="UF562" s="243"/>
      <c r="UG562" s="243"/>
      <c r="UH562" s="243"/>
      <c r="UI562" s="243"/>
      <c r="UJ562" s="243"/>
      <c r="UK562" s="243"/>
      <c r="UL562" s="243"/>
      <c r="UM562" s="243"/>
      <c r="UN562" s="243"/>
      <c r="UO562" s="243"/>
      <c r="UP562" s="243"/>
      <c r="UQ562" s="243"/>
      <c r="UR562" s="243"/>
      <c r="US562" s="243"/>
      <c r="UT562" s="243"/>
      <c r="UU562" s="243"/>
      <c r="UV562" s="243"/>
      <c r="UW562" s="243"/>
      <c r="UX562" s="243"/>
      <c r="UY562" s="243"/>
      <c r="UZ562" s="243"/>
      <c r="VA562" s="243"/>
      <c r="VB562" s="243"/>
      <c r="VC562" s="243"/>
      <c r="VD562" s="243"/>
      <c r="VE562" s="243"/>
      <c r="VF562" s="243"/>
      <c r="VG562" s="243"/>
      <c r="VH562" s="243"/>
      <c r="VI562" s="243"/>
      <c r="VJ562" s="243"/>
      <c r="VK562" s="243"/>
      <c r="VL562" s="243"/>
      <c r="VM562" s="243"/>
      <c r="VN562" s="243"/>
      <c r="VO562" s="243"/>
      <c r="VP562" s="243"/>
      <c r="VQ562" s="243"/>
      <c r="VR562" s="243"/>
      <c r="VS562" s="243"/>
      <c r="VT562" s="243"/>
      <c r="VU562" s="243"/>
      <c r="VV562" s="243"/>
      <c r="VW562" s="243"/>
      <c r="VX562" s="243"/>
      <c r="VY562" s="243"/>
      <c r="VZ562" s="243"/>
      <c r="WA562" s="243"/>
      <c r="WB562" s="243"/>
      <c r="WC562" s="243"/>
      <c r="WD562" s="243"/>
      <c r="WE562" s="243"/>
      <c r="WF562" s="243"/>
      <c r="WG562" s="243"/>
      <c r="WH562" s="243"/>
      <c r="WI562" s="243"/>
      <c r="WJ562" s="243"/>
      <c r="WK562" s="243"/>
      <c r="WL562" s="243"/>
      <c r="WM562" s="243"/>
      <c r="WN562" s="243"/>
      <c r="WO562" s="243"/>
      <c r="WP562" s="243"/>
      <c r="WQ562" s="243"/>
      <c r="WR562" s="243"/>
      <c r="WS562" s="243"/>
      <c r="WT562" s="243"/>
      <c r="WU562" s="243"/>
      <c r="WV562" s="243"/>
      <c r="WW562" s="243"/>
      <c r="WX562" s="243"/>
      <c r="WY562" s="243"/>
      <c r="WZ562" s="243"/>
      <c r="XA562" s="243"/>
      <c r="XB562" s="243"/>
      <c r="XC562" s="243"/>
      <c r="XD562" s="243"/>
      <c r="XE562" s="243"/>
      <c r="XF562" s="243"/>
      <c r="XG562" s="243"/>
      <c r="XH562" s="243"/>
      <c r="XI562" s="243"/>
      <c r="XJ562" s="243"/>
      <c r="XK562" s="243"/>
      <c r="XL562" s="243"/>
      <c r="XM562" s="243"/>
      <c r="XN562" s="243"/>
      <c r="XO562" s="243"/>
      <c r="XP562" s="243"/>
      <c r="XQ562" s="243"/>
      <c r="XR562" s="243"/>
      <c r="XS562" s="243"/>
      <c r="XT562" s="243"/>
      <c r="XU562" s="243"/>
      <c r="XV562" s="243"/>
      <c r="XW562" s="243"/>
      <c r="XX562" s="243"/>
      <c r="XY562" s="243"/>
      <c r="XZ562" s="243"/>
      <c r="YA562" s="243"/>
      <c r="YB562" s="243"/>
      <c r="YC562" s="243"/>
      <c r="YD562" s="243"/>
      <c r="YE562" s="243"/>
      <c r="YF562" s="243"/>
      <c r="YG562" s="243"/>
      <c r="YH562" s="243"/>
      <c r="YI562" s="243"/>
      <c r="YJ562" s="243"/>
      <c r="YK562" s="243"/>
      <c r="YL562" s="243"/>
      <c r="YM562" s="243"/>
      <c r="YN562" s="243"/>
      <c r="YO562" s="243"/>
      <c r="YP562" s="243"/>
      <c r="YQ562" s="243"/>
      <c r="YR562" s="243"/>
      <c r="YS562" s="243"/>
      <c r="YT562" s="243"/>
      <c r="YU562" s="243"/>
      <c r="YV562" s="243"/>
      <c r="YW562" s="243"/>
      <c r="YX562" s="243"/>
      <c r="YY562" s="243"/>
      <c r="YZ562" s="243"/>
      <c r="ZA562" s="243"/>
      <c r="ZB562" s="243"/>
      <c r="ZC562" s="243"/>
      <c r="ZD562" s="243"/>
      <c r="ZE562" s="243"/>
      <c r="ZF562" s="243"/>
      <c r="ZG562" s="243"/>
      <c r="ZH562" s="243"/>
      <c r="ZI562" s="243"/>
      <c r="ZJ562" s="243"/>
      <c r="ZK562" s="243"/>
      <c r="ZL562" s="243"/>
      <c r="ZM562" s="243"/>
      <c r="ZN562" s="243"/>
      <c r="ZO562" s="243"/>
      <c r="ZP562" s="243"/>
      <c r="ZQ562" s="243"/>
      <c r="ZR562" s="243"/>
      <c r="ZS562" s="243"/>
      <c r="ZT562" s="243"/>
      <c r="ZU562" s="243"/>
      <c r="ZV562" s="243"/>
      <c r="ZW562" s="243"/>
      <c r="ZX562" s="243"/>
      <c r="ZY562" s="243"/>
      <c r="ZZ562" s="243"/>
      <c r="AAA562" s="243"/>
      <c r="AAB562" s="243"/>
      <c r="AAC562" s="243"/>
      <c r="AAD562" s="243"/>
      <c r="AAE562" s="243"/>
      <c r="AAF562" s="243"/>
      <c r="AAG562" s="243"/>
      <c r="AAH562" s="243"/>
      <c r="AAI562" s="243"/>
      <c r="AAJ562" s="243"/>
      <c r="AAK562" s="243"/>
      <c r="AAL562" s="243"/>
      <c r="AAM562" s="243"/>
      <c r="AAN562" s="243"/>
      <c r="AAO562" s="243"/>
      <c r="AAP562" s="243"/>
      <c r="AAQ562" s="243"/>
      <c r="AAR562" s="243"/>
      <c r="AAS562" s="243"/>
      <c r="AAT562" s="243"/>
      <c r="AAU562" s="243"/>
      <c r="AAV562" s="243"/>
      <c r="AAW562" s="243"/>
      <c r="AAX562" s="243"/>
      <c r="AAY562" s="243"/>
      <c r="AAZ562" s="243"/>
      <c r="ABA562" s="243"/>
      <c r="ABB562" s="243"/>
      <c r="ABC562" s="243"/>
      <c r="ABD562" s="243"/>
      <c r="ABE562" s="243"/>
      <c r="ABF562" s="243"/>
      <c r="ABG562" s="243"/>
      <c r="ABH562" s="243"/>
      <c r="ABI562" s="243"/>
      <c r="ABJ562" s="243"/>
      <c r="ABK562" s="243"/>
      <c r="ABL562" s="243"/>
      <c r="ABM562" s="243"/>
      <c r="ABN562" s="243"/>
      <c r="ABO562" s="243"/>
      <c r="ABP562" s="243"/>
      <c r="ABQ562" s="243"/>
      <c r="ABR562" s="243"/>
      <c r="ABS562" s="243"/>
      <c r="ABT562" s="243"/>
      <c r="ABU562" s="243"/>
      <c r="ABV562" s="243"/>
      <c r="ABW562" s="243"/>
      <c r="ABX562" s="243"/>
      <c r="ABY562" s="243"/>
      <c r="ABZ562" s="243"/>
      <c r="ACA562" s="243"/>
      <c r="ACB562" s="243"/>
      <c r="ACC562" s="243"/>
      <c r="ACD562" s="243"/>
      <c r="ACE562" s="243"/>
      <c r="ACF562" s="243"/>
      <c r="ACG562" s="243"/>
      <c r="ACH562" s="243"/>
      <c r="ACI562" s="243"/>
      <c r="ACJ562" s="243"/>
      <c r="ACK562" s="243"/>
      <c r="ACL562" s="243"/>
      <c r="ACM562" s="243"/>
      <c r="ACN562" s="243"/>
      <c r="ACO562" s="243"/>
      <c r="ACP562" s="243"/>
      <c r="ACQ562" s="243"/>
      <c r="ACR562" s="243"/>
      <c r="ACS562" s="243"/>
      <c r="ACT562" s="243"/>
      <c r="ACU562" s="243"/>
      <c r="ACV562" s="243"/>
      <c r="ACW562" s="243"/>
      <c r="ACX562" s="243"/>
      <c r="ACY562" s="243"/>
      <c r="ACZ562" s="243"/>
      <c r="ADA562" s="243"/>
      <c r="ADB562" s="243"/>
      <c r="ADC562" s="243"/>
      <c r="ADD562" s="243"/>
      <c r="ADE562" s="243"/>
      <c r="ADF562" s="243"/>
      <c r="ADG562" s="243"/>
      <c r="ADH562" s="243"/>
      <c r="ADI562" s="243"/>
      <c r="ADJ562" s="243"/>
      <c r="ADK562" s="243"/>
      <c r="ADL562" s="243"/>
      <c r="ADM562" s="243"/>
      <c r="ADN562" s="243"/>
      <c r="ADO562" s="243"/>
      <c r="ADP562" s="243"/>
      <c r="ADQ562" s="243"/>
      <c r="ADR562" s="243"/>
      <c r="ADS562" s="243"/>
      <c r="ADT562" s="243"/>
      <c r="ADU562" s="243"/>
      <c r="ADV562" s="243"/>
      <c r="ADW562" s="243"/>
      <c r="ADX562" s="243"/>
      <c r="ADY562" s="243"/>
      <c r="ADZ562" s="243"/>
      <c r="AEA562" s="243"/>
      <c r="AEB562" s="243"/>
      <c r="AEC562" s="243"/>
      <c r="AED562" s="243"/>
      <c r="AEE562" s="243"/>
      <c r="AEF562" s="243"/>
      <c r="AEG562" s="243"/>
      <c r="AEH562" s="243"/>
      <c r="AEI562" s="243"/>
      <c r="AEJ562" s="243"/>
      <c r="AEK562" s="243"/>
      <c r="AEL562" s="243"/>
      <c r="AEM562" s="243"/>
      <c r="AEN562" s="243"/>
      <c r="AEO562" s="243"/>
      <c r="AEP562" s="243"/>
      <c r="AEQ562" s="243"/>
      <c r="AER562" s="243"/>
      <c r="AES562" s="243"/>
      <c r="AET562" s="243"/>
      <c r="AEU562" s="243"/>
      <c r="AEV562" s="243"/>
      <c r="AEW562" s="243"/>
      <c r="AEX562" s="243"/>
      <c r="AEY562" s="243"/>
      <c r="AEZ562" s="243"/>
      <c r="AFA562" s="243"/>
      <c r="AFB562" s="243"/>
      <c r="AFC562" s="243"/>
      <c r="AFD562" s="243"/>
      <c r="AFE562" s="243"/>
      <c r="AFF562" s="243"/>
      <c r="AFG562" s="243"/>
      <c r="AFH562" s="243"/>
      <c r="AFI562" s="243"/>
      <c r="AFJ562" s="243"/>
      <c r="AFK562" s="243"/>
      <c r="AFL562" s="243"/>
      <c r="AFM562" s="243"/>
      <c r="AFN562" s="243"/>
      <c r="AFO562" s="243"/>
      <c r="AFP562" s="243"/>
      <c r="AFQ562" s="243"/>
      <c r="AFR562" s="243"/>
      <c r="AFS562" s="243"/>
      <c r="AFT562" s="243"/>
      <c r="AFU562" s="243"/>
      <c r="AFV562" s="243"/>
      <c r="AFW562" s="243"/>
      <c r="AFX562" s="243"/>
      <c r="AFY562" s="243"/>
      <c r="AFZ562" s="243"/>
      <c r="AGA562" s="243"/>
      <c r="AGB562" s="243"/>
      <c r="AGC562" s="243"/>
      <c r="AGD562" s="243"/>
      <c r="AGE562" s="243"/>
      <c r="AGF562" s="243"/>
      <c r="AGG562" s="243"/>
      <c r="AGH562" s="243"/>
      <c r="AGI562" s="243"/>
      <c r="AGJ562" s="243"/>
      <c r="AGK562" s="243"/>
      <c r="AGL562" s="243"/>
      <c r="AGM562" s="243"/>
      <c r="AGN562" s="243"/>
      <c r="AGO562" s="243"/>
      <c r="AGP562" s="243"/>
      <c r="AGQ562" s="243"/>
      <c r="AGR562" s="243"/>
      <c r="AGS562" s="243"/>
      <c r="AGT562" s="243"/>
      <c r="AGU562" s="243"/>
      <c r="AGV562" s="243"/>
      <c r="AGW562" s="243"/>
      <c r="AGX562" s="243"/>
      <c r="AGY562" s="243"/>
      <c r="AGZ562" s="243"/>
      <c r="AHA562" s="243"/>
      <c r="AHB562" s="243"/>
      <c r="AHC562" s="243"/>
      <c r="AHD562" s="243"/>
      <c r="AHE562" s="243"/>
      <c r="AHF562" s="243"/>
      <c r="AHG562" s="243"/>
      <c r="AHH562" s="243"/>
      <c r="AHI562" s="243"/>
      <c r="AHJ562" s="243"/>
      <c r="AHK562" s="243"/>
      <c r="AHL562" s="243"/>
      <c r="AHM562" s="243"/>
      <c r="AHN562" s="243"/>
      <c r="AHO562" s="243"/>
      <c r="AHP562" s="243"/>
      <c r="AHQ562" s="243"/>
      <c r="AHR562" s="243"/>
      <c r="AHS562" s="243"/>
      <c r="AHT562" s="243"/>
      <c r="AHU562" s="243"/>
      <c r="AHV562" s="243"/>
      <c r="AHW562" s="243"/>
      <c r="AHX562" s="243"/>
      <c r="AHY562" s="243"/>
      <c r="AHZ562" s="243"/>
      <c r="AIA562" s="243"/>
      <c r="AIB562" s="243"/>
      <c r="AIC562" s="243"/>
      <c r="AID562" s="243"/>
      <c r="AIE562" s="243"/>
      <c r="AIF562" s="243"/>
      <c r="AIG562" s="243"/>
      <c r="AIH562" s="243"/>
      <c r="AII562" s="243"/>
      <c r="AIJ562" s="243"/>
      <c r="AIK562" s="243"/>
      <c r="AIL562" s="243"/>
      <c r="AIM562" s="243"/>
      <c r="AIN562" s="243"/>
      <c r="AIO562" s="243"/>
      <c r="AIP562" s="243"/>
      <c r="AIQ562" s="243"/>
      <c r="AIR562" s="243"/>
      <c r="AIS562" s="243"/>
      <c r="AIT562" s="243"/>
      <c r="AIU562" s="243"/>
      <c r="AIV562" s="243"/>
      <c r="AIW562" s="243"/>
      <c r="AIX562" s="243"/>
      <c r="AIY562" s="243"/>
      <c r="AIZ562" s="243"/>
      <c r="AJA562" s="243"/>
      <c r="AJB562" s="243"/>
      <c r="AJC562" s="243"/>
      <c r="AJD562" s="243"/>
      <c r="AJE562" s="243"/>
      <c r="AJF562" s="243"/>
      <c r="AJG562" s="243"/>
      <c r="AJH562" s="243"/>
      <c r="AJI562" s="243"/>
      <c r="AJJ562" s="243"/>
      <c r="AJK562" s="243"/>
      <c r="AJL562" s="243"/>
      <c r="AJM562" s="243"/>
      <c r="AJN562" s="243"/>
      <c r="AJO562" s="243"/>
      <c r="AJP562" s="243"/>
      <c r="AJQ562" s="243"/>
      <c r="AJR562" s="243"/>
      <c r="AJS562" s="243"/>
      <c r="AJT562" s="243"/>
      <c r="AJU562" s="243"/>
      <c r="AJV562" s="243"/>
      <c r="AJW562" s="243"/>
      <c r="AJX562" s="243"/>
      <c r="AJY562" s="243"/>
      <c r="AJZ562" s="243"/>
      <c r="AKA562" s="243"/>
      <c r="AKB562" s="243"/>
      <c r="AKC562" s="243"/>
      <c r="AKD562" s="243"/>
      <c r="AKE562" s="243"/>
      <c r="AKF562" s="243"/>
      <c r="AKG562" s="243"/>
      <c r="AKH562" s="243"/>
      <c r="AKI562" s="243"/>
      <c r="AKJ562" s="243"/>
      <c r="AKK562" s="243"/>
      <c r="AKL562" s="243"/>
      <c r="AKM562" s="243"/>
      <c r="AKN562" s="243"/>
      <c r="AKO562" s="243"/>
      <c r="AKP562" s="243"/>
      <c r="AKQ562" s="243"/>
      <c r="AKR562" s="243"/>
      <c r="AKS562" s="243"/>
      <c r="AKT562" s="243"/>
      <c r="AKU562" s="243"/>
      <c r="AKV562" s="243"/>
      <c r="AKW562" s="243"/>
      <c r="AKX562" s="243"/>
      <c r="AKY562" s="243"/>
      <c r="AKZ562" s="243"/>
      <c r="ALA562" s="243"/>
      <c r="ALB562" s="243"/>
      <c r="ALC562" s="243"/>
      <c r="ALD562" s="243"/>
      <c r="ALE562" s="243"/>
      <c r="ALF562" s="243"/>
      <c r="ALG562" s="243"/>
      <c r="ALH562" s="243"/>
      <c r="ALI562" s="243"/>
      <c r="ALJ562" s="243"/>
      <c r="ALK562" s="243"/>
      <c r="ALL562" s="243"/>
      <c r="ALM562" s="243"/>
      <c r="ALN562" s="243"/>
      <c r="ALO562" s="243"/>
      <c r="ALP562" s="243"/>
      <c r="ALQ562" s="243"/>
      <c r="ALR562" s="243"/>
      <c r="ALS562" s="243"/>
      <c r="ALT562" s="243"/>
      <c r="ALU562" s="243"/>
      <c r="ALV562" s="243"/>
      <c r="ALW562" s="243"/>
      <c r="ALX562" s="243"/>
      <c r="ALY562" s="243"/>
      <c r="ALZ562" s="243"/>
      <c r="AMA562" s="243"/>
      <c r="AMB562" s="243"/>
      <c r="AMC562" s="243"/>
      <c r="AMD562" s="243"/>
      <c r="AME562" s="243"/>
      <c r="AMF562" s="243"/>
      <c r="AMG562" s="243"/>
      <c r="AMH562" s="243"/>
      <c r="AMI562" s="243"/>
      <c r="AMJ562" s="243"/>
      <c r="AMK562" s="244"/>
    </row>
    <row r="563" spans="1:1025" hidden="1">
      <c r="A563" s="243"/>
      <c r="B563" s="431"/>
      <c r="C563" s="247"/>
      <c r="D563" s="246"/>
      <c r="E563" s="246"/>
      <c r="F563" s="248"/>
      <c r="G563" s="247"/>
      <c r="H563" s="247"/>
      <c r="I563" s="247"/>
      <c r="J563" s="247"/>
      <c r="K563" s="247"/>
      <c r="L563" s="247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  <c r="AH563" s="243"/>
      <c r="AI563" s="243"/>
      <c r="AJ563" s="243"/>
      <c r="AK563" s="243"/>
      <c r="AL563" s="243"/>
      <c r="AM563" s="243"/>
      <c r="AN563" s="243"/>
      <c r="AO563" s="243"/>
      <c r="AP563" s="243"/>
      <c r="AQ563" s="243"/>
      <c r="AR563" s="243"/>
      <c r="AS563" s="243"/>
      <c r="AT563" s="243"/>
      <c r="AU563" s="243"/>
      <c r="AV563" s="243"/>
      <c r="AW563" s="243"/>
      <c r="AX563" s="243"/>
      <c r="AY563" s="243"/>
      <c r="AZ563" s="243"/>
      <c r="BA563" s="243"/>
      <c r="BB563" s="243"/>
      <c r="BC563" s="243"/>
      <c r="BD563" s="243"/>
      <c r="BE563" s="243"/>
      <c r="BF563" s="243"/>
      <c r="BG563" s="243"/>
      <c r="BH563" s="243"/>
      <c r="BI563" s="243"/>
      <c r="BJ563" s="243"/>
      <c r="BK563" s="243"/>
      <c r="BL563" s="243"/>
      <c r="BM563" s="243"/>
      <c r="BN563" s="243"/>
      <c r="BO563" s="243"/>
      <c r="BP563" s="243"/>
      <c r="BQ563" s="243"/>
      <c r="BR563" s="243"/>
      <c r="BS563" s="243"/>
      <c r="BT563" s="243"/>
      <c r="BU563" s="243"/>
      <c r="BV563" s="243"/>
      <c r="BW563" s="243"/>
      <c r="BX563" s="243"/>
      <c r="BY563" s="243"/>
      <c r="BZ563" s="243"/>
      <c r="CA563" s="243"/>
      <c r="CB563" s="243"/>
      <c r="CC563" s="243"/>
      <c r="CD563" s="243"/>
      <c r="CE563" s="243"/>
      <c r="CF563" s="243"/>
      <c r="CG563" s="243"/>
      <c r="CH563" s="243"/>
      <c r="CI563" s="243"/>
      <c r="CJ563" s="243"/>
      <c r="CK563" s="243"/>
      <c r="CL563" s="243"/>
      <c r="CM563" s="243"/>
      <c r="CN563" s="243"/>
      <c r="CO563" s="243"/>
      <c r="CP563" s="243"/>
      <c r="CQ563" s="243"/>
      <c r="CR563" s="243"/>
      <c r="CS563" s="243"/>
      <c r="CT563" s="243"/>
      <c r="CU563" s="243"/>
      <c r="CV563" s="243"/>
      <c r="CW563" s="243"/>
      <c r="CX563" s="243"/>
      <c r="CY563" s="243"/>
      <c r="CZ563" s="243"/>
      <c r="DA563" s="243"/>
      <c r="DB563" s="243"/>
      <c r="DC563" s="243"/>
      <c r="DD563" s="243"/>
      <c r="DE563" s="243"/>
      <c r="DF563" s="243"/>
      <c r="DG563" s="243"/>
      <c r="DH563" s="243"/>
      <c r="DI563" s="243"/>
      <c r="DJ563" s="243"/>
      <c r="DK563" s="243"/>
      <c r="DL563" s="243"/>
      <c r="DM563" s="243"/>
      <c r="DN563" s="243"/>
      <c r="DO563" s="243"/>
      <c r="DP563" s="243"/>
      <c r="DQ563" s="243"/>
      <c r="DR563" s="243"/>
      <c r="DS563" s="243"/>
      <c r="DT563" s="243"/>
      <c r="DU563" s="243"/>
      <c r="DV563" s="243"/>
      <c r="DW563" s="243"/>
      <c r="DX563" s="243"/>
      <c r="DY563" s="243"/>
      <c r="DZ563" s="243"/>
      <c r="EA563" s="243"/>
      <c r="EB563" s="243"/>
      <c r="EC563" s="243"/>
      <c r="ED563" s="243"/>
      <c r="EE563" s="243"/>
      <c r="EF563" s="243"/>
      <c r="EG563" s="243"/>
      <c r="EH563" s="243"/>
      <c r="EI563" s="243"/>
      <c r="EJ563" s="243"/>
      <c r="EK563" s="243"/>
      <c r="EL563" s="243"/>
      <c r="EM563" s="243"/>
      <c r="EN563" s="243"/>
      <c r="EO563" s="243"/>
      <c r="EP563" s="243"/>
      <c r="EQ563" s="243"/>
      <c r="ER563" s="243"/>
      <c r="ES563" s="243"/>
      <c r="ET563" s="243"/>
      <c r="EU563" s="243"/>
      <c r="EV563" s="243"/>
      <c r="EW563" s="243"/>
      <c r="EX563" s="243"/>
      <c r="EY563" s="243"/>
      <c r="EZ563" s="243"/>
      <c r="FA563" s="243"/>
      <c r="FB563" s="243"/>
      <c r="FC563" s="243"/>
      <c r="FD563" s="243"/>
      <c r="FE563" s="243"/>
      <c r="FF563" s="243"/>
      <c r="FG563" s="243"/>
      <c r="FH563" s="243"/>
      <c r="FI563" s="243"/>
      <c r="FJ563" s="243"/>
      <c r="FK563" s="243"/>
      <c r="FL563" s="243"/>
      <c r="FM563" s="243"/>
      <c r="FN563" s="243"/>
      <c r="FO563" s="243"/>
      <c r="FP563" s="243"/>
      <c r="FQ563" s="243"/>
      <c r="FR563" s="243"/>
      <c r="FS563" s="243"/>
      <c r="FT563" s="243"/>
      <c r="FU563" s="243"/>
      <c r="FV563" s="243"/>
      <c r="FW563" s="243"/>
      <c r="FX563" s="243"/>
      <c r="FY563" s="243"/>
      <c r="FZ563" s="243"/>
      <c r="GA563" s="243"/>
      <c r="GB563" s="243"/>
      <c r="GC563" s="243"/>
      <c r="GD563" s="243"/>
      <c r="GE563" s="243"/>
      <c r="GF563" s="243"/>
      <c r="GG563" s="243"/>
      <c r="GH563" s="243"/>
      <c r="GI563" s="243"/>
      <c r="GJ563" s="243"/>
      <c r="GK563" s="243"/>
      <c r="GL563" s="243"/>
      <c r="GM563" s="243"/>
      <c r="GN563" s="243"/>
      <c r="GO563" s="243"/>
      <c r="GP563" s="243"/>
      <c r="GQ563" s="243"/>
      <c r="GR563" s="243"/>
      <c r="GS563" s="243"/>
      <c r="GT563" s="243"/>
      <c r="GU563" s="243"/>
      <c r="GV563" s="243"/>
      <c r="GW563" s="243"/>
      <c r="GX563" s="243"/>
      <c r="GY563" s="243"/>
      <c r="GZ563" s="243"/>
      <c r="HA563" s="243"/>
      <c r="HB563" s="243"/>
      <c r="HC563" s="243"/>
      <c r="HD563" s="243"/>
      <c r="HE563" s="243"/>
      <c r="HF563" s="243"/>
      <c r="HG563" s="243"/>
      <c r="HH563" s="243"/>
      <c r="HI563" s="243"/>
      <c r="HJ563" s="243"/>
      <c r="HK563" s="243"/>
      <c r="HL563" s="243"/>
      <c r="HM563" s="243"/>
      <c r="HN563" s="243"/>
      <c r="HO563" s="243"/>
      <c r="HP563" s="243"/>
      <c r="HQ563" s="243"/>
      <c r="HR563" s="243"/>
      <c r="HS563" s="243"/>
      <c r="HT563" s="243"/>
      <c r="HU563" s="243"/>
      <c r="HV563" s="243"/>
      <c r="HW563" s="243"/>
      <c r="HX563" s="243"/>
      <c r="HY563" s="243"/>
      <c r="HZ563" s="243"/>
      <c r="IA563" s="243"/>
      <c r="IB563" s="243"/>
      <c r="IC563" s="243"/>
      <c r="ID563" s="243"/>
      <c r="IE563" s="243"/>
      <c r="IF563" s="243"/>
      <c r="IG563" s="243"/>
      <c r="IH563" s="243"/>
      <c r="II563" s="243"/>
      <c r="IJ563" s="243"/>
      <c r="IK563" s="243"/>
      <c r="IL563" s="243"/>
      <c r="IM563" s="243"/>
      <c r="IN563" s="243"/>
      <c r="IO563" s="243"/>
      <c r="IP563" s="243"/>
      <c r="IQ563" s="243"/>
      <c r="IR563" s="243"/>
      <c r="IS563" s="243"/>
      <c r="IT563" s="243"/>
      <c r="IU563" s="243"/>
      <c r="IV563" s="243"/>
      <c r="IW563" s="243"/>
      <c r="IX563" s="243"/>
      <c r="IY563" s="243"/>
      <c r="IZ563" s="243"/>
      <c r="JA563" s="243"/>
      <c r="JB563" s="243"/>
      <c r="JC563" s="243"/>
      <c r="JD563" s="243"/>
      <c r="JE563" s="243"/>
      <c r="JF563" s="243"/>
      <c r="JG563" s="243"/>
      <c r="JH563" s="243"/>
      <c r="JI563" s="243"/>
      <c r="JJ563" s="243"/>
      <c r="JK563" s="243"/>
      <c r="JL563" s="243"/>
      <c r="JM563" s="243"/>
      <c r="JN563" s="243"/>
      <c r="JO563" s="243"/>
      <c r="JP563" s="243"/>
      <c r="JQ563" s="243"/>
      <c r="JR563" s="243"/>
      <c r="JS563" s="243"/>
      <c r="JT563" s="243"/>
      <c r="JU563" s="243"/>
      <c r="JV563" s="243"/>
      <c r="JW563" s="243"/>
      <c r="JX563" s="243"/>
      <c r="JY563" s="243"/>
      <c r="JZ563" s="243"/>
      <c r="KA563" s="243"/>
      <c r="KB563" s="243"/>
      <c r="KC563" s="243"/>
      <c r="KD563" s="243"/>
      <c r="KE563" s="243"/>
      <c r="KF563" s="243"/>
      <c r="KG563" s="243"/>
      <c r="KH563" s="243"/>
      <c r="KI563" s="243"/>
      <c r="KJ563" s="243"/>
      <c r="KK563" s="243"/>
      <c r="KL563" s="243"/>
      <c r="KM563" s="243"/>
      <c r="KN563" s="243"/>
      <c r="KO563" s="243"/>
      <c r="KP563" s="243"/>
      <c r="KQ563" s="243"/>
      <c r="KR563" s="243"/>
      <c r="KS563" s="243"/>
      <c r="KT563" s="243"/>
      <c r="KU563" s="243"/>
      <c r="KV563" s="243"/>
      <c r="KW563" s="243"/>
      <c r="KX563" s="243"/>
      <c r="KY563" s="243"/>
      <c r="KZ563" s="243"/>
      <c r="LA563" s="243"/>
      <c r="LB563" s="243"/>
      <c r="LC563" s="243"/>
      <c r="LD563" s="243"/>
      <c r="LE563" s="243"/>
      <c r="LF563" s="243"/>
      <c r="LG563" s="243"/>
      <c r="LH563" s="243"/>
      <c r="LI563" s="243"/>
      <c r="LJ563" s="243"/>
      <c r="LK563" s="243"/>
      <c r="LL563" s="243"/>
      <c r="LM563" s="243"/>
      <c r="LN563" s="243"/>
      <c r="LO563" s="243"/>
      <c r="LP563" s="243"/>
      <c r="LQ563" s="243"/>
      <c r="LR563" s="243"/>
      <c r="LS563" s="243"/>
      <c r="LT563" s="243"/>
      <c r="LU563" s="243"/>
      <c r="LV563" s="243"/>
      <c r="LW563" s="243"/>
      <c r="LX563" s="243"/>
      <c r="LY563" s="243"/>
      <c r="LZ563" s="243"/>
      <c r="MA563" s="243"/>
      <c r="MB563" s="243"/>
      <c r="MC563" s="243"/>
      <c r="MD563" s="243"/>
      <c r="ME563" s="243"/>
      <c r="MF563" s="243"/>
      <c r="MG563" s="243"/>
      <c r="MH563" s="243"/>
      <c r="MI563" s="243"/>
      <c r="MJ563" s="243"/>
      <c r="MK563" s="243"/>
      <c r="ML563" s="243"/>
      <c r="MM563" s="243"/>
      <c r="MN563" s="243"/>
      <c r="MO563" s="243"/>
      <c r="MP563" s="243"/>
      <c r="MQ563" s="243"/>
      <c r="MR563" s="243"/>
      <c r="MS563" s="243"/>
      <c r="MT563" s="243"/>
      <c r="MU563" s="243"/>
      <c r="MV563" s="243"/>
      <c r="MW563" s="243"/>
      <c r="MX563" s="243"/>
      <c r="MY563" s="243"/>
      <c r="MZ563" s="243"/>
      <c r="NA563" s="243"/>
      <c r="NB563" s="243"/>
      <c r="NC563" s="243"/>
      <c r="ND563" s="243"/>
      <c r="NE563" s="243"/>
      <c r="NF563" s="243"/>
      <c r="NG563" s="243"/>
      <c r="NH563" s="243"/>
      <c r="NI563" s="243"/>
      <c r="NJ563" s="243"/>
      <c r="NK563" s="243"/>
      <c r="NL563" s="243"/>
      <c r="NM563" s="243"/>
      <c r="NN563" s="243"/>
      <c r="NO563" s="243"/>
      <c r="NP563" s="243"/>
      <c r="NQ563" s="243"/>
      <c r="NR563" s="243"/>
      <c r="NS563" s="243"/>
      <c r="NT563" s="243"/>
      <c r="NU563" s="243"/>
      <c r="NV563" s="243"/>
      <c r="NW563" s="243"/>
      <c r="NX563" s="243"/>
      <c r="NY563" s="243"/>
      <c r="NZ563" s="243"/>
      <c r="OA563" s="243"/>
      <c r="OB563" s="243"/>
      <c r="OC563" s="243"/>
      <c r="OD563" s="243"/>
      <c r="OE563" s="243"/>
      <c r="OF563" s="243"/>
      <c r="OG563" s="243"/>
      <c r="OH563" s="243"/>
      <c r="OI563" s="243"/>
      <c r="OJ563" s="243"/>
      <c r="OK563" s="243"/>
      <c r="OL563" s="243"/>
      <c r="OM563" s="243"/>
      <c r="ON563" s="243"/>
      <c r="OO563" s="243"/>
      <c r="OP563" s="243"/>
      <c r="OQ563" s="243"/>
      <c r="OR563" s="243"/>
      <c r="OS563" s="243"/>
      <c r="OT563" s="243"/>
      <c r="OU563" s="243"/>
      <c r="OV563" s="243"/>
      <c r="OW563" s="243"/>
      <c r="OX563" s="243"/>
      <c r="OY563" s="243"/>
      <c r="OZ563" s="243"/>
      <c r="PA563" s="243"/>
      <c r="PB563" s="243"/>
      <c r="PC563" s="243"/>
      <c r="PD563" s="243"/>
      <c r="PE563" s="243"/>
      <c r="PF563" s="243"/>
      <c r="PG563" s="243"/>
      <c r="PH563" s="243"/>
      <c r="PI563" s="243"/>
      <c r="PJ563" s="243"/>
      <c r="PK563" s="243"/>
      <c r="PL563" s="243"/>
      <c r="PM563" s="243"/>
      <c r="PN563" s="243"/>
      <c r="PO563" s="243"/>
      <c r="PP563" s="243"/>
      <c r="PQ563" s="243"/>
      <c r="PR563" s="243"/>
      <c r="PS563" s="243"/>
      <c r="PT563" s="243"/>
      <c r="PU563" s="243"/>
      <c r="PV563" s="243"/>
      <c r="PW563" s="243"/>
      <c r="PX563" s="243"/>
      <c r="PY563" s="243"/>
      <c r="PZ563" s="243"/>
      <c r="QA563" s="243"/>
      <c r="QB563" s="243"/>
      <c r="QC563" s="243"/>
      <c r="QD563" s="243"/>
      <c r="QE563" s="243"/>
      <c r="QF563" s="243"/>
      <c r="QG563" s="243"/>
      <c r="QH563" s="243"/>
      <c r="QI563" s="243"/>
      <c r="QJ563" s="243"/>
      <c r="QK563" s="243"/>
      <c r="QL563" s="243"/>
      <c r="QM563" s="243"/>
      <c r="QN563" s="243"/>
      <c r="QO563" s="243"/>
      <c r="QP563" s="243"/>
      <c r="QQ563" s="243"/>
      <c r="QR563" s="243"/>
      <c r="QS563" s="243"/>
      <c r="QT563" s="243"/>
      <c r="QU563" s="243"/>
      <c r="QV563" s="243"/>
      <c r="QW563" s="243"/>
      <c r="QX563" s="243"/>
      <c r="QY563" s="243"/>
      <c r="QZ563" s="243"/>
      <c r="RA563" s="243"/>
      <c r="RB563" s="243"/>
      <c r="RC563" s="243"/>
      <c r="RD563" s="243"/>
      <c r="RE563" s="243"/>
      <c r="RF563" s="243"/>
      <c r="RG563" s="243"/>
      <c r="RH563" s="243"/>
      <c r="RI563" s="243"/>
      <c r="RJ563" s="243"/>
      <c r="RK563" s="243"/>
      <c r="RL563" s="243"/>
      <c r="RM563" s="243"/>
      <c r="RN563" s="243"/>
      <c r="RO563" s="243"/>
      <c r="RP563" s="243"/>
      <c r="RQ563" s="243"/>
      <c r="RR563" s="243"/>
      <c r="RS563" s="243"/>
      <c r="RT563" s="243"/>
      <c r="RU563" s="243"/>
      <c r="RV563" s="243"/>
      <c r="RW563" s="243"/>
      <c r="RX563" s="243"/>
      <c r="RY563" s="243"/>
      <c r="RZ563" s="243"/>
      <c r="SA563" s="243"/>
      <c r="SB563" s="243"/>
      <c r="SC563" s="243"/>
      <c r="SD563" s="243"/>
      <c r="SE563" s="243"/>
      <c r="SF563" s="243"/>
      <c r="SG563" s="243"/>
      <c r="SH563" s="243"/>
      <c r="SI563" s="243"/>
      <c r="SJ563" s="243"/>
      <c r="SK563" s="243"/>
      <c r="SL563" s="243"/>
      <c r="SM563" s="243"/>
      <c r="SN563" s="243"/>
      <c r="SO563" s="243"/>
      <c r="SP563" s="243"/>
      <c r="SQ563" s="243"/>
      <c r="SR563" s="243"/>
      <c r="SS563" s="243"/>
      <c r="ST563" s="243"/>
      <c r="SU563" s="243"/>
      <c r="SV563" s="243"/>
      <c r="SW563" s="243"/>
      <c r="SX563" s="243"/>
      <c r="SY563" s="243"/>
      <c r="SZ563" s="243"/>
      <c r="TA563" s="243"/>
      <c r="TB563" s="243"/>
      <c r="TC563" s="243"/>
      <c r="TD563" s="243"/>
      <c r="TE563" s="243"/>
      <c r="TF563" s="243"/>
      <c r="TG563" s="243"/>
      <c r="TH563" s="243"/>
      <c r="TI563" s="243"/>
      <c r="TJ563" s="243"/>
      <c r="TK563" s="243"/>
      <c r="TL563" s="243"/>
      <c r="TM563" s="243"/>
      <c r="TN563" s="243"/>
      <c r="TO563" s="243"/>
      <c r="TP563" s="243"/>
      <c r="TQ563" s="243"/>
      <c r="TR563" s="243"/>
      <c r="TS563" s="243"/>
      <c r="TT563" s="243"/>
      <c r="TU563" s="243"/>
      <c r="TV563" s="243"/>
      <c r="TW563" s="243"/>
      <c r="TX563" s="243"/>
      <c r="TY563" s="243"/>
      <c r="TZ563" s="243"/>
      <c r="UA563" s="243"/>
      <c r="UB563" s="243"/>
      <c r="UC563" s="243"/>
      <c r="UD563" s="243"/>
      <c r="UE563" s="243"/>
      <c r="UF563" s="243"/>
      <c r="UG563" s="243"/>
      <c r="UH563" s="243"/>
      <c r="UI563" s="243"/>
      <c r="UJ563" s="243"/>
      <c r="UK563" s="243"/>
      <c r="UL563" s="243"/>
      <c r="UM563" s="243"/>
      <c r="UN563" s="243"/>
      <c r="UO563" s="243"/>
      <c r="UP563" s="243"/>
      <c r="UQ563" s="243"/>
      <c r="UR563" s="243"/>
      <c r="US563" s="243"/>
      <c r="UT563" s="243"/>
      <c r="UU563" s="243"/>
      <c r="UV563" s="243"/>
      <c r="UW563" s="243"/>
      <c r="UX563" s="243"/>
      <c r="UY563" s="243"/>
      <c r="UZ563" s="243"/>
      <c r="VA563" s="243"/>
      <c r="VB563" s="243"/>
      <c r="VC563" s="243"/>
      <c r="VD563" s="243"/>
      <c r="VE563" s="243"/>
      <c r="VF563" s="243"/>
      <c r="VG563" s="243"/>
      <c r="VH563" s="243"/>
      <c r="VI563" s="243"/>
      <c r="VJ563" s="243"/>
      <c r="VK563" s="243"/>
      <c r="VL563" s="243"/>
      <c r="VM563" s="243"/>
      <c r="VN563" s="243"/>
      <c r="VO563" s="243"/>
      <c r="VP563" s="243"/>
      <c r="VQ563" s="243"/>
      <c r="VR563" s="243"/>
      <c r="VS563" s="243"/>
      <c r="VT563" s="243"/>
      <c r="VU563" s="243"/>
      <c r="VV563" s="243"/>
      <c r="VW563" s="243"/>
      <c r="VX563" s="243"/>
      <c r="VY563" s="243"/>
      <c r="VZ563" s="243"/>
      <c r="WA563" s="243"/>
      <c r="WB563" s="243"/>
      <c r="WC563" s="243"/>
      <c r="WD563" s="243"/>
      <c r="WE563" s="243"/>
      <c r="WF563" s="243"/>
      <c r="WG563" s="243"/>
      <c r="WH563" s="243"/>
      <c r="WI563" s="243"/>
      <c r="WJ563" s="243"/>
      <c r="WK563" s="243"/>
      <c r="WL563" s="243"/>
      <c r="WM563" s="243"/>
      <c r="WN563" s="243"/>
      <c r="WO563" s="243"/>
      <c r="WP563" s="243"/>
      <c r="WQ563" s="243"/>
      <c r="WR563" s="243"/>
      <c r="WS563" s="243"/>
      <c r="WT563" s="243"/>
      <c r="WU563" s="243"/>
      <c r="WV563" s="243"/>
      <c r="WW563" s="243"/>
      <c r="WX563" s="243"/>
      <c r="WY563" s="243"/>
      <c r="WZ563" s="243"/>
      <c r="XA563" s="243"/>
      <c r="XB563" s="243"/>
      <c r="XC563" s="243"/>
      <c r="XD563" s="243"/>
      <c r="XE563" s="243"/>
      <c r="XF563" s="243"/>
      <c r="XG563" s="243"/>
      <c r="XH563" s="243"/>
      <c r="XI563" s="243"/>
      <c r="XJ563" s="243"/>
      <c r="XK563" s="243"/>
      <c r="XL563" s="243"/>
      <c r="XM563" s="243"/>
      <c r="XN563" s="243"/>
      <c r="XO563" s="243"/>
      <c r="XP563" s="243"/>
      <c r="XQ563" s="243"/>
      <c r="XR563" s="243"/>
      <c r="XS563" s="243"/>
      <c r="XT563" s="243"/>
      <c r="XU563" s="243"/>
      <c r="XV563" s="243"/>
      <c r="XW563" s="243"/>
      <c r="XX563" s="243"/>
      <c r="XY563" s="243"/>
      <c r="XZ563" s="243"/>
      <c r="YA563" s="243"/>
      <c r="YB563" s="243"/>
      <c r="YC563" s="243"/>
      <c r="YD563" s="243"/>
      <c r="YE563" s="243"/>
      <c r="YF563" s="243"/>
      <c r="YG563" s="243"/>
      <c r="YH563" s="243"/>
      <c r="YI563" s="243"/>
      <c r="YJ563" s="243"/>
      <c r="YK563" s="243"/>
      <c r="YL563" s="243"/>
      <c r="YM563" s="243"/>
      <c r="YN563" s="243"/>
      <c r="YO563" s="243"/>
      <c r="YP563" s="243"/>
      <c r="YQ563" s="243"/>
      <c r="YR563" s="243"/>
      <c r="YS563" s="243"/>
      <c r="YT563" s="243"/>
      <c r="YU563" s="243"/>
      <c r="YV563" s="243"/>
      <c r="YW563" s="243"/>
      <c r="YX563" s="243"/>
      <c r="YY563" s="243"/>
      <c r="YZ563" s="243"/>
      <c r="ZA563" s="243"/>
      <c r="ZB563" s="243"/>
      <c r="ZC563" s="243"/>
      <c r="ZD563" s="243"/>
      <c r="ZE563" s="243"/>
      <c r="ZF563" s="243"/>
      <c r="ZG563" s="243"/>
      <c r="ZH563" s="243"/>
      <c r="ZI563" s="243"/>
      <c r="ZJ563" s="243"/>
      <c r="ZK563" s="243"/>
      <c r="ZL563" s="243"/>
      <c r="ZM563" s="243"/>
      <c r="ZN563" s="243"/>
      <c r="ZO563" s="243"/>
      <c r="ZP563" s="243"/>
      <c r="ZQ563" s="243"/>
      <c r="ZR563" s="243"/>
      <c r="ZS563" s="243"/>
      <c r="ZT563" s="243"/>
      <c r="ZU563" s="243"/>
      <c r="ZV563" s="243"/>
      <c r="ZW563" s="243"/>
      <c r="ZX563" s="243"/>
      <c r="ZY563" s="243"/>
      <c r="ZZ563" s="243"/>
      <c r="AAA563" s="243"/>
      <c r="AAB563" s="243"/>
      <c r="AAC563" s="243"/>
      <c r="AAD563" s="243"/>
      <c r="AAE563" s="243"/>
      <c r="AAF563" s="243"/>
      <c r="AAG563" s="243"/>
      <c r="AAH563" s="243"/>
      <c r="AAI563" s="243"/>
      <c r="AAJ563" s="243"/>
      <c r="AAK563" s="243"/>
      <c r="AAL563" s="243"/>
      <c r="AAM563" s="243"/>
      <c r="AAN563" s="243"/>
      <c r="AAO563" s="243"/>
      <c r="AAP563" s="243"/>
      <c r="AAQ563" s="243"/>
      <c r="AAR563" s="243"/>
      <c r="AAS563" s="243"/>
      <c r="AAT563" s="243"/>
      <c r="AAU563" s="243"/>
      <c r="AAV563" s="243"/>
      <c r="AAW563" s="243"/>
      <c r="AAX563" s="243"/>
      <c r="AAY563" s="243"/>
      <c r="AAZ563" s="243"/>
      <c r="ABA563" s="243"/>
      <c r="ABB563" s="243"/>
      <c r="ABC563" s="243"/>
      <c r="ABD563" s="243"/>
      <c r="ABE563" s="243"/>
      <c r="ABF563" s="243"/>
      <c r="ABG563" s="243"/>
      <c r="ABH563" s="243"/>
      <c r="ABI563" s="243"/>
      <c r="ABJ563" s="243"/>
      <c r="ABK563" s="243"/>
      <c r="ABL563" s="243"/>
      <c r="ABM563" s="243"/>
      <c r="ABN563" s="243"/>
      <c r="ABO563" s="243"/>
      <c r="ABP563" s="243"/>
      <c r="ABQ563" s="243"/>
      <c r="ABR563" s="243"/>
      <c r="ABS563" s="243"/>
      <c r="ABT563" s="243"/>
      <c r="ABU563" s="243"/>
      <c r="ABV563" s="243"/>
      <c r="ABW563" s="243"/>
      <c r="ABX563" s="243"/>
      <c r="ABY563" s="243"/>
      <c r="ABZ563" s="243"/>
      <c r="ACA563" s="243"/>
      <c r="ACB563" s="243"/>
      <c r="ACC563" s="243"/>
      <c r="ACD563" s="243"/>
      <c r="ACE563" s="243"/>
      <c r="ACF563" s="243"/>
      <c r="ACG563" s="243"/>
      <c r="ACH563" s="243"/>
      <c r="ACI563" s="243"/>
      <c r="ACJ563" s="243"/>
      <c r="ACK563" s="243"/>
      <c r="ACL563" s="243"/>
      <c r="ACM563" s="243"/>
      <c r="ACN563" s="243"/>
      <c r="ACO563" s="243"/>
      <c r="ACP563" s="243"/>
      <c r="ACQ563" s="243"/>
      <c r="ACR563" s="243"/>
      <c r="ACS563" s="243"/>
      <c r="ACT563" s="243"/>
      <c r="ACU563" s="243"/>
      <c r="ACV563" s="243"/>
      <c r="ACW563" s="243"/>
      <c r="ACX563" s="243"/>
      <c r="ACY563" s="243"/>
      <c r="ACZ563" s="243"/>
      <c r="ADA563" s="243"/>
      <c r="ADB563" s="243"/>
      <c r="ADC563" s="243"/>
      <c r="ADD563" s="243"/>
      <c r="ADE563" s="243"/>
      <c r="ADF563" s="243"/>
      <c r="ADG563" s="243"/>
      <c r="ADH563" s="243"/>
      <c r="ADI563" s="243"/>
      <c r="ADJ563" s="243"/>
      <c r="ADK563" s="243"/>
      <c r="ADL563" s="243"/>
      <c r="ADM563" s="243"/>
      <c r="ADN563" s="243"/>
      <c r="ADO563" s="243"/>
      <c r="ADP563" s="243"/>
      <c r="ADQ563" s="243"/>
      <c r="ADR563" s="243"/>
      <c r="ADS563" s="243"/>
      <c r="ADT563" s="243"/>
      <c r="ADU563" s="243"/>
      <c r="ADV563" s="243"/>
      <c r="ADW563" s="243"/>
      <c r="ADX563" s="243"/>
      <c r="ADY563" s="243"/>
      <c r="ADZ563" s="243"/>
      <c r="AEA563" s="243"/>
      <c r="AEB563" s="243"/>
      <c r="AEC563" s="243"/>
      <c r="AED563" s="243"/>
      <c r="AEE563" s="243"/>
      <c r="AEF563" s="243"/>
      <c r="AEG563" s="243"/>
      <c r="AEH563" s="243"/>
      <c r="AEI563" s="243"/>
      <c r="AEJ563" s="243"/>
      <c r="AEK563" s="243"/>
      <c r="AEL563" s="243"/>
      <c r="AEM563" s="243"/>
      <c r="AEN563" s="243"/>
      <c r="AEO563" s="243"/>
      <c r="AEP563" s="243"/>
      <c r="AEQ563" s="243"/>
      <c r="AER563" s="243"/>
      <c r="AES563" s="243"/>
      <c r="AET563" s="243"/>
      <c r="AEU563" s="243"/>
      <c r="AEV563" s="243"/>
      <c r="AEW563" s="243"/>
      <c r="AEX563" s="243"/>
      <c r="AEY563" s="243"/>
      <c r="AEZ563" s="243"/>
      <c r="AFA563" s="243"/>
      <c r="AFB563" s="243"/>
      <c r="AFC563" s="243"/>
      <c r="AFD563" s="243"/>
      <c r="AFE563" s="243"/>
      <c r="AFF563" s="243"/>
      <c r="AFG563" s="243"/>
      <c r="AFH563" s="243"/>
      <c r="AFI563" s="243"/>
      <c r="AFJ563" s="243"/>
      <c r="AFK563" s="243"/>
      <c r="AFL563" s="243"/>
      <c r="AFM563" s="243"/>
      <c r="AFN563" s="243"/>
      <c r="AFO563" s="243"/>
      <c r="AFP563" s="243"/>
      <c r="AFQ563" s="243"/>
      <c r="AFR563" s="243"/>
      <c r="AFS563" s="243"/>
      <c r="AFT563" s="243"/>
      <c r="AFU563" s="243"/>
      <c r="AFV563" s="243"/>
      <c r="AFW563" s="243"/>
      <c r="AFX563" s="243"/>
      <c r="AFY563" s="243"/>
      <c r="AFZ563" s="243"/>
      <c r="AGA563" s="243"/>
      <c r="AGB563" s="243"/>
      <c r="AGC563" s="243"/>
      <c r="AGD563" s="243"/>
      <c r="AGE563" s="243"/>
      <c r="AGF563" s="243"/>
      <c r="AGG563" s="243"/>
      <c r="AGH563" s="243"/>
      <c r="AGI563" s="243"/>
      <c r="AGJ563" s="243"/>
      <c r="AGK563" s="243"/>
      <c r="AGL563" s="243"/>
      <c r="AGM563" s="243"/>
      <c r="AGN563" s="243"/>
      <c r="AGO563" s="243"/>
      <c r="AGP563" s="243"/>
      <c r="AGQ563" s="243"/>
      <c r="AGR563" s="243"/>
      <c r="AGS563" s="243"/>
      <c r="AGT563" s="243"/>
      <c r="AGU563" s="243"/>
      <c r="AGV563" s="243"/>
      <c r="AGW563" s="243"/>
      <c r="AGX563" s="243"/>
      <c r="AGY563" s="243"/>
      <c r="AGZ563" s="243"/>
      <c r="AHA563" s="243"/>
      <c r="AHB563" s="243"/>
      <c r="AHC563" s="243"/>
      <c r="AHD563" s="243"/>
      <c r="AHE563" s="243"/>
      <c r="AHF563" s="243"/>
      <c r="AHG563" s="243"/>
      <c r="AHH563" s="243"/>
      <c r="AHI563" s="243"/>
      <c r="AHJ563" s="243"/>
      <c r="AHK563" s="243"/>
      <c r="AHL563" s="243"/>
      <c r="AHM563" s="243"/>
      <c r="AHN563" s="243"/>
      <c r="AHO563" s="243"/>
      <c r="AHP563" s="243"/>
      <c r="AHQ563" s="243"/>
      <c r="AHR563" s="243"/>
      <c r="AHS563" s="243"/>
      <c r="AHT563" s="243"/>
      <c r="AHU563" s="243"/>
      <c r="AHV563" s="243"/>
      <c r="AHW563" s="243"/>
      <c r="AHX563" s="243"/>
      <c r="AHY563" s="243"/>
      <c r="AHZ563" s="243"/>
      <c r="AIA563" s="243"/>
      <c r="AIB563" s="243"/>
      <c r="AIC563" s="243"/>
      <c r="AID563" s="243"/>
      <c r="AIE563" s="243"/>
      <c r="AIF563" s="243"/>
      <c r="AIG563" s="243"/>
      <c r="AIH563" s="243"/>
      <c r="AII563" s="243"/>
      <c r="AIJ563" s="243"/>
      <c r="AIK563" s="243"/>
      <c r="AIL563" s="243"/>
      <c r="AIM563" s="243"/>
      <c r="AIN563" s="243"/>
      <c r="AIO563" s="243"/>
      <c r="AIP563" s="243"/>
      <c r="AIQ563" s="243"/>
      <c r="AIR563" s="243"/>
      <c r="AIS563" s="243"/>
      <c r="AIT563" s="243"/>
      <c r="AIU563" s="243"/>
      <c r="AIV563" s="243"/>
      <c r="AIW563" s="243"/>
      <c r="AIX563" s="243"/>
      <c r="AIY563" s="243"/>
      <c r="AIZ563" s="243"/>
      <c r="AJA563" s="243"/>
      <c r="AJB563" s="243"/>
      <c r="AJC563" s="243"/>
      <c r="AJD563" s="243"/>
      <c r="AJE563" s="243"/>
      <c r="AJF563" s="243"/>
      <c r="AJG563" s="243"/>
      <c r="AJH563" s="243"/>
      <c r="AJI563" s="243"/>
      <c r="AJJ563" s="243"/>
      <c r="AJK563" s="243"/>
      <c r="AJL563" s="243"/>
      <c r="AJM563" s="243"/>
      <c r="AJN563" s="243"/>
      <c r="AJO563" s="243"/>
      <c r="AJP563" s="243"/>
      <c r="AJQ563" s="243"/>
      <c r="AJR563" s="243"/>
      <c r="AJS563" s="243"/>
      <c r="AJT563" s="243"/>
      <c r="AJU563" s="243"/>
      <c r="AJV563" s="243"/>
      <c r="AJW563" s="243"/>
      <c r="AJX563" s="243"/>
      <c r="AJY563" s="243"/>
      <c r="AJZ563" s="243"/>
      <c r="AKA563" s="243"/>
      <c r="AKB563" s="243"/>
      <c r="AKC563" s="243"/>
      <c r="AKD563" s="243"/>
      <c r="AKE563" s="243"/>
      <c r="AKF563" s="243"/>
      <c r="AKG563" s="243"/>
      <c r="AKH563" s="243"/>
      <c r="AKI563" s="243"/>
      <c r="AKJ563" s="243"/>
      <c r="AKK563" s="243"/>
      <c r="AKL563" s="243"/>
      <c r="AKM563" s="243"/>
      <c r="AKN563" s="243"/>
      <c r="AKO563" s="243"/>
      <c r="AKP563" s="243"/>
      <c r="AKQ563" s="243"/>
      <c r="AKR563" s="243"/>
      <c r="AKS563" s="243"/>
      <c r="AKT563" s="243"/>
      <c r="AKU563" s="243"/>
      <c r="AKV563" s="243"/>
      <c r="AKW563" s="243"/>
      <c r="AKX563" s="243"/>
      <c r="AKY563" s="243"/>
      <c r="AKZ563" s="243"/>
      <c r="ALA563" s="243"/>
      <c r="ALB563" s="243"/>
      <c r="ALC563" s="243"/>
      <c r="ALD563" s="243"/>
      <c r="ALE563" s="243"/>
      <c r="ALF563" s="243"/>
      <c r="ALG563" s="243"/>
      <c r="ALH563" s="243"/>
      <c r="ALI563" s="243"/>
      <c r="ALJ563" s="243"/>
      <c r="ALK563" s="243"/>
      <c r="ALL563" s="243"/>
      <c r="ALM563" s="243"/>
      <c r="ALN563" s="243"/>
      <c r="ALO563" s="243"/>
      <c r="ALP563" s="243"/>
      <c r="ALQ563" s="243"/>
      <c r="ALR563" s="243"/>
      <c r="ALS563" s="243"/>
      <c r="ALT563" s="243"/>
      <c r="ALU563" s="243"/>
      <c r="ALV563" s="243"/>
      <c r="ALW563" s="243"/>
      <c r="ALX563" s="243"/>
      <c r="ALY563" s="243"/>
      <c r="ALZ563" s="243"/>
      <c r="AMA563" s="243"/>
      <c r="AMB563" s="243"/>
      <c r="AMC563" s="243"/>
      <c r="AMD563" s="243"/>
      <c r="AME563" s="243"/>
      <c r="AMF563" s="243"/>
      <c r="AMG563" s="243"/>
      <c r="AMH563" s="243"/>
      <c r="AMI563" s="243"/>
      <c r="AMJ563" s="243"/>
      <c r="AMK563" s="244"/>
    </row>
    <row r="564" spans="1:1025" hidden="1">
      <c r="A564" s="243"/>
      <c r="B564" s="431"/>
      <c r="C564" s="247"/>
      <c r="D564" s="246"/>
      <c r="E564" s="246"/>
      <c r="F564" s="248"/>
      <c r="G564" s="247"/>
      <c r="H564" s="247"/>
      <c r="I564" s="247"/>
      <c r="J564" s="247"/>
      <c r="K564" s="247"/>
      <c r="L564" s="247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  <c r="AH564" s="243"/>
      <c r="AI564" s="243"/>
      <c r="AJ564" s="243"/>
      <c r="AK564" s="243"/>
      <c r="AL564" s="243"/>
      <c r="AM564" s="243"/>
      <c r="AN564" s="243"/>
      <c r="AO564" s="243"/>
      <c r="AP564" s="243"/>
      <c r="AQ564" s="243"/>
      <c r="AR564" s="243"/>
      <c r="AS564" s="243"/>
      <c r="AT564" s="243"/>
      <c r="AU564" s="243"/>
      <c r="AV564" s="243"/>
      <c r="AW564" s="243"/>
      <c r="AX564" s="243"/>
      <c r="AY564" s="243"/>
      <c r="AZ564" s="243"/>
      <c r="BA564" s="243"/>
      <c r="BB564" s="243"/>
      <c r="BC564" s="243"/>
      <c r="BD564" s="243"/>
      <c r="BE564" s="243"/>
      <c r="BF564" s="243"/>
      <c r="BG564" s="243"/>
      <c r="BH564" s="243"/>
      <c r="BI564" s="243"/>
      <c r="BJ564" s="243"/>
      <c r="BK564" s="243"/>
      <c r="BL564" s="243"/>
      <c r="BM564" s="243"/>
      <c r="BN564" s="243"/>
      <c r="BO564" s="243"/>
      <c r="BP564" s="243"/>
      <c r="BQ564" s="243"/>
      <c r="BR564" s="243"/>
      <c r="BS564" s="243"/>
      <c r="BT564" s="243"/>
      <c r="BU564" s="243"/>
      <c r="BV564" s="243"/>
      <c r="BW564" s="243"/>
      <c r="BX564" s="243"/>
      <c r="BY564" s="243"/>
      <c r="BZ564" s="243"/>
      <c r="CA564" s="243"/>
      <c r="CB564" s="243"/>
      <c r="CC564" s="243"/>
      <c r="CD564" s="243"/>
      <c r="CE564" s="243"/>
      <c r="CF564" s="243"/>
      <c r="CG564" s="243"/>
      <c r="CH564" s="243"/>
      <c r="CI564" s="243"/>
      <c r="CJ564" s="243"/>
      <c r="CK564" s="243"/>
      <c r="CL564" s="243"/>
      <c r="CM564" s="243"/>
      <c r="CN564" s="243"/>
      <c r="CO564" s="243"/>
      <c r="CP564" s="243"/>
      <c r="CQ564" s="243"/>
      <c r="CR564" s="243"/>
      <c r="CS564" s="243"/>
      <c r="CT564" s="243"/>
      <c r="CU564" s="243"/>
      <c r="CV564" s="243"/>
      <c r="CW564" s="243"/>
      <c r="CX564" s="243"/>
      <c r="CY564" s="243"/>
      <c r="CZ564" s="243"/>
      <c r="DA564" s="243"/>
      <c r="DB564" s="243"/>
      <c r="DC564" s="243"/>
      <c r="DD564" s="243"/>
      <c r="DE564" s="243"/>
      <c r="DF564" s="243"/>
      <c r="DG564" s="243"/>
      <c r="DH564" s="243"/>
      <c r="DI564" s="243"/>
      <c r="DJ564" s="243"/>
      <c r="DK564" s="243"/>
      <c r="DL564" s="243"/>
      <c r="DM564" s="243"/>
      <c r="DN564" s="243"/>
      <c r="DO564" s="243"/>
      <c r="DP564" s="243"/>
      <c r="DQ564" s="243"/>
      <c r="DR564" s="243"/>
      <c r="DS564" s="243"/>
      <c r="DT564" s="243"/>
      <c r="DU564" s="243"/>
      <c r="DV564" s="243"/>
      <c r="DW564" s="243"/>
      <c r="DX564" s="243"/>
      <c r="DY564" s="243"/>
      <c r="DZ564" s="243"/>
      <c r="EA564" s="243"/>
      <c r="EB564" s="243"/>
      <c r="EC564" s="243"/>
      <c r="ED564" s="243"/>
      <c r="EE564" s="243"/>
      <c r="EF564" s="243"/>
      <c r="EG564" s="243"/>
      <c r="EH564" s="243"/>
      <c r="EI564" s="243"/>
      <c r="EJ564" s="243"/>
      <c r="EK564" s="243"/>
      <c r="EL564" s="243"/>
      <c r="EM564" s="243"/>
      <c r="EN564" s="243"/>
      <c r="EO564" s="243"/>
      <c r="EP564" s="243"/>
      <c r="EQ564" s="243"/>
      <c r="ER564" s="243"/>
      <c r="ES564" s="243"/>
      <c r="ET564" s="243"/>
      <c r="EU564" s="243"/>
      <c r="EV564" s="243"/>
      <c r="EW564" s="243"/>
      <c r="EX564" s="243"/>
      <c r="EY564" s="243"/>
      <c r="EZ564" s="243"/>
      <c r="FA564" s="243"/>
      <c r="FB564" s="243"/>
      <c r="FC564" s="243"/>
      <c r="FD564" s="243"/>
      <c r="FE564" s="243"/>
      <c r="FF564" s="243"/>
      <c r="FG564" s="243"/>
      <c r="FH564" s="243"/>
      <c r="FI564" s="243"/>
      <c r="FJ564" s="243"/>
      <c r="FK564" s="243"/>
      <c r="FL564" s="243"/>
      <c r="FM564" s="243"/>
      <c r="FN564" s="243"/>
      <c r="FO564" s="243"/>
      <c r="FP564" s="243"/>
      <c r="FQ564" s="243"/>
      <c r="FR564" s="243"/>
      <c r="FS564" s="243"/>
      <c r="FT564" s="243"/>
      <c r="FU564" s="243"/>
      <c r="FV564" s="243"/>
      <c r="FW564" s="243"/>
      <c r="FX564" s="243"/>
      <c r="FY564" s="243"/>
      <c r="FZ564" s="243"/>
      <c r="GA564" s="243"/>
      <c r="GB564" s="243"/>
      <c r="GC564" s="243"/>
      <c r="GD564" s="243"/>
      <c r="GE564" s="243"/>
      <c r="GF564" s="243"/>
      <c r="GG564" s="243"/>
      <c r="GH564" s="243"/>
      <c r="GI564" s="243"/>
      <c r="GJ564" s="243"/>
      <c r="GK564" s="243"/>
      <c r="GL564" s="243"/>
      <c r="GM564" s="243"/>
      <c r="GN564" s="243"/>
      <c r="GO564" s="243"/>
      <c r="GP564" s="243"/>
      <c r="GQ564" s="243"/>
      <c r="GR564" s="243"/>
      <c r="GS564" s="243"/>
      <c r="GT564" s="243"/>
      <c r="GU564" s="243"/>
      <c r="GV564" s="243"/>
      <c r="GW564" s="243"/>
      <c r="GX564" s="243"/>
      <c r="GY564" s="243"/>
      <c r="GZ564" s="243"/>
      <c r="HA564" s="243"/>
      <c r="HB564" s="243"/>
      <c r="HC564" s="243"/>
      <c r="HD564" s="243"/>
      <c r="HE564" s="243"/>
      <c r="HF564" s="243"/>
      <c r="HG564" s="243"/>
      <c r="HH564" s="243"/>
      <c r="HI564" s="243"/>
      <c r="HJ564" s="243"/>
      <c r="HK564" s="243"/>
      <c r="HL564" s="243"/>
      <c r="HM564" s="243"/>
      <c r="HN564" s="243"/>
      <c r="HO564" s="243"/>
      <c r="HP564" s="243"/>
      <c r="HQ564" s="243"/>
      <c r="HR564" s="243"/>
      <c r="HS564" s="243"/>
      <c r="HT564" s="243"/>
      <c r="HU564" s="243"/>
      <c r="HV564" s="243"/>
      <c r="HW564" s="243"/>
      <c r="HX564" s="243"/>
      <c r="HY564" s="243"/>
      <c r="HZ564" s="243"/>
      <c r="IA564" s="243"/>
      <c r="IB564" s="243"/>
      <c r="IC564" s="243"/>
      <c r="ID564" s="243"/>
      <c r="IE564" s="243"/>
      <c r="IF564" s="243"/>
      <c r="IG564" s="243"/>
      <c r="IH564" s="243"/>
      <c r="II564" s="243"/>
      <c r="IJ564" s="243"/>
      <c r="IK564" s="243"/>
      <c r="IL564" s="243"/>
      <c r="IM564" s="243"/>
      <c r="IN564" s="243"/>
      <c r="IO564" s="243"/>
      <c r="IP564" s="243"/>
      <c r="IQ564" s="243"/>
      <c r="IR564" s="243"/>
      <c r="IS564" s="243"/>
      <c r="IT564" s="243"/>
      <c r="IU564" s="243"/>
      <c r="IV564" s="243"/>
      <c r="IW564" s="243"/>
      <c r="IX564" s="243"/>
      <c r="IY564" s="243"/>
      <c r="IZ564" s="243"/>
      <c r="JA564" s="243"/>
      <c r="JB564" s="243"/>
      <c r="JC564" s="243"/>
      <c r="JD564" s="243"/>
      <c r="JE564" s="243"/>
      <c r="JF564" s="243"/>
      <c r="JG564" s="243"/>
      <c r="JH564" s="243"/>
      <c r="JI564" s="243"/>
      <c r="JJ564" s="243"/>
      <c r="JK564" s="243"/>
      <c r="JL564" s="243"/>
      <c r="JM564" s="243"/>
      <c r="JN564" s="243"/>
      <c r="JO564" s="243"/>
      <c r="JP564" s="243"/>
      <c r="JQ564" s="243"/>
      <c r="JR564" s="243"/>
      <c r="JS564" s="243"/>
      <c r="JT564" s="243"/>
      <c r="JU564" s="243"/>
      <c r="JV564" s="243"/>
      <c r="JW564" s="243"/>
      <c r="JX564" s="243"/>
      <c r="JY564" s="243"/>
      <c r="JZ564" s="243"/>
      <c r="KA564" s="243"/>
      <c r="KB564" s="243"/>
      <c r="KC564" s="243"/>
      <c r="KD564" s="243"/>
      <c r="KE564" s="243"/>
      <c r="KF564" s="243"/>
      <c r="KG564" s="243"/>
      <c r="KH564" s="243"/>
      <c r="KI564" s="243"/>
      <c r="KJ564" s="243"/>
      <c r="KK564" s="243"/>
      <c r="KL564" s="243"/>
      <c r="KM564" s="243"/>
      <c r="KN564" s="243"/>
      <c r="KO564" s="243"/>
      <c r="KP564" s="243"/>
      <c r="KQ564" s="243"/>
      <c r="KR564" s="243"/>
      <c r="KS564" s="243"/>
      <c r="KT564" s="243"/>
      <c r="KU564" s="243"/>
      <c r="KV564" s="243"/>
      <c r="KW564" s="243"/>
      <c r="KX564" s="243"/>
      <c r="KY564" s="243"/>
      <c r="KZ564" s="243"/>
      <c r="LA564" s="243"/>
      <c r="LB564" s="243"/>
      <c r="LC564" s="243"/>
      <c r="LD564" s="243"/>
      <c r="LE564" s="243"/>
      <c r="LF564" s="243"/>
      <c r="LG564" s="243"/>
      <c r="LH564" s="243"/>
      <c r="LI564" s="243"/>
      <c r="LJ564" s="243"/>
      <c r="LK564" s="243"/>
      <c r="LL564" s="243"/>
      <c r="LM564" s="243"/>
      <c r="LN564" s="243"/>
      <c r="LO564" s="243"/>
      <c r="LP564" s="243"/>
      <c r="LQ564" s="243"/>
      <c r="LR564" s="243"/>
      <c r="LS564" s="243"/>
      <c r="LT564" s="243"/>
      <c r="LU564" s="243"/>
      <c r="LV564" s="243"/>
      <c r="LW564" s="243"/>
      <c r="LX564" s="243"/>
      <c r="LY564" s="243"/>
      <c r="LZ564" s="243"/>
      <c r="MA564" s="243"/>
      <c r="MB564" s="243"/>
      <c r="MC564" s="243"/>
      <c r="MD564" s="243"/>
      <c r="ME564" s="243"/>
      <c r="MF564" s="243"/>
      <c r="MG564" s="243"/>
      <c r="MH564" s="243"/>
      <c r="MI564" s="243"/>
      <c r="MJ564" s="243"/>
      <c r="MK564" s="243"/>
      <c r="ML564" s="243"/>
      <c r="MM564" s="243"/>
      <c r="MN564" s="243"/>
      <c r="MO564" s="243"/>
      <c r="MP564" s="243"/>
      <c r="MQ564" s="243"/>
      <c r="MR564" s="243"/>
      <c r="MS564" s="243"/>
      <c r="MT564" s="243"/>
      <c r="MU564" s="243"/>
      <c r="MV564" s="243"/>
      <c r="MW564" s="243"/>
      <c r="MX564" s="243"/>
      <c r="MY564" s="243"/>
      <c r="MZ564" s="243"/>
      <c r="NA564" s="243"/>
      <c r="NB564" s="243"/>
      <c r="NC564" s="243"/>
      <c r="ND564" s="243"/>
      <c r="NE564" s="243"/>
      <c r="NF564" s="243"/>
      <c r="NG564" s="243"/>
      <c r="NH564" s="243"/>
      <c r="NI564" s="243"/>
      <c r="NJ564" s="243"/>
      <c r="NK564" s="243"/>
      <c r="NL564" s="243"/>
      <c r="NM564" s="243"/>
      <c r="NN564" s="243"/>
      <c r="NO564" s="243"/>
      <c r="NP564" s="243"/>
      <c r="NQ564" s="243"/>
      <c r="NR564" s="243"/>
      <c r="NS564" s="243"/>
      <c r="NT564" s="243"/>
      <c r="NU564" s="243"/>
      <c r="NV564" s="243"/>
      <c r="NW564" s="243"/>
      <c r="NX564" s="243"/>
      <c r="NY564" s="243"/>
      <c r="NZ564" s="243"/>
      <c r="OA564" s="243"/>
      <c r="OB564" s="243"/>
      <c r="OC564" s="243"/>
      <c r="OD564" s="243"/>
      <c r="OE564" s="243"/>
      <c r="OF564" s="243"/>
      <c r="OG564" s="243"/>
      <c r="OH564" s="243"/>
      <c r="OI564" s="243"/>
      <c r="OJ564" s="243"/>
      <c r="OK564" s="243"/>
      <c r="OL564" s="243"/>
      <c r="OM564" s="243"/>
      <c r="ON564" s="243"/>
      <c r="OO564" s="243"/>
      <c r="OP564" s="243"/>
      <c r="OQ564" s="243"/>
      <c r="OR564" s="243"/>
      <c r="OS564" s="243"/>
      <c r="OT564" s="243"/>
      <c r="OU564" s="243"/>
      <c r="OV564" s="243"/>
      <c r="OW564" s="243"/>
      <c r="OX564" s="243"/>
      <c r="OY564" s="243"/>
      <c r="OZ564" s="243"/>
      <c r="PA564" s="243"/>
      <c r="PB564" s="243"/>
      <c r="PC564" s="243"/>
      <c r="PD564" s="243"/>
      <c r="PE564" s="243"/>
      <c r="PF564" s="243"/>
      <c r="PG564" s="243"/>
      <c r="PH564" s="243"/>
      <c r="PI564" s="243"/>
      <c r="PJ564" s="243"/>
      <c r="PK564" s="243"/>
      <c r="PL564" s="243"/>
      <c r="PM564" s="243"/>
      <c r="PN564" s="243"/>
      <c r="PO564" s="243"/>
      <c r="PP564" s="243"/>
      <c r="PQ564" s="243"/>
      <c r="PR564" s="243"/>
      <c r="PS564" s="243"/>
      <c r="PT564" s="243"/>
      <c r="PU564" s="243"/>
      <c r="PV564" s="243"/>
      <c r="PW564" s="243"/>
      <c r="PX564" s="243"/>
      <c r="PY564" s="243"/>
      <c r="PZ564" s="243"/>
      <c r="QA564" s="243"/>
      <c r="QB564" s="243"/>
      <c r="QC564" s="243"/>
      <c r="QD564" s="243"/>
      <c r="QE564" s="243"/>
      <c r="QF564" s="243"/>
      <c r="QG564" s="243"/>
      <c r="QH564" s="243"/>
      <c r="QI564" s="243"/>
      <c r="QJ564" s="243"/>
      <c r="QK564" s="243"/>
      <c r="QL564" s="243"/>
      <c r="QM564" s="243"/>
      <c r="QN564" s="243"/>
      <c r="QO564" s="243"/>
      <c r="QP564" s="243"/>
      <c r="QQ564" s="243"/>
      <c r="QR564" s="243"/>
      <c r="QS564" s="243"/>
      <c r="QT564" s="243"/>
      <c r="QU564" s="243"/>
      <c r="QV564" s="243"/>
      <c r="QW564" s="243"/>
      <c r="QX564" s="243"/>
      <c r="QY564" s="243"/>
      <c r="QZ564" s="243"/>
      <c r="RA564" s="243"/>
      <c r="RB564" s="243"/>
      <c r="RC564" s="243"/>
      <c r="RD564" s="243"/>
      <c r="RE564" s="243"/>
      <c r="RF564" s="243"/>
      <c r="RG564" s="243"/>
      <c r="RH564" s="243"/>
      <c r="RI564" s="243"/>
      <c r="RJ564" s="243"/>
      <c r="RK564" s="243"/>
      <c r="RL564" s="243"/>
      <c r="RM564" s="243"/>
      <c r="RN564" s="243"/>
      <c r="RO564" s="243"/>
      <c r="RP564" s="243"/>
      <c r="RQ564" s="243"/>
      <c r="RR564" s="243"/>
      <c r="RS564" s="243"/>
      <c r="RT564" s="243"/>
      <c r="RU564" s="243"/>
      <c r="RV564" s="243"/>
      <c r="RW564" s="243"/>
      <c r="RX564" s="243"/>
      <c r="RY564" s="243"/>
      <c r="RZ564" s="243"/>
      <c r="SA564" s="243"/>
      <c r="SB564" s="243"/>
      <c r="SC564" s="243"/>
      <c r="SD564" s="243"/>
      <c r="SE564" s="243"/>
      <c r="SF564" s="243"/>
      <c r="SG564" s="243"/>
      <c r="SH564" s="243"/>
      <c r="SI564" s="243"/>
      <c r="SJ564" s="243"/>
      <c r="SK564" s="243"/>
      <c r="SL564" s="243"/>
      <c r="SM564" s="243"/>
      <c r="SN564" s="243"/>
      <c r="SO564" s="243"/>
      <c r="SP564" s="243"/>
      <c r="SQ564" s="243"/>
      <c r="SR564" s="243"/>
      <c r="SS564" s="243"/>
      <c r="ST564" s="243"/>
      <c r="SU564" s="243"/>
      <c r="SV564" s="243"/>
      <c r="SW564" s="243"/>
      <c r="SX564" s="243"/>
      <c r="SY564" s="243"/>
      <c r="SZ564" s="243"/>
      <c r="TA564" s="243"/>
      <c r="TB564" s="243"/>
      <c r="TC564" s="243"/>
      <c r="TD564" s="243"/>
      <c r="TE564" s="243"/>
      <c r="TF564" s="243"/>
      <c r="TG564" s="243"/>
      <c r="TH564" s="243"/>
      <c r="TI564" s="243"/>
      <c r="TJ564" s="243"/>
      <c r="TK564" s="243"/>
      <c r="TL564" s="243"/>
      <c r="TM564" s="243"/>
      <c r="TN564" s="243"/>
      <c r="TO564" s="243"/>
      <c r="TP564" s="243"/>
      <c r="TQ564" s="243"/>
      <c r="TR564" s="243"/>
      <c r="TS564" s="243"/>
      <c r="TT564" s="243"/>
      <c r="TU564" s="243"/>
      <c r="TV564" s="243"/>
      <c r="TW564" s="243"/>
      <c r="TX564" s="243"/>
      <c r="TY564" s="243"/>
      <c r="TZ564" s="243"/>
      <c r="UA564" s="243"/>
      <c r="UB564" s="243"/>
      <c r="UC564" s="243"/>
      <c r="UD564" s="243"/>
      <c r="UE564" s="243"/>
      <c r="UF564" s="243"/>
      <c r="UG564" s="243"/>
      <c r="UH564" s="243"/>
      <c r="UI564" s="243"/>
      <c r="UJ564" s="243"/>
      <c r="UK564" s="243"/>
      <c r="UL564" s="243"/>
      <c r="UM564" s="243"/>
      <c r="UN564" s="243"/>
      <c r="UO564" s="243"/>
      <c r="UP564" s="243"/>
      <c r="UQ564" s="243"/>
      <c r="UR564" s="243"/>
      <c r="US564" s="243"/>
      <c r="UT564" s="243"/>
      <c r="UU564" s="243"/>
      <c r="UV564" s="243"/>
      <c r="UW564" s="243"/>
      <c r="UX564" s="243"/>
      <c r="UY564" s="243"/>
      <c r="UZ564" s="243"/>
      <c r="VA564" s="243"/>
      <c r="VB564" s="243"/>
      <c r="VC564" s="243"/>
      <c r="VD564" s="243"/>
      <c r="VE564" s="243"/>
      <c r="VF564" s="243"/>
      <c r="VG564" s="243"/>
      <c r="VH564" s="243"/>
      <c r="VI564" s="243"/>
      <c r="VJ564" s="243"/>
      <c r="VK564" s="243"/>
      <c r="VL564" s="243"/>
      <c r="VM564" s="243"/>
      <c r="VN564" s="243"/>
      <c r="VO564" s="243"/>
      <c r="VP564" s="243"/>
      <c r="VQ564" s="243"/>
      <c r="VR564" s="243"/>
      <c r="VS564" s="243"/>
      <c r="VT564" s="243"/>
      <c r="VU564" s="243"/>
      <c r="VV564" s="243"/>
      <c r="VW564" s="243"/>
      <c r="VX564" s="243"/>
      <c r="VY564" s="243"/>
      <c r="VZ564" s="243"/>
      <c r="WA564" s="243"/>
      <c r="WB564" s="243"/>
      <c r="WC564" s="243"/>
      <c r="WD564" s="243"/>
      <c r="WE564" s="243"/>
      <c r="WF564" s="243"/>
      <c r="WG564" s="243"/>
      <c r="WH564" s="243"/>
      <c r="WI564" s="243"/>
      <c r="WJ564" s="243"/>
      <c r="WK564" s="243"/>
      <c r="WL564" s="243"/>
      <c r="WM564" s="243"/>
      <c r="WN564" s="243"/>
      <c r="WO564" s="243"/>
      <c r="WP564" s="243"/>
      <c r="WQ564" s="243"/>
      <c r="WR564" s="243"/>
      <c r="WS564" s="243"/>
      <c r="WT564" s="243"/>
      <c r="WU564" s="243"/>
      <c r="WV564" s="243"/>
      <c r="WW564" s="243"/>
      <c r="WX564" s="243"/>
      <c r="WY564" s="243"/>
      <c r="WZ564" s="243"/>
      <c r="XA564" s="243"/>
      <c r="XB564" s="243"/>
      <c r="XC564" s="243"/>
      <c r="XD564" s="243"/>
      <c r="XE564" s="243"/>
      <c r="XF564" s="243"/>
      <c r="XG564" s="243"/>
      <c r="XH564" s="243"/>
      <c r="XI564" s="243"/>
      <c r="XJ564" s="243"/>
      <c r="XK564" s="243"/>
      <c r="XL564" s="243"/>
      <c r="XM564" s="243"/>
      <c r="XN564" s="243"/>
      <c r="XO564" s="243"/>
      <c r="XP564" s="243"/>
      <c r="XQ564" s="243"/>
      <c r="XR564" s="243"/>
      <c r="XS564" s="243"/>
      <c r="XT564" s="243"/>
      <c r="XU564" s="243"/>
      <c r="XV564" s="243"/>
      <c r="XW564" s="243"/>
      <c r="XX564" s="243"/>
      <c r="XY564" s="243"/>
      <c r="XZ564" s="243"/>
      <c r="YA564" s="243"/>
      <c r="YB564" s="243"/>
      <c r="YC564" s="243"/>
      <c r="YD564" s="243"/>
      <c r="YE564" s="243"/>
      <c r="YF564" s="243"/>
      <c r="YG564" s="243"/>
      <c r="YH564" s="243"/>
      <c r="YI564" s="243"/>
      <c r="YJ564" s="243"/>
      <c r="YK564" s="243"/>
      <c r="YL564" s="243"/>
      <c r="YM564" s="243"/>
      <c r="YN564" s="243"/>
      <c r="YO564" s="243"/>
      <c r="YP564" s="243"/>
      <c r="YQ564" s="243"/>
      <c r="YR564" s="243"/>
      <c r="YS564" s="243"/>
      <c r="YT564" s="243"/>
      <c r="YU564" s="243"/>
      <c r="YV564" s="243"/>
      <c r="YW564" s="243"/>
      <c r="YX564" s="243"/>
      <c r="YY564" s="243"/>
      <c r="YZ564" s="243"/>
      <c r="ZA564" s="243"/>
      <c r="ZB564" s="243"/>
      <c r="ZC564" s="243"/>
      <c r="ZD564" s="243"/>
      <c r="ZE564" s="243"/>
      <c r="ZF564" s="243"/>
      <c r="ZG564" s="243"/>
      <c r="ZH564" s="243"/>
      <c r="ZI564" s="243"/>
      <c r="ZJ564" s="243"/>
      <c r="ZK564" s="243"/>
      <c r="ZL564" s="243"/>
      <c r="ZM564" s="243"/>
      <c r="ZN564" s="243"/>
      <c r="ZO564" s="243"/>
      <c r="ZP564" s="243"/>
      <c r="ZQ564" s="243"/>
      <c r="ZR564" s="243"/>
      <c r="ZS564" s="243"/>
      <c r="ZT564" s="243"/>
      <c r="ZU564" s="243"/>
      <c r="ZV564" s="243"/>
      <c r="ZW564" s="243"/>
      <c r="ZX564" s="243"/>
      <c r="ZY564" s="243"/>
      <c r="ZZ564" s="243"/>
      <c r="AAA564" s="243"/>
      <c r="AAB564" s="243"/>
      <c r="AAC564" s="243"/>
      <c r="AAD564" s="243"/>
      <c r="AAE564" s="243"/>
      <c r="AAF564" s="243"/>
      <c r="AAG564" s="243"/>
      <c r="AAH564" s="243"/>
      <c r="AAI564" s="243"/>
      <c r="AAJ564" s="243"/>
      <c r="AAK564" s="243"/>
      <c r="AAL564" s="243"/>
      <c r="AAM564" s="243"/>
      <c r="AAN564" s="243"/>
      <c r="AAO564" s="243"/>
      <c r="AAP564" s="243"/>
      <c r="AAQ564" s="243"/>
      <c r="AAR564" s="243"/>
      <c r="AAS564" s="243"/>
      <c r="AAT564" s="243"/>
      <c r="AAU564" s="243"/>
      <c r="AAV564" s="243"/>
      <c r="AAW564" s="243"/>
      <c r="AAX564" s="243"/>
      <c r="AAY564" s="243"/>
      <c r="AAZ564" s="243"/>
      <c r="ABA564" s="243"/>
      <c r="ABB564" s="243"/>
      <c r="ABC564" s="243"/>
      <c r="ABD564" s="243"/>
      <c r="ABE564" s="243"/>
      <c r="ABF564" s="243"/>
      <c r="ABG564" s="243"/>
      <c r="ABH564" s="243"/>
      <c r="ABI564" s="243"/>
      <c r="ABJ564" s="243"/>
      <c r="ABK564" s="243"/>
      <c r="ABL564" s="243"/>
      <c r="ABM564" s="243"/>
      <c r="ABN564" s="243"/>
      <c r="ABO564" s="243"/>
      <c r="ABP564" s="243"/>
      <c r="ABQ564" s="243"/>
      <c r="ABR564" s="243"/>
      <c r="ABS564" s="243"/>
      <c r="ABT564" s="243"/>
      <c r="ABU564" s="243"/>
      <c r="ABV564" s="243"/>
      <c r="ABW564" s="243"/>
      <c r="ABX564" s="243"/>
      <c r="ABY564" s="243"/>
      <c r="ABZ564" s="243"/>
      <c r="ACA564" s="243"/>
      <c r="ACB564" s="243"/>
      <c r="ACC564" s="243"/>
      <c r="ACD564" s="243"/>
      <c r="ACE564" s="243"/>
      <c r="ACF564" s="243"/>
      <c r="ACG564" s="243"/>
      <c r="ACH564" s="243"/>
      <c r="ACI564" s="243"/>
      <c r="ACJ564" s="243"/>
      <c r="ACK564" s="243"/>
      <c r="ACL564" s="243"/>
      <c r="ACM564" s="243"/>
      <c r="ACN564" s="243"/>
      <c r="ACO564" s="243"/>
      <c r="ACP564" s="243"/>
      <c r="ACQ564" s="243"/>
      <c r="ACR564" s="243"/>
      <c r="ACS564" s="243"/>
      <c r="ACT564" s="243"/>
      <c r="ACU564" s="243"/>
      <c r="ACV564" s="243"/>
      <c r="ACW564" s="243"/>
      <c r="ACX564" s="243"/>
      <c r="ACY564" s="243"/>
      <c r="ACZ564" s="243"/>
      <c r="ADA564" s="243"/>
      <c r="ADB564" s="243"/>
      <c r="ADC564" s="243"/>
      <c r="ADD564" s="243"/>
      <c r="ADE564" s="243"/>
      <c r="ADF564" s="243"/>
      <c r="ADG564" s="243"/>
      <c r="ADH564" s="243"/>
      <c r="ADI564" s="243"/>
      <c r="ADJ564" s="243"/>
      <c r="ADK564" s="243"/>
      <c r="ADL564" s="243"/>
      <c r="ADM564" s="243"/>
      <c r="ADN564" s="243"/>
      <c r="ADO564" s="243"/>
      <c r="ADP564" s="243"/>
      <c r="ADQ564" s="243"/>
      <c r="ADR564" s="243"/>
      <c r="ADS564" s="243"/>
      <c r="ADT564" s="243"/>
      <c r="ADU564" s="243"/>
      <c r="ADV564" s="243"/>
      <c r="ADW564" s="243"/>
      <c r="ADX564" s="243"/>
      <c r="ADY564" s="243"/>
      <c r="ADZ564" s="243"/>
      <c r="AEA564" s="243"/>
      <c r="AEB564" s="243"/>
      <c r="AEC564" s="243"/>
      <c r="AED564" s="243"/>
      <c r="AEE564" s="243"/>
      <c r="AEF564" s="243"/>
      <c r="AEG564" s="243"/>
      <c r="AEH564" s="243"/>
      <c r="AEI564" s="243"/>
      <c r="AEJ564" s="243"/>
      <c r="AEK564" s="243"/>
      <c r="AEL564" s="243"/>
      <c r="AEM564" s="243"/>
      <c r="AEN564" s="243"/>
      <c r="AEO564" s="243"/>
      <c r="AEP564" s="243"/>
      <c r="AEQ564" s="243"/>
      <c r="AER564" s="243"/>
      <c r="AES564" s="243"/>
      <c r="AET564" s="243"/>
      <c r="AEU564" s="243"/>
      <c r="AEV564" s="243"/>
      <c r="AEW564" s="243"/>
      <c r="AEX564" s="243"/>
      <c r="AEY564" s="243"/>
      <c r="AEZ564" s="243"/>
      <c r="AFA564" s="243"/>
      <c r="AFB564" s="243"/>
      <c r="AFC564" s="243"/>
      <c r="AFD564" s="243"/>
      <c r="AFE564" s="243"/>
      <c r="AFF564" s="243"/>
      <c r="AFG564" s="243"/>
      <c r="AFH564" s="243"/>
      <c r="AFI564" s="243"/>
      <c r="AFJ564" s="243"/>
      <c r="AFK564" s="243"/>
      <c r="AFL564" s="243"/>
      <c r="AFM564" s="243"/>
      <c r="AFN564" s="243"/>
      <c r="AFO564" s="243"/>
      <c r="AFP564" s="243"/>
      <c r="AFQ564" s="243"/>
      <c r="AFR564" s="243"/>
      <c r="AFS564" s="243"/>
      <c r="AFT564" s="243"/>
      <c r="AFU564" s="243"/>
      <c r="AFV564" s="243"/>
      <c r="AFW564" s="243"/>
      <c r="AFX564" s="243"/>
      <c r="AFY564" s="243"/>
      <c r="AFZ564" s="243"/>
      <c r="AGA564" s="243"/>
      <c r="AGB564" s="243"/>
      <c r="AGC564" s="243"/>
      <c r="AGD564" s="243"/>
      <c r="AGE564" s="243"/>
      <c r="AGF564" s="243"/>
      <c r="AGG564" s="243"/>
      <c r="AGH564" s="243"/>
      <c r="AGI564" s="243"/>
      <c r="AGJ564" s="243"/>
      <c r="AGK564" s="243"/>
      <c r="AGL564" s="243"/>
      <c r="AGM564" s="243"/>
      <c r="AGN564" s="243"/>
      <c r="AGO564" s="243"/>
      <c r="AGP564" s="243"/>
      <c r="AGQ564" s="243"/>
      <c r="AGR564" s="243"/>
      <c r="AGS564" s="243"/>
      <c r="AGT564" s="243"/>
      <c r="AGU564" s="243"/>
      <c r="AGV564" s="243"/>
      <c r="AGW564" s="243"/>
      <c r="AGX564" s="243"/>
      <c r="AGY564" s="243"/>
      <c r="AGZ564" s="243"/>
      <c r="AHA564" s="243"/>
      <c r="AHB564" s="243"/>
      <c r="AHC564" s="243"/>
      <c r="AHD564" s="243"/>
      <c r="AHE564" s="243"/>
      <c r="AHF564" s="243"/>
      <c r="AHG564" s="243"/>
      <c r="AHH564" s="243"/>
      <c r="AHI564" s="243"/>
      <c r="AHJ564" s="243"/>
      <c r="AHK564" s="243"/>
      <c r="AHL564" s="243"/>
      <c r="AHM564" s="243"/>
      <c r="AHN564" s="243"/>
      <c r="AHO564" s="243"/>
      <c r="AHP564" s="243"/>
      <c r="AHQ564" s="243"/>
      <c r="AHR564" s="243"/>
      <c r="AHS564" s="243"/>
      <c r="AHT564" s="243"/>
      <c r="AHU564" s="243"/>
      <c r="AHV564" s="243"/>
      <c r="AHW564" s="243"/>
      <c r="AHX564" s="243"/>
      <c r="AHY564" s="243"/>
      <c r="AHZ564" s="243"/>
      <c r="AIA564" s="243"/>
      <c r="AIB564" s="243"/>
      <c r="AIC564" s="243"/>
      <c r="AID564" s="243"/>
      <c r="AIE564" s="243"/>
      <c r="AIF564" s="243"/>
      <c r="AIG564" s="243"/>
      <c r="AIH564" s="243"/>
      <c r="AII564" s="243"/>
      <c r="AIJ564" s="243"/>
      <c r="AIK564" s="243"/>
      <c r="AIL564" s="243"/>
      <c r="AIM564" s="243"/>
      <c r="AIN564" s="243"/>
      <c r="AIO564" s="243"/>
      <c r="AIP564" s="243"/>
      <c r="AIQ564" s="243"/>
      <c r="AIR564" s="243"/>
      <c r="AIS564" s="243"/>
      <c r="AIT564" s="243"/>
      <c r="AIU564" s="243"/>
      <c r="AIV564" s="243"/>
      <c r="AIW564" s="243"/>
      <c r="AIX564" s="243"/>
      <c r="AIY564" s="243"/>
      <c r="AIZ564" s="243"/>
      <c r="AJA564" s="243"/>
      <c r="AJB564" s="243"/>
      <c r="AJC564" s="243"/>
      <c r="AJD564" s="243"/>
      <c r="AJE564" s="243"/>
      <c r="AJF564" s="243"/>
      <c r="AJG564" s="243"/>
      <c r="AJH564" s="243"/>
      <c r="AJI564" s="243"/>
      <c r="AJJ564" s="243"/>
      <c r="AJK564" s="243"/>
      <c r="AJL564" s="243"/>
      <c r="AJM564" s="243"/>
      <c r="AJN564" s="243"/>
      <c r="AJO564" s="243"/>
      <c r="AJP564" s="243"/>
      <c r="AJQ564" s="243"/>
      <c r="AJR564" s="243"/>
      <c r="AJS564" s="243"/>
      <c r="AJT564" s="243"/>
      <c r="AJU564" s="243"/>
      <c r="AJV564" s="243"/>
      <c r="AJW564" s="243"/>
      <c r="AJX564" s="243"/>
      <c r="AJY564" s="243"/>
      <c r="AJZ564" s="243"/>
      <c r="AKA564" s="243"/>
      <c r="AKB564" s="243"/>
      <c r="AKC564" s="243"/>
      <c r="AKD564" s="243"/>
      <c r="AKE564" s="243"/>
      <c r="AKF564" s="243"/>
      <c r="AKG564" s="243"/>
      <c r="AKH564" s="243"/>
      <c r="AKI564" s="243"/>
      <c r="AKJ564" s="243"/>
      <c r="AKK564" s="243"/>
      <c r="AKL564" s="243"/>
      <c r="AKM564" s="243"/>
      <c r="AKN564" s="243"/>
      <c r="AKO564" s="243"/>
      <c r="AKP564" s="243"/>
      <c r="AKQ564" s="243"/>
      <c r="AKR564" s="243"/>
      <c r="AKS564" s="243"/>
      <c r="AKT564" s="243"/>
      <c r="AKU564" s="243"/>
      <c r="AKV564" s="243"/>
      <c r="AKW564" s="243"/>
      <c r="AKX564" s="243"/>
      <c r="AKY564" s="243"/>
      <c r="AKZ564" s="243"/>
      <c r="ALA564" s="243"/>
      <c r="ALB564" s="243"/>
      <c r="ALC564" s="243"/>
      <c r="ALD564" s="243"/>
      <c r="ALE564" s="243"/>
      <c r="ALF564" s="243"/>
      <c r="ALG564" s="243"/>
      <c r="ALH564" s="243"/>
      <c r="ALI564" s="243"/>
      <c r="ALJ564" s="243"/>
      <c r="ALK564" s="243"/>
      <c r="ALL564" s="243"/>
      <c r="ALM564" s="243"/>
      <c r="ALN564" s="243"/>
      <c r="ALO564" s="243"/>
      <c r="ALP564" s="243"/>
      <c r="ALQ564" s="243"/>
      <c r="ALR564" s="243"/>
      <c r="ALS564" s="243"/>
      <c r="ALT564" s="243"/>
      <c r="ALU564" s="243"/>
      <c r="ALV564" s="243"/>
      <c r="ALW564" s="243"/>
      <c r="ALX564" s="243"/>
      <c r="ALY564" s="243"/>
      <c r="ALZ564" s="243"/>
      <c r="AMA564" s="243"/>
      <c r="AMB564" s="243"/>
      <c r="AMC564" s="243"/>
      <c r="AMD564" s="243"/>
      <c r="AME564" s="243"/>
      <c r="AMF564" s="243"/>
      <c r="AMG564" s="243"/>
      <c r="AMH564" s="243"/>
      <c r="AMI564" s="243"/>
      <c r="AMJ564" s="243"/>
      <c r="AMK564" s="244"/>
    </row>
    <row r="565" spans="1:1025" hidden="1">
      <c r="A565" s="243"/>
      <c r="B565" s="791">
        <v>44656</v>
      </c>
      <c r="C565" s="250" t="s">
        <v>900</v>
      </c>
      <c r="D565" s="249" t="s">
        <v>946</v>
      </c>
      <c r="E565" s="249" t="s">
        <v>845</v>
      </c>
      <c r="F565" s="251">
        <v>435000000</v>
      </c>
      <c r="G565" s="250" t="s">
        <v>903</v>
      </c>
      <c r="H565" s="250" t="s">
        <v>523</v>
      </c>
      <c r="I565" s="250" t="s">
        <v>523</v>
      </c>
      <c r="J565" s="250"/>
      <c r="K565" s="250">
        <v>1</v>
      </c>
      <c r="L565" s="250" t="s">
        <v>947</v>
      </c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3"/>
      <c r="Z565" s="243"/>
      <c r="AA565" s="243"/>
      <c r="AB565" s="243"/>
      <c r="AC565" s="243"/>
      <c r="AD565" s="243"/>
      <c r="AE565" s="243"/>
      <c r="AF565" s="243"/>
      <c r="AG565" s="243"/>
      <c r="AH565" s="243"/>
      <c r="AI565" s="243"/>
      <c r="AJ565" s="243"/>
      <c r="AK565" s="243"/>
      <c r="AL565" s="243"/>
      <c r="AM565" s="243"/>
      <c r="AN565" s="243"/>
      <c r="AO565" s="243"/>
      <c r="AP565" s="243"/>
      <c r="AQ565" s="243"/>
      <c r="AR565" s="243"/>
      <c r="AS565" s="243"/>
      <c r="AT565" s="243"/>
      <c r="AU565" s="243"/>
      <c r="AV565" s="243"/>
      <c r="AW565" s="243"/>
      <c r="AX565" s="243"/>
      <c r="AY565" s="243"/>
      <c r="AZ565" s="243"/>
      <c r="BA565" s="243"/>
      <c r="BB565" s="243"/>
      <c r="BC565" s="243"/>
      <c r="BD565" s="243"/>
      <c r="BE565" s="243"/>
      <c r="BF565" s="243"/>
      <c r="BG565" s="243"/>
      <c r="BH565" s="243"/>
      <c r="BI565" s="243"/>
      <c r="BJ565" s="243"/>
      <c r="BK565" s="243"/>
      <c r="BL565" s="243"/>
      <c r="BM565" s="243"/>
      <c r="BN565" s="243"/>
      <c r="BO565" s="243"/>
      <c r="BP565" s="243"/>
      <c r="BQ565" s="243"/>
      <c r="BR565" s="243"/>
      <c r="BS565" s="243"/>
      <c r="BT565" s="243"/>
      <c r="BU565" s="243"/>
      <c r="BV565" s="243"/>
      <c r="BW565" s="243"/>
      <c r="BX565" s="243"/>
      <c r="BY565" s="243"/>
      <c r="BZ565" s="243"/>
      <c r="CA565" s="243"/>
      <c r="CB565" s="243"/>
      <c r="CC565" s="243"/>
      <c r="CD565" s="243"/>
      <c r="CE565" s="243"/>
      <c r="CF565" s="243"/>
      <c r="CG565" s="243"/>
      <c r="CH565" s="243"/>
      <c r="CI565" s="243"/>
      <c r="CJ565" s="243"/>
      <c r="CK565" s="243"/>
      <c r="CL565" s="243"/>
      <c r="CM565" s="243"/>
      <c r="CN565" s="243"/>
      <c r="CO565" s="243"/>
      <c r="CP565" s="243"/>
      <c r="CQ565" s="243"/>
      <c r="CR565" s="243"/>
      <c r="CS565" s="243"/>
      <c r="CT565" s="243"/>
      <c r="CU565" s="243"/>
      <c r="CV565" s="243"/>
      <c r="CW565" s="243"/>
      <c r="CX565" s="243"/>
      <c r="CY565" s="243"/>
      <c r="CZ565" s="243"/>
      <c r="DA565" s="243"/>
      <c r="DB565" s="243"/>
      <c r="DC565" s="243"/>
      <c r="DD565" s="243"/>
      <c r="DE565" s="243"/>
      <c r="DF565" s="243"/>
      <c r="DG565" s="243"/>
      <c r="DH565" s="243"/>
      <c r="DI565" s="243"/>
      <c r="DJ565" s="243"/>
      <c r="DK565" s="243"/>
      <c r="DL565" s="243"/>
      <c r="DM565" s="243"/>
      <c r="DN565" s="243"/>
      <c r="DO565" s="243"/>
      <c r="DP565" s="243"/>
      <c r="DQ565" s="243"/>
      <c r="DR565" s="243"/>
      <c r="DS565" s="243"/>
      <c r="DT565" s="243"/>
      <c r="DU565" s="243"/>
      <c r="DV565" s="243"/>
      <c r="DW565" s="243"/>
      <c r="DX565" s="243"/>
      <c r="DY565" s="243"/>
      <c r="DZ565" s="243"/>
      <c r="EA565" s="243"/>
      <c r="EB565" s="243"/>
      <c r="EC565" s="243"/>
      <c r="ED565" s="243"/>
      <c r="EE565" s="243"/>
      <c r="EF565" s="243"/>
      <c r="EG565" s="243"/>
      <c r="EH565" s="243"/>
      <c r="EI565" s="243"/>
      <c r="EJ565" s="243"/>
      <c r="EK565" s="243"/>
      <c r="EL565" s="243"/>
      <c r="EM565" s="243"/>
      <c r="EN565" s="243"/>
      <c r="EO565" s="243"/>
      <c r="EP565" s="243"/>
      <c r="EQ565" s="243"/>
      <c r="ER565" s="243"/>
      <c r="ES565" s="243"/>
      <c r="ET565" s="243"/>
      <c r="EU565" s="243"/>
      <c r="EV565" s="243"/>
      <c r="EW565" s="243"/>
      <c r="EX565" s="243"/>
      <c r="EY565" s="243"/>
      <c r="EZ565" s="243"/>
      <c r="FA565" s="243"/>
      <c r="FB565" s="243"/>
      <c r="FC565" s="243"/>
      <c r="FD565" s="243"/>
      <c r="FE565" s="243"/>
      <c r="FF565" s="243"/>
      <c r="FG565" s="243"/>
      <c r="FH565" s="243"/>
      <c r="FI565" s="243"/>
      <c r="FJ565" s="243"/>
      <c r="FK565" s="243"/>
      <c r="FL565" s="243"/>
      <c r="FM565" s="243"/>
      <c r="FN565" s="243"/>
      <c r="FO565" s="243"/>
      <c r="FP565" s="243"/>
      <c r="FQ565" s="243"/>
      <c r="FR565" s="243"/>
      <c r="FS565" s="243"/>
      <c r="FT565" s="243"/>
      <c r="FU565" s="243"/>
      <c r="FV565" s="243"/>
      <c r="FW565" s="243"/>
      <c r="FX565" s="243"/>
      <c r="FY565" s="243"/>
      <c r="FZ565" s="243"/>
      <c r="GA565" s="243"/>
      <c r="GB565" s="243"/>
      <c r="GC565" s="243"/>
      <c r="GD565" s="243"/>
      <c r="GE565" s="243"/>
      <c r="GF565" s="243"/>
      <c r="GG565" s="243"/>
      <c r="GH565" s="243"/>
      <c r="GI565" s="243"/>
      <c r="GJ565" s="243"/>
      <c r="GK565" s="243"/>
      <c r="GL565" s="243"/>
      <c r="GM565" s="243"/>
      <c r="GN565" s="243"/>
      <c r="GO565" s="243"/>
      <c r="GP565" s="243"/>
      <c r="GQ565" s="243"/>
      <c r="GR565" s="243"/>
      <c r="GS565" s="243"/>
      <c r="GT565" s="243"/>
      <c r="GU565" s="243"/>
      <c r="GV565" s="243"/>
      <c r="GW565" s="243"/>
      <c r="GX565" s="243"/>
      <c r="GY565" s="243"/>
      <c r="GZ565" s="243"/>
      <c r="HA565" s="243"/>
      <c r="HB565" s="243"/>
      <c r="HC565" s="243"/>
      <c r="HD565" s="243"/>
      <c r="HE565" s="243"/>
      <c r="HF565" s="243"/>
      <c r="HG565" s="243"/>
      <c r="HH565" s="243"/>
      <c r="HI565" s="243"/>
      <c r="HJ565" s="243"/>
      <c r="HK565" s="243"/>
      <c r="HL565" s="243"/>
      <c r="HM565" s="243"/>
      <c r="HN565" s="243"/>
      <c r="HO565" s="243"/>
      <c r="HP565" s="243"/>
      <c r="HQ565" s="243"/>
      <c r="HR565" s="243"/>
      <c r="HS565" s="243"/>
      <c r="HT565" s="243"/>
      <c r="HU565" s="243"/>
      <c r="HV565" s="243"/>
      <c r="HW565" s="243"/>
      <c r="HX565" s="243"/>
      <c r="HY565" s="243"/>
      <c r="HZ565" s="243"/>
      <c r="IA565" s="243"/>
      <c r="IB565" s="243"/>
      <c r="IC565" s="243"/>
      <c r="ID565" s="243"/>
      <c r="IE565" s="243"/>
      <c r="IF565" s="243"/>
      <c r="IG565" s="243"/>
      <c r="IH565" s="243"/>
      <c r="II565" s="243"/>
      <c r="IJ565" s="243"/>
      <c r="IK565" s="243"/>
      <c r="IL565" s="243"/>
      <c r="IM565" s="243"/>
      <c r="IN565" s="243"/>
      <c r="IO565" s="243"/>
      <c r="IP565" s="243"/>
      <c r="IQ565" s="243"/>
      <c r="IR565" s="243"/>
      <c r="IS565" s="243"/>
      <c r="IT565" s="243"/>
      <c r="IU565" s="243"/>
      <c r="IV565" s="243"/>
      <c r="IW565" s="243"/>
      <c r="IX565" s="243"/>
      <c r="IY565" s="243"/>
      <c r="IZ565" s="243"/>
      <c r="JA565" s="243"/>
      <c r="JB565" s="243"/>
      <c r="JC565" s="243"/>
      <c r="JD565" s="243"/>
      <c r="JE565" s="243"/>
      <c r="JF565" s="243"/>
      <c r="JG565" s="243"/>
      <c r="JH565" s="243"/>
      <c r="JI565" s="243"/>
      <c r="JJ565" s="243"/>
      <c r="JK565" s="243"/>
      <c r="JL565" s="243"/>
      <c r="JM565" s="243"/>
      <c r="JN565" s="243"/>
      <c r="JO565" s="243"/>
      <c r="JP565" s="243"/>
      <c r="JQ565" s="243"/>
      <c r="JR565" s="243"/>
      <c r="JS565" s="243"/>
      <c r="JT565" s="243"/>
      <c r="JU565" s="243"/>
      <c r="JV565" s="243"/>
      <c r="JW565" s="243"/>
      <c r="JX565" s="243"/>
      <c r="JY565" s="243"/>
      <c r="JZ565" s="243"/>
      <c r="KA565" s="243"/>
      <c r="KB565" s="243"/>
      <c r="KC565" s="243"/>
      <c r="KD565" s="243"/>
      <c r="KE565" s="243"/>
      <c r="KF565" s="243"/>
      <c r="KG565" s="243"/>
      <c r="KH565" s="243"/>
      <c r="KI565" s="243"/>
      <c r="KJ565" s="243"/>
      <c r="KK565" s="243"/>
      <c r="KL565" s="243"/>
      <c r="KM565" s="243"/>
      <c r="KN565" s="243"/>
      <c r="KO565" s="243"/>
      <c r="KP565" s="243"/>
      <c r="KQ565" s="243"/>
      <c r="KR565" s="243"/>
      <c r="KS565" s="243"/>
      <c r="KT565" s="243"/>
      <c r="KU565" s="243"/>
      <c r="KV565" s="243"/>
      <c r="KW565" s="243"/>
      <c r="KX565" s="243"/>
      <c r="KY565" s="243"/>
      <c r="KZ565" s="243"/>
      <c r="LA565" s="243"/>
      <c r="LB565" s="243"/>
      <c r="LC565" s="243"/>
      <c r="LD565" s="243"/>
      <c r="LE565" s="243"/>
      <c r="LF565" s="243"/>
      <c r="LG565" s="243"/>
      <c r="LH565" s="243"/>
      <c r="LI565" s="243"/>
      <c r="LJ565" s="243"/>
      <c r="LK565" s="243"/>
      <c r="LL565" s="243"/>
      <c r="LM565" s="243"/>
      <c r="LN565" s="243"/>
      <c r="LO565" s="243"/>
      <c r="LP565" s="243"/>
      <c r="LQ565" s="243"/>
      <c r="LR565" s="243"/>
      <c r="LS565" s="243"/>
      <c r="LT565" s="243"/>
      <c r="LU565" s="243"/>
      <c r="LV565" s="243"/>
      <c r="LW565" s="243"/>
      <c r="LX565" s="243"/>
      <c r="LY565" s="243"/>
      <c r="LZ565" s="243"/>
      <c r="MA565" s="243"/>
      <c r="MB565" s="243"/>
      <c r="MC565" s="243"/>
      <c r="MD565" s="243"/>
      <c r="ME565" s="243"/>
      <c r="MF565" s="243"/>
      <c r="MG565" s="243"/>
      <c r="MH565" s="243"/>
      <c r="MI565" s="243"/>
      <c r="MJ565" s="243"/>
      <c r="MK565" s="243"/>
      <c r="ML565" s="243"/>
      <c r="MM565" s="243"/>
      <c r="MN565" s="243"/>
      <c r="MO565" s="243"/>
      <c r="MP565" s="243"/>
      <c r="MQ565" s="243"/>
      <c r="MR565" s="243"/>
      <c r="MS565" s="243"/>
      <c r="MT565" s="243"/>
      <c r="MU565" s="243"/>
      <c r="MV565" s="243"/>
      <c r="MW565" s="243"/>
      <c r="MX565" s="243"/>
      <c r="MY565" s="243"/>
      <c r="MZ565" s="243"/>
      <c r="NA565" s="243"/>
      <c r="NB565" s="243"/>
      <c r="NC565" s="243"/>
      <c r="ND565" s="243"/>
      <c r="NE565" s="243"/>
      <c r="NF565" s="243"/>
      <c r="NG565" s="243"/>
      <c r="NH565" s="243"/>
      <c r="NI565" s="243"/>
      <c r="NJ565" s="243"/>
      <c r="NK565" s="243"/>
      <c r="NL565" s="243"/>
      <c r="NM565" s="243"/>
      <c r="NN565" s="243"/>
      <c r="NO565" s="243"/>
      <c r="NP565" s="243"/>
      <c r="NQ565" s="243"/>
      <c r="NR565" s="243"/>
      <c r="NS565" s="243"/>
      <c r="NT565" s="243"/>
      <c r="NU565" s="243"/>
      <c r="NV565" s="243"/>
      <c r="NW565" s="243"/>
      <c r="NX565" s="243"/>
      <c r="NY565" s="243"/>
      <c r="NZ565" s="243"/>
      <c r="OA565" s="243"/>
      <c r="OB565" s="243"/>
      <c r="OC565" s="243"/>
      <c r="OD565" s="243"/>
      <c r="OE565" s="243"/>
      <c r="OF565" s="243"/>
      <c r="OG565" s="243"/>
      <c r="OH565" s="243"/>
      <c r="OI565" s="243"/>
      <c r="OJ565" s="243"/>
      <c r="OK565" s="243"/>
      <c r="OL565" s="243"/>
      <c r="OM565" s="243"/>
      <c r="ON565" s="243"/>
      <c r="OO565" s="243"/>
      <c r="OP565" s="243"/>
      <c r="OQ565" s="243"/>
      <c r="OR565" s="243"/>
      <c r="OS565" s="243"/>
      <c r="OT565" s="243"/>
      <c r="OU565" s="243"/>
      <c r="OV565" s="243"/>
      <c r="OW565" s="243"/>
      <c r="OX565" s="243"/>
      <c r="OY565" s="243"/>
      <c r="OZ565" s="243"/>
      <c r="PA565" s="243"/>
      <c r="PB565" s="243"/>
      <c r="PC565" s="243"/>
      <c r="PD565" s="243"/>
      <c r="PE565" s="243"/>
      <c r="PF565" s="243"/>
      <c r="PG565" s="243"/>
      <c r="PH565" s="243"/>
      <c r="PI565" s="243"/>
      <c r="PJ565" s="243"/>
      <c r="PK565" s="243"/>
      <c r="PL565" s="243"/>
      <c r="PM565" s="243"/>
      <c r="PN565" s="243"/>
      <c r="PO565" s="243"/>
      <c r="PP565" s="243"/>
      <c r="PQ565" s="243"/>
      <c r="PR565" s="243"/>
      <c r="PS565" s="243"/>
      <c r="PT565" s="243"/>
      <c r="PU565" s="243"/>
      <c r="PV565" s="243"/>
      <c r="PW565" s="243"/>
      <c r="PX565" s="243"/>
      <c r="PY565" s="243"/>
      <c r="PZ565" s="243"/>
      <c r="QA565" s="243"/>
      <c r="QB565" s="243"/>
      <c r="QC565" s="243"/>
      <c r="QD565" s="243"/>
      <c r="QE565" s="243"/>
      <c r="QF565" s="243"/>
      <c r="QG565" s="243"/>
      <c r="QH565" s="243"/>
      <c r="QI565" s="243"/>
      <c r="QJ565" s="243"/>
      <c r="QK565" s="243"/>
      <c r="QL565" s="243"/>
      <c r="QM565" s="243"/>
      <c r="QN565" s="243"/>
      <c r="QO565" s="243"/>
      <c r="QP565" s="243"/>
      <c r="QQ565" s="243"/>
      <c r="QR565" s="243"/>
      <c r="QS565" s="243"/>
      <c r="QT565" s="243"/>
      <c r="QU565" s="243"/>
      <c r="QV565" s="243"/>
      <c r="QW565" s="243"/>
      <c r="QX565" s="243"/>
      <c r="QY565" s="243"/>
      <c r="QZ565" s="243"/>
      <c r="RA565" s="243"/>
      <c r="RB565" s="243"/>
      <c r="RC565" s="243"/>
      <c r="RD565" s="243"/>
      <c r="RE565" s="243"/>
      <c r="RF565" s="243"/>
      <c r="RG565" s="243"/>
      <c r="RH565" s="243"/>
      <c r="RI565" s="243"/>
      <c r="RJ565" s="243"/>
      <c r="RK565" s="243"/>
      <c r="RL565" s="243"/>
      <c r="RM565" s="243"/>
      <c r="RN565" s="243"/>
      <c r="RO565" s="243"/>
      <c r="RP565" s="243"/>
      <c r="RQ565" s="243"/>
      <c r="RR565" s="243"/>
      <c r="RS565" s="243"/>
      <c r="RT565" s="243"/>
      <c r="RU565" s="243"/>
      <c r="RV565" s="243"/>
      <c r="RW565" s="243"/>
      <c r="RX565" s="243"/>
      <c r="RY565" s="243"/>
      <c r="RZ565" s="243"/>
      <c r="SA565" s="243"/>
      <c r="SB565" s="243"/>
      <c r="SC565" s="243"/>
      <c r="SD565" s="243"/>
      <c r="SE565" s="243"/>
      <c r="SF565" s="243"/>
      <c r="SG565" s="243"/>
      <c r="SH565" s="243"/>
      <c r="SI565" s="243"/>
      <c r="SJ565" s="243"/>
      <c r="SK565" s="243"/>
      <c r="SL565" s="243"/>
      <c r="SM565" s="243"/>
      <c r="SN565" s="243"/>
      <c r="SO565" s="243"/>
      <c r="SP565" s="243"/>
      <c r="SQ565" s="243"/>
      <c r="SR565" s="243"/>
      <c r="SS565" s="243"/>
      <c r="ST565" s="243"/>
      <c r="SU565" s="243"/>
      <c r="SV565" s="243"/>
      <c r="SW565" s="243"/>
      <c r="SX565" s="243"/>
      <c r="SY565" s="243"/>
      <c r="SZ565" s="243"/>
      <c r="TA565" s="243"/>
      <c r="TB565" s="243"/>
      <c r="TC565" s="243"/>
      <c r="TD565" s="243"/>
      <c r="TE565" s="243"/>
      <c r="TF565" s="243"/>
      <c r="TG565" s="243"/>
      <c r="TH565" s="243"/>
      <c r="TI565" s="243"/>
      <c r="TJ565" s="243"/>
      <c r="TK565" s="243"/>
      <c r="TL565" s="243"/>
      <c r="TM565" s="243"/>
      <c r="TN565" s="243"/>
      <c r="TO565" s="243"/>
      <c r="TP565" s="243"/>
      <c r="TQ565" s="243"/>
      <c r="TR565" s="243"/>
      <c r="TS565" s="243"/>
      <c r="TT565" s="243"/>
      <c r="TU565" s="243"/>
      <c r="TV565" s="243"/>
      <c r="TW565" s="243"/>
      <c r="TX565" s="243"/>
      <c r="TY565" s="243"/>
      <c r="TZ565" s="243"/>
      <c r="UA565" s="243"/>
      <c r="UB565" s="243"/>
      <c r="UC565" s="243"/>
      <c r="UD565" s="243"/>
      <c r="UE565" s="243"/>
      <c r="UF565" s="243"/>
      <c r="UG565" s="243"/>
      <c r="UH565" s="243"/>
      <c r="UI565" s="243"/>
      <c r="UJ565" s="243"/>
      <c r="UK565" s="243"/>
      <c r="UL565" s="243"/>
      <c r="UM565" s="243"/>
      <c r="UN565" s="243"/>
      <c r="UO565" s="243"/>
      <c r="UP565" s="243"/>
      <c r="UQ565" s="243"/>
      <c r="UR565" s="243"/>
      <c r="US565" s="243"/>
      <c r="UT565" s="243"/>
      <c r="UU565" s="243"/>
      <c r="UV565" s="243"/>
      <c r="UW565" s="243"/>
      <c r="UX565" s="243"/>
      <c r="UY565" s="243"/>
      <c r="UZ565" s="243"/>
      <c r="VA565" s="243"/>
      <c r="VB565" s="243"/>
      <c r="VC565" s="243"/>
      <c r="VD565" s="243"/>
      <c r="VE565" s="243"/>
      <c r="VF565" s="243"/>
      <c r="VG565" s="243"/>
      <c r="VH565" s="243"/>
      <c r="VI565" s="243"/>
      <c r="VJ565" s="243"/>
      <c r="VK565" s="243"/>
      <c r="VL565" s="243"/>
      <c r="VM565" s="243"/>
      <c r="VN565" s="243"/>
      <c r="VO565" s="243"/>
      <c r="VP565" s="243"/>
      <c r="VQ565" s="243"/>
      <c r="VR565" s="243"/>
      <c r="VS565" s="243"/>
      <c r="VT565" s="243"/>
      <c r="VU565" s="243"/>
      <c r="VV565" s="243"/>
      <c r="VW565" s="243"/>
      <c r="VX565" s="243"/>
      <c r="VY565" s="243"/>
      <c r="VZ565" s="243"/>
      <c r="WA565" s="243"/>
      <c r="WB565" s="243"/>
      <c r="WC565" s="243"/>
      <c r="WD565" s="243"/>
      <c r="WE565" s="243"/>
      <c r="WF565" s="243"/>
      <c r="WG565" s="243"/>
      <c r="WH565" s="243"/>
      <c r="WI565" s="243"/>
      <c r="WJ565" s="243"/>
      <c r="WK565" s="243"/>
      <c r="WL565" s="243"/>
      <c r="WM565" s="243"/>
      <c r="WN565" s="243"/>
      <c r="WO565" s="243"/>
      <c r="WP565" s="243"/>
      <c r="WQ565" s="243"/>
      <c r="WR565" s="243"/>
      <c r="WS565" s="243"/>
      <c r="WT565" s="243"/>
      <c r="WU565" s="243"/>
      <c r="WV565" s="243"/>
      <c r="WW565" s="243"/>
      <c r="WX565" s="243"/>
      <c r="WY565" s="243"/>
      <c r="WZ565" s="243"/>
      <c r="XA565" s="243"/>
      <c r="XB565" s="243"/>
      <c r="XC565" s="243"/>
      <c r="XD565" s="243"/>
      <c r="XE565" s="243"/>
      <c r="XF565" s="243"/>
      <c r="XG565" s="243"/>
      <c r="XH565" s="243"/>
      <c r="XI565" s="243"/>
      <c r="XJ565" s="243"/>
      <c r="XK565" s="243"/>
      <c r="XL565" s="243"/>
      <c r="XM565" s="243"/>
      <c r="XN565" s="243"/>
      <c r="XO565" s="243"/>
      <c r="XP565" s="243"/>
      <c r="XQ565" s="243"/>
      <c r="XR565" s="243"/>
      <c r="XS565" s="243"/>
      <c r="XT565" s="243"/>
      <c r="XU565" s="243"/>
      <c r="XV565" s="243"/>
      <c r="XW565" s="243"/>
      <c r="XX565" s="243"/>
      <c r="XY565" s="243"/>
      <c r="XZ565" s="243"/>
      <c r="YA565" s="243"/>
      <c r="YB565" s="243"/>
      <c r="YC565" s="243"/>
      <c r="YD565" s="243"/>
      <c r="YE565" s="243"/>
      <c r="YF565" s="243"/>
      <c r="YG565" s="243"/>
      <c r="YH565" s="243"/>
      <c r="YI565" s="243"/>
      <c r="YJ565" s="243"/>
      <c r="YK565" s="243"/>
      <c r="YL565" s="243"/>
      <c r="YM565" s="243"/>
      <c r="YN565" s="243"/>
      <c r="YO565" s="243"/>
      <c r="YP565" s="243"/>
      <c r="YQ565" s="243"/>
      <c r="YR565" s="243"/>
      <c r="YS565" s="243"/>
      <c r="YT565" s="243"/>
      <c r="YU565" s="243"/>
      <c r="YV565" s="243"/>
      <c r="YW565" s="243"/>
      <c r="YX565" s="243"/>
      <c r="YY565" s="243"/>
      <c r="YZ565" s="243"/>
      <c r="ZA565" s="243"/>
      <c r="ZB565" s="243"/>
      <c r="ZC565" s="243"/>
      <c r="ZD565" s="243"/>
      <c r="ZE565" s="243"/>
      <c r="ZF565" s="243"/>
      <c r="ZG565" s="243"/>
      <c r="ZH565" s="243"/>
      <c r="ZI565" s="243"/>
      <c r="ZJ565" s="243"/>
      <c r="ZK565" s="243"/>
      <c r="ZL565" s="243"/>
      <c r="ZM565" s="243"/>
      <c r="ZN565" s="243"/>
      <c r="ZO565" s="243"/>
      <c r="ZP565" s="243"/>
      <c r="ZQ565" s="243"/>
      <c r="ZR565" s="243"/>
      <c r="ZS565" s="243"/>
      <c r="ZT565" s="243"/>
      <c r="ZU565" s="243"/>
      <c r="ZV565" s="243"/>
      <c r="ZW565" s="243"/>
      <c r="ZX565" s="243"/>
      <c r="ZY565" s="243"/>
      <c r="ZZ565" s="243"/>
      <c r="AAA565" s="243"/>
      <c r="AAB565" s="243"/>
      <c r="AAC565" s="243"/>
      <c r="AAD565" s="243"/>
      <c r="AAE565" s="243"/>
      <c r="AAF565" s="243"/>
      <c r="AAG565" s="243"/>
      <c r="AAH565" s="243"/>
      <c r="AAI565" s="243"/>
      <c r="AAJ565" s="243"/>
      <c r="AAK565" s="243"/>
      <c r="AAL565" s="243"/>
      <c r="AAM565" s="243"/>
      <c r="AAN565" s="243"/>
      <c r="AAO565" s="243"/>
      <c r="AAP565" s="243"/>
      <c r="AAQ565" s="243"/>
      <c r="AAR565" s="243"/>
      <c r="AAS565" s="243"/>
      <c r="AAT565" s="243"/>
      <c r="AAU565" s="243"/>
      <c r="AAV565" s="243"/>
      <c r="AAW565" s="243"/>
      <c r="AAX565" s="243"/>
      <c r="AAY565" s="243"/>
      <c r="AAZ565" s="243"/>
      <c r="ABA565" s="243"/>
      <c r="ABB565" s="243"/>
      <c r="ABC565" s="243"/>
      <c r="ABD565" s="243"/>
      <c r="ABE565" s="243"/>
      <c r="ABF565" s="243"/>
      <c r="ABG565" s="243"/>
      <c r="ABH565" s="243"/>
      <c r="ABI565" s="243"/>
      <c r="ABJ565" s="243"/>
      <c r="ABK565" s="243"/>
      <c r="ABL565" s="243"/>
      <c r="ABM565" s="243"/>
      <c r="ABN565" s="243"/>
      <c r="ABO565" s="243"/>
      <c r="ABP565" s="243"/>
      <c r="ABQ565" s="243"/>
      <c r="ABR565" s="243"/>
      <c r="ABS565" s="243"/>
      <c r="ABT565" s="243"/>
      <c r="ABU565" s="243"/>
      <c r="ABV565" s="243"/>
      <c r="ABW565" s="243"/>
      <c r="ABX565" s="243"/>
      <c r="ABY565" s="243"/>
      <c r="ABZ565" s="243"/>
      <c r="ACA565" s="243"/>
      <c r="ACB565" s="243"/>
      <c r="ACC565" s="243"/>
      <c r="ACD565" s="243"/>
      <c r="ACE565" s="243"/>
      <c r="ACF565" s="243"/>
      <c r="ACG565" s="243"/>
      <c r="ACH565" s="243"/>
      <c r="ACI565" s="243"/>
      <c r="ACJ565" s="243"/>
      <c r="ACK565" s="243"/>
      <c r="ACL565" s="243"/>
      <c r="ACM565" s="243"/>
      <c r="ACN565" s="243"/>
      <c r="ACO565" s="243"/>
      <c r="ACP565" s="243"/>
      <c r="ACQ565" s="243"/>
      <c r="ACR565" s="243"/>
      <c r="ACS565" s="243"/>
      <c r="ACT565" s="243"/>
      <c r="ACU565" s="243"/>
      <c r="ACV565" s="243"/>
      <c r="ACW565" s="243"/>
      <c r="ACX565" s="243"/>
      <c r="ACY565" s="243"/>
      <c r="ACZ565" s="243"/>
      <c r="ADA565" s="243"/>
      <c r="ADB565" s="243"/>
      <c r="ADC565" s="243"/>
      <c r="ADD565" s="243"/>
      <c r="ADE565" s="243"/>
      <c r="ADF565" s="243"/>
      <c r="ADG565" s="243"/>
      <c r="ADH565" s="243"/>
      <c r="ADI565" s="243"/>
      <c r="ADJ565" s="243"/>
      <c r="ADK565" s="243"/>
      <c r="ADL565" s="243"/>
      <c r="ADM565" s="243"/>
      <c r="ADN565" s="243"/>
      <c r="ADO565" s="243"/>
      <c r="ADP565" s="243"/>
      <c r="ADQ565" s="243"/>
      <c r="ADR565" s="243"/>
      <c r="ADS565" s="243"/>
      <c r="ADT565" s="243"/>
      <c r="ADU565" s="243"/>
      <c r="ADV565" s="243"/>
      <c r="ADW565" s="243"/>
      <c r="ADX565" s="243"/>
      <c r="ADY565" s="243"/>
      <c r="ADZ565" s="243"/>
      <c r="AEA565" s="243"/>
      <c r="AEB565" s="243"/>
      <c r="AEC565" s="243"/>
      <c r="AED565" s="243"/>
      <c r="AEE565" s="243"/>
      <c r="AEF565" s="243"/>
      <c r="AEG565" s="243"/>
      <c r="AEH565" s="243"/>
      <c r="AEI565" s="243"/>
      <c r="AEJ565" s="243"/>
      <c r="AEK565" s="243"/>
      <c r="AEL565" s="243"/>
      <c r="AEM565" s="243"/>
      <c r="AEN565" s="243"/>
      <c r="AEO565" s="243"/>
      <c r="AEP565" s="243"/>
      <c r="AEQ565" s="243"/>
      <c r="AER565" s="243"/>
      <c r="AES565" s="243"/>
      <c r="AET565" s="243"/>
      <c r="AEU565" s="243"/>
      <c r="AEV565" s="243"/>
      <c r="AEW565" s="243"/>
      <c r="AEX565" s="243"/>
      <c r="AEY565" s="243"/>
      <c r="AEZ565" s="243"/>
      <c r="AFA565" s="243"/>
      <c r="AFB565" s="243"/>
      <c r="AFC565" s="243"/>
      <c r="AFD565" s="243"/>
      <c r="AFE565" s="243"/>
      <c r="AFF565" s="243"/>
      <c r="AFG565" s="243"/>
      <c r="AFH565" s="243"/>
      <c r="AFI565" s="243"/>
      <c r="AFJ565" s="243"/>
      <c r="AFK565" s="243"/>
      <c r="AFL565" s="243"/>
      <c r="AFM565" s="243"/>
      <c r="AFN565" s="243"/>
      <c r="AFO565" s="243"/>
      <c r="AFP565" s="243"/>
      <c r="AFQ565" s="243"/>
      <c r="AFR565" s="243"/>
      <c r="AFS565" s="243"/>
      <c r="AFT565" s="243"/>
      <c r="AFU565" s="243"/>
      <c r="AFV565" s="243"/>
      <c r="AFW565" s="243"/>
      <c r="AFX565" s="243"/>
      <c r="AFY565" s="243"/>
      <c r="AFZ565" s="243"/>
      <c r="AGA565" s="243"/>
      <c r="AGB565" s="243"/>
      <c r="AGC565" s="243"/>
      <c r="AGD565" s="243"/>
      <c r="AGE565" s="243"/>
      <c r="AGF565" s="243"/>
      <c r="AGG565" s="243"/>
      <c r="AGH565" s="243"/>
      <c r="AGI565" s="243"/>
      <c r="AGJ565" s="243"/>
      <c r="AGK565" s="243"/>
      <c r="AGL565" s="243"/>
      <c r="AGM565" s="243"/>
      <c r="AGN565" s="243"/>
      <c r="AGO565" s="243"/>
      <c r="AGP565" s="243"/>
      <c r="AGQ565" s="243"/>
      <c r="AGR565" s="243"/>
      <c r="AGS565" s="243"/>
      <c r="AGT565" s="243"/>
      <c r="AGU565" s="243"/>
      <c r="AGV565" s="243"/>
      <c r="AGW565" s="243"/>
      <c r="AGX565" s="243"/>
      <c r="AGY565" s="243"/>
      <c r="AGZ565" s="243"/>
      <c r="AHA565" s="243"/>
      <c r="AHB565" s="243"/>
      <c r="AHC565" s="243"/>
      <c r="AHD565" s="243"/>
      <c r="AHE565" s="243"/>
      <c r="AHF565" s="243"/>
      <c r="AHG565" s="243"/>
      <c r="AHH565" s="243"/>
      <c r="AHI565" s="243"/>
      <c r="AHJ565" s="243"/>
      <c r="AHK565" s="243"/>
      <c r="AHL565" s="243"/>
      <c r="AHM565" s="243"/>
      <c r="AHN565" s="243"/>
      <c r="AHO565" s="243"/>
      <c r="AHP565" s="243"/>
      <c r="AHQ565" s="243"/>
      <c r="AHR565" s="243"/>
      <c r="AHS565" s="243"/>
      <c r="AHT565" s="243"/>
      <c r="AHU565" s="243"/>
      <c r="AHV565" s="243"/>
      <c r="AHW565" s="243"/>
      <c r="AHX565" s="243"/>
      <c r="AHY565" s="243"/>
      <c r="AHZ565" s="243"/>
      <c r="AIA565" s="243"/>
      <c r="AIB565" s="243"/>
      <c r="AIC565" s="243"/>
      <c r="AID565" s="243"/>
      <c r="AIE565" s="243"/>
      <c r="AIF565" s="243"/>
      <c r="AIG565" s="243"/>
      <c r="AIH565" s="243"/>
      <c r="AII565" s="243"/>
      <c r="AIJ565" s="243"/>
      <c r="AIK565" s="243"/>
      <c r="AIL565" s="243"/>
      <c r="AIM565" s="243"/>
      <c r="AIN565" s="243"/>
      <c r="AIO565" s="243"/>
      <c r="AIP565" s="243"/>
      <c r="AIQ565" s="243"/>
      <c r="AIR565" s="243"/>
      <c r="AIS565" s="243"/>
      <c r="AIT565" s="243"/>
      <c r="AIU565" s="243"/>
      <c r="AIV565" s="243"/>
      <c r="AIW565" s="243"/>
      <c r="AIX565" s="243"/>
      <c r="AIY565" s="243"/>
      <c r="AIZ565" s="243"/>
      <c r="AJA565" s="243"/>
      <c r="AJB565" s="243"/>
      <c r="AJC565" s="243"/>
      <c r="AJD565" s="243"/>
      <c r="AJE565" s="243"/>
      <c r="AJF565" s="243"/>
      <c r="AJG565" s="243"/>
      <c r="AJH565" s="243"/>
      <c r="AJI565" s="243"/>
      <c r="AJJ565" s="243"/>
      <c r="AJK565" s="243"/>
      <c r="AJL565" s="243"/>
      <c r="AJM565" s="243"/>
      <c r="AJN565" s="243"/>
      <c r="AJO565" s="243"/>
      <c r="AJP565" s="243"/>
      <c r="AJQ565" s="243"/>
      <c r="AJR565" s="243"/>
      <c r="AJS565" s="243"/>
      <c r="AJT565" s="243"/>
      <c r="AJU565" s="243"/>
      <c r="AJV565" s="243"/>
      <c r="AJW565" s="243"/>
      <c r="AJX565" s="243"/>
      <c r="AJY565" s="243"/>
      <c r="AJZ565" s="243"/>
      <c r="AKA565" s="243"/>
      <c r="AKB565" s="243"/>
      <c r="AKC565" s="243"/>
      <c r="AKD565" s="243"/>
      <c r="AKE565" s="243"/>
      <c r="AKF565" s="243"/>
      <c r="AKG565" s="243"/>
      <c r="AKH565" s="243"/>
      <c r="AKI565" s="243"/>
      <c r="AKJ565" s="243"/>
      <c r="AKK565" s="243"/>
      <c r="AKL565" s="243"/>
      <c r="AKM565" s="243"/>
      <c r="AKN565" s="243"/>
      <c r="AKO565" s="243"/>
      <c r="AKP565" s="243"/>
      <c r="AKQ565" s="243"/>
      <c r="AKR565" s="243"/>
      <c r="AKS565" s="243"/>
      <c r="AKT565" s="243"/>
      <c r="AKU565" s="243"/>
      <c r="AKV565" s="243"/>
      <c r="AKW565" s="243"/>
      <c r="AKX565" s="243"/>
      <c r="AKY565" s="243"/>
      <c r="AKZ565" s="243"/>
      <c r="ALA565" s="243"/>
      <c r="ALB565" s="243"/>
      <c r="ALC565" s="243"/>
      <c r="ALD565" s="243"/>
      <c r="ALE565" s="243"/>
      <c r="ALF565" s="243"/>
      <c r="ALG565" s="243"/>
      <c r="ALH565" s="243"/>
      <c r="ALI565" s="243"/>
      <c r="ALJ565" s="243"/>
      <c r="ALK565" s="243"/>
      <c r="ALL565" s="243"/>
      <c r="ALM565" s="243"/>
      <c r="ALN565" s="243"/>
      <c r="ALO565" s="243"/>
      <c r="ALP565" s="243"/>
      <c r="ALQ565" s="243"/>
      <c r="ALR565" s="243"/>
      <c r="ALS565" s="243"/>
      <c r="ALT565" s="243"/>
      <c r="ALU565" s="243"/>
      <c r="ALV565" s="243"/>
      <c r="ALW565" s="243"/>
      <c r="ALX565" s="243"/>
      <c r="ALY565" s="243"/>
      <c r="ALZ565" s="243"/>
      <c r="AMA565" s="243"/>
      <c r="AMB565" s="243"/>
      <c r="AMC565" s="243"/>
      <c r="AMD565" s="243"/>
      <c r="AME565" s="243"/>
      <c r="AMF565" s="243"/>
      <c r="AMG565" s="243"/>
      <c r="AMH565" s="243"/>
      <c r="AMI565" s="243"/>
      <c r="AMJ565" s="243"/>
      <c r="AMK565" s="244"/>
    </row>
    <row r="566" spans="1:1025" hidden="1">
      <c r="A566" s="243"/>
      <c r="B566" s="791">
        <v>44656</v>
      </c>
      <c r="C566" s="250" t="s">
        <v>900</v>
      </c>
      <c r="D566" s="249" t="s">
        <v>948</v>
      </c>
      <c r="E566" s="249" t="s">
        <v>845</v>
      </c>
      <c r="F566" s="251">
        <v>450000000</v>
      </c>
      <c r="G566" s="250" t="s">
        <v>903</v>
      </c>
      <c r="H566" s="250" t="s">
        <v>523</v>
      </c>
      <c r="I566" s="250" t="s">
        <v>523</v>
      </c>
      <c r="J566" s="250"/>
      <c r="K566" s="250">
        <v>1</v>
      </c>
      <c r="L566" s="250" t="s">
        <v>947</v>
      </c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3"/>
      <c r="Z566" s="243"/>
      <c r="AA566" s="243"/>
      <c r="AB566" s="243"/>
      <c r="AC566" s="243"/>
      <c r="AD566" s="243"/>
      <c r="AE566" s="243"/>
      <c r="AF566" s="243"/>
      <c r="AG566" s="243"/>
      <c r="AH566" s="243"/>
      <c r="AI566" s="243"/>
      <c r="AJ566" s="243"/>
      <c r="AK566" s="243"/>
      <c r="AL566" s="243"/>
      <c r="AM566" s="243"/>
      <c r="AN566" s="243"/>
      <c r="AO566" s="243"/>
      <c r="AP566" s="243"/>
      <c r="AQ566" s="243"/>
      <c r="AR566" s="243"/>
      <c r="AS566" s="243"/>
      <c r="AT566" s="243"/>
      <c r="AU566" s="243"/>
      <c r="AV566" s="243"/>
      <c r="AW566" s="243"/>
      <c r="AX566" s="243"/>
      <c r="AY566" s="243"/>
      <c r="AZ566" s="243"/>
      <c r="BA566" s="243"/>
      <c r="BB566" s="243"/>
      <c r="BC566" s="243"/>
      <c r="BD566" s="243"/>
      <c r="BE566" s="243"/>
      <c r="BF566" s="243"/>
      <c r="BG566" s="243"/>
      <c r="BH566" s="243"/>
      <c r="BI566" s="243"/>
      <c r="BJ566" s="243"/>
      <c r="BK566" s="243"/>
      <c r="BL566" s="243"/>
      <c r="BM566" s="243"/>
      <c r="BN566" s="243"/>
      <c r="BO566" s="243"/>
      <c r="BP566" s="243"/>
      <c r="BQ566" s="243"/>
      <c r="BR566" s="243"/>
      <c r="BS566" s="243"/>
      <c r="BT566" s="243"/>
      <c r="BU566" s="243"/>
      <c r="BV566" s="243"/>
      <c r="BW566" s="243"/>
      <c r="BX566" s="243"/>
      <c r="BY566" s="243"/>
      <c r="BZ566" s="243"/>
      <c r="CA566" s="243"/>
      <c r="CB566" s="243"/>
      <c r="CC566" s="243"/>
      <c r="CD566" s="243"/>
      <c r="CE566" s="243"/>
      <c r="CF566" s="243"/>
      <c r="CG566" s="243"/>
      <c r="CH566" s="243"/>
      <c r="CI566" s="243"/>
      <c r="CJ566" s="243"/>
      <c r="CK566" s="243"/>
      <c r="CL566" s="243"/>
      <c r="CM566" s="243"/>
      <c r="CN566" s="243"/>
      <c r="CO566" s="243"/>
      <c r="CP566" s="243"/>
      <c r="CQ566" s="243"/>
      <c r="CR566" s="243"/>
      <c r="CS566" s="243"/>
      <c r="CT566" s="243"/>
      <c r="CU566" s="243"/>
      <c r="CV566" s="243"/>
      <c r="CW566" s="243"/>
      <c r="CX566" s="243"/>
      <c r="CY566" s="243"/>
      <c r="CZ566" s="243"/>
      <c r="DA566" s="243"/>
      <c r="DB566" s="243"/>
      <c r="DC566" s="243"/>
      <c r="DD566" s="243"/>
      <c r="DE566" s="243"/>
      <c r="DF566" s="243"/>
      <c r="DG566" s="243"/>
      <c r="DH566" s="243"/>
      <c r="DI566" s="243"/>
      <c r="DJ566" s="243"/>
      <c r="DK566" s="243"/>
      <c r="DL566" s="243"/>
      <c r="DM566" s="243"/>
      <c r="DN566" s="243"/>
      <c r="DO566" s="243"/>
      <c r="DP566" s="243"/>
      <c r="DQ566" s="243"/>
      <c r="DR566" s="243"/>
      <c r="DS566" s="243"/>
      <c r="DT566" s="243"/>
      <c r="DU566" s="243"/>
      <c r="DV566" s="243"/>
      <c r="DW566" s="243"/>
      <c r="DX566" s="243"/>
      <c r="DY566" s="243"/>
      <c r="DZ566" s="243"/>
      <c r="EA566" s="243"/>
      <c r="EB566" s="243"/>
      <c r="EC566" s="243"/>
      <c r="ED566" s="243"/>
      <c r="EE566" s="243"/>
      <c r="EF566" s="243"/>
      <c r="EG566" s="243"/>
      <c r="EH566" s="243"/>
      <c r="EI566" s="243"/>
      <c r="EJ566" s="243"/>
      <c r="EK566" s="243"/>
      <c r="EL566" s="243"/>
      <c r="EM566" s="243"/>
      <c r="EN566" s="243"/>
      <c r="EO566" s="243"/>
      <c r="EP566" s="243"/>
      <c r="EQ566" s="243"/>
      <c r="ER566" s="243"/>
      <c r="ES566" s="243"/>
      <c r="ET566" s="243"/>
      <c r="EU566" s="243"/>
      <c r="EV566" s="243"/>
      <c r="EW566" s="243"/>
      <c r="EX566" s="243"/>
      <c r="EY566" s="243"/>
      <c r="EZ566" s="243"/>
      <c r="FA566" s="243"/>
      <c r="FB566" s="243"/>
      <c r="FC566" s="243"/>
      <c r="FD566" s="243"/>
      <c r="FE566" s="243"/>
      <c r="FF566" s="243"/>
      <c r="FG566" s="243"/>
      <c r="FH566" s="243"/>
      <c r="FI566" s="243"/>
      <c r="FJ566" s="243"/>
      <c r="FK566" s="243"/>
      <c r="FL566" s="243"/>
      <c r="FM566" s="243"/>
      <c r="FN566" s="243"/>
      <c r="FO566" s="243"/>
      <c r="FP566" s="243"/>
      <c r="FQ566" s="243"/>
      <c r="FR566" s="243"/>
      <c r="FS566" s="243"/>
      <c r="FT566" s="243"/>
      <c r="FU566" s="243"/>
      <c r="FV566" s="243"/>
      <c r="FW566" s="243"/>
      <c r="FX566" s="243"/>
      <c r="FY566" s="243"/>
      <c r="FZ566" s="243"/>
      <c r="GA566" s="243"/>
      <c r="GB566" s="243"/>
      <c r="GC566" s="243"/>
      <c r="GD566" s="243"/>
      <c r="GE566" s="243"/>
      <c r="GF566" s="243"/>
      <c r="GG566" s="243"/>
      <c r="GH566" s="243"/>
      <c r="GI566" s="243"/>
      <c r="GJ566" s="243"/>
      <c r="GK566" s="243"/>
      <c r="GL566" s="243"/>
      <c r="GM566" s="243"/>
      <c r="GN566" s="243"/>
      <c r="GO566" s="243"/>
      <c r="GP566" s="243"/>
      <c r="GQ566" s="243"/>
      <c r="GR566" s="243"/>
      <c r="GS566" s="243"/>
      <c r="GT566" s="243"/>
      <c r="GU566" s="243"/>
      <c r="GV566" s="243"/>
      <c r="GW566" s="243"/>
      <c r="GX566" s="243"/>
      <c r="GY566" s="243"/>
      <c r="GZ566" s="243"/>
      <c r="HA566" s="243"/>
      <c r="HB566" s="243"/>
      <c r="HC566" s="243"/>
      <c r="HD566" s="243"/>
      <c r="HE566" s="243"/>
      <c r="HF566" s="243"/>
      <c r="HG566" s="243"/>
      <c r="HH566" s="243"/>
      <c r="HI566" s="243"/>
      <c r="HJ566" s="243"/>
      <c r="HK566" s="243"/>
      <c r="HL566" s="243"/>
      <c r="HM566" s="243"/>
      <c r="HN566" s="243"/>
      <c r="HO566" s="243"/>
      <c r="HP566" s="243"/>
      <c r="HQ566" s="243"/>
      <c r="HR566" s="243"/>
      <c r="HS566" s="243"/>
      <c r="HT566" s="243"/>
      <c r="HU566" s="243"/>
      <c r="HV566" s="243"/>
      <c r="HW566" s="243"/>
      <c r="HX566" s="243"/>
      <c r="HY566" s="243"/>
      <c r="HZ566" s="243"/>
      <c r="IA566" s="243"/>
      <c r="IB566" s="243"/>
      <c r="IC566" s="243"/>
      <c r="ID566" s="243"/>
      <c r="IE566" s="243"/>
      <c r="IF566" s="243"/>
      <c r="IG566" s="243"/>
      <c r="IH566" s="243"/>
      <c r="II566" s="243"/>
      <c r="IJ566" s="243"/>
      <c r="IK566" s="243"/>
      <c r="IL566" s="243"/>
      <c r="IM566" s="243"/>
      <c r="IN566" s="243"/>
      <c r="IO566" s="243"/>
      <c r="IP566" s="243"/>
      <c r="IQ566" s="243"/>
      <c r="IR566" s="243"/>
      <c r="IS566" s="243"/>
      <c r="IT566" s="243"/>
      <c r="IU566" s="243"/>
      <c r="IV566" s="243"/>
      <c r="IW566" s="243"/>
      <c r="IX566" s="243"/>
      <c r="IY566" s="243"/>
      <c r="IZ566" s="243"/>
      <c r="JA566" s="243"/>
      <c r="JB566" s="243"/>
      <c r="JC566" s="243"/>
      <c r="JD566" s="243"/>
      <c r="JE566" s="243"/>
      <c r="JF566" s="243"/>
      <c r="JG566" s="243"/>
      <c r="JH566" s="243"/>
      <c r="JI566" s="243"/>
      <c r="JJ566" s="243"/>
      <c r="JK566" s="243"/>
      <c r="JL566" s="243"/>
      <c r="JM566" s="243"/>
      <c r="JN566" s="243"/>
      <c r="JO566" s="243"/>
      <c r="JP566" s="243"/>
      <c r="JQ566" s="243"/>
      <c r="JR566" s="243"/>
      <c r="JS566" s="243"/>
      <c r="JT566" s="243"/>
      <c r="JU566" s="243"/>
      <c r="JV566" s="243"/>
      <c r="JW566" s="243"/>
      <c r="JX566" s="243"/>
      <c r="JY566" s="243"/>
      <c r="JZ566" s="243"/>
      <c r="KA566" s="243"/>
      <c r="KB566" s="243"/>
      <c r="KC566" s="243"/>
      <c r="KD566" s="243"/>
      <c r="KE566" s="243"/>
      <c r="KF566" s="243"/>
      <c r="KG566" s="243"/>
      <c r="KH566" s="243"/>
      <c r="KI566" s="243"/>
      <c r="KJ566" s="243"/>
      <c r="KK566" s="243"/>
      <c r="KL566" s="243"/>
      <c r="KM566" s="243"/>
      <c r="KN566" s="243"/>
      <c r="KO566" s="243"/>
      <c r="KP566" s="243"/>
      <c r="KQ566" s="243"/>
      <c r="KR566" s="243"/>
      <c r="KS566" s="243"/>
      <c r="KT566" s="243"/>
      <c r="KU566" s="243"/>
      <c r="KV566" s="243"/>
      <c r="KW566" s="243"/>
      <c r="KX566" s="243"/>
      <c r="KY566" s="243"/>
      <c r="KZ566" s="243"/>
      <c r="LA566" s="243"/>
      <c r="LB566" s="243"/>
      <c r="LC566" s="243"/>
      <c r="LD566" s="243"/>
      <c r="LE566" s="243"/>
      <c r="LF566" s="243"/>
      <c r="LG566" s="243"/>
      <c r="LH566" s="243"/>
      <c r="LI566" s="243"/>
      <c r="LJ566" s="243"/>
      <c r="LK566" s="243"/>
      <c r="LL566" s="243"/>
      <c r="LM566" s="243"/>
      <c r="LN566" s="243"/>
      <c r="LO566" s="243"/>
      <c r="LP566" s="243"/>
      <c r="LQ566" s="243"/>
      <c r="LR566" s="243"/>
      <c r="LS566" s="243"/>
      <c r="LT566" s="243"/>
      <c r="LU566" s="243"/>
      <c r="LV566" s="243"/>
      <c r="LW566" s="243"/>
      <c r="LX566" s="243"/>
      <c r="LY566" s="243"/>
      <c r="LZ566" s="243"/>
      <c r="MA566" s="243"/>
      <c r="MB566" s="243"/>
      <c r="MC566" s="243"/>
      <c r="MD566" s="243"/>
      <c r="ME566" s="243"/>
      <c r="MF566" s="243"/>
      <c r="MG566" s="243"/>
      <c r="MH566" s="243"/>
      <c r="MI566" s="243"/>
      <c r="MJ566" s="243"/>
      <c r="MK566" s="243"/>
      <c r="ML566" s="243"/>
      <c r="MM566" s="243"/>
      <c r="MN566" s="243"/>
      <c r="MO566" s="243"/>
      <c r="MP566" s="243"/>
      <c r="MQ566" s="243"/>
      <c r="MR566" s="243"/>
      <c r="MS566" s="243"/>
      <c r="MT566" s="243"/>
      <c r="MU566" s="243"/>
      <c r="MV566" s="243"/>
      <c r="MW566" s="243"/>
      <c r="MX566" s="243"/>
      <c r="MY566" s="243"/>
      <c r="MZ566" s="243"/>
      <c r="NA566" s="243"/>
      <c r="NB566" s="243"/>
      <c r="NC566" s="243"/>
      <c r="ND566" s="243"/>
      <c r="NE566" s="243"/>
      <c r="NF566" s="243"/>
      <c r="NG566" s="243"/>
      <c r="NH566" s="243"/>
      <c r="NI566" s="243"/>
      <c r="NJ566" s="243"/>
      <c r="NK566" s="243"/>
      <c r="NL566" s="243"/>
      <c r="NM566" s="243"/>
      <c r="NN566" s="243"/>
      <c r="NO566" s="243"/>
      <c r="NP566" s="243"/>
      <c r="NQ566" s="243"/>
      <c r="NR566" s="243"/>
      <c r="NS566" s="243"/>
      <c r="NT566" s="243"/>
      <c r="NU566" s="243"/>
      <c r="NV566" s="243"/>
      <c r="NW566" s="243"/>
      <c r="NX566" s="243"/>
      <c r="NY566" s="243"/>
      <c r="NZ566" s="243"/>
      <c r="OA566" s="243"/>
      <c r="OB566" s="243"/>
      <c r="OC566" s="243"/>
      <c r="OD566" s="243"/>
      <c r="OE566" s="243"/>
      <c r="OF566" s="243"/>
      <c r="OG566" s="243"/>
      <c r="OH566" s="243"/>
      <c r="OI566" s="243"/>
      <c r="OJ566" s="243"/>
      <c r="OK566" s="243"/>
      <c r="OL566" s="243"/>
      <c r="OM566" s="243"/>
      <c r="ON566" s="243"/>
      <c r="OO566" s="243"/>
      <c r="OP566" s="243"/>
      <c r="OQ566" s="243"/>
      <c r="OR566" s="243"/>
      <c r="OS566" s="243"/>
      <c r="OT566" s="243"/>
      <c r="OU566" s="243"/>
      <c r="OV566" s="243"/>
      <c r="OW566" s="243"/>
      <c r="OX566" s="243"/>
      <c r="OY566" s="243"/>
      <c r="OZ566" s="243"/>
      <c r="PA566" s="243"/>
      <c r="PB566" s="243"/>
      <c r="PC566" s="243"/>
      <c r="PD566" s="243"/>
      <c r="PE566" s="243"/>
      <c r="PF566" s="243"/>
      <c r="PG566" s="243"/>
      <c r="PH566" s="243"/>
      <c r="PI566" s="243"/>
      <c r="PJ566" s="243"/>
      <c r="PK566" s="243"/>
      <c r="PL566" s="243"/>
      <c r="PM566" s="243"/>
      <c r="PN566" s="243"/>
      <c r="PO566" s="243"/>
      <c r="PP566" s="243"/>
      <c r="PQ566" s="243"/>
      <c r="PR566" s="243"/>
      <c r="PS566" s="243"/>
      <c r="PT566" s="243"/>
      <c r="PU566" s="243"/>
      <c r="PV566" s="243"/>
      <c r="PW566" s="243"/>
      <c r="PX566" s="243"/>
      <c r="PY566" s="243"/>
      <c r="PZ566" s="243"/>
      <c r="QA566" s="243"/>
      <c r="QB566" s="243"/>
      <c r="QC566" s="243"/>
      <c r="QD566" s="243"/>
      <c r="QE566" s="243"/>
      <c r="QF566" s="243"/>
      <c r="QG566" s="243"/>
      <c r="QH566" s="243"/>
      <c r="QI566" s="243"/>
      <c r="QJ566" s="243"/>
      <c r="QK566" s="243"/>
      <c r="QL566" s="243"/>
      <c r="QM566" s="243"/>
      <c r="QN566" s="243"/>
      <c r="QO566" s="243"/>
      <c r="QP566" s="243"/>
      <c r="QQ566" s="243"/>
      <c r="QR566" s="243"/>
      <c r="QS566" s="243"/>
      <c r="QT566" s="243"/>
      <c r="QU566" s="243"/>
      <c r="QV566" s="243"/>
      <c r="QW566" s="243"/>
      <c r="QX566" s="243"/>
      <c r="QY566" s="243"/>
      <c r="QZ566" s="243"/>
      <c r="RA566" s="243"/>
      <c r="RB566" s="243"/>
      <c r="RC566" s="243"/>
      <c r="RD566" s="243"/>
      <c r="RE566" s="243"/>
      <c r="RF566" s="243"/>
      <c r="RG566" s="243"/>
      <c r="RH566" s="243"/>
      <c r="RI566" s="243"/>
      <c r="RJ566" s="243"/>
      <c r="RK566" s="243"/>
      <c r="RL566" s="243"/>
      <c r="RM566" s="243"/>
      <c r="RN566" s="243"/>
      <c r="RO566" s="243"/>
      <c r="RP566" s="243"/>
      <c r="RQ566" s="243"/>
      <c r="RR566" s="243"/>
      <c r="RS566" s="243"/>
      <c r="RT566" s="243"/>
      <c r="RU566" s="243"/>
      <c r="RV566" s="243"/>
      <c r="RW566" s="243"/>
      <c r="RX566" s="243"/>
      <c r="RY566" s="243"/>
      <c r="RZ566" s="243"/>
      <c r="SA566" s="243"/>
      <c r="SB566" s="243"/>
      <c r="SC566" s="243"/>
      <c r="SD566" s="243"/>
      <c r="SE566" s="243"/>
      <c r="SF566" s="243"/>
      <c r="SG566" s="243"/>
      <c r="SH566" s="243"/>
      <c r="SI566" s="243"/>
      <c r="SJ566" s="243"/>
      <c r="SK566" s="243"/>
      <c r="SL566" s="243"/>
      <c r="SM566" s="243"/>
      <c r="SN566" s="243"/>
      <c r="SO566" s="243"/>
      <c r="SP566" s="243"/>
      <c r="SQ566" s="243"/>
      <c r="SR566" s="243"/>
      <c r="SS566" s="243"/>
      <c r="ST566" s="243"/>
      <c r="SU566" s="243"/>
      <c r="SV566" s="243"/>
      <c r="SW566" s="243"/>
      <c r="SX566" s="243"/>
      <c r="SY566" s="243"/>
      <c r="SZ566" s="243"/>
      <c r="TA566" s="243"/>
      <c r="TB566" s="243"/>
      <c r="TC566" s="243"/>
      <c r="TD566" s="243"/>
      <c r="TE566" s="243"/>
      <c r="TF566" s="243"/>
      <c r="TG566" s="243"/>
      <c r="TH566" s="243"/>
      <c r="TI566" s="243"/>
      <c r="TJ566" s="243"/>
      <c r="TK566" s="243"/>
      <c r="TL566" s="243"/>
      <c r="TM566" s="243"/>
      <c r="TN566" s="243"/>
      <c r="TO566" s="243"/>
      <c r="TP566" s="243"/>
      <c r="TQ566" s="243"/>
      <c r="TR566" s="243"/>
      <c r="TS566" s="243"/>
      <c r="TT566" s="243"/>
      <c r="TU566" s="243"/>
      <c r="TV566" s="243"/>
      <c r="TW566" s="243"/>
      <c r="TX566" s="243"/>
      <c r="TY566" s="243"/>
      <c r="TZ566" s="243"/>
      <c r="UA566" s="243"/>
      <c r="UB566" s="243"/>
      <c r="UC566" s="243"/>
      <c r="UD566" s="243"/>
      <c r="UE566" s="243"/>
      <c r="UF566" s="243"/>
      <c r="UG566" s="243"/>
      <c r="UH566" s="243"/>
      <c r="UI566" s="243"/>
      <c r="UJ566" s="243"/>
      <c r="UK566" s="243"/>
      <c r="UL566" s="243"/>
      <c r="UM566" s="243"/>
      <c r="UN566" s="243"/>
      <c r="UO566" s="243"/>
      <c r="UP566" s="243"/>
      <c r="UQ566" s="243"/>
      <c r="UR566" s="243"/>
      <c r="US566" s="243"/>
      <c r="UT566" s="243"/>
      <c r="UU566" s="243"/>
      <c r="UV566" s="243"/>
      <c r="UW566" s="243"/>
      <c r="UX566" s="243"/>
      <c r="UY566" s="243"/>
      <c r="UZ566" s="243"/>
      <c r="VA566" s="243"/>
      <c r="VB566" s="243"/>
      <c r="VC566" s="243"/>
      <c r="VD566" s="243"/>
      <c r="VE566" s="243"/>
      <c r="VF566" s="243"/>
      <c r="VG566" s="243"/>
      <c r="VH566" s="243"/>
      <c r="VI566" s="243"/>
      <c r="VJ566" s="243"/>
      <c r="VK566" s="243"/>
      <c r="VL566" s="243"/>
      <c r="VM566" s="243"/>
      <c r="VN566" s="243"/>
      <c r="VO566" s="243"/>
      <c r="VP566" s="243"/>
      <c r="VQ566" s="243"/>
      <c r="VR566" s="243"/>
      <c r="VS566" s="243"/>
      <c r="VT566" s="243"/>
      <c r="VU566" s="243"/>
      <c r="VV566" s="243"/>
      <c r="VW566" s="243"/>
      <c r="VX566" s="243"/>
      <c r="VY566" s="243"/>
      <c r="VZ566" s="243"/>
      <c r="WA566" s="243"/>
      <c r="WB566" s="243"/>
      <c r="WC566" s="243"/>
      <c r="WD566" s="243"/>
      <c r="WE566" s="243"/>
      <c r="WF566" s="243"/>
      <c r="WG566" s="243"/>
      <c r="WH566" s="243"/>
      <c r="WI566" s="243"/>
      <c r="WJ566" s="243"/>
      <c r="WK566" s="243"/>
      <c r="WL566" s="243"/>
      <c r="WM566" s="243"/>
      <c r="WN566" s="243"/>
      <c r="WO566" s="243"/>
      <c r="WP566" s="243"/>
      <c r="WQ566" s="243"/>
      <c r="WR566" s="243"/>
      <c r="WS566" s="243"/>
      <c r="WT566" s="243"/>
      <c r="WU566" s="243"/>
      <c r="WV566" s="243"/>
      <c r="WW566" s="243"/>
      <c r="WX566" s="243"/>
      <c r="WY566" s="243"/>
      <c r="WZ566" s="243"/>
      <c r="XA566" s="243"/>
      <c r="XB566" s="243"/>
      <c r="XC566" s="243"/>
      <c r="XD566" s="243"/>
      <c r="XE566" s="243"/>
      <c r="XF566" s="243"/>
      <c r="XG566" s="243"/>
      <c r="XH566" s="243"/>
      <c r="XI566" s="243"/>
      <c r="XJ566" s="243"/>
      <c r="XK566" s="243"/>
      <c r="XL566" s="243"/>
      <c r="XM566" s="243"/>
      <c r="XN566" s="243"/>
      <c r="XO566" s="243"/>
      <c r="XP566" s="243"/>
      <c r="XQ566" s="243"/>
      <c r="XR566" s="243"/>
      <c r="XS566" s="243"/>
      <c r="XT566" s="243"/>
      <c r="XU566" s="243"/>
      <c r="XV566" s="243"/>
      <c r="XW566" s="243"/>
      <c r="XX566" s="243"/>
      <c r="XY566" s="243"/>
      <c r="XZ566" s="243"/>
      <c r="YA566" s="243"/>
      <c r="YB566" s="243"/>
      <c r="YC566" s="243"/>
      <c r="YD566" s="243"/>
      <c r="YE566" s="243"/>
      <c r="YF566" s="243"/>
      <c r="YG566" s="243"/>
      <c r="YH566" s="243"/>
      <c r="YI566" s="243"/>
      <c r="YJ566" s="243"/>
      <c r="YK566" s="243"/>
      <c r="YL566" s="243"/>
      <c r="YM566" s="243"/>
      <c r="YN566" s="243"/>
      <c r="YO566" s="243"/>
      <c r="YP566" s="243"/>
      <c r="YQ566" s="243"/>
      <c r="YR566" s="243"/>
      <c r="YS566" s="243"/>
      <c r="YT566" s="243"/>
      <c r="YU566" s="243"/>
      <c r="YV566" s="243"/>
      <c r="YW566" s="243"/>
      <c r="YX566" s="243"/>
      <c r="YY566" s="243"/>
      <c r="YZ566" s="243"/>
      <c r="ZA566" s="243"/>
      <c r="ZB566" s="243"/>
      <c r="ZC566" s="243"/>
      <c r="ZD566" s="243"/>
      <c r="ZE566" s="243"/>
      <c r="ZF566" s="243"/>
      <c r="ZG566" s="243"/>
      <c r="ZH566" s="243"/>
      <c r="ZI566" s="243"/>
      <c r="ZJ566" s="243"/>
      <c r="ZK566" s="243"/>
      <c r="ZL566" s="243"/>
      <c r="ZM566" s="243"/>
      <c r="ZN566" s="243"/>
      <c r="ZO566" s="243"/>
      <c r="ZP566" s="243"/>
      <c r="ZQ566" s="243"/>
      <c r="ZR566" s="243"/>
      <c r="ZS566" s="243"/>
      <c r="ZT566" s="243"/>
      <c r="ZU566" s="243"/>
      <c r="ZV566" s="243"/>
      <c r="ZW566" s="243"/>
      <c r="ZX566" s="243"/>
      <c r="ZY566" s="243"/>
      <c r="ZZ566" s="243"/>
      <c r="AAA566" s="243"/>
      <c r="AAB566" s="243"/>
      <c r="AAC566" s="243"/>
      <c r="AAD566" s="243"/>
      <c r="AAE566" s="243"/>
      <c r="AAF566" s="243"/>
      <c r="AAG566" s="243"/>
      <c r="AAH566" s="243"/>
      <c r="AAI566" s="243"/>
      <c r="AAJ566" s="243"/>
      <c r="AAK566" s="243"/>
      <c r="AAL566" s="243"/>
      <c r="AAM566" s="243"/>
      <c r="AAN566" s="243"/>
      <c r="AAO566" s="243"/>
      <c r="AAP566" s="243"/>
      <c r="AAQ566" s="243"/>
      <c r="AAR566" s="243"/>
      <c r="AAS566" s="243"/>
      <c r="AAT566" s="243"/>
      <c r="AAU566" s="243"/>
      <c r="AAV566" s="243"/>
      <c r="AAW566" s="243"/>
      <c r="AAX566" s="243"/>
      <c r="AAY566" s="243"/>
      <c r="AAZ566" s="243"/>
      <c r="ABA566" s="243"/>
      <c r="ABB566" s="243"/>
      <c r="ABC566" s="243"/>
      <c r="ABD566" s="243"/>
      <c r="ABE566" s="243"/>
      <c r="ABF566" s="243"/>
      <c r="ABG566" s="243"/>
      <c r="ABH566" s="243"/>
      <c r="ABI566" s="243"/>
      <c r="ABJ566" s="243"/>
      <c r="ABK566" s="243"/>
      <c r="ABL566" s="243"/>
      <c r="ABM566" s="243"/>
      <c r="ABN566" s="243"/>
      <c r="ABO566" s="243"/>
      <c r="ABP566" s="243"/>
      <c r="ABQ566" s="243"/>
      <c r="ABR566" s="243"/>
      <c r="ABS566" s="243"/>
      <c r="ABT566" s="243"/>
      <c r="ABU566" s="243"/>
      <c r="ABV566" s="243"/>
      <c r="ABW566" s="243"/>
      <c r="ABX566" s="243"/>
      <c r="ABY566" s="243"/>
      <c r="ABZ566" s="243"/>
      <c r="ACA566" s="243"/>
      <c r="ACB566" s="243"/>
      <c r="ACC566" s="243"/>
      <c r="ACD566" s="243"/>
      <c r="ACE566" s="243"/>
      <c r="ACF566" s="243"/>
      <c r="ACG566" s="243"/>
      <c r="ACH566" s="243"/>
      <c r="ACI566" s="243"/>
      <c r="ACJ566" s="243"/>
      <c r="ACK566" s="243"/>
      <c r="ACL566" s="243"/>
      <c r="ACM566" s="243"/>
      <c r="ACN566" s="243"/>
      <c r="ACO566" s="243"/>
      <c r="ACP566" s="243"/>
      <c r="ACQ566" s="243"/>
      <c r="ACR566" s="243"/>
      <c r="ACS566" s="243"/>
      <c r="ACT566" s="243"/>
      <c r="ACU566" s="243"/>
      <c r="ACV566" s="243"/>
      <c r="ACW566" s="243"/>
      <c r="ACX566" s="243"/>
      <c r="ACY566" s="243"/>
      <c r="ACZ566" s="243"/>
      <c r="ADA566" s="243"/>
      <c r="ADB566" s="243"/>
      <c r="ADC566" s="243"/>
      <c r="ADD566" s="243"/>
      <c r="ADE566" s="243"/>
      <c r="ADF566" s="243"/>
      <c r="ADG566" s="243"/>
      <c r="ADH566" s="243"/>
      <c r="ADI566" s="243"/>
      <c r="ADJ566" s="243"/>
      <c r="ADK566" s="243"/>
      <c r="ADL566" s="243"/>
      <c r="ADM566" s="243"/>
      <c r="ADN566" s="243"/>
      <c r="ADO566" s="243"/>
      <c r="ADP566" s="243"/>
      <c r="ADQ566" s="243"/>
      <c r="ADR566" s="243"/>
      <c r="ADS566" s="243"/>
      <c r="ADT566" s="243"/>
      <c r="ADU566" s="243"/>
      <c r="ADV566" s="243"/>
      <c r="ADW566" s="243"/>
      <c r="ADX566" s="243"/>
      <c r="ADY566" s="243"/>
      <c r="ADZ566" s="243"/>
      <c r="AEA566" s="243"/>
      <c r="AEB566" s="243"/>
      <c r="AEC566" s="243"/>
      <c r="AED566" s="243"/>
      <c r="AEE566" s="243"/>
      <c r="AEF566" s="243"/>
      <c r="AEG566" s="243"/>
      <c r="AEH566" s="243"/>
      <c r="AEI566" s="243"/>
      <c r="AEJ566" s="243"/>
      <c r="AEK566" s="243"/>
      <c r="AEL566" s="243"/>
      <c r="AEM566" s="243"/>
      <c r="AEN566" s="243"/>
      <c r="AEO566" s="243"/>
      <c r="AEP566" s="243"/>
      <c r="AEQ566" s="243"/>
      <c r="AER566" s="243"/>
      <c r="AES566" s="243"/>
      <c r="AET566" s="243"/>
      <c r="AEU566" s="243"/>
      <c r="AEV566" s="243"/>
      <c r="AEW566" s="243"/>
      <c r="AEX566" s="243"/>
      <c r="AEY566" s="243"/>
      <c r="AEZ566" s="243"/>
      <c r="AFA566" s="243"/>
      <c r="AFB566" s="243"/>
      <c r="AFC566" s="243"/>
      <c r="AFD566" s="243"/>
      <c r="AFE566" s="243"/>
      <c r="AFF566" s="243"/>
      <c r="AFG566" s="243"/>
      <c r="AFH566" s="243"/>
      <c r="AFI566" s="243"/>
      <c r="AFJ566" s="243"/>
      <c r="AFK566" s="243"/>
      <c r="AFL566" s="243"/>
      <c r="AFM566" s="243"/>
      <c r="AFN566" s="243"/>
      <c r="AFO566" s="243"/>
      <c r="AFP566" s="243"/>
      <c r="AFQ566" s="243"/>
      <c r="AFR566" s="243"/>
      <c r="AFS566" s="243"/>
      <c r="AFT566" s="243"/>
      <c r="AFU566" s="243"/>
      <c r="AFV566" s="243"/>
      <c r="AFW566" s="243"/>
      <c r="AFX566" s="243"/>
      <c r="AFY566" s="243"/>
      <c r="AFZ566" s="243"/>
      <c r="AGA566" s="243"/>
      <c r="AGB566" s="243"/>
      <c r="AGC566" s="243"/>
      <c r="AGD566" s="243"/>
      <c r="AGE566" s="243"/>
      <c r="AGF566" s="243"/>
      <c r="AGG566" s="243"/>
      <c r="AGH566" s="243"/>
      <c r="AGI566" s="243"/>
      <c r="AGJ566" s="243"/>
      <c r="AGK566" s="243"/>
      <c r="AGL566" s="243"/>
      <c r="AGM566" s="243"/>
      <c r="AGN566" s="243"/>
      <c r="AGO566" s="243"/>
      <c r="AGP566" s="243"/>
      <c r="AGQ566" s="243"/>
      <c r="AGR566" s="243"/>
      <c r="AGS566" s="243"/>
      <c r="AGT566" s="243"/>
      <c r="AGU566" s="243"/>
      <c r="AGV566" s="243"/>
      <c r="AGW566" s="243"/>
      <c r="AGX566" s="243"/>
      <c r="AGY566" s="243"/>
      <c r="AGZ566" s="243"/>
      <c r="AHA566" s="243"/>
      <c r="AHB566" s="243"/>
      <c r="AHC566" s="243"/>
      <c r="AHD566" s="243"/>
      <c r="AHE566" s="243"/>
      <c r="AHF566" s="243"/>
      <c r="AHG566" s="243"/>
      <c r="AHH566" s="243"/>
      <c r="AHI566" s="243"/>
      <c r="AHJ566" s="243"/>
      <c r="AHK566" s="243"/>
      <c r="AHL566" s="243"/>
      <c r="AHM566" s="243"/>
      <c r="AHN566" s="243"/>
      <c r="AHO566" s="243"/>
      <c r="AHP566" s="243"/>
      <c r="AHQ566" s="243"/>
      <c r="AHR566" s="243"/>
      <c r="AHS566" s="243"/>
      <c r="AHT566" s="243"/>
      <c r="AHU566" s="243"/>
      <c r="AHV566" s="243"/>
      <c r="AHW566" s="243"/>
      <c r="AHX566" s="243"/>
      <c r="AHY566" s="243"/>
      <c r="AHZ566" s="243"/>
      <c r="AIA566" s="243"/>
      <c r="AIB566" s="243"/>
      <c r="AIC566" s="243"/>
      <c r="AID566" s="243"/>
      <c r="AIE566" s="243"/>
      <c r="AIF566" s="243"/>
      <c r="AIG566" s="243"/>
      <c r="AIH566" s="243"/>
      <c r="AII566" s="243"/>
      <c r="AIJ566" s="243"/>
      <c r="AIK566" s="243"/>
      <c r="AIL566" s="243"/>
      <c r="AIM566" s="243"/>
      <c r="AIN566" s="243"/>
      <c r="AIO566" s="243"/>
      <c r="AIP566" s="243"/>
      <c r="AIQ566" s="243"/>
      <c r="AIR566" s="243"/>
      <c r="AIS566" s="243"/>
      <c r="AIT566" s="243"/>
      <c r="AIU566" s="243"/>
      <c r="AIV566" s="243"/>
      <c r="AIW566" s="243"/>
      <c r="AIX566" s="243"/>
      <c r="AIY566" s="243"/>
      <c r="AIZ566" s="243"/>
      <c r="AJA566" s="243"/>
      <c r="AJB566" s="243"/>
      <c r="AJC566" s="243"/>
      <c r="AJD566" s="243"/>
      <c r="AJE566" s="243"/>
      <c r="AJF566" s="243"/>
      <c r="AJG566" s="243"/>
      <c r="AJH566" s="243"/>
      <c r="AJI566" s="243"/>
      <c r="AJJ566" s="243"/>
      <c r="AJK566" s="243"/>
      <c r="AJL566" s="243"/>
      <c r="AJM566" s="243"/>
      <c r="AJN566" s="243"/>
      <c r="AJO566" s="243"/>
      <c r="AJP566" s="243"/>
      <c r="AJQ566" s="243"/>
      <c r="AJR566" s="243"/>
      <c r="AJS566" s="243"/>
      <c r="AJT566" s="243"/>
      <c r="AJU566" s="243"/>
      <c r="AJV566" s="243"/>
      <c r="AJW566" s="243"/>
      <c r="AJX566" s="243"/>
      <c r="AJY566" s="243"/>
      <c r="AJZ566" s="243"/>
      <c r="AKA566" s="243"/>
      <c r="AKB566" s="243"/>
      <c r="AKC566" s="243"/>
      <c r="AKD566" s="243"/>
      <c r="AKE566" s="243"/>
      <c r="AKF566" s="243"/>
      <c r="AKG566" s="243"/>
      <c r="AKH566" s="243"/>
      <c r="AKI566" s="243"/>
      <c r="AKJ566" s="243"/>
      <c r="AKK566" s="243"/>
      <c r="AKL566" s="243"/>
      <c r="AKM566" s="243"/>
      <c r="AKN566" s="243"/>
      <c r="AKO566" s="243"/>
      <c r="AKP566" s="243"/>
      <c r="AKQ566" s="243"/>
      <c r="AKR566" s="243"/>
      <c r="AKS566" s="243"/>
      <c r="AKT566" s="243"/>
      <c r="AKU566" s="243"/>
      <c r="AKV566" s="243"/>
      <c r="AKW566" s="243"/>
      <c r="AKX566" s="243"/>
      <c r="AKY566" s="243"/>
      <c r="AKZ566" s="243"/>
      <c r="ALA566" s="243"/>
      <c r="ALB566" s="243"/>
      <c r="ALC566" s="243"/>
      <c r="ALD566" s="243"/>
      <c r="ALE566" s="243"/>
      <c r="ALF566" s="243"/>
      <c r="ALG566" s="243"/>
      <c r="ALH566" s="243"/>
      <c r="ALI566" s="243"/>
      <c r="ALJ566" s="243"/>
      <c r="ALK566" s="243"/>
      <c r="ALL566" s="243"/>
      <c r="ALM566" s="243"/>
      <c r="ALN566" s="243"/>
      <c r="ALO566" s="243"/>
      <c r="ALP566" s="243"/>
      <c r="ALQ566" s="243"/>
      <c r="ALR566" s="243"/>
      <c r="ALS566" s="243"/>
      <c r="ALT566" s="243"/>
      <c r="ALU566" s="243"/>
      <c r="ALV566" s="243"/>
      <c r="ALW566" s="243"/>
      <c r="ALX566" s="243"/>
      <c r="ALY566" s="243"/>
      <c r="ALZ566" s="243"/>
      <c r="AMA566" s="243"/>
      <c r="AMB566" s="243"/>
      <c r="AMC566" s="243"/>
      <c r="AMD566" s="243"/>
      <c r="AME566" s="243"/>
      <c r="AMF566" s="243"/>
      <c r="AMG566" s="243"/>
      <c r="AMH566" s="243"/>
      <c r="AMI566" s="243"/>
      <c r="AMJ566" s="243"/>
      <c r="AMK566" s="244"/>
    </row>
    <row r="567" spans="1:1025" hidden="1">
      <c r="A567" s="243"/>
      <c r="B567" s="791">
        <v>44656</v>
      </c>
      <c r="C567" s="250" t="s">
        <v>900</v>
      </c>
      <c r="D567" s="249" t="s">
        <v>949</v>
      </c>
      <c r="E567" s="249" t="s">
        <v>845</v>
      </c>
      <c r="F567" s="251">
        <v>560000000</v>
      </c>
      <c r="G567" s="250" t="s">
        <v>903</v>
      </c>
      <c r="H567" s="250" t="s">
        <v>523</v>
      </c>
      <c r="I567" s="250" t="s">
        <v>523</v>
      </c>
      <c r="J567" s="250"/>
      <c r="K567" s="250">
        <v>1</v>
      </c>
      <c r="L567" s="250" t="s">
        <v>947</v>
      </c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3"/>
      <c r="Z567" s="243"/>
      <c r="AA567" s="243"/>
      <c r="AB567" s="243"/>
      <c r="AC567" s="243"/>
      <c r="AD567" s="243"/>
      <c r="AE567" s="243"/>
      <c r="AF567" s="243"/>
      <c r="AG567" s="243"/>
      <c r="AH567" s="243"/>
      <c r="AI567" s="243"/>
      <c r="AJ567" s="243"/>
      <c r="AK567" s="243"/>
      <c r="AL567" s="243"/>
      <c r="AM567" s="243"/>
      <c r="AN567" s="243"/>
      <c r="AO567" s="243"/>
      <c r="AP567" s="243"/>
      <c r="AQ567" s="243"/>
      <c r="AR567" s="243"/>
      <c r="AS567" s="243"/>
      <c r="AT567" s="243"/>
      <c r="AU567" s="243"/>
      <c r="AV567" s="243"/>
      <c r="AW567" s="243"/>
      <c r="AX567" s="243"/>
      <c r="AY567" s="243"/>
      <c r="AZ567" s="243"/>
      <c r="BA567" s="243"/>
      <c r="BB567" s="243"/>
      <c r="BC567" s="243"/>
      <c r="BD567" s="243"/>
      <c r="BE567" s="243"/>
      <c r="BF567" s="243"/>
      <c r="BG567" s="243"/>
      <c r="BH567" s="243"/>
      <c r="BI567" s="243"/>
      <c r="BJ567" s="243"/>
      <c r="BK567" s="243"/>
      <c r="BL567" s="243"/>
      <c r="BM567" s="243"/>
      <c r="BN567" s="243"/>
      <c r="BO567" s="243"/>
      <c r="BP567" s="243"/>
      <c r="BQ567" s="243"/>
      <c r="BR567" s="243"/>
      <c r="BS567" s="243"/>
      <c r="BT567" s="243"/>
      <c r="BU567" s="243"/>
      <c r="BV567" s="243"/>
      <c r="BW567" s="243"/>
      <c r="BX567" s="243"/>
      <c r="BY567" s="243"/>
      <c r="BZ567" s="243"/>
      <c r="CA567" s="243"/>
      <c r="CB567" s="243"/>
      <c r="CC567" s="243"/>
      <c r="CD567" s="243"/>
      <c r="CE567" s="243"/>
      <c r="CF567" s="243"/>
      <c r="CG567" s="243"/>
      <c r="CH567" s="243"/>
      <c r="CI567" s="243"/>
      <c r="CJ567" s="243"/>
      <c r="CK567" s="243"/>
      <c r="CL567" s="243"/>
      <c r="CM567" s="243"/>
      <c r="CN567" s="243"/>
      <c r="CO567" s="243"/>
      <c r="CP567" s="243"/>
      <c r="CQ567" s="243"/>
      <c r="CR567" s="243"/>
      <c r="CS567" s="243"/>
      <c r="CT567" s="243"/>
      <c r="CU567" s="243"/>
      <c r="CV567" s="243"/>
      <c r="CW567" s="243"/>
      <c r="CX567" s="243"/>
      <c r="CY567" s="243"/>
      <c r="CZ567" s="243"/>
      <c r="DA567" s="243"/>
      <c r="DB567" s="243"/>
      <c r="DC567" s="243"/>
      <c r="DD567" s="243"/>
      <c r="DE567" s="243"/>
      <c r="DF567" s="243"/>
      <c r="DG567" s="243"/>
      <c r="DH567" s="243"/>
      <c r="DI567" s="243"/>
      <c r="DJ567" s="243"/>
      <c r="DK567" s="243"/>
      <c r="DL567" s="243"/>
      <c r="DM567" s="243"/>
      <c r="DN567" s="243"/>
      <c r="DO567" s="243"/>
      <c r="DP567" s="243"/>
      <c r="DQ567" s="243"/>
      <c r="DR567" s="243"/>
      <c r="DS567" s="243"/>
      <c r="DT567" s="243"/>
      <c r="DU567" s="243"/>
      <c r="DV567" s="243"/>
      <c r="DW567" s="243"/>
      <c r="DX567" s="243"/>
      <c r="DY567" s="243"/>
      <c r="DZ567" s="243"/>
      <c r="EA567" s="243"/>
      <c r="EB567" s="243"/>
      <c r="EC567" s="243"/>
      <c r="ED567" s="243"/>
      <c r="EE567" s="243"/>
      <c r="EF567" s="243"/>
      <c r="EG567" s="243"/>
      <c r="EH567" s="243"/>
      <c r="EI567" s="243"/>
      <c r="EJ567" s="243"/>
      <c r="EK567" s="243"/>
      <c r="EL567" s="243"/>
      <c r="EM567" s="243"/>
      <c r="EN567" s="243"/>
      <c r="EO567" s="243"/>
      <c r="EP567" s="243"/>
      <c r="EQ567" s="243"/>
      <c r="ER567" s="243"/>
      <c r="ES567" s="243"/>
      <c r="ET567" s="243"/>
      <c r="EU567" s="243"/>
      <c r="EV567" s="243"/>
      <c r="EW567" s="243"/>
      <c r="EX567" s="243"/>
      <c r="EY567" s="243"/>
      <c r="EZ567" s="243"/>
      <c r="FA567" s="243"/>
      <c r="FB567" s="243"/>
      <c r="FC567" s="243"/>
      <c r="FD567" s="243"/>
      <c r="FE567" s="243"/>
      <c r="FF567" s="243"/>
      <c r="FG567" s="243"/>
      <c r="FH567" s="243"/>
      <c r="FI567" s="243"/>
      <c r="FJ567" s="243"/>
      <c r="FK567" s="243"/>
      <c r="FL567" s="243"/>
      <c r="FM567" s="243"/>
      <c r="FN567" s="243"/>
      <c r="FO567" s="243"/>
      <c r="FP567" s="243"/>
      <c r="FQ567" s="243"/>
      <c r="FR567" s="243"/>
      <c r="FS567" s="243"/>
      <c r="FT567" s="243"/>
      <c r="FU567" s="243"/>
      <c r="FV567" s="243"/>
      <c r="FW567" s="243"/>
      <c r="FX567" s="243"/>
      <c r="FY567" s="243"/>
      <c r="FZ567" s="243"/>
      <c r="GA567" s="243"/>
      <c r="GB567" s="243"/>
      <c r="GC567" s="243"/>
      <c r="GD567" s="243"/>
      <c r="GE567" s="243"/>
      <c r="GF567" s="243"/>
      <c r="GG567" s="243"/>
      <c r="GH567" s="243"/>
      <c r="GI567" s="243"/>
      <c r="GJ567" s="243"/>
      <c r="GK567" s="243"/>
      <c r="GL567" s="243"/>
      <c r="GM567" s="243"/>
      <c r="GN567" s="243"/>
      <c r="GO567" s="243"/>
      <c r="GP567" s="243"/>
      <c r="GQ567" s="243"/>
      <c r="GR567" s="243"/>
      <c r="GS567" s="243"/>
      <c r="GT567" s="243"/>
      <c r="GU567" s="243"/>
      <c r="GV567" s="243"/>
      <c r="GW567" s="243"/>
      <c r="GX567" s="243"/>
      <c r="GY567" s="243"/>
      <c r="GZ567" s="243"/>
      <c r="HA567" s="243"/>
      <c r="HB567" s="243"/>
      <c r="HC567" s="243"/>
      <c r="HD567" s="243"/>
      <c r="HE567" s="243"/>
      <c r="HF567" s="243"/>
      <c r="HG567" s="243"/>
      <c r="HH567" s="243"/>
      <c r="HI567" s="243"/>
      <c r="HJ567" s="243"/>
      <c r="HK567" s="243"/>
      <c r="HL567" s="243"/>
      <c r="HM567" s="243"/>
      <c r="HN567" s="243"/>
      <c r="HO567" s="243"/>
      <c r="HP567" s="243"/>
      <c r="HQ567" s="243"/>
      <c r="HR567" s="243"/>
      <c r="HS567" s="243"/>
      <c r="HT567" s="243"/>
      <c r="HU567" s="243"/>
      <c r="HV567" s="243"/>
      <c r="HW567" s="243"/>
      <c r="HX567" s="243"/>
      <c r="HY567" s="243"/>
      <c r="HZ567" s="243"/>
      <c r="IA567" s="243"/>
      <c r="IB567" s="243"/>
      <c r="IC567" s="243"/>
      <c r="ID567" s="243"/>
      <c r="IE567" s="243"/>
      <c r="IF567" s="243"/>
      <c r="IG567" s="243"/>
      <c r="IH567" s="243"/>
      <c r="II567" s="243"/>
      <c r="IJ567" s="243"/>
      <c r="IK567" s="243"/>
      <c r="IL567" s="243"/>
      <c r="IM567" s="243"/>
      <c r="IN567" s="243"/>
      <c r="IO567" s="243"/>
      <c r="IP567" s="243"/>
      <c r="IQ567" s="243"/>
      <c r="IR567" s="243"/>
      <c r="IS567" s="243"/>
      <c r="IT567" s="243"/>
      <c r="IU567" s="243"/>
      <c r="IV567" s="243"/>
      <c r="IW567" s="243"/>
      <c r="IX567" s="243"/>
      <c r="IY567" s="243"/>
      <c r="IZ567" s="243"/>
      <c r="JA567" s="243"/>
      <c r="JB567" s="243"/>
      <c r="JC567" s="243"/>
      <c r="JD567" s="243"/>
      <c r="JE567" s="243"/>
      <c r="JF567" s="243"/>
      <c r="JG567" s="243"/>
      <c r="JH567" s="243"/>
      <c r="JI567" s="243"/>
      <c r="JJ567" s="243"/>
      <c r="JK567" s="243"/>
      <c r="JL567" s="243"/>
      <c r="JM567" s="243"/>
      <c r="JN567" s="243"/>
      <c r="JO567" s="243"/>
      <c r="JP567" s="243"/>
      <c r="JQ567" s="243"/>
      <c r="JR567" s="243"/>
      <c r="JS567" s="243"/>
      <c r="JT567" s="243"/>
      <c r="JU567" s="243"/>
      <c r="JV567" s="243"/>
      <c r="JW567" s="243"/>
      <c r="JX567" s="243"/>
      <c r="JY567" s="243"/>
      <c r="JZ567" s="243"/>
      <c r="KA567" s="243"/>
      <c r="KB567" s="243"/>
      <c r="KC567" s="243"/>
      <c r="KD567" s="243"/>
      <c r="KE567" s="243"/>
      <c r="KF567" s="243"/>
      <c r="KG567" s="243"/>
      <c r="KH567" s="243"/>
      <c r="KI567" s="243"/>
      <c r="KJ567" s="243"/>
      <c r="KK567" s="243"/>
      <c r="KL567" s="243"/>
      <c r="KM567" s="243"/>
      <c r="KN567" s="243"/>
      <c r="KO567" s="243"/>
      <c r="KP567" s="243"/>
      <c r="KQ567" s="243"/>
      <c r="KR567" s="243"/>
      <c r="KS567" s="243"/>
      <c r="KT567" s="243"/>
      <c r="KU567" s="243"/>
      <c r="KV567" s="243"/>
      <c r="KW567" s="243"/>
      <c r="KX567" s="243"/>
      <c r="KY567" s="243"/>
      <c r="KZ567" s="243"/>
      <c r="LA567" s="243"/>
      <c r="LB567" s="243"/>
      <c r="LC567" s="243"/>
      <c r="LD567" s="243"/>
      <c r="LE567" s="243"/>
      <c r="LF567" s="243"/>
      <c r="LG567" s="243"/>
      <c r="LH567" s="243"/>
      <c r="LI567" s="243"/>
      <c r="LJ567" s="243"/>
      <c r="LK567" s="243"/>
      <c r="LL567" s="243"/>
      <c r="LM567" s="243"/>
      <c r="LN567" s="243"/>
      <c r="LO567" s="243"/>
      <c r="LP567" s="243"/>
      <c r="LQ567" s="243"/>
      <c r="LR567" s="243"/>
      <c r="LS567" s="243"/>
      <c r="LT567" s="243"/>
      <c r="LU567" s="243"/>
      <c r="LV567" s="243"/>
      <c r="LW567" s="243"/>
      <c r="LX567" s="243"/>
      <c r="LY567" s="243"/>
      <c r="LZ567" s="243"/>
      <c r="MA567" s="243"/>
      <c r="MB567" s="243"/>
      <c r="MC567" s="243"/>
      <c r="MD567" s="243"/>
      <c r="ME567" s="243"/>
      <c r="MF567" s="243"/>
      <c r="MG567" s="243"/>
      <c r="MH567" s="243"/>
      <c r="MI567" s="243"/>
      <c r="MJ567" s="243"/>
      <c r="MK567" s="243"/>
      <c r="ML567" s="243"/>
      <c r="MM567" s="243"/>
      <c r="MN567" s="243"/>
      <c r="MO567" s="243"/>
      <c r="MP567" s="243"/>
      <c r="MQ567" s="243"/>
      <c r="MR567" s="243"/>
      <c r="MS567" s="243"/>
      <c r="MT567" s="243"/>
      <c r="MU567" s="243"/>
      <c r="MV567" s="243"/>
      <c r="MW567" s="243"/>
      <c r="MX567" s="243"/>
      <c r="MY567" s="243"/>
      <c r="MZ567" s="243"/>
      <c r="NA567" s="243"/>
      <c r="NB567" s="243"/>
      <c r="NC567" s="243"/>
      <c r="ND567" s="243"/>
      <c r="NE567" s="243"/>
      <c r="NF567" s="243"/>
      <c r="NG567" s="243"/>
      <c r="NH567" s="243"/>
      <c r="NI567" s="243"/>
      <c r="NJ567" s="243"/>
      <c r="NK567" s="243"/>
      <c r="NL567" s="243"/>
      <c r="NM567" s="243"/>
      <c r="NN567" s="243"/>
      <c r="NO567" s="243"/>
      <c r="NP567" s="243"/>
      <c r="NQ567" s="243"/>
      <c r="NR567" s="243"/>
      <c r="NS567" s="243"/>
      <c r="NT567" s="243"/>
      <c r="NU567" s="243"/>
      <c r="NV567" s="243"/>
      <c r="NW567" s="243"/>
      <c r="NX567" s="243"/>
      <c r="NY567" s="243"/>
      <c r="NZ567" s="243"/>
      <c r="OA567" s="243"/>
      <c r="OB567" s="243"/>
      <c r="OC567" s="243"/>
      <c r="OD567" s="243"/>
      <c r="OE567" s="243"/>
      <c r="OF567" s="243"/>
      <c r="OG567" s="243"/>
      <c r="OH567" s="243"/>
      <c r="OI567" s="243"/>
      <c r="OJ567" s="243"/>
      <c r="OK567" s="243"/>
      <c r="OL567" s="243"/>
      <c r="OM567" s="243"/>
      <c r="ON567" s="243"/>
      <c r="OO567" s="243"/>
      <c r="OP567" s="243"/>
      <c r="OQ567" s="243"/>
      <c r="OR567" s="243"/>
      <c r="OS567" s="243"/>
      <c r="OT567" s="243"/>
      <c r="OU567" s="243"/>
      <c r="OV567" s="243"/>
      <c r="OW567" s="243"/>
      <c r="OX567" s="243"/>
      <c r="OY567" s="243"/>
      <c r="OZ567" s="243"/>
      <c r="PA567" s="243"/>
      <c r="PB567" s="243"/>
      <c r="PC567" s="243"/>
      <c r="PD567" s="243"/>
      <c r="PE567" s="243"/>
      <c r="PF567" s="243"/>
      <c r="PG567" s="243"/>
      <c r="PH567" s="243"/>
      <c r="PI567" s="243"/>
      <c r="PJ567" s="243"/>
      <c r="PK567" s="243"/>
      <c r="PL567" s="243"/>
      <c r="PM567" s="243"/>
      <c r="PN567" s="243"/>
      <c r="PO567" s="243"/>
      <c r="PP567" s="243"/>
      <c r="PQ567" s="243"/>
      <c r="PR567" s="243"/>
      <c r="PS567" s="243"/>
      <c r="PT567" s="243"/>
      <c r="PU567" s="243"/>
      <c r="PV567" s="243"/>
      <c r="PW567" s="243"/>
      <c r="PX567" s="243"/>
      <c r="PY567" s="243"/>
      <c r="PZ567" s="243"/>
      <c r="QA567" s="243"/>
      <c r="QB567" s="243"/>
      <c r="QC567" s="243"/>
      <c r="QD567" s="243"/>
      <c r="QE567" s="243"/>
      <c r="QF567" s="243"/>
      <c r="QG567" s="243"/>
      <c r="QH567" s="243"/>
      <c r="QI567" s="243"/>
      <c r="QJ567" s="243"/>
      <c r="QK567" s="243"/>
      <c r="QL567" s="243"/>
      <c r="QM567" s="243"/>
      <c r="QN567" s="243"/>
      <c r="QO567" s="243"/>
      <c r="QP567" s="243"/>
      <c r="QQ567" s="243"/>
      <c r="QR567" s="243"/>
      <c r="QS567" s="243"/>
      <c r="QT567" s="243"/>
      <c r="QU567" s="243"/>
      <c r="QV567" s="243"/>
      <c r="QW567" s="243"/>
      <c r="QX567" s="243"/>
      <c r="QY567" s="243"/>
      <c r="QZ567" s="243"/>
      <c r="RA567" s="243"/>
      <c r="RB567" s="243"/>
      <c r="RC567" s="243"/>
      <c r="RD567" s="243"/>
      <c r="RE567" s="243"/>
      <c r="RF567" s="243"/>
      <c r="RG567" s="243"/>
      <c r="RH567" s="243"/>
      <c r="RI567" s="243"/>
      <c r="RJ567" s="243"/>
      <c r="RK567" s="243"/>
      <c r="RL567" s="243"/>
      <c r="RM567" s="243"/>
      <c r="RN567" s="243"/>
      <c r="RO567" s="243"/>
      <c r="RP567" s="243"/>
      <c r="RQ567" s="243"/>
      <c r="RR567" s="243"/>
      <c r="RS567" s="243"/>
      <c r="RT567" s="243"/>
      <c r="RU567" s="243"/>
      <c r="RV567" s="243"/>
      <c r="RW567" s="243"/>
      <c r="RX567" s="243"/>
      <c r="RY567" s="243"/>
      <c r="RZ567" s="243"/>
      <c r="SA567" s="243"/>
      <c r="SB567" s="243"/>
      <c r="SC567" s="243"/>
      <c r="SD567" s="243"/>
      <c r="SE567" s="243"/>
      <c r="SF567" s="243"/>
      <c r="SG567" s="243"/>
      <c r="SH567" s="243"/>
      <c r="SI567" s="243"/>
      <c r="SJ567" s="243"/>
      <c r="SK567" s="243"/>
      <c r="SL567" s="243"/>
      <c r="SM567" s="243"/>
      <c r="SN567" s="243"/>
      <c r="SO567" s="243"/>
      <c r="SP567" s="243"/>
      <c r="SQ567" s="243"/>
      <c r="SR567" s="243"/>
      <c r="SS567" s="243"/>
      <c r="ST567" s="243"/>
      <c r="SU567" s="243"/>
      <c r="SV567" s="243"/>
      <c r="SW567" s="243"/>
      <c r="SX567" s="243"/>
      <c r="SY567" s="243"/>
      <c r="SZ567" s="243"/>
      <c r="TA567" s="243"/>
      <c r="TB567" s="243"/>
      <c r="TC567" s="243"/>
      <c r="TD567" s="243"/>
      <c r="TE567" s="243"/>
      <c r="TF567" s="243"/>
      <c r="TG567" s="243"/>
      <c r="TH567" s="243"/>
      <c r="TI567" s="243"/>
      <c r="TJ567" s="243"/>
      <c r="TK567" s="243"/>
      <c r="TL567" s="243"/>
      <c r="TM567" s="243"/>
      <c r="TN567" s="243"/>
      <c r="TO567" s="243"/>
      <c r="TP567" s="243"/>
      <c r="TQ567" s="243"/>
      <c r="TR567" s="243"/>
      <c r="TS567" s="243"/>
      <c r="TT567" s="243"/>
      <c r="TU567" s="243"/>
      <c r="TV567" s="243"/>
      <c r="TW567" s="243"/>
      <c r="TX567" s="243"/>
      <c r="TY567" s="243"/>
      <c r="TZ567" s="243"/>
      <c r="UA567" s="243"/>
      <c r="UB567" s="243"/>
      <c r="UC567" s="243"/>
      <c r="UD567" s="243"/>
      <c r="UE567" s="243"/>
      <c r="UF567" s="243"/>
      <c r="UG567" s="243"/>
      <c r="UH567" s="243"/>
      <c r="UI567" s="243"/>
      <c r="UJ567" s="243"/>
      <c r="UK567" s="243"/>
      <c r="UL567" s="243"/>
      <c r="UM567" s="243"/>
      <c r="UN567" s="243"/>
      <c r="UO567" s="243"/>
      <c r="UP567" s="243"/>
      <c r="UQ567" s="243"/>
      <c r="UR567" s="243"/>
      <c r="US567" s="243"/>
      <c r="UT567" s="243"/>
      <c r="UU567" s="243"/>
      <c r="UV567" s="243"/>
      <c r="UW567" s="243"/>
      <c r="UX567" s="243"/>
      <c r="UY567" s="243"/>
      <c r="UZ567" s="243"/>
      <c r="VA567" s="243"/>
      <c r="VB567" s="243"/>
      <c r="VC567" s="243"/>
      <c r="VD567" s="243"/>
      <c r="VE567" s="243"/>
      <c r="VF567" s="243"/>
      <c r="VG567" s="243"/>
      <c r="VH567" s="243"/>
      <c r="VI567" s="243"/>
      <c r="VJ567" s="243"/>
      <c r="VK567" s="243"/>
      <c r="VL567" s="243"/>
      <c r="VM567" s="243"/>
      <c r="VN567" s="243"/>
      <c r="VO567" s="243"/>
      <c r="VP567" s="243"/>
      <c r="VQ567" s="243"/>
      <c r="VR567" s="243"/>
      <c r="VS567" s="243"/>
      <c r="VT567" s="243"/>
      <c r="VU567" s="243"/>
      <c r="VV567" s="243"/>
      <c r="VW567" s="243"/>
      <c r="VX567" s="243"/>
      <c r="VY567" s="243"/>
      <c r="VZ567" s="243"/>
      <c r="WA567" s="243"/>
      <c r="WB567" s="243"/>
      <c r="WC567" s="243"/>
      <c r="WD567" s="243"/>
      <c r="WE567" s="243"/>
      <c r="WF567" s="243"/>
      <c r="WG567" s="243"/>
      <c r="WH567" s="243"/>
      <c r="WI567" s="243"/>
      <c r="WJ567" s="243"/>
      <c r="WK567" s="243"/>
      <c r="WL567" s="243"/>
      <c r="WM567" s="243"/>
      <c r="WN567" s="243"/>
      <c r="WO567" s="243"/>
      <c r="WP567" s="243"/>
      <c r="WQ567" s="243"/>
      <c r="WR567" s="243"/>
      <c r="WS567" s="243"/>
      <c r="WT567" s="243"/>
      <c r="WU567" s="243"/>
      <c r="WV567" s="243"/>
      <c r="WW567" s="243"/>
      <c r="WX567" s="243"/>
      <c r="WY567" s="243"/>
      <c r="WZ567" s="243"/>
      <c r="XA567" s="243"/>
      <c r="XB567" s="243"/>
      <c r="XC567" s="243"/>
      <c r="XD567" s="243"/>
      <c r="XE567" s="243"/>
      <c r="XF567" s="243"/>
      <c r="XG567" s="243"/>
      <c r="XH567" s="243"/>
      <c r="XI567" s="243"/>
      <c r="XJ567" s="243"/>
      <c r="XK567" s="243"/>
      <c r="XL567" s="243"/>
      <c r="XM567" s="243"/>
      <c r="XN567" s="243"/>
      <c r="XO567" s="243"/>
      <c r="XP567" s="243"/>
      <c r="XQ567" s="243"/>
      <c r="XR567" s="243"/>
      <c r="XS567" s="243"/>
      <c r="XT567" s="243"/>
      <c r="XU567" s="243"/>
      <c r="XV567" s="243"/>
      <c r="XW567" s="243"/>
      <c r="XX567" s="243"/>
      <c r="XY567" s="243"/>
      <c r="XZ567" s="243"/>
      <c r="YA567" s="243"/>
      <c r="YB567" s="243"/>
      <c r="YC567" s="243"/>
      <c r="YD567" s="243"/>
      <c r="YE567" s="243"/>
      <c r="YF567" s="243"/>
      <c r="YG567" s="243"/>
      <c r="YH567" s="243"/>
      <c r="YI567" s="243"/>
      <c r="YJ567" s="243"/>
      <c r="YK567" s="243"/>
      <c r="YL567" s="243"/>
      <c r="YM567" s="243"/>
      <c r="YN567" s="243"/>
      <c r="YO567" s="243"/>
      <c r="YP567" s="243"/>
      <c r="YQ567" s="243"/>
      <c r="YR567" s="243"/>
      <c r="YS567" s="243"/>
      <c r="YT567" s="243"/>
      <c r="YU567" s="243"/>
      <c r="YV567" s="243"/>
      <c r="YW567" s="243"/>
      <c r="YX567" s="243"/>
      <c r="YY567" s="243"/>
      <c r="YZ567" s="243"/>
      <c r="ZA567" s="243"/>
      <c r="ZB567" s="243"/>
      <c r="ZC567" s="243"/>
      <c r="ZD567" s="243"/>
      <c r="ZE567" s="243"/>
      <c r="ZF567" s="243"/>
      <c r="ZG567" s="243"/>
      <c r="ZH567" s="243"/>
      <c r="ZI567" s="243"/>
      <c r="ZJ567" s="243"/>
      <c r="ZK567" s="243"/>
      <c r="ZL567" s="243"/>
      <c r="ZM567" s="243"/>
      <c r="ZN567" s="243"/>
      <c r="ZO567" s="243"/>
      <c r="ZP567" s="243"/>
      <c r="ZQ567" s="243"/>
      <c r="ZR567" s="243"/>
      <c r="ZS567" s="243"/>
      <c r="ZT567" s="243"/>
      <c r="ZU567" s="243"/>
      <c r="ZV567" s="243"/>
      <c r="ZW567" s="243"/>
      <c r="ZX567" s="243"/>
      <c r="ZY567" s="243"/>
      <c r="ZZ567" s="243"/>
      <c r="AAA567" s="243"/>
      <c r="AAB567" s="243"/>
      <c r="AAC567" s="243"/>
      <c r="AAD567" s="243"/>
      <c r="AAE567" s="243"/>
      <c r="AAF567" s="243"/>
      <c r="AAG567" s="243"/>
      <c r="AAH567" s="243"/>
      <c r="AAI567" s="243"/>
      <c r="AAJ567" s="243"/>
      <c r="AAK567" s="243"/>
      <c r="AAL567" s="243"/>
      <c r="AAM567" s="243"/>
      <c r="AAN567" s="243"/>
      <c r="AAO567" s="243"/>
      <c r="AAP567" s="243"/>
      <c r="AAQ567" s="243"/>
      <c r="AAR567" s="243"/>
      <c r="AAS567" s="243"/>
      <c r="AAT567" s="243"/>
      <c r="AAU567" s="243"/>
      <c r="AAV567" s="243"/>
      <c r="AAW567" s="243"/>
      <c r="AAX567" s="243"/>
      <c r="AAY567" s="243"/>
      <c r="AAZ567" s="243"/>
      <c r="ABA567" s="243"/>
      <c r="ABB567" s="243"/>
      <c r="ABC567" s="243"/>
      <c r="ABD567" s="243"/>
      <c r="ABE567" s="243"/>
      <c r="ABF567" s="243"/>
      <c r="ABG567" s="243"/>
      <c r="ABH567" s="243"/>
      <c r="ABI567" s="243"/>
      <c r="ABJ567" s="243"/>
      <c r="ABK567" s="243"/>
      <c r="ABL567" s="243"/>
      <c r="ABM567" s="243"/>
      <c r="ABN567" s="243"/>
      <c r="ABO567" s="243"/>
      <c r="ABP567" s="243"/>
      <c r="ABQ567" s="243"/>
      <c r="ABR567" s="243"/>
      <c r="ABS567" s="243"/>
      <c r="ABT567" s="243"/>
      <c r="ABU567" s="243"/>
      <c r="ABV567" s="243"/>
      <c r="ABW567" s="243"/>
      <c r="ABX567" s="243"/>
      <c r="ABY567" s="243"/>
      <c r="ABZ567" s="243"/>
      <c r="ACA567" s="243"/>
      <c r="ACB567" s="243"/>
      <c r="ACC567" s="243"/>
      <c r="ACD567" s="243"/>
      <c r="ACE567" s="243"/>
      <c r="ACF567" s="243"/>
      <c r="ACG567" s="243"/>
      <c r="ACH567" s="243"/>
      <c r="ACI567" s="243"/>
      <c r="ACJ567" s="243"/>
      <c r="ACK567" s="243"/>
      <c r="ACL567" s="243"/>
      <c r="ACM567" s="243"/>
      <c r="ACN567" s="243"/>
      <c r="ACO567" s="243"/>
      <c r="ACP567" s="243"/>
      <c r="ACQ567" s="243"/>
      <c r="ACR567" s="243"/>
      <c r="ACS567" s="243"/>
      <c r="ACT567" s="243"/>
      <c r="ACU567" s="243"/>
      <c r="ACV567" s="243"/>
      <c r="ACW567" s="243"/>
      <c r="ACX567" s="243"/>
      <c r="ACY567" s="243"/>
      <c r="ACZ567" s="243"/>
      <c r="ADA567" s="243"/>
      <c r="ADB567" s="243"/>
      <c r="ADC567" s="243"/>
      <c r="ADD567" s="243"/>
      <c r="ADE567" s="243"/>
      <c r="ADF567" s="243"/>
      <c r="ADG567" s="243"/>
      <c r="ADH567" s="243"/>
      <c r="ADI567" s="243"/>
      <c r="ADJ567" s="243"/>
      <c r="ADK567" s="243"/>
      <c r="ADL567" s="243"/>
      <c r="ADM567" s="243"/>
      <c r="ADN567" s="243"/>
      <c r="ADO567" s="243"/>
      <c r="ADP567" s="243"/>
      <c r="ADQ567" s="243"/>
      <c r="ADR567" s="243"/>
      <c r="ADS567" s="243"/>
      <c r="ADT567" s="243"/>
      <c r="ADU567" s="243"/>
      <c r="ADV567" s="243"/>
      <c r="ADW567" s="243"/>
      <c r="ADX567" s="243"/>
      <c r="ADY567" s="243"/>
      <c r="ADZ567" s="243"/>
      <c r="AEA567" s="243"/>
      <c r="AEB567" s="243"/>
      <c r="AEC567" s="243"/>
      <c r="AED567" s="243"/>
      <c r="AEE567" s="243"/>
      <c r="AEF567" s="243"/>
      <c r="AEG567" s="243"/>
      <c r="AEH567" s="243"/>
      <c r="AEI567" s="243"/>
      <c r="AEJ567" s="243"/>
      <c r="AEK567" s="243"/>
      <c r="AEL567" s="243"/>
      <c r="AEM567" s="243"/>
      <c r="AEN567" s="243"/>
      <c r="AEO567" s="243"/>
      <c r="AEP567" s="243"/>
      <c r="AEQ567" s="243"/>
      <c r="AER567" s="243"/>
      <c r="AES567" s="243"/>
      <c r="AET567" s="243"/>
      <c r="AEU567" s="243"/>
      <c r="AEV567" s="243"/>
      <c r="AEW567" s="243"/>
      <c r="AEX567" s="243"/>
      <c r="AEY567" s="243"/>
      <c r="AEZ567" s="243"/>
      <c r="AFA567" s="243"/>
      <c r="AFB567" s="243"/>
      <c r="AFC567" s="243"/>
      <c r="AFD567" s="243"/>
      <c r="AFE567" s="243"/>
      <c r="AFF567" s="243"/>
      <c r="AFG567" s="243"/>
      <c r="AFH567" s="243"/>
      <c r="AFI567" s="243"/>
      <c r="AFJ567" s="243"/>
      <c r="AFK567" s="243"/>
      <c r="AFL567" s="243"/>
      <c r="AFM567" s="243"/>
      <c r="AFN567" s="243"/>
      <c r="AFO567" s="243"/>
      <c r="AFP567" s="243"/>
      <c r="AFQ567" s="243"/>
      <c r="AFR567" s="243"/>
      <c r="AFS567" s="243"/>
      <c r="AFT567" s="243"/>
      <c r="AFU567" s="243"/>
      <c r="AFV567" s="243"/>
      <c r="AFW567" s="243"/>
      <c r="AFX567" s="243"/>
      <c r="AFY567" s="243"/>
      <c r="AFZ567" s="243"/>
      <c r="AGA567" s="243"/>
      <c r="AGB567" s="243"/>
      <c r="AGC567" s="243"/>
      <c r="AGD567" s="243"/>
      <c r="AGE567" s="243"/>
      <c r="AGF567" s="243"/>
      <c r="AGG567" s="243"/>
      <c r="AGH567" s="243"/>
      <c r="AGI567" s="243"/>
      <c r="AGJ567" s="243"/>
      <c r="AGK567" s="243"/>
      <c r="AGL567" s="243"/>
      <c r="AGM567" s="243"/>
      <c r="AGN567" s="243"/>
      <c r="AGO567" s="243"/>
      <c r="AGP567" s="243"/>
      <c r="AGQ567" s="243"/>
      <c r="AGR567" s="243"/>
      <c r="AGS567" s="243"/>
      <c r="AGT567" s="243"/>
      <c r="AGU567" s="243"/>
      <c r="AGV567" s="243"/>
      <c r="AGW567" s="243"/>
      <c r="AGX567" s="243"/>
      <c r="AGY567" s="243"/>
      <c r="AGZ567" s="243"/>
      <c r="AHA567" s="243"/>
      <c r="AHB567" s="243"/>
      <c r="AHC567" s="243"/>
      <c r="AHD567" s="243"/>
      <c r="AHE567" s="243"/>
      <c r="AHF567" s="243"/>
      <c r="AHG567" s="243"/>
      <c r="AHH567" s="243"/>
      <c r="AHI567" s="243"/>
      <c r="AHJ567" s="243"/>
      <c r="AHK567" s="243"/>
      <c r="AHL567" s="243"/>
      <c r="AHM567" s="243"/>
      <c r="AHN567" s="243"/>
      <c r="AHO567" s="243"/>
      <c r="AHP567" s="243"/>
      <c r="AHQ567" s="243"/>
      <c r="AHR567" s="243"/>
      <c r="AHS567" s="243"/>
      <c r="AHT567" s="243"/>
      <c r="AHU567" s="243"/>
      <c r="AHV567" s="243"/>
      <c r="AHW567" s="243"/>
      <c r="AHX567" s="243"/>
      <c r="AHY567" s="243"/>
      <c r="AHZ567" s="243"/>
      <c r="AIA567" s="243"/>
      <c r="AIB567" s="243"/>
      <c r="AIC567" s="243"/>
      <c r="AID567" s="243"/>
      <c r="AIE567" s="243"/>
      <c r="AIF567" s="243"/>
      <c r="AIG567" s="243"/>
      <c r="AIH567" s="243"/>
      <c r="AII567" s="243"/>
      <c r="AIJ567" s="243"/>
      <c r="AIK567" s="243"/>
      <c r="AIL567" s="243"/>
      <c r="AIM567" s="243"/>
      <c r="AIN567" s="243"/>
      <c r="AIO567" s="243"/>
      <c r="AIP567" s="243"/>
      <c r="AIQ567" s="243"/>
      <c r="AIR567" s="243"/>
      <c r="AIS567" s="243"/>
      <c r="AIT567" s="243"/>
      <c r="AIU567" s="243"/>
      <c r="AIV567" s="243"/>
      <c r="AIW567" s="243"/>
      <c r="AIX567" s="243"/>
      <c r="AIY567" s="243"/>
      <c r="AIZ567" s="243"/>
      <c r="AJA567" s="243"/>
      <c r="AJB567" s="243"/>
      <c r="AJC567" s="243"/>
      <c r="AJD567" s="243"/>
      <c r="AJE567" s="243"/>
      <c r="AJF567" s="243"/>
      <c r="AJG567" s="243"/>
      <c r="AJH567" s="243"/>
      <c r="AJI567" s="243"/>
      <c r="AJJ567" s="243"/>
      <c r="AJK567" s="243"/>
      <c r="AJL567" s="243"/>
      <c r="AJM567" s="243"/>
      <c r="AJN567" s="243"/>
      <c r="AJO567" s="243"/>
      <c r="AJP567" s="243"/>
      <c r="AJQ567" s="243"/>
      <c r="AJR567" s="243"/>
      <c r="AJS567" s="243"/>
      <c r="AJT567" s="243"/>
      <c r="AJU567" s="243"/>
      <c r="AJV567" s="243"/>
      <c r="AJW567" s="243"/>
      <c r="AJX567" s="243"/>
      <c r="AJY567" s="243"/>
      <c r="AJZ567" s="243"/>
      <c r="AKA567" s="243"/>
      <c r="AKB567" s="243"/>
      <c r="AKC567" s="243"/>
      <c r="AKD567" s="243"/>
      <c r="AKE567" s="243"/>
      <c r="AKF567" s="243"/>
      <c r="AKG567" s="243"/>
      <c r="AKH567" s="243"/>
      <c r="AKI567" s="243"/>
      <c r="AKJ567" s="243"/>
      <c r="AKK567" s="243"/>
      <c r="AKL567" s="243"/>
      <c r="AKM567" s="243"/>
      <c r="AKN567" s="243"/>
      <c r="AKO567" s="243"/>
      <c r="AKP567" s="243"/>
      <c r="AKQ567" s="243"/>
      <c r="AKR567" s="243"/>
      <c r="AKS567" s="243"/>
      <c r="AKT567" s="243"/>
      <c r="AKU567" s="243"/>
      <c r="AKV567" s="243"/>
      <c r="AKW567" s="243"/>
      <c r="AKX567" s="243"/>
      <c r="AKY567" s="243"/>
      <c r="AKZ567" s="243"/>
      <c r="ALA567" s="243"/>
      <c r="ALB567" s="243"/>
      <c r="ALC567" s="243"/>
      <c r="ALD567" s="243"/>
      <c r="ALE567" s="243"/>
      <c r="ALF567" s="243"/>
      <c r="ALG567" s="243"/>
      <c r="ALH567" s="243"/>
      <c r="ALI567" s="243"/>
      <c r="ALJ567" s="243"/>
      <c r="ALK567" s="243"/>
      <c r="ALL567" s="243"/>
      <c r="ALM567" s="243"/>
      <c r="ALN567" s="243"/>
      <c r="ALO567" s="243"/>
      <c r="ALP567" s="243"/>
      <c r="ALQ567" s="243"/>
      <c r="ALR567" s="243"/>
      <c r="ALS567" s="243"/>
      <c r="ALT567" s="243"/>
      <c r="ALU567" s="243"/>
      <c r="ALV567" s="243"/>
      <c r="ALW567" s="243"/>
      <c r="ALX567" s="243"/>
      <c r="ALY567" s="243"/>
      <c r="ALZ567" s="243"/>
      <c r="AMA567" s="243"/>
      <c r="AMB567" s="243"/>
      <c r="AMC567" s="243"/>
      <c r="AMD567" s="243"/>
      <c r="AME567" s="243"/>
      <c r="AMF567" s="243"/>
      <c r="AMG567" s="243"/>
      <c r="AMH567" s="243"/>
      <c r="AMI567" s="243"/>
      <c r="AMJ567" s="243"/>
      <c r="AMK567" s="244"/>
    </row>
    <row r="568" spans="1:1025" ht="18.75" hidden="1">
      <c r="A568" s="243"/>
      <c r="B568" s="1051"/>
      <c r="C568" s="1052"/>
      <c r="D568" s="1052"/>
      <c r="E568" s="1052"/>
      <c r="F568" s="1052"/>
      <c r="G568" s="1052"/>
      <c r="H568" s="1052"/>
      <c r="I568" s="1053"/>
      <c r="J568" s="254">
        <f>SUM(J557:J567)</f>
        <v>5</v>
      </c>
      <c r="K568" s="254">
        <f>SUM(K565:K567)</f>
        <v>3</v>
      </c>
      <c r="L568" s="254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3"/>
      <c r="Z568" s="243"/>
      <c r="AA568" s="243"/>
      <c r="AB568" s="243"/>
      <c r="AC568" s="243"/>
      <c r="AD568" s="243"/>
      <c r="AE568" s="243"/>
      <c r="AF568" s="243"/>
      <c r="AG568" s="243"/>
      <c r="AH568" s="243"/>
      <c r="AI568" s="243"/>
      <c r="AJ568" s="243"/>
      <c r="AK568" s="243"/>
      <c r="AL568" s="243"/>
      <c r="AM568" s="243"/>
      <c r="AN568" s="243"/>
      <c r="AO568" s="243"/>
      <c r="AP568" s="243"/>
      <c r="AQ568" s="243"/>
      <c r="AR568" s="243"/>
      <c r="AS568" s="243"/>
      <c r="AT568" s="243"/>
      <c r="AU568" s="243"/>
      <c r="AV568" s="243"/>
      <c r="AW568" s="243"/>
      <c r="AX568" s="243"/>
      <c r="AY568" s="243"/>
      <c r="AZ568" s="243"/>
      <c r="BA568" s="243"/>
      <c r="BB568" s="243"/>
      <c r="BC568" s="243"/>
      <c r="BD568" s="243"/>
      <c r="BE568" s="243"/>
      <c r="BF568" s="243"/>
      <c r="BG568" s="243"/>
      <c r="BH568" s="243"/>
      <c r="BI568" s="243"/>
      <c r="BJ568" s="243"/>
      <c r="BK568" s="243"/>
      <c r="BL568" s="243"/>
      <c r="BM568" s="243"/>
      <c r="BN568" s="243"/>
      <c r="BO568" s="243"/>
      <c r="BP568" s="243"/>
      <c r="BQ568" s="243"/>
      <c r="BR568" s="243"/>
      <c r="BS568" s="243"/>
      <c r="BT568" s="243"/>
      <c r="BU568" s="243"/>
      <c r="BV568" s="243"/>
      <c r="BW568" s="243"/>
      <c r="BX568" s="243"/>
      <c r="BY568" s="243"/>
      <c r="BZ568" s="243"/>
      <c r="CA568" s="243"/>
      <c r="CB568" s="243"/>
      <c r="CC568" s="243"/>
      <c r="CD568" s="243"/>
      <c r="CE568" s="243"/>
      <c r="CF568" s="243"/>
      <c r="CG568" s="243"/>
      <c r="CH568" s="243"/>
      <c r="CI568" s="243"/>
      <c r="CJ568" s="243"/>
      <c r="CK568" s="243"/>
      <c r="CL568" s="243"/>
      <c r="CM568" s="243"/>
      <c r="CN568" s="243"/>
      <c r="CO568" s="243"/>
      <c r="CP568" s="243"/>
      <c r="CQ568" s="243"/>
      <c r="CR568" s="243"/>
      <c r="CS568" s="243"/>
      <c r="CT568" s="243"/>
      <c r="CU568" s="243"/>
      <c r="CV568" s="243"/>
      <c r="CW568" s="243"/>
      <c r="CX568" s="243"/>
      <c r="CY568" s="243"/>
      <c r="CZ568" s="243"/>
      <c r="DA568" s="243"/>
      <c r="DB568" s="243"/>
      <c r="DC568" s="243"/>
      <c r="DD568" s="243"/>
      <c r="DE568" s="243"/>
      <c r="DF568" s="243"/>
      <c r="DG568" s="243"/>
      <c r="DH568" s="243"/>
      <c r="DI568" s="243"/>
      <c r="DJ568" s="243"/>
      <c r="DK568" s="243"/>
      <c r="DL568" s="243"/>
      <c r="DM568" s="243"/>
      <c r="DN568" s="243"/>
      <c r="DO568" s="243"/>
      <c r="DP568" s="243"/>
      <c r="DQ568" s="243"/>
      <c r="DR568" s="243"/>
      <c r="DS568" s="243"/>
      <c r="DT568" s="243"/>
      <c r="DU568" s="243"/>
      <c r="DV568" s="243"/>
      <c r="DW568" s="243"/>
      <c r="DX568" s="243"/>
      <c r="DY568" s="243"/>
      <c r="DZ568" s="243"/>
      <c r="EA568" s="243"/>
      <c r="EB568" s="243"/>
      <c r="EC568" s="243"/>
      <c r="ED568" s="243"/>
      <c r="EE568" s="243"/>
      <c r="EF568" s="243"/>
      <c r="EG568" s="243"/>
      <c r="EH568" s="243"/>
      <c r="EI568" s="243"/>
      <c r="EJ568" s="243"/>
      <c r="EK568" s="243"/>
      <c r="EL568" s="243"/>
      <c r="EM568" s="243"/>
      <c r="EN568" s="243"/>
      <c r="EO568" s="243"/>
      <c r="EP568" s="243"/>
      <c r="EQ568" s="243"/>
      <c r="ER568" s="243"/>
      <c r="ES568" s="243"/>
      <c r="ET568" s="243"/>
      <c r="EU568" s="243"/>
      <c r="EV568" s="243"/>
      <c r="EW568" s="243"/>
      <c r="EX568" s="243"/>
      <c r="EY568" s="243"/>
      <c r="EZ568" s="243"/>
      <c r="FA568" s="243"/>
      <c r="FB568" s="243"/>
      <c r="FC568" s="243"/>
      <c r="FD568" s="243"/>
      <c r="FE568" s="243"/>
      <c r="FF568" s="243"/>
      <c r="FG568" s="243"/>
      <c r="FH568" s="243"/>
      <c r="FI568" s="243"/>
      <c r="FJ568" s="243"/>
      <c r="FK568" s="243"/>
      <c r="FL568" s="243"/>
      <c r="FM568" s="243"/>
      <c r="FN568" s="243"/>
      <c r="FO568" s="243"/>
      <c r="FP568" s="243"/>
      <c r="FQ568" s="243"/>
      <c r="FR568" s="243"/>
      <c r="FS568" s="243"/>
      <c r="FT568" s="243"/>
      <c r="FU568" s="243"/>
      <c r="FV568" s="243"/>
      <c r="FW568" s="243"/>
      <c r="FX568" s="243"/>
      <c r="FY568" s="243"/>
      <c r="FZ568" s="243"/>
      <c r="GA568" s="243"/>
      <c r="GB568" s="243"/>
      <c r="GC568" s="243"/>
      <c r="GD568" s="243"/>
      <c r="GE568" s="243"/>
      <c r="GF568" s="243"/>
      <c r="GG568" s="243"/>
      <c r="GH568" s="243"/>
      <c r="GI568" s="243"/>
      <c r="GJ568" s="243"/>
      <c r="GK568" s="243"/>
      <c r="GL568" s="243"/>
      <c r="GM568" s="243"/>
      <c r="GN568" s="243"/>
      <c r="GO568" s="243"/>
      <c r="GP568" s="243"/>
      <c r="GQ568" s="243"/>
      <c r="GR568" s="243"/>
      <c r="GS568" s="243"/>
      <c r="GT568" s="243"/>
      <c r="GU568" s="243"/>
      <c r="GV568" s="243"/>
      <c r="GW568" s="243"/>
      <c r="GX568" s="243"/>
      <c r="GY568" s="243"/>
      <c r="GZ568" s="243"/>
      <c r="HA568" s="243"/>
      <c r="HB568" s="243"/>
      <c r="HC568" s="243"/>
      <c r="HD568" s="243"/>
      <c r="HE568" s="243"/>
      <c r="HF568" s="243"/>
      <c r="HG568" s="243"/>
      <c r="HH568" s="243"/>
      <c r="HI568" s="243"/>
      <c r="HJ568" s="243"/>
      <c r="HK568" s="243"/>
      <c r="HL568" s="243"/>
      <c r="HM568" s="243"/>
      <c r="HN568" s="243"/>
      <c r="HO568" s="243"/>
      <c r="HP568" s="243"/>
      <c r="HQ568" s="243"/>
      <c r="HR568" s="243"/>
      <c r="HS568" s="243"/>
      <c r="HT568" s="243"/>
      <c r="HU568" s="243"/>
      <c r="HV568" s="243"/>
      <c r="HW568" s="243"/>
      <c r="HX568" s="243"/>
      <c r="HY568" s="243"/>
      <c r="HZ568" s="243"/>
      <c r="IA568" s="243"/>
      <c r="IB568" s="243"/>
      <c r="IC568" s="243"/>
      <c r="ID568" s="243"/>
      <c r="IE568" s="243"/>
      <c r="IF568" s="243"/>
      <c r="IG568" s="243"/>
      <c r="IH568" s="243"/>
      <c r="II568" s="243"/>
      <c r="IJ568" s="243"/>
      <c r="IK568" s="243"/>
      <c r="IL568" s="243"/>
      <c r="IM568" s="243"/>
      <c r="IN568" s="243"/>
      <c r="IO568" s="243"/>
      <c r="IP568" s="243"/>
      <c r="IQ568" s="243"/>
      <c r="IR568" s="243"/>
      <c r="IS568" s="243"/>
      <c r="IT568" s="243"/>
      <c r="IU568" s="243"/>
      <c r="IV568" s="243"/>
      <c r="IW568" s="243"/>
      <c r="IX568" s="243"/>
      <c r="IY568" s="243"/>
      <c r="IZ568" s="243"/>
      <c r="JA568" s="243"/>
      <c r="JB568" s="243"/>
      <c r="JC568" s="243"/>
      <c r="JD568" s="243"/>
      <c r="JE568" s="243"/>
      <c r="JF568" s="243"/>
      <c r="JG568" s="243"/>
      <c r="JH568" s="243"/>
      <c r="JI568" s="243"/>
      <c r="JJ568" s="243"/>
      <c r="JK568" s="243"/>
      <c r="JL568" s="243"/>
      <c r="JM568" s="243"/>
      <c r="JN568" s="243"/>
      <c r="JO568" s="243"/>
      <c r="JP568" s="243"/>
      <c r="JQ568" s="243"/>
      <c r="JR568" s="243"/>
      <c r="JS568" s="243"/>
      <c r="JT568" s="243"/>
      <c r="JU568" s="243"/>
      <c r="JV568" s="243"/>
      <c r="JW568" s="243"/>
      <c r="JX568" s="243"/>
      <c r="JY568" s="243"/>
      <c r="JZ568" s="243"/>
      <c r="KA568" s="243"/>
      <c r="KB568" s="243"/>
      <c r="KC568" s="243"/>
      <c r="KD568" s="243"/>
      <c r="KE568" s="243"/>
      <c r="KF568" s="243"/>
      <c r="KG568" s="243"/>
      <c r="KH568" s="243"/>
      <c r="KI568" s="243"/>
      <c r="KJ568" s="243"/>
      <c r="KK568" s="243"/>
      <c r="KL568" s="243"/>
      <c r="KM568" s="243"/>
      <c r="KN568" s="243"/>
      <c r="KO568" s="243"/>
      <c r="KP568" s="243"/>
      <c r="KQ568" s="243"/>
      <c r="KR568" s="243"/>
      <c r="KS568" s="243"/>
      <c r="KT568" s="243"/>
      <c r="KU568" s="243"/>
      <c r="KV568" s="243"/>
      <c r="KW568" s="243"/>
      <c r="KX568" s="243"/>
      <c r="KY568" s="243"/>
      <c r="KZ568" s="243"/>
      <c r="LA568" s="243"/>
      <c r="LB568" s="243"/>
      <c r="LC568" s="243"/>
      <c r="LD568" s="243"/>
      <c r="LE568" s="243"/>
      <c r="LF568" s="243"/>
      <c r="LG568" s="243"/>
      <c r="LH568" s="243"/>
      <c r="LI568" s="243"/>
      <c r="LJ568" s="243"/>
      <c r="LK568" s="243"/>
      <c r="LL568" s="243"/>
      <c r="LM568" s="243"/>
      <c r="LN568" s="243"/>
      <c r="LO568" s="243"/>
      <c r="LP568" s="243"/>
      <c r="LQ568" s="243"/>
      <c r="LR568" s="243"/>
      <c r="LS568" s="243"/>
      <c r="LT568" s="243"/>
      <c r="LU568" s="243"/>
      <c r="LV568" s="243"/>
      <c r="LW568" s="243"/>
      <c r="LX568" s="243"/>
      <c r="LY568" s="243"/>
      <c r="LZ568" s="243"/>
      <c r="MA568" s="243"/>
      <c r="MB568" s="243"/>
      <c r="MC568" s="243"/>
      <c r="MD568" s="243"/>
      <c r="ME568" s="243"/>
      <c r="MF568" s="243"/>
      <c r="MG568" s="243"/>
      <c r="MH568" s="243"/>
      <c r="MI568" s="243"/>
      <c r="MJ568" s="243"/>
      <c r="MK568" s="243"/>
      <c r="ML568" s="243"/>
      <c r="MM568" s="243"/>
      <c r="MN568" s="243"/>
      <c r="MO568" s="243"/>
      <c r="MP568" s="243"/>
      <c r="MQ568" s="243"/>
      <c r="MR568" s="243"/>
      <c r="MS568" s="243"/>
      <c r="MT568" s="243"/>
      <c r="MU568" s="243"/>
      <c r="MV568" s="243"/>
      <c r="MW568" s="243"/>
      <c r="MX568" s="243"/>
      <c r="MY568" s="243"/>
      <c r="MZ568" s="243"/>
      <c r="NA568" s="243"/>
      <c r="NB568" s="243"/>
      <c r="NC568" s="243"/>
      <c r="ND568" s="243"/>
      <c r="NE568" s="243"/>
      <c r="NF568" s="243"/>
      <c r="NG568" s="243"/>
      <c r="NH568" s="243"/>
      <c r="NI568" s="243"/>
      <c r="NJ568" s="243"/>
      <c r="NK568" s="243"/>
      <c r="NL568" s="243"/>
      <c r="NM568" s="243"/>
      <c r="NN568" s="243"/>
      <c r="NO568" s="243"/>
      <c r="NP568" s="243"/>
      <c r="NQ568" s="243"/>
      <c r="NR568" s="243"/>
      <c r="NS568" s="243"/>
      <c r="NT568" s="243"/>
      <c r="NU568" s="243"/>
      <c r="NV568" s="243"/>
      <c r="NW568" s="243"/>
      <c r="NX568" s="243"/>
      <c r="NY568" s="243"/>
      <c r="NZ568" s="243"/>
      <c r="OA568" s="243"/>
      <c r="OB568" s="243"/>
      <c r="OC568" s="243"/>
      <c r="OD568" s="243"/>
      <c r="OE568" s="243"/>
      <c r="OF568" s="243"/>
      <c r="OG568" s="243"/>
      <c r="OH568" s="243"/>
      <c r="OI568" s="243"/>
      <c r="OJ568" s="243"/>
      <c r="OK568" s="243"/>
      <c r="OL568" s="243"/>
      <c r="OM568" s="243"/>
      <c r="ON568" s="243"/>
      <c r="OO568" s="243"/>
      <c r="OP568" s="243"/>
      <c r="OQ568" s="243"/>
      <c r="OR568" s="243"/>
      <c r="OS568" s="243"/>
      <c r="OT568" s="243"/>
      <c r="OU568" s="243"/>
      <c r="OV568" s="243"/>
      <c r="OW568" s="243"/>
      <c r="OX568" s="243"/>
      <c r="OY568" s="243"/>
      <c r="OZ568" s="243"/>
      <c r="PA568" s="243"/>
      <c r="PB568" s="243"/>
      <c r="PC568" s="243"/>
      <c r="PD568" s="243"/>
      <c r="PE568" s="243"/>
      <c r="PF568" s="243"/>
      <c r="PG568" s="243"/>
      <c r="PH568" s="243"/>
      <c r="PI568" s="243"/>
      <c r="PJ568" s="243"/>
      <c r="PK568" s="243"/>
      <c r="PL568" s="243"/>
      <c r="PM568" s="243"/>
      <c r="PN568" s="243"/>
      <c r="PO568" s="243"/>
      <c r="PP568" s="243"/>
      <c r="PQ568" s="243"/>
      <c r="PR568" s="243"/>
      <c r="PS568" s="243"/>
      <c r="PT568" s="243"/>
      <c r="PU568" s="243"/>
      <c r="PV568" s="243"/>
      <c r="PW568" s="243"/>
      <c r="PX568" s="243"/>
      <c r="PY568" s="243"/>
      <c r="PZ568" s="243"/>
      <c r="QA568" s="243"/>
      <c r="QB568" s="243"/>
      <c r="QC568" s="243"/>
      <c r="QD568" s="243"/>
      <c r="QE568" s="243"/>
      <c r="QF568" s="243"/>
      <c r="QG568" s="243"/>
      <c r="QH568" s="243"/>
      <c r="QI568" s="243"/>
      <c r="QJ568" s="243"/>
      <c r="QK568" s="243"/>
      <c r="QL568" s="243"/>
      <c r="QM568" s="243"/>
      <c r="QN568" s="243"/>
      <c r="QO568" s="243"/>
      <c r="QP568" s="243"/>
      <c r="QQ568" s="243"/>
      <c r="QR568" s="243"/>
      <c r="QS568" s="243"/>
      <c r="QT568" s="243"/>
      <c r="QU568" s="243"/>
      <c r="QV568" s="243"/>
      <c r="QW568" s="243"/>
      <c r="QX568" s="243"/>
      <c r="QY568" s="243"/>
      <c r="QZ568" s="243"/>
      <c r="RA568" s="243"/>
      <c r="RB568" s="243"/>
      <c r="RC568" s="243"/>
      <c r="RD568" s="243"/>
      <c r="RE568" s="243"/>
      <c r="RF568" s="243"/>
      <c r="RG568" s="243"/>
      <c r="RH568" s="243"/>
      <c r="RI568" s="243"/>
      <c r="RJ568" s="243"/>
      <c r="RK568" s="243"/>
      <c r="RL568" s="243"/>
      <c r="RM568" s="243"/>
      <c r="RN568" s="243"/>
      <c r="RO568" s="243"/>
      <c r="RP568" s="243"/>
      <c r="RQ568" s="243"/>
      <c r="RR568" s="243"/>
      <c r="RS568" s="243"/>
      <c r="RT568" s="243"/>
      <c r="RU568" s="243"/>
      <c r="RV568" s="243"/>
      <c r="RW568" s="243"/>
      <c r="RX568" s="243"/>
      <c r="RY568" s="243"/>
      <c r="RZ568" s="243"/>
      <c r="SA568" s="243"/>
      <c r="SB568" s="243"/>
      <c r="SC568" s="243"/>
      <c r="SD568" s="243"/>
      <c r="SE568" s="243"/>
      <c r="SF568" s="243"/>
      <c r="SG568" s="243"/>
      <c r="SH568" s="243"/>
      <c r="SI568" s="243"/>
      <c r="SJ568" s="243"/>
      <c r="SK568" s="243"/>
      <c r="SL568" s="243"/>
      <c r="SM568" s="243"/>
      <c r="SN568" s="243"/>
      <c r="SO568" s="243"/>
      <c r="SP568" s="243"/>
      <c r="SQ568" s="243"/>
      <c r="SR568" s="243"/>
      <c r="SS568" s="243"/>
      <c r="ST568" s="243"/>
      <c r="SU568" s="243"/>
      <c r="SV568" s="243"/>
      <c r="SW568" s="243"/>
      <c r="SX568" s="243"/>
      <c r="SY568" s="243"/>
      <c r="SZ568" s="243"/>
      <c r="TA568" s="243"/>
      <c r="TB568" s="243"/>
      <c r="TC568" s="243"/>
      <c r="TD568" s="243"/>
      <c r="TE568" s="243"/>
      <c r="TF568" s="243"/>
      <c r="TG568" s="243"/>
      <c r="TH568" s="243"/>
      <c r="TI568" s="243"/>
      <c r="TJ568" s="243"/>
      <c r="TK568" s="243"/>
      <c r="TL568" s="243"/>
      <c r="TM568" s="243"/>
      <c r="TN568" s="243"/>
      <c r="TO568" s="243"/>
      <c r="TP568" s="243"/>
      <c r="TQ568" s="243"/>
      <c r="TR568" s="243"/>
      <c r="TS568" s="243"/>
      <c r="TT568" s="243"/>
      <c r="TU568" s="243"/>
      <c r="TV568" s="243"/>
      <c r="TW568" s="243"/>
      <c r="TX568" s="243"/>
      <c r="TY568" s="243"/>
      <c r="TZ568" s="243"/>
      <c r="UA568" s="243"/>
      <c r="UB568" s="243"/>
      <c r="UC568" s="243"/>
      <c r="UD568" s="243"/>
      <c r="UE568" s="243"/>
      <c r="UF568" s="243"/>
      <c r="UG568" s="243"/>
      <c r="UH568" s="243"/>
      <c r="UI568" s="243"/>
      <c r="UJ568" s="243"/>
      <c r="UK568" s="243"/>
      <c r="UL568" s="243"/>
      <c r="UM568" s="243"/>
      <c r="UN568" s="243"/>
      <c r="UO568" s="243"/>
      <c r="UP568" s="243"/>
      <c r="UQ568" s="243"/>
      <c r="UR568" s="243"/>
      <c r="US568" s="243"/>
      <c r="UT568" s="243"/>
      <c r="UU568" s="243"/>
      <c r="UV568" s="243"/>
      <c r="UW568" s="243"/>
      <c r="UX568" s="243"/>
      <c r="UY568" s="243"/>
      <c r="UZ568" s="243"/>
      <c r="VA568" s="243"/>
      <c r="VB568" s="243"/>
      <c r="VC568" s="243"/>
      <c r="VD568" s="243"/>
      <c r="VE568" s="243"/>
      <c r="VF568" s="243"/>
      <c r="VG568" s="243"/>
      <c r="VH568" s="243"/>
      <c r="VI568" s="243"/>
      <c r="VJ568" s="243"/>
      <c r="VK568" s="243"/>
      <c r="VL568" s="243"/>
      <c r="VM568" s="243"/>
      <c r="VN568" s="243"/>
      <c r="VO568" s="243"/>
      <c r="VP568" s="243"/>
      <c r="VQ568" s="243"/>
      <c r="VR568" s="243"/>
      <c r="VS568" s="243"/>
      <c r="VT568" s="243"/>
      <c r="VU568" s="243"/>
      <c r="VV568" s="243"/>
      <c r="VW568" s="243"/>
      <c r="VX568" s="243"/>
      <c r="VY568" s="243"/>
      <c r="VZ568" s="243"/>
      <c r="WA568" s="243"/>
      <c r="WB568" s="243"/>
      <c r="WC568" s="243"/>
      <c r="WD568" s="243"/>
      <c r="WE568" s="243"/>
      <c r="WF568" s="243"/>
      <c r="WG568" s="243"/>
      <c r="WH568" s="243"/>
      <c r="WI568" s="243"/>
      <c r="WJ568" s="243"/>
      <c r="WK568" s="243"/>
      <c r="WL568" s="243"/>
      <c r="WM568" s="243"/>
      <c r="WN568" s="243"/>
      <c r="WO568" s="243"/>
      <c r="WP568" s="243"/>
      <c r="WQ568" s="243"/>
      <c r="WR568" s="243"/>
      <c r="WS568" s="243"/>
      <c r="WT568" s="243"/>
      <c r="WU568" s="243"/>
      <c r="WV568" s="243"/>
      <c r="WW568" s="243"/>
      <c r="WX568" s="243"/>
      <c r="WY568" s="243"/>
      <c r="WZ568" s="243"/>
      <c r="XA568" s="243"/>
      <c r="XB568" s="243"/>
      <c r="XC568" s="243"/>
      <c r="XD568" s="243"/>
      <c r="XE568" s="243"/>
      <c r="XF568" s="243"/>
      <c r="XG568" s="243"/>
      <c r="XH568" s="243"/>
      <c r="XI568" s="243"/>
      <c r="XJ568" s="243"/>
      <c r="XK568" s="243"/>
      <c r="XL568" s="243"/>
      <c r="XM568" s="243"/>
      <c r="XN568" s="243"/>
      <c r="XO568" s="243"/>
      <c r="XP568" s="243"/>
      <c r="XQ568" s="243"/>
      <c r="XR568" s="243"/>
      <c r="XS568" s="243"/>
      <c r="XT568" s="243"/>
      <c r="XU568" s="243"/>
      <c r="XV568" s="243"/>
      <c r="XW568" s="243"/>
      <c r="XX568" s="243"/>
      <c r="XY568" s="243"/>
      <c r="XZ568" s="243"/>
      <c r="YA568" s="243"/>
      <c r="YB568" s="243"/>
      <c r="YC568" s="243"/>
      <c r="YD568" s="243"/>
      <c r="YE568" s="243"/>
      <c r="YF568" s="243"/>
      <c r="YG568" s="243"/>
      <c r="YH568" s="243"/>
      <c r="YI568" s="243"/>
      <c r="YJ568" s="243"/>
      <c r="YK568" s="243"/>
      <c r="YL568" s="243"/>
      <c r="YM568" s="243"/>
      <c r="YN568" s="243"/>
      <c r="YO568" s="243"/>
      <c r="YP568" s="243"/>
      <c r="YQ568" s="243"/>
      <c r="YR568" s="243"/>
      <c r="YS568" s="243"/>
      <c r="YT568" s="243"/>
      <c r="YU568" s="243"/>
      <c r="YV568" s="243"/>
      <c r="YW568" s="243"/>
      <c r="YX568" s="243"/>
      <c r="YY568" s="243"/>
      <c r="YZ568" s="243"/>
      <c r="ZA568" s="243"/>
      <c r="ZB568" s="243"/>
      <c r="ZC568" s="243"/>
      <c r="ZD568" s="243"/>
      <c r="ZE568" s="243"/>
      <c r="ZF568" s="243"/>
      <c r="ZG568" s="243"/>
      <c r="ZH568" s="243"/>
      <c r="ZI568" s="243"/>
      <c r="ZJ568" s="243"/>
      <c r="ZK568" s="243"/>
      <c r="ZL568" s="243"/>
      <c r="ZM568" s="243"/>
      <c r="ZN568" s="243"/>
      <c r="ZO568" s="243"/>
      <c r="ZP568" s="243"/>
      <c r="ZQ568" s="243"/>
      <c r="ZR568" s="243"/>
      <c r="ZS568" s="243"/>
      <c r="ZT568" s="243"/>
      <c r="ZU568" s="243"/>
      <c r="ZV568" s="243"/>
      <c r="ZW568" s="243"/>
      <c r="ZX568" s="243"/>
      <c r="ZY568" s="243"/>
      <c r="ZZ568" s="243"/>
      <c r="AAA568" s="243"/>
      <c r="AAB568" s="243"/>
      <c r="AAC568" s="243"/>
      <c r="AAD568" s="243"/>
      <c r="AAE568" s="243"/>
      <c r="AAF568" s="243"/>
      <c r="AAG568" s="243"/>
      <c r="AAH568" s="243"/>
      <c r="AAI568" s="243"/>
      <c r="AAJ568" s="243"/>
      <c r="AAK568" s="243"/>
      <c r="AAL568" s="243"/>
      <c r="AAM568" s="243"/>
      <c r="AAN568" s="243"/>
      <c r="AAO568" s="243"/>
      <c r="AAP568" s="243"/>
      <c r="AAQ568" s="243"/>
      <c r="AAR568" s="243"/>
      <c r="AAS568" s="243"/>
      <c r="AAT568" s="243"/>
      <c r="AAU568" s="243"/>
      <c r="AAV568" s="243"/>
      <c r="AAW568" s="243"/>
      <c r="AAX568" s="243"/>
      <c r="AAY568" s="243"/>
      <c r="AAZ568" s="243"/>
      <c r="ABA568" s="243"/>
      <c r="ABB568" s="243"/>
      <c r="ABC568" s="243"/>
      <c r="ABD568" s="243"/>
      <c r="ABE568" s="243"/>
      <c r="ABF568" s="243"/>
      <c r="ABG568" s="243"/>
      <c r="ABH568" s="243"/>
      <c r="ABI568" s="243"/>
      <c r="ABJ568" s="243"/>
      <c r="ABK568" s="243"/>
      <c r="ABL568" s="243"/>
      <c r="ABM568" s="243"/>
      <c r="ABN568" s="243"/>
      <c r="ABO568" s="243"/>
      <c r="ABP568" s="243"/>
      <c r="ABQ568" s="243"/>
      <c r="ABR568" s="243"/>
      <c r="ABS568" s="243"/>
      <c r="ABT568" s="243"/>
      <c r="ABU568" s="243"/>
      <c r="ABV568" s="243"/>
      <c r="ABW568" s="243"/>
      <c r="ABX568" s="243"/>
      <c r="ABY568" s="243"/>
      <c r="ABZ568" s="243"/>
      <c r="ACA568" s="243"/>
      <c r="ACB568" s="243"/>
      <c r="ACC568" s="243"/>
      <c r="ACD568" s="243"/>
      <c r="ACE568" s="243"/>
      <c r="ACF568" s="243"/>
      <c r="ACG568" s="243"/>
      <c r="ACH568" s="243"/>
      <c r="ACI568" s="243"/>
      <c r="ACJ568" s="243"/>
      <c r="ACK568" s="243"/>
      <c r="ACL568" s="243"/>
      <c r="ACM568" s="243"/>
      <c r="ACN568" s="243"/>
      <c r="ACO568" s="243"/>
      <c r="ACP568" s="243"/>
      <c r="ACQ568" s="243"/>
      <c r="ACR568" s="243"/>
      <c r="ACS568" s="243"/>
      <c r="ACT568" s="243"/>
      <c r="ACU568" s="243"/>
      <c r="ACV568" s="243"/>
      <c r="ACW568" s="243"/>
      <c r="ACX568" s="243"/>
      <c r="ACY568" s="243"/>
      <c r="ACZ568" s="243"/>
      <c r="ADA568" s="243"/>
      <c r="ADB568" s="243"/>
      <c r="ADC568" s="243"/>
      <c r="ADD568" s="243"/>
      <c r="ADE568" s="243"/>
      <c r="ADF568" s="243"/>
      <c r="ADG568" s="243"/>
      <c r="ADH568" s="243"/>
      <c r="ADI568" s="243"/>
      <c r="ADJ568" s="243"/>
      <c r="ADK568" s="243"/>
      <c r="ADL568" s="243"/>
      <c r="ADM568" s="243"/>
      <c r="ADN568" s="243"/>
      <c r="ADO568" s="243"/>
      <c r="ADP568" s="243"/>
      <c r="ADQ568" s="243"/>
      <c r="ADR568" s="243"/>
      <c r="ADS568" s="243"/>
      <c r="ADT568" s="243"/>
      <c r="ADU568" s="243"/>
      <c r="ADV568" s="243"/>
      <c r="ADW568" s="243"/>
      <c r="ADX568" s="243"/>
      <c r="ADY568" s="243"/>
      <c r="ADZ568" s="243"/>
      <c r="AEA568" s="243"/>
      <c r="AEB568" s="243"/>
      <c r="AEC568" s="243"/>
      <c r="AED568" s="243"/>
      <c r="AEE568" s="243"/>
      <c r="AEF568" s="243"/>
      <c r="AEG568" s="243"/>
      <c r="AEH568" s="243"/>
      <c r="AEI568" s="243"/>
      <c r="AEJ568" s="243"/>
      <c r="AEK568" s="243"/>
      <c r="AEL568" s="243"/>
      <c r="AEM568" s="243"/>
      <c r="AEN568" s="243"/>
      <c r="AEO568" s="243"/>
      <c r="AEP568" s="243"/>
      <c r="AEQ568" s="243"/>
      <c r="AER568" s="243"/>
      <c r="AES568" s="243"/>
      <c r="AET568" s="243"/>
      <c r="AEU568" s="243"/>
      <c r="AEV568" s="243"/>
      <c r="AEW568" s="243"/>
      <c r="AEX568" s="243"/>
      <c r="AEY568" s="243"/>
      <c r="AEZ568" s="243"/>
      <c r="AFA568" s="243"/>
      <c r="AFB568" s="243"/>
      <c r="AFC568" s="243"/>
      <c r="AFD568" s="243"/>
      <c r="AFE568" s="243"/>
      <c r="AFF568" s="243"/>
      <c r="AFG568" s="243"/>
      <c r="AFH568" s="243"/>
      <c r="AFI568" s="243"/>
      <c r="AFJ568" s="243"/>
      <c r="AFK568" s="243"/>
      <c r="AFL568" s="243"/>
      <c r="AFM568" s="243"/>
      <c r="AFN568" s="243"/>
      <c r="AFO568" s="243"/>
      <c r="AFP568" s="243"/>
      <c r="AFQ568" s="243"/>
      <c r="AFR568" s="243"/>
      <c r="AFS568" s="243"/>
      <c r="AFT568" s="243"/>
      <c r="AFU568" s="243"/>
      <c r="AFV568" s="243"/>
      <c r="AFW568" s="243"/>
      <c r="AFX568" s="243"/>
      <c r="AFY568" s="243"/>
      <c r="AFZ568" s="243"/>
      <c r="AGA568" s="243"/>
      <c r="AGB568" s="243"/>
      <c r="AGC568" s="243"/>
      <c r="AGD568" s="243"/>
      <c r="AGE568" s="243"/>
      <c r="AGF568" s="243"/>
      <c r="AGG568" s="243"/>
      <c r="AGH568" s="243"/>
      <c r="AGI568" s="243"/>
      <c r="AGJ568" s="243"/>
      <c r="AGK568" s="243"/>
      <c r="AGL568" s="243"/>
      <c r="AGM568" s="243"/>
      <c r="AGN568" s="243"/>
      <c r="AGO568" s="243"/>
      <c r="AGP568" s="243"/>
      <c r="AGQ568" s="243"/>
      <c r="AGR568" s="243"/>
      <c r="AGS568" s="243"/>
      <c r="AGT568" s="243"/>
      <c r="AGU568" s="243"/>
      <c r="AGV568" s="243"/>
      <c r="AGW568" s="243"/>
      <c r="AGX568" s="243"/>
      <c r="AGY568" s="243"/>
      <c r="AGZ568" s="243"/>
      <c r="AHA568" s="243"/>
      <c r="AHB568" s="243"/>
      <c r="AHC568" s="243"/>
      <c r="AHD568" s="243"/>
      <c r="AHE568" s="243"/>
      <c r="AHF568" s="243"/>
      <c r="AHG568" s="243"/>
      <c r="AHH568" s="243"/>
      <c r="AHI568" s="243"/>
      <c r="AHJ568" s="243"/>
      <c r="AHK568" s="243"/>
      <c r="AHL568" s="243"/>
      <c r="AHM568" s="243"/>
      <c r="AHN568" s="243"/>
      <c r="AHO568" s="243"/>
      <c r="AHP568" s="243"/>
      <c r="AHQ568" s="243"/>
      <c r="AHR568" s="243"/>
      <c r="AHS568" s="243"/>
      <c r="AHT568" s="243"/>
      <c r="AHU568" s="243"/>
      <c r="AHV568" s="243"/>
      <c r="AHW568" s="243"/>
      <c r="AHX568" s="243"/>
      <c r="AHY568" s="243"/>
      <c r="AHZ568" s="243"/>
      <c r="AIA568" s="243"/>
      <c r="AIB568" s="243"/>
      <c r="AIC568" s="243"/>
      <c r="AID568" s="243"/>
      <c r="AIE568" s="243"/>
      <c r="AIF568" s="243"/>
      <c r="AIG568" s="243"/>
      <c r="AIH568" s="243"/>
      <c r="AII568" s="243"/>
      <c r="AIJ568" s="243"/>
      <c r="AIK568" s="243"/>
      <c r="AIL568" s="243"/>
      <c r="AIM568" s="243"/>
      <c r="AIN568" s="243"/>
      <c r="AIO568" s="243"/>
      <c r="AIP568" s="243"/>
      <c r="AIQ568" s="243"/>
      <c r="AIR568" s="243"/>
      <c r="AIS568" s="243"/>
      <c r="AIT568" s="243"/>
      <c r="AIU568" s="243"/>
      <c r="AIV568" s="243"/>
      <c r="AIW568" s="243"/>
      <c r="AIX568" s="243"/>
      <c r="AIY568" s="243"/>
      <c r="AIZ568" s="243"/>
      <c r="AJA568" s="243"/>
      <c r="AJB568" s="243"/>
      <c r="AJC568" s="243"/>
      <c r="AJD568" s="243"/>
      <c r="AJE568" s="243"/>
      <c r="AJF568" s="243"/>
      <c r="AJG568" s="243"/>
      <c r="AJH568" s="243"/>
      <c r="AJI568" s="243"/>
      <c r="AJJ568" s="243"/>
      <c r="AJK568" s="243"/>
      <c r="AJL568" s="243"/>
      <c r="AJM568" s="243"/>
      <c r="AJN568" s="243"/>
      <c r="AJO568" s="243"/>
      <c r="AJP568" s="243"/>
      <c r="AJQ568" s="243"/>
      <c r="AJR568" s="243"/>
      <c r="AJS568" s="243"/>
      <c r="AJT568" s="243"/>
      <c r="AJU568" s="243"/>
      <c r="AJV568" s="243"/>
      <c r="AJW568" s="243"/>
      <c r="AJX568" s="243"/>
      <c r="AJY568" s="243"/>
      <c r="AJZ568" s="243"/>
      <c r="AKA568" s="243"/>
      <c r="AKB568" s="243"/>
      <c r="AKC568" s="243"/>
      <c r="AKD568" s="243"/>
      <c r="AKE568" s="243"/>
      <c r="AKF568" s="243"/>
      <c r="AKG568" s="243"/>
      <c r="AKH568" s="243"/>
      <c r="AKI568" s="243"/>
      <c r="AKJ568" s="243"/>
      <c r="AKK568" s="243"/>
      <c r="AKL568" s="243"/>
      <c r="AKM568" s="243"/>
      <c r="AKN568" s="243"/>
      <c r="AKO568" s="243"/>
      <c r="AKP568" s="243"/>
      <c r="AKQ568" s="243"/>
      <c r="AKR568" s="243"/>
      <c r="AKS568" s="243"/>
      <c r="AKT568" s="243"/>
      <c r="AKU568" s="243"/>
      <c r="AKV568" s="243"/>
      <c r="AKW568" s="243"/>
      <c r="AKX568" s="243"/>
      <c r="AKY568" s="243"/>
      <c r="AKZ568" s="243"/>
      <c r="ALA568" s="243"/>
      <c r="ALB568" s="243"/>
      <c r="ALC568" s="243"/>
      <c r="ALD568" s="243"/>
      <c r="ALE568" s="243"/>
      <c r="ALF568" s="243"/>
      <c r="ALG568" s="243"/>
      <c r="ALH568" s="243"/>
      <c r="ALI568" s="243"/>
      <c r="ALJ568" s="243"/>
      <c r="ALK568" s="243"/>
      <c r="ALL568" s="243"/>
      <c r="ALM568" s="243"/>
      <c r="ALN568" s="243"/>
      <c r="ALO568" s="243"/>
      <c r="ALP568" s="243"/>
      <c r="ALQ568" s="243"/>
      <c r="ALR568" s="243"/>
      <c r="ALS568" s="243"/>
      <c r="ALT568" s="243"/>
      <c r="ALU568" s="243"/>
      <c r="ALV568" s="243"/>
      <c r="ALW568" s="243"/>
      <c r="ALX568" s="243"/>
      <c r="ALY568" s="243"/>
      <c r="ALZ568" s="243"/>
      <c r="AMA568" s="243"/>
      <c r="AMB568" s="243"/>
      <c r="AMC568" s="243"/>
      <c r="AMD568" s="243"/>
      <c r="AME568" s="243"/>
      <c r="AMF568" s="243"/>
      <c r="AMG568" s="243"/>
      <c r="AMH568" s="243"/>
      <c r="AMI568" s="243"/>
      <c r="AMJ568" s="243"/>
      <c r="AMK568" s="244"/>
    </row>
    <row r="569" spans="1:1025" hidden="1"/>
    <row r="570" spans="1:1025" hidden="1"/>
    <row r="571" spans="1:1025" ht="18.75" hidden="1">
      <c r="B571" s="974" t="s">
        <v>950</v>
      </c>
      <c r="C571" s="975"/>
      <c r="D571" s="975"/>
      <c r="E571" s="975"/>
      <c r="F571" s="975"/>
      <c r="G571" s="975"/>
      <c r="H571" s="975"/>
      <c r="I571" s="975"/>
      <c r="J571" s="975"/>
      <c r="K571" s="975"/>
      <c r="L571" s="975"/>
    </row>
    <row r="572" spans="1:1025" ht="18.75" hidden="1">
      <c r="B572" s="790" t="s">
        <v>507</v>
      </c>
      <c r="C572" s="245" t="s">
        <v>508</v>
      </c>
      <c r="D572" s="245" t="s">
        <v>509</v>
      </c>
      <c r="E572" s="245" t="s">
        <v>510</v>
      </c>
      <c r="F572" s="245" t="s">
        <v>511</v>
      </c>
      <c r="G572" s="245" t="s">
        <v>512</v>
      </c>
      <c r="H572" s="245" t="s">
        <v>513</v>
      </c>
      <c r="I572" s="245" t="s">
        <v>514</v>
      </c>
      <c r="J572" s="245" t="s">
        <v>915</v>
      </c>
      <c r="K572" s="245" t="s">
        <v>914</v>
      </c>
      <c r="L572" s="245" t="s">
        <v>940</v>
      </c>
    </row>
    <row r="573" spans="1:1025" hidden="1">
      <c r="B573" s="793" t="s">
        <v>951</v>
      </c>
      <c r="C573" s="279" t="s">
        <v>870</v>
      </c>
      <c r="D573" s="278" t="s">
        <v>952</v>
      </c>
      <c r="E573" s="278" t="s">
        <v>634</v>
      </c>
      <c r="F573" s="280">
        <v>4200000</v>
      </c>
      <c r="G573" s="279" t="s">
        <v>903</v>
      </c>
      <c r="H573" s="279" t="s">
        <v>523</v>
      </c>
      <c r="I573" s="279" t="s">
        <v>523</v>
      </c>
      <c r="J573" s="279">
        <v>1</v>
      </c>
      <c r="K573" s="279"/>
      <c r="L573" s="279" t="s">
        <v>138</v>
      </c>
    </row>
    <row r="574" spans="1:1025" hidden="1">
      <c r="B574" s="793" t="s">
        <v>951</v>
      </c>
      <c r="C574" s="247" t="s">
        <v>870</v>
      </c>
      <c r="D574" s="246" t="s">
        <v>953</v>
      </c>
      <c r="E574" s="246" t="s">
        <v>954</v>
      </c>
      <c r="F574" s="248">
        <v>11000000</v>
      </c>
      <c r="G574" s="247" t="s">
        <v>903</v>
      </c>
      <c r="H574" s="247" t="s">
        <v>523</v>
      </c>
      <c r="I574" s="247" t="s">
        <v>523</v>
      </c>
      <c r="J574" s="247">
        <v>1</v>
      </c>
      <c r="K574" s="247"/>
      <c r="L574" s="247" t="s">
        <v>124</v>
      </c>
    </row>
    <row r="575" spans="1:1025" hidden="1">
      <c r="B575" s="793" t="s">
        <v>951</v>
      </c>
      <c r="C575" s="247" t="s">
        <v>870</v>
      </c>
      <c r="D575" s="246" t="s">
        <v>955</v>
      </c>
      <c r="E575" s="246" t="s">
        <v>956</v>
      </c>
      <c r="F575" s="248">
        <v>3900000</v>
      </c>
      <c r="G575" s="247" t="s">
        <v>903</v>
      </c>
      <c r="H575" s="247" t="s">
        <v>523</v>
      </c>
      <c r="I575" s="247" t="s">
        <v>523</v>
      </c>
      <c r="J575" s="247">
        <v>1</v>
      </c>
      <c r="K575" s="247"/>
      <c r="L575" s="247" t="s">
        <v>138</v>
      </c>
    </row>
    <row r="576" spans="1:1025" hidden="1">
      <c r="B576" s="431" t="s">
        <v>951</v>
      </c>
      <c r="C576" s="247" t="s">
        <v>870</v>
      </c>
      <c r="D576" s="246" t="s">
        <v>957</v>
      </c>
      <c r="E576" s="246" t="s">
        <v>845</v>
      </c>
      <c r="F576" s="248">
        <v>2800000</v>
      </c>
      <c r="G576" s="247" t="s">
        <v>903</v>
      </c>
      <c r="H576" s="247" t="s">
        <v>523</v>
      </c>
      <c r="I576" s="247" t="s">
        <v>523</v>
      </c>
      <c r="J576" s="247">
        <v>1</v>
      </c>
      <c r="K576" s="247"/>
      <c r="L576" s="247" t="s">
        <v>138</v>
      </c>
    </row>
    <row r="577" spans="2:12" hidden="1">
      <c r="B577" s="431">
        <v>44597</v>
      </c>
      <c r="C577" s="247" t="s">
        <v>870</v>
      </c>
      <c r="D577" s="246" t="s">
        <v>958</v>
      </c>
      <c r="E577" s="246" t="s">
        <v>616</v>
      </c>
      <c r="F577" s="248">
        <v>2700000</v>
      </c>
      <c r="G577" s="247" t="s">
        <v>903</v>
      </c>
      <c r="H577" s="247" t="s">
        <v>523</v>
      </c>
      <c r="I577" s="247" t="s">
        <v>523</v>
      </c>
      <c r="J577" s="247">
        <v>1</v>
      </c>
      <c r="K577" s="247"/>
      <c r="L577" s="247" t="s">
        <v>124</v>
      </c>
    </row>
    <row r="578" spans="2:12" hidden="1">
      <c r="B578" s="431">
        <v>44625</v>
      </c>
      <c r="C578" s="247" t="s">
        <v>870</v>
      </c>
      <c r="D578" s="246" t="s">
        <v>959</v>
      </c>
      <c r="E578" s="246" t="s">
        <v>526</v>
      </c>
      <c r="F578" s="248">
        <v>3500000</v>
      </c>
      <c r="G578" s="247" t="s">
        <v>903</v>
      </c>
      <c r="H578" s="247" t="s">
        <v>523</v>
      </c>
      <c r="I578" s="247" t="s">
        <v>523</v>
      </c>
      <c r="J578" s="247">
        <v>1</v>
      </c>
      <c r="K578" s="247"/>
      <c r="L578" s="247" t="s">
        <v>138</v>
      </c>
    </row>
    <row r="579" spans="2:12" hidden="1">
      <c r="B579" s="431">
        <v>44686</v>
      </c>
      <c r="C579" s="247" t="s">
        <v>870</v>
      </c>
      <c r="D579" s="246" t="s">
        <v>960</v>
      </c>
      <c r="E579" s="246" t="s">
        <v>961</v>
      </c>
      <c r="F579" s="248">
        <v>3600000</v>
      </c>
      <c r="G579" s="247" t="s">
        <v>903</v>
      </c>
      <c r="H579" s="247" t="s">
        <v>523</v>
      </c>
      <c r="I579" s="247" t="s">
        <v>523</v>
      </c>
      <c r="J579" s="247">
        <v>1</v>
      </c>
      <c r="K579" s="247"/>
      <c r="L579" s="247" t="s">
        <v>138</v>
      </c>
    </row>
    <row r="580" spans="2:12" hidden="1">
      <c r="B580" s="431">
        <v>44686</v>
      </c>
      <c r="C580" s="247" t="s">
        <v>870</v>
      </c>
      <c r="D580" s="246" t="s">
        <v>962</v>
      </c>
      <c r="E580" s="246" t="s">
        <v>634</v>
      </c>
      <c r="F580" s="248">
        <v>4200000</v>
      </c>
      <c r="G580" s="247" t="s">
        <v>903</v>
      </c>
      <c r="H580" s="247" t="s">
        <v>523</v>
      </c>
      <c r="I580" s="247" t="s">
        <v>523</v>
      </c>
      <c r="J580" s="247">
        <v>1</v>
      </c>
      <c r="K580" s="247"/>
      <c r="L580" s="247" t="s">
        <v>124</v>
      </c>
    </row>
    <row r="581" spans="2:12" hidden="1">
      <c r="B581" s="431">
        <v>44717</v>
      </c>
      <c r="C581" s="247" t="s">
        <v>870</v>
      </c>
      <c r="D581" s="246" t="s">
        <v>963</v>
      </c>
      <c r="E581" s="246" t="s">
        <v>526</v>
      </c>
      <c r="F581" s="248">
        <v>6500000</v>
      </c>
      <c r="G581" s="247" t="s">
        <v>903</v>
      </c>
      <c r="H581" s="247" t="s">
        <v>523</v>
      </c>
      <c r="I581" s="247" t="s">
        <v>523</v>
      </c>
      <c r="J581" s="247">
        <v>1</v>
      </c>
      <c r="K581" s="247"/>
      <c r="L581" s="247" t="s">
        <v>138</v>
      </c>
    </row>
    <row r="582" spans="2:12" hidden="1">
      <c r="B582" s="431">
        <v>44870</v>
      </c>
      <c r="C582" s="247" t="s">
        <v>870</v>
      </c>
      <c r="D582" s="246" t="s">
        <v>964</v>
      </c>
      <c r="E582" s="246" t="s">
        <v>965</v>
      </c>
      <c r="F582" s="248">
        <v>2100000</v>
      </c>
      <c r="G582" s="247" t="s">
        <v>741</v>
      </c>
      <c r="H582" s="247" t="s">
        <v>523</v>
      </c>
      <c r="I582" s="247" t="s">
        <v>523</v>
      </c>
      <c r="J582" s="247">
        <v>1</v>
      </c>
      <c r="K582" s="247"/>
      <c r="L582" s="247" t="s">
        <v>124</v>
      </c>
    </row>
    <row r="583" spans="2:12" hidden="1">
      <c r="B583" s="431">
        <v>44870</v>
      </c>
      <c r="C583" s="247" t="s">
        <v>900</v>
      </c>
      <c r="D583" s="246" t="s">
        <v>966</v>
      </c>
      <c r="E583" s="246" t="s">
        <v>956</v>
      </c>
      <c r="F583" s="248">
        <v>3200000</v>
      </c>
      <c r="G583" s="247" t="s">
        <v>903</v>
      </c>
      <c r="H583" s="247" t="s">
        <v>523</v>
      </c>
      <c r="I583" s="247" t="s">
        <v>523</v>
      </c>
      <c r="J583" s="247">
        <v>1</v>
      </c>
      <c r="K583" s="247"/>
      <c r="L583" s="247" t="s">
        <v>138</v>
      </c>
    </row>
    <row r="584" spans="2:12" hidden="1">
      <c r="B584" s="794" t="s">
        <v>967</v>
      </c>
      <c r="C584" s="247" t="s">
        <v>870</v>
      </c>
      <c r="D584" s="246" t="s">
        <v>968</v>
      </c>
      <c r="E584" s="246" t="s">
        <v>756</v>
      </c>
      <c r="F584" s="248">
        <v>9500000</v>
      </c>
      <c r="G584" s="247" t="s">
        <v>903</v>
      </c>
      <c r="H584" s="247" t="s">
        <v>523</v>
      </c>
      <c r="I584" s="247" t="s">
        <v>523</v>
      </c>
      <c r="J584" s="247">
        <v>1</v>
      </c>
      <c r="K584" s="247"/>
      <c r="L584" s="247" t="s">
        <v>124</v>
      </c>
    </row>
    <row r="585" spans="2:12" hidden="1">
      <c r="B585" s="794" t="s">
        <v>967</v>
      </c>
      <c r="C585" s="247" t="s">
        <v>870</v>
      </c>
      <c r="D585" s="246" t="s">
        <v>969</v>
      </c>
      <c r="E585" s="246" t="s">
        <v>892</v>
      </c>
      <c r="F585" s="248">
        <v>3300000</v>
      </c>
      <c r="G585" s="247" t="s">
        <v>903</v>
      </c>
      <c r="H585" s="247" t="s">
        <v>523</v>
      </c>
      <c r="I585" s="247" t="s">
        <v>523</v>
      </c>
      <c r="J585" s="247">
        <v>1</v>
      </c>
      <c r="K585" s="247"/>
      <c r="L585" s="247" t="s">
        <v>124</v>
      </c>
    </row>
    <row r="586" spans="2:12" hidden="1">
      <c r="B586" s="794" t="s">
        <v>970</v>
      </c>
      <c r="C586" s="247" t="s">
        <v>870</v>
      </c>
      <c r="D586" s="246" t="s">
        <v>971</v>
      </c>
      <c r="E586" s="246" t="s">
        <v>972</v>
      </c>
      <c r="F586" s="248">
        <v>2500000</v>
      </c>
      <c r="G586" s="247" t="s">
        <v>903</v>
      </c>
      <c r="H586" s="247" t="s">
        <v>523</v>
      </c>
      <c r="I586" s="247" t="s">
        <v>523</v>
      </c>
      <c r="J586" s="247">
        <v>1</v>
      </c>
      <c r="K586" s="247"/>
      <c r="L586" s="247" t="s">
        <v>138</v>
      </c>
    </row>
    <row r="587" spans="2:12" hidden="1">
      <c r="B587" s="794" t="s">
        <v>973</v>
      </c>
      <c r="C587" s="247" t="s">
        <v>870</v>
      </c>
      <c r="D587" s="246" t="s">
        <v>974</v>
      </c>
      <c r="E587" s="246" t="s">
        <v>972</v>
      </c>
      <c r="F587" s="248">
        <v>2400000</v>
      </c>
      <c r="G587" s="247" t="s">
        <v>903</v>
      </c>
      <c r="H587" s="247" t="s">
        <v>523</v>
      </c>
      <c r="I587" s="247" t="s">
        <v>523</v>
      </c>
      <c r="J587" s="247">
        <v>1</v>
      </c>
      <c r="K587" s="247"/>
      <c r="L587" s="247" t="s">
        <v>124</v>
      </c>
    </row>
    <row r="588" spans="2:12" hidden="1">
      <c r="B588" s="794" t="s">
        <v>973</v>
      </c>
      <c r="C588" s="247" t="s">
        <v>696</v>
      </c>
      <c r="D588" s="246" t="s">
        <v>975</v>
      </c>
      <c r="E588" s="246" t="s">
        <v>174</v>
      </c>
      <c r="F588" s="248">
        <v>12000000</v>
      </c>
      <c r="G588" s="247" t="s">
        <v>903</v>
      </c>
      <c r="H588" s="247" t="s">
        <v>523</v>
      </c>
      <c r="I588" s="247" t="s">
        <v>523</v>
      </c>
      <c r="J588" s="247">
        <v>1</v>
      </c>
      <c r="K588" s="247"/>
      <c r="L588" s="247" t="s">
        <v>124</v>
      </c>
    </row>
    <row r="589" spans="2:12" hidden="1">
      <c r="B589" s="794" t="s">
        <v>973</v>
      </c>
      <c r="C589" s="247" t="s">
        <v>870</v>
      </c>
      <c r="D589" s="246" t="s">
        <v>976</v>
      </c>
      <c r="E589" s="246" t="s">
        <v>827</v>
      </c>
      <c r="F589" s="248">
        <v>5500000</v>
      </c>
      <c r="G589" s="247" t="s">
        <v>903</v>
      </c>
      <c r="H589" s="247" t="s">
        <v>523</v>
      </c>
      <c r="I589" s="247" t="s">
        <v>523</v>
      </c>
      <c r="J589" s="247">
        <v>1</v>
      </c>
      <c r="K589" s="247"/>
      <c r="L589" s="247" t="s">
        <v>138</v>
      </c>
    </row>
    <row r="590" spans="2:12" hidden="1">
      <c r="B590" s="794" t="s">
        <v>944</v>
      </c>
      <c r="C590" s="247" t="s">
        <v>870</v>
      </c>
      <c r="D590" s="246" t="s">
        <v>977</v>
      </c>
      <c r="E590" s="246" t="s">
        <v>678</v>
      </c>
      <c r="F590" s="248">
        <v>4000000</v>
      </c>
      <c r="G590" s="247" t="s">
        <v>903</v>
      </c>
      <c r="H590" s="247" t="s">
        <v>523</v>
      </c>
      <c r="I590" s="247" t="s">
        <v>523</v>
      </c>
      <c r="J590" s="247">
        <v>1</v>
      </c>
      <c r="K590" s="247"/>
      <c r="L590" s="247" t="s">
        <v>124</v>
      </c>
    </row>
    <row r="591" spans="2:12" hidden="1">
      <c r="B591" s="794" t="s">
        <v>978</v>
      </c>
      <c r="C591" s="247" t="s">
        <v>870</v>
      </c>
      <c r="D591" s="246" t="s">
        <v>979</v>
      </c>
      <c r="E591" s="246" t="s">
        <v>643</v>
      </c>
      <c r="F591" s="248">
        <v>2400000</v>
      </c>
      <c r="G591" s="247" t="s">
        <v>903</v>
      </c>
      <c r="H591" s="247" t="s">
        <v>523</v>
      </c>
      <c r="I591" s="247" t="s">
        <v>523</v>
      </c>
      <c r="J591" s="247">
        <v>1</v>
      </c>
      <c r="K591" s="247"/>
      <c r="L591" s="247" t="s">
        <v>124</v>
      </c>
    </row>
    <row r="592" spans="2:12" hidden="1">
      <c r="B592" s="794" t="s">
        <v>978</v>
      </c>
      <c r="C592" s="247" t="s">
        <v>870</v>
      </c>
      <c r="D592" s="246" t="s">
        <v>980</v>
      </c>
      <c r="E592" s="246" t="s">
        <v>981</v>
      </c>
      <c r="F592" s="248">
        <v>2500000</v>
      </c>
      <c r="G592" s="247" t="s">
        <v>903</v>
      </c>
      <c r="H592" s="247" t="s">
        <v>523</v>
      </c>
      <c r="I592" s="247" t="s">
        <v>523</v>
      </c>
      <c r="J592" s="247">
        <v>1</v>
      </c>
      <c r="K592" s="247"/>
      <c r="L592" s="247" t="s">
        <v>138</v>
      </c>
    </row>
    <row r="593" spans="2:12" hidden="1">
      <c r="B593" s="794"/>
      <c r="C593" s="247"/>
      <c r="D593" s="246"/>
      <c r="E593" s="246"/>
      <c r="F593" s="247"/>
      <c r="G593" s="247"/>
      <c r="H593" s="247"/>
      <c r="I593" s="247"/>
      <c r="J593" s="247"/>
      <c r="K593" s="247"/>
      <c r="L593" s="247"/>
    </row>
    <row r="594" spans="2:12" hidden="1">
      <c r="B594" s="791" t="s">
        <v>970</v>
      </c>
      <c r="C594" s="250" t="s">
        <v>870</v>
      </c>
      <c r="D594" s="249" t="s">
        <v>982</v>
      </c>
      <c r="E594" s="249" t="s">
        <v>174</v>
      </c>
      <c r="F594" s="251">
        <v>1200000000</v>
      </c>
      <c r="G594" s="250" t="s">
        <v>741</v>
      </c>
      <c r="H594" s="250" t="s">
        <v>523</v>
      </c>
      <c r="I594" s="250" t="s">
        <v>523</v>
      </c>
      <c r="J594" s="250"/>
      <c r="K594" s="250">
        <v>1</v>
      </c>
      <c r="L594" s="250" t="s">
        <v>947</v>
      </c>
    </row>
    <row r="595" spans="2:12" hidden="1">
      <c r="B595" s="446">
        <v>44870</v>
      </c>
      <c r="C595" s="253" t="s">
        <v>870</v>
      </c>
      <c r="D595" s="252" t="s">
        <v>952</v>
      </c>
      <c r="E595" s="252" t="s">
        <v>766</v>
      </c>
      <c r="F595" s="251">
        <v>560000000</v>
      </c>
      <c r="G595" s="253" t="s">
        <v>903</v>
      </c>
      <c r="H595" s="253" t="s">
        <v>523</v>
      </c>
      <c r="I595" s="253" t="s">
        <v>523</v>
      </c>
      <c r="J595" s="253"/>
      <c r="K595" s="253">
        <v>1</v>
      </c>
      <c r="L595" s="253" t="s">
        <v>947</v>
      </c>
    </row>
    <row r="596" spans="2:12" hidden="1">
      <c r="B596" s="795" t="s">
        <v>944</v>
      </c>
      <c r="C596" s="250" t="s">
        <v>870</v>
      </c>
      <c r="D596" s="249" t="s">
        <v>983</v>
      </c>
      <c r="E596" s="249" t="s">
        <v>534</v>
      </c>
      <c r="F596" s="251">
        <v>300000000</v>
      </c>
      <c r="G596" s="250" t="s">
        <v>903</v>
      </c>
      <c r="H596" s="250" t="s">
        <v>523</v>
      </c>
      <c r="I596" s="250" t="s">
        <v>523</v>
      </c>
      <c r="J596" s="250"/>
      <c r="K596" s="250">
        <v>1</v>
      </c>
      <c r="L596" s="250" t="s">
        <v>947</v>
      </c>
    </row>
    <row r="597" spans="2:12" ht="18.75" hidden="1">
      <c r="B597" s="1051"/>
      <c r="C597" s="1052"/>
      <c r="D597" s="1052"/>
      <c r="E597" s="1052"/>
      <c r="F597" s="1052"/>
      <c r="G597" s="1052"/>
      <c r="H597" s="1052"/>
      <c r="I597" s="1053"/>
      <c r="J597" s="254">
        <f>SUM(J573:J596)</f>
        <v>20</v>
      </c>
      <c r="K597" s="254">
        <f>SUM(K594:K596)</f>
        <v>3</v>
      </c>
      <c r="L597" s="254"/>
    </row>
    <row r="598" spans="2:12" hidden="1"/>
    <row r="599" spans="2:12" hidden="1"/>
    <row r="600" spans="2:12" ht="18.75" hidden="1">
      <c r="B600" s="974" t="s">
        <v>984</v>
      </c>
      <c r="C600" s="975"/>
      <c r="D600" s="975"/>
      <c r="E600" s="975"/>
      <c r="F600" s="975"/>
      <c r="G600" s="975"/>
      <c r="H600" s="975"/>
      <c r="I600" s="975"/>
      <c r="J600" s="975"/>
      <c r="K600" s="975"/>
      <c r="L600" s="975"/>
    </row>
    <row r="601" spans="2:12" hidden="1">
      <c r="B601" s="796" t="s">
        <v>507</v>
      </c>
      <c r="C601" s="314" t="s">
        <v>508</v>
      </c>
      <c r="D601" s="314" t="s">
        <v>509</v>
      </c>
      <c r="E601" s="314" t="s">
        <v>510</v>
      </c>
      <c r="F601" s="314" t="s">
        <v>511</v>
      </c>
      <c r="G601" s="314" t="s">
        <v>512</v>
      </c>
      <c r="H601" s="314" t="s">
        <v>513</v>
      </c>
      <c r="I601" s="314" t="s">
        <v>514</v>
      </c>
      <c r="J601" s="314" t="s">
        <v>915</v>
      </c>
      <c r="K601" s="314" t="s">
        <v>914</v>
      </c>
      <c r="L601" s="314" t="s">
        <v>940</v>
      </c>
    </row>
    <row r="602" spans="2:12" hidden="1">
      <c r="B602" s="793" t="s">
        <v>985</v>
      </c>
      <c r="C602" s="279" t="s">
        <v>870</v>
      </c>
      <c r="D602" s="278" t="s">
        <v>986</v>
      </c>
      <c r="E602" s="278" t="s">
        <v>845</v>
      </c>
      <c r="F602" s="280">
        <v>3800000</v>
      </c>
      <c r="G602" s="279" t="s">
        <v>903</v>
      </c>
      <c r="H602" s="279" t="s">
        <v>523</v>
      </c>
      <c r="I602" s="279" t="s">
        <v>523</v>
      </c>
      <c r="J602" s="279">
        <v>1</v>
      </c>
      <c r="K602" s="279"/>
      <c r="L602" s="279" t="s">
        <v>124</v>
      </c>
    </row>
    <row r="603" spans="2:12" hidden="1">
      <c r="B603" s="794" t="s">
        <v>987</v>
      </c>
      <c r="C603" s="247" t="s">
        <v>870</v>
      </c>
      <c r="D603" s="246" t="s">
        <v>988</v>
      </c>
      <c r="E603" s="246" t="s">
        <v>578</v>
      </c>
      <c r="F603" s="248">
        <v>3100000</v>
      </c>
      <c r="G603" s="247" t="s">
        <v>903</v>
      </c>
      <c r="H603" s="247" t="s">
        <v>523</v>
      </c>
      <c r="I603" s="247" t="s">
        <v>523</v>
      </c>
      <c r="J603" s="247">
        <v>1</v>
      </c>
      <c r="K603" s="247"/>
      <c r="L603" s="247" t="s">
        <v>138</v>
      </c>
    </row>
    <row r="604" spans="2:12" hidden="1">
      <c r="B604" s="431" t="s">
        <v>951</v>
      </c>
      <c r="C604" s="247" t="s">
        <v>870</v>
      </c>
      <c r="D604" s="246" t="s">
        <v>989</v>
      </c>
      <c r="E604" s="246" t="s">
        <v>861</v>
      </c>
      <c r="F604" s="248">
        <v>3300000</v>
      </c>
      <c r="G604" s="247" t="s">
        <v>903</v>
      </c>
      <c r="H604" s="247" t="s">
        <v>523</v>
      </c>
      <c r="I604" s="247" t="s">
        <v>523</v>
      </c>
      <c r="J604" s="247">
        <v>1</v>
      </c>
      <c r="K604" s="247"/>
      <c r="L604" s="247" t="s">
        <v>138</v>
      </c>
    </row>
    <row r="605" spans="2:12" hidden="1">
      <c r="B605" s="431" t="s">
        <v>951</v>
      </c>
      <c r="C605" s="247" t="s">
        <v>870</v>
      </c>
      <c r="D605" s="246" t="s">
        <v>990</v>
      </c>
      <c r="E605" s="246" t="s">
        <v>845</v>
      </c>
      <c r="F605" s="248">
        <v>4400000</v>
      </c>
      <c r="G605" s="247" t="s">
        <v>903</v>
      </c>
      <c r="H605" s="247" t="s">
        <v>523</v>
      </c>
      <c r="I605" s="247" t="s">
        <v>523</v>
      </c>
      <c r="J605" s="247">
        <v>1</v>
      </c>
      <c r="K605" s="247"/>
      <c r="L605" s="247" t="s">
        <v>124</v>
      </c>
    </row>
    <row r="606" spans="2:12" hidden="1">
      <c r="B606" s="431" t="s">
        <v>991</v>
      </c>
      <c r="C606" s="247" t="s">
        <v>870</v>
      </c>
      <c r="D606" s="246" t="s">
        <v>992</v>
      </c>
      <c r="E606" s="246" t="s">
        <v>845</v>
      </c>
      <c r="F606" s="248">
        <v>3200000</v>
      </c>
      <c r="G606" s="247" t="s">
        <v>903</v>
      </c>
      <c r="H606" s="247" t="s">
        <v>523</v>
      </c>
      <c r="I606" s="247" t="s">
        <v>523</v>
      </c>
      <c r="J606" s="247">
        <v>1</v>
      </c>
      <c r="K606" s="247"/>
      <c r="L606" s="247" t="s">
        <v>124</v>
      </c>
    </row>
    <row r="607" spans="2:12" hidden="1">
      <c r="B607" s="431">
        <v>44597</v>
      </c>
      <c r="C607" s="247" t="s">
        <v>870</v>
      </c>
      <c r="D607" s="246" t="s">
        <v>993</v>
      </c>
      <c r="E607" s="246" t="s">
        <v>845</v>
      </c>
      <c r="F607" s="248">
        <v>4200000</v>
      </c>
      <c r="G607" s="247" t="s">
        <v>903</v>
      </c>
      <c r="H607" s="247" t="s">
        <v>523</v>
      </c>
      <c r="I607" s="247" t="s">
        <v>523</v>
      </c>
      <c r="J607" s="247">
        <v>1</v>
      </c>
      <c r="K607" s="247"/>
      <c r="L607" s="247" t="s">
        <v>124</v>
      </c>
    </row>
    <row r="608" spans="2:12" hidden="1">
      <c r="B608" s="431">
        <v>44809</v>
      </c>
      <c r="C608" s="247" t="s">
        <v>870</v>
      </c>
      <c r="D608" s="246" t="s">
        <v>994</v>
      </c>
      <c r="E608" s="246" t="s">
        <v>845</v>
      </c>
      <c r="F608" s="248">
        <v>2600000</v>
      </c>
      <c r="G608" s="247" t="s">
        <v>903</v>
      </c>
      <c r="H608" s="247" t="s">
        <v>523</v>
      </c>
      <c r="I608" s="247" t="s">
        <v>523</v>
      </c>
      <c r="J608" s="247">
        <v>1</v>
      </c>
      <c r="K608" s="247"/>
      <c r="L608" s="247" t="s">
        <v>138</v>
      </c>
    </row>
    <row r="609" spans="2:12" hidden="1">
      <c r="B609" s="431">
        <v>44809</v>
      </c>
      <c r="C609" s="247" t="s">
        <v>870</v>
      </c>
      <c r="D609" s="246" t="s">
        <v>995</v>
      </c>
      <c r="E609" s="246" t="s">
        <v>560</v>
      </c>
      <c r="F609" s="248">
        <v>3700000</v>
      </c>
      <c r="G609" s="247" t="s">
        <v>903</v>
      </c>
      <c r="H609" s="247" t="s">
        <v>523</v>
      </c>
      <c r="I609" s="247" t="s">
        <v>523</v>
      </c>
      <c r="J609" s="247">
        <v>1</v>
      </c>
      <c r="K609" s="247"/>
      <c r="L609" s="247" t="s">
        <v>138</v>
      </c>
    </row>
    <row r="610" spans="2:12" hidden="1">
      <c r="B610" s="431">
        <v>44900</v>
      </c>
      <c r="C610" s="247" t="s">
        <v>870</v>
      </c>
      <c r="D610" s="246" t="s">
        <v>996</v>
      </c>
      <c r="E610" s="246" t="s">
        <v>845</v>
      </c>
      <c r="F610" s="248">
        <v>2500000</v>
      </c>
      <c r="G610" s="247" t="s">
        <v>903</v>
      </c>
      <c r="H610" s="247" t="s">
        <v>523</v>
      </c>
      <c r="I610" s="247" t="s">
        <v>523</v>
      </c>
      <c r="J610" s="247">
        <v>1</v>
      </c>
      <c r="K610" s="247"/>
      <c r="L610" s="247" t="s">
        <v>124</v>
      </c>
    </row>
    <row r="611" spans="2:12" hidden="1">
      <c r="B611" s="794" t="s">
        <v>967</v>
      </c>
      <c r="C611" s="247" t="s">
        <v>870</v>
      </c>
      <c r="D611" s="246" t="s">
        <v>997</v>
      </c>
      <c r="E611" s="246" t="s">
        <v>521</v>
      </c>
      <c r="F611" s="248">
        <v>3500000</v>
      </c>
      <c r="G611" s="247" t="s">
        <v>903</v>
      </c>
      <c r="H611" s="247" t="s">
        <v>523</v>
      </c>
      <c r="I611" s="247" t="s">
        <v>523</v>
      </c>
      <c r="J611" s="247">
        <v>1</v>
      </c>
      <c r="K611" s="247"/>
      <c r="L611" s="247" t="s">
        <v>138</v>
      </c>
    </row>
    <row r="612" spans="2:12" hidden="1">
      <c r="B612" s="794" t="s">
        <v>998</v>
      </c>
      <c r="C612" s="247" t="s">
        <v>870</v>
      </c>
      <c r="D612" s="246" t="s">
        <v>999</v>
      </c>
      <c r="E612" s="246" t="s">
        <v>526</v>
      </c>
      <c r="F612" s="248">
        <v>2800000</v>
      </c>
      <c r="G612" s="247" t="s">
        <v>903</v>
      </c>
      <c r="H612" s="247" t="s">
        <v>523</v>
      </c>
      <c r="I612" s="247" t="s">
        <v>523</v>
      </c>
      <c r="J612" s="247">
        <v>1</v>
      </c>
      <c r="K612" s="247"/>
      <c r="L612" s="247" t="s">
        <v>124</v>
      </c>
    </row>
    <row r="613" spans="2:12" hidden="1">
      <c r="B613" s="794" t="s">
        <v>970</v>
      </c>
      <c r="C613" s="247" t="s">
        <v>870</v>
      </c>
      <c r="D613" s="246" t="s">
        <v>1000</v>
      </c>
      <c r="E613" s="246" t="s">
        <v>845</v>
      </c>
      <c r="F613" s="248">
        <v>3000000</v>
      </c>
      <c r="G613" s="247" t="s">
        <v>903</v>
      </c>
      <c r="H613" s="247" t="s">
        <v>523</v>
      </c>
      <c r="I613" s="247" t="s">
        <v>523</v>
      </c>
      <c r="J613" s="247">
        <v>1</v>
      </c>
      <c r="K613" s="247"/>
      <c r="L613" s="247" t="s">
        <v>124</v>
      </c>
    </row>
    <row r="614" spans="2:12" hidden="1">
      <c r="B614" s="794" t="s">
        <v>973</v>
      </c>
      <c r="C614" s="247" t="s">
        <v>870</v>
      </c>
      <c r="D614" s="246" t="s">
        <v>1001</v>
      </c>
      <c r="E614" s="246" t="s">
        <v>972</v>
      </c>
      <c r="F614" s="248">
        <v>3500000</v>
      </c>
      <c r="G614" s="247" t="s">
        <v>903</v>
      </c>
      <c r="H614" s="247" t="s">
        <v>523</v>
      </c>
      <c r="I614" s="247" t="s">
        <v>523</v>
      </c>
      <c r="J614" s="247">
        <v>1</v>
      </c>
      <c r="K614" s="247"/>
      <c r="L614" s="247" t="s">
        <v>138</v>
      </c>
    </row>
    <row r="615" spans="2:12" hidden="1">
      <c r="B615" s="794" t="s">
        <v>973</v>
      </c>
      <c r="C615" s="247" t="s">
        <v>870</v>
      </c>
      <c r="D615" s="246" t="s">
        <v>1002</v>
      </c>
      <c r="E615" s="246" t="s">
        <v>972</v>
      </c>
      <c r="F615" s="248">
        <v>3500000</v>
      </c>
      <c r="G615" s="247" t="s">
        <v>903</v>
      </c>
      <c r="H615" s="247" t="s">
        <v>523</v>
      </c>
      <c r="I615" s="247" t="s">
        <v>523</v>
      </c>
      <c r="J615" s="247">
        <v>1</v>
      </c>
      <c r="K615" s="247"/>
      <c r="L615" s="247" t="s">
        <v>138</v>
      </c>
    </row>
    <row r="616" spans="2:12" hidden="1">
      <c r="B616" s="794" t="s">
        <v>1003</v>
      </c>
      <c r="C616" s="247" t="s">
        <v>870</v>
      </c>
      <c r="D616" s="246" t="s">
        <v>1004</v>
      </c>
      <c r="E616" s="246" t="s">
        <v>956</v>
      </c>
      <c r="F616" s="248">
        <v>7500000</v>
      </c>
      <c r="G616" s="247" t="s">
        <v>903</v>
      </c>
      <c r="H616" s="247" t="s">
        <v>523</v>
      </c>
      <c r="I616" s="247" t="s">
        <v>523</v>
      </c>
      <c r="J616" s="247">
        <v>1</v>
      </c>
      <c r="K616" s="247"/>
      <c r="L616" s="247" t="s">
        <v>124</v>
      </c>
    </row>
    <row r="617" spans="2:12" hidden="1">
      <c r="B617" s="794" t="s">
        <v>1003</v>
      </c>
      <c r="C617" s="247" t="s">
        <v>870</v>
      </c>
      <c r="D617" s="246" t="s">
        <v>1005</v>
      </c>
      <c r="E617" s="246" t="s">
        <v>956</v>
      </c>
      <c r="F617" s="248">
        <v>3500000</v>
      </c>
      <c r="G617" s="247" t="s">
        <v>903</v>
      </c>
      <c r="H617" s="247" t="s">
        <v>523</v>
      </c>
      <c r="I617" s="247" t="s">
        <v>523</v>
      </c>
      <c r="J617" s="247">
        <v>1</v>
      </c>
      <c r="K617" s="247"/>
      <c r="L617" s="247" t="s">
        <v>138</v>
      </c>
    </row>
    <row r="618" spans="2:12" hidden="1">
      <c r="B618" s="791"/>
      <c r="C618" s="250"/>
      <c r="D618" s="249"/>
      <c r="E618" s="249"/>
      <c r="F618" s="251"/>
      <c r="G618" s="250"/>
      <c r="H618" s="250"/>
      <c r="I618" s="250"/>
      <c r="J618" s="250"/>
      <c r="K618" s="250"/>
      <c r="L618" s="250"/>
    </row>
    <row r="619" spans="2:12" hidden="1">
      <c r="B619" s="797"/>
      <c r="C619" s="253"/>
      <c r="D619" s="252"/>
      <c r="E619" s="252"/>
      <c r="F619" s="253"/>
      <c r="G619" s="253"/>
      <c r="H619" s="253"/>
      <c r="I619" s="253"/>
      <c r="J619" s="253"/>
      <c r="K619" s="253"/>
      <c r="L619" s="253"/>
    </row>
    <row r="620" spans="2:12" hidden="1">
      <c r="B620" s="795"/>
      <c r="C620" s="250"/>
      <c r="D620" s="249"/>
      <c r="E620" s="249"/>
      <c r="F620" s="250"/>
      <c r="G620" s="250"/>
      <c r="H620" s="250"/>
      <c r="I620" s="250"/>
      <c r="J620" s="250"/>
      <c r="K620" s="250"/>
      <c r="L620" s="250"/>
    </row>
    <row r="621" spans="2:12" ht="18.75" hidden="1">
      <c r="B621" s="1051"/>
      <c r="C621" s="1052"/>
      <c r="D621" s="1052"/>
      <c r="E621" s="1052"/>
      <c r="F621" s="1052"/>
      <c r="G621" s="1052"/>
      <c r="H621" s="1052"/>
      <c r="I621" s="1053"/>
      <c r="J621" s="254">
        <f>SUM(J602:J620)</f>
        <v>16</v>
      </c>
      <c r="K621" s="254"/>
      <c r="L621" s="254"/>
    </row>
    <row r="622" spans="2:12" hidden="1"/>
    <row r="623" spans="2:12" hidden="1"/>
    <row r="624" spans="2:12" ht="18.75" hidden="1">
      <c r="B624" s="974" t="s">
        <v>1006</v>
      </c>
      <c r="C624" s="975"/>
      <c r="D624" s="975"/>
      <c r="E624" s="975"/>
      <c r="F624" s="975"/>
      <c r="G624" s="975"/>
      <c r="H624" s="975"/>
      <c r="I624" s="975"/>
      <c r="J624" s="975"/>
      <c r="K624" s="975"/>
      <c r="L624" s="975"/>
    </row>
    <row r="625" spans="2:12" hidden="1">
      <c r="B625" s="796" t="s">
        <v>507</v>
      </c>
      <c r="C625" s="314" t="s">
        <v>508</v>
      </c>
      <c r="D625" s="314" t="s">
        <v>509</v>
      </c>
      <c r="E625" s="314" t="s">
        <v>510</v>
      </c>
      <c r="F625" s="314" t="s">
        <v>511</v>
      </c>
      <c r="G625" s="314" t="s">
        <v>512</v>
      </c>
      <c r="H625" s="314" t="s">
        <v>513</v>
      </c>
      <c r="I625" s="314" t="s">
        <v>514</v>
      </c>
      <c r="J625" s="314" t="s">
        <v>915</v>
      </c>
      <c r="K625" s="314" t="s">
        <v>914</v>
      </c>
      <c r="L625" s="314" t="s">
        <v>940</v>
      </c>
    </row>
    <row r="626" spans="2:12" hidden="1">
      <c r="B626" s="448">
        <v>44870</v>
      </c>
      <c r="C626" s="279" t="s">
        <v>870</v>
      </c>
      <c r="D626" s="278" t="s">
        <v>1007</v>
      </c>
      <c r="E626" s="278" t="s">
        <v>859</v>
      </c>
      <c r="F626" s="280">
        <v>6000000</v>
      </c>
      <c r="G626" s="279" t="s">
        <v>903</v>
      </c>
      <c r="H626" s="279" t="s">
        <v>523</v>
      </c>
      <c r="I626" s="279" t="s">
        <v>523</v>
      </c>
      <c r="J626" s="279">
        <v>1</v>
      </c>
      <c r="K626" s="279"/>
      <c r="L626" s="279" t="s">
        <v>138</v>
      </c>
    </row>
    <row r="627" spans="2:12" hidden="1">
      <c r="B627" s="431" t="s">
        <v>967</v>
      </c>
      <c r="C627" s="247" t="s">
        <v>870</v>
      </c>
      <c r="D627" s="246" t="s">
        <v>1008</v>
      </c>
      <c r="E627" s="246" t="s">
        <v>534</v>
      </c>
      <c r="F627" s="248">
        <v>1600000</v>
      </c>
      <c r="G627" s="247" t="s">
        <v>903</v>
      </c>
      <c r="H627" s="247" t="s">
        <v>523</v>
      </c>
      <c r="I627" s="247" t="s">
        <v>523</v>
      </c>
      <c r="J627" s="247">
        <v>1</v>
      </c>
      <c r="K627" s="247"/>
      <c r="L627" s="247" t="s">
        <v>138</v>
      </c>
    </row>
    <row r="628" spans="2:12" hidden="1">
      <c r="B628" s="431" t="s">
        <v>978</v>
      </c>
      <c r="C628" s="247" t="s">
        <v>687</v>
      </c>
      <c r="D628" s="246" t="s">
        <v>1009</v>
      </c>
      <c r="E628" s="246" t="s">
        <v>1010</v>
      </c>
      <c r="F628" s="248">
        <v>3000000</v>
      </c>
      <c r="G628" s="247" t="s">
        <v>741</v>
      </c>
      <c r="H628" s="247" t="s">
        <v>523</v>
      </c>
      <c r="I628" s="247" t="s">
        <v>523</v>
      </c>
      <c r="J628" s="247">
        <v>1</v>
      </c>
      <c r="K628" s="247"/>
      <c r="L628" s="247" t="s">
        <v>124</v>
      </c>
    </row>
    <row r="629" spans="2:12" hidden="1">
      <c r="B629" s="431"/>
      <c r="C629" s="247"/>
      <c r="D629" s="246"/>
      <c r="E629" s="246"/>
      <c r="F629" s="248"/>
      <c r="G629" s="247"/>
      <c r="H629" s="247"/>
      <c r="I629" s="247"/>
      <c r="J629" s="247"/>
      <c r="K629" s="247"/>
      <c r="L629" s="247"/>
    </row>
    <row r="630" spans="2:12" hidden="1">
      <c r="B630" s="791" t="s">
        <v>1011</v>
      </c>
      <c r="C630" s="250" t="s">
        <v>870</v>
      </c>
      <c r="D630" s="249" t="s">
        <v>1012</v>
      </c>
      <c r="E630" s="249" t="s">
        <v>521</v>
      </c>
      <c r="F630" s="251">
        <v>750000000</v>
      </c>
      <c r="G630" s="250" t="s">
        <v>903</v>
      </c>
      <c r="H630" s="250" t="s">
        <v>523</v>
      </c>
      <c r="I630" s="250" t="s">
        <v>523</v>
      </c>
      <c r="J630" s="250"/>
      <c r="K630" s="250">
        <v>1</v>
      </c>
      <c r="L630" s="250" t="s">
        <v>947</v>
      </c>
    </row>
    <row r="631" spans="2:12" hidden="1">
      <c r="B631" s="797"/>
      <c r="C631" s="253"/>
      <c r="D631" s="252"/>
      <c r="E631" s="252"/>
      <c r="F631" s="253"/>
      <c r="G631" s="253"/>
      <c r="H631" s="253"/>
      <c r="I631" s="253"/>
      <c r="J631" s="253"/>
      <c r="K631" s="253"/>
      <c r="L631" s="253"/>
    </row>
    <row r="632" spans="2:12" hidden="1">
      <c r="B632" s="795"/>
      <c r="C632" s="250"/>
      <c r="D632" s="249"/>
      <c r="E632" s="249"/>
      <c r="F632" s="250"/>
      <c r="G632" s="250"/>
      <c r="H632" s="250"/>
      <c r="I632" s="250"/>
      <c r="J632" s="250"/>
      <c r="K632" s="250"/>
      <c r="L632" s="250"/>
    </row>
    <row r="633" spans="2:12" ht="18.75" hidden="1">
      <c r="B633" s="1054"/>
      <c r="C633" s="1055"/>
      <c r="D633" s="1055"/>
      <c r="E633" s="1055"/>
      <c r="F633" s="1055"/>
      <c r="G633" s="1055"/>
      <c r="H633" s="1055"/>
      <c r="I633" s="1056"/>
      <c r="J633" s="254">
        <f>SUM(J626:J632)</f>
        <v>3</v>
      </c>
      <c r="K633" s="254">
        <f>SUM(K630:K632)</f>
        <v>1</v>
      </c>
      <c r="L633" s="254"/>
    </row>
    <row r="634" spans="2:12" ht="12.75" hidden="1" customHeight="1"/>
    <row r="635" spans="2:12" ht="18.75" hidden="1">
      <c r="B635" s="974" t="s">
        <v>1013</v>
      </c>
      <c r="C635" s="975"/>
      <c r="D635" s="975"/>
      <c r="E635" s="975"/>
      <c r="F635" s="975"/>
      <c r="G635" s="975"/>
      <c r="H635" s="975"/>
      <c r="I635" s="975"/>
      <c r="J635" s="975"/>
      <c r="K635" s="975"/>
      <c r="L635" s="975"/>
    </row>
    <row r="636" spans="2:12" hidden="1">
      <c r="B636" s="796" t="s">
        <v>507</v>
      </c>
      <c r="C636" s="314" t="s">
        <v>508</v>
      </c>
      <c r="D636" s="314" t="s">
        <v>509</v>
      </c>
      <c r="E636" s="314" t="s">
        <v>510</v>
      </c>
      <c r="F636" s="314" t="s">
        <v>511</v>
      </c>
      <c r="G636" s="314" t="s">
        <v>512</v>
      </c>
      <c r="H636" s="314" t="s">
        <v>513</v>
      </c>
      <c r="I636" s="314" t="s">
        <v>514</v>
      </c>
      <c r="J636" s="314" t="s">
        <v>915</v>
      </c>
      <c r="K636" s="314" t="s">
        <v>914</v>
      </c>
      <c r="L636" s="314" t="s">
        <v>940</v>
      </c>
    </row>
    <row r="637" spans="2:12" hidden="1">
      <c r="B637" s="448" t="s">
        <v>1014</v>
      </c>
      <c r="C637" s="279" t="s">
        <v>870</v>
      </c>
      <c r="D637" s="278" t="s">
        <v>1015</v>
      </c>
      <c r="E637" s="278" t="s">
        <v>1016</v>
      </c>
      <c r="F637" s="280">
        <v>2200000</v>
      </c>
      <c r="G637" s="279" t="s">
        <v>903</v>
      </c>
      <c r="H637" s="279" t="s">
        <v>523</v>
      </c>
      <c r="I637" s="279" t="s">
        <v>523</v>
      </c>
      <c r="J637" s="279">
        <v>1</v>
      </c>
      <c r="K637" s="279"/>
      <c r="L637" s="279" t="s">
        <v>138</v>
      </c>
    </row>
    <row r="638" spans="2:12" hidden="1">
      <c r="B638" s="431"/>
      <c r="C638" s="247"/>
      <c r="D638" s="246"/>
      <c r="E638" s="246"/>
      <c r="F638" s="248"/>
      <c r="G638" s="247"/>
      <c r="H638" s="247"/>
      <c r="I638" s="247"/>
      <c r="J638" s="247"/>
      <c r="K638" s="247"/>
      <c r="L638" s="247"/>
    </row>
    <row r="639" spans="2:12" hidden="1">
      <c r="B639" s="795"/>
      <c r="C639" s="250"/>
      <c r="D639" s="249"/>
      <c r="E639" s="249"/>
      <c r="F639" s="250"/>
      <c r="G639" s="250"/>
      <c r="H639" s="250"/>
      <c r="I639" s="250"/>
      <c r="J639" s="250"/>
      <c r="K639" s="250"/>
      <c r="L639" s="250"/>
    </row>
    <row r="640" spans="2:12" ht="18.75" hidden="1">
      <c r="B640" s="1054"/>
      <c r="C640" s="1055"/>
      <c r="D640" s="1055"/>
      <c r="E640" s="1055"/>
      <c r="F640" s="1055"/>
      <c r="G640" s="1055"/>
      <c r="H640" s="1055"/>
      <c r="I640" s="1056"/>
      <c r="J640" s="254">
        <f>SUM(J637:J639)</f>
        <v>1</v>
      </c>
      <c r="K640" s="254"/>
      <c r="L640" s="254"/>
    </row>
    <row r="641" spans="1:1025" ht="12.75" hidden="1" customHeight="1"/>
    <row r="642" spans="1:1025" ht="18.75" hidden="1">
      <c r="B642" s="974" t="s">
        <v>1017</v>
      </c>
      <c r="C642" s="975"/>
      <c r="D642" s="975"/>
      <c r="E642" s="975"/>
      <c r="F642" s="975"/>
      <c r="G642" s="975"/>
      <c r="H642" s="975"/>
      <c r="I642" s="975"/>
      <c r="J642" s="975"/>
      <c r="K642" s="975"/>
      <c r="L642" s="975"/>
    </row>
    <row r="643" spans="1:1025" hidden="1">
      <c r="B643" s="796" t="s">
        <v>507</v>
      </c>
      <c r="C643" s="314" t="s">
        <v>508</v>
      </c>
      <c r="D643" s="314" t="s">
        <v>509</v>
      </c>
      <c r="E643" s="314" t="s">
        <v>510</v>
      </c>
      <c r="F643" s="314" t="s">
        <v>511</v>
      </c>
      <c r="G643" s="314" t="s">
        <v>512</v>
      </c>
      <c r="H643" s="314" t="s">
        <v>513</v>
      </c>
      <c r="I643" s="314" t="s">
        <v>514</v>
      </c>
      <c r="J643" s="314" t="s">
        <v>915</v>
      </c>
      <c r="K643" s="314" t="s">
        <v>914</v>
      </c>
      <c r="L643" s="314" t="s">
        <v>940</v>
      </c>
    </row>
    <row r="644" spans="1:1025" hidden="1">
      <c r="B644" s="793" t="s">
        <v>985</v>
      </c>
      <c r="C644" s="279" t="s">
        <v>870</v>
      </c>
      <c r="D644" s="278" t="s">
        <v>1018</v>
      </c>
      <c r="E644" s="278" t="s">
        <v>845</v>
      </c>
      <c r="F644" s="280">
        <v>1400000</v>
      </c>
      <c r="G644" s="279" t="s">
        <v>741</v>
      </c>
      <c r="H644" s="279" t="s">
        <v>523</v>
      </c>
      <c r="I644" s="279" t="s">
        <v>523</v>
      </c>
      <c r="J644" s="279">
        <v>1</v>
      </c>
      <c r="K644" s="279"/>
      <c r="L644" s="279" t="s">
        <v>428</v>
      </c>
    </row>
    <row r="645" spans="1:1025" hidden="1">
      <c r="B645" s="431">
        <v>44597</v>
      </c>
      <c r="C645" s="247" t="s">
        <v>870</v>
      </c>
      <c r="D645" s="246" t="s">
        <v>1019</v>
      </c>
      <c r="E645" s="246" t="s">
        <v>845</v>
      </c>
      <c r="F645" s="248">
        <v>2600000</v>
      </c>
      <c r="G645" s="247" t="s">
        <v>741</v>
      </c>
      <c r="H645" s="247" t="s">
        <v>523</v>
      </c>
      <c r="I645" s="247" t="s">
        <v>523</v>
      </c>
      <c r="J645" s="247">
        <v>1</v>
      </c>
      <c r="K645" s="247"/>
      <c r="L645" s="247" t="s">
        <v>428</v>
      </c>
    </row>
    <row r="646" spans="1:1025" hidden="1">
      <c r="B646" s="431"/>
      <c r="C646" s="247"/>
      <c r="D646" s="246"/>
      <c r="E646" s="246"/>
      <c r="F646" s="248"/>
      <c r="G646" s="247"/>
      <c r="H646" s="247"/>
      <c r="I646" s="247"/>
      <c r="J646" s="247"/>
      <c r="K646" s="247"/>
      <c r="L646" s="247"/>
    </row>
    <row r="647" spans="1:1025" hidden="1">
      <c r="B647" s="431"/>
      <c r="C647" s="247"/>
      <c r="D647" s="246"/>
      <c r="E647" s="246"/>
      <c r="F647" s="248"/>
      <c r="G647" s="247"/>
      <c r="H647" s="247"/>
      <c r="I647" s="247"/>
      <c r="J647" s="247"/>
      <c r="K647" s="247"/>
      <c r="L647" s="247"/>
    </row>
    <row r="648" spans="1:1025" hidden="1">
      <c r="B648" s="431"/>
      <c r="C648" s="247"/>
      <c r="D648" s="246"/>
      <c r="E648" s="246"/>
      <c r="F648" s="248"/>
      <c r="G648" s="247"/>
      <c r="H648" s="247"/>
      <c r="I648" s="247"/>
      <c r="J648" s="247"/>
      <c r="K648" s="247"/>
      <c r="L648" s="247"/>
    </row>
    <row r="649" spans="1:1025" ht="18.75" hidden="1">
      <c r="B649" s="1054"/>
      <c r="C649" s="1055"/>
      <c r="D649" s="1055"/>
      <c r="E649" s="1055"/>
      <c r="F649" s="1055"/>
      <c r="G649" s="1055"/>
      <c r="H649" s="1055"/>
      <c r="I649" s="1056"/>
      <c r="J649" s="254"/>
      <c r="K649" s="254"/>
      <c r="L649" s="254"/>
    </row>
    <row r="650" spans="1:1025" hidden="1"/>
    <row r="651" spans="1:1025" ht="31.5">
      <c r="A651" s="301"/>
      <c r="B651" s="918" t="s">
        <v>429</v>
      </c>
      <c r="C651" s="919"/>
      <c r="D651" s="919"/>
      <c r="E651" s="919"/>
      <c r="F651" s="919"/>
      <c r="G651" s="919"/>
      <c r="H651" s="919"/>
      <c r="I651" s="919"/>
      <c r="J651" s="919"/>
      <c r="K651" s="919"/>
      <c r="L651" s="920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3"/>
      <c r="Z651" s="243"/>
      <c r="AA651" s="243"/>
      <c r="AB651" s="243"/>
      <c r="AC651" s="243"/>
      <c r="AD651" s="243"/>
      <c r="AE651" s="243"/>
      <c r="AF651" s="243"/>
      <c r="AG651" s="243"/>
      <c r="AH651" s="243"/>
      <c r="AI651" s="243"/>
      <c r="AJ651" s="243"/>
      <c r="AK651" s="243"/>
      <c r="AL651" s="243"/>
      <c r="AM651" s="243"/>
      <c r="AN651" s="243"/>
      <c r="AO651" s="243"/>
      <c r="AP651" s="243"/>
      <c r="AQ651" s="243"/>
      <c r="AR651" s="243"/>
      <c r="AS651" s="243"/>
      <c r="AT651" s="243"/>
      <c r="AU651" s="243"/>
      <c r="AV651" s="243"/>
      <c r="AW651" s="243"/>
      <c r="AX651" s="243"/>
      <c r="AY651" s="243"/>
      <c r="AZ651" s="243"/>
      <c r="BA651" s="243"/>
      <c r="BB651" s="243"/>
      <c r="BC651" s="243"/>
      <c r="BD651" s="243"/>
      <c r="BE651" s="243"/>
      <c r="BF651" s="243"/>
      <c r="BG651" s="243"/>
      <c r="BH651" s="243"/>
      <c r="BI651" s="243"/>
      <c r="BJ651" s="243"/>
      <c r="BK651" s="243"/>
      <c r="BL651" s="243"/>
      <c r="BM651" s="243"/>
      <c r="BN651" s="243"/>
      <c r="BO651" s="243"/>
      <c r="BP651" s="243"/>
      <c r="BQ651" s="243"/>
      <c r="BR651" s="243"/>
      <c r="BS651" s="243"/>
      <c r="BT651" s="243"/>
      <c r="BU651" s="243"/>
      <c r="BV651" s="243"/>
      <c r="BW651" s="243"/>
      <c r="BX651" s="243"/>
      <c r="BY651" s="243"/>
      <c r="BZ651" s="243"/>
      <c r="CA651" s="243"/>
      <c r="CB651" s="243"/>
      <c r="CC651" s="243"/>
      <c r="CD651" s="243"/>
      <c r="CE651" s="243"/>
      <c r="CF651" s="243"/>
      <c r="CG651" s="243"/>
      <c r="CH651" s="243"/>
      <c r="CI651" s="243"/>
      <c r="CJ651" s="243"/>
      <c r="CK651" s="243"/>
      <c r="CL651" s="243"/>
      <c r="CM651" s="243"/>
      <c r="CN651" s="243"/>
      <c r="CO651" s="243"/>
      <c r="CP651" s="243"/>
      <c r="CQ651" s="243"/>
      <c r="CR651" s="243"/>
      <c r="CS651" s="243"/>
      <c r="CT651" s="243"/>
      <c r="CU651" s="243"/>
      <c r="CV651" s="243"/>
      <c r="CW651" s="243"/>
      <c r="CX651" s="243"/>
      <c r="CY651" s="243"/>
      <c r="CZ651" s="243"/>
      <c r="DA651" s="243"/>
      <c r="DB651" s="243"/>
      <c r="DC651" s="243"/>
      <c r="DD651" s="243"/>
      <c r="DE651" s="243"/>
      <c r="DF651" s="243"/>
      <c r="DG651" s="243"/>
      <c r="DH651" s="243"/>
      <c r="DI651" s="243"/>
      <c r="DJ651" s="243"/>
      <c r="DK651" s="243"/>
      <c r="DL651" s="243"/>
      <c r="DM651" s="243"/>
      <c r="DN651" s="243"/>
      <c r="DO651" s="243"/>
      <c r="DP651" s="243"/>
      <c r="DQ651" s="243"/>
      <c r="DR651" s="243"/>
      <c r="DS651" s="243"/>
      <c r="DT651" s="243"/>
      <c r="DU651" s="243"/>
      <c r="DV651" s="243"/>
      <c r="DW651" s="243"/>
      <c r="DX651" s="243"/>
      <c r="DY651" s="243"/>
      <c r="DZ651" s="243"/>
      <c r="EA651" s="243"/>
      <c r="EB651" s="243"/>
      <c r="EC651" s="243"/>
      <c r="ED651" s="243"/>
      <c r="EE651" s="243"/>
      <c r="EF651" s="243"/>
      <c r="EG651" s="243"/>
      <c r="EH651" s="243"/>
      <c r="EI651" s="243"/>
      <c r="EJ651" s="243"/>
      <c r="EK651" s="243"/>
      <c r="EL651" s="243"/>
      <c r="EM651" s="243"/>
      <c r="EN651" s="243"/>
      <c r="EO651" s="243"/>
      <c r="EP651" s="243"/>
      <c r="EQ651" s="243"/>
      <c r="ER651" s="243"/>
      <c r="ES651" s="243"/>
      <c r="ET651" s="243"/>
      <c r="EU651" s="243"/>
      <c r="EV651" s="243"/>
      <c r="EW651" s="243"/>
      <c r="EX651" s="243"/>
      <c r="EY651" s="243"/>
      <c r="EZ651" s="243"/>
      <c r="FA651" s="243"/>
      <c r="FB651" s="243"/>
      <c r="FC651" s="243"/>
      <c r="FD651" s="243"/>
      <c r="FE651" s="243"/>
      <c r="FF651" s="243"/>
      <c r="FG651" s="243"/>
      <c r="FH651" s="243"/>
      <c r="FI651" s="243"/>
      <c r="FJ651" s="243"/>
      <c r="FK651" s="243"/>
      <c r="FL651" s="243"/>
      <c r="FM651" s="243"/>
      <c r="FN651" s="243"/>
      <c r="FO651" s="243"/>
      <c r="FP651" s="243"/>
      <c r="FQ651" s="243"/>
      <c r="FR651" s="243"/>
      <c r="FS651" s="243"/>
      <c r="FT651" s="243"/>
      <c r="FU651" s="243"/>
      <c r="FV651" s="243"/>
      <c r="FW651" s="243"/>
      <c r="FX651" s="243"/>
      <c r="FY651" s="243"/>
      <c r="FZ651" s="243"/>
      <c r="GA651" s="243"/>
      <c r="GB651" s="243"/>
      <c r="GC651" s="243"/>
      <c r="GD651" s="243"/>
      <c r="GE651" s="243"/>
      <c r="GF651" s="243"/>
      <c r="GG651" s="243"/>
      <c r="GH651" s="243"/>
      <c r="GI651" s="243"/>
      <c r="GJ651" s="243"/>
      <c r="GK651" s="243"/>
      <c r="GL651" s="243"/>
      <c r="GM651" s="243"/>
      <c r="GN651" s="243"/>
      <c r="GO651" s="243"/>
      <c r="GP651" s="243"/>
      <c r="GQ651" s="243"/>
      <c r="GR651" s="243"/>
      <c r="GS651" s="243"/>
      <c r="GT651" s="243"/>
      <c r="GU651" s="243"/>
      <c r="GV651" s="243"/>
      <c r="GW651" s="243"/>
      <c r="GX651" s="243"/>
      <c r="GY651" s="243"/>
      <c r="GZ651" s="243"/>
      <c r="HA651" s="243"/>
      <c r="HB651" s="243"/>
      <c r="HC651" s="243"/>
      <c r="HD651" s="243"/>
      <c r="HE651" s="243"/>
      <c r="HF651" s="243"/>
      <c r="HG651" s="243"/>
      <c r="HH651" s="243"/>
      <c r="HI651" s="243"/>
      <c r="HJ651" s="243"/>
      <c r="HK651" s="243"/>
      <c r="HL651" s="243"/>
      <c r="HM651" s="243"/>
      <c r="HN651" s="243"/>
      <c r="HO651" s="243"/>
      <c r="HP651" s="243"/>
      <c r="HQ651" s="243"/>
      <c r="HR651" s="243"/>
      <c r="HS651" s="243"/>
      <c r="HT651" s="243"/>
      <c r="HU651" s="243"/>
      <c r="HV651" s="243"/>
      <c r="HW651" s="243"/>
      <c r="HX651" s="243"/>
      <c r="HY651" s="243"/>
      <c r="HZ651" s="243"/>
      <c r="IA651" s="243"/>
      <c r="IB651" s="243"/>
      <c r="IC651" s="243"/>
      <c r="ID651" s="243"/>
      <c r="IE651" s="243"/>
      <c r="IF651" s="243"/>
      <c r="IG651" s="243"/>
      <c r="IH651" s="243"/>
      <c r="II651" s="243"/>
      <c r="IJ651" s="243"/>
      <c r="IK651" s="243"/>
      <c r="IL651" s="243"/>
      <c r="IM651" s="243"/>
      <c r="IN651" s="243"/>
      <c r="IO651" s="243"/>
      <c r="IP651" s="243"/>
      <c r="IQ651" s="243"/>
      <c r="IR651" s="243"/>
      <c r="IS651" s="243"/>
      <c r="IT651" s="243"/>
      <c r="IU651" s="243"/>
      <c r="IV651" s="243"/>
      <c r="IW651" s="243"/>
      <c r="IX651" s="243"/>
      <c r="IY651" s="243"/>
      <c r="IZ651" s="243"/>
      <c r="JA651" s="243"/>
      <c r="JB651" s="243"/>
      <c r="JC651" s="243"/>
      <c r="JD651" s="243"/>
      <c r="JE651" s="243"/>
      <c r="JF651" s="243"/>
      <c r="JG651" s="243"/>
      <c r="JH651" s="243"/>
      <c r="JI651" s="243"/>
      <c r="JJ651" s="243"/>
      <c r="JK651" s="243"/>
      <c r="JL651" s="243"/>
      <c r="JM651" s="243"/>
      <c r="JN651" s="243"/>
      <c r="JO651" s="243"/>
      <c r="JP651" s="243"/>
      <c r="JQ651" s="243"/>
      <c r="JR651" s="243"/>
      <c r="JS651" s="243"/>
      <c r="JT651" s="243"/>
      <c r="JU651" s="243"/>
      <c r="JV651" s="243"/>
      <c r="JW651" s="243"/>
      <c r="JX651" s="243"/>
      <c r="JY651" s="243"/>
      <c r="JZ651" s="243"/>
      <c r="KA651" s="243"/>
      <c r="KB651" s="243"/>
      <c r="KC651" s="243"/>
      <c r="KD651" s="243"/>
      <c r="KE651" s="243"/>
      <c r="KF651" s="243"/>
      <c r="KG651" s="243"/>
      <c r="KH651" s="243"/>
      <c r="KI651" s="243"/>
      <c r="KJ651" s="243"/>
      <c r="KK651" s="243"/>
      <c r="KL651" s="243"/>
      <c r="KM651" s="243"/>
      <c r="KN651" s="243"/>
      <c r="KO651" s="243"/>
      <c r="KP651" s="243"/>
      <c r="KQ651" s="243"/>
      <c r="KR651" s="243"/>
      <c r="KS651" s="243"/>
      <c r="KT651" s="243"/>
      <c r="KU651" s="243"/>
      <c r="KV651" s="243"/>
      <c r="KW651" s="243"/>
      <c r="KX651" s="243"/>
      <c r="KY651" s="243"/>
      <c r="KZ651" s="243"/>
      <c r="LA651" s="243"/>
      <c r="LB651" s="243"/>
      <c r="LC651" s="243"/>
      <c r="LD651" s="243"/>
      <c r="LE651" s="243"/>
      <c r="LF651" s="243"/>
      <c r="LG651" s="243"/>
      <c r="LH651" s="243"/>
      <c r="LI651" s="243"/>
      <c r="LJ651" s="243"/>
      <c r="LK651" s="243"/>
      <c r="LL651" s="243"/>
      <c r="LM651" s="243"/>
      <c r="LN651" s="243"/>
      <c r="LO651" s="243"/>
      <c r="LP651" s="243"/>
      <c r="LQ651" s="243"/>
      <c r="LR651" s="243"/>
      <c r="LS651" s="243"/>
      <c r="LT651" s="243"/>
      <c r="LU651" s="243"/>
      <c r="LV651" s="243"/>
      <c r="LW651" s="243"/>
      <c r="LX651" s="243"/>
      <c r="LY651" s="243"/>
      <c r="LZ651" s="243"/>
      <c r="MA651" s="243"/>
      <c r="MB651" s="243"/>
      <c r="MC651" s="243"/>
      <c r="MD651" s="243"/>
      <c r="ME651" s="243"/>
      <c r="MF651" s="243"/>
      <c r="MG651" s="243"/>
      <c r="MH651" s="243"/>
      <c r="MI651" s="243"/>
      <c r="MJ651" s="243"/>
      <c r="MK651" s="243"/>
      <c r="ML651" s="243"/>
      <c r="MM651" s="243"/>
      <c r="MN651" s="243"/>
      <c r="MO651" s="243"/>
      <c r="MP651" s="243"/>
      <c r="MQ651" s="243"/>
      <c r="MR651" s="243"/>
      <c r="MS651" s="243"/>
      <c r="MT651" s="243"/>
      <c r="MU651" s="243"/>
      <c r="MV651" s="243"/>
      <c r="MW651" s="243"/>
      <c r="MX651" s="243"/>
      <c r="MY651" s="243"/>
      <c r="MZ651" s="243"/>
      <c r="NA651" s="243"/>
      <c r="NB651" s="243"/>
      <c r="NC651" s="243"/>
      <c r="ND651" s="243"/>
      <c r="NE651" s="243"/>
      <c r="NF651" s="243"/>
      <c r="NG651" s="243"/>
      <c r="NH651" s="243"/>
      <c r="NI651" s="243"/>
      <c r="NJ651" s="243"/>
      <c r="NK651" s="243"/>
      <c r="NL651" s="243"/>
      <c r="NM651" s="243"/>
      <c r="NN651" s="243"/>
      <c r="NO651" s="243"/>
      <c r="NP651" s="243"/>
      <c r="NQ651" s="243"/>
      <c r="NR651" s="243"/>
      <c r="NS651" s="243"/>
      <c r="NT651" s="243"/>
      <c r="NU651" s="243"/>
      <c r="NV651" s="243"/>
      <c r="NW651" s="243"/>
      <c r="NX651" s="243"/>
      <c r="NY651" s="243"/>
      <c r="NZ651" s="243"/>
      <c r="OA651" s="243"/>
      <c r="OB651" s="243"/>
      <c r="OC651" s="243"/>
      <c r="OD651" s="243"/>
      <c r="OE651" s="243"/>
      <c r="OF651" s="243"/>
      <c r="OG651" s="243"/>
      <c r="OH651" s="243"/>
      <c r="OI651" s="243"/>
      <c r="OJ651" s="243"/>
      <c r="OK651" s="243"/>
      <c r="OL651" s="243"/>
      <c r="OM651" s="243"/>
      <c r="ON651" s="243"/>
      <c r="OO651" s="243"/>
      <c r="OP651" s="243"/>
      <c r="OQ651" s="243"/>
      <c r="OR651" s="243"/>
      <c r="OS651" s="243"/>
      <c r="OT651" s="243"/>
      <c r="OU651" s="243"/>
      <c r="OV651" s="243"/>
      <c r="OW651" s="243"/>
      <c r="OX651" s="243"/>
      <c r="OY651" s="243"/>
      <c r="OZ651" s="243"/>
      <c r="PA651" s="243"/>
      <c r="PB651" s="243"/>
      <c r="PC651" s="243"/>
      <c r="PD651" s="243"/>
      <c r="PE651" s="243"/>
      <c r="PF651" s="243"/>
      <c r="PG651" s="243"/>
      <c r="PH651" s="243"/>
      <c r="PI651" s="243"/>
      <c r="PJ651" s="243"/>
      <c r="PK651" s="243"/>
      <c r="PL651" s="243"/>
      <c r="PM651" s="243"/>
      <c r="PN651" s="243"/>
      <c r="PO651" s="243"/>
      <c r="PP651" s="243"/>
      <c r="PQ651" s="243"/>
      <c r="PR651" s="243"/>
      <c r="PS651" s="243"/>
      <c r="PT651" s="243"/>
      <c r="PU651" s="243"/>
      <c r="PV651" s="243"/>
      <c r="PW651" s="243"/>
      <c r="PX651" s="243"/>
      <c r="PY651" s="243"/>
      <c r="PZ651" s="243"/>
      <c r="QA651" s="243"/>
      <c r="QB651" s="243"/>
      <c r="QC651" s="243"/>
      <c r="QD651" s="243"/>
      <c r="QE651" s="243"/>
      <c r="QF651" s="243"/>
      <c r="QG651" s="243"/>
      <c r="QH651" s="243"/>
      <c r="QI651" s="243"/>
      <c r="QJ651" s="243"/>
      <c r="QK651" s="243"/>
      <c r="QL651" s="243"/>
      <c r="QM651" s="243"/>
      <c r="QN651" s="243"/>
      <c r="QO651" s="243"/>
      <c r="QP651" s="243"/>
      <c r="QQ651" s="243"/>
      <c r="QR651" s="243"/>
      <c r="QS651" s="243"/>
      <c r="QT651" s="243"/>
      <c r="QU651" s="243"/>
      <c r="QV651" s="243"/>
      <c r="QW651" s="243"/>
      <c r="QX651" s="243"/>
      <c r="QY651" s="243"/>
      <c r="QZ651" s="243"/>
      <c r="RA651" s="243"/>
      <c r="RB651" s="243"/>
      <c r="RC651" s="243"/>
      <c r="RD651" s="243"/>
      <c r="RE651" s="243"/>
      <c r="RF651" s="243"/>
      <c r="RG651" s="243"/>
      <c r="RH651" s="243"/>
      <c r="RI651" s="243"/>
      <c r="RJ651" s="243"/>
      <c r="RK651" s="243"/>
      <c r="RL651" s="243"/>
      <c r="RM651" s="243"/>
      <c r="RN651" s="243"/>
      <c r="RO651" s="243"/>
      <c r="RP651" s="243"/>
      <c r="RQ651" s="243"/>
      <c r="RR651" s="243"/>
      <c r="RS651" s="243"/>
      <c r="RT651" s="243"/>
      <c r="RU651" s="243"/>
      <c r="RV651" s="243"/>
      <c r="RW651" s="243"/>
      <c r="RX651" s="243"/>
      <c r="RY651" s="243"/>
      <c r="RZ651" s="243"/>
      <c r="SA651" s="243"/>
      <c r="SB651" s="243"/>
      <c r="SC651" s="243"/>
      <c r="SD651" s="243"/>
      <c r="SE651" s="243"/>
      <c r="SF651" s="243"/>
      <c r="SG651" s="243"/>
      <c r="SH651" s="243"/>
      <c r="SI651" s="243"/>
      <c r="SJ651" s="243"/>
      <c r="SK651" s="243"/>
      <c r="SL651" s="243"/>
      <c r="SM651" s="243"/>
      <c r="SN651" s="243"/>
      <c r="SO651" s="243"/>
      <c r="SP651" s="243"/>
      <c r="SQ651" s="243"/>
      <c r="SR651" s="243"/>
      <c r="SS651" s="243"/>
      <c r="ST651" s="243"/>
      <c r="SU651" s="243"/>
      <c r="SV651" s="243"/>
      <c r="SW651" s="243"/>
      <c r="SX651" s="243"/>
      <c r="SY651" s="243"/>
      <c r="SZ651" s="243"/>
      <c r="TA651" s="243"/>
      <c r="TB651" s="243"/>
      <c r="TC651" s="243"/>
      <c r="TD651" s="243"/>
      <c r="TE651" s="243"/>
      <c r="TF651" s="243"/>
      <c r="TG651" s="243"/>
      <c r="TH651" s="243"/>
      <c r="TI651" s="243"/>
      <c r="TJ651" s="243"/>
      <c r="TK651" s="243"/>
      <c r="TL651" s="243"/>
      <c r="TM651" s="243"/>
      <c r="TN651" s="243"/>
      <c r="TO651" s="243"/>
      <c r="TP651" s="243"/>
      <c r="TQ651" s="243"/>
      <c r="TR651" s="243"/>
      <c r="TS651" s="243"/>
      <c r="TT651" s="243"/>
      <c r="TU651" s="243"/>
      <c r="TV651" s="243"/>
      <c r="TW651" s="243"/>
      <c r="TX651" s="243"/>
      <c r="TY651" s="243"/>
      <c r="TZ651" s="243"/>
      <c r="UA651" s="243"/>
      <c r="UB651" s="243"/>
      <c r="UC651" s="243"/>
      <c r="UD651" s="243"/>
      <c r="UE651" s="243"/>
      <c r="UF651" s="243"/>
      <c r="UG651" s="243"/>
      <c r="UH651" s="243"/>
      <c r="UI651" s="243"/>
      <c r="UJ651" s="243"/>
      <c r="UK651" s="243"/>
      <c r="UL651" s="243"/>
      <c r="UM651" s="243"/>
      <c r="UN651" s="243"/>
      <c r="UO651" s="243"/>
      <c r="UP651" s="243"/>
      <c r="UQ651" s="243"/>
      <c r="UR651" s="243"/>
      <c r="US651" s="243"/>
      <c r="UT651" s="243"/>
      <c r="UU651" s="243"/>
      <c r="UV651" s="243"/>
      <c r="UW651" s="243"/>
      <c r="UX651" s="243"/>
      <c r="UY651" s="243"/>
      <c r="UZ651" s="243"/>
      <c r="VA651" s="243"/>
      <c r="VB651" s="243"/>
      <c r="VC651" s="243"/>
      <c r="VD651" s="243"/>
      <c r="VE651" s="243"/>
      <c r="VF651" s="243"/>
      <c r="VG651" s="243"/>
      <c r="VH651" s="243"/>
      <c r="VI651" s="243"/>
      <c r="VJ651" s="243"/>
      <c r="VK651" s="243"/>
      <c r="VL651" s="243"/>
      <c r="VM651" s="243"/>
      <c r="VN651" s="243"/>
      <c r="VO651" s="243"/>
      <c r="VP651" s="243"/>
      <c r="VQ651" s="243"/>
      <c r="VR651" s="243"/>
      <c r="VS651" s="243"/>
      <c r="VT651" s="243"/>
      <c r="VU651" s="243"/>
      <c r="VV651" s="243"/>
      <c r="VW651" s="243"/>
      <c r="VX651" s="243"/>
      <c r="VY651" s="243"/>
      <c r="VZ651" s="243"/>
      <c r="WA651" s="243"/>
      <c r="WB651" s="243"/>
      <c r="WC651" s="243"/>
      <c r="WD651" s="243"/>
      <c r="WE651" s="243"/>
      <c r="WF651" s="243"/>
      <c r="WG651" s="243"/>
      <c r="WH651" s="243"/>
      <c r="WI651" s="243"/>
      <c r="WJ651" s="243"/>
      <c r="WK651" s="243"/>
      <c r="WL651" s="243"/>
      <c r="WM651" s="243"/>
      <c r="WN651" s="243"/>
      <c r="WO651" s="243"/>
      <c r="WP651" s="243"/>
      <c r="WQ651" s="243"/>
      <c r="WR651" s="243"/>
      <c r="WS651" s="243"/>
      <c r="WT651" s="243"/>
      <c r="WU651" s="243"/>
      <c r="WV651" s="243"/>
      <c r="WW651" s="243"/>
      <c r="WX651" s="243"/>
      <c r="WY651" s="243"/>
      <c r="WZ651" s="243"/>
      <c r="XA651" s="243"/>
      <c r="XB651" s="243"/>
      <c r="XC651" s="243"/>
      <c r="XD651" s="243"/>
      <c r="XE651" s="243"/>
      <c r="XF651" s="243"/>
      <c r="XG651" s="243"/>
      <c r="XH651" s="243"/>
      <c r="XI651" s="243"/>
      <c r="XJ651" s="243"/>
      <c r="XK651" s="243"/>
      <c r="XL651" s="243"/>
      <c r="XM651" s="243"/>
      <c r="XN651" s="243"/>
      <c r="XO651" s="243"/>
      <c r="XP651" s="243"/>
      <c r="XQ651" s="243"/>
      <c r="XR651" s="243"/>
      <c r="XS651" s="243"/>
      <c r="XT651" s="243"/>
      <c r="XU651" s="243"/>
      <c r="XV651" s="243"/>
      <c r="XW651" s="243"/>
      <c r="XX651" s="243"/>
      <c r="XY651" s="243"/>
      <c r="XZ651" s="243"/>
      <c r="YA651" s="243"/>
      <c r="YB651" s="243"/>
      <c r="YC651" s="243"/>
      <c r="YD651" s="243"/>
      <c r="YE651" s="243"/>
      <c r="YF651" s="243"/>
      <c r="YG651" s="243"/>
      <c r="YH651" s="243"/>
      <c r="YI651" s="243"/>
      <c r="YJ651" s="243"/>
      <c r="YK651" s="243"/>
      <c r="YL651" s="243"/>
      <c r="YM651" s="243"/>
      <c r="YN651" s="243"/>
      <c r="YO651" s="243"/>
      <c r="YP651" s="243"/>
      <c r="YQ651" s="243"/>
      <c r="YR651" s="243"/>
      <c r="YS651" s="243"/>
      <c r="YT651" s="243"/>
      <c r="YU651" s="243"/>
      <c r="YV651" s="243"/>
      <c r="YW651" s="243"/>
      <c r="YX651" s="243"/>
      <c r="YY651" s="243"/>
      <c r="YZ651" s="243"/>
      <c r="ZA651" s="243"/>
      <c r="ZB651" s="243"/>
      <c r="ZC651" s="243"/>
      <c r="ZD651" s="243"/>
      <c r="ZE651" s="243"/>
      <c r="ZF651" s="243"/>
      <c r="ZG651" s="243"/>
      <c r="ZH651" s="243"/>
      <c r="ZI651" s="243"/>
      <c r="ZJ651" s="243"/>
      <c r="ZK651" s="243"/>
      <c r="ZL651" s="243"/>
      <c r="ZM651" s="243"/>
      <c r="ZN651" s="243"/>
      <c r="ZO651" s="243"/>
      <c r="ZP651" s="243"/>
      <c r="ZQ651" s="243"/>
      <c r="ZR651" s="243"/>
      <c r="ZS651" s="243"/>
      <c r="ZT651" s="243"/>
      <c r="ZU651" s="243"/>
      <c r="ZV651" s="243"/>
      <c r="ZW651" s="243"/>
      <c r="ZX651" s="243"/>
      <c r="ZY651" s="243"/>
      <c r="ZZ651" s="243"/>
      <c r="AAA651" s="243"/>
      <c r="AAB651" s="243"/>
      <c r="AAC651" s="243"/>
      <c r="AAD651" s="243"/>
      <c r="AAE651" s="243"/>
      <c r="AAF651" s="243"/>
      <c r="AAG651" s="243"/>
      <c r="AAH651" s="243"/>
      <c r="AAI651" s="243"/>
      <c r="AAJ651" s="243"/>
      <c r="AAK651" s="243"/>
      <c r="AAL651" s="243"/>
      <c r="AAM651" s="243"/>
      <c r="AAN651" s="243"/>
      <c r="AAO651" s="243"/>
      <c r="AAP651" s="243"/>
      <c r="AAQ651" s="243"/>
      <c r="AAR651" s="243"/>
      <c r="AAS651" s="243"/>
      <c r="AAT651" s="243"/>
      <c r="AAU651" s="243"/>
      <c r="AAV651" s="243"/>
      <c r="AAW651" s="243"/>
      <c r="AAX651" s="243"/>
      <c r="AAY651" s="243"/>
      <c r="AAZ651" s="243"/>
      <c r="ABA651" s="243"/>
      <c r="ABB651" s="243"/>
      <c r="ABC651" s="243"/>
      <c r="ABD651" s="243"/>
      <c r="ABE651" s="243"/>
      <c r="ABF651" s="243"/>
      <c r="ABG651" s="243"/>
      <c r="ABH651" s="243"/>
      <c r="ABI651" s="243"/>
      <c r="ABJ651" s="243"/>
      <c r="ABK651" s="243"/>
      <c r="ABL651" s="243"/>
      <c r="ABM651" s="243"/>
      <c r="ABN651" s="243"/>
      <c r="ABO651" s="243"/>
      <c r="ABP651" s="243"/>
      <c r="ABQ651" s="243"/>
      <c r="ABR651" s="243"/>
      <c r="ABS651" s="243"/>
      <c r="ABT651" s="243"/>
      <c r="ABU651" s="243"/>
      <c r="ABV651" s="243"/>
      <c r="ABW651" s="243"/>
      <c r="ABX651" s="243"/>
      <c r="ABY651" s="243"/>
      <c r="ABZ651" s="243"/>
      <c r="ACA651" s="243"/>
      <c r="ACB651" s="243"/>
      <c r="ACC651" s="243"/>
      <c r="ACD651" s="243"/>
      <c r="ACE651" s="243"/>
      <c r="ACF651" s="243"/>
      <c r="ACG651" s="243"/>
      <c r="ACH651" s="243"/>
      <c r="ACI651" s="243"/>
      <c r="ACJ651" s="243"/>
      <c r="ACK651" s="243"/>
      <c r="ACL651" s="243"/>
      <c r="ACM651" s="243"/>
      <c r="ACN651" s="243"/>
      <c r="ACO651" s="243"/>
      <c r="ACP651" s="243"/>
      <c r="ACQ651" s="243"/>
      <c r="ACR651" s="243"/>
      <c r="ACS651" s="243"/>
      <c r="ACT651" s="243"/>
      <c r="ACU651" s="243"/>
      <c r="ACV651" s="243"/>
      <c r="ACW651" s="243"/>
      <c r="ACX651" s="243"/>
      <c r="ACY651" s="243"/>
      <c r="ACZ651" s="243"/>
      <c r="ADA651" s="243"/>
      <c r="ADB651" s="243"/>
      <c r="ADC651" s="243"/>
      <c r="ADD651" s="243"/>
      <c r="ADE651" s="243"/>
      <c r="ADF651" s="243"/>
      <c r="ADG651" s="243"/>
      <c r="ADH651" s="243"/>
      <c r="ADI651" s="243"/>
      <c r="ADJ651" s="243"/>
      <c r="ADK651" s="243"/>
      <c r="ADL651" s="243"/>
      <c r="ADM651" s="243"/>
      <c r="ADN651" s="243"/>
      <c r="ADO651" s="243"/>
      <c r="ADP651" s="243"/>
      <c r="ADQ651" s="243"/>
      <c r="ADR651" s="243"/>
      <c r="ADS651" s="243"/>
      <c r="ADT651" s="243"/>
      <c r="ADU651" s="243"/>
      <c r="ADV651" s="243"/>
      <c r="ADW651" s="243"/>
      <c r="ADX651" s="243"/>
      <c r="ADY651" s="243"/>
      <c r="ADZ651" s="243"/>
      <c r="AEA651" s="243"/>
      <c r="AEB651" s="243"/>
      <c r="AEC651" s="243"/>
      <c r="AED651" s="243"/>
      <c r="AEE651" s="243"/>
      <c r="AEF651" s="243"/>
      <c r="AEG651" s="243"/>
      <c r="AEH651" s="243"/>
      <c r="AEI651" s="243"/>
      <c r="AEJ651" s="243"/>
      <c r="AEK651" s="243"/>
      <c r="AEL651" s="243"/>
      <c r="AEM651" s="243"/>
      <c r="AEN651" s="243"/>
      <c r="AEO651" s="243"/>
      <c r="AEP651" s="243"/>
      <c r="AEQ651" s="243"/>
      <c r="AER651" s="243"/>
      <c r="AES651" s="243"/>
      <c r="AET651" s="243"/>
      <c r="AEU651" s="243"/>
      <c r="AEV651" s="243"/>
      <c r="AEW651" s="243"/>
      <c r="AEX651" s="243"/>
      <c r="AEY651" s="243"/>
      <c r="AEZ651" s="243"/>
      <c r="AFA651" s="243"/>
      <c r="AFB651" s="243"/>
      <c r="AFC651" s="243"/>
      <c r="AFD651" s="243"/>
      <c r="AFE651" s="243"/>
      <c r="AFF651" s="243"/>
      <c r="AFG651" s="243"/>
      <c r="AFH651" s="243"/>
      <c r="AFI651" s="243"/>
      <c r="AFJ651" s="243"/>
      <c r="AFK651" s="243"/>
      <c r="AFL651" s="243"/>
      <c r="AFM651" s="243"/>
      <c r="AFN651" s="243"/>
      <c r="AFO651" s="243"/>
      <c r="AFP651" s="243"/>
      <c r="AFQ651" s="243"/>
      <c r="AFR651" s="243"/>
      <c r="AFS651" s="243"/>
      <c r="AFT651" s="243"/>
      <c r="AFU651" s="243"/>
      <c r="AFV651" s="243"/>
      <c r="AFW651" s="243"/>
      <c r="AFX651" s="243"/>
      <c r="AFY651" s="243"/>
      <c r="AFZ651" s="243"/>
      <c r="AGA651" s="243"/>
      <c r="AGB651" s="243"/>
      <c r="AGC651" s="243"/>
      <c r="AGD651" s="243"/>
      <c r="AGE651" s="243"/>
      <c r="AGF651" s="243"/>
      <c r="AGG651" s="243"/>
      <c r="AGH651" s="243"/>
      <c r="AGI651" s="243"/>
      <c r="AGJ651" s="243"/>
      <c r="AGK651" s="243"/>
      <c r="AGL651" s="243"/>
      <c r="AGM651" s="243"/>
      <c r="AGN651" s="243"/>
      <c r="AGO651" s="243"/>
      <c r="AGP651" s="243"/>
      <c r="AGQ651" s="243"/>
      <c r="AGR651" s="243"/>
      <c r="AGS651" s="243"/>
      <c r="AGT651" s="243"/>
      <c r="AGU651" s="243"/>
      <c r="AGV651" s="243"/>
      <c r="AGW651" s="243"/>
      <c r="AGX651" s="243"/>
      <c r="AGY651" s="243"/>
      <c r="AGZ651" s="243"/>
      <c r="AHA651" s="243"/>
      <c r="AHB651" s="243"/>
      <c r="AHC651" s="243"/>
      <c r="AHD651" s="243"/>
      <c r="AHE651" s="243"/>
      <c r="AHF651" s="243"/>
      <c r="AHG651" s="243"/>
      <c r="AHH651" s="243"/>
      <c r="AHI651" s="243"/>
      <c r="AHJ651" s="243"/>
      <c r="AHK651" s="243"/>
      <c r="AHL651" s="243"/>
      <c r="AHM651" s="243"/>
      <c r="AHN651" s="243"/>
      <c r="AHO651" s="243"/>
      <c r="AHP651" s="243"/>
      <c r="AHQ651" s="243"/>
      <c r="AHR651" s="243"/>
      <c r="AHS651" s="243"/>
      <c r="AHT651" s="243"/>
      <c r="AHU651" s="243"/>
      <c r="AHV651" s="243"/>
      <c r="AHW651" s="243"/>
      <c r="AHX651" s="243"/>
      <c r="AHY651" s="243"/>
      <c r="AHZ651" s="243"/>
      <c r="AIA651" s="243"/>
      <c r="AIB651" s="243"/>
      <c r="AIC651" s="243"/>
      <c r="AID651" s="243"/>
      <c r="AIE651" s="243"/>
      <c r="AIF651" s="243"/>
      <c r="AIG651" s="243"/>
      <c r="AIH651" s="243"/>
      <c r="AII651" s="243"/>
      <c r="AIJ651" s="243"/>
      <c r="AIK651" s="243"/>
      <c r="AIL651" s="243"/>
      <c r="AIM651" s="243"/>
      <c r="AIN651" s="243"/>
      <c r="AIO651" s="243"/>
      <c r="AIP651" s="243"/>
      <c r="AIQ651" s="243"/>
      <c r="AIR651" s="243"/>
      <c r="AIS651" s="243"/>
      <c r="AIT651" s="243"/>
      <c r="AIU651" s="243"/>
      <c r="AIV651" s="243"/>
      <c r="AIW651" s="243"/>
      <c r="AIX651" s="243"/>
      <c r="AIY651" s="243"/>
      <c r="AIZ651" s="243"/>
      <c r="AJA651" s="243"/>
      <c r="AJB651" s="243"/>
      <c r="AJC651" s="243"/>
      <c r="AJD651" s="243"/>
      <c r="AJE651" s="243"/>
      <c r="AJF651" s="243"/>
      <c r="AJG651" s="243"/>
      <c r="AJH651" s="243"/>
      <c r="AJI651" s="243"/>
      <c r="AJJ651" s="243"/>
      <c r="AJK651" s="243"/>
      <c r="AJL651" s="243"/>
      <c r="AJM651" s="243"/>
      <c r="AJN651" s="243"/>
      <c r="AJO651" s="243"/>
      <c r="AJP651" s="243"/>
      <c r="AJQ651" s="243"/>
      <c r="AJR651" s="243"/>
      <c r="AJS651" s="243"/>
      <c r="AJT651" s="243"/>
      <c r="AJU651" s="243"/>
      <c r="AJV651" s="243"/>
      <c r="AJW651" s="243"/>
      <c r="AJX651" s="243"/>
      <c r="AJY651" s="243"/>
      <c r="AJZ651" s="243"/>
      <c r="AKA651" s="243"/>
      <c r="AKB651" s="243"/>
      <c r="AKC651" s="243"/>
      <c r="AKD651" s="243"/>
      <c r="AKE651" s="243"/>
      <c r="AKF651" s="243"/>
      <c r="AKG651" s="243"/>
      <c r="AKH651" s="243"/>
      <c r="AKI651" s="243"/>
      <c r="AKJ651" s="243"/>
      <c r="AKK651" s="243"/>
      <c r="AKL651" s="243"/>
      <c r="AKM651" s="243"/>
      <c r="AKN651" s="243"/>
      <c r="AKO651" s="243"/>
      <c r="AKP651" s="243"/>
      <c r="AKQ651" s="243"/>
      <c r="AKR651" s="243"/>
      <c r="AKS651" s="243"/>
      <c r="AKT651" s="243"/>
      <c r="AKU651" s="243"/>
      <c r="AKV651" s="243"/>
      <c r="AKW651" s="243"/>
      <c r="AKX651" s="243"/>
      <c r="AKY651" s="243"/>
      <c r="AKZ651" s="243"/>
      <c r="ALA651" s="243"/>
      <c r="ALB651" s="243"/>
      <c r="ALC651" s="243"/>
      <c r="ALD651" s="243"/>
      <c r="ALE651" s="243"/>
      <c r="ALF651" s="243"/>
      <c r="ALG651" s="243"/>
      <c r="ALH651" s="243"/>
      <c r="ALI651" s="243"/>
      <c r="ALJ651" s="243"/>
      <c r="ALK651" s="243"/>
      <c r="ALL651" s="243"/>
      <c r="ALM651" s="243"/>
      <c r="ALN651" s="243"/>
      <c r="ALO651" s="243"/>
      <c r="ALP651" s="243"/>
      <c r="ALQ651" s="243"/>
      <c r="ALR651" s="243"/>
      <c r="ALS651" s="243"/>
      <c r="ALT651" s="243"/>
      <c r="ALU651" s="243"/>
      <c r="ALV651" s="243"/>
      <c r="ALW651" s="243"/>
      <c r="ALX651" s="243"/>
      <c r="ALY651" s="243"/>
      <c r="ALZ651" s="243"/>
      <c r="AMA651" s="243"/>
      <c r="AMB651" s="243"/>
      <c r="AMC651" s="243"/>
      <c r="AMD651" s="243"/>
      <c r="AME651" s="243"/>
      <c r="AMF651" s="243"/>
      <c r="AMG651" s="243"/>
      <c r="AMH651" s="243"/>
      <c r="AMI651" s="243"/>
      <c r="AMJ651" s="243"/>
      <c r="AMK651" s="244"/>
    </row>
    <row r="652" spans="1:1025" hidden="1"/>
    <row r="653" spans="1:1025" ht="18.75" hidden="1">
      <c r="B653" s="974" t="s">
        <v>1020</v>
      </c>
      <c r="C653" s="975"/>
      <c r="D653" s="975"/>
      <c r="E653" s="975"/>
      <c r="F653" s="975"/>
      <c r="G653" s="975"/>
      <c r="H653" s="975"/>
      <c r="I653" s="975"/>
      <c r="J653" s="975"/>
      <c r="K653" s="975"/>
      <c r="L653" s="975"/>
    </row>
    <row r="654" spans="1:1025" ht="18.75" hidden="1">
      <c r="B654" s="790" t="s">
        <v>507</v>
      </c>
      <c r="C654" s="245" t="s">
        <v>508</v>
      </c>
      <c r="D654" s="245" t="s">
        <v>509</v>
      </c>
      <c r="E654" s="245" t="s">
        <v>510</v>
      </c>
      <c r="F654" s="245" t="s">
        <v>511</v>
      </c>
      <c r="G654" s="245" t="s">
        <v>512</v>
      </c>
      <c r="H654" s="245" t="s">
        <v>513</v>
      </c>
      <c r="I654" s="245" t="s">
        <v>514</v>
      </c>
      <c r="J654" s="245" t="s">
        <v>915</v>
      </c>
      <c r="K654" s="245" t="s">
        <v>914</v>
      </c>
      <c r="L654" s="245" t="s">
        <v>940</v>
      </c>
    </row>
    <row r="655" spans="1:1025" hidden="1">
      <c r="B655" s="793" t="s">
        <v>1021</v>
      </c>
      <c r="C655" s="279" t="s">
        <v>870</v>
      </c>
      <c r="D655" s="278" t="s">
        <v>1022</v>
      </c>
      <c r="E655" s="278" t="s">
        <v>583</v>
      </c>
      <c r="F655" s="280">
        <v>3600000</v>
      </c>
      <c r="G655" s="279" t="s">
        <v>903</v>
      </c>
      <c r="H655" s="279" t="s">
        <v>523</v>
      </c>
      <c r="I655" s="279" t="s">
        <v>523</v>
      </c>
      <c r="J655" s="279">
        <v>1</v>
      </c>
      <c r="K655" s="279"/>
      <c r="L655" s="279" t="s">
        <v>190</v>
      </c>
    </row>
    <row r="656" spans="1:1025" hidden="1">
      <c r="B656" s="793" t="s">
        <v>1021</v>
      </c>
      <c r="C656" s="247" t="s">
        <v>870</v>
      </c>
      <c r="D656" s="246" t="s">
        <v>1023</v>
      </c>
      <c r="E656" s="246" t="s">
        <v>792</v>
      </c>
      <c r="F656" s="248">
        <v>5500000</v>
      </c>
      <c r="G656" s="247" t="s">
        <v>903</v>
      </c>
      <c r="H656" s="247" t="s">
        <v>523</v>
      </c>
      <c r="I656" s="247" t="s">
        <v>523</v>
      </c>
      <c r="J656" s="247">
        <v>1</v>
      </c>
      <c r="K656" s="247"/>
      <c r="L656" s="247" t="s">
        <v>190</v>
      </c>
    </row>
    <row r="657" spans="2:12" hidden="1">
      <c r="B657" s="793" t="s">
        <v>1024</v>
      </c>
      <c r="C657" s="247" t="s">
        <v>870</v>
      </c>
      <c r="D657" s="246" t="s">
        <v>1025</v>
      </c>
      <c r="E657" s="246" t="s">
        <v>845</v>
      </c>
      <c r="F657" s="248">
        <v>5000000</v>
      </c>
      <c r="G657" s="247" t="s">
        <v>903</v>
      </c>
      <c r="H657" s="247" t="s">
        <v>523</v>
      </c>
      <c r="I657" s="247" t="s">
        <v>523</v>
      </c>
      <c r="J657" s="247">
        <v>1</v>
      </c>
      <c r="K657" s="247"/>
      <c r="L657" s="247" t="s">
        <v>190</v>
      </c>
    </row>
    <row r="658" spans="2:12" hidden="1">
      <c r="B658" s="431" t="s">
        <v>1024</v>
      </c>
      <c r="C658" s="247" t="s">
        <v>870</v>
      </c>
      <c r="D658" s="246" t="s">
        <v>1026</v>
      </c>
      <c r="E658" s="246" t="s">
        <v>845</v>
      </c>
      <c r="F658" s="248">
        <v>3200000</v>
      </c>
      <c r="G658" s="247" t="s">
        <v>903</v>
      </c>
      <c r="H658" s="247" t="s">
        <v>523</v>
      </c>
      <c r="I658" s="247" t="s">
        <v>523</v>
      </c>
      <c r="J658" s="247">
        <v>1</v>
      </c>
      <c r="K658" s="247"/>
      <c r="L658" s="247" t="s">
        <v>190</v>
      </c>
    </row>
    <row r="659" spans="2:12" hidden="1">
      <c r="B659" s="431">
        <v>44567</v>
      </c>
      <c r="C659" s="247" t="s">
        <v>870</v>
      </c>
      <c r="D659" s="246" t="s">
        <v>1027</v>
      </c>
      <c r="E659" s="246" t="s">
        <v>616</v>
      </c>
      <c r="F659" s="248">
        <v>3200000</v>
      </c>
      <c r="G659" s="247" t="s">
        <v>903</v>
      </c>
      <c r="H659" s="247" t="s">
        <v>523</v>
      </c>
      <c r="I659" s="247" t="s">
        <v>523</v>
      </c>
      <c r="J659" s="247">
        <v>1</v>
      </c>
      <c r="K659" s="247"/>
      <c r="L659" s="247" t="s">
        <v>124</v>
      </c>
    </row>
    <row r="660" spans="2:12" hidden="1">
      <c r="B660" s="431">
        <v>44748</v>
      </c>
      <c r="C660" s="247" t="s">
        <v>870</v>
      </c>
      <c r="D660" s="246" t="s">
        <v>1028</v>
      </c>
      <c r="E660" s="246" t="s">
        <v>174</v>
      </c>
      <c r="F660" s="248">
        <v>12500000</v>
      </c>
      <c r="G660" s="247" t="s">
        <v>903</v>
      </c>
      <c r="H660" s="247" t="s">
        <v>523</v>
      </c>
      <c r="I660" s="247" t="s">
        <v>523</v>
      </c>
      <c r="J660" s="247">
        <v>1</v>
      </c>
      <c r="K660" s="247"/>
      <c r="L660" s="247" t="s">
        <v>190</v>
      </c>
    </row>
    <row r="661" spans="2:12" hidden="1">
      <c r="B661" s="431">
        <v>44748</v>
      </c>
      <c r="C661" s="247" t="s">
        <v>870</v>
      </c>
      <c r="D661" s="246" t="s">
        <v>1029</v>
      </c>
      <c r="E661" s="246" t="s">
        <v>174</v>
      </c>
      <c r="F661" s="248">
        <v>3900000</v>
      </c>
      <c r="G661" s="247" t="s">
        <v>903</v>
      </c>
      <c r="H661" s="247" t="s">
        <v>523</v>
      </c>
      <c r="I661" s="247" t="s">
        <v>523</v>
      </c>
      <c r="J661" s="247">
        <v>1</v>
      </c>
      <c r="K661" s="247"/>
      <c r="L661" s="247" t="s">
        <v>124</v>
      </c>
    </row>
    <row r="662" spans="2:12" hidden="1">
      <c r="B662" s="431">
        <v>44748</v>
      </c>
      <c r="C662" s="247" t="s">
        <v>870</v>
      </c>
      <c r="D662" s="246" t="s">
        <v>1030</v>
      </c>
      <c r="E662" s="246" t="s">
        <v>845</v>
      </c>
      <c r="F662" s="248">
        <v>3200000</v>
      </c>
      <c r="G662" s="247" t="s">
        <v>903</v>
      </c>
      <c r="H662" s="247" t="s">
        <v>523</v>
      </c>
      <c r="I662" s="247" t="s">
        <v>523</v>
      </c>
      <c r="J662" s="247">
        <v>1</v>
      </c>
      <c r="K662" s="247"/>
      <c r="L662" s="247" t="s">
        <v>190</v>
      </c>
    </row>
    <row r="663" spans="2:12" hidden="1">
      <c r="B663" s="431">
        <v>44779</v>
      </c>
      <c r="C663" s="247" t="s">
        <v>870</v>
      </c>
      <c r="D663" s="246" t="s">
        <v>1031</v>
      </c>
      <c r="E663" s="246" t="s">
        <v>583</v>
      </c>
      <c r="F663" s="248">
        <v>3700000</v>
      </c>
      <c r="G663" s="247" t="s">
        <v>903</v>
      </c>
      <c r="H663" s="247" t="s">
        <v>523</v>
      </c>
      <c r="I663" s="247" t="s">
        <v>523</v>
      </c>
      <c r="J663" s="247">
        <v>1</v>
      </c>
      <c r="K663" s="247"/>
      <c r="L663" s="247" t="s">
        <v>124</v>
      </c>
    </row>
    <row r="664" spans="2:12" hidden="1">
      <c r="B664" s="431">
        <v>44779</v>
      </c>
      <c r="C664" s="247" t="s">
        <v>870</v>
      </c>
      <c r="D664" s="246" t="s">
        <v>1032</v>
      </c>
      <c r="E664" s="246" t="s">
        <v>593</v>
      </c>
      <c r="F664" s="248">
        <v>2600000</v>
      </c>
      <c r="G664" s="247" t="s">
        <v>903</v>
      </c>
      <c r="H664" s="247" t="s">
        <v>523</v>
      </c>
      <c r="I664" s="247" t="s">
        <v>523</v>
      </c>
      <c r="J664" s="247">
        <v>1</v>
      </c>
      <c r="K664" s="247"/>
      <c r="L664" s="247" t="s">
        <v>190</v>
      </c>
    </row>
    <row r="665" spans="2:12" hidden="1">
      <c r="B665" s="431" t="s">
        <v>1033</v>
      </c>
      <c r="C665" s="247" t="s">
        <v>870</v>
      </c>
      <c r="D665" s="246" t="s">
        <v>1034</v>
      </c>
      <c r="E665" s="246" t="s">
        <v>590</v>
      </c>
      <c r="F665" s="248">
        <v>3200000</v>
      </c>
      <c r="G665" s="247" t="s">
        <v>903</v>
      </c>
      <c r="H665" s="247" t="s">
        <v>523</v>
      </c>
      <c r="I665" s="247" t="s">
        <v>523</v>
      </c>
      <c r="J665" s="247">
        <v>1</v>
      </c>
      <c r="K665" s="247"/>
      <c r="L665" s="247" t="s">
        <v>190</v>
      </c>
    </row>
    <row r="666" spans="2:12" hidden="1">
      <c r="B666" s="431">
        <v>44840</v>
      </c>
      <c r="C666" s="247" t="s">
        <v>870</v>
      </c>
      <c r="D666" s="246" t="s">
        <v>228</v>
      </c>
      <c r="E666" s="246" t="s">
        <v>1035</v>
      </c>
      <c r="F666" s="248">
        <v>2300000</v>
      </c>
      <c r="G666" s="247" t="s">
        <v>903</v>
      </c>
      <c r="H666" s="247" t="s">
        <v>523</v>
      </c>
      <c r="I666" s="247" t="s">
        <v>523</v>
      </c>
      <c r="J666" s="247">
        <v>1</v>
      </c>
      <c r="K666" s="247"/>
      <c r="L666" s="247" t="s">
        <v>124</v>
      </c>
    </row>
    <row r="667" spans="2:12" hidden="1">
      <c r="B667" s="431" t="s">
        <v>1036</v>
      </c>
      <c r="C667" s="247" t="s">
        <v>870</v>
      </c>
      <c r="D667" s="246" t="s">
        <v>1037</v>
      </c>
      <c r="E667" s="246" t="s">
        <v>1038</v>
      </c>
      <c r="F667" s="248">
        <v>1450000</v>
      </c>
      <c r="G667" s="247" t="s">
        <v>741</v>
      </c>
      <c r="H667" s="247" t="s">
        <v>523</v>
      </c>
      <c r="I667" s="247" t="s">
        <v>523</v>
      </c>
      <c r="J667" s="247">
        <v>1</v>
      </c>
      <c r="K667" s="247"/>
      <c r="L667" s="247" t="s">
        <v>138</v>
      </c>
    </row>
    <row r="668" spans="2:12" hidden="1">
      <c r="B668" s="431" t="s">
        <v>1036</v>
      </c>
      <c r="C668" s="247" t="s">
        <v>870</v>
      </c>
      <c r="D668" s="246" t="s">
        <v>1039</v>
      </c>
      <c r="E668" s="246" t="s">
        <v>1038</v>
      </c>
      <c r="F668" s="248">
        <v>1450000</v>
      </c>
      <c r="G668" s="247" t="s">
        <v>741</v>
      </c>
      <c r="H668" s="247" t="s">
        <v>523</v>
      </c>
      <c r="I668" s="247" t="s">
        <v>523</v>
      </c>
      <c r="J668" s="247">
        <v>1</v>
      </c>
      <c r="K668" s="247"/>
      <c r="L668" s="247" t="s">
        <v>190</v>
      </c>
    </row>
    <row r="669" spans="2:12" hidden="1">
      <c r="B669" s="794" t="s">
        <v>1036</v>
      </c>
      <c r="C669" s="247" t="s">
        <v>870</v>
      </c>
      <c r="D669" s="246" t="s">
        <v>1040</v>
      </c>
      <c r="E669" s="246" t="s">
        <v>534</v>
      </c>
      <c r="F669" s="248">
        <v>2400000</v>
      </c>
      <c r="G669" s="247" t="s">
        <v>903</v>
      </c>
      <c r="H669" s="247" t="s">
        <v>523</v>
      </c>
      <c r="I669" s="247" t="s">
        <v>523</v>
      </c>
      <c r="J669" s="247">
        <v>1</v>
      </c>
      <c r="K669" s="247"/>
      <c r="L669" s="247" t="s">
        <v>138</v>
      </c>
    </row>
    <row r="670" spans="2:12" hidden="1">
      <c r="B670" s="794" t="s">
        <v>1041</v>
      </c>
      <c r="C670" s="247" t="s">
        <v>870</v>
      </c>
      <c r="D670" s="246" t="s">
        <v>1042</v>
      </c>
      <c r="E670" s="246" t="s">
        <v>578</v>
      </c>
      <c r="F670" s="248">
        <v>1700000</v>
      </c>
      <c r="G670" s="247" t="s">
        <v>903</v>
      </c>
      <c r="H670" s="247" t="s">
        <v>523</v>
      </c>
      <c r="I670" s="247" t="s">
        <v>523</v>
      </c>
      <c r="J670" s="247">
        <v>1</v>
      </c>
      <c r="K670" s="247"/>
      <c r="L670" s="247" t="s">
        <v>190</v>
      </c>
    </row>
    <row r="671" spans="2:12" hidden="1">
      <c r="B671" s="794" t="s">
        <v>1043</v>
      </c>
      <c r="C671" s="247" t="s">
        <v>870</v>
      </c>
      <c r="D671" s="246" t="s">
        <v>1044</v>
      </c>
      <c r="E671" s="246" t="s">
        <v>534</v>
      </c>
      <c r="F671" s="248">
        <v>2700000</v>
      </c>
      <c r="G671" s="247" t="s">
        <v>903</v>
      </c>
      <c r="H671" s="247" t="s">
        <v>523</v>
      </c>
      <c r="I671" s="247" t="s">
        <v>523</v>
      </c>
      <c r="J671" s="247">
        <v>1</v>
      </c>
      <c r="K671" s="247"/>
      <c r="L671" s="247" t="s">
        <v>190</v>
      </c>
    </row>
    <row r="672" spans="2:12" hidden="1">
      <c r="B672" s="794" t="s">
        <v>1045</v>
      </c>
      <c r="C672" s="247" t="s">
        <v>870</v>
      </c>
      <c r="D672" s="246" t="s">
        <v>1046</v>
      </c>
      <c r="E672" s="246" t="s">
        <v>578</v>
      </c>
      <c r="F672" s="248">
        <v>2500000</v>
      </c>
      <c r="G672" s="247" t="s">
        <v>903</v>
      </c>
      <c r="H672" s="247" t="s">
        <v>523</v>
      </c>
      <c r="I672" s="247" t="s">
        <v>523</v>
      </c>
      <c r="J672" s="247">
        <v>1</v>
      </c>
      <c r="K672" s="247"/>
      <c r="L672" s="247" t="s">
        <v>190</v>
      </c>
    </row>
    <row r="673" spans="2:12" hidden="1">
      <c r="B673" s="794" t="s">
        <v>1045</v>
      </c>
      <c r="C673" s="247" t="s">
        <v>696</v>
      </c>
      <c r="D673" s="246" t="s">
        <v>1047</v>
      </c>
      <c r="E673" s="246" t="s">
        <v>887</v>
      </c>
      <c r="F673" s="248">
        <v>5000000</v>
      </c>
      <c r="G673" s="247" t="s">
        <v>903</v>
      </c>
      <c r="H673" s="247" t="s">
        <v>523</v>
      </c>
      <c r="I673" s="247" t="s">
        <v>523</v>
      </c>
      <c r="J673" s="247">
        <v>1</v>
      </c>
      <c r="K673" s="247"/>
      <c r="L673" s="247" t="s">
        <v>138</v>
      </c>
    </row>
    <row r="674" spans="2:12" hidden="1">
      <c r="B674" s="794" t="s">
        <v>1048</v>
      </c>
      <c r="C674" s="247" t="s">
        <v>870</v>
      </c>
      <c r="D674" s="246" t="s">
        <v>1049</v>
      </c>
      <c r="E674" s="246" t="s">
        <v>845</v>
      </c>
      <c r="F674" s="248">
        <v>2500000</v>
      </c>
      <c r="G674" s="247" t="s">
        <v>903</v>
      </c>
      <c r="H674" s="247" t="s">
        <v>523</v>
      </c>
      <c r="I674" s="247" t="s">
        <v>523</v>
      </c>
      <c r="J674" s="247">
        <v>1</v>
      </c>
      <c r="K674" s="247"/>
      <c r="L674" s="247" t="s">
        <v>190</v>
      </c>
    </row>
    <row r="675" spans="2:12" hidden="1">
      <c r="B675" s="791" t="s">
        <v>1043</v>
      </c>
      <c r="C675" s="250" t="s">
        <v>870</v>
      </c>
      <c r="D675" s="249" t="s">
        <v>1050</v>
      </c>
      <c r="E675" s="249" t="s">
        <v>845</v>
      </c>
      <c r="F675" s="251">
        <v>750000000</v>
      </c>
      <c r="G675" s="250" t="s">
        <v>1051</v>
      </c>
      <c r="H675" s="250" t="s">
        <v>523</v>
      </c>
      <c r="I675" s="250" t="s">
        <v>523</v>
      </c>
      <c r="J675" s="250"/>
      <c r="K675" s="250">
        <v>1</v>
      </c>
      <c r="L675" s="250" t="s">
        <v>947</v>
      </c>
    </row>
    <row r="676" spans="2:12" hidden="1">
      <c r="B676" s="791" t="s">
        <v>1043</v>
      </c>
      <c r="C676" s="250" t="s">
        <v>870</v>
      </c>
      <c r="D676" s="252" t="s">
        <v>1052</v>
      </c>
      <c r="E676" s="252" t="s">
        <v>174</v>
      </c>
      <c r="F676" s="251">
        <v>380000000</v>
      </c>
      <c r="G676" s="253" t="s">
        <v>903</v>
      </c>
      <c r="H676" s="253" t="s">
        <v>523</v>
      </c>
      <c r="I676" s="253" t="s">
        <v>523</v>
      </c>
      <c r="J676" s="253"/>
      <c r="K676" s="253">
        <v>1</v>
      </c>
      <c r="L676" s="253" t="s">
        <v>947</v>
      </c>
    </row>
    <row r="677" spans="2:12" hidden="1">
      <c r="B677" s="791" t="s">
        <v>1043</v>
      </c>
      <c r="C677" s="250" t="s">
        <v>870</v>
      </c>
      <c r="D677" s="249" t="s">
        <v>1053</v>
      </c>
      <c r="E677" s="249" t="s">
        <v>719</v>
      </c>
      <c r="F677" s="251">
        <v>1200000000</v>
      </c>
      <c r="G677" s="250" t="s">
        <v>903</v>
      </c>
      <c r="H677" s="250" t="s">
        <v>523</v>
      </c>
      <c r="I677" s="250" t="s">
        <v>523</v>
      </c>
      <c r="J677" s="250"/>
      <c r="K677" s="250">
        <v>1</v>
      </c>
      <c r="L677" s="250" t="s">
        <v>947</v>
      </c>
    </row>
    <row r="678" spans="2:12" ht="18.75" hidden="1">
      <c r="B678" s="1051"/>
      <c r="C678" s="1052"/>
      <c r="D678" s="1052"/>
      <c r="E678" s="1052"/>
      <c r="F678" s="1052"/>
      <c r="G678" s="1052"/>
      <c r="H678" s="1052"/>
      <c r="I678" s="1053"/>
      <c r="J678" s="254">
        <f>SUM(J655:J677)</f>
        <v>20</v>
      </c>
      <c r="K678" s="254">
        <f>SUM(K671:K677)</f>
        <v>3</v>
      </c>
      <c r="L678" s="254"/>
    </row>
    <row r="679" spans="2:12" hidden="1"/>
    <row r="680" spans="2:12" hidden="1"/>
    <row r="681" spans="2:12" ht="18.75" hidden="1">
      <c r="B681" s="974" t="s">
        <v>1054</v>
      </c>
      <c r="C681" s="975"/>
      <c r="D681" s="975"/>
      <c r="E681" s="975"/>
      <c r="F681" s="975"/>
      <c r="G681" s="975"/>
      <c r="H681" s="975"/>
      <c r="I681" s="975"/>
      <c r="J681" s="975"/>
      <c r="K681" s="975"/>
      <c r="L681" s="975"/>
    </row>
    <row r="682" spans="2:12" ht="15.75" hidden="1">
      <c r="B682" s="796" t="s">
        <v>507</v>
      </c>
      <c r="C682" s="314" t="s">
        <v>508</v>
      </c>
      <c r="D682" s="314" t="s">
        <v>509</v>
      </c>
      <c r="E682" s="314" t="s">
        <v>510</v>
      </c>
      <c r="F682" s="314" t="s">
        <v>511</v>
      </c>
      <c r="G682" s="314" t="s">
        <v>512</v>
      </c>
      <c r="H682" s="314" t="s">
        <v>513</v>
      </c>
      <c r="I682" s="314" t="s">
        <v>514</v>
      </c>
      <c r="J682" s="314" t="s">
        <v>915</v>
      </c>
      <c r="K682" s="314" t="s">
        <v>914</v>
      </c>
      <c r="L682" s="314" t="s">
        <v>940</v>
      </c>
    </row>
    <row r="683" spans="2:12" hidden="1">
      <c r="B683" s="448" t="s">
        <v>1055</v>
      </c>
      <c r="C683" s="279" t="s">
        <v>696</v>
      </c>
      <c r="D683" s="278" t="s">
        <v>1056</v>
      </c>
      <c r="E683" s="278" t="s">
        <v>526</v>
      </c>
      <c r="F683" s="280">
        <v>9000000</v>
      </c>
      <c r="G683" s="279" t="s">
        <v>741</v>
      </c>
      <c r="H683" s="279" t="s">
        <v>523</v>
      </c>
      <c r="I683" s="279" t="s">
        <v>523</v>
      </c>
      <c r="J683" s="279">
        <v>1</v>
      </c>
      <c r="K683" s="279"/>
      <c r="L683" s="279" t="s">
        <v>190</v>
      </c>
    </row>
    <row r="684" spans="2:12" hidden="1">
      <c r="B684" s="431" t="s">
        <v>1055</v>
      </c>
      <c r="C684" s="247" t="s">
        <v>696</v>
      </c>
      <c r="D684" s="246" t="s">
        <v>1057</v>
      </c>
      <c r="E684" s="246" t="s">
        <v>526</v>
      </c>
      <c r="F684" s="248">
        <v>10000000</v>
      </c>
      <c r="G684" s="247" t="s">
        <v>741</v>
      </c>
      <c r="H684" s="247" t="s">
        <v>523</v>
      </c>
      <c r="I684" s="247" t="s">
        <v>523</v>
      </c>
      <c r="J684" s="247">
        <v>1</v>
      </c>
      <c r="K684" s="247"/>
      <c r="L684" s="247" t="s">
        <v>190</v>
      </c>
    </row>
    <row r="685" spans="2:12" hidden="1">
      <c r="B685" s="431" t="s">
        <v>1055</v>
      </c>
      <c r="C685" s="247" t="s">
        <v>870</v>
      </c>
      <c r="D685" s="246" t="s">
        <v>1058</v>
      </c>
      <c r="E685" s="246" t="s">
        <v>526</v>
      </c>
      <c r="F685" s="248">
        <v>6000000</v>
      </c>
      <c r="G685" s="247" t="s">
        <v>903</v>
      </c>
      <c r="H685" s="247" t="s">
        <v>523</v>
      </c>
      <c r="I685" s="247" t="s">
        <v>523</v>
      </c>
      <c r="J685" s="247">
        <v>1</v>
      </c>
      <c r="K685" s="247"/>
      <c r="L685" s="247" t="s">
        <v>190</v>
      </c>
    </row>
    <row r="686" spans="2:12" hidden="1">
      <c r="B686" s="431" t="s">
        <v>1024</v>
      </c>
      <c r="C686" s="247" t="s">
        <v>870</v>
      </c>
      <c r="D686" s="246" t="s">
        <v>1059</v>
      </c>
      <c r="E686" s="246" t="s">
        <v>174</v>
      </c>
      <c r="F686" s="248">
        <v>4300000</v>
      </c>
      <c r="G686" s="247" t="s">
        <v>903</v>
      </c>
      <c r="H686" s="247" t="s">
        <v>523</v>
      </c>
      <c r="I686" s="247" t="s">
        <v>523</v>
      </c>
      <c r="J686" s="247">
        <v>1</v>
      </c>
      <c r="K686" s="247"/>
      <c r="L686" s="247" t="s">
        <v>138</v>
      </c>
    </row>
    <row r="687" spans="2:12" hidden="1">
      <c r="B687" s="431" t="s">
        <v>1024</v>
      </c>
      <c r="C687" s="247" t="s">
        <v>870</v>
      </c>
      <c r="D687" s="246" t="s">
        <v>1060</v>
      </c>
      <c r="E687" s="246" t="s">
        <v>174</v>
      </c>
      <c r="F687" s="248">
        <v>3800000</v>
      </c>
      <c r="G687" s="247" t="s">
        <v>903</v>
      </c>
      <c r="H687" s="247" t="s">
        <v>523</v>
      </c>
      <c r="I687" s="247" t="s">
        <v>523</v>
      </c>
      <c r="J687" s="247">
        <v>1</v>
      </c>
      <c r="K687" s="247"/>
      <c r="L687" s="247" t="s">
        <v>124</v>
      </c>
    </row>
    <row r="688" spans="2:12" hidden="1">
      <c r="B688" s="431">
        <v>44598</v>
      </c>
      <c r="C688" s="247" t="s">
        <v>696</v>
      </c>
      <c r="D688" s="246" t="s">
        <v>1061</v>
      </c>
      <c r="E688" s="246" t="s">
        <v>619</v>
      </c>
      <c r="F688" s="248">
        <v>15000000</v>
      </c>
      <c r="G688" s="247" t="s">
        <v>903</v>
      </c>
      <c r="H688" s="247" t="s">
        <v>523</v>
      </c>
      <c r="I688" s="247" t="s">
        <v>523</v>
      </c>
      <c r="J688" s="247">
        <v>1</v>
      </c>
      <c r="K688" s="247"/>
      <c r="L688" s="247" t="s">
        <v>190</v>
      </c>
    </row>
    <row r="689" spans="2:12" hidden="1">
      <c r="B689" s="431">
        <v>44840</v>
      </c>
      <c r="C689" s="247" t="s">
        <v>870</v>
      </c>
      <c r="D689" s="246" t="s">
        <v>1062</v>
      </c>
      <c r="E689" s="246" t="s">
        <v>526</v>
      </c>
      <c r="F689" s="248">
        <v>2600000</v>
      </c>
      <c r="G689" s="247" t="s">
        <v>903</v>
      </c>
      <c r="H689" s="247" t="s">
        <v>523</v>
      </c>
      <c r="I689" s="247" t="s">
        <v>523</v>
      </c>
      <c r="J689" s="247">
        <v>1</v>
      </c>
      <c r="K689" s="247"/>
      <c r="L689" s="247" t="s">
        <v>190</v>
      </c>
    </row>
    <row r="690" spans="2:12" hidden="1">
      <c r="B690" s="431">
        <v>44840</v>
      </c>
      <c r="C690" s="247" t="s">
        <v>870</v>
      </c>
      <c r="D690" s="246" t="s">
        <v>1063</v>
      </c>
      <c r="E690" s="246" t="s">
        <v>845</v>
      </c>
      <c r="F690" s="248">
        <v>3000000</v>
      </c>
      <c r="G690" s="247" t="s">
        <v>903</v>
      </c>
      <c r="H690" s="247" t="s">
        <v>523</v>
      </c>
      <c r="I690" s="247" t="s">
        <v>523</v>
      </c>
      <c r="J690" s="247">
        <v>1</v>
      </c>
      <c r="K690" s="247"/>
      <c r="L690" s="247" t="s">
        <v>138</v>
      </c>
    </row>
    <row r="691" spans="2:12" hidden="1">
      <c r="B691" s="431" t="s">
        <v>1064</v>
      </c>
      <c r="C691" s="247" t="s">
        <v>870</v>
      </c>
      <c r="D691" s="246" t="s">
        <v>1065</v>
      </c>
      <c r="E691" s="246" t="s">
        <v>845</v>
      </c>
      <c r="F691" s="248">
        <v>3000000</v>
      </c>
      <c r="G691" s="247" t="s">
        <v>903</v>
      </c>
      <c r="H691" s="247" t="s">
        <v>523</v>
      </c>
      <c r="I691" s="247" t="s">
        <v>523</v>
      </c>
      <c r="J691" s="247">
        <v>1</v>
      </c>
      <c r="K691" s="247"/>
      <c r="L691" s="247" t="s">
        <v>190</v>
      </c>
    </row>
    <row r="692" spans="2:12" hidden="1">
      <c r="B692" s="431" t="s">
        <v>1066</v>
      </c>
      <c r="C692" s="247" t="s">
        <v>870</v>
      </c>
      <c r="D692" s="246" t="s">
        <v>1067</v>
      </c>
      <c r="E692" s="246" t="s">
        <v>1068</v>
      </c>
      <c r="F692" s="248">
        <v>2200000</v>
      </c>
      <c r="G692" s="247" t="s">
        <v>741</v>
      </c>
      <c r="H692" s="247" t="s">
        <v>523</v>
      </c>
      <c r="I692" s="247" t="s">
        <v>523</v>
      </c>
      <c r="J692" s="247">
        <v>1</v>
      </c>
      <c r="K692" s="247"/>
      <c r="L692" s="247" t="s">
        <v>138</v>
      </c>
    </row>
    <row r="693" spans="2:12" hidden="1">
      <c r="B693" s="431" t="s">
        <v>1045</v>
      </c>
      <c r="C693" s="247" t="s">
        <v>870</v>
      </c>
      <c r="D693" s="246" t="s">
        <v>1069</v>
      </c>
      <c r="E693" s="246" t="s">
        <v>521</v>
      </c>
      <c r="F693" s="248">
        <v>3500000</v>
      </c>
      <c r="G693" s="247" t="s">
        <v>903</v>
      </c>
      <c r="H693" s="247" t="s">
        <v>523</v>
      </c>
      <c r="I693" s="247" t="s">
        <v>523</v>
      </c>
      <c r="J693" s="247">
        <v>1</v>
      </c>
      <c r="K693" s="247"/>
      <c r="L693" s="247" t="s">
        <v>138</v>
      </c>
    </row>
    <row r="694" spans="2:12" hidden="1">
      <c r="B694" s="431" t="s">
        <v>1048</v>
      </c>
      <c r="C694" s="247" t="s">
        <v>556</v>
      </c>
      <c r="D694" s="246" t="s">
        <v>1070</v>
      </c>
      <c r="E694" s="246" t="s">
        <v>766</v>
      </c>
      <c r="F694" s="248">
        <v>56493730</v>
      </c>
      <c r="G694" s="247" t="s">
        <v>741</v>
      </c>
      <c r="H694" s="247" t="s">
        <v>523</v>
      </c>
      <c r="I694" s="247" t="s">
        <v>523</v>
      </c>
      <c r="J694" s="247">
        <v>1</v>
      </c>
      <c r="K694" s="247"/>
      <c r="L694" s="247" t="s">
        <v>190</v>
      </c>
    </row>
    <row r="695" spans="2:12" hidden="1">
      <c r="B695" s="431" t="s">
        <v>1048</v>
      </c>
      <c r="C695" s="247" t="s">
        <v>556</v>
      </c>
      <c r="D695" s="246" t="s">
        <v>1071</v>
      </c>
      <c r="E695" s="246" t="s">
        <v>766</v>
      </c>
      <c r="F695" s="248">
        <v>56919850</v>
      </c>
      <c r="G695" s="247" t="s">
        <v>741</v>
      </c>
      <c r="H695" s="247" t="s">
        <v>523</v>
      </c>
      <c r="I695" s="247" t="s">
        <v>523</v>
      </c>
      <c r="J695" s="247">
        <v>1</v>
      </c>
      <c r="K695" s="247"/>
      <c r="L695" s="247" t="s">
        <v>190</v>
      </c>
    </row>
    <row r="696" spans="2:12" hidden="1">
      <c r="B696" s="791" t="s">
        <v>1033</v>
      </c>
      <c r="C696" s="250" t="s">
        <v>1072</v>
      </c>
      <c r="D696" s="249" t="s">
        <v>1073</v>
      </c>
      <c r="E696" s="249" t="s">
        <v>1074</v>
      </c>
      <c r="F696" s="251">
        <v>1500000000</v>
      </c>
      <c r="G696" s="250" t="s">
        <v>741</v>
      </c>
      <c r="H696" s="250" t="s">
        <v>523</v>
      </c>
      <c r="I696" s="250" t="s">
        <v>523</v>
      </c>
      <c r="J696" s="250"/>
      <c r="K696" s="250">
        <v>1</v>
      </c>
      <c r="L696" s="250" t="s">
        <v>947</v>
      </c>
    </row>
    <row r="697" spans="2:12" hidden="1">
      <c r="B697" s="797" t="s">
        <v>1033</v>
      </c>
      <c r="C697" s="253" t="s">
        <v>870</v>
      </c>
      <c r="D697" s="252" t="s">
        <v>1075</v>
      </c>
      <c r="E697" s="252" t="s">
        <v>534</v>
      </c>
      <c r="F697" s="251">
        <v>315000000</v>
      </c>
      <c r="G697" s="253" t="s">
        <v>903</v>
      </c>
      <c r="H697" s="253" t="s">
        <v>523</v>
      </c>
      <c r="I697" s="253" t="s">
        <v>523</v>
      </c>
      <c r="J697" s="253"/>
      <c r="K697" s="253">
        <v>1</v>
      </c>
      <c r="L697" s="253" t="s">
        <v>947</v>
      </c>
    </row>
    <row r="698" spans="2:12" hidden="1">
      <c r="B698" s="795" t="s">
        <v>1076</v>
      </c>
      <c r="C698" s="250" t="s">
        <v>870</v>
      </c>
      <c r="D698" s="249" t="s">
        <v>1077</v>
      </c>
      <c r="E698" s="249" t="s">
        <v>616</v>
      </c>
      <c r="F698" s="251">
        <v>460000000</v>
      </c>
      <c r="G698" s="250" t="s">
        <v>903</v>
      </c>
      <c r="H698" s="250" t="s">
        <v>523</v>
      </c>
      <c r="I698" s="250" t="s">
        <v>523</v>
      </c>
      <c r="J698" s="250"/>
      <c r="K698" s="250">
        <v>1</v>
      </c>
      <c r="L698" s="250" t="s">
        <v>947</v>
      </c>
    </row>
    <row r="699" spans="2:12" ht="18.75" hidden="1">
      <c r="B699" s="1054"/>
      <c r="C699" s="1055"/>
      <c r="D699" s="1055"/>
      <c r="E699" s="1055"/>
      <c r="F699" s="1055"/>
      <c r="G699" s="1055"/>
      <c r="H699" s="1055"/>
      <c r="I699" s="1056"/>
      <c r="J699" s="254">
        <f>SUM(J683:J698)</f>
        <v>13</v>
      </c>
      <c r="K699" s="254">
        <f>SUM(K696:K698)</f>
        <v>3</v>
      </c>
      <c r="L699" s="254"/>
    </row>
    <row r="700" spans="2:12" ht="12.75" hidden="1" customHeight="1"/>
    <row r="701" spans="2:12" ht="18.75" hidden="1">
      <c r="B701" s="974" t="s">
        <v>1078</v>
      </c>
      <c r="C701" s="975"/>
      <c r="D701" s="975"/>
      <c r="E701" s="975"/>
      <c r="F701" s="975"/>
      <c r="G701" s="975"/>
      <c r="H701" s="975"/>
      <c r="I701" s="975"/>
      <c r="J701" s="975"/>
      <c r="K701" s="975"/>
      <c r="L701" s="975"/>
    </row>
    <row r="702" spans="2:12" ht="15.75" hidden="1">
      <c r="B702" s="796" t="s">
        <v>507</v>
      </c>
      <c r="C702" s="314" t="s">
        <v>508</v>
      </c>
      <c r="D702" s="314" t="s">
        <v>509</v>
      </c>
      <c r="E702" s="314" t="s">
        <v>510</v>
      </c>
      <c r="F702" s="314" t="s">
        <v>511</v>
      </c>
      <c r="G702" s="314" t="s">
        <v>512</v>
      </c>
      <c r="H702" s="314" t="s">
        <v>513</v>
      </c>
      <c r="I702" s="314" t="s">
        <v>514</v>
      </c>
      <c r="J702" s="314" t="s">
        <v>915</v>
      </c>
      <c r="K702" s="314" t="s">
        <v>914</v>
      </c>
      <c r="L702" s="314" t="s">
        <v>940</v>
      </c>
    </row>
    <row r="703" spans="2:12" hidden="1">
      <c r="B703" s="448">
        <v>44598</v>
      </c>
      <c r="C703" s="279" t="s">
        <v>870</v>
      </c>
      <c r="D703" s="278" t="s">
        <v>1079</v>
      </c>
      <c r="E703" s="278" t="s">
        <v>1080</v>
      </c>
      <c r="F703" s="280">
        <v>6500000</v>
      </c>
      <c r="G703" s="279" t="s">
        <v>903</v>
      </c>
      <c r="H703" s="279" t="s">
        <v>523</v>
      </c>
      <c r="I703" s="279" t="s">
        <v>523</v>
      </c>
      <c r="J703" s="279">
        <v>1</v>
      </c>
      <c r="K703" s="279"/>
      <c r="L703" s="279" t="s">
        <v>124</v>
      </c>
    </row>
    <row r="704" spans="2:12" hidden="1">
      <c r="B704" s="431">
        <v>44748</v>
      </c>
      <c r="C704" s="247" t="s">
        <v>870</v>
      </c>
      <c r="D704" s="246" t="s">
        <v>1081</v>
      </c>
      <c r="E704" s="246" t="s">
        <v>174</v>
      </c>
      <c r="F704" s="248">
        <v>5000000</v>
      </c>
      <c r="G704" s="247" t="s">
        <v>903</v>
      </c>
      <c r="H704" s="247" t="s">
        <v>523</v>
      </c>
      <c r="I704" s="247" t="s">
        <v>523</v>
      </c>
      <c r="J704" s="247">
        <v>1</v>
      </c>
      <c r="K704" s="247"/>
      <c r="L704" s="247" t="s">
        <v>190</v>
      </c>
    </row>
    <row r="705" spans="2:12" hidden="1">
      <c r="B705" s="431">
        <v>44779</v>
      </c>
      <c r="C705" s="247" t="s">
        <v>870</v>
      </c>
      <c r="D705" s="246" t="s">
        <v>1082</v>
      </c>
      <c r="E705" s="246" t="s">
        <v>647</v>
      </c>
      <c r="F705" s="248">
        <v>3100000</v>
      </c>
      <c r="G705" s="247" t="s">
        <v>903</v>
      </c>
      <c r="H705" s="247" t="s">
        <v>523</v>
      </c>
      <c r="I705" s="247" t="s">
        <v>523</v>
      </c>
      <c r="J705" s="247">
        <v>1</v>
      </c>
      <c r="K705" s="247"/>
      <c r="L705" s="247" t="s">
        <v>138</v>
      </c>
    </row>
    <row r="706" spans="2:12" hidden="1">
      <c r="B706" s="431" t="s">
        <v>1076</v>
      </c>
      <c r="C706" s="247" t="s">
        <v>870</v>
      </c>
      <c r="D706" s="246" t="s">
        <v>1083</v>
      </c>
      <c r="E706" s="246" t="s">
        <v>526</v>
      </c>
      <c r="F706" s="248">
        <v>9500000</v>
      </c>
      <c r="G706" s="247" t="s">
        <v>903</v>
      </c>
      <c r="H706" s="247" t="s">
        <v>523</v>
      </c>
      <c r="I706" s="247" t="s">
        <v>523</v>
      </c>
      <c r="J706" s="247">
        <v>1</v>
      </c>
      <c r="K706" s="247"/>
      <c r="L706" s="247" t="s">
        <v>190</v>
      </c>
    </row>
    <row r="707" spans="2:12" hidden="1">
      <c r="B707" s="431" t="s">
        <v>1036</v>
      </c>
      <c r="C707" s="247" t="s">
        <v>870</v>
      </c>
      <c r="D707" s="246" t="s">
        <v>1084</v>
      </c>
      <c r="E707" s="246" t="s">
        <v>583</v>
      </c>
      <c r="F707" s="248">
        <v>2800000</v>
      </c>
      <c r="G707" s="247" t="s">
        <v>903</v>
      </c>
      <c r="H707" s="247" t="s">
        <v>523</v>
      </c>
      <c r="I707" s="247" t="s">
        <v>523</v>
      </c>
      <c r="J707" s="247">
        <v>1</v>
      </c>
      <c r="K707" s="247"/>
      <c r="L707" s="247" t="s">
        <v>190</v>
      </c>
    </row>
    <row r="708" spans="2:12" hidden="1">
      <c r="B708" s="431" t="s">
        <v>1036</v>
      </c>
      <c r="C708" s="247" t="s">
        <v>870</v>
      </c>
      <c r="D708" s="246" t="s">
        <v>201</v>
      </c>
      <c r="E708" s="246" t="s">
        <v>845</v>
      </c>
      <c r="F708" s="248">
        <v>3100000</v>
      </c>
      <c r="G708" s="247" t="s">
        <v>903</v>
      </c>
      <c r="H708" s="247" t="s">
        <v>523</v>
      </c>
      <c r="I708" s="247" t="s">
        <v>523</v>
      </c>
      <c r="J708" s="247">
        <v>1</v>
      </c>
      <c r="K708" s="247"/>
      <c r="L708" s="247" t="s">
        <v>138</v>
      </c>
    </row>
    <row r="709" spans="2:12" hidden="1">
      <c r="B709" s="517">
        <v>44810</v>
      </c>
      <c r="C709" s="247" t="s">
        <v>687</v>
      </c>
      <c r="D709" s="246" t="s">
        <v>1085</v>
      </c>
      <c r="E709" s="246" t="s">
        <v>1086</v>
      </c>
      <c r="F709" s="248">
        <v>1900000</v>
      </c>
      <c r="G709" s="247" t="s">
        <v>741</v>
      </c>
      <c r="H709" s="247" t="s">
        <v>523</v>
      </c>
      <c r="I709" s="247" t="s">
        <v>523</v>
      </c>
      <c r="J709" s="247">
        <v>1</v>
      </c>
      <c r="K709" s="247"/>
      <c r="L709" s="247" t="s">
        <v>138</v>
      </c>
    </row>
    <row r="710" spans="2:12" hidden="1">
      <c r="B710" s="431" t="s">
        <v>1087</v>
      </c>
      <c r="C710" s="247" t="s">
        <v>870</v>
      </c>
      <c r="D710" s="246" t="s">
        <v>1088</v>
      </c>
      <c r="E710" s="246" t="s">
        <v>845</v>
      </c>
      <c r="F710" s="248">
        <v>2500000</v>
      </c>
      <c r="G710" s="247" t="s">
        <v>903</v>
      </c>
      <c r="H710" s="247" t="s">
        <v>523</v>
      </c>
      <c r="I710" s="247" t="s">
        <v>523</v>
      </c>
      <c r="J710" s="247">
        <v>1</v>
      </c>
      <c r="K710" s="247"/>
      <c r="L710" s="247" t="s">
        <v>190</v>
      </c>
    </row>
    <row r="711" spans="2:12" hidden="1">
      <c r="B711" s="431" t="s">
        <v>1041</v>
      </c>
      <c r="C711" s="247" t="s">
        <v>870</v>
      </c>
      <c r="D711" s="246" t="s">
        <v>1089</v>
      </c>
      <c r="E711" s="246" t="s">
        <v>526</v>
      </c>
      <c r="F711" s="248">
        <v>3500000</v>
      </c>
      <c r="G711" s="247" t="s">
        <v>903</v>
      </c>
      <c r="H711" s="247" t="s">
        <v>523</v>
      </c>
      <c r="I711" s="247" t="s">
        <v>523</v>
      </c>
      <c r="J711" s="247">
        <v>1</v>
      </c>
      <c r="K711" s="247"/>
      <c r="L711" s="247" t="s">
        <v>190</v>
      </c>
    </row>
    <row r="712" spans="2:12" hidden="1">
      <c r="B712" s="431" t="s">
        <v>1041</v>
      </c>
      <c r="C712" s="247" t="s">
        <v>870</v>
      </c>
      <c r="D712" s="246" t="s">
        <v>1090</v>
      </c>
      <c r="E712" s="246" t="s">
        <v>1080</v>
      </c>
      <c r="F712" s="248">
        <v>6500000</v>
      </c>
      <c r="G712" s="247" t="s">
        <v>903</v>
      </c>
      <c r="H712" s="247" t="s">
        <v>523</v>
      </c>
      <c r="I712" s="247" t="s">
        <v>523</v>
      </c>
      <c r="J712" s="247">
        <v>1</v>
      </c>
      <c r="K712" s="247"/>
      <c r="L712" s="247" t="s">
        <v>138</v>
      </c>
    </row>
    <row r="713" spans="2:12" hidden="1">
      <c r="B713" s="431" t="s">
        <v>1064</v>
      </c>
      <c r="C713" s="247" t="s">
        <v>870</v>
      </c>
      <c r="D713" s="246" t="s">
        <v>1091</v>
      </c>
      <c r="E713" s="246" t="s">
        <v>845</v>
      </c>
      <c r="F713" s="248">
        <v>3000000</v>
      </c>
      <c r="G713" s="247" t="s">
        <v>903</v>
      </c>
      <c r="H713" s="247" t="s">
        <v>523</v>
      </c>
      <c r="I713" s="247" t="s">
        <v>523</v>
      </c>
      <c r="J713" s="247">
        <v>1</v>
      </c>
      <c r="K713" s="247"/>
      <c r="L713" s="247" t="s">
        <v>138</v>
      </c>
    </row>
    <row r="714" spans="2:12" hidden="1">
      <c r="B714" s="431" t="s">
        <v>1066</v>
      </c>
      <c r="C714" s="247" t="s">
        <v>870</v>
      </c>
      <c r="D714" s="246" t="s">
        <v>1092</v>
      </c>
      <c r="E714" s="246" t="s">
        <v>625</v>
      </c>
      <c r="F714" s="248">
        <v>3000000</v>
      </c>
      <c r="G714" s="247" t="s">
        <v>903</v>
      </c>
      <c r="H714" s="247" t="s">
        <v>523</v>
      </c>
      <c r="I714" s="247" t="s">
        <v>523</v>
      </c>
      <c r="J714" s="247">
        <v>1</v>
      </c>
      <c r="K714" s="247"/>
      <c r="L714" s="247" t="s">
        <v>138</v>
      </c>
    </row>
    <row r="715" spans="2:12" hidden="1">
      <c r="B715" s="431" t="s">
        <v>1066</v>
      </c>
      <c r="C715" s="247" t="s">
        <v>870</v>
      </c>
      <c r="D715" s="246" t="s">
        <v>1093</v>
      </c>
      <c r="E715" s="246" t="s">
        <v>625</v>
      </c>
      <c r="F715" s="248">
        <v>3200000</v>
      </c>
      <c r="G715" s="247" t="s">
        <v>903</v>
      </c>
      <c r="H715" s="247" t="s">
        <v>523</v>
      </c>
      <c r="I715" s="247" t="s">
        <v>523</v>
      </c>
      <c r="J715" s="247">
        <v>1</v>
      </c>
      <c r="K715" s="247"/>
      <c r="L715" s="247" t="s">
        <v>138</v>
      </c>
    </row>
    <row r="716" spans="2:12" hidden="1">
      <c r="B716" s="431" t="s">
        <v>1045</v>
      </c>
      <c r="C716" s="247" t="s">
        <v>870</v>
      </c>
      <c r="D716" s="246" t="s">
        <v>1094</v>
      </c>
      <c r="E716" s="246" t="s">
        <v>1095</v>
      </c>
      <c r="F716" s="248">
        <v>2800000</v>
      </c>
      <c r="G716" s="247" t="s">
        <v>903</v>
      </c>
      <c r="H716" s="247" t="s">
        <v>523</v>
      </c>
      <c r="I716" s="247" t="s">
        <v>523</v>
      </c>
      <c r="J716" s="247">
        <v>1</v>
      </c>
      <c r="K716" s="247"/>
      <c r="L716" s="247" t="s">
        <v>138</v>
      </c>
    </row>
    <row r="717" spans="2:12" hidden="1">
      <c r="B717" s="431" t="s">
        <v>1045</v>
      </c>
      <c r="C717" s="247" t="s">
        <v>900</v>
      </c>
      <c r="D717" s="246" t="s">
        <v>1096</v>
      </c>
      <c r="E717" s="246" t="s">
        <v>845</v>
      </c>
      <c r="F717" s="248">
        <v>2600000</v>
      </c>
      <c r="G717" s="247" t="s">
        <v>903</v>
      </c>
      <c r="H717" s="247" t="s">
        <v>523</v>
      </c>
      <c r="I717" s="247" t="s">
        <v>523</v>
      </c>
      <c r="J717" s="247">
        <v>1</v>
      </c>
      <c r="K717" s="247"/>
      <c r="L717" s="247" t="s">
        <v>138</v>
      </c>
    </row>
    <row r="718" spans="2:12" hidden="1">
      <c r="B718" s="431" t="s">
        <v>1045</v>
      </c>
      <c r="C718" s="247" t="s">
        <v>870</v>
      </c>
      <c r="D718" s="246" t="s">
        <v>1097</v>
      </c>
      <c r="E718" s="246" t="s">
        <v>625</v>
      </c>
      <c r="F718" s="248">
        <v>3500000</v>
      </c>
      <c r="G718" s="247" t="s">
        <v>903</v>
      </c>
      <c r="H718" s="247" t="s">
        <v>523</v>
      </c>
      <c r="I718" s="247" t="s">
        <v>523</v>
      </c>
      <c r="J718" s="247">
        <v>1</v>
      </c>
      <c r="K718" s="247"/>
      <c r="L718" s="247" t="s">
        <v>138</v>
      </c>
    </row>
    <row r="719" spans="2:12" hidden="1">
      <c r="B719" s="431" t="s">
        <v>1048</v>
      </c>
      <c r="C719" s="247" t="s">
        <v>687</v>
      </c>
      <c r="D719" s="246" t="s">
        <v>1098</v>
      </c>
      <c r="E719" s="246" t="s">
        <v>593</v>
      </c>
      <c r="F719" s="248">
        <v>3500000</v>
      </c>
      <c r="G719" s="247" t="s">
        <v>741</v>
      </c>
      <c r="H719" s="247" t="s">
        <v>523</v>
      </c>
      <c r="I719" s="247" t="s">
        <v>523</v>
      </c>
      <c r="J719" s="247">
        <v>1</v>
      </c>
      <c r="K719" s="247"/>
      <c r="L719" s="247" t="s">
        <v>190</v>
      </c>
    </row>
    <row r="720" spans="2:12" hidden="1">
      <c r="B720" s="431" t="s">
        <v>1048</v>
      </c>
      <c r="C720" s="247" t="s">
        <v>556</v>
      </c>
      <c r="D720" s="246" t="s">
        <v>1099</v>
      </c>
      <c r="E720" s="246" t="s">
        <v>766</v>
      </c>
      <c r="F720" s="248">
        <v>55158420</v>
      </c>
      <c r="G720" s="247" t="s">
        <v>741</v>
      </c>
      <c r="H720" s="247" t="s">
        <v>523</v>
      </c>
      <c r="I720" s="247" t="s">
        <v>523</v>
      </c>
      <c r="J720" s="247">
        <v>1</v>
      </c>
      <c r="K720" s="247"/>
      <c r="L720" s="247" t="s">
        <v>190</v>
      </c>
    </row>
    <row r="721" spans="2:12" hidden="1">
      <c r="B721" s="431" t="s">
        <v>1048</v>
      </c>
      <c r="C721" s="247" t="s">
        <v>556</v>
      </c>
      <c r="D721" s="246" t="s">
        <v>1100</v>
      </c>
      <c r="E721" s="246" t="s">
        <v>766</v>
      </c>
      <c r="F721" s="248">
        <v>54310200</v>
      </c>
      <c r="G721" s="247" t="s">
        <v>741</v>
      </c>
      <c r="H721" s="247" t="s">
        <v>523</v>
      </c>
      <c r="I721" s="247" t="s">
        <v>523</v>
      </c>
      <c r="J721" s="247">
        <v>1</v>
      </c>
      <c r="K721" s="247"/>
      <c r="L721" s="247" t="s">
        <v>190</v>
      </c>
    </row>
    <row r="722" spans="2:12" hidden="1">
      <c r="B722" s="431" t="s">
        <v>1048</v>
      </c>
      <c r="C722" s="247" t="s">
        <v>556</v>
      </c>
      <c r="D722" s="246" t="s">
        <v>1101</v>
      </c>
      <c r="E722" s="246" t="s">
        <v>766</v>
      </c>
      <c r="F722" s="248">
        <v>54310200</v>
      </c>
      <c r="G722" s="247" t="s">
        <v>741</v>
      </c>
      <c r="H722" s="247" t="s">
        <v>523</v>
      </c>
      <c r="I722" s="247" t="s">
        <v>523</v>
      </c>
      <c r="J722" s="247">
        <v>1</v>
      </c>
      <c r="K722" s="247"/>
      <c r="L722" s="247" t="s">
        <v>190</v>
      </c>
    </row>
    <row r="723" spans="2:12" hidden="1">
      <c r="B723" s="791" t="s">
        <v>1076</v>
      </c>
      <c r="C723" s="250" t="s">
        <v>870</v>
      </c>
      <c r="D723" s="249" t="s">
        <v>1102</v>
      </c>
      <c r="E723" s="249" t="s">
        <v>174</v>
      </c>
      <c r="F723" s="251">
        <v>615000000</v>
      </c>
      <c r="G723" s="250" t="s">
        <v>903</v>
      </c>
      <c r="H723" s="250" t="s">
        <v>523</v>
      </c>
      <c r="I723" s="250" t="s">
        <v>523</v>
      </c>
      <c r="J723" s="250"/>
      <c r="K723" s="250">
        <v>1</v>
      </c>
      <c r="L723" s="250" t="s">
        <v>947</v>
      </c>
    </row>
    <row r="724" spans="2:12" hidden="1">
      <c r="B724" s="797" t="s">
        <v>1041</v>
      </c>
      <c r="C724" s="253" t="s">
        <v>870</v>
      </c>
      <c r="D724" s="252" t="s">
        <v>942</v>
      </c>
      <c r="E724" s="252" t="s">
        <v>583</v>
      </c>
      <c r="F724" s="251">
        <v>400000000</v>
      </c>
      <c r="G724" s="253" t="s">
        <v>903</v>
      </c>
      <c r="H724" s="253" t="s">
        <v>523</v>
      </c>
      <c r="I724" s="253" t="s">
        <v>523</v>
      </c>
      <c r="J724" s="253"/>
      <c r="K724" s="253">
        <v>1</v>
      </c>
      <c r="L724" s="253" t="s">
        <v>947</v>
      </c>
    </row>
    <row r="725" spans="2:12" hidden="1">
      <c r="B725" s="795" t="s">
        <v>1043</v>
      </c>
      <c r="C725" s="250" t="s">
        <v>870</v>
      </c>
      <c r="D725" s="249" t="s">
        <v>1103</v>
      </c>
      <c r="E725" s="249" t="s">
        <v>866</v>
      </c>
      <c r="F725" s="251">
        <v>350000000</v>
      </c>
      <c r="G725" s="250" t="s">
        <v>903</v>
      </c>
      <c r="H725" s="250" t="s">
        <v>523</v>
      </c>
      <c r="I725" s="250" t="s">
        <v>523</v>
      </c>
      <c r="J725" s="250"/>
      <c r="K725" s="250">
        <v>1</v>
      </c>
      <c r="L725" s="250" t="s">
        <v>947</v>
      </c>
    </row>
    <row r="726" spans="2:12" ht="18.75" hidden="1">
      <c r="B726" s="1054"/>
      <c r="C726" s="1055"/>
      <c r="D726" s="1055"/>
      <c r="E726" s="1055"/>
      <c r="F726" s="1055"/>
      <c r="G726" s="1055"/>
      <c r="H726" s="1055"/>
      <c r="I726" s="1056"/>
      <c r="J726" s="254">
        <f>SUM(J703:J725)</f>
        <v>20</v>
      </c>
      <c r="K726" s="254">
        <f>SUM(K723:K725)</f>
        <v>3</v>
      </c>
      <c r="L726" s="254"/>
    </row>
    <row r="727" spans="2:12" ht="12.75" hidden="1" customHeight="1"/>
    <row r="728" spans="2:12" hidden="1"/>
    <row r="729" spans="2:12" hidden="1"/>
    <row r="730" spans="2:12" ht="18.75" hidden="1">
      <c r="B730" s="974" t="s">
        <v>1104</v>
      </c>
      <c r="C730" s="975"/>
      <c r="D730" s="975"/>
      <c r="E730" s="975"/>
      <c r="F730" s="975"/>
      <c r="G730" s="975"/>
      <c r="H730" s="975"/>
      <c r="I730" s="975"/>
      <c r="J730" s="975"/>
      <c r="K730" s="975"/>
      <c r="L730" s="975"/>
    </row>
    <row r="731" spans="2:12" ht="15.75" hidden="1">
      <c r="B731" s="796" t="s">
        <v>507</v>
      </c>
      <c r="C731" s="314" t="s">
        <v>508</v>
      </c>
      <c r="D731" s="314" t="s">
        <v>509</v>
      </c>
      <c r="E731" s="314" t="s">
        <v>510</v>
      </c>
      <c r="F731" s="314" t="s">
        <v>511</v>
      </c>
      <c r="G731" s="314" t="s">
        <v>512</v>
      </c>
      <c r="H731" s="314" t="s">
        <v>513</v>
      </c>
      <c r="I731" s="314" t="s">
        <v>514</v>
      </c>
      <c r="J731" s="314" t="s">
        <v>915</v>
      </c>
      <c r="K731" s="314" t="s">
        <v>914</v>
      </c>
      <c r="L731" s="314" t="s">
        <v>940</v>
      </c>
    </row>
    <row r="732" spans="2:12" hidden="1">
      <c r="B732" s="793" t="s">
        <v>1087</v>
      </c>
      <c r="C732" s="279" t="s">
        <v>870</v>
      </c>
      <c r="D732" s="278" t="s">
        <v>1105</v>
      </c>
      <c r="E732" s="278" t="s">
        <v>1106</v>
      </c>
      <c r="F732" s="280">
        <v>7000000</v>
      </c>
      <c r="G732" s="279" t="s">
        <v>903</v>
      </c>
      <c r="H732" s="279" t="s">
        <v>523</v>
      </c>
      <c r="I732" s="279" t="s">
        <v>523</v>
      </c>
      <c r="J732" s="279">
        <v>1</v>
      </c>
      <c r="K732" s="279"/>
      <c r="L732" s="279" t="s">
        <v>190</v>
      </c>
    </row>
    <row r="733" spans="2:12" hidden="1">
      <c r="B733" s="793" t="s">
        <v>1087</v>
      </c>
      <c r="C733" s="279" t="s">
        <v>870</v>
      </c>
      <c r="D733" s="246" t="s">
        <v>1107</v>
      </c>
      <c r="E733" s="246" t="s">
        <v>845</v>
      </c>
      <c r="F733" s="248">
        <v>2900000</v>
      </c>
      <c r="G733" s="247" t="s">
        <v>903</v>
      </c>
      <c r="H733" s="247" t="s">
        <v>523</v>
      </c>
      <c r="I733" s="247" t="s">
        <v>523</v>
      </c>
      <c r="J733" s="247">
        <v>1</v>
      </c>
      <c r="K733" s="247"/>
      <c r="L733" s="247" t="s">
        <v>138</v>
      </c>
    </row>
    <row r="734" spans="2:12" hidden="1">
      <c r="B734" s="431"/>
      <c r="C734" s="279"/>
      <c r="D734" s="246"/>
      <c r="E734" s="246"/>
      <c r="F734" s="248"/>
      <c r="G734" s="247"/>
      <c r="H734" s="247"/>
      <c r="I734" s="247"/>
      <c r="J734" s="247"/>
      <c r="K734" s="247"/>
      <c r="L734" s="247"/>
    </row>
    <row r="735" spans="2:12" ht="16.5" hidden="1" customHeight="1">
      <c r="B735" s="431"/>
      <c r="C735" s="247"/>
      <c r="D735" s="246"/>
      <c r="E735" s="246"/>
      <c r="F735" s="248"/>
      <c r="G735" s="247"/>
      <c r="H735" s="247"/>
      <c r="I735" s="247"/>
      <c r="J735" s="247"/>
      <c r="K735" s="247"/>
      <c r="L735" s="247"/>
    </row>
    <row r="736" spans="2:12" hidden="1">
      <c r="B736" s="798" t="s">
        <v>1087</v>
      </c>
      <c r="C736" s="519" t="s">
        <v>870</v>
      </c>
      <c r="D736" s="518" t="s">
        <v>1105</v>
      </c>
      <c r="E736" s="518" t="s">
        <v>1106</v>
      </c>
      <c r="F736" s="520">
        <v>830000000</v>
      </c>
      <c r="G736" s="519" t="s">
        <v>903</v>
      </c>
      <c r="H736" s="519" t="s">
        <v>523</v>
      </c>
      <c r="I736" s="519" t="s">
        <v>523</v>
      </c>
      <c r="J736" s="519"/>
      <c r="K736" s="519">
        <v>1</v>
      </c>
      <c r="L736" s="519" t="s">
        <v>947</v>
      </c>
    </row>
    <row r="737" spans="2:12" ht="18.75" hidden="1">
      <c r="B737" s="1054"/>
      <c r="C737" s="1055"/>
      <c r="D737" s="1055"/>
      <c r="E737" s="1055"/>
      <c r="F737" s="1055"/>
      <c r="G737" s="1055"/>
      <c r="H737" s="1055"/>
      <c r="I737" s="1056"/>
      <c r="J737" s="254">
        <f>SUM(J732:J736)</f>
        <v>2</v>
      </c>
      <c r="K737" s="254">
        <f>SUM(K736)</f>
        <v>1</v>
      </c>
      <c r="L737" s="254"/>
    </row>
    <row r="738" spans="2:12" ht="47.25" hidden="1"/>
    <row r="739" spans="2:12" ht="36" hidden="1">
      <c r="B739" s="974" t="s">
        <v>1108</v>
      </c>
      <c r="C739" s="975"/>
      <c r="D739" s="975"/>
      <c r="E739" s="975"/>
      <c r="F739" s="975"/>
      <c r="G739" s="975"/>
      <c r="H739" s="975"/>
      <c r="I739" s="975"/>
      <c r="J739" s="975"/>
      <c r="K739" s="975"/>
      <c r="L739" s="975"/>
    </row>
    <row r="740" spans="2:12" ht="30" hidden="1">
      <c r="B740" s="796" t="s">
        <v>507</v>
      </c>
      <c r="C740" s="314" t="s">
        <v>508</v>
      </c>
      <c r="D740" s="314" t="s">
        <v>509</v>
      </c>
      <c r="E740" s="314" t="s">
        <v>510</v>
      </c>
      <c r="F740" s="314" t="s">
        <v>511</v>
      </c>
      <c r="G740" s="314" t="s">
        <v>512</v>
      </c>
      <c r="H740" s="314" t="s">
        <v>513</v>
      </c>
      <c r="I740" s="314" t="s">
        <v>514</v>
      </c>
      <c r="J740" s="314" t="s">
        <v>915</v>
      </c>
      <c r="K740" s="314" t="s">
        <v>914</v>
      </c>
      <c r="L740" s="314" t="s">
        <v>940</v>
      </c>
    </row>
    <row r="741" spans="2:12" ht="46.5" hidden="1">
      <c r="B741" s="793" t="s">
        <v>1021</v>
      </c>
      <c r="C741" s="279" t="s">
        <v>870</v>
      </c>
      <c r="D741" s="278" t="s">
        <v>1109</v>
      </c>
      <c r="E741" s="278" t="s">
        <v>1110</v>
      </c>
      <c r="F741" s="280">
        <v>5000000</v>
      </c>
      <c r="G741" s="279" t="s">
        <v>903</v>
      </c>
      <c r="H741" s="279" t="s">
        <v>523</v>
      </c>
      <c r="I741" s="279" t="s">
        <v>523</v>
      </c>
      <c r="J741" s="279">
        <v>1</v>
      </c>
      <c r="K741" s="279"/>
      <c r="L741" s="279" t="s">
        <v>138</v>
      </c>
    </row>
    <row r="742" spans="2:12" ht="53.25" hidden="1">
      <c r="B742" s="431" t="s">
        <v>1055</v>
      </c>
      <c r="C742" s="247" t="s">
        <v>870</v>
      </c>
      <c r="D742" s="246" t="s">
        <v>1111</v>
      </c>
      <c r="E742" s="246" t="s">
        <v>792</v>
      </c>
      <c r="F742" s="248">
        <v>4000000</v>
      </c>
      <c r="G742" s="247" t="s">
        <v>903</v>
      </c>
      <c r="H742" s="247" t="s">
        <v>523</v>
      </c>
      <c r="I742" s="247" t="s">
        <v>523</v>
      </c>
      <c r="J742" s="247">
        <v>1</v>
      </c>
      <c r="K742" s="247"/>
      <c r="L742" s="247" t="s">
        <v>190</v>
      </c>
    </row>
    <row r="743" spans="2:12" ht="48.75" hidden="1">
      <c r="B743" s="431">
        <v>44840</v>
      </c>
      <c r="C743" s="247" t="s">
        <v>870</v>
      </c>
      <c r="D743" s="246" t="s">
        <v>1112</v>
      </c>
      <c r="E743" s="246" t="s">
        <v>1113</v>
      </c>
      <c r="F743" s="248">
        <v>3100000</v>
      </c>
      <c r="G743" s="247" t="s">
        <v>903</v>
      </c>
      <c r="H743" s="247" t="s">
        <v>523</v>
      </c>
      <c r="I743" s="247" t="s">
        <v>523</v>
      </c>
      <c r="J743" s="247">
        <v>1</v>
      </c>
      <c r="K743" s="247"/>
      <c r="L743" s="247" t="s">
        <v>190</v>
      </c>
    </row>
    <row r="744" spans="2:12" ht="39" hidden="1">
      <c r="B744" s="431"/>
      <c r="C744" s="247"/>
      <c r="D744" s="246"/>
      <c r="E744" s="246"/>
      <c r="F744" s="248"/>
      <c r="G744" s="247"/>
      <c r="H744" s="247"/>
      <c r="I744" s="247"/>
      <c r="J744" s="247"/>
      <c r="K744" s="247"/>
      <c r="L744" s="247"/>
    </row>
    <row r="745" spans="2:12" ht="47.25" hidden="1">
      <c r="B745" s="431"/>
      <c r="C745" s="247"/>
      <c r="D745" s="246"/>
      <c r="E745" s="246"/>
      <c r="F745" s="248"/>
      <c r="G745" s="247"/>
      <c r="H745" s="247"/>
      <c r="I745" s="247"/>
      <c r="J745" s="247"/>
      <c r="K745" s="247"/>
      <c r="L745" s="247"/>
    </row>
    <row r="746" spans="2:12" ht="61.5" hidden="1">
      <c r="B746" s="1054"/>
      <c r="C746" s="1055"/>
      <c r="D746" s="1055"/>
      <c r="E746" s="1055"/>
      <c r="F746" s="1055"/>
      <c r="G746" s="1055"/>
      <c r="H746" s="1055"/>
      <c r="I746" s="1056"/>
      <c r="J746" s="254">
        <f>SUM(J741:J745)</f>
        <v>3</v>
      </c>
      <c r="K746" s="254"/>
      <c r="L746" s="254"/>
    </row>
    <row r="747" spans="2:12" ht="99" hidden="1"/>
    <row r="748" spans="2:12" ht="74.25" hidden="1"/>
    <row r="749" spans="2:12" ht="61.5" hidden="1"/>
    <row r="750" spans="2:12" ht="65.25" hidden="1"/>
    <row r="751" spans="2:12" ht="18" customHeight="1"/>
    <row r="752" spans="2:12" ht="31.5">
      <c r="B752" s="918" t="s">
        <v>433</v>
      </c>
      <c r="C752" s="919"/>
      <c r="D752" s="919"/>
      <c r="E752" s="919"/>
      <c r="F752" s="919"/>
      <c r="G752" s="919"/>
      <c r="H752" s="919"/>
      <c r="I752" s="919"/>
      <c r="J752" s="919"/>
      <c r="K752" s="919"/>
      <c r="L752" s="920"/>
    </row>
    <row r="753" spans="1:1025" hidden="1">
      <c r="B753"/>
    </row>
    <row r="754" spans="1:1025" ht="18.75" hidden="1">
      <c r="B754" s="974" t="s">
        <v>1114</v>
      </c>
      <c r="C754" s="975"/>
      <c r="D754" s="975"/>
      <c r="E754" s="975"/>
      <c r="F754" s="975"/>
      <c r="G754" s="975"/>
      <c r="H754" s="975"/>
      <c r="I754" s="975"/>
      <c r="J754" s="975"/>
      <c r="K754" s="975"/>
      <c r="L754" s="975"/>
    </row>
    <row r="755" spans="1:1025" ht="18.75" hidden="1">
      <c r="B755" s="245" t="s">
        <v>507</v>
      </c>
      <c r="C755" s="245" t="s">
        <v>508</v>
      </c>
      <c r="D755" s="245" t="s">
        <v>509</v>
      </c>
      <c r="E755" s="245" t="s">
        <v>510</v>
      </c>
      <c r="F755" s="245" t="s">
        <v>511</v>
      </c>
      <c r="G755" s="245" t="s">
        <v>512</v>
      </c>
      <c r="H755" s="245" t="s">
        <v>513</v>
      </c>
      <c r="I755" s="245" t="s">
        <v>514</v>
      </c>
      <c r="J755" s="245" t="s">
        <v>915</v>
      </c>
      <c r="K755" s="245" t="s">
        <v>914</v>
      </c>
      <c r="L755" s="245" t="s">
        <v>940</v>
      </c>
    </row>
    <row r="756" spans="1:1025" hidden="1">
      <c r="B756" s="278"/>
      <c r="C756" s="279" t="s">
        <v>870</v>
      </c>
      <c r="D756" s="278" t="s">
        <v>1115</v>
      </c>
      <c r="E756" s="278" t="s">
        <v>1116</v>
      </c>
      <c r="F756" s="280">
        <v>3500000</v>
      </c>
      <c r="G756" s="279" t="s">
        <v>903</v>
      </c>
      <c r="H756" s="279" t="s">
        <v>523</v>
      </c>
      <c r="I756" s="279" t="s">
        <v>523</v>
      </c>
      <c r="J756" s="279">
        <v>1</v>
      </c>
      <c r="K756" s="279"/>
      <c r="L756" s="279" t="s">
        <v>138</v>
      </c>
    </row>
    <row r="757" spans="1:1025" hidden="1">
      <c r="A757" s="301"/>
      <c r="B757" s="448"/>
      <c r="C757" s="247" t="s">
        <v>870</v>
      </c>
      <c r="D757" s="246" t="s">
        <v>1117</v>
      </c>
      <c r="E757" s="246" t="s">
        <v>593</v>
      </c>
      <c r="F757" s="248">
        <v>3100000</v>
      </c>
      <c r="G757" s="247" t="s">
        <v>903</v>
      </c>
      <c r="H757" s="247" t="s">
        <v>523</v>
      </c>
      <c r="I757" s="247" t="s">
        <v>523</v>
      </c>
      <c r="J757" s="247">
        <v>1</v>
      </c>
      <c r="K757" s="247"/>
      <c r="L757" s="247" t="s">
        <v>190</v>
      </c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  <c r="AA757" s="243"/>
      <c r="AB757" s="243"/>
      <c r="AC757" s="243"/>
      <c r="AD757" s="243"/>
      <c r="AE757" s="243"/>
      <c r="AF757" s="243"/>
      <c r="AG757" s="243"/>
      <c r="AH757" s="243"/>
      <c r="AI757" s="243"/>
      <c r="AJ757" s="243"/>
      <c r="AK757" s="243"/>
      <c r="AL757" s="243"/>
      <c r="AM757" s="243"/>
      <c r="AN757" s="243"/>
      <c r="AO757" s="243"/>
      <c r="AP757" s="243"/>
      <c r="AQ757" s="243"/>
      <c r="AR757" s="243"/>
      <c r="AS757" s="243"/>
      <c r="AT757" s="243"/>
      <c r="AU757" s="243"/>
      <c r="AV757" s="243"/>
      <c r="AW757" s="243"/>
      <c r="AX757" s="243"/>
      <c r="AY757" s="243"/>
      <c r="AZ757" s="243"/>
      <c r="BA757" s="243"/>
      <c r="BB757" s="243"/>
      <c r="BC757" s="243"/>
      <c r="BD757" s="243"/>
      <c r="BE757" s="243"/>
      <c r="BF757" s="243"/>
      <c r="BG757" s="243"/>
      <c r="BH757" s="243"/>
      <c r="BI757" s="243"/>
      <c r="BJ757" s="243"/>
      <c r="BK757" s="243"/>
      <c r="BL757" s="243"/>
      <c r="BM757" s="243"/>
      <c r="BN757" s="243"/>
      <c r="BO757" s="243"/>
      <c r="BP757" s="243"/>
      <c r="BQ757" s="243"/>
      <c r="BR757" s="243"/>
      <c r="BS757" s="243"/>
      <c r="BT757" s="243"/>
      <c r="BU757" s="243"/>
      <c r="BV757" s="243"/>
      <c r="BW757" s="243"/>
      <c r="BX757" s="243"/>
      <c r="BY757" s="243"/>
      <c r="BZ757" s="243"/>
      <c r="CA757" s="243"/>
      <c r="CB757" s="243"/>
      <c r="CC757" s="243"/>
      <c r="CD757" s="243"/>
      <c r="CE757" s="243"/>
      <c r="CF757" s="243"/>
      <c r="CG757" s="243"/>
      <c r="CH757" s="243"/>
      <c r="CI757" s="243"/>
      <c r="CJ757" s="243"/>
      <c r="CK757" s="243"/>
      <c r="CL757" s="243"/>
      <c r="CM757" s="243"/>
      <c r="CN757" s="243"/>
      <c r="CO757" s="243"/>
      <c r="CP757" s="243"/>
      <c r="CQ757" s="243"/>
      <c r="CR757" s="243"/>
      <c r="CS757" s="243"/>
      <c r="CT757" s="243"/>
      <c r="CU757" s="243"/>
      <c r="CV757" s="243"/>
      <c r="CW757" s="243"/>
      <c r="CX757" s="243"/>
      <c r="CY757" s="243"/>
      <c r="CZ757" s="243"/>
      <c r="DA757" s="243"/>
      <c r="DB757" s="243"/>
      <c r="DC757" s="243"/>
      <c r="DD757" s="243"/>
      <c r="DE757" s="243"/>
      <c r="DF757" s="243"/>
      <c r="DG757" s="243"/>
      <c r="DH757" s="243"/>
      <c r="DI757" s="243"/>
      <c r="DJ757" s="243"/>
      <c r="DK757" s="243"/>
      <c r="DL757" s="243"/>
      <c r="DM757" s="243"/>
      <c r="DN757" s="243"/>
      <c r="DO757" s="243"/>
      <c r="DP757" s="243"/>
      <c r="DQ757" s="243"/>
      <c r="DR757" s="243"/>
      <c r="DS757" s="243"/>
      <c r="DT757" s="243"/>
      <c r="DU757" s="243"/>
      <c r="DV757" s="243"/>
      <c r="DW757" s="243"/>
      <c r="DX757" s="243"/>
      <c r="DY757" s="243"/>
      <c r="DZ757" s="243"/>
      <c r="EA757" s="243"/>
      <c r="EB757" s="243"/>
      <c r="EC757" s="243"/>
      <c r="ED757" s="243"/>
      <c r="EE757" s="243"/>
      <c r="EF757" s="243"/>
      <c r="EG757" s="243"/>
      <c r="EH757" s="243"/>
      <c r="EI757" s="243"/>
      <c r="EJ757" s="243"/>
      <c r="EK757" s="243"/>
      <c r="EL757" s="243"/>
      <c r="EM757" s="243"/>
      <c r="EN757" s="243"/>
      <c r="EO757" s="243"/>
      <c r="EP757" s="243"/>
      <c r="EQ757" s="243"/>
      <c r="ER757" s="243"/>
      <c r="ES757" s="243"/>
      <c r="ET757" s="243"/>
      <c r="EU757" s="243"/>
      <c r="EV757" s="243"/>
      <c r="EW757" s="243"/>
      <c r="EX757" s="243"/>
      <c r="EY757" s="243"/>
      <c r="EZ757" s="243"/>
      <c r="FA757" s="243"/>
      <c r="FB757" s="243"/>
      <c r="FC757" s="243"/>
      <c r="FD757" s="243"/>
      <c r="FE757" s="243"/>
      <c r="FF757" s="243"/>
      <c r="FG757" s="243"/>
      <c r="FH757" s="243"/>
      <c r="FI757" s="243"/>
      <c r="FJ757" s="243"/>
      <c r="FK757" s="243"/>
      <c r="FL757" s="243"/>
      <c r="FM757" s="243"/>
      <c r="FN757" s="243"/>
      <c r="FO757" s="243"/>
      <c r="FP757" s="243"/>
      <c r="FQ757" s="243"/>
      <c r="FR757" s="243"/>
      <c r="FS757" s="243"/>
      <c r="FT757" s="243"/>
      <c r="FU757" s="243"/>
      <c r="FV757" s="243"/>
      <c r="FW757" s="243"/>
      <c r="FX757" s="243"/>
      <c r="FY757" s="243"/>
      <c r="FZ757" s="243"/>
      <c r="GA757" s="243"/>
      <c r="GB757" s="243"/>
      <c r="GC757" s="243"/>
      <c r="GD757" s="243"/>
      <c r="GE757" s="243"/>
      <c r="GF757" s="243"/>
      <c r="GG757" s="243"/>
      <c r="GH757" s="243"/>
      <c r="GI757" s="243"/>
      <c r="GJ757" s="243"/>
      <c r="GK757" s="243"/>
      <c r="GL757" s="243"/>
      <c r="GM757" s="243"/>
      <c r="GN757" s="243"/>
      <c r="GO757" s="243"/>
      <c r="GP757" s="243"/>
      <c r="GQ757" s="243"/>
      <c r="GR757" s="243"/>
      <c r="GS757" s="243"/>
      <c r="GT757" s="243"/>
      <c r="GU757" s="243"/>
      <c r="GV757" s="243"/>
      <c r="GW757" s="243"/>
      <c r="GX757" s="243"/>
      <c r="GY757" s="243"/>
      <c r="GZ757" s="243"/>
      <c r="HA757" s="243"/>
      <c r="HB757" s="243"/>
      <c r="HC757" s="243"/>
      <c r="HD757" s="243"/>
      <c r="HE757" s="243"/>
      <c r="HF757" s="243"/>
      <c r="HG757" s="243"/>
      <c r="HH757" s="243"/>
      <c r="HI757" s="243"/>
      <c r="HJ757" s="243"/>
      <c r="HK757" s="243"/>
      <c r="HL757" s="243"/>
      <c r="HM757" s="243"/>
      <c r="HN757" s="243"/>
      <c r="HO757" s="243"/>
      <c r="HP757" s="243"/>
      <c r="HQ757" s="243"/>
      <c r="HR757" s="243"/>
      <c r="HS757" s="243"/>
      <c r="HT757" s="243"/>
      <c r="HU757" s="243"/>
      <c r="HV757" s="243"/>
      <c r="HW757" s="243"/>
      <c r="HX757" s="243"/>
      <c r="HY757" s="243"/>
      <c r="HZ757" s="243"/>
      <c r="IA757" s="243"/>
      <c r="IB757" s="243"/>
      <c r="IC757" s="243"/>
      <c r="ID757" s="243"/>
      <c r="IE757" s="243"/>
      <c r="IF757" s="243"/>
      <c r="IG757" s="243"/>
      <c r="IH757" s="243"/>
      <c r="II757" s="243"/>
      <c r="IJ757" s="243"/>
      <c r="IK757" s="243"/>
      <c r="IL757" s="243"/>
      <c r="IM757" s="243"/>
      <c r="IN757" s="243"/>
      <c r="IO757" s="243"/>
      <c r="IP757" s="243"/>
      <c r="IQ757" s="243"/>
      <c r="IR757" s="243"/>
      <c r="IS757" s="243"/>
      <c r="IT757" s="243"/>
      <c r="IU757" s="243"/>
      <c r="IV757" s="243"/>
      <c r="IW757" s="243"/>
      <c r="IX757" s="243"/>
      <c r="IY757" s="243"/>
      <c r="IZ757" s="243"/>
      <c r="JA757" s="243"/>
      <c r="JB757" s="243"/>
      <c r="JC757" s="243"/>
      <c r="JD757" s="243"/>
      <c r="JE757" s="243"/>
      <c r="JF757" s="243"/>
      <c r="JG757" s="243"/>
      <c r="JH757" s="243"/>
      <c r="JI757" s="243"/>
      <c r="JJ757" s="243"/>
      <c r="JK757" s="243"/>
      <c r="JL757" s="243"/>
      <c r="JM757" s="243"/>
      <c r="JN757" s="243"/>
      <c r="JO757" s="243"/>
      <c r="JP757" s="243"/>
      <c r="JQ757" s="243"/>
      <c r="JR757" s="243"/>
      <c r="JS757" s="243"/>
      <c r="JT757" s="243"/>
      <c r="JU757" s="243"/>
      <c r="JV757" s="243"/>
      <c r="JW757" s="243"/>
      <c r="JX757" s="243"/>
      <c r="JY757" s="243"/>
      <c r="JZ757" s="243"/>
      <c r="KA757" s="243"/>
      <c r="KB757" s="243"/>
      <c r="KC757" s="243"/>
      <c r="KD757" s="243"/>
      <c r="KE757" s="243"/>
      <c r="KF757" s="243"/>
      <c r="KG757" s="243"/>
      <c r="KH757" s="243"/>
      <c r="KI757" s="243"/>
      <c r="KJ757" s="243"/>
      <c r="KK757" s="243"/>
      <c r="KL757" s="243"/>
      <c r="KM757" s="243"/>
      <c r="KN757" s="243"/>
      <c r="KO757" s="243"/>
      <c r="KP757" s="243"/>
      <c r="KQ757" s="243"/>
      <c r="KR757" s="243"/>
      <c r="KS757" s="243"/>
      <c r="KT757" s="243"/>
      <c r="KU757" s="243"/>
      <c r="KV757" s="243"/>
      <c r="KW757" s="243"/>
      <c r="KX757" s="243"/>
      <c r="KY757" s="243"/>
      <c r="KZ757" s="243"/>
      <c r="LA757" s="243"/>
      <c r="LB757" s="243"/>
      <c r="LC757" s="243"/>
      <c r="LD757" s="243"/>
      <c r="LE757" s="243"/>
      <c r="LF757" s="243"/>
      <c r="LG757" s="243"/>
      <c r="LH757" s="243"/>
      <c r="LI757" s="243"/>
      <c r="LJ757" s="243"/>
      <c r="LK757" s="243"/>
      <c r="LL757" s="243"/>
      <c r="LM757" s="243"/>
      <c r="LN757" s="243"/>
      <c r="LO757" s="243"/>
      <c r="LP757" s="243"/>
      <c r="LQ757" s="243"/>
      <c r="LR757" s="243"/>
      <c r="LS757" s="243"/>
      <c r="LT757" s="243"/>
      <c r="LU757" s="243"/>
      <c r="LV757" s="243"/>
      <c r="LW757" s="243"/>
      <c r="LX757" s="243"/>
      <c r="LY757" s="243"/>
      <c r="LZ757" s="243"/>
      <c r="MA757" s="243"/>
      <c r="MB757" s="243"/>
      <c r="MC757" s="243"/>
      <c r="MD757" s="243"/>
      <c r="ME757" s="243"/>
      <c r="MF757" s="243"/>
      <c r="MG757" s="243"/>
      <c r="MH757" s="243"/>
      <c r="MI757" s="243"/>
      <c r="MJ757" s="243"/>
      <c r="MK757" s="243"/>
      <c r="ML757" s="243"/>
      <c r="MM757" s="243"/>
      <c r="MN757" s="243"/>
      <c r="MO757" s="243"/>
      <c r="MP757" s="243"/>
      <c r="MQ757" s="243"/>
      <c r="MR757" s="243"/>
      <c r="MS757" s="243"/>
      <c r="MT757" s="243"/>
      <c r="MU757" s="243"/>
      <c r="MV757" s="243"/>
      <c r="MW757" s="243"/>
      <c r="MX757" s="243"/>
      <c r="MY757" s="243"/>
      <c r="MZ757" s="243"/>
      <c r="NA757" s="243"/>
      <c r="NB757" s="243"/>
      <c r="NC757" s="243"/>
      <c r="ND757" s="243"/>
      <c r="NE757" s="243"/>
      <c r="NF757" s="243"/>
      <c r="NG757" s="243"/>
      <c r="NH757" s="243"/>
      <c r="NI757" s="243"/>
      <c r="NJ757" s="243"/>
      <c r="NK757" s="243"/>
      <c r="NL757" s="243"/>
      <c r="NM757" s="243"/>
      <c r="NN757" s="243"/>
      <c r="NO757" s="243"/>
      <c r="NP757" s="243"/>
      <c r="NQ757" s="243"/>
      <c r="NR757" s="243"/>
      <c r="NS757" s="243"/>
      <c r="NT757" s="243"/>
      <c r="NU757" s="243"/>
      <c r="NV757" s="243"/>
      <c r="NW757" s="243"/>
      <c r="NX757" s="243"/>
      <c r="NY757" s="243"/>
      <c r="NZ757" s="243"/>
      <c r="OA757" s="243"/>
      <c r="OB757" s="243"/>
      <c r="OC757" s="243"/>
      <c r="OD757" s="243"/>
      <c r="OE757" s="243"/>
      <c r="OF757" s="243"/>
      <c r="OG757" s="243"/>
      <c r="OH757" s="243"/>
      <c r="OI757" s="243"/>
      <c r="OJ757" s="243"/>
      <c r="OK757" s="243"/>
      <c r="OL757" s="243"/>
      <c r="OM757" s="243"/>
      <c r="ON757" s="243"/>
      <c r="OO757" s="243"/>
      <c r="OP757" s="243"/>
      <c r="OQ757" s="243"/>
      <c r="OR757" s="243"/>
      <c r="OS757" s="243"/>
      <c r="OT757" s="243"/>
      <c r="OU757" s="243"/>
      <c r="OV757" s="243"/>
      <c r="OW757" s="243"/>
      <c r="OX757" s="243"/>
      <c r="OY757" s="243"/>
      <c r="OZ757" s="243"/>
      <c r="PA757" s="243"/>
      <c r="PB757" s="243"/>
      <c r="PC757" s="243"/>
      <c r="PD757" s="243"/>
      <c r="PE757" s="243"/>
      <c r="PF757" s="243"/>
      <c r="PG757" s="243"/>
      <c r="PH757" s="243"/>
      <c r="PI757" s="243"/>
      <c r="PJ757" s="243"/>
      <c r="PK757" s="243"/>
      <c r="PL757" s="243"/>
      <c r="PM757" s="243"/>
      <c r="PN757" s="243"/>
      <c r="PO757" s="243"/>
      <c r="PP757" s="243"/>
      <c r="PQ757" s="243"/>
      <c r="PR757" s="243"/>
      <c r="PS757" s="243"/>
      <c r="PT757" s="243"/>
      <c r="PU757" s="243"/>
      <c r="PV757" s="243"/>
      <c r="PW757" s="243"/>
      <c r="PX757" s="243"/>
      <c r="PY757" s="243"/>
      <c r="PZ757" s="243"/>
      <c r="QA757" s="243"/>
      <c r="QB757" s="243"/>
      <c r="QC757" s="243"/>
      <c r="QD757" s="243"/>
      <c r="QE757" s="243"/>
      <c r="QF757" s="243"/>
      <c r="QG757" s="243"/>
      <c r="QH757" s="243"/>
      <c r="QI757" s="243"/>
      <c r="QJ757" s="243"/>
      <c r="QK757" s="243"/>
      <c r="QL757" s="243"/>
      <c r="QM757" s="243"/>
      <c r="QN757" s="243"/>
      <c r="QO757" s="243"/>
      <c r="QP757" s="243"/>
      <c r="QQ757" s="243"/>
      <c r="QR757" s="243"/>
      <c r="QS757" s="243"/>
      <c r="QT757" s="243"/>
      <c r="QU757" s="243"/>
      <c r="QV757" s="243"/>
      <c r="QW757" s="243"/>
      <c r="QX757" s="243"/>
      <c r="QY757" s="243"/>
      <c r="QZ757" s="243"/>
      <c r="RA757" s="243"/>
      <c r="RB757" s="243"/>
      <c r="RC757" s="243"/>
      <c r="RD757" s="243"/>
      <c r="RE757" s="243"/>
      <c r="RF757" s="243"/>
      <c r="RG757" s="243"/>
      <c r="RH757" s="243"/>
      <c r="RI757" s="243"/>
      <c r="RJ757" s="243"/>
      <c r="RK757" s="243"/>
      <c r="RL757" s="243"/>
      <c r="RM757" s="243"/>
      <c r="RN757" s="243"/>
      <c r="RO757" s="243"/>
      <c r="RP757" s="243"/>
      <c r="RQ757" s="243"/>
      <c r="RR757" s="243"/>
      <c r="RS757" s="243"/>
      <c r="RT757" s="243"/>
      <c r="RU757" s="243"/>
      <c r="RV757" s="243"/>
      <c r="RW757" s="243"/>
      <c r="RX757" s="243"/>
      <c r="RY757" s="243"/>
      <c r="RZ757" s="243"/>
      <c r="SA757" s="243"/>
      <c r="SB757" s="243"/>
      <c r="SC757" s="243"/>
      <c r="SD757" s="243"/>
      <c r="SE757" s="243"/>
      <c r="SF757" s="243"/>
      <c r="SG757" s="243"/>
      <c r="SH757" s="243"/>
      <c r="SI757" s="243"/>
      <c r="SJ757" s="243"/>
      <c r="SK757" s="243"/>
      <c r="SL757" s="243"/>
      <c r="SM757" s="243"/>
      <c r="SN757" s="243"/>
      <c r="SO757" s="243"/>
      <c r="SP757" s="243"/>
      <c r="SQ757" s="243"/>
      <c r="SR757" s="243"/>
      <c r="SS757" s="243"/>
      <c r="ST757" s="243"/>
      <c r="SU757" s="243"/>
      <c r="SV757" s="243"/>
      <c r="SW757" s="243"/>
      <c r="SX757" s="243"/>
      <c r="SY757" s="243"/>
      <c r="SZ757" s="243"/>
      <c r="TA757" s="243"/>
      <c r="TB757" s="243"/>
      <c r="TC757" s="243"/>
      <c r="TD757" s="243"/>
      <c r="TE757" s="243"/>
      <c r="TF757" s="243"/>
      <c r="TG757" s="243"/>
      <c r="TH757" s="243"/>
      <c r="TI757" s="243"/>
      <c r="TJ757" s="243"/>
      <c r="TK757" s="243"/>
      <c r="TL757" s="243"/>
      <c r="TM757" s="243"/>
      <c r="TN757" s="243"/>
      <c r="TO757" s="243"/>
      <c r="TP757" s="243"/>
      <c r="TQ757" s="243"/>
      <c r="TR757" s="243"/>
      <c r="TS757" s="243"/>
      <c r="TT757" s="243"/>
      <c r="TU757" s="243"/>
      <c r="TV757" s="243"/>
      <c r="TW757" s="243"/>
      <c r="TX757" s="243"/>
      <c r="TY757" s="243"/>
      <c r="TZ757" s="243"/>
      <c r="UA757" s="243"/>
      <c r="UB757" s="243"/>
      <c r="UC757" s="243"/>
      <c r="UD757" s="243"/>
      <c r="UE757" s="243"/>
      <c r="UF757" s="243"/>
      <c r="UG757" s="243"/>
      <c r="UH757" s="243"/>
      <c r="UI757" s="243"/>
      <c r="UJ757" s="243"/>
      <c r="UK757" s="243"/>
      <c r="UL757" s="243"/>
      <c r="UM757" s="243"/>
      <c r="UN757" s="243"/>
      <c r="UO757" s="243"/>
      <c r="UP757" s="243"/>
      <c r="UQ757" s="243"/>
      <c r="UR757" s="243"/>
      <c r="US757" s="243"/>
      <c r="UT757" s="243"/>
      <c r="UU757" s="243"/>
      <c r="UV757" s="243"/>
      <c r="UW757" s="243"/>
      <c r="UX757" s="243"/>
      <c r="UY757" s="243"/>
      <c r="UZ757" s="243"/>
      <c r="VA757" s="243"/>
      <c r="VB757" s="243"/>
      <c r="VC757" s="243"/>
      <c r="VD757" s="243"/>
      <c r="VE757" s="243"/>
      <c r="VF757" s="243"/>
      <c r="VG757" s="243"/>
      <c r="VH757" s="243"/>
      <c r="VI757" s="243"/>
      <c r="VJ757" s="243"/>
      <c r="VK757" s="243"/>
      <c r="VL757" s="243"/>
      <c r="VM757" s="243"/>
      <c r="VN757" s="243"/>
      <c r="VO757" s="243"/>
      <c r="VP757" s="243"/>
      <c r="VQ757" s="243"/>
      <c r="VR757" s="243"/>
      <c r="VS757" s="243"/>
      <c r="VT757" s="243"/>
      <c r="VU757" s="243"/>
      <c r="VV757" s="243"/>
      <c r="VW757" s="243"/>
      <c r="VX757" s="243"/>
      <c r="VY757" s="243"/>
      <c r="VZ757" s="243"/>
      <c r="WA757" s="243"/>
      <c r="WB757" s="243"/>
      <c r="WC757" s="243"/>
      <c r="WD757" s="243"/>
      <c r="WE757" s="243"/>
      <c r="WF757" s="243"/>
      <c r="WG757" s="243"/>
      <c r="WH757" s="243"/>
      <c r="WI757" s="243"/>
      <c r="WJ757" s="243"/>
      <c r="WK757" s="243"/>
      <c r="WL757" s="243"/>
      <c r="WM757" s="243"/>
      <c r="WN757" s="243"/>
      <c r="WO757" s="243"/>
      <c r="WP757" s="243"/>
      <c r="WQ757" s="243"/>
      <c r="WR757" s="243"/>
      <c r="WS757" s="243"/>
      <c r="WT757" s="243"/>
      <c r="WU757" s="243"/>
      <c r="WV757" s="243"/>
      <c r="WW757" s="243"/>
      <c r="WX757" s="243"/>
      <c r="WY757" s="243"/>
      <c r="WZ757" s="243"/>
      <c r="XA757" s="243"/>
      <c r="XB757" s="243"/>
      <c r="XC757" s="243"/>
      <c r="XD757" s="243"/>
      <c r="XE757" s="243"/>
      <c r="XF757" s="243"/>
      <c r="XG757" s="243"/>
      <c r="XH757" s="243"/>
      <c r="XI757" s="243"/>
      <c r="XJ757" s="243"/>
      <c r="XK757" s="243"/>
      <c r="XL757" s="243"/>
      <c r="XM757" s="243"/>
      <c r="XN757" s="243"/>
      <c r="XO757" s="243"/>
      <c r="XP757" s="243"/>
      <c r="XQ757" s="243"/>
      <c r="XR757" s="243"/>
      <c r="XS757" s="243"/>
      <c r="XT757" s="243"/>
      <c r="XU757" s="243"/>
      <c r="XV757" s="243"/>
      <c r="XW757" s="243"/>
      <c r="XX757" s="243"/>
      <c r="XY757" s="243"/>
      <c r="XZ757" s="243"/>
      <c r="YA757" s="243"/>
      <c r="YB757" s="243"/>
      <c r="YC757" s="243"/>
      <c r="YD757" s="243"/>
      <c r="YE757" s="243"/>
      <c r="YF757" s="243"/>
      <c r="YG757" s="243"/>
      <c r="YH757" s="243"/>
      <c r="YI757" s="243"/>
      <c r="YJ757" s="243"/>
      <c r="YK757" s="243"/>
      <c r="YL757" s="243"/>
      <c r="YM757" s="243"/>
      <c r="YN757" s="243"/>
      <c r="YO757" s="243"/>
      <c r="YP757" s="243"/>
      <c r="YQ757" s="243"/>
      <c r="YR757" s="243"/>
      <c r="YS757" s="243"/>
      <c r="YT757" s="243"/>
      <c r="YU757" s="243"/>
      <c r="YV757" s="243"/>
      <c r="YW757" s="243"/>
      <c r="YX757" s="243"/>
      <c r="YY757" s="243"/>
      <c r="YZ757" s="243"/>
      <c r="ZA757" s="243"/>
      <c r="ZB757" s="243"/>
      <c r="ZC757" s="243"/>
      <c r="ZD757" s="243"/>
      <c r="ZE757" s="243"/>
      <c r="ZF757" s="243"/>
      <c r="ZG757" s="243"/>
      <c r="ZH757" s="243"/>
      <c r="ZI757" s="243"/>
      <c r="ZJ757" s="243"/>
      <c r="ZK757" s="243"/>
      <c r="ZL757" s="243"/>
      <c r="ZM757" s="243"/>
      <c r="ZN757" s="243"/>
      <c r="ZO757" s="243"/>
      <c r="ZP757" s="243"/>
      <c r="ZQ757" s="243"/>
      <c r="ZR757" s="243"/>
      <c r="ZS757" s="243"/>
      <c r="ZT757" s="243"/>
      <c r="ZU757" s="243"/>
      <c r="ZV757" s="243"/>
      <c r="ZW757" s="243"/>
      <c r="ZX757" s="243"/>
      <c r="ZY757" s="243"/>
      <c r="ZZ757" s="243"/>
      <c r="AAA757" s="243"/>
      <c r="AAB757" s="243"/>
      <c r="AAC757" s="243"/>
      <c r="AAD757" s="243"/>
      <c r="AAE757" s="243"/>
      <c r="AAF757" s="243"/>
      <c r="AAG757" s="243"/>
      <c r="AAH757" s="243"/>
      <c r="AAI757" s="243"/>
      <c r="AAJ757" s="243"/>
      <c r="AAK757" s="243"/>
      <c r="AAL757" s="243"/>
      <c r="AAM757" s="243"/>
      <c r="AAN757" s="243"/>
      <c r="AAO757" s="243"/>
      <c r="AAP757" s="243"/>
      <c r="AAQ757" s="243"/>
      <c r="AAR757" s="243"/>
      <c r="AAS757" s="243"/>
      <c r="AAT757" s="243"/>
      <c r="AAU757" s="243"/>
      <c r="AAV757" s="243"/>
      <c r="AAW757" s="243"/>
      <c r="AAX757" s="243"/>
      <c r="AAY757" s="243"/>
      <c r="AAZ757" s="243"/>
      <c r="ABA757" s="243"/>
      <c r="ABB757" s="243"/>
      <c r="ABC757" s="243"/>
      <c r="ABD757" s="243"/>
      <c r="ABE757" s="243"/>
      <c r="ABF757" s="243"/>
      <c r="ABG757" s="243"/>
      <c r="ABH757" s="243"/>
      <c r="ABI757" s="243"/>
      <c r="ABJ757" s="243"/>
      <c r="ABK757" s="243"/>
      <c r="ABL757" s="243"/>
      <c r="ABM757" s="243"/>
      <c r="ABN757" s="243"/>
      <c r="ABO757" s="243"/>
      <c r="ABP757" s="243"/>
      <c r="ABQ757" s="243"/>
      <c r="ABR757" s="243"/>
      <c r="ABS757" s="243"/>
      <c r="ABT757" s="243"/>
      <c r="ABU757" s="243"/>
      <c r="ABV757" s="243"/>
      <c r="ABW757" s="243"/>
      <c r="ABX757" s="243"/>
      <c r="ABY757" s="243"/>
      <c r="ABZ757" s="243"/>
      <c r="ACA757" s="243"/>
      <c r="ACB757" s="243"/>
      <c r="ACC757" s="243"/>
      <c r="ACD757" s="243"/>
      <c r="ACE757" s="243"/>
      <c r="ACF757" s="243"/>
      <c r="ACG757" s="243"/>
      <c r="ACH757" s="243"/>
      <c r="ACI757" s="243"/>
      <c r="ACJ757" s="243"/>
      <c r="ACK757" s="243"/>
      <c r="ACL757" s="243"/>
      <c r="ACM757" s="243"/>
      <c r="ACN757" s="243"/>
      <c r="ACO757" s="243"/>
      <c r="ACP757" s="243"/>
      <c r="ACQ757" s="243"/>
      <c r="ACR757" s="243"/>
      <c r="ACS757" s="243"/>
      <c r="ACT757" s="243"/>
      <c r="ACU757" s="243"/>
      <c r="ACV757" s="243"/>
      <c r="ACW757" s="243"/>
      <c r="ACX757" s="243"/>
      <c r="ACY757" s="243"/>
      <c r="ACZ757" s="243"/>
      <c r="ADA757" s="243"/>
      <c r="ADB757" s="243"/>
      <c r="ADC757" s="243"/>
      <c r="ADD757" s="243"/>
      <c r="ADE757" s="243"/>
      <c r="ADF757" s="243"/>
      <c r="ADG757" s="243"/>
      <c r="ADH757" s="243"/>
      <c r="ADI757" s="243"/>
      <c r="ADJ757" s="243"/>
      <c r="ADK757" s="243"/>
      <c r="ADL757" s="243"/>
      <c r="ADM757" s="243"/>
      <c r="ADN757" s="243"/>
      <c r="ADO757" s="243"/>
      <c r="ADP757" s="243"/>
      <c r="ADQ757" s="243"/>
      <c r="ADR757" s="243"/>
      <c r="ADS757" s="243"/>
      <c r="ADT757" s="243"/>
      <c r="ADU757" s="243"/>
      <c r="ADV757" s="243"/>
      <c r="ADW757" s="243"/>
      <c r="ADX757" s="243"/>
      <c r="ADY757" s="243"/>
      <c r="ADZ757" s="243"/>
      <c r="AEA757" s="243"/>
      <c r="AEB757" s="243"/>
      <c r="AEC757" s="243"/>
      <c r="AED757" s="243"/>
      <c r="AEE757" s="243"/>
      <c r="AEF757" s="243"/>
      <c r="AEG757" s="243"/>
      <c r="AEH757" s="243"/>
      <c r="AEI757" s="243"/>
      <c r="AEJ757" s="243"/>
      <c r="AEK757" s="243"/>
      <c r="AEL757" s="243"/>
      <c r="AEM757" s="243"/>
      <c r="AEN757" s="243"/>
      <c r="AEO757" s="243"/>
      <c r="AEP757" s="243"/>
      <c r="AEQ757" s="243"/>
      <c r="AER757" s="243"/>
      <c r="AES757" s="243"/>
      <c r="AET757" s="243"/>
      <c r="AEU757" s="243"/>
      <c r="AEV757" s="243"/>
      <c r="AEW757" s="243"/>
      <c r="AEX757" s="243"/>
      <c r="AEY757" s="243"/>
      <c r="AEZ757" s="243"/>
      <c r="AFA757" s="243"/>
      <c r="AFB757" s="243"/>
      <c r="AFC757" s="243"/>
      <c r="AFD757" s="243"/>
      <c r="AFE757" s="243"/>
      <c r="AFF757" s="243"/>
      <c r="AFG757" s="243"/>
      <c r="AFH757" s="243"/>
      <c r="AFI757" s="243"/>
      <c r="AFJ757" s="243"/>
      <c r="AFK757" s="243"/>
      <c r="AFL757" s="243"/>
      <c r="AFM757" s="243"/>
      <c r="AFN757" s="243"/>
      <c r="AFO757" s="243"/>
      <c r="AFP757" s="243"/>
      <c r="AFQ757" s="243"/>
      <c r="AFR757" s="243"/>
      <c r="AFS757" s="243"/>
      <c r="AFT757" s="243"/>
      <c r="AFU757" s="243"/>
      <c r="AFV757" s="243"/>
      <c r="AFW757" s="243"/>
      <c r="AFX757" s="243"/>
      <c r="AFY757" s="243"/>
      <c r="AFZ757" s="243"/>
      <c r="AGA757" s="243"/>
      <c r="AGB757" s="243"/>
      <c r="AGC757" s="243"/>
      <c r="AGD757" s="243"/>
      <c r="AGE757" s="243"/>
      <c r="AGF757" s="243"/>
      <c r="AGG757" s="243"/>
      <c r="AGH757" s="243"/>
      <c r="AGI757" s="243"/>
      <c r="AGJ757" s="243"/>
      <c r="AGK757" s="243"/>
      <c r="AGL757" s="243"/>
      <c r="AGM757" s="243"/>
      <c r="AGN757" s="243"/>
      <c r="AGO757" s="243"/>
      <c r="AGP757" s="243"/>
      <c r="AGQ757" s="243"/>
      <c r="AGR757" s="243"/>
      <c r="AGS757" s="243"/>
      <c r="AGT757" s="243"/>
      <c r="AGU757" s="243"/>
      <c r="AGV757" s="243"/>
      <c r="AGW757" s="243"/>
      <c r="AGX757" s="243"/>
      <c r="AGY757" s="243"/>
      <c r="AGZ757" s="243"/>
      <c r="AHA757" s="243"/>
      <c r="AHB757" s="243"/>
      <c r="AHC757" s="243"/>
      <c r="AHD757" s="243"/>
      <c r="AHE757" s="243"/>
      <c r="AHF757" s="243"/>
      <c r="AHG757" s="243"/>
      <c r="AHH757" s="243"/>
      <c r="AHI757" s="243"/>
      <c r="AHJ757" s="243"/>
      <c r="AHK757" s="243"/>
      <c r="AHL757" s="243"/>
      <c r="AHM757" s="243"/>
      <c r="AHN757" s="243"/>
      <c r="AHO757" s="243"/>
      <c r="AHP757" s="243"/>
      <c r="AHQ757" s="243"/>
      <c r="AHR757" s="243"/>
      <c r="AHS757" s="243"/>
      <c r="AHT757" s="243"/>
      <c r="AHU757" s="243"/>
      <c r="AHV757" s="243"/>
      <c r="AHW757" s="243"/>
      <c r="AHX757" s="243"/>
      <c r="AHY757" s="243"/>
      <c r="AHZ757" s="243"/>
      <c r="AIA757" s="243"/>
      <c r="AIB757" s="243"/>
      <c r="AIC757" s="243"/>
      <c r="AID757" s="243"/>
      <c r="AIE757" s="243"/>
      <c r="AIF757" s="243"/>
      <c r="AIG757" s="243"/>
      <c r="AIH757" s="243"/>
      <c r="AII757" s="243"/>
      <c r="AIJ757" s="243"/>
      <c r="AIK757" s="243"/>
      <c r="AIL757" s="243"/>
      <c r="AIM757" s="243"/>
      <c r="AIN757" s="243"/>
      <c r="AIO757" s="243"/>
      <c r="AIP757" s="243"/>
      <c r="AIQ757" s="243"/>
      <c r="AIR757" s="243"/>
      <c r="AIS757" s="243"/>
      <c r="AIT757" s="243"/>
      <c r="AIU757" s="243"/>
      <c r="AIV757" s="243"/>
      <c r="AIW757" s="243"/>
      <c r="AIX757" s="243"/>
      <c r="AIY757" s="243"/>
      <c r="AIZ757" s="243"/>
      <c r="AJA757" s="243"/>
      <c r="AJB757" s="243"/>
      <c r="AJC757" s="243"/>
      <c r="AJD757" s="243"/>
      <c r="AJE757" s="243"/>
      <c r="AJF757" s="243"/>
      <c r="AJG757" s="243"/>
      <c r="AJH757" s="243"/>
      <c r="AJI757" s="243"/>
      <c r="AJJ757" s="243"/>
      <c r="AJK757" s="243"/>
      <c r="AJL757" s="243"/>
      <c r="AJM757" s="243"/>
      <c r="AJN757" s="243"/>
      <c r="AJO757" s="243"/>
      <c r="AJP757" s="243"/>
      <c r="AJQ757" s="243"/>
      <c r="AJR757" s="243"/>
      <c r="AJS757" s="243"/>
      <c r="AJT757" s="243"/>
      <c r="AJU757" s="243"/>
      <c r="AJV757" s="243"/>
      <c r="AJW757" s="243"/>
      <c r="AJX757" s="243"/>
      <c r="AJY757" s="243"/>
      <c r="AJZ757" s="243"/>
      <c r="AKA757" s="243"/>
      <c r="AKB757" s="243"/>
      <c r="AKC757" s="243"/>
      <c r="AKD757" s="243"/>
      <c r="AKE757" s="243"/>
      <c r="AKF757" s="243"/>
      <c r="AKG757" s="243"/>
      <c r="AKH757" s="243"/>
      <c r="AKI757" s="243"/>
      <c r="AKJ757" s="243"/>
      <c r="AKK757" s="243"/>
      <c r="AKL757" s="243"/>
      <c r="AKM757" s="243"/>
      <c r="AKN757" s="243"/>
      <c r="AKO757" s="243"/>
      <c r="AKP757" s="243"/>
      <c r="AKQ757" s="243"/>
      <c r="AKR757" s="243"/>
      <c r="AKS757" s="243"/>
      <c r="AKT757" s="243"/>
      <c r="AKU757" s="243"/>
      <c r="AKV757" s="243"/>
      <c r="AKW757" s="243"/>
      <c r="AKX757" s="243"/>
      <c r="AKY757" s="243"/>
      <c r="AKZ757" s="243"/>
      <c r="ALA757" s="243"/>
      <c r="ALB757" s="243"/>
      <c r="ALC757" s="243"/>
      <c r="ALD757" s="243"/>
      <c r="ALE757" s="243"/>
      <c r="ALF757" s="243"/>
      <c r="ALG757" s="243"/>
      <c r="ALH757" s="243"/>
      <c r="ALI757" s="243"/>
      <c r="ALJ757" s="243"/>
      <c r="ALK757" s="243"/>
      <c r="ALL757" s="243"/>
      <c r="ALM757" s="243"/>
      <c r="ALN757" s="243"/>
      <c r="ALO757" s="243"/>
      <c r="ALP757" s="243"/>
      <c r="ALQ757" s="243"/>
      <c r="ALR757" s="243"/>
      <c r="ALS757" s="243"/>
      <c r="ALT757" s="243"/>
      <c r="ALU757" s="243"/>
      <c r="ALV757" s="243"/>
      <c r="ALW757" s="243"/>
      <c r="ALX757" s="243"/>
      <c r="ALY757" s="243"/>
      <c r="ALZ757" s="243"/>
      <c r="AMA757" s="243"/>
      <c r="AMB757" s="243"/>
      <c r="AMC757" s="243"/>
      <c r="AMD757" s="243"/>
      <c r="AME757" s="243"/>
      <c r="AMF757" s="243"/>
      <c r="AMG757" s="243"/>
      <c r="AMH757" s="243"/>
      <c r="AMI757" s="243"/>
      <c r="AMJ757" s="243"/>
      <c r="AMK757" s="244"/>
    </row>
    <row r="758" spans="1:1025" hidden="1">
      <c r="B758" s="448"/>
      <c r="C758" s="247" t="s">
        <v>870</v>
      </c>
      <c r="D758" s="246" t="s">
        <v>1118</v>
      </c>
      <c r="E758" s="246" t="s">
        <v>534</v>
      </c>
      <c r="F758" s="248">
        <v>3250000</v>
      </c>
      <c r="G758" s="247" t="s">
        <v>903</v>
      </c>
      <c r="H758" s="247" t="s">
        <v>523</v>
      </c>
      <c r="I758" s="247" t="s">
        <v>523</v>
      </c>
      <c r="J758" s="247">
        <v>1</v>
      </c>
      <c r="K758" s="247"/>
      <c r="L758" s="247" t="s">
        <v>124</v>
      </c>
    </row>
    <row r="759" spans="1:1025" hidden="1">
      <c r="B759" s="800"/>
      <c r="C759" s="247" t="s">
        <v>870</v>
      </c>
      <c r="D759" s="246" t="s">
        <v>1119</v>
      </c>
      <c r="E759" s="246" t="s">
        <v>578</v>
      </c>
      <c r="F759" s="248">
        <v>1700000</v>
      </c>
      <c r="G759" s="247" t="s">
        <v>579</v>
      </c>
      <c r="H759" s="247" t="s">
        <v>528</v>
      </c>
      <c r="I759" s="247" t="s">
        <v>523</v>
      </c>
      <c r="J759" s="247">
        <v>1</v>
      </c>
      <c r="K759" s="247"/>
      <c r="L759" s="247"/>
    </row>
    <row r="760" spans="1:1025" hidden="1">
      <c r="B760" s="431"/>
      <c r="C760" s="247" t="s">
        <v>870</v>
      </c>
      <c r="D760" s="246" t="s">
        <v>1120</v>
      </c>
      <c r="E760" s="246" t="s">
        <v>625</v>
      </c>
      <c r="F760" s="248">
        <v>2800000</v>
      </c>
      <c r="G760" s="247" t="s">
        <v>561</v>
      </c>
      <c r="H760" s="247" t="s">
        <v>528</v>
      </c>
      <c r="I760" s="247" t="s">
        <v>523</v>
      </c>
      <c r="J760" s="247">
        <v>1</v>
      </c>
      <c r="K760" s="247"/>
      <c r="L760" s="247"/>
    </row>
    <row r="761" spans="1:1025" hidden="1">
      <c r="B761" s="431"/>
      <c r="C761" s="247" t="s">
        <v>870</v>
      </c>
      <c r="D761" s="246" t="s">
        <v>1121</v>
      </c>
      <c r="E761" s="246" t="s">
        <v>845</v>
      </c>
      <c r="F761" s="248">
        <v>2600000</v>
      </c>
      <c r="G761" s="247" t="s">
        <v>1122</v>
      </c>
      <c r="H761" s="247" t="s">
        <v>528</v>
      </c>
      <c r="I761" s="247" t="s">
        <v>523</v>
      </c>
      <c r="J761" s="247">
        <v>1</v>
      </c>
      <c r="K761" s="247"/>
      <c r="L761" s="247"/>
    </row>
    <row r="762" spans="1:1025" hidden="1">
      <c r="B762" s="431"/>
      <c r="C762" s="247" t="s">
        <v>870</v>
      </c>
      <c r="D762" s="246" t="s">
        <v>1123</v>
      </c>
      <c r="E762" s="246" t="s">
        <v>859</v>
      </c>
      <c r="F762" s="248">
        <v>6000000</v>
      </c>
      <c r="G762" s="247" t="s">
        <v>292</v>
      </c>
      <c r="H762" s="247" t="s">
        <v>523</v>
      </c>
      <c r="I762" s="247" t="s">
        <v>523</v>
      </c>
      <c r="J762" s="247">
        <v>1</v>
      </c>
      <c r="K762" s="247"/>
      <c r="L762" s="247"/>
    </row>
    <row r="763" spans="1:1025" hidden="1">
      <c r="B763" s="431"/>
      <c r="C763" s="247" t="s">
        <v>687</v>
      </c>
      <c r="D763" s="246" t="s">
        <v>1124</v>
      </c>
      <c r="E763" s="246" t="s">
        <v>740</v>
      </c>
      <c r="F763" s="248">
        <v>1900000</v>
      </c>
      <c r="G763" s="247" t="s">
        <v>741</v>
      </c>
      <c r="H763" s="247" t="s">
        <v>528</v>
      </c>
      <c r="I763" s="247" t="s">
        <v>523</v>
      </c>
      <c r="J763" s="247">
        <v>1</v>
      </c>
      <c r="K763" s="247"/>
      <c r="L763" s="247"/>
    </row>
    <row r="764" spans="1:1025" hidden="1">
      <c r="B764" s="431"/>
      <c r="C764" s="247" t="s">
        <v>870</v>
      </c>
      <c r="D764" s="246" t="s">
        <v>1125</v>
      </c>
      <c r="E764" s="246" t="s">
        <v>616</v>
      </c>
      <c r="F764" s="248">
        <v>2400000</v>
      </c>
      <c r="G764" s="247" t="s">
        <v>896</v>
      </c>
      <c r="H764" s="247" t="s">
        <v>528</v>
      </c>
      <c r="I764" s="247" t="s">
        <v>523</v>
      </c>
      <c r="J764" s="247">
        <v>1</v>
      </c>
      <c r="K764" s="247"/>
      <c r="L764" s="247"/>
    </row>
    <row r="765" spans="1:1025" hidden="1">
      <c r="B765" s="431"/>
      <c r="C765" s="247" t="s">
        <v>870</v>
      </c>
      <c r="D765" s="246" t="s">
        <v>1126</v>
      </c>
      <c r="E765" s="246" t="s">
        <v>578</v>
      </c>
      <c r="F765" s="248">
        <v>2000000</v>
      </c>
      <c r="G765" s="247" t="s">
        <v>672</v>
      </c>
      <c r="H765" s="247" t="s">
        <v>523</v>
      </c>
      <c r="I765" s="247" t="s">
        <v>523</v>
      </c>
      <c r="J765" s="247">
        <v>1</v>
      </c>
      <c r="K765" s="247"/>
      <c r="L765" s="247"/>
    </row>
    <row r="766" spans="1:1025" hidden="1">
      <c r="B766" s="431"/>
      <c r="C766" s="247" t="s">
        <v>870</v>
      </c>
      <c r="D766" s="246" t="s">
        <v>963</v>
      </c>
      <c r="E766" s="246" t="s">
        <v>526</v>
      </c>
      <c r="F766" s="248">
        <v>6500000</v>
      </c>
      <c r="G766" s="247" t="s">
        <v>1127</v>
      </c>
      <c r="H766" s="247" t="s">
        <v>528</v>
      </c>
      <c r="I766" s="247" t="s">
        <v>523</v>
      </c>
      <c r="J766" s="247">
        <v>1</v>
      </c>
      <c r="K766" s="247"/>
      <c r="L766" s="247"/>
    </row>
    <row r="767" spans="1:1025" hidden="1">
      <c r="B767" s="431"/>
      <c r="C767" s="247" t="s">
        <v>870</v>
      </c>
      <c r="D767" s="246" t="s">
        <v>1128</v>
      </c>
      <c r="E767" s="246" t="s">
        <v>578</v>
      </c>
      <c r="F767" s="248">
        <v>2100000</v>
      </c>
      <c r="G767" s="247" t="s">
        <v>672</v>
      </c>
      <c r="H767" s="247" t="s">
        <v>523</v>
      </c>
      <c r="I767" s="247" t="s">
        <v>523</v>
      </c>
      <c r="J767" s="247">
        <v>1</v>
      </c>
      <c r="K767" s="247"/>
      <c r="L767" s="247"/>
    </row>
    <row r="768" spans="1:1025" hidden="1">
      <c r="B768" s="800"/>
      <c r="C768" s="247" t="s">
        <v>870</v>
      </c>
      <c r="D768" s="246" t="s">
        <v>1129</v>
      </c>
      <c r="E768" s="246" t="s">
        <v>1130</v>
      </c>
      <c r="F768" s="248">
        <v>7800000</v>
      </c>
      <c r="G768" s="247" t="s">
        <v>672</v>
      </c>
      <c r="H768" s="247" t="s">
        <v>528</v>
      </c>
      <c r="I768" s="247" t="s">
        <v>523</v>
      </c>
      <c r="J768" s="247">
        <v>1</v>
      </c>
      <c r="K768" s="247"/>
      <c r="L768" s="247"/>
    </row>
    <row r="769" spans="2:12" hidden="1">
      <c r="B769" s="800"/>
      <c r="C769" s="247" t="s">
        <v>870</v>
      </c>
      <c r="D769" s="246" t="s">
        <v>1131</v>
      </c>
      <c r="E769" s="246" t="s">
        <v>634</v>
      </c>
      <c r="F769" s="248">
        <v>3500000</v>
      </c>
      <c r="G769" s="247" t="s">
        <v>1132</v>
      </c>
      <c r="H769" s="247" t="s">
        <v>528</v>
      </c>
      <c r="I769" s="247" t="s">
        <v>523</v>
      </c>
      <c r="J769" s="247">
        <v>1</v>
      </c>
      <c r="K769" s="247"/>
      <c r="L769" s="247"/>
    </row>
    <row r="770" spans="2:12" hidden="1">
      <c r="B770" s="246"/>
      <c r="C770" s="247" t="s">
        <v>870</v>
      </c>
      <c r="D770" s="246" t="s">
        <v>1050</v>
      </c>
      <c r="E770" s="246" t="s">
        <v>845</v>
      </c>
      <c r="F770" s="248">
        <v>4000000</v>
      </c>
      <c r="G770" s="247" t="s">
        <v>1122</v>
      </c>
      <c r="H770" s="247" t="s">
        <v>528</v>
      </c>
      <c r="I770" s="247" t="s">
        <v>523</v>
      </c>
      <c r="J770" s="247">
        <v>1</v>
      </c>
      <c r="K770" s="247"/>
      <c r="L770" s="247"/>
    </row>
    <row r="771" spans="2:12" hidden="1">
      <c r="B771" s="246"/>
      <c r="C771" s="247" t="s">
        <v>870</v>
      </c>
      <c r="D771" s="246" t="s">
        <v>1133</v>
      </c>
      <c r="E771" s="246" t="s">
        <v>590</v>
      </c>
      <c r="F771" s="248">
        <v>3000000</v>
      </c>
      <c r="G771" s="247" t="s">
        <v>1134</v>
      </c>
      <c r="H771" s="247" t="s">
        <v>528</v>
      </c>
      <c r="I771" s="247" t="s">
        <v>523</v>
      </c>
      <c r="J771" s="247">
        <v>1</v>
      </c>
      <c r="K771" s="247"/>
      <c r="L771" s="247"/>
    </row>
    <row r="772" spans="2:12" hidden="1">
      <c r="B772" s="246"/>
      <c r="C772" s="247" t="s">
        <v>870</v>
      </c>
      <c r="D772" s="246" t="s">
        <v>1135</v>
      </c>
      <c r="E772" s="246" t="s">
        <v>1136</v>
      </c>
      <c r="F772" s="248">
        <v>1300000</v>
      </c>
      <c r="G772" s="247" t="s">
        <v>731</v>
      </c>
      <c r="H772" s="247" t="s">
        <v>528</v>
      </c>
      <c r="I772" s="247" t="s">
        <v>523</v>
      </c>
      <c r="J772" s="247">
        <v>1</v>
      </c>
      <c r="K772" s="247"/>
      <c r="L772" s="247"/>
    </row>
    <row r="773" spans="2:12" hidden="1">
      <c r="B773" s="246"/>
      <c r="C773" s="247"/>
      <c r="D773" s="246"/>
      <c r="E773" s="246"/>
      <c r="F773" s="248"/>
      <c r="G773" s="247"/>
      <c r="H773" s="247"/>
      <c r="I773" s="247"/>
      <c r="J773" s="247"/>
      <c r="K773" s="247"/>
      <c r="L773" s="247"/>
    </row>
    <row r="774" spans="2:12" hidden="1">
      <c r="B774" s="246"/>
      <c r="C774" s="247"/>
      <c r="D774" s="246"/>
      <c r="E774" s="246"/>
      <c r="F774" s="248"/>
      <c r="G774" s="247"/>
      <c r="H774" s="247"/>
      <c r="I774" s="247"/>
      <c r="J774" s="247"/>
      <c r="K774" s="247"/>
      <c r="L774" s="247"/>
    </row>
    <row r="775" spans="2:12" hidden="1">
      <c r="B775" s="246"/>
      <c r="C775" s="247"/>
      <c r="D775" s="246"/>
      <c r="E775" s="246"/>
      <c r="F775" s="248"/>
      <c r="G775" s="247"/>
      <c r="H775" s="247"/>
      <c r="I775" s="247"/>
      <c r="J775" s="247"/>
      <c r="K775" s="247"/>
      <c r="L775" s="247"/>
    </row>
    <row r="776" spans="2:12" hidden="1">
      <c r="B776" s="801"/>
      <c r="C776" s="250"/>
      <c r="D776" s="249"/>
      <c r="E776" s="249"/>
      <c r="F776" s="251"/>
      <c r="G776" s="250"/>
      <c r="H776" s="250"/>
      <c r="I776" s="250"/>
      <c r="J776" s="250"/>
      <c r="K776" s="250"/>
      <c r="L776" s="250"/>
    </row>
    <row r="777" spans="2:12" hidden="1">
      <c r="B777" s="801"/>
      <c r="C777" s="250"/>
      <c r="D777" s="252"/>
      <c r="E777" s="252"/>
      <c r="F777" s="251"/>
      <c r="G777" s="253"/>
      <c r="H777" s="253"/>
      <c r="I777" s="253"/>
      <c r="J777" s="253"/>
      <c r="K777" s="253"/>
      <c r="L777" s="253"/>
    </row>
    <row r="778" spans="2:12" hidden="1">
      <c r="B778" s="801"/>
      <c r="C778" s="250"/>
      <c r="D778" s="249"/>
      <c r="E778" s="249"/>
      <c r="F778" s="251"/>
      <c r="G778" s="250"/>
      <c r="H778" s="250"/>
      <c r="I778" s="250"/>
      <c r="J778" s="250"/>
      <c r="K778" s="250"/>
      <c r="L778" s="250"/>
    </row>
    <row r="779" spans="2:12" ht="18.75" hidden="1">
      <c r="B779" s="1051"/>
      <c r="C779" s="1052"/>
      <c r="D779" s="1052"/>
      <c r="E779" s="1052"/>
      <c r="F779" s="1052"/>
      <c r="G779" s="1052"/>
      <c r="H779" s="1052"/>
      <c r="I779" s="1053"/>
      <c r="J779" s="254">
        <f>SUM(J756:J778)</f>
        <v>17</v>
      </c>
      <c r="K779" s="254">
        <f>SUM(K772:K778)</f>
        <v>0</v>
      </c>
      <c r="L779" s="254"/>
    </row>
    <row r="780" spans="2:12" hidden="1">
      <c r="B780"/>
    </row>
    <row r="781" spans="2:12" hidden="1">
      <c r="B781"/>
    </row>
    <row r="782" spans="2:12" ht="18.75" hidden="1">
      <c r="B782" s="974" t="s">
        <v>1137</v>
      </c>
      <c r="C782" s="975"/>
      <c r="D782" s="975"/>
      <c r="E782" s="975"/>
      <c r="F782" s="975"/>
      <c r="G782" s="975"/>
      <c r="H782" s="975"/>
      <c r="I782" s="975"/>
      <c r="J782" s="975"/>
      <c r="K782" s="975"/>
      <c r="L782" s="975"/>
    </row>
    <row r="783" spans="2:12" ht="15.75" hidden="1">
      <c r="B783" s="314" t="s">
        <v>507</v>
      </c>
      <c r="C783" s="314" t="s">
        <v>508</v>
      </c>
      <c r="D783" s="314" t="s">
        <v>509</v>
      </c>
      <c r="E783" s="314" t="s">
        <v>510</v>
      </c>
      <c r="F783" s="314" t="s">
        <v>511</v>
      </c>
      <c r="G783" s="314" t="s">
        <v>512</v>
      </c>
      <c r="H783" s="314" t="s">
        <v>513</v>
      </c>
      <c r="I783" s="314" t="s">
        <v>514</v>
      </c>
      <c r="J783" s="314" t="s">
        <v>915</v>
      </c>
      <c r="K783" s="314" t="s">
        <v>914</v>
      </c>
      <c r="L783" s="314" t="s">
        <v>940</v>
      </c>
    </row>
    <row r="784" spans="2:12" hidden="1">
      <c r="B784" s="802" t="s">
        <v>1138</v>
      </c>
      <c r="C784" s="279" t="s">
        <v>870</v>
      </c>
      <c r="D784" s="278" t="s">
        <v>1139</v>
      </c>
      <c r="E784" s="278" t="s">
        <v>1140</v>
      </c>
      <c r="F784" s="280">
        <v>3800000</v>
      </c>
      <c r="G784" s="279" t="s">
        <v>903</v>
      </c>
      <c r="H784" s="279" t="s">
        <v>523</v>
      </c>
      <c r="I784" s="279" t="s">
        <v>523</v>
      </c>
      <c r="J784" s="279">
        <v>1</v>
      </c>
      <c r="K784" s="279"/>
      <c r="L784" s="279" t="s">
        <v>138</v>
      </c>
    </row>
    <row r="785" spans="2:12" hidden="1">
      <c r="B785" s="802" t="s">
        <v>1138</v>
      </c>
      <c r="C785" s="247" t="s">
        <v>870</v>
      </c>
      <c r="D785" s="246" t="s">
        <v>1141</v>
      </c>
      <c r="E785" s="246" t="s">
        <v>792</v>
      </c>
      <c r="F785" s="248">
        <v>4100000</v>
      </c>
      <c r="G785" s="247" t="s">
        <v>903</v>
      </c>
      <c r="H785" s="247" t="s">
        <v>523</v>
      </c>
      <c r="I785" s="247" t="s">
        <v>523</v>
      </c>
      <c r="J785" s="247">
        <v>1</v>
      </c>
      <c r="K785" s="247"/>
      <c r="L785" s="247" t="s">
        <v>124</v>
      </c>
    </row>
    <row r="786" spans="2:12" hidden="1">
      <c r="B786" s="802" t="s">
        <v>1138</v>
      </c>
      <c r="C786" s="247" t="s">
        <v>870</v>
      </c>
      <c r="D786" s="246" t="s">
        <v>1142</v>
      </c>
      <c r="E786" s="246" t="s">
        <v>792</v>
      </c>
      <c r="F786" s="248">
        <v>2200000</v>
      </c>
      <c r="G786" s="247" t="s">
        <v>731</v>
      </c>
      <c r="H786" s="247" t="s">
        <v>528</v>
      </c>
      <c r="I786" s="247" t="s">
        <v>523</v>
      </c>
      <c r="J786" s="247">
        <v>1</v>
      </c>
      <c r="K786" s="247"/>
      <c r="L786" s="247"/>
    </row>
    <row r="787" spans="2:12" hidden="1">
      <c r="B787" s="802" t="s">
        <v>1138</v>
      </c>
      <c r="C787" s="247" t="s">
        <v>1143</v>
      </c>
      <c r="D787" s="246" t="s">
        <v>1144</v>
      </c>
      <c r="E787" s="246" t="s">
        <v>845</v>
      </c>
      <c r="F787" s="248">
        <v>18000000</v>
      </c>
      <c r="G787" s="247" t="s">
        <v>741</v>
      </c>
      <c r="H787" s="247" t="s">
        <v>528</v>
      </c>
      <c r="I787" s="247" t="s">
        <v>523</v>
      </c>
      <c r="J787" s="247">
        <v>1</v>
      </c>
      <c r="K787" s="247"/>
      <c r="L787" s="247"/>
    </row>
    <row r="788" spans="2:12" hidden="1">
      <c r="B788" s="802" t="s">
        <v>1138</v>
      </c>
      <c r="C788" s="247" t="s">
        <v>696</v>
      </c>
      <c r="D788" s="246" t="s">
        <v>1145</v>
      </c>
      <c r="E788" s="246" t="s">
        <v>678</v>
      </c>
      <c r="F788" s="248">
        <v>3000000</v>
      </c>
      <c r="G788" s="247" t="s">
        <v>106</v>
      </c>
      <c r="H788" s="247" t="s">
        <v>528</v>
      </c>
      <c r="I788" s="247" t="s">
        <v>523</v>
      </c>
      <c r="J788" s="247">
        <v>1</v>
      </c>
      <c r="K788" s="247"/>
      <c r="L788" s="247"/>
    </row>
    <row r="789" spans="2:12" hidden="1">
      <c r="B789" s="802" t="s">
        <v>1138</v>
      </c>
      <c r="C789" s="247" t="s">
        <v>509</v>
      </c>
      <c r="D789" s="246" t="s">
        <v>1146</v>
      </c>
      <c r="E789" s="246" t="s">
        <v>526</v>
      </c>
      <c r="F789" s="248">
        <v>2100000</v>
      </c>
      <c r="G789" s="247" t="s">
        <v>1147</v>
      </c>
      <c r="H789" s="247" t="s">
        <v>528</v>
      </c>
      <c r="I789" s="247" t="s">
        <v>523</v>
      </c>
      <c r="J789" s="247">
        <v>1</v>
      </c>
      <c r="K789" s="247"/>
      <c r="L789" s="247"/>
    </row>
    <row r="790" spans="2:12" hidden="1">
      <c r="B790" s="803" t="s">
        <v>1138</v>
      </c>
      <c r="C790" s="250" t="s">
        <v>870</v>
      </c>
      <c r="D790" s="249" t="s">
        <v>1148</v>
      </c>
      <c r="E790" s="249" t="s">
        <v>625</v>
      </c>
      <c r="F790" s="251">
        <v>195000000</v>
      </c>
      <c r="G790" s="250" t="s">
        <v>903</v>
      </c>
      <c r="H790" s="250" t="s">
        <v>523</v>
      </c>
      <c r="I790" s="250" t="s">
        <v>523</v>
      </c>
      <c r="J790" s="250"/>
      <c r="K790" s="250">
        <v>1</v>
      </c>
      <c r="L790" s="250" t="s">
        <v>1149</v>
      </c>
    </row>
    <row r="791" spans="2:12" ht="18.75" hidden="1">
      <c r="B791" s="1054"/>
      <c r="C791" s="1055"/>
      <c r="D791" s="1055"/>
      <c r="E791" s="1055"/>
      <c r="F791" s="1055"/>
      <c r="G791" s="1055"/>
      <c r="H791" s="1055"/>
      <c r="I791" s="1056"/>
      <c r="J791" s="254">
        <f>SUM(J784:J790)</f>
        <v>6</v>
      </c>
      <c r="K791" s="254">
        <f>SUM(K790:K790)</f>
        <v>1</v>
      </c>
      <c r="L791" s="254"/>
    </row>
    <row r="792" spans="2:12" hidden="1">
      <c r="B792"/>
    </row>
    <row r="793" spans="2:12" ht="18.75" hidden="1">
      <c r="B793" s="974" t="s">
        <v>1150</v>
      </c>
      <c r="C793" s="975"/>
      <c r="D793" s="975"/>
      <c r="E793" s="975"/>
      <c r="F793" s="975"/>
      <c r="G793" s="975"/>
      <c r="H793" s="975"/>
      <c r="I793" s="975"/>
      <c r="J793" s="975"/>
      <c r="K793" s="975"/>
      <c r="L793" s="975"/>
    </row>
    <row r="794" spans="2:12" ht="15.75" hidden="1">
      <c r="B794" s="314" t="s">
        <v>507</v>
      </c>
      <c r="C794" s="314" t="s">
        <v>508</v>
      </c>
      <c r="D794" s="314" t="s">
        <v>509</v>
      </c>
      <c r="E794" s="314" t="s">
        <v>510</v>
      </c>
      <c r="F794" s="314" t="s">
        <v>511</v>
      </c>
      <c r="G794" s="314" t="s">
        <v>512</v>
      </c>
      <c r="H794" s="314" t="s">
        <v>513</v>
      </c>
      <c r="I794" s="314" t="s">
        <v>514</v>
      </c>
      <c r="J794" s="314" t="s">
        <v>915</v>
      </c>
      <c r="K794" s="314" t="s">
        <v>914</v>
      </c>
      <c r="L794" s="314" t="s">
        <v>940</v>
      </c>
    </row>
    <row r="795" spans="2:12" hidden="1">
      <c r="B795" s="448"/>
      <c r="C795" s="279" t="s">
        <v>900</v>
      </c>
      <c r="D795" s="278" t="s">
        <v>1151</v>
      </c>
      <c r="E795" s="278" t="s">
        <v>583</v>
      </c>
      <c r="F795" s="280">
        <v>3200000</v>
      </c>
      <c r="G795" s="279" t="s">
        <v>903</v>
      </c>
      <c r="H795" s="279" t="s">
        <v>523</v>
      </c>
      <c r="I795" s="279" t="s">
        <v>523</v>
      </c>
      <c r="J795" s="279">
        <v>1</v>
      </c>
      <c r="K795" s="279"/>
      <c r="L795" s="279" t="s">
        <v>190</v>
      </c>
    </row>
    <row r="796" spans="2:12" hidden="1">
      <c r="B796" s="431"/>
      <c r="C796" s="247" t="s">
        <v>870</v>
      </c>
      <c r="D796" s="246" t="s">
        <v>1152</v>
      </c>
      <c r="E796" s="246" t="s">
        <v>625</v>
      </c>
      <c r="F796" s="248">
        <v>3300000</v>
      </c>
      <c r="G796" s="247" t="s">
        <v>903</v>
      </c>
      <c r="H796" s="247" t="s">
        <v>523</v>
      </c>
      <c r="I796" s="247" t="s">
        <v>523</v>
      </c>
      <c r="J796" s="247">
        <v>1</v>
      </c>
      <c r="K796" s="247"/>
      <c r="L796" s="247" t="s">
        <v>138</v>
      </c>
    </row>
    <row r="797" spans="2:12" hidden="1">
      <c r="B797" s="431"/>
      <c r="C797" s="247" t="s">
        <v>870</v>
      </c>
      <c r="D797" s="246" t="s">
        <v>1153</v>
      </c>
      <c r="E797" s="246" t="s">
        <v>859</v>
      </c>
      <c r="F797" s="248">
        <v>3500000</v>
      </c>
      <c r="G797" s="247" t="s">
        <v>903</v>
      </c>
      <c r="H797" s="247" t="s">
        <v>523</v>
      </c>
      <c r="I797" s="247" t="s">
        <v>523</v>
      </c>
      <c r="J797" s="247">
        <v>1</v>
      </c>
      <c r="K797" s="247"/>
      <c r="L797" s="247" t="s">
        <v>190</v>
      </c>
    </row>
    <row r="798" spans="2:12" hidden="1">
      <c r="B798" s="431"/>
      <c r="C798" s="247" t="s">
        <v>870</v>
      </c>
      <c r="D798" s="246" t="s">
        <v>1154</v>
      </c>
      <c r="E798" s="246" t="s">
        <v>845</v>
      </c>
      <c r="F798" s="248">
        <v>4300000</v>
      </c>
      <c r="G798" s="247" t="s">
        <v>903</v>
      </c>
      <c r="H798" s="247" t="s">
        <v>523</v>
      </c>
      <c r="I798" s="247" t="s">
        <v>523</v>
      </c>
      <c r="J798" s="247">
        <v>1</v>
      </c>
      <c r="K798" s="247"/>
      <c r="L798" s="247" t="s">
        <v>190</v>
      </c>
    </row>
    <row r="799" spans="2:12" hidden="1">
      <c r="B799" s="800"/>
      <c r="C799" s="247"/>
      <c r="D799" s="246"/>
      <c r="E799" s="246"/>
      <c r="F799" s="248"/>
      <c r="G799" s="247"/>
      <c r="H799" s="247"/>
      <c r="I799" s="247"/>
      <c r="J799" s="247"/>
      <c r="K799" s="247"/>
      <c r="L799" s="247"/>
    </row>
    <row r="800" spans="2:12" hidden="1">
      <c r="B800" s="800"/>
      <c r="C800" s="247"/>
      <c r="D800" s="246"/>
      <c r="E800" s="246"/>
      <c r="F800" s="248"/>
      <c r="G800" s="247"/>
      <c r="H800" s="247"/>
      <c r="I800" s="247"/>
      <c r="J800" s="247"/>
      <c r="K800" s="247"/>
      <c r="L800" s="247"/>
    </row>
    <row r="801" spans="2:12" hidden="1">
      <c r="B801" s="517"/>
      <c r="C801" s="247"/>
      <c r="D801" s="246"/>
      <c r="E801" s="246"/>
      <c r="F801" s="248"/>
      <c r="G801" s="247"/>
      <c r="H801" s="247"/>
      <c r="I801" s="247"/>
      <c r="J801" s="247"/>
      <c r="K801" s="247"/>
      <c r="L801" s="247"/>
    </row>
    <row r="802" spans="2:12" hidden="1">
      <c r="B802" s="800"/>
      <c r="C802" s="247"/>
      <c r="D802" s="246"/>
      <c r="E802" s="246"/>
      <c r="F802" s="248"/>
      <c r="G802" s="247"/>
      <c r="H802" s="247"/>
      <c r="I802" s="247"/>
      <c r="J802" s="247"/>
      <c r="K802" s="247"/>
      <c r="L802" s="247"/>
    </row>
    <row r="803" spans="2:12" hidden="1">
      <c r="B803" s="800"/>
      <c r="C803" s="247"/>
      <c r="D803" s="246"/>
      <c r="E803" s="246"/>
      <c r="F803" s="248"/>
      <c r="G803" s="247"/>
      <c r="H803" s="247"/>
      <c r="I803" s="247"/>
      <c r="J803" s="247"/>
      <c r="K803" s="247"/>
      <c r="L803" s="247"/>
    </row>
    <row r="804" spans="2:12" hidden="1">
      <c r="B804" s="800"/>
      <c r="C804" s="247"/>
      <c r="D804" s="246"/>
      <c r="E804" s="246"/>
      <c r="F804" s="248"/>
      <c r="G804" s="247"/>
      <c r="H804" s="247"/>
      <c r="I804" s="247"/>
      <c r="J804" s="247"/>
      <c r="K804" s="247"/>
      <c r="L804" s="247"/>
    </row>
    <row r="805" spans="2:12" hidden="1">
      <c r="B805" s="800"/>
      <c r="C805" s="247"/>
      <c r="D805" s="246"/>
      <c r="E805" s="246"/>
      <c r="F805" s="248"/>
      <c r="G805" s="247"/>
      <c r="H805" s="247"/>
      <c r="I805" s="247"/>
      <c r="J805" s="247"/>
      <c r="K805" s="247"/>
      <c r="L805" s="247"/>
    </row>
    <row r="806" spans="2:12" hidden="1">
      <c r="B806" s="800"/>
      <c r="C806" s="247"/>
      <c r="D806" s="246"/>
      <c r="E806" s="246"/>
      <c r="F806" s="248"/>
      <c r="G806" s="247"/>
      <c r="H806" s="247"/>
      <c r="I806" s="247"/>
      <c r="J806" s="247"/>
      <c r="K806" s="247"/>
      <c r="L806" s="247"/>
    </row>
    <row r="807" spans="2:12" hidden="1">
      <c r="B807" s="800"/>
      <c r="C807" s="247"/>
      <c r="D807" s="246"/>
      <c r="E807" s="246"/>
      <c r="F807" s="248"/>
      <c r="G807" s="247"/>
      <c r="H807" s="247"/>
      <c r="I807" s="247"/>
      <c r="J807" s="247"/>
      <c r="K807" s="247"/>
      <c r="L807" s="247"/>
    </row>
    <row r="808" spans="2:12" hidden="1">
      <c r="B808" s="800"/>
      <c r="C808" s="247"/>
      <c r="D808" s="246"/>
      <c r="E808" s="246"/>
      <c r="F808" s="248"/>
      <c r="G808" s="247"/>
      <c r="H808" s="247"/>
      <c r="I808" s="247"/>
      <c r="J808" s="247"/>
      <c r="K808" s="247"/>
      <c r="L808" s="247"/>
    </row>
    <row r="809" spans="2:12" hidden="1">
      <c r="B809" s="800"/>
      <c r="C809" s="247"/>
      <c r="D809" s="246"/>
      <c r="E809" s="246"/>
      <c r="F809" s="248"/>
      <c r="G809" s="247"/>
      <c r="H809" s="247"/>
      <c r="I809" s="247"/>
      <c r="J809" s="247"/>
      <c r="K809" s="247"/>
      <c r="L809" s="247"/>
    </row>
    <row r="810" spans="2:12" hidden="1">
      <c r="B810" s="800"/>
      <c r="C810" s="247"/>
      <c r="D810" s="246"/>
      <c r="E810" s="246"/>
      <c r="F810" s="248"/>
      <c r="G810" s="247"/>
      <c r="H810" s="247"/>
      <c r="I810" s="247"/>
      <c r="J810" s="247"/>
      <c r="K810" s="247"/>
      <c r="L810" s="247"/>
    </row>
    <row r="811" spans="2:12" ht="12.75" hidden="1" customHeight="1">
      <c r="B811" s="800"/>
      <c r="C811" s="247"/>
      <c r="D811" s="246"/>
      <c r="E811" s="246"/>
      <c r="F811" s="248"/>
      <c r="G811" s="247"/>
      <c r="H811" s="247"/>
      <c r="I811" s="247"/>
      <c r="J811" s="247"/>
      <c r="K811" s="247"/>
      <c r="L811" s="247"/>
    </row>
    <row r="812" spans="2:12" hidden="1">
      <c r="B812" s="800"/>
      <c r="C812" s="247"/>
      <c r="D812" s="246"/>
      <c r="E812" s="246"/>
      <c r="F812" s="248"/>
      <c r="G812" s="247"/>
      <c r="H812" s="247"/>
      <c r="I812" s="247"/>
      <c r="J812" s="247"/>
      <c r="K812" s="247"/>
      <c r="L812" s="247"/>
    </row>
    <row r="813" spans="2:12" hidden="1">
      <c r="B813" s="800"/>
      <c r="C813" s="247"/>
      <c r="D813" s="246"/>
      <c r="E813" s="246"/>
      <c r="F813" s="248"/>
      <c r="G813" s="247"/>
      <c r="H813" s="247"/>
      <c r="I813" s="247"/>
      <c r="J813" s="247"/>
      <c r="K813" s="247"/>
      <c r="L813" s="247"/>
    </row>
    <row r="814" spans="2:12" hidden="1">
      <c r="B814" s="800"/>
      <c r="C814" s="247"/>
      <c r="D814" s="246"/>
      <c r="E814" s="246"/>
      <c r="F814" s="248"/>
      <c r="G814" s="247"/>
      <c r="H814" s="247"/>
      <c r="I814" s="247"/>
      <c r="J814" s="247"/>
      <c r="K814" s="247"/>
      <c r="L814" s="247"/>
    </row>
    <row r="815" spans="2:12" hidden="1">
      <c r="B815" s="801" t="s">
        <v>1155</v>
      </c>
      <c r="C815" s="250" t="s">
        <v>870</v>
      </c>
      <c r="D815" s="249" t="s">
        <v>1156</v>
      </c>
      <c r="E815" s="249" t="s">
        <v>845</v>
      </c>
      <c r="F815" s="251">
        <v>700000000</v>
      </c>
      <c r="G815" s="250" t="s">
        <v>903</v>
      </c>
      <c r="H815" s="250" t="s">
        <v>523</v>
      </c>
      <c r="I815" s="250" t="s">
        <v>523</v>
      </c>
      <c r="J815" s="250"/>
      <c r="K815" s="250">
        <v>1</v>
      </c>
      <c r="L815" s="250" t="s">
        <v>947</v>
      </c>
    </row>
    <row r="816" spans="2:12" hidden="1">
      <c r="B816" s="446">
        <v>44719</v>
      </c>
      <c r="C816" s="253" t="s">
        <v>870</v>
      </c>
      <c r="D816" s="252" t="s">
        <v>1157</v>
      </c>
      <c r="E816" s="252" t="s">
        <v>845</v>
      </c>
      <c r="F816" s="251">
        <v>635000000</v>
      </c>
      <c r="G816" s="253" t="s">
        <v>903</v>
      </c>
      <c r="H816" s="253" t="s">
        <v>523</v>
      </c>
      <c r="I816" s="253" t="s">
        <v>523</v>
      </c>
      <c r="J816" s="253"/>
      <c r="K816" s="253">
        <v>1</v>
      </c>
      <c r="L816" s="253" t="s">
        <v>947</v>
      </c>
    </row>
    <row r="817" spans="2:12" hidden="1">
      <c r="B817" s="249"/>
      <c r="C817" s="250"/>
      <c r="D817" s="249"/>
      <c r="E817" s="249"/>
      <c r="F817" s="251"/>
      <c r="G817" s="250"/>
      <c r="H817" s="250"/>
      <c r="I817" s="250"/>
      <c r="J817" s="250"/>
      <c r="K817" s="250"/>
      <c r="L817" s="250"/>
    </row>
    <row r="818" spans="2:12" ht="18.75" hidden="1">
      <c r="B818" s="1054"/>
      <c r="C818" s="1055"/>
      <c r="D818" s="1055"/>
      <c r="E818" s="1055"/>
      <c r="F818" s="1055"/>
      <c r="G818" s="1055"/>
      <c r="H818" s="1055"/>
      <c r="I818" s="1056"/>
      <c r="J818" s="254">
        <f>SUM(J795:J817)</f>
        <v>4</v>
      </c>
      <c r="K818" s="254">
        <f>SUM(K815:K817)</f>
        <v>2</v>
      </c>
      <c r="L818" s="254"/>
    </row>
    <row r="819" spans="2:12" hidden="1">
      <c r="B819"/>
    </row>
    <row r="820" spans="2:12" hidden="1">
      <c r="B820"/>
    </row>
    <row r="821" spans="2:12" hidden="1">
      <c r="B821"/>
    </row>
    <row r="822" spans="2:12" ht="18.75" hidden="1">
      <c r="B822" s="974" t="s">
        <v>1158</v>
      </c>
      <c r="C822" s="975"/>
      <c r="D822" s="975"/>
      <c r="E822" s="975"/>
      <c r="F822" s="975"/>
      <c r="G822" s="975"/>
      <c r="H822" s="975"/>
      <c r="I822" s="975"/>
      <c r="J822" s="975"/>
      <c r="K822" s="975"/>
      <c r="L822" s="975"/>
    </row>
    <row r="823" spans="2:12" ht="15.75" hidden="1">
      <c r="B823" s="314" t="s">
        <v>507</v>
      </c>
      <c r="C823" s="314" t="s">
        <v>508</v>
      </c>
      <c r="D823" s="314" t="s">
        <v>509</v>
      </c>
      <c r="E823" s="314" t="s">
        <v>510</v>
      </c>
      <c r="F823" s="314" t="s">
        <v>511</v>
      </c>
      <c r="G823" s="314" t="s">
        <v>512</v>
      </c>
      <c r="H823" s="314" t="s">
        <v>513</v>
      </c>
      <c r="I823" s="314" t="s">
        <v>514</v>
      </c>
      <c r="J823" s="314" t="s">
        <v>915</v>
      </c>
      <c r="K823" s="314" t="s">
        <v>914</v>
      </c>
      <c r="L823" s="314" t="s">
        <v>940</v>
      </c>
    </row>
    <row r="824" spans="2:12" hidden="1">
      <c r="B824" s="802" t="s">
        <v>1138</v>
      </c>
      <c r="C824" s="279" t="s">
        <v>870</v>
      </c>
      <c r="D824" s="278" t="s">
        <v>1159</v>
      </c>
      <c r="E824" s="278" t="s">
        <v>526</v>
      </c>
      <c r="F824" s="280">
        <v>3000000</v>
      </c>
      <c r="G824" s="279" t="s">
        <v>903</v>
      </c>
      <c r="H824" s="279" t="s">
        <v>523</v>
      </c>
      <c r="I824" s="279" t="s">
        <v>523</v>
      </c>
      <c r="J824" s="279">
        <v>1</v>
      </c>
      <c r="K824" s="279"/>
      <c r="L824" s="279" t="s">
        <v>138</v>
      </c>
    </row>
    <row r="825" spans="2:12" hidden="1">
      <c r="B825" s="802" t="s">
        <v>1138</v>
      </c>
      <c r="C825" s="279" t="s">
        <v>870</v>
      </c>
      <c r="D825" s="246" t="s">
        <v>1160</v>
      </c>
      <c r="E825" s="246" t="s">
        <v>634</v>
      </c>
      <c r="F825" s="248">
        <v>9000000</v>
      </c>
      <c r="G825" s="247" t="s">
        <v>903</v>
      </c>
      <c r="H825" s="247" t="s">
        <v>523</v>
      </c>
      <c r="I825" s="247" t="s">
        <v>523</v>
      </c>
      <c r="J825" s="247">
        <v>1</v>
      </c>
      <c r="K825" s="247"/>
      <c r="L825" s="247" t="s">
        <v>124</v>
      </c>
    </row>
    <row r="826" spans="2:12" hidden="1">
      <c r="B826" s="802" t="s">
        <v>1138</v>
      </c>
      <c r="C826" s="279" t="s">
        <v>870</v>
      </c>
      <c r="D826" s="246" t="s">
        <v>1161</v>
      </c>
      <c r="E826" s="246" t="s">
        <v>619</v>
      </c>
      <c r="F826" s="248">
        <v>15000000</v>
      </c>
      <c r="G826" s="247" t="s">
        <v>1162</v>
      </c>
      <c r="H826" s="247" t="s">
        <v>528</v>
      </c>
      <c r="I826" s="247" t="s">
        <v>523</v>
      </c>
      <c r="J826" s="247">
        <v>1</v>
      </c>
      <c r="K826" s="247"/>
      <c r="L826" s="247"/>
    </row>
    <row r="827" spans="2:12" hidden="1">
      <c r="B827" s="802" t="s">
        <v>1138</v>
      </c>
      <c r="C827" s="279" t="s">
        <v>870</v>
      </c>
      <c r="D827" s="246" t="s">
        <v>1163</v>
      </c>
      <c r="E827" s="246" t="s">
        <v>866</v>
      </c>
      <c r="F827" s="248">
        <v>4500000</v>
      </c>
      <c r="G827" s="247" t="s">
        <v>672</v>
      </c>
      <c r="H827" s="247" t="s">
        <v>523</v>
      </c>
      <c r="I827" s="247" t="s">
        <v>523</v>
      </c>
      <c r="J827" s="247">
        <v>1</v>
      </c>
      <c r="K827" s="247"/>
      <c r="L827" s="247"/>
    </row>
    <row r="828" spans="2:12" hidden="1">
      <c r="B828" s="802" t="s">
        <v>1138</v>
      </c>
      <c r="C828" s="279" t="s">
        <v>870</v>
      </c>
      <c r="D828" s="246" t="s">
        <v>1164</v>
      </c>
      <c r="E828" s="246" t="s">
        <v>764</v>
      </c>
      <c r="F828" s="248">
        <v>1800000</v>
      </c>
      <c r="G828" s="247" t="s">
        <v>798</v>
      </c>
      <c r="H828" s="247" t="s">
        <v>528</v>
      </c>
      <c r="I828" s="247" t="s">
        <v>523</v>
      </c>
      <c r="J828" s="247">
        <v>1</v>
      </c>
      <c r="K828" s="247"/>
      <c r="L828" s="247"/>
    </row>
    <row r="829" spans="2:12" hidden="1">
      <c r="B829" s="802" t="s">
        <v>1138</v>
      </c>
      <c r="C829" s="279" t="s">
        <v>870</v>
      </c>
      <c r="D829" s="246" t="s">
        <v>1165</v>
      </c>
      <c r="E829" s="246" t="s">
        <v>625</v>
      </c>
      <c r="F829" s="248">
        <v>3200000</v>
      </c>
      <c r="G829" s="247" t="s">
        <v>741</v>
      </c>
      <c r="H829" s="247" t="s">
        <v>528</v>
      </c>
      <c r="I829" s="247" t="s">
        <v>523</v>
      </c>
      <c r="J829" s="247">
        <v>1</v>
      </c>
      <c r="K829" s="247"/>
      <c r="L829" s="247"/>
    </row>
    <row r="830" spans="2:12" hidden="1">
      <c r="B830" s="802" t="s">
        <v>1138</v>
      </c>
      <c r="C830" s="279" t="s">
        <v>870</v>
      </c>
      <c r="D830" s="246" t="s">
        <v>1166</v>
      </c>
      <c r="E830" s="246" t="s">
        <v>1167</v>
      </c>
      <c r="F830" s="248">
        <v>1800000</v>
      </c>
      <c r="G830" s="247" t="s">
        <v>1168</v>
      </c>
      <c r="H830" s="247" t="s">
        <v>523</v>
      </c>
      <c r="I830" s="247" t="s">
        <v>523</v>
      </c>
      <c r="J830" s="247">
        <v>1</v>
      </c>
      <c r="K830" s="247"/>
      <c r="L830" s="247"/>
    </row>
    <row r="831" spans="2:12" hidden="1">
      <c r="B831" s="802" t="s">
        <v>1138</v>
      </c>
      <c r="C831" s="279" t="s">
        <v>870</v>
      </c>
      <c r="D831" s="246" t="s">
        <v>1169</v>
      </c>
      <c r="E831" s="246" t="s">
        <v>625</v>
      </c>
      <c r="F831" s="248">
        <v>1500000</v>
      </c>
      <c r="G831" s="247" t="s">
        <v>202</v>
      </c>
      <c r="H831" s="247" t="s">
        <v>523</v>
      </c>
      <c r="I831" s="247" t="s">
        <v>523</v>
      </c>
      <c r="J831" s="247">
        <v>1</v>
      </c>
      <c r="K831" s="247"/>
      <c r="L831" s="247"/>
    </row>
    <row r="832" spans="2:12" hidden="1">
      <c r="B832" s="803" t="s">
        <v>1138</v>
      </c>
      <c r="C832" s="519" t="s">
        <v>1170</v>
      </c>
      <c r="D832" s="518" t="s">
        <v>1171</v>
      </c>
      <c r="E832" s="518" t="s">
        <v>526</v>
      </c>
      <c r="F832" s="520">
        <v>625000000</v>
      </c>
      <c r="G832" s="519" t="s">
        <v>741</v>
      </c>
      <c r="H832" s="519" t="s">
        <v>528</v>
      </c>
      <c r="I832" s="519" t="s">
        <v>523</v>
      </c>
      <c r="J832" s="519">
        <v>1</v>
      </c>
      <c r="K832" s="519"/>
      <c r="L832" s="519" t="s">
        <v>1172</v>
      </c>
    </row>
    <row r="833" spans="2:12" ht="18.75" hidden="1">
      <c r="B833" s="1057"/>
      <c r="C833" s="1057"/>
      <c r="D833" s="1057"/>
      <c r="E833" s="1057"/>
      <c r="F833" s="1057"/>
      <c r="G833" s="1057"/>
      <c r="H833" s="1057"/>
      <c r="I833" s="1057"/>
      <c r="J833" s="804">
        <f>SUM(J824:J832)</f>
        <v>9</v>
      </c>
      <c r="K833" s="804">
        <f>SUM(K832)</f>
        <v>0</v>
      </c>
      <c r="L833" s="804"/>
    </row>
    <row r="834" spans="2:12" hidden="1">
      <c r="B834"/>
    </row>
    <row r="835" spans="2:12" ht="18.75" hidden="1">
      <c r="B835" s="974" t="s">
        <v>1173</v>
      </c>
      <c r="C835" s="975"/>
      <c r="D835" s="975"/>
      <c r="E835" s="975"/>
      <c r="F835" s="975"/>
      <c r="G835" s="975"/>
      <c r="H835" s="975"/>
      <c r="I835" s="975"/>
      <c r="J835" s="975"/>
      <c r="K835" s="975"/>
      <c r="L835" s="975"/>
    </row>
    <row r="836" spans="2:12" ht="15.75" hidden="1">
      <c r="B836" s="314" t="s">
        <v>507</v>
      </c>
      <c r="C836" s="314" t="s">
        <v>508</v>
      </c>
      <c r="D836" s="314" t="s">
        <v>509</v>
      </c>
      <c r="E836" s="314" t="s">
        <v>510</v>
      </c>
      <c r="F836" s="314" t="s">
        <v>511</v>
      </c>
      <c r="G836" s="314" t="s">
        <v>512</v>
      </c>
      <c r="H836" s="314" t="s">
        <v>513</v>
      </c>
      <c r="I836" s="314" t="s">
        <v>514</v>
      </c>
      <c r="J836" s="314" t="s">
        <v>915</v>
      </c>
      <c r="K836" s="314" t="s">
        <v>914</v>
      </c>
      <c r="L836" s="314" t="s">
        <v>940</v>
      </c>
    </row>
    <row r="837" spans="2:12" hidden="1">
      <c r="B837" s="278"/>
      <c r="C837" s="279"/>
      <c r="D837" s="278"/>
      <c r="E837" s="278"/>
      <c r="F837" s="280"/>
      <c r="G837" s="279"/>
      <c r="H837" s="279"/>
      <c r="I837" s="279"/>
      <c r="J837" s="279"/>
      <c r="K837" s="279"/>
      <c r="L837" s="279"/>
    </row>
    <row r="838" spans="2:12" ht="12.75" hidden="1" customHeight="1">
      <c r="B838" s="431"/>
      <c r="C838" s="247"/>
      <c r="D838" s="246"/>
      <c r="E838" s="246"/>
      <c r="F838" s="248"/>
      <c r="G838" s="247"/>
      <c r="H838" s="247"/>
      <c r="I838" s="247"/>
      <c r="J838" s="247"/>
      <c r="K838" s="247"/>
      <c r="L838" s="247"/>
    </row>
    <row r="839" spans="2:12" hidden="1">
      <c r="B839" s="800"/>
      <c r="C839" s="247"/>
      <c r="D839" s="246"/>
      <c r="E839" s="246"/>
      <c r="F839" s="248"/>
      <c r="G839" s="247"/>
      <c r="H839" s="247"/>
      <c r="I839" s="247"/>
      <c r="J839" s="247"/>
      <c r="K839" s="247"/>
      <c r="L839" s="247"/>
    </row>
    <row r="840" spans="2:12" hidden="1">
      <c r="B840" s="800"/>
      <c r="C840" s="247"/>
      <c r="D840" s="246"/>
      <c r="E840" s="246"/>
      <c r="F840" s="248"/>
      <c r="G840" s="247"/>
      <c r="H840" s="247"/>
      <c r="I840" s="247"/>
      <c r="J840" s="247"/>
      <c r="K840" s="247"/>
      <c r="L840" s="247"/>
    </row>
    <row r="841" spans="2:12" hidden="1">
      <c r="B841" s="800"/>
      <c r="C841" s="247"/>
      <c r="D841" s="246"/>
      <c r="E841" s="246"/>
      <c r="F841" s="248"/>
      <c r="G841" s="247"/>
      <c r="H841" s="247"/>
      <c r="I841" s="247"/>
      <c r="J841" s="247"/>
      <c r="K841" s="247"/>
      <c r="L841" s="247"/>
    </row>
    <row r="842" spans="2:12" ht="18.75" hidden="1">
      <c r="B842" s="1054"/>
      <c r="C842" s="1055"/>
      <c r="D842" s="1055"/>
      <c r="E842" s="1055"/>
      <c r="F842" s="1055"/>
      <c r="G842" s="1055"/>
      <c r="H842" s="1055"/>
      <c r="I842" s="1056"/>
      <c r="J842" s="254">
        <f>SUM(J837:J841)</f>
        <v>0</v>
      </c>
      <c r="K842" s="254"/>
      <c r="L842" s="254"/>
    </row>
    <row r="844" spans="2:12" ht="31.5">
      <c r="B844" s="918" t="s">
        <v>444</v>
      </c>
      <c r="C844" s="919"/>
      <c r="D844" s="919"/>
      <c r="E844" s="919"/>
      <c r="F844" s="919"/>
      <c r="G844" s="919"/>
      <c r="H844" s="919"/>
      <c r="I844" s="919"/>
      <c r="J844" s="919"/>
      <c r="K844" s="919"/>
      <c r="L844" s="920"/>
    </row>
    <row r="845" spans="2:12" hidden="1">
      <c r="B845"/>
    </row>
    <row r="846" spans="2:12" ht="18.75" hidden="1">
      <c r="B846" s="974" t="s">
        <v>1174</v>
      </c>
      <c r="C846" s="975"/>
      <c r="D846" s="975"/>
      <c r="E846" s="975"/>
      <c r="F846" s="975"/>
      <c r="G846" s="975"/>
      <c r="H846" s="975"/>
      <c r="I846" s="975"/>
      <c r="J846" s="975"/>
      <c r="K846" s="975"/>
      <c r="L846" s="975"/>
    </row>
    <row r="847" spans="2:12" ht="18.75" hidden="1">
      <c r="B847" s="245" t="s">
        <v>507</v>
      </c>
      <c r="C847" s="245" t="s">
        <v>508</v>
      </c>
      <c r="D847" s="245" t="s">
        <v>509</v>
      </c>
      <c r="E847" s="245" t="s">
        <v>510</v>
      </c>
      <c r="F847" s="245" t="s">
        <v>511</v>
      </c>
      <c r="G847" s="245" t="s">
        <v>512</v>
      </c>
      <c r="H847" s="245" t="s">
        <v>513</v>
      </c>
      <c r="I847" s="245" t="s">
        <v>514</v>
      </c>
      <c r="J847" s="245" t="s">
        <v>915</v>
      </c>
      <c r="K847" s="245" t="s">
        <v>914</v>
      </c>
      <c r="L847" s="245" t="s">
        <v>940</v>
      </c>
    </row>
    <row r="848" spans="2:12" hidden="1">
      <c r="B848" s="802">
        <v>44569</v>
      </c>
      <c r="C848" s="279" t="s">
        <v>870</v>
      </c>
      <c r="D848" s="278" t="s">
        <v>1175</v>
      </c>
      <c r="E848" s="278" t="s">
        <v>658</v>
      </c>
      <c r="F848" s="280">
        <v>4700000</v>
      </c>
      <c r="G848" s="279" t="s">
        <v>903</v>
      </c>
      <c r="H848" s="279" t="s">
        <v>523</v>
      </c>
      <c r="I848" s="279" t="s">
        <v>523</v>
      </c>
      <c r="J848" s="279">
        <v>1</v>
      </c>
      <c r="K848" s="279"/>
      <c r="L848" s="279"/>
    </row>
    <row r="849" spans="2:12" hidden="1">
      <c r="B849" s="802">
        <v>44600</v>
      </c>
      <c r="C849" s="247" t="s">
        <v>870</v>
      </c>
      <c r="D849" s="246" t="s">
        <v>1176</v>
      </c>
      <c r="E849" s="246" t="s">
        <v>578</v>
      </c>
      <c r="F849" s="248">
        <v>2500000</v>
      </c>
      <c r="G849" s="247" t="s">
        <v>903</v>
      </c>
      <c r="H849" s="247" t="s">
        <v>523</v>
      </c>
      <c r="I849" s="247" t="s">
        <v>523</v>
      </c>
      <c r="J849" s="247">
        <v>1</v>
      </c>
      <c r="K849" s="247"/>
      <c r="L849" s="247" t="s">
        <v>124</v>
      </c>
    </row>
    <row r="850" spans="2:12" hidden="1">
      <c r="B850" s="278"/>
      <c r="C850" s="247"/>
      <c r="D850" s="246"/>
      <c r="E850" s="246"/>
      <c r="F850" s="248"/>
      <c r="G850" s="247"/>
      <c r="H850" s="247"/>
      <c r="I850" s="247"/>
      <c r="J850" s="247"/>
      <c r="K850" s="247"/>
      <c r="L850" s="247"/>
    </row>
    <row r="851" spans="2:12" hidden="1">
      <c r="B851" s="800"/>
      <c r="C851" s="247"/>
      <c r="D851" s="246"/>
      <c r="E851" s="246"/>
      <c r="F851" s="248"/>
      <c r="G851" s="247"/>
      <c r="H851" s="247"/>
      <c r="I851" s="247"/>
      <c r="J851" s="247"/>
      <c r="K851" s="247"/>
      <c r="L851" s="247"/>
    </row>
    <row r="852" spans="2:12" hidden="1">
      <c r="B852" s="431"/>
      <c r="C852" s="247"/>
      <c r="D852" s="246"/>
      <c r="E852" s="246"/>
      <c r="F852" s="248"/>
      <c r="G852" s="247"/>
      <c r="H852" s="247"/>
      <c r="I852" s="247"/>
      <c r="J852" s="247"/>
      <c r="K852" s="247"/>
      <c r="L852" s="247"/>
    </row>
    <row r="853" spans="2:12" hidden="1">
      <c r="B853" s="431"/>
      <c r="C853" s="247"/>
      <c r="D853" s="246"/>
      <c r="E853" s="246"/>
      <c r="F853" s="248"/>
      <c r="G853" s="247"/>
      <c r="H853" s="247"/>
      <c r="I853" s="247"/>
      <c r="J853" s="247"/>
      <c r="K853" s="247"/>
      <c r="L853" s="247"/>
    </row>
    <row r="854" spans="2:12" hidden="1">
      <c r="B854" s="431"/>
      <c r="C854" s="247"/>
      <c r="D854" s="246"/>
      <c r="E854" s="246"/>
      <c r="F854" s="248"/>
      <c r="G854" s="247"/>
      <c r="H854" s="247"/>
      <c r="I854" s="247"/>
      <c r="J854" s="247"/>
      <c r="K854" s="247"/>
      <c r="L854" s="247"/>
    </row>
    <row r="855" spans="2:12" hidden="1">
      <c r="B855" s="431"/>
      <c r="C855" s="247"/>
      <c r="D855" s="246"/>
      <c r="E855" s="246"/>
      <c r="F855" s="248"/>
      <c r="G855" s="247"/>
      <c r="H855" s="247"/>
      <c r="I855" s="247"/>
      <c r="J855" s="247"/>
      <c r="K855" s="247"/>
      <c r="L855" s="247"/>
    </row>
    <row r="856" spans="2:12" hidden="1">
      <c r="B856" s="431"/>
      <c r="C856" s="247"/>
      <c r="D856" s="246"/>
      <c r="E856" s="246"/>
      <c r="F856" s="248"/>
      <c r="G856" s="247"/>
      <c r="H856" s="247"/>
      <c r="I856" s="247"/>
      <c r="J856" s="247"/>
      <c r="K856" s="247"/>
      <c r="L856" s="247"/>
    </row>
    <row r="857" spans="2:12" hidden="1">
      <c r="B857" s="431"/>
      <c r="C857" s="247"/>
      <c r="D857" s="246"/>
      <c r="E857" s="246"/>
      <c r="F857" s="248"/>
      <c r="G857" s="247"/>
      <c r="H857" s="247"/>
      <c r="I857" s="247"/>
      <c r="J857" s="247"/>
      <c r="K857" s="247"/>
      <c r="L857" s="247"/>
    </row>
    <row r="858" spans="2:12" hidden="1">
      <c r="B858" s="431"/>
      <c r="C858" s="247"/>
      <c r="D858" s="246"/>
      <c r="E858" s="246"/>
      <c r="F858" s="248"/>
      <c r="G858" s="247"/>
      <c r="H858" s="247"/>
      <c r="I858" s="247"/>
      <c r="J858" s="247"/>
      <c r="K858" s="247"/>
      <c r="L858" s="247"/>
    </row>
    <row r="859" spans="2:12" hidden="1">
      <c r="B859" s="431"/>
      <c r="C859" s="247"/>
      <c r="D859" s="246"/>
      <c r="E859" s="246"/>
      <c r="F859" s="248"/>
      <c r="G859" s="247"/>
      <c r="H859" s="247"/>
      <c r="I859" s="247"/>
      <c r="J859" s="247"/>
      <c r="K859" s="247"/>
      <c r="L859" s="247"/>
    </row>
    <row r="860" spans="2:12" hidden="1">
      <c r="B860" s="800"/>
      <c r="C860" s="247"/>
      <c r="D860" s="246"/>
      <c r="E860" s="246"/>
      <c r="F860" s="248"/>
      <c r="G860" s="247"/>
      <c r="H860" s="247"/>
      <c r="I860" s="247"/>
      <c r="J860" s="247"/>
      <c r="K860" s="247"/>
      <c r="L860" s="247"/>
    </row>
    <row r="861" spans="2:12" hidden="1">
      <c r="B861" s="800"/>
      <c r="C861" s="247"/>
      <c r="D861" s="246"/>
      <c r="E861" s="246"/>
      <c r="F861" s="248"/>
      <c r="G861" s="247"/>
      <c r="H861" s="247"/>
      <c r="I861" s="247"/>
      <c r="J861" s="247"/>
      <c r="K861" s="247"/>
      <c r="L861" s="247"/>
    </row>
    <row r="862" spans="2:12" hidden="1">
      <c r="B862" s="246"/>
      <c r="C862" s="247"/>
      <c r="D862" s="246"/>
      <c r="E862" s="246"/>
      <c r="F862" s="248"/>
      <c r="G862" s="247"/>
      <c r="H862" s="247"/>
      <c r="I862" s="247"/>
      <c r="J862" s="247"/>
      <c r="K862" s="247"/>
      <c r="L862" s="247"/>
    </row>
    <row r="863" spans="2:12" hidden="1">
      <c r="B863" s="246"/>
      <c r="C863" s="247"/>
      <c r="D863" s="246"/>
      <c r="E863" s="246"/>
      <c r="F863" s="248"/>
      <c r="G863" s="247"/>
      <c r="H863" s="247"/>
      <c r="I863" s="247"/>
      <c r="J863" s="247"/>
      <c r="K863" s="247"/>
      <c r="L863" s="247"/>
    </row>
    <row r="864" spans="2:12" hidden="1">
      <c r="B864" s="246"/>
      <c r="C864" s="247"/>
      <c r="D864" s="246"/>
      <c r="E864" s="246"/>
      <c r="F864" s="248"/>
      <c r="G864" s="247"/>
      <c r="H864" s="247"/>
      <c r="I864" s="247"/>
      <c r="J864" s="247"/>
      <c r="K864" s="247"/>
      <c r="L864" s="247"/>
    </row>
    <row r="865" spans="2:12" hidden="1">
      <c r="B865" s="246"/>
      <c r="C865" s="247"/>
      <c r="D865" s="246"/>
      <c r="E865" s="246"/>
      <c r="F865" s="248"/>
      <c r="G865" s="247"/>
      <c r="H865" s="247"/>
      <c r="I865" s="247"/>
      <c r="J865" s="247"/>
      <c r="K865" s="247"/>
      <c r="L865" s="247"/>
    </row>
    <row r="866" spans="2:12" hidden="1">
      <c r="B866" s="246"/>
      <c r="C866" s="247"/>
      <c r="D866" s="246"/>
      <c r="E866" s="246"/>
      <c r="F866" s="248"/>
      <c r="G866" s="247"/>
      <c r="H866" s="247"/>
      <c r="I866" s="247"/>
      <c r="J866" s="247"/>
      <c r="K866" s="247"/>
      <c r="L866" s="247"/>
    </row>
    <row r="867" spans="2:12" hidden="1">
      <c r="B867" s="246"/>
      <c r="C867" s="247"/>
      <c r="D867" s="246"/>
      <c r="E867" s="246"/>
      <c r="F867" s="248"/>
      <c r="G867" s="247"/>
      <c r="H867" s="247"/>
      <c r="I867" s="247"/>
      <c r="J867" s="247"/>
      <c r="K867" s="247"/>
      <c r="L867" s="247"/>
    </row>
    <row r="868" spans="2:12" hidden="1">
      <c r="B868" s="801"/>
      <c r="C868" s="250"/>
      <c r="D868" s="249"/>
      <c r="E868" s="249"/>
      <c r="F868" s="251"/>
      <c r="G868" s="250"/>
      <c r="H868" s="250"/>
      <c r="I868" s="250"/>
      <c r="J868" s="250"/>
      <c r="K868" s="250"/>
      <c r="L868" s="250"/>
    </row>
    <row r="869" spans="2:12" hidden="1">
      <c r="B869" s="801"/>
      <c r="C869" s="250"/>
      <c r="D869" s="252"/>
      <c r="E869" s="252"/>
      <c r="F869" s="251"/>
      <c r="G869" s="253"/>
      <c r="H869" s="253"/>
      <c r="I869" s="253"/>
      <c r="J869" s="253"/>
      <c r="K869" s="253"/>
      <c r="L869" s="253"/>
    </row>
    <row r="870" spans="2:12" hidden="1">
      <c r="B870" s="801"/>
      <c r="C870" s="250"/>
      <c r="D870" s="249"/>
      <c r="E870" s="249"/>
      <c r="F870" s="251"/>
      <c r="G870" s="250"/>
      <c r="H870" s="250"/>
      <c r="I870" s="250"/>
      <c r="J870" s="250"/>
      <c r="K870" s="250"/>
      <c r="L870" s="250"/>
    </row>
    <row r="871" spans="2:12" ht="18.75" hidden="1">
      <c r="B871" s="1051"/>
      <c r="C871" s="1052"/>
      <c r="D871" s="1052"/>
      <c r="E871" s="1052"/>
      <c r="F871" s="1052"/>
      <c r="G871" s="1052"/>
      <c r="H871" s="1052"/>
      <c r="I871" s="1053"/>
      <c r="J871" s="254"/>
      <c r="K871" s="254"/>
      <c r="L871" s="254"/>
    </row>
    <row r="872" spans="2:12" hidden="1">
      <c r="B872"/>
    </row>
    <row r="873" spans="2:12" hidden="1">
      <c r="B873"/>
    </row>
    <row r="874" spans="2:12" ht="18.75" hidden="1">
      <c r="B874" s="974" t="s">
        <v>1177</v>
      </c>
      <c r="C874" s="975"/>
      <c r="D874" s="975"/>
      <c r="E874" s="975"/>
      <c r="F874" s="975"/>
      <c r="G874" s="975"/>
      <c r="H874" s="975"/>
      <c r="I874" s="975"/>
      <c r="J874" s="975"/>
      <c r="K874" s="975"/>
      <c r="L874" s="975"/>
    </row>
    <row r="875" spans="2:12" ht="15.75" hidden="1">
      <c r="B875" s="314" t="s">
        <v>507</v>
      </c>
      <c r="C875" s="314" t="s">
        <v>508</v>
      </c>
      <c r="D875" s="314" t="s">
        <v>509</v>
      </c>
      <c r="E875" s="314" t="s">
        <v>510</v>
      </c>
      <c r="F875" s="314" t="s">
        <v>511</v>
      </c>
      <c r="G875" s="314" t="s">
        <v>512</v>
      </c>
      <c r="H875" s="314" t="s">
        <v>513</v>
      </c>
      <c r="I875" s="314" t="s">
        <v>514</v>
      </c>
      <c r="J875" s="314" t="s">
        <v>915</v>
      </c>
      <c r="K875" s="314" t="s">
        <v>914</v>
      </c>
      <c r="L875" s="314" t="s">
        <v>940</v>
      </c>
    </row>
    <row r="876" spans="2:12" hidden="1">
      <c r="B876" s="448" t="s">
        <v>1178</v>
      </c>
      <c r="C876" s="279" t="s">
        <v>870</v>
      </c>
      <c r="D876" s="278" t="s">
        <v>1179</v>
      </c>
      <c r="E876" s="278" t="s">
        <v>526</v>
      </c>
      <c r="F876" s="280">
        <v>3000000</v>
      </c>
      <c r="G876" s="279" t="s">
        <v>903</v>
      </c>
      <c r="H876" s="279" t="s">
        <v>523</v>
      </c>
      <c r="I876" s="279" t="s">
        <v>523</v>
      </c>
      <c r="J876" s="279">
        <v>1</v>
      </c>
      <c r="K876" s="279"/>
      <c r="L876" s="279"/>
    </row>
    <row r="877" spans="2:12" hidden="1">
      <c r="B877" s="448" t="s">
        <v>1178</v>
      </c>
      <c r="C877" s="247" t="s">
        <v>870</v>
      </c>
      <c r="D877" s="246" t="s">
        <v>1180</v>
      </c>
      <c r="E877" s="246" t="s">
        <v>625</v>
      </c>
      <c r="F877" s="248">
        <v>3200000</v>
      </c>
      <c r="G877" s="247" t="s">
        <v>903</v>
      </c>
      <c r="H877" s="247" t="s">
        <v>523</v>
      </c>
      <c r="I877" s="247" t="s">
        <v>523</v>
      </c>
      <c r="J877" s="247">
        <v>1</v>
      </c>
      <c r="K877" s="247"/>
      <c r="L877" s="247"/>
    </row>
    <row r="878" spans="2:12" hidden="1">
      <c r="B878" s="431">
        <v>44600</v>
      </c>
      <c r="C878" s="247" t="s">
        <v>870</v>
      </c>
      <c r="D878" s="246" t="s">
        <v>1181</v>
      </c>
      <c r="E878" s="246" t="s">
        <v>866</v>
      </c>
      <c r="F878" s="248">
        <v>5000000</v>
      </c>
      <c r="G878" s="247" t="s">
        <v>903</v>
      </c>
      <c r="H878" s="247" t="s">
        <v>523</v>
      </c>
      <c r="I878" s="247" t="s">
        <v>523</v>
      </c>
      <c r="J878" s="247">
        <v>1</v>
      </c>
      <c r="K878" s="247"/>
      <c r="L878" s="247" t="s">
        <v>190</v>
      </c>
    </row>
    <row r="879" spans="2:12" hidden="1">
      <c r="B879" s="431">
        <v>44600</v>
      </c>
      <c r="C879" s="247" t="s">
        <v>870</v>
      </c>
      <c r="D879" s="246" t="s">
        <v>1182</v>
      </c>
      <c r="E879" s="246" t="s">
        <v>1183</v>
      </c>
      <c r="F879" s="248">
        <v>2700000</v>
      </c>
      <c r="G879" s="247" t="s">
        <v>741</v>
      </c>
      <c r="H879" s="247" t="s">
        <v>523</v>
      </c>
      <c r="I879" s="247" t="s">
        <v>523</v>
      </c>
      <c r="J879" s="247">
        <v>1</v>
      </c>
      <c r="K879" s="247"/>
      <c r="L879" s="247" t="s">
        <v>124</v>
      </c>
    </row>
    <row r="880" spans="2:12" hidden="1">
      <c r="B880" s="800"/>
      <c r="C880" s="247"/>
      <c r="D880" s="246"/>
      <c r="E880" s="246"/>
      <c r="F880" s="248"/>
      <c r="G880" s="247"/>
      <c r="H880" s="247"/>
      <c r="I880" s="247"/>
      <c r="J880" s="247"/>
      <c r="K880" s="247"/>
      <c r="L880" s="247"/>
    </row>
    <row r="881" spans="2:12" hidden="1">
      <c r="B881" s="431"/>
      <c r="C881" s="247"/>
      <c r="D881" s="246"/>
      <c r="E881" s="246"/>
      <c r="F881" s="248"/>
      <c r="G881" s="247"/>
      <c r="H881" s="247"/>
      <c r="I881" s="247"/>
      <c r="J881" s="247"/>
      <c r="K881" s="247"/>
      <c r="L881" s="247"/>
    </row>
    <row r="882" spans="2:12" hidden="1">
      <c r="B882" s="431"/>
      <c r="C882" s="247"/>
      <c r="D882" s="246"/>
      <c r="E882" s="246"/>
      <c r="F882" s="248"/>
      <c r="G882" s="247"/>
      <c r="H882" s="247"/>
      <c r="I882" s="247"/>
      <c r="J882" s="247"/>
      <c r="K882" s="247"/>
      <c r="L882" s="247"/>
    </row>
    <row r="883" spans="2:12" hidden="1">
      <c r="B883" s="431"/>
      <c r="C883" s="247"/>
      <c r="D883" s="246"/>
      <c r="E883" s="246"/>
      <c r="F883" s="248"/>
      <c r="G883" s="247"/>
      <c r="H883" s="247"/>
      <c r="I883" s="247"/>
      <c r="J883" s="247"/>
      <c r="K883" s="247"/>
      <c r="L883" s="247"/>
    </row>
    <row r="884" spans="2:12" hidden="1">
      <c r="B884" s="800"/>
      <c r="C884" s="247"/>
      <c r="D884" s="246"/>
      <c r="E884" s="246"/>
      <c r="F884" s="248"/>
      <c r="G884" s="247"/>
      <c r="H884" s="247"/>
      <c r="I884" s="247"/>
      <c r="J884" s="247"/>
      <c r="K884" s="247"/>
      <c r="L884" s="247"/>
    </row>
    <row r="885" spans="2:12" hidden="1">
      <c r="B885" s="800"/>
      <c r="C885" s="247"/>
      <c r="D885" s="246"/>
      <c r="E885" s="246"/>
      <c r="F885" s="248"/>
      <c r="G885" s="247"/>
      <c r="H885" s="247"/>
      <c r="I885" s="247"/>
      <c r="J885" s="247"/>
      <c r="K885" s="247"/>
      <c r="L885" s="247"/>
    </row>
    <row r="886" spans="2:12" hidden="1">
      <c r="B886" s="800"/>
      <c r="C886" s="247"/>
      <c r="D886" s="246"/>
      <c r="E886" s="246"/>
      <c r="F886" s="248"/>
      <c r="G886" s="247"/>
      <c r="H886" s="247"/>
      <c r="I886" s="247"/>
      <c r="J886" s="247"/>
      <c r="K886" s="247"/>
      <c r="L886" s="247"/>
    </row>
    <row r="887" spans="2:12" hidden="1">
      <c r="B887" s="800"/>
      <c r="C887" s="247"/>
      <c r="D887" s="246"/>
      <c r="E887" s="246"/>
      <c r="F887" s="248"/>
      <c r="G887" s="247"/>
      <c r="H887" s="247"/>
      <c r="I887" s="247"/>
      <c r="J887" s="247"/>
      <c r="K887" s="247"/>
      <c r="L887" s="247"/>
    </row>
    <row r="888" spans="2:12" hidden="1">
      <c r="B888" s="800"/>
      <c r="C888" s="247"/>
      <c r="D888" s="246"/>
      <c r="E888" s="246"/>
      <c r="F888" s="248"/>
      <c r="G888" s="247"/>
      <c r="H888" s="247"/>
      <c r="I888" s="247"/>
      <c r="J888" s="247"/>
      <c r="K888" s="247"/>
      <c r="L888" s="247"/>
    </row>
    <row r="889" spans="2:12" hidden="1">
      <c r="B889" s="801"/>
      <c r="C889" s="250"/>
      <c r="D889" s="249"/>
      <c r="E889" s="249"/>
      <c r="F889" s="251"/>
      <c r="G889" s="250"/>
      <c r="H889" s="250"/>
      <c r="I889" s="250"/>
      <c r="J889" s="250"/>
      <c r="K889" s="250"/>
      <c r="L889" s="250"/>
    </row>
    <row r="890" spans="2:12" hidden="1">
      <c r="B890" s="252"/>
      <c r="C890" s="253"/>
      <c r="D890" s="252"/>
      <c r="E890" s="252"/>
      <c r="F890" s="251"/>
      <c r="G890" s="253"/>
      <c r="H890" s="253"/>
      <c r="I890" s="253"/>
      <c r="J890" s="253"/>
      <c r="K890" s="253"/>
      <c r="L890" s="253"/>
    </row>
    <row r="891" spans="2:12" hidden="1">
      <c r="B891" s="249"/>
      <c r="C891" s="250"/>
      <c r="D891" s="249"/>
      <c r="E891" s="249"/>
      <c r="F891" s="251"/>
      <c r="G891" s="250"/>
      <c r="H891" s="250"/>
      <c r="I891" s="250"/>
      <c r="J891" s="250"/>
      <c r="K891" s="250"/>
      <c r="L891" s="250"/>
    </row>
    <row r="892" spans="2:12" ht="18.75" hidden="1">
      <c r="B892" s="1054"/>
      <c r="C892" s="1055"/>
      <c r="D892" s="1055"/>
      <c r="E892" s="1055"/>
      <c r="F892" s="1055"/>
      <c r="G892" s="1055"/>
      <c r="H892" s="1055"/>
      <c r="I892" s="1056"/>
      <c r="J892" s="254"/>
      <c r="K892" s="254"/>
      <c r="L892" s="254"/>
    </row>
    <row r="893" spans="2:12" hidden="1">
      <c r="B893"/>
    </row>
    <row r="894" spans="2:12" ht="18.75" hidden="1">
      <c r="B894" s="974" t="s">
        <v>1184</v>
      </c>
      <c r="C894" s="975"/>
      <c r="D894" s="975"/>
      <c r="E894" s="975"/>
      <c r="F894" s="975"/>
      <c r="G894" s="975"/>
      <c r="H894" s="975"/>
      <c r="I894" s="975"/>
      <c r="J894" s="975"/>
      <c r="K894" s="975"/>
      <c r="L894" s="975"/>
    </row>
    <row r="895" spans="2:12" ht="15.75" hidden="1">
      <c r="B895" s="314" t="s">
        <v>507</v>
      </c>
      <c r="C895" s="314" t="s">
        <v>508</v>
      </c>
      <c r="D895" s="314" t="s">
        <v>509</v>
      </c>
      <c r="E895" s="314" t="s">
        <v>510</v>
      </c>
      <c r="F895" s="314" t="s">
        <v>511</v>
      </c>
      <c r="G895" s="314" t="s">
        <v>512</v>
      </c>
      <c r="H895" s="314" t="s">
        <v>513</v>
      </c>
      <c r="I895" s="314" t="s">
        <v>514</v>
      </c>
      <c r="J895" s="314" t="s">
        <v>915</v>
      </c>
      <c r="K895" s="314" t="s">
        <v>914</v>
      </c>
      <c r="L895" s="314" t="s">
        <v>940</v>
      </c>
    </row>
    <row r="896" spans="2:12" hidden="1">
      <c r="B896" s="448" t="s">
        <v>1185</v>
      </c>
      <c r="C896" s="279" t="s">
        <v>870</v>
      </c>
      <c r="D896" s="278" t="s">
        <v>1186</v>
      </c>
      <c r="E896" s="278" t="s">
        <v>625</v>
      </c>
      <c r="F896" s="280">
        <v>3200000</v>
      </c>
      <c r="G896" s="279" t="s">
        <v>903</v>
      </c>
      <c r="H896" s="279" t="s">
        <v>523</v>
      </c>
      <c r="I896" s="279" t="s">
        <v>523</v>
      </c>
      <c r="J896" s="279">
        <v>1</v>
      </c>
      <c r="K896" s="279"/>
      <c r="L896" s="279"/>
    </row>
    <row r="897" spans="2:12" hidden="1">
      <c r="B897" s="431" t="s">
        <v>1187</v>
      </c>
      <c r="C897" s="247" t="s">
        <v>870</v>
      </c>
      <c r="D897" s="246" t="s">
        <v>1188</v>
      </c>
      <c r="E897" s="246" t="s">
        <v>625</v>
      </c>
      <c r="F897" s="248">
        <v>2800000</v>
      </c>
      <c r="G897" s="247" t="s">
        <v>903</v>
      </c>
      <c r="H897" s="247" t="s">
        <v>523</v>
      </c>
      <c r="I897" s="247" t="s">
        <v>523</v>
      </c>
      <c r="J897" s="247">
        <v>1</v>
      </c>
      <c r="K897" s="247"/>
      <c r="L897" s="247"/>
    </row>
    <row r="898" spans="2:12" hidden="1">
      <c r="B898" s="431">
        <v>44600</v>
      </c>
      <c r="C898" s="247" t="s">
        <v>870</v>
      </c>
      <c r="D898" s="246" t="s">
        <v>1189</v>
      </c>
      <c r="E898" s="246" t="s">
        <v>552</v>
      </c>
      <c r="F898" s="248">
        <v>2700000</v>
      </c>
      <c r="G898" s="247" t="s">
        <v>903</v>
      </c>
      <c r="H898" s="247" t="s">
        <v>523</v>
      </c>
      <c r="I898" s="247" t="s">
        <v>523</v>
      </c>
      <c r="J898" s="247">
        <v>1</v>
      </c>
      <c r="K898" s="247"/>
      <c r="L898" s="247" t="s">
        <v>138</v>
      </c>
    </row>
    <row r="899" spans="2:12" hidden="1">
      <c r="B899" s="431">
        <v>44600</v>
      </c>
      <c r="C899" s="247" t="s">
        <v>870</v>
      </c>
      <c r="D899" s="246" t="s">
        <v>1190</v>
      </c>
      <c r="E899" s="246" t="s">
        <v>552</v>
      </c>
      <c r="F899" s="248">
        <v>2600000</v>
      </c>
      <c r="G899" s="247" t="s">
        <v>903</v>
      </c>
      <c r="H899" s="247" t="s">
        <v>523</v>
      </c>
      <c r="I899" s="247" t="s">
        <v>523</v>
      </c>
      <c r="J899" s="247">
        <v>1</v>
      </c>
      <c r="K899" s="247"/>
      <c r="L899" s="247" t="s">
        <v>190</v>
      </c>
    </row>
    <row r="900" spans="2:12" hidden="1">
      <c r="B900" s="800" t="s">
        <v>1191</v>
      </c>
      <c r="C900" s="247" t="s">
        <v>870</v>
      </c>
      <c r="D900" s="246" t="s">
        <v>1192</v>
      </c>
      <c r="E900" s="246" t="s">
        <v>625</v>
      </c>
      <c r="F900" s="248">
        <v>3200000</v>
      </c>
      <c r="G900" s="247" t="s">
        <v>903</v>
      </c>
      <c r="H900" s="247" t="s">
        <v>523</v>
      </c>
      <c r="I900" s="247" t="s">
        <v>523</v>
      </c>
      <c r="J900" s="247">
        <v>1</v>
      </c>
      <c r="K900" s="247"/>
      <c r="L900" s="247" t="s">
        <v>124</v>
      </c>
    </row>
    <row r="901" spans="2:12" hidden="1">
      <c r="B901" s="800" t="s">
        <v>1178</v>
      </c>
      <c r="C901" s="247" t="s">
        <v>870</v>
      </c>
      <c r="D901" s="246" t="s">
        <v>1193</v>
      </c>
      <c r="E901" s="246" t="s">
        <v>625</v>
      </c>
      <c r="F901" s="248">
        <v>3500000</v>
      </c>
      <c r="G901" s="247" t="s">
        <v>903</v>
      </c>
      <c r="H901" s="247" t="s">
        <v>523</v>
      </c>
      <c r="I901" s="247" t="s">
        <v>523</v>
      </c>
      <c r="J901" s="247">
        <v>1</v>
      </c>
      <c r="K901" s="247"/>
      <c r="L901" s="247" t="s">
        <v>124</v>
      </c>
    </row>
    <row r="902" spans="2:12" hidden="1">
      <c r="B902" s="517"/>
      <c r="C902" s="247"/>
      <c r="D902" s="246"/>
      <c r="E902" s="246"/>
      <c r="F902" s="248"/>
      <c r="G902" s="247"/>
      <c r="H902" s="247"/>
      <c r="I902" s="247"/>
      <c r="J902" s="247"/>
      <c r="K902" s="247"/>
      <c r="L902" s="247"/>
    </row>
    <row r="903" spans="2:12" hidden="1">
      <c r="B903" s="800"/>
      <c r="C903" s="247"/>
      <c r="D903" s="246"/>
      <c r="E903" s="246"/>
      <c r="F903" s="248"/>
      <c r="G903" s="247"/>
      <c r="H903" s="247"/>
      <c r="I903" s="247"/>
      <c r="J903" s="247"/>
      <c r="K903" s="247"/>
      <c r="L903" s="247"/>
    </row>
    <row r="904" spans="2:12" hidden="1">
      <c r="B904" s="800"/>
      <c r="C904" s="247"/>
      <c r="D904" s="246"/>
      <c r="E904" s="246"/>
      <c r="F904" s="248"/>
      <c r="G904" s="247"/>
      <c r="H904" s="247"/>
      <c r="I904" s="247"/>
      <c r="J904" s="247"/>
      <c r="K904" s="247"/>
      <c r="L904" s="247"/>
    </row>
    <row r="905" spans="2:12" hidden="1">
      <c r="B905" s="800"/>
      <c r="C905" s="247"/>
      <c r="D905" s="246"/>
      <c r="E905" s="246"/>
      <c r="F905" s="248"/>
      <c r="G905" s="247"/>
      <c r="H905" s="247"/>
      <c r="I905" s="247"/>
      <c r="J905" s="247"/>
      <c r="K905" s="247"/>
      <c r="L905" s="247"/>
    </row>
    <row r="906" spans="2:12" hidden="1">
      <c r="B906" s="800"/>
      <c r="C906" s="247"/>
      <c r="D906" s="246"/>
      <c r="E906" s="246"/>
      <c r="F906" s="248"/>
      <c r="G906" s="247"/>
      <c r="H906" s="247"/>
      <c r="I906" s="247"/>
      <c r="J906" s="247"/>
      <c r="K906" s="247"/>
      <c r="L906" s="247"/>
    </row>
    <row r="907" spans="2:12" hidden="1">
      <c r="B907" s="800"/>
      <c r="C907" s="247"/>
      <c r="D907" s="246"/>
      <c r="E907" s="246"/>
      <c r="F907" s="248"/>
      <c r="G907" s="247"/>
      <c r="H907" s="247"/>
      <c r="I907" s="247"/>
      <c r="J907" s="247"/>
      <c r="K907" s="247"/>
      <c r="L907" s="247"/>
    </row>
    <row r="908" spans="2:12" hidden="1">
      <c r="B908" s="800"/>
      <c r="C908" s="247"/>
      <c r="D908" s="246"/>
      <c r="E908" s="246"/>
      <c r="F908" s="248"/>
      <c r="G908" s="247"/>
      <c r="H908" s="247"/>
      <c r="I908" s="247"/>
      <c r="J908" s="247"/>
      <c r="K908" s="247"/>
      <c r="L908" s="247"/>
    </row>
    <row r="909" spans="2:12" hidden="1">
      <c r="B909" s="800"/>
      <c r="C909" s="247"/>
      <c r="D909" s="246"/>
      <c r="E909" s="246"/>
      <c r="F909" s="248"/>
      <c r="G909" s="247"/>
      <c r="H909" s="247"/>
      <c r="I909" s="247"/>
      <c r="J909" s="247"/>
      <c r="K909" s="247"/>
      <c r="L909" s="247"/>
    </row>
    <row r="910" spans="2:12" hidden="1">
      <c r="B910" s="800"/>
      <c r="C910" s="247"/>
      <c r="D910" s="246"/>
      <c r="E910" s="246"/>
      <c r="F910" s="248"/>
      <c r="G910" s="247"/>
      <c r="H910" s="247"/>
      <c r="I910" s="247"/>
      <c r="J910" s="247"/>
      <c r="K910" s="247"/>
      <c r="L910" s="247"/>
    </row>
    <row r="911" spans="2:12" hidden="1">
      <c r="B911" s="800"/>
      <c r="C911" s="247"/>
      <c r="D911" s="246"/>
      <c r="E911" s="246"/>
      <c r="F911" s="248"/>
      <c r="G911" s="247"/>
      <c r="H911" s="247"/>
      <c r="I911" s="247"/>
      <c r="J911" s="247"/>
      <c r="K911" s="247"/>
      <c r="L911" s="247"/>
    </row>
    <row r="912" spans="2:12" hidden="1">
      <c r="B912" s="800"/>
      <c r="C912" s="247"/>
      <c r="D912" s="246"/>
      <c r="E912" s="246"/>
      <c r="F912" s="248"/>
      <c r="G912" s="247"/>
      <c r="H912" s="247"/>
      <c r="I912" s="247"/>
      <c r="J912" s="247"/>
      <c r="K912" s="247"/>
      <c r="L912" s="247"/>
    </row>
    <row r="913" spans="2:12" hidden="1">
      <c r="B913" s="800"/>
      <c r="C913" s="247"/>
      <c r="D913" s="246"/>
      <c r="E913" s="246"/>
      <c r="F913" s="248"/>
      <c r="G913" s="247"/>
      <c r="H913" s="247"/>
      <c r="I913" s="247"/>
      <c r="J913" s="247"/>
      <c r="K913" s="247"/>
      <c r="L913" s="247"/>
    </row>
    <row r="914" spans="2:12" hidden="1">
      <c r="B914" s="800"/>
      <c r="C914" s="247"/>
      <c r="D914" s="246"/>
      <c r="E914" s="246"/>
      <c r="F914" s="248"/>
      <c r="G914" s="247"/>
      <c r="H914" s="247"/>
      <c r="I914" s="247"/>
      <c r="J914" s="247"/>
      <c r="K914" s="247"/>
      <c r="L914" s="247"/>
    </row>
    <row r="915" spans="2:12" hidden="1">
      <c r="B915" s="800"/>
      <c r="C915" s="247"/>
      <c r="D915" s="246"/>
      <c r="E915" s="246"/>
      <c r="F915" s="248"/>
      <c r="G915" s="247"/>
      <c r="H915" s="247"/>
      <c r="I915" s="247"/>
      <c r="J915" s="247"/>
      <c r="K915" s="247"/>
      <c r="L915" s="247"/>
    </row>
    <row r="916" spans="2:12" hidden="1">
      <c r="B916" s="801"/>
      <c r="C916" s="250"/>
      <c r="D916" s="249"/>
      <c r="E916" s="249"/>
      <c r="F916" s="251"/>
      <c r="G916" s="250"/>
      <c r="H916" s="250"/>
      <c r="I916" s="250"/>
      <c r="J916" s="250"/>
      <c r="K916" s="250"/>
      <c r="L916" s="250"/>
    </row>
    <row r="917" spans="2:12" hidden="1">
      <c r="B917" s="252"/>
      <c r="C917" s="253"/>
      <c r="D917" s="252"/>
      <c r="E917" s="252"/>
      <c r="F917" s="251"/>
      <c r="G917" s="253"/>
      <c r="H917" s="253"/>
      <c r="I917" s="253"/>
      <c r="J917" s="253"/>
      <c r="K917" s="253"/>
      <c r="L917" s="253"/>
    </row>
    <row r="918" spans="2:12" hidden="1">
      <c r="B918" s="249"/>
      <c r="C918" s="250"/>
      <c r="D918" s="249"/>
      <c r="E918" s="249"/>
      <c r="F918" s="251"/>
      <c r="G918" s="250"/>
      <c r="H918" s="250"/>
      <c r="I918" s="250"/>
      <c r="J918" s="250"/>
      <c r="K918" s="250"/>
      <c r="L918" s="250"/>
    </row>
    <row r="919" spans="2:12" ht="18.75" hidden="1">
      <c r="B919" s="1054"/>
      <c r="C919" s="1055"/>
      <c r="D919" s="1055"/>
      <c r="E919" s="1055"/>
      <c r="F919" s="1055"/>
      <c r="G919" s="1055"/>
      <c r="H919" s="1055"/>
      <c r="I919" s="1056"/>
      <c r="J919" s="254"/>
      <c r="K919" s="254"/>
      <c r="L919" s="254"/>
    </row>
    <row r="920" spans="2:12" hidden="1">
      <c r="B920"/>
    </row>
    <row r="921" spans="2:12" hidden="1">
      <c r="B921"/>
    </row>
    <row r="922" spans="2:12" hidden="1">
      <c r="B922"/>
    </row>
    <row r="923" spans="2:12" ht="18.75" hidden="1">
      <c r="B923" s="974" t="s">
        <v>1194</v>
      </c>
      <c r="C923" s="975"/>
      <c r="D923" s="975"/>
      <c r="E923" s="975"/>
      <c r="F923" s="975"/>
      <c r="G923" s="975"/>
      <c r="H923" s="975"/>
      <c r="I923" s="975"/>
      <c r="J923" s="975"/>
      <c r="K923" s="975"/>
      <c r="L923" s="975"/>
    </row>
    <row r="924" spans="2:12" ht="15.75" hidden="1">
      <c r="B924" s="314" t="s">
        <v>507</v>
      </c>
      <c r="C924" s="314" t="s">
        <v>508</v>
      </c>
      <c r="D924" s="314" t="s">
        <v>509</v>
      </c>
      <c r="E924" s="314" t="s">
        <v>510</v>
      </c>
      <c r="F924" s="314" t="s">
        <v>511</v>
      </c>
      <c r="G924" s="314" t="s">
        <v>512</v>
      </c>
      <c r="H924" s="314" t="s">
        <v>513</v>
      </c>
      <c r="I924" s="314" t="s">
        <v>514</v>
      </c>
      <c r="J924" s="314" t="s">
        <v>915</v>
      </c>
      <c r="K924" s="314" t="s">
        <v>914</v>
      </c>
      <c r="L924" s="314" t="s">
        <v>940</v>
      </c>
    </row>
    <row r="925" spans="2:12" hidden="1">
      <c r="B925" s="805">
        <v>44569</v>
      </c>
      <c r="C925" s="318" t="s">
        <v>696</v>
      </c>
      <c r="D925" s="310" t="s">
        <v>1195</v>
      </c>
      <c r="E925" s="310" t="s">
        <v>1183</v>
      </c>
      <c r="F925" s="806">
        <v>7500000</v>
      </c>
      <c r="G925" s="318" t="s">
        <v>741</v>
      </c>
      <c r="H925" s="318" t="s">
        <v>523</v>
      </c>
      <c r="I925" s="318" t="s">
        <v>523</v>
      </c>
      <c r="J925" s="318"/>
      <c r="K925" s="318">
        <v>1</v>
      </c>
      <c r="L925" s="318"/>
    </row>
    <row r="926" spans="2:12" hidden="1">
      <c r="B926" s="278"/>
      <c r="C926" s="279"/>
      <c r="D926" s="246"/>
      <c r="E926" s="246"/>
      <c r="F926" s="248"/>
      <c r="G926" s="247"/>
      <c r="H926" s="247"/>
      <c r="I926" s="247"/>
      <c r="J926" s="247"/>
      <c r="K926" s="247"/>
      <c r="L926" s="247"/>
    </row>
    <row r="927" spans="2:12" hidden="1">
      <c r="B927" s="278"/>
      <c r="C927" s="279"/>
      <c r="D927" s="246"/>
      <c r="E927" s="246"/>
      <c r="F927" s="248"/>
      <c r="G927" s="247"/>
      <c r="H927" s="247"/>
      <c r="I927" s="247"/>
      <c r="J927" s="247"/>
      <c r="K927" s="247"/>
      <c r="L927" s="247"/>
    </row>
    <row r="928" spans="2:12" hidden="1">
      <c r="B928" s="278"/>
      <c r="C928" s="279"/>
      <c r="D928" s="246"/>
      <c r="E928" s="246"/>
      <c r="F928" s="248"/>
      <c r="G928" s="247"/>
      <c r="H928" s="247"/>
      <c r="I928" s="247"/>
      <c r="J928" s="247"/>
      <c r="K928" s="247"/>
      <c r="L928" s="247"/>
    </row>
    <row r="929" spans="2:12" hidden="1">
      <c r="B929" s="278"/>
      <c r="C929" s="279"/>
      <c r="D929" s="246"/>
      <c r="E929" s="246"/>
      <c r="F929" s="248"/>
      <c r="G929" s="247"/>
      <c r="H929" s="247"/>
      <c r="I929" s="247"/>
      <c r="J929" s="247"/>
      <c r="K929" s="247"/>
      <c r="L929" s="247"/>
    </row>
    <row r="930" spans="2:12" hidden="1">
      <c r="B930" s="278"/>
      <c r="C930" s="279"/>
      <c r="D930" s="246"/>
      <c r="E930" s="246"/>
      <c r="F930" s="248"/>
      <c r="G930" s="247"/>
      <c r="H930" s="247"/>
      <c r="I930" s="247"/>
      <c r="J930" s="247"/>
      <c r="K930" s="247"/>
      <c r="L930" s="247"/>
    </row>
    <row r="931" spans="2:12" hidden="1">
      <c r="B931" s="278"/>
      <c r="C931" s="279"/>
      <c r="D931" s="246"/>
      <c r="E931" s="246"/>
      <c r="F931" s="248"/>
      <c r="G931" s="247"/>
      <c r="H931" s="247"/>
      <c r="I931" s="247"/>
      <c r="J931" s="247"/>
      <c r="K931" s="247"/>
      <c r="L931" s="247"/>
    </row>
    <row r="932" spans="2:12" hidden="1">
      <c r="B932" s="278"/>
      <c r="C932" s="279"/>
      <c r="D932" s="246"/>
      <c r="E932" s="246"/>
      <c r="F932" s="248"/>
      <c r="G932" s="247"/>
      <c r="H932" s="247"/>
      <c r="I932" s="247"/>
      <c r="J932" s="247"/>
      <c r="K932" s="247"/>
      <c r="L932" s="247"/>
    </row>
    <row r="933" spans="2:12" hidden="1">
      <c r="B933" s="278"/>
      <c r="C933" s="279"/>
      <c r="D933" s="246"/>
      <c r="E933" s="246"/>
      <c r="F933" s="248"/>
      <c r="G933" s="247"/>
      <c r="H933" s="247"/>
      <c r="I933" s="247"/>
      <c r="J933" s="247"/>
      <c r="K933" s="247"/>
      <c r="L933" s="247"/>
    </row>
    <row r="934" spans="2:12" hidden="1">
      <c r="B934" s="278"/>
      <c r="C934" s="279"/>
      <c r="D934" s="246"/>
      <c r="E934" s="246"/>
      <c r="F934" s="248"/>
      <c r="G934" s="247"/>
      <c r="H934" s="247"/>
      <c r="I934" s="247"/>
      <c r="J934" s="247"/>
      <c r="K934" s="247"/>
      <c r="L934" s="247"/>
    </row>
    <row r="935" spans="2:12" hidden="1">
      <c r="B935" s="278"/>
      <c r="C935" s="279"/>
      <c r="D935" s="246"/>
      <c r="E935" s="246"/>
      <c r="F935" s="248"/>
      <c r="G935" s="247"/>
      <c r="H935" s="247"/>
      <c r="I935" s="247"/>
      <c r="J935" s="247"/>
      <c r="K935" s="247"/>
      <c r="L935" s="247"/>
    </row>
    <row r="936" spans="2:12" hidden="1">
      <c r="B936" s="278"/>
      <c r="C936" s="279"/>
      <c r="D936" s="246"/>
      <c r="E936" s="246"/>
      <c r="F936" s="248"/>
      <c r="G936" s="247"/>
      <c r="H936" s="247"/>
      <c r="I936" s="247"/>
      <c r="J936" s="247"/>
      <c r="K936" s="247"/>
      <c r="L936" s="247"/>
    </row>
    <row r="937" spans="2:12" hidden="1">
      <c r="B937" s="278"/>
      <c r="C937" s="279"/>
      <c r="D937" s="246"/>
      <c r="E937" s="246"/>
      <c r="F937" s="248"/>
      <c r="G937" s="247"/>
      <c r="H937" s="247"/>
      <c r="I937" s="247"/>
      <c r="J937" s="247"/>
      <c r="K937" s="247"/>
      <c r="L937" s="247"/>
    </row>
    <row r="938" spans="2:12" hidden="1">
      <c r="B938" s="278"/>
      <c r="C938" s="279"/>
      <c r="D938" s="246"/>
      <c r="E938" s="246"/>
      <c r="F938" s="248"/>
      <c r="G938" s="247"/>
      <c r="H938" s="247"/>
      <c r="I938" s="247"/>
      <c r="J938" s="247"/>
      <c r="K938" s="247"/>
      <c r="L938" s="247"/>
    </row>
    <row r="939" spans="2:12" hidden="1">
      <c r="B939" s="278"/>
      <c r="C939" s="279"/>
      <c r="D939" s="246"/>
      <c r="E939" s="246"/>
      <c r="F939" s="248"/>
      <c r="G939" s="247"/>
      <c r="H939" s="247"/>
      <c r="I939" s="247"/>
      <c r="J939" s="247"/>
      <c r="K939" s="247"/>
      <c r="L939" s="247"/>
    </row>
    <row r="940" spans="2:12" hidden="1">
      <c r="B940" s="278"/>
      <c r="C940" s="279"/>
      <c r="D940" s="246"/>
      <c r="E940" s="246"/>
      <c r="F940" s="248"/>
      <c r="G940" s="247"/>
      <c r="H940" s="247"/>
      <c r="I940" s="247"/>
      <c r="J940" s="247"/>
      <c r="K940" s="247"/>
      <c r="L940" s="247"/>
    </row>
    <row r="941" spans="2:12" hidden="1">
      <c r="B941" s="800"/>
      <c r="C941" s="279"/>
      <c r="D941" s="246"/>
      <c r="E941" s="246"/>
      <c r="F941" s="248"/>
      <c r="G941" s="247"/>
      <c r="H941" s="247"/>
      <c r="I941" s="247"/>
      <c r="J941" s="247"/>
      <c r="K941" s="247"/>
      <c r="L941" s="247"/>
    </row>
    <row r="942" spans="2:12" hidden="1">
      <c r="B942" s="800"/>
      <c r="C942" s="247"/>
      <c r="D942" s="246"/>
      <c r="E942" s="246"/>
      <c r="F942" s="248"/>
      <c r="G942" s="247"/>
      <c r="H942" s="247"/>
      <c r="I942" s="247"/>
      <c r="J942" s="247"/>
      <c r="K942" s="247"/>
      <c r="L942" s="247"/>
    </row>
    <row r="943" spans="2:12" hidden="1">
      <c r="B943" s="807">
        <v>44569</v>
      </c>
      <c r="C943" s="519" t="s">
        <v>696</v>
      </c>
      <c r="D943" s="518" t="s">
        <v>1195</v>
      </c>
      <c r="E943" s="518" t="s">
        <v>1183</v>
      </c>
      <c r="F943" s="520">
        <v>1050000000</v>
      </c>
      <c r="G943" s="519" t="s">
        <v>741</v>
      </c>
      <c r="H943" s="519" t="s">
        <v>523</v>
      </c>
      <c r="I943" s="519" t="s">
        <v>523</v>
      </c>
      <c r="J943" s="519"/>
      <c r="K943" s="519">
        <v>1</v>
      </c>
      <c r="L943" s="519"/>
    </row>
    <row r="944" spans="2:12" ht="18.75" hidden="1">
      <c r="B944" s="1054"/>
      <c r="C944" s="1055"/>
      <c r="D944" s="1055"/>
      <c r="E944" s="1055"/>
      <c r="F944" s="1055"/>
      <c r="G944" s="1055"/>
      <c r="H944" s="1055"/>
      <c r="I944" s="1056"/>
      <c r="J944" s="254">
        <f>SUM(J925:J943)</f>
        <v>0</v>
      </c>
      <c r="K944" s="254">
        <f>SUM(K943)</f>
        <v>1</v>
      </c>
      <c r="L944" s="254"/>
    </row>
    <row r="945" spans="2:12" hidden="1">
      <c r="B945"/>
    </row>
    <row r="946" spans="2:12" ht="18.75" hidden="1">
      <c r="B946" s="974" t="s">
        <v>1196</v>
      </c>
      <c r="C946" s="975"/>
      <c r="D946" s="975"/>
      <c r="E946" s="975"/>
      <c r="F946" s="975"/>
      <c r="G946" s="975"/>
      <c r="H946" s="975"/>
      <c r="I946" s="975"/>
      <c r="J946" s="975"/>
      <c r="K946" s="975"/>
      <c r="L946" s="975"/>
    </row>
    <row r="947" spans="2:12" ht="15.75" hidden="1">
      <c r="B947" s="314" t="s">
        <v>507</v>
      </c>
      <c r="C947" s="314" t="s">
        <v>508</v>
      </c>
      <c r="D947" s="314" t="s">
        <v>509</v>
      </c>
      <c r="E947" s="314" t="s">
        <v>510</v>
      </c>
      <c r="F947" s="314" t="s">
        <v>511</v>
      </c>
      <c r="G947" s="314" t="s">
        <v>512</v>
      </c>
      <c r="H947" s="314" t="s">
        <v>513</v>
      </c>
      <c r="I947" s="314" t="s">
        <v>514</v>
      </c>
      <c r="J947" s="314" t="s">
        <v>915</v>
      </c>
      <c r="K947" s="314" t="s">
        <v>914</v>
      </c>
      <c r="L947" s="314" t="s">
        <v>940</v>
      </c>
    </row>
    <row r="948" spans="2:12" hidden="1">
      <c r="B948" s="278"/>
      <c r="C948" s="279"/>
      <c r="D948" s="278"/>
      <c r="E948" s="278"/>
      <c r="F948" s="280"/>
      <c r="G948" s="279"/>
      <c r="H948" s="279"/>
      <c r="I948" s="279"/>
      <c r="J948" s="279"/>
      <c r="K948" s="279"/>
      <c r="L948" s="279"/>
    </row>
    <row r="949" spans="2:12" hidden="1">
      <c r="B949" s="431"/>
      <c r="C949" s="247"/>
      <c r="D949" s="246"/>
      <c r="E949" s="246"/>
      <c r="F949" s="248"/>
      <c r="G949" s="247"/>
      <c r="H949" s="247"/>
      <c r="I949" s="247"/>
      <c r="J949" s="247"/>
      <c r="K949" s="247"/>
      <c r="L949" s="247"/>
    </row>
    <row r="950" spans="2:12" hidden="1">
      <c r="B950" s="431"/>
      <c r="C950" s="247"/>
      <c r="D950" s="246"/>
      <c r="E950" s="246"/>
      <c r="F950" s="248"/>
      <c r="G950" s="247"/>
      <c r="H950" s="247"/>
      <c r="I950" s="247"/>
      <c r="J950" s="247"/>
      <c r="K950" s="247"/>
      <c r="L950" s="247"/>
    </row>
    <row r="951" spans="2:12" hidden="1">
      <c r="B951" s="800"/>
      <c r="C951" s="247"/>
      <c r="D951" s="246"/>
      <c r="E951" s="246"/>
      <c r="F951" s="248"/>
      <c r="G951" s="247"/>
      <c r="H951" s="247"/>
      <c r="I951" s="247"/>
      <c r="J951" s="247"/>
      <c r="K951" s="247"/>
      <c r="L951" s="247"/>
    </row>
    <row r="952" spans="2:12" hidden="1">
      <c r="B952" s="800"/>
      <c r="C952" s="247"/>
      <c r="D952" s="246"/>
      <c r="E952" s="246"/>
      <c r="F952" s="248"/>
      <c r="G952" s="247"/>
      <c r="H952" s="247"/>
      <c r="I952" s="247"/>
      <c r="J952" s="247"/>
      <c r="K952" s="247"/>
      <c r="L952" s="247"/>
    </row>
    <row r="953" spans="2:12" ht="18.75" hidden="1">
      <c r="B953" s="1054"/>
      <c r="C953" s="1055"/>
      <c r="D953" s="1055"/>
      <c r="E953" s="1055"/>
      <c r="F953" s="1055"/>
      <c r="G953" s="1055"/>
      <c r="H953" s="1055"/>
      <c r="I953" s="1056"/>
      <c r="J953" s="254">
        <f>SUM(J948:J952)</f>
        <v>0</v>
      </c>
      <c r="K953" s="254"/>
      <c r="L953" s="254"/>
    </row>
    <row r="955" spans="2:12" ht="31.5">
      <c r="B955" s="918" t="s">
        <v>482</v>
      </c>
      <c r="C955" s="919"/>
      <c r="D955" s="919"/>
      <c r="E955" s="919"/>
      <c r="F955" s="919"/>
      <c r="G955" s="919"/>
      <c r="H955" s="919"/>
      <c r="I955" s="919"/>
      <c r="J955" s="919"/>
      <c r="K955" s="919"/>
      <c r="L955" s="920"/>
    </row>
    <row r="957" spans="2:12" ht="18.75">
      <c r="B957" s="974" t="s">
        <v>1197</v>
      </c>
      <c r="C957" s="975"/>
      <c r="D957" s="975"/>
      <c r="E957" s="975"/>
      <c r="F957" s="975"/>
      <c r="G957" s="975"/>
      <c r="H957" s="975"/>
      <c r="I957" s="975"/>
      <c r="J957" s="975"/>
      <c r="K957" s="975"/>
      <c r="L957" s="975"/>
    </row>
    <row r="958" spans="2:12" ht="18.75">
      <c r="B958" s="790" t="s">
        <v>507</v>
      </c>
      <c r="C958" s="245" t="s">
        <v>508</v>
      </c>
      <c r="D958" s="245" t="s">
        <v>509</v>
      </c>
      <c r="E958" s="245" t="s">
        <v>510</v>
      </c>
      <c r="F958" s="245" t="s">
        <v>511</v>
      </c>
      <c r="G958" s="245" t="s">
        <v>512</v>
      </c>
      <c r="H958" s="245" t="s">
        <v>513</v>
      </c>
      <c r="I958" s="245" t="s">
        <v>514</v>
      </c>
      <c r="J958" s="245" t="s">
        <v>915</v>
      </c>
      <c r="K958" s="245" t="s">
        <v>914</v>
      </c>
      <c r="L958" s="245" t="s">
        <v>940</v>
      </c>
    </row>
    <row r="959" spans="2:12">
      <c r="B959" s="448">
        <v>44572</v>
      </c>
      <c r="C959" s="279" t="s">
        <v>509</v>
      </c>
      <c r="D959" s="848" t="s">
        <v>1198</v>
      </c>
      <c r="E959" s="278" t="s">
        <v>634</v>
      </c>
      <c r="F959" s="280">
        <v>4100000</v>
      </c>
      <c r="G959" s="279" t="s">
        <v>1199</v>
      </c>
      <c r="H959" s="279" t="s">
        <v>528</v>
      </c>
      <c r="I959" s="279" t="s">
        <v>523</v>
      </c>
      <c r="J959" s="279">
        <v>1</v>
      </c>
      <c r="K959" s="279"/>
      <c r="L959" s="279" t="s">
        <v>352</v>
      </c>
    </row>
    <row r="960" spans="2:12">
      <c r="B960" s="448">
        <v>44572</v>
      </c>
      <c r="C960" s="303" t="s">
        <v>509</v>
      </c>
      <c r="D960" s="246" t="s">
        <v>1200</v>
      </c>
      <c r="E960" s="375" t="s">
        <v>526</v>
      </c>
      <c r="F960" s="248">
        <v>4000000</v>
      </c>
      <c r="G960" s="247" t="s">
        <v>672</v>
      </c>
      <c r="H960" s="247" t="s">
        <v>528</v>
      </c>
      <c r="I960" s="247" t="s">
        <v>523</v>
      </c>
      <c r="J960" s="247">
        <v>1</v>
      </c>
      <c r="K960" s="247"/>
      <c r="L960" s="247" t="s">
        <v>352</v>
      </c>
    </row>
    <row r="961" spans="2:12">
      <c r="B961" s="448">
        <v>44692</v>
      </c>
      <c r="C961" s="303" t="s">
        <v>509</v>
      </c>
      <c r="D961" s="847" t="s">
        <v>1201</v>
      </c>
      <c r="E961" s="375" t="s">
        <v>887</v>
      </c>
      <c r="F961" s="248">
        <v>2600000</v>
      </c>
      <c r="G961" s="247" t="s">
        <v>672</v>
      </c>
      <c r="H961" s="247" t="s">
        <v>528</v>
      </c>
      <c r="I961" s="247" t="s">
        <v>523</v>
      </c>
      <c r="J961" s="247">
        <v>1</v>
      </c>
      <c r="K961" s="247"/>
      <c r="L961" s="247" t="s">
        <v>138</v>
      </c>
    </row>
    <row r="962" spans="2:12">
      <c r="B962" s="431">
        <v>44815</v>
      </c>
      <c r="C962" s="303" t="s">
        <v>509</v>
      </c>
      <c r="D962" s="847" t="s">
        <v>1202</v>
      </c>
      <c r="E962" s="375" t="s">
        <v>1203</v>
      </c>
      <c r="F962" s="248">
        <v>3500000</v>
      </c>
      <c r="G962" s="247" t="s">
        <v>741</v>
      </c>
      <c r="H962" s="247" t="s">
        <v>528</v>
      </c>
      <c r="I962" s="247" t="s">
        <v>523</v>
      </c>
      <c r="J962" s="247">
        <v>1</v>
      </c>
      <c r="K962" s="247"/>
      <c r="L962" s="247" t="s">
        <v>352</v>
      </c>
    </row>
    <row r="963" spans="2:12">
      <c r="B963" s="431">
        <v>44815</v>
      </c>
      <c r="C963" s="247" t="s">
        <v>509</v>
      </c>
      <c r="D963" s="849" t="s">
        <v>1204</v>
      </c>
      <c r="E963" s="246" t="s">
        <v>845</v>
      </c>
      <c r="F963" s="248">
        <v>3200000</v>
      </c>
      <c r="G963" s="247" t="s">
        <v>1122</v>
      </c>
      <c r="H963" s="247" t="s">
        <v>528</v>
      </c>
      <c r="I963" s="247" t="s">
        <v>523</v>
      </c>
      <c r="J963" s="247">
        <v>1</v>
      </c>
      <c r="K963" s="247"/>
      <c r="L963" s="247" t="s">
        <v>352</v>
      </c>
    </row>
    <row r="964" spans="2:12">
      <c r="B964" s="431">
        <v>44875</v>
      </c>
      <c r="C964" s="247" t="s">
        <v>509</v>
      </c>
      <c r="D964" s="246" t="s">
        <v>1205</v>
      </c>
      <c r="E964" s="246" t="s">
        <v>552</v>
      </c>
      <c r="F964" s="248">
        <v>5000000</v>
      </c>
      <c r="G964" s="247" t="s">
        <v>1122</v>
      </c>
      <c r="H964" s="247" t="s">
        <v>528</v>
      </c>
      <c r="I964" s="247" t="s">
        <v>523</v>
      </c>
      <c r="J964" s="247">
        <v>1</v>
      </c>
      <c r="K964" s="247"/>
      <c r="L964" s="247" t="s">
        <v>352</v>
      </c>
    </row>
    <row r="965" spans="2:12">
      <c r="B965" s="431" t="s">
        <v>1206</v>
      </c>
      <c r="C965" s="247" t="s">
        <v>509</v>
      </c>
      <c r="D965" s="246" t="s">
        <v>1207</v>
      </c>
      <c r="E965" s="246" t="s">
        <v>526</v>
      </c>
      <c r="F965" s="248">
        <v>3200000</v>
      </c>
      <c r="G965" s="247" t="s">
        <v>542</v>
      </c>
      <c r="H965" s="247" t="s">
        <v>528</v>
      </c>
      <c r="I965" s="247" t="s">
        <v>523</v>
      </c>
      <c r="J965" s="247">
        <v>1</v>
      </c>
      <c r="K965" s="247"/>
      <c r="L965" s="247" t="s">
        <v>138</v>
      </c>
    </row>
    <row r="966" spans="2:12">
      <c r="B966" s="431" t="s">
        <v>1208</v>
      </c>
      <c r="C966" s="247" t="s">
        <v>509</v>
      </c>
      <c r="D966" s="246" t="s">
        <v>1209</v>
      </c>
      <c r="E966" s="246" t="s">
        <v>859</v>
      </c>
      <c r="F966" s="248">
        <v>5500000</v>
      </c>
      <c r="G966" s="247" t="s">
        <v>731</v>
      </c>
      <c r="H966" s="247" t="s">
        <v>528</v>
      </c>
      <c r="I966" s="247" t="s">
        <v>523</v>
      </c>
      <c r="J966" s="247">
        <v>1</v>
      </c>
      <c r="K966" s="247"/>
      <c r="L966" s="247" t="s">
        <v>352</v>
      </c>
    </row>
    <row r="967" spans="2:12">
      <c r="B967" s="431" t="s">
        <v>1210</v>
      </c>
      <c r="C967" s="247" t="s">
        <v>509</v>
      </c>
      <c r="D967" s="246" t="s">
        <v>1211</v>
      </c>
      <c r="E967" s="246" t="s">
        <v>526</v>
      </c>
      <c r="F967" s="248">
        <v>5000000</v>
      </c>
      <c r="G967" s="247" t="s">
        <v>608</v>
      </c>
      <c r="H967" s="247" t="s">
        <v>528</v>
      </c>
      <c r="I967" s="247" t="s">
        <v>523</v>
      </c>
      <c r="J967" s="247">
        <v>1</v>
      </c>
      <c r="K967" s="247"/>
      <c r="L967" s="247" t="s">
        <v>138</v>
      </c>
    </row>
    <row r="968" spans="2:12">
      <c r="B968" s="431"/>
      <c r="C968" s="247"/>
      <c r="D968" s="246"/>
      <c r="E968" s="246"/>
      <c r="F968" s="248"/>
      <c r="G968" s="247"/>
      <c r="H968" s="247"/>
      <c r="I968" s="247"/>
      <c r="J968" s="247"/>
      <c r="K968" s="247"/>
      <c r="L968" s="247"/>
    </row>
    <row r="969" spans="2:12">
      <c r="B969" s="431"/>
      <c r="C969" s="247"/>
      <c r="D969" s="246"/>
      <c r="E969" s="246"/>
      <c r="F969" s="248"/>
      <c r="G969" s="247"/>
      <c r="H969" s="247"/>
      <c r="I969" s="247"/>
      <c r="J969" s="247"/>
      <c r="K969" s="247"/>
      <c r="L969" s="247"/>
    </row>
    <row r="970" spans="2:12">
      <c r="B970" s="791"/>
      <c r="C970" s="250"/>
      <c r="D970" s="249"/>
      <c r="E970" s="249"/>
      <c r="F970" s="251"/>
      <c r="G970" s="250"/>
      <c r="H970" s="250"/>
      <c r="I970" s="250"/>
      <c r="J970" s="250"/>
      <c r="K970" s="250"/>
      <c r="L970" s="250"/>
    </row>
    <row r="971" spans="2:12">
      <c r="B971" s="791"/>
      <c r="C971" s="250"/>
      <c r="D971" s="252"/>
      <c r="E971" s="252"/>
      <c r="F971" s="251"/>
      <c r="G971" s="253"/>
      <c r="H971" s="253"/>
      <c r="I971" s="253"/>
      <c r="J971" s="253"/>
      <c r="K971" s="253"/>
      <c r="L971" s="253"/>
    </row>
    <row r="972" spans="2:12">
      <c r="B972" s="791"/>
      <c r="C972" s="250"/>
      <c r="D972" s="249"/>
      <c r="E972" s="249"/>
      <c r="F972" s="251"/>
      <c r="G972" s="250"/>
      <c r="H972" s="250"/>
      <c r="I972" s="250"/>
      <c r="J972" s="250"/>
      <c r="K972" s="250"/>
      <c r="L972" s="250"/>
    </row>
    <row r="973" spans="2:12" ht="18.75">
      <c r="B973" s="1054"/>
      <c r="C973" s="1055"/>
      <c r="D973" s="1055"/>
      <c r="E973" s="1055"/>
      <c r="F973" s="1055"/>
      <c r="G973" s="1055"/>
      <c r="H973" s="1055"/>
      <c r="I973" s="1056"/>
      <c r="J973" s="254">
        <f>SUM(J959:J972)</f>
        <v>9</v>
      </c>
      <c r="K973" s="254">
        <f>SUM(K970:K972)</f>
        <v>0</v>
      </c>
      <c r="L973" s="254"/>
    </row>
    <row r="976" spans="2:12" ht="18.75">
      <c r="B976" s="976" t="s">
        <v>1212</v>
      </c>
      <c r="C976" s="977"/>
      <c r="D976" s="977"/>
      <c r="E976" s="977"/>
      <c r="F976" s="977"/>
      <c r="G976" s="977"/>
      <c r="H976" s="977"/>
      <c r="I976" s="977"/>
      <c r="J976" s="977"/>
      <c r="K976" s="977"/>
      <c r="L976" s="977"/>
    </row>
    <row r="977" spans="2:12" ht="15.75">
      <c r="B977" s="850" t="s">
        <v>507</v>
      </c>
      <c r="C977" s="851" t="s">
        <v>508</v>
      </c>
      <c r="D977" s="851" t="s">
        <v>509</v>
      </c>
      <c r="E977" s="851" t="s">
        <v>510</v>
      </c>
      <c r="F977" s="851" t="s">
        <v>511</v>
      </c>
      <c r="G977" s="851" t="s">
        <v>512</v>
      </c>
      <c r="H977" s="851" t="s">
        <v>513</v>
      </c>
      <c r="I977" s="851" t="s">
        <v>514</v>
      </c>
      <c r="J977" s="851" t="s">
        <v>915</v>
      </c>
      <c r="K977" s="851" t="s">
        <v>914</v>
      </c>
      <c r="L977" s="851" t="s">
        <v>940</v>
      </c>
    </row>
    <row r="978" spans="2:12">
      <c r="B978" s="431" t="s">
        <v>1213</v>
      </c>
      <c r="C978" s="853" t="s">
        <v>509</v>
      </c>
      <c r="D978" s="625" t="s">
        <v>1214</v>
      </c>
      <c r="E978" s="853" t="s">
        <v>526</v>
      </c>
      <c r="F978" s="854">
        <v>3600000</v>
      </c>
      <c r="G978" s="853" t="s">
        <v>741</v>
      </c>
      <c r="H978" s="853" t="s">
        <v>528</v>
      </c>
      <c r="I978" s="853" t="s">
        <v>523</v>
      </c>
      <c r="J978" s="853">
        <v>1</v>
      </c>
      <c r="K978" s="853"/>
      <c r="L978" s="853" t="s">
        <v>352</v>
      </c>
    </row>
    <row r="979" spans="2:12">
      <c r="B979" s="855" t="s">
        <v>1215</v>
      </c>
      <c r="C979" s="853" t="s">
        <v>509</v>
      </c>
      <c r="D979" s="625" t="s">
        <v>1216</v>
      </c>
      <c r="E979" s="853" t="s">
        <v>552</v>
      </c>
      <c r="F979" s="854">
        <v>4000000</v>
      </c>
      <c r="G979" s="853" t="s">
        <v>741</v>
      </c>
      <c r="H979" s="853" t="s">
        <v>528</v>
      </c>
      <c r="I979" s="853" t="s">
        <v>523</v>
      </c>
      <c r="J979" s="853">
        <v>1</v>
      </c>
      <c r="K979" s="853"/>
      <c r="L979" s="853" t="s">
        <v>352</v>
      </c>
    </row>
    <row r="980" spans="2:12">
      <c r="B980" s="852" t="s">
        <v>1217</v>
      </c>
      <c r="C980" s="853" t="s">
        <v>509</v>
      </c>
      <c r="D980" s="538" t="s">
        <v>1218</v>
      </c>
      <c r="E980" s="379" t="s">
        <v>1219</v>
      </c>
      <c r="F980" s="854">
        <v>6000000</v>
      </c>
      <c r="G980" s="853" t="s">
        <v>832</v>
      </c>
      <c r="H980" s="853" t="s">
        <v>528</v>
      </c>
      <c r="I980" s="853" t="s">
        <v>523</v>
      </c>
      <c r="J980" s="853">
        <v>1</v>
      </c>
      <c r="K980" s="853"/>
      <c r="L980" s="853" t="s">
        <v>138</v>
      </c>
    </row>
    <row r="981" spans="2:12">
      <c r="B981" s="431">
        <v>44572</v>
      </c>
      <c r="C981" s="247" t="s">
        <v>687</v>
      </c>
      <c r="D981" s="312" t="s">
        <v>1220</v>
      </c>
      <c r="E981" s="246" t="s">
        <v>625</v>
      </c>
      <c r="F981" s="248">
        <v>1700000</v>
      </c>
      <c r="G981" s="247" t="s">
        <v>741</v>
      </c>
      <c r="H981" s="247" t="s">
        <v>528</v>
      </c>
      <c r="I981" s="247" t="s">
        <v>523</v>
      </c>
      <c r="J981" s="247">
        <v>1</v>
      </c>
      <c r="K981" s="247"/>
      <c r="L981" s="247" t="s">
        <v>352</v>
      </c>
    </row>
    <row r="982" spans="2:12">
      <c r="B982" s="431">
        <v>44603</v>
      </c>
      <c r="C982" s="247" t="s">
        <v>509</v>
      </c>
      <c r="D982" s="312" t="s">
        <v>1221</v>
      </c>
      <c r="E982" s="246" t="s">
        <v>625</v>
      </c>
      <c r="F982" s="248">
        <v>3200000</v>
      </c>
      <c r="G982" s="247" t="s">
        <v>561</v>
      </c>
      <c r="H982" s="247" t="s">
        <v>528</v>
      </c>
      <c r="I982" s="247" t="s">
        <v>523</v>
      </c>
      <c r="J982" s="247">
        <v>1</v>
      </c>
      <c r="K982" s="247"/>
      <c r="L982" s="247" t="s">
        <v>352</v>
      </c>
    </row>
    <row r="983" spans="2:12">
      <c r="B983" s="431">
        <v>44603</v>
      </c>
      <c r="C983" s="247" t="s">
        <v>509</v>
      </c>
      <c r="D983" s="312" t="s">
        <v>1222</v>
      </c>
      <c r="E983" s="246" t="s">
        <v>625</v>
      </c>
      <c r="F983" s="248">
        <v>3000000</v>
      </c>
      <c r="G983" s="247" t="s">
        <v>685</v>
      </c>
      <c r="H983" s="247" t="s">
        <v>528</v>
      </c>
      <c r="I983" s="247" t="s">
        <v>523</v>
      </c>
      <c r="J983" s="247">
        <v>1</v>
      </c>
      <c r="K983" s="247"/>
      <c r="L983" s="247" t="s">
        <v>138</v>
      </c>
    </row>
    <row r="984" spans="2:12">
      <c r="B984" s="431">
        <v>44603</v>
      </c>
      <c r="C984" s="247" t="s">
        <v>509</v>
      </c>
      <c r="D984" s="312" t="s">
        <v>1223</v>
      </c>
      <c r="E984" s="246" t="s">
        <v>625</v>
      </c>
      <c r="F984" s="248">
        <v>3200000</v>
      </c>
      <c r="G984" s="247" t="s">
        <v>685</v>
      </c>
      <c r="H984" s="247" t="s">
        <v>528</v>
      </c>
      <c r="I984" s="247" t="s">
        <v>523</v>
      </c>
      <c r="J984" s="247">
        <v>1</v>
      </c>
      <c r="K984" s="247"/>
      <c r="L984" s="247" t="s">
        <v>138</v>
      </c>
    </row>
    <row r="985" spans="2:12">
      <c r="B985" s="431">
        <v>44662</v>
      </c>
      <c r="C985" s="247" t="s">
        <v>509</v>
      </c>
      <c r="D985" s="312" t="s">
        <v>1224</v>
      </c>
      <c r="E985" s="246" t="s">
        <v>625</v>
      </c>
      <c r="F985" s="248">
        <v>3000000</v>
      </c>
      <c r="G985" s="247" t="s">
        <v>561</v>
      </c>
      <c r="H985" s="247" t="s">
        <v>528</v>
      </c>
      <c r="I985" s="247" t="s">
        <v>523</v>
      </c>
      <c r="J985" s="247">
        <v>1</v>
      </c>
      <c r="K985" s="247"/>
      <c r="L985" s="247" t="s">
        <v>138</v>
      </c>
    </row>
    <row r="986" spans="2:12">
      <c r="B986" s="431">
        <v>44662</v>
      </c>
      <c r="C986" s="247" t="s">
        <v>509</v>
      </c>
      <c r="D986" s="312" t="s">
        <v>1225</v>
      </c>
      <c r="E986" s="246" t="s">
        <v>625</v>
      </c>
      <c r="F986" s="248">
        <v>3000000</v>
      </c>
      <c r="G986" s="247" t="s">
        <v>561</v>
      </c>
      <c r="H986" s="247" t="s">
        <v>528</v>
      </c>
      <c r="I986" s="247" t="s">
        <v>523</v>
      </c>
      <c r="J986" s="247">
        <v>1</v>
      </c>
      <c r="K986" s="247"/>
      <c r="L986" s="247" t="s">
        <v>352</v>
      </c>
    </row>
    <row r="987" spans="2:12">
      <c r="B987" s="431">
        <v>44662</v>
      </c>
      <c r="C987" s="247" t="s">
        <v>509</v>
      </c>
      <c r="D987" s="312" t="s">
        <v>1226</v>
      </c>
      <c r="E987" s="246" t="s">
        <v>625</v>
      </c>
      <c r="F987" s="248">
        <v>3700000</v>
      </c>
      <c r="G987" s="247" t="s">
        <v>741</v>
      </c>
      <c r="H987" s="247" t="s">
        <v>528</v>
      </c>
      <c r="I987" s="247" t="s">
        <v>523</v>
      </c>
      <c r="J987" s="247">
        <v>1</v>
      </c>
      <c r="K987" s="247"/>
      <c r="L987" s="247" t="s">
        <v>352</v>
      </c>
    </row>
    <row r="988" spans="2:12">
      <c r="B988" s="431">
        <v>44662</v>
      </c>
      <c r="C988" s="247" t="s">
        <v>509</v>
      </c>
      <c r="D988" s="312" t="s">
        <v>1227</v>
      </c>
      <c r="E988" s="246" t="s">
        <v>1073</v>
      </c>
      <c r="F988" s="248">
        <v>6500000</v>
      </c>
      <c r="G988" s="247" t="s">
        <v>149</v>
      </c>
      <c r="H988" s="247" t="s">
        <v>528</v>
      </c>
      <c r="I988" s="247" t="s">
        <v>523</v>
      </c>
      <c r="J988" s="247">
        <v>1</v>
      </c>
      <c r="K988" s="247"/>
      <c r="L988" s="247" t="s">
        <v>138</v>
      </c>
    </row>
    <row r="989" spans="2:12">
      <c r="B989" s="431">
        <v>44662</v>
      </c>
      <c r="C989" s="247" t="s">
        <v>509</v>
      </c>
      <c r="D989" s="312" t="s">
        <v>1228</v>
      </c>
      <c r="E989" s="246" t="s">
        <v>1140</v>
      </c>
      <c r="F989" s="248">
        <v>3200000</v>
      </c>
      <c r="G989" s="247" t="s">
        <v>1229</v>
      </c>
      <c r="H989" s="247" t="s">
        <v>528</v>
      </c>
      <c r="I989" s="247" t="s">
        <v>523</v>
      </c>
      <c r="J989" s="247">
        <v>1</v>
      </c>
      <c r="K989" s="247"/>
      <c r="L989" s="247" t="s">
        <v>352</v>
      </c>
    </row>
    <row r="990" spans="2:12">
      <c r="B990" s="431" t="s">
        <v>1230</v>
      </c>
      <c r="C990" s="247" t="s">
        <v>509</v>
      </c>
      <c r="D990" s="312" t="s">
        <v>1231</v>
      </c>
      <c r="E990" s="246" t="s">
        <v>954</v>
      </c>
      <c r="F990" s="248">
        <v>3800000</v>
      </c>
      <c r="G990" s="247" t="s">
        <v>741</v>
      </c>
      <c r="H990" s="247" t="s">
        <v>528</v>
      </c>
      <c r="I990" s="247" t="s">
        <v>523</v>
      </c>
      <c r="J990" s="247">
        <v>1</v>
      </c>
      <c r="K990" s="247"/>
      <c r="L990" s="247" t="s">
        <v>138</v>
      </c>
    </row>
    <row r="991" spans="2:12">
      <c r="B991" s="431" t="s">
        <v>1230</v>
      </c>
      <c r="C991" s="247" t="s">
        <v>509</v>
      </c>
      <c r="D991" s="312" t="s">
        <v>1232</v>
      </c>
      <c r="E991" s="246" t="s">
        <v>1233</v>
      </c>
      <c r="F991" s="248">
        <v>6000000</v>
      </c>
      <c r="G991" s="247" t="s">
        <v>741</v>
      </c>
      <c r="H991" s="247" t="s">
        <v>528</v>
      </c>
      <c r="I991" s="247" t="s">
        <v>523</v>
      </c>
      <c r="J991" s="247">
        <v>1</v>
      </c>
      <c r="K991" s="247"/>
      <c r="L991" s="247" t="s">
        <v>352</v>
      </c>
    </row>
    <row r="992" spans="2:12">
      <c r="B992" s="431" t="s">
        <v>1206</v>
      </c>
      <c r="C992" s="247" t="s">
        <v>509</v>
      </c>
      <c r="D992" s="312" t="s">
        <v>1234</v>
      </c>
      <c r="E992" s="246" t="s">
        <v>625</v>
      </c>
      <c r="F992" s="248">
        <v>3300000</v>
      </c>
      <c r="G992" s="247" t="s">
        <v>741</v>
      </c>
      <c r="H992" s="247" t="s">
        <v>528</v>
      </c>
      <c r="I992" s="247" t="s">
        <v>523</v>
      </c>
      <c r="J992" s="247">
        <v>1</v>
      </c>
      <c r="K992" s="247"/>
      <c r="L992" s="247" t="s">
        <v>352</v>
      </c>
    </row>
    <row r="993" spans="2:12">
      <c r="B993" s="431" t="s">
        <v>1206</v>
      </c>
      <c r="C993" s="247" t="s">
        <v>509</v>
      </c>
      <c r="D993" s="312" t="s">
        <v>1235</v>
      </c>
      <c r="E993" s="246" t="s">
        <v>625</v>
      </c>
      <c r="F993" s="248">
        <v>3600000</v>
      </c>
      <c r="G993" s="247" t="s">
        <v>741</v>
      </c>
      <c r="H993" s="247" t="s">
        <v>528</v>
      </c>
      <c r="I993" s="247" t="s">
        <v>523</v>
      </c>
      <c r="J993" s="247">
        <v>1</v>
      </c>
      <c r="K993" s="247"/>
      <c r="L993" s="247" t="s">
        <v>138</v>
      </c>
    </row>
    <row r="994" spans="2:12">
      <c r="B994" s="431" t="s">
        <v>1206</v>
      </c>
      <c r="C994" s="247" t="s">
        <v>509</v>
      </c>
      <c r="D994" s="312" t="s">
        <v>1236</v>
      </c>
      <c r="E994" s="246" t="s">
        <v>1237</v>
      </c>
      <c r="F994" s="248">
        <v>3500000</v>
      </c>
      <c r="G994" s="247" t="s">
        <v>561</v>
      </c>
      <c r="H994" s="247" t="s">
        <v>528</v>
      </c>
      <c r="I994" s="247" t="s">
        <v>523</v>
      </c>
      <c r="J994" s="247">
        <v>1</v>
      </c>
      <c r="K994" s="247"/>
      <c r="L994" s="247" t="s">
        <v>138</v>
      </c>
    </row>
    <row r="995" spans="2:12">
      <c r="B995" s="431" t="s">
        <v>1206</v>
      </c>
      <c r="C995" s="247" t="s">
        <v>509</v>
      </c>
      <c r="D995" s="312" t="s">
        <v>1238</v>
      </c>
      <c r="E995" s="246" t="s">
        <v>552</v>
      </c>
      <c r="F995" s="248">
        <v>3200000</v>
      </c>
      <c r="G995" s="247" t="s">
        <v>292</v>
      </c>
      <c r="H995" s="247" t="s">
        <v>528</v>
      </c>
      <c r="I995" s="247" t="s">
        <v>523</v>
      </c>
      <c r="J995" s="247">
        <v>1</v>
      </c>
      <c r="K995" s="247"/>
      <c r="L995" s="247" t="s">
        <v>352</v>
      </c>
    </row>
    <row r="996" spans="2:12">
      <c r="B996" s="431" t="s">
        <v>1239</v>
      </c>
      <c r="C996" s="247" t="s">
        <v>509</v>
      </c>
      <c r="D996" s="312" t="s">
        <v>1240</v>
      </c>
      <c r="E996" s="246" t="s">
        <v>625</v>
      </c>
      <c r="F996" s="248">
        <v>3500000</v>
      </c>
      <c r="G996" s="247" t="s">
        <v>1241</v>
      </c>
      <c r="H996" s="247" t="s">
        <v>528</v>
      </c>
      <c r="I996" s="247" t="s">
        <v>523</v>
      </c>
      <c r="J996" s="247">
        <v>1</v>
      </c>
      <c r="K996" s="247"/>
      <c r="L996" s="247" t="s">
        <v>352</v>
      </c>
    </row>
    <row r="997" spans="2:12">
      <c r="B997" s="431" t="s">
        <v>1242</v>
      </c>
      <c r="C997" s="247" t="s">
        <v>509</v>
      </c>
      <c r="D997" s="312" t="s">
        <v>1243</v>
      </c>
      <c r="E997" s="246" t="s">
        <v>625</v>
      </c>
      <c r="F997" s="248">
        <v>3000000</v>
      </c>
      <c r="G997" s="247" t="s">
        <v>561</v>
      </c>
      <c r="H997" s="247" t="s">
        <v>528</v>
      </c>
      <c r="I997" s="247" t="s">
        <v>523</v>
      </c>
      <c r="J997" s="247">
        <v>1</v>
      </c>
      <c r="K997" s="247"/>
      <c r="L997" s="247" t="s">
        <v>138</v>
      </c>
    </row>
    <row r="998" spans="2:12">
      <c r="B998" s="431"/>
      <c r="C998" s="247"/>
      <c r="D998" s="312"/>
      <c r="E998" s="246"/>
      <c r="F998" s="248"/>
      <c r="G998" s="247"/>
      <c r="H998" s="247"/>
      <c r="I998" s="247"/>
      <c r="J998" s="247"/>
      <c r="K998" s="247"/>
      <c r="L998" s="247"/>
    </row>
    <row r="999" spans="2:12">
      <c r="B999" s="791"/>
      <c r="C999" s="250"/>
      <c r="D999" s="249"/>
      <c r="E999" s="249"/>
      <c r="F999" s="251"/>
      <c r="G999" s="250"/>
      <c r="H999" s="250"/>
      <c r="I999" s="250"/>
      <c r="J999" s="250"/>
      <c r="K999" s="250"/>
      <c r="L999" s="250"/>
    </row>
    <row r="1000" spans="2:12">
      <c r="B1000" s="797"/>
      <c r="C1000" s="253"/>
      <c r="D1000" s="252"/>
      <c r="E1000" s="252"/>
      <c r="F1000" s="251"/>
      <c r="G1000" s="253"/>
      <c r="H1000" s="253"/>
      <c r="I1000" s="253"/>
      <c r="J1000" s="253"/>
      <c r="K1000" s="253"/>
      <c r="L1000" s="253"/>
    </row>
    <row r="1001" spans="2:12">
      <c r="B1001" s="795"/>
      <c r="C1001" s="250"/>
      <c r="D1001" s="249"/>
      <c r="E1001" s="249"/>
      <c r="F1001" s="251"/>
      <c r="G1001" s="250"/>
      <c r="H1001" s="250"/>
      <c r="I1001" s="250"/>
      <c r="J1001" s="250"/>
      <c r="K1001" s="250"/>
      <c r="L1001" s="250"/>
    </row>
    <row r="1002" spans="2:12" ht="18.75">
      <c r="B1002" s="1054"/>
      <c r="C1002" s="1055"/>
      <c r="D1002" s="1055"/>
      <c r="E1002" s="1055"/>
      <c r="F1002" s="1055"/>
      <c r="G1002" s="1055"/>
      <c r="H1002" s="1055"/>
      <c r="I1002" s="1056"/>
      <c r="J1002" s="254">
        <f>SUM(J978:J1001)</f>
        <v>20</v>
      </c>
      <c r="K1002" s="254">
        <f>SUM(K999:K1001)</f>
        <v>0</v>
      </c>
      <c r="L1002" s="254"/>
    </row>
    <row r="1004" spans="2:12" ht="18.75">
      <c r="B1004" s="974" t="s">
        <v>1244</v>
      </c>
      <c r="C1004" s="975"/>
      <c r="D1004" s="975"/>
      <c r="E1004" s="975"/>
      <c r="F1004" s="975"/>
      <c r="G1004" s="975"/>
      <c r="H1004" s="975"/>
      <c r="I1004" s="975"/>
      <c r="J1004" s="975"/>
      <c r="K1004" s="975"/>
      <c r="L1004" s="975"/>
    </row>
    <row r="1005" spans="2:12" ht="15.75">
      <c r="B1005" s="796" t="s">
        <v>507</v>
      </c>
      <c r="C1005" s="314" t="s">
        <v>508</v>
      </c>
      <c r="D1005" s="314" t="s">
        <v>509</v>
      </c>
      <c r="E1005" s="314" t="s">
        <v>510</v>
      </c>
      <c r="F1005" s="314" t="s">
        <v>511</v>
      </c>
      <c r="G1005" s="314" t="s">
        <v>512</v>
      </c>
      <c r="H1005" s="314" t="s">
        <v>513</v>
      </c>
      <c r="I1005" s="314" t="s">
        <v>514</v>
      </c>
      <c r="J1005" s="314" t="s">
        <v>915</v>
      </c>
      <c r="K1005" s="314" t="s">
        <v>914</v>
      </c>
      <c r="L1005" s="314" t="s">
        <v>940</v>
      </c>
    </row>
    <row r="1006" spans="2:12">
      <c r="B1006" s="448">
        <v>44662</v>
      </c>
      <c r="C1006" s="279" t="s">
        <v>509</v>
      </c>
      <c r="D1006" s="278" t="s">
        <v>1245</v>
      </c>
      <c r="E1006" s="278" t="s">
        <v>526</v>
      </c>
      <c r="F1006" s="280">
        <v>4200000</v>
      </c>
      <c r="G1006" s="279" t="s">
        <v>1246</v>
      </c>
      <c r="H1006" s="279" t="s">
        <v>528</v>
      </c>
      <c r="I1006" s="279" t="s">
        <v>523</v>
      </c>
      <c r="J1006" s="279">
        <v>1</v>
      </c>
      <c r="K1006" s="279"/>
      <c r="L1006" s="279" t="s">
        <v>138</v>
      </c>
    </row>
    <row r="1007" spans="2:12">
      <c r="B1007" s="431">
        <v>44662</v>
      </c>
      <c r="C1007" s="247" t="s">
        <v>509</v>
      </c>
      <c r="D1007" s="246" t="s">
        <v>1247</v>
      </c>
      <c r="E1007" s="246" t="s">
        <v>1233</v>
      </c>
      <c r="F1007" s="248">
        <v>5000000</v>
      </c>
      <c r="G1007" s="247" t="s">
        <v>1248</v>
      </c>
      <c r="H1007" s="247" t="s">
        <v>528</v>
      </c>
      <c r="I1007" s="247" t="s">
        <v>523</v>
      </c>
      <c r="J1007" s="247">
        <v>1</v>
      </c>
      <c r="K1007" s="247"/>
      <c r="L1007" s="247" t="s">
        <v>138</v>
      </c>
    </row>
    <row r="1008" spans="2:12">
      <c r="B1008" s="431">
        <v>44662</v>
      </c>
      <c r="C1008" s="247" t="s">
        <v>509</v>
      </c>
      <c r="D1008" s="246" t="s">
        <v>1249</v>
      </c>
      <c r="E1008" s="246" t="s">
        <v>1233</v>
      </c>
      <c r="F1008" s="248">
        <v>6000000</v>
      </c>
      <c r="G1008" s="247" t="s">
        <v>628</v>
      </c>
      <c r="H1008" s="247" t="s">
        <v>528</v>
      </c>
      <c r="I1008" s="247" t="s">
        <v>523</v>
      </c>
      <c r="J1008" s="247">
        <v>1</v>
      </c>
      <c r="K1008" s="247"/>
      <c r="L1008" s="247" t="s">
        <v>352</v>
      </c>
    </row>
    <row r="1009" spans="2:12">
      <c r="B1009" s="431">
        <v>44662</v>
      </c>
      <c r="C1009" s="247" t="s">
        <v>509</v>
      </c>
      <c r="D1009" s="246" t="s">
        <v>1250</v>
      </c>
      <c r="E1009" s="246" t="s">
        <v>1251</v>
      </c>
      <c r="F1009" s="248">
        <v>4800000</v>
      </c>
      <c r="G1009" s="247" t="s">
        <v>1252</v>
      </c>
      <c r="H1009" s="247" t="s">
        <v>528</v>
      </c>
      <c r="I1009" s="247" t="s">
        <v>523</v>
      </c>
      <c r="J1009" s="247">
        <v>1</v>
      </c>
      <c r="K1009" s="247"/>
      <c r="L1009" s="247" t="s">
        <v>138</v>
      </c>
    </row>
    <row r="1010" spans="2:12">
      <c r="B1010" s="431">
        <v>44784</v>
      </c>
      <c r="C1010" s="247" t="s">
        <v>509</v>
      </c>
      <c r="D1010" s="246" t="s">
        <v>1253</v>
      </c>
      <c r="E1010" s="246" t="s">
        <v>1140</v>
      </c>
      <c r="F1010" s="248">
        <v>2200000</v>
      </c>
      <c r="G1010" s="247" t="s">
        <v>1254</v>
      </c>
      <c r="H1010" s="247" t="s">
        <v>528</v>
      </c>
      <c r="I1010" s="247" t="s">
        <v>523</v>
      </c>
      <c r="J1010" s="247">
        <v>1</v>
      </c>
      <c r="K1010" s="247"/>
      <c r="L1010" s="247" t="s">
        <v>352</v>
      </c>
    </row>
    <row r="1011" spans="2:12">
      <c r="B1011" s="431">
        <v>44845</v>
      </c>
      <c r="C1011" s="247" t="s">
        <v>696</v>
      </c>
      <c r="D1011" s="246" t="s">
        <v>1255</v>
      </c>
      <c r="E1011" s="246" t="s">
        <v>1256</v>
      </c>
      <c r="F1011" s="248">
        <v>3800000</v>
      </c>
      <c r="G1011" s="247" t="s">
        <v>1257</v>
      </c>
      <c r="H1011" s="247" t="s">
        <v>528</v>
      </c>
      <c r="I1011" s="247" t="s">
        <v>523</v>
      </c>
      <c r="J1011" s="247">
        <v>1</v>
      </c>
      <c r="K1011" s="247"/>
      <c r="L1011" s="247" t="s">
        <v>352</v>
      </c>
    </row>
    <row r="1012" spans="2:12">
      <c r="B1012" s="517" t="s">
        <v>1208</v>
      </c>
      <c r="C1012" s="247" t="s">
        <v>509</v>
      </c>
      <c r="D1012" s="246" t="s">
        <v>1258</v>
      </c>
      <c r="E1012" s="246" t="s">
        <v>764</v>
      </c>
      <c r="F1012" s="248">
        <v>3600000</v>
      </c>
      <c r="G1012" s="247" t="s">
        <v>1259</v>
      </c>
      <c r="H1012" s="247" t="s">
        <v>528</v>
      </c>
      <c r="I1012" s="247" t="s">
        <v>523</v>
      </c>
      <c r="J1012" s="247">
        <v>1</v>
      </c>
      <c r="K1012" s="247"/>
      <c r="L1012" s="247" t="s">
        <v>138</v>
      </c>
    </row>
    <row r="1013" spans="2:12">
      <c r="B1013" s="431" t="s">
        <v>1242</v>
      </c>
      <c r="C1013" s="247" t="s">
        <v>509</v>
      </c>
      <c r="D1013" s="246" t="s">
        <v>1260</v>
      </c>
      <c r="E1013" s="246" t="s">
        <v>1233</v>
      </c>
      <c r="F1013" s="248">
        <v>6000000</v>
      </c>
      <c r="G1013" s="247" t="s">
        <v>149</v>
      </c>
      <c r="H1013" s="247" t="s">
        <v>528</v>
      </c>
      <c r="I1013" s="247" t="s">
        <v>523</v>
      </c>
      <c r="J1013" s="247">
        <v>1</v>
      </c>
      <c r="K1013" s="247"/>
      <c r="L1013" s="247" t="s">
        <v>352</v>
      </c>
    </row>
    <row r="1014" spans="2:12">
      <c r="B1014" s="431" t="s">
        <v>1242</v>
      </c>
      <c r="C1014" s="247" t="s">
        <v>509</v>
      </c>
      <c r="D1014" s="246" t="s">
        <v>1261</v>
      </c>
      <c r="E1014" s="246" t="s">
        <v>1262</v>
      </c>
      <c r="F1014" s="248">
        <v>1300000</v>
      </c>
      <c r="G1014" s="247" t="s">
        <v>1263</v>
      </c>
      <c r="H1014" s="247" t="s">
        <v>528</v>
      </c>
      <c r="I1014" s="247" t="s">
        <v>523</v>
      </c>
      <c r="J1014" s="247">
        <v>1</v>
      </c>
      <c r="K1014" s="247"/>
      <c r="L1014" s="247" t="s">
        <v>138</v>
      </c>
    </row>
    <row r="1015" spans="2:12">
      <c r="B1015" s="431" t="s">
        <v>1242</v>
      </c>
      <c r="C1015" s="247" t="s">
        <v>509</v>
      </c>
      <c r="D1015" s="246" t="s">
        <v>1264</v>
      </c>
      <c r="E1015" s="246" t="s">
        <v>766</v>
      </c>
      <c r="F1015" s="248">
        <v>8000000</v>
      </c>
      <c r="G1015" s="247" t="s">
        <v>1265</v>
      </c>
      <c r="H1015" s="247" t="s">
        <v>528</v>
      </c>
      <c r="I1015" s="247" t="s">
        <v>523</v>
      </c>
      <c r="J1015" s="247">
        <v>1</v>
      </c>
      <c r="K1015" s="247"/>
      <c r="L1015" s="247" t="s">
        <v>352</v>
      </c>
    </row>
    <row r="1016" spans="2:12">
      <c r="B1016" s="431"/>
      <c r="C1016" s="247"/>
      <c r="D1016" s="246"/>
      <c r="E1016" s="246"/>
      <c r="F1016" s="248"/>
      <c r="G1016" s="247"/>
      <c r="H1016" s="247"/>
      <c r="I1016" s="247"/>
      <c r="J1016" s="247"/>
      <c r="K1016" s="247"/>
      <c r="L1016" s="247"/>
    </row>
    <row r="1017" spans="2:12">
      <c r="B1017" s="431"/>
      <c r="C1017" s="247"/>
      <c r="D1017" s="246"/>
      <c r="E1017" s="246"/>
      <c r="F1017" s="248"/>
      <c r="G1017" s="247"/>
      <c r="H1017" s="247"/>
      <c r="I1017" s="247"/>
      <c r="J1017" s="247"/>
      <c r="K1017" s="247"/>
      <c r="L1017" s="247"/>
    </row>
    <row r="1018" spans="2:12">
      <c r="B1018" s="431"/>
      <c r="C1018" s="247"/>
      <c r="D1018" s="246"/>
      <c r="E1018" s="246"/>
      <c r="F1018" s="248"/>
      <c r="G1018" s="247"/>
      <c r="H1018" s="247"/>
      <c r="I1018" s="247"/>
      <c r="J1018" s="247"/>
      <c r="K1018" s="247"/>
      <c r="L1018" s="247"/>
    </row>
    <row r="1019" spans="2:12">
      <c r="B1019" s="791">
        <v>44631</v>
      </c>
      <c r="C1019" s="250" t="s">
        <v>509</v>
      </c>
      <c r="D1019" s="249" t="s">
        <v>1247</v>
      </c>
      <c r="E1019" s="249" t="s">
        <v>1233</v>
      </c>
      <c r="F1019" s="251">
        <v>790000000</v>
      </c>
      <c r="G1019" s="250" t="s">
        <v>1248</v>
      </c>
      <c r="H1019" s="250" t="s">
        <v>528</v>
      </c>
      <c r="I1019" s="250" t="s">
        <v>523</v>
      </c>
      <c r="J1019" s="250"/>
      <c r="K1019" s="250">
        <v>1</v>
      </c>
      <c r="L1019" s="250" t="s">
        <v>1172</v>
      </c>
    </row>
    <row r="1020" spans="2:12">
      <c r="B1020" s="797"/>
      <c r="C1020" s="253"/>
      <c r="D1020" s="252"/>
      <c r="E1020" s="252"/>
      <c r="F1020" s="251"/>
      <c r="G1020" s="253"/>
      <c r="H1020" s="253"/>
      <c r="I1020" s="253"/>
      <c r="J1020" s="253"/>
      <c r="K1020" s="253"/>
      <c r="L1020" s="253"/>
    </row>
    <row r="1021" spans="2:12">
      <c r="B1021" s="795"/>
      <c r="C1021" s="250"/>
      <c r="D1021" s="249"/>
      <c r="E1021" s="249"/>
      <c r="F1021" s="251"/>
      <c r="G1021" s="250"/>
      <c r="H1021" s="250"/>
      <c r="I1021" s="250"/>
      <c r="J1021" s="250"/>
      <c r="K1021" s="250"/>
      <c r="L1021" s="250"/>
    </row>
    <row r="1022" spans="2:12" ht="18.75">
      <c r="B1022" s="1054"/>
      <c r="C1022" s="1055"/>
      <c r="D1022" s="1055"/>
      <c r="E1022" s="1055"/>
      <c r="F1022" s="1055"/>
      <c r="G1022" s="1055"/>
      <c r="H1022" s="1055"/>
      <c r="I1022" s="1056"/>
      <c r="J1022" s="254">
        <f>SUM(J1006:J1021)</f>
        <v>10</v>
      </c>
      <c r="K1022" s="254">
        <f>SUM(K1019:K1021)</f>
        <v>1</v>
      </c>
      <c r="L1022" s="254"/>
    </row>
    <row r="1025" spans="2:12" ht="18.75">
      <c r="B1025" s="974" t="s">
        <v>1266</v>
      </c>
      <c r="C1025" s="975"/>
      <c r="D1025" s="975"/>
      <c r="E1025" s="975"/>
      <c r="F1025" s="975"/>
      <c r="G1025" s="975"/>
      <c r="H1025" s="975"/>
      <c r="I1025" s="975"/>
      <c r="J1025" s="975"/>
      <c r="K1025" s="975"/>
      <c r="L1025" s="975"/>
    </row>
    <row r="1026" spans="2:12" ht="15.75">
      <c r="B1026" s="796" t="s">
        <v>507</v>
      </c>
      <c r="C1026" s="314" t="s">
        <v>508</v>
      </c>
      <c r="D1026" s="314" t="s">
        <v>509</v>
      </c>
      <c r="E1026" s="314" t="s">
        <v>510</v>
      </c>
      <c r="F1026" s="314" t="s">
        <v>511</v>
      </c>
      <c r="G1026" s="314" t="s">
        <v>512</v>
      </c>
      <c r="H1026" s="314" t="s">
        <v>513</v>
      </c>
      <c r="I1026" s="314" t="s">
        <v>514</v>
      </c>
      <c r="J1026" s="314" t="s">
        <v>915</v>
      </c>
      <c r="K1026" s="314" t="s">
        <v>914</v>
      </c>
      <c r="L1026" s="314" t="s">
        <v>940</v>
      </c>
    </row>
    <row r="1027" spans="2:12">
      <c r="B1027" s="448">
        <v>44662</v>
      </c>
      <c r="C1027" s="279" t="s">
        <v>509</v>
      </c>
      <c r="D1027" s="141" t="s">
        <v>1267</v>
      </c>
      <c r="E1027" s="278" t="s">
        <v>691</v>
      </c>
      <c r="F1027" s="280">
        <v>4500000</v>
      </c>
      <c r="G1027" s="279" t="s">
        <v>741</v>
      </c>
      <c r="H1027" s="279" t="s">
        <v>528</v>
      </c>
      <c r="I1027" s="279" t="s">
        <v>523</v>
      </c>
      <c r="J1027" s="279">
        <v>1</v>
      </c>
      <c r="K1027" s="279"/>
      <c r="L1027" s="279" t="s">
        <v>352</v>
      </c>
    </row>
    <row r="1028" spans="2:12">
      <c r="B1028" s="431">
        <v>44845</v>
      </c>
      <c r="C1028" s="247" t="s">
        <v>696</v>
      </c>
      <c r="D1028" s="246" t="s">
        <v>1268</v>
      </c>
      <c r="E1028" s="246" t="s">
        <v>1269</v>
      </c>
      <c r="F1028" s="248">
        <v>5300000</v>
      </c>
      <c r="G1028" s="247" t="s">
        <v>741</v>
      </c>
      <c r="H1028" s="247" t="s">
        <v>528</v>
      </c>
      <c r="I1028" s="247" t="s">
        <v>523</v>
      </c>
      <c r="J1028" s="247">
        <v>1</v>
      </c>
      <c r="K1028" s="247"/>
      <c r="L1028" s="247" t="s">
        <v>138</v>
      </c>
    </row>
    <row r="1029" spans="2:12">
      <c r="B1029" s="431"/>
      <c r="C1029" s="247"/>
      <c r="D1029" s="246"/>
      <c r="E1029" s="246"/>
      <c r="F1029" s="248"/>
      <c r="G1029" s="247"/>
      <c r="H1029" s="247"/>
      <c r="I1029" s="247"/>
      <c r="J1029" s="247"/>
      <c r="K1029" s="247"/>
      <c r="L1029" s="247"/>
    </row>
    <row r="1030" spans="2:12" ht="18.75">
      <c r="B1030" s="1054"/>
      <c r="C1030" s="1055"/>
      <c r="D1030" s="1055"/>
      <c r="E1030" s="1055"/>
      <c r="F1030" s="1055"/>
      <c r="G1030" s="1055"/>
      <c r="H1030" s="1055"/>
      <c r="I1030" s="1056"/>
      <c r="J1030" s="254">
        <f>SUM(J1027:J1029)</f>
        <v>2</v>
      </c>
      <c r="K1030" s="254"/>
      <c r="L1030" s="254"/>
    </row>
    <row r="1033" spans="2:12" ht="18.75">
      <c r="B1033" s="974" t="s">
        <v>1270</v>
      </c>
      <c r="C1033" s="975"/>
      <c r="D1033" s="975"/>
      <c r="E1033" s="975"/>
      <c r="F1033" s="975"/>
      <c r="G1033" s="975"/>
      <c r="H1033" s="975"/>
      <c r="I1033" s="975"/>
      <c r="J1033" s="975"/>
      <c r="K1033" s="975"/>
      <c r="L1033" s="975"/>
    </row>
    <row r="1034" spans="2:12" ht="15.75">
      <c r="B1034" s="796" t="s">
        <v>507</v>
      </c>
      <c r="C1034" s="314" t="s">
        <v>508</v>
      </c>
      <c r="D1034" s="314" t="s">
        <v>509</v>
      </c>
      <c r="E1034" s="314" t="s">
        <v>510</v>
      </c>
      <c r="F1034" s="314" t="s">
        <v>511</v>
      </c>
      <c r="G1034" s="314" t="s">
        <v>512</v>
      </c>
      <c r="H1034" s="314" t="s">
        <v>513</v>
      </c>
      <c r="I1034" s="314" t="s">
        <v>514</v>
      </c>
      <c r="J1034" s="314" t="s">
        <v>915</v>
      </c>
      <c r="K1034" s="314" t="s">
        <v>914</v>
      </c>
      <c r="L1034" s="314" t="s">
        <v>940</v>
      </c>
    </row>
    <row r="1035" spans="2:12">
      <c r="B1035" s="448" t="s">
        <v>1208</v>
      </c>
      <c r="C1035" s="279" t="s">
        <v>696</v>
      </c>
      <c r="D1035" s="141" t="s">
        <v>1271</v>
      </c>
      <c r="E1035" s="278" t="s">
        <v>526</v>
      </c>
      <c r="F1035" s="280">
        <v>6000000</v>
      </c>
      <c r="G1035" s="279" t="s">
        <v>149</v>
      </c>
      <c r="H1035" s="279" t="s">
        <v>528</v>
      </c>
      <c r="I1035" s="279" t="s">
        <v>523</v>
      </c>
      <c r="J1035" s="279">
        <v>1</v>
      </c>
      <c r="K1035" s="279"/>
      <c r="L1035" s="279" t="s">
        <v>352</v>
      </c>
    </row>
    <row r="1036" spans="2:12">
      <c r="B1036" s="431"/>
      <c r="C1036" s="247"/>
      <c r="D1036" s="246"/>
      <c r="E1036" s="246"/>
      <c r="F1036" s="248"/>
      <c r="G1036" s="247"/>
      <c r="H1036" s="247"/>
      <c r="I1036" s="247"/>
      <c r="J1036" s="247"/>
      <c r="K1036" s="247"/>
      <c r="L1036" s="247"/>
    </row>
    <row r="1037" spans="2:12">
      <c r="B1037" s="431"/>
      <c r="C1037" s="247"/>
      <c r="D1037" s="246"/>
      <c r="E1037" s="246"/>
      <c r="F1037" s="248"/>
      <c r="G1037" s="247"/>
      <c r="H1037" s="247"/>
      <c r="I1037" s="247"/>
      <c r="J1037" s="247"/>
      <c r="K1037" s="247"/>
      <c r="L1037" s="247"/>
    </row>
    <row r="1038" spans="2:12" ht="18.75">
      <c r="B1038" s="1054"/>
      <c r="C1038" s="1055"/>
      <c r="D1038" s="1055"/>
      <c r="E1038" s="1055"/>
      <c r="F1038" s="1055"/>
      <c r="G1038" s="1055"/>
      <c r="H1038" s="1055"/>
      <c r="I1038" s="1056"/>
      <c r="J1038" s="254">
        <f>SUM(J1035:J1037)</f>
        <v>1</v>
      </c>
      <c r="K1038" s="254"/>
      <c r="L1038" s="254"/>
    </row>
    <row r="1039" spans="2:12" s="169" customFormat="1" ht="18.75">
      <c r="B1039" s="856"/>
      <c r="C1039" s="856"/>
      <c r="D1039" s="856"/>
      <c r="E1039" s="856"/>
      <c r="F1039" s="856"/>
      <c r="G1039" s="856"/>
      <c r="H1039" s="856"/>
      <c r="I1039" s="856"/>
      <c r="J1039" s="857"/>
      <c r="K1039" s="857"/>
      <c r="L1039" s="857"/>
    </row>
    <row r="1041" spans="2:12" ht="31.5">
      <c r="B1041" s="918" t="s">
        <v>492</v>
      </c>
      <c r="C1041" s="919"/>
      <c r="D1041" s="919"/>
      <c r="E1041" s="919"/>
      <c r="F1041" s="919"/>
      <c r="G1041" s="919"/>
      <c r="H1041" s="919"/>
      <c r="I1041" s="919"/>
      <c r="J1041" s="919"/>
      <c r="K1041" s="919"/>
      <c r="L1041" s="920"/>
    </row>
    <row r="1043" spans="2:12" ht="18.75">
      <c r="B1043" s="974" t="s">
        <v>1197</v>
      </c>
      <c r="C1043" s="975"/>
      <c r="D1043" s="975"/>
      <c r="E1043" s="975"/>
      <c r="F1043" s="975"/>
      <c r="G1043" s="975"/>
      <c r="H1043" s="975"/>
      <c r="I1043" s="975"/>
      <c r="J1043" s="975"/>
      <c r="K1043" s="975"/>
      <c r="L1043" s="975"/>
    </row>
    <row r="1044" spans="2:12" ht="18.75">
      <c r="B1044" s="790" t="s">
        <v>507</v>
      </c>
      <c r="C1044" s="245" t="s">
        <v>508</v>
      </c>
      <c r="D1044" s="245" t="s">
        <v>509</v>
      </c>
      <c r="E1044" s="245" t="s">
        <v>510</v>
      </c>
      <c r="F1044" s="245" t="s">
        <v>511</v>
      </c>
      <c r="G1044" s="245" t="s">
        <v>512</v>
      </c>
      <c r="H1044" s="245" t="s">
        <v>513</v>
      </c>
      <c r="I1044" s="245" t="s">
        <v>514</v>
      </c>
      <c r="J1044" s="245" t="s">
        <v>915</v>
      </c>
      <c r="K1044" s="245" t="s">
        <v>914</v>
      </c>
      <c r="L1044" s="245" t="s">
        <v>940</v>
      </c>
    </row>
    <row r="1045" spans="2:12">
      <c r="B1045" s="448"/>
      <c r="C1045" s="279"/>
      <c r="D1045" s="848"/>
      <c r="E1045" s="278"/>
      <c r="F1045" s="280"/>
      <c r="G1045" s="279"/>
      <c r="H1045" s="279"/>
      <c r="I1045" s="279"/>
      <c r="J1045" s="279"/>
      <c r="K1045" s="279"/>
      <c r="L1045" s="279"/>
    </row>
    <row r="1046" spans="2:12">
      <c r="B1046" s="448"/>
      <c r="C1046" s="303"/>
      <c r="D1046" s="246"/>
      <c r="E1046" s="375"/>
      <c r="F1046" s="248"/>
      <c r="G1046" s="247"/>
      <c r="H1046" s="247"/>
      <c r="I1046" s="247"/>
      <c r="J1046" s="247"/>
      <c r="K1046" s="247"/>
      <c r="L1046" s="247"/>
    </row>
    <row r="1047" spans="2:12">
      <c r="B1047" s="448"/>
      <c r="C1047" s="303"/>
      <c r="D1047" s="847"/>
      <c r="E1047" s="375"/>
      <c r="F1047" s="248"/>
      <c r="G1047" s="247"/>
      <c r="H1047" s="247"/>
      <c r="I1047" s="247"/>
      <c r="J1047" s="247"/>
      <c r="K1047" s="247"/>
      <c r="L1047" s="247"/>
    </row>
    <row r="1048" spans="2:12">
      <c r="B1048" s="431"/>
      <c r="C1048" s="303"/>
      <c r="D1048" s="847"/>
      <c r="E1048" s="375"/>
      <c r="F1048" s="248"/>
      <c r="G1048" s="247"/>
      <c r="H1048" s="247"/>
      <c r="I1048" s="247"/>
      <c r="J1048" s="247"/>
      <c r="K1048" s="247"/>
      <c r="L1048" s="247"/>
    </row>
    <row r="1049" spans="2:12">
      <c r="B1049" s="431"/>
      <c r="C1049" s="247"/>
      <c r="D1049" s="849"/>
      <c r="E1049" s="246"/>
      <c r="F1049" s="248"/>
      <c r="G1049" s="247"/>
      <c r="H1049" s="247"/>
      <c r="I1049" s="247"/>
      <c r="J1049" s="247"/>
      <c r="K1049" s="247"/>
      <c r="L1049" s="247"/>
    </row>
    <row r="1050" spans="2:12">
      <c r="B1050" s="431"/>
      <c r="C1050" s="247"/>
      <c r="D1050" s="246"/>
      <c r="E1050" s="246"/>
      <c r="F1050" s="248"/>
      <c r="G1050" s="247"/>
      <c r="H1050" s="247"/>
      <c r="I1050" s="247"/>
      <c r="J1050" s="247"/>
      <c r="K1050" s="247"/>
      <c r="L1050" s="247"/>
    </row>
    <row r="1051" spans="2:12">
      <c r="B1051" s="431"/>
      <c r="C1051" s="247"/>
      <c r="D1051" s="246"/>
      <c r="E1051" s="246"/>
      <c r="F1051" s="248"/>
      <c r="G1051" s="247"/>
      <c r="H1051" s="247"/>
      <c r="I1051" s="247"/>
      <c r="J1051" s="247"/>
      <c r="K1051" s="247"/>
      <c r="L1051" s="247"/>
    </row>
    <row r="1052" spans="2:12">
      <c r="B1052" s="431"/>
      <c r="C1052" s="247"/>
      <c r="D1052" s="246"/>
      <c r="E1052" s="246"/>
      <c r="F1052" s="248"/>
      <c r="G1052" s="247"/>
      <c r="H1052" s="247"/>
      <c r="I1052" s="247"/>
      <c r="J1052" s="247"/>
      <c r="K1052" s="247"/>
      <c r="L1052" s="247"/>
    </row>
    <row r="1053" spans="2:12">
      <c r="B1053" s="431"/>
      <c r="C1053" s="247"/>
      <c r="D1053" s="246"/>
      <c r="E1053" s="246"/>
      <c r="F1053" s="248"/>
      <c r="G1053" s="247"/>
      <c r="H1053" s="247"/>
      <c r="I1053" s="247"/>
      <c r="J1053" s="247"/>
      <c r="K1053" s="247"/>
      <c r="L1053" s="247"/>
    </row>
    <row r="1054" spans="2:12">
      <c r="B1054" s="431"/>
      <c r="C1054" s="247"/>
      <c r="D1054" s="246"/>
      <c r="E1054" s="246"/>
      <c r="F1054" s="248"/>
      <c r="G1054" s="247"/>
      <c r="H1054" s="247"/>
      <c r="I1054" s="247"/>
      <c r="J1054" s="247"/>
      <c r="K1054" s="247"/>
      <c r="L1054" s="247"/>
    </row>
    <row r="1055" spans="2:12">
      <c r="B1055" s="431"/>
      <c r="C1055" s="247"/>
      <c r="D1055" s="246"/>
      <c r="E1055" s="246"/>
      <c r="F1055" s="248"/>
      <c r="G1055" s="247"/>
      <c r="H1055" s="247"/>
      <c r="I1055" s="247"/>
      <c r="J1055" s="247"/>
      <c r="K1055" s="247"/>
      <c r="L1055" s="247"/>
    </row>
    <row r="1056" spans="2:12">
      <c r="B1056" s="431"/>
      <c r="C1056" s="247"/>
      <c r="D1056" s="246"/>
      <c r="E1056" s="246"/>
      <c r="F1056" s="248"/>
      <c r="G1056" s="247"/>
      <c r="H1056" s="247"/>
      <c r="I1056" s="247"/>
      <c r="J1056" s="247"/>
      <c r="K1056" s="247"/>
      <c r="L1056" s="247"/>
    </row>
    <row r="1057" spans="2:12">
      <c r="B1057" s="431"/>
      <c r="C1057" s="247"/>
      <c r="D1057" s="246"/>
      <c r="E1057" s="246"/>
      <c r="F1057" s="248"/>
      <c r="G1057" s="247"/>
      <c r="H1057" s="247"/>
      <c r="I1057" s="247"/>
      <c r="J1057" s="247"/>
      <c r="K1057" s="247"/>
      <c r="L1057" s="247"/>
    </row>
    <row r="1058" spans="2:12">
      <c r="B1058" s="431"/>
      <c r="C1058" s="247"/>
      <c r="D1058" s="246"/>
      <c r="E1058" s="246"/>
      <c r="F1058" s="248"/>
      <c r="G1058" s="247"/>
      <c r="H1058" s="247"/>
      <c r="I1058" s="247"/>
      <c r="J1058" s="247"/>
      <c r="K1058" s="247"/>
      <c r="L1058" s="247"/>
    </row>
    <row r="1059" spans="2:12">
      <c r="B1059" s="794"/>
      <c r="C1059" s="247"/>
      <c r="D1059" s="246"/>
      <c r="E1059" s="246"/>
      <c r="F1059" s="248"/>
      <c r="G1059" s="247"/>
      <c r="H1059" s="247"/>
      <c r="I1059" s="247"/>
      <c r="J1059" s="247"/>
      <c r="K1059" s="247"/>
      <c r="L1059" s="247"/>
    </row>
    <row r="1060" spans="2:12">
      <c r="B1060" s="794"/>
      <c r="C1060" s="247"/>
      <c r="D1060" s="246"/>
      <c r="E1060" s="246"/>
      <c r="F1060" s="248"/>
      <c r="G1060" s="247"/>
      <c r="H1060" s="247"/>
      <c r="I1060" s="247"/>
      <c r="J1060" s="247"/>
      <c r="K1060" s="247"/>
      <c r="L1060" s="247"/>
    </row>
    <row r="1061" spans="2:12">
      <c r="B1061" s="794"/>
      <c r="C1061" s="247"/>
      <c r="D1061" s="246"/>
      <c r="E1061" s="246"/>
      <c r="F1061" s="248"/>
      <c r="G1061" s="247"/>
      <c r="H1061" s="247"/>
      <c r="I1061" s="247"/>
      <c r="J1061" s="247"/>
      <c r="K1061" s="247"/>
      <c r="L1061" s="247"/>
    </row>
    <row r="1062" spans="2:12">
      <c r="B1062" s="794"/>
      <c r="C1062" s="247"/>
      <c r="D1062" s="246"/>
      <c r="E1062" s="246"/>
      <c r="F1062" s="248"/>
      <c r="G1062" s="247"/>
      <c r="H1062" s="247"/>
      <c r="I1062" s="247"/>
      <c r="J1062" s="247"/>
      <c r="K1062" s="247"/>
      <c r="L1062" s="247"/>
    </row>
    <row r="1063" spans="2:12">
      <c r="B1063" s="794"/>
      <c r="C1063" s="247"/>
      <c r="D1063" s="246"/>
      <c r="E1063" s="246"/>
      <c r="F1063" s="248"/>
      <c r="G1063" s="247"/>
      <c r="H1063" s="247"/>
      <c r="I1063" s="247"/>
      <c r="J1063" s="247"/>
      <c r="K1063" s="247"/>
      <c r="L1063" s="247"/>
    </row>
    <row r="1064" spans="2:12">
      <c r="B1064" s="794"/>
      <c r="C1064" s="247"/>
      <c r="D1064" s="246"/>
      <c r="E1064" s="246"/>
      <c r="F1064" s="248"/>
      <c r="G1064" s="247"/>
      <c r="H1064" s="247"/>
      <c r="I1064" s="247"/>
      <c r="J1064" s="247"/>
      <c r="K1064" s="247"/>
      <c r="L1064" s="247"/>
    </row>
    <row r="1065" spans="2:12">
      <c r="B1065" s="791"/>
      <c r="C1065" s="250"/>
      <c r="D1065" s="249"/>
      <c r="E1065" s="249"/>
      <c r="F1065" s="251"/>
      <c r="G1065" s="250"/>
      <c r="H1065" s="250"/>
      <c r="I1065" s="250"/>
      <c r="J1065" s="250"/>
      <c r="K1065" s="250"/>
      <c r="L1065" s="250"/>
    </row>
    <row r="1066" spans="2:12">
      <c r="B1066" s="791"/>
      <c r="C1066" s="250"/>
      <c r="D1066" s="252"/>
      <c r="E1066" s="252"/>
      <c r="F1066" s="251"/>
      <c r="G1066" s="253"/>
      <c r="H1066" s="253"/>
      <c r="I1066" s="253"/>
      <c r="J1066" s="253"/>
      <c r="K1066" s="253"/>
      <c r="L1066" s="253"/>
    </row>
    <row r="1067" spans="2:12">
      <c r="B1067" s="791"/>
      <c r="C1067" s="250"/>
      <c r="D1067" s="249"/>
      <c r="E1067" s="249"/>
      <c r="F1067" s="251"/>
      <c r="G1067" s="250"/>
      <c r="H1067" s="250"/>
      <c r="I1067" s="250"/>
      <c r="J1067" s="250"/>
      <c r="K1067" s="250"/>
      <c r="L1067" s="250"/>
    </row>
    <row r="1068" spans="2:12" ht="18.75">
      <c r="B1068" s="1054"/>
      <c r="C1068" s="1055"/>
      <c r="D1068" s="1055"/>
      <c r="E1068" s="1055"/>
      <c r="F1068" s="1055"/>
      <c r="G1068" s="1055"/>
      <c r="H1068" s="1055"/>
      <c r="I1068" s="1056"/>
      <c r="J1068" s="254">
        <f>SUM(J1045:J1067)</f>
        <v>0</v>
      </c>
      <c r="K1068" s="254">
        <f>SUM(K1061:K1067)</f>
        <v>0</v>
      </c>
      <c r="L1068" s="254"/>
    </row>
    <row r="1071" spans="2:12" ht="18.75">
      <c r="B1071" s="976" t="s">
        <v>1212</v>
      </c>
      <c r="C1071" s="977"/>
      <c r="D1071" s="977"/>
      <c r="E1071" s="977"/>
      <c r="F1071" s="977"/>
      <c r="G1071" s="977"/>
      <c r="H1071" s="977"/>
      <c r="I1071" s="977"/>
      <c r="J1071" s="977"/>
      <c r="K1071" s="977"/>
      <c r="L1071" s="977"/>
    </row>
    <row r="1072" spans="2:12" ht="15.75">
      <c r="B1072" s="850" t="s">
        <v>507</v>
      </c>
      <c r="C1072" s="851" t="s">
        <v>508</v>
      </c>
      <c r="D1072" s="851" t="s">
        <v>509</v>
      </c>
      <c r="E1072" s="851" t="s">
        <v>510</v>
      </c>
      <c r="F1072" s="851" t="s">
        <v>511</v>
      </c>
      <c r="G1072" s="851" t="s">
        <v>512</v>
      </c>
      <c r="H1072" s="851" t="s">
        <v>513</v>
      </c>
      <c r="I1072" s="851" t="s">
        <v>514</v>
      </c>
      <c r="J1072" s="851" t="s">
        <v>915</v>
      </c>
      <c r="K1072" s="851" t="s">
        <v>914</v>
      </c>
      <c r="L1072" s="851" t="s">
        <v>940</v>
      </c>
    </row>
    <row r="1073" spans="2:12">
      <c r="B1073" s="431" t="s">
        <v>1272</v>
      </c>
      <c r="C1073" s="247" t="s">
        <v>509</v>
      </c>
      <c r="D1073" s="246" t="s">
        <v>1273</v>
      </c>
      <c r="E1073" s="246" t="s">
        <v>1237</v>
      </c>
      <c r="F1073" s="248">
        <v>3200000</v>
      </c>
      <c r="G1073" s="247" t="s">
        <v>561</v>
      </c>
      <c r="H1073" s="247" t="s">
        <v>528</v>
      </c>
      <c r="I1073" s="247" t="s">
        <v>523</v>
      </c>
      <c r="J1073" s="247">
        <v>1</v>
      </c>
      <c r="K1073" s="247"/>
      <c r="L1073" s="247" t="s">
        <v>352</v>
      </c>
    </row>
    <row r="1074" spans="2:12">
      <c r="B1074" s="431" t="s">
        <v>1272</v>
      </c>
      <c r="C1074" s="247" t="s">
        <v>509</v>
      </c>
      <c r="D1074" s="246" t="s">
        <v>1274</v>
      </c>
      <c r="E1074" s="246" t="s">
        <v>598</v>
      </c>
      <c r="F1074" s="248">
        <v>4200000</v>
      </c>
      <c r="G1074" s="247" t="s">
        <v>741</v>
      </c>
      <c r="H1074" s="247" t="s">
        <v>528</v>
      </c>
      <c r="I1074" s="247" t="s">
        <v>523</v>
      </c>
      <c r="J1074" s="247">
        <v>1</v>
      </c>
      <c r="K1074" s="247"/>
      <c r="L1074" s="247" t="s">
        <v>138</v>
      </c>
    </row>
    <row r="1075" spans="2:12">
      <c r="B1075" s="431"/>
      <c r="C1075" s="247"/>
      <c r="D1075" s="246"/>
      <c r="E1075" s="246"/>
      <c r="F1075" s="248"/>
      <c r="G1075" s="247"/>
      <c r="H1075" s="247"/>
      <c r="I1075" s="247"/>
      <c r="J1075" s="247"/>
      <c r="K1075" s="247"/>
      <c r="L1075" s="247"/>
    </row>
    <row r="1076" spans="2:12">
      <c r="B1076" s="431"/>
      <c r="C1076" s="247"/>
      <c r="D1076" s="246"/>
      <c r="E1076" s="246"/>
      <c r="F1076" s="248"/>
      <c r="G1076" s="247"/>
      <c r="H1076" s="247"/>
      <c r="I1076" s="247"/>
      <c r="J1076" s="247"/>
      <c r="K1076" s="247"/>
      <c r="L1076" s="247"/>
    </row>
    <row r="1077" spans="2:12">
      <c r="B1077" s="431"/>
      <c r="C1077" s="247"/>
      <c r="D1077" s="246"/>
      <c r="E1077" s="246"/>
      <c r="F1077" s="248"/>
      <c r="G1077" s="247"/>
      <c r="H1077" s="247"/>
      <c r="I1077" s="247"/>
      <c r="J1077" s="247"/>
      <c r="K1077" s="247"/>
      <c r="L1077" s="247"/>
    </row>
    <row r="1078" spans="2:12">
      <c r="B1078" s="431"/>
      <c r="C1078" s="247"/>
      <c r="D1078" s="246"/>
      <c r="E1078" s="246"/>
      <c r="F1078" s="248"/>
      <c r="G1078" s="247"/>
      <c r="H1078" s="247"/>
      <c r="I1078" s="247"/>
      <c r="J1078" s="247"/>
      <c r="K1078" s="247"/>
      <c r="L1078" s="247"/>
    </row>
    <row r="1079" spans="2:12">
      <c r="B1079" s="431"/>
      <c r="C1079" s="247"/>
      <c r="D1079" s="246"/>
      <c r="E1079" s="246"/>
      <c r="F1079" s="248"/>
      <c r="G1079" s="247"/>
      <c r="H1079" s="247"/>
      <c r="I1079" s="247"/>
      <c r="J1079" s="247"/>
      <c r="K1079" s="247"/>
      <c r="L1079" s="247"/>
    </row>
    <row r="1080" spans="2:12">
      <c r="B1080" s="431"/>
      <c r="C1080" s="247"/>
      <c r="D1080" s="246"/>
      <c r="E1080" s="246"/>
      <c r="F1080" s="248"/>
      <c r="G1080" s="247"/>
      <c r="H1080" s="247"/>
      <c r="I1080" s="247"/>
      <c r="J1080" s="247"/>
      <c r="K1080" s="247"/>
      <c r="L1080" s="247"/>
    </row>
    <row r="1081" spans="2:12">
      <c r="B1081" s="431"/>
      <c r="C1081" s="247"/>
      <c r="D1081" s="246"/>
      <c r="E1081" s="246"/>
      <c r="F1081" s="248"/>
      <c r="G1081" s="247"/>
      <c r="H1081" s="247"/>
      <c r="I1081" s="247"/>
      <c r="J1081" s="247"/>
      <c r="K1081" s="247"/>
      <c r="L1081" s="247"/>
    </row>
    <row r="1082" spans="2:12">
      <c r="B1082" s="431"/>
      <c r="C1082" s="247"/>
      <c r="D1082" s="246"/>
      <c r="E1082" s="246"/>
      <c r="F1082" s="248"/>
      <c r="G1082" s="247"/>
      <c r="H1082" s="247"/>
      <c r="I1082" s="247"/>
      <c r="J1082" s="247"/>
      <c r="K1082" s="247"/>
      <c r="L1082" s="247"/>
    </row>
    <row r="1083" spans="2:12">
      <c r="B1083" s="431"/>
      <c r="C1083" s="247"/>
      <c r="D1083" s="246"/>
      <c r="E1083" s="246"/>
      <c r="F1083" s="248"/>
      <c r="G1083" s="247"/>
      <c r="H1083" s="247"/>
      <c r="I1083" s="247"/>
      <c r="J1083" s="247"/>
      <c r="K1083" s="247"/>
      <c r="L1083" s="247"/>
    </row>
    <row r="1084" spans="2:12">
      <c r="B1084" s="431"/>
      <c r="C1084" s="247"/>
      <c r="D1084" s="246"/>
      <c r="E1084" s="246"/>
      <c r="F1084" s="248"/>
      <c r="G1084" s="247"/>
      <c r="H1084" s="247"/>
      <c r="I1084" s="247"/>
      <c r="J1084" s="247"/>
      <c r="K1084" s="247"/>
      <c r="L1084" s="247"/>
    </row>
    <row r="1085" spans="2:12">
      <c r="B1085" s="431"/>
      <c r="C1085" s="247"/>
      <c r="D1085" s="246"/>
      <c r="E1085" s="246"/>
      <c r="F1085" s="248"/>
      <c r="G1085" s="247"/>
      <c r="H1085" s="247"/>
      <c r="I1085" s="247"/>
      <c r="J1085" s="247"/>
      <c r="K1085" s="247"/>
      <c r="L1085" s="247"/>
    </row>
    <row r="1086" spans="2:12">
      <c r="B1086" s="431"/>
      <c r="C1086" s="247"/>
      <c r="D1086" s="246"/>
      <c r="E1086" s="246"/>
      <c r="F1086" s="248"/>
      <c r="G1086" s="247"/>
      <c r="H1086" s="247"/>
      <c r="I1086" s="247"/>
      <c r="J1086" s="247"/>
      <c r="K1086" s="247"/>
      <c r="L1086" s="247"/>
    </row>
    <row r="1087" spans="2:12">
      <c r="B1087" s="431"/>
      <c r="C1087" s="247"/>
      <c r="D1087" s="246"/>
      <c r="E1087" s="246"/>
      <c r="F1087" s="248"/>
      <c r="G1087" s="247"/>
      <c r="H1087" s="247"/>
      <c r="I1087" s="247"/>
      <c r="J1087" s="247"/>
      <c r="K1087" s="247"/>
      <c r="L1087" s="247"/>
    </row>
    <row r="1088" spans="2:12">
      <c r="B1088" s="431"/>
      <c r="C1088" s="247"/>
      <c r="D1088" s="246"/>
      <c r="E1088" s="246"/>
      <c r="F1088" s="248"/>
      <c r="G1088" s="247"/>
      <c r="H1088" s="247"/>
      <c r="I1088" s="247"/>
      <c r="J1088" s="247"/>
      <c r="K1088" s="247"/>
      <c r="L1088" s="247"/>
    </row>
    <row r="1089" spans="2:12">
      <c r="B1089" s="431"/>
      <c r="C1089" s="247"/>
      <c r="D1089" s="246"/>
      <c r="E1089" s="246"/>
      <c r="F1089" s="248"/>
      <c r="G1089" s="247"/>
      <c r="H1089" s="247"/>
      <c r="I1089" s="247"/>
      <c r="J1089" s="247"/>
      <c r="K1089" s="247"/>
      <c r="L1089" s="247"/>
    </row>
    <row r="1090" spans="2:12">
      <c r="B1090" s="431"/>
      <c r="C1090" s="247"/>
      <c r="D1090" s="246"/>
      <c r="E1090" s="246"/>
      <c r="F1090" s="248"/>
      <c r="G1090" s="247"/>
      <c r="H1090" s="247"/>
      <c r="I1090" s="247"/>
      <c r="J1090" s="247"/>
      <c r="K1090" s="247"/>
      <c r="L1090" s="247"/>
    </row>
    <row r="1091" spans="2:12">
      <c r="B1091" s="431"/>
      <c r="C1091" s="247"/>
      <c r="D1091" s="246"/>
      <c r="E1091" s="246"/>
      <c r="F1091" s="248"/>
      <c r="G1091" s="247"/>
      <c r="H1091" s="247"/>
      <c r="I1091" s="247"/>
      <c r="J1091" s="247"/>
      <c r="K1091" s="247"/>
      <c r="L1091" s="247"/>
    </row>
    <row r="1092" spans="2:12">
      <c r="B1092" s="431"/>
      <c r="C1092" s="247"/>
      <c r="D1092" s="246"/>
      <c r="E1092" s="246"/>
      <c r="F1092" s="248"/>
      <c r="G1092" s="247"/>
      <c r="H1092" s="247"/>
      <c r="I1092" s="247"/>
      <c r="J1092" s="247"/>
      <c r="K1092" s="247"/>
      <c r="L1092" s="247"/>
    </row>
    <row r="1093" spans="2:12">
      <c r="B1093" s="431"/>
      <c r="C1093" s="247"/>
      <c r="D1093" s="246"/>
      <c r="E1093" s="246"/>
      <c r="F1093" s="248"/>
      <c r="G1093" s="247"/>
      <c r="H1093" s="247"/>
      <c r="I1093" s="247"/>
      <c r="J1093" s="247"/>
      <c r="K1093" s="247"/>
      <c r="L1093" s="247"/>
    </row>
    <row r="1094" spans="2:12">
      <c r="B1094" s="431"/>
      <c r="C1094" s="247"/>
      <c r="D1094" s="246"/>
      <c r="E1094" s="246"/>
      <c r="F1094" s="248"/>
      <c r="G1094" s="247"/>
      <c r="H1094" s="247"/>
      <c r="I1094" s="247"/>
      <c r="J1094" s="247"/>
      <c r="K1094" s="247"/>
      <c r="L1094" s="247"/>
    </row>
    <row r="1095" spans="2:12">
      <c r="B1095" s="431"/>
      <c r="C1095" s="247"/>
      <c r="D1095" s="246"/>
      <c r="E1095" s="246"/>
      <c r="F1095" s="248"/>
      <c r="G1095" s="247"/>
      <c r="H1095" s="247"/>
      <c r="I1095" s="247"/>
      <c r="J1095" s="247"/>
      <c r="K1095" s="247"/>
      <c r="L1095" s="247"/>
    </row>
    <row r="1096" spans="2:12">
      <c r="B1096" s="431"/>
      <c r="C1096" s="247"/>
      <c r="D1096" s="246"/>
      <c r="E1096" s="246"/>
      <c r="F1096" s="248"/>
      <c r="G1096" s="247"/>
      <c r="H1096" s="247"/>
      <c r="I1096" s="247"/>
      <c r="J1096" s="247"/>
      <c r="K1096" s="247"/>
      <c r="L1096" s="247"/>
    </row>
    <row r="1097" spans="2:12">
      <c r="B1097" s="431"/>
      <c r="C1097" s="247"/>
      <c r="D1097" s="246"/>
      <c r="E1097" s="246"/>
      <c r="F1097" s="248"/>
      <c r="G1097" s="247"/>
      <c r="H1097" s="247"/>
      <c r="I1097" s="247"/>
      <c r="J1097" s="247"/>
      <c r="K1097" s="247"/>
      <c r="L1097" s="247"/>
    </row>
    <row r="1098" spans="2:12">
      <c r="B1098" s="791"/>
      <c r="C1098" s="250"/>
      <c r="D1098" s="249"/>
      <c r="E1098" s="249"/>
      <c r="F1098" s="251"/>
      <c r="G1098" s="250"/>
      <c r="H1098" s="250"/>
      <c r="I1098" s="250"/>
      <c r="J1098" s="250"/>
      <c r="K1098" s="250"/>
      <c r="L1098" s="250"/>
    </row>
    <row r="1099" spans="2:12">
      <c r="B1099" s="797"/>
      <c r="C1099" s="253"/>
      <c r="D1099" s="252"/>
      <c r="E1099" s="252"/>
      <c r="F1099" s="251"/>
      <c r="G1099" s="253"/>
      <c r="H1099" s="253"/>
      <c r="I1099" s="253"/>
      <c r="J1099" s="253"/>
      <c r="K1099" s="253"/>
      <c r="L1099" s="253"/>
    </row>
    <row r="1100" spans="2:12">
      <c r="B1100" s="795"/>
      <c r="C1100" s="250"/>
      <c r="D1100" s="249"/>
      <c r="E1100" s="249"/>
      <c r="F1100" s="251"/>
      <c r="G1100" s="250"/>
      <c r="H1100" s="250"/>
      <c r="I1100" s="250"/>
      <c r="J1100" s="250"/>
      <c r="K1100" s="250"/>
      <c r="L1100" s="250"/>
    </row>
    <row r="1101" spans="2:12" ht="18.75">
      <c r="B1101" s="1054"/>
      <c r="C1101" s="1055"/>
      <c r="D1101" s="1055"/>
      <c r="E1101" s="1055"/>
      <c r="F1101" s="1055"/>
      <c r="G1101" s="1055"/>
      <c r="H1101" s="1055"/>
      <c r="I1101" s="1056"/>
      <c r="J1101" s="254">
        <f>SUM(J1073:J1100)</f>
        <v>2</v>
      </c>
      <c r="K1101" s="254">
        <f>SUM(K1098:K1100)</f>
        <v>0</v>
      </c>
      <c r="L1101" s="254"/>
    </row>
    <row r="1103" spans="2:12" ht="18.75">
      <c r="B1103" s="974" t="s">
        <v>1244</v>
      </c>
      <c r="C1103" s="975"/>
      <c r="D1103" s="975"/>
      <c r="E1103" s="975"/>
      <c r="F1103" s="975"/>
      <c r="G1103" s="975"/>
      <c r="H1103" s="975"/>
      <c r="I1103" s="975"/>
      <c r="J1103" s="975"/>
      <c r="K1103" s="975"/>
      <c r="L1103" s="975"/>
    </row>
    <row r="1104" spans="2:12" ht="15.75">
      <c r="B1104" s="796" t="s">
        <v>507</v>
      </c>
      <c r="C1104" s="314" t="s">
        <v>508</v>
      </c>
      <c r="D1104" s="314" t="s">
        <v>509</v>
      </c>
      <c r="E1104" s="314" t="s">
        <v>510</v>
      </c>
      <c r="F1104" s="314" t="s">
        <v>511</v>
      </c>
      <c r="G1104" s="314" t="s">
        <v>512</v>
      </c>
      <c r="H1104" s="314" t="s">
        <v>513</v>
      </c>
      <c r="I1104" s="314" t="s">
        <v>514</v>
      </c>
      <c r="J1104" s="314" t="s">
        <v>915</v>
      </c>
      <c r="K1104" s="314" t="s">
        <v>914</v>
      </c>
      <c r="L1104" s="314" t="s">
        <v>940</v>
      </c>
    </row>
    <row r="1105" spans="2:12">
      <c r="B1105" s="448"/>
      <c r="C1105" s="279"/>
      <c r="D1105" s="278"/>
      <c r="E1105" s="278"/>
      <c r="F1105" s="280"/>
      <c r="G1105" s="279"/>
      <c r="H1105" s="279"/>
      <c r="I1105" s="279"/>
      <c r="J1105" s="279"/>
      <c r="K1105" s="279"/>
      <c r="L1105" s="279"/>
    </row>
    <row r="1106" spans="2:12">
      <c r="B1106" s="431"/>
      <c r="C1106" s="247"/>
      <c r="D1106" s="246"/>
      <c r="E1106" s="246"/>
      <c r="F1106" s="248"/>
      <c r="G1106" s="247"/>
      <c r="H1106" s="247"/>
      <c r="I1106" s="247"/>
      <c r="J1106" s="247"/>
      <c r="K1106" s="247"/>
      <c r="L1106" s="247"/>
    </row>
    <row r="1107" spans="2:12">
      <c r="B1107" s="431"/>
      <c r="C1107" s="247"/>
      <c r="D1107" s="246"/>
      <c r="E1107" s="246"/>
      <c r="F1107" s="248"/>
      <c r="G1107" s="247"/>
      <c r="H1107" s="247"/>
      <c r="I1107" s="247"/>
      <c r="J1107" s="247"/>
      <c r="K1107" s="247"/>
      <c r="L1107" s="247"/>
    </row>
    <row r="1108" spans="2:12">
      <c r="B1108" s="431"/>
      <c r="C1108" s="247"/>
      <c r="D1108" s="246"/>
      <c r="E1108" s="246"/>
      <c r="F1108" s="248"/>
      <c r="G1108" s="247"/>
      <c r="H1108" s="247"/>
      <c r="I1108" s="247"/>
      <c r="J1108" s="247"/>
      <c r="K1108" s="247"/>
      <c r="L1108" s="247"/>
    </row>
    <row r="1109" spans="2:12">
      <c r="B1109" s="431"/>
      <c r="C1109" s="247"/>
      <c r="D1109" s="246"/>
      <c r="E1109" s="246"/>
      <c r="F1109" s="248"/>
      <c r="G1109" s="247"/>
      <c r="H1109" s="247"/>
      <c r="I1109" s="247"/>
      <c r="J1109" s="247"/>
      <c r="K1109" s="247"/>
      <c r="L1109" s="247"/>
    </row>
    <row r="1110" spans="2:12">
      <c r="B1110" s="431"/>
      <c r="C1110" s="247"/>
      <c r="D1110" s="246"/>
      <c r="E1110" s="246"/>
      <c r="F1110" s="248"/>
      <c r="G1110" s="247"/>
      <c r="H1110" s="247"/>
      <c r="I1110" s="247"/>
      <c r="J1110" s="247"/>
      <c r="K1110" s="247"/>
      <c r="L1110" s="247"/>
    </row>
    <row r="1111" spans="2:12">
      <c r="B1111" s="517"/>
      <c r="C1111" s="247"/>
      <c r="D1111" s="246"/>
      <c r="E1111" s="246"/>
      <c r="F1111" s="248"/>
      <c r="G1111" s="247"/>
      <c r="H1111" s="247"/>
      <c r="I1111" s="247"/>
      <c r="J1111" s="247"/>
      <c r="K1111" s="247"/>
      <c r="L1111" s="247"/>
    </row>
    <row r="1112" spans="2:12">
      <c r="B1112" s="431"/>
      <c r="C1112" s="247"/>
      <c r="D1112" s="246"/>
      <c r="E1112" s="246"/>
      <c r="F1112" s="248"/>
      <c r="G1112" s="247"/>
      <c r="H1112" s="247"/>
      <c r="I1112" s="247"/>
      <c r="J1112" s="247"/>
      <c r="K1112" s="247"/>
      <c r="L1112" s="247"/>
    </row>
    <row r="1113" spans="2:12">
      <c r="B1113" s="431"/>
      <c r="C1113" s="247"/>
      <c r="D1113" s="246"/>
      <c r="E1113" s="246"/>
      <c r="F1113" s="248"/>
      <c r="G1113" s="247"/>
      <c r="H1113" s="247"/>
      <c r="I1113" s="247"/>
      <c r="J1113" s="247"/>
      <c r="K1113" s="247"/>
      <c r="L1113" s="247"/>
    </row>
    <row r="1114" spans="2:12">
      <c r="B1114" s="431"/>
      <c r="C1114" s="247"/>
      <c r="D1114" s="246"/>
      <c r="E1114" s="246"/>
      <c r="F1114" s="248"/>
      <c r="G1114" s="247"/>
      <c r="H1114" s="247"/>
      <c r="I1114" s="247"/>
      <c r="J1114" s="247"/>
      <c r="K1114" s="247"/>
      <c r="L1114" s="247"/>
    </row>
    <row r="1115" spans="2:12">
      <c r="B1115" s="431"/>
      <c r="C1115" s="247"/>
      <c r="D1115" s="246"/>
      <c r="E1115" s="246"/>
      <c r="F1115" s="248"/>
      <c r="G1115" s="247"/>
      <c r="H1115" s="247"/>
      <c r="I1115" s="247"/>
      <c r="J1115" s="247"/>
      <c r="K1115" s="247"/>
      <c r="L1115" s="247"/>
    </row>
    <row r="1116" spans="2:12">
      <c r="B1116" s="431"/>
      <c r="C1116" s="247"/>
      <c r="D1116" s="246"/>
      <c r="E1116" s="246"/>
      <c r="F1116" s="248"/>
      <c r="G1116" s="247"/>
      <c r="H1116" s="247"/>
      <c r="I1116" s="247"/>
      <c r="J1116" s="247"/>
      <c r="K1116" s="247"/>
      <c r="L1116" s="247"/>
    </row>
    <row r="1117" spans="2:12">
      <c r="B1117" s="431"/>
      <c r="C1117" s="247"/>
      <c r="D1117" s="246"/>
      <c r="E1117" s="246"/>
      <c r="F1117" s="248"/>
      <c r="G1117" s="247"/>
      <c r="H1117" s="247"/>
      <c r="I1117" s="247"/>
      <c r="J1117" s="247"/>
      <c r="K1117" s="247"/>
      <c r="L1117" s="247"/>
    </row>
    <row r="1118" spans="2:12">
      <c r="B1118" s="431"/>
      <c r="C1118" s="247"/>
      <c r="D1118" s="246"/>
      <c r="E1118" s="246"/>
      <c r="F1118" s="248"/>
      <c r="G1118" s="247"/>
      <c r="H1118" s="247"/>
      <c r="I1118" s="247"/>
      <c r="J1118" s="247"/>
      <c r="K1118" s="247"/>
      <c r="L1118" s="247"/>
    </row>
    <row r="1119" spans="2:12">
      <c r="B1119" s="431"/>
      <c r="C1119" s="247"/>
      <c r="D1119" s="246"/>
      <c r="E1119" s="246"/>
      <c r="F1119" s="248"/>
      <c r="G1119" s="247"/>
      <c r="H1119" s="247"/>
      <c r="I1119" s="247"/>
      <c r="J1119" s="247"/>
      <c r="K1119" s="247"/>
      <c r="L1119" s="247"/>
    </row>
    <row r="1120" spans="2:12">
      <c r="B1120" s="431"/>
      <c r="C1120" s="247"/>
      <c r="D1120" s="246"/>
      <c r="E1120" s="246"/>
      <c r="F1120" s="248"/>
      <c r="G1120" s="247"/>
      <c r="H1120" s="247"/>
      <c r="I1120" s="247"/>
      <c r="J1120" s="247"/>
      <c r="K1120" s="247"/>
      <c r="L1120" s="247"/>
    </row>
    <row r="1121" spans="2:12">
      <c r="B1121" s="431"/>
      <c r="C1121" s="247"/>
      <c r="D1121" s="246"/>
      <c r="E1121" s="246"/>
      <c r="F1121" s="248"/>
      <c r="G1121" s="247"/>
      <c r="H1121" s="247"/>
      <c r="I1121" s="247"/>
      <c r="J1121" s="247"/>
      <c r="K1121" s="247"/>
      <c r="L1121" s="247"/>
    </row>
    <row r="1122" spans="2:12">
      <c r="B1122" s="431"/>
      <c r="C1122" s="247"/>
      <c r="D1122" s="246"/>
      <c r="E1122" s="246"/>
      <c r="F1122" s="248"/>
      <c r="G1122" s="247"/>
      <c r="H1122" s="247"/>
      <c r="I1122" s="247"/>
      <c r="J1122" s="247"/>
      <c r="K1122" s="247"/>
      <c r="L1122" s="247"/>
    </row>
    <row r="1123" spans="2:12">
      <c r="B1123" s="431"/>
      <c r="C1123" s="247"/>
      <c r="D1123" s="246"/>
      <c r="E1123" s="246"/>
      <c r="F1123" s="248"/>
      <c r="G1123" s="247"/>
      <c r="H1123" s="247"/>
      <c r="I1123" s="247"/>
      <c r="J1123" s="247"/>
      <c r="K1123" s="247"/>
      <c r="L1123" s="247"/>
    </row>
    <row r="1124" spans="2:12">
      <c r="B1124" s="431"/>
      <c r="C1124" s="247"/>
      <c r="D1124" s="246"/>
      <c r="E1124" s="246"/>
      <c r="F1124" s="248"/>
      <c r="G1124" s="247"/>
      <c r="H1124" s="247"/>
      <c r="I1124" s="247"/>
      <c r="J1124" s="247"/>
      <c r="K1124" s="247"/>
      <c r="L1124" s="247"/>
    </row>
    <row r="1125" spans="2:12">
      <c r="B1125" s="791"/>
      <c r="C1125" s="250"/>
      <c r="D1125" s="249"/>
      <c r="E1125" s="249"/>
      <c r="F1125" s="251"/>
      <c r="G1125" s="250"/>
      <c r="H1125" s="250"/>
      <c r="I1125" s="250"/>
      <c r="J1125" s="250"/>
      <c r="K1125" s="250"/>
      <c r="L1125" s="250"/>
    </row>
    <row r="1126" spans="2:12">
      <c r="B1126" s="797"/>
      <c r="C1126" s="253"/>
      <c r="D1126" s="252"/>
      <c r="E1126" s="252"/>
      <c r="F1126" s="251"/>
      <c r="G1126" s="253"/>
      <c r="H1126" s="253"/>
      <c r="I1126" s="253"/>
      <c r="J1126" s="253"/>
      <c r="K1126" s="253"/>
      <c r="L1126" s="253"/>
    </row>
    <row r="1127" spans="2:12">
      <c r="B1127" s="795"/>
      <c r="C1127" s="250"/>
      <c r="D1127" s="249"/>
      <c r="E1127" s="249"/>
      <c r="F1127" s="251"/>
      <c r="G1127" s="250"/>
      <c r="H1127" s="250"/>
      <c r="I1127" s="250"/>
      <c r="J1127" s="250"/>
      <c r="K1127" s="250"/>
      <c r="L1127" s="250"/>
    </row>
    <row r="1128" spans="2:12" ht="18.75">
      <c r="B1128" s="1054"/>
      <c r="C1128" s="1055"/>
      <c r="D1128" s="1055"/>
      <c r="E1128" s="1055"/>
      <c r="F1128" s="1055"/>
      <c r="G1128" s="1055"/>
      <c r="H1128" s="1055"/>
      <c r="I1128" s="1056"/>
      <c r="J1128" s="254">
        <f>SUM(J1105:J1127)</f>
        <v>0</v>
      </c>
      <c r="K1128" s="254">
        <f>SUM(K1125:K1127)</f>
        <v>0</v>
      </c>
      <c r="L1128" s="254"/>
    </row>
    <row r="1131" spans="2:12" ht="18.75">
      <c r="B1131" s="974" t="s">
        <v>1266</v>
      </c>
      <c r="C1131" s="975"/>
      <c r="D1131" s="975"/>
      <c r="E1131" s="975"/>
      <c r="F1131" s="975"/>
      <c r="G1131" s="975"/>
      <c r="H1131" s="975"/>
      <c r="I1131" s="975"/>
      <c r="J1131" s="975"/>
      <c r="K1131" s="975"/>
      <c r="L1131" s="975"/>
    </row>
    <row r="1132" spans="2:12" ht="15.75">
      <c r="B1132" s="796" t="s">
        <v>507</v>
      </c>
      <c r="C1132" s="314" t="s">
        <v>508</v>
      </c>
      <c r="D1132" s="314" t="s">
        <v>509</v>
      </c>
      <c r="E1132" s="314" t="s">
        <v>510</v>
      </c>
      <c r="F1132" s="314" t="s">
        <v>511</v>
      </c>
      <c r="G1132" s="314" t="s">
        <v>512</v>
      </c>
      <c r="H1132" s="314" t="s">
        <v>513</v>
      </c>
      <c r="I1132" s="314" t="s">
        <v>514</v>
      </c>
      <c r="J1132" s="314" t="s">
        <v>915</v>
      </c>
      <c r="K1132" s="314" t="s">
        <v>914</v>
      </c>
      <c r="L1132" s="314" t="s">
        <v>940</v>
      </c>
    </row>
    <row r="1133" spans="2:12">
      <c r="B1133" s="448"/>
      <c r="C1133" s="279"/>
      <c r="D1133" s="141"/>
      <c r="E1133" s="278"/>
      <c r="F1133" s="280"/>
      <c r="G1133" s="279"/>
      <c r="H1133" s="279"/>
      <c r="I1133" s="279"/>
      <c r="J1133" s="279"/>
      <c r="K1133" s="279"/>
      <c r="L1133" s="279"/>
    </row>
    <row r="1134" spans="2:12">
      <c r="B1134" s="431"/>
      <c r="C1134" s="247"/>
      <c r="D1134" s="246"/>
      <c r="E1134" s="246"/>
      <c r="F1134" s="248"/>
      <c r="G1134" s="247"/>
      <c r="H1134" s="247"/>
      <c r="I1134" s="247"/>
      <c r="J1134" s="247"/>
      <c r="K1134" s="247"/>
      <c r="L1134" s="247"/>
    </row>
    <row r="1135" spans="2:12">
      <c r="B1135" s="431"/>
      <c r="C1135" s="247"/>
      <c r="D1135" s="246"/>
      <c r="E1135" s="246"/>
      <c r="F1135" s="248"/>
      <c r="G1135" s="247"/>
      <c r="H1135" s="247"/>
      <c r="I1135" s="247"/>
      <c r="J1135" s="247"/>
      <c r="K1135" s="247"/>
      <c r="L1135" s="247"/>
    </row>
    <row r="1136" spans="2:12">
      <c r="B1136" s="431"/>
      <c r="C1136" s="247"/>
      <c r="D1136" s="246"/>
      <c r="E1136" s="246"/>
      <c r="F1136" s="248"/>
      <c r="G1136" s="247"/>
      <c r="H1136" s="247"/>
      <c r="I1136" s="247"/>
      <c r="J1136" s="247"/>
      <c r="K1136" s="247"/>
      <c r="L1136" s="247"/>
    </row>
    <row r="1137" spans="2:12">
      <c r="B1137" s="431"/>
      <c r="C1137" s="247"/>
      <c r="D1137" s="246"/>
      <c r="E1137" s="246"/>
      <c r="F1137" s="248"/>
      <c r="G1137" s="247"/>
      <c r="H1137" s="247"/>
      <c r="I1137" s="247"/>
      <c r="J1137" s="247"/>
      <c r="K1137" s="247"/>
      <c r="L1137" s="247"/>
    </row>
    <row r="1138" spans="2:12" ht="18.75">
      <c r="B1138" s="1054"/>
      <c r="C1138" s="1055"/>
      <c r="D1138" s="1055"/>
      <c r="E1138" s="1055"/>
      <c r="F1138" s="1055"/>
      <c r="G1138" s="1055"/>
      <c r="H1138" s="1055"/>
      <c r="I1138" s="1056"/>
      <c r="J1138" s="254">
        <f>SUM(J1133:J1137)</f>
        <v>0</v>
      </c>
      <c r="K1138" s="254"/>
      <c r="L1138" s="254"/>
    </row>
    <row r="1141" spans="2:12" ht="18.75">
      <c r="B1141" s="974" t="s">
        <v>1270</v>
      </c>
      <c r="C1141" s="975"/>
      <c r="D1141" s="975"/>
      <c r="E1141" s="975"/>
      <c r="F1141" s="975"/>
      <c r="G1141" s="975"/>
      <c r="H1141" s="975"/>
      <c r="I1141" s="975"/>
      <c r="J1141" s="975"/>
      <c r="K1141" s="975"/>
      <c r="L1141" s="975"/>
    </row>
    <row r="1142" spans="2:12" ht="15.75">
      <c r="B1142" s="796" t="s">
        <v>507</v>
      </c>
      <c r="C1142" s="314" t="s">
        <v>508</v>
      </c>
      <c r="D1142" s="314" t="s">
        <v>509</v>
      </c>
      <c r="E1142" s="314" t="s">
        <v>510</v>
      </c>
      <c r="F1142" s="314" t="s">
        <v>511</v>
      </c>
      <c r="G1142" s="314" t="s">
        <v>512</v>
      </c>
      <c r="H1142" s="314" t="s">
        <v>513</v>
      </c>
      <c r="I1142" s="314" t="s">
        <v>514</v>
      </c>
      <c r="J1142" s="314" t="s">
        <v>915</v>
      </c>
      <c r="K1142" s="314" t="s">
        <v>914</v>
      </c>
      <c r="L1142" s="314" t="s">
        <v>940</v>
      </c>
    </row>
    <row r="1143" spans="2:12">
      <c r="B1143" s="448"/>
      <c r="C1143" s="279"/>
      <c r="D1143" s="141"/>
      <c r="E1143" s="278"/>
      <c r="F1143" s="280"/>
      <c r="G1143" s="279"/>
      <c r="H1143" s="279"/>
      <c r="I1143" s="279"/>
      <c r="J1143" s="279"/>
      <c r="K1143" s="279"/>
      <c r="L1143" s="279"/>
    </row>
    <row r="1144" spans="2:12">
      <c r="B1144" s="431"/>
      <c r="C1144" s="247"/>
      <c r="D1144" s="246"/>
      <c r="E1144" s="246"/>
      <c r="F1144" s="248"/>
      <c r="G1144" s="247"/>
      <c r="H1144" s="247"/>
      <c r="I1144" s="247"/>
      <c r="J1144" s="247"/>
      <c r="K1144" s="247"/>
      <c r="L1144" s="247"/>
    </row>
    <row r="1145" spans="2:12">
      <c r="B1145" s="431"/>
      <c r="C1145" s="247"/>
      <c r="D1145" s="246"/>
      <c r="E1145" s="246"/>
      <c r="F1145" s="248"/>
      <c r="G1145" s="247"/>
      <c r="H1145" s="247"/>
      <c r="I1145" s="247"/>
      <c r="J1145" s="247"/>
      <c r="K1145" s="247"/>
      <c r="L1145" s="247"/>
    </row>
    <row r="1146" spans="2:12">
      <c r="B1146" s="431"/>
      <c r="C1146" s="247"/>
      <c r="D1146" s="246"/>
      <c r="E1146" s="246"/>
      <c r="F1146" s="248"/>
      <c r="G1146" s="247"/>
      <c r="H1146" s="247"/>
      <c r="I1146" s="247"/>
      <c r="J1146" s="247"/>
      <c r="K1146" s="247"/>
      <c r="L1146" s="247"/>
    </row>
    <row r="1147" spans="2:12">
      <c r="B1147" s="431"/>
      <c r="C1147" s="247"/>
      <c r="D1147" s="246"/>
      <c r="E1147" s="246"/>
      <c r="F1147" s="248"/>
      <c r="G1147" s="247"/>
      <c r="H1147" s="247"/>
      <c r="I1147" s="247"/>
      <c r="J1147" s="247"/>
      <c r="K1147" s="247"/>
      <c r="L1147" s="247"/>
    </row>
    <row r="1148" spans="2:12" ht="18.75">
      <c r="B1148" s="1054"/>
      <c r="C1148" s="1055"/>
      <c r="D1148" s="1055"/>
      <c r="E1148" s="1055"/>
      <c r="F1148" s="1055"/>
      <c r="G1148" s="1055"/>
      <c r="H1148" s="1055"/>
      <c r="I1148" s="1056"/>
      <c r="J1148" s="254">
        <f>SUM(J1143:J1147)</f>
        <v>0</v>
      </c>
      <c r="K1148" s="254"/>
      <c r="L1148" s="254"/>
    </row>
  </sheetData>
  <mergeCells count="103">
    <mergeCell ref="B835:L835"/>
    <mergeCell ref="B842:I842"/>
    <mergeCell ref="B752:L752"/>
    <mergeCell ref="B779:I779"/>
    <mergeCell ref="B782:L782"/>
    <mergeCell ref="B791:I791"/>
    <mergeCell ref="B793:L793"/>
    <mergeCell ref="B754:L754"/>
    <mergeCell ref="B818:I818"/>
    <mergeCell ref="B822:L822"/>
    <mergeCell ref="B833:I833"/>
    <mergeCell ref="B739:L739"/>
    <mergeCell ref="B746:I746"/>
    <mergeCell ref="B633:I633"/>
    <mergeCell ref="B571:L571"/>
    <mergeCell ref="B597:I597"/>
    <mergeCell ref="B600:L600"/>
    <mergeCell ref="B621:I621"/>
    <mergeCell ref="B624:L624"/>
    <mergeCell ref="B651:L651"/>
    <mergeCell ref="B653:L653"/>
    <mergeCell ref="B678:I678"/>
    <mergeCell ref="B635:L635"/>
    <mergeCell ref="B640:I640"/>
    <mergeCell ref="B642:L642"/>
    <mergeCell ref="B649:I649"/>
    <mergeCell ref="B730:L730"/>
    <mergeCell ref="B737:I737"/>
    <mergeCell ref="B681:L681"/>
    <mergeCell ref="B699:I699"/>
    <mergeCell ref="B701:L701"/>
    <mergeCell ref="B726:I726"/>
    <mergeCell ref="A62:L62"/>
    <mergeCell ref="A69:H69"/>
    <mergeCell ref="A71:L71"/>
    <mergeCell ref="A89:H89"/>
    <mergeCell ref="A92:L92"/>
    <mergeCell ref="B1:F1"/>
    <mergeCell ref="A3:L3"/>
    <mergeCell ref="A30:H30"/>
    <mergeCell ref="A33:L33"/>
    <mergeCell ref="A59:H59"/>
    <mergeCell ref="A99:H99"/>
    <mergeCell ref="B555:L555"/>
    <mergeCell ref="A233:L233"/>
    <mergeCell ref="A103:L103"/>
    <mergeCell ref="A129:H129"/>
    <mergeCell ref="B101:F101"/>
    <mergeCell ref="A132:L132"/>
    <mergeCell ref="A159:H159"/>
    <mergeCell ref="A162:L162"/>
    <mergeCell ref="A188:H188"/>
    <mergeCell ref="A190:L190"/>
    <mergeCell ref="A217:H217"/>
    <mergeCell ref="B219:F219"/>
    <mergeCell ref="A221:L221"/>
    <mergeCell ref="A230:H230"/>
    <mergeCell ref="B553:L553"/>
    <mergeCell ref="A262:H262"/>
    <mergeCell ref="B568:I568"/>
    <mergeCell ref="A266:L266"/>
    <mergeCell ref="A281:H281"/>
    <mergeCell ref="B282:F282"/>
    <mergeCell ref="A284:L284"/>
    <mergeCell ref="A293:H293"/>
    <mergeCell ref="A296:L296"/>
    <mergeCell ref="A327:H327"/>
    <mergeCell ref="A331:L331"/>
    <mergeCell ref="A352:H352"/>
    <mergeCell ref="A554:XFD554"/>
    <mergeCell ref="B894:L894"/>
    <mergeCell ref="B919:I919"/>
    <mergeCell ref="B923:L923"/>
    <mergeCell ref="B944:I944"/>
    <mergeCell ref="B946:L946"/>
    <mergeCell ref="B844:L844"/>
    <mergeCell ref="B846:L846"/>
    <mergeCell ref="B871:I871"/>
    <mergeCell ref="B874:L874"/>
    <mergeCell ref="B892:I892"/>
    <mergeCell ref="B1033:L1033"/>
    <mergeCell ref="B1038:I1038"/>
    <mergeCell ref="B1002:I1002"/>
    <mergeCell ref="B1004:L1004"/>
    <mergeCell ref="B1022:I1022"/>
    <mergeCell ref="B1025:L1025"/>
    <mergeCell ref="B1030:I1030"/>
    <mergeCell ref="B953:I953"/>
    <mergeCell ref="B955:L955"/>
    <mergeCell ref="B957:L957"/>
    <mergeCell ref="B973:I973"/>
    <mergeCell ref="B976:L976"/>
    <mergeCell ref="B1148:I1148"/>
    <mergeCell ref="B1103:L1103"/>
    <mergeCell ref="B1128:I1128"/>
    <mergeCell ref="B1131:L1131"/>
    <mergeCell ref="B1138:I1138"/>
    <mergeCell ref="B1141:L1141"/>
    <mergeCell ref="B1041:L1041"/>
    <mergeCell ref="B1043:L1043"/>
    <mergeCell ref="B1068:I1068"/>
    <mergeCell ref="B1071:L1071"/>
    <mergeCell ref="B1101:I1101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Administración Poblado</cp:lastModifiedBy>
  <cp:revision/>
  <dcterms:created xsi:type="dcterms:W3CDTF">2022-04-25T15:47:52Z</dcterms:created>
  <dcterms:modified xsi:type="dcterms:W3CDTF">2022-12-01T14:05:35Z</dcterms:modified>
  <cp:category/>
  <cp:contentStatus/>
</cp:coreProperties>
</file>